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Inputs" sheetId="2" state="visible" r:id="rId2"/>
    <sheet name="FactorTable" sheetId="3" state="visible" r:id="rId3"/>
    <sheet name="Skills" sheetId="4" state="visible" r:id="rId4"/>
    <sheet name="Artifacts" sheetId="5" state="visible" r:id="rId5"/>
    <sheet name="Calc" sheetId="6" state="visible" r:id="rId6"/>
    <sheet name="Summary" sheetId="7" state="visible" r:id="rId7"/>
    <sheet name="Sensitivity" sheetId="8" state="visible" r:id="rId8"/>
    <sheet name="Equipment Compare" sheetId="9" state="visible" r:id="rId9"/>
    <sheet name="CubeData" sheetId="10" state="visible" r:id="rId10"/>
    <sheet name="ArtifactsInput" sheetId="11" state="visible" r:id="rId11"/>
    <sheet name="PotentialCubes" sheetId="12" state="visible" r:id="rId12"/>
  </sheets>
  <definedNames/>
  <calcPr calcId="124519" fullCalcOnLoad="1"/>
</workbook>
</file>

<file path=xl/styles.xml><?xml version="1.0" encoding="utf-8"?>
<styleSheet xmlns="http://schemas.openxmlformats.org/spreadsheetml/2006/main">
  <numFmts count="2">
    <numFmt numFmtId="164" formatCode="0.00&quot;%&quot;"/>
    <numFmt numFmtId="165" formatCode="+0.00&quot;%&quot;;-0.00&quot;%&quot;;0.00&quot;%&quot;"/>
  </numFmts>
  <fonts count="6">
    <font>
      <name val="Calibri"/>
      <family val="2"/>
      <color theme="1"/>
      <sz val="11"/>
      <scheme val="minor"/>
    </font>
    <font>
      <b val="1"/>
      <sz val="14"/>
    </font>
    <font>
      <b val="1"/>
      <sz val="12"/>
    </font>
    <font>
      <b val="1"/>
      <color rgb="00FFFFFF"/>
    </font>
    <font>
      <b val="1"/>
    </font>
    <font>
      <b val="1"/>
      <sz val="13"/>
    </font>
  </fonts>
  <fills count="5">
    <fill>
      <patternFill/>
    </fill>
    <fill>
      <patternFill patternType="gray125"/>
    </fill>
    <fill>
      <patternFill patternType="solid">
        <fgColor rgb="001F4E78"/>
      </patternFill>
    </fill>
    <fill>
      <patternFill patternType="solid">
        <fgColor rgb="00FFF2CC"/>
      </patternFill>
    </fill>
    <fill>
      <patternFill patternType="solid">
        <fgColor rgb="00D9D9D9"/>
      </patternFill>
    </fill>
  </fills>
  <borders count="1">
    <border>
      <left/>
      <right/>
      <top/>
      <bottom/>
      <diagonal/>
    </border>
  </borders>
  <cellStyleXfs count="1">
    <xf numFmtId="0" fontId="0" fillId="0" borderId="0"/>
  </cellStyleXfs>
  <cellXfs count="15">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1" fillId="0" borderId="0" pivotButton="0" quotePrefix="0" xfId="0"/>
    <xf numFmtId="0" fontId="3" fillId="2" borderId="0" applyAlignment="1" pivotButton="0" quotePrefix="0" xfId="0">
      <alignment horizontal="center"/>
    </xf>
    <xf numFmtId="0" fontId="4" fillId="0" borderId="0" pivotButton="0" quotePrefix="0" xfId="0"/>
    <xf numFmtId="0" fontId="0" fillId="3" borderId="0" pivotButton="0" quotePrefix="0" xfId="0"/>
    <xf numFmtId="0" fontId="0" fillId="4" borderId="0" pivotButton="0" quotePrefix="0" xfId="0"/>
    <xf numFmtId="0" fontId="2" fillId="0" borderId="0" pivotButton="0" quotePrefix="0" xfId="0"/>
    <xf numFmtId="0" fontId="5" fillId="0" borderId="0" pivotButton="0" quotePrefix="0" xfId="0"/>
    <xf numFmtId="0" fontId="3" fillId="2" borderId="0" pivotButton="0" quotePrefix="0" xfId="0"/>
    <xf numFmtId="0" fontId="0" fillId="2" borderId="0" pivotButton="0" quotePrefix="0" xfId="0"/>
    <xf numFmtId="164" fontId="0" fillId="0" borderId="0" pivotButton="0" quotePrefix="0" xfId="0"/>
    <xf numFmtId="165"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8"/>
  <sheetViews>
    <sheetView workbookViewId="0">
      <selection activeCell="A1" sqref="A1"/>
    </sheetView>
  </sheetViews>
  <sheetFormatPr baseColWidth="8" defaultRowHeight="15"/>
  <cols>
    <col width="110" customWidth="1" min="1" max="1"/>
  </cols>
  <sheetData>
    <row r="1">
      <c r="A1" s="1" t="inlineStr">
        <is>
          <t>Marksman — DPS Calculator: How to Use This Workbook</t>
        </is>
      </c>
    </row>
    <row r="2">
      <c r="A2" s="2" t="n"/>
    </row>
    <row r="3">
      <c r="A3" s="3" t="inlineStr">
        <is>
          <t>How to use this workbook</t>
        </is>
      </c>
    </row>
    <row r="4">
      <c r="A4" s="2" t="inlineStr">
        <is>
          <t>Only edit the yellow-highlighted cells on the Inputs sheet — every other sheet is computed from those values and will be overwritten if you rebuild the workbook.</t>
        </is>
      </c>
    </row>
    <row r="5">
      <c r="A5" s="2" t="inlineStr">
        <is>
          <t>Summary shows Total DPS, a Per-Skill DPS Breakdown (damage-dealing skills only — buffs/passives that never deal their own damage are omitted), and a Marginal DPS &amp; Stat Value table showing the DPS gained per +1 of each stat.</t>
        </is>
      </c>
    </row>
    <row r="6">
      <c r="A6" s="2" t="inlineStr">
        <is>
          <t>Sensitivity has the full detail behind that marginal-value table — one self-contained block per stat, showing exactly how bumping that stat by +1 changes every downstream number.</t>
        </is>
      </c>
    </row>
    <row r="7">
      <c r="A7" s="2" t="inlineStr">
        <is>
          <t>CubeData/PotentialCubes model your current gear's Potential Cube lines and drive cube-reroll expected-value decisions. For the full standalone Potential Cube EV calculator (exact optimal-stopping math, works from this workbook alone), see tools/potential_cubes_ev.py in the project repo.</t>
        </is>
      </c>
    </row>
    <row r="8">
      <c r="A8" s="2" t="n"/>
    </row>
    <row r="9">
      <c r="A9" s="3" t="inlineStr">
        <is>
          <t>Design decisions &amp; assumptions</t>
        </is>
      </c>
    </row>
    <row r="10">
      <c r="A10" s="2" t="inlineStr">
        <is>
          <t>Critical Shot, Archer Mastery, Bow Acceleration, Physical Training, Bow Mastery, Extreme Archery/Reckless Hunt: Bow's own Final Damage component, Armor Break, Bow Expert, and Soul Arrow: Bow's own DEX/Attack bonuses are always-on passives assumed to already be reflected in your own Inputs stat entries — only their Sensitivity marginal delta (what changes if their mastery level differs from what you assumed) is modeled live, matching this project's established convention (see build_shadower_workbook.py's own README). Soul Arrow: Bow's flat DEX bonus specifically has NO Sensitivity delta row (no percentage-bucket exists for a flat sub-stat bonus in this template) — just assume your own Inputs!Flat DEX already includes it.</t>
        </is>
      </c>
    </row>
    <row r="11">
      <c r="A11" s="2" t="inlineStr">
        <is>
          <t>Concentration ("Focused Fury" in the Aug 13 patch notes — same skill, wiki and Nexon's own English patch notes use different names) and Mortal Blow are both modeled at steady-state maximum stacks/uptime once unlocked, not as exact stack-timer/hit-counter state machines — the same simplification tier as every other accumulating-stack mechanic in this project.</t>
        </is>
      </c>
    </row>
    <row r="12">
      <c r="A12" s="2" t="inlineStr">
        <is>
          <t>Arrow Platter's per-level damage curve is confirmed via idle.maplestorywiki.net/w/Quiver_Flow (the skill's real curve lives under an old/alternate page name — its current-name page, .../w/Arrow_Platter, is a wiki content bug rendering Wind Arrow II's data instead). Its real cooldown (40s, not 60s) came from that same page's infobox.</t>
        </is>
      </c>
    </row>
    <row r="13">
      <c r="A13" s="2" t="inlineStr">
        <is>
          <t>Quiver Cartridge's Attack-Speed-scaled tick rate uses the English wiki wording ('up to 0.4 times based on Attack Speed') over the Korean text's disagreeing 'up to 2x', per user direction — tick multiplier = 1+0.4*(TotalAS%/150), same 150%-AS cap as Actions Per Second. Flash Mirage's own Attack-Speed-scaled activation-chance text is separately still too vague/self-contradictory (English vs. Korean disagree) to model precisely — it uses a flat, non-AS-scaled proc rate instead, flagged as a simplification.</t>
        </is>
      </c>
    </row>
    <row r="14">
      <c r="A14" s="2" t="inlineStr">
        <is>
          <t>Final Attack: Bow + Advanced Final Attack are folded into Empowered Piercing Arrow's own coefficient as a steady-state average addition, not modeled as an independent damage pipeline with its own separate Final Damage chain.</t>
        </is>
      </c>
    </row>
    <row r="15">
      <c r="A15" s="2" t="inlineStr">
        <is>
          <t>Maple Hero's own per-level scaling curve is confirmed via idle.maplestorywiki.net/w/Maple_Hero_(Marksman) — all three target skills (Arrow Platter/Phoenix/Covering Fire) scale by the identical ratio at every level, so one shared curve covers all three.</t>
        </is>
      </c>
    </row>
    <row r="16">
      <c r="A16" s="2" t="inlineStr">
        <is>
          <t>Content Type (Inputs) picks what you're fighting — Chapter Boss/Breakthrough/PvP/EXP Dungeon/Equipment Dungeon/Weapon Dungeon/Enhancement Dungeon/Hero Dungeon/World Boss/Chapter Hunt — and Monster Defense and Fixed Fight Duration are both auto-computed from it (plus Chapter/Stage for the chapter- and dungeon-based types); PvP still forces its own fixed 15-second window and uses your own Defense stat as the opponent's Defense estimate. See README.md's 'Content Type' section for the exact formulas.</t>
        </is>
      </c>
    </row>
    <row r="17">
      <c r="A17" s="2" t="inlineStr">
        <is>
          <t>Not modeled (out of scope): all forms of crowd control, Accuracy, Evasion, Defense reduction/penetration debuffs on the character's own Defense stat, movement speed, Illusion Step's own Evasion/damage-taken-reduction phase, and Companion Summoning Time.</t>
        </is>
      </c>
    </row>
    <row r="18">
      <c r="A18" s="2"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50"/>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55" customWidth="1" min="1" max="1"/>
    <col width="16"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hidden="1" width="13" customWidth="1" min="14" max="14"/>
  </cols>
  <sheetData>
    <row r="1">
      <c r="A1" s="4" t="inlineStr">
        <is>
          <t>Marksman — DPS Calculator Inputs</t>
        </is>
      </c>
      <c r="N1" t="inlineStr">
        <is>
          <t>(none)</t>
        </is>
      </c>
    </row>
    <row r="2">
      <c r="C2" s="5" t="inlineStr">
        <is>
          <t>Chapter Boss</t>
        </is>
      </c>
      <c r="D2" s="5" t="inlineStr">
        <is>
          <t>Breakthrough</t>
        </is>
      </c>
      <c r="E2" s="5" t="inlineStr">
        <is>
          <t>PvP</t>
        </is>
      </c>
      <c r="F2" s="5" t="inlineStr">
        <is>
          <t>EXP Dungeon</t>
        </is>
      </c>
      <c r="G2" s="5" t="inlineStr">
        <is>
          <t>Equipment Dungeon</t>
        </is>
      </c>
      <c r="H2" s="5" t="inlineStr">
        <is>
          <t>Weapon Dungeon</t>
        </is>
      </c>
      <c r="I2" s="5" t="inlineStr">
        <is>
          <t>Enhancement Dungeon</t>
        </is>
      </c>
      <c r="J2" s="5" t="inlineStr">
        <is>
          <t>Hero Dungeon</t>
        </is>
      </c>
      <c r="K2" s="5" t="inlineStr">
        <is>
          <t>World Boss</t>
        </is>
      </c>
      <c r="L2" s="5" t="inlineStr">
        <is>
          <t>Chapter Hunt</t>
        </is>
      </c>
      <c r="N2" t="inlineStr">
        <is>
          <t>Charm of the Undead</t>
        </is>
      </c>
    </row>
    <row r="3">
      <c r="A3" s="6" t="inlineStr">
        <is>
          <t>Character Level</t>
        </is>
      </c>
      <c r="B3" s="7" t="n">
        <v>200</v>
      </c>
      <c r="N3" t="inlineStr">
        <is>
          <t>Pig's Ribbon</t>
        </is>
      </c>
    </row>
    <row r="4">
      <c r="A4" s="6" t="inlineStr">
        <is>
          <t>Content Type</t>
        </is>
      </c>
      <c r="B4" s="7" t="inlineStr">
        <is>
          <t>Chapter Boss</t>
        </is>
      </c>
      <c r="N4" t="inlineStr">
        <is>
          <t>Shamaness Marble</t>
        </is>
      </c>
    </row>
    <row r="5">
      <c r="A5" s="6" t="inlineStr">
        <is>
          <t>Chapter-Stage — 'chapter-substage' (e.g. '28-9') for Breakthrough/Chapter Hunt, just the chapter number for Chapter Boss, or just the stage number for Weapon/Equipment/Enhancement/EXP/Hero Dungeon. Not applicable to World Boss/PvP.</t>
        </is>
      </c>
      <c r="B5" s="8">
        <f>INDEX($C$5:$L$5,MATCH($B$4,$C$2:$L$2,0))</f>
        <v/>
      </c>
      <c r="C5" s="7" t="inlineStr">
        <is>
          <t>28</t>
        </is>
      </c>
      <c r="D5" s="7" t="inlineStr">
        <is>
          <t>28-9</t>
        </is>
      </c>
      <c r="E5" s="8" t="n"/>
      <c r="F5" s="7" t="inlineStr">
        <is>
          <t>80</t>
        </is>
      </c>
      <c r="G5" s="7" t="inlineStr">
        <is>
          <t>80</t>
        </is>
      </c>
      <c r="H5" s="7" t="inlineStr">
        <is>
          <t>80</t>
        </is>
      </c>
      <c r="I5" s="7" t="inlineStr">
        <is>
          <t>80</t>
        </is>
      </c>
      <c r="J5" s="7" t="inlineStr">
        <is>
          <t>80</t>
        </is>
      </c>
      <c r="K5" s="8" t="n"/>
      <c r="L5" s="7" t="inlineStr">
        <is>
          <t>28-9</t>
        </is>
      </c>
      <c r="N5" t="inlineStr">
        <is>
          <t>The Contract of Darkness</t>
        </is>
      </c>
    </row>
    <row r="6">
      <c r="A6" s="6" t="inlineStr">
        <is>
          <t>Flat ATTACK</t>
        </is>
      </c>
      <c r="B6" s="8">
        <f>INDEX($C$6:$L$6,MATCH($B$4,$C$2:$L$2,0))</f>
        <v/>
      </c>
      <c r="C6" s="7" t="n">
        <v>10000</v>
      </c>
      <c r="D6" s="7" t="n">
        <v>10000</v>
      </c>
      <c r="E6" s="7" t="n">
        <v>10000</v>
      </c>
      <c r="F6" s="7" t="n">
        <v>10000</v>
      </c>
      <c r="G6" s="7" t="n">
        <v>10000</v>
      </c>
      <c r="H6" s="7" t="n">
        <v>10000</v>
      </c>
      <c r="I6" s="7" t="n">
        <v>10000</v>
      </c>
      <c r="J6" s="7" t="n">
        <v>10000</v>
      </c>
      <c r="K6" s="7" t="n">
        <v>10000</v>
      </c>
      <c r="L6" s="7" t="n">
        <v>10000</v>
      </c>
      <c r="N6" t="inlineStr">
        <is>
          <t>Rainbow-colored Snail Shell</t>
        </is>
      </c>
    </row>
    <row r="7">
      <c r="A7" s="6" t="inlineStr">
        <is>
          <t>ATTACK %</t>
        </is>
      </c>
      <c r="B7" s="8">
        <f>INDEX($C$7:$L$7,MATCH($B$4,$C$2:$L$2,0))</f>
        <v/>
      </c>
      <c r="C7" s="7" t="n">
        <v>0</v>
      </c>
      <c r="D7" s="7" t="n">
        <v>0</v>
      </c>
      <c r="E7" s="7" t="n">
        <v>0</v>
      </c>
      <c r="F7" s="7" t="n">
        <v>0</v>
      </c>
      <c r="G7" s="7" t="n">
        <v>0</v>
      </c>
      <c r="H7" s="7" t="n">
        <v>0</v>
      </c>
      <c r="I7" s="7" t="n">
        <v>0</v>
      </c>
      <c r="J7" s="7" t="n">
        <v>0</v>
      </c>
      <c r="K7" s="7" t="n">
        <v>0</v>
      </c>
      <c r="L7" s="7" t="n">
        <v>0</v>
      </c>
      <c r="N7" t="inlineStr">
        <is>
          <t>Hexagon Necklace</t>
        </is>
      </c>
    </row>
    <row r="8">
      <c r="A8" s="6" t="inlineStr">
        <is>
          <t>Defense (your own DEF stat; PvP assumes the opponent has the same Defense as you)</t>
        </is>
      </c>
      <c r="B8" s="8">
        <f>INDEX($C$8:$L$8,MATCH($B$4,$C$2:$L$2,0))</f>
        <v/>
      </c>
      <c r="C8" s="7" t="n">
        <v>0</v>
      </c>
      <c r="D8" s="7" t="n">
        <v>0</v>
      </c>
      <c r="E8" s="7" t="n">
        <v>0</v>
      </c>
      <c r="F8" s="7" t="n">
        <v>0</v>
      </c>
      <c r="G8" s="7" t="n">
        <v>0</v>
      </c>
      <c r="H8" s="7" t="n">
        <v>0</v>
      </c>
      <c r="I8" s="7" t="n">
        <v>0</v>
      </c>
      <c r="J8" s="7" t="n">
        <v>0</v>
      </c>
      <c r="K8" s="7" t="n">
        <v>0</v>
      </c>
      <c r="L8" s="7" t="n">
        <v>0</v>
      </c>
      <c r="N8" t="inlineStr">
        <is>
          <t>Arwen's Glass Shoes</t>
        </is>
      </c>
    </row>
    <row r="9">
      <c r="A9" s="6" t="inlineStr">
        <is>
          <t>CRIT_RATE %</t>
        </is>
      </c>
      <c r="B9" s="8">
        <f>INDEX($C$9:$L$9,MATCH($B$4,$C$2:$L$2,0))</f>
        <v/>
      </c>
      <c r="C9" s="7" t="n">
        <v>0</v>
      </c>
      <c r="D9" s="7" t="n">
        <v>0</v>
      </c>
      <c r="E9" s="7" t="n">
        <v>0</v>
      </c>
      <c r="F9" s="7" t="n">
        <v>0</v>
      </c>
      <c r="G9" s="7" t="n">
        <v>0</v>
      </c>
      <c r="H9" s="7" t="n">
        <v>0</v>
      </c>
      <c r="I9" s="7" t="n">
        <v>0</v>
      </c>
      <c r="J9" s="7" t="n">
        <v>0</v>
      </c>
      <c r="K9" s="7" t="n">
        <v>0</v>
      </c>
      <c r="L9" s="7" t="n">
        <v>0</v>
      </c>
      <c r="N9" t="inlineStr">
        <is>
          <t>Mushmom's Cap</t>
        </is>
      </c>
    </row>
    <row r="10">
      <c r="A10" s="6" t="inlineStr">
        <is>
          <t>CRIT_DAMAGE %</t>
        </is>
      </c>
      <c r="B10" s="8">
        <f>INDEX($C$10:$L$10,MATCH($B$4,$C$2:$L$2,0))</f>
        <v/>
      </c>
      <c r="C10" s="7" t="n">
        <v>0</v>
      </c>
      <c r="D10" s="7" t="n">
        <v>0</v>
      </c>
      <c r="E10" s="7" t="n">
        <v>0</v>
      </c>
      <c r="F10" s="7" t="n">
        <v>0</v>
      </c>
      <c r="G10" s="7" t="n">
        <v>0</v>
      </c>
      <c r="H10" s="7" t="n">
        <v>0</v>
      </c>
      <c r="I10" s="7" t="n">
        <v>0</v>
      </c>
      <c r="J10" s="7" t="n">
        <v>0</v>
      </c>
      <c r="K10" s="7" t="n">
        <v>0</v>
      </c>
      <c r="L10" s="7" t="n">
        <v>0</v>
      </c>
      <c r="N10" t="inlineStr">
        <is>
          <t>Clear Spring Water</t>
        </is>
      </c>
    </row>
    <row r="11">
      <c r="A11" s="6" t="inlineStr">
        <is>
          <t>ATTACK_SPEED % (base, excludes Archer Mastery/Bow Acceleration)</t>
        </is>
      </c>
      <c r="B11" s="8">
        <f>INDEX($C$11:$L$11,MATCH($B$4,$C$2:$L$2,0))</f>
        <v/>
      </c>
      <c r="C11" s="7" t="n">
        <v>0</v>
      </c>
      <c r="D11" s="7" t="n">
        <v>0</v>
      </c>
      <c r="E11" s="7" t="n">
        <v>0</v>
      </c>
      <c r="F11" s="7" t="n">
        <v>0</v>
      </c>
      <c r="G11" s="7" t="n">
        <v>0</v>
      </c>
      <c r="H11" s="7" t="n">
        <v>0</v>
      </c>
      <c r="I11" s="7" t="n">
        <v>0</v>
      </c>
      <c r="J11" s="7" t="n">
        <v>0</v>
      </c>
      <c r="K11" s="7" t="n">
        <v>0</v>
      </c>
      <c r="L11" s="7" t="n">
        <v>0</v>
      </c>
      <c r="N11" t="inlineStr">
        <is>
          <t>Athena Pierce's Old Gloves</t>
        </is>
      </c>
    </row>
    <row r="12">
      <c r="A12" s="6" t="inlineStr">
        <is>
          <t>Flat DEX (include Soul Arrow: Bow's own bonus if unlocked)</t>
        </is>
      </c>
      <c r="B12" s="8">
        <f>INDEX($C$12:$L$12,MATCH($B$4,$C$2:$L$2,0))</f>
        <v/>
      </c>
      <c r="C12" s="7" t="n">
        <v>0</v>
      </c>
      <c r="D12" s="7" t="n">
        <v>0</v>
      </c>
      <c r="E12" s="7" t="n">
        <v>0</v>
      </c>
      <c r="F12" s="7" t="n">
        <v>0</v>
      </c>
      <c r="G12" s="7" t="n">
        <v>0</v>
      </c>
      <c r="H12" s="7" t="n">
        <v>0</v>
      </c>
      <c r="I12" s="7" t="n">
        <v>0</v>
      </c>
      <c r="J12" s="7" t="n">
        <v>0</v>
      </c>
      <c r="K12" s="7" t="n">
        <v>0</v>
      </c>
      <c r="L12" s="7" t="n">
        <v>0</v>
      </c>
      <c r="N12" t="inlineStr">
        <is>
          <t>Zakum's Stone Piece</t>
        </is>
      </c>
    </row>
    <row r="13">
      <c r="A13" s="6" t="inlineStr">
        <is>
          <t>DEX %</t>
        </is>
      </c>
      <c r="B13" s="8">
        <f>INDEX($C$13:$L$13,MATCH($B$4,$C$2:$L$2,0))</f>
        <v/>
      </c>
      <c r="C13" s="7" t="n">
        <v>0</v>
      </c>
      <c r="D13" s="7" t="n">
        <v>0</v>
      </c>
      <c r="E13" s="7" t="n">
        <v>0</v>
      </c>
      <c r="F13" s="7" t="n">
        <v>0</v>
      </c>
      <c r="G13" s="7" t="n">
        <v>0</v>
      </c>
      <c r="H13" s="7" t="n">
        <v>0</v>
      </c>
      <c r="I13" s="7" t="n">
        <v>0</v>
      </c>
      <c r="J13" s="7" t="n">
        <v>0</v>
      </c>
      <c r="K13" s="7" t="n">
        <v>0</v>
      </c>
      <c r="L13" s="7" t="n">
        <v>0</v>
      </c>
      <c r="N13" t="inlineStr">
        <is>
          <t>Horntail's Scale</t>
        </is>
      </c>
    </row>
    <row r="14">
      <c r="A14" s="6" t="inlineStr">
        <is>
          <t>STR</t>
        </is>
      </c>
      <c r="B14" s="8">
        <f>INDEX($C$14:$L$14,MATCH($B$4,$C$2:$L$2,0))</f>
        <v/>
      </c>
      <c r="C14" s="7" t="n">
        <v>0</v>
      </c>
      <c r="D14" s="7" t="n">
        <v>0</v>
      </c>
      <c r="E14" s="7" t="n">
        <v>0</v>
      </c>
      <c r="F14" s="7" t="n">
        <v>0</v>
      </c>
      <c r="G14" s="7" t="n">
        <v>0</v>
      </c>
      <c r="H14" s="7" t="n">
        <v>0</v>
      </c>
      <c r="I14" s="7" t="n">
        <v>0</v>
      </c>
      <c r="J14" s="7" t="n">
        <v>0</v>
      </c>
      <c r="K14" s="7" t="n">
        <v>0</v>
      </c>
      <c r="L14" s="7" t="n">
        <v>0</v>
      </c>
      <c r="N14" t="inlineStr">
        <is>
          <t>Pink Bean's Giant Rib</t>
        </is>
      </c>
    </row>
    <row r="15">
      <c r="A15" s="6" t="inlineStr">
        <is>
          <t>DAMAGE %</t>
        </is>
      </c>
      <c r="B15" s="8">
        <f>INDEX($C$15:$L$15,MATCH($B$4,$C$2:$L$2,0))</f>
        <v/>
      </c>
      <c r="C15" s="7" t="n">
        <v>0</v>
      </c>
      <c r="D15" s="7" t="n">
        <v>0</v>
      </c>
      <c r="E15" s="7" t="n">
        <v>0</v>
      </c>
      <c r="F15" s="7" t="n">
        <v>0</v>
      </c>
      <c r="G15" s="7" t="n">
        <v>0</v>
      </c>
      <c r="H15" s="7" t="n">
        <v>0</v>
      </c>
      <c r="I15" s="7" t="n">
        <v>0</v>
      </c>
      <c r="J15" s="7" t="n">
        <v>0</v>
      </c>
      <c r="K15" s="7" t="n">
        <v>0</v>
      </c>
      <c r="L15" s="7" t="n">
        <v>0</v>
      </c>
      <c r="N15" t="inlineStr">
        <is>
          <t>Chalice</t>
        </is>
      </c>
    </row>
    <row r="16">
      <c r="A16" s="6" t="inlineStr">
        <is>
          <t>DAMAGE_AMP %</t>
        </is>
      </c>
      <c r="B16" s="8">
        <f>INDEX($C$16:$L$16,MATCH($B$4,$C$2:$L$2,0))</f>
        <v/>
      </c>
      <c r="C16" s="7" t="n">
        <v>0</v>
      </c>
      <c r="D16" s="7" t="n">
        <v>0</v>
      </c>
      <c r="E16" s="7" t="n">
        <v>0</v>
      </c>
      <c r="F16" s="7" t="n">
        <v>0</v>
      </c>
      <c r="G16" s="7" t="n">
        <v>0</v>
      </c>
      <c r="H16" s="7" t="n">
        <v>0</v>
      </c>
      <c r="I16" s="7" t="n">
        <v>0</v>
      </c>
      <c r="J16" s="7" t="n">
        <v>0</v>
      </c>
      <c r="K16" s="7" t="n">
        <v>0</v>
      </c>
      <c r="L16" s="7" t="n">
        <v>0</v>
      </c>
      <c r="N16" t="inlineStr">
        <is>
          <t>Old Music Box</t>
        </is>
      </c>
    </row>
    <row r="17">
      <c r="A17" s="6" t="inlineStr">
        <is>
          <t>BASIC_ATTACK_DAMAGE %</t>
        </is>
      </c>
      <c r="B17" s="8">
        <f>INDEX($C$17:$L$17,MATCH($B$4,$C$2:$L$2,0))</f>
        <v/>
      </c>
      <c r="C17" s="7" t="n">
        <v>0</v>
      </c>
      <c r="D17" s="7" t="n">
        <v>0</v>
      </c>
      <c r="E17" s="7" t="n">
        <v>0</v>
      </c>
      <c r="F17" s="7" t="n">
        <v>0</v>
      </c>
      <c r="G17" s="7" t="n">
        <v>0</v>
      </c>
      <c r="H17" s="7" t="n">
        <v>0</v>
      </c>
      <c r="I17" s="7" t="n">
        <v>0</v>
      </c>
      <c r="J17" s="7" t="n">
        <v>0</v>
      </c>
      <c r="K17" s="7" t="n">
        <v>0</v>
      </c>
      <c r="L17" s="7" t="n">
        <v>0</v>
      </c>
      <c r="N17" t="inlineStr">
        <is>
          <t>Silver Pendant</t>
        </is>
      </c>
    </row>
    <row r="18">
      <c r="A18" s="6" t="inlineStr">
        <is>
          <t>SKILL_DAMAGE %</t>
        </is>
      </c>
      <c r="B18" s="8">
        <f>INDEX($C$18:$L$18,MATCH($B$4,$C$2:$L$2,0))</f>
        <v/>
      </c>
      <c r="C18" s="7" t="n">
        <v>0</v>
      </c>
      <c r="D18" s="7" t="n">
        <v>0</v>
      </c>
      <c r="E18" s="7" t="n">
        <v>0</v>
      </c>
      <c r="F18" s="7" t="n">
        <v>0</v>
      </c>
      <c r="G18" s="7" t="n">
        <v>0</v>
      </c>
      <c r="H18" s="7" t="n">
        <v>0</v>
      </c>
      <c r="I18" s="7" t="n">
        <v>0</v>
      </c>
      <c r="J18" s="7" t="n">
        <v>0</v>
      </c>
      <c r="K18" s="7" t="n">
        <v>0</v>
      </c>
      <c r="L18" s="7" t="n">
        <v>0</v>
      </c>
      <c r="N18" t="inlineStr">
        <is>
          <t>Star Rock</t>
        </is>
      </c>
    </row>
    <row r="19">
      <c r="A19" s="6" t="inlineStr">
        <is>
          <t>DEF_PEN %</t>
        </is>
      </c>
      <c r="B19" s="8">
        <f>INDEX($C$19:$L$19,MATCH($B$4,$C$2:$L$2,0))</f>
        <v/>
      </c>
      <c r="C19" s="7" t="n">
        <v>0</v>
      </c>
      <c r="D19" s="7" t="n">
        <v>0</v>
      </c>
      <c r="E19" s="7" t="n">
        <v>0</v>
      </c>
      <c r="F19" s="7" t="n">
        <v>0</v>
      </c>
      <c r="G19" s="7" t="n">
        <v>0</v>
      </c>
      <c r="H19" s="7" t="n">
        <v>0</v>
      </c>
      <c r="I19" s="7" t="n">
        <v>0</v>
      </c>
      <c r="J19" s="7" t="n">
        <v>0</v>
      </c>
      <c r="K19" s="7" t="n">
        <v>0</v>
      </c>
      <c r="L19" s="7" t="n">
        <v>0</v>
      </c>
      <c r="N19" t="inlineStr">
        <is>
          <t>Book of Ancient</t>
        </is>
      </c>
    </row>
    <row r="20">
      <c r="A20" s="6" t="inlineStr">
        <is>
          <t>BOSS_DAMAGE %</t>
        </is>
      </c>
      <c r="B20" s="8">
        <f>INDEX($C$20:$L$20,MATCH($B$4,$C$2:$L$2,0))</f>
        <v/>
      </c>
      <c r="C20" s="7" t="n">
        <v>0</v>
      </c>
      <c r="D20" s="7" t="n">
        <v>0</v>
      </c>
      <c r="E20" s="7" t="n">
        <v>0</v>
      </c>
      <c r="F20" s="7" t="n">
        <v>0</v>
      </c>
      <c r="G20" s="7" t="n">
        <v>0</v>
      </c>
      <c r="H20" s="7" t="n">
        <v>0</v>
      </c>
      <c r="I20" s="7" t="n">
        <v>0</v>
      </c>
      <c r="J20" s="7" t="n">
        <v>0</v>
      </c>
      <c r="K20" s="7" t="n">
        <v>0</v>
      </c>
      <c r="L20" s="7" t="n">
        <v>0</v>
      </c>
      <c r="N20" t="inlineStr">
        <is>
          <t>Lunar Dew</t>
        </is>
      </c>
    </row>
    <row r="21">
      <c r="A21" s="6" t="inlineStr">
        <is>
          <t>NORMAL_DAMAGE %</t>
        </is>
      </c>
      <c r="B21" s="8">
        <f>INDEX($C$21:$L$21,MATCH($B$4,$C$2:$L$2,0))</f>
        <v/>
      </c>
      <c r="C21" s="7" t="n">
        <v>0</v>
      </c>
      <c r="D21" s="7" t="n">
        <v>0</v>
      </c>
      <c r="E21" s="7" t="n">
        <v>0</v>
      </c>
      <c r="F21" s="7" t="n">
        <v>0</v>
      </c>
      <c r="G21" s="7" t="n">
        <v>0</v>
      </c>
      <c r="H21" s="7" t="n">
        <v>0</v>
      </c>
      <c r="I21" s="7" t="n">
        <v>0</v>
      </c>
      <c r="J21" s="7" t="n">
        <v>0</v>
      </c>
      <c r="K21" s="7" t="n">
        <v>0</v>
      </c>
      <c r="L21" s="7" t="n">
        <v>0</v>
      </c>
      <c r="N21" t="inlineStr">
        <is>
          <t>Fire Flower</t>
        </is>
      </c>
    </row>
    <row r="22">
      <c r="A22" s="6" t="inlineStr">
        <is>
          <t>MIN_DAMAGE %</t>
        </is>
      </c>
      <c r="B22" s="8">
        <f>INDEX($C$22:$L$22,MATCH($B$4,$C$2:$L$2,0))</f>
        <v/>
      </c>
      <c r="C22" s="7" t="n">
        <v>100</v>
      </c>
      <c r="D22" s="7" t="n">
        <v>100</v>
      </c>
      <c r="E22" s="7" t="n">
        <v>100</v>
      </c>
      <c r="F22" s="7" t="n">
        <v>100</v>
      </c>
      <c r="G22" s="7" t="n">
        <v>100</v>
      </c>
      <c r="H22" s="7" t="n">
        <v>100</v>
      </c>
      <c r="I22" s="7" t="n">
        <v>100</v>
      </c>
      <c r="J22" s="7" t="n">
        <v>100</v>
      </c>
      <c r="K22" s="7" t="n">
        <v>100</v>
      </c>
      <c r="L22" s="7" t="n">
        <v>100</v>
      </c>
      <c r="N22" t="inlineStr">
        <is>
          <t>Soul Contract</t>
        </is>
      </c>
    </row>
    <row r="23">
      <c r="A23" s="6" t="inlineStr">
        <is>
          <t>MAX_DAMAGE %</t>
        </is>
      </c>
      <c r="B23" s="8">
        <f>INDEX($C$23:$L$23,MATCH($B$4,$C$2:$L$2,0))</f>
        <v/>
      </c>
      <c r="C23" s="7" t="n">
        <v>100</v>
      </c>
      <c r="D23" s="7" t="n">
        <v>100</v>
      </c>
      <c r="E23" s="7" t="n">
        <v>100</v>
      </c>
      <c r="F23" s="7" t="n">
        <v>100</v>
      </c>
      <c r="G23" s="7" t="n">
        <v>100</v>
      </c>
      <c r="H23" s="7" t="n">
        <v>100</v>
      </c>
      <c r="I23" s="7" t="n">
        <v>100</v>
      </c>
      <c r="J23" s="7" t="n">
        <v>100</v>
      </c>
      <c r="K23" s="7" t="n">
        <v>100</v>
      </c>
      <c r="L23" s="7" t="n">
        <v>100</v>
      </c>
      <c r="N23" t="inlineStr">
        <is>
          <t>Lit Lamp</t>
        </is>
      </c>
    </row>
    <row r="24">
      <c r="A24" s="6" t="inlineStr">
        <is>
          <t>FINAL_DAMAGE % (base)</t>
        </is>
      </c>
      <c r="B24" s="8">
        <f>INDEX($C$24:$L$24,MATCH($B$4,$C$2:$L$2,0))</f>
        <v/>
      </c>
      <c r="C24" s="7" t="n">
        <v>0</v>
      </c>
      <c r="D24" s="7" t="n">
        <v>0</v>
      </c>
      <c r="E24" s="7" t="n">
        <v>0</v>
      </c>
      <c r="F24" s="7" t="n">
        <v>0</v>
      </c>
      <c r="G24" s="7" t="n">
        <v>0</v>
      </c>
      <c r="H24" s="7" t="n">
        <v>0</v>
      </c>
      <c r="I24" s="7" t="n">
        <v>0</v>
      </c>
      <c r="J24" s="7" t="n">
        <v>0</v>
      </c>
      <c r="K24" s="7" t="n">
        <v>0</v>
      </c>
      <c r="L24" s="7" t="n">
        <v>0</v>
      </c>
      <c r="N24" t="inlineStr">
        <is>
          <t>Soul Pouch</t>
        </is>
      </c>
    </row>
    <row r="25">
      <c r="A25" s="6" t="inlineStr">
        <is>
          <t>Skill Level Bonus — 1st Job</t>
        </is>
      </c>
      <c r="B25" s="8">
        <f>INDEX($C$25:$L$25,MATCH($B$4,$C$2:$L$2,0))</f>
        <v/>
      </c>
      <c r="C25" s="7" t="n">
        <v>0</v>
      </c>
      <c r="D25" s="7" t="n">
        <v>0</v>
      </c>
      <c r="E25" s="7" t="n">
        <v>0</v>
      </c>
      <c r="F25" s="7" t="n">
        <v>0</v>
      </c>
      <c r="G25" s="7" t="n">
        <v>0</v>
      </c>
      <c r="H25" s="7" t="n">
        <v>0</v>
      </c>
      <c r="I25" s="7" t="n">
        <v>0</v>
      </c>
      <c r="J25" s="7" t="n">
        <v>0</v>
      </c>
      <c r="K25" s="7" t="n">
        <v>0</v>
      </c>
      <c r="L25" s="7" t="n">
        <v>0</v>
      </c>
      <c r="N25" t="inlineStr">
        <is>
          <t>Ancient Text Piece</t>
        </is>
      </c>
    </row>
    <row r="26">
      <c r="A26" s="6" t="inlineStr">
        <is>
          <t>Skill Level Bonus — 2nd Job</t>
        </is>
      </c>
      <c r="B26" s="8">
        <f>INDEX($C$26:$L$26,MATCH($B$4,$C$2:$L$2,0))</f>
        <v/>
      </c>
      <c r="C26" s="7" t="n">
        <v>0</v>
      </c>
      <c r="D26" s="7" t="n">
        <v>0</v>
      </c>
      <c r="E26" s="7" t="n">
        <v>0</v>
      </c>
      <c r="F26" s="7" t="n">
        <v>0</v>
      </c>
      <c r="G26" s="7" t="n">
        <v>0</v>
      </c>
      <c r="H26" s="7" t="n">
        <v>0</v>
      </c>
      <c r="I26" s="7" t="n">
        <v>0</v>
      </c>
      <c r="J26" s="7" t="n">
        <v>0</v>
      </c>
      <c r="K26" s="7" t="n">
        <v>0</v>
      </c>
      <c r="L26" s="7" t="n">
        <v>0</v>
      </c>
      <c r="N26" t="inlineStr">
        <is>
          <t>Icy Soul Rock</t>
        </is>
      </c>
    </row>
    <row r="27">
      <c r="A27" s="6" t="inlineStr">
        <is>
          <t>Skill Level Bonus — 3rd Job</t>
        </is>
      </c>
      <c r="B27" s="8">
        <f>INDEX($C$27:$L$27,MATCH($B$4,$C$2:$L$2,0))</f>
        <v/>
      </c>
      <c r="C27" s="7" t="n">
        <v>0</v>
      </c>
      <c r="D27" s="7" t="n">
        <v>0</v>
      </c>
      <c r="E27" s="7" t="n">
        <v>0</v>
      </c>
      <c r="F27" s="7" t="n">
        <v>0</v>
      </c>
      <c r="G27" s="7" t="n">
        <v>0</v>
      </c>
      <c r="H27" s="7" t="n">
        <v>0</v>
      </c>
      <c r="I27" s="7" t="n">
        <v>0</v>
      </c>
      <c r="J27" s="7" t="n">
        <v>0</v>
      </c>
      <c r="K27" s="7" t="n">
        <v>0</v>
      </c>
      <c r="L27" s="7" t="n">
        <v>0</v>
      </c>
      <c r="N27" t="inlineStr">
        <is>
          <t>Flaming Lava</t>
        </is>
      </c>
    </row>
    <row r="28">
      <c r="A28" s="6" t="inlineStr">
        <is>
          <t>Skill Level Bonus — 4th Job</t>
        </is>
      </c>
      <c r="B28" s="8">
        <f>INDEX($C$28:$L$28,MATCH($B$4,$C$2:$L$2,0))</f>
        <v/>
      </c>
      <c r="C28" s="7" t="n">
        <v>0</v>
      </c>
      <c r="D28" s="7" t="n">
        <v>0</v>
      </c>
      <c r="E28" s="7" t="n">
        <v>0</v>
      </c>
      <c r="F28" s="7" t="n">
        <v>0</v>
      </c>
      <c r="G28" s="7" t="n">
        <v>0</v>
      </c>
      <c r="H28" s="7" t="n">
        <v>0</v>
      </c>
      <c r="I28" s="7" t="n">
        <v>0</v>
      </c>
      <c r="J28" s="7" t="n">
        <v>0</v>
      </c>
      <c r="K28" s="7" t="n">
        <v>0</v>
      </c>
      <c r="L28" s="7" t="n">
        <v>0</v>
      </c>
      <c r="N28" t="inlineStr">
        <is>
          <t>Sayram's Necklace</t>
        </is>
      </c>
    </row>
    <row r="29">
      <c r="A29" s="6" t="inlineStr">
        <is>
          <t>Skill Level Bonus — All Skills</t>
        </is>
      </c>
      <c r="B29" s="8">
        <f>INDEX($C$29:$L$29,MATCH($B$4,$C$2:$L$2,0))</f>
        <v/>
      </c>
      <c r="C29" s="7" t="n">
        <v>0</v>
      </c>
      <c r="D29" s="7" t="n">
        <v>0</v>
      </c>
      <c r="E29" s="7" t="n">
        <v>0</v>
      </c>
      <c r="F29" s="7" t="n">
        <v>0</v>
      </c>
      <c r="G29" s="7" t="n">
        <v>0</v>
      </c>
      <c r="H29" s="7" t="n">
        <v>0</v>
      </c>
      <c r="I29" s="7" t="n">
        <v>0</v>
      </c>
      <c r="J29" s="7" t="n">
        <v>0</v>
      </c>
      <c r="K29" s="7" t="n">
        <v>0</v>
      </c>
      <c r="L29" s="7" t="n">
        <v>0</v>
      </c>
      <c r="N29" t="inlineStr">
        <is>
          <t>Bottle of Emotion</t>
        </is>
      </c>
    </row>
    <row r="30">
      <c r="N30" t="inlineStr">
        <is>
          <t>Peach Tree Herb Pouch</t>
        </is>
      </c>
    </row>
    <row r="31">
      <c r="A31" s="9" t="inlineStr">
        <is>
          <t>Additional Bonuses</t>
        </is>
      </c>
      <c r="N31" t="inlineStr">
        <is>
          <t>Candle</t>
        </is>
      </c>
    </row>
    <row r="32">
      <c r="A32" s="6" t="inlineStr">
        <is>
          <t>Skill Cooldown Decrease (seconds, only skills/buffs the character actively casts)</t>
        </is>
      </c>
      <c r="B32" s="8">
        <f>INDEX($C$32:$L$32,MATCH($B$4,$C$2:$L$2,0))</f>
        <v/>
      </c>
      <c r="C32" s="7" t="n">
        <v>0</v>
      </c>
      <c r="D32" s="7" t="n">
        <v>0</v>
      </c>
      <c r="E32" s="7" t="n">
        <v>0</v>
      </c>
      <c r="F32" s="7" t="n">
        <v>0</v>
      </c>
      <c r="G32" s="7" t="n">
        <v>0</v>
      </c>
      <c r="H32" s="7" t="n">
        <v>0</v>
      </c>
      <c r="I32" s="7" t="n">
        <v>0</v>
      </c>
      <c r="J32" s="7" t="n">
        <v>0</v>
      </c>
      <c r="K32" s="7" t="n">
        <v>0</v>
      </c>
      <c r="L32" s="7" t="n">
        <v>0</v>
      </c>
      <c r="N32" t="inlineStr">
        <is>
          <t>Alliance Badge</t>
        </is>
      </c>
    </row>
    <row r="33">
      <c r="A33" s="6" t="inlineStr">
        <is>
          <t>Basic Attack Target Increase (flat, adds to the 6-target normal-monster base)</t>
        </is>
      </c>
      <c r="B33" s="8">
        <f>INDEX($C$33:$L$33,MATCH($B$4,$C$2:$L$2,0))</f>
        <v/>
      </c>
      <c r="C33" s="7" t="n">
        <v>1</v>
      </c>
      <c r="D33" s="7" t="n">
        <v>1</v>
      </c>
      <c r="E33" s="7" t="n">
        <v>1</v>
      </c>
      <c r="F33" s="7" t="n">
        <v>1</v>
      </c>
      <c r="G33" s="7" t="n">
        <v>1</v>
      </c>
      <c r="H33" s="7" t="n">
        <v>1</v>
      </c>
      <c r="I33" s="7" t="n">
        <v>1</v>
      </c>
      <c r="J33" s="7" t="n">
        <v>1</v>
      </c>
      <c r="K33" s="7" t="n">
        <v>1</v>
      </c>
      <c r="L33" s="7" t="n">
        <v>1</v>
      </c>
      <c r="N33" t="inlineStr">
        <is>
          <t>Horn Flute</t>
        </is>
      </c>
    </row>
    <row r="34">
      <c r="A34" s="6" t="inlineStr">
        <is>
          <t>Buff Duration Increase %</t>
        </is>
      </c>
      <c r="B34" s="8">
        <f>INDEX($C$34:$L$34,MATCH($B$4,$C$2:$L$2,0))</f>
        <v/>
      </c>
      <c r="C34" s="7" t="n">
        <v>0</v>
      </c>
      <c r="D34" s="7" t="n">
        <v>0</v>
      </c>
      <c r="E34" s="7" t="n">
        <v>0</v>
      </c>
      <c r="F34" s="7" t="n">
        <v>0</v>
      </c>
      <c r="G34" s="7" t="n">
        <v>0</v>
      </c>
      <c r="H34" s="7" t="n">
        <v>0</v>
      </c>
      <c r="I34" s="7" t="n">
        <v>0</v>
      </c>
      <c r="J34" s="7" t="n">
        <v>0</v>
      </c>
      <c r="K34" s="7" t="n">
        <v>0</v>
      </c>
      <c r="L34" s="7" t="n">
        <v>0</v>
      </c>
      <c r="N34" t="inlineStr">
        <is>
          <t>Cursed Doll</t>
        </is>
      </c>
    </row>
    <row r="35">
      <c r="A35" s="6" t="inlineStr">
        <is>
          <t>Companion Summoning Time Increase % (companions not modeled — always 0 DPS impact)</t>
        </is>
      </c>
      <c r="B35" s="8">
        <f>INDEX($C$35:$L$35,MATCH($B$4,$C$2:$L$2,0))</f>
        <v/>
      </c>
      <c r="C35" s="7" t="n">
        <v>0</v>
      </c>
      <c r="D35" s="7" t="n">
        <v>0</v>
      </c>
      <c r="E35" s="7" t="n">
        <v>0</v>
      </c>
      <c r="F35" s="7" t="n">
        <v>0</v>
      </c>
      <c r="G35" s="7" t="n">
        <v>0</v>
      </c>
      <c r="H35" s="7" t="n">
        <v>0</v>
      </c>
      <c r="I35" s="7" t="n">
        <v>0</v>
      </c>
      <c r="J35" s="7" t="n">
        <v>0</v>
      </c>
      <c r="K35" s="7" t="n">
        <v>0</v>
      </c>
      <c r="L35" s="7" t="n">
        <v>0</v>
      </c>
      <c r="N35" t="inlineStr">
        <is>
          <t>Reindeer's Spear</t>
        </is>
      </c>
    </row>
    <row r="36">
      <c r="A36" s="6" t="inlineStr">
        <is>
          <t>Boss/Normal Emphasis (Breakthrough/Hero Dungeon only)</t>
        </is>
      </c>
      <c r="B36" s="8">
        <f>INDEX($C$36:$L$36,MATCH($B$4,$C$2:$L$2,0))</f>
        <v/>
      </c>
      <c r="C36" s="8" t="n"/>
      <c r="D36" s="7" t="inlineStr">
        <is>
          <t>A Little More Normal</t>
        </is>
      </c>
      <c r="E36" s="8" t="n"/>
      <c r="F36" s="8" t="n"/>
      <c r="G36" s="8" t="n"/>
      <c r="H36" s="8" t="n"/>
      <c r="I36" s="8" t="n"/>
      <c r="J36" s="7" t="inlineStr">
        <is>
          <t>A Little More Normal</t>
        </is>
      </c>
      <c r="K36" s="8" t="n"/>
      <c r="L36" s="8" t="n"/>
      <c r="N36" t="inlineStr">
        <is>
          <t>Secret Map</t>
        </is>
      </c>
    </row>
    <row r="37">
      <c r="A37" s="6" t="inlineStr">
        <is>
          <t>Max Enemies Actually In Range (normal-monster content only; default 999 = uncapped)</t>
        </is>
      </c>
      <c r="B37" s="8">
        <f>INDEX($C$37:$L$37,MATCH($B$4,$C$2:$L$2,0))</f>
        <v/>
      </c>
      <c r="C37" s="8" t="n"/>
      <c r="D37" s="7" t="n">
        <v>999</v>
      </c>
      <c r="E37" s="8" t="n"/>
      <c r="F37" s="7" t="n">
        <v>999</v>
      </c>
      <c r="G37" s="7" t="n">
        <v>999</v>
      </c>
      <c r="H37" s="8" t="n"/>
      <c r="I37" s="8" t="n"/>
      <c r="J37" s="7" t="n">
        <v>999</v>
      </c>
      <c r="K37" s="8" t="n"/>
      <c r="L37" s="7" t="n">
        <v>999</v>
      </c>
      <c r="N37" t="inlineStr">
        <is>
          <t>Ring of Cycles</t>
        </is>
      </c>
    </row>
    <row r="38" hidden="1">
      <c r="A38" s="6" t="inlineStr">
        <is>
          <t>Monster Type (auto-computed from Content Type) — computed, do not edit</t>
        </is>
      </c>
      <c r="B38" s="8">
        <f>IF(Inputs!$B$4="PvP","pvp",IF(OR(Inputs!$B$4="Breakthrough",Inputs!$B$4="Hero Dungeon"),"breakthrough",IF(OR(Inputs!$B$4="EXP Dungeon",Inputs!$B$4="Equipment Dungeon",Inputs!$B$4="Chapter Hunt"),"normal","boss")))</f>
        <v/>
      </c>
    </row>
    <row r="39" hidden="1">
      <c r="A39" s="6" t="inlineStr">
        <is>
          <t>Chapter (parsed from Chapter-Stage) — computed, do not edit</t>
        </is>
      </c>
      <c r="B39" s="8">
        <f>IFERROR(IF(ISNUMBER(FIND("-",Inputs!$B$5)),VALUE(LEFT(Inputs!$B$5,FIND("-",Inputs!$B$5)-1)),VALUE(Inputs!$B$5)),28)</f>
        <v/>
      </c>
    </row>
    <row r="40" hidden="1">
      <c r="A40" s="6" t="inlineStr">
        <is>
          <t>Stage (parsed from Chapter-Stage) — computed, do not edit</t>
        </is>
      </c>
      <c r="B40" s="8">
        <f>IFERROR(IF(ISNUMBER(FIND("-",Inputs!$B$5)),VALUE(MID(Inputs!$B$5,FIND("-",Inputs!$B$5)+1,50)),VALUE(Inputs!$B$5)),9)</f>
        <v/>
      </c>
    </row>
    <row r="41" hidden="1">
      <c r="A41" s="6" t="inlineStr">
        <is>
          <t>Breakthrough Global Stage Index (helper) — computed, do not edit</t>
        </is>
      </c>
      <c r="B41" s="8">
        <f>IF(Inputs!$B$39=28,Inputs!$B$40-9,Inputs!$B$40+14*MAX(0,MIN(Inputs!$B$39-1,38)-28)+19*MAX(0,Inputs!$B$39-39))</f>
        <v/>
      </c>
    </row>
    <row r="42" hidden="1">
      <c r="A42" s="6" t="inlineStr">
        <is>
          <t>Monster Defense (auto-computed from Content Type) — computed, do not edit</t>
        </is>
      </c>
      <c r="B42" s="8">
        <f>IF(Inputs!$B$4="Chapter Boss",3200+50*(Inputs!$B$39-28),IF(Inputs!$B$4="World Boss",62100,IF(Inputs!$B$4="Weapon Dungeon",Inputs!$B$40*50,IF(Inputs!$B$4="Enhancement Dungeon",950+Inputs!$B$40*50,IF(OR(Inputs!$B$4="EXP Dungeon",Inputs!$B$4="Equipment Dungeon"),250+Inputs!$B$40*50,IF(Inputs!$B$4="Hero Dungeon",650+Inputs!$B$40*50,IF(OR(Inputs!$B$4="Breakthrough",Inputs!$B$4="Chapter Hunt"),4860+20*Inputs!$B$41,Inputs!$B$8)))))))</f>
        <v/>
      </c>
    </row>
    <row r="43" hidden="1">
      <c r="A43" s="6" t="inlineStr">
        <is>
          <t>Fixed Fight Duration (auto-computed from Content Type; 0 = steady-state) — computed, do not edit</t>
        </is>
      </c>
      <c r="B43" s="8">
        <f>IF(Inputs!$B$4="Chapter Hunt",0,IF(Inputs!$B$4="Weapon Dungeon",22,IF(Inputs!$B$4="Equipment Dungeon",40,IF(Inputs!$B$4="Enhancement Dungeon",25,IF(Inputs!$B$4="Hero Dungeon",50,IF(Inputs!$B$4="EXP Dungeon",40,IF(Inputs!$B$4="World Boss",75,IF(Inputs!$B$4="Chapter Boss",70,IF(Inputs!$B$4="Breakthrough",40,0)))))))))</f>
        <v/>
      </c>
    </row>
    <row r="44" hidden="1">
      <c r="A44" s="6" t="inlineStr">
        <is>
          <t>Boss/Normal Weight % (parsed from Boss/Normal Emphasis) — computed, do not edit</t>
        </is>
      </c>
      <c r="B44" s="8">
        <f>IF(Inputs!$B$36="More Normal",70,IF(Inputs!$B$36="A Little More Normal",60,IF(Inputs!$B$36="Equal",50,IF(Inputs!$B$36="A Little More Boss",40,IF(Inputs!$B$36="More Boss",30,60)))))</f>
        <v/>
      </c>
    </row>
    <row r="46">
      <c r="A46" s="9" t="inlineStr">
        <is>
          <t>Equipped Artifacts (up to 4)</t>
        </is>
      </c>
    </row>
    <row r="47">
      <c r="A47" s="6" t="inlineStr">
        <is>
          <t>Slot 1</t>
        </is>
      </c>
      <c r="B47" s="8">
        <f>INDEX($C$47:$L$47,MATCH($B$4,$C$2:$L$2,0))</f>
        <v/>
      </c>
      <c r="C47" s="7" t="inlineStr">
        <is>
          <t>(none)</t>
        </is>
      </c>
      <c r="D47" s="7" t="inlineStr">
        <is>
          <t>(none)</t>
        </is>
      </c>
      <c r="E47" s="7" t="inlineStr">
        <is>
          <t>(none)</t>
        </is>
      </c>
      <c r="F47" s="7" t="inlineStr">
        <is>
          <t>(none)</t>
        </is>
      </c>
      <c r="G47" s="7" t="inlineStr">
        <is>
          <t>(none)</t>
        </is>
      </c>
      <c r="H47" s="7" t="inlineStr">
        <is>
          <t>(none)</t>
        </is>
      </c>
      <c r="I47" s="7" t="inlineStr">
        <is>
          <t>(none)</t>
        </is>
      </c>
      <c r="J47" s="7" t="inlineStr">
        <is>
          <t>(none)</t>
        </is>
      </c>
      <c r="K47" s="7" t="inlineStr">
        <is>
          <t>(none)</t>
        </is>
      </c>
      <c r="L47" s="7" t="inlineStr">
        <is>
          <t>(none)</t>
        </is>
      </c>
    </row>
    <row r="48">
      <c r="A48" s="6" t="inlineStr">
        <is>
          <t>Slot 2</t>
        </is>
      </c>
      <c r="B48" s="8">
        <f>INDEX($C$48:$L$48,MATCH($B$4,$C$2:$L$2,0))</f>
        <v/>
      </c>
      <c r="C48" s="7" t="inlineStr">
        <is>
          <t>(none)</t>
        </is>
      </c>
      <c r="D48" s="7" t="inlineStr">
        <is>
          <t>(none)</t>
        </is>
      </c>
      <c r="E48" s="7" t="inlineStr">
        <is>
          <t>(none)</t>
        </is>
      </c>
      <c r="F48" s="7" t="inlineStr">
        <is>
          <t>(none)</t>
        </is>
      </c>
      <c r="G48" s="7" t="inlineStr">
        <is>
          <t>(none)</t>
        </is>
      </c>
      <c r="H48" s="7" t="inlineStr">
        <is>
          <t>(none)</t>
        </is>
      </c>
      <c r="I48" s="7" t="inlineStr">
        <is>
          <t>(none)</t>
        </is>
      </c>
      <c r="J48" s="7" t="inlineStr">
        <is>
          <t>(none)</t>
        </is>
      </c>
      <c r="K48" s="7" t="inlineStr">
        <is>
          <t>(none)</t>
        </is>
      </c>
      <c r="L48" s="7" t="inlineStr">
        <is>
          <t>(none)</t>
        </is>
      </c>
    </row>
    <row r="49">
      <c r="A49" s="6" t="inlineStr">
        <is>
          <t>Slot 3</t>
        </is>
      </c>
      <c r="B49" s="8">
        <f>INDEX($C$49:$L$49,MATCH($B$4,$C$2:$L$2,0))</f>
        <v/>
      </c>
      <c r="C49" s="7" t="inlineStr">
        <is>
          <t>(none)</t>
        </is>
      </c>
      <c r="D49" s="7" t="inlineStr">
        <is>
          <t>(none)</t>
        </is>
      </c>
      <c r="E49" s="7" t="inlineStr">
        <is>
          <t>(none)</t>
        </is>
      </c>
      <c r="F49" s="7" t="inlineStr">
        <is>
          <t>(none)</t>
        </is>
      </c>
      <c r="G49" s="7" t="inlineStr">
        <is>
          <t>(none)</t>
        </is>
      </c>
      <c r="H49" s="7" t="inlineStr">
        <is>
          <t>(none)</t>
        </is>
      </c>
      <c r="I49" s="7" t="inlineStr">
        <is>
          <t>(none)</t>
        </is>
      </c>
      <c r="J49" s="7" t="inlineStr">
        <is>
          <t>(none)</t>
        </is>
      </c>
      <c r="K49" s="7" t="inlineStr">
        <is>
          <t>(none)</t>
        </is>
      </c>
      <c r="L49" s="7" t="inlineStr">
        <is>
          <t>(none)</t>
        </is>
      </c>
    </row>
    <row r="50">
      <c r="A50" s="6" t="inlineStr">
        <is>
          <t>Slot 4</t>
        </is>
      </c>
      <c r="B50" s="8">
        <f>INDEX($C$50:$L$50,MATCH($B$4,$C$2:$L$2,0))</f>
        <v/>
      </c>
      <c r="C50" s="7" t="inlineStr">
        <is>
          <t>(none)</t>
        </is>
      </c>
      <c r="D50" s="7" t="inlineStr">
        <is>
          <t>(none)</t>
        </is>
      </c>
      <c r="E50" s="7" t="inlineStr">
        <is>
          <t>(none)</t>
        </is>
      </c>
      <c r="F50" s="7" t="inlineStr">
        <is>
          <t>(none)</t>
        </is>
      </c>
      <c r="G50" s="7" t="inlineStr">
        <is>
          <t>(none)</t>
        </is>
      </c>
      <c r="H50" s="7" t="inlineStr">
        <is>
          <t>(none)</t>
        </is>
      </c>
      <c r="I50" s="7" t="inlineStr">
        <is>
          <t>(none)</t>
        </is>
      </c>
      <c r="J50" s="7" t="inlineStr">
        <is>
          <t>(none)</t>
        </is>
      </c>
      <c r="K50" s="7" t="inlineStr">
        <is>
          <t>(none)</t>
        </is>
      </c>
      <c r="L50" s="7" t="inlineStr">
        <is>
          <t>(none)</t>
        </is>
      </c>
    </row>
  </sheetData>
  <dataValidations count="3">
    <dataValidation sqref="B4" showDropDown="0" showInputMessage="0" showErrorMessage="0" allowBlank="0" type="list">
      <formula1>"Chapter Boss,Breakthrough,PvP,EXP Dungeon,Equipment Dungeon,Weapon Dungeon,Enhancement Dungeon,Hero Dungeon,World Boss,Chapter Hunt"</formula1>
    </dataValidation>
    <dataValidation sqref="D36 J36" showDropDown="0" showInputMessage="0" showErrorMessage="0" allowBlank="0" type="list">
      <formula1>"More Normal,A Little More Normal,Equal,A Little More Boss,More Boss"</formula1>
    </dataValidation>
    <dataValidation sqref="C47 C48 C49 C50 D47 D48 D49 D50 E47 E48 E49 E50 F47 F48 F49 F50 G47 G48 G49 G50 H47 H48 H49 H50 I47 I48 I49 I50 J47 J48 J49 J50 K47 K48 K49 K50 L47 L48 L49 L50" showDropDown="0" showInputMessage="0" showErrorMessage="0" allowBlank="0" type="list">
      <formula1>=$N$1:$N$37</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30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8" customWidth="1" min="1" max="1"/>
  </cols>
  <sheetData>
    <row r="1">
      <c r="A1" s="5" t="inlineStr">
        <is>
          <t>Level</t>
        </is>
      </c>
      <c r="B1" s="5" t="inlineStr">
        <is>
          <t>F0</t>
        </is>
      </c>
      <c r="C1" s="5" t="inlineStr">
        <is>
          <t>F1</t>
        </is>
      </c>
      <c r="D1" s="5" t="inlineStr">
        <is>
          <t>F2</t>
        </is>
      </c>
      <c r="E1" s="5" t="inlineStr">
        <is>
          <t>F3</t>
        </is>
      </c>
      <c r="F1" s="5" t="inlineStr">
        <is>
          <t>F4</t>
        </is>
      </c>
      <c r="G1" s="5" t="inlineStr">
        <is>
          <t>F5</t>
        </is>
      </c>
      <c r="H1" s="5" t="inlineStr">
        <is>
          <t>F6</t>
        </is>
      </c>
      <c r="I1" s="5" t="inlineStr">
        <is>
          <t>F7</t>
        </is>
      </c>
      <c r="J1" s="5" t="inlineStr">
        <is>
          <t>F8</t>
        </is>
      </c>
      <c r="K1" s="5" t="inlineStr">
        <is>
          <t>F9</t>
        </is>
      </c>
      <c r="L1" s="5" t="inlineStr">
        <is>
          <t>F10</t>
        </is>
      </c>
      <c r="M1" s="5" t="inlineStr">
        <is>
          <t>F11</t>
        </is>
      </c>
      <c r="N1" s="5" t="inlineStr">
        <is>
          <t>F12</t>
        </is>
      </c>
      <c r="O1" s="5" t="inlineStr">
        <is>
          <t>F13</t>
        </is>
      </c>
      <c r="P1" s="5" t="inlineStr">
        <is>
          <t>F14</t>
        </is>
      </c>
      <c r="Q1" s="5" t="inlineStr">
        <is>
          <t>F15</t>
        </is>
      </c>
      <c r="R1" s="5" t="inlineStr">
        <is>
          <t>F16</t>
        </is>
      </c>
      <c r="S1" s="5" t="inlineStr">
        <is>
          <t>F17</t>
        </is>
      </c>
      <c r="T1" s="5" t="inlineStr">
        <is>
          <t>F18</t>
        </is>
      </c>
      <c r="U1" s="5" t="inlineStr">
        <is>
          <t>F19</t>
        </is>
      </c>
      <c r="V1" s="5" t="inlineStr">
        <is>
          <t>F20</t>
        </is>
      </c>
      <c r="W1" s="5" t="inlineStr">
        <is>
          <t>F21</t>
        </is>
      </c>
      <c r="X1" s="5" t="inlineStr">
        <is>
          <t>F22</t>
        </is>
      </c>
      <c r="Y1" s="5" t="inlineStr">
        <is>
          <t>F23</t>
        </is>
      </c>
    </row>
    <row r="2">
      <c r="A2" t="n">
        <v>1</v>
      </c>
      <c r="B2" t="n">
        <v>0</v>
      </c>
      <c r="C2" t="n">
        <v>1000</v>
      </c>
      <c r="D2" t="n">
        <v>1000</v>
      </c>
      <c r="E2" t="n">
        <v>1000</v>
      </c>
      <c r="F2" t="n">
        <v>1000</v>
      </c>
      <c r="G2" t="n">
        <v>1000</v>
      </c>
      <c r="H2" t="n">
        <v>1000</v>
      </c>
      <c r="I2" t="n">
        <v>1000</v>
      </c>
      <c r="J2" t="n">
        <v>1000</v>
      </c>
      <c r="K2" t="n">
        <v>1000</v>
      </c>
      <c r="L2" t="n">
        <v>1000</v>
      </c>
      <c r="M2" t="n">
        <v>1000</v>
      </c>
      <c r="N2" t="n">
        <v>1000</v>
      </c>
      <c r="O2" t="n">
        <v>1000</v>
      </c>
      <c r="P2" t="n">
        <v>1000</v>
      </c>
      <c r="Q2" t="n">
        <v>1000</v>
      </c>
      <c r="R2" t="n">
        <v>1000</v>
      </c>
      <c r="S2" t="n">
        <v>1000</v>
      </c>
      <c r="T2" t="n">
        <v>1000</v>
      </c>
      <c r="U2" t="n">
        <v>1000</v>
      </c>
      <c r="V2" t="n">
        <v>1000</v>
      </c>
      <c r="W2" t="n">
        <v>1000</v>
      </c>
      <c r="X2" t="n">
        <v>1000</v>
      </c>
      <c r="Y2" t="n">
        <v>1000</v>
      </c>
    </row>
    <row r="3">
      <c r="A3" t="n">
        <v>2</v>
      </c>
      <c r="B3" t="n">
        <v>0</v>
      </c>
      <c r="C3" t="n">
        <v>1015</v>
      </c>
      <c r="D3" t="n">
        <v>1020</v>
      </c>
      <c r="E3" t="n">
        <v>1030</v>
      </c>
      <c r="F3" t="n">
        <v>1040</v>
      </c>
      <c r="G3" t="n">
        <v>1050</v>
      </c>
      <c r="H3" t="n">
        <v>1060</v>
      </c>
      <c r="I3" t="n">
        <v>1070</v>
      </c>
      <c r="J3" t="n">
        <v>1020</v>
      </c>
      <c r="K3" t="n">
        <v>1020</v>
      </c>
      <c r="L3" t="n">
        <v>1020</v>
      </c>
      <c r="M3" t="n">
        <v>1000</v>
      </c>
      <c r="N3" t="n">
        <v>1010</v>
      </c>
      <c r="O3" t="n">
        <v>1020</v>
      </c>
      <c r="P3" t="n">
        <v>1030</v>
      </c>
      <c r="Q3" t="n">
        <v>1040</v>
      </c>
      <c r="R3" t="n">
        <v>1050</v>
      </c>
      <c r="S3" t="n">
        <v>1060</v>
      </c>
      <c r="T3" t="n">
        <v>1070</v>
      </c>
      <c r="U3" t="n">
        <v>1080</v>
      </c>
      <c r="V3" t="n">
        <v>1010</v>
      </c>
      <c r="W3" t="n">
        <v>1008</v>
      </c>
      <c r="X3" t="n">
        <v>1006</v>
      </c>
      <c r="Y3" t="n">
        <v>1100</v>
      </c>
    </row>
    <row r="4">
      <c r="A4" t="n">
        <v>3</v>
      </c>
      <c r="B4" t="n">
        <v>0</v>
      </c>
      <c r="C4" t="n">
        <v>1031</v>
      </c>
      <c r="D4" t="n">
        <v>1041</v>
      </c>
      <c r="E4" t="n">
        <v>1061</v>
      </c>
      <c r="F4" t="n">
        <v>1082</v>
      </c>
      <c r="G4" t="n">
        <v>1103</v>
      </c>
      <c r="H4" t="n">
        <v>1124</v>
      </c>
      <c r="I4" t="n">
        <v>1145</v>
      </c>
      <c r="J4" t="n">
        <v>1030</v>
      </c>
      <c r="K4" t="n">
        <v>1041</v>
      </c>
      <c r="L4" t="n">
        <v>1030</v>
      </c>
      <c r="M4" t="n">
        <v>1000</v>
      </c>
      <c r="N4" t="n">
        <v>1015</v>
      </c>
      <c r="O4" t="n">
        <v>1030</v>
      </c>
      <c r="P4" t="n">
        <v>1045</v>
      </c>
      <c r="Q4" t="n">
        <v>1060</v>
      </c>
      <c r="R4" t="n">
        <v>1075</v>
      </c>
      <c r="S4" t="n">
        <v>1090</v>
      </c>
      <c r="T4" t="n">
        <v>1105</v>
      </c>
      <c r="U4" t="n">
        <v>1120</v>
      </c>
      <c r="V4" t="n">
        <v>1020</v>
      </c>
      <c r="W4" t="n">
        <v>1012</v>
      </c>
      <c r="X4" t="n">
        <v>1009</v>
      </c>
      <c r="Y4" t="n">
        <v>1150</v>
      </c>
    </row>
    <row r="5">
      <c r="A5" t="n">
        <v>4</v>
      </c>
      <c r="B5" t="n">
        <v>0</v>
      </c>
      <c r="C5" t="n">
        <v>1047</v>
      </c>
      <c r="D5" t="n">
        <v>1062</v>
      </c>
      <c r="E5" t="n">
        <v>1093</v>
      </c>
      <c r="F5" t="n">
        <v>1126</v>
      </c>
      <c r="G5" t="n">
        <v>1159</v>
      </c>
      <c r="H5" t="n">
        <v>1192</v>
      </c>
      <c r="I5" t="n">
        <v>1226</v>
      </c>
      <c r="J5" t="n">
        <v>1040</v>
      </c>
      <c r="K5" t="n">
        <v>1062</v>
      </c>
      <c r="L5" t="n">
        <v>1040</v>
      </c>
      <c r="M5" t="n">
        <v>1000</v>
      </c>
      <c r="N5" t="n">
        <v>1020</v>
      </c>
      <c r="O5" t="n">
        <v>1040</v>
      </c>
      <c r="P5" t="n">
        <v>1060</v>
      </c>
      <c r="Q5" t="n">
        <v>1080</v>
      </c>
      <c r="R5" t="n">
        <v>1100</v>
      </c>
      <c r="S5" t="n">
        <v>1120</v>
      </c>
      <c r="T5" t="n">
        <v>1140</v>
      </c>
      <c r="U5" t="n">
        <v>1160</v>
      </c>
      <c r="V5" t="n">
        <v>1030</v>
      </c>
      <c r="W5" t="n">
        <v>1016</v>
      </c>
      <c r="X5" t="n">
        <v>1012</v>
      </c>
      <c r="Y5" t="n">
        <v>1200</v>
      </c>
    </row>
    <row r="6">
      <c r="A6" t="n">
        <v>5</v>
      </c>
      <c r="B6" t="n">
        <v>0</v>
      </c>
      <c r="C6" t="n">
        <v>1063</v>
      </c>
      <c r="D6" t="n">
        <v>1084</v>
      </c>
      <c r="E6" t="n">
        <v>1126</v>
      </c>
      <c r="F6" t="n">
        <v>1172</v>
      </c>
      <c r="G6" t="n">
        <v>1217</v>
      </c>
      <c r="H6" t="n">
        <v>1264</v>
      </c>
      <c r="I6" t="n">
        <v>1312</v>
      </c>
      <c r="J6" t="n">
        <v>1050</v>
      </c>
      <c r="K6" t="n">
        <v>1084</v>
      </c>
      <c r="L6" t="n">
        <v>1050</v>
      </c>
      <c r="M6" t="n">
        <v>1000</v>
      </c>
      <c r="N6" t="n">
        <v>1025</v>
      </c>
      <c r="O6" t="n">
        <v>1050</v>
      </c>
      <c r="P6" t="n">
        <v>1075</v>
      </c>
      <c r="Q6" t="n">
        <v>1100</v>
      </c>
      <c r="R6" t="n">
        <v>1125</v>
      </c>
      <c r="S6" t="n">
        <v>1150</v>
      </c>
      <c r="T6" t="n">
        <v>1175</v>
      </c>
      <c r="U6" t="n">
        <v>1200</v>
      </c>
      <c r="V6" t="n">
        <v>1040</v>
      </c>
      <c r="W6" t="n">
        <v>1020</v>
      </c>
      <c r="X6" t="n">
        <v>1015</v>
      </c>
      <c r="Y6" t="n">
        <v>1250</v>
      </c>
    </row>
    <row r="7">
      <c r="A7" t="n">
        <v>6</v>
      </c>
      <c r="B7" t="n">
        <v>0</v>
      </c>
      <c r="C7" t="n">
        <v>1079</v>
      </c>
      <c r="D7" t="n">
        <v>1106</v>
      </c>
      <c r="E7" t="n">
        <v>1160</v>
      </c>
      <c r="F7" t="n">
        <v>1219</v>
      </c>
      <c r="G7" t="n">
        <v>1278</v>
      </c>
      <c r="H7" t="n">
        <v>1340</v>
      </c>
      <c r="I7" t="n">
        <v>1404</v>
      </c>
      <c r="J7" t="n">
        <v>1060</v>
      </c>
      <c r="K7" t="n">
        <v>1106</v>
      </c>
      <c r="L7" t="n">
        <v>1060</v>
      </c>
      <c r="M7" t="n">
        <v>1000</v>
      </c>
      <c r="N7" t="n">
        <v>1030</v>
      </c>
      <c r="O7" t="n">
        <v>1060</v>
      </c>
      <c r="P7" t="n">
        <v>1090</v>
      </c>
      <c r="Q7" t="n">
        <v>1120</v>
      </c>
      <c r="R7" t="n">
        <v>1150</v>
      </c>
      <c r="S7" t="n">
        <v>1180</v>
      </c>
      <c r="T7" t="n">
        <v>1210</v>
      </c>
      <c r="U7" t="n">
        <v>1240</v>
      </c>
      <c r="V7" t="n">
        <v>1050</v>
      </c>
      <c r="W7" t="n">
        <v>1024</v>
      </c>
      <c r="X7" t="n">
        <v>1018</v>
      </c>
      <c r="Y7" t="n">
        <v>1300</v>
      </c>
    </row>
    <row r="8">
      <c r="A8" t="n">
        <v>7</v>
      </c>
      <c r="B8" t="n">
        <v>0</v>
      </c>
      <c r="C8" t="n">
        <v>1096</v>
      </c>
      <c r="D8" t="n">
        <v>1129</v>
      </c>
      <c r="E8" t="n">
        <v>1195</v>
      </c>
      <c r="F8" t="n">
        <v>1268</v>
      </c>
      <c r="G8" t="n">
        <v>1342</v>
      </c>
      <c r="H8" t="n">
        <v>1421</v>
      </c>
      <c r="I8" t="n">
        <v>1503</v>
      </c>
      <c r="J8" t="n">
        <v>1070</v>
      </c>
      <c r="K8" t="n">
        <v>1129</v>
      </c>
      <c r="L8" t="n">
        <v>1070</v>
      </c>
      <c r="M8" t="n">
        <v>1000</v>
      </c>
      <c r="N8" t="n">
        <v>1035</v>
      </c>
      <c r="O8" t="n">
        <v>1070</v>
      </c>
      <c r="P8" t="n">
        <v>1105</v>
      </c>
      <c r="Q8" t="n">
        <v>1140</v>
      </c>
      <c r="R8" t="n">
        <v>1175</v>
      </c>
      <c r="S8" t="n">
        <v>1210</v>
      </c>
      <c r="T8" t="n">
        <v>1245</v>
      </c>
      <c r="U8" t="n">
        <v>1280</v>
      </c>
      <c r="V8" t="n">
        <v>1060</v>
      </c>
      <c r="W8" t="n">
        <v>1028</v>
      </c>
      <c r="X8" t="n">
        <v>1021</v>
      </c>
      <c r="Y8" t="n">
        <v>1350</v>
      </c>
    </row>
    <row r="9">
      <c r="A9" t="n">
        <v>8</v>
      </c>
      <c r="B9" t="n">
        <v>0</v>
      </c>
      <c r="C9" t="n">
        <v>1113</v>
      </c>
      <c r="D9" t="n">
        <v>1152</v>
      </c>
      <c r="E9" t="n">
        <v>1231</v>
      </c>
      <c r="F9" t="n">
        <v>1319</v>
      </c>
      <c r="G9" t="n">
        <v>1410</v>
      </c>
      <c r="H9" t="n">
        <v>1507</v>
      </c>
      <c r="I9" t="n">
        <v>1609</v>
      </c>
      <c r="J9" t="n">
        <v>1080</v>
      </c>
      <c r="K9" t="n">
        <v>1152</v>
      </c>
      <c r="L9" t="n">
        <v>1080</v>
      </c>
      <c r="M9" t="n">
        <v>1000</v>
      </c>
      <c r="N9" t="n">
        <v>1040</v>
      </c>
      <c r="O9" t="n">
        <v>1080</v>
      </c>
      <c r="P9" t="n">
        <v>1120</v>
      </c>
      <c r="Q9" t="n">
        <v>1160</v>
      </c>
      <c r="R9" t="n">
        <v>1200</v>
      </c>
      <c r="S9" t="n">
        <v>1240</v>
      </c>
      <c r="T9" t="n">
        <v>1280</v>
      </c>
      <c r="U9" t="n">
        <v>1320</v>
      </c>
      <c r="V9" t="n">
        <v>1070</v>
      </c>
      <c r="W9" t="n">
        <v>1032</v>
      </c>
      <c r="X9" t="n">
        <v>1024</v>
      </c>
      <c r="Y9" t="n">
        <v>1400</v>
      </c>
    </row>
    <row r="10">
      <c r="A10" t="n">
        <v>9</v>
      </c>
      <c r="B10" t="n">
        <v>0</v>
      </c>
      <c r="C10" t="n">
        <v>1130</v>
      </c>
      <c r="D10" t="n">
        <v>1176</v>
      </c>
      <c r="E10" t="n">
        <v>1268</v>
      </c>
      <c r="F10" t="n">
        <v>1372</v>
      </c>
      <c r="G10" t="n">
        <v>1481</v>
      </c>
      <c r="H10" t="n">
        <v>1598</v>
      </c>
      <c r="I10" t="n">
        <v>1722</v>
      </c>
      <c r="J10" t="n">
        <v>1090</v>
      </c>
      <c r="K10" t="n">
        <v>1176</v>
      </c>
      <c r="L10" t="n">
        <v>1090</v>
      </c>
      <c r="M10" t="n">
        <v>1000</v>
      </c>
      <c r="N10" t="n">
        <v>1045</v>
      </c>
      <c r="O10" t="n">
        <v>1090</v>
      </c>
      <c r="P10" t="n">
        <v>1135</v>
      </c>
      <c r="Q10" t="n">
        <v>1180</v>
      </c>
      <c r="R10" t="n">
        <v>1225</v>
      </c>
      <c r="S10" t="n">
        <v>1270</v>
      </c>
      <c r="T10" t="n">
        <v>1315</v>
      </c>
      <c r="U10" t="n">
        <v>1360</v>
      </c>
      <c r="V10" t="n">
        <v>1080</v>
      </c>
      <c r="W10" t="n">
        <v>1036</v>
      </c>
      <c r="X10" t="n">
        <v>1027</v>
      </c>
      <c r="Y10" t="n">
        <v>1450</v>
      </c>
    </row>
    <row r="11">
      <c r="A11" t="n">
        <v>10</v>
      </c>
      <c r="B11" t="n">
        <v>0</v>
      </c>
      <c r="C11" t="n">
        <v>1147</v>
      </c>
      <c r="D11" t="n">
        <v>1200</v>
      </c>
      <c r="E11" t="n">
        <v>1307</v>
      </c>
      <c r="F11" t="n">
        <v>1427</v>
      </c>
      <c r="G11" t="n">
        <v>1556</v>
      </c>
      <c r="H11" t="n">
        <v>1694</v>
      </c>
      <c r="I11" t="n">
        <v>1843</v>
      </c>
      <c r="J11" t="n">
        <v>1100</v>
      </c>
      <c r="K11" t="n">
        <v>1200</v>
      </c>
      <c r="L11" t="n">
        <v>1100</v>
      </c>
      <c r="M11" t="n">
        <v>1000</v>
      </c>
      <c r="N11" t="n">
        <v>1050</v>
      </c>
      <c r="O11" t="n">
        <v>1100</v>
      </c>
      <c r="P11" t="n">
        <v>1150</v>
      </c>
      <c r="Q11" t="n">
        <v>1200</v>
      </c>
      <c r="R11" t="n">
        <v>1250</v>
      </c>
      <c r="S11" t="n">
        <v>1300</v>
      </c>
      <c r="T11" t="n">
        <v>1350</v>
      </c>
      <c r="U11" t="n">
        <v>1400</v>
      </c>
      <c r="V11" t="n">
        <v>1090</v>
      </c>
      <c r="W11" t="n">
        <v>1040</v>
      </c>
      <c r="X11" t="n">
        <v>1030</v>
      </c>
      <c r="Y11" t="n">
        <v>1500</v>
      </c>
    </row>
    <row r="12">
      <c r="A12" t="n">
        <v>11</v>
      </c>
      <c r="B12" t="n">
        <v>0</v>
      </c>
      <c r="C12" t="n">
        <v>1165</v>
      </c>
      <c r="D12" t="n">
        <v>1224</v>
      </c>
      <c r="E12" t="n">
        <v>1347</v>
      </c>
      <c r="F12" t="n">
        <v>1485</v>
      </c>
      <c r="G12" t="n">
        <v>1634</v>
      </c>
      <c r="H12" t="n">
        <v>1796</v>
      </c>
      <c r="I12" t="n">
        <v>1973</v>
      </c>
      <c r="J12" t="n">
        <v>1110</v>
      </c>
      <c r="K12" t="n">
        <v>1224</v>
      </c>
      <c r="L12" t="n">
        <v>1110</v>
      </c>
      <c r="M12" t="n">
        <v>1000</v>
      </c>
      <c r="N12" t="n">
        <v>1055</v>
      </c>
      <c r="O12" t="n">
        <v>1110</v>
      </c>
      <c r="P12" t="n">
        <v>1165</v>
      </c>
      <c r="Q12" t="n">
        <v>1220</v>
      </c>
      <c r="R12" t="n">
        <v>1275</v>
      </c>
      <c r="S12" t="n">
        <v>1330</v>
      </c>
      <c r="T12" t="n">
        <v>1385</v>
      </c>
      <c r="U12" t="n">
        <v>1440</v>
      </c>
      <c r="V12" t="n">
        <v>1100</v>
      </c>
      <c r="W12" t="n">
        <v>1044</v>
      </c>
      <c r="X12" t="n">
        <v>1033</v>
      </c>
      <c r="Y12" t="n">
        <v>1550</v>
      </c>
    </row>
    <row r="13">
      <c r="A13" t="n">
        <v>12</v>
      </c>
      <c r="B13" t="n">
        <v>0</v>
      </c>
      <c r="C13" t="n">
        <v>1183</v>
      </c>
      <c r="D13" t="n">
        <v>1249</v>
      </c>
      <c r="E13" t="n">
        <v>1388</v>
      </c>
      <c r="F13" t="n">
        <v>1545</v>
      </c>
      <c r="G13" t="n">
        <v>1716</v>
      </c>
      <c r="H13" t="n">
        <v>1904</v>
      </c>
      <c r="I13" t="n">
        <v>2112</v>
      </c>
      <c r="J13" t="n">
        <v>1120</v>
      </c>
      <c r="K13" t="n">
        <v>1249</v>
      </c>
      <c r="L13" t="n">
        <v>1120</v>
      </c>
      <c r="M13" t="n">
        <v>1000</v>
      </c>
      <c r="N13" t="n">
        <v>1060</v>
      </c>
      <c r="O13" t="n">
        <v>1120</v>
      </c>
      <c r="P13" t="n">
        <v>1180</v>
      </c>
      <c r="Q13" t="n">
        <v>1240</v>
      </c>
      <c r="R13" t="n">
        <v>1300</v>
      </c>
      <c r="S13" t="n">
        <v>1360</v>
      </c>
      <c r="T13" t="n">
        <v>1420</v>
      </c>
      <c r="U13" t="n">
        <v>1480</v>
      </c>
      <c r="V13" t="n">
        <v>1110</v>
      </c>
      <c r="W13" t="n">
        <v>1048</v>
      </c>
      <c r="X13" t="n">
        <v>1036</v>
      </c>
      <c r="Y13" t="n">
        <v>1600</v>
      </c>
    </row>
    <row r="14">
      <c r="A14" t="n">
        <v>13</v>
      </c>
      <c r="B14" t="n">
        <v>0</v>
      </c>
      <c r="C14" t="n">
        <v>1201</v>
      </c>
      <c r="D14" t="n">
        <v>1274</v>
      </c>
      <c r="E14" t="n">
        <v>1430</v>
      </c>
      <c r="F14" t="n">
        <v>1607</v>
      </c>
      <c r="G14" t="n">
        <v>1802</v>
      </c>
      <c r="H14" t="n">
        <v>2019</v>
      </c>
      <c r="I14" t="n">
        <v>2260</v>
      </c>
      <c r="J14" t="n">
        <v>1130</v>
      </c>
      <c r="K14" t="n">
        <v>1274</v>
      </c>
      <c r="L14" t="n">
        <v>1130</v>
      </c>
      <c r="M14" t="n">
        <v>1000</v>
      </c>
      <c r="N14" t="n">
        <v>1065</v>
      </c>
      <c r="O14" t="n">
        <v>1130</v>
      </c>
      <c r="P14" t="n">
        <v>1195</v>
      </c>
      <c r="Q14" t="n">
        <v>1260</v>
      </c>
      <c r="R14" t="n">
        <v>1325</v>
      </c>
      <c r="S14" t="n">
        <v>1390</v>
      </c>
      <c r="T14" t="n">
        <v>1455</v>
      </c>
      <c r="U14" t="n">
        <v>1520</v>
      </c>
      <c r="V14" t="n">
        <v>1120</v>
      </c>
      <c r="W14" t="n">
        <v>1052</v>
      </c>
      <c r="X14" t="n">
        <v>1039</v>
      </c>
      <c r="Y14" t="n">
        <v>1650</v>
      </c>
    </row>
    <row r="15">
      <c r="A15" t="n">
        <v>14</v>
      </c>
      <c r="B15" t="n">
        <v>0</v>
      </c>
      <c r="C15" t="n">
        <v>1220</v>
      </c>
      <c r="D15" t="n">
        <v>1300</v>
      </c>
      <c r="E15" t="n">
        <v>1473</v>
      </c>
      <c r="F15" t="n">
        <v>1672</v>
      </c>
      <c r="G15" t="n">
        <v>1893</v>
      </c>
      <c r="H15" t="n">
        <v>2141</v>
      </c>
      <c r="I15" t="n">
        <v>2419</v>
      </c>
      <c r="J15" t="n">
        <v>1140</v>
      </c>
      <c r="K15" t="n">
        <v>1300</v>
      </c>
      <c r="L15" t="n">
        <v>1140</v>
      </c>
      <c r="M15" t="n">
        <v>1000</v>
      </c>
      <c r="N15" t="n">
        <v>1070</v>
      </c>
      <c r="O15" t="n">
        <v>1140</v>
      </c>
      <c r="P15" t="n">
        <v>1210</v>
      </c>
      <c r="Q15" t="n">
        <v>1280</v>
      </c>
      <c r="R15" t="n">
        <v>1350</v>
      </c>
      <c r="S15" t="n">
        <v>1420</v>
      </c>
      <c r="T15" t="n">
        <v>1490</v>
      </c>
      <c r="U15" t="n">
        <v>1560</v>
      </c>
      <c r="V15" t="n">
        <v>1130</v>
      </c>
      <c r="W15" t="n">
        <v>1056</v>
      </c>
      <c r="X15" t="n">
        <v>1042</v>
      </c>
      <c r="Y15" t="n">
        <v>1700</v>
      </c>
    </row>
    <row r="16">
      <c r="A16" t="n">
        <v>15</v>
      </c>
      <c r="B16" t="n">
        <v>0</v>
      </c>
      <c r="C16" t="n">
        <v>1239</v>
      </c>
      <c r="D16" t="n">
        <v>1326</v>
      </c>
      <c r="E16" t="n">
        <v>1518</v>
      </c>
      <c r="F16" t="n">
        <v>1739</v>
      </c>
      <c r="G16" t="n">
        <v>1988</v>
      </c>
      <c r="H16" t="n">
        <v>2270</v>
      </c>
      <c r="I16" t="n">
        <v>2589</v>
      </c>
      <c r="J16" t="n">
        <v>1150</v>
      </c>
      <c r="K16" t="n">
        <v>1326</v>
      </c>
      <c r="L16" t="n">
        <v>1150</v>
      </c>
      <c r="M16" t="n">
        <v>1000</v>
      </c>
      <c r="N16" t="n">
        <v>1075</v>
      </c>
      <c r="O16" t="n">
        <v>1150</v>
      </c>
      <c r="P16" t="n">
        <v>1225</v>
      </c>
      <c r="Q16" t="n">
        <v>1300</v>
      </c>
      <c r="R16" t="n">
        <v>1375</v>
      </c>
      <c r="S16" t="n">
        <v>1450</v>
      </c>
      <c r="T16" t="n">
        <v>1525</v>
      </c>
      <c r="U16" t="n">
        <v>1600</v>
      </c>
      <c r="V16" t="n">
        <v>1140</v>
      </c>
      <c r="W16" t="n">
        <v>1060</v>
      </c>
      <c r="X16" t="n">
        <v>1045</v>
      </c>
      <c r="Y16" t="n">
        <v>1750</v>
      </c>
    </row>
    <row r="17">
      <c r="A17" t="n">
        <v>16</v>
      </c>
      <c r="B17" t="n">
        <v>0</v>
      </c>
      <c r="C17" t="n">
        <v>1258</v>
      </c>
      <c r="D17" t="n">
        <v>1353</v>
      </c>
      <c r="E17" t="n">
        <v>1564</v>
      </c>
      <c r="F17" t="n">
        <v>1809</v>
      </c>
      <c r="G17" t="n">
        <v>2088</v>
      </c>
      <c r="H17" t="n">
        <v>2407</v>
      </c>
      <c r="I17" t="n">
        <v>2771</v>
      </c>
      <c r="J17" t="n">
        <v>1160</v>
      </c>
      <c r="K17" t="n">
        <v>1353</v>
      </c>
      <c r="L17" t="n">
        <v>1160</v>
      </c>
      <c r="M17" t="n">
        <v>1000</v>
      </c>
      <c r="N17" t="n">
        <v>1080</v>
      </c>
      <c r="O17" t="n">
        <v>1160</v>
      </c>
      <c r="P17" t="n">
        <v>1240</v>
      </c>
      <c r="Q17" t="n">
        <v>1320</v>
      </c>
      <c r="R17" t="n">
        <v>1400</v>
      </c>
      <c r="S17" t="n">
        <v>1480</v>
      </c>
      <c r="T17" t="n">
        <v>1560</v>
      </c>
      <c r="U17" t="n">
        <v>1640</v>
      </c>
      <c r="V17" t="n">
        <v>1150</v>
      </c>
      <c r="W17" t="n">
        <v>1064</v>
      </c>
      <c r="X17" t="n">
        <v>1048</v>
      </c>
      <c r="Y17" t="n">
        <v>1800</v>
      </c>
    </row>
    <row r="18">
      <c r="A18" t="n">
        <v>17</v>
      </c>
      <c r="B18" t="n">
        <v>0</v>
      </c>
      <c r="C18" t="n">
        <v>1277</v>
      </c>
      <c r="D18" t="n">
        <v>1381</v>
      </c>
      <c r="E18" t="n">
        <v>1611</v>
      </c>
      <c r="F18" t="n">
        <v>1882</v>
      </c>
      <c r="G18" t="n">
        <v>2193</v>
      </c>
      <c r="H18" t="n">
        <v>2552</v>
      </c>
      <c r="I18" t="n">
        <v>2965</v>
      </c>
      <c r="J18" t="n">
        <v>1170</v>
      </c>
      <c r="K18" t="n">
        <v>1381</v>
      </c>
      <c r="L18" t="n">
        <v>1170</v>
      </c>
      <c r="M18" t="n">
        <v>1000</v>
      </c>
      <c r="N18" t="n">
        <v>1085</v>
      </c>
      <c r="O18" t="n">
        <v>1170</v>
      </c>
      <c r="P18" t="n">
        <v>1255</v>
      </c>
      <c r="Q18" t="n">
        <v>1340</v>
      </c>
      <c r="R18" t="n">
        <v>1425</v>
      </c>
      <c r="S18" t="n">
        <v>1510</v>
      </c>
      <c r="T18" t="n">
        <v>1595</v>
      </c>
      <c r="U18" t="n">
        <v>1680</v>
      </c>
      <c r="V18" t="n">
        <v>1160</v>
      </c>
      <c r="W18" t="n">
        <v>1068</v>
      </c>
      <c r="X18" t="n">
        <v>1051</v>
      </c>
      <c r="Y18" t="n">
        <v>1850</v>
      </c>
    </row>
    <row r="19">
      <c r="A19" t="n">
        <v>18</v>
      </c>
      <c r="B19" t="n">
        <v>0</v>
      </c>
      <c r="C19" t="n">
        <v>1297</v>
      </c>
      <c r="D19" t="n">
        <v>1409</v>
      </c>
      <c r="E19" t="n">
        <v>1660</v>
      </c>
      <c r="F19" t="n">
        <v>1958</v>
      </c>
      <c r="G19" t="n">
        <v>2303</v>
      </c>
      <c r="H19" t="n">
        <v>2706</v>
      </c>
      <c r="I19" t="n">
        <v>3173</v>
      </c>
      <c r="J19" t="n">
        <v>1180</v>
      </c>
      <c r="K19" t="n">
        <v>1409</v>
      </c>
      <c r="L19" t="n">
        <v>1180</v>
      </c>
      <c r="M19" t="n">
        <v>1000</v>
      </c>
      <c r="N19" t="n">
        <v>1090</v>
      </c>
      <c r="O19" t="n">
        <v>1180</v>
      </c>
      <c r="P19" t="n">
        <v>1270</v>
      </c>
      <c r="Q19" t="n">
        <v>1360</v>
      </c>
      <c r="R19" t="n">
        <v>1450</v>
      </c>
      <c r="S19" t="n">
        <v>1540</v>
      </c>
      <c r="T19" t="n">
        <v>1630</v>
      </c>
      <c r="U19" t="n">
        <v>1720</v>
      </c>
      <c r="V19" t="n">
        <v>1170</v>
      </c>
      <c r="W19" t="n">
        <v>1072</v>
      </c>
      <c r="X19" t="n">
        <v>1054</v>
      </c>
      <c r="Y19" t="n">
        <v>1900</v>
      </c>
    </row>
    <row r="20">
      <c r="A20" t="n">
        <v>19</v>
      </c>
      <c r="B20" t="n">
        <v>0</v>
      </c>
      <c r="C20" t="n">
        <v>1317</v>
      </c>
      <c r="D20" t="n">
        <v>1438</v>
      </c>
      <c r="E20" t="n">
        <v>1710</v>
      </c>
      <c r="F20" t="n">
        <v>2037</v>
      </c>
      <c r="G20" t="n">
        <v>2419</v>
      </c>
      <c r="H20" t="n">
        <v>2869</v>
      </c>
      <c r="I20" t="n">
        <v>3396</v>
      </c>
      <c r="J20" t="n">
        <v>1190</v>
      </c>
      <c r="K20" t="n">
        <v>1438</v>
      </c>
      <c r="L20" t="n">
        <v>1190</v>
      </c>
      <c r="M20" t="n">
        <v>1000</v>
      </c>
      <c r="N20" t="n">
        <v>1095</v>
      </c>
      <c r="O20" t="n">
        <v>1190</v>
      </c>
      <c r="P20" t="n">
        <v>1285</v>
      </c>
      <c r="Q20" t="n">
        <v>1380</v>
      </c>
      <c r="R20" t="n">
        <v>1475</v>
      </c>
      <c r="S20" t="n">
        <v>1570</v>
      </c>
      <c r="T20" t="n">
        <v>1665</v>
      </c>
      <c r="U20" t="n">
        <v>1760</v>
      </c>
      <c r="V20" t="n">
        <v>1180</v>
      </c>
      <c r="W20" t="n">
        <v>1076</v>
      </c>
      <c r="X20" t="n">
        <v>1057</v>
      </c>
      <c r="Y20" t="n">
        <v>1950</v>
      </c>
    </row>
    <row r="21">
      <c r="A21" t="n">
        <v>20</v>
      </c>
      <c r="B21" t="n">
        <v>0</v>
      </c>
      <c r="C21" t="n">
        <v>1337</v>
      </c>
      <c r="D21" t="n">
        <v>1467</v>
      </c>
      <c r="E21" t="n">
        <v>1762</v>
      </c>
      <c r="F21" t="n">
        <v>2119</v>
      </c>
      <c r="G21" t="n">
        <v>2540</v>
      </c>
      <c r="H21" t="n">
        <v>3042</v>
      </c>
      <c r="I21" t="n">
        <v>3634</v>
      </c>
      <c r="J21" t="n">
        <v>1200</v>
      </c>
      <c r="K21" t="n">
        <v>1467</v>
      </c>
      <c r="L21" t="n">
        <v>1200</v>
      </c>
      <c r="M21" t="n">
        <v>1000</v>
      </c>
      <c r="N21" t="n">
        <v>1100</v>
      </c>
      <c r="O21" t="n">
        <v>1200</v>
      </c>
      <c r="P21" t="n">
        <v>1300</v>
      </c>
      <c r="Q21" t="n">
        <v>1400</v>
      </c>
      <c r="R21" t="n">
        <v>1500</v>
      </c>
      <c r="S21" t="n">
        <v>1600</v>
      </c>
      <c r="T21" t="n">
        <v>1700</v>
      </c>
      <c r="U21" t="n">
        <v>1800</v>
      </c>
      <c r="V21" t="n">
        <v>1190</v>
      </c>
      <c r="W21" t="n">
        <v>1080</v>
      </c>
      <c r="X21" t="n">
        <v>1060</v>
      </c>
      <c r="Y21" t="n">
        <v>2000</v>
      </c>
    </row>
    <row r="22">
      <c r="A22" t="n">
        <v>21</v>
      </c>
      <c r="B22" t="n">
        <v>0</v>
      </c>
      <c r="C22" t="n">
        <v>1358</v>
      </c>
      <c r="D22" t="n">
        <v>1497</v>
      </c>
      <c r="E22" t="n">
        <v>1815</v>
      </c>
      <c r="F22" t="n">
        <v>2204</v>
      </c>
      <c r="G22" t="n">
        <v>2667</v>
      </c>
      <c r="H22" t="n">
        <v>3225</v>
      </c>
      <c r="I22" t="n">
        <v>3889</v>
      </c>
      <c r="J22" t="n">
        <v>1210</v>
      </c>
      <c r="K22" t="n">
        <v>1497</v>
      </c>
      <c r="L22" t="n">
        <v>1210</v>
      </c>
      <c r="M22" t="n">
        <v>1000</v>
      </c>
      <c r="N22" t="n">
        <v>1105</v>
      </c>
      <c r="O22" t="n">
        <v>1210</v>
      </c>
      <c r="P22" t="n">
        <v>1315</v>
      </c>
      <c r="Q22" t="n">
        <v>1420</v>
      </c>
      <c r="R22" t="n">
        <v>1525</v>
      </c>
      <c r="S22" t="n">
        <v>1630</v>
      </c>
      <c r="T22" t="n">
        <v>1735</v>
      </c>
      <c r="U22" t="n">
        <v>1840</v>
      </c>
      <c r="V22" t="n">
        <v>1200</v>
      </c>
      <c r="W22" t="n">
        <v>1084</v>
      </c>
      <c r="X22" t="n">
        <v>1063</v>
      </c>
      <c r="Y22" t="n">
        <v>2050</v>
      </c>
    </row>
    <row r="23">
      <c r="A23" t="n">
        <v>22</v>
      </c>
      <c r="B23" t="n">
        <v>0</v>
      </c>
      <c r="C23" t="n">
        <v>1379</v>
      </c>
      <c r="D23" t="n">
        <v>1527</v>
      </c>
      <c r="E23" t="n">
        <v>1870</v>
      </c>
      <c r="F23" t="n">
        <v>2293</v>
      </c>
      <c r="G23" t="n">
        <v>2801</v>
      </c>
      <c r="H23" t="n">
        <v>3419</v>
      </c>
      <c r="I23" t="n">
        <v>4162</v>
      </c>
      <c r="J23" t="n">
        <v>1220</v>
      </c>
      <c r="K23" t="n">
        <v>1527</v>
      </c>
      <c r="L23" t="n">
        <v>1220</v>
      </c>
      <c r="M23" t="n">
        <v>1000</v>
      </c>
      <c r="N23" t="n">
        <v>1110</v>
      </c>
      <c r="O23" t="n">
        <v>1220</v>
      </c>
      <c r="P23" t="n">
        <v>1330</v>
      </c>
      <c r="Q23" t="n">
        <v>1440</v>
      </c>
      <c r="R23" t="n">
        <v>1550</v>
      </c>
      <c r="S23" t="n">
        <v>1660</v>
      </c>
      <c r="T23" t="n">
        <v>1770</v>
      </c>
      <c r="U23" t="n">
        <v>1880</v>
      </c>
      <c r="V23" t="n">
        <v>1211</v>
      </c>
      <c r="W23" t="n">
        <v>1088</v>
      </c>
      <c r="X23" t="n">
        <v>1066</v>
      </c>
      <c r="Y23" t="n">
        <v>2100</v>
      </c>
    </row>
    <row r="24">
      <c r="A24" t="n">
        <v>23</v>
      </c>
      <c r="B24" t="n">
        <v>0</v>
      </c>
      <c r="C24" t="n">
        <v>1400</v>
      </c>
      <c r="D24" t="n">
        <v>1558</v>
      </c>
      <c r="E24" t="n">
        <v>1927</v>
      </c>
      <c r="F24" t="n">
        <v>2385</v>
      </c>
      <c r="G24" t="n">
        <v>2942</v>
      </c>
      <c r="H24" t="n">
        <v>3625</v>
      </c>
      <c r="I24" t="n">
        <v>4454</v>
      </c>
      <c r="J24" t="n">
        <v>1230</v>
      </c>
      <c r="K24" t="n">
        <v>1558</v>
      </c>
      <c r="L24" t="n">
        <v>1230</v>
      </c>
      <c r="M24" t="n">
        <v>1000</v>
      </c>
      <c r="N24" t="n">
        <v>1115</v>
      </c>
      <c r="O24" t="n">
        <v>1230</v>
      </c>
      <c r="P24" t="n">
        <v>1345</v>
      </c>
      <c r="Q24" t="n">
        <v>1460</v>
      </c>
      <c r="R24" t="n">
        <v>1575</v>
      </c>
      <c r="S24" t="n">
        <v>1690</v>
      </c>
      <c r="T24" t="n">
        <v>1805</v>
      </c>
      <c r="U24" t="n">
        <v>1920</v>
      </c>
      <c r="V24" t="n">
        <v>1222</v>
      </c>
      <c r="W24" t="n">
        <v>1092</v>
      </c>
      <c r="X24" t="n">
        <v>1069</v>
      </c>
      <c r="Y24" t="n">
        <v>2150</v>
      </c>
    </row>
    <row r="25">
      <c r="A25" t="n">
        <v>24</v>
      </c>
      <c r="B25" t="n">
        <v>0</v>
      </c>
      <c r="C25" t="n">
        <v>1421</v>
      </c>
      <c r="D25" t="n">
        <v>1590</v>
      </c>
      <c r="E25" t="n">
        <v>1985</v>
      </c>
      <c r="F25" t="n">
        <v>2481</v>
      </c>
      <c r="G25" t="n">
        <v>3090</v>
      </c>
      <c r="H25" t="n">
        <v>3843</v>
      </c>
      <c r="I25" t="n">
        <v>4766</v>
      </c>
      <c r="J25" t="n">
        <v>1240</v>
      </c>
      <c r="K25" t="n">
        <v>1590</v>
      </c>
      <c r="L25" t="n">
        <v>1240</v>
      </c>
      <c r="M25" t="n">
        <v>1000</v>
      </c>
      <c r="N25" t="n">
        <v>1120</v>
      </c>
      <c r="O25" t="n">
        <v>1240</v>
      </c>
      <c r="P25" t="n">
        <v>1360</v>
      </c>
      <c r="Q25" t="n">
        <v>1480</v>
      </c>
      <c r="R25" t="n">
        <v>1600</v>
      </c>
      <c r="S25" t="n">
        <v>1720</v>
      </c>
      <c r="T25" t="n">
        <v>1840</v>
      </c>
      <c r="U25" t="n">
        <v>1960</v>
      </c>
      <c r="V25" t="n">
        <v>1233</v>
      </c>
      <c r="W25" t="n">
        <v>1096</v>
      </c>
      <c r="X25" t="n">
        <v>1072</v>
      </c>
      <c r="Y25" t="n">
        <v>2200</v>
      </c>
    </row>
    <row r="26">
      <c r="A26" t="n">
        <v>25</v>
      </c>
      <c r="B26" t="n">
        <v>0</v>
      </c>
      <c r="C26" t="n">
        <v>1443</v>
      </c>
      <c r="D26" t="n">
        <v>1622</v>
      </c>
      <c r="E26" t="n">
        <v>2045</v>
      </c>
      <c r="F26" t="n">
        <v>2581</v>
      </c>
      <c r="G26" t="n">
        <v>3245</v>
      </c>
      <c r="H26" t="n">
        <v>4074</v>
      </c>
      <c r="I26" t="n">
        <v>5100</v>
      </c>
      <c r="J26" t="n">
        <v>1250</v>
      </c>
      <c r="K26" t="n">
        <v>1622</v>
      </c>
      <c r="L26" t="n">
        <v>1250</v>
      </c>
      <c r="M26" t="n">
        <v>1000</v>
      </c>
      <c r="N26" t="n">
        <v>1125</v>
      </c>
      <c r="O26" t="n">
        <v>1250</v>
      </c>
      <c r="P26" t="n">
        <v>1375</v>
      </c>
      <c r="Q26" t="n">
        <v>1500</v>
      </c>
      <c r="R26" t="n">
        <v>1625</v>
      </c>
      <c r="S26" t="n">
        <v>1750</v>
      </c>
      <c r="T26" t="n">
        <v>1875</v>
      </c>
      <c r="U26" t="n">
        <v>2000</v>
      </c>
      <c r="V26" t="n">
        <v>1244</v>
      </c>
      <c r="W26" t="n">
        <v>1100</v>
      </c>
      <c r="X26" t="n">
        <v>1075</v>
      </c>
      <c r="Y26" t="n">
        <v>2250</v>
      </c>
    </row>
    <row r="27">
      <c r="A27" t="n">
        <v>26</v>
      </c>
      <c r="B27" t="n">
        <v>0</v>
      </c>
      <c r="C27" t="n">
        <v>1465</v>
      </c>
      <c r="D27" t="n">
        <v>1655</v>
      </c>
      <c r="E27" t="n">
        <v>2107</v>
      </c>
      <c r="F27" t="n">
        <v>2685</v>
      </c>
      <c r="G27" t="n">
        <v>3408</v>
      </c>
      <c r="H27" t="n">
        <v>4319</v>
      </c>
      <c r="I27" t="n">
        <v>5457</v>
      </c>
      <c r="J27" t="n">
        <v>1260</v>
      </c>
      <c r="K27" t="n">
        <v>1655</v>
      </c>
      <c r="L27" t="n">
        <v>1260</v>
      </c>
      <c r="M27" t="n">
        <v>1000</v>
      </c>
      <c r="N27" t="n">
        <v>1130</v>
      </c>
      <c r="O27" t="n">
        <v>1260</v>
      </c>
      <c r="P27" t="n">
        <v>1390</v>
      </c>
      <c r="Q27" t="n">
        <v>1520</v>
      </c>
      <c r="R27" t="n">
        <v>1650</v>
      </c>
      <c r="S27" t="n">
        <v>1780</v>
      </c>
      <c r="T27" t="n">
        <v>1910</v>
      </c>
      <c r="U27" t="n">
        <v>2040</v>
      </c>
      <c r="V27" t="n">
        <v>1255</v>
      </c>
      <c r="W27" t="n">
        <v>1104</v>
      </c>
      <c r="X27" t="n">
        <v>1078</v>
      </c>
      <c r="Y27" t="n">
        <v>2300</v>
      </c>
    </row>
    <row r="28">
      <c r="A28" t="n">
        <v>27</v>
      </c>
      <c r="B28" t="n">
        <v>0</v>
      </c>
      <c r="C28" t="n">
        <v>1487</v>
      </c>
      <c r="D28" t="n">
        <v>1689</v>
      </c>
      <c r="E28" t="n">
        <v>2171</v>
      </c>
      <c r="F28" t="n">
        <v>2793</v>
      </c>
      <c r="G28" t="n">
        <v>3579</v>
      </c>
      <c r="H28" t="n">
        <v>4579</v>
      </c>
      <c r="I28" t="n">
        <v>5839</v>
      </c>
      <c r="J28" t="n">
        <v>1270</v>
      </c>
      <c r="K28" t="n">
        <v>1689</v>
      </c>
      <c r="L28" t="n">
        <v>1270</v>
      </c>
      <c r="M28" t="n">
        <v>1000</v>
      </c>
      <c r="N28" t="n">
        <v>1135</v>
      </c>
      <c r="O28" t="n">
        <v>1270</v>
      </c>
      <c r="P28" t="n">
        <v>1405</v>
      </c>
      <c r="Q28" t="n">
        <v>1540</v>
      </c>
      <c r="R28" t="n">
        <v>1675</v>
      </c>
      <c r="S28" t="n">
        <v>1810</v>
      </c>
      <c r="T28" t="n">
        <v>1945</v>
      </c>
      <c r="U28" t="n">
        <v>2080</v>
      </c>
      <c r="V28" t="n">
        <v>1266</v>
      </c>
      <c r="W28" t="n">
        <v>1108</v>
      </c>
      <c r="X28" t="n">
        <v>1081</v>
      </c>
      <c r="Y28" t="n">
        <v>2350</v>
      </c>
    </row>
    <row r="29">
      <c r="A29" t="n">
        <v>28</v>
      </c>
      <c r="B29" t="n">
        <v>0</v>
      </c>
      <c r="C29" t="n">
        <v>1510</v>
      </c>
      <c r="D29" t="n">
        <v>1723</v>
      </c>
      <c r="E29" t="n">
        <v>2237</v>
      </c>
      <c r="F29" t="n">
        <v>2905</v>
      </c>
      <c r="G29" t="n">
        <v>3758</v>
      </c>
      <c r="H29" t="n">
        <v>4854</v>
      </c>
      <c r="I29" t="n">
        <v>6248</v>
      </c>
      <c r="J29" t="n">
        <v>1280</v>
      </c>
      <c r="K29" t="n">
        <v>1723</v>
      </c>
      <c r="L29" t="n">
        <v>1280</v>
      </c>
      <c r="M29" t="n">
        <v>1000</v>
      </c>
      <c r="N29" t="n">
        <v>1140</v>
      </c>
      <c r="O29" t="n">
        <v>1280</v>
      </c>
      <c r="P29" t="n">
        <v>1420</v>
      </c>
      <c r="Q29" t="n">
        <v>1560</v>
      </c>
      <c r="R29" t="n">
        <v>1700</v>
      </c>
      <c r="S29" t="n">
        <v>1840</v>
      </c>
      <c r="T29" t="n">
        <v>1980</v>
      </c>
      <c r="U29" t="n">
        <v>2120</v>
      </c>
      <c r="V29" t="n">
        <v>1277</v>
      </c>
      <c r="W29" t="n">
        <v>1112</v>
      </c>
      <c r="X29" t="n">
        <v>1084</v>
      </c>
      <c r="Y29" t="n">
        <v>2400</v>
      </c>
    </row>
    <row r="30">
      <c r="A30" t="n">
        <v>29</v>
      </c>
      <c r="B30" t="n">
        <v>0</v>
      </c>
      <c r="C30" t="n">
        <v>1533</v>
      </c>
      <c r="D30" t="n">
        <v>1758</v>
      </c>
      <c r="E30" t="n">
        <v>2305</v>
      </c>
      <c r="F30" t="n">
        <v>3022</v>
      </c>
      <c r="G30" t="n">
        <v>3946</v>
      </c>
      <c r="H30" t="n">
        <v>5146</v>
      </c>
      <c r="I30" t="n">
        <v>6686</v>
      </c>
      <c r="J30" t="n">
        <v>1290</v>
      </c>
      <c r="K30" t="n">
        <v>1758</v>
      </c>
      <c r="L30" t="n">
        <v>1290</v>
      </c>
      <c r="M30" t="n">
        <v>1000</v>
      </c>
      <c r="N30" t="n">
        <v>1145</v>
      </c>
      <c r="O30" t="n">
        <v>1290</v>
      </c>
      <c r="P30" t="n">
        <v>1435</v>
      </c>
      <c r="Q30" t="n">
        <v>1580</v>
      </c>
      <c r="R30" t="n">
        <v>1725</v>
      </c>
      <c r="S30" t="n">
        <v>1870</v>
      </c>
      <c r="T30" t="n">
        <v>2015</v>
      </c>
      <c r="U30" t="n">
        <v>2160</v>
      </c>
      <c r="V30" t="n">
        <v>1288</v>
      </c>
      <c r="W30" t="n">
        <v>1116</v>
      </c>
      <c r="X30" t="n">
        <v>1087</v>
      </c>
      <c r="Y30" t="n">
        <v>2450</v>
      </c>
    </row>
    <row r="31">
      <c r="A31" t="n">
        <v>30</v>
      </c>
      <c r="B31" t="n">
        <v>0</v>
      </c>
      <c r="C31" t="n">
        <v>1556</v>
      </c>
      <c r="D31" t="n">
        <v>1794</v>
      </c>
      <c r="E31" t="n">
        <v>2375</v>
      </c>
      <c r="F31" t="n">
        <v>3143</v>
      </c>
      <c r="G31" t="n">
        <v>4144</v>
      </c>
      <c r="H31" t="n">
        <v>5455</v>
      </c>
      <c r="I31" t="n">
        <v>7155</v>
      </c>
      <c r="J31" t="n">
        <v>1300</v>
      </c>
      <c r="K31" t="n">
        <v>1794</v>
      </c>
      <c r="L31" t="n">
        <v>1300</v>
      </c>
      <c r="M31" t="n">
        <v>1000</v>
      </c>
      <c r="N31" t="n">
        <v>1150</v>
      </c>
      <c r="O31" t="n">
        <v>1300</v>
      </c>
      <c r="P31" t="n">
        <v>1450</v>
      </c>
      <c r="Q31" t="n">
        <v>1600</v>
      </c>
      <c r="R31" t="n">
        <v>1750</v>
      </c>
      <c r="S31" t="n">
        <v>1900</v>
      </c>
      <c r="T31" t="n">
        <v>2050</v>
      </c>
      <c r="U31" t="n">
        <v>2200</v>
      </c>
      <c r="V31" t="n">
        <v>1299</v>
      </c>
      <c r="W31" t="n">
        <v>1120</v>
      </c>
      <c r="X31" t="n">
        <v>1090</v>
      </c>
      <c r="Y31" t="n">
        <v>2500</v>
      </c>
    </row>
    <row r="32">
      <c r="A32" t="n">
        <v>31</v>
      </c>
      <c r="B32" t="n">
        <v>0</v>
      </c>
      <c r="C32" t="n">
        <v>1580</v>
      </c>
      <c r="D32" t="n">
        <v>1830</v>
      </c>
      <c r="E32" t="n">
        <v>2447</v>
      </c>
      <c r="F32" t="n">
        <v>3269</v>
      </c>
      <c r="G32" t="n">
        <v>4352</v>
      </c>
      <c r="H32" t="n">
        <v>5783</v>
      </c>
      <c r="I32" t="n">
        <v>7656</v>
      </c>
      <c r="J32" t="n">
        <v>1310</v>
      </c>
      <c r="K32" t="n">
        <v>1830</v>
      </c>
      <c r="L32" t="n">
        <v>1310</v>
      </c>
      <c r="M32" t="n">
        <v>1000</v>
      </c>
      <c r="N32" t="n">
        <v>1155</v>
      </c>
      <c r="O32" t="n">
        <v>1310</v>
      </c>
      <c r="P32" t="n">
        <v>1465</v>
      </c>
      <c r="Q32" t="n">
        <v>1620</v>
      </c>
      <c r="R32" t="n">
        <v>1775</v>
      </c>
      <c r="S32" t="n">
        <v>1930</v>
      </c>
      <c r="T32" t="n">
        <v>2085</v>
      </c>
      <c r="U32" t="n">
        <v>2240</v>
      </c>
      <c r="V32" t="n">
        <v>1310</v>
      </c>
      <c r="W32" t="n">
        <v>1124</v>
      </c>
      <c r="X32" t="n">
        <v>1093</v>
      </c>
      <c r="Y32" t="n">
        <v>2550</v>
      </c>
    </row>
    <row r="33">
      <c r="A33" t="n">
        <v>32</v>
      </c>
      <c r="B33" t="n">
        <v>0</v>
      </c>
      <c r="C33" t="n">
        <v>1604</v>
      </c>
      <c r="D33" t="n">
        <v>1867</v>
      </c>
      <c r="E33" t="n">
        <v>2521</v>
      </c>
      <c r="F33" t="n">
        <v>3400</v>
      </c>
      <c r="G33" t="n">
        <v>4570</v>
      </c>
      <c r="H33" t="n">
        <v>6130</v>
      </c>
      <c r="I33" t="n">
        <v>8192</v>
      </c>
      <c r="J33" t="n">
        <v>1320</v>
      </c>
      <c r="K33" t="n">
        <v>1867</v>
      </c>
      <c r="L33" t="n">
        <v>1320</v>
      </c>
      <c r="M33" t="n">
        <v>1000</v>
      </c>
      <c r="N33" t="n">
        <v>1160</v>
      </c>
      <c r="O33" t="n">
        <v>1320</v>
      </c>
      <c r="P33" t="n">
        <v>1480</v>
      </c>
      <c r="Q33" t="n">
        <v>1640</v>
      </c>
      <c r="R33" t="n">
        <v>1800</v>
      </c>
      <c r="S33" t="n">
        <v>1960</v>
      </c>
      <c r="T33" t="n">
        <v>2120</v>
      </c>
      <c r="U33" t="n">
        <v>2280</v>
      </c>
      <c r="V33" t="n">
        <v>1321</v>
      </c>
      <c r="W33" t="n">
        <v>1128</v>
      </c>
      <c r="X33" t="n">
        <v>1096</v>
      </c>
      <c r="Y33" t="n">
        <v>2600</v>
      </c>
    </row>
    <row r="34">
      <c r="A34" t="n">
        <v>33</v>
      </c>
      <c r="B34" t="n">
        <v>0</v>
      </c>
      <c r="C34" t="n">
        <v>1629</v>
      </c>
      <c r="D34" t="n">
        <v>1905</v>
      </c>
      <c r="E34" t="n">
        <v>2597</v>
      </c>
      <c r="F34" t="n">
        <v>3536</v>
      </c>
      <c r="G34" t="n">
        <v>4799</v>
      </c>
      <c r="H34" t="n">
        <v>6498</v>
      </c>
      <c r="I34" t="n">
        <v>8766</v>
      </c>
      <c r="J34" t="n">
        <v>1330</v>
      </c>
      <c r="K34" t="n">
        <v>1905</v>
      </c>
      <c r="L34" t="n">
        <v>1330</v>
      </c>
      <c r="M34" t="n">
        <v>1000</v>
      </c>
      <c r="N34" t="n">
        <v>1165</v>
      </c>
      <c r="O34" t="n">
        <v>1330</v>
      </c>
      <c r="P34" t="n">
        <v>1495</v>
      </c>
      <c r="Q34" t="n">
        <v>1660</v>
      </c>
      <c r="R34" t="n">
        <v>1825</v>
      </c>
      <c r="S34" t="n">
        <v>1990</v>
      </c>
      <c r="T34" t="n">
        <v>2155</v>
      </c>
      <c r="U34" t="n">
        <v>2320</v>
      </c>
      <c r="V34" t="n">
        <v>1332</v>
      </c>
      <c r="W34" t="n">
        <v>1132</v>
      </c>
      <c r="X34" t="n">
        <v>1099</v>
      </c>
      <c r="Y34" t="n">
        <v>2650</v>
      </c>
    </row>
    <row r="35">
      <c r="A35" t="n">
        <v>34</v>
      </c>
      <c r="B35" t="n">
        <v>0</v>
      </c>
      <c r="C35" t="n">
        <v>1654</v>
      </c>
      <c r="D35" t="n">
        <v>1944</v>
      </c>
      <c r="E35" t="n">
        <v>2675</v>
      </c>
      <c r="F35" t="n">
        <v>3678</v>
      </c>
      <c r="G35" t="n">
        <v>5039</v>
      </c>
      <c r="H35" t="n">
        <v>6888</v>
      </c>
      <c r="I35" t="n">
        <v>9380</v>
      </c>
      <c r="J35" t="n">
        <v>1340</v>
      </c>
      <c r="K35" t="n">
        <v>1944</v>
      </c>
      <c r="L35" t="n">
        <v>1340</v>
      </c>
      <c r="M35" t="n">
        <v>1000</v>
      </c>
      <c r="N35" t="n">
        <v>1170</v>
      </c>
      <c r="O35" t="n">
        <v>1340</v>
      </c>
      <c r="P35" t="n">
        <v>1510</v>
      </c>
      <c r="Q35" t="n">
        <v>1680</v>
      </c>
      <c r="R35" t="n">
        <v>1850</v>
      </c>
      <c r="S35" t="n">
        <v>2020</v>
      </c>
      <c r="T35" t="n">
        <v>2190</v>
      </c>
      <c r="U35" t="n">
        <v>2360</v>
      </c>
      <c r="V35" t="n">
        <v>1343</v>
      </c>
      <c r="W35" t="n">
        <v>1136</v>
      </c>
      <c r="X35" t="n">
        <v>1102</v>
      </c>
      <c r="Y35" t="n">
        <v>2700</v>
      </c>
    </row>
    <row r="36">
      <c r="A36" t="n">
        <v>35</v>
      </c>
      <c r="B36" t="n">
        <v>0</v>
      </c>
      <c r="C36" t="n">
        <v>1679</v>
      </c>
      <c r="D36" t="n">
        <v>1983</v>
      </c>
      <c r="E36" t="n">
        <v>2756</v>
      </c>
      <c r="F36" t="n">
        <v>3826</v>
      </c>
      <c r="G36" t="n">
        <v>5291</v>
      </c>
      <c r="H36" t="n">
        <v>7302</v>
      </c>
      <c r="I36" t="n">
        <v>10037</v>
      </c>
      <c r="J36" t="n">
        <v>1350</v>
      </c>
      <c r="K36" t="n">
        <v>1983</v>
      </c>
      <c r="L36" t="n">
        <v>1350</v>
      </c>
      <c r="M36" t="n">
        <v>1000</v>
      </c>
      <c r="N36" t="n">
        <v>1175</v>
      </c>
      <c r="O36" t="n">
        <v>1350</v>
      </c>
      <c r="P36" t="n">
        <v>1525</v>
      </c>
      <c r="Q36" t="n">
        <v>1700</v>
      </c>
      <c r="R36" t="n">
        <v>1875</v>
      </c>
      <c r="S36" t="n">
        <v>2050</v>
      </c>
      <c r="T36" t="n">
        <v>2225</v>
      </c>
      <c r="U36" t="n">
        <v>2400</v>
      </c>
      <c r="V36" t="n">
        <v>1354</v>
      </c>
      <c r="W36" t="n">
        <v>1140</v>
      </c>
      <c r="X36" t="n">
        <v>1105</v>
      </c>
      <c r="Y36" t="n">
        <v>2750</v>
      </c>
    </row>
    <row r="37">
      <c r="A37" t="n">
        <v>36</v>
      </c>
      <c r="B37" t="n">
        <v>0</v>
      </c>
      <c r="C37" t="n">
        <v>1705</v>
      </c>
      <c r="D37" t="n">
        <v>2023</v>
      </c>
      <c r="E37" t="n">
        <v>2839</v>
      </c>
      <c r="F37" t="n">
        <v>3980</v>
      </c>
      <c r="G37" t="n">
        <v>5556</v>
      </c>
      <c r="H37" t="n">
        <v>7741</v>
      </c>
      <c r="I37" t="n">
        <v>10740</v>
      </c>
      <c r="J37" t="n">
        <v>1360</v>
      </c>
      <c r="K37" t="n">
        <v>2023</v>
      </c>
      <c r="L37" t="n">
        <v>1360</v>
      </c>
      <c r="M37" t="n">
        <v>1000</v>
      </c>
      <c r="N37" t="n">
        <v>1180</v>
      </c>
      <c r="O37" t="n">
        <v>1360</v>
      </c>
      <c r="P37" t="n">
        <v>1540</v>
      </c>
      <c r="Q37" t="n">
        <v>1720</v>
      </c>
      <c r="R37" t="n">
        <v>1900</v>
      </c>
      <c r="S37" t="n">
        <v>2080</v>
      </c>
      <c r="T37" t="n">
        <v>2260</v>
      </c>
      <c r="U37" t="n">
        <v>2440</v>
      </c>
      <c r="V37" t="n">
        <v>1365</v>
      </c>
      <c r="W37" t="n">
        <v>1144</v>
      </c>
      <c r="X37" t="n">
        <v>1108</v>
      </c>
      <c r="Y37" t="n">
        <v>2800</v>
      </c>
    </row>
    <row r="38">
      <c r="A38" t="n">
        <v>37</v>
      </c>
      <c r="B38" t="n">
        <v>0</v>
      </c>
      <c r="C38" t="n">
        <v>1731</v>
      </c>
      <c r="D38" t="n">
        <v>2064</v>
      </c>
      <c r="E38" t="n">
        <v>2925</v>
      </c>
      <c r="F38" t="n">
        <v>4140</v>
      </c>
      <c r="G38" t="n">
        <v>5834</v>
      </c>
      <c r="H38" t="n">
        <v>8206</v>
      </c>
      <c r="I38" t="n">
        <v>11492</v>
      </c>
      <c r="J38" t="n">
        <v>1370</v>
      </c>
      <c r="K38" t="n">
        <v>2064</v>
      </c>
      <c r="L38" t="n">
        <v>1370</v>
      </c>
      <c r="M38" t="n">
        <v>1000</v>
      </c>
      <c r="N38" t="n">
        <v>1185</v>
      </c>
      <c r="O38" t="n">
        <v>1370</v>
      </c>
      <c r="P38" t="n">
        <v>1555</v>
      </c>
      <c r="Q38" t="n">
        <v>1740</v>
      </c>
      <c r="R38" t="n">
        <v>1925</v>
      </c>
      <c r="S38" t="n">
        <v>2110</v>
      </c>
      <c r="T38" t="n">
        <v>2295</v>
      </c>
      <c r="U38" t="n">
        <v>2480</v>
      </c>
      <c r="V38" t="n">
        <v>1376</v>
      </c>
      <c r="W38" t="n">
        <v>1148</v>
      </c>
      <c r="X38" t="n">
        <v>1111</v>
      </c>
      <c r="Y38" t="n">
        <v>2850</v>
      </c>
    </row>
    <row r="39">
      <c r="A39" t="n">
        <v>38</v>
      </c>
      <c r="B39" t="n">
        <v>0</v>
      </c>
      <c r="C39" t="n">
        <v>1757</v>
      </c>
      <c r="D39" t="n">
        <v>2106</v>
      </c>
      <c r="E39" t="n">
        <v>3013</v>
      </c>
      <c r="F39" t="n">
        <v>4306</v>
      </c>
      <c r="G39" t="n">
        <v>6126</v>
      </c>
      <c r="H39" t="n">
        <v>8699</v>
      </c>
      <c r="I39" t="n">
        <v>12297</v>
      </c>
      <c r="J39" t="n">
        <v>1380</v>
      </c>
      <c r="K39" t="n">
        <v>2106</v>
      </c>
      <c r="L39" t="n">
        <v>1380</v>
      </c>
      <c r="M39" t="n">
        <v>1000</v>
      </c>
      <c r="N39" t="n">
        <v>1190</v>
      </c>
      <c r="O39" t="n">
        <v>1380</v>
      </c>
      <c r="P39" t="n">
        <v>1570</v>
      </c>
      <c r="Q39" t="n">
        <v>1760</v>
      </c>
      <c r="R39" t="n">
        <v>1950</v>
      </c>
      <c r="S39" t="n">
        <v>2140</v>
      </c>
      <c r="T39" t="n">
        <v>2330</v>
      </c>
      <c r="U39" t="n">
        <v>2520</v>
      </c>
      <c r="V39" t="n">
        <v>1387</v>
      </c>
      <c r="W39" t="n">
        <v>1152</v>
      </c>
      <c r="X39" t="n">
        <v>1114</v>
      </c>
      <c r="Y39" t="n">
        <v>2900</v>
      </c>
    </row>
    <row r="40">
      <c r="A40" t="n">
        <v>39</v>
      </c>
      <c r="B40" t="n">
        <v>0</v>
      </c>
      <c r="C40" t="n">
        <v>1784</v>
      </c>
      <c r="D40" t="n">
        <v>2149</v>
      </c>
      <c r="E40" t="n">
        <v>3104</v>
      </c>
      <c r="F40" t="n">
        <v>4479</v>
      </c>
      <c r="G40" t="n">
        <v>6433</v>
      </c>
      <c r="H40" t="n">
        <v>9221</v>
      </c>
      <c r="I40" t="n">
        <v>13158</v>
      </c>
      <c r="J40" t="n">
        <v>1390</v>
      </c>
      <c r="K40" t="n">
        <v>2149</v>
      </c>
      <c r="L40" t="n">
        <v>1390</v>
      </c>
      <c r="M40" t="n">
        <v>1000</v>
      </c>
      <c r="N40" t="n">
        <v>1195</v>
      </c>
      <c r="O40" t="n">
        <v>1390</v>
      </c>
      <c r="P40" t="n">
        <v>1585</v>
      </c>
      <c r="Q40" t="n">
        <v>1780</v>
      </c>
      <c r="R40" t="n">
        <v>1975</v>
      </c>
      <c r="S40" t="n">
        <v>2170</v>
      </c>
      <c r="T40" t="n">
        <v>2365</v>
      </c>
      <c r="U40" t="n">
        <v>2560</v>
      </c>
      <c r="V40" t="n">
        <v>1398</v>
      </c>
      <c r="W40" t="n">
        <v>1156</v>
      </c>
      <c r="X40" t="n">
        <v>1117</v>
      </c>
      <c r="Y40" t="n">
        <v>2950</v>
      </c>
    </row>
    <row r="41">
      <c r="A41" t="n">
        <v>40</v>
      </c>
      <c r="B41" t="n">
        <v>0</v>
      </c>
      <c r="C41" t="n">
        <v>1811</v>
      </c>
      <c r="D41" t="n">
        <v>2192</v>
      </c>
      <c r="E41" t="n">
        <v>3198</v>
      </c>
      <c r="F41" t="n">
        <v>4659</v>
      </c>
      <c r="G41" t="n">
        <v>6755</v>
      </c>
      <c r="H41" t="n">
        <v>9775</v>
      </c>
      <c r="I41" t="n">
        <v>14080</v>
      </c>
      <c r="J41" t="n">
        <v>1400</v>
      </c>
      <c r="K41" t="n">
        <v>2192</v>
      </c>
      <c r="L41" t="n">
        <v>1400</v>
      </c>
      <c r="M41" t="n">
        <v>1000</v>
      </c>
      <c r="N41" t="n">
        <v>1200</v>
      </c>
      <c r="O41" t="n">
        <v>1400</v>
      </c>
      <c r="P41" t="n">
        <v>1600</v>
      </c>
      <c r="Q41" t="n">
        <v>1800</v>
      </c>
      <c r="R41" t="n">
        <v>2000</v>
      </c>
      <c r="S41" t="n">
        <v>2200</v>
      </c>
      <c r="T41" t="n">
        <v>2400</v>
      </c>
      <c r="U41" t="n">
        <v>2600</v>
      </c>
      <c r="V41" t="n">
        <v>1410</v>
      </c>
      <c r="W41" t="n">
        <v>1160</v>
      </c>
      <c r="X41" t="n">
        <v>1120</v>
      </c>
      <c r="Y41" t="n">
        <v>3000</v>
      </c>
    </row>
    <row r="42">
      <c r="A42" t="n">
        <v>41</v>
      </c>
      <c r="B42" t="n">
        <v>0</v>
      </c>
      <c r="C42" t="n">
        <v>1839</v>
      </c>
      <c r="D42" t="n">
        <v>2236</v>
      </c>
      <c r="E42" t="n">
        <v>3294</v>
      </c>
      <c r="F42" t="n">
        <v>4846</v>
      </c>
      <c r="G42" t="n">
        <v>7093</v>
      </c>
      <c r="H42" t="n">
        <v>10362</v>
      </c>
      <c r="I42" t="n">
        <v>15066</v>
      </c>
      <c r="J42" t="n">
        <v>1410</v>
      </c>
      <c r="K42" t="n">
        <v>2236</v>
      </c>
      <c r="L42" t="n">
        <v>1410</v>
      </c>
      <c r="M42" t="n">
        <v>1000</v>
      </c>
      <c r="N42" t="n">
        <v>1205</v>
      </c>
      <c r="O42" t="n">
        <v>1410</v>
      </c>
      <c r="P42" t="n">
        <v>1615</v>
      </c>
      <c r="Q42" t="n">
        <v>1820</v>
      </c>
      <c r="R42" t="n">
        <v>2025</v>
      </c>
      <c r="S42" t="n">
        <v>2230</v>
      </c>
      <c r="T42" t="n">
        <v>2435</v>
      </c>
      <c r="U42" t="n">
        <v>2640</v>
      </c>
      <c r="V42" t="n">
        <v>1422</v>
      </c>
      <c r="W42" t="n">
        <v>1164</v>
      </c>
      <c r="X42" t="n">
        <v>1123</v>
      </c>
      <c r="Y42" t="n">
        <v>3050</v>
      </c>
    </row>
    <row r="43">
      <c r="A43" t="n">
        <v>42</v>
      </c>
      <c r="B43" t="n">
        <v>0</v>
      </c>
      <c r="C43" t="n">
        <v>1867</v>
      </c>
      <c r="D43" t="n">
        <v>2281</v>
      </c>
      <c r="E43" t="n">
        <v>3393</v>
      </c>
      <c r="F43" t="n">
        <v>5040</v>
      </c>
      <c r="G43" t="n">
        <v>7448</v>
      </c>
      <c r="H43" t="n">
        <v>10984</v>
      </c>
      <c r="I43" t="n">
        <v>16121</v>
      </c>
      <c r="J43" t="n">
        <v>1420</v>
      </c>
      <c r="K43" t="n">
        <v>2281</v>
      </c>
      <c r="L43" t="n">
        <v>1420</v>
      </c>
      <c r="M43" t="n">
        <v>1000</v>
      </c>
      <c r="N43" t="n">
        <v>1210</v>
      </c>
      <c r="O43" t="n">
        <v>1420</v>
      </c>
      <c r="P43" t="n">
        <v>1630</v>
      </c>
      <c r="Q43" t="n">
        <v>1840</v>
      </c>
      <c r="R43" t="n">
        <v>2050</v>
      </c>
      <c r="S43" t="n">
        <v>2260</v>
      </c>
      <c r="T43" t="n">
        <v>2470</v>
      </c>
      <c r="U43" t="n">
        <v>2680</v>
      </c>
      <c r="V43" t="n">
        <v>1434</v>
      </c>
      <c r="W43" t="n">
        <v>1168</v>
      </c>
      <c r="X43" t="n">
        <v>1126</v>
      </c>
      <c r="Y43" t="n">
        <v>3100</v>
      </c>
    </row>
    <row r="44">
      <c r="A44" t="n">
        <v>43</v>
      </c>
      <c r="B44" t="n">
        <v>0</v>
      </c>
      <c r="C44" t="n">
        <v>1896</v>
      </c>
      <c r="D44" t="n">
        <v>2327</v>
      </c>
      <c r="E44" t="n">
        <v>3495</v>
      </c>
      <c r="F44" t="n">
        <v>5242</v>
      </c>
      <c r="G44" t="n">
        <v>7821</v>
      </c>
      <c r="H44" t="n">
        <v>11644</v>
      </c>
      <c r="I44" t="n">
        <v>17250</v>
      </c>
      <c r="J44" t="n">
        <v>1430</v>
      </c>
      <c r="K44" t="n">
        <v>2327</v>
      </c>
      <c r="L44" t="n">
        <v>1430</v>
      </c>
      <c r="M44" t="n">
        <v>1000</v>
      </c>
      <c r="N44" t="n">
        <v>1215</v>
      </c>
      <c r="O44" t="n">
        <v>1430</v>
      </c>
      <c r="P44" t="n">
        <v>1645</v>
      </c>
      <c r="Q44" t="n">
        <v>1860</v>
      </c>
      <c r="R44" t="n">
        <v>2075</v>
      </c>
      <c r="S44" t="n">
        <v>2290</v>
      </c>
      <c r="T44" t="n">
        <v>2505</v>
      </c>
      <c r="U44" t="n">
        <v>2720</v>
      </c>
      <c r="V44" t="n">
        <v>1446</v>
      </c>
      <c r="W44" t="n">
        <v>1172</v>
      </c>
      <c r="X44" t="n">
        <v>1129</v>
      </c>
      <c r="Y44" t="n">
        <v>3150</v>
      </c>
    </row>
    <row r="45">
      <c r="A45" t="n">
        <v>44</v>
      </c>
      <c r="B45" t="n">
        <v>0</v>
      </c>
      <c r="C45" t="n">
        <v>1925</v>
      </c>
      <c r="D45" t="n">
        <v>2374</v>
      </c>
      <c r="E45" t="n">
        <v>3600</v>
      </c>
      <c r="F45" t="n">
        <v>5452</v>
      </c>
      <c r="G45" t="n">
        <v>8213</v>
      </c>
      <c r="H45" t="n">
        <v>12343</v>
      </c>
      <c r="I45" t="n">
        <v>18458</v>
      </c>
      <c r="J45" t="n">
        <v>1440</v>
      </c>
      <c r="K45" t="n">
        <v>2374</v>
      </c>
      <c r="L45" t="n">
        <v>1440</v>
      </c>
      <c r="M45" t="n">
        <v>1000</v>
      </c>
      <c r="N45" t="n">
        <v>1220</v>
      </c>
      <c r="O45" t="n">
        <v>1440</v>
      </c>
      <c r="P45" t="n">
        <v>1660</v>
      </c>
      <c r="Q45" t="n">
        <v>1880</v>
      </c>
      <c r="R45" t="n">
        <v>2100</v>
      </c>
      <c r="S45" t="n">
        <v>2320</v>
      </c>
      <c r="T45" t="n">
        <v>2540</v>
      </c>
      <c r="U45" t="n">
        <v>2760</v>
      </c>
      <c r="V45" t="n">
        <v>1458</v>
      </c>
      <c r="W45" t="n">
        <v>1176</v>
      </c>
      <c r="X45" t="n">
        <v>1132</v>
      </c>
      <c r="Y45" t="n">
        <v>3200</v>
      </c>
    </row>
    <row r="46">
      <c r="A46" t="n">
        <v>45</v>
      </c>
      <c r="B46" t="n">
        <v>0</v>
      </c>
      <c r="C46" t="n">
        <v>1954</v>
      </c>
      <c r="D46" t="n">
        <v>2422</v>
      </c>
      <c r="E46" t="n">
        <v>3708</v>
      </c>
      <c r="F46" t="n">
        <v>5671</v>
      </c>
      <c r="G46" t="n">
        <v>8624</v>
      </c>
      <c r="H46" t="n">
        <v>13084</v>
      </c>
      <c r="I46" t="n">
        <v>19751</v>
      </c>
      <c r="J46" t="n">
        <v>1450</v>
      </c>
      <c r="K46" t="n">
        <v>2422</v>
      </c>
      <c r="L46" t="n">
        <v>1450</v>
      </c>
      <c r="M46" t="n">
        <v>1000</v>
      </c>
      <c r="N46" t="n">
        <v>1225</v>
      </c>
      <c r="O46" t="n">
        <v>1450</v>
      </c>
      <c r="P46" t="n">
        <v>1675</v>
      </c>
      <c r="Q46" t="n">
        <v>1900</v>
      </c>
      <c r="R46" t="n">
        <v>2125</v>
      </c>
      <c r="S46" t="n">
        <v>2350</v>
      </c>
      <c r="T46" t="n">
        <v>2575</v>
      </c>
      <c r="U46" t="n">
        <v>2800</v>
      </c>
      <c r="V46" t="n">
        <v>1470</v>
      </c>
      <c r="W46" t="n">
        <v>1180</v>
      </c>
      <c r="X46" t="n">
        <v>1135</v>
      </c>
      <c r="Y46" t="n">
        <v>3250</v>
      </c>
    </row>
    <row r="47">
      <c r="A47" t="n">
        <v>46</v>
      </c>
      <c r="B47" t="n">
        <v>0</v>
      </c>
      <c r="C47" t="n">
        <v>1984</v>
      </c>
      <c r="D47" t="n">
        <v>2471</v>
      </c>
      <c r="E47" t="n">
        <v>3820</v>
      </c>
      <c r="F47" t="n">
        <v>5898</v>
      </c>
      <c r="G47" t="n">
        <v>9056</v>
      </c>
      <c r="H47" t="n">
        <v>13870</v>
      </c>
      <c r="I47" t="n">
        <v>21134</v>
      </c>
      <c r="J47" t="n">
        <v>1460</v>
      </c>
      <c r="K47" t="n">
        <v>2471</v>
      </c>
      <c r="L47" t="n">
        <v>1460</v>
      </c>
      <c r="M47" t="n">
        <v>1000</v>
      </c>
      <c r="N47" t="n">
        <v>1230</v>
      </c>
      <c r="O47" t="n">
        <v>1460</v>
      </c>
      <c r="P47" t="n">
        <v>1690</v>
      </c>
      <c r="Q47" t="n">
        <v>1920</v>
      </c>
      <c r="R47" t="n">
        <v>2150</v>
      </c>
      <c r="S47" t="n">
        <v>2380</v>
      </c>
      <c r="T47" t="n">
        <v>2610</v>
      </c>
      <c r="U47" t="n">
        <v>2840</v>
      </c>
      <c r="V47" t="n">
        <v>1482</v>
      </c>
      <c r="W47" t="n">
        <v>1184</v>
      </c>
      <c r="X47" t="n">
        <v>1138</v>
      </c>
      <c r="Y47" t="n">
        <v>3300</v>
      </c>
    </row>
    <row r="48">
      <c r="A48" t="n">
        <v>47</v>
      </c>
      <c r="B48" t="n">
        <v>0</v>
      </c>
      <c r="C48" t="n">
        <v>2014</v>
      </c>
      <c r="D48" t="n">
        <v>2521</v>
      </c>
      <c r="E48" t="n">
        <v>3935</v>
      </c>
      <c r="F48" t="n">
        <v>6134</v>
      </c>
      <c r="G48" t="n">
        <v>9509</v>
      </c>
      <c r="H48" t="n">
        <v>14703</v>
      </c>
      <c r="I48" t="n">
        <v>22614</v>
      </c>
      <c r="J48" t="n">
        <v>1470</v>
      </c>
      <c r="K48" t="n">
        <v>2521</v>
      </c>
      <c r="L48" t="n">
        <v>1470</v>
      </c>
      <c r="M48" t="n">
        <v>1000</v>
      </c>
      <c r="N48" t="n">
        <v>1235</v>
      </c>
      <c r="O48" t="n">
        <v>1470</v>
      </c>
      <c r="P48" t="n">
        <v>1705</v>
      </c>
      <c r="Q48" t="n">
        <v>1940</v>
      </c>
      <c r="R48" t="n">
        <v>2175</v>
      </c>
      <c r="S48" t="n">
        <v>2410</v>
      </c>
      <c r="T48" t="n">
        <v>2645</v>
      </c>
      <c r="U48" t="n">
        <v>2880</v>
      </c>
      <c r="V48" t="n">
        <v>1494</v>
      </c>
      <c r="W48" t="n">
        <v>1188</v>
      </c>
      <c r="X48" t="n">
        <v>1141</v>
      </c>
      <c r="Y48" t="n">
        <v>3350</v>
      </c>
    </row>
    <row r="49">
      <c r="A49" t="n">
        <v>48</v>
      </c>
      <c r="B49" t="n">
        <v>0</v>
      </c>
      <c r="C49" t="n">
        <v>2045</v>
      </c>
      <c r="D49" t="n">
        <v>2572</v>
      </c>
      <c r="E49" t="n">
        <v>4054</v>
      </c>
      <c r="F49" t="n">
        <v>6380</v>
      </c>
      <c r="G49" t="n">
        <v>9985</v>
      </c>
      <c r="H49" t="n">
        <v>15586</v>
      </c>
      <c r="I49" t="n">
        <v>24197</v>
      </c>
      <c r="J49" t="n">
        <v>1480</v>
      </c>
      <c r="K49" t="n">
        <v>2572</v>
      </c>
      <c r="L49" t="n">
        <v>1480</v>
      </c>
      <c r="M49" t="n">
        <v>1000</v>
      </c>
      <c r="N49" t="n">
        <v>1240</v>
      </c>
      <c r="O49" t="n">
        <v>1480</v>
      </c>
      <c r="P49" t="n">
        <v>1720</v>
      </c>
      <c r="Q49" t="n">
        <v>1960</v>
      </c>
      <c r="R49" t="n">
        <v>2200</v>
      </c>
      <c r="S49" t="n">
        <v>2440</v>
      </c>
      <c r="T49" t="n">
        <v>2680</v>
      </c>
      <c r="U49" t="n">
        <v>2920</v>
      </c>
      <c r="V49" t="n">
        <v>1506</v>
      </c>
      <c r="W49" t="n">
        <v>1192</v>
      </c>
      <c r="X49" t="n">
        <v>1144</v>
      </c>
      <c r="Y49" t="n">
        <v>3400</v>
      </c>
    </row>
    <row r="50">
      <c r="A50" t="n">
        <v>49</v>
      </c>
      <c r="B50" t="n">
        <v>0</v>
      </c>
      <c r="C50" t="n">
        <v>2076</v>
      </c>
      <c r="D50" t="n">
        <v>2624</v>
      </c>
      <c r="E50" t="n">
        <v>4176</v>
      </c>
      <c r="F50" t="n">
        <v>6636</v>
      </c>
      <c r="G50" t="n">
        <v>10485</v>
      </c>
      <c r="H50" t="n">
        <v>16522</v>
      </c>
      <c r="I50" t="n">
        <v>25891</v>
      </c>
      <c r="J50" t="n">
        <v>1490</v>
      </c>
      <c r="K50" t="n">
        <v>2624</v>
      </c>
      <c r="L50" t="n">
        <v>1490</v>
      </c>
      <c r="M50" t="n">
        <v>1000</v>
      </c>
      <c r="N50" t="n">
        <v>1245</v>
      </c>
      <c r="O50" t="n">
        <v>1490</v>
      </c>
      <c r="P50" t="n">
        <v>1735</v>
      </c>
      <c r="Q50" t="n">
        <v>1980</v>
      </c>
      <c r="R50" t="n">
        <v>2225</v>
      </c>
      <c r="S50" t="n">
        <v>2470</v>
      </c>
      <c r="T50" t="n">
        <v>2715</v>
      </c>
      <c r="U50" t="n">
        <v>2960</v>
      </c>
      <c r="V50" t="n">
        <v>1518</v>
      </c>
      <c r="W50" t="n">
        <v>1196</v>
      </c>
      <c r="X50" t="n">
        <v>1147</v>
      </c>
      <c r="Y50" t="n">
        <v>3450</v>
      </c>
    </row>
    <row r="51">
      <c r="A51" t="n">
        <v>50</v>
      </c>
      <c r="B51" t="n">
        <v>0</v>
      </c>
      <c r="C51" t="n">
        <v>2108</v>
      </c>
      <c r="D51" t="n">
        <v>2677</v>
      </c>
      <c r="E51" t="n">
        <v>4302</v>
      </c>
      <c r="F51" t="n">
        <v>6902</v>
      </c>
      <c r="G51" t="n">
        <v>11010</v>
      </c>
      <c r="H51" t="n">
        <v>17514</v>
      </c>
      <c r="I51" t="n">
        <v>27704</v>
      </c>
      <c r="J51" t="n">
        <v>1500</v>
      </c>
      <c r="K51" t="n">
        <v>2677</v>
      </c>
      <c r="L51" t="n">
        <v>1500</v>
      </c>
      <c r="M51" t="n">
        <v>1000</v>
      </c>
      <c r="N51" t="n">
        <v>1250</v>
      </c>
      <c r="O51" t="n">
        <v>1500</v>
      </c>
      <c r="P51" t="n">
        <v>1750</v>
      </c>
      <c r="Q51" t="n">
        <v>2000</v>
      </c>
      <c r="R51" t="n">
        <v>2250</v>
      </c>
      <c r="S51" t="n">
        <v>2500</v>
      </c>
      <c r="T51" t="n">
        <v>2750</v>
      </c>
      <c r="U51" t="n">
        <v>3000</v>
      </c>
      <c r="V51" t="n">
        <v>1530</v>
      </c>
      <c r="W51" t="n">
        <v>1200</v>
      </c>
      <c r="X51" t="n">
        <v>1150</v>
      </c>
      <c r="Y51" t="n">
        <v>3500</v>
      </c>
    </row>
    <row r="52">
      <c r="A52" t="n">
        <v>51</v>
      </c>
      <c r="B52" t="n">
        <v>0</v>
      </c>
      <c r="C52" t="n">
        <v>2140</v>
      </c>
      <c r="D52" t="n">
        <v>2731</v>
      </c>
      <c r="E52" t="n">
        <v>4432</v>
      </c>
      <c r="F52" t="n">
        <v>7179</v>
      </c>
      <c r="G52" t="n">
        <v>11561</v>
      </c>
      <c r="H52" t="n">
        <v>18565</v>
      </c>
      <c r="I52" t="n">
        <v>29644</v>
      </c>
      <c r="J52" t="n">
        <v>1510</v>
      </c>
      <c r="K52" t="n">
        <v>2731</v>
      </c>
      <c r="L52" t="n">
        <v>1510</v>
      </c>
      <c r="M52" t="n">
        <v>1000</v>
      </c>
      <c r="N52" t="n">
        <v>1255</v>
      </c>
      <c r="O52" t="n">
        <v>1510</v>
      </c>
      <c r="P52" t="n">
        <v>1765</v>
      </c>
      <c r="Q52" t="n">
        <v>2020</v>
      </c>
      <c r="R52" t="n">
        <v>2275</v>
      </c>
      <c r="S52" t="n">
        <v>2530</v>
      </c>
      <c r="T52" t="n">
        <v>2785</v>
      </c>
      <c r="U52" t="n">
        <v>3040</v>
      </c>
      <c r="V52" t="n">
        <v>1542</v>
      </c>
      <c r="W52" t="n">
        <v>1204</v>
      </c>
      <c r="X52" t="n">
        <v>1153</v>
      </c>
      <c r="Y52" t="n">
        <v>3550</v>
      </c>
    </row>
    <row r="53">
      <c r="A53" t="n">
        <v>52</v>
      </c>
      <c r="B53" t="n">
        <v>0</v>
      </c>
      <c r="C53" t="n">
        <v>2173</v>
      </c>
      <c r="D53" t="n">
        <v>2786</v>
      </c>
      <c r="E53" t="n">
        <v>4565</v>
      </c>
      <c r="F53" t="n">
        <v>7467</v>
      </c>
      <c r="G53" t="n">
        <v>12140</v>
      </c>
      <c r="H53" t="n">
        <v>19679</v>
      </c>
      <c r="I53" t="n">
        <v>31720</v>
      </c>
      <c r="J53" t="n">
        <v>1520</v>
      </c>
      <c r="K53" t="n">
        <v>2786</v>
      </c>
      <c r="L53" t="n">
        <v>1520</v>
      </c>
      <c r="M53" t="n">
        <v>1000</v>
      </c>
      <c r="N53" t="n">
        <v>1260</v>
      </c>
      <c r="O53" t="n">
        <v>1520</v>
      </c>
      <c r="P53" t="n">
        <v>1780</v>
      </c>
      <c r="Q53" t="n">
        <v>2040</v>
      </c>
      <c r="R53" t="n">
        <v>2300</v>
      </c>
      <c r="S53" t="n">
        <v>2560</v>
      </c>
      <c r="T53" t="n">
        <v>2820</v>
      </c>
      <c r="U53" t="n">
        <v>3080</v>
      </c>
      <c r="V53" t="n">
        <v>1554</v>
      </c>
      <c r="W53" t="n">
        <v>1208</v>
      </c>
      <c r="X53" t="n">
        <v>1156</v>
      </c>
      <c r="Y53" t="n">
        <v>3600</v>
      </c>
    </row>
    <row r="54">
      <c r="A54" t="n">
        <v>53</v>
      </c>
      <c r="B54" t="n">
        <v>0</v>
      </c>
      <c r="C54" t="n">
        <v>2206</v>
      </c>
      <c r="D54" t="n">
        <v>2842</v>
      </c>
      <c r="E54" t="n">
        <v>4702</v>
      </c>
      <c r="F54" t="n">
        <v>7766</v>
      </c>
      <c r="G54" t="n">
        <v>12747</v>
      </c>
      <c r="H54" t="n">
        <v>20860</v>
      </c>
      <c r="I54" t="n">
        <v>33941</v>
      </c>
      <c r="J54" t="n">
        <v>1530</v>
      </c>
      <c r="K54" t="n">
        <v>2842</v>
      </c>
      <c r="L54" t="n">
        <v>1530</v>
      </c>
      <c r="M54" t="n">
        <v>1000</v>
      </c>
      <c r="N54" t="n">
        <v>1265</v>
      </c>
      <c r="O54" t="n">
        <v>1530</v>
      </c>
      <c r="P54" t="n">
        <v>1795</v>
      </c>
      <c r="Q54" t="n">
        <v>2060</v>
      </c>
      <c r="R54" t="n">
        <v>2325</v>
      </c>
      <c r="S54" t="n">
        <v>2590</v>
      </c>
      <c r="T54" t="n">
        <v>2855</v>
      </c>
      <c r="U54" t="n">
        <v>3120</v>
      </c>
      <c r="V54" t="n">
        <v>1566</v>
      </c>
      <c r="W54" t="n">
        <v>1212</v>
      </c>
      <c r="X54" t="n">
        <v>1159</v>
      </c>
      <c r="Y54" t="n">
        <v>3650</v>
      </c>
    </row>
    <row r="55">
      <c r="A55" t="n">
        <v>54</v>
      </c>
      <c r="B55" t="n">
        <v>0</v>
      </c>
      <c r="C55" t="n">
        <v>2240</v>
      </c>
      <c r="D55" t="n">
        <v>2899</v>
      </c>
      <c r="E55" t="n">
        <v>4844</v>
      </c>
      <c r="F55" t="n">
        <v>8077</v>
      </c>
      <c r="G55" t="n">
        <v>13385</v>
      </c>
      <c r="H55" t="n">
        <v>22112</v>
      </c>
      <c r="I55" t="n">
        <v>36317</v>
      </c>
      <c r="J55" t="n">
        <v>1540</v>
      </c>
      <c r="K55" t="n">
        <v>2899</v>
      </c>
      <c r="L55" t="n">
        <v>1540</v>
      </c>
      <c r="M55" t="n">
        <v>1000</v>
      </c>
      <c r="N55" t="n">
        <v>1270</v>
      </c>
      <c r="O55" t="n">
        <v>1540</v>
      </c>
      <c r="P55" t="n">
        <v>1810</v>
      </c>
      <c r="Q55" t="n">
        <v>2080</v>
      </c>
      <c r="R55" t="n">
        <v>2350</v>
      </c>
      <c r="S55" t="n">
        <v>2620</v>
      </c>
      <c r="T55" t="n">
        <v>2890</v>
      </c>
      <c r="U55" t="n">
        <v>3160</v>
      </c>
      <c r="V55" t="n">
        <v>1578</v>
      </c>
      <c r="W55" t="n">
        <v>1216</v>
      </c>
      <c r="X55" t="n">
        <v>1162</v>
      </c>
      <c r="Y55" t="n">
        <v>3700</v>
      </c>
    </row>
    <row r="56">
      <c r="A56" t="n">
        <v>55</v>
      </c>
      <c r="B56" t="n">
        <v>0</v>
      </c>
      <c r="C56" t="n">
        <v>2274</v>
      </c>
      <c r="D56" t="n">
        <v>2957</v>
      </c>
      <c r="E56" t="n">
        <v>4990</v>
      </c>
      <c r="F56" t="n">
        <v>8401</v>
      </c>
      <c r="G56" t="n">
        <v>14055</v>
      </c>
      <c r="H56" t="n">
        <v>23439</v>
      </c>
      <c r="I56" t="n">
        <v>38860</v>
      </c>
      <c r="J56" t="n">
        <v>1550</v>
      </c>
      <c r="K56" t="n">
        <v>2957</v>
      </c>
      <c r="L56" t="n">
        <v>1550</v>
      </c>
      <c r="M56" t="n">
        <v>1000</v>
      </c>
      <c r="N56" t="n">
        <v>1275</v>
      </c>
      <c r="O56" t="n">
        <v>1550</v>
      </c>
      <c r="P56" t="n">
        <v>1825</v>
      </c>
      <c r="Q56" t="n">
        <v>2100</v>
      </c>
      <c r="R56" t="n">
        <v>2375</v>
      </c>
      <c r="S56" t="n">
        <v>2650</v>
      </c>
      <c r="T56" t="n">
        <v>2925</v>
      </c>
      <c r="U56" t="n">
        <v>3200</v>
      </c>
      <c r="V56" t="n">
        <v>1590</v>
      </c>
      <c r="W56" t="n">
        <v>1220</v>
      </c>
      <c r="X56" t="n">
        <v>1165</v>
      </c>
      <c r="Y56" t="n">
        <v>3750</v>
      </c>
    </row>
    <row r="57">
      <c r="A57" t="n">
        <v>56</v>
      </c>
      <c r="B57" t="n">
        <v>0</v>
      </c>
      <c r="C57" t="n">
        <v>2309</v>
      </c>
      <c r="D57" t="n">
        <v>3017</v>
      </c>
      <c r="E57" t="n">
        <v>5140</v>
      </c>
      <c r="F57" t="n">
        <v>8738</v>
      </c>
      <c r="G57" t="n">
        <v>14758</v>
      </c>
      <c r="H57" t="n">
        <v>24846</v>
      </c>
      <c r="I57" t="n">
        <v>41581</v>
      </c>
      <c r="J57" t="n">
        <v>1560</v>
      </c>
      <c r="K57" t="n">
        <v>3017</v>
      </c>
      <c r="L57" t="n">
        <v>1560</v>
      </c>
      <c r="M57" t="n">
        <v>1000</v>
      </c>
      <c r="N57" t="n">
        <v>1280</v>
      </c>
      <c r="O57" t="n">
        <v>1560</v>
      </c>
      <c r="P57" t="n">
        <v>1840</v>
      </c>
      <c r="Q57" t="n">
        <v>2120</v>
      </c>
      <c r="R57" t="n">
        <v>2400</v>
      </c>
      <c r="S57" t="n">
        <v>2680</v>
      </c>
      <c r="T57" t="n">
        <v>2960</v>
      </c>
      <c r="U57" t="n">
        <v>3240</v>
      </c>
      <c r="V57" t="n">
        <v>1602</v>
      </c>
      <c r="W57" t="n">
        <v>1224</v>
      </c>
      <c r="X57" t="n">
        <v>1168</v>
      </c>
      <c r="Y57" t="n">
        <v>3800</v>
      </c>
    </row>
    <row r="58">
      <c r="A58" t="n">
        <v>57</v>
      </c>
      <c r="B58" t="n">
        <v>0</v>
      </c>
      <c r="C58" t="n">
        <v>2344</v>
      </c>
      <c r="D58" t="n">
        <v>3078</v>
      </c>
      <c r="E58" t="n">
        <v>5295</v>
      </c>
      <c r="F58" t="n">
        <v>9088</v>
      </c>
      <c r="G58" t="n">
        <v>15496</v>
      </c>
      <c r="H58" t="n">
        <v>26337</v>
      </c>
      <c r="I58" t="n">
        <v>44492</v>
      </c>
      <c r="J58" t="n">
        <v>1570</v>
      </c>
      <c r="K58" t="n">
        <v>3078</v>
      </c>
      <c r="L58" t="n">
        <v>1570</v>
      </c>
      <c r="M58" t="n">
        <v>1000</v>
      </c>
      <c r="N58" t="n">
        <v>1285</v>
      </c>
      <c r="O58" t="n">
        <v>1570</v>
      </c>
      <c r="P58" t="n">
        <v>1855</v>
      </c>
      <c r="Q58" t="n">
        <v>2140</v>
      </c>
      <c r="R58" t="n">
        <v>2425</v>
      </c>
      <c r="S58" t="n">
        <v>2710</v>
      </c>
      <c r="T58" t="n">
        <v>2995</v>
      </c>
      <c r="U58" t="n">
        <v>3280</v>
      </c>
      <c r="V58" t="n">
        <v>1615</v>
      </c>
      <c r="W58" t="n">
        <v>1228</v>
      </c>
      <c r="X58" t="n">
        <v>1171</v>
      </c>
      <c r="Y58" t="n">
        <v>3850</v>
      </c>
    </row>
    <row r="59">
      <c r="A59" t="n">
        <v>58</v>
      </c>
      <c r="B59" t="n">
        <v>0</v>
      </c>
      <c r="C59" t="n">
        <v>2380</v>
      </c>
      <c r="D59" t="n">
        <v>3140</v>
      </c>
      <c r="E59" t="n">
        <v>5454</v>
      </c>
      <c r="F59" t="n">
        <v>9452</v>
      </c>
      <c r="G59" t="n">
        <v>16271</v>
      </c>
      <c r="H59" t="n">
        <v>27918</v>
      </c>
      <c r="I59" t="n">
        <v>47607</v>
      </c>
      <c r="J59" t="n">
        <v>1580</v>
      </c>
      <c r="K59" t="n">
        <v>3140</v>
      </c>
      <c r="L59" t="n">
        <v>1580</v>
      </c>
      <c r="M59" t="n">
        <v>1000</v>
      </c>
      <c r="N59" t="n">
        <v>1290</v>
      </c>
      <c r="O59" t="n">
        <v>1580</v>
      </c>
      <c r="P59" t="n">
        <v>1870</v>
      </c>
      <c r="Q59" t="n">
        <v>2160</v>
      </c>
      <c r="R59" t="n">
        <v>2450</v>
      </c>
      <c r="S59" t="n">
        <v>2740</v>
      </c>
      <c r="T59" t="n">
        <v>3030</v>
      </c>
      <c r="U59" t="n">
        <v>3320</v>
      </c>
      <c r="V59" t="n">
        <v>1628</v>
      </c>
      <c r="W59" t="n">
        <v>1232</v>
      </c>
      <c r="X59" t="n">
        <v>1174</v>
      </c>
      <c r="Y59" t="n">
        <v>3900</v>
      </c>
    </row>
    <row r="60">
      <c r="A60" t="n">
        <v>59</v>
      </c>
      <c r="B60" t="n">
        <v>0</v>
      </c>
      <c r="C60" t="n">
        <v>2416</v>
      </c>
      <c r="D60" t="n">
        <v>3203</v>
      </c>
      <c r="E60" t="n">
        <v>5618</v>
      </c>
      <c r="F60" t="n">
        <v>9831</v>
      </c>
      <c r="G60" t="n">
        <v>17085</v>
      </c>
      <c r="H60" t="n">
        <v>29594</v>
      </c>
      <c r="I60" t="n">
        <v>50940</v>
      </c>
      <c r="J60" t="n">
        <v>1590</v>
      </c>
      <c r="K60" t="n">
        <v>3203</v>
      </c>
      <c r="L60" t="n">
        <v>1590</v>
      </c>
      <c r="M60" t="n">
        <v>1000</v>
      </c>
      <c r="N60" t="n">
        <v>1295</v>
      </c>
      <c r="O60" t="n">
        <v>1590</v>
      </c>
      <c r="P60" t="n">
        <v>1885</v>
      </c>
      <c r="Q60" t="n">
        <v>2180</v>
      </c>
      <c r="R60" t="n">
        <v>2475</v>
      </c>
      <c r="S60" t="n">
        <v>2770</v>
      </c>
      <c r="T60" t="n">
        <v>3065</v>
      </c>
      <c r="U60" t="n">
        <v>3360</v>
      </c>
      <c r="V60" t="n">
        <v>1641</v>
      </c>
      <c r="W60" t="n">
        <v>1236</v>
      </c>
      <c r="X60" t="n">
        <v>1177</v>
      </c>
      <c r="Y60" t="n">
        <v>3950</v>
      </c>
    </row>
    <row r="61">
      <c r="A61" t="n">
        <v>60</v>
      </c>
      <c r="B61" t="n">
        <v>0</v>
      </c>
      <c r="C61" t="n">
        <v>2453</v>
      </c>
      <c r="D61" t="n">
        <v>3268</v>
      </c>
      <c r="E61" t="n">
        <v>5787</v>
      </c>
      <c r="F61" t="n">
        <v>10225</v>
      </c>
      <c r="G61" t="n">
        <v>17940</v>
      </c>
      <c r="H61" t="n">
        <v>31370</v>
      </c>
      <c r="I61" t="n">
        <v>54506</v>
      </c>
      <c r="J61" t="n">
        <v>1600</v>
      </c>
      <c r="K61" t="n">
        <v>3268</v>
      </c>
      <c r="L61" t="n">
        <v>1600</v>
      </c>
      <c r="M61" t="n">
        <v>1000</v>
      </c>
      <c r="N61" t="n">
        <v>1300</v>
      </c>
      <c r="O61" t="n">
        <v>1600</v>
      </c>
      <c r="P61" t="n">
        <v>1900</v>
      </c>
      <c r="Q61" t="n">
        <v>2200</v>
      </c>
      <c r="R61" t="n">
        <v>2500</v>
      </c>
      <c r="S61" t="n">
        <v>2800</v>
      </c>
      <c r="T61" t="n">
        <v>3100</v>
      </c>
      <c r="U61" t="n">
        <v>3400</v>
      </c>
      <c r="V61" t="n">
        <v>1654</v>
      </c>
      <c r="W61" t="n">
        <v>1240</v>
      </c>
      <c r="X61" t="n">
        <v>1180</v>
      </c>
      <c r="Y61" t="n">
        <v>4000</v>
      </c>
    </row>
    <row r="62">
      <c r="A62" t="n">
        <v>61</v>
      </c>
      <c r="B62" t="n">
        <v>0</v>
      </c>
      <c r="C62" t="n">
        <v>2490</v>
      </c>
      <c r="D62" t="n">
        <v>3334</v>
      </c>
      <c r="E62" t="n">
        <v>5961</v>
      </c>
      <c r="F62" t="n">
        <v>10634</v>
      </c>
      <c r="G62" t="n">
        <v>18837</v>
      </c>
      <c r="H62" t="n">
        <v>33253</v>
      </c>
      <c r="I62" t="n">
        <v>58322</v>
      </c>
      <c r="J62" t="n">
        <v>1610</v>
      </c>
      <c r="K62" t="n">
        <v>3334</v>
      </c>
      <c r="L62" t="n">
        <v>1610</v>
      </c>
      <c r="M62" t="n">
        <v>1000</v>
      </c>
      <c r="N62" t="n">
        <v>1305</v>
      </c>
      <c r="O62" t="n">
        <v>1610</v>
      </c>
      <c r="P62" t="n">
        <v>1915</v>
      </c>
      <c r="Q62" t="n">
        <v>2220</v>
      </c>
      <c r="R62" t="n">
        <v>2525</v>
      </c>
      <c r="S62" t="n">
        <v>2830</v>
      </c>
      <c r="T62" t="n">
        <v>3135</v>
      </c>
      <c r="U62" t="n">
        <v>3440</v>
      </c>
      <c r="V62" t="n">
        <v>1667</v>
      </c>
      <c r="W62" t="n">
        <v>1244</v>
      </c>
      <c r="X62" t="n">
        <v>1183</v>
      </c>
      <c r="Y62" t="n">
        <v>4050</v>
      </c>
    </row>
    <row r="63">
      <c r="A63" t="n">
        <v>62</v>
      </c>
      <c r="B63" t="n">
        <v>0</v>
      </c>
      <c r="C63" t="n">
        <v>2528</v>
      </c>
      <c r="D63" t="n">
        <v>3401</v>
      </c>
      <c r="E63" t="n">
        <v>6140</v>
      </c>
      <c r="F63" t="n">
        <v>11060</v>
      </c>
      <c r="G63" t="n">
        <v>19779</v>
      </c>
      <c r="H63" t="n">
        <v>35249</v>
      </c>
      <c r="I63" t="n">
        <v>62405</v>
      </c>
      <c r="J63" t="n">
        <v>1620</v>
      </c>
      <c r="K63" t="n">
        <v>3401</v>
      </c>
      <c r="L63" t="n">
        <v>1620</v>
      </c>
      <c r="M63" t="n">
        <v>1000</v>
      </c>
      <c r="N63" t="n">
        <v>1310</v>
      </c>
      <c r="O63" t="n">
        <v>1620</v>
      </c>
      <c r="P63" t="n">
        <v>1930</v>
      </c>
      <c r="Q63" t="n">
        <v>2240</v>
      </c>
      <c r="R63" t="n">
        <v>2550</v>
      </c>
      <c r="S63" t="n">
        <v>2860</v>
      </c>
      <c r="T63" t="n">
        <v>3170</v>
      </c>
      <c r="U63" t="n">
        <v>3480</v>
      </c>
      <c r="V63" t="n">
        <v>1680</v>
      </c>
      <c r="W63" t="n">
        <v>1248</v>
      </c>
      <c r="X63" t="n">
        <v>1186</v>
      </c>
      <c r="Y63" t="n">
        <v>4100</v>
      </c>
    </row>
    <row r="64">
      <c r="A64" t="n">
        <v>63</v>
      </c>
      <c r="B64" t="n">
        <v>0</v>
      </c>
      <c r="C64" t="n">
        <v>2566</v>
      </c>
      <c r="D64" t="n">
        <v>3470</v>
      </c>
      <c r="E64" t="n">
        <v>6325</v>
      </c>
      <c r="F64" t="n">
        <v>11503</v>
      </c>
      <c r="G64" t="n">
        <v>20768</v>
      </c>
      <c r="H64" t="n">
        <v>37364</v>
      </c>
      <c r="I64" t="n">
        <v>66774</v>
      </c>
      <c r="J64" t="n">
        <v>1630</v>
      </c>
      <c r="K64" t="n">
        <v>3470</v>
      </c>
      <c r="L64" t="n">
        <v>1630</v>
      </c>
      <c r="M64" t="n">
        <v>1000</v>
      </c>
      <c r="N64" t="n">
        <v>1315</v>
      </c>
      <c r="O64" t="n">
        <v>1630</v>
      </c>
      <c r="P64" t="n">
        <v>1945</v>
      </c>
      <c r="Q64" t="n">
        <v>2260</v>
      </c>
      <c r="R64" t="n">
        <v>2575</v>
      </c>
      <c r="S64" t="n">
        <v>2890</v>
      </c>
      <c r="T64" t="n">
        <v>3205</v>
      </c>
      <c r="U64" t="n">
        <v>3520</v>
      </c>
      <c r="V64" t="n">
        <v>1693</v>
      </c>
      <c r="W64" t="n">
        <v>1252</v>
      </c>
      <c r="X64" t="n">
        <v>1189</v>
      </c>
      <c r="Y64" t="n">
        <v>4150</v>
      </c>
    </row>
    <row r="65">
      <c r="A65" t="n">
        <v>64</v>
      </c>
      <c r="B65" t="n">
        <v>0</v>
      </c>
      <c r="C65" t="n">
        <v>2605</v>
      </c>
      <c r="D65" t="n">
        <v>3540</v>
      </c>
      <c r="E65" t="n">
        <v>6515</v>
      </c>
      <c r="F65" t="n">
        <v>11964</v>
      </c>
      <c r="G65" t="n">
        <v>21807</v>
      </c>
      <c r="H65" t="n">
        <v>39606</v>
      </c>
      <c r="I65" t="n">
        <v>71449</v>
      </c>
      <c r="J65" t="n">
        <v>1640</v>
      </c>
      <c r="K65" t="n">
        <v>3540</v>
      </c>
      <c r="L65" t="n">
        <v>1640</v>
      </c>
      <c r="M65" t="n">
        <v>1000</v>
      </c>
      <c r="N65" t="n">
        <v>1320</v>
      </c>
      <c r="O65" t="n">
        <v>1640</v>
      </c>
      <c r="P65" t="n">
        <v>1960</v>
      </c>
      <c r="Q65" t="n">
        <v>2280</v>
      </c>
      <c r="R65" t="n">
        <v>2600</v>
      </c>
      <c r="S65" t="n">
        <v>2920</v>
      </c>
      <c r="T65" t="n">
        <v>3240</v>
      </c>
      <c r="U65" t="n">
        <v>3560</v>
      </c>
      <c r="V65" t="n">
        <v>1706</v>
      </c>
      <c r="W65" t="n">
        <v>1256</v>
      </c>
      <c r="X65" t="n">
        <v>1192</v>
      </c>
      <c r="Y65" t="n">
        <v>4200</v>
      </c>
    </row>
    <row r="66">
      <c r="A66" t="n">
        <v>65</v>
      </c>
      <c r="B66" t="n">
        <v>0</v>
      </c>
      <c r="C66" t="n">
        <v>2645</v>
      </c>
      <c r="D66" t="n">
        <v>3611</v>
      </c>
      <c r="E66" t="n">
        <v>6711</v>
      </c>
      <c r="F66" t="n">
        <v>12443</v>
      </c>
      <c r="G66" t="n">
        <v>22898</v>
      </c>
      <c r="H66" t="n">
        <v>41983</v>
      </c>
      <c r="I66" t="n">
        <v>76451</v>
      </c>
      <c r="J66" t="n">
        <v>1650</v>
      </c>
      <c r="K66" t="n">
        <v>3611</v>
      </c>
      <c r="L66" t="n">
        <v>1650</v>
      </c>
      <c r="M66" t="n">
        <v>1000</v>
      </c>
      <c r="N66" t="n">
        <v>1325</v>
      </c>
      <c r="O66" t="n">
        <v>1650</v>
      </c>
      <c r="P66" t="n">
        <v>1975</v>
      </c>
      <c r="Q66" t="n">
        <v>2300</v>
      </c>
      <c r="R66" t="n">
        <v>2625</v>
      </c>
      <c r="S66" t="n">
        <v>2950</v>
      </c>
      <c r="T66" t="n">
        <v>3275</v>
      </c>
      <c r="U66" t="n">
        <v>3600</v>
      </c>
      <c r="V66" t="n">
        <v>1719</v>
      </c>
      <c r="W66" t="n">
        <v>1260</v>
      </c>
      <c r="X66" t="n">
        <v>1195</v>
      </c>
      <c r="Y66" t="n">
        <v>4250</v>
      </c>
    </row>
    <row r="67">
      <c r="A67" t="n">
        <v>66</v>
      </c>
      <c r="B67" t="n">
        <v>0</v>
      </c>
      <c r="C67" t="n">
        <v>2685</v>
      </c>
      <c r="D67" t="n">
        <v>3684</v>
      </c>
      <c r="E67" t="n">
        <v>6913</v>
      </c>
      <c r="F67" t="n">
        <v>12941</v>
      </c>
      <c r="G67" t="n">
        <v>24043</v>
      </c>
      <c r="H67" t="n">
        <v>44502</v>
      </c>
      <c r="I67" t="n">
        <v>81803</v>
      </c>
      <c r="J67" t="n">
        <v>1660</v>
      </c>
      <c r="K67" t="n">
        <v>3684</v>
      </c>
      <c r="L67" t="n">
        <v>1660</v>
      </c>
      <c r="M67" t="n">
        <v>1000</v>
      </c>
      <c r="N67" t="n">
        <v>1330</v>
      </c>
      <c r="O67" t="n">
        <v>1660</v>
      </c>
      <c r="P67" t="n">
        <v>1990</v>
      </c>
      <c r="Q67" t="n">
        <v>2320</v>
      </c>
      <c r="R67" t="n">
        <v>2650</v>
      </c>
      <c r="S67" t="n">
        <v>2980</v>
      </c>
      <c r="T67" t="n">
        <v>3310</v>
      </c>
      <c r="U67" t="n">
        <v>3640</v>
      </c>
      <c r="V67" t="n">
        <v>1732</v>
      </c>
      <c r="W67" t="n">
        <v>1264</v>
      </c>
      <c r="X67" t="n">
        <v>1198</v>
      </c>
      <c r="Y67" t="n">
        <v>4300</v>
      </c>
    </row>
    <row r="68">
      <c r="A68" t="n">
        <v>67</v>
      </c>
      <c r="B68" t="n">
        <v>0</v>
      </c>
      <c r="C68" t="n">
        <v>2726</v>
      </c>
      <c r="D68" t="n">
        <v>3758</v>
      </c>
      <c r="E68" t="n">
        <v>7121</v>
      </c>
      <c r="F68" t="n">
        <v>13459</v>
      </c>
      <c r="G68" t="n">
        <v>25246</v>
      </c>
      <c r="H68" t="n">
        <v>47173</v>
      </c>
      <c r="I68" t="n">
        <v>87530</v>
      </c>
      <c r="J68" t="n">
        <v>1670</v>
      </c>
      <c r="K68" t="n">
        <v>3758</v>
      </c>
      <c r="L68" t="n">
        <v>1670</v>
      </c>
      <c r="M68" t="n">
        <v>1000</v>
      </c>
      <c r="N68" t="n">
        <v>1335</v>
      </c>
      <c r="O68" t="n">
        <v>1670</v>
      </c>
      <c r="P68" t="n">
        <v>2005</v>
      </c>
      <c r="Q68" t="n">
        <v>2340</v>
      </c>
      <c r="R68" t="n">
        <v>2675</v>
      </c>
      <c r="S68" t="n">
        <v>3010</v>
      </c>
      <c r="T68" t="n">
        <v>3345</v>
      </c>
      <c r="U68" t="n">
        <v>3680</v>
      </c>
      <c r="V68" t="n">
        <v>1745</v>
      </c>
      <c r="W68" t="n">
        <v>1268</v>
      </c>
      <c r="X68" t="n">
        <v>1201</v>
      </c>
      <c r="Y68" t="n">
        <v>4350</v>
      </c>
    </row>
    <row r="69">
      <c r="A69" t="n">
        <v>68</v>
      </c>
      <c r="B69" t="n">
        <v>0</v>
      </c>
      <c r="C69" t="n">
        <v>2767</v>
      </c>
      <c r="D69" t="n">
        <v>3834</v>
      </c>
      <c r="E69" t="n">
        <v>7335</v>
      </c>
      <c r="F69" t="n">
        <v>13998</v>
      </c>
      <c r="G69" t="n">
        <v>26509</v>
      </c>
      <c r="H69" t="n">
        <v>50004</v>
      </c>
      <c r="I69" t="n">
        <v>93658</v>
      </c>
      <c r="J69" t="n">
        <v>1680</v>
      </c>
      <c r="K69" t="n">
        <v>3834</v>
      </c>
      <c r="L69" t="n">
        <v>1680</v>
      </c>
      <c r="M69" t="n">
        <v>1000</v>
      </c>
      <c r="N69" t="n">
        <v>1340</v>
      </c>
      <c r="O69" t="n">
        <v>1680</v>
      </c>
      <c r="P69" t="n">
        <v>2020</v>
      </c>
      <c r="Q69" t="n">
        <v>2360</v>
      </c>
      <c r="R69" t="n">
        <v>2700</v>
      </c>
      <c r="S69" t="n">
        <v>3040</v>
      </c>
      <c r="T69" t="n">
        <v>3380</v>
      </c>
      <c r="U69" t="n">
        <v>3720</v>
      </c>
      <c r="V69" t="n">
        <v>1758</v>
      </c>
      <c r="W69" t="n">
        <v>1272</v>
      </c>
      <c r="X69" t="n">
        <v>1204</v>
      </c>
      <c r="Y69" t="n">
        <v>4400</v>
      </c>
    </row>
    <row r="70">
      <c r="A70" t="n">
        <v>69</v>
      </c>
      <c r="B70" t="n">
        <v>0</v>
      </c>
      <c r="C70" t="n">
        <v>2809</v>
      </c>
      <c r="D70" t="n">
        <v>3911</v>
      </c>
      <c r="E70" t="n">
        <v>7556</v>
      </c>
      <c r="F70" t="n">
        <v>14558</v>
      </c>
      <c r="G70" t="n">
        <v>27835</v>
      </c>
      <c r="H70" t="n">
        <v>53005</v>
      </c>
      <c r="I70" t="n">
        <v>100215</v>
      </c>
      <c r="J70" t="n">
        <v>1690</v>
      </c>
      <c r="K70" t="n">
        <v>3911</v>
      </c>
      <c r="L70" t="n">
        <v>1690</v>
      </c>
      <c r="M70" t="n">
        <v>1000</v>
      </c>
      <c r="N70" t="n">
        <v>1345</v>
      </c>
      <c r="O70" t="n">
        <v>1690</v>
      </c>
      <c r="P70" t="n">
        <v>2035</v>
      </c>
      <c r="Q70" t="n">
        <v>2380</v>
      </c>
      <c r="R70" t="n">
        <v>2725</v>
      </c>
      <c r="S70" t="n">
        <v>3070</v>
      </c>
      <c r="T70" t="n">
        <v>3415</v>
      </c>
      <c r="U70" t="n">
        <v>3760</v>
      </c>
      <c r="V70" t="n">
        <v>1771</v>
      </c>
      <c r="W70" t="n">
        <v>1276</v>
      </c>
      <c r="X70" t="n">
        <v>1207</v>
      </c>
      <c r="Y70" t="n">
        <v>4450</v>
      </c>
    </row>
    <row r="71">
      <c r="A71" t="n">
        <v>70</v>
      </c>
      <c r="B71" t="n">
        <v>0</v>
      </c>
      <c r="C71" t="n">
        <v>2852</v>
      </c>
      <c r="D71" t="n">
        <v>3990</v>
      </c>
      <c r="E71" t="n">
        <v>7783</v>
      </c>
      <c r="F71" t="n">
        <v>15141</v>
      </c>
      <c r="G71" t="n">
        <v>29227</v>
      </c>
      <c r="H71" t="n">
        <v>56186</v>
      </c>
      <c r="I71" t="n">
        <v>107231</v>
      </c>
      <c r="J71" t="n">
        <v>1700</v>
      </c>
      <c r="K71" t="n">
        <v>3990</v>
      </c>
      <c r="L71" t="n">
        <v>1700</v>
      </c>
      <c r="M71" t="n">
        <v>1000</v>
      </c>
      <c r="N71" t="n">
        <v>1350</v>
      </c>
      <c r="O71" t="n">
        <v>1700</v>
      </c>
      <c r="P71" t="n">
        <v>2050</v>
      </c>
      <c r="Q71" t="n">
        <v>2400</v>
      </c>
      <c r="R71" t="n">
        <v>2750</v>
      </c>
      <c r="S71" t="n">
        <v>3100</v>
      </c>
      <c r="T71" t="n">
        <v>3450</v>
      </c>
      <c r="U71" t="n">
        <v>3800</v>
      </c>
      <c r="V71" t="n">
        <v>1784</v>
      </c>
      <c r="W71" t="n">
        <v>1280</v>
      </c>
      <c r="X71" t="n">
        <v>1210</v>
      </c>
      <c r="Y71" t="n">
        <v>4500</v>
      </c>
    </row>
    <row r="72">
      <c r="A72" t="n">
        <v>71</v>
      </c>
      <c r="B72" t="n">
        <v>0</v>
      </c>
      <c r="C72" t="n">
        <v>2895</v>
      </c>
      <c r="D72" t="n">
        <v>4070</v>
      </c>
      <c r="E72" t="n">
        <v>8017</v>
      </c>
      <c r="F72" t="n">
        <v>15747</v>
      </c>
      <c r="G72" t="n">
        <v>30689</v>
      </c>
      <c r="H72" t="n">
        <v>59558</v>
      </c>
      <c r="I72" t="n">
        <v>114738</v>
      </c>
      <c r="J72" t="n">
        <v>1710</v>
      </c>
      <c r="K72" t="n">
        <v>4070</v>
      </c>
      <c r="L72" t="n">
        <v>1710</v>
      </c>
      <c r="M72" t="n">
        <v>1000</v>
      </c>
      <c r="N72" t="n">
        <v>1355</v>
      </c>
      <c r="O72" t="n">
        <v>1710</v>
      </c>
      <c r="P72" t="n">
        <v>2065</v>
      </c>
      <c r="Q72" t="n">
        <v>2420</v>
      </c>
      <c r="R72" t="n">
        <v>2775</v>
      </c>
      <c r="S72" t="n">
        <v>3130</v>
      </c>
      <c r="T72" t="n">
        <v>3485</v>
      </c>
      <c r="U72" t="n">
        <v>3840</v>
      </c>
      <c r="V72" t="n">
        <v>1797</v>
      </c>
      <c r="W72" t="n">
        <v>1284</v>
      </c>
      <c r="X72" t="n">
        <v>1213</v>
      </c>
      <c r="Y72" t="n">
        <v>4550</v>
      </c>
    </row>
    <row r="73">
      <c r="A73" t="n">
        <v>72</v>
      </c>
      <c r="B73" t="n">
        <v>0</v>
      </c>
      <c r="C73" t="n">
        <v>2939</v>
      </c>
      <c r="D73" t="n">
        <v>4152</v>
      </c>
      <c r="E73" t="n">
        <v>8258</v>
      </c>
      <c r="F73" t="n">
        <v>16377</v>
      </c>
      <c r="G73" t="n">
        <v>32224</v>
      </c>
      <c r="H73" t="n">
        <v>63132</v>
      </c>
      <c r="I73" t="n">
        <v>122770</v>
      </c>
      <c r="J73" t="n">
        <v>1720</v>
      </c>
      <c r="K73" t="n">
        <v>4152</v>
      </c>
      <c r="L73" t="n">
        <v>1720</v>
      </c>
      <c r="M73" t="n">
        <v>1000</v>
      </c>
      <c r="N73" t="n">
        <v>1360</v>
      </c>
      <c r="O73" t="n">
        <v>1720</v>
      </c>
      <c r="P73" t="n">
        <v>2080</v>
      </c>
      <c r="Q73" t="n">
        <v>2440</v>
      </c>
      <c r="R73" t="n">
        <v>2800</v>
      </c>
      <c r="S73" t="n">
        <v>3160</v>
      </c>
      <c r="T73" t="n">
        <v>3520</v>
      </c>
      <c r="U73" t="n">
        <v>3880</v>
      </c>
      <c r="V73" t="n">
        <v>1811</v>
      </c>
      <c r="W73" t="n">
        <v>1288</v>
      </c>
      <c r="X73" t="n">
        <v>1216</v>
      </c>
      <c r="Y73" t="n">
        <v>4600</v>
      </c>
    </row>
    <row r="74">
      <c r="A74" t="n">
        <v>73</v>
      </c>
      <c r="B74" t="n">
        <v>0</v>
      </c>
      <c r="C74" t="n">
        <v>2984</v>
      </c>
      <c r="D74" t="n">
        <v>4236</v>
      </c>
      <c r="E74" t="n">
        <v>8506</v>
      </c>
      <c r="F74" t="n">
        <v>17033</v>
      </c>
      <c r="G74" t="n">
        <v>33836</v>
      </c>
      <c r="H74" t="n">
        <v>66920</v>
      </c>
      <c r="I74" t="n">
        <v>131364</v>
      </c>
      <c r="J74" t="n">
        <v>1730</v>
      </c>
      <c r="K74" t="n">
        <v>4236</v>
      </c>
      <c r="L74" t="n">
        <v>1730</v>
      </c>
      <c r="M74" t="n">
        <v>1000</v>
      </c>
      <c r="N74" t="n">
        <v>1365</v>
      </c>
      <c r="O74" t="n">
        <v>1730</v>
      </c>
      <c r="P74" t="n">
        <v>2095</v>
      </c>
      <c r="Q74" t="n">
        <v>2460</v>
      </c>
      <c r="R74" t="n">
        <v>2825</v>
      </c>
      <c r="S74" t="n">
        <v>3190</v>
      </c>
      <c r="T74" t="n">
        <v>3555</v>
      </c>
      <c r="U74" t="n">
        <v>3920</v>
      </c>
      <c r="V74" t="n">
        <v>1825</v>
      </c>
      <c r="W74" t="n">
        <v>1292</v>
      </c>
      <c r="X74" t="n">
        <v>1219</v>
      </c>
      <c r="Y74" t="n">
        <v>4650</v>
      </c>
    </row>
    <row r="75">
      <c r="A75" t="n">
        <v>74</v>
      </c>
      <c r="B75" t="n">
        <v>0</v>
      </c>
      <c r="C75" t="n">
        <v>3029</v>
      </c>
      <c r="D75" t="n">
        <v>4321</v>
      </c>
      <c r="E75" t="n">
        <v>8762</v>
      </c>
      <c r="F75" t="n">
        <v>17715</v>
      </c>
      <c r="G75" t="n">
        <v>35528</v>
      </c>
      <c r="H75" t="n">
        <v>70936</v>
      </c>
      <c r="I75" t="n">
        <v>140560</v>
      </c>
      <c r="J75" t="n">
        <v>1740</v>
      </c>
      <c r="K75" t="n">
        <v>4321</v>
      </c>
      <c r="L75" t="n">
        <v>1740</v>
      </c>
      <c r="M75" t="n">
        <v>1000</v>
      </c>
      <c r="N75" t="n">
        <v>1370</v>
      </c>
      <c r="O75" t="n">
        <v>1740</v>
      </c>
      <c r="P75" t="n">
        <v>2110</v>
      </c>
      <c r="Q75" t="n">
        <v>2480</v>
      </c>
      <c r="R75" t="n">
        <v>2850</v>
      </c>
      <c r="S75" t="n">
        <v>3220</v>
      </c>
      <c r="T75" t="n">
        <v>3590</v>
      </c>
      <c r="U75" t="n">
        <v>3960</v>
      </c>
      <c r="V75" t="n">
        <v>1839</v>
      </c>
      <c r="W75" t="n">
        <v>1296</v>
      </c>
      <c r="X75" t="n">
        <v>1222</v>
      </c>
      <c r="Y75" t="n">
        <v>4700</v>
      </c>
    </row>
    <row r="76">
      <c r="A76" t="n">
        <v>75</v>
      </c>
      <c r="B76" t="n">
        <v>0</v>
      </c>
      <c r="C76" t="n">
        <v>3075</v>
      </c>
      <c r="D76" t="n">
        <v>4408</v>
      </c>
      <c r="E76" t="n">
        <v>9025</v>
      </c>
      <c r="F76" t="n">
        <v>18424</v>
      </c>
      <c r="G76" t="n">
        <v>37305</v>
      </c>
      <c r="H76" t="n">
        <v>75193</v>
      </c>
      <c r="I76" t="n">
        <v>150400</v>
      </c>
      <c r="J76" t="n">
        <v>1750</v>
      </c>
      <c r="K76" t="n">
        <v>4408</v>
      </c>
      <c r="L76" t="n">
        <v>1750</v>
      </c>
      <c r="M76" t="n">
        <v>1000</v>
      </c>
      <c r="N76" t="n">
        <v>1375</v>
      </c>
      <c r="O76" t="n">
        <v>1750</v>
      </c>
      <c r="P76" t="n">
        <v>2125</v>
      </c>
      <c r="Q76" t="n">
        <v>2500</v>
      </c>
      <c r="R76" t="n">
        <v>2875</v>
      </c>
      <c r="S76" t="n">
        <v>3250</v>
      </c>
      <c r="T76" t="n">
        <v>3625</v>
      </c>
      <c r="U76" t="n">
        <v>4000</v>
      </c>
      <c r="V76" t="n">
        <v>1853</v>
      </c>
      <c r="W76" t="n">
        <v>1300</v>
      </c>
      <c r="X76" t="n">
        <v>1225</v>
      </c>
      <c r="Y76" t="n">
        <v>4750</v>
      </c>
    </row>
    <row r="77">
      <c r="A77" t="n">
        <v>76</v>
      </c>
      <c r="B77" t="n">
        <v>0</v>
      </c>
      <c r="C77" t="n">
        <v>3122</v>
      </c>
      <c r="D77" t="n">
        <v>4497</v>
      </c>
      <c r="E77" t="n">
        <v>9296</v>
      </c>
      <c r="F77" t="n">
        <v>19161</v>
      </c>
      <c r="G77" t="n">
        <v>39171</v>
      </c>
      <c r="H77" t="n">
        <v>79705</v>
      </c>
      <c r="I77" t="n">
        <v>160928</v>
      </c>
      <c r="J77" t="n">
        <v>1760</v>
      </c>
      <c r="K77" t="n">
        <v>4497</v>
      </c>
      <c r="L77" t="n">
        <v>1760</v>
      </c>
      <c r="M77" t="n">
        <v>1000</v>
      </c>
      <c r="N77" t="n">
        <v>1380</v>
      </c>
      <c r="O77" t="n">
        <v>1760</v>
      </c>
      <c r="P77" t="n">
        <v>2140</v>
      </c>
      <c r="Q77" t="n">
        <v>2520</v>
      </c>
      <c r="R77" t="n">
        <v>2900</v>
      </c>
      <c r="S77" t="n">
        <v>3280</v>
      </c>
      <c r="T77" t="n">
        <v>3660</v>
      </c>
      <c r="U77" t="n">
        <v>4040</v>
      </c>
      <c r="V77" t="n">
        <v>1867</v>
      </c>
      <c r="W77" t="n">
        <v>1304</v>
      </c>
      <c r="X77" t="n">
        <v>1228</v>
      </c>
      <c r="Y77" t="n">
        <v>4800</v>
      </c>
    </row>
    <row r="78">
      <c r="A78" t="n">
        <v>77</v>
      </c>
      <c r="B78" t="n">
        <v>0</v>
      </c>
      <c r="C78" t="n">
        <v>3169</v>
      </c>
      <c r="D78" t="n">
        <v>4587</v>
      </c>
      <c r="E78" t="n">
        <v>9575</v>
      </c>
      <c r="F78" t="n">
        <v>19928</v>
      </c>
      <c r="G78" t="n">
        <v>41130</v>
      </c>
      <c r="H78" t="n">
        <v>84488</v>
      </c>
      <c r="I78" t="n">
        <v>172193</v>
      </c>
      <c r="J78" t="n">
        <v>1770</v>
      </c>
      <c r="K78" t="n">
        <v>4587</v>
      </c>
      <c r="L78" t="n">
        <v>1770</v>
      </c>
      <c r="M78" t="n">
        <v>1000</v>
      </c>
      <c r="N78" t="n">
        <v>1385</v>
      </c>
      <c r="O78" t="n">
        <v>1770</v>
      </c>
      <c r="P78" t="n">
        <v>2155</v>
      </c>
      <c r="Q78" t="n">
        <v>2540</v>
      </c>
      <c r="R78" t="n">
        <v>2925</v>
      </c>
      <c r="S78" t="n">
        <v>3310</v>
      </c>
      <c r="T78" t="n">
        <v>3695</v>
      </c>
      <c r="U78" t="n">
        <v>4080</v>
      </c>
      <c r="V78" t="n">
        <v>1881</v>
      </c>
      <c r="W78" t="n">
        <v>1308</v>
      </c>
      <c r="X78" t="n">
        <v>1231</v>
      </c>
      <c r="Y78" t="n">
        <v>4850</v>
      </c>
    </row>
    <row r="79">
      <c r="A79" t="n">
        <v>78</v>
      </c>
      <c r="B79" t="n">
        <v>0</v>
      </c>
      <c r="C79" t="n">
        <v>3217</v>
      </c>
      <c r="D79" t="n">
        <v>4679</v>
      </c>
      <c r="E79" t="n">
        <v>9863</v>
      </c>
      <c r="F79" t="n">
        <v>20726</v>
      </c>
      <c r="G79" t="n">
        <v>43187</v>
      </c>
      <c r="H79" t="n">
        <v>89558</v>
      </c>
      <c r="I79" t="n">
        <v>184247</v>
      </c>
      <c r="J79" t="n">
        <v>1780</v>
      </c>
      <c r="K79" t="n">
        <v>4679</v>
      </c>
      <c r="L79" t="n">
        <v>1780</v>
      </c>
      <c r="M79" t="n">
        <v>1000</v>
      </c>
      <c r="N79" t="n">
        <v>1390</v>
      </c>
      <c r="O79" t="n">
        <v>1780</v>
      </c>
      <c r="P79" t="n">
        <v>2170</v>
      </c>
      <c r="Q79" t="n">
        <v>2560</v>
      </c>
      <c r="R79" t="n">
        <v>2950</v>
      </c>
      <c r="S79" t="n">
        <v>3340</v>
      </c>
      <c r="T79" t="n">
        <v>3730</v>
      </c>
      <c r="U79" t="n">
        <v>4120</v>
      </c>
      <c r="V79" t="n">
        <v>1895</v>
      </c>
      <c r="W79" t="n">
        <v>1312</v>
      </c>
      <c r="X79" t="n">
        <v>1234</v>
      </c>
      <c r="Y79" t="n">
        <v>4900</v>
      </c>
    </row>
    <row r="80">
      <c r="A80" t="n">
        <v>79</v>
      </c>
      <c r="B80" t="n">
        <v>0</v>
      </c>
      <c r="C80" t="n">
        <v>3266</v>
      </c>
      <c r="D80" t="n">
        <v>4773</v>
      </c>
      <c r="E80" t="n">
        <v>10159</v>
      </c>
      <c r="F80" t="n">
        <v>21556</v>
      </c>
      <c r="G80" t="n">
        <v>45347</v>
      </c>
      <c r="H80" t="n">
        <v>94932</v>
      </c>
      <c r="I80" t="n">
        <v>197145</v>
      </c>
      <c r="J80" t="n">
        <v>1790</v>
      </c>
      <c r="K80" t="n">
        <v>4773</v>
      </c>
      <c r="L80" t="n">
        <v>1790</v>
      </c>
      <c r="M80" t="n">
        <v>1000</v>
      </c>
      <c r="N80" t="n">
        <v>1395</v>
      </c>
      <c r="O80" t="n">
        <v>1790</v>
      </c>
      <c r="P80" t="n">
        <v>2185</v>
      </c>
      <c r="Q80" t="n">
        <v>2580</v>
      </c>
      <c r="R80" t="n">
        <v>2975</v>
      </c>
      <c r="S80" t="n">
        <v>3370</v>
      </c>
      <c r="T80" t="n">
        <v>3765</v>
      </c>
      <c r="U80" t="n">
        <v>4160</v>
      </c>
      <c r="V80" t="n">
        <v>1909</v>
      </c>
      <c r="W80" t="n">
        <v>1316</v>
      </c>
      <c r="X80" t="n">
        <v>1237</v>
      </c>
      <c r="Y80" t="n">
        <v>4950</v>
      </c>
    </row>
    <row r="81">
      <c r="A81" t="n">
        <v>80</v>
      </c>
      <c r="B81" t="n">
        <v>0</v>
      </c>
      <c r="C81" t="n">
        <v>3315</v>
      </c>
      <c r="D81" t="n">
        <v>4869</v>
      </c>
      <c r="E81" t="n">
        <v>10464</v>
      </c>
      <c r="F81" t="n">
        <v>22419</v>
      </c>
      <c r="G81" t="n">
        <v>47615</v>
      </c>
      <c r="H81" t="n">
        <v>100628</v>
      </c>
      <c r="I81" t="n">
        <v>210946</v>
      </c>
      <c r="J81" t="n">
        <v>1800</v>
      </c>
      <c r="K81" t="n">
        <v>4869</v>
      </c>
      <c r="L81" t="n">
        <v>1800</v>
      </c>
      <c r="M81" t="n">
        <v>1000</v>
      </c>
      <c r="N81" t="n">
        <v>1400</v>
      </c>
      <c r="O81" t="n">
        <v>1800</v>
      </c>
      <c r="P81" t="n">
        <v>2200</v>
      </c>
      <c r="Q81" t="n">
        <v>2600</v>
      </c>
      <c r="R81" t="n">
        <v>3000</v>
      </c>
      <c r="S81" t="n">
        <v>3400</v>
      </c>
      <c r="T81" t="n">
        <v>3800</v>
      </c>
      <c r="U81" t="n">
        <v>4200</v>
      </c>
      <c r="V81" t="n">
        <v>1923</v>
      </c>
      <c r="W81" t="n">
        <v>1320</v>
      </c>
      <c r="X81" t="n">
        <v>1240</v>
      </c>
      <c r="Y81" t="n">
        <v>5000</v>
      </c>
    </row>
    <row r="82">
      <c r="A82" t="n">
        <v>81</v>
      </c>
      <c r="B82" t="n">
        <v>0</v>
      </c>
      <c r="C82" t="n">
        <v>3365</v>
      </c>
      <c r="D82" t="n">
        <v>4967</v>
      </c>
      <c r="E82" t="n">
        <v>10778</v>
      </c>
      <c r="F82" t="n">
        <v>23316</v>
      </c>
      <c r="G82" t="n">
        <v>49996</v>
      </c>
      <c r="H82" t="n">
        <v>106666</v>
      </c>
      <c r="I82" t="n">
        <v>225713</v>
      </c>
      <c r="J82" t="n">
        <v>1810</v>
      </c>
      <c r="K82" t="n">
        <v>4967</v>
      </c>
      <c r="L82" t="n">
        <v>1810</v>
      </c>
      <c r="M82" t="n">
        <v>1000</v>
      </c>
      <c r="N82" t="n">
        <v>1405</v>
      </c>
      <c r="O82" t="n">
        <v>1810</v>
      </c>
      <c r="P82" t="n">
        <v>2215</v>
      </c>
      <c r="Q82" t="n">
        <v>2620</v>
      </c>
      <c r="R82" t="n">
        <v>3025</v>
      </c>
      <c r="S82" t="n">
        <v>3430</v>
      </c>
      <c r="T82" t="n">
        <v>3835</v>
      </c>
      <c r="U82" t="n">
        <v>4240</v>
      </c>
      <c r="V82" t="n">
        <v>1937</v>
      </c>
      <c r="W82" t="n">
        <v>1324</v>
      </c>
      <c r="X82" t="n">
        <v>1243</v>
      </c>
      <c r="Y82" t="n">
        <v>5050</v>
      </c>
    </row>
    <row r="83">
      <c r="A83" t="n">
        <v>82</v>
      </c>
      <c r="B83" t="n">
        <v>0</v>
      </c>
      <c r="C83" t="n">
        <v>3416</v>
      </c>
      <c r="D83" t="n">
        <v>5067</v>
      </c>
      <c r="E83" t="n">
        <v>11102</v>
      </c>
      <c r="F83" t="n">
        <v>24249</v>
      </c>
      <c r="G83" t="n">
        <v>52496</v>
      </c>
      <c r="H83" t="n">
        <v>113066</v>
      </c>
      <c r="I83" t="n">
        <v>241513</v>
      </c>
      <c r="J83" t="n">
        <v>1820</v>
      </c>
      <c r="K83" t="n">
        <v>5067</v>
      </c>
      <c r="L83" t="n">
        <v>1820</v>
      </c>
      <c r="M83" t="n">
        <v>1000</v>
      </c>
      <c r="N83" t="n">
        <v>1410</v>
      </c>
      <c r="O83" t="n">
        <v>1820</v>
      </c>
      <c r="P83" t="n">
        <v>2230</v>
      </c>
      <c r="Q83" t="n">
        <v>2640</v>
      </c>
      <c r="R83" t="n">
        <v>3050</v>
      </c>
      <c r="S83" t="n">
        <v>3460</v>
      </c>
      <c r="T83" t="n">
        <v>3870</v>
      </c>
      <c r="U83" t="n">
        <v>4280</v>
      </c>
      <c r="V83" t="n">
        <v>1951</v>
      </c>
      <c r="W83" t="n">
        <v>1328</v>
      </c>
      <c r="X83" t="n">
        <v>1246</v>
      </c>
      <c r="Y83" t="n">
        <v>5100</v>
      </c>
    </row>
    <row r="84">
      <c r="A84" t="n">
        <v>83</v>
      </c>
      <c r="B84" t="n">
        <v>0</v>
      </c>
      <c r="C84" t="n">
        <v>3468</v>
      </c>
      <c r="D84" t="n">
        <v>5169</v>
      </c>
      <c r="E84" t="n">
        <v>11436</v>
      </c>
      <c r="F84" t="n">
        <v>25219</v>
      </c>
      <c r="G84" t="n">
        <v>55121</v>
      </c>
      <c r="H84" t="n">
        <v>119850</v>
      </c>
      <c r="I84" t="n">
        <v>258419</v>
      </c>
      <c r="J84" t="n">
        <v>1830</v>
      </c>
      <c r="K84" t="n">
        <v>5169</v>
      </c>
      <c r="L84" t="n">
        <v>1830</v>
      </c>
      <c r="M84" t="n">
        <v>1000</v>
      </c>
      <c r="N84" t="n">
        <v>1415</v>
      </c>
      <c r="O84" t="n">
        <v>1830</v>
      </c>
      <c r="P84" t="n">
        <v>2245</v>
      </c>
      <c r="Q84" t="n">
        <v>2660</v>
      </c>
      <c r="R84" t="n">
        <v>3075</v>
      </c>
      <c r="S84" t="n">
        <v>3490</v>
      </c>
      <c r="T84" t="n">
        <v>3905</v>
      </c>
      <c r="U84" t="n">
        <v>4320</v>
      </c>
      <c r="V84" t="n">
        <v>1965</v>
      </c>
      <c r="W84" t="n">
        <v>1332</v>
      </c>
      <c r="X84" t="n">
        <v>1249</v>
      </c>
      <c r="Y84" t="n">
        <v>5150</v>
      </c>
    </row>
    <row r="85">
      <c r="A85" t="n">
        <v>84</v>
      </c>
      <c r="B85" t="n">
        <v>0</v>
      </c>
      <c r="C85" t="n">
        <v>3521</v>
      </c>
      <c r="D85" t="n">
        <v>5273</v>
      </c>
      <c r="E85" t="n">
        <v>11780</v>
      </c>
      <c r="F85" t="n">
        <v>26228</v>
      </c>
      <c r="G85" t="n">
        <v>57878</v>
      </c>
      <c r="H85" t="n">
        <v>127041</v>
      </c>
      <c r="I85" t="n">
        <v>276509</v>
      </c>
      <c r="J85" t="n">
        <v>1840</v>
      </c>
      <c r="K85" t="n">
        <v>5273</v>
      </c>
      <c r="L85" t="n">
        <v>1840</v>
      </c>
      <c r="M85" t="n">
        <v>1000</v>
      </c>
      <c r="N85" t="n">
        <v>1420</v>
      </c>
      <c r="O85" t="n">
        <v>1840</v>
      </c>
      <c r="P85" t="n">
        <v>2260</v>
      </c>
      <c r="Q85" t="n">
        <v>2680</v>
      </c>
      <c r="R85" t="n">
        <v>3100</v>
      </c>
      <c r="S85" t="n">
        <v>3520</v>
      </c>
      <c r="T85" t="n">
        <v>3940</v>
      </c>
      <c r="U85" t="n">
        <v>4360</v>
      </c>
      <c r="V85" t="n">
        <v>1979</v>
      </c>
      <c r="W85" t="n">
        <v>1336</v>
      </c>
      <c r="X85" t="n">
        <v>1252</v>
      </c>
      <c r="Y85" t="n">
        <v>5200</v>
      </c>
    </row>
    <row r="86">
      <c r="A86" t="n">
        <v>85</v>
      </c>
      <c r="B86" t="n">
        <v>0</v>
      </c>
      <c r="C86" t="n">
        <v>3574</v>
      </c>
      <c r="D86" t="n">
        <v>5379</v>
      </c>
      <c r="E86" t="n">
        <v>12134</v>
      </c>
      <c r="F86" t="n">
        <v>27278</v>
      </c>
      <c r="G86" t="n">
        <v>60772</v>
      </c>
      <c r="H86" t="n">
        <v>134664</v>
      </c>
      <c r="I86" t="n">
        <v>295865</v>
      </c>
      <c r="J86" t="n">
        <v>1850</v>
      </c>
      <c r="K86" t="n">
        <v>5379</v>
      </c>
      <c r="L86" t="n">
        <v>1850</v>
      </c>
      <c r="M86" t="n">
        <v>1000</v>
      </c>
      <c r="N86" t="n">
        <v>1425</v>
      </c>
      <c r="O86" t="n">
        <v>1850</v>
      </c>
      <c r="P86" t="n">
        <v>2275</v>
      </c>
      <c r="Q86" t="n">
        <v>2700</v>
      </c>
      <c r="R86" t="n">
        <v>3125</v>
      </c>
      <c r="S86" t="n">
        <v>3550</v>
      </c>
      <c r="T86" t="n">
        <v>3975</v>
      </c>
      <c r="U86" t="n">
        <v>4400</v>
      </c>
      <c r="V86" t="n">
        <v>1993</v>
      </c>
      <c r="W86" t="n">
        <v>1340</v>
      </c>
      <c r="X86" t="n">
        <v>1255</v>
      </c>
      <c r="Y86" t="n">
        <v>5250</v>
      </c>
    </row>
    <row r="87">
      <c r="A87" t="n">
        <v>86</v>
      </c>
      <c r="B87" t="n">
        <v>0</v>
      </c>
      <c r="C87" t="n">
        <v>3628</v>
      </c>
      <c r="D87" t="n">
        <v>5487</v>
      </c>
      <c r="E87" t="n">
        <v>12499</v>
      </c>
      <c r="F87" t="n">
        <v>28370</v>
      </c>
      <c r="G87" t="n">
        <v>63811</v>
      </c>
      <c r="H87" t="n">
        <v>142744</v>
      </c>
      <c r="I87" t="n">
        <v>316576</v>
      </c>
      <c r="J87" t="n">
        <v>1860</v>
      </c>
      <c r="K87" t="n">
        <v>5487</v>
      </c>
      <c r="L87" t="n">
        <v>1860</v>
      </c>
      <c r="M87" t="n">
        <v>1000</v>
      </c>
      <c r="N87" t="n">
        <v>1430</v>
      </c>
      <c r="O87" t="n">
        <v>1860</v>
      </c>
      <c r="P87" t="n">
        <v>2290</v>
      </c>
      <c r="Q87" t="n">
        <v>2720</v>
      </c>
      <c r="R87" t="n">
        <v>3150</v>
      </c>
      <c r="S87" t="n">
        <v>3580</v>
      </c>
      <c r="T87" t="n">
        <v>4010</v>
      </c>
      <c r="U87" t="n">
        <v>4440</v>
      </c>
      <c r="V87" t="n">
        <v>2007</v>
      </c>
      <c r="W87" t="n">
        <v>1344</v>
      </c>
      <c r="X87" t="n">
        <v>1258</v>
      </c>
      <c r="Y87" t="n">
        <v>5300</v>
      </c>
    </row>
    <row r="88">
      <c r="A88" t="n">
        <v>87</v>
      </c>
      <c r="B88" t="n">
        <v>0</v>
      </c>
      <c r="C88" t="n">
        <v>3683</v>
      </c>
      <c r="D88" t="n">
        <v>5597</v>
      </c>
      <c r="E88" t="n">
        <v>12874</v>
      </c>
      <c r="F88" t="n">
        <v>29505</v>
      </c>
      <c r="G88" t="n">
        <v>67002</v>
      </c>
      <c r="H88" t="n">
        <v>151309</v>
      </c>
      <c r="I88" t="n">
        <v>338737</v>
      </c>
      <c r="J88" t="n">
        <v>1870</v>
      </c>
      <c r="K88" t="n">
        <v>5597</v>
      </c>
      <c r="L88" t="n">
        <v>1870</v>
      </c>
      <c r="M88" t="n">
        <v>1000</v>
      </c>
      <c r="N88" t="n">
        <v>1435</v>
      </c>
      <c r="O88" t="n">
        <v>1870</v>
      </c>
      <c r="P88" t="n">
        <v>2305</v>
      </c>
      <c r="Q88" t="n">
        <v>2740</v>
      </c>
      <c r="R88" t="n">
        <v>3175</v>
      </c>
      <c r="S88" t="n">
        <v>3610</v>
      </c>
      <c r="T88" t="n">
        <v>4045</v>
      </c>
      <c r="U88" t="n">
        <v>4480</v>
      </c>
      <c r="V88" t="n">
        <v>2022</v>
      </c>
      <c r="W88" t="n">
        <v>1348</v>
      </c>
      <c r="X88" t="n">
        <v>1261</v>
      </c>
      <c r="Y88" t="n">
        <v>5350</v>
      </c>
    </row>
    <row r="89">
      <c r="A89" t="n">
        <v>88</v>
      </c>
      <c r="B89" t="n">
        <v>0</v>
      </c>
      <c r="C89" t="n">
        <v>3739</v>
      </c>
      <c r="D89" t="n">
        <v>5709</v>
      </c>
      <c r="E89" t="n">
        <v>13261</v>
      </c>
      <c r="F89" t="n">
        <v>30686</v>
      </c>
      <c r="G89" t="n">
        <v>70353</v>
      </c>
      <c r="H89" t="n">
        <v>160388</v>
      </c>
      <c r="I89" t="n">
        <v>362449</v>
      </c>
      <c r="J89" t="n">
        <v>1880</v>
      </c>
      <c r="K89" t="n">
        <v>5709</v>
      </c>
      <c r="L89" t="n">
        <v>1880</v>
      </c>
      <c r="M89" t="n">
        <v>1000</v>
      </c>
      <c r="N89" t="n">
        <v>1440</v>
      </c>
      <c r="O89" t="n">
        <v>1880</v>
      </c>
      <c r="P89" t="n">
        <v>2320</v>
      </c>
      <c r="Q89" t="n">
        <v>2760</v>
      </c>
      <c r="R89" t="n">
        <v>3200</v>
      </c>
      <c r="S89" t="n">
        <v>3640</v>
      </c>
      <c r="T89" t="n">
        <v>4080</v>
      </c>
      <c r="U89" t="n">
        <v>4520</v>
      </c>
      <c r="V89" t="n">
        <v>2037</v>
      </c>
      <c r="W89" t="n">
        <v>1352</v>
      </c>
      <c r="X89" t="n">
        <v>1264</v>
      </c>
      <c r="Y89" t="n">
        <v>5400</v>
      </c>
    </row>
    <row r="90">
      <c r="A90" t="n">
        <v>89</v>
      </c>
      <c r="B90" t="n">
        <v>0</v>
      </c>
      <c r="C90" t="n">
        <v>3796</v>
      </c>
      <c r="D90" t="n">
        <v>5824</v>
      </c>
      <c r="E90" t="n">
        <v>13659</v>
      </c>
      <c r="F90" t="n">
        <v>31914</v>
      </c>
      <c r="G90" t="n">
        <v>73871</v>
      </c>
      <c r="H90" t="n">
        <v>170012</v>
      </c>
      <c r="I90" t="n">
        <v>387821</v>
      </c>
      <c r="J90" t="n">
        <v>1890</v>
      </c>
      <c r="K90" t="n">
        <v>5824</v>
      </c>
      <c r="L90" t="n">
        <v>1890</v>
      </c>
      <c r="M90" t="n">
        <v>1000</v>
      </c>
      <c r="N90" t="n">
        <v>1445</v>
      </c>
      <c r="O90" t="n">
        <v>1890</v>
      </c>
      <c r="P90" t="n">
        <v>2335</v>
      </c>
      <c r="Q90" t="n">
        <v>2780</v>
      </c>
      <c r="R90" t="n">
        <v>3225</v>
      </c>
      <c r="S90" t="n">
        <v>3670</v>
      </c>
      <c r="T90" t="n">
        <v>4115</v>
      </c>
      <c r="U90" t="n">
        <v>4560</v>
      </c>
      <c r="V90" t="n">
        <v>2052</v>
      </c>
      <c r="W90" t="n">
        <v>1356</v>
      </c>
      <c r="X90" t="n">
        <v>1267</v>
      </c>
      <c r="Y90" t="n">
        <v>5450</v>
      </c>
    </row>
    <row r="91">
      <c r="A91" t="n">
        <v>90</v>
      </c>
      <c r="B91" t="n">
        <v>0</v>
      </c>
      <c r="C91" t="n">
        <v>3853</v>
      </c>
      <c r="D91" t="n">
        <v>5941</v>
      </c>
      <c r="E91" t="n">
        <v>14069</v>
      </c>
      <c r="F91" t="n">
        <v>33191</v>
      </c>
      <c r="G91" t="n">
        <v>77565</v>
      </c>
      <c r="H91" t="n">
        <v>180213</v>
      </c>
      <c r="I91" t="n">
        <v>414969</v>
      </c>
      <c r="J91" t="n">
        <v>1900</v>
      </c>
      <c r="K91" t="n">
        <v>5941</v>
      </c>
      <c r="L91" t="n">
        <v>1900</v>
      </c>
      <c r="M91" t="n">
        <v>1000</v>
      </c>
      <c r="N91" t="n">
        <v>1450</v>
      </c>
      <c r="O91" t="n">
        <v>1900</v>
      </c>
      <c r="P91" t="n">
        <v>2350</v>
      </c>
      <c r="Q91" t="n">
        <v>2800</v>
      </c>
      <c r="R91" t="n">
        <v>3250</v>
      </c>
      <c r="S91" t="n">
        <v>3700</v>
      </c>
      <c r="T91" t="n">
        <v>4150</v>
      </c>
      <c r="U91" t="n">
        <v>4600</v>
      </c>
      <c r="V91" t="n">
        <v>2067</v>
      </c>
      <c r="W91" t="n">
        <v>1360</v>
      </c>
      <c r="X91" t="n">
        <v>1270</v>
      </c>
      <c r="Y91" t="n">
        <v>5500</v>
      </c>
    </row>
    <row r="92">
      <c r="A92" t="n">
        <v>91</v>
      </c>
      <c r="B92" t="n">
        <v>0</v>
      </c>
      <c r="C92" t="n">
        <v>3911</v>
      </c>
      <c r="D92" t="n">
        <v>6060</v>
      </c>
      <c r="E92" t="n">
        <v>14492</v>
      </c>
      <c r="F92" t="n">
        <v>34519</v>
      </c>
      <c r="G92" t="n">
        <v>81444</v>
      </c>
      <c r="H92" t="n">
        <v>191026</v>
      </c>
      <c r="I92" t="n">
        <v>444017</v>
      </c>
      <c r="J92" t="n">
        <v>1910</v>
      </c>
      <c r="K92" t="n">
        <v>6060</v>
      </c>
      <c r="L92" t="n">
        <v>1910</v>
      </c>
      <c r="M92" t="n">
        <v>1000</v>
      </c>
      <c r="N92" t="n">
        <v>1455</v>
      </c>
      <c r="O92" t="n">
        <v>1910</v>
      </c>
      <c r="P92" t="n">
        <v>2365</v>
      </c>
      <c r="Q92" t="n">
        <v>2820</v>
      </c>
      <c r="R92" t="n">
        <v>3275</v>
      </c>
      <c r="S92" t="n">
        <v>3730</v>
      </c>
      <c r="T92" t="n">
        <v>4185</v>
      </c>
      <c r="U92" t="n">
        <v>4640</v>
      </c>
      <c r="V92" t="n">
        <v>2082</v>
      </c>
      <c r="W92" t="n">
        <v>1364</v>
      </c>
      <c r="X92" t="n">
        <v>1273</v>
      </c>
      <c r="Y92" t="n">
        <v>5550</v>
      </c>
    </row>
    <row r="93">
      <c r="A93" t="n">
        <v>92</v>
      </c>
      <c r="B93" t="n">
        <v>0</v>
      </c>
      <c r="C93" t="n">
        <v>3970</v>
      </c>
      <c r="D93" t="n">
        <v>6182</v>
      </c>
      <c r="E93" t="n">
        <v>14927</v>
      </c>
      <c r="F93" t="n">
        <v>35900</v>
      </c>
      <c r="G93" t="n">
        <v>85517</v>
      </c>
      <c r="H93" t="n">
        <v>202488</v>
      </c>
      <c r="I93" t="n">
        <v>475099</v>
      </c>
      <c r="J93" t="n">
        <v>1920</v>
      </c>
      <c r="K93" t="n">
        <v>6182</v>
      </c>
      <c r="L93" t="n">
        <v>1920</v>
      </c>
      <c r="M93" t="n">
        <v>1000</v>
      </c>
      <c r="N93" t="n">
        <v>1460</v>
      </c>
      <c r="O93" t="n">
        <v>1920</v>
      </c>
      <c r="P93" t="n">
        <v>2380</v>
      </c>
      <c r="Q93" t="n">
        <v>2840</v>
      </c>
      <c r="R93" t="n">
        <v>3300</v>
      </c>
      <c r="S93" t="n">
        <v>3760</v>
      </c>
      <c r="T93" t="n">
        <v>4220</v>
      </c>
      <c r="U93" t="n">
        <v>4680</v>
      </c>
      <c r="V93" t="n">
        <v>2097</v>
      </c>
      <c r="W93" t="n">
        <v>1368</v>
      </c>
      <c r="X93" t="n">
        <v>1276</v>
      </c>
      <c r="Y93" t="n">
        <v>5600</v>
      </c>
    </row>
    <row r="94">
      <c r="A94" t="n">
        <v>93</v>
      </c>
      <c r="B94" t="n">
        <v>0</v>
      </c>
      <c r="C94" t="n">
        <v>4030</v>
      </c>
      <c r="D94" t="n">
        <v>6306</v>
      </c>
      <c r="E94" t="n">
        <v>15375</v>
      </c>
      <c r="F94" t="n">
        <v>37336</v>
      </c>
      <c r="G94" t="n">
        <v>89793</v>
      </c>
      <c r="H94" t="n">
        <v>214638</v>
      </c>
      <c r="I94" t="n">
        <v>508356</v>
      </c>
      <c r="J94" t="n">
        <v>1930</v>
      </c>
      <c r="K94" t="n">
        <v>6306</v>
      </c>
      <c r="L94" t="n">
        <v>1930</v>
      </c>
      <c r="M94" t="n">
        <v>1000</v>
      </c>
      <c r="N94" t="n">
        <v>1465</v>
      </c>
      <c r="O94" t="n">
        <v>1930</v>
      </c>
      <c r="P94" t="n">
        <v>2395</v>
      </c>
      <c r="Q94" t="n">
        <v>2860</v>
      </c>
      <c r="R94" t="n">
        <v>3325</v>
      </c>
      <c r="S94" t="n">
        <v>3790</v>
      </c>
      <c r="T94" t="n">
        <v>4255</v>
      </c>
      <c r="U94" t="n">
        <v>4720</v>
      </c>
      <c r="V94" t="n">
        <v>2112</v>
      </c>
      <c r="W94" t="n">
        <v>1372</v>
      </c>
      <c r="X94" t="n">
        <v>1279</v>
      </c>
      <c r="Y94" t="n">
        <v>5650</v>
      </c>
    </row>
    <row r="95">
      <c r="A95" t="n">
        <v>94</v>
      </c>
      <c r="B95" t="n">
        <v>0</v>
      </c>
      <c r="C95" t="n">
        <v>4091</v>
      </c>
      <c r="D95" t="n">
        <v>6433</v>
      </c>
      <c r="E95" t="n">
        <v>15837</v>
      </c>
      <c r="F95" t="n">
        <v>38830</v>
      </c>
      <c r="G95" t="n">
        <v>94283</v>
      </c>
      <c r="H95" t="n">
        <v>227517</v>
      </c>
      <c r="I95" t="n">
        <v>543941</v>
      </c>
      <c r="J95" t="n">
        <v>1940</v>
      </c>
      <c r="K95" t="n">
        <v>6433</v>
      </c>
      <c r="L95" t="n">
        <v>1940</v>
      </c>
      <c r="M95" t="n">
        <v>1000</v>
      </c>
      <c r="N95" t="n">
        <v>1470</v>
      </c>
      <c r="O95" t="n">
        <v>1940</v>
      </c>
      <c r="P95" t="n">
        <v>2410</v>
      </c>
      <c r="Q95" t="n">
        <v>2880</v>
      </c>
      <c r="R95" t="n">
        <v>3350</v>
      </c>
      <c r="S95" t="n">
        <v>3820</v>
      </c>
      <c r="T95" t="n">
        <v>4290</v>
      </c>
      <c r="U95" t="n">
        <v>4760</v>
      </c>
      <c r="V95" t="n">
        <v>2127</v>
      </c>
      <c r="W95" t="n">
        <v>1376</v>
      </c>
      <c r="X95" t="n">
        <v>1282</v>
      </c>
      <c r="Y95" t="n">
        <v>5700</v>
      </c>
    </row>
    <row r="96">
      <c r="A96" t="n">
        <v>95</v>
      </c>
      <c r="B96" t="n">
        <v>0</v>
      </c>
      <c r="C96" t="n">
        <v>4153</v>
      </c>
      <c r="D96" t="n">
        <v>6562</v>
      </c>
      <c r="E96" t="n">
        <v>16313</v>
      </c>
      <c r="F96" t="n">
        <v>40384</v>
      </c>
      <c r="G96" t="n">
        <v>98998</v>
      </c>
      <c r="H96" t="n">
        <v>241169</v>
      </c>
      <c r="I96" t="n">
        <v>582017</v>
      </c>
      <c r="J96" t="n">
        <v>1950</v>
      </c>
      <c r="K96" t="n">
        <v>6562</v>
      </c>
      <c r="L96" t="n">
        <v>1950</v>
      </c>
      <c r="M96" t="n">
        <v>1000</v>
      </c>
      <c r="N96" t="n">
        <v>1475</v>
      </c>
      <c r="O96" t="n">
        <v>1950</v>
      </c>
      <c r="P96" t="n">
        <v>2425</v>
      </c>
      <c r="Q96" t="n">
        <v>2900</v>
      </c>
      <c r="R96" t="n">
        <v>3375</v>
      </c>
      <c r="S96" t="n">
        <v>3850</v>
      </c>
      <c r="T96" t="n">
        <v>4325</v>
      </c>
      <c r="U96" t="n">
        <v>4800</v>
      </c>
      <c r="V96" t="n">
        <v>2142</v>
      </c>
      <c r="W96" t="n">
        <v>1380</v>
      </c>
      <c r="X96" t="n">
        <v>1285</v>
      </c>
      <c r="Y96" t="n">
        <v>5750</v>
      </c>
    </row>
    <row r="97">
      <c r="A97" t="n">
        <v>96</v>
      </c>
      <c r="B97" t="n">
        <v>0</v>
      </c>
      <c r="C97" t="n">
        <v>4216</v>
      </c>
      <c r="D97" t="n">
        <v>6694</v>
      </c>
      <c r="E97" t="n">
        <v>16803</v>
      </c>
      <c r="F97" t="n">
        <v>42000</v>
      </c>
      <c r="G97" t="n">
        <v>103948</v>
      </c>
      <c r="H97" t="n">
        <v>255640</v>
      </c>
      <c r="I97" t="n">
        <v>622759</v>
      </c>
      <c r="J97" t="n">
        <v>1960</v>
      </c>
      <c r="K97" t="n">
        <v>6694</v>
      </c>
      <c r="L97" t="n">
        <v>1960</v>
      </c>
      <c r="M97" t="n">
        <v>1000</v>
      </c>
      <c r="N97" t="n">
        <v>1480</v>
      </c>
      <c r="O97" t="n">
        <v>1960</v>
      </c>
      <c r="P97" t="n">
        <v>2440</v>
      </c>
      <c r="Q97" t="n">
        <v>2920</v>
      </c>
      <c r="R97" t="n">
        <v>3400</v>
      </c>
      <c r="S97" t="n">
        <v>3880</v>
      </c>
      <c r="T97" t="n">
        <v>4360</v>
      </c>
      <c r="U97" t="n">
        <v>4840</v>
      </c>
      <c r="V97" t="n">
        <v>2157</v>
      </c>
      <c r="W97" t="n">
        <v>1384</v>
      </c>
      <c r="X97" t="n">
        <v>1288</v>
      </c>
      <c r="Y97" t="n">
        <v>5800</v>
      </c>
    </row>
    <row r="98">
      <c r="A98" t="n">
        <v>97</v>
      </c>
      <c r="B98" t="n">
        <v>0</v>
      </c>
      <c r="C98" t="n">
        <v>4280</v>
      </c>
      <c r="D98" t="n">
        <v>6828</v>
      </c>
      <c r="E98" t="n">
        <v>17308</v>
      </c>
      <c r="F98" t="n">
        <v>43680</v>
      </c>
      <c r="G98" t="n">
        <v>109146</v>
      </c>
      <c r="H98" t="n">
        <v>270979</v>
      </c>
      <c r="I98" t="n">
        <v>666353</v>
      </c>
      <c r="J98" t="n">
        <v>1970</v>
      </c>
      <c r="K98" t="n">
        <v>6828</v>
      </c>
      <c r="L98" t="n">
        <v>1970</v>
      </c>
      <c r="M98" t="n">
        <v>1000</v>
      </c>
      <c r="N98" t="n">
        <v>1485</v>
      </c>
      <c r="O98" t="n">
        <v>1970</v>
      </c>
      <c r="P98" t="n">
        <v>2455</v>
      </c>
      <c r="Q98" t="n">
        <v>2940</v>
      </c>
      <c r="R98" t="n">
        <v>3425</v>
      </c>
      <c r="S98" t="n">
        <v>3910</v>
      </c>
      <c r="T98" t="n">
        <v>4395</v>
      </c>
      <c r="U98" t="n">
        <v>4880</v>
      </c>
      <c r="V98" t="n">
        <v>2172</v>
      </c>
      <c r="W98" t="n">
        <v>1388</v>
      </c>
      <c r="X98" t="n">
        <v>1291</v>
      </c>
      <c r="Y98" t="n">
        <v>5850</v>
      </c>
    </row>
    <row r="99">
      <c r="A99" t="n">
        <v>98</v>
      </c>
      <c r="B99" t="n">
        <v>0</v>
      </c>
      <c r="C99" t="n">
        <v>4345</v>
      </c>
      <c r="D99" t="n">
        <v>6965</v>
      </c>
      <c r="E99" t="n">
        <v>17828</v>
      </c>
      <c r="F99" t="n">
        <v>45428</v>
      </c>
      <c r="G99" t="n">
        <v>114604</v>
      </c>
      <c r="H99" t="n">
        <v>287238</v>
      </c>
      <c r="I99" t="n">
        <v>712998</v>
      </c>
      <c r="J99" t="n">
        <v>1980</v>
      </c>
      <c r="K99" t="n">
        <v>6965</v>
      </c>
      <c r="L99" t="n">
        <v>1980</v>
      </c>
      <c r="M99" t="n">
        <v>1000</v>
      </c>
      <c r="N99" t="n">
        <v>1490</v>
      </c>
      <c r="O99" t="n">
        <v>1980</v>
      </c>
      <c r="P99" t="n">
        <v>2470</v>
      </c>
      <c r="Q99" t="n">
        <v>2960</v>
      </c>
      <c r="R99" t="n">
        <v>3450</v>
      </c>
      <c r="S99" t="n">
        <v>3940</v>
      </c>
      <c r="T99" t="n">
        <v>4430</v>
      </c>
      <c r="U99" t="n">
        <v>4920</v>
      </c>
      <c r="V99" t="n">
        <v>2187</v>
      </c>
      <c r="W99" t="n">
        <v>1392</v>
      </c>
      <c r="X99" t="n">
        <v>1294</v>
      </c>
      <c r="Y99" t="n">
        <v>5900</v>
      </c>
    </row>
    <row r="100">
      <c r="A100" t="n">
        <v>99</v>
      </c>
      <c r="B100" t="n">
        <v>0</v>
      </c>
      <c r="C100" t="n">
        <v>4411</v>
      </c>
      <c r="D100" t="n">
        <v>7105</v>
      </c>
      <c r="E100" t="n">
        <v>18363</v>
      </c>
      <c r="F100" t="n">
        <v>47246</v>
      </c>
      <c r="G100" t="n">
        <v>120335</v>
      </c>
      <c r="H100" t="n">
        <v>304473</v>
      </c>
      <c r="I100" t="n">
        <v>762908</v>
      </c>
      <c r="J100" t="n">
        <v>1990</v>
      </c>
      <c r="K100" t="n">
        <v>7105</v>
      </c>
      <c r="L100" t="n">
        <v>1990</v>
      </c>
      <c r="M100" t="n">
        <v>1000</v>
      </c>
      <c r="N100" t="n">
        <v>1495</v>
      </c>
      <c r="O100" t="n">
        <v>1990</v>
      </c>
      <c r="P100" t="n">
        <v>2485</v>
      </c>
      <c r="Q100" t="n">
        <v>2980</v>
      </c>
      <c r="R100" t="n">
        <v>3475</v>
      </c>
      <c r="S100" t="n">
        <v>3970</v>
      </c>
      <c r="T100" t="n">
        <v>4465</v>
      </c>
      <c r="U100" t="n">
        <v>4960</v>
      </c>
      <c r="V100" t="n">
        <v>2202</v>
      </c>
      <c r="W100" t="n">
        <v>1396</v>
      </c>
      <c r="X100" t="n">
        <v>1297</v>
      </c>
      <c r="Y100" t="n">
        <v>5950</v>
      </c>
    </row>
    <row r="101">
      <c r="A101" t="n">
        <v>100</v>
      </c>
      <c r="B101" t="n">
        <v>0</v>
      </c>
      <c r="C101" t="n">
        <v>4478</v>
      </c>
      <c r="D101" t="n">
        <v>7248</v>
      </c>
      <c r="E101" t="n">
        <v>18914</v>
      </c>
      <c r="F101" t="n">
        <v>49136</v>
      </c>
      <c r="G101" t="n">
        <v>126352</v>
      </c>
      <c r="H101" t="n">
        <v>322742</v>
      </c>
      <c r="I101" t="n">
        <v>816312</v>
      </c>
      <c r="J101" t="n">
        <v>2000</v>
      </c>
      <c r="K101" t="n">
        <v>7248</v>
      </c>
      <c r="L101" t="n">
        <v>2000</v>
      </c>
      <c r="M101" t="n">
        <v>1000</v>
      </c>
      <c r="N101" t="n">
        <v>1500</v>
      </c>
      <c r="O101" t="n">
        <v>2000</v>
      </c>
      <c r="P101" t="n">
        <v>2500</v>
      </c>
      <c r="Q101" t="n">
        <v>3000</v>
      </c>
      <c r="R101" t="n">
        <v>3500</v>
      </c>
      <c r="S101" t="n">
        <v>4000</v>
      </c>
      <c r="T101" t="n">
        <v>4500</v>
      </c>
      <c r="U101" t="n">
        <v>5000</v>
      </c>
      <c r="V101" t="n">
        <v>2218</v>
      </c>
      <c r="W101" t="n">
        <v>1400</v>
      </c>
      <c r="X101" t="n">
        <v>1300</v>
      </c>
      <c r="Y101" t="n">
        <v>6000</v>
      </c>
    </row>
    <row r="102">
      <c r="A102" t="n">
        <v>101</v>
      </c>
      <c r="B102" t="n">
        <v>0</v>
      </c>
      <c r="C102" t="n">
        <v>4546</v>
      </c>
      <c r="D102" t="n">
        <v>7393</v>
      </c>
      <c r="E102" t="n">
        <v>19482</v>
      </c>
      <c r="F102" t="n">
        <v>51102</v>
      </c>
      <c r="G102" t="n">
        <v>132670</v>
      </c>
      <c r="H102" t="n">
        <v>342107</v>
      </c>
      <c r="I102" t="n">
        <v>873454</v>
      </c>
      <c r="J102" t="n">
        <v>2000</v>
      </c>
      <c r="K102" t="n">
        <v>7321</v>
      </c>
      <c r="L102" t="n">
        <v>2010</v>
      </c>
      <c r="M102" t="n">
        <v>1001</v>
      </c>
      <c r="N102" t="n">
        <v>1505</v>
      </c>
      <c r="O102" t="n">
        <v>2010</v>
      </c>
      <c r="P102" t="n">
        <v>2515</v>
      </c>
      <c r="Q102" t="n">
        <v>3020</v>
      </c>
      <c r="R102" t="n">
        <v>3525</v>
      </c>
      <c r="S102" t="n">
        <v>4030</v>
      </c>
      <c r="T102" t="n">
        <v>4535</v>
      </c>
      <c r="U102" t="n">
        <v>5040</v>
      </c>
      <c r="V102" t="n">
        <v>2234</v>
      </c>
      <c r="W102" t="n">
        <v>1404</v>
      </c>
      <c r="X102" t="n">
        <v>1303</v>
      </c>
      <c r="Y102" t="n">
        <v>6050</v>
      </c>
    </row>
    <row r="103">
      <c r="A103" t="n">
        <v>102</v>
      </c>
      <c r="B103" t="n">
        <v>0</v>
      </c>
      <c r="C103" t="n">
        <v>4615</v>
      </c>
      <c r="D103" t="n">
        <v>7541</v>
      </c>
      <c r="E103" t="n">
        <v>20067</v>
      </c>
      <c r="F103" t="n">
        <v>53147</v>
      </c>
      <c r="G103" t="n">
        <v>139304</v>
      </c>
      <c r="H103" t="n">
        <v>362634</v>
      </c>
      <c r="I103" t="n">
        <v>934596</v>
      </c>
      <c r="J103" t="n">
        <v>2000</v>
      </c>
      <c r="K103" t="n">
        <v>7395</v>
      </c>
      <c r="L103" t="n">
        <v>2020</v>
      </c>
      <c r="M103" t="n">
        <v>1002</v>
      </c>
      <c r="N103" t="n">
        <v>1510</v>
      </c>
      <c r="O103" t="n">
        <v>2020</v>
      </c>
      <c r="P103" t="n">
        <v>2530</v>
      </c>
      <c r="Q103" t="n">
        <v>3040</v>
      </c>
      <c r="R103" t="n">
        <v>3550</v>
      </c>
      <c r="S103" t="n">
        <v>4060</v>
      </c>
      <c r="T103" t="n">
        <v>4570</v>
      </c>
      <c r="U103" t="n">
        <v>5080</v>
      </c>
      <c r="V103" t="n">
        <v>2250</v>
      </c>
      <c r="W103" t="n">
        <v>1408</v>
      </c>
      <c r="X103" t="n">
        <v>1306</v>
      </c>
      <c r="Y103" t="n">
        <v>6100</v>
      </c>
    </row>
    <row r="104">
      <c r="A104" t="n">
        <v>103</v>
      </c>
      <c r="B104" t="n">
        <v>0</v>
      </c>
      <c r="C104" t="n">
        <v>4685</v>
      </c>
      <c r="D104" t="n">
        <v>7692</v>
      </c>
      <c r="E104" t="n">
        <v>20670</v>
      </c>
      <c r="F104" t="n">
        <v>55273</v>
      </c>
      <c r="G104" t="n">
        <v>146270</v>
      </c>
      <c r="H104" t="n">
        <v>384393</v>
      </c>
      <c r="I104" t="n">
        <v>1000018</v>
      </c>
      <c r="J104" t="n">
        <v>2000</v>
      </c>
      <c r="K104" t="n">
        <v>7469</v>
      </c>
      <c r="L104" t="n">
        <v>2030</v>
      </c>
      <c r="M104" t="n">
        <v>1003</v>
      </c>
      <c r="N104" t="n">
        <v>1515</v>
      </c>
      <c r="O104" t="n">
        <v>2030</v>
      </c>
      <c r="P104" t="n">
        <v>2545</v>
      </c>
      <c r="Q104" t="n">
        <v>3060</v>
      </c>
      <c r="R104" t="n">
        <v>3575</v>
      </c>
      <c r="S104" t="n">
        <v>4090</v>
      </c>
      <c r="T104" t="n">
        <v>4605</v>
      </c>
      <c r="U104" t="n">
        <v>5120</v>
      </c>
      <c r="V104" t="n">
        <v>2266</v>
      </c>
      <c r="W104" t="n">
        <v>1412</v>
      </c>
      <c r="X104" t="n">
        <v>1309</v>
      </c>
      <c r="Y104" t="n">
        <v>6150</v>
      </c>
    </row>
    <row r="105">
      <c r="A105" t="n">
        <v>104</v>
      </c>
      <c r="B105" t="n">
        <v>0</v>
      </c>
      <c r="C105" t="n">
        <v>4756</v>
      </c>
      <c r="D105" t="n">
        <v>7846</v>
      </c>
      <c r="E105" t="n">
        <v>21291</v>
      </c>
      <c r="F105" t="n">
        <v>57484</v>
      </c>
      <c r="G105" t="n">
        <v>153584</v>
      </c>
      <c r="H105" t="n">
        <v>407457</v>
      </c>
      <c r="I105" t="n">
        <v>1070020</v>
      </c>
      <c r="J105" t="n">
        <v>2000</v>
      </c>
      <c r="K105" t="n">
        <v>7544</v>
      </c>
      <c r="L105" t="n">
        <v>2040</v>
      </c>
      <c r="M105" t="n">
        <v>1004</v>
      </c>
      <c r="N105" t="n">
        <v>1520</v>
      </c>
      <c r="O105" t="n">
        <v>2040</v>
      </c>
      <c r="P105" t="n">
        <v>2560</v>
      </c>
      <c r="Q105" t="n">
        <v>3080</v>
      </c>
      <c r="R105" t="n">
        <v>3600</v>
      </c>
      <c r="S105" t="n">
        <v>4120</v>
      </c>
      <c r="T105" t="n">
        <v>4640</v>
      </c>
      <c r="U105" t="n">
        <v>5160</v>
      </c>
      <c r="V105" t="n">
        <v>2282</v>
      </c>
      <c r="W105" t="n">
        <v>1416</v>
      </c>
      <c r="X105" t="n">
        <v>1312</v>
      </c>
      <c r="Y105" t="n">
        <v>6200</v>
      </c>
    </row>
    <row r="106">
      <c r="A106" t="n">
        <v>105</v>
      </c>
      <c r="B106" t="n">
        <v>0</v>
      </c>
      <c r="C106" t="n">
        <v>4828</v>
      </c>
      <c r="D106" t="n">
        <v>8003</v>
      </c>
      <c r="E106" t="n">
        <v>21930</v>
      </c>
      <c r="F106" t="n">
        <v>59784</v>
      </c>
      <c r="G106" t="n">
        <v>161264</v>
      </c>
      <c r="H106" t="n">
        <v>431905</v>
      </c>
      <c r="I106" t="n">
        <v>1144922</v>
      </c>
      <c r="J106" t="n">
        <v>2000</v>
      </c>
      <c r="K106" t="n">
        <v>7620</v>
      </c>
      <c r="L106" t="n">
        <v>2050</v>
      </c>
      <c r="M106" t="n">
        <v>1005</v>
      </c>
      <c r="N106" t="n">
        <v>1525</v>
      </c>
      <c r="O106" t="n">
        <v>2050</v>
      </c>
      <c r="P106" t="n">
        <v>2575</v>
      </c>
      <c r="Q106" t="n">
        <v>3100</v>
      </c>
      <c r="R106" t="n">
        <v>3625</v>
      </c>
      <c r="S106" t="n">
        <v>4150</v>
      </c>
      <c r="T106" t="n">
        <v>4675</v>
      </c>
      <c r="U106" t="n">
        <v>5200</v>
      </c>
      <c r="V106" t="n">
        <v>2298</v>
      </c>
      <c r="W106" t="n">
        <v>1420</v>
      </c>
      <c r="X106" t="n">
        <v>1315</v>
      </c>
      <c r="Y106" t="n">
        <v>6250</v>
      </c>
    </row>
    <row r="107">
      <c r="A107" t="n">
        <v>106</v>
      </c>
      <c r="B107" t="n">
        <v>0</v>
      </c>
      <c r="C107" t="n">
        <v>4901</v>
      </c>
      <c r="D107" t="n">
        <v>8164</v>
      </c>
      <c r="E107" t="n">
        <v>22588</v>
      </c>
      <c r="F107" t="n">
        <v>62176</v>
      </c>
      <c r="G107" t="n">
        <v>169328</v>
      </c>
      <c r="H107" t="n">
        <v>457820</v>
      </c>
      <c r="I107" t="n">
        <v>1225067</v>
      </c>
      <c r="J107" t="n">
        <v>2000</v>
      </c>
      <c r="K107" t="n">
        <v>7697</v>
      </c>
      <c r="L107" t="n">
        <v>2060</v>
      </c>
      <c r="M107" t="n">
        <v>1006</v>
      </c>
      <c r="N107" t="n">
        <v>1530</v>
      </c>
      <c r="O107" t="n">
        <v>2060</v>
      </c>
      <c r="P107" t="n">
        <v>2590</v>
      </c>
      <c r="Q107" t="n">
        <v>3120</v>
      </c>
      <c r="R107" t="n">
        <v>3650</v>
      </c>
      <c r="S107" t="n">
        <v>4180</v>
      </c>
      <c r="T107" t="n">
        <v>4710</v>
      </c>
      <c r="U107" t="n">
        <v>5240</v>
      </c>
      <c r="V107" t="n">
        <v>2314</v>
      </c>
      <c r="W107" t="n">
        <v>1424</v>
      </c>
      <c r="X107" t="n">
        <v>1318</v>
      </c>
      <c r="Y107" t="n">
        <v>6300</v>
      </c>
    </row>
    <row r="108">
      <c r="A108" t="n">
        <v>107</v>
      </c>
      <c r="B108" t="n">
        <v>0</v>
      </c>
      <c r="C108" t="n">
        <v>4975</v>
      </c>
      <c r="D108" t="n">
        <v>8328</v>
      </c>
      <c r="E108" t="n">
        <v>23266</v>
      </c>
      <c r="F108" t="n">
        <v>64664</v>
      </c>
      <c r="G108" t="n">
        <v>177795</v>
      </c>
      <c r="H108" t="n">
        <v>485290</v>
      </c>
      <c r="I108" t="n">
        <v>1310822</v>
      </c>
      <c r="J108" t="n">
        <v>2000</v>
      </c>
      <c r="K108" t="n">
        <v>7774</v>
      </c>
      <c r="L108" t="n">
        <v>2070</v>
      </c>
      <c r="M108" t="n">
        <v>1007</v>
      </c>
      <c r="N108" t="n">
        <v>1535</v>
      </c>
      <c r="O108" t="n">
        <v>2070</v>
      </c>
      <c r="P108" t="n">
        <v>2605</v>
      </c>
      <c r="Q108" t="n">
        <v>3140</v>
      </c>
      <c r="R108" t="n">
        <v>3675</v>
      </c>
      <c r="S108" t="n">
        <v>4210</v>
      </c>
      <c r="T108" t="n">
        <v>4745</v>
      </c>
      <c r="U108" t="n">
        <v>5280</v>
      </c>
      <c r="V108" t="n">
        <v>2330</v>
      </c>
      <c r="W108" t="n">
        <v>1428</v>
      </c>
      <c r="X108" t="n">
        <v>1321</v>
      </c>
      <c r="Y108" t="n">
        <v>6350</v>
      </c>
    </row>
    <row r="109">
      <c r="A109" t="n">
        <v>108</v>
      </c>
      <c r="B109" t="n">
        <v>0</v>
      </c>
      <c r="C109" t="n">
        <v>5050</v>
      </c>
      <c r="D109" t="n">
        <v>8495</v>
      </c>
      <c r="E109" t="n">
        <v>23964</v>
      </c>
      <c r="F109" t="n">
        <v>67251</v>
      </c>
      <c r="G109" t="n">
        <v>186685</v>
      </c>
      <c r="H109" t="n">
        <v>514408</v>
      </c>
      <c r="I109" t="n">
        <v>1402580</v>
      </c>
      <c r="J109" t="n">
        <v>2000</v>
      </c>
      <c r="K109" t="n">
        <v>7852</v>
      </c>
      <c r="L109" t="n">
        <v>2080</v>
      </c>
      <c r="M109" t="n">
        <v>1008</v>
      </c>
      <c r="N109" t="n">
        <v>1540</v>
      </c>
      <c r="O109" t="n">
        <v>2080</v>
      </c>
      <c r="P109" t="n">
        <v>2620</v>
      </c>
      <c r="Q109" t="n">
        <v>3160</v>
      </c>
      <c r="R109" t="n">
        <v>3700</v>
      </c>
      <c r="S109" t="n">
        <v>4240</v>
      </c>
      <c r="T109" t="n">
        <v>4780</v>
      </c>
      <c r="U109" t="n">
        <v>5320</v>
      </c>
      <c r="V109" t="n">
        <v>2346</v>
      </c>
      <c r="W109" t="n">
        <v>1432</v>
      </c>
      <c r="X109" t="n">
        <v>1324</v>
      </c>
      <c r="Y109" t="n">
        <v>6400</v>
      </c>
    </row>
    <row r="110">
      <c r="A110" t="n">
        <v>109</v>
      </c>
      <c r="B110" t="n">
        <v>0</v>
      </c>
      <c r="C110" t="n">
        <v>5126</v>
      </c>
      <c r="D110" t="n">
        <v>8665</v>
      </c>
      <c r="E110" t="n">
        <v>24683</v>
      </c>
      <c r="F110" t="n">
        <v>69942</v>
      </c>
      <c r="G110" t="n">
        <v>196020</v>
      </c>
      <c r="H110" t="n">
        <v>545273</v>
      </c>
      <c r="I110" t="n">
        <v>1500761</v>
      </c>
      <c r="J110" t="n">
        <v>2000</v>
      </c>
      <c r="K110" t="n">
        <v>7931</v>
      </c>
      <c r="L110" t="n">
        <v>2090</v>
      </c>
      <c r="M110" t="n">
        <v>1009</v>
      </c>
      <c r="N110" t="n">
        <v>1545</v>
      </c>
      <c r="O110" t="n">
        <v>2090</v>
      </c>
      <c r="P110" t="n">
        <v>2635</v>
      </c>
      <c r="Q110" t="n">
        <v>3180</v>
      </c>
      <c r="R110" t="n">
        <v>3725</v>
      </c>
      <c r="S110" t="n">
        <v>4270</v>
      </c>
      <c r="T110" t="n">
        <v>4815</v>
      </c>
      <c r="U110" t="n">
        <v>5360</v>
      </c>
      <c r="V110" t="n">
        <v>2362</v>
      </c>
      <c r="W110" t="n">
        <v>1436</v>
      </c>
      <c r="X110" t="n">
        <v>1327</v>
      </c>
      <c r="Y110" t="n">
        <v>6450</v>
      </c>
    </row>
    <row r="111">
      <c r="A111" t="n">
        <v>110</v>
      </c>
      <c r="B111" t="n">
        <v>0</v>
      </c>
      <c r="C111" t="n">
        <v>5203</v>
      </c>
      <c r="D111" t="n">
        <v>8839</v>
      </c>
      <c r="E111" t="n">
        <v>25424</v>
      </c>
      <c r="F111" t="n">
        <v>72740</v>
      </c>
      <c r="G111" t="n">
        <v>205821</v>
      </c>
      <c r="H111" t="n">
        <v>577990</v>
      </c>
      <c r="I111" t="n">
        <v>1605815</v>
      </c>
      <c r="J111" t="n">
        <v>2000</v>
      </c>
      <c r="K111" t="n">
        <v>8011</v>
      </c>
      <c r="L111" t="n">
        <v>2100</v>
      </c>
      <c r="M111" t="n">
        <v>1010</v>
      </c>
      <c r="N111" t="n">
        <v>1550</v>
      </c>
      <c r="O111" t="n">
        <v>2100</v>
      </c>
      <c r="P111" t="n">
        <v>2650</v>
      </c>
      <c r="Q111" t="n">
        <v>3200</v>
      </c>
      <c r="R111" t="n">
        <v>3750</v>
      </c>
      <c r="S111" t="n">
        <v>4300</v>
      </c>
      <c r="T111" t="n">
        <v>4850</v>
      </c>
      <c r="U111" t="n">
        <v>5400</v>
      </c>
      <c r="V111" t="n">
        <v>2378</v>
      </c>
      <c r="W111" t="n">
        <v>1440</v>
      </c>
      <c r="X111" t="n">
        <v>1330</v>
      </c>
      <c r="Y111" t="n">
        <v>6500</v>
      </c>
    </row>
    <row r="112">
      <c r="A112" t="n">
        <v>111</v>
      </c>
      <c r="B112" t="n">
        <v>0</v>
      </c>
      <c r="C112" t="n">
        <v>5282</v>
      </c>
      <c r="D112" t="n">
        <v>9016</v>
      </c>
      <c r="E112" t="n">
        <v>26187</v>
      </c>
      <c r="F112" t="n">
        <v>75650</v>
      </c>
      <c r="G112" t="n">
        <v>216113</v>
      </c>
      <c r="H112" t="n">
        <v>612670</v>
      </c>
      <c r="I112" t="n">
        <v>1718223</v>
      </c>
      <c r="J112" t="n">
        <v>2000</v>
      </c>
      <c r="K112" t="n">
        <v>8092</v>
      </c>
      <c r="L112" t="n">
        <v>2110</v>
      </c>
      <c r="M112" t="n">
        <v>1011</v>
      </c>
      <c r="N112" t="n">
        <v>1555</v>
      </c>
      <c r="O112" t="n">
        <v>2110</v>
      </c>
      <c r="P112" t="n">
        <v>2665</v>
      </c>
      <c r="Q112" t="n">
        <v>3220</v>
      </c>
      <c r="R112" t="n">
        <v>3775</v>
      </c>
      <c r="S112" t="n">
        <v>4330</v>
      </c>
      <c r="T112" t="n">
        <v>4885</v>
      </c>
      <c r="U112" t="n">
        <v>5440</v>
      </c>
      <c r="V112" t="n">
        <v>2394</v>
      </c>
      <c r="W112" t="n">
        <v>1444</v>
      </c>
      <c r="X112" t="n">
        <v>1333</v>
      </c>
      <c r="Y112" t="n">
        <v>6550</v>
      </c>
    </row>
    <row r="113">
      <c r="A113" t="n">
        <v>112</v>
      </c>
      <c r="B113" t="n">
        <v>0</v>
      </c>
      <c r="C113" t="n">
        <v>5362</v>
      </c>
      <c r="D113" t="n">
        <v>9197</v>
      </c>
      <c r="E113" t="n">
        <v>26973</v>
      </c>
      <c r="F113" t="n">
        <v>78676</v>
      </c>
      <c r="G113" t="n">
        <v>226919</v>
      </c>
      <c r="H113" t="n">
        <v>649431</v>
      </c>
      <c r="I113" t="n">
        <v>1838499</v>
      </c>
      <c r="J113" t="n">
        <v>2000</v>
      </c>
      <c r="K113" t="n">
        <v>8173</v>
      </c>
      <c r="L113" t="n">
        <v>2120</v>
      </c>
      <c r="M113" t="n">
        <v>1012</v>
      </c>
      <c r="N113" t="n">
        <v>1560</v>
      </c>
      <c r="O113" t="n">
        <v>2120</v>
      </c>
      <c r="P113" t="n">
        <v>2680</v>
      </c>
      <c r="Q113" t="n">
        <v>3240</v>
      </c>
      <c r="R113" t="n">
        <v>3800</v>
      </c>
      <c r="S113" t="n">
        <v>4360</v>
      </c>
      <c r="T113" t="n">
        <v>4920</v>
      </c>
      <c r="U113" t="n">
        <v>5480</v>
      </c>
      <c r="V113" t="n">
        <v>2410</v>
      </c>
      <c r="W113" t="n">
        <v>1448</v>
      </c>
      <c r="X113" t="n">
        <v>1336</v>
      </c>
      <c r="Y113" t="n">
        <v>6600</v>
      </c>
    </row>
    <row r="114">
      <c r="A114" t="n">
        <v>113</v>
      </c>
      <c r="B114" t="n">
        <v>0</v>
      </c>
      <c r="C114" t="n">
        <v>5443</v>
      </c>
      <c r="D114" t="n">
        <v>9381</v>
      </c>
      <c r="E114" t="n">
        <v>27783</v>
      </c>
      <c r="F114" t="n">
        <v>81824</v>
      </c>
      <c r="G114" t="n">
        <v>238265</v>
      </c>
      <c r="H114" t="n">
        <v>688397</v>
      </c>
      <c r="I114" t="n">
        <v>1967194</v>
      </c>
      <c r="J114" t="n">
        <v>2000</v>
      </c>
      <c r="K114" t="n">
        <v>8255</v>
      </c>
      <c r="L114" t="n">
        <v>2130</v>
      </c>
      <c r="M114" t="n">
        <v>1013</v>
      </c>
      <c r="N114" t="n">
        <v>1565</v>
      </c>
      <c r="O114" t="n">
        <v>2130</v>
      </c>
      <c r="P114" t="n">
        <v>2695</v>
      </c>
      <c r="Q114" t="n">
        <v>3260</v>
      </c>
      <c r="R114" t="n">
        <v>3825</v>
      </c>
      <c r="S114" t="n">
        <v>4390</v>
      </c>
      <c r="T114" t="n">
        <v>4955</v>
      </c>
      <c r="U114" t="n">
        <v>5520</v>
      </c>
      <c r="V114" t="n">
        <v>2427</v>
      </c>
      <c r="W114" t="n">
        <v>1452</v>
      </c>
      <c r="X114" t="n">
        <v>1339</v>
      </c>
      <c r="Y114" t="n">
        <v>6650</v>
      </c>
    </row>
    <row r="115">
      <c r="A115" t="n">
        <v>114</v>
      </c>
      <c r="B115" t="n">
        <v>0</v>
      </c>
      <c r="C115" t="n">
        <v>5525</v>
      </c>
      <c r="D115" t="n">
        <v>9569</v>
      </c>
      <c r="E115" t="n">
        <v>28617</v>
      </c>
      <c r="F115" t="n">
        <v>85097</v>
      </c>
      <c r="G115" t="n">
        <v>250179</v>
      </c>
      <c r="H115" t="n">
        <v>729701</v>
      </c>
      <c r="I115" t="n">
        <v>2104898</v>
      </c>
      <c r="J115" t="n">
        <v>2000</v>
      </c>
      <c r="K115" t="n">
        <v>8338</v>
      </c>
      <c r="L115" t="n">
        <v>2140</v>
      </c>
      <c r="M115" t="n">
        <v>1014</v>
      </c>
      <c r="N115" t="n">
        <v>1570</v>
      </c>
      <c r="O115" t="n">
        <v>2140</v>
      </c>
      <c r="P115" t="n">
        <v>2710</v>
      </c>
      <c r="Q115" t="n">
        <v>3280</v>
      </c>
      <c r="R115" t="n">
        <v>3850</v>
      </c>
      <c r="S115" t="n">
        <v>4420</v>
      </c>
      <c r="T115" t="n">
        <v>4990</v>
      </c>
      <c r="U115" t="n">
        <v>5560</v>
      </c>
      <c r="V115" t="n">
        <v>2444</v>
      </c>
      <c r="W115" t="n">
        <v>1456</v>
      </c>
      <c r="X115" t="n">
        <v>1342</v>
      </c>
      <c r="Y115" t="n">
        <v>6700</v>
      </c>
    </row>
    <row r="116">
      <c r="A116" t="n">
        <v>115</v>
      </c>
      <c r="B116" t="n">
        <v>0</v>
      </c>
      <c r="C116" t="n">
        <v>5608</v>
      </c>
      <c r="D116" t="n">
        <v>9761</v>
      </c>
      <c r="E116" t="n">
        <v>29476</v>
      </c>
      <c r="F116" t="n">
        <v>88501</v>
      </c>
      <c r="G116" t="n">
        <v>262688</v>
      </c>
      <c r="H116" t="n">
        <v>773484</v>
      </c>
      <c r="I116" t="n">
        <v>2252241</v>
      </c>
      <c r="J116" t="n">
        <v>2000</v>
      </c>
      <c r="K116" t="n">
        <v>8422</v>
      </c>
      <c r="L116" t="n">
        <v>2150</v>
      </c>
      <c r="M116" t="n">
        <v>1015</v>
      </c>
      <c r="N116" t="n">
        <v>1575</v>
      </c>
      <c r="O116" t="n">
        <v>2150</v>
      </c>
      <c r="P116" t="n">
        <v>2725</v>
      </c>
      <c r="Q116" t="n">
        <v>3300</v>
      </c>
      <c r="R116" t="n">
        <v>3875</v>
      </c>
      <c r="S116" t="n">
        <v>4450</v>
      </c>
      <c r="T116" t="n">
        <v>5025</v>
      </c>
      <c r="U116" t="n">
        <v>5600</v>
      </c>
      <c r="V116" t="n">
        <v>2461</v>
      </c>
      <c r="W116" t="n">
        <v>1460</v>
      </c>
      <c r="X116" t="n">
        <v>1345</v>
      </c>
      <c r="Y116" t="n">
        <v>6750</v>
      </c>
    </row>
    <row r="117">
      <c r="A117" t="n">
        <v>116</v>
      </c>
      <c r="B117" t="n">
        <v>0</v>
      </c>
      <c r="C117" t="n">
        <v>5693</v>
      </c>
      <c r="D117" t="n">
        <v>9957</v>
      </c>
      <c r="E117" t="n">
        <v>30361</v>
      </c>
      <c r="F117" t="n">
        <v>92042</v>
      </c>
      <c r="G117" t="n">
        <v>275823</v>
      </c>
      <c r="H117" t="n">
        <v>819894</v>
      </c>
      <c r="I117" t="n">
        <v>2409898</v>
      </c>
      <c r="J117" t="n">
        <v>2000</v>
      </c>
      <c r="K117" t="n">
        <v>8507</v>
      </c>
      <c r="L117" t="n">
        <v>2160</v>
      </c>
      <c r="M117" t="n">
        <v>1016</v>
      </c>
      <c r="N117" t="n">
        <v>1580</v>
      </c>
      <c r="O117" t="n">
        <v>2160</v>
      </c>
      <c r="P117" t="n">
        <v>2740</v>
      </c>
      <c r="Q117" t="n">
        <v>3320</v>
      </c>
      <c r="R117" t="n">
        <v>3900</v>
      </c>
      <c r="S117" t="n">
        <v>4480</v>
      </c>
      <c r="T117" t="n">
        <v>5060</v>
      </c>
      <c r="U117" t="n">
        <v>5640</v>
      </c>
      <c r="V117" t="n">
        <v>2478</v>
      </c>
      <c r="W117" t="n">
        <v>1464</v>
      </c>
      <c r="X117" t="n">
        <v>1348</v>
      </c>
      <c r="Y117" t="n">
        <v>6800</v>
      </c>
    </row>
    <row r="118">
      <c r="A118" t="n">
        <v>117</v>
      </c>
      <c r="B118" t="n">
        <v>0</v>
      </c>
      <c r="C118" t="n">
        <v>5779</v>
      </c>
      <c r="D118" t="n">
        <v>10157</v>
      </c>
      <c r="E118" t="n">
        <v>31272</v>
      </c>
      <c r="F118" t="n">
        <v>95724</v>
      </c>
      <c r="G118" t="n">
        <v>289615</v>
      </c>
      <c r="H118" t="n">
        <v>869088</v>
      </c>
      <c r="I118" t="n">
        <v>2578591</v>
      </c>
      <c r="J118" t="n">
        <v>2000</v>
      </c>
      <c r="K118" t="n">
        <v>8593</v>
      </c>
      <c r="L118" t="n">
        <v>2170</v>
      </c>
      <c r="M118" t="n">
        <v>1017</v>
      </c>
      <c r="N118" t="n">
        <v>1585</v>
      </c>
      <c r="O118" t="n">
        <v>2170</v>
      </c>
      <c r="P118" t="n">
        <v>2755</v>
      </c>
      <c r="Q118" t="n">
        <v>3340</v>
      </c>
      <c r="R118" t="n">
        <v>3925</v>
      </c>
      <c r="S118" t="n">
        <v>4510</v>
      </c>
      <c r="T118" t="n">
        <v>5095</v>
      </c>
      <c r="U118" t="n">
        <v>5680</v>
      </c>
      <c r="V118" t="n">
        <v>2495</v>
      </c>
      <c r="W118" t="n">
        <v>1468</v>
      </c>
      <c r="X118" t="n">
        <v>1351</v>
      </c>
      <c r="Y118" t="n">
        <v>6850</v>
      </c>
    </row>
    <row r="119">
      <c r="A119" t="n">
        <v>118</v>
      </c>
      <c r="B119" t="n">
        <v>0</v>
      </c>
      <c r="C119" t="n">
        <v>5866</v>
      </c>
      <c r="D119" t="n">
        <v>10361</v>
      </c>
      <c r="E119" t="n">
        <v>32211</v>
      </c>
      <c r="F119" t="n">
        <v>99553</v>
      </c>
      <c r="G119" t="n">
        <v>304096</v>
      </c>
      <c r="H119" t="n">
        <v>921234</v>
      </c>
      <c r="I119" t="n">
        <v>2759093</v>
      </c>
      <c r="J119" t="n">
        <v>2000</v>
      </c>
      <c r="K119" t="n">
        <v>8679</v>
      </c>
      <c r="L119" t="n">
        <v>2180</v>
      </c>
      <c r="M119" t="n">
        <v>1018</v>
      </c>
      <c r="N119" t="n">
        <v>1590</v>
      </c>
      <c r="O119" t="n">
        <v>2180</v>
      </c>
      <c r="P119" t="n">
        <v>2770</v>
      </c>
      <c r="Q119" t="n">
        <v>3360</v>
      </c>
      <c r="R119" t="n">
        <v>3950</v>
      </c>
      <c r="S119" t="n">
        <v>4540</v>
      </c>
      <c r="T119" t="n">
        <v>5130</v>
      </c>
      <c r="U119" t="n">
        <v>5720</v>
      </c>
      <c r="V119" t="n">
        <v>2512</v>
      </c>
      <c r="W119" t="n">
        <v>1472</v>
      </c>
      <c r="X119" t="n">
        <v>1354</v>
      </c>
      <c r="Y119" t="n">
        <v>6900</v>
      </c>
    </row>
    <row r="120">
      <c r="A120" t="n">
        <v>119</v>
      </c>
      <c r="B120" t="n">
        <v>0</v>
      </c>
      <c r="C120" t="n">
        <v>5954</v>
      </c>
      <c r="D120" t="n">
        <v>10569</v>
      </c>
      <c r="E120" t="n">
        <v>33178</v>
      </c>
      <c r="F120" t="n">
        <v>103536</v>
      </c>
      <c r="G120" t="n">
        <v>319301</v>
      </c>
      <c r="H120" t="n">
        <v>976509</v>
      </c>
      <c r="I120" t="n">
        <v>2952230</v>
      </c>
      <c r="J120" t="n">
        <v>2000</v>
      </c>
      <c r="K120" t="n">
        <v>8766</v>
      </c>
      <c r="L120" t="n">
        <v>2190</v>
      </c>
      <c r="M120" t="n">
        <v>1019</v>
      </c>
      <c r="N120" t="n">
        <v>1595</v>
      </c>
      <c r="O120" t="n">
        <v>2190</v>
      </c>
      <c r="P120" t="n">
        <v>2785</v>
      </c>
      <c r="Q120" t="n">
        <v>3380</v>
      </c>
      <c r="R120" t="n">
        <v>3975</v>
      </c>
      <c r="S120" t="n">
        <v>4570</v>
      </c>
      <c r="T120" t="n">
        <v>5165</v>
      </c>
      <c r="U120" t="n">
        <v>5760</v>
      </c>
      <c r="V120" t="n">
        <v>2529</v>
      </c>
      <c r="W120" t="n">
        <v>1476</v>
      </c>
      <c r="X120" t="n">
        <v>1357</v>
      </c>
      <c r="Y120" t="n">
        <v>6950</v>
      </c>
    </row>
    <row r="121">
      <c r="A121" t="n">
        <v>120</v>
      </c>
      <c r="B121" t="n">
        <v>0</v>
      </c>
      <c r="C121" t="n">
        <v>6044</v>
      </c>
      <c r="D121" t="n">
        <v>10781</v>
      </c>
      <c r="E121" t="n">
        <v>34174</v>
      </c>
      <c r="F121" t="n">
        <v>107678</v>
      </c>
      <c r="G121" t="n">
        <v>335267</v>
      </c>
      <c r="H121" t="n">
        <v>1035100</v>
      </c>
      <c r="I121" t="n">
        <v>3158887</v>
      </c>
      <c r="J121" t="n">
        <v>2000</v>
      </c>
      <c r="K121" t="n">
        <v>8854</v>
      </c>
      <c r="L121" t="n">
        <v>2200</v>
      </c>
      <c r="M121" t="n">
        <v>1020</v>
      </c>
      <c r="N121" t="n">
        <v>1600</v>
      </c>
      <c r="O121" t="n">
        <v>2200</v>
      </c>
      <c r="P121" t="n">
        <v>2800</v>
      </c>
      <c r="Q121" t="n">
        <v>3400</v>
      </c>
      <c r="R121" t="n">
        <v>4000</v>
      </c>
      <c r="S121" t="n">
        <v>4600</v>
      </c>
      <c r="T121" t="n">
        <v>5200</v>
      </c>
      <c r="U121" t="n">
        <v>5800</v>
      </c>
      <c r="V121" t="n">
        <v>2546</v>
      </c>
      <c r="W121" t="n">
        <v>1480</v>
      </c>
      <c r="X121" t="n">
        <v>1360</v>
      </c>
      <c r="Y121" t="n">
        <v>7000</v>
      </c>
    </row>
    <row r="122">
      <c r="A122" t="n">
        <v>121</v>
      </c>
      <c r="B122" t="n">
        <v>0</v>
      </c>
      <c r="C122" t="n">
        <v>6135</v>
      </c>
      <c r="D122" t="n">
        <v>10997</v>
      </c>
      <c r="E122" t="n">
        <v>35200</v>
      </c>
      <c r="F122" t="n">
        <v>111986</v>
      </c>
      <c r="G122" t="n">
        <v>352031</v>
      </c>
      <c r="H122" t="n">
        <v>1097206</v>
      </c>
      <c r="I122" t="n">
        <v>3380010</v>
      </c>
      <c r="J122" t="n">
        <v>2000</v>
      </c>
      <c r="K122" t="n">
        <v>8943</v>
      </c>
      <c r="L122" t="n">
        <v>2210</v>
      </c>
      <c r="M122" t="n">
        <v>1021</v>
      </c>
      <c r="N122" t="n">
        <v>1605</v>
      </c>
      <c r="O122" t="n">
        <v>2210</v>
      </c>
      <c r="P122" t="n">
        <v>2815</v>
      </c>
      <c r="Q122" t="n">
        <v>3420</v>
      </c>
      <c r="R122" t="n">
        <v>4025</v>
      </c>
      <c r="S122" t="n">
        <v>4630</v>
      </c>
      <c r="T122" t="n">
        <v>5235</v>
      </c>
      <c r="U122" t="n">
        <v>5840</v>
      </c>
      <c r="V122" t="n">
        <v>2563</v>
      </c>
      <c r="W122" t="n">
        <v>1484</v>
      </c>
      <c r="X122" t="n">
        <v>1363</v>
      </c>
      <c r="Y122" t="n">
        <v>7010</v>
      </c>
    </row>
    <row r="123">
      <c r="A123" t="n">
        <v>122</v>
      </c>
      <c r="B123" t="n">
        <v>0</v>
      </c>
      <c r="C123" t="n">
        <v>6228</v>
      </c>
      <c r="D123" t="n">
        <v>11217</v>
      </c>
      <c r="E123" t="n">
        <v>36256</v>
      </c>
      <c r="F123" t="n">
        <v>116466</v>
      </c>
      <c r="G123" t="n">
        <v>369633</v>
      </c>
      <c r="H123" t="n">
        <v>1163039</v>
      </c>
      <c r="I123" t="n">
        <v>3616611</v>
      </c>
      <c r="J123" t="n">
        <v>2000</v>
      </c>
      <c r="K123" t="n">
        <v>9033</v>
      </c>
      <c r="L123" t="n">
        <v>2220</v>
      </c>
      <c r="M123" t="n">
        <v>1022</v>
      </c>
      <c r="N123" t="n">
        <v>1610</v>
      </c>
      <c r="O123" t="n">
        <v>2220</v>
      </c>
      <c r="P123" t="n">
        <v>2830</v>
      </c>
      <c r="Q123" t="n">
        <v>3440</v>
      </c>
      <c r="R123" t="n">
        <v>4050</v>
      </c>
      <c r="S123" t="n">
        <v>4660</v>
      </c>
      <c r="T123" t="n">
        <v>5270</v>
      </c>
      <c r="U123" t="n">
        <v>5880</v>
      </c>
      <c r="V123" t="n">
        <v>2580</v>
      </c>
      <c r="W123" t="n">
        <v>1488</v>
      </c>
      <c r="X123" t="n">
        <v>1366</v>
      </c>
      <c r="Y123" t="n">
        <v>7020</v>
      </c>
    </row>
    <row r="124">
      <c r="A124" t="n">
        <v>123</v>
      </c>
      <c r="B124" t="n">
        <v>0</v>
      </c>
      <c r="C124" t="n">
        <v>6322</v>
      </c>
      <c r="D124" t="n">
        <v>11442</v>
      </c>
      <c r="E124" t="n">
        <v>37344</v>
      </c>
      <c r="F124" t="n">
        <v>121125</v>
      </c>
      <c r="G124" t="n">
        <v>388115</v>
      </c>
      <c r="H124" t="n">
        <v>1232822</v>
      </c>
      <c r="I124" t="n">
        <v>3869774</v>
      </c>
      <c r="J124" t="n">
        <v>2000</v>
      </c>
      <c r="K124" t="n">
        <v>9124</v>
      </c>
      <c r="L124" t="n">
        <v>2230</v>
      </c>
      <c r="M124" t="n">
        <v>1023</v>
      </c>
      <c r="N124" t="n">
        <v>1615</v>
      </c>
      <c r="O124" t="n">
        <v>2230</v>
      </c>
      <c r="P124" t="n">
        <v>2845</v>
      </c>
      <c r="Q124" t="n">
        <v>3460</v>
      </c>
      <c r="R124" t="n">
        <v>4075</v>
      </c>
      <c r="S124" t="n">
        <v>4690</v>
      </c>
      <c r="T124" t="n">
        <v>5305</v>
      </c>
      <c r="U124" t="n">
        <v>5920</v>
      </c>
      <c r="V124" t="n">
        <v>2597</v>
      </c>
      <c r="W124" t="n">
        <v>1492</v>
      </c>
      <c r="X124" t="n">
        <v>1369</v>
      </c>
      <c r="Y124" t="n">
        <v>7030</v>
      </c>
    </row>
    <row r="125">
      <c r="A125" t="n">
        <v>124</v>
      </c>
      <c r="B125" t="n">
        <v>0</v>
      </c>
      <c r="C125" t="n">
        <v>6417</v>
      </c>
      <c r="D125" t="n">
        <v>11671</v>
      </c>
      <c r="E125" t="n">
        <v>38465</v>
      </c>
      <c r="F125" t="n">
        <v>125970</v>
      </c>
      <c r="G125" t="n">
        <v>407521</v>
      </c>
      <c r="H125" t="n">
        <v>1306792</v>
      </c>
      <c r="I125" t="n">
        <v>4140659</v>
      </c>
      <c r="J125" t="n">
        <v>2000</v>
      </c>
      <c r="K125" t="n">
        <v>9216</v>
      </c>
      <c r="L125" t="n">
        <v>2240</v>
      </c>
      <c r="M125" t="n">
        <v>1024</v>
      </c>
      <c r="N125" t="n">
        <v>1620</v>
      </c>
      <c r="O125" t="n">
        <v>2240</v>
      </c>
      <c r="P125" t="n">
        <v>2860</v>
      </c>
      <c r="Q125" t="n">
        <v>3480</v>
      </c>
      <c r="R125" t="n">
        <v>4100</v>
      </c>
      <c r="S125" t="n">
        <v>4720</v>
      </c>
      <c r="T125" t="n">
        <v>5340</v>
      </c>
      <c r="U125" t="n">
        <v>5960</v>
      </c>
      <c r="V125" t="n">
        <v>2615</v>
      </c>
      <c r="W125" t="n">
        <v>1496</v>
      </c>
      <c r="X125" t="n">
        <v>1372</v>
      </c>
      <c r="Y125" t="n">
        <v>7040</v>
      </c>
    </row>
    <row r="126">
      <c r="A126" t="n">
        <v>125</v>
      </c>
      <c r="B126" t="n">
        <v>0</v>
      </c>
      <c r="C126" t="n">
        <v>6514</v>
      </c>
      <c r="D126" t="n">
        <v>11905</v>
      </c>
      <c r="E126" t="n">
        <v>39619</v>
      </c>
      <c r="F126" t="n">
        <v>131009</v>
      </c>
      <c r="G126" t="n">
        <v>427898</v>
      </c>
      <c r="H126" t="n">
        <v>1385200</v>
      </c>
      <c r="I126" t="n">
        <v>4430506</v>
      </c>
      <c r="J126" t="n">
        <v>2000</v>
      </c>
      <c r="K126" t="n">
        <v>9309</v>
      </c>
      <c r="L126" t="n">
        <v>2250</v>
      </c>
      <c r="M126" t="n">
        <v>1025</v>
      </c>
      <c r="N126" t="n">
        <v>1625</v>
      </c>
      <c r="O126" t="n">
        <v>2250</v>
      </c>
      <c r="P126" t="n">
        <v>2875</v>
      </c>
      <c r="Q126" t="n">
        <v>3500</v>
      </c>
      <c r="R126" t="n">
        <v>4125</v>
      </c>
      <c r="S126" t="n">
        <v>4750</v>
      </c>
      <c r="T126" t="n">
        <v>5375</v>
      </c>
      <c r="U126" t="n">
        <v>6000</v>
      </c>
      <c r="V126" t="n">
        <v>2633</v>
      </c>
      <c r="W126" t="n">
        <v>1500</v>
      </c>
      <c r="X126" t="n">
        <v>1375</v>
      </c>
      <c r="Y126" t="n">
        <v>7050</v>
      </c>
    </row>
    <row r="127">
      <c r="A127" t="n">
        <v>126</v>
      </c>
      <c r="B127" t="n">
        <v>0</v>
      </c>
      <c r="C127" t="n">
        <v>6612</v>
      </c>
      <c r="D127" t="n">
        <v>12144</v>
      </c>
      <c r="E127" t="n">
        <v>40808</v>
      </c>
      <c r="F127" t="n">
        <v>136250</v>
      </c>
      <c r="G127" t="n">
        <v>449293</v>
      </c>
      <c r="H127" t="n">
        <v>1468312</v>
      </c>
      <c r="I127" t="n">
        <v>4740642</v>
      </c>
      <c r="J127" t="n">
        <v>2000</v>
      </c>
      <c r="K127" t="n">
        <v>9403</v>
      </c>
      <c r="L127" t="n">
        <v>2260</v>
      </c>
      <c r="M127" t="n">
        <v>1026</v>
      </c>
      <c r="N127" t="n">
        <v>1630</v>
      </c>
      <c r="O127" t="n">
        <v>2260</v>
      </c>
      <c r="P127" t="n">
        <v>2890</v>
      </c>
      <c r="Q127" t="n">
        <v>3520</v>
      </c>
      <c r="R127" t="n">
        <v>4150</v>
      </c>
      <c r="S127" t="n">
        <v>4780</v>
      </c>
      <c r="T127" t="n">
        <v>5410</v>
      </c>
      <c r="U127" t="n">
        <v>6040</v>
      </c>
      <c r="V127" t="n">
        <v>2651</v>
      </c>
      <c r="W127" t="n">
        <v>1504</v>
      </c>
      <c r="X127" t="n">
        <v>1378</v>
      </c>
      <c r="Y127" t="n">
        <v>7060</v>
      </c>
    </row>
    <row r="128">
      <c r="A128" t="n">
        <v>127</v>
      </c>
      <c r="B128" t="n">
        <v>0</v>
      </c>
      <c r="C128" t="n">
        <v>6712</v>
      </c>
      <c r="D128" t="n">
        <v>12387</v>
      </c>
      <c r="E128" t="n">
        <v>42033</v>
      </c>
      <c r="F128" t="n">
        <v>141700</v>
      </c>
      <c r="G128" t="n">
        <v>471758</v>
      </c>
      <c r="H128" t="n">
        <v>1556411</v>
      </c>
      <c r="I128" t="n">
        <v>5072487</v>
      </c>
      <c r="J128" t="n">
        <v>2000</v>
      </c>
      <c r="K128" t="n">
        <v>9498</v>
      </c>
      <c r="L128" t="n">
        <v>2270</v>
      </c>
      <c r="M128" t="n">
        <v>1027</v>
      </c>
      <c r="N128" t="n">
        <v>1635</v>
      </c>
      <c r="O128" t="n">
        <v>2270</v>
      </c>
      <c r="P128" t="n">
        <v>2905</v>
      </c>
      <c r="Q128" t="n">
        <v>3540</v>
      </c>
      <c r="R128" t="n">
        <v>4175</v>
      </c>
      <c r="S128" t="n">
        <v>4810</v>
      </c>
      <c r="T128" t="n">
        <v>5445</v>
      </c>
      <c r="U128" t="n">
        <v>6080</v>
      </c>
      <c r="V128" t="n">
        <v>2669</v>
      </c>
      <c r="W128" t="n">
        <v>1508</v>
      </c>
      <c r="X128" t="n">
        <v>1381</v>
      </c>
      <c r="Y128" t="n">
        <v>7070</v>
      </c>
    </row>
    <row r="129">
      <c r="A129" t="n">
        <v>128</v>
      </c>
      <c r="B129" t="n">
        <v>0</v>
      </c>
      <c r="C129" t="n">
        <v>6813</v>
      </c>
      <c r="D129" t="n">
        <v>12635</v>
      </c>
      <c r="E129" t="n">
        <v>43294</v>
      </c>
      <c r="F129" t="n">
        <v>147368</v>
      </c>
      <c r="G129" t="n">
        <v>495346</v>
      </c>
      <c r="H129" t="n">
        <v>1649796</v>
      </c>
      <c r="I129" t="n">
        <v>5427562</v>
      </c>
      <c r="J129" t="n">
        <v>2000</v>
      </c>
      <c r="K129" t="n">
        <v>9593</v>
      </c>
      <c r="L129" t="n">
        <v>2280</v>
      </c>
      <c r="M129" t="n">
        <v>1028</v>
      </c>
      <c r="N129" t="n">
        <v>1640</v>
      </c>
      <c r="O129" t="n">
        <v>2280</v>
      </c>
      <c r="P129" t="n">
        <v>2920</v>
      </c>
      <c r="Q129" t="n">
        <v>3560</v>
      </c>
      <c r="R129" t="n">
        <v>4200</v>
      </c>
      <c r="S129" t="n">
        <v>4840</v>
      </c>
      <c r="T129" t="n">
        <v>5480</v>
      </c>
      <c r="U129" t="n">
        <v>6120</v>
      </c>
      <c r="V129" t="n">
        <v>2687</v>
      </c>
      <c r="W129" t="n">
        <v>1512</v>
      </c>
      <c r="X129" t="n">
        <v>1384</v>
      </c>
      <c r="Y129" t="n">
        <v>7080</v>
      </c>
    </row>
    <row r="130">
      <c r="A130" t="n">
        <v>129</v>
      </c>
      <c r="B130" t="n">
        <v>0</v>
      </c>
      <c r="C130" t="n">
        <v>6916</v>
      </c>
      <c r="D130" t="n">
        <v>12888</v>
      </c>
      <c r="E130" t="n">
        <v>44593</v>
      </c>
      <c r="F130" t="n">
        <v>153263</v>
      </c>
      <c r="G130" t="n">
        <v>520114</v>
      </c>
      <c r="H130" t="n">
        <v>1748784</v>
      </c>
      <c r="I130" t="n">
        <v>5807492</v>
      </c>
      <c r="J130" t="n">
        <v>2000</v>
      </c>
      <c r="K130" t="n">
        <v>9689</v>
      </c>
      <c r="L130" t="n">
        <v>2290</v>
      </c>
      <c r="M130" t="n">
        <v>1029</v>
      </c>
      <c r="N130" t="n">
        <v>1645</v>
      </c>
      <c r="O130" t="n">
        <v>2290</v>
      </c>
      <c r="P130" t="n">
        <v>2935</v>
      </c>
      <c r="Q130" t="n">
        <v>3580</v>
      </c>
      <c r="R130" t="n">
        <v>4225</v>
      </c>
      <c r="S130" t="n">
        <v>4870</v>
      </c>
      <c r="T130" t="n">
        <v>5515</v>
      </c>
      <c r="U130" t="n">
        <v>6160</v>
      </c>
      <c r="V130" t="n">
        <v>2705</v>
      </c>
      <c r="W130" t="n">
        <v>1516</v>
      </c>
      <c r="X130" t="n">
        <v>1387</v>
      </c>
      <c r="Y130" t="n">
        <v>7090</v>
      </c>
    </row>
    <row r="131">
      <c r="A131" t="n">
        <v>130</v>
      </c>
      <c r="B131" t="n">
        <v>0</v>
      </c>
      <c r="C131" t="n">
        <v>7020</v>
      </c>
      <c r="D131" t="n">
        <v>13146</v>
      </c>
      <c r="E131" t="n">
        <v>45931</v>
      </c>
      <c r="F131" t="n">
        <v>159394</v>
      </c>
      <c r="G131" t="n">
        <v>546120</v>
      </c>
      <c r="H131" t="n">
        <v>1853712</v>
      </c>
      <c r="I131" t="n">
        <v>6214017</v>
      </c>
      <c r="J131" t="n">
        <v>2000</v>
      </c>
      <c r="K131" t="n">
        <v>9786</v>
      </c>
      <c r="L131" t="n">
        <v>2300</v>
      </c>
      <c r="M131" t="n">
        <v>1030</v>
      </c>
      <c r="N131" t="n">
        <v>1650</v>
      </c>
      <c r="O131" t="n">
        <v>2300</v>
      </c>
      <c r="P131" t="n">
        <v>2950</v>
      </c>
      <c r="Q131" t="n">
        <v>3600</v>
      </c>
      <c r="R131" t="n">
        <v>4250</v>
      </c>
      <c r="S131" t="n">
        <v>4900</v>
      </c>
      <c r="T131" t="n">
        <v>5550</v>
      </c>
      <c r="U131" t="n">
        <v>6200</v>
      </c>
      <c r="V131" t="n">
        <v>2723</v>
      </c>
      <c r="W131" t="n">
        <v>1520</v>
      </c>
      <c r="X131" t="n">
        <v>1390</v>
      </c>
      <c r="Y131" t="n">
        <v>7100</v>
      </c>
    </row>
    <row r="132">
      <c r="A132" t="n">
        <v>131</v>
      </c>
      <c r="B132" t="n">
        <v>0</v>
      </c>
      <c r="C132" t="n">
        <v>7126</v>
      </c>
      <c r="D132" t="n">
        <v>13409</v>
      </c>
      <c r="E132" t="n">
        <v>47309</v>
      </c>
      <c r="F132" t="n">
        <v>165770</v>
      </c>
      <c r="G132" t="n">
        <v>573426</v>
      </c>
      <c r="H132" t="n">
        <v>1964935</v>
      </c>
      <c r="I132" t="n">
        <v>6648999</v>
      </c>
      <c r="J132" t="n">
        <v>2000</v>
      </c>
      <c r="K132" t="n">
        <v>9884</v>
      </c>
      <c r="L132" t="n">
        <v>2310</v>
      </c>
      <c r="M132" t="n">
        <v>1031</v>
      </c>
      <c r="N132" t="n">
        <v>1655</v>
      </c>
      <c r="O132" t="n">
        <v>2310</v>
      </c>
      <c r="P132" t="n">
        <v>2965</v>
      </c>
      <c r="Q132" t="n">
        <v>3620</v>
      </c>
      <c r="R132" t="n">
        <v>4275</v>
      </c>
      <c r="S132" t="n">
        <v>4930</v>
      </c>
      <c r="T132" t="n">
        <v>5585</v>
      </c>
      <c r="U132" t="n">
        <v>6240</v>
      </c>
      <c r="V132" t="n">
        <v>2741</v>
      </c>
      <c r="W132" t="n">
        <v>1524</v>
      </c>
      <c r="X132" t="n">
        <v>1393</v>
      </c>
      <c r="Y132" t="n">
        <v>7110</v>
      </c>
    </row>
    <row r="133">
      <c r="A133" t="n">
        <v>132</v>
      </c>
      <c r="B133" t="n">
        <v>0</v>
      </c>
      <c r="C133" t="n">
        <v>7233</v>
      </c>
      <c r="D133" t="n">
        <v>13678</v>
      </c>
      <c r="E133" t="n">
        <v>48729</v>
      </c>
      <c r="F133" t="n">
        <v>172401</v>
      </c>
      <c r="G133" t="n">
        <v>602098</v>
      </c>
      <c r="H133" t="n">
        <v>2082832</v>
      </c>
      <c r="I133" t="n">
        <v>7114429</v>
      </c>
      <c r="J133" t="n">
        <v>2000</v>
      </c>
      <c r="K133" t="n">
        <v>9983</v>
      </c>
      <c r="L133" t="n">
        <v>2320</v>
      </c>
      <c r="M133" t="n">
        <v>1032</v>
      </c>
      <c r="N133" t="n">
        <v>1660</v>
      </c>
      <c r="O133" t="n">
        <v>2320</v>
      </c>
      <c r="P133" t="n">
        <v>2980</v>
      </c>
      <c r="Q133" t="n">
        <v>3640</v>
      </c>
      <c r="R133" t="n">
        <v>4300</v>
      </c>
      <c r="S133" t="n">
        <v>4960</v>
      </c>
      <c r="T133" t="n">
        <v>5620</v>
      </c>
      <c r="U133" t="n">
        <v>6280</v>
      </c>
      <c r="V133" t="n">
        <v>2759</v>
      </c>
      <c r="W133" t="n">
        <v>1528</v>
      </c>
      <c r="X133" t="n">
        <v>1396</v>
      </c>
      <c r="Y133" t="n">
        <v>7120</v>
      </c>
    </row>
    <row r="134">
      <c r="A134" t="n">
        <v>133</v>
      </c>
      <c r="B134" t="n">
        <v>0</v>
      </c>
      <c r="C134" t="n">
        <v>7342</v>
      </c>
      <c r="D134" t="n">
        <v>13952</v>
      </c>
      <c r="E134" t="n">
        <v>50191</v>
      </c>
      <c r="F134" t="n">
        <v>179298</v>
      </c>
      <c r="G134" t="n">
        <v>632203</v>
      </c>
      <c r="H134" t="n">
        <v>2207802</v>
      </c>
      <c r="I134" t="n">
        <v>7612440</v>
      </c>
      <c r="J134" t="n">
        <v>2000</v>
      </c>
      <c r="K134" t="n">
        <v>10083</v>
      </c>
      <c r="L134" t="n">
        <v>2330</v>
      </c>
      <c r="M134" t="n">
        <v>1033</v>
      </c>
      <c r="N134" t="n">
        <v>1665</v>
      </c>
      <c r="O134" t="n">
        <v>2330</v>
      </c>
      <c r="P134" t="n">
        <v>2995</v>
      </c>
      <c r="Q134" t="n">
        <v>3660</v>
      </c>
      <c r="R134" t="n">
        <v>4325</v>
      </c>
      <c r="S134" t="n">
        <v>4990</v>
      </c>
      <c r="T134" t="n">
        <v>5655</v>
      </c>
      <c r="U134" t="n">
        <v>6320</v>
      </c>
      <c r="V134" t="n">
        <v>2777</v>
      </c>
      <c r="W134" t="n">
        <v>1532</v>
      </c>
      <c r="X134" t="n">
        <v>1399</v>
      </c>
      <c r="Y134" t="n">
        <v>7130</v>
      </c>
    </row>
    <row r="135">
      <c r="A135" t="n">
        <v>134</v>
      </c>
      <c r="B135" t="n">
        <v>0</v>
      </c>
      <c r="C135" t="n">
        <v>7453</v>
      </c>
      <c r="D135" t="n">
        <v>14232</v>
      </c>
      <c r="E135" t="n">
        <v>51697</v>
      </c>
      <c r="F135" t="n">
        <v>186470</v>
      </c>
      <c r="G135" t="n">
        <v>663814</v>
      </c>
      <c r="H135" t="n">
        <v>2340271</v>
      </c>
      <c r="I135" t="n">
        <v>8145311</v>
      </c>
      <c r="J135" t="n">
        <v>2000</v>
      </c>
      <c r="K135" t="n">
        <v>10184</v>
      </c>
      <c r="L135" t="n">
        <v>2340</v>
      </c>
      <c r="M135" t="n">
        <v>1034</v>
      </c>
      <c r="N135" t="n">
        <v>1670</v>
      </c>
      <c r="O135" t="n">
        <v>2340</v>
      </c>
      <c r="P135" t="n">
        <v>3010</v>
      </c>
      <c r="Q135" t="n">
        <v>3680</v>
      </c>
      <c r="R135" t="n">
        <v>4350</v>
      </c>
      <c r="S135" t="n">
        <v>5020</v>
      </c>
      <c r="T135" t="n">
        <v>5690</v>
      </c>
      <c r="U135" t="n">
        <v>6360</v>
      </c>
      <c r="V135" t="n">
        <v>2795</v>
      </c>
      <c r="W135" t="n">
        <v>1536</v>
      </c>
      <c r="X135" t="n">
        <v>1402</v>
      </c>
      <c r="Y135" t="n">
        <v>7140</v>
      </c>
    </row>
    <row r="136">
      <c r="A136" t="n">
        <v>135</v>
      </c>
      <c r="B136" t="n">
        <v>0</v>
      </c>
      <c r="C136" t="n">
        <v>7565</v>
      </c>
      <c r="D136" t="n">
        <v>14517</v>
      </c>
      <c r="E136" t="n">
        <v>53248</v>
      </c>
      <c r="F136" t="n">
        <v>193929</v>
      </c>
      <c r="G136" t="n">
        <v>697005</v>
      </c>
      <c r="H136" t="n">
        <v>2480688</v>
      </c>
      <c r="I136" t="n">
        <v>8715483</v>
      </c>
      <c r="J136" t="n">
        <v>2000</v>
      </c>
      <c r="K136" t="n">
        <v>10286</v>
      </c>
      <c r="L136" t="n">
        <v>2350</v>
      </c>
      <c r="M136" t="n">
        <v>1035</v>
      </c>
      <c r="N136" t="n">
        <v>1675</v>
      </c>
      <c r="O136" t="n">
        <v>2350</v>
      </c>
      <c r="P136" t="n">
        <v>3025</v>
      </c>
      <c r="Q136" t="n">
        <v>3700</v>
      </c>
      <c r="R136" t="n">
        <v>4375</v>
      </c>
      <c r="S136" t="n">
        <v>5050</v>
      </c>
      <c r="T136" t="n">
        <v>5725</v>
      </c>
      <c r="U136" t="n">
        <v>6400</v>
      </c>
      <c r="V136" t="n">
        <v>2813</v>
      </c>
      <c r="W136" t="n">
        <v>1540</v>
      </c>
      <c r="X136" t="n">
        <v>1405</v>
      </c>
      <c r="Y136" t="n">
        <v>7150</v>
      </c>
    </row>
    <row r="137">
      <c r="A137" t="n">
        <v>136</v>
      </c>
      <c r="B137" t="n">
        <v>0</v>
      </c>
      <c r="C137" t="n">
        <v>7679</v>
      </c>
      <c r="D137" t="n">
        <v>14808</v>
      </c>
      <c r="E137" t="n">
        <v>54846</v>
      </c>
      <c r="F137" t="n">
        <v>201687</v>
      </c>
      <c r="G137" t="n">
        <v>731856</v>
      </c>
      <c r="H137" t="n">
        <v>2629530</v>
      </c>
      <c r="I137" t="n">
        <v>9325567</v>
      </c>
      <c r="J137" t="n">
        <v>2000</v>
      </c>
      <c r="K137" t="n">
        <v>10389</v>
      </c>
      <c r="L137" t="n">
        <v>2360</v>
      </c>
      <c r="M137" t="n">
        <v>1036</v>
      </c>
      <c r="N137" t="n">
        <v>1680</v>
      </c>
      <c r="O137" t="n">
        <v>2360</v>
      </c>
      <c r="P137" t="n">
        <v>3040</v>
      </c>
      <c r="Q137" t="n">
        <v>3720</v>
      </c>
      <c r="R137" t="n">
        <v>4400</v>
      </c>
      <c r="S137" t="n">
        <v>5080</v>
      </c>
      <c r="T137" t="n">
        <v>5760</v>
      </c>
      <c r="U137" t="n">
        <v>6440</v>
      </c>
      <c r="V137" t="n">
        <v>2832</v>
      </c>
      <c r="W137" t="n">
        <v>1544</v>
      </c>
      <c r="X137" t="n">
        <v>1408</v>
      </c>
      <c r="Y137" t="n">
        <v>7160</v>
      </c>
    </row>
    <row r="138">
      <c r="A138" t="n">
        <v>137</v>
      </c>
      <c r="B138" t="n">
        <v>0</v>
      </c>
      <c r="C138" t="n">
        <v>7795</v>
      </c>
      <c r="D138" t="n">
        <v>15105</v>
      </c>
      <c r="E138" t="n">
        <v>56492</v>
      </c>
      <c r="F138" t="n">
        <v>209755</v>
      </c>
      <c r="G138" t="n">
        <v>768449</v>
      </c>
      <c r="H138" t="n">
        <v>2787302</v>
      </c>
      <c r="I138" t="n">
        <v>9978357</v>
      </c>
      <c r="J138" t="n">
        <v>2000</v>
      </c>
      <c r="K138" t="n">
        <v>10493</v>
      </c>
      <c r="L138" t="n">
        <v>2370</v>
      </c>
      <c r="M138" t="n">
        <v>1037</v>
      </c>
      <c r="N138" t="n">
        <v>1685</v>
      </c>
      <c r="O138" t="n">
        <v>2370</v>
      </c>
      <c r="P138" t="n">
        <v>3055</v>
      </c>
      <c r="Q138" t="n">
        <v>3740</v>
      </c>
      <c r="R138" t="n">
        <v>4425</v>
      </c>
      <c r="S138" t="n">
        <v>5110</v>
      </c>
      <c r="T138" t="n">
        <v>5795</v>
      </c>
      <c r="U138" t="n">
        <v>6480</v>
      </c>
      <c r="V138" t="n">
        <v>2851</v>
      </c>
      <c r="W138" t="n">
        <v>1548</v>
      </c>
      <c r="X138" t="n">
        <v>1411</v>
      </c>
      <c r="Y138" t="n">
        <v>7170</v>
      </c>
    </row>
    <row r="139">
      <c r="A139" t="n">
        <v>138</v>
      </c>
      <c r="B139" t="n">
        <v>0</v>
      </c>
      <c r="C139" t="n">
        <v>7912</v>
      </c>
      <c r="D139" t="n">
        <v>15408</v>
      </c>
      <c r="E139" t="n">
        <v>58187</v>
      </c>
      <c r="F139" t="n">
        <v>218146</v>
      </c>
      <c r="G139" t="n">
        <v>806872</v>
      </c>
      <c r="H139" t="n">
        <v>2954541</v>
      </c>
      <c r="I139" t="n">
        <v>10676842</v>
      </c>
      <c r="J139" t="n">
        <v>2000</v>
      </c>
      <c r="K139" t="n">
        <v>10598</v>
      </c>
      <c r="L139" t="n">
        <v>2380</v>
      </c>
      <c r="M139" t="n">
        <v>1038</v>
      </c>
      <c r="N139" t="n">
        <v>1690</v>
      </c>
      <c r="O139" t="n">
        <v>2380</v>
      </c>
      <c r="P139" t="n">
        <v>3070</v>
      </c>
      <c r="Q139" t="n">
        <v>3760</v>
      </c>
      <c r="R139" t="n">
        <v>4450</v>
      </c>
      <c r="S139" t="n">
        <v>5140</v>
      </c>
      <c r="T139" t="n">
        <v>5830</v>
      </c>
      <c r="U139" t="n">
        <v>6520</v>
      </c>
      <c r="V139" t="n">
        <v>2870</v>
      </c>
      <c r="W139" t="n">
        <v>1552</v>
      </c>
      <c r="X139" t="n">
        <v>1414</v>
      </c>
      <c r="Y139" t="n">
        <v>7180</v>
      </c>
    </row>
    <row r="140">
      <c r="A140" t="n">
        <v>139</v>
      </c>
      <c r="B140" t="n">
        <v>0</v>
      </c>
      <c r="C140" t="n">
        <v>8031</v>
      </c>
      <c r="D140" t="n">
        <v>15717</v>
      </c>
      <c r="E140" t="n">
        <v>59933</v>
      </c>
      <c r="F140" t="n">
        <v>226872</v>
      </c>
      <c r="G140" t="n">
        <v>847216</v>
      </c>
      <c r="H140" t="n">
        <v>3131814</v>
      </c>
      <c r="I140" t="n">
        <v>11424221</v>
      </c>
      <c r="J140" t="n">
        <v>2000</v>
      </c>
      <c r="K140" t="n">
        <v>10704</v>
      </c>
      <c r="L140" t="n">
        <v>2390</v>
      </c>
      <c r="M140" t="n">
        <v>1039</v>
      </c>
      <c r="N140" t="n">
        <v>1695</v>
      </c>
      <c r="O140" t="n">
        <v>2390</v>
      </c>
      <c r="P140" t="n">
        <v>3085</v>
      </c>
      <c r="Q140" t="n">
        <v>3780</v>
      </c>
      <c r="R140" t="n">
        <v>4475</v>
      </c>
      <c r="S140" t="n">
        <v>5170</v>
      </c>
      <c r="T140" t="n">
        <v>5865</v>
      </c>
      <c r="U140" t="n">
        <v>6560</v>
      </c>
      <c r="V140" t="n">
        <v>2889</v>
      </c>
      <c r="W140" t="n">
        <v>1556</v>
      </c>
      <c r="X140" t="n">
        <v>1417</v>
      </c>
      <c r="Y140" t="n">
        <v>7190</v>
      </c>
    </row>
    <row r="141">
      <c r="A141" t="n">
        <v>140</v>
      </c>
      <c r="B141" t="n">
        <v>0</v>
      </c>
      <c r="C141" t="n">
        <v>8152</v>
      </c>
      <c r="D141" t="n">
        <v>16032</v>
      </c>
      <c r="E141" t="n">
        <v>61731</v>
      </c>
      <c r="F141" t="n">
        <v>235947</v>
      </c>
      <c r="G141" t="n">
        <v>889577</v>
      </c>
      <c r="H141" t="n">
        <v>3319723</v>
      </c>
      <c r="I141" t="n">
        <v>12223917</v>
      </c>
      <c r="J141" t="n">
        <v>2000</v>
      </c>
      <c r="K141" t="n">
        <v>10812</v>
      </c>
      <c r="L141" t="n">
        <v>2400</v>
      </c>
      <c r="M141" t="n">
        <v>1040</v>
      </c>
      <c r="N141" t="n">
        <v>1700</v>
      </c>
      <c r="O141" t="n">
        <v>2400</v>
      </c>
      <c r="P141" t="n">
        <v>3100</v>
      </c>
      <c r="Q141" t="n">
        <v>3800</v>
      </c>
      <c r="R141" t="n">
        <v>4500</v>
      </c>
      <c r="S141" t="n">
        <v>5200</v>
      </c>
      <c r="T141" t="n">
        <v>5900</v>
      </c>
      <c r="U141" t="n">
        <v>6600</v>
      </c>
      <c r="V141" t="n">
        <v>2908</v>
      </c>
      <c r="W141" t="n">
        <v>1560</v>
      </c>
      <c r="X141" t="n">
        <v>1420</v>
      </c>
      <c r="Y141" t="n">
        <v>7200</v>
      </c>
    </row>
    <row r="142">
      <c r="A142" t="n">
        <v>141</v>
      </c>
      <c r="B142" t="n">
        <v>0</v>
      </c>
      <c r="C142" t="n">
        <v>8275</v>
      </c>
      <c r="D142" t="n">
        <v>16353</v>
      </c>
      <c r="E142" t="n">
        <v>63583</v>
      </c>
      <c r="F142" t="n">
        <v>245385</v>
      </c>
      <c r="G142" t="n">
        <v>934056</v>
      </c>
      <c r="H142" t="n">
        <v>3518907</v>
      </c>
      <c r="I142" t="n">
        <v>13079592</v>
      </c>
      <c r="J142" t="n">
        <v>2000</v>
      </c>
      <c r="K142" t="n">
        <v>10921</v>
      </c>
      <c r="L142" t="n">
        <v>2410</v>
      </c>
      <c r="M142" t="n">
        <v>1041</v>
      </c>
      <c r="N142" t="n">
        <v>1705</v>
      </c>
      <c r="O142" t="n">
        <v>2410</v>
      </c>
      <c r="P142" t="n">
        <v>3115</v>
      </c>
      <c r="Q142" t="n">
        <v>3820</v>
      </c>
      <c r="R142" t="n">
        <v>4525</v>
      </c>
      <c r="S142" t="n">
        <v>5230</v>
      </c>
      <c r="T142" t="n">
        <v>5935</v>
      </c>
      <c r="U142" t="n">
        <v>6640</v>
      </c>
      <c r="V142" t="n">
        <v>2927</v>
      </c>
      <c r="W142" t="n">
        <v>1564</v>
      </c>
      <c r="X142" t="n">
        <v>1423</v>
      </c>
      <c r="Y142" t="n">
        <v>7210</v>
      </c>
    </row>
    <row r="143">
      <c r="A143" t="n">
        <v>142</v>
      </c>
      <c r="B143" t="n">
        <v>0</v>
      </c>
      <c r="C143" t="n">
        <v>8400</v>
      </c>
      <c r="D143" t="n">
        <v>16681</v>
      </c>
      <c r="E143" t="n">
        <v>65491</v>
      </c>
      <c r="F143" t="n">
        <v>255201</v>
      </c>
      <c r="G143" t="n">
        <v>980759</v>
      </c>
      <c r="H143" t="n">
        <v>3730042</v>
      </c>
      <c r="I143" t="n">
        <v>13995164</v>
      </c>
      <c r="J143" t="n">
        <v>2000</v>
      </c>
      <c r="K143" t="n">
        <v>11031</v>
      </c>
      <c r="L143" t="n">
        <v>2420</v>
      </c>
      <c r="M143" t="n">
        <v>1042</v>
      </c>
      <c r="N143" t="n">
        <v>1710</v>
      </c>
      <c r="O143" t="n">
        <v>2420</v>
      </c>
      <c r="P143" t="n">
        <v>3130</v>
      </c>
      <c r="Q143" t="n">
        <v>3840</v>
      </c>
      <c r="R143" t="n">
        <v>4550</v>
      </c>
      <c r="S143" t="n">
        <v>5260</v>
      </c>
      <c r="T143" t="n">
        <v>5970</v>
      </c>
      <c r="U143" t="n">
        <v>6680</v>
      </c>
      <c r="V143" t="n">
        <v>2946</v>
      </c>
      <c r="W143" t="n">
        <v>1568</v>
      </c>
      <c r="X143" t="n">
        <v>1426</v>
      </c>
      <c r="Y143" t="n">
        <v>7220</v>
      </c>
    </row>
    <row r="144">
      <c r="A144" t="n">
        <v>143</v>
      </c>
      <c r="B144" t="n">
        <v>0</v>
      </c>
      <c r="C144" t="n">
        <v>8526</v>
      </c>
      <c r="D144" t="n">
        <v>17015</v>
      </c>
      <c r="E144" t="n">
        <v>67456</v>
      </c>
      <c r="F144" t="n">
        <v>265410</v>
      </c>
      <c r="G144" t="n">
        <v>1029797</v>
      </c>
      <c r="H144" t="n">
        <v>3953845</v>
      </c>
      <c r="I144" t="n">
        <v>14974826</v>
      </c>
      <c r="J144" t="n">
        <v>2000</v>
      </c>
      <c r="K144" t="n">
        <v>11142</v>
      </c>
      <c r="L144" t="n">
        <v>2430</v>
      </c>
      <c r="M144" t="n">
        <v>1043</v>
      </c>
      <c r="N144" t="n">
        <v>1715</v>
      </c>
      <c r="O144" t="n">
        <v>2430</v>
      </c>
      <c r="P144" t="n">
        <v>3145</v>
      </c>
      <c r="Q144" t="n">
        <v>3860</v>
      </c>
      <c r="R144" t="n">
        <v>4575</v>
      </c>
      <c r="S144" t="n">
        <v>5290</v>
      </c>
      <c r="T144" t="n">
        <v>6005</v>
      </c>
      <c r="U144" t="n">
        <v>6720</v>
      </c>
      <c r="V144" t="n">
        <v>2965</v>
      </c>
      <c r="W144" t="n">
        <v>1572</v>
      </c>
      <c r="X144" t="n">
        <v>1429</v>
      </c>
      <c r="Y144" t="n">
        <v>7230</v>
      </c>
    </row>
    <row r="145">
      <c r="A145" t="n">
        <v>144</v>
      </c>
      <c r="B145" t="n">
        <v>0</v>
      </c>
      <c r="C145" t="n">
        <v>8654</v>
      </c>
      <c r="D145" t="n">
        <v>17356</v>
      </c>
      <c r="E145" t="n">
        <v>69480</v>
      </c>
      <c r="F145" t="n">
        <v>276027</v>
      </c>
      <c r="G145" t="n">
        <v>1081287</v>
      </c>
      <c r="H145" t="n">
        <v>4191076</v>
      </c>
      <c r="I145" t="n">
        <v>16023064</v>
      </c>
      <c r="J145" t="n">
        <v>2000</v>
      </c>
      <c r="K145" t="n">
        <v>11254</v>
      </c>
      <c r="L145" t="n">
        <v>2440</v>
      </c>
      <c r="M145" t="n">
        <v>1044</v>
      </c>
      <c r="N145" t="n">
        <v>1720</v>
      </c>
      <c r="O145" t="n">
        <v>2440</v>
      </c>
      <c r="P145" t="n">
        <v>3160</v>
      </c>
      <c r="Q145" t="n">
        <v>3880</v>
      </c>
      <c r="R145" t="n">
        <v>4600</v>
      </c>
      <c r="S145" t="n">
        <v>5320</v>
      </c>
      <c r="T145" t="n">
        <v>6040</v>
      </c>
      <c r="U145" t="n">
        <v>6760</v>
      </c>
      <c r="V145" t="n">
        <v>2984</v>
      </c>
      <c r="W145" t="n">
        <v>1576</v>
      </c>
      <c r="X145" t="n">
        <v>1432</v>
      </c>
      <c r="Y145" t="n">
        <v>7240</v>
      </c>
    </row>
    <row r="146">
      <c r="A146" t="n">
        <v>145</v>
      </c>
      <c r="B146" t="n">
        <v>0</v>
      </c>
      <c r="C146" t="n">
        <v>8784</v>
      </c>
      <c r="D146" t="n">
        <v>17704</v>
      </c>
      <c r="E146" t="n">
        <v>71565</v>
      </c>
      <c r="F146" t="n">
        <v>287069</v>
      </c>
      <c r="G146" t="n">
        <v>1135352</v>
      </c>
      <c r="H146" t="n">
        <v>4442541</v>
      </c>
      <c r="I146" t="n">
        <v>17144679</v>
      </c>
      <c r="J146" t="n">
        <v>2000</v>
      </c>
      <c r="K146" t="n">
        <v>11367</v>
      </c>
      <c r="L146" t="n">
        <v>2450</v>
      </c>
      <c r="M146" t="n">
        <v>1045</v>
      </c>
      <c r="N146" t="n">
        <v>1725</v>
      </c>
      <c r="O146" t="n">
        <v>2450</v>
      </c>
      <c r="P146" t="n">
        <v>3175</v>
      </c>
      <c r="Q146" t="n">
        <v>3900</v>
      </c>
      <c r="R146" t="n">
        <v>4625</v>
      </c>
      <c r="S146" t="n">
        <v>5350</v>
      </c>
      <c r="T146" t="n">
        <v>6075</v>
      </c>
      <c r="U146" t="n">
        <v>6800</v>
      </c>
      <c r="V146" t="n">
        <v>3003</v>
      </c>
      <c r="W146" t="n">
        <v>1580</v>
      </c>
      <c r="X146" t="n">
        <v>1435</v>
      </c>
      <c r="Y146" t="n">
        <v>7250</v>
      </c>
    </row>
    <row r="147">
      <c r="A147" t="n">
        <v>146</v>
      </c>
      <c r="B147" t="n">
        <v>0</v>
      </c>
      <c r="C147" t="n">
        <v>8916</v>
      </c>
      <c r="D147" t="n">
        <v>18059</v>
      </c>
      <c r="E147" t="n">
        <v>73712</v>
      </c>
      <c r="F147" t="n">
        <v>298552</v>
      </c>
      <c r="G147" t="n">
        <v>1192120</v>
      </c>
      <c r="H147" t="n">
        <v>4709094</v>
      </c>
      <c r="I147" t="n">
        <v>18344807</v>
      </c>
      <c r="J147" t="n">
        <v>2000</v>
      </c>
      <c r="K147" t="n">
        <v>11481</v>
      </c>
      <c r="L147" t="n">
        <v>2460</v>
      </c>
      <c r="M147" t="n">
        <v>1046</v>
      </c>
      <c r="N147" t="n">
        <v>1730</v>
      </c>
      <c r="O147" t="n">
        <v>2460</v>
      </c>
      <c r="P147" t="n">
        <v>3190</v>
      </c>
      <c r="Q147" t="n">
        <v>3920</v>
      </c>
      <c r="R147" t="n">
        <v>4650</v>
      </c>
      <c r="S147" t="n">
        <v>5380</v>
      </c>
      <c r="T147" t="n">
        <v>6110</v>
      </c>
      <c r="U147" t="n">
        <v>6840</v>
      </c>
      <c r="V147" t="n">
        <v>3023</v>
      </c>
      <c r="W147" t="n">
        <v>1584</v>
      </c>
      <c r="X147" t="n">
        <v>1438</v>
      </c>
      <c r="Y147" t="n">
        <v>7260</v>
      </c>
    </row>
    <row r="148">
      <c r="A148" t="n">
        <v>147</v>
      </c>
      <c r="B148" t="n">
        <v>0</v>
      </c>
      <c r="C148" t="n">
        <v>9050</v>
      </c>
      <c r="D148" t="n">
        <v>18421</v>
      </c>
      <c r="E148" t="n">
        <v>75924</v>
      </c>
      <c r="F148" t="n">
        <v>310495</v>
      </c>
      <c r="G148" t="n">
        <v>1251726</v>
      </c>
      <c r="H148" t="n">
        <v>4991640</v>
      </c>
      <c r="I148" t="n">
        <v>19628944</v>
      </c>
      <c r="J148" t="n">
        <v>2000</v>
      </c>
      <c r="K148" t="n">
        <v>11596</v>
      </c>
      <c r="L148" t="n">
        <v>2470</v>
      </c>
      <c r="M148" t="n">
        <v>1047</v>
      </c>
      <c r="N148" t="n">
        <v>1735</v>
      </c>
      <c r="O148" t="n">
        <v>2470</v>
      </c>
      <c r="P148" t="n">
        <v>3205</v>
      </c>
      <c r="Q148" t="n">
        <v>3940</v>
      </c>
      <c r="R148" t="n">
        <v>4675</v>
      </c>
      <c r="S148" t="n">
        <v>5410</v>
      </c>
      <c r="T148" t="n">
        <v>6145</v>
      </c>
      <c r="U148" t="n">
        <v>6880</v>
      </c>
      <c r="V148" t="n">
        <v>3043</v>
      </c>
      <c r="W148" t="n">
        <v>1588</v>
      </c>
      <c r="X148" t="n">
        <v>1441</v>
      </c>
      <c r="Y148" t="n">
        <v>7270</v>
      </c>
    </row>
    <row r="149">
      <c r="A149" t="n">
        <v>148</v>
      </c>
      <c r="B149" t="n">
        <v>0</v>
      </c>
      <c r="C149" t="n">
        <v>9186</v>
      </c>
      <c r="D149" t="n">
        <v>18790</v>
      </c>
      <c r="E149" t="n">
        <v>78202</v>
      </c>
      <c r="F149" t="n">
        <v>322915</v>
      </c>
      <c r="G149" t="n">
        <v>1314313</v>
      </c>
      <c r="H149" t="n">
        <v>5291139</v>
      </c>
      <c r="I149" t="n">
        <v>21002971</v>
      </c>
      <c r="J149" t="n">
        <v>2000</v>
      </c>
      <c r="K149" t="n">
        <v>11712</v>
      </c>
      <c r="L149" t="n">
        <v>2480</v>
      </c>
      <c r="M149" t="n">
        <v>1048</v>
      </c>
      <c r="N149" t="n">
        <v>1740</v>
      </c>
      <c r="O149" t="n">
        <v>2480</v>
      </c>
      <c r="P149" t="n">
        <v>3220</v>
      </c>
      <c r="Q149" t="n">
        <v>3960</v>
      </c>
      <c r="R149" t="n">
        <v>4700</v>
      </c>
      <c r="S149" t="n">
        <v>5440</v>
      </c>
      <c r="T149" t="n">
        <v>6180</v>
      </c>
      <c r="U149" t="n">
        <v>6920</v>
      </c>
      <c r="V149" t="n">
        <v>3063</v>
      </c>
      <c r="W149" t="n">
        <v>1592</v>
      </c>
      <c r="X149" t="n">
        <v>1444</v>
      </c>
      <c r="Y149" t="n">
        <v>7280</v>
      </c>
    </row>
    <row r="150">
      <c r="A150" t="n">
        <v>149</v>
      </c>
      <c r="B150" t="n">
        <v>0</v>
      </c>
      <c r="C150" t="n">
        <v>9324</v>
      </c>
      <c r="D150" t="n">
        <v>19166</v>
      </c>
      <c r="E150" t="n">
        <v>80549</v>
      </c>
      <c r="F150" t="n">
        <v>335832</v>
      </c>
      <c r="G150" t="n">
        <v>1380029</v>
      </c>
      <c r="H150" t="n">
        <v>5608608</v>
      </c>
      <c r="I150" t="n">
        <v>22473179</v>
      </c>
      <c r="J150" t="n">
        <v>2000</v>
      </c>
      <c r="K150" t="n">
        <v>11830</v>
      </c>
      <c r="L150" t="n">
        <v>2490</v>
      </c>
      <c r="M150" t="n">
        <v>1049</v>
      </c>
      <c r="N150" t="n">
        <v>1745</v>
      </c>
      <c r="O150" t="n">
        <v>2490</v>
      </c>
      <c r="P150" t="n">
        <v>3235</v>
      </c>
      <c r="Q150" t="n">
        <v>3980</v>
      </c>
      <c r="R150" t="n">
        <v>4725</v>
      </c>
      <c r="S150" t="n">
        <v>5470</v>
      </c>
      <c r="T150" t="n">
        <v>6215</v>
      </c>
      <c r="U150" t="n">
        <v>6960</v>
      </c>
      <c r="V150" t="n">
        <v>3083</v>
      </c>
      <c r="W150" t="n">
        <v>1596</v>
      </c>
      <c r="X150" t="n">
        <v>1447</v>
      </c>
      <c r="Y150" t="n">
        <v>7290</v>
      </c>
    </row>
    <row r="151">
      <c r="A151" t="n">
        <v>150</v>
      </c>
      <c r="B151" t="n">
        <v>0</v>
      </c>
      <c r="C151" t="n">
        <v>9464</v>
      </c>
      <c r="D151" t="n">
        <v>19550</v>
      </c>
      <c r="E151" t="n">
        <v>82966</v>
      </c>
      <c r="F151" t="n">
        <v>349266</v>
      </c>
      <c r="G151" t="n">
        <v>1449031</v>
      </c>
      <c r="H151" t="n">
        <v>5945125</v>
      </c>
      <c r="I151" t="n">
        <v>24046302</v>
      </c>
      <c r="J151" t="n">
        <v>2000</v>
      </c>
      <c r="K151" t="n">
        <v>11949</v>
      </c>
      <c r="L151" t="n">
        <v>2500</v>
      </c>
      <c r="M151" t="n">
        <v>1050</v>
      </c>
      <c r="N151" t="n">
        <v>1750</v>
      </c>
      <c r="O151" t="n">
        <v>2500</v>
      </c>
      <c r="P151" t="n">
        <v>3250</v>
      </c>
      <c r="Q151" t="n">
        <v>4000</v>
      </c>
      <c r="R151" t="n">
        <v>4750</v>
      </c>
      <c r="S151" t="n">
        <v>5500</v>
      </c>
      <c r="T151" t="n">
        <v>6250</v>
      </c>
      <c r="U151" t="n">
        <v>7000</v>
      </c>
      <c r="V151" t="n">
        <v>3103</v>
      </c>
      <c r="W151" t="n">
        <v>1600</v>
      </c>
      <c r="X151" t="n">
        <v>1450</v>
      </c>
      <c r="Y151" t="n">
        <v>7300</v>
      </c>
    </row>
    <row r="152">
      <c r="A152" t="n">
        <v>151</v>
      </c>
      <c r="B152" t="n">
        <v>0</v>
      </c>
      <c r="C152" t="n">
        <v>9606</v>
      </c>
      <c r="D152" t="n">
        <v>19941</v>
      </c>
      <c r="E152" t="n">
        <v>85455</v>
      </c>
      <c r="F152" t="n">
        <v>363237</v>
      </c>
      <c r="G152" t="n">
        <v>1521483</v>
      </c>
      <c r="H152" t="n">
        <v>6301833</v>
      </c>
      <c r="I152" t="n">
        <v>25729544</v>
      </c>
      <c r="J152" t="n">
        <v>2000</v>
      </c>
      <c r="K152" t="n">
        <v>12069</v>
      </c>
      <c r="L152" t="n">
        <v>2500</v>
      </c>
      <c r="M152" t="n">
        <v>1051</v>
      </c>
      <c r="N152" t="n">
        <v>1755</v>
      </c>
      <c r="O152" t="n">
        <v>2510</v>
      </c>
      <c r="P152" t="n">
        <v>3265</v>
      </c>
      <c r="Q152" t="n">
        <v>4020</v>
      </c>
      <c r="R152" t="n">
        <v>4775</v>
      </c>
      <c r="S152" t="n">
        <v>5530</v>
      </c>
      <c r="T152" t="n">
        <v>6285</v>
      </c>
      <c r="U152" t="n">
        <v>7040</v>
      </c>
      <c r="V152" t="n">
        <v>3123</v>
      </c>
      <c r="W152" t="n">
        <v>1604</v>
      </c>
      <c r="X152" t="n">
        <v>1453</v>
      </c>
      <c r="Y152" t="n">
        <v>7310</v>
      </c>
    </row>
    <row r="153">
      <c r="A153" t="n">
        <v>152</v>
      </c>
      <c r="B153" t="n">
        <v>0</v>
      </c>
      <c r="C153" t="n">
        <v>9751</v>
      </c>
      <c r="D153" t="n">
        <v>20340</v>
      </c>
      <c r="E153" t="n">
        <v>88019</v>
      </c>
      <c r="F153" t="n">
        <v>377767</v>
      </c>
      <c r="G153" t="n">
        <v>1597558</v>
      </c>
      <c r="H153" t="n">
        <v>6679943</v>
      </c>
      <c r="I153" t="n">
        <v>27530613</v>
      </c>
      <c r="J153" t="n">
        <v>2000</v>
      </c>
      <c r="K153" t="n">
        <v>12190</v>
      </c>
      <c r="L153" t="n">
        <v>2500</v>
      </c>
      <c r="M153" t="n">
        <v>1052</v>
      </c>
      <c r="N153" t="n">
        <v>1760</v>
      </c>
      <c r="O153" t="n">
        <v>2520</v>
      </c>
      <c r="P153" t="n">
        <v>3280</v>
      </c>
      <c r="Q153" t="n">
        <v>4040</v>
      </c>
      <c r="R153" t="n">
        <v>4800</v>
      </c>
      <c r="S153" t="n">
        <v>5560</v>
      </c>
      <c r="T153" t="n">
        <v>6320</v>
      </c>
      <c r="U153" t="n">
        <v>7080</v>
      </c>
      <c r="V153" t="n">
        <v>3143</v>
      </c>
      <c r="W153" t="n">
        <v>1608</v>
      </c>
      <c r="X153" t="n">
        <v>1456</v>
      </c>
      <c r="Y153" t="n">
        <v>7320</v>
      </c>
    </row>
    <row r="154">
      <c r="A154" t="n">
        <v>153</v>
      </c>
      <c r="B154" t="n">
        <v>0</v>
      </c>
      <c r="C154" t="n">
        <v>9898</v>
      </c>
      <c r="D154" t="n">
        <v>20747</v>
      </c>
      <c r="E154" t="n">
        <v>90660</v>
      </c>
      <c r="F154" t="n">
        <v>392878</v>
      </c>
      <c r="G154" t="n">
        <v>1677436</v>
      </c>
      <c r="H154" t="n">
        <v>7080740</v>
      </c>
      <c r="I154" t="n">
        <v>29457756</v>
      </c>
      <c r="J154" t="n">
        <v>2000</v>
      </c>
      <c r="K154" t="n">
        <v>12312</v>
      </c>
      <c r="L154" t="n">
        <v>2500</v>
      </c>
      <c r="M154" t="n">
        <v>1053</v>
      </c>
      <c r="N154" t="n">
        <v>1765</v>
      </c>
      <c r="O154" t="n">
        <v>2530</v>
      </c>
      <c r="P154" t="n">
        <v>3295</v>
      </c>
      <c r="Q154" t="n">
        <v>4060</v>
      </c>
      <c r="R154" t="n">
        <v>4825</v>
      </c>
      <c r="S154" t="n">
        <v>5590</v>
      </c>
      <c r="T154" t="n">
        <v>6355</v>
      </c>
      <c r="U154" t="n">
        <v>7120</v>
      </c>
      <c r="V154" t="n">
        <v>3163</v>
      </c>
      <c r="W154" t="n">
        <v>1612</v>
      </c>
      <c r="X154" t="n">
        <v>1459</v>
      </c>
      <c r="Y154" t="n">
        <v>7330</v>
      </c>
    </row>
    <row r="155">
      <c r="A155" t="n">
        <v>154</v>
      </c>
      <c r="B155" t="n">
        <v>0</v>
      </c>
      <c r="C155" t="n">
        <v>10047</v>
      </c>
      <c r="D155" t="n">
        <v>21162</v>
      </c>
      <c r="E155" t="n">
        <v>93380</v>
      </c>
      <c r="F155" t="n">
        <v>408594</v>
      </c>
      <c r="G155" t="n">
        <v>1761308</v>
      </c>
      <c r="H155" t="n">
        <v>7505585</v>
      </c>
      <c r="I155" t="n">
        <v>31519799</v>
      </c>
      <c r="J155" t="n">
        <v>2000</v>
      </c>
      <c r="K155" t="n">
        <v>12436</v>
      </c>
      <c r="L155" t="n">
        <v>2500</v>
      </c>
      <c r="M155" t="n">
        <v>1054</v>
      </c>
      <c r="N155" t="n">
        <v>1770</v>
      </c>
      <c r="O155" t="n">
        <v>2540</v>
      </c>
      <c r="P155" t="n">
        <v>3310</v>
      </c>
      <c r="Q155" t="n">
        <v>4080</v>
      </c>
      <c r="R155" t="n">
        <v>4850</v>
      </c>
      <c r="S155" t="n">
        <v>5620</v>
      </c>
      <c r="T155" t="n">
        <v>6390</v>
      </c>
      <c r="U155" t="n">
        <v>7160</v>
      </c>
      <c r="V155" t="n">
        <v>3183</v>
      </c>
      <c r="W155" t="n">
        <v>1616</v>
      </c>
      <c r="X155" t="n">
        <v>1462</v>
      </c>
      <c r="Y155" t="n">
        <v>7340</v>
      </c>
    </row>
    <row r="156">
      <c r="A156" t="n">
        <v>155</v>
      </c>
      <c r="B156" t="n">
        <v>0</v>
      </c>
      <c r="C156" t="n">
        <v>10198</v>
      </c>
      <c r="D156" t="n">
        <v>21586</v>
      </c>
      <c r="E156" t="n">
        <v>96182</v>
      </c>
      <c r="F156" t="n">
        <v>424938</v>
      </c>
      <c r="G156" t="n">
        <v>1849374</v>
      </c>
      <c r="H156" t="n">
        <v>7955921</v>
      </c>
      <c r="I156" t="n">
        <v>33726185</v>
      </c>
      <c r="J156" t="n">
        <v>2000</v>
      </c>
      <c r="K156" t="n">
        <v>12561</v>
      </c>
      <c r="L156" t="n">
        <v>2500</v>
      </c>
      <c r="M156" t="n">
        <v>1055</v>
      </c>
      <c r="N156" t="n">
        <v>1775</v>
      </c>
      <c r="O156" t="n">
        <v>2550</v>
      </c>
      <c r="P156" t="n">
        <v>3325</v>
      </c>
      <c r="Q156" t="n">
        <v>4100</v>
      </c>
      <c r="R156" t="n">
        <v>4875</v>
      </c>
      <c r="S156" t="n">
        <v>5650</v>
      </c>
      <c r="T156" t="n">
        <v>6425</v>
      </c>
      <c r="U156" t="n">
        <v>7200</v>
      </c>
      <c r="V156" t="n">
        <v>3203</v>
      </c>
      <c r="W156" t="n">
        <v>1620</v>
      </c>
      <c r="X156" t="n">
        <v>1465</v>
      </c>
      <c r="Y156" t="n">
        <v>7350</v>
      </c>
    </row>
    <row r="157">
      <c r="A157" t="n">
        <v>156</v>
      </c>
      <c r="B157" t="n">
        <v>0</v>
      </c>
      <c r="C157" t="n">
        <v>10351</v>
      </c>
      <c r="D157" t="n">
        <v>22018</v>
      </c>
      <c r="E157" t="n">
        <v>99068</v>
      </c>
      <c r="F157" t="n">
        <v>441936</v>
      </c>
      <c r="G157" t="n">
        <v>1941843</v>
      </c>
      <c r="H157" t="n">
        <v>8433277</v>
      </c>
      <c r="I157" t="n">
        <v>36087018</v>
      </c>
      <c r="J157" t="n">
        <v>2000</v>
      </c>
      <c r="K157" t="n">
        <v>12687</v>
      </c>
      <c r="L157" t="n">
        <v>2500</v>
      </c>
      <c r="M157" t="n">
        <v>1056</v>
      </c>
      <c r="N157" t="n">
        <v>1780</v>
      </c>
      <c r="O157" t="n">
        <v>2560</v>
      </c>
      <c r="P157" t="n">
        <v>3340</v>
      </c>
      <c r="Q157" t="n">
        <v>4120</v>
      </c>
      <c r="R157" t="n">
        <v>4900</v>
      </c>
      <c r="S157" t="n">
        <v>5680</v>
      </c>
      <c r="T157" t="n">
        <v>6460</v>
      </c>
      <c r="U157" t="n">
        <v>7240</v>
      </c>
      <c r="V157" t="n">
        <v>3224</v>
      </c>
      <c r="W157" t="n">
        <v>1624</v>
      </c>
      <c r="X157" t="n">
        <v>1468</v>
      </c>
      <c r="Y157" t="n">
        <v>7360</v>
      </c>
    </row>
    <row r="158">
      <c r="A158" t="n">
        <v>157</v>
      </c>
      <c r="B158" t="n">
        <v>0</v>
      </c>
      <c r="C158" t="n">
        <v>10507</v>
      </c>
      <c r="D158" t="n">
        <v>22459</v>
      </c>
      <c r="E158" t="n">
        <v>102041</v>
      </c>
      <c r="F158" t="n">
        <v>459614</v>
      </c>
      <c r="G158" t="n">
        <v>2038936</v>
      </c>
      <c r="H158" t="n">
        <v>8939274</v>
      </c>
      <c r="I158" t="n">
        <v>38613110</v>
      </c>
      <c r="J158" t="n">
        <v>2000</v>
      </c>
      <c r="K158" t="n">
        <v>12814</v>
      </c>
      <c r="L158" t="n">
        <v>2500</v>
      </c>
      <c r="M158" t="n">
        <v>1057</v>
      </c>
      <c r="N158" t="n">
        <v>1785</v>
      </c>
      <c r="O158" t="n">
        <v>2570</v>
      </c>
      <c r="P158" t="n">
        <v>3355</v>
      </c>
      <c r="Q158" t="n">
        <v>4140</v>
      </c>
      <c r="R158" t="n">
        <v>4925</v>
      </c>
      <c r="S158" t="n">
        <v>5710</v>
      </c>
      <c r="T158" t="n">
        <v>6495</v>
      </c>
      <c r="U158" t="n">
        <v>7280</v>
      </c>
      <c r="V158" t="n">
        <v>3245</v>
      </c>
      <c r="W158" t="n">
        <v>1628</v>
      </c>
      <c r="X158" t="n">
        <v>1471</v>
      </c>
      <c r="Y158" t="n">
        <v>7370</v>
      </c>
    </row>
    <row r="159">
      <c r="A159" t="n">
        <v>158</v>
      </c>
      <c r="B159" t="n">
        <v>0</v>
      </c>
      <c r="C159" t="n">
        <v>10665</v>
      </c>
      <c r="D159" t="n">
        <v>22909</v>
      </c>
      <c r="E159" t="n">
        <v>105103</v>
      </c>
      <c r="F159" t="n">
        <v>477999</v>
      </c>
      <c r="G159" t="n">
        <v>2140883</v>
      </c>
      <c r="H159" t="n">
        <v>9475631</v>
      </c>
      <c r="I159" t="n">
        <v>41316028</v>
      </c>
      <c r="J159" t="n">
        <v>2000</v>
      </c>
      <c r="K159" t="n">
        <v>12943</v>
      </c>
      <c r="L159" t="n">
        <v>2500</v>
      </c>
      <c r="M159" t="n">
        <v>1058</v>
      </c>
      <c r="N159" t="n">
        <v>1790</v>
      </c>
      <c r="O159" t="n">
        <v>2580</v>
      </c>
      <c r="P159" t="n">
        <v>3370</v>
      </c>
      <c r="Q159" t="n">
        <v>4160</v>
      </c>
      <c r="R159" t="n">
        <v>4950</v>
      </c>
      <c r="S159" t="n">
        <v>5740</v>
      </c>
      <c r="T159" t="n">
        <v>6530</v>
      </c>
      <c r="U159" t="n">
        <v>7320</v>
      </c>
      <c r="V159" t="n">
        <v>3266</v>
      </c>
      <c r="W159" t="n">
        <v>1632</v>
      </c>
      <c r="X159" t="n">
        <v>1474</v>
      </c>
      <c r="Y159" t="n">
        <v>7380</v>
      </c>
    </row>
    <row r="160">
      <c r="A160" t="n">
        <v>159</v>
      </c>
      <c r="B160" t="n">
        <v>0</v>
      </c>
      <c r="C160" t="n">
        <v>10825</v>
      </c>
      <c r="D160" t="n">
        <v>23368</v>
      </c>
      <c r="E160" t="n">
        <v>108257</v>
      </c>
      <c r="F160" t="n">
        <v>497119</v>
      </c>
      <c r="G160" t="n">
        <v>2247928</v>
      </c>
      <c r="H160" t="n">
        <v>10044169</v>
      </c>
      <c r="I160" t="n">
        <v>44208150</v>
      </c>
      <c r="J160" t="n">
        <v>2000</v>
      </c>
      <c r="K160" t="n">
        <v>13073</v>
      </c>
      <c r="L160" t="n">
        <v>2500</v>
      </c>
      <c r="M160" t="n">
        <v>1059</v>
      </c>
      <c r="N160" t="n">
        <v>1795</v>
      </c>
      <c r="O160" t="n">
        <v>2590</v>
      </c>
      <c r="P160" t="n">
        <v>3385</v>
      </c>
      <c r="Q160" t="n">
        <v>4180</v>
      </c>
      <c r="R160" t="n">
        <v>4975</v>
      </c>
      <c r="S160" t="n">
        <v>5770</v>
      </c>
      <c r="T160" t="n">
        <v>6565</v>
      </c>
      <c r="U160" t="n">
        <v>7360</v>
      </c>
      <c r="V160" t="n">
        <v>3287</v>
      </c>
      <c r="W160" t="n">
        <v>1636</v>
      </c>
      <c r="X160" t="n">
        <v>1477</v>
      </c>
      <c r="Y160" t="n">
        <v>7390</v>
      </c>
    </row>
    <row r="161">
      <c r="A161" t="n">
        <v>160</v>
      </c>
      <c r="B161" t="n">
        <v>0</v>
      </c>
      <c r="C161" t="n">
        <v>10988</v>
      </c>
      <c r="D161" t="n">
        <v>23836</v>
      </c>
      <c r="E161" t="n">
        <v>111505</v>
      </c>
      <c r="F161" t="n">
        <v>517004</v>
      </c>
      <c r="G161" t="n">
        <v>2360325</v>
      </c>
      <c r="H161" t="n">
        <v>10646820</v>
      </c>
      <c r="I161" t="n">
        <v>47302721</v>
      </c>
      <c r="J161" t="n">
        <v>2000</v>
      </c>
      <c r="K161" t="n">
        <v>13204</v>
      </c>
      <c r="L161" t="n">
        <v>2500</v>
      </c>
      <c r="M161" t="n">
        <v>1060</v>
      </c>
      <c r="N161" t="n">
        <v>1800</v>
      </c>
      <c r="O161" t="n">
        <v>2600</v>
      </c>
      <c r="P161" t="n">
        <v>3400</v>
      </c>
      <c r="Q161" t="n">
        <v>4200</v>
      </c>
      <c r="R161" t="n">
        <v>5000</v>
      </c>
      <c r="S161" t="n">
        <v>5800</v>
      </c>
      <c r="T161" t="n">
        <v>6600</v>
      </c>
      <c r="U161" t="n">
        <v>7400</v>
      </c>
      <c r="V161" t="n">
        <v>3308</v>
      </c>
      <c r="W161" t="n">
        <v>1640</v>
      </c>
      <c r="X161" t="n">
        <v>1480</v>
      </c>
      <c r="Y161" t="n">
        <v>7400</v>
      </c>
    </row>
    <row r="162">
      <c r="A162" t="n">
        <v>161</v>
      </c>
      <c r="B162" t="n">
        <v>0</v>
      </c>
      <c r="C162" t="n">
        <v>11153</v>
      </c>
      <c r="D162" t="n">
        <v>24313</v>
      </c>
      <c r="E162" t="n">
        <v>114851</v>
      </c>
      <c r="F162" t="n">
        <v>537685</v>
      </c>
      <c r="G162" t="n">
        <v>2478342</v>
      </c>
      <c r="H162" t="n">
        <v>11285630</v>
      </c>
      <c r="I162" t="n">
        <v>50613912</v>
      </c>
      <c r="J162" t="n">
        <v>2000</v>
      </c>
      <c r="K162" t="n">
        <v>13337</v>
      </c>
      <c r="L162" t="n">
        <v>2500</v>
      </c>
      <c r="M162" t="n">
        <v>1061</v>
      </c>
      <c r="N162" t="n">
        <v>1805</v>
      </c>
      <c r="O162" t="n">
        <v>2610</v>
      </c>
      <c r="P162" t="n">
        <v>3415</v>
      </c>
      <c r="Q162" t="n">
        <v>4220</v>
      </c>
      <c r="R162" t="n">
        <v>5025</v>
      </c>
      <c r="S162" t="n">
        <v>5830</v>
      </c>
      <c r="T162" t="n">
        <v>6635</v>
      </c>
      <c r="U162" t="n">
        <v>7440</v>
      </c>
      <c r="V162" t="n">
        <v>3329</v>
      </c>
      <c r="W162" t="n">
        <v>1644</v>
      </c>
      <c r="X162" t="n">
        <v>1483</v>
      </c>
      <c r="Y162" t="n">
        <v>7410</v>
      </c>
    </row>
    <row r="163">
      <c r="A163" t="n">
        <v>162</v>
      </c>
      <c r="B163" t="n">
        <v>0</v>
      </c>
      <c r="C163" t="n">
        <v>11321</v>
      </c>
      <c r="D163" t="n">
        <v>24800</v>
      </c>
      <c r="E163" t="n">
        <v>118297</v>
      </c>
      <c r="F163" t="n">
        <v>559193</v>
      </c>
      <c r="G163" t="n">
        <v>2602260</v>
      </c>
      <c r="H163" t="n">
        <v>11962768</v>
      </c>
      <c r="I163" t="n">
        <v>54156886</v>
      </c>
      <c r="J163" t="n">
        <v>2000</v>
      </c>
      <c r="K163" t="n">
        <v>13471</v>
      </c>
      <c r="L163" t="n">
        <v>2500</v>
      </c>
      <c r="M163" t="n">
        <v>1062</v>
      </c>
      <c r="N163" t="n">
        <v>1810</v>
      </c>
      <c r="O163" t="n">
        <v>2620</v>
      </c>
      <c r="P163" t="n">
        <v>3430</v>
      </c>
      <c r="Q163" t="n">
        <v>4240</v>
      </c>
      <c r="R163" t="n">
        <v>5050</v>
      </c>
      <c r="S163" t="n">
        <v>5860</v>
      </c>
      <c r="T163" t="n">
        <v>6670</v>
      </c>
      <c r="U163" t="n">
        <v>7480</v>
      </c>
      <c r="V163" t="n">
        <v>3350</v>
      </c>
      <c r="W163" t="n">
        <v>1648</v>
      </c>
      <c r="X163" t="n">
        <v>1486</v>
      </c>
      <c r="Y163" t="n">
        <v>7420</v>
      </c>
    </row>
    <row r="164">
      <c r="A164" t="n">
        <v>163</v>
      </c>
      <c r="B164" t="n">
        <v>0</v>
      </c>
      <c r="C164" t="n">
        <v>11491</v>
      </c>
      <c r="D164" t="n">
        <v>25296</v>
      </c>
      <c r="E164" t="n">
        <v>121846</v>
      </c>
      <c r="F164" t="n">
        <v>581561</v>
      </c>
      <c r="G164" t="n">
        <v>2732373</v>
      </c>
      <c r="H164" t="n">
        <v>12680535</v>
      </c>
      <c r="I164" t="n">
        <v>57947869</v>
      </c>
      <c r="J164" t="n">
        <v>2000</v>
      </c>
      <c r="K164" t="n">
        <v>13606</v>
      </c>
      <c r="L164" t="n">
        <v>2500</v>
      </c>
      <c r="M164" t="n">
        <v>1063</v>
      </c>
      <c r="N164" t="n">
        <v>1815</v>
      </c>
      <c r="O164" t="n">
        <v>2630</v>
      </c>
      <c r="P164" t="n">
        <v>3445</v>
      </c>
      <c r="Q164" t="n">
        <v>4260</v>
      </c>
      <c r="R164" t="n">
        <v>5075</v>
      </c>
      <c r="S164" t="n">
        <v>5890</v>
      </c>
      <c r="T164" t="n">
        <v>6705</v>
      </c>
      <c r="U164" t="n">
        <v>7520</v>
      </c>
      <c r="V164" t="n">
        <v>3371</v>
      </c>
      <c r="W164" t="n">
        <v>1652</v>
      </c>
      <c r="X164" t="n">
        <v>1489</v>
      </c>
      <c r="Y164" t="n">
        <v>7430</v>
      </c>
    </row>
    <row r="165">
      <c r="A165" t="n">
        <v>164</v>
      </c>
      <c r="B165" t="n">
        <v>0</v>
      </c>
      <c r="C165" t="n">
        <v>11664</v>
      </c>
      <c r="D165" t="n">
        <v>25802</v>
      </c>
      <c r="E165" t="n">
        <v>125502</v>
      </c>
      <c r="F165" t="n">
        <v>604824</v>
      </c>
      <c r="G165" t="n">
        <v>2868992</v>
      </c>
      <c r="H165" t="n">
        <v>13441368</v>
      </c>
      <c r="I165" t="n">
        <v>62004220</v>
      </c>
      <c r="J165" t="n">
        <v>2000</v>
      </c>
      <c r="K165" t="n">
        <v>13743</v>
      </c>
      <c r="L165" t="n">
        <v>2500</v>
      </c>
      <c r="M165" t="n">
        <v>1064</v>
      </c>
      <c r="N165" t="n">
        <v>1820</v>
      </c>
      <c r="O165" t="n">
        <v>2640</v>
      </c>
      <c r="P165" t="n">
        <v>3460</v>
      </c>
      <c r="Q165" t="n">
        <v>4280</v>
      </c>
      <c r="R165" t="n">
        <v>5100</v>
      </c>
      <c r="S165" t="n">
        <v>5920</v>
      </c>
      <c r="T165" t="n">
        <v>6740</v>
      </c>
      <c r="U165" t="n">
        <v>7560</v>
      </c>
      <c r="V165" t="n">
        <v>3392</v>
      </c>
      <c r="W165" t="n">
        <v>1656</v>
      </c>
      <c r="X165" t="n">
        <v>1492</v>
      </c>
      <c r="Y165" t="n">
        <v>7440</v>
      </c>
    </row>
    <row r="166">
      <c r="A166" t="n">
        <v>165</v>
      </c>
      <c r="B166" t="n">
        <v>0</v>
      </c>
      <c r="C166" t="n">
        <v>11839</v>
      </c>
      <c r="D166" t="n">
        <v>26319</v>
      </c>
      <c r="E166" t="n">
        <v>129268</v>
      </c>
      <c r="F166" t="n">
        <v>629017</v>
      </c>
      <c r="G166" t="n">
        <v>3012442</v>
      </c>
      <c r="H166" t="n">
        <v>14247851</v>
      </c>
      <c r="I166" t="n">
        <v>66344516</v>
      </c>
      <c r="J166" t="n">
        <v>2000</v>
      </c>
      <c r="K166" t="n">
        <v>13881</v>
      </c>
      <c r="L166" t="n">
        <v>2500</v>
      </c>
      <c r="M166" t="n">
        <v>1065</v>
      </c>
      <c r="N166" t="n">
        <v>1825</v>
      </c>
      <c r="O166" t="n">
        <v>2650</v>
      </c>
      <c r="P166" t="n">
        <v>3475</v>
      </c>
      <c r="Q166" t="n">
        <v>4300</v>
      </c>
      <c r="R166" t="n">
        <v>5125</v>
      </c>
      <c r="S166" t="n">
        <v>5950</v>
      </c>
      <c r="T166" t="n">
        <v>6775</v>
      </c>
      <c r="U166" t="n">
        <v>7600</v>
      </c>
      <c r="V166" t="n">
        <v>3413</v>
      </c>
      <c r="W166" t="n">
        <v>1660</v>
      </c>
      <c r="X166" t="n">
        <v>1495</v>
      </c>
      <c r="Y166" t="n">
        <v>7450</v>
      </c>
    </row>
    <row r="167">
      <c r="A167" t="n">
        <v>166</v>
      </c>
      <c r="B167" t="n">
        <v>0</v>
      </c>
      <c r="C167" t="n">
        <v>12017</v>
      </c>
      <c r="D167" t="n">
        <v>26846</v>
      </c>
      <c r="E167" t="n">
        <v>133147</v>
      </c>
      <c r="F167" t="n">
        <v>654178</v>
      </c>
      <c r="G167" t="n">
        <v>3163065</v>
      </c>
      <c r="H167" t="n">
        <v>15102723</v>
      </c>
      <c r="I167" t="n">
        <v>70988633</v>
      </c>
      <c r="J167" t="n">
        <v>2000</v>
      </c>
      <c r="K167" t="n">
        <v>14020</v>
      </c>
      <c r="L167" t="n">
        <v>2500</v>
      </c>
      <c r="M167" t="n">
        <v>1066</v>
      </c>
      <c r="N167" t="n">
        <v>1830</v>
      </c>
      <c r="O167" t="n">
        <v>2660</v>
      </c>
      <c r="P167" t="n">
        <v>3490</v>
      </c>
      <c r="Q167" t="n">
        <v>4320</v>
      </c>
      <c r="R167" t="n">
        <v>5150</v>
      </c>
      <c r="S167" t="n">
        <v>5980</v>
      </c>
      <c r="T167" t="n">
        <v>6810</v>
      </c>
      <c r="U167" t="n">
        <v>7640</v>
      </c>
      <c r="V167" t="n">
        <v>3435</v>
      </c>
      <c r="W167" t="n">
        <v>1664</v>
      </c>
      <c r="X167" t="n">
        <v>1498</v>
      </c>
      <c r="Y167" t="n">
        <v>7460</v>
      </c>
    </row>
    <row r="168">
      <c r="A168" t="n">
        <v>167</v>
      </c>
      <c r="B168" t="n">
        <v>0</v>
      </c>
      <c r="C168" t="n">
        <v>12198</v>
      </c>
      <c r="D168" t="n">
        <v>27383</v>
      </c>
      <c r="E168" t="n">
        <v>137142</v>
      </c>
      <c r="F168" t="n">
        <v>680346</v>
      </c>
      <c r="G168" t="n">
        <v>3321219</v>
      </c>
      <c r="H168" t="n">
        <v>16008887</v>
      </c>
      <c r="I168" t="n">
        <v>75957838</v>
      </c>
      <c r="J168" t="n">
        <v>2000</v>
      </c>
      <c r="K168" t="n">
        <v>14161</v>
      </c>
      <c r="L168" t="n">
        <v>2500</v>
      </c>
      <c r="M168" t="n">
        <v>1067</v>
      </c>
      <c r="N168" t="n">
        <v>1835</v>
      </c>
      <c r="O168" t="n">
        <v>2670</v>
      </c>
      <c r="P168" t="n">
        <v>3505</v>
      </c>
      <c r="Q168" t="n">
        <v>4340</v>
      </c>
      <c r="R168" t="n">
        <v>5175</v>
      </c>
      <c r="S168" t="n">
        <v>6010</v>
      </c>
      <c r="T168" t="n">
        <v>6845</v>
      </c>
      <c r="U168" t="n">
        <v>7680</v>
      </c>
      <c r="V168" t="n">
        <v>3457</v>
      </c>
      <c r="W168" t="n">
        <v>1668</v>
      </c>
      <c r="X168" t="n">
        <v>1501</v>
      </c>
      <c r="Y168" t="n">
        <v>7470</v>
      </c>
    </row>
    <row r="169">
      <c r="A169" t="n">
        <v>168</v>
      </c>
      <c r="B169" t="n">
        <v>0</v>
      </c>
      <c r="C169" t="n">
        <v>12381</v>
      </c>
      <c r="D169" t="n">
        <v>27931</v>
      </c>
      <c r="E169" t="n">
        <v>141257</v>
      </c>
      <c r="F169" t="n">
        <v>707560</v>
      </c>
      <c r="G169" t="n">
        <v>3487280</v>
      </c>
      <c r="H169" t="n">
        <v>16969421</v>
      </c>
      <c r="I169" t="n">
        <v>81274887</v>
      </c>
      <c r="J169" t="n">
        <v>2000</v>
      </c>
      <c r="K169" t="n">
        <v>14303</v>
      </c>
      <c r="L169" t="n">
        <v>2500</v>
      </c>
      <c r="M169" t="n">
        <v>1068</v>
      </c>
      <c r="N169" t="n">
        <v>1840</v>
      </c>
      <c r="O169" t="n">
        <v>2680</v>
      </c>
      <c r="P169" t="n">
        <v>3520</v>
      </c>
      <c r="Q169" t="n">
        <v>4360</v>
      </c>
      <c r="R169" t="n">
        <v>5200</v>
      </c>
      <c r="S169" t="n">
        <v>6040</v>
      </c>
      <c r="T169" t="n">
        <v>6880</v>
      </c>
      <c r="U169" t="n">
        <v>7720</v>
      </c>
      <c r="V169" t="n">
        <v>3479</v>
      </c>
      <c r="W169" t="n">
        <v>1672</v>
      </c>
      <c r="X169" t="n">
        <v>1504</v>
      </c>
      <c r="Y169" t="n">
        <v>7480</v>
      </c>
    </row>
    <row r="170">
      <c r="A170" t="n">
        <v>169</v>
      </c>
      <c r="B170" t="n">
        <v>0</v>
      </c>
      <c r="C170" t="n">
        <v>12567</v>
      </c>
      <c r="D170" t="n">
        <v>28490</v>
      </c>
      <c r="E170" t="n">
        <v>145495</v>
      </c>
      <c r="F170" t="n">
        <v>735863</v>
      </c>
      <c r="G170" t="n">
        <v>3661644</v>
      </c>
      <c r="H170" t="n">
        <v>17987587</v>
      </c>
      <c r="I170" t="n">
        <v>86964130</v>
      </c>
      <c r="J170" t="n">
        <v>2000</v>
      </c>
      <c r="K170" t="n">
        <v>14447</v>
      </c>
      <c r="L170" t="n">
        <v>2500</v>
      </c>
      <c r="M170" t="n">
        <v>1069</v>
      </c>
      <c r="N170" t="n">
        <v>1845</v>
      </c>
      <c r="O170" t="n">
        <v>2690</v>
      </c>
      <c r="P170" t="n">
        <v>3535</v>
      </c>
      <c r="Q170" t="n">
        <v>4380</v>
      </c>
      <c r="R170" t="n">
        <v>5225</v>
      </c>
      <c r="S170" t="n">
        <v>6070</v>
      </c>
      <c r="T170" t="n">
        <v>6915</v>
      </c>
      <c r="U170" t="n">
        <v>7760</v>
      </c>
      <c r="V170" t="n">
        <v>3501</v>
      </c>
      <c r="W170" t="n">
        <v>1676</v>
      </c>
      <c r="X170" t="n">
        <v>1507</v>
      </c>
      <c r="Y170" t="n">
        <v>7490</v>
      </c>
    </row>
    <row r="171">
      <c r="A171" t="n">
        <v>170</v>
      </c>
      <c r="B171" t="n">
        <v>0</v>
      </c>
      <c r="C171" t="n">
        <v>12756</v>
      </c>
      <c r="D171" t="n">
        <v>29060</v>
      </c>
      <c r="E171" t="n">
        <v>149860</v>
      </c>
      <c r="F171" t="n">
        <v>765298</v>
      </c>
      <c r="G171" t="n">
        <v>3844727</v>
      </c>
      <c r="H171" t="n">
        <v>19066843</v>
      </c>
      <c r="I171" t="n">
        <v>93051620</v>
      </c>
      <c r="J171" t="n">
        <v>2000</v>
      </c>
      <c r="K171" t="n">
        <v>14592</v>
      </c>
      <c r="L171" t="n">
        <v>2500</v>
      </c>
      <c r="M171" t="n">
        <v>1070</v>
      </c>
      <c r="N171" t="n">
        <v>1850</v>
      </c>
      <c r="O171" t="n">
        <v>2700</v>
      </c>
      <c r="P171" t="n">
        <v>3550</v>
      </c>
      <c r="Q171" t="n">
        <v>4400</v>
      </c>
      <c r="R171" t="n">
        <v>5250</v>
      </c>
      <c r="S171" t="n">
        <v>6100</v>
      </c>
      <c r="T171" t="n">
        <v>6950</v>
      </c>
      <c r="U171" t="n">
        <v>7800</v>
      </c>
      <c r="V171" t="n">
        <v>3523</v>
      </c>
      <c r="W171" t="n">
        <v>1680</v>
      </c>
      <c r="X171" t="n">
        <v>1510</v>
      </c>
      <c r="Y171" t="n">
        <v>7500</v>
      </c>
    </row>
    <row r="172">
      <c r="A172" t="n">
        <v>171</v>
      </c>
      <c r="B172" t="n">
        <v>0</v>
      </c>
      <c r="C172" t="n">
        <v>12948</v>
      </c>
      <c r="D172" t="n">
        <v>29642</v>
      </c>
      <c r="E172" t="n">
        <v>154356</v>
      </c>
      <c r="F172" t="n">
        <v>795910</v>
      </c>
      <c r="G172" t="n">
        <v>4036964</v>
      </c>
      <c r="H172" t="n">
        <v>20210854</v>
      </c>
      <c r="I172" t="n">
        <v>99565234</v>
      </c>
      <c r="J172" t="n">
        <v>2000</v>
      </c>
      <c r="K172" t="n">
        <v>14738</v>
      </c>
      <c r="L172" t="n">
        <v>2500</v>
      </c>
      <c r="M172" t="n">
        <v>1071</v>
      </c>
      <c r="N172" t="n">
        <v>1855</v>
      </c>
      <c r="O172" t="n">
        <v>2710</v>
      </c>
      <c r="P172" t="n">
        <v>3565</v>
      </c>
      <c r="Q172" t="n">
        <v>4420</v>
      </c>
      <c r="R172" t="n">
        <v>5275</v>
      </c>
      <c r="S172" t="n">
        <v>6130</v>
      </c>
      <c r="T172" t="n">
        <v>6985</v>
      </c>
      <c r="U172" t="n">
        <v>7840</v>
      </c>
      <c r="V172" t="n">
        <v>3545</v>
      </c>
      <c r="W172" t="n">
        <v>1684</v>
      </c>
      <c r="X172" t="n">
        <v>1513</v>
      </c>
      <c r="Y172" t="n">
        <v>7510</v>
      </c>
    </row>
    <row r="173">
      <c r="A173" t="n">
        <v>172</v>
      </c>
      <c r="B173" t="n">
        <v>0</v>
      </c>
      <c r="C173" t="n">
        <v>13143</v>
      </c>
      <c r="D173" t="n">
        <v>30235</v>
      </c>
      <c r="E173" t="n">
        <v>158987</v>
      </c>
      <c r="F173" t="n">
        <v>827747</v>
      </c>
      <c r="G173" t="n">
        <v>4238813</v>
      </c>
      <c r="H173" t="n">
        <v>21423506</v>
      </c>
      <c r="I173" t="n">
        <v>106534801</v>
      </c>
      <c r="J173" t="n">
        <v>2000</v>
      </c>
      <c r="K173" t="n">
        <v>14886</v>
      </c>
      <c r="L173" t="n">
        <v>2500</v>
      </c>
      <c r="M173" t="n">
        <v>1072</v>
      </c>
      <c r="N173" t="n">
        <v>1860</v>
      </c>
      <c r="O173" t="n">
        <v>2720</v>
      </c>
      <c r="P173" t="n">
        <v>3580</v>
      </c>
      <c r="Q173" t="n">
        <v>4440</v>
      </c>
      <c r="R173" t="n">
        <v>5300</v>
      </c>
      <c r="S173" t="n">
        <v>6160</v>
      </c>
      <c r="T173" t="n">
        <v>7020</v>
      </c>
      <c r="U173" t="n">
        <v>7880</v>
      </c>
      <c r="V173" t="n">
        <v>3567</v>
      </c>
      <c r="W173" t="n">
        <v>1688</v>
      </c>
      <c r="X173" t="n">
        <v>1516</v>
      </c>
      <c r="Y173" t="n">
        <v>7520</v>
      </c>
    </row>
    <row r="174">
      <c r="A174" t="n">
        <v>173</v>
      </c>
      <c r="B174" t="n">
        <v>0</v>
      </c>
      <c r="C174" t="n">
        <v>13341</v>
      </c>
      <c r="D174" t="n">
        <v>30840</v>
      </c>
      <c r="E174" t="n">
        <v>163757</v>
      </c>
      <c r="F174" t="n">
        <v>860857</v>
      </c>
      <c r="G174" t="n">
        <v>4450754</v>
      </c>
      <c r="H174" t="n">
        <v>22708917</v>
      </c>
      <c r="I174" t="n">
        <v>113992238</v>
      </c>
      <c r="J174" t="n">
        <v>2000</v>
      </c>
      <c r="K174" t="n">
        <v>15035</v>
      </c>
      <c r="L174" t="n">
        <v>2500</v>
      </c>
      <c r="M174" t="n">
        <v>1073</v>
      </c>
      <c r="N174" t="n">
        <v>1865</v>
      </c>
      <c r="O174" t="n">
        <v>2730</v>
      </c>
      <c r="P174" t="n">
        <v>3595</v>
      </c>
      <c r="Q174" t="n">
        <v>4460</v>
      </c>
      <c r="R174" t="n">
        <v>5325</v>
      </c>
      <c r="S174" t="n">
        <v>6190</v>
      </c>
      <c r="T174" t="n">
        <v>7055</v>
      </c>
      <c r="U174" t="n">
        <v>7920</v>
      </c>
      <c r="V174" t="n">
        <v>3589</v>
      </c>
      <c r="W174" t="n">
        <v>1692</v>
      </c>
      <c r="X174" t="n">
        <v>1519</v>
      </c>
      <c r="Y174" t="n">
        <v>7530</v>
      </c>
    </row>
    <row r="175">
      <c r="A175" t="n">
        <v>174</v>
      </c>
      <c r="B175" t="n">
        <v>0</v>
      </c>
      <c r="C175" t="n">
        <v>13542</v>
      </c>
      <c r="D175" t="n">
        <v>31457</v>
      </c>
      <c r="E175" t="n">
        <v>168670</v>
      </c>
      <c r="F175" t="n">
        <v>895292</v>
      </c>
      <c r="G175" t="n">
        <v>4673292</v>
      </c>
      <c r="H175" t="n">
        <v>24071453</v>
      </c>
      <c r="I175" t="n">
        <v>121971695</v>
      </c>
      <c r="J175" t="n">
        <v>2000</v>
      </c>
      <c r="K175" t="n">
        <v>15186</v>
      </c>
      <c r="L175" t="n">
        <v>2500</v>
      </c>
      <c r="M175" t="n">
        <v>1074</v>
      </c>
      <c r="N175" t="n">
        <v>1870</v>
      </c>
      <c r="O175" t="n">
        <v>2740</v>
      </c>
      <c r="P175" t="n">
        <v>3610</v>
      </c>
      <c r="Q175" t="n">
        <v>4480</v>
      </c>
      <c r="R175" t="n">
        <v>5350</v>
      </c>
      <c r="S175" t="n">
        <v>6220</v>
      </c>
      <c r="T175" t="n">
        <v>7090</v>
      </c>
      <c r="U175" t="n">
        <v>7960</v>
      </c>
      <c r="V175" t="n">
        <v>3611</v>
      </c>
      <c r="W175" t="n">
        <v>1696</v>
      </c>
      <c r="X175" t="n">
        <v>1522</v>
      </c>
      <c r="Y175" t="n">
        <v>7540</v>
      </c>
    </row>
    <row r="176">
      <c r="A176" t="n">
        <v>175</v>
      </c>
      <c r="B176" t="n">
        <v>0</v>
      </c>
      <c r="C176" t="n">
        <v>13746</v>
      </c>
      <c r="D176" t="n">
        <v>32087</v>
      </c>
      <c r="E176" t="n">
        <v>173731</v>
      </c>
      <c r="F176" t="n">
        <v>931104</v>
      </c>
      <c r="G176" t="n">
        <v>4906957</v>
      </c>
      <c r="H176" t="n">
        <v>25515741</v>
      </c>
      <c r="I176" t="n">
        <v>130509714</v>
      </c>
      <c r="J176" t="n">
        <v>2000</v>
      </c>
      <c r="K176" t="n">
        <v>15338</v>
      </c>
      <c r="L176" t="n">
        <v>2500</v>
      </c>
      <c r="M176" t="n">
        <v>1075</v>
      </c>
      <c r="N176" t="n">
        <v>1875</v>
      </c>
      <c r="O176" t="n">
        <v>2750</v>
      </c>
      <c r="P176" t="n">
        <v>3625</v>
      </c>
      <c r="Q176" t="n">
        <v>4500</v>
      </c>
      <c r="R176" t="n">
        <v>5375</v>
      </c>
      <c r="S176" t="n">
        <v>6250</v>
      </c>
      <c r="T176" t="n">
        <v>7125</v>
      </c>
      <c r="U176" t="n">
        <v>8000</v>
      </c>
      <c r="V176" t="n">
        <v>3634</v>
      </c>
      <c r="W176" t="n">
        <v>1700</v>
      </c>
      <c r="X176" t="n">
        <v>1525</v>
      </c>
      <c r="Y176" t="n">
        <v>7550</v>
      </c>
    </row>
    <row r="177">
      <c r="A177" t="n">
        <v>176</v>
      </c>
      <c r="B177" t="n">
        <v>0</v>
      </c>
      <c r="C177" t="n">
        <v>13953</v>
      </c>
      <c r="D177" t="n">
        <v>32729</v>
      </c>
      <c r="E177" t="n">
        <v>178943</v>
      </c>
      <c r="F177" t="n">
        <v>968349</v>
      </c>
      <c r="G177" t="n">
        <v>5152305</v>
      </c>
      <c r="H177" t="n">
        <v>27046686</v>
      </c>
      <c r="I177" t="n">
        <v>139645394</v>
      </c>
      <c r="J177" t="n">
        <v>2000</v>
      </c>
      <c r="K177" t="n">
        <v>15492</v>
      </c>
      <c r="L177" t="n">
        <v>2500</v>
      </c>
      <c r="M177" t="n">
        <v>1076</v>
      </c>
      <c r="N177" t="n">
        <v>1880</v>
      </c>
      <c r="O177" t="n">
        <v>2760</v>
      </c>
      <c r="P177" t="n">
        <v>3640</v>
      </c>
      <c r="Q177" t="n">
        <v>4520</v>
      </c>
      <c r="R177" t="n">
        <v>5400</v>
      </c>
      <c r="S177" t="n">
        <v>6280</v>
      </c>
      <c r="T177" t="n">
        <v>7160</v>
      </c>
      <c r="U177" t="n">
        <v>8040</v>
      </c>
      <c r="V177" t="n">
        <v>3657</v>
      </c>
      <c r="W177" t="n">
        <v>1704</v>
      </c>
      <c r="X177" t="n">
        <v>1528</v>
      </c>
      <c r="Y177" t="n">
        <v>7560</v>
      </c>
    </row>
    <row r="178">
      <c r="A178" t="n">
        <v>177</v>
      </c>
      <c r="B178" t="n">
        <v>0</v>
      </c>
      <c r="C178" t="n">
        <v>14163</v>
      </c>
      <c r="D178" t="n">
        <v>33384</v>
      </c>
      <c r="E178" t="n">
        <v>184312</v>
      </c>
      <c r="F178" t="n">
        <v>1007083</v>
      </c>
      <c r="G178" t="n">
        <v>5409921</v>
      </c>
      <c r="H178" t="n">
        <v>28669488</v>
      </c>
      <c r="I178" t="n">
        <v>149420572</v>
      </c>
      <c r="J178" t="n">
        <v>2000</v>
      </c>
      <c r="K178" t="n">
        <v>15647</v>
      </c>
      <c r="L178" t="n">
        <v>2500</v>
      </c>
      <c r="M178" t="n">
        <v>1077</v>
      </c>
      <c r="N178" t="n">
        <v>1885</v>
      </c>
      <c r="O178" t="n">
        <v>2770</v>
      </c>
      <c r="P178" t="n">
        <v>3655</v>
      </c>
      <c r="Q178" t="n">
        <v>4540</v>
      </c>
      <c r="R178" t="n">
        <v>5425</v>
      </c>
      <c r="S178" t="n">
        <v>6310</v>
      </c>
      <c r="T178" t="n">
        <v>7195</v>
      </c>
      <c r="U178" t="n">
        <v>8080</v>
      </c>
      <c r="V178" t="n">
        <v>3680</v>
      </c>
      <c r="W178" t="n">
        <v>1708</v>
      </c>
      <c r="X178" t="n">
        <v>1531</v>
      </c>
      <c r="Y178" t="n">
        <v>7570</v>
      </c>
    </row>
    <row r="179">
      <c r="A179" t="n">
        <v>178</v>
      </c>
      <c r="B179" t="n">
        <v>0</v>
      </c>
      <c r="C179" t="n">
        <v>14376</v>
      </c>
      <c r="D179" t="n">
        <v>34052</v>
      </c>
      <c r="E179" t="n">
        <v>189842</v>
      </c>
      <c r="F179" t="n">
        <v>1047367</v>
      </c>
      <c r="G179" t="n">
        <v>5680418</v>
      </c>
      <c r="H179" t="n">
        <v>30389658</v>
      </c>
      <c r="I179" t="n">
        <v>159880013</v>
      </c>
      <c r="J179" t="n">
        <v>2000</v>
      </c>
      <c r="K179" t="n">
        <v>15804</v>
      </c>
      <c r="L179" t="n">
        <v>2500</v>
      </c>
      <c r="M179" t="n">
        <v>1078</v>
      </c>
      <c r="N179" t="n">
        <v>1890</v>
      </c>
      <c r="O179" t="n">
        <v>2780</v>
      </c>
      <c r="P179" t="n">
        <v>3670</v>
      </c>
      <c r="Q179" t="n">
        <v>4560</v>
      </c>
      <c r="R179" t="n">
        <v>5450</v>
      </c>
      <c r="S179" t="n">
        <v>6340</v>
      </c>
      <c r="T179" t="n">
        <v>7230</v>
      </c>
      <c r="U179" t="n">
        <v>8120</v>
      </c>
      <c r="V179" t="n">
        <v>3703</v>
      </c>
      <c r="W179" t="n">
        <v>1712</v>
      </c>
      <c r="X179" t="n">
        <v>1534</v>
      </c>
      <c r="Y179" t="n">
        <v>7580</v>
      </c>
    </row>
    <row r="180">
      <c r="A180" t="n">
        <v>179</v>
      </c>
      <c r="B180" t="n">
        <v>0</v>
      </c>
      <c r="C180" t="n">
        <v>14592</v>
      </c>
      <c r="D180" t="n">
        <v>34734</v>
      </c>
      <c r="E180" t="n">
        <v>195538</v>
      </c>
      <c r="F180" t="n">
        <v>1089262</v>
      </c>
      <c r="G180" t="n">
        <v>5964439</v>
      </c>
      <c r="H180" t="n">
        <v>32213038</v>
      </c>
      <c r="I180" t="n">
        <v>171071614</v>
      </c>
      <c r="J180" t="n">
        <v>2000</v>
      </c>
      <c r="K180" t="n">
        <v>15963</v>
      </c>
      <c r="L180" t="n">
        <v>2500</v>
      </c>
      <c r="M180" t="n">
        <v>1079</v>
      </c>
      <c r="N180" t="n">
        <v>1895</v>
      </c>
      <c r="O180" t="n">
        <v>2790</v>
      </c>
      <c r="P180" t="n">
        <v>3685</v>
      </c>
      <c r="Q180" t="n">
        <v>4580</v>
      </c>
      <c r="R180" t="n">
        <v>5475</v>
      </c>
      <c r="S180" t="n">
        <v>6370</v>
      </c>
      <c r="T180" t="n">
        <v>7265</v>
      </c>
      <c r="U180" t="n">
        <v>8160</v>
      </c>
      <c r="V180" t="n">
        <v>3726</v>
      </c>
      <c r="W180" t="n">
        <v>1716</v>
      </c>
      <c r="X180" t="n">
        <v>1537</v>
      </c>
      <c r="Y180" t="n">
        <v>7590</v>
      </c>
    </row>
    <row r="181">
      <c r="A181" t="n">
        <v>180</v>
      </c>
      <c r="B181" t="n">
        <v>0</v>
      </c>
      <c r="C181" t="n">
        <v>14811</v>
      </c>
      <c r="D181" t="n">
        <v>35429</v>
      </c>
      <c r="E181" t="n">
        <v>201405</v>
      </c>
      <c r="F181" t="n">
        <v>1132833</v>
      </c>
      <c r="G181" t="n">
        <v>6262661</v>
      </c>
      <c r="H181" t="n">
        <v>34145821</v>
      </c>
      <c r="I181" t="n">
        <v>183046627</v>
      </c>
      <c r="J181" t="n">
        <v>2000</v>
      </c>
      <c r="K181" t="n">
        <v>16123</v>
      </c>
      <c r="L181" t="n">
        <v>2500</v>
      </c>
      <c r="M181" t="n">
        <v>1080</v>
      </c>
      <c r="N181" t="n">
        <v>1900</v>
      </c>
      <c r="O181" t="n">
        <v>2800</v>
      </c>
      <c r="P181" t="n">
        <v>3700</v>
      </c>
      <c r="Q181" t="n">
        <v>4600</v>
      </c>
      <c r="R181" t="n">
        <v>5500</v>
      </c>
      <c r="S181" t="n">
        <v>6400</v>
      </c>
      <c r="T181" t="n">
        <v>7300</v>
      </c>
      <c r="U181" t="n">
        <v>8200</v>
      </c>
      <c r="V181" t="n">
        <v>3749</v>
      </c>
      <c r="W181" t="n">
        <v>1720</v>
      </c>
      <c r="X181" t="n">
        <v>1540</v>
      </c>
      <c r="Y181" t="n">
        <v>7600</v>
      </c>
    </row>
    <row r="182">
      <c r="A182" t="n">
        <v>181</v>
      </c>
      <c r="B182" t="n">
        <v>0</v>
      </c>
      <c r="C182" t="n">
        <v>15034</v>
      </c>
      <c r="D182" t="n">
        <v>36138</v>
      </c>
      <c r="E182" t="n">
        <v>207448</v>
      </c>
      <c r="F182" t="n">
        <v>1178147</v>
      </c>
      <c r="G182" t="n">
        <v>6575795</v>
      </c>
      <c r="H182" t="n">
        <v>36194571</v>
      </c>
      <c r="I182" t="n">
        <v>195859891</v>
      </c>
      <c r="J182" t="n">
        <v>2000</v>
      </c>
      <c r="K182" t="n">
        <v>16285</v>
      </c>
      <c r="L182" t="n">
        <v>2500</v>
      </c>
      <c r="M182" t="n">
        <v>1081</v>
      </c>
      <c r="N182" t="n">
        <v>1905</v>
      </c>
      <c r="O182" t="n">
        <v>2810</v>
      </c>
      <c r="P182" t="n">
        <v>3715</v>
      </c>
      <c r="Q182" t="n">
        <v>4620</v>
      </c>
      <c r="R182" t="n">
        <v>5525</v>
      </c>
      <c r="S182" t="n">
        <v>6430</v>
      </c>
      <c r="T182" t="n">
        <v>7335</v>
      </c>
      <c r="U182" t="n">
        <v>8240</v>
      </c>
      <c r="V182" t="n">
        <v>3772</v>
      </c>
      <c r="W182" t="n">
        <v>1724</v>
      </c>
      <c r="X182" t="n">
        <v>1543</v>
      </c>
      <c r="Y182" t="n">
        <v>7610</v>
      </c>
    </row>
    <row r="183">
      <c r="A183" t="n">
        <v>182</v>
      </c>
      <c r="B183" t="n">
        <v>0</v>
      </c>
      <c r="C183" t="n">
        <v>15260</v>
      </c>
      <c r="D183" t="n">
        <v>36861</v>
      </c>
      <c r="E183" t="n">
        <v>213672</v>
      </c>
      <c r="F183" t="n">
        <v>1225273</v>
      </c>
      <c r="G183" t="n">
        <v>6904585</v>
      </c>
      <c r="H183" t="n">
        <v>38366246</v>
      </c>
      <c r="I183" t="n">
        <v>209570084</v>
      </c>
      <c r="J183" t="n">
        <v>2000</v>
      </c>
      <c r="K183" t="n">
        <v>16448</v>
      </c>
      <c r="L183" t="n">
        <v>2500</v>
      </c>
      <c r="M183" t="n">
        <v>1082</v>
      </c>
      <c r="N183" t="n">
        <v>1910</v>
      </c>
      <c r="O183" t="n">
        <v>2820</v>
      </c>
      <c r="P183" t="n">
        <v>3730</v>
      </c>
      <c r="Q183" t="n">
        <v>4640</v>
      </c>
      <c r="R183" t="n">
        <v>5550</v>
      </c>
      <c r="S183" t="n">
        <v>6460</v>
      </c>
      <c r="T183" t="n">
        <v>7370</v>
      </c>
      <c r="U183" t="n">
        <v>8280</v>
      </c>
      <c r="V183" t="n">
        <v>3795</v>
      </c>
      <c r="W183" t="n">
        <v>1728</v>
      </c>
      <c r="X183" t="n">
        <v>1546</v>
      </c>
      <c r="Y183" t="n">
        <v>7620</v>
      </c>
    </row>
    <row r="184">
      <c r="A184" t="n">
        <v>183</v>
      </c>
      <c r="B184" t="n">
        <v>0</v>
      </c>
      <c r="C184" t="n">
        <v>15489</v>
      </c>
      <c r="D184" t="n">
        <v>37599</v>
      </c>
      <c r="E184" t="n">
        <v>220083</v>
      </c>
      <c r="F184" t="n">
        <v>1274284</v>
      </c>
      <c r="G184" t="n">
        <v>7249815</v>
      </c>
      <c r="H184" t="n">
        <v>40668221</v>
      </c>
      <c r="I184" t="n">
        <v>224239990</v>
      </c>
      <c r="J184" t="n">
        <v>2000</v>
      </c>
      <c r="K184" t="n">
        <v>16613</v>
      </c>
      <c r="L184" t="n">
        <v>2500</v>
      </c>
      <c r="M184" t="n">
        <v>1083</v>
      </c>
      <c r="N184" t="n">
        <v>1915</v>
      </c>
      <c r="O184" t="n">
        <v>2830</v>
      </c>
      <c r="P184" t="n">
        <v>3745</v>
      </c>
      <c r="Q184" t="n">
        <v>4660</v>
      </c>
      <c r="R184" t="n">
        <v>5575</v>
      </c>
      <c r="S184" t="n">
        <v>6490</v>
      </c>
      <c r="T184" t="n">
        <v>7405</v>
      </c>
      <c r="U184" t="n">
        <v>8320</v>
      </c>
      <c r="V184" t="n">
        <v>3818</v>
      </c>
      <c r="W184" t="n">
        <v>1732</v>
      </c>
      <c r="X184" t="n">
        <v>1549</v>
      </c>
      <c r="Y184" t="n">
        <v>7630</v>
      </c>
    </row>
    <row r="185">
      <c r="A185" t="n">
        <v>184</v>
      </c>
      <c r="B185" t="n">
        <v>0</v>
      </c>
      <c r="C185" t="n">
        <v>15722</v>
      </c>
      <c r="D185" t="n">
        <v>38351</v>
      </c>
      <c r="E185" t="n">
        <v>226686</v>
      </c>
      <c r="F185" t="n">
        <v>1325256</v>
      </c>
      <c r="G185" t="n">
        <v>7612306</v>
      </c>
      <c r="H185" t="n">
        <v>43108315</v>
      </c>
      <c r="I185" t="n">
        <v>239936790</v>
      </c>
      <c r="J185" t="n">
        <v>2000</v>
      </c>
      <c r="K185" t="n">
        <v>16780</v>
      </c>
      <c r="L185" t="n">
        <v>2500</v>
      </c>
      <c r="M185" t="n">
        <v>1084</v>
      </c>
      <c r="N185" t="n">
        <v>1920</v>
      </c>
      <c r="O185" t="n">
        <v>2840</v>
      </c>
      <c r="P185" t="n">
        <v>3760</v>
      </c>
      <c r="Q185" t="n">
        <v>4680</v>
      </c>
      <c r="R185" t="n">
        <v>5600</v>
      </c>
      <c r="S185" t="n">
        <v>6520</v>
      </c>
      <c r="T185" t="n">
        <v>7440</v>
      </c>
      <c r="U185" t="n">
        <v>8360</v>
      </c>
      <c r="V185" t="n">
        <v>3842</v>
      </c>
      <c r="W185" t="n">
        <v>1736</v>
      </c>
      <c r="X185" t="n">
        <v>1552</v>
      </c>
      <c r="Y185" t="n">
        <v>7640</v>
      </c>
    </row>
    <row r="186">
      <c r="A186" t="n">
        <v>185</v>
      </c>
      <c r="B186" t="n">
        <v>0</v>
      </c>
      <c r="C186" t="n">
        <v>15958</v>
      </c>
      <c r="D186" t="n">
        <v>39119</v>
      </c>
      <c r="E186" t="n">
        <v>233487</v>
      </c>
      <c r="F186" t="n">
        <v>1378267</v>
      </c>
      <c r="G186" t="n">
        <v>7992922</v>
      </c>
      <c r="H186" t="n">
        <v>45694814</v>
      </c>
      <c r="I186" t="n">
        <v>256732366</v>
      </c>
      <c r="J186" t="n">
        <v>2000</v>
      </c>
      <c r="K186" t="n">
        <v>16948</v>
      </c>
      <c r="L186" t="n">
        <v>2500</v>
      </c>
      <c r="M186" t="n">
        <v>1085</v>
      </c>
      <c r="N186" t="n">
        <v>1925</v>
      </c>
      <c r="O186" t="n">
        <v>2850</v>
      </c>
      <c r="P186" t="n">
        <v>3775</v>
      </c>
      <c r="Q186" t="n">
        <v>4700</v>
      </c>
      <c r="R186" t="n">
        <v>5625</v>
      </c>
      <c r="S186" t="n">
        <v>6550</v>
      </c>
      <c r="T186" t="n">
        <v>7475</v>
      </c>
      <c r="U186" t="n">
        <v>8400</v>
      </c>
      <c r="V186" t="n">
        <v>3866</v>
      </c>
      <c r="W186" t="n">
        <v>1740</v>
      </c>
      <c r="X186" t="n">
        <v>1555</v>
      </c>
      <c r="Y186" t="n">
        <v>7650</v>
      </c>
    </row>
    <row r="187">
      <c r="A187" t="n">
        <v>186</v>
      </c>
      <c r="B187" t="n">
        <v>0</v>
      </c>
      <c r="C187" t="n">
        <v>16198</v>
      </c>
      <c r="D187" t="n">
        <v>39902</v>
      </c>
      <c r="E187" t="n">
        <v>240492</v>
      </c>
      <c r="F187" t="n">
        <v>1433398</v>
      </c>
      <c r="G187" t="n">
        <v>8392569</v>
      </c>
      <c r="H187" t="n">
        <v>48436503</v>
      </c>
      <c r="I187" t="n">
        <v>274703632</v>
      </c>
      <c r="J187" t="n">
        <v>2000</v>
      </c>
      <c r="K187" t="n">
        <v>17118</v>
      </c>
      <c r="L187" t="n">
        <v>2500</v>
      </c>
      <c r="M187" t="n">
        <v>1086</v>
      </c>
      <c r="N187" t="n">
        <v>1930</v>
      </c>
      <c r="O187" t="n">
        <v>2860</v>
      </c>
      <c r="P187" t="n">
        <v>3790</v>
      </c>
      <c r="Q187" t="n">
        <v>4720</v>
      </c>
      <c r="R187" t="n">
        <v>5650</v>
      </c>
      <c r="S187" t="n">
        <v>6580</v>
      </c>
      <c r="T187" t="n">
        <v>7510</v>
      </c>
      <c r="U187" t="n">
        <v>8440</v>
      </c>
      <c r="V187" t="n">
        <v>3890</v>
      </c>
      <c r="W187" t="n">
        <v>1744</v>
      </c>
      <c r="X187" t="n">
        <v>1558</v>
      </c>
      <c r="Y187" t="n">
        <v>7660</v>
      </c>
    </row>
    <row r="188">
      <c r="A188" t="n">
        <v>187</v>
      </c>
      <c r="B188" t="n">
        <v>0</v>
      </c>
      <c r="C188" t="n">
        <v>16441</v>
      </c>
      <c r="D188" t="n">
        <v>40701</v>
      </c>
      <c r="E188" t="n">
        <v>247707</v>
      </c>
      <c r="F188" t="n">
        <v>1490734</v>
      </c>
      <c r="G188" t="n">
        <v>8812198</v>
      </c>
      <c r="H188" t="n">
        <v>51342694</v>
      </c>
      <c r="I188" t="n">
        <v>293932887</v>
      </c>
      <c r="J188" t="n">
        <v>2000</v>
      </c>
      <c r="K188" t="n">
        <v>17290</v>
      </c>
      <c r="L188" t="n">
        <v>2500</v>
      </c>
      <c r="M188" t="n">
        <v>1087</v>
      </c>
      <c r="N188" t="n">
        <v>1935</v>
      </c>
      <c r="O188" t="n">
        <v>2870</v>
      </c>
      <c r="P188" t="n">
        <v>3805</v>
      </c>
      <c r="Q188" t="n">
        <v>4740</v>
      </c>
      <c r="R188" t="n">
        <v>5675</v>
      </c>
      <c r="S188" t="n">
        <v>6610</v>
      </c>
      <c r="T188" t="n">
        <v>7545</v>
      </c>
      <c r="U188" t="n">
        <v>8480</v>
      </c>
      <c r="V188" t="n">
        <v>3914</v>
      </c>
      <c r="W188" t="n">
        <v>1748</v>
      </c>
      <c r="X188" t="n">
        <v>1561</v>
      </c>
      <c r="Y188" t="n">
        <v>7670</v>
      </c>
    </row>
    <row r="189">
      <c r="A189" t="n">
        <v>188</v>
      </c>
      <c r="B189" t="n">
        <v>0</v>
      </c>
      <c r="C189" t="n">
        <v>16688</v>
      </c>
      <c r="D189" t="n">
        <v>41516</v>
      </c>
      <c r="E189" t="n">
        <v>255139</v>
      </c>
      <c r="F189" t="n">
        <v>1550364</v>
      </c>
      <c r="G189" t="n">
        <v>9252808</v>
      </c>
      <c r="H189" t="n">
        <v>54423256</v>
      </c>
      <c r="I189" t="n">
        <v>314508190</v>
      </c>
      <c r="J189" t="n">
        <v>2000</v>
      </c>
      <c r="K189" t="n">
        <v>17463</v>
      </c>
      <c r="L189" t="n">
        <v>2500</v>
      </c>
      <c r="M189" t="n">
        <v>1088</v>
      </c>
      <c r="N189" t="n">
        <v>1940</v>
      </c>
      <c r="O189" t="n">
        <v>2880</v>
      </c>
      <c r="P189" t="n">
        <v>3820</v>
      </c>
      <c r="Q189" t="n">
        <v>4760</v>
      </c>
      <c r="R189" t="n">
        <v>5700</v>
      </c>
      <c r="S189" t="n">
        <v>6640</v>
      </c>
      <c r="T189" t="n">
        <v>7580</v>
      </c>
      <c r="U189" t="n">
        <v>8520</v>
      </c>
      <c r="V189" t="n">
        <v>3938</v>
      </c>
      <c r="W189" t="n">
        <v>1752</v>
      </c>
      <c r="X189" t="n">
        <v>1564</v>
      </c>
      <c r="Y189" t="n">
        <v>7680</v>
      </c>
    </row>
    <row r="190">
      <c r="A190" t="n">
        <v>189</v>
      </c>
      <c r="B190" t="n">
        <v>0</v>
      </c>
      <c r="C190" t="n">
        <v>16939</v>
      </c>
      <c r="D190" t="n">
        <v>42347</v>
      </c>
      <c r="E190" t="n">
        <v>262794</v>
      </c>
      <c r="F190" t="n">
        <v>1612379</v>
      </c>
      <c r="G190" t="n">
        <v>9715449</v>
      </c>
      <c r="H190" t="n">
        <v>57688652</v>
      </c>
      <c r="I190" t="n">
        <v>336523764</v>
      </c>
      <c r="J190" t="n">
        <v>2000</v>
      </c>
      <c r="K190" t="n">
        <v>17638</v>
      </c>
      <c r="L190" t="n">
        <v>2500</v>
      </c>
      <c r="M190" t="n">
        <v>1089</v>
      </c>
      <c r="N190" t="n">
        <v>1945</v>
      </c>
      <c r="O190" t="n">
        <v>2890</v>
      </c>
      <c r="P190" t="n">
        <v>3835</v>
      </c>
      <c r="Q190" t="n">
        <v>4780</v>
      </c>
      <c r="R190" t="n">
        <v>5725</v>
      </c>
      <c r="S190" t="n">
        <v>6670</v>
      </c>
      <c r="T190" t="n">
        <v>7615</v>
      </c>
      <c r="U190" t="n">
        <v>8560</v>
      </c>
      <c r="V190" t="n">
        <v>3962</v>
      </c>
      <c r="W190" t="n">
        <v>1756</v>
      </c>
      <c r="X190" t="n">
        <v>1567</v>
      </c>
      <c r="Y190" t="n">
        <v>7690</v>
      </c>
    </row>
    <row r="191">
      <c r="A191" t="n">
        <v>190</v>
      </c>
      <c r="B191" t="n">
        <v>0</v>
      </c>
      <c r="C191" t="n">
        <v>17194</v>
      </c>
      <c r="D191" t="n">
        <v>43194</v>
      </c>
      <c r="E191" t="n">
        <v>270678</v>
      </c>
      <c r="F191" t="n">
        <v>1676875</v>
      </c>
      <c r="G191" t="n">
        <v>10201222</v>
      </c>
      <c r="H191" t="n">
        <v>61149972</v>
      </c>
      <c r="I191" t="n">
        <v>360080428</v>
      </c>
      <c r="J191" t="n">
        <v>2000</v>
      </c>
      <c r="K191" t="n">
        <v>17815</v>
      </c>
      <c r="L191" t="n">
        <v>2500</v>
      </c>
      <c r="M191" t="n">
        <v>1090</v>
      </c>
      <c r="N191" t="n">
        <v>1950</v>
      </c>
      <c r="O191" t="n">
        <v>2900</v>
      </c>
      <c r="P191" t="n">
        <v>3850</v>
      </c>
      <c r="Q191" t="n">
        <v>4800</v>
      </c>
      <c r="R191" t="n">
        <v>5750</v>
      </c>
      <c r="S191" t="n">
        <v>6700</v>
      </c>
      <c r="T191" t="n">
        <v>7650</v>
      </c>
      <c r="U191" t="n">
        <v>8600</v>
      </c>
      <c r="V191" t="n">
        <v>3986</v>
      </c>
      <c r="W191" t="n">
        <v>1760</v>
      </c>
      <c r="X191" t="n">
        <v>1570</v>
      </c>
      <c r="Y191" t="n">
        <v>7700</v>
      </c>
    </row>
    <row r="192">
      <c r="A192" t="n">
        <v>191</v>
      </c>
      <c r="B192" t="n">
        <v>0</v>
      </c>
      <c r="C192" t="n">
        <v>17452</v>
      </c>
      <c r="D192" t="n">
        <v>44058</v>
      </c>
      <c r="E192" t="n">
        <v>278799</v>
      </c>
      <c r="F192" t="n">
        <v>1743950</v>
      </c>
      <c r="G192" t="n">
        <v>10711284</v>
      </c>
      <c r="H192" t="n">
        <v>64818971</v>
      </c>
      <c r="I192" t="n">
        <v>385286058</v>
      </c>
      <c r="J192" t="n">
        <v>2000</v>
      </c>
      <c r="K192" t="n">
        <v>17994</v>
      </c>
      <c r="L192" t="n">
        <v>2500</v>
      </c>
      <c r="M192" t="n">
        <v>1091</v>
      </c>
      <c r="N192" t="n">
        <v>1955</v>
      </c>
      <c r="O192" t="n">
        <v>2910</v>
      </c>
      <c r="P192" t="n">
        <v>3865</v>
      </c>
      <c r="Q192" t="n">
        <v>4820</v>
      </c>
      <c r="R192" t="n">
        <v>5775</v>
      </c>
      <c r="S192" t="n">
        <v>6730</v>
      </c>
      <c r="T192" t="n">
        <v>7685</v>
      </c>
      <c r="U192" t="n">
        <v>8640</v>
      </c>
      <c r="V192" t="n">
        <v>4010</v>
      </c>
      <c r="W192" t="n">
        <v>1764</v>
      </c>
      <c r="X192" t="n">
        <v>1573</v>
      </c>
      <c r="Y192" t="n">
        <v>7710</v>
      </c>
    </row>
    <row r="193">
      <c r="A193" t="n">
        <v>192</v>
      </c>
      <c r="B193" t="n">
        <v>0</v>
      </c>
      <c r="C193" t="n">
        <v>17714</v>
      </c>
      <c r="D193" t="n">
        <v>44940</v>
      </c>
      <c r="E193" t="n">
        <v>287163</v>
      </c>
      <c r="F193" t="n">
        <v>1813708</v>
      </c>
      <c r="G193" t="n">
        <v>11246849</v>
      </c>
      <c r="H193" t="n">
        <v>68708110</v>
      </c>
      <c r="I193" t="n">
        <v>412256083</v>
      </c>
      <c r="J193" t="n">
        <v>2000</v>
      </c>
      <c r="K193" t="n">
        <v>18174</v>
      </c>
      <c r="L193" t="n">
        <v>2500</v>
      </c>
      <c r="M193" t="n">
        <v>1092</v>
      </c>
      <c r="N193" t="n">
        <v>1960</v>
      </c>
      <c r="O193" t="n">
        <v>2920</v>
      </c>
      <c r="P193" t="n">
        <v>3880</v>
      </c>
      <c r="Q193" t="n">
        <v>4840</v>
      </c>
      <c r="R193" t="n">
        <v>5800</v>
      </c>
      <c r="S193" t="n">
        <v>6760</v>
      </c>
      <c r="T193" t="n">
        <v>7720</v>
      </c>
      <c r="U193" t="n">
        <v>8680</v>
      </c>
      <c r="V193" t="n">
        <v>4035</v>
      </c>
      <c r="W193" t="n">
        <v>1768</v>
      </c>
      <c r="X193" t="n">
        <v>1576</v>
      </c>
      <c r="Y193" t="n">
        <v>7720</v>
      </c>
    </row>
    <row r="194">
      <c r="A194" t="n">
        <v>193</v>
      </c>
      <c r="B194" t="n">
        <v>0</v>
      </c>
      <c r="C194" t="n">
        <v>17980</v>
      </c>
      <c r="D194" t="n">
        <v>45839</v>
      </c>
      <c r="E194" t="n">
        <v>295778</v>
      </c>
      <c r="F194" t="n">
        <v>1886257</v>
      </c>
      <c r="G194" t="n">
        <v>11809192</v>
      </c>
      <c r="H194" t="n">
        <v>72830597</v>
      </c>
      <c r="I194" t="n">
        <v>441114009</v>
      </c>
      <c r="J194" t="n">
        <v>2000</v>
      </c>
      <c r="K194" t="n">
        <v>18356</v>
      </c>
      <c r="L194" t="n">
        <v>2500</v>
      </c>
      <c r="M194" t="n">
        <v>1093</v>
      </c>
      <c r="N194" t="n">
        <v>1965</v>
      </c>
      <c r="O194" t="n">
        <v>2930</v>
      </c>
      <c r="P194" t="n">
        <v>3895</v>
      </c>
      <c r="Q194" t="n">
        <v>4860</v>
      </c>
      <c r="R194" t="n">
        <v>5825</v>
      </c>
      <c r="S194" t="n">
        <v>6790</v>
      </c>
      <c r="T194" t="n">
        <v>7755</v>
      </c>
      <c r="U194" t="n">
        <v>8720</v>
      </c>
      <c r="V194" t="n">
        <v>4060</v>
      </c>
      <c r="W194" t="n">
        <v>1772</v>
      </c>
      <c r="X194" t="n">
        <v>1579</v>
      </c>
      <c r="Y194" t="n">
        <v>7730</v>
      </c>
    </row>
    <row r="195">
      <c r="A195" t="n">
        <v>194</v>
      </c>
      <c r="B195" t="n">
        <v>0</v>
      </c>
      <c r="C195" t="n">
        <v>18250</v>
      </c>
      <c r="D195" t="n">
        <v>46756</v>
      </c>
      <c r="E195" t="n">
        <v>304652</v>
      </c>
      <c r="F195" t="n">
        <v>1961708</v>
      </c>
      <c r="G195" t="n">
        <v>12399652</v>
      </c>
      <c r="H195" t="n">
        <v>77200433</v>
      </c>
      <c r="I195" t="n">
        <v>471991990</v>
      </c>
      <c r="J195" t="n">
        <v>2000</v>
      </c>
      <c r="K195" t="n">
        <v>18540</v>
      </c>
      <c r="L195" t="n">
        <v>2500</v>
      </c>
      <c r="M195" t="n">
        <v>1094</v>
      </c>
      <c r="N195" t="n">
        <v>1970</v>
      </c>
      <c r="O195" t="n">
        <v>2940</v>
      </c>
      <c r="P195" t="n">
        <v>3910</v>
      </c>
      <c r="Q195" t="n">
        <v>4880</v>
      </c>
      <c r="R195" t="n">
        <v>5850</v>
      </c>
      <c r="S195" t="n">
        <v>6820</v>
      </c>
      <c r="T195" t="n">
        <v>7790</v>
      </c>
      <c r="U195" t="n">
        <v>8760</v>
      </c>
      <c r="V195" t="n">
        <v>4085</v>
      </c>
      <c r="W195" t="n">
        <v>1776</v>
      </c>
      <c r="X195" t="n">
        <v>1582</v>
      </c>
      <c r="Y195" t="n">
        <v>7740</v>
      </c>
    </row>
    <row r="196">
      <c r="A196" t="n">
        <v>195</v>
      </c>
      <c r="B196" t="n">
        <v>0</v>
      </c>
      <c r="C196" t="n">
        <v>18524</v>
      </c>
      <c r="D196" t="n">
        <v>47692</v>
      </c>
      <c r="E196" t="n">
        <v>313792</v>
      </c>
      <c r="F196" t="n">
        <v>2040177</v>
      </c>
      <c r="G196" t="n">
        <v>13019635</v>
      </c>
      <c r="H196" t="n">
        <v>81832459</v>
      </c>
      <c r="I196" t="n">
        <v>505031430</v>
      </c>
      <c r="J196" t="n">
        <v>2000</v>
      </c>
      <c r="K196" t="n">
        <v>18726</v>
      </c>
      <c r="L196" t="n">
        <v>2500</v>
      </c>
      <c r="M196" t="n">
        <v>1095</v>
      </c>
      <c r="N196" t="n">
        <v>1975</v>
      </c>
      <c r="O196" t="n">
        <v>2950</v>
      </c>
      <c r="P196" t="n">
        <v>3925</v>
      </c>
      <c r="Q196" t="n">
        <v>4900</v>
      </c>
      <c r="R196" t="n">
        <v>5875</v>
      </c>
      <c r="S196" t="n">
        <v>6850</v>
      </c>
      <c r="T196" t="n">
        <v>7825</v>
      </c>
      <c r="U196" t="n">
        <v>8800</v>
      </c>
      <c r="V196" t="n">
        <v>4110</v>
      </c>
      <c r="W196" t="n">
        <v>1780</v>
      </c>
      <c r="X196" t="n">
        <v>1585</v>
      </c>
      <c r="Y196" t="n">
        <v>7750</v>
      </c>
    </row>
    <row r="197">
      <c r="A197" t="n">
        <v>196</v>
      </c>
      <c r="B197" t="n">
        <v>0</v>
      </c>
      <c r="C197" t="n">
        <v>18802</v>
      </c>
      <c r="D197" t="n">
        <v>48646</v>
      </c>
      <c r="E197" t="n">
        <v>323206</v>
      </c>
      <c r="F197" t="n">
        <v>2121785</v>
      </c>
      <c r="G197" t="n">
        <v>13670617</v>
      </c>
      <c r="H197" t="n">
        <v>86742407</v>
      </c>
      <c r="I197" t="n">
        <v>540383631</v>
      </c>
      <c r="J197" t="n">
        <v>2000</v>
      </c>
      <c r="K197" t="n">
        <v>18914</v>
      </c>
      <c r="L197" t="n">
        <v>2500</v>
      </c>
      <c r="M197" t="n">
        <v>1096</v>
      </c>
      <c r="N197" t="n">
        <v>1980</v>
      </c>
      <c r="O197" t="n">
        <v>2960</v>
      </c>
      <c r="P197" t="n">
        <v>3940</v>
      </c>
      <c r="Q197" t="n">
        <v>4920</v>
      </c>
      <c r="R197" t="n">
        <v>5900</v>
      </c>
      <c r="S197" t="n">
        <v>6880</v>
      </c>
      <c r="T197" t="n">
        <v>7860</v>
      </c>
      <c r="U197" t="n">
        <v>8840</v>
      </c>
      <c r="V197" t="n">
        <v>4135</v>
      </c>
      <c r="W197" t="n">
        <v>1784</v>
      </c>
      <c r="X197" t="n">
        <v>1588</v>
      </c>
      <c r="Y197" t="n">
        <v>7760</v>
      </c>
    </row>
    <row r="198">
      <c r="A198" t="n">
        <v>197</v>
      </c>
      <c r="B198" t="n">
        <v>0</v>
      </c>
      <c r="C198" t="n">
        <v>19085</v>
      </c>
      <c r="D198" t="n">
        <v>49619</v>
      </c>
      <c r="E198" t="n">
        <v>332903</v>
      </c>
      <c r="F198" t="n">
        <v>2206657</v>
      </c>
      <c r="G198" t="n">
        <v>14354148</v>
      </c>
      <c r="H198" t="n">
        <v>91946952</v>
      </c>
      <c r="I198" t="n">
        <v>578210486</v>
      </c>
      <c r="J198" t="n">
        <v>2000</v>
      </c>
      <c r="K198" t="n">
        <v>19104</v>
      </c>
      <c r="L198" t="n">
        <v>2500</v>
      </c>
      <c r="M198" t="n">
        <v>1097</v>
      </c>
      <c r="N198" t="n">
        <v>1985</v>
      </c>
      <c r="O198" t="n">
        <v>2970</v>
      </c>
      <c r="P198" t="n">
        <v>3955</v>
      </c>
      <c r="Q198" t="n">
        <v>4940</v>
      </c>
      <c r="R198" t="n">
        <v>5925</v>
      </c>
      <c r="S198" t="n">
        <v>6910</v>
      </c>
      <c r="T198" t="n">
        <v>7895</v>
      </c>
      <c r="U198" t="n">
        <v>8880</v>
      </c>
      <c r="V198" t="n">
        <v>4160</v>
      </c>
      <c r="W198" t="n">
        <v>1788</v>
      </c>
      <c r="X198" t="n">
        <v>1591</v>
      </c>
      <c r="Y198" t="n">
        <v>7770</v>
      </c>
    </row>
    <row r="199">
      <c r="A199" t="n">
        <v>198</v>
      </c>
      <c r="B199" t="n">
        <v>0</v>
      </c>
      <c r="C199" t="n">
        <v>19372</v>
      </c>
      <c r="D199" t="n">
        <v>50612</v>
      </c>
      <c r="E199" t="n">
        <v>342891</v>
      </c>
      <c r="F199" t="n">
        <v>2294924</v>
      </c>
      <c r="G199" t="n">
        <v>15071856</v>
      </c>
      <c r="H199" t="n">
        <v>97463770</v>
      </c>
      <c r="I199" t="n">
        <v>618685221</v>
      </c>
      <c r="J199" t="n">
        <v>2000</v>
      </c>
      <c r="K199" t="n">
        <v>19296</v>
      </c>
      <c r="L199" t="n">
        <v>2500</v>
      </c>
      <c r="M199" t="n">
        <v>1098</v>
      </c>
      <c r="N199" t="n">
        <v>1990</v>
      </c>
      <c r="O199" t="n">
        <v>2980</v>
      </c>
      <c r="P199" t="n">
        <v>3970</v>
      </c>
      <c r="Q199" t="n">
        <v>4960</v>
      </c>
      <c r="R199" t="n">
        <v>5950</v>
      </c>
      <c r="S199" t="n">
        <v>6940</v>
      </c>
      <c r="T199" t="n">
        <v>7930</v>
      </c>
      <c r="U199" t="n">
        <v>8920</v>
      </c>
      <c r="V199" t="n">
        <v>4185</v>
      </c>
      <c r="W199" t="n">
        <v>1792</v>
      </c>
      <c r="X199" t="n">
        <v>1594</v>
      </c>
      <c r="Y199" t="n">
        <v>7780</v>
      </c>
    </row>
    <row r="200">
      <c r="A200" t="n">
        <v>199</v>
      </c>
      <c r="B200" t="n">
        <v>0</v>
      </c>
      <c r="C200" t="n">
        <v>19663</v>
      </c>
      <c r="D200" t="n">
        <v>51625</v>
      </c>
      <c r="E200" t="n">
        <v>353178</v>
      </c>
      <c r="F200" t="n">
        <v>2386721</v>
      </c>
      <c r="G200" t="n">
        <v>15825449</v>
      </c>
      <c r="H200" t="n">
        <v>103311597</v>
      </c>
      <c r="I200" t="n">
        <v>661993187</v>
      </c>
      <c r="J200" t="n">
        <v>2000</v>
      </c>
      <c r="K200" t="n">
        <v>19489</v>
      </c>
      <c r="L200" t="n">
        <v>2500</v>
      </c>
      <c r="M200" t="n">
        <v>1099</v>
      </c>
      <c r="N200" t="n">
        <v>1995</v>
      </c>
      <c r="O200" t="n">
        <v>2990</v>
      </c>
      <c r="P200" t="n">
        <v>3985</v>
      </c>
      <c r="Q200" t="n">
        <v>4980</v>
      </c>
      <c r="R200" t="n">
        <v>5975</v>
      </c>
      <c r="S200" t="n">
        <v>6970</v>
      </c>
      <c r="T200" t="n">
        <v>7965</v>
      </c>
      <c r="U200" t="n">
        <v>8960</v>
      </c>
      <c r="V200" t="n">
        <v>4210</v>
      </c>
      <c r="W200" t="n">
        <v>1796</v>
      </c>
      <c r="X200" t="n">
        <v>1597</v>
      </c>
      <c r="Y200" t="n">
        <v>7790</v>
      </c>
    </row>
    <row r="201">
      <c r="A201" t="n">
        <v>200</v>
      </c>
      <c r="B201" t="n">
        <v>0</v>
      </c>
      <c r="C201" t="n">
        <v>19958</v>
      </c>
      <c r="D201" t="n">
        <v>52658</v>
      </c>
      <c r="E201" t="n">
        <v>363774</v>
      </c>
      <c r="F201" t="n">
        <v>2482190</v>
      </c>
      <c r="G201" t="n">
        <v>16616722</v>
      </c>
      <c r="H201" t="n">
        <v>109510293</v>
      </c>
      <c r="I201" t="n">
        <v>708332711</v>
      </c>
      <c r="J201" t="n">
        <v>2000</v>
      </c>
      <c r="K201" t="n">
        <v>19684</v>
      </c>
      <c r="L201" t="n">
        <v>2500</v>
      </c>
      <c r="M201" t="n">
        <v>1100</v>
      </c>
      <c r="N201" t="n">
        <v>2000</v>
      </c>
      <c r="O201" t="n">
        <v>3000</v>
      </c>
      <c r="P201" t="n">
        <v>4000</v>
      </c>
      <c r="Q201" t="n">
        <v>5000</v>
      </c>
      <c r="R201" t="n">
        <v>6000</v>
      </c>
      <c r="S201" t="n">
        <v>7000</v>
      </c>
      <c r="T201" t="n">
        <v>8000</v>
      </c>
      <c r="U201" t="n">
        <v>9000</v>
      </c>
      <c r="V201" t="n">
        <v>4236</v>
      </c>
      <c r="W201" t="n">
        <v>1800</v>
      </c>
      <c r="X201" t="n">
        <v>1600</v>
      </c>
      <c r="Y201" t="n">
        <v>7800</v>
      </c>
    </row>
    <row r="202">
      <c r="A202" t="n">
        <v>201</v>
      </c>
      <c r="B202" t="n">
        <v>0</v>
      </c>
      <c r="C202" t="n">
        <v>20258</v>
      </c>
      <c r="D202" t="n">
        <v>53712</v>
      </c>
      <c r="E202" t="n">
        <v>374688</v>
      </c>
      <c r="F202" t="n">
        <v>2581478</v>
      </c>
      <c r="G202" t="n">
        <v>17447559</v>
      </c>
      <c r="H202" t="n">
        <v>116080911</v>
      </c>
      <c r="I202" t="n">
        <v>757916001</v>
      </c>
      <c r="J202" t="n">
        <v>2000</v>
      </c>
      <c r="K202" t="n">
        <v>19881</v>
      </c>
      <c r="L202" t="n">
        <v>2500</v>
      </c>
      <c r="M202" t="n">
        <v>1100</v>
      </c>
      <c r="N202" t="n">
        <v>2005</v>
      </c>
      <c r="O202" t="n">
        <v>3010</v>
      </c>
      <c r="P202" t="n">
        <v>4015</v>
      </c>
      <c r="Q202" t="n">
        <v>5020</v>
      </c>
      <c r="R202" t="n">
        <v>6025</v>
      </c>
      <c r="S202" t="n">
        <v>7030</v>
      </c>
      <c r="T202" t="n">
        <v>8035</v>
      </c>
      <c r="U202" t="n">
        <v>9040</v>
      </c>
      <c r="V202" t="n">
        <v>4262</v>
      </c>
      <c r="W202" t="n">
        <v>1804</v>
      </c>
      <c r="X202" t="n">
        <v>1603</v>
      </c>
      <c r="Y202" t="n">
        <v>7810</v>
      </c>
    </row>
    <row r="203">
      <c r="A203" t="n">
        <v>202</v>
      </c>
      <c r="B203" t="n">
        <v>0</v>
      </c>
      <c r="C203" t="n">
        <v>20562</v>
      </c>
      <c r="D203" t="n">
        <v>54787</v>
      </c>
      <c r="E203" t="n">
        <v>385929</v>
      </c>
      <c r="F203" t="n">
        <v>2684738</v>
      </c>
      <c r="G203" t="n">
        <v>18319937</v>
      </c>
      <c r="H203" t="n">
        <v>123045766</v>
      </c>
      <c r="I203" t="n">
        <v>810970122</v>
      </c>
      <c r="J203" t="n">
        <v>2000</v>
      </c>
      <c r="K203" t="n">
        <v>20080</v>
      </c>
      <c r="L203" t="n">
        <v>2500</v>
      </c>
      <c r="M203" t="n">
        <v>1100</v>
      </c>
      <c r="N203" t="n">
        <v>2010</v>
      </c>
      <c r="O203" t="n">
        <v>3020</v>
      </c>
      <c r="P203" t="n">
        <v>4030</v>
      </c>
      <c r="Q203" t="n">
        <v>5040</v>
      </c>
      <c r="R203" t="n">
        <v>6050</v>
      </c>
      <c r="S203" t="n">
        <v>7060</v>
      </c>
      <c r="T203" t="n">
        <v>8070</v>
      </c>
      <c r="U203" t="n">
        <v>9080</v>
      </c>
      <c r="V203" t="n">
        <v>4288</v>
      </c>
      <c r="W203" t="n">
        <v>1808</v>
      </c>
      <c r="X203" t="n">
        <v>1606</v>
      </c>
      <c r="Y203" t="n">
        <v>7820</v>
      </c>
    </row>
    <row r="204">
      <c r="A204" t="n">
        <v>203</v>
      </c>
      <c r="B204" t="n">
        <v>0</v>
      </c>
      <c r="C204" t="n">
        <v>20871</v>
      </c>
      <c r="D204" t="n">
        <v>55883</v>
      </c>
      <c r="E204" t="n">
        <v>397507</v>
      </c>
      <c r="F204" t="n">
        <v>2792128</v>
      </c>
      <c r="G204" t="n">
        <v>19235934</v>
      </c>
      <c r="H204" t="n">
        <v>130428512</v>
      </c>
      <c r="I204" t="n">
        <v>867738031</v>
      </c>
      <c r="J204" t="n">
        <v>2000</v>
      </c>
      <c r="K204" t="n">
        <v>20281</v>
      </c>
      <c r="L204" t="n">
        <v>2500</v>
      </c>
      <c r="M204" t="n">
        <v>1100</v>
      </c>
      <c r="N204" t="n">
        <v>2015</v>
      </c>
      <c r="O204" t="n">
        <v>3030</v>
      </c>
      <c r="P204" t="n">
        <v>4045</v>
      </c>
      <c r="Q204" t="n">
        <v>5060</v>
      </c>
      <c r="R204" t="n">
        <v>6075</v>
      </c>
      <c r="S204" t="n">
        <v>7090</v>
      </c>
      <c r="T204" t="n">
        <v>8105</v>
      </c>
      <c r="U204" t="n">
        <v>9120</v>
      </c>
      <c r="V204" t="n">
        <v>4314</v>
      </c>
      <c r="W204" t="n">
        <v>1812</v>
      </c>
      <c r="X204" t="n">
        <v>1609</v>
      </c>
      <c r="Y204" t="n">
        <v>7830</v>
      </c>
    </row>
    <row r="205">
      <c r="A205" t="n">
        <v>204</v>
      </c>
      <c r="B205" t="n">
        <v>0</v>
      </c>
      <c r="C205" t="n">
        <v>21185</v>
      </c>
      <c r="D205" t="n">
        <v>57001</v>
      </c>
      <c r="E205" t="n">
        <v>409433</v>
      </c>
      <c r="F205" t="n">
        <v>2903814</v>
      </c>
      <c r="G205" t="n">
        <v>20197731</v>
      </c>
      <c r="H205" t="n">
        <v>138254223</v>
      </c>
      <c r="I205" t="n">
        <v>928479694</v>
      </c>
      <c r="J205" t="n">
        <v>2000</v>
      </c>
      <c r="K205" t="n">
        <v>20484</v>
      </c>
      <c r="L205" t="n">
        <v>2500</v>
      </c>
      <c r="M205" t="n">
        <v>1100</v>
      </c>
      <c r="N205" t="n">
        <v>2020</v>
      </c>
      <c r="O205" t="n">
        <v>3040</v>
      </c>
      <c r="P205" t="n">
        <v>4060</v>
      </c>
      <c r="Q205" t="n">
        <v>5080</v>
      </c>
      <c r="R205" t="n">
        <v>6100</v>
      </c>
      <c r="S205" t="n">
        <v>7120</v>
      </c>
      <c r="T205" t="n">
        <v>8140</v>
      </c>
      <c r="U205" t="n">
        <v>9160</v>
      </c>
      <c r="V205" t="n">
        <v>4340</v>
      </c>
      <c r="W205" t="n">
        <v>1816</v>
      </c>
      <c r="X205" t="n">
        <v>1612</v>
      </c>
      <c r="Y205" t="n">
        <v>7840</v>
      </c>
    </row>
    <row r="206">
      <c r="A206" t="n">
        <v>205</v>
      </c>
      <c r="B206" t="n">
        <v>0</v>
      </c>
      <c r="C206" t="n">
        <v>21503</v>
      </c>
      <c r="D206" t="n">
        <v>58142</v>
      </c>
      <c r="E206" t="n">
        <v>421716</v>
      </c>
      <c r="F206" t="n">
        <v>3019967</v>
      </c>
      <c r="G206" t="n">
        <v>21207618</v>
      </c>
      <c r="H206" t="n">
        <v>146549477</v>
      </c>
      <c r="I206" t="n">
        <v>993473273</v>
      </c>
      <c r="J206" t="n">
        <v>2000</v>
      </c>
      <c r="K206" t="n">
        <v>20689</v>
      </c>
      <c r="L206" t="n">
        <v>2500</v>
      </c>
      <c r="M206" t="n">
        <v>1100</v>
      </c>
      <c r="N206" t="n">
        <v>2025</v>
      </c>
      <c r="O206" t="n">
        <v>3050</v>
      </c>
      <c r="P206" t="n">
        <v>4075</v>
      </c>
      <c r="Q206" t="n">
        <v>5100</v>
      </c>
      <c r="R206" t="n">
        <v>6125</v>
      </c>
      <c r="S206" t="n">
        <v>7150</v>
      </c>
      <c r="T206" t="n">
        <v>8175</v>
      </c>
      <c r="U206" t="n">
        <v>9200</v>
      </c>
      <c r="V206" t="n">
        <v>4366</v>
      </c>
      <c r="W206" t="n">
        <v>1820</v>
      </c>
      <c r="X206" t="n">
        <v>1615</v>
      </c>
      <c r="Y206" t="n">
        <v>7850</v>
      </c>
    </row>
    <row r="207">
      <c r="A207" t="n">
        <v>206</v>
      </c>
      <c r="B207" t="n">
        <v>0</v>
      </c>
      <c r="C207" t="n">
        <v>21826</v>
      </c>
      <c r="D207" t="n">
        <v>59305</v>
      </c>
      <c r="E207" t="n">
        <v>434368</v>
      </c>
      <c r="F207" t="n">
        <v>3140766</v>
      </c>
      <c r="G207" t="n">
        <v>22267999</v>
      </c>
      <c r="H207" t="n">
        <v>155342446</v>
      </c>
      <c r="I207" t="n">
        <v>1063016403</v>
      </c>
      <c r="J207" t="n">
        <v>2000</v>
      </c>
      <c r="K207" t="n">
        <v>20896</v>
      </c>
      <c r="L207" t="n">
        <v>2500</v>
      </c>
      <c r="M207" t="n">
        <v>1100</v>
      </c>
      <c r="N207" t="n">
        <v>2030</v>
      </c>
      <c r="O207" t="n">
        <v>3060</v>
      </c>
      <c r="P207" t="n">
        <v>4090</v>
      </c>
      <c r="Q207" t="n">
        <v>5120</v>
      </c>
      <c r="R207" t="n">
        <v>6150</v>
      </c>
      <c r="S207" t="n">
        <v>7180</v>
      </c>
      <c r="T207" t="n">
        <v>8210</v>
      </c>
      <c r="U207" t="n">
        <v>9240</v>
      </c>
      <c r="V207" t="n">
        <v>4392</v>
      </c>
      <c r="W207" t="n">
        <v>1824</v>
      </c>
      <c r="X207" t="n">
        <v>1618</v>
      </c>
      <c r="Y207" t="n">
        <v>7860</v>
      </c>
    </row>
    <row r="208">
      <c r="A208" t="n">
        <v>207</v>
      </c>
      <c r="B208" t="n">
        <v>0</v>
      </c>
      <c r="C208" t="n">
        <v>22154</v>
      </c>
      <c r="D208" t="n">
        <v>60492</v>
      </c>
      <c r="E208" t="n">
        <v>447400</v>
      </c>
      <c r="F208" t="n">
        <v>3266397</v>
      </c>
      <c r="G208" t="n">
        <v>23381399</v>
      </c>
      <c r="H208" t="n">
        <v>164662993</v>
      </c>
      <c r="I208" t="n">
        <v>1137427552</v>
      </c>
      <c r="J208" t="n">
        <v>2000</v>
      </c>
      <c r="K208" t="n">
        <v>21105</v>
      </c>
      <c r="L208" t="n">
        <v>2500</v>
      </c>
      <c r="M208" t="n">
        <v>1100</v>
      </c>
      <c r="N208" t="n">
        <v>2035</v>
      </c>
      <c r="O208" t="n">
        <v>3070</v>
      </c>
      <c r="P208" t="n">
        <v>4105</v>
      </c>
      <c r="Q208" t="n">
        <v>5140</v>
      </c>
      <c r="R208" t="n">
        <v>6175</v>
      </c>
      <c r="S208" t="n">
        <v>7210</v>
      </c>
      <c r="T208" t="n">
        <v>8245</v>
      </c>
      <c r="U208" t="n">
        <v>9280</v>
      </c>
      <c r="V208" t="n">
        <v>4418</v>
      </c>
      <c r="W208" t="n">
        <v>1828</v>
      </c>
      <c r="X208" t="n">
        <v>1621</v>
      </c>
      <c r="Y208" t="n">
        <v>7870</v>
      </c>
    </row>
    <row r="209">
      <c r="A209" t="n">
        <v>208</v>
      </c>
      <c r="B209" t="n">
        <v>0</v>
      </c>
      <c r="C209" t="n">
        <v>22487</v>
      </c>
      <c r="D209" t="n">
        <v>61702</v>
      </c>
      <c r="E209" t="n">
        <v>460822</v>
      </c>
      <c r="F209" t="n">
        <v>3397053</v>
      </c>
      <c r="G209" t="n">
        <v>24550469</v>
      </c>
      <c r="H209" t="n">
        <v>174542773</v>
      </c>
      <c r="I209" t="n">
        <v>1217047481</v>
      </c>
      <c r="J209" t="n">
        <v>2000</v>
      </c>
      <c r="K209" t="n">
        <v>21317</v>
      </c>
      <c r="L209" t="n">
        <v>2500</v>
      </c>
      <c r="M209" t="n">
        <v>1100</v>
      </c>
      <c r="N209" t="n">
        <v>2040</v>
      </c>
      <c r="O209" t="n">
        <v>3080</v>
      </c>
      <c r="P209" t="n">
        <v>4120</v>
      </c>
      <c r="Q209" t="n">
        <v>5160</v>
      </c>
      <c r="R209" t="n">
        <v>6200</v>
      </c>
      <c r="S209" t="n">
        <v>7240</v>
      </c>
      <c r="T209" t="n">
        <v>8280</v>
      </c>
      <c r="U209" t="n">
        <v>9320</v>
      </c>
      <c r="V209" t="n">
        <v>4445</v>
      </c>
      <c r="W209" t="n">
        <v>1832</v>
      </c>
      <c r="X209" t="n">
        <v>1624</v>
      </c>
      <c r="Y209" t="n">
        <v>7880</v>
      </c>
    </row>
    <row r="210">
      <c r="A210" t="n">
        <v>209</v>
      </c>
      <c r="B210" t="n">
        <v>0</v>
      </c>
      <c r="C210" t="n">
        <v>22825</v>
      </c>
      <c r="D210" t="n">
        <v>62937</v>
      </c>
      <c r="E210" t="n">
        <v>474647</v>
      </c>
      <c r="F210" t="n">
        <v>3532936</v>
      </c>
      <c r="G210" t="n">
        <v>25777993</v>
      </c>
      <c r="H210" t="n">
        <v>185015340</v>
      </c>
      <c r="I210" t="n">
        <v>1302240805</v>
      </c>
      <c r="J210" t="n">
        <v>2000</v>
      </c>
      <c r="K210" t="n">
        <v>21531</v>
      </c>
      <c r="L210" t="n">
        <v>2500</v>
      </c>
      <c r="M210" t="n">
        <v>1100</v>
      </c>
      <c r="N210" t="n">
        <v>2045</v>
      </c>
      <c r="O210" t="n">
        <v>3090</v>
      </c>
      <c r="P210" t="n">
        <v>4135</v>
      </c>
      <c r="Q210" t="n">
        <v>5180</v>
      </c>
      <c r="R210" t="n">
        <v>6225</v>
      </c>
      <c r="S210" t="n">
        <v>7270</v>
      </c>
      <c r="T210" t="n">
        <v>8315</v>
      </c>
      <c r="U210" t="n">
        <v>9360</v>
      </c>
      <c r="V210" t="n">
        <v>4472</v>
      </c>
      <c r="W210" t="n">
        <v>1836</v>
      </c>
      <c r="X210" t="n">
        <v>1627</v>
      </c>
      <c r="Y210" t="n">
        <v>7890</v>
      </c>
    </row>
    <row r="211">
      <c r="A211" t="n">
        <v>210</v>
      </c>
      <c r="B211" t="n">
        <v>0</v>
      </c>
      <c r="C211" t="n">
        <v>23168</v>
      </c>
      <c r="D211" t="n">
        <v>64196</v>
      </c>
      <c r="E211" t="n">
        <v>488887</v>
      </c>
      <c r="F211" t="n">
        <v>3674254</v>
      </c>
      <c r="G211" t="n">
        <v>27066893</v>
      </c>
      <c r="H211" t="n">
        <v>196116261</v>
      </c>
      <c r="I211" t="n">
        <v>1393397662</v>
      </c>
      <c r="J211" t="n">
        <v>2000</v>
      </c>
      <c r="K211" t="n">
        <v>21747</v>
      </c>
      <c r="L211" t="n">
        <v>2500</v>
      </c>
      <c r="M211" t="n">
        <v>1100</v>
      </c>
      <c r="N211" t="n">
        <v>2050</v>
      </c>
      <c r="O211" t="n">
        <v>3100</v>
      </c>
      <c r="P211" t="n">
        <v>4150</v>
      </c>
      <c r="Q211" t="n">
        <v>5200</v>
      </c>
      <c r="R211" t="n">
        <v>6250</v>
      </c>
      <c r="S211" t="n">
        <v>7300</v>
      </c>
      <c r="T211" t="n">
        <v>8350</v>
      </c>
      <c r="U211" t="n">
        <v>9400</v>
      </c>
      <c r="V211" t="n">
        <v>4499</v>
      </c>
      <c r="W211" t="n">
        <v>1840</v>
      </c>
      <c r="X211" t="n">
        <v>1630</v>
      </c>
      <c r="Y211" t="n">
        <v>7900</v>
      </c>
    </row>
    <row r="212">
      <c r="A212" t="n">
        <v>211</v>
      </c>
      <c r="B212" t="n">
        <v>0</v>
      </c>
      <c r="C212" t="n">
        <v>23516</v>
      </c>
      <c r="D212" t="n">
        <v>65480</v>
      </c>
      <c r="E212" t="n">
        <v>503554</v>
      </c>
      <c r="F212" t="n">
        <v>3821225</v>
      </c>
      <c r="G212" t="n">
        <v>28420238</v>
      </c>
      <c r="H212" t="n">
        <v>207883237</v>
      </c>
      <c r="I212" t="n">
        <v>1490935499</v>
      </c>
      <c r="J212" t="n">
        <v>2000</v>
      </c>
      <c r="K212" t="n">
        <v>21965</v>
      </c>
      <c r="L212" t="n">
        <v>2500</v>
      </c>
      <c r="M212" t="n">
        <v>1100</v>
      </c>
      <c r="N212" t="n">
        <v>2055</v>
      </c>
      <c r="O212" t="n">
        <v>3110</v>
      </c>
      <c r="P212" t="n">
        <v>4165</v>
      </c>
      <c r="Q212" t="n">
        <v>5220</v>
      </c>
      <c r="R212" t="n">
        <v>6275</v>
      </c>
      <c r="S212" t="n">
        <v>7330</v>
      </c>
      <c r="T212" t="n">
        <v>8385</v>
      </c>
      <c r="U212" t="n">
        <v>9440</v>
      </c>
      <c r="V212" t="n">
        <v>4526</v>
      </c>
      <c r="W212" t="n">
        <v>1844</v>
      </c>
      <c r="X212" t="n">
        <v>1633</v>
      </c>
      <c r="Y212" t="n">
        <v>7910</v>
      </c>
    </row>
    <row r="213">
      <c r="A213" t="n">
        <v>212</v>
      </c>
      <c r="B213" t="n">
        <v>0</v>
      </c>
      <c r="C213" t="n">
        <v>23869</v>
      </c>
      <c r="D213" t="n">
        <v>66790</v>
      </c>
      <c r="E213" t="n">
        <v>518661</v>
      </c>
      <c r="F213" t="n">
        <v>3974074</v>
      </c>
      <c r="G213" t="n">
        <v>29841250</v>
      </c>
      <c r="H213" t="n">
        <v>220356232</v>
      </c>
      <c r="I213" t="n">
        <v>1595300984</v>
      </c>
      <c r="J213" t="n">
        <v>2000</v>
      </c>
      <c r="K213" t="n">
        <v>22185</v>
      </c>
      <c r="L213" t="n">
        <v>2500</v>
      </c>
      <c r="M213" t="n">
        <v>1100</v>
      </c>
      <c r="N213" t="n">
        <v>2060</v>
      </c>
      <c r="O213" t="n">
        <v>3120</v>
      </c>
      <c r="P213" t="n">
        <v>4180</v>
      </c>
      <c r="Q213" t="n">
        <v>5240</v>
      </c>
      <c r="R213" t="n">
        <v>6300</v>
      </c>
      <c r="S213" t="n">
        <v>7360</v>
      </c>
      <c r="T213" t="n">
        <v>8420</v>
      </c>
      <c r="U213" t="n">
        <v>9480</v>
      </c>
      <c r="V213" t="n">
        <v>4553</v>
      </c>
      <c r="W213" t="n">
        <v>1848</v>
      </c>
      <c r="X213" t="n">
        <v>1636</v>
      </c>
      <c r="Y213" t="n">
        <v>7920</v>
      </c>
    </row>
    <row r="214">
      <c r="A214" t="n">
        <v>213</v>
      </c>
      <c r="B214" t="n">
        <v>0</v>
      </c>
      <c r="C214" t="n">
        <v>24228</v>
      </c>
      <c r="D214" t="n">
        <v>68126</v>
      </c>
      <c r="E214" t="n">
        <v>534221</v>
      </c>
      <c r="F214" t="n">
        <v>4133037</v>
      </c>
      <c r="G214" t="n">
        <v>31333313</v>
      </c>
      <c r="H214" t="n">
        <v>233577606</v>
      </c>
      <c r="I214" t="n">
        <v>1706972053</v>
      </c>
      <c r="J214" t="n">
        <v>2000</v>
      </c>
      <c r="K214" t="n">
        <v>22407</v>
      </c>
      <c r="L214" t="n">
        <v>2500</v>
      </c>
      <c r="M214" t="n">
        <v>1100</v>
      </c>
      <c r="N214" t="n">
        <v>2065</v>
      </c>
      <c r="O214" t="n">
        <v>3130</v>
      </c>
      <c r="P214" t="n">
        <v>4195</v>
      </c>
      <c r="Q214" t="n">
        <v>5260</v>
      </c>
      <c r="R214" t="n">
        <v>6325</v>
      </c>
      <c r="S214" t="n">
        <v>7390</v>
      </c>
      <c r="T214" t="n">
        <v>8455</v>
      </c>
      <c r="U214" t="n">
        <v>9520</v>
      </c>
      <c r="V214" t="n">
        <v>4580</v>
      </c>
      <c r="W214" t="n">
        <v>1852</v>
      </c>
      <c r="X214" t="n">
        <v>1639</v>
      </c>
      <c r="Y214" t="n">
        <v>7930</v>
      </c>
    </row>
    <row r="215">
      <c r="A215" t="n">
        <v>214</v>
      </c>
      <c r="B215" t="n">
        <v>0</v>
      </c>
      <c r="C215" t="n">
        <v>24592</v>
      </c>
      <c r="D215" t="n">
        <v>69489</v>
      </c>
      <c r="E215" t="n">
        <v>550248</v>
      </c>
      <c r="F215" t="n">
        <v>4298359</v>
      </c>
      <c r="G215" t="n">
        <v>32899979</v>
      </c>
      <c r="H215" t="n">
        <v>247592263</v>
      </c>
      <c r="I215" t="n">
        <v>1826460097</v>
      </c>
      <c r="J215" t="n">
        <v>2000</v>
      </c>
      <c r="K215" t="n">
        <v>22632</v>
      </c>
      <c r="L215" t="n">
        <v>2500</v>
      </c>
      <c r="M215" t="n">
        <v>1100</v>
      </c>
      <c r="N215" t="n">
        <v>2070</v>
      </c>
      <c r="O215" t="n">
        <v>3140</v>
      </c>
      <c r="P215" t="n">
        <v>4210</v>
      </c>
      <c r="Q215" t="n">
        <v>5280</v>
      </c>
      <c r="R215" t="n">
        <v>6350</v>
      </c>
      <c r="S215" t="n">
        <v>7420</v>
      </c>
      <c r="T215" t="n">
        <v>8490</v>
      </c>
      <c r="U215" t="n">
        <v>9560</v>
      </c>
      <c r="V215" t="n">
        <v>4607</v>
      </c>
      <c r="W215" t="n">
        <v>1856</v>
      </c>
      <c r="X215" t="n">
        <v>1642</v>
      </c>
      <c r="Y215" t="n">
        <v>7940</v>
      </c>
    </row>
    <row r="216">
      <c r="A216" t="n">
        <v>215</v>
      </c>
      <c r="B216" t="n">
        <v>0</v>
      </c>
      <c r="C216" t="n">
        <v>24961</v>
      </c>
      <c r="D216" t="n">
        <v>70879</v>
      </c>
      <c r="E216" t="n">
        <v>566756</v>
      </c>
      <c r="F216" t="n">
        <v>4470294</v>
      </c>
      <c r="G216" t="n">
        <v>34544978</v>
      </c>
      <c r="H216" t="n">
        <v>262447799</v>
      </c>
      <c r="I216" t="n">
        <v>1954312304</v>
      </c>
      <c r="J216" t="n">
        <v>2000</v>
      </c>
      <c r="K216" t="n">
        <v>22859</v>
      </c>
      <c r="L216" t="n">
        <v>2500</v>
      </c>
      <c r="M216" t="n">
        <v>1100</v>
      </c>
      <c r="N216" t="n">
        <v>2075</v>
      </c>
      <c r="O216" t="n">
        <v>3150</v>
      </c>
      <c r="P216" t="n">
        <v>4225</v>
      </c>
      <c r="Q216" t="n">
        <v>5300</v>
      </c>
      <c r="R216" t="n">
        <v>6375</v>
      </c>
      <c r="S216" t="n">
        <v>7450</v>
      </c>
      <c r="T216" t="n">
        <v>8525</v>
      </c>
      <c r="U216" t="n">
        <v>9600</v>
      </c>
      <c r="V216" t="n">
        <v>4635</v>
      </c>
      <c r="W216" t="n">
        <v>1860</v>
      </c>
      <c r="X216" t="n">
        <v>1645</v>
      </c>
      <c r="Y216" t="n">
        <v>7950</v>
      </c>
    </row>
    <row r="217">
      <c r="A217" t="n">
        <v>216</v>
      </c>
      <c r="B217" t="n">
        <v>0</v>
      </c>
      <c r="C217" t="n">
        <v>25336</v>
      </c>
      <c r="D217" t="n">
        <v>72297</v>
      </c>
      <c r="E217" t="n">
        <v>583759</v>
      </c>
      <c r="F217" t="n">
        <v>4649106</v>
      </c>
      <c r="G217" t="n">
        <v>36272227</v>
      </c>
      <c r="H217" t="n">
        <v>278194667</v>
      </c>
      <c r="I217" t="n">
        <v>2091114166</v>
      </c>
      <c r="J217" t="n">
        <v>2000</v>
      </c>
      <c r="K217" t="n">
        <v>23088</v>
      </c>
      <c r="L217" t="n">
        <v>2500</v>
      </c>
      <c r="M217" t="n">
        <v>1100</v>
      </c>
      <c r="N217" t="n">
        <v>2080</v>
      </c>
      <c r="O217" t="n">
        <v>3160</v>
      </c>
      <c r="P217" t="n">
        <v>4240</v>
      </c>
      <c r="Q217" t="n">
        <v>5320</v>
      </c>
      <c r="R217" t="n">
        <v>6400</v>
      </c>
      <c r="S217" t="n">
        <v>7480</v>
      </c>
      <c r="T217" t="n">
        <v>8560</v>
      </c>
      <c r="U217" t="n">
        <v>9640</v>
      </c>
      <c r="V217" t="n">
        <v>4663</v>
      </c>
      <c r="W217" t="n">
        <v>1864</v>
      </c>
      <c r="X217" t="n">
        <v>1648</v>
      </c>
      <c r="Y217" t="n">
        <v>7960</v>
      </c>
    </row>
    <row r="218">
      <c r="A218" t="n">
        <v>217</v>
      </c>
      <c r="B218" t="n">
        <v>0</v>
      </c>
      <c r="C218" t="n">
        <v>25717</v>
      </c>
      <c r="D218" t="n">
        <v>73743</v>
      </c>
      <c r="E218" t="n">
        <v>601272</v>
      </c>
      <c r="F218" t="n">
        <v>4835071</v>
      </c>
      <c r="G218" t="n">
        <v>38085839</v>
      </c>
      <c r="H218" t="n">
        <v>294886348</v>
      </c>
      <c r="I218" t="n">
        <v>2237492158</v>
      </c>
      <c r="J218" t="n">
        <v>2000</v>
      </c>
      <c r="K218" t="n">
        <v>23319</v>
      </c>
      <c r="L218" t="n">
        <v>2500</v>
      </c>
      <c r="M218" t="n">
        <v>1100</v>
      </c>
      <c r="N218" t="n">
        <v>2085</v>
      </c>
      <c r="O218" t="n">
        <v>3170</v>
      </c>
      <c r="P218" t="n">
        <v>4255</v>
      </c>
      <c r="Q218" t="n">
        <v>5340</v>
      </c>
      <c r="R218" t="n">
        <v>6425</v>
      </c>
      <c r="S218" t="n">
        <v>7510</v>
      </c>
      <c r="T218" t="n">
        <v>8595</v>
      </c>
      <c r="U218" t="n">
        <v>9680</v>
      </c>
      <c r="V218" t="n">
        <v>4691</v>
      </c>
      <c r="W218" t="n">
        <v>1868</v>
      </c>
      <c r="X218" t="n">
        <v>1651</v>
      </c>
      <c r="Y218" t="n">
        <v>7970</v>
      </c>
    </row>
    <row r="219">
      <c r="A219" t="n">
        <v>218</v>
      </c>
      <c r="B219" t="n">
        <v>0</v>
      </c>
      <c r="C219" t="n">
        <v>26103</v>
      </c>
      <c r="D219" t="n">
        <v>75218</v>
      </c>
      <c r="E219" t="n">
        <v>619311</v>
      </c>
      <c r="F219" t="n">
        <v>5028474</v>
      </c>
      <c r="G219" t="n">
        <v>39990131</v>
      </c>
      <c r="H219" t="n">
        <v>312579529</v>
      </c>
      <c r="I219" t="n">
        <v>2394116610</v>
      </c>
      <c r="J219" t="n">
        <v>2000</v>
      </c>
      <c r="K219" t="n">
        <v>23553</v>
      </c>
      <c r="L219" t="n">
        <v>2500</v>
      </c>
      <c r="M219" t="n">
        <v>1100</v>
      </c>
      <c r="N219" t="n">
        <v>2090</v>
      </c>
      <c r="O219" t="n">
        <v>3180</v>
      </c>
      <c r="P219" t="n">
        <v>4270</v>
      </c>
      <c r="Q219" t="n">
        <v>5360</v>
      </c>
      <c r="R219" t="n">
        <v>6450</v>
      </c>
      <c r="S219" t="n">
        <v>7540</v>
      </c>
      <c r="T219" t="n">
        <v>8630</v>
      </c>
      <c r="U219" t="n">
        <v>9720</v>
      </c>
      <c r="V219" t="n">
        <v>4719</v>
      </c>
      <c r="W219" t="n">
        <v>1872</v>
      </c>
      <c r="X219" t="n">
        <v>1654</v>
      </c>
      <c r="Y219" t="n">
        <v>7980</v>
      </c>
    </row>
    <row r="220">
      <c r="A220" t="n">
        <v>219</v>
      </c>
      <c r="B220" t="n">
        <v>0</v>
      </c>
      <c r="C220" t="n">
        <v>26495</v>
      </c>
      <c r="D220" t="n">
        <v>76723</v>
      </c>
      <c r="E220" t="n">
        <v>637891</v>
      </c>
      <c r="F220" t="n">
        <v>5229613</v>
      </c>
      <c r="G220" t="n">
        <v>41989638</v>
      </c>
      <c r="H220" t="n">
        <v>331334301</v>
      </c>
      <c r="I220" t="n">
        <v>2561704773</v>
      </c>
      <c r="J220" t="n">
        <v>2000</v>
      </c>
      <c r="K220" t="n">
        <v>23789</v>
      </c>
      <c r="L220" t="n">
        <v>2500</v>
      </c>
      <c r="M220" t="n">
        <v>1100</v>
      </c>
      <c r="N220" t="n">
        <v>2095</v>
      </c>
      <c r="O220" t="n">
        <v>3190</v>
      </c>
      <c r="P220" t="n">
        <v>4285</v>
      </c>
      <c r="Q220" t="n">
        <v>5380</v>
      </c>
      <c r="R220" t="n">
        <v>6475</v>
      </c>
      <c r="S220" t="n">
        <v>7570</v>
      </c>
      <c r="T220" t="n">
        <v>8665</v>
      </c>
      <c r="U220" t="n">
        <v>9760</v>
      </c>
      <c r="V220" t="n">
        <v>4747</v>
      </c>
      <c r="W220" t="n">
        <v>1876</v>
      </c>
      <c r="X220" t="n">
        <v>1657</v>
      </c>
      <c r="Y220" t="n">
        <v>7990</v>
      </c>
    </row>
    <row r="221">
      <c r="A221" t="n">
        <v>220</v>
      </c>
      <c r="B221" t="n">
        <v>0</v>
      </c>
      <c r="C221" t="n">
        <v>26893</v>
      </c>
      <c r="D221" t="n">
        <v>78258</v>
      </c>
      <c r="E221" t="n">
        <v>657028</v>
      </c>
      <c r="F221" t="n">
        <v>5438798</v>
      </c>
      <c r="G221" t="n">
        <v>44089120</v>
      </c>
      <c r="H221" t="n">
        <v>351214360</v>
      </c>
      <c r="I221" t="n">
        <v>2741024108</v>
      </c>
      <c r="J221" t="n">
        <v>2000</v>
      </c>
      <c r="K221" t="n">
        <v>24027</v>
      </c>
      <c r="L221" t="n">
        <v>2500</v>
      </c>
      <c r="M221" t="n">
        <v>1100</v>
      </c>
      <c r="N221" t="n">
        <v>2100</v>
      </c>
      <c r="O221" t="n">
        <v>3200</v>
      </c>
      <c r="P221" t="n">
        <v>4300</v>
      </c>
      <c r="Q221" t="n">
        <v>5400</v>
      </c>
      <c r="R221" t="n">
        <v>6500</v>
      </c>
      <c r="S221" t="n">
        <v>7600</v>
      </c>
      <c r="T221" t="n">
        <v>8700</v>
      </c>
      <c r="U221" t="n">
        <v>9800</v>
      </c>
      <c r="V221" t="n">
        <v>4775</v>
      </c>
      <c r="W221" t="n">
        <v>1880</v>
      </c>
      <c r="X221" t="n">
        <v>1660</v>
      </c>
      <c r="Y221" t="n">
        <v>8000</v>
      </c>
    </row>
    <row r="222">
      <c r="A222" t="n">
        <v>221</v>
      </c>
      <c r="B222" t="n">
        <v>0</v>
      </c>
      <c r="C222" t="n">
        <v>27297</v>
      </c>
      <c r="D222" t="n">
        <v>79824</v>
      </c>
      <c r="E222" t="n">
        <v>676739</v>
      </c>
      <c r="F222" t="n">
        <v>5656350</v>
      </c>
      <c r="G222" t="n">
        <v>46293576</v>
      </c>
      <c r="H222" t="n">
        <v>372287222</v>
      </c>
      <c r="I222" t="n">
        <v>2932895796</v>
      </c>
      <c r="J222" t="n">
        <v>2000</v>
      </c>
      <c r="K222" t="n">
        <v>24268</v>
      </c>
      <c r="L222" t="n">
        <v>2500</v>
      </c>
      <c r="M222" t="n">
        <v>1100</v>
      </c>
      <c r="N222" t="n">
        <v>2105</v>
      </c>
      <c r="O222" t="n">
        <v>3210</v>
      </c>
      <c r="P222" t="n">
        <v>4315</v>
      </c>
      <c r="Q222" t="n">
        <v>5420</v>
      </c>
      <c r="R222" t="n">
        <v>6525</v>
      </c>
      <c r="S222" t="n">
        <v>7630</v>
      </c>
      <c r="T222" t="n">
        <v>8735</v>
      </c>
      <c r="U222" t="n">
        <v>9840</v>
      </c>
      <c r="V222" t="n">
        <v>4803</v>
      </c>
      <c r="W222" t="n">
        <v>1884</v>
      </c>
      <c r="X222" t="n">
        <v>1663</v>
      </c>
      <c r="Y222" t="n">
        <v>8010</v>
      </c>
    </row>
    <row r="223">
      <c r="A223" t="n">
        <v>222</v>
      </c>
      <c r="B223" t="n">
        <v>0</v>
      </c>
      <c r="C223" t="n">
        <v>27707</v>
      </c>
      <c r="D223" t="n">
        <v>81421</v>
      </c>
      <c r="E223" t="n">
        <v>697042</v>
      </c>
      <c r="F223" t="n">
        <v>5882604</v>
      </c>
      <c r="G223" t="n">
        <v>48608255</v>
      </c>
      <c r="H223" t="n">
        <v>394624456</v>
      </c>
      <c r="I223" t="n">
        <v>3138198502</v>
      </c>
      <c r="J223" t="n">
        <v>2000</v>
      </c>
      <c r="K223" t="n">
        <v>24511</v>
      </c>
      <c r="L223" t="n">
        <v>2500</v>
      </c>
      <c r="M223" t="n">
        <v>1100</v>
      </c>
      <c r="N223" t="n">
        <v>2110</v>
      </c>
      <c r="O223" t="n">
        <v>3220</v>
      </c>
      <c r="P223" t="n">
        <v>4330</v>
      </c>
      <c r="Q223" t="n">
        <v>5440</v>
      </c>
      <c r="R223" t="n">
        <v>6550</v>
      </c>
      <c r="S223" t="n">
        <v>7660</v>
      </c>
      <c r="T223" t="n">
        <v>8770</v>
      </c>
      <c r="U223" t="n">
        <v>9880</v>
      </c>
      <c r="V223" t="n">
        <v>4832</v>
      </c>
      <c r="W223" t="n">
        <v>1888</v>
      </c>
      <c r="X223" t="n">
        <v>1666</v>
      </c>
      <c r="Y223" t="n">
        <v>8020</v>
      </c>
    </row>
    <row r="224">
      <c r="A224" t="n">
        <v>223</v>
      </c>
      <c r="B224" t="n">
        <v>0</v>
      </c>
      <c r="C224" t="n">
        <v>28123</v>
      </c>
      <c r="D224" t="n">
        <v>83050</v>
      </c>
      <c r="E224" t="n">
        <v>717954</v>
      </c>
      <c r="F224" t="n">
        <v>6117909</v>
      </c>
      <c r="G224" t="n">
        <v>51038668</v>
      </c>
      <c r="H224" t="n">
        <v>418301924</v>
      </c>
      <c r="I224" t="n">
        <v>3357872398</v>
      </c>
      <c r="J224" t="n">
        <v>2000</v>
      </c>
      <c r="K224" t="n">
        <v>24757</v>
      </c>
      <c r="L224" t="n">
        <v>2500</v>
      </c>
      <c r="M224" t="n">
        <v>1100</v>
      </c>
      <c r="N224" t="n">
        <v>2115</v>
      </c>
      <c r="O224" t="n">
        <v>3230</v>
      </c>
      <c r="P224" t="n">
        <v>4345</v>
      </c>
      <c r="Q224" t="n">
        <v>5460</v>
      </c>
      <c r="R224" t="n">
        <v>6575</v>
      </c>
      <c r="S224" t="n">
        <v>7690</v>
      </c>
      <c r="T224" t="n">
        <v>8805</v>
      </c>
      <c r="U224" t="n">
        <v>9920</v>
      </c>
      <c r="V224" t="n">
        <v>4861</v>
      </c>
      <c r="W224" t="n">
        <v>1892</v>
      </c>
      <c r="X224" t="n">
        <v>1669</v>
      </c>
      <c r="Y224" t="n">
        <v>8030</v>
      </c>
    </row>
    <row r="225">
      <c r="A225" t="n">
        <v>224</v>
      </c>
      <c r="B225" t="n">
        <v>0</v>
      </c>
      <c r="C225" t="n">
        <v>28545</v>
      </c>
      <c r="D225" t="n">
        <v>84711</v>
      </c>
      <c r="E225" t="n">
        <v>739493</v>
      </c>
      <c r="F225" t="n">
        <v>6362626</v>
      </c>
      <c r="G225" t="n">
        <v>53590602</v>
      </c>
      <c r="H225" t="n">
        <v>443400040</v>
      </c>
      <c r="I225" t="n">
        <v>3592923466</v>
      </c>
      <c r="J225" t="n">
        <v>2000</v>
      </c>
      <c r="K225" t="n">
        <v>25005</v>
      </c>
      <c r="L225" t="n">
        <v>2500</v>
      </c>
      <c r="M225" t="n">
        <v>1100</v>
      </c>
      <c r="N225" t="n">
        <v>2120</v>
      </c>
      <c r="O225" t="n">
        <v>3240</v>
      </c>
      <c r="P225" t="n">
        <v>4360</v>
      </c>
      <c r="Q225" t="n">
        <v>5480</v>
      </c>
      <c r="R225" t="n">
        <v>6600</v>
      </c>
      <c r="S225" t="n">
        <v>7720</v>
      </c>
      <c r="T225" t="n">
        <v>8840</v>
      </c>
      <c r="U225" t="n">
        <v>9960</v>
      </c>
      <c r="V225" t="n">
        <v>4890</v>
      </c>
      <c r="W225" t="n">
        <v>1896</v>
      </c>
      <c r="X225" t="n">
        <v>1672</v>
      </c>
      <c r="Y225" t="n">
        <v>8040</v>
      </c>
    </row>
    <row r="226">
      <c r="A226" t="n">
        <v>225</v>
      </c>
      <c r="B226" t="n">
        <v>0</v>
      </c>
      <c r="C226" t="n">
        <v>28974</v>
      </c>
      <c r="D226" t="n">
        <v>86406</v>
      </c>
      <c r="E226" t="n">
        <v>761678</v>
      </c>
      <c r="F226" t="n">
        <v>6617132</v>
      </c>
      <c r="G226" t="n">
        <v>56270133</v>
      </c>
      <c r="H226" t="n">
        <v>470004043</v>
      </c>
      <c r="I226" t="n">
        <v>3844428109</v>
      </c>
      <c r="J226" t="n">
        <v>2000</v>
      </c>
      <c r="K226" t="n">
        <v>25256</v>
      </c>
      <c r="L226" t="n">
        <v>2500</v>
      </c>
      <c r="M226" t="n">
        <v>1100</v>
      </c>
      <c r="N226" t="n">
        <v>2125</v>
      </c>
      <c r="O226" t="n">
        <v>3250</v>
      </c>
      <c r="P226" t="n">
        <v>4375</v>
      </c>
      <c r="Q226" t="n">
        <v>5500</v>
      </c>
      <c r="R226" t="n">
        <v>6625</v>
      </c>
      <c r="S226" t="n">
        <v>7750</v>
      </c>
      <c r="T226" t="n">
        <v>8875</v>
      </c>
      <c r="U226" t="n">
        <v>10000</v>
      </c>
      <c r="V226" t="n">
        <v>4919</v>
      </c>
      <c r="W226" t="n">
        <v>1900</v>
      </c>
      <c r="X226" t="n">
        <v>1675</v>
      </c>
      <c r="Y226" t="n">
        <v>8050</v>
      </c>
    </row>
    <row r="227">
      <c r="A227" t="n">
        <v>226</v>
      </c>
      <c r="B227" t="n">
        <v>0</v>
      </c>
      <c r="C227" t="n">
        <v>29409</v>
      </c>
      <c r="D227" t="n">
        <v>88135</v>
      </c>
      <c r="E227" t="n">
        <v>784529</v>
      </c>
      <c r="F227" t="n">
        <v>6881818</v>
      </c>
      <c r="G227" t="n">
        <v>59083640</v>
      </c>
      <c r="H227" t="n">
        <v>498204286</v>
      </c>
      <c r="I227" t="n">
        <v>4113538077</v>
      </c>
      <c r="J227" t="n">
        <v>2000</v>
      </c>
      <c r="K227" t="n">
        <v>25509</v>
      </c>
      <c r="L227" t="n">
        <v>2500</v>
      </c>
      <c r="M227" t="n">
        <v>1100</v>
      </c>
      <c r="N227" t="n">
        <v>2130</v>
      </c>
      <c r="O227" t="n">
        <v>3260</v>
      </c>
      <c r="P227" t="n">
        <v>4390</v>
      </c>
      <c r="Q227" t="n">
        <v>5520</v>
      </c>
      <c r="R227" t="n">
        <v>6650</v>
      </c>
      <c r="S227" t="n">
        <v>7780</v>
      </c>
      <c r="T227" t="n">
        <v>8910</v>
      </c>
      <c r="U227" t="n">
        <v>10040</v>
      </c>
      <c r="V227" t="n">
        <v>4948</v>
      </c>
      <c r="W227" t="n">
        <v>1904</v>
      </c>
      <c r="X227" t="n">
        <v>1678</v>
      </c>
      <c r="Y227" t="n">
        <v>8060</v>
      </c>
    </row>
    <row r="228">
      <c r="A228" t="n">
        <v>227</v>
      </c>
      <c r="B228" t="n">
        <v>0</v>
      </c>
      <c r="C228" t="n">
        <v>29851</v>
      </c>
      <c r="D228" t="n">
        <v>89898</v>
      </c>
      <c r="E228" t="n">
        <v>808065</v>
      </c>
      <c r="F228" t="n">
        <v>7157091</v>
      </c>
      <c r="G228" t="n">
        <v>62037822</v>
      </c>
      <c r="H228" t="n">
        <v>528096544</v>
      </c>
      <c r="I228" t="n">
        <v>4401485743</v>
      </c>
      <c r="J228" t="n">
        <v>2000</v>
      </c>
      <c r="K228" t="n">
        <v>25765</v>
      </c>
      <c r="L228" t="n">
        <v>2500</v>
      </c>
      <c r="M228" t="n">
        <v>1100</v>
      </c>
      <c r="N228" t="n">
        <v>2135</v>
      </c>
      <c r="O228" t="n">
        <v>3270</v>
      </c>
      <c r="P228" t="n">
        <v>4405</v>
      </c>
      <c r="Q228" t="n">
        <v>5540</v>
      </c>
      <c r="R228" t="n">
        <v>6675</v>
      </c>
      <c r="S228" t="n">
        <v>7810</v>
      </c>
      <c r="T228" t="n">
        <v>8945</v>
      </c>
      <c r="U228" t="n">
        <v>10080</v>
      </c>
      <c r="V228" t="n">
        <v>4977</v>
      </c>
      <c r="W228" t="n">
        <v>1908</v>
      </c>
      <c r="X228" t="n">
        <v>1681</v>
      </c>
      <c r="Y228" t="n">
        <v>8070</v>
      </c>
    </row>
    <row r="229">
      <c r="A229" t="n">
        <v>228</v>
      </c>
      <c r="B229" t="n">
        <v>0</v>
      </c>
      <c r="C229" t="n">
        <v>30299</v>
      </c>
      <c r="D229" t="n">
        <v>91696</v>
      </c>
      <c r="E229" t="n">
        <v>832307</v>
      </c>
      <c r="F229" t="n">
        <v>7443375</v>
      </c>
      <c r="G229" t="n">
        <v>65139714</v>
      </c>
      <c r="H229" t="n">
        <v>559782337</v>
      </c>
      <c r="I229" t="n">
        <v>4709589746</v>
      </c>
      <c r="J229" t="n">
        <v>2000</v>
      </c>
      <c r="K229" t="n">
        <v>26023</v>
      </c>
      <c r="L229" t="n">
        <v>2500</v>
      </c>
      <c r="M229" t="n">
        <v>1100</v>
      </c>
      <c r="N229" t="n">
        <v>2140</v>
      </c>
      <c r="O229" t="n">
        <v>3280</v>
      </c>
      <c r="P229" t="n">
        <v>4420</v>
      </c>
      <c r="Q229" t="n">
        <v>5560</v>
      </c>
      <c r="R229" t="n">
        <v>6700</v>
      </c>
      <c r="S229" t="n">
        <v>7840</v>
      </c>
      <c r="T229" t="n">
        <v>8980</v>
      </c>
      <c r="U229" t="n">
        <v>10120</v>
      </c>
      <c r="V229" t="n">
        <v>5006</v>
      </c>
      <c r="W229" t="n">
        <v>1912</v>
      </c>
      <c r="X229" t="n">
        <v>1684</v>
      </c>
      <c r="Y229" t="n">
        <v>8080</v>
      </c>
    </row>
    <row r="230">
      <c r="A230" t="n">
        <v>229</v>
      </c>
      <c r="B230" t="n">
        <v>0</v>
      </c>
      <c r="C230" t="n">
        <v>30754</v>
      </c>
      <c r="D230" t="n">
        <v>93530</v>
      </c>
      <c r="E230" t="n">
        <v>857277</v>
      </c>
      <c r="F230" t="n">
        <v>7741110</v>
      </c>
      <c r="G230" t="n">
        <v>68396700</v>
      </c>
      <c r="H230" t="n">
        <v>593369278</v>
      </c>
      <c r="I230" t="n">
        <v>5039261029</v>
      </c>
      <c r="J230" t="n">
        <v>2000</v>
      </c>
      <c r="K230" t="n">
        <v>26284</v>
      </c>
      <c r="L230" t="n">
        <v>2500</v>
      </c>
      <c r="M230" t="n">
        <v>1100</v>
      </c>
      <c r="N230" t="n">
        <v>2145</v>
      </c>
      <c r="O230" t="n">
        <v>3290</v>
      </c>
      <c r="P230" t="n">
        <v>4435</v>
      </c>
      <c r="Q230" t="n">
        <v>5580</v>
      </c>
      <c r="R230" t="n">
        <v>6725</v>
      </c>
      <c r="S230" t="n">
        <v>7870</v>
      </c>
      <c r="T230" t="n">
        <v>9015</v>
      </c>
      <c r="U230" t="n">
        <v>10160</v>
      </c>
      <c r="V230" t="n">
        <v>5036</v>
      </c>
      <c r="W230" t="n">
        <v>1916</v>
      </c>
      <c r="X230" t="n">
        <v>1687</v>
      </c>
      <c r="Y230" t="n">
        <v>8090</v>
      </c>
    </row>
    <row r="231">
      <c r="A231" t="n">
        <v>230</v>
      </c>
      <c r="B231" t="n">
        <v>0</v>
      </c>
      <c r="C231" t="n">
        <v>31216</v>
      </c>
      <c r="D231" t="n">
        <v>95401</v>
      </c>
      <c r="E231" t="n">
        <v>882996</v>
      </c>
      <c r="F231" t="n">
        <v>8050755</v>
      </c>
      <c r="G231" t="n">
        <v>71816535</v>
      </c>
      <c r="H231" t="n">
        <v>628971435</v>
      </c>
      <c r="I231" t="n">
        <v>5392009302</v>
      </c>
      <c r="J231" t="n">
        <v>2000</v>
      </c>
      <c r="K231" t="n">
        <v>26547</v>
      </c>
      <c r="L231" t="n">
        <v>2500</v>
      </c>
      <c r="M231" t="n">
        <v>1100</v>
      </c>
      <c r="N231" t="n">
        <v>2150</v>
      </c>
      <c r="O231" t="n">
        <v>3300</v>
      </c>
      <c r="P231" t="n">
        <v>4450</v>
      </c>
      <c r="Q231" t="n">
        <v>5600</v>
      </c>
      <c r="R231" t="n">
        <v>6750</v>
      </c>
      <c r="S231" t="n">
        <v>7900</v>
      </c>
      <c r="T231" t="n">
        <v>9050</v>
      </c>
      <c r="U231" t="n">
        <v>10200</v>
      </c>
      <c r="V231" t="n">
        <v>5066</v>
      </c>
      <c r="W231" t="n">
        <v>1920</v>
      </c>
      <c r="X231" t="n">
        <v>1690</v>
      </c>
      <c r="Y231" t="n">
        <v>8100</v>
      </c>
    </row>
    <row r="232">
      <c r="A232" t="n">
        <v>231</v>
      </c>
      <c r="B232" t="n">
        <v>0</v>
      </c>
      <c r="C232" t="n">
        <v>31685</v>
      </c>
      <c r="D232" t="n">
        <v>97310</v>
      </c>
      <c r="E232" t="n">
        <v>909486</v>
      </c>
      <c r="F232" t="n">
        <v>8372786</v>
      </c>
      <c r="G232" t="n">
        <v>75407362</v>
      </c>
      <c r="H232" t="n">
        <v>666709722</v>
      </c>
      <c r="I232" t="n">
        <v>5769449954</v>
      </c>
      <c r="J232" t="n">
        <v>2000</v>
      </c>
      <c r="K232" t="n">
        <v>26813</v>
      </c>
      <c r="L232" t="n">
        <v>2500</v>
      </c>
      <c r="M232" t="n">
        <v>1100</v>
      </c>
      <c r="N232" t="n">
        <v>2155</v>
      </c>
      <c r="O232" t="n">
        <v>3310</v>
      </c>
      <c r="P232" t="n">
        <v>4465</v>
      </c>
      <c r="Q232" t="n">
        <v>5620</v>
      </c>
      <c r="R232" t="n">
        <v>6775</v>
      </c>
      <c r="S232" t="n">
        <v>7930</v>
      </c>
      <c r="T232" t="n">
        <v>9085</v>
      </c>
      <c r="U232" t="n">
        <v>10240</v>
      </c>
      <c r="V232" t="n">
        <v>5096</v>
      </c>
      <c r="W232" t="n">
        <v>1924</v>
      </c>
      <c r="X232" t="n">
        <v>1693</v>
      </c>
      <c r="Y232" t="n">
        <v>8110</v>
      </c>
    </row>
    <row r="233">
      <c r="A233" t="n">
        <v>232</v>
      </c>
      <c r="B233" t="n">
        <v>0</v>
      </c>
      <c r="C233" t="n">
        <v>32161</v>
      </c>
      <c r="D233" t="n">
        <v>99257</v>
      </c>
      <c r="E233" t="n">
        <v>936771</v>
      </c>
      <c r="F233" t="n">
        <v>8707698</v>
      </c>
      <c r="G233" t="n">
        <v>79177731</v>
      </c>
      <c r="H233" t="n">
        <v>706712306</v>
      </c>
      <c r="I233" t="n">
        <v>6173311451</v>
      </c>
      <c r="J233" t="n">
        <v>2000</v>
      </c>
      <c r="K233" t="n">
        <v>27082</v>
      </c>
      <c r="L233" t="n">
        <v>2500</v>
      </c>
      <c r="M233" t="n">
        <v>1100</v>
      </c>
      <c r="N233" t="n">
        <v>2160</v>
      </c>
      <c r="O233" t="n">
        <v>3320</v>
      </c>
      <c r="P233" t="n">
        <v>4480</v>
      </c>
      <c r="Q233" t="n">
        <v>5640</v>
      </c>
      <c r="R233" t="n">
        <v>6800</v>
      </c>
      <c r="S233" t="n">
        <v>7960</v>
      </c>
      <c r="T233" t="n">
        <v>9120</v>
      </c>
      <c r="U233" t="n">
        <v>10280</v>
      </c>
      <c r="V233" t="n">
        <v>5126</v>
      </c>
      <c r="W233" t="n">
        <v>1928</v>
      </c>
      <c r="X233" t="n">
        <v>1696</v>
      </c>
      <c r="Y233" t="n">
        <v>8120</v>
      </c>
    </row>
    <row r="234">
      <c r="A234" t="n">
        <v>233</v>
      </c>
      <c r="B234" t="n">
        <v>0</v>
      </c>
      <c r="C234" t="n">
        <v>32644</v>
      </c>
      <c r="D234" t="n">
        <v>101243</v>
      </c>
      <c r="E234" t="n">
        <v>964875</v>
      </c>
      <c r="F234" t="n">
        <v>9056006</v>
      </c>
      <c r="G234" t="n">
        <v>83136618</v>
      </c>
      <c r="H234" t="n">
        <v>749115045</v>
      </c>
      <c r="I234" t="n">
        <v>6605443253</v>
      </c>
      <c r="J234" t="n">
        <v>2000</v>
      </c>
      <c r="K234" t="n">
        <v>27353</v>
      </c>
      <c r="L234" t="n">
        <v>2500</v>
      </c>
      <c r="M234" t="n">
        <v>1100</v>
      </c>
      <c r="N234" t="n">
        <v>2165</v>
      </c>
      <c r="O234" t="n">
        <v>3330</v>
      </c>
      <c r="P234" t="n">
        <v>4495</v>
      </c>
      <c r="Q234" t="n">
        <v>5660</v>
      </c>
      <c r="R234" t="n">
        <v>6825</v>
      </c>
      <c r="S234" t="n">
        <v>7990</v>
      </c>
      <c r="T234" t="n">
        <v>9155</v>
      </c>
      <c r="U234" t="n">
        <v>10320</v>
      </c>
      <c r="V234" t="n">
        <v>5156</v>
      </c>
      <c r="W234" t="n">
        <v>1932</v>
      </c>
      <c r="X234" t="n">
        <v>1699</v>
      </c>
      <c r="Y234" t="n">
        <v>8130</v>
      </c>
    </row>
    <row r="235">
      <c r="A235" t="n">
        <v>234</v>
      </c>
      <c r="B235" t="n">
        <v>0</v>
      </c>
      <c r="C235" t="n">
        <v>33134</v>
      </c>
      <c r="D235" t="n">
        <v>103268</v>
      </c>
      <c r="E235" t="n">
        <v>993822</v>
      </c>
      <c r="F235" t="n">
        <v>9418247</v>
      </c>
      <c r="G235" t="n">
        <v>87293449</v>
      </c>
      <c r="H235" t="n">
        <v>794061948</v>
      </c>
      <c r="I235" t="n">
        <v>7067824281</v>
      </c>
      <c r="J235" t="n">
        <v>2000</v>
      </c>
      <c r="K235" t="n">
        <v>27627</v>
      </c>
      <c r="L235" t="n">
        <v>2500</v>
      </c>
      <c r="M235" t="n">
        <v>1100</v>
      </c>
      <c r="N235" t="n">
        <v>2170</v>
      </c>
      <c r="O235" t="n">
        <v>3340</v>
      </c>
      <c r="P235" t="n">
        <v>4510</v>
      </c>
      <c r="Q235" t="n">
        <v>5680</v>
      </c>
      <c r="R235" t="n">
        <v>6850</v>
      </c>
      <c r="S235" t="n">
        <v>8020</v>
      </c>
      <c r="T235" t="n">
        <v>9190</v>
      </c>
      <c r="U235" t="n">
        <v>10360</v>
      </c>
      <c r="V235" t="n">
        <v>5186</v>
      </c>
      <c r="W235" t="n">
        <v>1936</v>
      </c>
      <c r="X235" t="n">
        <v>1702</v>
      </c>
      <c r="Y235" t="n">
        <v>8140</v>
      </c>
    </row>
    <row r="236">
      <c r="A236" t="n">
        <v>235</v>
      </c>
      <c r="B236" t="n">
        <v>0</v>
      </c>
      <c r="C236" t="n">
        <v>33632</v>
      </c>
      <c r="D236" t="n">
        <v>105334</v>
      </c>
      <c r="E236" t="n">
        <v>1023637</v>
      </c>
      <c r="F236" t="n">
        <v>9794977</v>
      </c>
      <c r="G236" t="n">
        <v>91658122</v>
      </c>
      <c r="H236" t="n">
        <v>841705665</v>
      </c>
      <c r="I236" t="n">
        <v>7562571981</v>
      </c>
      <c r="J236" t="n">
        <v>2000</v>
      </c>
      <c r="K236" t="n">
        <v>27904</v>
      </c>
      <c r="L236" t="n">
        <v>2500</v>
      </c>
      <c r="M236" t="n">
        <v>1100</v>
      </c>
      <c r="N236" t="n">
        <v>2175</v>
      </c>
      <c r="O236" t="n">
        <v>3350</v>
      </c>
      <c r="P236" t="n">
        <v>4525</v>
      </c>
      <c r="Q236" t="n">
        <v>5700</v>
      </c>
      <c r="R236" t="n">
        <v>6875</v>
      </c>
      <c r="S236" t="n">
        <v>8050</v>
      </c>
      <c r="T236" t="n">
        <v>9225</v>
      </c>
      <c r="U236" t="n">
        <v>10400</v>
      </c>
      <c r="V236" t="n">
        <v>5216</v>
      </c>
      <c r="W236" t="n">
        <v>1940</v>
      </c>
      <c r="X236" t="n">
        <v>1705</v>
      </c>
      <c r="Y236" t="n">
        <v>8150</v>
      </c>
    </row>
    <row r="237">
      <c r="A237" t="n">
        <v>236</v>
      </c>
      <c r="B237" t="n">
        <v>0</v>
      </c>
      <c r="C237" t="n">
        <v>34137</v>
      </c>
      <c r="D237" t="n">
        <v>107441</v>
      </c>
      <c r="E237" t="n">
        <v>1054347</v>
      </c>
      <c r="F237" t="n">
        <v>10186777</v>
      </c>
      <c r="G237" t="n">
        <v>96241029</v>
      </c>
      <c r="H237" t="n">
        <v>892208005</v>
      </c>
      <c r="I237" t="n">
        <v>8091952020</v>
      </c>
      <c r="J237" t="n">
        <v>2000</v>
      </c>
      <c r="K237" t="n">
        <v>28184</v>
      </c>
      <c r="L237" t="n">
        <v>2500</v>
      </c>
      <c r="M237" t="n">
        <v>1100</v>
      </c>
      <c r="N237" t="n">
        <v>2180</v>
      </c>
      <c r="O237" t="n">
        <v>3360</v>
      </c>
      <c r="P237" t="n">
        <v>4540</v>
      </c>
      <c r="Q237" t="n">
        <v>5720</v>
      </c>
      <c r="R237" t="n">
        <v>6900</v>
      </c>
      <c r="S237" t="n">
        <v>8080</v>
      </c>
      <c r="T237" t="n">
        <v>9260</v>
      </c>
      <c r="U237" t="n">
        <v>10440</v>
      </c>
      <c r="V237" t="n">
        <v>5247</v>
      </c>
      <c r="W237" t="n">
        <v>1944</v>
      </c>
      <c r="X237" t="n">
        <v>1708</v>
      </c>
      <c r="Y237" t="n">
        <v>8160</v>
      </c>
    </row>
    <row r="238">
      <c r="A238" t="n">
        <v>237</v>
      </c>
      <c r="B238" t="n">
        <v>0</v>
      </c>
      <c r="C238" t="n">
        <v>34650</v>
      </c>
      <c r="D238" t="n">
        <v>109590</v>
      </c>
      <c r="E238" t="n">
        <v>1085978</v>
      </c>
      <c r="F238" t="n">
        <v>10594249</v>
      </c>
      <c r="G238" t="n">
        <v>101053081</v>
      </c>
      <c r="H238" t="n">
        <v>945740486</v>
      </c>
      <c r="I238" t="n">
        <v>8658388662</v>
      </c>
      <c r="J238" t="n">
        <v>2000</v>
      </c>
      <c r="K238" t="n">
        <v>28466</v>
      </c>
      <c r="L238" t="n">
        <v>2500</v>
      </c>
      <c r="M238" t="n">
        <v>1100</v>
      </c>
      <c r="N238" t="n">
        <v>2185</v>
      </c>
      <c r="O238" t="n">
        <v>3370</v>
      </c>
      <c r="P238" t="n">
        <v>4555</v>
      </c>
      <c r="Q238" t="n">
        <v>5740</v>
      </c>
      <c r="R238" t="n">
        <v>6925</v>
      </c>
      <c r="S238" t="n">
        <v>8110</v>
      </c>
      <c r="T238" t="n">
        <v>9295</v>
      </c>
      <c r="U238" t="n">
        <v>10480</v>
      </c>
      <c r="V238" t="n">
        <v>5278</v>
      </c>
      <c r="W238" t="n">
        <v>1948</v>
      </c>
      <c r="X238" t="n">
        <v>1711</v>
      </c>
      <c r="Y238" t="n">
        <v>8170</v>
      </c>
    </row>
    <row r="239">
      <c r="A239" t="n">
        <v>238</v>
      </c>
      <c r="B239" t="n">
        <v>0</v>
      </c>
      <c r="C239" t="n">
        <v>35170</v>
      </c>
      <c r="D239" t="n">
        <v>111782</v>
      </c>
      <c r="E239" t="n">
        <v>1118558</v>
      </c>
      <c r="F239" t="n">
        <v>11018019</v>
      </c>
      <c r="G239" t="n">
        <v>106105736</v>
      </c>
      <c r="H239" t="n">
        <v>1002484916</v>
      </c>
      <c r="I239" t="n">
        <v>9264475869</v>
      </c>
      <c r="J239" t="n">
        <v>2000</v>
      </c>
      <c r="K239" t="n">
        <v>28751</v>
      </c>
      <c r="L239" t="n">
        <v>2500</v>
      </c>
      <c r="M239" t="n">
        <v>1100</v>
      </c>
      <c r="N239" t="n">
        <v>2190</v>
      </c>
      <c r="O239" t="n">
        <v>3380</v>
      </c>
      <c r="P239" t="n">
        <v>4570</v>
      </c>
      <c r="Q239" t="n">
        <v>5760</v>
      </c>
      <c r="R239" t="n">
        <v>6950</v>
      </c>
      <c r="S239" t="n">
        <v>8140</v>
      </c>
      <c r="T239" t="n">
        <v>9330</v>
      </c>
      <c r="U239" t="n">
        <v>10520</v>
      </c>
      <c r="V239" t="n">
        <v>5309</v>
      </c>
      <c r="W239" t="n">
        <v>1952</v>
      </c>
      <c r="X239" t="n">
        <v>1714</v>
      </c>
      <c r="Y239" t="n">
        <v>8180</v>
      </c>
    </row>
    <row r="240">
      <c r="A240" t="n">
        <v>239</v>
      </c>
      <c r="B240" t="n">
        <v>0</v>
      </c>
      <c r="C240" t="n">
        <v>35698</v>
      </c>
      <c r="D240" t="n">
        <v>114018</v>
      </c>
      <c r="E240" t="n">
        <v>1152115</v>
      </c>
      <c r="F240" t="n">
        <v>11458740</v>
      </c>
      <c r="G240" t="n">
        <v>111411023</v>
      </c>
      <c r="H240" t="n">
        <v>1062634011</v>
      </c>
      <c r="I240" t="n">
        <v>9912989180</v>
      </c>
      <c r="J240" t="n">
        <v>2000</v>
      </c>
      <c r="K240" t="n">
        <v>29039</v>
      </c>
      <c r="L240" t="n">
        <v>2500</v>
      </c>
      <c r="M240" t="n">
        <v>1100</v>
      </c>
      <c r="N240" t="n">
        <v>2195</v>
      </c>
      <c r="O240" t="n">
        <v>3390</v>
      </c>
      <c r="P240" t="n">
        <v>4585</v>
      </c>
      <c r="Q240" t="n">
        <v>5780</v>
      </c>
      <c r="R240" t="n">
        <v>6975</v>
      </c>
      <c r="S240" t="n">
        <v>8170</v>
      </c>
      <c r="T240" t="n">
        <v>9365</v>
      </c>
      <c r="U240" t="n">
        <v>10560</v>
      </c>
      <c r="V240" t="n">
        <v>5340</v>
      </c>
      <c r="W240" t="n">
        <v>1956</v>
      </c>
      <c r="X240" t="n">
        <v>1717</v>
      </c>
      <c r="Y240" t="n">
        <v>8190</v>
      </c>
    </row>
    <row r="241">
      <c r="A241" t="n">
        <v>240</v>
      </c>
      <c r="B241" t="n">
        <v>0</v>
      </c>
      <c r="C241" t="n">
        <v>36234</v>
      </c>
      <c r="D241" t="n">
        <v>116299</v>
      </c>
      <c r="E241" t="n">
        <v>1186679</v>
      </c>
      <c r="F241" t="n">
        <v>11917090</v>
      </c>
      <c r="G241" t="n">
        <v>116981575</v>
      </c>
      <c r="H241" t="n">
        <v>1126392052</v>
      </c>
      <c r="I241" t="n">
        <v>10606898423</v>
      </c>
      <c r="J241" t="n">
        <v>2000</v>
      </c>
      <c r="K241" t="n">
        <v>29330</v>
      </c>
      <c r="L241" t="n">
        <v>2500</v>
      </c>
      <c r="M241" t="n">
        <v>1100</v>
      </c>
      <c r="N241" t="n">
        <v>2200</v>
      </c>
      <c r="O241" t="n">
        <v>3400</v>
      </c>
      <c r="P241" t="n">
        <v>4600</v>
      </c>
      <c r="Q241" t="n">
        <v>5800</v>
      </c>
      <c r="R241" t="n">
        <v>7000</v>
      </c>
      <c r="S241" t="n">
        <v>8200</v>
      </c>
      <c r="T241" t="n">
        <v>9400</v>
      </c>
      <c r="U241" t="n">
        <v>10600</v>
      </c>
      <c r="V241" t="n">
        <v>5371</v>
      </c>
      <c r="W241" t="n">
        <v>1960</v>
      </c>
      <c r="X241" t="n">
        <v>1720</v>
      </c>
      <c r="Y241" t="n">
        <v>8200</v>
      </c>
    </row>
    <row r="242">
      <c r="A242" t="n">
        <v>241</v>
      </c>
      <c r="B242" t="n">
        <v>0</v>
      </c>
      <c r="C242" t="n">
        <v>36778</v>
      </c>
      <c r="D242" t="n">
        <v>118625</v>
      </c>
      <c r="E242" t="n">
        <v>1222280</v>
      </c>
      <c r="F242" t="n">
        <v>12393774</v>
      </c>
      <c r="G242" t="n">
        <v>122830654</v>
      </c>
      <c r="H242" t="n">
        <v>1193975576</v>
      </c>
      <c r="I242" t="n">
        <v>11349381313</v>
      </c>
      <c r="J242" t="n">
        <v>2000</v>
      </c>
      <c r="K242" t="n">
        <v>29624</v>
      </c>
      <c r="L242" t="n">
        <v>2500</v>
      </c>
      <c r="M242" t="n">
        <v>1100</v>
      </c>
      <c r="N242" t="n">
        <v>2205</v>
      </c>
      <c r="O242" t="n">
        <v>3410</v>
      </c>
      <c r="P242" t="n">
        <v>4615</v>
      </c>
      <c r="Q242" t="n">
        <v>5820</v>
      </c>
      <c r="R242" t="n">
        <v>7025</v>
      </c>
      <c r="S242" t="n">
        <v>8230</v>
      </c>
      <c r="T242" t="n">
        <v>9435</v>
      </c>
      <c r="U242" t="n">
        <v>10640</v>
      </c>
      <c r="V242" t="n">
        <v>5402</v>
      </c>
      <c r="W242" t="n">
        <v>1964</v>
      </c>
      <c r="X242" t="n">
        <v>1723</v>
      </c>
      <c r="Y242" t="n">
        <v>8210</v>
      </c>
    </row>
    <row r="243">
      <c r="A243" t="n">
        <v>242</v>
      </c>
      <c r="B243" t="n">
        <v>0</v>
      </c>
      <c r="C243" t="n">
        <v>37330</v>
      </c>
      <c r="D243" t="n">
        <v>120998</v>
      </c>
      <c r="E243" t="n">
        <v>1258949</v>
      </c>
      <c r="F243" t="n">
        <v>12889525</v>
      </c>
      <c r="G243" t="n">
        <v>128972187</v>
      </c>
      <c r="H243" t="n">
        <v>1265614111</v>
      </c>
      <c r="I243" t="n">
        <v>12143838005</v>
      </c>
      <c r="J243" t="n">
        <v>2000</v>
      </c>
      <c r="K243" t="n">
        <v>29921</v>
      </c>
      <c r="L243" t="n">
        <v>2500</v>
      </c>
      <c r="M243" t="n">
        <v>1100</v>
      </c>
      <c r="N243" t="n">
        <v>2210</v>
      </c>
      <c r="O243" t="n">
        <v>3420</v>
      </c>
      <c r="P243" t="n">
        <v>4630</v>
      </c>
      <c r="Q243" t="n">
        <v>5840</v>
      </c>
      <c r="R243" t="n">
        <v>7050</v>
      </c>
      <c r="S243" t="n">
        <v>8260</v>
      </c>
      <c r="T243" t="n">
        <v>9470</v>
      </c>
      <c r="U243" t="n">
        <v>10680</v>
      </c>
      <c r="V243" t="n">
        <v>5434</v>
      </c>
      <c r="W243" t="n">
        <v>1968</v>
      </c>
      <c r="X243" t="n">
        <v>1726</v>
      </c>
      <c r="Y243" t="n">
        <v>8220</v>
      </c>
    </row>
    <row r="244">
      <c r="A244" t="n">
        <v>243</v>
      </c>
      <c r="B244" t="n">
        <v>0</v>
      </c>
      <c r="C244" t="n">
        <v>37890</v>
      </c>
      <c r="D244" t="n">
        <v>123418</v>
      </c>
      <c r="E244" t="n">
        <v>1296718</v>
      </c>
      <c r="F244" t="n">
        <v>13405106</v>
      </c>
      <c r="G244" t="n">
        <v>135420797</v>
      </c>
      <c r="H244" t="n">
        <v>1341550958</v>
      </c>
      <c r="I244" t="n">
        <v>12993906666</v>
      </c>
      <c r="J244" t="n">
        <v>2000</v>
      </c>
      <c r="K244" t="n">
        <v>30221</v>
      </c>
      <c r="L244" t="n">
        <v>2500</v>
      </c>
      <c r="M244" t="n">
        <v>1100</v>
      </c>
      <c r="N244" t="n">
        <v>2215</v>
      </c>
      <c r="O244" t="n">
        <v>3430</v>
      </c>
      <c r="P244" t="n">
        <v>4645</v>
      </c>
      <c r="Q244" t="n">
        <v>5860</v>
      </c>
      <c r="R244" t="n">
        <v>7075</v>
      </c>
      <c r="S244" t="n">
        <v>8290</v>
      </c>
      <c r="T244" t="n">
        <v>9505</v>
      </c>
      <c r="U244" t="n">
        <v>10720</v>
      </c>
      <c r="V244" t="n">
        <v>5466</v>
      </c>
      <c r="W244" t="n">
        <v>1972</v>
      </c>
      <c r="X244" t="n">
        <v>1729</v>
      </c>
      <c r="Y244" t="n">
        <v>8230</v>
      </c>
    </row>
    <row r="245">
      <c r="A245" t="n">
        <v>244</v>
      </c>
      <c r="B245" t="n">
        <v>0</v>
      </c>
      <c r="C245" t="n">
        <v>38459</v>
      </c>
      <c r="D245" t="n">
        <v>125887</v>
      </c>
      <c r="E245" t="n">
        <v>1335620</v>
      </c>
      <c r="F245" t="n">
        <v>13941311</v>
      </c>
      <c r="G245" t="n">
        <v>142191837</v>
      </c>
      <c r="H245" t="n">
        <v>1422044016</v>
      </c>
      <c r="I245" t="n">
        <v>13903480133</v>
      </c>
      <c r="J245" t="n">
        <v>2000</v>
      </c>
      <c r="K245" t="n">
        <v>30524</v>
      </c>
      <c r="L245" t="n">
        <v>2500</v>
      </c>
      <c r="M245" t="n">
        <v>1100</v>
      </c>
      <c r="N245" t="n">
        <v>2220</v>
      </c>
      <c r="O245" t="n">
        <v>3440</v>
      </c>
      <c r="P245" t="n">
        <v>4660</v>
      </c>
      <c r="Q245" t="n">
        <v>5880</v>
      </c>
      <c r="R245" t="n">
        <v>7100</v>
      </c>
      <c r="S245" t="n">
        <v>8320</v>
      </c>
      <c r="T245" t="n">
        <v>9540</v>
      </c>
      <c r="U245" t="n">
        <v>10760</v>
      </c>
      <c r="V245" t="n">
        <v>5498</v>
      </c>
      <c r="W245" t="n">
        <v>1976</v>
      </c>
      <c r="X245" t="n">
        <v>1732</v>
      </c>
      <c r="Y245" t="n">
        <v>8240</v>
      </c>
    </row>
    <row r="246">
      <c r="A246" t="n">
        <v>245</v>
      </c>
      <c r="B246" t="n">
        <v>0</v>
      </c>
      <c r="C246" t="n">
        <v>39036</v>
      </c>
      <c r="D246" t="n">
        <v>128405</v>
      </c>
      <c r="E246" t="n">
        <v>1375689</v>
      </c>
      <c r="F246" t="n">
        <v>14498964</v>
      </c>
      <c r="G246" t="n">
        <v>149301429</v>
      </c>
      <c r="H246" t="n">
        <v>1507366657</v>
      </c>
      <c r="I246" t="n">
        <v>14876723743</v>
      </c>
      <c r="J246" t="n">
        <v>2000</v>
      </c>
      <c r="K246" t="n">
        <v>30830</v>
      </c>
      <c r="L246" t="n">
        <v>2500</v>
      </c>
      <c r="M246" t="n">
        <v>1100</v>
      </c>
      <c r="N246" t="n">
        <v>2225</v>
      </c>
      <c r="O246" t="n">
        <v>3450</v>
      </c>
      <c r="P246" t="n">
        <v>4675</v>
      </c>
      <c r="Q246" t="n">
        <v>5900</v>
      </c>
      <c r="R246" t="n">
        <v>7125</v>
      </c>
      <c r="S246" t="n">
        <v>8350</v>
      </c>
      <c r="T246" t="n">
        <v>9575</v>
      </c>
      <c r="U246" t="n">
        <v>10800</v>
      </c>
      <c r="V246" t="n">
        <v>5530</v>
      </c>
      <c r="W246" t="n">
        <v>1980</v>
      </c>
      <c r="X246" t="n">
        <v>1735</v>
      </c>
      <c r="Y246" t="n">
        <v>8250</v>
      </c>
    </row>
    <row r="247">
      <c r="A247" t="n">
        <v>246</v>
      </c>
      <c r="B247" t="n">
        <v>0</v>
      </c>
      <c r="C247" t="n">
        <v>39622</v>
      </c>
      <c r="D247" t="n">
        <v>130974</v>
      </c>
      <c r="E247" t="n">
        <v>1416960</v>
      </c>
      <c r="F247" t="n">
        <v>15078923</v>
      </c>
      <c r="G247" t="n">
        <v>156766501</v>
      </c>
      <c r="H247" t="n">
        <v>1597808657</v>
      </c>
      <c r="I247" t="n">
        <v>15918094406</v>
      </c>
      <c r="J247" t="n">
        <v>2000</v>
      </c>
      <c r="K247" t="n">
        <v>31139</v>
      </c>
      <c r="L247" t="n">
        <v>2500</v>
      </c>
      <c r="M247" t="n">
        <v>1100</v>
      </c>
      <c r="N247" t="n">
        <v>2230</v>
      </c>
      <c r="O247" t="n">
        <v>3460</v>
      </c>
      <c r="P247" t="n">
        <v>4690</v>
      </c>
      <c r="Q247" t="n">
        <v>5920</v>
      </c>
      <c r="R247" t="n">
        <v>7150</v>
      </c>
      <c r="S247" t="n">
        <v>8380</v>
      </c>
      <c r="T247" t="n">
        <v>9610</v>
      </c>
      <c r="U247" t="n">
        <v>10840</v>
      </c>
      <c r="V247" t="n">
        <v>5562</v>
      </c>
      <c r="W247" t="n">
        <v>1984</v>
      </c>
      <c r="X247" t="n">
        <v>1738</v>
      </c>
      <c r="Y247" t="n">
        <v>8260</v>
      </c>
    </row>
    <row r="248">
      <c r="A248" t="n">
        <v>247</v>
      </c>
      <c r="B248" t="n">
        <v>0</v>
      </c>
      <c r="C248" t="n">
        <v>40217</v>
      </c>
      <c r="D248" t="n">
        <v>133594</v>
      </c>
      <c r="E248" t="n">
        <v>1459469</v>
      </c>
      <c r="F248" t="n">
        <v>15682080</v>
      </c>
      <c r="G248" t="n">
        <v>164604827</v>
      </c>
      <c r="H248" t="n">
        <v>1693677177</v>
      </c>
      <c r="I248" t="n">
        <v>17032361015</v>
      </c>
      <c r="J248" t="n">
        <v>2000</v>
      </c>
      <c r="K248" t="n">
        <v>31451</v>
      </c>
      <c r="L248" t="n">
        <v>2500</v>
      </c>
      <c r="M248" t="n">
        <v>1100</v>
      </c>
      <c r="N248" t="n">
        <v>2235</v>
      </c>
      <c r="O248" t="n">
        <v>3470</v>
      </c>
      <c r="P248" t="n">
        <v>4705</v>
      </c>
      <c r="Q248" t="n">
        <v>5940</v>
      </c>
      <c r="R248" t="n">
        <v>7175</v>
      </c>
      <c r="S248" t="n">
        <v>8410</v>
      </c>
      <c r="T248" t="n">
        <v>9645</v>
      </c>
      <c r="U248" t="n">
        <v>10880</v>
      </c>
      <c r="V248" t="n">
        <v>5594</v>
      </c>
      <c r="W248" t="n">
        <v>1988</v>
      </c>
      <c r="X248" t="n">
        <v>1741</v>
      </c>
      <c r="Y248" t="n">
        <v>8270</v>
      </c>
    </row>
    <row r="249">
      <c r="A249" t="n">
        <v>248</v>
      </c>
      <c r="B249" t="n">
        <v>0</v>
      </c>
      <c r="C249" t="n">
        <v>40821</v>
      </c>
      <c r="D249" t="n">
        <v>136266</v>
      </c>
      <c r="E249" t="n">
        <v>1503254</v>
      </c>
      <c r="F249" t="n">
        <v>16309364</v>
      </c>
      <c r="G249" t="n">
        <v>172835069</v>
      </c>
      <c r="H249" t="n">
        <v>1795297808</v>
      </c>
      <c r="I249" t="n">
        <v>18224626287</v>
      </c>
      <c r="J249" t="n">
        <v>2000</v>
      </c>
      <c r="K249" t="n">
        <v>31766</v>
      </c>
      <c r="L249" t="n">
        <v>2500</v>
      </c>
      <c r="M249" t="n">
        <v>1100</v>
      </c>
      <c r="N249" t="n">
        <v>2240</v>
      </c>
      <c r="O249" t="n">
        <v>3480</v>
      </c>
      <c r="P249" t="n">
        <v>4720</v>
      </c>
      <c r="Q249" t="n">
        <v>5960</v>
      </c>
      <c r="R249" t="n">
        <v>7200</v>
      </c>
      <c r="S249" t="n">
        <v>8440</v>
      </c>
      <c r="T249" t="n">
        <v>9680</v>
      </c>
      <c r="U249" t="n">
        <v>10920</v>
      </c>
      <c r="V249" t="n">
        <v>5626</v>
      </c>
      <c r="W249" t="n">
        <v>1992</v>
      </c>
      <c r="X249" t="n">
        <v>1744</v>
      </c>
      <c r="Y249" t="n">
        <v>8280</v>
      </c>
    </row>
    <row r="250">
      <c r="A250" t="n">
        <v>249</v>
      </c>
      <c r="B250" t="n">
        <v>0</v>
      </c>
      <c r="C250" t="n">
        <v>41434</v>
      </c>
      <c r="D250" t="n">
        <v>138992</v>
      </c>
      <c r="E250" t="n">
        <v>1548352</v>
      </c>
      <c r="F250" t="n">
        <v>16961739</v>
      </c>
      <c r="G250" t="n">
        <v>181476823</v>
      </c>
      <c r="H250" t="n">
        <v>1903015677</v>
      </c>
      <c r="I250" t="n">
        <v>19500350128</v>
      </c>
      <c r="J250" t="n">
        <v>2000</v>
      </c>
      <c r="K250" t="n">
        <v>32084</v>
      </c>
      <c r="L250" t="n">
        <v>2500</v>
      </c>
      <c r="M250" t="n">
        <v>1100</v>
      </c>
      <c r="N250" t="n">
        <v>2245</v>
      </c>
      <c r="O250" t="n">
        <v>3490</v>
      </c>
      <c r="P250" t="n">
        <v>4735</v>
      </c>
      <c r="Q250" t="n">
        <v>5980</v>
      </c>
      <c r="R250" t="n">
        <v>7225</v>
      </c>
      <c r="S250" t="n">
        <v>8470</v>
      </c>
      <c r="T250" t="n">
        <v>9715</v>
      </c>
      <c r="U250" t="n">
        <v>10960</v>
      </c>
      <c r="V250" t="n">
        <v>5659</v>
      </c>
      <c r="W250" t="n">
        <v>1996</v>
      </c>
      <c r="X250" t="n">
        <v>1747</v>
      </c>
      <c r="Y250" t="n">
        <v>8290</v>
      </c>
    </row>
    <row r="251">
      <c r="A251" t="n">
        <v>250</v>
      </c>
      <c r="B251" t="n">
        <v>0</v>
      </c>
      <c r="C251" t="n">
        <v>42056</v>
      </c>
      <c r="D251" t="n">
        <v>141772</v>
      </c>
      <c r="E251" t="n">
        <v>1594803</v>
      </c>
      <c r="F251" t="n">
        <v>17640209</v>
      </c>
      <c r="G251" t="n">
        <v>190550665</v>
      </c>
      <c r="H251" t="n">
        <v>2017196618</v>
      </c>
      <c r="I251" t="n">
        <v>20865374637</v>
      </c>
      <c r="J251" t="n">
        <v>2000</v>
      </c>
      <c r="K251" t="n">
        <v>32405</v>
      </c>
      <c r="L251" t="n">
        <v>2500</v>
      </c>
      <c r="M251" t="n">
        <v>1100</v>
      </c>
      <c r="N251" t="n">
        <v>2250</v>
      </c>
      <c r="O251" t="n">
        <v>3500</v>
      </c>
      <c r="P251" t="n">
        <v>4750</v>
      </c>
      <c r="Q251" t="n">
        <v>6000</v>
      </c>
      <c r="R251" t="n">
        <v>7250</v>
      </c>
      <c r="S251" t="n">
        <v>8500</v>
      </c>
      <c r="T251" t="n">
        <v>9750</v>
      </c>
      <c r="U251" t="n">
        <v>11000</v>
      </c>
      <c r="V251" t="n">
        <v>5692</v>
      </c>
      <c r="W251" t="n">
        <v>2000</v>
      </c>
      <c r="X251" t="n">
        <v>1750</v>
      </c>
      <c r="Y251" t="n">
        <v>8300</v>
      </c>
    </row>
    <row r="252">
      <c r="A252" t="n">
        <v>251</v>
      </c>
      <c r="B252" t="n">
        <v>0</v>
      </c>
      <c r="C252" t="n">
        <v>42687</v>
      </c>
      <c r="D252" t="n">
        <v>144608</v>
      </c>
      <c r="E252" t="n">
        <v>1642648</v>
      </c>
      <c r="F252" t="n">
        <v>18345818</v>
      </c>
      <c r="G252" t="n">
        <v>200078199</v>
      </c>
      <c r="H252" t="n">
        <v>2138228416</v>
      </c>
      <c r="I252" t="n">
        <v>22325950862</v>
      </c>
      <c r="J252" t="n">
        <v>2000</v>
      </c>
      <c r="K252" t="n">
        <v>32730</v>
      </c>
      <c r="L252" t="n">
        <v>2500</v>
      </c>
      <c r="M252" t="n">
        <v>1100</v>
      </c>
      <c r="N252" t="n">
        <v>2255</v>
      </c>
      <c r="O252" t="n">
        <v>3510</v>
      </c>
      <c r="P252" t="n">
        <v>4765</v>
      </c>
      <c r="Q252" t="n">
        <v>6020</v>
      </c>
      <c r="R252" t="n">
        <v>7275</v>
      </c>
      <c r="S252" t="n">
        <v>8530</v>
      </c>
      <c r="T252" t="n">
        <v>9785</v>
      </c>
      <c r="U252" t="n">
        <v>11040</v>
      </c>
      <c r="V252" t="n">
        <v>5725</v>
      </c>
      <c r="W252" t="n">
        <v>2004</v>
      </c>
      <c r="X252" t="n">
        <v>1753</v>
      </c>
      <c r="Y252" t="n">
        <v>8310</v>
      </c>
    </row>
    <row r="253">
      <c r="A253" t="n">
        <v>252</v>
      </c>
      <c r="B253" t="n">
        <v>0</v>
      </c>
      <c r="C253" t="n">
        <v>43328</v>
      </c>
      <c r="D253" t="n">
        <v>147501</v>
      </c>
      <c r="E253" t="n">
        <v>1691928</v>
      </c>
      <c r="F253" t="n">
        <v>19079651</v>
      </c>
      <c r="G253" t="n">
        <v>210082109</v>
      </c>
      <c r="H253" t="n">
        <v>2266522121</v>
      </c>
      <c r="I253" t="n">
        <v>23888767423</v>
      </c>
      <c r="J253" t="n">
        <v>2000</v>
      </c>
      <c r="K253" t="n">
        <v>33058</v>
      </c>
      <c r="L253" t="n">
        <v>2500</v>
      </c>
      <c r="M253" t="n">
        <v>1100</v>
      </c>
      <c r="N253" t="n">
        <v>2260</v>
      </c>
      <c r="O253" t="n">
        <v>3520</v>
      </c>
      <c r="P253" t="n">
        <v>4780</v>
      </c>
      <c r="Q253" t="n">
        <v>6040</v>
      </c>
      <c r="R253" t="n">
        <v>7300</v>
      </c>
      <c r="S253" t="n">
        <v>8560</v>
      </c>
      <c r="T253" t="n">
        <v>9820</v>
      </c>
      <c r="U253" t="n">
        <v>11080</v>
      </c>
      <c r="V253" t="n">
        <v>5758</v>
      </c>
      <c r="W253" t="n">
        <v>2008</v>
      </c>
      <c r="X253" t="n">
        <v>1756</v>
      </c>
      <c r="Y253" t="n">
        <v>8320</v>
      </c>
    </row>
    <row r="254">
      <c r="A254" t="n">
        <v>253</v>
      </c>
      <c r="B254" t="n">
        <v>0</v>
      </c>
      <c r="C254" t="n">
        <v>43978</v>
      </c>
      <c r="D254" t="n">
        <v>150452</v>
      </c>
      <c r="E254" t="n">
        <v>1742686</v>
      </c>
      <c r="F254" t="n">
        <v>19842838</v>
      </c>
      <c r="G254" t="n">
        <v>220586215</v>
      </c>
      <c r="H254" t="n">
        <v>2402513449</v>
      </c>
      <c r="I254" t="n">
        <v>25560981143</v>
      </c>
      <c r="J254" t="n">
        <v>2000</v>
      </c>
      <c r="K254" t="n">
        <v>33389</v>
      </c>
      <c r="L254" t="n">
        <v>2500</v>
      </c>
      <c r="M254" t="n">
        <v>1100</v>
      </c>
      <c r="N254" t="n">
        <v>2265</v>
      </c>
      <c r="O254" t="n">
        <v>3530</v>
      </c>
      <c r="P254" t="n">
        <v>4795</v>
      </c>
      <c r="Q254" t="n">
        <v>6060</v>
      </c>
      <c r="R254" t="n">
        <v>7325</v>
      </c>
      <c r="S254" t="n">
        <v>8590</v>
      </c>
      <c r="T254" t="n">
        <v>9855</v>
      </c>
      <c r="U254" t="n">
        <v>11120</v>
      </c>
      <c r="V254" t="n">
        <v>5791</v>
      </c>
      <c r="W254" t="n">
        <v>2012</v>
      </c>
      <c r="X254" t="n">
        <v>1759</v>
      </c>
      <c r="Y254" t="n">
        <v>8330</v>
      </c>
    </row>
    <row r="255">
      <c r="A255" t="n">
        <v>254</v>
      </c>
      <c r="B255" t="n">
        <v>0</v>
      </c>
      <c r="C255" t="n">
        <v>44638</v>
      </c>
      <c r="D255" t="n">
        <v>153462</v>
      </c>
      <c r="E255" t="n">
        <v>1794967</v>
      </c>
      <c r="F255" t="n">
        <v>20636552</v>
      </c>
      <c r="G255" t="n">
        <v>231615526</v>
      </c>
      <c r="H255" t="n">
        <v>2546664256</v>
      </c>
      <c r="I255" t="n">
        <v>27350249824</v>
      </c>
      <c r="J255" t="n">
        <v>2000</v>
      </c>
      <c r="K255" t="n">
        <v>33723</v>
      </c>
      <c r="L255" t="n">
        <v>2500</v>
      </c>
      <c r="M255" t="n">
        <v>1100</v>
      </c>
      <c r="N255" t="n">
        <v>2270</v>
      </c>
      <c r="O255" t="n">
        <v>3540</v>
      </c>
      <c r="P255" t="n">
        <v>4810</v>
      </c>
      <c r="Q255" t="n">
        <v>6080</v>
      </c>
      <c r="R255" t="n">
        <v>7350</v>
      </c>
      <c r="S255" t="n">
        <v>8620</v>
      </c>
      <c r="T255" t="n">
        <v>9890</v>
      </c>
      <c r="U255" t="n">
        <v>11160</v>
      </c>
      <c r="V255" t="n">
        <v>5824</v>
      </c>
      <c r="W255" t="n">
        <v>2016</v>
      </c>
      <c r="X255" t="n">
        <v>1762</v>
      </c>
      <c r="Y255" t="n">
        <v>8340</v>
      </c>
    </row>
    <row r="256">
      <c r="A256" t="n">
        <v>255</v>
      </c>
      <c r="B256" t="n">
        <v>0</v>
      </c>
      <c r="C256" t="n">
        <v>45308</v>
      </c>
      <c r="D256" t="n">
        <v>156532</v>
      </c>
      <c r="E256" t="n">
        <v>1848817</v>
      </c>
      <c r="F256" t="n">
        <v>21462015</v>
      </c>
      <c r="G256" t="n">
        <v>243196303</v>
      </c>
      <c r="H256" t="n">
        <v>2699464112</v>
      </c>
      <c r="I256" t="n">
        <v>29264767312</v>
      </c>
      <c r="J256" t="n">
        <v>2000</v>
      </c>
      <c r="K256" t="n">
        <v>34061</v>
      </c>
      <c r="L256" t="n">
        <v>2500</v>
      </c>
      <c r="M256" t="n">
        <v>1100</v>
      </c>
      <c r="N256" t="n">
        <v>2275</v>
      </c>
      <c r="O256" t="n">
        <v>3550</v>
      </c>
      <c r="P256" t="n">
        <v>4825</v>
      </c>
      <c r="Q256" t="n">
        <v>6100</v>
      </c>
      <c r="R256" t="n">
        <v>7375</v>
      </c>
      <c r="S256" t="n">
        <v>8650</v>
      </c>
      <c r="T256" t="n">
        <v>9925</v>
      </c>
      <c r="U256" t="n">
        <v>11200</v>
      </c>
      <c r="V256" t="n">
        <v>5858</v>
      </c>
      <c r="W256" t="n">
        <v>2020</v>
      </c>
      <c r="X256" t="n">
        <v>1765</v>
      </c>
      <c r="Y256" t="n">
        <v>8350</v>
      </c>
    </row>
    <row r="257">
      <c r="A257" t="n">
        <v>256</v>
      </c>
      <c r="B257" t="n">
        <v>0</v>
      </c>
      <c r="C257" t="n">
        <v>45988</v>
      </c>
      <c r="D257" t="n">
        <v>159663</v>
      </c>
      <c r="E257" t="n">
        <v>1904282</v>
      </c>
      <c r="F257" t="n">
        <v>22320496</v>
      </c>
      <c r="G257" t="n">
        <v>255356119</v>
      </c>
      <c r="H257" t="n">
        <v>2861431959</v>
      </c>
      <c r="I257" t="n">
        <v>31313301024</v>
      </c>
      <c r="J257" t="n">
        <v>2000</v>
      </c>
      <c r="K257" t="n">
        <v>34402</v>
      </c>
      <c r="L257" t="n">
        <v>2500</v>
      </c>
      <c r="M257" t="n">
        <v>1100</v>
      </c>
      <c r="N257" t="n">
        <v>2280</v>
      </c>
      <c r="O257" t="n">
        <v>3560</v>
      </c>
      <c r="P257" t="n">
        <v>4840</v>
      </c>
      <c r="Q257" t="n">
        <v>6120</v>
      </c>
      <c r="R257" t="n">
        <v>7400</v>
      </c>
      <c r="S257" t="n">
        <v>8680</v>
      </c>
      <c r="T257" t="n">
        <v>9960</v>
      </c>
      <c r="U257" t="n">
        <v>11240</v>
      </c>
      <c r="V257" t="n">
        <v>5892</v>
      </c>
      <c r="W257" t="n">
        <v>2024</v>
      </c>
      <c r="X257" t="n">
        <v>1768</v>
      </c>
      <c r="Y257" t="n">
        <v>8360</v>
      </c>
    </row>
    <row r="258">
      <c r="A258" t="n">
        <v>257</v>
      </c>
      <c r="B258" t="n">
        <v>0</v>
      </c>
      <c r="C258" t="n">
        <v>46678</v>
      </c>
      <c r="D258" t="n">
        <v>162857</v>
      </c>
      <c r="E258" t="n">
        <v>1961411</v>
      </c>
      <c r="F258" t="n">
        <v>23213316</v>
      </c>
      <c r="G258" t="n">
        <v>268123925</v>
      </c>
      <c r="H258" t="n">
        <v>3033117877</v>
      </c>
      <c r="I258" t="n">
        <v>33505232096</v>
      </c>
      <c r="J258" t="n">
        <v>2000</v>
      </c>
      <c r="K258" t="n">
        <v>34747</v>
      </c>
      <c r="L258" t="n">
        <v>2500</v>
      </c>
      <c r="M258" t="n">
        <v>1100</v>
      </c>
      <c r="N258" t="n">
        <v>2285</v>
      </c>
      <c r="O258" t="n">
        <v>3570</v>
      </c>
      <c r="P258" t="n">
        <v>4855</v>
      </c>
      <c r="Q258" t="n">
        <v>6140</v>
      </c>
      <c r="R258" t="n">
        <v>7425</v>
      </c>
      <c r="S258" t="n">
        <v>8710</v>
      </c>
      <c r="T258" t="n">
        <v>9995</v>
      </c>
      <c r="U258" t="n">
        <v>11280</v>
      </c>
      <c r="V258" t="n">
        <v>5926</v>
      </c>
      <c r="W258" t="n">
        <v>2028</v>
      </c>
      <c r="X258" t="n">
        <v>1771</v>
      </c>
      <c r="Y258" t="n">
        <v>8370</v>
      </c>
    </row>
    <row r="259">
      <c r="A259" t="n">
        <v>258</v>
      </c>
      <c r="B259" t="n">
        <v>0</v>
      </c>
      <c r="C259" t="n">
        <v>47379</v>
      </c>
      <c r="D259" t="n">
        <v>166115</v>
      </c>
      <c r="E259" t="n">
        <v>2020254</v>
      </c>
      <c r="F259" t="n">
        <v>24141849</v>
      </c>
      <c r="G259" t="n">
        <v>281530122</v>
      </c>
      <c r="H259" t="n">
        <v>3215104950</v>
      </c>
      <c r="I259" t="n">
        <v>35850598343</v>
      </c>
      <c r="J259" t="n">
        <v>2000</v>
      </c>
      <c r="K259" t="n">
        <v>35095</v>
      </c>
      <c r="L259" t="n">
        <v>2500</v>
      </c>
      <c r="M259" t="n">
        <v>1100</v>
      </c>
      <c r="N259" t="n">
        <v>2290</v>
      </c>
      <c r="O259" t="n">
        <v>3580</v>
      </c>
      <c r="P259" t="n">
        <v>4870</v>
      </c>
      <c r="Q259" t="n">
        <v>6160</v>
      </c>
      <c r="R259" t="n">
        <v>7450</v>
      </c>
      <c r="S259" t="n">
        <v>8740</v>
      </c>
      <c r="T259" t="n">
        <v>10030</v>
      </c>
      <c r="U259" t="n">
        <v>11320</v>
      </c>
      <c r="V259" t="n">
        <v>5960</v>
      </c>
      <c r="W259" t="n">
        <v>2032</v>
      </c>
      <c r="X259" t="n">
        <v>1774</v>
      </c>
      <c r="Y259" t="n">
        <v>8380</v>
      </c>
    </row>
    <row r="260">
      <c r="A260" t="n">
        <v>259</v>
      </c>
      <c r="B260" t="n">
        <v>0</v>
      </c>
      <c r="C260" t="n">
        <v>48090</v>
      </c>
      <c r="D260" t="n">
        <v>169438</v>
      </c>
      <c r="E260" t="n">
        <v>2080862</v>
      </c>
      <c r="F260" t="n">
        <v>25107523</v>
      </c>
      <c r="G260" t="n">
        <v>295606629</v>
      </c>
      <c r="H260" t="n">
        <v>3408011247</v>
      </c>
      <c r="I260" t="n">
        <v>38360140228</v>
      </c>
      <c r="J260" t="n">
        <v>2000</v>
      </c>
      <c r="K260" t="n">
        <v>35446</v>
      </c>
      <c r="L260" t="n">
        <v>2500</v>
      </c>
      <c r="M260" t="n">
        <v>1100</v>
      </c>
      <c r="N260" t="n">
        <v>2295</v>
      </c>
      <c r="O260" t="n">
        <v>3590</v>
      </c>
      <c r="P260" t="n">
        <v>4885</v>
      </c>
      <c r="Q260" t="n">
        <v>6180</v>
      </c>
      <c r="R260" t="n">
        <v>7475</v>
      </c>
      <c r="S260" t="n">
        <v>8770</v>
      </c>
      <c r="T260" t="n">
        <v>10065</v>
      </c>
      <c r="U260" t="n">
        <v>11360</v>
      </c>
      <c r="V260" t="n">
        <v>5994</v>
      </c>
      <c r="W260" t="n">
        <v>2036</v>
      </c>
      <c r="X260" t="n">
        <v>1777</v>
      </c>
      <c r="Y260" t="n">
        <v>8390</v>
      </c>
    </row>
    <row r="261">
      <c r="A261" t="n">
        <v>260</v>
      </c>
      <c r="B261" t="n">
        <v>0</v>
      </c>
      <c r="C261" t="n">
        <v>48812</v>
      </c>
      <c r="D261" t="n">
        <v>172827</v>
      </c>
      <c r="E261" t="n">
        <v>2143288</v>
      </c>
      <c r="F261" t="n">
        <v>26111824</v>
      </c>
      <c r="G261" t="n">
        <v>310386961</v>
      </c>
      <c r="H261" t="n">
        <v>3612491922</v>
      </c>
      <c r="I261" t="n">
        <v>41045350044</v>
      </c>
      <c r="J261" t="n">
        <v>2000</v>
      </c>
      <c r="K261" t="n">
        <v>35801</v>
      </c>
      <c r="L261" t="n">
        <v>2500</v>
      </c>
      <c r="M261" t="n">
        <v>1100</v>
      </c>
      <c r="N261" t="n">
        <v>2300</v>
      </c>
      <c r="O261" t="n">
        <v>3600</v>
      </c>
      <c r="P261" t="n">
        <v>4900</v>
      </c>
      <c r="Q261" t="n">
        <v>6200</v>
      </c>
      <c r="R261" t="n">
        <v>7500</v>
      </c>
      <c r="S261" t="n">
        <v>8800</v>
      </c>
      <c r="T261" t="n">
        <v>10100</v>
      </c>
      <c r="U261" t="n">
        <v>11400</v>
      </c>
      <c r="V261" t="n">
        <v>6028</v>
      </c>
      <c r="W261" t="n">
        <v>2040</v>
      </c>
      <c r="X261" t="n">
        <v>1780</v>
      </c>
      <c r="Y261" t="n">
        <v>8400</v>
      </c>
    </row>
    <row r="262">
      <c r="A262" t="n">
        <v>261</v>
      </c>
      <c r="B262" t="n">
        <v>0</v>
      </c>
      <c r="C262" t="n">
        <v>49545</v>
      </c>
      <c r="D262" t="n">
        <v>176284</v>
      </c>
      <c r="E262" t="n">
        <v>2207587</v>
      </c>
      <c r="F262" t="n">
        <v>27156297</v>
      </c>
      <c r="G262" t="n">
        <v>325906310</v>
      </c>
      <c r="H262" t="n">
        <v>3829241438</v>
      </c>
      <c r="I262" t="n">
        <v>43918524548</v>
      </c>
      <c r="J262" t="n">
        <v>2000</v>
      </c>
      <c r="K262" t="n">
        <v>36160</v>
      </c>
      <c r="L262" t="n">
        <v>2500</v>
      </c>
      <c r="M262" t="n">
        <v>1100</v>
      </c>
      <c r="N262" t="n">
        <v>2305</v>
      </c>
      <c r="O262" t="n">
        <v>3610</v>
      </c>
      <c r="P262" t="n">
        <v>4915</v>
      </c>
      <c r="Q262" t="n">
        <v>6220</v>
      </c>
      <c r="R262" t="n">
        <v>7525</v>
      </c>
      <c r="S262" t="n">
        <v>8830</v>
      </c>
      <c r="T262" t="n">
        <v>10135</v>
      </c>
      <c r="U262" t="n">
        <v>11440</v>
      </c>
      <c r="V262" t="n">
        <v>6063</v>
      </c>
      <c r="W262" t="n">
        <v>2044</v>
      </c>
      <c r="X262" t="n">
        <v>1783</v>
      </c>
      <c r="Y262" t="n">
        <v>8410</v>
      </c>
    </row>
    <row r="263">
      <c r="A263" t="n">
        <v>262</v>
      </c>
      <c r="B263" t="n">
        <v>0</v>
      </c>
      <c r="C263" t="n">
        <v>50289</v>
      </c>
      <c r="D263" t="n">
        <v>179810</v>
      </c>
      <c r="E263" t="n">
        <v>2273815</v>
      </c>
      <c r="F263" t="n">
        <v>28242549</v>
      </c>
      <c r="G263" t="n">
        <v>342201626</v>
      </c>
      <c r="H263" t="n">
        <v>4058995925</v>
      </c>
      <c r="I263" t="n">
        <v>46992821267</v>
      </c>
      <c r="J263" t="n">
        <v>2000</v>
      </c>
      <c r="K263" t="n">
        <v>36522</v>
      </c>
      <c r="L263" t="n">
        <v>2500</v>
      </c>
      <c r="M263" t="n">
        <v>1100</v>
      </c>
      <c r="N263" t="n">
        <v>2310</v>
      </c>
      <c r="O263" t="n">
        <v>3620</v>
      </c>
      <c r="P263" t="n">
        <v>4930</v>
      </c>
      <c r="Q263" t="n">
        <v>6240</v>
      </c>
      <c r="R263" t="n">
        <v>7550</v>
      </c>
      <c r="S263" t="n">
        <v>8860</v>
      </c>
      <c r="T263" t="n">
        <v>10170</v>
      </c>
      <c r="U263" t="n">
        <v>11480</v>
      </c>
      <c r="V263" t="n">
        <v>6098</v>
      </c>
      <c r="W263" t="n">
        <v>2048</v>
      </c>
      <c r="X263" t="n">
        <v>1786</v>
      </c>
      <c r="Y263" t="n">
        <v>8420</v>
      </c>
    </row>
    <row r="264">
      <c r="A264" t="n">
        <v>263</v>
      </c>
      <c r="B264" t="n">
        <v>0</v>
      </c>
      <c r="C264" t="n">
        <v>51044</v>
      </c>
      <c r="D264" t="n">
        <v>183407</v>
      </c>
      <c r="E264" t="n">
        <v>2342030</v>
      </c>
      <c r="F264" t="n">
        <v>29372251</v>
      </c>
      <c r="G264" t="n">
        <v>359311708</v>
      </c>
      <c r="H264" t="n">
        <v>4302535681</v>
      </c>
      <c r="I264" t="n">
        <v>50282318756</v>
      </c>
      <c r="J264" t="n">
        <v>2000</v>
      </c>
      <c r="K264" t="n">
        <v>36888</v>
      </c>
      <c r="L264" t="n">
        <v>2500</v>
      </c>
      <c r="M264" t="n">
        <v>1100</v>
      </c>
      <c r="N264" t="n">
        <v>2315</v>
      </c>
      <c r="O264" t="n">
        <v>3630</v>
      </c>
      <c r="P264" t="n">
        <v>4945</v>
      </c>
      <c r="Q264" t="n">
        <v>6260</v>
      </c>
      <c r="R264" t="n">
        <v>7575</v>
      </c>
      <c r="S264" t="n">
        <v>8890</v>
      </c>
      <c r="T264" t="n">
        <v>10205</v>
      </c>
      <c r="U264" t="n">
        <v>11520</v>
      </c>
      <c r="V264" t="n">
        <v>6133</v>
      </c>
      <c r="W264" t="n">
        <v>2052</v>
      </c>
      <c r="X264" t="n">
        <v>1789</v>
      </c>
      <c r="Y264" t="n">
        <v>8430</v>
      </c>
    </row>
    <row r="265">
      <c r="A265" t="n">
        <v>264</v>
      </c>
      <c r="B265" t="n">
        <v>0</v>
      </c>
      <c r="C265" t="n">
        <v>51810</v>
      </c>
      <c r="D265" t="n">
        <v>187076</v>
      </c>
      <c r="E265" t="n">
        <v>2412291</v>
      </c>
      <c r="F265" t="n">
        <v>30547142</v>
      </c>
      <c r="G265" t="n">
        <v>377277294</v>
      </c>
      <c r="H265" t="n">
        <v>4560687822</v>
      </c>
      <c r="I265" t="n">
        <v>53802081069</v>
      </c>
      <c r="J265" t="n">
        <v>2000</v>
      </c>
      <c r="K265" t="n">
        <v>37257</v>
      </c>
      <c r="L265" t="n">
        <v>2500</v>
      </c>
      <c r="M265" t="n">
        <v>1100</v>
      </c>
      <c r="N265" t="n">
        <v>2320</v>
      </c>
      <c r="O265" t="n">
        <v>3640</v>
      </c>
      <c r="P265" t="n">
        <v>4960</v>
      </c>
      <c r="Q265" t="n">
        <v>6280</v>
      </c>
      <c r="R265" t="n">
        <v>7600</v>
      </c>
      <c r="S265" t="n">
        <v>8920</v>
      </c>
      <c r="T265" t="n">
        <v>10240</v>
      </c>
      <c r="U265" t="n">
        <v>11560</v>
      </c>
      <c r="V265" t="n">
        <v>6168</v>
      </c>
      <c r="W265" t="n">
        <v>2056</v>
      </c>
      <c r="X265" t="n">
        <v>1792</v>
      </c>
      <c r="Y265" t="n">
        <v>8440</v>
      </c>
    </row>
    <row r="266">
      <c r="A266" t="n">
        <v>265</v>
      </c>
      <c r="B266" t="n">
        <v>0</v>
      </c>
      <c r="C266" t="n">
        <v>52588</v>
      </c>
      <c r="D266" t="n">
        <v>190818</v>
      </c>
      <c r="E266" t="n">
        <v>2484660</v>
      </c>
      <c r="F266" t="n">
        <v>31769028</v>
      </c>
      <c r="G266" t="n">
        <v>396141159</v>
      </c>
      <c r="H266" t="n">
        <v>4834329092</v>
      </c>
      <c r="I266" t="n">
        <v>57568226744</v>
      </c>
      <c r="J266" t="n">
        <v>2000</v>
      </c>
      <c r="K266" t="n">
        <v>37630</v>
      </c>
      <c r="L266" t="n">
        <v>2500</v>
      </c>
      <c r="M266" t="n">
        <v>1100</v>
      </c>
      <c r="N266" t="n">
        <v>2325</v>
      </c>
      <c r="O266" t="n">
        <v>3650</v>
      </c>
      <c r="P266" t="n">
        <v>4975</v>
      </c>
      <c r="Q266" t="n">
        <v>6300</v>
      </c>
      <c r="R266" t="n">
        <v>7625</v>
      </c>
      <c r="S266" t="n">
        <v>8950</v>
      </c>
      <c r="T266" t="n">
        <v>10275</v>
      </c>
      <c r="U266" t="n">
        <v>11600</v>
      </c>
      <c r="V266" t="n">
        <v>6203</v>
      </c>
      <c r="W266" t="n">
        <v>2060</v>
      </c>
      <c r="X266" t="n">
        <v>1795</v>
      </c>
      <c r="Y266" t="n">
        <v>8450</v>
      </c>
    </row>
    <row r="267">
      <c r="A267" t="n">
        <v>266</v>
      </c>
      <c r="B267" t="n">
        <v>0</v>
      </c>
      <c r="C267" t="n">
        <v>53377</v>
      </c>
      <c r="D267" t="n">
        <v>194635</v>
      </c>
      <c r="E267" t="n">
        <v>2559200</v>
      </c>
      <c r="F267" t="n">
        <v>33039790</v>
      </c>
      <c r="G267" t="n">
        <v>415948217</v>
      </c>
      <c r="H267" t="n">
        <v>5124388838</v>
      </c>
      <c r="I267" t="n">
        <v>61598002617</v>
      </c>
      <c r="J267" t="n">
        <v>2000</v>
      </c>
      <c r="K267" t="n">
        <v>38007</v>
      </c>
      <c r="L267" t="n">
        <v>2500</v>
      </c>
      <c r="M267" t="n">
        <v>1100</v>
      </c>
      <c r="N267" t="n">
        <v>2330</v>
      </c>
      <c r="O267" t="n">
        <v>3660</v>
      </c>
      <c r="P267" t="n">
        <v>4990</v>
      </c>
      <c r="Q267" t="n">
        <v>6320</v>
      </c>
      <c r="R267" t="n">
        <v>7650</v>
      </c>
      <c r="S267" t="n">
        <v>8980</v>
      </c>
      <c r="T267" t="n">
        <v>10310</v>
      </c>
      <c r="U267" t="n">
        <v>11640</v>
      </c>
      <c r="V267" t="n">
        <v>6239</v>
      </c>
      <c r="W267" t="n">
        <v>2064</v>
      </c>
      <c r="X267" t="n">
        <v>1798</v>
      </c>
      <c r="Y267" t="n">
        <v>8460</v>
      </c>
    </row>
    <row r="268">
      <c r="A268" t="n">
        <v>267</v>
      </c>
      <c r="B268" t="n">
        <v>0</v>
      </c>
      <c r="C268" t="n">
        <v>54178</v>
      </c>
      <c r="D268" t="n">
        <v>198528</v>
      </c>
      <c r="E268" t="n">
        <v>2635976</v>
      </c>
      <c r="F268" t="n">
        <v>34361382</v>
      </c>
      <c r="G268" t="n">
        <v>436745628</v>
      </c>
      <c r="H268" t="n">
        <v>5431852169</v>
      </c>
      <c r="I268" t="n">
        <v>65909862801</v>
      </c>
      <c r="J268" t="n">
        <v>2000</v>
      </c>
      <c r="K268" t="n">
        <v>38388</v>
      </c>
      <c r="L268" t="n">
        <v>2500</v>
      </c>
      <c r="M268" t="n">
        <v>1100</v>
      </c>
      <c r="N268" t="n">
        <v>2335</v>
      </c>
      <c r="O268" t="n">
        <v>3670</v>
      </c>
      <c r="P268" t="n">
        <v>5005</v>
      </c>
      <c r="Q268" t="n">
        <v>6340</v>
      </c>
      <c r="R268" t="n">
        <v>7675</v>
      </c>
      <c r="S268" t="n">
        <v>9010</v>
      </c>
      <c r="T268" t="n">
        <v>10345</v>
      </c>
      <c r="U268" t="n">
        <v>11680</v>
      </c>
      <c r="V268" t="n">
        <v>6275</v>
      </c>
      <c r="W268" t="n">
        <v>2068</v>
      </c>
      <c r="X268" t="n">
        <v>1801</v>
      </c>
      <c r="Y268" t="n">
        <v>8470</v>
      </c>
    </row>
    <row r="269">
      <c r="A269" t="n">
        <v>268</v>
      </c>
      <c r="B269" t="n">
        <v>0</v>
      </c>
      <c r="C269" t="n">
        <v>54991</v>
      </c>
      <c r="D269" t="n">
        <v>202499</v>
      </c>
      <c r="E269" t="n">
        <v>2715056</v>
      </c>
      <c r="F269" t="n">
        <v>35735838</v>
      </c>
      <c r="G269" t="n">
        <v>458582910</v>
      </c>
      <c r="H269" t="n">
        <v>5757763300</v>
      </c>
      <c r="I269" t="n">
        <v>70523553198</v>
      </c>
      <c r="J269" t="n">
        <v>2000</v>
      </c>
      <c r="K269" t="n">
        <v>38772</v>
      </c>
      <c r="L269" t="n">
        <v>2500</v>
      </c>
      <c r="M269" t="n">
        <v>1100</v>
      </c>
      <c r="N269" t="n">
        <v>2340</v>
      </c>
      <c r="O269" t="n">
        <v>3680</v>
      </c>
      <c r="P269" t="n">
        <v>5020</v>
      </c>
      <c r="Q269" t="n">
        <v>6360</v>
      </c>
      <c r="R269" t="n">
        <v>7700</v>
      </c>
      <c r="S269" t="n">
        <v>9040</v>
      </c>
      <c r="T269" t="n">
        <v>10380</v>
      </c>
      <c r="U269" t="n">
        <v>11720</v>
      </c>
      <c r="V269" t="n">
        <v>6311</v>
      </c>
      <c r="W269" t="n">
        <v>2072</v>
      </c>
      <c r="X269" t="n">
        <v>1804</v>
      </c>
      <c r="Y269" t="n">
        <v>8480</v>
      </c>
    </row>
    <row r="270">
      <c r="A270" t="n">
        <v>269</v>
      </c>
      <c r="B270" t="n">
        <v>0</v>
      </c>
      <c r="C270" t="n">
        <v>55816</v>
      </c>
      <c r="D270" t="n">
        <v>206549</v>
      </c>
      <c r="E270" t="n">
        <v>2796508</v>
      </c>
      <c r="F270" t="n">
        <v>37165272</v>
      </c>
      <c r="G270" t="n">
        <v>481512056</v>
      </c>
      <c r="H270" t="n">
        <v>6103229098</v>
      </c>
      <c r="I270" t="n">
        <v>75460201922</v>
      </c>
      <c r="J270" t="n">
        <v>2000</v>
      </c>
      <c r="K270" t="n">
        <v>39160</v>
      </c>
      <c r="L270" t="n">
        <v>2500</v>
      </c>
      <c r="M270" t="n">
        <v>1100</v>
      </c>
      <c r="N270" t="n">
        <v>2345</v>
      </c>
      <c r="O270" t="n">
        <v>3690</v>
      </c>
      <c r="P270" t="n">
        <v>5035</v>
      </c>
      <c r="Q270" t="n">
        <v>6380</v>
      </c>
      <c r="R270" t="n">
        <v>7725</v>
      </c>
      <c r="S270" t="n">
        <v>9070</v>
      </c>
      <c r="T270" t="n">
        <v>10415</v>
      </c>
      <c r="U270" t="n">
        <v>11760</v>
      </c>
      <c r="V270" t="n">
        <v>6347</v>
      </c>
      <c r="W270" t="n">
        <v>2076</v>
      </c>
      <c r="X270" t="n">
        <v>1807</v>
      </c>
      <c r="Y270" t="n">
        <v>8490</v>
      </c>
    </row>
    <row r="271">
      <c r="A271" t="n">
        <v>270</v>
      </c>
      <c r="B271" t="n">
        <v>0</v>
      </c>
      <c r="C271" t="n">
        <v>56654</v>
      </c>
      <c r="D271" t="n">
        <v>210680</v>
      </c>
      <c r="E271" t="n">
        <v>2880404</v>
      </c>
      <c r="F271" t="n">
        <v>38651883</v>
      </c>
      <c r="G271" t="n">
        <v>505587659</v>
      </c>
      <c r="H271" t="n">
        <v>6469422844</v>
      </c>
      <c r="I271" t="n">
        <v>80742416057</v>
      </c>
      <c r="J271" t="n">
        <v>2000</v>
      </c>
      <c r="K271" t="n">
        <v>39552</v>
      </c>
      <c r="L271" t="n">
        <v>2500</v>
      </c>
      <c r="M271" t="n">
        <v>1100</v>
      </c>
      <c r="N271" t="n">
        <v>2350</v>
      </c>
      <c r="O271" t="n">
        <v>3700</v>
      </c>
      <c r="P271" t="n">
        <v>5050</v>
      </c>
      <c r="Q271" t="n">
        <v>6400</v>
      </c>
      <c r="R271" t="n">
        <v>7750</v>
      </c>
      <c r="S271" t="n">
        <v>9100</v>
      </c>
      <c r="T271" t="n">
        <v>10450</v>
      </c>
      <c r="U271" t="n">
        <v>11800</v>
      </c>
      <c r="V271" t="n">
        <v>6383</v>
      </c>
      <c r="W271" t="n">
        <v>2080</v>
      </c>
      <c r="X271" t="n">
        <v>1810</v>
      </c>
      <c r="Y271" t="n">
        <v>8500</v>
      </c>
    </row>
    <row r="272">
      <c r="A272" t="n">
        <v>271</v>
      </c>
      <c r="B272" t="n">
        <v>0</v>
      </c>
      <c r="C272" t="n">
        <v>57504</v>
      </c>
      <c r="D272" t="n">
        <v>214894</v>
      </c>
      <c r="E272" t="n">
        <v>2966817</v>
      </c>
      <c r="F272" t="n">
        <v>40197959</v>
      </c>
      <c r="G272" t="n">
        <v>530867042</v>
      </c>
      <c r="H272" t="n">
        <v>6857588215</v>
      </c>
      <c r="I272" t="n">
        <v>86394385181</v>
      </c>
      <c r="J272" t="n">
        <v>2000</v>
      </c>
      <c r="K272" t="n">
        <v>39948</v>
      </c>
      <c r="L272" t="n">
        <v>2500</v>
      </c>
      <c r="M272" t="n">
        <v>1100</v>
      </c>
      <c r="N272" t="n">
        <v>2355</v>
      </c>
      <c r="O272" t="n">
        <v>3710</v>
      </c>
      <c r="P272" t="n">
        <v>5065</v>
      </c>
      <c r="Q272" t="n">
        <v>6420</v>
      </c>
      <c r="R272" t="n">
        <v>7775</v>
      </c>
      <c r="S272" t="n">
        <v>9130</v>
      </c>
      <c r="T272" t="n">
        <v>10485</v>
      </c>
      <c r="U272" t="n">
        <v>11840</v>
      </c>
      <c r="V272" t="n">
        <v>6419</v>
      </c>
      <c r="W272" t="n">
        <v>2084</v>
      </c>
      <c r="X272" t="n">
        <v>1813</v>
      </c>
      <c r="Y272" t="n">
        <v>8510</v>
      </c>
    </row>
    <row r="273">
      <c r="A273" t="n">
        <v>272</v>
      </c>
      <c r="B273" t="n">
        <v>0</v>
      </c>
      <c r="C273" t="n">
        <v>58367</v>
      </c>
      <c r="D273" t="n">
        <v>219192</v>
      </c>
      <c r="E273" t="n">
        <v>3055822</v>
      </c>
      <c r="F273" t="n">
        <v>41805878</v>
      </c>
      <c r="G273" t="n">
        <v>557410395</v>
      </c>
      <c r="H273" t="n">
        <v>7269043508</v>
      </c>
      <c r="I273" t="n">
        <v>92441992144</v>
      </c>
      <c r="J273" t="n">
        <v>2000</v>
      </c>
      <c r="K273" t="n">
        <v>40348</v>
      </c>
      <c r="L273" t="n">
        <v>2500</v>
      </c>
      <c r="M273" t="n">
        <v>1100</v>
      </c>
      <c r="N273" t="n">
        <v>2360</v>
      </c>
      <c r="O273" t="n">
        <v>3720</v>
      </c>
      <c r="P273" t="n">
        <v>5080</v>
      </c>
      <c r="Q273" t="n">
        <v>6440</v>
      </c>
      <c r="R273" t="n">
        <v>7800</v>
      </c>
      <c r="S273" t="n">
        <v>9160</v>
      </c>
      <c r="T273" t="n">
        <v>10520</v>
      </c>
      <c r="U273" t="n">
        <v>11880</v>
      </c>
      <c r="V273" t="n">
        <v>6456</v>
      </c>
      <c r="W273" t="n">
        <v>2088</v>
      </c>
      <c r="X273" t="n">
        <v>1816</v>
      </c>
      <c r="Y273" t="n">
        <v>8520</v>
      </c>
    </row>
    <row r="274">
      <c r="A274" t="n">
        <v>273</v>
      </c>
      <c r="B274" t="n">
        <v>0</v>
      </c>
      <c r="C274" t="n">
        <v>59243</v>
      </c>
      <c r="D274" t="n">
        <v>223576</v>
      </c>
      <c r="E274" t="n">
        <v>3147497</v>
      </c>
      <c r="F274" t="n">
        <v>43478114</v>
      </c>
      <c r="G274" t="n">
        <v>585280915</v>
      </c>
      <c r="H274" t="n">
        <v>7705186119</v>
      </c>
      <c r="I274" t="n">
        <v>98912931595</v>
      </c>
      <c r="J274" t="n">
        <v>2000</v>
      </c>
      <c r="K274" t="n">
        <v>40752</v>
      </c>
      <c r="L274" t="n">
        <v>2500</v>
      </c>
      <c r="M274" t="n">
        <v>1100</v>
      </c>
      <c r="N274" t="n">
        <v>2365</v>
      </c>
      <c r="O274" t="n">
        <v>3730</v>
      </c>
      <c r="P274" t="n">
        <v>5095</v>
      </c>
      <c r="Q274" t="n">
        <v>6460</v>
      </c>
      <c r="R274" t="n">
        <v>7825</v>
      </c>
      <c r="S274" t="n">
        <v>9190</v>
      </c>
      <c r="T274" t="n">
        <v>10555</v>
      </c>
      <c r="U274" t="n">
        <v>11920</v>
      </c>
      <c r="V274" t="n">
        <v>6493</v>
      </c>
      <c r="W274" t="n">
        <v>2092</v>
      </c>
      <c r="X274" t="n">
        <v>1819</v>
      </c>
      <c r="Y274" t="n">
        <v>8530</v>
      </c>
    </row>
    <row r="275">
      <c r="A275" t="n">
        <v>274</v>
      </c>
      <c r="B275" t="n">
        <v>0</v>
      </c>
      <c r="C275" t="n">
        <v>60132</v>
      </c>
      <c r="D275" t="n">
        <v>228048</v>
      </c>
      <c r="E275" t="n">
        <v>3241922</v>
      </c>
      <c r="F275" t="n">
        <v>45217239</v>
      </c>
      <c r="G275" t="n">
        <v>614544961</v>
      </c>
      <c r="H275" t="n">
        <v>8167497287</v>
      </c>
      <c r="I275" t="n">
        <v>105836836807</v>
      </c>
      <c r="J275" t="n">
        <v>2000</v>
      </c>
      <c r="K275" t="n">
        <v>41160</v>
      </c>
      <c r="L275" t="n">
        <v>2500</v>
      </c>
      <c r="M275" t="n">
        <v>1100</v>
      </c>
      <c r="N275" t="n">
        <v>2370</v>
      </c>
      <c r="O275" t="n">
        <v>3740</v>
      </c>
      <c r="P275" t="n">
        <v>5110</v>
      </c>
      <c r="Q275" t="n">
        <v>6480</v>
      </c>
      <c r="R275" t="n">
        <v>7850</v>
      </c>
      <c r="S275" t="n">
        <v>9220</v>
      </c>
      <c r="T275" t="n">
        <v>10590</v>
      </c>
      <c r="U275" t="n">
        <v>11960</v>
      </c>
      <c r="V275" t="n">
        <v>6530</v>
      </c>
      <c r="W275" t="n">
        <v>2096</v>
      </c>
      <c r="X275" t="n">
        <v>1822</v>
      </c>
      <c r="Y275" t="n">
        <v>8540</v>
      </c>
    </row>
    <row r="276">
      <c r="A276" t="n">
        <v>275</v>
      </c>
      <c r="B276" t="n">
        <v>0</v>
      </c>
      <c r="C276" t="n">
        <v>61034</v>
      </c>
      <c r="D276" t="n">
        <v>232609</v>
      </c>
      <c r="E276" t="n">
        <v>3339180</v>
      </c>
      <c r="F276" t="n">
        <v>47025929</v>
      </c>
      <c r="G276" t="n">
        <v>645272210</v>
      </c>
      <c r="H276" t="n">
        <v>8657547125</v>
      </c>
      <c r="I276" t="n">
        <v>113245415384</v>
      </c>
      <c r="J276" t="n">
        <v>2000</v>
      </c>
      <c r="K276" t="n">
        <v>41572</v>
      </c>
      <c r="L276" t="n">
        <v>2500</v>
      </c>
      <c r="M276" t="n">
        <v>1100</v>
      </c>
      <c r="N276" t="n">
        <v>2375</v>
      </c>
      <c r="O276" t="n">
        <v>3750</v>
      </c>
      <c r="P276" t="n">
        <v>5125</v>
      </c>
      <c r="Q276" t="n">
        <v>6500</v>
      </c>
      <c r="R276" t="n">
        <v>7875</v>
      </c>
      <c r="S276" t="n">
        <v>9250</v>
      </c>
      <c r="T276" t="n">
        <v>10625</v>
      </c>
      <c r="U276" t="n">
        <v>12000</v>
      </c>
      <c r="V276" t="n">
        <v>6567</v>
      </c>
      <c r="W276" t="n">
        <v>2100</v>
      </c>
      <c r="X276" t="n">
        <v>1825</v>
      </c>
      <c r="Y276" t="n">
        <v>8550</v>
      </c>
    </row>
    <row r="277">
      <c r="A277" t="n">
        <v>276</v>
      </c>
      <c r="B277" t="n">
        <v>0</v>
      </c>
      <c r="C277" t="n">
        <v>61950</v>
      </c>
      <c r="D277" t="n">
        <v>237262</v>
      </c>
      <c r="E277" t="n">
        <v>3439356</v>
      </c>
      <c r="F277" t="n">
        <v>48906967</v>
      </c>
      <c r="G277" t="n">
        <v>677535821</v>
      </c>
      <c r="H277" t="n">
        <v>9176999953</v>
      </c>
      <c r="I277" t="n">
        <v>121172594461</v>
      </c>
      <c r="J277" t="n">
        <v>2000</v>
      </c>
      <c r="K277" t="n">
        <v>41988</v>
      </c>
      <c r="L277" t="n">
        <v>2500</v>
      </c>
      <c r="M277" t="n">
        <v>1100</v>
      </c>
      <c r="N277" t="n">
        <v>2380</v>
      </c>
      <c r="O277" t="n">
        <v>3760</v>
      </c>
      <c r="P277" t="n">
        <v>5140</v>
      </c>
      <c r="Q277" t="n">
        <v>6520</v>
      </c>
      <c r="R277" t="n">
        <v>7900</v>
      </c>
      <c r="S277" t="n">
        <v>9280</v>
      </c>
      <c r="T277" t="n">
        <v>10660</v>
      </c>
      <c r="U277" t="n">
        <v>12040</v>
      </c>
      <c r="V277" t="n">
        <v>6604</v>
      </c>
      <c r="W277" t="n">
        <v>2104</v>
      </c>
      <c r="X277" t="n">
        <v>1828</v>
      </c>
      <c r="Y277" t="n">
        <v>8560</v>
      </c>
    </row>
    <row r="278">
      <c r="A278" t="n">
        <v>277</v>
      </c>
      <c r="B278" t="n">
        <v>0</v>
      </c>
      <c r="C278" t="n">
        <v>62880</v>
      </c>
      <c r="D278" t="n">
        <v>242008</v>
      </c>
      <c r="E278" t="n">
        <v>3542537</v>
      </c>
      <c r="F278" t="n">
        <v>50863246</v>
      </c>
      <c r="G278" t="n">
        <v>711412613</v>
      </c>
      <c r="H278" t="n">
        <v>9727619951</v>
      </c>
      <c r="I278" t="n">
        <v>129654676074</v>
      </c>
      <c r="J278" t="n">
        <v>2000</v>
      </c>
      <c r="K278" t="n">
        <v>42408</v>
      </c>
      <c r="L278" t="n">
        <v>2500</v>
      </c>
      <c r="M278" t="n">
        <v>1100</v>
      </c>
      <c r="N278" t="n">
        <v>2385</v>
      </c>
      <c r="O278" t="n">
        <v>3770</v>
      </c>
      <c r="P278" t="n">
        <v>5155</v>
      </c>
      <c r="Q278" t="n">
        <v>6540</v>
      </c>
      <c r="R278" t="n">
        <v>7925</v>
      </c>
      <c r="S278" t="n">
        <v>9310</v>
      </c>
      <c r="T278" t="n">
        <v>10695</v>
      </c>
      <c r="U278" t="n">
        <v>12080</v>
      </c>
      <c r="V278" t="n">
        <v>6642</v>
      </c>
      <c r="W278" t="n">
        <v>2108</v>
      </c>
      <c r="X278" t="n">
        <v>1831</v>
      </c>
      <c r="Y278" t="n">
        <v>8570</v>
      </c>
    </row>
    <row r="279">
      <c r="A279" t="n">
        <v>278</v>
      </c>
      <c r="B279" t="n">
        <v>0</v>
      </c>
      <c r="C279" t="n">
        <v>63824</v>
      </c>
      <c r="D279" t="n">
        <v>246849</v>
      </c>
      <c r="E279" t="n">
        <v>3648814</v>
      </c>
      <c r="F279" t="n">
        <v>52897776</v>
      </c>
      <c r="G279" t="n">
        <v>746983244</v>
      </c>
      <c r="H279" t="n">
        <v>10311277149</v>
      </c>
      <c r="I279" t="n">
        <v>138730503400</v>
      </c>
      <c r="J279" t="n">
        <v>2000</v>
      </c>
      <c r="K279" t="n">
        <v>42833</v>
      </c>
      <c r="L279" t="n">
        <v>2500</v>
      </c>
      <c r="M279" t="n">
        <v>1100</v>
      </c>
      <c r="N279" t="n">
        <v>2390</v>
      </c>
      <c r="O279" t="n">
        <v>3780</v>
      </c>
      <c r="P279" t="n">
        <v>5170</v>
      </c>
      <c r="Q279" t="n">
        <v>6560</v>
      </c>
      <c r="R279" t="n">
        <v>7950</v>
      </c>
      <c r="S279" t="n">
        <v>9340</v>
      </c>
      <c r="T279" t="n">
        <v>10730</v>
      </c>
      <c r="U279" t="n">
        <v>12120</v>
      </c>
      <c r="V279" t="n">
        <v>6680</v>
      </c>
      <c r="W279" t="n">
        <v>2112</v>
      </c>
      <c r="X279" t="n">
        <v>1834</v>
      </c>
      <c r="Y279" t="n">
        <v>8580</v>
      </c>
    </row>
    <row r="280">
      <c r="A280" t="n">
        <v>279</v>
      </c>
      <c r="B280" t="n">
        <v>0</v>
      </c>
      <c r="C280" t="n">
        <v>64782</v>
      </c>
      <c r="D280" t="n">
        <v>251786</v>
      </c>
      <c r="E280" t="n">
        <v>3758279</v>
      </c>
      <c r="F280" t="n">
        <v>55013688</v>
      </c>
      <c r="G280" t="n">
        <v>784332407</v>
      </c>
      <c r="H280" t="n">
        <v>10929953778</v>
      </c>
      <c r="I280" t="n">
        <v>148441638638</v>
      </c>
      <c r="J280" t="n">
        <v>2000</v>
      </c>
      <c r="K280" t="n">
        <v>43262</v>
      </c>
      <c r="L280" t="n">
        <v>2500</v>
      </c>
      <c r="M280" t="n">
        <v>1100</v>
      </c>
      <c r="N280" t="n">
        <v>2395</v>
      </c>
      <c r="O280" t="n">
        <v>3790</v>
      </c>
      <c r="P280" t="n">
        <v>5185</v>
      </c>
      <c r="Q280" t="n">
        <v>6580</v>
      </c>
      <c r="R280" t="n">
        <v>7975</v>
      </c>
      <c r="S280" t="n">
        <v>9370</v>
      </c>
      <c r="T280" t="n">
        <v>10765</v>
      </c>
      <c r="U280" t="n">
        <v>12160</v>
      </c>
      <c r="V280" t="n">
        <v>6718</v>
      </c>
      <c r="W280" t="n">
        <v>2116</v>
      </c>
      <c r="X280" t="n">
        <v>1837</v>
      </c>
      <c r="Y280" t="n">
        <v>8590</v>
      </c>
    </row>
    <row r="281">
      <c r="A281" t="n">
        <v>280</v>
      </c>
      <c r="B281" t="n">
        <v>0</v>
      </c>
      <c r="C281" t="n">
        <v>65754</v>
      </c>
      <c r="D281" t="n">
        <v>256822</v>
      </c>
      <c r="E281" t="n">
        <v>3871028</v>
      </c>
      <c r="F281" t="n">
        <v>57214236</v>
      </c>
      <c r="G281" t="n">
        <v>823549028</v>
      </c>
      <c r="H281" t="n">
        <v>11585751005</v>
      </c>
      <c r="I281" t="n">
        <v>158832553343</v>
      </c>
      <c r="J281" t="n">
        <v>2000</v>
      </c>
      <c r="K281" t="n">
        <v>43695</v>
      </c>
      <c r="L281" t="n">
        <v>2500</v>
      </c>
      <c r="M281" t="n">
        <v>1100</v>
      </c>
      <c r="N281" t="n">
        <v>2400</v>
      </c>
      <c r="O281" t="n">
        <v>3800</v>
      </c>
      <c r="P281" t="n">
        <v>5200</v>
      </c>
      <c r="Q281" t="n">
        <v>6600</v>
      </c>
      <c r="R281" t="n">
        <v>8000</v>
      </c>
      <c r="S281" t="n">
        <v>9400</v>
      </c>
      <c r="T281" t="n">
        <v>10800</v>
      </c>
      <c r="U281" t="n">
        <v>12200</v>
      </c>
      <c r="V281" t="n">
        <v>6756</v>
      </c>
      <c r="W281" t="n">
        <v>2120</v>
      </c>
      <c r="X281" t="n">
        <v>1840</v>
      </c>
      <c r="Y281" t="n">
        <v>8600</v>
      </c>
    </row>
    <row r="282">
      <c r="A282" t="n">
        <v>281</v>
      </c>
      <c r="B282" t="n">
        <v>0</v>
      </c>
      <c r="C282" t="n">
        <v>66741</v>
      </c>
      <c r="D282" t="n">
        <v>261959</v>
      </c>
      <c r="E282" t="n">
        <v>3987159</v>
      </c>
      <c r="F282" t="n">
        <v>59502806</v>
      </c>
      <c r="G282" t="n">
        <v>864726480</v>
      </c>
      <c r="H282" t="n">
        <v>12280896066</v>
      </c>
      <c r="I282" t="n">
        <v>169950832078</v>
      </c>
      <c r="J282" t="n">
        <v>2000</v>
      </c>
      <c r="K282" t="n">
        <v>44132</v>
      </c>
      <c r="L282" t="n">
        <v>2500</v>
      </c>
      <c r="M282" t="n">
        <v>1100</v>
      </c>
      <c r="N282" t="n">
        <v>2405</v>
      </c>
      <c r="O282" t="n">
        <v>3810</v>
      </c>
      <c r="P282" t="n">
        <v>5215</v>
      </c>
      <c r="Q282" t="n">
        <v>6620</v>
      </c>
      <c r="R282" t="n">
        <v>8025</v>
      </c>
      <c r="S282" t="n">
        <v>9430</v>
      </c>
      <c r="T282" t="n">
        <v>10835</v>
      </c>
      <c r="U282" t="n">
        <v>12240</v>
      </c>
      <c r="V282" t="n">
        <v>6794</v>
      </c>
      <c r="W282" t="n">
        <v>2124</v>
      </c>
      <c r="X282" t="n">
        <v>1843</v>
      </c>
      <c r="Y282" t="n">
        <v>8610</v>
      </c>
    </row>
    <row r="283">
      <c r="A283" t="n">
        <v>282</v>
      </c>
      <c r="B283" t="n">
        <v>0</v>
      </c>
      <c r="C283" t="n">
        <v>67743</v>
      </c>
      <c r="D283" t="n">
        <v>267199</v>
      </c>
      <c r="E283" t="n">
        <v>4106774</v>
      </c>
      <c r="F283" t="n">
        <v>61882919</v>
      </c>
      <c r="G283" t="n">
        <v>907962804</v>
      </c>
      <c r="H283" t="n">
        <v>13017749830</v>
      </c>
      <c r="I283" t="n">
        <v>181847390324</v>
      </c>
      <c r="J283" t="n">
        <v>2000</v>
      </c>
      <c r="K283" t="n">
        <v>44574</v>
      </c>
      <c r="L283" t="n">
        <v>2500</v>
      </c>
      <c r="M283" t="n">
        <v>1100</v>
      </c>
      <c r="N283" t="n">
        <v>2410</v>
      </c>
      <c r="O283" t="n">
        <v>3820</v>
      </c>
      <c r="P283" t="n">
        <v>5230</v>
      </c>
      <c r="Q283" t="n">
        <v>6640</v>
      </c>
      <c r="R283" t="n">
        <v>8050</v>
      </c>
      <c r="S283" t="n">
        <v>9460</v>
      </c>
      <c r="T283" t="n">
        <v>10870</v>
      </c>
      <c r="U283" t="n">
        <v>12280</v>
      </c>
      <c r="V283" t="n">
        <v>6832</v>
      </c>
      <c r="W283" t="n">
        <v>2128</v>
      </c>
      <c r="X283" t="n">
        <v>1846</v>
      </c>
      <c r="Y283" t="n">
        <v>8620</v>
      </c>
    </row>
    <row r="284">
      <c r="A284" t="n">
        <v>283</v>
      </c>
      <c r="B284" t="n">
        <v>0</v>
      </c>
      <c r="C284" t="n">
        <v>68760</v>
      </c>
      <c r="D284" t="n">
        <v>272543</v>
      </c>
      <c r="E284" t="n">
        <v>4229978</v>
      </c>
      <c r="F284" t="n">
        <v>64358236</v>
      </c>
      <c r="G284" t="n">
        <v>953360945</v>
      </c>
      <c r="H284" t="n">
        <v>13798814820</v>
      </c>
      <c r="I284" t="n">
        <v>194576707647</v>
      </c>
      <c r="J284" t="n">
        <v>2000</v>
      </c>
      <c r="K284" t="n">
        <v>45020</v>
      </c>
      <c r="L284" t="n">
        <v>2500</v>
      </c>
      <c r="M284" t="n">
        <v>1100</v>
      </c>
      <c r="N284" t="n">
        <v>2415</v>
      </c>
      <c r="O284" t="n">
        <v>3830</v>
      </c>
      <c r="P284" t="n">
        <v>5245</v>
      </c>
      <c r="Q284" t="n">
        <v>6660</v>
      </c>
      <c r="R284" t="n">
        <v>8075</v>
      </c>
      <c r="S284" t="n">
        <v>9490</v>
      </c>
      <c r="T284" t="n">
        <v>10905</v>
      </c>
      <c r="U284" t="n">
        <v>12320</v>
      </c>
      <c r="V284" t="n">
        <v>6871</v>
      </c>
      <c r="W284" t="n">
        <v>2132</v>
      </c>
      <c r="X284" t="n">
        <v>1849</v>
      </c>
      <c r="Y284" t="n">
        <v>8630</v>
      </c>
    </row>
    <row r="285">
      <c r="A285" t="n">
        <v>284</v>
      </c>
      <c r="B285" t="n">
        <v>0</v>
      </c>
      <c r="C285" t="n">
        <v>69792</v>
      </c>
      <c r="D285" t="n">
        <v>277994</v>
      </c>
      <c r="E285" t="n">
        <v>4356878</v>
      </c>
      <c r="F285" t="n">
        <v>66932566</v>
      </c>
      <c r="G285" t="n">
        <v>1001028993</v>
      </c>
      <c r="H285" t="n">
        <v>14626743710</v>
      </c>
      <c r="I285" t="n">
        <v>208197077183</v>
      </c>
      <c r="J285" t="n">
        <v>2000</v>
      </c>
      <c r="K285" t="n">
        <v>45471</v>
      </c>
      <c r="L285" t="n">
        <v>2500</v>
      </c>
      <c r="M285" t="n">
        <v>1100</v>
      </c>
      <c r="N285" t="n">
        <v>2420</v>
      </c>
      <c r="O285" t="n">
        <v>3840</v>
      </c>
      <c r="P285" t="n">
        <v>5260</v>
      </c>
      <c r="Q285" t="n">
        <v>6680</v>
      </c>
      <c r="R285" t="n">
        <v>8100</v>
      </c>
      <c r="S285" t="n">
        <v>9520</v>
      </c>
      <c r="T285" t="n">
        <v>10940</v>
      </c>
      <c r="U285" t="n">
        <v>12360</v>
      </c>
      <c r="V285" t="n">
        <v>6910</v>
      </c>
      <c r="W285" t="n">
        <v>2136</v>
      </c>
      <c r="X285" t="n">
        <v>1852</v>
      </c>
      <c r="Y285" t="n">
        <v>8640</v>
      </c>
    </row>
    <row r="286">
      <c r="A286" t="n">
        <v>285</v>
      </c>
      <c r="B286" t="n">
        <v>0</v>
      </c>
      <c r="C286" t="n">
        <v>70839</v>
      </c>
      <c r="D286" t="n">
        <v>283554</v>
      </c>
      <c r="E286" t="n">
        <v>4487585</v>
      </c>
      <c r="F286" t="n">
        <v>69609869</v>
      </c>
      <c r="G286" t="n">
        <v>1051080443</v>
      </c>
      <c r="H286" t="n">
        <v>15504348333</v>
      </c>
      <c r="I286" t="n">
        <v>222770872586</v>
      </c>
      <c r="J286" t="n">
        <v>2000</v>
      </c>
      <c r="K286" t="n">
        <v>45926</v>
      </c>
      <c r="L286" t="n">
        <v>2500</v>
      </c>
      <c r="M286" t="n">
        <v>1100</v>
      </c>
      <c r="N286" t="n">
        <v>2425</v>
      </c>
      <c r="O286" t="n">
        <v>3850</v>
      </c>
      <c r="P286" t="n">
        <v>5275</v>
      </c>
      <c r="Q286" t="n">
        <v>6700</v>
      </c>
      <c r="R286" t="n">
        <v>8125</v>
      </c>
      <c r="S286" t="n">
        <v>9550</v>
      </c>
      <c r="T286" t="n">
        <v>10975</v>
      </c>
      <c r="U286" t="n">
        <v>12400</v>
      </c>
      <c r="V286" t="n">
        <v>6949</v>
      </c>
      <c r="W286" t="n">
        <v>2140</v>
      </c>
      <c r="X286" t="n">
        <v>1855</v>
      </c>
      <c r="Y286" t="n">
        <v>8650</v>
      </c>
    </row>
    <row r="287">
      <c r="A287" t="n">
        <v>286</v>
      </c>
      <c r="B287" t="n">
        <v>0</v>
      </c>
      <c r="C287" t="n">
        <v>71902</v>
      </c>
      <c r="D287" t="n">
        <v>289226</v>
      </c>
      <c r="E287" t="n">
        <v>4622213</v>
      </c>
      <c r="F287" t="n">
        <v>72394264</v>
      </c>
      <c r="G287" t="n">
        <v>1103634466</v>
      </c>
      <c r="H287" t="n">
        <v>16434609233</v>
      </c>
      <c r="I287" t="n">
        <v>238364833668</v>
      </c>
      <c r="J287" t="n">
        <v>2000</v>
      </c>
      <c r="K287" t="n">
        <v>46386</v>
      </c>
      <c r="L287" t="n">
        <v>2500</v>
      </c>
      <c r="M287" t="n">
        <v>1100</v>
      </c>
      <c r="N287" t="n">
        <v>2430</v>
      </c>
      <c r="O287" t="n">
        <v>3860</v>
      </c>
      <c r="P287" t="n">
        <v>5290</v>
      </c>
      <c r="Q287" t="n">
        <v>6720</v>
      </c>
      <c r="R287" t="n">
        <v>8150</v>
      </c>
      <c r="S287" t="n">
        <v>9580</v>
      </c>
      <c r="T287" t="n">
        <v>11010</v>
      </c>
      <c r="U287" t="n">
        <v>12440</v>
      </c>
      <c r="V287" t="n">
        <v>6988</v>
      </c>
      <c r="W287" t="n">
        <v>2144</v>
      </c>
      <c r="X287" t="n">
        <v>1858</v>
      </c>
      <c r="Y287" t="n">
        <v>8660</v>
      </c>
    </row>
    <row r="288">
      <c r="A288" t="n">
        <v>287</v>
      </c>
      <c r="B288" t="n">
        <v>0</v>
      </c>
      <c r="C288" t="n">
        <v>72981</v>
      </c>
      <c r="D288" t="n">
        <v>295011</v>
      </c>
      <c r="E288" t="n">
        <v>4760880</v>
      </c>
      <c r="F288" t="n">
        <v>75290035</v>
      </c>
      <c r="G288" t="n">
        <v>1158816190</v>
      </c>
      <c r="H288" t="n">
        <v>17420685787</v>
      </c>
      <c r="I288" t="n">
        <v>255050372025</v>
      </c>
      <c r="J288" t="n">
        <v>2000</v>
      </c>
      <c r="K288" t="n">
        <v>46850</v>
      </c>
      <c r="L288" t="n">
        <v>2500</v>
      </c>
      <c r="M288" t="n">
        <v>1100</v>
      </c>
      <c r="N288" t="n">
        <v>2435</v>
      </c>
      <c r="O288" t="n">
        <v>3870</v>
      </c>
      <c r="P288" t="n">
        <v>5305</v>
      </c>
      <c r="Q288" t="n">
        <v>6740</v>
      </c>
      <c r="R288" t="n">
        <v>8175</v>
      </c>
      <c r="S288" t="n">
        <v>9610</v>
      </c>
      <c r="T288" t="n">
        <v>11045</v>
      </c>
      <c r="U288" t="n">
        <v>12480</v>
      </c>
      <c r="V288" t="n">
        <v>7027</v>
      </c>
      <c r="W288" t="n">
        <v>2148</v>
      </c>
      <c r="X288" t="n">
        <v>1861</v>
      </c>
      <c r="Y288" t="n">
        <v>8670</v>
      </c>
    </row>
    <row r="289">
      <c r="A289" t="n">
        <v>288</v>
      </c>
      <c r="B289" t="n">
        <v>0</v>
      </c>
      <c r="C289" t="n">
        <v>74076</v>
      </c>
      <c r="D289" t="n">
        <v>300912</v>
      </c>
      <c r="E289" t="n">
        <v>4903707</v>
      </c>
      <c r="F289" t="n">
        <v>78301637</v>
      </c>
      <c r="G289" t="n">
        <v>1216757000</v>
      </c>
      <c r="H289" t="n">
        <v>18465926935</v>
      </c>
      <c r="I289" t="n">
        <v>272903898067</v>
      </c>
      <c r="J289" t="n">
        <v>2000</v>
      </c>
      <c r="K289" t="n">
        <v>47319</v>
      </c>
      <c r="L289" t="n">
        <v>2500</v>
      </c>
      <c r="M289" t="n">
        <v>1100</v>
      </c>
      <c r="N289" t="n">
        <v>2440</v>
      </c>
      <c r="O289" t="n">
        <v>3880</v>
      </c>
      <c r="P289" t="n">
        <v>5320</v>
      </c>
      <c r="Q289" t="n">
        <v>6760</v>
      </c>
      <c r="R289" t="n">
        <v>8200</v>
      </c>
      <c r="S289" t="n">
        <v>9640</v>
      </c>
      <c r="T289" t="n">
        <v>11080</v>
      </c>
      <c r="U289" t="n">
        <v>12520</v>
      </c>
      <c r="V289" t="n">
        <v>7067</v>
      </c>
      <c r="W289" t="n">
        <v>2152</v>
      </c>
      <c r="X289" t="n">
        <v>1864</v>
      </c>
      <c r="Y289" t="n">
        <v>8680</v>
      </c>
    </row>
    <row r="290">
      <c r="A290" t="n">
        <v>289</v>
      </c>
      <c r="B290" t="n">
        <v>0</v>
      </c>
      <c r="C290" t="n">
        <v>75188</v>
      </c>
      <c r="D290" t="n">
        <v>306931</v>
      </c>
      <c r="E290" t="n">
        <v>5050819</v>
      </c>
      <c r="F290" t="n">
        <v>81433703</v>
      </c>
      <c r="G290" t="n">
        <v>1277594850</v>
      </c>
      <c r="H290" t="n">
        <v>19573882552</v>
      </c>
      <c r="I290" t="n">
        <v>292007170932</v>
      </c>
      <c r="J290" t="n">
        <v>2000</v>
      </c>
      <c r="K290" t="n">
        <v>47793</v>
      </c>
      <c r="L290" t="n">
        <v>2500</v>
      </c>
      <c r="M290" t="n">
        <v>1100</v>
      </c>
      <c r="N290" t="n">
        <v>2445</v>
      </c>
      <c r="O290" t="n">
        <v>3890</v>
      </c>
      <c r="P290" t="n">
        <v>5335</v>
      </c>
      <c r="Q290" t="n">
        <v>6780</v>
      </c>
      <c r="R290" t="n">
        <v>8225</v>
      </c>
      <c r="S290" t="n">
        <v>9670</v>
      </c>
      <c r="T290" t="n">
        <v>11115</v>
      </c>
      <c r="U290" t="n">
        <v>12560</v>
      </c>
      <c r="V290" t="n">
        <v>7107</v>
      </c>
      <c r="W290" t="n">
        <v>2156</v>
      </c>
      <c r="X290" t="n">
        <v>1867</v>
      </c>
      <c r="Y290" t="n">
        <v>8690</v>
      </c>
    </row>
    <row r="291">
      <c r="A291" t="n">
        <v>290</v>
      </c>
      <c r="B291" t="n">
        <v>0</v>
      </c>
      <c r="C291" t="n">
        <v>76316</v>
      </c>
      <c r="D291" t="n">
        <v>313070</v>
      </c>
      <c r="E291" t="n">
        <v>5202344</v>
      </c>
      <c r="F291" t="n">
        <v>84691052</v>
      </c>
      <c r="G291" t="n">
        <v>1341474593</v>
      </c>
      <c r="H291" t="n">
        <v>20748315506</v>
      </c>
      <c r="I291" t="n">
        <v>312447672898</v>
      </c>
      <c r="J291" t="n">
        <v>2000</v>
      </c>
      <c r="K291" t="n">
        <v>48271</v>
      </c>
      <c r="L291" t="n">
        <v>2500</v>
      </c>
      <c r="M291" t="n">
        <v>1100</v>
      </c>
      <c r="N291" t="n">
        <v>2450</v>
      </c>
      <c r="O291" t="n">
        <v>3900</v>
      </c>
      <c r="P291" t="n">
        <v>5350</v>
      </c>
      <c r="Q291" t="n">
        <v>6800</v>
      </c>
      <c r="R291" t="n">
        <v>8250</v>
      </c>
      <c r="S291" t="n">
        <v>9700</v>
      </c>
      <c r="T291" t="n">
        <v>11150</v>
      </c>
      <c r="U291" t="n">
        <v>12600</v>
      </c>
      <c r="V291" t="n">
        <v>7147</v>
      </c>
      <c r="W291" t="n">
        <v>2160</v>
      </c>
      <c r="X291" t="n">
        <v>1870</v>
      </c>
      <c r="Y291" t="n">
        <v>8700</v>
      </c>
    </row>
    <row r="292">
      <c r="A292" t="n">
        <v>291</v>
      </c>
      <c r="B292" t="n">
        <v>0</v>
      </c>
      <c r="C292" t="n">
        <v>77461</v>
      </c>
      <c r="D292" t="n">
        <v>319332</v>
      </c>
      <c r="E292" t="n">
        <v>5358415</v>
      </c>
      <c r="F292" t="n">
        <v>88078695</v>
      </c>
      <c r="G292" t="n">
        <v>1408548323</v>
      </c>
      <c r="H292" t="n">
        <v>21993214437</v>
      </c>
      <c r="I292" t="n">
        <v>334319010001</v>
      </c>
      <c r="J292" t="n">
        <v>2000</v>
      </c>
      <c r="K292" t="n">
        <v>48754</v>
      </c>
      <c r="L292" t="n">
        <v>2500</v>
      </c>
      <c r="M292" t="n">
        <v>1100</v>
      </c>
      <c r="N292" t="n">
        <v>2455</v>
      </c>
      <c r="O292" t="n">
        <v>3910</v>
      </c>
      <c r="P292" t="n">
        <v>5365</v>
      </c>
      <c r="Q292" t="n">
        <v>6820</v>
      </c>
      <c r="R292" t="n">
        <v>8275</v>
      </c>
      <c r="S292" t="n">
        <v>9730</v>
      </c>
      <c r="T292" t="n">
        <v>11185</v>
      </c>
      <c r="U292" t="n">
        <v>12640</v>
      </c>
      <c r="V292" t="n">
        <v>7187</v>
      </c>
      <c r="W292" t="n">
        <v>2164</v>
      </c>
      <c r="X292" t="n">
        <v>1873</v>
      </c>
      <c r="Y292" t="n">
        <v>8710</v>
      </c>
    </row>
    <row r="293">
      <c r="A293" t="n">
        <v>292</v>
      </c>
      <c r="B293" t="n">
        <v>0</v>
      </c>
      <c r="C293" t="n">
        <v>78623</v>
      </c>
      <c r="D293" t="n">
        <v>325719</v>
      </c>
      <c r="E293" t="n">
        <v>5519168</v>
      </c>
      <c r="F293" t="n">
        <v>91601843</v>
      </c>
      <c r="G293" t="n">
        <v>1478975740</v>
      </c>
      <c r="H293" t="n">
        <v>23312807304</v>
      </c>
      <c r="I293" t="n">
        <v>357721340702</v>
      </c>
      <c r="J293" t="n">
        <v>2000</v>
      </c>
      <c r="K293" t="n">
        <v>49242</v>
      </c>
      <c r="L293" t="n">
        <v>2500</v>
      </c>
      <c r="M293" t="n">
        <v>1100</v>
      </c>
      <c r="N293" t="n">
        <v>2460</v>
      </c>
      <c r="O293" t="n">
        <v>3920</v>
      </c>
      <c r="P293" t="n">
        <v>5380</v>
      </c>
      <c r="Q293" t="n">
        <v>6840</v>
      </c>
      <c r="R293" t="n">
        <v>8300</v>
      </c>
      <c r="S293" t="n">
        <v>9760</v>
      </c>
      <c r="T293" t="n">
        <v>11220</v>
      </c>
      <c r="U293" t="n">
        <v>12680</v>
      </c>
      <c r="V293" t="n">
        <v>7227</v>
      </c>
      <c r="W293" t="n">
        <v>2168</v>
      </c>
      <c r="X293" t="n">
        <v>1876</v>
      </c>
      <c r="Y293" t="n">
        <v>8720</v>
      </c>
    </row>
    <row r="294">
      <c r="A294" t="n">
        <v>293</v>
      </c>
      <c r="B294" t="n">
        <v>0</v>
      </c>
      <c r="C294" t="n">
        <v>79803</v>
      </c>
      <c r="D294" t="n">
        <v>332234</v>
      </c>
      <c r="E294" t="n">
        <v>5684744</v>
      </c>
      <c r="F294" t="n">
        <v>95265917</v>
      </c>
      <c r="G294" t="n">
        <v>1552924527</v>
      </c>
      <c r="H294" t="n">
        <v>24711575743</v>
      </c>
      <c r="I294" t="n">
        <v>382761834552</v>
      </c>
      <c r="J294" t="n">
        <v>2000</v>
      </c>
      <c r="K294" t="n">
        <v>49735</v>
      </c>
      <c r="L294" t="n">
        <v>2500</v>
      </c>
      <c r="M294" t="n">
        <v>1100</v>
      </c>
      <c r="N294" t="n">
        <v>2465</v>
      </c>
      <c r="O294" t="n">
        <v>3930</v>
      </c>
      <c r="P294" t="n">
        <v>5395</v>
      </c>
      <c r="Q294" t="n">
        <v>6860</v>
      </c>
      <c r="R294" t="n">
        <v>8325</v>
      </c>
      <c r="S294" t="n">
        <v>9790</v>
      </c>
      <c r="T294" t="n">
        <v>11255</v>
      </c>
      <c r="U294" t="n">
        <v>12720</v>
      </c>
      <c r="V294" t="n">
        <v>7268</v>
      </c>
      <c r="W294" t="n">
        <v>2172</v>
      </c>
      <c r="X294" t="n">
        <v>1879</v>
      </c>
      <c r="Y294" t="n">
        <v>8730</v>
      </c>
    </row>
    <row r="295">
      <c r="A295" t="n">
        <v>294</v>
      </c>
      <c r="B295" t="n">
        <v>0</v>
      </c>
      <c r="C295" t="n">
        <v>81001</v>
      </c>
      <c r="D295" t="n">
        <v>338879</v>
      </c>
      <c r="E295" t="n">
        <v>5855287</v>
      </c>
      <c r="F295" t="n">
        <v>99076554</v>
      </c>
      <c r="G295" t="n">
        <v>1630570754</v>
      </c>
      <c r="H295" t="n">
        <v>26194270288</v>
      </c>
      <c r="I295" t="n">
        <v>409555162971</v>
      </c>
      <c r="J295" t="n">
        <v>2000</v>
      </c>
      <c r="K295" t="n">
        <v>50233</v>
      </c>
      <c r="L295" t="n">
        <v>2500</v>
      </c>
      <c r="M295" t="n">
        <v>1100</v>
      </c>
      <c r="N295" t="n">
        <v>2470</v>
      </c>
      <c r="O295" t="n">
        <v>3940</v>
      </c>
      <c r="P295" t="n">
        <v>5410</v>
      </c>
      <c r="Q295" t="n">
        <v>6880</v>
      </c>
      <c r="R295" t="n">
        <v>8350</v>
      </c>
      <c r="S295" t="n">
        <v>9820</v>
      </c>
      <c r="T295" t="n">
        <v>11290</v>
      </c>
      <c r="U295" t="n">
        <v>12760</v>
      </c>
      <c r="V295" t="n">
        <v>7309</v>
      </c>
      <c r="W295" t="n">
        <v>2176</v>
      </c>
      <c r="X295" t="n">
        <v>1882</v>
      </c>
      <c r="Y295" t="n">
        <v>8740</v>
      </c>
    </row>
    <row r="296">
      <c r="A296" t="n">
        <v>295</v>
      </c>
      <c r="B296" t="n">
        <v>0</v>
      </c>
      <c r="C296" t="n">
        <v>82217</v>
      </c>
      <c r="D296" t="n">
        <v>345657</v>
      </c>
      <c r="E296" t="n">
        <v>6030946</v>
      </c>
      <c r="F296" t="n">
        <v>103039617</v>
      </c>
      <c r="G296" t="n">
        <v>1712099292</v>
      </c>
      <c r="H296" t="n">
        <v>27765926506</v>
      </c>
      <c r="I296" t="n">
        <v>438224024379</v>
      </c>
      <c r="J296" t="n">
        <v>2000</v>
      </c>
      <c r="K296" t="n">
        <v>50736</v>
      </c>
      <c r="L296" t="n">
        <v>2500</v>
      </c>
      <c r="M296" t="n">
        <v>1100</v>
      </c>
      <c r="N296" t="n">
        <v>2475</v>
      </c>
      <c r="O296" t="n">
        <v>3950</v>
      </c>
      <c r="P296" t="n">
        <v>5425</v>
      </c>
      <c r="Q296" t="n">
        <v>6900</v>
      </c>
      <c r="R296" t="n">
        <v>8375</v>
      </c>
      <c r="S296" t="n">
        <v>9850</v>
      </c>
      <c r="T296" t="n">
        <v>11325</v>
      </c>
      <c r="U296" t="n">
        <v>12800</v>
      </c>
      <c r="V296" t="n">
        <v>7350</v>
      </c>
      <c r="W296" t="n">
        <v>2180</v>
      </c>
      <c r="X296" t="n">
        <v>1885</v>
      </c>
      <c r="Y296" t="n">
        <v>8750</v>
      </c>
    </row>
    <row r="297">
      <c r="A297" t="n">
        <v>296</v>
      </c>
      <c r="B297" t="n">
        <v>0</v>
      </c>
      <c r="C297" t="n">
        <v>83451</v>
      </c>
      <c r="D297" t="n">
        <v>352571</v>
      </c>
      <c r="E297" t="n">
        <v>6211875</v>
      </c>
      <c r="F297" t="n">
        <v>107161202</v>
      </c>
      <c r="G297" t="n">
        <v>1797704257</v>
      </c>
      <c r="H297" t="n">
        <v>29431882097</v>
      </c>
      <c r="I297" t="n">
        <v>468899706086</v>
      </c>
      <c r="J297" t="n">
        <v>2000</v>
      </c>
      <c r="K297" t="n">
        <v>51244</v>
      </c>
      <c r="L297" t="n">
        <v>2500</v>
      </c>
      <c r="M297" t="n">
        <v>1100</v>
      </c>
      <c r="N297" t="n">
        <v>2480</v>
      </c>
      <c r="O297" t="n">
        <v>3960</v>
      </c>
      <c r="P297" t="n">
        <v>5440</v>
      </c>
      <c r="Q297" t="n">
        <v>6920</v>
      </c>
      <c r="R297" t="n">
        <v>8400</v>
      </c>
      <c r="S297" t="n">
        <v>9880</v>
      </c>
      <c r="T297" t="n">
        <v>11360</v>
      </c>
      <c r="U297" t="n">
        <v>12840</v>
      </c>
      <c r="V297" t="n">
        <v>7391</v>
      </c>
      <c r="W297" t="n">
        <v>2184</v>
      </c>
      <c r="X297" t="n">
        <v>1888</v>
      </c>
      <c r="Y297" t="n">
        <v>8760</v>
      </c>
    </row>
    <row r="298">
      <c r="A298" t="n">
        <v>297</v>
      </c>
      <c r="B298" t="n">
        <v>0</v>
      </c>
      <c r="C298" t="n">
        <v>84703</v>
      </c>
      <c r="D298" t="n">
        <v>359623</v>
      </c>
      <c r="E298" t="n">
        <v>6398232</v>
      </c>
      <c r="F298" t="n">
        <v>111447651</v>
      </c>
      <c r="G298" t="n">
        <v>1887589470</v>
      </c>
      <c r="H298" t="n">
        <v>31197795023</v>
      </c>
      <c r="I298" t="n">
        <v>501722685513</v>
      </c>
      <c r="J298" t="n">
        <v>2000</v>
      </c>
      <c r="K298" t="n">
        <v>51757</v>
      </c>
      <c r="L298" t="n">
        <v>2500</v>
      </c>
      <c r="M298" t="n">
        <v>1100</v>
      </c>
      <c r="N298" t="n">
        <v>2485</v>
      </c>
      <c r="O298" t="n">
        <v>3970</v>
      </c>
      <c r="P298" t="n">
        <v>5455</v>
      </c>
      <c r="Q298" t="n">
        <v>6940</v>
      </c>
      <c r="R298" t="n">
        <v>8425</v>
      </c>
      <c r="S298" t="n">
        <v>9910</v>
      </c>
      <c r="T298" t="n">
        <v>11395</v>
      </c>
      <c r="U298" t="n">
        <v>12880</v>
      </c>
      <c r="V298" t="n">
        <v>7432</v>
      </c>
      <c r="W298" t="n">
        <v>2188</v>
      </c>
      <c r="X298" t="n">
        <v>1891</v>
      </c>
      <c r="Y298" t="n">
        <v>8770</v>
      </c>
    </row>
    <row r="299">
      <c r="A299" t="n">
        <v>298</v>
      </c>
      <c r="B299" t="n">
        <v>0</v>
      </c>
      <c r="C299" t="n">
        <v>85974</v>
      </c>
      <c r="D299" t="n">
        <v>366816</v>
      </c>
      <c r="E299" t="n">
        <v>6590179</v>
      </c>
      <c r="F299" t="n">
        <v>115905558</v>
      </c>
      <c r="G299" t="n">
        <v>1981968944</v>
      </c>
      <c r="H299" t="n">
        <v>33069662725</v>
      </c>
      <c r="I299" t="n">
        <v>536843273499</v>
      </c>
      <c r="J299" t="n">
        <v>2000</v>
      </c>
      <c r="K299" t="n">
        <v>52275</v>
      </c>
      <c r="L299" t="n">
        <v>2500</v>
      </c>
      <c r="M299" t="n">
        <v>1100</v>
      </c>
      <c r="N299" t="n">
        <v>2490</v>
      </c>
      <c r="O299" t="n">
        <v>3980</v>
      </c>
      <c r="P299" t="n">
        <v>5470</v>
      </c>
      <c r="Q299" t="n">
        <v>6960</v>
      </c>
      <c r="R299" t="n">
        <v>8450</v>
      </c>
      <c r="S299" t="n">
        <v>9940</v>
      </c>
      <c r="T299" t="n">
        <v>11430</v>
      </c>
      <c r="U299" t="n">
        <v>12920</v>
      </c>
      <c r="V299" t="n">
        <v>7474</v>
      </c>
      <c r="W299" t="n">
        <v>2192</v>
      </c>
      <c r="X299" t="n">
        <v>1894</v>
      </c>
      <c r="Y299" t="n">
        <v>8780</v>
      </c>
    </row>
    <row r="300">
      <c r="A300" t="n">
        <v>299</v>
      </c>
      <c r="B300" t="n">
        <v>0</v>
      </c>
      <c r="C300" t="n">
        <v>87264</v>
      </c>
      <c r="D300" t="n">
        <v>374153</v>
      </c>
      <c r="E300" t="n">
        <v>6787885</v>
      </c>
      <c r="F300" t="n">
        <v>120541781</v>
      </c>
      <c r="G300" t="n">
        <v>2081067392</v>
      </c>
      <c r="H300" t="n">
        <v>35053842489</v>
      </c>
      <c r="I300" t="n">
        <v>574422302644</v>
      </c>
      <c r="J300" t="n">
        <v>2000</v>
      </c>
      <c r="K300" t="n">
        <v>52798</v>
      </c>
      <c r="L300" t="n">
        <v>2500</v>
      </c>
      <c r="M300" t="n">
        <v>1100</v>
      </c>
      <c r="N300" t="n">
        <v>2495</v>
      </c>
      <c r="O300" t="n">
        <v>3990</v>
      </c>
      <c r="P300" t="n">
        <v>5485</v>
      </c>
      <c r="Q300" t="n">
        <v>6980</v>
      </c>
      <c r="R300" t="n">
        <v>8475</v>
      </c>
      <c r="S300" t="n">
        <v>9970</v>
      </c>
      <c r="T300" t="n">
        <v>11465</v>
      </c>
      <c r="U300" t="n">
        <v>12960</v>
      </c>
      <c r="V300" t="n">
        <v>7516</v>
      </c>
      <c r="W300" t="n">
        <v>2196</v>
      </c>
      <c r="X300" t="n">
        <v>1897</v>
      </c>
      <c r="Y300" t="n">
        <v>8790</v>
      </c>
    </row>
    <row r="301">
      <c r="A301" t="n">
        <v>300</v>
      </c>
      <c r="B301" t="n">
        <v>0</v>
      </c>
      <c r="C301" t="n">
        <v>88573</v>
      </c>
      <c r="D301" t="n">
        <v>381637</v>
      </c>
      <c r="E301" t="n">
        <v>6991522</v>
      </c>
      <c r="F301" t="n">
        <v>125363453</v>
      </c>
      <c r="G301" t="n">
        <v>2185120762</v>
      </c>
      <c r="H301" t="n">
        <v>37157073039</v>
      </c>
      <c r="I301" t="n">
        <v>614631863830</v>
      </c>
      <c r="J301" t="n">
        <v>2000</v>
      </c>
      <c r="K301" t="n">
        <v>53326</v>
      </c>
      <c r="L301" t="n">
        <v>2500</v>
      </c>
      <c r="M301" t="n">
        <v>1100</v>
      </c>
      <c r="N301" t="n">
        <v>2500</v>
      </c>
      <c r="O301" t="n">
        <v>4000</v>
      </c>
      <c r="P301" t="n">
        <v>5500</v>
      </c>
      <c r="Q301" t="n">
        <v>7000</v>
      </c>
      <c r="R301" t="n">
        <v>8500</v>
      </c>
      <c r="S301" t="n">
        <v>10000</v>
      </c>
      <c r="T301" t="n">
        <v>11500</v>
      </c>
      <c r="U301" t="n">
        <v>13000</v>
      </c>
      <c r="V301" t="n">
        <v>7558</v>
      </c>
      <c r="W301" t="n">
        <v>2200</v>
      </c>
      <c r="X301" t="n">
        <v>1900</v>
      </c>
      <c r="Y301" t="n">
        <v>8800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29"/>
  <sheetViews>
    <sheetView workbookViewId="0">
      <pane ySplit="1" topLeftCell="A2" activePane="bottomLeft" state="frozen"/>
      <selection pane="bottomLeft" activeCell="A1" sqref="A1"/>
    </sheetView>
  </sheetViews>
  <sheetFormatPr baseColWidth="8" defaultRowHeight="15"/>
  <cols>
    <col width="30" customWidth="1" min="1" max="1"/>
    <col width="34" customWidth="1" min="2" max="2"/>
    <col width="8" customWidth="1" min="3" max="3"/>
    <col width="11" customWidth="1" min="4" max="4"/>
    <col width="15" customWidth="1" min="5" max="5"/>
    <col width="13" customWidth="1" min="6" max="6"/>
    <col width="11" customWidth="1" min="7" max="7"/>
    <col width="8" customWidth="1" min="8" max="8"/>
    <col width="13" customWidth="1" min="9" max="9"/>
    <col width="11" customWidth="1" min="10" max="10"/>
    <col width="12" customWidth="1" min="11" max="11"/>
    <col width="18" customWidth="1" min="12" max="12"/>
    <col width="11" customWidth="1" min="13" max="13"/>
    <col width="14" customWidth="1" min="14" max="14"/>
    <col width="17" customWidth="1" min="15" max="15"/>
    <col width="16" customWidth="1" min="16" max="16"/>
    <col width="18" customWidth="1" min="17" max="17"/>
    <col width="20" customWidth="1" min="18" max="18"/>
    <col width="18" customWidth="1" min="19" max="19"/>
    <col width="15" customWidth="1" min="20" max="20"/>
    <col width="20" customWidth="1" min="21" max="21"/>
    <col width="20" customWidth="1" min="22" max="22"/>
    <col width="60" customWidth="1" min="23" max="23"/>
  </cols>
  <sheetData>
    <row r="1">
      <c r="A1" s="5" t="inlineStr">
        <is>
          <t>Key</t>
        </is>
      </c>
      <c r="B1" s="5" t="inlineStr">
        <is>
          <t>Name</t>
        </is>
      </c>
      <c r="C1" s="5" t="inlineStr">
        <is>
          <t>JobStep</t>
        </is>
      </c>
      <c r="D1" s="5" t="inlineStr">
        <is>
          <t>Cooldown(s)</t>
        </is>
      </c>
      <c r="E1" s="5" t="inlineStr">
        <is>
          <t>CostsActionSlot</t>
        </is>
      </c>
      <c r="F1" s="5" t="inlineStr">
        <is>
          <t>ActionsPerCast</t>
        </is>
      </c>
      <c r="G1" s="5" t="inlineStr">
        <is>
          <t>HitsPerCast</t>
        </is>
      </c>
      <c r="H1" s="5" t="inlineStr">
        <is>
          <t>ICD(s)</t>
        </is>
      </c>
      <c r="I1" s="5" t="inlineStr">
        <is>
          <t>ActiveWindow(s)</t>
        </is>
      </c>
      <c r="J1" s="5" t="inlineStr">
        <is>
          <t>ProcChance%</t>
        </is>
      </c>
      <c r="K1" s="5" t="inlineStr">
        <is>
          <t>RollsPerCast</t>
        </is>
      </c>
      <c r="L1" s="5" t="inlineStr">
        <is>
          <t>BaseDamage(tenths%)</t>
        </is>
      </c>
      <c r="M1" s="5" t="inlineStr">
        <is>
          <t>FactorIndex</t>
        </is>
      </c>
      <c r="N1" s="5" t="inlineStr">
        <is>
          <t>ScalesWithLevel</t>
        </is>
      </c>
      <c r="O1" s="5" t="inlineStr">
        <is>
          <t>SkillMasteryBonus%</t>
        </is>
      </c>
      <c r="P1" s="5" t="inlineStr">
        <is>
          <t>MasteryBossDamage%</t>
        </is>
      </c>
      <c r="Q1" s="5" t="inlineStr">
        <is>
          <t>MasteryNormalDamage%</t>
        </is>
      </c>
      <c r="R1" s="5" t="inlineStr">
        <is>
          <t>NormalMonsterTargets</t>
        </is>
      </c>
      <c r="S1" s="5" t="inlineStr">
        <is>
          <t>BuffTargetStat</t>
        </is>
      </c>
      <c r="T1" s="5" t="inlineStr">
        <is>
          <t>BuffDuration(s)</t>
        </is>
      </c>
      <c r="U1" s="5" t="inlineStr">
        <is>
          <t>TriggersBoltSurplus</t>
        </is>
      </c>
      <c r="V1" s="5" t="inlineStr">
        <is>
          <t>MapleHeroBase(tenths%)</t>
        </is>
      </c>
      <c r="W1" s="5" t="inlineStr">
        <is>
          <t>MapleHeroFactorIndex</t>
        </is>
      </c>
      <c r="X1" s="5" t="inlineStr">
        <is>
          <t>Note</t>
        </is>
      </c>
    </row>
    <row r="2">
      <c r="A2" t="inlineStr">
        <is>
          <t>EMPOWERED_PIERCING_ARROW</t>
        </is>
      </c>
      <c r="B2" t="inlineStr">
        <is>
          <t>Empowered Piercing Arrow</t>
        </is>
      </c>
      <c r="C2" t="n">
        <v>4</v>
      </c>
      <c r="D2" t="inlineStr"/>
      <c r="E2" t="b">
        <v>0</v>
      </c>
      <c r="F2" t="n">
        <v>1</v>
      </c>
      <c r="G2">
        <f>IF(Inputs!$B$3&gt;=134,6,5)</f>
        <v/>
      </c>
      <c r="H2" t="n">
        <v>0</v>
      </c>
      <c r="I2" t="n">
        <v>0</v>
      </c>
      <c r="J2" t="n">
        <v>100</v>
      </c>
      <c r="K2" t="n">
        <v>1</v>
      </c>
      <c r="L2" t="n">
        <v>2900</v>
      </c>
      <c r="M2" t="n">
        <v>21</v>
      </c>
      <c r="N2" t="b">
        <v>1</v>
      </c>
      <c r="O2">
        <f>Calc!F3*IF(Calc!C3=TRUE,1,0)/100*(1+Calc!F4*IF(Calc!C4=TRUE,1,0)/100)*25+SUMPRODUCT((Inputs!$B$3&gt;={98,104,113,118,126,130})*{10,1,1,1,1,1})</f>
        <v/>
      </c>
      <c r="P2">
        <f>SUMPRODUCT((Inputs!$B$3&gt;={108,122})*{10,10})</f>
        <v/>
      </c>
      <c r="Q2" t="n">
        <v>0</v>
      </c>
      <c r="R2">
        <f>6+Inputs!$B$33</f>
        <v/>
      </c>
      <c r="S2" t="inlineStr"/>
      <c r="T2" t="n">
        <v>0</v>
      </c>
      <c r="U2" t="b">
        <v>1</v>
      </c>
      <c r="V2" t="inlineStr"/>
      <c r="W2" t="inlineStr"/>
      <c r="X2" t="inlineStr">
        <is>
          <t>4th-job basic-attack effect (supersedes Piercing Arrow/Piercing Arrow II/Arrow Blow, confirmed identical wiki wording — 290% damage to 6 target(s) in front 5 time(s) — to every other class's own 4th-job basic attack, including Bowmaster's own Arrow Stream). factorIndex 21, baseDamage 2900 tenths%. HitsPerCast = 5 (the wiki's own 'time(s)' figure), bumping to 6 once Mastery Lv.134 'Empowered Piercing Arrow - Strike' unlocks (confirmed via Marksman/Mastery this session — same pattern/level as Bowmaster's own Arrow Stream and Night Lord's own Showdown). SkillMasteryBonus% combines Final Attack: Crossbow + Advanced Final Attack's own steady-state contribution (ProcChance x AdditionalDamage% x (1+AdvancedFD%/100) x 25, the x25 converting Final Attack's own attack-triggered percentage into an equivalent addition to Empowered Piercing Arrow's per-hit coefficient at its own 5-hit-per-cast rate) PLUS the real level-gated Damage mastery chain (98/104/113/118/126/130, cumulative +10/11/12/13/14/15% per the wiki's own tooltip display — level_gated_sum uses DELTA increments (10, then +1 five times) to reproduce that cumulative curve, not the raw displayed percentages summed directly, same convention as Night Lord's own Showdown mastery and Bowmaster's own Arrow Stream mastery; an earlier version of this row summed the raw displayed values directly, giving a wrong 75% total instead of the correct 15% — caught and fixed during this session's own cross-check against Night Lord's established precedent). MasteryBossDamage% is the real Boss Monster Damage mastery sum (+10/10% at Lv.108/122, 20% total). TriggersBoltSurplus=TRUE — this row's own HitRate(perSec) feeds Bolt Surplus's combined dual-trigger rate.</t>
        </is>
      </c>
    </row>
    <row r="3">
      <c r="A3" t="inlineStr">
        <is>
          <t>FINAL_ATTACK_CROSSBOW_HELPER</t>
        </is>
      </c>
      <c r="B3" t="inlineStr">
        <is>
          <t>Final Attack: Crossbow (helper)</t>
        </is>
      </c>
      <c r="C3" t="n">
        <v>2</v>
      </c>
      <c r="D3" t="inlineStr"/>
      <c r="E3" t="b">
        <v>0</v>
      </c>
      <c r="F3" t="n">
        <v>1</v>
      </c>
      <c r="G3" t="n">
        <v>1</v>
      </c>
      <c r="H3" t="n">
        <v>0</v>
      </c>
      <c r="I3" t="n">
        <v>0</v>
      </c>
      <c r="J3" t="n">
        <v>100</v>
      </c>
      <c r="K3" t="n">
        <v>1</v>
      </c>
      <c r="L3" t="n">
        <v>350</v>
      </c>
      <c r="M3" t="n">
        <v>21</v>
      </c>
      <c r="N3" t="b">
        <v>1</v>
      </c>
      <c r="O3">
        <f>SUMPRODUCT((Inputs!$B$3&gt;={52})*{50})</f>
        <v/>
      </c>
      <c r="P3" t="n">
        <v>0</v>
      </c>
      <c r="Q3" t="n">
        <v>0</v>
      </c>
      <c r="R3" t="n">
        <v>0</v>
      </c>
      <c r="S3" t="inlineStr"/>
      <c r="T3" t="n">
        <v>0</v>
      </c>
      <c r="U3" t="b">
        <v>0</v>
      </c>
      <c r="V3" t="inlineStr"/>
      <c r="W3" t="inlineStr"/>
      <c r="X3" t="inlineStr">
        <is>
          <t>Helper row only (no independent O-column DPS) — feeds Empowered Piercing Arrow's own coefficient. 25% chance, 35%-&gt;49% additional damage (levels 1-100), shared-value-different-key w/ Bowmaster's own Final Attack: Bow (confirmed identical curve via its own individual page). factorIndex 21, baseDamage 350 tenths%. Mastery Lv.52 'Final Attack - Damage' +50% (real SkillMasteryBonus%, confirmed via Marksman/Mastery this session — a bonus Bowmaster's own equivalent helper row may also be missing, not checked this session). Not otherwise patched (Aug 13 2026 patch notes make no mention of this skill).</t>
        </is>
      </c>
    </row>
    <row r="4">
      <c r="A4" t="inlineStr">
        <is>
          <t>ADVANCED_FINAL_ATTACK_HELPER</t>
        </is>
      </c>
      <c r="B4" t="inlineStr">
        <is>
          <t>Advanced Final Attack (helper)</t>
        </is>
      </c>
      <c r="C4" t="n">
        <v>4</v>
      </c>
      <c r="D4" t="inlineStr"/>
      <c r="E4" t="b">
        <v>0</v>
      </c>
      <c r="F4" t="n">
        <v>1</v>
      </c>
      <c r="G4" t="n">
        <v>1</v>
      </c>
      <c r="H4" t="n">
        <v>0</v>
      </c>
      <c r="I4" t="n">
        <v>0</v>
      </c>
      <c r="J4" t="n">
        <v>100</v>
      </c>
      <c r="K4" t="n">
        <v>1</v>
      </c>
      <c r="L4" t="n">
        <v>5000</v>
      </c>
      <c r="M4" t="n">
        <v>21</v>
      </c>
      <c r="N4" t="b">
        <v>1</v>
      </c>
      <c r="O4">
        <f>SUMPRODUCT((Inputs!$B$3&gt;={111})*{50})</f>
        <v/>
      </c>
      <c r="P4" t="n">
        <v>0</v>
      </c>
      <c r="Q4" t="n">
        <v>0</v>
      </c>
      <c r="R4" t="n">
        <v>0</v>
      </c>
      <c r="S4" t="inlineStr"/>
      <c r="T4" t="n">
        <v>0</v>
      </c>
      <c r="U4" t="b">
        <v>0</v>
      </c>
      <c r="V4" t="inlineStr"/>
      <c r="W4" t="inlineStr"/>
      <c r="X4" t="inlineStr">
        <is>
          <t>Helper row only — feeds Empowered Piercing Arrow's own coefficient (Final Attack's own Final Damage bonus). +500%-&gt;900% FD (levels 1-200), shared verbatim w/ Bowmaster (confirmed identical curve via its own individual page). factorIndex 21, baseDamage 5000 tenths%. Mastery Lv.111 'Advanced Final Attack - Enhance' +50% (real SkillMasteryBonus%, confirmed via Marksman/Mastery this session — Bowmaster's own equivalent helper row is missing this bonus, flagged for the coordinator, not fixed here).</t>
        </is>
      </c>
    </row>
    <row r="5">
      <c r="A5" t="inlineStr">
        <is>
          <t>COVERING_FIRE</t>
        </is>
      </c>
      <c r="B5" t="inlineStr">
        <is>
          <t>Covering Fire</t>
        </is>
      </c>
      <c r="C5" t="n">
        <v>1</v>
      </c>
      <c r="D5" t="n">
        <v>19</v>
      </c>
      <c r="E5" t="b">
        <v>1</v>
      </c>
      <c r="F5" t="n">
        <v>1</v>
      </c>
      <c r="G5" t="n">
        <v>3</v>
      </c>
      <c r="H5" t="n">
        <v>0</v>
      </c>
      <c r="I5" t="n">
        <v>0</v>
      </c>
      <c r="J5" t="n">
        <v>100</v>
      </c>
      <c r="K5" t="n">
        <v>1</v>
      </c>
      <c r="L5" t="n">
        <v>2500</v>
      </c>
      <c r="M5" t="n">
        <v>12</v>
      </c>
      <c r="N5" t="b">
        <v>1</v>
      </c>
      <c r="O5">
        <f>SUMPRODUCT((Inputs!$B$3&gt;={39})*{50})</f>
        <v/>
      </c>
      <c r="P5" t="n">
        <v>0</v>
      </c>
      <c r="Q5" t="n">
        <v>0</v>
      </c>
      <c r="R5" t="n">
        <v>1</v>
      </c>
      <c r="S5" t="inlineStr"/>
      <c r="T5" t="n">
        <v>0</v>
      </c>
      <c r="U5" t="b">
        <v>0</v>
      </c>
      <c r="V5" t="n">
        <v>250</v>
      </c>
      <c r="W5" t="n">
        <v>0</v>
      </c>
      <c r="X5" t="inlineStr">
        <is>
          <t>Shared verbatim w/ Bowmaster (identical name AND numbers both classes, confirmed via its own Marksman-side page 'Retreat_Shot' this session, and via the patch notes' own shared 'Covering Fire' entry). 250%-&gt;375% damage x3 hits (levels 1-100), 19s cooldown. factorIndex 12, baseDamage 2500 tenths%. Mastery Lv.39 'Covering Fire - Damage' +50% (real SkillMasteryBonus%). Patched: skill use range +~20% (not modeled). Maple Hero target — see MAPLE_HERO_RATIOS (biggest share, 4x Bolt Burst's own share).</t>
        </is>
      </c>
    </row>
    <row r="6">
      <c r="A6" t="inlineStr">
        <is>
          <t>BOLT_BURST</t>
        </is>
      </c>
      <c r="B6" t="inlineStr">
        <is>
          <t>Bolt Burst</t>
        </is>
      </c>
      <c r="C6" t="n">
        <v>3</v>
      </c>
      <c r="D6" t="n">
        <v>21</v>
      </c>
      <c r="E6" t="b">
        <v>1</v>
      </c>
      <c r="F6" t="n">
        <v>1</v>
      </c>
      <c r="G6" t="n">
        <v>3</v>
      </c>
      <c r="H6" t="n">
        <v>0</v>
      </c>
      <c r="I6" t="n">
        <v>0</v>
      </c>
      <c r="J6" t="n">
        <v>100</v>
      </c>
      <c r="K6" t="n">
        <v>1</v>
      </c>
      <c r="L6" t="n">
        <v>4500</v>
      </c>
      <c r="M6" t="n">
        <v>12</v>
      </c>
      <c r="N6" t="b">
        <v>1</v>
      </c>
      <c r="O6">
        <f>SUMPRODUCT((Inputs!$B$3&gt;={66})*{50})</f>
        <v/>
      </c>
      <c r="P6" t="n">
        <v>0</v>
      </c>
      <c r="Q6" t="n">
        <v>0</v>
      </c>
      <c r="R6" t="n">
        <v>10</v>
      </c>
      <c r="S6" t="inlineStr"/>
      <c r="T6" t="n">
        <v>0</v>
      </c>
      <c r="U6" t="b">
        <v>0</v>
      </c>
      <c r="V6" t="n">
        <v>250</v>
      </c>
      <c r="W6" t="n">
        <v>0</v>
      </c>
      <c r="X6" t="inlineStr">
        <is>
          <t>Real page name is 'Bolt Flash' (confirmed via the Marksman/Skills overview page's own &lt;a href&gt; link — same 'display name differs from page slug' pattern as Bowmaster's own Arrow Platter/Quiver Flow, though this page itself is NOT bugged, its content matches its own infobox/description correctly). 'Shoots arrows in multiple directions to deal 450% damage to 10 nearby target(s) 3 time(s)', 21s cooldown. PATCHED: base damage 380%-&gt;450% (curve rescaled 450/380=1.1842x before reverse-engineering — factorIndex 12, baseDamage 4500 tenths% already reflects the patched value), attack range +~15% (not modeled). Mastery Lv.66 'Bolt Burst - Damage' +50% (real SkillMasteryBonus%). Maple Hero target — see MAPLE_HERO_RATIOS.</t>
        </is>
      </c>
    </row>
    <row r="7">
      <c r="A7" t="inlineStr">
        <is>
          <t>FROSTPREY</t>
        </is>
      </c>
      <c r="B7" t="inlineStr">
        <is>
          <t>Frostprey</t>
        </is>
      </c>
      <c r="C7" t="n">
        <v>3</v>
      </c>
      <c r="D7">
        <f>IF(Inputs!$B$3&gt;=102,60*0.6,60)</f>
        <v/>
      </c>
      <c r="E7" t="b">
        <v>1</v>
      </c>
      <c r="F7" t="n">
        <v>1</v>
      </c>
      <c r="G7" t="n">
        <v>1</v>
      </c>
      <c r="H7" t="n">
        <v>1.5</v>
      </c>
      <c r="I7" t="n">
        <v>30</v>
      </c>
      <c r="J7" t="n">
        <v>100</v>
      </c>
      <c r="K7" t="n">
        <v>1</v>
      </c>
      <c r="L7" t="n">
        <v>3000</v>
      </c>
      <c r="M7" t="n">
        <v>12</v>
      </c>
      <c r="N7" t="b">
        <v>1</v>
      </c>
      <c r="O7">
        <f>SUMPRODUCT((Inputs!$B$3&gt;={80})*{50})</f>
        <v/>
      </c>
      <c r="P7" t="n">
        <v>0</v>
      </c>
      <c r="Q7">
        <f>IF(Inputs!$B$3&gt;=92,100,0)</f>
        <v/>
      </c>
      <c r="R7">
        <f>3+IF(Inputs!$B$3&gt;=76,2,0)</f>
        <v/>
      </c>
      <c r="S7" t="inlineStr"/>
      <c r="T7" t="n">
        <v>0</v>
      </c>
      <c r="U7" t="b">
        <v>0</v>
      </c>
      <c r="V7" t="n">
        <v>250</v>
      </c>
      <c r="W7" t="n">
        <v>0</v>
      </c>
      <c r="X7" t="inlineStr">
        <is>
          <t>Real page name is 'Freezer' (confirmed via the Marksman/Skills overview page's own href link — same page-name-differs-from-display-name pattern as Bowmaster's own Arrow Platter/Quiver Flow). Summons Frostprey, attacks nearby targets on a periodic tick (EffectiveHits = HitsPerCast x (ActiveWindow/ICD), same mechanism as FP-Mage/ILM's own summon rows and Bowmaster's own Phoenix). PATCHED: hit interval 3s-&gt;1.5s (baked into ICD(s) directly, confirmed via the PDF as belonging to Frostprey itself, not Bolt Burst — resolves the prior session's own Frostprey/Bolt Burst pairing ambiguity), damage 600%-&gt;300% (curve rescaled 300/600=0.5x before reverse-engineering — factorIndex 12, baseDamage 3000 tenths% already reflects the patched value), freeze chance 20%-&gt;10% (CC, not modeled), duration 20s-&gt;30s (target detection range +~25% not modeled). Cooldown 60s, Mastery Lv.102 'Frostprey - Reuse' -50%-&gt;-40% per the patch (this session's own live wiki fetch confirms the mastery sits at level 102, not the PDF section header's stated 'Lv.104' — same judgment call Bowmaster's own build already made for its analogous Phoenix - Reuse mastery, trusting the wiki's level-threshold table over the PDF's own row-label level). Mastery Lv.76 'Frostprey - Target' +2 targets (base 3, wiki-confirmed — NOT the same +3 Bowmaster's own Phoenix gets at its own Lv.76 slot, a genuine per-class difference despite the shared level number), Lv.80 'Frostprey - Damage' +50% (real SkillMasteryBonus%), Lv.92 'Frostprey - Normal Monster Damage' +100%p (own MasteryNormalDamage%, scoped to this row only — not the global bucket). Maple Hero target — see MAPLE_HERO_RATIOS.</t>
        </is>
      </c>
    </row>
    <row r="8">
      <c r="A8" t="inlineStr">
        <is>
          <t>MAPLE_HERO_HELPER</t>
        </is>
      </c>
      <c r="B8" t="inlineStr">
        <is>
          <t>Maple Hero (helper)</t>
        </is>
      </c>
      <c r="C8" t="n">
        <v>4</v>
      </c>
      <c r="D8" t="inlineStr"/>
      <c r="E8" t="b">
        <v>0</v>
      </c>
      <c r="F8" t="n">
        <v>1</v>
      </c>
      <c r="G8" t="n">
        <v>1</v>
      </c>
      <c r="H8" t="n">
        <v>0</v>
      </c>
      <c r="I8" t="n">
        <v>0</v>
      </c>
      <c r="J8" t="n">
        <v>100</v>
      </c>
      <c r="K8" t="n">
        <v>1</v>
      </c>
      <c r="L8" t="n">
        <v>250</v>
      </c>
      <c r="M8" t="n">
        <v>23</v>
      </c>
      <c r="N8" t="b">
        <v>1</v>
      </c>
      <c r="O8" t="n">
        <v>0</v>
      </c>
      <c r="P8" t="n">
        <v>0</v>
      </c>
      <c r="Q8" t="n">
        <v>0</v>
      </c>
      <c r="R8" t="n">
        <v>0</v>
      </c>
      <c r="S8" t="inlineStr"/>
      <c r="T8" t="n">
        <v>0</v>
      </c>
      <c r="U8" t="b">
        <v>0</v>
      </c>
      <c r="V8" t="inlineStr"/>
      <c r="W8" t="inlineStr"/>
      <c r="X8" t="inlineStr">
        <is>
          <t>Shared ratio-feeder row (see MAPLE_HERO_RATIOS) for Bolt Burst/Frostprey/Covering Fire's own Final Damage chains — mirrors Shadower's own MAPLE_HERO_SHADOWER mechanism and Bowmaster's own MAPLE_HERO_HELPER. Confirmed this session via idle.maplestorywiki.net/w/Maple_Hero_(Marksman): uses the EXACT SAME numbers as Maple Hero (Bowmaster) at every level (not just the same ratio-shape), so this row's own (baseDamage, factorIndex) tuple is reused verbatim (factorIndex 23/baseDamage 250 tenths%, 0% residual). No independent DPS row of its own (Calc columns J-N blank/0, only D/E/F computed, read directly by each target row's own K-column formula — same 'no independent row' pattern as Shadower's own Maple Hero).</t>
        </is>
      </c>
    </row>
    <row r="9">
      <c r="A9" t="inlineStr">
        <is>
          <t>SNIPE</t>
        </is>
      </c>
      <c r="B9" t="inlineStr">
        <is>
          <t>Snipe</t>
        </is>
      </c>
      <c r="C9" t="n">
        <v>4</v>
      </c>
      <c r="D9" t="n">
        <v>12</v>
      </c>
      <c r="E9" t="b">
        <v>1</v>
      </c>
      <c r="F9" t="n">
        <v>1</v>
      </c>
      <c r="G9" t="n">
        <v>1</v>
      </c>
      <c r="H9" t="n">
        <v>0</v>
      </c>
      <c r="I9" t="n">
        <v>0</v>
      </c>
      <c r="J9" t="n">
        <v>100</v>
      </c>
      <c r="K9" t="n">
        <v>1</v>
      </c>
      <c r="L9" t="n">
        <v>38000</v>
      </c>
      <c r="M9" t="n">
        <v>12</v>
      </c>
      <c r="N9" t="b">
        <v>1</v>
      </c>
      <c r="O9">
        <f>SUMPRODUCT((Inputs!$B$3&gt;={106})*{50})+IF(Inputs!$B$3&gt;=134,570*(Calc!E9/1000),0)</f>
        <v/>
      </c>
      <c r="P9" t="n">
        <v>0</v>
      </c>
      <c r="Q9" t="n">
        <v>0</v>
      </c>
      <c r="R9" t="n">
        <v>1</v>
      </c>
      <c r="S9" t="inlineStr"/>
      <c r="T9" t="n">
        <v>0</v>
      </c>
      <c r="U9" t="b">
        <v>1</v>
      </c>
      <c r="V9" t="inlineStr"/>
      <c r="W9" t="inlineStr"/>
      <c r="X9" t="inlineStr">
        <is>
          <t>Single-target big hit: 'Aims at the target's vital point to deal 3800% damage', 12s cooldown (own wiki infobox), not patched. factorIndex 12, baseDamage 38000 tenths% (3800%-&gt;7600%, levels 1-200). Mastery Lv.106 'Snipe - Damage' +50% (real SkillMasteryBonus%). Mastery Lv.134 'Snipe - Empowered' (confirmed by user, not the wiki's own raw table order which mis-parsed as 132 due to this entry's unusually multi-part description cell): 'Leaves a mark on targets damaged by Snipe. When attacking marked targets with Snipe, deals {#expr:5700*(1+x*0.005)}% damage (Damage increases with Snipe skill level)' — resolves cleanly (0.44% max deviation) to the SAME factorIndex 12 as Snipe's own base curve, baseDamage 5700 tenths%, so it reuses Snipe's own Calc!E factor-lookup cell directly rather than needing a separate FactorTable lookup. Modeled at the same steady-state-always-active convention as Concentration/Mortal Blow, per user direction ('it's the same rate as the Snipe skill') — the mark persists across the single-target rotation this project already assumes, so every steady-state Snipe cast after unlock also deals this additive bonus. TriggersBoltSurplus=TRUE — this row's own HitRate(perSec) feeds Bolt Surplus's combined dual-trigger rate alongside Empowered Piercing Arrow.</t>
        </is>
      </c>
    </row>
    <row r="10">
      <c r="A10" t="inlineStr">
        <is>
          <t>BOLT_SURPLUS</t>
        </is>
      </c>
      <c r="B10" t="inlineStr">
        <is>
          <t>Bolt Surplus</t>
        </is>
      </c>
      <c r="C10" t="n">
        <v>4</v>
      </c>
      <c r="D10" t="inlineStr"/>
      <c r="E10" t="b">
        <v>0</v>
      </c>
      <c r="F10" t="n">
        <v>1</v>
      </c>
      <c r="G10">
        <f>2+IF(Inputs!$B$3&gt;=136,1,0)</f>
        <v/>
      </c>
      <c r="H10" t="n">
        <v>0</v>
      </c>
      <c r="I10" t="n">
        <v>0</v>
      </c>
      <c r="J10" t="n">
        <v>15</v>
      </c>
      <c r="K10" t="n">
        <v>1</v>
      </c>
      <c r="L10" t="n">
        <v>6500</v>
      </c>
      <c r="M10" t="n">
        <v>21</v>
      </c>
      <c r="N10" t="b">
        <v>1</v>
      </c>
      <c r="O10">
        <f>SUMPRODUCT((Inputs!$B$3&gt;={120})*{50})</f>
        <v/>
      </c>
      <c r="P10" t="n">
        <v>0</v>
      </c>
      <c r="Q10" t="n">
        <v>0</v>
      </c>
      <c r="R10">
        <f>3+IF(Inputs!$B$3&gt;=136,2,0)</f>
        <v/>
      </c>
      <c r="S10" t="inlineStr"/>
      <c r="T10" t="n">
        <v>0</v>
      </c>
      <c r="U10" t="b">
        <v>0</v>
      </c>
      <c r="V10" t="inlineStr"/>
      <c r="W10" t="inlineStr"/>
      <c r="X10" t="inlineStr">
        <is>
          <t>Dual-trigger proc: 'When attacking with Empowered Piercing Arrow and Snipe, an extra explosion occurs with a 15% [chance] to deal 650% damage to 3 nearby target(s) 2 time(s)', own wiki infobox lists 'Cooldown: 0.1 sec' (functionally non-restrictive vs. its own 15% proc gate — modeled with NO Cooldown(s) field at all, like Shadower's own Toxic Venom, since its O-column DPS bypasses the normal per-row cooldown/rate machinery entirely). Combined trigger rate = the summed per-second hit rate of every row flagged TriggersBoltSurplus=TRUE (Empowered Piercing Arrow + Snipe) — same SUMPRODUCT-over-a-boolean-column mechanism as Shadower's own TriggersToxicVenom, applied here to exactly two specific trigger sources instead of every damage row. Not patched. factorIndex 21, baseDamage 6500 tenths% (650%-&gt;1170%, levels 1-200). Mastery Lv.120 'Bolt Surplus - Damage' +50% (real SkillMasteryBonus%), Lv.136 'Bolt Surplus - Strike &amp; Target' +1 strike/+2 targets (HitsPerCast 2-&gt;3, NormalMonsterTargets 3-&gt;5, both live level-gated once Lv.136 hits).</t>
        </is>
      </c>
    </row>
    <row r="11">
      <c r="A11" t="inlineStr">
        <is>
          <t>ARROW_ILLUSION</t>
        </is>
      </c>
      <c r="B11" t="inlineStr">
        <is>
          <t>Arrow Illusion</t>
        </is>
      </c>
      <c r="C11" t="n">
        <v>4</v>
      </c>
      <c r="D11" t="n">
        <v>45</v>
      </c>
      <c r="E11" t="b">
        <v>1</v>
      </c>
      <c r="F11" t="n">
        <v>1</v>
      </c>
      <c r="G11" t="n">
        <v>1</v>
      </c>
      <c r="H11" t="n">
        <v>1.5</v>
      </c>
      <c r="I11" t="n">
        <v>25</v>
      </c>
      <c r="J11" t="n">
        <v>100</v>
      </c>
      <c r="K11" t="n">
        <v>1</v>
      </c>
      <c r="L11" t="n">
        <v>12000</v>
      </c>
      <c r="M11" t="n">
        <v>12</v>
      </c>
      <c r="N11" t="b">
        <v>1</v>
      </c>
      <c r="O11">
        <f>SUMPRODUCT((Inputs!$B$3&gt;={128})*{50})</f>
        <v/>
      </c>
      <c r="P11" t="n">
        <v>0</v>
      </c>
      <c r="Q11" t="n">
        <v>0</v>
      </c>
      <c r="R11" t="n">
        <v>10</v>
      </c>
      <c r="S11" t="inlineStr"/>
      <c r="T11" t="n">
        <v>0</v>
      </c>
      <c r="U11" t="b">
        <v>0</v>
      </c>
      <c r="V11" t="inlineStr"/>
      <c r="W11" t="inlineStr"/>
      <c r="X11" t="inlineStr">
        <is>
          <t>Channeled turret: 'Summons an illusionary arrow...binds nearby targets for 3 sec (CC, not modeled), and attacks 10 nearby target(s) every 3 sec for 25 sec to deal 2400% damage', 45s cooldown (own wiki infobox), same EffectiveHits tick mechanism as Frostprey/Bowmaster's own Phoenix. PATCHED: hit interval 3s-&gt;1.5s (baked into ICD(s)), damage 2400%-&gt;1200% (curve rescaled 1200/2400=0.5x before reverse-engineering — factorIndex 12, baseDamage 12000 tenths% already reflects the patched value), added 'max 1 placement at a time' (self-uptime cap already implicit in this project's single-instance summon treatment, no code change needed). Mastery Lv.128 'Arrow Illusion - Damage' +50% (real SkillMasteryBonus%; the same mastery tier also adds a bind-on-expiry CC effect, not modeled).</t>
        </is>
      </c>
    </row>
    <row r="12">
      <c r="A12" t="inlineStr">
        <is>
          <t>BLINK_BOLT</t>
        </is>
      </c>
      <c r="B12" t="inlineStr">
        <is>
          <t>Blink Bolt</t>
        </is>
      </c>
      <c r="C12" t="n">
        <v>3</v>
      </c>
      <c r="D12" t="inlineStr"/>
      <c r="E12" t="b">
        <v>0</v>
      </c>
      <c r="F12" t="n">
        <v>1</v>
      </c>
      <c r="G12" t="n">
        <v>1</v>
      </c>
      <c r="H12" t="n">
        <v>0</v>
      </c>
      <c r="I12" t="n">
        <v>0</v>
      </c>
      <c r="J12" t="n">
        <v>100</v>
      </c>
      <c r="K12" t="n">
        <v>1</v>
      </c>
      <c r="L12" t="n">
        <v>250</v>
      </c>
      <c r="M12" t="n">
        <v>22</v>
      </c>
      <c r="N12" t="b">
        <v>1</v>
      </c>
      <c r="O12" t="n">
        <v>0</v>
      </c>
      <c r="P12" t="n">
        <v>0</v>
      </c>
      <c r="Q12" t="n">
        <v>0</v>
      </c>
      <c r="R12" t="n">
        <v>0</v>
      </c>
      <c r="S12" t="inlineStr">
        <is>
          <t>ATTACK</t>
        </is>
      </c>
      <c r="T12" t="n">
        <v>0</v>
      </c>
      <c r="U12" t="b">
        <v>0</v>
      </c>
      <c r="V12" t="inlineStr"/>
      <c r="W12" t="inlineStr"/>
      <c r="X12" t="inlineStr">
        <is>
          <t>'Creates a special mark for 30 sec. While the mark lasts, increases Attack by 25%-&gt;40% (levels 1-200). When you use this skill again, you move to the mark's location and the mark disappears.' Own wiki infobox confirms Cooldown=10s (matches the prior session's own direct confirmation) — but the skill's own description is a TOGGLE (recast consumes/teleports the mark, ending the buff), not a typical refresh-on-recast buff like Nimble Feet. FLAGGED modeling caveat: this row is modeled as an unconditional always-on Attack% contribution (no duty-cycle/uptime computation at all, same treatment as Marksmanship's own unconditional half) per this session's directive to use the plan's own stated assumption ('since duration(30s) &gt; cooldown(10s), effectively a permanent buff at full uptime') rather than modeling the toggle mechanic's real alternating on/off behavior in auto-combat, which could plausibly yield a lower ~50% uptime instead — a human should revisit this if real gameplay data suggests otherwise. Not patched. factorIndex 22, baseDamage 250 tenths%. Teleport-movement component out of scope.</t>
        </is>
      </c>
    </row>
    <row r="13">
      <c r="A13" t="inlineStr">
        <is>
          <t>MARKSMANSHIP_BASE</t>
        </is>
      </c>
      <c r="B13" t="inlineStr">
        <is>
          <t>Marksmanship (unconditional half)</t>
        </is>
      </c>
      <c r="C13" t="n">
        <v>3</v>
      </c>
      <c r="D13" t="inlineStr"/>
      <c r="E13" t="b">
        <v>0</v>
      </c>
      <c r="F13" t="n">
        <v>1</v>
      </c>
      <c r="G13" t="n">
        <v>1</v>
      </c>
      <c r="H13" t="n">
        <v>0</v>
      </c>
      <c r="I13" t="n">
        <v>0</v>
      </c>
      <c r="J13" t="n">
        <v>100</v>
      </c>
      <c r="K13" t="n">
        <v>1</v>
      </c>
      <c r="L13" t="n">
        <v>100</v>
      </c>
      <c r="M13" t="n">
        <v>22</v>
      </c>
      <c r="N13" t="b">
        <v>1</v>
      </c>
      <c r="O13" t="n">
        <v>0</v>
      </c>
      <c r="P13" t="n">
        <v>0</v>
      </c>
      <c r="Q13" t="n">
        <v>0</v>
      </c>
      <c r="R13" t="n">
        <v>0</v>
      </c>
      <c r="S13" t="inlineStr">
        <is>
          <t>ATTACK</t>
        </is>
      </c>
      <c r="T13" t="n">
        <v>0</v>
      </c>
      <c r="U13" t="b">
        <v>0</v>
      </c>
      <c r="V13" t="inlineStr"/>
      <c r="W13" t="inlineStr"/>
      <c r="X13" t="inlineStr">
        <is>
          <t>PATCHED: 'Base Attack +10%, additional +10% when 1 target' replaces the old flat '+20% at 1 target only' wording — modeled as two separate rows (this unconditional half + MARKSMANSHIP_COND's conditional half), summed additively into the same Attack% bucket as Illusion Step (Verification item 6 — these must never multiply against each other). Half of the wiki's own pre-patch curve (10%-&gt;16%, levels 1-200), assumed symmetric 50/50 split at every level (the patch note only confirms the level-1 split, 10/10) — factorIndex 22, baseDamage 100 tenths%. Shared verbatim w/ Bowmaster (identical name, wording, and numbers confirmed both classes via the patch notes' own shared 'Marksmanship' entry, and via this session's own live fetch of Marksman's own Marksmanship page).</t>
        </is>
      </c>
    </row>
    <row r="14">
      <c r="A14" t="inlineStr">
        <is>
          <t>MARKSMANSHIP_COND</t>
        </is>
      </c>
      <c r="B14" t="inlineStr">
        <is>
          <t>Marksmanship (conditional half, 1 target)</t>
        </is>
      </c>
      <c r="C14" t="n">
        <v>3</v>
      </c>
      <c r="D14" t="inlineStr"/>
      <c r="E14" t="b">
        <v>0</v>
      </c>
      <c r="F14" t="n">
        <v>1</v>
      </c>
      <c r="G14" t="n">
        <v>1</v>
      </c>
      <c r="H14" t="n">
        <v>0</v>
      </c>
      <c r="I14" t="n">
        <v>0</v>
      </c>
      <c r="J14" t="n">
        <v>100</v>
      </c>
      <c r="K14" t="n">
        <v>1</v>
      </c>
      <c r="L14" t="n">
        <v>100</v>
      </c>
      <c r="M14" t="n">
        <v>22</v>
      </c>
      <c r="N14" t="b">
        <v>1</v>
      </c>
      <c r="O14" t="n">
        <v>0</v>
      </c>
      <c r="P14" t="n">
        <v>0</v>
      </c>
      <c r="Q14" t="n">
        <v>0</v>
      </c>
      <c r="R14" t="n">
        <v>0</v>
      </c>
      <c r="S14" t="inlineStr">
        <is>
          <t>ATTACK_COND_1TARGET</t>
        </is>
      </c>
      <c r="T14" t="n">
        <v>0</v>
      </c>
      <c r="U14" t="b">
        <v>0</v>
      </c>
      <c r="V14" t="inlineStr"/>
      <c r="W14" t="inlineStr"/>
      <c r="X14" t="inlineStr">
        <is>
          <t>Conditional half of Marksmanship's own patched Attack% bonus — blended via the same monster_blend_expr helper already used for Boss/Normal Monster Damage% (boss/pvp -&gt; full value, normal -&gt; 0, breakthrough -&gt; weighted), applied to the Attack% bucket instead. Same curve/tuple as MARKSMANSHIP_BASE (factorIndex 22, baseDamage 100 tenths%).</t>
        </is>
      </c>
    </row>
    <row r="15">
      <c r="A15" t="inlineStr">
        <is>
          <t>ILLUSION_STEP</t>
        </is>
      </c>
      <c r="B15" t="inlineStr">
        <is>
          <t>Illusion Step</t>
        </is>
      </c>
      <c r="C15" t="n">
        <v>4</v>
      </c>
      <c r="D15" t="n">
        <v>24</v>
      </c>
      <c r="E15" t="b">
        <v>0</v>
      </c>
      <c r="F15" t="n">
        <v>1</v>
      </c>
      <c r="G15" t="n">
        <v>1</v>
      </c>
      <c r="H15" t="n">
        <v>0</v>
      </c>
      <c r="I15" t="n">
        <v>0</v>
      </c>
      <c r="J15" t="n">
        <v>100</v>
      </c>
      <c r="K15" t="n">
        <v>1</v>
      </c>
      <c r="L15" t="n">
        <v>140</v>
      </c>
      <c r="M15" t="n">
        <v>22</v>
      </c>
      <c r="N15" t="b">
        <v>1</v>
      </c>
      <c r="O15" t="n">
        <v>0</v>
      </c>
      <c r="P15" t="n">
        <v>0</v>
      </c>
      <c r="Q15" t="n">
        <v>0</v>
      </c>
      <c r="R15" t="n">
        <v>0</v>
      </c>
      <c r="S15" t="inlineStr">
        <is>
          <t>ATTACK</t>
        </is>
      </c>
      <c r="T15" t="n">
        <v>15</v>
      </c>
      <c r="U15" t="b">
        <v>0</v>
      </c>
      <c r="V15" t="inlineStr"/>
      <c r="W15" t="inlineStr"/>
      <c r="X15" t="inlineStr">
        <is>
          <t>Cycling passive: Attack+14%-&gt;22.4% for 15s, then swaps to Evasion+15-&gt;24/damage taken -10%-&gt;16% for 9s (not modeled — those components have no mechanic anywhere in this calculator). Modeled as a duty-cycled buff (Cooldown(s)=24 = full 15+9s cycle length, BuffDuration(s)=15 = the Attack-active portion, giving a 0.625 duty-cycle uptime) — same buff_uptime machinery as every other timed buff in this project. factorIndex 22, baseDamage 140 tenths%. Not patched. Shared verbatim w/ Bowmaster (confirmed via this session's own live fetch of Marksman's own Illusion Step page).</t>
        </is>
      </c>
    </row>
    <row r="16">
      <c r="A16" t="inlineStr">
        <is>
          <t>SHARP_EYES</t>
        </is>
      </c>
      <c r="B16" t="inlineStr">
        <is>
          <t>Sharp Eyes</t>
        </is>
      </c>
      <c r="C16" t="n">
        <v>4</v>
      </c>
      <c r="D16" t="n">
        <v>35</v>
      </c>
      <c r="E16" t="b">
        <v>1</v>
      </c>
      <c r="F16" t="n">
        <v>1</v>
      </c>
      <c r="G16" t="n">
        <v>1</v>
      </c>
      <c r="H16" t="n">
        <v>0</v>
      </c>
      <c r="I16" t="n">
        <v>0</v>
      </c>
      <c r="J16" t="n">
        <v>100</v>
      </c>
      <c r="K16" t="n">
        <v>1</v>
      </c>
      <c r="L16" t="n">
        <v>400</v>
      </c>
      <c r="M16" t="n">
        <v>21</v>
      </c>
      <c r="N16" t="b">
        <v>1</v>
      </c>
      <c r="O16" t="n">
        <v>0</v>
      </c>
      <c r="P16" t="n">
        <v>0</v>
      </c>
      <c r="Q16" t="n">
        <v>0</v>
      </c>
      <c r="R16" t="n">
        <v>0</v>
      </c>
      <c r="S16" t="inlineStr">
        <is>
          <t>CRIT_DAMAGE</t>
        </is>
      </c>
      <c r="T16" t="n">
        <v>18</v>
      </c>
      <c r="U16" t="b">
        <v>0</v>
      </c>
      <c r="V16" t="inlineStr"/>
      <c r="W16" t="inlineStr"/>
      <c r="X16" t="inlineStr">
        <is>
          <t>Self-inclusive ally buff (matches Bishop's own 'allied players' precedent) — flat +20% Crit Rate (non-scaling, not represented in this row's own BaseDamage/FactorIndex; added directly as a hardcoded 20 in the Crit-Rate-bonus accumulator formula in build_summary_sheet) + scaling Crit Damage +40%-&gt;72% (levels 1-200, this row's own curve — factorIndex 21, baseDamage 400 tenths%) for 18s, cooldown 35s. Not patched. Shared verbatim w/ Bowmaster (confirmed via this session's own live fetch of Marksman's own Sharp Eyes page).</t>
        </is>
      </c>
    </row>
    <row r="17">
      <c r="A17" t="inlineStr">
        <is>
          <t>MORTAL_BLOW</t>
        </is>
      </c>
      <c r="B17" t="inlineStr">
        <is>
          <t>Mortal Blow</t>
        </is>
      </c>
      <c r="C17" t="n">
        <v>3</v>
      </c>
      <c r="D17" t="inlineStr"/>
      <c r="E17" t="b">
        <v>0</v>
      </c>
      <c r="F17" t="n">
        <v>1</v>
      </c>
      <c r="G17" t="n">
        <v>1</v>
      </c>
      <c r="H17" t="n">
        <v>0</v>
      </c>
      <c r="I17" t="n">
        <v>0</v>
      </c>
      <c r="J17" t="n">
        <v>100</v>
      </c>
      <c r="K17" t="n">
        <v>1</v>
      </c>
      <c r="L17" t="n">
        <v>120</v>
      </c>
      <c r="M17" t="n">
        <v>22</v>
      </c>
      <c r="N17" t="b">
        <v>1</v>
      </c>
      <c r="O17" t="n">
        <v>0</v>
      </c>
      <c r="P17" t="n">
        <v>0</v>
      </c>
      <c r="Q17" t="n">
        <v>0</v>
      </c>
      <c r="R17" t="n">
        <v>0</v>
      </c>
      <c r="S17" t="inlineStr">
        <is>
          <t>FINAL_DAMAGE</t>
        </is>
      </c>
      <c r="T17" t="n">
        <v>0</v>
      </c>
      <c r="U17" t="b">
        <v>0</v>
      </c>
      <c r="V17" t="inlineStr"/>
      <c r="W17" t="inlineStr"/>
      <c r="X17" t="inlineStr">
        <is>
          <t>Upon attacking a target directly 40 times, +10%-&gt;16%(pre-patch curve) FD for 5s. Modeled at steady state (assumed always active once unlocked), not an exact hit-counter/timer state machine — same simplification tier every other steady-state buff in this project uses. PATCHED: base 10%-&gt;12% (curve rescaled 12/10=1.2x before reverse-engineering — factorIndex 22, baseDamage 120 tenths% already reflects the patched value). Shared verbatim w/ Bowmaster (confirmed via this session's own live fetch of Marksman's own Mortal Blow page).</t>
        </is>
      </c>
    </row>
    <row r="18">
      <c r="A18" t="inlineStr">
        <is>
          <t>NIMBLE_FEET</t>
        </is>
      </c>
      <c r="B18" t="inlineStr">
        <is>
          <t>Nimble Feet</t>
        </is>
      </c>
      <c r="C18" t="n">
        <v>1</v>
      </c>
      <c r="D18" t="n">
        <v>60</v>
      </c>
      <c r="E18" t="b">
        <v>1</v>
      </c>
      <c r="F18" t="n">
        <v>1</v>
      </c>
      <c r="G18" t="n">
        <v>1</v>
      </c>
      <c r="H18" t="n">
        <v>0</v>
      </c>
      <c r="I18" t="n">
        <v>0</v>
      </c>
      <c r="J18" t="n">
        <v>100</v>
      </c>
      <c r="K18" t="n">
        <v>1</v>
      </c>
      <c r="L18" t="n">
        <v>150</v>
      </c>
      <c r="M18" t="n">
        <v>0</v>
      </c>
      <c r="N18" t="b">
        <v>0</v>
      </c>
      <c r="O18" t="n">
        <v>0</v>
      </c>
      <c r="P18" t="n">
        <v>0</v>
      </c>
      <c r="Q18" t="n">
        <v>0</v>
      </c>
      <c r="R18" t="n">
        <v>1</v>
      </c>
      <c r="S18" t="inlineStr">
        <is>
          <t>ATTACK_SPEED</t>
        </is>
      </c>
      <c r="T18" t="n">
        <v>15</v>
      </c>
      <c r="U18" t="b">
        <v>0</v>
      </c>
      <c r="V18" t="inlineStr"/>
      <c r="W18" t="inlineStr"/>
      <c r="X18" t="inlineStr">
        <is>
          <t>Shared cross-tree verbatim w/ Night Lord/Shadower/FP-Mage/Bowmaster (byte-identical wiki wording — '+15% Attack Speed, +10% Speed for 15 sec'). Flat +15% Attack Speed / +10% Speed for 15s, 60s cooldown, non-scaling. FactorIndex unused placeholder.</t>
        </is>
      </c>
    </row>
    <row r="19">
      <c r="A19" t="inlineStr">
        <is>
          <t>CRITICAL_SHOT</t>
        </is>
      </c>
      <c r="B19" t="inlineStr">
        <is>
          <t>Critical Shot</t>
        </is>
      </c>
      <c r="C19" t="n">
        <v>1</v>
      </c>
      <c r="D19" t="inlineStr"/>
      <c r="E19" t="b">
        <v>0</v>
      </c>
      <c r="F19" t="n">
        <v>1</v>
      </c>
      <c r="G19" t="n">
        <v>1</v>
      </c>
      <c r="H19" t="n">
        <v>0</v>
      </c>
      <c r="I19" t="n">
        <v>0</v>
      </c>
      <c r="J19" t="n">
        <v>100</v>
      </c>
      <c r="K19" t="n">
        <v>1</v>
      </c>
      <c r="L19" t="n">
        <v>50</v>
      </c>
      <c r="M19" t="n">
        <v>22</v>
      </c>
      <c r="N19" t="b">
        <v>1</v>
      </c>
      <c r="O19" t="n">
        <v>0</v>
      </c>
      <c r="P19" t="n">
        <v>0</v>
      </c>
      <c r="Q19" t="n">
        <v>0</v>
      </c>
      <c r="R19" t="n">
        <v>0</v>
      </c>
      <c r="S19" t="inlineStr">
        <is>
          <t>CRIT_RATE</t>
        </is>
      </c>
      <c r="T19" t="n">
        <v>0</v>
      </c>
      <c r="U19" t="b">
        <v>0</v>
      </c>
      <c r="V19" t="inlineStr"/>
      <c r="W19" t="inlineStr"/>
      <c r="X19" t="inlineStr">
        <is>
          <t>Magic Critical pattern — already baked into Inputs!CRIT_RATE%; feeds the 1st-Job Skill Level Bonus delta. factorIndex 22, baseDamage 50 tenths% (5%-&gt;6.5%, levels 1-100). Shared verbatim w/ Bowmaster (byte-identical wiki wording, confirmed both classes).</t>
        </is>
      </c>
    </row>
    <row r="20">
      <c r="A20" t="inlineStr">
        <is>
          <t>ARCHER_MASTERY</t>
        </is>
      </c>
      <c r="B20" t="inlineStr">
        <is>
          <t>Archer Mastery (Attack Speed)</t>
        </is>
      </c>
      <c r="C20" t="n">
        <v>1</v>
      </c>
      <c r="D20" t="inlineStr"/>
      <c r="E20" t="b">
        <v>0</v>
      </c>
      <c r="F20" t="n">
        <v>1</v>
      </c>
      <c r="G20" t="n">
        <v>1</v>
      </c>
      <c r="H20" t="n">
        <v>0</v>
      </c>
      <c r="I20" t="n">
        <v>0</v>
      </c>
      <c r="J20" t="n">
        <v>100</v>
      </c>
      <c r="K20" t="n">
        <v>1</v>
      </c>
      <c r="L20" t="n">
        <v>50</v>
      </c>
      <c r="M20" t="n">
        <v>22</v>
      </c>
      <c r="N20" t="b">
        <v>1</v>
      </c>
      <c r="O20" t="n">
        <v>0</v>
      </c>
      <c r="P20" t="n">
        <v>0</v>
      </c>
      <c r="Q20" t="n">
        <v>0</v>
      </c>
      <c r="R20" t="n">
        <v>0</v>
      </c>
      <c r="S20" t="inlineStr">
        <is>
          <t>ATTACK_SPEED</t>
        </is>
      </c>
      <c r="T20" t="n">
        <v>0</v>
      </c>
      <c r="U20" t="b">
        <v>0</v>
      </c>
      <c r="V20" t="inlineStr"/>
      <c r="W20" t="inlineStr"/>
      <c r="X20" t="inlineStr">
        <is>
          <t>Magic Critical pattern — already baked into Inputs!ATTACK_SPEED%; feeds the 1st-Job Skill Level Bonus delta. factorIndex 22, baseDamage 50 tenths% (5%-&gt;6.5%, levels 1-100). Own Speed component not modeled. Shared verbatim w/ Bowmaster (byte-identical wiki wording).</t>
        </is>
      </c>
    </row>
    <row r="21">
      <c r="A21" t="inlineStr">
        <is>
          <t>CROSSBOW_ACCELERATION</t>
        </is>
      </c>
      <c r="B21" t="inlineStr">
        <is>
          <t>Crossbow Acceleration</t>
        </is>
      </c>
      <c r="C21" t="n">
        <v>2</v>
      </c>
      <c r="D21" t="inlineStr"/>
      <c r="E21" t="b">
        <v>0</v>
      </c>
      <c r="F21" t="n">
        <v>1</v>
      </c>
      <c r="G21" t="n">
        <v>1</v>
      </c>
      <c r="H21" t="n">
        <v>0</v>
      </c>
      <c r="I21" t="n">
        <v>0</v>
      </c>
      <c r="J21" t="n">
        <v>100</v>
      </c>
      <c r="K21" t="n">
        <v>1</v>
      </c>
      <c r="L21" t="n">
        <v>50</v>
      </c>
      <c r="M21" t="n">
        <v>22</v>
      </c>
      <c r="N21" t="b">
        <v>1</v>
      </c>
      <c r="O21" t="n">
        <v>0</v>
      </c>
      <c r="P21" t="n">
        <v>0</v>
      </c>
      <c r="Q21" t="n">
        <v>0</v>
      </c>
      <c r="R21" t="n">
        <v>0</v>
      </c>
      <c r="S21" t="inlineStr">
        <is>
          <t>ATTACK_SPEED</t>
        </is>
      </c>
      <c r="T21" t="n">
        <v>0</v>
      </c>
      <c r="U21" t="b">
        <v>0</v>
      </c>
      <c r="V21" t="inlineStr"/>
      <c r="W21" t="inlineStr"/>
      <c r="X21" t="inlineStr">
        <is>
          <t>Real page name is 'Crossbow_Acceleration' (not 'Agile_Crossbows', despite that being the skill's own display name on the Marksman/Skills overview page — confirmed via the overview page's own href link). Magic Critical pattern — already baked into Inputs!ATTACK_SPEED%; feeds the 2nd-Job Skill Level Bonus delta. factorIndex 22, baseDamage 50 tenths% (5%-&gt;6.5%, levels 1-100). Shared-value-different-key w/ Bowmaster's own Bow Acceleration (confirmed identical curve via its own individual page).</t>
        </is>
      </c>
    </row>
    <row r="22">
      <c r="A22" t="inlineStr">
        <is>
          <t>PHYSICAL_TRAINING</t>
        </is>
      </c>
      <c r="B22" t="inlineStr">
        <is>
          <t>Physical Training</t>
        </is>
      </c>
      <c r="C22" t="n">
        <v>2</v>
      </c>
      <c r="D22" t="inlineStr"/>
      <c r="E22" t="b">
        <v>0</v>
      </c>
      <c r="F22" t="n">
        <v>1</v>
      </c>
      <c r="G22" t="n">
        <v>1</v>
      </c>
      <c r="H22" t="n">
        <v>0</v>
      </c>
      <c r="I22" t="n">
        <v>0</v>
      </c>
      <c r="J22" t="n">
        <v>100</v>
      </c>
      <c r="K22" t="n">
        <v>1</v>
      </c>
      <c r="L22" t="n">
        <v>100</v>
      </c>
      <c r="M22" t="n">
        <v>22</v>
      </c>
      <c r="N22" t="b">
        <v>1</v>
      </c>
      <c r="O22" t="n">
        <v>0</v>
      </c>
      <c r="P22" t="n">
        <v>0</v>
      </c>
      <c r="Q22" t="n">
        <v>0</v>
      </c>
      <c r="R22" t="n">
        <v>0</v>
      </c>
      <c r="S22" t="inlineStr">
        <is>
          <t>BASIC_ATTACK_DAMAGE</t>
        </is>
      </c>
      <c r="T22" t="n">
        <v>0</v>
      </c>
      <c r="U22" t="b">
        <v>0</v>
      </c>
      <c r="V22" t="inlineStr"/>
      <c r="W22" t="inlineStr"/>
      <c r="X22" t="inlineStr">
        <is>
          <t>Magic Critical pattern — already baked into Inputs!BASIC_ATTACK_DAMAGE%; feeds the 2nd-Job Skill Level Bonus delta. factorIndex 22, baseDamage 100 tenths% (10%-&gt;13%, levels 1-100). Shared verbatim w/ Bowmaster (byte-identical wiki wording, confirmed both classes).</t>
        </is>
      </c>
    </row>
    <row r="23">
      <c r="A23" t="inlineStr">
        <is>
          <t>CROSSBOW_MASTERY</t>
        </is>
      </c>
      <c r="B23" t="inlineStr">
        <is>
          <t>Crossbow Mastery</t>
        </is>
      </c>
      <c r="C23" t="n">
        <v>2</v>
      </c>
      <c r="D23" t="inlineStr"/>
      <c r="E23" t="b">
        <v>0</v>
      </c>
      <c r="F23" t="n">
        <v>1</v>
      </c>
      <c r="G23" t="n">
        <v>1</v>
      </c>
      <c r="H23" t="n">
        <v>0</v>
      </c>
      <c r="I23" t="n">
        <v>0</v>
      </c>
      <c r="J23" t="n">
        <v>100</v>
      </c>
      <c r="K23" t="n">
        <v>1</v>
      </c>
      <c r="L23" t="n">
        <v>150</v>
      </c>
      <c r="M23" t="n">
        <v>22</v>
      </c>
      <c r="N23" t="b">
        <v>1</v>
      </c>
      <c r="O23" t="n">
        <v>0</v>
      </c>
      <c r="P23" t="n">
        <v>0</v>
      </c>
      <c r="Q23" t="n">
        <v>0</v>
      </c>
      <c r="R23" t="n">
        <v>0</v>
      </c>
      <c r="S23" t="inlineStr">
        <is>
          <t>MIN_DAMAGE</t>
        </is>
      </c>
      <c r="T23" t="n">
        <v>0</v>
      </c>
      <c r="U23" t="b">
        <v>0</v>
      </c>
      <c r="V23" t="inlineStr"/>
      <c r="W23" t="inlineStr"/>
      <c r="X23" t="inlineStr">
        <is>
          <t>Magic Critical pattern — already baked into Inputs!MIN_DAMAGE%; feeds the 2nd-Job Skill Level Bonus delta. factorIndex 22, baseDamage 150 tenths% (15%-&gt;19.5%, levels 1-100). Shared-value-different-key w/ Bowmaster's own Bow Mastery (confirmed identical curve via its own individual page).</t>
        </is>
      </c>
    </row>
    <row r="24">
      <c r="A24" t="inlineStr">
        <is>
          <t>RECKLESS_HUNT_CROSSBOW</t>
        </is>
      </c>
      <c r="B24" t="inlineStr">
        <is>
          <t>Extreme Archery / Reckless Hunt: Crossbow</t>
        </is>
      </c>
      <c r="C24" t="n">
        <v>3</v>
      </c>
      <c r="D24" t="inlineStr"/>
      <c r="E24" t="b">
        <v>0</v>
      </c>
      <c r="F24" t="n">
        <v>1</v>
      </c>
      <c r="G24" t="n">
        <v>1</v>
      </c>
      <c r="H24" t="n">
        <v>0</v>
      </c>
      <c r="I24" t="n">
        <v>0</v>
      </c>
      <c r="J24" t="n">
        <v>100</v>
      </c>
      <c r="K24" t="n">
        <v>1</v>
      </c>
      <c r="L24" t="n">
        <v>150</v>
      </c>
      <c r="M24" t="n">
        <v>22</v>
      </c>
      <c r="N24" t="b">
        <v>1</v>
      </c>
      <c r="O24" t="n">
        <v>0</v>
      </c>
      <c r="P24" t="n">
        <v>0</v>
      </c>
      <c r="Q24" t="n">
        <v>0</v>
      </c>
      <c r="R24" t="n">
        <v>0</v>
      </c>
      <c r="S24" t="inlineStr">
        <is>
          <t>FINAL_DAMAGE</t>
        </is>
      </c>
      <c r="T24" t="n">
        <v>0</v>
      </c>
      <c r="U24" t="b">
        <v>0</v>
      </c>
      <c r="V24" t="inlineStr"/>
      <c r="W24" t="inlineStr"/>
      <c r="X24" t="inlineStr">
        <is>
          <t>Own Final Damage component only (Defense reduction not modeled — no Defense mechanic exists anywhere in this calculator). Magic Critical pattern — already baked into Inputs!FINAL_DAMAGE%; feeds the 3rd-Job Skill Level Bonus delta. factorIndex 22, baseDamage 150 tenths% (15%-&gt;24%, levels 1-200). PATCHED name: wiki still shows 'Extreme Archery: Crossbow', Aug 13 patch notes confirm current name 'Reckless Hunt: Crossbow' (-10%-&gt;-5% Defense, not modeled either way; FD component itself unpatched). Shared-value-different-key w/ Bowmaster's own Reckless Hunt: Bow (confirmed identical curve via its own individual page).</t>
        </is>
      </c>
    </row>
    <row r="25">
      <c r="A25" t="inlineStr">
        <is>
          <t>LAST_MAN_STANDING_FD</t>
        </is>
      </c>
      <c r="B25" t="inlineStr">
        <is>
          <t>Last Man Standing (base FD)</t>
        </is>
      </c>
      <c r="C25" t="n">
        <v>4</v>
      </c>
      <c r="D25" t="inlineStr"/>
      <c r="E25" t="b">
        <v>0</v>
      </c>
      <c r="F25" t="n">
        <v>1</v>
      </c>
      <c r="G25" t="n">
        <v>1</v>
      </c>
      <c r="H25" t="n">
        <v>0</v>
      </c>
      <c r="I25" t="n">
        <v>0</v>
      </c>
      <c r="J25" t="n">
        <v>100</v>
      </c>
      <c r="K25" t="n">
        <v>1</v>
      </c>
      <c r="L25" t="n">
        <v>150</v>
      </c>
      <c r="M25" t="n">
        <v>22</v>
      </c>
      <c r="N25" t="b">
        <v>1</v>
      </c>
      <c r="O25" t="n">
        <v>0</v>
      </c>
      <c r="P25" t="n">
        <v>0</v>
      </c>
      <c r="Q25" t="n">
        <v>0</v>
      </c>
      <c r="R25" t="n">
        <v>0</v>
      </c>
      <c r="S25" t="inlineStr">
        <is>
          <t>FINAL_DAMAGE</t>
        </is>
      </c>
      <c r="T25" t="n">
        <v>0</v>
      </c>
      <c r="U25" t="b">
        <v>0</v>
      </c>
      <c r="V25" t="inlineStr"/>
      <c r="W25" t="inlineStr"/>
      <c r="X25" t="inlineStr">
        <is>
          <t>Marksman's own 4th-job Final-Damage passive slot (NOT shared with Bowmaster's Armor Break — a genuinely different mechanic per the plan). 'Increases Final Damage by 15%-&gt;24% (levels 1-200). If there is 1 enemy, additionally increased by 5%-&gt;8.9%.' This row models the unconditional base-FD half; see LAST_MAN_STANDING_COND for the conditional 1-enemy half. Magic Critical pattern — already baked into Inputs!FINAL_DAMAGE%; feeds the 4th-Job Skill Level Bonus delta. factorIndex 22, baseDamage 150 tenths%. Not patched.</t>
        </is>
      </c>
    </row>
    <row r="26">
      <c r="A26" t="inlineStr">
        <is>
          <t>LAST_MAN_STANDING_COND</t>
        </is>
      </c>
      <c r="B26" t="inlineStr">
        <is>
          <t>Last Man Standing (1-enemy conditional FD)</t>
        </is>
      </c>
      <c r="C26" t="n">
        <v>4</v>
      </c>
      <c r="D26" t="inlineStr"/>
      <c r="E26" t="b">
        <v>0</v>
      </c>
      <c r="F26" t="n">
        <v>1</v>
      </c>
      <c r="G26" t="n">
        <v>1</v>
      </c>
      <c r="H26" t="n">
        <v>0</v>
      </c>
      <c r="I26" t="n">
        <v>0</v>
      </c>
      <c r="J26" t="n">
        <v>100</v>
      </c>
      <c r="K26" t="n">
        <v>1</v>
      </c>
      <c r="L26" t="n">
        <v>50</v>
      </c>
      <c r="M26" t="n">
        <v>22</v>
      </c>
      <c r="N26" t="b">
        <v>1</v>
      </c>
      <c r="O26" t="n">
        <v>0</v>
      </c>
      <c r="P26" t="n">
        <v>0</v>
      </c>
      <c r="Q26" t="n">
        <v>0</v>
      </c>
      <c r="R26" t="n">
        <v>0</v>
      </c>
      <c r="S26" t="inlineStr">
        <is>
          <t>FINAL_DAMAGE</t>
        </is>
      </c>
      <c r="T26" t="n">
        <v>0</v>
      </c>
      <c r="U26" t="b">
        <v>0</v>
      </c>
      <c r="V26" t="inlineStr"/>
      <c r="W26" t="inlineStr"/>
      <c r="X26" t="inlineStr">
        <is>
          <t>Conditional +5%-&gt;6.9%(levels 1-140, own confirmed curve range) Final Damage half of Last Man Standing, active only at 1 target (boss or pvp — confirmed by user). Modeled as a LIVE row, same monster_blend_expr mechanism as Marksmanship's own conditional Attack% half (full value at boss/pvp, zero at normal, weighted at breakthrough), folded additively into R_MORTAL_BLOW_BONUS's own Final Damage bucket alongside Mortal Blow — an earlier version of this row assumed Final Damage had no per-monster-type blend mechanism and left it flat/baked into Inputs, which was wrong; the same blend mechanism Attack% already uses applies here too, just added as another multiplicative-chain contributor instead of an Attack%-bucket one. factorIndex 22, baseDamage 50 tenths%.</t>
        </is>
      </c>
    </row>
    <row r="27">
      <c r="A27" t="inlineStr">
        <is>
          <t>CROSSBOW_EXPERT_SKILL</t>
        </is>
      </c>
      <c r="B27" t="inlineStr">
        <is>
          <t>Crossbow Expert (Skill Damage)</t>
        </is>
      </c>
      <c r="C27" t="n">
        <v>4</v>
      </c>
      <c r="D27" t="inlineStr"/>
      <c r="E27" t="b">
        <v>0</v>
      </c>
      <c r="F27" t="n">
        <v>1</v>
      </c>
      <c r="G27" t="n">
        <v>1</v>
      </c>
      <c r="H27" t="n">
        <v>0</v>
      </c>
      <c r="I27" t="n">
        <v>0</v>
      </c>
      <c r="J27" t="n">
        <v>100</v>
      </c>
      <c r="K27" t="n">
        <v>1</v>
      </c>
      <c r="L27" t="n">
        <v>150</v>
      </c>
      <c r="M27" t="n">
        <v>22</v>
      </c>
      <c r="N27" t="b">
        <v>1</v>
      </c>
      <c r="O27" t="n">
        <v>0</v>
      </c>
      <c r="P27" t="n">
        <v>0</v>
      </c>
      <c r="Q27" t="n">
        <v>0</v>
      </c>
      <c r="R27" t="n">
        <v>0</v>
      </c>
      <c r="S27" t="inlineStr">
        <is>
          <t>SKILL_DAMAGE</t>
        </is>
      </c>
      <c r="T27" t="n">
        <v>0</v>
      </c>
      <c r="U27" t="b">
        <v>0</v>
      </c>
      <c r="V27" t="inlineStr"/>
      <c r="W27" t="inlineStr"/>
      <c r="X27" t="inlineStr">
        <is>
          <t>Magic Critical pattern — already baked into Inputs!SKILL_DAMAGE%; feeds the 4th-Job Skill Level Bonus delta (Skill Damage side). factorIndex 22, baseDamage 150 tenths% (15%-&gt;24%, levels 1-200). Not patched. Shared-value-different-key w/ Bowmaster's own Bow Expert (confirmed identical curve via its own individual page).</t>
        </is>
      </c>
    </row>
    <row r="28">
      <c r="A28" t="inlineStr">
        <is>
          <t>CROSSBOW_EXPERT_MAXDMG</t>
        </is>
      </c>
      <c r="B28" t="inlineStr">
        <is>
          <t>Crossbow Expert (Max Damage Multiplier)</t>
        </is>
      </c>
      <c r="C28" t="n">
        <v>4</v>
      </c>
      <c r="D28" t="inlineStr"/>
      <c r="E28" t="b">
        <v>0</v>
      </c>
      <c r="F28" t="n">
        <v>1</v>
      </c>
      <c r="G28" t="n">
        <v>1</v>
      </c>
      <c r="H28" t="n">
        <v>0</v>
      </c>
      <c r="I28" t="n">
        <v>0</v>
      </c>
      <c r="J28" t="n">
        <v>100</v>
      </c>
      <c r="K28" t="n">
        <v>1</v>
      </c>
      <c r="L28" t="n">
        <v>200</v>
      </c>
      <c r="M28" t="n">
        <v>22</v>
      </c>
      <c r="N28" t="b">
        <v>1</v>
      </c>
      <c r="O28" t="n">
        <v>0</v>
      </c>
      <c r="P28" t="n">
        <v>0</v>
      </c>
      <c r="Q28" t="n">
        <v>0</v>
      </c>
      <c r="R28" t="n">
        <v>0</v>
      </c>
      <c r="S28" t="inlineStr">
        <is>
          <t>MAX_DAMAGE</t>
        </is>
      </c>
      <c r="T28" t="n">
        <v>0</v>
      </c>
      <c r="U28" t="b">
        <v>0</v>
      </c>
      <c r="V28" t="inlineStr"/>
      <c r="W28" t="inlineStr"/>
      <c r="X28" t="inlineStr">
        <is>
          <t>Same skill as Crossbow Expert (Skill Damage) above, +20%-&gt;32% Max Damage Multiplier. Magic Critical pattern — already baked into Inputs!MAX_DAMAGE%; feeds the 4th-Job Skill Level Bonus delta (Max Damage Multiplier side). factorIndex 22, baseDamage 200 tenths%.</t>
        </is>
      </c>
    </row>
    <row r="29">
      <c r="A29" t="inlineStr">
        <is>
          <t>SOUL_ARROW_CROSSBOW_ATK</t>
        </is>
      </c>
      <c r="B29" t="inlineStr">
        <is>
          <t>Soul Arrow: Crossbow (Attack%)</t>
        </is>
      </c>
      <c r="C29" t="n">
        <v>2</v>
      </c>
      <c r="D29" t="inlineStr"/>
      <c r="E29" t="b">
        <v>0</v>
      </c>
      <c r="F29" t="n">
        <v>1</v>
      </c>
      <c r="G29" t="n">
        <v>1</v>
      </c>
      <c r="H29" t="n">
        <v>0</v>
      </c>
      <c r="I29" t="n">
        <v>0</v>
      </c>
      <c r="J29" t="n">
        <v>100</v>
      </c>
      <c r="K29" t="n">
        <v>1</v>
      </c>
      <c r="L29" t="n">
        <v>120</v>
      </c>
      <c r="M29" t="n">
        <v>22</v>
      </c>
      <c r="N29" t="b">
        <v>1</v>
      </c>
      <c r="O29" t="n">
        <v>0</v>
      </c>
      <c r="P29" t="n">
        <v>0</v>
      </c>
      <c r="Q29" t="n">
        <v>0</v>
      </c>
      <c r="R29" t="n">
        <v>0</v>
      </c>
      <c r="S29" t="inlineStr">
        <is>
          <t>ATTACK</t>
        </is>
      </c>
      <c r="T29" t="n">
        <v>0</v>
      </c>
      <c r="U29" t="b">
        <v>0</v>
      </c>
      <c r="V29" t="inlineStr"/>
      <c r="W29" t="inlineStr"/>
      <c r="X29" t="inlineStr">
        <is>
          <t>Genuinely different mechanic from Bowmaster's own Soul Arrow: Bow (flat Attack%, no AS-scaling, no DEX bonus at all — per the plan's own NOT-shared list). Own scaling curve confirmed via its individual page (10%-&gt;13% pre-patch), PATCHED 10%-&gt;12% at level 1 (curve rescaled 12/10=1.2x before reverse-engineering — factorIndex 22, baseDamage 120 tenths% already reflects the patched value). Magic Critical pattern — already baked into Inputs!ATTACK_PCT (folds into the attack_mult delta bucket, same slot as Shadower's own Channel Karma); feeds the 2nd-Job Skill Level Bonus delta.</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81"/>
  <sheetViews>
    <sheetView workbookViewId="0">
      <selection activeCell="A1" sqref="A1"/>
    </sheetView>
  </sheetViews>
  <sheetFormatPr baseColWidth="8" defaultRowHeight="15"/>
  <cols>
    <col width="55" customWidth="1" min="1" max="1"/>
    <col width="16" customWidth="1" min="2" max="2"/>
  </cols>
  <sheetData>
    <row r="1">
      <c r="A1" s="4" t="inlineStr">
        <is>
          <t>Marksman — Artifacts (Equip Effect)</t>
        </is>
      </c>
    </row>
    <row r="3">
      <c r="A3" t="inlineStr">
        <is>
          <t>Book of Ancient — Crit Damage (from Crit Rate, reference only)</t>
        </is>
      </c>
      <c r="B3">
        <f>IF(ArtifactsInput!$M$24,CHOOSE(ArtifactsInput!$N$24+1,30,36,42,48,54,60)/100*(Inputs!$B$9+B5+B29),0)</f>
        <v/>
      </c>
    </row>
    <row r="4">
      <c r="A4" t="inlineStr">
        <is>
          <t>Ring of Cycles — Threshold Crit Rate (excl. self)</t>
        </is>
      </c>
      <c r="B4">
        <f>Inputs!$B$9+B29</f>
        <v/>
      </c>
    </row>
    <row r="5">
      <c r="A5" t="inlineStr">
        <is>
          <t>Ring of Cycles — Crit Rate (if threshold &lt; 100%)</t>
        </is>
      </c>
      <c r="B5">
        <f>IF(AND(ArtifactsInput!$M$42,B4&lt;100),CHOOSE(ArtifactsInput!$N$42+1,30,36,42,48,54,60),0)</f>
        <v/>
      </c>
    </row>
    <row r="6">
      <c r="A6" t="inlineStr">
        <is>
          <t>Ring of Cycles — Skill Damage (if threshold &gt;= 100%)</t>
        </is>
      </c>
      <c r="B6">
        <f>IF(AND(ArtifactsInput!$M$42,B4&gt;=100),CHOOSE(ArtifactsInput!$N$42+1,40,48,56,64,72,80),0)</f>
        <v/>
      </c>
    </row>
    <row r="7">
      <c r="A7" t="inlineStr">
        <is>
          <t>Ring of Cycles — Excess-100% Points (capped at 100)</t>
        </is>
      </c>
      <c r="B7">
        <f>IF(AND(ArtifactsInput!$M$42,B4&gt;=100),MIN(100,B4-100),0)</f>
        <v/>
      </c>
    </row>
    <row r="8">
      <c r="A8" t="inlineStr">
        <is>
          <t>Ring of Cycles — Basic Attack Damage (excess points x per-point)</t>
        </is>
      </c>
      <c r="B8">
        <f>B7*CHOOSE(ArtifactsInput!$N$42+1,0.6,0.72,0.84,0.96,1.08,1.2)</f>
        <v/>
      </c>
    </row>
    <row r="9">
      <c r="A9" t="inlineStr">
        <is>
          <t>Candle — Effective Fight Duration</t>
        </is>
      </c>
      <c r="B9">
        <f>IF(Inputs!$B$38="pvp",15,Inputs!$B$43)</f>
        <v/>
      </c>
    </row>
    <row r="10">
      <c r="A10" t="inlineStr">
        <is>
          <t>Candle — Effective Active (fixed-duration or PvP)</t>
        </is>
      </c>
      <c r="B10">
        <f>IF(Inputs!$B$38="pvp",TRUE,AND(Inputs!$B$38&lt;&gt;"pvp",Inputs!$B$43&gt;0))</f>
        <v/>
      </c>
    </row>
    <row r="11">
      <c r="A11" t="inlineStr">
        <is>
          <t>Candle — Final Damage (100% uptime, patched)</t>
        </is>
      </c>
      <c r="B11">
        <f>IF(AND(ArtifactsInput!$M$36,B10),CHOOSE(ArtifactsInput!$N$36+1,8,9.6,11.2,12.8,14.4,16),0)</f>
        <v/>
      </c>
    </row>
    <row r="12">
      <c r="A12" t="inlineStr">
        <is>
          <t>Candle — Boss Monster Damage (20-40s window / boss-present-time uptime, patched)</t>
        </is>
      </c>
      <c r="B12">
        <f>IF(AND(ArtifactsInput!$M$36,B10),MAX(0,MIN(40,B9)-MAX(20,B41))/(B9-B41)*CHOOSE(ArtifactsInput!$N$36+1,30,36,42,48,54,60),0)</f>
        <v/>
      </c>
    </row>
    <row r="13">
      <c r="A13" t="inlineStr">
        <is>
          <t>Peach Tree Herb Pouch — Proc Rate (per second)</t>
        </is>
      </c>
      <c r="B13">
        <f>0.2*Summary!$B$17</f>
        <v/>
      </c>
    </row>
    <row r="14">
      <c r="A14" t="inlineStr">
        <is>
          <t>Peach Tree Herb Pouch — Uptime (refreshing 5s timer)</t>
        </is>
      </c>
      <c r="B14">
        <f>1-EXP(-B13*5)</f>
        <v/>
      </c>
    </row>
    <row r="15">
      <c r="A15" t="inlineStr">
        <is>
          <t>Peach Tree Herb Pouch — Enemy Damage Taken</t>
        </is>
      </c>
      <c r="B15">
        <f>IF(AND(ArtifactsInput!$M$35,Inputs!$B$4&lt;&gt;"Chapter Hunt"),CHOOSE(ArtifactsInput!$N$35+1,15,18,21,24,27,30)*B14,0)</f>
        <v/>
      </c>
    </row>
    <row r="16">
      <c r="A16" t="inlineStr">
        <is>
          <t>Silver Pendant — Offered Load (rho = lambda x duration)</t>
        </is>
      </c>
      <c r="B16">
        <f>0.15*Summary!$B$17*5</f>
        <v/>
      </c>
    </row>
    <row r="17">
      <c r="A17" t="inlineStr">
        <is>
          <t>Silver Pendant — Erlang Loss Weight (n=0)</t>
        </is>
      </c>
      <c r="B17">
        <f>B16^0/1</f>
        <v/>
      </c>
    </row>
    <row r="18">
      <c r="A18" t="inlineStr">
        <is>
          <t>Silver Pendant — Erlang Loss Weight (n=1)</t>
        </is>
      </c>
      <c r="B18">
        <f>B16^1/1</f>
        <v/>
      </c>
    </row>
    <row r="19">
      <c r="A19" t="inlineStr">
        <is>
          <t>Silver Pendant — Erlang Loss Weight (n=2)</t>
        </is>
      </c>
      <c r="B19">
        <f>B16^2/2</f>
        <v/>
      </c>
    </row>
    <row r="20">
      <c r="A20" t="inlineStr">
        <is>
          <t>Silver Pendant — Erlang Loss Weight (n=3)</t>
        </is>
      </c>
      <c r="B20">
        <f>B16^3/6</f>
        <v/>
      </c>
    </row>
    <row r="21">
      <c r="A21" t="inlineStr">
        <is>
          <t>Silver Pendant — Erlang Loss Weight (n=4)</t>
        </is>
      </c>
      <c r="B21">
        <f>B16^4/24</f>
        <v/>
      </c>
    </row>
    <row r="22">
      <c r="A22" t="inlineStr">
        <is>
          <t>Silver Pendant — Erlang Loss Weight (n=5)</t>
        </is>
      </c>
      <c r="B22">
        <f>B16^5/120</f>
        <v/>
      </c>
    </row>
    <row r="23">
      <c r="A23" t="inlineStr">
        <is>
          <t>Silver Pendant — Average Stacks (Erlang-loss mean)</t>
        </is>
      </c>
      <c r="B23">
        <f>(0*B17+1*B18+2*B19+3*B20+4*B21+5*B22)/(B17+B18+B19+B20+B21+B22)</f>
        <v/>
      </c>
    </row>
    <row r="24">
      <c r="A24" t="inlineStr">
        <is>
          <t>Silver Pendant — Enemy Damage Taken</t>
        </is>
      </c>
      <c r="B24">
        <f>IF(AND(ArtifactsInput!$M$22,Inputs!$B$4&lt;&gt;"Chapter Hunt"),CHOOSE(ArtifactsInput!$N$22+1,10,12,14,16,18,20)*B23,0)</f>
        <v/>
      </c>
    </row>
    <row r="25">
      <c r="A25" t="inlineStr">
        <is>
          <t>Athena Pierce's Old Gloves — Max Damage (from Attack Speed, reference only)</t>
        </is>
      </c>
      <c r="B25">
        <f>IF(ArtifactsInput!$M$15,CHOOSE(ArtifactsInput!$N$15+1,25,30,35,40,45,50)/100*Inputs!$B$11,0)</f>
        <v/>
      </c>
    </row>
    <row r="26">
      <c r="A26" t="inlineStr">
        <is>
          <t>Hexagon Necklace — Average Stacks</t>
        </is>
      </c>
      <c r="B26">
        <f>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f>
        <v/>
      </c>
    </row>
    <row r="27">
      <c r="A27" t="inlineStr">
        <is>
          <t>Hexagon Necklace — Damage %</t>
        </is>
      </c>
      <c r="B27">
        <f>IF(ArtifactsInput!$M$11,CHOOSE(ArtifactsInput!$N$11+1,15,18,21,24,27,30)*B26,0)</f>
        <v/>
      </c>
    </row>
    <row r="28">
      <c r="A28" t="inlineStr">
        <is>
          <t>Rainbow-colored Snail Shell — Uptime (0-15s window)</t>
        </is>
      </c>
      <c r="B28">
        <f>IF(Inputs!$B$38="pvp",MIN(15,15)/15,IF(AND(Inputs!$B$38&lt;&gt;"pvp",Inputs!$B$43&gt;0),MIN(15,Inputs!$B$43)/Inputs!$B$43,0))</f>
        <v/>
      </c>
    </row>
    <row r="29">
      <c r="A29" t="inlineStr">
        <is>
          <t>Rainbow-colored Snail Shell — Crit Rate</t>
        </is>
      </c>
      <c r="B29">
        <f>IF(ArtifactsInput!$M$10,CHOOSE(ArtifactsInput!$N$10+1,15,18,21,24,27,30)*B28,0)</f>
        <v/>
      </c>
    </row>
    <row r="30">
      <c r="A30" t="inlineStr">
        <is>
          <t>Rainbow-colored Snail Shell — Crit Damage</t>
        </is>
      </c>
      <c r="B30">
        <f>IF(ArtifactsInput!$M$10,CHOOSE(ArtifactsInput!$N$10+1,20,24,28,32,36,40)*B28,0)</f>
        <v/>
      </c>
    </row>
    <row r="32">
      <c r="A32" s="6" t="inlineStr">
        <is>
          <t>TOTAL — Artifact Crit Rate Bonus</t>
        </is>
      </c>
      <c r="B32" s="6">
        <f>B5+B29</f>
        <v/>
      </c>
    </row>
    <row r="33">
      <c r="A33" s="6" t="inlineStr">
        <is>
          <t>TOTAL — Artifact Crit Damage Bonus</t>
        </is>
      </c>
      <c r="B33" s="6">
        <f>B30+B47</f>
        <v/>
      </c>
    </row>
    <row r="34">
      <c r="A34" s="6" t="inlineStr">
        <is>
          <t>TOTAL — Artifact Final Damage Bonus (equivalent %, each real source combines MULTIPLICATIVELY — Candle x Flaming Lava x Horn Flute, not summed)</t>
        </is>
      </c>
      <c r="B34" s="6">
        <f>((1+B11/100)*(1+B46/100)*(1+B55/100)-1)*100</f>
        <v/>
      </c>
    </row>
    <row r="35">
      <c r="A35" s="6" t="inlineStr">
        <is>
          <t>TOTAL — Artifact Boss Monster Damage Bonus</t>
        </is>
      </c>
      <c r="B35" s="6">
        <f>B12+B60</f>
        <v/>
      </c>
    </row>
    <row r="36">
      <c r="A36" s="6" t="inlineStr">
        <is>
          <t>TOTAL — Artifact Enemy Damage Taken Bonus</t>
        </is>
      </c>
      <c r="B36" s="6">
        <f>B15+B24</f>
        <v/>
      </c>
    </row>
    <row r="38">
      <c r="A38" s="6" t="inlineStr">
        <is>
          <t>TOTAL — Artifact Damage Bonus (own separate final multiplier, like Magic Guard/Meditation's Average Buff Multiplier — not blended into Inputs!DAMAGE%)</t>
        </is>
      </c>
      <c r="B38" s="6">
        <f>B27</f>
        <v/>
      </c>
    </row>
    <row r="39">
      <c r="A39" s="6" t="inlineStr">
        <is>
          <t>TOTAL — Artifact Skill Damage Bonus</t>
        </is>
      </c>
      <c r="B39" s="6">
        <f>B6</f>
        <v/>
      </c>
    </row>
    <row r="40">
      <c r="A40" s="6" t="inlineStr">
        <is>
          <t>TOTAL — Artifact Basic Attack Damage Bonus</t>
        </is>
      </c>
      <c r="B40" s="6">
        <f>B8</f>
        <v/>
      </c>
    </row>
    <row r="41">
      <c r="A41" t="inlineStr">
        <is>
          <t>Candle — Boss Appear Time (Breakthrough/Hero Dungeon only)</t>
        </is>
      </c>
      <c r="B41">
        <f>IF(Inputs!$B$4="Breakthrough",20,IF(Inputs!$B$4="Hero Dungeon",30,0))</f>
        <v/>
      </c>
    </row>
    <row r="42">
      <c r="A42" t="inlineStr">
        <is>
          <t>Clear Spring Water — Final Damage (reference only, Growth Dungeon types)</t>
        </is>
      </c>
      <c r="B42">
        <f>IF(AND(ArtifactsInput!$M$14,OR(Inputs!$B$4="Weapon Dungeon",Inputs!$B$4="Equipment Dungeon",Inputs!$B$4="Enhancement Dungeon",Inputs!$B$4="EXP Dungeon",Inputs!$B$4="Hero Dungeon")),CHOOSE(ArtifactsInput!$N$14+1,10,12,14,16,18,20),0)</f>
        <v/>
      </c>
    </row>
    <row r="43">
      <c r="A43" t="inlineStr">
        <is>
          <t>Old Music Box — Attack % (content-type uptime assumption)</t>
        </is>
      </c>
      <c r="B43">
        <f>IF(ArtifactsInput!$M$21,CHOOSE(ArtifactsInput!$N$21+1,25,30,35,40,45,50)*(IF(OR(Inputs!$B$4="Chapter Hunt",Inputs!$B$4="Breakthrough",Inputs!$B$4="Weapon Dungeon",Inputs!$B$4="Equipment Dungeon",Inputs!$B$4="Enhancement Dungeon",Inputs!$B$4="EXP Dungeon",Inputs!$B$4="Hero Dungeon"),0,IF(OR(Inputs!$B$4="World Boss",Inputs!$B$4="PvP"),1,IF(Inputs!$B$4="Chapter Boss",60/70,0)))),0)</f>
        <v/>
      </c>
    </row>
    <row r="44">
      <c r="A44" t="inlineStr">
        <is>
          <t>Soul Contract — Skill Cooldown Decrease % (Chapter Hunt only)</t>
        </is>
      </c>
      <c r="B44">
        <f>IF(AND(ArtifactsInput!$M$27,Inputs!$B$4="Chapter Hunt"),CHOOSE(ArtifactsInput!$N$27+1,20,24,28,32,36,40),0)</f>
        <v/>
      </c>
    </row>
    <row r="45">
      <c r="A45" t="inlineStr">
        <is>
          <t>Soul Pouch — Final Damage (reference only, PvP/"Arena")</t>
        </is>
      </c>
      <c r="B45">
        <f>IF(AND(ArtifactsInput!$M$29,Inputs!$B$38="pvp"),CHOOSE(ArtifactsInput!$N$29+1,20,24,28,32,36,40),0)</f>
        <v/>
      </c>
    </row>
    <row r="46">
      <c r="A46" t="inlineStr">
        <is>
          <t>Flaming Lava — Final Damage (always assumes target is debuffed)</t>
        </is>
      </c>
      <c r="B46">
        <f>IF(AND(ArtifactsInput!$M$32,Inputs!$B$4&lt;&gt;"Chapter Hunt"),CHOOSE(ArtifactsInput!$N$32+1,8,9.6,11.2,12.8,14.4,16),0)</f>
        <v/>
      </c>
    </row>
    <row r="47">
      <c r="A47" t="inlineStr">
        <is>
          <t>Icy Soul Rock — Crit Damage (1.5x-averaged, MP not modeled)</t>
        </is>
      </c>
      <c r="B47">
        <f>IF(ArtifactsInput!$M$31,1.5*CHOOSE(ArtifactsInput!$N$31+1,20,24,28,32,36,40),0)</f>
        <v/>
      </c>
    </row>
    <row r="48">
      <c r="A48" t="inlineStr">
        <is>
          <t>Secret Map — Attack %</t>
        </is>
      </c>
      <c r="B48">
        <f>IF(ArtifactsInput!$M$41,CHOOSE(ArtifactsInput!$N$41+1,5,6,7,8,9,10),0)</f>
        <v/>
      </c>
    </row>
    <row r="49">
      <c r="A49" t="inlineStr">
        <is>
          <t>Secret Map — Final Damage (normal-monster branch only)</t>
        </is>
      </c>
      <c r="B49">
        <f>IF(AND(ArtifactsInput!$M$41,Inputs!$B$38&lt;&gt;"pvp"),CHOOSE(ArtifactsInput!$N$41+1,5,6,7,8,9,10)*IF(OR(Inputs!$B$4="Weapon Dungeon",Inputs!$B$4="Equipment Dungeon",Inputs!$B$4="Enhancement Dungeon",Inputs!$B$4="EXP Dungeon",Inputs!$B$4="Hero Dungeon"),3,1),0)</f>
        <v/>
      </c>
    </row>
    <row r="50">
      <c r="A50" t="inlineStr">
        <is>
          <t>Reindeer's Spear — Attack %</t>
        </is>
      </c>
      <c r="B50">
        <f>IF(ArtifactsInput!$M$40,CHOOSE(ArtifactsInput!$N$40+1,5,6,7,8,9,10),0)</f>
        <v/>
      </c>
    </row>
    <row r="51">
      <c r="A51" t="inlineStr">
        <is>
          <t>Reindeer's Spear — Base (1x) Defense Penetration (reference only)</t>
        </is>
      </c>
      <c r="B51">
        <f>IF(ArtifactsInput!$M$40,CHOOSE(ArtifactsInput!$N$40+1,5,6,7,8,9,10),0)</f>
        <v/>
      </c>
    </row>
    <row r="52">
      <c r="A52" s="6" t="inlineStr">
        <is>
          <t>TOTAL — Artifact Attack % Bonus (Old Music Box/Secret Map/Reindeer's Spear/Alliance Badge/Bottle of Emotion/Charm of the Undead — additive into the same bucket as Marksmanship's own conditional half)</t>
        </is>
      </c>
      <c r="B52" s="6">
        <f>B43+B48+B50+B58+B56+B71</f>
        <v/>
      </c>
    </row>
    <row r="53">
      <c r="A53" s="6" t="inlineStr">
        <is>
          <t>TOTAL — Artifact Final Damage Bonus, NORMAL-MONSTER BRANCH ONLY (Secret Map/Fire Flower/Chalice)</t>
        </is>
      </c>
      <c r="B53" s="6">
        <f>B49+B62+B65</f>
        <v/>
      </c>
    </row>
    <row r="54">
      <c r="A54" t="inlineStr">
        <is>
          <t>Cursed Doll — Final Damage (reference only)</t>
        </is>
      </c>
      <c r="B54">
        <f>IF(ArtifactsInput!$M$39,CHOOSE(ArtifactsInput!$N$39+1,7,8.4,9.8,11.2,12.6,14),0)</f>
        <v/>
      </c>
    </row>
    <row r="55">
      <c r="A55" t="inlineStr">
        <is>
          <t>Horn Flute — Final Damage (character's own portion only)</t>
        </is>
      </c>
      <c r="B55">
        <f>IF(AND(ArtifactsInput!$M$38,Inputs!$B$38&lt;&gt;"pvp",Inputs!$B$43&gt;0),CHOOSE(ArtifactsInput!$N$38+1,10,12,14,16,18,20)*(MIN(30,MAX(0,Inputs!$B$43-7))/Inputs!$B$43)*IF(Inputs!$B$4="Chapter Boss",2,1),0)</f>
        <v/>
      </c>
    </row>
    <row r="56">
      <c r="A56" t="inlineStr">
        <is>
          <t>Bottle of Emotion — Attack %</t>
        </is>
      </c>
      <c r="B56">
        <f>IF(ArtifactsInput!$M$34,CHOOSE(ArtifactsInput!$N$34+1,15,18,21,24,27,30),0)</f>
        <v/>
      </c>
    </row>
    <row r="57">
      <c r="A57" t="inlineStr">
        <is>
          <t>Bottle of Emotion — Final Damage from Attack Speed (reference only)</t>
        </is>
      </c>
      <c r="B57">
        <f>IF(ArtifactsInput!$M$34,MIN(CHOOSE(ArtifactsInput!$N$34+1,10,12,14,16,18,20),MAX(0,(CHOOSE(ArtifactsInput!$N$34+1,0.5,0.6,0.7,0.8,0.9,1)/3)*(Inputs!$B$11-60))),0)</f>
        <v/>
      </c>
    </row>
    <row r="58">
      <c r="A58" t="inlineStr">
        <is>
          <t>Alliance Badge — Attack %</t>
        </is>
      </c>
      <c r="B58">
        <f>IF(ArtifactsInput!$M$37,CHOOSE(ArtifactsInput!$N$37+1,10,12,14,16,18,20),0)</f>
        <v/>
      </c>
    </row>
    <row r="59">
      <c r="A59" t="inlineStr">
        <is>
          <t>Sayram's Necklace — Normal Monster Damage</t>
        </is>
      </c>
      <c r="B59">
        <f>IF(ArtifactsInput!$M$33,CHOOSE(ArtifactsInput!$N$33+1,30,36,42,48,54,60),0)</f>
        <v/>
      </c>
    </row>
    <row r="60">
      <c r="A60" t="inlineStr">
        <is>
          <t>Sayram's Necklace — Boss Monster Damage</t>
        </is>
      </c>
      <c r="B60">
        <f>IF(ArtifactsInput!$M$33,CHOOSE(ArtifactsInput!$N$33+1,10,12,14,16,18,20),0)</f>
        <v/>
      </c>
    </row>
    <row r="61">
      <c r="A61" t="inlineStr">
        <is>
          <t>Lit Lamp — Final Damage (reference only, World Boss)</t>
        </is>
      </c>
      <c r="B61">
        <f>IF(AND(ArtifactsInput!$M$28,Inputs!$B$4="World Boss"),CHOOSE(ArtifactsInput!$N$28+1,20,24,28,32,36,40),0)</f>
        <v/>
      </c>
    </row>
    <row r="62">
      <c r="A62" t="inlineStr">
        <is>
          <t>Fire Flower — Final Damage (normal-monster branch, 10 targets assumed)</t>
        </is>
      </c>
      <c r="B62">
        <f>IF(ArtifactsInput!$M$26,10*CHOOSE(ArtifactsInput!$N$26+1,1,1.2,1.4,1.6,1.8,2),0)</f>
        <v/>
      </c>
    </row>
    <row r="63">
      <c r="A63" t="inlineStr">
        <is>
          <t>Fire Flower — Final Damage (boss/PvP branch, 1 target assumed)</t>
        </is>
      </c>
      <c r="B63">
        <f>IF(ArtifactsInput!$M$26,1*CHOOSE(ArtifactsInput!$N$26+1,1,1.2,1.4,1.6,1.8,2),0)</f>
        <v/>
      </c>
    </row>
    <row r="64">
      <c r="A64" t="inlineStr">
        <is>
          <t>Star Rock — Boss Monster Damage (reference only)</t>
        </is>
      </c>
      <c r="B64">
        <f>IF(ArtifactsInput!$M$23,CHOOSE(ArtifactsInput!$N$23+1,50,60,70,80,90,100),0)</f>
        <v/>
      </c>
    </row>
    <row r="65">
      <c r="A65" t="inlineStr">
        <is>
          <t>Chalice — Final Damage (normal-monster branch)</t>
        </is>
      </c>
      <c r="B65">
        <f>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f>
        <v/>
      </c>
    </row>
    <row r="66">
      <c r="A66" t="inlineStr">
        <is>
          <t>Chalice — Final Damage (boss branch)</t>
        </is>
      </c>
      <c r="B66">
        <f>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f>
        <v/>
      </c>
    </row>
    <row r="69">
      <c r="A69" t="inlineStr">
        <is>
          <t>The Contract of Darkness — Crit Rate (boss branch only)</t>
        </is>
      </c>
      <c r="B69">
        <f>IF(AND(ArtifactsInput!$M$8,Inputs!$B$38&lt;&gt;"pvp"),CHOOSE(ArtifactsInput!$N$8+1,8,9.6,11.2,12.8,14.4,16),0)</f>
        <v/>
      </c>
    </row>
    <row r="70">
      <c r="A70" t="inlineStr">
        <is>
          <t>Shamaness Marble — Buff Duration Increase % (reference only)</t>
        </is>
      </c>
      <c r="B70">
        <f>IF(ArtifactsInput!$M$7,CHOOSE(ArtifactsInput!$N$7+1,6,7.2,8.4,9.6,10.8,12),0)</f>
        <v/>
      </c>
    </row>
    <row r="71">
      <c r="A71" t="inlineStr">
        <is>
          <t>Charm of the Undead — Attack % (periodic uptime)</t>
        </is>
      </c>
      <c r="B71">
        <f>IF(ArtifactsInput!$M$5,CHOOSE(ArtifactsInput!$N$5+1,10,12,14,16,18,20)*(IF(AND(Inputs!$B$38&lt;&gt;"pvp",Inputs!$B$43=0),0.5,(5*INT(MAX(0,IF(Inputs!$B$38="pvp",15,Inputs!$B$43)-10)/10)+MIN((MAX(0,IF(Inputs!$B$38="pvp",15,Inputs!$B$43)-10)-10*INT(MAX(0,IF(Inputs!$B$38="pvp",15,Inputs!$B$43)-10)/10)),5))/IF(Inputs!$B$38="pvp",15,Inputs!$B$43))),0)</f>
        <v/>
      </c>
    </row>
    <row r="72">
      <c r="A72" t="inlineStr">
        <is>
          <t>Ancient Text Piece — always 0 (Guild Conquest not modeled)</t>
        </is>
      </c>
      <c r="B72" t="n">
        <v>0</v>
      </c>
    </row>
    <row r="73">
      <c r="A73" t="inlineStr">
        <is>
          <t>Lunar Dew — always 0 (no attacking effect)</t>
        </is>
      </c>
      <c r="B73" t="n">
        <v>0</v>
      </c>
    </row>
    <row r="74">
      <c r="A74" t="inlineStr">
        <is>
          <t>Pink Bean's Giant Rib — always 0 (raid content not modeled)</t>
        </is>
      </c>
      <c r="B74" t="n">
        <v>0</v>
      </c>
    </row>
    <row r="75">
      <c r="A75" t="inlineStr">
        <is>
          <t>Horntail's Scale — always 0 (raid content not modeled)</t>
        </is>
      </c>
      <c r="B75" t="n">
        <v>0</v>
      </c>
    </row>
    <row r="76">
      <c r="A76" t="inlineStr">
        <is>
          <t>Zakum's Stone Piece — always 0 (raid content not modeled)</t>
        </is>
      </c>
      <c r="B76" t="n">
        <v>0</v>
      </c>
    </row>
    <row r="77">
      <c r="A77" t="inlineStr">
        <is>
          <t>Mushmom's Cap — always 0 (Accuracy-vs-Evasion not modeled)</t>
        </is>
      </c>
      <c r="B77" t="n">
        <v>0</v>
      </c>
    </row>
    <row r="78">
      <c r="A78" t="inlineStr">
        <is>
          <t>Arwen's Glass Shoes — always 0 (companions not modeled)</t>
        </is>
      </c>
      <c r="B78" t="n">
        <v>0</v>
      </c>
    </row>
    <row r="79">
      <c r="A79" t="inlineStr">
        <is>
          <t>Pig's Ribbon — always 0 (no attacking effect)</t>
        </is>
      </c>
      <c r="B79" t="n">
        <v>0</v>
      </c>
    </row>
    <row r="80">
      <c r="A80" s="6" t="inlineStr">
        <is>
          <t>TOTAL — Artifact Normal Monster Damage Bonus</t>
        </is>
      </c>
      <c r="B80" s="6">
        <f>B59</f>
        <v/>
      </c>
    </row>
    <row r="81">
      <c r="A81" s="6" t="inlineStr">
        <is>
          <t>TOTAL — Artifact Final Damage Bonus, BOSS BRANCH ONLY (Fire Flower/Chalice)</t>
        </is>
      </c>
      <c r="B81" s="6">
        <f>B63+B66</f>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V2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6" customWidth="1" min="1" max="1"/>
    <col width="34" customWidth="1" min="2" max="2"/>
    <col width="10" customWidth="1" min="3" max="3"/>
    <col width="12" customWidth="1" min="4" max="4"/>
    <col width="9" customWidth="1" min="5" max="5"/>
    <col width="15" customWidth="1" min="6" max="6"/>
    <col width="13" customWidth="1" min="7" max="7"/>
    <col width="14" customWidth="1" min="8" max="8"/>
    <col width="17" customWidth="1" min="9" max="9"/>
    <col width="13" customWidth="1" min="10" max="10"/>
    <col width="15" customWidth="1" min="11" max="11"/>
    <col width="12" customWidth="1" min="12" max="12"/>
    <col width="12" customWidth="1" min="13" max="13"/>
    <col width="17" customWidth="1" min="14" max="14"/>
    <col width="12" customWidth="1" min="15" max="15"/>
    <col width="10" customWidth="1" min="16" max="16"/>
    <col width="12" customWidth="1" min="17" max="17"/>
    <col width="12" customWidth="1" min="18" max="18"/>
    <col width="14" customWidth="1" min="19" max="19"/>
  </cols>
  <sheetData>
    <row r="1">
      <c r="A1" s="5" t="inlineStr">
        <is>
          <t>Key</t>
        </is>
      </c>
      <c r="B1" s="5" t="inlineStr">
        <is>
          <t>Name</t>
        </is>
      </c>
      <c r="C1" s="5" t="inlineStr">
        <is>
          <t>Unlocked</t>
        </is>
      </c>
      <c r="D1" s="5" t="inlineStr">
        <is>
          <t>InputLevel</t>
        </is>
      </c>
      <c r="E1" s="5" t="inlineStr">
        <is>
          <t>Factor</t>
        </is>
      </c>
      <c r="F1" s="5" t="inlineStr">
        <is>
          <t>CoefficientPercent</t>
        </is>
      </c>
      <c r="G1" s="5" t="inlineStr">
        <is>
          <t>EffectiveHits</t>
        </is>
      </c>
      <c r="H1" s="5" t="inlineStr">
        <is>
          <t>ProcProbability</t>
        </is>
      </c>
      <c r="I1" s="5" t="inlineStr">
        <is>
          <t>MapleHeroMultiplier</t>
        </is>
      </c>
      <c r="J1" s="5" t="inlineStr">
        <is>
          <t>BaseDamage</t>
        </is>
      </c>
      <c r="K1" s="5" t="inlineStr">
        <is>
          <t>BaseHitDamage</t>
        </is>
      </c>
      <c r="L1" s="5" t="inlineStr">
        <is>
          <t>NonCritAvg</t>
        </is>
      </c>
      <c r="M1" s="5" t="inlineStr">
        <is>
          <t>CritAvg</t>
        </is>
      </c>
      <c r="N1" s="5" t="inlineStr">
        <is>
          <t>ExpectedDamage(perHit)</t>
        </is>
      </c>
      <c r="O1" s="5" t="inlineStr">
        <is>
          <t>DPS</t>
        </is>
      </c>
      <c r="P1" s="5" t="inlineStr">
        <is>
          <t>% of Total</t>
        </is>
      </c>
      <c r="Q1" s="5" t="inlineStr">
        <is>
          <t>InvCooldown</t>
        </is>
      </c>
      <c r="R1" s="5" t="inlineStr">
        <is>
          <t>CastsInFight</t>
        </is>
      </c>
      <c r="S1" s="5" t="inlineStr">
        <is>
          <t>HitRate(perSec)</t>
        </is>
      </c>
      <c r="T1" t="inlineStr">
        <is>
          <t>BossOnlyDPS</t>
        </is>
      </c>
      <c r="V1" t="inlineStr">
        <is>
          <t>NormalOnlyDPS</t>
        </is>
      </c>
    </row>
    <row r="2">
      <c r="A2">
        <f>Skills!A2</f>
        <v/>
      </c>
      <c r="B2">
        <f>Skills!B2</f>
        <v/>
      </c>
      <c r="C2">
        <f>Inputs!$B$3&gt;=100</f>
        <v/>
      </c>
      <c r="D2" t="inlineStr"/>
      <c r="E2" t="inlineStr"/>
      <c r="F2">
        <f>Summary!$B$10+Skills!O2</f>
        <v/>
      </c>
      <c r="G2">
        <f>Skills!G2*IF(Skills!H2&gt;0,Skills!I2/Skills!H2,1)</f>
        <v/>
      </c>
      <c r="H2">
        <f>1-(1-Skills!J2/100)^Skills!K2</f>
        <v/>
      </c>
      <c r="I2" t="inlineStr">
        <is>
          <t>1</t>
        </is>
      </c>
      <c r="J2">
        <f>Summary!$B$6*(F2/100)</f>
        <v/>
      </c>
      <c r="K2">
        <f>J2*(1+Summary!$B$7/100)*(1+Inputs!$B$15/100)*(1+Inputs!$B$16/100)*(5000/(6000+Inputs!$B$42*(1-Inputs!$B$19/100)))*(1+(Inputs!$B$24+Summary!$B$21)/100)*(1+Artifacts!$B$34/100)*(1+(IF(Skills!A2="EMPOWERED_PIERCING_ARROW",Inputs!$B$17+Artifacts!$B$40,Inputs!$B$18+Artifacts!$B$39))/100)*(Summary!$B$13*(1+Artifacts!$B$38/100)*I2)</f>
        <v/>
      </c>
      <c r="L2">
        <f>K2*(MIN(Inputs!$B$22,Inputs!$B$23)/100+Inputs!$B$23/100)/2</f>
        <v/>
      </c>
      <c r="M2">
        <f>L2*(1+(Inputs!$B$10+Summary!$B$20+Artifacts!$B$33)/100)</f>
        <v/>
      </c>
      <c r="N2">
        <f>L2*(1-MIN((Inputs!$B$9+Summary!$B$14+Artifacts!$B$32),100)/100)+M2*(MIN((Inputs!$B$9+Summary!$B$14+Artifacts!$B$32),100)/100)</f>
        <v/>
      </c>
      <c r="O2">
        <f>(1-Summary!$B$11)*T2+Summary!$B$11*V2</f>
        <v/>
      </c>
      <c r="P2">
        <f>IF(Summary!$B$3=0,0,O2/Summary!$B$3)</f>
        <v/>
      </c>
      <c r="Q2" t="n">
        <v>0</v>
      </c>
      <c r="R2" t="n">
        <v>0</v>
      </c>
      <c r="S2">
        <f>IFERROR((Skills!G2*N2*Summary!$B$19)/N2*IF(Inputs!$B$38="pvp",1,(1-Summary!$B$11)*1+Summary!$B$11*(MIN(Skills!R2,Inputs!$B$37))),0)</f>
        <v/>
      </c>
      <c r="T2">
        <f>IF(C2,(Skills!G2*N2*Summary!$B$19)*IF(Inputs!$B$38="pvp",1,1+(Inputs!$B$20+Skills!P2+Summary!$B$15+Artifacts!$B$35)/100)*((((5000/(6000+Inputs!$B$42*(1-(100*(1-(1-Inputs!$B$19/100)*(1-Artifacts!$B$51/100)^IF(Inputs!$B$38="pvp",1,2)))/100)))/(5000/(6000+Inputs!$B$42*(1-Inputs!$B$19/100))))*((L2*(1-MIN(100,(Inputs!$B$9+Summary!$B$14+Artifacts!$B$32)+Artifacts!$B$69)/100)+M2*(MIN(100,(Inputs!$B$9+Summary!$B$14+Artifacts!$B$32)+Artifacts!$B$69)/100))/(L2*(1-MIN(100,(Inputs!$B$9+Summary!$B$14+Artifacts!$B$32))/100)+M2*(MIN(100,(Inputs!$B$9+Summary!$B$14+Artifacts!$B$32))/100)))*(1+Artifacts!$B$81/100))),0)</f>
        <v/>
      </c>
      <c r="V2">
        <f>IF(C2,(Skills!G2*N2*Summary!$B$19)*IF(Inputs!$B$38="pvp",1,(1+(Inputs!$B$21+Skills!Q2+Summary!$B$15+Artifacts!$B$80)/100)*(MIN(Skills!R2,Inputs!$B$37)))*((1+Artifacts!$B$53/100)),0)</f>
        <v/>
      </c>
    </row>
    <row r="3">
      <c r="A3">
        <f>Skills!A3</f>
        <v/>
      </c>
      <c r="B3">
        <f>Skills!B3</f>
        <v/>
      </c>
      <c r="C3">
        <f>Inputs!$B$3&gt;=50</f>
        <v/>
      </c>
      <c r="D3">
        <f>IF(Skills!C3=1,60+Inputs!$B$25+Inputs!$B$29,IF(Skills!C3=2,90+Inputs!$B$26+Inputs!$B$29,IF(Skills!C3=3,120+Inputs!$B$27+Inputs!$B$29,MAX(0,(Inputs!$B$3-100)*3)+Inputs!$B$28+Inputs!$B$29)))</f>
        <v/>
      </c>
      <c r="E3">
        <f>INDEX(FactorTable!$B$2:$Y$301, MATCH(ROUND(MIN(300,MAX(1,D3)),0), FactorTable!$A$2:$A$301,0), Skills!M3+1)</f>
        <v/>
      </c>
      <c r="F3">
        <f>IF(Skills!N3=TRUE,(Skills!L3/10)*(E3/1000),Skills!L3/10)+Skills!O3</f>
        <v/>
      </c>
      <c r="G3" t="inlineStr"/>
      <c r="H3" t="inlineStr"/>
      <c r="I3" t="inlineStr">
        <is>
          <t>1</t>
        </is>
      </c>
      <c r="J3" t="inlineStr"/>
      <c r="K3" t="inlineStr"/>
      <c r="L3" t="inlineStr"/>
      <c r="M3" t="inlineStr"/>
      <c r="N3" t="inlineStr"/>
      <c r="O3" t="inlineStr"/>
      <c r="P3" t="inlineStr"/>
      <c r="Q3" t="inlineStr"/>
      <c r="R3" t="inlineStr"/>
      <c r="S3" t="inlineStr"/>
      <c r="T3" t="inlineStr"/>
      <c r="V3" t="inlineStr"/>
    </row>
    <row r="4">
      <c r="A4">
        <f>Skills!A4</f>
        <v/>
      </c>
      <c r="B4">
        <f>Skills!B4</f>
        <v/>
      </c>
      <c r="C4">
        <f>Inputs!$B$3&gt;=105</f>
        <v/>
      </c>
      <c r="D4">
        <f>IF(Skills!C4=1,60+Inputs!$B$25+Inputs!$B$29,IF(Skills!C4=2,90+Inputs!$B$26+Inputs!$B$29,IF(Skills!C4=3,120+Inputs!$B$27+Inputs!$B$29,MAX(0,(Inputs!$B$3-100)*3)+Inputs!$B$28+Inputs!$B$29)))</f>
        <v/>
      </c>
      <c r="E4">
        <f>INDEX(FactorTable!$B$2:$Y$301, MATCH(ROUND(MIN(300,MAX(1,D4)),0), FactorTable!$A$2:$A$301,0), Skills!M4+1)</f>
        <v/>
      </c>
      <c r="F4">
        <f>IF(Skills!N4=TRUE,(Skills!L4/10)*(E4/1000),Skills!L4/10)+Skills!O4</f>
        <v/>
      </c>
      <c r="G4" t="inlineStr"/>
      <c r="H4" t="inlineStr"/>
      <c r="I4" t="inlineStr">
        <is>
          <t>1</t>
        </is>
      </c>
      <c r="J4" t="inlineStr"/>
      <c r="K4" t="inlineStr"/>
      <c r="L4" t="inlineStr"/>
      <c r="M4" t="inlineStr"/>
      <c r="N4" t="inlineStr"/>
      <c r="O4" t="inlineStr"/>
      <c r="P4" t="inlineStr"/>
      <c r="Q4" t="inlineStr"/>
      <c r="R4" t="inlineStr"/>
      <c r="S4" t="inlineStr"/>
      <c r="T4" t="inlineStr"/>
      <c r="V4" t="inlineStr"/>
    </row>
    <row r="5">
      <c r="A5">
        <f>Skills!A5</f>
        <v/>
      </c>
      <c r="B5">
        <f>Skills!B5</f>
        <v/>
      </c>
      <c r="C5">
        <f>Inputs!$B$3&gt;=35</f>
        <v/>
      </c>
      <c r="D5">
        <f>IF(Skills!C5=1,60+Inputs!$B$25+Inputs!$B$29,IF(Skills!C5=2,90+Inputs!$B$26+Inputs!$B$29,IF(Skills!C5=3,120+Inputs!$B$27+Inputs!$B$29,MAX(0,(Inputs!$B$3-100)*3)+Inputs!$B$28+Inputs!$B$29)))</f>
        <v/>
      </c>
      <c r="E5">
        <f>INDEX(FactorTable!$B$2:$Y$301, MATCH(ROUND(MIN(300,MAX(1,D5)),0), FactorTable!$A$2:$A$301,0), Skills!M5+1)</f>
        <v/>
      </c>
      <c r="F5">
        <f>IF(Skills!N5=TRUE,(Skills!L5/10)*(E5/1000),Skills!L5/10)+Skills!O5</f>
        <v/>
      </c>
      <c r="G5">
        <f>Skills!G5*IF(Skills!H5&gt;0,Skills!I5/Skills!H5,1)</f>
        <v/>
      </c>
      <c r="H5">
        <f>1-(1-Skills!J5/100)^Skills!K5</f>
        <v/>
      </c>
      <c r="I5" t="inlineStr">
        <is>
          <t>1</t>
        </is>
      </c>
      <c r="J5">
        <f>Summary!$B$6*(F5/100)</f>
        <v/>
      </c>
      <c r="K5">
        <f>J5*(1+Summary!$B$7/100)*(1+Inputs!$B$15/100)*(1+Inputs!$B$16/100)*(5000/(6000+Inputs!$B$42*(1-Inputs!$B$19/100)))*(1+(Inputs!$B$24+Summary!$B$21)/100)*(1+Artifacts!$B$34/100)*(1+4.0*IF(C8=TRUE,F8,0)/100)*(1+(IF(Skills!A5="EMPOWERED_PIERCING_ARROW",Inputs!$B$17+Artifacts!$B$40,Inputs!$B$18+Artifacts!$B$39))/100)*(Summary!$B$13*(1+Artifacts!$B$38/100)*I5)</f>
        <v/>
      </c>
      <c r="L5">
        <f>K5*(MIN(Inputs!$B$22,Inputs!$B$23)/100+Inputs!$B$23/100)/2</f>
        <v/>
      </c>
      <c r="M5">
        <f>L5*(1+(Inputs!$B$10+Summary!$B$20+Artifacts!$B$33)/100)</f>
        <v/>
      </c>
      <c r="N5">
        <f>L5*(1-MIN((Inputs!$B$9+Summary!$B$14+Artifacts!$B$32),100)/100)+M5*(MIN((Inputs!$B$9+Summary!$B$14+Artifacts!$B$32),100)/100)</f>
        <v/>
      </c>
      <c r="O5">
        <f>(1-Summary!$B$11)*T5+Summary!$B$11*V5</f>
        <v/>
      </c>
      <c r="P5">
        <f>IF(Summary!$B$3=0,0,O5/Summary!$B$3)</f>
        <v/>
      </c>
      <c r="Q5">
        <f>IFERROR(1/IF(Inputs!$B$38="pvp",15,MAX(0.1,Skills!D5-IF(Skills!E5=TRUE,Inputs!$B$32,0))),0)</f>
        <v/>
      </c>
      <c r="R5">
        <f>IF(AND(Inputs!$B$38&lt;&gt;"pvp",Inputs!$B$43&gt;0),IF(MAX(0,Inputs!$B$43-Summary!$B$23)&lt;=0,0,(INT(MAX(0,Inputs!$B$43-Summary!$B$23)/IF(Inputs!$B$38="pvp",15,MAX(0.1,Skills!D5-IF(Skills!E5=TRUE,Inputs!$B$32,0))))+1)),0)</f>
        <v/>
      </c>
      <c r="S5">
        <f>IFERROR((H5*N5*IF(AND(Inputs!$B$38&lt;&gt;"pvp",Inputs!$B$43&gt;0),((Skills!G5*((R5-1)*IF(Skills!H5&gt;0,Skills!I5/Skills!H5,1)+IF(Skills!H5&gt;0,MIN(Skills!I5,MAX(0,MAX(0,Inputs!$B$43-Summary!$B$23)-((R5-1)*IF(Inputs!$B$38="pvp",15,MAX(0.1,Skills!D5-IF(Skills!E5=TRUE,Inputs!$B$32,0))))))/Skills!H5,1)))/Inputs!$B$43),G5*Q5))/N5*IF(Inputs!$B$38="pvp",1,(1-Summary!$B$11)*1+Summary!$B$11*(MIN(Skills!R5,Inputs!$B$37))),0)</f>
        <v/>
      </c>
      <c r="T5">
        <f>IF(C5,(H5*N5*IF(AND(Inputs!$B$38&lt;&gt;"pvp",Inputs!$B$43&gt;0),((Skills!G5*((R5-1)*IF(Skills!H5&gt;0,Skills!I5/Skills!H5,1)+IF(Skills!H5&gt;0,MIN(Skills!I5,MAX(0,MAX(0,Inputs!$B$43-Summary!$B$23)-((R5-1)*IF(Inputs!$B$38="pvp",15,MAX(0.1,Skills!D5-IF(Skills!E5=TRUE,Inputs!$B$32,0))))))/Skills!H5,1)))/Inputs!$B$43),G5*Q5))*IF(Inputs!$B$38="pvp",1,1+(Inputs!$B$20+Skills!P5+Summary!$B$15+Artifacts!$B$35)/100)*((((5000/(6000+Inputs!$B$42*(1-(100*(1-(1-Inputs!$B$19/100)*(1-Artifacts!$B$51/100)^IF(Inputs!$B$38="pvp",1,2)))/100)))/(5000/(6000+Inputs!$B$42*(1-Inputs!$B$19/100))))*((L5*(1-MIN(100,(Inputs!$B$9+Summary!$B$14+Artifacts!$B$32)+Artifacts!$B$69)/100)+M5*(MIN(100,(Inputs!$B$9+Summary!$B$14+Artifacts!$B$32)+Artifacts!$B$69)/100))/(L5*(1-MIN(100,(Inputs!$B$9+Summary!$B$14+Artifacts!$B$32))/100)+M5*(MIN(100,(Inputs!$B$9+Summary!$B$14+Artifacts!$B$32))/100)))*(1+Artifacts!$B$81/100))),0)</f>
        <v/>
      </c>
      <c r="V5">
        <f>IF(C5,(H5*N5*IF(AND(Inputs!$B$38&lt;&gt;"pvp",Inputs!$B$43&gt;0),((Skills!G5*((R5-1)*IF(Skills!H5&gt;0,Skills!I5/Skills!H5,1)+IF(Skills!H5&gt;0,MIN(Skills!I5,MAX(0,MAX(0,Inputs!$B$43-Summary!$B$23)-((R5-1)*IF(Inputs!$B$38="pvp",15,MAX(0.1,Skills!D5-IF(Skills!E5=TRUE,Inputs!$B$32,0))))))/Skills!H5,1)))/Inputs!$B$43),G5*Q5))*IF(Inputs!$B$38="pvp",1,(1+(Inputs!$B$21+Skills!Q5+Summary!$B$15+Artifacts!$B$80)/100)*(MIN(Skills!R5,Inputs!$B$37)))*((1+Artifacts!$B$53/100)),0)</f>
        <v/>
      </c>
    </row>
    <row r="6">
      <c r="A6">
        <f>Skills!A6</f>
        <v/>
      </c>
      <c r="B6">
        <f>Skills!B6</f>
        <v/>
      </c>
      <c r="C6">
        <f>Inputs!$B$3&gt;=63</f>
        <v/>
      </c>
      <c r="D6">
        <f>IF(Skills!C6=1,60+Inputs!$B$25+Inputs!$B$29,IF(Skills!C6=2,90+Inputs!$B$26+Inputs!$B$29,IF(Skills!C6=3,120+Inputs!$B$27+Inputs!$B$29,MAX(0,(Inputs!$B$3-100)*3)+Inputs!$B$28+Inputs!$B$29)))</f>
        <v/>
      </c>
      <c r="E6">
        <f>INDEX(FactorTable!$B$2:$Y$301, MATCH(ROUND(MIN(300,MAX(1,D6)),0), FactorTable!$A$2:$A$301,0), Skills!M6+1)</f>
        <v/>
      </c>
      <c r="F6">
        <f>IF(Skills!N6=TRUE,(Skills!L6/10)*(E6/1000),Skills!L6/10)+Skills!O6</f>
        <v/>
      </c>
      <c r="G6">
        <f>Skills!G6*IF(Skills!H6&gt;0,Skills!I6/Skills!H6,1)</f>
        <v/>
      </c>
      <c r="H6">
        <f>1-(1-Skills!J6/100)^Skills!K6</f>
        <v/>
      </c>
      <c r="I6" t="inlineStr">
        <is>
          <t>1</t>
        </is>
      </c>
      <c r="J6">
        <f>Summary!$B$6*(F6/100)</f>
        <v/>
      </c>
      <c r="K6">
        <f>J6*(1+Summary!$B$7/100)*(1+Inputs!$B$15/100)*(1+Inputs!$B$16/100)*(5000/(6000+Inputs!$B$42*(1-Inputs!$B$19/100)))*(1+(Inputs!$B$24+Summary!$B$21)/100)*(1+Artifacts!$B$34/100)*(1+1.0*IF(C8=TRUE,F8,0)/100)*(1+(IF(Skills!A6="EMPOWERED_PIERCING_ARROW",Inputs!$B$17+Artifacts!$B$40,Inputs!$B$18+Artifacts!$B$39))/100)*(Summary!$B$13*(1+Artifacts!$B$38/100)*I6)</f>
        <v/>
      </c>
      <c r="L6">
        <f>K6*(MIN(Inputs!$B$22,Inputs!$B$23)/100+Inputs!$B$23/100)/2</f>
        <v/>
      </c>
      <c r="M6">
        <f>L6*(1+(Inputs!$B$10+Summary!$B$20+Artifacts!$B$33)/100)</f>
        <v/>
      </c>
      <c r="N6">
        <f>L6*(1-MIN((Inputs!$B$9+Summary!$B$14+Artifacts!$B$32),100)/100)+M6*(MIN((Inputs!$B$9+Summary!$B$14+Artifacts!$B$32),100)/100)</f>
        <v/>
      </c>
      <c r="O6">
        <f>(1-Summary!$B$11)*T6+Summary!$B$11*V6</f>
        <v/>
      </c>
      <c r="P6">
        <f>IF(Summary!$B$3=0,0,O6/Summary!$B$3)</f>
        <v/>
      </c>
      <c r="Q6">
        <f>IFERROR(1/IF(Inputs!$B$38="pvp",15,MAX(0.1,Skills!D6-IF(Skills!E6=TRUE,Inputs!$B$32,0))),0)</f>
        <v/>
      </c>
      <c r="R6">
        <f>IF(AND(Inputs!$B$38&lt;&gt;"pvp",Inputs!$B$43&gt;0),IF(MAX(0,Inputs!$B$43-Summary!$B$23)&lt;=0,0,(INT(MAX(0,Inputs!$B$43-Summary!$B$23)/IF(Inputs!$B$38="pvp",15,MAX(0.1,Skills!D6-IF(Skills!E6=TRUE,Inputs!$B$32,0))))+1)),0)</f>
        <v/>
      </c>
      <c r="S6">
        <f>IFERROR((H6*N6*IF(AND(Inputs!$B$38&lt;&gt;"pvp",Inputs!$B$43&gt;0),((Skills!G6*((R6-1)*IF(Skills!H6&gt;0,Skills!I6/Skills!H6,1)+IF(Skills!H6&gt;0,MIN(Skills!I6,MAX(0,MAX(0,Inputs!$B$43-Summary!$B$23)-((R6-1)*IF(Inputs!$B$38="pvp",15,MAX(0.1,Skills!D6-IF(Skills!E6=TRUE,Inputs!$B$32,0))))))/Skills!H6,1)))/Inputs!$B$43),G6*Q6))/N6*IF(Inputs!$B$38="pvp",1,(1-Summary!$B$11)*1+Summary!$B$11*(MIN(Skills!R6,Inputs!$B$37))),0)</f>
        <v/>
      </c>
      <c r="T6">
        <f>IF(C6,(H6*N6*IF(AND(Inputs!$B$38&lt;&gt;"pvp",Inputs!$B$43&gt;0),((Skills!G6*((R6-1)*IF(Skills!H6&gt;0,Skills!I6/Skills!H6,1)+IF(Skills!H6&gt;0,MIN(Skills!I6,MAX(0,MAX(0,Inputs!$B$43-Summary!$B$23)-((R6-1)*IF(Inputs!$B$38="pvp",15,MAX(0.1,Skills!D6-IF(Skills!E6=TRUE,Inputs!$B$32,0))))))/Skills!H6,1)))/Inputs!$B$43),G6*Q6))*IF(Inputs!$B$38="pvp",1,1+(Inputs!$B$20+Skills!P6+Summary!$B$15+Artifacts!$B$35)/100)*((((5000/(6000+Inputs!$B$42*(1-(100*(1-(1-Inputs!$B$19/100)*(1-Artifacts!$B$51/100)^IF(Inputs!$B$38="pvp",1,2)))/100)))/(5000/(6000+Inputs!$B$42*(1-Inputs!$B$19/100))))*((L6*(1-MIN(100,(Inputs!$B$9+Summary!$B$14+Artifacts!$B$32)+Artifacts!$B$69)/100)+M6*(MIN(100,(Inputs!$B$9+Summary!$B$14+Artifacts!$B$32)+Artifacts!$B$69)/100))/(L6*(1-MIN(100,(Inputs!$B$9+Summary!$B$14+Artifacts!$B$32))/100)+M6*(MIN(100,(Inputs!$B$9+Summary!$B$14+Artifacts!$B$32))/100)))*(1+Artifacts!$B$81/100))),0)</f>
        <v/>
      </c>
      <c r="V6">
        <f>IF(C6,(H6*N6*IF(AND(Inputs!$B$38&lt;&gt;"pvp",Inputs!$B$43&gt;0),((Skills!G6*((R6-1)*IF(Skills!H6&gt;0,Skills!I6/Skills!H6,1)+IF(Skills!H6&gt;0,MIN(Skills!I6,MAX(0,MAX(0,Inputs!$B$43-Summary!$B$23)-((R6-1)*IF(Inputs!$B$38="pvp",15,MAX(0.1,Skills!D6-IF(Skills!E6=TRUE,Inputs!$B$32,0))))))/Skills!H6,1)))/Inputs!$B$43),G6*Q6))*IF(Inputs!$B$38="pvp",1,(1+(Inputs!$B$21+Skills!Q6+Summary!$B$15+Artifacts!$B$80)/100)*(MIN(Skills!R6,Inputs!$B$37)))*((1+Artifacts!$B$53/100)),0)</f>
        <v/>
      </c>
    </row>
    <row r="7">
      <c r="A7">
        <f>Skills!A7</f>
        <v/>
      </c>
      <c r="B7">
        <f>Skills!B7</f>
        <v/>
      </c>
      <c r="C7">
        <f>Inputs!$B$3&gt;=69</f>
        <v/>
      </c>
      <c r="D7">
        <f>IF(Skills!C7=1,60+Inputs!$B$25+Inputs!$B$29,IF(Skills!C7=2,90+Inputs!$B$26+Inputs!$B$29,IF(Skills!C7=3,120+Inputs!$B$27+Inputs!$B$29,MAX(0,(Inputs!$B$3-100)*3)+Inputs!$B$28+Inputs!$B$29)))</f>
        <v/>
      </c>
      <c r="E7">
        <f>INDEX(FactorTable!$B$2:$Y$301, MATCH(ROUND(MIN(300,MAX(1,D7)),0), FactorTable!$A$2:$A$301,0), Skills!M7+1)</f>
        <v/>
      </c>
      <c r="F7">
        <f>IF(Skills!N7=TRUE,(Skills!L7/10)*(E7/1000),Skills!L7/10)+Skills!O7</f>
        <v/>
      </c>
      <c r="G7">
        <f>Skills!G7*IF(Skills!H7&gt;0,Skills!I7/Skills!H7,1)</f>
        <v/>
      </c>
      <c r="H7">
        <f>1-(1-Skills!J7/100)^Skills!K7</f>
        <v/>
      </c>
      <c r="I7" t="inlineStr">
        <is>
          <t>1</t>
        </is>
      </c>
      <c r="J7">
        <f>Summary!$B$6*(F7/100)</f>
        <v/>
      </c>
      <c r="K7">
        <f>J7*(1+Summary!$B$7/100)*(1+Inputs!$B$15/100)*(1+Inputs!$B$16/100)*(5000/(6000+Inputs!$B$42*(1-Inputs!$B$19/100)))*(1+(Inputs!$B$24+Summary!$B$21)/100)*(1+Artifacts!$B$34/100)*(1+1.2*IF(C8=TRUE,F8,0)/100)*(1+(IF(Skills!A7="EMPOWERED_PIERCING_ARROW",Inputs!$B$17+Artifacts!$B$40,Inputs!$B$18+Artifacts!$B$39))/100)*(Summary!$B$13*(1+Artifacts!$B$38/100)*I7)</f>
        <v/>
      </c>
      <c r="L7">
        <f>K7*(MIN(Inputs!$B$22,Inputs!$B$23)/100+Inputs!$B$23/100)/2</f>
        <v/>
      </c>
      <c r="M7">
        <f>L7*(1+(Inputs!$B$10+Summary!$B$20+Artifacts!$B$33)/100)</f>
        <v/>
      </c>
      <c r="N7">
        <f>L7*(1-MIN((Inputs!$B$9+Summary!$B$14+Artifacts!$B$32),100)/100)+M7*(MIN((Inputs!$B$9+Summary!$B$14+Artifacts!$B$32),100)/100)</f>
        <v/>
      </c>
      <c r="O7">
        <f>(1-Summary!$B$11)*T7+Summary!$B$11*V7</f>
        <v/>
      </c>
      <c r="P7">
        <f>IF(Summary!$B$3=0,0,O7/Summary!$B$3)</f>
        <v/>
      </c>
      <c r="Q7">
        <f>IFERROR(1/IF(Inputs!$B$38="pvp",15,MAX(0.1,Skills!D7-IF(Skills!E7=TRUE,Inputs!$B$32,0))),0)</f>
        <v/>
      </c>
      <c r="R7">
        <f>IF(AND(Inputs!$B$38&lt;&gt;"pvp",Inputs!$B$43&gt;0),IF(MAX(0,Inputs!$B$43-Summary!$B$23)&lt;=0,0,(INT(MAX(0,Inputs!$B$43-Summary!$B$23)/IF(Inputs!$B$38="pvp",15,MAX(0.1,Skills!D7-IF(Skills!E7=TRUE,Inputs!$B$32,0))))+1)),0)</f>
        <v/>
      </c>
      <c r="S7">
        <f>IFERROR((H7*N7*IF(AND(Inputs!$B$38&lt;&gt;"pvp",Inputs!$B$43&gt;0),((Skills!G7*((R7-1)*IF(Skills!H7&gt;0,Skills!I7/Skills!H7,1)+IF(Skills!H7&gt;0,MIN(Skills!I7,MAX(0,MAX(0,Inputs!$B$43-Summary!$B$23)-((R7-1)*IF(Inputs!$B$38="pvp",15,MAX(0.1,Skills!D7-IF(Skills!E7=TRUE,Inputs!$B$32,0))))))/Skills!H7,1)))/Inputs!$B$43),G7*Q7))/N7*IF(Inputs!$B$38="pvp",1,(1-Summary!$B$11)*1+Summary!$B$11*(MIN(Skills!R7,Inputs!$B$37))),0)</f>
        <v/>
      </c>
      <c r="T7">
        <f>IF(C7,(H7*N7*IF(AND(Inputs!$B$38&lt;&gt;"pvp",Inputs!$B$43&gt;0),((Skills!G7*((R7-1)*IF(Skills!H7&gt;0,Skills!I7/Skills!H7,1)+IF(Skills!H7&gt;0,MIN(Skills!I7,MAX(0,MAX(0,Inputs!$B$43-Summary!$B$23)-((R7-1)*IF(Inputs!$B$38="pvp",15,MAX(0.1,Skills!D7-IF(Skills!E7=TRUE,Inputs!$B$32,0))))))/Skills!H7,1)))/Inputs!$B$43),G7*Q7))*IF(Inputs!$B$38="pvp",1,1+(Inputs!$B$20+Skills!P7+Summary!$B$15+Artifacts!$B$35)/100)*((((5000/(6000+Inputs!$B$42*(1-(100*(1-(1-Inputs!$B$19/100)*(1-Artifacts!$B$51/100)^IF(Inputs!$B$38="pvp",1,2)))/100)))/(5000/(6000+Inputs!$B$42*(1-Inputs!$B$19/100))))*((L7*(1-MIN(100,(Inputs!$B$9+Summary!$B$14+Artifacts!$B$32)+Artifacts!$B$69)/100)+M7*(MIN(100,(Inputs!$B$9+Summary!$B$14+Artifacts!$B$32)+Artifacts!$B$69)/100))/(L7*(1-MIN(100,(Inputs!$B$9+Summary!$B$14+Artifacts!$B$32))/100)+M7*(MIN(100,(Inputs!$B$9+Summary!$B$14+Artifacts!$B$32))/100)))*(1+Artifacts!$B$81/100))),0)</f>
        <v/>
      </c>
      <c r="V7">
        <f>IF(C7,(H7*N7*IF(AND(Inputs!$B$38&lt;&gt;"pvp",Inputs!$B$43&gt;0),((Skills!G7*((R7-1)*IF(Skills!H7&gt;0,Skills!I7/Skills!H7,1)+IF(Skills!H7&gt;0,MIN(Skills!I7,MAX(0,MAX(0,Inputs!$B$43-Summary!$B$23)-((R7-1)*IF(Inputs!$B$38="pvp",15,MAX(0.1,Skills!D7-IF(Skills!E7=TRUE,Inputs!$B$32,0))))))/Skills!H7,1)))/Inputs!$B$43),G7*Q7))*IF(Inputs!$B$38="pvp",1,(1+(Inputs!$B$21+Skills!Q7+Summary!$B$15+Artifacts!$B$80)/100)*(MIN(Skills!R7,Inputs!$B$37)))*((1+Artifacts!$B$53/100)),0)</f>
        <v/>
      </c>
    </row>
    <row r="8">
      <c r="A8">
        <f>Skills!A8</f>
        <v/>
      </c>
      <c r="B8">
        <f>Skills!B8</f>
        <v/>
      </c>
      <c r="C8">
        <f>Inputs!$B$3&gt;=100</f>
        <v/>
      </c>
      <c r="D8">
        <f>IF(Skills!C8=1,60+Inputs!$B$25+Inputs!$B$29,IF(Skills!C8=2,90+Inputs!$B$26+Inputs!$B$29,IF(Skills!C8=3,120+Inputs!$B$27+Inputs!$B$29,MAX(0,(Inputs!$B$3-100)*3)+Inputs!$B$28+Inputs!$B$29)))</f>
        <v/>
      </c>
      <c r="E8">
        <f>INDEX(FactorTable!$B$2:$Y$301, MATCH(ROUND(MIN(300,MAX(1,D8)),0), FactorTable!$A$2:$A$301,0), Skills!M8+1)</f>
        <v/>
      </c>
      <c r="F8">
        <f>IF(Skills!N8=TRUE,(Skills!L8/10)*(E8/1000),Skills!L8/10)+Skills!O8</f>
        <v/>
      </c>
      <c r="G8" t="inlineStr"/>
      <c r="H8" t="inlineStr"/>
      <c r="I8" t="inlineStr">
        <is>
          <t>1</t>
        </is>
      </c>
      <c r="J8" t="inlineStr"/>
      <c r="K8" t="inlineStr"/>
      <c r="L8" t="inlineStr"/>
      <c r="M8" t="inlineStr"/>
      <c r="N8" t="inlineStr"/>
      <c r="O8" t="inlineStr"/>
      <c r="P8" t="inlineStr"/>
      <c r="Q8" t="inlineStr"/>
      <c r="R8" t="inlineStr"/>
      <c r="S8" t="inlineStr"/>
      <c r="T8" t="inlineStr"/>
      <c r="V8" t="inlineStr"/>
    </row>
    <row r="9">
      <c r="A9">
        <f>Skills!A9</f>
        <v/>
      </c>
      <c r="B9">
        <f>Skills!B9</f>
        <v/>
      </c>
      <c r="C9">
        <f>Inputs!$B$3&gt;=103</f>
        <v/>
      </c>
      <c r="D9">
        <f>IF(Skills!C9=1,60+Inputs!$B$25+Inputs!$B$29,IF(Skills!C9=2,90+Inputs!$B$26+Inputs!$B$29,IF(Skills!C9=3,120+Inputs!$B$27+Inputs!$B$29,MAX(0,(Inputs!$B$3-100)*3)+Inputs!$B$28+Inputs!$B$29)))</f>
        <v/>
      </c>
      <c r="E9">
        <f>INDEX(FactorTable!$B$2:$Y$301, MATCH(ROUND(MIN(300,MAX(1,D9)),0), FactorTable!$A$2:$A$301,0), Skills!M9+1)</f>
        <v/>
      </c>
      <c r="F9">
        <f>IF(Skills!N9=TRUE,(Skills!L9/10)*(E9/1000),Skills!L9/10)+Skills!O9</f>
        <v/>
      </c>
      <c r="G9">
        <f>Skills!G9*IF(Skills!H9&gt;0,Skills!I9/Skills!H9,1)</f>
        <v/>
      </c>
      <c r="H9">
        <f>1-(1-Skills!J9/100)^Skills!K9</f>
        <v/>
      </c>
      <c r="I9" t="inlineStr">
        <is>
          <t>1</t>
        </is>
      </c>
      <c r="J9">
        <f>Summary!$B$6*(F9/100)</f>
        <v/>
      </c>
      <c r="K9">
        <f>J9*(1+Summary!$B$7/100)*(1+Inputs!$B$15/100)*(1+Inputs!$B$16/100)*(5000/(6000+Inputs!$B$42*(1-Inputs!$B$19/100)))*(1+(Inputs!$B$24+Summary!$B$21)/100)*(1+Artifacts!$B$34/100)*(1+(IF(Skills!A9="EMPOWERED_PIERCING_ARROW",Inputs!$B$17+Artifacts!$B$40,Inputs!$B$18+Artifacts!$B$39))/100)*(Summary!$B$13*(1+Artifacts!$B$38/100)*I9)</f>
        <v/>
      </c>
      <c r="L9">
        <f>K9*(MIN(Inputs!$B$22,Inputs!$B$23)/100+Inputs!$B$23/100)/2</f>
        <v/>
      </c>
      <c r="M9">
        <f>L9*(1+(Inputs!$B$10+Summary!$B$20+Artifacts!$B$33)/100)</f>
        <v/>
      </c>
      <c r="N9">
        <f>L9*(1-MIN((Inputs!$B$9+Summary!$B$14+Artifacts!$B$32),100)/100)+M9*(MIN((Inputs!$B$9+Summary!$B$14+Artifacts!$B$32),100)/100)</f>
        <v/>
      </c>
      <c r="O9">
        <f>(1-Summary!$B$11)*T9+Summary!$B$11*V9</f>
        <v/>
      </c>
      <c r="P9">
        <f>IF(Summary!$B$3=0,0,O9/Summary!$B$3)</f>
        <v/>
      </c>
      <c r="Q9">
        <f>IFERROR(1/IF(Inputs!$B$38="pvp",15,MAX(0.1,Skills!D9-IF(Skills!E9=TRUE,Inputs!$B$32,0))),0)</f>
        <v/>
      </c>
      <c r="R9">
        <f>IF(AND(Inputs!$B$38&lt;&gt;"pvp",Inputs!$B$43&gt;0),IF(MAX(0,Inputs!$B$43-Summary!$B$23)&lt;=0,0,(INT(MAX(0,Inputs!$B$43-Summary!$B$23)/IF(Inputs!$B$38="pvp",15,MAX(0.1,Skills!D9-IF(Skills!E9=TRUE,Inputs!$B$32,0))))+1)),0)</f>
        <v/>
      </c>
      <c r="S9">
        <f>IFERROR((H9*N9*IF(AND(Inputs!$B$38&lt;&gt;"pvp",Inputs!$B$43&gt;0),((Skills!G9*((R9-1)*IF(Skills!H9&gt;0,Skills!I9/Skills!H9,1)+IF(Skills!H9&gt;0,MIN(Skills!I9,MAX(0,MAX(0,Inputs!$B$43-Summary!$B$23)-((R9-1)*IF(Inputs!$B$38="pvp",15,MAX(0.1,Skills!D9-IF(Skills!E9=TRUE,Inputs!$B$32,0))))))/Skills!H9,1)))/Inputs!$B$43),G9*Q9))/N9*IF(Inputs!$B$38="pvp",1,(1-Summary!$B$11)*1+Summary!$B$11*(MIN(Skills!R9,Inputs!$B$37))),0)</f>
        <v/>
      </c>
      <c r="T9">
        <f>IF(C9,(H9*N9*IF(AND(Inputs!$B$38&lt;&gt;"pvp",Inputs!$B$43&gt;0),((Skills!G9*((R9-1)*IF(Skills!H9&gt;0,Skills!I9/Skills!H9,1)+IF(Skills!H9&gt;0,MIN(Skills!I9,MAX(0,MAX(0,Inputs!$B$43-Summary!$B$23)-((R9-1)*IF(Inputs!$B$38="pvp",15,MAX(0.1,Skills!D9-IF(Skills!E9=TRUE,Inputs!$B$32,0))))))/Skills!H9,1)))/Inputs!$B$43),G9*Q9))*IF(Inputs!$B$38="pvp",1,1+(Inputs!$B$20+Skills!P9+Summary!$B$15+Artifacts!$B$35)/100)*((((5000/(6000+Inputs!$B$42*(1-(100*(1-(1-Inputs!$B$19/100)*(1-Artifacts!$B$51/100)^IF(Inputs!$B$38="pvp",1,2)))/100)))/(5000/(6000+Inputs!$B$42*(1-Inputs!$B$19/100))))*((L9*(1-MIN(100,(Inputs!$B$9+Summary!$B$14+Artifacts!$B$32)+Artifacts!$B$69)/100)+M9*(MIN(100,(Inputs!$B$9+Summary!$B$14+Artifacts!$B$32)+Artifacts!$B$69)/100))/(L9*(1-MIN(100,(Inputs!$B$9+Summary!$B$14+Artifacts!$B$32))/100)+M9*(MIN(100,(Inputs!$B$9+Summary!$B$14+Artifacts!$B$32))/100)))*(1+Artifacts!$B$81/100))),0)</f>
        <v/>
      </c>
      <c r="V9">
        <f>IF(C9,(H9*N9*IF(AND(Inputs!$B$38&lt;&gt;"pvp",Inputs!$B$43&gt;0),((Skills!G9*((R9-1)*IF(Skills!H9&gt;0,Skills!I9/Skills!H9,1)+IF(Skills!H9&gt;0,MIN(Skills!I9,MAX(0,MAX(0,Inputs!$B$43-Summary!$B$23)-((R9-1)*IF(Inputs!$B$38="pvp",15,MAX(0.1,Skills!D9-IF(Skills!E9=TRUE,Inputs!$B$32,0))))))/Skills!H9,1)))/Inputs!$B$43),G9*Q9))*IF(Inputs!$B$38="pvp",1,(1+(Inputs!$B$21+Skills!Q9+Summary!$B$15+Artifacts!$B$80)/100)*(MIN(Skills!R9,Inputs!$B$37)))*((1+Artifacts!$B$53/100)),0)</f>
        <v/>
      </c>
    </row>
    <row r="10">
      <c r="A10">
        <f>Skills!A10</f>
        <v/>
      </c>
      <c r="B10">
        <f>Skills!B10</f>
        <v/>
      </c>
      <c r="C10">
        <f>Inputs!$B$3&gt;=107</f>
        <v/>
      </c>
      <c r="D10">
        <f>IF(Skills!C10=1,60+Inputs!$B$25+Inputs!$B$29,IF(Skills!C10=2,90+Inputs!$B$26+Inputs!$B$29,IF(Skills!C10=3,120+Inputs!$B$27+Inputs!$B$29,MAX(0,(Inputs!$B$3-100)*3)+Inputs!$B$28+Inputs!$B$29)))</f>
        <v/>
      </c>
      <c r="E10">
        <f>INDEX(FactorTable!$B$2:$Y$301, MATCH(ROUND(MIN(300,MAX(1,D10)),0), FactorTable!$A$2:$A$301,0), Skills!M10+1)</f>
        <v/>
      </c>
      <c r="F10">
        <f>IF(Skills!N10=TRUE,(Skills!L10/10)*(E10/1000),Skills!L10/10)+Skills!O10</f>
        <v/>
      </c>
      <c r="G10">
        <f>Skills!G10*IF(Skills!H10&gt;0,Skills!I10/Skills!H10,1)</f>
        <v/>
      </c>
      <c r="H10">
        <f>1-(1-Skills!J10/100)^Skills!K10</f>
        <v/>
      </c>
      <c r="I10" t="inlineStr">
        <is>
          <t>1</t>
        </is>
      </c>
      <c r="J10">
        <f>Summary!$B$6*(F10/100)</f>
        <v/>
      </c>
      <c r="K10">
        <f>J10*(1+Summary!$B$7/100)*(1+Inputs!$B$15/100)*(1+Inputs!$B$16/100)*(5000/(6000+Inputs!$B$42*(1-Inputs!$B$19/100)))*(1+(Inputs!$B$24+Summary!$B$21)/100)*(1+Artifacts!$B$34/100)*(1+(IF(Skills!A10="EMPOWERED_PIERCING_ARROW",Inputs!$B$17+Artifacts!$B$40,Inputs!$B$18+Artifacts!$B$39))/100)*(Summary!$B$13*(1+Artifacts!$B$38/100)*I10)</f>
        <v/>
      </c>
      <c r="L10">
        <f>K10*(MIN(Inputs!$B$22,Inputs!$B$23)/100+Inputs!$B$23/100)/2</f>
        <v/>
      </c>
      <c r="M10">
        <f>L10*(1+(Inputs!$B$10+Summary!$B$20+Artifacts!$B$33)/100)</f>
        <v/>
      </c>
      <c r="N10">
        <f>L10*(1-MIN((Inputs!$B$9+Summary!$B$14+Artifacts!$B$32),100)/100)+M10*(MIN((Inputs!$B$9+Summary!$B$14+Artifacts!$B$32),100)/100)</f>
        <v/>
      </c>
      <c r="O10">
        <f>(1-Summary!$B$11)*T10+Summary!$B$11*V10</f>
        <v/>
      </c>
      <c r="P10">
        <f>IF(Summary!$B$3=0,0,O10/Summary!$B$3)</f>
        <v/>
      </c>
      <c r="Q10" t="n">
        <v>0</v>
      </c>
      <c r="R10" t="n">
        <v>0</v>
      </c>
      <c r="S10" t="n">
        <v>0</v>
      </c>
      <c r="T10">
        <f>IF(C10,(0.15*SUMPRODUCT((Skills!U2:U29=TRUE)*(Calc!C2:C29=TRUE)*Calc!S2:S29)*Skills!G10*N10)*IF(Inputs!$B$38="pvp",1,1+(Inputs!$B$20+Skills!P10+Summary!$B$15+Artifacts!$B$35)/100)*((((5000/(6000+Inputs!$B$42*(1-(100*(1-(1-Inputs!$B$19/100)*(1-Artifacts!$B$51/100)^IF(Inputs!$B$38="pvp",1,2)))/100)))/(5000/(6000+Inputs!$B$42*(1-Inputs!$B$19/100))))*((L10*(1-MIN(100,(Inputs!$B$9+Summary!$B$14+Artifacts!$B$32)+Artifacts!$B$69)/100)+M10*(MIN(100,(Inputs!$B$9+Summary!$B$14+Artifacts!$B$32)+Artifacts!$B$69)/100))/(L10*(1-MIN(100,(Inputs!$B$9+Summary!$B$14+Artifacts!$B$32))/100)+M10*(MIN(100,(Inputs!$B$9+Summary!$B$14+Artifacts!$B$32))/100)))*(1+Artifacts!$B$81/100))),0)</f>
        <v/>
      </c>
      <c r="V10">
        <f>IF(C10,(0.15*SUMPRODUCT((Skills!U2:U29=TRUE)*(Calc!C2:C29=TRUE)*Calc!S2:S29)*Skills!G10*N10)*IF(Inputs!$B$38="pvp",1,(1+(Inputs!$B$21+Skills!Q10+Summary!$B$15+Artifacts!$B$80)/100)*(MIN(Skills!R10,Inputs!$B$37)))*((1+Artifacts!$B$53/100)),0)</f>
        <v/>
      </c>
    </row>
    <row r="11">
      <c r="A11">
        <f>Skills!A11</f>
        <v/>
      </c>
      <c r="B11">
        <f>Skills!B11</f>
        <v/>
      </c>
      <c r="C11">
        <f>Inputs!$B$3&gt;=110</f>
        <v/>
      </c>
      <c r="D11">
        <f>IF(Skills!C11=1,60+Inputs!$B$25+Inputs!$B$29,IF(Skills!C11=2,90+Inputs!$B$26+Inputs!$B$29,IF(Skills!C11=3,120+Inputs!$B$27+Inputs!$B$29,MAX(0,(Inputs!$B$3-100)*3)+Inputs!$B$28+Inputs!$B$29)))</f>
        <v/>
      </c>
      <c r="E11">
        <f>INDEX(FactorTable!$B$2:$Y$301, MATCH(ROUND(MIN(300,MAX(1,D11)),0), FactorTable!$A$2:$A$301,0), Skills!M11+1)</f>
        <v/>
      </c>
      <c r="F11">
        <f>IF(Skills!N11=TRUE,(Skills!L11/10)*(E11/1000),Skills!L11/10)+Skills!O11</f>
        <v/>
      </c>
      <c r="G11">
        <f>Skills!G11*IF(Skills!H11&gt;0,Skills!I11/Skills!H11,1)</f>
        <v/>
      </c>
      <c r="H11">
        <f>1-(1-Skills!J11/100)^Skills!K11</f>
        <v/>
      </c>
      <c r="I11" t="inlineStr">
        <is>
          <t>1</t>
        </is>
      </c>
      <c r="J11">
        <f>Summary!$B$6*(F11/100)</f>
        <v/>
      </c>
      <c r="K11">
        <f>J11*(1+Summary!$B$7/100)*(1+Inputs!$B$15/100)*(1+Inputs!$B$16/100)*(5000/(6000+Inputs!$B$42*(1-Inputs!$B$19/100)))*(1+(Inputs!$B$24+Summary!$B$21)/100)*(1+Artifacts!$B$34/100)*(1+(IF(Skills!A11="EMPOWERED_PIERCING_ARROW",Inputs!$B$17+Artifacts!$B$40,Inputs!$B$18+Artifacts!$B$39))/100)*(Summary!$B$13*(1+Artifacts!$B$38/100)*I11)</f>
        <v/>
      </c>
      <c r="L11">
        <f>K11*(MIN(Inputs!$B$22,Inputs!$B$23)/100+Inputs!$B$23/100)/2</f>
        <v/>
      </c>
      <c r="M11">
        <f>L11*(1+(Inputs!$B$10+Summary!$B$20+Artifacts!$B$33)/100)</f>
        <v/>
      </c>
      <c r="N11">
        <f>L11*(1-MIN((Inputs!$B$9+Summary!$B$14+Artifacts!$B$32),100)/100)+M11*(MIN((Inputs!$B$9+Summary!$B$14+Artifacts!$B$32),100)/100)</f>
        <v/>
      </c>
      <c r="O11">
        <f>(1-Summary!$B$11)*T11+Summary!$B$11*V11</f>
        <v/>
      </c>
      <c r="P11">
        <f>IF(Summary!$B$3=0,0,O11/Summary!$B$3)</f>
        <v/>
      </c>
      <c r="Q11">
        <f>IFERROR(1/IF(Inputs!$B$38="pvp",15,MAX(0.1,Skills!D11-IF(Skills!E11=TRUE,Inputs!$B$32,0))),0)</f>
        <v/>
      </c>
      <c r="R11">
        <f>IF(AND(Inputs!$B$38&lt;&gt;"pvp",Inputs!$B$43&gt;0),IF(MAX(0,Inputs!$B$43-Summary!$B$23)&lt;=0,0,(INT(MAX(0,Inputs!$B$43-Summary!$B$23)/IF(Inputs!$B$38="pvp",15,MAX(0.1,Skills!D11-IF(Skills!E11=TRUE,Inputs!$B$32,0))))+1)),0)</f>
        <v/>
      </c>
      <c r="S11">
        <f>IFERROR((H11*N11*IF(AND(Inputs!$B$38&lt;&gt;"pvp",Inputs!$B$43&gt;0),((Skills!G11*((R11-1)*IF(Skills!H11&gt;0,Skills!I11/Skills!H11,1)+IF(Skills!H11&gt;0,MIN(Skills!I11,MAX(0,MAX(0,Inputs!$B$43-Summary!$B$23)-((R11-1)*IF(Inputs!$B$38="pvp",15,MAX(0.1,Skills!D11-IF(Skills!E11=TRUE,Inputs!$B$32,0))))))/Skills!H11,1)))/Inputs!$B$43),G11*Q11))/N11*IF(Inputs!$B$38="pvp",1,(1-Summary!$B$11)*1+Summary!$B$11*(MIN(Skills!R11,Inputs!$B$37))),0)</f>
        <v/>
      </c>
      <c r="T11">
        <f>IF(C11,(H11*N11*IF(AND(Inputs!$B$38&lt;&gt;"pvp",Inputs!$B$43&gt;0),((Skills!G11*((R11-1)*IF(Skills!H11&gt;0,Skills!I11/Skills!H11,1)+IF(Skills!H11&gt;0,MIN(Skills!I11,MAX(0,MAX(0,Inputs!$B$43-Summary!$B$23)-((R11-1)*IF(Inputs!$B$38="pvp",15,MAX(0.1,Skills!D11-IF(Skills!E11=TRUE,Inputs!$B$32,0))))))/Skills!H11,1)))/Inputs!$B$43),G11*Q11))*IF(Inputs!$B$38="pvp",1,1+(Inputs!$B$20+Skills!P11+Summary!$B$15+Artifacts!$B$35)/100)*((((5000/(6000+Inputs!$B$42*(1-(100*(1-(1-Inputs!$B$19/100)*(1-Artifacts!$B$51/100)^IF(Inputs!$B$38="pvp",1,2)))/100)))/(5000/(6000+Inputs!$B$42*(1-Inputs!$B$19/100))))*((L11*(1-MIN(100,(Inputs!$B$9+Summary!$B$14+Artifacts!$B$32)+Artifacts!$B$69)/100)+M11*(MIN(100,(Inputs!$B$9+Summary!$B$14+Artifacts!$B$32)+Artifacts!$B$69)/100))/(L11*(1-MIN(100,(Inputs!$B$9+Summary!$B$14+Artifacts!$B$32))/100)+M11*(MIN(100,(Inputs!$B$9+Summary!$B$14+Artifacts!$B$32))/100)))*(1+Artifacts!$B$81/100))),0)</f>
        <v/>
      </c>
      <c r="V11">
        <f>IF(C11,(H11*N11*IF(AND(Inputs!$B$38&lt;&gt;"pvp",Inputs!$B$43&gt;0),((Skills!G11*((R11-1)*IF(Skills!H11&gt;0,Skills!I11/Skills!H11,1)+IF(Skills!H11&gt;0,MIN(Skills!I11,MAX(0,MAX(0,Inputs!$B$43-Summary!$B$23)-((R11-1)*IF(Inputs!$B$38="pvp",15,MAX(0.1,Skills!D11-IF(Skills!E11=TRUE,Inputs!$B$32,0))))))/Skills!H11,1)))/Inputs!$B$43),G11*Q11))*IF(Inputs!$B$38="pvp",1,(1+(Inputs!$B$21+Skills!Q11+Summary!$B$15+Artifacts!$B$80)/100)*(MIN(Skills!R11,Inputs!$B$37)))*((1+Artifacts!$B$53/100)),0)</f>
        <v/>
      </c>
    </row>
    <row r="12">
      <c r="A12">
        <f>Skills!A12</f>
        <v/>
      </c>
      <c r="B12">
        <f>Skills!B12</f>
        <v/>
      </c>
      <c r="C12">
        <f>Inputs!$B$3&gt;=60</f>
        <v/>
      </c>
      <c r="D12">
        <f>IF(Skills!C12=1,60+Inputs!$B$25+Inputs!$B$29,IF(Skills!C12=2,90+Inputs!$B$26+Inputs!$B$29,IF(Skills!C12=3,120+Inputs!$B$27+Inputs!$B$29,MAX(0,(Inputs!$B$3-100)*3)+Inputs!$B$28+Inputs!$B$29)))</f>
        <v/>
      </c>
      <c r="E12">
        <f>INDEX(FactorTable!$B$2:$Y$301, MATCH(ROUND(MIN(300,MAX(1,D12)),0), FactorTable!$A$2:$A$301,0), Skills!M12+1)</f>
        <v/>
      </c>
      <c r="F12">
        <f>IF(Skills!N12=TRUE,(Skills!L12/10)*(E12/1000),Skills!L12/10)+Skills!O12</f>
        <v/>
      </c>
      <c r="G12">
        <f>Skills!G12*IF(Skills!H12&gt;0,Skills!I12/Skills!H12,1)</f>
        <v/>
      </c>
      <c r="H12">
        <f>1-(1-Skills!J12/100)^Skills!K12</f>
        <v/>
      </c>
      <c r="I12" t="inlineStr">
        <is>
          <t>1</t>
        </is>
      </c>
      <c r="J12" t="inlineStr"/>
      <c r="K12" t="inlineStr"/>
      <c r="L12" t="inlineStr"/>
      <c r="M12" t="inlineStr"/>
      <c r="N12" t="inlineStr"/>
      <c r="O12">
        <f>(1-Summary!$B$11)*T12+Summary!$B$11*V12</f>
        <v/>
      </c>
      <c r="P12">
        <f>IF(Summary!$B$3=0,0,O12/Summary!$B$3)</f>
        <v/>
      </c>
      <c r="Q12" t="n">
        <v>0</v>
      </c>
      <c r="R12" t="n">
        <v>0</v>
      </c>
      <c r="S12" t="n">
        <v>0</v>
      </c>
      <c r="T12" t="n">
        <v>0</v>
      </c>
      <c r="V12" t="n">
        <v>0</v>
      </c>
    </row>
    <row r="13">
      <c r="A13">
        <f>Skills!A13</f>
        <v/>
      </c>
      <c r="B13">
        <f>Skills!B13</f>
        <v/>
      </c>
      <c r="C13">
        <f>Inputs!$B$3&gt;=74</f>
        <v/>
      </c>
      <c r="D13">
        <f>IF(Skills!C13=1,60+Inputs!$B$25+Inputs!$B$29,IF(Skills!C13=2,90+Inputs!$B$26+Inputs!$B$29,IF(Skills!C13=3,120+Inputs!$B$27+Inputs!$B$29,MAX(0,(Inputs!$B$3-100)*3)+Inputs!$B$28+Inputs!$B$29)))</f>
        <v/>
      </c>
      <c r="E13">
        <f>INDEX(FactorTable!$B$2:$Y$301, MATCH(ROUND(MIN(300,MAX(1,D13)),0), FactorTable!$A$2:$A$301,0), Skills!M13+1)</f>
        <v/>
      </c>
      <c r="F13">
        <f>IF(Skills!N13=TRUE,(Skills!L13/10)*(E13/1000),Skills!L13/10)+Skills!O13</f>
        <v/>
      </c>
      <c r="G13">
        <f>Skills!G13*IF(Skills!H13&gt;0,Skills!I13/Skills!H13,1)</f>
        <v/>
      </c>
      <c r="H13">
        <f>1-(1-Skills!J13/100)^Skills!K13</f>
        <v/>
      </c>
      <c r="I13" t="inlineStr">
        <is>
          <t>1</t>
        </is>
      </c>
      <c r="J13" t="inlineStr"/>
      <c r="K13" t="inlineStr"/>
      <c r="L13" t="inlineStr"/>
      <c r="M13" t="inlineStr"/>
      <c r="N13" t="inlineStr"/>
      <c r="O13">
        <f>(1-Summary!$B$11)*T13+Summary!$B$11*V13</f>
        <v/>
      </c>
      <c r="P13">
        <f>IF(Summary!$B$3=0,0,O13/Summary!$B$3)</f>
        <v/>
      </c>
      <c r="Q13" t="n">
        <v>0</v>
      </c>
      <c r="R13" t="n">
        <v>0</v>
      </c>
      <c r="S13" t="n">
        <v>0</v>
      </c>
      <c r="T13" t="n">
        <v>0</v>
      </c>
      <c r="V13" t="n">
        <v>0</v>
      </c>
    </row>
    <row r="14">
      <c r="A14">
        <f>Skills!A14</f>
        <v/>
      </c>
      <c r="B14">
        <f>Skills!B14</f>
        <v/>
      </c>
      <c r="C14">
        <f>Inputs!$B$3&gt;=74</f>
        <v/>
      </c>
      <c r="D14">
        <f>IF(Skills!C14=1,60+Inputs!$B$25+Inputs!$B$29,IF(Skills!C14=2,90+Inputs!$B$26+Inputs!$B$29,IF(Skills!C14=3,120+Inputs!$B$27+Inputs!$B$29,MAX(0,(Inputs!$B$3-100)*3)+Inputs!$B$28+Inputs!$B$29)))</f>
        <v/>
      </c>
      <c r="E14">
        <f>INDEX(FactorTable!$B$2:$Y$301, MATCH(ROUND(MIN(300,MAX(1,D14)),0), FactorTable!$A$2:$A$301,0), Skills!M14+1)</f>
        <v/>
      </c>
      <c r="F14">
        <f>IF(Skills!N14=TRUE,(Skills!L14/10)*(E14/1000),Skills!L14/10)+Skills!O14</f>
        <v/>
      </c>
      <c r="G14">
        <f>Skills!G14*IF(Skills!H14&gt;0,Skills!I14/Skills!H14,1)</f>
        <v/>
      </c>
      <c r="H14">
        <f>1-(1-Skills!J14/100)^Skills!K14</f>
        <v/>
      </c>
      <c r="I14" t="inlineStr">
        <is>
          <t>1</t>
        </is>
      </c>
      <c r="J14" t="inlineStr"/>
      <c r="K14" t="inlineStr"/>
      <c r="L14" t="inlineStr"/>
      <c r="M14" t="inlineStr"/>
      <c r="N14" t="inlineStr"/>
      <c r="O14">
        <f>(1-Summary!$B$11)*T14+Summary!$B$11*V14</f>
        <v/>
      </c>
      <c r="P14">
        <f>IF(Summary!$B$3=0,0,O14/Summary!$B$3)</f>
        <v/>
      </c>
      <c r="Q14" t="n">
        <v>0</v>
      </c>
      <c r="R14" t="n">
        <v>0</v>
      </c>
      <c r="S14" t="n">
        <v>0</v>
      </c>
      <c r="T14" t="n">
        <v>0</v>
      </c>
      <c r="V14" t="n">
        <v>0</v>
      </c>
    </row>
    <row r="15">
      <c r="A15">
        <f>Skills!A15</f>
        <v/>
      </c>
      <c r="B15">
        <f>Skills!B15</f>
        <v/>
      </c>
      <c r="C15">
        <f>Inputs!$B$3&gt;=117</f>
        <v/>
      </c>
      <c r="D15">
        <f>IF(Skills!C15=1,60+Inputs!$B$25+Inputs!$B$29,IF(Skills!C15=2,90+Inputs!$B$26+Inputs!$B$29,IF(Skills!C15=3,120+Inputs!$B$27+Inputs!$B$29,MAX(0,(Inputs!$B$3-100)*3)+Inputs!$B$28+Inputs!$B$29)))</f>
        <v/>
      </c>
      <c r="E15">
        <f>INDEX(FactorTable!$B$2:$Y$301, MATCH(ROUND(MIN(300,MAX(1,D15)),0), FactorTable!$A$2:$A$301,0), Skills!M15+1)</f>
        <v/>
      </c>
      <c r="F15">
        <f>IF(Skills!N15=TRUE,(Skills!L15/10)*(E15/1000),Skills!L15/10)+Skills!O15</f>
        <v/>
      </c>
      <c r="G15">
        <f>Skills!G15*IF(Skills!H15&gt;0,Skills!I15/Skills!H15,1)</f>
        <v/>
      </c>
      <c r="H15">
        <f>1-(1-Skills!J15/100)^Skills!K15</f>
        <v/>
      </c>
      <c r="I15" t="inlineStr">
        <is>
          <t>1</t>
        </is>
      </c>
      <c r="J15" t="inlineStr"/>
      <c r="K15" t="inlineStr"/>
      <c r="L15" t="inlineStr"/>
      <c r="M15" t="inlineStr"/>
      <c r="N15" t="inlineStr"/>
      <c r="O15">
        <f>(1-Summary!$B$11)*T15+Summary!$B$11*V15</f>
        <v/>
      </c>
      <c r="P15">
        <f>IF(Summary!$B$3=0,0,O15/Summary!$B$3)</f>
        <v/>
      </c>
      <c r="Q15">
        <f>IFERROR(1/IF(Inputs!$B$38="pvp",15,MAX(0.1,Skills!D15-IF(Skills!E15=TRUE,Inputs!$B$32,0))),0)</f>
        <v/>
      </c>
      <c r="R15">
        <f>IF(AND(Inputs!$B$38&lt;&gt;"pvp",Inputs!$B$43&gt;0),IF(Inputs!$B$43&lt;=0,0,(INT(Inputs!$B$43/IF(Inputs!$B$38="pvp",15,MAX(0.1,Skills!D15-IF(Skills!E15=TRUE,Inputs!$B$32,0))))+1)),0)</f>
        <v/>
      </c>
      <c r="S15" t="n">
        <v>0</v>
      </c>
      <c r="T15" t="n">
        <v>0</v>
      </c>
      <c r="V15" t="n">
        <v>0</v>
      </c>
    </row>
    <row r="16">
      <c r="A16">
        <f>Skills!A16</f>
        <v/>
      </c>
      <c r="B16">
        <f>Skills!B16</f>
        <v/>
      </c>
      <c r="C16">
        <f>Inputs!$B$3&gt;=115</f>
        <v/>
      </c>
      <c r="D16">
        <f>IF(Skills!C16=1,60+Inputs!$B$25+Inputs!$B$29,IF(Skills!C16=2,90+Inputs!$B$26+Inputs!$B$29,IF(Skills!C16=3,120+Inputs!$B$27+Inputs!$B$29,MAX(0,(Inputs!$B$3-100)*3)+Inputs!$B$28+Inputs!$B$29)))</f>
        <v/>
      </c>
      <c r="E16">
        <f>INDEX(FactorTable!$B$2:$Y$301, MATCH(ROUND(MIN(300,MAX(1,D16)),0), FactorTable!$A$2:$A$301,0), Skills!M16+1)</f>
        <v/>
      </c>
      <c r="F16">
        <f>IF(Skills!N16=TRUE,(Skills!L16/10)*(E16/1000),Skills!L16/10)+Skills!O16</f>
        <v/>
      </c>
      <c r="G16">
        <f>Skills!G16*IF(Skills!H16&gt;0,Skills!I16/Skills!H16,1)</f>
        <v/>
      </c>
      <c r="H16">
        <f>1-(1-Skills!J16/100)^Skills!K16</f>
        <v/>
      </c>
      <c r="I16" t="inlineStr">
        <is>
          <t>1</t>
        </is>
      </c>
      <c r="J16" t="inlineStr"/>
      <c r="K16" t="inlineStr"/>
      <c r="L16" t="inlineStr"/>
      <c r="M16" t="inlineStr"/>
      <c r="N16" t="inlineStr"/>
      <c r="O16">
        <f>(1-Summary!$B$11)*T16+Summary!$B$11*V16</f>
        <v/>
      </c>
      <c r="P16">
        <f>IF(Summary!$B$3=0,0,O16/Summary!$B$3)</f>
        <v/>
      </c>
      <c r="Q16">
        <f>IFERROR(1/IF(Inputs!$B$38="pvp",15,MAX(0.1,Skills!D16-IF(Skills!E16=TRUE,Inputs!$B$32,0))),0)</f>
        <v/>
      </c>
      <c r="R16">
        <f>IF(AND(Inputs!$B$38&lt;&gt;"pvp",Inputs!$B$43&gt;0),IF(Inputs!$B$43&lt;=0,0,(INT(Inputs!$B$43/IF(Inputs!$B$38="pvp",15,MAX(0.1,Skills!D16-IF(Skills!E16=TRUE,Inputs!$B$32,0))))+1)),0)</f>
        <v/>
      </c>
      <c r="S16" t="n">
        <v>0</v>
      </c>
      <c r="T16" t="n">
        <v>0</v>
      </c>
      <c r="V16" t="n">
        <v>0</v>
      </c>
    </row>
    <row r="17">
      <c r="A17">
        <f>Skills!A17</f>
        <v/>
      </c>
      <c r="B17">
        <f>Skills!B17</f>
        <v/>
      </c>
      <c r="C17">
        <f>Inputs!$B$3&gt;=72</f>
        <v/>
      </c>
      <c r="D17">
        <f>IF(Skills!C17=1,60+Inputs!$B$25+Inputs!$B$29,IF(Skills!C17=2,90+Inputs!$B$26+Inputs!$B$29,IF(Skills!C17=3,120+Inputs!$B$27+Inputs!$B$29,MAX(0,(Inputs!$B$3-100)*3)+Inputs!$B$28+Inputs!$B$29)))</f>
        <v/>
      </c>
      <c r="E17">
        <f>INDEX(FactorTable!$B$2:$Y$301, MATCH(ROUND(MIN(300,MAX(1,D17)),0), FactorTable!$A$2:$A$301,0), Skills!M17+1)</f>
        <v/>
      </c>
      <c r="F17">
        <f>IF(Skills!N17=TRUE,(Skills!L17/10)*(E17/1000),Skills!L17/10)+Skills!O17</f>
        <v/>
      </c>
      <c r="G17">
        <f>Skills!G17*IF(Skills!H17&gt;0,Skills!I17/Skills!H17,1)</f>
        <v/>
      </c>
      <c r="H17">
        <f>1-(1-Skills!J17/100)^Skills!K17</f>
        <v/>
      </c>
      <c r="I17" t="inlineStr">
        <is>
          <t>1</t>
        </is>
      </c>
      <c r="J17" t="inlineStr"/>
      <c r="K17" t="inlineStr"/>
      <c r="L17" t="inlineStr"/>
      <c r="M17" t="inlineStr"/>
      <c r="N17" t="inlineStr"/>
      <c r="O17">
        <f>(1-Summary!$B$11)*T17+Summary!$B$11*V17</f>
        <v/>
      </c>
      <c r="P17">
        <f>IF(Summary!$B$3=0,0,O17/Summary!$B$3)</f>
        <v/>
      </c>
      <c r="Q17" t="n">
        <v>0</v>
      </c>
      <c r="R17" t="n">
        <v>0</v>
      </c>
      <c r="S17" t="n">
        <v>0</v>
      </c>
      <c r="T17" t="n">
        <v>0</v>
      </c>
      <c r="V17" t="n">
        <v>0</v>
      </c>
    </row>
    <row r="18">
      <c r="A18">
        <f>Skills!A18</f>
        <v/>
      </c>
      <c r="B18">
        <f>Skills!B18</f>
        <v/>
      </c>
      <c r="C18">
        <f>TRUE</f>
        <v/>
      </c>
      <c r="D18">
        <f>IF(Skills!C18=1,60+Inputs!$B$25+Inputs!$B$29,IF(Skills!C18=2,90+Inputs!$B$26+Inputs!$B$29,IF(Skills!C18=3,120+Inputs!$B$27+Inputs!$B$29,MAX(0,(Inputs!$B$3-100)*3)+Inputs!$B$28+Inputs!$B$29)))</f>
        <v/>
      </c>
      <c r="E18">
        <f>INDEX(FactorTable!$B$2:$Y$301, MATCH(ROUND(MIN(300,MAX(1,D18)),0), FactorTable!$A$2:$A$301,0), Skills!M18+1)</f>
        <v/>
      </c>
      <c r="F18">
        <f>IF(Skills!N18=TRUE,(Skills!L18/10)*(E18/1000),Skills!L18/10)+Skills!O18</f>
        <v/>
      </c>
      <c r="G18">
        <f>Skills!G18*IF(Skills!H18&gt;0,Skills!I18/Skills!H18,1)</f>
        <v/>
      </c>
      <c r="H18">
        <f>1-(1-Skills!J18/100)^Skills!K18</f>
        <v/>
      </c>
      <c r="I18" t="inlineStr">
        <is>
          <t>1</t>
        </is>
      </c>
      <c r="J18" t="inlineStr"/>
      <c r="K18" t="inlineStr"/>
      <c r="L18" t="inlineStr"/>
      <c r="M18" t="inlineStr"/>
      <c r="N18" t="inlineStr"/>
      <c r="O18">
        <f>(1-Summary!$B$11)*T18+Summary!$B$11*V18</f>
        <v/>
      </c>
      <c r="P18">
        <f>IF(Summary!$B$3=0,0,O18/Summary!$B$3)</f>
        <v/>
      </c>
      <c r="Q18">
        <f>IFERROR(1/IF(Inputs!$B$38="pvp",15,MAX(0.1,Skills!D18-IF(Skills!E18=TRUE,Inputs!$B$32,0))),0)</f>
        <v/>
      </c>
      <c r="R18">
        <f>IF(AND(Inputs!$B$38&lt;&gt;"pvp",Inputs!$B$43&gt;0),IF(Inputs!$B$43&lt;=0,0,(INT(Inputs!$B$43/IF(Inputs!$B$38="pvp",15,MAX(0.1,Skills!D18-IF(Skills!E18=TRUE,Inputs!$B$32,0))))+1)),0)</f>
        <v/>
      </c>
      <c r="S18" t="n">
        <v>0</v>
      </c>
      <c r="T18" t="n">
        <v>0</v>
      </c>
      <c r="V18" t="n">
        <v>0</v>
      </c>
    </row>
    <row r="19">
      <c r="A19">
        <f>Skills!A19</f>
        <v/>
      </c>
      <c r="B19">
        <f>Skills!B19</f>
        <v/>
      </c>
      <c r="C19">
        <f>Inputs!$B$3&gt;=15</f>
        <v/>
      </c>
      <c r="D19">
        <f>IF(Skills!C19=1,60+Inputs!$B$25+Inputs!$B$29,IF(Skills!C19=2,90+Inputs!$B$26+Inputs!$B$29,IF(Skills!C19=3,120+Inputs!$B$27+Inputs!$B$29,MAX(0,(Inputs!$B$3-100)*3)+Inputs!$B$28+Inputs!$B$29)))</f>
        <v/>
      </c>
      <c r="E19">
        <f>INDEX(FactorTable!$B$2:$Y$301, MATCH(ROUND(MIN(300,MAX(1,D19)),0), FactorTable!$A$2:$A$301,0), Skills!M19+1)</f>
        <v/>
      </c>
      <c r="F19">
        <f>IF(Skills!N19=TRUE,(Skills!L19/10)*(E19/1000),Skills!L19/10)+Skills!O19</f>
        <v/>
      </c>
      <c r="G19">
        <f>Skills!G19*IF(Skills!H19&gt;0,Skills!I19/Skills!H19,1)</f>
        <v/>
      </c>
      <c r="H19">
        <f>1-(1-Skills!J19/100)^Skills!K19</f>
        <v/>
      </c>
      <c r="I19" t="inlineStr">
        <is>
          <t>1</t>
        </is>
      </c>
      <c r="J19" t="inlineStr"/>
      <c r="K19" t="inlineStr"/>
      <c r="L19" t="inlineStr"/>
      <c r="M19" t="inlineStr"/>
      <c r="N19" t="inlineStr"/>
      <c r="O19">
        <f>(1-Summary!$B$11)*T19+Summary!$B$11*V19</f>
        <v/>
      </c>
      <c r="P19">
        <f>IF(Summary!$B$3=0,0,O19/Summary!$B$3)</f>
        <v/>
      </c>
      <c r="Q19" t="n">
        <v>0</v>
      </c>
      <c r="R19" t="n">
        <v>0</v>
      </c>
      <c r="S19" t="n">
        <v>0</v>
      </c>
      <c r="T19" t="n">
        <v>0</v>
      </c>
      <c r="V19" t="n">
        <v>0</v>
      </c>
    </row>
    <row r="20">
      <c r="A20">
        <f>Skills!A20</f>
        <v/>
      </c>
      <c r="B20">
        <f>Skills!B20</f>
        <v/>
      </c>
      <c r="C20">
        <f>Inputs!$B$3&gt;=10</f>
        <v/>
      </c>
      <c r="D20">
        <f>IF(Skills!C20=1,60+Inputs!$B$25+Inputs!$B$29,IF(Skills!C20=2,90+Inputs!$B$26+Inputs!$B$29,IF(Skills!C20=3,120+Inputs!$B$27+Inputs!$B$29,MAX(0,(Inputs!$B$3-100)*3)+Inputs!$B$28+Inputs!$B$29)))</f>
        <v/>
      </c>
      <c r="E20">
        <f>INDEX(FactorTable!$B$2:$Y$301, MATCH(ROUND(MIN(300,MAX(1,D20)),0), FactorTable!$A$2:$A$301,0), Skills!M20+1)</f>
        <v/>
      </c>
      <c r="F20">
        <f>IF(Skills!N20=TRUE,(Skills!L20/10)*(E20/1000),Skills!L20/10)+Skills!O20</f>
        <v/>
      </c>
      <c r="G20">
        <f>Skills!G20*IF(Skills!H20&gt;0,Skills!I20/Skills!H20,1)</f>
        <v/>
      </c>
      <c r="H20">
        <f>1-(1-Skills!J20/100)^Skills!K20</f>
        <v/>
      </c>
      <c r="I20" t="inlineStr">
        <is>
          <t>1</t>
        </is>
      </c>
      <c r="J20" t="inlineStr"/>
      <c r="K20" t="inlineStr"/>
      <c r="L20" t="inlineStr"/>
      <c r="M20" t="inlineStr"/>
      <c r="N20" t="inlineStr"/>
      <c r="O20">
        <f>(1-Summary!$B$11)*T20+Summary!$B$11*V20</f>
        <v/>
      </c>
      <c r="P20">
        <f>IF(Summary!$B$3=0,0,O20/Summary!$B$3)</f>
        <v/>
      </c>
      <c r="Q20" t="n">
        <v>0</v>
      </c>
      <c r="R20" t="n">
        <v>0</v>
      </c>
      <c r="S20" t="n">
        <v>0</v>
      </c>
      <c r="T20" t="n">
        <v>0</v>
      </c>
      <c r="V20" t="n">
        <v>0</v>
      </c>
    </row>
    <row r="21">
      <c r="A21">
        <f>Skills!A21</f>
        <v/>
      </c>
      <c r="B21">
        <f>Skills!B21</f>
        <v/>
      </c>
      <c r="C21">
        <f>Inputs!$B$3&gt;=33</f>
        <v/>
      </c>
      <c r="D21">
        <f>IF(Skills!C21=1,60+Inputs!$B$25+Inputs!$B$29,IF(Skills!C21=2,90+Inputs!$B$26+Inputs!$B$29,IF(Skills!C21=3,120+Inputs!$B$27+Inputs!$B$29,MAX(0,(Inputs!$B$3-100)*3)+Inputs!$B$28+Inputs!$B$29)))</f>
        <v/>
      </c>
      <c r="E21">
        <f>INDEX(FactorTable!$B$2:$Y$301, MATCH(ROUND(MIN(300,MAX(1,D21)),0), FactorTable!$A$2:$A$301,0), Skills!M21+1)</f>
        <v/>
      </c>
      <c r="F21">
        <f>IF(Skills!N21=TRUE,(Skills!L21/10)*(E21/1000),Skills!L21/10)+Skills!O21</f>
        <v/>
      </c>
      <c r="G21">
        <f>Skills!G21*IF(Skills!H21&gt;0,Skills!I21/Skills!H21,1)</f>
        <v/>
      </c>
      <c r="H21">
        <f>1-(1-Skills!J21/100)^Skills!K21</f>
        <v/>
      </c>
      <c r="I21" t="inlineStr">
        <is>
          <t>1</t>
        </is>
      </c>
      <c r="J21" t="inlineStr"/>
      <c r="K21" t="inlineStr"/>
      <c r="L21" t="inlineStr"/>
      <c r="M21" t="inlineStr"/>
      <c r="N21" t="inlineStr"/>
      <c r="O21">
        <f>(1-Summary!$B$11)*T21+Summary!$B$11*V21</f>
        <v/>
      </c>
      <c r="P21">
        <f>IF(Summary!$B$3=0,0,O21/Summary!$B$3)</f>
        <v/>
      </c>
      <c r="Q21" t="n">
        <v>0</v>
      </c>
      <c r="R21" t="n">
        <v>0</v>
      </c>
      <c r="S21" t="n">
        <v>0</v>
      </c>
      <c r="T21" t="n">
        <v>0</v>
      </c>
      <c r="V21" t="n">
        <v>0</v>
      </c>
    </row>
    <row r="22">
      <c r="A22">
        <f>Skills!A22</f>
        <v/>
      </c>
      <c r="B22">
        <f>Skills!B22</f>
        <v/>
      </c>
      <c r="C22">
        <f>Inputs!$B$3&gt;=38</f>
        <v/>
      </c>
      <c r="D22">
        <f>IF(Skills!C22=1,60+Inputs!$B$25+Inputs!$B$29,IF(Skills!C22=2,90+Inputs!$B$26+Inputs!$B$29,IF(Skills!C22=3,120+Inputs!$B$27+Inputs!$B$29,MAX(0,(Inputs!$B$3-100)*3)+Inputs!$B$28+Inputs!$B$29)))</f>
        <v/>
      </c>
      <c r="E22">
        <f>INDEX(FactorTable!$B$2:$Y$301, MATCH(ROUND(MIN(300,MAX(1,D22)),0), FactorTable!$A$2:$A$301,0), Skills!M22+1)</f>
        <v/>
      </c>
      <c r="F22">
        <f>IF(Skills!N22=TRUE,(Skills!L22/10)*(E22/1000),Skills!L22/10)+Skills!O22</f>
        <v/>
      </c>
      <c r="G22">
        <f>Skills!G22*IF(Skills!H22&gt;0,Skills!I22/Skills!H22,1)</f>
        <v/>
      </c>
      <c r="H22">
        <f>1-(1-Skills!J22/100)^Skills!K22</f>
        <v/>
      </c>
      <c r="I22" t="inlineStr">
        <is>
          <t>1</t>
        </is>
      </c>
      <c r="J22" t="inlineStr"/>
      <c r="K22" t="inlineStr"/>
      <c r="L22" t="inlineStr"/>
      <c r="M22" t="inlineStr"/>
      <c r="N22" t="inlineStr"/>
      <c r="O22">
        <f>(1-Summary!$B$11)*T22+Summary!$B$11*V22</f>
        <v/>
      </c>
      <c r="P22">
        <f>IF(Summary!$B$3=0,0,O22/Summary!$B$3)</f>
        <v/>
      </c>
      <c r="Q22" t="n">
        <v>0</v>
      </c>
      <c r="R22" t="n">
        <v>0</v>
      </c>
      <c r="S22" t="n">
        <v>0</v>
      </c>
      <c r="T22" t="n">
        <v>0</v>
      </c>
      <c r="V22" t="n">
        <v>0</v>
      </c>
    </row>
    <row r="23">
      <c r="A23">
        <f>Skills!A23</f>
        <v/>
      </c>
      <c r="B23">
        <f>Skills!B23</f>
        <v/>
      </c>
      <c r="C23">
        <f>Inputs!$B$3&gt;=43</f>
        <v/>
      </c>
      <c r="D23">
        <f>IF(Skills!C23=1,60+Inputs!$B$25+Inputs!$B$29,IF(Skills!C23=2,90+Inputs!$B$26+Inputs!$B$29,IF(Skills!C23=3,120+Inputs!$B$27+Inputs!$B$29,MAX(0,(Inputs!$B$3-100)*3)+Inputs!$B$28+Inputs!$B$29)))</f>
        <v/>
      </c>
      <c r="E23">
        <f>INDEX(FactorTable!$B$2:$Y$301, MATCH(ROUND(MIN(300,MAX(1,D23)),0), FactorTable!$A$2:$A$301,0), Skills!M23+1)</f>
        <v/>
      </c>
      <c r="F23">
        <f>IF(Skills!N23=TRUE,(Skills!L23/10)*(E23/1000),Skills!L23/10)+Skills!O23</f>
        <v/>
      </c>
      <c r="G23">
        <f>Skills!G23*IF(Skills!H23&gt;0,Skills!I23/Skills!H23,1)</f>
        <v/>
      </c>
      <c r="H23">
        <f>1-(1-Skills!J23/100)^Skills!K23</f>
        <v/>
      </c>
      <c r="I23" t="inlineStr">
        <is>
          <t>1</t>
        </is>
      </c>
      <c r="J23" t="inlineStr"/>
      <c r="K23" t="inlineStr"/>
      <c r="L23" t="inlineStr"/>
      <c r="M23" t="inlineStr"/>
      <c r="N23" t="inlineStr"/>
      <c r="O23">
        <f>(1-Summary!$B$11)*T23+Summary!$B$11*V23</f>
        <v/>
      </c>
      <c r="P23">
        <f>IF(Summary!$B$3=0,0,O23/Summary!$B$3)</f>
        <v/>
      </c>
      <c r="Q23" t="n">
        <v>0</v>
      </c>
      <c r="R23" t="n">
        <v>0</v>
      </c>
      <c r="S23" t="n">
        <v>0</v>
      </c>
      <c r="T23" t="n">
        <v>0</v>
      </c>
      <c r="V23" t="n">
        <v>0</v>
      </c>
    </row>
    <row r="24">
      <c r="A24">
        <f>Skills!A24</f>
        <v/>
      </c>
      <c r="B24">
        <f>Skills!B24</f>
        <v/>
      </c>
      <c r="C24">
        <f>Inputs!$B$3&gt;=75</f>
        <v/>
      </c>
      <c r="D24">
        <f>IF(Skills!C24=1,60+Inputs!$B$25+Inputs!$B$29,IF(Skills!C24=2,90+Inputs!$B$26+Inputs!$B$29,IF(Skills!C24=3,120+Inputs!$B$27+Inputs!$B$29,MAX(0,(Inputs!$B$3-100)*3)+Inputs!$B$28+Inputs!$B$29)))</f>
        <v/>
      </c>
      <c r="E24">
        <f>INDEX(FactorTable!$B$2:$Y$301, MATCH(ROUND(MIN(300,MAX(1,D24)),0), FactorTable!$A$2:$A$301,0), Skills!M24+1)</f>
        <v/>
      </c>
      <c r="F24">
        <f>IF(Skills!N24=TRUE,(Skills!L24/10)*(E24/1000),Skills!L24/10)+Skills!O24</f>
        <v/>
      </c>
      <c r="G24">
        <f>Skills!G24*IF(Skills!H24&gt;0,Skills!I24/Skills!H24,1)</f>
        <v/>
      </c>
      <c r="H24">
        <f>1-(1-Skills!J24/100)^Skills!K24</f>
        <v/>
      </c>
      <c r="I24" t="inlineStr">
        <is>
          <t>1</t>
        </is>
      </c>
      <c r="J24" t="inlineStr"/>
      <c r="K24" t="inlineStr"/>
      <c r="L24" t="inlineStr"/>
      <c r="M24" t="inlineStr"/>
      <c r="N24" t="inlineStr"/>
      <c r="O24">
        <f>(1-Summary!$B$11)*T24+Summary!$B$11*V24</f>
        <v/>
      </c>
      <c r="P24">
        <f>IF(Summary!$B$3=0,0,O24/Summary!$B$3)</f>
        <v/>
      </c>
      <c r="Q24" t="n">
        <v>0</v>
      </c>
      <c r="R24" t="n">
        <v>0</v>
      </c>
      <c r="S24" t="n">
        <v>0</v>
      </c>
      <c r="T24" t="n">
        <v>0</v>
      </c>
      <c r="V24" t="n">
        <v>0</v>
      </c>
    </row>
    <row r="25">
      <c r="A25">
        <f>Skills!A25</f>
        <v/>
      </c>
      <c r="B25">
        <f>Skills!B25</f>
        <v/>
      </c>
      <c r="C25">
        <f>Inputs!$B$3&gt;=125</f>
        <v/>
      </c>
      <c r="D25">
        <f>IF(Skills!C25=1,60+Inputs!$B$25+Inputs!$B$29,IF(Skills!C25=2,90+Inputs!$B$26+Inputs!$B$29,IF(Skills!C25=3,120+Inputs!$B$27+Inputs!$B$29,MAX(0,(Inputs!$B$3-100)*3)+Inputs!$B$28+Inputs!$B$29)))</f>
        <v/>
      </c>
      <c r="E25">
        <f>INDEX(FactorTable!$B$2:$Y$301, MATCH(ROUND(MIN(300,MAX(1,D25)),0), FactorTable!$A$2:$A$301,0), Skills!M25+1)</f>
        <v/>
      </c>
      <c r="F25">
        <f>IF(Skills!N25=TRUE,(Skills!L25/10)*(E25/1000),Skills!L25/10)+Skills!O25</f>
        <v/>
      </c>
      <c r="G25">
        <f>Skills!G25*IF(Skills!H25&gt;0,Skills!I25/Skills!H25,1)</f>
        <v/>
      </c>
      <c r="H25">
        <f>1-(1-Skills!J25/100)^Skills!K25</f>
        <v/>
      </c>
      <c r="I25" t="inlineStr">
        <is>
          <t>1</t>
        </is>
      </c>
      <c r="J25" t="inlineStr"/>
      <c r="K25" t="inlineStr"/>
      <c r="L25" t="inlineStr"/>
      <c r="M25" t="inlineStr"/>
      <c r="N25" t="inlineStr"/>
      <c r="O25">
        <f>(1-Summary!$B$11)*T25+Summary!$B$11*V25</f>
        <v/>
      </c>
      <c r="P25">
        <f>IF(Summary!$B$3=0,0,O25/Summary!$B$3)</f>
        <v/>
      </c>
      <c r="Q25" t="n">
        <v>0</v>
      </c>
      <c r="R25" t="n">
        <v>0</v>
      </c>
      <c r="S25" t="n">
        <v>0</v>
      </c>
      <c r="T25" t="n">
        <v>0</v>
      </c>
      <c r="V25" t="n">
        <v>0</v>
      </c>
    </row>
    <row r="26">
      <c r="A26">
        <f>Skills!A26</f>
        <v/>
      </c>
      <c r="B26">
        <f>Skills!B26</f>
        <v/>
      </c>
      <c r="C26">
        <f>Inputs!$B$3&gt;=125</f>
        <v/>
      </c>
      <c r="D26">
        <f>IF(Skills!C26=1,60+Inputs!$B$25+Inputs!$B$29,IF(Skills!C26=2,90+Inputs!$B$26+Inputs!$B$29,IF(Skills!C26=3,120+Inputs!$B$27+Inputs!$B$29,MAX(0,(Inputs!$B$3-100)*3)+Inputs!$B$28+Inputs!$B$29)))</f>
        <v/>
      </c>
      <c r="E26">
        <f>INDEX(FactorTable!$B$2:$Y$301, MATCH(ROUND(MIN(300,MAX(1,D26)),0), FactorTable!$A$2:$A$301,0), Skills!M26+1)</f>
        <v/>
      </c>
      <c r="F26">
        <f>IF(Skills!N26=TRUE,(Skills!L26/10)*(E26/1000),Skills!L26/10)+Skills!O26</f>
        <v/>
      </c>
      <c r="G26">
        <f>Skills!G26*IF(Skills!H26&gt;0,Skills!I26/Skills!H26,1)</f>
        <v/>
      </c>
      <c r="H26">
        <f>1-(1-Skills!J26/100)^Skills!K26</f>
        <v/>
      </c>
      <c r="I26" t="inlineStr">
        <is>
          <t>1</t>
        </is>
      </c>
      <c r="J26" t="inlineStr"/>
      <c r="K26" t="inlineStr"/>
      <c r="L26" t="inlineStr"/>
      <c r="M26" t="inlineStr"/>
      <c r="N26" t="inlineStr"/>
      <c r="O26">
        <f>(1-Summary!$B$11)*T26+Summary!$B$11*V26</f>
        <v/>
      </c>
      <c r="P26">
        <f>IF(Summary!$B$3=0,0,O26/Summary!$B$3)</f>
        <v/>
      </c>
      <c r="Q26" t="n">
        <v>0</v>
      </c>
      <c r="R26" t="n">
        <v>0</v>
      </c>
      <c r="S26" t="n">
        <v>0</v>
      </c>
      <c r="T26" t="n">
        <v>0</v>
      </c>
      <c r="V26" t="n">
        <v>0</v>
      </c>
    </row>
    <row r="27">
      <c r="A27">
        <f>Skills!A27</f>
        <v/>
      </c>
      <c r="B27">
        <f>Skills!B27</f>
        <v/>
      </c>
      <c r="C27">
        <f>Inputs!$B$3&gt;=120</f>
        <v/>
      </c>
      <c r="D27">
        <f>IF(Skills!C27=1,60+Inputs!$B$25+Inputs!$B$29,IF(Skills!C27=2,90+Inputs!$B$26+Inputs!$B$29,IF(Skills!C27=3,120+Inputs!$B$27+Inputs!$B$29,MAX(0,(Inputs!$B$3-100)*3)+Inputs!$B$28+Inputs!$B$29)))</f>
        <v/>
      </c>
      <c r="E27">
        <f>INDEX(FactorTable!$B$2:$Y$301, MATCH(ROUND(MIN(300,MAX(1,D27)),0), FactorTable!$A$2:$A$301,0), Skills!M27+1)</f>
        <v/>
      </c>
      <c r="F27">
        <f>IF(Skills!N27=TRUE,(Skills!L27/10)*(E27/1000),Skills!L27/10)+Skills!O27</f>
        <v/>
      </c>
      <c r="G27">
        <f>Skills!G27*IF(Skills!H27&gt;0,Skills!I27/Skills!H27,1)</f>
        <v/>
      </c>
      <c r="H27">
        <f>1-(1-Skills!J27/100)^Skills!K27</f>
        <v/>
      </c>
      <c r="I27" t="inlineStr">
        <is>
          <t>1</t>
        </is>
      </c>
      <c r="J27" t="inlineStr"/>
      <c r="K27" t="inlineStr"/>
      <c r="L27" t="inlineStr"/>
      <c r="M27" t="inlineStr"/>
      <c r="N27" t="inlineStr"/>
      <c r="O27">
        <f>(1-Summary!$B$11)*T27+Summary!$B$11*V27</f>
        <v/>
      </c>
      <c r="P27">
        <f>IF(Summary!$B$3=0,0,O27/Summary!$B$3)</f>
        <v/>
      </c>
      <c r="Q27" t="n">
        <v>0</v>
      </c>
      <c r="R27" t="n">
        <v>0</v>
      </c>
      <c r="S27" t="n">
        <v>0</v>
      </c>
      <c r="T27" t="n">
        <v>0</v>
      </c>
      <c r="V27" t="n">
        <v>0</v>
      </c>
    </row>
    <row r="28">
      <c r="A28">
        <f>Skills!A28</f>
        <v/>
      </c>
      <c r="B28">
        <f>Skills!B28</f>
        <v/>
      </c>
      <c r="C28">
        <f>Inputs!$B$3&gt;=120</f>
        <v/>
      </c>
      <c r="D28">
        <f>IF(Skills!C28=1,60+Inputs!$B$25+Inputs!$B$29,IF(Skills!C28=2,90+Inputs!$B$26+Inputs!$B$29,IF(Skills!C28=3,120+Inputs!$B$27+Inputs!$B$29,MAX(0,(Inputs!$B$3-100)*3)+Inputs!$B$28+Inputs!$B$29)))</f>
        <v/>
      </c>
      <c r="E28">
        <f>INDEX(FactorTable!$B$2:$Y$301, MATCH(ROUND(MIN(300,MAX(1,D28)),0), FactorTable!$A$2:$A$301,0), Skills!M28+1)</f>
        <v/>
      </c>
      <c r="F28">
        <f>IF(Skills!N28=TRUE,(Skills!L28/10)*(E28/1000),Skills!L28/10)+Skills!O28</f>
        <v/>
      </c>
      <c r="G28">
        <f>Skills!G28*IF(Skills!H28&gt;0,Skills!I28/Skills!H28,1)</f>
        <v/>
      </c>
      <c r="H28">
        <f>1-(1-Skills!J28/100)^Skills!K28</f>
        <v/>
      </c>
      <c r="I28" t="inlineStr">
        <is>
          <t>1</t>
        </is>
      </c>
      <c r="J28" t="inlineStr"/>
      <c r="K28" t="inlineStr"/>
      <c r="L28" t="inlineStr"/>
      <c r="M28" t="inlineStr"/>
      <c r="N28" t="inlineStr"/>
      <c r="O28">
        <f>(1-Summary!$B$11)*T28+Summary!$B$11*V28</f>
        <v/>
      </c>
      <c r="P28">
        <f>IF(Summary!$B$3=0,0,O28/Summary!$B$3)</f>
        <v/>
      </c>
      <c r="Q28" t="n">
        <v>0</v>
      </c>
      <c r="R28" t="n">
        <v>0</v>
      </c>
      <c r="S28" t="n">
        <v>0</v>
      </c>
      <c r="T28" t="n">
        <v>0</v>
      </c>
      <c r="V28" t="n">
        <v>0</v>
      </c>
    </row>
    <row r="29">
      <c r="A29">
        <f>Skills!A29</f>
        <v/>
      </c>
      <c r="B29">
        <f>Skills!B29</f>
        <v/>
      </c>
      <c r="C29">
        <f>Inputs!$B$3&gt;=45</f>
        <v/>
      </c>
      <c r="D29">
        <f>IF(Skills!C29=1,60+Inputs!$B$25+Inputs!$B$29,IF(Skills!C29=2,90+Inputs!$B$26+Inputs!$B$29,IF(Skills!C29=3,120+Inputs!$B$27+Inputs!$B$29,MAX(0,(Inputs!$B$3-100)*3)+Inputs!$B$28+Inputs!$B$29)))</f>
        <v/>
      </c>
      <c r="E29">
        <f>INDEX(FactorTable!$B$2:$Y$301, MATCH(ROUND(MIN(300,MAX(1,D29)),0), FactorTable!$A$2:$A$301,0), Skills!M29+1)</f>
        <v/>
      </c>
      <c r="F29">
        <f>IF(Skills!N29=TRUE,(Skills!L29/10)*(E29/1000),Skills!L29/10)+Skills!O29</f>
        <v/>
      </c>
      <c r="G29">
        <f>Skills!G29*IF(Skills!H29&gt;0,Skills!I29/Skills!H29,1)</f>
        <v/>
      </c>
      <c r="H29">
        <f>1-(1-Skills!J29/100)^Skills!K29</f>
        <v/>
      </c>
      <c r="I29" t="inlineStr">
        <is>
          <t>1</t>
        </is>
      </c>
      <c r="J29" t="inlineStr"/>
      <c r="K29" t="inlineStr"/>
      <c r="L29" t="inlineStr"/>
      <c r="M29" t="inlineStr"/>
      <c r="N29" t="inlineStr"/>
      <c r="O29">
        <f>(1-Summary!$B$11)*T29+Summary!$B$11*V29</f>
        <v/>
      </c>
      <c r="P29">
        <f>IF(Summary!$B$3=0,0,O29/Summary!$B$3)</f>
        <v/>
      </c>
      <c r="Q29" t="n">
        <v>0</v>
      </c>
      <c r="R29" t="n">
        <v>0</v>
      </c>
      <c r="S29" t="n">
        <v>0</v>
      </c>
      <c r="T29" t="n">
        <v>0</v>
      </c>
      <c r="V29"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03"/>
  <sheetViews>
    <sheetView workbookViewId="0">
      <selection activeCell="A1" sqref="A1"/>
    </sheetView>
  </sheetViews>
  <sheetFormatPr baseColWidth="8" defaultRowHeight="15"/>
  <cols>
    <col width="65" customWidth="1" min="1" max="1"/>
    <col width="16" customWidth="1" min="2" max="2"/>
    <col width="12" customWidth="1" min="3" max="3"/>
  </cols>
  <sheetData>
    <row r="1">
      <c r="A1" s="4" t="inlineStr">
        <is>
          <t>Marksman — DPS Summary</t>
        </is>
      </c>
    </row>
    <row r="3">
      <c r="A3" s="10" t="inlineStr">
        <is>
          <t>TOTAL DPS</t>
        </is>
      </c>
      <c r="B3" s="10">
        <f>SUM(Calc!O2:O29)</f>
        <v/>
      </c>
    </row>
    <row r="5">
      <c r="A5" s="9" t="inlineStr">
        <is>
          <t>Derived Values (read-only, computed from Inputs)</t>
        </is>
      </c>
    </row>
    <row r="6">
      <c r="A6" t="inlineStr">
        <is>
          <t>ATTACK (= Flat ATTACK x (1+ATTACK%/100))</t>
        </is>
      </c>
      <c r="B6">
        <f>Inputs!$B$6*(1+Inputs!$B$7/100)</f>
        <v/>
      </c>
    </row>
    <row r="7">
      <c r="A7" t="inlineStr">
        <is>
          <t>STAT_DAMAGE % (= 1% of total DEX + 0.25% of STR)</t>
        </is>
      </c>
      <c r="B7">
        <f>(Inputs!$B$12*(1+Inputs!$B$13/100))*0.01+Inputs!$B$14*0.0025</f>
        <v/>
      </c>
    </row>
    <row r="8">
      <c r="A8" t="inlineStr">
        <is>
          <t>Basic Attack (Empowered Piercing Arrow) Input Level (4th job formula)</t>
        </is>
      </c>
      <c r="B8">
        <f>MAX(0,(Inputs!$B$3-100)*3)+Inputs!$B$28+Inputs!$B$29</f>
        <v/>
      </c>
    </row>
    <row r="9">
      <c r="A9" t="inlineStr">
        <is>
          <t>Basic Attack Factor (factorIndex 21, universal 4th-job basic attack)</t>
        </is>
      </c>
      <c r="B9">
        <f>INDEX(FactorTable!$B$2:$Y$301, MATCH(ROUND(MIN(300,MAX(1,Summary!$B$8)),0), FactorTable!$A$2:$A$301,0), 22)</f>
        <v/>
      </c>
    </row>
    <row r="10">
      <c r="A10" t="inlineStr">
        <is>
          <t>SKILL_COEFFICIENT — Empowered Piercing Arrow base coefficient % (before bonuses)</t>
        </is>
      </c>
      <c r="B10">
        <f>290*Summary!$B$9/1000</f>
        <v/>
      </c>
    </row>
    <row r="11">
      <c r="A11" t="inlineStr">
        <is>
          <t>Normal-Monster Weight (= 0 for boss, 1 for normal, Breakthrough Normal Weight % for breakthrough, 0 for pvp)</t>
        </is>
      </c>
      <c r="B11">
        <f>IF(Inputs!$B$38="normal",1,IF(Inputs!$B$38="breakthrough",Inputs!$B$44/100,0))</f>
        <v/>
      </c>
    </row>
    <row r="13">
      <c r="A13" t="inlineStr">
        <is>
          <t>Attack%% Bucket Multiplier (Marksmanship base+conditional + Illusion Step + Blink Bolt + Artifact Attack%, summed additively)</t>
        </is>
      </c>
      <c r="B13">
        <f>1+(((Calc!C13=TRUE)*Calc!F13)+((Calc!C14=TRUE)*IF(Inputs!$B$38="pvp",Calc!F14,(1-Summary!$B$11)*(Calc!F14)+Summary!$B$11*(0)))+((Calc!C15=TRUE)*Calc!F15*IF(AND(Inputs!$B$38&lt;&gt;"pvp",Inputs!$B$43&gt;0),(((Calc!R15-1)*(Skills!T15*(1+Inputs!$B$34/100))+MIN((Skills!T15*(1+Inputs!$B$34/100)),MAX(0,Inputs!$B$43-((Calc!R15-1)*Skills!D15))))/Inputs!$B$43),IF(Inputs!$B$38="pvp",MIN((Skills!T15*(1+Inputs!$B$34/100)),15)/15,(Skills!T15*(1+Inputs!$B$34/100))/Skills!D15)))+((Calc!C12=TRUE)*Calc!F12)+Artifacts!$B$52)/100</f>
        <v/>
      </c>
    </row>
    <row r="14">
      <c r="A14" t="inlineStr">
        <is>
          <t>Global Crit Rate Bonus % (Sharp Eyes, flat 20, duty-cycle averaged)</t>
        </is>
      </c>
      <c r="B14">
        <f>(Calc!C16=TRUE)*20*IF(AND(Inputs!$B$38&lt;&gt;"pvp",Inputs!$B$43&gt;0),(((Calc!R16-1)*(Skills!T16*(1+Inputs!$B$34/100))+MIN((Skills!T16*(1+Inputs!$B$34/100)),MAX(0,Inputs!$B$43-((Calc!R16-1)*Skills!D16))))/Inputs!$B$43),IF(Inputs!$B$38="pvp",MIN((Skills!T16*(1+Inputs!$B$34/100)),15)/15,(Skills!T16*(1+Inputs!$B$34/100))/Skills!D16))</f>
        <v/>
      </c>
    </row>
    <row r="15">
      <c r="A15" t="inlineStr">
        <is>
          <t>Global Monster Damage-Taken Bonus % (Artifact Enemy Damage Taken Bonus)</t>
        </is>
      </c>
      <c r="B15">
        <f>Artifacts!$B$36</f>
        <v/>
      </c>
    </row>
    <row r="16">
      <c r="A16" t="inlineStr">
        <is>
          <t>Attack Speed Buff Bonus % (Nimble Feet, duty-cycle averaged)</t>
        </is>
      </c>
      <c r="B16">
        <f>((Calc!C18=TRUE)*Calc!F18*IF(AND(Inputs!$B$38&lt;&gt;"pvp",Inputs!$B$43&gt;0),(((Calc!R18-1)*(Skills!T18*(1+Inputs!$B$34/100))+MIN((Skills!T18*(1+Inputs!$B$34/100)),MAX(0,Inputs!$B$43-((Calc!R18-1)*Skills!D18))))/Inputs!$B$43),IF(Inputs!$B$38="pvp",MIN((Skills!T18*(1+Inputs!$B$34/100)),15)/15,(Skills!T18*(1+Inputs!$B$34/100))/Skills!D18)))</f>
        <v/>
      </c>
    </row>
    <row r="17">
      <c r="A17" t="inlineStr">
        <is>
          <t>Actions Per Second</t>
        </is>
      </c>
      <c r="B17">
        <f>1+MIN(150,150*(1-(1-Inputs!$B$11/150)*(1-B16/150)))/100</f>
        <v/>
      </c>
    </row>
    <row r="18">
      <c r="A18" t="inlineStr">
        <is>
          <t>Skill + Buff Cast Rate (subtracted from Empowered Piercing Arrow, 1/s)</t>
        </is>
      </c>
      <c r="B18">
        <f>IF(AND(Inputs!$B$38&lt;&gt;"pvp",Inputs!$B$43&gt;0),SUMPRODUCT((Skills!E2:E29=TRUE)*(Calc!C2:C29=TRUE)*Calc!R2:R29*Skills!F2:F29)/Inputs!$B$43,SUMPRODUCT((Skills!E2:E29=TRUE)*(Calc!C2:C29=TRUE)*Calc!Q2:Q29*Skills!F2:F29))</f>
        <v/>
      </c>
    </row>
    <row r="19">
      <c r="A19" t="inlineStr">
        <is>
          <t>Empowered Piercing Arrow (Basic Attack) Casts Per Second</t>
        </is>
      </c>
      <c r="B19">
        <f>MAX(0,B17-B18)</f>
        <v/>
      </c>
    </row>
    <row r="20">
      <c r="A20" t="inlineStr">
        <is>
          <t>Global Critical Damage Bonus % (Sharp Eyes scaling — Marksman has no Concentration-equivalent stacking passive)</t>
        </is>
      </c>
      <c r="B20">
        <f>(Calc!C16=TRUE)*Calc!F16*IF(AND(Inputs!$B$38&lt;&gt;"pvp",Inputs!$B$43&gt;0),(((Calc!R16-1)*(Skills!T16*(1+Inputs!$B$34/100))+MIN((Skills!T16*(1+Inputs!$B$34/100)),MAX(0,Inputs!$B$43-((Calc!R16-1)*Skills!D16))))/Inputs!$B$43),IF(Inputs!$B$38="pvp",MIN((Skills!T16*(1+Inputs!$B$34/100)),15)/15,(Skills!T16*(1+Inputs!$B$34/100))/Skills!D16))</f>
        <v/>
      </c>
    </row>
    <row r="21">
      <c r="A21" t="inlineStr">
        <is>
          <t>Global Final Damage Bonus % (Mortal Blow steady-state + Last Man Standing conditional half, boss/pvp-blended)</t>
        </is>
      </c>
      <c r="B21">
        <f>(Calc!C17=TRUE)*Calc!F17+((Calc!C26=TRUE)*IF(Inputs!$B$38="pvp",Calc!F26,(1-Summary!$B$11)*(Calc!F26)+Summary!$B$11*(0)))</f>
        <v/>
      </c>
    </row>
    <row r="22">
      <c r="A22" t="inlineStr">
        <is>
          <t>Empowered Piercing Arrow (Basic Attack) DPS</t>
        </is>
      </c>
      <c r="B22">
        <f>Calc!O2</f>
        <v/>
      </c>
    </row>
    <row r="23">
      <c r="A23" t="inlineStr">
        <is>
          <t>Buff-Casting Startup Delay (s, before first damage-skill cast; fixed-duration only)</t>
        </is>
      </c>
      <c r="B23">
        <f>IF(AND(Inputs!$B$38&lt;&gt;"pvp",Inputs!$B$43&gt;0),SUMPRODUCT((Skills!T2:T29&gt;0)*(Skills!E2:E29=TRUE)*(Calc!C2:C29=TRUE))/B17,0)</f>
        <v/>
      </c>
    </row>
    <row r="24">
      <c r="A24" t="inlineStr">
        <is>
          <t>Boss-Only Total DPS (Sensitivity baseline)</t>
        </is>
      </c>
      <c r="B24">
        <f>SUM(Calc!T2:T29)</f>
        <v/>
      </c>
    </row>
    <row r="25">
      <c r="A25" t="inlineStr">
        <is>
          <t>Normal-Only Total DPS (Sensitivity baseline)</t>
        </is>
      </c>
      <c r="B25">
        <f>SUM(Calc!V2:V29)</f>
        <v/>
      </c>
    </row>
    <row r="27">
      <c r="A27" s="9" t="inlineStr">
        <is>
          <t>Per-Skill DPS Breakdown</t>
        </is>
      </c>
    </row>
    <row r="28">
      <c r="A28" s="5" t="inlineStr">
        <is>
          <t>Skill</t>
        </is>
      </c>
      <c r="B28" s="5" t="inlineStr">
        <is>
          <t>DPS</t>
        </is>
      </c>
      <c r="C28" s="5" t="inlineStr">
        <is>
          <t>% of Total</t>
        </is>
      </c>
    </row>
    <row r="29">
      <c r="A29">
        <f>Calc!B2</f>
        <v/>
      </c>
      <c r="B29">
        <f>Calc!O2</f>
        <v/>
      </c>
      <c r="C29">
        <f>Calc!P2*100</f>
        <v/>
      </c>
    </row>
    <row r="30">
      <c r="A30">
        <f>Calc!B5</f>
        <v/>
      </c>
      <c r="B30">
        <f>Calc!O5</f>
        <v/>
      </c>
      <c r="C30">
        <f>Calc!P5*100</f>
        <v/>
      </c>
    </row>
    <row r="31">
      <c r="A31">
        <f>Calc!B6</f>
        <v/>
      </c>
      <c r="B31">
        <f>Calc!O6</f>
        <v/>
      </c>
      <c r="C31">
        <f>Calc!P6*100</f>
        <v/>
      </c>
    </row>
    <row r="32">
      <c r="A32">
        <f>Calc!B7</f>
        <v/>
      </c>
      <c r="B32">
        <f>Calc!O7</f>
        <v/>
      </c>
      <c r="C32">
        <f>Calc!P7*100</f>
        <v/>
      </c>
    </row>
    <row r="33">
      <c r="A33">
        <f>Calc!B9</f>
        <v/>
      </c>
      <c r="B33">
        <f>Calc!O9</f>
        <v/>
      </c>
      <c r="C33">
        <f>Calc!P9*100</f>
        <v/>
      </c>
    </row>
    <row r="34">
      <c r="A34">
        <f>Calc!B10</f>
        <v/>
      </c>
      <c r="B34">
        <f>Calc!O10</f>
        <v/>
      </c>
      <c r="C34">
        <f>Calc!P10*100</f>
        <v/>
      </c>
    </row>
    <row r="35">
      <c r="A35">
        <f>Calc!B11</f>
        <v/>
      </c>
      <c r="B35">
        <f>Calc!O11</f>
        <v/>
      </c>
      <c r="C35">
        <f>Calc!P11*100</f>
        <v/>
      </c>
    </row>
    <row r="36">
      <c r="A36" s="9" t="inlineStr">
        <is>
          <t>Marginal DPS &amp; Stat Value (see Sensitivity for full detail)</t>
        </is>
      </c>
    </row>
    <row r="38">
      <c r="A38" s="5" t="inlineStr">
        <is>
          <t>Stat</t>
        </is>
      </c>
      <c r="B38" s="5" t="inlineStr">
        <is>
          <t>DPS per +1</t>
        </is>
      </c>
      <c r="C38" s="5" t="inlineStr">
        <is>
          <t>Units per +1% DPS</t>
        </is>
      </c>
    </row>
    <row r="39">
      <c r="A39">
        <f>Sensitivity!A5</f>
        <v/>
      </c>
      <c r="B39">
        <f>Sensitivity!H5</f>
        <v/>
      </c>
      <c r="C39">
        <f>Sensitivity!B5</f>
        <v/>
      </c>
    </row>
    <row r="40">
      <c r="A40">
        <f>Sensitivity!A6</f>
        <v/>
      </c>
      <c r="B40">
        <f>Sensitivity!H6</f>
        <v/>
      </c>
      <c r="C40">
        <f>Sensitivity!B6</f>
        <v/>
      </c>
    </row>
    <row r="41">
      <c r="A41">
        <f>Sensitivity!A7</f>
        <v/>
      </c>
      <c r="B41">
        <f>Sensitivity!H7</f>
        <v/>
      </c>
      <c r="C41">
        <f>Sensitivity!B7</f>
        <v/>
      </c>
    </row>
    <row r="42">
      <c r="A42">
        <f>Sensitivity!A8</f>
        <v/>
      </c>
      <c r="B42">
        <f>Sensitivity!H8</f>
        <v/>
      </c>
      <c r="C42">
        <f>Sensitivity!B8</f>
        <v/>
      </c>
    </row>
    <row r="43">
      <c r="A43">
        <f>Sensitivity!A9</f>
        <v/>
      </c>
      <c r="B43">
        <f>Sensitivity!H9</f>
        <v/>
      </c>
      <c r="C43">
        <f>Sensitivity!B9</f>
        <v/>
      </c>
    </row>
    <row r="44">
      <c r="A44">
        <f>Sensitivity!A10</f>
        <v/>
      </c>
      <c r="B44">
        <f>Sensitivity!H10</f>
        <v/>
      </c>
      <c r="C44">
        <f>Sensitivity!B10</f>
        <v/>
      </c>
    </row>
    <row r="45">
      <c r="A45">
        <f>Sensitivity!A11</f>
        <v/>
      </c>
      <c r="B45">
        <f>Sensitivity!H11</f>
        <v/>
      </c>
      <c r="C45">
        <f>Sensitivity!B11</f>
        <v/>
      </c>
    </row>
    <row r="46">
      <c r="A46">
        <f>Sensitivity!A12</f>
        <v/>
      </c>
      <c r="B46">
        <f>Sensitivity!H12</f>
        <v/>
      </c>
      <c r="C46">
        <f>Sensitivity!B12</f>
        <v/>
      </c>
    </row>
    <row r="47">
      <c r="A47">
        <f>Sensitivity!A13</f>
        <v/>
      </c>
      <c r="B47">
        <f>Sensitivity!H13</f>
        <v/>
      </c>
      <c r="C47">
        <f>Sensitivity!B13</f>
        <v/>
      </c>
    </row>
    <row r="48">
      <c r="A48">
        <f>Sensitivity!A14</f>
        <v/>
      </c>
      <c r="B48">
        <f>Sensitivity!H14</f>
        <v/>
      </c>
      <c r="C48">
        <f>Sensitivity!B14</f>
        <v/>
      </c>
    </row>
    <row r="49">
      <c r="A49">
        <f>Sensitivity!A15</f>
        <v/>
      </c>
      <c r="B49">
        <f>Sensitivity!H15</f>
        <v/>
      </c>
      <c r="C49">
        <f>Sensitivity!B15</f>
        <v/>
      </c>
    </row>
    <row r="50">
      <c r="A50">
        <f>Sensitivity!A16</f>
        <v/>
      </c>
      <c r="B50">
        <f>Sensitivity!H16</f>
        <v/>
      </c>
      <c r="C50">
        <f>Sensitivity!B16</f>
        <v/>
      </c>
    </row>
    <row r="51">
      <c r="A51">
        <f>Sensitivity!A17</f>
        <v/>
      </c>
      <c r="B51">
        <f>Sensitivity!H17</f>
        <v/>
      </c>
      <c r="C51">
        <f>Sensitivity!B17</f>
        <v/>
      </c>
    </row>
    <row r="52">
      <c r="A52">
        <f>Sensitivity!A18</f>
        <v/>
      </c>
      <c r="B52">
        <f>Sensitivity!H18</f>
        <v/>
      </c>
      <c r="C52">
        <f>Sensitivity!B18</f>
        <v/>
      </c>
    </row>
    <row r="53">
      <c r="A53">
        <f>Sensitivity!A19</f>
        <v/>
      </c>
      <c r="B53">
        <f>Sensitivity!H19</f>
        <v/>
      </c>
      <c r="C53">
        <f>Sensitivity!B19</f>
        <v/>
      </c>
    </row>
    <row r="54">
      <c r="A54">
        <f>Sensitivity!A20</f>
        <v/>
      </c>
      <c r="B54">
        <f>Sensitivity!H20</f>
        <v/>
      </c>
      <c r="C54">
        <f>Sensitivity!B20</f>
        <v/>
      </c>
    </row>
    <row r="55">
      <c r="A55">
        <f>Sensitivity!A21</f>
        <v/>
      </c>
      <c r="B55">
        <f>Sensitivity!H21</f>
        <v/>
      </c>
      <c r="C55">
        <f>Sensitivity!B21</f>
        <v/>
      </c>
    </row>
    <row r="56">
      <c r="A56">
        <f>Sensitivity!A22</f>
        <v/>
      </c>
      <c r="B56">
        <f>Sensitivity!H22</f>
        <v/>
      </c>
      <c r="C56">
        <f>Sensitivity!B22</f>
        <v/>
      </c>
    </row>
    <row r="57">
      <c r="A57">
        <f>Sensitivity!A23</f>
        <v/>
      </c>
      <c r="B57">
        <f>Sensitivity!H23</f>
        <v/>
      </c>
      <c r="C57">
        <f>Sensitivity!B23</f>
        <v/>
      </c>
    </row>
    <row r="58">
      <c r="A58">
        <f>Sensitivity!A24</f>
        <v/>
      </c>
      <c r="B58">
        <f>Sensitivity!H24</f>
        <v/>
      </c>
      <c r="C58">
        <f>Sensitivity!B24</f>
        <v/>
      </c>
    </row>
    <row r="59">
      <c r="A59">
        <f>Sensitivity!A25</f>
        <v/>
      </c>
      <c r="B59">
        <f>Sensitivity!H25</f>
        <v/>
      </c>
      <c r="C59">
        <f>Sensitivity!B25</f>
        <v/>
      </c>
    </row>
    <row r="60">
      <c r="A60">
        <f>Sensitivity!A26</f>
        <v/>
      </c>
      <c r="B60">
        <f>Sensitivity!H26</f>
        <v/>
      </c>
      <c r="C60">
        <f>Sensitivity!B26</f>
        <v/>
      </c>
    </row>
    <row r="61">
      <c r="A61">
        <f>Sensitivity!A27</f>
        <v/>
      </c>
      <c r="B61">
        <f>Sensitivity!H27</f>
        <v/>
      </c>
      <c r="C61">
        <f>Sensitivity!B27</f>
        <v/>
      </c>
    </row>
    <row r="62">
      <c r="A62">
        <f>Sensitivity!A28</f>
        <v/>
      </c>
      <c r="B62">
        <f>Sensitivity!H28</f>
        <v/>
      </c>
      <c r="C62">
        <f>Sensitivity!B28</f>
        <v/>
      </c>
    </row>
    <row r="63">
      <c r="A63">
        <f>Sensitivity!A29</f>
        <v/>
      </c>
      <c r="B63">
        <f>Sensitivity!H29</f>
        <v/>
      </c>
      <c r="C63">
        <f>Sensitivity!B29</f>
        <v/>
      </c>
    </row>
    <row r="64">
      <c r="A64">
        <f>Sensitivity!A30</f>
        <v/>
      </c>
      <c r="B64">
        <f>Sensitivity!H30</f>
        <v/>
      </c>
      <c r="C64">
        <f>Sensitivity!B30</f>
        <v/>
      </c>
    </row>
    <row r="65">
      <c r="A65" s="9" t="inlineStr">
        <is>
          <t>Artifact Equip-Toggle DPS Gain, best to worst (see Sensitivity for full detail)</t>
        </is>
      </c>
    </row>
    <row r="67">
      <c r="A67" s="5" t="inlineStr">
        <is>
          <t>Artifact</t>
        </is>
      </c>
      <c r="B67" s="5" t="inlineStr">
        <is>
          <t>DPS Gain</t>
        </is>
      </c>
      <c r="C67" s="5" t="inlineStr">
        <is>
          <t>% Gain</t>
        </is>
      </c>
    </row>
    <row r="68">
      <c r="A68">
        <f>Sensitivity!A33</f>
        <v/>
      </c>
      <c r="B68">
        <f>Sensitivity!B33</f>
        <v/>
      </c>
      <c r="C68">
        <f>Sensitivity!C33</f>
        <v/>
      </c>
    </row>
    <row r="69">
      <c r="A69">
        <f>Sensitivity!A34</f>
        <v/>
      </c>
      <c r="B69">
        <f>Sensitivity!B34</f>
        <v/>
      </c>
      <c r="C69">
        <f>Sensitivity!C34</f>
        <v/>
      </c>
    </row>
    <row r="70">
      <c r="A70">
        <f>Sensitivity!A35</f>
        <v/>
      </c>
      <c r="B70">
        <f>Sensitivity!B35</f>
        <v/>
      </c>
      <c r="C70">
        <f>Sensitivity!C35</f>
        <v/>
      </c>
    </row>
    <row r="71">
      <c r="A71">
        <f>Sensitivity!A36</f>
        <v/>
      </c>
      <c r="B71">
        <f>Sensitivity!B36</f>
        <v/>
      </c>
      <c r="C71">
        <f>Sensitivity!C36</f>
        <v/>
      </c>
    </row>
    <row r="72">
      <c r="A72">
        <f>Sensitivity!A37</f>
        <v/>
      </c>
      <c r="B72">
        <f>Sensitivity!B37</f>
        <v/>
      </c>
      <c r="C72">
        <f>Sensitivity!C37</f>
        <v/>
      </c>
    </row>
    <row r="73">
      <c r="A73">
        <f>Sensitivity!A38</f>
        <v/>
      </c>
      <c r="B73">
        <f>Sensitivity!B38</f>
        <v/>
      </c>
      <c r="C73">
        <f>Sensitivity!C38</f>
        <v/>
      </c>
    </row>
    <row r="74">
      <c r="A74">
        <f>Sensitivity!A39</f>
        <v/>
      </c>
      <c r="B74">
        <f>Sensitivity!B39</f>
        <v/>
      </c>
      <c r="C74">
        <f>Sensitivity!C39</f>
        <v/>
      </c>
    </row>
    <row r="75">
      <c r="A75">
        <f>Sensitivity!A40</f>
        <v/>
      </c>
      <c r="B75">
        <f>Sensitivity!B40</f>
        <v/>
      </c>
      <c r="C75">
        <f>Sensitivity!C40</f>
        <v/>
      </c>
    </row>
    <row r="76">
      <c r="A76">
        <f>Sensitivity!A41</f>
        <v/>
      </c>
      <c r="B76">
        <f>Sensitivity!B41</f>
        <v/>
      </c>
      <c r="C76">
        <f>Sensitivity!C41</f>
        <v/>
      </c>
    </row>
    <row r="77">
      <c r="A77">
        <f>Sensitivity!A42</f>
        <v/>
      </c>
      <c r="B77">
        <f>Sensitivity!B42</f>
        <v/>
      </c>
      <c r="C77">
        <f>Sensitivity!C42</f>
        <v/>
      </c>
    </row>
    <row r="78">
      <c r="A78">
        <f>Sensitivity!A43</f>
        <v/>
      </c>
      <c r="B78">
        <f>Sensitivity!B43</f>
        <v/>
      </c>
      <c r="C78">
        <f>Sensitivity!C43</f>
        <v/>
      </c>
    </row>
    <row r="79">
      <c r="A79">
        <f>Sensitivity!A44</f>
        <v/>
      </c>
      <c r="B79">
        <f>Sensitivity!B44</f>
        <v/>
      </c>
      <c r="C79">
        <f>Sensitivity!C44</f>
        <v/>
      </c>
    </row>
    <row r="80">
      <c r="A80">
        <f>Sensitivity!A45</f>
        <v/>
      </c>
      <c r="B80">
        <f>Sensitivity!B45</f>
        <v/>
      </c>
      <c r="C80">
        <f>Sensitivity!C45</f>
        <v/>
      </c>
    </row>
    <row r="81">
      <c r="A81">
        <f>Sensitivity!A46</f>
        <v/>
      </c>
      <c r="B81">
        <f>Sensitivity!B46</f>
        <v/>
      </c>
      <c r="C81">
        <f>Sensitivity!C46</f>
        <v/>
      </c>
    </row>
    <row r="82">
      <c r="A82">
        <f>Sensitivity!A47</f>
        <v/>
      </c>
      <c r="B82">
        <f>Sensitivity!B47</f>
        <v/>
      </c>
      <c r="C82">
        <f>Sensitivity!C47</f>
        <v/>
      </c>
    </row>
    <row r="83">
      <c r="A83">
        <f>Sensitivity!A48</f>
        <v/>
      </c>
      <c r="B83">
        <f>Sensitivity!B48</f>
        <v/>
      </c>
      <c r="C83">
        <f>Sensitivity!C48</f>
        <v/>
      </c>
    </row>
    <row r="84">
      <c r="A84">
        <f>Sensitivity!A49</f>
        <v/>
      </c>
      <c r="B84">
        <f>Sensitivity!B49</f>
        <v/>
      </c>
      <c r="C84">
        <f>Sensitivity!C49</f>
        <v/>
      </c>
    </row>
    <row r="85">
      <c r="A85">
        <f>Sensitivity!A50</f>
        <v/>
      </c>
      <c r="B85">
        <f>Sensitivity!B50</f>
        <v/>
      </c>
      <c r="C85">
        <f>Sensitivity!C50</f>
        <v/>
      </c>
    </row>
    <row r="86">
      <c r="A86">
        <f>Sensitivity!A51</f>
        <v/>
      </c>
      <c r="B86">
        <f>Sensitivity!B51</f>
        <v/>
      </c>
      <c r="C86">
        <f>Sensitivity!C51</f>
        <v/>
      </c>
    </row>
    <row r="87">
      <c r="A87">
        <f>Sensitivity!A52</f>
        <v/>
      </c>
      <c r="B87">
        <f>Sensitivity!B52</f>
        <v/>
      </c>
      <c r="C87">
        <f>Sensitivity!C52</f>
        <v/>
      </c>
    </row>
    <row r="88">
      <c r="A88">
        <f>Sensitivity!A53</f>
        <v/>
      </c>
      <c r="B88">
        <f>Sensitivity!B53</f>
        <v/>
      </c>
      <c r="C88">
        <f>Sensitivity!C53</f>
        <v/>
      </c>
    </row>
    <row r="89">
      <c r="A89">
        <f>Sensitivity!A54</f>
        <v/>
      </c>
      <c r="B89">
        <f>Sensitivity!B54</f>
        <v/>
      </c>
      <c r="C89">
        <f>Sensitivity!C54</f>
        <v/>
      </c>
    </row>
    <row r="90">
      <c r="A90">
        <f>Sensitivity!A55</f>
        <v/>
      </c>
      <c r="B90">
        <f>Sensitivity!B55</f>
        <v/>
      </c>
      <c r="C90">
        <f>Sensitivity!C55</f>
        <v/>
      </c>
    </row>
    <row r="91">
      <c r="A91">
        <f>Sensitivity!A56</f>
        <v/>
      </c>
      <c r="B91">
        <f>Sensitivity!B56</f>
        <v/>
      </c>
      <c r="C91">
        <f>Sensitivity!C56</f>
        <v/>
      </c>
    </row>
    <row r="92">
      <c r="A92">
        <f>Sensitivity!A57</f>
        <v/>
      </c>
      <c r="B92">
        <f>Sensitivity!B57</f>
        <v/>
      </c>
      <c r="C92">
        <f>Sensitivity!C57</f>
        <v/>
      </c>
    </row>
    <row r="93">
      <c r="A93">
        <f>Sensitivity!A58</f>
        <v/>
      </c>
      <c r="B93">
        <f>Sensitivity!B58</f>
        <v/>
      </c>
      <c r="C93">
        <f>Sensitivity!C58</f>
        <v/>
      </c>
    </row>
    <row r="94">
      <c r="A94">
        <f>Sensitivity!A59</f>
        <v/>
      </c>
      <c r="B94">
        <f>Sensitivity!B59</f>
        <v/>
      </c>
      <c r="C94">
        <f>Sensitivity!C59</f>
        <v/>
      </c>
    </row>
    <row r="95">
      <c r="A95">
        <f>Sensitivity!A60</f>
        <v/>
      </c>
      <c r="B95">
        <f>Sensitivity!B60</f>
        <v/>
      </c>
      <c r="C95">
        <f>Sensitivity!C60</f>
        <v/>
      </c>
    </row>
    <row r="96">
      <c r="A96">
        <f>Sensitivity!A61</f>
        <v/>
      </c>
      <c r="B96">
        <f>Sensitivity!B61</f>
        <v/>
      </c>
      <c r="C96">
        <f>Sensitivity!C61</f>
        <v/>
      </c>
    </row>
    <row r="97">
      <c r="A97">
        <f>Sensitivity!A62</f>
        <v/>
      </c>
      <c r="B97">
        <f>Sensitivity!B62</f>
        <v/>
      </c>
      <c r="C97">
        <f>Sensitivity!C62</f>
        <v/>
      </c>
    </row>
    <row r="98">
      <c r="A98">
        <f>Sensitivity!A63</f>
        <v/>
      </c>
      <c r="B98">
        <f>Sensitivity!B63</f>
        <v/>
      </c>
      <c r="C98">
        <f>Sensitivity!C63</f>
        <v/>
      </c>
    </row>
    <row r="99">
      <c r="A99">
        <f>Sensitivity!A64</f>
        <v/>
      </c>
      <c r="B99">
        <f>Sensitivity!B64</f>
        <v/>
      </c>
      <c r="C99">
        <f>Sensitivity!C64</f>
        <v/>
      </c>
    </row>
    <row r="100">
      <c r="A100">
        <f>Sensitivity!A65</f>
        <v/>
      </c>
      <c r="B100">
        <f>Sensitivity!B65</f>
        <v/>
      </c>
      <c r="C100">
        <f>Sensitivity!C65</f>
        <v/>
      </c>
    </row>
    <row r="101">
      <c r="A101">
        <f>Sensitivity!A66</f>
        <v/>
      </c>
      <c r="B101">
        <f>Sensitivity!B66</f>
        <v/>
      </c>
      <c r="C101">
        <f>Sensitivity!C66</f>
        <v/>
      </c>
    </row>
    <row r="102">
      <c r="A102">
        <f>Sensitivity!A67</f>
        <v/>
      </c>
      <c r="B102">
        <f>Sensitivity!B67</f>
        <v/>
      </c>
      <c r="C102">
        <f>Sensitivity!C67</f>
        <v/>
      </c>
    </row>
    <row r="103">
      <c r="A103">
        <f>Sensitivity!A68</f>
        <v/>
      </c>
      <c r="B103">
        <f>Sensitivity!B68</f>
        <v/>
      </c>
      <c r="C103">
        <f>Sensitivity!C68</f>
        <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E3322"/>
  <sheetViews>
    <sheetView workbookViewId="0">
      <pane ySplit="4" topLeftCell="A5" activePane="bottomLeft" state="frozen"/>
      <selection pane="bottomLeft" activeCell="A1" sqref="A1"/>
    </sheetView>
  </sheetViews>
  <sheetFormatPr baseColWidth="8" defaultRowHeight="15"/>
  <cols>
    <col width="40" customWidth="1" min="1" max="1"/>
    <col width="16" customWidth="1" min="2" max="2"/>
    <col width="8" customWidth="1" min="3" max="3"/>
    <col width="14" customWidth="1" min="4" max="4"/>
    <col width="14" customWidth="1" min="5" max="5"/>
    <col width="16" customWidth="1" min="6" max="6"/>
    <col width="14" customWidth="1" min="7" max="7"/>
    <col width="12" customWidth="1" min="8" max="8"/>
    <col width="10" customWidth="1" min="9" max="9"/>
    <col hidden="1" width="13" customWidth="1" min="27" max="27"/>
    <col hidden="1" width="13" customWidth="1" min="28" max="28"/>
    <col hidden="1" width="13" customWidth="1" min="29" max="29"/>
    <col hidden="1" width="13" customWidth="1" min="30" max="30"/>
    <col hidden="1" width="13" customWidth="1" min="31" max="31"/>
  </cols>
  <sheetData>
    <row r="1">
      <c r="A1" s="4" t="inlineStr">
        <is>
          <t>Marginal DPS per +1 (percentage point / skill level / flat point)</t>
        </is>
      </c>
    </row>
    <row r="2">
      <c r="A2" t="inlineStr">
        <is>
          <t>Attack Speed and Def Pen combine their +1 via the diminishing-returns formula (new = (1-(1-old/factor)*(1-1/factor))*factor), not a flat add.</t>
        </is>
      </c>
    </row>
    <row r="4">
      <c r="A4" s="5" t="inlineStr">
        <is>
          <t>Stat</t>
        </is>
      </c>
      <c r="B4" s="5" t="inlineStr">
        <is>
          <t>Units per +1% DPS</t>
        </is>
      </c>
      <c r="C4" s="5" t="inlineStr">
        <is>
          <t>Type</t>
        </is>
      </c>
      <c r="D4" s="5" t="inlineStr">
        <is>
          <t>Current Value</t>
        </is>
      </c>
      <c r="E4" s="5" t="inlineStr">
        <is>
          <t>New Value</t>
        </is>
      </c>
      <c r="F4" s="5" t="inlineStr">
        <is>
          <t>Baseline Total DPS</t>
        </is>
      </c>
      <c r="G4" s="5" t="inlineStr">
        <is>
          <t>New Total DPS</t>
        </is>
      </c>
      <c r="H4" s="5" t="inlineStr">
        <is>
          <t>DPS Gain</t>
        </is>
      </c>
      <c r="I4" s="5" t="inlineStr">
        <is>
          <t>% Gain</t>
        </is>
      </c>
    </row>
    <row r="5">
      <c r="A5" t="inlineStr">
        <is>
          <t>Flat DEX</t>
        </is>
      </c>
      <c r="B5">
        <f>IFERROR(1/(I5-100),"n/a")</f>
        <v/>
      </c>
      <c r="C5" t="inlineStr">
        <is>
          <t>flat</t>
        </is>
      </c>
      <c r="D5">
        <f>Inputs!$B$12+0</f>
        <v/>
      </c>
      <c r="E5">
        <f>(Inputs!$B$12+1)+0</f>
        <v/>
      </c>
      <c r="F5">
        <f>Summary!$B$3</f>
        <v/>
      </c>
      <c r="G5">
        <f>B113</f>
        <v/>
      </c>
      <c r="H5">
        <f>Summary!$B$3*(((1-Summary!$B$11)*IFERROR(B111/Summary!$B$24,1)+Summary!$B$11*IFERROR(B112/Summary!$B$25,1))-1)</f>
        <v/>
      </c>
      <c r="I5">
        <f>((1-Summary!$B$11)*IFERROR(B111/Summary!$B$24,1)+Summary!$B$11*IFERROR(B112/Summary!$B$25,1))*100</f>
        <v/>
      </c>
    </row>
    <row r="6">
      <c r="A6" t="inlineStr">
        <is>
          <t>DEX %</t>
        </is>
      </c>
      <c r="B6">
        <f>IFERROR(1/(I6-100),"n/a")</f>
        <v/>
      </c>
      <c r="C6" t="inlineStr">
        <is>
          <t>pct</t>
        </is>
      </c>
      <c r="D6">
        <f>Inputs!$B$13+0</f>
        <v/>
      </c>
      <c r="E6">
        <f>(Inputs!$B$13+1)+0</f>
        <v/>
      </c>
      <c r="F6">
        <f>Summary!$B$3</f>
        <v/>
      </c>
      <c r="G6">
        <f>B158</f>
        <v/>
      </c>
      <c r="H6">
        <f>Summary!$B$3*(((1-Summary!$B$11)*IFERROR(B156/Summary!$B$24,1)+Summary!$B$11*IFERROR(B157/Summary!$B$25,1))-1)</f>
        <v/>
      </c>
      <c r="I6">
        <f>((1-Summary!$B$11)*IFERROR(B156/Summary!$B$24,1)+Summary!$B$11*IFERROR(B157/Summary!$B$25,1))*100</f>
        <v/>
      </c>
    </row>
    <row r="7">
      <c r="A7" t="inlineStr">
        <is>
          <t>STR</t>
        </is>
      </c>
      <c r="B7">
        <f>IFERROR(1/(I7-100),"n/a")</f>
        <v/>
      </c>
      <c r="C7" t="inlineStr">
        <is>
          <t>flat</t>
        </is>
      </c>
      <c r="D7">
        <f>Inputs!$B$14+0</f>
        <v/>
      </c>
      <c r="E7">
        <f>(Inputs!$B$14+1)+0</f>
        <v/>
      </c>
      <c r="F7">
        <f>Summary!$B$3</f>
        <v/>
      </c>
      <c r="G7">
        <f>B203</f>
        <v/>
      </c>
      <c r="H7">
        <f>Summary!$B$3*(((1-Summary!$B$11)*IFERROR(B201/Summary!$B$24,1)+Summary!$B$11*IFERROR(B202/Summary!$B$25,1))-1)</f>
        <v/>
      </c>
      <c r="I7">
        <f>((1-Summary!$B$11)*IFERROR(B201/Summary!$B$24,1)+Summary!$B$11*IFERROR(B202/Summary!$B$25,1))*100</f>
        <v/>
      </c>
    </row>
    <row r="8">
      <c r="A8" t="inlineStr">
        <is>
          <t>DAMAGE %</t>
        </is>
      </c>
      <c r="B8">
        <f>IFERROR(1/(I8-100),"n/a")</f>
        <v/>
      </c>
      <c r="C8" t="inlineStr">
        <is>
          <t>pct</t>
        </is>
      </c>
      <c r="D8">
        <f>Inputs!$B$15+0</f>
        <v/>
      </c>
      <c r="E8">
        <f>(Inputs!$B$15+1)+0</f>
        <v/>
      </c>
      <c r="F8">
        <f>Summary!$B$3</f>
        <v/>
      </c>
      <c r="G8">
        <f>B248</f>
        <v/>
      </c>
      <c r="H8">
        <f>Summary!$B$3*(((1-Summary!$B$11)*IFERROR(B246/Summary!$B$24,1)+Summary!$B$11*IFERROR(B247/Summary!$B$25,1))-1)</f>
        <v/>
      </c>
      <c r="I8">
        <f>((1-Summary!$B$11)*IFERROR(B246/Summary!$B$24,1)+Summary!$B$11*IFERROR(B247/Summary!$B$25,1))*100</f>
        <v/>
      </c>
    </row>
    <row r="9">
      <c r="A9" t="inlineStr">
        <is>
          <t>DAMAGE_AMP %</t>
        </is>
      </c>
      <c r="B9">
        <f>IFERROR(1/(I9-100),"n/a")</f>
        <v/>
      </c>
      <c r="C9" t="inlineStr">
        <is>
          <t>pct</t>
        </is>
      </c>
      <c r="D9">
        <f>Inputs!$B$16+0</f>
        <v/>
      </c>
      <c r="E9">
        <f>(Inputs!$B$16+1)+0</f>
        <v/>
      </c>
      <c r="F9">
        <f>Summary!$B$3</f>
        <v/>
      </c>
      <c r="G9">
        <f>B293</f>
        <v/>
      </c>
      <c r="H9">
        <f>Summary!$B$3*(((1-Summary!$B$11)*IFERROR(B291/Summary!$B$24,1)+Summary!$B$11*IFERROR(B292/Summary!$B$25,1))-1)</f>
        <v/>
      </c>
      <c r="I9">
        <f>((1-Summary!$B$11)*IFERROR(B291/Summary!$B$24,1)+Summary!$B$11*IFERROR(B292/Summary!$B$25,1))*100</f>
        <v/>
      </c>
    </row>
    <row r="10">
      <c r="A10" t="inlineStr">
        <is>
          <t>BOSS_DAMAGE %</t>
        </is>
      </c>
      <c r="B10">
        <f>IFERROR(1/(I10-100),"n/a")</f>
        <v/>
      </c>
      <c r="C10" t="inlineStr">
        <is>
          <t>pct</t>
        </is>
      </c>
      <c r="D10">
        <f>Inputs!$B$20+0</f>
        <v/>
      </c>
      <c r="E10">
        <f>(Inputs!$B$20+1)+0</f>
        <v/>
      </c>
      <c r="F10">
        <f>Summary!$B$3</f>
        <v/>
      </c>
      <c r="G10">
        <f>B338</f>
        <v/>
      </c>
      <c r="H10">
        <f>Summary!$B$3*(((1-Summary!$B$11)*IFERROR(B336/Summary!$B$24,1)+Summary!$B$11*IFERROR(B337/Summary!$B$25,1))-1)</f>
        <v/>
      </c>
      <c r="I10">
        <f>((1-Summary!$B$11)*IFERROR(B336/Summary!$B$24,1)+Summary!$B$11*IFERROR(B337/Summary!$B$25,1))*100</f>
        <v/>
      </c>
    </row>
    <row r="11">
      <c r="A11" t="inlineStr">
        <is>
          <t>NORMAL_DAMAGE %</t>
        </is>
      </c>
      <c r="B11">
        <f>IFERROR(1/(I11-100),"n/a")</f>
        <v/>
      </c>
      <c r="C11" t="inlineStr">
        <is>
          <t>pct</t>
        </is>
      </c>
      <c r="D11">
        <f>Inputs!$B$21+0</f>
        <v/>
      </c>
      <c r="E11">
        <f>(Inputs!$B$21+1)+0</f>
        <v/>
      </c>
      <c r="F11">
        <f>Summary!$B$3</f>
        <v/>
      </c>
      <c r="G11">
        <f>B383</f>
        <v/>
      </c>
      <c r="H11">
        <f>Summary!$B$3*(((1-Summary!$B$11)*IFERROR(B381/Summary!$B$24,1)+Summary!$B$11*IFERROR(B382/Summary!$B$25,1))-1)</f>
        <v/>
      </c>
      <c r="I11">
        <f>((1-Summary!$B$11)*IFERROR(B381/Summary!$B$24,1)+Summary!$B$11*IFERROR(B382/Summary!$B$25,1))*100</f>
        <v/>
      </c>
    </row>
    <row r="12">
      <c r="A12" t="inlineStr">
        <is>
          <t>FINAL_DAMAGE % (multiplicative source)</t>
        </is>
      </c>
      <c r="B12">
        <f>IFERROR(1/(I12-100),"n/a")</f>
        <v/>
      </c>
      <c r="C12" t="inlineStr">
        <is>
          <t>mult</t>
        </is>
      </c>
      <c r="D12">
        <f>Inputs!$B$24+Summary!$B$21</f>
        <v/>
      </c>
      <c r="E12">
        <f>((((1+(Inputs!$B$24+Summary!$B$21)/100)*(1.01))-1)*100-(Summary!$B$21))+Summary!$B$21</f>
        <v/>
      </c>
      <c r="F12">
        <f>Summary!$B$3</f>
        <v/>
      </c>
      <c r="G12">
        <f>B428</f>
        <v/>
      </c>
      <c r="H12">
        <f>Summary!$B$3*(((1-Summary!$B$11)*IFERROR(B426/Summary!$B$24,1)+Summary!$B$11*IFERROR(B427/Summary!$B$25,1))-1)</f>
        <v/>
      </c>
      <c r="I12">
        <f>((1-Summary!$B$11)*IFERROR(B426/Summary!$B$24,1)+Summary!$B$11*IFERROR(B427/Summary!$B$25,1))*100</f>
        <v/>
      </c>
    </row>
    <row r="13">
      <c r="A13" t="inlineStr">
        <is>
          <t>MIN_DAMAGE %</t>
        </is>
      </c>
      <c r="B13">
        <f>IFERROR(1/(I13-100),"n/a")</f>
        <v/>
      </c>
      <c r="C13" t="inlineStr">
        <is>
          <t>pct</t>
        </is>
      </c>
      <c r="D13">
        <f>Inputs!$B$22+0</f>
        <v/>
      </c>
      <c r="E13">
        <f>(Inputs!$B$22+1)+0</f>
        <v/>
      </c>
      <c r="F13">
        <f>Summary!$B$3</f>
        <v/>
      </c>
      <c r="G13">
        <f>B473</f>
        <v/>
      </c>
      <c r="H13">
        <f>Summary!$B$3*(((1-Summary!$B$11)*IFERROR(B471/Summary!$B$24,1)+Summary!$B$11*IFERROR(B472/Summary!$B$25,1))-1)</f>
        <v/>
      </c>
      <c r="I13">
        <f>((1-Summary!$B$11)*IFERROR(B471/Summary!$B$24,1)+Summary!$B$11*IFERROR(B472/Summary!$B$25,1))*100</f>
        <v/>
      </c>
    </row>
    <row r="14">
      <c r="A14" t="inlineStr">
        <is>
          <t>MAX_DAMAGE %</t>
        </is>
      </c>
      <c r="B14">
        <f>IFERROR(1/(I14-100),"n/a")</f>
        <v/>
      </c>
      <c r="C14" t="inlineStr">
        <is>
          <t>pct</t>
        </is>
      </c>
      <c r="D14">
        <f>Inputs!$B$23+0</f>
        <v/>
      </c>
      <c r="E14">
        <f>(Inputs!$B$23+1)+0</f>
        <v/>
      </c>
      <c r="F14">
        <f>Summary!$B$3</f>
        <v/>
      </c>
      <c r="G14">
        <f>B518</f>
        <v/>
      </c>
      <c r="H14">
        <f>Summary!$B$3*(((1-Summary!$B$11)*IFERROR(B516/Summary!$B$24,1)+Summary!$B$11*IFERROR(B517/Summary!$B$25,1))-1)</f>
        <v/>
      </c>
      <c r="I14">
        <f>((1-Summary!$B$11)*IFERROR(B516/Summary!$B$24,1)+Summary!$B$11*IFERROR(B517/Summary!$B$25,1))*100</f>
        <v/>
      </c>
    </row>
    <row r="15">
      <c r="A15" t="inlineStr">
        <is>
          <t>CRIT_RATE %</t>
        </is>
      </c>
      <c r="B15">
        <f>IFERROR(1/(I15-100),"n/a")</f>
        <v/>
      </c>
      <c r="C15" t="inlineStr">
        <is>
          <t>pct</t>
        </is>
      </c>
      <c r="D15">
        <f>Inputs!$B$9+0</f>
        <v/>
      </c>
      <c r="E15">
        <f>(Inputs!$B$9+1)+0</f>
        <v/>
      </c>
      <c r="F15">
        <f>Summary!$B$3</f>
        <v/>
      </c>
      <c r="G15">
        <f>B563</f>
        <v/>
      </c>
      <c r="H15">
        <f>Summary!$B$3*(((1-Summary!$B$11)*IFERROR(B561/Summary!$B$24,1)+Summary!$B$11*IFERROR(B562/Summary!$B$25,1))-1)</f>
        <v/>
      </c>
      <c r="I15">
        <f>((1-Summary!$B$11)*IFERROR(B561/Summary!$B$24,1)+Summary!$B$11*IFERROR(B562/Summary!$B$25,1))*100</f>
        <v/>
      </c>
    </row>
    <row r="16">
      <c r="A16" t="inlineStr">
        <is>
          <t>CRIT_DAMAGE %</t>
        </is>
      </c>
      <c r="B16">
        <f>IFERROR(1/(I16-100),"n/a")</f>
        <v/>
      </c>
      <c r="C16" t="inlineStr">
        <is>
          <t>pct</t>
        </is>
      </c>
      <c r="D16">
        <f>Inputs!$B$10+0</f>
        <v/>
      </c>
      <c r="E16">
        <f>(Inputs!$B$10+1)+0</f>
        <v/>
      </c>
      <c r="F16">
        <f>Summary!$B$3</f>
        <v/>
      </c>
      <c r="G16">
        <f>B608</f>
        <v/>
      </c>
      <c r="H16">
        <f>Summary!$B$3*(((1-Summary!$B$11)*IFERROR(B606/Summary!$B$24,1)+Summary!$B$11*IFERROR(B607/Summary!$B$25,1))-1)</f>
        <v/>
      </c>
      <c r="I16">
        <f>((1-Summary!$B$11)*IFERROR(B606/Summary!$B$24,1)+Summary!$B$11*IFERROR(B607/Summary!$B$25,1))*100</f>
        <v/>
      </c>
    </row>
    <row r="17">
      <c r="A17" t="inlineStr">
        <is>
          <t>ATTACK_SPEED % (diminishing returns, factor 150)</t>
        </is>
      </c>
      <c r="B17">
        <f>IFERROR(1/(I17-100),"n/a")</f>
        <v/>
      </c>
      <c r="C17" t="inlineStr">
        <is>
          <t>dr150</t>
        </is>
      </c>
      <c r="D17">
        <f>Inputs!$B$11+0</f>
        <v/>
      </c>
      <c r="E17">
        <f>((1-(1-Inputs!$B$11/150)*(1-1/150))*150)+0</f>
        <v/>
      </c>
      <c r="F17">
        <f>Summary!$B$3</f>
        <v/>
      </c>
      <c r="G17">
        <f>B653</f>
        <v/>
      </c>
      <c r="H17">
        <f>Summary!$B$3*(((1-Summary!$B$11)*IFERROR(B651/Summary!$B$24,1)+Summary!$B$11*IFERROR(B652/Summary!$B$25,1))-1)</f>
        <v/>
      </c>
      <c r="I17">
        <f>((1-Summary!$B$11)*IFERROR(B651/Summary!$B$24,1)+Summary!$B$11*IFERROR(B652/Summary!$B$25,1))*100</f>
        <v/>
      </c>
    </row>
    <row r="18">
      <c r="A18" t="inlineStr">
        <is>
          <t>DEF_PEN % (diminishing returns, factor 100)</t>
        </is>
      </c>
      <c r="B18">
        <f>IFERROR(1/(I18-100),"n/a")</f>
        <v/>
      </c>
      <c r="C18" t="inlineStr">
        <is>
          <t>dr100</t>
        </is>
      </c>
      <c r="D18">
        <f>Inputs!$B$19+0</f>
        <v/>
      </c>
      <c r="E18">
        <f>((1-(1-Inputs!$B$19/100)*(1-1/100))*100)+0</f>
        <v/>
      </c>
      <c r="F18">
        <f>Summary!$B$3</f>
        <v/>
      </c>
      <c r="G18">
        <f>B698</f>
        <v/>
      </c>
      <c r="H18">
        <f>Summary!$B$3*(((1-Summary!$B$11)*IFERROR(B696/Summary!$B$24,1)+Summary!$B$11*IFERROR(B697/Summary!$B$25,1))-1)</f>
        <v/>
      </c>
      <c r="I18">
        <f>((1-Summary!$B$11)*IFERROR(B696/Summary!$B$24,1)+Summary!$B$11*IFERROR(B697/Summary!$B$25,1))*100</f>
        <v/>
      </c>
    </row>
    <row r="19">
      <c r="A19" t="inlineStr">
        <is>
          <t>BASIC_ATTACK_DAMAGE %</t>
        </is>
      </c>
      <c r="B19">
        <f>IFERROR(1/(I19-100),"n/a")</f>
        <v/>
      </c>
      <c r="C19" t="inlineStr">
        <is>
          <t>pct</t>
        </is>
      </c>
      <c r="D19">
        <f>Inputs!$B$17+0</f>
        <v/>
      </c>
      <c r="E19">
        <f>(Inputs!$B$17+1)+0</f>
        <v/>
      </c>
      <c r="F19">
        <f>Summary!$B$3</f>
        <v/>
      </c>
      <c r="G19">
        <f>B743</f>
        <v/>
      </c>
      <c r="H19">
        <f>Summary!$B$3*(((1-Summary!$B$11)*IFERROR(B741/Summary!$B$24,1)+Summary!$B$11*IFERROR(B742/Summary!$B$25,1))-1)</f>
        <v/>
      </c>
      <c r="I19">
        <f>((1-Summary!$B$11)*IFERROR(B741/Summary!$B$24,1)+Summary!$B$11*IFERROR(B742/Summary!$B$25,1))*100</f>
        <v/>
      </c>
    </row>
    <row r="20">
      <c r="A20" t="inlineStr">
        <is>
          <t>SKILL_DAMAGE %</t>
        </is>
      </c>
      <c r="B20">
        <f>IFERROR(1/(I20-100),"n/a")</f>
        <v/>
      </c>
      <c r="C20" t="inlineStr">
        <is>
          <t>pct</t>
        </is>
      </c>
      <c r="D20">
        <f>Inputs!$B$18+0</f>
        <v/>
      </c>
      <c r="E20">
        <f>(Inputs!$B$18+1)+0</f>
        <v/>
      </c>
      <c r="F20">
        <f>Summary!$B$3</f>
        <v/>
      </c>
      <c r="G20">
        <f>B788</f>
        <v/>
      </c>
      <c r="H20">
        <f>Summary!$B$3*(((1-Summary!$B$11)*IFERROR(B786/Summary!$B$24,1)+Summary!$B$11*IFERROR(B787/Summary!$B$25,1))-1)</f>
        <v/>
      </c>
      <c r="I20">
        <f>((1-Summary!$B$11)*IFERROR(B786/Summary!$B$24,1)+Summary!$B$11*IFERROR(B787/Summary!$B$25,1))*100</f>
        <v/>
      </c>
    </row>
    <row r="21">
      <c r="A21" t="inlineStr">
        <is>
          <t>Skill Level Bonus — 1st Job</t>
        </is>
      </c>
      <c r="B21">
        <f>IFERROR(1/(I21-100),"n/a")</f>
        <v/>
      </c>
      <c r="C21" t="inlineStr">
        <is>
          <t>level</t>
        </is>
      </c>
      <c r="D21">
        <f>Inputs!$B$25+0</f>
        <v/>
      </c>
      <c r="E21">
        <f>(Inputs!$B$25+1)+0</f>
        <v/>
      </c>
      <c r="F21">
        <f>Summary!$B$3</f>
        <v/>
      </c>
      <c r="G21">
        <f>B833</f>
        <v/>
      </c>
      <c r="H21">
        <f>Summary!$B$3*(((1-Summary!$B$11)*IFERROR(B831/Summary!$B$24,1)+Summary!$B$11*IFERROR(B832/Summary!$B$25,1))-1)</f>
        <v/>
      </c>
      <c r="I21">
        <f>((1-Summary!$B$11)*IFERROR(B831/Summary!$B$24,1)+Summary!$B$11*IFERROR(B832/Summary!$B$25,1))*100</f>
        <v/>
      </c>
    </row>
    <row r="22">
      <c r="A22" t="inlineStr">
        <is>
          <t>Skill Level Bonus — 2nd Job</t>
        </is>
      </c>
      <c r="B22">
        <f>IFERROR(1/(I22-100),"n/a")</f>
        <v/>
      </c>
      <c r="C22" t="inlineStr">
        <is>
          <t>level</t>
        </is>
      </c>
      <c r="D22">
        <f>Inputs!$B$26+0</f>
        <v/>
      </c>
      <c r="E22">
        <f>(Inputs!$B$26+1)+0</f>
        <v/>
      </c>
      <c r="F22">
        <f>Summary!$B$3</f>
        <v/>
      </c>
      <c r="G22">
        <f>B878</f>
        <v/>
      </c>
      <c r="H22">
        <f>Summary!$B$3*(((1-Summary!$B$11)*IFERROR(B876/Summary!$B$24,1)+Summary!$B$11*IFERROR(B877/Summary!$B$25,1))-1)</f>
        <v/>
      </c>
      <c r="I22">
        <f>((1-Summary!$B$11)*IFERROR(B876/Summary!$B$24,1)+Summary!$B$11*IFERROR(B877/Summary!$B$25,1))*100</f>
        <v/>
      </c>
    </row>
    <row r="23">
      <c r="A23" t="inlineStr">
        <is>
          <t>Skill Level Bonus — 3rd Job</t>
        </is>
      </c>
      <c r="B23">
        <f>IFERROR(1/(I23-100),"n/a")</f>
        <v/>
      </c>
      <c r="C23" t="inlineStr">
        <is>
          <t>level</t>
        </is>
      </c>
      <c r="D23">
        <f>Inputs!$B$27+0</f>
        <v/>
      </c>
      <c r="E23">
        <f>(Inputs!$B$27+1)+0</f>
        <v/>
      </c>
      <c r="F23">
        <f>Summary!$B$3</f>
        <v/>
      </c>
      <c r="G23">
        <f>B923</f>
        <v/>
      </c>
      <c r="H23">
        <f>Summary!$B$3*(((1-Summary!$B$11)*IFERROR(B921/Summary!$B$24,1)+Summary!$B$11*IFERROR(B922/Summary!$B$25,1))-1)</f>
        <v/>
      </c>
      <c r="I23">
        <f>((1-Summary!$B$11)*IFERROR(B921/Summary!$B$24,1)+Summary!$B$11*IFERROR(B922/Summary!$B$25,1))*100</f>
        <v/>
      </c>
    </row>
    <row r="24">
      <c r="A24" t="inlineStr">
        <is>
          <t>Skill Level Bonus — 4th Job</t>
        </is>
      </c>
      <c r="B24">
        <f>IFERROR(1/(I24-100),"n/a")</f>
        <v/>
      </c>
      <c r="C24" t="inlineStr">
        <is>
          <t>level</t>
        </is>
      </c>
      <c r="D24">
        <f>Inputs!$B$28+0</f>
        <v/>
      </c>
      <c r="E24">
        <f>(Inputs!$B$28+1)+0</f>
        <v/>
      </c>
      <c r="F24">
        <f>Summary!$B$3</f>
        <v/>
      </c>
      <c r="G24">
        <f>B968</f>
        <v/>
      </c>
      <c r="H24">
        <f>Summary!$B$3*(((1-Summary!$B$11)*IFERROR(B966/Summary!$B$24,1)+Summary!$B$11*IFERROR(B967/Summary!$B$25,1))-1)</f>
        <v/>
      </c>
      <c r="I24">
        <f>((1-Summary!$B$11)*IFERROR(B966/Summary!$B$24,1)+Summary!$B$11*IFERROR(B967/Summary!$B$25,1))*100</f>
        <v/>
      </c>
    </row>
    <row r="25">
      <c r="A25" t="inlineStr">
        <is>
          <t>Skill Level Bonus — All Skills</t>
        </is>
      </c>
      <c r="B25">
        <f>IFERROR(1/(I25-100),"n/a")</f>
        <v/>
      </c>
      <c r="C25" t="inlineStr">
        <is>
          <t>level</t>
        </is>
      </c>
      <c r="D25">
        <f>Inputs!$B$29+0</f>
        <v/>
      </c>
      <c r="E25">
        <f>(Inputs!$B$29+1)+0</f>
        <v/>
      </c>
      <c r="F25">
        <f>Summary!$B$3</f>
        <v/>
      </c>
      <c r="G25">
        <f>B1013</f>
        <v/>
      </c>
      <c r="H25">
        <f>Summary!$B$3*(((1-Summary!$B$11)*IFERROR(B1011/Summary!$B$24,1)+Summary!$B$11*IFERROR(B1012/Summary!$B$25,1))-1)</f>
        <v/>
      </c>
      <c r="I25">
        <f>((1-Summary!$B$11)*IFERROR(B1011/Summary!$B$24,1)+Summary!$B$11*IFERROR(B1012/Summary!$B$25,1))*100</f>
        <v/>
      </c>
    </row>
    <row r="26">
      <c r="A26" t="inlineStr">
        <is>
          <t>Flat ATTACK</t>
        </is>
      </c>
      <c r="B26">
        <f>IFERROR(1/(I26-100),"n/a")</f>
        <v/>
      </c>
      <c r="C26" t="inlineStr">
        <is>
          <t>flat</t>
        </is>
      </c>
      <c r="D26">
        <f>Inputs!$B$6+0</f>
        <v/>
      </c>
      <c r="E26">
        <f>(Inputs!$B$6+1)+0</f>
        <v/>
      </c>
      <c r="F26">
        <f>Summary!$B$3</f>
        <v/>
      </c>
      <c r="G26">
        <f>B1058</f>
        <v/>
      </c>
      <c r="H26">
        <f>Summary!$B$3*(((1-Summary!$B$11)*IFERROR(B1056/Summary!$B$24,1)+Summary!$B$11*IFERROR(B1057/Summary!$B$25,1))-1)</f>
        <v/>
      </c>
      <c r="I26">
        <f>((1-Summary!$B$11)*IFERROR(B1056/Summary!$B$24,1)+Summary!$B$11*IFERROR(B1057/Summary!$B$25,1))*100</f>
        <v/>
      </c>
    </row>
    <row r="27">
      <c r="A27" t="inlineStr">
        <is>
          <t>ATTACK %</t>
        </is>
      </c>
      <c r="B27">
        <f>IFERROR(1/(I27-100),"n/a")</f>
        <v/>
      </c>
      <c r="C27" t="inlineStr">
        <is>
          <t>pct</t>
        </is>
      </c>
      <c r="D27">
        <f>Inputs!$B$7+0</f>
        <v/>
      </c>
      <c r="E27">
        <f>(Inputs!$B$7+1)+0</f>
        <v/>
      </c>
      <c r="F27">
        <f>Summary!$B$3</f>
        <v/>
      </c>
      <c r="G27">
        <f>B1103</f>
        <v/>
      </c>
      <c r="H27">
        <f>Summary!$B$3*(((1-Summary!$B$11)*IFERROR(B1101/Summary!$B$24,1)+Summary!$B$11*IFERROR(B1102/Summary!$B$25,1))-1)</f>
        <v/>
      </c>
      <c r="I27">
        <f>((1-Summary!$B$11)*IFERROR(B1101/Summary!$B$24,1)+Summary!$B$11*IFERROR(B1102/Summary!$B$25,1))*100</f>
        <v/>
      </c>
    </row>
    <row r="28">
      <c r="A28" t="inlineStr">
        <is>
          <t>Skill Cooldown Decrease (seconds)</t>
        </is>
      </c>
      <c r="B28">
        <f>IFERROR(1/(I28-100),"n/a")</f>
        <v/>
      </c>
      <c r="C28" t="inlineStr">
        <is>
          <t>flat</t>
        </is>
      </c>
      <c r="D28">
        <f>Inputs!$B$32+0</f>
        <v/>
      </c>
      <c r="E28">
        <f>(Inputs!$B$32+1)+0</f>
        <v/>
      </c>
      <c r="F28">
        <f>Summary!$B$3</f>
        <v/>
      </c>
      <c r="G28">
        <f>B1148</f>
        <v/>
      </c>
      <c r="H28">
        <f>Summary!$B$3*(((1-Summary!$B$11)*IFERROR(B1146/Summary!$B$24,1)+Summary!$B$11*IFERROR(B1147/Summary!$B$25,1))-1)</f>
        <v/>
      </c>
      <c r="I28">
        <f>((1-Summary!$B$11)*IFERROR(B1146/Summary!$B$24,1)+Summary!$B$11*IFERROR(B1147/Summary!$B$25,1))*100</f>
        <v/>
      </c>
    </row>
    <row r="29">
      <c r="A29" t="inlineStr">
        <is>
          <t>Basic Attack Target Increase (flat)</t>
        </is>
      </c>
      <c r="B29">
        <f>IFERROR(1/(I29-100),"n/a")</f>
        <v/>
      </c>
      <c r="C29" t="inlineStr">
        <is>
          <t>flat</t>
        </is>
      </c>
      <c r="D29">
        <f>Inputs!$B$33+0</f>
        <v/>
      </c>
      <c r="E29">
        <f>(Inputs!$B$33+1)+0</f>
        <v/>
      </c>
      <c r="F29">
        <f>Summary!$B$3</f>
        <v/>
      </c>
      <c r="G29">
        <f>B1193</f>
        <v/>
      </c>
      <c r="H29">
        <f>Summary!$B$3*(((1-Summary!$B$11)*IFERROR(B1191/Summary!$B$24,1)+Summary!$B$11*IFERROR(B1192/Summary!$B$25,1))-1)</f>
        <v/>
      </c>
      <c r="I29">
        <f>((1-Summary!$B$11)*IFERROR(B1191/Summary!$B$24,1)+Summary!$B$11*IFERROR(B1192/Summary!$B$25,1))*100</f>
        <v/>
      </c>
    </row>
    <row r="30">
      <c r="A30" t="inlineStr">
        <is>
          <t>Buff Duration Increase %</t>
        </is>
      </c>
      <c r="B30">
        <f>IFERROR(1/(I30-100),"n/a")</f>
        <v/>
      </c>
      <c r="C30" t="inlineStr">
        <is>
          <t>pct</t>
        </is>
      </c>
      <c r="D30">
        <f>Inputs!$B$34+0</f>
        <v/>
      </c>
      <c r="E30">
        <f>(Inputs!$B$34+1)+0</f>
        <v/>
      </c>
      <c r="F30">
        <f>Summary!$B$3</f>
        <v/>
      </c>
      <c r="G30">
        <f>B1238</f>
        <v/>
      </c>
      <c r="H30">
        <f>Summary!$B$3*(((1-Summary!$B$11)*IFERROR(B1236/Summary!$B$24,1)+Summary!$B$11*IFERROR(B1237/Summary!$B$25,1))-1)</f>
        <v/>
      </c>
      <c r="I30">
        <f>((1-Summary!$B$11)*IFERROR(B1236/Summary!$B$24,1)+Summary!$B$11*IFERROR(B1237/Summary!$B$25,1))*100</f>
        <v/>
      </c>
    </row>
    <row r="31">
      <c r="A31" s="9" t="inlineStr">
        <is>
          <t>Artifact Equip-Toggle DPS Gain</t>
        </is>
      </c>
    </row>
    <row r="32">
      <c r="A32" s="5" t="inlineStr">
        <is>
          <t>Artifact</t>
        </is>
      </c>
      <c r="B32" s="5" t="inlineStr">
        <is>
          <t>DPS Gain</t>
        </is>
      </c>
      <c r="C32" s="5" t="inlineStr">
        <is>
          <t>% Gain</t>
        </is>
      </c>
    </row>
    <row r="33">
      <c r="A33">
        <f>IF(1&gt;COUNTIF($AD$33:$AD$68,TRUE),"",INDEX($AA$33:$AA$68,MATCH(1,$AE$33:$AE$68,0)))</f>
        <v/>
      </c>
      <c r="B33">
        <f>IF(1&gt;COUNTIF($AD$33:$AD$68,TRUE),"",INDEX($AB$33:$AB$68,MATCH(1,$AE$33:$AE$68,0)))</f>
        <v/>
      </c>
      <c r="C33">
        <f>IF(1&gt;COUNTIF($AD$33:$AD$68,TRUE),"",INDEX($AC$33:$AC$68,MATCH(1,$AE$33:$AE$68,0)))</f>
        <v/>
      </c>
      <c r="AA33" t="inlineStr">
        <is>
          <t>Charm of the Undead (Equip)</t>
        </is>
      </c>
      <c r="AB33">
        <f>(IF(ArtifactsInput!$M$5,-1,1)*Summary!$B$3*(((1-Summary!$B$11)*IFERROR(B1281/Summary!$B$24,1)+Summary!$B$11*IFERROR(B1282/Summary!$B$25,1))-1)+ArtifactsInput!$L$5)</f>
        <v/>
      </c>
      <c r="AC33">
        <f>IF(ArtifactsInput!$M$5,Summary!$B$3/(Summary!$B$3-(IF(ArtifactsInput!$M$5,-1,1)*Summary!$B$3*(((1-Summary!$B$11)*IFERROR(B1281/Summary!$B$24,1)+Summary!$B$11*IFERROR(B1282/Summary!$B$25,1))-1)+ArtifactsInput!$L$5))*100,(Summary!$B$3+(IF(ArtifactsInput!$M$5,-1,1)*Summary!$B$3*(((1-Summary!$B$11)*IFERROR(B1281/Summary!$B$24,1)+Summary!$B$11*IFERROR(B1282/Summary!$B$25,1))-1)+ArtifactsInput!$L$5))/Summary!$B$3*100)</f>
        <v/>
      </c>
      <c r="AD33">
        <f>ArtifactsInput!$B$5&lt;&gt;"Not Unlocked"</f>
        <v/>
      </c>
      <c r="AE33">
        <f>IF(AD33,SUMPRODUCT(($AD$33:$AD$68)*($AC$33:$AC$68&gt;AC33))+COUNTIFS($AD$33:AD33,TRUE,$AC$33:AC33,AC33),"")</f>
        <v/>
      </c>
    </row>
    <row r="34">
      <c r="A34">
        <f>IF(2&gt;COUNTIF($AD$33:$AD$68,TRUE),"",INDEX($AA$33:$AA$68,MATCH(2,$AE$33:$AE$68,0)))</f>
        <v/>
      </c>
      <c r="B34">
        <f>IF(2&gt;COUNTIF($AD$33:$AD$68,TRUE),"",INDEX($AB$33:$AB$68,MATCH(2,$AE$33:$AE$68,0)))</f>
        <v/>
      </c>
      <c r="C34">
        <f>IF(2&gt;COUNTIF($AD$33:$AD$68,TRUE),"",INDEX($AC$33:$AC$68,MATCH(2,$AE$33:$AE$68,0)))</f>
        <v/>
      </c>
      <c r="AA34" t="inlineStr">
        <is>
          <t>Pig's Ribbon (Equip)</t>
        </is>
      </c>
      <c r="AB34">
        <f>(IF(ArtifactsInput!$M$6,-1,1)*Summary!$B$3*(((1-Summary!$B$11)*IFERROR(B1326/Summary!$B$24,1)+Summary!$B$11*IFERROR(B1327/Summary!$B$25,1))-1)+ArtifactsInput!$L$6)</f>
        <v/>
      </c>
      <c r="AC34">
        <f>IF(ArtifactsInput!$M$6,Summary!$B$3/(Summary!$B$3-(IF(ArtifactsInput!$M$6,-1,1)*Summary!$B$3*(((1-Summary!$B$11)*IFERROR(B1326/Summary!$B$24,1)+Summary!$B$11*IFERROR(B1327/Summary!$B$25,1))-1)+ArtifactsInput!$L$6))*100,(Summary!$B$3+(IF(ArtifactsInput!$M$6,-1,1)*Summary!$B$3*(((1-Summary!$B$11)*IFERROR(B1326/Summary!$B$24,1)+Summary!$B$11*IFERROR(B1327/Summary!$B$25,1))-1)+ArtifactsInput!$L$6))/Summary!$B$3*100)</f>
        <v/>
      </c>
      <c r="AD34">
        <f>ArtifactsInput!$B$6&lt;&gt;"Not Unlocked"</f>
        <v/>
      </c>
      <c r="AE34">
        <f>IF(AD34,SUMPRODUCT(($AD$33:$AD$68)*($AC$33:$AC$68&gt;AC34))+COUNTIFS($AD$33:AD34,TRUE,$AC$33:AC34,AC34),"")</f>
        <v/>
      </c>
    </row>
    <row r="35">
      <c r="A35">
        <f>IF(3&gt;COUNTIF($AD$33:$AD$68,TRUE),"",INDEX($AA$33:$AA$68,MATCH(3,$AE$33:$AE$68,0)))</f>
        <v/>
      </c>
      <c r="B35">
        <f>IF(3&gt;COUNTIF($AD$33:$AD$68,TRUE),"",INDEX($AB$33:$AB$68,MATCH(3,$AE$33:$AE$68,0)))</f>
        <v/>
      </c>
      <c r="C35">
        <f>IF(3&gt;COUNTIF($AD$33:$AD$68,TRUE),"",INDEX($AC$33:$AC$68,MATCH(3,$AE$33:$AE$68,0)))</f>
        <v/>
      </c>
      <c r="AA35" t="inlineStr">
        <is>
          <t>Shamaness Marble (Equip)</t>
        </is>
      </c>
      <c r="AB35">
        <f>(IF(ArtifactsInput!$M$7,-1,1)*Summary!$B$3*(((1-Summary!$B$11)*IFERROR(B1371/Summary!$B$24,1)+Summary!$B$11*IFERROR(B1372/Summary!$B$25,1))-1)+ArtifactsInput!$L$7)</f>
        <v/>
      </c>
      <c r="AC35">
        <f>IF(ArtifactsInput!$M$7,Summary!$B$3/(Summary!$B$3-(IF(ArtifactsInput!$M$7,-1,1)*Summary!$B$3*(((1-Summary!$B$11)*IFERROR(B1371/Summary!$B$24,1)+Summary!$B$11*IFERROR(B1372/Summary!$B$25,1))-1)+ArtifactsInput!$L$7))*100,(Summary!$B$3+(IF(ArtifactsInput!$M$7,-1,1)*Summary!$B$3*(((1-Summary!$B$11)*IFERROR(B1371/Summary!$B$24,1)+Summary!$B$11*IFERROR(B1372/Summary!$B$25,1))-1)+ArtifactsInput!$L$7))/Summary!$B$3*100)</f>
        <v/>
      </c>
      <c r="AD35">
        <f>ArtifactsInput!$B$7&lt;&gt;"Not Unlocked"</f>
        <v/>
      </c>
      <c r="AE35">
        <f>IF(AD35,SUMPRODUCT(($AD$33:$AD$68)*($AC$33:$AC$68&gt;AC35))+COUNTIFS($AD$33:AD35,TRUE,$AC$33:AC35,AC35),"")</f>
        <v/>
      </c>
    </row>
    <row r="36">
      <c r="A36">
        <f>IF(4&gt;COUNTIF($AD$33:$AD$68,TRUE),"",INDEX($AA$33:$AA$68,MATCH(4,$AE$33:$AE$68,0)))</f>
        <v/>
      </c>
      <c r="B36">
        <f>IF(4&gt;COUNTIF($AD$33:$AD$68,TRUE),"",INDEX($AB$33:$AB$68,MATCH(4,$AE$33:$AE$68,0)))</f>
        <v/>
      </c>
      <c r="C36">
        <f>IF(4&gt;COUNTIF($AD$33:$AD$68,TRUE),"",INDEX($AC$33:$AC$68,MATCH(4,$AE$33:$AE$68,0)))</f>
        <v/>
      </c>
      <c r="AA36" t="inlineStr">
        <is>
          <t>The Contract of Darkness (Equip)</t>
        </is>
      </c>
      <c r="AB36">
        <f>(IF(ArtifactsInput!$M$8,-1,1)*Summary!$B$3*(((1-Summary!$B$11)*IFERROR(B1416/Summary!$B$24,1)+Summary!$B$11*IFERROR(B1417/Summary!$B$25,1))-1)+ArtifactsInput!$L$8)</f>
        <v/>
      </c>
      <c r="AC36">
        <f>IF(ArtifactsInput!$M$8,Summary!$B$3/(Summary!$B$3-(IF(ArtifactsInput!$M$8,-1,1)*Summary!$B$3*(((1-Summary!$B$11)*IFERROR(B1416/Summary!$B$24,1)+Summary!$B$11*IFERROR(B1417/Summary!$B$25,1))-1)+ArtifactsInput!$L$8))*100,(Summary!$B$3+(IF(ArtifactsInput!$M$8,-1,1)*Summary!$B$3*(((1-Summary!$B$11)*IFERROR(B1416/Summary!$B$24,1)+Summary!$B$11*IFERROR(B1417/Summary!$B$25,1))-1)+ArtifactsInput!$L$8))/Summary!$B$3*100)</f>
        <v/>
      </c>
      <c r="AD36">
        <f>ArtifactsInput!$B$8&lt;&gt;"Not Unlocked"</f>
        <v/>
      </c>
      <c r="AE36">
        <f>IF(AD36,SUMPRODUCT(($AD$33:$AD$68)*($AC$33:$AC$68&gt;AC36))+COUNTIFS($AD$33:AD36,TRUE,$AC$33:AC36,AC36),"")</f>
        <v/>
      </c>
    </row>
    <row r="37">
      <c r="A37">
        <f>IF(5&gt;COUNTIF($AD$33:$AD$68,TRUE),"",INDEX($AA$33:$AA$68,MATCH(5,$AE$33:$AE$68,0)))</f>
        <v/>
      </c>
      <c r="B37">
        <f>IF(5&gt;COUNTIF($AD$33:$AD$68,TRUE),"",INDEX($AB$33:$AB$68,MATCH(5,$AE$33:$AE$68,0)))</f>
        <v/>
      </c>
      <c r="C37">
        <f>IF(5&gt;COUNTIF($AD$33:$AD$68,TRUE),"",INDEX($AC$33:$AC$68,MATCH(5,$AE$33:$AE$68,0)))</f>
        <v/>
      </c>
      <c r="AA37" t="inlineStr">
        <is>
          <t>Rainbow-colored Snail Shell (Equip)</t>
        </is>
      </c>
      <c r="AB37">
        <f>(IF(ArtifactsInput!$M$10,-1,1)*Summary!$B$3*(((1-Summary!$B$11)*IFERROR(B1461/Summary!$B$24,1)+Summary!$B$11*IFERROR(B1462/Summary!$B$25,1))-1)+ArtifactsInput!$L$10)</f>
        <v/>
      </c>
      <c r="AC37">
        <f>IF(ArtifactsInput!$M$10,Summary!$B$3/(Summary!$B$3-(IF(ArtifactsInput!$M$10,-1,1)*Summary!$B$3*(((1-Summary!$B$11)*IFERROR(B1461/Summary!$B$24,1)+Summary!$B$11*IFERROR(B1462/Summary!$B$25,1))-1)+ArtifactsInput!$L$10))*100,(Summary!$B$3+(IF(ArtifactsInput!$M$10,-1,1)*Summary!$B$3*(((1-Summary!$B$11)*IFERROR(B1461/Summary!$B$24,1)+Summary!$B$11*IFERROR(B1462/Summary!$B$25,1))-1)+ArtifactsInput!$L$10))/Summary!$B$3*100)</f>
        <v/>
      </c>
      <c r="AD37">
        <f>ArtifactsInput!$B$10&lt;&gt;"Not Unlocked"</f>
        <v/>
      </c>
      <c r="AE37">
        <f>IF(AD37,SUMPRODUCT(($AD$33:$AD$68)*($AC$33:$AC$68&gt;AC37))+COUNTIFS($AD$33:AD37,TRUE,$AC$33:AC37,AC37),"")</f>
        <v/>
      </c>
    </row>
    <row r="38">
      <c r="A38">
        <f>IF(6&gt;COUNTIF($AD$33:$AD$68,TRUE),"",INDEX($AA$33:$AA$68,MATCH(6,$AE$33:$AE$68,0)))</f>
        <v/>
      </c>
      <c r="B38">
        <f>IF(6&gt;COUNTIF($AD$33:$AD$68,TRUE),"",INDEX($AB$33:$AB$68,MATCH(6,$AE$33:$AE$68,0)))</f>
        <v/>
      </c>
      <c r="C38">
        <f>IF(6&gt;COUNTIF($AD$33:$AD$68,TRUE),"",INDEX($AC$33:$AC$68,MATCH(6,$AE$33:$AE$68,0)))</f>
        <v/>
      </c>
      <c r="AA38" t="inlineStr">
        <is>
          <t>Hexagon Necklace (Equip)</t>
        </is>
      </c>
      <c r="AB38">
        <f>(IF(ArtifactsInput!$M$11,-1,1)*Summary!$B$3*(((1-Summary!$B$11)*IFERROR(B1506/Summary!$B$24,1)+Summary!$B$11*IFERROR(B1507/Summary!$B$25,1))-1)+ArtifactsInput!$L$11)</f>
        <v/>
      </c>
      <c r="AC38">
        <f>IF(ArtifactsInput!$M$11,Summary!$B$3/(Summary!$B$3-(IF(ArtifactsInput!$M$11,-1,1)*Summary!$B$3*(((1-Summary!$B$11)*IFERROR(B1506/Summary!$B$24,1)+Summary!$B$11*IFERROR(B1507/Summary!$B$25,1))-1)+ArtifactsInput!$L$11))*100,(Summary!$B$3+(IF(ArtifactsInput!$M$11,-1,1)*Summary!$B$3*(((1-Summary!$B$11)*IFERROR(B1506/Summary!$B$24,1)+Summary!$B$11*IFERROR(B1507/Summary!$B$25,1))-1)+ArtifactsInput!$L$11))/Summary!$B$3*100)</f>
        <v/>
      </c>
      <c r="AD38">
        <f>ArtifactsInput!$B$11&lt;&gt;"Not Unlocked"</f>
        <v/>
      </c>
      <c r="AE38">
        <f>IF(AD38,SUMPRODUCT(($AD$33:$AD$68)*($AC$33:$AC$68&gt;AC38))+COUNTIFS($AD$33:AD38,TRUE,$AC$33:AC38,AC38),"")</f>
        <v/>
      </c>
    </row>
    <row r="39">
      <c r="A39">
        <f>IF(7&gt;COUNTIF($AD$33:$AD$68,TRUE),"",INDEX($AA$33:$AA$68,MATCH(7,$AE$33:$AE$68,0)))</f>
        <v/>
      </c>
      <c r="B39">
        <f>IF(7&gt;COUNTIF($AD$33:$AD$68,TRUE),"",INDEX($AB$33:$AB$68,MATCH(7,$AE$33:$AE$68,0)))</f>
        <v/>
      </c>
      <c r="C39">
        <f>IF(7&gt;COUNTIF($AD$33:$AD$68,TRUE),"",INDEX($AC$33:$AC$68,MATCH(7,$AE$33:$AE$68,0)))</f>
        <v/>
      </c>
      <c r="AA39" t="inlineStr">
        <is>
          <t>Arwen's Glass Shoes (Equip)</t>
        </is>
      </c>
      <c r="AB39">
        <f>(IF(ArtifactsInput!$M$12,-1,1)*Summary!$B$3*(((1-Summary!$B$11)*IFERROR(B1551/Summary!$B$24,1)+Summary!$B$11*IFERROR(B1552/Summary!$B$25,1))-1)+ArtifactsInput!$L$12)</f>
        <v/>
      </c>
      <c r="AC39">
        <f>IF(ArtifactsInput!$M$12,Summary!$B$3/(Summary!$B$3-(IF(ArtifactsInput!$M$12,-1,1)*Summary!$B$3*(((1-Summary!$B$11)*IFERROR(B1551/Summary!$B$24,1)+Summary!$B$11*IFERROR(B1552/Summary!$B$25,1))-1)+ArtifactsInput!$L$12))*100,(Summary!$B$3+(IF(ArtifactsInput!$M$12,-1,1)*Summary!$B$3*(((1-Summary!$B$11)*IFERROR(B1551/Summary!$B$24,1)+Summary!$B$11*IFERROR(B1552/Summary!$B$25,1))-1)+ArtifactsInput!$L$12))/Summary!$B$3*100)</f>
        <v/>
      </c>
      <c r="AD39">
        <f>ArtifactsInput!$B$12&lt;&gt;"Not Unlocked"</f>
        <v/>
      </c>
      <c r="AE39">
        <f>IF(AD39,SUMPRODUCT(($AD$33:$AD$68)*($AC$33:$AC$68&gt;AC39))+COUNTIFS($AD$33:AD39,TRUE,$AC$33:AC39,AC39),"")</f>
        <v/>
      </c>
    </row>
    <row r="40">
      <c r="A40">
        <f>IF(8&gt;COUNTIF($AD$33:$AD$68,TRUE),"",INDEX($AA$33:$AA$68,MATCH(8,$AE$33:$AE$68,0)))</f>
        <v/>
      </c>
      <c r="B40">
        <f>IF(8&gt;COUNTIF($AD$33:$AD$68,TRUE),"",INDEX($AB$33:$AB$68,MATCH(8,$AE$33:$AE$68,0)))</f>
        <v/>
      </c>
      <c r="C40">
        <f>IF(8&gt;COUNTIF($AD$33:$AD$68,TRUE),"",INDEX($AC$33:$AC$68,MATCH(8,$AE$33:$AE$68,0)))</f>
        <v/>
      </c>
      <c r="AA40" t="inlineStr">
        <is>
          <t>Mushmom's Cap (Equip)</t>
        </is>
      </c>
      <c r="AB40">
        <f>(IF(ArtifactsInput!$M$13,-1,1)*Summary!$B$3*(((1-Summary!$B$11)*IFERROR(B1596/Summary!$B$24,1)+Summary!$B$11*IFERROR(B1597/Summary!$B$25,1))-1)+ArtifactsInput!$L$13)</f>
        <v/>
      </c>
      <c r="AC40">
        <f>IF(ArtifactsInput!$M$13,Summary!$B$3/(Summary!$B$3-(IF(ArtifactsInput!$M$13,-1,1)*Summary!$B$3*(((1-Summary!$B$11)*IFERROR(B1596/Summary!$B$24,1)+Summary!$B$11*IFERROR(B1597/Summary!$B$25,1))-1)+ArtifactsInput!$L$13))*100,(Summary!$B$3+(IF(ArtifactsInput!$M$13,-1,1)*Summary!$B$3*(((1-Summary!$B$11)*IFERROR(B1596/Summary!$B$24,1)+Summary!$B$11*IFERROR(B1597/Summary!$B$25,1))-1)+ArtifactsInput!$L$13))/Summary!$B$3*100)</f>
        <v/>
      </c>
      <c r="AD40">
        <f>ArtifactsInput!$B$13&lt;&gt;"Not Unlocked"</f>
        <v/>
      </c>
      <c r="AE40">
        <f>IF(AD40,SUMPRODUCT(($AD$33:$AD$68)*($AC$33:$AC$68&gt;AC40))+COUNTIFS($AD$33:AD40,TRUE,$AC$33:AC40,AC40),"")</f>
        <v/>
      </c>
    </row>
    <row r="41">
      <c r="A41">
        <f>IF(9&gt;COUNTIF($AD$33:$AD$68,TRUE),"",INDEX($AA$33:$AA$68,MATCH(9,$AE$33:$AE$68,0)))</f>
        <v/>
      </c>
      <c r="B41">
        <f>IF(9&gt;COUNTIF($AD$33:$AD$68,TRUE),"",INDEX($AB$33:$AB$68,MATCH(9,$AE$33:$AE$68,0)))</f>
        <v/>
      </c>
      <c r="C41">
        <f>IF(9&gt;COUNTIF($AD$33:$AD$68,TRUE),"",INDEX($AC$33:$AC$68,MATCH(9,$AE$33:$AE$68,0)))</f>
        <v/>
      </c>
      <c r="AA41" t="inlineStr">
        <is>
          <t>Clear Spring Water (Equip)</t>
        </is>
      </c>
      <c r="AB41">
        <f>(IF(ArtifactsInput!$M$14,-1,1)*Summary!$B$3*(((1-Summary!$B$11)*IFERROR(B1641/Summary!$B$24,1)+Summary!$B$11*IFERROR(B1642/Summary!$B$25,1))-1)+ArtifactsInput!$L$14)</f>
        <v/>
      </c>
      <c r="AC41">
        <f>IF(ArtifactsInput!$M$14,Summary!$B$3/(Summary!$B$3-(IF(ArtifactsInput!$M$14,-1,1)*Summary!$B$3*(((1-Summary!$B$11)*IFERROR(B1641/Summary!$B$24,1)+Summary!$B$11*IFERROR(B1642/Summary!$B$25,1))-1)+ArtifactsInput!$L$14))*100,(Summary!$B$3+(IF(ArtifactsInput!$M$14,-1,1)*Summary!$B$3*(((1-Summary!$B$11)*IFERROR(B1641/Summary!$B$24,1)+Summary!$B$11*IFERROR(B1642/Summary!$B$25,1))-1)+ArtifactsInput!$L$14))/Summary!$B$3*100)</f>
        <v/>
      </c>
      <c r="AD41">
        <f>ArtifactsInput!$B$14&lt;&gt;"Not Unlocked"</f>
        <v/>
      </c>
      <c r="AE41">
        <f>IF(AD41,SUMPRODUCT(($AD$33:$AD$68)*($AC$33:$AC$68&gt;AC41))+COUNTIFS($AD$33:AD41,TRUE,$AC$33:AC41,AC41),"")</f>
        <v/>
      </c>
    </row>
    <row r="42">
      <c r="A42">
        <f>IF(10&gt;COUNTIF($AD$33:$AD$68,TRUE),"",INDEX($AA$33:$AA$68,MATCH(10,$AE$33:$AE$68,0)))</f>
        <v/>
      </c>
      <c r="B42">
        <f>IF(10&gt;COUNTIF($AD$33:$AD$68,TRUE),"",INDEX($AB$33:$AB$68,MATCH(10,$AE$33:$AE$68,0)))</f>
        <v/>
      </c>
      <c r="C42">
        <f>IF(10&gt;COUNTIF($AD$33:$AD$68,TRUE),"",INDEX($AC$33:$AC$68,MATCH(10,$AE$33:$AE$68,0)))</f>
        <v/>
      </c>
      <c r="AA42" t="inlineStr">
        <is>
          <t>Athena Pierce's Old Gloves (Equip)</t>
        </is>
      </c>
      <c r="AB42">
        <f>(IF(ArtifactsInput!$M$15,-1,1)*Summary!$B$3*(((1-Summary!$B$11)*IFERROR(B1686/Summary!$B$24,1)+Summary!$B$11*IFERROR(B1687/Summary!$B$25,1))-1)+ArtifactsInput!$L$15)</f>
        <v/>
      </c>
      <c r="AC42">
        <f>IF(ArtifactsInput!$M$15,Summary!$B$3/(Summary!$B$3-(IF(ArtifactsInput!$M$15,-1,1)*Summary!$B$3*(((1-Summary!$B$11)*IFERROR(B1686/Summary!$B$24,1)+Summary!$B$11*IFERROR(B1687/Summary!$B$25,1))-1)+ArtifactsInput!$L$15))*100,(Summary!$B$3+(IF(ArtifactsInput!$M$15,-1,1)*Summary!$B$3*(((1-Summary!$B$11)*IFERROR(B1686/Summary!$B$24,1)+Summary!$B$11*IFERROR(B1687/Summary!$B$25,1))-1)+ArtifactsInput!$L$15))/Summary!$B$3*100)</f>
        <v/>
      </c>
      <c r="AD42">
        <f>ArtifactsInput!$B$15&lt;&gt;"Not Unlocked"</f>
        <v/>
      </c>
      <c r="AE42">
        <f>IF(AD42,SUMPRODUCT(($AD$33:$AD$68)*($AC$33:$AC$68&gt;AC42))+COUNTIFS($AD$33:AD42,TRUE,$AC$33:AC42,AC42),"")</f>
        <v/>
      </c>
    </row>
    <row r="43">
      <c r="A43">
        <f>IF(11&gt;COUNTIF($AD$33:$AD$68,TRUE),"",INDEX($AA$33:$AA$68,MATCH(11,$AE$33:$AE$68,0)))</f>
        <v/>
      </c>
      <c r="B43">
        <f>IF(11&gt;COUNTIF($AD$33:$AD$68,TRUE),"",INDEX($AB$33:$AB$68,MATCH(11,$AE$33:$AE$68,0)))</f>
        <v/>
      </c>
      <c r="C43">
        <f>IF(11&gt;COUNTIF($AD$33:$AD$68,TRUE),"",INDEX($AC$33:$AC$68,MATCH(11,$AE$33:$AE$68,0)))</f>
        <v/>
      </c>
      <c r="AA43" t="inlineStr">
        <is>
          <t>Zakum's Stone Piece (Equip)</t>
        </is>
      </c>
      <c r="AB43">
        <f>(IF(ArtifactsInput!$M$16,-1,1)*Summary!$B$3*(((1-Summary!$B$11)*IFERROR(B1731/Summary!$B$24,1)+Summary!$B$11*IFERROR(B1732/Summary!$B$25,1))-1)+ArtifactsInput!$L$16)</f>
        <v/>
      </c>
      <c r="AC43">
        <f>IF(ArtifactsInput!$M$16,Summary!$B$3/(Summary!$B$3-(IF(ArtifactsInput!$M$16,-1,1)*Summary!$B$3*(((1-Summary!$B$11)*IFERROR(B1731/Summary!$B$24,1)+Summary!$B$11*IFERROR(B1732/Summary!$B$25,1))-1)+ArtifactsInput!$L$16))*100,(Summary!$B$3+(IF(ArtifactsInput!$M$16,-1,1)*Summary!$B$3*(((1-Summary!$B$11)*IFERROR(B1731/Summary!$B$24,1)+Summary!$B$11*IFERROR(B1732/Summary!$B$25,1))-1)+ArtifactsInput!$L$16))/Summary!$B$3*100)</f>
        <v/>
      </c>
      <c r="AD43">
        <f>ArtifactsInput!$B$16&lt;&gt;"Not Unlocked"</f>
        <v/>
      </c>
      <c r="AE43">
        <f>IF(AD43,SUMPRODUCT(($AD$33:$AD$68)*($AC$33:$AC$68&gt;AC43))+COUNTIFS($AD$33:AD43,TRUE,$AC$33:AC43,AC43),"")</f>
        <v/>
      </c>
    </row>
    <row r="44">
      <c r="A44">
        <f>IF(12&gt;COUNTIF($AD$33:$AD$68,TRUE),"",INDEX($AA$33:$AA$68,MATCH(12,$AE$33:$AE$68,0)))</f>
        <v/>
      </c>
      <c r="B44">
        <f>IF(12&gt;COUNTIF($AD$33:$AD$68,TRUE),"",INDEX($AB$33:$AB$68,MATCH(12,$AE$33:$AE$68,0)))</f>
        <v/>
      </c>
      <c r="C44">
        <f>IF(12&gt;COUNTIF($AD$33:$AD$68,TRUE),"",INDEX($AC$33:$AC$68,MATCH(12,$AE$33:$AE$68,0)))</f>
        <v/>
      </c>
      <c r="AA44" t="inlineStr">
        <is>
          <t>Horntail's Scale (Equip)</t>
        </is>
      </c>
      <c r="AB44">
        <f>(IF(ArtifactsInput!$M$17,-1,1)*Summary!$B$3*(((1-Summary!$B$11)*IFERROR(B1776/Summary!$B$24,1)+Summary!$B$11*IFERROR(B1777/Summary!$B$25,1))-1)+ArtifactsInput!$L$17)</f>
        <v/>
      </c>
      <c r="AC44">
        <f>IF(ArtifactsInput!$M$17,Summary!$B$3/(Summary!$B$3-(IF(ArtifactsInput!$M$17,-1,1)*Summary!$B$3*(((1-Summary!$B$11)*IFERROR(B1776/Summary!$B$24,1)+Summary!$B$11*IFERROR(B1777/Summary!$B$25,1))-1)+ArtifactsInput!$L$17))*100,(Summary!$B$3+(IF(ArtifactsInput!$M$17,-1,1)*Summary!$B$3*(((1-Summary!$B$11)*IFERROR(B1776/Summary!$B$24,1)+Summary!$B$11*IFERROR(B1777/Summary!$B$25,1))-1)+ArtifactsInput!$L$17))/Summary!$B$3*100)</f>
        <v/>
      </c>
      <c r="AD44">
        <f>ArtifactsInput!$B$17&lt;&gt;"Not Unlocked"</f>
        <v/>
      </c>
      <c r="AE44">
        <f>IF(AD44,SUMPRODUCT(($AD$33:$AD$68)*($AC$33:$AC$68&gt;AC44))+COUNTIFS($AD$33:AD44,TRUE,$AC$33:AC44,AC44),"")</f>
        <v/>
      </c>
    </row>
    <row r="45">
      <c r="A45">
        <f>IF(13&gt;COUNTIF($AD$33:$AD$68,TRUE),"",INDEX($AA$33:$AA$68,MATCH(13,$AE$33:$AE$68,0)))</f>
        <v/>
      </c>
      <c r="B45">
        <f>IF(13&gt;COUNTIF($AD$33:$AD$68,TRUE),"",INDEX($AB$33:$AB$68,MATCH(13,$AE$33:$AE$68,0)))</f>
        <v/>
      </c>
      <c r="C45">
        <f>IF(13&gt;COUNTIF($AD$33:$AD$68,TRUE),"",INDEX($AC$33:$AC$68,MATCH(13,$AE$33:$AE$68,0)))</f>
        <v/>
      </c>
      <c r="AA45" t="inlineStr">
        <is>
          <t>Pink Bean's Giant Rib (Equip)</t>
        </is>
      </c>
      <c r="AB45">
        <f>(IF(ArtifactsInput!$M$18,-1,1)*Summary!$B$3*(((1-Summary!$B$11)*IFERROR(B1821/Summary!$B$24,1)+Summary!$B$11*IFERROR(B1822/Summary!$B$25,1))-1)+ArtifactsInput!$L$18)</f>
        <v/>
      </c>
      <c r="AC45">
        <f>IF(ArtifactsInput!$M$18,Summary!$B$3/(Summary!$B$3-(IF(ArtifactsInput!$M$18,-1,1)*Summary!$B$3*(((1-Summary!$B$11)*IFERROR(B1821/Summary!$B$24,1)+Summary!$B$11*IFERROR(B1822/Summary!$B$25,1))-1)+ArtifactsInput!$L$18))*100,(Summary!$B$3+(IF(ArtifactsInput!$M$18,-1,1)*Summary!$B$3*(((1-Summary!$B$11)*IFERROR(B1821/Summary!$B$24,1)+Summary!$B$11*IFERROR(B1822/Summary!$B$25,1))-1)+ArtifactsInput!$L$18))/Summary!$B$3*100)</f>
        <v/>
      </c>
      <c r="AD45">
        <f>ArtifactsInput!$B$18&lt;&gt;"Not Unlocked"</f>
        <v/>
      </c>
      <c r="AE45">
        <f>IF(AD45,SUMPRODUCT(($AD$33:$AD$68)*($AC$33:$AC$68&gt;AC45))+COUNTIFS($AD$33:AD45,TRUE,$AC$33:AC45,AC45),"")</f>
        <v/>
      </c>
    </row>
    <row r="46">
      <c r="A46">
        <f>IF(14&gt;COUNTIF($AD$33:$AD$68,TRUE),"",INDEX($AA$33:$AA$68,MATCH(14,$AE$33:$AE$68,0)))</f>
        <v/>
      </c>
      <c r="B46">
        <f>IF(14&gt;COUNTIF($AD$33:$AD$68,TRUE),"",INDEX($AB$33:$AB$68,MATCH(14,$AE$33:$AE$68,0)))</f>
        <v/>
      </c>
      <c r="C46">
        <f>IF(14&gt;COUNTIF($AD$33:$AD$68,TRUE),"",INDEX($AC$33:$AC$68,MATCH(14,$AE$33:$AE$68,0)))</f>
        <v/>
      </c>
      <c r="AA46" t="inlineStr">
        <is>
          <t>Chalice (Equip)</t>
        </is>
      </c>
      <c r="AB46">
        <f>(IF(ArtifactsInput!$M$20,-1,1)*Summary!$B$3*(((1-Summary!$B$11)*IFERROR(B1866/Summary!$B$24,1)+Summary!$B$11*IFERROR(B1867/Summary!$B$25,1))-1)+ArtifactsInput!$L$20)</f>
        <v/>
      </c>
      <c r="AC46">
        <f>IF(ArtifactsInput!$M$20,Summary!$B$3/(Summary!$B$3-(IF(ArtifactsInput!$M$20,-1,1)*Summary!$B$3*(((1-Summary!$B$11)*IFERROR(B1866/Summary!$B$24,1)+Summary!$B$11*IFERROR(B1867/Summary!$B$25,1))-1)+ArtifactsInput!$L$20))*100,(Summary!$B$3+(IF(ArtifactsInput!$M$20,-1,1)*Summary!$B$3*(((1-Summary!$B$11)*IFERROR(B1866/Summary!$B$24,1)+Summary!$B$11*IFERROR(B1867/Summary!$B$25,1))-1)+ArtifactsInput!$L$20))/Summary!$B$3*100)</f>
        <v/>
      </c>
      <c r="AD46">
        <f>ArtifactsInput!$B$20&lt;&gt;"Not Unlocked"</f>
        <v/>
      </c>
      <c r="AE46">
        <f>IF(AD46,SUMPRODUCT(($AD$33:$AD$68)*($AC$33:$AC$68&gt;AC46))+COUNTIFS($AD$33:AD46,TRUE,$AC$33:AC46,AC46),"")</f>
        <v/>
      </c>
    </row>
    <row r="47">
      <c r="A47">
        <f>IF(15&gt;COUNTIF($AD$33:$AD$68,TRUE),"",INDEX($AA$33:$AA$68,MATCH(15,$AE$33:$AE$68,0)))</f>
        <v/>
      </c>
      <c r="B47">
        <f>IF(15&gt;COUNTIF($AD$33:$AD$68,TRUE),"",INDEX($AB$33:$AB$68,MATCH(15,$AE$33:$AE$68,0)))</f>
        <v/>
      </c>
      <c r="C47">
        <f>IF(15&gt;COUNTIF($AD$33:$AD$68,TRUE),"",INDEX($AC$33:$AC$68,MATCH(15,$AE$33:$AE$68,0)))</f>
        <v/>
      </c>
      <c r="AA47" t="inlineStr">
        <is>
          <t>Old Music Box (Equip)</t>
        </is>
      </c>
      <c r="AB47">
        <f>(IF(ArtifactsInput!$M$21,-1,1)*Summary!$B$3*(((1-Summary!$B$11)*IFERROR(B1911/Summary!$B$24,1)+Summary!$B$11*IFERROR(B1912/Summary!$B$25,1))-1)+ArtifactsInput!$L$21)</f>
        <v/>
      </c>
      <c r="AC47">
        <f>IF(ArtifactsInput!$M$21,Summary!$B$3/(Summary!$B$3-(IF(ArtifactsInput!$M$21,-1,1)*Summary!$B$3*(((1-Summary!$B$11)*IFERROR(B1911/Summary!$B$24,1)+Summary!$B$11*IFERROR(B1912/Summary!$B$25,1))-1)+ArtifactsInput!$L$21))*100,(Summary!$B$3+(IF(ArtifactsInput!$M$21,-1,1)*Summary!$B$3*(((1-Summary!$B$11)*IFERROR(B1911/Summary!$B$24,1)+Summary!$B$11*IFERROR(B1912/Summary!$B$25,1))-1)+ArtifactsInput!$L$21))/Summary!$B$3*100)</f>
        <v/>
      </c>
      <c r="AD47">
        <f>ArtifactsInput!$B$21&lt;&gt;"Not Unlocked"</f>
        <v/>
      </c>
      <c r="AE47">
        <f>IF(AD47,SUMPRODUCT(($AD$33:$AD$68)*($AC$33:$AC$68&gt;AC47))+COUNTIFS($AD$33:AD47,TRUE,$AC$33:AC47,AC47),"")</f>
        <v/>
      </c>
    </row>
    <row r="48">
      <c r="A48">
        <f>IF(16&gt;COUNTIF($AD$33:$AD$68,TRUE),"",INDEX($AA$33:$AA$68,MATCH(16,$AE$33:$AE$68,0)))</f>
        <v/>
      </c>
      <c r="B48">
        <f>IF(16&gt;COUNTIF($AD$33:$AD$68,TRUE),"",INDEX($AB$33:$AB$68,MATCH(16,$AE$33:$AE$68,0)))</f>
        <v/>
      </c>
      <c r="C48">
        <f>IF(16&gt;COUNTIF($AD$33:$AD$68,TRUE),"",INDEX($AC$33:$AC$68,MATCH(16,$AE$33:$AE$68,0)))</f>
        <v/>
      </c>
      <c r="AA48" t="inlineStr">
        <is>
          <t>Silver Pendant (Equip)</t>
        </is>
      </c>
      <c r="AB48">
        <f>(IF(ArtifactsInput!$M$22,-1,1)*Summary!$B$3*(((1-Summary!$B$11)*IFERROR(B1956/Summary!$B$24,1)+Summary!$B$11*IFERROR(B1957/Summary!$B$25,1))-1)+ArtifactsInput!$L$22)</f>
        <v/>
      </c>
      <c r="AC48">
        <f>IF(ArtifactsInput!$M$22,Summary!$B$3/(Summary!$B$3-(IF(ArtifactsInput!$M$22,-1,1)*Summary!$B$3*(((1-Summary!$B$11)*IFERROR(B1956/Summary!$B$24,1)+Summary!$B$11*IFERROR(B1957/Summary!$B$25,1))-1)+ArtifactsInput!$L$22))*100,(Summary!$B$3+(IF(ArtifactsInput!$M$22,-1,1)*Summary!$B$3*(((1-Summary!$B$11)*IFERROR(B1956/Summary!$B$24,1)+Summary!$B$11*IFERROR(B1957/Summary!$B$25,1))-1)+ArtifactsInput!$L$22))/Summary!$B$3*100)</f>
        <v/>
      </c>
      <c r="AD48">
        <f>ArtifactsInput!$B$22&lt;&gt;"Not Unlocked"</f>
        <v/>
      </c>
      <c r="AE48">
        <f>IF(AD48,SUMPRODUCT(($AD$33:$AD$68)*($AC$33:$AC$68&gt;AC48))+COUNTIFS($AD$33:AD48,TRUE,$AC$33:AC48,AC48),"")</f>
        <v/>
      </c>
    </row>
    <row r="49">
      <c r="A49">
        <f>IF(17&gt;COUNTIF($AD$33:$AD$68,TRUE),"",INDEX($AA$33:$AA$68,MATCH(17,$AE$33:$AE$68,0)))</f>
        <v/>
      </c>
      <c r="B49">
        <f>IF(17&gt;COUNTIF($AD$33:$AD$68,TRUE),"",INDEX($AB$33:$AB$68,MATCH(17,$AE$33:$AE$68,0)))</f>
        <v/>
      </c>
      <c r="C49">
        <f>IF(17&gt;COUNTIF($AD$33:$AD$68,TRUE),"",INDEX($AC$33:$AC$68,MATCH(17,$AE$33:$AE$68,0)))</f>
        <v/>
      </c>
      <c r="AA49" t="inlineStr">
        <is>
          <t>Star Rock (Equip)</t>
        </is>
      </c>
      <c r="AB49">
        <f>(IF(ArtifactsInput!$M$23,-1,1)*Summary!$B$3*(((1-Summary!$B$11)*IFERROR(B2001/Summary!$B$24,1)+Summary!$B$11*IFERROR(B2002/Summary!$B$25,1))-1)+ArtifactsInput!$L$23)</f>
        <v/>
      </c>
      <c r="AC49">
        <f>IF(ArtifactsInput!$M$23,Summary!$B$3/(Summary!$B$3-(IF(ArtifactsInput!$M$23,-1,1)*Summary!$B$3*(((1-Summary!$B$11)*IFERROR(B2001/Summary!$B$24,1)+Summary!$B$11*IFERROR(B2002/Summary!$B$25,1))-1)+ArtifactsInput!$L$23))*100,(Summary!$B$3+(IF(ArtifactsInput!$M$23,-1,1)*Summary!$B$3*(((1-Summary!$B$11)*IFERROR(B2001/Summary!$B$24,1)+Summary!$B$11*IFERROR(B2002/Summary!$B$25,1))-1)+ArtifactsInput!$L$23))/Summary!$B$3*100)</f>
        <v/>
      </c>
      <c r="AD49">
        <f>ArtifactsInput!$B$23&lt;&gt;"Not Unlocked"</f>
        <v/>
      </c>
      <c r="AE49">
        <f>IF(AD49,SUMPRODUCT(($AD$33:$AD$68)*($AC$33:$AC$68&gt;AC49))+COUNTIFS($AD$33:AD49,TRUE,$AC$33:AC49,AC49),"")</f>
        <v/>
      </c>
    </row>
    <row r="50">
      <c r="A50">
        <f>IF(18&gt;COUNTIF($AD$33:$AD$68,TRUE),"",INDEX($AA$33:$AA$68,MATCH(18,$AE$33:$AE$68,0)))</f>
        <v/>
      </c>
      <c r="B50">
        <f>IF(18&gt;COUNTIF($AD$33:$AD$68,TRUE),"",INDEX($AB$33:$AB$68,MATCH(18,$AE$33:$AE$68,0)))</f>
        <v/>
      </c>
      <c r="C50">
        <f>IF(18&gt;COUNTIF($AD$33:$AD$68,TRUE),"",INDEX($AC$33:$AC$68,MATCH(18,$AE$33:$AE$68,0)))</f>
        <v/>
      </c>
      <c r="AA50" t="inlineStr">
        <is>
          <t>Book of Ancient (Equip)</t>
        </is>
      </c>
      <c r="AB50">
        <f>(IF(ArtifactsInput!$M$24,-1,1)*Summary!$B$3*(((1-Summary!$B$11)*IFERROR(B2046/Summary!$B$24,1)+Summary!$B$11*IFERROR(B2047/Summary!$B$25,1))-1)+ArtifactsInput!$L$24)</f>
        <v/>
      </c>
      <c r="AC50">
        <f>IF(ArtifactsInput!$M$24,Summary!$B$3/(Summary!$B$3-(IF(ArtifactsInput!$M$24,-1,1)*Summary!$B$3*(((1-Summary!$B$11)*IFERROR(B2046/Summary!$B$24,1)+Summary!$B$11*IFERROR(B2047/Summary!$B$25,1))-1)+ArtifactsInput!$L$24))*100,(Summary!$B$3+(IF(ArtifactsInput!$M$24,-1,1)*Summary!$B$3*(((1-Summary!$B$11)*IFERROR(B2046/Summary!$B$24,1)+Summary!$B$11*IFERROR(B2047/Summary!$B$25,1))-1)+ArtifactsInput!$L$24))/Summary!$B$3*100)</f>
        <v/>
      </c>
      <c r="AD50">
        <f>ArtifactsInput!$B$24&lt;&gt;"Not Unlocked"</f>
        <v/>
      </c>
      <c r="AE50">
        <f>IF(AD50,SUMPRODUCT(($AD$33:$AD$68)*($AC$33:$AC$68&gt;AC50))+COUNTIFS($AD$33:AD50,TRUE,$AC$33:AC50,AC50),"")</f>
        <v/>
      </c>
    </row>
    <row r="51">
      <c r="A51">
        <f>IF(19&gt;COUNTIF($AD$33:$AD$68,TRUE),"",INDEX($AA$33:$AA$68,MATCH(19,$AE$33:$AE$68,0)))</f>
        <v/>
      </c>
      <c r="B51">
        <f>IF(19&gt;COUNTIF($AD$33:$AD$68,TRUE),"",INDEX($AB$33:$AB$68,MATCH(19,$AE$33:$AE$68,0)))</f>
        <v/>
      </c>
      <c r="C51">
        <f>IF(19&gt;COUNTIF($AD$33:$AD$68,TRUE),"",INDEX($AC$33:$AC$68,MATCH(19,$AE$33:$AE$68,0)))</f>
        <v/>
      </c>
      <c r="AA51" t="inlineStr">
        <is>
          <t>Lunar Dew (Equip)</t>
        </is>
      </c>
      <c r="AB51">
        <f>(IF(ArtifactsInput!$M$25,-1,1)*Summary!$B$3*(((1-Summary!$B$11)*IFERROR(B2091/Summary!$B$24,1)+Summary!$B$11*IFERROR(B2092/Summary!$B$25,1))-1)+ArtifactsInput!$L$25)</f>
        <v/>
      </c>
      <c r="AC51">
        <f>IF(ArtifactsInput!$M$25,Summary!$B$3/(Summary!$B$3-(IF(ArtifactsInput!$M$25,-1,1)*Summary!$B$3*(((1-Summary!$B$11)*IFERROR(B2091/Summary!$B$24,1)+Summary!$B$11*IFERROR(B2092/Summary!$B$25,1))-1)+ArtifactsInput!$L$25))*100,(Summary!$B$3+(IF(ArtifactsInput!$M$25,-1,1)*Summary!$B$3*(((1-Summary!$B$11)*IFERROR(B2091/Summary!$B$24,1)+Summary!$B$11*IFERROR(B2092/Summary!$B$25,1))-1)+ArtifactsInput!$L$25))/Summary!$B$3*100)</f>
        <v/>
      </c>
      <c r="AD51">
        <f>ArtifactsInput!$B$25&lt;&gt;"Not Unlocked"</f>
        <v/>
      </c>
      <c r="AE51">
        <f>IF(AD51,SUMPRODUCT(($AD$33:$AD$68)*($AC$33:$AC$68&gt;AC51))+COUNTIFS($AD$33:AD51,TRUE,$AC$33:AC51,AC51),"")</f>
        <v/>
      </c>
    </row>
    <row r="52">
      <c r="A52">
        <f>IF(20&gt;COUNTIF($AD$33:$AD$68,TRUE),"",INDEX($AA$33:$AA$68,MATCH(20,$AE$33:$AE$68,0)))</f>
        <v/>
      </c>
      <c r="B52">
        <f>IF(20&gt;COUNTIF($AD$33:$AD$68,TRUE),"",INDEX($AB$33:$AB$68,MATCH(20,$AE$33:$AE$68,0)))</f>
        <v/>
      </c>
      <c r="C52">
        <f>IF(20&gt;COUNTIF($AD$33:$AD$68,TRUE),"",INDEX($AC$33:$AC$68,MATCH(20,$AE$33:$AE$68,0)))</f>
        <v/>
      </c>
      <c r="AA52" t="inlineStr">
        <is>
          <t>Fire Flower (Equip)</t>
        </is>
      </c>
      <c r="AB52">
        <f>(IF(ArtifactsInput!$M$26,-1,1)*Summary!$B$3*(((1-Summary!$B$11)*IFERROR(B2136/Summary!$B$24,1)+Summary!$B$11*IFERROR(B2137/Summary!$B$25,1))-1)+ArtifactsInput!$L$26)</f>
        <v/>
      </c>
      <c r="AC52">
        <f>IF(ArtifactsInput!$M$26,Summary!$B$3/(Summary!$B$3-(IF(ArtifactsInput!$M$26,-1,1)*Summary!$B$3*(((1-Summary!$B$11)*IFERROR(B2136/Summary!$B$24,1)+Summary!$B$11*IFERROR(B2137/Summary!$B$25,1))-1)+ArtifactsInput!$L$26))*100,(Summary!$B$3+(IF(ArtifactsInput!$M$26,-1,1)*Summary!$B$3*(((1-Summary!$B$11)*IFERROR(B2136/Summary!$B$24,1)+Summary!$B$11*IFERROR(B2137/Summary!$B$25,1))-1)+ArtifactsInput!$L$26))/Summary!$B$3*100)</f>
        <v/>
      </c>
      <c r="AD52">
        <f>ArtifactsInput!$B$26&lt;&gt;"Not Unlocked"</f>
        <v/>
      </c>
      <c r="AE52">
        <f>IF(AD52,SUMPRODUCT(($AD$33:$AD$68)*($AC$33:$AC$68&gt;AC52))+COUNTIFS($AD$33:AD52,TRUE,$AC$33:AC52,AC52),"")</f>
        <v/>
      </c>
    </row>
    <row r="53">
      <c r="A53">
        <f>IF(21&gt;COUNTIF($AD$33:$AD$68,TRUE),"",INDEX($AA$33:$AA$68,MATCH(21,$AE$33:$AE$68,0)))</f>
        <v/>
      </c>
      <c r="B53">
        <f>IF(21&gt;COUNTIF($AD$33:$AD$68,TRUE),"",INDEX($AB$33:$AB$68,MATCH(21,$AE$33:$AE$68,0)))</f>
        <v/>
      </c>
      <c r="C53">
        <f>IF(21&gt;COUNTIF($AD$33:$AD$68,TRUE),"",INDEX($AC$33:$AC$68,MATCH(21,$AE$33:$AE$68,0)))</f>
        <v/>
      </c>
      <c r="AA53" t="inlineStr">
        <is>
          <t>Soul Contract (Equip)</t>
        </is>
      </c>
      <c r="AB53">
        <f>(IF(ArtifactsInput!$M$27,-1,1)*Summary!$B$3*(((1-Summary!$B$11)*IFERROR(B2181/Summary!$B$24,1)+Summary!$B$11*IFERROR(B2182/Summary!$B$25,1))-1)+ArtifactsInput!$L$27)</f>
        <v/>
      </c>
      <c r="AC53">
        <f>IF(ArtifactsInput!$M$27,Summary!$B$3/(Summary!$B$3-(IF(ArtifactsInput!$M$27,-1,1)*Summary!$B$3*(((1-Summary!$B$11)*IFERROR(B2181/Summary!$B$24,1)+Summary!$B$11*IFERROR(B2182/Summary!$B$25,1))-1)+ArtifactsInput!$L$27))*100,(Summary!$B$3+(IF(ArtifactsInput!$M$27,-1,1)*Summary!$B$3*(((1-Summary!$B$11)*IFERROR(B2181/Summary!$B$24,1)+Summary!$B$11*IFERROR(B2182/Summary!$B$25,1))-1)+ArtifactsInput!$L$27))/Summary!$B$3*100)</f>
        <v/>
      </c>
      <c r="AD53">
        <f>ArtifactsInput!$B$27&lt;&gt;"Not Unlocked"</f>
        <v/>
      </c>
      <c r="AE53">
        <f>IF(AD53,SUMPRODUCT(($AD$33:$AD$68)*($AC$33:$AC$68&gt;AC53))+COUNTIFS($AD$33:AD53,TRUE,$AC$33:AC53,AC53),"")</f>
        <v/>
      </c>
    </row>
    <row r="54">
      <c r="A54">
        <f>IF(22&gt;COUNTIF($AD$33:$AD$68,TRUE),"",INDEX($AA$33:$AA$68,MATCH(22,$AE$33:$AE$68,0)))</f>
        <v/>
      </c>
      <c r="B54">
        <f>IF(22&gt;COUNTIF($AD$33:$AD$68,TRUE),"",INDEX($AB$33:$AB$68,MATCH(22,$AE$33:$AE$68,0)))</f>
        <v/>
      </c>
      <c r="C54">
        <f>IF(22&gt;COUNTIF($AD$33:$AD$68,TRUE),"",INDEX($AC$33:$AC$68,MATCH(22,$AE$33:$AE$68,0)))</f>
        <v/>
      </c>
      <c r="AA54" t="inlineStr">
        <is>
          <t>Lit Lamp (Equip)</t>
        </is>
      </c>
      <c r="AB54">
        <f>(IF(ArtifactsInput!$M$28,-1,1)*Summary!$B$3*(((1-Summary!$B$11)*IFERROR(B2226/Summary!$B$24,1)+Summary!$B$11*IFERROR(B2227/Summary!$B$25,1))-1)+ArtifactsInput!$L$28)</f>
        <v/>
      </c>
      <c r="AC54">
        <f>IF(ArtifactsInput!$M$28,Summary!$B$3/(Summary!$B$3-(IF(ArtifactsInput!$M$28,-1,1)*Summary!$B$3*(((1-Summary!$B$11)*IFERROR(B2226/Summary!$B$24,1)+Summary!$B$11*IFERROR(B2227/Summary!$B$25,1))-1)+ArtifactsInput!$L$28))*100,(Summary!$B$3+(IF(ArtifactsInput!$M$28,-1,1)*Summary!$B$3*(((1-Summary!$B$11)*IFERROR(B2226/Summary!$B$24,1)+Summary!$B$11*IFERROR(B2227/Summary!$B$25,1))-1)+ArtifactsInput!$L$28))/Summary!$B$3*100)</f>
        <v/>
      </c>
      <c r="AD54">
        <f>ArtifactsInput!$B$28&lt;&gt;"Not Unlocked"</f>
        <v/>
      </c>
      <c r="AE54">
        <f>IF(AD54,SUMPRODUCT(($AD$33:$AD$68)*($AC$33:$AC$68&gt;AC54))+COUNTIFS($AD$33:AD54,TRUE,$AC$33:AC54,AC54),"")</f>
        <v/>
      </c>
    </row>
    <row r="55">
      <c r="A55">
        <f>IF(23&gt;COUNTIF($AD$33:$AD$68,TRUE),"",INDEX($AA$33:$AA$68,MATCH(23,$AE$33:$AE$68,0)))</f>
        <v/>
      </c>
      <c r="B55">
        <f>IF(23&gt;COUNTIF($AD$33:$AD$68,TRUE),"",INDEX($AB$33:$AB$68,MATCH(23,$AE$33:$AE$68,0)))</f>
        <v/>
      </c>
      <c r="C55">
        <f>IF(23&gt;COUNTIF($AD$33:$AD$68,TRUE),"",INDEX($AC$33:$AC$68,MATCH(23,$AE$33:$AE$68,0)))</f>
        <v/>
      </c>
      <c r="AA55" t="inlineStr">
        <is>
          <t>Soul Pouch (Equip)</t>
        </is>
      </c>
      <c r="AB55">
        <f>(IF(ArtifactsInput!$M$29,-1,1)*Summary!$B$3*(((1-Summary!$B$11)*IFERROR(B2271/Summary!$B$24,1)+Summary!$B$11*IFERROR(B2272/Summary!$B$25,1))-1)+ArtifactsInput!$L$29)</f>
        <v/>
      </c>
      <c r="AC55">
        <f>IF(ArtifactsInput!$M$29,Summary!$B$3/(Summary!$B$3-(IF(ArtifactsInput!$M$29,-1,1)*Summary!$B$3*(((1-Summary!$B$11)*IFERROR(B2271/Summary!$B$24,1)+Summary!$B$11*IFERROR(B2272/Summary!$B$25,1))-1)+ArtifactsInput!$L$29))*100,(Summary!$B$3+(IF(ArtifactsInput!$M$29,-1,1)*Summary!$B$3*(((1-Summary!$B$11)*IFERROR(B2271/Summary!$B$24,1)+Summary!$B$11*IFERROR(B2272/Summary!$B$25,1))-1)+ArtifactsInput!$L$29))/Summary!$B$3*100)</f>
        <v/>
      </c>
      <c r="AD55">
        <f>ArtifactsInput!$B$29&lt;&gt;"Not Unlocked"</f>
        <v/>
      </c>
      <c r="AE55">
        <f>IF(AD55,SUMPRODUCT(($AD$33:$AD$68)*($AC$33:$AC$68&gt;AC55))+COUNTIFS($AD$33:AD55,TRUE,$AC$33:AC55,AC55),"")</f>
        <v/>
      </c>
    </row>
    <row r="56">
      <c r="A56">
        <f>IF(24&gt;COUNTIF($AD$33:$AD$68,TRUE),"",INDEX($AA$33:$AA$68,MATCH(24,$AE$33:$AE$68,0)))</f>
        <v/>
      </c>
      <c r="B56">
        <f>IF(24&gt;COUNTIF($AD$33:$AD$68,TRUE),"",INDEX($AB$33:$AB$68,MATCH(24,$AE$33:$AE$68,0)))</f>
        <v/>
      </c>
      <c r="C56">
        <f>IF(24&gt;COUNTIF($AD$33:$AD$68,TRUE),"",INDEX($AC$33:$AC$68,MATCH(24,$AE$33:$AE$68,0)))</f>
        <v/>
      </c>
      <c r="AA56" t="inlineStr">
        <is>
          <t>Ancient Text Piece (Equip)</t>
        </is>
      </c>
      <c r="AB56">
        <f>(IF(ArtifactsInput!$M$30,-1,1)*Summary!$B$3*(((1-Summary!$B$11)*IFERROR(B2316/Summary!$B$24,1)+Summary!$B$11*IFERROR(B2317/Summary!$B$25,1))-1)+ArtifactsInput!$L$30)</f>
        <v/>
      </c>
      <c r="AC56">
        <f>IF(ArtifactsInput!$M$30,Summary!$B$3/(Summary!$B$3-(IF(ArtifactsInput!$M$30,-1,1)*Summary!$B$3*(((1-Summary!$B$11)*IFERROR(B2316/Summary!$B$24,1)+Summary!$B$11*IFERROR(B2317/Summary!$B$25,1))-1)+ArtifactsInput!$L$30))*100,(Summary!$B$3+(IF(ArtifactsInput!$M$30,-1,1)*Summary!$B$3*(((1-Summary!$B$11)*IFERROR(B2316/Summary!$B$24,1)+Summary!$B$11*IFERROR(B2317/Summary!$B$25,1))-1)+ArtifactsInput!$L$30))/Summary!$B$3*100)</f>
        <v/>
      </c>
      <c r="AD56">
        <f>ArtifactsInput!$B$30&lt;&gt;"Not Unlocked"</f>
        <v/>
      </c>
      <c r="AE56">
        <f>IF(AD56,SUMPRODUCT(($AD$33:$AD$68)*($AC$33:$AC$68&gt;AC56))+COUNTIFS($AD$33:AD56,TRUE,$AC$33:AC56,AC56),"")</f>
        <v/>
      </c>
    </row>
    <row r="57">
      <c r="A57">
        <f>IF(25&gt;COUNTIF($AD$33:$AD$68,TRUE),"",INDEX($AA$33:$AA$68,MATCH(25,$AE$33:$AE$68,0)))</f>
        <v/>
      </c>
      <c r="B57">
        <f>IF(25&gt;COUNTIF($AD$33:$AD$68,TRUE),"",INDEX($AB$33:$AB$68,MATCH(25,$AE$33:$AE$68,0)))</f>
        <v/>
      </c>
      <c r="C57">
        <f>IF(25&gt;COUNTIF($AD$33:$AD$68,TRUE),"",INDEX($AC$33:$AC$68,MATCH(25,$AE$33:$AE$68,0)))</f>
        <v/>
      </c>
      <c r="AA57" t="inlineStr">
        <is>
          <t>Icy Soul Rock (Equip)</t>
        </is>
      </c>
      <c r="AB57">
        <f>(IF(ArtifactsInput!$M$31,-1,1)*Summary!$B$3*(((1-Summary!$B$11)*IFERROR(B2361/Summary!$B$24,1)+Summary!$B$11*IFERROR(B2362/Summary!$B$25,1))-1)+ArtifactsInput!$L$31)</f>
        <v/>
      </c>
      <c r="AC57">
        <f>IF(ArtifactsInput!$M$31,Summary!$B$3/(Summary!$B$3-(IF(ArtifactsInput!$M$31,-1,1)*Summary!$B$3*(((1-Summary!$B$11)*IFERROR(B2361/Summary!$B$24,1)+Summary!$B$11*IFERROR(B2362/Summary!$B$25,1))-1)+ArtifactsInput!$L$31))*100,(Summary!$B$3+(IF(ArtifactsInput!$M$31,-1,1)*Summary!$B$3*(((1-Summary!$B$11)*IFERROR(B2361/Summary!$B$24,1)+Summary!$B$11*IFERROR(B2362/Summary!$B$25,1))-1)+ArtifactsInput!$L$31))/Summary!$B$3*100)</f>
        <v/>
      </c>
      <c r="AD57">
        <f>ArtifactsInput!$B$31&lt;&gt;"Not Unlocked"</f>
        <v/>
      </c>
      <c r="AE57">
        <f>IF(AD57,SUMPRODUCT(($AD$33:$AD$68)*($AC$33:$AC$68&gt;AC57))+COUNTIFS($AD$33:AD57,TRUE,$AC$33:AC57,AC57),"")</f>
        <v/>
      </c>
    </row>
    <row r="58">
      <c r="A58">
        <f>IF(26&gt;COUNTIF($AD$33:$AD$68,TRUE),"",INDEX($AA$33:$AA$68,MATCH(26,$AE$33:$AE$68,0)))</f>
        <v/>
      </c>
      <c r="B58">
        <f>IF(26&gt;COUNTIF($AD$33:$AD$68,TRUE),"",INDEX($AB$33:$AB$68,MATCH(26,$AE$33:$AE$68,0)))</f>
        <v/>
      </c>
      <c r="C58">
        <f>IF(26&gt;COUNTIF($AD$33:$AD$68,TRUE),"",INDEX($AC$33:$AC$68,MATCH(26,$AE$33:$AE$68,0)))</f>
        <v/>
      </c>
      <c r="AA58" t="inlineStr">
        <is>
          <t>Flaming Lava (Equip)</t>
        </is>
      </c>
      <c r="AB58">
        <f>(IF(ArtifactsInput!$M$32,-1,1)*Summary!$B$3*(((1-Summary!$B$11)*IFERROR(B2406/Summary!$B$24,1)+Summary!$B$11*IFERROR(B2407/Summary!$B$25,1))-1)+ArtifactsInput!$L$32)</f>
        <v/>
      </c>
      <c r="AC58">
        <f>IF(ArtifactsInput!$M$32,Summary!$B$3/(Summary!$B$3-(IF(ArtifactsInput!$M$32,-1,1)*Summary!$B$3*(((1-Summary!$B$11)*IFERROR(B2406/Summary!$B$24,1)+Summary!$B$11*IFERROR(B2407/Summary!$B$25,1))-1)+ArtifactsInput!$L$32))*100,(Summary!$B$3+(IF(ArtifactsInput!$M$32,-1,1)*Summary!$B$3*(((1-Summary!$B$11)*IFERROR(B2406/Summary!$B$24,1)+Summary!$B$11*IFERROR(B2407/Summary!$B$25,1))-1)+ArtifactsInput!$L$32))/Summary!$B$3*100)</f>
        <v/>
      </c>
      <c r="AD58">
        <f>ArtifactsInput!$B$32&lt;&gt;"Not Unlocked"</f>
        <v/>
      </c>
      <c r="AE58">
        <f>IF(AD58,SUMPRODUCT(($AD$33:$AD$68)*($AC$33:$AC$68&gt;AC58))+COUNTIFS($AD$33:AD58,TRUE,$AC$33:AC58,AC58),"")</f>
        <v/>
      </c>
    </row>
    <row r="59">
      <c r="A59">
        <f>IF(27&gt;COUNTIF($AD$33:$AD$68,TRUE),"",INDEX($AA$33:$AA$68,MATCH(27,$AE$33:$AE$68,0)))</f>
        <v/>
      </c>
      <c r="B59">
        <f>IF(27&gt;COUNTIF($AD$33:$AD$68,TRUE),"",INDEX($AB$33:$AB$68,MATCH(27,$AE$33:$AE$68,0)))</f>
        <v/>
      </c>
      <c r="C59">
        <f>IF(27&gt;COUNTIF($AD$33:$AD$68,TRUE),"",INDEX($AC$33:$AC$68,MATCH(27,$AE$33:$AE$68,0)))</f>
        <v/>
      </c>
      <c r="AA59" t="inlineStr">
        <is>
          <t>Sayram's Necklace (Equip)</t>
        </is>
      </c>
      <c r="AB59">
        <f>(IF(ArtifactsInput!$M$33,-1,1)*Summary!$B$3*(((1-Summary!$B$11)*IFERROR(B2451/Summary!$B$24,1)+Summary!$B$11*IFERROR(B2452/Summary!$B$25,1))-1)+ArtifactsInput!$L$33)</f>
        <v/>
      </c>
      <c r="AC59">
        <f>IF(ArtifactsInput!$M$33,Summary!$B$3/(Summary!$B$3-(IF(ArtifactsInput!$M$33,-1,1)*Summary!$B$3*(((1-Summary!$B$11)*IFERROR(B2451/Summary!$B$24,1)+Summary!$B$11*IFERROR(B2452/Summary!$B$25,1))-1)+ArtifactsInput!$L$33))*100,(Summary!$B$3+(IF(ArtifactsInput!$M$33,-1,1)*Summary!$B$3*(((1-Summary!$B$11)*IFERROR(B2451/Summary!$B$24,1)+Summary!$B$11*IFERROR(B2452/Summary!$B$25,1))-1)+ArtifactsInput!$L$33))/Summary!$B$3*100)</f>
        <v/>
      </c>
      <c r="AD59">
        <f>ArtifactsInput!$B$33&lt;&gt;"Not Unlocked"</f>
        <v/>
      </c>
      <c r="AE59">
        <f>IF(AD59,SUMPRODUCT(($AD$33:$AD$68)*($AC$33:$AC$68&gt;AC59))+COUNTIFS($AD$33:AD59,TRUE,$AC$33:AC59,AC59),"")</f>
        <v/>
      </c>
    </row>
    <row r="60">
      <c r="A60">
        <f>IF(28&gt;COUNTIF($AD$33:$AD$68,TRUE),"",INDEX($AA$33:$AA$68,MATCH(28,$AE$33:$AE$68,0)))</f>
        <v/>
      </c>
      <c r="B60">
        <f>IF(28&gt;COUNTIF($AD$33:$AD$68,TRUE),"",INDEX($AB$33:$AB$68,MATCH(28,$AE$33:$AE$68,0)))</f>
        <v/>
      </c>
      <c r="C60">
        <f>IF(28&gt;COUNTIF($AD$33:$AD$68,TRUE),"",INDEX($AC$33:$AC$68,MATCH(28,$AE$33:$AE$68,0)))</f>
        <v/>
      </c>
      <c r="AA60" t="inlineStr">
        <is>
          <t>Bottle of Emotion (Equip)</t>
        </is>
      </c>
      <c r="AB60">
        <f>(IF(ArtifactsInput!$M$34,-1,1)*Summary!$B$3*(((1-Summary!$B$11)*IFERROR(B2496/Summary!$B$24,1)+Summary!$B$11*IFERROR(B2497/Summary!$B$25,1))-1)+ArtifactsInput!$L$34)</f>
        <v/>
      </c>
      <c r="AC60">
        <f>IF(ArtifactsInput!$M$34,Summary!$B$3/(Summary!$B$3-(IF(ArtifactsInput!$M$34,-1,1)*Summary!$B$3*(((1-Summary!$B$11)*IFERROR(B2496/Summary!$B$24,1)+Summary!$B$11*IFERROR(B2497/Summary!$B$25,1))-1)+ArtifactsInput!$L$34))*100,(Summary!$B$3+(IF(ArtifactsInput!$M$34,-1,1)*Summary!$B$3*(((1-Summary!$B$11)*IFERROR(B2496/Summary!$B$24,1)+Summary!$B$11*IFERROR(B2497/Summary!$B$25,1))-1)+ArtifactsInput!$L$34))/Summary!$B$3*100)</f>
        <v/>
      </c>
      <c r="AD60">
        <f>ArtifactsInput!$B$34&lt;&gt;"Not Unlocked"</f>
        <v/>
      </c>
      <c r="AE60">
        <f>IF(AD60,SUMPRODUCT(($AD$33:$AD$68)*($AC$33:$AC$68&gt;AC60))+COUNTIFS($AD$33:AD60,TRUE,$AC$33:AC60,AC60),"")</f>
        <v/>
      </c>
    </row>
    <row r="61">
      <c r="A61">
        <f>IF(29&gt;COUNTIF($AD$33:$AD$68,TRUE),"",INDEX($AA$33:$AA$68,MATCH(29,$AE$33:$AE$68,0)))</f>
        <v/>
      </c>
      <c r="B61">
        <f>IF(29&gt;COUNTIF($AD$33:$AD$68,TRUE),"",INDEX($AB$33:$AB$68,MATCH(29,$AE$33:$AE$68,0)))</f>
        <v/>
      </c>
      <c r="C61">
        <f>IF(29&gt;COUNTIF($AD$33:$AD$68,TRUE),"",INDEX($AC$33:$AC$68,MATCH(29,$AE$33:$AE$68,0)))</f>
        <v/>
      </c>
      <c r="AA61" t="inlineStr">
        <is>
          <t>Peach Tree Herb Pouch (Equip)</t>
        </is>
      </c>
      <c r="AB61">
        <f>(IF(ArtifactsInput!$M$35,-1,1)*Summary!$B$3*(((1-Summary!$B$11)*IFERROR(B2541/Summary!$B$24,1)+Summary!$B$11*IFERROR(B2542/Summary!$B$25,1))-1)+ArtifactsInput!$L$35)</f>
        <v/>
      </c>
      <c r="AC61">
        <f>IF(ArtifactsInput!$M$35,Summary!$B$3/(Summary!$B$3-(IF(ArtifactsInput!$M$35,-1,1)*Summary!$B$3*(((1-Summary!$B$11)*IFERROR(B2541/Summary!$B$24,1)+Summary!$B$11*IFERROR(B2542/Summary!$B$25,1))-1)+ArtifactsInput!$L$35))*100,(Summary!$B$3+(IF(ArtifactsInput!$M$35,-1,1)*Summary!$B$3*(((1-Summary!$B$11)*IFERROR(B2541/Summary!$B$24,1)+Summary!$B$11*IFERROR(B2542/Summary!$B$25,1))-1)+ArtifactsInput!$L$35))/Summary!$B$3*100)</f>
        <v/>
      </c>
      <c r="AD61">
        <f>ArtifactsInput!$B$35&lt;&gt;"Not Unlocked"</f>
        <v/>
      </c>
      <c r="AE61">
        <f>IF(AD61,SUMPRODUCT(($AD$33:$AD$68)*($AC$33:$AC$68&gt;AC61))+COUNTIFS($AD$33:AD61,TRUE,$AC$33:AC61,AC61),"")</f>
        <v/>
      </c>
    </row>
    <row r="62">
      <c r="A62">
        <f>IF(30&gt;COUNTIF($AD$33:$AD$68,TRUE),"",INDEX($AA$33:$AA$68,MATCH(30,$AE$33:$AE$68,0)))</f>
        <v/>
      </c>
      <c r="B62">
        <f>IF(30&gt;COUNTIF($AD$33:$AD$68,TRUE),"",INDEX($AB$33:$AB$68,MATCH(30,$AE$33:$AE$68,0)))</f>
        <v/>
      </c>
      <c r="C62">
        <f>IF(30&gt;COUNTIF($AD$33:$AD$68,TRUE),"",INDEX($AC$33:$AC$68,MATCH(30,$AE$33:$AE$68,0)))</f>
        <v/>
      </c>
      <c r="AA62" t="inlineStr">
        <is>
          <t>Candle (Equip)</t>
        </is>
      </c>
      <c r="AB62">
        <f>(IF(ArtifactsInput!$M$36,-1,1)*Summary!$B$3*(((1-Summary!$B$11)*IFERROR(B2586/Summary!$B$24,1)+Summary!$B$11*IFERROR(B2587/Summary!$B$25,1))-1)+ArtifactsInput!$L$36)</f>
        <v/>
      </c>
      <c r="AC62">
        <f>IF(ArtifactsInput!$M$36,Summary!$B$3/(Summary!$B$3-(IF(ArtifactsInput!$M$36,-1,1)*Summary!$B$3*(((1-Summary!$B$11)*IFERROR(B2586/Summary!$B$24,1)+Summary!$B$11*IFERROR(B2587/Summary!$B$25,1))-1)+ArtifactsInput!$L$36))*100,(Summary!$B$3+(IF(ArtifactsInput!$M$36,-1,1)*Summary!$B$3*(((1-Summary!$B$11)*IFERROR(B2586/Summary!$B$24,1)+Summary!$B$11*IFERROR(B2587/Summary!$B$25,1))-1)+ArtifactsInput!$L$36))/Summary!$B$3*100)</f>
        <v/>
      </c>
      <c r="AD62">
        <f>ArtifactsInput!$B$36&lt;&gt;"Not Unlocked"</f>
        <v/>
      </c>
      <c r="AE62">
        <f>IF(AD62,SUMPRODUCT(($AD$33:$AD$68)*($AC$33:$AC$68&gt;AC62))+COUNTIFS($AD$33:AD62,TRUE,$AC$33:AC62,AC62),"")</f>
        <v/>
      </c>
    </row>
    <row r="63">
      <c r="A63">
        <f>IF(31&gt;COUNTIF($AD$33:$AD$68,TRUE),"",INDEX($AA$33:$AA$68,MATCH(31,$AE$33:$AE$68,0)))</f>
        <v/>
      </c>
      <c r="B63">
        <f>IF(31&gt;COUNTIF($AD$33:$AD$68,TRUE),"",INDEX($AB$33:$AB$68,MATCH(31,$AE$33:$AE$68,0)))</f>
        <v/>
      </c>
      <c r="C63">
        <f>IF(31&gt;COUNTIF($AD$33:$AD$68,TRUE),"",INDEX($AC$33:$AC$68,MATCH(31,$AE$33:$AE$68,0)))</f>
        <v/>
      </c>
      <c r="AA63" t="inlineStr">
        <is>
          <t>Alliance Badge (Equip)</t>
        </is>
      </c>
      <c r="AB63">
        <f>(IF(ArtifactsInput!$M$37,-1,1)*Summary!$B$3*(((1-Summary!$B$11)*IFERROR(B2631/Summary!$B$24,1)+Summary!$B$11*IFERROR(B2632/Summary!$B$25,1))-1)+ArtifactsInput!$L$37)</f>
        <v/>
      </c>
      <c r="AC63">
        <f>IF(ArtifactsInput!$M$37,Summary!$B$3/(Summary!$B$3-(IF(ArtifactsInput!$M$37,-1,1)*Summary!$B$3*(((1-Summary!$B$11)*IFERROR(B2631/Summary!$B$24,1)+Summary!$B$11*IFERROR(B2632/Summary!$B$25,1))-1)+ArtifactsInput!$L$37))*100,(Summary!$B$3+(IF(ArtifactsInput!$M$37,-1,1)*Summary!$B$3*(((1-Summary!$B$11)*IFERROR(B2631/Summary!$B$24,1)+Summary!$B$11*IFERROR(B2632/Summary!$B$25,1))-1)+ArtifactsInput!$L$37))/Summary!$B$3*100)</f>
        <v/>
      </c>
      <c r="AD63">
        <f>ArtifactsInput!$B$37&lt;&gt;"Not Unlocked"</f>
        <v/>
      </c>
      <c r="AE63">
        <f>IF(AD63,SUMPRODUCT(($AD$33:$AD$68)*($AC$33:$AC$68&gt;AC63))+COUNTIFS($AD$33:AD63,TRUE,$AC$33:AC63,AC63),"")</f>
        <v/>
      </c>
    </row>
    <row r="64">
      <c r="A64">
        <f>IF(32&gt;COUNTIF($AD$33:$AD$68,TRUE),"",INDEX($AA$33:$AA$68,MATCH(32,$AE$33:$AE$68,0)))</f>
        <v/>
      </c>
      <c r="B64">
        <f>IF(32&gt;COUNTIF($AD$33:$AD$68,TRUE),"",INDEX($AB$33:$AB$68,MATCH(32,$AE$33:$AE$68,0)))</f>
        <v/>
      </c>
      <c r="C64">
        <f>IF(32&gt;COUNTIF($AD$33:$AD$68,TRUE),"",INDEX($AC$33:$AC$68,MATCH(32,$AE$33:$AE$68,0)))</f>
        <v/>
      </c>
      <c r="AA64" t="inlineStr">
        <is>
          <t>Horn Flute (Equip)</t>
        </is>
      </c>
      <c r="AB64">
        <f>(IF(ArtifactsInput!$M$38,-1,1)*Summary!$B$3*(((1-Summary!$B$11)*IFERROR(B2676/Summary!$B$24,1)+Summary!$B$11*IFERROR(B2677/Summary!$B$25,1))-1)+ArtifactsInput!$L$38)</f>
        <v/>
      </c>
      <c r="AC64">
        <f>IF(ArtifactsInput!$M$38,Summary!$B$3/(Summary!$B$3-(IF(ArtifactsInput!$M$38,-1,1)*Summary!$B$3*(((1-Summary!$B$11)*IFERROR(B2676/Summary!$B$24,1)+Summary!$B$11*IFERROR(B2677/Summary!$B$25,1))-1)+ArtifactsInput!$L$38))*100,(Summary!$B$3+(IF(ArtifactsInput!$M$38,-1,1)*Summary!$B$3*(((1-Summary!$B$11)*IFERROR(B2676/Summary!$B$24,1)+Summary!$B$11*IFERROR(B2677/Summary!$B$25,1))-1)+ArtifactsInput!$L$38))/Summary!$B$3*100)</f>
        <v/>
      </c>
      <c r="AD64">
        <f>ArtifactsInput!$B$38&lt;&gt;"Not Unlocked"</f>
        <v/>
      </c>
      <c r="AE64">
        <f>IF(AD64,SUMPRODUCT(($AD$33:$AD$68)*($AC$33:$AC$68&gt;AC64))+COUNTIFS($AD$33:AD64,TRUE,$AC$33:AC64,AC64),"")</f>
        <v/>
      </c>
    </row>
    <row r="65">
      <c r="A65">
        <f>IF(33&gt;COUNTIF($AD$33:$AD$68,TRUE),"",INDEX($AA$33:$AA$68,MATCH(33,$AE$33:$AE$68,0)))</f>
        <v/>
      </c>
      <c r="B65">
        <f>IF(33&gt;COUNTIF($AD$33:$AD$68,TRUE),"",INDEX($AB$33:$AB$68,MATCH(33,$AE$33:$AE$68,0)))</f>
        <v/>
      </c>
      <c r="C65">
        <f>IF(33&gt;COUNTIF($AD$33:$AD$68,TRUE),"",INDEX($AC$33:$AC$68,MATCH(33,$AE$33:$AE$68,0)))</f>
        <v/>
      </c>
      <c r="AA65" t="inlineStr">
        <is>
          <t>Cursed Doll (Equip)</t>
        </is>
      </c>
      <c r="AB65">
        <f>(IF(ArtifactsInput!$M$39,-1,1)*Summary!$B$3*(((1-Summary!$B$11)*IFERROR(B2721/Summary!$B$24,1)+Summary!$B$11*IFERROR(B2722/Summary!$B$25,1))-1)+ArtifactsInput!$L$39)</f>
        <v/>
      </c>
      <c r="AC65">
        <f>IF(ArtifactsInput!$M$39,Summary!$B$3/(Summary!$B$3-(IF(ArtifactsInput!$M$39,-1,1)*Summary!$B$3*(((1-Summary!$B$11)*IFERROR(B2721/Summary!$B$24,1)+Summary!$B$11*IFERROR(B2722/Summary!$B$25,1))-1)+ArtifactsInput!$L$39))*100,(Summary!$B$3+(IF(ArtifactsInput!$M$39,-1,1)*Summary!$B$3*(((1-Summary!$B$11)*IFERROR(B2721/Summary!$B$24,1)+Summary!$B$11*IFERROR(B2722/Summary!$B$25,1))-1)+ArtifactsInput!$L$39))/Summary!$B$3*100)</f>
        <v/>
      </c>
      <c r="AD65">
        <f>ArtifactsInput!$B$39&lt;&gt;"Not Unlocked"</f>
        <v/>
      </c>
      <c r="AE65">
        <f>IF(AD65,SUMPRODUCT(($AD$33:$AD$68)*($AC$33:$AC$68&gt;AC65))+COUNTIFS($AD$33:AD65,TRUE,$AC$33:AC65,AC65),"")</f>
        <v/>
      </c>
    </row>
    <row r="66">
      <c r="A66">
        <f>IF(34&gt;COUNTIF($AD$33:$AD$68,TRUE),"",INDEX($AA$33:$AA$68,MATCH(34,$AE$33:$AE$68,0)))</f>
        <v/>
      </c>
      <c r="B66">
        <f>IF(34&gt;COUNTIF($AD$33:$AD$68,TRUE),"",INDEX($AB$33:$AB$68,MATCH(34,$AE$33:$AE$68,0)))</f>
        <v/>
      </c>
      <c r="C66">
        <f>IF(34&gt;COUNTIF($AD$33:$AD$68,TRUE),"",INDEX($AC$33:$AC$68,MATCH(34,$AE$33:$AE$68,0)))</f>
        <v/>
      </c>
      <c r="AA66" t="inlineStr">
        <is>
          <t>Reindeer's Spear (Equip)</t>
        </is>
      </c>
      <c r="AB66">
        <f>(IF(ArtifactsInput!$M$40,-1,1)*Summary!$B$3*(((1-Summary!$B$11)*IFERROR(B2766/Summary!$B$24,1)+Summary!$B$11*IFERROR(B2767/Summary!$B$25,1))-1)+ArtifactsInput!$L$40)</f>
        <v/>
      </c>
      <c r="AC66">
        <f>IF(ArtifactsInput!$M$40,Summary!$B$3/(Summary!$B$3-(IF(ArtifactsInput!$M$40,-1,1)*Summary!$B$3*(((1-Summary!$B$11)*IFERROR(B2766/Summary!$B$24,1)+Summary!$B$11*IFERROR(B2767/Summary!$B$25,1))-1)+ArtifactsInput!$L$40))*100,(Summary!$B$3+(IF(ArtifactsInput!$M$40,-1,1)*Summary!$B$3*(((1-Summary!$B$11)*IFERROR(B2766/Summary!$B$24,1)+Summary!$B$11*IFERROR(B2767/Summary!$B$25,1))-1)+ArtifactsInput!$L$40))/Summary!$B$3*100)</f>
        <v/>
      </c>
      <c r="AD66">
        <f>ArtifactsInput!$B$40&lt;&gt;"Not Unlocked"</f>
        <v/>
      </c>
      <c r="AE66">
        <f>IF(AD66,SUMPRODUCT(($AD$33:$AD$68)*($AC$33:$AC$68&gt;AC66))+COUNTIFS($AD$33:AD66,TRUE,$AC$33:AC66,AC66),"")</f>
        <v/>
      </c>
    </row>
    <row r="67">
      <c r="A67">
        <f>IF(35&gt;COUNTIF($AD$33:$AD$68,TRUE),"",INDEX($AA$33:$AA$68,MATCH(35,$AE$33:$AE$68,0)))</f>
        <v/>
      </c>
      <c r="B67">
        <f>IF(35&gt;COUNTIF($AD$33:$AD$68,TRUE),"",INDEX($AB$33:$AB$68,MATCH(35,$AE$33:$AE$68,0)))</f>
        <v/>
      </c>
      <c r="C67">
        <f>IF(35&gt;COUNTIF($AD$33:$AD$68,TRUE),"",INDEX($AC$33:$AC$68,MATCH(35,$AE$33:$AE$68,0)))</f>
        <v/>
      </c>
      <c r="AA67" t="inlineStr">
        <is>
          <t>Secret Map (Equip)</t>
        </is>
      </c>
      <c r="AB67">
        <f>(IF(ArtifactsInput!$M$41,-1,1)*Summary!$B$3*(((1-Summary!$B$11)*IFERROR(B2811/Summary!$B$24,1)+Summary!$B$11*IFERROR(B2812/Summary!$B$25,1))-1)+ArtifactsInput!$L$41)</f>
        <v/>
      </c>
      <c r="AC67">
        <f>IF(ArtifactsInput!$M$41,Summary!$B$3/(Summary!$B$3-(IF(ArtifactsInput!$M$41,-1,1)*Summary!$B$3*(((1-Summary!$B$11)*IFERROR(B2811/Summary!$B$24,1)+Summary!$B$11*IFERROR(B2812/Summary!$B$25,1))-1)+ArtifactsInput!$L$41))*100,(Summary!$B$3+(IF(ArtifactsInput!$M$41,-1,1)*Summary!$B$3*(((1-Summary!$B$11)*IFERROR(B2811/Summary!$B$24,1)+Summary!$B$11*IFERROR(B2812/Summary!$B$25,1))-1)+ArtifactsInput!$L$41))/Summary!$B$3*100)</f>
        <v/>
      </c>
      <c r="AD67">
        <f>ArtifactsInput!$B$41&lt;&gt;"Not Unlocked"</f>
        <v/>
      </c>
      <c r="AE67">
        <f>IF(AD67,SUMPRODUCT(($AD$33:$AD$68)*($AC$33:$AC$68&gt;AC67))+COUNTIFS($AD$33:AD67,TRUE,$AC$33:AC67,AC67),"")</f>
        <v/>
      </c>
    </row>
    <row r="68">
      <c r="A68">
        <f>IF(36&gt;COUNTIF($AD$33:$AD$68,TRUE),"",INDEX($AA$33:$AA$68,MATCH(36,$AE$33:$AE$68,0)))</f>
        <v/>
      </c>
      <c r="B68">
        <f>IF(36&gt;COUNTIF($AD$33:$AD$68,TRUE),"",INDEX($AB$33:$AB$68,MATCH(36,$AE$33:$AE$68,0)))</f>
        <v/>
      </c>
      <c r="C68">
        <f>IF(36&gt;COUNTIF($AD$33:$AD$68,TRUE),"",INDEX($AC$33:$AC$68,MATCH(36,$AE$33:$AE$68,0)))</f>
        <v/>
      </c>
      <c r="AA68" t="inlineStr">
        <is>
          <t>Ring of Cycles (Equip)</t>
        </is>
      </c>
      <c r="AB68">
        <f>(IF(ArtifactsInput!$M$42,-1,1)*Summary!$B$3*(((1-Summary!$B$11)*IFERROR(B2856/Summary!$B$24,1)+Summary!$B$11*IFERROR(B2857/Summary!$B$25,1))-1)+ArtifactsInput!$L$42)</f>
        <v/>
      </c>
      <c r="AC68">
        <f>IF(ArtifactsInput!$M$42,Summary!$B$3/(Summary!$B$3-(IF(ArtifactsInput!$M$42,-1,1)*Summary!$B$3*(((1-Summary!$B$11)*IFERROR(B2856/Summary!$B$24,1)+Summary!$B$11*IFERROR(B2857/Summary!$B$25,1))-1)+ArtifactsInput!$L$42))*100,(Summary!$B$3+(IF(ArtifactsInput!$M$42,-1,1)*Summary!$B$3*(((1-Summary!$B$11)*IFERROR(B2856/Summary!$B$24,1)+Summary!$B$11*IFERROR(B2857/Summary!$B$25,1))-1)+ArtifactsInput!$L$42))/Summary!$B$3*100)</f>
        <v/>
      </c>
      <c r="AD68">
        <f>ArtifactsInput!$B$42&lt;&gt;"Not Unlocked"</f>
        <v/>
      </c>
      <c r="AE68">
        <f>IF(AD68,SUMPRODUCT(($AD$33:$AD$68)*($AC$33:$AC$68&gt;AC68))+COUNTIFS($AD$33:AD68,TRUE,$AC$33:AC68,AC68),"")</f>
        <v/>
      </c>
    </row>
    <row r="71">
      <c r="A71" s="6" t="inlineStr">
        <is>
          <t>Stat: Flat DEX</t>
        </is>
      </c>
    </row>
    <row r="72">
      <c r="A72" s="5" t="inlineStr">
        <is>
          <t>Key</t>
        </is>
      </c>
      <c r="B72" s="5" t="inlineStr">
        <is>
          <t>Name</t>
        </is>
      </c>
      <c r="C72" s="5" t="inlineStr">
        <is>
          <t>Unlocked</t>
        </is>
      </c>
      <c r="D72" s="5" t="inlineStr">
        <is>
          <t>InputLevel</t>
        </is>
      </c>
      <c r="E72" s="5" t="inlineStr">
        <is>
          <t>Factor</t>
        </is>
      </c>
      <c r="F72" s="5" t="inlineStr">
        <is>
          <t>CoefficientPercent</t>
        </is>
      </c>
      <c r="G72" s="5" t="inlineStr">
        <is>
          <t>EffectiveHits</t>
        </is>
      </c>
      <c r="H72" s="5" t="inlineStr">
        <is>
          <t>ProcProbability</t>
        </is>
      </c>
      <c r="I72" s="5" t="inlineStr">
        <is>
          <t>MapleHeroMultiplier</t>
        </is>
      </c>
      <c r="J72" s="5" t="inlineStr">
        <is>
          <t>BaseDamage</t>
        </is>
      </c>
      <c r="K72" s="5" t="inlineStr">
        <is>
          <t>BaseHitDamage</t>
        </is>
      </c>
      <c r="L72" s="5" t="inlineStr">
        <is>
          <t>NonCritAvg</t>
        </is>
      </c>
      <c r="M72" s="5" t="inlineStr">
        <is>
          <t>CritAvg</t>
        </is>
      </c>
      <c r="N72" s="5" t="inlineStr">
        <is>
          <t>ExpectedDamage(perHit)</t>
        </is>
      </c>
      <c r="O72" s="5" t="inlineStr">
        <is>
          <t>DPS</t>
        </is>
      </c>
      <c r="P72" s="5" t="inlineStr">
        <is>
          <t>% of Total</t>
        </is>
      </c>
      <c r="Q72" s="5" t="inlineStr">
        <is>
          <t>InvCooldown</t>
        </is>
      </c>
      <c r="R72" s="5" t="inlineStr">
        <is>
          <t>CastsInFight</t>
        </is>
      </c>
      <c r="S72" s="5" t="inlineStr">
        <is>
          <t>HitRate(perSec)</t>
        </is>
      </c>
      <c r="U72" t="inlineStr">
        <is>
          <t>helpers</t>
        </is>
      </c>
    </row>
    <row r="73">
      <c r="A73">
        <f>Skills!A2</f>
        <v/>
      </c>
      <c r="B73">
        <f>Skills!B2</f>
        <v/>
      </c>
      <c r="C73">
        <f>Inputs!$B$3&gt;=100</f>
        <v/>
      </c>
      <c r="D73" t="inlineStr"/>
      <c r="E73" t="inlineStr"/>
      <c r="F73">
        <f>U75+Skills!O2</f>
        <v/>
      </c>
      <c r="G73">
        <f>Skills!G2*IF(Skills!H2&gt;0,Skills!I2/Skills!H2,1)</f>
        <v/>
      </c>
      <c r="H73">
        <f>1-(1-Skills!J2/100)^Skills!K2</f>
        <v/>
      </c>
      <c r="I73" t="inlineStr">
        <is>
          <t>1</t>
        </is>
      </c>
      <c r="J73">
        <f>((Inputs!$B$6*(1+Inputs!$B$7/100))+((((Inputs!$B$12+1)*(1+Inputs!$B$13/100))-(Inputs!$B$12*(1+Inputs!$B$13/100)))+0.25*(Inputs!$B$14-Inputs!$B$14))*(1+Inputs!$B$7/100))*(F73/100)</f>
        <v/>
      </c>
      <c r="K73">
        <f>J73*(1+(((Inputs!$B$12+1)*(1+Inputs!$B$13/100))*0.01+Inputs!$B$14*0.0025)/100)*(1+Inputs!$B$15/100)*(1+Inputs!$B$16/100)*(5000/(6000+Inputs!$B$42*(1-(100*(1-(1-(Inputs!$B$19+0)/100)*(1-CHOOSE(ArtifactsInput!$N$40+1,5,6,7,8,9,10)/100)^(ArtifactsInput!$M$40-ArtifactsInput!$M$40)))/100)))*(1+(Inputs!$B$24+((C95=TRUE)*(F95-Calc!F24))+((C96=TRUE)*(F96-Calc!F25))+B109)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EMPOWERED_PIERCING_ARROW",Inputs!$B$17+((C93=TRUE)*(F93-Calc!F22))+(((IF(AND(ArtifactsInput!$M$42,((Inputs!$B$9+((C90=TRUE)*(F90-Calc!F19))+B103+(ArtifactsInput!$M$24-ArtifactsInput!$M$24)*CHOOSE(ArtifactsInput!$N$24+1,10,12,14,16,18,20)+IF(ArtifactsInput!$M$10,CHOOSE(ArtifactsInput!$N$10+1,15,18,21,24,27,30)*(IF(Inputs!$B$38="pvp",MIN(15,15)/15,IF(AND(Inputs!$B$38&lt;&gt;"pvp",Inputs!$B$43&gt;0),MIN(15,Inputs!$B$43)/(Inputs!$B$43),0))),0)))&gt;=100),MIN(100,((Inputs!$B$9+((C90=TRUE)*(F90-Calc!F19))+B103+(ArtifactsInput!$M$24-ArtifactsInput!$M$24)*CHOOSE(ArtifactsInput!$N$24+1,10,12,14,16,18,20)+IF(ArtifactsInput!$M$10,CHOOSE(ArtifactsInput!$N$10+1,15,18,21,24,27,30)*(IF(Inputs!$B$38="pvp",MIN(15,15)/15,IF(AND(Inputs!$B$38&lt;&gt;"pvp",Inputs!$B$43&gt;0),MIN(15,Inputs!$B$43)/(Inputs!$B$43),0))),0)))-100),0))*CHOOSE(ArtifactsInput!$N$42+1,0.6,0.72,0.84,0.96,1.08,1.2))),Inputs!$B$18+((C98=TRUE)*(F98-Calc!F27))+(IF(AND(ArtifactsInput!$M$42,((Inputs!$B$9+((C90=TRUE)*(F90-Calc!F19))+B103+(ArtifactsInput!$M$24-ArtifactsInput!$M$24)*CHOOSE(ArtifactsInput!$N$24+1,10,12,14,16,18,20)+IF(ArtifactsInput!$M$10,CHOOSE(ArtifactsInput!$N$10+1,15,18,21,24,27,30)*(IF(Inputs!$B$38="pvp",MIN(15,15)/15,IF(AND(Inputs!$B$38&lt;&gt;"pvp",Inputs!$B$43&gt;0),MIN(15,Inputs!$B$43)/(Inputs!$B$43),0))),0)))&gt;=100),CHOOSE(ArtifactsInput!$N$42+1,40,48,56,64,72,80),0))))/100)*((1+(((C84=TRUE)*F84)+((C85=TRUE)*IF(Inputs!$B$38="pvp",F85,(1-Summary!$B$11)*(F85)+Summary!$B$11*(0)))+((C86=TRUE)*F86*IF(AND(Inputs!$B$38&lt;&gt;"pvp",Inputs!$B$43&gt;0),(((R86-1)*(Skills!T15*(1+Inputs!$B$34/100))+MIN((Skills!T15*(1+Inputs!$B$34/100)),MAX(0,Inputs!$B$43-((R86-1)*Skills!D15))))/Inputs!$B$43),IF(Inputs!$B$38="pvp",MIN((Skills!T15*(1+Inputs!$B$34/100)),15)/15,(Skills!T15*(1+Inputs!$B$34/100))/Skills!D15)))+((C83=TRUE)*F83)+((C100=TRUE)*(F100-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73)</f>
        <v/>
      </c>
      <c r="L73">
        <f>K73*(MIN(Inputs!$B$22+((C94=TRUE)*(F94-Calc!F23)),(Inputs!$B$23+((C99=TRUE)*(F99-Calc!F28))+(IF(ArtifactsInput!$M$15,CHOOSE(ArtifactsInput!$N$15+1,25,30,35,40,45,50)/100*(Inputs!$B$11-Inputs!$B$11),0))))/100+(Inputs!$B$23+((C99=TRUE)*(F99-Calc!F28))+(IF(ArtifactsInput!$M$15,CHOOSE(ArtifactsInput!$N$15+1,25,30,35,40,45,50)/100*(Inputs!$B$11-Inputs!$B$11),0)))/100)/2</f>
        <v/>
      </c>
      <c r="M73">
        <f>L73*(1+(Inputs!$B$10+0+B108+(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73">
        <f>L73*(1-MIN((Inputs!$B$9+((C90=TRUE)*(F90-Calc!F19))+B103+(ArtifactsInput!$M$24-ArtifactsInput!$M$24)*CHOOSE(ArtifactsInput!$N$24+1,10,12,14,16,18,20)+(IF(AND(ArtifactsInput!$M$42,((Inputs!$B$9+((C90=TRUE)*(F90-Calc!F19))+B103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73*(MIN((Inputs!$B$9+((C90=TRUE)*(F90-Calc!F19))+B103+(ArtifactsInput!$M$24-ArtifactsInput!$M$24)*CHOOSE(ArtifactsInput!$N$24+1,10,12,14,16,18,20)+(IF(AND(ArtifactsInput!$M$42,((Inputs!$B$9+((C90=TRUE)*(F90-Calc!F19))+B103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73">
        <f>(1-Summary!$B$11)*T73+Summary!$B$11*V73</f>
        <v/>
      </c>
      <c r="P73">
        <f>IF(B113=0,0,O73/B113)</f>
        <v/>
      </c>
      <c r="Q73" t="n">
        <v>0</v>
      </c>
      <c r="R73" t="n">
        <v>0</v>
      </c>
      <c r="S73">
        <f>IFERROR((Skills!G2*N73*B107)/N73*IF(Inputs!$B$38="pvp",1,(1-Summary!$B$11)*1+Summary!$B$11*(MIN((6+Inputs!$B$33),Inputs!$B$37))),0)</f>
        <v/>
      </c>
      <c r="T73">
        <f>IF(C73,(Skills!G2*N73*B107)*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Hunt"),CHOOSE(ArtifactsInput!$N$35+1,15,18,21,24,27,30)*(1-EXP(-(0.2*B105)*5)),0)+IF(AND(ArtifactsInput!$M$22,Inputs!$B$4&lt;&gt;"Chapter Hunt"),CHOOSE(ArtifactsInput!$N$22+1,10,12,14,16,18,20)*((0*(((0.15*B105*5))^0/1)+1*(((0.15*B105*5))^1/1)+2*(((0.15*B105*5))^2/2)+3*(((0.15*B105*5))^3/6)+4*(((0.15*B105*5))^4/24)+5*(((0.15*B105*5))^5/120))/((((0.15*B105*5))^0/1)+(((0.15*B105*5))^1/1)+(((0.15*B105*5))^2/2)+(((0.15*B105*5))^3/6)+(((0.15*B105*5))^4/24)+(((0.15*B105*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73*(1-MIN(100,(Inputs!$B$9+((C90=TRUE)*(F90-Calc!F19))+B103+(ArtifactsInput!$M$24-ArtifactsInput!$M$24)*CHOOSE(ArtifactsInput!$N$24+1,10,12,14,16,18,20)+(IF(AND(ArtifactsInput!$M$42,((Inputs!$B$9+((C90=TRUE)*(F90-Calc!F19))+B103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73*(MIN(100,(Inputs!$B$9+((C90=TRUE)*(F90-Calc!F19))+B103+(ArtifactsInput!$M$24-ArtifactsInput!$M$24)*CHOOSE(ArtifactsInput!$N$24+1,10,12,14,16,18,20)+(IF(AND(ArtifactsInput!$M$42,((Inputs!$B$9+((C90=TRUE)*(F90-Calc!F19))+B103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73*(1-MIN(100,(Inputs!$B$9+((C90=TRUE)*(F90-Calc!F19))+B103+(ArtifactsInput!$M$24-ArtifactsInput!$M$24)*CHOOSE(ArtifactsInput!$N$24+1,10,12,14,16,18,20)+(IF(AND(ArtifactsInput!$M$42,((Inputs!$B$9+((C90=TRUE)*(F90-Calc!F19))+B103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73*(MIN(100,(Inputs!$B$9+((C90=TRUE)*(F90-Calc!F19))+B103+(ArtifactsInput!$M$24-ArtifactsInput!$M$24)*CHOOSE(ArtifactsInput!$N$24+1,10,12,14,16,18,20)+(IF(AND(ArtifactsInput!$M$42,((Inputs!$B$9+((C90=TRUE)*(F90-Calc!F19))+B103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73">
        <f>MAX(0,(Inputs!$B$3-100)*3)+Inputs!$B$28+Inputs!$B$29</f>
        <v/>
      </c>
      <c r="V73">
        <f>IF(C73,(Skills!G2*N73*B107)*IF(Inputs!$B$38="pvp",1,(1+(Inputs!$B$21+Skills!Q2+(IF(ArtifactsInput!$M$33,CHOOSE(ArtifactsInput!$N$33+1,30,36,42,48,54,60),0))+(IF(AND(ArtifactsInput!$M$35,Inputs!$B$4&lt;&gt;"Chapter Hunt"),CHOOSE(ArtifactsInput!$N$35+1,15,18,21,24,27,30)*(1-EXP(-(0.2*B105)*5)),0)+IF(AND(ArtifactsInput!$M$22,Inputs!$B$4&lt;&gt;"Chapter Hunt"),CHOOSE(ArtifactsInput!$N$22+1,10,12,14,16,18,20)*((0*(((0.15*B105*5))^0/1)+1*(((0.15*B105*5))^1/1)+2*(((0.15*B105*5))^2/2)+3*(((0.15*B105*5))^3/6)+4*(((0.15*B105*5))^4/24)+5*(((0.15*B105*5))^5/120))/((((0.15*B105*5))^0/1)+(((0.15*B105*5))^1/1)+(((0.15*B105*5))^2/2)+(((0.15*B105*5))^3/6)+(((0.15*B105*5))^4/24)+(((0.15*B105*5))^5/120)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74">
      <c r="A74">
        <f>Skills!A3</f>
        <v/>
      </c>
      <c r="B74">
        <f>Skills!B3</f>
        <v/>
      </c>
      <c r="C74">
        <f>Inputs!$B$3&gt;=50</f>
        <v/>
      </c>
      <c r="D74">
        <f>IF(Skills!C3=1,60+Inputs!$B$25+Inputs!$B$29,IF(Skills!C3=2,90+Inputs!$B$26+Inputs!$B$29,IF(Skills!C3=3,120+Inputs!$B$27+Inputs!$B$29,MAX(0,(Inputs!$B$3-100)*3)+Inputs!$B$28+Inputs!$B$29)))</f>
        <v/>
      </c>
      <c r="E74">
        <f>INDEX(FactorTable!$B$2:$Y$301, MATCH(ROUND(MIN(300,MAX(1,D74)),0), FactorTable!$A$2:$A$301,0), Skills!M3+1)</f>
        <v/>
      </c>
      <c r="F74">
        <f>IF(Skills!N3=TRUE,(Skills!L3/10)*(E74/1000),Skills!L3/10)+Skills!O3</f>
        <v/>
      </c>
      <c r="G74" t="inlineStr"/>
      <c r="H74" t="inlineStr"/>
      <c r="I74" t="inlineStr">
        <is>
          <t>1</t>
        </is>
      </c>
      <c r="J74" t="inlineStr"/>
      <c r="K74" t="inlineStr"/>
      <c r="L74" t="inlineStr"/>
      <c r="M74" t="inlineStr"/>
      <c r="N74" t="inlineStr"/>
      <c r="O74" t="inlineStr"/>
      <c r="P74" t="inlineStr"/>
      <c r="Q74" t="inlineStr"/>
      <c r="R74" t="inlineStr"/>
      <c r="S74" t="inlineStr"/>
      <c r="T74" t="inlineStr"/>
      <c r="U74">
        <f>INDEX(FactorTable!$B$2:$Y$301, MATCH(ROUND(MIN(300,MAX(1,U73)),0), FactorTable!$A$2:$A$301,0), 22)</f>
        <v/>
      </c>
      <c r="V74" t="inlineStr"/>
    </row>
    <row r="75">
      <c r="A75">
        <f>Skills!A4</f>
        <v/>
      </c>
      <c r="B75">
        <f>Skills!B4</f>
        <v/>
      </c>
      <c r="C75">
        <f>Inputs!$B$3&gt;=105</f>
        <v/>
      </c>
      <c r="D75">
        <f>IF(Skills!C4=1,60+Inputs!$B$25+Inputs!$B$29,IF(Skills!C4=2,90+Inputs!$B$26+Inputs!$B$29,IF(Skills!C4=3,120+Inputs!$B$27+Inputs!$B$29,MAX(0,(Inputs!$B$3-100)*3)+Inputs!$B$28+Inputs!$B$29)))</f>
        <v/>
      </c>
      <c r="E75">
        <f>INDEX(FactorTable!$B$2:$Y$301, MATCH(ROUND(MIN(300,MAX(1,D75)),0), FactorTable!$A$2:$A$301,0), Skills!M4+1)</f>
        <v/>
      </c>
      <c r="F75">
        <f>IF(Skills!N4=TRUE,(Skills!L4/10)*(E75/1000),Skills!L4/10)+Skills!O4</f>
        <v/>
      </c>
      <c r="G75" t="inlineStr"/>
      <c r="H75" t="inlineStr"/>
      <c r="I75" t="inlineStr">
        <is>
          <t>1</t>
        </is>
      </c>
      <c r="J75" t="inlineStr"/>
      <c r="K75" t="inlineStr"/>
      <c r="L75" t="inlineStr"/>
      <c r="M75" t="inlineStr"/>
      <c r="N75" t="inlineStr"/>
      <c r="O75" t="inlineStr"/>
      <c r="P75" t="inlineStr"/>
      <c r="Q75" t="inlineStr"/>
      <c r="R75" t="inlineStr"/>
      <c r="S75" t="inlineStr"/>
      <c r="T75" t="inlineStr"/>
      <c r="U75">
        <f>290*U74/1000</f>
        <v/>
      </c>
      <c r="V75" t="inlineStr"/>
    </row>
    <row r="76">
      <c r="A76">
        <f>Skills!A5</f>
        <v/>
      </c>
      <c r="B76">
        <f>Skills!B5</f>
        <v/>
      </c>
      <c r="C76">
        <f>Inputs!$B$3&gt;=35</f>
        <v/>
      </c>
      <c r="D76">
        <f>IF(Skills!C5=1,60+Inputs!$B$25+Inputs!$B$29,IF(Skills!C5=2,90+Inputs!$B$26+Inputs!$B$29,IF(Skills!C5=3,120+Inputs!$B$27+Inputs!$B$29,MAX(0,(Inputs!$B$3-100)*3)+Inputs!$B$28+Inputs!$B$29)))</f>
        <v/>
      </c>
      <c r="E76">
        <f>INDEX(FactorTable!$B$2:$Y$301, MATCH(ROUND(MIN(300,MAX(1,D76)),0), FactorTable!$A$2:$A$301,0), Skills!M5+1)</f>
        <v/>
      </c>
      <c r="F76">
        <f>IF(Skills!N5=TRUE,(Skills!L5/10)*(E76/1000),Skills!L5/10)+Skills!O5</f>
        <v/>
      </c>
      <c r="G76">
        <f>Skills!G5*IF(Skills!H5&gt;0,Skills!I5/Skills!H5,1)</f>
        <v/>
      </c>
      <c r="H76">
        <f>1-(1-Skills!J5/100)^Skills!K5</f>
        <v/>
      </c>
      <c r="I76" t="inlineStr">
        <is>
          <t>1</t>
        </is>
      </c>
      <c r="J76">
        <f>((Inputs!$B$6*(1+Inputs!$B$7/100))+((((Inputs!$B$12+1)*(1+Inputs!$B$13/100))-(Inputs!$B$12*(1+Inputs!$B$13/100)))+0.25*(Inputs!$B$14-Inputs!$B$14))*(1+Inputs!$B$7/100))*(F76/100)</f>
        <v/>
      </c>
      <c r="K76">
        <f>J76*(1+(((Inputs!$B$12+1)*(1+Inputs!$B$13/100))*0.01+Inputs!$B$14*0.0025)/100)*(1+Inputs!$B$15/100)*(1+Inputs!$B$16/100)*(5000/(6000+Inputs!$B$42*(1-(100*(1-(1-(Inputs!$B$19+0)/100)*(1-CHOOSE(ArtifactsInput!$N$40+1,5,6,7,8,9,10)/100)^(ArtifactsInput!$M$40-ArtifactsInput!$M$40)))/100)))*(1+(Inputs!$B$24+((C95=TRUE)*(F95-Calc!F24))+((C96=TRUE)*(F96-Calc!F25))+B109)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79=TRUE,F79,0)/100)*(1+(IF(Skills!A5="EMPOWERED_PIERCING_ARROW",Inputs!$B$17+((C93=TRUE)*(F93-Calc!F22))+(((IF(AND(ArtifactsInput!$M$42,((Inputs!$B$9+((C90=TRUE)*(F90-Calc!F19))+B103+(ArtifactsInput!$M$24-ArtifactsInput!$M$24)*CHOOSE(ArtifactsInput!$N$24+1,10,12,14,16,18,20)+IF(ArtifactsInput!$M$10,CHOOSE(ArtifactsInput!$N$10+1,15,18,21,24,27,30)*(IF(Inputs!$B$38="pvp",MIN(15,15)/15,IF(AND(Inputs!$B$38&lt;&gt;"pvp",Inputs!$B$43&gt;0),MIN(15,Inputs!$B$43)/(Inputs!$B$43),0))),0)))&gt;=100),MIN(100,((Inputs!$B$9+((C90=TRUE)*(F90-Calc!F19))+B103+(ArtifactsInput!$M$24-ArtifactsInput!$M$24)*CHOOSE(ArtifactsInput!$N$24+1,10,12,14,16,18,20)+IF(ArtifactsInput!$M$10,CHOOSE(ArtifactsInput!$N$10+1,15,18,21,24,27,30)*(IF(Inputs!$B$38="pvp",MIN(15,15)/15,IF(AND(Inputs!$B$38&lt;&gt;"pvp",Inputs!$B$43&gt;0),MIN(15,Inputs!$B$43)/(Inputs!$B$43),0))),0)))-100),0))*CHOOSE(ArtifactsInput!$N$42+1,0.6,0.72,0.84,0.96,1.08,1.2))),Inputs!$B$18+((C98=TRUE)*(F98-Calc!F27))+(IF(AND(ArtifactsInput!$M$42,((Inputs!$B$9+((C90=TRUE)*(F90-Calc!F19))+B103+(ArtifactsInput!$M$24-ArtifactsInput!$M$24)*CHOOSE(ArtifactsInput!$N$24+1,10,12,14,16,18,20)+IF(ArtifactsInput!$M$10,CHOOSE(ArtifactsInput!$N$10+1,15,18,21,24,27,30)*(IF(Inputs!$B$38="pvp",MIN(15,15)/15,IF(AND(Inputs!$B$38&lt;&gt;"pvp",Inputs!$B$43&gt;0),MIN(15,Inputs!$B$43)/(Inputs!$B$43),0))),0)))&gt;=100),CHOOSE(ArtifactsInput!$N$42+1,40,48,56,64,72,80),0))))/100)*((1+(((C84=TRUE)*F84)+((C85=TRUE)*IF(Inputs!$B$38="pvp",F85,(1-Summary!$B$11)*(F85)+Summary!$B$11*(0)))+((C86=TRUE)*F86*IF(AND(Inputs!$B$38&lt;&gt;"pvp",Inputs!$B$43&gt;0),(((R86-1)*(Skills!T15*(1+Inputs!$B$34/100))+MIN((Skills!T15*(1+Inputs!$B$34/100)),MAX(0,Inputs!$B$43-((R86-1)*Skills!D15))))/Inputs!$B$43),IF(Inputs!$B$38="pvp",MIN((Skills!T15*(1+Inputs!$B$34/100)),15)/15,(Skills!T15*(1+Inputs!$B$34/100))/Skills!D15)))+((C83=TRUE)*F83)+((C100=TRUE)*(F100-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76)</f>
        <v/>
      </c>
      <c r="L76">
        <f>K76*(MIN(Inputs!$B$22+((C94=TRUE)*(F94-Calc!F23)),(Inputs!$B$23+((C99=TRUE)*(F99-Calc!F28))+(IF(ArtifactsInput!$M$15,CHOOSE(ArtifactsInput!$N$15+1,25,30,35,40,45,50)/100*(Inputs!$B$11-Inputs!$B$11),0))))/100+(Inputs!$B$23+((C99=TRUE)*(F99-Calc!F28))+(IF(ArtifactsInput!$M$15,CHOOSE(ArtifactsInput!$N$15+1,25,30,35,40,45,50)/100*(Inputs!$B$11-Inputs!$B$11),0)))/100)/2</f>
        <v/>
      </c>
      <c r="M76">
        <f>L76*(1+(Inputs!$B$10+0+B108+(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76">
        <f>L76*(1-MIN((Inputs!$B$9+((C90=TRUE)*(F90-Calc!F19))+B103+(ArtifactsInput!$M$24-ArtifactsInput!$M$24)*CHOOSE(ArtifactsInput!$N$24+1,10,12,14,16,18,20)+(IF(AND(ArtifactsInput!$M$42,((Inputs!$B$9+((C90=TRUE)*(F90-Calc!F19))+B103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76*(MIN((Inputs!$B$9+((C90=TRUE)*(F90-Calc!F19))+B103+(ArtifactsInput!$M$24-ArtifactsInput!$M$24)*CHOOSE(ArtifactsInput!$N$24+1,10,12,14,16,18,20)+(IF(AND(ArtifactsInput!$M$42,((Inputs!$B$9+((C90=TRUE)*(F90-Calc!F19))+B103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76">
        <f>(1-Summary!$B$11)*T76+Summary!$B$11*V76</f>
        <v/>
      </c>
      <c r="P76">
        <f>IF(B113=0,0,O76/B113)</f>
        <v/>
      </c>
      <c r="Q76">
        <f>IFERROR(1/IF(Inputs!$B$38="pvp",15,MAX(0.1,Skills!D5-IF(Skills!E5=TRUE,Inputs!$B$32,0))),0)</f>
        <v/>
      </c>
      <c r="R76">
        <f>IF(AND(Inputs!$B$38&lt;&gt;"pvp",Inputs!$B$43&gt;0),IF(MAX(0,Inputs!$B$43-B110)&lt;=0,0,(INT(MAX(0,Inputs!$B$43-B110)/IF(Inputs!$B$38="pvp",15,MAX(0.1,Skills!D5-IF(Skills!E5=TRUE,Inputs!$B$32,0))))+1)),0)</f>
        <v/>
      </c>
      <c r="S76">
        <f>IFERROR((H76*N76*IF(AND(Inputs!$B$38&lt;&gt;"pvp",Inputs!$B$43&gt;0),((Skills!G5*((R76-1)*IF(Skills!H5&gt;0,Skills!I5/Skills!H5,1)+IF(Skills!H5&gt;0,MIN(Skills!I5,MAX(0,MAX(0,Inputs!$B$43-B110)-((R76-1)*IF(Inputs!$B$38="pvp",15,MAX(0.1,Skills!D5-IF(Skills!E5=TRUE,Inputs!$B$32,0))))))/Skills!H5,1)))/Inputs!$B$43),G76*Q76))/N76*IF(Inputs!$B$38="pvp",1,(1-Summary!$B$11)*1+Summary!$B$11*(MIN(Skills!R5,Inputs!$B$37))),0)</f>
        <v/>
      </c>
      <c r="T76">
        <f>IF(C76,(H76*N76*IF(AND(Inputs!$B$38&lt;&gt;"pvp",Inputs!$B$43&gt;0),((Skills!G5*((R76-1)*IF(Skills!H5&gt;0,Skills!I5/Skills!H5,1)+IF(Skills!H5&gt;0,MIN(Skills!I5,MAX(0,MAX(0,Inputs!$B$43-B110)-((R76-1)*IF(Inputs!$B$38="pvp",15,MAX(0.1,Skills!D5-IF(Skills!E5=TRUE,Inputs!$B$32,0))))))/Skills!H5,1)))/Inputs!$B$43),G76*Q76))*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Hunt"),CHOOSE(ArtifactsInput!$N$35+1,15,18,21,24,27,30)*(1-EXP(-(0.2*B105)*5)),0)+IF(AND(ArtifactsInput!$M$22,Inputs!$B$4&lt;&gt;"Chapter Hunt"),CHOOSE(ArtifactsInput!$N$22+1,10,12,14,16,18,20)*((0*(((0.15*B105*5))^0/1)+1*(((0.15*B105*5))^1/1)+2*(((0.15*B105*5))^2/2)+3*(((0.15*B105*5))^3/6)+4*(((0.15*B105*5))^4/24)+5*(((0.15*B105*5))^5/120))/((((0.15*B105*5))^0/1)+(((0.15*B105*5))^1/1)+(((0.15*B105*5))^2/2)+(((0.15*B105*5))^3/6)+(((0.15*B105*5))^4/24)+(((0.15*B105*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76*(1-MIN(100,(Inputs!$B$9+((C90=TRUE)*(F90-Calc!F19))+B103+(ArtifactsInput!$M$24-ArtifactsInput!$M$24)*CHOOSE(ArtifactsInput!$N$24+1,10,12,14,16,18,20)+(IF(AND(ArtifactsInput!$M$42,((Inputs!$B$9+((C90=TRUE)*(F90-Calc!F19))+B103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76*(MIN(100,(Inputs!$B$9+((C90=TRUE)*(F90-Calc!F19))+B103+(ArtifactsInput!$M$24-ArtifactsInput!$M$24)*CHOOSE(ArtifactsInput!$N$24+1,10,12,14,16,18,20)+(IF(AND(ArtifactsInput!$M$42,((Inputs!$B$9+((C90=TRUE)*(F90-Calc!F19))+B103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76*(1-MIN(100,(Inputs!$B$9+((C90=TRUE)*(F90-Calc!F19))+B103+(ArtifactsInput!$M$24-ArtifactsInput!$M$24)*CHOOSE(ArtifactsInput!$N$24+1,10,12,14,16,18,20)+(IF(AND(ArtifactsInput!$M$42,((Inputs!$B$9+((C90=TRUE)*(F90-Calc!F19))+B103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76*(MIN(100,(Inputs!$B$9+((C90=TRUE)*(F90-Calc!F19))+B103+(ArtifactsInput!$M$24-ArtifactsInput!$M$24)*CHOOSE(ArtifactsInput!$N$24+1,10,12,14,16,18,20)+(IF(AND(ArtifactsInput!$M$42,((Inputs!$B$9+((C90=TRUE)*(F90-Calc!F19))+B103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76">
        <f>IF(C76,(H76*N76*IF(AND(Inputs!$B$38&lt;&gt;"pvp",Inputs!$B$43&gt;0),((Skills!G5*((R76-1)*IF(Skills!H5&gt;0,Skills!I5/Skills!H5,1)+IF(Skills!H5&gt;0,MIN(Skills!I5,MAX(0,MAX(0,Inputs!$B$43-B110)-((R76-1)*IF(Inputs!$B$38="pvp",15,MAX(0.1,Skills!D5-IF(Skills!E5=TRUE,Inputs!$B$32,0))))))/Skills!H5,1)))/Inputs!$B$43),G76*Q76))*IF(Inputs!$B$38="pvp",1,(1+(Inputs!$B$21+Skills!Q5+(IF(ArtifactsInput!$M$33,CHOOSE(ArtifactsInput!$N$33+1,30,36,42,48,54,60),0))+(IF(AND(ArtifactsInput!$M$35,Inputs!$B$4&lt;&gt;"Chapter Hunt"),CHOOSE(ArtifactsInput!$N$35+1,15,18,21,24,27,30)*(1-EXP(-(0.2*B105)*5)),0)+IF(AND(ArtifactsInput!$M$22,Inputs!$B$4&lt;&gt;"Chapter Hunt"),CHOOSE(ArtifactsInput!$N$22+1,10,12,14,16,18,20)*((0*(((0.15*B105*5))^0/1)+1*(((0.15*B105*5))^1/1)+2*(((0.15*B105*5))^2/2)+3*(((0.15*B105*5))^3/6)+4*(((0.15*B105*5))^4/24)+5*(((0.15*B105*5))^5/120))/((((0.15*B105*5))^0/1)+(((0.15*B105*5))^1/1)+(((0.15*B105*5))^2/2)+(((0.15*B105*5))^3/6)+(((0.15*B105*5))^4/24)+(((0.15*B105*5))^5/120)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77">
      <c r="A77">
        <f>Skills!A6</f>
        <v/>
      </c>
      <c r="B77">
        <f>Skills!B6</f>
        <v/>
      </c>
      <c r="C77">
        <f>Inputs!$B$3&gt;=63</f>
        <v/>
      </c>
      <c r="D77">
        <f>IF(Skills!C6=1,60+Inputs!$B$25+Inputs!$B$29,IF(Skills!C6=2,90+Inputs!$B$26+Inputs!$B$29,IF(Skills!C6=3,120+Inputs!$B$27+Inputs!$B$29,MAX(0,(Inputs!$B$3-100)*3)+Inputs!$B$28+Inputs!$B$29)))</f>
        <v/>
      </c>
      <c r="E77">
        <f>INDEX(FactorTable!$B$2:$Y$301, MATCH(ROUND(MIN(300,MAX(1,D77)),0), FactorTable!$A$2:$A$301,0), Skills!M6+1)</f>
        <v/>
      </c>
      <c r="F77">
        <f>IF(Skills!N6=TRUE,(Skills!L6/10)*(E77/1000),Skills!L6/10)+Skills!O6</f>
        <v/>
      </c>
      <c r="G77">
        <f>Skills!G6*IF(Skills!H6&gt;0,Skills!I6/Skills!H6,1)</f>
        <v/>
      </c>
      <c r="H77">
        <f>1-(1-Skills!J6/100)^Skills!K6</f>
        <v/>
      </c>
      <c r="I77" t="inlineStr">
        <is>
          <t>1</t>
        </is>
      </c>
      <c r="J77">
        <f>((Inputs!$B$6*(1+Inputs!$B$7/100))+((((Inputs!$B$12+1)*(1+Inputs!$B$13/100))-(Inputs!$B$12*(1+Inputs!$B$13/100)))+0.25*(Inputs!$B$14-Inputs!$B$14))*(1+Inputs!$B$7/100))*(F77/100)</f>
        <v/>
      </c>
      <c r="K77">
        <f>J77*(1+(((Inputs!$B$12+1)*(1+Inputs!$B$13/100))*0.01+Inputs!$B$14*0.0025)/100)*(1+Inputs!$B$15/100)*(1+Inputs!$B$16/100)*(5000/(6000+Inputs!$B$42*(1-(100*(1-(1-(Inputs!$B$19+0)/100)*(1-CHOOSE(ArtifactsInput!$N$40+1,5,6,7,8,9,10)/100)^(ArtifactsInput!$M$40-ArtifactsInput!$M$40)))/100)))*(1+(Inputs!$B$24+((C95=TRUE)*(F95-Calc!F24))+((C96=TRUE)*(F96-Calc!F25))+B109)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79=TRUE,F79,0)/100)*(1+(IF(Skills!A6="EMPOWERED_PIERCING_ARROW",Inputs!$B$17+((C93=TRUE)*(F93-Calc!F22))+(((IF(AND(ArtifactsInput!$M$42,((Inputs!$B$9+((C90=TRUE)*(F90-Calc!F19))+B103+(ArtifactsInput!$M$24-ArtifactsInput!$M$24)*CHOOSE(ArtifactsInput!$N$24+1,10,12,14,16,18,20)+IF(ArtifactsInput!$M$10,CHOOSE(ArtifactsInput!$N$10+1,15,18,21,24,27,30)*(IF(Inputs!$B$38="pvp",MIN(15,15)/15,IF(AND(Inputs!$B$38&lt;&gt;"pvp",Inputs!$B$43&gt;0),MIN(15,Inputs!$B$43)/(Inputs!$B$43),0))),0)))&gt;=100),MIN(100,((Inputs!$B$9+((C90=TRUE)*(F90-Calc!F19))+B103+(ArtifactsInput!$M$24-ArtifactsInput!$M$24)*CHOOSE(ArtifactsInput!$N$24+1,10,12,14,16,18,20)+IF(ArtifactsInput!$M$10,CHOOSE(ArtifactsInput!$N$10+1,15,18,21,24,27,30)*(IF(Inputs!$B$38="pvp",MIN(15,15)/15,IF(AND(Inputs!$B$38&lt;&gt;"pvp",Inputs!$B$43&gt;0),MIN(15,Inputs!$B$43)/(Inputs!$B$43),0))),0)))-100),0))*CHOOSE(ArtifactsInput!$N$42+1,0.6,0.72,0.84,0.96,1.08,1.2))),Inputs!$B$18+((C98=TRUE)*(F98-Calc!F27))+(IF(AND(ArtifactsInput!$M$42,((Inputs!$B$9+((C90=TRUE)*(F90-Calc!F19))+B103+(ArtifactsInput!$M$24-ArtifactsInput!$M$24)*CHOOSE(ArtifactsInput!$N$24+1,10,12,14,16,18,20)+IF(ArtifactsInput!$M$10,CHOOSE(ArtifactsInput!$N$10+1,15,18,21,24,27,30)*(IF(Inputs!$B$38="pvp",MIN(15,15)/15,IF(AND(Inputs!$B$38&lt;&gt;"pvp",Inputs!$B$43&gt;0),MIN(15,Inputs!$B$43)/(Inputs!$B$43),0))),0)))&gt;=100),CHOOSE(ArtifactsInput!$N$42+1,40,48,56,64,72,80),0))))/100)*((1+(((C84=TRUE)*F84)+((C85=TRUE)*IF(Inputs!$B$38="pvp",F85,(1-Summary!$B$11)*(F85)+Summary!$B$11*(0)))+((C86=TRUE)*F86*IF(AND(Inputs!$B$38&lt;&gt;"pvp",Inputs!$B$43&gt;0),(((R86-1)*(Skills!T15*(1+Inputs!$B$34/100))+MIN((Skills!T15*(1+Inputs!$B$34/100)),MAX(0,Inputs!$B$43-((R86-1)*Skills!D15))))/Inputs!$B$43),IF(Inputs!$B$38="pvp",MIN((Skills!T15*(1+Inputs!$B$34/100)),15)/15,(Skills!T15*(1+Inputs!$B$34/100))/Skills!D15)))+((C83=TRUE)*F83)+((C100=TRUE)*(F100-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77)</f>
        <v/>
      </c>
      <c r="L77">
        <f>K77*(MIN(Inputs!$B$22+((C94=TRUE)*(F94-Calc!F23)),(Inputs!$B$23+((C99=TRUE)*(F99-Calc!F28))+(IF(ArtifactsInput!$M$15,CHOOSE(ArtifactsInput!$N$15+1,25,30,35,40,45,50)/100*(Inputs!$B$11-Inputs!$B$11),0))))/100+(Inputs!$B$23+((C99=TRUE)*(F99-Calc!F28))+(IF(ArtifactsInput!$M$15,CHOOSE(ArtifactsInput!$N$15+1,25,30,35,40,45,50)/100*(Inputs!$B$11-Inputs!$B$11),0)))/100)/2</f>
        <v/>
      </c>
      <c r="M77">
        <f>L77*(1+(Inputs!$B$10+0+B108+(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77">
        <f>L77*(1-MIN((Inputs!$B$9+((C90=TRUE)*(F90-Calc!F19))+B103+(ArtifactsInput!$M$24-ArtifactsInput!$M$24)*CHOOSE(ArtifactsInput!$N$24+1,10,12,14,16,18,20)+(IF(AND(ArtifactsInput!$M$42,((Inputs!$B$9+((C90=TRUE)*(F90-Calc!F19))+B103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77*(MIN((Inputs!$B$9+((C90=TRUE)*(F90-Calc!F19))+B103+(ArtifactsInput!$M$24-ArtifactsInput!$M$24)*CHOOSE(ArtifactsInput!$N$24+1,10,12,14,16,18,20)+(IF(AND(ArtifactsInput!$M$42,((Inputs!$B$9+((C90=TRUE)*(F90-Calc!F19))+B103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77">
        <f>(1-Summary!$B$11)*T77+Summary!$B$11*V77</f>
        <v/>
      </c>
      <c r="P77">
        <f>IF(B113=0,0,O77/B113)</f>
        <v/>
      </c>
      <c r="Q77">
        <f>IFERROR(1/IF(Inputs!$B$38="pvp",15,MAX(0.1,Skills!D6-IF(Skills!E6=TRUE,Inputs!$B$32,0))),0)</f>
        <v/>
      </c>
      <c r="R77">
        <f>IF(AND(Inputs!$B$38&lt;&gt;"pvp",Inputs!$B$43&gt;0),IF(MAX(0,Inputs!$B$43-B110)&lt;=0,0,(INT(MAX(0,Inputs!$B$43-B110)/IF(Inputs!$B$38="pvp",15,MAX(0.1,Skills!D6-IF(Skills!E6=TRUE,Inputs!$B$32,0))))+1)),0)</f>
        <v/>
      </c>
      <c r="S77">
        <f>IFERROR((H77*N77*IF(AND(Inputs!$B$38&lt;&gt;"pvp",Inputs!$B$43&gt;0),((Skills!G6*((R77-1)*IF(Skills!H6&gt;0,Skills!I6/Skills!H6,1)+IF(Skills!H6&gt;0,MIN(Skills!I6,MAX(0,MAX(0,Inputs!$B$43-B110)-((R77-1)*IF(Inputs!$B$38="pvp",15,MAX(0.1,Skills!D6-IF(Skills!E6=TRUE,Inputs!$B$32,0))))))/Skills!H6,1)))/Inputs!$B$43),G77*Q77))/N77*IF(Inputs!$B$38="pvp",1,(1-Summary!$B$11)*1+Summary!$B$11*(MIN(Skills!R6,Inputs!$B$37))),0)</f>
        <v/>
      </c>
      <c r="T77">
        <f>IF(C77,(H77*N77*IF(AND(Inputs!$B$38&lt;&gt;"pvp",Inputs!$B$43&gt;0),((Skills!G6*((R77-1)*IF(Skills!H6&gt;0,Skills!I6/Skills!H6,1)+IF(Skills!H6&gt;0,MIN(Skills!I6,MAX(0,MAX(0,Inputs!$B$43-B110)-((R77-1)*IF(Inputs!$B$38="pvp",15,MAX(0.1,Skills!D6-IF(Skills!E6=TRUE,Inputs!$B$32,0))))))/Skills!H6,1)))/Inputs!$B$43),G77*Q77))*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Hunt"),CHOOSE(ArtifactsInput!$N$35+1,15,18,21,24,27,30)*(1-EXP(-(0.2*B105)*5)),0)+IF(AND(ArtifactsInput!$M$22,Inputs!$B$4&lt;&gt;"Chapter Hunt"),CHOOSE(ArtifactsInput!$N$22+1,10,12,14,16,18,20)*((0*(((0.15*B105*5))^0/1)+1*(((0.15*B105*5))^1/1)+2*(((0.15*B105*5))^2/2)+3*(((0.15*B105*5))^3/6)+4*(((0.15*B105*5))^4/24)+5*(((0.15*B105*5))^5/120))/((((0.15*B105*5))^0/1)+(((0.15*B105*5))^1/1)+(((0.15*B105*5))^2/2)+(((0.15*B105*5))^3/6)+(((0.15*B105*5))^4/24)+(((0.15*B105*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77*(1-MIN(100,(Inputs!$B$9+((C90=TRUE)*(F90-Calc!F19))+B103+(ArtifactsInput!$M$24-ArtifactsInput!$M$24)*CHOOSE(ArtifactsInput!$N$24+1,10,12,14,16,18,20)+(IF(AND(ArtifactsInput!$M$42,((Inputs!$B$9+((C90=TRUE)*(F90-Calc!F19))+B103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77*(MIN(100,(Inputs!$B$9+((C90=TRUE)*(F90-Calc!F19))+B103+(ArtifactsInput!$M$24-ArtifactsInput!$M$24)*CHOOSE(ArtifactsInput!$N$24+1,10,12,14,16,18,20)+(IF(AND(ArtifactsInput!$M$42,((Inputs!$B$9+((C90=TRUE)*(F90-Calc!F19))+B103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77*(1-MIN(100,(Inputs!$B$9+((C90=TRUE)*(F90-Calc!F19))+B103+(ArtifactsInput!$M$24-ArtifactsInput!$M$24)*CHOOSE(ArtifactsInput!$N$24+1,10,12,14,16,18,20)+(IF(AND(ArtifactsInput!$M$42,((Inputs!$B$9+((C90=TRUE)*(F90-Calc!F19))+B103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77*(MIN(100,(Inputs!$B$9+((C90=TRUE)*(F90-Calc!F19))+B103+(ArtifactsInput!$M$24-ArtifactsInput!$M$24)*CHOOSE(ArtifactsInput!$N$24+1,10,12,14,16,18,20)+(IF(AND(ArtifactsInput!$M$42,((Inputs!$B$9+((C90=TRUE)*(F90-Calc!F19))+B103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77">
        <f>IF(C77,(H77*N77*IF(AND(Inputs!$B$38&lt;&gt;"pvp",Inputs!$B$43&gt;0),((Skills!G6*((R77-1)*IF(Skills!H6&gt;0,Skills!I6/Skills!H6,1)+IF(Skills!H6&gt;0,MIN(Skills!I6,MAX(0,MAX(0,Inputs!$B$43-B110)-((R77-1)*IF(Inputs!$B$38="pvp",15,MAX(0.1,Skills!D6-IF(Skills!E6=TRUE,Inputs!$B$32,0))))))/Skills!H6,1)))/Inputs!$B$43),G77*Q77))*IF(Inputs!$B$38="pvp",1,(1+(Inputs!$B$21+Skills!Q6+(IF(ArtifactsInput!$M$33,CHOOSE(ArtifactsInput!$N$33+1,30,36,42,48,54,60),0))+(IF(AND(ArtifactsInput!$M$35,Inputs!$B$4&lt;&gt;"Chapter Hunt"),CHOOSE(ArtifactsInput!$N$35+1,15,18,21,24,27,30)*(1-EXP(-(0.2*B105)*5)),0)+IF(AND(ArtifactsInput!$M$22,Inputs!$B$4&lt;&gt;"Chapter Hunt"),CHOOSE(ArtifactsInput!$N$22+1,10,12,14,16,18,20)*((0*(((0.15*B105*5))^0/1)+1*(((0.15*B105*5))^1/1)+2*(((0.15*B105*5))^2/2)+3*(((0.15*B105*5))^3/6)+4*(((0.15*B105*5))^4/24)+5*(((0.15*B105*5))^5/120))/((((0.15*B105*5))^0/1)+(((0.15*B105*5))^1/1)+(((0.15*B105*5))^2/2)+(((0.15*B105*5))^3/6)+(((0.15*B105*5))^4/24)+(((0.15*B105*5))^5/120))),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78">
      <c r="A78">
        <f>Skills!A7</f>
        <v/>
      </c>
      <c r="B78">
        <f>Skills!B7</f>
        <v/>
      </c>
      <c r="C78">
        <f>Inputs!$B$3&gt;=69</f>
        <v/>
      </c>
      <c r="D78">
        <f>IF(Skills!C7=1,60+Inputs!$B$25+Inputs!$B$29,IF(Skills!C7=2,90+Inputs!$B$26+Inputs!$B$29,IF(Skills!C7=3,120+Inputs!$B$27+Inputs!$B$29,MAX(0,(Inputs!$B$3-100)*3)+Inputs!$B$28+Inputs!$B$29)))</f>
        <v/>
      </c>
      <c r="E78">
        <f>INDEX(FactorTable!$B$2:$Y$301, MATCH(ROUND(MIN(300,MAX(1,D78)),0), FactorTable!$A$2:$A$301,0), Skills!M7+1)</f>
        <v/>
      </c>
      <c r="F78">
        <f>IF(Skills!N7=TRUE,(Skills!L7/10)*(E78/1000),Skills!L7/10)+Skills!O7</f>
        <v/>
      </c>
      <c r="G78">
        <f>Skills!G7*IF(Skills!H7&gt;0,Skills!I7/Skills!H7,1)</f>
        <v/>
      </c>
      <c r="H78">
        <f>1-(1-Skills!J7/100)^Skills!K7</f>
        <v/>
      </c>
      <c r="I78" t="inlineStr">
        <is>
          <t>1</t>
        </is>
      </c>
      <c r="J78">
        <f>((Inputs!$B$6*(1+Inputs!$B$7/100))+((((Inputs!$B$12+1)*(1+Inputs!$B$13/100))-(Inputs!$B$12*(1+Inputs!$B$13/100)))+0.25*(Inputs!$B$14-Inputs!$B$14))*(1+Inputs!$B$7/100))*(F78/100)</f>
        <v/>
      </c>
      <c r="K78">
        <f>J78*(1+(((Inputs!$B$12+1)*(1+Inputs!$B$13/100))*0.01+Inputs!$B$14*0.0025)/100)*(1+Inputs!$B$15/100)*(1+Inputs!$B$16/100)*(5000/(6000+Inputs!$B$42*(1-(100*(1-(1-(Inputs!$B$19+0)/100)*(1-CHOOSE(ArtifactsInput!$N$40+1,5,6,7,8,9,10)/100)^(ArtifactsInput!$M$40-ArtifactsInput!$M$40)))/100)))*(1+(Inputs!$B$24+((C95=TRUE)*(F95-Calc!F24))+((C96=TRUE)*(F96-Calc!F25))+B109)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+1.2*IF(C79=TRUE,F79,0)/100)*(1+(IF(Skills!A7="EMPOWERED_PIERCING_ARROW",Inputs!$B$17+((C93=TRUE)*(F93-Calc!F22))+(((IF(AND(ArtifactsInput!$M$42,((Inputs!$B$9+((C90=TRUE)*(F90-Calc!F19))+B103+(ArtifactsInput!$M$24-ArtifactsInput!$M$24)*CHOOSE(ArtifactsInput!$N$24+1,10,12,14,16,18,20)+IF(ArtifactsInput!$M$10,CHOOSE(ArtifactsInput!$N$10+1,15,18,21,24,27,30)*(IF(Inputs!$B$38="pvp",MIN(15,15)/15,IF(AND(Inputs!$B$38&lt;&gt;"pvp",Inputs!$B$43&gt;0),MIN(15,Inputs!$B$43)/(Inputs!$B$43),0))),0)))&gt;=100),MIN(100,((Inputs!$B$9+((C90=TRUE)*(F90-Calc!F19))+B103+(ArtifactsInput!$M$24-ArtifactsInput!$M$24)*CHOOSE(ArtifactsInput!$N$24+1,10,12,14,16,18,20)+IF(ArtifactsInput!$M$10,CHOOSE(ArtifactsInput!$N$10+1,15,18,21,24,27,30)*(IF(Inputs!$B$38="pvp",MIN(15,15)/15,IF(AND(Inputs!$B$38&lt;&gt;"pvp",Inputs!$B$43&gt;0),MIN(15,Inputs!$B$43)/(Inputs!$B$43),0))),0)))-100),0))*CHOOSE(ArtifactsInput!$N$42+1,0.6,0.72,0.84,0.96,1.08,1.2))),Inputs!$B$18+((C98=TRUE)*(F98-Calc!F27))+(IF(AND(ArtifactsInput!$M$42,((Inputs!$B$9+((C90=TRUE)*(F90-Calc!F19))+B103+(ArtifactsInput!$M$24-ArtifactsInput!$M$24)*CHOOSE(ArtifactsInput!$N$24+1,10,12,14,16,18,20)+IF(ArtifactsInput!$M$10,CHOOSE(ArtifactsInput!$N$10+1,15,18,21,24,27,30)*(IF(Inputs!$B$38="pvp",MIN(15,15)/15,IF(AND(Inputs!$B$38&lt;&gt;"pvp",Inputs!$B$43&gt;0),MIN(15,Inputs!$B$43)/(Inputs!$B$43),0))),0)))&gt;=100),CHOOSE(ArtifactsInput!$N$42+1,40,48,56,64,72,80),0))))/100)*((1+(((C84=TRUE)*F84)+((C85=TRUE)*IF(Inputs!$B$38="pvp",F85,(1-Summary!$B$11)*(F85)+Summary!$B$11*(0)))+((C86=TRUE)*F86*IF(AND(Inputs!$B$38&lt;&gt;"pvp",Inputs!$B$43&gt;0),(((R86-1)*(Skills!T15*(1+Inputs!$B$34/100))+MIN((Skills!T15*(1+Inputs!$B$34/100)),MAX(0,Inputs!$B$43-((R86-1)*Skills!D15))))/Inputs!$B$43),IF(Inputs!$B$38="pvp",MIN((Skills!T15*(1+Inputs!$B$34/100)),15)/15,(Skills!T15*(1+Inputs!$B$34/100))/Skills!D15)))+((C83=TRUE)*F83)+((C100=TRUE)*(F100-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78)</f>
        <v/>
      </c>
      <c r="L78">
        <f>K78*(MIN(Inputs!$B$22+((C94=TRUE)*(F94-Calc!F23)),(Inputs!$B$23+((C99=TRUE)*(F99-Calc!F28))+(IF(ArtifactsInput!$M$15,CHOOSE(ArtifactsInput!$N$15+1,25,30,35,40,45,50)/100*(Inputs!$B$11-Inputs!$B$11),0))))/100+(Inputs!$B$23+((C99=TRUE)*(F99-Calc!F28))+(IF(ArtifactsInput!$M$15,CHOOSE(ArtifactsInput!$N$15+1,25,30,35,40,45,50)/100*(Inputs!$B$11-Inputs!$B$11),0)))/100)/2</f>
        <v/>
      </c>
      <c r="M78">
        <f>L78*(1+(Inputs!$B$10+0+B108+(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78">
        <f>L78*(1-MIN((Inputs!$B$9+((C90=TRUE)*(F90-Calc!F19))+B103+(ArtifactsInput!$M$24-ArtifactsInput!$M$24)*CHOOSE(ArtifactsInput!$N$24+1,10,12,14,16,18,20)+(IF(AND(ArtifactsInput!$M$42,((Inputs!$B$9+((C90=TRUE)*(F90-Calc!F19))+B103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78*(MIN((Inputs!$B$9+((C90=TRUE)*(F90-Calc!F19))+B103+(ArtifactsInput!$M$24-ArtifactsInput!$M$24)*CHOOSE(ArtifactsInput!$N$24+1,10,12,14,16,18,20)+(IF(AND(ArtifactsInput!$M$42,((Inputs!$B$9+((C90=TRUE)*(F90-Calc!F19))+B103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78">
        <f>(1-Summary!$B$11)*T78+Summary!$B$11*V78</f>
        <v/>
      </c>
      <c r="P78">
        <f>IF(B113=0,0,O78/B113)</f>
        <v/>
      </c>
      <c r="Q78">
        <f>IFERROR(1/IF(Inputs!$B$38="pvp",15,MAX(0.1,Skills!D7-IF(Skills!E7=TRUE,Inputs!$B$32,0))),0)</f>
        <v/>
      </c>
      <c r="R78">
        <f>IF(AND(Inputs!$B$38&lt;&gt;"pvp",Inputs!$B$43&gt;0),IF(MAX(0,Inputs!$B$43-B110)&lt;=0,0,(INT(MAX(0,Inputs!$B$43-B110)/IF(Inputs!$B$38="pvp",15,MAX(0.1,Skills!D7-IF(Skills!E7=TRUE,Inputs!$B$32,0))))+1)),0)</f>
        <v/>
      </c>
      <c r="S78">
        <f>IFERROR((H78*N78*IF(AND(Inputs!$B$38&lt;&gt;"pvp",Inputs!$B$43&gt;0),((Skills!G7*((R78-1)*IF(Skills!H7&gt;0,Skills!I7/Skills!H7,1)+IF(Skills!H7&gt;0,MIN(Skills!I7,MAX(0,MAX(0,Inputs!$B$43-B110)-((R78-1)*IF(Inputs!$B$38="pvp",15,MAX(0.1,Skills!D7-IF(Skills!E7=TRUE,Inputs!$B$32,0))))))/Skills!H7,1)))/Inputs!$B$43),G78*Q78))/N78*IF(Inputs!$B$38="pvp",1,(1-Summary!$B$11)*1+Summary!$B$11*(MIN(Skills!R7,Inputs!$B$37))),0)</f>
        <v/>
      </c>
      <c r="T78">
        <f>IF(C78,(H78*N78*IF(AND(Inputs!$B$38&lt;&gt;"pvp",Inputs!$B$43&gt;0),((Skills!G7*((R78-1)*IF(Skills!H7&gt;0,Skills!I7/Skills!H7,1)+IF(Skills!H7&gt;0,MIN(Skills!I7,MAX(0,MAX(0,Inputs!$B$43-B110)-((R78-1)*IF(Inputs!$B$38="pvp",15,MAX(0.1,Skills!D7-IF(Skills!E7=TRUE,Inputs!$B$32,0))))))/Skills!H7,1)))/Inputs!$B$43),G78*Q78))*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Hunt"),CHOOSE(ArtifactsInput!$N$35+1,15,18,21,24,27,30)*(1-EXP(-(0.2*B105)*5)),0)+IF(AND(ArtifactsInput!$M$22,Inputs!$B$4&lt;&gt;"Chapter Hunt"),CHOOSE(ArtifactsInput!$N$22+1,10,12,14,16,18,20)*((0*(((0.15*B105*5))^0/1)+1*(((0.15*B105*5))^1/1)+2*(((0.15*B105*5))^2/2)+3*(((0.15*B105*5))^3/6)+4*(((0.15*B105*5))^4/24)+5*(((0.15*B105*5))^5/120))/((((0.15*B105*5))^0/1)+(((0.15*B105*5))^1/1)+(((0.15*B105*5))^2/2)+(((0.15*B105*5))^3/6)+(((0.15*B105*5))^4/24)+(((0.15*B105*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78*(1-MIN(100,(Inputs!$B$9+((C90=TRUE)*(F90-Calc!F19))+B103+(ArtifactsInput!$M$24-ArtifactsInput!$M$24)*CHOOSE(ArtifactsInput!$N$24+1,10,12,14,16,18,20)+(IF(AND(ArtifactsInput!$M$42,((Inputs!$B$9+((C90=TRUE)*(F90-Calc!F19))+B103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78*(MIN(100,(Inputs!$B$9+((C90=TRUE)*(F90-Calc!F19))+B103+(ArtifactsInput!$M$24-ArtifactsInput!$M$24)*CHOOSE(ArtifactsInput!$N$24+1,10,12,14,16,18,20)+(IF(AND(ArtifactsInput!$M$42,((Inputs!$B$9+((C90=TRUE)*(F90-Calc!F19))+B103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78*(1-MIN(100,(Inputs!$B$9+((C90=TRUE)*(F90-Calc!F19))+B103+(ArtifactsInput!$M$24-ArtifactsInput!$M$24)*CHOOSE(ArtifactsInput!$N$24+1,10,12,14,16,18,20)+(IF(AND(ArtifactsInput!$M$42,((Inputs!$B$9+((C90=TRUE)*(F90-Calc!F19))+B103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78*(MIN(100,(Inputs!$B$9+((C90=TRUE)*(F90-Calc!F19))+B103+(ArtifactsInput!$M$24-ArtifactsInput!$M$24)*CHOOSE(ArtifactsInput!$N$24+1,10,12,14,16,18,20)+(IF(AND(ArtifactsInput!$M$42,((Inputs!$B$9+((C90=TRUE)*(F90-Calc!F19))+B103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78">
        <f>IF(C78,(H78*N78*IF(AND(Inputs!$B$38&lt;&gt;"pvp",Inputs!$B$43&gt;0),((Skills!G7*((R78-1)*IF(Skills!H7&gt;0,Skills!I7/Skills!H7,1)+IF(Skills!H7&gt;0,MIN(Skills!I7,MAX(0,MAX(0,Inputs!$B$43-B110)-((R78-1)*IF(Inputs!$B$38="pvp",15,MAX(0.1,Skills!D7-IF(Skills!E7=TRUE,Inputs!$B$32,0))))))/Skills!H7,1)))/Inputs!$B$43),G78*Q78))*IF(Inputs!$B$38="pvp",1,(1+(Inputs!$B$21+Skills!Q7+(IF(ArtifactsInput!$M$33,CHOOSE(ArtifactsInput!$N$33+1,30,36,42,48,54,60),0))+(IF(AND(ArtifactsInput!$M$35,Inputs!$B$4&lt;&gt;"Chapter Hunt"),CHOOSE(ArtifactsInput!$N$35+1,15,18,21,24,27,30)*(1-EXP(-(0.2*B105)*5)),0)+IF(AND(ArtifactsInput!$M$22,Inputs!$B$4&lt;&gt;"Chapter Hunt"),CHOOSE(ArtifactsInput!$N$22+1,10,12,14,16,18,20)*((0*(((0.15*B105*5))^0/1)+1*(((0.15*B105*5))^1/1)+2*(((0.15*B105*5))^2/2)+3*(((0.15*B105*5))^3/6)+4*(((0.15*B105*5))^4/24)+5*(((0.15*B105*5))^5/120))/((((0.15*B105*5))^0/1)+(((0.15*B105*5))^1/1)+(((0.15*B105*5))^2/2)+(((0.15*B105*5))^3/6)+(((0.15*B105*5))^4/24)+(((0.15*B105*5))^5/120))),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79">
      <c r="A79">
        <f>Skills!A8</f>
        <v/>
      </c>
      <c r="B79">
        <f>Skills!B8</f>
        <v/>
      </c>
      <c r="C79">
        <f>Inputs!$B$3&gt;=100</f>
        <v/>
      </c>
      <c r="D79">
        <f>IF(Skills!C8=1,60+Inputs!$B$25+Inputs!$B$29,IF(Skills!C8=2,90+Inputs!$B$26+Inputs!$B$29,IF(Skills!C8=3,120+Inputs!$B$27+Inputs!$B$29,MAX(0,(Inputs!$B$3-100)*3)+Inputs!$B$28+Inputs!$B$29)))</f>
        <v/>
      </c>
      <c r="E79">
        <f>INDEX(FactorTable!$B$2:$Y$301, MATCH(ROUND(MIN(300,MAX(1,D79)),0), FactorTable!$A$2:$A$301,0), Skills!M8+1)</f>
        <v/>
      </c>
      <c r="F79">
        <f>IF(Skills!N8=TRUE,(Skills!L8/10)*(E79/1000),Skills!L8/10)+Skills!O8</f>
        <v/>
      </c>
      <c r="G79" t="inlineStr"/>
      <c r="H79" t="inlineStr"/>
      <c r="I79" t="inlineStr">
        <is>
          <t>1</t>
        </is>
      </c>
      <c r="J79" t="inlineStr"/>
      <c r="K79" t="inlineStr"/>
      <c r="L79" t="inlineStr"/>
      <c r="M79" t="inlineStr"/>
      <c r="N79" t="inlineStr"/>
      <c r="O79" t="inlineStr"/>
      <c r="P79" t="inlineStr"/>
      <c r="Q79" t="inlineStr"/>
      <c r="R79" t="inlineStr"/>
      <c r="S79" t="inlineStr"/>
      <c r="T79" t="inlineStr"/>
      <c r="V79" t="inlineStr"/>
    </row>
    <row r="80">
      <c r="A80">
        <f>Skills!A9</f>
        <v/>
      </c>
      <c r="B80">
        <f>Skills!B9</f>
        <v/>
      </c>
      <c r="C80">
        <f>Inputs!$B$3&gt;=103</f>
        <v/>
      </c>
      <c r="D80">
        <f>IF(Skills!C9=1,60+Inputs!$B$25+Inputs!$B$29,IF(Skills!C9=2,90+Inputs!$B$26+Inputs!$B$29,IF(Skills!C9=3,120+Inputs!$B$27+Inputs!$B$29,MAX(0,(Inputs!$B$3-100)*3)+Inputs!$B$28+Inputs!$B$29)))</f>
        <v/>
      </c>
      <c r="E80">
        <f>INDEX(FactorTable!$B$2:$Y$301, MATCH(ROUND(MIN(300,MAX(1,D80)),0), FactorTable!$A$2:$A$301,0), Skills!M9+1)</f>
        <v/>
      </c>
      <c r="F80">
        <f>IF(Skills!N9=TRUE,(Skills!L9/10)*(E80/1000),Skills!L9/10)+Skills!O9</f>
        <v/>
      </c>
      <c r="G80">
        <f>Skills!G9*IF(Skills!H9&gt;0,Skills!I9/Skills!H9,1)</f>
        <v/>
      </c>
      <c r="H80">
        <f>1-(1-Skills!J9/100)^Skills!K9</f>
        <v/>
      </c>
      <c r="I80" t="inlineStr">
        <is>
          <t>1</t>
        </is>
      </c>
      <c r="J80">
        <f>((Inputs!$B$6*(1+Inputs!$B$7/100))+((((Inputs!$B$12+1)*(1+Inputs!$B$13/100))-(Inputs!$B$12*(1+Inputs!$B$13/100)))+0.25*(Inputs!$B$14-Inputs!$B$14))*(1+Inputs!$B$7/100))*(F80/100)</f>
        <v/>
      </c>
      <c r="K80">
        <f>J80*(1+(((Inputs!$B$12+1)*(1+Inputs!$B$13/100))*0.01+Inputs!$B$14*0.0025)/100)*(1+Inputs!$B$15/100)*(1+Inputs!$B$16/100)*(5000/(6000+Inputs!$B$42*(1-(100*(1-(1-(Inputs!$B$19+0)/100)*(1-CHOOSE(ArtifactsInput!$N$40+1,5,6,7,8,9,10)/100)^(ArtifactsInput!$M$40-ArtifactsInput!$M$40)))/100)))*(1+(Inputs!$B$24+((C95=TRUE)*(F95-Calc!F24))+((C96=TRUE)*(F96-Calc!F25))+B109)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EMPOWERED_PIERCING_ARROW",Inputs!$B$17+((C93=TRUE)*(F93-Calc!F22))+(((IF(AND(ArtifactsInput!$M$42,((Inputs!$B$9+((C90=TRUE)*(F90-Calc!F19))+B103+(ArtifactsInput!$M$24-ArtifactsInput!$M$24)*CHOOSE(ArtifactsInput!$N$24+1,10,12,14,16,18,20)+IF(ArtifactsInput!$M$10,CHOOSE(ArtifactsInput!$N$10+1,15,18,21,24,27,30)*(IF(Inputs!$B$38="pvp",MIN(15,15)/15,IF(AND(Inputs!$B$38&lt;&gt;"pvp",Inputs!$B$43&gt;0),MIN(15,Inputs!$B$43)/(Inputs!$B$43),0))),0)))&gt;=100),MIN(100,((Inputs!$B$9+((C90=TRUE)*(F90-Calc!F19))+B103+(ArtifactsInput!$M$24-ArtifactsInput!$M$24)*CHOOSE(ArtifactsInput!$N$24+1,10,12,14,16,18,20)+IF(ArtifactsInput!$M$10,CHOOSE(ArtifactsInput!$N$10+1,15,18,21,24,27,30)*(IF(Inputs!$B$38="pvp",MIN(15,15)/15,IF(AND(Inputs!$B$38&lt;&gt;"pvp",Inputs!$B$43&gt;0),MIN(15,Inputs!$B$43)/(Inputs!$B$43),0))),0)))-100),0))*CHOOSE(ArtifactsInput!$N$42+1,0.6,0.72,0.84,0.96,1.08,1.2))),Inputs!$B$18+((C98=TRUE)*(F98-Calc!F27))+(IF(AND(ArtifactsInput!$M$42,((Inputs!$B$9+((C90=TRUE)*(F90-Calc!F19))+B103+(ArtifactsInput!$M$24-ArtifactsInput!$M$24)*CHOOSE(ArtifactsInput!$N$24+1,10,12,14,16,18,20)+IF(ArtifactsInput!$M$10,CHOOSE(ArtifactsInput!$N$10+1,15,18,21,24,27,30)*(IF(Inputs!$B$38="pvp",MIN(15,15)/15,IF(AND(Inputs!$B$38&lt;&gt;"pvp",Inputs!$B$43&gt;0),MIN(15,Inputs!$B$43)/(Inputs!$B$43),0))),0)))&gt;=100),CHOOSE(ArtifactsInput!$N$42+1,40,48,56,64,72,80),0))))/100)*((1+(((C84=TRUE)*F84)+((C85=TRUE)*IF(Inputs!$B$38="pvp",F85,(1-Summary!$B$11)*(F85)+Summary!$B$11*(0)))+((C86=TRUE)*F86*IF(AND(Inputs!$B$38&lt;&gt;"pvp",Inputs!$B$43&gt;0),(((R86-1)*(Skills!T15*(1+Inputs!$B$34/100))+MIN((Skills!T15*(1+Inputs!$B$34/100)),MAX(0,Inputs!$B$43-((R86-1)*Skills!D15))))/Inputs!$B$43),IF(Inputs!$B$38="pvp",MIN((Skills!T15*(1+Inputs!$B$34/100)),15)/15,(Skills!T15*(1+Inputs!$B$34/100))/Skills!D15)))+((C83=TRUE)*F83)+((C100=TRUE)*(F100-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80)</f>
        <v/>
      </c>
      <c r="L80">
        <f>K80*(MIN(Inputs!$B$22+((C94=TRUE)*(F94-Calc!F23)),(Inputs!$B$23+((C99=TRUE)*(F99-Calc!F28))+(IF(ArtifactsInput!$M$15,CHOOSE(ArtifactsInput!$N$15+1,25,30,35,40,45,50)/100*(Inputs!$B$11-Inputs!$B$11),0))))/100+(Inputs!$B$23+((C99=TRUE)*(F99-Calc!F28))+(IF(ArtifactsInput!$M$15,CHOOSE(ArtifactsInput!$N$15+1,25,30,35,40,45,50)/100*(Inputs!$B$11-Inputs!$B$11),0)))/100)/2</f>
        <v/>
      </c>
      <c r="M80">
        <f>L80*(1+(Inputs!$B$10+0+B108+(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80">
        <f>L80*(1-MIN((Inputs!$B$9+((C90=TRUE)*(F90-Calc!F19))+B103+(ArtifactsInput!$M$24-ArtifactsInput!$M$24)*CHOOSE(ArtifactsInput!$N$24+1,10,12,14,16,18,20)+(IF(AND(ArtifactsInput!$M$42,((Inputs!$B$9+((C90=TRUE)*(F90-Calc!F19))+B103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80*(MIN((Inputs!$B$9+((C90=TRUE)*(F90-Calc!F19))+B103+(ArtifactsInput!$M$24-ArtifactsInput!$M$24)*CHOOSE(ArtifactsInput!$N$24+1,10,12,14,16,18,20)+(IF(AND(ArtifactsInput!$M$42,((Inputs!$B$9+((C90=TRUE)*(F90-Calc!F19))+B103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80">
        <f>(1-Summary!$B$11)*T80+Summary!$B$11*V80</f>
        <v/>
      </c>
      <c r="P80">
        <f>IF(B113=0,0,O80/B113)</f>
        <v/>
      </c>
      <c r="Q80">
        <f>IFERROR(1/IF(Inputs!$B$38="pvp",15,MAX(0.1,Skills!D9-IF(Skills!E9=TRUE,Inputs!$B$32,0))),0)</f>
        <v/>
      </c>
      <c r="R80">
        <f>IF(AND(Inputs!$B$38&lt;&gt;"pvp",Inputs!$B$43&gt;0),IF(MAX(0,Inputs!$B$43-B110)&lt;=0,0,(INT(MAX(0,Inputs!$B$43-B110)/IF(Inputs!$B$38="pvp",15,MAX(0.1,Skills!D9-IF(Skills!E9=TRUE,Inputs!$B$32,0))))+1)),0)</f>
        <v/>
      </c>
      <c r="S80">
        <f>IFERROR((H80*N80*IF(AND(Inputs!$B$38&lt;&gt;"pvp",Inputs!$B$43&gt;0),((Skills!G9*((R80-1)*IF(Skills!H9&gt;0,Skills!I9/Skills!H9,1)+IF(Skills!H9&gt;0,MIN(Skills!I9,MAX(0,MAX(0,Inputs!$B$43-B110)-((R80-1)*IF(Inputs!$B$38="pvp",15,MAX(0.1,Skills!D9-IF(Skills!E9=TRUE,Inputs!$B$32,0))))))/Skills!H9,1)))/Inputs!$B$43),G80*Q80))/N80*IF(Inputs!$B$38="pvp",1,(1-Summary!$B$11)*1+Summary!$B$11*(MIN(Skills!R9,Inputs!$B$37))),0)</f>
        <v/>
      </c>
      <c r="T80">
        <f>IF(C80,(H80*N80*IF(AND(Inputs!$B$38&lt;&gt;"pvp",Inputs!$B$43&gt;0),((Skills!G9*((R80-1)*IF(Skills!H9&gt;0,Skills!I9/Skills!H9,1)+IF(Skills!H9&gt;0,MIN(Skills!I9,MAX(0,MAX(0,Inputs!$B$43-B110)-((R80-1)*IF(Inputs!$B$38="pvp",15,MAX(0.1,Skills!D9-IF(Skills!E9=TRUE,Inputs!$B$32,0))))))/Skills!H9,1)))/Inputs!$B$43),G80*Q80))*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Hunt"),CHOOSE(ArtifactsInput!$N$35+1,15,18,21,24,27,30)*(1-EXP(-(0.2*B105)*5)),0)+IF(AND(ArtifactsInput!$M$22,Inputs!$B$4&lt;&gt;"Chapter Hunt"),CHOOSE(ArtifactsInput!$N$22+1,10,12,14,16,18,20)*((0*(((0.15*B105*5))^0/1)+1*(((0.15*B105*5))^1/1)+2*(((0.15*B105*5))^2/2)+3*(((0.15*B105*5))^3/6)+4*(((0.15*B105*5))^4/24)+5*(((0.15*B105*5))^5/120))/((((0.15*B105*5))^0/1)+(((0.15*B105*5))^1/1)+(((0.15*B105*5))^2/2)+(((0.15*B105*5))^3/6)+(((0.15*B105*5))^4/24)+(((0.15*B105*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80*(1-MIN(100,(Inputs!$B$9+((C90=TRUE)*(F90-Calc!F19))+B103+(ArtifactsInput!$M$24-ArtifactsInput!$M$24)*CHOOSE(ArtifactsInput!$N$24+1,10,12,14,16,18,20)+(IF(AND(ArtifactsInput!$M$42,((Inputs!$B$9+((C90=TRUE)*(F90-Calc!F19))+B103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80*(MIN(100,(Inputs!$B$9+((C90=TRUE)*(F90-Calc!F19))+B103+(ArtifactsInput!$M$24-ArtifactsInput!$M$24)*CHOOSE(ArtifactsInput!$N$24+1,10,12,14,16,18,20)+(IF(AND(ArtifactsInput!$M$42,((Inputs!$B$9+((C90=TRUE)*(F90-Calc!F19))+B103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80*(1-MIN(100,(Inputs!$B$9+((C90=TRUE)*(F90-Calc!F19))+B103+(ArtifactsInput!$M$24-ArtifactsInput!$M$24)*CHOOSE(ArtifactsInput!$N$24+1,10,12,14,16,18,20)+(IF(AND(ArtifactsInput!$M$42,((Inputs!$B$9+((C90=TRUE)*(F90-Calc!F19))+B103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80*(MIN(100,(Inputs!$B$9+((C90=TRUE)*(F90-Calc!F19))+B103+(ArtifactsInput!$M$24-ArtifactsInput!$M$24)*CHOOSE(ArtifactsInput!$N$24+1,10,12,14,16,18,20)+(IF(AND(ArtifactsInput!$M$42,((Inputs!$B$9+((C90=TRUE)*(F90-Calc!F19))+B103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80">
        <f>IF(C80,(H80*N80*IF(AND(Inputs!$B$38&lt;&gt;"pvp",Inputs!$B$43&gt;0),((Skills!G9*((R80-1)*IF(Skills!H9&gt;0,Skills!I9/Skills!H9,1)+IF(Skills!H9&gt;0,MIN(Skills!I9,MAX(0,MAX(0,Inputs!$B$43-B110)-((R80-1)*IF(Inputs!$B$38="pvp",15,MAX(0.1,Skills!D9-IF(Skills!E9=TRUE,Inputs!$B$32,0))))))/Skills!H9,1)))/Inputs!$B$43),G80*Q80))*IF(Inputs!$B$38="pvp",1,(1+(Inputs!$B$21+Skills!Q9+(IF(ArtifactsInput!$M$33,CHOOSE(ArtifactsInput!$N$33+1,30,36,42,48,54,60),0))+(IF(AND(ArtifactsInput!$M$35,Inputs!$B$4&lt;&gt;"Chapter Hunt"),CHOOSE(ArtifactsInput!$N$35+1,15,18,21,24,27,30)*(1-EXP(-(0.2*B105)*5)),0)+IF(AND(ArtifactsInput!$M$22,Inputs!$B$4&lt;&gt;"Chapter Hunt"),CHOOSE(ArtifactsInput!$N$22+1,10,12,14,16,18,20)*((0*(((0.15*B105*5))^0/1)+1*(((0.15*B105*5))^1/1)+2*(((0.15*B105*5))^2/2)+3*(((0.15*B105*5))^3/6)+4*(((0.15*B105*5))^4/24)+5*(((0.15*B105*5))^5/120))/((((0.15*B105*5))^0/1)+(((0.15*B105*5))^1/1)+(((0.15*B105*5))^2/2)+(((0.15*B105*5))^3/6)+(((0.15*B105*5))^4/24)+(((0.15*B105*5))^5/120)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81">
      <c r="A81">
        <f>Skills!A10</f>
        <v/>
      </c>
      <c r="B81">
        <f>Skills!B10</f>
        <v/>
      </c>
      <c r="C81">
        <f>Inputs!$B$3&gt;=107</f>
        <v/>
      </c>
      <c r="D81">
        <f>IF(Skills!C10=1,60+Inputs!$B$25+Inputs!$B$29,IF(Skills!C10=2,90+Inputs!$B$26+Inputs!$B$29,IF(Skills!C10=3,120+Inputs!$B$27+Inputs!$B$29,MAX(0,(Inputs!$B$3-100)*3)+Inputs!$B$28+Inputs!$B$29)))</f>
        <v/>
      </c>
      <c r="E81">
        <f>INDEX(FactorTable!$B$2:$Y$301, MATCH(ROUND(MIN(300,MAX(1,D81)),0), FactorTable!$A$2:$A$301,0), Skills!M10+1)</f>
        <v/>
      </c>
      <c r="F81">
        <f>IF(Skills!N10=TRUE,(Skills!L10/10)*(E81/1000),Skills!L10/10)+Skills!O10</f>
        <v/>
      </c>
      <c r="G81">
        <f>Skills!G10*IF(Skills!H10&gt;0,Skills!I10/Skills!H10,1)</f>
        <v/>
      </c>
      <c r="H81">
        <f>1-(1-Skills!J10/100)^Skills!K10</f>
        <v/>
      </c>
      <c r="I81" t="inlineStr">
        <is>
          <t>1</t>
        </is>
      </c>
      <c r="J81">
        <f>((Inputs!$B$6*(1+Inputs!$B$7/100))+((((Inputs!$B$12+1)*(1+Inputs!$B$13/100))-(Inputs!$B$12*(1+Inputs!$B$13/100)))+0.25*(Inputs!$B$14-Inputs!$B$14))*(1+Inputs!$B$7/100))*(F81/100)</f>
        <v/>
      </c>
      <c r="K81">
        <f>J81*(1+(((Inputs!$B$12+1)*(1+Inputs!$B$13/100))*0.01+Inputs!$B$14*0.0025)/100)*(1+Inputs!$B$15/100)*(1+Inputs!$B$16/100)*(5000/(6000+Inputs!$B$42*(1-(100*(1-(1-(Inputs!$B$19+0)/100)*(1-CHOOSE(ArtifactsInput!$N$40+1,5,6,7,8,9,10)/100)^(ArtifactsInput!$M$40-ArtifactsInput!$M$40)))/100)))*(1+(Inputs!$B$24+((C95=TRUE)*(F95-Calc!F24))+((C96=TRUE)*(F96-Calc!F25))+B109)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EMPOWERED_PIERCING_ARROW",Inputs!$B$17+((C93=TRUE)*(F93-Calc!F22))+(((IF(AND(ArtifactsInput!$M$42,((Inputs!$B$9+((C90=TRUE)*(F90-Calc!F19))+B103+(ArtifactsInput!$M$24-ArtifactsInput!$M$24)*CHOOSE(ArtifactsInput!$N$24+1,10,12,14,16,18,20)+IF(ArtifactsInput!$M$10,CHOOSE(ArtifactsInput!$N$10+1,15,18,21,24,27,30)*(IF(Inputs!$B$38="pvp",MIN(15,15)/15,IF(AND(Inputs!$B$38&lt;&gt;"pvp",Inputs!$B$43&gt;0),MIN(15,Inputs!$B$43)/(Inputs!$B$43),0))),0)))&gt;=100),MIN(100,((Inputs!$B$9+((C90=TRUE)*(F90-Calc!F19))+B103+(ArtifactsInput!$M$24-ArtifactsInput!$M$24)*CHOOSE(ArtifactsInput!$N$24+1,10,12,14,16,18,20)+IF(ArtifactsInput!$M$10,CHOOSE(ArtifactsInput!$N$10+1,15,18,21,24,27,30)*(IF(Inputs!$B$38="pvp",MIN(15,15)/15,IF(AND(Inputs!$B$38&lt;&gt;"pvp",Inputs!$B$43&gt;0),MIN(15,Inputs!$B$43)/(Inputs!$B$43),0))),0)))-100),0))*CHOOSE(ArtifactsInput!$N$42+1,0.6,0.72,0.84,0.96,1.08,1.2))),Inputs!$B$18+((C98=TRUE)*(F98-Calc!F27))+(IF(AND(ArtifactsInput!$M$42,((Inputs!$B$9+((C90=TRUE)*(F90-Calc!F19))+B103+(ArtifactsInput!$M$24-ArtifactsInput!$M$24)*CHOOSE(ArtifactsInput!$N$24+1,10,12,14,16,18,20)+IF(ArtifactsInput!$M$10,CHOOSE(ArtifactsInput!$N$10+1,15,18,21,24,27,30)*(IF(Inputs!$B$38="pvp",MIN(15,15)/15,IF(AND(Inputs!$B$38&lt;&gt;"pvp",Inputs!$B$43&gt;0),MIN(15,Inputs!$B$43)/(Inputs!$B$43),0))),0)))&gt;=100),CHOOSE(ArtifactsInput!$N$42+1,40,48,56,64,72,80),0))))/100)*((1+(((C84=TRUE)*F84)+((C85=TRUE)*IF(Inputs!$B$38="pvp",F85,(1-Summary!$B$11)*(F85)+Summary!$B$11*(0)))+((C86=TRUE)*F86*IF(AND(Inputs!$B$38&lt;&gt;"pvp",Inputs!$B$43&gt;0),(((R86-1)*(Skills!T15*(1+Inputs!$B$34/100))+MIN((Skills!T15*(1+Inputs!$B$34/100)),MAX(0,Inputs!$B$43-((R86-1)*Skills!D15))))/Inputs!$B$43),IF(Inputs!$B$38="pvp",MIN((Skills!T15*(1+Inputs!$B$34/100)),15)/15,(Skills!T15*(1+Inputs!$B$34/100))/Skills!D15)))+((C83=TRUE)*F83)+((C100=TRUE)*(F100-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81)</f>
        <v/>
      </c>
      <c r="L81">
        <f>K81*(MIN(Inputs!$B$22+((C94=TRUE)*(F94-Calc!F23)),(Inputs!$B$23+((C99=TRUE)*(F99-Calc!F28))+(IF(ArtifactsInput!$M$15,CHOOSE(ArtifactsInput!$N$15+1,25,30,35,40,45,50)/100*(Inputs!$B$11-Inputs!$B$11),0))))/100+(Inputs!$B$23+((C99=TRUE)*(F99-Calc!F28))+(IF(ArtifactsInput!$M$15,CHOOSE(ArtifactsInput!$N$15+1,25,30,35,40,45,50)/100*(Inputs!$B$11-Inputs!$B$11),0)))/100)/2</f>
        <v/>
      </c>
      <c r="M81">
        <f>L81*(1+(Inputs!$B$10+0+B108+(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81">
        <f>L81*(1-MIN((Inputs!$B$9+((C90=TRUE)*(F90-Calc!F19))+B103+(ArtifactsInput!$M$24-ArtifactsInput!$M$24)*CHOOSE(ArtifactsInput!$N$24+1,10,12,14,16,18,20)+(IF(AND(ArtifactsInput!$M$42,((Inputs!$B$9+((C90=TRUE)*(F90-Calc!F19))+B103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81*(MIN((Inputs!$B$9+((C90=TRUE)*(F90-Calc!F19))+B103+(ArtifactsInput!$M$24-ArtifactsInput!$M$24)*CHOOSE(ArtifactsInput!$N$24+1,10,12,14,16,18,20)+(IF(AND(ArtifactsInput!$M$42,((Inputs!$B$9+((C90=TRUE)*(F90-Calc!F19))+B103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81">
        <f>(1-Summary!$B$11)*T81+Summary!$B$11*V81</f>
        <v/>
      </c>
      <c r="P81">
        <f>IF(B113=0,0,O81/B113)</f>
        <v/>
      </c>
      <c r="Q81" t="n">
        <v>0</v>
      </c>
      <c r="R81" t="n">
        <v>0</v>
      </c>
      <c r="S81" t="n">
        <v>0</v>
      </c>
      <c r="T81">
        <f>IF(C81,(0.15*SUMPRODUCT((Skills!U2:U29=TRUE)*(C73:C100=TRUE)*S73:S100)*Skills!G10*N81)*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Hunt"),CHOOSE(ArtifactsInput!$N$35+1,15,18,21,24,27,30)*(1-EXP(-(0.2*B105)*5)),0)+IF(AND(ArtifactsInput!$M$22,Inputs!$B$4&lt;&gt;"Chapter Hunt"),CHOOSE(ArtifactsInput!$N$22+1,10,12,14,16,18,20)*((0*(((0.15*B105*5))^0/1)+1*(((0.15*B105*5))^1/1)+2*(((0.15*B105*5))^2/2)+3*(((0.15*B105*5))^3/6)+4*(((0.15*B105*5))^4/24)+5*(((0.15*B105*5))^5/120))/((((0.15*B105*5))^0/1)+(((0.15*B105*5))^1/1)+(((0.15*B105*5))^2/2)+(((0.15*B105*5))^3/6)+(((0.15*B105*5))^4/24)+(((0.15*B105*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81*(1-MIN(100,(Inputs!$B$9+((C90=TRUE)*(F90-Calc!F19))+B103+(ArtifactsInput!$M$24-ArtifactsInput!$M$24)*CHOOSE(ArtifactsInput!$N$24+1,10,12,14,16,18,20)+(IF(AND(ArtifactsInput!$M$42,((Inputs!$B$9+((C90=TRUE)*(F90-Calc!F19))+B103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81*(MIN(100,(Inputs!$B$9+((C90=TRUE)*(F90-Calc!F19))+B103+(ArtifactsInput!$M$24-ArtifactsInput!$M$24)*CHOOSE(ArtifactsInput!$N$24+1,10,12,14,16,18,20)+(IF(AND(ArtifactsInput!$M$42,((Inputs!$B$9+((C90=TRUE)*(F90-Calc!F19))+B103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81*(1-MIN(100,(Inputs!$B$9+((C90=TRUE)*(F90-Calc!F19))+B103+(ArtifactsInput!$M$24-ArtifactsInput!$M$24)*CHOOSE(ArtifactsInput!$N$24+1,10,12,14,16,18,20)+(IF(AND(ArtifactsInput!$M$42,((Inputs!$B$9+((C90=TRUE)*(F90-Calc!F19))+B103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81*(MIN(100,(Inputs!$B$9+((C90=TRUE)*(F90-Calc!F19))+B103+(ArtifactsInput!$M$24-ArtifactsInput!$M$24)*CHOOSE(ArtifactsInput!$N$24+1,10,12,14,16,18,20)+(IF(AND(ArtifactsInput!$M$42,((Inputs!$B$9+((C90=TRUE)*(F90-Calc!F19))+B103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81">
        <f>IF(C81,(0.15*SUMPRODUCT((Skills!U2:U29=TRUE)*(C73:C100=TRUE)*S73:S100)*Skills!G10*N81)*IF(Inputs!$B$38="pvp",1,(1+(Inputs!$B$21+Skills!Q10+(IF(ArtifactsInput!$M$33,CHOOSE(ArtifactsInput!$N$33+1,30,36,42,48,54,60),0))+(IF(AND(ArtifactsInput!$M$35,Inputs!$B$4&lt;&gt;"Chapter Hunt"),CHOOSE(ArtifactsInput!$N$35+1,15,18,21,24,27,30)*(1-EXP(-(0.2*B105)*5)),0)+IF(AND(ArtifactsInput!$M$22,Inputs!$B$4&lt;&gt;"Chapter Hunt"),CHOOSE(ArtifactsInput!$N$22+1,10,12,14,16,18,20)*((0*(((0.15*B105*5))^0/1)+1*(((0.15*B105*5))^1/1)+2*(((0.15*B105*5))^2/2)+3*(((0.15*B105*5))^3/6)+4*(((0.15*B105*5))^4/24)+5*(((0.15*B105*5))^5/120))/((((0.15*B105*5))^0/1)+(((0.15*B105*5))^1/1)+(((0.15*B105*5))^2/2)+(((0.15*B105*5))^3/6)+(((0.15*B105*5))^4/24)+(((0.15*B105*5))^5/120)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82">
      <c r="A82">
        <f>Skills!A11</f>
        <v/>
      </c>
      <c r="B82">
        <f>Skills!B11</f>
        <v/>
      </c>
      <c r="C82">
        <f>Inputs!$B$3&gt;=110</f>
        <v/>
      </c>
      <c r="D82">
        <f>IF(Skills!C11=1,60+Inputs!$B$25+Inputs!$B$29,IF(Skills!C11=2,90+Inputs!$B$26+Inputs!$B$29,IF(Skills!C11=3,120+Inputs!$B$27+Inputs!$B$29,MAX(0,(Inputs!$B$3-100)*3)+Inputs!$B$28+Inputs!$B$29)))</f>
        <v/>
      </c>
      <c r="E82">
        <f>INDEX(FactorTable!$B$2:$Y$301, MATCH(ROUND(MIN(300,MAX(1,D82)),0), FactorTable!$A$2:$A$301,0), Skills!M11+1)</f>
        <v/>
      </c>
      <c r="F82">
        <f>IF(Skills!N11=TRUE,(Skills!L11/10)*(E82/1000),Skills!L11/10)+Skills!O11</f>
        <v/>
      </c>
      <c r="G82">
        <f>Skills!G11*IF(Skills!H11&gt;0,Skills!I11/Skills!H11,1)</f>
        <v/>
      </c>
      <c r="H82">
        <f>1-(1-Skills!J11/100)^Skills!K11</f>
        <v/>
      </c>
      <c r="I82" t="inlineStr">
        <is>
          <t>1</t>
        </is>
      </c>
      <c r="J82">
        <f>((Inputs!$B$6*(1+Inputs!$B$7/100))+((((Inputs!$B$12+1)*(1+Inputs!$B$13/100))-(Inputs!$B$12*(1+Inputs!$B$13/100)))+0.25*(Inputs!$B$14-Inputs!$B$14))*(1+Inputs!$B$7/100))*(F82/100)</f>
        <v/>
      </c>
      <c r="K82">
        <f>J82*(1+(((Inputs!$B$12+1)*(1+Inputs!$B$13/100))*0.01+Inputs!$B$14*0.0025)/100)*(1+Inputs!$B$15/100)*(1+Inputs!$B$16/100)*(5000/(6000+Inputs!$B$42*(1-(100*(1-(1-(Inputs!$B$19+0)/100)*(1-CHOOSE(ArtifactsInput!$N$40+1,5,6,7,8,9,10)/100)^(ArtifactsInput!$M$40-ArtifactsInput!$M$40)))/100)))*(1+(Inputs!$B$24+((C95=TRUE)*(F95-Calc!F24))+((C96=TRUE)*(F96-Calc!F25))+B109)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11="EMPOWERED_PIERCING_ARROW",Inputs!$B$17+((C93=TRUE)*(F93-Calc!F22))+(((IF(AND(ArtifactsInput!$M$42,((Inputs!$B$9+((C90=TRUE)*(F90-Calc!F19))+B103+(ArtifactsInput!$M$24-ArtifactsInput!$M$24)*CHOOSE(ArtifactsInput!$N$24+1,10,12,14,16,18,20)+IF(ArtifactsInput!$M$10,CHOOSE(ArtifactsInput!$N$10+1,15,18,21,24,27,30)*(IF(Inputs!$B$38="pvp",MIN(15,15)/15,IF(AND(Inputs!$B$38&lt;&gt;"pvp",Inputs!$B$43&gt;0),MIN(15,Inputs!$B$43)/(Inputs!$B$43),0))),0)))&gt;=100),MIN(100,((Inputs!$B$9+((C90=TRUE)*(F90-Calc!F19))+B103+(ArtifactsInput!$M$24-ArtifactsInput!$M$24)*CHOOSE(ArtifactsInput!$N$24+1,10,12,14,16,18,20)+IF(ArtifactsInput!$M$10,CHOOSE(ArtifactsInput!$N$10+1,15,18,21,24,27,30)*(IF(Inputs!$B$38="pvp",MIN(15,15)/15,IF(AND(Inputs!$B$38&lt;&gt;"pvp",Inputs!$B$43&gt;0),MIN(15,Inputs!$B$43)/(Inputs!$B$43),0))),0)))-100),0))*CHOOSE(ArtifactsInput!$N$42+1,0.6,0.72,0.84,0.96,1.08,1.2))),Inputs!$B$18+((C98=TRUE)*(F98-Calc!F27))+(IF(AND(ArtifactsInput!$M$42,((Inputs!$B$9+((C90=TRUE)*(F90-Calc!F19))+B103+(ArtifactsInput!$M$24-ArtifactsInput!$M$24)*CHOOSE(ArtifactsInput!$N$24+1,10,12,14,16,18,20)+IF(ArtifactsInput!$M$10,CHOOSE(ArtifactsInput!$N$10+1,15,18,21,24,27,30)*(IF(Inputs!$B$38="pvp",MIN(15,15)/15,IF(AND(Inputs!$B$38&lt;&gt;"pvp",Inputs!$B$43&gt;0),MIN(15,Inputs!$B$43)/(Inputs!$B$43),0))),0)))&gt;=100),CHOOSE(ArtifactsInput!$N$42+1,40,48,56,64,72,80),0))))/100)*((1+(((C84=TRUE)*F84)+((C85=TRUE)*IF(Inputs!$B$38="pvp",F85,(1-Summary!$B$11)*(F85)+Summary!$B$11*(0)))+((C86=TRUE)*F86*IF(AND(Inputs!$B$38&lt;&gt;"pvp",Inputs!$B$43&gt;0),(((R86-1)*(Skills!T15*(1+Inputs!$B$34/100))+MIN((Skills!T15*(1+Inputs!$B$34/100)),MAX(0,Inputs!$B$43-((R86-1)*Skills!D15))))/Inputs!$B$43),IF(Inputs!$B$38="pvp",MIN((Skills!T15*(1+Inputs!$B$34/100)),15)/15,(Skills!T15*(1+Inputs!$B$34/100))/Skills!D15)))+((C83=TRUE)*F83)+((C100=TRUE)*(F100-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82)</f>
        <v/>
      </c>
      <c r="L82">
        <f>K82*(MIN(Inputs!$B$22+((C94=TRUE)*(F94-Calc!F23)),(Inputs!$B$23+((C99=TRUE)*(F99-Calc!F28))+(IF(ArtifactsInput!$M$15,CHOOSE(ArtifactsInput!$N$15+1,25,30,35,40,45,50)/100*(Inputs!$B$11-Inputs!$B$11),0))))/100+(Inputs!$B$23+((C99=TRUE)*(F99-Calc!F28))+(IF(ArtifactsInput!$M$15,CHOOSE(ArtifactsInput!$N$15+1,25,30,35,40,45,50)/100*(Inputs!$B$11-Inputs!$B$11),0)))/100)/2</f>
        <v/>
      </c>
      <c r="M82">
        <f>L82*(1+(Inputs!$B$10+0+B108+(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82">
        <f>L82*(1-MIN((Inputs!$B$9+((C90=TRUE)*(F90-Calc!F19))+B103+(ArtifactsInput!$M$24-ArtifactsInput!$M$24)*CHOOSE(ArtifactsInput!$N$24+1,10,12,14,16,18,20)+(IF(AND(ArtifactsInput!$M$42,((Inputs!$B$9+((C90=TRUE)*(F90-Calc!F19))+B103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82*(MIN((Inputs!$B$9+((C90=TRUE)*(F90-Calc!F19))+B103+(ArtifactsInput!$M$24-ArtifactsInput!$M$24)*CHOOSE(ArtifactsInput!$N$24+1,10,12,14,16,18,20)+(IF(AND(ArtifactsInput!$M$42,((Inputs!$B$9+((C90=TRUE)*(F90-Calc!F19))+B103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82">
        <f>(1-Summary!$B$11)*T82+Summary!$B$11*V82</f>
        <v/>
      </c>
      <c r="P82">
        <f>IF(B113=0,0,O82/B113)</f>
        <v/>
      </c>
      <c r="Q82">
        <f>IFERROR(1/IF(Inputs!$B$38="pvp",15,MAX(0.1,Skills!D11-IF(Skills!E11=TRUE,Inputs!$B$32,0))),0)</f>
        <v/>
      </c>
      <c r="R82">
        <f>IF(AND(Inputs!$B$38&lt;&gt;"pvp",Inputs!$B$43&gt;0),IF(MAX(0,Inputs!$B$43-B110)&lt;=0,0,(INT(MAX(0,Inputs!$B$43-B110)/IF(Inputs!$B$38="pvp",15,MAX(0.1,Skills!D11-IF(Skills!E11=TRUE,Inputs!$B$32,0))))+1)),0)</f>
        <v/>
      </c>
      <c r="S82">
        <f>IFERROR((H82*N82*IF(AND(Inputs!$B$38&lt;&gt;"pvp",Inputs!$B$43&gt;0),((Skills!G11*((R82-1)*IF(Skills!H11&gt;0,Skills!I11/Skills!H11,1)+IF(Skills!H11&gt;0,MIN(Skills!I11,MAX(0,MAX(0,Inputs!$B$43-B110)-((R82-1)*IF(Inputs!$B$38="pvp",15,MAX(0.1,Skills!D11-IF(Skills!E11=TRUE,Inputs!$B$32,0))))))/Skills!H11,1)))/Inputs!$B$43),G82*Q82))/N82*IF(Inputs!$B$38="pvp",1,(1-Summary!$B$11)*1+Summary!$B$11*(MIN(Skills!R11,Inputs!$B$37))),0)</f>
        <v/>
      </c>
      <c r="T82">
        <f>IF(C82,(H82*N82*IF(AND(Inputs!$B$38&lt;&gt;"pvp",Inputs!$B$43&gt;0),((Skills!G11*((R82-1)*IF(Skills!H11&gt;0,Skills!I11/Skills!H11,1)+IF(Skills!H11&gt;0,MIN(Skills!I11,MAX(0,MAX(0,Inputs!$B$43-B110)-((R82-1)*IF(Inputs!$B$38="pvp",15,MAX(0.1,Skills!D11-IF(Skills!E11=TRUE,Inputs!$B$32,0))))))/Skills!H11,1)))/Inputs!$B$43),G82*Q82))*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Hunt"),CHOOSE(ArtifactsInput!$N$35+1,15,18,21,24,27,30)*(1-EXP(-(0.2*B105)*5)),0)+IF(AND(ArtifactsInput!$M$22,Inputs!$B$4&lt;&gt;"Chapter Hunt"),CHOOSE(ArtifactsInput!$N$22+1,10,12,14,16,18,20)*((0*(((0.15*B105*5))^0/1)+1*(((0.15*B105*5))^1/1)+2*(((0.15*B105*5))^2/2)+3*(((0.15*B105*5))^3/6)+4*(((0.15*B105*5))^4/24)+5*(((0.15*B105*5))^5/120))/((((0.15*B105*5))^0/1)+(((0.15*B105*5))^1/1)+(((0.15*B105*5))^2/2)+(((0.15*B105*5))^3/6)+(((0.15*B105*5))^4/24)+(((0.15*B105*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82*(1-MIN(100,(Inputs!$B$9+((C90=TRUE)*(F90-Calc!F19))+B103+(ArtifactsInput!$M$24-ArtifactsInput!$M$24)*CHOOSE(ArtifactsInput!$N$24+1,10,12,14,16,18,20)+(IF(AND(ArtifactsInput!$M$42,((Inputs!$B$9+((C90=TRUE)*(F90-Calc!F19))+B103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82*(MIN(100,(Inputs!$B$9+((C90=TRUE)*(F90-Calc!F19))+B103+(ArtifactsInput!$M$24-ArtifactsInput!$M$24)*CHOOSE(ArtifactsInput!$N$24+1,10,12,14,16,18,20)+(IF(AND(ArtifactsInput!$M$42,((Inputs!$B$9+((C90=TRUE)*(F90-Calc!F19))+B103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82*(1-MIN(100,(Inputs!$B$9+((C90=TRUE)*(F90-Calc!F19))+B103+(ArtifactsInput!$M$24-ArtifactsInput!$M$24)*CHOOSE(ArtifactsInput!$N$24+1,10,12,14,16,18,20)+(IF(AND(ArtifactsInput!$M$42,((Inputs!$B$9+((C90=TRUE)*(F90-Calc!F19))+B103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82*(MIN(100,(Inputs!$B$9+((C90=TRUE)*(F90-Calc!F19))+B103+(ArtifactsInput!$M$24-ArtifactsInput!$M$24)*CHOOSE(ArtifactsInput!$N$24+1,10,12,14,16,18,20)+(IF(AND(ArtifactsInput!$M$42,((Inputs!$B$9+((C90=TRUE)*(F90-Calc!F19))+B103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82">
        <f>IF(C82,(H82*N82*IF(AND(Inputs!$B$38&lt;&gt;"pvp",Inputs!$B$43&gt;0),((Skills!G11*((R82-1)*IF(Skills!H11&gt;0,Skills!I11/Skills!H11,1)+IF(Skills!H11&gt;0,MIN(Skills!I11,MAX(0,MAX(0,Inputs!$B$43-B110)-((R82-1)*IF(Inputs!$B$38="pvp",15,MAX(0.1,Skills!D11-IF(Skills!E11=TRUE,Inputs!$B$32,0))))))/Skills!H11,1)))/Inputs!$B$43),G82*Q82))*IF(Inputs!$B$38="pvp",1,(1+(Inputs!$B$21+Skills!Q11+(IF(ArtifactsInput!$M$33,CHOOSE(ArtifactsInput!$N$33+1,30,36,42,48,54,60),0))+(IF(AND(ArtifactsInput!$M$35,Inputs!$B$4&lt;&gt;"Chapter Hunt"),CHOOSE(ArtifactsInput!$N$35+1,15,18,21,24,27,30)*(1-EXP(-(0.2*B105)*5)),0)+IF(AND(ArtifactsInput!$M$22,Inputs!$B$4&lt;&gt;"Chapter Hunt"),CHOOSE(ArtifactsInput!$N$22+1,10,12,14,16,18,20)*((0*(((0.15*B105*5))^0/1)+1*(((0.15*B105*5))^1/1)+2*(((0.15*B105*5))^2/2)+3*(((0.15*B105*5))^3/6)+4*(((0.15*B105*5))^4/24)+5*(((0.15*B105*5))^5/120))/((((0.15*B105*5))^0/1)+(((0.15*B105*5))^1/1)+(((0.15*B105*5))^2/2)+(((0.15*B105*5))^3/6)+(((0.15*B105*5))^4/24)+(((0.15*B105*5))^5/120))),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83">
      <c r="A83">
        <f>Skills!A12</f>
        <v/>
      </c>
      <c r="B83">
        <f>Skills!B12</f>
        <v/>
      </c>
      <c r="C83">
        <f>Inputs!$B$3&gt;=60</f>
        <v/>
      </c>
      <c r="D83">
        <f>IF(Skills!C12=1,60+Inputs!$B$25+Inputs!$B$29,IF(Skills!C12=2,90+Inputs!$B$26+Inputs!$B$29,IF(Skills!C12=3,120+Inputs!$B$27+Inputs!$B$29,MAX(0,(Inputs!$B$3-100)*3)+Inputs!$B$28+Inputs!$B$29)))</f>
        <v/>
      </c>
      <c r="E83">
        <f>INDEX(FactorTable!$B$2:$Y$301, MATCH(ROUND(MIN(300,MAX(1,D83)),0), FactorTable!$A$2:$A$301,0), Skills!M12+1)</f>
        <v/>
      </c>
      <c r="F83">
        <f>IF(Skills!N12=TRUE,(Skills!L12/10)*(E83/1000),Skills!L12/10)+Skills!O12</f>
        <v/>
      </c>
      <c r="G83">
        <f>Skills!G12*IF(Skills!H12&gt;0,Skills!I12/Skills!H12,1)</f>
        <v/>
      </c>
      <c r="H83">
        <f>1-(1-Skills!J12/100)^Skills!K12</f>
        <v/>
      </c>
      <c r="I83" t="inlineStr">
        <is>
          <t>1</t>
        </is>
      </c>
      <c r="J83" t="inlineStr"/>
      <c r="K83" t="inlineStr"/>
      <c r="L83" t="inlineStr"/>
      <c r="M83" t="inlineStr"/>
      <c r="N83" t="inlineStr"/>
      <c r="O83">
        <f>(1-Summary!$B$11)*T83+Summary!$B$11*V83</f>
        <v/>
      </c>
      <c r="P83">
        <f>IF(B113=0,0,O83/B113)</f>
        <v/>
      </c>
      <c r="Q83" t="n">
        <v>0</v>
      </c>
      <c r="R83" t="n">
        <v>0</v>
      </c>
      <c r="S83" t="n">
        <v>0</v>
      </c>
      <c r="T83" t="n">
        <v>0</v>
      </c>
      <c r="V83" t="n">
        <v>0</v>
      </c>
    </row>
    <row r="84">
      <c r="A84">
        <f>Skills!A13</f>
        <v/>
      </c>
      <c r="B84">
        <f>Skills!B13</f>
        <v/>
      </c>
      <c r="C84">
        <f>Inputs!$B$3&gt;=74</f>
        <v/>
      </c>
      <c r="D84">
        <f>IF(Skills!C13=1,60+Inputs!$B$25+Inputs!$B$29,IF(Skills!C13=2,90+Inputs!$B$26+Inputs!$B$29,IF(Skills!C13=3,120+Inputs!$B$27+Inputs!$B$29,MAX(0,(Inputs!$B$3-100)*3)+Inputs!$B$28+Inputs!$B$29)))</f>
        <v/>
      </c>
      <c r="E84">
        <f>INDEX(FactorTable!$B$2:$Y$301, MATCH(ROUND(MIN(300,MAX(1,D84)),0), FactorTable!$A$2:$A$301,0), Skills!M13+1)</f>
        <v/>
      </c>
      <c r="F84">
        <f>IF(Skills!N13=TRUE,(Skills!L13/10)*(E84/1000),Skills!L13/10)+Skills!O13</f>
        <v/>
      </c>
      <c r="G84">
        <f>Skills!G13*IF(Skills!H13&gt;0,Skills!I13/Skills!H13,1)</f>
        <v/>
      </c>
      <c r="H84">
        <f>1-(1-Skills!J13/100)^Skills!K13</f>
        <v/>
      </c>
      <c r="I84" t="inlineStr">
        <is>
          <t>1</t>
        </is>
      </c>
      <c r="J84" t="inlineStr"/>
      <c r="K84" t="inlineStr"/>
      <c r="L84" t="inlineStr"/>
      <c r="M84" t="inlineStr"/>
      <c r="N84" t="inlineStr"/>
      <c r="O84">
        <f>(1-Summary!$B$11)*T84+Summary!$B$11*V84</f>
        <v/>
      </c>
      <c r="P84">
        <f>IF(B113=0,0,O84/B113)</f>
        <v/>
      </c>
      <c r="Q84" t="n">
        <v>0</v>
      </c>
      <c r="R84" t="n">
        <v>0</v>
      </c>
      <c r="S84" t="n">
        <v>0</v>
      </c>
      <c r="T84" t="n">
        <v>0</v>
      </c>
      <c r="V84" t="n">
        <v>0</v>
      </c>
    </row>
    <row r="85">
      <c r="A85">
        <f>Skills!A14</f>
        <v/>
      </c>
      <c r="B85">
        <f>Skills!B14</f>
        <v/>
      </c>
      <c r="C85">
        <f>Inputs!$B$3&gt;=74</f>
        <v/>
      </c>
      <c r="D85">
        <f>IF(Skills!C14=1,60+Inputs!$B$25+Inputs!$B$29,IF(Skills!C14=2,90+Inputs!$B$26+Inputs!$B$29,IF(Skills!C14=3,120+Inputs!$B$27+Inputs!$B$29,MAX(0,(Inputs!$B$3-100)*3)+Inputs!$B$28+Inputs!$B$29)))</f>
        <v/>
      </c>
      <c r="E85">
        <f>INDEX(FactorTable!$B$2:$Y$301, MATCH(ROUND(MIN(300,MAX(1,D85)),0), FactorTable!$A$2:$A$301,0), Skills!M14+1)</f>
        <v/>
      </c>
      <c r="F85">
        <f>IF(Skills!N14=TRUE,(Skills!L14/10)*(E85/1000),Skills!L14/10)+Skills!O14</f>
        <v/>
      </c>
      <c r="G85">
        <f>Skills!G14*IF(Skills!H14&gt;0,Skills!I14/Skills!H14,1)</f>
        <v/>
      </c>
      <c r="H85">
        <f>1-(1-Skills!J14/100)^Skills!K14</f>
        <v/>
      </c>
      <c r="I85" t="inlineStr">
        <is>
          <t>1</t>
        </is>
      </c>
      <c r="J85" t="inlineStr"/>
      <c r="K85" t="inlineStr"/>
      <c r="L85" t="inlineStr"/>
      <c r="M85" t="inlineStr"/>
      <c r="N85" t="inlineStr"/>
      <c r="O85">
        <f>(1-Summary!$B$11)*T85+Summary!$B$11*V85</f>
        <v/>
      </c>
      <c r="P85">
        <f>IF(B113=0,0,O85/B113)</f>
        <v/>
      </c>
      <c r="Q85" t="n">
        <v>0</v>
      </c>
      <c r="R85" t="n">
        <v>0</v>
      </c>
      <c r="S85" t="n">
        <v>0</v>
      </c>
      <c r="T85" t="n">
        <v>0</v>
      </c>
      <c r="V85" t="n">
        <v>0</v>
      </c>
    </row>
    <row r="86">
      <c r="A86">
        <f>Skills!A15</f>
        <v/>
      </c>
      <c r="B86">
        <f>Skills!B15</f>
        <v/>
      </c>
      <c r="C86">
        <f>Inputs!$B$3&gt;=117</f>
        <v/>
      </c>
      <c r="D86">
        <f>IF(Skills!C15=1,60+Inputs!$B$25+Inputs!$B$29,IF(Skills!C15=2,90+Inputs!$B$26+Inputs!$B$29,IF(Skills!C15=3,120+Inputs!$B$27+Inputs!$B$29,MAX(0,(Inputs!$B$3-100)*3)+Inputs!$B$28+Inputs!$B$29)))</f>
        <v/>
      </c>
      <c r="E86">
        <f>INDEX(FactorTable!$B$2:$Y$301, MATCH(ROUND(MIN(300,MAX(1,D86)),0), FactorTable!$A$2:$A$301,0), Skills!M15+1)</f>
        <v/>
      </c>
      <c r="F86">
        <f>IF(Skills!N15=TRUE,(Skills!L15/10)*(E86/1000),Skills!L15/10)+Skills!O15</f>
        <v/>
      </c>
      <c r="G86">
        <f>Skills!G15*IF(Skills!H15&gt;0,Skills!I15/Skills!H15,1)</f>
        <v/>
      </c>
      <c r="H86">
        <f>1-(1-Skills!J15/100)^Skills!K15</f>
        <v/>
      </c>
      <c r="I86" t="inlineStr">
        <is>
          <t>1</t>
        </is>
      </c>
      <c r="J86" t="inlineStr"/>
      <c r="K86" t="inlineStr"/>
      <c r="L86" t="inlineStr"/>
      <c r="M86" t="inlineStr"/>
      <c r="N86" t="inlineStr"/>
      <c r="O86">
        <f>(1-Summary!$B$11)*T86+Summary!$B$11*V86</f>
        <v/>
      </c>
      <c r="P86">
        <f>IF(B113=0,0,O86/B113)</f>
        <v/>
      </c>
      <c r="Q86">
        <f>IFERROR(1/IF(Inputs!$B$38="pvp",15,MAX(0.1,Skills!D15-IF(Skills!E15=TRUE,Inputs!$B$32,0))),0)</f>
        <v/>
      </c>
      <c r="R86">
        <f>IF(AND(Inputs!$B$38&lt;&gt;"pvp",Inputs!$B$43&gt;0),IF(Inputs!$B$43&lt;=0,0,(INT(Inputs!$B$43/IF(Inputs!$B$38="pvp",15,MAX(0.1,Skills!D15-IF(Skills!E15=TRUE,Inputs!$B$32,0))))+1)),0)</f>
        <v/>
      </c>
      <c r="S86" t="n">
        <v>0</v>
      </c>
      <c r="T86" t="n">
        <v>0</v>
      </c>
      <c r="V86" t="n">
        <v>0</v>
      </c>
    </row>
    <row r="87">
      <c r="A87">
        <f>Skills!A16</f>
        <v/>
      </c>
      <c r="B87">
        <f>Skills!B16</f>
        <v/>
      </c>
      <c r="C87">
        <f>Inputs!$B$3&gt;=115</f>
        <v/>
      </c>
      <c r="D87">
        <f>IF(Skills!C16=1,60+Inputs!$B$25+Inputs!$B$29,IF(Skills!C16=2,90+Inputs!$B$26+Inputs!$B$29,IF(Skills!C16=3,120+Inputs!$B$27+Inputs!$B$29,MAX(0,(Inputs!$B$3-100)*3)+Inputs!$B$28+Inputs!$B$29)))</f>
        <v/>
      </c>
      <c r="E87">
        <f>INDEX(FactorTable!$B$2:$Y$301, MATCH(ROUND(MIN(300,MAX(1,D87)),0), FactorTable!$A$2:$A$301,0), Skills!M16+1)</f>
        <v/>
      </c>
      <c r="F87">
        <f>IF(Skills!N16=TRUE,(Skills!L16/10)*(E87/1000),Skills!L16/10)+Skills!O16</f>
        <v/>
      </c>
      <c r="G87">
        <f>Skills!G16*IF(Skills!H16&gt;0,Skills!I16/Skills!H16,1)</f>
        <v/>
      </c>
      <c r="H87">
        <f>1-(1-Skills!J16/100)^Skills!K16</f>
        <v/>
      </c>
      <c r="I87" t="inlineStr">
        <is>
          <t>1</t>
        </is>
      </c>
      <c r="J87" t="inlineStr"/>
      <c r="K87" t="inlineStr"/>
      <c r="L87" t="inlineStr"/>
      <c r="M87" t="inlineStr"/>
      <c r="N87" t="inlineStr"/>
      <c r="O87">
        <f>(1-Summary!$B$11)*T87+Summary!$B$11*V87</f>
        <v/>
      </c>
      <c r="P87">
        <f>IF(B113=0,0,O87/B113)</f>
        <v/>
      </c>
      <c r="Q87">
        <f>IFERROR(1/IF(Inputs!$B$38="pvp",15,MAX(0.1,Skills!D16-IF(Skills!E16=TRUE,Inputs!$B$32,0))),0)</f>
        <v/>
      </c>
      <c r="R87">
        <f>IF(AND(Inputs!$B$38&lt;&gt;"pvp",Inputs!$B$43&gt;0),IF(Inputs!$B$43&lt;=0,0,(INT(Inputs!$B$43/IF(Inputs!$B$38="pvp",15,MAX(0.1,Skills!D16-IF(Skills!E16=TRUE,Inputs!$B$32,0))))+1)),0)</f>
        <v/>
      </c>
      <c r="S87" t="n">
        <v>0</v>
      </c>
      <c r="T87" t="n">
        <v>0</v>
      </c>
      <c r="V87" t="n">
        <v>0</v>
      </c>
    </row>
    <row r="88">
      <c r="A88">
        <f>Skills!A17</f>
        <v/>
      </c>
      <c r="B88">
        <f>Skills!B17</f>
        <v/>
      </c>
      <c r="C88">
        <f>Inputs!$B$3&gt;=72</f>
        <v/>
      </c>
      <c r="D88">
        <f>IF(Skills!C17=1,60+Inputs!$B$25+Inputs!$B$29,IF(Skills!C17=2,90+Inputs!$B$26+Inputs!$B$29,IF(Skills!C17=3,120+Inputs!$B$27+Inputs!$B$29,MAX(0,(Inputs!$B$3-100)*3)+Inputs!$B$28+Inputs!$B$29)))</f>
        <v/>
      </c>
      <c r="E88">
        <f>INDEX(FactorTable!$B$2:$Y$301, MATCH(ROUND(MIN(300,MAX(1,D88)),0), FactorTable!$A$2:$A$301,0), Skills!M17+1)</f>
        <v/>
      </c>
      <c r="F88">
        <f>IF(Skills!N17=TRUE,(Skills!L17/10)*(E88/1000),Skills!L17/10)+Skills!O17</f>
        <v/>
      </c>
      <c r="G88">
        <f>Skills!G17*IF(Skills!H17&gt;0,Skills!I17/Skills!H17,1)</f>
        <v/>
      </c>
      <c r="H88">
        <f>1-(1-Skills!J17/100)^Skills!K17</f>
        <v/>
      </c>
      <c r="I88" t="inlineStr">
        <is>
          <t>1</t>
        </is>
      </c>
      <c r="J88" t="inlineStr"/>
      <c r="K88" t="inlineStr"/>
      <c r="L88" t="inlineStr"/>
      <c r="M88" t="inlineStr"/>
      <c r="N88" t="inlineStr"/>
      <c r="O88">
        <f>(1-Summary!$B$11)*T88+Summary!$B$11*V88</f>
        <v/>
      </c>
      <c r="P88">
        <f>IF(B113=0,0,O88/B113)</f>
        <v/>
      </c>
      <c r="Q88" t="n">
        <v>0</v>
      </c>
      <c r="R88" t="n">
        <v>0</v>
      </c>
      <c r="S88" t="n">
        <v>0</v>
      </c>
      <c r="T88" t="n">
        <v>0</v>
      </c>
      <c r="V88" t="n">
        <v>0</v>
      </c>
    </row>
    <row r="89">
      <c r="A89">
        <f>Skills!A18</f>
        <v/>
      </c>
      <c r="B89">
        <f>Skills!B18</f>
        <v/>
      </c>
      <c r="C89">
        <f>TRUE</f>
        <v/>
      </c>
      <c r="D89">
        <f>IF(Skills!C18=1,60+Inputs!$B$25+Inputs!$B$29,IF(Skills!C18=2,90+Inputs!$B$26+Inputs!$B$29,IF(Skills!C18=3,120+Inputs!$B$27+Inputs!$B$29,MAX(0,(Inputs!$B$3-100)*3)+Inputs!$B$28+Inputs!$B$29)))</f>
        <v/>
      </c>
      <c r="E89">
        <f>INDEX(FactorTable!$B$2:$Y$301, MATCH(ROUND(MIN(300,MAX(1,D89)),0), FactorTable!$A$2:$A$301,0), Skills!M18+1)</f>
        <v/>
      </c>
      <c r="F89">
        <f>IF(Skills!N18=TRUE,(Skills!L18/10)*(E89/1000),Skills!L18/10)+Skills!O18</f>
        <v/>
      </c>
      <c r="G89">
        <f>Skills!G18*IF(Skills!H18&gt;0,Skills!I18/Skills!H18,1)</f>
        <v/>
      </c>
      <c r="H89">
        <f>1-(1-Skills!J18/100)^Skills!K18</f>
        <v/>
      </c>
      <c r="I89" t="inlineStr">
        <is>
          <t>1</t>
        </is>
      </c>
      <c r="J89" t="inlineStr"/>
      <c r="K89" t="inlineStr"/>
      <c r="L89" t="inlineStr"/>
      <c r="M89" t="inlineStr"/>
      <c r="N89" t="inlineStr"/>
      <c r="O89">
        <f>(1-Summary!$B$11)*T89+Summary!$B$11*V89</f>
        <v/>
      </c>
      <c r="P89">
        <f>IF(B113=0,0,O89/B113)</f>
        <v/>
      </c>
      <c r="Q89">
        <f>IFERROR(1/IF(Inputs!$B$38="pvp",15,MAX(0.1,Skills!D18-IF(Skills!E18=TRUE,Inputs!$B$32,0))),0)</f>
        <v/>
      </c>
      <c r="R89">
        <f>IF(AND(Inputs!$B$38&lt;&gt;"pvp",Inputs!$B$43&gt;0),IF(Inputs!$B$43&lt;=0,0,(INT(Inputs!$B$43/IF(Inputs!$B$38="pvp",15,MAX(0.1,Skills!D18-IF(Skills!E18=TRUE,Inputs!$B$32,0))))+1)),0)</f>
        <v/>
      </c>
      <c r="S89" t="n">
        <v>0</v>
      </c>
      <c r="T89" t="n">
        <v>0</v>
      </c>
      <c r="V89" t="n">
        <v>0</v>
      </c>
    </row>
    <row r="90">
      <c r="A90">
        <f>Skills!A19</f>
        <v/>
      </c>
      <c r="B90">
        <f>Skills!B19</f>
        <v/>
      </c>
      <c r="C90">
        <f>Inputs!$B$3&gt;=15</f>
        <v/>
      </c>
      <c r="D90">
        <f>IF(Skills!C19=1,60+Inputs!$B$25+Inputs!$B$29,IF(Skills!C19=2,90+Inputs!$B$26+Inputs!$B$29,IF(Skills!C19=3,120+Inputs!$B$27+Inputs!$B$29,MAX(0,(Inputs!$B$3-100)*3)+Inputs!$B$28+Inputs!$B$29)))</f>
        <v/>
      </c>
      <c r="E90">
        <f>INDEX(FactorTable!$B$2:$Y$301, MATCH(ROUND(MIN(300,MAX(1,D90)),0), FactorTable!$A$2:$A$301,0), Skills!M19+1)</f>
        <v/>
      </c>
      <c r="F90">
        <f>IF(Skills!N19=TRUE,(Skills!L19/10)*(E90/1000),Skills!L19/10)+Skills!O19</f>
        <v/>
      </c>
      <c r="G90">
        <f>Skills!G19*IF(Skills!H19&gt;0,Skills!I19/Skills!H19,1)</f>
        <v/>
      </c>
      <c r="H90">
        <f>1-(1-Skills!J19/100)^Skills!K19</f>
        <v/>
      </c>
      <c r="I90" t="inlineStr">
        <is>
          <t>1</t>
        </is>
      </c>
      <c r="J90" t="inlineStr"/>
      <c r="K90" t="inlineStr"/>
      <c r="L90" t="inlineStr"/>
      <c r="M90" t="inlineStr"/>
      <c r="N90" t="inlineStr"/>
      <c r="O90">
        <f>(1-Summary!$B$11)*T90+Summary!$B$11*V90</f>
        <v/>
      </c>
      <c r="P90">
        <f>IF(B113=0,0,O90/B113)</f>
        <v/>
      </c>
      <c r="Q90" t="n">
        <v>0</v>
      </c>
      <c r="R90" t="n">
        <v>0</v>
      </c>
      <c r="S90" t="n">
        <v>0</v>
      </c>
      <c r="T90" t="n">
        <v>0</v>
      </c>
      <c r="V90" t="n">
        <v>0</v>
      </c>
    </row>
    <row r="91">
      <c r="A91">
        <f>Skills!A20</f>
        <v/>
      </c>
      <c r="B91">
        <f>Skills!B20</f>
        <v/>
      </c>
      <c r="C91">
        <f>Inputs!$B$3&gt;=10</f>
        <v/>
      </c>
      <c r="D91">
        <f>IF(Skills!C20=1,60+Inputs!$B$25+Inputs!$B$29,IF(Skills!C20=2,90+Inputs!$B$26+Inputs!$B$29,IF(Skills!C20=3,120+Inputs!$B$27+Inputs!$B$29,MAX(0,(Inputs!$B$3-100)*3)+Inputs!$B$28+Inputs!$B$29)))</f>
        <v/>
      </c>
      <c r="E91">
        <f>INDEX(FactorTable!$B$2:$Y$301, MATCH(ROUND(MIN(300,MAX(1,D91)),0), FactorTable!$A$2:$A$301,0), Skills!M20+1)</f>
        <v/>
      </c>
      <c r="F91">
        <f>IF(Skills!N20=TRUE,(Skills!L20/10)*(E91/1000),Skills!L20/10)+Skills!O20</f>
        <v/>
      </c>
      <c r="G91">
        <f>Skills!G20*IF(Skills!H20&gt;0,Skills!I20/Skills!H20,1)</f>
        <v/>
      </c>
      <c r="H91">
        <f>1-(1-Skills!J20/100)^Skills!K20</f>
        <v/>
      </c>
      <c r="I91" t="inlineStr">
        <is>
          <t>1</t>
        </is>
      </c>
      <c r="J91" t="inlineStr"/>
      <c r="K91" t="inlineStr"/>
      <c r="L91" t="inlineStr"/>
      <c r="M91" t="inlineStr"/>
      <c r="N91" t="inlineStr"/>
      <c r="O91">
        <f>(1-Summary!$B$11)*T91+Summary!$B$11*V91</f>
        <v/>
      </c>
      <c r="P91">
        <f>IF(B113=0,0,O91/B113)</f>
        <v/>
      </c>
      <c r="Q91" t="n">
        <v>0</v>
      </c>
      <c r="R91" t="n">
        <v>0</v>
      </c>
      <c r="S91" t="n">
        <v>0</v>
      </c>
      <c r="T91" t="n">
        <v>0</v>
      </c>
      <c r="V91" t="n">
        <v>0</v>
      </c>
    </row>
    <row r="92">
      <c r="A92">
        <f>Skills!A21</f>
        <v/>
      </c>
      <c r="B92">
        <f>Skills!B21</f>
        <v/>
      </c>
      <c r="C92">
        <f>Inputs!$B$3&gt;=33</f>
        <v/>
      </c>
      <c r="D92">
        <f>IF(Skills!C21=1,60+Inputs!$B$25+Inputs!$B$29,IF(Skills!C21=2,90+Inputs!$B$26+Inputs!$B$29,IF(Skills!C21=3,120+Inputs!$B$27+Inputs!$B$29,MAX(0,(Inputs!$B$3-100)*3)+Inputs!$B$28+Inputs!$B$29)))</f>
        <v/>
      </c>
      <c r="E92">
        <f>INDEX(FactorTable!$B$2:$Y$301, MATCH(ROUND(MIN(300,MAX(1,D92)),0), FactorTable!$A$2:$A$301,0), Skills!M21+1)</f>
        <v/>
      </c>
      <c r="F92">
        <f>IF(Skills!N21=TRUE,(Skills!L21/10)*(E92/1000),Skills!L21/10)+Skills!O21</f>
        <v/>
      </c>
      <c r="G92">
        <f>Skills!G21*IF(Skills!H21&gt;0,Skills!I21/Skills!H21,1)</f>
        <v/>
      </c>
      <c r="H92">
        <f>1-(1-Skills!J21/100)^Skills!K21</f>
        <v/>
      </c>
      <c r="I92" t="inlineStr">
        <is>
          <t>1</t>
        </is>
      </c>
      <c r="J92" t="inlineStr"/>
      <c r="K92" t="inlineStr"/>
      <c r="L92" t="inlineStr"/>
      <c r="M92" t="inlineStr"/>
      <c r="N92" t="inlineStr"/>
      <c r="O92">
        <f>(1-Summary!$B$11)*T92+Summary!$B$11*V92</f>
        <v/>
      </c>
      <c r="P92">
        <f>IF(B113=0,0,O92/B113)</f>
        <v/>
      </c>
      <c r="Q92" t="n">
        <v>0</v>
      </c>
      <c r="R92" t="n">
        <v>0</v>
      </c>
      <c r="S92" t="n">
        <v>0</v>
      </c>
      <c r="T92" t="n">
        <v>0</v>
      </c>
      <c r="V92" t="n">
        <v>0</v>
      </c>
    </row>
    <row r="93">
      <c r="A93">
        <f>Skills!A22</f>
        <v/>
      </c>
      <c r="B93">
        <f>Skills!B22</f>
        <v/>
      </c>
      <c r="C93">
        <f>Inputs!$B$3&gt;=38</f>
        <v/>
      </c>
      <c r="D93">
        <f>IF(Skills!C22=1,60+Inputs!$B$25+Inputs!$B$29,IF(Skills!C22=2,90+Inputs!$B$26+Inputs!$B$29,IF(Skills!C22=3,120+Inputs!$B$27+Inputs!$B$29,MAX(0,(Inputs!$B$3-100)*3)+Inputs!$B$28+Inputs!$B$29)))</f>
        <v/>
      </c>
      <c r="E93">
        <f>INDEX(FactorTable!$B$2:$Y$301, MATCH(ROUND(MIN(300,MAX(1,D93)),0), FactorTable!$A$2:$A$301,0), Skills!M22+1)</f>
        <v/>
      </c>
      <c r="F93">
        <f>IF(Skills!N22=TRUE,(Skills!L22/10)*(E93/1000),Skills!L22/10)+Skills!O22</f>
        <v/>
      </c>
      <c r="G93">
        <f>Skills!G22*IF(Skills!H22&gt;0,Skills!I22/Skills!H22,1)</f>
        <v/>
      </c>
      <c r="H93">
        <f>1-(1-Skills!J22/100)^Skills!K22</f>
        <v/>
      </c>
      <c r="I93" t="inlineStr">
        <is>
          <t>1</t>
        </is>
      </c>
      <c r="J93" t="inlineStr"/>
      <c r="K93" t="inlineStr"/>
      <c r="L93" t="inlineStr"/>
      <c r="M93" t="inlineStr"/>
      <c r="N93" t="inlineStr"/>
      <c r="O93">
        <f>(1-Summary!$B$11)*T93+Summary!$B$11*V93</f>
        <v/>
      </c>
      <c r="P93">
        <f>IF(B113=0,0,O93/B113)</f>
        <v/>
      </c>
      <c r="Q93" t="n">
        <v>0</v>
      </c>
      <c r="R93" t="n">
        <v>0</v>
      </c>
      <c r="S93" t="n">
        <v>0</v>
      </c>
      <c r="T93" t="n">
        <v>0</v>
      </c>
      <c r="V93" t="n">
        <v>0</v>
      </c>
    </row>
    <row r="94">
      <c r="A94">
        <f>Skills!A23</f>
        <v/>
      </c>
      <c r="B94">
        <f>Skills!B23</f>
        <v/>
      </c>
      <c r="C94">
        <f>Inputs!$B$3&gt;=43</f>
        <v/>
      </c>
      <c r="D94">
        <f>IF(Skills!C23=1,60+Inputs!$B$25+Inputs!$B$29,IF(Skills!C23=2,90+Inputs!$B$26+Inputs!$B$29,IF(Skills!C23=3,120+Inputs!$B$27+Inputs!$B$29,MAX(0,(Inputs!$B$3-100)*3)+Inputs!$B$28+Inputs!$B$29)))</f>
        <v/>
      </c>
      <c r="E94">
        <f>INDEX(FactorTable!$B$2:$Y$301, MATCH(ROUND(MIN(300,MAX(1,D94)),0), FactorTable!$A$2:$A$301,0), Skills!M23+1)</f>
        <v/>
      </c>
      <c r="F94">
        <f>IF(Skills!N23=TRUE,(Skills!L23/10)*(E94/1000),Skills!L23/10)+Skills!O23</f>
        <v/>
      </c>
      <c r="G94">
        <f>Skills!G23*IF(Skills!H23&gt;0,Skills!I23/Skills!H23,1)</f>
        <v/>
      </c>
      <c r="H94">
        <f>1-(1-Skills!J23/100)^Skills!K23</f>
        <v/>
      </c>
      <c r="I94" t="inlineStr">
        <is>
          <t>1</t>
        </is>
      </c>
      <c r="J94" t="inlineStr"/>
      <c r="K94" t="inlineStr"/>
      <c r="L94" t="inlineStr"/>
      <c r="M94" t="inlineStr"/>
      <c r="N94" t="inlineStr"/>
      <c r="O94">
        <f>(1-Summary!$B$11)*T94+Summary!$B$11*V94</f>
        <v/>
      </c>
      <c r="P94">
        <f>IF(B113=0,0,O94/B113)</f>
        <v/>
      </c>
      <c r="Q94" t="n">
        <v>0</v>
      </c>
      <c r="R94" t="n">
        <v>0</v>
      </c>
      <c r="S94" t="n">
        <v>0</v>
      </c>
      <c r="T94" t="n">
        <v>0</v>
      </c>
      <c r="V94" t="n">
        <v>0</v>
      </c>
    </row>
    <row r="95">
      <c r="A95">
        <f>Skills!A24</f>
        <v/>
      </c>
      <c r="B95">
        <f>Skills!B24</f>
        <v/>
      </c>
      <c r="C95">
        <f>Inputs!$B$3&gt;=75</f>
        <v/>
      </c>
      <c r="D95">
        <f>IF(Skills!C24=1,60+Inputs!$B$25+Inputs!$B$29,IF(Skills!C24=2,90+Inputs!$B$26+Inputs!$B$29,IF(Skills!C24=3,120+Inputs!$B$27+Inputs!$B$29,MAX(0,(Inputs!$B$3-100)*3)+Inputs!$B$28+Inputs!$B$29)))</f>
        <v/>
      </c>
      <c r="E95">
        <f>INDEX(FactorTable!$B$2:$Y$301, MATCH(ROUND(MIN(300,MAX(1,D95)),0), FactorTable!$A$2:$A$301,0), Skills!M24+1)</f>
        <v/>
      </c>
      <c r="F95">
        <f>IF(Skills!N24=TRUE,(Skills!L24/10)*(E95/1000),Skills!L24/10)+Skills!O24</f>
        <v/>
      </c>
      <c r="G95">
        <f>Skills!G24*IF(Skills!H24&gt;0,Skills!I24/Skills!H24,1)</f>
        <v/>
      </c>
      <c r="H95">
        <f>1-(1-Skills!J24/100)^Skills!K24</f>
        <v/>
      </c>
      <c r="I95" t="inlineStr">
        <is>
          <t>1</t>
        </is>
      </c>
      <c r="J95" t="inlineStr"/>
      <c r="K95" t="inlineStr"/>
      <c r="L95" t="inlineStr"/>
      <c r="M95" t="inlineStr"/>
      <c r="N95" t="inlineStr"/>
      <c r="O95">
        <f>(1-Summary!$B$11)*T95+Summary!$B$11*V95</f>
        <v/>
      </c>
      <c r="P95">
        <f>IF(B113=0,0,O95/B113)</f>
        <v/>
      </c>
      <c r="Q95" t="n">
        <v>0</v>
      </c>
      <c r="R95" t="n">
        <v>0</v>
      </c>
      <c r="S95" t="n">
        <v>0</v>
      </c>
      <c r="T95" t="n">
        <v>0</v>
      </c>
      <c r="V95" t="n">
        <v>0</v>
      </c>
    </row>
    <row r="96">
      <c r="A96">
        <f>Skills!A25</f>
        <v/>
      </c>
      <c r="B96">
        <f>Skills!B25</f>
        <v/>
      </c>
      <c r="C96">
        <f>Inputs!$B$3&gt;=125</f>
        <v/>
      </c>
      <c r="D96">
        <f>IF(Skills!C25=1,60+Inputs!$B$25+Inputs!$B$29,IF(Skills!C25=2,90+Inputs!$B$26+Inputs!$B$29,IF(Skills!C25=3,120+Inputs!$B$27+Inputs!$B$29,MAX(0,(Inputs!$B$3-100)*3)+Inputs!$B$28+Inputs!$B$29)))</f>
        <v/>
      </c>
      <c r="E96">
        <f>INDEX(FactorTable!$B$2:$Y$301, MATCH(ROUND(MIN(300,MAX(1,D96)),0), FactorTable!$A$2:$A$301,0), Skills!M25+1)</f>
        <v/>
      </c>
      <c r="F96">
        <f>IF(Skills!N25=TRUE,(Skills!L25/10)*(E96/1000),Skills!L25/10)+Skills!O25</f>
        <v/>
      </c>
      <c r="G96">
        <f>Skills!G25*IF(Skills!H25&gt;0,Skills!I25/Skills!H25,1)</f>
        <v/>
      </c>
      <c r="H96">
        <f>1-(1-Skills!J25/100)^Skills!K25</f>
        <v/>
      </c>
      <c r="I96" t="inlineStr">
        <is>
          <t>1</t>
        </is>
      </c>
      <c r="J96" t="inlineStr"/>
      <c r="K96" t="inlineStr"/>
      <c r="L96" t="inlineStr"/>
      <c r="M96" t="inlineStr"/>
      <c r="N96" t="inlineStr"/>
      <c r="O96">
        <f>(1-Summary!$B$11)*T96+Summary!$B$11*V96</f>
        <v/>
      </c>
      <c r="P96">
        <f>IF(B113=0,0,O96/B113)</f>
        <v/>
      </c>
      <c r="Q96" t="n">
        <v>0</v>
      </c>
      <c r="R96" t="n">
        <v>0</v>
      </c>
      <c r="S96" t="n">
        <v>0</v>
      </c>
      <c r="T96" t="n">
        <v>0</v>
      </c>
      <c r="V96" t="n">
        <v>0</v>
      </c>
    </row>
    <row r="97">
      <c r="A97">
        <f>Skills!A26</f>
        <v/>
      </c>
      <c r="B97">
        <f>Skills!B26</f>
        <v/>
      </c>
      <c r="C97">
        <f>Inputs!$B$3&gt;=125</f>
        <v/>
      </c>
      <c r="D97">
        <f>IF(Skills!C26=1,60+Inputs!$B$25+Inputs!$B$29,IF(Skills!C26=2,90+Inputs!$B$26+Inputs!$B$29,IF(Skills!C26=3,120+Inputs!$B$27+Inputs!$B$29,MAX(0,(Inputs!$B$3-100)*3)+Inputs!$B$28+Inputs!$B$29)))</f>
        <v/>
      </c>
      <c r="E97">
        <f>INDEX(FactorTable!$B$2:$Y$301, MATCH(ROUND(MIN(300,MAX(1,D97)),0), FactorTable!$A$2:$A$301,0), Skills!M26+1)</f>
        <v/>
      </c>
      <c r="F97">
        <f>IF(Skills!N26=TRUE,(Skills!L26/10)*(E97/1000),Skills!L26/10)+Skills!O26</f>
        <v/>
      </c>
      <c r="G97">
        <f>Skills!G26*IF(Skills!H26&gt;0,Skills!I26/Skills!H26,1)</f>
        <v/>
      </c>
      <c r="H97">
        <f>1-(1-Skills!J26/100)^Skills!K26</f>
        <v/>
      </c>
      <c r="I97" t="inlineStr">
        <is>
          <t>1</t>
        </is>
      </c>
      <c r="J97" t="inlineStr"/>
      <c r="K97" t="inlineStr"/>
      <c r="L97" t="inlineStr"/>
      <c r="M97" t="inlineStr"/>
      <c r="N97" t="inlineStr"/>
      <c r="O97">
        <f>(1-Summary!$B$11)*T97+Summary!$B$11*V97</f>
        <v/>
      </c>
      <c r="P97">
        <f>IF(B113=0,0,O97/B113)</f>
        <v/>
      </c>
      <c r="Q97" t="n">
        <v>0</v>
      </c>
      <c r="R97" t="n">
        <v>0</v>
      </c>
      <c r="S97" t="n">
        <v>0</v>
      </c>
      <c r="T97" t="n">
        <v>0</v>
      </c>
      <c r="V97" t="n">
        <v>0</v>
      </c>
    </row>
    <row r="98">
      <c r="A98">
        <f>Skills!A27</f>
        <v/>
      </c>
      <c r="B98">
        <f>Skills!B27</f>
        <v/>
      </c>
      <c r="C98">
        <f>Inputs!$B$3&gt;=120</f>
        <v/>
      </c>
      <c r="D98">
        <f>IF(Skills!C27=1,60+Inputs!$B$25+Inputs!$B$29,IF(Skills!C27=2,90+Inputs!$B$26+Inputs!$B$29,IF(Skills!C27=3,120+Inputs!$B$27+Inputs!$B$29,MAX(0,(Inputs!$B$3-100)*3)+Inputs!$B$28+Inputs!$B$29)))</f>
        <v/>
      </c>
      <c r="E98">
        <f>INDEX(FactorTable!$B$2:$Y$301, MATCH(ROUND(MIN(300,MAX(1,D98)),0), FactorTable!$A$2:$A$301,0), Skills!M27+1)</f>
        <v/>
      </c>
      <c r="F98">
        <f>IF(Skills!N27=TRUE,(Skills!L27/10)*(E98/1000),Skills!L27/10)+Skills!O27</f>
        <v/>
      </c>
      <c r="G98">
        <f>Skills!G27*IF(Skills!H27&gt;0,Skills!I27/Skills!H27,1)</f>
        <v/>
      </c>
      <c r="H98">
        <f>1-(1-Skills!J27/100)^Skills!K27</f>
        <v/>
      </c>
      <c r="I98" t="inlineStr">
        <is>
          <t>1</t>
        </is>
      </c>
      <c r="J98" t="inlineStr"/>
      <c r="K98" t="inlineStr"/>
      <c r="L98" t="inlineStr"/>
      <c r="M98" t="inlineStr"/>
      <c r="N98" t="inlineStr"/>
      <c r="O98">
        <f>(1-Summary!$B$11)*T98+Summary!$B$11*V98</f>
        <v/>
      </c>
      <c r="P98">
        <f>IF(B113=0,0,O98/B113)</f>
        <v/>
      </c>
      <c r="Q98" t="n">
        <v>0</v>
      </c>
      <c r="R98" t="n">
        <v>0</v>
      </c>
      <c r="S98" t="n">
        <v>0</v>
      </c>
      <c r="T98" t="n">
        <v>0</v>
      </c>
      <c r="V98" t="n">
        <v>0</v>
      </c>
    </row>
    <row r="99">
      <c r="A99">
        <f>Skills!A28</f>
        <v/>
      </c>
      <c r="B99">
        <f>Skills!B28</f>
        <v/>
      </c>
      <c r="C99">
        <f>Inputs!$B$3&gt;=120</f>
        <v/>
      </c>
      <c r="D99">
        <f>IF(Skills!C28=1,60+Inputs!$B$25+Inputs!$B$29,IF(Skills!C28=2,90+Inputs!$B$26+Inputs!$B$29,IF(Skills!C28=3,120+Inputs!$B$27+Inputs!$B$29,MAX(0,(Inputs!$B$3-100)*3)+Inputs!$B$28+Inputs!$B$29)))</f>
        <v/>
      </c>
      <c r="E99">
        <f>INDEX(FactorTable!$B$2:$Y$301, MATCH(ROUND(MIN(300,MAX(1,D99)),0), FactorTable!$A$2:$A$301,0), Skills!M28+1)</f>
        <v/>
      </c>
      <c r="F99">
        <f>IF(Skills!N28=TRUE,(Skills!L28/10)*(E99/1000),Skills!L28/10)+Skills!O28</f>
        <v/>
      </c>
      <c r="G99">
        <f>Skills!G28*IF(Skills!H28&gt;0,Skills!I28/Skills!H28,1)</f>
        <v/>
      </c>
      <c r="H99">
        <f>1-(1-Skills!J28/100)^Skills!K28</f>
        <v/>
      </c>
      <c r="I99" t="inlineStr">
        <is>
          <t>1</t>
        </is>
      </c>
      <c r="J99" t="inlineStr"/>
      <c r="K99" t="inlineStr"/>
      <c r="L99" t="inlineStr"/>
      <c r="M99" t="inlineStr"/>
      <c r="N99" t="inlineStr"/>
      <c r="O99">
        <f>(1-Summary!$B$11)*T99+Summary!$B$11*V99</f>
        <v/>
      </c>
      <c r="P99">
        <f>IF(B113=0,0,O99/B113)</f>
        <v/>
      </c>
      <c r="Q99" t="n">
        <v>0</v>
      </c>
      <c r="R99" t="n">
        <v>0</v>
      </c>
      <c r="S99" t="n">
        <v>0</v>
      </c>
      <c r="T99" t="n">
        <v>0</v>
      </c>
      <c r="V99" t="n">
        <v>0</v>
      </c>
    </row>
    <row r="100">
      <c r="A100">
        <f>Skills!A29</f>
        <v/>
      </c>
      <c r="B100">
        <f>Skills!B29</f>
        <v/>
      </c>
      <c r="C100">
        <f>Inputs!$B$3&gt;=45</f>
        <v/>
      </c>
      <c r="D100">
        <f>IF(Skills!C29=1,60+Inputs!$B$25+Inputs!$B$29,IF(Skills!C29=2,90+Inputs!$B$26+Inputs!$B$29,IF(Skills!C29=3,120+Inputs!$B$27+Inputs!$B$29,MAX(0,(Inputs!$B$3-100)*3)+Inputs!$B$28+Inputs!$B$29)))</f>
        <v/>
      </c>
      <c r="E100">
        <f>INDEX(FactorTable!$B$2:$Y$301, MATCH(ROUND(MIN(300,MAX(1,D100)),0), FactorTable!$A$2:$A$301,0), Skills!M29+1)</f>
        <v/>
      </c>
      <c r="F100">
        <f>IF(Skills!N29=TRUE,(Skills!L29/10)*(E100/1000),Skills!L29/10)+Skills!O29</f>
        <v/>
      </c>
      <c r="G100">
        <f>Skills!G29*IF(Skills!H29&gt;0,Skills!I29/Skills!H29,1)</f>
        <v/>
      </c>
      <c r="H100">
        <f>1-(1-Skills!J29/100)^Skills!K29</f>
        <v/>
      </c>
      <c r="I100" t="inlineStr">
        <is>
          <t>1</t>
        </is>
      </c>
      <c r="J100" t="inlineStr"/>
      <c r="K100" t="inlineStr"/>
      <c r="L100" t="inlineStr"/>
      <c r="M100" t="inlineStr"/>
      <c r="N100" t="inlineStr"/>
      <c r="O100">
        <f>(1-Summary!$B$11)*T100+Summary!$B$11*V100</f>
        <v/>
      </c>
      <c r="P100">
        <f>IF(B113=0,0,O100/B113)</f>
        <v/>
      </c>
      <c r="Q100" t="n">
        <v>0</v>
      </c>
      <c r="R100" t="n">
        <v>0</v>
      </c>
      <c r="S100" t="n">
        <v>0</v>
      </c>
      <c r="T100" t="n">
        <v>0</v>
      </c>
      <c r="V100" t="n">
        <v>0</v>
      </c>
    </row>
    <row r="102">
      <c r="A102" t="inlineStr">
        <is>
          <t>Attack% Bucket Multiplier</t>
        </is>
      </c>
      <c r="B102">
        <f>(1+(((C84=TRUE)*F84)+((C85=TRUE)*IF(Inputs!$B$38="pvp",F85,(1-Summary!$B$11)*(F85)+Summary!$B$11*(0)))+((C86=TRUE)*F86*IF(AND(Inputs!$B$38&lt;&gt;"pvp",Inputs!$B$43&gt;0),(((R86-1)*(Skills!T15*(1+Inputs!$B$34/100))+MIN((Skills!T15*(1+Inputs!$B$34/100)),MAX(0,Inputs!$B$43-((R86-1)*Skills!D15))))/Inputs!$B$43),IF(Inputs!$B$38="pvp",MIN((Skills!T15*(1+Inputs!$B$34/100)),15)/15,(Skills!T15*(1+Inputs!$B$34/100))/Skills!D15)))+((C83=TRUE)*F83)+((C100=TRUE)*(F100-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103">
      <c r="A103" t="inlineStr">
        <is>
          <t>Global Crit Rate Bonus %</t>
        </is>
      </c>
      <c r="B103">
        <f>(C87=TRUE)*20*IF(AND(Inputs!$B$38&lt;&gt;"pvp",Inputs!$B$43&gt;0),(((R87-1)*(Skills!T16*(1+Inputs!$B$34/100))+MIN((Skills!T16*(1+Inputs!$B$34/100)),MAX(0,Inputs!$B$43-((R87-1)*Skills!D16))))/Inputs!$B$43),IF(Inputs!$B$38="pvp",MIN((Skills!T16*(1+Inputs!$B$34/100)),15)/15,(Skills!T16*(1+Inputs!$B$34/100))/Skills!D16))</f>
        <v/>
      </c>
    </row>
    <row r="104">
      <c r="A104" t="inlineStr">
        <is>
          <t>Attack Speed Buff Bonus %</t>
        </is>
      </c>
      <c r="B104">
        <f>((C89=TRUE)*F89*IF(AND(Inputs!$B$38&lt;&gt;"pvp",Inputs!$B$43&gt;0),(((R89-1)*(Skills!T18*(1+Inputs!$B$34/100))+MIN((Skills!T18*(1+Inputs!$B$34/100)),MAX(0,Inputs!$B$43-((R89-1)*Skills!D18))))/Inputs!$B$43),IF(Inputs!$B$38="pvp",MIN((Skills!T18*(1+Inputs!$B$34/100)),15)/15,(Skills!T18*(1+Inputs!$B$34/100))/Skills!D18)))</f>
        <v/>
      </c>
    </row>
    <row r="105">
      <c r="A105" t="inlineStr">
        <is>
          <t>Actions Per Second</t>
        </is>
      </c>
      <c r="B105">
        <f>1+MIN(150,150*(1-(1-(Inputs!$B$11+((C91=TRUE)*(F91-Calc!F20))+((C92=TRUE)*(F92-Calc!F21)))/150)*(1-B104/150)))/100</f>
        <v/>
      </c>
    </row>
    <row r="106">
      <c r="A106" t="inlineStr">
        <is>
          <t>Skill + Buff Cast Rate</t>
        </is>
      </c>
      <c r="B106">
        <f>IF(AND(Inputs!$B$38&lt;&gt;"pvp",Inputs!$B$43&gt;0),SUMPRODUCT((Skills!E2:E29=TRUE)*(C73:C100=TRUE)*R73:R100*Skills!F2:F29)/Inputs!$B$43,SUMPRODUCT((Skills!E2:E29=TRUE)*(C73:C100=TRUE)*Q73:Q100*Skills!F2:F29))</f>
        <v/>
      </c>
    </row>
    <row r="107">
      <c r="A107" t="inlineStr">
        <is>
          <t>Empowered Piercing Arrow Casts Per Second</t>
        </is>
      </c>
      <c r="B107">
        <f>MAX(0,B105-B106)</f>
        <v/>
      </c>
    </row>
    <row r="108">
      <c r="A108" t="inlineStr">
        <is>
          <t>Global Critical Damage Bonus % (Sharp Eyes)</t>
        </is>
      </c>
      <c r="B108">
        <f>(C87=TRUE)*F87*IF(AND(Inputs!$B$38&lt;&gt;"pvp",Inputs!$B$43&gt;0),(((R87-1)*(Skills!T16*(1+Inputs!$B$34/100))+MIN((Skills!T16*(1+Inputs!$B$34/100)),MAX(0,Inputs!$B$43-((R87-1)*Skills!D16))))/Inputs!$B$43),IF(Inputs!$B$38="pvp",MIN((Skills!T16*(1+Inputs!$B$34/100)),15)/15,(Skills!T16*(1+Inputs!$B$34/100))/Skills!D16))</f>
        <v/>
      </c>
    </row>
    <row r="109">
      <c r="A109" t="inlineStr">
        <is>
          <t>Global Final Damage Bonus % (Mortal Blow + Last Man Standing conditional half)</t>
        </is>
      </c>
      <c r="B109">
        <f>(C88=TRUE)*F88+((C97=TRUE)*IF(Inputs!$B$38="pvp",F97,(1-Summary!$B$11)*(F97)+Summary!$B$11*(0)))</f>
        <v/>
      </c>
    </row>
    <row r="110">
      <c r="A110" t="inlineStr">
        <is>
          <t>Buff-Casting Startup Delay (s, fixed-duration only)</t>
        </is>
      </c>
      <c r="B110">
        <f>IF(AND(Inputs!$B$38&lt;&gt;"pvp",Inputs!$B$43&gt;0),SUMPRODUCT((Skills!T2:T29&gt;0)*(Skills!E2:E29=TRUE)*(C73:C100=TRUE))/B105,0)</f>
        <v/>
      </c>
    </row>
    <row r="111">
      <c r="A111" t="inlineStr">
        <is>
          <t>Boss-Only Total DPS (this block's swept value)</t>
        </is>
      </c>
      <c r="B111">
        <f>SUM(T73:T100)</f>
        <v/>
      </c>
    </row>
    <row r="112">
      <c r="A112" t="inlineStr">
        <is>
          <t>Normal-Only Total DPS (this block's swept value)</t>
        </is>
      </c>
      <c r="B112">
        <f>SUM(V73:V100)</f>
        <v/>
      </c>
    </row>
    <row r="113">
      <c r="A113" s="6" t="inlineStr">
        <is>
          <t>TOTAL DPS</t>
        </is>
      </c>
      <c r="B113" s="6">
        <f>SUM(O73:O100)</f>
        <v/>
      </c>
    </row>
    <row r="116">
      <c r="A116" s="6" t="inlineStr">
        <is>
          <t>Stat: DEX %</t>
        </is>
      </c>
    </row>
    <row r="117">
      <c r="A117" s="5" t="inlineStr">
        <is>
          <t>Key</t>
        </is>
      </c>
      <c r="B117" s="5" t="inlineStr">
        <is>
          <t>Name</t>
        </is>
      </c>
      <c r="C117" s="5" t="inlineStr">
        <is>
          <t>Unlocked</t>
        </is>
      </c>
      <c r="D117" s="5" t="inlineStr">
        <is>
          <t>InputLevel</t>
        </is>
      </c>
      <c r="E117" s="5" t="inlineStr">
        <is>
          <t>Factor</t>
        </is>
      </c>
      <c r="F117" s="5" t="inlineStr">
        <is>
          <t>CoefficientPercent</t>
        </is>
      </c>
      <c r="G117" s="5" t="inlineStr">
        <is>
          <t>EffectiveHits</t>
        </is>
      </c>
      <c r="H117" s="5" t="inlineStr">
        <is>
          <t>ProcProbability</t>
        </is>
      </c>
      <c r="I117" s="5" t="inlineStr">
        <is>
          <t>MapleHeroMultiplier</t>
        </is>
      </c>
      <c r="J117" s="5" t="inlineStr">
        <is>
          <t>BaseDamage</t>
        </is>
      </c>
      <c r="K117" s="5" t="inlineStr">
        <is>
          <t>BaseHitDamage</t>
        </is>
      </c>
      <c r="L117" s="5" t="inlineStr">
        <is>
          <t>NonCritAvg</t>
        </is>
      </c>
      <c r="M117" s="5" t="inlineStr">
        <is>
          <t>CritAvg</t>
        </is>
      </c>
      <c r="N117" s="5" t="inlineStr">
        <is>
          <t>ExpectedDamage(perHit)</t>
        </is>
      </c>
      <c r="O117" s="5" t="inlineStr">
        <is>
          <t>DPS</t>
        </is>
      </c>
      <c r="P117" s="5" t="inlineStr">
        <is>
          <t>% of Total</t>
        </is>
      </c>
      <c r="Q117" s="5" t="inlineStr">
        <is>
          <t>InvCooldown</t>
        </is>
      </c>
      <c r="R117" s="5" t="inlineStr">
        <is>
          <t>CastsInFight</t>
        </is>
      </c>
      <c r="S117" s="5" t="inlineStr">
        <is>
          <t>HitRate(perSec)</t>
        </is>
      </c>
      <c r="U117" t="inlineStr">
        <is>
          <t>helpers</t>
        </is>
      </c>
    </row>
    <row r="118">
      <c r="A118">
        <f>Skills!A2</f>
        <v/>
      </c>
      <c r="B118">
        <f>Skills!B2</f>
        <v/>
      </c>
      <c r="C118">
        <f>Inputs!$B$3&gt;=100</f>
        <v/>
      </c>
      <c r="D118" t="inlineStr"/>
      <c r="E118" t="inlineStr"/>
      <c r="F118">
        <f>U120+Skills!O2</f>
        <v/>
      </c>
      <c r="G118">
        <f>Skills!G2*IF(Skills!H2&gt;0,Skills!I2/Skills!H2,1)</f>
        <v/>
      </c>
      <c r="H118">
        <f>1-(1-Skills!J2/100)^Skills!K2</f>
        <v/>
      </c>
      <c r="I118" t="inlineStr">
        <is>
          <t>1</t>
        </is>
      </c>
      <c r="J118">
        <f>((Inputs!$B$6*(1+Inputs!$B$7/100))+(((Inputs!$B$12*(1+(Inputs!$B$13+1)/100))-(Inputs!$B$12*(1+Inputs!$B$13/100)))+0.25*(Inputs!$B$14-Inputs!$B$14))*(1+Inputs!$B$7/100))*(F118/100)</f>
        <v/>
      </c>
      <c r="K118">
        <f>J118*(1+((Inputs!$B$12*(1+(Inputs!$B$13+1)/100))*0.01+Inputs!$B$14*0.0025)/100)*(1+Inputs!$B$15/100)*(1+Inputs!$B$16/100)*(5000/(6000+Inputs!$B$42*(1-(100*(1-(1-(Inputs!$B$19+0)/100)*(1-CHOOSE(ArtifactsInput!$N$40+1,5,6,7,8,9,10)/100)^(ArtifactsInput!$M$40-ArtifactsInput!$M$40)))/100)))*(1+(Inputs!$B$24+((C140=TRUE)*(F140-Calc!F24))+((C141=TRUE)*(F141-Calc!F25))+B154)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EMPOWERED_PIERCING_ARROW",Inputs!$B$17+((C138=TRUE)*(F138-Calc!F22))+(((IF(AND(ArtifactsInput!$M$42,((Inputs!$B$9+((C135=TRUE)*(F135-Calc!F19))+B148+(ArtifactsInput!$M$24-ArtifactsInput!$M$24)*CHOOSE(ArtifactsInput!$N$24+1,10,12,14,16,18,20)+IF(ArtifactsInput!$M$10,CHOOSE(ArtifactsInput!$N$10+1,15,18,21,24,27,30)*(IF(Inputs!$B$38="pvp",MIN(15,15)/15,IF(AND(Inputs!$B$38&lt;&gt;"pvp",Inputs!$B$43&gt;0),MIN(15,Inputs!$B$43)/(Inputs!$B$43),0))),0)))&gt;=100),MIN(100,((Inputs!$B$9+((C135=TRUE)*(F135-Calc!F19))+B148+(ArtifactsInput!$M$24-ArtifactsInput!$M$24)*CHOOSE(ArtifactsInput!$N$24+1,10,12,14,16,18,20)+IF(ArtifactsInput!$M$10,CHOOSE(ArtifactsInput!$N$10+1,15,18,21,24,27,30)*(IF(Inputs!$B$38="pvp",MIN(15,15)/15,IF(AND(Inputs!$B$38&lt;&gt;"pvp",Inputs!$B$43&gt;0),MIN(15,Inputs!$B$43)/(Inputs!$B$43),0))),0)))-100),0))*CHOOSE(ArtifactsInput!$N$42+1,0.6,0.72,0.84,0.96,1.08,1.2))),Inputs!$B$18+((C143=TRUE)*(F143-Calc!F27))+(IF(AND(ArtifactsInput!$M$42,((Inputs!$B$9+((C135=TRUE)*(F135-Calc!F19))+B148+(ArtifactsInput!$M$24-ArtifactsInput!$M$24)*CHOOSE(ArtifactsInput!$N$24+1,10,12,14,16,18,20)+IF(ArtifactsInput!$M$10,CHOOSE(ArtifactsInput!$N$10+1,15,18,21,24,27,30)*(IF(Inputs!$B$38="pvp",MIN(15,15)/15,IF(AND(Inputs!$B$38&lt;&gt;"pvp",Inputs!$B$43&gt;0),MIN(15,Inputs!$B$43)/(Inputs!$B$43),0))),0)))&gt;=100),CHOOSE(ArtifactsInput!$N$42+1,40,48,56,64,72,80),0))))/100)*((1+(((C129=TRUE)*F129)+((C130=TRUE)*IF(Inputs!$B$38="pvp",F130,(1-Summary!$B$11)*(F130)+Summary!$B$11*(0)))+((C131=TRUE)*F131*IF(AND(Inputs!$B$38&lt;&gt;"pvp",Inputs!$B$43&gt;0),(((R131-1)*(Skills!T15*(1+Inputs!$B$34/100))+MIN((Skills!T15*(1+Inputs!$B$34/100)),MAX(0,Inputs!$B$43-((R131-1)*Skills!D15))))/Inputs!$B$43),IF(Inputs!$B$38="pvp",MIN((Skills!T15*(1+Inputs!$B$34/100)),15)/15,(Skills!T15*(1+Inputs!$B$34/100))/Skills!D15)))+((C128=TRUE)*F128)+((C145=TRUE)*(F145-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118)</f>
        <v/>
      </c>
      <c r="L118">
        <f>K118*(MIN(Inputs!$B$22+((C139=TRUE)*(F139-Calc!F23)),(Inputs!$B$23+((C144=TRUE)*(F144-Calc!F28))+(IF(ArtifactsInput!$M$15,CHOOSE(ArtifactsInput!$N$15+1,25,30,35,40,45,50)/100*(Inputs!$B$11-Inputs!$B$11),0))))/100+(Inputs!$B$23+((C144=TRUE)*(F144-Calc!F28))+(IF(ArtifactsInput!$M$15,CHOOSE(ArtifactsInput!$N$15+1,25,30,35,40,45,50)/100*(Inputs!$B$11-Inputs!$B$11),0)))/100)/2</f>
        <v/>
      </c>
      <c r="M118">
        <f>L118*(1+(Inputs!$B$10+0+B153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18">
        <f>L118*(1-MIN((Inputs!$B$9+((C135=TRUE)*(F135-Calc!F19))+B148+(ArtifactsInput!$M$24-ArtifactsInput!$M$24)*CHOOSE(ArtifactsInput!$N$24+1,10,12,14,16,18,20)+(IF(AND(ArtifactsInput!$M$42,((Inputs!$B$9+((C135=TRUE)*(F135-Calc!F19))+B148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118*(MIN((Inputs!$B$9+((C135=TRUE)*(F135-Calc!F19))+B148+(ArtifactsInput!$M$24-ArtifactsInput!$M$24)*CHOOSE(ArtifactsInput!$N$24+1,10,12,14,16,18,20)+(IF(AND(ArtifactsInput!$M$42,((Inputs!$B$9+((C135=TRUE)*(F135-Calc!F19))+B148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18">
        <f>(1-Summary!$B$11)*T118+Summary!$B$11*V118</f>
        <v/>
      </c>
      <c r="P118">
        <f>IF(B158=0,0,O118/B158)</f>
        <v/>
      </c>
      <c r="Q118" t="n">
        <v>0</v>
      </c>
      <c r="R118" t="n">
        <v>0</v>
      </c>
      <c r="S118">
        <f>IFERROR((Skills!G2*N118*B152)/N118*IF(Inputs!$B$38="pvp",1,(1-Summary!$B$11)*1+Summary!$B$11*(MIN((6+Inputs!$B$33),Inputs!$B$37))),0)</f>
        <v/>
      </c>
      <c r="T118">
        <f>IF(C118,(Skills!G2*N118*B152)*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Hunt"),CHOOSE(ArtifactsInput!$N$35+1,15,18,21,24,27,30)*(1-EXP(-(0.2*B150)*5)),0)+IF(AND(ArtifactsInput!$M$22,Inputs!$B$4&lt;&gt;"Chapter Hunt"),CHOOSE(ArtifactsInput!$N$22+1,10,12,14,16,18,20)*((0*(((0.15*B150*5))^0/1)+1*(((0.15*B150*5))^1/1)+2*(((0.15*B150*5))^2/2)+3*(((0.15*B150*5))^3/6)+4*(((0.15*B150*5))^4/24)+5*(((0.15*B150*5))^5/120))/((((0.15*B150*5))^0/1)+(((0.15*B150*5))^1/1)+(((0.15*B150*5))^2/2)+(((0.15*B150*5))^3/6)+(((0.15*B150*5))^4/24)+(((0.15*B150*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118*(1-MIN(100,(Inputs!$B$9+((C135=TRUE)*(F135-Calc!F19))+B148+(ArtifactsInput!$M$24-ArtifactsInput!$M$24)*CHOOSE(ArtifactsInput!$N$24+1,10,12,14,16,18,20)+(IF(AND(ArtifactsInput!$M$42,((Inputs!$B$9+((C135=TRUE)*(F135-Calc!F19))+B148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118*(MIN(100,(Inputs!$B$9+((C135=TRUE)*(F135-Calc!F19))+B148+(ArtifactsInput!$M$24-ArtifactsInput!$M$24)*CHOOSE(ArtifactsInput!$N$24+1,10,12,14,16,18,20)+(IF(AND(ArtifactsInput!$M$42,((Inputs!$B$9+((C135=TRUE)*(F135-Calc!F19))+B148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118*(1-MIN(100,(Inputs!$B$9+((C135=TRUE)*(F135-Calc!F19))+B148+(ArtifactsInput!$M$24-ArtifactsInput!$M$24)*CHOOSE(ArtifactsInput!$N$24+1,10,12,14,16,18,20)+(IF(AND(ArtifactsInput!$M$42,((Inputs!$B$9+((C135=TRUE)*(F135-Calc!F19))+B148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118*(MIN(100,(Inputs!$B$9+((C135=TRUE)*(F135-Calc!F19))+B148+(ArtifactsInput!$M$24-ArtifactsInput!$M$24)*CHOOSE(ArtifactsInput!$N$24+1,10,12,14,16,18,20)+(IF(AND(ArtifactsInput!$M$42,((Inputs!$B$9+((C135=TRUE)*(F135-Calc!F19))+B148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18">
        <f>MAX(0,(Inputs!$B$3-100)*3)+Inputs!$B$28+Inputs!$B$29</f>
        <v/>
      </c>
      <c r="V118">
        <f>IF(C118,(Skills!G2*N118*B152)*IF(Inputs!$B$38="pvp",1,(1+(Inputs!$B$21+Skills!Q2+(IF(ArtifactsInput!$M$33,CHOOSE(ArtifactsInput!$N$33+1,30,36,42,48,54,60),0))+(IF(AND(ArtifactsInput!$M$35,Inputs!$B$4&lt;&gt;"Chapter Hunt"),CHOOSE(ArtifactsInput!$N$35+1,15,18,21,24,27,30)*(1-EXP(-(0.2*B150)*5)),0)+IF(AND(ArtifactsInput!$M$22,Inputs!$B$4&lt;&gt;"Chapter Hunt"),CHOOSE(ArtifactsInput!$N$22+1,10,12,14,16,18,20)*((0*(((0.15*B150*5))^0/1)+1*(((0.15*B150*5))^1/1)+2*(((0.15*B150*5))^2/2)+3*(((0.15*B150*5))^3/6)+4*(((0.15*B150*5))^4/24)+5*(((0.15*B150*5))^5/120))/((((0.15*B150*5))^0/1)+(((0.15*B150*5))^1/1)+(((0.15*B150*5))^2/2)+(((0.15*B150*5))^3/6)+(((0.15*B150*5))^4/24)+(((0.15*B150*5))^5/120)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19">
      <c r="A119">
        <f>Skills!A3</f>
        <v/>
      </c>
      <c r="B119">
        <f>Skills!B3</f>
        <v/>
      </c>
      <c r="C119">
        <f>Inputs!$B$3&gt;=50</f>
        <v/>
      </c>
      <c r="D119">
        <f>IF(Skills!C3=1,60+Inputs!$B$25+Inputs!$B$29,IF(Skills!C3=2,90+Inputs!$B$26+Inputs!$B$29,IF(Skills!C3=3,120+Inputs!$B$27+Inputs!$B$29,MAX(0,(Inputs!$B$3-100)*3)+Inputs!$B$28+Inputs!$B$29)))</f>
        <v/>
      </c>
      <c r="E119">
        <f>INDEX(FactorTable!$B$2:$Y$301, MATCH(ROUND(MIN(300,MAX(1,D119)),0), FactorTable!$A$2:$A$301,0), Skills!M3+1)</f>
        <v/>
      </c>
      <c r="F119">
        <f>IF(Skills!N3=TRUE,(Skills!L3/10)*(E119/1000),Skills!L3/10)+Skills!O3</f>
        <v/>
      </c>
      <c r="G119" t="inlineStr"/>
      <c r="H119" t="inlineStr"/>
      <c r="I119" t="inlineStr">
        <is>
          <t>1</t>
        </is>
      </c>
      <c r="J119" t="inlineStr"/>
      <c r="K119" t="inlineStr"/>
      <c r="L119" t="inlineStr"/>
      <c r="M119" t="inlineStr"/>
      <c r="N119" t="inlineStr"/>
      <c r="O119" t="inlineStr"/>
      <c r="P119" t="inlineStr"/>
      <c r="Q119" t="inlineStr"/>
      <c r="R119" t="inlineStr"/>
      <c r="S119" t="inlineStr"/>
      <c r="T119" t="inlineStr"/>
      <c r="U119">
        <f>INDEX(FactorTable!$B$2:$Y$301, MATCH(ROUND(MIN(300,MAX(1,U118)),0), FactorTable!$A$2:$A$301,0), 22)</f>
        <v/>
      </c>
      <c r="V119" t="inlineStr"/>
    </row>
    <row r="120">
      <c r="A120">
        <f>Skills!A4</f>
        <v/>
      </c>
      <c r="B120">
        <f>Skills!B4</f>
        <v/>
      </c>
      <c r="C120">
        <f>Inputs!$B$3&gt;=105</f>
        <v/>
      </c>
      <c r="D120">
        <f>IF(Skills!C4=1,60+Inputs!$B$25+Inputs!$B$29,IF(Skills!C4=2,90+Inputs!$B$26+Inputs!$B$29,IF(Skills!C4=3,120+Inputs!$B$27+Inputs!$B$29,MAX(0,(Inputs!$B$3-100)*3)+Inputs!$B$28+Inputs!$B$29)))</f>
        <v/>
      </c>
      <c r="E120">
        <f>INDEX(FactorTable!$B$2:$Y$301, MATCH(ROUND(MIN(300,MAX(1,D120)),0), FactorTable!$A$2:$A$301,0), Skills!M4+1)</f>
        <v/>
      </c>
      <c r="F120">
        <f>IF(Skills!N4=TRUE,(Skills!L4/10)*(E120/1000),Skills!L4/10)+Skills!O4</f>
        <v/>
      </c>
      <c r="G120" t="inlineStr"/>
      <c r="H120" t="inlineStr"/>
      <c r="I120" t="inlineStr">
        <is>
          <t>1</t>
        </is>
      </c>
      <c r="J120" t="inlineStr"/>
      <c r="K120" t="inlineStr"/>
      <c r="L120" t="inlineStr"/>
      <c r="M120" t="inlineStr"/>
      <c r="N120" t="inlineStr"/>
      <c r="O120" t="inlineStr"/>
      <c r="P120" t="inlineStr"/>
      <c r="Q120" t="inlineStr"/>
      <c r="R120" t="inlineStr"/>
      <c r="S120" t="inlineStr"/>
      <c r="T120" t="inlineStr"/>
      <c r="U120">
        <f>290*U119/1000</f>
        <v/>
      </c>
      <c r="V120" t="inlineStr"/>
    </row>
    <row r="121">
      <c r="A121">
        <f>Skills!A5</f>
        <v/>
      </c>
      <c r="B121">
        <f>Skills!B5</f>
        <v/>
      </c>
      <c r="C121">
        <f>Inputs!$B$3&gt;=35</f>
        <v/>
      </c>
      <c r="D121">
        <f>IF(Skills!C5=1,60+Inputs!$B$25+Inputs!$B$29,IF(Skills!C5=2,90+Inputs!$B$26+Inputs!$B$29,IF(Skills!C5=3,120+Inputs!$B$27+Inputs!$B$29,MAX(0,(Inputs!$B$3-100)*3)+Inputs!$B$28+Inputs!$B$29)))</f>
        <v/>
      </c>
      <c r="E121">
        <f>INDEX(FactorTable!$B$2:$Y$301, MATCH(ROUND(MIN(300,MAX(1,D121)),0), FactorTable!$A$2:$A$301,0), Skills!M5+1)</f>
        <v/>
      </c>
      <c r="F121">
        <f>IF(Skills!N5=TRUE,(Skills!L5/10)*(E121/1000),Skills!L5/10)+Skills!O5</f>
        <v/>
      </c>
      <c r="G121">
        <f>Skills!G5*IF(Skills!H5&gt;0,Skills!I5/Skills!H5,1)</f>
        <v/>
      </c>
      <c r="H121">
        <f>1-(1-Skills!J5/100)^Skills!K5</f>
        <v/>
      </c>
      <c r="I121" t="inlineStr">
        <is>
          <t>1</t>
        </is>
      </c>
      <c r="J121">
        <f>((Inputs!$B$6*(1+Inputs!$B$7/100))+(((Inputs!$B$12*(1+(Inputs!$B$13+1)/100))-(Inputs!$B$12*(1+Inputs!$B$13/100)))+0.25*(Inputs!$B$14-Inputs!$B$14))*(1+Inputs!$B$7/100))*(F121/100)</f>
        <v/>
      </c>
      <c r="K121">
        <f>J121*(1+((Inputs!$B$12*(1+(Inputs!$B$13+1)/100))*0.01+Inputs!$B$14*0.0025)/100)*(1+Inputs!$B$15/100)*(1+Inputs!$B$16/100)*(5000/(6000+Inputs!$B$42*(1-(100*(1-(1-(Inputs!$B$19+0)/100)*(1-CHOOSE(ArtifactsInput!$N$40+1,5,6,7,8,9,10)/100)^(ArtifactsInput!$M$40-ArtifactsInput!$M$40)))/100)))*(1+(Inputs!$B$24+((C140=TRUE)*(F140-Calc!F24))+((C141=TRUE)*(F141-Calc!F25))+B154)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124=TRUE,F124,0)/100)*(1+(IF(Skills!A5="EMPOWERED_PIERCING_ARROW",Inputs!$B$17+((C138=TRUE)*(F138-Calc!F22))+(((IF(AND(ArtifactsInput!$M$42,((Inputs!$B$9+((C135=TRUE)*(F135-Calc!F19))+B148+(ArtifactsInput!$M$24-ArtifactsInput!$M$24)*CHOOSE(ArtifactsInput!$N$24+1,10,12,14,16,18,20)+IF(ArtifactsInput!$M$10,CHOOSE(ArtifactsInput!$N$10+1,15,18,21,24,27,30)*(IF(Inputs!$B$38="pvp",MIN(15,15)/15,IF(AND(Inputs!$B$38&lt;&gt;"pvp",Inputs!$B$43&gt;0),MIN(15,Inputs!$B$43)/(Inputs!$B$43),0))),0)))&gt;=100),MIN(100,((Inputs!$B$9+((C135=TRUE)*(F135-Calc!F19))+B148+(ArtifactsInput!$M$24-ArtifactsInput!$M$24)*CHOOSE(ArtifactsInput!$N$24+1,10,12,14,16,18,20)+IF(ArtifactsInput!$M$10,CHOOSE(ArtifactsInput!$N$10+1,15,18,21,24,27,30)*(IF(Inputs!$B$38="pvp",MIN(15,15)/15,IF(AND(Inputs!$B$38&lt;&gt;"pvp",Inputs!$B$43&gt;0),MIN(15,Inputs!$B$43)/(Inputs!$B$43),0))),0)))-100),0))*CHOOSE(ArtifactsInput!$N$42+1,0.6,0.72,0.84,0.96,1.08,1.2))),Inputs!$B$18+((C143=TRUE)*(F143-Calc!F27))+(IF(AND(ArtifactsInput!$M$42,((Inputs!$B$9+((C135=TRUE)*(F135-Calc!F19))+B148+(ArtifactsInput!$M$24-ArtifactsInput!$M$24)*CHOOSE(ArtifactsInput!$N$24+1,10,12,14,16,18,20)+IF(ArtifactsInput!$M$10,CHOOSE(ArtifactsInput!$N$10+1,15,18,21,24,27,30)*(IF(Inputs!$B$38="pvp",MIN(15,15)/15,IF(AND(Inputs!$B$38&lt;&gt;"pvp",Inputs!$B$43&gt;0),MIN(15,Inputs!$B$43)/(Inputs!$B$43),0))),0)))&gt;=100),CHOOSE(ArtifactsInput!$N$42+1,40,48,56,64,72,80),0))))/100)*((1+(((C129=TRUE)*F129)+((C130=TRUE)*IF(Inputs!$B$38="pvp",F130,(1-Summary!$B$11)*(F130)+Summary!$B$11*(0)))+((C131=TRUE)*F131*IF(AND(Inputs!$B$38&lt;&gt;"pvp",Inputs!$B$43&gt;0),(((R131-1)*(Skills!T15*(1+Inputs!$B$34/100))+MIN((Skills!T15*(1+Inputs!$B$34/100)),MAX(0,Inputs!$B$43-((R131-1)*Skills!D15))))/Inputs!$B$43),IF(Inputs!$B$38="pvp",MIN((Skills!T15*(1+Inputs!$B$34/100)),15)/15,(Skills!T15*(1+Inputs!$B$34/100))/Skills!D15)))+((C128=TRUE)*F128)+((C145=TRUE)*(F145-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121)</f>
        <v/>
      </c>
      <c r="L121">
        <f>K121*(MIN(Inputs!$B$22+((C139=TRUE)*(F139-Calc!F23)),(Inputs!$B$23+((C144=TRUE)*(F144-Calc!F28))+(IF(ArtifactsInput!$M$15,CHOOSE(ArtifactsInput!$N$15+1,25,30,35,40,45,50)/100*(Inputs!$B$11-Inputs!$B$11),0))))/100+(Inputs!$B$23+((C144=TRUE)*(F144-Calc!F28))+(IF(ArtifactsInput!$M$15,CHOOSE(ArtifactsInput!$N$15+1,25,30,35,40,45,50)/100*(Inputs!$B$11-Inputs!$B$11),0)))/100)/2</f>
        <v/>
      </c>
      <c r="M121">
        <f>L121*(1+(Inputs!$B$10+0+B153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21">
        <f>L121*(1-MIN((Inputs!$B$9+((C135=TRUE)*(F135-Calc!F19))+B148+(ArtifactsInput!$M$24-ArtifactsInput!$M$24)*CHOOSE(ArtifactsInput!$N$24+1,10,12,14,16,18,20)+(IF(AND(ArtifactsInput!$M$42,((Inputs!$B$9+((C135=TRUE)*(F135-Calc!F19))+B148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121*(MIN((Inputs!$B$9+((C135=TRUE)*(F135-Calc!F19))+B148+(ArtifactsInput!$M$24-ArtifactsInput!$M$24)*CHOOSE(ArtifactsInput!$N$24+1,10,12,14,16,18,20)+(IF(AND(ArtifactsInput!$M$42,((Inputs!$B$9+((C135=TRUE)*(F135-Calc!F19))+B148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21">
        <f>(1-Summary!$B$11)*T121+Summary!$B$11*V121</f>
        <v/>
      </c>
      <c r="P121">
        <f>IF(B158=0,0,O121/B158)</f>
        <v/>
      </c>
      <c r="Q121">
        <f>IFERROR(1/IF(Inputs!$B$38="pvp",15,MAX(0.1,Skills!D5-IF(Skills!E5=TRUE,Inputs!$B$32,0))),0)</f>
        <v/>
      </c>
      <c r="R121">
        <f>IF(AND(Inputs!$B$38&lt;&gt;"pvp",Inputs!$B$43&gt;0),IF(MAX(0,Inputs!$B$43-B155)&lt;=0,0,(INT(MAX(0,Inputs!$B$43-B155)/IF(Inputs!$B$38="pvp",15,MAX(0.1,Skills!D5-IF(Skills!E5=TRUE,Inputs!$B$32,0))))+1)),0)</f>
        <v/>
      </c>
      <c r="S121">
        <f>IFERROR((H121*N121*IF(AND(Inputs!$B$38&lt;&gt;"pvp",Inputs!$B$43&gt;0),((Skills!G5*((R121-1)*IF(Skills!H5&gt;0,Skills!I5/Skills!H5,1)+IF(Skills!H5&gt;0,MIN(Skills!I5,MAX(0,MAX(0,Inputs!$B$43-B155)-((R121-1)*IF(Inputs!$B$38="pvp",15,MAX(0.1,Skills!D5-IF(Skills!E5=TRUE,Inputs!$B$32,0))))))/Skills!H5,1)))/Inputs!$B$43),G121*Q121))/N121*IF(Inputs!$B$38="pvp",1,(1-Summary!$B$11)*1+Summary!$B$11*(MIN(Skills!R5,Inputs!$B$37))),0)</f>
        <v/>
      </c>
      <c r="T121">
        <f>IF(C121,(H121*N121*IF(AND(Inputs!$B$38&lt;&gt;"pvp",Inputs!$B$43&gt;0),((Skills!G5*((R121-1)*IF(Skills!H5&gt;0,Skills!I5/Skills!H5,1)+IF(Skills!H5&gt;0,MIN(Skills!I5,MAX(0,MAX(0,Inputs!$B$43-B155)-((R121-1)*IF(Inputs!$B$38="pvp",15,MAX(0.1,Skills!D5-IF(Skills!E5=TRUE,Inputs!$B$32,0))))))/Skills!H5,1)))/Inputs!$B$43),G121*Q121))*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Hunt"),CHOOSE(ArtifactsInput!$N$35+1,15,18,21,24,27,30)*(1-EXP(-(0.2*B150)*5)),0)+IF(AND(ArtifactsInput!$M$22,Inputs!$B$4&lt;&gt;"Chapter Hunt"),CHOOSE(ArtifactsInput!$N$22+1,10,12,14,16,18,20)*((0*(((0.15*B150*5))^0/1)+1*(((0.15*B150*5))^1/1)+2*(((0.15*B150*5))^2/2)+3*(((0.15*B150*5))^3/6)+4*(((0.15*B150*5))^4/24)+5*(((0.15*B150*5))^5/120))/((((0.15*B150*5))^0/1)+(((0.15*B150*5))^1/1)+(((0.15*B150*5))^2/2)+(((0.15*B150*5))^3/6)+(((0.15*B150*5))^4/24)+(((0.15*B150*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121*(1-MIN(100,(Inputs!$B$9+((C135=TRUE)*(F135-Calc!F19))+B148+(ArtifactsInput!$M$24-ArtifactsInput!$M$24)*CHOOSE(ArtifactsInput!$N$24+1,10,12,14,16,18,20)+(IF(AND(ArtifactsInput!$M$42,((Inputs!$B$9+((C135=TRUE)*(F135-Calc!F19))+B148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121*(MIN(100,(Inputs!$B$9+((C135=TRUE)*(F135-Calc!F19))+B148+(ArtifactsInput!$M$24-ArtifactsInput!$M$24)*CHOOSE(ArtifactsInput!$N$24+1,10,12,14,16,18,20)+(IF(AND(ArtifactsInput!$M$42,((Inputs!$B$9+((C135=TRUE)*(F135-Calc!F19))+B148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121*(1-MIN(100,(Inputs!$B$9+((C135=TRUE)*(F135-Calc!F19))+B148+(ArtifactsInput!$M$24-ArtifactsInput!$M$24)*CHOOSE(ArtifactsInput!$N$24+1,10,12,14,16,18,20)+(IF(AND(ArtifactsInput!$M$42,((Inputs!$B$9+((C135=TRUE)*(F135-Calc!F19))+B148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121*(MIN(100,(Inputs!$B$9+((C135=TRUE)*(F135-Calc!F19))+B148+(ArtifactsInput!$M$24-ArtifactsInput!$M$24)*CHOOSE(ArtifactsInput!$N$24+1,10,12,14,16,18,20)+(IF(AND(ArtifactsInput!$M$42,((Inputs!$B$9+((C135=TRUE)*(F135-Calc!F19))+B148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21">
        <f>IF(C121,(H121*N121*IF(AND(Inputs!$B$38&lt;&gt;"pvp",Inputs!$B$43&gt;0),((Skills!G5*((R121-1)*IF(Skills!H5&gt;0,Skills!I5/Skills!H5,1)+IF(Skills!H5&gt;0,MIN(Skills!I5,MAX(0,MAX(0,Inputs!$B$43-B155)-((R121-1)*IF(Inputs!$B$38="pvp",15,MAX(0.1,Skills!D5-IF(Skills!E5=TRUE,Inputs!$B$32,0))))))/Skills!H5,1)))/Inputs!$B$43),G121*Q121))*IF(Inputs!$B$38="pvp",1,(1+(Inputs!$B$21+Skills!Q5+(IF(ArtifactsInput!$M$33,CHOOSE(ArtifactsInput!$N$33+1,30,36,42,48,54,60),0))+(IF(AND(ArtifactsInput!$M$35,Inputs!$B$4&lt;&gt;"Chapter Hunt"),CHOOSE(ArtifactsInput!$N$35+1,15,18,21,24,27,30)*(1-EXP(-(0.2*B150)*5)),0)+IF(AND(ArtifactsInput!$M$22,Inputs!$B$4&lt;&gt;"Chapter Hunt"),CHOOSE(ArtifactsInput!$N$22+1,10,12,14,16,18,20)*((0*(((0.15*B150*5))^0/1)+1*(((0.15*B150*5))^1/1)+2*(((0.15*B150*5))^2/2)+3*(((0.15*B150*5))^3/6)+4*(((0.15*B150*5))^4/24)+5*(((0.15*B150*5))^5/120))/((((0.15*B150*5))^0/1)+(((0.15*B150*5))^1/1)+(((0.15*B150*5))^2/2)+(((0.15*B150*5))^3/6)+(((0.15*B150*5))^4/24)+(((0.15*B150*5))^5/120)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22">
      <c r="A122">
        <f>Skills!A6</f>
        <v/>
      </c>
      <c r="B122">
        <f>Skills!B6</f>
        <v/>
      </c>
      <c r="C122">
        <f>Inputs!$B$3&gt;=63</f>
        <v/>
      </c>
      <c r="D122">
        <f>IF(Skills!C6=1,60+Inputs!$B$25+Inputs!$B$29,IF(Skills!C6=2,90+Inputs!$B$26+Inputs!$B$29,IF(Skills!C6=3,120+Inputs!$B$27+Inputs!$B$29,MAX(0,(Inputs!$B$3-100)*3)+Inputs!$B$28+Inputs!$B$29)))</f>
        <v/>
      </c>
      <c r="E122">
        <f>INDEX(FactorTable!$B$2:$Y$301, MATCH(ROUND(MIN(300,MAX(1,D122)),0), FactorTable!$A$2:$A$301,0), Skills!M6+1)</f>
        <v/>
      </c>
      <c r="F122">
        <f>IF(Skills!N6=TRUE,(Skills!L6/10)*(E122/1000),Skills!L6/10)+Skills!O6</f>
        <v/>
      </c>
      <c r="G122">
        <f>Skills!G6*IF(Skills!H6&gt;0,Skills!I6/Skills!H6,1)</f>
        <v/>
      </c>
      <c r="H122">
        <f>1-(1-Skills!J6/100)^Skills!K6</f>
        <v/>
      </c>
      <c r="I122" t="inlineStr">
        <is>
          <t>1</t>
        </is>
      </c>
      <c r="J122">
        <f>((Inputs!$B$6*(1+Inputs!$B$7/100))+(((Inputs!$B$12*(1+(Inputs!$B$13+1)/100))-(Inputs!$B$12*(1+Inputs!$B$13/100)))+0.25*(Inputs!$B$14-Inputs!$B$14))*(1+Inputs!$B$7/100))*(F122/100)</f>
        <v/>
      </c>
      <c r="K122">
        <f>J122*(1+((Inputs!$B$12*(1+(Inputs!$B$13+1)/100))*0.01+Inputs!$B$14*0.0025)/100)*(1+Inputs!$B$15/100)*(1+Inputs!$B$16/100)*(5000/(6000+Inputs!$B$42*(1-(100*(1-(1-(Inputs!$B$19+0)/100)*(1-CHOOSE(ArtifactsInput!$N$40+1,5,6,7,8,9,10)/100)^(ArtifactsInput!$M$40-ArtifactsInput!$M$40)))/100)))*(1+(Inputs!$B$24+((C140=TRUE)*(F140-Calc!F24))+((C141=TRUE)*(F141-Calc!F25))+B154)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124=TRUE,F124,0)/100)*(1+(IF(Skills!A6="EMPOWERED_PIERCING_ARROW",Inputs!$B$17+((C138=TRUE)*(F138-Calc!F22))+(((IF(AND(ArtifactsInput!$M$42,((Inputs!$B$9+((C135=TRUE)*(F135-Calc!F19))+B148+(ArtifactsInput!$M$24-ArtifactsInput!$M$24)*CHOOSE(ArtifactsInput!$N$24+1,10,12,14,16,18,20)+IF(ArtifactsInput!$M$10,CHOOSE(ArtifactsInput!$N$10+1,15,18,21,24,27,30)*(IF(Inputs!$B$38="pvp",MIN(15,15)/15,IF(AND(Inputs!$B$38&lt;&gt;"pvp",Inputs!$B$43&gt;0),MIN(15,Inputs!$B$43)/(Inputs!$B$43),0))),0)))&gt;=100),MIN(100,((Inputs!$B$9+((C135=TRUE)*(F135-Calc!F19))+B148+(ArtifactsInput!$M$24-ArtifactsInput!$M$24)*CHOOSE(ArtifactsInput!$N$24+1,10,12,14,16,18,20)+IF(ArtifactsInput!$M$10,CHOOSE(ArtifactsInput!$N$10+1,15,18,21,24,27,30)*(IF(Inputs!$B$38="pvp",MIN(15,15)/15,IF(AND(Inputs!$B$38&lt;&gt;"pvp",Inputs!$B$43&gt;0),MIN(15,Inputs!$B$43)/(Inputs!$B$43),0))),0)))-100),0))*CHOOSE(ArtifactsInput!$N$42+1,0.6,0.72,0.84,0.96,1.08,1.2))),Inputs!$B$18+((C143=TRUE)*(F143-Calc!F27))+(IF(AND(ArtifactsInput!$M$42,((Inputs!$B$9+((C135=TRUE)*(F135-Calc!F19))+B148+(ArtifactsInput!$M$24-ArtifactsInput!$M$24)*CHOOSE(ArtifactsInput!$N$24+1,10,12,14,16,18,20)+IF(ArtifactsInput!$M$10,CHOOSE(ArtifactsInput!$N$10+1,15,18,21,24,27,30)*(IF(Inputs!$B$38="pvp",MIN(15,15)/15,IF(AND(Inputs!$B$38&lt;&gt;"pvp",Inputs!$B$43&gt;0),MIN(15,Inputs!$B$43)/(Inputs!$B$43),0))),0)))&gt;=100),CHOOSE(ArtifactsInput!$N$42+1,40,48,56,64,72,80),0))))/100)*((1+(((C129=TRUE)*F129)+((C130=TRUE)*IF(Inputs!$B$38="pvp",F130,(1-Summary!$B$11)*(F130)+Summary!$B$11*(0)))+((C131=TRUE)*F131*IF(AND(Inputs!$B$38&lt;&gt;"pvp",Inputs!$B$43&gt;0),(((R131-1)*(Skills!T15*(1+Inputs!$B$34/100))+MIN((Skills!T15*(1+Inputs!$B$34/100)),MAX(0,Inputs!$B$43-((R131-1)*Skills!D15))))/Inputs!$B$43),IF(Inputs!$B$38="pvp",MIN((Skills!T15*(1+Inputs!$B$34/100)),15)/15,(Skills!T15*(1+Inputs!$B$34/100))/Skills!D15)))+((C128=TRUE)*F128)+((C145=TRUE)*(F145-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122)</f>
        <v/>
      </c>
      <c r="L122">
        <f>K122*(MIN(Inputs!$B$22+((C139=TRUE)*(F139-Calc!F23)),(Inputs!$B$23+((C144=TRUE)*(F144-Calc!F28))+(IF(ArtifactsInput!$M$15,CHOOSE(ArtifactsInput!$N$15+1,25,30,35,40,45,50)/100*(Inputs!$B$11-Inputs!$B$11),0))))/100+(Inputs!$B$23+((C144=TRUE)*(F144-Calc!F28))+(IF(ArtifactsInput!$M$15,CHOOSE(ArtifactsInput!$N$15+1,25,30,35,40,45,50)/100*(Inputs!$B$11-Inputs!$B$11),0)))/100)/2</f>
        <v/>
      </c>
      <c r="M122">
        <f>L122*(1+(Inputs!$B$10+0+B153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22">
        <f>L122*(1-MIN((Inputs!$B$9+((C135=TRUE)*(F135-Calc!F19))+B148+(ArtifactsInput!$M$24-ArtifactsInput!$M$24)*CHOOSE(ArtifactsInput!$N$24+1,10,12,14,16,18,20)+(IF(AND(ArtifactsInput!$M$42,((Inputs!$B$9+((C135=TRUE)*(F135-Calc!F19))+B148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122*(MIN((Inputs!$B$9+((C135=TRUE)*(F135-Calc!F19))+B148+(ArtifactsInput!$M$24-ArtifactsInput!$M$24)*CHOOSE(ArtifactsInput!$N$24+1,10,12,14,16,18,20)+(IF(AND(ArtifactsInput!$M$42,((Inputs!$B$9+((C135=TRUE)*(F135-Calc!F19))+B148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22">
        <f>(1-Summary!$B$11)*T122+Summary!$B$11*V122</f>
        <v/>
      </c>
      <c r="P122">
        <f>IF(B158=0,0,O122/B158)</f>
        <v/>
      </c>
      <c r="Q122">
        <f>IFERROR(1/IF(Inputs!$B$38="pvp",15,MAX(0.1,Skills!D6-IF(Skills!E6=TRUE,Inputs!$B$32,0))),0)</f>
        <v/>
      </c>
      <c r="R122">
        <f>IF(AND(Inputs!$B$38&lt;&gt;"pvp",Inputs!$B$43&gt;0),IF(MAX(0,Inputs!$B$43-B155)&lt;=0,0,(INT(MAX(0,Inputs!$B$43-B155)/IF(Inputs!$B$38="pvp",15,MAX(0.1,Skills!D6-IF(Skills!E6=TRUE,Inputs!$B$32,0))))+1)),0)</f>
        <v/>
      </c>
      <c r="S122">
        <f>IFERROR((H122*N122*IF(AND(Inputs!$B$38&lt;&gt;"pvp",Inputs!$B$43&gt;0),((Skills!G6*((R122-1)*IF(Skills!H6&gt;0,Skills!I6/Skills!H6,1)+IF(Skills!H6&gt;0,MIN(Skills!I6,MAX(0,MAX(0,Inputs!$B$43-B155)-((R122-1)*IF(Inputs!$B$38="pvp",15,MAX(0.1,Skills!D6-IF(Skills!E6=TRUE,Inputs!$B$32,0))))))/Skills!H6,1)))/Inputs!$B$43),G122*Q122))/N122*IF(Inputs!$B$38="pvp",1,(1-Summary!$B$11)*1+Summary!$B$11*(MIN(Skills!R6,Inputs!$B$37))),0)</f>
        <v/>
      </c>
      <c r="T122">
        <f>IF(C122,(H122*N122*IF(AND(Inputs!$B$38&lt;&gt;"pvp",Inputs!$B$43&gt;0),((Skills!G6*((R122-1)*IF(Skills!H6&gt;0,Skills!I6/Skills!H6,1)+IF(Skills!H6&gt;0,MIN(Skills!I6,MAX(0,MAX(0,Inputs!$B$43-B155)-((R122-1)*IF(Inputs!$B$38="pvp",15,MAX(0.1,Skills!D6-IF(Skills!E6=TRUE,Inputs!$B$32,0))))))/Skills!H6,1)))/Inputs!$B$43),G122*Q122))*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Hunt"),CHOOSE(ArtifactsInput!$N$35+1,15,18,21,24,27,30)*(1-EXP(-(0.2*B150)*5)),0)+IF(AND(ArtifactsInput!$M$22,Inputs!$B$4&lt;&gt;"Chapter Hunt"),CHOOSE(ArtifactsInput!$N$22+1,10,12,14,16,18,20)*((0*(((0.15*B150*5))^0/1)+1*(((0.15*B150*5))^1/1)+2*(((0.15*B150*5))^2/2)+3*(((0.15*B150*5))^3/6)+4*(((0.15*B150*5))^4/24)+5*(((0.15*B150*5))^5/120))/((((0.15*B150*5))^0/1)+(((0.15*B150*5))^1/1)+(((0.15*B150*5))^2/2)+(((0.15*B150*5))^3/6)+(((0.15*B150*5))^4/24)+(((0.15*B150*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122*(1-MIN(100,(Inputs!$B$9+((C135=TRUE)*(F135-Calc!F19))+B148+(ArtifactsInput!$M$24-ArtifactsInput!$M$24)*CHOOSE(ArtifactsInput!$N$24+1,10,12,14,16,18,20)+(IF(AND(ArtifactsInput!$M$42,((Inputs!$B$9+((C135=TRUE)*(F135-Calc!F19))+B148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122*(MIN(100,(Inputs!$B$9+((C135=TRUE)*(F135-Calc!F19))+B148+(ArtifactsInput!$M$24-ArtifactsInput!$M$24)*CHOOSE(ArtifactsInput!$N$24+1,10,12,14,16,18,20)+(IF(AND(ArtifactsInput!$M$42,((Inputs!$B$9+((C135=TRUE)*(F135-Calc!F19))+B148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122*(1-MIN(100,(Inputs!$B$9+((C135=TRUE)*(F135-Calc!F19))+B148+(ArtifactsInput!$M$24-ArtifactsInput!$M$24)*CHOOSE(ArtifactsInput!$N$24+1,10,12,14,16,18,20)+(IF(AND(ArtifactsInput!$M$42,((Inputs!$B$9+((C135=TRUE)*(F135-Calc!F19))+B148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122*(MIN(100,(Inputs!$B$9+((C135=TRUE)*(F135-Calc!F19))+B148+(ArtifactsInput!$M$24-ArtifactsInput!$M$24)*CHOOSE(ArtifactsInput!$N$24+1,10,12,14,16,18,20)+(IF(AND(ArtifactsInput!$M$42,((Inputs!$B$9+((C135=TRUE)*(F135-Calc!F19))+B148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22">
        <f>IF(C122,(H122*N122*IF(AND(Inputs!$B$38&lt;&gt;"pvp",Inputs!$B$43&gt;0),((Skills!G6*((R122-1)*IF(Skills!H6&gt;0,Skills!I6/Skills!H6,1)+IF(Skills!H6&gt;0,MIN(Skills!I6,MAX(0,MAX(0,Inputs!$B$43-B155)-((R122-1)*IF(Inputs!$B$38="pvp",15,MAX(0.1,Skills!D6-IF(Skills!E6=TRUE,Inputs!$B$32,0))))))/Skills!H6,1)))/Inputs!$B$43),G122*Q122))*IF(Inputs!$B$38="pvp",1,(1+(Inputs!$B$21+Skills!Q6+(IF(ArtifactsInput!$M$33,CHOOSE(ArtifactsInput!$N$33+1,30,36,42,48,54,60),0))+(IF(AND(ArtifactsInput!$M$35,Inputs!$B$4&lt;&gt;"Chapter Hunt"),CHOOSE(ArtifactsInput!$N$35+1,15,18,21,24,27,30)*(1-EXP(-(0.2*B150)*5)),0)+IF(AND(ArtifactsInput!$M$22,Inputs!$B$4&lt;&gt;"Chapter Hunt"),CHOOSE(ArtifactsInput!$N$22+1,10,12,14,16,18,20)*((0*(((0.15*B150*5))^0/1)+1*(((0.15*B150*5))^1/1)+2*(((0.15*B150*5))^2/2)+3*(((0.15*B150*5))^3/6)+4*(((0.15*B150*5))^4/24)+5*(((0.15*B150*5))^5/120))/((((0.15*B150*5))^0/1)+(((0.15*B150*5))^1/1)+(((0.15*B150*5))^2/2)+(((0.15*B150*5))^3/6)+(((0.15*B150*5))^4/24)+(((0.15*B150*5))^5/120))),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23">
      <c r="A123">
        <f>Skills!A7</f>
        <v/>
      </c>
      <c r="B123">
        <f>Skills!B7</f>
        <v/>
      </c>
      <c r="C123">
        <f>Inputs!$B$3&gt;=69</f>
        <v/>
      </c>
      <c r="D123">
        <f>IF(Skills!C7=1,60+Inputs!$B$25+Inputs!$B$29,IF(Skills!C7=2,90+Inputs!$B$26+Inputs!$B$29,IF(Skills!C7=3,120+Inputs!$B$27+Inputs!$B$29,MAX(0,(Inputs!$B$3-100)*3)+Inputs!$B$28+Inputs!$B$29)))</f>
        <v/>
      </c>
      <c r="E123">
        <f>INDEX(FactorTable!$B$2:$Y$301, MATCH(ROUND(MIN(300,MAX(1,D123)),0), FactorTable!$A$2:$A$301,0), Skills!M7+1)</f>
        <v/>
      </c>
      <c r="F123">
        <f>IF(Skills!N7=TRUE,(Skills!L7/10)*(E123/1000),Skills!L7/10)+Skills!O7</f>
        <v/>
      </c>
      <c r="G123">
        <f>Skills!G7*IF(Skills!H7&gt;0,Skills!I7/Skills!H7,1)</f>
        <v/>
      </c>
      <c r="H123">
        <f>1-(1-Skills!J7/100)^Skills!K7</f>
        <v/>
      </c>
      <c r="I123" t="inlineStr">
        <is>
          <t>1</t>
        </is>
      </c>
      <c r="J123">
        <f>((Inputs!$B$6*(1+Inputs!$B$7/100))+(((Inputs!$B$12*(1+(Inputs!$B$13+1)/100))-(Inputs!$B$12*(1+Inputs!$B$13/100)))+0.25*(Inputs!$B$14-Inputs!$B$14))*(1+Inputs!$B$7/100))*(F123/100)</f>
        <v/>
      </c>
      <c r="K123">
        <f>J123*(1+((Inputs!$B$12*(1+(Inputs!$B$13+1)/100))*0.01+Inputs!$B$14*0.0025)/100)*(1+Inputs!$B$15/100)*(1+Inputs!$B$16/100)*(5000/(6000+Inputs!$B$42*(1-(100*(1-(1-(Inputs!$B$19+0)/100)*(1-CHOOSE(ArtifactsInput!$N$40+1,5,6,7,8,9,10)/100)^(ArtifactsInput!$M$40-ArtifactsInput!$M$40)))/100)))*(1+(Inputs!$B$24+((C140=TRUE)*(F140-Calc!F24))+((C141=TRUE)*(F141-Calc!F25))+B154)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+1.2*IF(C124=TRUE,F124,0)/100)*(1+(IF(Skills!A7="EMPOWERED_PIERCING_ARROW",Inputs!$B$17+((C138=TRUE)*(F138-Calc!F22))+(((IF(AND(ArtifactsInput!$M$42,((Inputs!$B$9+((C135=TRUE)*(F135-Calc!F19))+B148+(ArtifactsInput!$M$24-ArtifactsInput!$M$24)*CHOOSE(ArtifactsInput!$N$24+1,10,12,14,16,18,20)+IF(ArtifactsInput!$M$10,CHOOSE(ArtifactsInput!$N$10+1,15,18,21,24,27,30)*(IF(Inputs!$B$38="pvp",MIN(15,15)/15,IF(AND(Inputs!$B$38&lt;&gt;"pvp",Inputs!$B$43&gt;0),MIN(15,Inputs!$B$43)/(Inputs!$B$43),0))),0)))&gt;=100),MIN(100,((Inputs!$B$9+((C135=TRUE)*(F135-Calc!F19))+B148+(ArtifactsInput!$M$24-ArtifactsInput!$M$24)*CHOOSE(ArtifactsInput!$N$24+1,10,12,14,16,18,20)+IF(ArtifactsInput!$M$10,CHOOSE(ArtifactsInput!$N$10+1,15,18,21,24,27,30)*(IF(Inputs!$B$38="pvp",MIN(15,15)/15,IF(AND(Inputs!$B$38&lt;&gt;"pvp",Inputs!$B$43&gt;0),MIN(15,Inputs!$B$43)/(Inputs!$B$43),0))),0)))-100),0))*CHOOSE(ArtifactsInput!$N$42+1,0.6,0.72,0.84,0.96,1.08,1.2))),Inputs!$B$18+((C143=TRUE)*(F143-Calc!F27))+(IF(AND(ArtifactsInput!$M$42,((Inputs!$B$9+((C135=TRUE)*(F135-Calc!F19))+B148+(ArtifactsInput!$M$24-ArtifactsInput!$M$24)*CHOOSE(ArtifactsInput!$N$24+1,10,12,14,16,18,20)+IF(ArtifactsInput!$M$10,CHOOSE(ArtifactsInput!$N$10+1,15,18,21,24,27,30)*(IF(Inputs!$B$38="pvp",MIN(15,15)/15,IF(AND(Inputs!$B$38&lt;&gt;"pvp",Inputs!$B$43&gt;0),MIN(15,Inputs!$B$43)/(Inputs!$B$43),0))),0)))&gt;=100),CHOOSE(ArtifactsInput!$N$42+1,40,48,56,64,72,80),0))))/100)*((1+(((C129=TRUE)*F129)+((C130=TRUE)*IF(Inputs!$B$38="pvp",F130,(1-Summary!$B$11)*(F130)+Summary!$B$11*(0)))+((C131=TRUE)*F131*IF(AND(Inputs!$B$38&lt;&gt;"pvp",Inputs!$B$43&gt;0),(((R131-1)*(Skills!T15*(1+Inputs!$B$34/100))+MIN((Skills!T15*(1+Inputs!$B$34/100)),MAX(0,Inputs!$B$43-((R131-1)*Skills!D15))))/Inputs!$B$43),IF(Inputs!$B$38="pvp",MIN((Skills!T15*(1+Inputs!$B$34/100)),15)/15,(Skills!T15*(1+Inputs!$B$34/100))/Skills!D15)))+((C128=TRUE)*F128)+((C145=TRUE)*(F145-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123)</f>
        <v/>
      </c>
      <c r="L123">
        <f>K123*(MIN(Inputs!$B$22+((C139=TRUE)*(F139-Calc!F23)),(Inputs!$B$23+((C144=TRUE)*(F144-Calc!F28))+(IF(ArtifactsInput!$M$15,CHOOSE(ArtifactsInput!$N$15+1,25,30,35,40,45,50)/100*(Inputs!$B$11-Inputs!$B$11),0))))/100+(Inputs!$B$23+((C144=TRUE)*(F144-Calc!F28))+(IF(ArtifactsInput!$M$15,CHOOSE(ArtifactsInput!$N$15+1,25,30,35,40,45,50)/100*(Inputs!$B$11-Inputs!$B$11),0)))/100)/2</f>
        <v/>
      </c>
      <c r="M123">
        <f>L123*(1+(Inputs!$B$10+0+B153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23">
        <f>L123*(1-MIN((Inputs!$B$9+((C135=TRUE)*(F135-Calc!F19))+B148+(ArtifactsInput!$M$24-ArtifactsInput!$M$24)*CHOOSE(ArtifactsInput!$N$24+1,10,12,14,16,18,20)+(IF(AND(ArtifactsInput!$M$42,((Inputs!$B$9+((C135=TRUE)*(F135-Calc!F19))+B148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123*(MIN((Inputs!$B$9+((C135=TRUE)*(F135-Calc!F19))+B148+(ArtifactsInput!$M$24-ArtifactsInput!$M$24)*CHOOSE(ArtifactsInput!$N$24+1,10,12,14,16,18,20)+(IF(AND(ArtifactsInput!$M$42,((Inputs!$B$9+((C135=TRUE)*(F135-Calc!F19))+B148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23">
        <f>(1-Summary!$B$11)*T123+Summary!$B$11*V123</f>
        <v/>
      </c>
      <c r="P123">
        <f>IF(B158=0,0,O123/B158)</f>
        <v/>
      </c>
      <c r="Q123">
        <f>IFERROR(1/IF(Inputs!$B$38="pvp",15,MAX(0.1,Skills!D7-IF(Skills!E7=TRUE,Inputs!$B$32,0))),0)</f>
        <v/>
      </c>
      <c r="R123">
        <f>IF(AND(Inputs!$B$38&lt;&gt;"pvp",Inputs!$B$43&gt;0),IF(MAX(0,Inputs!$B$43-B155)&lt;=0,0,(INT(MAX(0,Inputs!$B$43-B155)/IF(Inputs!$B$38="pvp",15,MAX(0.1,Skills!D7-IF(Skills!E7=TRUE,Inputs!$B$32,0))))+1)),0)</f>
        <v/>
      </c>
      <c r="S123">
        <f>IFERROR((H123*N123*IF(AND(Inputs!$B$38&lt;&gt;"pvp",Inputs!$B$43&gt;0),((Skills!G7*((R123-1)*IF(Skills!H7&gt;0,Skills!I7/Skills!H7,1)+IF(Skills!H7&gt;0,MIN(Skills!I7,MAX(0,MAX(0,Inputs!$B$43-B155)-((R123-1)*IF(Inputs!$B$38="pvp",15,MAX(0.1,Skills!D7-IF(Skills!E7=TRUE,Inputs!$B$32,0))))))/Skills!H7,1)))/Inputs!$B$43),G123*Q123))/N123*IF(Inputs!$B$38="pvp",1,(1-Summary!$B$11)*1+Summary!$B$11*(MIN(Skills!R7,Inputs!$B$37))),0)</f>
        <v/>
      </c>
      <c r="T123">
        <f>IF(C123,(H123*N123*IF(AND(Inputs!$B$38&lt;&gt;"pvp",Inputs!$B$43&gt;0),((Skills!G7*((R123-1)*IF(Skills!H7&gt;0,Skills!I7/Skills!H7,1)+IF(Skills!H7&gt;0,MIN(Skills!I7,MAX(0,MAX(0,Inputs!$B$43-B155)-((R123-1)*IF(Inputs!$B$38="pvp",15,MAX(0.1,Skills!D7-IF(Skills!E7=TRUE,Inputs!$B$32,0))))))/Skills!H7,1)))/Inputs!$B$43),G123*Q123))*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Hunt"),CHOOSE(ArtifactsInput!$N$35+1,15,18,21,24,27,30)*(1-EXP(-(0.2*B150)*5)),0)+IF(AND(ArtifactsInput!$M$22,Inputs!$B$4&lt;&gt;"Chapter Hunt"),CHOOSE(ArtifactsInput!$N$22+1,10,12,14,16,18,20)*((0*(((0.15*B150*5))^0/1)+1*(((0.15*B150*5))^1/1)+2*(((0.15*B150*5))^2/2)+3*(((0.15*B150*5))^3/6)+4*(((0.15*B150*5))^4/24)+5*(((0.15*B150*5))^5/120))/((((0.15*B150*5))^0/1)+(((0.15*B150*5))^1/1)+(((0.15*B150*5))^2/2)+(((0.15*B150*5))^3/6)+(((0.15*B150*5))^4/24)+(((0.15*B150*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123*(1-MIN(100,(Inputs!$B$9+((C135=TRUE)*(F135-Calc!F19))+B148+(ArtifactsInput!$M$24-ArtifactsInput!$M$24)*CHOOSE(ArtifactsInput!$N$24+1,10,12,14,16,18,20)+(IF(AND(ArtifactsInput!$M$42,((Inputs!$B$9+((C135=TRUE)*(F135-Calc!F19))+B148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123*(MIN(100,(Inputs!$B$9+((C135=TRUE)*(F135-Calc!F19))+B148+(ArtifactsInput!$M$24-ArtifactsInput!$M$24)*CHOOSE(ArtifactsInput!$N$24+1,10,12,14,16,18,20)+(IF(AND(ArtifactsInput!$M$42,((Inputs!$B$9+((C135=TRUE)*(F135-Calc!F19))+B148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123*(1-MIN(100,(Inputs!$B$9+((C135=TRUE)*(F135-Calc!F19))+B148+(ArtifactsInput!$M$24-ArtifactsInput!$M$24)*CHOOSE(ArtifactsInput!$N$24+1,10,12,14,16,18,20)+(IF(AND(ArtifactsInput!$M$42,((Inputs!$B$9+((C135=TRUE)*(F135-Calc!F19))+B148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123*(MIN(100,(Inputs!$B$9+((C135=TRUE)*(F135-Calc!F19))+B148+(ArtifactsInput!$M$24-ArtifactsInput!$M$24)*CHOOSE(ArtifactsInput!$N$24+1,10,12,14,16,18,20)+(IF(AND(ArtifactsInput!$M$42,((Inputs!$B$9+((C135=TRUE)*(F135-Calc!F19))+B148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23">
        <f>IF(C123,(H123*N123*IF(AND(Inputs!$B$38&lt;&gt;"pvp",Inputs!$B$43&gt;0),((Skills!G7*((R123-1)*IF(Skills!H7&gt;0,Skills!I7/Skills!H7,1)+IF(Skills!H7&gt;0,MIN(Skills!I7,MAX(0,MAX(0,Inputs!$B$43-B155)-((R123-1)*IF(Inputs!$B$38="pvp",15,MAX(0.1,Skills!D7-IF(Skills!E7=TRUE,Inputs!$B$32,0))))))/Skills!H7,1)))/Inputs!$B$43),G123*Q123))*IF(Inputs!$B$38="pvp",1,(1+(Inputs!$B$21+Skills!Q7+(IF(ArtifactsInput!$M$33,CHOOSE(ArtifactsInput!$N$33+1,30,36,42,48,54,60),0))+(IF(AND(ArtifactsInput!$M$35,Inputs!$B$4&lt;&gt;"Chapter Hunt"),CHOOSE(ArtifactsInput!$N$35+1,15,18,21,24,27,30)*(1-EXP(-(0.2*B150)*5)),0)+IF(AND(ArtifactsInput!$M$22,Inputs!$B$4&lt;&gt;"Chapter Hunt"),CHOOSE(ArtifactsInput!$N$22+1,10,12,14,16,18,20)*((0*(((0.15*B150*5))^0/1)+1*(((0.15*B150*5))^1/1)+2*(((0.15*B150*5))^2/2)+3*(((0.15*B150*5))^3/6)+4*(((0.15*B150*5))^4/24)+5*(((0.15*B150*5))^5/120))/((((0.15*B150*5))^0/1)+(((0.15*B150*5))^1/1)+(((0.15*B150*5))^2/2)+(((0.15*B150*5))^3/6)+(((0.15*B150*5))^4/24)+(((0.15*B150*5))^5/120))),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24">
      <c r="A124">
        <f>Skills!A8</f>
        <v/>
      </c>
      <c r="B124">
        <f>Skills!B8</f>
        <v/>
      </c>
      <c r="C124">
        <f>Inputs!$B$3&gt;=100</f>
        <v/>
      </c>
      <c r="D124">
        <f>IF(Skills!C8=1,60+Inputs!$B$25+Inputs!$B$29,IF(Skills!C8=2,90+Inputs!$B$26+Inputs!$B$29,IF(Skills!C8=3,120+Inputs!$B$27+Inputs!$B$29,MAX(0,(Inputs!$B$3-100)*3)+Inputs!$B$28+Inputs!$B$29)))</f>
        <v/>
      </c>
      <c r="E124">
        <f>INDEX(FactorTable!$B$2:$Y$301, MATCH(ROUND(MIN(300,MAX(1,D124)),0), FactorTable!$A$2:$A$301,0), Skills!M8+1)</f>
        <v/>
      </c>
      <c r="F124">
        <f>IF(Skills!N8=TRUE,(Skills!L8/10)*(E124/1000),Skills!L8/10)+Skills!O8</f>
        <v/>
      </c>
      <c r="G124" t="inlineStr"/>
      <c r="H124" t="inlineStr"/>
      <c r="I124" t="inlineStr">
        <is>
          <t>1</t>
        </is>
      </c>
      <c r="J124" t="inlineStr"/>
      <c r="K124" t="inlineStr"/>
      <c r="L124" t="inlineStr"/>
      <c r="M124" t="inlineStr"/>
      <c r="N124" t="inlineStr"/>
      <c r="O124" t="inlineStr"/>
      <c r="P124" t="inlineStr"/>
      <c r="Q124" t="inlineStr"/>
      <c r="R124" t="inlineStr"/>
      <c r="S124" t="inlineStr"/>
      <c r="T124" t="inlineStr"/>
      <c r="V124" t="inlineStr"/>
    </row>
    <row r="125">
      <c r="A125">
        <f>Skills!A9</f>
        <v/>
      </c>
      <c r="B125">
        <f>Skills!B9</f>
        <v/>
      </c>
      <c r="C125">
        <f>Inputs!$B$3&gt;=103</f>
        <v/>
      </c>
      <c r="D125">
        <f>IF(Skills!C9=1,60+Inputs!$B$25+Inputs!$B$29,IF(Skills!C9=2,90+Inputs!$B$26+Inputs!$B$29,IF(Skills!C9=3,120+Inputs!$B$27+Inputs!$B$29,MAX(0,(Inputs!$B$3-100)*3)+Inputs!$B$28+Inputs!$B$29)))</f>
        <v/>
      </c>
      <c r="E125">
        <f>INDEX(FactorTable!$B$2:$Y$301, MATCH(ROUND(MIN(300,MAX(1,D125)),0), FactorTable!$A$2:$A$301,0), Skills!M9+1)</f>
        <v/>
      </c>
      <c r="F125">
        <f>IF(Skills!N9=TRUE,(Skills!L9/10)*(E125/1000),Skills!L9/10)+Skills!O9</f>
        <v/>
      </c>
      <c r="G125">
        <f>Skills!G9*IF(Skills!H9&gt;0,Skills!I9/Skills!H9,1)</f>
        <v/>
      </c>
      <c r="H125">
        <f>1-(1-Skills!J9/100)^Skills!K9</f>
        <v/>
      </c>
      <c r="I125" t="inlineStr">
        <is>
          <t>1</t>
        </is>
      </c>
      <c r="J125">
        <f>((Inputs!$B$6*(1+Inputs!$B$7/100))+(((Inputs!$B$12*(1+(Inputs!$B$13+1)/100))-(Inputs!$B$12*(1+Inputs!$B$13/100)))+0.25*(Inputs!$B$14-Inputs!$B$14))*(1+Inputs!$B$7/100))*(F125/100)</f>
        <v/>
      </c>
      <c r="K125">
        <f>J125*(1+((Inputs!$B$12*(1+(Inputs!$B$13+1)/100))*0.01+Inputs!$B$14*0.0025)/100)*(1+Inputs!$B$15/100)*(1+Inputs!$B$16/100)*(5000/(6000+Inputs!$B$42*(1-(100*(1-(1-(Inputs!$B$19+0)/100)*(1-CHOOSE(ArtifactsInput!$N$40+1,5,6,7,8,9,10)/100)^(ArtifactsInput!$M$40-ArtifactsInput!$M$40)))/100)))*(1+(Inputs!$B$24+((C140=TRUE)*(F140-Calc!F24))+((C141=TRUE)*(F141-Calc!F25))+B154)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EMPOWERED_PIERCING_ARROW",Inputs!$B$17+((C138=TRUE)*(F138-Calc!F22))+(((IF(AND(ArtifactsInput!$M$42,((Inputs!$B$9+((C135=TRUE)*(F135-Calc!F19))+B148+(ArtifactsInput!$M$24-ArtifactsInput!$M$24)*CHOOSE(ArtifactsInput!$N$24+1,10,12,14,16,18,20)+IF(ArtifactsInput!$M$10,CHOOSE(ArtifactsInput!$N$10+1,15,18,21,24,27,30)*(IF(Inputs!$B$38="pvp",MIN(15,15)/15,IF(AND(Inputs!$B$38&lt;&gt;"pvp",Inputs!$B$43&gt;0),MIN(15,Inputs!$B$43)/(Inputs!$B$43),0))),0)))&gt;=100),MIN(100,((Inputs!$B$9+((C135=TRUE)*(F135-Calc!F19))+B148+(ArtifactsInput!$M$24-ArtifactsInput!$M$24)*CHOOSE(ArtifactsInput!$N$24+1,10,12,14,16,18,20)+IF(ArtifactsInput!$M$10,CHOOSE(ArtifactsInput!$N$10+1,15,18,21,24,27,30)*(IF(Inputs!$B$38="pvp",MIN(15,15)/15,IF(AND(Inputs!$B$38&lt;&gt;"pvp",Inputs!$B$43&gt;0),MIN(15,Inputs!$B$43)/(Inputs!$B$43),0))),0)))-100),0))*CHOOSE(ArtifactsInput!$N$42+1,0.6,0.72,0.84,0.96,1.08,1.2))),Inputs!$B$18+((C143=TRUE)*(F143-Calc!F27))+(IF(AND(ArtifactsInput!$M$42,((Inputs!$B$9+((C135=TRUE)*(F135-Calc!F19))+B148+(ArtifactsInput!$M$24-ArtifactsInput!$M$24)*CHOOSE(ArtifactsInput!$N$24+1,10,12,14,16,18,20)+IF(ArtifactsInput!$M$10,CHOOSE(ArtifactsInput!$N$10+1,15,18,21,24,27,30)*(IF(Inputs!$B$38="pvp",MIN(15,15)/15,IF(AND(Inputs!$B$38&lt;&gt;"pvp",Inputs!$B$43&gt;0),MIN(15,Inputs!$B$43)/(Inputs!$B$43),0))),0)))&gt;=100),CHOOSE(ArtifactsInput!$N$42+1,40,48,56,64,72,80),0))))/100)*((1+(((C129=TRUE)*F129)+((C130=TRUE)*IF(Inputs!$B$38="pvp",F130,(1-Summary!$B$11)*(F130)+Summary!$B$11*(0)))+((C131=TRUE)*F131*IF(AND(Inputs!$B$38&lt;&gt;"pvp",Inputs!$B$43&gt;0),(((R131-1)*(Skills!T15*(1+Inputs!$B$34/100))+MIN((Skills!T15*(1+Inputs!$B$34/100)),MAX(0,Inputs!$B$43-((R131-1)*Skills!D15))))/Inputs!$B$43),IF(Inputs!$B$38="pvp",MIN((Skills!T15*(1+Inputs!$B$34/100)),15)/15,(Skills!T15*(1+Inputs!$B$34/100))/Skills!D15)))+((C128=TRUE)*F128)+((C145=TRUE)*(F145-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125)</f>
        <v/>
      </c>
      <c r="L125">
        <f>K125*(MIN(Inputs!$B$22+((C139=TRUE)*(F139-Calc!F23)),(Inputs!$B$23+((C144=TRUE)*(F144-Calc!F28))+(IF(ArtifactsInput!$M$15,CHOOSE(ArtifactsInput!$N$15+1,25,30,35,40,45,50)/100*(Inputs!$B$11-Inputs!$B$11),0))))/100+(Inputs!$B$23+((C144=TRUE)*(F144-Calc!F28))+(IF(ArtifactsInput!$M$15,CHOOSE(ArtifactsInput!$N$15+1,25,30,35,40,45,50)/100*(Inputs!$B$11-Inputs!$B$11),0)))/100)/2</f>
        <v/>
      </c>
      <c r="M125">
        <f>L125*(1+(Inputs!$B$10+0+B153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25">
        <f>L125*(1-MIN((Inputs!$B$9+((C135=TRUE)*(F135-Calc!F19))+B148+(ArtifactsInput!$M$24-ArtifactsInput!$M$24)*CHOOSE(ArtifactsInput!$N$24+1,10,12,14,16,18,20)+(IF(AND(ArtifactsInput!$M$42,((Inputs!$B$9+((C135=TRUE)*(F135-Calc!F19))+B148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125*(MIN((Inputs!$B$9+((C135=TRUE)*(F135-Calc!F19))+B148+(ArtifactsInput!$M$24-ArtifactsInput!$M$24)*CHOOSE(ArtifactsInput!$N$24+1,10,12,14,16,18,20)+(IF(AND(ArtifactsInput!$M$42,((Inputs!$B$9+((C135=TRUE)*(F135-Calc!F19))+B148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25">
        <f>(1-Summary!$B$11)*T125+Summary!$B$11*V125</f>
        <v/>
      </c>
      <c r="P125">
        <f>IF(B158=0,0,O125/B158)</f>
        <v/>
      </c>
      <c r="Q125">
        <f>IFERROR(1/IF(Inputs!$B$38="pvp",15,MAX(0.1,Skills!D9-IF(Skills!E9=TRUE,Inputs!$B$32,0))),0)</f>
        <v/>
      </c>
      <c r="R125">
        <f>IF(AND(Inputs!$B$38&lt;&gt;"pvp",Inputs!$B$43&gt;0),IF(MAX(0,Inputs!$B$43-B155)&lt;=0,0,(INT(MAX(0,Inputs!$B$43-B155)/IF(Inputs!$B$38="pvp",15,MAX(0.1,Skills!D9-IF(Skills!E9=TRUE,Inputs!$B$32,0))))+1)),0)</f>
        <v/>
      </c>
      <c r="S125">
        <f>IFERROR((H125*N125*IF(AND(Inputs!$B$38&lt;&gt;"pvp",Inputs!$B$43&gt;0),((Skills!G9*((R125-1)*IF(Skills!H9&gt;0,Skills!I9/Skills!H9,1)+IF(Skills!H9&gt;0,MIN(Skills!I9,MAX(0,MAX(0,Inputs!$B$43-B155)-((R125-1)*IF(Inputs!$B$38="pvp",15,MAX(0.1,Skills!D9-IF(Skills!E9=TRUE,Inputs!$B$32,0))))))/Skills!H9,1)))/Inputs!$B$43),G125*Q125))/N125*IF(Inputs!$B$38="pvp",1,(1-Summary!$B$11)*1+Summary!$B$11*(MIN(Skills!R9,Inputs!$B$37))),0)</f>
        <v/>
      </c>
      <c r="T125">
        <f>IF(C125,(H125*N125*IF(AND(Inputs!$B$38&lt;&gt;"pvp",Inputs!$B$43&gt;0),((Skills!G9*((R125-1)*IF(Skills!H9&gt;0,Skills!I9/Skills!H9,1)+IF(Skills!H9&gt;0,MIN(Skills!I9,MAX(0,MAX(0,Inputs!$B$43-B155)-((R125-1)*IF(Inputs!$B$38="pvp",15,MAX(0.1,Skills!D9-IF(Skills!E9=TRUE,Inputs!$B$32,0))))))/Skills!H9,1)))/Inputs!$B$43),G125*Q125))*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Hunt"),CHOOSE(ArtifactsInput!$N$35+1,15,18,21,24,27,30)*(1-EXP(-(0.2*B150)*5)),0)+IF(AND(ArtifactsInput!$M$22,Inputs!$B$4&lt;&gt;"Chapter Hunt"),CHOOSE(ArtifactsInput!$N$22+1,10,12,14,16,18,20)*((0*(((0.15*B150*5))^0/1)+1*(((0.15*B150*5))^1/1)+2*(((0.15*B150*5))^2/2)+3*(((0.15*B150*5))^3/6)+4*(((0.15*B150*5))^4/24)+5*(((0.15*B150*5))^5/120))/((((0.15*B150*5))^0/1)+(((0.15*B150*5))^1/1)+(((0.15*B150*5))^2/2)+(((0.15*B150*5))^3/6)+(((0.15*B150*5))^4/24)+(((0.15*B150*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125*(1-MIN(100,(Inputs!$B$9+((C135=TRUE)*(F135-Calc!F19))+B148+(ArtifactsInput!$M$24-ArtifactsInput!$M$24)*CHOOSE(ArtifactsInput!$N$24+1,10,12,14,16,18,20)+(IF(AND(ArtifactsInput!$M$42,((Inputs!$B$9+((C135=TRUE)*(F135-Calc!F19))+B148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125*(MIN(100,(Inputs!$B$9+((C135=TRUE)*(F135-Calc!F19))+B148+(ArtifactsInput!$M$24-ArtifactsInput!$M$24)*CHOOSE(ArtifactsInput!$N$24+1,10,12,14,16,18,20)+(IF(AND(ArtifactsInput!$M$42,((Inputs!$B$9+((C135=TRUE)*(F135-Calc!F19))+B148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125*(1-MIN(100,(Inputs!$B$9+((C135=TRUE)*(F135-Calc!F19))+B148+(ArtifactsInput!$M$24-ArtifactsInput!$M$24)*CHOOSE(ArtifactsInput!$N$24+1,10,12,14,16,18,20)+(IF(AND(ArtifactsInput!$M$42,((Inputs!$B$9+((C135=TRUE)*(F135-Calc!F19))+B148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125*(MIN(100,(Inputs!$B$9+((C135=TRUE)*(F135-Calc!F19))+B148+(ArtifactsInput!$M$24-ArtifactsInput!$M$24)*CHOOSE(ArtifactsInput!$N$24+1,10,12,14,16,18,20)+(IF(AND(ArtifactsInput!$M$42,((Inputs!$B$9+((C135=TRUE)*(F135-Calc!F19))+B148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25">
        <f>IF(C125,(H125*N125*IF(AND(Inputs!$B$38&lt;&gt;"pvp",Inputs!$B$43&gt;0),((Skills!G9*((R125-1)*IF(Skills!H9&gt;0,Skills!I9/Skills!H9,1)+IF(Skills!H9&gt;0,MIN(Skills!I9,MAX(0,MAX(0,Inputs!$B$43-B155)-((R125-1)*IF(Inputs!$B$38="pvp",15,MAX(0.1,Skills!D9-IF(Skills!E9=TRUE,Inputs!$B$32,0))))))/Skills!H9,1)))/Inputs!$B$43),G125*Q125))*IF(Inputs!$B$38="pvp",1,(1+(Inputs!$B$21+Skills!Q9+(IF(ArtifactsInput!$M$33,CHOOSE(ArtifactsInput!$N$33+1,30,36,42,48,54,60),0))+(IF(AND(ArtifactsInput!$M$35,Inputs!$B$4&lt;&gt;"Chapter Hunt"),CHOOSE(ArtifactsInput!$N$35+1,15,18,21,24,27,30)*(1-EXP(-(0.2*B150)*5)),0)+IF(AND(ArtifactsInput!$M$22,Inputs!$B$4&lt;&gt;"Chapter Hunt"),CHOOSE(ArtifactsInput!$N$22+1,10,12,14,16,18,20)*((0*(((0.15*B150*5))^0/1)+1*(((0.15*B150*5))^1/1)+2*(((0.15*B150*5))^2/2)+3*(((0.15*B150*5))^3/6)+4*(((0.15*B150*5))^4/24)+5*(((0.15*B150*5))^5/120))/((((0.15*B150*5))^0/1)+(((0.15*B150*5))^1/1)+(((0.15*B150*5))^2/2)+(((0.15*B150*5))^3/6)+(((0.15*B150*5))^4/24)+(((0.15*B150*5))^5/120)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26">
      <c r="A126">
        <f>Skills!A10</f>
        <v/>
      </c>
      <c r="B126">
        <f>Skills!B10</f>
        <v/>
      </c>
      <c r="C126">
        <f>Inputs!$B$3&gt;=107</f>
        <v/>
      </c>
      <c r="D126">
        <f>IF(Skills!C10=1,60+Inputs!$B$25+Inputs!$B$29,IF(Skills!C10=2,90+Inputs!$B$26+Inputs!$B$29,IF(Skills!C10=3,120+Inputs!$B$27+Inputs!$B$29,MAX(0,(Inputs!$B$3-100)*3)+Inputs!$B$28+Inputs!$B$29)))</f>
        <v/>
      </c>
      <c r="E126">
        <f>INDEX(FactorTable!$B$2:$Y$301, MATCH(ROUND(MIN(300,MAX(1,D126)),0), FactorTable!$A$2:$A$301,0), Skills!M10+1)</f>
        <v/>
      </c>
      <c r="F126">
        <f>IF(Skills!N10=TRUE,(Skills!L10/10)*(E126/1000),Skills!L10/10)+Skills!O10</f>
        <v/>
      </c>
      <c r="G126">
        <f>Skills!G10*IF(Skills!H10&gt;0,Skills!I10/Skills!H10,1)</f>
        <v/>
      </c>
      <c r="H126">
        <f>1-(1-Skills!J10/100)^Skills!K10</f>
        <v/>
      </c>
      <c r="I126" t="inlineStr">
        <is>
          <t>1</t>
        </is>
      </c>
      <c r="J126">
        <f>((Inputs!$B$6*(1+Inputs!$B$7/100))+(((Inputs!$B$12*(1+(Inputs!$B$13+1)/100))-(Inputs!$B$12*(1+Inputs!$B$13/100)))+0.25*(Inputs!$B$14-Inputs!$B$14))*(1+Inputs!$B$7/100))*(F126/100)</f>
        <v/>
      </c>
      <c r="K126">
        <f>J126*(1+((Inputs!$B$12*(1+(Inputs!$B$13+1)/100))*0.01+Inputs!$B$14*0.0025)/100)*(1+Inputs!$B$15/100)*(1+Inputs!$B$16/100)*(5000/(6000+Inputs!$B$42*(1-(100*(1-(1-(Inputs!$B$19+0)/100)*(1-CHOOSE(ArtifactsInput!$N$40+1,5,6,7,8,9,10)/100)^(ArtifactsInput!$M$40-ArtifactsInput!$M$40)))/100)))*(1+(Inputs!$B$24+((C140=TRUE)*(F140-Calc!F24))+((C141=TRUE)*(F141-Calc!F25))+B154)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EMPOWERED_PIERCING_ARROW",Inputs!$B$17+((C138=TRUE)*(F138-Calc!F22))+(((IF(AND(ArtifactsInput!$M$42,((Inputs!$B$9+((C135=TRUE)*(F135-Calc!F19))+B148+(ArtifactsInput!$M$24-ArtifactsInput!$M$24)*CHOOSE(ArtifactsInput!$N$24+1,10,12,14,16,18,20)+IF(ArtifactsInput!$M$10,CHOOSE(ArtifactsInput!$N$10+1,15,18,21,24,27,30)*(IF(Inputs!$B$38="pvp",MIN(15,15)/15,IF(AND(Inputs!$B$38&lt;&gt;"pvp",Inputs!$B$43&gt;0),MIN(15,Inputs!$B$43)/(Inputs!$B$43),0))),0)))&gt;=100),MIN(100,((Inputs!$B$9+((C135=TRUE)*(F135-Calc!F19))+B148+(ArtifactsInput!$M$24-ArtifactsInput!$M$24)*CHOOSE(ArtifactsInput!$N$24+1,10,12,14,16,18,20)+IF(ArtifactsInput!$M$10,CHOOSE(ArtifactsInput!$N$10+1,15,18,21,24,27,30)*(IF(Inputs!$B$38="pvp",MIN(15,15)/15,IF(AND(Inputs!$B$38&lt;&gt;"pvp",Inputs!$B$43&gt;0),MIN(15,Inputs!$B$43)/(Inputs!$B$43),0))),0)))-100),0))*CHOOSE(ArtifactsInput!$N$42+1,0.6,0.72,0.84,0.96,1.08,1.2))),Inputs!$B$18+((C143=TRUE)*(F143-Calc!F27))+(IF(AND(ArtifactsInput!$M$42,((Inputs!$B$9+((C135=TRUE)*(F135-Calc!F19))+B148+(ArtifactsInput!$M$24-ArtifactsInput!$M$24)*CHOOSE(ArtifactsInput!$N$24+1,10,12,14,16,18,20)+IF(ArtifactsInput!$M$10,CHOOSE(ArtifactsInput!$N$10+1,15,18,21,24,27,30)*(IF(Inputs!$B$38="pvp",MIN(15,15)/15,IF(AND(Inputs!$B$38&lt;&gt;"pvp",Inputs!$B$43&gt;0),MIN(15,Inputs!$B$43)/(Inputs!$B$43),0))),0)))&gt;=100),CHOOSE(ArtifactsInput!$N$42+1,40,48,56,64,72,80),0))))/100)*((1+(((C129=TRUE)*F129)+((C130=TRUE)*IF(Inputs!$B$38="pvp",F130,(1-Summary!$B$11)*(F130)+Summary!$B$11*(0)))+((C131=TRUE)*F131*IF(AND(Inputs!$B$38&lt;&gt;"pvp",Inputs!$B$43&gt;0),(((R131-1)*(Skills!T15*(1+Inputs!$B$34/100))+MIN((Skills!T15*(1+Inputs!$B$34/100)),MAX(0,Inputs!$B$43-((R131-1)*Skills!D15))))/Inputs!$B$43),IF(Inputs!$B$38="pvp",MIN((Skills!T15*(1+Inputs!$B$34/100)),15)/15,(Skills!T15*(1+Inputs!$B$34/100))/Skills!D15)))+((C128=TRUE)*F128)+((C145=TRUE)*(F145-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126)</f>
        <v/>
      </c>
      <c r="L126">
        <f>K126*(MIN(Inputs!$B$22+((C139=TRUE)*(F139-Calc!F23)),(Inputs!$B$23+((C144=TRUE)*(F144-Calc!F28))+(IF(ArtifactsInput!$M$15,CHOOSE(ArtifactsInput!$N$15+1,25,30,35,40,45,50)/100*(Inputs!$B$11-Inputs!$B$11),0))))/100+(Inputs!$B$23+((C144=TRUE)*(F144-Calc!F28))+(IF(ArtifactsInput!$M$15,CHOOSE(ArtifactsInput!$N$15+1,25,30,35,40,45,50)/100*(Inputs!$B$11-Inputs!$B$11),0)))/100)/2</f>
        <v/>
      </c>
      <c r="M126">
        <f>L126*(1+(Inputs!$B$10+0+B153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26">
        <f>L126*(1-MIN((Inputs!$B$9+((C135=TRUE)*(F135-Calc!F19))+B148+(ArtifactsInput!$M$24-ArtifactsInput!$M$24)*CHOOSE(ArtifactsInput!$N$24+1,10,12,14,16,18,20)+(IF(AND(ArtifactsInput!$M$42,((Inputs!$B$9+((C135=TRUE)*(F135-Calc!F19))+B148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126*(MIN((Inputs!$B$9+((C135=TRUE)*(F135-Calc!F19))+B148+(ArtifactsInput!$M$24-ArtifactsInput!$M$24)*CHOOSE(ArtifactsInput!$N$24+1,10,12,14,16,18,20)+(IF(AND(ArtifactsInput!$M$42,((Inputs!$B$9+((C135=TRUE)*(F135-Calc!F19))+B148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26">
        <f>(1-Summary!$B$11)*T126+Summary!$B$11*V126</f>
        <v/>
      </c>
      <c r="P126">
        <f>IF(B158=0,0,O126/B158)</f>
        <v/>
      </c>
      <c r="Q126" t="n">
        <v>0</v>
      </c>
      <c r="R126" t="n">
        <v>0</v>
      </c>
      <c r="S126" t="n">
        <v>0</v>
      </c>
      <c r="T126">
        <f>IF(C126,(0.15*SUMPRODUCT((Skills!U2:U29=TRUE)*(C118:C145=TRUE)*S118:S145)*Skills!G10*N126)*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Hunt"),CHOOSE(ArtifactsInput!$N$35+1,15,18,21,24,27,30)*(1-EXP(-(0.2*B150)*5)),0)+IF(AND(ArtifactsInput!$M$22,Inputs!$B$4&lt;&gt;"Chapter Hunt"),CHOOSE(ArtifactsInput!$N$22+1,10,12,14,16,18,20)*((0*(((0.15*B150*5))^0/1)+1*(((0.15*B150*5))^1/1)+2*(((0.15*B150*5))^2/2)+3*(((0.15*B150*5))^3/6)+4*(((0.15*B150*5))^4/24)+5*(((0.15*B150*5))^5/120))/((((0.15*B150*5))^0/1)+(((0.15*B150*5))^1/1)+(((0.15*B150*5))^2/2)+(((0.15*B150*5))^3/6)+(((0.15*B150*5))^4/24)+(((0.15*B150*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126*(1-MIN(100,(Inputs!$B$9+((C135=TRUE)*(F135-Calc!F19))+B148+(ArtifactsInput!$M$24-ArtifactsInput!$M$24)*CHOOSE(ArtifactsInput!$N$24+1,10,12,14,16,18,20)+(IF(AND(ArtifactsInput!$M$42,((Inputs!$B$9+((C135=TRUE)*(F135-Calc!F19))+B148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126*(MIN(100,(Inputs!$B$9+((C135=TRUE)*(F135-Calc!F19))+B148+(ArtifactsInput!$M$24-ArtifactsInput!$M$24)*CHOOSE(ArtifactsInput!$N$24+1,10,12,14,16,18,20)+(IF(AND(ArtifactsInput!$M$42,((Inputs!$B$9+((C135=TRUE)*(F135-Calc!F19))+B148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126*(1-MIN(100,(Inputs!$B$9+((C135=TRUE)*(F135-Calc!F19))+B148+(ArtifactsInput!$M$24-ArtifactsInput!$M$24)*CHOOSE(ArtifactsInput!$N$24+1,10,12,14,16,18,20)+(IF(AND(ArtifactsInput!$M$42,((Inputs!$B$9+((C135=TRUE)*(F135-Calc!F19))+B148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126*(MIN(100,(Inputs!$B$9+((C135=TRUE)*(F135-Calc!F19))+B148+(ArtifactsInput!$M$24-ArtifactsInput!$M$24)*CHOOSE(ArtifactsInput!$N$24+1,10,12,14,16,18,20)+(IF(AND(ArtifactsInput!$M$42,((Inputs!$B$9+((C135=TRUE)*(F135-Calc!F19))+B148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26">
        <f>IF(C126,(0.15*SUMPRODUCT((Skills!U2:U29=TRUE)*(C118:C145=TRUE)*S118:S145)*Skills!G10*N126)*IF(Inputs!$B$38="pvp",1,(1+(Inputs!$B$21+Skills!Q10+(IF(ArtifactsInput!$M$33,CHOOSE(ArtifactsInput!$N$33+1,30,36,42,48,54,60),0))+(IF(AND(ArtifactsInput!$M$35,Inputs!$B$4&lt;&gt;"Chapter Hunt"),CHOOSE(ArtifactsInput!$N$35+1,15,18,21,24,27,30)*(1-EXP(-(0.2*B150)*5)),0)+IF(AND(ArtifactsInput!$M$22,Inputs!$B$4&lt;&gt;"Chapter Hunt"),CHOOSE(ArtifactsInput!$N$22+1,10,12,14,16,18,20)*((0*(((0.15*B150*5))^0/1)+1*(((0.15*B150*5))^1/1)+2*(((0.15*B150*5))^2/2)+3*(((0.15*B150*5))^3/6)+4*(((0.15*B150*5))^4/24)+5*(((0.15*B150*5))^5/120))/((((0.15*B150*5))^0/1)+(((0.15*B150*5))^1/1)+(((0.15*B150*5))^2/2)+(((0.15*B150*5))^3/6)+(((0.15*B150*5))^4/24)+(((0.15*B150*5))^5/120)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27">
      <c r="A127">
        <f>Skills!A11</f>
        <v/>
      </c>
      <c r="B127">
        <f>Skills!B11</f>
        <v/>
      </c>
      <c r="C127">
        <f>Inputs!$B$3&gt;=110</f>
        <v/>
      </c>
      <c r="D127">
        <f>IF(Skills!C11=1,60+Inputs!$B$25+Inputs!$B$29,IF(Skills!C11=2,90+Inputs!$B$26+Inputs!$B$29,IF(Skills!C11=3,120+Inputs!$B$27+Inputs!$B$29,MAX(0,(Inputs!$B$3-100)*3)+Inputs!$B$28+Inputs!$B$29)))</f>
        <v/>
      </c>
      <c r="E127">
        <f>INDEX(FactorTable!$B$2:$Y$301, MATCH(ROUND(MIN(300,MAX(1,D127)),0), FactorTable!$A$2:$A$301,0), Skills!M11+1)</f>
        <v/>
      </c>
      <c r="F127">
        <f>IF(Skills!N11=TRUE,(Skills!L11/10)*(E127/1000),Skills!L11/10)+Skills!O11</f>
        <v/>
      </c>
      <c r="G127">
        <f>Skills!G11*IF(Skills!H11&gt;0,Skills!I11/Skills!H11,1)</f>
        <v/>
      </c>
      <c r="H127">
        <f>1-(1-Skills!J11/100)^Skills!K11</f>
        <v/>
      </c>
      <c r="I127" t="inlineStr">
        <is>
          <t>1</t>
        </is>
      </c>
      <c r="J127">
        <f>((Inputs!$B$6*(1+Inputs!$B$7/100))+(((Inputs!$B$12*(1+(Inputs!$B$13+1)/100))-(Inputs!$B$12*(1+Inputs!$B$13/100)))+0.25*(Inputs!$B$14-Inputs!$B$14))*(1+Inputs!$B$7/100))*(F127/100)</f>
        <v/>
      </c>
      <c r="K127">
        <f>J127*(1+((Inputs!$B$12*(1+(Inputs!$B$13+1)/100))*0.01+Inputs!$B$14*0.0025)/100)*(1+Inputs!$B$15/100)*(1+Inputs!$B$16/100)*(5000/(6000+Inputs!$B$42*(1-(100*(1-(1-(Inputs!$B$19+0)/100)*(1-CHOOSE(ArtifactsInput!$N$40+1,5,6,7,8,9,10)/100)^(ArtifactsInput!$M$40-ArtifactsInput!$M$40)))/100)))*(1+(Inputs!$B$24+((C140=TRUE)*(F140-Calc!F24))+((C141=TRUE)*(F141-Calc!F25))+B154)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11="EMPOWERED_PIERCING_ARROW",Inputs!$B$17+((C138=TRUE)*(F138-Calc!F22))+(((IF(AND(ArtifactsInput!$M$42,((Inputs!$B$9+((C135=TRUE)*(F135-Calc!F19))+B148+(ArtifactsInput!$M$24-ArtifactsInput!$M$24)*CHOOSE(ArtifactsInput!$N$24+1,10,12,14,16,18,20)+IF(ArtifactsInput!$M$10,CHOOSE(ArtifactsInput!$N$10+1,15,18,21,24,27,30)*(IF(Inputs!$B$38="pvp",MIN(15,15)/15,IF(AND(Inputs!$B$38&lt;&gt;"pvp",Inputs!$B$43&gt;0),MIN(15,Inputs!$B$43)/(Inputs!$B$43),0))),0)))&gt;=100),MIN(100,((Inputs!$B$9+((C135=TRUE)*(F135-Calc!F19))+B148+(ArtifactsInput!$M$24-ArtifactsInput!$M$24)*CHOOSE(ArtifactsInput!$N$24+1,10,12,14,16,18,20)+IF(ArtifactsInput!$M$10,CHOOSE(ArtifactsInput!$N$10+1,15,18,21,24,27,30)*(IF(Inputs!$B$38="pvp",MIN(15,15)/15,IF(AND(Inputs!$B$38&lt;&gt;"pvp",Inputs!$B$43&gt;0),MIN(15,Inputs!$B$43)/(Inputs!$B$43),0))),0)))-100),0))*CHOOSE(ArtifactsInput!$N$42+1,0.6,0.72,0.84,0.96,1.08,1.2))),Inputs!$B$18+((C143=TRUE)*(F143-Calc!F27))+(IF(AND(ArtifactsInput!$M$42,((Inputs!$B$9+((C135=TRUE)*(F135-Calc!F19))+B148+(ArtifactsInput!$M$24-ArtifactsInput!$M$24)*CHOOSE(ArtifactsInput!$N$24+1,10,12,14,16,18,20)+IF(ArtifactsInput!$M$10,CHOOSE(ArtifactsInput!$N$10+1,15,18,21,24,27,30)*(IF(Inputs!$B$38="pvp",MIN(15,15)/15,IF(AND(Inputs!$B$38&lt;&gt;"pvp",Inputs!$B$43&gt;0),MIN(15,Inputs!$B$43)/(Inputs!$B$43),0))),0)))&gt;=100),CHOOSE(ArtifactsInput!$N$42+1,40,48,56,64,72,80),0))))/100)*((1+(((C129=TRUE)*F129)+((C130=TRUE)*IF(Inputs!$B$38="pvp",F130,(1-Summary!$B$11)*(F130)+Summary!$B$11*(0)))+((C131=TRUE)*F131*IF(AND(Inputs!$B$38&lt;&gt;"pvp",Inputs!$B$43&gt;0),(((R131-1)*(Skills!T15*(1+Inputs!$B$34/100))+MIN((Skills!T15*(1+Inputs!$B$34/100)),MAX(0,Inputs!$B$43-((R131-1)*Skills!D15))))/Inputs!$B$43),IF(Inputs!$B$38="pvp",MIN((Skills!T15*(1+Inputs!$B$34/100)),15)/15,(Skills!T15*(1+Inputs!$B$34/100))/Skills!D15)))+((C128=TRUE)*F128)+((C145=TRUE)*(F145-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127)</f>
        <v/>
      </c>
      <c r="L127">
        <f>K127*(MIN(Inputs!$B$22+((C139=TRUE)*(F139-Calc!F23)),(Inputs!$B$23+((C144=TRUE)*(F144-Calc!F28))+(IF(ArtifactsInput!$M$15,CHOOSE(ArtifactsInput!$N$15+1,25,30,35,40,45,50)/100*(Inputs!$B$11-Inputs!$B$11),0))))/100+(Inputs!$B$23+((C144=TRUE)*(F144-Calc!F28))+(IF(ArtifactsInput!$M$15,CHOOSE(ArtifactsInput!$N$15+1,25,30,35,40,45,50)/100*(Inputs!$B$11-Inputs!$B$11),0)))/100)/2</f>
        <v/>
      </c>
      <c r="M127">
        <f>L127*(1+(Inputs!$B$10+0+B153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27">
        <f>L127*(1-MIN((Inputs!$B$9+((C135=TRUE)*(F135-Calc!F19))+B148+(ArtifactsInput!$M$24-ArtifactsInput!$M$24)*CHOOSE(ArtifactsInput!$N$24+1,10,12,14,16,18,20)+(IF(AND(ArtifactsInput!$M$42,((Inputs!$B$9+((C135=TRUE)*(F135-Calc!F19))+B148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127*(MIN((Inputs!$B$9+((C135=TRUE)*(F135-Calc!F19))+B148+(ArtifactsInput!$M$24-ArtifactsInput!$M$24)*CHOOSE(ArtifactsInput!$N$24+1,10,12,14,16,18,20)+(IF(AND(ArtifactsInput!$M$42,((Inputs!$B$9+((C135=TRUE)*(F135-Calc!F19))+B148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27">
        <f>(1-Summary!$B$11)*T127+Summary!$B$11*V127</f>
        <v/>
      </c>
      <c r="P127">
        <f>IF(B158=0,0,O127/B158)</f>
        <v/>
      </c>
      <c r="Q127">
        <f>IFERROR(1/IF(Inputs!$B$38="pvp",15,MAX(0.1,Skills!D11-IF(Skills!E11=TRUE,Inputs!$B$32,0))),0)</f>
        <v/>
      </c>
      <c r="R127">
        <f>IF(AND(Inputs!$B$38&lt;&gt;"pvp",Inputs!$B$43&gt;0),IF(MAX(0,Inputs!$B$43-B155)&lt;=0,0,(INT(MAX(0,Inputs!$B$43-B155)/IF(Inputs!$B$38="pvp",15,MAX(0.1,Skills!D11-IF(Skills!E11=TRUE,Inputs!$B$32,0))))+1)),0)</f>
        <v/>
      </c>
      <c r="S127">
        <f>IFERROR((H127*N127*IF(AND(Inputs!$B$38&lt;&gt;"pvp",Inputs!$B$43&gt;0),((Skills!G11*((R127-1)*IF(Skills!H11&gt;0,Skills!I11/Skills!H11,1)+IF(Skills!H11&gt;0,MIN(Skills!I11,MAX(0,MAX(0,Inputs!$B$43-B155)-((R127-1)*IF(Inputs!$B$38="pvp",15,MAX(0.1,Skills!D11-IF(Skills!E11=TRUE,Inputs!$B$32,0))))))/Skills!H11,1)))/Inputs!$B$43),G127*Q127))/N127*IF(Inputs!$B$38="pvp",1,(1-Summary!$B$11)*1+Summary!$B$11*(MIN(Skills!R11,Inputs!$B$37))),0)</f>
        <v/>
      </c>
      <c r="T127">
        <f>IF(C127,(H127*N127*IF(AND(Inputs!$B$38&lt;&gt;"pvp",Inputs!$B$43&gt;0),((Skills!G11*((R127-1)*IF(Skills!H11&gt;0,Skills!I11/Skills!H11,1)+IF(Skills!H11&gt;0,MIN(Skills!I11,MAX(0,MAX(0,Inputs!$B$43-B155)-((R127-1)*IF(Inputs!$B$38="pvp",15,MAX(0.1,Skills!D11-IF(Skills!E11=TRUE,Inputs!$B$32,0))))))/Skills!H11,1)))/Inputs!$B$43),G127*Q127))*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Hunt"),CHOOSE(ArtifactsInput!$N$35+1,15,18,21,24,27,30)*(1-EXP(-(0.2*B150)*5)),0)+IF(AND(ArtifactsInput!$M$22,Inputs!$B$4&lt;&gt;"Chapter Hunt"),CHOOSE(ArtifactsInput!$N$22+1,10,12,14,16,18,20)*((0*(((0.15*B150*5))^0/1)+1*(((0.15*B150*5))^1/1)+2*(((0.15*B150*5))^2/2)+3*(((0.15*B150*5))^3/6)+4*(((0.15*B150*5))^4/24)+5*(((0.15*B150*5))^5/120))/((((0.15*B150*5))^0/1)+(((0.15*B150*5))^1/1)+(((0.15*B150*5))^2/2)+(((0.15*B150*5))^3/6)+(((0.15*B150*5))^4/24)+(((0.15*B150*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127*(1-MIN(100,(Inputs!$B$9+((C135=TRUE)*(F135-Calc!F19))+B148+(ArtifactsInput!$M$24-ArtifactsInput!$M$24)*CHOOSE(ArtifactsInput!$N$24+1,10,12,14,16,18,20)+(IF(AND(ArtifactsInput!$M$42,((Inputs!$B$9+((C135=TRUE)*(F135-Calc!F19))+B148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127*(MIN(100,(Inputs!$B$9+((C135=TRUE)*(F135-Calc!F19))+B148+(ArtifactsInput!$M$24-ArtifactsInput!$M$24)*CHOOSE(ArtifactsInput!$N$24+1,10,12,14,16,18,20)+(IF(AND(ArtifactsInput!$M$42,((Inputs!$B$9+((C135=TRUE)*(F135-Calc!F19))+B148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127*(1-MIN(100,(Inputs!$B$9+((C135=TRUE)*(F135-Calc!F19))+B148+(ArtifactsInput!$M$24-ArtifactsInput!$M$24)*CHOOSE(ArtifactsInput!$N$24+1,10,12,14,16,18,20)+(IF(AND(ArtifactsInput!$M$42,((Inputs!$B$9+((C135=TRUE)*(F135-Calc!F19))+B148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127*(MIN(100,(Inputs!$B$9+((C135=TRUE)*(F135-Calc!F19))+B148+(ArtifactsInput!$M$24-ArtifactsInput!$M$24)*CHOOSE(ArtifactsInput!$N$24+1,10,12,14,16,18,20)+(IF(AND(ArtifactsInput!$M$42,((Inputs!$B$9+((C135=TRUE)*(F135-Calc!F19))+B148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27">
        <f>IF(C127,(H127*N127*IF(AND(Inputs!$B$38&lt;&gt;"pvp",Inputs!$B$43&gt;0),((Skills!G11*((R127-1)*IF(Skills!H11&gt;0,Skills!I11/Skills!H11,1)+IF(Skills!H11&gt;0,MIN(Skills!I11,MAX(0,MAX(0,Inputs!$B$43-B155)-((R127-1)*IF(Inputs!$B$38="pvp",15,MAX(0.1,Skills!D11-IF(Skills!E11=TRUE,Inputs!$B$32,0))))))/Skills!H11,1)))/Inputs!$B$43),G127*Q127))*IF(Inputs!$B$38="pvp",1,(1+(Inputs!$B$21+Skills!Q11+(IF(ArtifactsInput!$M$33,CHOOSE(ArtifactsInput!$N$33+1,30,36,42,48,54,60),0))+(IF(AND(ArtifactsInput!$M$35,Inputs!$B$4&lt;&gt;"Chapter Hunt"),CHOOSE(ArtifactsInput!$N$35+1,15,18,21,24,27,30)*(1-EXP(-(0.2*B150)*5)),0)+IF(AND(ArtifactsInput!$M$22,Inputs!$B$4&lt;&gt;"Chapter Hunt"),CHOOSE(ArtifactsInput!$N$22+1,10,12,14,16,18,20)*((0*(((0.15*B150*5))^0/1)+1*(((0.15*B150*5))^1/1)+2*(((0.15*B150*5))^2/2)+3*(((0.15*B150*5))^3/6)+4*(((0.15*B150*5))^4/24)+5*(((0.15*B150*5))^5/120))/((((0.15*B150*5))^0/1)+(((0.15*B150*5))^1/1)+(((0.15*B150*5))^2/2)+(((0.15*B150*5))^3/6)+(((0.15*B150*5))^4/24)+(((0.15*B150*5))^5/120))),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28">
      <c r="A128">
        <f>Skills!A12</f>
        <v/>
      </c>
      <c r="B128">
        <f>Skills!B12</f>
        <v/>
      </c>
      <c r="C128">
        <f>Inputs!$B$3&gt;=60</f>
        <v/>
      </c>
      <c r="D128">
        <f>IF(Skills!C12=1,60+Inputs!$B$25+Inputs!$B$29,IF(Skills!C12=2,90+Inputs!$B$26+Inputs!$B$29,IF(Skills!C12=3,120+Inputs!$B$27+Inputs!$B$29,MAX(0,(Inputs!$B$3-100)*3)+Inputs!$B$28+Inputs!$B$29)))</f>
        <v/>
      </c>
      <c r="E128">
        <f>INDEX(FactorTable!$B$2:$Y$301, MATCH(ROUND(MIN(300,MAX(1,D128)),0), FactorTable!$A$2:$A$301,0), Skills!M12+1)</f>
        <v/>
      </c>
      <c r="F128">
        <f>IF(Skills!N12=TRUE,(Skills!L12/10)*(E128/1000),Skills!L12/10)+Skills!O12</f>
        <v/>
      </c>
      <c r="G128">
        <f>Skills!G12*IF(Skills!H12&gt;0,Skills!I12/Skills!H12,1)</f>
        <v/>
      </c>
      <c r="H128">
        <f>1-(1-Skills!J12/100)^Skills!K12</f>
        <v/>
      </c>
      <c r="I128" t="inlineStr">
        <is>
          <t>1</t>
        </is>
      </c>
      <c r="J128" t="inlineStr"/>
      <c r="K128" t="inlineStr"/>
      <c r="L128" t="inlineStr"/>
      <c r="M128" t="inlineStr"/>
      <c r="N128" t="inlineStr"/>
      <c r="O128">
        <f>(1-Summary!$B$11)*T128+Summary!$B$11*V128</f>
        <v/>
      </c>
      <c r="P128">
        <f>IF(B158=0,0,O128/B158)</f>
        <v/>
      </c>
      <c r="Q128" t="n">
        <v>0</v>
      </c>
      <c r="R128" t="n">
        <v>0</v>
      </c>
      <c r="S128" t="n">
        <v>0</v>
      </c>
      <c r="T128" t="n">
        <v>0</v>
      </c>
      <c r="V128" t="n">
        <v>0</v>
      </c>
    </row>
    <row r="129">
      <c r="A129">
        <f>Skills!A13</f>
        <v/>
      </c>
      <c r="B129">
        <f>Skills!B13</f>
        <v/>
      </c>
      <c r="C129">
        <f>Inputs!$B$3&gt;=74</f>
        <v/>
      </c>
      <c r="D129">
        <f>IF(Skills!C13=1,60+Inputs!$B$25+Inputs!$B$29,IF(Skills!C13=2,90+Inputs!$B$26+Inputs!$B$29,IF(Skills!C13=3,120+Inputs!$B$27+Inputs!$B$29,MAX(0,(Inputs!$B$3-100)*3)+Inputs!$B$28+Inputs!$B$29)))</f>
        <v/>
      </c>
      <c r="E129">
        <f>INDEX(FactorTable!$B$2:$Y$301, MATCH(ROUND(MIN(300,MAX(1,D129)),0), FactorTable!$A$2:$A$301,0), Skills!M13+1)</f>
        <v/>
      </c>
      <c r="F129">
        <f>IF(Skills!N13=TRUE,(Skills!L13/10)*(E129/1000),Skills!L13/10)+Skills!O13</f>
        <v/>
      </c>
      <c r="G129">
        <f>Skills!G13*IF(Skills!H13&gt;0,Skills!I13/Skills!H13,1)</f>
        <v/>
      </c>
      <c r="H129">
        <f>1-(1-Skills!J13/100)^Skills!K13</f>
        <v/>
      </c>
      <c r="I129" t="inlineStr">
        <is>
          <t>1</t>
        </is>
      </c>
      <c r="J129" t="inlineStr"/>
      <c r="K129" t="inlineStr"/>
      <c r="L129" t="inlineStr"/>
      <c r="M129" t="inlineStr"/>
      <c r="N129" t="inlineStr"/>
      <c r="O129">
        <f>(1-Summary!$B$11)*T129+Summary!$B$11*V129</f>
        <v/>
      </c>
      <c r="P129">
        <f>IF(B158=0,0,O129/B158)</f>
        <v/>
      </c>
      <c r="Q129" t="n">
        <v>0</v>
      </c>
      <c r="R129" t="n">
        <v>0</v>
      </c>
      <c r="S129" t="n">
        <v>0</v>
      </c>
      <c r="T129" t="n">
        <v>0</v>
      </c>
      <c r="V129" t="n">
        <v>0</v>
      </c>
    </row>
    <row r="130">
      <c r="A130">
        <f>Skills!A14</f>
        <v/>
      </c>
      <c r="B130">
        <f>Skills!B14</f>
        <v/>
      </c>
      <c r="C130">
        <f>Inputs!$B$3&gt;=74</f>
        <v/>
      </c>
      <c r="D130">
        <f>IF(Skills!C14=1,60+Inputs!$B$25+Inputs!$B$29,IF(Skills!C14=2,90+Inputs!$B$26+Inputs!$B$29,IF(Skills!C14=3,120+Inputs!$B$27+Inputs!$B$29,MAX(0,(Inputs!$B$3-100)*3)+Inputs!$B$28+Inputs!$B$29)))</f>
        <v/>
      </c>
      <c r="E130">
        <f>INDEX(FactorTable!$B$2:$Y$301, MATCH(ROUND(MIN(300,MAX(1,D130)),0), FactorTable!$A$2:$A$301,0), Skills!M14+1)</f>
        <v/>
      </c>
      <c r="F130">
        <f>IF(Skills!N14=TRUE,(Skills!L14/10)*(E130/1000),Skills!L14/10)+Skills!O14</f>
        <v/>
      </c>
      <c r="G130">
        <f>Skills!G14*IF(Skills!H14&gt;0,Skills!I14/Skills!H14,1)</f>
        <v/>
      </c>
      <c r="H130">
        <f>1-(1-Skills!J14/100)^Skills!K14</f>
        <v/>
      </c>
      <c r="I130" t="inlineStr">
        <is>
          <t>1</t>
        </is>
      </c>
      <c r="J130" t="inlineStr"/>
      <c r="K130" t="inlineStr"/>
      <c r="L130" t="inlineStr"/>
      <c r="M130" t="inlineStr"/>
      <c r="N130" t="inlineStr"/>
      <c r="O130">
        <f>(1-Summary!$B$11)*T130+Summary!$B$11*V130</f>
        <v/>
      </c>
      <c r="P130">
        <f>IF(B158=0,0,O130/B158)</f>
        <v/>
      </c>
      <c r="Q130" t="n">
        <v>0</v>
      </c>
      <c r="R130" t="n">
        <v>0</v>
      </c>
      <c r="S130" t="n">
        <v>0</v>
      </c>
      <c r="T130" t="n">
        <v>0</v>
      </c>
      <c r="V130" t="n">
        <v>0</v>
      </c>
    </row>
    <row r="131">
      <c r="A131">
        <f>Skills!A15</f>
        <v/>
      </c>
      <c r="B131">
        <f>Skills!B15</f>
        <v/>
      </c>
      <c r="C131">
        <f>Inputs!$B$3&gt;=117</f>
        <v/>
      </c>
      <c r="D131">
        <f>IF(Skills!C15=1,60+Inputs!$B$25+Inputs!$B$29,IF(Skills!C15=2,90+Inputs!$B$26+Inputs!$B$29,IF(Skills!C15=3,120+Inputs!$B$27+Inputs!$B$29,MAX(0,(Inputs!$B$3-100)*3)+Inputs!$B$28+Inputs!$B$29)))</f>
        <v/>
      </c>
      <c r="E131">
        <f>INDEX(FactorTable!$B$2:$Y$301, MATCH(ROUND(MIN(300,MAX(1,D131)),0), FactorTable!$A$2:$A$301,0), Skills!M15+1)</f>
        <v/>
      </c>
      <c r="F131">
        <f>IF(Skills!N15=TRUE,(Skills!L15/10)*(E131/1000),Skills!L15/10)+Skills!O15</f>
        <v/>
      </c>
      <c r="G131">
        <f>Skills!G15*IF(Skills!H15&gt;0,Skills!I15/Skills!H15,1)</f>
        <v/>
      </c>
      <c r="H131">
        <f>1-(1-Skills!J15/100)^Skills!K15</f>
        <v/>
      </c>
      <c r="I131" t="inlineStr">
        <is>
          <t>1</t>
        </is>
      </c>
      <c r="J131" t="inlineStr"/>
      <c r="K131" t="inlineStr"/>
      <c r="L131" t="inlineStr"/>
      <c r="M131" t="inlineStr"/>
      <c r="N131" t="inlineStr"/>
      <c r="O131">
        <f>(1-Summary!$B$11)*T131+Summary!$B$11*V131</f>
        <v/>
      </c>
      <c r="P131">
        <f>IF(B158=0,0,O131/B158)</f>
        <v/>
      </c>
      <c r="Q131">
        <f>IFERROR(1/IF(Inputs!$B$38="pvp",15,MAX(0.1,Skills!D15-IF(Skills!E15=TRUE,Inputs!$B$32,0))),0)</f>
        <v/>
      </c>
      <c r="R131">
        <f>IF(AND(Inputs!$B$38&lt;&gt;"pvp",Inputs!$B$43&gt;0),IF(Inputs!$B$43&lt;=0,0,(INT(Inputs!$B$43/IF(Inputs!$B$38="pvp",15,MAX(0.1,Skills!D15-IF(Skills!E15=TRUE,Inputs!$B$32,0))))+1)),0)</f>
        <v/>
      </c>
      <c r="S131" t="n">
        <v>0</v>
      </c>
      <c r="T131" t="n">
        <v>0</v>
      </c>
      <c r="V131" t="n">
        <v>0</v>
      </c>
    </row>
    <row r="132">
      <c r="A132">
        <f>Skills!A16</f>
        <v/>
      </c>
      <c r="B132">
        <f>Skills!B16</f>
        <v/>
      </c>
      <c r="C132">
        <f>Inputs!$B$3&gt;=115</f>
        <v/>
      </c>
      <c r="D132">
        <f>IF(Skills!C16=1,60+Inputs!$B$25+Inputs!$B$29,IF(Skills!C16=2,90+Inputs!$B$26+Inputs!$B$29,IF(Skills!C16=3,120+Inputs!$B$27+Inputs!$B$29,MAX(0,(Inputs!$B$3-100)*3)+Inputs!$B$28+Inputs!$B$29)))</f>
        <v/>
      </c>
      <c r="E132">
        <f>INDEX(FactorTable!$B$2:$Y$301, MATCH(ROUND(MIN(300,MAX(1,D132)),0), FactorTable!$A$2:$A$301,0), Skills!M16+1)</f>
        <v/>
      </c>
      <c r="F132">
        <f>IF(Skills!N16=TRUE,(Skills!L16/10)*(E132/1000),Skills!L16/10)+Skills!O16</f>
        <v/>
      </c>
      <c r="G132">
        <f>Skills!G16*IF(Skills!H16&gt;0,Skills!I16/Skills!H16,1)</f>
        <v/>
      </c>
      <c r="H132">
        <f>1-(1-Skills!J16/100)^Skills!K16</f>
        <v/>
      </c>
      <c r="I132" t="inlineStr">
        <is>
          <t>1</t>
        </is>
      </c>
      <c r="J132" t="inlineStr"/>
      <c r="K132" t="inlineStr"/>
      <c r="L132" t="inlineStr"/>
      <c r="M132" t="inlineStr"/>
      <c r="N132" t="inlineStr"/>
      <c r="O132">
        <f>(1-Summary!$B$11)*T132+Summary!$B$11*V132</f>
        <v/>
      </c>
      <c r="P132">
        <f>IF(B158=0,0,O132/B158)</f>
        <v/>
      </c>
      <c r="Q132">
        <f>IFERROR(1/IF(Inputs!$B$38="pvp",15,MAX(0.1,Skills!D16-IF(Skills!E16=TRUE,Inputs!$B$32,0))),0)</f>
        <v/>
      </c>
      <c r="R132">
        <f>IF(AND(Inputs!$B$38&lt;&gt;"pvp",Inputs!$B$43&gt;0),IF(Inputs!$B$43&lt;=0,0,(INT(Inputs!$B$43/IF(Inputs!$B$38="pvp",15,MAX(0.1,Skills!D16-IF(Skills!E16=TRUE,Inputs!$B$32,0))))+1)),0)</f>
        <v/>
      </c>
      <c r="S132" t="n">
        <v>0</v>
      </c>
      <c r="T132" t="n">
        <v>0</v>
      </c>
      <c r="V132" t="n">
        <v>0</v>
      </c>
    </row>
    <row r="133">
      <c r="A133">
        <f>Skills!A17</f>
        <v/>
      </c>
      <c r="B133">
        <f>Skills!B17</f>
        <v/>
      </c>
      <c r="C133">
        <f>Inputs!$B$3&gt;=72</f>
        <v/>
      </c>
      <c r="D133">
        <f>IF(Skills!C17=1,60+Inputs!$B$25+Inputs!$B$29,IF(Skills!C17=2,90+Inputs!$B$26+Inputs!$B$29,IF(Skills!C17=3,120+Inputs!$B$27+Inputs!$B$29,MAX(0,(Inputs!$B$3-100)*3)+Inputs!$B$28+Inputs!$B$29)))</f>
        <v/>
      </c>
      <c r="E133">
        <f>INDEX(FactorTable!$B$2:$Y$301, MATCH(ROUND(MIN(300,MAX(1,D133)),0), FactorTable!$A$2:$A$301,0), Skills!M17+1)</f>
        <v/>
      </c>
      <c r="F133">
        <f>IF(Skills!N17=TRUE,(Skills!L17/10)*(E133/1000),Skills!L17/10)+Skills!O17</f>
        <v/>
      </c>
      <c r="G133">
        <f>Skills!G17*IF(Skills!H17&gt;0,Skills!I17/Skills!H17,1)</f>
        <v/>
      </c>
      <c r="H133">
        <f>1-(1-Skills!J17/100)^Skills!K17</f>
        <v/>
      </c>
      <c r="I133" t="inlineStr">
        <is>
          <t>1</t>
        </is>
      </c>
      <c r="J133" t="inlineStr"/>
      <c r="K133" t="inlineStr"/>
      <c r="L133" t="inlineStr"/>
      <c r="M133" t="inlineStr"/>
      <c r="N133" t="inlineStr"/>
      <c r="O133">
        <f>(1-Summary!$B$11)*T133+Summary!$B$11*V133</f>
        <v/>
      </c>
      <c r="P133">
        <f>IF(B158=0,0,O133/B158)</f>
        <v/>
      </c>
      <c r="Q133" t="n">
        <v>0</v>
      </c>
      <c r="R133" t="n">
        <v>0</v>
      </c>
      <c r="S133" t="n">
        <v>0</v>
      </c>
      <c r="T133" t="n">
        <v>0</v>
      </c>
      <c r="V133" t="n">
        <v>0</v>
      </c>
    </row>
    <row r="134">
      <c r="A134">
        <f>Skills!A18</f>
        <v/>
      </c>
      <c r="B134">
        <f>Skills!B18</f>
        <v/>
      </c>
      <c r="C134">
        <f>TRUE</f>
        <v/>
      </c>
      <c r="D134">
        <f>IF(Skills!C18=1,60+Inputs!$B$25+Inputs!$B$29,IF(Skills!C18=2,90+Inputs!$B$26+Inputs!$B$29,IF(Skills!C18=3,120+Inputs!$B$27+Inputs!$B$29,MAX(0,(Inputs!$B$3-100)*3)+Inputs!$B$28+Inputs!$B$29)))</f>
        <v/>
      </c>
      <c r="E134">
        <f>INDEX(FactorTable!$B$2:$Y$301, MATCH(ROUND(MIN(300,MAX(1,D134)),0), FactorTable!$A$2:$A$301,0), Skills!M18+1)</f>
        <v/>
      </c>
      <c r="F134">
        <f>IF(Skills!N18=TRUE,(Skills!L18/10)*(E134/1000),Skills!L18/10)+Skills!O18</f>
        <v/>
      </c>
      <c r="G134">
        <f>Skills!G18*IF(Skills!H18&gt;0,Skills!I18/Skills!H18,1)</f>
        <v/>
      </c>
      <c r="H134">
        <f>1-(1-Skills!J18/100)^Skills!K18</f>
        <v/>
      </c>
      <c r="I134" t="inlineStr">
        <is>
          <t>1</t>
        </is>
      </c>
      <c r="J134" t="inlineStr"/>
      <c r="K134" t="inlineStr"/>
      <c r="L134" t="inlineStr"/>
      <c r="M134" t="inlineStr"/>
      <c r="N134" t="inlineStr"/>
      <c r="O134">
        <f>(1-Summary!$B$11)*T134+Summary!$B$11*V134</f>
        <v/>
      </c>
      <c r="P134">
        <f>IF(B158=0,0,O134/B158)</f>
        <v/>
      </c>
      <c r="Q134">
        <f>IFERROR(1/IF(Inputs!$B$38="pvp",15,MAX(0.1,Skills!D18-IF(Skills!E18=TRUE,Inputs!$B$32,0))),0)</f>
        <v/>
      </c>
      <c r="R134">
        <f>IF(AND(Inputs!$B$38&lt;&gt;"pvp",Inputs!$B$43&gt;0),IF(Inputs!$B$43&lt;=0,0,(INT(Inputs!$B$43/IF(Inputs!$B$38="pvp",15,MAX(0.1,Skills!D18-IF(Skills!E18=TRUE,Inputs!$B$32,0))))+1)),0)</f>
        <v/>
      </c>
      <c r="S134" t="n">
        <v>0</v>
      </c>
      <c r="T134" t="n">
        <v>0</v>
      </c>
      <c r="V134" t="n">
        <v>0</v>
      </c>
    </row>
    <row r="135">
      <c r="A135">
        <f>Skills!A19</f>
        <v/>
      </c>
      <c r="B135">
        <f>Skills!B19</f>
        <v/>
      </c>
      <c r="C135">
        <f>Inputs!$B$3&gt;=15</f>
        <v/>
      </c>
      <c r="D135">
        <f>IF(Skills!C19=1,60+Inputs!$B$25+Inputs!$B$29,IF(Skills!C19=2,90+Inputs!$B$26+Inputs!$B$29,IF(Skills!C19=3,120+Inputs!$B$27+Inputs!$B$29,MAX(0,(Inputs!$B$3-100)*3)+Inputs!$B$28+Inputs!$B$29)))</f>
        <v/>
      </c>
      <c r="E135">
        <f>INDEX(FactorTable!$B$2:$Y$301, MATCH(ROUND(MIN(300,MAX(1,D135)),0), FactorTable!$A$2:$A$301,0), Skills!M19+1)</f>
        <v/>
      </c>
      <c r="F135">
        <f>IF(Skills!N19=TRUE,(Skills!L19/10)*(E135/1000),Skills!L19/10)+Skills!O19</f>
        <v/>
      </c>
      <c r="G135">
        <f>Skills!G19*IF(Skills!H19&gt;0,Skills!I19/Skills!H19,1)</f>
        <v/>
      </c>
      <c r="H135">
        <f>1-(1-Skills!J19/100)^Skills!K19</f>
        <v/>
      </c>
      <c r="I135" t="inlineStr">
        <is>
          <t>1</t>
        </is>
      </c>
      <c r="J135" t="inlineStr"/>
      <c r="K135" t="inlineStr"/>
      <c r="L135" t="inlineStr"/>
      <c r="M135" t="inlineStr"/>
      <c r="N135" t="inlineStr"/>
      <c r="O135">
        <f>(1-Summary!$B$11)*T135+Summary!$B$11*V135</f>
        <v/>
      </c>
      <c r="P135">
        <f>IF(B158=0,0,O135/B158)</f>
        <v/>
      </c>
      <c r="Q135" t="n">
        <v>0</v>
      </c>
      <c r="R135" t="n">
        <v>0</v>
      </c>
      <c r="S135" t="n">
        <v>0</v>
      </c>
      <c r="T135" t="n">
        <v>0</v>
      </c>
      <c r="V135" t="n">
        <v>0</v>
      </c>
    </row>
    <row r="136">
      <c r="A136">
        <f>Skills!A20</f>
        <v/>
      </c>
      <c r="B136">
        <f>Skills!B20</f>
        <v/>
      </c>
      <c r="C136">
        <f>Inputs!$B$3&gt;=10</f>
        <v/>
      </c>
      <c r="D136">
        <f>IF(Skills!C20=1,60+Inputs!$B$25+Inputs!$B$29,IF(Skills!C20=2,90+Inputs!$B$26+Inputs!$B$29,IF(Skills!C20=3,120+Inputs!$B$27+Inputs!$B$29,MAX(0,(Inputs!$B$3-100)*3)+Inputs!$B$28+Inputs!$B$29)))</f>
        <v/>
      </c>
      <c r="E136">
        <f>INDEX(FactorTable!$B$2:$Y$301, MATCH(ROUND(MIN(300,MAX(1,D136)),0), FactorTable!$A$2:$A$301,0), Skills!M20+1)</f>
        <v/>
      </c>
      <c r="F136">
        <f>IF(Skills!N20=TRUE,(Skills!L20/10)*(E136/1000),Skills!L20/10)+Skills!O20</f>
        <v/>
      </c>
      <c r="G136">
        <f>Skills!G20*IF(Skills!H20&gt;0,Skills!I20/Skills!H20,1)</f>
        <v/>
      </c>
      <c r="H136">
        <f>1-(1-Skills!J20/100)^Skills!K20</f>
        <v/>
      </c>
      <c r="I136" t="inlineStr">
        <is>
          <t>1</t>
        </is>
      </c>
      <c r="J136" t="inlineStr"/>
      <c r="K136" t="inlineStr"/>
      <c r="L136" t="inlineStr"/>
      <c r="M136" t="inlineStr"/>
      <c r="N136" t="inlineStr"/>
      <c r="O136">
        <f>(1-Summary!$B$11)*T136+Summary!$B$11*V136</f>
        <v/>
      </c>
      <c r="P136">
        <f>IF(B158=0,0,O136/B158)</f>
        <v/>
      </c>
      <c r="Q136" t="n">
        <v>0</v>
      </c>
      <c r="R136" t="n">
        <v>0</v>
      </c>
      <c r="S136" t="n">
        <v>0</v>
      </c>
      <c r="T136" t="n">
        <v>0</v>
      </c>
      <c r="V136" t="n">
        <v>0</v>
      </c>
    </row>
    <row r="137">
      <c r="A137">
        <f>Skills!A21</f>
        <v/>
      </c>
      <c r="B137">
        <f>Skills!B21</f>
        <v/>
      </c>
      <c r="C137">
        <f>Inputs!$B$3&gt;=33</f>
        <v/>
      </c>
      <c r="D137">
        <f>IF(Skills!C21=1,60+Inputs!$B$25+Inputs!$B$29,IF(Skills!C21=2,90+Inputs!$B$26+Inputs!$B$29,IF(Skills!C21=3,120+Inputs!$B$27+Inputs!$B$29,MAX(0,(Inputs!$B$3-100)*3)+Inputs!$B$28+Inputs!$B$29)))</f>
        <v/>
      </c>
      <c r="E137">
        <f>INDEX(FactorTable!$B$2:$Y$301, MATCH(ROUND(MIN(300,MAX(1,D137)),0), FactorTable!$A$2:$A$301,0), Skills!M21+1)</f>
        <v/>
      </c>
      <c r="F137">
        <f>IF(Skills!N21=TRUE,(Skills!L21/10)*(E137/1000),Skills!L21/10)+Skills!O21</f>
        <v/>
      </c>
      <c r="G137">
        <f>Skills!G21*IF(Skills!H21&gt;0,Skills!I21/Skills!H21,1)</f>
        <v/>
      </c>
      <c r="H137">
        <f>1-(1-Skills!J21/100)^Skills!K21</f>
        <v/>
      </c>
      <c r="I137" t="inlineStr">
        <is>
          <t>1</t>
        </is>
      </c>
      <c r="J137" t="inlineStr"/>
      <c r="K137" t="inlineStr"/>
      <c r="L137" t="inlineStr"/>
      <c r="M137" t="inlineStr"/>
      <c r="N137" t="inlineStr"/>
      <c r="O137">
        <f>(1-Summary!$B$11)*T137+Summary!$B$11*V137</f>
        <v/>
      </c>
      <c r="P137">
        <f>IF(B158=0,0,O137/B158)</f>
        <v/>
      </c>
      <c r="Q137" t="n">
        <v>0</v>
      </c>
      <c r="R137" t="n">
        <v>0</v>
      </c>
      <c r="S137" t="n">
        <v>0</v>
      </c>
      <c r="T137" t="n">
        <v>0</v>
      </c>
      <c r="V137" t="n">
        <v>0</v>
      </c>
    </row>
    <row r="138">
      <c r="A138">
        <f>Skills!A22</f>
        <v/>
      </c>
      <c r="B138">
        <f>Skills!B22</f>
        <v/>
      </c>
      <c r="C138">
        <f>Inputs!$B$3&gt;=38</f>
        <v/>
      </c>
      <c r="D138">
        <f>IF(Skills!C22=1,60+Inputs!$B$25+Inputs!$B$29,IF(Skills!C22=2,90+Inputs!$B$26+Inputs!$B$29,IF(Skills!C22=3,120+Inputs!$B$27+Inputs!$B$29,MAX(0,(Inputs!$B$3-100)*3)+Inputs!$B$28+Inputs!$B$29)))</f>
        <v/>
      </c>
      <c r="E138">
        <f>INDEX(FactorTable!$B$2:$Y$301, MATCH(ROUND(MIN(300,MAX(1,D138)),0), FactorTable!$A$2:$A$301,0), Skills!M22+1)</f>
        <v/>
      </c>
      <c r="F138">
        <f>IF(Skills!N22=TRUE,(Skills!L22/10)*(E138/1000),Skills!L22/10)+Skills!O22</f>
        <v/>
      </c>
      <c r="G138">
        <f>Skills!G22*IF(Skills!H22&gt;0,Skills!I22/Skills!H22,1)</f>
        <v/>
      </c>
      <c r="H138">
        <f>1-(1-Skills!J22/100)^Skills!K22</f>
        <v/>
      </c>
      <c r="I138" t="inlineStr">
        <is>
          <t>1</t>
        </is>
      </c>
      <c r="J138" t="inlineStr"/>
      <c r="K138" t="inlineStr"/>
      <c r="L138" t="inlineStr"/>
      <c r="M138" t="inlineStr"/>
      <c r="N138" t="inlineStr"/>
      <c r="O138">
        <f>(1-Summary!$B$11)*T138+Summary!$B$11*V138</f>
        <v/>
      </c>
      <c r="P138">
        <f>IF(B158=0,0,O138/B158)</f>
        <v/>
      </c>
      <c r="Q138" t="n">
        <v>0</v>
      </c>
      <c r="R138" t="n">
        <v>0</v>
      </c>
      <c r="S138" t="n">
        <v>0</v>
      </c>
      <c r="T138" t="n">
        <v>0</v>
      </c>
      <c r="V138" t="n">
        <v>0</v>
      </c>
    </row>
    <row r="139">
      <c r="A139">
        <f>Skills!A23</f>
        <v/>
      </c>
      <c r="B139">
        <f>Skills!B23</f>
        <v/>
      </c>
      <c r="C139">
        <f>Inputs!$B$3&gt;=43</f>
        <v/>
      </c>
      <c r="D139">
        <f>IF(Skills!C23=1,60+Inputs!$B$25+Inputs!$B$29,IF(Skills!C23=2,90+Inputs!$B$26+Inputs!$B$29,IF(Skills!C23=3,120+Inputs!$B$27+Inputs!$B$29,MAX(0,(Inputs!$B$3-100)*3)+Inputs!$B$28+Inputs!$B$29)))</f>
        <v/>
      </c>
      <c r="E139">
        <f>INDEX(FactorTable!$B$2:$Y$301, MATCH(ROUND(MIN(300,MAX(1,D139)),0), FactorTable!$A$2:$A$301,0), Skills!M23+1)</f>
        <v/>
      </c>
      <c r="F139">
        <f>IF(Skills!N23=TRUE,(Skills!L23/10)*(E139/1000),Skills!L23/10)+Skills!O23</f>
        <v/>
      </c>
      <c r="G139">
        <f>Skills!G23*IF(Skills!H23&gt;0,Skills!I23/Skills!H23,1)</f>
        <v/>
      </c>
      <c r="H139">
        <f>1-(1-Skills!J23/100)^Skills!K23</f>
        <v/>
      </c>
      <c r="I139" t="inlineStr">
        <is>
          <t>1</t>
        </is>
      </c>
      <c r="J139" t="inlineStr"/>
      <c r="K139" t="inlineStr"/>
      <c r="L139" t="inlineStr"/>
      <c r="M139" t="inlineStr"/>
      <c r="N139" t="inlineStr"/>
      <c r="O139">
        <f>(1-Summary!$B$11)*T139+Summary!$B$11*V139</f>
        <v/>
      </c>
      <c r="P139">
        <f>IF(B158=0,0,O139/B158)</f>
        <v/>
      </c>
      <c r="Q139" t="n">
        <v>0</v>
      </c>
      <c r="R139" t="n">
        <v>0</v>
      </c>
      <c r="S139" t="n">
        <v>0</v>
      </c>
      <c r="T139" t="n">
        <v>0</v>
      </c>
      <c r="V139" t="n">
        <v>0</v>
      </c>
    </row>
    <row r="140">
      <c r="A140">
        <f>Skills!A24</f>
        <v/>
      </c>
      <c r="B140">
        <f>Skills!B24</f>
        <v/>
      </c>
      <c r="C140">
        <f>Inputs!$B$3&gt;=75</f>
        <v/>
      </c>
      <c r="D140">
        <f>IF(Skills!C24=1,60+Inputs!$B$25+Inputs!$B$29,IF(Skills!C24=2,90+Inputs!$B$26+Inputs!$B$29,IF(Skills!C24=3,120+Inputs!$B$27+Inputs!$B$29,MAX(0,(Inputs!$B$3-100)*3)+Inputs!$B$28+Inputs!$B$29)))</f>
        <v/>
      </c>
      <c r="E140">
        <f>INDEX(FactorTable!$B$2:$Y$301, MATCH(ROUND(MIN(300,MAX(1,D140)),0), FactorTable!$A$2:$A$301,0), Skills!M24+1)</f>
        <v/>
      </c>
      <c r="F140">
        <f>IF(Skills!N24=TRUE,(Skills!L24/10)*(E140/1000),Skills!L24/10)+Skills!O24</f>
        <v/>
      </c>
      <c r="G140">
        <f>Skills!G24*IF(Skills!H24&gt;0,Skills!I24/Skills!H24,1)</f>
        <v/>
      </c>
      <c r="H140">
        <f>1-(1-Skills!J24/100)^Skills!K24</f>
        <v/>
      </c>
      <c r="I140" t="inlineStr">
        <is>
          <t>1</t>
        </is>
      </c>
      <c r="J140" t="inlineStr"/>
      <c r="K140" t="inlineStr"/>
      <c r="L140" t="inlineStr"/>
      <c r="M140" t="inlineStr"/>
      <c r="N140" t="inlineStr"/>
      <c r="O140">
        <f>(1-Summary!$B$11)*T140+Summary!$B$11*V140</f>
        <v/>
      </c>
      <c r="P140">
        <f>IF(B158=0,0,O140/B158)</f>
        <v/>
      </c>
      <c r="Q140" t="n">
        <v>0</v>
      </c>
      <c r="R140" t="n">
        <v>0</v>
      </c>
      <c r="S140" t="n">
        <v>0</v>
      </c>
      <c r="T140" t="n">
        <v>0</v>
      </c>
      <c r="V140" t="n">
        <v>0</v>
      </c>
    </row>
    <row r="141">
      <c r="A141">
        <f>Skills!A25</f>
        <v/>
      </c>
      <c r="B141">
        <f>Skills!B25</f>
        <v/>
      </c>
      <c r="C141">
        <f>Inputs!$B$3&gt;=125</f>
        <v/>
      </c>
      <c r="D141">
        <f>IF(Skills!C25=1,60+Inputs!$B$25+Inputs!$B$29,IF(Skills!C25=2,90+Inputs!$B$26+Inputs!$B$29,IF(Skills!C25=3,120+Inputs!$B$27+Inputs!$B$29,MAX(0,(Inputs!$B$3-100)*3)+Inputs!$B$28+Inputs!$B$29)))</f>
        <v/>
      </c>
      <c r="E141">
        <f>INDEX(FactorTable!$B$2:$Y$301, MATCH(ROUND(MIN(300,MAX(1,D141)),0), FactorTable!$A$2:$A$301,0), Skills!M25+1)</f>
        <v/>
      </c>
      <c r="F141">
        <f>IF(Skills!N25=TRUE,(Skills!L25/10)*(E141/1000),Skills!L25/10)+Skills!O25</f>
        <v/>
      </c>
      <c r="G141">
        <f>Skills!G25*IF(Skills!H25&gt;0,Skills!I25/Skills!H25,1)</f>
        <v/>
      </c>
      <c r="H141">
        <f>1-(1-Skills!J25/100)^Skills!K25</f>
        <v/>
      </c>
      <c r="I141" t="inlineStr">
        <is>
          <t>1</t>
        </is>
      </c>
      <c r="J141" t="inlineStr"/>
      <c r="K141" t="inlineStr"/>
      <c r="L141" t="inlineStr"/>
      <c r="M141" t="inlineStr"/>
      <c r="N141" t="inlineStr"/>
      <c r="O141">
        <f>(1-Summary!$B$11)*T141+Summary!$B$11*V141</f>
        <v/>
      </c>
      <c r="P141">
        <f>IF(B158=0,0,O141/B158)</f>
        <v/>
      </c>
      <c r="Q141" t="n">
        <v>0</v>
      </c>
      <c r="R141" t="n">
        <v>0</v>
      </c>
      <c r="S141" t="n">
        <v>0</v>
      </c>
      <c r="T141" t="n">
        <v>0</v>
      </c>
      <c r="V141" t="n">
        <v>0</v>
      </c>
    </row>
    <row r="142">
      <c r="A142">
        <f>Skills!A26</f>
        <v/>
      </c>
      <c r="B142">
        <f>Skills!B26</f>
        <v/>
      </c>
      <c r="C142">
        <f>Inputs!$B$3&gt;=125</f>
        <v/>
      </c>
      <c r="D142">
        <f>IF(Skills!C26=1,60+Inputs!$B$25+Inputs!$B$29,IF(Skills!C26=2,90+Inputs!$B$26+Inputs!$B$29,IF(Skills!C26=3,120+Inputs!$B$27+Inputs!$B$29,MAX(0,(Inputs!$B$3-100)*3)+Inputs!$B$28+Inputs!$B$29)))</f>
        <v/>
      </c>
      <c r="E142">
        <f>INDEX(FactorTable!$B$2:$Y$301, MATCH(ROUND(MIN(300,MAX(1,D142)),0), FactorTable!$A$2:$A$301,0), Skills!M26+1)</f>
        <v/>
      </c>
      <c r="F142">
        <f>IF(Skills!N26=TRUE,(Skills!L26/10)*(E142/1000),Skills!L26/10)+Skills!O26</f>
        <v/>
      </c>
      <c r="G142">
        <f>Skills!G26*IF(Skills!H26&gt;0,Skills!I26/Skills!H26,1)</f>
        <v/>
      </c>
      <c r="H142">
        <f>1-(1-Skills!J26/100)^Skills!K26</f>
        <v/>
      </c>
      <c r="I142" t="inlineStr">
        <is>
          <t>1</t>
        </is>
      </c>
      <c r="J142" t="inlineStr"/>
      <c r="K142" t="inlineStr"/>
      <c r="L142" t="inlineStr"/>
      <c r="M142" t="inlineStr"/>
      <c r="N142" t="inlineStr"/>
      <c r="O142">
        <f>(1-Summary!$B$11)*T142+Summary!$B$11*V142</f>
        <v/>
      </c>
      <c r="P142">
        <f>IF(B158=0,0,O142/B158)</f>
        <v/>
      </c>
      <c r="Q142" t="n">
        <v>0</v>
      </c>
      <c r="R142" t="n">
        <v>0</v>
      </c>
      <c r="S142" t="n">
        <v>0</v>
      </c>
      <c r="T142" t="n">
        <v>0</v>
      </c>
      <c r="V142" t="n">
        <v>0</v>
      </c>
    </row>
    <row r="143">
      <c r="A143">
        <f>Skills!A27</f>
        <v/>
      </c>
      <c r="B143">
        <f>Skills!B27</f>
        <v/>
      </c>
      <c r="C143">
        <f>Inputs!$B$3&gt;=120</f>
        <v/>
      </c>
      <c r="D143">
        <f>IF(Skills!C27=1,60+Inputs!$B$25+Inputs!$B$29,IF(Skills!C27=2,90+Inputs!$B$26+Inputs!$B$29,IF(Skills!C27=3,120+Inputs!$B$27+Inputs!$B$29,MAX(0,(Inputs!$B$3-100)*3)+Inputs!$B$28+Inputs!$B$29)))</f>
        <v/>
      </c>
      <c r="E143">
        <f>INDEX(FactorTable!$B$2:$Y$301, MATCH(ROUND(MIN(300,MAX(1,D143)),0), FactorTable!$A$2:$A$301,0), Skills!M27+1)</f>
        <v/>
      </c>
      <c r="F143">
        <f>IF(Skills!N27=TRUE,(Skills!L27/10)*(E143/1000),Skills!L27/10)+Skills!O27</f>
        <v/>
      </c>
      <c r="G143">
        <f>Skills!G27*IF(Skills!H27&gt;0,Skills!I27/Skills!H27,1)</f>
        <v/>
      </c>
      <c r="H143">
        <f>1-(1-Skills!J27/100)^Skills!K27</f>
        <v/>
      </c>
      <c r="I143" t="inlineStr">
        <is>
          <t>1</t>
        </is>
      </c>
      <c r="J143" t="inlineStr"/>
      <c r="K143" t="inlineStr"/>
      <c r="L143" t="inlineStr"/>
      <c r="M143" t="inlineStr"/>
      <c r="N143" t="inlineStr"/>
      <c r="O143">
        <f>(1-Summary!$B$11)*T143+Summary!$B$11*V143</f>
        <v/>
      </c>
      <c r="P143">
        <f>IF(B158=0,0,O143/B158)</f>
        <v/>
      </c>
      <c r="Q143" t="n">
        <v>0</v>
      </c>
      <c r="R143" t="n">
        <v>0</v>
      </c>
      <c r="S143" t="n">
        <v>0</v>
      </c>
      <c r="T143" t="n">
        <v>0</v>
      </c>
      <c r="V143" t="n">
        <v>0</v>
      </c>
    </row>
    <row r="144">
      <c r="A144">
        <f>Skills!A28</f>
        <v/>
      </c>
      <c r="B144">
        <f>Skills!B28</f>
        <v/>
      </c>
      <c r="C144">
        <f>Inputs!$B$3&gt;=120</f>
        <v/>
      </c>
      <c r="D144">
        <f>IF(Skills!C28=1,60+Inputs!$B$25+Inputs!$B$29,IF(Skills!C28=2,90+Inputs!$B$26+Inputs!$B$29,IF(Skills!C28=3,120+Inputs!$B$27+Inputs!$B$29,MAX(0,(Inputs!$B$3-100)*3)+Inputs!$B$28+Inputs!$B$29)))</f>
        <v/>
      </c>
      <c r="E144">
        <f>INDEX(FactorTable!$B$2:$Y$301, MATCH(ROUND(MIN(300,MAX(1,D144)),0), FactorTable!$A$2:$A$301,0), Skills!M28+1)</f>
        <v/>
      </c>
      <c r="F144">
        <f>IF(Skills!N28=TRUE,(Skills!L28/10)*(E144/1000),Skills!L28/10)+Skills!O28</f>
        <v/>
      </c>
      <c r="G144">
        <f>Skills!G28*IF(Skills!H28&gt;0,Skills!I28/Skills!H28,1)</f>
        <v/>
      </c>
      <c r="H144">
        <f>1-(1-Skills!J28/100)^Skills!K28</f>
        <v/>
      </c>
      <c r="I144" t="inlineStr">
        <is>
          <t>1</t>
        </is>
      </c>
      <c r="J144" t="inlineStr"/>
      <c r="K144" t="inlineStr"/>
      <c r="L144" t="inlineStr"/>
      <c r="M144" t="inlineStr"/>
      <c r="N144" t="inlineStr"/>
      <c r="O144">
        <f>(1-Summary!$B$11)*T144+Summary!$B$11*V144</f>
        <v/>
      </c>
      <c r="P144">
        <f>IF(B158=0,0,O144/B158)</f>
        <v/>
      </c>
      <c r="Q144" t="n">
        <v>0</v>
      </c>
      <c r="R144" t="n">
        <v>0</v>
      </c>
      <c r="S144" t="n">
        <v>0</v>
      </c>
      <c r="T144" t="n">
        <v>0</v>
      </c>
      <c r="V144" t="n">
        <v>0</v>
      </c>
    </row>
    <row r="145">
      <c r="A145">
        <f>Skills!A29</f>
        <v/>
      </c>
      <c r="B145">
        <f>Skills!B29</f>
        <v/>
      </c>
      <c r="C145">
        <f>Inputs!$B$3&gt;=45</f>
        <v/>
      </c>
      <c r="D145">
        <f>IF(Skills!C29=1,60+Inputs!$B$25+Inputs!$B$29,IF(Skills!C29=2,90+Inputs!$B$26+Inputs!$B$29,IF(Skills!C29=3,120+Inputs!$B$27+Inputs!$B$29,MAX(0,(Inputs!$B$3-100)*3)+Inputs!$B$28+Inputs!$B$29)))</f>
        <v/>
      </c>
      <c r="E145">
        <f>INDEX(FactorTable!$B$2:$Y$301, MATCH(ROUND(MIN(300,MAX(1,D145)),0), FactorTable!$A$2:$A$301,0), Skills!M29+1)</f>
        <v/>
      </c>
      <c r="F145">
        <f>IF(Skills!N29=TRUE,(Skills!L29/10)*(E145/1000),Skills!L29/10)+Skills!O29</f>
        <v/>
      </c>
      <c r="G145">
        <f>Skills!G29*IF(Skills!H29&gt;0,Skills!I29/Skills!H29,1)</f>
        <v/>
      </c>
      <c r="H145">
        <f>1-(1-Skills!J29/100)^Skills!K29</f>
        <v/>
      </c>
      <c r="I145" t="inlineStr">
        <is>
          <t>1</t>
        </is>
      </c>
      <c r="J145" t="inlineStr"/>
      <c r="K145" t="inlineStr"/>
      <c r="L145" t="inlineStr"/>
      <c r="M145" t="inlineStr"/>
      <c r="N145" t="inlineStr"/>
      <c r="O145">
        <f>(1-Summary!$B$11)*T145+Summary!$B$11*V145</f>
        <v/>
      </c>
      <c r="P145">
        <f>IF(B158=0,0,O145/B158)</f>
        <v/>
      </c>
      <c r="Q145" t="n">
        <v>0</v>
      </c>
      <c r="R145" t="n">
        <v>0</v>
      </c>
      <c r="S145" t="n">
        <v>0</v>
      </c>
      <c r="T145" t="n">
        <v>0</v>
      </c>
      <c r="V145" t="n">
        <v>0</v>
      </c>
    </row>
    <row r="147">
      <c r="A147" t="inlineStr">
        <is>
          <t>Attack% Bucket Multiplier</t>
        </is>
      </c>
      <c r="B147">
        <f>(1+(((C129=TRUE)*F129)+((C130=TRUE)*IF(Inputs!$B$38="pvp",F130,(1-Summary!$B$11)*(F130)+Summary!$B$11*(0)))+((C131=TRUE)*F131*IF(AND(Inputs!$B$38&lt;&gt;"pvp",Inputs!$B$43&gt;0),(((R131-1)*(Skills!T15*(1+Inputs!$B$34/100))+MIN((Skills!T15*(1+Inputs!$B$34/100)),MAX(0,Inputs!$B$43-((R131-1)*Skills!D15))))/Inputs!$B$43),IF(Inputs!$B$38="pvp",MIN((Skills!T15*(1+Inputs!$B$34/100)),15)/15,(Skills!T15*(1+Inputs!$B$34/100))/Skills!D15)))+((C128=TRUE)*F128)+((C145=TRUE)*(F145-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148">
      <c r="A148" t="inlineStr">
        <is>
          <t>Global Crit Rate Bonus %</t>
        </is>
      </c>
      <c r="B148">
        <f>(C132=TRUE)*20*IF(AND(Inputs!$B$38&lt;&gt;"pvp",Inputs!$B$43&gt;0),(((R132-1)*(Skills!T16*(1+Inputs!$B$34/100))+MIN((Skills!T16*(1+Inputs!$B$34/100)),MAX(0,Inputs!$B$43-((R132-1)*Skills!D16))))/Inputs!$B$43),IF(Inputs!$B$38="pvp",MIN((Skills!T16*(1+Inputs!$B$34/100)),15)/15,(Skills!T16*(1+Inputs!$B$34/100))/Skills!D16))</f>
        <v/>
      </c>
    </row>
    <row r="149">
      <c r="A149" t="inlineStr">
        <is>
          <t>Attack Speed Buff Bonus %</t>
        </is>
      </c>
      <c r="B149">
        <f>((C134=TRUE)*F134*IF(AND(Inputs!$B$38&lt;&gt;"pvp",Inputs!$B$43&gt;0),(((R134-1)*(Skills!T18*(1+Inputs!$B$34/100))+MIN((Skills!T18*(1+Inputs!$B$34/100)),MAX(0,Inputs!$B$43-((R134-1)*Skills!D18))))/Inputs!$B$43),IF(Inputs!$B$38="pvp",MIN((Skills!T18*(1+Inputs!$B$34/100)),15)/15,(Skills!T18*(1+Inputs!$B$34/100))/Skills!D18)))</f>
        <v/>
      </c>
    </row>
    <row r="150">
      <c r="A150" t="inlineStr">
        <is>
          <t>Actions Per Second</t>
        </is>
      </c>
      <c r="B150">
        <f>1+MIN(150,150*(1-(1-(Inputs!$B$11+((C136=TRUE)*(F136-Calc!F20))+((C137=TRUE)*(F137-Calc!F21)))/150)*(1-B149/150)))/100</f>
        <v/>
      </c>
    </row>
    <row r="151">
      <c r="A151" t="inlineStr">
        <is>
          <t>Skill + Buff Cast Rate</t>
        </is>
      </c>
      <c r="B151">
        <f>IF(AND(Inputs!$B$38&lt;&gt;"pvp",Inputs!$B$43&gt;0),SUMPRODUCT((Skills!E2:E29=TRUE)*(C118:C145=TRUE)*R118:R145*Skills!F2:F29)/Inputs!$B$43,SUMPRODUCT((Skills!E2:E29=TRUE)*(C118:C145=TRUE)*Q118:Q145*Skills!F2:F29))</f>
        <v/>
      </c>
    </row>
    <row r="152">
      <c r="A152" t="inlineStr">
        <is>
          <t>Empowered Piercing Arrow Casts Per Second</t>
        </is>
      </c>
      <c r="B152">
        <f>MAX(0,B150-B151)</f>
        <v/>
      </c>
    </row>
    <row r="153">
      <c r="A153" t="inlineStr">
        <is>
          <t>Global Critical Damage Bonus % (Sharp Eyes)</t>
        </is>
      </c>
      <c r="B153">
        <f>(C132=TRUE)*F132*IF(AND(Inputs!$B$38&lt;&gt;"pvp",Inputs!$B$43&gt;0),(((R132-1)*(Skills!T16*(1+Inputs!$B$34/100))+MIN((Skills!T16*(1+Inputs!$B$34/100)),MAX(0,Inputs!$B$43-((R132-1)*Skills!D16))))/Inputs!$B$43),IF(Inputs!$B$38="pvp",MIN((Skills!T16*(1+Inputs!$B$34/100)),15)/15,(Skills!T16*(1+Inputs!$B$34/100))/Skills!D16))</f>
        <v/>
      </c>
    </row>
    <row r="154">
      <c r="A154" t="inlineStr">
        <is>
          <t>Global Final Damage Bonus % (Mortal Blow + Last Man Standing conditional half)</t>
        </is>
      </c>
      <c r="B154">
        <f>(C133=TRUE)*F133+((C142=TRUE)*IF(Inputs!$B$38="pvp",F142,(1-Summary!$B$11)*(F142)+Summary!$B$11*(0)))</f>
        <v/>
      </c>
    </row>
    <row r="155">
      <c r="A155" t="inlineStr">
        <is>
          <t>Buff-Casting Startup Delay (s, fixed-duration only)</t>
        </is>
      </c>
      <c r="B155">
        <f>IF(AND(Inputs!$B$38&lt;&gt;"pvp",Inputs!$B$43&gt;0),SUMPRODUCT((Skills!T2:T29&gt;0)*(Skills!E2:E29=TRUE)*(C118:C145=TRUE))/B150,0)</f>
        <v/>
      </c>
    </row>
    <row r="156">
      <c r="A156" t="inlineStr">
        <is>
          <t>Boss-Only Total DPS (this block's swept value)</t>
        </is>
      </c>
      <c r="B156">
        <f>SUM(T118:T145)</f>
        <v/>
      </c>
    </row>
    <row r="157">
      <c r="A157" t="inlineStr">
        <is>
          <t>Normal-Only Total DPS (this block's swept value)</t>
        </is>
      </c>
      <c r="B157">
        <f>SUM(V118:V145)</f>
        <v/>
      </c>
    </row>
    <row r="158">
      <c r="A158" s="6" t="inlineStr">
        <is>
          <t>TOTAL DPS</t>
        </is>
      </c>
      <c r="B158" s="6">
        <f>SUM(O118:O145)</f>
        <v/>
      </c>
    </row>
    <row r="161">
      <c r="A161" s="6" t="inlineStr">
        <is>
          <t>Stat: STR</t>
        </is>
      </c>
    </row>
    <row r="162">
      <c r="A162" s="5" t="inlineStr">
        <is>
          <t>Key</t>
        </is>
      </c>
      <c r="B162" s="5" t="inlineStr">
        <is>
          <t>Name</t>
        </is>
      </c>
      <c r="C162" s="5" t="inlineStr">
        <is>
          <t>Unlocked</t>
        </is>
      </c>
      <c r="D162" s="5" t="inlineStr">
        <is>
          <t>InputLevel</t>
        </is>
      </c>
      <c r="E162" s="5" t="inlineStr">
        <is>
          <t>Factor</t>
        </is>
      </c>
      <c r="F162" s="5" t="inlineStr">
        <is>
          <t>CoefficientPercent</t>
        </is>
      </c>
      <c r="G162" s="5" t="inlineStr">
        <is>
          <t>EffectiveHits</t>
        </is>
      </c>
      <c r="H162" s="5" t="inlineStr">
        <is>
          <t>ProcProbability</t>
        </is>
      </c>
      <c r="I162" s="5" t="inlineStr">
        <is>
          <t>MapleHeroMultiplier</t>
        </is>
      </c>
      <c r="J162" s="5" t="inlineStr">
        <is>
          <t>BaseDamage</t>
        </is>
      </c>
      <c r="K162" s="5" t="inlineStr">
        <is>
          <t>BaseHitDamage</t>
        </is>
      </c>
      <c r="L162" s="5" t="inlineStr">
        <is>
          <t>NonCritAvg</t>
        </is>
      </c>
      <c r="M162" s="5" t="inlineStr">
        <is>
          <t>CritAvg</t>
        </is>
      </c>
      <c r="N162" s="5" t="inlineStr">
        <is>
          <t>ExpectedDamage(perHit)</t>
        </is>
      </c>
      <c r="O162" s="5" t="inlineStr">
        <is>
          <t>DPS</t>
        </is>
      </c>
      <c r="P162" s="5" t="inlineStr">
        <is>
          <t>% of Total</t>
        </is>
      </c>
      <c r="Q162" s="5" t="inlineStr">
        <is>
          <t>InvCooldown</t>
        </is>
      </c>
      <c r="R162" s="5" t="inlineStr">
        <is>
          <t>CastsInFight</t>
        </is>
      </c>
      <c r="S162" s="5" t="inlineStr">
        <is>
          <t>HitRate(perSec)</t>
        </is>
      </c>
      <c r="U162" t="inlineStr">
        <is>
          <t>helpers</t>
        </is>
      </c>
    </row>
    <row r="163">
      <c r="A163">
        <f>Skills!A2</f>
        <v/>
      </c>
      <c r="B163">
        <f>Skills!B2</f>
        <v/>
      </c>
      <c r="C163">
        <f>Inputs!$B$3&gt;=100</f>
        <v/>
      </c>
      <c r="D163" t="inlineStr"/>
      <c r="E163" t="inlineStr"/>
      <c r="F163">
        <f>U165+Skills!O2</f>
        <v/>
      </c>
      <c r="G163">
        <f>Skills!G2*IF(Skills!H2&gt;0,Skills!I2/Skills!H2,1)</f>
        <v/>
      </c>
      <c r="H163">
        <f>1-(1-Skills!J2/100)^Skills!K2</f>
        <v/>
      </c>
      <c r="I163" t="inlineStr">
        <is>
          <t>1</t>
        </is>
      </c>
      <c r="J163">
        <f>((Inputs!$B$6*(1+Inputs!$B$7/100))+(((Inputs!$B$12*(1+Inputs!$B$13/100))-(Inputs!$B$12*(1+Inputs!$B$13/100)))+0.25*((Inputs!$B$14+1)-Inputs!$B$14))*(1+Inputs!$B$7/100))*(F163/100)</f>
        <v/>
      </c>
      <c r="K163">
        <f>J163*(1+((Inputs!$B$12*(1+Inputs!$B$13/100))*0.01+(Inputs!$B$14+1)*0.0025)/100)*(1+Inputs!$B$15/100)*(1+Inputs!$B$16/100)*(5000/(6000+Inputs!$B$42*(1-(100*(1-(1-(Inputs!$B$19+0)/100)*(1-CHOOSE(ArtifactsInput!$N$40+1,5,6,7,8,9,10)/100)^(ArtifactsInput!$M$40-ArtifactsInput!$M$40)))/100)))*(1+(Inputs!$B$24+((C185=TRUE)*(F185-Calc!F24))+((C186=TRUE)*(F186-Calc!F25))+B199)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EMPOWERED_PIERCING_ARROW",Inputs!$B$17+((C183=TRUE)*(F183-Calc!F22))+(((IF(AND(ArtifactsInput!$M$42,((Inputs!$B$9+((C180=TRUE)*(F180-Calc!F19))+B193+(ArtifactsInput!$M$24-ArtifactsInput!$M$24)*CHOOSE(ArtifactsInput!$N$24+1,10,12,14,16,18,20)+IF(ArtifactsInput!$M$10,CHOOSE(ArtifactsInput!$N$10+1,15,18,21,24,27,30)*(IF(Inputs!$B$38="pvp",MIN(15,15)/15,IF(AND(Inputs!$B$38&lt;&gt;"pvp",Inputs!$B$43&gt;0),MIN(15,Inputs!$B$43)/(Inputs!$B$43),0))),0)))&gt;=100),MIN(100,((Inputs!$B$9+((C180=TRUE)*(F180-Calc!F19))+B193+(ArtifactsInput!$M$24-ArtifactsInput!$M$24)*CHOOSE(ArtifactsInput!$N$24+1,10,12,14,16,18,20)+IF(ArtifactsInput!$M$10,CHOOSE(ArtifactsInput!$N$10+1,15,18,21,24,27,30)*(IF(Inputs!$B$38="pvp",MIN(15,15)/15,IF(AND(Inputs!$B$38&lt;&gt;"pvp",Inputs!$B$43&gt;0),MIN(15,Inputs!$B$43)/(Inputs!$B$43),0))),0)))-100),0))*CHOOSE(ArtifactsInput!$N$42+1,0.6,0.72,0.84,0.96,1.08,1.2))),Inputs!$B$18+((C188=TRUE)*(F188-Calc!F27))+(IF(AND(ArtifactsInput!$M$42,((Inputs!$B$9+((C180=TRUE)*(F180-Calc!F19))+B193+(ArtifactsInput!$M$24-ArtifactsInput!$M$24)*CHOOSE(ArtifactsInput!$N$24+1,10,12,14,16,18,20)+IF(ArtifactsInput!$M$10,CHOOSE(ArtifactsInput!$N$10+1,15,18,21,24,27,30)*(IF(Inputs!$B$38="pvp",MIN(15,15)/15,IF(AND(Inputs!$B$38&lt;&gt;"pvp",Inputs!$B$43&gt;0),MIN(15,Inputs!$B$43)/(Inputs!$B$43),0))),0)))&gt;=100),CHOOSE(ArtifactsInput!$N$42+1,40,48,56,64,72,80),0))))/100)*((1+(((C174=TRUE)*F174)+((C175=TRUE)*IF(Inputs!$B$38="pvp",F175,(1-Summary!$B$11)*(F175)+Summary!$B$11*(0)))+((C176=TRUE)*F176*IF(AND(Inputs!$B$38&lt;&gt;"pvp",Inputs!$B$43&gt;0),(((R176-1)*(Skills!T15*(1+Inputs!$B$34/100))+MIN((Skills!T15*(1+Inputs!$B$34/100)),MAX(0,Inputs!$B$43-((R176-1)*Skills!D15))))/Inputs!$B$43),IF(Inputs!$B$38="pvp",MIN((Skills!T15*(1+Inputs!$B$34/100)),15)/15,(Skills!T15*(1+Inputs!$B$34/100))/Skills!D15)))+((C173=TRUE)*F173)+((C190=TRUE)*(F190-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163)</f>
        <v/>
      </c>
      <c r="L163">
        <f>K163*(MIN(Inputs!$B$22+((C184=TRUE)*(F184-Calc!F23)),(Inputs!$B$23+((C189=TRUE)*(F189-Calc!F28))+(IF(ArtifactsInput!$M$15,CHOOSE(ArtifactsInput!$N$15+1,25,30,35,40,45,50)/100*(Inputs!$B$11-Inputs!$B$11),0))))/100+(Inputs!$B$23+((C189=TRUE)*(F189-Calc!F28))+(IF(ArtifactsInput!$M$15,CHOOSE(ArtifactsInput!$N$15+1,25,30,35,40,45,50)/100*(Inputs!$B$11-Inputs!$B$11),0)))/100)/2</f>
        <v/>
      </c>
      <c r="M163">
        <f>L163*(1+(Inputs!$B$10+0+B198+(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63">
        <f>L163*(1-MIN((Inputs!$B$9+((C180=TRUE)*(F180-Calc!F19))+B193+(ArtifactsInput!$M$24-ArtifactsInput!$M$24)*CHOOSE(ArtifactsInput!$N$24+1,10,12,14,16,18,20)+(IF(AND(ArtifactsInput!$M$42,((Inputs!$B$9+((C180=TRUE)*(F180-Calc!F19))+B193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163*(MIN((Inputs!$B$9+((C180=TRUE)*(F180-Calc!F19))+B193+(ArtifactsInput!$M$24-ArtifactsInput!$M$24)*CHOOSE(ArtifactsInput!$N$24+1,10,12,14,16,18,20)+(IF(AND(ArtifactsInput!$M$42,((Inputs!$B$9+((C180=TRUE)*(F180-Calc!F19))+B193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63">
        <f>(1-Summary!$B$11)*T163+Summary!$B$11*V163</f>
        <v/>
      </c>
      <c r="P163">
        <f>IF(B203=0,0,O163/B203)</f>
        <v/>
      </c>
      <c r="Q163" t="n">
        <v>0</v>
      </c>
      <c r="R163" t="n">
        <v>0</v>
      </c>
      <c r="S163">
        <f>IFERROR((Skills!G2*N163*B197)/N163*IF(Inputs!$B$38="pvp",1,(1-Summary!$B$11)*1+Summary!$B$11*(MIN((6+Inputs!$B$33),Inputs!$B$37))),0)</f>
        <v/>
      </c>
      <c r="T163">
        <f>IF(C163,(Skills!G2*N163*B197)*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Hunt"),CHOOSE(ArtifactsInput!$N$35+1,15,18,21,24,27,30)*(1-EXP(-(0.2*B195)*5)),0)+IF(AND(ArtifactsInput!$M$22,Inputs!$B$4&lt;&gt;"Chapter Hunt"),CHOOSE(ArtifactsInput!$N$22+1,10,12,14,16,18,20)*((0*(((0.15*B195*5))^0/1)+1*(((0.15*B195*5))^1/1)+2*(((0.15*B195*5))^2/2)+3*(((0.15*B195*5))^3/6)+4*(((0.15*B195*5))^4/24)+5*(((0.15*B195*5))^5/120))/((((0.15*B195*5))^0/1)+(((0.15*B195*5))^1/1)+(((0.15*B195*5))^2/2)+(((0.15*B195*5))^3/6)+(((0.15*B195*5))^4/24)+(((0.15*B195*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163*(1-MIN(100,(Inputs!$B$9+((C180=TRUE)*(F180-Calc!F19))+B193+(ArtifactsInput!$M$24-ArtifactsInput!$M$24)*CHOOSE(ArtifactsInput!$N$24+1,10,12,14,16,18,20)+(IF(AND(ArtifactsInput!$M$42,((Inputs!$B$9+((C180=TRUE)*(F180-Calc!F19))+B193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163*(MIN(100,(Inputs!$B$9+((C180=TRUE)*(F180-Calc!F19))+B193+(ArtifactsInput!$M$24-ArtifactsInput!$M$24)*CHOOSE(ArtifactsInput!$N$24+1,10,12,14,16,18,20)+(IF(AND(ArtifactsInput!$M$42,((Inputs!$B$9+((C180=TRUE)*(F180-Calc!F19))+B193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163*(1-MIN(100,(Inputs!$B$9+((C180=TRUE)*(F180-Calc!F19))+B193+(ArtifactsInput!$M$24-ArtifactsInput!$M$24)*CHOOSE(ArtifactsInput!$N$24+1,10,12,14,16,18,20)+(IF(AND(ArtifactsInput!$M$42,((Inputs!$B$9+((C180=TRUE)*(F180-Calc!F19))+B193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163*(MIN(100,(Inputs!$B$9+((C180=TRUE)*(F180-Calc!F19))+B193+(ArtifactsInput!$M$24-ArtifactsInput!$M$24)*CHOOSE(ArtifactsInput!$N$24+1,10,12,14,16,18,20)+(IF(AND(ArtifactsInput!$M$42,((Inputs!$B$9+((C180=TRUE)*(F180-Calc!F19))+B193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63">
        <f>MAX(0,(Inputs!$B$3-100)*3)+Inputs!$B$28+Inputs!$B$29</f>
        <v/>
      </c>
      <c r="V163">
        <f>IF(C163,(Skills!G2*N163*B197)*IF(Inputs!$B$38="pvp",1,(1+(Inputs!$B$21+Skills!Q2+(IF(ArtifactsInput!$M$33,CHOOSE(ArtifactsInput!$N$33+1,30,36,42,48,54,60),0))+(IF(AND(ArtifactsInput!$M$35,Inputs!$B$4&lt;&gt;"Chapter Hunt"),CHOOSE(ArtifactsInput!$N$35+1,15,18,21,24,27,30)*(1-EXP(-(0.2*B195)*5)),0)+IF(AND(ArtifactsInput!$M$22,Inputs!$B$4&lt;&gt;"Chapter Hunt"),CHOOSE(ArtifactsInput!$N$22+1,10,12,14,16,18,20)*((0*(((0.15*B195*5))^0/1)+1*(((0.15*B195*5))^1/1)+2*(((0.15*B195*5))^2/2)+3*(((0.15*B195*5))^3/6)+4*(((0.15*B195*5))^4/24)+5*(((0.15*B195*5))^5/120))/((((0.15*B195*5))^0/1)+(((0.15*B195*5))^1/1)+(((0.15*B195*5))^2/2)+(((0.15*B195*5))^3/6)+(((0.15*B195*5))^4/24)+(((0.15*B195*5))^5/120)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64">
      <c r="A164">
        <f>Skills!A3</f>
        <v/>
      </c>
      <c r="B164">
        <f>Skills!B3</f>
        <v/>
      </c>
      <c r="C164">
        <f>Inputs!$B$3&gt;=50</f>
        <v/>
      </c>
      <c r="D164">
        <f>IF(Skills!C3=1,60+Inputs!$B$25+Inputs!$B$29,IF(Skills!C3=2,90+Inputs!$B$26+Inputs!$B$29,IF(Skills!C3=3,120+Inputs!$B$27+Inputs!$B$29,MAX(0,(Inputs!$B$3-100)*3)+Inputs!$B$28+Inputs!$B$29)))</f>
        <v/>
      </c>
      <c r="E164">
        <f>INDEX(FactorTable!$B$2:$Y$301, MATCH(ROUND(MIN(300,MAX(1,D164)),0), FactorTable!$A$2:$A$301,0), Skills!M3+1)</f>
        <v/>
      </c>
      <c r="F164">
        <f>IF(Skills!N3=TRUE,(Skills!L3/10)*(E164/1000),Skills!L3/10)+Skills!O3</f>
        <v/>
      </c>
      <c r="G164" t="inlineStr"/>
      <c r="H164" t="inlineStr"/>
      <c r="I164" t="inlineStr">
        <is>
          <t>1</t>
        </is>
      </c>
      <c r="J164" t="inlineStr"/>
      <c r="K164" t="inlineStr"/>
      <c r="L164" t="inlineStr"/>
      <c r="M164" t="inlineStr"/>
      <c r="N164" t="inlineStr"/>
      <c r="O164" t="inlineStr"/>
      <c r="P164" t="inlineStr"/>
      <c r="Q164" t="inlineStr"/>
      <c r="R164" t="inlineStr"/>
      <c r="S164" t="inlineStr"/>
      <c r="T164" t="inlineStr"/>
      <c r="U164">
        <f>INDEX(FactorTable!$B$2:$Y$301, MATCH(ROUND(MIN(300,MAX(1,U163)),0), FactorTable!$A$2:$A$301,0), 22)</f>
        <v/>
      </c>
      <c r="V164" t="inlineStr"/>
    </row>
    <row r="165">
      <c r="A165">
        <f>Skills!A4</f>
        <v/>
      </c>
      <c r="B165">
        <f>Skills!B4</f>
        <v/>
      </c>
      <c r="C165">
        <f>Inputs!$B$3&gt;=105</f>
        <v/>
      </c>
      <c r="D165">
        <f>IF(Skills!C4=1,60+Inputs!$B$25+Inputs!$B$29,IF(Skills!C4=2,90+Inputs!$B$26+Inputs!$B$29,IF(Skills!C4=3,120+Inputs!$B$27+Inputs!$B$29,MAX(0,(Inputs!$B$3-100)*3)+Inputs!$B$28+Inputs!$B$29)))</f>
        <v/>
      </c>
      <c r="E165">
        <f>INDEX(FactorTable!$B$2:$Y$301, MATCH(ROUND(MIN(300,MAX(1,D165)),0), FactorTable!$A$2:$A$301,0), Skills!M4+1)</f>
        <v/>
      </c>
      <c r="F165">
        <f>IF(Skills!N4=TRUE,(Skills!L4/10)*(E165/1000),Skills!L4/10)+Skills!O4</f>
        <v/>
      </c>
      <c r="G165" t="inlineStr"/>
      <c r="H165" t="inlineStr"/>
      <c r="I165" t="inlineStr">
        <is>
          <t>1</t>
        </is>
      </c>
      <c r="J165" t="inlineStr"/>
      <c r="K165" t="inlineStr"/>
      <c r="L165" t="inlineStr"/>
      <c r="M165" t="inlineStr"/>
      <c r="N165" t="inlineStr"/>
      <c r="O165" t="inlineStr"/>
      <c r="P165" t="inlineStr"/>
      <c r="Q165" t="inlineStr"/>
      <c r="R165" t="inlineStr"/>
      <c r="S165" t="inlineStr"/>
      <c r="T165" t="inlineStr"/>
      <c r="U165">
        <f>290*U164/1000</f>
        <v/>
      </c>
      <c r="V165" t="inlineStr"/>
    </row>
    <row r="166">
      <c r="A166">
        <f>Skills!A5</f>
        <v/>
      </c>
      <c r="B166">
        <f>Skills!B5</f>
        <v/>
      </c>
      <c r="C166">
        <f>Inputs!$B$3&gt;=35</f>
        <v/>
      </c>
      <c r="D166">
        <f>IF(Skills!C5=1,60+Inputs!$B$25+Inputs!$B$29,IF(Skills!C5=2,90+Inputs!$B$26+Inputs!$B$29,IF(Skills!C5=3,120+Inputs!$B$27+Inputs!$B$29,MAX(0,(Inputs!$B$3-100)*3)+Inputs!$B$28+Inputs!$B$29)))</f>
        <v/>
      </c>
      <c r="E166">
        <f>INDEX(FactorTable!$B$2:$Y$301, MATCH(ROUND(MIN(300,MAX(1,D166)),0), FactorTable!$A$2:$A$301,0), Skills!M5+1)</f>
        <v/>
      </c>
      <c r="F166">
        <f>IF(Skills!N5=TRUE,(Skills!L5/10)*(E166/1000),Skills!L5/10)+Skills!O5</f>
        <v/>
      </c>
      <c r="G166">
        <f>Skills!G5*IF(Skills!H5&gt;0,Skills!I5/Skills!H5,1)</f>
        <v/>
      </c>
      <c r="H166">
        <f>1-(1-Skills!J5/100)^Skills!K5</f>
        <v/>
      </c>
      <c r="I166" t="inlineStr">
        <is>
          <t>1</t>
        </is>
      </c>
      <c r="J166">
        <f>((Inputs!$B$6*(1+Inputs!$B$7/100))+(((Inputs!$B$12*(1+Inputs!$B$13/100))-(Inputs!$B$12*(1+Inputs!$B$13/100)))+0.25*((Inputs!$B$14+1)-Inputs!$B$14))*(1+Inputs!$B$7/100))*(F166/100)</f>
        <v/>
      </c>
      <c r="K166">
        <f>J166*(1+((Inputs!$B$12*(1+Inputs!$B$13/100))*0.01+(Inputs!$B$14+1)*0.0025)/100)*(1+Inputs!$B$15/100)*(1+Inputs!$B$16/100)*(5000/(6000+Inputs!$B$42*(1-(100*(1-(1-(Inputs!$B$19+0)/100)*(1-CHOOSE(ArtifactsInput!$N$40+1,5,6,7,8,9,10)/100)^(ArtifactsInput!$M$40-ArtifactsInput!$M$40)))/100)))*(1+(Inputs!$B$24+((C185=TRUE)*(F185-Calc!F24))+((C186=TRUE)*(F186-Calc!F25))+B199)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169=TRUE,F169,0)/100)*(1+(IF(Skills!A5="EMPOWERED_PIERCING_ARROW",Inputs!$B$17+((C183=TRUE)*(F183-Calc!F22))+(((IF(AND(ArtifactsInput!$M$42,((Inputs!$B$9+((C180=TRUE)*(F180-Calc!F19))+B193+(ArtifactsInput!$M$24-ArtifactsInput!$M$24)*CHOOSE(ArtifactsInput!$N$24+1,10,12,14,16,18,20)+IF(ArtifactsInput!$M$10,CHOOSE(ArtifactsInput!$N$10+1,15,18,21,24,27,30)*(IF(Inputs!$B$38="pvp",MIN(15,15)/15,IF(AND(Inputs!$B$38&lt;&gt;"pvp",Inputs!$B$43&gt;0),MIN(15,Inputs!$B$43)/(Inputs!$B$43),0))),0)))&gt;=100),MIN(100,((Inputs!$B$9+((C180=TRUE)*(F180-Calc!F19))+B193+(ArtifactsInput!$M$24-ArtifactsInput!$M$24)*CHOOSE(ArtifactsInput!$N$24+1,10,12,14,16,18,20)+IF(ArtifactsInput!$M$10,CHOOSE(ArtifactsInput!$N$10+1,15,18,21,24,27,30)*(IF(Inputs!$B$38="pvp",MIN(15,15)/15,IF(AND(Inputs!$B$38&lt;&gt;"pvp",Inputs!$B$43&gt;0),MIN(15,Inputs!$B$43)/(Inputs!$B$43),0))),0)))-100),0))*CHOOSE(ArtifactsInput!$N$42+1,0.6,0.72,0.84,0.96,1.08,1.2))),Inputs!$B$18+((C188=TRUE)*(F188-Calc!F27))+(IF(AND(ArtifactsInput!$M$42,((Inputs!$B$9+((C180=TRUE)*(F180-Calc!F19))+B193+(ArtifactsInput!$M$24-ArtifactsInput!$M$24)*CHOOSE(ArtifactsInput!$N$24+1,10,12,14,16,18,20)+IF(ArtifactsInput!$M$10,CHOOSE(ArtifactsInput!$N$10+1,15,18,21,24,27,30)*(IF(Inputs!$B$38="pvp",MIN(15,15)/15,IF(AND(Inputs!$B$38&lt;&gt;"pvp",Inputs!$B$43&gt;0),MIN(15,Inputs!$B$43)/(Inputs!$B$43),0))),0)))&gt;=100),CHOOSE(ArtifactsInput!$N$42+1,40,48,56,64,72,80),0))))/100)*((1+(((C174=TRUE)*F174)+((C175=TRUE)*IF(Inputs!$B$38="pvp",F175,(1-Summary!$B$11)*(F175)+Summary!$B$11*(0)))+((C176=TRUE)*F176*IF(AND(Inputs!$B$38&lt;&gt;"pvp",Inputs!$B$43&gt;0),(((R176-1)*(Skills!T15*(1+Inputs!$B$34/100))+MIN((Skills!T15*(1+Inputs!$B$34/100)),MAX(0,Inputs!$B$43-((R176-1)*Skills!D15))))/Inputs!$B$43),IF(Inputs!$B$38="pvp",MIN((Skills!T15*(1+Inputs!$B$34/100)),15)/15,(Skills!T15*(1+Inputs!$B$34/100))/Skills!D15)))+((C173=TRUE)*F173)+((C190=TRUE)*(F190-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166)</f>
        <v/>
      </c>
      <c r="L166">
        <f>K166*(MIN(Inputs!$B$22+((C184=TRUE)*(F184-Calc!F23)),(Inputs!$B$23+((C189=TRUE)*(F189-Calc!F28))+(IF(ArtifactsInput!$M$15,CHOOSE(ArtifactsInput!$N$15+1,25,30,35,40,45,50)/100*(Inputs!$B$11-Inputs!$B$11),0))))/100+(Inputs!$B$23+((C189=TRUE)*(F189-Calc!F28))+(IF(ArtifactsInput!$M$15,CHOOSE(ArtifactsInput!$N$15+1,25,30,35,40,45,50)/100*(Inputs!$B$11-Inputs!$B$11),0)))/100)/2</f>
        <v/>
      </c>
      <c r="M166">
        <f>L166*(1+(Inputs!$B$10+0+B198+(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66">
        <f>L166*(1-MIN((Inputs!$B$9+((C180=TRUE)*(F180-Calc!F19))+B193+(ArtifactsInput!$M$24-ArtifactsInput!$M$24)*CHOOSE(ArtifactsInput!$N$24+1,10,12,14,16,18,20)+(IF(AND(ArtifactsInput!$M$42,((Inputs!$B$9+((C180=TRUE)*(F180-Calc!F19))+B193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166*(MIN((Inputs!$B$9+((C180=TRUE)*(F180-Calc!F19))+B193+(ArtifactsInput!$M$24-ArtifactsInput!$M$24)*CHOOSE(ArtifactsInput!$N$24+1,10,12,14,16,18,20)+(IF(AND(ArtifactsInput!$M$42,((Inputs!$B$9+((C180=TRUE)*(F180-Calc!F19))+B193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66">
        <f>(1-Summary!$B$11)*T166+Summary!$B$11*V166</f>
        <v/>
      </c>
      <c r="P166">
        <f>IF(B203=0,0,O166/B203)</f>
        <v/>
      </c>
      <c r="Q166">
        <f>IFERROR(1/IF(Inputs!$B$38="pvp",15,MAX(0.1,Skills!D5-IF(Skills!E5=TRUE,Inputs!$B$32,0))),0)</f>
        <v/>
      </c>
      <c r="R166">
        <f>IF(AND(Inputs!$B$38&lt;&gt;"pvp",Inputs!$B$43&gt;0),IF(MAX(0,Inputs!$B$43-B200)&lt;=0,0,(INT(MAX(0,Inputs!$B$43-B200)/IF(Inputs!$B$38="pvp",15,MAX(0.1,Skills!D5-IF(Skills!E5=TRUE,Inputs!$B$32,0))))+1)),0)</f>
        <v/>
      </c>
      <c r="S166">
        <f>IFERROR((H166*N166*IF(AND(Inputs!$B$38&lt;&gt;"pvp",Inputs!$B$43&gt;0),((Skills!G5*((R166-1)*IF(Skills!H5&gt;0,Skills!I5/Skills!H5,1)+IF(Skills!H5&gt;0,MIN(Skills!I5,MAX(0,MAX(0,Inputs!$B$43-B200)-((R166-1)*IF(Inputs!$B$38="pvp",15,MAX(0.1,Skills!D5-IF(Skills!E5=TRUE,Inputs!$B$32,0))))))/Skills!H5,1)))/Inputs!$B$43),G166*Q166))/N166*IF(Inputs!$B$38="pvp",1,(1-Summary!$B$11)*1+Summary!$B$11*(MIN(Skills!R5,Inputs!$B$37))),0)</f>
        <v/>
      </c>
      <c r="T166">
        <f>IF(C166,(H166*N166*IF(AND(Inputs!$B$38&lt;&gt;"pvp",Inputs!$B$43&gt;0),((Skills!G5*((R166-1)*IF(Skills!H5&gt;0,Skills!I5/Skills!H5,1)+IF(Skills!H5&gt;0,MIN(Skills!I5,MAX(0,MAX(0,Inputs!$B$43-B200)-((R166-1)*IF(Inputs!$B$38="pvp",15,MAX(0.1,Skills!D5-IF(Skills!E5=TRUE,Inputs!$B$32,0))))))/Skills!H5,1)))/Inputs!$B$43),G166*Q166))*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Hunt"),CHOOSE(ArtifactsInput!$N$35+1,15,18,21,24,27,30)*(1-EXP(-(0.2*B195)*5)),0)+IF(AND(ArtifactsInput!$M$22,Inputs!$B$4&lt;&gt;"Chapter Hunt"),CHOOSE(ArtifactsInput!$N$22+1,10,12,14,16,18,20)*((0*(((0.15*B195*5))^0/1)+1*(((0.15*B195*5))^1/1)+2*(((0.15*B195*5))^2/2)+3*(((0.15*B195*5))^3/6)+4*(((0.15*B195*5))^4/24)+5*(((0.15*B195*5))^5/120))/((((0.15*B195*5))^0/1)+(((0.15*B195*5))^1/1)+(((0.15*B195*5))^2/2)+(((0.15*B195*5))^3/6)+(((0.15*B195*5))^4/24)+(((0.15*B195*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166*(1-MIN(100,(Inputs!$B$9+((C180=TRUE)*(F180-Calc!F19))+B193+(ArtifactsInput!$M$24-ArtifactsInput!$M$24)*CHOOSE(ArtifactsInput!$N$24+1,10,12,14,16,18,20)+(IF(AND(ArtifactsInput!$M$42,((Inputs!$B$9+((C180=TRUE)*(F180-Calc!F19))+B193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166*(MIN(100,(Inputs!$B$9+((C180=TRUE)*(F180-Calc!F19))+B193+(ArtifactsInput!$M$24-ArtifactsInput!$M$24)*CHOOSE(ArtifactsInput!$N$24+1,10,12,14,16,18,20)+(IF(AND(ArtifactsInput!$M$42,((Inputs!$B$9+((C180=TRUE)*(F180-Calc!F19))+B193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166*(1-MIN(100,(Inputs!$B$9+((C180=TRUE)*(F180-Calc!F19))+B193+(ArtifactsInput!$M$24-ArtifactsInput!$M$24)*CHOOSE(ArtifactsInput!$N$24+1,10,12,14,16,18,20)+(IF(AND(ArtifactsInput!$M$42,((Inputs!$B$9+((C180=TRUE)*(F180-Calc!F19))+B193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166*(MIN(100,(Inputs!$B$9+((C180=TRUE)*(F180-Calc!F19))+B193+(ArtifactsInput!$M$24-ArtifactsInput!$M$24)*CHOOSE(ArtifactsInput!$N$24+1,10,12,14,16,18,20)+(IF(AND(ArtifactsInput!$M$42,((Inputs!$B$9+((C180=TRUE)*(F180-Calc!F19))+B193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66">
        <f>IF(C166,(H166*N166*IF(AND(Inputs!$B$38&lt;&gt;"pvp",Inputs!$B$43&gt;0),((Skills!G5*((R166-1)*IF(Skills!H5&gt;0,Skills!I5/Skills!H5,1)+IF(Skills!H5&gt;0,MIN(Skills!I5,MAX(0,MAX(0,Inputs!$B$43-B200)-((R166-1)*IF(Inputs!$B$38="pvp",15,MAX(0.1,Skills!D5-IF(Skills!E5=TRUE,Inputs!$B$32,0))))))/Skills!H5,1)))/Inputs!$B$43),G166*Q166))*IF(Inputs!$B$38="pvp",1,(1+(Inputs!$B$21+Skills!Q5+(IF(ArtifactsInput!$M$33,CHOOSE(ArtifactsInput!$N$33+1,30,36,42,48,54,60),0))+(IF(AND(ArtifactsInput!$M$35,Inputs!$B$4&lt;&gt;"Chapter Hunt"),CHOOSE(ArtifactsInput!$N$35+1,15,18,21,24,27,30)*(1-EXP(-(0.2*B195)*5)),0)+IF(AND(ArtifactsInput!$M$22,Inputs!$B$4&lt;&gt;"Chapter Hunt"),CHOOSE(ArtifactsInput!$N$22+1,10,12,14,16,18,20)*((0*(((0.15*B195*5))^0/1)+1*(((0.15*B195*5))^1/1)+2*(((0.15*B195*5))^2/2)+3*(((0.15*B195*5))^3/6)+4*(((0.15*B195*5))^4/24)+5*(((0.15*B195*5))^5/120))/((((0.15*B195*5))^0/1)+(((0.15*B195*5))^1/1)+(((0.15*B195*5))^2/2)+(((0.15*B195*5))^3/6)+(((0.15*B195*5))^4/24)+(((0.15*B195*5))^5/120)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67">
      <c r="A167">
        <f>Skills!A6</f>
        <v/>
      </c>
      <c r="B167">
        <f>Skills!B6</f>
        <v/>
      </c>
      <c r="C167">
        <f>Inputs!$B$3&gt;=63</f>
        <v/>
      </c>
      <c r="D167">
        <f>IF(Skills!C6=1,60+Inputs!$B$25+Inputs!$B$29,IF(Skills!C6=2,90+Inputs!$B$26+Inputs!$B$29,IF(Skills!C6=3,120+Inputs!$B$27+Inputs!$B$29,MAX(0,(Inputs!$B$3-100)*3)+Inputs!$B$28+Inputs!$B$29)))</f>
        <v/>
      </c>
      <c r="E167">
        <f>INDEX(FactorTable!$B$2:$Y$301, MATCH(ROUND(MIN(300,MAX(1,D167)),0), FactorTable!$A$2:$A$301,0), Skills!M6+1)</f>
        <v/>
      </c>
      <c r="F167">
        <f>IF(Skills!N6=TRUE,(Skills!L6/10)*(E167/1000),Skills!L6/10)+Skills!O6</f>
        <v/>
      </c>
      <c r="G167">
        <f>Skills!G6*IF(Skills!H6&gt;0,Skills!I6/Skills!H6,1)</f>
        <v/>
      </c>
      <c r="H167">
        <f>1-(1-Skills!J6/100)^Skills!K6</f>
        <v/>
      </c>
      <c r="I167" t="inlineStr">
        <is>
          <t>1</t>
        </is>
      </c>
      <c r="J167">
        <f>((Inputs!$B$6*(1+Inputs!$B$7/100))+(((Inputs!$B$12*(1+Inputs!$B$13/100))-(Inputs!$B$12*(1+Inputs!$B$13/100)))+0.25*((Inputs!$B$14+1)-Inputs!$B$14))*(1+Inputs!$B$7/100))*(F167/100)</f>
        <v/>
      </c>
      <c r="K167">
        <f>J167*(1+((Inputs!$B$12*(1+Inputs!$B$13/100))*0.01+(Inputs!$B$14+1)*0.0025)/100)*(1+Inputs!$B$15/100)*(1+Inputs!$B$16/100)*(5000/(6000+Inputs!$B$42*(1-(100*(1-(1-(Inputs!$B$19+0)/100)*(1-CHOOSE(ArtifactsInput!$N$40+1,5,6,7,8,9,10)/100)^(ArtifactsInput!$M$40-ArtifactsInput!$M$40)))/100)))*(1+(Inputs!$B$24+((C185=TRUE)*(F185-Calc!F24))+((C186=TRUE)*(F186-Calc!F25))+B199)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169=TRUE,F169,0)/100)*(1+(IF(Skills!A6="EMPOWERED_PIERCING_ARROW",Inputs!$B$17+((C183=TRUE)*(F183-Calc!F22))+(((IF(AND(ArtifactsInput!$M$42,((Inputs!$B$9+((C180=TRUE)*(F180-Calc!F19))+B193+(ArtifactsInput!$M$24-ArtifactsInput!$M$24)*CHOOSE(ArtifactsInput!$N$24+1,10,12,14,16,18,20)+IF(ArtifactsInput!$M$10,CHOOSE(ArtifactsInput!$N$10+1,15,18,21,24,27,30)*(IF(Inputs!$B$38="pvp",MIN(15,15)/15,IF(AND(Inputs!$B$38&lt;&gt;"pvp",Inputs!$B$43&gt;0),MIN(15,Inputs!$B$43)/(Inputs!$B$43),0))),0)))&gt;=100),MIN(100,((Inputs!$B$9+((C180=TRUE)*(F180-Calc!F19))+B193+(ArtifactsInput!$M$24-ArtifactsInput!$M$24)*CHOOSE(ArtifactsInput!$N$24+1,10,12,14,16,18,20)+IF(ArtifactsInput!$M$10,CHOOSE(ArtifactsInput!$N$10+1,15,18,21,24,27,30)*(IF(Inputs!$B$38="pvp",MIN(15,15)/15,IF(AND(Inputs!$B$38&lt;&gt;"pvp",Inputs!$B$43&gt;0),MIN(15,Inputs!$B$43)/(Inputs!$B$43),0))),0)))-100),0))*CHOOSE(ArtifactsInput!$N$42+1,0.6,0.72,0.84,0.96,1.08,1.2))),Inputs!$B$18+((C188=TRUE)*(F188-Calc!F27))+(IF(AND(ArtifactsInput!$M$42,((Inputs!$B$9+((C180=TRUE)*(F180-Calc!F19))+B193+(ArtifactsInput!$M$24-ArtifactsInput!$M$24)*CHOOSE(ArtifactsInput!$N$24+1,10,12,14,16,18,20)+IF(ArtifactsInput!$M$10,CHOOSE(ArtifactsInput!$N$10+1,15,18,21,24,27,30)*(IF(Inputs!$B$38="pvp",MIN(15,15)/15,IF(AND(Inputs!$B$38&lt;&gt;"pvp",Inputs!$B$43&gt;0),MIN(15,Inputs!$B$43)/(Inputs!$B$43),0))),0)))&gt;=100),CHOOSE(ArtifactsInput!$N$42+1,40,48,56,64,72,80),0))))/100)*((1+(((C174=TRUE)*F174)+((C175=TRUE)*IF(Inputs!$B$38="pvp",F175,(1-Summary!$B$11)*(F175)+Summary!$B$11*(0)))+((C176=TRUE)*F176*IF(AND(Inputs!$B$38&lt;&gt;"pvp",Inputs!$B$43&gt;0),(((R176-1)*(Skills!T15*(1+Inputs!$B$34/100))+MIN((Skills!T15*(1+Inputs!$B$34/100)),MAX(0,Inputs!$B$43-((R176-1)*Skills!D15))))/Inputs!$B$43),IF(Inputs!$B$38="pvp",MIN((Skills!T15*(1+Inputs!$B$34/100)),15)/15,(Skills!T15*(1+Inputs!$B$34/100))/Skills!D15)))+((C173=TRUE)*F173)+((C190=TRUE)*(F190-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167)</f>
        <v/>
      </c>
      <c r="L167">
        <f>K167*(MIN(Inputs!$B$22+((C184=TRUE)*(F184-Calc!F23)),(Inputs!$B$23+((C189=TRUE)*(F189-Calc!F28))+(IF(ArtifactsInput!$M$15,CHOOSE(ArtifactsInput!$N$15+1,25,30,35,40,45,50)/100*(Inputs!$B$11-Inputs!$B$11),0))))/100+(Inputs!$B$23+((C189=TRUE)*(F189-Calc!F28))+(IF(ArtifactsInput!$M$15,CHOOSE(ArtifactsInput!$N$15+1,25,30,35,40,45,50)/100*(Inputs!$B$11-Inputs!$B$11),0)))/100)/2</f>
        <v/>
      </c>
      <c r="M167">
        <f>L167*(1+(Inputs!$B$10+0+B198+(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67">
        <f>L167*(1-MIN((Inputs!$B$9+((C180=TRUE)*(F180-Calc!F19))+B193+(ArtifactsInput!$M$24-ArtifactsInput!$M$24)*CHOOSE(ArtifactsInput!$N$24+1,10,12,14,16,18,20)+(IF(AND(ArtifactsInput!$M$42,((Inputs!$B$9+((C180=TRUE)*(F180-Calc!F19))+B193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167*(MIN((Inputs!$B$9+((C180=TRUE)*(F180-Calc!F19))+B193+(ArtifactsInput!$M$24-ArtifactsInput!$M$24)*CHOOSE(ArtifactsInput!$N$24+1,10,12,14,16,18,20)+(IF(AND(ArtifactsInput!$M$42,((Inputs!$B$9+((C180=TRUE)*(F180-Calc!F19))+B193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67">
        <f>(1-Summary!$B$11)*T167+Summary!$B$11*V167</f>
        <v/>
      </c>
      <c r="P167">
        <f>IF(B203=0,0,O167/B203)</f>
        <v/>
      </c>
      <c r="Q167">
        <f>IFERROR(1/IF(Inputs!$B$38="pvp",15,MAX(0.1,Skills!D6-IF(Skills!E6=TRUE,Inputs!$B$32,0))),0)</f>
        <v/>
      </c>
      <c r="R167">
        <f>IF(AND(Inputs!$B$38&lt;&gt;"pvp",Inputs!$B$43&gt;0),IF(MAX(0,Inputs!$B$43-B200)&lt;=0,0,(INT(MAX(0,Inputs!$B$43-B200)/IF(Inputs!$B$38="pvp",15,MAX(0.1,Skills!D6-IF(Skills!E6=TRUE,Inputs!$B$32,0))))+1)),0)</f>
        <v/>
      </c>
      <c r="S167">
        <f>IFERROR((H167*N167*IF(AND(Inputs!$B$38&lt;&gt;"pvp",Inputs!$B$43&gt;0),((Skills!G6*((R167-1)*IF(Skills!H6&gt;0,Skills!I6/Skills!H6,1)+IF(Skills!H6&gt;0,MIN(Skills!I6,MAX(0,MAX(0,Inputs!$B$43-B200)-((R167-1)*IF(Inputs!$B$38="pvp",15,MAX(0.1,Skills!D6-IF(Skills!E6=TRUE,Inputs!$B$32,0))))))/Skills!H6,1)))/Inputs!$B$43),G167*Q167))/N167*IF(Inputs!$B$38="pvp",1,(1-Summary!$B$11)*1+Summary!$B$11*(MIN(Skills!R6,Inputs!$B$37))),0)</f>
        <v/>
      </c>
      <c r="T167">
        <f>IF(C167,(H167*N167*IF(AND(Inputs!$B$38&lt;&gt;"pvp",Inputs!$B$43&gt;0),((Skills!G6*((R167-1)*IF(Skills!H6&gt;0,Skills!I6/Skills!H6,1)+IF(Skills!H6&gt;0,MIN(Skills!I6,MAX(0,MAX(0,Inputs!$B$43-B200)-((R167-1)*IF(Inputs!$B$38="pvp",15,MAX(0.1,Skills!D6-IF(Skills!E6=TRUE,Inputs!$B$32,0))))))/Skills!H6,1)))/Inputs!$B$43),G167*Q167))*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Hunt"),CHOOSE(ArtifactsInput!$N$35+1,15,18,21,24,27,30)*(1-EXP(-(0.2*B195)*5)),0)+IF(AND(ArtifactsInput!$M$22,Inputs!$B$4&lt;&gt;"Chapter Hunt"),CHOOSE(ArtifactsInput!$N$22+1,10,12,14,16,18,20)*((0*(((0.15*B195*5))^0/1)+1*(((0.15*B195*5))^1/1)+2*(((0.15*B195*5))^2/2)+3*(((0.15*B195*5))^3/6)+4*(((0.15*B195*5))^4/24)+5*(((0.15*B195*5))^5/120))/((((0.15*B195*5))^0/1)+(((0.15*B195*5))^1/1)+(((0.15*B195*5))^2/2)+(((0.15*B195*5))^3/6)+(((0.15*B195*5))^4/24)+(((0.15*B195*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167*(1-MIN(100,(Inputs!$B$9+((C180=TRUE)*(F180-Calc!F19))+B193+(ArtifactsInput!$M$24-ArtifactsInput!$M$24)*CHOOSE(ArtifactsInput!$N$24+1,10,12,14,16,18,20)+(IF(AND(ArtifactsInput!$M$42,((Inputs!$B$9+((C180=TRUE)*(F180-Calc!F19))+B193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167*(MIN(100,(Inputs!$B$9+((C180=TRUE)*(F180-Calc!F19))+B193+(ArtifactsInput!$M$24-ArtifactsInput!$M$24)*CHOOSE(ArtifactsInput!$N$24+1,10,12,14,16,18,20)+(IF(AND(ArtifactsInput!$M$42,((Inputs!$B$9+((C180=TRUE)*(F180-Calc!F19))+B193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167*(1-MIN(100,(Inputs!$B$9+((C180=TRUE)*(F180-Calc!F19))+B193+(ArtifactsInput!$M$24-ArtifactsInput!$M$24)*CHOOSE(ArtifactsInput!$N$24+1,10,12,14,16,18,20)+(IF(AND(ArtifactsInput!$M$42,((Inputs!$B$9+((C180=TRUE)*(F180-Calc!F19))+B193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167*(MIN(100,(Inputs!$B$9+((C180=TRUE)*(F180-Calc!F19))+B193+(ArtifactsInput!$M$24-ArtifactsInput!$M$24)*CHOOSE(ArtifactsInput!$N$24+1,10,12,14,16,18,20)+(IF(AND(ArtifactsInput!$M$42,((Inputs!$B$9+((C180=TRUE)*(F180-Calc!F19))+B193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67">
        <f>IF(C167,(H167*N167*IF(AND(Inputs!$B$38&lt;&gt;"pvp",Inputs!$B$43&gt;0),((Skills!G6*((R167-1)*IF(Skills!H6&gt;0,Skills!I6/Skills!H6,1)+IF(Skills!H6&gt;0,MIN(Skills!I6,MAX(0,MAX(0,Inputs!$B$43-B200)-((R167-1)*IF(Inputs!$B$38="pvp",15,MAX(0.1,Skills!D6-IF(Skills!E6=TRUE,Inputs!$B$32,0))))))/Skills!H6,1)))/Inputs!$B$43),G167*Q167))*IF(Inputs!$B$38="pvp",1,(1+(Inputs!$B$21+Skills!Q6+(IF(ArtifactsInput!$M$33,CHOOSE(ArtifactsInput!$N$33+1,30,36,42,48,54,60),0))+(IF(AND(ArtifactsInput!$M$35,Inputs!$B$4&lt;&gt;"Chapter Hunt"),CHOOSE(ArtifactsInput!$N$35+1,15,18,21,24,27,30)*(1-EXP(-(0.2*B195)*5)),0)+IF(AND(ArtifactsInput!$M$22,Inputs!$B$4&lt;&gt;"Chapter Hunt"),CHOOSE(ArtifactsInput!$N$22+1,10,12,14,16,18,20)*((0*(((0.15*B195*5))^0/1)+1*(((0.15*B195*5))^1/1)+2*(((0.15*B195*5))^2/2)+3*(((0.15*B195*5))^3/6)+4*(((0.15*B195*5))^4/24)+5*(((0.15*B195*5))^5/120))/((((0.15*B195*5))^0/1)+(((0.15*B195*5))^1/1)+(((0.15*B195*5))^2/2)+(((0.15*B195*5))^3/6)+(((0.15*B195*5))^4/24)+(((0.15*B195*5))^5/120))),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68">
      <c r="A168">
        <f>Skills!A7</f>
        <v/>
      </c>
      <c r="B168">
        <f>Skills!B7</f>
        <v/>
      </c>
      <c r="C168">
        <f>Inputs!$B$3&gt;=69</f>
        <v/>
      </c>
      <c r="D168">
        <f>IF(Skills!C7=1,60+Inputs!$B$25+Inputs!$B$29,IF(Skills!C7=2,90+Inputs!$B$26+Inputs!$B$29,IF(Skills!C7=3,120+Inputs!$B$27+Inputs!$B$29,MAX(0,(Inputs!$B$3-100)*3)+Inputs!$B$28+Inputs!$B$29)))</f>
        <v/>
      </c>
      <c r="E168">
        <f>INDEX(FactorTable!$B$2:$Y$301, MATCH(ROUND(MIN(300,MAX(1,D168)),0), FactorTable!$A$2:$A$301,0), Skills!M7+1)</f>
        <v/>
      </c>
      <c r="F168">
        <f>IF(Skills!N7=TRUE,(Skills!L7/10)*(E168/1000),Skills!L7/10)+Skills!O7</f>
        <v/>
      </c>
      <c r="G168">
        <f>Skills!G7*IF(Skills!H7&gt;0,Skills!I7/Skills!H7,1)</f>
        <v/>
      </c>
      <c r="H168">
        <f>1-(1-Skills!J7/100)^Skills!K7</f>
        <v/>
      </c>
      <c r="I168" t="inlineStr">
        <is>
          <t>1</t>
        </is>
      </c>
      <c r="J168">
        <f>((Inputs!$B$6*(1+Inputs!$B$7/100))+(((Inputs!$B$12*(1+Inputs!$B$13/100))-(Inputs!$B$12*(1+Inputs!$B$13/100)))+0.25*((Inputs!$B$14+1)-Inputs!$B$14))*(1+Inputs!$B$7/100))*(F168/100)</f>
        <v/>
      </c>
      <c r="K168">
        <f>J168*(1+((Inputs!$B$12*(1+Inputs!$B$13/100))*0.01+(Inputs!$B$14+1)*0.0025)/100)*(1+Inputs!$B$15/100)*(1+Inputs!$B$16/100)*(5000/(6000+Inputs!$B$42*(1-(100*(1-(1-(Inputs!$B$19+0)/100)*(1-CHOOSE(ArtifactsInput!$N$40+1,5,6,7,8,9,10)/100)^(ArtifactsInput!$M$40-ArtifactsInput!$M$40)))/100)))*(1+(Inputs!$B$24+((C185=TRUE)*(F185-Calc!F24))+((C186=TRUE)*(F186-Calc!F25))+B199)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+1.2*IF(C169=TRUE,F169,0)/100)*(1+(IF(Skills!A7="EMPOWERED_PIERCING_ARROW",Inputs!$B$17+((C183=TRUE)*(F183-Calc!F22))+(((IF(AND(ArtifactsInput!$M$42,((Inputs!$B$9+((C180=TRUE)*(F180-Calc!F19))+B193+(ArtifactsInput!$M$24-ArtifactsInput!$M$24)*CHOOSE(ArtifactsInput!$N$24+1,10,12,14,16,18,20)+IF(ArtifactsInput!$M$10,CHOOSE(ArtifactsInput!$N$10+1,15,18,21,24,27,30)*(IF(Inputs!$B$38="pvp",MIN(15,15)/15,IF(AND(Inputs!$B$38&lt;&gt;"pvp",Inputs!$B$43&gt;0),MIN(15,Inputs!$B$43)/(Inputs!$B$43),0))),0)))&gt;=100),MIN(100,((Inputs!$B$9+((C180=TRUE)*(F180-Calc!F19))+B193+(ArtifactsInput!$M$24-ArtifactsInput!$M$24)*CHOOSE(ArtifactsInput!$N$24+1,10,12,14,16,18,20)+IF(ArtifactsInput!$M$10,CHOOSE(ArtifactsInput!$N$10+1,15,18,21,24,27,30)*(IF(Inputs!$B$38="pvp",MIN(15,15)/15,IF(AND(Inputs!$B$38&lt;&gt;"pvp",Inputs!$B$43&gt;0),MIN(15,Inputs!$B$43)/(Inputs!$B$43),0))),0)))-100),0))*CHOOSE(ArtifactsInput!$N$42+1,0.6,0.72,0.84,0.96,1.08,1.2))),Inputs!$B$18+((C188=TRUE)*(F188-Calc!F27))+(IF(AND(ArtifactsInput!$M$42,((Inputs!$B$9+((C180=TRUE)*(F180-Calc!F19))+B193+(ArtifactsInput!$M$24-ArtifactsInput!$M$24)*CHOOSE(ArtifactsInput!$N$24+1,10,12,14,16,18,20)+IF(ArtifactsInput!$M$10,CHOOSE(ArtifactsInput!$N$10+1,15,18,21,24,27,30)*(IF(Inputs!$B$38="pvp",MIN(15,15)/15,IF(AND(Inputs!$B$38&lt;&gt;"pvp",Inputs!$B$43&gt;0),MIN(15,Inputs!$B$43)/(Inputs!$B$43),0))),0)))&gt;=100),CHOOSE(ArtifactsInput!$N$42+1,40,48,56,64,72,80),0))))/100)*((1+(((C174=TRUE)*F174)+((C175=TRUE)*IF(Inputs!$B$38="pvp",F175,(1-Summary!$B$11)*(F175)+Summary!$B$11*(0)))+((C176=TRUE)*F176*IF(AND(Inputs!$B$38&lt;&gt;"pvp",Inputs!$B$43&gt;0),(((R176-1)*(Skills!T15*(1+Inputs!$B$34/100))+MIN((Skills!T15*(1+Inputs!$B$34/100)),MAX(0,Inputs!$B$43-((R176-1)*Skills!D15))))/Inputs!$B$43),IF(Inputs!$B$38="pvp",MIN((Skills!T15*(1+Inputs!$B$34/100)),15)/15,(Skills!T15*(1+Inputs!$B$34/100))/Skills!D15)))+((C173=TRUE)*F173)+((C190=TRUE)*(F190-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168)</f>
        <v/>
      </c>
      <c r="L168">
        <f>K168*(MIN(Inputs!$B$22+((C184=TRUE)*(F184-Calc!F23)),(Inputs!$B$23+((C189=TRUE)*(F189-Calc!F28))+(IF(ArtifactsInput!$M$15,CHOOSE(ArtifactsInput!$N$15+1,25,30,35,40,45,50)/100*(Inputs!$B$11-Inputs!$B$11),0))))/100+(Inputs!$B$23+((C189=TRUE)*(F189-Calc!F28))+(IF(ArtifactsInput!$M$15,CHOOSE(ArtifactsInput!$N$15+1,25,30,35,40,45,50)/100*(Inputs!$B$11-Inputs!$B$11),0)))/100)/2</f>
        <v/>
      </c>
      <c r="M168">
        <f>L168*(1+(Inputs!$B$10+0+B198+(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68">
        <f>L168*(1-MIN((Inputs!$B$9+((C180=TRUE)*(F180-Calc!F19))+B193+(ArtifactsInput!$M$24-ArtifactsInput!$M$24)*CHOOSE(ArtifactsInput!$N$24+1,10,12,14,16,18,20)+(IF(AND(ArtifactsInput!$M$42,((Inputs!$B$9+((C180=TRUE)*(F180-Calc!F19))+B193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168*(MIN((Inputs!$B$9+((C180=TRUE)*(F180-Calc!F19))+B193+(ArtifactsInput!$M$24-ArtifactsInput!$M$24)*CHOOSE(ArtifactsInput!$N$24+1,10,12,14,16,18,20)+(IF(AND(ArtifactsInput!$M$42,((Inputs!$B$9+((C180=TRUE)*(F180-Calc!F19))+B193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68">
        <f>(1-Summary!$B$11)*T168+Summary!$B$11*V168</f>
        <v/>
      </c>
      <c r="P168">
        <f>IF(B203=0,0,O168/B203)</f>
        <v/>
      </c>
      <c r="Q168">
        <f>IFERROR(1/IF(Inputs!$B$38="pvp",15,MAX(0.1,Skills!D7-IF(Skills!E7=TRUE,Inputs!$B$32,0))),0)</f>
        <v/>
      </c>
      <c r="R168">
        <f>IF(AND(Inputs!$B$38&lt;&gt;"pvp",Inputs!$B$43&gt;0),IF(MAX(0,Inputs!$B$43-B200)&lt;=0,0,(INT(MAX(0,Inputs!$B$43-B200)/IF(Inputs!$B$38="pvp",15,MAX(0.1,Skills!D7-IF(Skills!E7=TRUE,Inputs!$B$32,0))))+1)),0)</f>
        <v/>
      </c>
      <c r="S168">
        <f>IFERROR((H168*N168*IF(AND(Inputs!$B$38&lt;&gt;"pvp",Inputs!$B$43&gt;0),((Skills!G7*((R168-1)*IF(Skills!H7&gt;0,Skills!I7/Skills!H7,1)+IF(Skills!H7&gt;0,MIN(Skills!I7,MAX(0,MAX(0,Inputs!$B$43-B200)-((R168-1)*IF(Inputs!$B$38="pvp",15,MAX(0.1,Skills!D7-IF(Skills!E7=TRUE,Inputs!$B$32,0))))))/Skills!H7,1)))/Inputs!$B$43),G168*Q168))/N168*IF(Inputs!$B$38="pvp",1,(1-Summary!$B$11)*1+Summary!$B$11*(MIN(Skills!R7,Inputs!$B$37))),0)</f>
        <v/>
      </c>
      <c r="T168">
        <f>IF(C168,(H168*N168*IF(AND(Inputs!$B$38&lt;&gt;"pvp",Inputs!$B$43&gt;0),((Skills!G7*((R168-1)*IF(Skills!H7&gt;0,Skills!I7/Skills!H7,1)+IF(Skills!H7&gt;0,MIN(Skills!I7,MAX(0,MAX(0,Inputs!$B$43-B200)-((R168-1)*IF(Inputs!$B$38="pvp",15,MAX(0.1,Skills!D7-IF(Skills!E7=TRUE,Inputs!$B$32,0))))))/Skills!H7,1)))/Inputs!$B$43),G168*Q168))*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Hunt"),CHOOSE(ArtifactsInput!$N$35+1,15,18,21,24,27,30)*(1-EXP(-(0.2*B195)*5)),0)+IF(AND(ArtifactsInput!$M$22,Inputs!$B$4&lt;&gt;"Chapter Hunt"),CHOOSE(ArtifactsInput!$N$22+1,10,12,14,16,18,20)*((0*(((0.15*B195*5))^0/1)+1*(((0.15*B195*5))^1/1)+2*(((0.15*B195*5))^2/2)+3*(((0.15*B195*5))^3/6)+4*(((0.15*B195*5))^4/24)+5*(((0.15*B195*5))^5/120))/((((0.15*B195*5))^0/1)+(((0.15*B195*5))^1/1)+(((0.15*B195*5))^2/2)+(((0.15*B195*5))^3/6)+(((0.15*B195*5))^4/24)+(((0.15*B195*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168*(1-MIN(100,(Inputs!$B$9+((C180=TRUE)*(F180-Calc!F19))+B193+(ArtifactsInput!$M$24-ArtifactsInput!$M$24)*CHOOSE(ArtifactsInput!$N$24+1,10,12,14,16,18,20)+(IF(AND(ArtifactsInput!$M$42,((Inputs!$B$9+((C180=TRUE)*(F180-Calc!F19))+B193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168*(MIN(100,(Inputs!$B$9+((C180=TRUE)*(F180-Calc!F19))+B193+(ArtifactsInput!$M$24-ArtifactsInput!$M$24)*CHOOSE(ArtifactsInput!$N$24+1,10,12,14,16,18,20)+(IF(AND(ArtifactsInput!$M$42,((Inputs!$B$9+((C180=TRUE)*(F180-Calc!F19))+B193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168*(1-MIN(100,(Inputs!$B$9+((C180=TRUE)*(F180-Calc!F19))+B193+(ArtifactsInput!$M$24-ArtifactsInput!$M$24)*CHOOSE(ArtifactsInput!$N$24+1,10,12,14,16,18,20)+(IF(AND(ArtifactsInput!$M$42,((Inputs!$B$9+((C180=TRUE)*(F180-Calc!F19))+B193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168*(MIN(100,(Inputs!$B$9+((C180=TRUE)*(F180-Calc!F19))+B193+(ArtifactsInput!$M$24-ArtifactsInput!$M$24)*CHOOSE(ArtifactsInput!$N$24+1,10,12,14,16,18,20)+(IF(AND(ArtifactsInput!$M$42,((Inputs!$B$9+((C180=TRUE)*(F180-Calc!F19))+B193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68">
        <f>IF(C168,(H168*N168*IF(AND(Inputs!$B$38&lt;&gt;"pvp",Inputs!$B$43&gt;0),((Skills!G7*((R168-1)*IF(Skills!H7&gt;0,Skills!I7/Skills!H7,1)+IF(Skills!H7&gt;0,MIN(Skills!I7,MAX(0,MAX(0,Inputs!$B$43-B200)-((R168-1)*IF(Inputs!$B$38="pvp",15,MAX(0.1,Skills!D7-IF(Skills!E7=TRUE,Inputs!$B$32,0))))))/Skills!H7,1)))/Inputs!$B$43),G168*Q168))*IF(Inputs!$B$38="pvp",1,(1+(Inputs!$B$21+Skills!Q7+(IF(ArtifactsInput!$M$33,CHOOSE(ArtifactsInput!$N$33+1,30,36,42,48,54,60),0))+(IF(AND(ArtifactsInput!$M$35,Inputs!$B$4&lt;&gt;"Chapter Hunt"),CHOOSE(ArtifactsInput!$N$35+1,15,18,21,24,27,30)*(1-EXP(-(0.2*B195)*5)),0)+IF(AND(ArtifactsInput!$M$22,Inputs!$B$4&lt;&gt;"Chapter Hunt"),CHOOSE(ArtifactsInput!$N$22+1,10,12,14,16,18,20)*((0*(((0.15*B195*5))^0/1)+1*(((0.15*B195*5))^1/1)+2*(((0.15*B195*5))^2/2)+3*(((0.15*B195*5))^3/6)+4*(((0.15*B195*5))^4/24)+5*(((0.15*B195*5))^5/120))/((((0.15*B195*5))^0/1)+(((0.15*B195*5))^1/1)+(((0.15*B195*5))^2/2)+(((0.15*B195*5))^3/6)+(((0.15*B195*5))^4/24)+(((0.15*B195*5))^5/120))),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69">
      <c r="A169">
        <f>Skills!A8</f>
        <v/>
      </c>
      <c r="B169">
        <f>Skills!B8</f>
        <v/>
      </c>
      <c r="C169">
        <f>Inputs!$B$3&gt;=100</f>
        <v/>
      </c>
      <c r="D169">
        <f>IF(Skills!C8=1,60+Inputs!$B$25+Inputs!$B$29,IF(Skills!C8=2,90+Inputs!$B$26+Inputs!$B$29,IF(Skills!C8=3,120+Inputs!$B$27+Inputs!$B$29,MAX(0,(Inputs!$B$3-100)*3)+Inputs!$B$28+Inputs!$B$29)))</f>
        <v/>
      </c>
      <c r="E169">
        <f>INDEX(FactorTable!$B$2:$Y$301, MATCH(ROUND(MIN(300,MAX(1,D169)),0), FactorTable!$A$2:$A$301,0), Skills!M8+1)</f>
        <v/>
      </c>
      <c r="F169">
        <f>IF(Skills!N8=TRUE,(Skills!L8/10)*(E169/1000),Skills!L8/10)+Skills!O8</f>
        <v/>
      </c>
      <c r="G169" t="inlineStr"/>
      <c r="H169" t="inlineStr"/>
      <c r="I169" t="inlineStr">
        <is>
          <t>1</t>
        </is>
      </c>
      <c r="J169" t="inlineStr"/>
      <c r="K169" t="inlineStr"/>
      <c r="L169" t="inlineStr"/>
      <c r="M169" t="inlineStr"/>
      <c r="N169" t="inlineStr"/>
      <c r="O169" t="inlineStr"/>
      <c r="P169" t="inlineStr"/>
      <c r="Q169" t="inlineStr"/>
      <c r="R169" t="inlineStr"/>
      <c r="S169" t="inlineStr"/>
      <c r="T169" t="inlineStr"/>
      <c r="V169" t="inlineStr"/>
    </row>
    <row r="170">
      <c r="A170">
        <f>Skills!A9</f>
        <v/>
      </c>
      <c r="B170">
        <f>Skills!B9</f>
        <v/>
      </c>
      <c r="C170">
        <f>Inputs!$B$3&gt;=103</f>
        <v/>
      </c>
      <c r="D170">
        <f>IF(Skills!C9=1,60+Inputs!$B$25+Inputs!$B$29,IF(Skills!C9=2,90+Inputs!$B$26+Inputs!$B$29,IF(Skills!C9=3,120+Inputs!$B$27+Inputs!$B$29,MAX(0,(Inputs!$B$3-100)*3)+Inputs!$B$28+Inputs!$B$29)))</f>
        <v/>
      </c>
      <c r="E170">
        <f>INDEX(FactorTable!$B$2:$Y$301, MATCH(ROUND(MIN(300,MAX(1,D170)),0), FactorTable!$A$2:$A$301,0), Skills!M9+1)</f>
        <v/>
      </c>
      <c r="F170">
        <f>IF(Skills!N9=TRUE,(Skills!L9/10)*(E170/1000),Skills!L9/10)+Skills!O9</f>
        <v/>
      </c>
      <c r="G170">
        <f>Skills!G9*IF(Skills!H9&gt;0,Skills!I9/Skills!H9,1)</f>
        <v/>
      </c>
      <c r="H170">
        <f>1-(1-Skills!J9/100)^Skills!K9</f>
        <v/>
      </c>
      <c r="I170" t="inlineStr">
        <is>
          <t>1</t>
        </is>
      </c>
      <c r="J170">
        <f>((Inputs!$B$6*(1+Inputs!$B$7/100))+(((Inputs!$B$12*(1+Inputs!$B$13/100))-(Inputs!$B$12*(1+Inputs!$B$13/100)))+0.25*((Inputs!$B$14+1)-Inputs!$B$14))*(1+Inputs!$B$7/100))*(F170/100)</f>
        <v/>
      </c>
      <c r="K170">
        <f>J170*(1+((Inputs!$B$12*(1+Inputs!$B$13/100))*0.01+(Inputs!$B$14+1)*0.0025)/100)*(1+Inputs!$B$15/100)*(1+Inputs!$B$16/100)*(5000/(6000+Inputs!$B$42*(1-(100*(1-(1-(Inputs!$B$19+0)/100)*(1-CHOOSE(ArtifactsInput!$N$40+1,5,6,7,8,9,10)/100)^(ArtifactsInput!$M$40-ArtifactsInput!$M$40)))/100)))*(1+(Inputs!$B$24+((C185=TRUE)*(F185-Calc!F24))+((C186=TRUE)*(F186-Calc!F25))+B199)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EMPOWERED_PIERCING_ARROW",Inputs!$B$17+((C183=TRUE)*(F183-Calc!F22))+(((IF(AND(ArtifactsInput!$M$42,((Inputs!$B$9+((C180=TRUE)*(F180-Calc!F19))+B193+(ArtifactsInput!$M$24-ArtifactsInput!$M$24)*CHOOSE(ArtifactsInput!$N$24+1,10,12,14,16,18,20)+IF(ArtifactsInput!$M$10,CHOOSE(ArtifactsInput!$N$10+1,15,18,21,24,27,30)*(IF(Inputs!$B$38="pvp",MIN(15,15)/15,IF(AND(Inputs!$B$38&lt;&gt;"pvp",Inputs!$B$43&gt;0),MIN(15,Inputs!$B$43)/(Inputs!$B$43),0))),0)))&gt;=100),MIN(100,((Inputs!$B$9+((C180=TRUE)*(F180-Calc!F19))+B193+(ArtifactsInput!$M$24-ArtifactsInput!$M$24)*CHOOSE(ArtifactsInput!$N$24+1,10,12,14,16,18,20)+IF(ArtifactsInput!$M$10,CHOOSE(ArtifactsInput!$N$10+1,15,18,21,24,27,30)*(IF(Inputs!$B$38="pvp",MIN(15,15)/15,IF(AND(Inputs!$B$38&lt;&gt;"pvp",Inputs!$B$43&gt;0),MIN(15,Inputs!$B$43)/(Inputs!$B$43),0))),0)))-100),0))*CHOOSE(ArtifactsInput!$N$42+1,0.6,0.72,0.84,0.96,1.08,1.2))),Inputs!$B$18+((C188=TRUE)*(F188-Calc!F27))+(IF(AND(ArtifactsInput!$M$42,((Inputs!$B$9+((C180=TRUE)*(F180-Calc!F19))+B193+(ArtifactsInput!$M$24-ArtifactsInput!$M$24)*CHOOSE(ArtifactsInput!$N$24+1,10,12,14,16,18,20)+IF(ArtifactsInput!$M$10,CHOOSE(ArtifactsInput!$N$10+1,15,18,21,24,27,30)*(IF(Inputs!$B$38="pvp",MIN(15,15)/15,IF(AND(Inputs!$B$38&lt;&gt;"pvp",Inputs!$B$43&gt;0),MIN(15,Inputs!$B$43)/(Inputs!$B$43),0))),0)))&gt;=100),CHOOSE(ArtifactsInput!$N$42+1,40,48,56,64,72,80),0))))/100)*((1+(((C174=TRUE)*F174)+((C175=TRUE)*IF(Inputs!$B$38="pvp",F175,(1-Summary!$B$11)*(F175)+Summary!$B$11*(0)))+((C176=TRUE)*F176*IF(AND(Inputs!$B$38&lt;&gt;"pvp",Inputs!$B$43&gt;0),(((R176-1)*(Skills!T15*(1+Inputs!$B$34/100))+MIN((Skills!T15*(1+Inputs!$B$34/100)),MAX(0,Inputs!$B$43-((R176-1)*Skills!D15))))/Inputs!$B$43),IF(Inputs!$B$38="pvp",MIN((Skills!T15*(1+Inputs!$B$34/100)),15)/15,(Skills!T15*(1+Inputs!$B$34/100))/Skills!D15)))+((C173=TRUE)*F173)+((C190=TRUE)*(F190-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170)</f>
        <v/>
      </c>
      <c r="L170">
        <f>K170*(MIN(Inputs!$B$22+((C184=TRUE)*(F184-Calc!F23)),(Inputs!$B$23+((C189=TRUE)*(F189-Calc!F28))+(IF(ArtifactsInput!$M$15,CHOOSE(ArtifactsInput!$N$15+1,25,30,35,40,45,50)/100*(Inputs!$B$11-Inputs!$B$11),0))))/100+(Inputs!$B$23+((C189=TRUE)*(F189-Calc!F28))+(IF(ArtifactsInput!$M$15,CHOOSE(ArtifactsInput!$N$15+1,25,30,35,40,45,50)/100*(Inputs!$B$11-Inputs!$B$11),0)))/100)/2</f>
        <v/>
      </c>
      <c r="M170">
        <f>L170*(1+(Inputs!$B$10+0+B198+(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70">
        <f>L170*(1-MIN((Inputs!$B$9+((C180=TRUE)*(F180-Calc!F19))+B193+(ArtifactsInput!$M$24-ArtifactsInput!$M$24)*CHOOSE(ArtifactsInput!$N$24+1,10,12,14,16,18,20)+(IF(AND(ArtifactsInput!$M$42,((Inputs!$B$9+((C180=TRUE)*(F180-Calc!F19))+B193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170*(MIN((Inputs!$B$9+((C180=TRUE)*(F180-Calc!F19))+B193+(ArtifactsInput!$M$24-ArtifactsInput!$M$24)*CHOOSE(ArtifactsInput!$N$24+1,10,12,14,16,18,20)+(IF(AND(ArtifactsInput!$M$42,((Inputs!$B$9+((C180=TRUE)*(F180-Calc!F19))+B193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70">
        <f>(1-Summary!$B$11)*T170+Summary!$B$11*V170</f>
        <v/>
      </c>
      <c r="P170">
        <f>IF(B203=0,0,O170/B203)</f>
        <v/>
      </c>
      <c r="Q170">
        <f>IFERROR(1/IF(Inputs!$B$38="pvp",15,MAX(0.1,Skills!D9-IF(Skills!E9=TRUE,Inputs!$B$32,0))),0)</f>
        <v/>
      </c>
      <c r="R170">
        <f>IF(AND(Inputs!$B$38&lt;&gt;"pvp",Inputs!$B$43&gt;0),IF(MAX(0,Inputs!$B$43-B200)&lt;=0,0,(INT(MAX(0,Inputs!$B$43-B200)/IF(Inputs!$B$38="pvp",15,MAX(0.1,Skills!D9-IF(Skills!E9=TRUE,Inputs!$B$32,0))))+1)),0)</f>
        <v/>
      </c>
      <c r="S170">
        <f>IFERROR((H170*N170*IF(AND(Inputs!$B$38&lt;&gt;"pvp",Inputs!$B$43&gt;0),((Skills!G9*((R170-1)*IF(Skills!H9&gt;0,Skills!I9/Skills!H9,1)+IF(Skills!H9&gt;0,MIN(Skills!I9,MAX(0,MAX(0,Inputs!$B$43-B200)-((R170-1)*IF(Inputs!$B$38="pvp",15,MAX(0.1,Skills!D9-IF(Skills!E9=TRUE,Inputs!$B$32,0))))))/Skills!H9,1)))/Inputs!$B$43),G170*Q170))/N170*IF(Inputs!$B$38="pvp",1,(1-Summary!$B$11)*1+Summary!$B$11*(MIN(Skills!R9,Inputs!$B$37))),0)</f>
        <v/>
      </c>
      <c r="T170">
        <f>IF(C170,(H170*N170*IF(AND(Inputs!$B$38&lt;&gt;"pvp",Inputs!$B$43&gt;0),((Skills!G9*((R170-1)*IF(Skills!H9&gt;0,Skills!I9/Skills!H9,1)+IF(Skills!H9&gt;0,MIN(Skills!I9,MAX(0,MAX(0,Inputs!$B$43-B200)-((R170-1)*IF(Inputs!$B$38="pvp",15,MAX(0.1,Skills!D9-IF(Skills!E9=TRUE,Inputs!$B$32,0))))))/Skills!H9,1)))/Inputs!$B$43),G170*Q170))*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Hunt"),CHOOSE(ArtifactsInput!$N$35+1,15,18,21,24,27,30)*(1-EXP(-(0.2*B195)*5)),0)+IF(AND(ArtifactsInput!$M$22,Inputs!$B$4&lt;&gt;"Chapter Hunt"),CHOOSE(ArtifactsInput!$N$22+1,10,12,14,16,18,20)*((0*(((0.15*B195*5))^0/1)+1*(((0.15*B195*5))^1/1)+2*(((0.15*B195*5))^2/2)+3*(((0.15*B195*5))^3/6)+4*(((0.15*B195*5))^4/24)+5*(((0.15*B195*5))^5/120))/((((0.15*B195*5))^0/1)+(((0.15*B195*5))^1/1)+(((0.15*B195*5))^2/2)+(((0.15*B195*5))^3/6)+(((0.15*B195*5))^4/24)+(((0.15*B195*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170*(1-MIN(100,(Inputs!$B$9+((C180=TRUE)*(F180-Calc!F19))+B193+(ArtifactsInput!$M$24-ArtifactsInput!$M$24)*CHOOSE(ArtifactsInput!$N$24+1,10,12,14,16,18,20)+(IF(AND(ArtifactsInput!$M$42,((Inputs!$B$9+((C180=TRUE)*(F180-Calc!F19))+B193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170*(MIN(100,(Inputs!$B$9+((C180=TRUE)*(F180-Calc!F19))+B193+(ArtifactsInput!$M$24-ArtifactsInput!$M$24)*CHOOSE(ArtifactsInput!$N$24+1,10,12,14,16,18,20)+(IF(AND(ArtifactsInput!$M$42,((Inputs!$B$9+((C180=TRUE)*(F180-Calc!F19))+B193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170*(1-MIN(100,(Inputs!$B$9+((C180=TRUE)*(F180-Calc!F19))+B193+(ArtifactsInput!$M$24-ArtifactsInput!$M$24)*CHOOSE(ArtifactsInput!$N$24+1,10,12,14,16,18,20)+(IF(AND(ArtifactsInput!$M$42,((Inputs!$B$9+((C180=TRUE)*(F180-Calc!F19))+B193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170*(MIN(100,(Inputs!$B$9+((C180=TRUE)*(F180-Calc!F19))+B193+(ArtifactsInput!$M$24-ArtifactsInput!$M$24)*CHOOSE(ArtifactsInput!$N$24+1,10,12,14,16,18,20)+(IF(AND(ArtifactsInput!$M$42,((Inputs!$B$9+((C180=TRUE)*(F180-Calc!F19))+B193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70">
        <f>IF(C170,(H170*N170*IF(AND(Inputs!$B$38&lt;&gt;"pvp",Inputs!$B$43&gt;0),((Skills!G9*((R170-1)*IF(Skills!H9&gt;0,Skills!I9/Skills!H9,1)+IF(Skills!H9&gt;0,MIN(Skills!I9,MAX(0,MAX(0,Inputs!$B$43-B200)-((R170-1)*IF(Inputs!$B$38="pvp",15,MAX(0.1,Skills!D9-IF(Skills!E9=TRUE,Inputs!$B$32,0))))))/Skills!H9,1)))/Inputs!$B$43),G170*Q170))*IF(Inputs!$B$38="pvp",1,(1+(Inputs!$B$21+Skills!Q9+(IF(ArtifactsInput!$M$33,CHOOSE(ArtifactsInput!$N$33+1,30,36,42,48,54,60),0))+(IF(AND(ArtifactsInput!$M$35,Inputs!$B$4&lt;&gt;"Chapter Hunt"),CHOOSE(ArtifactsInput!$N$35+1,15,18,21,24,27,30)*(1-EXP(-(0.2*B195)*5)),0)+IF(AND(ArtifactsInput!$M$22,Inputs!$B$4&lt;&gt;"Chapter Hunt"),CHOOSE(ArtifactsInput!$N$22+1,10,12,14,16,18,20)*((0*(((0.15*B195*5))^0/1)+1*(((0.15*B195*5))^1/1)+2*(((0.15*B195*5))^2/2)+3*(((0.15*B195*5))^3/6)+4*(((0.15*B195*5))^4/24)+5*(((0.15*B195*5))^5/120))/((((0.15*B195*5))^0/1)+(((0.15*B195*5))^1/1)+(((0.15*B195*5))^2/2)+(((0.15*B195*5))^3/6)+(((0.15*B195*5))^4/24)+(((0.15*B195*5))^5/120)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71">
      <c r="A171">
        <f>Skills!A10</f>
        <v/>
      </c>
      <c r="B171">
        <f>Skills!B10</f>
        <v/>
      </c>
      <c r="C171">
        <f>Inputs!$B$3&gt;=107</f>
        <v/>
      </c>
      <c r="D171">
        <f>IF(Skills!C10=1,60+Inputs!$B$25+Inputs!$B$29,IF(Skills!C10=2,90+Inputs!$B$26+Inputs!$B$29,IF(Skills!C10=3,120+Inputs!$B$27+Inputs!$B$29,MAX(0,(Inputs!$B$3-100)*3)+Inputs!$B$28+Inputs!$B$29)))</f>
        <v/>
      </c>
      <c r="E171">
        <f>INDEX(FactorTable!$B$2:$Y$301, MATCH(ROUND(MIN(300,MAX(1,D171)),0), FactorTable!$A$2:$A$301,0), Skills!M10+1)</f>
        <v/>
      </c>
      <c r="F171">
        <f>IF(Skills!N10=TRUE,(Skills!L10/10)*(E171/1000),Skills!L10/10)+Skills!O10</f>
        <v/>
      </c>
      <c r="G171">
        <f>Skills!G10*IF(Skills!H10&gt;0,Skills!I10/Skills!H10,1)</f>
        <v/>
      </c>
      <c r="H171">
        <f>1-(1-Skills!J10/100)^Skills!K10</f>
        <v/>
      </c>
      <c r="I171" t="inlineStr">
        <is>
          <t>1</t>
        </is>
      </c>
      <c r="J171">
        <f>((Inputs!$B$6*(1+Inputs!$B$7/100))+(((Inputs!$B$12*(1+Inputs!$B$13/100))-(Inputs!$B$12*(1+Inputs!$B$13/100)))+0.25*((Inputs!$B$14+1)-Inputs!$B$14))*(1+Inputs!$B$7/100))*(F171/100)</f>
        <v/>
      </c>
      <c r="K171">
        <f>J171*(1+((Inputs!$B$12*(1+Inputs!$B$13/100))*0.01+(Inputs!$B$14+1)*0.0025)/100)*(1+Inputs!$B$15/100)*(1+Inputs!$B$16/100)*(5000/(6000+Inputs!$B$42*(1-(100*(1-(1-(Inputs!$B$19+0)/100)*(1-CHOOSE(ArtifactsInput!$N$40+1,5,6,7,8,9,10)/100)^(ArtifactsInput!$M$40-ArtifactsInput!$M$40)))/100)))*(1+(Inputs!$B$24+((C185=TRUE)*(F185-Calc!F24))+((C186=TRUE)*(F186-Calc!F25))+B199)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EMPOWERED_PIERCING_ARROW",Inputs!$B$17+((C183=TRUE)*(F183-Calc!F22))+(((IF(AND(ArtifactsInput!$M$42,((Inputs!$B$9+((C180=TRUE)*(F180-Calc!F19))+B193+(ArtifactsInput!$M$24-ArtifactsInput!$M$24)*CHOOSE(ArtifactsInput!$N$24+1,10,12,14,16,18,20)+IF(ArtifactsInput!$M$10,CHOOSE(ArtifactsInput!$N$10+1,15,18,21,24,27,30)*(IF(Inputs!$B$38="pvp",MIN(15,15)/15,IF(AND(Inputs!$B$38&lt;&gt;"pvp",Inputs!$B$43&gt;0),MIN(15,Inputs!$B$43)/(Inputs!$B$43),0))),0)))&gt;=100),MIN(100,((Inputs!$B$9+((C180=TRUE)*(F180-Calc!F19))+B193+(ArtifactsInput!$M$24-ArtifactsInput!$M$24)*CHOOSE(ArtifactsInput!$N$24+1,10,12,14,16,18,20)+IF(ArtifactsInput!$M$10,CHOOSE(ArtifactsInput!$N$10+1,15,18,21,24,27,30)*(IF(Inputs!$B$38="pvp",MIN(15,15)/15,IF(AND(Inputs!$B$38&lt;&gt;"pvp",Inputs!$B$43&gt;0),MIN(15,Inputs!$B$43)/(Inputs!$B$43),0))),0)))-100),0))*CHOOSE(ArtifactsInput!$N$42+1,0.6,0.72,0.84,0.96,1.08,1.2))),Inputs!$B$18+((C188=TRUE)*(F188-Calc!F27))+(IF(AND(ArtifactsInput!$M$42,((Inputs!$B$9+((C180=TRUE)*(F180-Calc!F19))+B193+(ArtifactsInput!$M$24-ArtifactsInput!$M$24)*CHOOSE(ArtifactsInput!$N$24+1,10,12,14,16,18,20)+IF(ArtifactsInput!$M$10,CHOOSE(ArtifactsInput!$N$10+1,15,18,21,24,27,30)*(IF(Inputs!$B$38="pvp",MIN(15,15)/15,IF(AND(Inputs!$B$38&lt;&gt;"pvp",Inputs!$B$43&gt;0),MIN(15,Inputs!$B$43)/(Inputs!$B$43),0))),0)))&gt;=100),CHOOSE(ArtifactsInput!$N$42+1,40,48,56,64,72,80),0))))/100)*((1+(((C174=TRUE)*F174)+((C175=TRUE)*IF(Inputs!$B$38="pvp",F175,(1-Summary!$B$11)*(F175)+Summary!$B$11*(0)))+((C176=TRUE)*F176*IF(AND(Inputs!$B$38&lt;&gt;"pvp",Inputs!$B$43&gt;0),(((R176-1)*(Skills!T15*(1+Inputs!$B$34/100))+MIN((Skills!T15*(1+Inputs!$B$34/100)),MAX(0,Inputs!$B$43-((R176-1)*Skills!D15))))/Inputs!$B$43),IF(Inputs!$B$38="pvp",MIN((Skills!T15*(1+Inputs!$B$34/100)),15)/15,(Skills!T15*(1+Inputs!$B$34/100))/Skills!D15)))+((C173=TRUE)*F173)+((C190=TRUE)*(F190-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171)</f>
        <v/>
      </c>
      <c r="L171">
        <f>K171*(MIN(Inputs!$B$22+((C184=TRUE)*(F184-Calc!F23)),(Inputs!$B$23+((C189=TRUE)*(F189-Calc!F28))+(IF(ArtifactsInput!$M$15,CHOOSE(ArtifactsInput!$N$15+1,25,30,35,40,45,50)/100*(Inputs!$B$11-Inputs!$B$11),0))))/100+(Inputs!$B$23+((C189=TRUE)*(F189-Calc!F28))+(IF(ArtifactsInput!$M$15,CHOOSE(ArtifactsInput!$N$15+1,25,30,35,40,45,50)/100*(Inputs!$B$11-Inputs!$B$11),0)))/100)/2</f>
        <v/>
      </c>
      <c r="M171">
        <f>L171*(1+(Inputs!$B$10+0+B198+(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71">
        <f>L171*(1-MIN((Inputs!$B$9+((C180=TRUE)*(F180-Calc!F19))+B193+(ArtifactsInput!$M$24-ArtifactsInput!$M$24)*CHOOSE(ArtifactsInput!$N$24+1,10,12,14,16,18,20)+(IF(AND(ArtifactsInput!$M$42,((Inputs!$B$9+((C180=TRUE)*(F180-Calc!F19))+B193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171*(MIN((Inputs!$B$9+((C180=TRUE)*(F180-Calc!F19))+B193+(ArtifactsInput!$M$24-ArtifactsInput!$M$24)*CHOOSE(ArtifactsInput!$N$24+1,10,12,14,16,18,20)+(IF(AND(ArtifactsInput!$M$42,((Inputs!$B$9+((C180=TRUE)*(F180-Calc!F19))+B193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71">
        <f>(1-Summary!$B$11)*T171+Summary!$B$11*V171</f>
        <v/>
      </c>
      <c r="P171">
        <f>IF(B203=0,0,O171/B203)</f>
        <v/>
      </c>
      <c r="Q171" t="n">
        <v>0</v>
      </c>
      <c r="R171" t="n">
        <v>0</v>
      </c>
      <c r="S171" t="n">
        <v>0</v>
      </c>
      <c r="T171">
        <f>IF(C171,(0.15*SUMPRODUCT((Skills!U2:U29=TRUE)*(C163:C190=TRUE)*S163:S190)*Skills!G10*N171)*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Hunt"),CHOOSE(ArtifactsInput!$N$35+1,15,18,21,24,27,30)*(1-EXP(-(0.2*B195)*5)),0)+IF(AND(ArtifactsInput!$M$22,Inputs!$B$4&lt;&gt;"Chapter Hunt"),CHOOSE(ArtifactsInput!$N$22+1,10,12,14,16,18,20)*((0*(((0.15*B195*5))^0/1)+1*(((0.15*B195*5))^1/1)+2*(((0.15*B195*5))^2/2)+3*(((0.15*B195*5))^3/6)+4*(((0.15*B195*5))^4/24)+5*(((0.15*B195*5))^5/120))/((((0.15*B195*5))^0/1)+(((0.15*B195*5))^1/1)+(((0.15*B195*5))^2/2)+(((0.15*B195*5))^3/6)+(((0.15*B195*5))^4/24)+(((0.15*B195*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171*(1-MIN(100,(Inputs!$B$9+((C180=TRUE)*(F180-Calc!F19))+B193+(ArtifactsInput!$M$24-ArtifactsInput!$M$24)*CHOOSE(ArtifactsInput!$N$24+1,10,12,14,16,18,20)+(IF(AND(ArtifactsInput!$M$42,((Inputs!$B$9+((C180=TRUE)*(F180-Calc!F19))+B193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171*(MIN(100,(Inputs!$B$9+((C180=TRUE)*(F180-Calc!F19))+B193+(ArtifactsInput!$M$24-ArtifactsInput!$M$24)*CHOOSE(ArtifactsInput!$N$24+1,10,12,14,16,18,20)+(IF(AND(ArtifactsInput!$M$42,((Inputs!$B$9+((C180=TRUE)*(F180-Calc!F19))+B193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171*(1-MIN(100,(Inputs!$B$9+((C180=TRUE)*(F180-Calc!F19))+B193+(ArtifactsInput!$M$24-ArtifactsInput!$M$24)*CHOOSE(ArtifactsInput!$N$24+1,10,12,14,16,18,20)+(IF(AND(ArtifactsInput!$M$42,((Inputs!$B$9+((C180=TRUE)*(F180-Calc!F19))+B193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171*(MIN(100,(Inputs!$B$9+((C180=TRUE)*(F180-Calc!F19))+B193+(ArtifactsInput!$M$24-ArtifactsInput!$M$24)*CHOOSE(ArtifactsInput!$N$24+1,10,12,14,16,18,20)+(IF(AND(ArtifactsInput!$M$42,((Inputs!$B$9+((C180=TRUE)*(F180-Calc!F19))+B193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71">
        <f>IF(C171,(0.15*SUMPRODUCT((Skills!U2:U29=TRUE)*(C163:C190=TRUE)*S163:S190)*Skills!G10*N171)*IF(Inputs!$B$38="pvp",1,(1+(Inputs!$B$21+Skills!Q10+(IF(ArtifactsInput!$M$33,CHOOSE(ArtifactsInput!$N$33+1,30,36,42,48,54,60),0))+(IF(AND(ArtifactsInput!$M$35,Inputs!$B$4&lt;&gt;"Chapter Hunt"),CHOOSE(ArtifactsInput!$N$35+1,15,18,21,24,27,30)*(1-EXP(-(0.2*B195)*5)),0)+IF(AND(ArtifactsInput!$M$22,Inputs!$B$4&lt;&gt;"Chapter Hunt"),CHOOSE(ArtifactsInput!$N$22+1,10,12,14,16,18,20)*((0*(((0.15*B195*5))^0/1)+1*(((0.15*B195*5))^1/1)+2*(((0.15*B195*5))^2/2)+3*(((0.15*B195*5))^3/6)+4*(((0.15*B195*5))^4/24)+5*(((0.15*B195*5))^5/120))/((((0.15*B195*5))^0/1)+(((0.15*B195*5))^1/1)+(((0.15*B195*5))^2/2)+(((0.15*B195*5))^3/6)+(((0.15*B195*5))^4/24)+(((0.15*B195*5))^5/120)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72">
      <c r="A172">
        <f>Skills!A11</f>
        <v/>
      </c>
      <c r="B172">
        <f>Skills!B11</f>
        <v/>
      </c>
      <c r="C172">
        <f>Inputs!$B$3&gt;=110</f>
        <v/>
      </c>
      <c r="D172">
        <f>IF(Skills!C11=1,60+Inputs!$B$25+Inputs!$B$29,IF(Skills!C11=2,90+Inputs!$B$26+Inputs!$B$29,IF(Skills!C11=3,120+Inputs!$B$27+Inputs!$B$29,MAX(0,(Inputs!$B$3-100)*3)+Inputs!$B$28+Inputs!$B$29)))</f>
        <v/>
      </c>
      <c r="E172">
        <f>INDEX(FactorTable!$B$2:$Y$301, MATCH(ROUND(MIN(300,MAX(1,D172)),0), FactorTable!$A$2:$A$301,0), Skills!M11+1)</f>
        <v/>
      </c>
      <c r="F172">
        <f>IF(Skills!N11=TRUE,(Skills!L11/10)*(E172/1000),Skills!L11/10)+Skills!O11</f>
        <v/>
      </c>
      <c r="G172">
        <f>Skills!G11*IF(Skills!H11&gt;0,Skills!I11/Skills!H11,1)</f>
        <v/>
      </c>
      <c r="H172">
        <f>1-(1-Skills!J11/100)^Skills!K11</f>
        <v/>
      </c>
      <c r="I172" t="inlineStr">
        <is>
          <t>1</t>
        </is>
      </c>
      <c r="J172">
        <f>((Inputs!$B$6*(1+Inputs!$B$7/100))+(((Inputs!$B$12*(1+Inputs!$B$13/100))-(Inputs!$B$12*(1+Inputs!$B$13/100)))+0.25*((Inputs!$B$14+1)-Inputs!$B$14))*(1+Inputs!$B$7/100))*(F172/100)</f>
        <v/>
      </c>
      <c r="K172">
        <f>J172*(1+((Inputs!$B$12*(1+Inputs!$B$13/100))*0.01+(Inputs!$B$14+1)*0.0025)/100)*(1+Inputs!$B$15/100)*(1+Inputs!$B$16/100)*(5000/(6000+Inputs!$B$42*(1-(100*(1-(1-(Inputs!$B$19+0)/100)*(1-CHOOSE(ArtifactsInput!$N$40+1,5,6,7,8,9,10)/100)^(ArtifactsInput!$M$40-ArtifactsInput!$M$40)))/100)))*(1+(Inputs!$B$24+((C185=TRUE)*(F185-Calc!F24))+((C186=TRUE)*(F186-Calc!F25))+B199)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11="EMPOWERED_PIERCING_ARROW",Inputs!$B$17+((C183=TRUE)*(F183-Calc!F22))+(((IF(AND(ArtifactsInput!$M$42,((Inputs!$B$9+((C180=TRUE)*(F180-Calc!F19))+B193+(ArtifactsInput!$M$24-ArtifactsInput!$M$24)*CHOOSE(ArtifactsInput!$N$24+1,10,12,14,16,18,20)+IF(ArtifactsInput!$M$10,CHOOSE(ArtifactsInput!$N$10+1,15,18,21,24,27,30)*(IF(Inputs!$B$38="pvp",MIN(15,15)/15,IF(AND(Inputs!$B$38&lt;&gt;"pvp",Inputs!$B$43&gt;0),MIN(15,Inputs!$B$43)/(Inputs!$B$43),0))),0)))&gt;=100),MIN(100,((Inputs!$B$9+((C180=TRUE)*(F180-Calc!F19))+B193+(ArtifactsInput!$M$24-ArtifactsInput!$M$24)*CHOOSE(ArtifactsInput!$N$24+1,10,12,14,16,18,20)+IF(ArtifactsInput!$M$10,CHOOSE(ArtifactsInput!$N$10+1,15,18,21,24,27,30)*(IF(Inputs!$B$38="pvp",MIN(15,15)/15,IF(AND(Inputs!$B$38&lt;&gt;"pvp",Inputs!$B$43&gt;0),MIN(15,Inputs!$B$43)/(Inputs!$B$43),0))),0)))-100),0))*CHOOSE(ArtifactsInput!$N$42+1,0.6,0.72,0.84,0.96,1.08,1.2))),Inputs!$B$18+((C188=TRUE)*(F188-Calc!F27))+(IF(AND(ArtifactsInput!$M$42,((Inputs!$B$9+((C180=TRUE)*(F180-Calc!F19))+B193+(ArtifactsInput!$M$24-ArtifactsInput!$M$24)*CHOOSE(ArtifactsInput!$N$24+1,10,12,14,16,18,20)+IF(ArtifactsInput!$M$10,CHOOSE(ArtifactsInput!$N$10+1,15,18,21,24,27,30)*(IF(Inputs!$B$38="pvp",MIN(15,15)/15,IF(AND(Inputs!$B$38&lt;&gt;"pvp",Inputs!$B$43&gt;0),MIN(15,Inputs!$B$43)/(Inputs!$B$43),0))),0)))&gt;=100),CHOOSE(ArtifactsInput!$N$42+1,40,48,56,64,72,80),0))))/100)*((1+(((C174=TRUE)*F174)+((C175=TRUE)*IF(Inputs!$B$38="pvp",F175,(1-Summary!$B$11)*(F175)+Summary!$B$11*(0)))+((C176=TRUE)*F176*IF(AND(Inputs!$B$38&lt;&gt;"pvp",Inputs!$B$43&gt;0),(((R176-1)*(Skills!T15*(1+Inputs!$B$34/100))+MIN((Skills!T15*(1+Inputs!$B$34/100)),MAX(0,Inputs!$B$43-((R176-1)*Skills!D15))))/Inputs!$B$43),IF(Inputs!$B$38="pvp",MIN((Skills!T15*(1+Inputs!$B$34/100)),15)/15,(Skills!T15*(1+Inputs!$B$34/100))/Skills!D15)))+((C173=TRUE)*F173)+((C190=TRUE)*(F190-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172)</f>
        <v/>
      </c>
      <c r="L172">
        <f>K172*(MIN(Inputs!$B$22+((C184=TRUE)*(F184-Calc!F23)),(Inputs!$B$23+((C189=TRUE)*(F189-Calc!F28))+(IF(ArtifactsInput!$M$15,CHOOSE(ArtifactsInput!$N$15+1,25,30,35,40,45,50)/100*(Inputs!$B$11-Inputs!$B$11),0))))/100+(Inputs!$B$23+((C189=TRUE)*(F189-Calc!F28))+(IF(ArtifactsInput!$M$15,CHOOSE(ArtifactsInput!$N$15+1,25,30,35,40,45,50)/100*(Inputs!$B$11-Inputs!$B$11),0)))/100)/2</f>
        <v/>
      </c>
      <c r="M172">
        <f>L172*(1+(Inputs!$B$10+0+B198+(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72">
        <f>L172*(1-MIN((Inputs!$B$9+((C180=TRUE)*(F180-Calc!F19))+B193+(ArtifactsInput!$M$24-ArtifactsInput!$M$24)*CHOOSE(ArtifactsInput!$N$24+1,10,12,14,16,18,20)+(IF(AND(ArtifactsInput!$M$42,((Inputs!$B$9+((C180=TRUE)*(F180-Calc!F19))+B193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172*(MIN((Inputs!$B$9+((C180=TRUE)*(F180-Calc!F19))+B193+(ArtifactsInput!$M$24-ArtifactsInput!$M$24)*CHOOSE(ArtifactsInput!$N$24+1,10,12,14,16,18,20)+(IF(AND(ArtifactsInput!$M$42,((Inputs!$B$9+((C180=TRUE)*(F180-Calc!F19))+B193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72">
        <f>(1-Summary!$B$11)*T172+Summary!$B$11*V172</f>
        <v/>
      </c>
      <c r="P172">
        <f>IF(B203=0,0,O172/B203)</f>
        <v/>
      </c>
      <c r="Q172">
        <f>IFERROR(1/IF(Inputs!$B$38="pvp",15,MAX(0.1,Skills!D11-IF(Skills!E11=TRUE,Inputs!$B$32,0))),0)</f>
        <v/>
      </c>
      <c r="R172">
        <f>IF(AND(Inputs!$B$38&lt;&gt;"pvp",Inputs!$B$43&gt;0),IF(MAX(0,Inputs!$B$43-B200)&lt;=0,0,(INT(MAX(0,Inputs!$B$43-B200)/IF(Inputs!$B$38="pvp",15,MAX(0.1,Skills!D11-IF(Skills!E11=TRUE,Inputs!$B$32,0))))+1)),0)</f>
        <v/>
      </c>
      <c r="S172">
        <f>IFERROR((H172*N172*IF(AND(Inputs!$B$38&lt;&gt;"pvp",Inputs!$B$43&gt;0),((Skills!G11*((R172-1)*IF(Skills!H11&gt;0,Skills!I11/Skills!H11,1)+IF(Skills!H11&gt;0,MIN(Skills!I11,MAX(0,MAX(0,Inputs!$B$43-B200)-((R172-1)*IF(Inputs!$B$38="pvp",15,MAX(0.1,Skills!D11-IF(Skills!E11=TRUE,Inputs!$B$32,0))))))/Skills!H11,1)))/Inputs!$B$43),G172*Q172))/N172*IF(Inputs!$B$38="pvp",1,(1-Summary!$B$11)*1+Summary!$B$11*(MIN(Skills!R11,Inputs!$B$37))),0)</f>
        <v/>
      </c>
      <c r="T172">
        <f>IF(C172,(H172*N172*IF(AND(Inputs!$B$38&lt;&gt;"pvp",Inputs!$B$43&gt;0),((Skills!G11*((R172-1)*IF(Skills!H11&gt;0,Skills!I11/Skills!H11,1)+IF(Skills!H11&gt;0,MIN(Skills!I11,MAX(0,MAX(0,Inputs!$B$43-B200)-((R172-1)*IF(Inputs!$B$38="pvp",15,MAX(0.1,Skills!D11-IF(Skills!E11=TRUE,Inputs!$B$32,0))))))/Skills!H11,1)))/Inputs!$B$43),G172*Q172))*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Hunt"),CHOOSE(ArtifactsInput!$N$35+1,15,18,21,24,27,30)*(1-EXP(-(0.2*B195)*5)),0)+IF(AND(ArtifactsInput!$M$22,Inputs!$B$4&lt;&gt;"Chapter Hunt"),CHOOSE(ArtifactsInput!$N$22+1,10,12,14,16,18,20)*((0*(((0.15*B195*5))^0/1)+1*(((0.15*B195*5))^1/1)+2*(((0.15*B195*5))^2/2)+3*(((0.15*B195*5))^3/6)+4*(((0.15*B195*5))^4/24)+5*(((0.15*B195*5))^5/120))/((((0.15*B195*5))^0/1)+(((0.15*B195*5))^1/1)+(((0.15*B195*5))^2/2)+(((0.15*B195*5))^3/6)+(((0.15*B195*5))^4/24)+(((0.15*B195*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172*(1-MIN(100,(Inputs!$B$9+((C180=TRUE)*(F180-Calc!F19))+B193+(ArtifactsInput!$M$24-ArtifactsInput!$M$24)*CHOOSE(ArtifactsInput!$N$24+1,10,12,14,16,18,20)+(IF(AND(ArtifactsInput!$M$42,((Inputs!$B$9+((C180=TRUE)*(F180-Calc!F19))+B193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172*(MIN(100,(Inputs!$B$9+((C180=TRUE)*(F180-Calc!F19))+B193+(ArtifactsInput!$M$24-ArtifactsInput!$M$24)*CHOOSE(ArtifactsInput!$N$24+1,10,12,14,16,18,20)+(IF(AND(ArtifactsInput!$M$42,((Inputs!$B$9+((C180=TRUE)*(F180-Calc!F19))+B193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172*(1-MIN(100,(Inputs!$B$9+((C180=TRUE)*(F180-Calc!F19))+B193+(ArtifactsInput!$M$24-ArtifactsInput!$M$24)*CHOOSE(ArtifactsInput!$N$24+1,10,12,14,16,18,20)+(IF(AND(ArtifactsInput!$M$42,((Inputs!$B$9+((C180=TRUE)*(F180-Calc!F19))+B193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172*(MIN(100,(Inputs!$B$9+((C180=TRUE)*(F180-Calc!F19))+B193+(ArtifactsInput!$M$24-ArtifactsInput!$M$24)*CHOOSE(ArtifactsInput!$N$24+1,10,12,14,16,18,20)+(IF(AND(ArtifactsInput!$M$42,((Inputs!$B$9+((C180=TRUE)*(F180-Calc!F19))+B193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72">
        <f>IF(C172,(H172*N172*IF(AND(Inputs!$B$38&lt;&gt;"pvp",Inputs!$B$43&gt;0),((Skills!G11*((R172-1)*IF(Skills!H11&gt;0,Skills!I11/Skills!H11,1)+IF(Skills!H11&gt;0,MIN(Skills!I11,MAX(0,MAX(0,Inputs!$B$43-B200)-((R172-1)*IF(Inputs!$B$38="pvp",15,MAX(0.1,Skills!D11-IF(Skills!E11=TRUE,Inputs!$B$32,0))))))/Skills!H11,1)))/Inputs!$B$43),G172*Q172))*IF(Inputs!$B$38="pvp",1,(1+(Inputs!$B$21+Skills!Q11+(IF(ArtifactsInput!$M$33,CHOOSE(ArtifactsInput!$N$33+1,30,36,42,48,54,60),0))+(IF(AND(ArtifactsInput!$M$35,Inputs!$B$4&lt;&gt;"Chapter Hunt"),CHOOSE(ArtifactsInput!$N$35+1,15,18,21,24,27,30)*(1-EXP(-(0.2*B195)*5)),0)+IF(AND(ArtifactsInput!$M$22,Inputs!$B$4&lt;&gt;"Chapter Hunt"),CHOOSE(ArtifactsInput!$N$22+1,10,12,14,16,18,20)*((0*(((0.15*B195*5))^0/1)+1*(((0.15*B195*5))^1/1)+2*(((0.15*B195*5))^2/2)+3*(((0.15*B195*5))^3/6)+4*(((0.15*B195*5))^4/24)+5*(((0.15*B195*5))^5/120))/((((0.15*B195*5))^0/1)+(((0.15*B195*5))^1/1)+(((0.15*B195*5))^2/2)+(((0.15*B195*5))^3/6)+(((0.15*B195*5))^4/24)+(((0.15*B195*5))^5/120))),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73">
      <c r="A173">
        <f>Skills!A12</f>
        <v/>
      </c>
      <c r="B173">
        <f>Skills!B12</f>
        <v/>
      </c>
      <c r="C173">
        <f>Inputs!$B$3&gt;=60</f>
        <v/>
      </c>
      <c r="D173">
        <f>IF(Skills!C12=1,60+Inputs!$B$25+Inputs!$B$29,IF(Skills!C12=2,90+Inputs!$B$26+Inputs!$B$29,IF(Skills!C12=3,120+Inputs!$B$27+Inputs!$B$29,MAX(0,(Inputs!$B$3-100)*3)+Inputs!$B$28+Inputs!$B$29)))</f>
        <v/>
      </c>
      <c r="E173">
        <f>INDEX(FactorTable!$B$2:$Y$301, MATCH(ROUND(MIN(300,MAX(1,D173)),0), FactorTable!$A$2:$A$301,0), Skills!M12+1)</f>
        <v/>
      </c>
      <c r="F173">
        <f>IF(Skills!N12=TRUE,(Skills!L12/10)*(E173/1000),Skills!L12/10)+Skills!O12</f>
        <v/>
      </c>
      <c r="G173">
        <f>Skills!G12*IF(Skills!H12&gt;0,Skills!I12/Skills!H12,1)</f>
        <v/>
      </c>
      <c r="H173">
        <f>1-(1-Skills!J12/100)^Skills!K12</f>
        <v/>
      </c>
      <c r="I173" t="inlineStr">
        <is>
          <t>1</t>
        </is>
      </c>
      <c r="J173" t="inlineStr"/>
      <c r="K173" t="inlineStr"/>
      <c r="L173" t="inlineStr"/>
      <c r="M173" t="inlineStr"/>
      <c r="N173" t="inlineStr"/>
      <c r="O173">
        <f>(1-Summary!$B$11)*T173+Summary!$B$11*V173</f>
        <v/>
      </c>
      <c r="P173">
        <f>IF(B203=0,0,O173/B203)</f>
        <v/>
      </c>
      <c r="Q173" t="n">
        <v>0</v>
      </c>
      <c r="R173" t="n">
        <v>0</v>
      </c>
      <c r="S173" t="n">
        <v>0</v>
      </c>
      <c r="T173" t="n">
        <v>0</v>
      </c>
      <c r="V173" t="n">
        <v>0</v>
      </c>
    </row>
    <row r="174">
      <c r="A174">
        <f>Skills!A13</f>
        <v/>
      </c>
      <c r="B174">
        <f>Skills!B13</f>
        <v/>
      </c>
      <c r="C174">
        <f>Inputs!$B$3&gt;=74</f>
        <v/>
      </c>
      <c r="D174">
        <f>IF(Skills!C13=1,60+Inputs!$B$25+Inputs!$B$29,IF(Skills!C13=2,90+Inputs!$B$26+Inputs!$B$29,IF(Skills!C13=3,120+Inputs!$B$27+Inputs!$B$29,MAX(0,(Inputs!$B$3-100)*3)+Inputs!$B$28+Inputs!$B$29)))</f>
        <v/>
      </c>
      <c r="E174">
        <f>INDEX(FactorTable!$B$2:$Y$301, MATCH(ROUND(MIN(300,MAX(1,D174)),0), FactorTable!$A$2:$A$301,0), Skills!M13+1)</f>
        <v/>
      </c>
      <c r="F174">
        <f>IF(Skills!N13=TRUE,(Skills!L13/10)*(E174/1000),Skills!L13/10)+Skills!O13</f>
        <v/>
      </c>
      <c r="G174">
        <f>Skills!G13*IF(Skills!H13&gt;0,Skills!I13/Skills!H13,1)</f>
        <v/>
      </c>
      <c r="H174">
        <f>1-(1-Skills!J13/100)^Skills!K13</f>
        <v/>
      </c>
      <c r="I174" t="inlineStr">
        <is>
          <t>1</t>
        </is>
      </c>
      <c r="J174" t="inlineStr"/>
      <c r="K174" t="inlineStr"/>
      <c r="L174" t="inlineStr"/>
      <c r="M174" t="inlineStr"/>
      <c r="N174" t="inlineStr"/>
      <c r="O174">
        <f>(1-Summary!$B$11)*T174+Summary!$B$11*V174</f>
        <v/>
      </c>
      <c r="P174">
        <f>IF(B203=0,0,O174/B203)</f>
        <v/>
      </c>
      <c r="Q174" t="n">
        <v>0</v>
      </c>
      <c r="R174" t="n">
        <v>0</v>
      </c>
      <c r="S174" t="n">
        <v>0</v>
      </c>
      <c r="T174" t="n">
        <v>0</v>
      </c>
      <c r="V174" t="n">
        <v>0</v>
      </c>
    </row>
    <row r="175">
      <c r="A175">
        <f>Skills!A14</f>
        <v/>
      </c>
      <c r="B175">
        <f>Skills!B14</f>
        <v/>
      </c>
      <c r="C175">
        <f>Inputs!$B$3&gt;=74</f>
        <v/>
      </c>
      <c r="D175">
        <f>IF(Skills!C14=1,60+Inputs!$B$25+Inputs!$B$29,IF(Skills!C14=2,90+Inputs!$B$26+Inputs!$B$29,IF(Skills!C14=3,120+Inputs!$B$27+Inputs!$B$29,MAX(0,(Inputs!$B$3-100)*3)+Inputs!$B$28+Inputs!$B$29)))</f>
        <v/>
      </c>
      <c r="E175">
        <f>INDEX(FactorTable!$B$2:$Y$301, MATCH(ROUND(MIN(300,MAX(1,D175)),0), FactorTable!$A$2:$A$301,0), Skills!M14+1)</f>
        <v/>
      </c>
      <c r="F175">
        <f>IF(Skills!N14=TRUE,(Skills!L14/10)*(E175/1000),Skills!L14/10)+Skills!O14</f>
        <v/>
      </c>
      <c r="G175">
        <f>Skills!G14*IF(Skills!H14&gt;0,Skills!I14/Skills!H14,1)</f>
        <v/>
      </c>
      <c r="H175">
        <f>1-(1-Skills!J14/100)^Skills!K14</f>
        <v/>
      </c>
      <c r="I175" t="inlineStr">
        <is>
          <t>1</t>
        </is>
      </c>
      <c r="J175" t="inlineStr"/>
      <c r="K175" t="inlineStr"/>
      <c r="L175" t="inlineStr"/>
      <c r="M175" t="inlineStr"/>
      <c r="N175" t="inlineStr"/>
      <c r="O175">
        <f>(1-Summary!$B$11)*T175+Summary!$B$11*V175</f>
        <v/>
      </c>
      <c r="P175">
        <f>IF(B203=0,0,O175/B203)</f>
        <v/>
      </c>
      <c r="Q175" t="n">
        <v>0</v>
      </c>
      <c r="R175" t="n">
        <v>0</v>
      </c>
      <c r="S175" t="n">
        <v>0</v>
      </c>
      <c r="T175" t="n">
        <v>0</v>
      </c>
      <c r="V175" t="n">
        <v>0</v>
      </c>
    </row>
    <row r="176">
      <c r="A176">
        <f>Skills!A15</f>
        <v/>
      </c>
      <c r="B176">
        <f>Skills!B15</f>
        <v/>
      </c>
      <c r="C176">
        <f>Inputs!$B$3&gt;=117</f>
        <v/>
      </c>
      <c r="D176">
        <f>IF(Skills!C15=1,60+Inputs!$B$25+Inputs!$B$29,IF(Skills!C15=2,90+Inputs!$B$26+Inputs!$B$29,IF(Skills!C15=3,120+Inputs!$B$27+Inputs!$B$29,MAX(0,(Inputs!$B$3-100)*3)+Inputs!$B$28+Inputs!$B$29)))</f>
        <v/>
      </c>
      <c r="E176">
        <f>INDEX(FactorTable!$B$2:$Y$301, MATCH(ROUND(MIN(300,MAX(1,D176)),0), FactorTable!$A$2:$A$301,0), Skills!M15+1)</f>
        <v/>
      </c>
      <c r="F176">
        <f>IF(Skills!N15=TRUE,(Skills!L15/10)*(E176/1000),Skills!L15/10)+Skills!O15</f>
        <v/>
      </c>
      <c r="G176">
        <f>Skills!G15*IF(Skills!H15&gt;0,Skills!I15/Skills!H15,1)</f>
        <v/>
      </c>
      <c r="H176">
        <f>1-(1-Skills!J15/100)^Skills!K15</f>
        <v/>
      </c>
      <c r="I176" t="inlineStr">
        <is>
          <t>1</t>
        </is>
      </c>
      <c r="J176" t="inlineStr"/>
      <c r="K176" t="inlineStr"/>
      <c r="L176" t="inlineStr"/>
      <c r="M176" t="inlineStr"/>
      <c r="N176" t="inlineStr"/>
      <c r="O176">
        <f>(1-Summary!$B$11)*T176+Summary!$B$11*V176</f>
        <v/>
      </c>
      <c r="P176">
        <f>IF(B203=0,0,O176/B203)</f>
        <v/>
      </c>
      <c r="Q176">
        <f>IFERROR(1/IF(Inputs!$B$38="pvp",15,MAX(0.1,Skills!D15-IF(Skills!E15=TRUE,Inputs!$B$32,0))),0)</f>
        <v/>
      </c>
      <c r="R176">
        <f>IF(AND(Inputs!$B$38&lt;&gt;"pvp",Inputs!$B$43&gt;0),IF(Inputs!$B$43&lt;=0,0,(INT(Inputs!$B$43/IF(Inputs!$B$38="pvp",15,MAX(0.1,Skills!D15-IF(Skills!E15=TRUE,Inputs!$B$32,0))))+1)),0)</f>
        <v/>
      </c>
      <c r="S176" t="n">
        <v>0</v>
      </c>
      <c r="T176" t="n">
        <v>0</v>
      </c>
      <c r="V176" t="n">
        <v>0</v>
      </c>
    </row>
    <row r="177">
      <c r="A177">
        <f>Skills!A16</f>
        <v/>
      </c>
      <c r="B177">
        <f>Skills!B16</f>
        <v/>
      </c>
      <c r="C177">
        <f>Inputs!$B$3&gt;=115</f>
        <v/>
      </c>
      <c r="D177">
        <f>IF(Skills!C16=1,60+Inputs!$B$25+Inputs!$B$29,IF(Skills!C16=2,90+Inputs!$B$26+Inputs!$B$29,IF(Skills!C16=3,120+Inputs!$B$27+Inputs!$B$29,MAX(0,(Inputs!$B$3-100)*3)+Inputs!$B$28+Inputs!$B$29)))</f>
        <v/>
      </c>
      <c r="E177">
        <f>INDEX(FactorTable!$B$2:$Y$301, MATCH(ROUND(MIN(300,MAX(1,D177)),0), FactorTable!$A$2:$A$301,0), Skills!M16+1)</f>
        <v/>
      </c>
      <c r="F177">
        <f>IF(Skills!N16=TRUE,(Skills!L16/10)*(E177/1000),Skills!L16/10)+Skills!O16</f>
        <v/>
      </c>
      <c r="G177">
        <f>Skills!G16*IF(Skills!H16&gt;0,Skills!I16/Skills!H16,1)</f>
        <v/>
      </c>
      <c r="H177">
        <f>1-(1-Skills!J16/100)^Skills!K16</f>
        <v/>
      </c>
      <c r="I177" t="inlineStr">
        <is>
          <t>1</t>
        </is>
      </c>
      <c r="J177" t="inlineStr"/>
      <c r="K177" t="inlineStr"/>
      <c r="L177" t="inlineStr"/>
      <c r="M177" t="inlineStr"/>
      <c r="N177" t="inlineStr"/>
      <c r="O177">
        <f>(1-Summary!$B$11)*T177+Summary!$B$11*V177</f>
        <v/>
      </c>
      <c r="P177">
        <f>IF(B203=0,0,O177/B203)</f>
        <v/>
      </c>
      <c r="Q177">
        <f>IFERROR(1/IF(Inputs!$B$38="pvp",15,MAX(0.1,Skills!D16-IF(Skills!E16=TRUE,Inputs!$B$32,0))),0)</f>
        <v/>
      </c>
      <c r="R177">
        <f>IF(AND(Inputs!$B$38&lt;&gt;"pvp",Inputs!$B$43&gt;0),IF(Inputs!$B$43&lt;=0,0,(INT(Inputs!$B$43/IF(Inputs!$B$38="pvp",15,MAX(0.1,Skills!D16-IF(Skills!E16=TRUE,Inputs!$B$32,0))))+1)),0)</f>
        <v/>
      </c>
      <c r="S177" t="n">
        <v>0</v>
      </c>
      <c r="T177" t="n">
        <v>0</v>
      </c>
      <c r="V177" t="n">
        <v>0</v>
      </c>
    </row>
    <row r="178">
      <c r="A178">
        <f>Skills!A17</f>
        <v/>
      </c>
      <c r="B178">
        <f>Skills!B17</f>
        <v/>
      </c>
      <c r="C178">
        <f>Inputs!$B$3&gt;=72</f>
        <v/>
      </c>
      <c r="D178">
        <f>IF(Skills!C17=1,60+Inputs!$B$25+Inputs!$B$29,IF(Skills!C17=2,90+Inputs!$B$26+Inputs!$B$29,IF(Skills!C17=3,120+Inputs!$B$27+Inputs!$B$29,MAX(0,(Inputs!$B$3-100)*3)+Inputs!$B$28+Inputs!$B$29)))</f>
        <v/>
      </c>
      <c r="E178">
        <f>INDEX(FactorTable!$B$2:$Y$301, MATCH(ROUND(MIN(300,MAX(1,D178)),0), FactorTable!$A$2:$A$301,0), Skills!M17+1)</f>
        <v/>
      </c>
      <c r="F178">
        <f>IF(Skills!N17=TRUE,(Skills!L17/10)*(E178/1000),Skills!L17/10)+Skills!O17</f>
        <v/>
      </c>
      <c r="G178">
        <f>Skills!G17*IF(Skills!H17&gt;0,Skills!I17/Skills!H17,1)</f>
        <v/>
      </c>
      <c r="H178">
        <f>1-(1-Skills!J17/100)^Skills!K17</f>
        <v/>
      </c>
      <c r="I178" t="inlineStr">
        <is>
          <t>1</t>
        </is>
      </c>
      <c r="J178" t="inlineStr"/>
      <c r="K178" t="inlineStr"/>
      <c r="L178" t="inlineStr"/>
      <c r="M178" t="inlineStr"/>
      <c r="N178" t="inlineStr"/>
      <c r="O178">
        <f>(1-Summary!$B$11)*T178+Summary!$B$11*V178</f>
        <v/>
      </c>
      <c r="P178">
        <f>IF(B203=0,0,O178/B203)</f>
        <v/>
      </c>
      <c r="Q178" t="n">
        <v>0</v>
      </c>
      <c r="R178" t="n">
        <v>0</v>
      </c>
      <c r="S178" t="n">
        <v>0</v>
      </c>
      <c r="T178" t="n">
        <v>0</v>
      </c>
      <c r="V178" t="n">
        <v>0</v>
      </c>
    </row>
    <row r="179">
      <c r="A179">
        <f>Skills!A18</f>
        <v/>
      </c>
      <c r="B179">
        <f>Skills!B18</f>
        <v/>
      </c>
      <c r="C179">
        <f>TRUE</f>
        <v/>
      </c>
      <c r="D179">
        <f>IF(Skills!C18=1,60+Inputs!$B$25+Inputs!$B$29,IF(Skills!C18=2,90+Inputs!$B$26+Inputs!$B$29,IF(Skills!C18=3,120+Inputs!$B$27+Inputs!$B$29,MAX(0,(Inputs!$B$3-100)*3)+Inputs!$B$28+Inputs!$B$29)))</f>
        <v/>
      </c>
      <c r="E179">
        <f>INDEX(FactorTable!$B$2:$Y$301, MATCH(ROUND(MIN(300,MAX(1,D179)),0), FactorTable!$A$2:$A$301,0), Skills!M18+1)</f>
        <v/>
      </c>
      <c r="F179">
        <f>IF(Skills!N18=TRUE,(Skills!L18/10)*(E179/1000),Skills!L18/10)+Skills!O18</f>
        <v/>
      </c>
      <c r="G179">
        <f>Skills!G18*IF(Skills!H18&gt;0,Skills!I18/Skills!H18,1)</f>
        <v/>
      </c>
      <c r="H179">
        <f>1-(1-Skills!J18/100)^Skills!K18</f>
        <v/>
      </c>
      <c r="I179" t="inlineStr">
        <is>
          <t>1</t>
        </is>
      </c>
      <c r="J179" t="inlineStr"/>
      <c r="K179" t="inlineStr"/>
      <c r="L179" t="inlineStr"/>
      <c r="M179" t="inlineStr"/>
      <c r="N179" t="inlineStr"/>
      <c r="O179">
        <f>(1-Summary!$B$11)*T179+Summary!$B$11*V179</f>
        <v/>
      </c>
      <c r="P179">
        <f>IF(B203=0,0,O179/B203)</f>
        <v/>
      </c>
      <c r="Q179">
        <f>IFERROR(1/IF(Inputs!$B$38="pvp",15,MAX(0.1,Skills!D18-IF(Skills!E18=TRUE,Inputs!$B$32,0))),0)</f>
        <v/>
      </c>
      <c r="R179">
        <f>IF(AND(Inputs!$B$38&lt;&gt;"pvp",Inputs!$B$43&gt;0),IF(Inputs!$B$43&lt;=0,0,(INT(Inputs!$B$43/IF(Inputs!$B$38="pvp",15,MAX(0.1,Skills!D18-IF(Skills!E18=TRUE,Inputs!$B$32,0))))+1)),0)</f>
        <v/>
      </c>
      <c r="S179" t="n">
        <v>0</v>
      </c>
      <c r="T179" t="n">
        <v>0</v>
      </c>
      <c r="V179" t="n">
        <v>0</v>
      </c>
    </row>
    <row r="180">
      <c r="A180">
        <f>Skills!A19</f>
        <v/>
      </c>
      <c r="B180">
        <f>Skills!B19</f>
        <v/>
      </c>
      <c r="C180">
        <f>Inputs!$B$3&gt;=15</f>
        <v/>
      </c>
      <c r="D180">
        <f>IF(Skills!C19=1,60+Inputs!$B$25+Inputs!$B$29,IF(Skills!C19=2,90+Inputs!$B$26+Inputs!$B$29,IF(Skills!C19=3,120+Inputs!$B$27+Inputs!$B$29,MAX(0,(Inputs!$B$3-100)*3)+Inputs!$B$28+Inputs!$B$29)))</f>
        <v/>
      </c>
      <c r="E180">
        <f>INDEX(FactorTable!$B$2:$Y$301, MATCH(ROUND(MIN(300,MAX(1,D180)),0), FactorTable!$A$2:$A$301,0), Skills!M19+1)</f>
        <v/>
      </c>
      <c r="F180">
        <f>IF(Skills!N19=TRUE,(Skills!L19/10)*(E180/1000),Skills!L19/10)+Skills!O19</f>
        <v/>
      </c>
      <c r="G180">
        <f>Skills!G19*IF(Skills!H19&gt;0,Skills!I19/Skills!H19,1)</f>
        <v/>
      </c>
      <c r="H180">
        <f>1-(1-Skills!J19/100)^Skills!K19</f>
        <v/>
      </c>
      <c r="I180" t="inlineStr">
        <is>
          <t>1</t>
        </is>
      </c>
      <c r="J180" t="inlineStr"/>
      <c r="K180" t="inlineStr"/>
      <c r="L180" t="inlineStr"/>
      <c r="M180" t="inlineStr"/>
      <c r="N180" t="inlineStr"/>
      <c r="O180">
        <f>(1-Summary!$B$11)*T180+Summary!$B$11*V180</f>
        <v/>
      </c>
      <c r="P180">
        <f>IF(B203=0,0,O180/B203)</f>
        <v/>
      </c>
      <c r="Q180" t="n">
        <v>0</v>
      </c>
      <c r="R180" t="n">
        <v>0</v>
      </c>
      <c r="S180" t="n">
        <v>0</v>
      </c>
      <c r="T180" t="n">
        <v>0</v>
      </c>
      <c r="V180" t="n">
        <v>0</v>
      </c>
    </row>
    <row r="181">
      <c r="A181">
        <f>Skills!A20</f>
        <v/>
      </c>
      <c r="B181">
        <f>Skills!B20</f>
        <v/>
      </c>
      <c r="C181">
        <f>Inputs!$B$3&gt;=10</f>
        <v/>
      </c>
      <c r="D181">
        <f>IF(Skills!C20=1,60+Inputs!$B$25+Inputs!$B$29,IF(Skills!C20=2,90+Inputs!$B$26+Inputs!$B$29,IF(Skills!C20=3,120+Inputs!$B$27+Inputs!$B$29,MAX(0,(Inputs!$B$3-100)*3)+Inputs!$B$28+Inputs!$B$29)))</f>
        <v/>
      </c>
      <c r="E181">
        <f>INDEX(FactorTable!$B$2:$Y$301, MATCH(ROUND(MIN(300,MAX(1,D181)),0), FactorTable!$A$2:$A$301,0), Skills!M20+1)</f>
        <v/>
      </c>
      <c r="F181">
        <f>IF(Skills!N20=TRUE,(Skills!L20/10)*(E181/1000),Skills!L20/10)+Skills!O20</f>
        <v/>
      </c>
      <c r="G181">
        <f>Skills!G20*IF(Skills!H20&gt;0,Skills!I20/Skills!H20,1)</f>
        <v/>
      </c>
      <c r="H181">
        <f>1-(1-Skills!J20/100)^Skills!K20</f>
        <v/>
      </c>
      <c r="I181" t="inlineStr">
        <is>
          <t>1</t>
        </is>
      </c>
      <c r="J181" t="inlineStr"/>
      <c r="K181" t="inlineStr"/>
      <c r="L181" t="inlineStr"/>
      <c r="M181" t="inlineStr"/>
      <c r="N181" t="inlineStr"/>
      <c r="O181">
        <f>(1-Summary!$B$11)*T181+Summary!$B$11*V181</f>
        <v/>
      </c>
      <c r="P181">
        <f>IF(B203=0,0,O181/B203)</f>
        <v/>
      </c>
      <c r="Q181" t="n">
        <v>0</v>
      </c>
      <c r="R181" t="n">
        <v>0</v>
      </c>
      <c r="S181" t="n">
        <v>0</v>
      </c>
      <c r="T181" t="n">
        <v>0</v>
      </c>
      <c r="V181" t="n">
        <v>0</v>
      </c>
    </row>
    <row r="182">
      <c r="A182">
        <f>Skills!A21</f>
        <v/>
      </c>
      <c r="B182">
        <f>Skills!B21</f>
        <v/>
      </c>
      <c r="C182">
        <f>Inputs!$B$3&gt;=33</f>
        <v/>
      </c>
      <c r="D182">
        <f>IF(Skills!C21=1,60+Inputs!$B$25+Inputs!$B$29,IF(Skills!C21=2,90+Inputs!$B$26+Inputs!$B$29,IF(Skills!C21=3,120+Inputs!$B$27+Inputs!$B$29,MAX(0,(Inputs!$B$3-100)*3)+Inputs!$B$28+Inputs!$B$29)))</f>
        <v/>
      </c>
      <c r="E182">
        <f>INDEX(FactorTable!$B$2:$Y$301, MATCH(ROUND(MIN(300,MAX(1,D182)),0), FactorTable!$A$2:$A$301,0), Skills!M21+1)</f>
        <v/>
      </c>
      <c r="F182">
        <f>IF(Skills!N21=TRUE,(Skills!L21/10)*(E182/1000),Skills!L21/10)+Skills!O21</f>
        <v/>
      </c>
      <c r="G182">
        <f>Skills!G21*IF(Skills!H21&gt;0,Skills!I21/Skills!H21,1)</f>
        <v/>
      </c>
      <c r="H182">
        <f>1-(1-Skills!J21/100)^Skills!K21</f>
        <v/>
      </c>
      <c r="I182" t="inlineStr">
        <is>
          <t>1</t>
        </is>
      </c>
      <c r="J182" t="inlineStr"/>
      <c r="K182" t="inlineStr"/>
      <c r="L182" t="inlineStr"/>
      <c r="M182" t="inlineStr"/>
      <c r="N182" t="inlineStr"/>
      <c r="O182">
        <f>(1-Summary!$B$11)*T182+Summary!$B$11*V182</f>
        <v/>
      </c>
      <c r="P182">
        <f>IF(B203=0,0,O182/B203)</f>
        <v/>
      </c>
      <c r="Q182" t="n">
        <v>0</v>
      </c>
      <c r="R182" t="n">
        <v>0</v>
      </c>
      <c r="S182" t="n">
        <v>0</v>
      </c>
      <c r="T182" t="n">
        <v>0</v>
      </c>
      <c r="V182" t="n">
        <v>0</v>
      </c>
    </row>
    <row r="183">
      <c r="A183">
        <f>Skills!A22</f>
        <v/>
      </c>
      <c r="B183">
        <f>Skills!B22</f>
        <v/>
      </c>
      <c r="C183">
        <f>Inputs!$B$3&gt;=38</f>
        <v/>
      </c>
      <c r="D183">
        <f>IF(Skills!C22=1,60+Inputs!$B$25+Inputs!$B$29,IF(Skills!C22=2,90+Inputs!$B$26+Inputs!$B$29,IF(Skills!C22=3,120+Inputs!$B$27+Inputs!$B$29,MAX(0,(Inputs!$B$3-100)*3)+Inputs!$B$28+Inputs!$B$29)))</f>
        <v/>
      </c>
      <c r="E183">
        <f>INDEX(FactorTable!$B$2:$Y$301, MATCH(ROUND(MIN(300,MAX(1,D183)),0), FactorTable!$A$2:$A$301,0), Skills!M22+1)</f>
        <v/>
      </c>
      <c r="F183">
        <f>IF(Skills!N22=TRUE,(Skills!L22/10)*(E183/1000),Skills!L22/10)+Skills!O22</f>
        <v/>
      </c>
      <c r="G183">
        <f>Skills!G22*IF(Skills!H22&gt;0,Skills!I22/Skills!H22,1)</f>
        <v/>
      </c>
      <c r="H183">
        <f>1-(1-Skills!J22/100)^Skills!K22</f>
        <v/>
      </c>
      <c r="I183" t="inlineStr">
        <is>
          <t>1</t>
        </is>
      </c>
      <c r="J183" t="inlineStr"/>
      <c r="K183" t="inlineStr"/>
      <c r="L183" t="inlineStr"/>
      <c r="M183" t="inlineStr"/>
      <c r="N183" t="inlineStr"/>
      <c r="O183">
        <f>(1-Summary!$B$11)*T183+Summary!$B$11*V183</f>
        <v/>
      </c>
      <c r="P183">
        <f>IF(B203=0,0,O183/B203)</f>
        <v/>
      </c>
      <c r="Q183" t="n">
        <v>0</v>
      </c>
      <c r="R183" t="n">
        <v>0</v>
      </c>
      <c r="S183" t="n">
        <v>0</v>
      </c>
      <c r="T183" t="n">
        <v>0</v>
      </c>
      <c r="V183" t="n">
        <v>0</v>
      </c>
    </row>
    <row r="184">
      <c r="A184">
        <f>Skills!A23</f>
        <v/>
      </c>
      <c r="B184">
        <f>Skills!B23</f>
        <v/>
      </c>
      <c r="C184">
        <f>Inputs!$B$3&gt;=43</f>
        <v/>
      </c>
      <c r="D184">
        <f>IF(Skills!C23=1,60+Inputs!$B$25+Inputs!$B$29,IF(Skills!C23=2,90+Inputs!$B$26+Inputs!$B$29,IF(Skills!C23=3,120+Inputs!$B$27+Inputs!$B$29,MAX(0,(Inputs!$B$3-100)*3)+Inputs!$B$28+Inputs!$B$29)))</f>
        <v/>
      </c>
      <c r="E184">
        <f>INDEX(FactorTable!$B$2:$Y$301, MATCH(ROUND(MIN(300,MAX(1,D184)),0), FactorTable!$A$2:$A$301,0), Skills!M23+1)</f>
        <v/>
      </c>
      <c r="F184">
        <f>IF(Skills!N23=TRUE,(Skills!L23/10)*(E184/1000),Skills!L23/10)+Skills!O23</f>
        <v/>
      </c>
      <c r="G184">
        <f>Skills!G23*IF(Skills!H23&gt;0,Skills!I23/Skills!H23,1)</f>
        <v/>
      </c>
      <c r="H184">
        <f>1-(1-Skills!J23/100)^Skills!K23</f>
        <v/>
      </c>
      <c r="I184" t="inlineStr">
        <is>
          <t>1</t>
        </is>
      </c>
      <c r="J184" t="inlineStr"/>
      <c r="K184" t="inlineStr"/>
      <c r="L184" t="inlineStr"/>
      <c r="M184" t="inlineStr"/>
      <c r="N184" t="inlineStr"/>
      <c r="O184">
        <f>(1-Summary!$B$11)*T184+Summary!$B$11*V184</f>
        <v/>
      </c>
      <c r="P184">
        <f>IF(B203=0,0,O184/B203)</f>
        <v/>
      </c>
      <c r="Q184" t="n">
        <v>0</v>
      </c>
      <c r="R184" t="n">
        <v>0</v>
      </c>
      <c r="S184" t="n">
        <v>0</v>
      </c>
      <c r="T184" t="n">
        <v>0</v>
      </c>
      <c r="V184" t="n">
        <v>0</v>
      </c>
    </row>
    <row r="185">
      <c r="A185">
        <f>Skills!A24</f>
        <v/>
      </c>
      <c r="B185">
        <f>Skills!B24</f>
        <v/>
      </c>
      <c r="C185">
        <f>Inputs!$B$3&gt;=75</f>
        <v/>
      </c>
      <c r="D185">
        <f>IF(Skills!C24=1,60+Inputs!$B$25+Inputs!$B$29,IF(Skills!C24=2,90+Inputs!$B$26+Inputs!$B$29,IF(Skills!C24=3,120+Inputs!$B$27+Inputs!$B$29,MAX(0,(Inputs!$B$3-100)*3)+Inputs!$B$28+Inputs!$B$29)))</f>
        <v/>
      </c>
      <c r="E185">
        <f>INDEX(FactorTable!$B$2:$Y$301, MATCH(ROUND(MIN(300,MAX(1,D185)),0), FactorTable!$A$2:$A$301,0), Skills!M24+1)</f>
        <v/>
      </c>
      <c r="F185">
        <f>IF(Skills!N24=TRUE,(Skills!L24/10)*(E185/1000),Skills!L24/10)+Skills!O24</f>
        <v/>
      </c>
      <c r="G185">
        <f>Skills!G24*IF(Skills!H24&gt;0,Skills!I24/Skills!H24,1)</f>
        <v/>
      </c>
      <c r="H185">
        <f>1-(1-Skills!J24/100)^Skills!K24</f>
        <v/>
      </c>
      <c r="I185" t="inlineStr">
        <is>
          <t>1</t>
        </is>
      </c>
      <c r="J185" t="inlineStr"/>
      <c r="K185" t="inlineStr"/>
      <c r="L185" t="inlineStr"/>
      <c r="M185" t="inlineStr"/>
      <c r="N185" t="inlineStr"/>
      <c r="O185">
        <f>(1-Summary!$B$11)*T185+Summary!$B$11*V185</f>
        <v/>
      </c>
      <c r="P185">
        <f>IF(B203=0,0,O185/B203)</f>
        <v/>
      </c>
      <c r="Q185" t="n">
        <v>0</v>
      </c>
      <c r="R185" t="n">
        <v>0</v>
      </c>
      <c r="S185" t="n">
        <v>0</v>
      </c>
      <c r="T185" t="n">
        <v>0</v>
      </c>
      <c r="V185" t="n">
        <v>0</v>
      </c>
    </row>
    <row r="186">
      <c r="A186">
        <f>Skills!A25</f>
        <v/>
      </c>
      <c r="B186">
        <f>Skills!B25</f>
        <v/>
      </c>
      <c r="C186">
        <f>Inputs!$B$3&gt;=125</f>
        <v/>
      </c>
      <c r="D186">
        <f>IF(Skills!C25=1,60+Inputs!$B$25+Inputs!$B$29,IF(Skills!C25=2,90+Inputs!$B$26+Inputs!$B$29,IF(Skills!C25=3,120+Inputs!$B$27+Inputs!$B$29,MAX(0,(Inputs!$B$3-100)*3)+Inputs!$B$28+Inputs!$B$29)))</f>
        <v/>
      </c>
      <c r="E186">
        <f>INDEX(FactorTable!$B$2:$Y$301, MATCH(ROUND(MIN(300,MAX(1,D186)),0), FactorTable!$A$2:$A$301,0), Skills!M25+1)</f>
        <v/>
      </c>
      <c r="F186">
        <f>IF(Skills!N25=TRUE,(Skills!L25/10)*(E186/1000),Skills!L25/10)+Skills!O25</f>
        <v/>
      </c>
      <c r="G186">
        <f>Skills!G25*IF(Skills!H25&gt;0,Skills!I25/Skills!H25,1)</f>
        <v/>
      </c>
      <c r="H186">
        <f>1-(1-Skills!J25/100)^Skills!K25</f>
        <v/>
      </c>
      <c r="I186" t="inlineStr">
        <is>
          <t>1</t>
        </is>
      </c>
      <c r="J186" t="inlineStr"/>
      <c r="K186" t="inlineStr"/>
      <c r="L186" t="inlineStr"/>
      <c r="M186" t="inlineStr"/>
      <c r="N186" t="inlineStr"/>
      <c r="O186">
        <f>(1-Summary!$B$11)*T186+Summary!$B$11*V186</f>
        <v/>
      </c>
      <c r="P186">
        <f>IF(B203=0,0,O186/B203)</f>
        <v/>
      </c>
      <c r="Q186" t="n">
        <v>0</v>
      </c>
      <c r="R186" t="n">
        <v>0</v>
      </c>
      <c r="S186" t="n">
        <v>0</v>
      </c>
      <c r="T186" t="n">
        <v>0</v>
      </c>
      <c r="V186" t="n">
        <v>0</v>
      </c>
    </row>
    <row r="187">
      <c r="A187">
        <f>Skills!A26</f>
        <v/>
      </c>
      <c r="B187">
        <f>Skills!B26</f>
        <v/>
      </c>
      <c r="C187">
        <f>Inputs!$B$3&gt;=125</f>
        <v/>
      </c>
      <c r="D187">
        <f>IF(Skills!C26=1,60+Inputs!$B$25+Inputs!$B$29,IF(Skills!C26=2,90+Inputs!$B$26+Inputs!$B$29,IF(Skills!C26=3,120+Inputs!$B$27+Inputs!$B$29,MAX(0,(Inputs!$B$3-100)*3)+Inputs!$B$28+Inputs!$B$29)))</f>
        <v/>
      </c>
      <c r="E187">
        <f>INDEX(FactorTable!$B$2:$Y$301, MATCH(ROUND(MIN(300,MAX(1,D187)),0), FactorTable!$A$2:$A$301,0), Skills!M26+1)</f>
        <v/>
      </c>
      <c r="F187">
        <f>IF(Skills!N26=TRUE,(Skills!L26/10)*(E187/1000),Skills!L26/10)+Skills!O26</f>
        <v/>
      </c>
      <c r="G187">
        <f>Skills!G26*IF(Skills!H26&gt;0,Skills!I26/Skills!H26,1)</f>
        <v/>
      </c>
      <c r="H187">
        <f>1-(1-Skills!J26/100)^Skills!K26</f>
        <v/>
      </c>
      <c r="I187" t="inlineStr">
        <is>
          <t>1</t>
        </is>
      </c>
      <c r="J187" t="inlineStr"/>
      <c r="K187" t="inlineStr"/>
      <c r="L187" t="inlineStr"/>
      <c r="M187" t="inlineStr"/>
      <c r="N187" t="inlineStr"/>
      <c r="O187">
        <f>(1-Summary!$B$11)*T187+Summary!$B$11*V187</f>
        <v/>
      </c>
      <c r="P187">
        <f>IF(B203=0,0,O187/B203)</f>
        <v/>
      </c>
      <c r="Q187" t="n">
        <v>0</v>
      </c>
      <c r="R187" t="n">
        <v>0</v>
      </c>
      <c r="S187" t="n">
        <v>0</v>
      </c>
      <c r="T187" t="n">
        <v>0</v>
      </c>
      <c r="V187" t="n">
        <v>0</v>
      </c>
    </row>
    <row r="188">
      <c r="A188">
        <f>Skills!A27</f>
        <v/>
      </c>
      <c r="B188">
        <f>Skills!B27</f>
        <v/>
      </c>
      <c r="C188">
        <f>Inputs!$B$3&gt;=120</f>
        <v/>
      </c>
      <c r="D188">
        <f>IF(Skills!C27=1,60+Inputs!$B$25+Inputs!$B$29,IF(Skills!C27=2,90+Inputs!$B$26+Inputs!$B$29,IF(Skills!C27=3,120+Inputs!$B$27+Inputs!$B$29,MAX(0,(Inputs!$B$3-100)*3)+Inputs!$B$28+Inputs!$B$29)))</f>
        <v/>
      </c>
      <c r="E188">
        <f>INDEX(FactorTable!$B$2:$Y$301, MATCH(ROUND(MIN(300,MAX(1,D188)),0), FactorTable!$A$2:$A$301,0), Skills!M27+1)</f>
        <v/>
      </c>
      <c r="F188">
        <f>IF(Skills!N27=TRUE,(Skills!L27/10)*(E188/1000),Skills!L27/10)+Skills!O27</f>
        <v/>
      </c>
      <c r="G188">
        <f>Skills!G27*IF(Skills!H27&gt;0,Skills!I27/Skills!H27,1)</f>
        <v/>
      </c>
      <c r="H188">
        <f>1-(1-Skills!J27/100)^Skills!K27</f>
        <v/>
      </c>
      <c r="I188" t="inlineStr">
        <is>
          <t>1</t>
        </is>
      </c>
      <c r="J188" t="inlineStr"/>
      <c r="K188" t="inlineStr"/>
      <c r="L188" t="inlineStr"/>
      <c r="M188" t="inlineStr"/>
      <c r="N188" t="inlineStr"/>
      <c r="O188">
        <f>(1-Summary!$B$11)*T188+Summary!$B$11*V188</f>
        <v/>
      </c>
      <c r="P188">
        <f>IF(B203=0,0,O188/B203)</f>
        <v/>
      </c>
      <c r="Q188" t="n">
        <v>0</v>
      </c>
      <c r="R188" t="n">
        <v>0</v>
      </c>
      <c r="S188" t="n">
        <v>0</v>
      </c>
      <c r="T188" t="n">
        <v>0</v>
      </c>
      <c r="V188" t="n">
        <v>0</v>
      </c>
    </row>
    <row r="189">
      <c r="A189">
        <f>Skills!A28</f>
        <v/>
      </c>
      <c r="B189">
        <f>Skills!B28</f>
        <v/>
      </c>
      <c r="C189">
        <f>Inputs!$B$3&gt;=120</f>
        <v/>
      </c>
      <c r="D189">
        <f>IF(Skills!C28=1,60+Inputs!$B$25+Inputs!$B$29,IF(Skills!C28=2,90+Inputs!$B$26+Inputs!$B$29,IF(Skills!C28=3,120+Inputs!$B$27+Inputs!$B$29,MAX(0,(Inputs!$B$3-100)*3)+Inputs!$B$28+Inputs!$B$29)))</f>
        <v/>
      </c>
      <c r="E189">
        <f>INDEX(FactorTable!$B$2:$Y$301, MATCH(ROUND(MIN(300,MAX(1,D189)),0), FactorTable!$A$2:$A$301,0), Skills!M28+1)</f>
        <v/>
      </c>
      <c r="F189">
        <f>IF(Skills!N28=TRUE,(Skills!L28/10)*(E189/1000),Skills!L28/10)+Skills!O28</f>
        <v/>
      </c>
      <c r="G189">
        <f>Skills!G28*IF(Skills!H28&gt;0,Skills!I28/Skills!H28,1)</f>
        <v/>
      </c>
      <c r="H189">
        <f>1-(1-Skills!J28/100)^Skills!K28</f>
        <v/>
      </c>
      <c r="I189" t="inlineStr">
        <is>
          <t>1</t>
        </is>
      </c>
      <c r="J189" t="inlineStr"/>
      <c r="K189" t="inlineStr"/>
      <c r="L189" t="inlineStr"/>
      <c r="M189" t="inlineStr"/>
      <c r="N189" t="inlineStr"/>
      <c r="O189">
        <f>(1-Summary!$B$11)*T189+Summary!$B$11*V189</f>
        <v/>
      </c>
      <c r="P189">
        <f>IF(B203=0,0,O189/B203)</f>
        <v/>
      </c>
      <c r="Q189" t="n">
        <v>0</v>
      </c>
      <c r="R189" t="n">
        <v>0</v>
      </c>
      <c r="S189" t="n">
        <v>0</v>
      </c>
      <c r="T189" t="n">
        <v>0</v>
      </c>
      <c r="V189" t="n">
        <v>0</v>
      </c>
    </row>
    <row r="190">
      <c r="A190">
        <f>Skills!A29</f>
        <v/>
      </c>
      <c r="B190">
        <f>Skills!B29</f>
        <v/>
      </c>
      <c r="C190">
        <f>Inputs!$B$3&gt;=45</f>
        <v/>
      </c>
      <c r="D190">
        <f>IF(Skills!C29=1,60+Inputs!$B$25+Inputs!$B$29,IF(Skills!C29=2,90+Inputs!$B$26+Inputs!$B$29,IF(Skills!C29=3,120+Inputs!$B$27+Inputs!$B$29,MAX(0,(Inputs!$B$3-100)*3)+Inputs!$B$28+Inputs!$B$29)))</f>
        <v/>
      </c>
      <c r="E190">
        <f>INDEX(FactorTable!$B$2:$Y$301, MATCH(ROUND(MIN(300,MAX(1,D190)),0), FactorTable!$A$2:$A$301,0), Skills!M29+1)</f>
        <v/>
      </c>
      <c r="F190">
        <f>IF(Skills!N29=TRUE,(Skills!L29/10)*(E190/1000),Skills!L29/10)+Skills!O29</f>
        <v/>
      </c>
      <c r="G190">
        <f>Skills!G29*IF(Skills!H29&gt;0,Skills!I29/Skills!H29,1)</f>
        <v/>
      </c>
      <c r="H190">
        <f>1-(1-Skills!J29/100)^Skills!K29</f>
        <v/>
      </c>
      <c r="I190" t="inlineStr">
        <is>
          <t>1</t>
        </is>
      </c>
      <c r="J190" t="inlineStr"/>
      <c r="K190" t="inlineStr"/>
      <c r="L190" t="inlineStr"/>
      <c r="M190" t="inlineStr"/>
      <c r="N190" t="inlineStr"/>
      <c r="O190">
        <f>(1-Summary!$B$11)*T190+Summary!$B$11*V190</f>
        <v/>
      </c>
      <c r="P190">
        <f>IF(B203=0,0,O190/B203)</f>
        <v/>
      </c>
      <c r="Q190" t="n">
        <v>0</v>
      </c>
      <c r="R190" t="n">
        <v>0</v>
      </c>
      <c r="S190" t="n">
        <v>0</v>
      </c>
      <c r="T190" t="n">
        <v>0</v>
      </c>
      <c r="V190" t="n">
        <v>0</v>
      </c>
    </row>
    <row r="192">
      <c r="A192" t="inlineStr">
        <is>
          <t>Attack% Bucket Multiplier</t>
        </is>
      </c>
      <c r="B192">
        <f>(1+(((C174=TRUE)*F174)+((C175=TRUE)*IF(Inputs!$B$38="pvp",F175,(1-Summary!$B$11)*(F175)+Summary!$B$11*(0)))+((C176=TRUE)*F176*IF(AND(Inputs!$B$38&lt;&gt;"pvp",Inputs!$B$43&gt;0),(((R176-1)*(Skills!T15*(1+Inputs!$B$34/100))+MIN((Skills!T15*(1+Inputs!$B$34/100)),MAX(0,Inputs!$B$43-((R176-1)*Skills!D15))))/Inputs!$B$43),IF(Inputs!$B$38="pvp",MIN((Skills!T15*(1+Inputs!$B$34/100)),15)/15,(Skills!T15*(1+Inputs!$B$34/100))/Skills!D15)))+((C173=TRUE)*F173)+((C190=TRUE)*(F190-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193">
      <c r="A193" t="inlineStr">
        <is>
          <t>Global Crit Rate Bonus %</t>
        </is>
      </c>
      <c r="B193">
        <f>(C177=TRUE)*20*IF(AND(Inputs!$B$38&lt;&gt;"pvp",Inputs!$B$43&gt;0),(((R177-1)*(Skills!T16*(1+Inputs!$B$34/100))+MIN((Skills!T16*(1+Inputs!$B$34/100)),MAX(0,Inputs!$B$43-((R177-1)*Skills!D16))))/Inputs!$B$43),IF(Inputs!$B$38="pvp",MIN((Skills!T16*(1+Inputs!$B$34/100)),15)/15,(Skills!T16*(1+Inputs!$B$34/100))/Skills!D16))</f>
        <v/>
      </c>
    </row>
    <row r="194">
      <c r="A194" t="inlineStr">
        <is>
          <t>Attack Speed Buff Bonus %</t>
        </is>
      </c>
      <c r="B194">
        <f>((C179=TRUE)*F179*IF(AND(Inputs!$B$38&lt;&gt;"pvp",Inputs!$B$43&gt;0),(((R179-1)*(Skills!T18*(1+Inputs!$B$34/100))+MIN((Skills!T18*(1+Inputs!$B$34/100)),MAX(0,Inputs!$B$43-((R179-1)*Skills!D18))))/Inputs!$B$43),IF(Inputs!$B$38="pvp",MIN((Skills!T18*(1+Inputs!$B$34/100)),15)/15,(Skills!T18*(1+Inputs!$B$34/100))/Skills!D18)))</f>
        <v/>
      </c>
    </row>
    <row r="195">
      <c r="A195" t="inlineStr">
        <is>
          <t>Actions Per Second</t>
        </is>
      </c>
      <c r="B195">
        <f>1+MIN(150,150*(1-(1-(Inputs!$B$11+((C181=TRUE)*(F181-Calc!F20))+((C182=TRUE)*(F182-Calc!F21)))/150)*(1-B194/150)))/100</f>
        <v/>
      </c>
    </row>
    <row r="196">
      <c r="A196" t="inlineStr">
        <is>
          <t>Skill + Buff Cast Rate</t>
        </is>
      </c>
      <c r="B196">
        <f>IF(AND(Inputs!$B$38&lt;&gt;"pvp",Inputs!$B$43&gt;0),SUMPRODUCT((Skills!E2:E29=TRUE)*(C163:C190=TRUE)*R163:R190*Skills!F2:F29)/Inputs!$B$43,SUMPRODUCT((Skills!E2:E29=TRUE)*(C163:C190=TRUE)*Q163:Q190*Skills!F2:F29))</f>
        <v/>
      </c>
    </row>
    <row r="197">
      <c r="A197" t="inlineStr">
        <is>
          <t>Empowered Piercing Arrow Casts Per Second</t>
        </is>
      </c>
      <c r="B197">
        <f>MAX(0,B195-B196)</f>
        <v/>
      </c>
    </row>
    <row r="198">
      <c r="A198" t="inlineStr">
        <is>
          <t>Global Critical Damage Bonus % (Sharp Eyes)</t>
        </is>
      </c>
      <c r="B198">
        <f>(C177=TRUE)*F177*IF(AND(Inputs!$B$38&lt;&gt;"pvp",Inputs!$B$43&gt;0),(((R177-1)*(Skills!T16*(1+Inputs!$B$34/100))+MIN((Skills!T16*(1+Inputs!$B$34/100)),MAX(0,Inputs!$B$43-((R177-1)*Skills!D16))))/Inputs!$B$43),IF(Inputs!$B$38="pvp",MIN((Skills!T16*(1+Inputs!$B$34/100)),15)/15,(Skills!T16*(1+Inputs!$B$34/100))/Skills!D16))</f>
        <v/>
      </c>
    </row>
    <row r="199">
      <c r="A199" t="inlineStr">
        <is>
          <t>Global Final Damage Bonus % (Mortal Blow + Last Man Standing conditional half)</t>
        </is>
      </c>
      <c r="B199">
        <f>(C178=TRUE)*F178+((C187=TRUE)*IF(Inputs!$B$38="pvp",F187,(1-Summary!$B$11)*(F187)+Summary!$B$11*(0)))</f>
        <v/>
      </c>
    </row>
    <row r="200">
      <c r="A200" t="inlineStr">
        <is>
          <t>Buff-Casting Startup Delay (s, fixed-duration only)</t>
        </is>
      </c>
      <c r="B200">
        <f>IF(AND(Inputs!$B$38&lt;&gt;"pvp",Inputs!$B$43&gt;0),SUMPRODUCT((Skills!T2:T29&gt;0)*(Skills!E2:E29=TRUE)*(C163:C190=TRUE))/B195,0)</f>
        <v/>
      </c>
    </row>
    <row r="201">
      <c r="A201" t="inlineStr">
        <is>
          <t>Boss-Only Total DPS (this block's swept value)</t>
        </is>
      </c>
      <c r="B201">
        <f>SUM(T163:T190)</f>
        <v/>
      </c>
    </row>
    <row r="202">
      <c r="A202" t="inlineStr">
        <is>
          <t>Normal-Only Total DPS (this block's swept value)</t>
        </is>
      </c>
      <c r="B202">
        <f>SUM(V163:V190)</f>
        <v/>
      </c>
    </row>
    <row r="203">
      <c r="A203" s="6" t="inlineStr">
        <is>
          <t>TOTAL DPS</t>
        </is>
      </c>
      <c r="B203" s="6">
        <f>SUM(O163:O190)</f>
        <v/>
      </c>
    </row>
    <row r="206">
      <c r="A206" s="6" t="inlineStr">
        <is>
          <t>Stat: DAMAGE %</t>
        </is>
      </c>
    </row>
    <row r="207">
      <c r="A207" s="5" t="inlineStr">
        <is>
          <t>Key</t>
        </is>
      </c>
      <c r="B207" s="5" t="inlineStr">
        <is>
          <t>Name</t>
        </is>
      </c>
      <c r="C207" s="5" t="inlineStr">
        <is>
          <t>Unlocked</t>
        </is>
      </c>
      <c r="D207" s="5" t="inlineStr">
        <is>
          <t>InputLevel</t>
        </is>
      </c>
      <c r="E207" s="5" t="inlineStr">
        <is>
          <t>Factor</t>
        </is>
      </c>
      <c r="F207" s="5" t="inlineStr">
        <is>
          <t>CoefficientPercent</t>
        </is>
      </c>
      <c r="G207" s="5" t="inlineStr">
        <is>
          <t>EffectiveHits</t>
        </is>
      </c>
      <c r="H207" s="5" t="inlineStr">
        <is>
          <t>ProcProbability</t>
        </is>
      </c>
      <c r="I207" s="5" t="inlineStr">
        <is>
          <t>MapleHeroMultiplier</t>
        </is>
      </c>
      <c r="J207" s="5" t="inlineStr">
        <is>
          <t>BaseDamage</t>
        </is>
      </c>
      <c r="K207" s="5" t="inlineStr">
        <is>
          <t>BaseHitDamage</t>
        </is>
      </c>
      <c r="L207" s="5" t="inlineStr">
        <is>
          <t>NonCritAvg</t>
        </is>
      </c>
      <c r="M207" s="5" t="inlineStr">
        <is>
          <t>CritAvg</t>
        </is>
      </c>
      <c r="N207" s="5" t="inlineStr">
        <is>
          <t>ExpectedDamage(perHit)</t>
        </is>
      </c>
      <c r="O207" s="5" t="inlineStr">
        <is>
          <t>DPS</t>
        </is>
      </c>
      <c r="P207" s="5" t="inlineStr">
        <is>
          <t>% of Total</t>
        </is>
      </c>
      <c r="Q207" s="5" t="inlineStr">
        <is>
          <t>InvCooldown</t>
        </is>
      </c>
      <c r="R207" s="5" t="inlineStr">
        <is>
          <t>CastsInFight</t>
        </is>
      </c>
      <c r="S207" s="5" t="inlineStr">
        <is>
          <t>HitRate(perSec)</t>
        </is>
      </c>
      <c r="U207" t="inlineStr">
        <is>
          <t>helpers</t>
        </is>
      </c>
    </row>
    <row r="208">
      <c r="A208">
        <f>Skills!A2</f>
        <v/>
      </c>
      <c r="B208">
        <f>Skills!B2</f>
        <v/>
      </c>
      <c r="C208">
        <f>Inputs!$B$3&gt;=100</f>
        <v/>
      </c>
      <c r="D208" t="inlineStr"/>
      <c r="E208" t="inlineStr"/>
      <c r="F208">
        <f>U210+Skills!O2</f>
        <v/>
      </c>
      <c r="G208">
        <f>Skills!G2*IF(Skills!H2&gt;0,Skills!I2/Skills!H2,1)</f>
        <v/>
      </c>
      <c r="H208">
        <f>1-(1-Skills!J2/100)^Skills!K2</f>
        <v/>
      </c>
      <c r="I208" t="inlineStr">
        <is>
          <t>1</t>
        </is>
      </c>
      <c r="J208">
        <f>((Inputs!$B$6*(1+Inputs!$B$7/100))+(((Inputs!$B$12*(1+Inputs!$B$13/100))-(Inputs!$B$12*(1+Inputs!$B$13/100)))+0.25*(Inputs!$B$14-Inputs!$B$14))*(1+Inputs!$B$7/100))*(F208/100)</f>
        <v/>
      </c>
      <c r="K208">
        <f>J208*(1+((Inputs!$B$12*(1+Inputs!$B$13/100))*0.01+Inputs!$B$14*0.0025)/100)*(1+(Inputs!$B$15+1)/100)*(1+Inputs!$B$16/100)*(5000/(6000+Inputs!$B$42*(1-(100*(1-(1-(Inputs!$B$19+0)/100)*(1-CHOOSE(ArtifactsInput!$N$40+1,5,6,7,8,9,10)/100)^(ArtifactsInput!$M$40-ArtifactsInput!$M$40)))/100)))*(1+(Inputs!$B$24+((C230=TRUE)*(F230-Calc!F24))+((C231=TRUE)*(F231-Calc!F25))+B244)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EMPOWERED_PIERCING_ARROW",Inputs!$B$17+((C228=TRUE)*(F228-Calc!F22))+(((IF(AND(ArtifactsInput!$M$42,((Inputs!$B$9+((C225=TRUE)*(F225-Calc!F19))+B238+(ArtifactsInput!$M$24-ArtifactsInput!$M$24)*CHOOSE(ArtifactsInput!$N$24+1,10,12,14,16,18,20)+IF(ArtifactsInput!$M$10,CHOOSE(ArtifactsInput!$N$10+1,15,18,21,24,27,30)*(IF(Inputs!$B$38="pvp",MIN(15,15)/15,IF(AND(Inputs!$B$38&lt;&gt;"pvp",Inputs!$B$43&gt;0),MIN(15,Inputs!$B$43)/(Inputs!$B$43),0))),0)))&gt;=100),MIN(100,((Inputs!$B$9+((C225=TRUE)*(F225-Calc!F19))+B238+(ArtifactsInput!$M$24-ArtifactsInput!$M$24)*CHOOSE(ArtifactsInput!$N$24+1,10,12,14,16,18,20)+IF(ArtifactsInput!$M$10,CHOOSE(ArtifactsInput!$N$10+1,15,18,21,24,27,30)*(IF(Inputs!$B$38="pvp",MIN(15,15)/15,IF(AND(Inputs!$B$38&lt;&gt;"pvp",Inputs!$B$43&gt;0),MIN(15,Inputs!$B$43)/(Inputs!$B$43),0))),0)))-100),0))*CHOOSE(ArtifactsInput!$N$42+1,0.6,0.72,0.84,0.96,1.08,1.2))),Inputs!$B$18+((C233=TRUE)*(F233-Calc!F27))+(IF(AND(ArtifactsInput!$M$42,((Inputs!$B$9+((C225=TRUE)*(F225-Calc!F19))+B238+(ArtifactsInput!$M$24-ArtifactsInput!$M$24)*CHOOSE(ArtifactsInput!$N$24+1,10,12,14,16,18,20)+IF(ArtifactsInput!$M$10,CHOOSE(ArtifactsInput!$N$10+1,15,18,21,24,27,30)*(IF(Inputs!$B$38="pvp",MIN(15,15)/15,IF(AND(Inputs!$B$38&lt;&gt;"pvp",Inputs!$B$43&gt;0),MIN(15,Inputs!$B$43)/(Inputs!$B$43),0))),0)))&gt;=100),CHOOSE(ArtifactsInput!$N$42+1,40,48,56,64,72,80),0))))/100)*((1+(((C219=TRUE)*F219)+((C220=TRUE)*IF(Inputs!$B$38="pvp",F220,(1-Summary!$B$11)*(F220)+Summary!$B$11*(0)))+((C221=TRUE)*F221*IF(AND(Inputs!$B$38&lt;&gt;"pvp",Inputs!$B$43&gt;0),(((R221-1)*(Skills!T15*(1+Inputs!$B$34/100))+MIN((Skills!T15*(1+Inputs!$B$34/100)),MAX(0,Inputs!$B$43-((R221-1)*Skills!D15))))/Inputs!$B$43),IF(Inputs!$B$38="pvp",MIN((Skills!T15*(1+Inputs!$B$34/100)),15)/15,(Skills!T15*(1+Inputs!$B$34/100))/Skills!D15)))+((C218=TRUE)*F218)+((C235=TRUE)*(F235-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208)</f>
        <v/>
      </c>
      <c r="L208">
        <f>K208*(MIN(Inputs!$B$22+((C229=TRUE)*(F229-Calc!F23)),(Inputs!$B$23+((C234=TRUE)*(F234-Calc!F28))+(IF(ArtifactsInput!$M$15,CHOOSE(ArtifactsInput!$N$15+1,25,30,35,40,45,50)/100*(Inputs!$B$11-Inputs!$B$11),0))))/100+(Inputs!$B$23+((C234=TRUE)*(F234-Calc!F28))+(IF(ArtifactsInput!$M$15,CHOOSE(ArtifactsInput!$N$15+1,25,30,35,40,45,50)/100*(Inputs!$B$11-Inputs!$B$11),0)))/100)/2</f>
        <v/>
      </c>
      <c r="M208">
        <f>L208*(1+(Inputs!$B$10+0+B243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08">
        <f>L208*(1-MIN((Inputs!$B$9+((C225=TRUE)*(F225-Calc!F19))+B238+(ArtifactsInput!$M$24-ArtifactsInput!$M$24)*CHOOSE(ArtifactsInput!$N$24+1,10,12,14,16,18,20)+(IF(AND(ArtifactsInput!$M$42,((Inputs!$B$9+((C225=TRUE)*(F225-Calc!F19))+B238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208*(MIN((Inputs!$B$9+((C225=TRUE)*(F225-Calc!F19))+B238+(ArtifactsInput!$M$24-ArtifactsInput!$M$24)*CHOOSE(ArtifactsInput!$N$24+1,10,12,14,16,18,20)+(IF(AND(ArtifactsInput!$M$42,((Inputs!$B$9+((C225=TRUE)*(F225-Calc!F19))+B238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08">
        <f>(1-Summary!$B$11)*T208+Summary!$B$11*V208</f>
        <v/>
      </c>
      <c r="P208">
        <f>IF(B248=0,0,O208/B248)</f>
        <v/>
      </c>
      <c r="Q208" t="n">
        <v>0</v>
      </c>
      <c r="R208" t="n">
        <v>0</v>
      </c>
      <c r="S208">
        <f>IFERROR((Skills!G2*N208*B242)/N208*IF(Inputs!$B$38="pvp",1,(1-Summary!$B$11)*1+Summary!$B$11*(MIN((6+Inputs!$B$33),Inputs!$B$37))),0)</f>
        <v/>
      </c>
      <c r="T208">
        <f>IF(C208,(Skills!G2*N208*B242)*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Hunt"),CHOOSE(ArtifactsInput!$N$35+1,15,18,21,24,27,30)*(1-EXP(-(0.2*B240)*5)),0)+IF(AND(ArtifactsInput!$M$22,Inputs!$B$4&lt;&gt;"Chapter Hunt"),CHOOSE(ArtifactsInput!$N$22+1,10,12,14,16,18,20)*((0*(((0.15*B240*5))^0/1)+1*(((0.15*B240*5))^1/1)+2*(((0.15*B240*5))^2/2)+3*(((0.15*B240*5))^3/6)+4*(((0.15*B240*5))^4/24)+5*(((0.15*B240*5))^5/120))/((((0.15*B240*5))^0/1)+(((0.15*B240*5))^1/1)+(((0.15*B240*5))^2/2)+(((0.15*B240*5))^3/6)+(((0.15*B240*5))^4/24)+(((0.15*B240*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208*(1-MIN(100,(Inputs!$B$9+((C225=TRUE)*(F225-Calc!F19))+B238+(ArtifactsInput!$M$24-ArtifactsInput!$M$24)*CHOOSE(ArtifactsInput!$N$24+1,10,12,14,16,18,20)+(IF(AND(ArtifactsInput!$M$42,((Inputs!$B$9+((C225=TRUE)*(F225-Calc!F19))+B238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208*(MIN(100,(Inputs!$B$9+((C225=TRUE)*(F225-Calc!F19))+B238+(ArtifactsInput!$M$24-ArtifactsInput!$M$24)*CHOOSE(ArtifactsInput!$N$24+1,10,12,14,16,18,20)+(IF(AND(ArtifactsInput!$M$42,((Inputs!$B$9+((C225=TRUE)*(F225-Calc!F19))+B238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208*(1-MIN(100,(Inputs!$B$9+((C225=TRUE)*(F225-Calc!F19))+B238+(ArtifactsInput!$M$24-ArtifactsInput!$M$24)*CHOOSE(ArtifactsInput!$N$24+1,10,12,14,16,18,20)+(IF(AND(ArtifactsInput!$M$42,((Inputs!$B$9+((C225=TRUE)*(F225-Calc!F19))+B238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208*(MIN(100,(Inputs!$B$9+((C225=TRUE)*(F225-Calc!F19))+B238+(ArtifactsInput!$M$24-ArtifactsInput!$M$24)*CHOOSE(ArtifactsInput!$N$24+1,10,12,14,16,18,20)+(IF(AND(ArtifactsInput!$M$42,((Inputs!$B$9+((C225=TRUE)*(F225-Calc!F19))+B238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08">
        <f>MAX(0,(Inputs!$B$3-100)*3)+Inputs!$B$28+Inputs!$B$29</f>
        <v/>
      </c>
      <c r="V208">
        <f>IF(C208,(Skills!G2*N208*B242)*IF(Inputs!$B$38="pvp",1,(1+(Inputs!$B$21+Skills!Q2+(IF(ArtifactsInput!$M$33,CHOOSE(ArtifactsInput!$N$33+1,30,36,42,48,54,60),0))+(IF(AND(ArtifactsInput!$M$35,Inputs!$B$4&lt;&gt;"Chapter Hunt"),CHOOSE(ArtifactsInput!$N$35+1,15,18,21,24,27,30)*(1-EXP(-(0.2*B240)*5)),0)+IF(AND(ArtifactsInput!$M$22,Inputs!$B$4&lt;&gt;"Chapter Hunt"),CHOOSE(ArtifactsInput!$N$22+1,10,12,14,16,18,20)*((0*(((0.15*B240*5))^0/1)+1*(((0.15*B240*5))^1/1)+2*(((0.15*B240*5))^2/2)+3*(((0.15*B240*5))^3/6)+4*(((0.15*B240*5))^4/24)+5*(((0.15*B240*5))^5/120))/((((0.15*B240*5))^0/1)+(((0.15*B240*5))^1/1)+(((0.15*B240*5))^2/2)+(((0.15*B240*5))^3/6)+(((0.15*B240*5))^4/24)+(((0.15*B240*5))^5/120)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09">
      <c r="A209">
        <f>Skills!A3</f>
        <v/>
      </c>
      <c r="B209">
        <f>Skills!B3</f>
        <v/>
      </c>
      <c r="C209">
        <f>Inputs!$B$3&gt;=50</f>
        <v/>
      </c>
      <c r="D209">
        <f>IF(Skills!C3=1,60+Inputs!$B$25+Inputs!$B$29,IF(Skills!C3=2,90+Inputs!$B$26+Inputs!$B$29,IF(Skills!C3=3,120+Inputs!$B$27+Inputs!$B$29,MAX(0,(Inputs!$B$3-100)*3)+Inputs!$B$28+Inputs!$B$29)))</f>
        <v/>
      </c>
      <c r="E209">
        <f>INDEX(FactorTable!$B$2:$Y$301, MATCH(ROUND(MIN(300,MAX(1,D209)),0), FactorTable!$A$2:$A$301,0), Skills!M3+1)</f>
        <v/>
      </c>
      <c r="F209">
        <f>IF(Skills!N3=TRUE,(Skills!L3/10)*(E209/1000),Skills!L3/10)+Skills!O3</f>
        <v/>
      </c>
      <c r="G209" t="inlineStr"/>
      <c r="H209" t="inlineStr"/>
      <c r="I209" t="inlineStr">
        <is>
          <t>1</t>
        </is>
      </c>
      <c r="J209" t="inlineStr"/>
      <c r="K209" t="inlineStr"/>
      <c r="L209" t="inlineStr"/>
      <c r="M209" t="inlineStr"/>
      <c r="N209" t="inlineStr"/>
      <c r="O209" t="inlineStr"/>
      <c r="P209" t="inlineStr"/>
      <c r="Q209" t="inlineStr"/>
      <c r="R209" t="inlineStr"/>
      <c r="S209" t="inlineStr"/>
      <c r="T209" t="inlineStr"/>
      <c r="U209">
        <f>INDEX(FactorTable!$B$2:$Y$301, MATCH(ROUND(MIN(300,MAX(1,U208)),0), FactorTable!$A$2:$A$301,0), 22)</f>
        <v/>
      </c>
      <c r="V209" t="inlineStr"/>
    </row>
    <row r="210">
      <c r="A210">
        <f>Skills!A4</f>
        <v/>
      </c>
      <c r="B210">
        <f>Skills!B4</f>
        <v/>
      </c>
      <c r="C210">
        <f>Inputs!$B$3&gt;=105</f>
        <v/>
      </c>
      <c r="D210">
        <f>IF(Skills!C4=1,60+Inputs!$B$25+Inputs!$B$29,IF(Skills!C4=2,90+Inputs!$B$26+Inputs!$B$29,IF(Skills!C4=3,120+Inputs!$B$27+Inputs!$B$29,MAX(0,(Inputs!$B$3-100)*3)+Inputs!$B$28+Inputs!$B$29)))</f>
        <v/>
      </c>
      <c r="E210">
        <f>INDEX(FactorTable!$B$2:$Y$301, MATCH(ROUND(MIN(300,MAX(1,D210)),0), FactorTable!$A$2:$A$301,0), Skills!M4+1)</f>
        <v/>
      </c>
      <c r="F210">
        <f>IF(Skills!N4=TRUE,(Skills!L4/10)*(E210/1000),Skills!L4/10)+Skills!O4</f>
        <v/>
      </c>
      <c r="G210" t="inlineStr"/>
      <c r="H210" t="inlineStr"/>
      <c r="I210" t="inlineStr">
        <is>
          <t>1</t>
        </is>
      </c>
      <c r="J210" t="inlineStr"/>
      <c r="K210" t="inlineStr"/>
      <c r="L210" t="inlineStr"/>
      <c r="M210" t="inlineStr"/>
      <c r="N210" t="inlineStr"/>
      <c r="O210" t="inlineStr"/>
      <c r="P210" t="inlineStr"/>
      <c r="Q210" t="inlineStr"/>
      <c r="R210" t="inlineStr"/>
      <c r="S210" t="inlineStr"/>
      <c r="T210" t="inlineStr"/>
      <c r="U210">
        <f>290*U209/1000</f>
        <v/>
      </c>
      <c r="V210" t="inlineStr"/>
    </row>
    <row r="211">
      <c r="A211">
        <f>Skills!A5</f>
        <v/>
      </c>
      <c r="B211">
        <f>Skills!B5</f>
        <v/>
      </c>
      <c r="C211">
        <f>Inputs!$B$3&gt;=35</f>
        <v/>
      </c>
      <c r="D211">
        <f>IF(Skills!C5=1,60+Inputs!$B$25+Inputs!$B$29,IF(Skills!C5=2,90+Inputs!$B$26+Inputs!$B$29,IF(Skills!C5=3,120+Inputs!$B$27+Inputs!$B$29,MAX(0,(Inputs!$B$3-100)*3)+Inputs!$B$28+Inputs!$B$29)))</f>
        <v/>
      </c>
      <c r="E211">
        <f>INDEX(FactorTable!$B$2:$Y$301, MATCH(ROUND(MIN(300,MAX(1,D211)),0), FactorTable!$A$2:$A$301,0), Skills!M5+1)</f>
        <v/>
      </c>
      <c r="F211">
        <f>IF(Skills!N5=TRUE,(Skills!L5/10)*(E211/1000),Skills!L5/10)+Skills!O5</f>
        <v/>
      </c>
      <c r="G211">
        <f>Skills!G5*IF(Skills!H5&gt;0,Skills!I5/Skills!H5,1)</f>
        <v/>
      </c>
      <c r="H211">
        <f>1-(1-Skills!J5/100)^Skills!K5</f>
        <v/>
      </c>
      <c r="I211" t="inlineStr">
        <is>
          <t>1</t>
        </is>
      </c>
      <c r="J211">
        <f>((Inputs!$B$6*(1+Inputs!$B$7/100))+(((Inputs!$B$12*(1+Inputs!$B$13/100))-(Inputs!$B$12*(1+Inputs!$B$13/100)))+0.25*(Inputs!$B$14-Inputs!$B$14))*(1+Inputs!$B$7/100))*(F211/100)</f>
        <v/>
      </c>
      <c r="K211">
        <f>J211*(1+((Inputs!$B$12*(1+Inputs!$B$13/100))*0.01+Inputs!$B$14*0.0025)/100)*(1+(Inputs!$B$15+1)/100)*(1+Inputs!$B$16/100)*(5000/(6000+Inputs!$B$42*(1-(100*(1-(1-(Inputs!$B$19+0)/100)*(1-CHOOSE(ArtifactsInput!$N$40+1,5,6,7,8,9,10)/100)^(ArtifactsInput!$M$40-ArtifactsInput!$M$40)))/100)))*(1+(Inputs!$B$24+((C230=TRUE)*(F230-Calc!F24))+((C231=TRUE)*(F231-Calc!F25))+B244)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214=TRUE,F214,0)/100)*(1+(IF(Skills!A5="EMPOWERED_PIERCING_ARROW",Inputs!$B$17+((C228=TRUE)*(F228-Calc!F22))+(((IF(AND(ArtifactsInput!$M$42,((Inputs!$B$9+((C225=TRUE)*(F225-Calc!F19))+B238+(ArtifactsInput!$M$24-ArtifactsInput!$M$24)*CHOOSE(ArtifactsInput!$N$24+1,10,12,14,16,18,20)+IF(ArtifactsInput!$M$10,CHOOSE(ArtifactsInput!$N$10+1,15,18,21,24,27,30)*(IF(Inputs!$B$38="pvp",MIN(15,15)/15,IF(AND(Inputs!$B$38&lt;&gt;"pvp",Inputs!$B$43&gt;0),MIN(15,Inputs!$B$43)/(Inputs!$B$43),0))),0)))&gt;=100),MIN(100,((Inputs!$B$9+((C225=TRUE)*(F225-Calc!F19))+B238+(ArtifactsInput!$M$24-ArtifactsInput!$M$24)*CHOOSE(ArtifactsInput!$N$24+1,10,12,14,16,18,20)+IF(ArtifactsInput!$M$10,CHOOSE(ArtifactsInput!$N$10+1,15,18,21,24,27,30)*(IF(Inputs!$B$38="pvp",MIN(15,15)/15,IF(AND(Inputs!$B$38&lt;&gt;"pvp",Inputs!$B$43&gt;0),MIN(15,Inputs!$B$43)/(Inputs!$B$43),0))),0)))-100),0))*CHOOSE(ArtifactsInput!$N$42+1,0.6,0.72,0.84,0.96,1.08,1.2))),Inputs!$B$18+((C233=TRUE)*(F233-Calc!F27))+(IF(AND(ArtifactsInput!$M$42,((Inputs!$B$9+((C225=TRUE)*(F225-Calc!F19))+B238+(ArtifactsInput!$M$24-ArtifactsInput!$M$24)*CHOOSE(ArtifactsInput!$N$24+1,10,12,14,16,18,20)+IF(ArtifactsInput!$M$10,CHOOSE(ArtifactsInput!$N$10+1,15,18,21,24,27,30)*(IF(Inputs!$B$38="pvp",MIN(15,15)/15,IF(AND(Inputs!$B$38&lt;&gt;"pvp",Inputs!$B$43&gt;0),MIN(15,Inputs!$B$43)/(Inputs!$B$43),0))),0)))&gt;=100),CHOOSE(ArtifactsInput!$N$42+1,40,48,56,64,72,80),0))))/100)*((1+(((C219=TRUE)*F219)+((C220=TRUE)*IF(Inputs!$B$38="pvp",F220,(1-Summary!$B$11)*(F220)+Summary!$B$11*(0)))+((C221=TRUE)*F221*IF(AND(Inputs!$B$38&lt;&gt;"pvp",Inputs!$B$43&gt;0),(((R221-1)*(Skills!T15*(1+Inputs!$B$34/100))+MIN((Skills!T15*(1+Inputs!$B$34/100)),MAX(0,Inputs!$B$43-((R221-1)*Skills!D15))))/Inputs!$B$43),IF(Inputs!$B$38="pvp",MIN((Skills!T15*(1+Inputs!$B$34/100)),15)/15,(Skills!T15*(1+Inputs!$B$34/100))/Skills!D15)))+((C218=TRUE)*F218)+((C235=TRUE)*(F235-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211)</f>
        <v/>
      </c>
      <c r="L211">
        <f>K211*(MIN(Inputs!$B$22+((C229=TRUE)*(F229-Calc!F23)),(Inputs!$B$23+((C234=TRUE)*(F234-Calc!F28))+(IF(ArtifactsInput!$M$15,CHOOSE(ArtifactsInput!$N$15+1,25,30,35,40,45,50)/100*(Inputs!$B$11-Inputs!$B$11),0))))/100+(Inputs!$B$23+((C234=TRUE)*(F234-Calc!F28))+(IF(ArtifactsInput!$M$15,CHOOSE(ArtifactsInput!$N$15+1,25,30,35,40,45,50)/100*(Inputs!$B$11-Inputs!$B$11),0)))/100)/2</f>
        <v/>
      </c>
      <c r="M211">
        <f>L211*(1+(Inputs!$B$10+0+B243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11">
        <f>L211*(1-MIN((Inputs!$B$9+((C225=TRUE)*(F225-Calc!F19))+B238+(ArtifactsInput!$M$24-ArtifactsInput!$M$24)*CHOOSE(ArtifactsInput!$N$24+1,10,12,14,16,18,20)+(IF(AND(ArtifactsInput!$M$42,((Inputs!$B$9+((C225=TRUE)*(F225-Calc!F19))+B238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211*(MIN((Inputs!$B$9+((C225=TRUE)*(F225-Calc!F19))+B238+(ArtifactsInput!$M$24-ArtifactsInput!$M$24)*CHOOSE(ArtifactsInput!$N$24+1,10,12,14,16,18,20)+(IF(AND(ArtifactsInput!$M$42,((Inputs!$B$9+((C225=TRUE)*(F225-Calc!F19))+B238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11">
        <f>(1-Summary!$B$11)*T211+Summary!$B$11*V211</f>
        <v/>
      </c>
      <c r="P211">
        <f>IF(B248=0,0,O211/B248)</f>
        <v/>
      </c>
      <c r="Q211">
        <f>IFERROR(1/IF(Inputs!$B$38="pvp",15,MAX(0.1,Skills!D5-IF(Skills!E5=TRUE,Inputs!$B$32,0))),0)</f>
        <v/>
      </c>
      <c r="R211">
        <f>IF(AND(Inputs!$B$38&lt;&gt;"pvp",Inputs!$B$43&gt;0),IF(MAX(0,Inputs!$B$43-B245)&lt;=0,0,(INT(MAX(0,Inputs!$B$43-B245)/IF(Inputs!$B$38="pvp",15,MAX(0.1,Skills!D5-IF(Skills!E5=TRUE,Inputs!$B$32,0))))+1)),0)</f>
        <v/>
      </c>
      <c r="S211">
        <f>IFERROR((H211*N211*IF(AND(Inputs!$B$38&lt;&gt;"pvp",Inputs!$B$43&gt;0),((Skills!G5*((R211-1)*IF(Skills!H5&gt;0,Skills!I5/Skills!H5,1)+IF(Skills!H5&gt;0,MIN(Skills!I5,MAX(0,MAX(0,Inputs!$B$43-B245)-((R211-1)*IF(Inputs!$B$38="pvp",15,MAX(0.1,Skills!D5-IF(Skills!E5=TRUE,Inputs!$B$32,0))))))/Skills!H5,1)))/Inputs!$B$43),G211*Q211))/N211*IF(Inputs!$B$38="pvp",1,(1-Summary!$B$11)*1+Summary!$B$11*(MIN(Skills!R5,Inputs!$B$37))),0)</f>
        <v/>
      </c>
      <c r="T211">
        <f>IF(C211,(H211*N211*IF(AND(Inputs!$B$38&lt;&gt;"pvp",Inputs!$B$43&gt;0),((Skills!G5*((R211-1)*IF(Skills!H5&gt;0,Skills!I5/Skills!H5,1)+IF(Skills!H5&gt;0,MIN(Skills!I5,MAX(0,MAX(0,Inputs!$B$43-B245)-((R211-1)*IF(Inputs!$B$38="pvp",15,MAX(0.1,Skills!D5-IF(Skills!E5=TRUE,Inputs!$B$32,0))))))/Skills!H5,1)))/Inputs!$B$43),G211*Q211))*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Hunt"),CHOOSE(ArtifactsInput!$N$35+1,15,18,21,24,27,30)*(1-EXP(-(0.2*B240)*5)),0)+IF(AND(ArtifactsInput!$M$22,Inputs!$B$4&lt;&gt;"Chapter Hunt"),CHOOSE(ArtifactsInput!$N$22+1,10,12,14,16,18,20)*((0*(((0.15*B240*5))^0/1)+1*(((0.15*B240*5))^1/1)+2*(((0.15*B240*5))^2/2)+3*(((0.15*B240*5))^3/6)+4*(((0.15*B240*5))^4/24)+5*(((0.15*B240*5))^5/120))/((((0.15*B240*5))^0/1)+(((0.15*B240*5))^1/1)+(((0.15*B240*5))^2/2)+(((0.15*B240*5))^3/6)+(((0.15*B240*5))^4/24)+(((0.15*B240*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211*(1-MIN(100,(Inputs!$B$9+((C225=TRUE)*(F225-Calc!F19))+B238+(ArtifactsInput!$M$24-ArtifactsInput!$M$24)*CHOOSE(ArtifactsInput!$N$24+1,10,12,14,16,18,20)+(IF(AND(ArtifactsInput!$M$42,((Inputs!$B$9+((C225=TRUE)*(F225-Calc!F19))+B238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211*(MIN(100,(Inputs!$B$9+((C225=TRUE)*(F225-Calc!F19))+B238+(ArtifactsInput!$M$24-ArtifactsInput!$M$24)*CHOOSE(ArtifactsInput!$N$24+1,10,12,14,16,18,20)+(IF(AND(ArtifactsInput!$M$42,((Inputs!$B$9+((C225=TRUE)*(F225-Calc!F19))+B238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211*(1-MIN(100,(Inputs!$B$9+((C225=TRUE)*(F225-Calc!F19))+B238+(ArtifactsInput!$M$24-ArtifactsInput!$M$24)*CHOOSE(ArtifactsInput!$N$24+1,10,12,14,16,18,20)+(IF(AND(ArtifactsInput!$M$42,((Inputs!$B$9+((C225=TRUE)*(F225-Calc!F19))+B238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211*(MIN(100,(Inputs!$B$9+((C225=TRUE)*(F225-Calc!F19))+B238+(ArtifactsInput!$M$24-ArtifactsInput!$M$24)*CHOOSE(ArtifactsInput!$N$24+1,10,12,14,16,18,20)+(IF(AND(ArtifactsInput!$M$42,((Inputs!$B$9+((C225=TRUE)*(F225-Calc!F19))+B238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11">
        <f>IF(C211,(H211*N211*IF(AND(Inputs!$B$38&lt;&gt;"pvp",Inputs!$B$43&gt;0),((Skills!G5*((R211-1)*IF(Skills!H5&gt;0,Skills!I5/Skills!H5,1)+IF(Skills!H5&gt;0,MIN(Skills!I5,MAX(0,MAX(0,Inputs!$B$43-B245)-((R211-1)*IF(Inputs!$B$38="pvp",15,MAX(0.1,Skills!D5-IF(Skills!E5=TRUE,Inputs!$B$32,0))))))/Skills!H5,1)))/Inputs!$B$43),G211*Q211))*IF(Inputs!$B$38="pvp",1,(1+(Inputs!$B$21+Skills!Q5+(IF(ArtifactsInput!$M$33,CHOOSE(ArtifactsInput!$N$33+1,30,36,42,48,54,60),0))+(IF(AND(ArtifactsInput!$M$35,Inputs!$B$4&lt;&gt;"Chapter Hunt"),CHOOSE(ArtifactsInput!$N$35+1,15,18,21,24,27,30)*(1-EXP(-(0.2*B240)*5)),0)+IF(AND(ArtifactsInput!$M$22,Inputs!$B$4&lt;&gt;"Chapter Hunt"),CHOOSE(ArtifactsInput!$N$22+1,10,12,14,16,18,20)*((0*(((0.15*B240*5))^0/1)+1*(((0.15*B240*5))^1/1)+2*(((0.15*B240*5))^2/2)+3*(((0.15*B240*5))^3/6)+4*(((0.15*B240*5))^4/24)+5*(((0.15*B240*5))^5/120))/((((0.15*B240*5))^0/1)+(((0.15*B240*5))^1/1)+(((0.15*B240*5))^2/2)+(((0.15*B240*5))^3/6)+(((0.15*B240*5))^4/24)+(((0.15*B240*5))^5/120)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12">
      <c r="A212">
        <f>Skills!A6</f>
        <v/>
      </c>
      <c r="B212">
        <f>Skills!B6</f>
        <v/>
      </c>
      <c r="C212">
        <f>Inputs!$B$3&gt;=63</f>
        <v/>
      </c>
      <c r="D212">
        <f>IF(Skills!C6=1,60+Inputs!$B$25+Inputs!$B$29,IF(Skills!C6=2,90+Inputs!$B$26+Inputs!$B$29,IF(Skills!C6=3,120+Inputs!$B$27+Inputs!$B$29,MAX(0,(Inputs!$B$3-100)*3)+Inputs!$B$28+Inputs!$B$29)))</f>
        <v/>
      </c>
      <c r="E212">
        <f>INDEX(FactorTable!$B$2:$Y$301, MATCH(ROUND(MIN(300,MAX(1,D212)),0), FactorTable!$A$2:$A$301,0), Skills!M6+1)</f>
        <v/>
      </c>
      <c r="F212">
        <f>IF(Skills!N6=TRUE,(Skills!L6/10)*(E212/1000),Skills!L6/10)+Skills!O6</f>
        <v/>
      </c>
      <c r="G212">
        <f>Skills!G6*IF(Skills!H6&gt;0,Skills!I6/Skills!H6,1)</f>
        <v/>
      </c>
      <c r="H212">
        <f>1-(1-Skills!J6/100)^Skills!K6</f>
        <v/>
      </c>
      <c r="I212" t="inlineStr">
        <is>
          <t>1</t>
        </is>
      </c>
      <c r="J212">
        <f>((Inputs!$B$6*(1+Inputs!$B$7/100))+(((Inputs!$B$12*(1+Inputs!$B$13/100))-(Inputs!$B$12*(1+Inputs!$B$13/100)))+0.25*(Inputs!$B$14-Inputs!$B$14))*(1+Inputs!$B$7/100))*(F212/100)</f>
        <v/>
      </c>
      <c r="K212">
        <f>J212*(1+((Inputs!$B$12*(1+Inputs!$B$13/100))*0.01+Inputs!$B$14*0.0025)/100)*(1+(Inputs!$B$15+1)/100)*(1+Inputs!$B$16/100)*(5000/(6000+Inputs!$B$42*(1-(100*(1-(1-(Inputs!$B$19+0)/100)*(1-CHOOSE(ArtifactsInput!$N$40+1,5,6,7,8,9,10)/100)^(ArtifactsInput!$M$40-ArtifactsInput!$M$40)))/100)))*(1+(Inputs!$B$24+((C230=TRUE)*(F230-Calc!F24))+((C231=TRUE)*(F231-Calc!F25))+B244)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214=TRUE,F214,0)/100)*(1+(IF(Skills!A6="EMPOWERED_PIERCING_ARROW",Inputs!$B$17+((C228=TRUE)*(F228-Calc!F22))+(((IF(AND(ArtifactsInput!$M$42,((Inputs!$B$9+((C225=TRUE)*(F225-Calc!F19))+B238+(ArtifactsInput!$M$24-ArtifactsInput!$M$24)*CHOOSE(ArtifactsInput!$N$24+1,10,12,14,16,18,20)+IF(ArtifactsInput!$M$10,CHOOSE(ArtifactsInput!$N$10+1,15,18,21,24,27,30)*(IF(Inputs!$B$38="pvp",MIN(15,15)/15,IF(AND(Inputs!$B$38&lt;&gt;"pvp",Inputs!$B$43&gt;0),MIN(15,Inputs!$B$43)/(Inputs!$B$43),0))),0)))&gt;=100),MIN(100,((Inputs!$B$9+((C225=TRUE)*(F225-Calc!F19))+B238+(ArtifactsInput!$M$24-ArtifactsInput!$M$24)*CHOOSE(ArtifactsInput!$N$24+1,10,12,14,16,18,20)+IF(ArtifactsInput!$M$10,CHOOSE(ArtifactsInput!$N$10+1,15,18,21,24,27,30)*(IF(Inputs!$B$38="pvp",MIN(15,15)/15,IF(AND(Inputs!$B$38&lt;&gt;"pvp",Inputs!$B$43&gt;0),MIN(15,Inputs!$B$43)/(Inputs!$B$43),0))),0)))-100),0))*CHOOSE(ArtifactsInput!$N$42+1,0.6,0.72,0.84,0.96,1.08,1.2))),Inputs!$B$18+((C233=TRUE)*(F233-Calc!F27))+(IF(AND(ArtifactsInput!$M$42,((Inputs!$B$9+((C225=TRUE)*(F225-Calc!F19))+B238+(ArtifactsInput!$M$24-ArtifactsInput!$M$24)*CHOOSE(ArtifactsInput!$N$24+1,10,12,14,16,18,20)+IF(ArtifactsInput!$M$10,CHOOSE(ArtifactsInput!$N$10+1,15,18,21,24,27,30)*(IF(Inputs!$B$38="pvp",MIN(15,15)/15,IF(AND(Inputs!$B$38&lt;&gt;"pvp",Inputs!$B$43&gt;0),MIN(15,Inputs!$B$43)/(Inputs!$B$43),0))),0)))&gt;=100),CHOOSE(ArtifactsInput!$N$42+1,40,48,56,64,72,80),0))))/100)*((1+(((C219=TRUE)*F219)+((C220=TRUE)*IF(Inputs!$B$38="pvp",F220,(1-Summary!$B$11)*(F220)+Summary!$B$11*(0)))+((C221=TRUE)*F221*IF(AND(Inputs!$B$38&lt;&gt;"pvp",Inputs!$B$43&gt;0),(((R221-1)*(Skills!T15*(1+Inputs!$B$34/100))+MIN((Skills!T15*(1+Inputs!$B$34/100)),MAX(0,Inputs!$B$43-((R221-1)*Skills!D15))))/Inputs!$B$43),IF(Inputs!$B$38="pvp",MIN((Skills!T15*(1+Inputs!$B$34/100)),15)/15,(Skills!T15*(1+Inputs!$B$34/100))/Skills!D15)))+((C218=TRUE)*F218)+((C235=TRUE)*(F235-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212)</f>
        <v/>
      </c>
      <c r="L212">
        <f>K212*(MIN(Inputs!$B$22+((C229=TRUE)*(F229-Calc!F23)),(Inputs!$B$23+((C234=TRUE)*(F234-Calc!F28))+(IF(ArtifactsInput!$M$15,CHOOSE(ArtifactsInput!$N$15+1,25,30,35,40,45,50)/100*(Inputs!$B$11-Inputs!$B$11),0))))/100+(Inputs!$B$23+((C234=TRUE)*(F234-Calc!F28))+(IF(ArtifactsInput!$M$15,CHOOSE(ArtifactsInput!$N$15+1,25,30,35,40,45,50)/100*(Inputs!$B$11-Inputs!$B$11),0)))/100)/2</f>
        <v/>
      </c>
      <c r="M212">
        <f>L212*(1+(Inputs!$B$10+0+B243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12">
        <f>L212*(1-MIN((Inputs!$B$9+((C225=TRUE)*(F225-Calc!F19))+B238+(ArtifactsInput!$M$24-ArtifactsInput!$M$24)*CHOOSE(ArtifactsInput!$N$24+1,10,12,14,16,18,20)+(IF(AND(ArtifactsInput!$M$42,((Inputs!$B$9+((C225=TRUE)*(F225-Calc!F19))+B238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212*(MIN((Inputs!$B$9+((C225=TRUE)*(F225-Calc!F19))+B238+(ArtifactsInput!$M$24-ArtifactsInput!$M$24)*CHOOSE(ArtifactsInput!$N$24+1,10,12,14,16,18,20)+(IF(AND(ArtifactsInput!$M$42,((Inputs!$B$9+((C225=TRUE)*(F225-Calc!F19))+B238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12">
        <f>(1-Summary!$B$11)*T212+Summary!$B$11*V212</f>
        <v/>
      </c>
      <c r="P212">
        <f>IF(B248=0,0,O212/B248)</f>
        <v/>
      </c>
      <c r="Q212">
        <f>IFERROR(1/IF(Inputs!$B$38="pvp",15,MAX(0.1,Skills!D6-IF(Skills!E6=TRUE,Inputs!$B$32,0))),0)</f>
        <v/>
      </c>
      <c r="R212">
        <f>IF(AND(Inputs!$B$38&lt;&gt;"pvp",Inputs!$B$43&gt;0),IF(MAX(0,Inputs!$B$43-B245)&lt;=0,0,(INT(MAX(0,Inputs!$B$43-B245)/IF(Inputs!$B$38="pvp",15,MAX(0.1,Skills!D6-IF(Skills!E6=TRUE,Inputs!$B$32,0))))+1)),0)</f>
        <v/>
      </c>
      <c r="S212">
        <f>IFERROR((H212*N212*IF(AND(Inputs!$B$38&lt;&gt;"pvp",Inputs!$B$43&gt;0),((Skills!G6*((R212-1)*IF(Skills!H6&gt;0,Skills!I6/Skills!H6,1)+IF(Skills!H6&gt;0,MIN(Skills!I6,MAX(0,MAX(0,Inputs!$B$43-B245)-((R212-1)*IF(Inputs!$B$38="pvp",15,MAX(0.1,Skills!D6-IF(Skills!E6=TRUE,Inputs!$B$32,0))))))/Skills!H6,1)))/Inputs!$B$43),G212*Q212))/N212*IF(Inputs!$B$38="pvp",1,(1-Summary!$B$11)*1+Summary!$B$11*(MIN(Skills!R6,Inputs!$B$37))),0)</f>
        <v/>
      </c>
      <c r="T212">
        <f>IF(C212,(H212*N212*IF(AND(Inputs!$B$38&lt;&gt;"pvp",Inputs!$B$43&gt;0),((Skills!G6*((R212-1)*IF(Skills!H6&gt;0,Skills!I6/Skills!H6,1)+IF(Skills!H6&gt;0,MIN(Skills!I6,MAX(0,MAX(0,Inputs!$B$43-B245)-((R212-1)*IF(Inputs!$B$38="pvp",15,MAX(0.1,Skills!D6-IF(Skills!E6=TRUE,Inputs!$B$32,0))))))/Skills!H6,1)))/Inputs!$B$43),G212*Q212))*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Hunt"),CHOOSE(ArtifactsInput!$N$35+1,15,18,21,24,27,30)*(1-EXP(-(0.2*B240)*5)),0)+IF(AND(ArtifactsInput!$M$22,Inputs!$B$4&lt;&gt;"Chapter Hunt"),CHOOSE(ArtifactsInput!$N$22+1,10,12,14,16,18,20)*((0*(((0.15*B240*5))^0/1)+1*(((0.15*B240*5))^1/1)+2*(((0.15*B240*5))^2/2)+3*(((0.15*B240*5))^3/6)+4*(((0.15*B240*5))^4/24)+5*(((0.15*B240*5))^5/120))/((((0.15*B240*5))^0/1)+(((0.15*B240*5))^1/1)+(((0.15*B240*5))^2/2)+(((0.15*B240*5))^3/6)+(((0.15*B240*5))^4/24)+(((0.15*B240*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212*(1-MIN(100,(Inputs!$B$9+((C225=TRUE)*(F225-Calc!F19))+B238+(ArtifactsInput!$M$24-ArtifactsInput!$M$24)*CHOOSE(ArtifactsInput!$N$24+1,10,12,14,16,18,20)+(IF(AND(ArtifactsInput!$M$42,((Inputs!$B$9+((C225=TRUE)*(F225-Calc!F19))+B238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212*(MIN(100,(Inputs!$B$9+((C225=TRUE)*(F225-Calc!F19))+B238+(ArtifactsInput!$M$24-ArtifactsInput!$M$24)*CHOOSE(ArtifactsInput!$N$24+1,10,12,14,16,18,20)+(IF(AND(ArtifactsInput!$M$42,((Inputs!$B$9+((C225=TRUE)*(F225-Calc!F19))+B238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212*(1-MIN(100,(Inputs!$B$9+((C225=TRUE)*(F225-Calc!F19))+B238+(ArtifactsInput!$M$24-ArtifactsInput!$M$24)*CHOOSE(ArtifactsInput!$N$24+1,10,12,14,16,18,20)+(IF(AND(ArtifactsInput!$M$42,((Inputs!$B$9+((C225=TRUE)*(F225-Calc!F19))+B238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212*(MIN(100,(Inputs!$B$9+((C225=TRUE)*(F225-Calc!F19))+B238+(ArtifactsInput!$M$24-ArtifactsInput!$M$24)*CHOOSE(ArtifactsInput!$N$24+1,10,12,14,16,18,20)+(IF(AND(ArtifactsInput!$M$42,((Inputs!$B$9+((C225=TRUE)*(F225-Calc!F19))+B238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12">
        <f>IF(C212,(H212*N212*IF(AND(Inputs!$B$38&lt;&gt;"pvp",Inputs!$B$43&gt;0),((Skills!G6*((R212-1)*IF(Skills!H6&gt;0,Skills!I6/Skills!H6,1)+IF(Skills!H6&gt;0,MIN(Skills!I6,MAX(0,MAX(0,Inputs!$B$43-B245)-((R212-1)*IF(Inputs!$B$38="pvp",15,MAX(0.1,Skills!D6-IF(Skills!E6=TRUE,Inputs!$B$32,0))))))/Skills!H6,1)))/Inputs!$B$43),G212*Q212))*IF(Inputs!$B$38="pvp",1,(1+(Inputs!$B$21+Skills!Q6+(IF(ArtifactsInput!$M$33,CHOOSE(ArtifactsInput!$N$33+1,30,36,42,48,54,60),0))+(IF(AND(ArtifactsInput!$M$35,Inputs!$B$4&lt;&gt;"Chapter Hunt"),CHOOSE(ArtifactsInput!$N$35+1,15,18,21,24,27,30)*(1-EXP(-(0.2*B240)*5)),0)+IF(AND(ArtifactsInput!$M$22,Inputs!$B$4&lt;&gt;"Chapter Hunt"),CHOOSE(ArtifactsInput!$N$22+1,10,12,14,16,18,20)*((0*(((0.15*B240*5))^0/1)+1*(((0.15*B240*5))^1/1)+2*(((0.15*B240*5))^2/2)+3*(((0.15*B240*5))^3/6)+4*(((0.15*B240*5))^4/24)+5*(((0.15*B240*5))^5/120))/((((0.15*B240*5))^0/1)+(((0.15*B240*5))^1/1)+(((0.15*B240*5))^2/2)+(((0.15*B240*5))^3/6)+(((0.15*B240*5))^4/24)+(((0.15*B240*5))^5/120))),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13">
      <c r="A213">
        <f>Skills!A7</f>
        <v/>
      </c>
      <c r="B213">
        <f>Skills!B7</f>
        <v/>
      </c>
      <c r="C213">
        <f>Inputs!$B$3&gt;=69</f>
        <v/>
      </c>
      <c r="D213">
        <f>IF(Skills!C7=1,60+Inputs!$B$25+Inputs!$B$29,IF(Skills!C7=2,90+Inputs!$B$26+Inputs!$B$29,IF(Skills!C7=3,120+Inputs!$B$27+Inputs!$B$29,MAX(0,(Inputs!$B$3-100)*3)+Inputs!$B$28+Inputs!$B$29)))</f>
        <v/>
      </c>
      <c r="E213">
        <f>INDEX(FactorTable!$B$2:$Y$301, MATCH(ROUND(MIN(300,MAX(1,D213)),0), FactorTable!$A$2:$A$301,0), Skills!M7+1)</f>
        <v/>
      </c>
      <c r="F213">
        <f>IF(Skills!N7=TRUE,(Skills!L7/10)*(E213/1000),Skills!L7/10)+Skills!O7</f>
        <v/>
      </c>
      <c r="G213">
        <f>Skills!G7*IF(Skills!H7&gt;0,Skills!I7/Skills!H7,1)</f>
        <v/>
      </c>
      <c r="H213">
        <f>1-(1-Skills!J7/100)^Skills!K7</f>
        <v/>
      </c>
      <c r="I213" t="inlineStr">
        <is>
          <t>1</t>
        </is>
      </c>
      <c r="J213">
        <f>((Inputs!$B$6*(1+Inputs!$B$7/100))+(((Inputs!$B$12*(1+Inputs!$B$13/100))-(Inputs!$B$12*(1+Inputs!$B$13/100)))+0.25*(Inputs!$B$14-Inputs!$B$14))*(1+Inputs!$B$7/100))*(F213/100)</f>
        <v/>
      </c>
      <c r="K213">
        <f>J213*(1+((Inputs!$B$12*(1+Inputs!$B$13/100))*0.01+Inputs!$B$14*0.0025)/100)*(1+(Inputs!$B$15+1)/100)*(1+Inputs!$B$16/100)*(5000/(6000+Inputs!$B$42*(1-(100*(1-(1-(Inputs!$B$19+0)/100)*(1-CHOOSE(ArtifactsInput!$N$40+1,5,6,7,8,9,10)/100)^(ArtifactsInput!$M$40-ArtifactsInput!$M$40)))/100)))*(1+(Inputs!$B$24+((C230=TRUE)*(F230-Calc!F24))+((C231=TRUE)*(F231-Calc!F25))+B244)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+1.2*IF(C214=TRUE,F214,0)/100)*(1+(IF(Skills!A7="EMPOWERED_PIERCING_ARROW",Inputs!$B$17+((C228=TRUE)*(F228-Calc!F22))+(((IF(AND(ArtifactsInput!$M$42,((Inputs!$B$9+((C225=TRUE)*(F225-Calc!F19))+B238+(ArtifactsInput!$M$24-ArtifactsInput!$M$24)*CHOOSE(ArtifactsInput!$N$24+1,10,12,14,16,18,20)+IF(ArtifactsInput!$M$10,CHOOSE(ArtifactsInput!$N$10+1,15,18,21,24,27,30)*(IF(Inputs!$B$38="pvp",MIN(15,15)/15,IF(AND(Inputs!$B$38&lt;&gt;"pvp",Inputs!$B$43&gt;0),MIN(15,Inputs!$B$43)/(Inputs!$B$43),0))),0)))&gt;=100),MIN(100,((Inputs!$B$9+((C225=TRUE)*(F225-Calc!F19))+B238+(ArtifactsInput!$M$24-ArtifactsInput!$M$24)*CHOOSE(ArtifactsInput!$N$24+1,10,12,14,16,18,20)+IF(ArtifactsInput!$M$10,CHOOSE(ArtifactsInput!$N$10+1,15,18,21,24,27,30)*(IF(Inputs!$B$38="pvp",MIN(15,15)/15,IF(AND(Inputs!$B$38&lt;&gt;"pvp",Inputs!$B$43&gt;0),MIN(15,Inputs!$B$43)/(Inputs!$B$43),0))),0)))-100),0))*CHOOSE(ArtifactsInput!$N$42+1,0.6,0.72,0.84,0.96,1.08,1.2))),Inputs!$B$18+((C233=TRUE)*(F233-Calc!F27))+(IF(AND(ArtifactsInput!$M$42,((Inputs!$B$9+((C225=TRUE)*(F225-Calc!F19))+B238+(ArtifactsInput!$M$24-ArtifactsInput!$M$24)*CHOOSE(ArtifactsInput!$N$24+1,10,12,14,16,18,20)+IF(ArtifactsInput!$M$10,CHOOSE(ArtifactsInput!$N$10+1,15,18,21,24,27,30)*(IF(Inputs!$B$38="pvp",MIN(15,15)/15,IF(AND(Inputs!$B$38&lt;&gt;"pvp",Inputs!$B$43&gt;0),MIN(15,Inputs!$B$43)/(Inputs!$B$43),0))),0)))&gt;=100),CHOOSE(ArtifactsInput!$N$42+1,40,48,56,64,72,80),0))))/100)*((1+(((C219=TRUE)*F219)+((C220=TRUE)*IF(Inputs!$B$38="pvp",F220,(1-Summary!$B$11)*(F220)+Summary!$B$11*(0)))+((C221=TRUE)*F221*IF(AND(Inputs!$B$38&lt;&gt;"pvp",Inputs!$B$43&gt;0),(((R221-1)*(Skills!T15*(1+Inputs!$B$34/100))+MIN((Skills!T15*(1+Inputs!$B$34/100)),MAX(0,Inputs!$B$43-((R221-1)*Skills!D15))))/Inputs!$B$43),IF(Inputs!$B$38="pvp",MIN((Skills!T15*(1+Inputs!$B$34/100)),15)/15,(Skills!T15*(1+Inputs!$B$34/100))/Skills!D15)))+((C218=TRUE)*F218)+((C235=TRUE)*(F235-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213)</f>
        <v/>
      </c>
      <c r="L213">
        <f>K213*(MIN(Inputs!$B$22+((C229=TRUE)*(F229-Calc!F23)),(Inputs!$B$23+((C234=TRUE)*(F234-Calc!F28))+(IF(ArtifactsInput!$M$15,CHOOSE(ArtifactsInput!$N$15+1,25,30,35,40,45,50)/100*(Inputs!$B$11-Inputs!$B$11),0))))/100+(Inputs!$B$23+((C234=TRUE)*(F234-Calc!F28))+(IF(ArtifactsInput!$M$15,CHOOSE(ArtifactsInput!$N$15+1,25,30,35,40,45,50)/100*(Inputs!$B$11-Inputs!$B$11),0)))/100)/2</f>
        <v/>
      </c>
      <c r="M213">
        <f>L213*(1+(Inputs!$B$10+0+B243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13">
        <f>L213*(1-MIN((Inputs!$B$9+((C225=TRUE)*(F225-Calc!F19))+B238+(ArtifactsInput!$M$24-ArtifactsInput!$M$24)*CHOOSE(ArtifactsInput!$N$24+1,10,12,14,16,18,20)+(IF(AND(ArtifactsInput!$M$42,((Inputs!$B$9+((C225=TRUE)*(F225-Calc!F19))+B238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213*(MIN((Inputs!$B$9+((C225=TRUE)*(F225-Calc!F19))+B238+(ArtifactsInput!$M$24-ArtifactsInput!$M$24)*CHOOSE(ArtifactsInput!$N$24+1,10,12,14,16,18,20)+(IF(AND(ArtifactsInput!$M$42,((Inputs!$B$9+((C225=TRUE)*(F225-Calc!F19))+B238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13">
        <f>(1-Summary!$B$11)*T213+Summary!$B$11*V213</f>
        <v/>
      </c>
      <c r="P213">
        <f>IF(B248=0,0,O213/B248)</f>
        <v/>
      </c>
      <c r="Q213">
        <f>IFERROR(1/IF(Inputs!$B$38="pvp",15,MAX(0.1,Skills!D7-IF(Skills!E7=TRUE,Inputs!$B$32,0))),0)</f>
        <v/>
      </c>
      <c r="R213">
        <f>IF(AND(Inputs!$B$38&lt;&gt;"pvp",Inputs!$B$43&gt;0),IF(MAX(0,Inputs!$B$43-B245)&lt;=0,0,(INT(MAX(0,Inputs!$B$43-B245)/IF(Inputs!$B$38="pvp",15,MAX(0.1,Skills!D7-IF(Skills!E7=TRUE,Inputs!$B$32,0))))+1)),0)</f>
        <v/>
      </c>
      <c r="S213">
        <f>IFERROR((H213*N213*IF(AND(Inputs!$B$38&lt;&gt;"pvp",Inputs!$B$43&gt;0),((Skills!G7*((R213-1)*IF(Skills!H7&gt;0,Skills!I7/Skills!H7,1)+IF(Skills!H7&gt;0,MIN(Skills!I7,MAX(0,MAX(0,Inputs!$B$43-B245)-((R213-1)*IF(Inputs!$B$38="pvp",15,MAX(0.1,Skills!D7-IF(Skills!E7=TRUE,Inputs!$B$32,0))))))/Skills!H7,1)))/Inputs!$B$43),G213*Q213))/N213*IF(Inputs!$B$38="pvp",1,(1-Summary!$B$11)*1+Summary!$B$11*(MIN(Skills!R7,Inputs!$B$37))),0)</f>
        <v/>
      </c>
      <c r="T213">
        <f>IF(C213,(H213*N213*IF(AND(Inputs!$B$38&lt;&gt;"pvp",Inputs!$B$43&gt;0),((Skills!G7*((R213-1)*IF(Skills!H7&gt;0,Skills!I7/Skills!H7,1)+IF(Skills!H7&gt;0,MIN(Skills!I7,MAX(0,MAX(0,Inputs!$B$43-B245)-((R213-1)*IF(Inputs!$B$38="pvp",15,MAX(0.1,Skills!D7-IF(Skills!E7=TRUE,Inputs!$B$32,0))))))/Skills!H7,1)))/Inputs!$B$43),G213*Q213))*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Hunt"),CHOOSE(ArtifactsInput!$N$35+1,15,18,21,24,27,30)*(1-EXP(-(0.2*B240)*5)),0)+IF(AND(ArtifactsInput!$M$22,Inputs!$B$4&lt;&gt;"Chapter Hunt"),CHOOSE(ArtifactsInput!$N$22+1,10,12,14,16,18,20)*((0*(((0.15*B240*5))^0/1)+1*(((0.15*B240*5))^1/1)+2*(((0.15*B240*5))^2/2)+3*(((0.15*B240*5))^3/6)+4*(((0.15*B240*5))^4/24)+5*(((0.15*B240*5))^5/120))/((((0.15*B240*5))^0/1)+(((0.15*B240*5))^1/1)+(((0.15*B240*5))^2/2)+(((0.15*B240*5))^3/6)+(((0.15*B240*5))^4/24)+(((0.15*B240*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213*(1-MIN(100,(Inputs!$B$9+((C225=TRUE)*(F225-Calc!F19))+B238+(ArtifactsInput!$M$24-ArtifactsInput!$M$24)*CHOOSE(ArtifactsInput!$N$24+1,10,12,14,16,18,20)+(IF(AND(ArtifactsInput!$M$42,((Inputs!$B$9+((C225=TRUE)*(F225-Calc!F19))+B238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213*(MIN(100,(Inputs!$B$9+((C225=TRUE)*(F225-Calc!F19))+B238+(ArtifactsInput!$M$24-ArtifactsInput!$M$24)*CHOOSE(ArtifactsInput!$N$24+1,10,12,14,16,18,20)+(IF(AND(ArtifactsInput!$M$42,((Inputs!$B$9+((C225=TRUE)*(F225-Calc!F19))+B238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213*(1-MIN(100,(Inputs!$B$9+((C225=TRUE)*(F225-Calc!F19))+B238+(ArtifactsInput!$M$24-ArtifactsInput!$M$24)*CHOOSE(ArtifactsInput!$N$24+1,10,12,14,16,18,20)+(IF(AND(ArtifactsInput!$M$42,((Inputs!$B$9+((C225=TRUE)*(F225-Calc!F19))+B238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213*(MIN(100,(Inputs!$B$9+((C225=TRUE)*(F225-Calc!F19))+B238+(ArtifactsInput!$M$24-ArtifactsInput!$M$24)*CHOOSE(ArtifactsInput!$N$24+1,10,12,14,16,18,20)+(IF(AND(ArtifactsInput!$M$42,((Inputs!$B$9+((C225=TRUE)*(F225-Calc!F19))+B238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13">
        <f>IF(C213,(H213*N213*IF(AND(Inputs!$B$38&lt;&gt;"pvp",Inputs!$B$43&gt;0),((Skills!G7*((R213-1)*IF(Skills!H7&gt;0,Skills!I7/Skills!H7,1)+IF(Skills!H7&gt;0,MIN(Skills!I7,MAX(0,MAX(0,Inputs!$B$43-B245)-((R213-1)*IF(Inputs!$B$38="pvp",15,MAX(0.1,Skills!D7-IF(Skills!E7=TRUE,Inputs!$B$32,0))))))/Skills!H7,1)))/Inputs!$B$43),G213*Q213))*IF(Inputs!$B$38="pvp",1,(1+(Inputs!$B$21+Skills!Q7+(IF(ArtifactsInput!$M$33,CHOOSE(ArtifactsInput!$N$33+1,30,36,42,48,54,60),0))+(IF(AND(ArtifactsInput!$M$35,Inputs!$B$4&lt;&gt;"Chapter Hunt"),CHOOSE(ArtifactsInput!$N$35+1,15,18,21,24,27,30)*(1-EXP(-(0.2*B240)*5)),0)+IF(AND(ArtifactsInput!$M$22,Inputs!$B$4&lt;&gt;"Chapter Hunt"),CHOOSE(ArtifactsInput!$N$22+1,10,12,14,16,18,20)*((0*(((0.15*B240*5))^0/1)+1*(((0.15*B240*5))^1/1)+2*(((0.15*B240*5))^2/2)+3*(((0.15*B240*5))^3/6)+4*(((0.15*B240*5))^4/24)+5*(((0.15*B240*5))^5/120))/((((0.15*B240*5))^0/1)+(((0.15*B240*5))^1/1)+(((0.15*B240*5))^2/2)+(((0.15*B240*5))^3/6)+(((0.15*B240*5))^4/24)+(((0.15*B240*5))^5/120))),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14">
      <c r="A214">
        <f>Skills!A8</f>
        <v/>
      </c>
      <c r="B214">
        <f>Skills!B8</f>
        <v/>
      </c>
      <c r="C214">
        <f>Inputs!$B$3&gt;=100</f>
        <v/>
      </c>
      <c r="D214">
        <f>IF(Skills!C8=1,60+Inputs!$B$25+Inputs!$B$29,IF(Skills!C8=2,90+Inputs!$B$26+Inputs!$B$29,IF(Skills!C8=3,120+Inputs!$B$27+Inputs!$B$29,MAX(0,(Inputs!$B$3-100)*3)+Inputs!$B$28+Inputs!$B$29)))</f>
        <v/>
      </c>
      <c r="E214">
        <f>INDEX(FactorTable!$B$2:$Y$301, MATCH(ROUND(MIN(300,MAX(1,D214)),0), FactorTable!$A$2:$A$301,0), Skills!M8+1)</f>
        <v/>
      </c>
      <c r="F214">
        <f>IF(Skills!N8=TRUE,(Skills!L8/10)*(E214/1000),Skills!L8/10)+Skills!O8</f>
        <v/>
      </c>
      <c r="G214" t="inlineStr"/>
      <c r="H214" t="inlineStr"/>
      <c r="I214" t="inlineStr">
        <is>
          <t>1</t>
        </is>
      </c>
      <c r="J214" t="inlineStr"/>
      <c r="K214" t="inlineStr"/>
      <c r="L214" t="inlineStr"/>
      <c r="M214" t="inlineStr"/>
      <c r="N214" t="inlineStr"/>
      <c r="O214" t="inlineStr"/>
      <c r="P214" t="inlineStr"/>
      <c r="Q214" t="inlineStr"/>
      <c r="R214" t="inlineStr"/>
      <c r="S214" t="inlineStr"/>
      <c r="T214" t="inlineStr"/>
      <c r="V214" t="inlineStr"/>
    </row>
    <row r="215">
      <c r="A215">
        <f>Skills!A9</f>
        <v/>
      </c>
      <c r="B215">
        <f>Skills!B9</f>
        <v/>
      </c>
      <c r="C215">
        <f>Inputs!$B$3&gt;=103</f>
        <v/>
      </c>
      <c r="D215">
        <f>IF(Skills!C9=1,60+Inputs!$B$25+Inputs!$B$29,IF(Skills!C9=2,90+Inputs!$B$26+Inputs!$B$29,IF(Skills!C9=3,120+Inputs!$B$27+Inputs!$B$29,MAX(0,(Inputs!$B$3-100)*3)+Inputs!$B$28+Inputs!$B$29)))</f>
        <v/>
      </c>
      <c r="E215">
        <f>INDEX(FactorTable!$B$2:$Y$301, MATCH(ROUND(MIN(300,MAX(1,D215)),0), FactorTable!$A$2:$A$301,0), Skills!M9+1)</f>
        <v/>
      </c>
      <c r="F215">
        <f>IF(Skills!N9=TRUE,(Skills!L9/10)*(E215/1000),Skills!L9/10)+Skills!O9</f>
        <v/>
      </c>
      <c r="G215">
        <f>Skills!G9*IF(Skills!H9&gt;0,Skills!I9/Skills!H9,1)</f>
        <v/>
      </c>
      <c r="H215">
        <f>1-(1-Skills!J9/100)^Skills!K9</f>
        <v/>
      </c>
      <c r="I215" t="inlineStr">
        <is>
          <t>1</t>
        </is>
      </c>
      <c r="J215">
        <f>((Inputs!$B$6*(1+Inputs!$B$7/100))+(((Inputs!$B$12*(1+Inputs!$B$13/100))-(Inputs!$B$12*(1+Inputs!$B$13/100)))+0.25*(Inputs!$B$14-Inputs!$B$14))*(1+Inputs!$B$7/100))*(F215/100)</f>
        <v/>
      </c>
      <c r="K215">
        <f>J215*(1+((Inputs!$B$12*(1+Inputs!$B$13/100))*0.01+Inputs!$B$14*0.0025)/100)*(1+(Inputs!$B$15+1)/100)*(1+Inputs!$B$16/100)*(5000/(6000+Inputs!$B$42*(1-(100*(1-(1-(Inputs!$B$19+0)/100)*(1-CHOOSE(ArtifactsInput!$N$40+1,5,6,7,8,9,10)/100)^(ArtifactsInput!$M$40-ArtifactsInput!$M$40)))/100)))*(1+(Inputs!$B$24+((C230=TRUE)*(F230-Calc!F24))+((C231=TRUE)*(F231-Calc!F25))+B244)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EMPOWERED_PIERCING_ARROW",Inputs!$B$17+((C228=TRUE)*(F228-Calc!F22))+(((IF(AND(ArtifactsInput!$M$42,((Inputs!$B$9+((C225=TRUE)*(F225-Calc!F19))+B238+(ArtifactsInput!$M$24-ArtifactsInput!$M$24)*CHOOSE(ArtifactsInput!$N$24+1,10,12,14,16,18,20)+IF(ArtifactsInput!$M$10,CHOOSE(ArtifactsInput!$N$10+1,15,18,21,24,27,30)*(IF(Inputs!$B$38="pvp",MIN(15,15)/15,IF(AND(Inputs!$B$38&lt;&gt;"pvp",Inputs!$B$43&gt;0),MIN(15,Inputs!$B$43)/(Inputs!$B$43),0))),0)))&gt;=100),MIN(100,((Inputs!$B$9+((C225=TRUE)*(F225-Calc!F19))+B238+(ArtifactsInput!$M$24-ArtifactsInput!$M$24)*CHOOSE(ArtifactsInput!$N$24+1,10,12,14,16,18,20)+IF(ArtifactsInput!$M$10,CHOOSE(ArtifactsInput!$N$10+1,15,18,21,24,27,30)*(IF(Inputs!$B$38="pvp",MIN(15,15)/15,IF(AND(Inputs!$B$38&lt;&gt;"pvp",Inputs!$B$43&gt;0),MIN(15,Inputs!$B$43)/(Inputs!$B$43),0))),0)))-100),0))*CHOOSE(ArtifactsInput!$N$42+1,0.6,0.72,0.84,0.96,1.08,1.2))),Inputs!$B$18+((C233=TRUE)*(F233-Calc!F27))+(IF(AND(ArtifactsInput!$M$42,((Inputs!$B$9+((C225=TRUE)*(F225-Calc!F19))+B238+(ArtifactsInput!$M$24-ArtifactsInput!$M$24)*CHOOSE(ArtifactsInput!$N$24+1,10,12,14,16,18,20)+IF(ArtifactsInput!$M$10,CHOOSE(ArtifactsInput!$N$10+1,15,18,21,24,27,30)*(IF(Inputs!$B$38="pvp",MIN(15,15)/15,IF(AND(Inputs!$B$38&lt;&gt;"pvp",Inputs!$B$43&gt;0),MIN(15,Inputs!$B$43)/(Inputs!$B$43),0))),0)))&gt;=100),CHOOSE(ArtifactsInput!$N$42+1,40,48,56,64,72,80),0))))/100)*((1+(((C219=TRUE)*F219)+((C220=TRUE)*IF(Inputs!$B$38="pvp",F220,(1-Summary!$B$11)*(F220)+Summary!$B$11*(0)))+((C221=TRUE)*F221*IF(AND(Inputs!$B$38&lt;&gt;"pvp",Inputs!$B$43&gt;0),(((R221-1)*(Skills!T15*(1+Inputs!$B$34/100))+MIN((Skills!T15*(1+Inputs!$B$34/100)),MAX(0,Inputs!$B$43-((R221-1)*Skills!D15))))/Inputs!$B$43),IF(Inputs!$B$38="pvp",MIN((Skills!T15*(1+Inputs!$B$34/100)),15)/15,(Skills!T15*(1+Inputs!$B$34/100))/Skills!D15)))+((C218=TRUE)*F218)+((C235=TRUE)*(F235-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215)</f>
        <v/>
      </c>
      <c r="L215">
        <f>K215*(MIN(Inputs!$B$22+((C229=TRUE)*(F229-Calc!F23)),(Inputs!$B$23+((C234=TRUE)*(F234-Calc!F28))+(IF(ArtifactsInput!$M$15,CHOOSE(ArtifactsInput!$N$15+1,25,30,35,40,45,50)/100*(Inputs!$B$11-Inputs!$B$11),0))))/100+(Inputs!$B$23+((C234=TRUE)*(F234-Calc!F28))+(IF(ArtifactsInput!$M$15,CHOOSE(ArtifactsInput!$N$15+1,25,30,35,40,45,50)/100*(Inputs!$B$11-Inputs!$B$11),0)))/100)/2</f>
        <v/>
      </c>
      <c r="M215">
        <f>L215*(1+(Inputs!$B$10+0+B243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15">
        <f>L215*(1-MIN((Inputs!$B$9+((C225=TRUE)*(F225-Calc!F19))+B238+(ArtifactsInput!$M$24-ArtifactsInput!$M$24)*CHOOSE(ArtifactsInput!$N$24+1,10,12,14,16,18,20)+(IF(AND(ArtifactsInput!$M$42,((Inputs!$B$9+((C225=TRUE)*(F225-Calc!F19))+B238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215*(MIN((Inputs!$B$9+((C225=TRUE)*(F225-Calc!F19))+B238+(ArtifactsInput!$M$24-ArtifactsInput!$M$24)*CHOOSE(ArtifactsInput!$N$24+1,10,12,14,16,18,20)+(IF(AND(ArtifactsInput!$M$42,((Inputs!$B$9+((C225=TRUE)*(F225-Calc!F19))+B238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15">
        <f>(1-Summary!$B$11)*T215+Summary!$B$11*V215</f>
        <v/>
      </c>
      <c r="P215">
        <f>IF(B248=0,0,O215/B248)</f>
        <v/>
      </c>
      <c r="Q215">
        <f>IFERROR(1/IF(Inputs!$B$38="pvp",15,MAX(0.1,Skills!D9-IF(Skills!E9=TRUE,Inputs!$B$32,0))),0)</f>
        <v/>
      </c>
      <c r="R215">
        <f>IF(AND(Inputs!$B$38&lt;&gt;"pvp",Inputs!$B$43&gt;0),IF(MAX(0,Inputs!$B$43-B245)&lt;=0,0,(INT(MAX(0,Inputs!$B$43-B245)/IF(Inputs!$B$38="pvp",15,MAX(0.1,Skills!D9-IF(Skills!E9=TRUE,Inputs!$B$32,0))))+1)),0)</f>
        <v/>
      </c>
      <c r="S215">
        <f>IFERROR((H215*N215*IF(AND(Inputs!$B$38&lt;&gt;"pvp",Inputs!$B$43&gt;0),((Skills!G9*((R215-1)*IF(Skills!H9&gt;0,Skills!I9/Skills!H9,1)+IF(Skills!H9&gt;0,MIN(Skills!I9,MAX(0,MAX(0,Inputs!$B$43-B245)-((R215-1)*IF(Inputs!$B$38="pvp",15,MAX(0.1,Skills!D9-IF(Skills!E9=TRUE,Inputs!$B$32,0))))))/Skills!H9,1)))/Inputs!$B$43),G215*Q215))/N215*IF(Inputs!$B$38="pvp",1,(1-Summary!$B$11)*1+Summary!$B$11*(MIN(Skills!R9,Inputs!$B$37))),0)</f>
        <v/>
      </c>
      <c r="T215">
        <f>IF(C215,(H215*N215*IF(AND(Inputs!$B$38&lt;&gt;"pvp",Inputs!$B$43&gt;0),((Skills!G9*((R215-1)*IF(Skills!H9&gt;0,Skills!I9/Skills!H9,1)+IF(Skills!H9&gt;0,MIN(Skills!I9,MAX(0,MAX(0,Inputs!$B$43-B245)-((R215-1)*IF(Inputs!$B$38="pvp",15,MAX(0.1,Skills!D9-IF(Skills!E9=TRUE,Inputs!$B$32,0))))))/Skills!H9,1)))/Inputs!$B$43),G215*Q215))*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Hunt"),CHOOSE(ArtifactsInput!$N$35+1,15,18,21,24,27,30)*(1-EXP(-(0.2*B240)*5)),0)+IF(AND(ArtifactsInput!$M$22,Inputs!$B$4&lt;&gt;"Chapter Hunt"),CHOOSE(ArtifactsInput!$N$22+1,10,12,14,16,18,20)*((0*(((0.15*B240*5))^0/1)+1*(((0.15*B240*5))^1/1)+2*(((0.15*B240*5))^2/2)+3*(((0.15*B240*5))^3/6)+4*(((0.15*B240*5))^4/24)+5*(((0.15*B240*5))^5/120))/((((0.15*B240*5))^0/1)+(((0.15*B240*5))^1/1)+(((0.15*B240*5))^2/2)+(((0.15*B240*5))^3/6)+(((0.15*B240*5))^4/24)+(((0.15*B240*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215*(1-MIN(100,(Inputs!$B$9+((C225=TRUE)*(F225-Calc!F19))+B238+(ArtifactsInput!$M$24-ArtifactsInput!$M$24)*CHOOSE(ArtifactsInput!$N$24+1,10,12,14,16,18,20)+(IF(AND(ArtifactsInput!$M$42,((Inputs!$B$9+((C225=TRUE)*(F225-Calc!F19))+B238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215*(MIN(100,(Inputs!$B$9+((C225=TRUE)*(F225-Calc!F19))+B238+(ArtifactsInput!$M$24-ArtifactsInput!$M$24)*CHOOSE(ArtifactsInput!$N$24+1,10,12,14,16,18,20)+(IF(AND(ArtifactsInput!$M$42,((Inputs!$B$9+((C225=TRUE)*(F225-Calc!F19))+B238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215*(1-MIN(100,(Inputs!$B$9+((C225=TRUE)*(F225-Calc!F19))+B238+(ArtifactsInput!$M$24-ArtifactsInput!$M$24)*CHOOSE(ArtifactsInput!$N$24+1,10,12,14,16,18,20)+(IF(AND(ArtifactsInput!$M$42,((Inputs!$B$9+((C225=TRUE)*(F225-Calc!F19))+B238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215*(MIN(100,(Inputs!$B$9+((C225=TRUE)*(F225-Calc!F19))+B238+(ArtifactsInput!$M$24-ArtifactsInput!$M$24)*CHOOSE(ArtifactsInput!$N$24+1,10,12,14,16,18,20)+(IF(AND(ArtifactsInput!$M$42,((Inputs!$B$9+((C225=TRUE)*(F225-Calc!F19))+B238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15">
        <f>IF(C215,(H215*N215*IF(AND(Inputs!$B$38&lt;&gt;"pvp",Inputs!$B$43&gt;0),((Skills!G9*((R215-1)*IF(Skills!H9&gt;0,Skills!I9/Skills!H9,1)+IF(Skills!H9&gt;0,MIN(Skills!I9,MAX(0,MAX(0,Inputs!$B$43-B245)-((R215-1)*IF(Inputs!$B$38="pvp",15,MAX(0.1,Skills!D9-IF(Skills!E9=TRUE,Inputs!$B$32,0))))))/Skills!H9,1)))/Inputs!$B$43),G215*Q215))*IF(Inputs!$B$38="pvp",1,(1+(Inputs!$B$21+Skills!Q9+(IF(ArtifactsInput!$M$33,CHOOSE(ArtifactsInput!$N$33+1,30,36,42,48,54,60),0))+(IF(AND(ArtifactsInput!$M$35,Inputs!$B$4&lt;&gt;"Chapter Hunt"),CHOOSE(ArtifactsInput!$N$35+1,15,18,21,24,27,30)*(1-EXP(-(0.2*B240)*5)),0)+IF(AND(ArtifactsInput!$M$22,Inputs!$B$4&lt;&gt;"Chapter Hunt"),CHOOSE(ArtifactsInput!$N$22+1,10,12,14,16,18,20)*((0*(((0.15*B240*5))^0/1)+1*(((0.15*B240*5))^1/1)+2*(((0.15*B240*5))^2/2)+3*(((0.15*B240*5))^3/6)+4*(((0.15*B240*5))^4/24)+5*(((0.15*B240*5))^5/120))/((((0.15*B240*5))^0/1)+(((0.15*B240*5))^1/1)+(((0.15*B240*5))^2/2)+(((0.15*B240*5))^3/6)+(((0.15*B240*5))^4/24)+(((0.15*B240*5))^5/120)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16">
      <c r="A216">
        <f>Skills!A10</f>
        <v/>
      </c>
      <c r="B216">
        <f>Skills!B10</f>
        <v/>
      </c>
      <c r="C216">
        <f>Inputs!$B$3&gt;=107</f>
        <v/>
      </c>
      <c r="D216">
        <f>IF(Skills!C10=1,60+Inputs!$B$25+Inputs!$B$29,IF(Skills!C10=2,90+Inputs!$B$26+Inputs!$B$29,IF(Skills!C10=3,120+Inputs!$B$27+Inputs!$B$29,MAX(0,(Inputs!$B$3-100)*3)+Inputs!$B$28+Inputs!$B$29)))</f>
        <v/>
      </c>
      <c r="E216">
        <f>INDEX(FactorTable!$B$2:$Y$301, MATCH(ROUND(MIN(300,MAX(1,D216)),0), FactorTable!$A$2:$A$301,0), Skills!M10+1)</f>
        <v/>
      </c>
      <c r="F216">
        <f>IF(Skills!N10=TRUE,(Skills!L10/10)*(E216/1000),Skills!L10/10)+Skills!O10</f>
        <v/>
      </c>
      <c r="G216">
        <f>Skills!G10*IF(Skills!H10&gt;0,Skills!I10/Skills!H10,1)</f>
        <v/>
      </c>
      <c r="H216">
        <f>1-(1-Skills!J10/100)^Skills!K10</f>
        <v/>
      </c>
      <c r="I216" t="inlineStr">
        <is>
          <t>1</t>
        </is>
      </c>
      <c r="J216">
        <f>((Inputs!$B$6*(1+Inputs!$B$7/100))+(((Inputs!$B$12*(1+Inputs!$B$13/100))-(Inputs!$B$12*(1+Inputs!$B$13/100)))+0.25*(Inputs!$B$14-Inputs!$B$14))*(1+Inputs!$B$7/100))*(F216/100)</f>
        <v/>
      </c>
      <c r="K216">
        <f>J216*(1+((Inputs!$B$12*(1+Inputs!$B$13/100))*0.01+Inputs!$B$14*0.0025)/100)*(1+(Inputs!$B$15+1)/100)*(1+Inputs!$B$16/100)*(5000/(6000+Inputs!$B$42*(1-(100*(1-(1-(Inputs!$B$19+0)/100)*(1-CHOOSE(ArtifactsInput!$N$40+1,5,6,7,8,9,10)/100)^(ArtifactsInput!$M$40-ArtifactsInput!$M$40)))/100)))*(1+(Inputs!$B$24+((C230=TRUE)*(F230-Calc!F24))+((C231=TRUE)*(F231-Calc!F25))+B244)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EMPOWERED_PIERCING_ARROW",Inputs!$B$17+((C228=TRUE)*(F228-Calc!F22))+(((IF(AND(ArtifactsInput!$M$42,((Inputs!$B$9+((C225=TRUE)*(F225-Calc!F19))+B238+(ArtifactsInput!$M$24-ArtifactsInput!$M$24)*CHOOSE(ArtifactsInput!$N$24+1,10,12,14,16,18,20)+IF(ArtifactsInput!$M$10,CHOOSE(ArtifactsInput!$N$10+1,15,18,21,24,27,30)*(IF(Inputs!$B$38="pvp",MIN(15,15)/15,IF(AND(Inputs!$B$38&lt;&gt;"pvp",Inputs!$B$43&gt;0),MIN(15,Inputs!$B$43)/(Inputs!$B$43),0))),0)))&gt;=100),MIN(100,((Inputs!$B$9+((C225=TRUE)*(F225-Calc!F19))+B238+(ArtifactsInput!$M$24-ArtifactsInput!$M$24)*CHOOSE(ArtifactsInput!$N$24+1,10,12,14,16,18,20)+IF(ArtifactsInput!$M$10,CHOOSE(ArtifactsInput!$N$10+1,15,18,21,24,27,30)*(IF(Inputs!$B$38="pvp",MIN(15,15)/15,IF(AND(Inputs!$B$38&lt;&gt;"pvp",Inputs!$B$43&gt;0),MIN(15,Inputs!$B$43)/(Inputs!$B$43),0))),0)))-100),0))*CHOOSE(ArtifactsInput!$N$42+1,0.6,0.72,0.84,0.96,1.08,1.2))),Inputs!$B$18+((C233=TRUE)*(F233-Calc!F27))+(IF(AND(ArtifactsInput!$M$42,((Inputs!$B$9+((C225=TRUE)*(F225-Calc!F19))+B238+(ArtifactsInput!$M$24-ArtifactsInput!$M$24)*CHOOSE(ArtifactsInput!$N$24+1,10,12,14,16,18,20)+IF(ArtifactsInput!$M$10,CHOOSE(ArtifactsInput!$N$10+1,15,18,21,24,27,30)*(IF(Inputs!$B$38="pvp",MIN(15,15)/15,IF(AND(Inputs!$B$38&lt;&gt;"pvp",Inputs!$B$43&gt;0),MIN(15,Inputs!$B$43)/(Inputs!$B$43),0))),0)))&gt;=100),CHOOSE(ArtifactsInput!$N$42+1,40,48,56,64,72,80),0))))/100)*((1+(((C219=TRUE)*F219)+((C220=TRUE)*IF(Inputs!$B$38="pvp",F220,(1-Summary!$B$11)*(F220)+Summary!$B$11*(0)))+((C221=TRUE)*F221*IF(AND(Inputs!$B$38&lt;&gt;"pvp",Inputs!$B$43&gt;0),(((R221-1)*(Skills!T15*(1+Inputs!$B$34/100))+MIN((Skills!T15*(1+Inputs!$B$34/100)),MAX(0,Inputs!$B$43-((R221-1)*Skills!D15))))/Inputs!$B$43),IF(Inputs!$B$38="pvp",MIN((Skills!T15*(1+Inputs!$B$34/100)),15)/15,(Skills!T15*(1+Inputs!$B$34/100))/Skills!D15)))+((C218=TRUE)*F218)+((C235=TRUE)*(F235-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216)</f>
        <v/>
      </c>
      <c r="L216">
        <f>K216*(MIN(Inputs!$B$22+((C229=TRUE)*(F229-Calc!F23)),(Inputs!$B$23+((C234=TRUE)*(F234-Calc!F28))+(IF(ArtifactsInput!$M$15,CHOOSE(ArtifactsInput!$N$15+1,25,30,35,40,45,50)/100*(Inputs!$B$11-Inputs!$B$11),0))))/100+(Inputs!$B$23+((C234=TRUE)*(F234-Calc!F28))+(IF(ArtifactsInput!$M$15,CHOOSE(ArtifactsInput!$N$15+1,25,30,35,40,45,50)/100*(Inputs!$B$11-Inputs!$B$11),0)))/100)/2</f>
        <v/>
      </c>
      <c r="M216">
        <f>L216*(1+(Inputs!$B$10+0+B243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16">
        <f>L216*(1-MIN((Inputs!$B$9+((C225=TRUE)*(F225-Calc!F19))+B238+(ArtifactsInput!$M$24-ArtifactsInput!$M$24)*CHOOSE(ArtifactsInput!$N$24+1,10,12,14,16,18,20)+(IF(AND(ArtifactsInput!$M$42,((Inputs!$B$9+((C225=TRUE)*(F225-Calc!F19))+B238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216*(MIN((Inputs!$B$9+((C225=TRUE)*(F225-Calc!F19))+B238+(ArtifactsInput!$M$24-ArtifactsInput!$M$24)*CHOOSE(ArtifactsInput!$N$24+1,10,12,14,16,18,20)+(IF(AND(ArtifactsInput!$M$42,((Inputs!$B$9+((C225=TRUE)*(F225-Calc!F19))+B238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16">
        <f>(1-Summary!$B$11)*T216+Summary!$B$11*V216</f>
        <v/>
      </c>
      <c r="P216">
        <f>IF(B248=0,0,O216/B248)</f>
        <v/>
      </c>
      <c r="Q216" t="n">
        <v>0</v>
      </c>
      <c r="R216" t="n">
        <v>0</v>
      </c>
      <c r="S216" t="n">
        <v>0</v>
      </c>
      <c r="T216">
        <f>IF(C216,(0.15*SUMPRODUCT((Skills!U2:U29=TRUE)*(C208:C235=TRUE)*S208:S235)*Skills!G10*N216)*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Hunt"),CHOOSE(ArtifactsInput!$N$35+1,15,18,21,24,27,30)*(1-EXP(-(0.2*B240)*5)),0)+IF(AND(ArtifactsInput!$M$22,Inputs!$B$4&lt;&gt;"Chapter Hunt"),CHOOSE(ArtifactsInput!$N$22+1,10,12,14,16,18,20)*((0*(((0.15*B240*5))^0/1)+1*(((0.15*B240*5))^1/1)+2*(((0.15*B240*5))^2/2)+3*(((0.15*B240*5))^3/6)+4*(((0.15*B240*5))^4/24)+5*(((0.15*B240*5))^5/120))/((((0.15*B240*5))^0/1)+(((0.15*B240*5))^1/1)+(((0.15*B240*5))^2/2)+(((0.15*B240*5))^3/6)+(((0.15*B240*5))^4/24)+(((0.15*B240*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216*(1-MIN(100,(Inputs!$B$9+((C225=TRUE)*(F225-Calc!F19))+B238+(ArtifactsInput!$M$24-ArtifactsInput!$M$24)*CHOOSE(ArtifactsInput!$N$24+1,10,12,14,16,18,20)+(IF(AND(ArtifactsInput!$M$42,((Inputs!$B$9+((C225=TRUE)*(F225-Calc!F19))+B238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216*(MIN(100,(Inputs!$B$9+((C225=TRUE)*(F225-Calc!F19))+B238+(ArtifactsInput!$M$24-ArtifactsInput!$M$24)*CHOOSE(ArtifactsInput!$N$24+1,10,12,14,16,18,20)+(IF(AND(ArtifactsInput!$M$42,((Inputs!$B$9+((C225=TRUE)*(F225-Calc!F19))+B238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216*(1-MIN(100,(Inputs!$B$9+((C225=TRUE)*(F225-Calc!F19))+B238+(ArtifactsInput!$M$24-ArtifactsInput!$M$24)*CHOOSE(ArtifactsInput!$N$24+1,10,12,14,16,18,20)+(IF(AND(ArtifactsInput!$M$42,((Inputs!$B$9+((C225=TRUE)*(F225-Calc!F19))+B238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216*(MIN(100,(Inputs!$B$9+((C225=TRUE)*(F225-Calc!F19))+B238+(ArtifactsInput!$M$24-ArtifactsInput!$M$24)*CHOOSE(ArtifactsInput!$N$24+1,10,12,14,16,18,20)+(IF(AND(ArtifactsInput!$M$42,((Inputs!$B$9+((C225=TRUE)*(F225-Calc!F19))+B238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16">
        <f>IF(C216,(0.15*SUMPRODUCT((Skills!U2:U29=TRUE)*(C208:C235=TRUE)*S208:S235)*Skills!G10*N216)*IF(Inputs!$B$38="pvp",1,(1+(Inputs!$B$21+Skills!Q10+(IF(ArtifactsInput!$M$33,CHOOSE(ArtifactsInput!$N$33+1,30,36,42,48,54,60),0))+(IF(AND(ArtifactsInput!$M$35,Inputs!$B$4&lt;&gt;"Chapter Hunt"),CHOOSE(ArtifactsInput!$N$35+1,15,18,21,24,27,30)*(1-EXP(-(0.2*B240)*5)),0)+IF(AND(ArtifactsInput!$M$22,Inputs!$B$4&lt;&gt;"Chapter Hunt"),CHOOSE(ArtifactsInput!$N$22+1,10,12,14,16,18,20)*((0*(((0.15*B240*5))^0/1)+1*(((0.15*B240*5))^1/1)+2*(((0.15*B240*5))^2/2)+3*(((0.15*B240*5))^3/6)+4*(((0.15*B240*5))^4/24)+5*(((0.15*B240*5))^5/120))/((((0.15*B240*5))^0/1)+(((0.15*B240*5))^1/1)+(((0.15*B240*5))^2/2)+(((0.15*B240*5))^3/6)+(((0.15*B240*5))^4/24)+(((0.15*B240*5))^5/120)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17">
      <c r="A217">
        <f>Skills!A11</f>
        <v/>
      </c>
      <c r="B217">
        <f>Skills!B11</f>
        <v/>
      </c>
      <c r="C217">
        <f>Inputs!$B$3&gt;=110</f>
        <v/>
      </c>
      <c r="D217">
        <f>IF(Skills!C11=1,60+Inputs!$B$25+Inputs!$B$29,IF(Skills!C11=2,90+Inputs!$B$26+Inputs!$B$29,IF(Skills!C11=3,120+Inputs!$B$27+Inputs!$B$29,MAX(0,(Inputs!$B$3-100)*3)+Inputs!$B$28+Inputs!$B$29)))</f>
        <v/>
      </c>
      <c r="E217">
        <f>INDEX(FactorTable!$B$2:$Y$301, MATCH(ROUND(MIN(300,MAX(1,D217)),0), FactorTable!$A$2:$A$301,0), Skills!M11+1)</f>
        <v/>
      </c>
      <c r="F217">
        <f>IF(Skills!N11=TRUE,(Skills!L11/10)*(E217/1000),Skills!L11/10)+Skills!O11</f>
        <v/>
      </c>
      <c r="G217">
        <f>Skills!G11*IF(Skills!H11&gt;0,Skills!I11/Skills!H11,1)</f>
        <v/>
      </c>
      <c r="H217">
        <f>1-(1-Skills!J11/100)^Skills!K11</f>
        <v/>
      </c>
      <c r="I217" t="inlineStr">
        <is>
          <t>1</t>
        </is>
      </c>
      <c r="J217">
        <f>((Inputs!$B$6*(1+Inputs!$B$7/100))+(((Inputs!$B$12*(1+Inputs!$B$13/100))-(Inputs!$B$12*(1+Inputs!$B$13/100)))+0.25*(Inputs!$B$14-Inputs!$B$14))*(1+Inputs!$B$7/100))*(F217/100)</f>
        <v/>
      </c>
      <c r="K217">
        <f>J217*(1+((Inputs!$B$12*(1+Inputs!$B$13/100))*0.01+Inputs!$B$14*0.0025)/100)*(1+(Inputs!$B$15+1)/100)*(1+Inputs!$B$16/100)*(5000/(6000+Inputs!$B$42*(1-(100*(1-(1-(Inputs!$B$19+0)/100)*(1-CHOOSE(ArtifactsInput!$N$40+1,5,6,7,8,9,10)/100)^(ArtifactsInput!$M$40-ArtifactsInput!$M$40)))/100)))*(1+(Inputs!$B$24+((C230=TRUE)*(F230-Calc!F24))+((C231=TRUE)*(F231-Calc!F25))+B244)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11="EMPOWERED_PIERCING_ARROW",Inputs!$B$17+((C228=TRUE)*(F228-Calc!F22))+(((IF(AND(ArtifactsInput!$M$42,((Inputs!$B$9+((C225=TRUE)*(F225-Calc!F19))+B238+(ArtifactsInput!$M$24-ArtifactsInput!$M$24)*CHOOSE(ArtifactsInput!$N$24+1,10,12,14,16,18,20)+IF(ArtifactsInput!$M$10,CHOOSE(ArtifactsInput!$N$10+1,15,18,21,24,27,30)*(IF(Inputs!$B$38="pvp",MIN(15,15)/15,IF(AND(Inputs!$B$38&lt;&gt;"pvp",Inputs!$B$43&gt;0),MIN(15,Inputs!$B$43)/(Inputs!$B$43),0))),0)))&gt;=100),MIN(100,((Inputs!$B$9+((C225=TRUE)*(F225-Calc!F19))+B238+(ArtifactsInput!$M$24-ArtifactsInput!$M$24)*CHOOSE(ArtifactsInput!$N$24+1,10,12,14,16,18,20)+IF(ArtifactsInput!$M$10,CHOOSE(ArtifactsInput!$N$10+1,15,18,21,24,27,30)*(IF(Inputs!$B$38="pvp",MIN(15,15)/15,IF(AND(Inputs!$B$38&lt;&gt;"pvp",Inputs!$B$43&gt;0),MIN(15,Inputs!$B$43)/(Inputs!$B$43),0))),0)))-100),0))*CHOOSE(ArtifactsInput!$N$42+1,0.6,0.72,0.84,0.96,1.08,1.2))),Inputs!$B$18+((C233=TRUE)*(F233-Calc!F27))+(IF(AND(ArtifactsInput!$M$42,((Inputs!$B$9+((C225=TRUE)*(F225-Calc!F19))+B238+(ArtifactsInput!$M$24-ArtifactsInput!$M$24)*CHOOSE(ArtifactsInput!$N$24+1,10,12,14,16,18,20)+IF(ArtifactsInput!$M$10,CHOOSE(ArtifactsInput!$N$10+1,15,18,21,24,27,30)*(IF(Inputs!$B$38="pvp",MIN(15,15)/15,IF(AND(Inputs!$B$38&lt;&gt;"pvp",Inputs!$B$43&gt;0),MIN(15,Inputs!$B$43)/(Inputs!$B$43),0))),0)))&gt;=100),CHOOSE(ArtifactsInput!$N$42+1,40,48,56,64,72,80),0))))/100)*((1+(((C219=TRUE)*F219)+((C220=TRUE)*IF(Inputs!$B$38="pvp",F220,(1-Summary!$B$11)*(F220)+Summary!$B$11*(0)))+((C221=TRUE)*F221*IF(AND(Inputs!$B$38&lt;&gt;"pvp",Inputs!$B$43&gt;0),(((R221-1)*(Skills!T15*(1+Inputs!$B$34/100))+MIN((Skills!T15*(1+Inputs!$B$34/100)),MAX(0,Inputs!$B$43-((R221-1)*Skills!D15))))/Inputs!$B$43),IF(Inputs!$B$38="pvp",MIN((Skills!T15*(1+Inputs!$B$34/100)),15)/15,(Skills!T15*(1+Inputs!$B$34/100))/Skills!D15)))+((C218=TRUE)*F218)+((C235=TRUE)*(F235-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217)</f>
        <v/>
      </c>
      <c r="L217">
        <f>K217*(MIN(Inputs!$B$22+((C229=TRUE)*(F229-Calc!F23)),(Inputs!$B$23+((C234=TRUE)*(F234-Calc!F28))+(IF(ArtifactsInput!$M$15,CHOOSE(ArtifactsInput!$N$15+1,25,30,35,40,45,50)/100*(Inputs!$B$11-Inputs!$B$11),0))))/100+(Inputs!$B$23+((C234=TRUE)*(F234-Calc!F28))+(IF(ArtifactsInput!$M$15,CHOOSE(ArtifactsInput!$N$15+1,25,30,35,40,45,50)/100*(Inputs!$B$11-Inputs!$B$11),0)))/100)/2</f>
        <v/>
      </c>
      <c r="M217">
        <f>L217*(1+(Inputs!$B$10+0+B243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17">
        <f>L217*(1-MIN((Inputs!$B$9+((C225=TRUE)*(F225-Calc!F19))+B238+(ArtifactsInput!$M$24-ArtifactsInput!$M$24)*CHOOSE(ArtifactsInput!$N$24+1,10,12,14,16,18,20)+(IF(AND(ArtifactsInput!$M$42,((Inputs!$B$9+((C225=TRUE)*(F225-Calc!F19))+B238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217*(MIN((Inputs!$B$9+((C225=TRUE)*(F225-Calc!F19))+B238+(ArtifactsInput!$M$24-ArtifactsInput!$M$24)*CHOOSE(ArtifactsInput!$N$24+1,10,12,14,16,18,20)+(IF(AND(ArtifactsInput!$M$42,((Inputs!$B$9+((C225=TRUE)*(F225-Calc!F19))+B238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17">
        <f>(1-Summary!$B$11)*T217+Summary!$B$11*V217</f>
        <v/>
      </c>
      <c r="P217">
        <f>IF(B248=0,0,O217/B248)</f>
        <v/>
      </c>
      <c r="Q217">
        <f>IFERROR(1/IF(Inputs!$B$38="pvp",15,MAX(0.1,Skills!D11-IF(Skills!E11=TRUE,Inputs!$B$32,0))),0)</f>
        <v/>
      </c>
      <c r="R217">
        <f>IF(AND(Inputs!$B$38&lt;&gt;"pvp",Inputs!$B$43&gt;0),IF(MAX(0,Inputs!$B$43-B245)&lt;=0,0,(INT(MAX(0,Inputs!$B$43-B245)/IF(Inputs!$B$38="pvp",15,MAX(0.1,Skills!D11-IF(Skills!E11=TRUE,Inputs!$B$32,0))))+1)),0)</f>
        <v/>
      </c>
      <c r="S217">
        <f>IFERROR((H217*N217*IF(AND(Inputs!$B$38&lt;&gt;"pvp",Inputs!$B$43&gt;0),((Skills!G11*((R217-1)*IF(Skills!H11&gt;0,Skills!I11/Skills!H11,1)+IF(Skills!H11&gt;0,MIN(Skills!I11,MAX(0,MAX(0,Inputs!$B$43-B245)-((R217-1)*IF(Inputs!$B$38="pvp",15,MAX(0.1,Skills!D11-IF(Skills!E11=TRUE,Inputs!$B$32,0))))))/Skills!H11,1)))/Inputs!$B$43),G217*Q217))/N217*IF(Inputs!$B$38="pvp",1,(1-Summary!$B$11)*1+Summary!$B$11*(MIN(Skills!R11,Inputs!$B$37))),0)</f>
        <v/>
      </c>
      <c r="T217">
        <f>IF(C217,(H217*N217*IF(AND(Inputs!$B$38&lt;&gt;"pvp",Inputs!$B$43&gt;0),((Skills!G11*((R217-1)*IF(Skills!H11&gt;0,Skills!I11/Skills!H11,1)+IF(Skills!H11&gt;0,MIN(Skills!I11,MAX(0,MAX(0,Inputs!$B$43-B245)-((R217-1)*IF(Inputs!$B$38="pvp",15,MAX(0.1,Skills!D11-IF(Skills!E11=TRUE,Inputs!$B$32,0))))))/Skills!H11,1)))/Inputs!$B$43),G217*Q217))*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Hunt"),CHOOSE(ArtifactsInput!$N$35+1,15,18,21,24,27,30)*(1-EXP(-(0.2*B240)*5)),0)+IF(AND(ArtifactsInput!$M$22,Inputs!$B$4&lt;&gt;"Chapter Hunt"),CHOOSE(ArtifactsInput!$N$22+1,10,12,14,16,18,20)*((0*(((0.15*B240*5))^0/1)+1*(((0.15*B240*5))^1/1)+2*(((0.15*B240*5))^2/2)+3*(((0.15*B240*5))^3/6)+4*(((0.15*B240*5))^4/24)+5*(((0.15*B240*5))^5/120))/((((0.15*B240*5))^0/1)+(((0.15*B240*5))^1/1)+(((0.15*B240*5))^2/2)+(((0.15*B240*5))^3/6)+(((0.15*B240*5))^4/24)+(((0.15*B240*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217*(1-MIN(100,(Inputs!$B$9+((C225=TRUE)*(F225-Calc!F19))+B238+(ArtifactsInput!$M$24-ArtifactsInput!$M$24)*CHOOSE(ArtifactsInput!$N$24+1,10,12,14,16,18,20)+(IF(AND(ArtifactsInput!$M$42,((Inputs!$B$9+((C225=TRUE)*(F225-Calc!F19))+B238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217*(MIN(100,(Inputs!$B$9+((C225=TRUE)*(F225-Calc!F19))+B238+(ArtifactsInput!$M$24-ArtifactsInput!$M$24)*CHOOSE(ArtifactsInput!$N$24+1,10,12,14,16,18,20)+(IF(AND(ArtifactsInput!$M$42,((Inputs!$B$9+((C225=TRUE)*(F225-Calc!F19))+B238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217*(1-MIN(100,(Inputs!$B$9+((C225=TRUE)*(F225-Calc!F19))+B238+(ArtifactsInput!$M$24-ArtifactsInput!$M$24)*CHOOSE(ArtifactsInput!$N$24+1,10,12,14,16,18,20)+(IF(AND(ArtifactsInput!$M$42,((Inputs!$B$9+((C225=TRUE)*(F225-Calc!F19))+B238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217*(MIN(100,(Inputs!$B$9+((C225=TRUE)*(F225-Calc!F19))+B238+(ArtifactsInput!$M$24-ArtifactsInput!$M$24)*CHOOSE(ArtifactsInput!$N$24+1,10,12,14,16,18,20)+(IF(AND(ArtifactsInput!$M$42,((Inputs!$B$9+((C225=TRUE)*(F225-Calc!F19))+B238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17">
        <f>IF(C217,(H217*N217*IF(AND(Inputs!$B$38&lt;&gt;"pvp",Inputs!$B$43&gt;0),((Skills!G11*((R217-1)*IF(Skills!H11&gt;0,Skills!I11/Skills!H11,1)+IF(Skills!H11&gt;0,MIN(Skills!I11,MAX(0,MAX(0,Inputs!$B$43-B245)-((R217-1)*IF(Inputs!$B$38="pvp",15,MAX(0.1,Skills!D11-IF(Skills!E11=TRUE,Inputs!$B$32,0))))))/Skills!H11,1)))/Inputs!$B$43),G217*Q217))*IF(Inputs!$B$38="pvp",1,(1+(Inputs!$B$21+Skills!Q11+(IF(ArtifactsInput!$M$33,CHOOSE(ArtifactsInput!$N$33+1,30,36,42,48,54,60),0))+(IF(AND(ArtifactsInput!$M$35,Inputs!$B$4&lt;&gt;"Chapter Hunt"),CHOOSE(ArtifactsInput!$N$35+1,15,18,21,24,27,30)*(1-EXP(-(0.2*B240)*5)),0)+IF(AND(ArtifactsInput!$M$22,Inputs!$B$4&lt;&gt;"Chapter Hunt"),CHOOSE(ArtifactsInput!$N$22+1,10,12,14,16,18,20)*((0*(((0.15*B240*5))^0/1)+1*(((0.15*B240*5))^1/1)+2*(((0.15*B240*5))^2/2)+3*(((0.15*B240*5))^3/6)+4*(((0.15*B240*5))^4/24)+5*(((0.15*B240*5))^5/120))/((((0.15*B240*5))^0/1)+(((0.15*B240*5))^1/1)+(((0.15*B240*5))^2/2)+(((0.15*B240*5))^3/6)+(((0.15*B240*5))^4/24)+(((0.15*B240*5))^5/120))),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18">
      <c r="A218">
        <f>Skills!A12</f>
        <v/>
      </c>
      <c r="B218">
        <f>Skills!B12</f>
        <v/>
      </c>
      <c r="C218">
        <f>Inputs!$B$3&gt;=60</f>
        <v/>
      </c>
      <c r="D218">
        <f>IF(Skills!C12=1,60+Inputs!$B$25+Inputs!$B$29,IF(Skills!C12=2,90+Inputs!$B$26+Inputs!$B$29,IF(Skills!C12=3,120+Inputs!$B$27+Inputs!$B$29,MAX(0,(Inputs!$B$3-100)*3)+Inputs!$B$28+Inputs!$B$29)))</f>
        <v/>
      </c>
      <c r="E218">
        <f>INDEX(FactorTable!$B$2:$Y$301, MATCH(ROUND(MIN(300,MAX(1,D218)),0), FactorTable!$A$2:$A$301,0), Skills!M12+1)</f>
        <v/>
      </c>
      <c r="F218">
        <f>IF(Skills!N12=TRUE,(Skills!L12/10)*(E218/1000),Skills!L12/10)+Skills!O12</f>
        <v/>
      </c>
      <c r="G218">
        <f>Skills!G12*IF(Skills!H12&gt;0,Skills!I12/Skills!H12,1)</f>
        <v/>
      </c>
      <c r="H218">
        <f>1-(1-Skills!J12/100)^Skills!K12</f>
        <v/>
      </c>
      <c r="I218" t="inlineStr">
        <is>
          <t>1</t>
        </is>
      </c>
      <c r="J218" t="inlineStr"/>
      <c r="K218" t="inlineStr"/>
      <c r="L218" t="inlineStr"/>
      <c r="M218" t="inlineStr"/>
      <c r="N218" t="inlineStr"/>
      <c r="O218">
        <f>(1-Summary!$B$11)*T218+Summary!$B$11*V218</f>
        <v/>
      </c>
      <c r="P218">
        <f>IF(B248=0,0,O218/B248)</f>
        <v/>
      </c>
      <c r="Q218" t="n">
        <v>0</v>
      </c>
      <c r="R218" t="n">
        <v>0</v>
      </c>
      <c r="S218" t="n">
        <v>0</v>
      </c>
      <c r="T218" t="n">
        <v>0</v>
      </c>
      <c r="V218" t="n">
        <v>0</v>
      </c>
    </row>
    <row r="219">
      <c r="A219">
        <f>Skills!A13</f>
        <v/>
      </c>
      <c r="B219">
        <f>Skills!B13</f>
        <v/>
      </c>
      <c r="C219">
        <f>Inputs!$B$3&gt;=74</f>
        <v/>
      </c>
      <c r="D219">
        <f>IF(Skills!C13=1,60+Inputs!$B$25+Inputs!$B$29,IF(Skills!C13=2,90+Inputs!$B$26+Inputs!$B$29,IF(Skills!C13=3,120+Inputs!$B$27+Inputs!$B$29,MAX(0,(Inputs!$B$3-100)*3)+Inputs!$B$28+Inputs!$B$29)))</f>
        <v/>
      </c>
      <c r="E219">
        <f>INDEX(FactorTable!$B$2:$Y$301, MATCH(ROUND(MIN(300,MAX(1,D219)),0), FactorTable!$A$2:$A$301,0), Skills!M13+1)</f>
        <v/>
      </c>
      <c r="F219">
        <f>IF(Skills!N13=TRUE,(Skills!L13/10)*(E219/1000),Skills!L13/10)+Skills!O13</f>
        <v/>
      </c>
      <c r="G219">
        <f>Skills!G13*IF(Skills!H13&gt;0,Skills!I13/Skills!H13,1)</f>
        <v/>
      </c>
      <c r="H219">
        <f>1-(1-Skills!J13/100)^Skills!K13</f>
        <v/>
      </c>
      <c r="I219" t="inlineStr">
        <is>
          <t>1</t>
        </is>
      </c>
      <c r="J219" t="inlineStr"/>
      <c r="K219" t="inlineStr"/>
      <c r="L219" t="inlineStr"/>
      <c r="M219" t="inlineStr"/>
      <c r="N219" t="inlineStr"/>
      <c r="O219">
        <f>(1-Summary!$B$11)*T219+Summary!$B$11*V219</f>
        <v/>
      </c>
      <c r="P219">
        <f>IF(B248=0,0,O219/B248)</f>
        <v/>
      </c>
      <c r="Q219" t="n">
        <v>0</v>
      </c>
      <c r="R219" t="n">
        <v>0</v>
      </c>
      <c r="S219" t="n">
        <v>0</v>
      </c>
      <c r="T219" t="n">
        <v>0</v>
      </c>
      <c r="V219" t="n">
        <v>0</v>
      </c>
    </row>
    <row r="220">
      <c r="A220">
        <f>Skills!A14</f>
        <v/>
      </c>
      <c r="B220">
        <f>Skills!B14</f>
        <v/>
      </c>
      <c r="C220">
        <f>Inputs!$B$3&gt;=74</f>
        <v/>
      </c>
      <c r="D220">
        <f>IF(Skills!C14=1,60+Inputs!$B$25+Inputs!$B$29,IF(Skills!C14=2,90+Inputs!$B$26+Inputs!$B$29,IF(Skills!C14=3,120+Inputs!$B$27+Inputs!$B$29,MAX(0,(Inputs!$B$3-100)*3)+Inputs!$B$28+Inputs!$B$29)))</f>
        <v/>
      </c>
      <c r="E220">
        <f>INDEX(FactorTable!$B$2:$Y$301, MATCH(ROUND(MIN(300,MAX(1,D220)),0), FactorTable!$A$2:$A$301,0), Skills!M14+1)</f>
        <v/>
      </c>
      <c r="F220">
        <f>IF(Skills!N14=TRUE,(Skills!L14/10)*(E220/1000),Skills!L14/10)+Skills!O14</f>
        <v/>
      </c>
      <c r="G220">
        <f>Skills!G14*IF(Skills!H14&gt;0,Skills!I14/Skills!H14,1)</f>
        <v/>
      </c>
      <c r="H220">
        <f>1-(1-Skills!J14/100)^Skills!K14</f>
        <v/>
      </c>
      <c r="I220" t="inlineStr">
        <is>
          <t>1</t>
        </is>
      </c>
      <c r="J220" t="inlineStr"/>
      <c r="K220" t="inlineStr"/>
      <c r="L220" t="inlineStr"/>
      <c r="M220" t="inlineStr"/>
      <c r="N220" t="inlineStr"/>
      <c r="O220">
        <f>(1-Summary!$B$11)*T220+Summary!$B$11*V220</f>
        <v/>
      </c>
      <c r="P220">
        <f>IF(B248=0,0,O220/B248)</f>
        <v/>
      </c>
      <c r="Q220" t="n">
        <v>0</v>
      </c>
      <c r="R220" t="n">
        <v>0</v>
      </c>
      <c r="S220" t="n">
        <v>0</v>
      </c>
      <c r="T220" t="n">
        <v>0</v>
      </c>
      <c r="V220" t="n">
        <v>0</v>
      </c>
    </row>
    <row r="221">
      <c r="A221">
        <f>Skills!A15</f>
        <v/>
      </c>
      <c r="B221">
        <f>Skills!B15</f>
        <v/>
      </c>
      <c r="C221">
        <f>Inputs!$B$3&gt;=117</f>
        <v/>
      </c>
      <c r="D221">
        <f>IF(Skills!C15=1,60+Inputs!$B$25+Inputs!$B$29,IF(Skills!C15=2,90+Inputs!$B$26+Inputs!$B$29,IF(Skills!C15=3,120+Inputs!$B$27+Inputs!$B$29,MAX(0,(Inputs!$B$3-100)*3)+Inputs!$B$28+Inputs!$B$29)))</f>
        <v/>
      </c>
      <c r="E221">
        <f>INDEX(FactorTable!$B$2:$Y$301, MATCH(ROUND(MIN(300,MAX(1,D221)),0), FactorTable!$A$2:$A$301,0), Skills!M15+1)</f>
        <v/>
      </c>
      <c r="F221">
        <f>IF(Skills!N15=TRUE,(Skills!L15/10)*(E221/1000),Skills!L15/10)+Skills!O15</f>
        <v/>
      </c>
      <c r="G221">
        <f>Skills!G15*IF(Skills!H15&gt;0,Skills!I15/Skills!H15,1)</f>
        <v/>
      </c>
      <c r="H221">
        <f>1-(1-Skills!J15/100)^Skills!K15</f>
        <v/>
      </c>
      <c r="I221" t="inlineStr">
        <is>
          <t>1</t>
        </is>
      </c>
      <c r="J221" t="inlineStr"/>
      <c r="K221" t="inlineStr"/>
      <c r="L221" t="inlineStr"/>
      <c r="M221" t="inlineStr"/>
      <c r="N221" t="inlineStr"/>
      <c r="O221">
        <f>(1-Summary!$B$11)*T221+Summary!$B$11*V221</f>
        <v/>
      </c>
      <c r="P221">
        <f>IF(B248=0,0,O221/B248)</f>
        <v/>
      </c>
      <c r="Q221">
        <f>IFERROR(1/IF(Inputs!$B$38="pvp",15,MAX(0.1,Skills!D15-IF(Skills!E15=TRUE,Inputs!$B$32,0))),0)</f>
        <v/>
      </c>
      <c r="R221">
        <f>IF(AND(Inputs!$B$38&lt;&gt;"pvp",Inputs!$B$43&gt;0),IF(Inputs!$B$43&lt;=0,0,(INT(Inputs!$B$43/IF(Inputs!$B$38="pvp",15,MAX(0.1,Skills!D15-IF(Skills!E15=TRUE,Inputs!$B$32,0))))+1)),0)</f>
        <v/>
      </c>
      <c r="S221" t="n">
        <v>0</v>
      </c>
      <c r="T221" t="n">
        <v>0</v>
      </c>
      <c r="V221" t="n">
        <v>0</v>
      </c>
    </row>
    <row r="222">
      <c r="A222">
        <f>Skills!A16</f>
        <v/>
      </c>
      <c r="B222">
        <f>Skills!B16</f>
        <v/>
      </c>
      <c r="C222">
        <f>Inputs!$B$3&gt;=115</f>
        <v/>
      </c>
      <c r="D222">
        <f>IF(Skills!C16=1,60+Inputs!$B$25+Inputs!$B$29,IF(Skills!C16=2,90+Inputs!$B$26+Inputs!$B$29,IF(Skills!C16=3,120+Inputs!$B$27+Inputs!$B$29,MAX(0,(Inputs!$B$3-100)*3)+Inputs!$B$28+Inputs!$B$29)))</f>
        <v/>
      </c>
      <c r="E222">
        <f>INDEX(FactorTable!$B$2:$Y$301, MATCH(ROUND(MIN(300,MAX(1,D222)),0), FactorTable!$A$2:$A$301,0), Skills!M16+1)</f>
        <v/>
      </c>
      <c r="F222">
        <f>IF(Skills!N16=TRUE,(Skills!L16/10)*(E222/1000),Skills!L16/10)+Skills!O16</f>
        <v/>
      </c>
      <c r="G222">
        <f>Skills!G16*IF(Skills!H16&gt;0,Skills!I16/Skills!H16,1)</f>
        <v/>
      </c>
      <c r="H222">
        <f>1-(1-Skills!J16/100)^Skills!K16</f>
        <v/>
      </c>
      <c r="I222" t="inlineStr">
        <is>
          <t>1</t>
        </is>
      </c>
      <c r="J222" t="inlineStr"/>
      <c r="K222" t="inlineStr"/>
      <c r="L222" t="inlineStr"/>
      <c r="M222" t="inlineStr"/>
      <c r="N222" t="inlineStr"/>
      <c r="O222">
        <f>(1-Summary!$B$11)*T222+Summary!$B$11*V222</f>
        <v/>
      </c>
      <c r="P222">
        <f>IF(B248=0,0,O222/B248)</f>
        <v/>
      </c>
      <c r="Q222">
        <f>IFERROR(1/IF(Inputs!$B$38="pvp",15,MAX(0.1,Skills!D16-IF(Skills!E16=TRUE,Inputs!$B$32,0))),0)</f>
        <v/>
      </c>
      <c r="R222">
        <f>IF(AND(Inputs!$B$38&lt;&gt;"pvp",Inputs!$B$43&gt;0),IF(Inputs!$B$43&lt;=0,0,(INT(Inputs!$B$43/IF(Inputs!$B$38="pvp",15,MAX(0.1,Skills!D16-IF(Skills!E16=TRUE,Inputs!$B$32,0))))+1)),0)</f>
        <v/>
      </c>
      <c r="S222" t="n">
        <v>0</v>
      </c>
      <c r="T222" t="n">
        <v>0</v>
      </c>
      <c r="V222" t="n">
        <v>0</v>
      </c>
    </row>
    <row r="223">
      <c r="A223">
        <f>Skills!A17</f>
        <v/>
      </c>
      <c r="B223">
        <f>Skills!B17</f>
        <v/>
      </c>
      <c r="C223">
        <f>Inputs!$B$3&gt;=72</f>
        <v/>
      </c>
      <c r="D223">
        <f>IF(Skills!C17=1,60+Inputs!$B$25+Inputs!$B$29,IF(Skills!C17=2,90+Inputs!$B$26+Inputs!$B$29,IF(Skills!C17=3,120+Inputs!$B$27+Inputs!$B$29,MAX(0,(Inputs!$B$3-100)*3)+Inputs!$B$28+Inputs!$B$29)))</f>
        <v/>
      </c>
      <c r="E223">
        <f>INDEX(FactorTable!$B$2:$Y$301, MATCH(ROUND(MIN(300,MAX(1,D223)),0), FactorTable!$A$2:$A$301,0), Skills!M17+1)</f>
        <v/>
      </c>
      <c r="F223">
        <f>IF(Skills!N17=TRUE,(Skills!L17/10)*(E223/1000),Skills!L17/10)+Skills!O17</f>
        <v/>
      </c>
      <c r="G223">
        <f>Skills!G17*IF(Skills!H17&gt;0,Skills!I17/Skills!H17,1)</f>
        <v/>
      </c>
      <c r="H223">
        <f>1-(1-Skills!J17/100)^Skills!K17</f>
        <v/>
      </c>
      <c r="I223" t="inlineStr">
        <is>
          <t>1</t>
        </is>
      </c>
      <c r="J223" t="inlineStr"/>
      <c r="K223" t="inlineStr"/>
      <c r="L223" t="inlineStr"/>
      <c r="M223" t="inlineStr"/>
      <c r="N223" t="inlineStr"/>
      <c r="O223">
        <f>(1-Summary!$B$11)*T223+Summary!$B$11*V223</f>
        <v/>
      </c>
      <c r="P223">
        <f>IF(B248=0,0,O223/B248)</f>
        <v/>
      </c>
      <c r="Q223" t="n">
        <v>0</v>
      </c>
      <c r="R223" t="n">
        <v>0</v>
      </c>
      <c r="S223" t="n">
        <v>0</v>
      </c>
      <c r="T223" t="n">
        <v>0</v>
      </c>
      <c r="V223" t="n">
        <v>0</v>
      </c>
    </row>
    <row r="224">
      <c r="A224">
        <f>Skills!A18</f>
        <v/>
      </c>
      <c r="B224">
        <f>Skills!B18</f>
        <v/>
      </c>
      <c r="C224">
        <f>TRUE</f>
        <v/>
      </c>
      <c r="D224">
        <f>IF(Skills!C18=1,60+Inputs!$B$25+Inputs!$B$29,IF(Skills!C18=2,90+Inputs!$B$26+Inputs!$B$29,IF(Skills!C18=3,120+Inputs!$B$27+Inputs!$B$29,MAX(0,(Inputs!$B$3-100)*3)+Inputs!$B$28+Inputs!$B$29)))</f>
        <v/>
      </c>
      <c r="E224">
        <f>INDEX(FactorTable!$B$2:$Y$301, MATCH(ROUND(MIN(300,MAX(1,D224)),0), FactorTable!$A$2:$A$301,0), Skills!M18+1)</f>
        <v/>
      </c>
      <c r="F224">
        <f>IF(Skills!N18=TRUE,(Skills!L18/10)*(E224/1000),Skills!L18/10)+Skills!O18</f>
        <v/>
      </c>
      <c r="G224">
        <f>Skills!G18*IF(Skills!H18&gt;0,Skills!I18/Skills!H18,1)</f>
        <v/>
      </c>
      <c r="H224">
        <f>1-(1-Skills!J18/100)^Skills!K18</f>
        <v/>
      </c>
      <c r="I224" t="inlineStr">
        <is>
          <t>1</t>
        </is>
      </c>
      <c r="J224" t="inlineStr"/>
      <c r="K224" t="inlineStr"/>
      <c r="L224" t="inlineStr"/>
      <c r="M224" t="inlineStr"/>
      <c r="N224" t="inlineStr"/>
      <c r="O224">
        <f>(1-Summary!$B$11)*T224+Summary!$B$11*V224</f>
        <v/>
      </c>
      <c r="P224">
        <f>IF(B248=0,0,O224/B248)</f>
        <v/>
      </c>
      <c r="Q224">
        <f>IFERROR(1/IF(Inputs!$B$38="pvp",15,MAX(0.1,Skills!D18-IF(Skills!E18=TRUE,Inputs!$B$32,0))),0)</f>
        <v/>
      </c>
      <c r="R224">
        <f>IF(AND(Inputs!$B$38&lt;&gt;"pvp",Inputs!$B$43&gt;0),IF(Inputs!$B$43&lt;=0,0,(INT(Inputs!$B$43/IF(Inputs!$B$38="pvp",15,MAX(0.1,Skills!D18-IF(Skills!E18=TRUE,Inputs!$B$32,0))))+1)),0)</f>
        <v/>
      </c>
      <c r="S224" t="n">
        <v>0</v>
      </c>
      <c r="T224" t="n">
        <v>0</v>
      </c>
      <c r="V224" t="n">
        <v>0</v>
      </c>
    </row>
    <row r="225">
      <c r="A225">
        <f>Skills!A19</f>
        <v/>
      </c>
      <c r="B225">
        <f>Skills!B19</f>
        <v/>
      </c>
      <c r="C225">
        <f>Inputs!$B$3&gt;=15</f>
        <v/>
      </c>
      <c r="D225">
        <f>IF(Skills!C19=1,60+Inputs!$B$25+Inputs!$B$29,IF(Skills!C19=2,90+Inputs!$B$26+Inputs!$B$29,IF(Skills!C19=3,120+Inputs!$B$27+Inputs!$B$29,MAX(0,(Inputs!$B$3-100)*3)+Inputs!$B$28+Inputs!$B$29)))</f>
        <v/>
      </c>
      <c r="E225">
        <f>INDEX(FactorTable!$B$2:$Y$301, MATCH(ROUND(MIN(300,MAX(1,D225)),0), FactorTable!$A$2:$A$301,0), Skills!M19+1)</f>
        <v/>
      </c>
      <c r="F225">
        <f>IF(Skills!N19=TRUE,(Skills!L19/10)*(E225/1000),Skills!L19/10)+Skills!O19</f>
        <v/>
      </c>
      <c r="G225">
        <f>Skills!G19*IF(Skills!H19&gt;0,Skills!I19/Skills!H19,1)</f>
        <v/>
      </c>
      <c r="H225">
        <f>1-(1-Skills!J19/100)^Skills!K19</f>
        <v/>
      </c>
      <c r="I225" t="inlineStr">
        <is>
          <t>1</t>
        </is>
      </c>
      <c r="J225" t="inlineStr"/>
      <c r="K225" t="inlineStr"/>
      <c r="L225" t="inlineStr"/>
      <c r="M225" t="inlineStr"/>
      <c r="N225" t="inlineStr"/>
      <c r="O225">
        <f>(1-Summary!$B$11)*T225+Summary!$B$11*V225</f>
        <v/>
      </c>
      <c r="P225">
        <f>IF(B248=0,0,O225/B248)</f>
        <v/>
      </c>
      <c r="Q225" t="n">
        <v>0</v>
      </c>
      <c r="R225" t="n">
        <v>0</v>
      </c>
      <c r="S225" t="n">
        <v>0</v>
      </c>
      <c r="T225" t="n">
        <v>0</v>
      </c>
      <c r="V225" t="n">
        <v>0</v>
      </c>
    </row>
    <row r="226">
      <c r="A226">
        <f>Skills!A20</f>
        <v/>
      </c>
      <c r="B226">
        <f>Skills!B20</f>
        <v/>
      </c>
      <c r="C226">
        <f>Inputs!$B$3&gt;=10</f>
        <v/>
      </c>
      <c r="D226">
        <f>IF(Skills!C20=1,60+Inputs!$B$25+Inputs!$B$29,IF(Skills!C20=2,90+Inputs!$B$26+Inputs!$B$29,IF(Skills!C20=3,120+Inputs!$B$27+Inputs!$B$29,MAX(0,(Inputs!$B$3-100)*3)+Inputs!$B$28+Inputs!$B$29)))</f>
        <v/>
      </c>
      <c r="E226">
        <f>INDEX(FactorTable!$B$2:$Y$301, MATCH(ROUND(MIN(300,MAX(1,D226)),0), FactorTable!$A$2:$A$301,0), Skills!M20+1)</f>
        <v/>
      </c>
      <c r="F226">
        <f>IF(Skills!N20=TRUE,(Skills!L20/10)*(E226/1000),Skills!L20/10)+Skills!O20</f>
        <v/>
      </c>
      <c r="G226">
        <f>Skills!G20*IF(Skills!H20&gt;0,Skills!I20/Skills!H20,1)</f>
        <v/>
      </c>
      <c r="H226">
        <f>1-(1-Skills!J20/100)^Skills!K20</f>
        <v/>
      </c>
      <c r="I226" t="inlineStr">
        <is>
          <t>1</t>
        </is>
      </c>
      <c r="J226" t="inlineStr"/>
      <c r="K226" t="inlineStr"/>
      <c r="L226" t="inlineStr"/>
      <c r="M226" t="inlineStr"/>
      <c r="N226" t="inlineStr"/>
      <c r="O226">
        <f>(1-Summary!$B$11)*T226+Summary!$B$11*V226</f>
        <v/>
      </c>
      <c r="P226">
        <f>IF(B248=0,0,O226/B248)</f>
        <v/>
      </c>
      <c r="Q226" t="n">
        <v>0</v>
      </c>
      <c r="R226" t="n">
        <v>0</v>
      </c>
      <c r="S226" t="n">
        <v>0</v>
      </c>
      <c r="T226" t="n">
        <v>0</v>
      </c>
      <c r="V226" t="n">
        <v>0</v>
      </c>
    </row>
    <row r="227">
      <c r="A227">
        <f>Skills!A21</f>
        <v/>
      </c>
      <c r="B227">
        <f>Skills!B21</f>
        <v/>
      </c>
      <c r="C227">
        <f>Inputs!$B$3&gt;=33</f>
        <v/>
      </c>
      <c r="D227">
        <f>IF(Skills!C21=1,60+Inputs!$B$25+Inputs!$B$29,IF(Skills!C21=2,90+Inputs!$B$26+Inputs!$B$29,IF(Skills!C21=3,120+Inputs!$B$27+Inputs!$B$29,MAX(0,(Inputs!$B$3-100)*3)+Inputs!$B$28+Inputs!$B$29)))</f>
        <v/>
      </c>
      <c r="E227">
        <f>INDEX(FactorTable!$B$2:$Y$301, MATCH(ROUND(MIN(300,MAX(1,D227)),0), FactorTable!$A$2:$A$301,0), Skills!M21+1)</f>
        <v/>
      </c>
      <c r="F227">
        <f>IF(Skills!N21=TRUE,(Skills!L21/10)*(E227/1000),Skills!L21/10)+Skills!O21</f>
        <v/>
      </c>
      <c r="G227">
        <f>Skills!G21*IF(Skills!H21&gt;0,Skills!I21/Skills!H21,1)</f>
        <v/>
      </c>
      <c r="H227">
        <f>1-(1-Skills!J21/100)^Skills!K21</f>
        <v/>
      </c>
      <c r="I227" t="inlineStr">
        <is>
          <t>1</t>
        </is>
      </c>
      <c r="J227" t="inlineStr"/>
      <c r="K227" t="inlineStr"/>
      <c r="L227" t="inlineStr"/>
      <c r="M227" t="inlineStr"/>
      <c r="N227" t="inlineStr"/>
      <c r="O227">
        <f>(1-Summary!$B$11)*T227+Summary!$B$11*V227</f>
        <v/>
      </c>
      <c r="P227">
        <f>IF(B248=0,0,O227/B248)</f>
        <v/>
      </c>
      <c r="Q227" t="n">
        <v>0</v>
      </c>
      <c r="R227" t="n">
        <v>0</v>
      </c>
      <c r="S227" t="n">
        <v>0</v>
      </c>
      <c r="T227" t="n">
        <v>0</v>
      </c>
      <c r="V227" t="n">
        <v>0</v>
      </c>
    </row>
    <row r="228">
      <c r="A228">
        <f>Skills!A22</f>
        <v/>
      </c>
      <c r="B228">
        <f>Skills!B22</f>
        <v/>
      </c>
      <c r="C228">
        <f>Inputs!$B$3&gt;=38</f>
        <v/>
      </c>
      <c r="D228">
        <f>IF(Skills!C22=1,60+Inputs!$B$25+Inputs!$B$29,IF(Skills!C22=2,90+Inputs!$B$26+Inputs!$B$29,IF(Skills!C22=3,120+Inputs!$B$27+Inputs!$B$29,MAX(0,(Inputs!$B$3-100)*3)+Inputs!$B$28+Inputs!$B$29)))</f>
        <v/>
      </c>
      <c r="E228">
        <f>INDEX(FactorTable!$B$2:$Y$301, MATCH(ROUND(MIN(300,MAX(1,D228)),0), FactorTable!$A$2:$A$301,0), Skills!M22+1)</f>
        <v/>
      </c>
      <c r="F228">
        <f>IF(Skills!N22=TRUE,(Skills!L22/10)*(E228/1000),Skills!L22/10)+Skills!O22</f>
        <v/>
      </c>
      <c r="G228">
        <f>Skills!G22*IF(Skills!H22&gt;0,Skills!I22/Skills!H22,1)</f>
        <v/>
      </c>
      <c r="H228">
        <f>1-(1-Skills!J22/100)^Skills!K22</f>
        <v/>
      </c>
      <c r="I228" t="inlineStr">
        <is>
          <t>1</t>
        </is>
      </c>
      <c r="J228" t="inlineStr"/>
      <c r="K228" t="inlineStr"/>
      <c r="L228" t="inlineStr"/>
      <c r="M228" t="inlineStr"/>
      <c r="N228" t="inlineStr"/>
      <c r="O228">
        <f>(1-Summary!$B$11)*T228+Summary!$B$11*V228</f>
        <v/>
      </c>
      <c r="P228">
        <f>IF(B248=0,0,O228/B248)</f>
        <v/>
      </c>
      <c r="Q228" t="n">
        <v>0</v>
      </c>
      <c r="R228" t="n">
        <v>0</v>
      </c>
      <c r="S228" t="n">
        <v>0</v>
      </c>
      <c r="T228" t="n">
        <v>0</v>
      </c>
      <c r="V228" t="n">
        <v>0</v>
      </c>
    </row>
    <row r="229">
      <c r="A229">
        <f>Skills!A23</f>
        <v/>
      </c>
      <c r="B229">
        <f>Skills!B23</f>
        <v/>
      </c>
      <c r="C229">
        <f>Inputs!$B$3&gt;=43</f>
        <v/>
      </c>
      <c r="D229">
        <f>IF(Skills!C23=1,60+Inputs!$B$25+Inputs!$B$29,IF(Skills!C23=2,90+Inputs!$B$26+Inputs!$B$29,IF(Skills!C23=3,120+Inputs!$B$27+Inputs!$B$29,MAX(0,(Inputs!$B$3-100)*3)+Inputs!$B$28+Inputs!$B$29)))</f>
        <v/>
      </c>
      <c r="E229">
        <f>INDEX(FactorTable!$B$2:$Y$301, MATCH(ROUND(MIN(300,MAX(1,D229)),0), FactorTable!$A$2:$A$301,0), Skills!M23+1)</f>
        <v/>
      </c>
      <c r="F229">
        <f>IF(Skills!N23=TRUE,(Skills!L23/10)*(E229/1000),Skills!L23/10)+Skills!O23</f>
        <v/>
      </c>
      <c r="G229">
        <f>Skills!G23*IF(Skills!H23&gt;0,Skills!I23/Skills!H23,1)</f>
        <v/>
      </c>
      <c r="H229">
        <f>1-(1-Skills!J23/100)^Skills!K23</f>
        <v/>
      </c>
      <c r="I229" t="inlineStr">
        <is>
          <t>1</t>
        </is>
      </c>
      <c r="J229" t="inlineStr"/>
      <c r="K229" t="inlineStr"/>
      <c r="L229" t="inlineStr"/>
      <c r="M229" t="inlineStr"/>
      <c r="N229" t="inlineStr"/>
      <c r="O229">
        <f>(1-Summary!$B$11)*T229+Summary!$B$11*V229</f>
        <v/>
      </c>
      <c r="P229">
        <f>IF(B248=0,0,O229/B248)</f>
        <v/>
      </c>
      <c r="Q229" t="n">
        <v>0</v>
      </c>
      <c r="R229" t="n">
        <v>0</v>
      </c>
      <c r="S229" t="n">
        <v>0</v>
      </c>
      <c r="T229" t="n">
        <v>0</v>
      </c>
      <c r="V229" t="n">
        <v>0</v>
      </c>
    </row>
    <row r="230">
      <c r="A230">
        <f>Skills!A24</f>
        <v/>
      </c>
      <c r="B230">
        <f>Skills!B24</f>
        <v/>
      </c>
      <c r="C230">
        <f>Inputs!$B$3&gt;=75</f>
        <v/>
      </c>
      <c r="D230">
        <f>IF(Skills!C24=1,60+Inputs!$B$25+Inputs!$B$29,IF(Skills!C24=2,90+Inputs!$B$26+Inputs!$B$29,IF(Skills!C24=3,120+Inputs!$B$27+Inputs!$B$29,MAX(0,(Inputs!$B$3-100)*3)+Inputs!$B$28+Inputs!$B$29)))</f>
        <v/>
      </c>
      <c r="E230">
        <f>INDEX(FactorTable!$B$2:$Y$301, MATCH(ROUND(MIN(300,MAX(1,D230)),0), FactorTable!$A$2:$A$301,0), Skills!M24+1)</f>
        <v/>
      </c>
      <c r="F230">
        <f>IF(Skills!N24=TRUE,(Skills!L24/10)*(E230/1000),Skills!L24/10)+Skills!O24</f>
        <v/>
      </c>
      <c r="G230">
        <f>Skills!G24*IF(Skills!H24&gt;0,Skills!I24/Skills!H24,1)</f>
        <v/>
      </c>
      <c r="H230">
        <f>1-(1-Skills!J24/100)^Skills!K24</f>
        <v/>
      </c>
      <c r="I230" t="inlineStr">
        <is>
          <t>1</t>
        </is>
      </c>
      <c r="J230" t="inlineStr"/>
      <c r="K230" t="inlineStr"/>
      <c r="L230" t="inlineStr"/>
      <c r="M230" t="inlineStr"/>
      <c r="N230" t="inlineStr"/>
      <c r="O230">
        <f>(1-Summary!$B$11)*T230+Summary!$B$11*V230</f>
        <v/>
      </c>
      <c r="P230">
        <f>IF(B248=0,0,O230/B248)</f>
        <v/>
      </c>
      <c r="Q230" t="n">
        <v>0</v>
      </c>
      <c r="R230" t="n">
        <v>0</v>
      </c>
      <c r="S230" t="n">
        <v>0</v>
      </c>
      <c r="T230" t="n">
        <v>0</v>
      </c>
      <c r="V230" t="n">
        <v>0</v>
      </c>
    </row>
    <row r="231">
      <c r="A231">
        <f>Skills!A25</f>
        <v/>
      </c>
      <c r="B231">
        <f>Skills!B25</f>
        <v/>
      </c>
      <c r="C231">
        <f>Inputs!$B$3&gt;=125</f>
        <v/>
      </c>
      <c r="D231">
        <f>IF(Skills!C25=1,60+Inputs!$B$25+Inputs!$B$29,IF(Skills!C25=2,90+Inputs!$B$26+Inputs!$B$29,IF(Skills!C25=3,120+Inputs!$B$27+Inputs!$B$29,MAX(0,(Inputs!$B$3-100)*3)+Inputs!$B$28+Inputs!$B$29)))</f>
        <v/>
      </c>
      <c r="E231">
        <f>INDEX(FactorTable!$B$2:$Y$301, MATCH(ROUND(MIN(300,MAX(1,D231)),0), FactorTable!$A$2:$A$301,0), Skills!M25+1)</f>
        <v/>
      </c>
      <c r="F231">
        <f>IF(Skills!N25=TRUE,(Skills!L25/10)*(E231/1000),Skills!L25/10)+Skills!O25</f>
        <v/>
      </c>
      <c r="G231">
        <f>Skills!G25*IF(Skills!H25&gt;0,Skills!I25/Skills!H25,1)</f>
        <v/>
      </c>
      <c r="H231">
        <f>1-(1-Skills!J25/100)^Skills!K25</f>
        <v/>
      </c>
      <c r="I231" t="inlineStr">
        <is>
          <t>1</t>
        </is>
      </c>
      <c r="J231" t="inlineStr"/>
      <c r="K231" t="inlineStr"/>
      <c r="L231" t="inlineStr"/>
      <c r="M231" t="inlineStr"/>
      <c r="N231" t="inlineStr"/>
      <c r="O231">
        <f>(1-Summary!$B$11)*T231+Summary!$B$11*V231</f>
        <v/>
      </c>
      <c r="P231">
        <f>IF(B248=0,0,O231/B248)</f>
        <v/>
      </c>
      <c r="Q231" t="n">
        <v>0</v>
      </c>
      <c r="R231" t="n">
        <v>0</v>
      </c>
      <c r="S231" t="n">
        <v>0</v>
      </c>
      <c r="T231" t="n">
        <v>0</v>
      </c>
      <c r="V231" t="n">
        <v>0</v>
      </c>
    </row>
    <row r="232">
      <c r="A232">
        <f>Skills!A26</f>
        <v/>
      </c>
      <c r="B232">
        <f>Skills!B26</f>
        <v/>
      </c>
      <c r="C232">
        <f>Inputs!$B$3&gt;=125</f>
        <v/>
      </c>
      <c r="D232">
        <f>IF(Skills!C26=1,60+Inputs!$B$25+Inputs!$B$29,IF(Skills!C26=2,90+Inputs!$B$26+Inputs!$B$29,IF(Skills!C26=3,120+Inputs!$B$27+Inputs!$B$29,MAX(0,(Inputs!$B$3-100)*3)+Inputs!$B$28+Inputs!$B$29)))</f>
        <v/>
      </c>
      <c r="E232">
        <f>INDEX(FactorTable!$B$2:$Y$301, MATCH(ROUND(MIN(300,MAX(1,D232)),0), FactorTable!$A$2:$A$301,0), Skills!M26+1)</f>
        <v/>
      </c>
      <c r="F232">
        <f>IF(Skills!N26=TRUE,(Skills!L26/10)*(E232/1000),Skills!L26/10)+Skills!O26</f>
        <v/>
      </c>
      <c r="G232">
        <f>Skills!G26*IF(Skills!H26&gt;0,Skills!I26/Skills!H26,1)</f>
        <v/>
      </c>
      <c r="H232">
        <f>1-(1-Skills!J26/100)^Skills!K26</f>
        <v/>
      </c>
      <c r="I232" t="inlineStr">
        <is>
          <t>1</t>
        </is>
      </c>
      <c r="J232" t="inlineStr"/>
      <c r="K232" t="inlineStr"/>
      <c r="L232" t="inlineStr"/>
      <c r="M232" t="inlineStr"/>
      <c r="N232" t="inlineStr"/>
      <c r="O232">
        <f>(1-Summary!$B$11)*T232+Summary!$B$11*V232</f>
        <v/>
      </c>
      <c r="P232">
        <f>IF(B248=0,0,O232/B248)</f>
        <v/>
      </c>
      <c r="Q232" t="n">
        <v>0</v>
      </c>
      <c r="R232" t="n">
        <v>0</v>
      </c>
      <c r="S232" t="n">
        <v>0</v>
      </c>
      <c r="T232" t="n">
        <v>0</v>
      </c>
      <c r="V232" t="n">
        <v>0</v>
      </c>
    </row>
    <row r="233">
      <c r="A233">
        <f>Skills!A27</f>
        <v/>
      </c>
      <c r="B233">
        <f>Skills!B27</f>
        <v/>
      </c>
      <c r="C233">
        <f>Inputs!$B$3&gt;=120</f>
        <v/>
      </c>
      <c r="D233">
        <f>IF(Skills!C27=1,60+Inputs!$B$25+Inputs!$B$29,IF(Skills!C27=2,90+Inputs!$B$26+Inputs!$B$29,IF(Skills!C27=3,120+Inputs!$B$27+Inputs!$B$29,MAX(0,(Inputs!$B$3-100)*3)+Inputs!$B$28+Inputs!$B$29)))</f>
        <v/>
      </c>
      <c r="E233">
        <f>INDEX(FactorTable!$B$2:$Y$301, MATCH(ROUND(MIN(300,MAX(1,D233)),0), FactorTable!$A$2:$A$301,0), Skills!M27+1)</f>
        <v/>
      </c>
      <c r="F233">
        <f>IF(Skills!N27=TRUE,(Skills!L27/10)*(E233/1000),Skills!L27/10)+Skills!O27</f>
        <v/>
      </c>
      <c r="G233">
        <f>Skills!G27*IF(Skills!H27&gt;0,Skills!I27/Skills!H27,1)</f>
        <v/>
      </c>
      <c r="H233">
        <f>1-(1-Skills!J27/100)^Skills!K27</f>
        <v/>
      </c>
      <c r="I233" t="inlineStr">
        <is>
          <t>1</t>
        </is>
      </c>
      <c r="J233" t="inlineStr"/>
      <c r="K233" t="inlineStr"/>
      <c r="L233" t="inlineStr"/>
      <c r="M233" t="inlineStr"/>
      <c r="N233" t="inlineStr"/>
      <c r="O233">
        <f>(1-Summary!$B$11)*T233+Summary!$B$11*V233</f>
        <v/>
      </c>
      <c r="P233">
        <f>IF(B248=0,0,O233/B248)</f>
        <v/>
      </c>
      <c r="Q233" t="n">
        <v>0</v>
      </c>
      <c r="R233" t="n">
        <v>0</v>
      </c>
      <c r="S233" t="n">
        <v>0</v>
      </c>
      <c r="T233" t="n">
        <v>0</v>
      </c>
      <c r="V233" t="n">
        <v>0</v>
      </c>
    </row>
    <row r="234">
      <c r="A234">
        <f>Skills!A28</f>
        <v/>
      </c>
      <c r="B234">
        <f>Skills!B28</f>
        <v/>
      </c>
      <c r="C234">
        <f>Inputs!$B$3&gt;=120</f>
        <v/>
      </c>
      <c r="D234">
        <f>IF(Skills!C28=1,60+Inputs!$B$25+Inputs!$B$29,IF(Skills!C28=2,90+Inputs!$B$26+Inputs!$B$29,IF(Skills!C28=3,120+Inputs!$B$27+Inputs!$B$29,MAX(0,(Inputs!$B$3-100)*3)+Inputs!$B$28+Inputs!$B$29)))</f>
        <v/>
      </c>
      <c r="E234">
        <f>INDEX(FactorTable!$B$2:$Y$301, MATCH(ROUND(MIN(300,MAX(1,D234)),0), FactorTable!$A$2:$A$301,0), Skills!M28+1)</f>
        <v/>
      </c>
      <c r="F234">
        <f>IF(Skills!N28=TRUE,(Skills!L28/10)*(E234/1000),Skills!L28/10)+Skills!O28</f>
        <v/>
      </c>
      <c r="G234">
        <f>Skills!G28*IF(Skills!H28&gt;0,Skills!I28/Skills!H28,1)</f>
        <v/>
      </c>
      <c r="H234">
        <f>1-(1-Skills!J28/100)^Skills!K28</f>
        <v/>
      </c>
      <c r="I234" t="inlineStr">
        <is>
          <t>1</t>
        </is>
      </c>
      <c r="J234" t="inlineStr"/>
      <c r="K234" t="inlineStr"/>
      <c r="L234" t="inlineStr"/>
      <c r="M234" t="inlineStr"/>
      <c r="N234" t="inlineStr"/>
      <c r="O234">
        <f>(1-Summary!$B$11)*T234+Summary!$B$11*V234</f>
        <v/>
      </c>
      <c r="P234">
        <f>IF(B248=0,0,O234/B248)</f>
        <v/>
      </c>
      <c r="Q234" t="n">
        <v>0</v>
      </c>
      <c r="R234" t="n">
        <v>0</v>
      </c>
      <c r="S234" t="n">
        <v>0</v>
      </c>
      <c r="T234" t="n">
        <v>0</v>
      </c>
      <c r="V234" t="n">
        <v>0</v>
      </c>
    </row>
    <row r="235">
      <c r="A235">
        <f>Skills!A29</f>
        <v/>
      </c>
      <c r="B235">
        <f>Skills!B29</f>
        <v/>
      </c>
      <c r="C235">
        <f>Inputs!$B$3&gt;=45</f>
        <v/>
      </c>
      <c r="D235">
        <f>IF(Skills!C29=1,60+Inputs!$B$25+Inputs!$B$29,IF(Skills!C29=2,90+Inputs!$B$26+Inputs!$B$29,IF(Skills!C29=3,120+Inputs!$B$27+Inputs!$B$29,MAX(0,(Inputs!$B$3-100)*3)+Inputs!$B$28+Inputs!$B$29)))</f>
        <v/>
      </c>
      <c r="E235">
        <f>INDEX(FactorTable!$B$2:$Y$301, MATCH(ROUND(MIN(300,MAX(1,D235)),0), FactorTable!$A$2:$A$301,0), Skills!M29+1)</f>
        <v/>
      </c>
      <c r="F235">
        <f>IF(Skills!N29=TRUE,(Skills!L29/10)*(E235/1000),Skills!L29/10)+Skills!O29</f>
        <v/>
      </c>
      <c r="G235">
        <f>Skills!G29*IF(Skills!H29&gt;0,Skills!I29/Skills!H29,1)</f>
        <v/>
      </c>
      <c r="H235">
        <f>1-(1-Skills!J29/100)^Skills!K29</f>
        <v/>
      </c>
      <c r="I235" t="inlineStr">
        <is>
          <t>1</t>
        </is>
      </c>
      <c r="J235" t="inlineStr"/>
      <c r="K235" t="inlineStr"/>
      <c r="L235" t="inlineStr"/>
      <c r="M235" t="inlineStr"/>
      <c r="N235" t="inlineStr"/>
      <c r="O235">
        <f>(1-Summary!$B$11)*T235+Summary!$B$11*V235</f>
        <v/>
      </c>
      <c r="P235">
        <f>IF(B248=0,0,O235/B248)</f>
        <v/>
      </c>
      <c r="Q235" t="n">
        <v>0</v>
      </c>
      <c r="R235" t="n">
        <v>0</v>
      </c>
      <c r="S235" t="n">
        <v>0</v>
      </c>
      <c r="T235" t="n">
        <v>0</v>
      </c>
      <c r="V235" t="n">
        <v>0</v>
      </c>
    </row>
    <row r="237">
      <c r="A237" t="inlineStr">
        <is>
          <t>Attack% Bucket Multiplier</t>
        </is>
      </c>
      <c r="B237">
        <f>(1+(((C219=TRUE)*F219)+((C220=TRUE)*IF(Inputs!$B$38="pvp",F220,(1-Summary!$B$11)*(F220)+Summary!$B$11*(0)))+((C221=TRUE)*F221*IF(AND(Inputs!$B$38&lt;&gt;"pvp",Inputs!$B$43&gt;0),(((R221-1)*(Skills!T15*(1+Inputs!$B$34/100))+MIN((Skills!T15*(1+Inputs!$B$34/100)),MAX(0,Inputs!$B$43-((R221-1)*Skills!D15))))/Inputs!$B$43),IF(Inputs!$B$38="pvp",MIN((Skills!T15*(1+Inputs!$B$34/100)),15)/15,(Skills!T15*(1+Inputs!$B$34/100))/Skills!D15)))+((C218=TRUE)*F218)+((C235=TRUE)*(F235-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238">
      <c r="A238" t="inlineStr">
        <is>
          <t>Global Crit Rate Bonus %</t>
        </is>
      </c>
      <c r="B238">
        <f>(C222=TRUE)*20*IF(AND(Inputs!$B$38&lt;&gt;"pvp",Inputs!$B$43&gt;0),(((R222-1)*(Skills!T16*(1+Inputs!$B$34/100))+MIN((Skills!T16*(1+Inputs!$B$34/100)),MAX(0,Inputs!$B$43-((R222-1)*Skills!D16))))/Inputs!$B$43),IF(Inputs!$B$38="pvp",MIN((Skills!T16*(1+Inputs!$B$34/100)),15)/15,(Skills!T16*(1+Inputs!$B$34/100))/Skills!D16))</f>
        <v/>
      </c>
    </row>
    <row r="239">
      <c r="A239" t="inlineStr">
        <is>
          <t>Attack Speed Buff Bonus %</t>
        </is>
      </c>
      <c r="B239">
        <f>((C224=TRUE)*F224*IF(AND(Inputs!$B$38&lt;&gt;"pvp",Inputs!$B$43&gt;0),(((R224-1)*(Skills!T18*(1+Inputs!$B$34/100))+MIN((Skills!T18*(1+Inputs!$B$34/100)),MAX(0,Inputs!$B$43-((R224-1)*Skills!D18))))/Inputs!$B$43),IF(Inputs!$B$38="pvp",MIN((Skills!T18*(1+Inputs!$B$34/100)),15)/15,(Skills!T18*(1+Inputs!$B$34/100))/Skills!D18)))</f>
        <v/>
      </c>
    </row>
    <row r="240">
      <c r="A240" t="inlineStr">
        <is>
          <t>Actions Per Second</t>
        </is>
      </c>
      <c r="B240">
        <f>1+MIN(150,150*(1-(1-(Inputs!$B$11+((C226=TRUE)*(F226-Calc!F20))+((C227=TRUE)*(F227-Calc!F21)))/150)*(1-B239/150)))/100</f>
        <v/>
      </c>
    </row>
    <row r="241">
      <c r="A241" t="inlineStr">
        <is>
          <t>Skill + Buff Cast Rate</t>
        </is>
      </c>
      <c r="B241">
        <f>IF(AND(Inputs!$B$38&lt;&gt;"pvp",Inputs!$B$43&gt;0),SUMPRODUCT((Skills!E2:E29=TRUE)*(C208:C235=TRUE)*R208:R235*Skills!F2:F29)/Inputs!$B$43,SUMPRODUCT((Skills!E2:E29=TRUE)*(C208:C235=TRUE)*Q208:Q235*Skills!F2:F29))</f>
        <v/>
      </c>
    </row>
    <row r="242">
      <c r="A242" t="inlineStr">
        <is>
          <t>Empowered Piercing Arrow Casts Per Second</t>
        </is>
      </c>
      <c r="B242">
        <f>MAX(0,B240-B241)</f>
        <v/>
      </c>
    </row>
    <row r="243">
      <c r="A243" t="inlineStr">
        <is>
          <t>Global Critical Damage Bonus % (Sharp Eyes)</t>
        </is>
      </c>
      <c r="B243">
        <f>(C222=TRUE)*F222*IF(AND(Inputs!$B$38&lt;&gt;"pvp",Inputs!$B$43&gt;0),(((R222-1)*(Skills!T16*(1+Inputs!$B$34/100))+MIN((Skills!T16*(1+Inputs!$B$34/100)),MAX(0,Inputs!$B$43-((R222-1)*Skills!D16))))/Inputs!$B$43),IF(Inputs!$B$38="pvp",MIN((Skills!T16*(1+Inputs!$B$34/100)),15)/15,(Skills!T16*(1+Inputs!$B$34/100))/Skills!D16))</f>
        <v/>
      </c>
    </row>
    <row r="244">
      <c r="A244" t="inlineStr">
        <is>
          <t>Global Final Damage Bonus % (Mortal Blow + Last Man Standing conditional half)</t>
        </is>
      </c>
      <c r="B244">
        <f>(C223=TRUE)*F223+((C232=TRUE)*IF(Inputs!$B$38="pvp",F232,(1-Summary!$B$11)*(F232)+Summary!$B$11*(0)))</f>
        <v/>
      </c>
    </row>
    <row r="245">
      <c r="A245" t="inlineStr">
        <is>
          <t>Buff-Casting Startup Delay (s, fixed-duration only)</t>
        </is>
      </c>
      <c r="B245">
        <f>IF(AND(Inputs!$B$38&lt;&gt;"pvp",Inputs!$B$43&gt;0),SUMPRODUCT((Skills!T2:T29&gt;0)*(Skills!E2:E29=TRUE)*(C208:C235=TRUE))/B240,0)</f>
        <v/>
      </c>
    </row>
    <row r="246">
      <c r="A246" t="inlineStr">
        <is>
          <t>Boss-Only Total DPS (this block's swept value)</t>
        </is>
      </c>
      <c r="B246">
        <f>SUM(T208:T235)</f>
        <v/>
      </c>
    </row>
    <row r="247">
      <c r="A247" t="inlineStr">
        <is>
          <t>Normal-Only Total DPS (this block's swept value)</t>
        </is>
      </c>
      <c r="B247">
        <f>SUM(V208:V235)</f>
        <v/>
      </c>
    </row>
    <row r="248">
      <c r="A248" s="6" t="inlineStr">
        <is>
          <t>TOTAL DPS</t>
        </is>
      </c>
      <c r="B248" s="6">
        <f>SUM(O208:O235)</f>
        <v/>
      </c>
    </row>
    <row r="251">
      <c r="A251" s="6" t="inlineStr">
        <is>
          <t>Stat: DAMAGE_AMP %</t>
        </is>
      </c>
    </row>
    <row r="252">
      <c r="A252" s="5" t="inlineStr">
        <is>
          <t>Key</t>
        </is>
      </c>
      <c r="B252" s="5" t="inlineStr">
        <is>
          <t>Name</t>
        </is>
      </c>
      <c r="C252" s="5" t="inlineStr">
        <is>
          <t>Unlocked</t>
        </is>
      </c>
      <c r="D252" s="5" t="inlineStr">
        <is>
          <t>InputLevel</t>
        </is>
      </c>
      <c r="E252" s="5" t="inlineStr">
        <is>
          <t>Factor</t>
        </is>
      </c>
      <c r="F252" s="5" t="inlineStr">
        <is>
          <t>CoefficientPercent</t>
        </is>
      </c>
      <c r="G252" s="5" t="inlineStr">
        <is>
          <t>EffectiveHits</t>
        </is>
      </c>
      <c r="H252" s="5" t="inlineStr">
        <is>
          <t>ProcProbability</t>
        </is>
      </c>
      <c r="I252" s="5" t="inlineStr">
        <is>
          <t>MapleHeroMultiplier</t>
        </is>
      </c>
      <c r="J252" s="5" t="inlineStr">
        <is>
          <t>BaseDamage</t>
        </is>
      </c>
      <c r="K252" s="5" t="inlineStr">
        <is>
          <t>BaseHitDamage</t>
        </is>
      </c>
      <c r="L252" s="5" t="inlineStr">
        <is>
          <t>NonCritAvg</t>
        </is>
      </c>
      <c r="M252" s="5" t="inlineStr">
        <is>
          <t>CritAvg</t>
        </is>
      </c>
      <c r="N252" s="5" t="inlineStr">
        <is>
          <t>ExpectedDamage(perHit)</t>
        </is>
      </c>
      <c r="O252" s="5" t="inlineStr">
        <is>
          <t>DPS</t>
        </is>
      </c>
      <c r="P252" s="5" t="inlineStr">
        <is>
          <t>% of Total</t>
        </is>
      </c>
      <c r="Q252" s="5" t="inlineStr">
        <is>
          <t>InvCooldown</t>
        </is>
      </c>
      <c r="R252" s="5" t="inlineStr">
        <is>
          <t>CastsInFight</t>
        </is>
      </c>
      <c r="S252" s="5" t="inlineStr">
        <is>
          <t>HitRate(perSec)</t>
        </is>
      </c>
      <c r="U252" t="inlineStr">
        <is>
          <t>helpers</t>
        </is>
      </c>
    </row>
    <row r="253">
      <c r="A253">
        <f>Skills!A2</f>
        <v/>
      </c>
      <c r="B253">
        <f>Skills!B2</f>
        <v/>
      </c>
      <c r="C253">
        <f>Inputs!$B$3&gt;=100</f>
        <v/>
      </c>
      <c r="D253" t="inlineStr"/>
      <c r="E253" t="inlineStr"/>
      <c r="F253">
        <f>U255+Skills!O2</f>
        <v/>
      </c>
      <c r="G253">
        <f>Skills!G2*IF(Skills!H2&gt;0,Skills!I2/Skills!H2,1)</f>
        <v/>
      </c>
      <c r="H253">
        <f>1-(1-Skills!J2/100)^Skills!K2</f>
        <v/>
      </c>
      <c r="I253" t="inlineStr">
        <is>
          <t>1</t>
        </is>
      </c>
      <c r="J253">
        <f>((Inputs!$B$6*(1+Inputs!$B$7/100))+(((Inputs!$B$12*(1+Inputs!$B$13/100))-(Inputs!$B$12*(1+Inputs!$B$13/100)))+0.25*(Inputs!$B$14-Inputs!$B$14))*(1+Inputs!$B$7/100))*(F253/100)</f>
        <v/>
      </c>
      <c r="K253">
        <f>J253*(1+((Inputs!$B$12*(1+Inputs!$B$13/100))*0.01+Inputs!$B$14*0.0025)/100)*(1+Inputs!$B$15/100)*(1+(Inputs!$B$16+1)/100)*(5000/(6000+Inputs!$B$42*(1-(100*(1-(1-(Inputs!$B$19+0)/100)*(1-CHOOSE(ArtifactsInput!$N$40+1,5,6,7,8,9,10)/100)^(ArtifactsInput!$M$40-ArtifactsInput!$M$40)))/100)))*(1+(Inputs!$B$24+((C275=TRUE)*(F275-Calc!F24))+((C276=TRUE)*(F276-Calc!F25))+B289)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EMPOWERED_PIERCING_ARROW",Inputs!$B$17+((C273=TRUE)*(F273-Calc!F22))+(((IF(AND(ArtifactsInput!$M$42,((Inputs!$B$9+((C270=TRUE)*(F270-Calc!F19))+B283+(ArtifactsInput!$M$24-ArtifactsInput!$M$24)*CHOOSE(ArtifactsInput!$N$24+1,10,12,14,16,18,20)+IF(ArtifactsInput!$M$10,CHOOSE(ArtifactsInput!$N$10+1,15,18,21,24,27,30)*(IF(Inputs!$B$38="pvp",MIN(15,15)/15,IF(AND(Inputs!$B$38&lt;&gt;"pvp",Inputs!$B$43&gt;0),MIN(15,Inputs!$B$43)/(Inputs!$B$43),0))),0)))&gt;=100),MIN(100,((Inputs!$B$9+((C270=TRUE)*(F270-Calc!F19))+B283+(ArtifactsInput!$M$24-ArtifactsInput!$M$24)*CHOOSE(ArtifactsInput!$N$24+1,10,12,14,16,18,20)+IF(ArtifactsInput!$M$10,CHOOSE(ArtifactsInput!$N$10+1,15,18,21,24,27,30)*(IF(Inputs!$B$38="pvp",MIN(15,15)/15,IF(AND(Inputs!$B$38&lt;&gt;"pvp",Inputs!$B$43&gt;0),MIN(15,Inputs!$B$43)/(Inputs!$B$43),0))),0)))-100),0))*CHOOSE(ArtifactsInput!$N$42+1,0.6,0.72,0.84,0.96,1.08,1.2))),Inputs!$B$18+((C278=TRUE)*(F278-Calc!F27))+(IF(AND(ArtifactsInput!$M$42,((Inputs!$B$9+((C270=TRUE)*(F270-Calc!F19))+B283+(ArtifactsInput!$M$24-ArtifactsInput!$M$24)*CHOOSE(ArtifactsInput!$N$24+1,10,12,14,16,18,20)+IF(ArtifactsInput!$M$10,CHOOSE(ArtifactsInput!$N$10+1,15,18,21,24,27,30)*(IF(Inputs!$B$38="pvp",MIN(15,15)/15,IF(AND(Inputs!$B$38&lt;&gt;"pvp",Inputs!$B$43&gt;0),MIN(15,Inputs!$B$43)/(Inputs!$B$43),0))),0)))&gt;=100),CHOOSE(ArtifactsInput!$N$42+1,40,48,56,64,72,80),0))))/100)*((1+(((C264=TRUE)*F264)+((C265=TRUE)*IF(Inputs!$B$38="pvp",F265,(1-Summary!$B$11)*(F265)+Summary!$B$11*(0)))+((C266=TRUE)*F266*IF(AND(Inputs!$B$38&lt;&gt;"pvp",Inputs!$B$43&gt;0),(((R266-1)*(Skills!T15*(1+Inputs!$B$34/100))+MIN((Skills!T15*(1+Inputs!$B$34/100)),MAX(0,Inputs!$B$43-((R266-1)*Skills!D15))))/Inputs!$B$43),IF(Inputs!$B$38="pvp",MIN((Skills!T15*(1+Inputs!$B$34/100)),15)/15,(Skills!T15*(1+Inputs!$B$34/100))/Skills!D15)))+((C263=TRUE)*F263)+((C280=TRUE)*(F280-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253)</f>
        <v/>
      </c>
      <c r="L253">
        <f>K253*(MIN(Inputs!$B$22+((C274=TRUE)*(F274-Calc!F23)),(Inputs!$B$23+((C279=TRUE)*(F279-Calc!F28))+(IF(ArtifactsInput!$M$15,CHOOSE(ArtifactsInput!$N$15+1,25,30,35,40,45,50)/100*(Inputs!$B$11-Inputs!$B$11),0))))/100+(Inputs!$B$23+((C279=TRUE)*(F279-Calc!F28))+(IF(ArtifactsInput!$M$15,CHOOSE(ArtifactsInput!$N$15+1,25,30,35,40,45,50)/100*(Inputs!$B$11-Inputs!$B$11),0)))/100)/2</f>
        <v/>
      </c>
      <c r="M253">
        <f>L253*(1+(Inputs!$B$10+0+B288+(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53">
        <f>L253*(1-MIN((Inputs!$B$9+((C270=TRUE)*(F270-Calc!F19))+B283+(ArtifactsInput!$M$24-ArtifactsInput!$M$24)*CHOOSE(ArtifactsInput!$N$24+1,10,12,14,16,18,20)+(IF(AND(ArtifactsInput!$M$42,((Inputs!$B$9+((C270=TRUE)*(F270-Calc!F19))+B283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253*(MIN((Inputs!$B$9+((C270=TRUE)*(F270-Calc!F19))+B283+(ArtifactsInput!$M$24-ArtifactsInput!$M$24)*CHOOSE(ArtifactsInput!$N$24+1,10,12,14,16,18,20)+(IF(AND(ArtifactsInput!$M$42,((Inputs!$B$9+((C270=TRUE)*(F270-Calc!F19))+B283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53">
        <f>(1-Summary!$B$11)*T253+Summary!$B$11*V253</f>
        <v/>
      </c>
      <c r="P253">
        <f>IF(B293=0,0,O253/B293)</f>
        <v/>
      </c>
      <c r="Q253" t="n">
        <v>0</v>
      </c>
      <c r="R253" t="n">
        <v>0</v>
      </c>
      <c r="S253">
        <f>IFERROR((Skills!G2*N253*B287)/N253*IF(Inputs!$B$38="pvp",1,(1-Summary!$B$11)*1+Summary!$B$11*(MIN((6+Inputs!$B$33),Inputs!$B$37))),0)</f>
        <v/>
      </c>
      <c r="T253">
        <f>IF(C253,(Skills!G2*N253*B287)*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Hunt"),CHOOSE(ArtifactsInput!$N$35+1,15,18,21,24,27,30)*(1-EXP(-(0.2*B285)*5)),0)+IF(AND(ArtifactsInput!$M$22,Inputs!$B$4&lt;&gt;"Chapter Hunt"),CHOOSE(ArtifactsInput!$N$22+1,10,12,14,16,18,20)*((0*(((0.15*B285*5))^0/1)+1*(((0.15*B285*5))^1/1)+2*(((0.15*B285*5))^2/2)+3*(((0.15*B285*5))^3/6)+4*(((0.15*B285*5))^4/24)+5*(((0.15*B285*5))^5/120))/((((0.15*B285*5))^0/1)+(((0.15*B285*5))^1/1)+(((0.15*B285*5))^2/2)+(((0.15*B285*5))^3/6)+(((0.15*B285*5))^4/24)+(((0.15*B285*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253*(1-MIN(100,(Inputs!$B$9+((C270=TRUE)*(F270-Calc!F19))+B283+(ArtifactsInput!$M$24-ArtifactsInput!$M$24)*CHOOSE(ArtifactsInput!$N$24+1,10,12,14,16,18,20)+(IF(AND(ArtifactsInput!$M$42,((Inputs!$B$9+((C270=TRUE)*(F270-Calc!F19))+B283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253*(MIN(100,(Inputs!$B$9+((C270=TRUE)*(F270-Calc!F19))+B283+(ArtifactsInput!$M$24-ArtifactsInput!$M$24)*CHOOSE(ArtifactsInput!$N$24+1,10,12,14,16,18,20)+(IF(AND(ArtifactsInput!$M$42,((Inputs!$B$9+((C270=TRUE)*(F270-Calc!F19))+B283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253*(1-MIN(100,(Inputs!$B$9+((C270=TRUE)*(F270-Calc!F19))+B283+(ArtifactsInput!$M$24-ArtifactsInput!$M$24)*CHOOSE(ArtifactsInput!$N$24+1,10,12,14,16,18,20)+(IF(AND(ArtifactsInput!$M$42,((Inputs!$B$9+((C270=TRUE)*(F270-Calc!F19))+B283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253*(MIN(100,(Inputs!$B$9+((C270=TRUE)*(F270-Calc!F19))+B283+(ArtifactsInput!$M$24-ArtifactsInput!$M$24)*CHOOSE(ArtifactsInput!$N$24+1,10,12,14,16,18,20)+(IF(AND(ArtifactsInput!$M$42,((Inputs!$B$9+((C270=TRUE)*(F270-Calc!F19))+B283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53">
        <f>MAX(0,(Inputs!$B$3-100)*3)+Inputs!$B$28+Inputs!$B$29</f>
        <v/>
      </c>
      <c r="V253">
        <f>IF(C253,(Skills!G2*N253*B287)*IF(Inputs!$B$38="pvp",1,(1+(Inputs!$B$21+Skills!Q2+(IF(ArtifactsInput!$M$33,CHOOSE(ArtifactsInput!$N$33+1,30,36,42,48,54,60),0))+(IF(AND(ArtifactsInput!$M$35,Inputs!$B$4&lt;&gt;"Chapter Hunt"),CHOOSE(ArtifactsInput!$N$35+1,15,18,21,24,27,30)*(1-EXP(-(0.2*B285)*5)),0)+IF(AND(ArtifactsInput!$M$22,Inputs!$B$4&lt;&gt;"Chapter Hunt"),CHOOSE(ArtifactsInput!$N$22+1,10,12,14,16,18,20)*((0*(((0.15*B285*5))^0/1)+1*(((0.15*B285*5))^1/1)+2*(((0.15*B285*5))^2/2)+3*(((0.15*B285*5))^3/6)+4*(((0.15*B285*5))^4/24)+5*(((0.15*B285*5))^5/120))/((((0.15*B285*5))^0/1)+(((0.15*B285*5))^1/1)+(((0.15*B285*5))^2/2)+(((0.15*B285*5))^3/6)+(((0.15*B285*5))^4/24)+(((0.15*B285*5))^5/120)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54">
      <c r="A254">
        <f>Skills!A3</f>
        <v/>
      </c>
      <c r="B254">
        <f>Skills!B3</f>
        <v/>
      </c>
      <c r="C254">
        <f>Inputs!$B$3&gt;=50</f>
        <v/>
      </c>
      <c r="D254">
        <f>IF(Skills!C3=1,60+Inputs!$B$25+Inputs!$B$29,IF(Skills!C3=2,90+Inputs!$B$26+Inputs!$B$29,IF(Skills!C3=3,120+Inputs!$B$27+Inputs!$B$29,MAX(0,(Inputs!$B$3-100)*3)+Inputs!$B$28+Inputs!$B$29)))</f>
        <v/>
      </c>
      <c r="E254">
        <f>INDEX(FactorTable!$B$2:$Y$301, MATCH(ROUND(MIN(300,MAX(1,D254)),0), FactorTable!$A$2:$A$301,0), Skills!M3+1)</f>
        <v/>
      </c>
      <c r="F254">
        <f>IF(Skills!N3=TRUE,(Skills!L3/10)*(E254/1000),Skills!L3/10)+Skills!O3</f>
        <v/>
      </c>
      <c r="G254" t="inlineStr"/>
      <c r="H254" t="inlineStr"/>
      <c r="I254" t="inlineStr">
        <is>
          <t>1</t>
        </is>
      </c>
      <c r="J254" t="inlineStr"/>
      <c r="K254" t="inlineStr"/>
      <c r="L254" t="inlineStr"/>
      <c r="M254" t="inlineStr"/>
      <c r="N254" t="inlineStr"/>
      <c r="O254" t="inlineStr"/>
      <c r="P254" t="inlineStr"/>
      <c r="Q254" t="inlineStr"/>
      <c r="R254" t="inlineStr"/>
      <c r="S254" t="inlineStr"/>
      <c r="T254" t="inlineStr"/>
      <c r="U254">
        <f>INDEX(FactorTable!$B$2:$Y$301, MATCH(ROUND(MIN(300,MAX(1,U253)),0), FactorTable!$A$2:$A$301,0), 22)</f>
        <v/>
      </c>
      <c r="V254" t="inlineStr"/>
    </row>
    <row r="255">
      <c r="A255">
        <f>Skills!A4</f>
        <v/>
      </c>
      <c r="B255">
        <f>Skills!B4</f>
        <v/>
      </c>
      <c r="C255">
        <f>Inputs!$B$3&gt;=105</f>
        <v/>
      </c>
      <c r="D255">
        <f>IF(Skills!C4=1,60+Inputs!$B$25+Inputs!$B$29,IF(Skills!C4=2,90+Inputs!$B$26+Inputs!$B$29,IF(Skills!C4=3,120+Inputs!$B$27+Inputs!$B$29,MAX(0,(Inputs!$B$3-100)*3)+Inputs!$B$28+Inputs!$B$29)))</f>
        <v/>
      </c>
      <c r="E255">
        <f>INDEX(FactorTable!$B$2:$Y$301, MATCH(ROUND(MIN(300,MAX(1,D255)),0), FactorTable!$A$2:$A$301,0), Skills!M4+1)</f>
        <v/>
      </c>
      <c r="F255">
        <f>IF(Skills!N4=TRUE,(Skills!L4/10)*(E255/1000),Skills!L4/10)+Skills!O4</f>
        <v/>
      </c>
      <c r="G255" t="inlineStr"/>
      <c r="H255" t="inlineStr"/>
      <c r="I255" t="inlineStr">
        <is>
          <t>1</t>
        </is>
      </c>
      <c r="J255" t="inlineStr"/>
      <c r="K255" t="inlineStr"/>
      <c r="L255" t="inlineStr"/>
      <c r="M255" t="inlineStr"/>
      <c r="N255" t="inlineStr"/>
      <c r="O255" t="inlineStr"/>
      <c r="P255" t="inlineStr"/>
      <c r="Q255" t="inlineStr"/>
      <c r="R255" t="inlineStr"/>
      <c r="S255" t="inlineStr"/>
      <c r="T255" t="inlineStr"/>
      <c r="U255">
        <f>290*U254/1000</f>
        <v/>
      </c>
      <c r="V255" t="inlineStr"/>
    </row>
    <row r="256">
      <c r="A256">
        <f>Skills!A5</f>
        <v/>
      </c>
      <c r="B256">
        <f>Skills!B5</f>
        <v/>
      </c>
      <c r="C256">
        <f>Inputs!$B$3&gt;=35</f>
        <v/>
      </c>
      <c r="D256">
        <f>IF(Skills!C5=1,60+Inputs!$B$25+Inputs!$B$29,IF(Skills!C5=2,90+Inputs!$B$26+Inputs!$B$29,IF(Skills!C5=3,120+Inputs!$B$27+Inputs!$B$29,MAX(0,(Inputs!$B$3-100)*3)+Inputs!$B$28+Inputs!$B$29)))</f>
        <v/>
      </c>
      <c r="E256">
        <f>INDEX(FactorTable!$B$2:$Y$301, MATCH(ROUND(MIN(300,MAX(1,D256)),0), FactorTable!$A$2:$A$301,0), Skills!M5+1)</f>
        <v/>
      </c>
      <c r="F256">
        <f>IF(Skills!N5=TRUE,(Skills!L5/10)*(E256/1000),Skills!L5/10)+Skills!O5</f>
        <v/>
      </c>
      <c r="G256">
        <f>Skills!G5*IF(Skills!H5&gt;0,Skills!I5/Skills!H5,1)</f>
        <v/>
      </c>
      <c r="H256">
        <f>1-(1-Skills!J5/100)^Skills!K5</f>
        <v/>
      </c>
      <c r="I256" t="inlineStr">
        <is>
          <t>1</t>
        </is>
      </c>
      <c r="J256">
        <f>((Inputs!$B$6*(1+Inputs!$B$7/100))+(((Inputs!$B$12*(1+Inputs!$B$13/100))-(Inputs!$B$12*(1+Inputs!$B$13/100)))+0.25*(Inputs!$B$14-Inputs!$B$14))*(1+Inputs!$B$7/100))*(F256/100)</f>
        <v/>
      </c>
      <c r="K256">
        <f>J256*(1+((Inputs!$B$12*(1+Inputs!$B$13/100))*0.01+Inputs!$B$14*0.0025)/100)*(1+Inputs!$B$15/100)*(1+(Inputs!$B$16+1)/100)*(5000/(6000+Inputs!$B$42*(1-(100*(1-(1-(Inputs!$B$19+0)/100)*(1-CHOOSE(ArtifactsInput!$N$40+1,5,6,7,8,9,10)/100)^(ArtifactsInput!$M$40-ArtifactsInput!$M$40)))/100)))*(1+(Inputs!$B$24+((C275=TRUE)*(F275-Calc!F24))+((C276=TRUE)*(F276-Calc!F25))+B289)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259=TRUE,F259,0)/100)*(1+(IF(Skills!A5="EMPOWERED_PIERCING_ARROW",Inputs!$B$17+((C273=TRUE)*(F273-Calc!F22))+(((IF(AND(ArtifactsInput!$M$42,((Inputs!$B$9+((C270=TRUE)*(F270-Calc!F19))+B283+(ArtifactsInput!$M$24-ArtifactsInput!$M$24)*CHOOSE(ArtifactsInput!$N$24+1,10,12,14,16,18,20)+IF(ArtifactsInput!$M$10,CHOOSE(ArtifactsInput!$N$10+1,15,18,21,24,27,30)*(IF(Inputs!$B$38="pvp",MIN(15,15)/15,IF(AND(Inputs!$B$38&lt;&gt;"pvp",Inputs!$B$43&gt;0),MIN(15,Inputs!$B$43)/(Inputs!$B$43),0))),0)))&gt;=100),MIN(100,((Inputs!$B$9+((C270=TRUE)*(F270-Calc!F19))+B283+(ArtifactsInput!$M$24-ArtifactsInput!$M$24)*CHOOSE(ArtifactsInput!$N$24+1,10,12,14,16,18,20)+IF(ArtifactsInput!$M$10,CHOOSE(ArtifactsInput!$N$10+1,15,18,21,24,27,30)*(IF(Inputs!$B$38="pvp",MIN(15,15)/15,IF(AND(Inputs!$B$38&lt;&gt;"pvp",Inputs!$B$43&gt;0),MIN(15,Inputs!$B$43)/(Inputs!$B$43),0))),0)))-100),0))*CHOOSE(ArtifactsInput!$N$42+1,0.6,0.72,0.84,0.96,1.08,1.2))),Inputs!$B$18+((C278=TRUE)*(F278-Calc!F27))+(IF(AND(ArtifactsInput!$M$42,((Inputs!$B$9+((C270=TRUE)*(F270-Calc!F19))+B283+(ArtifactsInput!$M$24-ArtifactsInput!$M$24)*CHOOSE(ArtifactsInput!$N$24+1,10,12,14,16,18,20)+IF(ArtifactsInput!$M$10,CHOOSE(ArtifactsInput!$N$10+1,15,18,21,24,27,30)*(IF(Inputs!$B$38="pvp",MIN(15,15)/15,IF(AND(Inputs!$B$38&lt;&gt;"pvp",Inputs!$B$43&gt;0),MIN(15,Inputs!$B$43)/(Inputs!$B$43),0))),0)))&gt;=100),CHOOSE(ArtifactsInput!$N$42+1,40,48,56,64,72,80),0))))/100)*((1+(((C264=TRUE)*F264)+((C265=TRUE)*IF(Inputs!$B$38="pvp",F265,(1-Summary!$B$11)*(F265)+Summary!$B$11*(0)))+((C266=TRUE)*F266*IF(AND(Inputs!$B$38&lt;&gt;"pvp",Inputs!$B$43&gt;0),(((R266-1)*(Skills!T15*(1+Inputs!$B$34/100))+MIN((Skills!T15*(1+Inputs!$B$34/100)),MAX(0,Inputs!$B$43-((R266-1)*Skills!D15))))/Inputs!$B$43),IF(Inputs!$B$38="pvp",MIN((Skills!T15*(1+Inputs!$B$34/100)),15)/15,(Skills!T15*(1+Inputs!$B$34/100))/Skills!D15)))+((C263=TRUE)*F263)+((C280=TRUE)*(F280-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256)</f>
        <v/>
      </c>
      <c r="L256">
        <f>K256*(MIN(Inputs!$B$22+((C274=TRUE)*(F274-Calc!F23)),(Inputs!$B$23+((C279=TRUE)*(F279-Calc!F28))+(IF(ArtifactsInput!$M$15,CHOOSE(ArtifactsInput!$N$15+1,25,30,35,40,45,50)/100*(Inputs!$B$11-Inputs!$B$11),0))))/100+(Inputs!$B$23+((C279=TRUE)*(F279-Calc!F28))+(IF(ArtifactsInput!$M$15,CHOOSE(ArtifactsInput!$N$15+1,25,30,35,40,45,50)/100*(Inputs!$B$11-Inputs!$B$11),0)))/100)/2</f>
        <v/>
      </c>
      <c r="M256">
        <f>L256*(1+(Inputs!$B$10+0+B288+(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56">
        <f>L256*(1-MIN((Inputs!$B$9+((C270=TRUE)*(F270-Calc!F19))+B283+(ArtifactsInput!$M$24-ArtifactsInput!$M$24)*CHOOSE(ArtifactsInput!$N$24+1,10,12,14,16,18,20)+(IF(AND(ArtifactsInput!$M$42,((Inputs!$B$9+((C270=TRUE)*(F270-Calc!F19))+B283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256*(MIN((Inputs!$B$9+((C270=TRUE)*(F270-Calc!F19))+B283+(ArtifactsInput!$M$24-ArtifactsInput!$M$24)*CHOOSE(ArtifactsInput!$N$24+1,10,12,14,16,18,20)+(IF(AND(ArtifactsInput!$M$42,((Inputs!$B$9+((C270=TRUE)*(F270-Calc!F19))+B283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56">
        <f>(1-Summary!$B$11)*T256+Summary!$B$11*V256</f>
        <v/>
      </c>
      <c r="P256">
        <f>IF(B293=0,0,O256/B293)</f>
        <v/>
      </c>
      <c r="Q256">
        <f>IFERROR(1/IF(Inputs!$B$38="pvp",15,MAX(0.1,Skills!D5-IF(Skills!E5=TRUE,Inputs!$B$32,0))),0)</f>
        <v/>
      </c>
      <c r="R256">
        <f>IF(AND(Inputs!$B$38&lt;&gt;"pvp",Inputs!$B$43&gt;0),IF(MAX(0,Inputs!$B$43-B290)&lt;=0,0,(INT(MAX(0,Inputs!$B$43-B290)/IF(Inputs!$B$38="pvp",15,MAX(0.1,Skills!D5-IF(Skills!E5=TRUE,Inputs!$B$32,0))))+1)),0)</f>
        <v/>
      </c>
      <c r="S256">
        <f>IFERROR((H256*N256*IF(AND(Inputs!$B$38&lt;&gt;"pvp",Inputs!$B$43&gt;0),((Skills!G5*((R256-1)*IF(Skills!H5&gt;0,Skills!I5/Skills!H5,1)+IF(Skills!H5&gt;0,MIN(Skills!I5,MAX(0,MAX(0,Inputs!$B$43-B290)-((R256-1)*IF(Inputs!$B$38="pvp",15,MAX(0.1,Skills!D5-IF(Skills!E5=TRUE,Inputs!$B$32,0))))))/Skills!H5,1)))/Inputs!$B$43),G256*Q256))/N256*IF(Inputs!$B$38="pvp",1,(1-Summary!$B$11)*1+Summary!$B$11*(MIN(Skills!R5,Inputs!$B$37))),0)</f>
        <v/>
      </c>
      <c r="T256">
        <f>IF(C256,(H256*N256*IF(AND(Inputs!$B$38&lt;&gt;"pvp",Inputs!$B$43&gt;0),((Skills!G5*((R256-1)*IF(Skills!H5&gt;0,Skills!I5/Skills!H5,1)+IF(Skills!H5&gt;0,MIN(Skills!I5,MAX(0,MAX(0,Inputs!$B$43-B290)-((R256-1)*IF(Inputs!$B$38="pvp",15,MAX(0.1,Skills!D5-IF(Skills!E5=TRUE,Inputs!$B$32,0))))))/Skills!H5,1)))/Inputs!$B$43),G256*Q256))*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Hunt"),CHOOSE(ArtifactsInput!$N$35+1,15,18,21,24,27,30)*(1-EXP(-(0.2*B285)*5)),0)+IF(AND(ArtifactsInput!$M$22,Inputs!$B$4&lt;&gt;"Chapter Hunt"),CHOOSE(ArtifactsInput!$N$22+1,10,12,14,16,18,20)*((0*(((0.15*B285*5))^0/1)+1*(((0.15*B285*5))^1/1)+2*(((0.15*B285*5))^2/2)+3*(((0.15*B285*5))^3/6)+4*(((0.15*B285*5))^4/24)+5*(((0.15*B285*5))^5/120))/((((0.15*B285*5))^0/1)+(((0.15*B285*5))^1/1)+(((0.15*B285*5))^2/2)+(((0.15*B285*5))^3/6)+(((0.15*B285*5))^4/24)+(((0.15*B285*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256*(1-MIN(100,(Inputs!$B$9+((C270=TRUE)*(F270-Calc!F19))+B283+(ArtifactsInput!$M$24-ArtifactsInput!$M$24)*CHOOSE(ArtifactsInput!$N$24+1,10,12,14,16,18,20)+(IF(AND(ArtifactsInput!$M$42,((Inputs!$B$9+((C270=TRUE)*(F270-Calc!F19))+B283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256*(MIN(100,(Inputs!$B$9+((C270=TRUE)*(F270-Calc!F19))+B283+(ArtifactsInput!$M$24-ArtifactsInput!$M$24)*CHOOSE(ArtifactsInput!$N$24+1,10,12,14,16,18,20)+(IF(AND(ArtifactsInput!$M$42,((Inputs!$B$9+((C270=TRUE)*(F270-Calc!F19))+B283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256*(1-MIN(100,(Inputs!$B$9+((C270=TRUE)*(F270-Calc!F19))+B283+(ArtifactsInput!$M$24-ArtifactsInput!$M$24)*CHOOSE(ArtifactsInput!$N$24+1,10,12,14,16,18,20)+(IF(AND(ArtifactsInput!$M$42,((Inputs!$B$9+((C270=TRUE)*(F270-Calc!F19))+B283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256*(MIN(100,(Inputs!$B$9+((C270=TRUE)*(F270-Calc!F19))+B283+(ArtifactsInput!$M$24-ArtifactsInput!$M$24)*CHOOSE(ArtifactsInput!$N$24+1,10,12,14,16,18,20)+(IF(AND(ArtifactsInput!$M$42,((Inputs!$B$9+((C270=TRUE)*(F270-Calc!F19))+B283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56">
        <f>IF(C256,(H256*N256*IF(AND(Inputs!$B$38&lt;&gt;"pvp",Inputs!$B$43&gt;0),((Skills!G5*((R256-1)*IF(Skills!H5&gt;0,Skills!I5/Skills!H5,1)+IF(Skills!H5&gt;0,MIN(Skills!I5,MAX(0,MAX(0,Inputs!$B$43-B290)-((R256-1)*IF(Inputs!$B$38="pvp",15,MAX(0.1,Skills!D5-IF(Skills!E5=TRUE,Inputs!$B$32,0))))))/Skills!H5,1)))/Inputs!$B$43),G256*Q256))*IF(Inputs!$B$38="pvp",1,(1+(Inputs!$B$21+Skills!Q5+(IF(ArtifactsInput!$M$33,CHOOSE(ArtifactsInput!$N$33+1,30,36,42,48,54,60),0))+(IF(AND(ArtifactsInput!$M$35,Inputs!$B$4&lt;&gt;"Chapter Hunt"),CHOOSE(ArtifactsInput!$N$35+1,15,18,21,24,27,30)*(1-EXP(-(0.2*B285)*5)),0)+IF(AND(ArtifactsInput!$M$22,Inputs!$B$4&lt;&gt;"Chapter Hunt"),CHOOSE(ArtifactsInput!$N$22+1,10,12,14,16,18,20)*((0*(((0.15*B285*5))^0/1)+1*(((0.15*B285*5))^1/1)+2*(((0.15*B285*5))^2/2)+3*(((0.15*B285*5))^3/6)+4*(((0.15*B285*5))^4/24)+5*(((0.15*B285*5))^5/120))/((((0.15*B285*5))^0/1)+(((0.15*B285*5))^1/1)+(((0.15*B285*5))^2/2)+(((0.15*B285*5))^3/6)+(((0.15*B285*5))^4/24)+(((0.15*B285*5))^5/120)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57">
      <c r="A257">
        <f>Skills!A6</f>
        <v/>
      </c>
      <c r="B257">
        <f>Skills!B6</f>
        <v/>
      </c>
      <c r="C257">
        <f>Inputs!$B$3&gt;=63</f>
        <v/>
      </c>
      <c r="D257">
        <f>IF(Skills!C6=1,60+Inputs!$B$25+Inputs!$B$29,IF(Skills!C6=2,90+Inputs!$B$26+Inputs!$B$29,IF(Skills!C6=3,120+Inputs!$B$27+Inputs!$B$29,MAX(0,(Inputs!$B$3-100)*3)+Inputs!$B$28+Inputs!$B$29)))</f>
        <v/>
      </c>
      <c r="E257">
        <f>INDEX(FactorTable!$B$2:$Y$301, MATCH(ROUND(MIN(300,MAX(1,D257)),0), FactorTable!$A$2:$A$301,0), Skills!M6+1)</f>
        <v/>
      </c>
      <c r="F257">
        <f>IF(Skills!N6=TRUE,(Skills!L6/10)*(E257/1000),Skills!L6/10)+Skills!O6</f>
        <v/>
      </c>
      <c r="G257">
        <f>Skills!G6*IF(Skills!H6&gt;0,Skills!I6/Skills!H6,1)</f>
        <v/>
      </c>
      <c r="H257">
        <f>1-(1-Skills!J6/100)^Skills!K6</f>
        <v/>
      </c>
      <c r="I257" t="inlineStr">
        <is>
          <t>1</t>
        </is>
      </c>
      <c r="J257">
        <f>((Inputs!$B$6*(1+Inputs!$B$7/100))+(((Inputs!$B$12*(1+Inputs!$B$13/100))-(Inputs!$B$12*(1+Inputs!$B$13/100)))+0.25*(Inputs!$B$14-Inputs!$B$14))*(1+Inputs!$B$7/100))*(F257/100)</f>
        <v/>
      </c>
      <c r="K257">
        <f>J257*(1+((Inputs!$B$12*(1+Inputs!$B$13/100))*0.01+Inputs!$B$14*0.0025)/100)*(1+Inputs!$B$15/100)*(1+(Inputs!$B$16+1)/100)*(5000/(6000+Inputs!$B$42*(1-(100*(1-(1-(Inputs!$B$19+0)/100)*(1-CHOOSE(ArtifactsInput!$N$40+1,5,6,7,8,9,10)/100)^(ArtifactsInput!$M$40-ArtifactsInput!$M$40)))/100)))*(1+(Inputs!$B$24+((C275=TRUE)*(F275-Calc!F24))+((C276=TRUE)*(F276-Calc!F25))+B289)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259=TRUE,F259,0)/100)*(1+(IF(Skills!A6="EMPOWERED_PIERCING_ARROW",Inputs!$B$17+((C273=TRUE)*(F273-Calc!F22))+(((IF(AND(ArtifactsInput!$M$42,((Inputs!$B$9+((C270=TRUE)*(F270-Calc!F19))+B283+(ArtifactsInput!$M$24-ArtifactsInput!$M$24)*CHOOSE(ArtifactsInput!$N$24+1,10,12,14,16,18,20)+IF(ArtifactsInput!$M$10,CHOOSE(ArtifactsInput!$N$10+1,15,18,21,24,27,30)*(IF(Inputs!$B$38="pvp",MIN(15,15)/15,IF(AND(Inputs!$B$38&lt;&gt;"pvp",Inputs!$B$43&gt;0),MIN(15,Inputs!$B$43)/(Inputs!$B$43),0))),0)))&gt;=100),MIN(100,((Inputs!$B$9+((C270=TRUE)*(F270-Calc!F19))+B283+(ArtifactsInput!$M$24-ArtifactsInput!$M$24)*CHOOSE(ArtifactsInput!$N$24+1,10,12,14,16,18,20)+IF(ArtifactsInput!$M$10,CHOOSE(ArtifactsInput!$N$10+1,15,18,21,24,27,30)*(IF(Inputs!$B$38="pvp",MIN(15,15)/15,IF(AND(Inputs!$B$38&lt;&gt;"pvp",Inputs!$B$43&gt;0),MIN(15,Inputs!$B$43)/(Inputs!$B$43),0))),0)))-100),0))*CHOOSE(ArtifactsInput!$N$42+1,0.6,0.72,0.84,0.96,1.08,1.2))),Inputs!$B$18+((C278=TRUE)*(F278-Calc!F27))+(IF(AND(ArtifactsInput!$M$42,((Inputs!$B$9+((C270=TRUE)*(F270-Calc!F19))+B283+(ArtifactsInput!$M$24-ArtifactsInput!$M$24)*CHOOSE(ArtifactsInput!$N$24+1,10,12,14,16,18,20)+IF(ArtifactsInput!$M$10,CHOOSE(ArtifactsInput!$N$10+1,15,18,21,24,27,30)*(IF(Inputs!$B$38="pvp",MIN(15,15)/15,IF(AND(Inputs!$B$38&lt;&gt;"pvp",Inputs!$B$43&gt;0),MIN(15,Inputs!$B$43)/(Inputs!$B$43),0))),0)))&gt;=100),CHOOSE(ArtifactsInput!$N$42+1,40,48,56,64,72,80),0))))/100)*((1+(((C264=TRUE)*F264)+((C265=TRUE)*IF(Inputs!$B$38="pvp",F265,(1-Summary!$B$11)*(F265)+Summary!$B$11*(0)))+((C266=TRUE)*F266*IF(AND(Inputs!$B$38&lt;&gt;"pvp",Inputs!$B$43&gt;0),(((R266-1)*(Skills!T15*(1+Inputs!$B$34/100))+MIN((Skills!T15*(1+Inputs!$B$34/100)),MAX(0,Inputs!$B$43-((R266-1)*Skills!D15))))/Inputs!$B$43),IF(Inputs!$B$38="pvp",MIN((Skills!T15*(1+Inputs!$B$34/100)),15)/15,(Skills!T15*(1+Inputs!$B$34/100))/Skills!D15)))+((C263=TRUE)*F263)+((C280=TRUE)*(F280-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257)</f>
        <v/>
      </c>
      <c r="L257">
        <f>K257*(MIN(Inputs!$B$22+((C274=TRUE)*(F274-Calc!F23)),(Inputs!$B$23+((C279=TRUE)*(F279-Calc!F28))+(IF(ArtifactsInput!$M$15,CHOOSE(ArtifactsInput!$N$15+1,25,30,35,40,45,50)/100*(Inputs!$B$11-Inputs!$B$11),0))))/100+(Inputs!$B$23+((C279=TRUE)*(F279-Calc!F28))+(IF(ArtifactsInput!$M$15,CHOOSE(ArtifactsInput!$N$15+1,25,30,35,40,45,50)/100*(Inputs!$B$11-Inputs!$B$11),0)))/100)/2</f>
        <v/>
      </c>
      <c r="M257">
        <f>L257*(1+(Inputs!$B$10+0+B288+(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57">
        <f>L257*(1-MIN((Inputs!$B$9+((C270=TRUE)*(F270-Calc!F19))+B283+(ArtifactsInput!$M$24-ArtifactsInput!$M$24)*CHOOSE(ArtifactsInput!$N$24+1,10,12,14,16,18,20)+(IF(AND(ArtifactsInput!$M$42,((Inputs!$B$9+((C270=TRUE)*(F270-Calc!F19))+B283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257*(MIN((Inputs!$B$9+((C270=TRUE)*(F270-Calc!F19))+B283+(ArtifactsInput!$M$24-ArtifactsInput!$M$24)*CHOOSE(ArtifactsInput!$N$24+1,10,12,14,16,18,20)+(IF(AND(ArtifactsInput!$M$42,((Inputs!$B$9+((C270=TRUE)*(F270-Calc!F19))+B283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57">
        <f>(1-Summary!$B$11)*T257+Summary!$B$11*V257</f>
        <v/>
      </c>
      <c r="P257">
        <f>IF(B293=0,0,O257/B293)</f>
        <v/>
      </c>
      <c r="Q257">
        <f>IFERROR(1/IF(Inputs!$B$38="pvp",15,MAX(0.1,Skills!D6-IF(Skills!E6=TRUE,Inputs!$B$32,0))),0)</f>
        <v/>
      </c>
      <c r="R257">
        <f>IF(AND(Inputs!$B$38&lt;&gt;"pvp",Inputs!$B$43&gt;0),IF(MAX(0,Inputs!$B$43-B290)&lt;=0,0,(INT(MAX(0,Inputs!$B$43-B290)/IF(Inputs!$B$38="pvp",15,MAX(0.1,Skills!D6-IF(Skills!E6=TRUE,Inputs!$B$32,0))))+1)),0)</f>
        <v/>
      </c>
      <c r="S257">
        <f>IFERROR((H257*N257*IF(AND(Inputs!$B$38&lt;&gt;"pvp",Inputs!$B$43&gt;0),((Skills!G6*((R257-1)*IF(Skills!H6&gt;0,Skills!I6/Skills!H6,1)+IF(Skills!H6&gt;0,MIN(Skills!I6,MAX(0,MAX(0,Inputs!$B$43-B290)-((R257-1)*IF(Inputs!$B$38="pvp",15,MAX(0.1,Skills!D6-IF(Skills!E6=TRUE,Inputs!$B$32,0))))))/Skills!H6,1)))/Inputs!$B$43),G257*Q257))/N257*IF(Inputs!$B$38="pvp",1,(1-Summary!$B$11)*1+Summary!$B$11*(MIN(Skills!R6,Inputs!$B$37))),0)</f>
        <v/>
      </c>
      <c r="T257">
        <f>IF(C257,(H257*N257*IF(AND(Inputs!$B$38&lt;&gt;"pvp",Inputs!$B$43&gt;0),((Skills!G6*((R257-1)*IF(Skills!H6&gt;0,Skills!I6/Skills!H6,1)+IF(Skills!H6&gt;0,MIN(Skills!I6,MAX(0,MAX(0,Inputs!$B$43-B290)-((R257-1)*IF(Inputs!$B$38="pvp",15,MAX(0.1,Skills!D6-IF(Skills!E6=TRUE,Inputs!$B$32,0))))))/Skills!H6,1)))/Inputs!$B$43),G257*Q257))*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Hunt"),CHOOSE(ArtifactsInput!$N$35+1,15,18,21,24,27,30)*(1-EXP(-(0.2*B285)*5)),0)+IF(AND(ArtifactsInput!$M$22,Inputs!$B$4&lt;&gt;"Chapter Hunt"),CHOOSE(ArtifactsInput!$N$22+1,10,12,14,16,18,20)*((0*(((0.15*B285*5))^0/1)+1*(((0.15*B285*5))^1/1)+2*(((0.15*B285*5))^2/2)+3*(((0.15*B285*5))^3/6)+4*(((0.15*B285*5))^4/24)+5*(((0.15*B285*5))^5/120))/((((0.15*B285*5))^0/1)+(((0.15*B285*5))^1/1)+(((0.15*B285*5))^2/2)+(((0.15*B285*5))^3/6)+(((0.15*B285*5))^4/24)+(((0.15*B285*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257*(1-MIN(100,(Inputs!$B$9+((C270=TRUE)*(F270-Calc!F19))+B283+(ArtifactsInput!$M$24-ArtifactsInput!$M$24)*CHOOSE(ArtifactsInput!$N$24+1,10,12,14,16,18,20)+(IF(AND(ArtifactsInput!$M$42,((Inputs!$B$9+((C270=TRUE)*(F270-Calc!F19))+B283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257*(MIN(100,(Inputs!$B$9+((C270=TRUE)*(F270-Calc!F19))+B283+(ArtifactsInput!$M$24-ArtifactsInput!$M$24)*CHOOSE(ArtifactsInput!$N$24+1,10,12,14,16,18,20)+(IF(AND(ArtifactsInput!$M$42,((Inputs!$B$9+((C270=TRUE)*(F270-Calc!F19))+B283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257*(1-MIN(100,(Inputs!$B$9+((C270=TRUE)*(F270-Calc!F19))+B283+(ArtifactsInput!$M$24-ArtifactsInput!$M$24)*CHOOSE(ArtifactsInput!$N$24+1,10,12,14,16,18,20)+(IF(AND(ArtifactsInput!$M$42,((Inputs!$B$9+((C270=TRUE)*(F270-Calc!F19))+B283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257*(MIN(100,(Inputs!$B$9+((C270=TRUE)*(F270-Calc!F19))+B283+(ArtifactsInput!$M$24-ArtifactsInput!$M$24)*CHOOSE(ArtifactsInput!$N$24+1,10,12,14,16,18,20)+(IF(AND(ArtifactsInput!$M$42,((Inputs!$B$9+((C270=TRUE)*(F270-Calc!F19))+B283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57">
        <f>IF(C257,(H257*N257*IF(AND(Inputs!$B$38&lt;&gt;"pvp",Inputs!$B$43&gt;0),((Skills!G6*((R257-1)*IF(Skills!H6&gt;0,Skills!I6/Skills!H6,1)+IF(Skills!H6&gt;0,MIN(Skills!I6,MAX(0,MAX(0,Inputs!$B$43-B290)-((R257-1)*IF(Inputs!$B$38="pvp",15,MAX(0.1,Skills!D6-IF(Skills!E6=TRUE,Inputs!$B$32,0))))))/Skills!H6,1)))/Inputs!$B$43),G257*Q257))*IF(Inputs!$B$38="pvp",1,(1+(Inputs!$B$21+Skills!Q6+(IF(ArtifactsInput!$M$33,CHOOSE(ArtifactsInput!$N$33+1,30,36,42,48,54,60),0))+(IF(AND(ArtifactsInput!$M$35,Inputs!$B$4&lt;&gt;"Chapter Hunt"),CHOOSE(ArtifactsInput!$N$35+1,15,18,21,24,27,30)*(1-EXP(-(0.2*B285)*5)),0)+IF(AND(ArtifactsInput!$M$22,Inputs!$B$4&lt;&gt;"Chapter Hunt"),CHOOSE(ArtifactsInput!$N$22+1,10,12,14,16,18,20)*((0*(((0.15*B285*5))^0/1)+1*(((0.15*B285*5))^1/1)+2*(((0.15*B285*5))^2/2)+3*(((0.15*B285*5))^3/6)+4*(((0.15*B285*5))^4/24)+5*(((0.15*B285*5))^5/120))/((((0.15*B285*5))^0/1)+(((0.15*B285*5))^1/1)+(((0.15*B285*5))^2/2)+(((0.15*B285*5))^3/6)+(((0.15*B285*5))^4/24)+(((0.15*B285*5))^5/120))),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58">
      <c r="A258">
        <f>Skills!A7</f>
        <v/>
      </c>
      <c r="B258">
        <f>Skills!B7</f>
        <v/>
      </c>
      <c r="C258">
        <f>Inputs!$B$3&gt;=69</f>
        <v/>
      </c>
      <c r="D258">
        <f>IF(Skills!C7=1,60+Inputs!$B$25+Inputs!$B$29,IF(Skills!C7=2,90+Inputs!$B$26+Inputs!$B$29,IF(Skills!C7=3,120+Inputs!$B$27+Inputs!$B$29,MAX(0,(Inputs!$B$3-100)*3)+Inputs!$B$28+Inputs!$B$29)))</f>
        <v/>
      </c>
      <c r="E258">
        <f>INDEX(FactorTable!$B$2:$Y$301, MATCH(ROUND(MIN(300,MAX(1,D258)),0), FactorTable!$A$2:$A$301,0), Skills!M7+1)</f>
        <v/>
      </c>
      <c r="F258">
        <f>IF(Skills!N7=TRUE,(Skills!L7/10)*(E258/1000),Skills!L7/10)+Skills!O7</f>
        <v/>
      </c>
      <c r="G258">
        <f>Skills!G7*IF(Skills!H7&gt;0,Skills!I7/Skills!H7,1)</f>
        <v/>
      </c>
      <c r="H258">
        <f>1-(1-Skills!J7/100)^Skills!K7</f>
        <v/>
      </c>
      <c r="I258" t="inlineStr">
        <is>
          <t>1</t>
        </is>
      </c>
      <c r="J258">
        <f>((Inputs!$B$6*(1+Inputs!$B$7/100))+(((Inputs!$B$12*(1+Inputs!$B$13/100))-(Inputs!$B$12*(1+Inputs!$B$13/100)))+0.25*(Inputs!$B$14-Inputs!$B$14))*(1+Inputs!$B$7/100))*(F258/100)</f>
        <v/>
      </c>
      <c r="K258">
        <f>J258*(1+((Inputs!$B$12*(1+Inputs!$B$13/100))*0.01+Inputs!$B$14*0.0025)/100)*(1+Inputs!$B$15/100)*(1+(Inputs!$B$16+1)/100)*(5000/(6000+Inputs!$B$42*(1-(100*(1-(1-(Inputs!$B$19+0)/100)*(1-CHOOSE(ArtifactsInput!$N$40+1,5,6,7,8,9,10)/100)^(ArtifactsInput!$M$40-ArtifactsInput!$M$40)))/100)))*(1+(Inputs!$B$24+((C275=TRUE)*(F275-Calc!F24))+((C276=TRUE)*(F276-Calc!F25))+B289)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+1.2*IF(C259=TRUE,F259,0)/100)*(1+(IF(Skills!A7="EMPOWERED_PIERCING_ARROW",Inputs!$B$17+((C273=TRUE)*(F273-Calc!F22))+(((IF(AND(ArtifactsInput!$M$42,((Inputs!$B$9+((C270=TRUE)*(F270-Calc!F19))+B283+(ArtifactsInput!$M$24-ArtifactsInput!$M$24)*CHOOSE(ArtifactsInput!$N$24+1,10,12,14,16,18,20)+IF(ArtifactsInput!$M$10,CHOOSE(ArtifactsInput!$N$10+1,15,18,21,24,27,30)*(IF(Inputs!$B$38="pvp",MIN(15,15)/15,IF(AND(Inputs!$B$38&lt;&gt;"pvp",Inputs!$B$43&gt;0),MIN(15,Inputs!$B$43)/(Inputs!$B$43),0))),0)))&gt;=100),MIN(100,((Inputs!$B$9+((C270=TRUE)*(F270-Calc!F19))+B283+(ArtifactsInput!$M$24-ArtifactsInput!$M$24)*CHOOSE(ArtifactsInput!$N$24+1,10,12,14,16,18,20)+IF(ArtifactsInput!$M$10,CHOOSE(ArtifactsInput!$N$10+1,15,18,21,24,27,30)*(IF(Inputs!$B$38="pvp",MIN(15,15)/15,IF(AND(Inputs!$B$38&lt;&gt;"pvp",Inputs!$B$43&gt;0),MIN(15,Inputs!$B$43)/(Inputs!$B$43),0))),0)))-100),0))*CHOOSE(ArtifactsInput!$N$42+1,0.6,0.72,0.84,0.96,1.08,1.2))),Inputs!$B$18+((C278=TRUE)*(F278-Calc!F27))+(IF(AND(ArtifactsInput!$M$42,((Inputs!$B$9+((C270=TRUE)*(F270-Calc!F19))+B283+(ArtifactsInput!$M$24-ArtifactsInput!$M$24)*CHOOSE(ArtifactsInput!$N$24+1,10,12,14,16,18,20)+IF(ArtifactsInput!$M$10,CHOOSE(ArtifactsInput!$N$10+1,15,18,21,24,27,30)*(IF(Inputs!$B$38="pvp",MIN(15,15)/15,IF(AND(Inputs!$B$38&lt;&gt;"pvp",Inputs!$B$43&gt;0),MIN(15,Inputs!$B$43)/(Inputs!$B$43),0))),0)))&gt;=100),CHOOSE(ArtifactsInput!$N$42+1,40,48,56,64,72,80),0))))/100)*((1+(((C264=TRUE)*F264)+((C265=TRUE)*IF(Inputs!$B$38="pvp",F265,(1-Summary!$B$11)*(F265)+Summary!$B$11*(0)))+((C266=TRUE)*F266*IF(AND(Inputs!$B$38&lt;&gt;"pvp",Inputs!$B$43&gt;0),(((R266-1)*(Skills!T15*(1+Inputs!$B$34/100))+MIN((Skills!T15*(1+Inputs!$B$34/100)),MAX(0,Inputs!$B$43-((R266-1)*Skills!D15))))/Inputs!$B$43),IF(Inputs!$B$38="pvp",MIN((Skills!T15*(1+Inputs!$B$34/100)),15)/15,(Skills!T15*(1+Inputs!$B$34/100))/Skills!D15)))+((C263=TRUE)*F263)+((C280=TRUE)*(F280-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258)</f>
        <v/>
      </c>
      <c r="L258">
        <f>K258*(MIN(Inputs!$B$22+((C274=TRUE)*(F274-Calc!F23)),(Inputs!$B$23+((C279=TRUE)*(F279-Calc!F28))+(IF(ArtifactsInput!$M$15,CHOOSE(ArtifactsInput!$N$15+1,25,30,35,40,45,50)/100*(Inputs!$B$11-Inputs!$B$11),0))))/100+(Inputs!$B$23+((C279=TRUE)*(F279-Calc!F28))+(IF(ArtifactsInput!$M$15,CHOOSE(ArtifactsInput!$N$15+1,25,30,35,40,45,50)/100*(Inputs!$B$11-Inputs!$B$11),0)))/100)/2</f>
        <v/>
      </c>
      <c r="M258">
        <f>L258*(1+(Inputs!$B$10+0+B288+(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58">
        <f>L258*(1-MIN((Inputs!$B$9+((C270=TRUE)*(F270-Calc!F19))+B283+(ArtifactsInput!$M$24-ArtifactsInput!$M$24)*CHOOSE(ArtifactsInput!$N$24+1,10,12,14,16,18,20)+(IF(AND(ArtifactsInput!$M$42,((Inputs!$B$9+((C270=TRUE)*(F270-Calc!F19))+B283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258*(MIN((Inputs!$B$9+((C270=TRUE)*(F270-Calc!F19))+B283+(ArtifactsInput!$M$24-ArtifactsInput!$M$24)*CHOOSE(ArtifactsInput!$N$24+1,10,12,14,16,18,20)+(IF(AND(ArtifactsInput!$M$42,((Inputs!$B$9+((C270=TRUE)*(F270-Calc!F19))+B283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58">
        <f>(1-Summary!$B$11)*T258+Summary!$B$11*V258</f>
        <v/>
      </c>
      <c r="P258">
        <f>IF(B293=0,0,O258/B293)</f>
        <v/>
      </c>
      <c r="Q258">
        <f>IFERROR(1/IF(Inputs!$B$38="pvp",15,MAX(0.1,Skills!D7-IF(Skills!E7=TRUE,Inputs!$B$32,0))),0)</f>
        <v/>
      </c>
      <c r="R258">
        <f>IF(AND(Inputs!$B$38&lt;&gt;"pvp",Inputs!$B$43&gt;0),IF(MAX(0,Inputs!$B$43-B290)&lt;=0,0,(INT(MAX(0,Inputs!$B$43-B290)/IF(Inputs!$B$38="pvp",15,MAX(0.1,Skills!D7-IF(Skills!E7=TRUE,Inputs!$B$32,0))))+1)),0)</f>
        <v/>
      </c>
      <c r="S258">
        <f>IFERROR((H258*N258*IF(AND(Inputs!$B$38&lt;&gt;"pvp",Inputs!$B$43&gt;0),((Skills!G7*((R258-1)*IF(Skills!H7&gt;0,Skills!I7/Skills!H7,1)+IF(Skills!H7&gt;0,MIN(Skills!I7,MAX(0,MAX(0,Inputs!$B$43-B290)-((R258-1)*IF(Inputs!$B$38="pvp",15,MAX(0.1,Skills!D7-IF(Skills!E7=TRUE,Inputs!$B$32,0))))))/Skills!H7,1)))/Inputs!$B$43),G258*Q258))/N258*IF(Inputs!$B$38="pvp",1,(1-Summary!$B$11)*1+Summary!$B$11*(MIN(Skills!R7,Inputs!$B$37))),0)</f>
        <v/>
      </c>
      <c r="T258">
        <f>IF(C258,(H258*N258*IF(AND(Inputs!$B$38&lt;&gt;"pvp",Inputs!$B$43&gt;0),((Skills!G7*((R258-1)*IF(Skills!H7&gt;0,Skills!I7/Skills!H7,1)+IF(Skills!H7&gt;0,MIN(Skills!I7,MAX(0,MAX(0,Inputs!$B$43-B290)-((R258-1)*IF(Inputs!$B$38="pvp",15,MAX(0.1,Skills!D7-IF(Skills!E7=TRUE,Inputs!$B$32,0))))))/Skills!H7,1)))/Inputs!$B$43),G258*Q258))*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Hunt"),CHOOSE(ArtifactsInput!$N$35+1,15,18,21,24,27,30)*(1-EXP(-(0.2*B285)*5)),0)+IF(AND(ArtifactsInput!$M$22,Inputs!$B$4&lt;&gt;"Chapter Hunt"),CHOOSE(ArtifactsInput!$N$22+1,10,12,14,16,18,20)*((0*(((0.15*B285*5))^0/1)+1*(((0.15*B285*5))^1/1)+2*(((0.15*B285*5))^2/2)+3*(((0.15*B285*5))^3/6)+4*(((0.15*B285*5))^4/24)+5*(((0.15*B285*5))^5/120))/((((0.15*B285*5))^0/1)+(((0.15*B285*5))^1/1)+(((0.15*B285*5))^2/2)+(((0.15*B285*5))^3/6)+(((0.15*B285*5))^4/24)+(((0.15*B285*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258*(1-MIN(100,(Inputs!$B$9+((C270=TRUE)*(F270-Calc!F19))+B283+(ArtifactsInput!$M$24-ArtifactsInput!$M$24)*CHOOSE(ArtifactsInput!$N$24+1,10,12,14,16,18,20)+(IF(AND(ArtifactsInput!$M$42,((Inputs!$B$9+((C270=TRUE)*(F270-Calc!F19))+B283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258*(MIN(100,(Inputs!$B$9+((C270=TRUE)*(F270-Calc!F19))+B283+(ArtifactsInput!$M$24-ArtifactsInput!$M$24)*CHOOSE(ArtifactsInput!$N$24+1,10,12,14,16,18,20)+(IF(AND(ArtifactsInput!$M$42,((Inputs!$B$9+((C270=TRUE)*(F270-Calc!F19))+B283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258*(1-MIN(100,(Inputs!$B$9+((C270=TRUE)*(F270-Calc!F19))+B283+(ArtifactsInput!$M$24-ArtifactsInput!$M$24)*CHOOSE(ArtifactsInput!$N$24+1,10,12,14,16,18,20)+(IF(AND(ArtifactsInput!$M$42,((Inputs!$B$9+((C270=TRUE)*(F270-Calc!F19))+B283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258*(MIN(100,(Inputs!$B$9+((C270=TRUE)*(F270-Calc!F19))+B283+(ArtifactsInput!$M$24-ArtifactsInput!$M$24)*CHOOSE(ArtifactsInput!$N$24+1,10,12,14,16,18,20)+(IF(AND(ArtifactsInput!$M$42,((Inputs!$B$9+((C270=TRUE)*(F270-Calc!F19))+B283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58">
        <f>IF(C258,(H258*N258*IF(AND(Inputs!$B$38&lt;&gt;"pvp",Inputs!$B$43&gt;0),((Skills!G7*((R258-1)*IF(Skills!H7&gt;0,Skills!I7/Skills!H7,1)+IF(Skills!H7&gt;0,MIN(Skills!I7,MAX(0,MAX(0,Inputs!$B$43-B290)-((R258-1)*IF(Inputs!$B$38="pvp",15,MAX(0.1,Skills!D7-IF(Skills!E7=TRUE,Inputs!$B$32,0))))))/Skills!H7,1)))/Inputs!$B$43),G258*Q258))*IF(Inputs!$B$38="pvp",1,(1+(Inputs!$B$21+Skills!Q7+(IF(ArtifactsInput!$M$33,CHOOSE(ArtifactsInput!$N$33+1,30,36,42,48,54,60),0))+(IF(AND(ArtifactsInput!$M$35,Inputs!$B$4&lt;&gt;"Chapter Hunt"),CHOOSE(ArtifactsInput!$N$35+1,15,18,21,24,27,30)*(1-EXP(-(0.2*B285)*5)),0)+IF(AND(ArtifactsInput!$M$22,Inputs!$B$4&lt;&gt;"Chapter Hunt"),CHOOSE(ArtifactsInput!$N$22+1,10,12,14,16,18,20)*((0*(((0.15*B285*5))^0/1)+1*(((0.15*B285*5))^1/1)+2*(((0.15*B285*5))^2/2)+3*(((0.15*B285*5))^3/6)+4*(((0.15*B285*5))^4/24)+5*(((0.15*B285*5))^5/120))/((((0.15*B285*5))^0/1)+(((0.15*B285*5))^1/1)+(((0.15*B285*5))^2/2)+(((0.15*B285*5))^3/6)+(((0.15*B285*5))^4/24)+(((0.15*B285*5))^5/120))),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59">
      <c r="A259">
        <f>Skills!A8</f>
        <v/>
      </c>
      <c r="B259">
        <f>Skills!B8</f>
        <v/>
      </c>
      <c r="C259">
        <f>Inputs!$B$3&gt;=100</f>
        <v/>
      </c>
      <c r="D259">
        <f>IF(Skills!C8=1,60+Inputs!$B$25+Inputs!$B$29,IF(Skills!C8=2,90+Inputs!$B$26+Inputs!$B$29,IF(Skills!C8=3,120+Inputs!$B$27+Inputs!$B$29,MAX(0,(Inputs!$B$3-100)*3)+Inputs!$B$28+Inputs!$B$29)))</f>
        <v/>
      </c>
      <c r="E259">
        <f>INDEX(FactorTable!$B$2:$Y$301, MATCH(ROUND(MIN(300,MAX(1,D259)),0), FactorTable!$A$2:$A$301,0), Skills!M8+1)</f>
        <v/>
      </c>
      <c r="F259">
        <f>IF(Skills!N8=TRUE,(Skills!L8/10)*(E259/1000),Skills!L8/10)+Skills!O8</f>
        <v/>
      </c>
      <c r="G259" t="inlineStr"/>
      <c r="H259" t="inlineStr"/>
      <c r="I259" t="inlineStr">
        <is>
          <t>1</t>
        </is>
      </c>
      <c r="J259" t="inlineStr"/>
      <c r="K259" t="inlineStr"/>
      <c r="L259" t="inlineStr"/>
      <c r="M259" t="inlineStr"/>
      <c r="N259" t="inlineStr"/>
      <c r="O259" t="inlineStr"/>
      <c r="P259" t="inlineStr"/>
      <c r="Q259" t="inlineStr"/>
      <c r="R259" t="inlineStr"/>
      <c r="S259" t="inlineStr"/>
      <c r="T259" t="inlineStr"/>
      <c r="V259" t="inlineStr"/>
    </row>
    <row r="260">
      <c r="A260">
        <f>Skills!A9</f>
        <v/>
      </c>
      <c r="B260">
        <f>Skills!B9</f>
        <v/>
      </c>
      <c r="C260">
        <f>Inputs!$B$3&gt;=103</f>
        <v/>
      </c>
      <c r="D260">
        <f>IF(Skills!C9=1,60+Inputs!$B$25+Inputs!$B$29,IF(Skills!C9=2,90+Inputs!$B$26+Inputs!$B$29,IF(Skills!C9=3,120+Inputs!$B$27+Inputs!$B$29,MAX(0,(Inputs!$B$3-100)*3)+Inputs!$B$28+Inputs!$B$29)))</f>
        <v/>
      </c>
      <c r="E260">
        <f>INDEX(FactorTable!$B$2:$Y$301, MATCH(ROUND(MIN(300,MAX(1,D260)),0), FactorTable!$A$2:$A$301,0), Skills!M9+1)</f>
        <v/>
      </c>
      <c r="F260">
        <f>IF(Skills!N9=TRUE,(Skills!L9/10)*(E260/1000),Skills!L9/10)+Skills!O9</f>
        <v/>
      </c>
      <c r="G260">
        <f>Skills!G9*IF(Skills!H9&gt;0,Skills!I9/Skills!H9,1)</f>
        <v/>
      </c>
      <c r="H260">
        <f>1-(1-Skills!J9/100)^Skills!K9</f>
        <v/>
      </c>
      <c r="I260" t="inlineStr">
        <is>
          <t>1</t>
        </is>
      </c>
      <c r="J260">
        <f>((Inputs!$B$6*(1+Inputs!$B$7/100))+(((Inputs!$B$12*(1+Inputs!$B$13/100))-(Inputs!$B$12*(1+Inputs!$B$13/100)))+0.25*(Inputs!$B$14-Inputs!$B$14))*(1+Inputs!$B$7/100))*(F260/100)</f>
        <v/>
      </c>
      <c r="K260">
        <f>J260*(1+((Inputs!$B$12*(1+Inputs!$B$13/100))*0.01+Inputs!$B$14*0.0025)/100)*(1+Inputs!$B$15/100)*(1+(Inputs!$B$16+1)/100)*(5000/(6000+Inputs!$B$42*(1-(100*(1-(1-(Inputs!$B$19+0)/100)*(1-CHOOSE(ArtifactsInput!$N$40+1,5,6,7,8,9,10)/100)^(ArtifactsInput!$M$40-ArtifactsInput!$M$40)))/100)))*(1+(Inputs!$B$24+((C275=TRUE)*(F275-Calc!F24))+((C276=TRUE)*(F276-Calc!F25))+B289)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EMPOWERED_PIERCING_ARROW",Inputs!$B$17+((C273=TRUE)*(F273-Calc!F22))+(((IF(AND(ArtifactsInput!$M$42,((Inputs!$B$9+((C270=TRUE)*(F270-Calc!F19))+B283+(ArtifactsInput!$M$24-ArtifactsInput!$M$24)*CHOOSE(ArtifactsInput!$N$24+1,10,12,14,16,18,20)+IF(ArtifactsInput!$M$10,CHOOSE(ArtifactsInput!$N$10+1,15,18,21,24,27,30)*(IF(Inputs!$B$38="pvp",MIN(15,15)/15,IF(AND(Inputs!$B$38&lt;&gt;"pvp",Inputs!$B$43&gt;0),MIN(15,Inputs!$B$43)/(Inputs!$B$43),0))),0)))&gt;=100),MIN(100,((Inputs!$B$9+((C270=TRUE)*(F270-Calc!F19))+B283+(ArtifactsInput!$M$24-ArtifactsInput!$M$24)*CHOOSE(ArtifactsInput!$N$24+1,10,12,14,16,18,20)+IF(ArtifactsInput!$M$10,CHOOSE(ArtifactsInput!$N$10+1,15,18,21,24,27,30)*(IF(Inputs!$B$38="pvp",MIN(15,15)/15,IF(AND(Inputs!$B$38&lt;&gt;"pvp",Inputs!$B$43&gt;0),MIN(15,Inputs!$B$43)/(Inputs!$B$43),0))),0)))-100),0))*CHOOSE(ArtifactsInput!$N$42+1,0.6,0.72,0.84,0.96,1.08,1.2))),Inputs!$B$18+((C278=TRUE)*(F278-Calc!F27))+(IF(AND(ArtifactsInput!$M$42,((Inputs!$B$9+((C270=TRUE)*(F270-Calc!F19))+B283+(ArtifactsInput!$M$24-ArtifactsInput!$M$24)*CHOOSE(ArtifactsInput!$N$24+1,10,12,14,16,18,20)+IF(ArtifactsInput!$M$10,CHOOSE(ArtifactsInput!$N$10+1,15,18,21,24,27,30)*(IF(Inputs!$B$38="pvp",MIN(15,15)/15,IF(AND(Inputs!$B$38&lt;&gt;"pvp",Inputs!$B$43&gt;0),MIN(15,Inputs!$B$43)/(Inputs!$B$43),0))),0)))&gt;=100),CHOOSE(ArtifactsInput!$N$42+1,40,48,56,64,72,80),0))))/100)*((1+(((C264=TRUE)*F264)+((C265=TRUE)*IF(Inputs!$B$38="pvp",F265,(1-Summary!$B$11)*(F265)+Summary!$B$11*(0)))+((C266=TRUE)*F266*IF(AND(Inputs!$B$38&lt;&gt;"pvp",Inputs!$B$43&gt;0),(((R266-1)*(Skills!T15*(1+Inputs!$B$34/100))+MIN((Skills!T15*(1+Inputs!$B$34/100)),MAX(0,Inputs!$B$43-((R266-1)*Skills!D15))))/Inputs!$B$43),IF(Inputs!$B$38="pvp",MIN((Skills!T15*(1+Inputs!$B$34/100)),15)/15,(Skills!T15*(1+Inputs!$B$34/100))/Skills!D15)))+((C263=TRUE)*F263)+((C280=TRUE)*(F280-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260)</f>
        <v/>
      </c>
      <c r="L260">
        <f>K260*(MIN(Inputs!$B$22+((C274=TRUE)*(F274-Calc!F23)),(Inputs!$B$23+((C279=TRUE)*(F279-Calc!F28))+(IF(ArtifactsInput!$M$15,CHOOSE(ArtifactsInput!$N$15+1,25,30,35,40,45,50)/100*(Inputs!$B$11-Inputs!$B$11),0))))/100+(Inputs!$B$23+((C279=TRUE)*(F279-Calc!F28))+(IF(ArtifactsInput!$M$15,CHOOSE(ArtifactsInput!$N$15+1,25,30,35,40,45,50)/100*(Inputs!$B$11-Inputs!$B$11),0)))/100)/2</f>
        <v/>
      </c>
      <c r="M260">
        <f>L260*(1+(Inputs!$B$10+0+B288+(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60">
        <f>L260*(1-MIN((Inputs!$B$9+((C270=TRUE)*(F270-Calc!F19))+B283+(ArtifactsInput!$M$24-ArtifactsInput!$M$24)*CHOOSE(ArtifactsInput!$N$24+1,10,12,14,16,18,20)+(IF(AND(ArtifactsInput!$M$42,((Inputs!$B$9+((C270=TRUE)*(F270-Calc!F19))+B283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260*(MIN((Inputs!$B$9+((C270=TRUE)*(F270-Calc!F19))+B283+(ArtifactsInput!$M$24-ArtifactsInput!$M$24)*CHOOSE(ArtifactsInput!$N$24+1,10,12,14,16,18,20)+(IF(AND(ArtifactsInput!$M$42,((Inputs!$B$9+((C270=TRUE)*(F270-Calc!F19))+B283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60">
        <f>(1-Summary!$B$11)*T260+Summary!$B$11*V260</f>
        <v/>
      </c>
      <c r="P260">
        <f>IF(B293=0,0,O260/B293)</f>
        <v/>
      </c>
      <c r="Q260">
        <f>IFERROR(1/IF(Inputs!$B$38="pvp",15,MAX(0.1,Skills!D9-IF(Skills!E9=TRUE,Inputs!$B$32,0))),0)</f>
        <v/>
      </c>
      <c r="R260">
        <f>IF(AND(Inputs!$B$38&lt;&gt;"pvp",Inputs!$B$43&gt;0),IF(MAX(0,Inputs!$B$43-B290)&lt;=0,0,(INT(MAX(0,Inputs!$B$43-B290)/IF(Inputs!$B$38="pvp",15,MAX(0.1,Skills!D9-IF(Skills!E9=TRUE,Inputs!$B$32,0))))+1)),0)</f>
        <v/>
      </c>
      <c r="S260">
        <f>IFERROR((H260*N260*IF(AND(Inputs!$B$38&lt;&gt;"pvp",Inputs!$B$43&gt;0),((Skills!G9*((R260-1)*IF(Skills!H9&gt;0,Skills!I9/Skills!H9,1)+IF(Skills!H9&gt;0,MIN(Skills!I9,MAX(0,MAX(0,Inputs!$B$43-B290)-((R260-1)*IF(Inputs!$B$38="pvp",15,MAX(0.1,Skills!D9-IF(Skills!E9=TRUE,Inputs!$B$32,0))))))/Skills!H9,1)))/Inputs!$B$43),G260*Q260))/N260*IF(Inputs!$B$38="pvp",1,(1-Summary!$B$11)*1+Summary!$B$11*(MIN(Skills!R9,Inputs!$B$37))),0)</f>
        <v/>
      </c>
      <c r="T260">
        <f>IF(C260,(H260*N260*IF(AND(Inputs!$B$38&lt;&gt;"pvp",Inputs!$B$43&gt;0),((Skills!G9*((R260-1)*IF(Skills!H9&gt;0,Skills!I9/Skills!H9,1)+IF(Skills!H9&gt;0,MIN(Skills!I9,MAX(0,MAX(0,Inputs!$B$43-B290)-((R260-1)*IF(Inputs!$B$38="pvp",15,MAX(0.1,Skills!D9-IF(Skills!E9=TRUE,Inputs!$B$32,0))))))/Skills!H9,1)))/Inputs!$B$43),G260*Q260))*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Hunt"),CHOOSE(ArtifactsInput!$N$35+1,15,18,21,24,27,30)*(1-EXP(-(0.2*B285)*5)),0)+IF(AND(ArtifactsInput!$M$22,Inputs!$B$4&lt;&gt;"Chapter Hunt"),CHOOSE(ArtifactsInput!$N$22+1,10,12,14,16,18,20)*((0*(((0.15*B285*5))^0/1)+1*(((0.15*B285*5))^1/1)+2*(((0.15*B285*5))^2/2)+3*(((0.15*B285*5))^3/6)+4*(((0.15*B285*5))^4/24)+5*(((0.15*B285*5))^5/120))/((((0.15*B285*5))^0/1)+(((0.15*B285*5))^1/1)+(((0.15*B285*5))^2/2)+(((0.15*B285*5))^3/6)+(((0.15*B285*5))^4/24)+(((0.15*B285*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260*(1-MIN(100,(Inputs!$B$9+((C270=TRUE)*(F270-Calc!F19))+B283+(ArtifactsInput!$M$24-ArtifactsInput!$M$24)*CHOOSE(ArtifactsInput!$N$24+1,10,12,14,16,18,20)+(IF(AND(ArtifactsInput!$M$42,((Inputs!$B$9+((C270=TRUE)*(F270-Calc!F19))+B283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260*(MIN(100,(Inputs!$B$9+((C270=TRUE)*(F270-Calc!F19))+B283+(ArtifactsInput!$M$24-ArtifactsInput!$M$24)*CHOOSE(ArtifactsInput!$N$24+1,10,12,14,16,18,20)+(IF(AND(ArtifactsInput!$M$42,((Inputs!$B$9+((C270=TRUE)*(F270-Calc!F19))+B283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260*(1-MIN(100,(Inputs!$B$9+((C270=TRUE)*(F270-Calc!F19))+B283+(ArtifactsInput!$M$24-ArtifactsInput!$M$24)*CHOOSE(ArtifactsInput!$N$24+1,10,12,14,16,18,20)+(IF(AND(ArtifactsInput!$M$42,((Inputs!$B$9+((C270=TRUE)*(F270-Calc!F19))+B283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260*(MIN(100,(Inputs!$B$9+((C270=TRUE)*(F270-Calc!F19))+B283+(ArtifactsInput!$M$24-ArtifactsInput!$M$24)*CHOOSE(ArtifactsInput!$N$24+1,10,12,14,16,18,20)+(IF(AND(ArtifactsInput!$M$42,((Inputs!$B$9+((C270=TRUE)*(F270-Calc!F19))+B283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60">
        <f>IF(C260,(H260*N260*IF(AND(Inputs!$B$38&lt;&gt;"pvp",Inputs!$B$43&gt;0),((Skills!G9*((R260-1)*IF(Skills!H9&gt;0,Skills!I9/Skills!H9,1)+IF(Skills!H9&gt;0,MIN(Skills!I9,MAX(0,MAX(0,Inputs!$B$43-B290)-((R260-1)*IF(Inputs!$B$38="pvp",15,MAX(0.1,Skills!D9-IF(Skills!E9=TRUE,Inputs!$B$32,0))))))/Skills!H9,1)))/Inputs!$B$43),G260*Q260))*IF(Inputs!$B$38="pvp",1,(1+(Inputs!$B$21+Skills!Q9+(IF(ArtifactsInput!$M$33,CHOOSE(ArtifactsInput!$N$33+1,30,36,42,48,54,60),0))+(IF(AND(ArtifactsInput!$M$35,Inputs!$B$4&lt;&gt;"Chapter Hunt"),CHOOSE(ArtifactsInput!$N$35+1,15,18,21,24,27,30)*(1-EXP(-(0.2*B285)*5)),0)+IF(AND(ArtifactsInput!$M$22,Inputs!$B$4&lt;&gt;"Chapter Hunt"),CHOOSE(ArtifactsInput!$N$22+1,10,12,14,16,18,20)*((0*(((0.15*B285*5))^0/1)+1*(((0.15*B285*5))^1/1)+2*(((0.15*B285*5))^2/2)+3*(((0.15*B285*5))^3/6)+4*(((0.15*B285*5))^4/24)+5*(((0.15*B285*5))^5/120))/((((0.15*B285*5))^0/1)+(((0.15*B285*5))^1/1)+(((0.15*B285*5))^2/2)+(((0.15*B285*5))^3/6)+(((0.15*B285*5))^4/24)+(((0.15*B285*5))^5/120)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61">
      <c r="A261">
        <f>Skills!A10</f>
        <v/>
      </c>
      <c r="B261">
        <f>Skills!B10</f>
        <v/>
      </c>
      <c r="C261">
        <f>Inputs!$B$3&gt;=107</f>
        <v/>
      </c>
      <c r="D261">
        <f>IF(Skills!C10=1,60+Inputs!$B$25+Inputs!$B$29,IF(Skills!C10=2,90+Inputs!$B$26+Inputs!$B$29,IF(Skills!C10=3,120+Inputs!$B$27+Inputs!$B$29,MAX(0,(Inputs!$B$3-100)*3)+Inputs!$B$28+Inputs!$B$29)))</f>
        <v/>
      </c>
      <c r="E261">
        <f>INDEX(FactorTable!$B$2:$Y$301, MATCH(ROUND(MIN(300,MAX(1,D261)),0), FactorTable!$A$2:$A$301,0), Skills!M10+1)</f>
        <v/>
      </c>
      <c r="F261">
        <f>IF(Skills!N10=TRUE,(Skills!L10/10)*(E261/1000),Skills!L10/10)+Skills!O10</f>
        <v/>
      </c>
      <c r="G261">
        <f>Skills!G10*IF(Skills!H10&gt;0,Skills!I10/Skills!H10,1)</f>
        <v/>
      </c>
      <c r="H261">
        <f>1-(1-Skills!J10/100)^Skills!K10</f>
        <v/>
      </c>
      <c r="I261" t="inlineStr">
        <is>
          <t>1</t>
        </is>
      </c>
      <c r="J261">
        <f>((Inputs!$B$6*(1+Inputs!$B$7/100))+(((Inputs!$B$12*(1+Inputs!$B$13/100))-(Inputs!$B$12*(1+Inputs!$B$13/100)))+0.25*(Inputs!$B$14-Inputs!$B$14))*(1+Inputs!$B$7/100))*(F261/100)</f>
        <v/>
      </c>
      <c r="K261">
        <f>J261*(1+((Inputs!$B$12*(1+Inputs!$B$13/100))*0.01+Inputs!$B$14*0.0025)/100)*(1+Inputs!$B$15/100)*(1+(Inputs!$B$16+1)/100)*(5000/(6000+Inputs!$B$42*(1-(100*(1-(1-(Inputs!$B$19+0)/100)*(1-CHOOSE(ArtifactsInput!$N$40+1,5,6,7,8,9,10)/100)^(ArtifactsInput!$M$40-ArtifactsInput!$M$40)))/100)))*(1+(Inputs!$B$24+((C275=TRUE)*(F275-Calc!F24))+((C276=TRUE)*(F276-Calc!F25))+B289)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EMPOWERED_PIERCING_ARROW",Inputs!$B$17+((C273=TRUE)*(F273-Calc!F22))+(((IF(AND(ArtifactsInput!$M$42,((Inputs!$B$9+((C270=TRUE)*(F270-Calc!F19))+B283+(ArtifactsInput!$M$24-ArtifactsInput!$M$24)*CHOOSE(ArtifactsInput!$N$24+1,10,12,14,16,18,20)+IF(ArtifactsInput!$M$10,CHOOSE(ArtifactsInput!$N$10+1,15,18,21,24,27,30)*(IF(Inputs!$B$38="pvp",MIN(15,15)/15,IF(AND(Inputs!$B$38&lt;&gt;"pvp",Inputs!$B$43&gt;0),MIN(15,Inputs!$B$43)/(Inputs!$B$43),0))),0)))&gt;=100),MIN(100,((Inputs!$B$9+((C270=TRUE)*(F270-Calc!F19))+B283+(ArtifactsInput!$M$24-ArtifactsInput!$M$24)*CHOOSE(ArtifactsInput!$N$24+1,10,12,14,16,18,20)+IF(ArtifactsInput!$M$10,CHOOSE(ArtifactsInput!$N$10+1,15,18,21,24,27,30)*(IF(Inputs!$B$38="pvp",MIN(15,15)/15,IF(AND(Inputs!$B$38&lt;&gt;"pvp",Inputs!$B$43&gt;0),MIN(15,Inputs!$B$43)/(Inputs!$B$43),0))),0)))-100),0))*CHOOSE(ArtifactsInput!$N$42+1,0.6,0.72,0.84,0.96,1.08,1.2))),Inputs!$B$18+((C278=TRUE)*(F278-Calc!F27))+(IF(AND(ArtifactsInput!$M$42,((Inputs!$B$9+((C270=TRUE)*(F270-Calc!F19))+B283+(ArtifactsInput!$M$24-ArtifactsInput!$M$24)*CHOOSE(ArtifactsInput!$N$24+1,10,12,14,16,18,20)+IF(ArtifactsInput!$M$10,CHOOSE(ArtifactsInput!$N$10+1,15,18,21,24,27,30)*(IF(Inputs!$B$38="pvp",MIN(15,15)/15,IF(AND(Inputs!$B$38&lt;&gt;"pvp",Inputs!$B$43&gt;0),MIN(15,Inputs!$B$43)/(Inputs!$B$43),0))),0)))&gt;=100),CHOOSE(ArtifactsInput!$N$42+1,40,48,56,64,72,80),0))))/100)*((1+(((C264=TRUE)*F264)+((C265=TRUE)*IF(Inputs!$B$38="pvp",F265,(1-Summary!$B$11)*(F265)+Summary!$B$11*(0)))+((C266=TRUE)*F266*IF(AND(Inputs!$B$38&lt;&gt;"pvp",Inputs!$B$43&gt;0),(((R266-1)*(Skills!T15*(1+Inputs!$B$34/100))+MIN((Skills!T15*(1+Inputs!$B$34/100)),MAX(0,Inputs!$B$43-((R266-1)*Skills!D15))))/Inputs!$B$43),IF(Inputs!$B$38="pvp",MIN((Skills!T15*(1+Inputs!$B$34/100)),15)/15,(Skills!T15*(1+Inputs!$B$34/100))/Skills!D15)))+((C263=TRUE)*F263)+((C280=TRUE)*(F280-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261)</f>
        <v/>
      </c>
      <c r="L261">
        <f>K261*(MIN(Inputs!$B$22+((C274=TRUE)*(F274-Calc!F23)),(Inputs!$B$23+((C279=TRUE)*(F279-Calc!F28))+(IF(ArtifactsInput!$M$15,CHOOSE(ArtifactsInput!$N$15+1,25,30,35,40,45,50)/100*(Inputs!$B$11-Inputs!$B$11),0))))/100+(Inputs!$B$23+((C279=TRUE)*(F279-Calc!F28))+(IF(ArtifactsInput!$M$15,CHOOSE(ArtifactsInput!$N$15+1,25,30,35,40,45,50)/100*(Inputs!$B$11-Inputs!$B$11),0)))/100)/2</f>
        <v/>
      </c>
      <c r="M261">
        <f>L261*(1+(Inputs!$B$10+0+B288+(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61">
        <f>L261*(1-MIN((Inputs!$B$9+((C270=TRUE)*(F270-Calc!F19))+B283+(ArtifactsInput!$M$24-ArtifactsInput!$M$24)*CHOOSE(ArtifactsInput!$N$24+1,10,12,14,16,18,20)+(IF(AND(ArtifactsInput!$M$42,((Inputs!$B$9+((C270=TRUE)*(F270-Calc!F19))+B283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261*(MIN((Inputs!$B$9+((C270=TRUE)*(F270-Calc!F19))+B283+(ArtifactsInput!$M$24-ArtifactsInput!$M$24)*CHOOSE(ArtifactsInput!$N$24+1,10,12,14,16,18,20)+(IF(AND(ArtifactsInput!$M$42,((Inputs!$B$9+((C270=TRUE)*(F270-Calc!F19))+B283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61">
        <f>(1-Summary!$B$11)*T261+Summary!$B$11*V261</f>
        <v/>
      </c>
      <c r="P261">
        <f>IF(B293=0,0,O261/B293)</f>
        <v/>
      </c>
      <c r="Q261" t="n">
        <v>0</v>
      </c>
      <c r="R261" t="n">
        <v>0</v>
      </c>
      <c r="S261" t="n">
        <v>0</v>
      </c>
      <c r="T261">
        <f>IF(C261,(0.15*SUMPRODUCT((Skills!U2:U29=TRUE)*(C253:C280=TRUE)*S253:S280)*Skills!G10*N261)*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Hunt"),CHOOSE(ArtifactsInput!$N$35+1,15,18,21,24,27,30)*(1-EXP(-(0.2*B285)*5)),0)+IF(AND(ArtifactsInput!$M$22,Inputs!$B$4&lt;&gt;"Chapter Hunt"),CHOOSE(ArtifactsInput!$N$22+1,10,12,14,16,18,20)*((0*(((0.15*B285*5))^0/1)+1*(((0.15*B285*5))^1/1)+2*(((0.15*B285*5))^2/2)+3*(((0.15*B285*5))^3/6)+4*(((0.15*B285*5))^4/24)+5*(((0.15*B285*5))^5/120))/((((0.15*B285*5))^0/1)+(((0.15*B285*5))^1/1)+(((0.15*B285*5))^2/2)+(((0.15*B285*5))^3/6)+(((0.15*B285*5))^4/24)+(((0.15*B285*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261*(1-MIN(100,(Inputs!$B$9+((C270=TRUE)*(F270-Calc!F19))+B283+(ArtifactsInput!$M$24-ArtifactsInput!$M$24)*CHOOSE(ArtifactsInput!$N$24+1,10,12,14,16,18,20)+(IF(AND(ArtifactsInput!$M$42,((Inputs!$B$9+((C270=TRUE)*(F270-Calc!F19))+B283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261*(MIN(100,(Inputs!$B$9+((C270=TRUE)*(F270-Calc!F19))+B283+(ArtifactsInput!$M$24-ArtifactsInput!$M$24)*CHOOSE(ArtifactsInput!$N$24+1,10,12,14,16,18,20)+(IF(AND(ArtifactsInput!$M$42,((Inputs!$B$9+((C270=TRUE)*(F270-Calc!F19))+B283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261*(1-MIN(100,(Inputs!$B$9+((C270=TRUE)*(F270-Calc!F19))+B283+(ArtifactsInput!$M$24-ArtifactsInput!$M$24)*CHOOSE(ArtifactsInput!$N$24+1,10,12,14,16,18,20)+(IF(AND(ArtifactsInput!$M$42,((Inputs!$B$9+((C270=TRUE)*(F270-Calc!F19))+B283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261*(MIN(100,(Inputs!$B$9+((C270=TRUE)*(F270-Calc!F19))+B283+(ArtifactsInput!$M$24-ArtifactsInput!$M$24)*CHOOSE(ArtifactsInput!$N$24+1,10,12,14,16,18,20)+(IF(AND(ArtifactsInput!$M$42,((Inputs!$B$9+((C270=TRUE)*(F270-Calc!F19))+B283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61">
        <f>IF(C261,(0.15*SUMPRODUCT((Skills!U2:U29=TRUE)*(C253:C280=TRUE)*S253:S280)*Skills!G10*N261)*IF(Inputs!$B$38="pvp",1,(1+(Inputs!$B$21+Skills!Q10+(IF(ArtifactsInput!$M$33,CHOOSE(ArtifactsInput!$N$33+1,30,36,42,48,54,60),0))+(IF(AND(ArtifactsInput!$M$35,Inputs!$B$4&lt;&gt;"Chapter Hunt"),CHOOSE(ArtifactsInput!$N$35+1,15,18,21,24,27,30)*(1-EXP(-(0.2*B285)*5)),0)+IF(AND(ArtifactsInput!$M$22,Inputs!$B$4&lt;&gt;"Chapter Hunt"),CHOOSE(ArtifactsInput!$N$22+1,10,12,14,16,18,20)*((0*(((0.15*B285*5))^0/1)+1*(((0.15*B285*5))^1/1)+2*(((0.15*B285*5))^2/2)+3*(((0.15*B285*5))^3/6)+4*(((0.15*B285*5))^4/24)+5*(((0.15*B285*5))^5/120))/((((0.15*B285*5))^0/1)+(((0.15*B285*5))^1/1)+(((0.15*B285*5))^2/2)+(((0.15*B285*5))^3/6)+(((0.15*B285*5))^4/24)+(((0.15*B285*5))^5/120)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62">
      <c r="A262">
        <f>Skills!A11</f>
        <v/>
      </c>
      <c r="B262">
        <f>Skills!B11</f>
        <v/>
      </c>
      <c r="C262">
        <f>Inputs!$B$3&gt;=110</f>
        <v/>
      </c>
      <c r="D262">
        <f>IF(Skills!C11=1,60+Inputs!$B$25+Inputs!$B$29,IF(Skills!C11=2,90+Inputs!$B$26+Inputs!$B$29,IF(Skills!C11=3,120+Inputs!$B$27+Inputs!$B$29,MAX(0,(Inputs!$B$3-100)*3)+Inputs!$B$28+Inputs!$B$29)))</f>
        <v/>
      </c>
      <c r="E262">
        <f>INDEX(FactorTable!$B$2:$Y$301, MATCH(ROUND(MIN(300,MAX(1,D262)),0), FactorTable!$A$2:$A$301,0), Skills!M11+1)</f>
        <v/>
      </c>
      <c r="F262">
        <f>IF(Skills!N11=TRUE,(Skills!L11/10)*(E262/1000),Skills!L11/10)+Skills!O11</f>
        <v/>
      </c>
      <c r="G262">
        <f>Skills!G11*IF(Skills!H11&gt;0,Skills!I11/Skills!H11,1)</f>
        <v/>
      </c>
      <c r="H262">
        <f>1-(1-Skills!J11/100)^Skills!K11</f>
        <v/>
      </c>
      <c r="I262" t="inlineStr">
        <is>
          <t>1</t>
        </is>
      </c>
      <c r="J262">
        <f>((Inputs!$B$6*(1+Inputs!$B$7/100))+(((Inputs!$B$12*(1+Inputs!$B$13/100))-(Inputs!$B$12*(1+Inputs!$B$13/100)))+0.25*(Inputs!$B$14-Inputs!$B$14))*(1+Inputs!$B$7/100))*(F262/100)</f>
        <v/>
      </c>
      <c r="K262">
        <f>J262*(1+((Inputs!$B$12*(1+Inputs!$B$13/100))*0.01+Inputs!$B$14*0.0025)/100)*(1+Inputs!$B$15/100)*(1+(Inputs!$B$16+1)/100)*(5000/(6000+Inputs!$B$42*(1-(100*(1-(1-(Inputs!$B$19+0)/100)*(1-CHOOSE(ArtifactsInput!$N$40+1,5,6,7,8,9,10)/100)^(ArtifactsInput!$M$40-ArtifactsInput!$M$40)))/100)))*(1+(Inputs!$B$24+((C275=TRUE)*(F275-Calc!F24))+((C276=TRUE)*(F276-Calc!F25))+B289)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11="EMPOWERED_PIERCING_ARROW",Inputs!$B$17+((C273=TRUE)*(F273-Calc!F22))+(((IF(AND(ArtifactsInput!$M$42,((Inputs!$B$9+((C270=TRUE)*(F270-Calc!F19))+B283+(ArtifactsInput!$M$24-ArtifactsInput!$M$24)*CHOOSE(ArtifactsInput!$N$24+1,10,12,14,16,18,20)+IF(ArtifactsInput!$M$10,CHOOSE(ArtifactsInput!$N$10+1,15,18,21,24,27,30)*(IF(Inputs!$B$38="pvp",MIN(15,15)/15,IF(AND(Inputs!$B$38&lt;&gt;"pvp",Inputs!$B$43&gt;0),MIN(15,Inputs!$B$43)/(Inputs!$B$43),0))),0)))&gt;=100),MIN(100,((Inputs!$B$9+((C270=TRUE)*(F270-Calc!F19))+B283+(ArtifactsInput!$M$24-ArtifactsInput!$M$24)*CHOOSE(ArtifactsInput!$N$24+1,10,12,14,16,18,20)+IF(ArtifactsInput!$M$10,CHOOSE(ArtifactsInput!$N$10+1,15,18,21,24,27,30)*(IF(Inputs!$B$38="pvp",MIN(15,15)/15,IF(AND(Inputs!$B$38&lt;&gt;"pvp",Inputs!$B$43&gt;0),MIN(15,Inputs!$B$43)/(Inputs!$B$43),0))),0)))-100),0))*CHOOSE(ArtifactsInput!$N$42+1,0.6,0.72,0.84,0.96,1.08,1.2))),Inputs!$B$18+((C278=TRUE)*(F278-Calc!F27))+(IF(AND(ArtifactsInput!$M$42,((Inputs!$B$9+((C270=TRUE)*(F270-Calc!F19))+B283+(ArtifactsInput!$M$24-ArtifactsInput!$M$24)*CHOOSE(ArtifactsInput!$N$24+1,10,12,14,16,18,20)+IF(ArtifactsInput!$M$10,CHOOSE(ArtifactsInput!$N$10+1,15,18,21,24,27,30)*(IF(Inputs!$B$38="pvp",MIN(15,15)/15,IF(AND(Inputs!$B$38&lt;&gt;"pvp",Inputs!$B$43&gt;0),MIN(15,Inputs!$B$43)/(Inputs!$B$43),0))),0)))&gt;=100),CHOOSE(ArtifactsInput!$N$42+1,40,48,56,64,72,80),0))))/100)*((1+(((C264=TRUE)*F264)+((C265=TRUE)*IF(Inputs!$B$38="pvp",F265,(1-Summary!$B$11)*(F265)+Summary!$B$11*(0)))+((C266=TRUE)*F266*IF(AND(Inputs!$B$38&lt;&gt;"pvp",Inputs!$B$43&gt;0),(((R266-1)*(Skills!T15*(1+Inputs!$B$34/100))+MIN((Skills!T15*(1+Inputs!$B$34/100)),MAX(0,Inputs!$B$43-((R266-1)*Skills!D15))))/Inputs!$B$43),IF(Inputs!$B$38="pvp",MIN((Skills!T15*(1+Inputs!$B$34/100)),15)/15,(Skills!T15*(1+Inputs!$B$34/100))/Skills!D15)))+((C263=TRUE)*F263)+((C280=TRUE)*(F280-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262)</f>
        <v/>
      </c>
      <c r="L262">
        <f>K262*(MIN(Inputs!$B$22+((C274=TRUE)*(F274-Calc!F23)),(Inputs!$B$23+((C279=TRUE)*(F279-Calc!F28))+(IF(ArtifactsInput!$M$15,CHOOSE(ArtifactsInput!$N$15+1,25,30,35,40,45,50)/100*(Inputs!$B$11-Inputs!$B$11),0))))/100+(Inputs!$B$23+((C279=TRUE)*(F279-Calc!F28))+(IF(ArtifactsInput!$M$15,CHOOSE(ArtifactsInput!$N$15+1,25,30,35,40,45,50)/100*(Inputs!$B$11-Inputs!$B$11),0)))/100)/2</f>
        <v/>
      </c>
      <c r="M262">
        <f>L262*(1+(Inputs!$B$10+0+B288+(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62">
        <f>L262*(1-MIN((Inputs!$B$9+((C270=TRUE)*(F270-Calc!F19))+B283+(ArtifactsInput!$M$24-ArtifactsInput!$M$24)*CHOOSE(ArtifactsInput!$N$24+1,10,12,14,16,18,20)+(IF(AND(ArtifactsInput!$M$42,((Inputs!$B$9+((C270=TRUE)*(F270-Calc!F19))+B283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262*(MIN((Inputs!$B$9+((C270=TRUE)*(F270-Calc!F19))+B283+(ArtifactsInput!$M$24-ArtifactsInput!$M$24)*CHOOSE(ArtifactsInput!$N$24+1,10,12,14,16,18,20)+(IF(AND(ArtifactsInput!$M$42,((Inputs!$B$9+((C270=TRUE)*(F270-Calc!F19))+B283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62">
        <f>(1-Summary!$B$11)*T262+Summary!$B$11*V262</f>
        <v/>
      </c>
      <c r="P262">
        <f>IF(B293=0,0,O262/B293)</f>
        <v/>
      </c>
      <c r="Q262">
        <f>IFERROR(1/IF(Inputs!$B$38="pvp",15,MAX(0.1,Skills!D11-IF(Skills!E11=TRUE,Inputs!$B$32,0))),0)</f>
        <v/>
      </c>
      <c r="R262">
        <f>IF(AND(Inputs!$B$38&lt;&gt;"pvp",Inputs!$B$43&gt;0),IF(MAX(0,Inputs!$B$43-B290)&lt;=0,0,(INT(MAX(0,Inputs!$B$43-B290)/IF(Inputs!$B$38="pvp",15,MAX(0.1,Skills!D11-IF(Skills!E11=TRUE,Inputs!$B$32,0))))+1)),0)</f>
        <v/>
      </c>
      <c r="S262">
        <f>IFERROR((H262*N262*IF(AND(Inputs!$B$38&lt;&gt;"pvp",Inputs!$B$43&gt;0),((Skills!G11*((R262-1)*IF(Skills!H11&gt;0,Skills!I11/Skills!H11,1)+IF(Skills!H11&gt;0,MIN(Skills!I11,MAX(0,MAX(0,Inputs!$B$43-B290)-((R262-1)*IF(Inputs!$B$38="pvp",15,MAX(0.1,Skills!D11-IF(Skills!E11=TRUE,Inputs!$B$32,0))))))/Skills!H11,1)))/Inputs!$B$43),G262*Q262))/N262*IF(Inputs!$B$38="pvp",1,(1-Summary!$B$11)*1+Summary!$B$11*(MIN(Skills!R11,Inputs!$B$37))),0)</f>
        <v/>
      </c>
      <c r="T262">
        <f>IF(C262,(H262*N262*IF(AND(Inputs!$B$38&lt;&gt;"pvp",Inputs!$B$43&gt;0),((Skills!G11*((R262-1)*IF(Skills!H11&gt;0,Skills!I11/Skills!H11,1)+IF(Skills!H11&gt;0,MIN(Skills!I11,MAX(0,MAX(0,Inputs!$B$43-B290)-((R262-1)*IF(Inputs!$B$38="pvp",15,MAX(0.1,Skills!D11-IF(Skills!E11=TRUE,Inputs!$B$32,0))))))/Skills!H11,1)))/Inputs!$B$43),G262*Q262))*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Hunt"),CHOOSE(ArtifactsInput!$N$35+1,15,18,21,24,27,30)*(1-EXP(-(0.2*B285)*5)),0)+IF(AND(ArtifactsInput!$M$22,Inputs!$B$4&lt;&gt;"Chapter Hunt"),CHOOSE(ArtifactsInput!$N$22+1,10,12,14,16,18,20)*((0*(((0.15*B285*5))^0/1)+1*(((0.15*B285*5))^1/1)+2*(((0.15*B285*5))^2/2)+3*(((0.15*B285*5))^3/6)+4*(((0.15*B285*5))^4/24)+5*(((0.15*B285*5))^5/120))/((((0.15*B285*5))^0/1)+(((0.15*B285*5))^1/1)+(((0.15*B285*5))^2/2)+(((0.15*B285*5))^3/6)+(((0.15*B285*5))^4/24)+(((0.15*B285*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262*(1-MIN(100,(Inputs!$B$9+((C270=TRUE)*(F270-Calc!F19))+B283+(ArtifactsInput!$M$24-ArtifactsInput!$M$24)*CHOOSE(ArtifactsInput!$N$24+1,10,12,14,16,18,20)+(IF(AND(ArtifactsInput!$M$42,((Inputs!$B$9+((C270=TRUE)*(F270-Calc!F19))+B283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262*(MIN(100,(Inputs!$B$9+((C270=TRUE)*(F270-Calc!F19))+B283+(ArtifactsInput!$M$24-ArtifactsInput!$M$24)*CHOOSE(ArtifactsInput!$N$24+1,10,12,14,16,18,20)+(IF(AND(ArtifactsInput!$M$42,((Inputs!$B$9+((C270=TRUE)*(F270-Calc!F19))+B283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262*(1-MIN(100,(Inputs!$B$9+((C270=TRUE)*(F270-Calc!F19))+B283+(ArtifactsInput!$M$24-ArtifactsInput!$M$24)*CHOOSE(ArtifactsInput!$N$24+1,10,12,14,16,18,20)+(IF(AND(ArtifactsInput!$M$42,((Inputs!$B$9+((C270=TRUE)*(F270-Calc!F19))+B283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262*(MIN(100,(Inputs!$B$9+((C270=TRUE)*(F270-Calc!F19))+B283+(ArtifactsInput!$M$24-ArtifactsInput!$M$24)*CHOOSE(ArtifactsInput!$N$24+1,10,12,14,16,18,20)+(IF(AND(ArtifactsInput!$M$42,((Inputs!$B$9+((C270=TRUE)*(F270-Calc!F19))+B283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62">
        <f>IF(C262,(H262*N262*IF(AND(Inputs!$B$38&lt;&gt;"pvp",Inputs!$B$43&gt;0),((Skills!G11*((R262-1)*IF(Skills!H11&gt;0,Skills!I11/Skills!H11,1)+IF(Skills!H11&gt;0,MIN(Skills!I11,MAX(0,MAX(0,Inputs!$B$43-B290)-((R262-1)*IF(Inputs!$B$38="pvp",15,MAX(0.1,Skills!D11-IF(Skills!E11=TRUE,Inputs!$B$32,0))))))/Skills!H11,1)))/Inputs!$B$43),G262*Q262))*IF(Inputs!$B$38="pvp",1,(1+(Inputs!$B$21+Skills!Q11+(IF(ArtifactsInput!$M$33,CHOOSE(ArtifactsInput!$N$33+1,30,36,42,48,54,60),0))+(IF(AND(ArtifactsInput!$M$35,Inputs!$B$4&lt;&gt;"Chapter Hunt"),CHOOSE(ArtifactsInput!$N$35+1,15,18,21,24,27,30)*(1-EXP(-(0.2*B285)*5)),0)+IF(AND(ArtifactsInput!$M$22,Inputs!$B$4&lt;&gt;"Chapter Hunt"),CHOOSE(ArtifactsInput!$N$22+1,10,12,14,16,18,20)*((0*(((0.15*B285*5))^0/1)+1*(((0.15*B285*5))^1/1)+2*(((0.15*B285*5))^2/2)+3*(((0.15*B285*5))^3/6)+4*(((0.15*B285*5))^4/24)+5*(((0.15*B285*5))^5/120))/((((0.15*B285*5))^0/1)+(((0.15*B285*5))^1/1)+(((0.15*B285*5))^2/2)+(((0.15*B285*5))^3/6)+(((0.15*B285*5))^4/24)+(((0.15*B285*5))^5/120))),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63">
      <c r="A263">
        <f>Skills!A12</f>
        <v/>
      </c>
      <c r="B263">
        <f>Skills!B12</f>
        <v/>
      </c>
      <c r="C263">
        <f>Inputs!$B$3&gt;=60</f>
        <v/>
      </c>
      <c r="D263">
        <f>IF(Skills!C12=1,60+Inputs!$B$25+Inputs!$B$29,IF(Skills!C12=2,90+Inputs!$B$26+Inputs!$B$29,IF(Skills!C12=3,120+Inputs!$B$27+Inputs!$B$29,MAX(0,(Inputs!$B$3-100)*3)+Inputs!$B$28+Inputs!$B$29)))</f>
        <v/>
      </c>
      <c r="E263">
        <f>INDEX(FactorTable!$B$2:$Y$301, MATCH(ROUND(MIN(300,MAX(1,D263)),0), FactorTable!$A$2:$A$301,0), Skills!M12+1)</f>
        <v/>
      </c>
      <c r="F263">
        <f>IF(Skills!N12=TRUE,(Skills!L12/10)*(E263/1000),Skills!L12/10)+Skills!O12</f>
        <v/>
      </c>
      <c r="G263">
        <f>Skills!G12*IF(Skills!H12&gt;0,Skills!I12/Skills!H12,1)</f>
        <v/>
      </c>
      <c r="H263">
        <f>1-(1-Skills!J12/100)^Skills!K12</f>
        <v/>
      </c>
      <c r="I263" t="inlineStr">
        <is>
          <t>1</t>
        </is>
      </c>
      <c r="J263" t="inlineStr"/>
      <c r="K263" t="inlineStr"/>
      <c r="L263" t="inlineStr"/>
      <c r="M263" t="inlineStr"/>
      <c r="N263" t="inlineStr"/>
      <c r="O263">
        <f>(1-Summary!$B$11)*T263+Summary!$B$11*V263</f>
        <v/>
      </c>
      <c r="P263">
        <f>IF(B293=0,0,O263/B293)</f>
        <v/>
      </c>
      <c r="Q263" t="n">
        <v>0</v>
      </c>
      <c r="R263" t="n">
        <v>0</v>
      </c>
      <c r="S263" t="n">
        <v>0</v>
      </c>
      <c r="T263" t="n">
        <v>0</v>
      </c>
      <c r="V263" t="n">
        <v>0</v>
      </c>
    </row>
    <row r="264">
      <c r="A264">
        <f>Skills!A13</f>
        <v/>
      </c>
      <c r="B264">
        <f>Skills!B13</f>
        <v/>
      </c>
      <c r="C264">
        <f>Inputs!$B$3&gt;=74</f>
        <v/>
      </c>
      <c r="D264">
        <f>IF(Skills!C13=1,60+Inputs!$B$25+Inputs!$B$29,IF(Skills!C13=2,90+Inputs!$B$26+Inputs!$B$29,IF(Skills!C13=3,120+Inputs!$B$27+Inputs!$B$29,MAX(0,(Inputs!$B$3-100)*3)+Inputs!$B$28+Inputs!$B$29)))</f>
        <v/>
      </c>
      <c r="E264">
        <f>INDEX(FactorTable!$B$2:$Y$301, MATCH(ROUND(MIN(300,MAX(1,D264)),0), FactorTable!$A$2:$A$301,0), Skills!M13+1)</f>
        <v/>
      </c>
      <c r="F264">
        <f>IF(Skills!N13=TRUE,(Skills!L13/10)*(E264/1000),Skills!L13/10)+Skills!O13</f>
        <v/>
      </c>
      <c r="G264">
        <f>Skills!G13*IF(Skills!H13&gt;0,Skills!I13/Skills!H13,1)</f>
        <v/>
      </c>
      <c r="H264">
        <f>1-(1-Skills!J13/100)^Skills!K13</f>
        <v/>
      </c>
      <c r="I264" t="inlineStr">
        <is>
          <t>1</t>
        </is>
      </c>
      <c r="J264" t="inlineStr"/>
      <c r="K264" t="inlineStr"/>
      <c r="L264" t="inlineStr"/>
      <c r="M264" t="inlineStr"/>
      <c r="N264" t="inlineStr"/>
      <c r="O264">
        <f>(1-Summary!$B$11)*T264+Summary!$B$11*V264</f>
        <v/>
      </c>
      <c r="P264">
        <f>IF(B293=0,0,O264/B293)</f>
        <v/>
      </c>
      <c r="Q264" t="n">
        <v>0</v>
      </c>
      <c r="R264" t="n">
        <v>0</v>
      </c>
      <c r="S264" t="n">
        <v>0</v>
      </c>
      <c r="T264" t="n">
        <v>0</v>
      </c>
      <c r="V264" t="n">
        <v>0</v>
      </c>
    </row>
    <row r="265">
      <c r="A265">
        <f>Skills!A14</f>
        <v/>
      </c>
      <c r="B265">
        <f>Skills!B14</f>
        <v/>
      </c>
      <c r="C265">
        <f>Inputs!$B$3&gt;=74</f>
        <v/>
      </c>
      <c r="D265">
        <f>IF(Skills!C14=1,60+Inputs!$B$25+Inputs!$B$29,IF(Skills!C14=2,90+Inputs!$B$26+Inputs!$B$29,IF(Skills!C14=3,120+Inputs!$B$27+Inputs!$B$29,MAX(0,(Inputs!$B$3-100)*3)+Inputs!$B$28+Inputs!$B$29)))</f>
        <v/>
      </c>
      <c r="E265">
        <f>INDEX(FactorTable!$B$2:$Y$301, MATCH(ROUND(MIN(300,MAX(1,D265)),0), FactorTable!$A$2:$A$301,0), Skills!M14+1)</f>
        <v/>
      </c>
      <c r="F265">
        <f>IF(Skills!N14=TRUE,(Skills!L14/10)*(E265/1000),Skills!L14/10)+Skills!O14</f>
        <v/>
      </c>
      <c r="G265">
        <f>Skills!G14*IF(Skills!H14&gt;0,Skills!I14/Skills!H14,1)</f>
        <v/>
      </c>
      <c r="H265">
        <f>1-(1-Skills!J14/100)^Skills!K14</f>
        <v/>
      </c>
      <c r="I265" t="inlineStr">
        <is>
          <t>1</t>
        </is>
      </c>
      <c r="J265" t="inlineStr"/>
      <c r="K265" t="inlineStr"/>
      <c r="L265" t="inlineStr"/>
      <c r="M265" t="inlineStr"/>
      <c r="N265" t="inlineStr"/>
      <c r="O265">
        <f>(1-Summary!$B$11)*T265+Summary!$B$11*V265</f>
        <v/>
      </c>
      <c r="P265">
        <f>IF(B293=0,0,O265/B293)</f>
        <v/>
      </c>
      <c r="Q265" t="n">
        <v>0</v>
      </c>
      <c r="R265" t="n">
        <v>0</v>
      </c>
      <c r="S265" t="n">
        <v>0</v>
      </c>
      <c r="T265" t="n">
        <v>0</v>
      </c>
      <c r="V265" t="n">
        <v>0</v>
      </c>
    </row>
    <row r="266">
      <c r="A266">
        <f>Skills!A15</f>
        <v/>
      </c>
      <c r="B266">
        <f>Skills!B15</f>
        <v/>
      </c>
      <c r="C266">
        <f>Inputs!$B$3&gt;=117</f>
        <v/>
      </c>
      <c r="D266">
        <f>IF(Skills!C15=1,60+Inputs!$B$25+Inputs!$B$29,IF(Skills!C15=2,90+Inputs!$B$26+Inputs!$B$29,IF(Skills!C15=3,120+Inputs!$B$27+Inputs!$B$29,MAX(0,(Inputs!$B$3-100)*3)+Inputs!$B$28+Inputs!$B$29)))</f>
        <v/>
      </c>
      <c r="E266">
        <f>INDEX(FactorTable!$B$2:$Y$301, MATCH(ROUND(MIN(300,MAX(1,D266)),0), FactorTable!$A$2:$A$301,0), Skills!M15+1)</f>
        <v/>
      </c>
      <c r="F266">
        <f>IF(Skills!N15=TRUE,(Skills!L15/10)*(E266/1000),Skills!L15/10)+Skills!O15</f>
        <v/>
      </c>
      <c r="G266">
        <f>Skills!G15*IF(Skills!H15&gt;0,Skills!I15/Skills!H15,1)</f>
        <v/>
      </c>
      <c r="H266">
        <f>1-(1-Skills!J15/100)^Skills!K15</f>
        <v/>
      </c>
      <c r="I266" t="inlineStr">
        <is>
          <t>1</t>
        </is>
      </c>
      <c r="J266" t="inlineStr"/>
      <c r="K266" t="inlineStr"/>
      <c r="L266" t="inlineStr"/>
      <c r="M266" t="inlineStr"/>
      <c r="N266" t="inlineStr"/>
      <c r="O266">
        <f>(1-Summary!$B$11)*T266+Summary!$B$11*V266</f>
        <v/>
      </c>
      <c r="P266">
        <f>IF(B293=0,0,O266/B293)</f>
        <v/>
      </c>
      <c r="Q266">
        <f>IFERROR(1/IF(Inputs!$B$38="pvp",15,MAX(0.1,Skills!D15-IF(Skills!E15=TRUE,Inputs!$B$32,0))),0)</f>
        <v/>
      </c>
      <c r="R266">
        <f>IF(AND(Inputs!$B$38&lt;&gt;"pvp",Inputs!$B$43&gt;0),IF(Inputs!$B$43&lt;=0,0,(INT(Inputs!$B$43/IF(Inputs!$B$38="pvp",15,MAX(0.1,Skills!D15-IF(Skills!E15=TRUE,Inputs!$B$32,0))))+1)),0)</f>
        <v/>
      </c>
      <c r="S266" t="n">
        <v>0</v>
      </c>
      <c r="T266" t="n">
        <v>0</v>
      </c>
      <c r="V266" t="n">
        <v>0</v>
      </c>
    </row>
    <row r="267">
      <c r="A267">
        <f>Skills!A16</f>
        <v/>
      </c>
      <c r="B267">
        <f>Skills!B16</f>
        <v/>
      </c>
      <c r="C267">
        <f>Inputs!$B$3&gt;=115</f>
        <v/>
      </c>
      <c r="D267">
        <f>IF(Skills!C16=1,60+Inputs!$B$25+Inputs!$B$29,IF(Skills!C16=2,90+Inputs!$B$26+Inputs!$B$29,IF(Skills!C16=3,120+Inputs!$B$27+Inputs!$B$29,MAX(0,(Inputs!$B$3-100)*3)+Inputs!$B$28+Inputs!$B$29)))</f>
        <v/>
      </c>
      <c r="E267">
        <f>INDEX(FactorTable!$B$2:$Y$301, MATCH(ROUND(MIN(300,MAX(1,D267)),0), FactorTable!$A$2:$A$301,0), Skills!M16+1)</f>
        <v/>
      </c>
      <c r="F267">
        <f>IF(Skills!N16=TRUE,(Skills!L16/10)*(E267/1000),Skills!L16/10)+Skills!O16</f>
        <v/>
      </c>
      <c r="G267">
        <f>Skills!G16*IF(Skills!H16&gt;0,Skills!I16/Skills!H16,1)</f>
        <v/>
      </c>
      <c r="H267">
        <f>1-(1-Skills!J16/100)^Skills!K16</f>
        <v/>
      </c>
      <c r="I267" t="inlineStr">
        <is>
          <t>1</t>
        </is>
      </c>
      <c r="J267" t="inlineStr"/>
      <c r="K267" t="inlineStr"/>
      <c r="L267" t="inlineStr"/>
      <c r="M267" t="inlineStr"/>
      <c r="N267" t="inlineStr"/>
      <c r="O267">
        <f>(1-Summary!$B$11)*T267+Summary!$B$11*V267</f>
        <v/>
      </c>
      <c r="P267">
        <f>IF(B293=0,0,O267/B293)</f>
        <v/>
      </c>
      <c r="Q267">
        <f>IFERROR(1/IF(Inputs!$B$38="pvp",15,MAX(0.1,Skills!D16-IF(Skills!E16=TRUE,Inputs!$B$32,0))),0)</f>
        <v/>
      </c>
      <c r="R267">
        <f>IF(AND(Inputs!$B$38&lt;&gt;"pvp",Inputs!$B$43&gt;0),IF(Inputs!$B$43&lt;=0,0,(INT(Inputs!$B$43/IF(Inputs!$B$38="pvp",15,MAX(0.1,Skills!D16-IF(Skills!E16=TRUE,Inputs!$B$32,0))))+1)),0)</f>
        <v/>
      </c>
      <c r="S267" t="n">
        <v>0</v>
      </c>
      <c r="T267" t="n">
        <v>0</v>
      </c>
      <c r="V267" t="n">
        <v>0</v>
      </c>
    </row>
    <row r="268">
      <c r="A268">
        <f>Skills!A17</f>
        <v/>
      </c>
      <c r="B268">
        <f>Skills!B17</f>
        <v/>
      </c>
      <c r="C268">
        <f>Inputs!$B$3&gt;=72</f>
        <v/>
      </c>
      <c r="D268">
        <f>IF(Skills!C17=1,60+Inputs!$B$25+Inputs!$B$29,IF(Skills!C17=2,90+Inputs!$B$26+Inputs!$B$29,IF(Skills!C17=3,120+Inputs!$B$27+Inputs!$B$29,MAX(0,(Inputs!$B$3-100)*3)+Inputs!$B$28+Inputs!$B$29)))</f>
        <v/>
      </c>
      <c r="E268">
        <f>INDEX(FactorTable!$B$2:$Y$301, MATCH(ROUND(MIN(300,MAX(1,D268)),0), FactorTable!$A$2:$A$301,0), Skills!M17+1)</f>
        <v/>
      </c>
      <c r="F268">
        <f>IF(Skills!N17=TRUE,(Skills!L17/10)*(E268/1000),Skills!L17/10)+Skills!O17</f>
        <v/>
      </c>
      <c r="G268">
        <f>Skills!G17*IF(Skills!H17&gt;0,Skills!I17/Skills!H17,1)</f>
        <v/>
      </c>
      <c r="H268">
        <f>1-(1-Skills!J17/100)^Skills!K17</f>
        <v/>
      </c>
      <c r="I268" t="inlineStr">
        <is>
          <t>1</t>
        </is>
      </c>
      <c r="J268" t="inlineStr"/>
      <c r="K268" t="inlineStr"/>
      <c r="L268" t="inlineStr"/>
      <c r="M268" t="inlineStr"/>
      <c r="N268" t="inlineStr"/>
      <c r="O268">
        <f>(1-Summary!$B$11)*T268+Summary!$B$11*V268</f>
        <v/>
      </c>
      <c r="P268">
        <f>IF(B293=0,0,O268/B293)</f>
        <v/>
      </c>
      <c r="Q268" t="n">
        <v>0</v>
      </c>
      <c r="R268" t="n">
        <v>0</v>
      </c>
      <c r="S268" t="n">
        <v>0</v>
      </c>
      <c r="T268" t="n">
        <v>0</v>
      </c>
      <c r="V268" t="n">
        <v>0</v>
      </c>
    </row>
    <row r="269">
      <c r="A269">
        <f>Skills!A18</f>
        <v/>
      </c>
      <c r="B269">
        <f>Skills!B18</f>
        <v/>
      </c>
      <c r="C269">
        <f>TRUE</f>
        <v/>
      </c>
      <c r="D269">
        <f>IF(Skills!C18=1,60+Inputs!$B$25+Inputs!$B$29,IF(Skills!C18=2,90+Inputs!$B$26+Inputs!$B$29,IF(Skills!C18=3,120+Inputs!$B$27+Inputs!$B$29,MAX(0,(Inputs!$B$3-100)*3)+Inputs!$B$28+Inputs!$B$29)))</f>
        <v/>
      </c>
      <c r="E269">
        <f>INDEX(FactorTable!$B$2:$Y$301, MATCH(ROUND(MIN(300,MAX(1,D269)),0), FactorTable!$A$2:$A$301,0), Skills!M18+1)</f>
        <v/>
      </c>
      <c r="F269">
        <f>IF(Skills!N18=TRUE,(Skills!L18/10)*(E269/1000),Skills!L18/10)+Skills!O18</f>
        <v/>
      </c>
      <c r="G269">
        <f>Skills!G18*IF(Skills!H18&gt;0,Skills!I18/Skills!H18,1)</f>
        <v/>
      </c>
      <c r="H269">
        <f>1-(1-Skills!J18/100)^Skills!K18</f>
        <v/>
      </c>
      <c r="I269" t="inlineStr">
        <is>
          <t>1</t>
        </is>
      </c>
      <c r="J269" t="inlineStr"/>
      <c r="K269" t="inlineStr"/>
      <c r="L269" t="inlineStr"/>
      <c r="M269" t="inlineStr"/>
      <c r="N269" t="inlineStr"/>
      <c r="O269">
        <f>(1-Summary!$B$11)*T269+Summary!$B$11*V269</f>
        <v/>
      </c>
      <c r="P269">
        <f>IF(B293=0,0,O269/B293)</f>
        <v/>
      </c>
      <c r="Q269">
        <f>IFERROR(1/IF(Inputs!$B$38="pvp",15,MAX(0.1,Skills!D18-IF(Skills!E18=TRUE,Inputs!$B$32,0))),0)</f>
        <v/>
      </c>
      <c r="R269">
        <f>IF(AND(Inputs!$B$38&lt;&gt;"pvp",Inputs!$B$43&gt;0),IF(Inputs!$B$43&lt;=0,0,(INT(Inputs!$B$43/IF(Inputs!$B$38="pvp",15,MAX(0.1,Skills!D18-IF(Skills!E18=TRUE,Inputs!$B$32,0))))+1)),0)</f>
        <v/>
      </c>
      <c r="S269" t="n">
        <v>0</v>
      </c>
      <c r="T269" t="n">
        <v>0</v>
      </c>
      <c r="V269" t="n">
        <v>0</v>
      </c>
    </row>
    <row r="270">
      <c r="A270">
        <f>Skills!A19</f>
        <v/>
      </c>
      <c r="B270">
        <f>Skills!B19</f>
        <v/>
      </c>
      <c r="C270">
        <f>Inputs!$B$3&gt;=15</f>
        <v/>
      </c>
      <c r="D270">
        <f>IF(Skills!C19=1,60+Inputs!$B$25+Inputs!$B$29,IF(Skills!C19=2,90+Inputs!$B$26+Inputs!$B$29,IF(Skills!C19=3,120+Inputs!$B$27+Inputs!$B$29,MAX(0,(Inputs!$B$3-100)*3)+Inputs!$B$28+Inputs!$B$29)))</f>
        <v/>
      </c>
      <c r="E270">
        <f>INDEX(FactorTable!$B$2:$Y$301, MATCH(ROUND(MIN(300,MAX(1,D270)),0), FactorTable!$A$2:$A$301,0), Skills!M19+1)</f>
        <v/>
      </c>
      <c r="F270">
        <f>IF(Skills!N19=TRUE,(Skills!L19/10)*(E270/1000),Skills!L19/10)+Skills!O19</f>
        <v/>
      </c>
      <c r="G270">
        <f>Skills!G19*IF(Skills!H19&gt;0,Skills!I19/Skills!H19,1)</f>
        <v/>
      </c>
      <c r="H270">
        <f>1-(1-Skills!J19/100)^Skills!K19</f>
        <v/>
      </c>
      <c r="I270" t="inlineStr">
        <is>
          <t>1</t>
        </is>
      </c>
      <c r="J270" t="inlineStr"/>
      <c r="K270" t="inlineStr"/>
      <c r="L270" t="inlineStr"/>
      <c r="M270" t="inlineStr"/>
      <c r="N270" t="inlineStr"/>
      <c r="O270">
        <f>(1-Summary!$B$11)*T270+Summary!$B$11*V270</f>
        <v/>
      </c>
      <c r="P270">
        <f>IF(B293=0,0,O270/B293)</f>
        <v/>
      </c>
      <c r="Q270" t="n">
        <v>0</v>
      </c>
      <c r="R270" t="n">
        <v>0</v>
      </c>
      <c r="S270" t="n">
        <v>0</v>
      </c>
      <c r="T270" t="n">
        <v>0</v>
      </c>
      <c r="V270" t="n">
        <v>0</v>
      </c>
    </row>
    <row r="271">
      <c r="A271">
        <f>Skills!A20</f>
        <v/>
      </c>
      <c r="B271">
        <f>Skills!B20</f>
        <v/>
      </c>
      <c r="C271">
        <f>Inputs!$B$3&gt;=10</f>
        <v/>
      </c>
      <c r="D271">
        <f>IF(Skills!C20=1,60+Inputs!$B$25+Inputs!$B$29,IF(Skills!C20=2,90+Inputs!$B$26+Inputs!$B$29,IF(Skills!C20=3,120+Inputs!$B$27+Inputs!$B$29,MAX(0,(Inputs!$B$3-100)*3)+Inputs!$B$28+Inputs!$B$29)))</f>
        <v/>
      </c>
      <c r="E271">
        <f>INDEX(FactorTable!$B$2:$Y$301, MATCH(ROUND(MIN(300,MAX(1,D271)),0), FactorTable!$A$2:$A$301,0), Skills!M20+1)</f>
        <v/>
      </c>
      <c r="F271">
        <f>IF(Skills!N20=TRUE,(Skills!L20/10)*(E271/1000),Skills!L20/10)+Skills!O20</f>
        <v/>
      </c>
      <c r="G271">
        <f>Skills!G20*IF(Skills!H20&gt;0,Skills!I20/Skills!H20,1)</f>
        <v/>
      </c>
      <c r="H271">
        <f>1-(1-Skills!J20/100)^Skills!K20</f>
        <v/>
      </c>
      <c r="I271" t="inlineStr">
        <is>
          <t>1</t>
        </is>
      </c>
      <c r="J271" t="inlineStr"/>
      <c r="K271" t="inlineStr"/>
      <c r="L271" t="inlineStr"/>
      <c r="M271" t="inlineStr"/>
      <c r="N271" t="inlineStr"/>
      <c r="O271">
        <f>(1-Summary!$B$11)*T271+Summary!$B$11*V271</f>
        <v/>
      </c>
      <c r="P271">
        <f>IF(B293=0,0,O271/B293)</f>
        <v/>
      </c>
      <c r="Q271" t="n">
        <v>0</v>
      </c>
      <c r="R271" t="n">
        <v>0</v>
      </c>
      <c r="S271" t="n">
        <v>0</v>
      </c>
      <c r="T271" t="n">
        <v>0</v>
      </c>
      <c r="V271" t="n">
        <v>0</v>
      </c>
    </row>
    <row r="272">
      <c r="A272">
        <f>Skills!A21</f>
        <v/>
      </c>
      <c r="B272">
        <f>Skills!B21</f>
        <v/>
      </c>
      <c r="C272">
        <f>Inputs!$B$3&gt;=33</f>
        <v/>
      </c>
      <c r="D272">
        <f>IF(Skills!C21=1,60+Inputs!$B$25+Inputs!$B$29,IF(Skills!C21=2,90+Inputs!$B$26+Inputs!$B$29,IF(Skills!C21=3,120+Inputs!$B$27+Inputs!$B$29,MAX(0,(Inputs!$B$3-100)*3)+Inputs!$B$28+Inputs!$B$29)))</f>
        <v/>
      </c>
      <c r="E272">
        <f>INDEX(FactorTable!$B$2:$Y$301, MATCH(ROUND(MIN(300,MAX(1,D272)),0), FactorTable!$A$2:$A$301,0), Skills!M21+1)</f>
        <v/>
      </c>
      <c r="F272">
        <f>IF(Skills!N21=TRUE,(Skills!L21/10)*(E272/1000),Skills!L21/10)+Skills!O21</f>
        <v/>
      </c>
      <c r="G272">
        <f>Skills!G21*IF(Skills!H21&gt;0,Skills!I21/Skills!H21,1)</f>
        <v/>
      </c>
      <c r="H272">
        <f>1-(1-Skills!J21/100)^Skills!K21</f>
        <v/>
      </c>
      <c r="I272" t="inlineStr">
        <is>
          <t>1</t>
        </is>
      </c>
      <c r="J272" t="inlineStr"/>
      <c r="K272" t="inlineStr"/>
      <c r="L272" t="inlineStr"/>
      <c r="M272" t="inlineStr"/>
      <c r="N272" t="inlineStr"/>
      <c r="O272">
        <f>(1-Summary!$B$11)*T272+Summary!$B$11*V272</f>
        <v/>
      </c>
      <c r="P272">
        <f>IF(B293=0,0,O272/B293)</f>
        <v/>
      </c>
      <c r="Q272" t="n">
        <v>0</v>
      </c>
      <c r="R272" t="n">
        <v>0</v>
      </c>
      <c r="S272" t="n">
        <v>0</v>
      </c>
      <c r="T272" t="n">
        <v>0</v>
      </c>
      <c r="V272" t="n">
        <v>0</v>
      </c>
    </row>
    <row r="273">
      <c r="A273">
        <f>Skills!A22</f>
        <v/>
      </c>
      <c r="B273">
        <f>Skills!B22</f>
        <v/>
      </c>
      <c r="C273">
        <f>Inputs!$B$3&gt;=38</f>
        <v/>
      </c>
      <c r="D273">
        <f>IF(Skills!C22=1,60+Inputs!$B$25+Inputs!$B$29,IF(Skills!C22=2,90+Inputs!$B$26+Inputs!$B$29,IF(Skills!C22=3,120+Inputs!$B$27+Inputs!$B$29,MAX(0,(Inputs!$B$3-100)*3)+Inputs!$B$28+Inputs!$B$29)))</f>
        <v/>
      </c>
      <c r="E273">
        <f>INDEX(FactorTable!$B$2:$Y$301, MATCH(ROUND(MIN(300,MAX(1,D273)),0), FactorTable!$A$2:$A$301,0), Skills!M22+1)</f>
        <v/>
      </c>
      <c r="F273">
        <f>IF(Skills!N22=TRUE,(Skills!L22/10)*(E273/1000),Skills!L22/10)+Skills!O22</f>
        <v/>
      </c>
      <c r="G273">
        <f>Skills!G22*IF(Skills!H22&gt;0,Skills!I22/Skills!H22,1)</f>
        <v/>
      </c>
      <c r="H273">
        <f>1-(1-Skills!J22/100)^Skills!K22</f>
        <v/>
      </c>
      <c r="I273" t="inlineStr">
        <is>
          <t>1</t>
        </is>
      </c>
      <c r="J273" t="inlineStr"/>
      <c r="K273" t="inlineStr"/>
      <c r="L273" t="inlineStr"/>
      <c r="M273" t="inlineStr"/>
      <c r="N273" t="inlineStr"/>
      <c r="O273">
        <f>(1-Summary!$B$11)*T273+Summary!$B$11*V273</f>
        <v/>
      </c>
      <c r="P273">
        <f>IF(B293=0,0,O273/B293)</f>
        <v/>
      </c>
      <c r="Q273" t="n">
        <v>0</v>
      </c>
      <c r="R273" t="n">
        <v>0</v>
      </c>
      <c r="S273" t="n">
        <v>0</v>
      </c>
      <c r="T273" t="n">
        <v>0</v>
      </c>
      <c r="V273" t="n">
        <v>0</v>
      </c>
    </row>
    <row r="274">
      <c r="A274">
        <f>Skills!A23</f>
        <v/>
      </c>
      <c r="B274">
        <f>Skills!B23</f>
        <v/>
      </c>
      <c r="C274">
        <f>Inputs!$B$3&gt;=43</f>
        <v/>
      </c>
      <c r="D274">
        <f>IF(Skills!C23=1,60+Inputs!$B$25+Inputs!$B$29,IF(Skills!C23=2,90+Inputs!$B$26+Inputs!$B$29,IF(Skills!C23=3,120+Inputs!$B$27+Inputs!$B$29,MAX(0,(Inputs!$B$3-100)*3)+Inputs!$B$28+Inputs!$B$29)))</f>
        <v/>
      </c>
      <c r="E274">
        <f>INDEX(FactorTable!$B$2:$Y$301, MATCH(ROUND(MIN(300,MAX(1,D274)),0), FactorTable!$A$2:$A$301,0), Skills!M23+1)</f>
        <v/>
      </c>
      <c r="F274">
        <f>IF(Skills!N23=TRUE,(Skills!L23/10)*(E274/1000),Skills!L23/10)+Skills!O23</f>
        <v/>
      </c>
      <c r="G274">
        <f>Skills!G23*IF(Skills!H23&gt;0,Skills!I23/Skills!H23,1)</f>
        <v/>
      </c>
      <c r="H274">
        <f>1-(1-Skills!J23/100)^Skills!K23</f>
        <v/>
      </c>
      <c r="I274" t="inlineStr">
        <is>
          <t>1</t>
        </is>
      </c>
      <c r="J274" t="inlineStr"/>
      <c r="K274" t="inlineStr"/>
      <c r="L274" t="inlineStr"/>
      <c r="M274" t="inlineStr"/>
      <c r="N274" t="inlineStr"/>
      <c r="O274">
        <f>(1-Summary!$B$11)*T274+Summary!$B$11*V274</f>
        <v/>
      </c>
      <c r="P274">
        <f>IF(B293=0,0,O274/B293)</f>
        <v/>
      </c>
      <c r="Q274" t="n">
        <v>0</v>
      </c>
      <c r="R274" t="n">
        <v>0</v>
      </c>
      <c r="S274" t="n">
        <v>0</v>
      </c>
      <c r="T274" t="n">
        <v>0</v>
      </c>
      <c r="V274" t="n">
        <v>0</v>
      </c>
    </row>
    <row r="275">
      <c r="A275">
        <f>Skills!A24</f>
        <v/>
      </c>
      <c r="B275">
        <f>Skills!B24</f>
        <v/>
      </c>
      <c r="C275">
        <f>Inputs!$B$3&gt;=75</f>
        <v/>
      </c>
      <c r="D275">
        <f>IF(Skills!C24=1,60+Inputs!$B$25+Inputs!$B$29,IF(Skills!C24=2,90+Inputs!$B$26+Inputs!$B$29,IF(Skills!C24=3,120+Inputs!$B$27+Inputs!$B$29,MAX(0,(Inputs!$B$3-100)*3)+Inputs!$B$28+Inputs!$B$29)))</f>
        <v/>
      </c>
      <c r="E275">
        <f>INDEX(FactorTable!$B$2:$Y$301, MATCH(ROUND(MIN(300,MAX(1,D275)),0), FactorTable!$A$2:$A$301,0), Skills!M24+1)</f>
        <v/>
      </c>
      <c r="F275">
        <f>IF(Skills!N24=TRUE,(Skills!L24/10)*(E275/1000),Skills!L24/10)+Skills!O24</f>
        <v/>
      </c>
      <c r="G275">
        <f>Skills!G24*IF(Skills!H24&gt;0,Skills!I24/Skills!H24,1)</f>
        <v/>
      </c>
      <c r="H275">
        <f>1-(1-Skills!J24/100)^Skills!K24</f>
        <v/>
      </c>
      <c r="I275" t="inlineStr">
        <is>
          <t>1</t>
        </is>
      </c>
      <c r="J275" t="inlineStr"/>
      <c r="K275" t="inlineStr"/>
      <c r="L275" t="inlineStr"/>
      <c r="M275" t="inlineStr"/>
      <c r="N275" t="inlineStr"/>
      <c r="O275">
        <f>(1-Summary!$B$11)*T275+Summary!$B$11*V275</f>
        <v/>
      </c>
      <c r="P275">
        <f>IF(B293=0,0,O275/B293)</f>
        <v/>
      </c>
      <c r="Q275" t="n">
        <v>0</v>
      </c>
      <c r="R275" t="n">
        <v>0</v>
      </c>
      <c r="S275" t="n">
        <v>0</v>
      </c>
      <c r="T275" t="n">
        <v>0</v>
      </c>
      <c r="V275" t="n">
        <v>0</v>
      </c>
    </row>
    <row r="276">
      <c r="A276">
        <f>Skills!A25</f>
        <v/>
      </c>
      <c r="B276">
        <f>Skills!B25</f>
        <v/>
      </c>
      <c r="C276">
        <f>Inputs!$B$3&gt;=125</f>
        <v/>
      </c>
      <c r="D276">
        <f>IF(Skills!C25=1,60+Inputs!$B$25+Inputs!$B$29,IF(Skills!C25=2,90+Inputs!$B$26+Inputs!$B$29,IF(Skills!C25=3,120+Inputs!$B$27+Inputs!$B$29,MAX(0,(Inputs!$B$3-100)*3)+Inputs!$B$28+Inputs!$B$29)))</f>
        <v/>
      </c>
      <c r="E276">
        <f>INDEX(FactorTable!$B$2:$Y$301, MATCH(ROUND(MIN(300,MAX(1,D276)),0), FactorTable!$A$2:$A$301,0), Skills!M25+1)</f>
        <v/>
      </c>
      <c r="F276">
        <f>IF(Skills!N25=TRUE,(Skills!L25/10)*(E276/1000),Skills!L25/10)+Skills!O25</f>
        <v/>
      </c>
      <c r="G276">
        <f>Skills!G25*IF(Skills!H25&gt;0,Skills!I25/Skills!H25,1)</f>
        <v/>
      </c>
      <c r="H276">
        <f>1-(1-Skills!J25/100)^Skills!K25</f>
        <v/>
      </c>
      <c r="I276" t="inlineStr">
        <is>
          <t>1</t>
        </is>
      </c>
      <c r="J276" t="inlineStr"/>
      <c r="K276" t="inlineStr"/>
      <c r="L276" t="inlineStr"/>
      <c r="M276" t="inlineStr"/>
      <c r="N276" t="inlineStr"/>
      <c r="O276">
        <f>(1-Summary!$B$11)*T276+Summary!$B$11*V276</f>
        <v/>
      </c>
      <c r="P276">
        <f>IF(B293=0,0,O276/B293)</f>
        <v/>
      </c>
      <c r="Q276" t="n">
        <v>0</v>
      </c>
      <c r="R276" t="n">
        <v>0</v>
      </c>
      <c r="S276" t="n">
        <v>0</v>
      </c>
      <c r="T276" t="n">
        <v>0</v>
      </c>
      <c r="V276" t="n">
        <v>0</v>
      </c>
    </row>
    <row r="277">
      <c r="A277">
        <f>Skills!A26</f>
        <v/>
      </c>
      <c r="B277">
        <f>Skills!B26</f>
        <v/>
      </c>
      <c r="C277">
        <f>Inputs!$B$3&gt;=125</f>
        <v/>
      </c>
      <c r="D277">
        <f>IF(Skills!C26=1,60+Inputs!$B$25+Inputs!$B$29,IF(Skills!C26=2,90+Inputs!$B$26+Inputs!$B$29,IF(Skills!C26=3,120+Inputs!$B$27+Inputs!$B$29,MAX(0,(Inputs!$B$3-100)*3)+Inputs!$B$28+Inputs!$B$29)))</f>
        <v/>
      </c>
      <c r="E277">
        <f>INDEX(FactorTable!$B$2:$Y$301, MATCH(ROUND(MIN(300,MAX(1,D277)),0), FactorTable!$A$2:$A$301,0), Skills!M26+1)</f>
        <v/>
      </c>
      <c r="F277">
        <f>IF(Skills!N26=TRUE,(Skills!L26/10)*(E277/1000),Skills!L26/10)+Skills!O26</f>
        <v/>
      </c>
      <c r="G277">
        <f>Skills!G26*IF(Skills!H26&gt;0,Skills!I26/Skills!H26,1)</f>
        <v/>
      </c>
      <c r="H277">
        <f>1-(1-Skills!J26/100)^Skills!K26</f>
        <v/>
      </c>
      <c r="I277" t="inlineStr">
        <is>
          <t>1</t>
        </is>
      </c>
      <c r="J277" t="inlineStr"/>
      <c r="K277" t="inlineStr"/>
      <c r="L277" t="inlineStr"/>
      <c r="M277" t="inlineStr"/>
      <c r="N277" t="inlineStr"/>
      <c r="O277">
        <f>(1-Summary!$B$11)*T277+Summary!$B$11*V277</f>
        <v/>
      </c>
      <c r="P277">
        <f>IF(B293=0,0,O277/B293)</f>
        <v/>
      </c>
      <c r="Q277" t="n">
        <v>0</v>
      </c>
      <c r="R277" t="n">
        <v>0</v>
      </c>
      <c r="S277" t="n">
        <v>0</v>
      </c>
      <c r="T277" t="n">
        <v>0</v>
      </c>
      <c r="V277" t="n">
        <v>0</v>
      </c>
    </row>
    <row r="278">
      <c r="A278">
        <f>Skills!A27</f>
        <v/>
      </c>
      <c r="B278">
        <f>Skills!B27</f>
        <v/>
      </c>
      <c r="C278">
        <f>Inputs!$B$3&gt;=120</f>
        <v/>
      </c>
      <c r="D278">
        <f>IF(Skills!C27=1,60+Inputs!$B$25+Inputs!$B$29,IF(Skills!C27=2,90+Inputs!$B$26+Inputs!$B$29,IF(Skills!C27=3,120+Inputs!$B$27+Inputs!$B$29,MAX(0,(Inputs!$B$3-100)*3)+Inputs!$B$28+Inputs!$B$29)))</f>
        <v/>
      </c>
      <c r="E278">
        <f>INDEX(FactorTable!$B$2:$Y$301, MATCH(ROUND(MIN(300,MAX(1,D278)),0), FactorTable!$A$2:$A$301,0), Skills!M27+1)</f>
        <v/>
      </c>
      <c r="F278">
        <f>IF(Skills!N27=TRUE,(Skills!L27/10)*(E278/1000),Skills!L27/10)+Skills!O27</f>
        <v/>
      </c>
      <c r="G278">
        <f>Skills!G27*IF(Skills!H27&gt;0,Skills!I27/Skills!H27,1)</f>
        <v/>
      </c>
      <c r="H278">
        <f>1-(1-Skills!J27/100)^Skills!K27</f>
        <v/>
      </c>
      <c r="I278" t="inlineStr">
        <is>
          <t>1</t>
        </is>
      </c>
      <c r="J278" t="inlineStr"/>
      <c r="K278" t="inlineStr"/>
      <c r="L278" t="inlineStr"/>
      <c r="M278" t="inlineStr"/>
      <c r="N278" t="inlineStr"/>
      <c r="O278">
        <f>(1-Summary!$B$11)*T278+Summary!$B$11*V278</f>
        <v/>
      </c>
      <c r="P278">
        <f>IF(B293=0,0,O278/B293)</f>
        <v/>
      </c>
      <c r="Q278" t="n">
        <v>0</v>
      </c>
      <c r="R278" t="n">
        <v>0</v>
      </c>
      <c r="S278" t="n">
        <v>0</v>
      </c>
      <c r="T278" t="n">
        <v>0</v>
      </c>
      <c r="V278" t="n">
        <v>0</v>
      </c>
    </row>
    <row r="279">
      <c r="A279">
        <f>Skills!A28</f>
        <v/>
      </c>
      <c r="B279">
        <f>Skills!B28</f>
        <v/>
      </c>
      <c r="C279">
        <f>Inputs!$B$3&gt;=120</f>
        <v/>
      </c>
      <c r="D279">
        <f>IF(Skills!C28=1,60+Inputs!$B$25+Inputs!$B$29,IF(Skills!C28=2,90+Inputs!$B$26+Inputs!$B$29,IF(Skills!C28=3,120+Inputs!$B$27+Inputs!$B$29,MAX(0,(Inputs!$B$3-100)*3)+Inputs!$B$28+Inputs!$B$29)))</f>
        <v/>
      </c>
      <c r="E279">
        <f>INDEX(FactorTable!$B$2:$Y$301, MATCH(ROUND(MIN(300,MAX(1,D279)),0), FactorTable!$A$2:$A$301,0), Skills!M28+1)</f>
        <v/>
      </c>
      <c r="F279">
        <f>IF(Skills!N28=TRUE,(Skills!L28/10)*(E279/1000),Skills!L28/10)+Skills!O28</f>
        <v/>
      </c>
      <c r="G279">
        <f>Skills!G28*IF(Skills!H28&gt;0,Skills!I28/Skills!H28,1)</f>
        <v/>
      </c>
      <c r="H279">
        <f>1-(1-Skills!J28/100)^Skills!K28</f>
        <v/>
      </c>
      <c r="I279" t="inlineStr">
        <is>
          <t>1</t>
        </is>
      </c>
      <c r="J279" t="inlineStr"/>
      <c r="K279" t="inlineStr"/>
      <c r="L279" t="inlineStr"/>
      <c r="M279" t="inlineStr"/>
      <c r="N279" t="inlineStr"/>
      <c r="O279">
        <f>(1-Summary!$B$11)*T279+Summary!$B$11*V279</f>
        <v/>
      </c>
      <c r="P279">
        <f>IF(B293=0,0,O279/B293)</f>
        <v/>
      </c>
      <c r="Q279" t="n">
        <v>0</v>
      </c>
      <c r="R279" t="n">
        <v>0</v>
      </c>
      <c r="S279" t="n">
        <v>0</v>
      </c>
      <c r="T279" t="n">
        <v>0</v>
      </c>
      <c r="V279" t="n">
        <v>0</v>
      </c>
    </row>
    <row r="280">
      <c r="A280">
        <f>Skills!A29</f>
        <v/>
      </c>
      <c r="B280">
        <f>Skills!B29</f>
        <v/>
      </c>
      <c r="C280">
        <f>Inputs!$B$3&gt;=45</f>
        <v/>
      </c>
      <c r="D280">
        <f>IF(Skills!C29=1,60+Inputs!$B$25+Inputs!$B$29,IF(Skills!C29=2,90+Inputs!$B$26+Inputs!$B$29,IF(Skills!C29=3,120+Inputs!$B$27+Inputs!$B$29,MAX(0,(Inputs!$B$3-100)*3)+Inputs!$B$28+Inputs!$B$29)))</f>
        <v/>
      </c>
      <c r="E280">
        <f>INDEX(FactorTable!$B$2:$Y$301, MATCH(ROUND(MIN(300,MAX(1,D280)),0), FactorTable!$A$2:$A$301,0), Skills!M29+1)</f>
        <v/>
      </c>
      <c r="F280">
        <f>IF(Skills!N29=TRUE,(Skills!L29/10)*(E280/1000),Skills!L29/10)+Skills!O29</f>
        <v/>
      </c>
      <c r="G280">
        <f>Skills!G29*IF(Skills!H29&gt;0,Skills!I29/Skills!H29,1)</f>
        <v/>
      </c>
      <c r="H280">
        <f>1-(1-Skills!J29/100)^Skills!K29</f>
        <v/>
      </c>
      <c r="I280" t="inlineStr">
        <is>
          <t>1</t>
        </is>
      </c>
      <c r="J280" t="inlineStr"/>
      <c r="K280" t="inlineStr"/>
      <c r="L280" t="inlineStr"/>
      <c r="M280" t="inlineStr"/>
      <c r="N280" t="inlineStr"/>
      <c r="O280">
        <f>(1-Summary!$B$11)*T280+Summary!$B$11*V280</f>
        <v/>
      </c>
      <c r="P280">
        <f>IF(B293=0,0,O280/B293)</f>
        <v/>
      </c>
      <c r="Q280" t="n">
        <v>0</v>
      </c>
      <c r="R280" t="n">
        <v>0</v>
      </c>
      <c r="S280" t="n">
        <v>0</v>
      </c>
      <c r="T280" t="n">
        <v>0</v>
      </c>
      <c r="V280" t="n">
        <v>0</v>
      </c>
    </row>
    <row r="282">
      <c r="A282" t="inlineStr">
        <is>
          <t>Attack% Bucket Multiplier</t>
        </is>
      </c>
      <c r="B282">
        <f>(1+(((C264=TRUE)*F264)+((C265=TRUE)*IF(Inputs!$B$38="pvp",F265,(1-Summary!$B$11)*(F265)+Summary!$B$11*(0)))+((C266=TRUE)*F266*IF(AND(Inputs!$B$38&lt;&gt;"pvp",Inputs!$B$43&gt;0),(((R266-1)*(Skills!T15*(1+Inputs!$B$34/100))+MIN((Skills!T15*(1+Inputs!$B$34/100)),MAX(0,Inputs!$B$43-((R266-1)*Skills!D15))))/Inputs!$B$43),IF(Inputs!$B$38="pvp",MIN((Skills!T15*(1+Inputs!$B$34/100)),15)/15,(Skills!T15*(1+Inputs!$B$34/100))/Skills!D15)))+((C263=TRUE)*F263)+((C280=TRUE)*(F280-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283">
      <c r="A283" t="inlineStr">
        <is>
          <t>Global Crit Rate Bonus %</t>
        </is>
      </c>
      <c r="B283">
        <f>(C267=TRUE)*20*IF(AND(Inputs!$B$38&lt;&gt;"pvp",Inputs!$B$43&gt;0),(((R267-1)*(Skills!T16*(1+Inputs!$B$34/100))+MIN((Skills!T16*(1+Inputs!$B$34/100)),MAX(0,Inputs!$B$43-((R267-1)*Skills!D16))))/Inputs!$B$43),IF(Inputs!$B$38="pvp",MIN((Skills!T16*(1+Inputs!$B$34/100)),15)/15,(Skills!T16*(1+Inputs!$B$34/100))/Skills!D16))</f>
        <v/>
      </c>
    </row>
    <row r="284">
      <c r="A284" t="inlineStr">
        <is>
          <t>Attack Speed Buff Bonus %</t>
        </is>
      </c>
      <c r="B284">
        <f>((C269=TRUE)*F269*IF(AND(Inputs!$B$38&lt;&gt;"pvp",Inputs!$B$43&gt;0),(((R269-1)*(Skills!T18*(1+Inputs!$B$34/100))+MIN((Skills!T18*(1+Inputs!$B$34/100)),MAX(0,Inputs!$B$43-((R269-1)*Skills!D18))))/Inputs!$B$43),IF(Inputs!$B$38="pvp",MIN((Skills!T18*(1+Inputs!$B$34/100)),15)/15,(Skills!T18*(1+Inputs!$B$34/100))/Skills!D18)))</f>
        <v/>
      </c>
    </row>
    <row r="285">
      <c r="A285" t="inlineStr">
        <is>
          <t>Actions Per Second</t>
        </is>
      </c>
      <c r="B285">
        <f>1+MIN(150,150*(1-(1-(Inputs!$B$11+((C271=TRUE)*(F271-Calc!F20))+((C272=TRUE)*(F272-Calc!F21)))/150)*(1-B284/150)))/100</f>
        <v/>
      </c>
    </row>
    <row r="286">
      <c r="A286" t="inlineStr">
        <is>
          <t>Skill + Buff Cast Rate</t>
        </is>
      </c>
      <c r="B286">
        <f>IF(AND(Inputs!$B$38&lt;&gt;"pvp",Inputs!$B$43&gt;0),SUMPRODUCT((Skills!E2:E29=TRUE)*(C253:C280=TRUE)*R253:R280*Skills!F2:F29)/Inputs!$B$43,SUMPRODUCT((Skills!E2:E29=TRUE)*(C253:C280=TRUE)*Q253:Q280*Skills!F2:F29))</f>
        <v/>
      </c>
    </row>
    <row r="287">
      <c r="A287" t="inlineStr">
        <is>
          <t>Empowered Piercing Arrow Casts Per Second</t>
        </is>
      </c>
      <c r="B287">
        <f>MAX(0,B285-B286)</f>
        <v/>
      </c>
    </row>
    <row r="288">
      <c r="A288" t="inlineStr">
        <is>
          <t>Global Critical Damage Bonus % (Sharp Eyes)</t>
        </is>
      </c>
      <c r="B288">
        <f>(C267=TRUE)*F267*IF(AND(Inputs!$B$38&lt;&gt;"pvp",Inputs!$B$43&gt;0),(((R267-1)*(Skills!T16*(1+Inputs!$B$34/100))+MIN((Skills!T16*(1+Inputs!$B$34/100)),MAX(0,Inputs!$B$43-((R267-1)*Skills!D16))))/Inputs!$B$43),IF(Inputs!$B$38="pvp",MIN((Skills!T16*(1+Inputs!$B$34/100)),15)/15,(Skills!T16*(1+Inputs!$B$34/100))/Skills!D16))</f>
        <v/>
      </c>
    </row>
    <row r="289">
      <c r="A289" t="inlineStr">
        <is>
          <t>Global Final Damage Bonus % (Mortal Blow + Last Man Standing conditional half)</t>
        </is>
      </c>
      <c r="B289">
        <f>(C268=TRUE)*F268+((C277=TRUE)*IF(Inputs!$B$38="pvp",F277,(1-Summary!$B$11)*(F277)+Summary!$B$11*(0)))</f>
        <v/>
      </c>
    </row>
    <row r="290">
      <c r="A290" t="inlineStr">
        <is>
          <t>Buff-Casting Startup Delay (s, fixed-duration only)</t>
        </is>
      </c>
      <c r="B290">
        <f>IF(AND(Inputs!$B$38&lt;&gt;"pvp",Inputs!$B$43&gt;0),SUMPRODUCT((Skills!T2:T29&gt;0)*(Skills!E2:E29=TRUE)*(C253:C280=TRUE))/B285,0)</f>
        <v/>
      </c>
    </row>
    <row r="291">
      <c r="A291" t="inlineStr">
        <is>
          <t>Boss-Only Total DPS (this block's swept value)</t>
        </is>
      </c>
      <c r="B291">
        <f>SUM(T253:T280)</f>
        <v/>
      </c>
    </row>
    <row r="292">
      <c r="A292" t="inlineStr">
        <is>
          <t>Normal-Only Total DPS (this block's swept value)</t>
        </is>
      </c>
      <c r="B292">
        <f>SUM(V253:V280)</f>
        <v/>
      </c>
    </row>
    <row r="293">
      <c r="A293" s="6" t="inlineStr">
        <is>
          <t>TOTAL DPS</t>
        </is>
      </c>
      <c r="B293" s="6">
        <f>SUM(O253:O280)</f>
        <v/>
      </c>
    </row>
    <row r="296">
      <c r="A296" s="6" t="inlineStr">
        <is>
          <t>Stat: BOSS_DAMAGE %</t>
        </is>
      </c>
    </row>
    <row r="297">
      <c r="A297" s="5" t="inlineStr">
        <is>
          <t>Key</t>
        </is>
      </c>
      <c r="B297" s="5" t="inlineStr">
        <is>
          <t>Name</t>
        </is>
      </c>
      <c r="C297" s="5" t="inlineStr">
        <is>
          <t>Unlocked</t>
        </is>
      </c>
      <c r="D297" s="5" t="inlineStr">
        <is>
          <t>InputLevel</t>
        </is>
      </c>
      <c r="E297" s="5" t="inlineStr">
        <is>
          <t>Factor</t>
        </is>
      </c>
      <c r="F297" s="5" t="inlineStr">
        <is>
          <t>CoefficientPercent</t>
        </is>
      </c>
      <c r="G297" s="5" t="inlineStr">
        <is>
          <t>EffectiveHits</t>
        </is>
      </c>
      <c r="H297" s="5" t="inlineStr">
        <is>
          <t>ProcProbability</t>
        </is>
      </c>
      <c r="I297" s="5" t="inlineStr">
        <is>
          <t>MapleHeroMultiplier</t>
        </is>
      </c>
      <c r="J297" s="5" t="inlineStr">
        <is>
          <t>BaseDamage</t>
        </is>
      </c>
      <c r="K297" s="5" t="inlineStr">
        <is>
          <t>BaseHitDamage</t>
        </is>
      </c>
      <c r="L297" s="5" t="inlineStr">
        <is>
          <t>NonCritAvg</t>
        </is>
      </c>
      <c r="M297" s="5" t="inlineStr">
        <is>
          <t>CritAvg</t>
        </is>
      </c>
      <c r="N297" s="5" t="inlineStr">
        <is>
          <t>ExpectedDamage(perHit)</t>
        </is>
      </c>
      <c r="O297" s="5" t="inlineStr">
        <is>
          <t>DPS</t>
        </is>
      </c>
      <c r="P297" s="5" t="inlineStr">
        <is>
          <t>% of Total</t>
        </is>
      </c>
      <c r="Q297" s="5" t="inlineStr">
        <is>
          <t>InvCooldown</t>
        </is>
      </c>
      <c r="R297" s="5" t="inlineStr">
        <is>
          <t>CastsInFight</t>
        </is>
      </c>
      <c r="S297" s="5" t="inlineStr">
        <is>
          <t>HitRate(perSec)</t>
        </is>
      </c>
      <c r="U297" t="inlineStr">
        <is>
          <t>helpers</t>
        </is>
      </c>
    </row>
    <row r="298">
      <c r="A298">
        <f>Skills!A2</f>
        <v/>
      </c>
      <c r="B298">
        <f>Skills!B2</f>
        <v/>
      </c>
      <c r="C298">
        <f>Inputs!$B$3&gt;=100</f>
        <v/>
      </c>
      <c r="D298" t="inlineStr"/>
      <c r="E298" t="inlineStr"/>
      <c r="F298">
        <f>U300+Skills!O2</f>
        <v/>
      </c>
      <c r="G298">
        <f>Skills!G2*IF(Skills!H2&gt;0,Skills!I2/Skills!H2,1)</f>
        <v/>
      </c>
      <c r="H298">
        <f>1-(1-Skills!J2/100)^Skills!K2</f>
        <v/>
      </c>
      <c r="I298" t="inlineStr">
        <is>
          <t>1</t>
        </is>
      </c>
      <c r="J298">
        <f>((Inputs!$B$6*(1+Inputs!$B$7/100))+(((Inputs!$B$12*(1+Inputs!$B$13/100))-(Inputs!$B$12*(1+Inputs!$B$13/100)))+0.25*(Inputs!$B$14-Inputs!$B$14))*(1+Inputs!$B$7/100))*(F298/100)</f>
        <v/>
      </c>
      <c r="K298">
        <f>J298*(1+((Inputs!$B$12*(1+Inputs!$B$13/100))*0.01+Inputs!$B$14*0.0025)/100)*(1+Inputs!$B$15/100)*(1+Inputs!$B$16/100)*(5000/(6000+Inputs!$B$42*(1-(100*(1-(1-(Inputs!$B$19+0)/100)*(1-CHOOSE(ArtifactsInput!$N$40+1,5,6,7,8,9,10)/100)^(ArtifactsInput!$M$40-ArtifactsInput!$M$40)))/100)))*(1+(Inputs!$B$24+((C320=TRUE)*(F320-Calc!F24))+((C321=TRUE)*(F321-Calc!F25))+B334)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EMPOWERED_PIERCING_ARROW",Inputs!$B$17+((C318=TRUE)*(F318-Calc!F22))+(((IF(AND(ArtifactsInput!$M$42,((Inputs!$B$9+((C315=TRUE)*(F315-Calc!F19))+B328+(ArtifactsInput!$M$24-ArtifactsInput!$M$24)*CHOOSE(ArtifactsInput!$N$24+1,10,12,14,16,18,20)+IF(ArtifactsInput!$M$10,CHOOSE(ArtifactsInput!$N$10+1,15,18,21,24,27,30)*(IF(Inputs!$B$38="pvp",MIN(15,15)/15,IF(AND(Inputs!$B$38&lt;&gt;"pvp",Inputs!$B$43&gt;0),MIN(15,Inputs!$B$43)/(Inputs!$B$43),0))),0)))&gt;=100),MIN(100,((Inputs!$B$9+((C315=TRUE)*(F315-Calc!F19))+B328+(ArtifactsInput!$M$24-ArtifactsInput!$M$24)*CHOOSE(ArtifactsInput!$N$24+1,10,12,14,16,18,20)+IF(ArtifactsInput!$M$10,CHOOSE(ArtifactsInput!$N$10+1,15,18,21,24,27,30)*(IF(Inputs!$B$38="pvp",MIN(15,15)/15,IF(AND(Inputs!$B$38&lt;&gt;"pvp",Inputs!$B$43&gt;0),MIN(15,Inputs!$B$43)/(Inputs!$B$43),0))),0)))-100),0))*CHOOSE(ArtifactsInput!$N$42+1,0.6,0.72,0.84,0.96,1.08,1.2))),Inputs!$B$18+((C323=TRUE)*(F323-Calc!F27))+(IF(AND(ArtifactsInput!$M$42,((Inputs!$B$9+((C315=TRUE)*(F315-Calc!F19))+B328+(ArtifactsInput!$M$24-ArtifactsInput!$M$24)*CHOOSE(ArtifactsInput!$N$24+1,10,12,14,16,18,20)+IF(ArtifactsInput!$M$10,CHOOSE(ArtifactsInput!$N$10+1,15,18,21,24,27,30)*(IF(Inputs!$B$38="pvp",MIN(15,15)/15,IF(AND(Inputs!$B$38&lt;&gt;"pvp",Inputs!$B$43&gt;0),MIN(15,Inputs!$B$43)/(Inputs!$B$43),0))),0)))&gt;=100),CHOOSE(ArtifactsInput!$N$42+1,40,48,56,64,72,80),0))))/100)*((1+(((C309=TRUE)*F309)+((C310=TRUE)*IF(Inputs!$B$38="pvp",F310,(1-Summary!$B$11)*(F310)+Summary!$B$11*(0)))+((C311=TRUE)*F311*IF(AND(Inputs!$B$38&lt;&gt;"pvp",Inputs!$B$43&gt;0),(((R311-1)*(Skills!T15*(1+Inputs!$B$34/100))+MIN((Skills!T15*(1+Inputs!$B$34/100)),MAX(0,Inputs!$B$43-((R311-1)*Skills!D15))))/Inputs!$B$43),IF(Inputs!$B$38="pvp",MIN((Skills!T15*(1+Inputs!$B$34/100)),15)/15,(Skills!T15*(1+Inputs!$B$34/100))/Skills!D15)))+((C308=TRUE)*F308)+((C325=TRUE)*(F325-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298)</f>
        <v/>
      </c>
      <c r="L298">
        <f>K298*(MIN(Inputs!$B$22+((C319=TRUE)*(F319-Calc!F23)),(Inputs!$B$23+((C324=TRUE)*(F324-Calc!F28))+(IF(ArtifactsInput!$M$15,CHOOSE(ArtifactsInput!$N$15+1,25,30,35,40,45,50)/100*(Inputs!$B$11-Inputs!$B$11),0))))/100+(Inputs!$B$23+((C324=TRUE)*(F324-Calc!F28))+(IF(ArtifactsInput!$M$15,CHOOSE(ArtifactsInput!$N$15+1,25,30,35,40,45,50)/100*(Inputs!$B$11-Inputs!$B$11),0)))/100)/2</f>
        <v/>
      </c>
      <c r="M298">
        <f>L298*(1+(Inputs!$B$10+0+B333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98">
        <f>L298*(1-MIN((Inputs!$B$9+((C315=TRUE)*(F315-Calc!F19))+B328+(ArtifactsInput!$M$24-ArtifactsInput!$M$24)*CHOOSE(ArtifactsInput!$N$24+1,10,12,14,16,18,20)+(IF(AND(ArtifactsInput!$M$42,((Inputs!$B$9+((C315=TRUE)*(F315-Calc!F19))+B328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298*(MIN((Inputs!$B$9+((C315=TRUE)*(F315-Calc!F19))+B328+(ArtifactsInput!$M$24-ArtifactsInput!$M$24)*CHOOSE(ArtifactsInput!$N$24+1,10,12,14,16,18,20)+(IF(AND(ArtifactsInput!$M$42,((Inputs!$B$9+((C315=TRUE)*(F315-Calc!F19))+B328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98">
        <f>(1-Summary!$B$11)*T298+Summary!$B$11*V298</f>
        <v/>
      </c>
      <c r="P298">
        <f>IF(B338=0,0,O298/B338)</f>
        <v/>
      </c>
      <c r="Q298" t="n">
        <v>0</v>
      </c>
      <c r="R298" t="n">
        <v>0</v>
      </c>
      <c r="S298">
        <f>IFERROR((Skills!G2*N298*B332)/N298*IF(Inputs!$B$38="pvp",1,(1-Summary!$B$11)*1+Summary!$B$11*(MIN((6+Inputs!$B$33),Inputs!$B$37))),0)</f>
        <v/>
      </c>
      <c r="T298">
        <f>IF(C298,(Skills!G2*N298*B332)*IF(Inputs!$B$38="pvp",1,1+((Inputs!$B$20+1)+0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Hunt"),CHOOSE(ArtifactsInput!$N$35+1,15,18,21,24,27,30)*(1-EXP(-(0.2*B330)*5)),0)+IF(AND(ArtifactsInput!$M$22,Inputs!$B$4&lt;&gt;"Chapter Hunt"),CHOOSE(ArtifactsInput!$N$22+1,10,12,14,16,18,20)*((0*(((0.15*B330*5))^0/1)+1*(((0.15*B330*5))^1/1)+2*(((0.15*B330*5))^2/2)+3*(((0.15*B330*5))^3/6)+4*(((0.15*B330*5))^4/24)+5*(((0.15*B330*5))^5/120))/((((0.15*B330*5))^0/1)+(((0.15*B330*5))^1/1)+(((0.15*B330*5))^2/2)+(((0.15*B330*5))^3/6)+(((0.15*B330*5))^4/24)+(((0.15*B330*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298*(1-MIN(100,(Inputs!$B$9+((C315=TRUE)*(F315-Calc!F19))+B328+(ArtifactsInput!$M$24-ArtifactsInput!$M$24)*CHOOSE(ArtifactsInput!$N$24+1,10,12,14,16,18,20)+(IF(AND(ArtifactsInput!$M$42,((Inputs!$B$9+((C315=TRUE)*(F315-Calc!F19))+B328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298*(MIN(100,(Inputs!$B$9+((C315=TRUE)*(F315-Calc!F19))+B328+(ArtifactsInput!$M$24-ArtifactsInput!$M$24)*CHOOSE(ArtifactsInput!$N$24+1,10,12,14,16,18,20)+(IF(AND(ArtifactsInput!$M$42,((Inputs!$B$9+((C315=TRUE)*(F315-Calc!F19))+B328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298*(1-MIN(100,(Inputs!$B$9+((C315=TRUE)*(F315-Calc!F19))+B328+(ArtifactsInput!$M$24-ArtifactsInput!$M$24)*CHOOSE(ArtifactsInput!$N$24+1,10,12,14,16,18,20)+(IF(AND(ArtifactsInput!$M$42,((Inputs!$B$9+((C315=TRUE)*(F315-Calc!F19))+B328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298*(MIN(100,(Inputs!$B$9+((C315=TRUE)*(F315-Calc!F19))+B328+(ArtifactsInput!$M$24-ArtifactsInput!$M$24)*CHOOSE(ArtifactsInput!$N$24+1,10,12,14,16,18,20)+(IF(AND(ArtifactsInput!$M$42,((Inputs!$B$9+((C315=TRUE)*(F315-Calc!F19))+B328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98">
        <f>MAX(0,(Inputs!$B$3-100)*3)+Inputs!$B$28+Inputs!$B$29</f>
        <v/>
      </c>
      <c r="V298">
        <f>IF(C298,(Skills!G2*N298*B332)*IF(Inputs!$B$38="pvp",1,(1+(Inputs!$B$21+Skills!Q2+(IF(ArtifactsInput!$M$33,CHOOSE(ArtifactsInput!$N$33+1,30,36,42,48,54,60),0))+(IF(AND(ArtifactsInput!$M$35,Inputs!$B$4&lt;&gt;"Chapter Hunt"),CHOOSE(ArtifactsInput!$N$35+1,15,18,21,24,27,30)*(1-EXP(-(0.2*B330)*5)),0)+IF(AND(ArtifactsInput!$M$22,Inputs!$B$4&lt;&gt;"Chapter Hunt"),CHOOSE(ArtifactsInput!$N$22+1,10,12,14,16,18,20)*((0*(((0.15*B330*5))^0/1)+1*(((0.15*B330*5))^1/1)+2*(((0.15*B330*5))^2/2)+3*(((0.15*B330*5))^3/6)+4*(((0.15*B330*5))^4/24)+5*(((0.15*B330*5))^5/120))/((((0.15*B330*5))^0/1)+(((0.15*B330*5))^1/1)+(((0.15*B330*5))^2/2)+(((0.15*B330*5))^3/6)+(((0.15*B330*5))^4/24)+(((0.15*B330*5))^5/120)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99">
      <c r="A299">
        <f>Skills!A3</f>
        <v/>
      </c>
      <c r="B299">
        <f>Skills!B3</f>
        <v/>
      </c>
      <c r="C299">
        <f>Inputs!$B$3&gt;=50</f>
        <v/>
      </c>
      <c r="D299">
        <f>IF(Skills!C3=1,60+Inputs!$B$25+Inputs!$B$29,IF(Skills!C3=2,90+Inputs!$B$26+Inputs!$B$29,IF(Skills!C3=3,120+Inputs!$B$27+Inputs!$B$29,MAX(0,(Inputs!$B$3-100)*3)+Inputs!$B$28+Inputs!$B$29)))</f>
        <v/>
      </c>
      <c r="E299">
        <f>INDEX(FactorTable!$B$2:$Y$301, MATCH(ROUND(MIN(300,MAX(1,D299)),0), FactorTable!$A$2:$A$301,0), Skills!M3+1)</f>
        <v/>
      </c>
      <c r="F299">
        <f>IF(Skills!N3=TRUE,(Skills!L3/10)*(E299/1000),Skills!L3/10)+Skills!O3</f>
        <v/>
      </c>
      <c r="G299" t="inlineStr"/>
      <c r="H299" t="inlineStr"/>
      <c r="I299" t="inlineStr">
        <is>
          <t>1</t>
        </is>
      </c>
      <c r="J299" t="inlineStr"/>
      <c r="K299" t="inlineStr"/>
      <c r="L299" t="inlineStr"/>
      <c r="M299" t="inlineStr"/>
      <c r="N299" t="inlineStr"/>
      <c r="O299" t="inlineStr"/>
      <c r="P299" t="inlineStr"/>
      <c r="Q299" t="inlineStr"/>
      <c r="R299" t="inlineStr"/>
      <c r="S299" t="inlineStr"/>
      <c r="T299" t="inlineStr"/>
      <c r="U299">
        <f>INDEX(FactorTable!$B$2:$Y$301, MATCH(ROUND(MIN(300,MAX(1,U298)),0), FactorTable!$A$2:$A$301,0), 22)</f>
        <v/>
      </c>
      <c r="V299" t="inlineStr"/>
    </row>
    <row r="300">
      <c r="A300">
        <f>Skills!A4</f>
        <v/>
      </c>
      <c r="B300">
        <f>Skills!B4</f>
        <v/>
      </c>
      <c r="C300">
        <f>Inputs!$B$3&gt;=105</f>
        <v/>
      </c>
      <c r="D300">
        <f>IF(Skills!C4=1,60+Inputs!$B$25+Inputs!$B$29,IF(Skills!C4=2,90+Inputs!$B$26+Inputs!$B$29,IF(Skills!C4=3,120+Inputs!$B$27+Inputs!$B$29,MAX(0,(Inputs!$B$3-100)*3)+Inputs!$B$28+Inputs!$B$29)))</f>
        <v/>
      </c>
      <c r="E300">
        <f>INDEX(FactorTable!$B$2:$Y$301, MATCH(ROUND(MIN(300,MAX(1,D300)),0), FactorTable!$A$2:$A$301,0), Skills!M4+1)</f>
        <v/>
      </c>
      <c r="F300">
        <f>IF(Skills!N4=TRUE,(Skills!L4/10)*(E300/1000),Skills!L4/10)+Skills!O4</f>
        <v/>
      </c>
      <c r="G300" t="inlineStr"/>
      <c r="H300" t="inlineStr"/>
      <c r="I300" t="inlineStr">
        <is>
          <t>1</t>
        </is>
      </c>
      <c r="J300" t="inlineStr"/>
      <c r="K300" t="inlineStr"/>
      <c r="L300" t="inlineStr"/>
      <c r="M300" t="inlineStr"/>
      <c r="N300" t="inlineStr"/>
      <c r="O300" t="inlineStr"/>
      <c r="P300" t="inlineStr"/>
      <c r="Q300" t="inlineStr"/>
      <c r="R300" t="inlineStr"/>
      <c r="S300" t="inlineStr"/>
      <c r="T300" t="inlineStr"/>
      <c r="U300">
        <f>290*U299/1000</f>
        <v/>
      </c>
      <c r="V300" t="inlineStr"/>
    </row>
    <row r="301">
      <c r="A301">
        <f>Skills!A5</f>
        <v/>
      </c>
      <c r="B301">
        <f>Skills!B5</f>
        <v/>
      </c>
      <c r="C301">
        <f>Inputs!$B$3&gt;=35</f>
        <v/>
      </c>
      <c r="D301">
        <f>IF(Skills!C5=1,60+Inputs!$B$25+Inputs!$B$29,IF(Skills!C5=2,90+Inputs!$B$26+Inputs!$B$29,IF(Skills!C5=3,120+Inputs!$B$27+Inputs!$B$29,MAX(0,(Inputs!$B$3-100)*3)+Inputs!$B$28+Inputs!$B$29)))</f>
        <v/>
      </c>
      <c r="E301">
        <f>INDEX(FactorTable!$B$2:$Y$301, MATCH(ROUND(MIN(300,MAX(1,D301)),0), FactorTable!$A$2:$A$301,0), Skills!M5+1)</f>
        <v/>
      </c>
      <c r="F301">
        <f>IF(Skills!N5=TRUE,(Skills!L5/10)*(E301/1000),Skills!L5/10)+Skills!O5</f>
        <v/>
      </c>
      <c r="G301">
        <f>Skills!G5*IF(Skills!H5&gt;0,Skills!I5/Skills!H5,1)</f>
        <v/>
      </c>
      <c r="H301">
        <f>1-(1-Skills!J5/100)^Skills!K5</f>
        <v/>
      </c>
      <c r="I301" t="inlineStr">
        <is>
          <t>1</t>
        </is>
      </c>
      <c r="J301">
        <f>((Inputs!$B$6*(1+Inputs!$B$7/100))+(((Inputs!$B$12*(1+Inputs!$B$13/100))-(Inputs!$B$12*(1+Inputs!$B$13/100)))+0.25*(Inputs!$B$14-Inputs!$B$14))*(1+Inputs!$B$7/100))*(F301/100)</f>
        <v/>
      </c>
      <c r="K301">
        <f>J301*(1+((Inputs!$B$12*(1+Inputs!$B$13/100))*0.01+Inputs!$B$14*0.0025)/100)*(1+Inputs!$B$15/100)*(1+Inputs!$B$16/100)*(5000/(6000+Inputs!$B$42*(1-(100*(1-(1-(Inputs!$B$19+0)/100)*(1-CHOOSE(ArtifactsInput!$N$40+1,5,6,7,8,9,10)/100)^(ArtifactsInput!$M$40-ArtifactsInput!$M$40)))/100)))*(1+(Inputs!$B$24+((C320=TRUE)*(F320-Calc!F24))+((C321=TRUE)*(F321-Calc!F25))+B334)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304=TRUE,F304,0)/100)*(1+(IF(Skills!A5="EMPOWERED_PIERCING_ARROW",Inputs!$B$17+((C318=TRUE)*(F318-Calc!F22))+(((IF(AND(ArtifactsInput!$M$42,((Inputs!$B$9+((C315=TRUE)*(F315-Calc!F19))+B328+(ArtifactsInput!$M$24-ArtifactsInput!$M$24)*CHOOSE(ArtifactsInput!$N$24+1,10,12,14,16,18,20)+IF(ArtifactsInput!$M$10,CHOOSE(ArtifactsInput!$N$10+1,15,18,21,24,27,30)*(IF(Inputs!$B$38="pvp",MIN(15,15)/15,IF(AND(Inputs!$B$38&lt;&gt;"pvp",Inputs!$B$43&gt;0),MIN(15,Inputs!$B$43)/(Inputs!$B$43),0))),0)))&gt;=100),MIN(100,((Inputs!$B$9+((C315=TRUE)*(F315-Calc!F19))+B328+(ArtifactsInput!$M$24-ArtifactsInput!$M$24)*CHOOSE(ArtifactsInput!$N$24+1,10,12,14,16,18,20)+IF(ArtifactsInput!$M$10,CHOOSE(ArtifactsInput!$N$10+1,15,18,21,24,27,30)*(IF(Inputs!$B$38="pvp",MIN(15,15)/15,IF(AND(Inputs!$B$38&lt;&gt;"pvp",Inputs!$B$43&gt;0),MIN(15,Inputs!$B$43)/(Inputs!$B$43),0))),0)))-100),0))*CHOOSE(ArtifactsInput!$N$42+1,0.6,0.72,0.84,0.96,1.08,1.2))),Inputs!$B$18+((C323=TRUE)*(F323-Calc!F27))+(IF(AND(ArtifactsInput!$M$42,((Inputs!$B$9+((C315=TRUE)*(F315-Calc!F19))+B328+(ArtifactsInput!$M$24-ArtifactsInput!$M$24)*CHOOSE(ArtifactsInput!$N$24+1,10,12,14,16,18,20)+IF(ArtifactsInput!$M$10,CHOOSE(ArtifactsInput!$N$10+1,15,18,21,24,27,30)*(IF(Inputs!$B$38="pvp",MIN(15,15)/15,IF(AND(Inputs!$B$38&lt;&gt;"pvp",Inputs!$B$43&gt;0),MIN(15,Inputs!$B$43)/(Inputs!$B$43),0))),0)))&gt;=100),CHOOSE(ArtifactsInput!$N$42+1,40,48,56,64,72,80),0))))/100)*((1+(((C309=TRUE)*F309)+((C310=TRUE)*IF(Inputs!$B$38="pvp",F310,(1-Summary!$B$11)*(F310)+Summary!$B$11*(0)))+((C311=TRUE)*F311*IF(AND(Inputs!$B$38&lt;&gt;"pvp",Inputs!$B$43&gt;0),(((R311-1)*(Skills!T15*(1+Inputs!$B$34/100))+MIN((Skills!T15*(1+Inputs!$B$34/100)),MAX(0,Inputs!$B$43-((R311-1)*Skills!D15))))/Inputs!$B$43),IF(Inputs!$B$38="pvp",MIN((Skills!T15*(1+Inputs!$B$34/100)),15)/15,(Skills!T15*(1+Inputs!$B$34/100))/Skills!D15)))+((C308=TRUE)*F308)+((C325=TRUE)*(F325-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301)</f>
        <v/>
      </c>
      <c r="L301">
        <f>K301*(MIN(Inputs!$B$22+((C319=TRUE)*(F319-Calc!F23)),(Inputs!$B$23+((C324=TRUE)*(F324-Calc!F28))+(IF(ArtifactsInput!$M$15,CHOOSE(ArtifactsInput!$N$15+1,25,30,35,40,45,50)/100*(Inputs!$B$11-Inputs!$B$11),0))))/100+(Inputs!$B$23+((C324=TRUE)*(F324-Calc!F28))+(IF(ArtifactsInput!$M$15,CHOOSE(ArtifactsInput!$N$15+1,25,30,35,40,45,50)/100*(Inputs!$B$11-Inputs!$B$11),0)))/100)/2</f>
        <v/>
      </c>
      <c r="M301">
        <f>L301*(1+(Inputs!$B$10+0+B333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01">
        <f>L301*(1-MIN((Inputs!$B$9+((C315=TRUE)*(F315-Calc!F19))+B328+(ArtifactsInput!$M$24-ArtifactsInput!$M$24)*CHOOSE(ArtifactsInput!$N$24+1,10,12,14,16,18,20)+(IF(AND(ArtifactsInput!$M$42,((Inputs!$B$9+((C315=TRUE)*(F315-Calc!F19))+B328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301*(MIN((Inputs!$B$9+((C315=TRUE)*(F315-Calc!F19))+B328+(ArtifactsInput!$M$24-ArtifactsInput!$M$24)*CHOOSE(ArtifactsInput!$N$24+1,10,12,14,16,18,20)+(IF(AND(ArtifactsInput!$M$42,((Inputs!$B$9+((C315=TRUE)*(F315-Calc!F19))+B328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01">
        <f>(1-Summary!$B$11)*T301+Summary!$B$11*V301</f>
        <v/>
      </c>
      <c r="P301">
        <f>IF(B338=0,0,O301/B338)</f>
        <v/>
      </c>
      <c r="Q301">
        <f>IFERROR(1/IF(Inputs!$B$38="pvp",15,MAX(0.1,Skills!D5-IF(Skills!E5=TRUE,Inputs!$B$32,0))),0)</f>
        <v/>
      </c>
      <c r="R301">
        <f>IF(AND(Inputs!$B$38&lt;&gt;"pvp",Inputs!$B$43&gt;0),IF(MAX(0,Inputs!$B$43-B335)&lt;=0,0,(INT(MAX(0,Inputs!$B$43-B335)/IF(Inputs!$B$38="pvp",15,MAX(0.1,Skills!D5-IF(Skills!E5=TRUE,Inputs!$B$32,0))))+1)),0)</f>
        <v/>
      </c>
      <c r="S301">
        <f>IFERROR((H301*N301*IF(AND(Inputs!$B$38&lt;&gt;"pvp",Inputs!$B$43&gt;0),((Skills!G5*((R301-1)*IF(Skills!H5&gt;0,Skills!I5/Skills!H5,1)+IF(Skills!H5&gt;0,MIN(Skills!I5,MAX(0,MAX(0,Inputs!$B$43-B335)-((R301-1)*IF(Inputs!$B$38="pvp",15,MAX(0.1,Skills!D5-IF(Skills!E5=TRUE,Inputs!$B$32,0))))))/Skills!H5,1)))/Inputs!$B$43),G301*Q301))/N301*IF(Inputs!$B$38="pvp",1,(1-Summary!$B$11)*1+Summary!$B$11*(MIN(Skills!R5,Inputs!$B$37))),0)</f>
        <v/>
      </c>
      <c r="T301">
        <f>IF(C301,(H301*N301*IF(AND(Inputs!$B$38&lt;&gt;"pvp",Inputs!$B$43&gt;0),((Skills!G5*((R301-1)*IF(Skills!H5&gt;0,Skills!I5/Skills!H5,1)+IF(Skills!H5&gt;0,MIN(Skills!I5,MAX(0,MAX(0,Inputs!$B$43-B335)-((R301-1)*IF(Inputs!$B$38="pvp",15,MAX(0.1,Skills!D5-IF(Skills!E5=TRUE,Inputs!$B$32,0))))))/Skills!H5,1)))/Inputs!$B$43),G301*Q301))*IF(Inputs!$B$38="pvp",1,1+((Inputs!$B$20+1)+0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Hunt"),CHOOSE(ArtifactsInput!$N$35+1,15,18,21,24,27,30)*(1-EXP(-(0.2*B330)*5)),0)+IF(AND(ArtifactsInput!$M$22,Inputs!$B$4&lt;&gt;"Chapter Hunt"),CHOOSE(ArtifactsInput!$N$22+1,10,12,14,16,18,20)*((0*(((0.15*B330*5))^0/1)+1*(((0.15*B330*5))^1/1)+2*(((0.15*B330*5))^2/2)+3*(((0.15*B330*5))^3/6)+4*(((0.15*B330*5))^4/24)+5*(((0.15*B330*5))^5/120))/((((0.15*B330*5))^0/1)+(((0.15*B330*5))^1/1)+(((0.15*B330*5))^2/2)+(((0.15*B330*5))^3/6)+(((0.15*B330*5))^4/24)+(((0.15*B330*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301*(1-MIN(100,(Inputs!$B$9+((C315=TRUE)*(F315-Calc!F19))+B328+(ArtifactsInput!$M$24-ArtifactsInput!$M$24)*CHOOSE(ArtifactsInput!$N$24+1,10,12,14,16,18,20)+(IF(AND(ArtifactsInput!$M$42,((Inputs!$B$9+((C315=TRUE)*(F315-Calc!F19))+B328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301*(MIN(100,(Inputs!$B$9+((C315=TRUE)*(F315-Calc!F19))+B328+(ArtifactsInput!$M$24-ArtifactsInput!$M$24)*CHOOSE(ArtifactsInput!$N$24+1,10,12,14,16,18,20)+(IF(AND(ArtifactsInput!$M$42,((Inputs!$B$9+((C315=TRUE)*(F315-Calc!F19))+B328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301*(1-MIN(100,(Inputs!$B$9+((C315=TRUE)*(F315-Calc!F19))+B328+(ArtifactsInput!$M$24-ArtifactsInput!$M$24)*CHOOSE(ArtifactsInput!$N$24+1,10,12,14,16,18,20)+(IF(AND(ArtifactsInput!$M$42,((Inputs!$B$9+((C315=TRUE)*(F315-Calc!F19))+B328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301*(MIN(100,(Inputs!$B$9+((C315=TRUE)*(F315-Calc!F19))+B328+(ArtifactsInput!$M$24-ArtifactsInput!$M$24)*CHOOSE(ArtifactsInput!$N$24+1,10,12,14,16,18,20)+(IF(AND(ArtifactsInput!$M$42,((Inputs!$B$9+((C315=TRUE)*(F315-Calc!F19))+B328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01">
        <f>IF(C301,(H301*N301*IF(AND(Inputs!$B$38&lt;&gt;"pvp",Inputs!$B$43&gt;0),((Skills!G5*((R301-1)*IF(Skills!H5&gt;0,Skills!I5/Skills!H5,1)+IF(Skills!H5&gt;0,MIN(Skills!I5,MAX(0,MAX(0,Inputs!$B$43-B335)-((R301-1)*IF(Inputs!$B$38="pvp",15,MAX(0.1,Skills!D5-IF(Skills!E5=TRUE,Inputs!$B$32,0))))))/Skills!H5,1)))/Inputs!$B$43),G301*Q301))*IF(Inputs!$B$38="pvp",1,(1+(Inputs!$B$21+Skills!Q5+(IF(ArtifactsInput!$M$33,CHOOSE(ArtifactsInput!$N$33+1,30,36,42,48,54,60),0))+(IF(AND(ArtifactsInput!$M$35,Inputs!$B$4&lt;&gt;"Chapter Hunt"),CHOOSE(ArtifactsInput!$N$35+1,15,18,21,24,27,30)*(1-EXP(-(0.2*B330)*5)),0)+IF(AND(ArtifactsInput!$M$22,Inputs!$B$4&lt;&gt;"Chapter Hunt"),CHOOSE(ArtifactsInput!$N$22+1,10,12,14,16,18,20)*((0*(((0.15*B330*5))^0/1)+1*(((0.15*B330*5))^1/1)+2*(((0.15*B330*5))^2/2)+3*(((0.15*B330*5))^3/6)+4*(((0.15*B330*5))^4/24)+5*(((0.15*B330*5))^5/120))/((((0.15*B330*5))^0/1)+(((0.15*B330*5))^1/1)+(((0.15*B330*5))^2/2)+(((0.15*B330*5))^3/6)+(((0.15*B330*5))^4/24)+(((0.15*B330*5))^5/120)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02">
      <c r="A302">
        <f>Skills!A6</f>
        <v/>
      </c>
      <c r="B302">
        <f>Skills!B6</f>
        <v/>
      </c>
      <c r="C302">
        <f>Inputs!$B$3&gt;=63</f>
        <v/>
      </c>
      <c r="D302">
        <f>IF(Skills!C6=1,60+Inputs!$B$25+Inputs!$B$29,IF(Skills!C6=2,90+Inputs!$B$26+Inputs!$B$29,IF(Skills!C6=3,120+Inputs!$B$27+Inputs!$B$29,MAX(0,(Inputs!$B$3-100)*3)+Inputs!$B$28+Inputs!$B$29)))</f>
        <v/>
      </c>
      <c r="E302">
        <f>INDEX(FactorTable!$B$2:$Y$301, MATCH(ROUND(MIN(300,MAX(1,D302)),0), FactorTable!$A$2:$A$301,0), Skills!M6+1)</f>
        <v/>
      </c>
      <c r="F302">
        <f>IF(Skills!N6=TRUE,(Skills!L6/10)*(E302/1000),Skills!L6/10)+Skills!O6</f>
        <v/>
      </c>
      <c r="G302">
        <f>Skills!G6*IF(Skills!H6&gt;0,Skills!I6/Skills!H6,1)</f>
        <v/>
      </c>
      <c r="H302">
        <f>1-(1-Skills!J6/100)^Skills!K6</f>
        <v/>
      </c>
      <c r="I302" t="inlineStr">
        <is>
          <t>1</t>
        </is>
      </c>
      <c r="J302">
        <f>((Inputs!$B$6*(1+Inputs!$B$7/100))+(((Inputs!$B$12*(1+Inputs!$B$13/100))-(Inputs!$B$12*(1+Inputs!$B$13/100)))+0.25*(Inputs!$B$14-Inputs!$B$14))*(1+Inputs!$B$7/100))*(F302/100)</f>
        <v/>
      </c>
      <c r="K302">
        <f>J302*(1+((Inputs!$B$12*(1+Inputs!$B$13/100))*0.01+Inputs!$B$14*0.0025)/100)*(1+Inputs!$B$15/100)*(1+Inputs!$B$16/100)*(5000/(6000+Inputs!$B$42*(1-(100*(1-(1-(Inputs!$B$19+0)/100)*(1-CHOOSE(ArtifactsInput!$N$40+1,5,6,7,8,9,10)/100)^(ArtifactsInput!$M$40-ArtifactsInput!$M$40)))/100)))*(1+(Inputs!$B$24+((C320=TRUE)*(F320-Calc!F24))+((C321=TRUE)*(F321-Calc!F25))+B334)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304=TRUE,F304,0)/100)*(1+(IF(Skills!A6="EMPOWERED_PIERCING_ARROW",Inputs!$B$17+((C318=TRUE)*(F318-Calc!F22))+(((IF(AND(ArtifactsInput!$M$42,((Inputs!$B$9+((C315=TRUE)*(F315-Calc!F19))+B328+(ArtifactsInput!$M$24-ArtifactsInput!$M$24)*CHOOSE(ArtifactsInput!$N$24+1,10,12,14,16,18,20)+IF(ArtifactsInput!$M$10,CHOOSE(ArtifactsInput!$N$10+1,15,18,21,24,27,30)*(IF(Inputs!$B$38="pvp",MIN(15,15)/15,IF(AND(Inputs!$B$38&lt;&gt;"pvp",Inputs!$B$43&gt;0),MIN(15,Inputs!$B$43)/(Inputs!$B$43),0))),0)))&gt;=100),MIN(100,((Inputs!$B$9+((C315=TRUE)*(F315-Calc!F19))+B328+(ArtifactsInput!$M$24-ArtifactsInput!$M$24)*CHOOSE(ArtifactsInput!$N$24+1,10,12,14,16,18,20)+IF(ArtifactsInput!$M$10,CHOOSE(ArtifactsInput!$N$10+1,15,18,21,24,27,30)*(IF(Inputs!$B$38="pvp",MIN(15,15)/15,IF(AND(Inputs!$B$38&lt;&gt;"pvp",Inputs!$B$43&gt;0),MIN(15,Inputs!$B$43)/(Inputs!$B$43),0))),0)))-100),0))*CHOOSE(ArtifactsInput!$N$42+1,0.6,0.72,0.84,0.96,1.08,1.2))),Inputs!$B$18+((C323=TRUE)*(F323-Calc!F27))+(IF(AND(ArtifactsInput!$M$42,((Inputs!$B$9+((C315=TRUE)*(F315-Calc!F19))+B328+(ArtifactsInput!$M$24-ArtifactsInput!$M$24)*CHOOSE(ArtifactsInput!$N$24+1,10,12,14,16,18,20)+IF(ArtifactsInput!$M$10,CHOOSE(ArtifactsInput!$N$10+1,15,18,21,24,27,30)*(IF(Inputs!$B$38="pvp",MIN(15,15)/15,IF(AND(Inputs!$B$38&lt;&gt;"pvp",Inputs!$B$43&gt;0),MIN(15,Inputs!$B$43)/(Inputs!$B$43),0))),0)))&gt;=100),CHOOSE(ArtifactsInput!$N$42+1,40,48,56,64,72,80),0))))/100)*((1+(((C309=TRUE)*F309)+((C310=TRUE)*IF(Inputs!$B$38="pvp",F310,(1-Summary!$B$11)*(F310)+Summary!$B$11*(0)))+((C311=TRUE)*F311*IF(AND(Inputs!$B$38&lt;&gt;"pvp",Inputs!$B$43&gt;0),(((R311-1)*(Skills!T15*(1+Inputs!$B$34/100))+MIN((Skills!T15*(1+Inputs!$B$34/100)),MAX(0,Inputs!$B$43-((R311-1)*Skills!D15))))/Inputs!$B$43),IF(Inputs!$B$38="pvp",MIN((Skills!T15*(1+Inputs!$B$34/100)),15)/15,(Skills!T15*(1+Inputs!$B$34/100))/Skills!D15)))+((C308=TRUE)*F308)+((C325=TRUE)*(F325-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302)</f>
        <v/>
      </c>
      <c r="L302">
        <f>K302*(MIN(Inputs!$B$22+((C319=TRUE)*(F319-Calc!F23)),(Inputs!$B$23+((C324=TRUE)*(F324-Calc!F28))+(IF(ArtifactsInput!$M$15,CHOOSE(ArtifactsInput!$N$15+1,25,30,35,40,45,50)/100*(Inputs!$B$11-Inputs!$B$11),0))))/100+(Inputs!$B$23+((C324=TRUE)*(F324-Calc!F28))+(IF(ArtifactsInput!$M$15,CHOOSE(ArtifactsInput!$N$15+1,25,30,35,40,45,50)/100*(Inputs!$B$11-Inputs!$B$11),0)))/100)/2</f>
        <v/>
      </c>
      <c r="M302">
        <f>L302*(1+(Inputs!$B$10+0+B333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02">
        <f>L302*(1-MIN((Inputs!$B$9+((C315=TRUE)*(F315-Calc!F19))+B328+(ArtifactsInput!$M$24-ArtifactsInput!$M$24)*CHOOSE(ArtifactsInput!$N$24+1,10,12,14,16,18,20)+(IF(AND(ArtifactsInput!$M$42,((Inputs!$B$9+((C315=TRUE)*(F315-Calc!F19))+B328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302*(MIN((Inputs!$B$9+((C315=TRUE)*(F315-Calc!F19))+B328+(ArtifactsInput!$M$24-ArtifactsInput!$M$24)*CHOOSE(ArtifactsInput!$N$24+1,10,12,14,16,18,20)+(IF(AND(ArtifactsInput!$M$42,((Inputs!$B$9+((C315=TRUE)*(F315-Calc!F19))+B328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02">
        <f>(1-Summary!$B$11)*T302+Summary!$B$11*V302</f>
        <v/>
      </c>
      <c r="P302">
        <f>IF(B338=0,0,O302/B338)</f>
        <v/>
      </c>
      <c r="Q302">
        <f>IFERROR(1/IF(Inputs!$B$38="pvp",15,MAX(0.1,Skills!D6-IF(Skills!E6=TRUE,Inputs!$B$32,0))),0)</f>
        <v/>
      </c>
      <c r="R302">
        <f>IF(AND(Inputs!$B$38&lt;&gt;"pvp",Inputs!$B$43&gt;0),IF(MAX(0,Inputs!$B$43-B335)&lt;=0,0,(INT(MAX(0,Inputs!$B$43-B335)/IF(Inputs!$B$38="pvp",15,MAX(0.1,Skills!D6-IF(Skills!E6=TRUE,Inputs!$B$32,0))))+1)),0)</f>
        <v/>
      </c>
      <c r="S302">
        <f>IFERROR((H302*N302*IF(AND(Inputs!$B$38&lt;&gt;"pvp",Inputs!$B$43&gt;0),((Skills!G6*((R302-1)*IF(Skills!H6&gt;0,Skills!I6/Skills!H6,1)+IF(Skills!H6&gt;0,MIN(Skills!I6,MAX(0,MAX(0,Inputs!$B$43-B335)-((R302-1)*IF(Inputs!$B$38="pvp",15,MAX(0.1,Skills!D6-IF(Skills!E6=TRUE,Inputs!$B$32,0))))))/Skills!H6,1)))/Inputs!$B$43),G302*Q302))/N302*IF(Inputs!$B$38="pvp",1,(1-Summary!$B$11)*1+Summary!$B$11*(MIN(Skills!R6,Inputs!$B$37))),0)</f>
        <v/>
      </c>
      <c r="T302">
        <f>IF(C302,(H302*N302*IF(AND(Inputs!$B$38&lt;&gt;"pvp",Inputs!$B$43&gt;0),((Skills!G6*((R302-1)*IF(Skills!H6&gt;0,Skills!I6/Skills!H6,1)+IF(Skills!H6&gt;0,MIN(Skills!I6,MAX(0,MAX(0,Inputs!$B$43-B335)-((R302-1)*IF(Inputs!$B$38="pvp",15,MAX(0.1,Skills!D6-IF(Skills!E6=TRUE,Inputs!$B$32,0))))))/Skills!H6,1)))/Inputs!$B$43),G302*Q302))*IF(Inputs!$B$38="pvp",1,1+((Inputs!$B$20+1)+0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Hunt"),CHOOSE(ArtifactsInput!$N$35+1,15,18,21,24,27,30)*(1-EXP(-(0.2*B330)*5)),0)+IF(AND(ArtifactsInput!$M$22,Inputs!$B$4&lt;&gt;"Chapter Hunt"),CHOOSE(ArtifactsInput!$N$22+1,10,12,14,16,18,20)*((0*(((0.15*B330*5))^0/1)+1*(((0.15*B330*5))^1/1)+2*(((0.15*B330*5))^2/2)+3*(((0.15*B330*5))^3/6)+4*(((0.15*B330*5))^4/24)+5*(((0.15*B330*5))^5/120))/((((0.15*B330*5))^0/1)+(((0.15*B330*5))^1/1)+(((0.15*B330*5))^2/2)+(((0.15*B330*5))^3/6)+(((0.15*B330*5))^4/24)+(((0.15*B330*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302*(1-MIN(100,(Inputs!$B$9+((C315=TRUE)*(F315-Calc!F19))+B328+(ArtifactsInput!$M$24-ArtifactsInput!$M$24)*CHOOSE(ArtifactsInput!$N$24+1,10,12,14,16,18,20)+(IF(AND(ArtifactsInput!$M$42,((Inputs!$B$9+((C315=TRUE)*(F315-Calc!F19))+B328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302*(MIN(100,(Inputs!$B$9+((C315=TRUE)*(F315-Calc!F19))+B328+(ArtifactsInput!$M$24-ArtifactsInput!$M$24)*CHOOSE(ArtifactsInput!$N$24+1,10,12,14,16,18,20)+(IF(AND(ArtifactsInput!$M$42,((Inputs!$B$9+((C315=TRUE)*(F315-Calc!F19))+B328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302*(1-MIN(100,(Inputs!$B$9+((C315=TRUE)*(F315-Calc!F19))+B328+(ArtifactsInput!$M$24-ArtifactsInput!$M$24)*CHOOSE(ArtifactsInput!$N$24+1,10,12,14,16,18,20)+(IF(AND(ArtifactsInput!$M$42,((Inputs!$B$9+((C315=TRUE)*(F315-Calc!F19))+B328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302*(MIN(100,(Inputs!$B$9+((C315=TRUE)*(F315-Calc!F19))+B328+(ArtifactsInput!$M$24-ArtifactsInput!$M$24)*CHOOSE(ArtifactsInput!$N$24+1,10,12,14,16,18,20)+(IF(AND(ArtifactsInput!$M$42,((Inputs!$B$9+((C315=TRUE)*(F315-Calc!F19))+B328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02">
        <f>IF(C302,(H302*N302*IF(AND(Inputs!$B$38&lt;&gt;"pvp",Inputs!$B$43&gt;0),((Skills!G6*((R302-1)*IF(Skills!H6&gt;0,Skills!I6/Skills!H6,1)+IF(Skills!H6&gt;0,MIN(Skills!I6,MAX(0,MAX(0,Inputs!$B$43-B335)-((R302-1)*IF(Inputs!$B$38="pvp",15,MAX(0.1,Skills!D6-IF(Skills!E6=TRUE,Inputs!$B$32,0))))))/Skills!H6,1)))/Inputs!$B$43),G302*Q302))*IF(Inputs!$B$38="pvp",1,(1+(Inputs!$B$21+Skills!Q6+(IF(ArtifactsInput!$M$33,CHOOSE(ArtifactsInput!$N$33+1,30,36,42,48,54,60),0))+(IF(AND(ArtifactsInput!$M$35,Inputs!$B$4&lt;&gt;"Chapter Hunt"),CHOOSE(ArtifactsInput!$N$35+1,15,18,21,24,27,30)*(1-EXP(-(0.2*B330)*5)),0)+IF(AND(ArtifactsInput!$M$22,Inputs!$B$4&lt;&gt;"Chapter Hunt"),CHOOSE(ArtifactsInput!$N$22+1,10,12,14,16,18,20)*((0*(((0.15*B330*5))^0/1)+1*(((0.15*B330*5))^1/1)+2*(((0.15*B330*5))^2/2)+3*(((0.15*B330*5))^3/6)+4*(((0.15*B330*5))^4/24)+5*(((0.15*B330*5))^5/120))/((((0.15*B330*5))^0/1)+(((0.15*B330*5))^1/1)+(((0.15*B330*5))^2/2)+(((0.15*B330*5))^3/6)+(((0.15*B330*5))^4/24)+(((0.15*B330*5))^5/120))),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03">
      <c r="A303">
        <f>Skills!A7</f>
        <v/>
      </c>
      <c r="B303">
        <f>Skills!B7</f>
        <v/>
      </c>
      <c r="C303">
        <f>Inputs!$B$3&gt;=69</f>
        <v/>
      </c>
      <c r="D303">
        <f>IF(Skills!C7=1,60+Inputs!$B$25+Inputs!$B$29,IF(Skills!C7=2,90+Inputs!$B$26+Inputs!$B$29,IF(Skills!C7=3,120+Inputs!$B$27+Inputs!$B$29,MAX(0,(Inputs!$B$3-100)*3)+Inputs!$B$28+Inputs!$B$29)))</f>
        <v/>
      </c>
      <c r="E303">
        <f>INDEX(FactorTable!$B$2:$Y$301, MATCH(ROUND(MIN(300,MAX(1,D303)),0), FactorTable!$A$2:$A$301,0), Skills!M7+1)</f>
        <v/>
      </c>
      <c r="F303">
        <f>IF(Skills!N7=TRUE,(Skills!L7/10)*(E303/1000),Skills!L7/10)+Skills!O7</f>
        <v/>
      </c>
      <c r="G303">
        <f>Skills!G7*IF(Skills!H7&gt;0,Skills!I7/Skills!H7,1)</f>
        <v/>
      </c>
      <c r="H303">
        <f>1-(1-Skills!J7/100)^Skills!K7</f>
        <v/>
      </c>
      <c r="I303" t="inlineStr">
        <is>
          <t>1</t>
        </is>
      </c>
      <c r="J303">
        <f>((Inputs!$B$6*(1+Inputs!$B$7/100))+(((Inputs!$B$12*(1+Inputs!$B$13/100))-(Inputs!$B$12*(1+Inputs!$B$13/100)))+0.25*(Inputs!$B$14-Inputs!$B$14))*(1+Inputs!$B$7/100))*(F303/100)</f>
        <v/>
      </c>
      <c r="K303">
        <f>J303*(1+((Inputs!$B$12*(1+Inputs!$B$13/100))*0.01+Inputs!$B$14*0.0025)/100)*(1+Inputs!$B$15/100)*(1+Inputs!$B$16/100)*(5000/(6000+Inputs!$B$42*(1-(100*(1-(1-(Inputs!$B$19+0)/100)*(1-CHOOSE(ArtifactsInput!$N$40+1,5,6,7,8,9,10)/100)^(ArtifactsInput!$M$40-ArtifactsInput!$M$40)))/100)))*(1+(Inputs!$B$24+((C320=TRUE)*(F320-Calc!F24))+((C321=TRUE)*(F321-Calc!F25))+B334)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+1.2*IF(C304=TRUE,F304,0)/100)*(1+(IF(Skills!A7="EMPOWERED_PIERCING_ARROW",Inputs!$B$17+((C318=TRUE)*(F318-Calc!F22))+(((IF(AND(ArtifactsInput!$M$42,((Inputs!$B$9+((C315=TRUE)*(F315-Calc!F19))+B328+(ArtifactsInput!$M$24-ArtifactsInput!$M$24)*CHOOSE(ArtifactsInput!$N$24+1,10,12,14,16,18,20)+IF(ArtifactsInput!$M$10,CHOOSE(ArtifactsInput!$N$10+1,15,18,21,24,27,30)*(IF(Inputs!$B$38="pvp",MIN(15,15)/15,IF(AND(Inputs!$B$38&lt;&gt;"pvp",Inputs!$B$43&gt;0),MIN(15,Inputs!$B$43)/(Inputs!$B$43),0))),0)))&gt;=100),MIN(100,((Inputs!$B$9+((C315=TRUE)*(F315-Calc!F19))+B328+(ArtifactsInput!$M$24-ArtifactsInput!$M$24)*CHOOSE(ArtifactsInput!$N$24+1,10,12,14,16,18,20)+IF(ArtifactsInput!$M$10,CHOOSE(ArtifactsInput!$N$10+1,15,18,21,24,27,30)*(IF(Inputs!$B$38="pvp",MIN(15,15)/15,IF(AND(Inputs!$B$38&lt;&gt;"pvp",Inputs!$B$43&gt;0),MIN(15,Inputs!$B$43)/(Inputs!$B$43),0))),0)))-100),0))*CHOOSE(ArtifactsInput!$N$42+1,0.6,0.72,0.84,0.96,1.08,1.2))),Inputs!$B$18+((C323=TRUE)*(F323-Calc!F27))+(IF(AND(ArtifactsInput!$M$42,((Inputs!$B$9+((C315=TRUE)*(F315-Calc!F19))+B328+(ArtifactsInput!$M$24-ArtifactsInput!$M$24)*CHOOSE(ArtifactsInput!$N$24+1,10,12,14,16,18,20)+IF(ArtifactsInput!$M$10,CHOOSE(ArtifactsInput!$N$10+1,15,18,21,24,27,30)*(IF(Inputs!$B$38="pvp",MIN(15,15)/15,IF(AND(Inputs!$B$38&lt;&gt;"pvp",Inputs!$B$43&gt;0),MIN(15,Inputs!$B$43)/(Inputs!$B$43),0))),0)))&gt;=100),CHOOSE(ArtifactsInput!$N$42+1,40,48,56,64,72,80),0))))/100)*((1+(((C309=TRUE)*F309)+((C310=TRUE)*IF(Inputs!$B$38="pvp",F310,(1-Summary!$B$11)*(F310)+Summary!$B$11*(0)))+((C311=TRUE)*F311*IF(AND(Inputs!$B$38&lt;&gt;"pvp",Inputs!$B$43&gt;0),(((R311-1)*(Skills!T15*(1+Inputs!$B$34/100))+MIN((Skills!T15*(1+Inputs!$B$34/100)),MAX(0,Inputs!$B$43-((R311-1)*Skills!D15))))/Inputs!$B$43),IF(Inputs!$B$38="pvp",MIN((Skills!T15*(1+Inputs!$B$34/100)),15)/15,(Skills!T15*(1+Inputs!$B$34/100))/Skills!D15)))+((C308=TRUE)*F308)+((C325=TRUE)*(F325-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303)</f>
        <v/>
      </c>
      <c r="L303">
        <f>K303*(MIN(Inputs!$B$22+((C319=TRUE)*(F319-Calc!F23)),(Inputs!$B$23+((C324=TRUE)*(F324-Calc!F28))+(IF(ArtifactsInput!$M$15,CHOOSE(ArtifactsInput!$N$15+1,25,30,35,40,45,50)/100*(Inputs!$B$11-Inputs!$B$11),0))))/100+(Inputs!$B$23+((C324=TRUE)*(F324-Calc!F28))+(IF(ArtifactsInput!$M$15,CHOOSE(ArtifactsInput!$N$15+1,25,30,35,40,45,50)/100*(Inputs!$B$11-Inputs!$B$11),0)))/100)/2</f>
        <v/>
      </c>
      <c r="M303">
        <f>L303*(1+(Inputs!$B$10+0+B333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03">
        <f>L303*(1-MIN((Inputs!$B$9+((C315=TRUE)*(F315-Calc!F19))+B328+(ArtifactsInput!$M$24-ArtifactsInput!$M$24)*CHOOSE(ArtifactsInput!$N$24+1,10,12,14,16,18,20)+(IF(AND(ArtifactsInput!$M$42,((Inputs!$B$9+((C315=TRUE)*(F315-Calc!F19))+B328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303*(MIN((Inputs!$B$9+((C315=TRUE)*(F315-Calc!F19))+B328+(ArtifactsInput!$M$24-ArtifactsInput!$M$24)*CHOOSE(ArtifactsInput!$N$24+1,10,12,14,16,18,20)+(IF(AND(ArtifactsInput!$M$42,((Inputs!$B$9+((C315=TRUE)*(F315-Calc!F19))+B328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03">
        <f>(1-Summary!$B$11)*T303+Summary!$B$11*V303</f>
        <v/>
      </c>
      <c r="P303">
        <f>IF(B338=0,0,O303/B338)</f>
        <v/>
      </c>
      <c r="Q303">
        <f>IFERROR(1/IF(Inputs!$B$38="pvp",15,MAX(0.1,Skills!D7-IF(Skills!E7=TRUE,Inputs!$B$32,0))),0)</f>
        <v/>
      </c>
      <c r="R303">
        <f>IF(AND(Inputs!$B$38&lt;&gt;"pvp",Inputs!$B$43&gt;0),IF(MAX(0,Inputs!$B$43-B335)&lt;=0,0,(INT(MAX(0,Inputs!$B$43-B335)/IF(Inputs!$B$38="pvp",15,MAX(0.1,Skills!D7-IF(Skills!E7=TRUE,Inputs!$B$32,0))))+1)),0)</f>
        <v/>
      </c>
      <c r="S303">
        <f>IFERROR((H303*N303*IF(AND(Inputs!$B$38&lt;&gt;"pvp",Inputs!$B$43&gt;0),((Skills!G7*((R303-1)*IF(Skills!H7&gt;0,Skills!I7/Skills!H7,1)+IF(Skills!H7&gt;0,MIN(Skills!I7,MAX(0,MAX(0,Inputs!$B$43-B335)-((R303-1)*IF(Inputs!$B$38="pvp",15,MAX(0.1,Skills!D7-IF(Skills!E7=TRUE,Inputs!$B$32,0))))))/Skills!H7,1)))/Inputs!$B$43),G303*Q303))/N303*IF(Inputs!$B$38="pvp",1,(1-Summary!$B$11)*1+Summary!$B$11*(MIN(Skills!R7,Inputs!$B$37))),0)</f>
        <v/>
      </c>
      <c r="T303">
        <f>IF(C303,(H303*N303*IF(AND(Inputs!$B$38&lt;&gt;"pvp",Inputs!$B$43&gt;0),((Skills!G7*((R303-1)*IF(Skills!H7&gt;0,Skills!I7/Skills!H7,1)+IF(Skills!H7&gt;0,MIN(Skills!I7,MAX(0,MAX(0,Inputs!$B$43-B335)-((R303-1)*IF(Inputs!$B$38="pvp",15,MAX(0.1,Skills!D7-IF(Skills!E7=TRUE,Inputs!$B$32,0))))))/Skills!H7,1)))/Inputs!$B$43),G303*Q303))*IF(Inputs!$B$38="pvp",1,1+((Inputs!$B$20+1)+0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Hunt"),CHOOSE(ArtifactsInput!$N$35+1,15,18,21,24,27,30)*(1-EXP(-(0.2*B330)*5)),0)+IF(AND(ArtifactsInput!$M$22,Inputs!$B$4&lt;&gt;"Chapter Hunt"),CHOOSE(ArtifactsInput!$N$22+1,10,12,14,16,18,20)*((0*(((0.15*B330*5))^0/1)+1*(((0.15*B330*5))^1/1)+2*(((0.15*B330*5))^2/2)+3*(((0.15*B330*5))^3/6)+4*(((0.15*B330*5))^4/24)+5*(((0.15*B330*5))^5/120))/((((0.15*B330*5))^0/1)+(((0.15*B330*5))^1/1)+(((0.15*B330*5))^2/2)+(((0.15*B330*5))^3/6)+(((0.15*B330*5))^4/24)+(((0.15*B330*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303*(1-MIN(100,(Inputs!$B$9+((C315=TRUE)*(F315-Calc!F19))+B328+(ArtifactsInput!$M$24-ArtifactsInput!$M$24)*CHOOSE(ArtifactsInput!$N$24+1,10,12,14,16,18,20)+(IF(AND(ArtifactsInput!$M$42,((Inputs!$B$9+((C315=TRUE)*(F315-Calc!F19))+B328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303*(MIN(100,(Inputs!$B$9+((C315=TRUE)*(F315-Calc!F19))+B328+(ArtifactsInput!$M$24-ArtifactsInput!$M$24)*CHOOSE(ArtifactsInput!$N$24+1,10,12,14,16,18,20)+(IF(AND(ArtifactsInput!$M$42,((Inputs!$B$9+((C315=TRUE)*(F315-Calc!F19))+B328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303*(1-MIN(100,(Inputs!$B$9+((C315=TRUE)*(F315-Calc!F19))+B328+(ArtifactsInput!$M$24-ArtifactsInput!$M$24)*CHOOSE(ArtifactsInput!$N$24+1,10,12,14,16,18,20)+(IF(AND(ArtifactsInput!$M$42,((Inputs!$B$9+((C315=TRUE)*(F315-Calc!F19))+B328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303*(MIN(100,(Inputs!$B$9+((C315=TRUE)*(F315-Calc!F19))+B328+(ArtifactsInput!$M$24-ArtifactsInput!$M$24)*CHOOSE(ArtifactsInput!$N$24+1,10,12,14,16,18,20)+(IF(AND(ArtifactsInput!$M$42,((Inputs!$B$9+((C315=TRUE)*(F315-Calc!F19))+B328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03">
        <f>IF(C303,(H303*N303*IF(AND(Inputs!$B$38&lt;&gt;"pvp",Inputs!$B$43&gt;0),((Skills!G7*((R303-1)*IF(Skills!H7&gt;0,Skills!I7/Skills!H7,1)+IF(Skills!H7&gt;0,MIN(Skills!I7,MAX(0,MAX(0,Inputs!$B$43-B335)-((R303-1)*IF(Inputs!$B$38="pvp",15,MAX(0.1,Skills!D7-IF(Skills!E7=TRUE,Inputs!$B$32,0))))))/Skills!H7,1)))/Inputs!$B$43),G303*Q303))*IF(Inputs!$B$38="pvp",1,(1+(Inputs!$B$21+Skills!Q7+(IF(ArtifactsInput!$M$33,CHOOSE(ArtifactsInput!$N$33+1,30,36,42,48,54,60),0))+(IF(AND(ArtifactsInput!$M$35,Inputs!$B$4&lt;&gt;"Chapter Hunt"),CHOOSE(ArtifactsInput!$N$35+1,15,18,21,24,27,30)*(1-EXP(-(0.2*B330)*5)),0)+IF(AND(ArtifactsInput!$M$22,Inputs!$B$4&lt;&gt;"Chapter Hunt"),CHOOSE(ArtifactsInput!$N$22+1,10,12,14,16,18,20)*((0*(((0.15*B330*5))^0/1)+1*(((0.15*B330*5))^1/1)+2*(((0.15*B330*5))^2/2)+3*(((0.15*B330*5))^3/6)+4*(((0.15*B330*5))^4/24)+5*(((0.15*B330*5))^5/120))/((((0.15*B330*5))^0/1)+(((0.15*B330*5))^1/1)+(((0.15*B330*5))^2/2)+(((0.15*B330*5))^3/6)+(((0.15*B330*5))^4/24)+(((0.15*B330*5))^5/120))),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04">
      <c r="A304">
        <f>Skills!A8</f>
        <v/>
      </c>
      <c r="B304">
        <f>Skills!B8</f>
        <v/>
      </c>
      <c r="C304">
        <f>Inputs!$B$3&gt;=100</f>
        <v/>
      </c>
      <c r="D304">
        <f>IF(Skills!C8=1,60+Inputs!$B$25+Inputs!$B$29,IF(Skills!C8=2,90+Inputs!$B$26+Inputs!$B$29,IF(Skills!C8=3,120+Inputs!$B$27+Inputs!$B$29,MAX(0,(Inputs!$B$3-100)*3)+Inputs!$B$28+Inputs!$B$29)))</f>
        <v/>
      </c>
      <c r="E304">
        <f>INDEX(FactorTable!$B$2:$Y$301, MATCH(ROUND(MIN(300,MAX(1,D304)),0), FactorTable!$A$2:$A$301,0), Skills!M8+1)</f>
        <v/>
      </c>
      <c r="F304">
        <f>IF(Skills!N8=TRUE,(Skills!L8/10)*(E304/1000),Skills!L8/10)+Skills!O8</f>
        <v/>
      </c>
      <c r="G304" t="inlineStr"/>
      <c r="H304" t="inlineStr"/>
      <c r="I304" t="inlineStr">
        <is>
          <t>1</t>
        </is>
      </c>
      <c r="J304" t="inlineStr"/>
      <c r="K304" t="inlineStr"/>
      <c r="L304" t="inlineStr"/>
      <c r="M304" t="inlineStr"/>
      <c r="N304" t="inlineStr"/>
      <c r="O304" t="inlineStr"/>
      <c r="P304" t="inlineStr"/>
      <c r="Q304" t="inlineStr"/>
      <c r="R304" t="inlineStr"/>
      <c r="S304" t="inlineStr"/>
      <c r="T304" t="inlineStr"/>
      <c r="V304" t="inlineStr"/>
    </row>
    <row r="305">
      <c r="A305">
        <f>Skills!A9</f>
        <v/>
      </c>
      <c r="B305">
        <f>Skills!B9</f>
        <v/>
      </c>
      <c r="C305">
        <f>Inputs!$B$3&gt;=103</f>
        <v/>
      </c>
      <c r="D305">
        <f>IF(Skills!C9=1,60+Inputs!$B$25+Inputs!$B$29,IF(Skills!C9=2,90+Inputs!$B$26+Inputs!$B$29,IF(Skills!C9=3,120+Inputs!$B$27+Inputs!$B$29,MAX(0,(Inputs!$B$3-100)*3)+Inputs!$B$28+Inputs!$B$29)))</f>
        <v/>
      </c>
      <c r="E305">
        <f>INDEX(FactorTable!$B$2:$Y$301, MATCH(ROUND(MIN(300,MAX(1,D305)),0), FactorTable!$A$2:$A$301,0), Skills!M9+1)</f>
        <v/>
      </c>
      <c r="F305">
        <f>IF(Skills!N9=TRUE,(Skills!L9/10)*(E305/1000),Skills!L9/10)+Skills!O9</f>
        <v/>
      </c>
      <c r="G305">
        <f>Skills!G9*IF(Skills!H9&gt;0,Skills!I9/Skills!H9,1)</f>
        <v/>
      </c>
      <c r="H305">
        <f>1-(1-Skills!J9/100)^Skills!K9</f>
        <v/>
      </c>
      <c r="I305" t="inlineStr">
        <is>
          <t>1</t>
        </is>
      </c>
      <c r="J305">
        <f>((Inputs!$B$6*(1+Inputs!$B$7/100))+(((Inputs!$B$12*(1+Inputs!$B$13/100))-(Inputs!$B$12*(1+Inputs!$B$13/100)))+0.25*(Inputs!$B$14-Inputs!$B$14))*(1+Inputs!$B$7/100))*(F305/100)</f>
        <v/>
      </c>
      <c r="K305">
        <f>J305*(1+((Inputs!$B$12*(1+Inputs!$B$13/100))*0.01+Inputs!$B$14*0.0025)/100)*(1+Inputs!$B$15/100)*(1+Inputs!$B$16/100)*(5000/(6000+Inputs!$B$42*(1-(100*(1-(1-(Inputs!$B$19+0)/100)*(1-CHOOSE(ArtifactsInput!$N$40+1,5,6,7,8,9,10)/100)^(ArtifactsInput!$M$40-ArtifactsInput!$M$40)))/100)))*(1+(Inputs!$B$24+((C320=TRUE)*(F320-Calc!F24))+((C321=TRUE)*(F321-Calc!F25))+B334)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EMPOWERED_PIERCING_ARROW",Inputs!$B$17+((C318=TRUE)*(F318-Calc!F22))+(((IF(AND(ArtifactsInput!$M$42,((Inputs!$B$9+((C315=TRUE)*(F315-Calc!F19))+B328+(ArtifactsInput!$M$24-ArtifactsInput!$M$24)*CHOOSE(ArtifactsInput!$N$24+1,10,12,14,16,18,20)+IF(ArtifactsInput!$M$10,CHOOSE(ArtifactsInput!$N$10+1,15,18,21,24,27,30)*(IF(Inputs!$B$38="pvp",MIN(15,15)/15,IF(AND(Inputs!$B$38&lt;&gt;"pvp",Inputs!$B$43&gt;0),MIN(15,Inputs!$B$43)/(Inputs!$B$43),0))),0)))&gt;=100),MIN(100,((Inputs!$B$9+((C315=TRUE)*(F315-Calc!F19))+B328+(ArtifactsInput!$M$24-ArtifactsInput!$M$24)*CHOOSE(ArtifactsInput!$N$24+1,10,12,14,16,18,20)+IF(ArtifactsInput!$M$10,CHOOSE(ArtifactsInput!$N$10+1,15,18,21,24,27,30)*(IF(Inputs!$B$38="pvp",MIN(15,15)/15,IF(AND(Inputs!$B$38&lt;&gt;"pvp",Inputs!$B$43&gt;0),MIN(15,Inputs!$B$43)/(Inputs!$B$43),0))),0)))-100),0))*CHOOSE(ArtifactsInput!$N$42+1,0.6,0.72,0.84,0.96,1.08,1.2))),Inputs!$B$18+((C323=TRUE)*(F323-Calc!F27))+(IF(AND(ArtifactsInput!$M$42,((Inputs!$B$9+((C315=TRUE)*(F315-Calc!F19))+B328+(ArtifactsInput!$M$24-ArtifactsInput!$M$24)*CHOOSE(ArtifactsInput!$N$24+1,10,12,14,16,18,20)+IF(ArtifactsInput!$M$10,CHOOSE(ArtifactsInput!$N$10+1,15,18,21,24,27,30)*(IF(Inputs!$B$38="pvp",MIN(15,15)/15,IF(AND(Inputs!$B$38&lt;&gt;"pvp",Inputs!$B$43&gt;0),MIN(15,Inputs!$B$43)/(Inputs!$B$43),0))),0)))&gt;=100),CHOOSE(ArtifactsInput!$N$42+1,40,48,56,64,72,80),0))))/100)*((1+(((C309=TRUE)*F309)+((C310=TRUE)*IF(Inputs!$B$38="pvp",F310,(1-Summary!$B$11)*(F310)+Summary!$B$11*(0)))+((C311=TRUE)*F311*IF(AND(Inputs!$B$38&lt;&gt;"pvp",Inputs!$B$43&gt;0),(((R311-1)*(Skills!T15*(1+Inputs!$B$34/100))+MIN((Skills!T15*(1+Inputs!$B$34/100)),MAX(0,Inputs!$B$43-((R311-1)*Skills!D15))))/Inputs!$B$43),IF(Inputs!$B$38="pvp",MIN((Skills!T15*(1+Inputs!$B$34/100)),15)/15,(Skills!T15*(1+Inputs!$B$34/100))/Skills!D15)))+((C308=TRUE)*F308)+((C325=TRUE)*(F325-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305)</f>
        <v/>
      </c>
      <c r="L305">
        <f>K305*(MIN(Inputs!$B$22+((C319=TRUE)*(F319-Calc!F23)),(Inputs!$B$23+((C324=TRUE)*(F324-Calc!F28))+(IF(ArtifactsInput!$M$15,CHOOSE(ArtifactsInput!$N$15+1,25,30,35,40,45,50)/100*(Inputs!$B$11-Inputs!$B$11),0))))/100+(Inputs!$B$23+((C324=TRUE)*(F324-Calc!F28))+(IF(ArtifactsInput!$M$15,CHOOSE(ArtifactsInput!$N$15+1,25,30,35,40,45,50)/100*(Inputs!$B$11-Inputs!$B$11),0)))/100)/2</f>
        <v/>
      </c>
      <c r="M305">
        <f>L305*(1+(Inputs!$B$10+0+B333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05">
        <f>L305*(1-MIN((Inputs!$B$9+((C315=TRUE)*(F315-Calc!F19))+B328+(ArtifactsInput!$M$24-ArtifactsInput!$M$24)*CHOOSE(ArtifactsInput!$N$24+1,10,12,14,16,18,20)+(IF(AND(ArtifactsInput!$M$42,((Inputs!$B$9+((C315=TRUE)*(F315-Calc!F19))+B328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305*(MIN((Inputs!$B$9+((C315=TRUE)*(F315-Calc!F19))+B328+(ArtifactsInput!$M$24-ArtifactsInput!$M$24)*CHOOSE(ArtifactsInput!$N$24+1,10,12,14,16,18,20)+(IF(AND(ArtifactsInput!$M$42,((Inputs!$B$9+((C315=TRUE)*(F315-Calc!F19))+B328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05">
        <f>(1-Summary!$B$11)*T305+Summary!$B$11*V305</f>
        <v/>
      </c>
      <c r="P305">
        <f>IF(B338=0,0,O305/B338)</f>
        <v/>
      </c>
      <c r="Q305">
        <f>IFERROR(1/IF(Inputs!$B$38="pvp",15,MAX(0.1,Skills!D9-IF(Skills!E9=TRUE,Inputs!$B$32,0))),0)</f>
        <v/>
      </c>
      <c r="R305">
        <f>IF(AND(Inputs!$B$38&lt;&gt;"pvp",Inputs!$B$43&gt;0),IF(MAX(0,Inputs!$B$43-B335)&lt;=0,0,(INT(MAX(0,Inputs!$B$43-B335)/IF(Inputs!$B$38="pvp",15,MAX(0.1,Skills!D9-IF(Skills!E9=TRUE,Inputs!$B$32,0))))+1)),0)</f>
        <v/>
      </c>
      <c r="S305">
        <f>IFERROR((H305*N305*IF(AND(Inputs!$B$38&lt;&gt;"pvp",Inputs!$B$43&gt;0),((Skills!G9*((R305-1)*IF(Skills!H9&gt;0,Skills!I9/Skills!H9,1)+IF(Skills!H9&gt;0,MIN(Skills!I9,MAX(0,MAX(0,Inputs!$B$43-B335)-((R305-1)*IF(Inputs!$B$38="pvp",15,MAX(0.1,Skills!D9-IF(Skills!E9=TRUE,Inputs!$B$32,0))))))/Skills!H9,1)))/Inputs!$B$43),G305*Q305))/N305*IF(Inputs!$B$38="pvp",1,(1-Summary!$B$11)*1+Summary!$B$11*(MIN(Skills!R9,Inputs!$B$37))),0)</f>
        <v/>
      </c>
      <c r="T305">
        <f>IF(C305,(H305*N305*IF(AND(Inputs!$B$38&lt;&gt;"pvp",Inputs!$B$43&gt;0),((Skills!G9*((R305-1)*IF(Skills!H9&gt;0,Skills!I9/Skills!H9,1)+IF(Skills!H9&gt;0,MIN(Skills!I9,MAX(0,MAX(0,Inputs!$B$43-B335)-((R305-1)*IF(Inputs!$B$38="pvp",15,MAX(0.1,Skills!D9-IF(Skills!E9=TRUE,Inputs!$B$32,0))))))/Skills!H9,1)))/Inputs!$B$43),G305*Q305))*IF(Inputs!$B$38="pvp",1,1+((Inputs!$B$20+1)+0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Hunt"),CHOOSE(ArtifactsInput!$N$35+1,15,18,21,24,27,30)*(1-EXP(-(0.2*B330)*5)),0)+IF(AND(ArtifactsInput!$M$22,Inputs!$B$4&lt;&gt;"Chapter Hunt"),CHOOSE(ArtifactsInput!$N$22+1,10,12,14,16,18,20)*((0*(((0.15*B330*5))^0/1)+1*(((0.15*B330*5))^1/1)+2*(((0.15*B330*5))^2/2)+3*(((0.15*B330*5))^3/6)+4*(((0.15*B330*5))^4/24)+5*(((0.15*B330*5))^5/120))/((((0.15*B330*5))^0/1)+(((0.15*B330*5))^1/1)+(((0.15*B330*5))^2/2)+(((0.15*B330*5))^3/6)+(((0.15*B330*5))^4/24)+(((0.15*B330*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305*(1-MIN(100,(Inputs!$B$9+((C315=TRUE)*(F315-Calc!F19))+B328+(ArtifactsInput!$M$24-ArtifactsInput!$M$24)*CHOOSE(ArtifactsInput!$N$24+1,10,12,14,16,18,20)+(IF(AND(ArtifactsInput!$M$42,((Inputs!$B$9+((C315=TRUE)*(F315-Calc!F19))+B328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305*(MIN(100,(Inputs!$B$9+((C315=TRUE)*(F315-Calc!F19))+B328+(ArtifactsInput!$M$24-ArtifactsInput!$M$24)*CHOOSE(ArtifactsInput!$N$24+1,10,12,14,16,18,20)+(IF(AND(ArtifactsInput!$M$42,((Inputs!$B$9+((C315=TRUE)*(F315-Calc!F19))+B328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305*(1-MIN(100,(Inputs!$B$9+((C315=TRUE)*(F315-Calc!F19))+B328+(ArtifactsInput!$M$24-ArtifactsInput!$M$24)*CHOOSE(ArtifactsInput!$N$24+1,10,12,14,16,18,20)+(IF(AND(ArtifactsInput!$M$42,((Inputs!$B$9+((C315=TRUE)*(F315-Calc!F19))+B328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305*(MIN(100,(Inputs!$B$9+((C315=TRUE)*(F315-Calc!F19))+B328+(ArtifactsInput!$M$24-ArtifactsInput!$M$24)*CHOOSE(ArtifactsInput!$N$24+1,10,12,14,16,18,20)+(IF(AND(ArtifactsInput!$M$42,((Inputs!$B$9+((C315=TRUE)*(F315-Calc!F19))+B328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05">
        <f>IF(C305,(H305*N305*IF(AND(Inputs!$B$38&lt;&gt;"pvp",Inputs!$B$43&gt;0),((Skills!G9*((R305-1)*IF(Skills!H9&gt;0,Skills!I9/Skills!H9,1)+IF(Skills!H9&gt;0,MIN(Skills!I9,MAX(0,MAX(0,Inputs!$B$43-B335)-((R305-1)*IF(Inputs!$B$38="pvp",15,MAX(0.1,Skills!D9-IF(Skills!E9=TRUE,Inputs!$B$32,0))))))/Skills!H9,1)))/Inputs!$B$43),G305*Q305))*IF(Inputs!$B$38="pvp",1,(1+(Inputs!$B$21+Skills!Q9+(IF(ArtifactsInput!$M$33,CHOOSE(ArtifactsInput!$N$33+1,30,36,42,48,54,60),0))+(IF(AND(ArtifactsInput!$M$35,Inputs!$B$4&lt;&gt;"Chapter Hunt"),CHOOSE(ArtifactsInput!$N$35+1,15,18,21,24,27,30)*(1-EXP(-(0.2*B330)*5)),0)+IF(AND(ArtifactsInput!$M$22,Inputs!$B$4&lt;&gt;"Chapter Hunt"),CHOOSE(ArtifactsInput!$N$22+1,10,12,14,16,18,20)*((0*(((0.15*B330*5))^0/1)+1*(((0.15*B330*5))^1/1)+2*(((0.15*B330*5))^2/2)+3*(((0.15*B330*5))^3/6)+4*(((0.15*B330*5))^4/24)+5*(((0.15*B330*5))^5/120))/((((0.15*B330*5))^0/1)+(((0.15*B330*5))^1/1)+(((0.15*B330*5))^2/2)+(((0.15*B330*5))^3/6)+(((0.15*B330*5))^4/24)+(((0.15*B330*5))^5/120)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06">
      <c r="A306">
        <f>Skills!A10</f>
        <v/>
      </c>
      <c r="B306">
        <f>Skills!B10</f>
        <v/>
      </c>
      <c r="C306">
        <f>Inputs!$B$3&gt;=107</f>
        <v/>
      </c>
      <c r="D306">
        <f>IF(Skills!C10=1,60+Inputs!$B$25+Inputs!$B$29,IF(Skills!C10=2,90+Inputs!$B$26+Inputs!$B$29,IF(Skills!C10=3,120+Inputs!$B$27+Inputs!$B$29,MAX(0,(Inputs!$B$3-100)*3)+Inputs!$B$28+Inputs!$B$29)))</f>
        <v/>
      </c>
      <c r="E306">
        <f>INDEX(FactorTable!$B$2:$Y$301, MATCH(ROUND(MIN(300,MAX(1,D306)),0), FactorTable!$A$2:$A$301,0), Skills!M10+1)</f>
        <v/>
      </c>
      <c r="F306">
        <f>IF(Skills!N10=TRUE,(Skills!L10/10)*(E306/1000),Skills!L10/10)+Skills!O10</f>
        <v/>
      </c>
      <c r="G306">
        <f>Skills!G10*IF(Skills!H10&gt;0,Skills!I10/Skills!H10,1)</f>
        <v/>
      </c>
      <c r="H306">
        <f>1-(1-Skills!J10/100)^Skills!K10</f>
        <v/>
      </c>
      <c r="I306" t="inlineStr">
        <is>
          <t>1</t>
        </is>
      </c>
      <c r="J306">
        <f>((Inputs!$B$6*(1+Inputs!$B$7/100))+(((Inputs!$B$12*(1+Inputs!$B$13/100))-(Inputs!$B$12*(1+Inputs!$B$13/100)))+0.25*(Inputs!$B$14-Inputs!$B$14))*(1+Inputs!$B$7/100))*(F306/100)</f>
        <v/>
      </c>
      <c r="K306">
        <f>J306*(1+((Inputs!$B$12*(1+Inputs!$B$13/100))*0.01+Inputs!$B$14*0.0025)/100)*(1+Inputs!$B$15/100)*(1+Inputs!$B$16/100)*(5000/(6000+Inputs!$B$42*(1-(100*(1-(1-(Inputs!$B$19+0)/100)*(1-CHOOSE(ArtifactsInput!$N$40+1,5,6,7,8,9,10)/100)^(ArtifactsInput!$M$40-ArtifactsInput!$M$40)))/100)))*(1+(Inputs!$B$24+((C320=TRUE)*(F320-Calc!F24))+((C321=TRUE)*(F321-Calc!F25))+B334)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EMPOWERED_PIERCING_ARROW",Inputs!$B$17+((C318=TRUE)*(F318-Calc!F22))+(((IF(AND(ArtifactsInput!$M$42,((Inputs!$B$9+((C315=TRUE)*(F315-Calc!F19))+B328+(ArtifactsInput!$M$24-ArtifactsInput!$M$24)*CHOOSE(ArtifactsInput!$N$24+1,10,12,14,16,18,20)+IF(ArtifactsInput!$M$10,CHOOSE(ArtifactsInput!$N$10+1,15,18,21,24,27,30)*(IF(Inputs!$B$38="pvp",MIN(15,15)/15,IF(AND(Inputs!$B$38&lt;&gt;"pvp",Inputs!$B$43&gt;0),MIN(15,Inputs!$B$43)/(Inputs!$B$43),0))),0)))&gt;=100),MIN(100,((Inputs!$B$9+((C315=TRUE)*(F315-Calc!F19))+B328+(ArtifactsInput!$M$24-ArtifactsInput!$M$24)*CHOOSE(ArtifactsInput!$N$24+1,10,12,14,16,18,20)+IF(ArtifactsInput!$M$10,CHOOSE(ArtifactsInput!$N$10+1,15,18,21,24,27,30)*(IF(Inputs!$B$38="pvp",MIN(15,15)/15,IF(AND(Inputs!$B$38&lt;&gt;"pvp",Inputs!$B$43&gt;0),MIN(15,Inputs!$B$43)/(Inputs!$B$43),0))),0)))-100),0))*CHOOSE(ArtifactsInput!$N$42+1,0.6,0.72,0.84,0.96,1.08,1.2))),Inputs!$B$18+((C323=TRUE)*(F323-Calc!F27))+(IF(AND(ArtifactsInput!$M$42,((Inputs!$B$9+((C315=TRUE)*(F315-Calc!F19))+B328+(ArtifactsInput!$M$24-ArtifactsInput!$M$24)*CHOOSE(ArtifactsInput!$N$24+1,10,12,14,16,18,20)+IF(ArtifactsInput!$M$10,CHOOSE(ArtifactsInput!$N$10+1,15,18,21,24,27,30)*(IF(Inputs!$B$38="pvp",MIN(15,15)/15,IF(AND(Inputs!$B$38&lt;&gt;"pvp",Inputs!$B$43&gt;0),MIN(15,Inputs!$B$43)/(Inputs!$B$43),0))),0)))&gt;=100),CHOOSE(ArtifactsInput!$N$42+1,40,48,56,64,72,80),0))))/100)*((1+(((C309=TRUE)*F309)+((C310=TRUE)*IF(Inputs!$B$38="pvp",F310,(1-Summary!$B$11)*(F310)+Summary!$B$11*(0)))+((C311=TRUE)*F311*IF(AND(Inputs!$B$38&lt;&gt;"pvp",Inputs!$B$43&gt;0),(((R311-1)*(Skills!T15*(1+Inputs!$B$34/100))+MIN((Skills!T15*(1+Inputs!$B$34/100)),MAX(0,Inputs!$B$43-((R311-1)*Skills!D15))))/Inputs!$B$43),IF(Inputs!$B$38="pvp",MIN((Skills!T15*(1+Inputs!$B$34/100)),15)/15,(Skills!T15*(1+Inputs!$B$34/100))/Skills!D15)))+((C308=TRUE)*F308)+((C325=TRUE)*(F325-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306)</f>
        <v/>
      </c>
      <c r="L306">
        <f>K306*(MIN(Inputs!$B$22+((C319=TRUE)*(F319-Calc!F23)),(Inputs!$B$23+((C324=TRUE)*(F324-Calc!F28))+(IF(ArtifactsInput!$M$15,CHOOSE(ArtifactsInput!$N$15+1,25,30,35,40,45,50)/100*(Inputs!$B$11-Inputs!$B$11),0))))/100+(Inputs!$B$23+((C324=TRUE)*(F324-Calc!F28))+(IF(ArtifactsInput!$M$15,CHOOSE(ArtifactsInput!$N$15+1,25,30,35,40,45,50)/100*(Inputs!$B$11-Inputs!$B$11),0)))/100)/2</f>
        <v/>
      </c>
      <c r="M306">
        <f>L306*(1+(Inputs!$B$10+0+B333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06">
        <f>L306*(1-MIN((Inputs!$B$9+((C315=TRUE)*(F315-Calc!F19))+B328+(ArtifactsInput!$M$24-ArtifactsInput!$M$24)*CHOOSE(ArtifactsInput!$N$24+1,10,12,14,16,18,20)+(IF(AND(ArtifactsInput!$M$42,((Inputs!$B$9+((C315=TRUE)*(F315-Calc!F19))+B328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306*(MIN((Inputs!$B$9+((C315=TRUE)*(F315-Calc!F19))+B328+(ArtifactsInput!$M$24-ArtifactsInput!$M$24)*CHOOSE(ArtifactsInput!$N$24+1,10,12,14,16,18,20)+(IF(AND(ArtifactsInput!$M$42,((Inputs!$B$9+((C315=TRUE)*(F315-Calc!F19))+B328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06">
        <f>(1-Summary!$B$11)*T306+Summary!$B$11*V306</f>
        <v/>
      </c>
      <c r="P306">
        <f>IF(B338=0,0,O306/B338)</f>
        <v/>
      </c>
      <c r="Q306" t="n">
        <v>0</v>
      </c>
      <c r="R306" t="n">
        <v>0</v>
      </c>
      <c r="S306" t="n">
        <v>0</v>
      </c>
      <c r="T306">
        <f>IF(C306,(0.15*SUMPRODUCT((Skills!U2:U29=TRUE)*(C298:C325=TRUE)*S298:S325)*Skills!G10*N306)*IF(Inputs!$B$38="pvp",1,1+((Inputs!$B$20+1)+0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Hunt"),CHOOSE(ArtifactsInput!$N$35+1,15,18,21,24,27,30)*(1-EXP(-(0.2*B330)*5)),0)+IF(AND(ArtifactsInput!$M$22,Inputs!$B$4&lt;&gt;"Chapter Hunt"),CHOOSE(ArtifactsInput!$N$22+1,10,12,14,16,18,20)*((0*(((0.15*B330*5))^0/1)+1*(((0.15*B330*5))^1/1)+2*(((0.15*B330*5))^2/2)+3*(((0.15*B330*5))^3/6)+4*(((0.15*B330*5))^4/24)+5*(((0.15*B330*5))^5/120))/((((0.15*B330*5))^0/1)+(((0.15*B330*5))^1/1)+(((0.15*B330*5))^2/2)+(((0.15*B330*5))^3/6)+(((0.15*B330*5))^4/24)+(((0.15*B330*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306*(1-MIN(100,(Inputs!$B$9+((C315=TRUE)*(F315-Calc!F19))+B328+(ArtifactsInput!$M$24-ArtifactsInput!$M$24)*CHOOSE(ArtifactsInput!$N$24+1,10,12,14,16,18,20)+(IF(AND(ArtifactsInput!$M$42,((Inputs!$B$9+((C315=TRUE)*(F315-Calc!F19))+B328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306*(MIN(100,(Inputs!$B$9+((C315=TRUE)*(F315-Calc!F19))+B328+(ArtifactsInput!$M$24-ArtifactsInput!$M$24)*CHOOSE(ArtifactsInput!$N$24+1,10,12,14,16,18,20)+(IF(AND(ArtifactsInput!$M$42,((Inputs!$B$9+((C315=TRUE)*(F315-Calc!F19))+B328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306*(1-MIN(100,(Inputs!$B$9+((C315=TRUE)*(F315-Calc!F19))+B328+(ArtifactsInput!$M$24-ArtifactsInput!$M$24)*CHOOSE(ArtifactsInput!$N$24+1,10,12,14,16,18,20)+(IF(AND(ArtifactsInput!$M$42,((Inputs!$B$9+((C315=TRUE)*(F315-Calc!F19))+B328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306*(MIN(100,(Inputs!$B$9+((C315=TRUE)*(F315-Calc!F19))+B328+(ArtifactsInput!$M$24-ArtifactsInput!$M$24)*CHOOSE(ArtifactsInput!$N$24+1,10,12,14,16,18,20)+(IF(AND(ArtifactsInput!$M$42,((Inputs!$B$9+((C315=TRUE)*(F315-Calc!F19))+B328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06">
        <f>IF(C306,(0.15*SUMPRODUCT((Skills!U2:U29=TRUE)*(C298:C325=TRUE)*S298:S325)*Skills!G10*N306)*IF(Inputs!$B$38="pvp",1,(1+(Inputs!$B$21+Skills!Q10+(IF(ArtifactsInput!$M$33,CHOOSE(ArtifactsInput!$N$33+1,30,36,42,48,54,60),0))+(IF(AND(ArtifactsInput!$M$35,Inputs!$B$4&lt;&gt;"Chapter Hunt"),CHOOSE(ArtifactsInput!$N$35+1,15,18,21,24,27,30)*(1-EXP(-(0.2*B330)*5)),0)+IF(AND(ArtifactsInput!$M$22,Inputs!$B$4&lt;&gt;"Chapter Hunt"),CHOOSE(ArtifactsInput!$N$22+1,10,12,14,16,18,20)*((0*(((0.15*B330*5))^0/1)+1*(((0.15*B330*5))^1/1)+2*(((0.15*B330*5))^2/2)+3*(((0.15*B330*5))^3/6)+4*(((0.15*B330*5))^4/24)+5*(((0.15*B330*5))^5/120))/((((0.15*B330*5))^0/1)+(((0.15*B330*5))^1/1)+(((0.15*B330*5))^2/2)+(((0.15*B330*5))^3/6)+(((0.15*B330*5))^4/24)+(((0.15*B330*5))^5/120)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07">
      <c r="A307">
        <f>Skills!A11</f>
        <v/>
      </c>
      <c r="B307">
        <f>Skills!B11</f>
        <v/>
      </c>
      <c r="C307">
        <f>Inputs!$B$3&gt;=110</f>
        <v/>
      </c>
      <c r="D307">
        <f>IF(Skills!C11=1,60+Inputs!$B$25+Inputs!$B$29,IF(Skills!C11=2,90+Inputs!$B$26+Inputs!$B$29,IF(Skills!C11=3,120+Inputs!$B$27+Inputs!$B$29,MAX(0,(Inputs!$B$3-100)*3)+Inputs!$B$28+Inputs!$B$29)))</f>
        <v/>
      </c>
      <c r="E307">
        <f>INDEX(FactorTable!$B$2:$Y$301, MATCH(ROUND(MIN(300,MAX(1,D307)),0), FactorTable!$A$2:$A$301,0), Skills!M11+1)</f>
        <v/>
      </c>
      <c r="F307">
        <f>IF(Skills!N11=TRUE,(Skills!L11/10)*(E307/1000),Skills!L11/10)+Skills!O11</f>
        <v/>
      </c>
      <c r="G307">
        <f>Skills!G11*IF(Skills!H11&gt;0,Skills!I11/Skills!H11,1)</f>
        <v/>
      </c>
      <c r="H307">
        <f>1-(1-Skills!J11/100)^Skills!K11</f>
        <v/>
      </c>
      <c r="I307" t="inlineStr">
        <is>
          <t>1</t>
        </is>
      </c>
      <c r="J307">
        <f>((Inputs!$B$6*(1+Inputs!$B$7/100))+(((Inputs!$B$12*(1+Inputs!$B$13/100))-(Inputs!$B$12*(1+Inputs!$B$13/100)))+0.25*(Inputs!$B$14-Inputs!$B$14))*(1+Inputs!$B$7/100))*(F307/100)</f>
        <v/>
      </c>
      <c r="K307">
        <f>J307*(1+((Inputs!$B$12*(1+Inputs!$B$13/100))*0.01+Inputs!$B$14*0.0025)/100)*(1+Inputs!$B$15/100)*(1+Inputs!$B$16/100)*(5000/(6000+Inputs!$B$42*(1-(100*(1-(1-(Inputs!$B$19+0)/100)*(1-CHOOSE(ArtifactsInput!$N$40+1,5,6,7,8,9,10)/100)^(ArtifactsInput!$M$40-ArtifactsInput!$M$40)))/100)))*(1+(Inputs!$B$24+((C320=TRUE)*(F320-Calc!F24))+((C321=TRUE)*(F321-Calc!F25))+B334)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11="EMPOWERED_PIERCING_ARROW",Inputs!$B$17+((C318=TRUE)*(F318-Calc!F22))+(((IF(AND(ArtifactsInput!$M$42,((Inputs!$B$9+((C315=TRUE)*(F315-Calc!F19))+B328+(ArtifactsInput!$M$24-ArtifactsInput!$M$24)*CHOOSE(ArtifactsInput!$N$24+1,10,12,14,16,18,20)+IF(ArtifactsInput!$M$10,CHOOSE(ArtifactsInput!$N$10+1,15,18,21,24,27,30)*(IF(Inputs!$B$38="pvp",MIN(15,15)/15,IF(AND(Inputs!$B$38&lt;&gt;"pvp",Inputs!$B$43&gt;0),MIN(15,Inputs!$B$43)/(Inputs!$B$43),0))),0)))&gt;=100),MIN(100,((Inputs!$B$9+((C315=TRUE)*(F315-Calc!F19))+B328+(ArtifactsInput!$M$24-ArtifactsInput!$M$24)*CHOOSE(ArtifactsInput!$N$24+1,10,12,14,16,18,20)+IF(ArtifactsInput!$M$10,CHOOSE(ArtifactsInput!$N$10+1,15,18,21,24,27,30)*(IF(Inputs!$B$38="pvp",MIN(15,15)/15,IF(AND(Inputs!$B$38&lt;&gt;"pvp",Inputs!$B$43&gt;0),MIN(15,Inputs!$B$43)/(Inputs!$B$43),0))),0)))-100),0))*CHOOSE(ArtifactsInput!$N$42+1,0.6,0.72,0.84,0.96,1.08,1.2))),Inputs!$B$18+((C323=TRUE)*(F323-Calc!F27))+(IF(AND(ArtifactsInput!$M$42,((Inputs!$B$9+((C315=TRUE)*(F315-Calc!F19))+B328+(ArtifactsInput!$M$24-ArtifactsInput!$M$24)*CHOOSE(ArtifactsInput!$N$24+1,10,12,14,16,18,20)+IF(ArtifactsInput!$M$10,CHOOSE(ArtifactsInput!$N$10+1,15,18,21,24,27,30)*(IF(Inputs!$B$38="pvp",MIN(15,15)/15,IF(AND(Inputs!$B$38&lt;&gt;"pvp",Inputs!$B$43&gt;0),MIN(15,Inputs!$B$43)/(Inputs!$B$43),0))),0)))&gt;=100),CHOOSE(ArtifactsInput!$N$42+1,40,48,56,64,72,80),0))))/100)*((1+(((C309=TRUE)*F309)+((C310=TRUE)*IF(Inputs!$B$38="pvp",F310,(1-Summary!$B$11)*(F310)+Summary!$B$11*(0)))+((C311=TRUE)*F311*IF(AND(Inputs!$B$38&lt;&gt;"pvp",Inputs!$B$43&gt;0),(((R311-1)*(Skills!T15*(1+Inputs!$B$34/100))+MIN((Skills!T15*(1+Inputs!$B$34/100)),MAX(0,Inputs!$B$43-((R311-1)*Skills!D15))))/Inputs!$B$43),IF(Inputs!$B$38="pvp",MIN((Skills!T15*(1+Inputs!$B$34/100)),15)/15,(Skills!T15*(1+Inputs!$B$34/100))/Skills!D15)))+((C308=TRUE)*F308)+((C325=TRUE)*(F325-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307)</f>
        <v/>
      </c>
      <c r="L307">
        <f>K307*(MIN(Inputs!$B$22+((C319=TRUE)*(F319-Calc!F23)),(Inputs!$B$23+((C324=TRUE)*(F324-Calc!F28))+(IF(ArtifactsInput!$M$15,CHOOSE(ArtifactsInput!$N$15+1,25,30,35,40,45,50)/100*(Inputs!$B$11-Inputs!$B$11),0))))/100+(Inputs!$B$23+((C324=TRUE)*(F324-Calc!F28))+(IF(ArtifactsInput!$M$15,CHOOSE(ArtifactsInput!$N$15+1,25,30,35,40,45,50)/100*(Inputs!$B$11-Inputs!$B$11),0)))/100)/2</f>
        <v/>
      </c>
      <c r="M307">
        <f>L307*(1+(Inputs!$B$10+0+B333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07">
        <f>L307*(1-MIN((Inputs!$B$9+((C315=TRUE)*(F315-Calc!F19))+B328+(ArtifactsInput!$M$24-ArtifactsInput!$M$24)*CHOOSE(ArtifactsInput!$N$24+1,10,12,14,16,18,20)+(IF(AND(ArtifactsInput!$M$42,((Inputs!$B$9+((C315=TRUE)*(F315-Calc!F19))+B328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307*(MIN((Inputs!$B$9+((C315=TRUE)*(F315-Calc!F19))+B328+(ArtifactsInput!$M$24-ArtifactsInput!$M$24)*CHOOSE(ArtifactsInput!$N$24+1,10,12,14,16,18,20)+(IF(AND(ArtifactsInput!$M$42,((Inputs!$B$9+((C315=TRUE)*(F315-Calc!F19))+B328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07">
        <f>(1-Summary!$B$11)*T307+Summary!$B$11*V307</f>
        <v/>
      </c>
      <c r="P307">
        <f>IF(B338=0,0,O307/B338)</f>
        <v/>
      </c>
      <c r="Q307">
        <f>IFERROR(1/IF(Inputs!$B$38="pvp",15,MAX(0.1,Skills!D11-IF(Skills!E11=TRUE,Inputs!$B$32,0))),0)</f>
        <v/>
      </c>
      <c r="R307">
        <f>IF(AND(Inputs!$B$38&lt;&gt;"pvp",Inputs!$B$43&gt;0),IF(MAX(0,Inputs!$B$43-B335)&lt;=0,0,(INT(MAX(0,Inputs!$B$43-B335)/IF(Inputs!$B$38="pvp",15,MAX(0.1,Skills!D11-IF(Skills!E11=TRUE,Inputs!$B$32,0))))+1)),0)</f>
        <v/>
      </c>
      <c r="S307">
        <f>IFERROR((H307*N307*IF(AND(Inputs!$B$38&lt;&gt;"pvp",Inputs!$B$43&gt;0),((Skills!G11*((R307-1)*IF(Skills!H11&gt;0,Skills!I11/Skills!H11,1)+IF(Skills!H11&gt;0,MIN(Skills!I11,MAX(0,MAX(0,Inputs!$B$43-B335)-((R307-1)*IF(Inputs!$B$38="pvp",15,MAX(0.1,Skills!D11-IF(Skills!E11=TRUE,Inputs!$B$32,0))))))/Skills!H11,1)))/Inputs!$B$43),G307*Q307))/N307*IF(Inputs!$B$38="pvp",1,(1-Summary!$B$11)*1+Summary!$B$11*(MIN(Skills!R11,Inputs!$B$37))),0)</f>
        <v/>
      </c>
      <c r="T307">
        <f>IF(C307,(H307*N307*IF(AND(Inputs!$B$38&lt;&gt;"pvp",Inputs!$B$43&gt;0),((Skills!G11*((R307-1)*IF(Skills!H11&gt;0,Skills!I11/Skills!H11,1)+IF(Skills!H11&gt;0,MIN(Skills!I11,MAX(0,MAX(0,Inputs!$B$43-B335)-((R307-1)*IF(Inputs!$B$38="pvp",15,MAX(0.1,Skills!D11-IF(Skills!E11=TRUE,Inputs!$B$32,0))))))/Skills!H11,1)))/Inputs!$B$43),G307*Q307))*IF(Inputs!$B$38="pvp",1,1+((Inputs!$B$20+1)+0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Hunt"),CHOOSE(ArtifactsInput!$N$35+1,15,18,21,24,27,30)*(1-EXP(-(0.2*B330)*5)),0)+IF(AND(ArtifactsInput!$M$22,Inputs!$B$4&lt;&gt;"Chapter Hunt"),CHOOSE(ArtifactsInput!$N$22+1,10,12,14,16,18,20)*((0*(((0.15*B330*5))^0/1)+1*(((0.15*B330*5))^1/1)+2*(((0.15*B330*5))^2/2)+3*(((0.15*B330*5))^3/6)+4*(((0.15*B330*5))^4/24)+5*(((0.15*B330*5))^5/120))/((((0.15*B330*5))^0/1)+(((0.15*B330*5))^1/1)+(((0.15*B330*5))^2/2)+(((0.15*B330*5))^3/6)+(((0.15*B330*5))^4/24)+(((0.15*B330*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307*(1-MIN(100,(Inputs!$B$9+((C315=TRUE)*(F315-Calc!F19))+B328+(ArtifactsInput!$M$24-ArtifactsInput!$M$24)*CHOOSE(ArtifactsInput!$N$24+1,10,12,14,16,18,20)+(IF(AND(ArtifactsInput!$M$42,((Inputs!$B$9+((C315=TRUE)*(F315-Calc!F19))+B328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307*(MIN(100,(Inputs!$B$9+((C315=TRUE)*(F315-Calc!F19))+B328+(ArtifactsInput!$M$24-ArtifactsInput!$M$24)*CHOOSE(ArtifactsInput!$N$24+1,10,12,14,16,18,20)+(IF(AND(ArtifactsInput!$M$42,((Inputs!$B$9+((C315=TRUE)*(F315-Calc!F19))+B328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307*(1-MIN(100,(Inputs!$B$9+((C315=TRUE)*(F315-Calc!F19))+B328+(ArtifactsInput!$M$24-ArtifactsInput!$M$24)*CHOOSE(ArtifactsInput!$N$24+1,10,12,14,16,18,20)+(IF(AND(ArtifactsInput!$M$42,((Inputs!$B$9+((C315=TRUE)*(F315-Calc!F19))+B328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307*(MIN(100,(Inputs!$B$9+((C315=TRUE)*(F315-Calc!F19))+B328+(ArtifactsInput!$M$24-ArtifactsInput!$M$24)*CHOOSE(ArtifactsInput!$N$24+1,10,12,14,16,18,20)+(IF(AND(ArtifactsInput!$M$42,((Inputs!$B$9+((C315=TRUE)*(F315-Calc!F19))+B328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07">
        <f>IF(C307,(H307*N307*IF(AND(Inputs!$B$38&lt;&gt;"pvp",Inputs!$B$43&gt;0),((Skills!G11*((R307-1)*IF(Skills!H11&gt;0,Skills!I11/Skills!H11,1)+IF(Skills!H11&gt;0,MIN(Skills!I11,MAX(0,MAX(0,Inputs!$B$43-B335)-((R307-1)*IF(Inputs!$B$38="pvp",15,MAX(0.1,Skills!D11-IF(Skills!E11=TRUE,Inputs!$B$32,0))))))/Skills!H11,1)))/Inputs!$B$43),G307*Q307))*IF(Inputs!$B$38="pvp",1,(1+(Inputs!$B$21+Skills!Q11+(IF(ArtifactsInput!$M$33,CHOOSE(ArtifactsInput!$N$33+1,30,36,42,48,54,60),0))+(IF(AND(ArtifactsInput!$M$35,Inputs!$B$4&lt;&gt;"Chapter Hunt"),CHOOSE(ArtifactsInput!$N$35+1,15,18,21,24,27,30)*(1-EXP(-(0.2*B330)*5)),0)+IF(AND(ArtifactsInput!$M$22,Inputs!$B$4&lt;&gt;"Chapter Hunt"),CHOOSE(ArtifactsInput!$N$22+1,10,12,14,16,18,20)*((0*(((0.15*B330*5))^0/1)+1*(((0.15*B330*5))^1/1)+2*(((0.15*B330*5))^2/2)+3*(((0.15*B330*5))^3/6)+4*(((0.15*B330*5))^4/24)+5*(((0.15*B330*5))^5/120))/((((0.15*B330*5))^0/1)+(((0.15*B330*5))^1/1)+(((0.15*B330*5))^2/2)+(((0.15*B330*5))^3/6)+(((0.15*B330*5))^4/24)+(((0.15*B330*5))^5/120))),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08">
      <c r="A308">
        <f>Skills!A12</f>
        <v/>
      </c>
      <c r="B308">
        <f>Skills!B12</f>
        <v/>
      </c>
      <c r="C308">
        <f>Inputs!$B$3&gt;=60</f>
        <v/>
      </c>
      <c r="D308">
        <f>IF(Skills!C12=1,60+Inputs!$B$25+Inputs!$B$29,IF(Skills!C12=2,90+Inputs!$B$26+Inputs!$B$29,IF(Skills!C12=3,120+Inputs!$B$27+Inputs!$B$29,MAX(0,(Inputs!$B$3-100)*3)+Inputs!$B$28+Inputs!$B$29)))</f>
        <v/>
      </c>
      <c r="E308">
        <f>INDEX(FactorTable!$B$2:$Y$301, MATCH(ROUND(MIN(300,MAX(1,D308)),0), FactorTable!$A$2:$A$301,0), Skills!M12+1)</f>
        <v/>
      </c>
      <c r="F308">
        <f>IF(Skills!N12=TRUE,(Skills!L12/10)*(E308/1000),Skills!L12/10)+Skills!O12</f>
        <v/>
      </c>
      <c r="G308">
        <f>Skills!G12*IF(Skills!H12&gt;0,Skills!I12/Skills!H12,1)</f>
        <v/>
      </c>
      <c r="H308">
        <f>1-(1-Skills!J12/100)^Skills!K12</f>
        <v/>
      </c>
      <c r="I308" t="inlineStr">
        <is>
          <t>1</t>
        </is>
      </c>
      <c r="J308" t="inlineStr"/>
      <c r="K308" t="inlineStr"/>
      <c r="L308" t="inlineStr"/>
      <c r="M308" t="inlineStr"/>
      <c r="N308" t="inlineStr"/>
      <c r="O308">
        <f>(1-Summary!$B$11)*T308+Summary!$B$11*V308</f>
        <v/>
      </c>
      <c r="P308">
        <f>IF(B338=0,0,O308/B338)</f>
        <v/>
      </c>
      <c r="Q308" t="n">
        <v>0</v>
      </c>
      <c r="R308" t="n">
        <v>0</v>
      </c>
      <c r="S308" t="n">
        <v>0</v>
      </c>
      <c r="T308" t="n">
        <v>0</v>
      </c>
      <c r="V308" t="n">
        <v>0</v>
      </c>
    </row>
    <row r="309">
      <c r="A309">
        <f>Skills!A13</f>
        <v/>
      </c>
      <c r="B309">
        <f>Skills!B13</f>
        <v/>
      </c>
      <c r="C309">
        <f>Inputs!$B$3&gt;=74</f>
        <v/>
      </c>
      <c r="D309">
        <f>IF(Skills!C13=1,60+Inputs!$B$25+Inputs!$B$29,IF(Skills!C13=2,90+Inputs!$B$26+Inputs!$B$29,IF(Skills!C13=3,120+Inputs!$B$27+Inputs!$B$29,MAX(0,(Inputs!$B$3-100)*3)+Inputs!$B$28+Inputs!$B$29)))</f>
        <v/>
      </c>
      <c r="E309">
        <f>INDEX(FactorTable!$B$2:$Y$301, MATCH(ROUND(MIN(300,MAX(1,D309)),0), FactorTable!$A$2:$A$301,0), Skills!M13+1)</f>
        <v/>
      </c>
      <c r="F309">
        <f>IF(Skills!N13=TRUE,(Skills!L13/10)*(E309/1000),Skills!L13/10)+Skills!O13</f>
        <v/>
      </c>
      <c r="G309">
        <f>Skills!G13*IF(Skills!H13&gt;0,Skills!I13/Skills!H13,1)</f>
        <v/>
      </c>
      <c r="H309">
        <f>1-(1-Skills!J13/100)^Skills!K13</f>
        <v/>
      </c>
      <c r="I309" t="inlineStr">
        <is>
          <t>1</t>
        </is>
      </c>
      <c r="J309" t="inlineStr"/>
      <c r="K309" t="inlineStr"/>
      <c r="L309" t="inlineStr"/>
      <c r="M309" t="inlineStr"/>
      <c r="N309" t="inlineStr"/>
      <c r="O309">
        <f>(1-Summary!$B$11)*T309+Summary!$B$11*V309</f>
        <v/>
      </c>
      <c r="P309">
        <f>IF(B338=0,0,O309/B338)</f>
        <v/>
      </c>
      <c r="Q309" t="n">
        <v>0</v>
      </c>
      <c r="R309" t="n">
        <v>0</v>
      </c>
      <c r="S309" t="n">
        <v>0</v>
      </c>
      <c r="T309" t="n">
        <v>0</v>
      </c>
      <c r="V309" t="n">
        <v>0</v>
      </c>
    </row>
    <row r="310">
      <c r="A310">
        <f>Skills!A14</f>
        <v/>
      </c>
      <c r="B310">
        <f>Skills!B14</f>
        <v/>
      </c>
      <c r="C310">
        <f>Inputs!$B$3&gt;=74</f>
        <v/>
      </c>
      <c r="D310">
        <f>IF(Skills!C14=1,60+Inputs!$B$25+Inputs!$B$29,IF(Skills!C14=2,90+Inputs!$B$26+Inputs!$B$29,IF(Skills!C14=3,120+Inputs!$B$27+Inputs!$B$29,MAX(0,(Inputs!$B$3-100)*3)+Inputs!$B$28+Inputs!$B$29)))</f>
        <v/>
      </c>
      <c r="E310">
        <f>INDEX(FactorTable!$B$2:$Y$301, MATCH(ROUND(MIN(300,MAX(1,D310)),0), FactorTable!$A$2:$A$301,0), Skills!M14+1)</f>
        <v/>
      </c>
      <c r="F310">
        <f>IF(Skills!N14=TRUE,(Skills!L14/10)*(E310/1000),Skills!L14/10)+Skills!O14</f>
        <v/>
      </c>
      <c r="G310">
        <f>Skills!G14*IF(Skills!H14&gt;0,Skills!I14/Skills!H14,1)</f>
        <v/>
      </c>
      <c r="H310">
        <f>1-(1-Skills!J14/100)^Skills!K14</f>
        <v/>
      </c>
      <c r="I310" t="inlineStr">
        <is>
          <t>1</t>
        </is>
      </c>
      <c r="J310" t="inlineStr"/>
      <c r="K310" t="inlineStr"/>
      <c r="L310" t="inlineStr"/>
      <c r="M310" t="inlineStr"/>
      <c r="N310" t="inlineStr"/>
      <c r="O310">
        <f>(1-Summary!$B$11)*T310+Summary!$B$11*V310</f>
        <v/>
      </c>
      <c r="P310">
        <f>IF(B338=0,0,O310/B338)</f>
        <v/>
      </c>
      <c r="Q310" t="n">
        <v>0</v>
      </c>
      <c r="R310" t="n">
        <v>0</v>
      </c>
      <c r="S310" t="n">
        <v>0</v>
      </c>
      <c r="T310" t="n">
        <v>0</v>
      </c>
      <c r="V310" t="n">
        <v>0</v>
      </c>
    </row>
    <row r="311">
      <c r="A311">
        <f>Skills!A15</f>
        <v/>
      </c>
      <c r="B311">
        <f>Skills!B15</f>
        <v/>
      </c>
      <c r="C311">
        <f>Inputs!$B$3&gt;=117</f>
        <v/>
      </c>
      <c r="D311">
        <f>IF(Skills!C15=1,60+Inputs!$B$25+Inputs!$B$29,IF(Skills!C15=2,90+Inputs!$B$26+Inputs!$B$29,IF(Skills!C15=3,120+Inputs!$B$27+Inputs!$B$29,MAX(0,(Inputs!$B$3-100)*3)+Inputs!$B$28+Inputs!$B$29)))</f>
        <v/>
      </c>
      <c r="E311">
        <f>INDEX(FactorTable!$B$2:$Y$301, MATCH(ROUND(MIN(300,MAX(1,D311)),0), FactorTable!$A$2:$A$301,0), Skills!M15+1)</f>
        <v/>
      </c>
      <c r="F311">
        <f>IF(Skills!N15=TRUE,(Skills!L15/10)*(E311/1000),Skills!L15/10)+Skills!O15</f>
        <v/>
      </c>
      <c r="G311">
        <f>Skills!G15*IF(Skills!H15&gt;0,Skills!I15/Skills!H15,1)</f>
        <v/>
      </c>
      <c r="H311">
        <f>1-(1-Skills!J15/100)^Skills!K15</f>
        <v/>
      </c>
      <c r="I311" t="inlineStr">
        <is>
          <t>1</t>
        </is>
      </c>
      <c r="J311" t="inlineStr"/>
      <c r="K311" t="inlineStr"/>
      <c r="L311" t="inlineStr"/>
      <c r="M311" t="inlineStr"/>
      <c r="N311" t="inlineStr"/>
      <c r="O311">
        <f>(1-Summary!$B$11)*T311+Summary!$B$11*V311</f>
        <v/>
      </c>
      <c r="P311">
        <f>IF(B338=0,0,O311/B338)</f>
        <v/>
      </c>
      <c r="Q311">
        <f>IFERROR(1/IF(Inputs!$B$38="pvp",15,MAX(0.1,Skills!D15-IF(Skills!E15=TRUE,Inputs!$B$32,0))),0)</f>
        <v/>
      </c>
      <c r="R311">
        <f>IF(AND(Inputs!$B$38&lt;&gt;"pvp",Inputs!$B$43&gt;0),IF(Inputs!$B$43&lt;=0,0,(INT(Inputs!$B$43/IF(Inputs!$B$38="pvp",15,MAX(0.1,Skills!D15-IF(Skills!E15=TRUE,Inputs!$B$32,0))))+1)),0)</f>
        <v/>
      </c>
      <c r="S311" t="n">
        <v>0</v>
      </c>
      <c r="T311" t="n">
        <v>0</v>
      </c>
      <c r="V311" t="n">
        <v>0</v>
      </c>
    </row>
    <row r="312">
      <c r="A312">
        <f>Skills!A16</f>
        <v/>
      </c>
      <c r="B312">
        <f>Skills!B16</f>
        <v/>
      </c>
      <c r="C312">
        <f>Inputs!$B$3&gt;=115</f>
        <v/>
      </c>
      <c r="D312">
        <f>IF(Skills!C16=1,60+Inputs!$B$25+Inputs!$B$29,IF(Skills!C16=2,90+Inputs!$B$26+Inputs!$B$29,IF(Skills!C16=3,120+Inputs!$B$27+Inputs!$B$29,MAX(0,(Inputs!$B$3-100)*3)+Inputs!$B$28+Inputs!$B$29)))</f>
        <v/>
      </c>
      <c r="E312">
        <f>INDEX(FactorTable!$B$2:$Y$301, MATCH(ROUND(MIN(300,MAX(1,D312)),0), FactorTable!$A$2:$A$301,0), Skills!M16+1)</f>
        <v/>
      </c>
      <c r="F312">
        <f>IF(Skills!N16=TRUE,(Skills!L16/10)*(E312/1000),Skills!L16/10)+Skills!O16</f>
        <v/>
      </c>
      <c r="G312">
        <f>Skills!G16*IF(Skills!H16&gt;0,Skills!I16/Skills!H16,1)</f>
        <v/>
      </c>
      <c r="H312">
        <f>1-(1-Skills!J16/100)^Skills!K16</f>
        <v/>
      </c>
      <c r="I312" t="inlineStr">
        <is>
          <t>1</t>
        </is>
      </c>
      <c r="J312" t="inlineStr"/>
      <c r="K312" t="inlineStr"/>
      <c r="L312" t="inlineStr"/>
      <c r="M312" t="inlineStr"/>
      <c r="N312" t="inlineStr"/>
      <c r="O312">
        <f>(1-Summary!$B$11)*T312+Summary!$B$11*V312</f>
        <v/>
      </c>
      <c r="P312">
        <f>IF(B338=0,0,O312/B338)</f>
        <v/>
      </c>
      <c r="Q312">
        <f>IFERROR(1/IF(Inputs!$B$38="pvp",15,MAX(0.1,Skills!D16-IF(Skills!E16=TRUE,Inputs!$B$32,0))),0)</f>
        <v/>
      </c>
      <c r="R312">
        <f>IF(AND(Inputs!$B$38&lt;&gt;"pvp",Inputs!$B$43&gt;0),IF(Inputs!$B$43&lt;=0,0,(INT(Inputs!$B$43/IF(Inputs!$B$38="pvp",15,MAX(0.1,Skills!D16-IF(Skills!E16=TRUE,Inputs!$B$32,0))))+1)),0)</f>
        <v/>
      </c>
      <c r="S312" t="n">
        <v>0</v>
      </c>
      <c r="T312" t="n">
        <v>0</v>
      </c>
      <c r="V312" t="n">
        <v>0</v>
      </c>
    </row>
    <row r="313">
      <c r="A313">
        <f>Skills!A17</f>
        <v/>
      </c>
      <c r="B313">
        <f>Skills!B17</f>
        <v/>
      </c>
      <c r="C313">
        <f>Inputs!$B$3&gt;=72</f>
        <v/>
      </c>
      <c r="D313">
        <f>IF(Skills!C17=1,60+Inputs!$B$25+Inputs!$B$29,IF(Skills!C17=2,90+Inputs!$B$26+Inputs!$B$29,IF(Skills!C17=3,120+Inputs!$B$27+Inputs!$B$29,MAX(0,(Inputs!$B$3-100)*3)+Inputs!$B$28+Inputs!$B$29)))</f>
        <v/>
      </c>
      <c r="E313">
        <f>INDEX(FactorTable!$B$2:$Y$301, MATCH(ROUND(MIN(300,MAX(1,D313)),0), FactorTable!$A$2:$A$301,0), Skills!M17+1)</f>
        <v/>
      </c>
      <c r="F313">
        <f>IF(Skills!N17=TRUE,(Skills!L17/10)*(E313/1000),Skills!L17/10)+Skills!O17</f>
        <v/>
      </c>
      <c r="G313">
        <f>Skills!G17*IF(Skills!H17&gt;0,Skills!I17/Skills!H17,1)</f>
        <v/>
      </c>
      <c r="H313">
        <f>1-(1-Skills!J17/100)^Skills!K17</f>
        <v/>
      </c>
      <c r="I313" t="inlineStr">
        <is>
          <t>1</t>
        </is>
      </c>
      <c r="J313" t="inlineStr"/>
      <c r="K313" t="inlineStr"/>
      <c r="L313" t="inlineStr"/>
      <c r="M313" t="inlineStr"/>
      <c r="N313" t="inlineStr"/>
      <c r="O313">
        <f>(1-Summary!$B$11)*T313+Summary!$B$11*V313</f>
        <v/>
      </c>
      <c r="P313">
        <f>IF(B338=0,0,O313/B338)</f>
        <v/>
      </c>
      <c r="Q313" t="n">
        <v>0</v>
      </c>
      <c r="R313" t="n">
        <v>0</v>
      </c>
      <c r="S313" t="n">
        <v>0</v>
      </c>
      <c r="T313" t="n">
        <v>0</v>
      </c>
      <c r="V313" t="n">
        <v>0</v>
      </c>
    </row>
    <row r="314">
      <c r="A314">
        <f>Skills!A18</f>
        <v/>
      </c>
      <c r="B314">
        <f>Skills!B18</f>
        <v/>
      </c>
      <c r="C314">
        <f>TRUE</f>
        <v/>
      </c>
      <c r="D314">
        <f>IF(Skills!C18=1,60+Inputs!$B$25+Inputs!$B$29,IF(Skills!C18=2,90+Inputs!$B$26+Inputs!$B$29,IF(Skills!C18=3,120+Inputs!$B$27+Inputs!$B$29,MAX(0,(Inputs!$B$3-100)*3)+Inputs!$B$28+Inputs!$B$29)))</f>
        <v/>
      </c>
      <c r="E314">
        <f>INDEX(FactorTable!$B$2:$Y$301, MATCH(ROUND(MIN(300,MAX(1,D314)),0), FactorTable!$A$2:$A$301,0), Skills!M18+1)</f>
        <v/>
      </c>
      <c r="F314">
        <f>IF(Skills!N18=TRUE,(Skills!L18/10)*(E314/1000),Skills!L18/10)+Skills!O18</f>
        <v/>
      </c>
      <c r="G314">
        <f>Skills!G18*IF(Skills!H18&gt;0,Skills!I18/Skills!H18,1)</f>
        <v/>
      </c>
      <c r="H314">
        <f>1-(1-Skills!J18/100)^Skills!K18</f>
        <v/>
      </c>
      <c r="I314" t="inlineStr">
        <is>
          <t>1</t>
        </is>
      </c>
      <c r="J314" t="inlineStr"/>
      <c r="K314" t="inlineStr"/>
      <c r="L314" t="inlineStr"/>
      <c r="M314" t="inlineStr"/>
      <c r="N314" t="inlineStr"/>
      <c r="O314">
        <f>(1-Summary!$B$11)*T314+Summary!$B$11*V314</f>
        <v/>
      </c>
      <c r="P314">
        <f>IF(B338=0,0,O314/B338)</f>
        <v/>
      </c>
      <c r="Q314">
        <f>IFERROR(1/IF(Inputs!$B$38="pvp",15,MAX(0.1,Skills!D18-IF(Skills!E18=TRUE,Inputs!$B$32,0))),0)</f>
        <v/>
      </c>
      <c r="R314">
        <f>IF(AND(Inputs!$B$38&lt;&gt;"pvp",Inputs!$B$43&gt;0),IF(Inputs!$B$43&lt;=0,0,(INT(Inputs!$B$43/IF(Inputs!$B$38="pvp",15,MAX(0.1,Skills!D18-IF(Skills!E18=TRUE,Inputs!$B$32,0))))+1)),0)</f>
        <v/>
      </c>
      <c r="S314" t="n">
        <v>0</v>
      </c>
      <c r="T314" t="n">
        <v>0</v>
      </c>
      <c r="V314" t="n">
        <v>0</v>
      </c>
    </row>
    <row r="315">
      <c r="A315">
        <f>Skills!A19</f>
        <v/>
      </c>
      <c r="B315">
        <f>Skills!B19</f>
        <v/>
      </c>
      <c r="C315">
        <f>Inputs!$B$3&gt;=15</f>
        <v/>
      </c>
      <c r="D315">
        <f>IF(Skills!C19=1,60+Inputs!$B$25+Inputs!$B$29,IF(Skills!C19=2,90+Inputs!$B$26+Inputs!$B$29,IF(Skills!C19=3,120+Inputs!$B$27+Inputs!$B$29,MAX(0,(Inputs!$B$3-100)*3)+Inputs!$B$28+Inputs!$B$29)))</f>
        <v/>
      </c>
      <c r="E315">
        <f>INDEX(FactorTable!$B$2:$Y$301, MATCH(ROUND(MIN(300,MAX(1,D315)),0), FactorTable!$A$2:$A$301,0), Skills!M19+1)</f>
        <v/>
      </c>
      <c r="F315">
        <f>IF(Skills!N19=TRUE,(Skills!L19/10)*(E315/1000),Skills!L19/10)+Skills!O19</f>
        <v/>
      </c>
      <c r="G315">
        <f>Skills!G19*IF(Skills!H19&gt;0,Skills!I19/Skills!H19,1)</f>
        <v/>
      </c>
      <c r="H315">
        <f>1-(1-Skills!J19/100)^Skills!K19</f>
        <v/>
      </c>
      <c r="I315" t="inlineStr">
        <is>
          <t>1</t>
        </is>
      </c>
      <c r="J315" t="inlineStr"/>
      <c r="K315" t="inlineStr"/>
      <c r="L315" t="inlineStr"/>
      <c r="M315" t="inlineStr"/>
      <c r="N315" t="inlineStr"/>
      <c r="O315">
        <f>(1-Summary!$B$11)*T315+Summary!$B$11*V315</f>
        <v/>
      </c>
      <c r="P315">
        <f>IF(B338=0,0,O315/B338)</f>
        <v/>
      </c>
      <c r="Q315" t="n">
        <v>0</v>
      </c>
      <c r="R315" t="n">
        <v>0</v>
      </c>
      <c r="S315" t="n">
        <v>0</v>
      </c>
      <c r="T315" t="n">
        <v>0</v>
      </c>
      <c r="V315" t="n">
        <v>0</v>
      </c>
    </row>
    <row r="316">
      <c r="A316">
        <f>Skills!A20</f>
        <v/>
      </c>
      <c r="B316">
        <f>Skills!B20</f>
        <v/>
      </c>
      <c r="C316">
        <f>Inputs!$B$3&gt;=10</f>
        <v/>
      </c>
      <c r="D316">
        <f>IF(Skills!C20=1,60+Inputs!$B$25+Inputs!$B$29,IF(Skills!C20=2,90+Inputs!$B$26+Inputs!$B$29,IF(Skills!C20=3,120+Inputs!$B$27+Inputs!$B$29,MAX(0,(Inputs!$B$3-100)*3)+Inputs!$B$28+Inputs!$B$29)))</f>
        <v/>
      </c>
      <c r="E316">
        <f>INDEX(FactorTable!$B$2:$Y$301, MATCH(ROUND(MIN(300,MAX(1,D316)),0), FactorTable!$A$2:$A$301,0), Skills!M20+1)</f>
        <v/>
      </c>
      <c r="F316">
        <f>IF(Skills!N20=TRUE,(Skills!L20/10)*(E316/1000),Skills!L20/10)+Skills!O20</f>
        <v/>
      </c>
      <c r="G316">
        <f>Skills!G20*IF(Skills!H20&gt;0,Skills!I20/Skills!H20,1)</f>
        <v/>
      </c>
      <c r="H316">
        <f>1-(1-Skills!J20/100)^Skills!K20</f>
        <v/>
      </c>
      <c r="I316" t="inlineStr">
        <is>
          <t>1</t>
        </is>
      </c>
      <c r="J316" t="inlineStr"/>
      <c r="K316" t="inlineStr"/>
      <c r="L316" t="inlineStr"/>
      <c r="M316" t="inlineStr"/>
      <c r="N316" t="inlineStr"/>
      <c r="O316">
        <f>(1-Summary!$B$11)*T316+Summary!$B$11*V316</f>
        <v/>
      </c>
      <c r="P316">
        <f>IF(B338=0,0,O316/B338)</f>
        <v/>
      </c>
      <c r="Q316" t="n">
        <v>0</v>
      </c>
      <c r="R316" t="n">
        <v>0</v>
      </c>
      <c r="S316" t="n">
        <v>0</v>
      </c>
      <c r="T316" t="n">
        <v>0</v>
      </c>
      <c r="V316" t="n">
        <v>0</v>
      </c>
    </row>
    <row r="317">
      <c r="A317">
        <f>Skills!A21</f>
        <v/>
      </c>
      <c r="B317">
        <f>Skills!B21</f>
        <v/>
      </c>
      <c r="C317">
        <f>Inputs!$B$3&gt;=33</f>
        <v/>
      </c>
      <c r="D317">
        <f>IF(Skills!C21=1,60+Inputs!$B$25+Inputs!$B$29,IF(Skills!C21=2,90+Inputs!$B$26+Inputs!$B$29,IF(Skills!C21=3,120+Inputs!$B$27+Inputs!$B$29,MAX(0,(Inputs!$B$3-100)*3)+Inputs!$B$28+Inputs!$B$29)))</f>
        <v/>
      </c>
      <c r="E317">
        <f>INDEX(FactorTable!$B$2:$Y$301, MATCH(ROUND(MIN(300,MAX(1,D317)),0), FactorTable!$A$2:$A$301,0), Skills!M21+1)</f>
        <v/>
      </c>
      <c r="F317">
        <f>IF(Skills!N21=TRUE,(Skills!L21/10)*(E317/1000),Skills!L21/10)+Skills!O21</f>
        <v/>
      </c>
      <c r="G317">
        <f>Skills!G21*IF(Skills!H21&gt;0,Skills!I21/Skills!H21,1)</f>
        <v/>
      </c>
      <c r="H317">
        <f>1-(1-Skills!J21/100)^Skills!K21</f>
        <v/>
      </c>
      <c r="I317" t="inlineStr">
        <is>
          <t>1</t>
        </is>
      </c>
      <c r="J317" t="inlineStr"/>
      <c r="K317" t="inlineStr"/>
      <c r="L317" t="inlineStr"/>
      <c r="M317" t="inlineStr"/>
      <c r="N317" t="inlineStr"/>
      <c r="O317">
        <f>(1-Summary!$B$11)*T317+Summary!$B$11*V317</f>
        <v/>
      </c>
      <c r="P317">
        <f>IF(B338=0,0,O317/B338)</f>
        <v/>
      </c>
      <c r="Q317" t="n">
        <v>0</v>
      </c>
      <c r="R317" t="n">
        <v>0</v>
      </c>
      <c r="S317" t="n">
        <v>0</v>
      </c>
      <c r="T317" t="n">
        <v>0</v>
      </c>
      <c r="V317" t="n">
        <v>0</v>
      </c>
    </row>
    <row r="318">
      <c r="A318">
        <f>Skills!A22</f>
        <v/>
      </c>
      <c r="B318">
        <f>Skills!B22</f>
        <v/>
      </c>
      <c r="C318">
        <f>Inputs!$B$3&gt;=38</f>
        <v/>
      </c>
      <c r="D318">
        <f>IF(Skills!C22=1,60+Inputs!$B$25+Inputs!$B$29,IF(Skills!C22=2,90+Inputs!$B$26+Inputs!$B$29,IF(Skills!C22=3,120+Inputs!$B$27+Inputs!$B$29,MAX(0,(Inputs!$B$3-100)*3)+Inputs!$B$28+Inputs!$B$29)))</f>
        <v/>
      </c>
      <c r="E318">
        <f>INDEX(FactorTable!$B$2:$Y$301, MATCH(ROUND(MIN(300,MAX(1,D318)),0), FactorTable!$A$2:$A$301,0), Skills!M22+1)</f>
        <v/>
      </c>
      <c r="F318">
        <f>IF(Skills!N22=TRUE,(Skills!L22/10)*(E318/1000),Skills!L22/10)+Skills!O22</f>
        <v/>
      </c>
      <c r="G318">
        <f>Skills!G22*IF(Skills!H22&gt;0,Skills!I22/Skills!H22,1)</f>
        <v/>
      </c>
      <c r="H318">
        <f>1-(1-Skills!J22/100)^Skills!K22</f>
        <v/>
      </c>
      <c r="I318" t="inlineStr">
        <is>
          <t>1</t>
        </is>
      </c>
      <c r="J318" t="inlineStr"/>
      <c r="K318" t="inlineStr"/>
      <c r="L318" t="inlineStr"/>
      <c r="M318" t="inlineStr"/>
      <c r="N318" t="inlineStr"/>
      <c r="O318">
        <f>(1-Summary!$B$11)*T318+Summary!$B$11*V318</f>
        <v/>
      </c>
      <c r="P318">
        <f>IF(B338=0,0,O318/B338)</f>
        <v/>
      </c>
      <c r="Q318" t="n">
        <v>0</v>
      </c>
      <c r="R318" t="n">
        <v>0</v>
      </c>
      <c r="S318" t="n">
        <v>0</v>
      </c>
      <c r="T318" t="n">
        <v>0</v>
      </c>
      <c r="V318" t="n">
        <v>0</v>
      </c>
    </row>
    <row r="319">
      <c r="A319">
        <f>Skills!A23</f>
        <v/>
      </c>
      <c r="B319">
        <f>Skills!B23</f>
        <v/>
      </c>
      <c r="C319">
        <f>Inputs!$B$3&gt;=43</f>
        <v/>
      </c>
      <c r="D319">
        <f>IF(Skills!C23=1,60+Inputs!$B$25+Inputs!$B$29,IF(Skills!C23=2,90+Inputs!$B$26+Inputs!$B$29,IF(Skills!C23=3,120+Inputs!$B$27+Inputs!$B$29,MAX(0,(Inputs!$B$3-100)*3)+Inputs!$B$28+Inputs!$B$29)))</f>
        <v/>
      </c>
      <c r="E319">
        <f>INDEX(FactorTable!$B$2:$Y$301, MATCH(ROUND(MIN(300,MAX(1,D319)),0), FactorTable!$A$2:$A$301,0), Skills!M23+1)</f>
        <v/>
      </c>
      <c r="F319">
        <f>IF(Skills!N23=TRUE,(Skills!L23/10)*(E319/1000),Skills!L23/10)+Skills!O23</f>
        <v/>
      </c>
      <c r="G319">
        <f>Skills!G23*IF(Skills!H23&gt;0,Skills!I23/Skills!H23,1)</f>
        <v/>
      </c>
      <c r="H319">
        <f>1-(1-Skills!J23/100)^Skills!K23</f>
        <v/>
      </c>
      <c r="I319" t="inlineStr">
        <is>
          <t>1</t>
        </is>
      </c>
      <c r="J319" t="inlineStr"/>
      <c r="K319" t="inlineStr"/>
      <c r="L319" t="inlineStr"/>
      <c r="M319" t="inlineStr"/>
      <c r="N319" t="inlineStr"/>
      <c r="O319">
        <f>(1-Summary!$B$11)*T319+Summary!$B$11*V319</f>
        <v/>
      </c>
      <c r="P319">
        <f>IF(B338=0,0,O319/B338)</f>
        <v/>
      </c>
      <c r="Q319" t="n">
        <v>0</v>
      </c>
      <c r="R319" t="n">
        <v>0</v>
      </c>
      <c r="S319" t="n">
        <v>0</v>
      </c>
      <c r="T319" t="n">
        <v>0</v>
      </c>
      <c r="V319" t="n">
        <v>0</v>
      </c>
    </row>
    <row r="320">
      <c r="A320">
        <f>Skills!A24</f>
        <v/>
      </c>
      <c r="B320">
        <f>Skills!B24</f>
        <v/>
      </c>
      <c r="C320">
        <f>Inputs!$B$3&gt;=75</f>
        <v/>
      </c>
      <c r="D320">
        <f>IF(Skills!C24=1,60+Inputs!$B$25+Inputs!$B$29,IF(Skills!C24=2,90+Inputs!$B$26+Inputs!$B$29,IF(Skills!C24=3,120+Inputs!$B$27+Inputs!$B$29,MAX(0,(Inputs!$B$3-100)*3)+Inputs!$B$28+Inputs!$B$29)))</f>
        <v/>
      </c>
      <c r="E320">
        <f>INDEX(FactorTable!$B$2:$Y$301, MATCH(ROUND(MIN(300,MAX(1,D320)),0), FactorTable!$A$2:$A$301,0), Skills!M24+1)</f>
        <v/>
      </c>
      <c r="F320">
        <f>IF(Skills!N24=TRUE,(Skills!L24/10)*(E320/1000),Skills!L24/10)+Skills!O24</f>
        <v/>
      </c>
      <c r="G320">
        <f>Skills!G24*IF(Skills!H24&gt;0,Skills!I24/Skills!H24,1)</f>
        <v/>
      </c>
      <c r="H320">
        <f>1-(1-Skills!J24/100)^Skills!K24</f>
        <v/>
      </c>
      <c r="I320" t="inlineStr">
        <is>
          <t>1</t>
        </is>
      </c>
      <c r="J320" t="inlineStr"/>
      <c r="K320" t="inlineStr"/>
      <c r="L320" t="inlineStr"/>
      <c r="M320" t="inlineStr"/>
      <c r="N320" t="inlineStr"/>
      <c r="O320">
        <f>(1-Summary!$B$11)*T320+Summary!$B$11*V320</f>
        <v/>
      </c>
      <c r="P320">
        <f>IF(B338=0,0,O320/B338)</f>
        <v/>
      </c>
      <c r="Q320" t="n">
        <v>0</v>
      </c>
      <c r="R320" t="n">
        <v>0</v>
      </c>
      <c r="S320" t="n">
        <v>0</v>
      </c>
      <c r="T320" t="n">
        <v>0</v>
      </c>
      <c r="V320" t="n">
        <v>0</v>
      </c>
    </row>
    <row r="321">
      <c r="A321">
        <f>Skills!A25</f>
        <v/>
      </c>
      <c r="B321">
        <f>Skills!B25</f>
        <v/>
      </c>
      <c r="C321">
        <f>Inputs!$B$3&gt;=125</f>
        <v/>
      </c>
      <c r="D321">
        <f>IF(Skills!C25=1,60+Inputs!$B$25+Inputs!$B$29,IF(Skills!C25=2,90+Inputs!$B$26+Inputs!$B$29,IF(Skills!C25=3,120+Inputs!$B$27+Inputs!$B$29,MAX(0,(Inputs!$B$3-100)*3)+Inputs!$B$28+Inputs!$B$29)))</f>
        <v/>
      </c>
      <c r="E321">
        <f>INDEX(FactorTable!$B$2:$Y$301, MATCH(ROUND(MIN(300,MAX(1,D321)),0), FactorTable!$A$2:$A$301,0), Skills!M25+1)</f>
        <v/>
      </c>
      <c r="F321">
        <f>IF(Skills!N25=TRUE,(Skills!L25/10)*(E321/1000),Skills!L25/10)+Skills!O25</f>
        <v/>
      </c>
      <c r="G321">
        <f>Skills!G25*IF(Skills!H25&gt;0,Skills!I25/Skills!H25,1)</f>
        <v/>
      </c>
      <c r="H321">
        <f>1-(1-Skills!J25/100)^Skills!K25</f>
        <v/>
      </c>
      <c r="I321" t="inlineStr">
        <is>
          <t>1</t>
        </is>
      </c>
      <c r="J321" t="inlineStr"/>
      <c r="K321" t="inlineStr"/>
      <c r="L321" t="inlineStr"/>
      <c r="M321" t="inlineStr"/>
      <c r="N321" t="inlineStr"/>
      <c r="O321">
        <f>(1-Summary!$B$11)*T321+Summary!$B$11*V321</f>
        <v/>
      </c>
      <c r="P321">
        <f>IF(B338=0,0,O321/B338)</f>
        <v/>
      </c>
      <c r="Q321" t="n">
        <v>0</v>
      </c>
      <c r="R321" t="n">
        <v>0</v>
      </c>
      <c r="S321" t="n">
        <v>0</v>
      </c>
      <c r="T321" t="n">
        <v>0</v>
      </c>
      <c r="V321" t="n">
        <v>0</v>
      </c>
    </row>
    <row r="322">
      <c r="A322">
        <f>Skills!A26</f>
        <v/>
      </c>
      <c r="B322">
        <f>Skills!B26</f>
        <v/>
      </c>
      <c r="C322">
        <f>Inputs!$B$3&gt;=125</f>
        <v/>
      </c>
      <c r="D322">
        <f>IF(Skills!C26=1,60+Inputs!$B$25+Inputs!$B$29,IF(Skills!C26=2,90+Inputs!$B$26+Inputs!$B$29,IF(Skills!C26=3,120+Inputs!$B$27+Inputs!$B$29,MAX(0,(Inputs!$B$3-100)*3)+Inputs!$B$28+Inputs!$B$29)))</f>
        <v/>
      </c>
      <c r="E322">
        <f>INDEX(FactorTable!$B$2:$Y$301, MATCH(ROUND(MIN(300,MAX(1,D322)),0), FactorTable!$A$2:$A$301,0), Skills!M26+1)</f>
        <v/>
      </c>
      <c r="F322">
        <f>IF(Skills!N26=TRUE,(Skills!L26/10)*(E322/1000),Skills!L26/10)+Skills!O26</f>
        <v/>
      </c>
      <c r="G322">
        <f>Skills!G26*IF(Skills!H26&gt;0,Skills!I26/Skills!H26,1)</f>
        <v/>
      </c>
      <c r="H322">
        <f>1-(1-Skills!J26/100)^Skills!K26</f>
        <v/>
      </c>
      <c r="I322" t="inlineStr">
        <is>
          <t>1</t>
        </is>
      </c>
      <c r="J322" t="inlineStr"/>
      <c r="K322" t="inlineStr"/>
      <c r="L322" t="inlineStr"/>
      <c r="M322" t="inlineStr"/>
      <c r="N322" t="inlineStr"/>
      <c r="O322">
        <f>(1-Summary!$B$11)*T322+Summary!$B$11*V322</f>
        <v/>
      </c>
      <c r="P322">
        <f>IF(B338=0,0,O322/B338)</f>
        <v/>
      </c>
      <c r="Q322" t="n">
        <v>0</v>
      </c>
      <c r="R322" t="n">
        <v>0</v>
      </c>
      <c r="S322" t="n">
        <v>0</v>
      </c>
      <c r="T322" t="n">
        <v>0</v>
      </c>
      <c r="V322" t="n">
        <v>0</v>
      </c>
    </row>
    <row r="323">
      <c r="A323">
        <f>Skills!A27</f>
        <v/>
      </c>
      <c r="B323">
        <f>Skills!B27</f>
        <v/>
      </c>
      <c r="C323">
        <f>Inputs!$B$3&gt;=120</f>
        <v/>
      </c>
      <c r="D323">
        <f>IF(Skills!C27=1,60+Inputs!$B$25+Inputs!$B$29,IF(Skills!C27=2,90+Inputs!$B$26+Inputs!$B$29,IF(Skills!C27=3,120+Inputs!$B$27+Inputs!$B$29,MAX(0,(Inputs!$B$3-100)*3)+Inputs!$B$28+Inputs!$B$29)))</f>
        <v/>
      </c>
      <c r="E323">
        <f>INDEX(FactorTable!$B$2:$Y$301, MATCH(ROUND(MIN(300,MAX(1,D323)),0), FactorTable!$A$2:$A$301,0), Skills!M27+1)</f>
        <v/>
      </c>
      <c r="F323">
        <f>IF(Skills!N27=TRUE,(Skills!L27/10)*(E323/1000),Skills!L27/10)+Skills!O27</f>
        <v/>
      </c>
      <c r="G323">
        <f>Skills!G27*IF(Skills!H27&gt;0,Skills!I27/Skills!H27,1)</f>
        <v/>
      </c>
      <c r="H323">
        <f>1-(1-Skills!J27/100)^Skills!K27</f>
        <v/>
      </c>
      <c r="I323" t="inlineStr">
        <is>
          <t>1</t>
        </is>
      </c>
      <c r="J323" t="inlineStr"/>
      <c r="K323" t="inlineStr"/>
      <c r="L323" t="inlineStr"/>
      <c r="M323" t="inlineStr"/>
      <c r="N323" t="inlineStr"/>
      <c r="O323">
        <f>(1-Summary!$B$11)*T323+Summary!$B$11*V323</f>
        <v/>
      </c>
      <c r="P323">
        <f>IF(B338=0,0,O323/B338)</f>
        <v/>
      </c>
      <c r="Q323" t="n">
        <v>0</v>
      </c>
      <c r="R323" t="n">
        <v>0</v>
      </c>
      <c r="S323" t="n">
        <v>0</v>
      </c>
      <c r="T323" t="n">
        <v>0</v>
      </c>
      <c r="V323" t="n">
        <v>0</v>
      </c>
    </row>
    <row r="324">
      <c r="A324">
        <f>Skills!A28</f>
        <v/>
      </c>
      <c r="B324">
        <f>Skills!B28</f>
        <v/>
      </c>
      <c r="C324">
        <f>Inputs!$B$3&gt;=120</f>
        <v/>
      </c>
      <c r="D324">
        <f>IF(Skills!C28=1,60+Inputs!$B$25+Inputs!$B$29,IF(Skills!C28=2,90+Inputs!$B$26+Inputs!$B$29,IF(Skills!C28=3,120+Inputs!$B$27+Inputs!$B$29,MAX(0,(Inputs!$B$3-100)*3)+Inputs!$B$28+Inputs!$B$29)))</f>
        <v/>
      </c>
      <c r="E324">
        <f>INDEX(FactorTable!$B$2:$Y$301, MATCH(ROUND(MIN(300,MAX(1,D324)),0), FactorTable!$A$2:$A$301,0), Skills!M28+1)</f>
        <v/>
      </c>
      <c r="F324">
        <f>IF(Skills!N28=TRUE,(Skills!L28/10)*(E324/1000),Skills!L28/10)+Skills!O28</f>
        <v/>
      </c>
      <c r="G324">
        <f>Skills!G28*IF(Skills!H28&gt;0,Skills!I28/Skills!H28,1)</f>
        <v/>
      </c>
      <c r="H324">
        <f>1-(1-Skills!J28/100)^Skills!K28</f>
        <v/>
      </c>
      <c r="I324" t="inlineStr">
        <is>
          <t>1</t>
        </is>
      </c>
      <c r="J324" t="inlineStr"/>
      <c r="K324" t="inlineStr"/>
      <c r="L324" t="inlineStr"/>
      <c r="M324" t="inlineStr"/>
      <c r="N324" t="inlineStr"/>
      <c r="O324">
        <f>(1-Summary!$B$11)*T324+Summary!$B$11*V324</f>
        <v/>
      </c>
      <c r="P324">
        <f>IF(B338=0,0,O324/B338)</f>
        <v/>
      </c>
      <c r="Q324" t="n">
        <v>0</v>
      </c>
      <c r="R324" t="n">
        <v>0</v>
      </c>
      <c r="S324" t="n">
        <v>0</v>
      </c>
      <c r="T324" t="n">
        <v>0</v>
      </c>
      <c r="V324" t="n">
        <v>0</v>
      </c>
    </row>
    <row r="325">
      <c r="A325">
        <f>Skills!A29</f>
        <v/>
      </c>
      <c r="B325">
        <f>Skills!B29</f>
        <v/>
      </c>
      <c r="C325">
        <f>Inputs!$B$3&gt;=45</f>
        <v/>
      </c>
      <c r="D325">
        <f>IF(Skills!C29=1,60+Inputs!$B$25+Inputs!$B$29,IF(Skills!C29=2,90+Inputs!$B$26+Inputs!$B$29,IF(Skills!C29=3,120+Inputs!$B$27+Inputs!$B$29,MAX(0,(Inputs!$B$3-100)*3)+Inputs!$B$28+Inputs!$B$29)))</f>
        <v/>
      </c>
      <c r="E325">
        <f>INDEX(FactorTable!$B$2:$Y$301, MATCH(ROUND(MIN(300,MAX(1,D325)),0), FactorTable!$A$2:$A$301,0), Skills!M29+1)</f>
        <v/>
      </c>
      <c r="F325">
        <f>IF(Skills!N29=TRUE,(Skills!L29/10)*(E325/1000),Skills!L29/10)+Skills!O29</f>
        <v/>
      </c>
      <c r="G325">
        <f>Skills!G29*IF(Skills!H29&gt;0,Skills!I29/Skills!H29,1)</f>
        <v/>
      </c>
      <c r="H325">
        <f>1-(1-Skills!J29/100)^Skills!K29</f>
        <v/>
      </c>
      <c r="I325" t="inlineStr">
        <is>
          <t>1</t>
        </is>
      </c>
      <c r="J325" t="inlineStr"/>
      <c r="K325" t="inlineStr"/>
      <c r="L325" t="inlineStr"/>
      <c r="M325" t="inlineStr"/>
      <c r="N325" t="inlineStr"/>
      <c r="O325">
        <f>(1-Summary!$B$11)*T325+Summary!$B$11*V325</f>
        <v/>
      </c>
      <c r="P325">
        <f>IF(B338=0,0,O325/B338)</f>
        <v/>
      </c>
      <c r="Q325" t="n">
        <v>0</v>
      </c>
      <c r="R325" t="n">
        <v>0</v>
      </c>
      <c r="S325" t="n">
        <v>0</v>
      </c>
      <c r="T325" t="n">
        <v>0</v>
      </c>
      <c r="V325" t="n">
        <v>0</v>
      </c>
    </row>
    <row r="327">
      <c r="A327" t="inlineStr">
        <is>
          <t>Attack% Bucket Multiplier</t>
        </is>
      </c>
      <c r="B327">
        <f>(1+(((C309=TRUE)*F309)+((C310=TRUE)*IF(Inputs!$B$38="pvp",F310,(1-Summary!$B$11)*(F310)+Summary!$B$11*(0)))+((C311=TRUE)*F311*IF(AND(Inputs!$B$38&lt;&gt;"pvp",Inputs!$B$43&gt;0),(((R311-1)*(Skills!T15*(1+Inputs!$B$34/100))+MIN((Skills!T15*(1+Inputs!$B$34/100)),MAX(0,Inputs!$B$43-((R311-1)*Skills!D15))))/Inputs!$B$43),IF(Inputs!$B$38="pvp",MIN((Skills!T15*(1+Inputs!$B$34/100)),15)/15,(Skills!T15*(1+Inputs!$B$34/100))/Skills!D15)))+((C308=TRUE)*F308)+((C325=TRUE)*(F325-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328">
      <c r="A328" t="inlineStr">
        <is>
          <t>Global Crit Rate Bonus %</t>
        </is>
      </c>
      <c r="B328">
        <f>(C312=TRUE)*20*IF(AND(Inputs!$B$38&lt;&gt;"pvp",Inputs!$B$43&gt;0),(((R312-1)*(Skills!T16*(1+Inputs!$B$34/100))+MIN((Skills!T16*(1+Inputs!$B$34/100)),MAX(0,Inputs!$B$43-((R312-1)*Skills!D16))))/Inputs!$B$43),IF(Inputs!$B$38="pvp",MIN((Skills!T16*(1+Inputs!$B$34/100)),15)/15,(Skills!T16*(1+Inputs!$B$34/100))/Skills!D16))</f>
        <v/>
      </c>
    </row>
    <row r="329">
      <c r="A329" t="inlineStr">
        <is>
          <t>Attack Speed Buff Bonus %</t>
        </is>
      </c>
      <c r="B329">
        <f>((C314=TRUE)*F314*IF(AND(Inputs!$B$38&lt;&gt;"pvp",Inputs!$B$43&gt;0),(((R314-1)*(Skills!T18*(1+Inputs!$B$34/100))+MIN((Skills!T18*(1+Inputs!$B$34/100)),MAX(0,Inputs!$B$43-((R314-1)*Skills!D18))))/Inputs!$B$43),IF(Inputs!$B$38="pvp",MIN((Skills!T18*(1+Inputs!$B$34/100)),15)/15,(Skills!T18*(1+Inputs!$B$34/100))/Skills!D18)))</f>
        <v/>
      </c>
    </row>
    <row r="330">
      <c r="A330" t="inlineStr">
        <is>
          <t>Actions Per Second</t>
        </is>
      </c>
      <c r="B330">
        <f>1+MIN(150,150*(1-(1-(Inputs!$B$11+((C316=TRUE)*(F316-Calc!F20))+((C317=TRUE)*(F317-Calc!F21)))/150)*(1-B329/150)))/100</f>
        <v/>
      </c>
    </row>
    <row r="331">
      <c r="A331" t="inlineStr">
        <is>
          <t>Skill + Buff Cast Rate</t>
        </is>
      </c>
      <c r="B331">
        <f>IF(AND(Inputs!$B$38&lt;&gt;"pvp",Inputs!$B$43&gt;0),SUMPRODUCT((Skills!E2:E29=TRUE)*(C298:C325=TRUE)*R298:R325*Skills!F2:F29)/Inputs!$B$43,SUMPRODUCT((Skills!E2:E29=TRUE)*(C298:C325=TRUE)*Q298:Q325*Skills!F2:F29))</f>
        <v/>
      </c>
    </row>
    <row r="332">
      <c r="A332" t="inlineStr">
        <is>
          <t>Empowered Piercing Arrow Casts Per Second</t>
        </is>
      </c>
      <c r="B332">
        <f>MAX(0,B330-B331)</f>
        <v/>
      </c>
    </row>
    <row r="333">
      <c r="A333" t="inlineStr">
        <is>
          <t>Global Critical Damage Bonus % (Sharp Eyes)</t>
        </is>
      </c>
      <c r="B333">
        <f>(C312=TRUE)*F312*IF(AND(Inputs!$B$38&lt;&gt;"pvp",Inputs!$B$43&gt;0),(((R312-1)*(Skills!T16*(1+Inputs!$B$34/100))+MIN((Skills!T16*(1+Inputs!$B$34/100)),MAX(0,Inputs!$B$43-((R312-1)*Skills!D16))))/Inputs!$B$43),IF(Inputs!$B$38="pvp",MIN((Skills!T16*(1+Inputs!$B$34/100)),15)/15,(Skills!T16*(1+Inputs!$B$34/100))/Skills!D16))</f>
        <v/>
      </c>
    </row>
    <row r="334">
      <c r="A334" t="inlineStr">
        <is>
          <t>Global Final Damage Bonus % (Mortal Blow + Last Man Standing conditional half)</t>
        </is>
      </c>
      <c r="B334">
        <f>(C313=TRUE)*F313+((C322=TRUE)*IF(Inputs!$B$38="pvp",F322,(1-Summary!$B$11)*(F322)+Summary!$B$11*(0)))</f>
        <v/>
      </c>
    </row>
    <row r="335">
      <c r="A335" t="inlineStr">
        <is>
          <t>Buff-Casting Startup Delay (s, fixed-duration only)</t>
        </is>
      </c>
      <c r="B335">
        <f>IF(AND(Inputs!$B$38&lt;&gt;"pvp",Inputs!$B$43&gt;0),SUMPRODUCT((Skills!T2:T29&gt;0)*(Skills!E2:E29=TRUE)*(C298:C325=TRUE))/B330,0)</f>
        <v/>
      </c>
    </row>
    <row r="336">
      <c r="A336" t="inlineStr">
        <is>
          <t>Boss-Only Total DPS (this block's swept value)</t>
        </is>
      </c>
      <c r="B336">
        <f>SUM(T298:T325)</f>
        <v/>
      </c>
    </row>
    <row r="337">
      <c r="A337" t="inlineStr">
        <is>
          <t>Normal-Only Total DPS (this block's swept value)</t>
        </is>
      </c>
      <c r="B337">
        <f>SUM(V298:V325)</f>
        <v/>
      </c>
    </row>
    <row r="338">
      <c r="A338" s="6" t="inlineStr">
        <is>
          <t>TOTAL DPS</t>
        </is>
      </c>
      <c r="B338" s="6">
        <f>SUM(O298:O325)</f>
        <v/>
      </c>
    </row>
    <row r="341">
      <c r="A341" s="6" t="inlineStr">
        <is>
          <t>Stat: NORMAL_DAMAGE %</t>
        </is>
      </c>
    </row>
    <row r="342">
      <c r="A342" s="5" t="inlineStr">
        <is>
          <t>Key</t>
        </is>
      </c>
      <c r="B342" s="5" t="inlineStr">
        <is>
          <t>Name</t>
        </is>
      </c>
      <c r="C342" s="5" t="inlineStr">
        <is>
          <t>Unlocked</t>
        </is>
      </c>
      <c r="D342" s="5" t="inlineStr">
        <is>
          <t>InputLevel</t>
        </is>
      </c>
      <c r="E342" s="5" t="inlineStr">
        <is>
          <t>Factor</t>
        </is>
      </c>
      <c r="F342" s="5" t="inlineStr">
        <is>
          <t>CoefficientPercent</t>
        </is>
      </c>
      <c r="G342" s="5" t="inlineStr">
        <is>
          <t>EffectiveHits</t>
        </is>
      </c>
      <c r="H342" s="5" t="inlineStr">
        <is>
          <t>ProcProbability</t>
        </is>
      </c>
      <c r="I342" s="5" t="inlineStr">
        <is>
          <t>MapleHeroMultiplier</t>
        </is>
      </c>
      <c r="J342" s="5" t="inlineStr">
        <is>
          <t>BaseDamage</t>
        </is>
      </c>
      <c r="K342" s="5" t="inlineStr">
        <is>
          <t>BaseHitDamage</t>
        </is>
      </c>
      <c r="L342" s="5" t="inlineStr">
        <is>
          <t>NonCritAvg</t>
        </is>
      </c>
      <c r="M342" s="5" t="inlineStr">
        <is>
          <t>CritAvg</t>
        </is>
      </c>
      <c r="N342" s="5" t="inlineStr">
        <is>
          <t>ExpectedDamage(perHit)</t>
        </is>
      </c>
      <c r="O342" s="5" t="inlineStr">
        <is>
          <t>DPS</t>
        </is>
      </c>
      <c r="P342" s="5" t="inlineStr">
        <is>
          <t>% of Total</t>
        </is>
      </c>
      <c r="Q342" s="5" t="inlineStr">
        <is>
          <t>InvCooldown</t>
        </is>
      </c>
      <c r="R342" s="5" t="inlineStr">
        <is>
          <t>CastsInFight</t>
        </is>
      </c>
      <c r="S342" s="5" t="inlineStr">
        <is>
          <t>HitRate(perSec)</t>
        </is>
      </c>
      <c r="U342" t="inlineStr">
        <is>
          <t>helpers</t>
        </is>
      </c>
    </row>
    <row r="343">
      <c r="A343">
        <f>Skills!A2</f>
        <v/>
      </c>
      <c r="B343">
        <f>Skills!B2</f>
        <v/>
      </c>
      <c r="C343">
        <f>Inputs!$B$3&gt;=100</f>
        <v/>
      </c>
      <c r="D343" t="inlineStr"/>
      <c r="E343" t="inlineStr"/>
      <c r="F343">
        <f>U345+Skills!O2</f>
        <v/>
      </c>
      <c r="G343">
        <f>Skills!G2*IF(Skills!H2&gt;0,Skills!I2/Skills!H2,1)</f>
        <v/>
      </c>
      <c r="H343">
        <f>1-(1-Skills!J2/100)^Skills!K2</f>
        <v/>
      </c>
      <c r="I343" t="inlineStr">
        <is>
          <t>1</t>
        </is>
      </c>
      <c r="J343">
        <f>((Inputs!$B$6*(1+Inputs!$B$7/100))+(((Inputs!$B$12*(1+Inputs!$B$13/100))-(Inputs!$B$12*(1+Inputs!$B$13/100)))+0.25*(Inputs!$B$14-Inputs!$B$14))*(1+Inputs!$B$7/100))*(F343/100)</f>
        <v/>
      </c>
      <c r="K343">
        <f>J343*(1+((Inputs!$B$12*(1+Inputs!$B$13/100))*0.01+Inputs!$B$14*0.0025)/100)*(1+Inputs!$B$15/100)*(1+Inputs!$B$16/100)*(5000/(6000+Inputs!$B$42*(1-(100*(1-(1-(Inputs!$B$19+0)/100)*(1-CHOOSE(ArtifactsInput!$N$40+1,5,6,7,8,9,10)/100)^(ArtifactsInput!$M$40-ArtifactsInput!$M$40)))/100)))*(1+(Inputs!$B$24+((C365=TRUE)*(F365-Calc!F24))+((C366=TRUE)*(F366-Calc!F25))+B379)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EMPOWERED_PIERCING_ARROW",Inputs!$B$17+((C363=TRUE)*(F363-Calc!F22))+(((IF(AND(ArtifactsInput!$M$42,((Inputs!$B$9+((C360=TRUE)*(F360-Calc!F19))+B373+(ArtifactsInput!$M$24-ArtifactsInput!$M$24)*CHOOSE(ArtifactsInput!$N$24+1,10,12,14,16,18,20)+IF(ArtifactsInput!$M$10,CHOOSE(ArtifactsInput!$N$10+1,15,18,21,24,27,30)*(IF(Inputs!$B$38="pvp",MIN(15,15)/15,IF(AND(Inputs!$B$38&lt;&gt;"pvp",Inputs!$B$43&gt;0),MIN(15,Inputs!$B$43)/(Inputs!$B$43),0))),0)))&gt;=100),MIN(100,((Inputs!$B$9+((C360=TRUE)*(F360-Calc!F19))+B373+(ArtifactsInput!$M$24-ArtifactsInput!$M$24)*CHOOSE(ArtifactsInput!$N$24+1,10,12,14,16,18,20)+IF(ArtifactsInput!$M$10,CHOOSE(ArtifactsInput!$N$10+1,15,18,21,24,27,30)*(IF(Inputs!$B$38="pvp",MIN(15,15)/15,IF(AND(Inputs!$B$38&lt;&gt;"pvp",Inputs!$B$43&gt;0),MIN(15,Inputs!$B$43)/(Inputs!$B$43),0))),0)))-100),0))*CHOOSE(ArtifactsInput!$N$42+1,0.6,0.72,0.84,0.96,1.08,1.2))),Inputs!$B$18+((C368=TRUE)*(F368-Calc!F27))+(IF(AND(ArtifactsInput!$M$42,((Inputs!$B$9+((C360=TRUE)*(F360-Calc!F19))+B373+(ArtifactsInput!$M$24-ArtifactsInput!$M$24)*CHOOSE(ArtifactsInput!$N$24+1,10,12,14,16,18,20)+IF(ArtifactsInput!$M$10,CHOOSE(ArtifactsInput!$N$10+1,15,18,21,24,27,30)*(IF(Inputs!$B$38="pvp",MIN(15,15)/15,IF(AND(Inputs!$B$38&lt;&gt;"pvp",Inputs!$B$43&gt;0),MIN(15,Inputs!$B$43)/(Inputs!$B$43),0))),0)))&gt;=100),CHOOSE(ArtifactsInput!$N$42+1,40,48,56,64,72,80),0))))/100)*((1+(((C354=TRUE)*F354)+((C355=TRUE)*IF(Inputs!$B$38="pvp",F355,(1-Summary!$B$11)*(F355)+Summary!$B$11*(0)))+((C356=TRUE)*F356*IF(AND(Inputs!$B$38&lt;&gt;"pvp",Inputs!$B$43&gt;0),(((R356-1)*(Skills!T15*(1+Inputs!$B$34/100))+MIN((Skills!T15*(1+Inputs!$B$34/100)),MAX(0,Inputs!$B$43-((R356-1)*Skills!D15))))/Inputs!$B$43),IF(Inputs!$B$38="pvp",MIN((Skills!T15*(1+Inputs!$B$34/100)),15)/15,(Skills!T15*(1+Inputs!$B$34/100))/Skills!D15)))+((C353=TRUE)*F353)+((C370=TRUE)*(F370-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343)</f>
        <v/>
      </c>
      <c r="L343">
        <f>K343*(MIN(Inputs!$B$22+((C364=TRUE)*(F364-Calc!F23)),(Inputs!$B$23+((C369=TRUE)*(F369-Calc!F28))+(IF(ArtifactsInput!$M$15,CHOOSE(ArtifactsInput!$N$15+1,25,30,35,40,45,50)/100*(Inputs!$B$11-Inputs!$B$11),0))))/100+(Inputs!$B$23+((C369=TRUE)*(F369-Calc!F28))+(IF(ArtifactsInput!$M$15,CHOOSE(ArtifactsInput!$N$15+1,25,30,35,40,45,50)/100*(Inputs!$B$11-Inputs!$B$11),0)))/100)/2</f>
        <v/>
      </c>
      <c r="M343">
        <f>L343*(1+(Inputs!$B$10+0+B378+(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43">
        <f>L343*(1-MIN((Inputs!$B$9+((C360=TRUE)*(F360-Calc!F19))+B373+(ArtifactsInput!$M$24-ArtifactsInput!$M$24)*CHOOSE(ArtifactsInput!$N$24+1,10,12,14,16,18,20)+(IF(AND(ArtifactsInput!$M$42,((Inputs!$B$9+((C360=TRUE)*(F360-Calc!F19))+B373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343*(MIN((Inputs!$B$9+((C360=TRUE)*(F360-Calc!F19))+B373+(ArtifactsInput!$M$24-ArtifactsInput!$M$24)*CHOOSE(ArtifactsInput!$N$24+1,10,12,14,16,18,20)+(IF(AND(ArtifactsInput!$M$42,((Inputs!$B$9+((C360=TRUE)*(F360-Calc!F19))+B373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43">
        <f>(1-Summary!$B$11)*T343+Summary!$B$11*V343</f>
        <v/>
      </c>
      <c r="P343">
        <f>IF(B383=0,0,O343/B383)</f>
        <v/>
      </c>
      <c r="Q343" t="n">
        <v>0</v>
      </c>
      <c r="R343" t="n">
        <v>0</v>
      </c>
      <c r="S343">
        <f>IFERROR((Skills!G2*N343*B377)/N343*IF(Inputs!$B$38="pvp",1,(1-Summary!$B$11)*1+Summary!$B$11*(MIN((6+Inputs!$B$33),Inputs!$B$37))),0)</f>
        <v/>
      </c>
      <c r="T343">
        <f>IF(C343,(Skills!G2*N343*B377)*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Hunt"),CHOOSE(ArtifactsInput!$N$35+1,15,18,21,24,27,30)*(1-EXP(-(0.2*B375)*5)),0)+IF(AND(ArtifactsInput!$M$22,Inputs!$B$4&lt;&gt;"Chapter Hunt"),CHOOSE(ArtifactsInput!$N$22+1,10,12,14,16,18,20)*((0*(((0.15*B375*5))^0/1)+1*(((0.15*B375*5))^1/1)+2*(((0.15*B375*5))^2/2)+3*(((0.15*B375*5))^3/6)+4*(((0.15*B375*5))^4/24)+5*(((0.15*B375*5))^5/120))/((((0.15*B375*5))^0/1)+(((0.15*B375*5))^1/1)+(((0.15*B375*5))^2/2)+(((0.15*B375*5))^3/6)+(((0.15*B375*5))^4/24)+(((0.15*B375*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343*(1-MIN(100,(Inputs!$B$9+((C360=TRUE)*(F360-Calc!F19))+B373+(ArtifactsInput!$M$24-ArtifactsInput!$M$24)*CHOOSE(ArtifactsInput!$N$24+1,10,12,14,16,18,20)+(IF(AND(ArtifactsInput!$M$42,((Inputs!$B$9+((C360=TRUE)*(F360-Calc!F19))+B373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343*(MIN(100,(Inputs!$B$9+((C360=TRUE)*(F360-Calc!F19))+B373+(ArtifactsInput!$M$24-ArtifactsInput!$M$24)*CHOOSE(ArtifactsInput!$N$24+1,10,12,14,16,18,20)+(IF(AND(ArtifactsInput!$M$42,((Inputs!$B$9+((C360=TRUE)*(F360-Calc!F19))+B373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343*(1-MIN(100,(Inputs!$B$9+((C360=TRUE)*(F360-Calc!F19))+B373+(ArtifactsInput!$M$24-ArtifactsInput!$M$24)*CHOOSE(ArtifactsInput!$N$24+1,10,12,14,16,18,20)+(IF(AND(ArtifactsInput!$M$42,((Inputs!$B$9+((C360=TRUE)*(F360-Calc!F19))+B373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343*(MIN(100,(Inputs!$B$9+((C360=TRUE)*(F360-Calc!F19))+B373+(ArtifactsInput!$M$24-ArtifactsInput!$M$24)*CHOOSE(ArtifactsInput!$N$24+1,10,12,14,16,18,20)+(IF(AND(ArtifactsInput!$M$42,((Inputs!$B$9+((C360=TRUE)*(F360-Calc!F19))+B373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343">
        <f>MAX(0,(Inputs!$B$3-100)*3)+Inputs!$B$28+Inputs!$B$29</f>
        <v/>
      </c>
      <c r="V343">
        <f>IF(C343,(Skills!G2*N343*B377)*IF(Inputs!$B$38="pvp",1,(1+((Inputs!$B$21+1)+Skills!Q2+(IF(ArtifactsInput!$M$33,CHOOSE(ArtifactsInput!$N$33+1,30,36,42,48,54,60),0))+(IF(AND(ArtifactsInput!$M$35,Inputs!$B$4&lt;&gt;"Chapter Hunt"),CHOOSE(ArtifactsInput!$N$35+1,15,18,21,24,27,30)*(1-EXP(-(0.2*B375)*5)),0)+IF(AND(ArtifactsInput!$M$22,Inputs!$B$4&lt;&gt;"Chapter Hunt"),CHOOSE(ArtifactsInput!$N$22+1,10,12,14,16,18,20)*((0*(((0.15*B375*5))^0/1)+1*(((0.15*B375*5))^1/1)+2*(((0.15*B375*5))^2/2)+3*(((0.15*B375*5))^3/6)+4*(((0.15*B375*5))^4/24)+5*(((0.15*B375*5))^5/120))/((((0.15*B375*5))^0/1)+(((0.15*B375*5))^1/1)+(((0.15*B375*5))^2/2)+(((0.15*B375*5))^3/6)+(((0.15*B375*5))^4/24)+(((0.15*B375*5))^5/120)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44">
      <c r="A344">
        <f>Skills!A3</f>
        <v/>
      </c>
      <c r="B344">
        <f>Skills!B3</f>
        <v/>
      </c>
      <c r="C344">
        <f>Inputs!$B$3&gt;=50</f>
        <v/>
      </c>
      <c r="D344">
        <f>IF(Skills!C3=1,60+Inputs!$B$25+Inputs!$B$29,IF(Skills!C3=2,90+Inputs!$B$26+Inputs!$B$29,IF(Skills!C3=3,120+Inputs!$B$27+Inputs!$B$29,MAX(0,(Inputs!$B$3-100)*3)+Inputs!$B$28+Inputs!$B$29)))</f>
        <v/>
      </c>
      <c r="E344">
        <f>INDEX(FactorTable!$B$2:$Y$301, MATCH(ROUND(MIN(300,MAX(1,D344)),0), FactorTable!$A$2:$A$301,0), Skills!M3+1)</f>
        <v/>
      </c>
      <c r="F344">
        <f>IF(Skills!N3=TRUE,(Skills!L3/10)*(E344/1000),Skills!L3/10)+Skills!O3</f>
        <v/>
      </c>
      <c r="G344" t="inlineStr"/>
      <c r="H344" t="inlineStr"/>
      <c r="I344" t="inlineStr">
        <is>
          <t>1</t>
        </is>
      </c>
      <c r="J344" t="inlineStr"/>
      <c r="K344" t="inlineStr"/>
      <c r="L344" t="inlineStr"/>
      <c r="M344" t="inlineStr"/>
      <c r="N344" t="inlineStr"/>
      <c r="O344" t="inlineStr"/>
      <c r="P344" t="inlineStr"/>
      <c r="Q344" t="inlineStr"/>
      <c r="R344" t="inlineStr"/>
      <c r="S344" t="inlineStr"/>
      <c r="T344" t="inlineStr"/>
      <c r="U344">
        <f>INDEX(FactorTable!$B$2:$Y$301, MATCH(ROUND(MIN(300,MAX(1,U343)),0), FactorTable!$A$2:$A$301,0), 22)</f>
        <v/>
      </c>
      <c r="V344" t="inlineStr"/>
    </row>
    <row r="345">
      <c r="A345">
        <f>Skills!A4</f>
        <v/>
      </c>
      <c r="B345">
        <f>Skills!B4</f>
        <v/>
      </c>
      <c r="C345">
        <f>Inputs!$B$3&gt;=105</f>
        <v/>
      </c>
      <c r="D345">
        <f>IF(Skills!C4=1,60+Inputs!$B$25+Inputs!$B$29,IF(Skills!C4=2,90+Inputs!$B$26+Inputs!$B$29,IF(Skills!C4=3,120+Inputs!$B$27+Inputs!$B$29,MAX(0,(Inputs!$B$3-100)*3)+Inputs!$B$28+Inputs!$B$29)))</f>
        <v/>
      </c>
      <c r="E345">
        <f>INDEX(FactorTable!$B$2:$Y$301, MATCH(ROUND(MIN(300,MAX(1,D345)),0), FactorTable!$A$2:$A$301,0), Skills!M4+1)</f>
        <v/>
      </c>
      <c r="F345">
        <f>IF(Skills!N4=TRUE,(Skills!L4/10)*(E345/1000),Skills!L4/10)+Skills!O4</f>
        <v/>
      </c>
      <c r="G345" t="inlineStr"/>
      <c r="H345" t="inlineStr"/>
      <c r="I345" t="inlineStr">
        <is>
          <t>1</t>
        </is>
      </c>
      <c r="J345" t="inlineStr"/>
      <c r="K345" t="inlineStr"/>
      <c r="L345" t="inlineStr"/>
      <c r="M345" t="inlineStr"/>
      <c r="N345" t="inlineStr"/>
      <c r="O345" t="inlineStr"/>
      <c r="P345" t="inlineStr"/>
      <c r="Q345" t="inlineStr"/>
      <c r="R345" t="inlineStr"/>
      <c r="S345" t="inlineStr"/>
      <c r="T345" t="inlineStr"/>
      <c r="U345">
        <f>290*U344/1000</f>
        <v/>
      </c>
      <c r="V345" t="inlineStr"/>
    </row>
    <row r="346">
      <c r="A346">
        <f>Skills!A5</f>
        <v/>
      </c>
      <c r="B346">
        <f>Skills!B5</f>
        <v/>
      </c>
      <c r="C346">
        <f>Inputs!$B$3&gt;=35</f>
        <v/>
      </c>
      <c r="D346">
        <f>IF(Skills!C5=1,60+Inputs!$B$25+Inputs!$B$29,IF(Skills!C5=2,90+Inputs!$B$26+Inputs!$B$29,IF(Skills!C5=3,120+Inputs!$B$27+Inputs!$B$29,MAX(0,(Inputs!$B$3-100)*3)+Inputs!$B$28+Inputs!$B$29)))</f>
        <v/>
      </c>
      <c r="E346">
        <f>INDEX(FactorTable!$B$2:$Y$301, MATCH(ROUND(MIN(300,MAX(1,D346)),0), FactorTable!$A$2:$A$301,0), Skills!M5+1)</f>
        <v/>
      </c>
      <c r="F346">
        <f>IF(Skills!N5=TRUE,(Skills!L5/10)*(E346/1000),Skills!L5/10)+Skills!O5</f>
        <v/>
      </c>
      <c r="G346">
        <f>Skills!G5*IF(Skills!H5&gt;0,Skills!I5/Skills!H5,1)</f>
        <v/>
      </c>
      <c r="H346">
        <f>1-(1-Skills!J5/100)^Skills!K5</f>
        <v/>
      </c>
      <c r="I346" t="inlineStr">
        <is>
          <t>1</t>
        </is>
      </c>
      <c r="J346">
        <f>((Inputs!$B$6*(1+Inputs!$B$7/100))+(((Inputs!$B$12*(1+Inputs!$B$13/100))-(Inputs!$B$12*(1+Inputs!$B$13/100)))+0.25*(Inputs!$B$14-Inputs!$B$14))*(1+Inputs!$B$7/100))*(F346/100)</f>
        <v/>
      </c>
      <c r="K346">
        <f>J346*(1+((Inputs!$B$12*(1+Inputs!$B$13/100))*0.01+Inputs!$B$14*0.0025)/100)*(1+Inputs!$B$15/100)*(1+Inputs!$B$16/100)*(5000/(6000+Inputs!$B$42*(1-(100*(1-(1-(Inputs!$B$19+0)/100)*(1-CHOOSE(ArtifactsInput!$N$40+1,5,6,7,8,9,10)/100)^(ArtifactsInput!$M$40-ArtifactsInput!$M$40)))/100)))*(1+(Inputs!$B$24+((C365=TRUE)*(F365-Calc!F24))+((C366=TRUE)*(F366-Calc!F25))+B379)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349=TRUE,F349,0)/100)*(1+(IF(Skills!A5="EMPOWERED_PIERCING_ARROW",Inputs!$B$17+((C363=TRUE)*(F363-Calc!F22))+(((IF(AND(ArtifactsInput!$M$42,((Inputs!$B$9+((C360=TRUE)*(F360-Calc!F19))+B373+(ArtifactsInput!$M$24-ArtifactsInput!$M$24)*CHOOSE(ArtifactsInput!$N$24+1,10,12,14,16,18,20)+IF(ArtifactsInput!$M$10,CHOOSE(ArtifactsInput!$N$10+1,15,18,21,24,27,30)*(IF(Inputs!$B$38="pvp",MIN(15,15)/15,IF(AND(Inputs!$B$38&lt;&gt;"pvp",Inputs!$B$43&gt;0),MIN(15,Inputs!$B$43)/(Inputs!$B$43),0))),0)))&gt;=100),MIN(100,((Inputs!$B$9+((C360=TRUE)*(F360-Calc!F19))+B373+(ArtifactsInput!$M$24-ArtifactsInput!$M$24)*CHOOSE(ArtifactsInput!$N$24+1,10,12,14,16,18,20)+IF(ArtifactsInput!$M$10,CHOOSE(ArtifactsInput!$N$10+1,15,18,21,24,27,30)*(IF(Inputs!$B$38="pvp",MIN(15,15)/15,IF(AND(Inputs!$B$38&lt;&gt;"pvp",Inputs!$B$43&gt;0),MIN(15,Inputs!$B$43)/(Inputs!$B$43),0))),0)))-100),0))*CHOOSE(ArtifactsInput!$N$42+1,0.6,0.72,0.84,0.96,1.08,1.2))),Inputs!$B$18+((C368=TRUE)*(F368-Calc!F27))+(IF(AND(ArtifactsInput!$M$42,((Inputs!$B$9+((C360=TRUE)*(F360-Calc!F19))+B373+(ArtifactsInput!$M$24-ArtifactsInput!$M$24)*CHOOSE(ArtifactsInput!$N$24+1,10,12,14,16,18,20)+IF(ArtifactsInput!$M$10,CHOOSE(ArtifactsInput!$N$10+1,15,18,21,24,27,30)*(IF(Inputs!$B$38="pvp",MIN(15,15)/15,IF(AND(Inputs!$B$38&lt;&gt;"pvp",Inputs!$B$43&gt;0),MIN(15,Inputs!$B$43)/(Inputs!$B$43),0))),0)))&gt;=100),CHOOSE(ArtifactsInput!$N$42+1,40,48,56,64,72,80),0))))/100)*((1+(((C354=TRUE)*F354)+((C355=TRUE)*IF(Inputs!$B$38="pvp",F355,(1-Summary!$B$11)*(F355)+Summary!$B$11*(0)))+((C356=TRUE)*F356*IF(AND(Inputs!$B$38&lt;&gt;"pvp",Inputs!$B$43&gt;0),(((R356-1)*(Skills!T15*(1+Inputs!$B$34/100))+MIN((Skills!T15*(1+Inputs!$B$34/100)),MAX(0,Inputs!$B$43-((R356-1)*Skills!D15))))/Inputs!$B$43),IF(Inputs!$B$38="pvp",MIN((Skills!T15*(1+Inputs!$B$34/100)),15)/15,(Skills!T15*(1+Inputs!$B$34/100))/Skills!D15)))+((C353=TRUE)*F353)+((C370=TRUE)*(F370-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346)</f>
        <v/>
      </c>
      <c r="L346">
        <f>K346*(MIN(Inputs!$B$22+((C364=TRUE)*(F364-Calc!F23)),(Inputs!$B$23+((C369=TRUE)*(F369-Calc!F28))+(IF(ArtifactsInput!$M$15,CHOOSE(ArtifactsInput!$N$15+1,25,30,35,40,45,50)/100*(Inputs!$B$11-Inputs!$B$11),0))))/100+(Inputs!$B$23+((C369=TRUE)*(F369-Calc!F28))+(IF(ArtifactsInput!$M$15,CHOOSE(ArtifactsInput!$N$15+1,25,30,35,40,45,50)/100*(Inputs!$B$11-Inputs!$B$11),0)))/100)/2</f>
        <v/>
      </c>
      <c r="M346">
        <f>L346*(1+(Inputs!$B$10+0+B378+(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46">
        <f>L346*(1-MIN((Inputs!$B$9+((C360=TRUE)*(F360-Calc!F19))+B373+(ArtifactsInput!$M$24-ArtifactsInput!$M$24)*CHOOSE(ArtifactsInput!$N$24+1,10,12,14,16,18,20)+(IF(AND(ArtifactsInput!$M$42,((Inputs!$B$9+((C360=TRUE)*(F360-Calc!F19))+B373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346*(MIN((Inputs!$B$9+((C360=TRUE)*(F360-Calc!F19))+B373+(ArtifactsInput!$M$24-ArtifactsInput!$M$24)*CHOOSE(ArtifactsInput!$N$24+1,10,12,14,16,18,20)+(IF(AND(ArtifactsInput!$M$42,((Inputs!$B$9+((C360=TRUE)*(F360-Calc!F19))+B373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46">
        <f>(1-Summary!$B$11)*T346+Summary!$B$11*V346</f>
        <v/>
      </c>
      <c r="P346">
        <f>IF(B383=0,0,O346/B383)</f>
        <v/>
      </c>
      <c r="Q346">
        <f>IFERROR(1/IF(Inputs!$B$38="pvp",15,MAX(0.1,Skills!D5-IF(Skills!E5=TRUE,Inputs!$B$32,0))),0)</f>
        <v/>
      </c>
      <c r="R346">
        <f>IF(AND(Inputs!$B$38&lt;&gt;"pvp",Inputs!$B$43&gt;0),IF(MAX(0,Inputs!$B$43-B380)&lt;=0,0,(INT(MAX(0,Inputs!$B$43-B380)/IF(Inputs!$B$38="pvp",15,MAX(0.1,Skills!D5-IF(Skills!E5=TRUE,Inputs!$B$32,0))))+1)),0)</f>
        <v/>
      </c>
      <c r="S346">
        <f>IFERROR((H346*N346*IF(AND(Inputs!$B$38&lt;&gt;"pvp",Inputs!$B$43&gt;0),((Skills!G5*((R346-1)*IF(Skills!H5&gt;0,Skills!I5/Skills!H5,1)+IF(Skills!H5&gt;0,MIN(Skills!I5,MAX(0,MAX(0,Inputs!$B$43-B380)-((R346-1)*IF(Inputs!$B$38="pvp",15,MAX(0.1,Skills!D5-IF(Skills!E5=TRUE,Inputs!$B$32,0))))))/Skills!H5,1)))/Inputs!$B$43),G346*Q346))/N346*IF(Inputs!$B$38="pvp",1,(1-Summary!$B$11)*1+Summary!$B$11*(MIN(Skills!R5,Inputs!$B$37))),0)</f>
        <v/>
      </c>
      <c r="T346">
        <f>IF(C346,(H346*N346*IF(AND(Inputs!$B$38&lt;&gt;"pvp",Inputs!$B$43&gt;0),((Skills!G5*((R346-1)*IF(Skills!H5&gt;0,Skills!I5/Skills!H5,1)+IF(Skills!H5&gt;0,MIN(Skills!I5,MAX(0,MAX(0,Inputs!$B$43-B380)-((R346-1)*IF(Inputs!$B$38="pvp",15,MAX(0.1,Skills!D5-IF(Skills!E5=TRUE,Inputs!$B$32,0))))))/Skills!H5,1)))/Inputs!$B$43),G346*Q346))*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Hunt"),CHOOSE(ArtifactsInput!$N$35+1,15,18,21,24,27,30)*(1-EXP(-(0.2*B375)*5)),0)+IF(AND(ArtifactsInput!$M$22,Inputs!$B$4&lt;&gt;"Chapter Hunt"),CHOOSE(ArtifactsInput!$N$22+1,10,12,14,16,18,20)*((0*(((0.15*B375*5))^0/1)+1*(((0.15*B375*5))^1/1)+2*(((0.15*B375*5))^2/2)+3*(((0.15*B375*5))^3/6)+4*(((0.15*B375*5))^4/24)+5*(((0.15*B375*5))^5/120))/((((0.15*B375*5))^0/1)+(((0.15*B375*5))^1/1)+(((0.15*B375*5))^2/2)+(((0.15*B375*5))^3/6)+(((0.15*B375*5))^4/24)+(((0.15*B375*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346*(1-MIN(100,(Inputs!$B$9+((C360=TRUE)*(F360-Calc!F19))+B373+(ArtifactsInput!$M$24-ArtifactsInput!$M$24)*CHOOSE(ArtifactsInput!$N$24+1,10,12,14,16,18,20)+(IF(AND(ArtifactsInput!$M$42,((Inputs!$B$9+((C360=TRUE)*(F360-Calc!F19))+B373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346*(MIN(100,(Inputs!$B$9+((C360=TRUE)*(F360-Calc!F19))+B373+(ArtifactsInput!$M$24-ArtifactsInput!$M$24)*CHOOSE(ArtifactsInput!$N$24+1,10,12,14,16,18,20)+(IF(AND(ArtifactsInput!$M$42,((Inputs!$B$9+((C360=TRUE)*(F360-Calc!F19))+B373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346*(1-MIN(100,(Inputs!$B$9+((C360=TRUE)*(F360-Calc!F19))+B373+(ArtifactsInput!$M$24-ArtifactsInput!$M$24)*CHOOSE(ArtifactsInput!$N$24+1,10,12,14,16,18,20)+(IF(AND(ArtifactsInput!$M$42,((Inputs!$B$9+((C360=TRUE)*(F360-Calc!F19))+B373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346*(MIN(100,(Inputs!$B$9+((C360=TRUE)*(F360-Calc!F19))+B373+(ArtifactsInput!$M$24-ArtifactsInput!$M$24)*CHOOSE(ArtifactsInput!$N$24+1,10,12,14,16,18,20)+(IF(AND(ArtifactsInput!$M$42,((Inputs!$B$9+((C360=TRUE)*(F360-Calc!F19))+B373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46">
        <f>IF(C346,(H346*N346*IF(AND(Inputs!$B$38&lt;&gt;"pvp",Inputs!$B$43&gt;0),((Skills!G5*((R346-1)*IF(Skills!H5&gt;0,Skills!I5/Skills!H5,1)+IF(Skills!H5&gt;0,MIN(Skills!I5,MAX(0,MAX(0,Inputs!$B$43-B380)-((R346-1)*IF(Inputs!$B$38="pvp",15,MAX(0.1,Skills!D5-IF(Skills!E5=TRUE,Inputs!$B$32,0))))))/Skills!H5,1)))/Inputs!$B$43),G346*Q346))*IF(Inputs!$B$38="pvp",1,(1+((Inputs!$B$21+1)+Skills!Q5+(IF(ArtifactsInput!$M$33,CHOOSE(ArtifactsInput!$N$33+1,30,36,42,48,54,60),0))+(IF(AND(ArtifactsInput!$M$35,Inputs!$B$4&lt;&gt;"Chapter Hunt"),CHOOSE(ArtifactsInput!$N$35+1,15,18,21,24,27,30)*(1-EXP(-(0.2*B375)*5)),0)+IF(AND(ArtifactsInput!$M$22,Inputs!$B$4&lt;&gt;"Chapter Hunt"),CHOOSE(ArtifactsInput!$N$22+1,10,12,14,16,18,20)*((0*(((0.15*B375*5))^0/1)+1*(((0.15*B375*5))^1/1)+2*(((0.15*B375*5))^2/2)+3*(((0.15*B375*5))^3/6)+4*(((0.15*B375*5))^4/24)+5*(((0.15*B375*5))^5/120))/((((0.15*B375*5))^0/1)+(((0.15*B375*5))^1/1)+(((0.15*B375*5))^2/2)+(((0.15*B375*5))^3/6)+(((0.15*B375*5))^4/24)+(((0.15*B375*5))^5/120)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47">
      <c r="A347">
        <f>Skills!A6</f>
        <v/>
      </c>
      <c r="B347">
        <f>Skills!B6</f>
        <v/>
      </c>
      <c r="C347">
        <f>Inputs!$B$3&gt;=63</f>
        <v/>
      </c>
      <c r="D347">
        <f>IF(Skills!C6=1,60+Inputs!$B$25+Inputs!$B$29,IF(Skills!C6=2,90+Inputs!$B$26+Inputs!$B$29,IF(Skills!C6=3,120+Inputs!$B$27+Inputs!$B$29,MAX(0,(Inputs!$B$3-100)*3)+Inputs!$B$28+Inputs!$B$29)))</f>
        <v/>
      </c>
      <c r="E347">
        <f>INDEX(FactorTable!$B$2:$Y$301, MATCH(ROUND(MIN(300,MAX(1,D347)),0), FactorTable!$A$2:$A$301,0), Skills!M6+1)</f>
        <v/>
      </c>
      <c r="F347">
        <f>IF(Skills!N6=TRUE,(Skills!L6/10)*(E347/1000),Skills!L6/10)+Skills!O6</f>
        <v/>
      </c>
      <c r="G347">
        <f>Skills!G6*IF(Skills!H6&gt;0,Skills!I6/Skills!H6,1)</f>
        <v/>
      </c>
      <c r="H347">
        <f>1-(1-Skills!J6/100)^Skills!K6</f>
        <v/>
      </c>
      <c r="I347" t="inlineStr">
        <is>
          <t>1</t>
        </is>
      </c>
      <c r="J347">
        <f>((Inputs!$B$6*(1+Inputs!$B$7/100))+(((Inputs!$B$12*(1+Inputs!$B$13/100))-(Inputs!$B$12*(1+Inputs!$B$13/100)))+0.25*(Inputs!$B$14-Inputs!$B$14))*(1+Inputs!$B$7/100))*(F347/100)</f>
        <v/>
      </c>
      <c r="K347">
        <f>J347*(1+((Inputs!$B$12*(1+Inputs!$B$13/100))*0.01+Inputs!$B$14*0.0025)/100)*(1+Inputs!$B$15/100)*(1+Inputs!$B$16/100)*(5000/(6000+Inputs!$B$42*(1-(100*(1-(1-(Inputs!$B$19+0)/100)*(1-CHOOSE(ArtifactsInput!$N$40+1,5,6,7,8,9,10)/100)^(ArtifactsInput!$M$40-ArtifactsInput!$M$40)))/100)))*(1+(Inputs!$B$24+((C365=TRUE)*(F365-Calc!F24))+((C366=TRUE)*(F366-Calc!F25))+B379)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349=TRUE,F349,0)/100)*(1+(IF(Skills!A6="EMPOWERED_PIERCING_ARROW",Inputs!$B$17+((C363=TRUE)*(F363-Calc!F22))+(((IF(AND(ArtifactsInput!$M$42,((Inputs!$B$9+((C360=TRUE)*(F360-Calc!F19))+B373+(ArtifactsInput!$M$24-ArtifactsInput!$M$24)*CHOOSE(ArtifactsInput!$N$24+1,10,12,14,16,18,20)+IF(ArtifactsInput!$M$10,CHOOSE(ArtifactsInput!$N$10+1,15,18,21,24,27,30)*(IF(Inputs!$B$38="pvp",MIN(15,15)/15,IF(AND(Inputs!$B$38&lt;&gt;"pvp",Inputs!$B$43&gt;0),MIN(15,Inputs!$B$43)/(Inputs!$B$43),0))),0)))&gt;=100),MIN(100,((Inputs!$B$9+((C360=TRUE)*(F360-Calc!F19))+B373+(ArtifactsInput!$M$24-ArtifactsInput!$M$24)*CHOOSE(ArtifactsInput!$N$24+1,10,12,14,16,18,20)+IF(ArtifactsInput!$M$10,CHOOSE(ArtifactsInput!$N$10+1,15,18,21,24,27,30)*(IF(Inputs!$B$38="pvp",MIN(15,15)/15,IF(AND(Inputs!$B$38&lt;&gt;"pvp",Inputs!$B$43&gt;0),MIN(15,Inputs!$B$43)/(Inputs!$B$43),0))),0)))-100),0))*CHOOSE(ArtifactsInput!$N$42+1,0.6,0.72,0.84,0.96,1.08,1.2))),Inputs!$B$18+((C368=TRUE)*(F368-Calc!F27))+(IF(AND(ArtifactsInput!$M$42,((Inputs!$B$9+((C360=TRUE)*(F360-Calc!F19))+B373+(ArtifactsInput!$M$24-ArtifactsInput!$M$24)*CHOOSE(ArtifactsInput!$N$24+1,10,12,14,16,18,20)+IF(ArtifactsInput!$M$10,CHOOSE(ArtifactsInput!$N$10+1,15,18,21,24,27,30)*(IF(Inputs!$B$38="pvp",MIN(15,15)/15,IF(AND(Inputs!$B$38&lt;&gt;"pvp",Inputs!$B$43&gt;0),MIN(15,Inputs!$B$43)/(Inputs!$B$43),0))),0)))&gt;=100),CHOOSE(ArtifactsInput!$N$42+1,40,48,56,64,72,80),0))))/100)*((1+(((C354=TRUE)*F354)+((C355=TRUE)*IF(Inputs!$B$38="pvp",F355,(1-Summary!$B$11)*(F355)+Summary!$B$11*(0)))+((C356=TRUE)*F356*IF(AND(Inputs!$B$38&lt;&gt;"pvp",Inputs!$B$43&gt;0),(((R356-1)*(Skills!T15*(1+Inputs!$B$34/100))+MIN((Skills!T15*(1+Inputs!$B$34/100)),MAX(0,Inputs!$B$43-((R356-1)*Skills!D15))))/Inputs!$B$43),IF(Inputs!$B$38="pvp",MIN((Skills!T15*(1+Inputs!$B$34/100)),15)/15,(Skills!T15*(1+Inputs!$B$34/100))/Skills!D15)))+((C353=TRUE)*F353)+((C370=TRUE)*(F370-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347)</f>
        <v/>
      </c>
      <c r="L347">
        <f>K347*(MIN(Inputs!$B$22+((C364=TRUE)*(F364-Calc!F23)),(Inputs!$B$23+((C369=TRUE)*(F369-Calc!F28))+(IF(ArtifactsInput!$M$15,CHOOSE(ArtifactsInput!$N$15+1,25,30,35,40,45,50)/100*(Inputs!$B$11-Inputs!$B$11),0))))/100+(Inputs!$B$23+((C369=TRUE)*(F369-Calc!F28))+(IF(ArtifactsInput!$M$15,CHOOSE(ArtifactsInput!$N$15+1,25,30,35,40,45,50)/100*(Inputs!$B$11-Inputs!$B$11),0)))/100)/2</f>
        <v/>
      </c>
      <c r="M347">
        <f>L347*(1+(Inputs!$B$10+0+B378+(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47">
        <f>L347*(1-MIN((Inputs!$B$9+((C360=TRUE)*(F360-Calc!F19))+B373+(ArtifactsInput!$M$24-ArtifactsInput!$M$24)*CHOOSE(ArtifactsInput!$N$24+1,10,12,14,16,18,20)+(IF(AND(ArtifactsInput!$M$42,((Inputs!$B$9+((C360=TRUE)*(F360-Calc!F19))+B373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347*(MIN((Inputs!$B$9+((C360=TRUE)*(F360-Calc!F19))+B373+(ArtifactsInput!$M$24-ArtifactsInput!$M$24)*CHOOSE(ArtifactsInput!$N$24+1,10,12,14,16,18,20)+(IF(AND(ArtifactsInput!$M$42,((Inputs!$B$9+((C360=TRUE)*(F360-Calc!F19))+B373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47">
        <f>(1-Summary!$B$11)*T347+Summary!$B$11*V347</f>
        <v/>
      </c>
      <c r="P347">
        <f>IF(B383=0,0,O347/B383)</f>
        <v/>
      </c>
      <c r="Q347">
        <f>IFERROR(1/IF(Inputs!$B$38="pvp",15,MAX(0.1,Skills!D6-IF(Skills!E6=TRUE,Inputs!$B$32,0))),0)</f>
        <v/>
      </c>
      <c r="R347">
        <f>IF(AND(Inputs!$B$38&lt;&gt;"pvp",Inputs!$B$43&gt;0),IF(MAX(0,Inputs!$B$43-B380)&lt;=0,0,(INT(MAX(0,Inputs!$B$43-B380)/IF(Inputs!$B$38="pvp",15,MAX(0.1,Skills!D6-IF(Skills!E6=TRUE,Inputs!$B$32,0))))+1)),0)</f>
        <v/>
      </c>
      <c r="S347">
        <f>IFERROR((H347*N347*IF(AND(Inputs!$B$38&lt;&gt;"pvp",Inputs!$B$43&gt;0),((Skills!G6*((R347-1)*IF(Skills!H6&gt;0,Skills!I6/Skills!H6,1)+IF(Skills!H6&gt;0,MIN(Skills!I6,MAX(0,MAX(0,Inputs!$B$43-B380)-((R347-1)*IF(Inputs!$B$38="pvp",15,MAX(0.1,Skills!D6-IF(Skills!E6=TRUE,Inputs!$B$32,0))))))/Skills!H6,1)))/Inputs!$B$43),G347*Q347))/N347*IF(Inputs!$B$38="pvp",1,(1-Summary!$B$11)*1+Summary!$B$11*(MIN(Skills!R6,Inputs!$B$37))),0)</f>
        <v/>
      </c>
      <c r="T347">
        <f>IF(C347,(H347*N347*IF(AND(Inputs!$B$38&lt;&gt;"pvp",Inputs!$B$43&gt;0),((Skills!G6*((R347-1)*IF(Skills!H6&gt;0,Skills!I6/Skills!H6,1)+IF(Skills!H6&gt;0,MIN(Skills!I6,MAX(0,MAX(0,Inputs!$B$43-B380)-((R347-1)*IF(Inputs!$B$38="pvp",15,MAX(0.1,Skills!D6-IF(Skills!E6=TRUE,Inputs!$B$32,0))))))/Skills!H6,1)))/Inputs!$B$43),G347*Q347))*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Hunt"),CHOOSE(ArtifactsInput!$N$35+1,15,18,21,24,27,30)*(1-EXP(-(0.2*B375)*5)),0)+IF(AND(ArtifactsInput!$M$22,Inputs!$B$4&lt;&gt;"Chapter Hunt"),CHOOSE(ArtifactsInput!$N$22+1,10,12,14,16,18,20)*((0*(((0.15*B375*5))^0/1)+1*(((0.15*B375*5))^1/1)+2*(((0.15*B375*5))^2/2)+3*(((0.15*B375*5))^3/6)+4*(((0.15*B375*5))^4/24)+5*(((0.15*B375*5))^5/120))/((((0.15*B375*5))^0/1)+(((0.15*B375*5))^1/1)+(((0.15*B375*5))^2/2)+(((0.15*B375*5))^3/6)+(((0.15*B375*5))^4/24)+(((0.15*B375*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347*(1-MIN(100,(Inputs!$B$9+((C360=TRUE)*(F360-Calc!F19))+B373+(ArtifactsInput!$M$24-ArtifactsInput!$M$24)*CHOOSE(ArtifactsInput!$N$24+1,10,12,14,16,18,20)+(IF(AND(ArtifactsInput!$M$42,((Inputs!$B$9+((C360=TRUE)*(F360-Calc!F19))+B373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347*(MIN(100,(Inputs!$B$9+((C360=TRUE)*(F360-Calc!F19))+B373+(ArtifactsInput!$M$24-ArtifactsInput!$M$24)*CHOOSE(ArtifactsInput!$N$24+1,10,12,14,16,18,20)+(IF(AND(ArtifactsInput!$M$42,((Inputs!$B$9+((C360=TRUE)*(F360-Calc!F19))+B373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347*(1-MIN(100,(Inputs!$B$9+((C360=TRUE)*(F360-Calc!F19))+B373+(ArtifactsInput!$M$24-ArtifactsInput!$M$24)*CHOOSE(ArtifactsInput!$N$24+1,10,12,14,16,18,20)+(IF(AND(ArtifactsInput!$M$42,((Inputs!$B$9+((C360=TRUE)*(F360-Calc!F19))+B373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347*(MIN(100,(Inputs!$B$9+((C360=TRUE)*(F360-Calc!F19))+B373+(ArtifactsInput!$M$24-ArtifactsInput!$M$24)*CHOOSE(ArtifactsInput!$N$24+1,10,12,14,16,18,20)+(IF(AND(ArtifactsInput!$M$42,((Inputs!$B$9+((C360=TRUE)*(F360-Calc!F19))+B373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47">
        <f>IF(C347,(H347*N347*IF(AND(Inputs!$B$38&lt;&gt;"pvp",Inputs!$B$43&gt;0),((Skills!G6*((R347-1)*IF(Skills!H6&gt;0,Skills!I6/Skills!H6,1)+IF(Skills!H6&gt;0,MIN(Skills!I6,MAX(0,MAX(0,Inputs!$B$43-B380)-((R347-1)*IF(Inputs!$B$38="pvp",15,MAX(0.1,Skills!D6-IF(Skills!E6=TRUE,Inputs!$B$32,0))))))/Skills!H6,1)))/Inputs!$B$43),G347*Q347))*IF(Inputs!$B$38="pvp",1,(1+((Inputs!$B$21+1)+Skills!Q6+(IF(ArtifactsInput!$M$33,CHOOSE(ArtifactsInput!$N$33+1,30,36,42,48,54,60),0))+(IF(AND(ArtifactsInput!$M$35,Inputs!$B$4&lt;&gt;"Chapter Hunt"),CHOOSE(ArtifactsInput!$N$35+1,15,18,21,24,27,30)*(1-EXP(-(0.2*B375)*5)),0)+IF(AND(ArtifactsInput!$M$22,Inputs!$B$4&lt;&gt;"Chapter Hunt"),CHOOSE(ArtifactsInput!$N$22+1,10,12,14,16,18,20)*((0*(((0.15*B375*5))^0/1)+1*(((0.15*B375*5))^1/1)+2*(((0.15*B375*5))^2/2)+3*(((0.15*B375*5))^3/6)+4*(((0.15*B375*5))^4/24)+5*(((0.15*B375*5))^5/120))/((((0.15*B375*5))^0/1)+(((0.15*B375*5))^1/1)+(((0.15*B375*5))^2/2)+(((0.15*B375*5))^3/6)+(((0.15*B375*5))^4/24)+(((0.15*B375*5))^5/120))),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48">
      <c r="A348">
        <f>Skills!A7</f>
        <v/>
      </c>
      <c r="B348">
        <f>Skills!B7</f>
        <v/>
      </c>
      <c r="C348">
        <f>Inputs!$B$3&gt;=69</f>
        <v/>
      </c>
      <c r="D348">
        <f>IF(Skills!C7=1,60+Inputs!$B$25+Inputs!$B$29,IF(Skills!C7=2,90+Inputs!$B$26+Inputs!$B$29,IF(Skills!C7=3,120+Inputs!$B$27+Inputs!$B$29,MAX(0,(Inputs!$B$3-100)*3)+Inputs!$B$28+Inputs!$B$29)))</f>
        <v/>
      </c>
      <c r="E348">
        <f>INDEX(FactorTable!$B$2:$Y$301, MATCH(ROUND(MIN(300,MAX(1,D348)),0), FactorTable!$A$2:$A$301,0), Skills!M7+1)</f>
        <v/>
      </c>
      <c r="F348">
        <f>IF(Skills!N7=TRUE,(Skills!L7/10)*(E348/1000),Skills!L7/10)+Skills!O7</f>
        <v/>
      </c>
      <c r="G348">
        <f>Skills!G7*IF(Skills!H7&gt;0,Skills!I7/Skills!H7,1)</f>
        <v/>
      </c>
      <c r="H348">
        <f>1-(1-Skills!J7/100)^Skills!K7</f>
        <v/>
      </c>
      <c r="I348" t="inlineStr">
        <is>
          <t>1</t>
        </is>
      </c>
      <c r="J348">
        <f>((Inputs!$B$6*(1+Inputs!$B$7/100))+(((Inputs!$B$12*(1+Inputs!$B$13/100))-(Inputs!$B$12*(1+Inputs!$B$13/100)))+0.25*(Inputs!$B$14-Inputs!$B$14))*(1+Inputs!$B$7/100))*(F348/100)</f>
        <v/>
      </c>
      <c r="K348">
        <f>J348*(1+((Inputs!$B$12*(1+Inputs!$B$13/100))*0.01+Inputs!$B$14*0.0025)/100)*(1+Inputs!$B$15/100)*(1+Inputs!$B$16/100)*(5000/(6000+Inputs!$B$42*(1-(100*(1-(1-(Inputs!$B$19+0)/100)*(1-CHOOSE(ArtifactsInput!$N$40+1,5,6,7,8,9,10)/100)^(ArtifactsInput!$M$40-ArtifactsInput!$M$40)))/100)))*(1+(Inputs!$B$24+((C365=TRUE)*(F365-Calc!F24))+((C366=TRUE)*(F366-Calc!F25))+B379)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+1.2*IF(C349=TRUE,F349,0)/100)*(1+(IF(Skills!A7="EMPOWERED_PIERCING_ARROW",Inputs!$B$17+((C363=TRUE)*(F363-Calc!F22))+(((IF(AND(ArtifactsInput!$M$42,((Inputs!$B$9+((C360=TRUE)*(F360-Calc!F19))+B373+(ArtifactsInput!$M$24-ArtifactsInput!$M$24)*CHOOSE(ArtifactsInput!$N$24+1,10,12,14,16,18,20)+IF(ArtifactsInput!$M$10,CHOOSE(ArtifactsInput!$N$10+1,15,18,21,24,27,30)*(IF(Inputs!$B$38="pvp",MIN(15,15)/15,IF(AND(Inputs!$B$38&lt;&gt;"pvp",Inputs!$B$43&gt;0),MIN(15,Inputs!$B$43)/(Inputs!$B$43),0))),0)))&gt;=100),MIN(100,((Inputs!$B$9+((C360=TRUE)*(F360-Calc!F19))+B373+(ArtifactsInput!$M$24-ArtifactsInput!$M$24)*CHOOSE(ArtifactsInput!$N$24+1,10,12,14,16,18,20)+IF(ArtifactsInput!$M$10,CHOOSE(ArtifactsInput!$N$10+1,15,18,21,24,27,30)*(IF(Inputs!$B$38="pvp",MIN(15,15)/15,IF(AND(Inputs!$B$38&lt;&gt;"pvp",Inputs!$B$43&gt;0),MIN(15,Inputs!$B$43)/(Inputs!$B$43),0))),0)))-100),0))*CHOOSE(ArtifactsInput!$N$42+1,0.6,0.72,0.84,0.96,1.08,1.2))),Inputs!$B$18+((C368=TRUE)*(F368-Calc!F27))+(IF(AND(ArtifactsInput!$M$42,((Inputs!$B$9+((C360=TRUE)*(F360-Calc!F19))+B373+(ArtifactsInput!$M$24-ArtifactsInput!$M$24)*CHOOSE(ArtifactsInput!$N$24+1,10,12,14,16,18,20)+IF(ArtifactsInput!$M$10,CHOOSE(ArtifactsInput!$N$10+1,15,18,21,24,27,30)*(IF(Inputs!$B$38="pvp",MIN(15,15)/15,IF(AND(Inputs!$B$38&lt;&gt;"pvp",Inputs!$B$43&gt;0),MIN(15,Inputs!$B$43)/(Inputs!$B$43),0))),0)))&gt;=100),CHOOSE(ArtifactsInput!$N$42+1,40,48,56,64,72,80),0))))/100)*((1+(((C354=TRUE)*F354)+((C355=TRUE)*IF(Inputs!$B$38="pvp",F355,(1-Summary!$B$11)*(F355)+Summary!$B$11*(0)))+((C356=TRUE)*F356*IF(AND(Inputs!$B$38&lt;&gt;"pvp",Inputs!$B$43&gt;0),(((R356-1)*(Skills!T15*(1+Inputs!$B$34/100))+MIN((Skills!T15*(1+Inputs!$B$34/100)),MAX(0,Inputs!$B$43-((R356-1)*Skills!D15))))/Inputs!$B$43),IF(Inputs!$B$38="pvp",MIN((Skills!T15*(1+Inputs!$B$34/100)),15)/15,(Skills!T15*(1+Inputs!$B$34/100))/Skills!D15)))+((C353=TRUE)*F353)+((C370=TRUE)*(F370-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348)</f>
        <v/>
      </c>
      <c r="L348">
        <f>K348*(MIN(Inputs!$B$22+((C364=TRUE)*(F364-Calc!F23)),(Inputs!$B$23+((C369=TRUE)*(F369-Calc!F28))+(IF(ArtifactsInput!$M$15,CHOOSE(ArtifactsInput!$N$15+1,25,30,35,40,45,50)/100*(Inputs!$B$11-Inputs!$B$11),0))))/100+(Inputs!$B$23+((C369=TRUE)*(F369-Calc!F28))+(IF(ArtifactsInput!$M$15,CHOOSE(ArtifactsInput!$N$15+1,25,30,35,40,45,50)/100*(Inputs!$B$11-Inputs!$B$11),0)))/100)/2</f>
        <v/>
      </c>
      <c r="M348">
        <f>L348*(1+(Inputs!$B$10+0+B378+(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48">
        <f>L348*(1-MIN((Inputs!$B$9+((C360=TRUE)*(F360-Calc!F19))+B373+(ArtifactsInput!$M$24-ArtifactsInput!$M$24)*CHOOSE(ArtifactsInput!$N$24+1,10,12,14,16,18,20)+(IF(AND(ArtifactsInput!$M$42,((Inputs!$B$9+((C360=TRUE)*(F360-Calc!F19))+B373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348*(MIN((Inputs!$B$9+((C360=TRUE)*(F360-Calc!F19))+B373+(ArtifactsInput!$M$24-ArtifactsInput!$M$24)*CHOOSE(ArtifactsInput!$N$24+1,10,12,14,16,18,20)+(IF(AND(ArtifactsInput!$M$42,((Inputs!$B$9+((C360=TRUE)*(F360-Calc!F19))+B373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48">
        <f>(1-Summary!$B$11)*T348+Summary!$B$11*V348</f>
        <v/>
      </c>
      <c r="P348">
        <f>IF(B383=0,0,O348/B383)</f>
        <v/>
      </c>
      <c r="Q348">
        <f>IFERROR(1/IF(Inputs!$B$38="pvp",15,MAX(0.1,Skills!D7-IF(Skills!E7=TRUE,Inputs!$B$32,0))),0)</f>
        <v/>
      </c>
      <c r="R348">
        <f>IF(AND(Inputs!$B$38&lt;&gt;"pvp",Inputs!$B$43&gt;0),IF(MAX(0,Inputs!$B$43-B380)&lt;=0,0,(INT(MAX(0,Inputs!$B$43-B380)/IF(Inputs!$B$38="pvp",15,MAX(0.1,Skills!D7-IF(Skills!E7=TRUE,Inputs!$B$32,0))))+1)),0)</f>
        <v/>
      </c>
      <c r="S348">
        <f>IFERROR((H348*N348*IF(AND(Inputs!$B$38&lt;&gt;"pvp",Inputs!$B$43&gt;0),((Skills!G7*((R348-1)*IF(Skills!H7&gt;0,Skills!I7/Skills!H7,1)+IF(Skills!H7&gt;0,MIN(Skills!I7,MAX(0,MAX(0,Inputs!$B$43-B380)-((R348-1)*IF(Inputs!$B$38="pvp",15,MAX(0.1,Skills!D7-IF(Skills!E7=TRUE,Inputs!$B$32,0))))))/Skills!H7,1)))/Inputs!$B$43),G348*Q348))/N348*IF(Inputs!$B$38="pvp",1,(1-Summary!$B$11)*1+Summary!$B$11*(MIN(Skills!R7,Inputs!$B$37))),0)</f>
        <v/>
      </c>
      <c r="T348">
        <f>IF(C348,(H348*N348*IF(AND(Inputs!$B$38&lt;&gt;"pvp",Inputs!$B$43&gt;0),((Skills!G7*((R348-1)*IF(Skills!H7&gt;0,Skills!I7/Skills!H7,1)+IF(Skills!H7&gt;0,MIN(Skills!I7,MAX(0,MAX(0,Inputs!$B$43-B380)-((R348-1)*IF(Inputs!$B$38="pvp",15,MAX(0.1,Skills!D7-IF(Skills!E7=TRUE,Inputs!$B$32,0))))))/Skills!H7,1)))/Inputs!$B$43),G348*Q348))*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Hunt"),CHOOSE(ArtifactsInput!$N$35+1,15,18,21,24,27,30)*(1-EXP(-(0.2*B375)*5)),0)+IF(AND(ArtifactsInput!$M$22,Inputs!$B$4&lt;&gt;"Chapter Hunt"),CHOOSE(ArtifactsInput!$N$22+1,10,12,14,16,18,20)*((0*(((0.15*B375*5))^0/1)+1*(((0.15*B375*5))^1/1)+2*(((0.15*B375*5))^2/2)+3*(((0.15*B375*5))^3/6)+4*(((0.15*B375*5))^4/24)+5*(((0.15*B375*5))^5/120))/((((0.15*B375*5))^0/1)+(((0.15*B375*5))^1/1)+(((0.15*B375*5))^2/2)+(((0.15*B375*5))^3/6)+(((0.15*B375*5))^4/24)+(((0.15*B375*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348*(1-MIN(100,(Inputs!$B$9+((C360=TRUE)*(F360-Calc!F19))+B373+(ArtifactsInput!$M$24-ArtifactsInput!$M$24)*CHOOSE(ArtifactsInput!$N$24+1,10,12,14,16,18,20)+(IF(AND(ArtifactsInput!$M$42,((Inputs!$B$9+((C360=TRUE)*(F360-Calc!F19))+B373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348*(MIN(100,(Inputs!$B$9+((C360=TRUE)*(F360-Calc!F19))+B373+(ArtifactsInput!$M$24-ArtifactsInput!$M$24)*CHOOSE(ArtifactsInput!$N$24+1,10,12,14,16,18,20)+(IF(AND(ArtifactsInput!$M$42,((Inputs!$B$9+((C360=TRUE)*(F360-Calc!F19))+B373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348*(1-MIN(100,(Inputs!$B$9+((C360=TRUE)*(F360-Calc!F19))+B373+(ArtifactsInput!$M$24-ArtifactsInput!$M$24)*CHOOSE(ArtifactsInput!$N$24+1,10,12,14,16,18,20)+(IF(AND(ArtifactsInput!$M$42,((Inputs!$B$9+((C360=TRUE)*(F360-Calc!F19))+B373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348*(MIN(100,(Inputs!$B$9+((C360=TRUE)*(F360-Calc!F19))+B373+(ArtifactsInput!$M$24-ArtifactsInput!$M$24)*CHOOSE(ArtifactsInput!$N$24+1,10,12,14,16,18,20)+(IF(AND(ArtifactsInput!$M$42,((Inputs!$B$9+((C360=TRUE)*(F360-Calc!F19))+B373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48">
        <f>IF(C348,(H348*N348*IF(AND(Inputs!$B$38&lt;&gt;"pvp",Inputs!$B$43&gt;0),((Skills!G7*((R348-1)*IF(Skills!H7&gt;0,Skills!I7/Skills!H7,1)+IF(Skills!H7&gt;0,MIN(Skills!I7,MAX(0,MAX(0,Inputs!$B$43-B380)-((R348-1)*IF(Inputs!$B$38="pvp",15,MAX(0.1,Skills!D7-IF(Skills!E7=TRUE,Inputs!$B$32,0))))))/Skills!H7,1)))/Inputs!$B$43),G348*Q348))*IF(Inputs!$B$38="pvp",1,(1+((Inputs!$B$21+1)+Skills!Q7+(IF(ArtifactsInput!$M$33,CHOOSE(ArtifactsInput!$N$33+1,30,36,42,48,54,60),0))+(IF(AND(ArtifactsInput!$M$35,Inputs!$B$4&lt;&gt;"Chapter Hunt"),CHOOSE(ArtifactsInput!$N$35+1,15,18,21,24,27,30)*(1-EXP(-(0.2*B375)*5)),0)+IF(AND(ArtifactsInput!$M$22,Inputs!$B$4&lt;&gt;"Chapter Hunt"),CHOOSE(ArtifactsInput!$N$22+1,10,12,14,16,18,20)*((0*(((0.15*B375*5))^0/1)+1*(((0.15*B375*5))^1/1)+2*(((0.15*B375*5))^2/2)+3*(((0.15*B375*5))^3/6)+4*(((0.15*B375*5))^4/24)+5*(((0.15*B375*5))^5/120))/((((0.15*B375*5))^0/1)+(((0.15*B375*5))^1/1)+(((0.15*B375*5))^2/2)+(((0.15*B375*5))^3/6)+(((0.15*B375*5))^4/24)+(((0.15*B375*5))^5/120))),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49">
      <c r="A349">
        <f>Skills!A8</f>
        <v/>
      </c>
      <c r="B349">
        <f>Skills!B8</f>
        <v/>
      </c>
      <c r="C349">
        <f>Inputs!$B$3&gt;=100</f>
        <v/>
      </c>
      <c r="D349">
        <f>IF(Skills!C8=1,60+Inputs!$B$25+Inputs!$B$29,IF(Skills!C8=2,90+Inputs!$B$26+Inputs!$B$29,IF(Skills!C8=3,120+Inputs!$B$27+Inputs!$B$29,MAX(0,(Inputs!$B$3-100)*3)+Inputs!$B$28+Inputs!$B$29)))</f>
        <v/>
      </c>
      <c r="E349">
        <f>INDEX(FactorTable!$B$2:$Y$301, MATCH(ROUND(MIN(300,MAX(1,D349)),0), FactorTable!$A$2:$A$301,0), Skills!M8+1)</f>
        <v/>
      </c>
      <c r="F349">
        <f>IF(Skills!N8=TRUE,(Skills!L8/10)*(E349/1000),Skills!L8/10)+Skills!O8</f>
        <v/>
      </c>
      <c r="G349" t="inlineStr"/>
      <c r="H349" t="inlineStr"/>
      <c r="I349" t="inlineStr">
        <is>
          <t>1</t>
        </is>
      </c>
      <c r="J349" t="inlineStr"/>
      <c r="K349" t="inlineStr"/>
      <c r="L349" t="inlineStr"/>
      <c r="M349" t="inlineStr"/>
      <c r="N349" t="inlineStr"/>
      <c r="O349" t="inlineStr"/>
      <c r="P349" t="inlineStr"/>
      <c r="Q349" t="inlineStr"/>
      <c r="R349" t="inlineStr"/>
      <c r="S349" t="inlineStr"/>
      <c r="T349" t="inlineStr"/>
      <c r="V349" t="inlineStr"/>
    </row>
    <row r="350">
      <c r="A350">
        <f>Skills!A9</f>
        <v/>
      </c>
      <c r="B350">
        <f>Skills!B9</f>
        <v/>
      </c>
      <c r="C350">
        <f>Inputs!$B$3&gt;=103</f>
        <v/>
      </c>
      <c r="D350">
        <f>IF(Skills!C9=1,60+Inputs!$B$25+Inputs!$B$29,IF(Skills!C9=2,90+Inputs!$B$26+Inputs!$B$29,IF(Skills!C9=3,120+Inputs!$B$27+Inputs!$B$29,MAX(0,(Inputs!$B$3-100)*3)+Inputs!$B$28+Inputs!$B$29)))</f>
        <v/>
      </c>
      <c r="E350">
        <f>INDEX(FactorTable!$B$2:$Y$301, MATCH(ROUND(MIN(300,MAX(1,D350)),0), FactorTable!$A$2:$A$301,0), Skills!M9+1)</f>
        <v/>
      </c>
      <c r="F350">
        <f>IF(Skills!N9=TRUE,(Skills!L9/10)*(E350/1000),Skills!L9/10)+Skills!O9</f>
        <v/>
      </c>
      <c r="G350">
        <f>Skills!G9*IF(Skills!H9&gt;0,Skills!I9/Skills!H9,1)</f>
        <v/>
      </c>
      <c r="H350">
        <f>1-(1-Skills!J9/100)^Skills!K9</f>
        <v/>
      </c>
      <c r="I350" t="inlineStr">
        <is>
          <t>1</t>
        </is>
      </c>
      <c r="J350">
        <f>((Inputs!$B$6*(1+Inputs!$B$7/100))+(((Inputs!$B$12*(1+Inputs!$B$13/100))-(Inputs!$B$12*(1+Inputs!$B$13/100)))+0.25*(Inputs!$B$14-Inputs!$B$14))*(1+Inputs!$B$7/100))*(F350/100)</f>
        <v/>
      </c>
      <c r="K350">
        <f>J350*(1+((Inputs!$B$12*(1+Inputs!$B$13/100))*0.01+Inputs!$B$14*0.0025)/100)*(1+Inputs!$B$15/100)*(1+Inputs!$B$16/100)*(5000/(6000+Inputs!$B$42*(1-(100*(1-(1-(Inputs!$B$19+0)/100)*(1-CHOOSE(ArtifactsInput!$N$40+1,5,6,7,8,9,10)/100)^(ArtifactsInput!$M$40-ArtifactsInput!$M$40)))/100)))*(1+(Inputs!$B$24+((C365=TRUE)*(F365-Calc!F24))+((C366=TRUE)*(F366-Calc!F25))+B379)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EMPOWERED_PIERCING_ARROW",Inputs!$B$17+((C363=TRUE)*(F363-Calc!F22))+(((IF(AND(ArtifactsInput!$M$42,((Inputs!$B$9+((C360=TRUE)*(F360-Calc!F19))+B373+(ArtifactsInput!$M$24-ArtifactsInput!$M$24)*CHOOSE(ArtifactsInput!$N$24+1,10,12,14,16,18,20)+IF(ArtifactsInput!$M$10,CHOOSE(ArtifactsInput!$N$10+1,15,18,21,24,27,30)*(IF(Inputs!$B$38="pvp",MIN(15,15)/15,IF(AND(Inputs!$B$38&lt;&gt;"pvp",Inputs!$B$43&gt;0),MIN(15,Inputs!$B$43)/(Inputs!$B$43),0))),0)))&gt;=100),MIN(100,((Inputs!$B$9+((C360=TRUE)*(F360-Calc!F19))+B373+(ArtifactsInput!$M$24-ArtifactsInput!$M$24)*CHOOSE(ArtifactsInput!$N$24+1,10,12,14,16,18,20)+IF(ArtifactsInput!$M$10,CHOOSE(ArtifactsInput!$N$10+1,15,18,21,24,27,30)*(IF(Inputs!$B$38="pvp",MIN(15,15)/15,IF(AND(Inputs!$B$38&lt;&gt;"pvp",Inputs!$B$43&gt;0),MIN(15,Inputs!$B$43)/(Inputs!$B$43),0))),0)))-100),0))*CHOOSE(ArtifactsInput!$N$42+1,0.6,0.72,0.84,0.96,1.08,1.2))),Inputs!$B$18+((C368=TRUE)*(F368-Calc!F27))+(IF(AND(ArtifactsInput!$M$42,((Inputs!$B$9+((C360=TRUE)*(F360-Calc!F19))+B373+(ArtifactsInput!$M$24-ArtifactsInput!$M$24)*CHOOSE(ArtifactsInput!$N$24+1,10,12,14,16,18,20)+IF(ArtifactsInput!$M$10,CHOOSE(ArtifactsInput!$N$10+1,15,18,21,24,27,30)*(IF(Inputs!$B$38="pvp",MIN(15,15)/15,IF(AND(Inputs!$B$38&lt;&gt;"pvp",Inputs!$B$43&gt;0),MIN(15,Inputs!$B$43)/(Inputs!$B$43),0))),0)))&gt;=100),CHOOSE(ArtifactsInput!$N$42+1,40,48,56,64,72,80),0))))/100)*((1+(((C354=TRUE)*F354)+((C355=TRUE)*IF(Inputs!$B$38="pvp",F355,(1-Summary!$B$11)*(F355)+Summary!$B$11*(0)))+((C356=TRUE)*F356*IF(AND(Inputs!$B$38&lt;&gt;"pvp",Inputs!$B$43&gt;0),(((R356-1)*(Skills!T15*(1+Inputs!$B$34/100))+MIN((Skills!T15*(1+Inputs!$B$34/100)),MAX(0,Inputs!$B$43-((R356-1)*Skills!D15))))/Inputs!$B$43),IF(Inputs!$B$38="pvp",MIN((Skills!T15*(1+Inputs!$B$34/100)),15)/15,(Skills!T15*(1+Inputs!$B$34/100))/Skills!D15)))+((C353=TRUE)*F353)+((C370=TRUE)*(F370-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350)</f>
        <v/>
      </c>
      <c r="L350">
        <f>K350*(MIN(Inputs!$B$22+((C364=TRUE)*(F364-Calc!F23)),(Inputs!$B$23+((C369=TRUE)*(F369-Calc!F28))+(IF(ArtifactsInput!$M$15,CHOOSE(ArtifactsInput!$N$15+1,25,30,35,40,45,50)/100*(Inputs!$B$11-Inputs!$B$11),0))))/100+(Inputs!$B$23+((C369=TRUE)*(F369-Calc!F28))+(IF(ArtifactsInput!$M$15,CHOOSE(ArtifactsInput!$N$15+1,25,30,35,40,45,50)/100*(Inputs!$B$11-Inputs!$B$11),0)))/100)/2</f>
        <v/>
      </c>
      <c r="M350">
        <f>L350*(1+(Inputs!$B$10+0+B378+(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50">
        <f>L350*(1-MIN((Inputs!$B$9+((C360=TRUE)*(F360-Calc!F19))+B373+(ArtifactsInput!$M$24-ArtifactsInput!$M$24)*CHOOSE(ArtifactsInput!$N$24+1,10,12,14,16,18,20)+(IF(AND(ArtifactsInput!$M$42,((Inputs!$B$9+((C360=TRUE)*(F360-Calc!F19))+B373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350*(MIN((Inputs!$B$9+((C360=TRUE)*(F360-Calc!F19))+B373+(ArtifactsInput!$M$24-ArtifactsInput!$M$24)*CHOOSE(ArtifactsInput!$N$24+1,10,12,14,16,18,20)+(IF(AND(ArtifactsInput!$M$42,((Inputs!$B$9+((C360=TRUE)*(F360-Calc!F19))+B373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50">
        <f>(1-Summary!$B$11)*T350+Summary!$B$11*V350</f>
        <v/>
      </c>
      <c r="P350">
        <f>IF(B383=0,0,O350/B383)</f>
        <v/>
      </c>
      <c r="Q350">
        <f>IFERROR(1/IF(Inputs!$B$38="pvp",15,MAX(0.1,Skills!D9-IF(Skills!E9=TRUE,Inputs!$B$32,0))),0)</f>
        <v/>
      </c>
      <c r="R350">
        <f>IF(AND(Inputs!$B$38&lt;&gt;"pvp",Inputs!$B$43&gt;0),IF(MAX(0,Inputs!$B$43-B380)&lt;=0,0,(INT(MAX(0,Inputs!$B$43-B380)/IF(Inputs!$B$38="pvp",15,MAX(0.1,Skills!D9-IF(Skills!E9=TRUE,Inputs!$B$32,0))))+1)),0)</f>
        <v/>
      </c>
      <c r="S350">
        <f>IFERROR((H350*N350*IF(AND(Inputs!$B$38&lt;&gt;"pvp",Inputs!$B$43&gt;0),((Skills!G9*((R350-1)*IF(Skills!H9&gt;0,Skills!I9/Skills!H9,1)+IF(Skills!H9&gt;0,MIN(Skills!I9,MAX(0,MAX(0,Inputs!$B$43-B380)-((R350-1)*IF(Inputs!$B$38="pvp",15,MAX(0.1,Skills!D9-IF(Skills!E9=TRUE,Inputs!$B$32,0))))))/Skills!H9,1)))/Inputs!$B$43),G350*Q350))/N350*IF(Inputs!$B$38="pvp",1,(1-Summary!$B$11)*1+Summary!$B$11*(MIN(Skills!R9,Inputs!$B$37))),0)</f>
        <v/>
      </c>
      <c r="T350">
        <f>IF(C350,(H350*N350*IF(AND(Inputs!$B$38&lt;&gt;"pvp",Inputs!$B$43&gt;0),((Skills!G9*((R350-1)*IF(Skills!H9&gt;0,Skills!I9/Skills!H9,1)+IF(Skills!H9&gt;0,MIN(Skills!I9,MAX(0,MAX(0,Inputs!$B$43-B380)-((R350-1)*IF(Inputs!$B$38="pvp",15,MAX(0.1,Skills!D9-IF(Skills!E9=TRUE,Inputs!$B$32,0))))))/Skills!H9,1)))/Inputs!$B$43),G350*Q350))*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Hunt"),CHOOSE(ArtifactsInput!$N$35+1,15,18,21,24,27,30)*(1-EXP(-(0.2*B375)*5)),0)+IF(AND(ArtifactsInput!$M$22,Inputs!$B$4&lt;&gt;"Chapter Hunt"),CHOOSE(ArtifactsInput!$N$22+1,10,12,14,16,18,20)*((0*(((0.15*B375*5))^0/1)+1*(((0.15*B375*5))^1/1)+2*(((0.15*B375*5))^2/2)+3*(((0.15*B375*5))^3/6)+4*(((0.15*B375*5))^4/24)+5*(((0.15*B375*5))^5/120))/((((0.15*B375*5))^0/1)+(((0.15*B375*5))^1/1)+(((0.15*B375*5))^2/2)+(((0.15*B375*5))^3/6)+(((0.15*B375*5))^4/24)+(((0.15*B375*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350*(1-MIN(100,(Inputs!$B$9+((C360=TRUE)*(F360-Calc!F19))+B373+(ArtifactsInput!$M$24-ArtifactsInput!$M$24)*CHOOSE(ArtifactsInput!$N$24+1,10,12,14,16,18,20)+(IF(AND(ArtifactsInput!$M$42,((Inputs!$B$9+((C360=TRUE)*(F360-Calc!F19))+B373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350*(MIN(100,(Inputs!$B$9+((C360=TRUE)*(F360-Calc!F19))+B373+(ArtifactsInput!$M$24-ArtifactsInput!$M$24)*CHOOSE(ArtifactsInput!$N$24+1,10,12,14,16,18,20)+(IF(AND(ArtifactsInput!$M$42,((Inputs!$B$9+((C360=TRUE)*(F360-Calc!F19))+B373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350*(1-MIN(100,(Inputs!$B$9+((C360=TRUE)*(F360-Calc!F19))+B373+(ArtifactsInput!$M$24-ArtifactsInput!$M$24)*CHOOSE(ArtifactsInput!$N$24+1,10,12,14,16,18,20)+(IF(AND(ArtifactsInput!$M$42,((Inputs!$B$9+((C360=TRUE)*(F360-Calc!F19))+B373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350*(MIN(100,(Inputs!$B$9+((C360=TRUE)*(F360-Calc!F19))+B373+(ArtifactsInput!$M$24-ArtifactsInput!$M$24)*CHOOSE(ArtifactsInput!$N$24+1,10,12,14,16,18,20)+(IF(AND(ArtifactsInput!$M$42,((Inputs!$B$9+((C360=TRUE)*(F360-Calc!F19))+B373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50">
        <f>IF(C350,(H350*N350*IF(AND(Inputs!$B$38&lt;&gt;"pvp",Inputs!$B$43&gt;0),((Skills!G9*((R350-1)*IF(Skills!H9&gt;0,Skills!I9/Skills!H9,1)+IF(Skills!H9&gt;0,MIN(Skills!I9,MAX(0,MAX(0,Inputs!$B$43-B380)-((R350-1)*IF(Inputs!$B$38="pvp",15,MAX(0.1,Skills!D9-IF(Skills!E9=TRUE,Inputs!$B$32,0))))))/Skills!H9,1)))/Inputs!$B$43),G350*Q350))*IF(Inputs!$B$38="pvp",1,(1+((Inputs!$B$21+1)+Skills!Q9+(IF(ArtifactsInput!$M$33,CHOOSE(ArtifactsInput!$N$33+1,30,36,42,48,54,60),0))+(IF(AND(ArtifactsInput!$M$35,Inputs!$B$4&lt;&gt;"Chapter Hunt"),CHOOSE(ArtifactsInput!$N$35+1,15,18,21,24,27,30)*(1-EXP(-(0.2*B375)*5)),0)+IF(AND(ArtifactsInput!$M$22,Inputs!$B$4&lt;&gt;"Chapter Hunt"),CHOOSE(ArtifactsInput!$N$22+1,10,12,14,16,18,20)*((0*(((0.15*B375*5))^0/1)+1*(((0.15*B375*5))^1/1)+2*(((0.15*B375*5))^2/2)+3*(((0.15*B375*5))^3/6)+4*(((0.15*B375*5))^4/24)+5*(((0.15*B375*5))^5/120))/((((0.15*B375*5))^0/1)+(((0.15*B375*5))^1/1)+(((0.15*B375*5))^2/2)+(((0.15*B375*5))^3/6)+(((0.15*B375*5))^4/24)+(((0.15*B375*5))^5/120)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51">
      <c r="A351">
        <f>Skills!A10</f>
        <v/>
      </c>
      <c r="B351">
        <f>Skills!B10</f>
        <v/>
      </c>
      <c r="C351">
        <f>Inputs!$B$3&gt;=107</f>
        <v/>
      </c>
      <c r="D351">
        <f>IF(Skills!C10=1,60+Inputs!$B$25+Inputs!$B$29,IF(Skills!C10=2,90+Inputs!$B$26+Inputs!$B$29,IF(Skills!C10=3,120+Inputs!$B$27+Inputs!$B$29,MAX(0,(Inputs!$B$3-100)*3)+Inputs!$B$28+Inputs!$B$29)))</f>
        <v/>
      </c>
      <c r="E351">
        <f>INDEX(FactorTable!$B$2:$Y$301, MATCH(ROUND(MIN(300,MAX(1,D351)),0), FactorTable!$A$2:$A$301,0), Skills!M10+1)</f>
        <v/>
      </c>
      <c r="F351">
        <f>IF(Skills!N10=TRUE,(Skills!L10/10)*(E351/1000),Skills!L10/10)+Skills!O10</f>
        <v/>
      </c>
      <c r="G351">
        <f>Skills!G10*IF(Skills!H10&gt;0,Skills!I10/Skills!H10,1)</f>
        <v/>
      </c>
      <c r="H351">
        <f>1-(1-Skills!J10/100)^Skills!K10</f>
        <v/>
      </c>
      <c r="I351" t="inlineStr">
        <is>
          <t>1</t>
        </is>
      </c>
      <c r="J351">
        <f>((Inputs!$B$6*(1+Inputs!$B$7/100))+(((Inputs!$B$12*(1+Inputs!$B$13/100))-(Inputs!$B$12*(1+Inputs!$B$13/100)))+0.25*(Inputs!$B$14-Inputs!$B$14))*(1+Inputs!$B$7/100))*(F351/100)</f>
        <v/>
      </c>
      <c r="K351">
        <f>J351*(1+((Inputs!$B$12*(1+Inputs!$B$13/100))*0.01+Inputs!$B$14*0.0025)/100)*(1+Inputs!$B$15/100)*(1+Inputs!$B$16/100)*(5000/(6000+Inputs!$B$42*(1-(100*(1-(1-(Inputs!$B$19+0)/100)*(1-CHOOSE(ArtifactsInput!$N$40+1,5,6,7,8,9,10)/100)^(ArtifactsInput!$M$40-ArtifactsInput!$M$40)))/100)))*(1+(Inputs!$B$24+((C365=TRUE)*(F365-Calc!F24))+((C366=TRUE)*(F366-Calc!F25))+B379)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EMPOWERED_PIERCING_ARROW",Inputs!$B$17+((C363=TRUE)*(F363-Calc!F22))+(((IF(AND(ArtifactsInput!$M$42,((Inputs!$B$9+((C360=TRUE)*(F360-Calc!F19))+B373+(ArtifactsInput!$M$24-ArtifactsInput!$M$24)*CHOOSE(ArtifactsInput!$N$24+1,10,12,14,16,18,20)+IF(ArtifactsInput!$M$10,CHOOSE(ArtifactsInput!$N$10+1,15,18,21,24,27,30)*(IF(Inputs!$B$38="pvp",MIN(15,15)/15,IF(AND(Inputs!$B$38&lt;&gt;"pvp",Inputs!$B$43&gt;0),MIN(15,Inputs!$B$43)/(Inputs!$B$43),0))),0)))&gt;=100),MIN(100,((Inputs!$B$9+((C360=TRUE)*(F360-Calc!F19))+B373+(ArtifactsInput!$M$24-ArtifactsInput!$M$24)*CHOOSE(ArtifactsInput!$N$24+1,10,12,14,16,18,20)+IF(ArtifactsInput!$M$10,CHOOSE(ArtifactsInput!$N$10+1,15,18,21,24,27,30)*(IF(Inputs!$B$38="pvp",MIN(15,15)/15,IF(AND(Inputs!$B$38&lt;&gt;"pvp",Inputs!$B$43&gt;0),MIN(15,Inputs!$B$43)/(Inputs!$B$43),0))),0)))-100),0))*CHOOSE(ArtifactsInput!$N$42+1,0.6,0.72,0.84,0.96,1.08,1.2))),Inputs!$B$18+((C368=TRUE)*(F368-Calc!F27))+(IF(AND(ArtifactsInput!$M$42,((Inputs!$B$9+((C360=TRUE)*(F360-Calc!F19))+B373+(ArtifactsInput!$M$24-ArtifactsInput!$M$24)*CHOOSE(ArtifactsInput!$N$24+1,10,12,14,16,18,20)+IF(ArtifactsInput!$M$10,CHOOSE(ArtifactsInput!$N$10+1,15,18,21,24,27,30)*(IF(Inputs!$B$38="pvp",MIN(15,15)/15,IF(AND(Inputs!$B$38&lt;&gt;"pvp",Inputs!$B$43&gt;0),MIN(15,Inputs!$B$43)/(Inputs!$B$43),0))),0)))&gt;=100),CHOOSE(ArtifactsInput!$N$42+1,40,48,56,64,72,80),0))))/100)*((1+(((C354=TRUE)*F354)+((C355=TRUE)*IF(Inputs!$B$38="pvp",F355,(1-Summary!$B$11)*(F355)+Summary!$B$11*(0)))+((C356=TRUE)*F356*IF(AND(Inputs!$B$38&lt;&gt;"pvp",Inputs!$B$43&gt;0),(((R356-1)*(Skills!T15*(1+Inputs!$B$34/100))+MIN((Skills!T15*(1+Inputs!$B$34/100)),MAX(0,Inputs!$B$43-((R356-1)*Skills!D15))))/Inputs!$B$43),IF(Inputs!$B$38="pvp",MIN((Skills!T15*(1+Inputs!$B$34/100)),15)/15,(Skills!T15*(1+Inputs!$B$34/100))/Skills!D15)))+((C353=TRUE)*F353)+((C370=TRUE)*(F370-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351)</f>
        <v/>
      </c>
      <c r="L351">
        <f>K351*(MIN(Inputs!$B$22+((C364=TRUE)*(F364-Calc!F23)),(Inputs!$B$23+((C369=TRUE)*(F369-Calc!F28))+(IF(ArtifactsInput!$M$15,CHOOSE(ArtifactsInput!$N$15+1,25,30,35,40,45,50)/100*(Inputs!$B$11-Inputs!$B$11),0))))/100+(Inputs!$B$23+((C369=TRUE)*(F369-Calc!F28))+(IF(ArtifactsInput!$M$15,CHOOSE(ArtifactsInput!$N$15+1,25,30,35,40,45,50)/100*(Inputs!$B$11-Inputs!$B$11),0)))/100)/2</f>
        <v/>
      </c>
      <c r="M351">
        <f>L351*(1+(Inputs!$B$10+0+B378+(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51">
        <f>L351*(1-MIN((Inputs!$B$9+((C360=TRUE)*(F360-Calc!F19))+B373+(ArtifactsInput!$M$24-ArtifactsInput!$M$24)*CHOOSE(ArtifactsInput!$N$24+1,10,12,14,16,18,20)+(IF(AND(ArtifactsInput!$M$42,((Inputs!$B$9+((C360=TRUE)*(F360-Calc!F19))+B373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351*(MIN((Inputs!$B$9+((C360=TRUE)*(F360-Calc!F19))+B373+(ArtifactsInput!$M$24-ArtifactsInput!$M$24)*CHOOSE(ArtifactsInput!$N$24+1,10,12,14,16,18,20)+(IF(AND(ArtifactsInput!$M$42,((Inputs!$B$9+((C360=TRUE)*(F360-Calc!F19))+B373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51">
        <f>(1-Summary!$B$11)*T351+Summary!$B$11*V351</f>
        <v/>
      </c>
      <c r="P351">
        <f>IF(B383=0,0,O351/B383)</f>
        <v/>
      </c>
      <c r="Q351" t="n">
        <v>0</v>
      </c>
      <c r="R351" t="n">
        <v>0</v>
      </c>
      <c r="S351" t="n">
        <v>0</v>
      </c>
      <c r="T351">
        <f>IF(C351,(0.15*SUMPRODUCT((Skills!U2:U29=TRUE)*(C343:C370=TRUE)*S343:S370)*Skills!G10*N351)*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Hunt"),CHOOSE(ArtifactsInput!$N$35+1,15,18,21,24,27,30)*(1-EXP(-(0.2*B375)*5)),0)+IF(AND(ArtifactsInput!$M$22,Inputs!$B$4&lt;&gt;"Chapter Hunt"),CHOOSE(ArtifactsInput!$N$22+1,10,12,14,16,18,20)*((0*(((0.15*B375*5))^0/1)+1*(((0.15*B375*5))^1/1)+2*(((0.15*B375*5))^2/2)+3*(((0.15*B375*5))^3/6)+4*(((0.15*B375*5))^4/24)+5*(((0.15*B375*5))^5/120))/((((0.15*B375*5))^0/1)+(((0.15*B375*5))^1/1)+(((0.15*B375*5))^2/2)+(((0.15*B375*5))^3/6)+(((0.15*B375*5))^4/24)+(((0.15*B375*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351*(1-MIN(100,(Inputs!$B$9+((C360=TRUE)*(F360-Calc!F19))+B373+(ArtifactsInput!$M$24-ArtifactsInput!$M$24)*CHOOSE(ArtifactsInput!$N$24+1,10,12,14,16,18,20)+(IF(AND(ArtifactsInput!$M$42,((Inputs!$B$9+((C360=TRUE)*(F360-Calc!F19))+B373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351*(MIN(100,(Inputs!$B$9+((C360=TRUE)*(F360-Calc!F19))+B373+(ArtifactsInput!$M$24-ArtifactsInput!$M$24)*CHOOSE(ArtifactsInput!$N$24+1,10,12,14,16,18,20)+(IF(AND(ArtifactsInput!$M$42,((Inputs!$B$9+((C360=TRUE)*(F360-Calc!F19))+B373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351*(1-MIN(100,(Inputs!$B$9+((C360=TRUE)*(F360-Calc!F19))+B373+(ArtifactsInput!$M$24-ArtifactsInput!$M$24)*CHOOSE(ArtifactsInput!$N$24+1,10,12,14,16,18,20)+(IF(AND(ArtifactsInput!$M$42,((Inputs!$B$9+((C360=TRUE)*(F360-Calc!F19))+B373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351*(MIN(100,(Inputs!$B$9+((C360=TRUE)*(F360-Calc!F19))+B373+(ArtifactsInput!$M$24-ArtifactsInput!$M$24)*CHOOSE(ArtifactsInput!$N$24+1,10,12,14,16,18,20)+(IF(AND(ArtifactsInput!$M$42,((Inputs!$B$9+((C360=TRUE)*(F360-Calc!F19))+B373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51">
        <f>IF(C351,(0.15*SUMPRODUCT((Skills!U2:U29=TRUE)*(C343:C370=TRUE)*S343:S370)*Skills!G10*N351)*IF(Inputs!$B$38="pvp",1,(1+((Inputs!$B$21+1)+Skills!Q10+(IF(ArtifactsInput!$M$33,CHOOSE(ArtifactsInput!$N$33+1,30,36,42,48,54,60),0))+(IF(AND(ArtifactsInput!$M$35,Inputs!$B$4&lt;&gt;"Chapter Hunt"),CHOOSE(ArtifactsInput!$N$35+1,15,18,21,24,27,30)*(1-EXP(-(0.2*B375)*5)),0)+IF(AND(ArtifactsInput!$M$22,Inputs!$B$4&lt;&gt;"Chapter Hunt"),CHOOSE(ArtifactsInput!$N$22+1,10,12,14,16,18,20)*((0*(((0.15*B375*5))^0/1)+1*(((0.15*B375*5))^1/1)+2*(((0.15*B375*5))^2/2)+3*(((0.15*B375*5))^3/6)+4*(((0.15*B375*5))^4/24)+5*(((0.15*B375*5))^5/120))/((((0.15*B375*5))^0/1)+(((0.15*B375*5))^1/1)+(((0.15*B375*5))^2/2)+(((0.15*B375*5))^3/6)+(((0.15*B375*5))^4/24)+(((0.15*B375*5))^5/120)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52">
      <c r="A352">
        <f>Skills!A11</f>
        <v/>
      </c>
      <c r="B352">
        <f>Skills!B11</f>
        <v/>
      </c>
      <c r="C352">
        <f>Inputs!$B$3&gt;=110</f>
        <v/>
      </c>
      <c r="D352">
        <f>IF(Skills!C11=1,60+Inputs!$B$25+Inputs!$B$29,IF(Skills!C11=2,90+Inputs!$B$26+Inputs!$B$29,IF(Skills!C11=3,120+Inputs!$B$27+Inputs!$B$29,MAX(0,(Inputs!$B$3-100)*3)+Inputs!$B$28+Inputs!$B$29)))</f>
        <v/>
      </c>
      <c r="E352">
        <f>INDEX(FactorTable!$B$2:$Y$301, MATCH(ROUND(MIN(300,MAX(1,D352)),0), FactorTable!$A$2:$A$301,0), Skills!M11+1)</f>
        <v/>
      </c>
      <c r="F352">
        <f>IF(Skills!N11=TRUE,(Skills!L11/10)*(E352/1000),Skills!L11/10)+Skills!O11</f>
        <v/>
      </c>
      <c r="G352">
        <f>Skills!G11*IF(Skills!H11&gt;0,Skills!I11/Skills!H11,1)</f>
        <v/>
      </c>
      <c r="H352">
        <f>1-(1-Skills!J11/100)^Skills!K11</f>
        <v/>
      </c>
      <c r="I352" t="inlineStr">
        <is>
          <t>1</t>
        </is>
      </c>
      <c r="J352">
        <f>((Inputs!$B$6*(1+Inputs!$B$7/100))+(((Inputs!$B$12*(1+Inputs!$B$13/100))-(Inputs!$B$12*(1+Inputs!$B$13/100)))+0.25*(Inputs!$B$14-Inputs!$B$14))*(1+Inputs!$B$7/100))*(F352/100)</f>
        <v/>
      </c>
      <c r="K352">
        <f>J352*(1+((Inputs!$B$12*(1+Inputs!$B$13/100))*0.01+Inputs!$B$14*0.0025)/100)*(1+Inputs!$B$15/100)*(1+Inputs!$B$16/100)*(5000/(6000+Inputs!$B$42*(1-(100*(1-(1-(Inputs!$B$19+0)/100)*(1-CHOOSE(ArtifactsInput!$N$40+1,5,6,7,8,9,10)/100)^(ArtifactsInput!$M$40-ArtifactsInput!$M$40)))/100)))*(1+(Inputs!$B$24+((C365=TRUE)*(F365-Calc!F24))+((C366=TRUE)*(F366-Calc!F25))+B379)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11="EMPOWERED_PIERCING_ARROW",Inputs!$B$17+((C363=TRUE)*(F363-Calc!F22))+(((IF(AND(ArtifactsInput!$M$42,((Inputs!$B$9+((C360=TRUE)*(F360-Calc!F19))+B373+(ArtifactsInput!$M$24-ArtifactsInput!$M$24)*CHOOSE(ArtifactsInput!$N$24+1,10,12,14,16,18,20)+IF(ArtifactsInput!$M$10,CHOOSE(ArtifactsInput!$N$10+1,15,18,21,24,27,30)*(IF(Inputs!$B$38="pvp",MIN(15,15)/15,IF(AND(Inputs!$B$38&lt;&gt;"pvp",Inputs!$B$43&gt;0),MIN(15,Inputs!$B$43)/(Inputs!$B$43),0))),0)))&gt;=100),MIN(100,((Inputs!$B$9+((C360=TRUE)*(F360-Calc!F19))+B373+(ArtifactsInput!$M$24-ArtifactsInput!$M$24)*CHOOSE(ArtifactsInput!$N$24+1,10,12,14,16,18,20)+IF(ArtifactsInput!$M$10,CHOOSE(ArtifactsInput!$N$10+1,15,18,21,24,27,30)*(IF(Inputs!$B$38="pvp",MIN(15,15)/15,IF(AND(Inputs!$B$38&lt;&gt;"pvp",Inputs!$B$43&gt;0),MIN(15,Inputs!$B$43)/(Inputs!$B$43),0))),0)))-100),0))*CHOOSE(ArtifactsInput!$N$42+1,0.6,0.72,0.84,0.96,1.08,1.2))),Inputs!$B$18+((C368=TRUE)*(F368-Calc!F27))+(IF(AND(ArtifactsInput!$M$42,((Inputs!$B$9+((C360=TRUE)*(F360-Calc!F19))+B373+(ArtifactsInput!$M$24-ArtifactsInput!$M$24)*CHOOSE(ArtifactsInput!$N$24+1,10,12,14,16,18,20)+IF(ArtifactsInput!$M$10,CHOOSE(ArtifactsInput!$N$10+1,15,18,21,24,27,30)*(IF(Inputs!$B$38="pvp",MIN(15,15)/15,IF(AND(Inputs!$B$38&lt;&gt;"pvp",Inputs!$B$43&gt;0),MIN(15,Inputs!$B$43)/(Inputs!$B$43),0))),0)))&gt;=100),CHOOSE(ArtifactsInput!$N$42+1,40,48,56,64,72,80),0))))/100)*((1+(((C354=TRUE)*F354)+((C355=TRUE)*IF(Inputs!$B$38="pvp",F355,(1-Summary!$B$11)*(F355)+Summary!$B$11*(0)))+((C356=TRUE)*F356*IF(AND(Inputs!$B$38&lt;&gt;"pvp",Inputs!$B$43&gt;0),(((R356-1)*(Skills!T15*(1+Inputs!$B$34/100))+MIN((Skills!T15*(1+Inputs!$B$34/100)),MAX(0,Inputs!$B$43-((R356-1)*Skills!D15))))/Inputs!$B$43),IF(Inputs!$B$38="pvp",MIN((Skills!T15*(1+Inputs!$B$34/100)),15)/15,(Skills!T15*(1+Inputs!$B$34/100))/Skills!D15)))+((C353=TRUE)*F353)+((C370=TRUE)*(F370-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352)</f>
        <v/>
      </c>
      <c r="L352">
        <f>K352*(MIN(Inputs!$B$22+((C364=TRUE)*(F364-Calc!F23)),(Inputs!$B$23+((C369=TRUE)*(F369-Calc!F28))+(IF(ArtifactsInput!$M$15,CHOOSE(ArtifactsInput!$N$15+1,25,30,35,40,45,50)/100*(Inputs!$B$11-Inputs!$B$11),0))))/100+(Inputs!$B$23+((C369=TRUE)*(F369-Calc!F28))+(IF(ArtifactsInput!$M$15,CHOOSE(ArtifactsInput!$N$15+1,25,30,35,40,45,50)/100*(Inputs!$B$11-Inputs!$B$11),0)))/100)/2</f>
        <v/>
      </c>
      <c r="M352">
        <f>L352*(1+(Inputs!$B$10+0+B378+(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52">
        <f>L352*(1-MIN((Inputs!$B$9+((C360=TRUE)*(F360-Calc!F19))+B373+(ArtifactsInput!$M$24-ArtifactsInput!$M$24)*CHOOSE(ArtifactsInput!$N$24+1,10,12,14,16,18,20)+(IF(AND(ArtifactsInput!$M$42,((Inputs!$B$9+((C360=TRUE)*(F360-Calc!F19))+B373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352*(MIN((Inputs!$B$9+((C360=TRUE)*(F360-Calc!F19))+B373+(ArtifactsInput!$M$24-ArtifactsInput!$M$24)*CHOOSE(ArtifactsInput!$N$24+1,10,12,14,16,18,20)+(IF(AND(ArtifactsInput!$M$42,((Inputs!$B$9+((C360=TRUE)*(F360-Calc!F19))+B373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52">
        <f>(1-Summary!$B$11)*T352+Summary!$B$11*V352</f>
        <v/>
      </c>
      <c r="P352">
        <f>IF(B383=0,0,O352/B383)</f>
        <v/>
      </c>
      <c r="Q352">
        <f>IFERROR(1/IF(Inputs!$B$38="pvp",15,MAX(0.1,Skills!D11-IF(Skills!E11=TRUE,Inputs!$B$32,0))),0)</f>
        <v/>
      </c>
      <c r="R352">
        <f>IF(AND(Inputs!$B$38&lt;&gt;"pvp",Inputs!$B$43&gt;0),IF(MAX(0,Inputs!$B$43-B380)&lt;=0,0,(INT(MAX(0,Inputs!$B$43-B380)/IF(Inputs!$B$38="pvp",15,MAX(0.1,Skills!D11-IF(Skills!E11=TRUE,Inputs!$B$32,0))))+1)),0)</f>
        <v/>
      </c>
      <c r="S352">
        <f>IFERROR((H352*N352*IF(AND(Inputs!$B$38&lt;&gt;"pvp",Inputs!$B$43&gt;0),((Skills!G11*((R352-1)*IF(Skills!H11&gt;0,Skills!I11/Skills!H11,1)+IF(Skills!H11&gt;0,MIN(Skills!I11,MAX(0,MAX(0,Inputs!$B$43-B380)-((R352-1)*IF(Inputs!$B$38="pvp",15,MAX(0.1,Skills!D11-IF(Skills!E11=TRUE,Inputs!$B$32,0))))))/Skills!H11,1)))/Inputs!$B$43),G352*Q352))/N352*IF(Inputs!$B$38="pvp",1,(1-Summary!$B$11)*1+Summary!$B$11*(MIN(Skills!R11,Inputs!$B$37))),0)</f>
        <v/>
      </c>
      <c r="T352">
        <f>IF(C352,(H352*N352*IF(AND(Inputs!$B$38&lt;&gt;"pvp",Inputs!$B$43&gt;0),((Skills!G11*((R352-1)*IF(Skills!H11&gt;0,Skills!I11/Skills!H11,1)+IF(Skills!H11&gt;0,MIN(Skills!I11,MAX(0,MAX(0,Inputs!$B$43-B380)-((R352-1)*IF(Inputs!$B$38="pvp",15,MAX(0.1,Skills!D11-IF(Skills!E11=TRUE,Inputs!$B$32,0))))))/Skills!H11,1)))/Inputs!$B$43),G352*Q352))*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Hunt"),CHOOSE(ArtifactsInput!$N$35+1,15,18,21,24,27,30)*(1-EXP(-(0.2*B375)*5)),0)+IF(AND(ArtifactsInput!$M$22,Inputs!$B$4&lt;&gt;"Chapter Hunt"),CHOOSE(ArtifactsInput!$N$22+1,10,12,14,16,18,20)*((0*(((0.15*B375*5))^0/1)+1*(((0.15*B375*5))^1/1)+2*(((0.15*B375*5))^2/2)+3*(((0.15*B375*5))^3/6)+4*(((0.15*B375*5))^4/24)+5*(((0.15*B375*5))^5/120))/((((0.15*B375*5))^0/1)+(((0.15*B375*5))^1/1)+(((0.15*B375*5))^2/2)+(((0.15*B375*5))^3/6)+(((0.15*B375*5))^4/24)+(((0.15*B375*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352*(1-MIN(100,(Inputs!$B$9+((C360=TRUE)*(F360-Calc!F19))+B373+(ArtifactsInput!$M$24-ArtifactsInput!$M$24)*CHOOSE(ArtifactsInput!$N$24+1,10,12,14,16,18,20)+(IF(AND(ArtifactsInput!$M$42,((Inputs!$B$9+((C360=TRUE)*(F360-Calc!F19))+B373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352*(MIN(100,(Inputs!$B$9+((C360=TRUE)*(F360-Calc!F19))+B373+(ArtifactsInput!$M$24-ArtifactsInput!$M$24)*CHOOSE(ArtifactsInput!$N$24+1,10,12,14,16,18,20)+(IF(AND(ArtifactsInput!$M$42,((Inputs!$B$9+((C360=TRUE)*(F360-Calc!F19))+B373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352*(1-MIN(100,(Inputs!$B$9+((C360=TRUE)*(F360-Calc!F19))+B373+(ArtifactsInput!$M$24-ArtifactsInput!$M$24)*CHOOSE(ArtifactsInput!$N$24+1,10,12,14,16,18,20)+(IF(AND(ArtifactsInput!$M$42,((Inputs!$B$9+((C360=TRUE)*(F360-Calc!F19))+B373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352*(MIN(100,(Inputs!$B$9+((C360=TRUE)*(F360-Calc!F19))+B373+(ArtifactsInput!$M$24-ArtifactsInput!$M$24)*CHOOSE(ArtifactsInput!$N$24+1,10,12,14,16,18,20)+(IF(AND(ArtifactsInput!$M$42,((Inputs!$B$9+((C360=TRUE)*(F360-Calc!F19))+B373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52">
        <f>IF(C352,(H352*N352*IF(AND(Inputs!$B$38&lt;&gt;"pvp",Inputs!$B$43&gt;0),((Skills!G11*((R352-1)*IF(Skills!H11&gt;0,Skills!I11/Skills!H11,1)+IF(Skills!H11&gt;0,MIN(Skills!I11,MAX(0,MAX(0,Inputs!$B$43-B380)-((R352-1)*IF(Inputs!$B$38="pvp",15,MAX(0.1,Skills!D11-IF(Skills!E11=TRUE,Inputs!$B$32,0))))))/Skills!H11,1)))/Inputs!$B$43),G352*Q352))*IF(Inputs!$B$38="pvp",1,(1+((Inputs!$B$21+1)+Skills!Q11+(IF(ArtifactsInput!$M$33,CHOOSE(ArtifactsInput!$N$33+1,30,36,42,48,54,60),0))+(IF(AND(ArtifactsInput!$M$35,Inputs!$B$4&lt;&gt;"Chapter Hunt"),CHOOSE(ArtifactsInput!$N$35+1,15,18,21,24,27,30)*(1-EXP(-(0.2*B375)*5)),0)+IF(AND(ArtifactsInput!$M$22,Inputs!$B$4&lt;&gt;"Chapter Hunt"),CHOOSE(ArtifactsInput!$N$22+1,10,12,14,16,18,20)*((0*(((0.15*B375*5))^0/1)+1*(((0.15*B375*5))^1/1)+2*(((0.15*B375*5))^2/2)+3*(((0.15*B375*5))^3/6)+4*(((0.15*B375*5))^4/24)+5*(((0.15*B375*5))^5/120))/((((0.15*B375*5))^0/1)+(((0.15*B375*5))^1/1)+(((0.15*B375*5))^2/2)+(((0.15*B375*5))^3/6)+(((0.15*B375*5))^4/24)+(((0.15*B375*5))^5/120))),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53">
      <c r="A353">
        <f>Skills!A12</f>
        <v/>
      </c>
      <c r="B353">
        <f>Skills!B12</f>
        <v/>
      </c>
      <c r="C353">
        <f>Inputs!$B$3&gt;=60</f>
        <v/>
      </c>
      <c r="D353">
        <f>IF(Skills!C12=1,60+Inputs!$B$25+Inputs!$B$29,IF(Skills!C12=2,90+Inputs!$B$26+Inputs!$B$29,IF(Skills!C12=3,120+Inputs!$B$27+Inputs!$B$29,MAX(0,(Inputs!$B$3-100)*3)+Inputs!$B$28+Inputs!$B$29)))</f>
        <v/>
      </c>
      <c r="E353">
        <f>INDEX(FactorTable!$B$2:$Y$301, MATCH(ROUND(MIN(300,MAX(1,D353)),0), FactorTable!$A$2:$A$301,0), Skills!M12+1)</f>
        <v/>
      </c>
      <c r="F353">
        <f>IF(Skills!N12=TRUE,(Skills!L12/10)*(E353/1000),Skills!L12/10)+Skills!O12</f>
        <v/>
      </c>
      <c r="G353">
        <f>Skills!G12*IF(Skills!H12&gt;0,Skills!I12/Skills!H12,1)</f>
        <v/>
      </c>
      <c r="H353">
        <f>1-(1-Skills!J12/100)^Skills!K12</f>
        <v/>
      </c>
      <c r="I353" t="inlineStr">
        <is>
          <t>1</t>
        </is>
      </c>
      <c r="J353" t="inlineStr"/>
      <c r="K353" t="inlineStr"/>
      <c r="L353" t="inlineStr"/>
      <c r="M353" t="inlineStr"/>
      <c r="N353" t="inlineStr"/>
      <c r="O353">
        <f>(1-Summary!$B$11)*T353+Summary!$B$11*V353</f>
        <v/>
      </c>
      <c r="P353">
        <f>IF(B383=0,0,O353/B383)</f>
        <v/>
      </c>
      <c r="Q353" t="n">
        <v>0</v>
      </c>
      <c r="R353" t="n">
        <v>0</v>
      </c>
      <c r="S353" t="n">
        <v>0</v>
      </c>
      <c r="T353" t="n">
        <v>0</v>
      </c>
      <c r="V353" t="n">
        <v>0</v>
      </c>
    </row>
    <row r="354">
      <c r="A354">
        <f>Skills!A13</f>
        <v/>
      </c>
      <c r="B354">
        <f>Skills!B13</f>
        <v/>
      </c>
      <c r="C354">
        <f>Inputs!$B$3&gt;=74</f>
        <v/>
      </c>
      <c r="D354">
        <f>IF(Skills!C13=1,60+Inputs!$B$25+Inputs!$B$29,IF(Skills!C13=2,90+Inputs!$B$26+Inputs!$B$29,IF(Skills!C13=3,120+Inputs!$B$27+Inputs!$B$29,MAX(0,(Inputs!$B$3-100)*3)+Inputs!$B$28+Inputs!$B$29)))</f>
        <v/>
      </c>
      <c r="E354">
        <f>INDEX(FactorTable!$B$2:$Y$301, MATCH(ROUND(MIN(300,MAX(1,D354)),0), FactorTable!$A$2:$A$301,0), Skills!M13+1)</f>
        <v/>
      </c>
      <c r="F354">
        <f>IF(Skills!N13=TRUE,(Skills!L13/10)*(E354/1000),Skills!L13/10)+Skills!O13</f>
        <v/>
      </c>
      <c r="G354">
        <f>Skills!G13*IF(Skills!H13&gt;0,Skills!I13/Skills!H13,1)</f>
        <v/>
      </c>
      <c r="H354">
        <f>1-(1-Skills!J13/100)^Skills!K13</f>
        <v/>
      </c>
      <c r="I354" t="inlineStr">
        <is>
          <t>1</t>
        </is>
      </c>
      <c r="J354" t="inlineStr"/>
      <c r="K354" t="inlineStr"/>
      <c r="L354" t="inlineStr"/>
      <c r="M354" t="inlineStr"/>
      <c r="N354" t="inlineStr"/>
      <c r="O354">
        <f>(1-Summary!$B$11)*T354+Summary!$B$11*V354</f>
        <v/>
      </c>
      <c r="P354">
        <f>IF(B383=0,0,O354/B383)</f>
        <v/>
      </c>
      <c r="Q354" t="n">
        <v>0</v>
      </c>
      <c r="R354" t="n">
        <v>0</v>
      </c>
      <c r="S354" t="n">
        <v>0</v>
      </c>
      <c r="T354" t="n">
        <v>0</v>
      </c>
      <c r="V354" t="n">
        <v>0</v>
      </c>
    </row>
    <row r="355">
      <c r="A355">
        <f>Skills!A14</f>
        <v/>
      </c>
      <c r="B355">
        <f>Skills!B14</f>
        <v/>
      </c>
      <c r="C355">
        <f>Inputs!$B$3&gt;=74</f>
        <v/>
      </c>
      <c r="D355">
        <f>IF(Skills!C14=1,60+Inputs!$B$25+Inputs!$B$29,IF(Skills!C14=2,90+Inputs!$B$26+Inputs!$B$29,IF(Skills!C14=3,120+Inputs!$B$27+Inputs!$B$29,MAX(0,(Inputs!$B$3-100)*3)+Inputs!$B$28+Inputs!$B$29)))</f>
        <v/>
      </c>
      <c r="E355">
        <f>INDEX(FactorTable!$B$2:$Y$301, MATCH(ROUND(MIN(300,MAX(1,D355)),0), FactorTable!$A$2:$A$301,0), Skills!M14+1)</f>
        <v/>
      </c>
      <c r="F355">
        <f>IF(Skills!N14=TRUE,(Skills!L14/10)*(E355/1000),Skills!L14/10)+Skills!O14</f>
        <v/>
      </c>
      <c r="G355">
        <f>Skills!G14*IF(Skills!H14&gt;0,Skills!I14/Skills!H14,1)</f>
        <v/>
      </c>
      <c r="H355">
        <f>1-(1-Skills!J14/100)^Skills!K14</f>
        <v/>
      </c>
      <c r="I355" t="inlineStr">
        <is>
          <t>1</t>
        </is>
      </c>
      <c r="J355" t="inlineStr"/>
      <c r="K355" t="inlineStr"/>
      <c r="L355" t="inlineStr"/>
      <c r="M355" t="inlineStr"/>
      <c r="N355" t="inlineStr"/>
      <c r="O355">
        <f>(1-Summary!$B$11)*T355+Summary!$B$11*V355</f>
        <v/>
      </c>
      <c r="P355">
        <f>IF(B383=0,0,O355/B383)</f>
        <v/>
      </c>
      <c r="Q355" t="n">
        <v>0</v>
      </c>
      <c r="R355" t="n">
        <v>0</v>
      </c>
      <c r="S355" t="n">
        <v>0</v>
      </c>
      <c r="T355" t="n">
        <v>0</v>
      </c>
      <c r="V355" t="n">
        <v>0</v>
      </c>
    </row>
    <row r="356">
      <c r="A356">
        <f>Skills!A15</f>
        <v/>
      </c>
      <c r="B356">
        <f>Skills!B15</f>
        <v/>
      </c>
      <c r="C356">
        <f>Inputs!$B$3&gt;=117</f>
        <v/>
      </c>
      <c r="D356">
        <f>IF(Skills!C15=1,60+Inputs!$B$25+Inputs!$B$29,IF(Skills!C15=2,90+Inputs!$B$26+Inputs!$B$29,IF(Skills!C15=3,120+Inputs!$B$27+Inputs!$B$29,MAX(0,(Inputs!$B$3-100)*3)+Inputs!$B$28+Inputs!$B$29)))</f>
        <v/>
      </c>
      <c r="E356">
        <f>INDEX(FactorTable!$B$2:$Y$301, MATCH(ROUND(MIN(300,MAX(1,D356)),0), FactorTable!$A$2:$A$301,0), Skills!M15+1)</f>
        <v/>
      </c>
      <c r="F356">
        <f>IF(Skills!N15=TRUE,(Skills!L15/10)*(E356/1000),Skills!L15/10)+Skills!O15</f>
        <v/>
      </c>
      <c r="G356">
        <f>Skills!G15*IF(Skills!H15&gt;0,Skills!I15/Skills!H15,1)</f>
        <v/>
      </c>
      <c r="H356">
        <f>1-(1-Skills!J15/100)^Skills!K15</f>
        <v/>
      </c>
      <c r="I356" t="inlineStr">
        <is>
          <t>1</t>
        </is>
      </c>
      <c r="J356" t="inlineStr"/>
      <c r="K356" t="inlineStr"/>
      <c r="L356" t="inlineStr"/>
      <c r="M356" t="inlineStr"/>
      <c r="N356" t="inlineStr"/>
      <c r="O356">
        <f>(1-Summary!$B$11)*T356+Summary!$B$11*V356</f>
        <v/>
      </c>
      <c r="P356">
        <f>IF(B383=0,0,O356/B383)</f>
        <v/>
      </c>
      <c r="Q356">
        <f>IFERROR(1/IF(Inputs!$B$38="pvp",15,MAX(0.1,Skills!D15-IF(Skills!E15=TRUE,Inputs!$B$32,0))),0)</f>
        <v/>
      </c>
      <c r="R356">
        <f>IF(AND(Inputs!$B$38&lt;&gt;"pvp",Inputs!$B$43&gt;0),IF(Inputs!$B$43&lt;=0,0,(INT(Inputs!$B$43/IF(Inputs!$B$38="pvp",15,MAX(0.1,Skills!D15-IF(Skills!E15=TRUE,Inputs!$B$32,0))))+1)),0)</f>
        <v/>
      </c>
      <c r="S356" t="n">
        <v>0</v>
      </c>
      <c r="T356" t="n">
        <v>0</v>
      </c>
      <c r="V356" t="n">
        <v>0</v>
      </c>
    </row>
    <row r="357">
      <c r="A357">
        <f>Skills!A16</f>
        <v/>
      </c>
      <c r="B357">
        <f>Skills!B16</f>
        <v/>
      </c>
      <c r="C357">
        <f>Inputs!$B$3&gt;=115</f>
        <v/>
      </c>
      <c r="D357">
        <f>IF(Skills!C16=1,60+Inputs!$B$25+Inputs!$B$29,IF(Skills!C16=2,90+Inputs!$B$26+Inputs!$B$29,IF(Skills!C16=3,120+Inputs!$B$27+Inputs!$B$29,MAX(0,(Inputs!$B$3-100)*3)+Inputs!$B$28+Inputs!$B$29)))</f>
        <v/>
      </c>
      <c r="E357">
        <f>INDEX(FactorTable!$B$2:$Y$301, MATCH(ROUND(MIN(300,MAX(1,D357)),0), FactorTable!$A$2:$A$301,0), Skills!M16+1)</f>
        <v/>
      </c>
      <c r="F357">
        <f>IF(Skills!N16=TRUE,(Skills!L16/10)*(E357/1000),Skills!L16/10)+Skills!O16</f>
        <v/>
      </c>
      <c r="G357">
        <f>Skills!G16*IF(Skills!H16&gt;0,Skills!I16/Skills!H16,1)</f>
        <v/>
      </c>
      <c r="H357">
        <f>1-(1-Skills!J16/100)^Skills!K16</f>
        <v/>
      </c>
      <c r="I357" t="inlineStr">
        <is>
          <t>1</t>
        </is>
      </c>
      <c r="J357" t="inlineStr"/>
      <c r="K357" t="inlineStr"/>
      <c r="L357" t="inlineStr"/>
      <c r="M357" t="inlineStr"/>
      <c r="N357" t="inlineStr"/>
      <c r="O357">
        <f>(1-Summary!$B$11)*T357+Summary!$B$11*V357</f>
        <v/>
      </c>
      <c r="P357">
        <f>IF(B383=0,0,O357/B383)</f>
        <v/>
      </c>
      <c r="Q357">
        <f>IFERROR(1/IF(Inputs!$B$38="pvp",15,MAX(0.1,Skills!D16-IF(Skills!E16=TRUE,Inputs!$B$32,0))),0)</f>
        <v/>
      </c>
      <c r="R357">
        <f>IF(AND(Inputs!$B$38&lt;&gt;"pvp",Inputs!$B$43&gt;0),IF(Inputs!$B$43&lt;=0,0,(INT(Inputs!$B$43/IF(Inputs!$B$38="pvp",15,MAX(0.1,Skills!D16-IF(Skills!E16=TRUE,Inputs!$B$32,0))))+1)),0)</f>
        <v/>
      </c>
      <c r="S357" t="n">
        <v>0</v>
      </c>
      <c r="T357" t="n">
        <v>0</v>
      </c>
      <c r="V357" t="n">
        <v>0</v>
      </c>
    </row>
    <row r="358">
      <c r="A358">
        <f>Skills!A17</f>
        <v/>
      </c>
      <c r="B358">
        <f>Skills!B17</f>
        <v/>
      </c>
      <c r="C358">
        <f>Inputs!$B$3&gt;=72</f>
        <v/>
      </c>
      <c r="D358">
        <f>IF(Skills!C17=1,60+Inputs!$B$25+Inputs!$B$29,IF(Skills!C17=2,90+Inputs!$B$26+Inputs!$B$29,IF(Skills!C17=3,120+Inputs!$B$27+Inputs!$B$29,MAX(0,(Inputs!$B$3-100)*3)+Inputs!$B$28+Inputs!$B$29)))</f>
        <v/>
      </c>
      <c r="E358">
        <f>INDEX(FactorTable!$B$2:$Y$301, MATCH(ROUND(MIN(300,MAX(1,D358)),0), FactorTable!$A$2:$A$301,0), Skills!M17+1)</f>
        <v/>
      </c>
      <c r="F358">
        <f>IF(Skills!N17=TRUE,(Skills!L17/10)*(E358/1000),Skills!L17/10)+Skills!O17</f>
        <v/>
      </c>
      <c r="G358">
        <f>Skills!G17*IF(Skills!H17&gt;0,Skills!I17/Skills!H17,1)</f>
        <v/>
      </c>
      <c r="H358">
        <f>1-(1-Skills!J17/100)^Skills!K17</f>
        <v/>
      </c>
      <c r="I358" t="inlineStr">
        <is>
          <t>1</t>
        </is>
      </c>
      <c r="J358" t="inlineStr"/>
      <c r="K358" t="inlineStr"/>
      <c r="L358" t="inlineStr"/>
      <c r="M358" t="inlineStr"/>
      <c r="N358" t="inlineStr"/>
      <c r="O358">
        <f>(1-Summary!$B$11)*T358+Summary!$B$11*V358</f>
        <v/>
      </c>
      <c r="P358">
        <f>IF(B383=0,0,O358/B383)</f>
        <v/>
      </c>
      <c r="Q358" t="n">
        <v>0</v>
      </c>
      <c r="R358" t="n">
        <v>0</v>
      </c>
      <c r="S358" t="n">
        <v>0</v>
      </c>
      <c r="T358" t="n">
        <v>0</v>
      </c>
      <c r="V358" t="n">
        <v>0</v>
      </c>
    </row>
    <row r="359">
      <c r="A359">
        <f>Skills!A18</f>
        <v/>
      </c>
      <c r="B359">
        <f>Skills!B18</f>
        <v/>
      </c>
      <c r="C359">
        <f>TRUE</f>
        <v/>
      </c>
      <c r="D359">
        <f>IF(Skills!C18=1,60+Inputs!$B$25+Inputs!$B$29,IF(Skills!C18=2,90+Inputs!$B$26+Inputs!$B$29,IF(Skills!C18=3,120+Inputs!$B$27+Inputs!$B$29,MAX(0,(Inputs!$B$3-100)*3)+Inputs!$B$28+Inputs!$B$29)))</f>
        <v/>
      </c>
      <c r="E359">
        <f>INDEX(FactorTable!$B$2:$Y$301, MATCH(ROUND(MIN(300,MAX(1,D359)),0), FactorTable!$A$2:$A$301,0), Skills!M18+1)</f>
        <v/>
      </c>
      <c r="F359">
        <f>IF(Skills!N18=TRUE,(Skills!L18/10)*(E359/1000),Skills!L18/10)+Skills!O18</f>
        <v/>
      </c>
      <c r="G359">
        <f>Skills!G18*IF(Skills!H18&gt;0,Skills!I18/Skills!H18,1)</f>
        <v/>
      </c>
      <c r="H359">
        <f>1-(1-Skills!J18/100)^Skills!K18</f>
        <v/>
      </c>
      <c r="I359" t="inlineStr">
        <is>
          <t>1</t>
        </is>
      </c>
      <c r="J359" t="inlineStr"/>
      <c r="K359" t="inlineStr"/>
      <c r="L359" t="inlineStr"/>
      <c r="M359" t="inlineStr"/>
      <c r="N359" t="inlineStr"/>
      <c r="O359">
        <f>(1-Summary!$B$11)*T359+Summary!$B$11*V359</f>
        <v/>
      </c>
      <c r="P359">
        <f>IF(B383=0,0,O359/B383)</f>
        <v/>
      </c>
      <c r="Q359">
        <f>IFERROR(1/IF(Inputs!$B$38="pvp",15,MAX(0.1,Skills!D18-IF(Skills!E18=TRUE,Inputs!$B$32,0))),0)</f>
        <v/>
      </c>
      <c r="R359">
        <f>IF(AND(Inputs!$B$38&lt;&gt;"pvp",Inputs!$B$43&gt;0),IF(Inputs!$B$43&lt;=0,0,(INT(Inputs!$B$43/IF(Inputs!$B$38="pvp",15,MAX(0.1,Skills!D18-IF(Skills!E18=TRUE,Inputs!$B$32,0))))+1)),0)</f>
        <v/>
      </c>
      <c r="S359" t="n">
        <v>0</v>
      </c>
      <c r="T359" t="n">
        <v>0</v>
      </c>
      <c r="V359" t="n">
        <v>0</v>
      </c>
    </row>
    <row r="360">
      <c r="A360">
        <f>Skills!A19</f>
        <v/>
      </c>
      <c r="B360">
        <f>Skills!B19</f>
        <v/>
      </c>
      <c r="C360">
        <f>Inputs!$B$3&gt;=15</f>
        <v/>
      </c>
      <c r="D360">
        <f>IF(Skills!C19=1,60+Inputs!$B$25+Inputs!$B$29,IF(Skills!C19=2,90+Inputs!$B$26+Inputs!$B$29,IF(Skills!C19=3,120+Inputs!$B$27+Inputs!$B$29,MAX(0,(Inputs!$B$3-100)*3)+Inputs!$B$28+Inputs!$B$29)))</f>
        <v/>
      </c>
      <c r="E360">
        <f>INDEX(FactorTable!$B$2:$Y$301, MATCH(ROUND(MIN(300,MAX(1,D360)),0), FactorTable!$A$2:$A$301,0), Skills!M19+1)</f>
        <v/>
      </c>
      <c r="F360">
        <f>IF(Skills!N19=TRUE,(Skills!L19/10)*(E360/1000),Skills!L19/10)+Skills!O19</f>
        <v/>
      </c>
      <c r="G360">
        <f>Skills!G19*IF(Skills!H19&gt;0,Skills!I19/Skills!H19,1)</f>
        <v/>
      </c>
      <c r="H360">
        <f>1-(1-Skills!J19/100)^Skills!K19</f>
        <v/>
      </c>
      <c r="I360" t="inlineStr">
        <is>
          <t>1</t>
        </is>
      </c>
      <c r="J360" t="inlineStr"/>
      <c r="K360" t="inlineStr"/>
      <c r="L360" t="inlineStr"/>
      <c r="M360" t="inlineStr"/>
      <c r="N360" t="inlineStr"/>
      <c r="O360">
        <f>(1-Summary!$B$11)*T360+Summary!$B$11*V360</f>
        <v/>
      </c>
      <c r="P360">
        <f>IF(B383=0,0,O360/B383)</f>
        <v/>
      </c>
      <c r="Q360" t="n">
        <v>0</v>
      </c>
      <c r="R360" t="n">
        <v>0</v>
      </c>
      <c r="S360" t="n">
        <v>0</v>
      </c>
      <c r="T360" t="n">
        <v>0</v>
      </c>
      <c r="V360" t="n">
        <v>0</v>
      </c>
    </row>
    <row r="361">
      <c r="A361">
        <f>Skills!A20</f>
        <v/>
      </c>
      <c r="B361">
        <f>Skills!B20</f>
        <v/>
      </c>
      <c r="C361">
        <f>Inputs!$B$3&gt;=10</f>
        <v/>
      </c>
      <c r="D361">
        <f>IF(Skills!C20=1,60+Inputs!$B$25+Inputs!$B$29,IF(Skills!C20=2,90+Inputs!$B$26+Inputs!$B$29,IF(Skills!C20=3,120+Inputs!$B$27+Inputs!$B$29,MAX(0,(Inputs!$B$3-100)*3)+Inputs!$B$28+Inputs!$B$29)))</f>
        <v/>
      </c>
      <c r="E361">
        <f>INDEX(FactorTable!$B$2:$Y$301, MATCH(ROUND(MIN(300,MAX(1,D361)),0), FactorTable!$A$2:$A$301,0), Skills!M20+1)</f>
        <v/>
      </c>
      <c r="F361">
        <f>IF(Skills!N20=TRUE,(Skills!L20/10)*(E361/1000),Skills!L20/10)+Skills!O20</f>
        <v/>
      </c>
      <c r="G361">
        <f>Skills!G20*IF(Skills!H20&gt;0,Skills!I20/Skills!H20,1)</f>
        <v/>
      </c>
      <c r="H361">
        <f>1-(1-Skills!J20/100)^Skills!K20</f>
        <v/>
      </c>
      <c r="I361" t="inlineStr">
        <is>
          <t>1</t>
        </is>
      </c>
      <c r="J361" t="inlineStr"/>
      <c r="K361" t="inlineStr"/>
      <c r="L361" t="inlineStr"/>
      <c r="M361" t="inlineStr"/>
      <c r="N361" t="inlineStr"/>
      <c r="O361">
        <f>(1-Summary!$B$11)*T361+Summary!$B$11*V361</f>
        <v/>
      </c>
      <c r="P361">
        <f>IF(B383=0,0,O361/B383)</f>
        <v/>
      </c>
      <c r="Q361" t="n">
        <v>0</v>
      </c>
      <c r="R361" t="n">
        <v>0</v>
      </c>
      <c r="S361" t="n">
        <v>0</v>
      </c>
      <c r="T361" t="n">
        <v>0</v>
      </c>
      <c r="V361" t="n">
        <v>0</v>
      </c>
    </row>
    <row r="362">
      <c r="A362">
        <f>Skills!A21</f>
        <v/>
      </c>
      <c r="B362">
        <f>Skills!B21</f>
        <v/>
      </c>
      <c r="C362">
        <f>Inputs!$B$3&gt;=33</f>
        <v/>
      </c>
      <c r="D362">
        <f>IF(Skills!C21=1,60+Inputs!$B$25+Inputs!$B$29,IF(Skills!C21=2,90+Inputs!$B$26+Inputs!$B$29,IF(Skills!C21=3,120+Inputs!$B$27+Inputs!$B$29,MAX(0,(Inputs!$B$3-100)*3)+Inputs!$B$28+Inputs!$B$29)))</f>
        <v/>
      </c>
      <c r="E362">
        <f>INDEX(FactorTable!$B$2:$Y$301, MATCH(ROUND(MIN(300,MAX(1,D362)),0), FactorTable!$A$2:$A$301,0), Skills!M21+1)</f>
        <v/>
      </c>
      <c r="F362">
        <f>IF(Skills!N21=TRUE,(Skills!L21/10)*(E362/1000),Skills!L21/10)+Skills!O21</f>
        <v/>
      </c>
      <c r="G362">
        <f>Skills!G21*IF(Skills!H21&gt;0,Skills!I21/Skills!H21,1)</f>
        <v/>
      </c>
      <c r="H362">
        <f>1-(1-Skills!J21/100)^Skills!K21</f>
        <v/>
      </c>
      <c r="I362" t="inlineStr">
        <is>
          <t>1</t>
        </is>
      </c>
      <c r="J362" t="inlineStr"/>
      <c r="K362" t="inlineStr"/>
      <c r="L362" t="inlineStr"/>
      <c r="M362" t="inlineStr"/>
      <c r="N362" t="inlineStr"/>
      <c r="O362">
        <f>(1-Summary!$B$11)*T362+Summary!$B$11*V362</f>
        <v/>
      </c>
      <c r="P362">
        <f>IF(B383=0,0,O362/B383)</f>
        <v/>
      </c>
      <c r="Q362" t="n">
        <v>0</v>
      </c>
      <c r="R362" t="n">
        <v>0</v>
      </c>
      <c r="S362" t="n">
        <v>0</v>
      </c>
      <c r="T362" t="n">
        <v>0</v>
      </c>
      <c r="V362" t="n">
        <v>0</v>
      </c>
    </row>
    <row r="363">
      <c r="A363">
        <f>Skills!A22</f>
        <v/>
      </c>
      <c r="B363">
        <f>Skills!B22</f>
        <v/>
      </c>
      <c r="C363">
        <f>Inputs!$B$3&gt;=38</f>
        <v/>
      </c>
      <c r="D363">
        <f>IF(Skills!C22=1,60+Inputs!$B$25+Inputs!$B$29,IF(Skills!C22=2,90+Inputs!$B$26+Inputs!$B$29,IF(Skills!C22=3,120+Inputs!$B$27+Inputs!$B$29,MAX(0,(Inputs!$B$3-100)*3)+Inputs!$B$28+Inputs!$B$29)))</f>
        <v/>
      </c>
      <c r="E363">
        <f>INDEX(FactorTable!$B$2:$Y$301, MATCH(ROUND(MIN(300,MAX(1,D363)),0), FactorTable!$A$2:$A$301,0), Skills!M22+1)</f>
        <v/>
      </c>
      <c r="F363">
        <f>IF(Skills!N22=TRUE,(Skills!L22/10)*(E363/1000),Skills!L22/10)+Skills!O22</f>
        <v/>
      </c>
      <c r="G363">
        <f>Skills!G22*IF(Skills!H22&gt;0,Skills!I22/Skills!H22,1)</f>
        <v/>
      </c>
      <c r="H363">
        <f>1-(1-Skills!J22/100)^Skills!K22</f>
        <v/>
      </c>
      <c r="I363" t="inlineStr">
        <is>
          <t>1</t>
        </is>
      </c>
      <c r="J363" t="inlineStr"/>
      <c r="K363" t="inlineStr"/>
      <c r="L363" t="inlineStr"/>
      <c r="M363" t="inlineStr"/>
      <c r="N363" t="inlineStr"/>
      <c r="O363">
        <f>(1-Summary!$B$11)*T363+Summary!$B$11*V363</f>
        <v/>
      </c>
      <c r="P363">
        <f>IF(B383=0,0,O363/B383)</f>
        <v/>
      </c>
      <c r="Q363" t="n">
        <v>0</v>
      </c>
      <c r="R363" t="n">
        <v>0</v>
      </c>
      <c r="S363" t="n">
        <v>0</v>
      </c>
      <c r="T363" t="n">
        <v>0</v>
      </c>
      <c r="V363" t="n">
        <v>0</v>
      </c>
    </row>
    <row r="364">
      <c r="A364">
        <f>Skills!A23</f>
        <v/>
      </c>
      <c r="B364">
        <f>Skills!B23</f>
        <v/>
      </c>
      <c r="C364">
        <f>Inputs!$B$3&gt;=43</f>
        <v/>
      </c>
      <c r="D364">
        <f>IF(Skills!C23=1,60+Inputs!$B$25+Inputs!$B$29,IF(Skills!C23=2,90+Inputs!$B$26+Inputs!$B$29,IF(Skills!C23=3,120+Inputs!$B$27+Inputs!$B$29,MAX(0,(Inputs!$B$3-100)*3)+Inputs!$B$28+Inputs!$B$29)))</f>
        <v/>
      </c>
      <c r="E364">
        <f>INDEX(FactorTable!$B$2:$Y$301, MATCH(ROUND(MIN(300,MAX(1,D364)),0), FactorTable!$A$2:$A$301,0), Skills!M23+1)</f>
        <v/>
      </c>
      <c r="F364">
        <f>IF(Skills!N23=TRUE,(Skills!L23/10)*(E364/1000),Skills!L23/10)+Skills!O23</f>
        <v/>
      </c>
      <c r="G364">
        <f>Skills!G23*IF(Skills!H23&gt;0,Skills!I23/Skills!H23,1)</f>
        <v/>
      </c>
      <c r="H364">
        <f>1-(1-Skills!J23/100)^Skills!K23</f>
        <v/>
      </c>
      <c r="I364" t="inlineStr">
        <is>
          <t>1</t>
        </is>
      </c>
      <c r="J364" t="inlineStr"/>
      <c r="K364" t="inlineStr"/>
      <c r="L364" t="inlineStr"/>
      <c r="M364" t="inlineStr"/>
      <c r="N364" t="inlineStr"/>
      <c r="O364">
        <f>(1-Summary!$B$11)*T364+Summary!$B$11*V364</f>
        <v/>
      </c>
      <c r="P364">
        <f>IF(B383=0,0,O364/B383)</f>
        <v/>
      </c>
      <c r="Q364" t="n">
        <v>0</v>
      </c>
      <c r="R364" t="n">
        <v>0</v>
      </c>
      <c r="S364" t="n">
        <v>0</v>
      </c>
      <c r="T364" t="n">
        <v>0</v>
      </c>
      <c r="V364" t="n">
        <v>0</v>
      </c>
    </row>
    <row r="365">
      <c r="A365">
        <f>Skills!A24</f>
        <v/>
      </c>
      <c r="B365">
        <f>Skills!B24</f>
        <v/>
      </c>
      <c r="C365">
        <f>Inputs!$B$3&gt;=75</f>
        <v/>
      </c>
      <c r="D365">
        <f>IF(Skills!C24=1,60+Inputs!$B$25+Inputs!$B$29,IF(Skills!C24=2,90+Inputs!$B$26+Inputs!$B$29,IF(Skills!C24=3,120+Inputs!$B$27+Inputs!$B$29,MAX(0,(Inputs!$B$3-100)*3)+Inputs!$B$28+Inputs!$B$29)))</f>
        <v/>
      </c>
      <c r="E365">
        <f>INDEX(FactorTable!$B$2:$Y$301, MATCH(ROUND(MIN(300,MAX(1,D365)),0), FactorTable!$A$2:$A$301,0), Skills!M24+1)</f>
        <v/>
      </c>
      <c r="F365">
        <f>IF(Skills!N24=TRUE,(Skills!L24/10)*(E365/1000),Skills!L24/10)+Skills!O24</f>
        <v/>
      </c>
      <c r="G365">
        <f>Skills!G24*IF(Skills!H24&gt;0,Skills!I24/Skills!H24,1)</f>
        <v/>
      </c>
      <c r="H365">
        <f>1-(1-Skills!J24/100)^Skills!K24</f>
        <v/>
      </c>
      <c r="I365" t="inlineStr">
        <is>
          <t>1</t>
        </is>
      </c>
      <c r="J365" t="inlineStr"/>
      <c r="K365" t="inlineStr"/>
      <c r="L365" t="inlineStr"/>
      <c r="M365" t="inlineStr"/>
      <c r="N365" t="inlineStr"/>
      <c r="O365">
        <f>(1-Summary!$B$11)*T365+Summary!$B$11*V365</f>
        <v/>
      </c>
      <c r="P365">
        <f>IF(B383=0,0,O365/B383)</f>
        <v/>
      </c>
      <c r="Q365" t="n">
        <v>0</v>
      </c>
      <c r="R365" t="n">
        <v>0</v>
      </c>
      <c r="S365" t="n">
        <v>0</v>
      </c>
      <c r="T365" t="n">
        <v>0</v>
      </c>
      <c r="V365" t="n">
        <v>0</v>
      </c>
    </row>
    <row r="366">
      <c r="A366">
        <f>Skills!A25</f>
        <v/>
      </c>
      <c r="B366">
        <f>Skills!B25</f>
        <v/>
      </c>
      <c r="C366">
        <f>Inputs!$B$3&gt;=125</f>
        <v/>
      </c>
      <c r="D366">
        <f>IF(Skills!C25=1,60+Inputs!$B$25+Inputs!$B$29,IF(Skills!C25=2,90+Inputs!$B$26+Inputs!$B$29,IF(Skills!C25=3,120+Inputs!$B$27+Inputs!$B$29,MAX(0,(Inputs!$B$3-100)*3)+Inputs!$B$28+Inputs!$B$29)))</f>
        <v/>
      </c>
      <c r="E366">
        <f>INDEX(FactorTable!$B$2:$Y$301, MATCH(ROUND(MIN(300,MAX(1,D366)),0), FactorTable!$A$2:$A$301,0), Skills!M25+1)</f>
        <v/>
      </c>
      <c r="F366">
        <f>IF(Skills!N25=TRUE,(Skills!L25/10)*(E366/1000),Skills!L25/10)+Skills!O25</f>
        <v/>
      </c>
      <c r="G366">
        <f>Skills!G25*IF(Skills!H25&gt;0,Skills!I25/Skills!H25,1)</f>
        <v/>
      </c>
      <c r="H366">
        <f>1-(1-Skills!J25/100)^Skills!K25</f>
        <v/>
      </c>
      <c r="I366" t="inlineStr">
        <is>
          <t>1</t>
        </is>
      </c>
      <c r="J366" t="inlineStr"/>
      <c r="K366" t="inlineStr"/>
      <c r="L366" t="inlineStr"/>
      <c r="M366" t="inlineStr"/>
      <c r="N366" t="inlineStr"/>
      <c r="O366">
        <f>(1-Summary!$B$11)*T366+Summary!$B$11*V366</f>
        <v/>
      </c>
      <c r="P366">
        <f>IF(B383=0,0,O366/B383)</f>
        <v/>
      </c>
      <c r="Q366" t="n">
        <v>0</v>
      </c>
      <c r="R366" t="n">
        <v>0</v>
      </c>
      <c r="S366" t="n">
        <v>0</v>
      </c>
      <c r="T366" t="n">
        <v>0</v>
      </c>
      <c r="V366" t="n">
        <v>0</v>
      </c>
    </row>
    <row r="367">
      <c r="A367">
        <f>Skills!A26</f>
        <v/>
      </c>
      <c r="B367">
        <f>Skills!B26</f>
        <v/>
      </c>
      <c r="C367">
        <f>Inputs!$B$3&gt;=125</f>
        <v/>
      </c>
      <c r="D367">
        <f>IF(Skills!C26=1,60+Inputs!$B$25+Inputs!$B$29,IF(Skills!C26=2,90+Inputs!$B$26+Inputs!$B$29,IF(Skills!C26=3,120+Inputs!$B$27+Inputs!$B$29,MAX(0,(Inputs!$B$3-100)*3)+Inputs!$B$28+Inputs!$B$29)))</f>
        <v/>
      </c>
      <c r="E367">
        <f>INDEX(FactorTable!$B$2:$Y$301, MATCH(ROUND(MIN(300,MAX(1,D367)),0), FactorTable!$A$2:$A$301,0), Skills!M26+1)</f>
        <v/>
      </c>
      <c r="F367">
        <f>IF(Skills!N26=TRUE,(Skills!L26/10)*(E367/1000),Skills!L26/10)+Skills!O26</f>
        <v/>
      </c>
      <c r="G367">
        <f>Skills!G26*IF(Skills!H26&gt;0,Skills!I26/Skills!H26,1)</f>
        <v/>
      </c>
      <c r="H367">
        <f>1-(1-Skills!J26/100)^Skills!K26</f>
        <v/>
      </c>
      <c r="I367" t="inlineStr">
        <is>
          <t>1</t>
        </is>
      </c>
      <c r="J367" t="inlineStr"/>
      <c r="K367" t="inlineStr"/>
      <c r="L367" t="inlineStr"/>
      <c r="M367" t="inlineStr"/>
      <c r="N367" t="inlineStr"/>
      <c r="O367">
        <f>(1-Summary!$B$11)*T367+Summary!$B$11*V367</f>
        <v/>
      </c>
      <c r="P367">
        <f>IF(B383=0,0,O367/B383)</f>
        <v/>
      </c>
      <c r="Q367" t="n">
        <v>0</v>
      </c>
      <c r="R367" t="n">
        <v>0</v>
      </c>
      <c r="S367" t="n">
        <v>0</v>
      </c>
      <c r="T367" t="n">
        <v>0</v>
      </c>
      <c r="V367" t="n">
        <v>0</v>
      </c>
    </row>
    <row r="368">
      <c r="A368">
        <f>Skills!A27</f>
        <v/>
      </c>
      <c r="B368">
        <f>Skills!B27</f>
        <v/>
      </c>
      <c r="C368">
        <f>Inputs!$B$3&gt;=120</f>
        <v/>
      </c>
      <c r="D368">
        <f>IF(Skills!C27=1,60+Inputs!$B$25+Inputs!$B$29,IF(Skills!C27=2,90+Inputs!$B$26+Inputs!$B$29,IF(Skills!C27=3,120+Inputs!$B$27+Inputs!$B$29,MAX(0,(Inputs!$B$3-100)*3)+Inputs!$B$28+Inputs!$B$29)))</f>
        <v/>
      </c>
      <c r="E368">
        <f>INDEX(FactorTable!$B$2:$Y$301, MATCH(ROUND(MIN(300,MAX(1,D368)),0), FactorTable!$A$2:$A$301,0), Skills!M27+1)</f>
        <v/>
      </c>
      <c r="F368">
        <f>IF(Skills!N27=TRUE,(Skills!L27/10)*(E368/1000),Skills!L27/10)+Skills!O27</f>
        <v/>
      </c>
      <c r="G368">
        <f>Skills!G27*IF(Skills!H27&gt;0,Skills!I27/Skills!H27,1)</f>
        <v/>
      </c>
      <c r="H368">
        <f>1-(1-Skills!J27/100)^Skills!K27</f>
        <v/>
      </c>
      <c r="I368" t="inlineStr">
        <is>
          <t>1</t>
        </is>
      </c>
      <c r="J368" t="inlineStr"/>
      <c r="K368" t="inlineStr"/>
      <c r="L368" t="inlineStr"/>
      <c r="M368" t="inlineStr"/>
      <c r="N368" t="inlineStr"/>
      <c r="O368">
        <f>(1-Summary!$B$11)*T368+Summary!$B$11*V368</f>
        <v/>
      </c>
      <c r="P368">
        <f>IF(B383=0,0,O368/B383)</f>
        <v/>
      </c>
      <c r="Q368" t="n">
        <v>0</v>
      </c>
      <c r="R368" t="n">
        <v>0</v>
      </c>
      <c r="S368" t="n">
        <v>0</v>
      </c>
      <c r="T368" t="n">
        <v>0</v>
      </c>
      <c r="V368" t="n">
        <v>0</v>
      </c>
    </row>
    <row r="369">
      <c r="A369">
        <f>Skills!A28</f>
        <v/>
      </c>
      <c r="B369">
        <f>Skills!B28</f>
        <v/>
      </c>
      <c r="C369">
        <f>Inputs!$B$3&gt;=120</f>
        <v/>
      </c>
      <c r="D369">
        <f>IF(Skills!C28=1,60+Inputs!$B$25+Inputs!$B$29,IF(Skills!C28=2,90+Inputs!$B$26+Inputs!$B$29,IF(Skills!C28=3,120+Inputs!$B$27+Inputs!$B$29,MAX(0,(Inputs!$B$3-100)*3)+Inputs!$B$28+Inputs!$B$29)))</f>
        <v/>
      </c>
      <c r="E369">
        <f>INDEX(FactorTable!$B$2:$Y$301, MATCH(ROUND(MIN(300,MAX(1,D369)),0), FactorTable!$A$2:$A$301,0), Skills!M28+1)</f>
        <v/>
      </c>
      <c r="F369">
        <f>IF(Skills!N28=TRUE,(Skills!L28/10)*(E369/1000),Skills!L28/10)+Skills!O28</f>
        <v/>
      </c>
      <c r="G369">
        <f>Skills!G28*IF(Skills!H28&gt;0,Skills!I28/Skills!H28,1)</f>
        <v/>
      </c>
      <c r="H369">
        <f>1-(1-Skills!J28/100)^Skills!K28</f>
        <v/>
      </c>
      <c r="I369" t="inlineStr">
        <is>
          <t>1</t>
        </is>
      </c>
      <c r="J369" t="inlineStr"/>
      <c r="K369" t="inlineStr"/>
      <c r="L369" t="inlineStr"/>
      <c r="M369" t="inlineStr"/>
      <c r="N369" t="inlineStr"/>
      <c r="O369">
        <f>(1-Summary!$B$11)*T369+Summary!$B$11*V369</f>
        <v/>
      </c>
      <c r="P369">
        <f>IF(B383=0,0,O369/B383)</f>
        <v/>
      </c>
      <c r="Q369" t="n">
        <v>0</v>
      </c>
      <c r="R369" t="n">
        <v>0</v>
      </c>
      <c r="S369" t="n">
        <v>0</v>
      </c>
      <c r="T369" t="n">
        <v>0</v>
      </c>
      <c r="V369" t="n">
        <v>0</v>
      </c>
    </row>
    <row r="370">
      <c r="A370">
        <f>Skills!A29</f>
        <v/>
      </c>
      <c r="B370">
        <f>Skills!B29</f>
        <v/>
      </c>
      <c r="C370">
        <f>Inputs!$B$3&gt;=45</f>
        <v/>
      </c>
      <c r="D370">
        <f>IF(Skills!C29=1,60+Inputs!$B$25+Inputs!$B$29,IF(Skills!C29=2,90+Inputs!$B$26+Inputs!$B$29,IF(Skills!C29=3,120+Inputs!$B$27+Inputs!$B$29,MAX(0,(Inputs!$B$3-100)*3)+Inputs!$B$28+Inputs!$B$29)))</f>
        <v/>
      </c>
      <c r="E370">
        <f>INDEX(FactorTable!$B$2:$Y$301, MATCH(ROUND(MIN(300,MAX(1,D370)),0), FactorTable!$A$2:$A$301,0), Skills!M29+1)</f>
        <v/>
      </c>
      <c r="F370">
        <f>IF(Skills!N29=TRUE,(Skills!L29/10)*(E370/1000),Skills!L29/10)+Skills!O29</f>
        <v/>
      </c>
      <c r="G370">
        <f>Skills!G29*IF(Skills!H29&gt;0,Skills!I29/Skills!H29,1)</f>
        <v/>
      </c>
      <c r="H370">
        <f>1-(1-Skills!J29/100)^Skills!K29</f>
        <v/>
      </c>
      <c r="I370" t="inlineStr">
        <is>
          <t>1</t>
        </is>
      </c>
      <c r="J370" t="inlineStr"/>
      <c r="K370" t="inlineStr"/>
      <c r="L370" t="inlineStr"/>
      <c r="M370" t="inlineStr"/>
      <c r="N370" t="inlineStr"/>
      <c r="O370">
        <f>(1-Summary!$B$11)*T370+Summary!$B$11*V370</f>
        <v/>
      </c>
      <c r="P370">
        <f>IF(B383=0,0,O370/B383)</f>
        <v/>
      </c>
      <c r="Q370" t="n">
        <v>0</v>
      </c>
      <c r="R370" t="n">
        <v>0</v>
      </c>
      <c r="S370" t="n">
        <v>0</v>
      </c>
      <c r="T370" t="n">
        <v>0</v>
      </c>
      <c r="V370" t="n">
        <v>0</v>
      </c>
    </row>
    <row r="372">
      <c r="A372" t="inlineStr">
        <is>
          <t>Attack% Bucket Multiplier</t>
        </is>
      </c>
      <c r="B372">
        <f>(1+(((C354=TRUE)*F354)+((C355=TRUE)*IF(Inputs!$B$38="pvp",F355,(1-Summary!$B$11)*(F355)+Summary!$B$11*(0)))+((C356=TRUE)*F356*IF(AND(Inputs!$B$38&lt;&gt;"pvp",Inputs!$B$43&gt;0),(((R356-1)*(Skills!T15*(1+Inputs!$B$34/100))+MIN((Skills!T15*(1+Inputs!$B$34/100)),MAX(0,Inputs!$B$43-((R356-1)*Skills!D15))))/Inputs!$B$43),IF(Inputs!$B$38="pvp",MIN((Skills!T15*(1+Inputs!$B$34/100)),15)/15,(Skills!T15*(1+Inputs!$B$34/100))/Skills!D15)))+((C353=TRUE)*F353)+((C370=TRUE)*(F370-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373">
      <c r="A373" t="inlineStr">
        <is>
          <t>Global Crit Rate Bonus %</t>
        </is>
      </c>
      <c r="B373">
        <f>(C357=TRUE)*20*IF(AND(Inputs!$B$38&lt;&gt;"pvp",Inputs!$B$43&gt;0),(((R357-1)*(Skills!T16*(1+Inputs!$B$34/100))+MIN((Skills!T16*(1+Inputs!$B$34/100)),MAX(0,Inputs!$B$43-((R357-1)*Skills!D16))))/Inputs!$B$43),IF(Inputs!$B$38="pvp",MIN((Skills!T16*(1+Inputs!$B$34/100)),15)/15,(Skills!T16*(1+Inputs!$B$34/100))/Skills!D16))</f>
        <v/>
      </c>
    </row>
    <row r="374">
      <c r="A374" t="inlineStr">
        <is>
          <t>Attack Speed Buff Bonus %</t>
        </is>
      </c>
      <c r="B374">
        <f>((C359=TRUE)*F359*IF(AND(Inputs!$B$38&lt;&gt;"pvp",Inputs!$B$43&gt;0),(((R359-1)*(Skills!T18*(1+Inputs!$B$34/100))+MIN((Skills!T18*(1+Inputs!$B$34/100)),MAX(0,Inputs!$B$43-((R359-1)*Skills!D18))))/Inputs!$B$43),IF(Inputs!$B$38="pvp",MIN((Skills!T18*(1+Inputs!$B$34/100)),15)/15,(Skills!T18*(1+Inputs!$B$34/100))/Skills!D18)))</f>
        <v/>
      </c>
    </row>
    <row r="375">
      <c r="A375" t="inlineStr">
        <is>
          <t>Actions Per Second</t>
        </is>
      </c>
      <c r="B375">
        <f>1+MIN(150,150*(1-(1-(Inputs!$B$11+((C361=TRUE)*(F361-Calc!F20))+((C362=TRUE)*(F362-Calc!F21)))/150)*(1-B374/150)))/100</f>
        <v/>
      </c>
    </row>
    <row r="376">
      <c r="A376" t="inlineStr">
        <is>
          <t>Skill + Buff Cast Rate</t>
        </is>
      </c>
      <c r="B376">
        <f>IF(AND(Inputs!$B$38&lt;&gt;"pvp",Inputs!$B$43&gt;0),SUMPRODUCT((Skills!E2:E29=TRUE)*(C343:C370=TRUE)*R343:R370*Skills!F2:F29)/Inputs!$B$43,SUMPRODUCT((Skills!E2:E29=TRUE)*(C343:C370=TRUE)*Q343:Q370*Skills!F2:F29))</f>
        <v/>
      </c>
    </row>
    <row r="377">
      <c r="A377" t="inlineStr">
        <is>
          <t>Empowered Piercing Arrow Casts Per Second</t>
        </is>
      </c>
      <c r="B377">
        <f>MAX(0,B375-B376)</f>
        <v/>
      </c>
    </row>
    <row r="378">
      <c r="A378" t="inlineStr">
        <is>
          <t>Global Critical Damage Bonus % (Sharp Eyes)</t>
        </is>
      </c>
      <c r="B378">
        <f>(C357=TRUE)*F357*IF(AND(Inputs!$B$38&lt;&gt;"pvp",Inputs!$B$43&gt;0),(((R357-1)*(Skills!T16*(1+Inputs!$B$34/100))+MIN((Skills!T16*(1+Inputs!$B$34/100)),MAX(0,Inputs!$B$43-((R357-1)*Skills!D16))))/Inputs!$B$43),IF(Inputs!$B$38="pvp",MIN((Skills!T16*(1+Inputs!$B$34/100)),15)/15,(Skills!T16*(1+Inputs!$B$34/100))/Skills!D16))</f>
        <v/>
      </c>
    </row>
    <row r="379">
      <c r="A379" t="inlineStr">
        <is>
          <t>Global Final Damage Bonus % (Mortal Blow + Last Man Standing conditional half)</t>
        </is>
      </c>
      <c r="B379">
        <f>(C358=TRUE)*F358+((C367=TRUE)*IF(Inputs!$B$38="pvp",F367,(1-Summary!$B$11)*(F367)+Summary!$B$11*(0)))</f>
        <v/>
      </c>
    </row>
    <row r="380">
      <c r="A380" t="inlineStr">
        <is>
          <t>Buff-Casting Startup Delay (s, fixed-duration only)</t>
        </is>
      </c>
      <c r="B380">
        <f>IF(AND(Inputs!$B$38&lt;&gt;"pvp",Inputs!$B$43&gt;0),SUMPRODUCT((Skills!T2:T29&gt;0)*(Skills!E2:E29=TRUE)*(C343:C370=TRUE))/B375,0)</f>
        <v/>
      </c>
    </row>
    <row r="381">
      <c r="A381" t="inlineStr">
        <is>
          <t>Boss-Only Total DPS (this block's swept value)</t>
        </is>
      </c>
      <c r="B381">
        <f>SUM(T343:T370)</f>
        <v/>
      </c>
    </row>
    <row r="382">
      <c r="A382" t="inlineStr">
        <is>
          <t>Normal-Only Total DPS (this block's swept value)</t>
        </is>
      </c>
      <c r="B382">
        <f>SUM(V343:V370)</f>
        <v/>
      </c>
    </row>
    <row r="383">
      <c r="A383" s="6" t="inlineStr">
        <is>
          <t>TOTAL DPS</t>
        </is>
      </c>
      <c r="B383" s="6">
        <f>SUM(O343:O370)</f>
        <v/>
      </c>
    </row>
    <row r="386">
      <c r="A386" s="6" t="inlineStr">
        <is>
          <t>Stat: FINAL_DAMAGE % (multiplicative source)</t>
        </is>
      </c>
    </row>
    <row r="387">
      <c r="A387" s="5" t="inlineStr">
        <is>
          <t>Key</t>
        </is>
      </c>
      <c r="B387" s="5" t="inlineStr">
        <is>
          <t>Name</t>
        </is>
      </c>
      <c r="C387" s="5" t="inlineStr">
        <is>
          <t>Unlocked</t>
        </is>
      </c>
      <c r="D387" s="5" t="inlineStr">
        <is>
          <t>InputLevel</t>
        </is>
      </c>
      <c r="E387" s="5" t="inlineStr">
        <is>
          <t>Factor</t>
        </is>
      </c>
      <c r="F387" s="5" t="inlineStr">
        <is>
          <t>CoefficientPercent</t>
        </is>
      </c>
      <c r="G387" s="5" t="inlineStr">
        <is>
          <t>EffectiveHits</t>
        </is>
      </c>
      <c r="H387" s="5" t="inlineStr">
        <is>
          <t>ProcProbability</t>
        </is>
      </c>
      <c r="I387" s="5" t="inlineStr">
        <is>
          <t>MapleHeroMultiplier</t>
        </is>
      </c>
      <c r="J387" s="5" t="inlineStr">
        <is>
          <t>BaseDamage</t>
        </is>
      </c>
      <c r="K387" s="5" t="inlineStr">
        <is>
          <t>BaseHitDamage</t>
        </is>
      </c>
      <c r="L387" s="5" t="inlineStr">
        <is>
          <t>NonCritAvg</t>
        </is>
      </c>
      <c r="M387" s="5" t="inlineStr">
        <is>
          <t>CritAvg</t>
        </is>
      </c>
      <c r="N387" s="5" t="inlineStr">
        <is>
          <t>ExpectedDamage(perHit)</t>
        </is>
      </c>
      <c r="O387" s="5" t="inlineStr">
        <is>
          <t>DPS</t>
        </is>
      </c>
      <c r="P387" s="5" t="inlineStr">
        <is>
          <t>% of Total</t>
        </is>
      </c>
      <c r="Q387" s="5" t="inlineStr">
        <is>
          <t>InvCooldown</t>
        </is>
      </c>
      <c r="R387" s="5" t="inlineStr">
        <is>
          <t>CastsInFight</t>
        </is>
      </c>
      <c r="S387" s="5" t="inlineStr">
        <is>
          <t>HitRate(perSec)</t>
        </is>
      </c>
      <c r="U387" t="inlineStr">
        <is>
          <t>helpers</t>
        </is>
      </c>
    </row>
    <row r="388">
      <c r="A388">
        <f>Skills!A2</f>
        <v/>
      </c>
      <c r="B388">
        <f>Skills!B2</f>
        <v/>
      </c>
      <c r="C388">
        <f>Inputs!$B$3&gt;=100</f>
        <v/>
      </c>
      <c r="D388" t="inlineStr"/>
      <c r="E388" t="inlineStr"/>
      <c r="F388">
        <f>U390+Skills!O2</f>
        <v/>
      </c>
      <c r="G388">
        <f>Skills!G2*IF(Skills!H2&gt;0,Skills!I2/Skills!H2,1)</f>
        <v/>
      </c>
      <c r="H388">
        <f>1-(1-Skills!J2/100)^Skills!K2</f>
        <v/>
      </c>
      <c r="I388" t="inlineStr">
        <is>
          <t>1</t>
        </is>
      </c>
      <c r="J388">
        <f>((Inputs!$B$6*(1+Inputs!$B$7/100))+(((Inputs!$B$12*(1+Inputs!$B$13/100))-(Inputs!$B$12*(1+Inputs!$B$13/100)))+0.25*(Inputs!$B$14-Inputs!$B$14))*(1+Inputs!$B$7/100))*(F388/100)</f>
        <v/>
      </c>
      <c r="K388">
        <f>J388*(1+((Inputs!$B$12*(1+Inputs!$B$13/100))*0.01+Inputs!$B$14*0.0025)/100)*(1+Inputs!$B$15/100)*(1+Inputs!$B$16/100)*(5000/(6000+Inputs!$B$42*(1-(100*(1-(1-(Inputs!$B$19+0)/100)*(1-CHOOSE(ArtifactsInput!$N$40+1,5,6,7,8,9,10)/100)^(ArtifactsInput!$M$40-ArtifactsInput!$M$40)))/100)))*(1+(((((1+(Inputs!$B$24+Summary!$B$21)/100)*(1.01))-1)*100-(Summary!$B$21))+((C410=TRUE)*(F410-Calc!F24))+((C411=TRUE)*(F411-Calc!F25))+B424)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EMPOWERED_PIERCING_ARROW",Inputs!$B$17+((C408=TRUE)*(F408-Calc!F22))+(((IF(AND(ArtifactsInput!$M$42,((Inputs!$B$9+((C405=TRUE)*(F405-Calc!F19))+B418+(ArtifactsInput!$M$24-ArtifactsInput!$M$24)*CHOOSE(ArtifactsInput!$N$24+1,10,12,14,16,18,20)+IF(ArtifactsInput!$M$10,CHOOSE(ArtifactsInput!$N$10+1,15,18,21,24,27,30)*(IF(Inputs!$B$38="pvp",MIN(15,15)/15,IF(AND(Inputs!$B$38&lt;&gt;"pvp",Inputs!$B$43&gt;0),MIN(15,Inputs!$B$43)/(Inputs!$B$43),0))),0)))&gt;=100),MIN(100,((Inputs!$B$9+((C405=TRUE)*(F405-Calc!F19))+B418+(ArtifactsInput!$M$24-ArtifactsInput!$M$24)*CHOOSE(ArtifactsInput!$N$24+1,10,12,14,16,18,20)+IF(ArtifactsInput!$M$10,CHOOSE(ArtifactsInput!$N$10+1,15,18,21,24,27,30)*(IF(Inputs!$B$38="pvp",MIN(15,15)/15,IF(AND(Inputs!$B$38&lt;&gt;"pvp",Inputs!$B$43&gt;0),MIN(15,Inputs!$B$43)/(Inputs!$B$43),0))),0)))-100),0))*CHOOSE(ArtifactsInput!$N$42+1,0.6,0.72,0.84,0.96,1.08,1.2))),Inputs!$B$18+((C413=TRUE)*(F413-Calc!F27))+(IF(AND(ArtifactsInput!$M$42,((Inputs!$B$9+((C405=TRUE)*(F405-Calc!F19))+B418+(ArtifactsInput!$M$24-ArtifactsInput!$M$24)*CHOOSE(ArtifactsInput!$N$24+1,10,12,14,16,18,20)+IF(ArtifactsInput!$M$10,CHOOSE(ArtifactsInput!$N$10+1,15,18,21,24,27,30)*(IF(Inputs!$B$38="pvp",MIN(15,15)/15,IF(AND(Inputs!$B$38&lt;&gt;"pvp",Inputs!$B$43&gt;0),MIN(15,Inputs!$B$43)/(Inputs!$B$43),0))),0)))&gt;=100),CHOOSE(ArtifactsInput!$N$42+1,40,48,56,64,72,80),0))))/100)*((1+(((C399=TRUE)*F399)+((C400=TRUE)*IF(Inputs!$B$38="pvp",F400,(1-Summary!$B$11)*(F400)+Summary!$B$11*(0)))+((C401=TRUE)*F401*IF(AND(Inputs!$B$38&lt;&gt;"pvp",Inputs!$B$43&gt;0),(((R401-1)*(Skills!T15*(1+Inputs!$B$34/100))+MIN((Skills!T15*(1+Inputs!$B$34/100)),MAX(0,Inputs!$B$43-((R401-1)*Skills!D15))))/Inputs!$B$43),IF(Inputs!$B$38="pvp",MIN((Skills!T15*(1+Inputs!$B$34/100)),15)/15,(Skills!T15*(1+Inputs!$B$34/100))/Skills!D15)))+((C398=TRUE)*F398)+((C415=TRUE)*(F415-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388)</f>
        <v/>
      </c>
      <c r="L388">
        <f>K388*(MIN(Inputs!$B$22+((C409=TRUE)*(F409-Calc!F23)),(Inputs!$B$23+((C414=TRUE)*(F414-Calc!F28))+(IF(ArtifactsInput!$M$15,CHOOSE(ArtifactsInput!$N$15+1,25,30,35,40,45,50)/100*(Inputs!$B$11-Inputs!$B$11),0))))/100+(Inputs!$B$23+((C414=TRUE)*(F414-Calc!F28))+(IF(ArtifactsInput!$M$15,CHOOSE(ArtifactsInput!$N$15+1,25,30,35,40,45,50)/100*(Inputs!$B$11-Inputs!$B$11),0)))/100)/2</f>
        <v/>
      </c>
      <c r="M388">
        <f>L388*(1+(Inputs!$B$10+0+B423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88">
        <f>L388*(1-MIN((Inputs!$B$9+((C405=TRUE)*(F405-Calc!F19))+B418+(ArtifactsInput!$M$24-ArtifactsInput!$M$24)*CHOOSE(ArtifactsInput!$N$24+1,10,12,14,16,18,20)+(IF(AND(ArtifactsInput!$M$42,((Inputs!$B$9+((C405=TRUE)*(F405-Calc!F19))+B418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388*(MIN((Inputs!$B$9+((C405=TRUE)*(F405-Calc!F19))+B418+(ArtifactsInput!$M$24-ArtifactsInput!$M$24)*CHOOSE(ArtifactsInput!$N$24+1,10,12,14,16,18,20)+(IF(AND(ArtifactsInput!$M$42,((Inputs!$B$9+((C405=TRUE)*(F405-Calc!F19))+B418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88">
        <f>(1-Summary!$B$11)*T388+Summary!$B$11*V388</f>
        <v/>
      </c>
      <c r="P388">
        <f>IF(B428=0,0,O388/B428)</f>
        <v/>
      </c>
      <c r="Q388" t="n">
        <v>0</v>
      </c>
      <c r="R388" t="n">
        <v>0</v>
      </c>
      <c r="S388">
        <f>IFERROR((Skills!G2*N388*B422)/N388*IF(Inputs!$B$38="pvp",1,(1-Summary!$B$11)*1+Summary!$B$11*(MIN((6+Inputs!$B$33),Inputs!$B$37))),0)</f>
        <v/>
      </c>
      <c r="T388">
        <f>IF(C388,(Skills!G2*N388*B422)*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Hunt"),CHOOSE(ArtifactsInput!$N$35+1,15,18,21,24,27,30)*(1-EXP(-(0.2*B420)*5)),0)+IF(AND(ArtifactsInput!$M$22,Inputs!$B$4&lt;&gt;"Chapter Hunt"),CHOOSE(ArtifactsInput!$N$22+1,10,12,14,16,18,20)*((0*(((0.15*B420*5))^0/1)+1*(((0.15*B420*5))^1/1)+2*(((0.15*B420*5))^2/2)+3*(((0.15*B420*5))^3/6)+4*(((0.15*B420*5))^4/24)+5*(((0.15*B420*5))^5/120))/((((0.15*B420*5))^0/1)+(((0.15*B420*5))^1/1)+(((0.15*B420*5))^2/2)+(((0.15*B420*5))^3/6)+(((0.15*B420*5))^4/24)+(((0.15*B420*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388*(1-MIN(100,(Inputs!$B$9+((C405=TRUE)*(F405-Calc!F19))+B418+(ArtifactsInput!$M$24-ArtifactsInput!$M$24)*CHOOSE(ArtifactsInput!$N$24+1,10,12,14,16,18,20)+(IF(AND(ArtifactsInput!$M$42,((Inputs!$B$9+((C405=TRUE)*(F405-Calc!F19))+B418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388*(MIN(100,(Inputs!$B$9+((C405=TRUE)*(F405-Calc!F19))+B418+(ArtifactsInput!$M$24-ArtifactsInput!$M$24)*CHOOSE(ArtifactsInput!$N$24+1,10,12,14,16,18,20)+(IF(AND(ArtifactsInput!$M$42,((Inputs!$B$9+((C405=TRUE)*(F405-Calc!F19))+B418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388*(1-MIN(100,(Inputs!$B$9+((C405=TRUE)*(F405-Calc!F19))+B418+(ArtifactsInput!$M$24-ArtifactsInput!$M$24)*CHOOSE(ArtifactsInput!$N$24+1,10,12,14,16,18,20)+(IF(AND(ArtifactsInput!$M$42,((Inputs!$B$9+((C405=TRUE)*(F405-Calc!F19))+B418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388*(MIN(100,(Inputs!$B$9+((C405=TRUE)*(F405-Calc!F19))+B418+(ArtifactsInput!$M$24-ArtifactsInput!$M$24)*CHOOSE(ArtifactsInput!$N$24+1,10,12,14,16,18,20)+(IF(AND(ArtifactsInput!$M$42,((Inputs!$B$9+((C405=TRUE)*(F405-Calc!F19))+B418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388">
        <f>MAX(0,(Inputs!$B$3-100)*3)+Inputs!$B$28+Inputs!$B$29</f>
        <v/>
      </c>
      <c r="V388">
        <f>IF(C388,(Skills!G2*N388*B422)*IF(Inputs!$B$38="pvp",1,(1+(Inputs!$B$21+Skills!Q2+(IF(ArtifactsInput!$M$33,CHOOSE(ArtifactsInput!$N$33+1,30,36,42,48,54,60),0))+(IF(AND(ArtifactsInput!$M$35,Inputs!$B$4&lt;&gt;"Chapter Hunt"),CHOOSE(ArtifactsInput!$N$35+1,15,18,21,24,27,30)*(1-EXP(-(0.2*B420)*5)),0)+IF(AND(ArtifactsInput!$M$22,Inputs!$B$4&lt;&gt;"Chapter Hunt"),CHOOSE(ArtifactsInput!$N$22+1,10,12,14,16,18,20)*((0*(((0.15*B420*5))^0/1)+1*(((0.15*B420*5))^1/1)+2*(((0.15*B420*5))^2/2)+3*(((0.15*B420*5))^3/6)+4*(((0.15*B420*5))^4/24)+5*(((0.15*B420*5))^5/120))/((((0.15*B420*5))^0/1)+(((0.15*B420*5))^1/1)+(((0.15*B420*5))^2/2)+(((0.15*B420*5))^3/6)+(((0.15*B420*5))^4/24)+(((0.15*B420*5))^5/120)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89">
      <c r="A389">
        <f>Skills!A3</f>
        <v/>
      </c>
      <c r="B389">
        <f>Skills!B3</f>
        <v/>
      </c>
      <c r="C389">
        <f>Inputs!$B$3&gt;=50</f>
        <v/>
      </c>
      <c r="D389">
        <f>IF(Skills!C3=1,60+Inputs!$B$25+Inputs!$B$29,IF(Skills!C3=2,90+Inputs!$B$26+Inputs!$B$29,IF(Skills!C3=3,120+Inputs!$B$27+Inputs!$B$29,MAX(0,(Inputs!$B$3-100)*3)+Inputs!$B$28+Inputs!$B$29)))</f>
        <v/>
      </c>
      <c r="E389">
        <f>INDEX(FactorTable!$B$2:$Y$301, MATCH(ROUND(MIN(300,MAX(1,D389)),0), FactorTable!$A$2:$A$301,0), Skills!M3+1)</f>
        <v/>
      </c>
      <c r="F389">
        <f>IF(Skills!N3=TRUE,(Skills!L3/10)*(E389/1000),Skills!L3/10)+Skills!O3</f>
        <v/>
      </c>
      <c r="G389" t="inlineStr"/>
      <c r="H389" t="inlineStr"/>
      <c r="I389" t="inlineStr">
        <is>
          <t>1</t>
        </is>
      </c>
      <c r="J389" t="inlineStr"/>
      <c r="K389" t="inlineStr"/>
      <c r="L389" t="inlineStr"/>
      <c r="M389" t="inlineStr"/>
      <c r="N389" t="inlineStr"/>
      <c r="O389" t="inlineStr"/>
      <c r="P389" t="inlineStr"/>
      <c r="Q389" t="inlineStr"/>
      <c r="R389" t="inlineStr"/>
      <c r="S389" t="inlineStr"/>
      <c r="T389" t="inlineStr"/>
      <c r="U389">
        <f>INDEX(FactorTable!$B$2:$Y$301, MATCH(ROUND(MIN(300,MAX(1,U388)),0), FactorTable!$A$2:$A$301,0), 22)</f>
        <v/>
      </c>
      <c r="V389" t="inlineStr"/>
    </row>
    <row r="390">
      <c r="A390">
        <f>Skills!A4</f>
        <v/>
      </c>
      <c r="B390">
        <f>Skills!B4</f>
        <v/>
      </c>
      <c r="C390">
        <f>Inputs!$B$3&gt;=105</f>
        <v/>
      </c>
      <c r="D390">
        <f>IF(Skills!C4=1,60+Inputs!$B$25+Inputs!$B$29,IF(Skills!C4=2,90+Inputs!$B$26+Inputs!$B$29,IF(Skills!C4=3,120+Inputs!$B$27+Inputs!$B$29,MAX(0,(Inputs!$B$3-100)*3)+Inputs!$B$28+Inputs!$B$29)))</f>
        <v/>
      </c>
      <c r="E390">
        <f>INDEX(FactorTable!$B$2:$Y$301, MATCH(ROUND(MIN(300,MAX(1,D390)),0), FactorTable!$A$2:$A$301,0), Skills!M4+1)</f>
        <v/>
      </c>
      <c r="F390">
        <f>IF(Skills!N4=TRUE,(Skills!L4/10)*(E390/1000),Skills!L4/10)+Skills!O4</f>
        <v/>
      </c>
      <c r="G390" t="inlineStr"/>
      <c r="H390" t="inlineStr"/>
      <c r="I390" t="inlineStr">
        <is>
          <t>1</t>
        </is>
      </c>
      <c r="J390" t="inlineStr"/>
      <c r="K390" t="inlineStr"/>
      <c r="L390" t="inlineStr"/>
      <c r="M390" t="inlineStr"/>
      <c r="N390" t="inlineStr"/>
      <c r="O390" t="inlineStr"/>
      <c r="P390" t="inlineStr"/>
      <c r="Q390" t="inlineStr"/>
      <c r="R390" t="inlineStr"/>
      <c r="S390" t="inlineStr"/>
      <c r="T390" t="inlineStr"/>
      <c r="U390">
        <f>290*U389/1000</f>
        <v/>
      </c>
      <c r="V390" t="inlineStr"/>
    </row>
    <row r="391">
      <c r="A391">
        <f>Skills!A5</f>
        <v/>
      </c>
      <c r="B391">
        <f>Skills!B5</f>
        <v/>
      </c>
      <c r="C391">
        <f>Inputs!$B$3&gt;=35</f>
        <v/>
      </c>
      <c r="D391">
        <f>IF(Skills!C5=1,60+Inputs!$B$25+Inputs!$B$29,IF(Skills!C5=2,90+Inputs!$B$26+Inputs!$B$29,IF(Skills!C5=3,120+Inputs!$B$27+Inputs!$B$29,MAX(0,(Inputs!$B$3-100)*3)+Inputs!$B$28+Inputs!$B$29)))</f>
        <v/>
      </c>
      <c r="E391">
        <f>INDEX(FactorTable!$B$2:$Y$301, MATCH(ROUND(MIN(300,MAX(1,D391)),0), FactorTable!$A$2:$A$301,0), Skills!M5+1)</f>
        <v/>
      </c>
      <c r="F391">
        <f>IF(Skills!N5=TRUE,(Skills!L5/10)*(E391/1000),Skills!L5/10)+Skills!O5</f>
        <v/>
      </c>
      <c r="G391">
        <f>Skills!G5*IF(Skills!H5&gt;0,Skills!I5/Skills!H5,1)</f>
        <v/>
      </c>
      <c r="H391">
        <f>1-(1-Skills!J5/100)^Skills!K5</f>
        <v/>
      </c>
      <c r="I391" t="inlineStr">
        <is>
          <t>1</t>
        </is>
      </c>
      <c r="J391">
        <f>((Inputs!$B$6*(1+Inputs!$B$7/100))+(((Inputs!$B$12*(1+Inputs!$B$13/100))-(Inputs!$B$12*(1+Inputs!$B$13/100)))+0.25*(Inputs!$B$14-Inputs!$B$14))*(1+Inputs!$B$7/100))*(F391/100)</f>
        <v/>
      </c>
      <c r="K391">
        <f>J391*(1+((Inputs!$B$12*(1+Inputs!$B$13/100))*0.01+Inputs!$B$14*0.0025)/100)*(1+Inputs!$B$15/100)*(1+Inputs!$B$16/100)*(5000/(6000+Inputs!$B$42*(1-(100*(1-(1-(Inputs!$B$19+0)/100)*(1-CHOOSE(ArtifactsInput!$N$40+1,5,6,7,8,9,10)/100)^(ArtifactsInput!$M$40-ArtifactsInput!$M$40)))/100)))*(1+(((((1+(Inputs!$B$24+Summary!$B$21)/100)*(1.01))-1)*100-(Summary!$B$21))+((C410=TRUE)*(F410-Calc!F24))+((C411=TRUE)*(F411-Calc!F25))+B424)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394=TRUE,F394,0)/100)*(1+(IF(Skills!A5="EMPOWERED_PIERCING_ARROW",Inputs!$B$17+((C408=TRUE)*(F408-Calc!F22))+(((IF(AND(ArtifactsInput!$M$42,((Inputs!$B$9+((C405=TRUE)*(F405-Calc!F19))+B418+(ArtifactsInput!$M$24-ArtifactsInput!$M$24)*CHOOSE(ArtifactsInput!$N$24+1,10,12,14,16,18,20)+IF(ArtifactsInput!$M$10,CHOOSE(ArtifactsInput!$N$10+1,15,18,21,24,27,30)*(IF(Inputs!$B$38="pvp",MIN(15,15)/15,IF(AND(Inputs!$B$38&lt;&gt;"pvp",Inputs!$B$43&gt;0),MIN(15,Inputs!$B$43)/(Inputs!$B$43),0))),0)))&gt;=100),MIN(100,((Inputs!$B$9+((C405=TRUE)*(F405-Calc!F19))+B418+(ArtifactsInput!$M$24-ArtifactsInput!$M$24)*CHOOSE(ArtifactsInput!$N$24+1,10,12,14,16,18,20)+IF(ArtifactsInput!$M$10,CHOOSE(ArtifactsInput!$N$10+1,15,18,21,24,27,30)*(IF(Inputs!$B$38="pvp",MIN(15,15)/15,IF(AND(Inputs!$B$38&lt;&gt;"pvp",Inputs!$B$43&gt;0),MIN(15,Inputs!$B$43)/(Inputs!$B$43),0))),0)))-100),0))*CHOOSE(ArtifactsInput!$N$42+1,0.6,0.72,0.84,0.96,1.08,1.2))),Inputs!$B$18+((C413=TRUE)*(F413-Calc!F27))+(IF(AND(ArtifactsInput!$M$42,((Inputs!$B$9+((C405=TRUE)*(F405-Calc!F19))+B418+(ArtifactsInput!$M$24-ArtifactsInput!$M$24)*CHOOSE(ArtifactsInput!$N$24+1,10,12,14,16,18,20)+IF(ArtifactsInput!$M$10,CHOOSE(ArtifactsInput!$N$10+1,15,18,21,24,27,30)*(IF(Inputs!$B$38="pvp",MIN(15,15)/15,IF(AND(Inputs!$B$38&lt;&gt;"pvp",Inputs!$B$43&gt;0),MIN(15,Inputs!$B$43)/(Inputs!$B$43),0))),0)))&gt;=100),CHOOSE(ArtifactsInput!$N$42+1,40,48,56,64,72,80),0))))/100)*((1+(((C399=TRUE)*F399)+((C400=TRUE)*IF(Inputs!$B$38="pvp",F400,(1-Summary!$B$11)*(F400)+Summary!$B$11*(0)))+((C401=TRUE)*F401*IF(AND(Inputs!$B$38&lt;&gt;"pvp",Inputs!$B$43&gt;0),(((R401-1)*(Skills!T15*(1+Inputs!$B$34/100))+MIN((Skills!T15*(1+Inputs!$B$34/100)),MAX(0,Inputs!$B$43-((R401-1)*Skills!D15))))/Inputs!$B$43),IF(Inputs!$B$38="pvp",MIN((Skills!T15*(1+Inputs!$B$34/100)),15)/15,(Skills!T15*(1+Inputs!$B$34/100))/Skills!D15)))+((C398=TRUE)*F398)+((C415=TRUE)*(F415-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391)</f>
        <v/>
      </c>
      <c r="L391">
        <f>K391*(MIN(Inputs!$B$22+((C409=TRUE)*(F409-Calc!F23)),(Inputs!$B$23+((C414=TRUE)*(F414-Calc!F28))+(IF(ArtifactsInput!$M$15,CHOOSE(ArtifactsInput!$N$15+1,25,30,35,40,45,50)/100*(Inputs!$B$11-Inputs!$B$11),0))))/100+(Inputs!$B$23+((C414=TRUE)*(F414-Calc!F28))+(IF(ArtifactsInput!$M$15,CHOOSE(ArtifactsInput!$N$15+1,25,30,35,40,45,50)/100*(Inputs!$B$11-Inputs!$B$11),0)))/100)/2</f>
        <v/>
      </c>
      <c r="M391">
        <f>L391*(1+(Inputs!$B$10+0+B423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91">
        <f>L391*(1-MIN((Inputs!$B$9+((C405=TRUE)*(F405-Calc!F19))+B418+(ArtifactsInput!$M$24-ArtifactsInput!$M$24)*CHOOSE(ArtifactsInput!$N$24+1,10,12,14,16,18,20)+(IF(AND(ArtifactsInput!$M$42,((Inputs!$B$9+((C405=TRUE)*(F405-Calc!F19))+B418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391*(MIN((Inputs!$B$9+((C405=TRUE)*(F405-Calc!F19))+B418+(ArtifactsInput!$M$24-ArtifactsInput!$M$24)*CHOOSE(ArtifactsInput!$N$24+1,10,12,14,16,18,20)+(IF(AND(ArtifactsInput!$M$42,((Inputs!$B$9+((C405=TRUE)*(F405-Calc!F19))+B418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91">
        <f>(1-Summary!$B$11)*T391+Summary!$B$11*V391</f>
        <v/>
      </c>
      <c r="P391">
        <f>IF(B428=0,0,O391/B428)</f>
        <v/>
      </c>
      <c r="Q391">
        <f>IFERROR(1/IF(Inputs!$B$38="pvp",15,MAX(0.1,Skills!D5-IF(Skills!E5=TRUE,Inputs!$B$32,0))),0)</f>
        <v/>
      </c>
      <c r="R391">
        <f>IF(AND(Inputs!$B$38&lt;&gt;"pvp",Inputs!$B$43&gt;0),IF(MAX(0,Inputs!$B$43-B425)&lt;=0,0,(INT(MAX(0,Inputs!$B$43-B425)/IF(Inputs!$B$38="pvp",15,MAX(0.1,Skills!D5-IF(Skills!E5=TRUE,Inputs!$B$32,0))))+1)),0)</f>
        <v/>
      </c>
      <c r="S391">
        <f>IFERROR((H391*N391*IF(AND(Inputs!$B$38&lt;&gt;"pvp",Inputs!$B$43&gt;0),((Skills!G5*((R391-1)*IF(Skills!H5&gt;0,Skills!I5/Skills!H5,1)+IF(Skills!H5&gt;0,MIN(Skills!I5,MAX(0,MAX(0,Inputs!$B$43-B425)-((R391-1)*IF(Inputs!$B$38="pvp",15,MAX(0.1,Skills!D5-IF(Skills!E5=TRUE,Inputs!$B$32,0))))))/Skills!H5,1)))/Inputs!$B$43),G391*Q391))/N391*IF(Inputs!$B$38="pvp",1,(1-Summary!$B$11)*1+Summary!$B$11*(MIN(Skills!R5,Inputs!$B$37))),0)</f>
        <v/>
      </c>
      <c r="T391">
        <f>IF(C391,(H391*N391*IF(AND(Inputs!$B$38&lt;&gt;"pvp",Inputs!$B$43&gt;0),((Skills!G5*((R391-1)*IF(Skills!H5&gt;0,Skills!I5/Skills!H5,1)+IF(Skills!H5&gt;0,MIN(Skills!I5,MAX(0,MAX(0,Inputs!$B$43-B425)-((R391-1)*IF(Inputs!$B$38="pvp",15,MAX(0.1,Skills!D5-IF(Skills!E5=TRUE,Inputs!$B$32,0))))))/Skills!H5,1)))/Inputs!$B$43),G391*Q391))*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Hunt"),CHOOSE(ArtifactsInput!$N$35+1,15,18,21,24,27,30)*(1-EXP(-(0.2*B420)*5)),0)+IF(AND(ArtifactsInput!$M$22,Inputs!$B$4&lt;&gt;"Chapter Hunt"),CHOOSE(ArtifactsInput!$N$22+1,10,12,14,16,18,20)*((0*(((0.15*B420*5))^0/1)+1*(((0.15*B420*5))^1/1)+2*(((0.15*B420*5))^2/2)+3*(((0.15*B420*5))^3/6)+4*(((0.15*B420*5))^4/24)+5*(((0.15*B420*5))^5/120))/((((0.15*B420*5))^0/1)+(((0.15*B420*5))^1/1)+(((0.15*B420*5))^2/2)+(((0.15*B420*5))^3/6)+(((0.15*B420*5))^4/24)+(((0.15*B420*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391*(1-MIN(100,(Inputs!$B$9+((C405=TRUE)*(F405-Calc!F19))+B418+(ArtifactsInput!$M$24-ArtifactsInput!$M$24)*CHOOSE(ArtifactsInput!$N$24+1,10,12,14,16,18,20)+(IF(AND(ArtifactsInput!$M$42,((Inputs!$B$9+((C405=TRUE)*(F405-Calc!F19))+B418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391*(MIN(100,(Inputs!$B$9+((C405=TRUE)*(F405-Calc!F19))+B418+(ArtifactsInput!$M$24-ArtifactsInput!$M$24)*CHOOSE(ArtifactsInput!$N$24+1,10,12,14,16,18,20)+(IF(AND(ArtifactsInput!$M$42,((Inputs!$B$9+((C405=TRUE)*(F405-Calc!F19))+B418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391*(1-MIN(100,(Inputs!$B$9+((C405=TRUE)*(F405-Calc!F19))+B418+(ArtifactsInput!$M$24-ArtifactsInput!$M$24)*CHOOSE(ArtifactsInput!$N$24+1,10,12,14,16,18,20)+(IF(AND(ArtifactsInput!$M$42,((Inputs!$B$9+((C405=TRUE)*(F405-Calc!F19))+B418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391*(MIN(100,(Inputs!$B$9+((C405=TRUE)*(F405-Calc!F19))+B418+(ArtifactsInput!$M$24-ArtifactsInput!$M$24)*CHOOSE(ArtifactsInput!$N$24+1,10,12,14,16,18,20)+(IF(AND(ArtifactsInput!$M$42,((Inputs!$B$9+((C405=TRUE)*(F405-Calc!F19))+B418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91">
        <f>IF(C391,(H391*N391*IF(AND(Inputs!$B$38&lt;&gt;"pvp",Inputs!$B$43&gt;0),((Skills!G5*((R391-1)*IF(Skills!H5&gt;0,Skills!I5/Skills!H5,1)+IF(Skills!H5&gt;0,MIN(Skills!I5,MAX(0,MAX(0,Inputs!$B$43-B425)-((R391-1)*IF(Inputs!$B$38="pvp",15,MAX(0.1,Skills!D5-IF(Skills!E5=TRUE,Inputs!$B$32,0))))))/Skills!H5,1)))/Inputs!$B$43),G391*Q391))*IF(Inputs!$B$38="pvp",1,(1+(Inputs!$B$21+Skills!Q5+(IF(ArtifactsInput!$M$33,CHOOSE(ArtifactsInput!$N$33+1,30,36,42,48,54,60),0))+(IF(AND(ArtifactsInput!$M$35,Inputs!$B$4&lt;&gt;"Chapter Hunt"),CHOOSE(ArtifactsInput!$N$35+1,15,18,21,24,27,30)*(1-EXP(-(0.2*B420)*5)),0)+IF(AND(ArtifactsInput!$M$22,Inputs!$B$4&lt;&gt;"Chapter Hunt"),CHOOSE(ArtifactsInput!$N$22+1,10,12,14,16,18,20)*((0*(((0.15*B420*5))^0/1)+1*(((0.15*B420*5))^1/1)+2*(((0.15*B420*5))^2/2)+3*(((0.15*B420*5))^3/6)+4*(((0.15*B420*5))^4/24)+5*(((0.15*B420*5))^5/120))/((((0.15*B420*5))^0/1)+(((0.15*B420*5))^1/1)+(((0.15*B420*5))^2/2)+(((0.15*B420*5))^3/6)+(((0.15*B420*5))^4/24)+(((0.15*B420*5))^5/120)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92">
      <c r="A392">
        <f>Skills!A6</f>
        <v/>
      </c>
      <c r="B392">
        <f>Skills!B6</f>
        <v/>
      </c>
      <c r="C392">
        <f>Inputs!$B$3&gt;=63</f>
        <v/>
      </c>
      <c r="D392">
        <f>IF(Skills!C6=1,60+Inputs!$B$25+Inputs!$B$29,IF(Skills!C6=2,90+Inputs!$B$26+Inputs!$B$29,IF(Skills!C6=3,120+Inputs!$B$27+Inputs!$B$29,MAX(0,(Inputs!$B$3-100)*3)+Inputs!$B$28+Inputs!$B$29)))</f>
        <v/>
      </c>
      <c r="E392">
        <f>INDEX(FactorTable!$B$2:$Y$301, MATCH(ROUND(MIN(300,MAX(1,D392)),0), FactorTable!$A$2:$A$301,0), Skills!M6+1)</f>
        <v/>
      </c>
      <c r="F392">
        <f>IF(Skills!N6=TRUE,(Skills!L6/10)*(E392/1000),Skills!L6/10)+Skills!O6</f>
        <v/>
      </c>
      <c r="G392">
        <f>Skills!G6*IF(Skills!H6&gt;0,Skills!I6/Skills!H6,1)</f>
        <v/>
      </c>
      <c r="H392">
        <f>1-(1-Skills!J6/100)^Skills!K6</f>
        <v/>
      </c>
      <c r="I392" t="inlineStr">
        <is>
          <t>1</t>
        </is>
      </c>
      <c r="J392">
        <f>((Inputs!$B$6*(1+Inputs!$B$7/100))+(((Inputs!$B$12*(1+Inputs!$B$13/100))-(Inputs!$B$12*(1+Inputs!$B$13/100)))+0.25*(Inputs!$B$14-Inputs!$B$14))*(1+Inputs!$B$7/100))*(F392/100)</f>
        <v/>
      </c>
      <c r="K392">
        <f>J392*(1+((Inputs!$B$12*(1+Inputs!$B$13/100))*0.01+Inputs!$B$14*0.0025)/100)*(1+Inputs!$B$15/100)*(1+Inputs!$B$16/100)*(5000/(6000+Inputs!$B$42*(1-(100*(1-(1-(Inputs!$B$19+0)/100)*(1-CHOOSE(ArtifactsInput!$N$40+1,5,6,7,8,9,10)/100)^(ArtifactsInput!$M$40-ArtifactsInput!$M$40)))/100)))*(1+(((((1+(Inputs!$B$24+Summary!$B$21)/100)*(1.01))-1)*100-(Summary!$B$21))+((C410=TRUE)*(F410-Calc!F24))+((C411=TRUE)*(F411-Calc!F25))+B424)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394=TRUE,F394,0)/100)*(1+(IF(Skills!A6="EMPOWERED_PIERCING_ARROW",Inputs!$B$17+((C408=TRUE)*(F408-Calc!F22))+(((IF(AND(ArtifactsInput!$M$42,((Inputs!$B$9+((C405=TRUE)*(F405-Calc!F19))+B418+(ArtifactsInput!$M$24-ArtifactsInput!$M$24)*CHOOSE(ArtifactsInput!$N$24+1,10,12,14,16,18,20)+IF(ArtifactsInput!$M$10,CHOOSE(ArtifactsInput!$N$10+1,15,18,21,24,27,30)*(IF(Inputs!$B$38="pvp",MIN(15,15)/15,IF(AND(Inputs!$B$38&lt;&gt;"pvp",Inputs!$B$43&gt;0),MIN(15,Inputs!$B$43)/(Inputs!$B$43),0))),0)))&gt;=100),MIN(100,((Inputs!$B$9+((C405=TRUE)*(F405-Calc!F19))+B418+(ArtifactsInput!$M$24-ArtifactsInput!$M$24)*CHOOSE(ArtifactsInput!$N$24+1,10,12,14,16,18,20)+IF(ArtifactsInput!$M$10,CHOOSE(ArtifactsInput!$N$10+1,15,18,21,24,27,30)*(IF(Inputs!$B$38="pvp",MIN(15,15)/15,IF(AND(Inputs!$B$38&lt;&gt;"pvp",Inputs!$B$43&gt;0),MIN(15,Inputs!$B$43)/(Inputs!$B$43),0))),0)))-100),0))*CHOOSE(ArtifactsInput!$N$42+1,0.6,0.72,0.84,0.96,1.08,1.2))),Inputs!$B$18+((C413=TRUE)*(F413-Calc!F27))+(IF(AND(ArtifactsInput!$M$42,((Inputs!$B$9+((C405=TRUE)*(F405-Calc!F19))+B418+(ArtifactsInput!$M$24-ArtifactsInput!$M$24)*CHOOSE(ArtifactsInput!$N$24+1,10,12,14,16,18,20)+IF(ArtifactsInput!$M$10,CHOOSE(ArtifactsInput!$N$10+1,15,18,21,24,27,30)*(IF(Inputs!$B$38="pvp",MIN(15,15)/15,IF(AND(Inputs!$B$38&lt;&gt;"pvp",Inputs!$B$43&gt;0),MIN(15,Inputs!$B$43)/(Inputs!$B$43),0))),0)))&gt;=100),CHOOSE(ArtifactsInput!$N$42+1,40,48,56,64,72,80),0))))/100)*((1+(((C399=TRUE)*F399)+((C400=TRUE)*IF(Inputs!$B$38="pvp",F400,(1-Summary!$B$11)*(F400)+Summary!$B$11*(0)))+((C401=TRUE)*F401*IF(AND(Inputs!$B$38&lt;&gt;"pvp",Inputs!$B$43&gt;0),(((R401-1)*(Skills!T15*(1+Inputs!$B$34/100))+MIN((Skills!T15*(1+Inputs!$B$34/100)),MAX(0,Inputs!$B$43-((R401-1)*Skills!D15))))/Inputs!$B$43),IF(Inputs!$B$38="pvp",MIN((Skills!T15*(1+Inputs!$B$34/100)),15)/15,(Skills!T15*(1+Inputs!$B$34/100))/Skills!D15)))+((C398=TRUE)*F398)+((C415=TRUE)*(F415-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392)</f>
        <v/>
      </c>
      <c r="L392">
        <f>K392*(MIN(Inputs!$B$22+((C409=TRUE)*(F409-Calc!F23)),(Inputs!$B$23+((C414=TRUE)*(F414-Calc!F28))+(IF(ArtifactsInput!$M$15,CHOOSE(ArtifactsInput!$N$15+1,25,30,35,40,45,50)/100*(Inputs!$B$11-Inputs!$B$11),0))))/100+(Inputs!$B$23+((C414=TRUE)*(F414-Calc!F28))+(IF(ArtifactsInput!$M$15,CHOOSE(ArtifactsInput!$N$15+1,25,30,35,40,45,50)/100*(Inputs!$B$11-Inputs!$B$11),0)))/100)/2</f>
        <v/>
      </c>
      <c r="M392">
        <f>L392*(1+(Inputs!$B$10+0+B423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92">
        <f>L392*(1-MIN((Inputs!$B$9+((C405=TRUE)*(F405-Calc!F19))+B418+(ArtifactsInput!$M$24-ArtifactsInput!$M$24)*CHOOSE(ArtifactsInput!$N$24+1,10,12,14,16,18,20)+(IF(AND(ArtifactsInput!$M$42,((Inputs!$B$9+((C405=TRUE)*(F405-Calc!F19))+B418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392*(MIN((Inputs!$B$9+((C405=TRUE)*(F405-Calc!F19))+B418+(ArtifactsInput!$M$24-ArtifactsInput!$M$24)*CHOOSE(ArtifactsInput!$N$24+1,10,12,14,16,18,20)+(IF(AND(ArtifactsInput!$M$42,((Inputs!$B$9+((C405=TRUE)*(F405-Calc!F19))+B418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92">
        <f>(1-Summary!$B$11)*T392+Summary!$B$11*V392</f>
        <v/>
      </c>
      <c r="P392">
        <f>IF(B428=0,0,O392/B428)</f>
        <v/>
      </c>
      <c r="Q392">
        <f>IFERROR(1/IF(Inputs!$B$38="pvp",15,MAX(0.1,Skills!D6-IF(Skills!E6=TRUE,Inputs!$B$32,0))),0)</f>
        <v/>
      </c>
      <c r="R392">
        <f>IF(AND(Inputs!$B$38&lt;&gt;"pvp",Inputs!$B$43&gt;0),IF(MAX(0,Inputs!$B$43-B425)&lt;=0,0,(INT(MAX(0,Inputs!$B$43-B425)/IF(Inputs!$B$38="pvp",15,MAX(0.1,Skills!D6-IF(Skills!E6=TRUE,Inputs!$B$32,0))))+1)),0)</f>
        <v/>
      </c>
      <c r="S392">
        <f>IFERROR((H392*N392*IF(AND(Inputs!$B$38&lt;&gt;"pvp",Inputs!$B$43&gt;0),((Skills!G6*((R392-1)*IF(Skills!H6&gt;0,Skills!I6/Skills!H6,1)+IF(Skills!H6&gt;0,MIN(Skills!I6,MAX(0,MAX(0,Inputs!$B$43-B425)-((R392-1)*IF(Inputs!$B$38="pvp",15,MAX(0.1,Skills!D6-IF(Skills!E6=TRUE,Inputs!$B$32,0))))))/Skills!H6,1)))/Inputs!$B$43),G392*Q392))/N392*IF(Inputs!$B$38="pvp",1,(1-Summary!$B$11)*1+Summary!$B$11*(MIN(Skills!R6,Inputs!$B$37))),0)</f>
        <v/>
      </c>
      <c r="T392">
        <f>IF(C392,(H392*N392*IF(AND(Inputs!$B$38&lt;&gt;"pvp",Inputs!$B$43&gt;0),((Skills!G6*((R392-1)*IF(Skills!H6&gt;0,Skills!I6/Skills!H6,1)+IF(Skills!H6&gt;0,MIN(Skills!I6,MAX(0,MAX(0,Inputs!$B$43-B425)-((R392-1)*IF(Inputs!$B$38="pvp",15,MAX(0.1,Skills!D6-IF(Skills!E6=TRUE,Inputs!$B$32,0))))))/Skills!H6,1)))/Inputs!$B$43),G392*Q392))*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Hunt"),CHOOSE(ArtifactsInput!$N$35+1,15,18,21,24,27,30)*(1-EXP(-(0.2*B420)*5)),0)+IF(AND(ArtifactsInput!$M$22,Inputs!$B$4&lt;&gt;"Chapter Hunt"),CHOOSE(ArtifactsInput!$N$22+1,10,12,14,16,18,20)*((0*(((0.15*B420*5))^0/1)+1*(((0.15*B420*5))^1/1)+2*(((0.15*B420*5))^2/2)+3*(((0.15*B420*5))^3/6)+4*(((0.15*B420*5))^4/24)+5*(((0.15*B420*5))^5/120))/((((0.15*B420*5))^0/1)+(((0.15*B420*5))^1/1)+(((0.15*B420*5))^2/2)+(((0.15*B420*5))^3/6)+(((0.15*B420*5))^4/24)+(((0.15*B420*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392*(1-MIN(100,(Inputs!$B$9+((C405=TRUE)*(F405-Calc!F19))+B418+(ArtifactsInput!$M$24-ArtifactsInput!$M$24)*CHOOSE(ArtifactsInput!$N$24+1,10,12,14,16,18,20)+(IF(AND(ArtifactsInput!$M$42,((Inputs!$B$9+((C405=TRUE)*(F405-Calc!F19))+B418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392*(MIN(100,(Inputs!$B$9+((C405=TRUE)*(F405-Calc!F19))+B418+(ArtifactsInput!$M$24-ArtifactsInput!$M$24)*CHOOSE(ArtifactsInput!$N$24+1,10,12,14,16,18,20)+(IF(AND(ArtifactsInput!$M$42,((Inputs!$B$9+((C405=TRUE)*(F405-Calc!F19))+B418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392*(1-MIN(100,(Inputs!$B$9+((C405=TRUE)*(F405-Calc!F19))+B418+(ArtifactsInput!$M$24-ArtifactsInput!$M$24)*CHOOSE(ArtifactsInput!$N$24+1,10,12,14,16,18,20)+(IF(AND(ArtifactsInput!$M$42,((Inputs!$B$9+((C405=TRUE)*(F405-Calc!F19))+B418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392*(MIN(100,(Inputs!$B$9+((C405=TRUE)*(F405-Calc!F19))+B418+(ArtifactsInput!$M$24-ArtifactsInput!$M$24)*CHOOSE(ArtifactsInput!$N$24+1,10,12,14,16,18,20)+(IF(AND(ArtifactsInput!$M$42,((Inputs!$B$9+((C405=TRUE)*(F405-Calc!F19))+B418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92">
        <f>IF(C392,(H392*N392*IF(AND(Inputs!$B$38&lt;&gt;"pvp",Inputs!$B$43&gt;0),((Skills!G6*((R392-1)*IF(Skills!H6&gt;0,Skills!I6/Skills!H6,1)+IF(Skills!H6&gt;0,MIN(Skills!I6,MAX(0,MAX(0,Inputs!$B$43-B425)-((R392-1)*IF(Inputs!$B$38="pvp",15,MAX(0.1,Skills!D6-IF(Skills!E6=TRUE,Inputs!$B$32,0))))))/Skills!H6,1)))/Inputs!$B$43),G392*Q392))*IF(Inputs!$B$38="pvp",1,(1+(Inputs!$B$21+Skills!Q6+(IF(ArtifactsInput!$M$33,CHOOSE(ArtifactsInput!$N$33+1,30,36,42,48,54,60),0))+(IF(AND(ArtifactsInput!$M$35,Inputs!$B$4&lt;&gt;"Chapter Hunt"),CHOOSE(ArtifactsInput!$N$35+1,15,18,21,24,27,30)*(1-EXP(-(0.2*B420)*5)),0)+IF(AND(ArtifactsInput!$M$22,Inputs!$B$4&lt;&gt;"Chapter Hunt"),CHOOSE(ArtifactsInput!$N$22+1,10,12,14,16,18,20)*((0*(((0.15*B420*5))^0/1)+1*(((0.15*B420*5))^1/1)+2*(((0.15*B420*5))^2/2)+3*(((0.15*B420*5))^3/6)+4*(((0.15*B420*5))^4/24)+5*(((0.15*B420*5))^5/120))/((((0.15*B420*5))^0/1)+(((0.15*B420*5))^1/1)+(((0.15*B420*5))^2/2)+(((0.15*B420*5))^3/6)+(((0.15*B420*5))^4/24)+(((0.15*B420*5))^5/120))),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93">
      <c r="A393">
        <f>Skills!A7</f>
        <v/>
      </c>
      <c r="B393">
        <f>Skills!B7</f>
        <v/>
      </c>
      <c r="C393">
        <f>Inputs!$B$3&gt;=69</f>
        <v/>
      </c>
      <c r="D393">
        <f>IF(Skills!C7=1,60+Inputs!$B$25+Inputs!$B$29,IF(Skills!C7=2,90+Inputs!$B$26+Inputs!$B$29,IF(Skills!C7=3,120+Inputs!$B$27+Inputs!$B$29,MAX(0,(Inputs!$B$3-100)*3)+Inputs!$B$28+Inputs!$B$29)))</f>
        <v/>
      </c>
      <c r="E393">
        <f>INDEX(FactorTable!$B$2:$Y$301, MATCH(ROUND(MIN(300,MAX(1,D393)),0), FactorTable!$A$2:$A$301,0), Skills!M7+1)</f>
        <v/>
      </c>
      <c r="F393">
        <f>IF(Skills!N7=TRUE,(Skills!L7/10)*(E393/1000),Skills!L7/10)+Skills!O7</f>
        <v/>
      </c>
      <c r="G393">
        <f>Skills!G7*IF(Skills!H7&gt;0,Skills!I7/Skills!H7,1)</f>
        <v/>
      </c>
      <c r="H393">
        <f>1-(1-Skills!J7/100)^Skills!K7</f>
        <v/>
      </c>
      <c r="I393" t="inlineStr">
        <is>
          <t>1</t>
        </is>
      </c>
      <c r="J393">
        <f>((Inputs!$B$6*(1+Inputs!$B$7/100))+(((Inputs!$B$12*(1+Inputs!$B$13/100))-(Inputs!$B$12*(1+Inputs!$B$13/100)))+0.25*(Inputs!$B$14-Inputs!$B$14))*(1+Inputs!$B$7/100))*(F393/100)</f>
        <v/>
      </c>
      <c r="K393">
        <f>J393*(1+((Inputs!$B$12*(1+Inputs!$B$13/100))*0.01+Inputs!$B$14*0.0025)/100)*(1+Inputs!$B$15/100)*(1+Inputs!$B$16/100)*(5000/(6000+Inputs!$B$42*(1-(100*(1-(1-(Inputs!$B$19+0)/100)*(1-CHOOSE(ArtifactsInput!$N$40+1,5,6,7,8,9,10)/100)^(ArtifactsInput!$M$40-ArtifactsInput!$M$40)))/100)))*(1+(((((1+(Inputs!$B$24+Summary!$B$21)/100)*(1.01))-1)*100-(Summary!$B$21))+((C410=TRUE)*(F410-Calc!F24))+((C411=TRUE)*(F411-Calc!F25))+B424)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+1.2*IF(C394=TRUE,F394,0)/100)*(1+(IF(Skills!A7="EMPOWERED_PIERCING_ARROW",Inputs!$B$17+((C408=TRUE)*(F408-Calc!F22))+(((IF(AND(ArtifactsInput!$M$42,((Inputs!$B$9+((C405=TRUE)*(F405-Calc!F19))+B418+(ArtifactsInput!$M$24-ArtifactsInput!$M$24)*CHOOSE(ArtifactsInput!$N$24+1,10,12,14,16,18,20)+IF(ArtifactsInput!$M$10,CHOOSE(ArtifactsInput!$N$10+1,15,18,21,24,27,30)*(IF(Inputs!$B$38="pvp",MIN(15,15)/15,IF(AND(Inputs!$B$38&lt;&gt;"pvp",Inputs!$B$43&gt;0),MIN(15,Inputs!$B$43)/(Inputs!$B$43),0))),0)))&gt;=100),MIN(100,((Inputs!$B$9+((C405=TRUE)*(F405-Calc!F19))+B418+(ArtifactsInput!$M$24-ArtifactsInput!$M$24)*CHOOSE(ArtifactsInput!$N$24+1,10,12,14,16,18,20)+IF(ArtifactsInput!$M$10,CHOOSE(ArtifactsInput!$N$10+1,15,18,21,24,27,30)*(IF(Inputs!$B$38="pvp",MIN(15,15)/15,IF(AND(Inputs!$B$38&lt;&gt;"pvp",Inputs!$B$43&gt;0),MIN(15,Inputs!$B$43)/(Inputs!$B$43),0))),0)))-100),0))*CHOOSE(ArtifactsInput!$N$42+1,0.6,0.72,0.84,0.96,1.08,1.2))),Inputs!$B$18+((C413=TRUE)*(F413-Calc!F27))+(IF(AND(ArtifactsInput!$M$42,((Inputs!$B$9+((C405=TRUE)*(F405-Calc!F19))+B418+(ArtifactsInput!$M$24-ArtifactsInput!$M$24)*CHOOSE(ArtifactsInput!$N$24+1,10,12,14,16,18,20)+IF(ArtifactsInput!$M$10,CHOOSE(ArtifactsInput!$N$10+1,15,18,21,24,27,30)*(IF(Inputs!$B$38="pvp",MIN(15,15)/15,IF(AND(Inputs!$B$38&lt;&gt;"pvp",Inputs!$B$43&gt;0),MIN(15,Inputs!$B$43)/(Inputs!$B$43),0))),0)))&gt;=100),CHOOSE(ArtifactsInput!$N$42+1,40,48,56,64,72,80),0))))/100)*((1+(((C399=TRUE)*F399)+((C400=TRUE)*IF(Inputs!$B$38="pvp",F400,(1-Summary!$B$11)*(F400)+Summary!$B$11*(0)))+((C401=TRUE)*F401*IF(AND(Inputs!$B$38&lt;&gt;"pvp",Inputs!$B$43&gt;0),(((R401-1)*(Skills!T15*(1+Inputs!$B$34/100))+MIN((Skills!T15*(1+Inputs!$B$34/100)),MAX(0,Inputs!$B$43-((R401-1)*Skills!D15))))/Inputs!$B$43),IF(Inputs!$B$38="pvp",MIN((Skills!T15*(1+Inputs!$B$34/100)),15)/15,(Skills!T15*(1+Inputs!$B$34/100))/Skills!D15)))+((C398=TRUE)*F398)+((C415=TRUE)*(F415-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393)</f>
        <v/>
      </c>
      <c r="L393">
        <f>K393*(MIN(Inputs!$B$22+((C409=TRUE)*(F409-Calc!F23)),(Inputs!$B$23+((C414=TRUE)*(F414-Calc!F28))+(IF(ArtifactsInput!$M$15,CHOOSE(ArtifactsInput!$N$15+1,25,30,35,40,45,50)/100*(Inputs!$B$11-Inputs!$B$11),0))))/100+(Inputs!$B$23+((C414=TRUE)*(F414-Calc!F28))+(IF(ArtifactsInput!$M$15,CHOOSE(ArtifactsInput!$N$15+1,25,30,35,40,45,50)/100*(Inputs!$B$11-Inputs!$B$11),0)))/100)/2</f>
        <v/>
      </c>
      <c r="M393">
        <f>L393*(1+(Inputs!$B$10+0+B423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93">
        <f>L393*(1-MIN((Inputs!$B$9+((C405=TRUE)*(F405-Calc!F19))+B418+(ArtifactsInput!$M$24-ArtifactsInput!$M$24)*CHOOSE(ArtifactsInput!$N$24+1,10,12,14,16,18,20)+(IF(AND(ArtifactsInput!$M$42,((Inputs!$B$9+((C405=TRUE)*(F405-Calc!F19))+B418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393*(MIN((Inputs!$B$9+((C405=TRUE)*(F405-Calc!F19))+B418+(ArtifactsInput!$M$24-ArtifactsInput!$M$24)*CHOOSE(ArtifactsInput!$N$24+1,10,12,14,16,18,20)+(IF(AND(ArtifactsInput!$M$42,((Inputs!$B$9+((C405=TRUE)*(F405-Calc!F19))+B418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93">
        <f>(1-Summary!$B$11)*T393+Summary!$B$11*V393</f>
        <v/>
      </c>
      <c r="P393">
        <f>IF(B428=0,0,O393/B428)</f>
        <v/>
      </c>
      <c r="Q393">
        <f>IFERROR(1/IF(Inputs!$B$38="pvp",15,MAX(0.1,Skills!D7-IF(Skills!E7=TRUE,Inputs!$B$32,0))),0)</f>
        <v/>
      </c>
      <c r="R393">
        <f>IF(AND(Inputs!$B$38&lt;&gt;"pvp",Inputs!$B$43&gt;0),IF(MAX(0,Inputs!$B$43-B425)&lt;=0,0,(INT(MAX(0,Inputs!$B$43-B425)/IF(Inputs!$B$38="pvp",15,MAX(0.1,Skills!D7-IF(Skills!E7=TRUE,Inputs!$B$32,0))))+1)),0)</f>
        <v/>
      </c>
      <c r="S393">
        <f>IFERROR((H393*N393*IF(AND(Inputs!$B$38&lt;&gt;"pvp",Inputs!$B$43&gt;0),((Skills!G7*((R393-1)*IF(Skills!H7&gt;0,Skills!I7/Skills!H7,1)+IF(Skills!H7&gt;0,MIN(Skills!I7,MAX(0,MAX(0,Inputs!$B$43-B425)-((R393-1)*IF(Inputs!$B$38="pvp",15,MAX(0.1,Skills!D7-IF(Skills!E7=TRUE,Inputs!$B$32,0))))))/Skills!H7,1)))/Inputs!$B$43),G393*Q393))/N393*IF(Inputs!$B$38="pvp",1,(1-Summary!$B$11)*1+Summary!$B$11*(MIN(Skills!R7,Inputs!$B$37))),0)</f>
        <v/>
      </c>
      <c r="T393">
        <f>IF(C393,(H393*N393*IF(AND(Inputs!$B$38&lt;&gt;"pvp",Inputs!$B$43&gt;0),((Skills!G7*((R393-1)*IF(Skills!H7&gt;0,Skills!I7/Skills!H7,1)+IF(Skills!H7&gt;0,MIN(Skills!I7,MAX(0,MAX(0,Inputs!$B$43-B425)-((R393-1)*IF(Inputs!$B$38="pvp",15,MAX(0.1,Skills!D7-IF(Skills!E7=TRUE,Inputs!$B$32,0))))))/Skills!H7,1)))/Inputs!$B$43),G393*Q393))*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Hunt"),CHOOSE(ArtifactsInput!$N$35+1,15,18,21,24,27,30)*(1-EXP(-(0.2*B420)*5)),0)+IF(AND(ArtifactsInput!$M$22,Inputs!$B$4&lt;&gt;"Chapter Hunt"),CHOOSE(ArtifactsInput!$N$22+1,10,12,14,16,18,20)*((0*(((0.15*B420*5))^0/1)+1*(((0.15*B420*5))^1/1)+2*(((0.15*B420*5))^2/2)+3*(((0.15*B420*5))^3/6)+4*(((0.15*B420*5))^4/24)+5*(((0.15*B420*5))^5/120))/((((0.15*B420*5))^0/1)+(((0.15*B420*5))^1/1)+(((0.15*B420*5))^2/2)+(((0.15*B420*5))^3/6)+(((0.15*B420*5))^4/24)+(((0.15*B420*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393*(1-MIN(100,(Inputs!$B$9+((C405=TRUE)*(F405-Calc!F19))+B418+(ArtifactsInput!$M$24-ArtifactsInput!$M$24)*CHOOSE(ArtifactsInput!$N$24+1,10,12,14,16,18,20)+(IF(AND(ArtifactsInput!$M$42,((Inputs!$B$9+((C405=TRUE)*(F405-Calc!F19))+B418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393*(MIN(100,(Inputs!$B$9+((C405=TRUE)*(F405-Calc!F19))+B418+(ArtifactsInput!$M$24-ArtifactsInput!$M$24)*CHOOSE(ArtifactsInput!$N$24+1,10,12,14,16,18,20)+(IF(AND(ArtifactsInput!$M$42,((Inputs!$B$9+((C405=TRUE)*(F405-Calc!F19))+B418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393*(1-MIN(100,(Inputs!$B$9+((C405=TRUE)*(F405-Calc!F19))+B418+(ArtifactsInput!$M$24-ArtifactsInput!$M$24)*CHOOSE(ArtifactsInput!$N$24+1,10,12,14,16,18,20)+(IF(AND(ArtifactsInput!$M$42,((Inputs!$B$9+((C405=TRUE)*(F405-Calc!F19))+B418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393*(MIN(100,(Inputs!$B$9+((C405=TRUE)*(F405-Calc!F19))+B418+(ArtifactsInput!$M$24-ArtifactsInput!$M$24)*CHOOSE(ArtifactsInput!$N$24+1,10,12,14,16,18,20)+(IF(AND(ArtifactsInput!$M$42,((Inputs!$B$9+((C405=TRUE)*(F405-Calc!F19))+B418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93">
        <f>IF(C393,(H393*N393*IF(AND(Inputs!$B$38&lt;&gt;"pvp",Inputs!$B$43&gt;0),((Skills!G7*((R393-1)*IF(Skills!H7&gt;0,Skills!I7/Skills!H7,1)+IF(Skills!H7&gt;0,MIN(Skills!I7,MAX(0,MAX(0,Inputs!$B$43-B425)-((R393-1)*IF(Inputs!$B$38="pvp",15,MAX(0.1,Skills!D7-IF(Skills!E7=TRUE,Inputs!$B$32,0))))))/Skills!H7,1)))/Inputs!$B$43),G393*Q393))*IF(Inputs!$B$38="pvp",1,(1+(Inputs!$B$21+Skills!Q7+(IF(ArtifactsInput!$M$33,CHOOSE(ArtifactsInput!$N$33+1,30,36,42,48,54,60),0))+(IF(AND(ArtifactsInput!$M$35,Inputs!$B$4&lt;&gt;"Chapter Hunt"),CHOOSE(ArtifactsInput!$N$35+1,15,18,21,24,27,30)*(1-EXP(-(0.2*B420)*5)),0)+IF(AND(ArtifactsInput!$M$22,Inputs!$B$4&lt;&gt;"Chapter Hunt"),CHOOSE(ArtifactsInput!$N$22+1,10,12,14,16,18,20)*((0*(((0.15*B420*5))^0/1)+1*(((0.15*B420*5))^1/1)+2*(((0.15*B420*5))^2/2)+3*(((0.15*B420*5))^3/6)+4*(((0.15*B420*5))^4/24)+5*(((0.15*B420*5))^5/120))/((((0.15*B420*5))^0/1)+(((0.15*B420*5))^1/1)+(((0.15*B420*5))^2/2)+(((0.15*B420*5))^3/6)+(((0.15*B420*5))^4/24)+(((0.15*B420*5))^5/120))),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94">
      <c r="A394">
        <f>Skills!A8</f>
        <v/>
      </c>
      <c r="B394">
        <f>Skills!B8</f>
        <v/>
      </c>
      <c r="C394">
        <f>Inputs!$B$3&gt;=100</f>
        <v/>
      </c>
      <c r="D394">
        <f>IF(Skills!C8=1,60+Inputs!$B$25+Inputs!$B$29,IF(Skills!C8=2,90+Inputs!$B$26+Inputs!$B$29,IF(Skills!C8=3,120+Inputs!$B$27+Inputs!$B$29,MAX(0,(Inputs!$B$3-100)*3)+Inputs!$B$28+Inputs!$B$29)))</f>
        <v/>
      </c>
      <c r="E394">
        <f>INDEX(FactorTable!$B$2:$Y$301, MATCH(ROUND(MIN(300,MAX(1,D394)),0), FactorTable!$A$2:$A$301,0), Skills!M8+1)</f>
        <v/>
      </c>
      <c r="F394">
        <f>IF(Skills!N8=TRUE,(Skills!L8/10)*(E394/1000),Skills!L8/10)+Skills!O8</f>
        <v/>
      </c>
      <c r="G394" t="inlineStr"/>
      <c r="H394" t="inlineStr"/>
      <c r="I394" t="inlineStr">
        <is>
          <t>1</t>
        </is>
      </c>
      <c r="J394" t="inlineStr"/>
      <c r="K394" t="inlineStr"/>
      <c r="L394" t="inlineStr"/>
      <c r="M394" t="inlineStr"/>
      <c r="N394" t="inlineStr"/>
      <c r="O394" t="inlineStr"/>
      <c r="P394" t="inlineStr"/>
      <c r="Q394" t="inlineStr"/>
      <c r="R394" t="inlineStr"/>
      <c r="S394" t="inlineStr"/>
      <c r="T394" t="inlineStr"/>
      <c r="V394" t="inlineStr"/>
    </row>
    <row r="395">
      <c r="A395">
        <f>Skills!A9</f>
        <v/>
      </c>
      <c r="B395">
        <f>Skills!B9</f>
        <v/>
      </c>
      <c r="C395">
        <f>Inputs!$B$3&gt;=103</f>
        <v/>
      </c>
      <c r="D395">
        <f>IF(Skills!C9=1,60+Inputs!$B$25+Inputs!$B$29,IF(Skills!C9=2,90+Inputs!$B$26+Inputs!$B$29,IF(Skills!C9=3,120+Inputs!$B$27+Inputs!$B$29,MAX(0,(Inputs!$B$3-100)*3)+Inputs!$B$28+Inputs!$B$29)))</f>
        <v/>
      </c>
      <c r="E395">
        <f>INDEX(FactorTable!$B$2:$Y$301, MATCH(ROUND(MIN(300,MAX(1,D395)),0), FactorTable!$A$2:$A$301,0), Skills!M9+1)</f>
        <v/>
      </c>
      <c r="F395">
        <f>IF(Skills!N9=TRUE,(Skills!L9/10)*(E395/1000),Skills!L9/10)+Skills!O9</f>
        <v/>
      </c>
      <c r="G395">
        <f>Skills!G9*IF(Skills!H9&gt;0,Skills!I9/Skills!H9,1)</f>
        <v/>
      </c>
      <c r="H395">
        <f>1-(1-Skills!J9/100)^Skills!K9</f>
        <v/>
      </c>
      <c r="I395" t="inlineStr">
        <is>
          <t>1</t>
        </is>
      </c>
      <c r="J395">
        <f>((Inputs!$B$6*(1+Inputs!$B$7/100))+(((Inputs!$B$12*(1+Inputs!$B$13/100))-(Inputs!$B$12*(1+Inputs!$B$13/100)))+0.25*(Inputs!$B$14-Inputs!$B$14))*(1+Inputs!$B$7/100))*(F395/100)</f>
        <v/>
      </c>
      <c r="K395">
        <f>J395*(1+((Inputs!$B$12*(1+Inputs!$B$13/100))*0.01+Inputs!$B$14*0.0025)/100)*(1+Inputs!$B$15/100)*(1+Inputs!$B$16/100)*(5000/(6000+Inputs!$B$42*(1-(100*(1-(1-(Inputs!$B$19+0)/100)*(1-CHOOSE(ArtifactsInput!$N$40+1,5,6,7,8,9,10)/100)^(ArtifactsInput!$M$40-ArtifactsInput!$M$40)))/100)))*(1+(((((1+(Inputs!$B$24+Summary!$B$21)/100)*(1.01))-1)*100-(Summary!$B$21))+((C410=TRUE)*(F410-Calc!F24))+((C411=TRUE)*(F411-Calc!F25))+B424)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EMPOWERED_PIERCING_ARROW",Inputs!$B$17+((C408=TRUE)*(F408-Calc!F22))+(((IF(AND(ArtifactsInput!$M$42,((Inputs!$B$9+((C405=TRUE)*(F405-Calc!F19))+B418+(ArtifactsInput!$M$24-ArtifactsInput!$M$24)*CHOOSE(ArtifactsInput!$N$24+1,10,12,14,16,18,20)+IF(ArtifactsInput!$M$10,CHOOSE(ArtifactsInput!$N$10+1,15,18,21,24,27,30)*(IF(Inputs!$B$38="pvp",MIN(15,15)/15,IF(AND(Inputs!$B$38&lt;&gt;"pvp",Inputs!$B$43&gt;0),MIN(15,Inputs!$B$43)/(Inputs!$B$43),0))),0)))&gt;=100),MIN(100,((Inputs!$B$9+((C405=TRUE)*(F405-Calc!F19))+B418+(ArtifactsInput!$M$24-ArtifactsInput!$M$24)*CHOOSE(ArtifactsInput!$N$24+1,10,12,14,16,18,20)+IF(ArtifactsInput!$M$10,CHOOSE(ArtifactsInput!$N$10+1,15,18,21,24,27,30)*(IF(Inputs!$B$38="pvp",MIN(15,15)/15,IF(AND(Inputs!$B$38&lt;&gt;"pvp",Inputs!$B$43&gt;0),MIN(15,Inputs!$B$43)/(Inputs!$B$43),0))),0)))-100),0))*CHOOSE(ArtifactsInput!$N$42+1,0.6,0.72,0.84,0.96,1.08,1.2))),Inputs!$B$18+((C413=TRUE)*(F413-Calc!F27))+(IF(AND(ArtifactsInput!$M$42,((Inputs!$B$9+((C405=TRUE)*(F405-Calc!F19))+B418+(ArtifactsInput!$M$24-ArtifactsInput!$M$24)*CHOOSE(ArtifactsInput!$N$24+1,10,12,14,16,18,20)+IF(ArtifactsInput!$M$10,CHOOSE(ArtifactsInput!$N$10+1,15,18,21,24,27,30)*(IF(Inputs!$B$38="pvp",MIN(15,15)/15,IF(AND(Inputs!$B$38&lt;&gt;"pvp",Inputs!$B$43&gt;0),MIN(15,Inputs!$B$43)/(Inputs!$B$43),0))),0)))&gt;=100),CHOOSE(ArtifactsInput!$N$42+1,40,48,56,64,72,80),0))))/100)*((1+(((C399=TRUE)*F399)+((C400=TRUE)*IF(Inputs!$B$38="pvp",F400,(1-Summary!$B$11)*(F400)+Summary!$B$11*(0)))+((C401=TRUE)*F401*IF(AND(Inputs!$B$38&lt;&gt;"pvp",Inputs!$B$43&gt;0),(((R401-1)*(Skills!T15*(1+Inputs!$B$34/100))+MIN((Skills!T15*(1+Inputs!$B$34/100)),MAX(0,Inputs!$B$43-((R401-1)*Skills!D15))))/Inputs!$B$43),IF(Inputs!$B$38="pvp",MIN((Skills!T15*(1+Inputs!$B$34/100)),15)/15,(Skills!T15*(1+Inputs!$B$34/100))/Skills!D15)))+((C398=TRUE)*F398)+((C415=TRUE)*(F415-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395)</f>
        <v/>
      </c>
      <c r="L395">
        <f>K395*(MIN(Inputs!$B$22+((C409=TRUE)*(F409-Calc!F23)),(Inputs!$B$23+((C414=TRUE)*(F414-Calc!F28))+(IF(ArtifactsInput!$M$15,CHOOSE(ArtifactsInput!$N$15+1,25,30,35,40,45,50)/100*(Inputs!$B$11-Inputs!$B$11),0))))/100+(Inputs!$B$23+((C414=TRUE)*(F414-Calc!F28))+(IF(ArtifactsInput!$M$15,CHOOSE(ArtifactsInput!$N$15+1,25,30,35,40,45,50)/100*(Inputs!$B$11-Inputs!$B$11),0)))/100)/2</f>
        <v/>
      </c>
      <c r="M395">
        <f>L395*(1+(Inputs!$B$10+0+B423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95">
        <f>L395*(1-MIN((Inputs!$B$9+((C405=TRUE)*(F405-Calc!F19))+B418+(ArtifactsInput!$M$24-ArtifactsInput!$M$24)*CHOOSE(ArtifactsInput!$N$24+1,10,12,14,16,18,20)+(IF(AND(ArtifactsInput!$M$42,((Inputs!$B$9+((C405=TRUE)*(F405-Calc!F19))+B418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395*(MIN((Inputs!$B$9+((C405=TRUE)*(F405-Calc!F19))+B418+(ArtifactsInput!$M$24-ArtifactsInput!$M$24)*CHOOSE(ArtifactsInput!$N$24+1,10,12,14,16,18,20)+(IF(AND(ArtifactsInput!$M$42,((Inputs!$B$9+((C405=TRUE)*(F405-Calc!F19))+B418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95">
        <f>(1-Summary!$B$11)*T395+Summary!$B$11*V395</f>
        <v/>
      </c>
      <c r="P395">
        <f>IF(B428=0,0,O395/B428)</f>
        <v/>
      </c>
      <c r="Q395">
        <f>IFERROR(1/IF(Inputs!$B$38="pvp",15,MAX(0.1,Skills!D9-IF(Skills!E9=TRUE,Inputs!$B$32,0))),0)</f>
        <v/>
      </c>
      <c r="R395">
        <f>IF(AND(Inputs!$B$38&lt;&gt;"pvp",Inputs!$B$43&gt;0),IF(MAX(0,Inputs!$B$43-B425)&lt;=0,0,(INT(MAX(0,Inputs!$B$43-B425)/IF(Inputs!$B$38="pvp",15,MAX(0.1,Skills!D9-IF(Skills!E9=TRUE,Inputs!$B$32,0))))+1)),0)</f>
        <v/>
      </c>
      <c r="S395">
        <f>IFERROR((H395*N395*IF(AND(Inputs!$B$38&lt;&gt;"pvp",Inputs!$B$43&gt;0),((Skills!G9*((R395-1)*IF(Skills!H9&gt;0,Skills!I9/Skills!H9,1)+IF(Skills!H9&gt;0,MIN(Skills!I9,MAX(0,MAX(0,Inputs!$B$43-B425)-((R395-1)*IF(Inputs!$B$38="pvp",15,MAX(0.1,Skills!D9-IF(Skills!E9=TRUE,Inputs!$B$32,0))))))/Skills!H9,1)))/Inputs!$B$43),G395*Q395))/N395*IF(Inputs!$B$38="pvp",1,(1-Summary!$B$11)*1+Summary!$B$11*(MIN(Skills!R9,Inputs!$B$37))),0)</f>
        <v/>
      </c>
      <c r="T395">
        <f>IF(C395,(H395*N395*IF(AND(Inputs!$B$38&lt;&gt;"pvp",Inputs!$B$43&gt;0),((Skills!G9*((R395-1)*IF(Skills!H9&gt;0,Skills!I9/Skills!H9,1)+IF(Skills!H9&gt;0,MIN(Skills!I9,MAX(0,MAX(0,Inputs!$B$43-B425)-((R395-1)*IF(Inputs!$B$38="pvp",15,MAX(0.1,Skills!D9-IF(Skills!E9=TRUE,Inputs!$B$32,0))))))/Skills!H9,1)))/Inputs!$B$43),G395*Q395))*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Hunt"),CHOOSE(ArtifactsInput!$N$35+1,15,18,21,24,27,30)*(1-EXP(-(0.2*B420)*5)),0)+IF(AND(ArtifactsInput!$M$22,Inputs!$B$4&lt;&gt;"Chapter Hunt"),CHOOSE(ArtifactsInput!$N$22+1,10,12,14,16,18,20)*((0*(((0.15*B420*5))^0/1)+1*(((0.15*B420*5))^1/1)+2*(((0.15*B420*5))^2/2)+3*(((0.15*B420*5))^3/6)+4*(((0.15*B420*5))^4/24)+5*(((0.15*B420*5))^5/120))/((((0.15*B420*5))^0/1)+(((0.15*B420*5))^1/1)+(((0.15*B420*5))^2/2)+(((0.15*B420*5))^3/6)+(((0.15*B420*5))^4/24)+(((0.15*B420*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395*(1-MIN(100,(Inputs!$B$9+((C405=TRUE)*(F405-Calc!F19))+B418+(ArtifactsInput!$M$24-ArtifactsInput!$M$24)*CHOOSE(ArtifactsInput!$N$24+1,10,12,14,16,18,20)+(IF(AND(ArtifactsInput!$M$42,((Inputs!$B$9+((C405=TRUE)*(F405-Calc!F19))+B418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395*(MIN(100,(Inputs!$B$9+((C405=TRUE)*(F405-Calc!F19))+B418+(ArtifactsInput!$M$24-ArtifactsInput!$M$24)*CHOOSE(ArtifactsInput!$N$24+1,10,12,14,16,18,20)+(IF(AND(ArtifactsInput!$M$42,((Inputs!$B$9+((C405=TRUE)*(F405-Calc!F19))+B418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395*(1-MIN(100,(Inputs!$B$9+((C405=TRUE)*(F405-Calc!F19))+B418+(ArtifactsInput!$M$24-ArtifactsInput!$M$24)*CHOOSE(ArtifactsInput!$N$24+1,10,12,14,16,18,20)+(IF(AND(ArtifactsInput!$M$42,((Inputs!$B$9+((C405=TRUE)*(F405-Calc!F19))+B418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395*(MIN(100,(Inputs!$B$9+((C405=TRUE)*(F405-Calc!F19))+B418+(ArtifactsInput!$M$24-ArtifactsInput!$M$24)*CHOOSE(ArtifactsInput!$N$24+1,10,12,14,16,18,20)+(IF(AND(ArtifactsInput!$M$42,((Inputs!$B$9+((C405=TRUE)*(F405-Calc!F19))+B418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95">
        <f>IF(C395,(H395*N395*IF(AND(Inputs!$B$38&lt;&gt;"pvp",Inputs!$B$43&gt;0),((Skills!G9*((R395-1)*IF(Skills!H9&gt;0,Skills!I9/Skills!H9,1)+IF(Skills!H9&gt;0,MIN(Skills!I9,MAX(0,MAX(0,Inputs!$B$43-B425)-((R395-1)*IF(Inputs!$B$38="pvp",15,MAX(0.1,Skills!D9-IF(Skills!E9=TRUE,Inputs!$B$32,0))))))/Skills!H9,1)))/Inputs!$B$43),G395*Q395))*IF(Inputs!$B$38="pvp",1,(1+(Inputs!$B$21+Skills!Q9+(IF(ArtifactsInput!$M$33,CHOOSE(ArtifactsInput!$N$33+1,30,36,42,48,54,60),0))+(IF(AND(ArtifactsInput!$M$35,Inputs!$B$4&lt;&gt;"Chapter Hunt"),CHOOSE(ArtifactsInput!$N$35+1,15,18,21,24,27,30)*(1-EXP(-(0.2*B420)*5)),0)+IF(AND(ArtifactsInput!$M$22,Inputs!$B$4&lt;&gt;"Chapter Hunt"),CHOOSE(ArtifactsInput!$N$22+1,10,12,14,16,18,20)*((0*(((0.15*B420*5))^0/1)+1*(((0.15*B420*5))^1/1)+2*(((0.15*B420*5))^2/2)+3*(((0.15*B420*5))^3/6)+4*(((0.15*B420*5))^4/24)+5*(((0.15*B420*5))^5/120))/((((0.15*B420*5))^0/1)+(((0.15*B420*5))^1/1)+(((0.15*B420*5))^2/2)+(((0.15*B420*5))^3/6)+(((0.15*B420*5))^4/24)+(((0.15*B420*5))^5/120)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96">
      <c r="A396">
        <f>Skills!A10</f>
        <v/>
      </c>
      <c r="B396">
        <f>Skills!B10</f>
        <v/>
      </c>
      <c r="C396">
        <f>Inputs!$B$3&gt;=107</f>
        <v/>
      </c>
      <c r="D396">
        <f>IF(Skills!C10=1,60+Inputs!$B$25+Inputs!$B$29,IF(Skills!C10=2,90+Inputs!$B$26+Inputs!$B$29,IF(Skills!C10=3,120+Inputs!$B$27+Inputs!$B$29,MAX(0,(Inputs!$B$3-100)*3)+Inputs!$B$28+Inputs!$B$29)))</f>
        <v/>
      </c>
      <c r="E396">
        <f>INDEX(FactorTable!$B$2:$Y$301, MATCH(ROUND(MIN(300,MAX(1,D396)),0), FactorTable!$A$2:$A$301,0), Skills!M10+1)</f>
        <v/>
      </c>
      <c r="F396">
        <f>IF(Skills!N10=TRUE,(Skills!L10/10)*(E396/1000),Skills!L10/10)+Skills!O10</f>
        <v/>
      </c>
      <c r="G396">
        <f>Skills!G10*IF(Skills!H10&gt;0,Skills!I10/Skills!H10,1)</f>
        <v/>
      </c>
      <c r="H396">
        <f>1-(1-Skills!J10/100)^Skills!K10</f>
        <v/>
      </c>
      <c r="I396" t="inlineStr">
        <is>
          <t>1</t>
        </is>
      </c>
      <c r="J396">
        <f>((Inputs!$B$6*(1+Inputs!$B$7/100))+(((Inputs!$B$12*(1+Inputs!$B$13/100))-(Inputs!$B$12*(1+Inputs!$B$13/100)))+0.25*(Inputs!$B$14-Inputs!$B$14))*(1+Inputs!$B$7/100))*(F396/100)</f>
        <v/>
      </c>
      <c r="K396">
        <f>J396*(1+((Inputs!$B$12*(1+Inputs!$B$13/100))*0.01+Inputs!$B$14*0.0025)/100)*(1+Inputs!$B$15/100)*(1+Inputs!$B$16/100)*(5000/(6000+Inputs!$B$42*(1-(100*(1-(1-(Inputs!$B$19+0)/100)*(1-CHOOSE(ArtifactsInput!$N$40+1,5,6,7,8,9,10)/100)^(ArtifactsInput!$M$40-ArtifactsInput!$M$40)))/100)))*(1+(((((1+(Inputs!$B$24+Summary!$B$21)/100)*(1.01))-1)*100-(Summary!$B$21))+((C410=TRUE)*(F410-Calc!F24))+((C411=TRUE)*(F411-Calc!F25))+B424)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EMPOWERED_PIERCING_ARROW",Inputs!$B$17+((C408=TRUE)*(F408-Calc!F22))+(((IF(AND(ArtifactsInput!$M$42,((Inputs!$B$9+((C405=TRUE)*(F405-Calc!F19))+B418+(ArtifactsInput!$M$24-ArtifactsInput!$M$24)*CHOOSE(ArtifactsInput!$N$24+1,10,12,14,16,18,20)+IF(ArtifactsInput!$M$10,CHOOSE(ArtifactsInput!$N$10+1,15,18,21,24,27,30)*(IF(Inputs!$B$38="pvp",MIN(15,15)/15,IF(AND(Inputs!$B$38&lt;&gt;"pvp",Inputs!$B$43&gt;0),MIN(15,Inputs!$B$43)/(Inputs!$B$43),0))),0)))&gt;=100),MIN(100,((Inputs!$B$9+((C405=TRUE)*(F405-Calc!F19))+B418+(ArtifactsInput!$M$24-ArtifactsInput!$M$24)*CHOOSE(ArtifactsInput!$N$24+1,10,12,14,16,18,20)+IF(ArtifactsInput!$M$10,CHOOSE(ArtifactsInput!$N$10+1,15,18,21,24,27,30)*(IF(Inputs!$B$38="pvp",MIN(15,15)/15,IF(AND(Inputs!$B$38&lt;&gt;"pvp",Inputs!$B$43&gt;0),MIN(15,Inputs!$B$43)/(Inputs!$B$43),0))),0)))-100),0))*CHOOSE(ArtifactsInput!$N$42+1,0.6,0.72,0.84,0.96,1.08,1.2))),Inputs!$B$18+((C413=TRUE)*(F413-Calc!F27))+(IF(AND(ArtifactsInput!$M$42,((Inputs!$B$9+((C405=TRUE)*(F405-Calc!F19))+B418+(ArtifactsInput!$M$24-ArtifactsInput!$M$24)*CHOOSE(ArtifactsInput!$N$24+1,10,12,14,16,18,20)+IF(ArtifactsInput!$M$10,CHOOSE(ArtifactsInput!$N$10+1,15,18,21,24,27,30)*(IF(Inputs!$B$38="pvp",MIN(15,15)/15,IF(AND(Inputs!$B$38&lt;&gt;"pvp",Inputs!$B$43&gt;0),MIN(15,Inputs!$B$43)/(Inputs!$B$43),0))),0)))&gt;=100),CHOOSE(ArtifactsInput!$N$42+1,40,48,56,64,72,80),0))))/100)*((1+(((C399=TRUE)*F399)+((C400=TRUE)*IF(Inputs!$B$38="pvp",F400,(1-Summary!$B$11)*(F400)+Summary!$B$11*(0)))+((C401=TRUE)*F401*IF(AND(Inputs!$B$38&lt;&gt;"pvp",Inputs!$B$43&gt;0),(((R401-1)*(Skills!T15*(1+Inputs!$B$34/100))+MIN((Skills!T15*(1+Inputs!$B$34/100)),MAX(0,Inputs!$B$43-((R401-1)*Skills!D15))))/Inputs!$B$43),IF(Inputs!$B$38="pvp",MIN((Skills!T15*(1+Inputs!$B$34/100)),15)/15,(Skills!T15*(1+Inputs!$B$34/100))/Skills!D15)))+((C398=TRUE)*F398)+((C415=TRUE)*(F415-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396)</f>
        <v/>
      </c>
      <c r="L396">
        <f>K396*(MIN(Inputs!$B$22+((C409=TRUE)*(F409-Calc!F23)),(Inputs!$B$23+((C414=TRUE)*(F414-Calc!F28))+(IF(ArtifactsInput!$M$15,CHOOSE(ArtifactsInput!$N$15+1,25,30,35,40,45,50)/100*(Inputs!$B$11-Inputs!$B$11),0))))/100+(Inputs!$B$23+((C414=TRUE)*(F414-Calc!F28))+(IF(ArtifactsInput!$M$15,CHOOSE(ArtifactsInput!$N$15+1,25,30,35,40,45,50)/100*(Inputs!$B$11-Inputs!$B$11),0)))/100)/2</f>
        <v/>
      </c>
      <c r="M396">
        <f>L396*(1+(Inputs!$B$10+0+B423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96">
        <f>L396*(1-MIN((Inputs!$B$9+((C405=TRUE)*(F405-Calc!F19))+B418+(ArtifactsInput!$M$24-ArtifactsInput!$M$24)*CHOOSE(ArtifactsInput!$N$24+1,10,12,14,16,18,20)+(IF(AND(ArtifactsInput!$M$42,((Inputs!$B$9+((C405=TRUE)*(F405-Calc!F19))+B418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396*(MIN((Inputs!$B$9+((C405=TRUE)*(F405-Calc!F19))+B418+(ArtifactsInput!$M$24-ArtifactsInput!$M$24)*CHOOSE(ArtifactsInput!$N$24+1,10,12,14,16,18,20)+(IF(AND(ArtifactsInput!$M$42,((Inputs!$B$9+((C405=TRUE)*(F405-Calc!F19))+B418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96">
        <f>(1-Summary!$B$11)*T396+Summary!$B$11*V396</f>
        <v/>
      </c>
      <c r="P396">
        <f>IF(B428=0,0,O396/B428)</f>
        <v/>
      </c>
      <c r="Q396" t="n">
        <v>0</v>
      </c>
      <c r="R396" t="n">
        <v>0</v>
      </c>
      <c r="S396" t="n">
        <v>0</v>
      </c>
      <c r="T396">
        <f>IF(C396,(0.15*SUMPRODUCT((Skills!U2:U29=TRUE)*(C388:C415=TRUE)*S388:S415)*Skills!G10*N396)*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Hunt"),CHOOSE(ArtifactsInput!$N$35+1,15,18,21,24,27,30)*(1-EXP(-(0.2*B420)*5)),0)+IF(AND(ArtifactsInput!$M$22,Inputs!$B$4&lt;&gt;"Chapter Hunt"),CHOOSE(ArtifactsInput!$N$22+1,10,12,14,16,18,20)*((0*(((0.15*B420*5))^0/1)+1*(((0.15*B420*5))^1/1)+2*(((0.15*B420*5))^2/2)+3*(((0.15*B420*5))^3/6)+4*(((0.15*B420*5))^4/24)+5*(((0.15*B420*5))^5/120))/((((0.15*B420*5))^0/1)+(((0.15*B420*5))^1/1)+(((0.15*B420*5))^2/2)+(((0.15*B420*5))^3/6)+(((0.15*B420*5))^4/24)+(((0.15*B420*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396*(1-MIN(100,(Inputs!$B$9+((C405=TRUE)*(F405-Calc!F19))+B418+(ArtifactsInput!$M$24-ArtifactsInput!$M$24)*CHOOSE(ArtifactsInput!$N$24+1,10,12,14,16,18,20)+(IF(AND(ArtifactsInput!$M$42,((Inputs!$B$9+((C405=TRUE)*(F405-Calc!F19))+B418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396*(MIN(100,(Inputs!$B$9+((C405=TRUE)*(F405-Calc!F19))+B418+(ArtifactsInput!$M$24-ArtifactsInput!$M$24)*CHOOSE(ArtifactsInput!$N$24+1,10,12,14,16,18,20)+(IF(AND(ArtifactsInput!$M$42,((Inputs!$B$9+((C405=TRUE)*(F405-Calc!F19))+B418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396*(1-MIN(100,(Inputs!$B$9+((C405=TRUE)*(F405-Calc!F19))+B418+(ArtifactsInput!$M$24-ArtifactsInput!$M$24)*CHOOSE(ArtifactsInput!$N$24+1,10,12,14,16,18,20)+(IF(AND(ArtifactsInput!$M$42,((Inputs!$B$9+((C405=TRUE)*(F405-Calc!F19))+B418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396*(MIN(100,(Inputs!$B$9+((C405=TRUE)*(F405-Calc!F19))+B418+(ArtifactsInput!$M$24-ArtifactsInput!$M$24)*CHOOSE(ArtifactsInput!$N$24+1,10,12,14,16,18,20)+(IF(AND(ArtifactsInput!$M$42,((Inputs!$B$9+((C405=TRUE)*(F405-Calc!F19))+B418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96">
        <f>IF(C396,(0.15*SUMPRODUCT((Skills!U2:U29=TRUE)*(C388:C415=TRUE)*S388:S415)*Skills!G10*N396)*IF(Inputs!$B$38="pvp",1,(1+(Inputs!$B$21+Skills!Q10+(IF(ArtifactsInput!$M$33,CHOOSE(ArtifactsInput!$N$33+1,30,36,42,48,54,60),0))+(IF(AND(ArtifactsInput!$M$35,Inputs!$B$4&lt;&gt;"Chapter Hunt"),CHOOSE(ArtifactsInput!$N$35+1,15,18,21,24,27,30)*(1-EXP(-(0.2*B420)*5)),0)+IF(AND(ArtifactsInput!$M$22,Inputs!$B$4&lt;&gt;"Chapter Hunt"),CHOOSE(ArtifactsInput!$N$22+1,10,12,14,16,18,20)*((0*(((0.15*B420*5))^0/1)+1*(((0.15*B420*5))^1/1)+2*(((0.15*B420*5))^2/2)+3*(((0.15*B420*5))^3/6)+4*(((0.15*B420*5))^4/24)+5*(((0.15*B420*5))^5/120))/((((0.15*B420*5))^0/1)+(((0.15*B420*5))^1/1)+(((0.15*B420*5))^2/2)+(((0.15*B420*5))^3/6)+(((0.15*B420*5))^4/24)+(((0.15*B420*5))^5/120)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97">
      <c r="A397">
        <f>Skills!A11</f>
        <v/>
      </c>
      <c r="B397">
        <f>Skills!B11</f>
        <v/>
      </c>
      <c r="C397">
        <f>Inputs!$B$3&gt;=110</f>
        <v/>
      </c>
      <c r="D397">
        <f>IF(Skills!C11=1,60+Inputs!$B$25+Inputs!$B$29,IF(Skills!C11=2,90+Inputs!$B$26+Inputs!$B$29,IF(Skills!C11=3,120+Inputs!$B$27+Inputs!$B$29,MAX(0,(Inputs!$B$3-100)*3)+Inputs!$B$28+Inputs!$B$29)))</f>
        <v/>
      </c>
      <c r="E397">
        <f>INDEX(FactorTable!$B$2:$Y$301, MATCH(ROUND(MIN(300,MAX(1,D397)),0), FactorTable!$A$2:$A$301,0), Skills!M11+1)</f>
        <v/>
      </c>
      <c r="F397">
        <f>IF(Skills!N11=TRUE,(Skills!L11/10)*(E397/1000),Skills!L11/10)+Skills!O11</f>
        <v/>
      </c>
      <c r="G397">
        <f>Skills!G11*IF(Skills!H11&gt;0,Skills!I11/Skills!H11,1)</f>
        <v/>
      </c>
      <c r="H397">
        <f>1-(1-Skills!J11/100)^Skills!K11</f>
        <v/>
      </c>
      <c r="I397" t="inlineStr">
        <is>
          <t>1</t>
        </is>
      </c>
      <c r="J397">
        <f>((Inputs!$B$6*(1+Inputs!$B$7/100))+(((Inputs!$B$12*(1+Inputs!$B$13/100))-(Inputs!$B$12*(1+Inputs!$B$13/100)))+0.25*(Inputs!$B$14-Inputs!$B$14))*(1+Inputs!$B$7/100))*(F397/100)</f>
        <v/>
      </c>
      <c r="K397">
        <f>J397*(1+((Inputs!$B$12*(1+Inputs!$B$13/100))*0.01+Inputs!$B$14*0.0025)/100)*(1+Inputs!$B$15/100)*(1+Inputs!$B$16/100)*(5000/(6000+Inputs!$B$42*(1-(100*(1-(1-(Inputs!$B$19+0)/100)*(1-CHOOSE(ArtifactsInput!$N$40+1,5,6,7,8,9,10)/100)^(ArtifactsInput!$M$40-ArtifactsInput!$M$40)))/100)))*(1+(((((1+(Inputs!$B$24+Summary!$B$21)/100)*(1.01))-1)*100-(Summary!$B$21))+((C410=TRUE)*(F410-Calc!F24))+((C411=TRUE)*(F411-Calc!F25))+B424)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11="EMPOWERED_PIERCING_ARROW",Inputs!$B$17+((C408=TRUE)*(F408-Calc!F22))+(((IF(AND(ArtifactsInput!$M$42,((Inputs!$B$9+((C405=TRUE)*(F405-Calc!F19))+B418+(ArtifactsInput!$M$24-ArtifactsInput!$M$24)*CHOOSE(ArtifactsInput!$N$24+1,10,12,14,16,18,20)+IF(ArtifactsInput!$M$10,CHOOSE(ArtifactsInput!$N$10+1,15,18,21,24,27,30)*(IF(Inputs!$B$38="pvp",MIN(15,15)/15,IF(AND(Inputs!$B$38&lt;&gt;"pvp",Inputs!$B$43&gt;0),MIN(15,Inputs!$B$43)/(Inputs!$B$43),0))),0)))&gt;=100),MIN(100,((Inputs!$B$9+((C405=TRUE)*(F405-Calc!F19))+B418+(ArtifactsInput!$M$24-ArtifactsInput!$M$24)*CHOOSE(ArtifactsInput!$N$24+1,10,12,14,16,18,20)+IF(ArtifactsInput!$M$10,CHOOSE(ArtifactsInput!$N$10+1,15,18,21,24,27,30)*(IF(Inputs!$B$38="pvp",MIN(15,15)/15,IF(AND(Inputs!$B$38&lt;&gt;"pvp",Inputs!$B$43&gt;0),MIN(15,Inputs!$B$43)/(Inputs!$B$43),0))),0)))-100),0))*CHOOSE(ArtifactsInput!$N$42+1,0.6,0.72,0.84,0.96,1.08,1.2))),Inputs!$B$18+((C413=TRUE)*(F413-Calc!F27))+(IF(AND(ArtifactsInput!$M$42,((Inputs!$B$9+((C405=TRUE)*(F405-Calc!F19))+B418+(ArtifactsInput!$M$24-ArtifactsInput!$M$24)*CHOOSE(ArtifactsInput!$N$24+1,10,12,14,16,18,20)+IF(ArtifactsInput!$M$10,CHOOSE(ArtifactsInput!$N$10+1,15,18,21,24,27,30)*(IF(Inputs!$B$38="pvp",MIN(15,15)/15,IF(AND(Inputs!$B$38&lt;&gt;"pvp",Inputs!$B$43&gt;0),MIN(15,Inputs!$B$43)/(Inputs!$B$43),0))),0)))&gt;=100),CHOOSE(ArtifactsInput!$N$42+1,40,48,56,64,72,80),0))))/100)*((1+(((C399=TRUE)*F399)+((C400=TRUE)*IF(Inputs!$B$38="pvp",F400,(1-Summary!$B$11)*(F400)+Summary!$B$11*(0)))+((C401=TRUE)*F401*IF(AND(Inputs!$B$38&lt;&gt;"pvp",Inputs!$B$43&gt;0),(((R401-1)*(Skills!T15*(1+Inputs!$B$34/100))+MIN((Skills!T15*(1+Inputs!$B$34/100)),MAX(0,Inputs!$B$43-((R401-1)*Skills!D15))))/Inputs!$B$43),IF(Inputs!$B$38="pvp",MIN((Skills!T15*(1+Inputs!$B$34/100)),15)/15,(Skills!T15*(1+Inputs!$B$34/100))/Skills!D15)))+((C398=TRUE)*F398)+((C415=TRUE)*(F415-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397)</f>
        <v/>
      </c>
      <c r="L397">
        <f>K397*(MIN(Inputs!$B$22+((C409=TRUE)*(F409-Calc!F23)),(Inputs!$B$23+((C414=TRUE)*(F414-Calc!F28))+(IF(ArtifactsInput!$M$15,CHOOSE(ArtifactsInput!$N$15+1,25,30,35,40,45,50)/100*(Inputs!$B$11-Inputs!$B$11),0))))/100+(Inputs!$B$23+((C414=TRUE)*(F414-Calc!F28))+(IF(ArtifactsInput!$M$15,CHOOSE(ArtifactsInput!$N$15+1,25,30,35,40,45,50)/100*(Inputs!$B$11-Inputs!$B$11),0)))/100)/2</f>
        <v/>
      </c>
      <c r="M397">
        <f>L397*(1+(Inputs!$B$10+0+B423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97">
        <f>L397*(1-MIN((Inputs!$B$9+((C405=TRUE)*(F405-Calc!F19))+B418+(ArtifactsInput!$M$24-ArtifactsInput!$M$24)*CHOOSE(ArtifactsInput!$N$24+1,10,12,14,16,18,20)+(IF(AND(ArtifactsInput!$M$42,((Inputs!$B$9+((C405=TRUE)*(F405-Calc!F19))+B418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397*(MIN((Inputs!$B$9+((C405=TRUE)*(F405-Calc!F19))+B418+(ArtifactsInput!$M$24-ArtifactsInput!$M$24)*CHOOSE(ArtifactsInput!$N$24+1,10,12,14,16,18,20)+(IF(AND(ArtifactsInput!$M$42,((Inputs!$B$9+((C405=TRUE)*(F405-Calc!F19))+B418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97">
        <f>(1-Summary!$B$11)*T397+Summary!$B$11*V397</f>
        <v/>
      </c>
      <c r="P397">
        <f>IF(B428=0,0,O397/B428)</f>
        <v/>
      </c>
      <c r="Q397">
        <f>IFERROR(1/IF(Inputs!$B$38="pvp",15,MAX(0.1,Skills!D11-IF(Skills!E11=TRUE,Inputs!$B$32,0))),0)</f>
        <v/>
      </c>
      <c r="R397">
        <f>IF(AND(Inputs!$B$38&lt;&gt;"pvp",Inputs!$B$43&gt;0),IF(MAX(0,Inputs!$B$43-B425)&lt;=0,0,(INT(MAX(0,Inputs!$B$43-B425)/IF(Inputs!$B$38="pvp",15,MAX(0.1,Skills!D11-IF(Skills!E11=TRUE,Inputs!$B$32,0))))+1)),0)</f>
        <v/>
      </c>
      <c r="S397">
        <f>IFERROR((H397*N397*IF(AND(Inputs!$B$38&lt;&gt;"pvp",Inputs!$B$43&gt;0),((Skills!G11*((R397-1)*IF(Skills!H11&gt;0,Skills!I11/Skills!H11,1)+IF(Skills!H11&gt;0,MIN(Skills!I11,MAX(0,MAX(0,Inputs!$B$43-B425)-((R397-1)*IF(Inputs!$B$38="pvp",15,MAX(0.1,Skills!D11-IF(Skills!E11=TRUE,Inputs!$B$32,0))))))/Skills!H11,1)))/Inputs!$B$43),G397*Q397))/N397*IF(Inputs!$B$38="pvp",1,(1-Summary!$B$11)*1+Summary!$B$11*(MIN(Skills!R11,Inputs!$B$37))),0)</f>
        <v/>
      </c>
      <c r="T397">
        <f>IF(C397,(H397*N397*IF(AND(Inputs!$B$38&lt;&gt;"pvp",Inputs!$B$43&gt;0),((Skills!G11*((R397-1)*IF(Skills!H11&gt;0,Skills!I11/Skills!H11,1)+IF(Skills!H11&gt;0,MIN(Skills!I11,MAX(0,MAX(0,Inputs!$B$43-B425)-((R397-1)*IF(Inputs!$B$38="pvp",15,MAX(0.1,Skills!D11-IF(Skills!E11=TRUE,Inputs!$B$32,0))))))/Skills!H11,1)))/Inputs!$B$43),G397*Q397))*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Hunt"),CHOOSE(ArtifactsInput!$N$35+1,15,18,21,24,27,30)*(1-EXP(-(0.2*B420)*5)),0)+IF(AND(ArtifactsInput!$M$22,Inputs!$B$4&lt;&gt;"Chapter Hunt"),CHOOSE(ArtifactsInput!$N$22+1,10,12,14,16,18,20)*((0*(((0.15*B420*5))^0/1)+1*(((0.15*B420*5))^1/1)+2*(((0.15*B420*5))^2/2)+3*(((0.15*B420*5))^3/6)+4*(((0.15*B420*5))^4/24)+5*(((0.15*B420*5))^5/120))/((((0.15*B420*5))^0/1)+(((0.15*B420*5))^1/1)+(((0.15*B420*5))^2/2)+(((0.15*B420*5))^3/6)+(((0.15*B420*5))^4/24)+(((0.15*B420*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397*(1-MIN(100,(Inputs!$B$9+((C405=TRUE)*(F405-Calc!F19))+B418+(ArtifactsInput!$M$24-ArtifactsInput!$M$24)*CHOOSE(ArtifactsInput!$N$24+1,10,12,14,16,18,20)+(IF(AND(ArtifactsInput!$M$42,((Inputs!$B$9+((C405=TRUE)*(F405-Calc!F19))+B418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397*(MIN(100,(Inputs!$B$9+((C405=TRUE)*(F405-Calc!F19))+B418+(ArtifactsInput!$M$24-ArtifactsInput!$M$24)*CHOOSE(ArtifactsInput!$N$24+1,10,12,14,16,18,20)+(IF(AND(ArtifactsInput!$M$42,((Inputs!$B$9+((C405=TRUE)*(F405-Calc!F19))+B418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397*(1-MIN(100,(Inputs!$B$9+((C405=TRUE)*(F405-Calc!F19))+B418+(ArtifactsInput!$M$24-ArtifactsInput!$M$24)*CHOOSE(ArtifactsInput!$N$24+1,10,12,14,16,18,20)+(IF(AND(ArtifactsInput!$M$42,((Inputs!$B$9+((C405=TRUE)*(F405-Calc!F19))+B418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397*(MIN(100,(Inputs!$B$9+((C405=TRUE)*(F405-Calc!F19))+B418+(ArtifactsInput!$M$24-ArtifactsInput!$M$24)*CHOOSE(ArtifactsInput!$N$24+1,10,12,14,16,18,20)+(IF(AND(ArtifactsInput!$M$42,((Inputs!$B$9+((C405=TRUE)*(F405-Calc!F19))+B418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97">
        <f>IF(C397,(H397*N397*IF(AND(Inputs!$B$38&lt;&gt;"pvp",Inputs!$B$43&gt;0),((Skills!G11*((R397-1)*IF(Skills!H11&gt;0,Skills!I11/Skills!H11,1)+IF(Skills!H11&gt;0,MIN(Skills!I11,MAX(0,MAX(0,Inputs!$B$43-B425)-((R397-1)*IF(Inputs!$B$38="pvp",15,MAX(0.1,Skills!D11-IF(Skills!E11=TRUE,Inputs!$B$32,0))))))/Skills!H11,1)))/Inputs!$B$43),G397*Q397))*IF(Inputs!$B$38="pvp",1,(1+(Inputs!$B$21+Skills!Q11+(IF(ArtifactsInput!$M$33,CHOOSE(ArtifactsInput!$N$33+1,30,36,42,48,54,60),0))+(IF(AND(ArtifactsInput!$M$35,Inputs!$B$4&lt;&gt;"Chapter Hunt"),CHOOSE(ArtifactsInput!$N$35+1,15,18,21,24,27,30)*(1-EXP(-(0.2*B420)*5)),0)+IF(AND(ArtifactsInput!$M$22,Inputs!$B$4&lt;&gt;"Chapter Hunt"),CHOOSE(ArtifactsInput!$N$22+1,10,12,14,16,18,20)*((0*(((0.15*B420*5))^0/1)+1*(((0.15*B420*5))^1/1)+2*(((0.15*B420*5))^2/2)+3*(((0.15*B420*5))^3/6)+4*(((0.15*B420*5))^4/24)+5*(((0.15*B420*5))^5/120))/((((0.15*B420*5))^0/1)+(((0.15*B420*5))^1/1)+(((0.15*B420*5))^2/2)+(((0.15*B420*5))^3/6)+(((0.15*B420*5))^4/24)+(((0.15*B420*5))^5/120))),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98">
      <c r="A398">
        <f>Skills!A12</f>
        <v/>
      </c>
      <c r="B398">
        <f>Skills!B12</f>
        <v/>
      </c>
      <c r="C398">
        <f>Inputs!$B$3&gt;=60</f>
        <v/>
      </c>
      <c r="D398">
        <f>IF(Skills!C12=1,60+Inputs!$B$25+Inputs!$B$29,IF(Skills!C12=2,90+Inputs!$B$26+Inputs!$B$29,IF(Skills!C12=3,120+Inputs!$B$27+Inputs!$B$29,MAX(0,(Inputs!$B$3-100)*3)+Inputs!$B$28+Inputs!$B$29)))</f>
        <v/>
      </c>
      <c r="E398">
        <f>INDEX(FactorTable!$B$2:$Y$301, MATCH(ROUND(MIN(300,MAX(1,D398)),0), FactorTable!$A$2:$A$301,0), Skills!M12+1)</f>
        <v/>
      </c>
      <c r="F398">
        <f>IF(Skills!N12=TRUE,(Skills!L12/10)*(E398/1000),Skills!L12/10)+Skills!O12</f>
        <v/>
      </c>
      <c r="G398">
        <f>Skills!G12*IF(Skills!H12&gt;0,Skills!I12/Skills!H12,1)</f>
        <v/>
      </c>
      <c r="H398">
        <f>1-(1-Skills!J12/100)^Skills!K12</f>
        <v/>
      </c>
      <c r="I398" t="inlineStr">
        <is>
          <t>1</t>
        </is>
      </c>
      <c r="J398" t="inlineStr"/>
      <c r="K398" t="inlineStr"/>
      <c r="L398" t="inlineStr"/>
      <c r="M398" t="inlineStr"/>
      <c r="N398" t="inlineStr"/>
      <c r="O398">
        <f>(1-Summary!$B$11)*T398+Summary!$B$11*V398</f>
        <v/>
      </c>
      <c r="P398">
        <f>IF(B428=0,0,O398/B428)</f>
        <v/>
      </c>
      <c r="Q398" t="n">
        <v>0</v>
      </c>
      <c r="R398" t="n">
        <v>0</v>
      </c>
      <c r="S398" t="n">
        <v>0</v>
      </c>
      <c r="T398" t="n">
        <v>0</v>
      </c>
      <c r="V398" t="n">
        <v>0</v>
      </c>
    </row>
    <row r="399">
      <c r="A399">
        <f>Skills!A13</f>
        <v/>
      </c>
      <c r="B399">
        <f>Skills!B13</f>
        <v/>
      </c>
      <c r="C399">
        <f>Inputs!$B$3&gt;=74</f>
        <v/>
      </c>
      <c r="D399">
        <f>IF(Skills!C13=1,60+Inputs!$B$25+Inputs!$B$29,IF(Skills!C13=2,90+Inputs!$B$26+Inputs!$B$29,IF(Skills!C13=3,120+Inputs!$B$27+Inputs!$B$29,MAX(0,(Inputs!$B$3-100)*3)+Inputs!$B$28+Inputs!$B$29)))</f>
        <v/>
      </c>
      <c r="E399">
        <f>INDEX(FactorTable!$B$2:$Y$301, MATCH(ROUND(MIN(300,MAX(1,D399)),0), FactorTable!$A$2:$A$301,0), Skills!M13+1)</f>
        <v/>
      </c>
      <c r="F399">
        <f>IF(Skills!N13=TRUE,(Skills!L13/10)*(E399/1000),Skills!L13/10)+Skills!O13</f>
        <v/>
      </c>
      <c r="G399">
        <f>Skills!G13*IF(Skills!H13&gt;0,Skills!I13/Skills!H13,1)</f>
        <v/>
      </c>
      <c r="H399">
        <f>1-(1-Skills!J13/100)^Skills!K13</f>
        <v/>
      </c>
      <c r="I399" t="inlineStr">
        <is>
          <t>1</t>
        </is>
      </c>
      <c r="J399" t="inlineStr"/>
      <c r="K399" t="inlineStr"/>
      <c r="L399" t="inlineStr"/>
      <c r="M399" t="inlineStr"/>
      <c r="N399" t="inlineStr"/>
      <c r="O399">
        <f>(1-Summary!$B$11)*T399+Summary!$B$11*V399</f>
        <v/>
      </c>
      <c r="P399">
        <f>IF(B428=0,0,O399/B428)</f>
        <v/>
      </c>
      <c r="Q399" t="n">
        <v>0</v>
      </c>
      <c r="R399" t="n">
        <v>0</v>
      </c>
      <c r="S399" t="n">
        <v>0</v>
      </c>
      <c r="T399" t="n">
        <v>0</v>
      </c>
      <c r="V399" t="n">
        <v>0</v>
      </c>
    </row>
    <row r="400">
      <c r="A400">
        <f>Skills!A14</f>
        <v/>
      </c>
      <c r="B400">
        <f>Skills!B14</f>
        <v/>
      </c>
      <c r="C400">
        <f>Inputs!$B$3&gt;=74</f>
        <v/>
      </c>
      <c r="D400">
        <f>IF(Skills!C14=1,60+Inputs!$B$25+Inputs!$B$29,IF(Skills!C14=2,90+Inputs!$B$26+Inputs!$B$29,IF(Skills!C14=3,120+Inputs!$B$27+Inputs!$B$29,MAX(0,(Inputs!$B$3-100)*3)+Inputs!$B$28+Inputs!$B$29)))</f>
        <v/>
      </c>
      <c r="E400">
        <f>INDEX(FactorTable!$B$2:$Y$301, MATCH(ROUND(MIN(300,MAX(1,D400)),0), FactorTable!$A$2:$A$301,0), Skills!M14+1)</f>
        <v/>
      </c>
      <c r="F400">
        <f>IF(Skills!N14=TRUE,(Skills!L14/10)*(E400/1000),Skills!L14/10)+Skills!O14</f>
        <v/>
      </c>
      <c r="G400">
        <f>Skills!G14*IF(Skills!H14&gt;0,Skills!I14/Skills!H14,1)</f>
        <v/>
      </c>
      <c r="H400">
        <f>1-(1-Skills!J14/100)^Skills!K14</f>
        <v/>
      </c>
      <c r="I400" t="inlineStr">
        <is>
          <t>1</t>
        </is>
      </c>
      <c r="J400" t="inlineStr"/>
      <c r="K400" t="inlineStr"/>
      <c r="L400" t="inlineStr"/>
      <c r="M400" t="inlineStr"/>
      <c r="N400" t="inlineStr"/>
      <c r="O400">
        <f>(1-Summary!$B$11)*T400+Summary!$B$11*V400</f>
        <v/>
      </c>
      <c r="P400">
        <f>IF(B428=0,0,O400/B428)</f>
        <v/>
      </c>
      <c r="Q400" t="n">
        <v>0</v>
      </c>
      <c r="R400" t="n">
        <v>0</v>
      </c>
      <c r="S400" t="n">
        <v>0</v>
      </c>
      <c r="T400" t="n">
        <v>0</v>
      </c>
      <c r="V400" t="n">
        <v>0</v>
      </c>
    </row>
    <row r="401">
      <c r="A401">
        <f>Skills!A15</f>
        <v/>
      </c>
      <c r="B401">
        <f>Skills!B15</f>
        <v/>
      </c>
      <c r="C401">
        <f>Inputs!$B$3&gt;=117</f>
        <v/>
      </c>
      <c r="D401">
        <f>IF(Skills!C15=1,60+Inputs!$B$25+Inputs!$B$29,IF(Skills!C15=2,90+Inputs!$B$26+Inputs!$B$29,IF(Skills!C15=3,120+Inputs!$B$27+Inputs!$B$29,MAX(0,(Inputs!$B$3-100)*3)+Inputs!$B$28+Inputs!$B$29)))</f>
        <v/>
      </c>
      <c r="E401">
        <f>INDEX(FactorTable!$B$2:$Y$301, MATCH(ROUND(MIN(300,MAX(1,D401)),0), FactorTable!$A$2:$A$301,0), Skills!M15+1)</f>
        <v/>
      </c>
      <c r="F401">
        <f>IF(Skills!N15=TRUE,(Skills!L15/10)*(E401/1000),Skills!L15/10)+Skills!O15</f>
        <v/>
      </c>
      <c r="G401">
        <f>Skills!G15*IF(Skills!H15&gt;0,Skills!I15/Skills!H15,1)</f>
        <v/>
      </c>
      <c r="H401">
        <f>1-(1-Skills!J15/100)^Skills!K15</f>
        <v/>
      </c>
      <c r="I401" t="inlineStr">
        <is>
          <t>1</t>
        </is>
      </c>
      <c r="J401" t="inlineStr"/>
      <c r="K401" t="inlineStr"/>
      <c r="L401" t="inlineStr"/>
      <c r="M401" t="inlineStr"/>
      <c r="N401" t="inlineStr"/>
      <c r="O401">
        <f>(1-Summary!$B$11)*T401+Summary!$B$11*V401</f>
        <v/>
      </c>
      <c r="P401">
        <f>IF(B428=0,0,O401/B428)</f>
        <v/>
      </c>
      <c r="Q401">
        <f>IFERROR(1/IF(Inputs!$B$38="pvp",15,MAX(0.1,Skills!D15-IF(Skills!E15=TRUE,Inputs!$B$32,0))),0)</f>
        <v/>
      </c>
      <c r="R401">
        <f>IF(AND(Inputs!$B$38&lt;&gt;"pvp",Inputs!$B$43&gt;0),IF(Inputs!$B$43&lt;=0,0,(INT(Inputs!$B$43/IF(Inputs!$B$38="pvp",15,MAX(0.1,Skills!D15-IF(Skills!E15=TRUE,Inputs!$B$32,0))))+1)),0)</f>
        <v/>
      </c>
      <c r="S401" t="n">
        <v>0</v>
      </c>
      <c r="T401" t="n">
        <v>0</v>
      </c>
      <c r="V401" t="n">
        <v>0</v>
      </c>
    </row>
    <row r="402">
      <c r="A402">
        <f>Skills!A16</f>
        <v/>
      </c>
      <c r="B402">
        <f>Skills!B16</f>
        <v/>
      </c>
      <c r="C402">
        <f>Inputs!$B$3&gt;=115</f>
        <v/>
      </c>
      <c r="D402">
        <f>IF(Skills!C16=1,60+Inputs!$B$25+Inputs!$B$29,IF(Skills!C16=2,90+Inputs!$B$26+Inputs!$B$29,IF(Skills!C16=3,120+Inputs!$B$27+Inputs!$B$29,MAX(0,(Inputs!$B$3-100)*3)+Inputs!$B$28+Inputs!$B$29)))</f>
        <v/>
      </c>
      <c r="E402">
        <f>INDEX(FactorTable!$B$2:$Y$301, MATCH(ROUND(MIN(300,MAX(1,D402)),0), FactorTable!$A$2:$A$301,0), Skills!M16+1)</f>
        <v/>
      </c>
      <c r="F402">
        <f>IF(Skills!N16=TRUE,(Skills!L16/10)*(E402/1000),Skills!L16/10)+Skills!O16</f>
        <v/>
      </c>
      <c r="G402">
        <f>Skills!G16*IF(Skills!H16&gt;0,Skills!I16/Skills!H16,1)</f>
        <v/>
      </c>
      <c r="H402">
        <f>1-(1-Skills!J16/100)^Skills!K16</f>
        <v/>
      </c>
      <c r="I402" t="inlineStr">
        <is>
          <t>1</t>
        </is>
      </c>
      <c r="J402" t="inlineStr"/>
      <c r="K402" t="inlineStr"/>
      <c r="L402" t="inlineStr"/>
      <c r="M402" t="inlineStr"/>
      <c r="N402" t="inlineStr"/>
      <c r="O402">
        <f>(1-Summary!$B$11)*T402+Summary!$B$11*V402</f>
        <v/>
      </c>
      <c r="P402">
        <f>IF(B428=0,0,O402/B428)</f>
        <v/>
      </c>
      <c r="Q402">
        <f>IFERROR(1/IF(Inputs!$B$38="pvp",15,MAX(0.1,Skills!D16-IF(Skills!E16=TRUE,Inputs!$B$32,0))),0)</f>
        <v/>
      </c>
      <c r="R402">
        <f>IF(AND(Inputs!$B$38&lt;&gt;"pvp",Inputs!$B$43&gt;0),IF(Inputs!$B$43&lt;=0,0,(INT(Inputs!$B$43/IF(Inputs!$B$38="pvp",15,MAX(0.1,Skills!D16-IF(Skills!E16=TRUE,Inputs!$B$32,0))))+1)),0)</f>
        <v/>
      </c>
      <c r="S402" t="n">
        <v>0</v>
      </c>
      <c r="T402" t="n">
        <v>0</v>
      </c>
      <c r="V402" t="n">
        <v>0</v>
      </c>
    </row>
    <row r="403">
      <c r="A403">
        <f>Skills!A17</f>
        <v/>
      </c>
      <c r="B403">
        <f>Skills!B17</f>
        <v/>
      </c>
      <c r="C403">
        <f>Inputs!$B$3&gt;=72</f>
        <v/>
      </c>
      <c r="D403">
        <f>IF(Skills!C17=1,60+Inputs!$B$25+Inputs!$B$29,IF(Skills!C17=2,90+Inputs!$B$26+Inputs!$B$29,IF(Skills!C17=3,120+Inputs!$B$27+Inputs!$B$29,MAX(0,(Inputs!$B$3-100)*3)+Inputs!$B$28+Inputs!$B$29)))</f>
        <v/>
      </c>
      <c r="E403">
        <f>INDEX(FactorTable!$B$2:$Y$301, MATCH(ROUND(MIN(300,MAX(1,D403)),0), FactorTable!$A$2:$A$301,0), Skills!M17+1)</f>
        <v/>
      </c>
      <c r="F403">
        <f>IF(Skills!N17=TRUE,(Skills!L17/10)*(E403/1000),Skills!L17/10)+Skills!O17</f>
        <v/>
      </c>
      <c r="G403">
        <f>Skills!G17*IF(Skills!H17&gt;0,Skills!I17/Skills!H17,1)</f>
        <v/>
      </c>
      <c r="H403">
        <f>1-(1-Skills!J17/100)^Skills!K17</f>
        <v/>
      </c>
      <c r="I403" t="inlineStr">
        <is>
          <t>1</t>
        </is>
      </c>
      <c r="J403" t="inlineStr"/>
      <c r="K403" t="inlineStr"/>
      <c r="L403" t="inlineStr"/>
      <c r="M403" t="inlineStr"/>
      <c r="N403" t="inlineStr"/>
      <c r="O403">
        <f>(1-Summary!$B$11)*T403+Summary!$B$11*V403</f>
        <v/>
      </c>
      <c r="P403">
        <f>IF(B428=0,0,O403/B428)</f>
        <v/>
      </c>
      <c r="Q403" t="n">
        <v>0</v>
      </c>
      <c r="R403" t="n">
        <v>0</v>
      </c>
      <c r="S403" t="n">
        <v>0</v>
      </c>
      <c r="T403" t="n">
        <v>0</v>
      </c>
      <c r="V403" t="n">
        <v>0</v>
      </c>
    </row>
    <row r="404">
      <c r="A404">
        <f>Skills!A18</f>
        <v/>
      </c>
      <c r="B404">
        <f>Skills!B18</f>
        <v/>
      </c>
      <c r="C404">
        <f>TRUE</f>
        <v/>
      </c>
      <c r="D404">
        <f>IF(Skills!C18=1,60+Inputs!$B$25+Inputs!$B$29,IF(Skills!C18=2,90+Inputs!$B$26+Inputs!$B$29,IF(Skills!C18=3,120+Inputs!$B$27+Inputs!$B$29,MAX(0,(Inputs!$B$3-100)*3)+Inputs!$B$28+Inputs!$B$29)))</f>
        <v/>
      </c>
      <c r="E404">
        <f>INDEX(FactorTable!$B$2:$Y$301, MATCH(ROUND(MIN(300,MAX(1,D404)),0), FactorTable!$A$2:$A$301,0), Skills!M18+1)</f>
        <v/>
      </c>
      <c r="F404">
        <f>IF(Skills!N18=TRUE,(Skills!L18/10)*(E404/1000),Skills!L18/10)+Skills!O18</f>
        <v/>
      </c>
      <c r="G404">
        <f>Skills!G18*IF(Skills!H18&gt;0,Skills!I18/Skills!H18,1)</f>
        <v/>
      </c>
      <c r="H404">
        <f>1-(1-Skills!J18/100)^Skills!K18</f>
        <v/>
      </c>
      <c r="I404" t="inlineStr">
        <is>
          <t>1</t>
        </is>
      </c>
      <c r="J404" t="inlineStr"/>
      <c r="K404" t="inlineStr"/>
      <c r="L404" t="inlineStr"/>
      <c r="M404" t="inlineStr"/>
      <c r="N404" t="inlineStr"/>
      <c r="O404">
        <f>(1-Summary!$B$11)*T404+Summary!$B$11*V404</f>
        <v/>
      </c>
      <c r="P404">
        <f>IF(B428=0,0,O404/B428)</f>
        <v/>
      </c>
      <c r="Q404">
        <f>IFERROR(1/IF(Inputs!$B$38="pvp",15,MAX(0.1,Skills!D18-IF(Skills!E18=TRUE,Inputs!$B$32,0))),0)</f>
        <v/>
      </c>
      <c r="R404">
        <f>IF(AND(Inputs!$B$38&lt;&gt;"pvp",Inputs!$B$43&gt;0),IF(Inputs!$B$43&lt;=0,0,(INT(Inputs!$B$43/IF(Inputs!$B$38="pvp",15,MAX(0.1,Skills!D18-IF(Skills!E18=TRUE,Inputs!$B$32,0))))+1)),0)</f>
        <v/>
      </c>
      <c r="S404" t="n">
        <v>0</v>
      </c>
      <c r="T404" t="n">
        <v>0</v>
      </c>
      <c r="V404" t="n">
        <v>0</v>
      </c>
    </row>
    <row r="405">
      <c r="A405">
        <f>Skills!A19</f>
        <v/>
      </c>
      <c r="B405">
        <f>Skills!B19</f>
        <v/>
      </c>
      <c r="C405">
        <f>Inputs!$B$3&gt;=15</f>
        <v/>
      </c>
      <c r="D405">
        <f>IF(Skills!C19=1,60+Inputs!$B$25+Inputs!$B$29,IF(Skills!C19=2,90+Inputs!$B$26+Inputs!$B$29,IF(Skills!C19=3,120+Inputs!$B$27+Inputs!$B$29,MAX(0,(Inputs!$B$3-100)*3)+Inputs!$B$28+Inputs!$B$29)))</f>
        <v/>
      </c>
      <c r="E405">
        <f>INDEX(FactorTable!$B$2:$Y$301, MATCH(ROUND(MIN(300,MAX(1,D405)),0), FactorTable!$A$2:$A$301,0), Skills!M19+1)</f>
        <v/>
      </c>
      <c r="F405">
        <f>IF(Skills!N19=TRUE,(Skills!L19/10)*(E405/1000),Skills!L19/10)+Skills!O19</f>
        <v/>
      </c>
      <c r="G405">
        <f>Skills!G19*IF(Skills!H19&gt;0,Skills!I19/Skills!H19,1)</f>
        <v/>
      </c>
      <c r="H405">
        <f>1-(1-Skills!J19/100)^Skills!K19</f>
        <v/>
      </c>
      <c r="I405" t="inlineStr">
        <is>
          <t>1</t>
        </is>
      </c>
      <c r="J405" t="inlineStr"/>
      <c r="K405" t="inlineStr"/>
      <c r="L405" t="inlineStr"/>
      <c r="M405" t="inlineStr"/>
      <c r="N405" t="inlineStr"/>
      <c r="O405">
        <f>(1-Summary!$B$11)*T405+Summary!$B$11*V405</f>
        <v/>
      </c>
      <c r="P405">
        <f>IF(B428=0,0,O405/B428)</f>
        <v/>
      </c>
      <c r="Q405" t="n">
        <v>0</v>
      </c>
      <c r="R405" t="n">
        <v>0</v>
      </c>
      <c r="S405" t="n">
        <v>0</v>
      </c>
      <c r="T405" t="n">
        <v>0</v>
      </c>
      <c r="V405" t="n">
        <v>0</v>
      </c>
    </row>
    <row r="406">
      <c r="A406">
        <f>Skills!A20</f>
        <v/>
      </c>
      <c r="B406">
        <f>Skills!B20</f>
        <v/>
      </c>
      <c r="C406">
        <f>Inputs!$B$3&gt;=10</f>
        <v/>
      </c>
      <c r="D406">
        <f>IF(Skills!C20=1,60+Inputs!$B$25+Inputs!$B$29,IF(Skills!C20=2,90+Inputs!$B$26+Inputs!$B$29,IF(Skills!C20=3,120+Inputs!$B$27+Inputs!$B$29,MAX(0,(Inputs!$B$3-100)*3)+Inputs!$B$28+Inputs!$B$29)))</f>
        <v/>
      </c>
      <c r="E406">
        <f>INDEX(FactorTable!$B$2:$Y$301, MATCH(ROUND(MIN(300,MAX(1,D406)),0), FactorTable!$A$2:$A$301,0), Skills!M20+1)</f>
        <v/>
      </c>
      <c r="F406">
        <f>IF(Skills!N20=TRUE,(Skills!L20/10)*(E406/1000),Skills!L20/10)+Skills!O20</f>
        <v/>
      </c>
      <c r="G406">
        <f>Skills!G20*IF(Skills!H20&gt;0,Skills!I20/Skills!H20,1)</f>
        <v/>
      </c>
      <c r="H406">
        <f>1-(1-Skills!J20/100)^Skills!K20</f>
        <v/>
      </c>
      <c r="I406" t="inlineStr">
        <is>
          <t>1</t>
        </is>
      </c>
      <c r="J406" t="inlineStr"/>
      <c r="K406" t="inlineStr"/>
      <c r="L406" t="inlineStr"/>
      <c r="M406" t="inlineStr"/>
      <c r="N406" t="inlineStr"/>
      <c r="O406">
        <f>(1-Summary!$B$11)*T406+Summary!$B$11*V406</f>
        <v/>
      </c>
      <c r="P406">
        <f>IF(B428=0,0,O406/B428)</f>
        <v/>
      </c>
      <c r="Q406" t="n">
        <v>0</v>
      </c>
      <c r="R406" t="n">
        <v>0</v>
      </c>
      <c r="S406" t="n">
        <v>0</v>
      </c>
      <c r="T406" t="n">
        <v>0</v>
      </c>
      <c r="V406" t="n">
        <v>0</v>
      </c>
    </row>
    <row r="407">
      <c r="A407">
        <f>Skills!A21</f>
        <v/>
      </c>
      <c r="B407">
        <f>Skills!B21</f>
        <v/>
      </c>
      <c r="C407">
        <f>Inputs!$B$3&gt;=33</f>
        <v/>
      </c>
      <c r="D407">
        <f>IF(Skills!C21=1,60+Inputs!$B$25+Inputs!$B$29,IF(Skills!C21=2,90+Inputs!$B$26+Inputs!$B$29,IF(Skills!C21=3,120+Inputs!$B$27+Inputs!$B$29,MAX(0,(Inputs!$B$3-100)*3)+Inputs!$B$28+Inputs!$B$29)))</f>
        <v/>
      </c>
      <c r="E407">
        <f>INDEX(FactorTable!$B$2:$Y$301, MATCH(ROUND(MIN(300,MAX(1,D407)),0), FactorTable!$A$2:$A$301,0), Skills!M21+1)</f>
        <v/>
      </c>
      <c r="F407">
        <f>IF(Skills!N21=TRUE,(Skills!L21/10)*(E407/1000),Skills!L21/10)+Skills!O21</f>
        <v/>
      </c>
      <c r="G407">
        <f>Skills!G21*IF(Skills!H21&gt;0,Skills!I21/Skills!H21,1)</f>
        <v/>
      </c>
      <c r="H407">
        <f>1-(1-Skills!J21/100)^Skills!K21</f>
        <v/>
      </c>
      <c r="I407" t="inlineStr">
        <is>
          <t>1</t>
        </is>
      </c>
      <c r="J407" t="inlineStr"/>
      <c r="K407" t="inlineStr"/>
      <c r="L407" t="inlineStr"/>
      <c r="M407" t="inlineStr"/>
      <c r="N407" t="inlineStr"/>
      <c r="O407">
        <f>(1-Summary!$B$11)*T407+Summary!$B$11*V407</f>
        <v/>
      </c>
      <c r="P407">
        <f>IF(B428=0,0,O407/B428)</f>
        <v/>
      </c>
      <c r="Q407" t="n">
        <v>0</v>
      </c>
      <c r="R407" t="n">
        <v>0</v>
      </c>
      <c r="S407" t="n">
        <v>0</v>
      </c>
      <c r="T407" t="n">
        <v>0</v>
      </c>
      <c r="V407" t="n">
        <v>0</v>
      </c>
    </row>
    <row r="408">
      <c r="A408">
        <f>Skills!A22</f>
        <v/>
      </c>
      <c r="B408">
        <f>Skills!B22</f>
        <v/>
      </c>
      <c r="C408">
        <f>Inputs!$B$3&gt;=38</f>
        <v/>
      </c>
      <c r="D408">
        <f>IF(Skills!C22=1,60+Inputs!$B$25+Inputs!$B$29,IF(Skills!C22=2,90+Inputs!$B$26+Inputs!$B$29,IF(Skills!C22=3,120+Inputs!$B$27+Inputs!$B$29,MAX(0,(Inputs!$B$3-100)*3)+Inputs!$B$28+Inputs!$B$29)))</f>
        <v/>
      </c>
      <c r="E408">
        <f>INDEX(FactorTable!$B$2:$Y$301, MATCH(ROUND(MIN(300,MAX(1,D408)),0), FactorTable!$A$2:$A$301,0), Skills!M22+1)</f>
        <v/>
      </c>
      <c r="F408">
        <f>IF(Skills!N22=TRUE,(Skills!L22/10)*(E408/1000),Skills!L22/10)+Skills!O22</f>
        <v/>
      </c>
      <c r="G408">
        <f>Skills!G22*IF(Skills!H22&gt;0,Skills!I22/Skills!H22,1)</f>
        <v/>
      </c>
      <c r="H408">
        <f>1-(1-Skills!J22/100)^Skills!K22</f>
        <v/>
      </c>
      <c r="I408" t="inlineStr">
        <is>
          <t>1</t>
        </is>
      </c>
      <c r="J408" t="inlineStr"/>
      <c r="K408" t="inlineStr"/>
      <c r="L408" t="inlineStr"/>
      <c r="M408" t="inlineStr"/>
      <c r="N408" t="inlineStr"/>
      <c r="O408">
        <f>(1-Summary!$B$11)*T408+Summary!$B$11*V408</f>
        <v/>
      </c>
      <c r="P408">
        <f>IF(B428=0,0,O408/B428)</f>
        <v/>
      </c>
      <c r="Q408" t="n">
        <v>0</v>
      </c>
      <c r="R408" t="n">
        <v>0</v>
      </c>
      <c r="S408" t="n">
        <v>0</v>
      </c>
      <c r="T408" t="n">
        <v>0</v>
      </c>
      <c r="V408" t="n">
        <v>0</v>
      </c>
    </row>
    <row r="409">
      <c r="A409">
        <f>Skills!A23</f>
        <v/>
      </c>
      <c r="B409">
        <f>Skills!B23</f>
        <v/>
      </c>
      <c r="C409">
        <f>Inputs!$B$3&gt;=43</f>
        <v/>
      </c>
      <c r="D409">
        <f>IF(Skills!C23=1,60+Inputs!$B$25+Inputs!$B$29,IF(Skills!C23=2,90+Inputs!$B$26+Inputs!$B$29,IF(Skills!C23=3,120+Inputs!$B$27+Inputs!$B$29,MAX(0,(Inputs!$B$3-100)*3)+Inputs!$B$28+Inputs!$B$29)))</f>
        <v/>
      </c>
      <c r="E409">
        <f>INDEX(FactorTable!$B$2:$Y$301, MATCH(ROUND(MIN(300,MAX(1,D409)),0), FactorTable!$A$2:$A$301,0), Skills!M23+1)</f>
        <v/>
      </c>
      <c r="F409">
        <f>IF(Skills!N23=TRUE,(Skills!L23/10)*(E409/1000),Skills!L23/10)+Skills!O23</f>
        <v/>
      </c>
      <c r="G409">
        <f>Skills!G23*IF(Skills!H23&gt;0,Skills!I23/Skills!H23,1)</f>
        <v/>
      </c>
      <c r="H409">
        <f>1-(1-Skills!J23/100)^Skills!K23</f>
        <v/>
      </c>
      <c r="I409" t="inlineStr">
        <is>
          <t>1</t>
        </is>
      </c>
      <c r="J409" t="inlineStr"/>
      <c r="K409" t="inlineStr"/>
      <c r="L409" t="inlineStr"/>
      <c r="M409" t="inlineStr"/>
      <c r="N409" t="inlineStr"/>
      <c r="O409">
        <f>(1-Summary!$B$11)*T409+Summary!$B$11*V409</f>
        <v/>
      </c>
      <c r="P409">
        <f>IF(B428=0,0,O409/B428)</f>
        <v/>
      </c>
      <c r="Q409" t="n">
        <v>0</v>
      </c>
      <c r="R409" t="n">
        <v>0</v>
      </c>
      <c r="S409" t="n">
        <v>0</v>
      </c>
      <c r="T409" t="n">
        <v>0</v>
      </c>
      <c r="V409" t="n">
        <v>0</v>
      </c>
    </row>
    <row r="410">
      <c r="A410">
        <f>Skills!A24</f>
        <v/>
      </c>
      <c r="B410">
        <f>Skills!B24</f>
        <v/>
      </c>
      <c r="C410">
        <f>Inputs!$B$3&gt;=75</f>
        <v/>
      </c>
      <c r="D410">
        <f>IF(Skills!C24=1,60+Inputs!$B$25+Inputs!$B$29,IF(Skills!C24=2,90+Inputs!$B$26+Inputs!$B$29,IF(Skills!C24=3,120+Inputs!$B$27+Inputs!$B$29,MAX(0,(Inputs!$B$3-100)*3)+Inputs!$B$28+Inputs!$B$29)))</f>
        <v/>
      </c>
      <c r="E410">
        <f>INDEX(FactorTable!$B$2:$Y$301, MATCH(ROUND(MIN(300,MAX(1,D410)),0), FactorTable!$A$2:$A$301,0), Skills!M24+1)</f>
        <v/>
      </c>
      <c r="F410">
        <f>IF(Skills!N24=TRUE,(Skills!L24/10)*(E410/1000),Skills!L24/10)+Skills!O24</f>
        <v/>
      </c>
      <c r="G410">
        <f>Skills!G24*IF(Skills!H24&gt;0,Skills!I24/Skills!H24,1)</f>
        <v/>
      </c>
      <c r="H410">
        <f>1-(1-Skills!J24/100)^Skills!K24</f>
        <v/>
      </c>
      <c r="I410" t="inlineStr">
        <is>
          <t>1</t>
        </is>
      </c>
      <c r="J410" t="inlineStr"/>
      <c r="K410" t="inlineStr"/>
      <c r="L410" t="inlineStr"/>
      <c r="M410" t="inlineStr"/>
      <c r="N410" t="inlineStr"/>
      <c r="O410">
        <f>(1-Summary!$B$11)*T410+Summary!$B$11*V410</f>
        <v/>
      </c>
      <c r="P410">
        <f>IF(B428=0,0,O410/B428)</f>
        <v/>
      </c>
      <c r="Q410" t="n">
        <v>0</v>
      </c>
      <c r="R410" t="n">
        <v>0</v>
      </c>
      <c r="S410" t="n">
        <v>0</v>
      </c>
      <c r="T410" t="n">
        <v>0</v>
      </c>
      <c r="V410" t="n">
        <v>0</v>
      </c>
    </row>
    <row r="411">
      <c r="A411">
        <f>Skills!A25</f>
        <v/>
      </c>
      <c r="B411">
        <f>Skills!B25</f>
        <v/>
      </c>
      <c r="C411">
        <f>Inputs!$B$3&gt;=125</f>
        <v/>
      </c>
      <c r="D411">
        <f>IF(Skills!C25=1,60+Inputs!$B$25+Inputs!$B$29,IF(Skills!C25=2,90+Inputs!$B$26+Inputs!$B$29,IF(Skills!C25=3,120+Inputs!$B$27+Inputs!$B$29,MAX(0,(Inputs!$B$3-100)*3)+Inputs!$B$28+Inputs!$B$29)))</f>
        <v/>
      </c>
      <c r="E411">
        <f>INDEX(FactorTable!$B$2:$Y$301, MATCH(ROUND(MIN(300,MAX(1,D411)),0), FactorTable!$A$2:$A$301,0), Skills!M25+1)</f>
        <v/>
      </c>
      <c r="F411">
        <f>IF(Skills!N25=TRUE,(Skills!L25/10)*(E411/1000),Skills!L25/10)+Skills!O25</f>
        <v/>
      </c>
      <c r="G411">
        <f>Skills!G25*IF(Skills!H25&gt;0,Skills!I25/Skills!H25,1)</f>
        <v/>
      </c>
      <c r="H411">
        <f>1-(1-Skills!J25/100)^Skills!K25</f>
        <v/>
      </c>
      <c r="I411" t="inlineStr">
        <is>
          <t>1</t>
        </is>
      </c>
      <c r="J411" t="inlineStr"/>
      <c r="K411" t="inlineStr"/>
      <c r="L411" t="inlineStr"/>
      <c r="M411" t="inlineStr"/>
      <c r="N411" t="inlineStr"/>
      <c r="O411">
        <f>(1-Summary!$B$11)*T411+Summary!$B$11*V411</f>
        <v/>
      </c>
      <c r="P411">
        <f>IF(B428=0,0,O411/B428)</f>
        <v/>
      </c>
      <c r="Q411" t="n">
        <v>0</v>
      </c>
      <c r="R411" t="n">
        <v>0</v>
      </c>
      <c r="S411" t="n">
        <v>0</v>
      </c>
      <c r="T411" t="n">
        <v>0</v>
      </c>
      <c r="V411" t="n">
        <v>0</v>
      </c>
    </row>
    <row r="412">
      <c r="A412">
        <f>Skills!A26</f>
        <v/>
      </c>
      <c r="B412">
        <f>Skills!B26</f>
        <v/>
      </c>
      <c r="C412">
        <f>Inputs!$B$3&gt;=125</f>
        <v/>
      </c>
      <c r="D412">
        <f>IF(Skills!C26=1,60+Inputs!$B$25+Inputs!$B$29,IF(Skills!C26=2,90+Inputs!$B$26+Inputs!$B$29,IF(Skills!C26=3,120+Inputs!$B$27+Inputs!$B$29,MAX(0,(Inputs!$B$3-100)*3)+Inputs!$B$28+Inputs!$B$29)))</f>
        <v/>
      </c>
      <c r="E412">
        <f>INDEX(FactorTable!$B$2:$Y$301, MATCH(ROUND(MIN(300,MAX(1,D412)),0), FactorTable!$A$2:$A$301,0), Skills!M26+1)</f>
        <v/>
      </c>
      <c r="F412">
        <f>IF(Skills!N26=TRUE,(Skills!L26/10)*(E412/1000),Skills!L26/10)+Skills!O26</f>
        <v/>
      </c>
      <c r="G412">
        <f>Skills!G26*IF(Skills!H26&gt;0,Skills!I26/Skills!H26,1)</f>
        <v/>
      </c>
      <c r="H412">
        <f>1-(1-Skills!J26/100)^Skills!K26</f>
        <v/>
      </c>
      <c r="I412" t="inlineStr">
        <is>
          <t>1</t>
        </is>
      </c>
      <c r="J412" t="inlineStr"/>
      <c r="K412" t="inlineStr"/>
      <c r="L412" t="inlineStr"/>
      <c r="M412" t="inlineStr"/>
      <c r="N412" t="inlineStr"/>
      <c r="O412">
        <f>(1-Summary!$B$11)*T412+Summary!$B$11*V412</f>
        <v/>
      </c>
      <c r="P412">
        <f>IF(B428=0,0,O412/B428)</f>
        <v/>
      </c>
      <c r="Q412" t="n">
        <v>0</v>
      </c>
      <c r="R412" t="n">
        <v>0</v>
      </c>
      <c r="S412" t="n">
        <v>0</v>
      </c>
      <c r="T412" t="n">
        <v>0</v>
      </c>
      <c r="V412" t="n">
        <v>0</v>
      </c>
    </row>
    <row r="413">
      <c r="A413">
        <f>Skills!A27</f>
        <v/>
      </c>
      <c r="B413">
        <f>Skills!B27</f>
        <v/>
      </c>
      <c r="C413">
        <f>Inputs!$B$3&gt;=120</f>
        <v/>
      </c>
      <c r="D413">
        <f>IF(Skills!C27=1,60+Inputs!$B$25+Inputs!$B$29,IF(Skills!C27=2,90+Inputs!$B$26+Inputs!$B$29,IF(Skills!C27=3,120+Inputs!$B$27+Inputs!$B$29,MAX(0,(Inputs!$B$3-100)*3)+Inputs!$B$28+Inputs!$B$29)))</f>
        <v/>
      </c>
      <c r="E413">
        <f>INDEX(FactorTable!$B$2:$Y$301, MATCH(ROUND(MIN(300,MAX(1,D413)),0), FactorTable!$A$2:$A$301,0), Skills!M27+1)</f>
        <v/>
      </c>
      <c r="F413">
        <f>IF(Skills!N27=TRUE,(Skills!L27/10)*(E413/1000),Skills!L27/10)+Skills!O27</f>
        <v/>
      </c>
      <c r="G413">
        <f>Skills!G27*IF(Skills!H27&gt;0,Skills!I27/Skills!H27,1)</f>
        <v/>
      </c>
      <c r="H413">
        <f>1-(1-Skills!J27/100)^Skills!K27</f>
        <v/>
      </c>
      <c r="I413" t="inlineStr">
        <is>
          <t>1</t>
        </is>
      </c>
      <c r="J413" t="inlineStr"/>
      <c r="K413" t="inlineStr"/>
      <c r="L413" t="inlineStr"/>
      <c r="M413" t="inlineStr"/>
      <c r="N413" t="inlineStr"/>
      <c r="O413">
        <f>(1-Summary!$B$11)*T413+Summary!$B$11*V413</f>
        <v/>
      </c>
      <c r="P413">
        <f>IF(B428=0,0,O413/B428)</f>
        <v/>
      </c>
      <c r="Q413" t="n">
        <v>0</v>
      </c>
      <c r="R413" t="n">
        <v>0</v>
      </c>
      <c r="S413" t="n">
        <v>0</v>
      </c>
      <c r="T413" t="n">
        <v>0</v>
      </c>
      <c r="V413" t="n">
        <v>0</v>
      </c>
    </row>
    <row r="414">
      <c r="A414">
        <f>Skills!A28</f>
        <v/>
      </c>
      <c r="B414">
        <f>Skills!B28</f>
        <v/>
      </c>
      <c r="C414">
        <f>Inputs!$B$3&gt;=120</f>
        <v/>
      </c>
      <c r="D414">
        <f>IF(Skills!C28=1,60+Inputs!$B$25+Inputs!$B$29,IF(Skills!C28=2,90+Inputs!$B$26+Inputs!$B$29,IF(Skills!C28=3,120+Inputs!$B$27+Inputs!$B$29,MAX(0,(Inputs!$B$3-100)*3)+Inputs!$B$28+Inputs!$B$29)))</f>
        <v/>
      </c>
      <c r="E414">
        <f>INDEX(FactorTable!$B$2:$Y$301, MATCH(ROUND(MIN(300,MAX(1,D414)),0), FactorTable!$A$2:$A$301,0), Skills!M28+1)</f>
        <v/>
      </c>
      <c r="F414">
        <f>IF(Skills!N28=TRUE,(Skills!L28/10)*(E414/1000),Skills!L28/10)+Skills!O28</f>
        <v/>
      </c>
      <c r="G414">
        <f>Skills!G28*IF(Skills!H28&gt;0,Skills!I28/Skills!H28,1)</f>
        <v/>
      </c>
      <c r="H414">
        <f>1-(1-Skills!J28/100)^Skills!K28</f>
        <v/>
      </c>
      <c r="I414" t="inlineStr">
        <is>
          <t>1</t>
        </is>
      </c>
      <c r="J414" t="inlineStr"/>
      <c r="K414" t="inlineStr"/>
      <c r="L414" t="inlineStr"/>
      <c r="M414" t="inlineStr"/>
      <c r="N414" t="inlineStr"/>
      <c r="O414">
        <f>(1-Summary!$B$11)*T414+Summary!$B$11*V414</f>
        <v/>
      </c>
      <c r="P414">
        <f>IF(B428=0,0,O414/B428)</f>
        <v/>
      </c>
      <c r="Q414" t="n">
        <v>0</v>
      </c>
      <c r="R414" t="n">
        <v>0</v>
      </c>
      <c r="S414" t="n">
        <v>0</v>
      </c>
      <c r="T414" t="n">
        <v>0</v>
      </c>
      <c r="V414" t="n">
        <v>0</v>
      </c>
    </row>
    <row r="415">
      <c r="A415">
        <f>Skills!A29</f>
        <v/>
      </c>
      <c r="B415">
        <f>Skills!B29</f>
        <v/>
      </c>
      <c r="C415">
        <f>Inputs!$B$3&gt;=45</f>
        <v/>
      </c>
      <c r="D415">
        <f>IF(Skills!C29=1,60+Inputs!$B$25+Inputs!$B$29,IF(Skills!C29=2,90+Inputs!$B$26+Inputs!$B$29,IF(Skills!C29=3,120+Inputs!$B$27+Inputs!$B$29,MAX(0,(Inputs!$B$3-100)*3)+Inputs!$B$28+Inputs!$B$29)))</f>
        <v/>
      </c>
      <c r="E415">
        <f>INDEX(FactorTable!$B$2:$Y$301, MATCH(ROUND(MIN(300,MAX(1,D415)),0), FactorTable!$A$2:$A$301,0), Skills!M29+1)</f>
        <v/>
      </c>
      <c r="F415">
        <f>IF(Skills!N29=TRUE,(Skills!L29/10)*(E415/1000),Skills!L29/10)+Skills!O29</f>
        <v/>
      </c>
      <c r="G415">
        <f>Skills!G29*IF(Skills!H29&gt;0,Skills!I29/Skills!H29,1)</f>
        <v/>
      </c>
      <c r="H415">
        <f>1-(1-Skills!J29/100)^Skills!K29</f>
        <v/>
      </c>
      <c r="I415" t="inlineStr">
        <is>
          <t>1</t>
        </is>
      </c>
      <c r="J415" t="inlineStr"/>
      <c r="K415" t="inlineStr"/>
      <c r="L415" t="inlineStr"/>
      <c r="M415" t="inlineStr"/>
      <c r="N415" t="inlineStr"/>
      <c r="O415">
        <f>(1-Summary!$B$11)*T415+Summary!$B$11*V415</f>
        <v/>
      </c>
      <c r="P415">
        <f>IF(B428=0,0,O415/B428)</f>
        <v/>
      </c>
      <c r="Q415" t="n">
        <v>0</v>
      </c>
      <c r="R415" t="n">
        <v>0</v>
      </c>
      <c r="S415" t="n">
        <v>0</v>
      </c>
      <c r="T415" t="n">
        <v>0</v>
      </c>
      <c r="V415" t="n">
        <v>0</v>
      </c>
    </row>
    <row r="417">
      <c r="A417" t="inlineStr">
        <is>
          <t>Attack% Bucket Multiplier</t>
        </is>
      </c>
      <c r="B417">
        <f>(1+(((C399=TRUE)*F399)+((C400=TRUE)*IF(Inputs!$B$38="pvp",F400,(1-Summary!$B$11)*(F400)+Summary!$B$11*(0)))+((C401=TRUE)*F401*IF(AND(Inputs!$B$38&lt;&gt;"pvp",Inputs!$B$43&gt;0),(((R401-1)*(Skills!T15*(1+Inputs!$B$34/100))+MIN((Skills!T15*(1+Inputs!$B$34/100)),MAX(0,Inputs!$B$43-((R401-1)*Skills!D15))))/Inputs!$B$43),IF(Inputs!$B$38="pvp",MIN((Skills!T15*(1+Inputs!$B$34/100)),15)/15,(Skills!T15*(1+Inputs!$B$34/100))/Skills!D15)))+((C398=TRUE)*F398)+((C415=TRUE)*(F415-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418">
      <c r="A418" t="inlineStr">
        <is>
          <t>Global Crit Rate Bonus %</t>
        </is>
      </c>
      <c r="B418">
        <f>(C402=TRUE)*20*IF(AND(Inputs!$B$38&lt;&gt;"pvp",Inputs!$B$43&gt;0),(((R402-1)*(Skills!T16*(1+Inputs!$B$34/100))+MIN((Skills!T16*(1+Inputs!$B$34/100)),MAX(0,Inputs!$B$43-((R402-1)*Skills!D16))))/Inputs!$B$43),IF(Inputs!$B$38="pvp",MIN((Skills!T16*(1+Inputs!$B$34/100)),15)/15,(Skills!T16*(1+Inputs!$B$34/100))/Skills!D16))</f>
        <v/>
      </c>
    </row>
    <row r="419">
      <c r="A419" t="inlineStr">
        <is>
          <t>Attack Speed Buff Bonus %</t>
        </is>
      </c>
      <c r="B419">
        <f>((C404=TRUE)*F404*IF(AND(Inputs!$B$38&lt;&gt;"pvp",Inputs!$B$43&gt;0),(((R404-1)*(Skills!T18*(1+Inputs!$B$34/100))+MIN((Skills!T18*(1+Inputs!$B$34/100)),MAX(0,Inputs!$B$43-((R404-1)*Skills!D18))))/Inputs!$B$43),IF(Inputs!$B$38="pvp",MIN((Skills!T18*(1+Inputs!$B$34/100)),15)/15,(Skills!T18*(1+Inputs!$B$34/100))/Skills!D18)))</f>
        <v/>
      </c>
    </row>
    <row r="420">
      <c r="A420" t="inlineStr">
        <is>
          <t>Actions Per Second</t>
        </is>
      </c>
      <c r="B420">
        <f>1+MIN(150,150*(1-(1-(Inputs!$B$11+((C406=TRUE)*(F406-Calc!F20))+((C407=TRUE)*(F407-Calc!F21)))/150)*(1-B419/150)))/100</f>
        <v/>
      </c>
    </row>
    <row r="421">
      <c r="A421" t="inlineStr">
        <is>
          <t>Skill + Buff Cast Rate</t>
        </is>
      </c>
      <c r="B421">
        <f>IF(AND(Inputs!$B$38&lt;&gt;"pvp",Inputs!$B$43&gt;0),SUMPRODUCT((Skills!E2:E29=TRUE)*(C388:C415=TRUE)*R388:R415*Skills!F2:F29)/Inputs!$B$43,SUMPRODUCT((Skills!E2:E29=TRUE)*(C388:C415=TRUE)*Q388:Q415*Skills!F2:F29))</f>
        <v/>
      </c>
    </row>
    <row r="422">
      <c r="A422" t="inlineStr">
        <is>
          <t>Empowered Piercing Arrow Casts Per Second</t>
        </is>
      </c>
      <c r="B422">
        <f>MAX(0,B420-B421)</f>
        <v/>
      </c>
    </row>
    <row r="423">
      <c r="A423" t="inlineStr">
        <is>
          <t>Global Critical Damage Bonus % (Sharp Eyes)</t>
        </is>
      </c>
      <c r="B423">
        <f>(C402=TRUE)*F402*IF(AND(Inputs!$B$38&lt;&gt;"pvp",Inputs!$B$43&gt;0),(((R402-1)*(Skills!T16*(1+Inputs!$B$34/100))+MIN((Skills!T16*(1+Inputs!$B$34/100)),MAX(0,Inputs!$B$43-((R402-1)*Skills!D16))))/Inputs!$B$43),IF(Inputs!$B$38="pvp",MIN((Skills!T16*(1+Inputs!$B$34/100)),15)/15,(Skills!T16*(1+Inputs!$B$34/100))/Skills!D16))</f>
        <v/>
      </c>
    </row>
    <row r="424">
      <c r="A424" t="inlineStr">
        <is>
          <t>Global Final Damage Bonus % (Mortal Blow + Last Man Standing conditional half)</t>
        </is>
      </c>
      <c r="B424">
        <f>(C403=TRUE)*F403+((C412=TRUE)*IF(Inputs!$B$38="pvp",F412,(1-Summary!$B$11)*(F412)+Summary!$B$11*(0)))</f>
        <v/>
      </c>
    </row>
    <row r="425">
      <c r="A425" t="inlineStr">
        <is>
          <t>Buff-Casting Startup Delay (s, fixed-duration only)</t>
        </is>
      </c>
      <c r="B425">
        <f>IF(AND(Inputs!$B$38&lt;&gt;"pvp",Inputs!$B$43&gt;0),SUMPRODUCT((Skills!T2:T29&gt;0)*(Skills!E2:E29=TRUE)*(C388:C415=TRUE))/B420,0)</f>
        <v/>
      </c>
    </row>
    <row r="426">
      <c r="A426" t="inlineStr">
        <is>
          <t>Boss-Only Total DPS (this block's swept value)</t>
        </is>
      </c>
      <c r="B426">
        <f>SUM(T388:T415)</f>
        <v/>
      </c>
    </row>
    <row r="427">
      <c r="A427" t="inlineStr">
        <is>
          <t>Normal-Only Total DPS (this block's swept value)</t>
        </is>
      </c>
      <c r="B427">
        <f>SUM(V388:V415)</f>
        <v/>
      </c>
    </row>
    <row r="428">
      <c r="A428" s="6" t="inlineStr">
        <is>
          <t>TOTAL DPS</t>
        </is>
      </c>
      <c r="B428" s="6">
        <f>SUM(O388:O415)</f>
        <v/>
      </c>
    </row>
    <row r="431">
      <c r="A431" s="6" t="inlineStr">
        <is>
          <t>Stat: MIN_DAMAGE %</t>
        </is>
      </c>
    </row>
    <row r="432">
      <c r="A432" s="5" t="inlineStr">
        <is>
          <t>Key</t>
        </is>
      </c>
      <c r="B432" s="5" t="inlineStr">
        <is>
          <t>Name</t>
        </is>
      </c>
      <c r="C432" s="5" t="inlineStr">
        <is>
          <t>Unlocked</t>
        </is>
      </c>
      <c r="D432" s="5" t="inlineStr">
        <is>
          <t>InputLevel</t>
        </is>
      </c>
      <c r="E432" s="5" t="inlineStr">
        <is>
          <t>Factor</t>
        </is>
      </c>
      <c r="F432" s="5" t="inlineStr">
        <is>
          <t>CoefficientPercent</t>
        </is>
      </c>
      <c r="G432" s="5" t="inlineStr">
        <is>
          <t>EffectiveHits</t>
        </is>
      </c>
      <c r="H432" s="5" t="inlineStr">
        <is>
          <t>ProcProbability</t>
        </is>
      </c>
      <c r="I432" s="5" t="inlineStr">
        <is>
          <t>MapleHeroMultiplier</t>
        </is>
      </c>
      <c r="J432" s="5" t="inlineStr">
        <is>
          <t>BaseDamage</t>
        </is>
      </c>
      <c r="K432" s="5" t="inlineStr">
        <is>
          <t>BaseHitDamage</t>
        </is>
      </c>
      <c r="L432" s="5" t="inlineStr">
        <is>
          <t>NonCritAvg</t>
        </is>
      </c>
      <c r="M432" s="5" t="inlineStr">
        <is>
          <t>CritAvg</t>
        </is>
      </c>
      <c r="N432" s="5" t="inlineStr">
        <is>
          <t>ExpectedDamage(perHit)</t>
        </is>
      </c>
      <c r="O432" s="5" t="inlineStr">
        <is>
          <t>DPS</t>
        </is>
      </c>
      <c r="P432" s="5" t="inlineStr">
        <is>
          <t>% of Total</t>
        </is>
      </c>
      <c r="Q432" s="5" t="inlineStr">
        <is>
          <t>InvCooldown</t>
        </is>
      </c>
      <c r="R432" s="5" t="inlineStr">
        <is>
          <t>CastsInFight</t>
        </is>
      </c>
      <c r="S432" s="5" t="inlineStr">
        <is>
          <t>HitRate(perSec)</t>
        </is>
      </c>
      <c r="U432" t="inlineStr">
        <is>
          <t>helpers</t>
        </is>
      </c>
    </row>
    <row r="433">
      <c r="A433">
        <f>Skills!A2</f>
        <v/>
      </c>
      <c r="B433">
        <f>Skills!B2</f>
        <v/>
      </c>
      <c r="C433">
        <f>Inputs!$B$3&gt;=100</f>
        <v/>
      </c>
      <c r="D433" t="inlineStr"/>
      <c r="E433" t="inlineStr"/>
      <c r="F433">
        <f>U435+Skills!O2</f>
        <v/>
      </c>
      <c r="G433">
        <f>Skills!G2*IF(Skills!H2&gt;0,Skills!I2/Skills!H2,1)</f>
        <v/>
      </c>
      <c r="H433">
        <f>1-(1-Skills!J2/100)^Skills!K2</f>
        <v/>
      </c>
      <c r="I433" t="inlineStr">
        <is>
          <t>1</t>
        </is>
      </c>
      <c r="J433">
        <f>((Inputs!$B$6*(1+Inputs!$B$7/100))+(((Inputs!$B$12*(1+Inputs!$B$13/100))-(Inputs!$B$12*(1+Inputs!$B$13/100)))+0.25*(Inputs!$B$14-Inputs!$B$14))*(1+Inputs!$B$7/100))*(F433/100)</f>
        <v/>
      </c>
      <c r="K433">
        <f>J433*(1+((Inputs!$B$12*(1+Inputs!$B$13/100))*0.01+Inputs!$B$14*0.0025)/100)*(1+Inputs!$B$15/100)*(1+Inputs!$B$16/100)*(5000/(6000+Inputs!$B$42*(1-(100*(1-(1-(Inputs!$B$19+0)/100)*(1-CHOOSE(ArtifactsInput!$N$40+1,5,6,7,8,9,10)/100)^(ArtifactsInput!$M$40-ArtifactsInput!$M$40)))/100)))*(1+(Inputs!$B$24+((C455=TRUE)*(F455-Calc!F24))+((C456=TRUE)*(F456-Calc!F25))+B469)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EMPOWERED_PIERCING_ARROW",Inputs!$B$17+((C453=TRUE)*(F453-Calc!F22))+(((IF(AND(ArtifactsInput!$M$42,((Inputs!$B$9+((C450=TRUE)*(F450-Calc!F19))+B463+(ArtifactsInput!$M$24-ArtifactsInput!$M$24)*CHOOSE(ArtifactsInput!$N$24+1,10,12,14,16,18,20)+IF(ArtifactsInput!$M$10,CHOOSE(ArtifactsInput!$N$10+1,15,18,21,24,27,30)*(IF(Inputs!$B$38="pvp",MIN(15,15)/15,IF(AND(Inputs!$B$38&lt;&gt;"pvp",Inputs!$B$43&gt;0),MIN(15,Inputs!$B$43)/(Inputs!$B$43),0))),0)))&gt;=100),MIN(100,((Inputs!$B$9+((C450=TRUE)*(F450-Calc!F19))+B463+(ArtifactsInput!$M$24-ArtifactsInput!$M$24)*CHOOSE(ArtifactsInput!$N$24+1,10,12,14,16,18,20)+IF(ArtifactsInput!$M$10,CHOOSE(ArtifactsInput!$N$10+1,15,18,21,24,27,30)*(IF(Inputs!$B$38="pvp",MIN(15,15)/15,IF(AND(Inputs!$B$38&lt;&gt;"pvp",Inputs!$B$43&gt;0),MIN(15,Inputs!$B$43)/(Inputs!$B$43),0))),0)))-100),0))*CHOOSE(ArtifactsInput!$N$42+1,0.6,0.72,0.84,0.96,1.08,1.2))),Inputs!$B$18+((C458=TRUE)*(F458-Calc!F27))+(IF(AND(ArtifactsInput!$M$42,((Inputs!$B$9+((C450=TRUE)*(F450-Calc!F19))+B463+(ArtifactsInput!$M$24-ArtifactsInput!$M$24)*CHOOSE(ArtifactsInput!$N$24+1,10,12,14,16,18,20)+IF(ArtifactsInput!$M$10,CHOOSE(ArtifactsInput!$N$10+1,15,18,21,24,27,30)*(IF(Inputs!$B$38="pvp",MIN(15,15)/15,IF(AND(Inputs!$B$38&lt;&gt;"pvp",Inputs!$B$43&gt;0),MIN(15,Inputs!$B$43)/(Inputs!$B$43),0))),0)))&gt;=100),CHOOSE(ArtifactsInput!$N$42+1,40,48,56,64,72,80),0))))/100)*((1+(((C444=TRUE)*F444)+((C445=TRUE)*IF(Inputs!$B$38="pvp",F445,(1-Summary!$B$11)*(F445)+Summary!$B$11*(0)))+((C446=TRUE)*F446*IF(AND(Inputs!$B$38&lt;&gt;"pvp",Inputs!$B$43&gt;0),(((R446-1)*(Skills!T15*(1+Inputs!$B$34/100))+MIN((Skills!T15*(1+Inputs!$B$34/100)),MAX(0,Inputs!$B$43-((R446-1)*Skills!D15))))/Inputs!$B$43),IF(Inputs!$B$38="pvp",MIN((Skills!T15*(1+Inputs!$B$34/100)),15)/15,(Skills!T15*(1+Inputs!$B$34/100))/Skills!D15)))+((C443=TRUE)*F443)+((C460=TRUE)*(F460-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433)</f>
        <v/>
      </c>
      <c r="L433">
        <f>K433*(MIN((Inputs!$B$22+1)+((C454=TRUE)*(F454-Calc!F23)),(Inputs!$B$23+((C459=TRUE)*(F459-Calc!F28))+(IF(ArtifactsInput!$M$15,CHOOSE(ArtifactsInput!$N$15+1,25,30,35,40,45,50)/100*(Inputs!$B$11-Inputs!$B$11),0))))/100+(Inputs!$B$23+((C459=TRUE)*(F459-Calc!F28))+(IF(ArtifactsInput!$M$15,CHOOSE(ArtifactsInput!$N$15+1,25,30,35,40,45,50)/100*(Inputs!$B$11-Inputs!$B$11),0)))/100)/2</f>
        <v/>
      </c>
      <c r="M433">
        <f>L433*(1+(Inputs!$B$10+0+B468+(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433">
        <f>L433*(1-MIN((Inputs!$B$9+((C450=TRUE)*(F450-Calc!F19))+B463+(ArtifactsInput!$M$24-ArtifactsInput!$M$24)*CHOOSE(ArtifactsInput!$N$24+1,10,12,14,16,18,20)+(IF(AND(ArtifactsInput!$M$42,((Inputs!$B$9+((C450=TRUE)*(F450-Calc!F19))+B463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433*(MIN((Inputs!$B$9+((C450=TRUE)*(F450-Calc!F19))+B463+(ArtifactsInput!$M$24-ArtifactsInput!$M$24)*CHOOSE(ArtifactsInput!$N$24+1,10,12,14,16,18,20)+(IF(AND(ArtifactsInput!$M$42,((Inputs!$B$9+((C450=TRUE)*(F450-Calc!F19))+B463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433">
        <f>(1-Summary!$B$11)*T433+Summary!$B$11*V433</f>
        <v/>
      </c>
      <c r="P433">
        <f>IF(B473=0,0,O433/B473)</f>
        <v/>
      </c>
      <c r="Q433" t="n">
        <v>0</v>
      </c>
      <c r="R433" t="n">
        <v>0</v>
      </c>
      <c r="S433">
        <f>IFERROR((Skills!G2*N433*B467)/N433*IF(Inputs!$B$38="pvp",1,(1-Summary!$B$11)*1+Summary!$B$11*(MIN((6+Inputs!$B$33),Inputs!$B$37))),0)</f>
        <v/>
      </c>
      <c r="T433">
        <f>IF(C433,(Skills!G2*N433*B467)*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Hunt"),CHOOSE(ArtifactsInput!$N$35+1,15,18,21,24,27,30)*(1-EXP(-(0.2*B465)*5)),0)+IF(AND(ArtifactsInput!$M$22,Inputs!$B$4&lt;&gt;"Chapter Hunt"),CHOOSE(ArtifactsInput!$N$22+1,10,12,14,16,18,20)*((0*(((0.15*B465*5))^0/1)+1*(((0.15*B465*5))^1/1)+2*(((0.15*B465*5))^2/2)+3*(((0.15*B465*5))^3/6)+4*(((0.15*B465*5))^4/24)+5*(((0.15*B465*5))^5/120))/((((0.15*B465*5))^0/1)+(((0.15*B465*5))^1/1)+(((0.15*B465*5))^2/2)+(((0.15*B465*5))^3/6)+(((0.15*B465*5))^4/24)+(((0.15*B465*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433*(1-MIN(100,(Inputs!$B$9+((C450=TRUE)*(F450-Calc!F19))+B463+(ArtifactsInput!$M$24-ArtifactsInput!$M$24)*CHOOSE(ArtifactsInput!$N$24+1,10,12,14,16,18,20)+(IF(AND(ArtifactsInput!$M$42,((Inputs!$B$9+((C450=TRUE)*(F450-Calc!F19))+B463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433*(MIN(100,(Inputs!$B$9+((C450=TRUE)*(F450-Calc!F19))+B463+(ArtifactsInput!$M$24-ArtifactsInput!$M$24)*CHOOSE(ArtifactsInput!$N$24+1,10,12,14,16,18,20)+(IF(AND(ArtifactsInput!$M$42,((Inputs!$B$9+((C450=TRUE)*(F450-Calc!F19))+B463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433*(1-MIN(100,(Inputs!$B$9+((C450=TRUE)*(F450-Calc!F19))+B463+(ArtifactsInput!$M$24-ArtifactsInput!$M$24)*CHOOSE(ArtifactsInput!$N$24+1,10,12,14,16,18,20)+(IF(AND(ArtifactsInput!$M$42,((Inputs!$B$9+((C450=TRUE)*(F450-Calc!F19))+B463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433*(MIN(100,(Inputs!$B$9+((C450=TRUE)*(F450-Calc!F19))+B463+(ArtifactsInput!$M$24-ArtifactsInput!$M$24)*CHOOSE(ArtifactsInput!$N$24+1,10,12,14,16,18,20)+(IF(AND(ArtifactsInput!$M$42,((Inputs!$B$9+((C450=TRUE)*(F450-Calc!F19))+B463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433">
        <f>MAX(0,(Inputs!$B$3-100)*3)+Inputs!$B$28+Inputs!$B$29</f>
        <v/>
      </c>
      <c r="V433">
        <f>IF(C433,(Skills!G2*N433*B467)*IF(Inputs!$B$38="pvp",1,(1+(Inputs!$B$21+Skills!Q2+(IF(ArtifactsInput!$M$33,CHOOSE(ArtifactsInput!$N$33+1,30,36,42,48,54,60),0))+(IF(AND(ArtifactsInput!$M$35,Inputs!$B$4&lt;&gt;"Chapter Hunt"),CHOOSE(ArtifactsInput!$N$35+1,15,18,21,24,27,30)*(1-EXP(-(0.2*B465)*5)),0)+IF(AND(ArtifactsInput!$M$22,Inputs!$B$4&lt;&gt;"Chapter Hunt"),CHOOSE(ArtifactsInput!$N$22+1,10,12,14,16,18,20)*((0*(((0.15*B465*5))^0/1)+1*(((0.15*B465*5))^1/1)+2*(((0.15*B465*5))^2/2)+3*(((0.15*B465*5))^3/6)+4*(((0.15*B465*5))^4/24)+5*(((0.15*B465*5))^5/120))/((((0.15*B465*5))^0/1)+(((0.15*B465*5))^1/1)+(((0.15*B465*5))^2/2)+(((0.15*B465*5))^3/6)+(((0.15*B465*5))^4/24)+(((0.15*B465*5))^5/120)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434">
      <c r="A434">
        <f>Skills!A3</f>
        <v/>
      </c>
      <c r="B434">
        <f>Skills!B3</f>
        <v/>
      </c>
      <c r="C434">
        <f>Inputs!$B$3&gt;=50</f>
        <v/>
      </c>
      <c r="D434">
        <f>IF(Skills!C3=1,60+Inputs!$B$25+Inputs!$B$29,IF(Skills!C3=2,90+Inputs!$B$26+Inputs!$B$29,IF(Skills!C3=3,120+Inputs!$B$27+Inputs!$B$29,MAX(0,(Inputs!$B$3-100)*3)+Inputs!$B$28+Inputs!$B$29)))</f>
        <v/>
      </c>
      <c r="E434">
        <f>INDEX(FactorTable!$B$2:$Y$301, MATCH(ROUND(MIN(300,MAX(1,D434)),0), FactorTable!$A$2:$A$301,0), Skills!M3+1)</f>
        <v/>
      </c>
      <c r="F434">
        <f>IF(Skills!N3=TRUE,(Skills!L3/10)*(E434/1000),Skills!L3/10)+Skills!O3</f>
        <v/>
      </c>
      <c r="G434" t="inlineStr"/>
      <c r="H434" t="inlineStr"/>
      <c r="I434" t="inlineStr">
        <is>
          <t>1</t>
        </is>
      </c>
      <c r="J434" t="inlineStr"/>
      <c r="K434" t="inlineStr"/>
      <c r="L434" t="inlineStr"/>
      <c r="M434" t="inlineStr"/>
      <c r="N434" t="inlineStr"/>
      <c r="O434" t="inlineStr"/>
      <c r="P434" t="inlineStr"/>
      <c r="Q434" t="inlineStr"/>
      <c r="R434" t="inlineStr"/>
      <c r="S434" t="inlineStr"/>
      <c r="T434" t="inlineStr"/>
      <c r="U434">
        <f>INDEX(FactorTable!$B$2:$Y$301, MATCH(ROUND(MIN(300,MAX(1,U433)),0), FactorTable!$A$2:$A$301,0), 22)</f>
        <v/>
      </c>
      <c r="V434" t="inlineStr"/>
    </row>
    <row r="435">
      <c r="A435">
        <f>Skills!A4</f>
        <v/>
      </c>
      <c r="B435">
        <f>Skills!B4</f>
        <v/>
      </c>
      <c r="C435">
        <f>Inputs!$B$3&gt;=105</f>
        <v/>
      </c>
      <c r="D435">
        <f>IF(Skills!C4=1,60+Inputs!$B$25+Inputs!$B$29,IF(Skills!C4=2,90+Inputs!$B$26+Inputs!$B$29,IF(Skills!C4=3,120+Inputs!$B$27+Inputs!$B$29,MAX(0,(Inputs!$B$3-100)*3)+Inputs!$B$28+Inputs!$B$29)))</f>
        <v/>
      </c>
      <c r="E435">
        <f>INDEX(FactorTable!$B$2:$Y$301, MATCH(ROUND(MIN(300,MAX(1,D435)),0), FactorTable!$A$2:$A$301,0), Skills!M4+1)</f>
        <v/>
      </c>
      <c r="F435">
        <f>IF(Skills!N4=TRUE,(Skills!L4/10)*(E435/1000),Skills!L4/10)+Skills!O4</f>
        <v/>
      </c>
      <c r="G435" t="inlineStr"/>
      <c r="H435" t="inlineStr"/>
      <c r="I435" t="inlineStr">
        <is>
          <t>1</t>
        </is>
      </c>
      <c r="J435" t="inlineStr"/>
      <c r="K435" t="inlineStr"/>
      <c r="L435" t="inlineStr"/>
      <c r="M435" t="inlineStr"/>
      <c r="N435" t="inlineStr"/>
      <c r="O435" t="inlineStr"/>
      <c r="P435" t="inlineStr"/>
      <c r="Q435" t="inlineStr"/>
      <c r="R435" t="inlineStr"/>
      <c r="S435" t="inlineStr"/>
      <c r="T435" t="inlineStr"/>
      <c r="U435">
        <f>290*U434/1000</f>
        <v/>
      </c>
      <c r="V435" t="inlineStr"/>
    </row>
    <row r="436">
      <c r="A436">
        <f>Skills!A5</f>
        <v/>
      </c>
      <c r="B436">
        <f>Skills!B5</f>
        <v/>
      </c>
      <c r="C436">
        <f>Inputs!$B$3&gt;=35</f>
        <v/>
      </c>
      <c r="D436">
        <f>IF(Skills!C5=1,60+Inputs!$B$25+Inputs!$B$29,IF(Skills!C5=2,90+Inputs!$B$26+Inputs!$B$29,IF(Skills!C5=3,120+Inputs!$B$27+Inputs!$B$29,MAX(0,(Inputs!$B$3-100)*3)+Inputs!$B$28+Inputs!$B$29)))</f>
        <v/>
      </c>
      <c r="E436">
        <f>INDEX(FactorTable!$B$2:$Y$301, MATCH(ROUND(MIN(300,MAX(1,D436)),0), FactorTable!$A$2:$A$301,0), Skills!M5+1)</f>
        <v/>
      </c>
      <c r="F436">
        <f>IF(Skills!N5=TRUE,(Skills!L5/10)*(E436/1000),Skills!L5/10)+Skills!O5</f>
        <v/>
      </c>
      <c r="G436">
        <f>Skills!G5*IF(Skills!H5&gt;0,Skills!I5/Skills!H5,1)</f>
        <v/>
      </c>
      <c r="H436">
        <f>1-(1-Skills!J5/100)^Skills!K5</f>
        <v/>
      </c>
      <c r="I436" t="inlineStr">
        <is>
          <t>1</t>
        </is>
      </c>
      <c r="J436">
        <f>((Inputs!$B$6*(1+Inputs!$B$7/100))+(((Inputs!$B$12*(1+Inputs!$B$13/100))-(Inputs!$B$12*(1+Inputs!$B$13/100)))+0.25*(Inputs!$B$14-Inputs!$B$14))*(1+Inputs!$B$7/100))*(F436/100)</f>
        <v/>
      </c>
      <c r="K436">
        <f>J436*(1+((Inputs!$B$12*(1+Inputs!$B$13/100))*0.01+Inputs!$B$14*0.0025)/100)*(1+Inputs!$B$15/100)*(1+Inputs!$B$16/100)*(5000/(6000+Inputs!$B$42*(1-(100*(1-(1-(Inputs!$B$19+0)/100)*(1-CHOOSE(ArtifactsInput!$N$40+1,5,6,7,8,9,10)/100)^(ArtifactsInput!$M$40-ArtifactsInput!$M$40)))/100)))*(1+(Inputs!$B$24+((C455=TRUE)*(F455-Calc!F24))+((C456=TRUE)*(F456-Calc!F25))+B469)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439=TRUE,F439,0)/100)*(1+(IF(Skills!A5="EMPOWERED_PIERCING_ARROW",Inputs!$B$17+((C453=TRUE)*(F453-Calc!F22))+(((IF(AND(ArtifactsInput!$M$42,((Inputs!$B$9+((C450=TRUE)*(F450-Calc!F19))+B463+(ArtifactsInput!$M$24-ArtifactsInput!$M$24)*CHOOSE(ArtifactsInput!$N$24+1,10,12,14,16,18,20)+IF(ArtifactsInput!$M$10,CHOOSE(ArtifactsInput!$N$10+1,15,18,21,24,27,30)*(IF(Inputs!$B$38="pvp",MIN(15,15)/15,IF(AND(Inputs!$B$38&lt;&gt;"pvp",Inputs!$B$43&gt;0),MIN(15,Inputs!$B$43)/(Inputs!$B$43),0))),0)))&gt;=100),MIN(100,((Inputs!$B$9+((C450=TRUE)*(F450-Calc!F19))+B463+(ArtifactsInput!$M$24-ArtifactsInput!$M$24)*CHOOSE(ArtifactsInput!$N$24+1,10,12,14,16,18,20)+IF(ArtifactsInput!$M$10,CHOOSE(ArtifactsInput!$N$10+1,15,18,21,24,27,30)*(IF(Inputs!$B$38="pvp",MIN(15,15)/15,IF(AND(Inputs!$B$38&lt;&gt;"pvp",Inputs!$B$43&gt;0),MIN(15,Inputs!$B$43)/(Inputs!$B$43),0))),0)))-100),0))*CHOOSE(ArtifactsInput!$N$42+1,0.6,0.72,0.84,0.96,1.08,1.2))),Inputs!$B$18+((C458=TRUE)*(F458-Calc!F27))+(IF(AND(ArtifactsInput!$M$42,((Inputs!$B$9+((C450=TRUE)*(F450-Calc!F19))+B463+(ArtifactsInput!$M$24-ArtifactsInput!$M$24)*CHOOSE(ArtifactsInput!$N$24+1,10,12,14,16,18,20)+IF(ArtifactsInput!$M$10,CHOOSE(ArtifactsInput!$N$10+1,15,18,21,24,27,30)*(IF(Inputs!$B$38="pvp",MIN(15,15)/15,IF(AND(Inputs!$B$38&lt;&gt;"pvp",Inputs!$B$43&gt;0),MIN(15,Inputs!$B$43)/(Inputs!$B$43),0))),0)))&gt;=100),CHOOSE(ArtifactsInput!$N$42+1,40,48,56,64,72,80),0))))/100)*((1+(((C444=TRUE)*F444)+((C445=TRUE)*IF(Inputs!$B$38="pvp",F445,(1-Summary!$B$11)*(F445)+Summary!$B$11*(0)))+((C446=TRUE)*F446*IF(AND(Inputs!$B$38&lt;&gt;"pvp",Inputs!$B$43&gt;0),(((R446-1)*(Skills!T15*(1+Inputs!$B$34/100))+MIN((Skills!T15*(1+Inputs!$B$34/100)),MAX(0,Inputs!$B$43-((R446-1)*Skills!D15))))/Inputs!$B$43),IF(Inputs!$B$38="pvp",MIN((Skills!T15*(1+Inputs!$B$34/100)),15)/15,(Skills!T15*(1+Inputs!$B$34/100))/Skills!D15)))+((C443=TRUE)*F443)+((C460=TRUE)*(F460-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436)</f>
        <v/>
      </c>
      <c r="L436">
        <f>K436*(MIN((Inputs!$B$22+1)+((C454=TRUE)*(F454-Calc!F23)),(Inputs!$B$23+((C459=TRUE)*(F459-Calc!F28))+(IF(ArtifactsInput!$M$15,CHOOSE(ArtifactsInput!$N$15+1,25,30,35,40,45,50)/100*(Inputs!$B$11-Inputs!$B$11),0))))/100+(Inputs!$B$23+((C459=TRUE)*(F459-Calc!F28))+(IF(ArtifactsInput!$M$15,CHOOSE(ArtifactsInput!$N$15+1,25,30,35,40,45,50)/100*(Inputs!$B$11-Inputs!$B$11),0)))/100)/2</f>
        <v/>
      </c>
      <c r="M436">
        <f>L436*(1+(Inputs!$B$10+0+B468+(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436">
        <f>L436*(1-MIN((Inputs!$B$9+((C450=TRUE)*(F450-Calc!F19))+B463+(ArtifactsInput!$M$24-ArtifactsInput!$M$24)*CHOOSE(ArtifactsInput!$N$24+1,10,12,14,16,18,20)+(IF(AND(ArtifactsInput!$M$42,((Inputs!$B$9+((C450=TRUE)*(F450-Calc!F19))+B463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436*(MIN((Inputs!$B$9+((C450=TRUE)*(F450-Calc!F19))+B463+(ArtifactsInput!$M$24-ArtifactsInput!$M$24)*CHOOSE(ArtifactsInput!$N$24+1,10,12,14,16,18,20)+(IF(AND(ArtifactsInput!$M$42,((Inputs!$B$9+((C450=TRUE)*(F450-Calc!F19))+B463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436">
        <f>(1-Summary!$B$11)*T436+Summary!$B$11*V436</f>
        <v/>
      </c>
      <c r="P436">
        <f>IF(B473=0,0,O436/B473)</f>
        <v/>
      </c>
      <c r="Q436">
        <f>IFERROR(1/IF(Inputs!$B$38="pvp",15,MAX(0.1,Skills!D5-IF(Skills!E5=TRUE,Inputs!$B$32,0))),0)</f>
        <v/>
      </c>
      <c r="R436">
        <f>IF(AND(Inputs!$B$38&lt;&gt;"pvp",Inputs!$B$43&gt;0),IF(MAX(0,Inputs!$B$43-B470)&lt;=0,0,(INT(MAX(0,Inputs!$B$43-B470)/IF(Inputs!$B$38="pvp",15,MAX(0.1,Skills!D5-IF(Skills!E5=TRUE,Inputs!$B$32,0))))+1)),0)</f>
        <v/>
      </c>
      <c r="S436">
        <f>IFERROR((H436*N436*IF(AND(Inputs!$B$38&lt;&gt;"pvp",Inputs!$B$43&gt;0),((Skills!G5*((R436-1)*IF(Skills!H5&gt;0,Skills!I5/Skills!H5,1)+IF(Skills!H5&gt;0,MIN(Skills!I5,MAX(0,MAX(0,Inputs!$B$43-B470)-((R436-1)*IF(Inputs!$B$38="pvp",15,MAX(0.1,Skills!D5-IF(Skills!E5=TRUE,Inputs!$B$32,0))))))/Skills!H5,1)))/Inputs!$B$43),G436*Q436))/N436*IF(Inputs!$B$38="pvp",1,(1-Summary!$B$11)*1+Summary!$B$11*(MIN(Skills!R5,Inputs!$B$37))),0)</f>
        <v/>
      </c>
      <c r="T436">
        <f>IF(C436,(H436*N436*IF(AND(Inputs!$B$38&lt;&gt;"pvp",Inputs!$B$43&gt;0),((Skills!G5*((R436-1)*IF(Skills!H5&gt;0,Skills!I5/Skills!H5,1)+IF(Skills!H5&gt;0,MIN(Skills!I5,MAX(0,MAX(0,Inputs!$B$43-B470)-((R436-1)*IF(Inputs!$B$38="pvp",15,MAX(0.1,Skills!D5-IF(Skills!E5=TRUE,Inputs!$B$32,0))))))/Skills!H5,1)))/Inputs!$B$43),G436*Q436))*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Hunt"),CHOOSE(ArtifactsInput!$N$35+1,15,18,21,24,27,30)*(1-EXP(-(0.2*B465)*5)),0)+IF(AND(ArtifactsInput!$M$22,Inputs!$B$4&lt;&gt;"Chapter Hunt"),CHOOSE(ArtifactsInput!$N$22+1,10,12,14,16,18,20)*((0*(((0.15*B465*5))^0/1)+1*(((0.15*B465*5))^1/1)+2*(((0.15*B465*5))^2/2)+3*(((0.15*B465*5))^3/6)+4*(((0.15*B465*5))^4/24)+5*(((0.15*B465*5))^5/120))/((((0.15*B465*5))^0/1)+(((0.15*B465*5))^1/1)+(((0.15*B465*5))^2/2)+(((0.15*B465*5))^3/6)+(((0.15*B465*5))^4/24)+(((0.15*B465*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436*(1-MIN(100,(Inputs!$B$9+((C450=TRUE)*(F450-Calc!F19))+B463+(ArtifactsInput!$M$24-ArtifactsInput!$M$24)*CHOOSE(ArtifactsInput!$N$24+1,10,12,14,16,18,20)+(IF(AND(ArtifactsInput!$M$42,((Inputs!$B$9+((C450=TRUE)*(F450-Calc!F19))+B463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436*(MIN(100,(Inputs!$B$9+((C450=TRUE)*(F450-Calc!F19))+B463+(ArtifactsInput!$M$24-ArtifactsInput!$M$24)*CHOOSE(ArtifactsInput!$N$24+1,10,12,14,16,18,20)+(IF(AND(ArtifactsInput!$M$42,((Inputs!$B$9+((C450=TRUE)*(F450-Calc!F19))+B463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436*(1-MIN(100,(Inputs!$B$9+((C450=TRUE)*(F450-Calc!F19))+B463+(ArtifactsInput!$M$24-ArtifactsInput!$M$24)*CHOOSE(ArtifactsInput!$N$24+1,10,12,14,16,18,20)+(IF(AND(ArtifactsInput!$M$42,((Inputs!$B$9+((C450=TRUE)*(F450-Calc!F19))+B463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436*(MIN(100,(Inputs!$B$9+((C450=TRUE)*(F450-Calc!F19))+B463+(ArtifactsInput!$M$24-ArtifactsInput!$M$24)*CHOOSE(ArtifactsInput!$N$24+1,10,12,14,16,18,20)+(IF(AND(ArtifactsInput!$M$42,((Inputs!$B$9+((C450=TRUE)*(F450-Calc!F19))+B463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436">
        <f>IF(C436,(H436*N436*IF(AND(Inputs!$B$38&lt;&gt;"pvp",Inputs!$B$43&gt;0),((Skills!G5*((R436-1)*IF(Skills!H5&gt;0,Skills!I5/Skills!H5,1)+IF(Skills!H5&gt;0,MIN(Skills!I5,MAX(0,MAX(0,Inputs!$B$43-B470)-((R436-1)*IF(Inputs!$B$38="pvp",15,MAX(0.1,Skills!D5-IF(Skills!E5=TRUE,Inputs!$B$32,0))))))/Skills!H5,1)))/Inputs!$B$43),G436*Q436))*IF(Inputs!$B$38="pvp",1,(1+(Inputs!$B$21+Skills!Q5+(IF(ArtifactsInput!$M$33,CHOOSE(ArtifactsInput!$N$33+1,30,36,42,48,54,60),0))+(IF(AND(ArtifactsInput!$M$35,Inputs!$B$4&lt;&gt;"Chapter Hunt"),CHOOSE(ArtifactsInput!$N$35+1,15,18,21,24,27,30)*(1-EXP(-(0.2*B465)*5)),0)+IF(AND(ArtifactsInput!$M$22,Inputs!$B$4&lt;&gt;"Chapter Hunt"),CHOOSE(ArtifactsInput!$N$22+1,10,12,14,16,18,20)*((0*(((0.15*B465*5))^0/1)+1*(((0.15*B465*5))^1/1)+2*(((0.15*B465*5))^2/2)+3*(((0.15*B465*5))^3/6)+4*(((0.15*B465*5))^4/24)+5*(((0.15*B465*5))^5/120))/((((0.15*B465*5))^0/1)+(((0.15*B465*5))^1/1)+(((0.15*B465*5))^2/2)+(((0.15*B465*5))^3/6)+(((0.15*B465*5))^4/24)+(((0.15*B465*5))^5/120)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437">
      <c r="A437">
        <f>Skills!A6</f>
        <v/>
      </c>
      <c r="B437">
        <f>Skills!B6</f>
        <v/>
      </c>
      <c r="C437">
        <f>Inputs!$B$3&gt;=63</f>
        <v/>
      </c>
      <c r="D437">
        <f>IF(Skills!C6=1,60+Inputs!$B$25+Inputs!$B$29,IF(Skills!C6=2,90+Inputs!$B$26+Inputs!$B$29,IF(Skills!C6=3,120+Inputs!$B$27+Inputs!$B$29,MAX(0,(Inputs!$B$3-100)*3)+Inputs!$B$28+Inputs!$B$29)))</f>
        <v/>
      </c>
      <c r="E437">
        <f>INDEX(FactorTable!$B$2:$Y$301, MATCH(ROUND(MIN(300,MAX(1,D437)),0), FactorTable!$A$2:$A$301,0), Skills!M6+1)</f>
        <v/>
      </c>
      <c r="F437">
        <f>IF(Skills!N6=TRUE,(Skills!L6/10)*(E437/1000),Skills!L6/10)+Skills!O6</f>
        <v/>
      </c>
      <c r="G437">
        <f>Skills!G6*IF(Skills!H6&gt;0,Skills!I6/Skills!H6,1)</f>
        <v/>
      </c>
      <c r="H437">
        <f>1-(1-Skills!J6/100)^Skills!K6</f>
        <v/>
      </c>
      <c r="I437" t="inlineStr">
        <is>
          <t>1</t>
        </is>
      </c>
      <c r="J437">
        <f>((Inputs!$B$6*(1+Inputs!$B$7/100))+(((Inputs!$B$12*(1+Inputs!$B$13/100))-(Inputs!$B$12*(1+Inputs!$B$13/100)))+0.25*(Inputs!$B$14-Inputs!$B$14))*(1+Inputs!$B$7/100))*(F437/100)</f>
        <v/>
      </c>
      <c r="K437">
        <f>J437*(1+((Inputs!$B$12*(1+Inputs!$B$13/100))*0.01+Inputs!$B$14*0.0025)/100)*(1+Inputs!$B$15/100)*(1+Inputs!$B$16/100)*(5000/(6000+Inputs!$B$42*(1-(100*(1-(1-(Inputs!$B$19+0)/100)*(1-CHOOSE(ArtifactsInput!$N$40+1,5,6,7,8,9,10)/100)^(ArtifactsInput!$M$40-ArtifactsInput!$M$40)))/100)))*(1+(Inputs!$B$24+((C455=TRUE)*(F455-Calc!F24))+((C456=TRUE)*(F456-Calc!F25))+B469)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439=TRUE,F439,0)/100)*(1+(IF(Skills!A6="EMPOWERED_PIERCING_ARROW",Inputs!$B$17+((C453=TRUE)*(F453-Calc!F22))+(((IF(AND(ArtifactsInput!$M$42,((Inputs!$B$9+((C450=TRUE)*(F450-Calc!F19))+B463+(ArtifactsInput!$M$24-ArtifactsInput!$M$24)*CHOOSE(ArtifactsInput!$N$24+1,10,12,14,16,18,20)+IF(ArtifactsInput!$M$10,CHOOSE(ArtifactsInput!$N$10+1,15,18,21,24,27,30)*(IF(Inputs!$B$38="pvp",MIN(15,15)/15,IF(AND(Inputs!$B$38&lt;&gt;"pvp",Inputs!$B$43&gt;0),MIN(15,Inputs!$B$43)/(Inputs!$B$43),0))),0)))&gt;=100),MIN(100,((Inputs!$B$9+((C450=TRUE)*(F450-Calc!F19))+B463+(ArtifactsInput!$M$24-ArtifactsInput!$M$24)*CHOOSE(ArtifactsInput!$N$24+1,10,12,14,16,18,20)+IF(ArtifactsInput!$M$10,CHOOSE(ArtifactsInput!$N$10+1,15,18,21,24,27,30)*(IF(Inputs!$B$38="pvp",MIN(15,15)/15,IF(AND(Inputs!$B$38&lt;&gt;"pvp",Inputs!$B$43&gt;0),MIN(15,Inputs!$B$43)/(Inputs!$B$43),0))),0)))-100),0))*CHOOSE(ArtifactsInput!$N$42+1,0.6,0.72,0.84,0.96,1.08,1.2))),Inputs!$B$18+((C458=TRUE)*(F458-Calc!F27))+(IF(AND(ArtifactsInput!$M$42,((Inputs!$B$9+((C450=TRUE)*(F450-Calc!F19))+B463+(ArtifactsInput!$M$24-ArtifactsInput!$M$24)*CHOOSE(ArtifactsInput!$N$24+1,10,12,14,16,18,20)+IF(ArtifactsInput!$M$10,CHOOSE(ArtifactsInput!$N$10+1,15,18,21,24,27,30)*(IF(Inputs!$B$38="pvp",MIN(15,15)/15,IF(AND(Inputs!$B$38&lt;&gt;"pvp",Inputs!$B$43&gt;0),MIN(15,Inputs!$B$43)/(Inputs!$B$43),0))),0)))&gt;=100),CHOOSE(ArtifactsInput!$N$42+1,40,48,56,64,72,80),0))))/100)*((1+(((C444=TRUE)*F444)+((C445=TRUE)*IF(Inputs!$B$38="pvp",F445,(1-Summary!$B$11)*(F445)+Summary!$B$11*(0)))+((C446=TRUE)*F446*IF(AND(Inputs!$B$38&lt;&gt;"pvp",Inputs!$B$43&gt;0),(((R446-1)*(Skills!T15*(1+Inputs!$B$34/100))+MIN((Skills!T15*(1+Inputs!$B$34/100)),MAX(0,Inputs!$B$43-((R446-1)*Skills!D15))))/Inputs!$B$43),IF(Inputs!$B$38="pvp",MIN((Skills!T15*(1+Inputs!$B$34/100)),15)/15,(Skills!T15*(1+Inputs!$B$34/100))/Skills!D15)))+((C443=TRUE)*F443)+((C460=TRUE)*(F460-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437)</f>
        <v/>
      </c>
      <c r="L437">
        <f>K437*(MIN((Inputs!$B$22+1)+((C454=TRUE)*(F454-Calc!F23)),(Inputs!$B$23+((C459=TRUE)*(F459-Calc!F28))+(IF(ArtifactsInput!$M$15,CHOOSE(ArtifactsInput!$N$15+1,25,30,35,40,45,50)/100*(Inputs!$B$11-Inputs!$B$11),0))))/100+(Inputs!$B$23+((C459=TRUE)*(F459-Calc!F28))+(IF(ArtifactsInput!$M$15,CHOOSE(ArtifactsInput!$N$15+1,25,30,35,40,45,50)/100*(Inputs!$B$11-Inputs!$B$11),0)))/100)/2</f>
        <v/>
      </c>
      <c r="M437">
        <f>L437*(1+(Inputs!$B$10+0+B468+(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437">
        <f>L437*(1-MIN((Inputs!$B$9+((C450=TRUE)*(F450-Calc!F19))+B463+(ArtifactsInput!$M$24-ArtifactsInput!$M$24)*CHOOSE(ArtifactsInput!$N$24+1,10,12,14,16,18,20)+(IF(AND(ArtifactsInput!$M$42,((Inputs!$B$9+((C450=TRUE)*(F450-Calc!F19))+B463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437*(MIN((Inputs!$B$9+((C450=TRUE)*(F450-Calc!F19))+B463+(ArtifactsInput!$M$24-ArtifactsInput!$M$24)*CHOOSE(ArtifactsInput!$N$24+1,10,12,14,16,18,20)+(IF(AND(ArtifactsInput!$M$42,((Inputs!$B$9+((C450=TRUE)*(F450-Calc!F19))+B463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437">
        <f>(1-Summary!$B$11)*T437+Summary!$B$11*V437</f>
        <v/>
      </c>
      <c r="P437">
        <f>IF(B473=0,0,O437/B473)</f>
        <v/>
      </c>
      <c r="Q437">
        <f>IFERROR(1/IF(Inputs!$B$38="pvp",15,MAX(0.1,Skills!D6-IF(Skills!E6=TRUE,Inputs!$B$32,0))),0)</f>
        <v/>
      </c>
      <c r="R437">
        <f>IF(AND(Inputs!$B$38&lt;&gt;"pvp",Inputs!$B$43&gt;0),IF(MAX(0,Inputs!$B$43-B470)&lt;=0,0,(INT(MAX(0,Inputs!$B$43-B470)/IF(Inputs!$B$38="pvp",15,MAX(0.1,Skills!D6-IF(Skills!E6=TRUE,Inputs!$B$32,0))))+1)),0)</f>
        <v/>
      </c>
      <c r="S437">
        <f>IFERROR((H437*N437*IF(AND(Inputs!$B$38&lt;&gt;"pvp",Inputs!$B$43&gt;0),((Skills!G6*((R437-1)*IF(Skills!H6&gt;0,Skills!I6/Skills!H6,1)+IF(Skills!H6&gt;0,MIN(Skills!I6,MAX(0,MAX(0,Inputs!$B$43-B470)-((R437-1)*IF(Inputs!$B$38="pvp",15,MAX(0.1,Skills!D6-IF(Skills!E6=TRUE,Inputs!$B$32,0))))))/Skills!H6,1)))/Inputs!$B$43),G437*Q437))/N437*IF(Inputs!$B$38="pvp",1,(1-Summary!$B$11)*1+Summary!$B$11*(MIN(Skills!R6,Inputs!$B$37))),0)</f>
        <v/>
      </c>
      <c r="T437">
        <f>IF(C437,(H437*N437*IF(AND(Inputs!$B$38&lt;&gt;"pvp",Inputs!$B$43&gt;0),((Skills!G6*((R437-1)*IF(Skills!H6&gt;0,Skills!I6/Skills!H6,1)+IF(Skills!H6&gt;0,MIN(Skills!I6,MAX(0,MAX(0,Inputs!$B$43-B470)-((R437-1)*IF(Inputs!$B$38="pvp",15,MAX(0.1,Skills!D6-IF(Skills!E6=TRUE,Inputs!$B$32,0))))))/Skills!H6,1)))/Inputs!$B$43),G437*Q437))*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Hunt"),CHOOSE(ArtifactsInput!$N$35+1,15,18,21,24,27,30)*(1-EXP(-(0.2*B465)*5)),0)+IF(AND(ArtifactsInput!$M$22,Inputs!$B$4&lt;&gt;"Chapter Hunt"),CHOOSE(ArtifactsInput!$N$22+1,10,12,14,16,18,20)*((0*(((0.15*B465*5))^0/1)+1*(((0.15*B465*5))^1/1)+2*(((0.15*B465*5))^2/2)+3*(((0.15*B465*5))^3/6)+4*(((0.15*B465*5))^4/24)+5*(((0.15*B465*5))^5/120))/((((0.15*B465*5))^0/1)+(((0.15*B465*5))^1/1)+(((0.15*B465*5))^2/2)+(((0.15*B465*5))^3/6)+(((0.15*B465*5))^4/24)+(((0.15*B465*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437*(1-MIN(100,(Inputs!$B$9+((C450=TRUE)*(F450-Calc!F19))+B463+(ArtifactsInput!$M$24-ArtifactsInput!$M$24)*CHOOSE(ArtifactsInput!$N$24+1,10,12,14,16,18,20)+(IF(AND(ArtifactsInput!$M$42,((Inputs!$B$9+((C450=TRUE)*(F450-Calc!F19))+B463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437*(MIN(100,(Inputs!$B$9+((C450=TRUE)*(F450-Calc!F19))+B463+(ArtifactsInput!$M$24-ArtifactsInput!$M$24)*CHOOSE(ArtifactsInput!$N$24+1,10,12,14,16,18,20)+(IF(AND(ArtifactsInput!$M$42,((Inputs!$B$9+((C450=TRUE)*(F450-Calc!F19))+B463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437*(1-MIN(100,(Inputs!$B$9+((C450=TRUE)*(F450-Calc!F19))+B463+(ArtifactsInput!$M$24-ArtifactsInput!$M$24)*CHOOSE(ArtifactsInput!$N$24+1,10,12,14,16,18,20)+(IF(AND(ArtifactsInput!$M$42,((Inputs!$B$9+((C450=TRUE)*(F450-Calc!F19))+B463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437*(MIN(100,(Inputs!$B$9+((C450=TRUE)*(F450-Calc!F19))+B463+(ArtifactsInput!$M$24-ArtifactsInput!$M$24)*CHOOSE(ArtifactsInput!$N$24+1,10,12,14,16,18,20)+(IF(AND(ArtifactsInput!$M$42,((Inputs!$B$9+((C450=TRUE)*(F450-Calc!F19))+B463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437">
        <f>IF(C437,(H437*N437*IF(AND(Inputs!$B$38&lt;&gt;"pvp",Inputs!$B$43&gt;0),((Skills!G6*((R437-1)*IF(Skills!H6&gt;0,Skills!I6/Skills!H6,1)+IF(Skills!H6&gt;0,MIN(Skills!I6,MAX(0,MAX(0,Inputs!$B$43-B470)-((R437-1)*IF(Inputs!$B$38="pvp",15,MAX(0.1,Skills!D6-IF(Skills!E6=TRUE,Inputs!$B$32,0))))))/Skills!H6,1)))/Inputs!$B$43),G437*Q437))*IF(Inputs!$B$38="pvp",1,(1+(Inputs!$B$21+Skills!Q6+(IF(ArtifactsInput!$M$33,CHOOSE(ArtifactsInput!$N$33+1,30,36,42,48,54,60),0))+(IF(AND(ArtifactsInput!$M$35,Inputs!$B$4&lt;&gt;"Chapter Hunt"),CHOOSE(ArtifactsInput!$N$35+1,15,18,21,24,27,30)*(1-EXP(-(0.2*B465)*5)),0)+IF(AND(ArtifactsInput!$M$22,Inputs!$B$4&lt;&gt;"Chapter Hunt"),CHOOSE(ArtifactsInput!$N$22+1,10,12,14,16,18,20)*((0*(((0.15*B465*5))^0/1)+1*(((0.15*B465*5))^1/1)+2*(((0.15*B465*5))^2/2)+3*(((0.15*B465*5))^3/6)+4*(((0.15*B465*5))^4/24)+5*(((0.15*B465*5))^5/120))/((((0.15*B465*5))^0/1)+(((0.15*B465*5))^1/1)+(((0.15*B465*5))^2/2)+(((0.15*B465*5))^3/6)+(((0.15*B465*5))^4/24)+(((0.15*B465*5))^5/120))),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438">
      <c r="A438">
        <f>Skills!A7</f>
        <v/>
      </c>
      <c r="B438">
        <f>Skills!B7</f>
        <v/>
      </c>
      <c r="C438">
        <f>Inputs!$B$3&gt;=69</f>
        <v/>
      </c>
      <c r="D438">
        <f>IF(Skills!C7=1,60+Inputs!$B$25+Inputs!$B$29,IF(Skills!C7=2,90+Inputs!$B$26+Inputs!$B$29,IF(Skills!C7=3,120+Inputs!$B$27+Inputs!$B$29,MAX(0,(Inputs!$B$3-100)*3)+Inputs!$B$28+Inputs!$B$29)))</f>
        <v/>
      </c>
      <c r="E438">
        <f>INDEX(FactorTable!$B$2:$Y$301, MATCH(ROUND(MIN(300,MAX(1,D438)),0), FactorTable!$A$2:$A$301,0), Skills!M7+1)</f>
        <v/>
      </c>
      <c r="F438">
        <f>IF(Skills!N7=TRUE,(Skills!L7/10)*(E438/1000),Skills!L7/10)+Skills!O7</f>
        <v/>
      </c>
      <c r="G438">
        <f>Skills!G7*IF(Skills!H7&gt;0,Skills!I7/Skills!H7,1)</f>
        <v/>
      </c>
      <c r="H438">
        <f>1-(1-Skills!J7/100)^Skills!K7</f>
        <v/>
      </c>
      <c r="I438" t="inlineStr">
        <is>
          <t>1</t>
        </is>
      </c>
      <c r="J438">
        <f>((Inputs!$B$6*(1+Inputs!$B$7/100))+(((Inputs!$B$12*(1+Inputs!$B$13/100))-(Inputs!$B$12*(1+Inputs!$B$13/100)))+0.25*(Inputs!$B$14-Inputs!$B$14))*(1+Inputs!$B$7/100))*(F438/100)</f>
        <v/>
      </c>
      <c r="K438">
        <f>J438*(1+((Inputs!$B$12*(1+Inputs!$B$13/100))*0.01+Inputs!$B$14*0.0025)/100)*(1+Inputs!$B$15/100)*(1+Inputs!$B$16/100)*(5000/(6000+Inputs!$B$42*(1-(100*(1-(1-(Inputs!$B$19+0)/100)*(1-CHOOSE(ArtifactsInput!$N$40+1,5,6,7,8,9,10)/100)^(ArtifactsInput!$M$40-ArtifactsInput!$M$40)))/100)))*(1+(Inputs!$B$24+((C455=TRUE)*(F455-Calc!F24))+((C456=TRUE)*(F456-Calc!F25))+B469)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+1.2*IF(C439=TRUE,F439,0)/100)*(1+(IF(Skills!A7="EMPOWERED_PIERCING_ARROW",Inputs!$B$17+((C453=TRUE)*(F453-Calc!F22))+(((IF(AND(ArtifactsInput!$M$42,((Inputs!$B$9+((C450=TRUE)*(F450-Calc!F19))+B463+(ArtifactsInput!$M$24-ArtifactsInput!$M$24)*CHOOSE(ArtifactsInput!$N$24+1,10,12,14,16,18,20)+IF(ArtifactsInput!$M$10,CHOOSE(ArtifactsInput!$N$10+1,15,18,21,24,27,30)*(IF(Inputs!$B$38="pvp",MIN(15,15)/15,IF(AND(Inputs!$B$38&lt;&gt;"pvp",Inputs!$B$43&gt;0),MIN(15,Inputs!$B$43)/(Inputs!$B$43),0))),0)))&gt;=100),MIN(100,((Inputs!$B$9+((C450=TRUE)*(F450-Calc!F19))+B463+(ArtifactsInput!$M$24-ArtifactsInput!$M$24)*CHOOSE(ArtifactsInput!$N$24+1,10,12,14,16,18,20)+IF(ArtifactsInput!$M$10,CHOOSE(ArtifactsInput!$N$10+1,15,18,21,24,27,30)*(IF(Inputs!$B$38="pvp",MIN(15,15)/15,IF(AND(Inputs!$B$38&lt;&gt;"pvp",Inputs!$B$43&gt;0),MIN(15,Inputs!$B$43)/(Inputs!$B$43),0))),0)))-100),0))*CHOOSE(ArtifactsInput!$N$42+1,0.6,0.72,0.84,0.96,1.08,1.2))),Inputs!$B$18+((C458=TRUE)*(F458-Calc!F27))+(IF(AND(ArtifactsInput!$M$42,((Inputs!$B$9+((C450=TRUE)*(F450-Calc!F19))+B463+(ArtifactsInput!$M$24-ArtifactsInput!$M$24)*CHOOSE(ArtifactsInput!$N$24+1,10,12,14,16,18,20)+IF(ArtifactsInput!$M$10,CHOOSE(ArtifactsInput!$N$10+1,15,18,21,24,27,30)*(IF(Inputs!$B$38="pvp",MIN(15,15)/15,IF(AND(Inputs!$B$38&lt;&gt;"pvp",Inputs!$B$43&gt;0),MIN(15,Inputs!$B$43)/(Inputs!$B$43),0))),0)))&gt;=100),CHOOSE(ArtifactsInput!$N$42+1,40,48,56,64,72,80),0))))/100)*((1+(((C444=TRUE)*F444)+((C445=TRUE)*IF(Inputs!$B$38="pvp",F445,(1-Summary!$B$11)*(F445)+Summary!$B$11*(0)))+((C446=TRUE)*F446*IF(AND(Inputs!$B$38&lt;&gt;"pvp",Inputs!$B$43&gt;0),(((R446-1)*(Skills!T15*(1+Inputs!$B$34/100))+MIN((Skills!T15*(1+Inputs!$B$34/100)),MAX(0,Inputs!$B$43-((R446-1)*Skills!D15))))/Inputs!$B$43),IF(Inputs!$B$38="pvp",MIN((Skills!T15*(1+Inputs!$B$34/100)),15)/15,(Skills!T15*(1+Inputs!$B$34/100))/Skills!D15)))+((C443=TRUE)*F443)+((C460=TRUE)*(F460-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438)</f>
        <v/>
      </c>
      <c r="L438">
        <f>K438*(MIN((Inputs!$B$22+1)+((C454=TRUE)*(F454-Calc!F23)),(Inputs!$B$23+((C459=TRUE)*(F459-Calc!F28))+(IF(ArtifactsInput!$M$15,CHOOSE(ArtifactsInput!$N$15+1,25,30,35,40,45,50)/100*(Inputs!$B$11-Inputs!$B$11),0))))/100+(Inputs!$B$23+((C459=TRUE)*(F459-Calc!F28))+(IF(ArtifactsInput!$M$15,CHOOSE(ArtifactsInput!$N$15+1,25,30,35,40,45,50)/100*(Inputs!$B$11-Inputs!$B$11),0)))/100)/2</f>
        <v/>
      </c>
      <c r="M438">
        <f>L438*(1+(Inputs!$B$10+0+B468+(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438">
        <f>L438*(1-MIN((Inputs!$B$9+((C450=TRUE)*(F450-Calc!F19))+B463+(ArtifactsInput!$M$24-ArtifactsInput!$M$24)*CHOOSE(ArtifactsInput!$N$24+1,10,12,14,16,18,20)+(IF(AND(ArtifactsInput!$M$42,((Inputs!$B$9+((C450=TRUE)*(F450-Calc!F19))+B463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438*(MIN((Inputs!$B$9+((C450=TRUE)*(F450-Calc!F19))+B463+(ArtifactsInput!$M$24-ArtifactsInput!$M$24)*CHOOSE(ArtifactsInput!$N$24+1,10,12,14,16,18,20)+(IF(AND(ArtifactsInput!$M$42,((Inputs!$B$9+((C450=TRUE)*(F450-Calc!F19))+B463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438">
        <f>(1-Summary!$B$11)*T438+Summary!$B$11*V438</f>
        <v/>
      </c>
      <c r="P438">
        <f>IF(B473=0,0,O438/B473)</f>
        <v/>
      </c>
      <c r="Q438">
        <f>IFERROR(1/IF(Inputs!$B$38="pvp",15,MAX(0.1,Skills!D7-IF(Skills!E7=TRUE,Inputs!$B$32,0))),0)</f>
        <v/>
      </c>
      <c r="R438">
        <f>IF(AND(Inputs!$B$38&lt;&gt;"pvp",Inputs!$B$43&gt;0),IF(MAX(0,Inputs!$B$43-B470)&lt;=0,0,(INT(MAX(0,Inputs!$B$43-B470)/IF(Inputs!$B$38="pvp",15,MAX(0.1,Skills!D7-IF(Skills!E7=TRUE,Inputs!$B$32,0))))+1)),0)</f>
        <v/>
      </c>
      <c r="S438">
        <f>IFERROR((H438*N438*IF(AND(Inputs!$B$38&lt;&gt;"pvp",Inputs!$B$43&gt;0),((Skills!G7*((R438-1)*IF(Skills!H7&gt;0,Skills!I7/Skills!H7,1)+IF(Skills!H7&gt;0,MIN(Skills!I7,MAX(0,MAX(0,Inputs!$B$43-B470)-((R438-1)*IF(Inputs!$B$38="pvp",15,MAX(0.1,Skills!D7-IF(Skills!E7=TRUE,Inputs!$B$32,0))))))/Skills!H7,1)))/Inputs!$B$43),G438*Q438))/N438*IF(Inputs!$B$38="pvp",1,(1-Summary!$B$11)*1+Summary!$B$11*(MIN(Skills!R7,Inputs!$B$37))),0)</f>
        <v/>
      </c>
      <c r="T438">
        <f>IF(C438,(H438*N438*IF(AND(Inputs!$B$38&lt;&gt;"pvp",Inputs!$B$43&gt;0),((Skills!G7*((R438-1)*IF(Skills!H7&gt;0,Skills!I7/Skills!H7,1)+IF(Skills!H7&gt;0,MIN(Skills!I7,MAX(0,MAX(0,Inputs!$B$43-B470)-((R438-1)*IF(Inputs!$B$38="pvp",15,MAX(0.1,Skills!D7-IF(Skills!E7=TRUE,Inputs!$B$32,0))))))/Skills!H7,1)))/Inputs!$B$43),G438*Q438))*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Hunt"),CHOOSE(ArtifactsInput!$N$35+1,15,18,21,24,27,30)*(1-EXP(-(0.2*B465)*5)),0)+IF(AND(ArtifactsInput!$M$22,Inputs!$B$4&lt;&gt;"Chapter Hunt"),CHOOSE(ArtifactsInput!$N$22+1,10,12,14,16,18,20)*((0*(((0.15*B465*5))^0/1)+1*(((0.15*B465*5))^1/1)+2*(((0.15*B465*5))^2/2)+3*(((0.15*B465*5))^3/6)+4*(((0.15*B465*5))^4/24)+5*(((0.15*B465*5))^5/120))/((((0.15*B465*5))^0/1)+(((0.15*B465*5))^1/1)+(((0.15*B465*5))^2/2)+(((0.15*B465*5))^3/6)+(((0.15*B465*5))^4/24)+(((0.15*B465*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438*(1-MIN(100,(Inputs!$B$9+((C450=TRUE)*(F450-Calc!F19))+B463+(ArtifactsInput!$M$24-ArtifactsInput!$M$24)*CHOOSE(ArtifactsInput!$N$24+1,10,12,14,16,18,20)+(IF(AND(ArtifactsInput!$M$42,((Inputs!$B$9+((C450=TRUE)*(F450-Calc!F19))+B463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438*(MIN(100,(Inputs!$B$9+((C450=TRUE)*(F450-Calc!F19))+B463+(ArtifactsInput!$M$24-ArtifactsInput!$M$24)*CHOOSE(ArtifactsInput!$N$24+1,10,12,14,16,18,20)+(IF(AND(ArtifactsInput!$M$42,((Inputs!$B$9+((C450=TRUE)*(F450-Calc!F19))+B463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438*(1-MIN(100,(Inputs!$B$9+((C450=TRUE)*(F450-Calc!F19))+B463+(ArtifactsInput!$M$24-ArtifactsInput!$M$24)*CHOOSE(ArtifactsInput!$N$24+1,10,12,14,16,18,20)+(IF(AND(ArtifactsInput!$M$42,((Inputs!$B$9+((C450=TRUE)*(F450-Calc!F19))+B463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438*(MIN(100,(Inputs!$B$9+((C450=TRUE)*(F450-Calc!F19))+B463+(ArtifactsInput!$M$24-ArtifactsInput!$M$24)*CHOOSE(ArtifactsInput!$N$24+1,10,12,14,16,18,20)+(IF(AND(ArtifactsInput!$M$42,((Inputs!$B$9+((C450=TRUE)*(F450-Calc!F19))+B463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438">
        <f>IF(C438,(H438*N438*IF(AND(Inputs!$B$38&lt;&gt;"pvp",Inputs!$B$43&gt;0),((Skills!G7*((R438-1)*IF(Skills!H7&gt;0,Skills!I7/Skills!H7,1)+IF(Skills!H7&gt;0,MIN(Skills!I7,MAX(0,MAX(0,Inputs!$B$43-B470)-((R438-1)*IF(Inputs!$B$38="pvp",15,MAX(0.1,Skills!D7-IF(Skills!E7=TRUE,Inputs!$B$32,0))))))/Skills!H7,1)))/Inputs!$B$43),G438*Q438))*IF(Inputs!$B$38="pvp",1,(1+(Inputs!$B$21+Skills!Q7+(IF(ArtifactsInput!$M$33,CHOOSE(ArtifactsInput!$N$33+1,30,36,42,48,54,60),0))+(IF(AND(ArtifactsInput!$M$35,Inputs!$B$4&lt;&gt;"Chapter Hunt"),CHOOSE(ArtifactsInput!$N$35+1,15,18,21,24,27,30)*(1-EXP(-(0.2*B465)*5)),0)+IF(AND(ArtifactsInput!$M$22,Inputs!$B$4&lt;&gt;"Chapter Hunt"),CHOOSE(ArtifactsInput!$N$22+1,10,12,14,16,18,20)*((0*(((0.15*B465*5))^0/1)+1*(((0.15*B465*5))^1/1)+2*(((0.15*B465*5))^2/2)+3*(((0.15*B465*5))^3/6)+4*(((0.15*B465*5))^4/24)+5*(((0.15*B465*5))^5/120))/((((0.15*B465*5))^0/1)+(((0.15*B465*5))^1/1)+(((0.15*B465*5))^2/2)+(((0.15*B465*5))^3/6)+(((0.15*B465*5))^4/24)+(((0.15*B465*5))^5/120))),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439">
      <c r="A439">
        <f>Skills!A8</f>
        <v/>
      </c>
      <c r="B439">
        <f>Skills!B8</f>
        <v/>
      </c>
      <c r="C439">
        <f>Inputs!$B$3&gt;=100</f>
        <v/>
      </c>
      <c r="D439">
        <f>IF(Skills!C8=1,60+Inputs!$B$25+Inputs!$B$29,IF(Skills!C8=2,90+Inputs!$B$26+Inputs!$B$29,IF(Skills!C8=3,120+Inputs!$B$27+Inputs!$B$29,MAX(0,(Inputs!$B$3-100)*3)+Inputs!$B$28+Inputs!$B$29)))</f>
        <v/>
      </c>
      <c r="E439">
        <f>INDEX(FactorTable!$B$2:$Y$301, MATCH(ROUND(MIN(300,MAX(1,D439)),0), FactorTable!$A$2:$A$301,0), Skills!M8+1)</f>
        <v/>
      </c>
      <c r="F439">
        <f>IF(Skills!N8=TRUE,(Skills!L8/10)*(E439/1000),Skills!L8/10)+Skills!O8</f>
        <v/>
      </c>
      <c r="G439" t="inlineStr"/>
      <c r="H439" t="inlineStr"/>
      <c r="I439" t="inlineStr">
        <is>
          <t>1</t>
        </is>
      </c>
      <c r="J439" t="inlineStr"/>
      <c r="K439" t="inlineStr"/>
      <c r="L439" t="inlineStr"/>
      <c r="M439" t="inlineStr"/>
      <c r="N439" t="inlineStr"/>
      <c r="O439" t="inlineStr"/>
      <c r="P439" t="inlineStr"/>
      <c r="Q439" t="inlineStr"/>
      <c r="R439" t="inlineStr"/>
      <c r="S439" t="inlineStr"/>
      <c r="T439" t="inlineStr"/>
      <c r="V439" t="inlineStr"/>
    </row>
    <row r="440">
      <c r="A440">
        <f>Skills!A9</f>
        <v/>
      </c>
      <c r="B440">
        <f>Skills!B9</f>
        <v/>
      </c>
      <c r="C440">
        <f>Inputs!$B$3&gt;=103</f>
        <v/>
      </c>
      <c r="D440">
        <f>IF(Skills!C9=1,60+Inputs!$B$25+Inputs!$B$29,IF(Skills!C9=2,90+Inputs!$B$26+Inputs!$B$29,IF(Skills!C9=3,120+Inputs!$B$27+Inputs!$B$29,MAX(0,(Inputs!$B$3-100)*3)+Inputs!$B$28+Inputs!$B$29)))</f>
        <v/>
      </c>
      <c r="E440">
        <f>INDEX(FactorTable!$B$2:$Y$301, MATCH(ROUND(MIN(300,MAX(1,D440)),0), FactorTable!$A$2:$A$301,0), Skills!M9+1)</f>
        <v/>
      </c>
      <c r="F440">
        <f>IF(Skills!N9=TRUE,(Skills!L9/10)*(E440/1000),Skills!L9/10)+Skills!O9</f>
        <v/>
      </c>
      <c r="G440">
        <f>Skills!G9*IF(Skills!H9&gt;0,Skills!I9/Skills!H9,1)</f>
        <v/>
      </c>
      <c r="H440">
        <f>1-(1-Skills!J9/100)^Skills!K9</f>
        <v/>
      </c>
      <c r="I440" t="inlineStr">
        <is>
          <t>1</t>
        </is>
      </c>
      <c r="J440">
        <f>((Inputs!$B$6*(1+Inputs!$B$7/100))+(((Inputs!$B$12*(1+Inputs!$B$13/100))-(Inputs!$B$12*(1+Inputs!$B$13/100)))+0.25*(Inputs!$B$14-Inputs!$B$14))*(1+Inputs!$B$7/100))*(F440/100)</f>
        <v/>
      </c>
      <c r="K440">
        <f>J440*(1+((Inputs!$B$12*(1+Inputs!$B$13/100))*0.01+Inputs!$B$14*0.0025)/100)*(1+Inputs!$B$15/100)*(1+Inputs!$B$16/100)*(5000/(6000+Inputs!$B$42*(1-(100*(1-(1-(Inputs!$B$19+0)/100)*(1-CHOOSE(ArtifactsInput!$N$40+1,5,6,7,8,9,10)/100)^(ArtifactsInput!$M$40-ArtifactsInput!$M$40)))/100)))*(1+(Inputs!$B$24+((C455=TRUE)*(F455-Calc!F24))+((C456=TRUE)*(F456-Calc!F25))+B469)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EMPOWERED_PIERCING_ARROW",Inputs!$B$17+((C453=TRUE)*(F453-Calc!F22))+(((IF(AND(ArtifactsInput!$M$42,((Inputs!$B$9+((C450=TRUE)*(F450-Calc!F19))+B463+(ArtifactsInput!$M$24-ArtifactsInput!$M$24)*CHOOSE(ArtifactsInput!$N$24+1,10,12,14,16,18,20)+IF(ArtifactsInput!$M$10,CHOOSE(ArtifactsInput!$N$10+1,15,18,21,24,27,30)*(IF(Inputs!$B$38="pvp",MIN(15,15)/15,IF(AND(Inputs!$B$38&lt;&gt;"pvp",Inputs!$B$43&gt;0),MIN(15,Inputs!$B$43)/(Inputs!$B$43),0))),0)))&gt;=100),MIN(100,((Inputs!$B$9+((C450=TRUE)*(F450-Calc!F19))+B463+(ArtifactsInput!$M$24-ArtifactsInput!$M$24)*CHOOSE(ArtifactsInput!$N$24+1,10,12,14,16,18,20)+IF(ArtifactsInput!$M$10,CHOOSE(ArtifactsInput!$N$10+1,15,18,21,24,27,30)*(IF(Inputs!$B$38="pvp",MIN(15,15)/15,IF(AND(Inputs!$B$38&lt;&gt;"pvp",Inputs!$B$43&gt;0),MIN(15,Inputs!$B$43)/(Inputs!$B$43),0))),0)))-100),0))*CHOOSE(ArtifactsInput!$N$42+1,0.6,0.72,0.84,0.96,1.08,1.2))),Inputs!$B$18+((C458=TRUE)*(F458-Calc!F27))+(IF(AND(ArtifactsInput!$M$42,((Inputs!$B$9+((C450=TRUE)*(F450-Calc!F19))+B463+(ArtifactsInput!$M$24-ArtifactsInput!$M$24)*CHOOSE(ArtifactsInput!$N$24+1,10,12,14,16,18,20)+IF(ArtifactsInput!$M$10,CHOOSE(ArtifactsInput!$N$10+1,15,18,21,24,27,30)*(IF(Inputs!$B$38="pvp",MIN(15,15)/15,IF(AND(Inputs!$B$38&lt;&gt;"pvp",Inputs!$B$43&gt;0),MIN(15,Inputs!$B$43)/(Inputs!$B$43),0))),0)))&gt;=100),CHOOSE(ArtifactsInput!$N$42+1,40,48,56,64,72,80),0))))/100)*((1+(((C444=TRUE)*F444)+((C445=TRUE)*IF(Inputs!$B$38="pvp",F445,(1-Summary!$B$11)*(F445)+Summary!$B$11*(0)))+((C446=TRUE)*F446*IF(AND(Inputs!$B$38&lt;&gt;"pvp",Inputs!$B$43&gt;0),(((R446-1)*(Skills!T15*(1+Inputs!$B$34/100))+MIN((Skills!T15*(1+Inputs!$B$34/100)),MAX(0,Inputs!$B$43-((R446-1)*Skills!D15))))/Inputs!$B$43),IF(Inputs!$B$38="pvp",MIN((Skills!T15*(1+Inputs!$B$34/100)),15)/15,(Skills!T15*(1+Inputs!$B$34/100))/Skills!D15)))+((C443=TRUE)*F443)+((C460=TRUE)*(F460-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440)</f>
        <v/>
      </c>
      <c r="L440">
        <f>K440*(MIN((Inputs!$B$22+1)+((C454=TRUE)*(F454-Calc!F23)),(Inputs!$B$23+((C459=TRUE)*(F459-Calc!F28))+(IF(ArtifactsInput!$M$15,CHOOSE(ArtifactsInput!$N$15+1,25,30,35,40,45,50)/100*(Inputs!$B$11-Inputs!$B$11),0))))/100+(Inputs!$B$23+((C459=TRUE)*(F459-Calc!F28))+(IF(ArtifactsInput!$M$15,CHOOSE(ArtifactsInput!$N$15+1,25,30,35,40,45,50)/100*(Inputs!$B$11-Inputs!$B$11),0)))/100)/2</f>
        <v/>
      </c>
      <c r="M440">
        <f>L440*(1+(Inputs!$B$10+0+B468+(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440">
        <f>L440*(1-MIN((Inputs!$B$9+((C450=TRUE)*(F450-Calc!F19))+B463+(ArtifactsInput!$M$24-ArtifactsInput!$M$24)*CHOOSE(ArtifactsInput!$N$24+1,10,12,14,16,18,20)+(IF(AND(ArtifactsInput!$M$42,((Inputs!$B$9+((C450=TRUE)*(F450-Calc!F19))+B463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440*(MIN((Inputs!$B$9+((C450=TRUE)*(F450-Calc!F19))+B463+(ArtifactsInput!$M$24-ArtifactsInput!$M$24)*CHOOSE(ArtifactsInput!$N$24+1,10,12,14,16,18,20)+(IF(AND(ArtifactsInput!$M$42,((Inputs!$B$9+((C450=TRUE)*(F450-Calc!F19))+B463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440">
        <f>(1-Summary!$B$11)*T440+Summary!$B$11*V440</f>
        <v/>
      </c>
      <c r="P440">
        <f>IF(B473=0,0,O440/B473)</f>
        <v/>
      </c>
      <c r="Q440">
        <f>IFERROR(1/IF(Inputs!$B$38="pvp",15,MAX(0.1,Skills!D9-IF(Skills!E9=TRUE,Inputs!$B$32,0))),0)</f>
        <v/>
      </c>
      <c r="R440">
        <f>IF(AND(Inputs!$B$38&lt;&gt;"pvp",Inputs!$B$43&gt;0),IF(MAX(0,Inputs!$B$43-B470)&lt;=0,0,(INT(MAX(0,Inputs!$B$43-B470)/IF(Inputs!$B$38="pvp",15,MAX(0.1,Skills!D9-IF(Skills!E9=TRUE,Inputs!$B$32,0))))+1)),0)</f>
        <v/>
      </c>
      <c r="S440">
        <f>IFERROR((H440*N440*IF(AND(Inputs!$B$38&lt;&gt;"pvp",Inputs!$B$43&gt;0),((Skills!G9*((R440-1)*IF(Skills!H9&gt;0,Skills!I9/Skills!H9,1)+IF(Skills!H9&gt;0,MIN(Skills!I9,MAX(0,MAX(0,Inputs!$B$43-B470)-((R440-1)*IF(Inputs!$B$38="pvp",15,MAX(0.1,Skills!D9-IF(Skills!E9=TRUE,Inputs!$B$32,0))))))/Skills!H9,1)))/Inputs!$B$43),G440*Q440))/N440*IF(Inputs!$B$38="pvp",1,(1-Summary!$B$11)*1+Summary!$B$11*(MIN(Skills!R9,Inputs!$B$37))),0)</f>
        <v/>
      </c>
      <c r="T440">
        <f>IF(C440,(H440*N440*IF(AND(Inputs!$B$38&lt;&gt;"pvp",Inputs!$B$43&gt;0),((Skills!G9*((R440-1)*IF(Skills!H9&gt;0,Skills!I9/Skills!H9,1)+IF(Skills!H9&gt;0,MIN(Skills!I9,MAX(0,MAX(0,Inputs!$B$43-B470)-((R440-1)*IF(Inputs!$B$38="pvp",15,MAX(0.1,Skills!D9-IF(Skills!E9=TRUE,Inputs!$B$32,0))))))/Skills!H9,1)))/Inputs!$B$43),G440*Q440))*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Hunt"),CHOOSE(ArtifactsInput!$N$35+1,15,18,21,24,27,30)*(1-EXP(-(0.2*B465)*5)),0)+IF(AND(ArtifactsInput!$M$22,Inputs!$B$4&lt;&gt;"Chapter Hunt"),CHOOSE(ArtifactsInput!$N$22+1,10,12,14,16,18,20)*((0*(((0.15*B465*5))^0/1)+1*(((0.15*B465*5))^1/1)+2*(((0.15*B465*5))^2/2)+3*(((0.15*B465*5))^3/6)+4*(((0.15*B465*5))^4/24)+5*(((0.15*B465*5))^5/120))/((((0.15*B465*5))^0/1)+(((0.15*B465*5))^1/1)+(((0.15*B465*5))^2/2)+(((0.15*B465*5))^3/6)+(((0.15*B465*5))^4/24)+(((0.15*B465*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440*(1-MIN(100,(Inputs!$B$9+((C450=TRUE)*(F450-Calc!F19))+B463+(ArtifactsInput!$M$24-ArtifactsInput!$M$24)*CHOOSE(ArtifactsInput!$N$24+1,10,12,14,16,18,20)+(IF(AND(ArtifactsInput!$M$42,((Inputs!$B$9+((C450=TRUE)*(F450-Calc!F19))+B463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440*(MIN(100,(Inputs!$B$9+((C450=TRUE)*(F450-Calc!F19))+B463+(ArtifactsInput!$M$24-ArtifactsInput!$M$24)*CHOOSE(ArtifactsInput!$N$24+1,10,12,14,16,18,20)+(IF(AND(ArtifactsInput!$M$42,((Inputs!$B$9+((C450=TRUE)*(F450-Calc!F19))+B463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440*(1-MIN(100,(Inputs!$B$9+((C450=TRUE)*(F450-Calc!F19))+B463+(ArtifactsInput!$M$24-ArtifactsInput!$M$24)*CHOOSE(ArtifactsInput!$N$24+1,10,12,14,16,18,20)+(IF(AND(ArtifactsInput!$M$42,((Inputs!$B$9+((C450=TRUE)*(F450-Calc!F19))+B463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440*(MIN(100,(Inputs!$B$9+((C450=TRUE)*(F450-Calc!F19))+B463+(ArtifactsInput!$M$24-ArtifactsInput!$M$24)*CHOOSE(ArtifactsInput!$N$24+1,10,12,14,16,18,20)+(IF(AND(ArtifactsInput!$M$42,((Inputs!$B$9+((C450=TRUE)*(F450-Calc!F19))+B463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440">
        <f>IF(C440,(H440*N440*IF(AND(Inputs!$B$38&lt;&gt;"pvp",Inputs!$B$43&gt;0),((Skills!G9*((R440-1)*IF(Skills!H9&gt;0,Skills!I9/Skills!H9,1)+IF(Skills!H9&gt;0,MIN(Skills!I9,MAX(0,MAX(0,Inputs!$B$43-B470)-((R440-1)*IF(Inputs!$B$38="pvp",15,MAX(0.1,Skills!D9-IF(Skills!E9=TRUE,Inputs!$B$32,0))))))/Skills!H9,1)))/Inputs!$B$43),G440*Q440))*IF(Inputs!$B$38="pvp",1,(1+(Inputs!$B$21+Skills!Q9+(IF(ArtifactsInput!$M$33,CHOOSE(ArtifactsInput!$N$33+1,30,36,42,48,54,60),0))+(IF(AND(ArtifactsInput!$M$35,Inputs!$B$4&lt;&gt;"Chapter Hunt"),CHOOSE(ArtifactsInput!$N$35+1,15,18,21,24,27,30)*(1-EXP(-(0.2*B465)*5)),0)+IF(AND(ArtifactsInput!$M$22,Inputs!$B$4&lt;&gt;"Chapter Hunt"),CHOOSE(ArtifactsInput!$N$22+1,10,12,14,16,18,20)*((0*(((0.15*B465*5))^0/1)+1*(((0.15*B465*5))^1/1)+2*(((0.15*B465*5))^2/2)+3*(((0.15*B465*5))^3/6)+4*(((0.15*B465*5))^4/24)+5*(((0.15*B465*5))^5/120))/((((0.15*B465*5))^0/1)+(((0.15*B465*5))^1/1)+(((0.15*B465*5))^2/2)+(((0.15*B465*5))^3/6)+(((0.15*B465*5))^4/24)+(((0.15*B465*5))^5/120)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441">
      <c r="A441">
        <f>Skills!A10</f>
        <v/>
      </c>
      <c r="B441">
        <f>Skills!B10</f>
        <v/>
      </c>
      <c r="C441">
        <f>Inputs!$B$3&gt;=107</f>
        <v/>
      </c>
      <c r="D441">
        <f>IF(Skills!C10=1,60+Inputs!$B$25+Inputs!$B$29,IF(Skills!C10=2,90+Inputs!$B$26+Inputs!$B$29,IF(Skills!C10=3,120+Inputs!$B$27+Inputs!$B$29,MAX(0,(Inputs!$B$3-100)*3)+Inputs!$B$28+Inputs!$B$29)))</f>
        <v/>
      </c>
      <c r="E441">
        <f>INDEX(FactorTable!$B$2:$Y$301, MATCH(ROUND(MIN(300,MAX(1,D441)),0), FactorTable!$A$2:$A$301,0), Skills!M10+1)</f>
        <v/>
      </c>
      <c r="F441">
        <f>IF(Skills!N10=TRUE,(Skills!L10/10)*(E441/1000),Skills!L10/10)+Skills!O10</f>
        <v/>
      </c>
      <c r="G441">
        <f>Skills!G10*IF(Skills!H10&gt;0,Skills!I10/Skills!H10,1)</f>
        <v/>
      </c>
      <c r="H441">
        <f>1-(1-Skills!J10/100)^Skills!K10</f>
        <v/>
      </c>
      <c r="I441" t="inlineStr">
        <is>
          <t>1</t>
        </is>
      </c>
      <c r="J441">
        <f>((Inputs!$B$6*(1+Inputs!$B$7/100))+(((Inputs!$B$12*(1+Inputs!$B$13/100))-(Inputs!$B$12*(1+Inputs!$B$13/100)))+0.25*(Inputs!$B$14-Inputs!$B$14))*(1+Inputs!$B$7/100))*(F441/100)</f>
        <v/>
      </c>
      <c r="K441">
        <f>J441*(1+((Inputs!$B$12*(1+Inputs!$B$13/100))*0.01+Inputs!$B$14*0.0025)/100)*(1+Inputs!$B$15/100)*(1+Inputs!$B$16/100)*(5000/(6000+Inputs!$B$42*(1-(100*(1-(1-(Inputs!$B$19+0)/100)*(1-CHOOSE(ArtifactsInput!$N$40+1,5,6,7,8,9,10)/100)^(ArtifactsInput!$M$40-ArtifactsInput!$M$40)))/100)))*(1+(Inputs!$B$24+((C455=TRUE)*(F455-Calc!F24))+((C456=TRUE)*(F456-Calc!F25))+B469)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EMPOWERED_PIERCING_ARROW",Inputs!$B$17+((C453=TRUE)*(F453-Calc!F22))+(((IF(AND(ArtifactsInput!$M$42,((Inputs!$B$9+((C450=TRUE)*(F450-Calc!F19))+B463+(ArtifactsInput!$M$24-ArtifactsInput!$M$24)*CHOOSE(ArtifactsInput!$N$24+1,10,12,14,16,18,20)+IF(ArtifactsInput!$M$10,CHOOSE(ArtifactsInput!$N$10+1,15,18,21,24,27,30)*(IF(Inputs!$B$38="pvp",MIN(15,15)/15,IF(AND(Inputs!$B$38&lt;&gt;"pvp",Inputs!$B$43&gt;0),MIN(15,Inputs!$B$43)/(Inputs!$B$43),0))),0)))&gt;=100),MIN(100,((Inputs!$B$9+((C450=TRUE)*(F450-Calc!F19))+B463+(ArtifactsInput!$M$24-ArtifactsInput!$M$24)*CHOOSE(ArtifactsInput!$N$24+1,10,12,14,16,18,20)+IF(ArtifactsInput!$M$10,CHOOSE(ArtifactsInput!$N$10+1,15,18,21,24,27,30)*(IF(Inputs!$B$38="pvp",MIN(15,15)/15,IF(AND(Inputs!$B$38&lt;&gt;"pvp",Inputs!$B$43&gt;0),MIN(15,Inputs!$B$43)/(Inputs!$B$43),0))),0)))-100),0))*CHOOSE(ArtifactsInput!$N$42+1,0.6,0.72,0.84,0.96,1.08,1.2))),Inputs!$B$18+((C458=TRUE)*(F458-Calc!F27))+(IF(AND(ArtifactsInput!$M$42,((Inputs!$B$9+((C450=TRUE)*(F450-Calc!F19))+B463+(ArtifactsInput!$M$24-ArtifactsInput!$M$24)*CHOOSE(ArtifactsInput!$N$24+1,10,12,14,16,18,20)+IF(ArtifactsInput!$M$10,CHOOSE(ArtifactsInput!$N$10+1,15,18,21,24,27,30)*(IF(Inputs!$B$38="pvp",MIN(15,15)/15,IF(AND(Inputs!$B$38&lt;&gt;"pvp",Inputs!$B$43&gt;0),MIN(15,Inputs!$B$43)/(Inputs!$B$43),0))),0)))&gt;=100),CHOOSE(ArtifactsInput!$N$42+1,40,48,56,64,72,80),0))))/100)*((1+(((C444=TRUE)*F444)+((C445=TRUE)*IF(Inputs!$B$38="pvp",F445,(1-Summary!$B$11)*(F445)+Summary!$B$11*(0)))+((C446=TRUE)*F446*IF(AND(Inputs!$B$38&lt;&gt;"pvp",Inputs!$B$43&gt;0),(((R446-1)*(Skills!T15*(1+Inputs!$B$34/100))+MIN((Skills!T15*(1+Inputs!$B$34/100)),MAX(0,Inputs!$B$43-((R446-1)*Skills!D15))))/Inputs!$B$43),IF(Inputs!$B$38="pvp",MIN((Skills!T15*(1+Inputs!$B$34/100)),15)/15,(Skills!T15*(1+Inputs!$B$34/100))/Skills!D15)))+((C443=TRUE)*F443)+((C460=TRUE)*(F460-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441)</f>
        <v/>
      </c>
      <c r="L441">
        <f>K441*(MIN((Inputs!$B$22+1)+((C454=TRUE)*(F454-Calc!F23)),(Inputs!$B$23+((C459=TRUE)*(F459-Calc!F28))+(IF(ArtifactsInput!$M$15,CHOOSE(ArtifactsInput!$N$15+1,25,30,35,40,45,50)/100*(Inputs!$B$11-Inputs!$B$11),0))))/100+(Inputs!$B$23+((C459=TRUE)*(F459-Calc!F28))+(IF(ArtifactsInput!$M$15,CHOOSE(ArtifactsInput!$N$15+1,25,30,35,40,45,50)/100*(Inputs!$B$11-Inputs!$B$11),0)))/100)/2</f>
        <v/>
      </c>
      <c r="M441">
        <f>L441*(1+(Inputs!$B$10+0+B468+(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441">
        <f>L441*(1-MIN((Inputs!$B$9+((C450=TRUE)*(F450-Calc!F19))+B463+(ArtifactsInput!$M$24-ArtifactsInput!$M$24)*CHOOSE(ArtifactsInput!$N$24+1,10,12,14,16,18,20)+(IF(AND(ArtifactsInput!$M$42,((Inputs!$B$9+((C450=TRUE)*(F450-Calc!F19))+B463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441*(MIN((Inputs!$B$9+((C450=TRUE)*(F450-Calc!F19))+B463+(ArtifactsInput!$M$24-ArtifactsInput!$M$24)*CHOOSE(ArtifactsInput!$N$24+1,10,12,14,16,18,20)+(IF(AND(ArtifactsInput!$M$42,((Inputs!$B$9+((C450=TRUE)*(F450-Calc!F19))+B463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441">
        <f>(1-Summary!$B$11)*T441+Summary!$B$11*V441</f>
        <v/>
      </c>
      <c r="P441">
        <f>IF(B473=0,0,O441/B473)</f>
        <v/>
      </c>
      <c r="Q441" t="n">
        <v>0</v>
      </c>
      <c r="R441" t="n">
        <v>0</v>
      </c>
      <c r="S441" t="n">
        <v>0</v>
      </c>
      <c r="T441">
        <f>IF(C441,(0.15*SUMPRODUCT((Skills!U2:U29=TRUE)*(C433:C460=TRUE)*S433:S460)*Skills!G10*N441)*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Hunt"),CHOOSE(ArtifactsInput!$N$35+1,15,18,21,24,27,30)*(1-EXP(-(0.2*B465)*5)),0)+IF(AND(ArtifactsInput!$M$22,Inputs!$B$4&lt;&gt;"Chapter Hunt"),CHOOSE(ArtifactsInput!$N$22+1,10,12,14,16,18,20)*((0*(((0.15*B465*5))^0/1)+1*(((0.15*B465*5))^1/1)+2*(((0.15*B465*5))^2/2)+3*(((0.15*B465*5))^3/6)+4*(((0.15*B465*5))^4/24)+5*(((0.15*B465*5))^5/120))/((((0.15*B465*5))^0/1)+(((0.15*B465*5))^1/1)+(((0.15*B465*5))^2/2)+(((0.15*B465*5))^3/6)+(((0.15*B465*5))^4/24)+(((0.15*B465*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441*(1-MIN(100,(Inputs!$B$9+((C450=TRUE)*(F450-Calc!F19))+B463+(ArtifactsInput!$M$24-ArtifactsInput!$M$24)*CHOOSE(ArtifactsInput!$N$24+1,10,12,14,16,18,20)+(IF(AND(ArtifactsInput!$M$42,((Inputs!$B$9+((C450=TRUE)*(F450-Calc!F19))+B463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441*(MIN(100,(Inputs!$B$9+((C450=TRUE)*(F450-Calc!F19))+B463+(ArtifactsInput!$M$24-ArtifactsInput!$M$24)*CHOOSE(ArtifactsInput!$N$24+1,10,12,14,16,18,20)+(IF(AND(ArtifactsInput!$M$42,((Inputs!$B$9+((C450=TRUE)*(F450-Calc!F19))+B463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441*(1-MIN(100,(Inputs!$B$9+((C450=TRUE)*(F450-Calc!F19))+B463+(ArtifactsInput!$M$24-ArtifactsInput!$M$24)*CHOOSE(ArtifactsInput!$N$24+1,10,12,14,16,18,20)+(IF(AND(ArtifactsInput!$M$42,((Inputs!$B$9+((C450=TRUE)*(F450-Calc!F19))+B463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441*(MIN(100,(Inputs!$B$9+((C450=TRUE)*(F450-Calc!F19))+B463+(ArtifactsInput!$M$24-ArtifactsInput!$M$24)*CHOOSE(ArtifactsInput!$N$24+1,10,12,14,16,18,20)+(IF(AND(ArtifactsInput!$M$42,((Inputs!$B$9+((C450=TRUE)*(F450-Calc!F19))+B463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441">
        <f>IF(C441,(0.15*SUMPRODUCT((Skills!U2:U29=TRUE)*(C433:C460=TRUE)*S433:S460)*Skills!G10*N441)*IF(Inputs!$B$38="pvp",1,(1+(Inputs!$B$21+Skills!Q10+(IF(ArtifactsInput!$M$33,CHOOSE(ArtifactsInput!$N$33+1,30,36,42,48,54,60),0))+(IF(AND(ArtifactsInput!$M$35,Inputs!$B$4&lt;&gt;"Chapter Hunt"),CHOOSE(ArtifactsInput!$N$35+1,15,18,21,24,27,30)*(1-EXP(-(0.2*B465)*5)),0)+IF(AND(ArtifactsInput!$M$22,Inputs!$B$4&lt;&gt;"Chapter Hunt"),CHOOSE(ArtifactsInput!$N$22+1,10,12,14,16,18,20)*((0*(((0.15*B465*5))^0/1)+1*(((0.15*B465*5))^1/1)+2*(((0.15*B465*5))^2/2)+3*(((0.15*B465*5))^3/6)+4*(((0.15*B465*5))^4/24)+5*(((0.15*B465*5))^5/120))/((((0.15*B465*5))^0/1)+(((0.15*B465*5))^1/1)+(((0.15*B465*5))^2/2)+(((0.15*B465*5))^3/6)+(((0.15*B465*5))^4/24)+(((0.15*B465*5))^5/120)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442">
      <c r="A442">
        <f>Skills!A11</f>
        <v/>
      </c>
      <c r="B442">
        <f>Skills!B11</f>
        <v/>
      </c>
      <c r="C442">
        <f>Inputs!$B$3&gt;=110</f>
        <v/>
      </c>
      <c r="D442">
        <f>IF(Skills!C11=1,60+Inputs!$B$25+Inputs!$B$29,IF(Skills!C11=2,90+Inputs!$B$26+Inputs!$B$29,IF(Skills!C11=3,120+Inputs!$B$27+Inputs!$B$29,MAX(0,(Inputs!$B$3-100)*3)+Inputs!$B$28+Inputs!$B$29)))</f>
        <v/>
      </c>
      <c r="E442">
        <f>INDEX(FactorTable!$B$2:$Y$301, MATCH(ROUND(MIN(300,MAX(1,D442)),0), FactorTable!$A$2:$A$301,0), Skills!M11+1)</f>
        <v/>
      </c>
      <c r="F442">
        <f>IF(Skills!N11=TRUE,(Skills!L11/10)*(E442/1000),Skills!L11/10)+Skills!O11</f>
        <v/>
      </c>
      <c r="G442">
        <f>Skills!G11*IF(Skills!H11&gt;0,Skills!I11/Skills!H11,1)</f>
        <v/>
      </c>
      <c r="H442">
        <f>1-(1-Skills!J11/100)^Skills!K11</f>
        <v/>
      </c>
      <c r="I442" t="inlineStr">
        <is>
          <t>1</t>
        </is>
      </c>
      <c r="J442">
        <f>((Inputs!$B$6*(1+Inputs!$B$7/100))+(((Inputs!$B$12*(1+Inputs!$B$13/100))-(Inputs!$B$12*(1+Inputs!$B$13/100)))+0.25*(Inputs!$B$14-Inputs!$B$14))*(1+Inputs!$B$7/100))*(F442/100)</f>
        <v/>
      </c>
      <c r="K442">
        <f>J442*(1+((Inputs!$B$12*(1+Inputs!$B$13/100))*0.01+Inputs!$B$14*0.0025)/100)*(1+Inputs!$B$15/100)*(1+Inputs!$B$16/100)*(5000/(6000+Inputs!$B$42*(1-(100*(1-(1-(Inputs!$B$19+0)/100)*(1-CHOOSE(ArtifactsInput!$N$40+1,5,6,7,8,9,10)/100)^(ArtifactsInput!$M$40-ArtifactsInput!$M$40)))/100)))*(1+(Inputs!$B$24+((C455=TRUE)*(F455-Calc!F24))+((C456=TRUE)*(F456-Calc!F25))+B469)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11="EMPOWERED_PIERCING_ARROW",Inputs!$B$17+((C453=TRUE)*(F453-Calc!F22))+(((IF(AND(ArtifactsInput!$M$42,((Inputs!$B$9+((C450=TRUE)*(F450-Calc!F19))+B463+(ArtifactsInput!$M$24-ArtifactsInput!$M$24)*CHOOSE(ArtifactsInput!$N$24+1,10,12,14,16,18,20)+IF(ArtifactsInput!$M$10,CHOOSE(ArtifactsInput!$N$10+1,15,18,21,24,27,30)*(IF(Inputs!$B$38="pvp",MIN(15,15)/15,IF(AND(Inputs!$B$38&lt;&gt;"pvp",Inputs!$B$43&gt;0),MIN(15,Inputs!$B$43)/(Inputs!$B$43),0))),0)))&gt;=100),MIN(100,((Inputs!$B$9+((C450=TRUE)*(F450-Calc!F19))+B463+(ArtifactsInput!$M$24-ArtifactsInput!$M$24)*CHOOSE(ArtifactsInput!$N$24+1,10,12,14,16,18,20)+IF(ArtifactsInput!$M$10,CHOOSE(ArtifactsInput!$N$10+1,15,18,21,24,27,30)*(IF(Inputs!$B$38="pvp",MIN(15,15)/15,IF(AND(Inputs!$B$38&lt;&gt;"pvp",Inputs!$B$43&gt;0),MIN(15,Inputs!$B$43)/(Inputs!$B$43),0))),0)))-100),0))*CHOOSE(ArtifactsInput!$N$42+1,0.6,0.72,0.84,0.96,1.08,1.2))),Inputs!$B$18+((C458=TRUE)*(F458-Calc!F27))+(IF(AND(ArtifactsInput!$M$42,((Inputs!$B$9+((C450=TRUE)*(F450-Calc!F19))+B463+(ArtifactsInput!$M$24-ArtifactsInput!$M$24)*CHOOSE(ArtifactsInput!$N$24+1,10,12,14,16,18,20)+IF(ArtifactsInput!$M$10,CHOOSE(ArtifactsInput!$N$10+1,15,18,21,24,27,30)*(IF(Inputs!$B$38="pvp",MIN(15,15)/15,IF(AND(Inputs!$B$38&lt;&gt;"pvp",Inputs!$B$43&gt;0),MIN(15,Inputs!$B$43)/(Inputs!$B$43),0))),0)))&gt;=100),CHOOSE(ArtifactsInput!$N$42+1,40,48,56,64,72,80),0))))/100)*((1+(((C444=TRUE)*F444)+((C445=TRUE)*IF(Inputs!$B$38="pvp",F445,(1-Summary!$B$11)*(F445)+Summary!$B$11*(0)))+((C446=TRUE)*F446*IF(AND(Inputs!$B$38&lt;&gt;"pvp",Inputs!$B$43&gt;0),(((R446-1)*(Skills!T15*(1+Inputs!$B$34/100))+MIN((Skills!T15*(1+Inputs!$B$34/100)),MAX(0,Inputs!$B$43-((R446-1)*Skills!D15))))/Inputs!$B$43),IF(Inputs!$B$38="pvp",MIN((Skills!T15*(1+Inputs!$B$34/100)),15)/15,(Skills!T15*(1+Inputs!$B$34/100))/Skills!D15)))+((C443=TRUE)*F443)+((C460=TRUE)*(F460-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442)</f>
        <v/>
      </c>
      <c r="L442">
        <f>K442*(MIN((Inputs!$B$22+1)+((C454=TRUE)*(F454-Calc!F23)),(Inputs!$B$23+((C459=TRUE)*(F459-Calc!F28))+(IF(ArtifactsInput!$M$15,CHOOSE(ArtifactsInput!$N$15+1,25,30,35,40,45,50)/100*(Inputs!$B$11-Inputs!$B$11),0))))/100+(Inputs!$B$23+((C459=TRUE)*(F459-Calc!F28))+(IF(ArtifactsInput!$M$15,CHOOSE(ArtifactsInput!$N$15+1,25,30,35,40,45,50)/100*(Inputs!$B$11-Inputs!$B$11),0)))/100)/2</f>
        <v/>
      </c>
      <c r="M442">
        <f>L442*(1+(Inputs!$B$10+0+B468+(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442">
        <f>L442*(1-MIN((Inputs!$B$9+((C450=TRUE)*(F450-Calc!F19))+B463+(ArtifactsInput!$M$24-ArtifactsInput!$M$24)*CHOOSE(ArtifactsInput!$N$24+1,10,12,14,16,18,20)+(IF(AND(ArtifactsInput!$M$42,((Inputs!$B$9+((C450=TRUE)*(F450-Calc!F19))+B463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442*(MIN((Inputs!$B$9+((C450=TRUE)*(F450-Calc!F19))+B463+(ArtifactsInput!$M$24-ArtifactsInput!$M$24)*CHOOSE(ArtifactsInput!$N$24+1,10,12,14,16,18,20)+(IF(AND(ArtifactsInput!$M$42,((Inputs!$B$9+((C450=TRUE)*(F450-Calc!F19))+B463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442">
        <f>(1-Summary!$B$11)*T442+Summary!$B$11*V442</f>
        <v/>
      </c>
      <c r="P442">
        <f>IF(B473=0,0,O442/B473)</f>
        <v/>
      </c>
      <c r="Q442">
        <f>IFERROR(1/IF(Inputs!$B$38="pvp",15,MAX(0.1,Skills!D11-IF(Skills!E11=TRUE,Inputs!$B$32,0))),0)</f>
        <v/>
      </c>
      <c r="R442">
        <f>IF(AND(Inputs!$B$38&lt;&gt;"pvp",Inputs!$B$43&gt;0),IF(MAX(0,Inputs!$B$43-B470)&lt;=0,0,(INT(MAX(0,Inputs!$B$43-B470)/IF(Inputs!$B$38="pvp",15,MAX(0.1,Skills!D11-IF(Skills!E11=TRUE,Inputs!$B$32,0))))+1)),0)</f>
        <v/>
      </c>
      <c r="S442">
        <f>IFERROR((H442*N442*IF(AND(Inputs!$B$38&lt;&gt;"pvp",Inputs!$B$43&gt;0),((Skills!G11*((R442-1)*IF(Skills!H11&gt;0,Skills!I11/Skills!H11,1)+IF(Skills!H11&gt;0,MIN(Skills!I11,MAX(0,MAX(0,Inputs!$B$43-B470)-((R442-1)*IF(Inputs!$B$38="pvp",15,MAX(0.1,Skills!D11-IF(Skills!E11=TRUE,Inputs!$B$32,0))))))/Skills!H11,1)))/Inputs!$B$43),G442*Q442))/N442*IF(Inputs!$B$38="pvp",1,(1-Summary!$B$11)*1+Summary!$B$11*(MIN(Skills!R11,Inputs!$B$37))),0)</f>
        <v/>
      </c>
      <c r="T442">
        <f>IF(C442,(H442*N442*IF(AND(Inputs!$B$38&lt;&gt;"pvp",Inputs!$B$43&gt;0),((Skills!G11*((R442-1)*IF(Skills!H11&gt;0,Skills!I11/Skills!H11,1)+IF(Skills!H11&gt;0,MIN(Skills!I11,MAX(0,MAX(0,Inputs!$B$43-B470)-((R442-1)*IF(Inputs!$B$38="pvp",15,MAX(0.1,Skills!D11-IF(Skills!E11=TRUE,Inputs!$B$32,0))))))/Skills!H11,1)))/Inputs!$B$43),G442*Q442))*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Hunt"),CHOOSE(ArtifactsInput!$N$35+1,15,18,21,24,27,30)*(1-EXP(-(0.2*B465)*5)),0)+IF(AND(ArtifactsInput!$M$22,Inputs!$B$4&lt;&gt;"Chapter Hunt"),CHOOSE(ArtifactsInput!$N$22+1,10,12,14,16,18,20)*((0*(((0.15*B465*5))^0/1)+1*(((0.15*B465*5))^1/1)+2*(((0.15*B465*5))^2/2)+3*(((0.15*B465*5))^3/6)+4*(((0.15*B465*5))^4/24)+5*(((0.15*B465*5))^5/120))/((((0.15*B465*5))^0/1)+(((0.15*B465*5))^1/1)+(((0.15*B465*5))^2/2)+(((0.15*B465*5))^3/6)+(((0.15*B465*5))^4/24)+(((0.15*B465*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442*(1-MIN(100,(Inputs!$B$9+((C450=TRUE)*(F450-Calc!F19))+B463+(ArtifactsInput!$M$24-ArtifactsInput!$M$24)*CHOOSE(ArtifactsInput!$N$24+1,10,12,14,16,18,20)+(IF(AND(ArtifactsInput!$M$42,((Inputs!$B$9+((C450=TRUE)*(F450-Calc!F19))+B463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442*(MIN(100,(Inputs!$B$9+((C450=TRUE)*(F450-Calc!F19))+B463+(ArtifactsInput!$M$24-ArtifactsInput!$M$24)*CHOOSE(ArtifactsInput!$N$24+1,10,12,14,16,18,20)+(IF(AND(ArtifactsInput!$M$42,((Inputs!$B$9+((C450=TRUE)*(F450-Calc!F19))+B463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442*(1-MIN(100,(Inputs!$B$9+((C450=TRUE)*(F450-Calc!F19))+B463+(ArtifactsInput!$M$24-ArtifactsInput!$M$24)*CHOOSE(ArtifactsInput!$N$24+1,10,12,14,16,18,20)+(IF(AND(ArtifactsInput!$M$42,((Inputs!$B$9+((C450=TRUE)*(F450-Calc!F19))+B463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442*(MIN(100,(Inputs!$B$9+((C450=TRUE)*(F450-Calc!F19))+B463+(ArtifactsInput!$M$24-ArtifactsInput!$M$24)*CHOOSE(ArtifactsInput!$N$24+1,10,12,14,16,18,20)+(IF(AND(ArtifactsInput!$M$42,((Inputs!$B$9+((C450=TRUE)*(F450-Calc!F19))+B463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442">
        <f>IF(C442,(H442*N442*IF(AND(Inputs!$B$38&lt;&gt;"pvp",Inputs!$B$43&gt;0),((Skills!G11*((R442-1)*IF(Skills!H11&gt;0,Skills!I11/Skills!H11,1)+IF(Skills!H11&gt;0,MIN(Skills!I11,MAX(0,MAX(0,Inputs!$B$43-B470)-((R442-1)*IF(Inputs!$B$38="pvp",15,MAX(0.1,Skills!D11-IF(Skills!E11=TRUE,Inputs!$B$32,0))))))/Skills!H11,1)))/Inputs!$B$43),G442*Q442))*IF(Inputs!$B$38="pvp",1,(1+(Inputs!$B$21+Skills!Q11+(IF(ArtifactsInput!$M$33,CHOOSE(ArtifactsInput!$N$33+1,30,36,42,48,54,60),0))+(IF(AND(ArtifactsInput!$M$35,Inputs!$B$4&lt;&gt;"Chapter Hunt"),CHOOSE(ArtifactsInput!$N$35+1,15,18,21,24,27,30)*(1-EXP(-(0.2*B465)*5)),0)+IF(AND(ArtifactsInput!$M$22,Inputs!$B$4&lt;&gt;"Chapter Hunt"),CHOOSE(ArtifactsInput!$N$22+1,10,12,14,16,18,20)*((0*(((0.15*B465*5))^0/1)+1*(((0.15*B465*5))^1/1)+2*(((0.15*B465*5))^2/2)+3*(((0.15*B465*5))^3/6)+4*(((0.15*B465*5))^4/24)+5*(((0.15*B465*5))^5/120))/((((0.15*B465*5))^0/1)+(((0.15*B465*5))^1/1)+(((0.15*B465*5))^2/2)+(((0.15*B465*5))^3/6)+(((0.15*B465*5))^4/24)+(((0.15*B465*5))^5/120))),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443">
      <c r="A443">
        <f>Skills!A12</f>
        <v/>
      </c>
      <c r="B443">
        <f>Skills!B12</f>
        <v/>
      </c>
      <c r="C443">
        <f>Inputs!$B$3&gt;=60</f>
        <v/>
      </c>
      <c r="D443">
        <f>IF(Skills!C12=1,60+Inputs!$B$25+Inputs!$B$29,IF(Skills!C12=2,90+Inputs!$B$26+Inputs!$B$29,IF(Skills!C12=3,120+Inputs!$B$27+Inputs!$B$29,MAX(0,(Inputs!$B$3-100)*3)+Inputs!$B$28+Inputs!$B$29)))</f>
        <v/>
      </c>
      <c r="E443">
        <f>INDEX(FactorTable!$B$2:$Y$301, MATCH(ROUND(MIN(300,MAX(1,D443)),0), FactorTable!$A$2:$A$301,0), Skills!M12+1)</f>
        <v/>
      </c>
      <c r="F443">
        <f>IF(Skills!N12=TRUE,(Skills!L12/10)*(E443/1000),Skills!L12/10)+Skills!O12</f>
        <v/>
      </c>
      <c r="G443">
        <f>Skills!G12*IF(Skills!H12&gt;0,Skills!I12/Skills!H12,1)</f>
        <v/>
      </c>
      <c r="H443">
        <f>1-(1-Skills!J12/100)^Skills!K12</f>
        <v/>
      </c>
      <c r="I443" t="inlineStr">
        <is>
          <t>1</t>
        </is>
      </c>
      <c r="J443" t="inlineStr"/>
      <c r="K443" t="inlineStr"/>
      <c r="L443" t="inlineStr"/>
      <c r="M443" t="inlineStr"/>
      <c r="N443" t="inlineStr"/>
      <c r="O443">
        <f>(1-Summary!$B$11)*T443+Summary!$B$11*V443</f>
        <v/>
      </c>
      <c r="P443">
        <f>IF(B473=0,0,O443/B473)</f>
        <v/>
      </c>
      <c r="Q443" t="n">
        <v>0</v>
      </c>
      <c r="R443" t="n">
        <v>0</v>
      </c>
      <c r="S443" t="n">
        <v>0</v>
      </c>
      <c r="T443" t="n">
        <v>0</v>
      </c>
      <c r="V443" t="n">
        <v>0</v>
      </c>
    </row>
    <row r="444">
      <c r="A444">
        <f>Skills!A13</f>
        <v/>
      </c>
      <c r="B444">
        <f>Skills!B13</f>
        <v/>
      </c>
      <c r="C444">
        <f>Inputs!$B$3&gt;=74</f>
        <v/>
      </c>
      <c r="D444">
        <f>IF(Skills!C13=1,60+Inputs!$B$25+Inputs!$B$29,IF(Skills!C13=2,90+Inputs!$B$26+Inputs!$B$29,IF(Skills!C13=3,120+Inputs!$B$27+Inputs!$B$29,MAX(0,(Inputs!$B$3-100)*3)+Inputs!$B$28+Inputs!$B$29)))</f>
        <v/>
      </c>
      <c r="E444">
        <f>INDEX(FactorTable!$B$2:$Y$301, MATCH(ROUND(MIN(300,MAX(1,D444)),0), FactorTable!$A$2:$A$301,0), Skills!M13+1)</f>
        <v/>
      </c>
      <c r="F444">
        <f>IF(Skills!N13=TRUE,(Skills!L13/10)*(E444/1000),Skills!L13/10)+Skills!O13</f>
        <v/>
      </c>
      <c r="G444">
        <f>Skills!G13*IF(Skills!H13&gt;0,Skills!I13/Skills!H13,1)</f>
        <v/>
      </c>
      <c r="H444">
        <f>1-(1-Skills!J13/100)^Skills!K13</f>
        <v/>
      </c>
      <c r="I444" t="inlineStr">
        <is>
          <t>1</t>
        </is>
      </c>
      <c r="J444" t="inlineStr"/>
      <c r="K444" t="inlineStr"/>
      <c r="L444" t="inlineStr"/>
      <c r="M444" t="inlineStr"/>
      <c r="N444" t="inlineStr"/>
      <c r="O444">
        <f>(1-Summary!$B$11)*T444+Summary!$B$11*V444</f>
        <v/>
      </c>
      <c r="P444">
        <f>IF(B473=0,0,O444/B473)</f>
        <v/>
      </c>
      <c r="Q444" t="n">
        <v>0</v>
      </c>
      <c r="R444" t="n">
        <v>0</v>
      </c>
      <c r="S444" t="n">
        <v>0</v>
      </c>
      <c r="T444" t="n">
        <v>0</v>
      </c>
      <c r="V444" t="n">
        <v>0</v>
      </c>
    </row>
    <row r="445">
      <c r="A445">
        <f>Skills!A14</f>
        <v/>
      </c>
      <c r="B445">
        <f>Skills!B14</f>
        <v/>
      </c>
      <c r="C445">
        <f>Inputs!$B$3&gt;=74</f>
        <v/>
      </c>
      <c r="D445">
        <f>IF(Skills!C14=1,60+Inputs!$B$25+Inputs!$B$29,IF(Skills!C14=2,90+Inputs!$B$26+Inputs!$B$29,IF(Skills!C14=3,120+Inputs!$B$27+Inputs!$B$29,MAX(0,(Inputs!$B$3-100)*3)+Inputs!$B$28+Inputs!$B$29)))</f>
        <v/>
      </c>
      <c r="E445">
        <f>INDEX(FactorTable!$B$2:$Y$301, MATCH(ROUND(MIN(300,MAX(1,D445)),0), FactorTable!$A$2:$A$301,0), Skills!M14+1)</f>
        <v/>
      </c>
      <c r="F445">
        <f>IF(Skills!N14=TRUE,(Skills!L14/10)*(E445/1000),Skills!L14/10)+Skills!O14</f>
        <v/>
      </c>
      <c r="G445">
        <f>Skills!G14*IF(Skills!H14&gt;0,Skills!I14/Skills!H14,1)</f>
        <v/>
      </c>
      <c r="H445">
        <f>1-(1-Skills!J14/100)^Skills!K14</f>
        <v/>
      </c>
      <c r="I445" t="inlineStr">
        <is>
          <t>1</t>
        </is>
      </c>
      <c r="J445" t="inlineStr"/>
      <c r="K445" t="inlineStr"/>
      <c r="L445" t="inlineStr"/>
      <c r="M445" t="inlineStr"/>
      <c r="N445" t="inlineStr"/>
      <c r="O445">
        <f>(1-Summary!$B$11)*T445+Summary!$B$11*V445</f>
        <v/>
      </c>
      <c r="P445">
        <f>IF(B473=0,0,O445/B473)</f>
        <v/>
      </c>
      <c r="Q445" t="n">
        <v>0</v>
      </c>
      <c r="R445" t="n">
        <v>0</v>
      </c>
      <c r="S445" t="n">
        <v>0</v>
      </c>
      <c r="T445" t="n">
        <v>0</v>
      </c>
      <c r="V445" t="n">
        <v>0</v>
      </c>
    </row>
    <row r="446">
      <c r="A446">
        <f>Skills!A15</f>
        <v/>
      </c>
      <c r="B446">
        <f>Skills!B15</f>
        <v/>
      </c>
      <c r="C446">
        <f>Inputs!$B$3&gt;=117</f>
        <v/>
      </c>
      <c r="D446">
        <f>IF(Skills!C15=1,60+Inputs!$B$25+Inputs!$B$29,IF(Skills!C15=2,90+Inputs!$B$26+Inputs!$B$29,IF(Skills!C15=3,120+Inputs!$B$27+Inputs!$B$29,MAX(0,(Inputs!$B$3-100)*3)+Inputs!$B$28+Inputs!$B$29)))</f>
        <v/>
      </c>
      <c r="E446">
        <f>INDEX(FactorTable!$B$2:$Y$301, MATCH(ROUND(MIN(300,MAX(1,D446)),0), FactorTable!$A$2:$A$301,0), Skills!M15+1)</f>
        <v/>
      </c>
      <c r="F446">
        <f>IF(Skills!N15=TRUE,(Skills!L15/10)*(E446/1000),Skills!L15/10)+Skills!O15</f>
        <v/>
      </c>
      <c r="G446">
        <f>Skills!G15*IF(Skills!H15&gt;0,Skills!I15/Skills!H15,1)</f>
        <v/>
      </c>
      <c r="H446">
        <f>1-(1-Skills!J15/100)^Skills!K15</f>
        <v/>
      </c>
      <c r="I446" t="inlineStr">
        <is>
          <t>1</t>
        </is>
      </c>
      <c r="J446" t="inlineStr"/>
      <c r="K446" t="inlineStr"/>
      <c r="L446" t="inlineStr"/>
      <c r="M446" t="inlineStr"/>
      <c r="N446" t="inlineStr"/>
      <c r="O446">
        <f>(1-Summary!$B$11)*T446+Summary!$B$11*V446</f>
        <v/>
      </c>
      <c r="P446">
        <f>IF(B473=0,0,O446/B473)</f>
        <v/>
      </c>
      <c r="Q446">
        <f>IFERROR(1/IF(Inputs!$B$38="pvp",15,MAX(0.1,Skills!D15-IF(Skills!E15=TRUE,Inputs!$B$32,0))),0)</f>
        <v/>
      </c>
      <c r="R446">
        <f>IF(AND(Inputs!$B$38&lt;&gt;"pvp",Inputs!$B$43&gt;0),IF(Inputs!$B$43&lt;=0,0,(INT(Inputs!$B$43/IF(Inputs!$B$38="pvp",15,MAX(0.1,Skills!D15-IF(Skills!E15=TRUE,Inputs!$B$32,0))))+1)),0)</f>
        <v/>
      </c>
      <c r="S446" t="n">
        <v>0</v>
      </c>
      <c r="T446" t="n">
        <v>0</v>
      </c>
      <c r="V446" t="n">
        <v>0</v>
      </c>
    </row>
    <row r="447">
      <c r="A447">
        <f>Skills!A16</f>
        <v/>
      </c>
      <c r="B447">
        <f>Skills!B16</f>
        <v/>
      </c>
      <c r="C447">
        <f>Inputs!$B$3&gt;=115</f>
        <v/>
      </c>
      <c r="D447">
        <f>IF(Skills!C16=1,60+Inputs!$B$25+Inputs!$B$29,IF(Skills!C16=2,90+Inputs!$B$26+Inputs!$B$29,IF(Skills!C16=3,120+Inputs!$B$27+Inputs!$B$29,MAX(0,(Inputs!$B$3-100)*3)+Inputs!$B$28+Inputs!$B$29)))</f>
        <v/>
      </c>
      <c r="E447">
        <f>INDEX(FactorTable!$B$2:$Y$301, MATCH(ROUND(MIN(300,MAX(1,D447)),0), FactorTable!$A$2:$A$301,0), Skills!M16+1)</f>
        <v/>
      </c>
      <c r="F447">
        <f>IF(Skills!N16=TRUE,(Skills!L16/10)*(E447/1000),Skills!L16/10)+Skills!O16</f>
        <v/>
      </c>
      <c r="G447">
        <f>Skills!G16*IF(Skills!H16&gt;0,Skills!I16/Skills!H16,1)</f>
        <v/>
      </c>
      <c r="H447">
        <f>1-(1-Skills!J16/100)^Skills!K16</f>
        <v/>
      </c>
      <c r="I447" t="inlineStr">
        <is>
          <t>1</t>
        </is>
      </c>
      <c r="J447" t="inlineStr"/>
      <c r="K447" t="inlineStr"/>
      <c r="L447" t="inlineStr"/>
      <c r="M447" t="inlineStr"/>
      <c r="N447" t="inlineStr"/>
      <c r="O447">
        <f>(1-Summary!$B$11)*T447+Summary!$B$11*V447</f>
        <v/>
      </c>
      <c r="P447">
        <f>IF(B473=0,0,O447/B473)</f>
        <v/>
      </c>
      <c r="Q447">
        <f>IFERROR(1/IF(Inputs!$B$38="pvp",15,MAX(0.1,Skills!D16-IF(Skills!E16=TRUE,Inputs!$B$32,0))),0)</f>
        <v/>
      </c>
      <c r="R447">
        <f>IF(AND(Inputs!$B$38&lt;&gt;"pvp",Inputs!$B$43&gt;0),IF(Inputs!$B$43&lt;=0,0,(INT(Inputs!$B$43/IF(Inputs!$B$38="pvp",15,MAX(0.1,Skills!D16-IF(Skills!E16=TRUE,Inputs!$B$32,0))))+1)),0)</f>
        <v/>
      </c>
      <c r="S447" t="n">
        <v>0</v>
      </c>
      <c r="T447" t="n">
        <v>0</v>
      </c>
      <c r="V447" t="n">
        <v>0</v>
      </c>
    </row>
    <row r="448">
      <c r="A448">
        <f>Skills!A17</f>
        <v/>
      </c>
      <c r="B448">
        <f>Skills!B17</f>
        <v/>
      </c>
      <c r="C448">
        <f>Inputs!$B$3&gt;=72</f>
        <v/>
      </c>
      <c r="D448">
        <f>IF(Skills!C17=1,60+Inputs!$B$25+Inputs!$B$29,IF(Skills!C17=2,90+Inputs!$B$26+Inputs!$B$29,IF(Skills!C17=3,120+Inputs!$B$27+Inputs!$B$29,MAX(0,(Inputs!$B$3-100)*3)+Inputs!$B$28+Inputs!$B$29)))</f>
        <v/>
      </c>
      <c r="E448">
        <f>INDEX(FactorTable!$B$2:$Y$301, MATCH(ROUND(MIN(300,MAX(1,D448)),0), FactorTable!$A$2:$A$301,0), Skills!M17+1)</f>
        <v/>
      </c>
      <c r="F448">
        <f>IF(Skills!N17=TRUE,(Skills!L17/10)*(E448/1000),Skills!L17/10)+Skills!O17</f>
        <v/>
      </c>
      <c r="G448">
        <f>Skills!G17*IF(Skills!H17&gt;0,Skills!I17/Skills!H17,1)</f>
        <v/>
      </c>
      <c r="H448">
        <f>1-(1-Skills!J17/100)^Skills!K17</f>
        <v/>
      </c>
      <c r="I448" t="inlineStr">
        <is>
          <t>1</t>
        </is>
      </c>
      <c r="J448" t="inlineStr"/>
      <c r="K448" t="inlineStr"/>
      <c r="L448" t="inlineStr"/>
      <c r="M448" t="inlineStr"/>
      <c r="N448" t="inlineStr"/>
      <c r="O448">
        <f>(1-Summary!$B$11)*T448+Summary!$B$11*V448</f>
        <v/>
      </c>
      <c r="P448">
        <f>IF(B473=0,0,O448/B473)</f>
        <v/>
      </c>
      <c r="Q448" t="n">
        <v>0</v>
      </c>
      <c r="R448" t="n">
        <v>0</v>
      </c>
      <c r="S448" t="n">
        <v>0</v>
      </c>
      <c r="T448" t="n">
        <v>0</v>
      </c>
      <c r="V448" t="n">
        <v>0</v>
      </c>
    </row>
    <row r="449">
      <c r="A449">
        <f>Skills!A18</f>
        <v/>
      </c>
      <c r="B449">
        <f>Skills!B18</f>
        <v/>
      </c>
      <c r="C449">
        <f>TRUE</f>
        <v/>
      </c>
      <c r="D449">
        <f>IF(Skills!C18=1,60+Inputs!$B$25+Inputs!$B$29,IF(Skills!C18=2,90+Inputs!$B$26+Inputs!$B$29,IF(Skills!C18=3,120+Inputs!$B$27+Inputs!$B$29,MAX(0,(Inputs!$B$3-100)*3)+Inputs!$B$28+Inputs!$B$29)))</f>
        <v/>
      </c>
      <c r="E449">
        <f>INDEX(FactorTable!$B$2:$Y$301, MATCH(ROUND(MIN(300,MAX(1,D449)),0), FactorTable!$A$2:$A$301,0), Skills!M18+1)</f>
        <v/>
      </c>
      <c r="F449">
        <f>IF(Skills!N18=TRUE,(Skills!L18/10)*(E449/1000),Skills!L18/10)+Skills!O18</f>
        <v/>
      </c>
      <c r="G449">
        <f>Skills!G18*IF(Skills!H18&gt;0,Skills!I18/Skills!H18,1)</f>
        <v/>
      </c>
      <c r="H449">
        <f>1-(1-Skills!J18/100)^Skills!K18</f>
        <v/>
      </c>
      <c r="I449" t="inlineStr">
        <is>
          <t>1</t>
        </is>
      </c>
      <c r="J449" t="inlineStr"/>
      <c r="K449" t="inlineStr"/>
      <c r="L449" t="inlineStr"/>
      <c r="M449" t="inlineStr"/>
      <c r="N449" t="inlineStr"/>
      <c r="O449">
        <f>(1-Summary!$B$11)*T449+Summary!$B$11*V449</f>
        <v/>
      </c>
      <c r="P449">
        <f>IF(B473=0,0,O449/B473)</f>
        <v/>
      </c>
      <c r="Q449">
        <f>IFERROR(1/IF(Inputs!$B$38="pvp",15,MAX(0.1,Skills!D18-IF(Skills!E18=TRUE,Inputs!$B$32,0))),0)</f>
        <v/>
      </c>
      <c r="R449">
        <f>IF(AND(Inputs!$B$38&lt;&gt;"pvp",Inputs!$B$43&gt;0),IF(Inputs!$B$43&lt;=0,0,(INT(Inputs!$B$43/IF(Inputs!$B$38="pvp",15,MAX(0.1,Skills!D18-IF(Skills!E18=TRUE,Inputs!$B$32,0))))+1)),0)</f>
        <v/>
      </c>
      <c r="S449" t="n">
        <v>0</v>
      </c>
      <c r="T449" t="n">
        <v>0</v>
      </c>
      <c r="V449" t="n">
        <v>0</v>
      </c>
    </row>
    <row r="450">
      <c r="A450">
        <f>Skills!A19</f>
        <v/>
      </c>
      <c r="B450">
        <f>Skills!B19</f>
        <v/>
      </c>
      <c r="C450">
        <f>Inputs!$B$3&gt;=15</f>
        <v/>
      </c>
      <c r="D450">
        <f>IF(Skills!C19=1,60+Inputs!$B$25+Inputs!$B$29,IF(Skills!C19=2,90+Inputs!$B$26+Inputs!$B$29,IF(Skills!C19=3,120+Inputs!$B$27+Inputs!$B$29,MAX(0,(Inputs!$B$3-100)*3)+Inputs!$B$28+Inputs!$B$29)))</f>
        <v/>
      </c>
      <c r="E450">
        <f>INDEX(FactorTable!$B$2:$Y$301, MATCH(ROUND(MIN(300,MAX(1,D450)),0), FactorTable!$A$2:$A$301,0), Skills!M19+1)</f>
        <v/>
      </c>
      <c r="F450">
        <f>IF(Skills!N19=TRUE,(Skills!L19/10)*(E450/1000),Skills!L19/10)+Skills!O19</f>
        <v/>
      </c>
      <c r="G450">
        <f>Skills!G19*IF(Skills!H19&gt;0,Skills!I19/Skills!H19,1)</f>
        <v/>
      </c>
      <c r="H450">
        <f>1-(1-Skills!J19/100)^Skills!K19</f>
        <v/>
      </c>
      <c r="I450" t="inlineStr">
        <is>
          <t>1</t>
        </is>
      </c>
      <c r="J450" t="inlineStr"/>
      <c r="K450" t="inlineStr"/>
      <c r="L450" t="inlineStr"/>
      <c r="M450" t="inlineStr"/>
      <c r="N450" t="inlineStr"/>
      <c r="O450">
        <f>(1-Summary!$B$11)*T450+Summary!$B$11*V450</f>
        <v/>
      </c>
      <c r="P450">
        <f>IF(B473=0,0,O450/B473)</f>
        <v/>
      </c>
      <c r="Q450" t="n">
        <v>0</v>
      </c>
      <c r="R450" t="n">
        <v>0</v>
      </c>
      <c r="S450" t="n">
        <v>0</v>
      </c>
      <c r="T450" t="n">
        <v>0</v>
      </c>
      <c r="V450" t="n">
        <v>0</v>
      </c>
    </row>
    <row r="451">
      <c r="A451">
        <f>Skills!A20</f>
        <v/>
      </c>
      <c r="B451">
        <f>Skills!B20</f>
        <v/>
      </c>
      <c r="C451">
        <f>Inputs!$B$3&gt;=10</f>
        <v/>
      </c>
      <c r="D451">
        <f>IF(Skills!C20=1,60+Inputs!$B$25+Inputs!$B$29,IF(Skills!C20=2,90+Inputs!$B$26+Inputs!$B$29,IF(Skills!C20=3,120+Inputs!$B$27+Inputs!$B$29,MAX(0,(Inputs!$B$3-100)*3)+Inputs!$B$28+Inputs!$B$29)))</f>
        <v/>
      </c>
      <c r="E451">
        <f>INDEX(FactorTable!$B$2:$Y$301, MATCH(ROUND(MIN(300,MAX(1,D451)),0), FactorTable!$A$2:$A$301,0), Skills!M20+1)</f>
        <v/>
      </c>
      <c r="F451">
        <f>IF(Skills!N20=TRUE,(Skills!L20/10)*(E451/1000),Skills!L20/10)+Skills!O20</f>
        <v/>
      </c>
      <c r="G451">
        <f>Skills!G20*IF(Skills!H20&gt;0,Skills!I20/Skills!H20,1)</f>
        <v/>
      </c>
      <c r="H451">
        <f>1-(1-Skills!J20/100)^Skills!K20</f>
        <v/>
      </c>
      <c r="I451" t="inlineStr">
        <is>
          <t>1</t>
        </is>
      </c>
      <c r="J451" t="inlineStr"/>
      <c r="K451" t="inlineStr"/>
      <c r="L451" t="inlineStr"/>
      <c r="M451" t="inlineStr"/>
      <c r="N451" t="inlineStr"/>
      <c r="O451">
        <f>(1-Summary!$B$11)*T451+Summary!$B$11*V451</f>
        <v/>
      </c>
      <c r="P451">
        <f>IF(B473=0,0,O451/B473)</f>
        <v/>
      </c>
      <c r="Q451" t="n">
        <v>0</v>
      </c>
      <c r="R451" t="n">
        <v>0</v>
      </c>
      <c r="S451" t="n">
        <v>0</v>
      </c>
      <c r="T451" t="n">
        <v>0</v>
      </c>
      <c r="V451" t="n">
        <v>0</v>
      </c>
    </row>
    <row r="452">
      <c r="A452">
        <f>Skills!A21</f>
        <v/>
      </c>
      <c r="B452">
        <f>Skills!B21</f>
        <v/>
      </c>
      <c r="C452">
        <f>Inputs!$B$3&gt;=33</f>
        <v/>
      </c>
      <c r="D452">
        <f>IF(Skills!C21=1,60+Inputs!$B$25+Inputs!$B$29,IF(Skills!C21=2,90+Inputs!$B$26+Inputs!$B$29,IF(Skills!C21=3,120+Inputs!$B$27+Inputs!$B$29,MAX(0,(Inputs!$B$3-100)*3)+Inputs!$B$28+Inputs!$B$29)))</f>
        <v/>
      </c>
      <c r="E452">
        <f>INDEX(FactorTable!$B$2:$Y$301, MATCH(ROUND(MIN(300,MAX(1,D452)),0), FactorTable!$A$2:$A$301,0), Skills!M21+1)</f>
        <v/>
      </c>
      <c r="F452">
        <f>IF(Skills!N21=TRUE,(Skills!L21/10)*(E452/1000),Skills!L21/10)+Skills!O21</f>
        <v/>
      </c>
      <c r="G452">
        <f>Skills!G21*IF(Skills!H21&gt;0,Skills!I21/Skills!H21,1)</f>
        <v/>
      </c>
      <c r="H452">
        <f>1-(1-Skills!J21/100)^Skills!K21</f>
        <v/>
      </c>
      <c r="I452" t="inlineStr">
        <is>
          <t>1</t>
        </is>
      </c>
      <c r="J452" t="inlineStr"/>
      <c r="K452" t="inlineStr"/>
      <c r="L452" t="inlineStr"/>
      <c r="M452" t="inlineStr"/>
      <c r="N452" t="inlineStr"/>
      <c r="O452">
        <f>(1-Summary!$B$11)*T452+Summary!$B$11*V452</f>
        <v/>
      </c>
      <c r="P452">
        <f>IF(B473=0,0,O452/B473)</f>
        <v/>
      </c>
      <c r="Q452" t="n">
        <v>0</v>
      </c>
      <c r="R452" t="n">
        <v>0</v>
      </c>
      <c r="S452" t="n">
        <v>0</v>
      </c>
      <c r="T452" t="n">
        <v>0</v>
      </c>
      <c r="V452" t="n">
        <v>0</v>
      </c>
    </row>
    <row r="453">
      <c r="A453">
        <f>Skills!A22</f>
        <v/>
      </c>
      <c r="B453">
        <f>Skills!B22</f>
        <v/>
      </c>
      <c r="C453">
        <f>Inputs!$B$3&gt;=38</f>
        <v/>
      </c>
      <c r="D453">
        <f>IF(Skills!C22=1,60+Inputs!$B$25+Inputs!$B$29,IF(Skills!C22=2,90+Inputs!$B$26+Inputs!$B$29,IF(Skills!C22=3,120+Inputs!$B$27+Inputs!$B$29,MAX(0,(Inputs!$B$3-100)*3)+Inputs!$B$28+Inputs!$B$29)))</f>
        <v/>
      </c>
      <c r="E453">
        <f>INDEX(FactorTable!$B$2:$Y$301, MATCH(ROUND(MIN(300,MAX(1,D453)),0), FactorTable!$A$2:$A$301,0), Skills!M22+1)</f>
        <v/>
      </c>
      <c r="F453">
        <f>IF(Skills!N22=TRUE,(Skills!L22/10)*(E453/1000),Skills!L22/10)+Skills!O22</f>
        <v/>
      </c>
      <c r="G453">
        <f>Skills!G22*IF(Skills!H22&gt;0,Skills!I22/Skills!H22,1)</f>
        <v/>
      </c>
      <c r="H453">
        <f>1-(1-Skills!J22/100)^Skills!K22</f>
        <v/>
      </c>
      <c r="I453" t="inlineStr">
        <is>
          <t>1</t>
        </is>
      </c>
      <c r="J453" t="inlineStr"/>
      <c r="K453" t="inlineStr"/>
      <c r="L453" t="inlineStr"/>
      <c r="M453" t="inlineStr"/>
      <c r="N453" t="inlineStr"/>
      <c r="O453">
        <f>(1-Summary!$B$11)*T453+Summary!$B$11*V453</f>
        <v/>
      </c>
      <c r="P453">
        <f>IF(B473=0,0,O453/B473)</f>
        <v/>
      </c>
      <c r="Q453" t="n">
        <v>0</v>
      </c>
      <c r="R453" t="n">
        <v>0</v>
      </c>
      <c r="S453" t="n">
        <v>0</v>
      </c>
      <c r="T453" t="n">
        <v>0</v>
      </c>
      <c r="V453" t="n">
        <v>0</v>
      </c>
    </row>
    <row r="454">
      <c r="A454">
        <f>Skills!A23</f>
        <v/>
      </c>
      <c r="B454">
        <f>Skills!B23</f>
        <v/>
      </c>
      <c r="C454">
        <f>Inputs!$B$3&gt;=43</f>
        <v/>
      </c>
      <c r="D454">
        <f>IF(Skills!C23=1,60+Inputs!$B$25+Inputs!$B$29,IF(Skills!C23=2,90+Inputs!$B$26+Inputs!$B$29,IF(Skills!C23=3,120+Inputs!$B$27+Inputs!$B$29,MAX(0,(Inputs!$B$3-100)*3)+Inputs!$B$28+Inputs!$B$29)))</f>
        <v/>
      </c>
      <c r="E454">
        <f>INDEX(FactorTable!$B$2:$Y$301, MATCH(ROUND(MIN(300,MAX(1,D454)),0), FactorTable!$A$2:$A$301,0), Skills!M23+1)</f>
        <v/>
      </c>
      <c r="F454">
        <f>IF(Skills!N23=TRUE,(Skills!L23/10)*(E454/1000),Skills!L23/10)+Skills!O23</f>
        <v/>
      </c>
      <c r="G454">
        <f>Skills!G23*IF(Skills!H23&gt;0,Skills!I23/Skills!H23,1)</f>
        <v/>
      </c>
      <c r="H454">
        <f>1-(1-Skills!J23/100)^Skills!K23</f>
        <v/>
      </c>
      <c r="I454" t="inlineStr">
        <is>
          <t>1</t>
        </is>
      </c>
      <c r="J454" t="inlineStr"/>
      <c r="K454" t="inlineStr"/>
      <c r="L454" t="inlineStr"/>
      <c r="M454" t="inlineStr"/>
      <c r="N454" t="inlineStr"/>
      <c r="O454">
        <f>(1-Summary!$B$11)*T454+Summary!$B$11*V454</f>
        <v/>
      </c>
      <c r="P454">
        <f>IF(B473=0,0,O454/B473)</f>
        <v/>
      </c>
      <c r="Q454" t="n">
        <v>0</v>
      </c>
      <c r="R454" t="n">
        <v>0</v>
      </c>
      <c r="S454" t="n">
        <v>0</v>
      </c>
      <c r="T454" t="n">
        <v>0</v>
      </c>
      <c r="V454" t="n">
        <v>0</v>
      </c>
    </row>
    <row r="455">
      <c r="A455">
        <f>Skills!A24</f>
        <v/>
      </c>
      <c r="B455">
        <f>Skills!B24</f>
        <v/>
      </c>
      <c r="C455">
        <f>Inputs!$B$3&gt;=75</f>
        <v/>
      </c>
      <c r="D455">
        <f>IF(Skills!C24=1,60+Inputs!$B$25+Inputs!$B$29,IF(Skills!C24=2,90+Inputs!$B$26+Inputs!$B$29,IF(Skills!C24=3,120+Inputs!$B$27+Inputs!$B$29,MAX(0,(Inputs!$B$3-100)*3)+Inputs!$B$28+Inputs!$B$29)))</f>
        <v/>
      </c>
      <c r="E455">
        <f>INDEX(FactorTable!$B$2:$Y$301, MATCH(ROUND(MIN(300,MAX(1,D455)),0), FactorTable!$A$2:$A$301,0), Skills!M24+1)</f>
        <v/>
      </c>
      <c r="F455">
        <f>IF(Skills!N24=TRUE,(Skills!L24/10)*(E455/1000),Skills!L24/10)+Skills!O24</f>
        <v/>
      </c>
      <c r="G455">
        <f>Skills!G24*IF(Skills!H24&gt;0,Skills!I24/Skills!H24,1)</f>
        <v/>
      </c>
      <c r="H455">
        <f>1-(1-Skills!J24/100)^Skills!K24</f>
        <v/>
      </c>
      <c r="I455" t="inlineStr">
        <is>
          <t>1</t>
        </is>
      </c>
      <c r="J455" t="inlineStr"/>
      <c r="K455" t="inlineStr"/>
      <c r="L455" t="inlineStr"/>
      <c r="M455" t="inlineStr"/>
      <c r="N455" t="inlineStr"/>
      <c r="O455">
        <f>(1-Summary!$B$11)*T455+Summary!$B$11*V455</f>
        <v/>
      </c>
      <c r="P455">
        <f>IF(B473=0,0,O455/B473)</f>
        <v/>
      </c>
      <c r="Q455" t="n">
        <v>0</v>
      </c>
      <c r="R455" t="n">
        <v>0</v>
      </c>
      <c r="S455" t="n">
        <v>0</v>
      </c>
      <c r="T455" t="n">
        <v>0</v>
      </c>
      <c r="V455" t="n">
        <v>0</v>
      </c>
    </row>
    <row r="456">
      <c r="A456">
        <f>Skills!A25</f>
        <v/>
      </c>
      <c r="B456">
        <f>Skills!B25</f>
        <v/>
      </c>
      <c r="C456">
        <f>Inputs!$B$3&gt;=125</f>
        <v/>
      </c>
      <c r="D456">
        <f>IF(Skills!C25=1,60+Inputs!$B$25+Inputs!$B$29,IF(Skills!C25=2,90+Inputs!$B$26+Inputs!$B$29,IF(Skills!C25=3,120+Inputs!$B$27+Inputs!$B$29,MAX(0,(Inputs!$B$3-100)*3)+Inputs!$B$28+Inputs!$B$29)))</f>
        <v/>
      </c>
      <c r="E456">
        <f>INDEX(FactorTable!$B$2:$Y$301, MATCH(ROUND(MIN(300,MAX(1,D456)),0), FactorTable!$A$2:$A$301,0), Skills!M25+1)</f>
        <v/>
      </c>
      <c r="F456">
        <f>IF(Skills!N25=TRUE,(Skills!L25/10)*(E456/1000),Skills!L25/10)+Skills!O25</f>
        <v/>
      </c>
      <c r="G456">
        <f>Skills!G25*IF(Skills!H25&gt;0,Skills!I25/Skills!H25,1)</f>
        <v/>
      </c>
      <c r="H456">
        <f>1-(1-Skills!J25/100)^Skills!K25</f>
        <v/>
      </c>
      <c r="I456" t="inlineStr">
        <is>
          <t>1</t>
        </is>
      </c>
      <c r="J456" t="inlineStr"/>
      <c r="K456" t="inlineStr"/>
      <c r="L456" t="inlineStr"/>
      <c r="M456" t="inlineStr"/>
      <c r="N456" t="inlineStr"/>
      <c r="O456">
        <f>(1-Summary!$B$11)*T456+Summary!$B$11*V456</f>
        <v/>
      </c>
      <c r="P456">
        <f>IF(B473=0,0,O456/B473)</f>
        <v/>
      </c>
      <c r="Q456" t="n">
        <v>0</v>
      </c>
      <c r="R456" t="n">
        <v>0</v>
      </c>
      <c r="S456" t="n">
        <v>0</v>
      </c>
      <c r="T456" t="n">
        <v>0</v>
      </c>
      <c r="V456" t="n">
        <v>0</v>
      </c>
    </row>
    <row r="457">
      <c r="A457">
        <f>Skills!A26</f>
        <v/>
      </c>
      <c r="B457">
        <f>Skills!B26</f>
        <v/>
      </c>
      <c r="C457">
        <f>Inputs!$B$3&gt;=125</f>
        <v/>
      </c>
      <c r="D457">
        <f>IF(Skills!C26=1,60+Inputs!$B$25+Inputs!$B$29,IF(Skills!C26=2,90+Inputs!$B$26+Inputs!$B$29,IF(Skills!C26=3,120+Inputs!$B$27+Inputs!$B$29,MAX(0,(Inputs!$B$3-100)*3)+Inputs!$B$28+Inputs!$B$29)))</f>
        <v/>
      </c>
      <c r="E457">
        <f>INDEX(FactorTable!$B$2:$Y$301, MATCH(ROUND(MIN(300,MAX(1,D457)),0), FactorTable!$A$2:$A$301,0), Skills!M26+1)</f>
        <v/>
      </c>
      <c r="F457">
        <f>IF(Skills!N26=TRUE,(Skills!L26/10)*(E457/1000),Skills!L26/10)+Skills!O26</f>
        <v/>
      </c>
      <c r="G457">
        <f>Skills!G26*IF(Skills!H26&gt;0,Skills!I26/Skills!H26,1)</f>
        <v/>
      </c>
      <c r="H457">
        <f>1-(1-Skills!J26/100)^Skills!K26</f>
        <v/>
      </c>
      <c r="I457" t="inlineStr">
        <is>
          <t>1</t>
        </is>
      </c>
      <c r="J457" t="inlineStr"/>
      <c r="K457" t="inlineStr"/>
      <c r="L457" t="inlineStr"/>
      <c r="M457" t="inlineStr"/>
      <c r="N457" t="inlineStr"/>
      <c r="O457">
        <f>(1-Summary!$B$11)*T457+Summary!$B$11*V457</f>
        <v/>
      </c>
      <c r="P457">
        <f>IF(B473=0,0,O457/B473)</f>
        <v/>
      </c>
      <c r="Q457" t="n">
        <v>0</v>
      </c>
      <c r="R457" t="n">
        <v>0</v>
      </c>
      <c r="S457" t="n">
        <v>0</v>
      </c>
      <c r="T457" t="n">
        <v>0</v>
      </c>
      <c r="V457" t="n">
        <v>0</v>
      </c>
    </row>
    <row r="458">
      <c r="A458">
        <f>Skills!A27</f>
        <v/>
      </c>
      <c r="B458">
        <f>Skills!B27</f>
        <v/>
      </c>
      <c r="C458">
        <f>Inputs!$B$3&gt;=120</f>
        <v/>
      </c>
      <c r="D458">
        <f>IF(Skills!C27=1,60+Inputs!$B$25+Inputs!$B$29,IF(Skills!C27=2,90+Inputs!$B$26+Inputs!$B$29,IF(Skills!C27=3,120+Inputs!$B$27+Inputs!$B$29,MAX(0,(Inputs!$B$3-100)*3)+Inputs!$B$28+Inputs!$B$29)))</f>
        <v/>
      </c>
      <c r="E458">
        <f>INDEX(FactorTable!$B$2:$Y$301, MATCH(ROUND(MIN(300,MAX(1,D458)),0), FactorTable!$A$2:$A$301,0), Skills!M27+1)</f>
        <v/>
      </c>
      <c r="F458">
        <f>IF(Skills!N27=TRUE,(Skills!L27/10)*(E458/1000),Skills!L27/10)+Skills!O27</f>
        <v/>
      </c>
      <c r="G458">
        <f>Skills!G27*IF(Skills!H27&gt;0,Skills!I27/Skills!H27,1)</f>
        <v/>
      </c>
      <c r="H458">
        <f>1-(1-Skills!J27/100)^Skills!K27</f>
        <v/>
      </c>
      <c r="I458" t="inlineStr">
        <is>
          <t>1</t>
        </is>
      </c>
      <c r="J458" t="inlineStr"/>
      <c r="K458" t="inlineStr"/>
      <c r="L458" t="inlineStr"/>
      <c r="M458" t="inlineStr"/>
      <c r="N458" t="inlineStr"/>
      <c r="O458">
        <f>(1-Summary!$B$11)*T458+Summary!$B$11*V458</f>
        <v/>
      </c>
      <c r="P458">
        <f>IF(B473=0,0,O458/B473)</f>
        <v/>
      </c>
      <c r="Q458" t="n">
        <v>0</v>
      </c>
      <c r="R458" t="n">
        <v>0</v>
      </c>
      <c r="S458" t="n">
        <v>0</v>
      </c>
      <c r="T458" t="n">
        <v>0</v>
      </c>
      <c r="V458" t="n">
        <v>0</v>
      </c>
    </row>
    <row r="459">
      <c r="A459">
        <f>Skills!A28</f>
        <v/>
      </c>
      <c r="B459">
        <f>Skills!B28</f>
        <v/>
      </c>
      <c r="C459">
        <f>Inputs!$B$3&gt;=120</f>
        <v/>
      </c>
      <c r="D459">
        <f>IF(Skills!C28=1,60+Inputs!$B$25+Inputs!$B$29,IF(Skills!C28=2,90+Inputs!$B$26+Inputs!$B$29,IF(Skills!C28=3,120+Inputs!$B$27+Inputs!$B$29,MAX(0,(Inputs!$B$3-100)*3)+Inputs!$B$28+Inputs!$B$29)))</f>
        <v/>
      </c>
      <c r="E459">
        <f>INDEX(FactorTable!$B$2:$Y$301, MATCH(ROUND(MIN(300,MAX(1,D459)),0), FactorTable!$A$2:$A$301,0), Skills!M28+1)</f>
        <v/>
      </c>
      <c r="F459">
        <f>IF(Skills!N28=TRUE,(Skills!L28/10)*(E459/1000),Skills!L28/10)+Skills!O28</f>
        <v/>
      </c>
      <c r="G459">
        <f>Skills!G28*IF(Skills!H28&gt;0,Skills!I28/Skills!H28,1)</f>
        <v/>
      </c>
      <c r="H459">
        <f>1-(1-Skills!J28/100)^Skills!K28</f>
        <v/>
      </c>
      <c r="I459" t="inlineStr">
        <is>
          <t>1</t>
        </is>
      </c>
      <c r="J459" t="inlineStr"/>
      <c r="K459" t="inlineStr"/>
      <c r="L459" t="inlineStr"/>
      <c r="M459" t="inlineStr"/>
      <c r="N459" t="inlineStr"/>
      <c r="O459">
        <f>(1-Summary!$B$11)*T459+Summary!$B$11*V459</f>
        <v/>
      </c>
      <c r="P459">
        <f>IF(B473=0,0,O459/B473)</f>
        <v/>
      </c>
      <c r="Q459" t="n">
        <v>0</v>
      </c>
      <c r="R459" t="n">
        <v>0</v>
      </c>
      <c r="S459" t="n">
        <v>0</v>
      </c>
      <c r="T459" t="n">
        <v>0</v>
      </c>
      <c r="V459" t="n">
        <v>0</v>
      </c>
    </row>
    <row r="460">
      <c r="A460">
        <f>Skills!A29</f>
        <v/>
      </c>
      <c r="B460">
        <f>Skills!B29</f>
        <v/>
      </c>
      <c r="C460">
        <f>Inputs!$B$3&gt;=45</f>
        <v/>
      </c>
      <c r="D460">
        <f>IF(Skills!C29=1,60+Inputs!$B$25+Inputs!$B$29,IF(Skills!C29=2,90+Inputs!$B$26+Inputs!$B$29,IF(Skills!C29=3,120+Inputs!$B$27+Inputs!$B$29,MAX(0,(Inputs!$B$3-100)*3)+Inputs!$B$28+Inputs!$B$29)))</f>
        <v/>
      </c>
      <c r="E460">
        <f>INDEX(FactorTable!$B$2:$Y$301, MATCH(ROUND(MIN(300,MAX(1,D460)),0), FactorTable!$A$2:$A$301,0), Skills!M29+1)</f>
        <v/>
      </c>
      <c r="F460">
        <f>IF(Skills!N29=TRUE,(Skills!L29/10)*(E460/1000),Skills!L29/10)+Skills!O29</f>
        <v/>
      </c>
      <c r="G460">
        <f>Skills!G29*IF(Skills!H29&gt;0,Skills!I29/Skills!H29,1)</f>
        <v/>
      </c>
      <c r="H460">
        <f>1-(1-Skills!J29/100)^Skills!K29</f>
        <v/>
      </c>
      <c r="I460" t="inlineStr">
        <is>
          <t>1</t>
        </is>
      </c>
      <c r="J460" t="inlineStr"/>
      <c r="K460" t="inlineStr"/>
      <c r="L460" t="inlineStr"/>
      <c r="M460" t="inlineStr"/>
      <c r="N460" t="inlineStr"/>
      <c r="O460">
        <f>(1-Summary!$B$11)*T460+Summary!$B$11*V460</f>
        <v/>
      </c>
      <c r="P460">
        <f>IF(B473=0,0,O460/B473)</f>
        <v/>
      </c>
      <c r="Q460" t="n">
        <v>0</v>
      </c>
      <c r="R460" t="n">
        <v>0</v>
      </c>
      <c r="S460" t="n">
        <v>0</v>
      </c>
      <c r="T460" t="n">
        <v>0</v>
      </c>
      <c r="V460" t="n">
        <v>0</v>
      </c>
    </row>
    <row r="462">
      <c r="A462" t="inlineStr">
        <is>
          <t>Attack% Bucket Multiplier</t>
        </is>
      </c>
      <c r="B462">
        <f>(1+(((C444=TRUE)*F444)+((C445=TRUE)*IF(Inputs!$B$38="pvp",F445,(1-Summary!$B$11)*(F445)+Summary!$B$11*(0)))+((C446=TRUE)*F446*IF(AND(Inputs!$B$38&lt;&gt;"pvp",Inputs!$B$43&gt;0),(((R446-1)*(Skills!T15*(1+Inputs!$B$34/100))+MIN((Skills!T15*(1+Inputs!$B$34/100)),MAX(0,Inputs!$B$43-((R446-1)*Skills!D15))))/Inputs!$B$43),IF(Inputs!$B$38="pvp",MIN((Skills!T15*(1+Inputs!$B$34/100)),15)/15,(Skills!T15*(1+Inputs!$B$34/100))/Skills!D15)))+((C443=TRUE)*F443)+((C460=TRUE)*(F460-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463">
      <c r="A463" t="inlineStr">
        <is>
          <t>Global Crit Rate Bonus %</t>
        </is>
      </c>
      <c r="B463">
        <f>(C447=TRUE)*20*IF(AND(Inputs!$B$38&lt;&gt;"pvp",Inputs!$B$43&gt;0),(((R447-1)*(Skills!T16*(1+Inputs!$B$34/100))+MIN((Skills!T16*(1+Inputs!$B$34/100)),MAX(0,Inputs!$B$43-((R447-1)*Skills!D16))))/Inputs!$B$43),IF(Inputs!$B$38="pvp",MIN((Skills!T16*(1+Inputs!$B$34/100)),15)/15,(Skills!T16*(1+Inputs!$B$34/100))/Skills!D16))</f>
        <v/>
      </c>
    </row>
    <row r="464">
      <c r="A464" t="inlineStr">
        <is>
          <t>Attack Speed Buff Bonus %</t>
        </is>
      </c>
      <c r="B464">
        <f>((C449=TRUE)*F449*IF(AND(Inputs!$B$38&lt;&gt;"pvp",Inputs!$B$43&gt;0),(((R449-1)*(Skills!T18*(1+Inputs!$B$34/100))+MIN((Skills!T18*(1+Inputs!$B$34/100)),MAX(0,Inputs!$B$43-((R449-1)*Skills!D18))))/Inputs!$B$43),IF(Inputs!$B$38="pvp",MIN((Skills!T18*(1+Inputs!$B$34/100)),15)/15,(Skills!T18*(1+Inputs!$B$34/100))/Skills!D18)))</f>
        <v/>
      </c>
    </row>
    <row r="465">
      <c r="A465" t="inlineStr">
        <is>
          <t>Actions Per Second</t>
        </is>
      </c>
      <c r="B465">
        <f>1+MIN(150,150*(1-(1-(Inputs!$B$11+((C451=TRUE)*(F451-Calc!F20))+((C452=TRUE)*(F452-Calc!F21)))/150)*(1-B464/150)))/100</f>
        <v/>
      </c>
    </row>
    <row r="466">
      <c r="A466" t="inlineStr">
        <is>
          <t>Skill + Buff Cast Rate</t>
        </is>
      </c>
      <c r="B466">
        <f>IF(AND(Inputs!$B$38&lt;&gt;"pvp",Inputs!$B$43&gt;0),SUMPRODUCT((Skills!E2:E29=TRUE)*(C433:C460=TRUE)*R433:R460*Skills!F2:F29)/Inputs!$B$43,SUMPRODUCT((Skills!E2:E29=TRUE)*(C433:C460=TRUE)*Q433:Q460*Skills!F2:F29))</f>
        <v/>
      </c>
    </row>
    <row r="467">
      <c r="A467" t="inlineStr">
        <is>
          <t>Empowered Piercing Arrow Casts Per Second</t>
        </is>
      </c>
      <c r="B467">
        <f>MAX(0,B465-B466)</f>
        <v/>
      </c>
    </row>
    <row r="468">
      <c r="A468" t="inlineStr">
        <is>
          <t>Global Critical Damage Bonus % (Sharp Eyes)</t>
        </is>
      </c>
      <c r="B468">
        <f>(C447=TRUE)*F447*IF(AND(Inputs!$B$38&lt;&gt;"pvp",Inputs!$B$43&gt;0),(((R447-1)*(Skills!T16*(1+Inputs!$B$34/100))+MIN((Skills!T16*(1+Inputs!$B$34/100)),MAX(0,Inputs!$B$43-((R447-1)*Skills!D16))))/Inputs!$B$43),IF(Inputs!$B$38="pvp",MIN((Skills!T16*(1+Inputs!$B$34/100)),15)/15,(Skills!T16*(1+Inputs!$B$34/100))/Skills!D16))</f>
        <v/>
      </c>
    </row>
    <row r="469">
      <c r="A469" t="inlineStr">
        <is>
          <t>Global Final Damage Bonus % (Mortal Blow + Last Man Standing conditional half)</t>
        </is>
      </c>
      <c r="B469">
        <f>(C448=TRUE)*F448+((C457=TRUE)*IF(Inputs!$B$38="pvp",F457,(1-Summary!$B$11)*(F457)+Summary!$B$11*(0)))</f>
        <v/>
      </c>
    </row>
    <row r="470">
      <c r="A470" t="inlineStr">
        <is>
          <t>Buff-Casting Startup Delay (s, fixed-duration only)</t>
        </is>
      </c>
      <c r="B470">
        <f>IF(AND(Inputs!$B$38&lt;&gt;"pvp",Inputs!$B$43&gt;0),SUMPRODUCT((Skills!T2:T29&gt;0)*(Skills!E2:E29=TRUE)*(C433:C460=TRUE))/B465,0)</f>
        <v/>
      </c>
    </row>
    <row r="471">
      <c r="A471" t="inlineStr">
        <is>
          <t>Boss-Only Total DPS (this block's swept value)</t>
        </is>
      </c>
      <c r="B471">
        <f>SUM(T433:T460)</f>
        <v/>
      </c>
    </row>
    <row r="472">
      <c r="A472" t="inlineStr">
        <is>
          <t>Normal-Only Total DPS (this block's swept value)</t>
        </is>
      </c>
      <c r="B472">
        <f>SUM(V433:V460)</f>
        <v/>
      </c>
    </row>
    <row r="473">
      <c r="A473" s="6" t="inlineStr">
        <is>
          <t>TOTAL DPS</t>
        </is>
      </c>
      <c r="B473" s="6">
        <f>SUM(O433:O460)</f>
        <v/>
      </c>
    </row>
    <row r="476">
      <c r="A476" s="6" t="inlineStr">
        <is>
          <t>Stat: MAX_DAMAGE %</t>
        </is>
      </c>
    </row>
    <row r="477">
      <c r="A477" s="5" t="inlineStr">
        <is>
          <t>Key</t>
        </is>
      </c>
      <c r="B477" s="5" t="inlineStr">
        <is>
          <t>Name</t>
        </is>
      </c>
      <c r="C477" s="5" t="inlineStr">
        <is>
          <t>Unlocked</t>
        </is>
      </c>
      <c r="D477" s="5" t="inlineStr">
        <is>
          <t>InputLevel</t>
        </is>
      </c>
      <c r="E477" s="5" t="inlineStr">
        <is>
          <t>Factor</t>
        </is>
      </c>
      <c r="F477" s="5" t="inlineStr">
        <is>
          <t>CoefficientPercent</t>
        </is>
      </c>
      <c r="G477" s="5" t="inlineStr">
        <is>
          <t>EffectiveHits</t>
        </is>
      </c>
      <c r="H477" s="5" t="inlineStr">
        <is>
          <t>ProcProbability</t>
        </is>
      </c>
      <c r="I477" s="5" t="inlineStr">
        <is>
          <t>MapleHeroMultiplier</t>
        </is>
      </c>
      <c r="J477" s="5" t="inlineStr">
        <is>
          <t>BaseDamage</t>
        </is>
      </c>
      <c r="K477" s="5" t="inlineStr">
        <is>
          <t>BaseHitDamage</t>
        </is>
      </c>
      <c r="L477" s="5" t="inlineStr">
        <is>
          <t>NonCritAvg</t>
        </is>
      </c>
      <c r="M477" s="5" t="inlineStr">
        <is>
          <t>CritAvg</t>
        </is>
      </c>
      <c r="N477" s="5" t="inlineStr">
        <is>
          <t>ExpectedDamage(perHit)</t>
        </is>
      </c>
      <c r="O477" s="5" t="inlineStr">
        <is>
          <t>DPS</t>
        </is>
      </c>
      <c r="P477" s="5" t="inlineStr">
        <is>
          <t>% of Total</t>
        </is>
      </c>
      <c r="Q477" s="5" t="inlineStr">
        <is>
          <t>InvCooldown</t>
        </is>
      </c>
      <c r="R477" s="5" t="inlineStr">
        <is>
          <t>CastsInFight</t>
        </is>
      </c>
      <c r="S477" s="5" t="inlineStr">
        <is>
          <t>HitRate(perSec)</t>
        </is>
      </c>
      <c r="U477" t="inlineStr">
        <is>
          <t>helpers</t>
        </is>
      </c>
    </row>
    <row r="478">
      <c r="A478">
        <f>Skills!A2</f>
        <v/>
      </c>
      <c r="B478">
        <f>Skills!B2</f>
        <v/>
      </c>
      <c r="C478">
        <f>Inputs!$B$3&gt;=100</f>
        <v/>
      </c>
      <c r="D478" t="inlineStr"/>
      <c r="E478" t="inlineStr"/>
      <c r="F478">
        <f>U480+Skills!O2</f>
        <v/>
      </c>
      <c r="G478">
        <f>Skills!G2*IF(Skills!H2&gt;0,Skills!I2/Skills!H2,1)</f>
        <v/>
      </c>
      <c r="H478">
        <f>1-(1-Skills!J2/100)^Skills!K2</f>
        <v/>
      </c>
      <c r="I478" t="inlineStr">
        <is>
          <t>1</t>
        </is>
      </c>
      <c r="J478">
        <f>((Inputs!$B$6*(1+Inputs!$B$7/100))+(((Inputs!$B$12*(1+Inputs!$B$13/100))-(Inputs!$B$12*(1+Inputs!$B$13/100)))+0.25*(Inputs!$B$14-Inputs!$B$14))*(1+Inputs!$B$7/100))*(F478/100)</f>
        <v/>
      </c>
      <c r="K478">
        <f>J478*(1+((Inputs!$B$12*(1+Inputs!$B$13/100))*0.01+Inputs!$B$14*0.0025)/100)*(1+Inputs!$B$15/100)*(1+Inputs!$B$16/100)*(5000/(6000+Inputs!$B$42*(1-(100*(1-(1-(Inputs!$B$19+0)/100)*(1-CHOOSE(ArtifactsInput!$N$40+1,5,6,7,8,9,10)/100)^(ArtifactsInput!$M$40-ArtifactsInput!$M$40)))/100)))*(1+(Inputs!$B$24+((C500=TRUE)*(F500-Calc!F24))+((C501=TRUE)*(F501-Calc!F25))+B514)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EMPOWERED_PIERCING_ARROW",Inputs!$B$17+((C498=TRUE)*(F498-Calc!F22))+(((IF(AND(ArtifactsInput!$M$42,((Inputs!$B$9+((C495=TRUE)*(F495-Calc!F19))+B508+(ArtifactsInput!$M$24-ArtifactsInput!$M$24)*CHOOSE(ArtifactsInput!$N$24+1,10,12,14,16,18,20)+IF(ArtifactsInput!$M$10,CHOOSE(ArtifactsInput!$N$10+1,15,18,21,24,27,30)*(IF(Inputs!$B$38="pvp",MIN(15,15)/15,IF(AND(Inputs!$B$38&lt;&gt;"pvp",Inputs!$B$43&gt;0),MIN(15,Inputs!$B$43)/(Inputs!$B$43),0))),0)))&gt;=100),MIN(100,((Inputs!$B$9+((C495=TRUE)*(F495-Calc!F19))+B508+(ArtifactsInput!$M$24-ArtifactsInput!$M$24)*CHOOSE(ArtifactsInput!$N$24+1,10,12,14,16,18,20)+IF(ArtifactsInput!$M$10,CHOOSE(ArtifactsInput!$N$10+1,15,18,21,24,27,30)*(IF(Inputs!$B$38="pvp",MIN(15,15)/15,IF(AND(Inputs!$B$38&lt;&gt;"pvp",Inputs!$B$43&gt;0),MIN(15,Inputs!$B$43)/(Inputs!$B$43),0))),0)))-100),0))*CHOOSE(ArtifactsInput!$N$42+1,0.6,0.72,0.84,0.96,1.08,1.2))),Inputs!$B$18+((C503=TRUE)*(F503-Calc!F27))+(IF(AND(ArtifactsInput!$M$42,((Inputs!$B$9+((C495=TRUE)*(F495-Calc!F19))+B508+(ArtifactsInput!$M$24-ArtifactsInput!$M$24)*CHOOSE(ArtifactsInput!$N$24+1,10,12,14,16,18,20)+IF(ArtifactsInput!$M$10,CHOOSE(ArtifactsInput!$N$10+1,15,18,21,24,27,30)*(IF(Inputs!$B$38="pvp",MIN(15,15)/15,IF(AND(Inputs!$B$38&lt;&gt;"pvp",Inputs!$B$43&gt;0),MIN(15,Inputs!$B$43)/(Inputs!$B$43),0))),0)))&gt;=100),CHOOSE(ArtifactsInput!$N$42+1,40,48,56,64,72,80),0))))/100)*((1+(((C489=TRUE)*F489)+((C490=TRUE)*IF(Inputs!$B$38="pvp",F490,(1-Summary!$B$11)*(F490)+Summary!$B$11*(0)))+((C491=TRUE)*F491*IF(AND(Inputs!$B$38&lt;&gt;"pvp",Inputs!$B$43&gt;0),(((R491-1)*(Skills!T15*(1+Inputs!$B$34/100))+MIN((Skills!T15*(1+Inputs!$B$34/100)),MAX(0,Inputs!$B$43-((R491-1)*Skills!D15))))/Inputs!$B$43),IF(Inputs!$B$38="pvp",MIN((Skills!T15*(1+Inputs!$B$34/100)),15)/15,(Skills!T15*(1+Inputs!$B$34/100))/Skills!D15)))+((C488=TRUE)*F488)+((C505=TRUE)*(F505-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478)</f>
        <v/>
      </c>
      <c r="L478">
        <f>K478*(MIN(Inputs!$B$22+((C499=TRUE)*(F499-Calc!F23)),((Inputs!$B$23+1)+((C504=TRUE)*(F504-Calc!F28))+(IF(ArtifactsInput!$M$15,CHOOSE(ArtifactsInput!$N$15+1,25,30,35,40,45,50)/100*(Inputs!$B$11-Inputs!$B$11),0))))/100+((Inputs!$B$23+1)+((C504=TRUE)*(F504-Calc!F28))+(IF(ArtifactsInput!$M$15,CHOOSE(ArtifactsInput!$N$15+1,25,30,35,40,45,50)/100*(Inputs!$B$11-Inputs!$B$11),0)))/100)/2</f>
        <v/>
      </c>
      <c r="M478">
        <f>L478*(1+(Inputs!$B$10+0+B513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478">
        <f>L478*(1-MIN((Inputs!$B$9+((C495=TRUE)*(F495-Calc!F19))+B508+(ArtifactsInput!$M$24-ArtifactsInput!$M$24)*CHOOSE(ArtifactsInput!$N$24+1,10,12,14,16,18,20)+(IF(AND(ArtifactsInput!$M$42,((Inputs!$B$9+((C495=TRUE)*(F495-Calc!F19))+B508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478*(MIN((Inputs!$B$9+((C495=TRUE)*(F495-Calc!F19))+B508+(ArtifactsInput!$M$24-ArtifactsInput!$M$24)*CHOOSE(ArtifactsInput!$N$24+1,10,12,14,16,18,20)+(IF(AND(ArtifactsInput!$M$42,((Inputs!$B$9+((C495=TRUE)*(F495-Calc!F19))+B508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478">
        <f>(1-Summary!$B$11)*T478+Summary!$B$11*V478</f>
        <v/>
      </c>
      <c r="P478">
        <f>IF(B518=0,0,O478/B518)</f>
        <v/>
      </c>
      <c r="Q478" t="n">
        <v>0</v>
      </c>
      <c r="R478" t="n">
        <v>0</v>
      </c>
      <c r="S478">
        <f>IFERROR((Skills!G2*N478*B512)/N478*IF(Inputs!$B$38="pvp",1,(1-Summary!$B$11)*1+Summary!$B$11*(MIN((6+Inputs!$B$33),Inputs!$B$37))),0)</f>
        <v/>
      </c>
      <c r="T478">
        <f>IF(C478,(Skills!G2*N478*B512)*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Hunt"),CHOOSE(ArtifactsInput!$N$35+1,15,18,21,24,27,30)*(1-EXP(-(0.2*B510)*5)),0)+IF(AND(ArtifactsInput!$M$22,Inputs!$B$4&lt;&gt;"Chapter Hunt"),CHOOSE(ArtifactsInput!$N$22+1,10,12,14,16,18,20)*((0*(((0.15*B510*5))^0/1)+1*(((0.15*B510*5))^1/1)+2*(((0.15*B510*5))^2/2)+3*(((0.15*B510*5))^3/6)+4*(((0.15*B510*5))^4/24)+5*(((0.15*B510*5))^5/120))/((((0.15*B510*5))^0/1)+(((0.15*B510*5))^1/1)+(((0.15*B510*5))^2/2)+(((0.15*B510*5))^3/6)+(((0.15*B510*5))^4/24)+(((0.15*B510*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478*(1-MIN(100,(Inputs!$B$9+((C495=TRUE)*(F495-Calc!F19))+B508+(ArtifactsInput!$M$24-ArtifactsInput!$M$24)*CHOOSE(ArtifactsInput!$N$24+1,10,12,14,16,18,20)+(IF(AND(ArtifactsInput!$M$42,((Inputs!$B$9+((C495=TRUE)*(F495-Calc!F19))+B508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478*(MIN(100,(Inputs!$B$9+((C495=TRUE)*(F495-Calc!F19))+B508+(ArtifactsInput!$M$24-ArtifactsInput!$M$24)*CHOOSE(ArtifactsInput!$N$24+1,10,12,14,16,18,20)+(IF(AND(ArtifactsInput!$M$42,((Inputs!$B$9+((C495=TRUE)*(F495-Calc!F19))+B508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478*(1-MIN(100,(Inputs!$B$9+((C495=TRUE)*(F495-Calc!F19))+B508+(ArtifactsInput!$M$24-ArtifactsInput!$M$24)*CHOOSE(ArtifactsInput!$N$24+1,10,12,14,16,18,20)+(IF(AND(ArtifactsInput!$M$42,((Inputs!$B$9+((C495=TRUE)*(F495-Calc!F19))+B508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478*(MIN(100,(Inputs!$B$9+((C495=TRUE)*(F495-Calc!F19))+B508+(ArtifactsInput!$M$24-ArtifactsInput!$M$24)*CHOOSE(ArtifactsInput!$N$24+1,10,12,14,16,18,20)+(IF(AND(ArtifactsInput!$M$42,((Inputs!$B$9+((C495=TRUE)*(F495-Calc!F19))+B508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478">
        <f>MAX(0,(Inputs!$B$3-100)*3)+Inputs!$B$28+Inputs!$B$29</f>
        <v/>
      </c>
      <c r="V478">
        <f>IF(C478,(Skills!G2*N478*B512)*IF(Inputs!$B$38="pvp",1,(1+(Inputs!$B$21+Skills!Q2+(IF(ArtifactsInput!$M$33,CHOOSE(ArtifactsInput!$N$33+1,30,36,42,48,54,60),0))+(IF(AND(ArtifactsInput!$M$35,Inputs!$B$4&lt;&gt;"Chapter Hunt"),CHOOSE(ArtifactsInput!$N$35+1,15,18,21,24,27,30)*(1-EXP(-(0.2*B510)*5)),0)+IF(AND(ArtifactsInput!$M$22,Inputs!$B$4&lt;&gt;"Chapter Hunt"),CHOOSE(ArtifactsInput!$N$22+1,10,12,14,16,18,20)*((0*(((0.15*B510*5))^0/1)+1*(((0.15*B510*5))^1/1)+2*(((0.15*B510*5))^2/2)+3*(((0.15*B510*5))^3/6)+4*(((0.15*B510*5))^4/24)+5*(((0.15*B510*5))^5/120))/((((0.15*B510*5))^0/1)+(((0.15*B510*5))^1/1)+(((0.15*B510*5))^2/2)+(((0.15*B510*5))^3/6)+(((0.15*B510*5))^4/24)+(((0.15*B510*5))^5/120)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479">
      <c r="A479">
        <f>Skills!A3</f>
        <v/>
      </c>
      <c r="B479">
        <f>Skills!B3</f>
        <v/>
      </c>
      <c r="C479">
        <f>Inputs!$B$3&gt;=50</f>
        <v/>
      </c>
      <c r="D479">
        <f>IF(Skills!C3=1,60+Inputs!$B$25+Inputs!$B$29,IF(Skills!C3=2,90+Inputs!$B$26+Inputs!$B$29,IF(Skills!C3=3,120+Inputs!$B$27+Inputs!$B$29,MAX(0,(Inputs!$B$3-100)*3)+Inputs!$B$28+Inputs!$B$29)))</f>
        <v/>
      </c>
      <c r="E479">
        <f>INDEX(FactorTable!$B$2:$Y$301, MATCH(ROUND(MIN(300,MAX(1,D479)),0), FactorTable!$A$2:$A$301,0), Skills!M3+1)</f>
        <v/>
      </c>
      <c r="F479">
        <f>IF(Skills!N3=TRUE,(Skills!L3/10)*(E479/1000),Skills!L3/10)+Skills!O3</f>
        <v/>
      </c>
      <c r="G479" t="inlineStr"/>
      <c r="H479" t="inlineStr"/>
      <c r="I479" t="inlineStr">
        <is>
          <t>1</t>
        </is>
      </c>
      <c r="J479" t="inlineStr"/>
      <c r="K479" t="inlineStr"/>
      <c r="L479" t="inlineStr"/>
      <c r="M479" t="inlineStr"/>
      <c r="N479" t="inlineStr"/>
      <c r="O479" t="inlineStr"/>
      <c r="P479" t="inlineStr"/>
      <c r="Q479" t="inlineStr"/>
      <c r="R479" t="inlineStr"/>
      <c r="S479" t="inlineStr"/>
      <c r="T479" t="inlineStr"/>
      <c r="U479">
        <f>INDEX(FactorTable!$B$2:$Y$301, MATCH(ROUND(MIN(300,MAX(1,U478)),0), FactorTable!$A$2:$A$301,0), 22)</f>
        <v/>
      </c>
      <c r="V479" t="inlineStr"/>
    </row>
    <row r="480">
      <c r="A480">
        <f>Skills!A4</f>
        <v/>
      </c>
      <c r="B480">
        <f>Skills!B4</f>
        <v/>
      </c>
      <c r="C480">
        <f>Inputs!$B$3&gt;=105</f>
        <v/>
      </c>
      <c r="D480">
        <f>IF(Skills!C4=1,60+Inputs!$B$25+Inputs!$B$29,IF(Skills!C4=2,90+Inputs!$B$26+Inputs!$B$29,IF(Skills!C4=3,120+Inputs!$B$27+Inputs!$B$29,MAX(0,(Inputs!$B$3-100)*3)+Inputs!$B$28+Inputs!$B$29)))</f>
        <v/>
      </c>
      <c r="E480">
        <f>INDEX(FactorTable!$B$2:$Y$301, MATCH(ROUND(MIN(300,MAX(1,D480)),0), FactorTable!$A$2:$A$301,0), Skills!M4+1)</f>
        <v/>
      </c>
      <c r="F480">
        <f>IF(Skills!N4=TRUE,(Skills!L4/10)*(E480/1000),Skills!L4/10)+Skills!O4</f>
        <v/>
      </c>
      <c r="G480" t="inlineStr"/>
      <c r="H480" t="inlineStr"/>
      <c r="I480" t="inlineStr">
        <is>
          <t>1</t>
        </is>
      </c>
      <c r="J480" t="inlineStr"/>
      <c r="K480" t="inlineStr"/>
      <c r="L480" t="inlineStr"/>
      <c r="M480" t="inlineStr"/>
      <c r="N480" t="inlineStr"/>
      <c r="O480" t="inlineStr"/>
      <c r="P480" t="inlineStr"/>
      <c r="Q480" t="inlineStr"/>
      <c r="R480" t="inlineStr"/>
      <c r="S480" t="inlineStr"/>
      <c r="T480" t="inlineStr"/>
      <c r="U480">
        <f>290*U479/1000</f>
        <v/>
      </c>
      <c r="V480" t="inlineStr"/>
    </row>
    <row r="481">
      <c r="A481">
        <f>Skills!A5</f>
        <v/>
      </c>
      <c r="B481">
        <f>Skills!B5</f>
        <v/>
      </c>
      <c r="C481">
        <f>Inputs!$B$3&gt;=35</f>
        <v/>
      </c>
      <c r="D481">
        <f>IF(Skills!C5=1,60+Inputs!$B$25+Inputs!$B$29,IF(Skills!C5=2,90+Inputs!$B$26+Inputs!$B$29,IF(Skills!C5=3,120+Inputs!$B$27+Inputs!$B$29,MAX(0,(Inputs!$B$3-100)*3)+Inputs!$B$28+Inputs!$B$29)))</f>
        <v/>
      </c>
      <c r="E481">
        <f>INDEX(FactorTable!$B$2:$Y$301, MATCH(ROUND(MIN(300,MAX(1,D481)),0), FactorTable!$A$2:$A$301,0), Skills!M5+1)</f>
        <v/>
      </c>
      <c r="F481">
        <f>IF(Skills!N5=TRUE,(Skills!L5/10)*(E481/1000),Skills!L5/10)+Skills!O5</f>
        <v/>
      </c>
      <c r="G481">
        <f>Skills!G5*IF(Skills!H5&gt;0,Skills!I5/Skills!H5,1)</f>
        <v/>
      </c>
      <c r="H481">
        <f>1-(1-Skills!J5/100)^Skills!K5</f>
        <v/>
      </c>
      <c r="I481" t="inlineStr">
        <is>
          <t>1</t>
        </is>
      </c>
      <c r="J481">
        <f>((Inputs!$B$6*(1+Inputs!$B$7/100))+(((Inputs!$B$12*(1+Inputs!$B$13/100))-(Inputs!$B$12*(1+Inputs!$B$13/100)))+0.25*(Inputs!$B$14-Inputs!$B$14))*(1+Inputs!$B$7/100))*(F481/100)</f>
        <v/>
      </c>
      <c r="K481">
        <f>J481*(1+((Inputs!$B$12*(1+Inputs!$B$13/100))*0.01+Inputs!$B$14*0.0025)/100)*(1+Inputs!$B$15/100)*(1+Inputs!$B$16/100)*(5000/(6000+Inputs!$B$42*(1-(100*(1-(1-(Inputs!$B$19+0)/100)*(1-CHOOSE(ArtifactsInput!$N$40+1,5,6,7,8,9,10)/100)^(ArtifactsInput!$M$40-ArtifactsInput!$M$40)))/100)))*(1+(Inputs!$B$24+((C500=TRUE)*(F500-Calc!F24))+((C501=TRUE)*(F501-Calc!F25))+B514)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484=TRUE,F484,0)/100)*(1+(IF(Skills!A5="EMPOWERED_PIERCING_ARROW",Inputs!$B$17+((C498=TRUE)*(F498-Calc!F22))+(((IF(AND(ArtifactsInput!$M$42,((Inputs!$B$9+((C495=TRUE)*(F495-Calc!F19))+B508+(ArtifactsInput!$M$24-ArtifactsInput!$M$24)*CHOOSE(ArtifactsInput!$N$24+1,10,12,14,16,18,20)+IF(ArtifactsInput!$M$10,CHOOSE(ArtifactsInput!$N$10+1,15,18,21,24,27,30)*(IF(Inputs!$B$38="pvp",MIN(15,15)/15,IF(AND(Inputs!$B$38&lt;&gt;"pvp",Inputs!$B$43&gt;0),MIN(15,Inputs!$B$43)/(Inputs!$B$43),0))),0)))&gt;=100),MIN(100,((Inputs!$B$9+((C495=TRUE)*(F495-Calc!F19))+B508+(ArtifactsInput!$M$24-ArtifactsInput!$M$24)*CHOOSE(ArtifactsInput!$N$24+1,10,12,14,16,18,20)+IF(ArtifactsInput!$M$10,CHOOSE(ArtifactsInput!$N$10+1,15,18,21,24,27,30)*(IF(Inputs!$B$38="pvp",MIN(15,15)/15,IF(AND(Inputs!$B$38&lt;&gt;"pvp",Inputs!$B$43&gt;0),MIN(15,Inputs!$B$43)/(Inputs!$B$43),0))),0)))-100),0))*CHOOSE(ArtifactsInput!$N$42+1,0.6,0.72,0.84,0.96,1.08,1.2))),Inputs!$B$18+((C503=TRUE)*(F503-Calc!F27))+(IF(AND(ArtifactsInput!$M$42,((Inputs!$B$9+((C495=TRUE)*(F495-Calc!F19))+B508+(ArtifactsInput!$M$24-ArtifactsInput!$M$24)*CHOOSE(ArtifactsInput!$N$24+1,10,12,14,16,18,20)+IF(ArtifactsInput!$M$10,CHOOSE(ArtifactsInput!$N$10+1,15,18,21,24,27,30)*(IF(Inputs!$B$38="pvp",MIN(15,15)/15,IF(AND(Inputs!$B$38&lt;&gt;"pvp",Inputs!$B$43&gt;0),MIN(15,Inputs!$B$43)/(Inputs!$B$43),0))),0)))&gt;=100),CHOOSE(ArtifactsInput!$N$42+1,40,48,56,64,72,80),0))))/100)*((1+(((C489=TRUE)*F489)+((C490=TRUE)*IF(Inputs!$B$38="pvp",F490,(1-Summary!$B$11)*(F490)+Summary!$B$11*(0)))+((C491=TRUE)*F491*IF(AND(Inputs!$B$38&lt;&gt;"pvp",Inputs!$B$43&gt;0),(((R491-1)*(Skills!T15*(1+Inputs!$B$34/100))+MIN((Skills!T15*(1+Inputs!$B$34/100)),MAX(0,Inputs!$B$43-((R491-1)*Skills!D15))))/Inputs!$B$43),IF(Inputs!$B$38="pvp",MIN((Skills!T15*(1+Inputs!$B$34/100)),15)/15,(Skills!T15*(1+Inputs!$B$34/100))/Skills!D15)))+((C488=TRUE)*F488)+((C505=TRUE)*(F505-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481)</f>
        <v/>
      </c>
      <c r="L481">
        <f>K481*(MIN(Inputs!$B$22+((C499=TRUE)*(F499-Calc!F23)),((Inputs!$B$23+1)+((C504=TRUE)*(F504-Calc!F28))+(IF(ArtifactsInput!$M$15,CHOOSE(ArtifactsInput!$N$15+1,25,30,35,40,45,50)/100*(Inputs!$B$11-Inputs!$B$11),0))))/100+((Inputs!$B$23+1)+((C504=TRUE)*(F504-Calc!F28))+(IF(ArtifactsInput!$M$15,CHOOSE(ArtifactsInput!$N$15+1,25,30,35,40,45,50)/100*(Inputs!$B$11-Inputs!$B$11),0)))/100)/2</f>
        <v/>
      </c>
      <c r="M481">
        <f>L481*(1+(Inputs!$B$10+0+B513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481">
        <f>L481*(1-MIN((Inputs!$B$9+((C495=TRUE)*(F495-Calc!F19))+B508+(ArtifactsInput!$M$24-ArtifactsInput!$M$24)*CHOOSE(ArtifactsInput!$N$24+1,10,12,14,16,18,20)+(IF(AND(ArtifactsInput!$M$42,((Inputs!$B$9+((C495=TRUE)*(F495-Calc!F19))+B508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481*(MIN((Inputs!$B$9+((C495=TRUE)*(F495-Calc!F19))+B508+(ArtifactsInput!$M$24-ArtifactsInput!$M$24)*CHOOSE(ArtifactsInput!$N$24+1,10,12,14,16,18,20)+(IF(AND(ArtifactsInput!$M$42,((Inputs!$B$9+((C495=TRUE)*(F495-Calc!F19))+B508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481">
        <f>(1-Summary!$B$11)*T481+Summary!$B$11*V481</f>
        <v/>
      </c>
      <c r="P481">
        <f>IF(B518=0,0,O481/B518)</f>
        <v/>
      </c>
      <c r="Q481">
        <f>IFERROR(1/IF(Inputs!$B$38="pvp",15,MAX(0.1,Skills!D5-IF(Skills!E5=TRUE,Inputs!$B$32,0))),0)</f>
        <v/>
      </c>
      <c r="R481">
        <f>IF(AND(Inputs!$B$38&lt;&gt;"pvp",Inputs!$B$43&gt;0),IF(MAX(0,Inputs!$B$43-B515)&lt;=0,0,(INT(MAX(0,Inputs!$B$43-B515)/IF(Inputs!$B$38="pvp",15,MAX(0.1,Skills!D5-IF(Skills!E5=TRUE,Inputs!$B$32,0))))+1)),0)</f>
        <v/>
      </c>
      <c r="S481">
        <f>IFERROR((H481*N481*IF(AND(Inputs!$B$38&lt;&gt;"pvp",Inputs!$B$43&gt;0),((Skills!G5*((R481-1)*IF(Skills!H5&gt;0,Skills!I5/Skills!H5,1)+IF(Skills!H5&gt;0,MIN(Skills!I5,MAX(0,MAX(0,Inputs!$B$43-B515)-((R481-1)*IF(Inputs!$B$38="pvp",15,MAX(0.1,Skills!D5-IF(Skills!E5=TRUE,Inputs!$B$32,0))))))/Skills!H5,1)))/Inputs!$B$43),G481*Q481))/N481*IF(Inputs!$B$38="pvp",1,(1-Summary!$B$11)*1+Summary!$B$11*(MIN(Skills!R5,Inputs!$B$37))),0)</f>
        <v/>
      </c>
      <c r="T481">
        <f>IF(C481,(H481*N481*IF(AND(Inputs!$B$38&lt;&gt;"pvp",Inputs!$B$43&gt;0),((Skills!G5*((R481-1)*IF(Skills!H5&gt;0,Skills!I5/Skills!H5,1)+IF(Skills!H5&gt;0,MIN(Skills!I5,MAX(0,MAX(0,Inputs!$B$43-B515)-((R481-1)*IF(Inputs!$B$38="pvp",15,MAX(0.1,Skills!D5-IF(Skills!E5=TRUE,Inputs!$B$32,0))))))/Skills!H5,1)))/Inputs!$B$43),G481*Q481))*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Hunt"),CHOOSE(ArtifactsInput!$N$35+1,15,18,21,24,27,30)*(1-EXP(-(0.2*B510)*5)),0)+IF(AND(ArtifactsInput!$M$22,Inputs!$B$4&lt;&gt;"Chapter Hunt"),CHOOSE(ArtifactsInput!$N$22+1,10,12,14,16,18,20)*((0*(((0.15*B510*5))^0/1)+1*(((0.15*B510*5))^1/1)+2*(((0.15*B510*5))^2/2)+3*(((0.15*B510*5))^3/6)+4*(((0.15*B510*5))^4/24)+5*(((0.15*B510*5))^5/120))/((((0.15*B510*5))^0/1)+(((0.15*B510*5))^1/1)+(((0.15*B510*5))^2/2)+(((0.15*B510*5))^3/6)+(((0.15*B510*5))^4/24)+(((0.15*B510*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481*(1-MIN(100,(Inputs!$B$9+((C495=TRUE)*(F495-Calc!F19))+B508+(ArtifactsInput!$M$24-ArtifactsInput!$M$24)*CHOOSE(ArtifactsInput!$N$24+1,10,12,14,16,18,20)+(IF(AND(ArtifactsInput!$M$42,((Inputs!$B$9+((C495=TRUE)*(F495-Calc!F19))+B508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481*(MIN(100,(Inputs!$B$9+((C495=TRUE)*(F495-Calc!F19))+B508+(ArtifactsInput!$M$24-ArtifactsInput!$M$24)*CHOOSE(ArtifactsInput!$N$24+1,10,12,14,16,18,20)+(IF(AND(ArtifactsInput!$M$42,((Inputs!$B$9+((C495=TRUE)*(F495-Calc!F19))+B508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481*(1-MIN(100,(Inputs!$B$9+((C495=TRUE)*(F495-Calc!F19))+B508+(ArtifactsInput!$M$24-ArtifactsInput!$M$24)*CHOOSE(ArtifactsInput!$N$24+1,10,12,14,16,18,20)+(IF(AND(ArtifactsInput!$M$42,((Inputs!$B$9+((C495=TRUE)*(F495-Calc!F19))+B508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481*(MIN(100,(Inputs!$B$9+((C495=TRUE)*(F495-Calc!F19))+B508+(ArtifactsInput!$M$24-ArtifactsInput!$M$24)*CHOOSE(ArtifactsInput!$N$24+1,10,12,14,16,18,20)+(IF(AND(ArtifactsInput!$M$42,((Inputs!$B$9+((C495=TRUE)*(F495-Calc!F19))+B508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481">
        <f>IF(C481,(H481*N481*IF(AND(Inputs!$B$38&lt;&gt;"pvp",Inputs!$B$43&gt;0),((Skills!G5*((R481-1)*IF(Skills!H5&gt;0,Skills!I5/Skills!H5,1)+IF(Skills!H5&gt;0,MIN(Skills!I5,MAX(0,MAX(0,Inputs!$B$43-B515)-((R481-1)*IF(Inputs!$B$38="pvp",15,MAX(0.1,Skills!D5-IF(Skills!E5=TRUE,Inputs!$B$32,0))))))/Skills!H5,1)))/Inputs!$B$43),G481*Q481))*IF(Inputs!$B$38="pvp",1,(1+(Inputs!$B$21+Skills!Q5+(IF(ArtifactsInput!$M$33,CHOOSE(ArtifactsInput!$N$33+1,30,36,42,48,54,60),0))+(IF(AND(ArtifactsInput!$M$35,Inputs!$B$4&lt;&gt;"Chapter Hunt"),CHOOSE(ArtifactsInput!$N$35+1,15,18,21,24,27,30)*(1-EXP(-(0.2*B510)*5)),0)+IF(AND(ArtifactsInput!$M$22,Inputs!$B$4&lt;&gt;"Chapter Hunt"),CHOOSE(ArtifactsInput!$N$22+1,10,12,14,16,18,20)*((0*(((0.15*B510*5))^0/1)+1*(((0.15*B510*5))^1/1)+2*(((0.15*B510*5))^2/2)+3*(((0.15*B510*5))^3/6)+4*(((0.15*B510*5))^4/24)+5*(((0.15*B510*5))^5/120))/((((0.15*B510*5))^0/1)+(((0.15*B510*5))^1/1)+(((0.15*B510*5))^2/2)+(((0.15*B510*5))^3/6)+(((0.15*B510*5))^4/24)+(((0.15*B510*5))^5/120)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482">
      <c r="A482">
        <f>Skills!A6</f>
        <v/>
      </c>
      <c r="B482">
        <f>Skills!B6</f>
        <v/>
      </c>
      <c r="C482">
        <f>Inputs!$B$3&gt;=63</f>
        <v/>
      </c>
      <c r="D482">
        <f>IF(Skills!C6=1,60+Inputs!$B$25+Inputs!$B$29,IF(Skills!C6=2,90+Inputs!$B$26+Inputs!$B$29,IF(Skills!C6=3,120+Inputs!$B$27+Inputs!$B$29,MAX(0,(Inputs!$B$3-100)*3)+Inputs!$B$28+Inputs!$B$29)))</f>
        <v/>
      </c>
      <c r="E482">
        <f>INDEX(FactorTable!$B$2:$Y$301, MATCH(ROUND(MIN(300,MAX(1,D482)),0), FactorTable!$A$2:$A$301,0), Skills!M6+1)</f>
        <v/>
      </c>
      <c r="F482">
        <f>IF(Skills!N6=TRUE,(Skills!L6/10)*(E482/1000),Skills!L6/10)+Skills!O6</f>
        <v/>
      </c>
      <c r="G482">
        <f>Skills!G6*IF(Skills!H6&gt;0,Skills!I6/Skills!H6,1)</f>
        <v/>
      </c>
      <c r="H482">
        <f>1-(1-Skills!J6/100)^Skills!K6</f>
        <v/>
      </c>
      <c r="I482" t="inlineStr">
        <is>
          <t>1</t>
        </is>
      </c>
      <c r="J482">
        <f>((Inputs!$B$6*(1+Inputs!$B$7/100))+(((Inputs!$B$12*(1+Inputs!$B$13/100))-(Inputs!$B$12*(1+Inputs!$B$13/100)))+0.25*(Inputs!$B$14-Inputs!$B$14))*(1+Inputs!$B$7/100))*(F482/100)</f>
        <v/>
      </c>
      <c r="K482">
        <f>J482*(1+((Inputs!$B$12*(1+Inputs!$B$13/100))*0.01+Inputs!$B$14*0.0025)/100)*(1+Inputs!$B$15/100)*(1+Inputs!$B$16/100)*(5000/(6000+Inputs!$B$42*(1-(100*(1-(1-(Inputs!$B$19+0)/100)*(1-CHOOSE(ArtifactsInput!$N$40+1,5,6,7,8,9,10)/100)^(ArtifactsInput!$M$40-ArtifactsInput!$M$40)))/100)))*(1+(Inputs!$B$24+((C500=TRUE)*(F500-Calc!F24))+((C501=TRUE)*(F501-Calc!F25))+B514)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484=TRUE,F484,0)/100)*(1+(IF(Skills!A6="EMPOWERED_PIERCING_ARROW",Inputs!$B$17+((C498=TRUE)*(F498-Calc!F22))+(((IF(AND(ArtifactsInput!$M$42,((Inputs!$B$9+((C495=TRUE)*(F495-Calc!F19))+B508+(ArtifactsInput!$M$24-ArtifactsInput!$M$24)*CHOOSE(ArtifactsInput!$N$24+1,10,12,14,16,18,20)+IF(ArtifactsInput!$M$10,CHOOSE(ArtifactsInput!$N$10+1,15,18,21,24,27,30)*(IF(Inputs!$B$38="pvp",MIN(15,15)/15,IF(AND(Inputs!$B$38&lt;&gt;"pvp",Inputs!$B$43&gt;0),MIN(15,Inputs!$B$43)/(Inputs!$B$43),0))),0)))&gt;=100),MIN(100,((Inputs!$B$9+((C495=TRUE)*(F495-Calc!F19))+B508+(ArtifactsInput!$M$24-ArtifactsInput!$M$24)*CHOOSE(ArtifactsInput!$N$24+1,10,12,14,16,18,20)+IF(ArtifactsInput!$M$10,CHOOSE(ArtifactsInput!$N$10+1,15,18,21,24,27,30)*(IF(Inputs!$B$38="pvp",MIN(15,15)/15,IF(AND(Inputs!$B$38&lt;&gt;"pvp",Inputs!$B$43&gt;0),MIN(15,Inputs!$B$43)/(Inputs!$B$43),0))),0)))-100),0))*CHOOSE(ArtifactsInput!$N$42+1,0.6,0.72,0.84,0.96,1.08,1.2))),Inputs!$B$18+((C503=TRUE)*(F503-Calc!F27))+(IF(AND(ArtifactsInput!$M$42,((Inputs!$B$9+((C495=TRUE)*(F495-Calc!F19))+B508+(ArtifactsInput!$M$24-ArtifactsInput!$M$24)*CHOOSE(ArtifactsInput!$N$24+1,10,12,14,16,18,20)+IF(ArtifactsInput!$M$10,CHOOSE(ArtifactsInput!$N$10+1,15,18,21,24,27,30)*(IF(Inputs!$B$38="pvp",MIN(15,15)/15,IF(AND(Inputs!$B$38&lt;&gt;"pvp",Inputs!$B$43&gt;0),MIN(15,Inputs!$B$43)/(Inputs!$B$43),0))),0)))&gt;=100),CHOOSE(ArtifactsInput!$N$42+1,40,48,56,64,72,80),0))))/100)*((1+(((C489=TRUE)*F489)+((C490=TRUE)*IF(Inputs!$B$38="pvp",F490,(1-Summary!$B$11)*(F490)+Summary!$B$11*(0)))+((C491=TRUE)*F491*IF(AND(Inputs!$B$38&lt;&gt;"pvp",Inputs!$B$43&gt;0),(((R491-1)*(Skills!T15*(1+Inputs!$B$34/100))+MIN((Skills!T15*(1+Inputs!$B$34/100)),MAX(0,Inputs!$B$43-((R491-1)*Skills!D15))))/Inputs!$B$43),IF(Inputs!$B$38="pvp",MIN((Skills!T15*(1+Inputs!$B$34/100)),15)/15,(Skills!T15*(1+Inputs!$B$34/100))/Skills!D15)))+((C488=TRUE)*F488)+((C505=TRUE)*(F505-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482)</f>
        <v/>
      </c>
      <c r="L482">
        <f>K482*(MIN(Inputs!$B$22+((C499=TRUE)*(F499-Calc!F23)),((Inputs!$B$23+1)+((C504=TRUE)*(F504-Calc!F28))+(IF(ArtifactsInput!$M$15,CHOOSE(ArtifactsInput!$N$15+1,25,30,35,40,45,50)/100*(Inputs!$B$11-Inputs!$B$11),0))))/100+((Inputs!$B$23+1)+((C504=TRUE)*(F504-Calc!F28))+(IF(ArtifactsInput!$M$15,CHOOSE(ArtifactsInput!$N$15+1,25,30,35,40,45,50)/100*(Inputs!$B$11-Inputs!$B$11),0)))/100)/2</f>
        <v/>
      </c>
      <c r="M482">
        <f>L482*(1+(Inputs!$B$10+0+B513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482">
        <f>L482*(1-MIN((Inputs!$B$9+((C495=TRUE)*(F495-Calc!F19))+B508+(ArtifactsInput!$M$24-ArtifactsInput!$M$24)*CHOOSE(ArtifactsInput!$N$24+1,10,12,14,16,18,20)+(IF(AND(ArtifactsInput!$M$42,((Inputs!$B$9+((C495=TRUE)*(F495-Calc!F19))+B508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482*(MIN((Inputs!$B$9+((C495=TRUE)*(F495-Calc!F19))+B508+(ArtifactsInput!$M$24-ArtifactsInput!$M$24)*CHOOSE(ArtifactsInput!$N$24+1,10,12,14,16,18,20)+(IF(AND(ArtifactsInput!$M$42,((Inputs!$B$9+((C495=TRUE)*(F495-Calc!F19))+B508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482">
        <f>(1-Summary!$B$11)*T482+Summary!$B$11*V482</f>
        <v/>
      </c>
      <c r="P482">
        <f>IF(B518=0,0,O482/B518)</f>
        <v/>
      </c>
      <c r="Q482">
        <f>IFERROR(1/IF(Inputs!$B$38="pvp",15,MAX(0.1,Skills!D6-IF(Skills!E6=TRUE,Inputs!$B$32,0))),0)</f>
        <v/>
      </c>
      <c r="R482">
        <f>IF(AND(Inputs!$B$38&lt;&gt;"pvp",Inputs!$B$43&gt;0),IF(MAX(0,Inputs!$B$43-B515)&lt;=0,0,(INT(MAX(0,Inputs!$B$43-B515)/IF(Inputs!$B$38="pvp",15,MAX(0.1,Skills!D6-IF(Skills!E6=TRUE,Inputs!$B$32,0))))+1)),0)</f>
        <v/>
      </c>
      <c r="S482">
        <f>IFERROR((H482*N482*IF(AND(Inputs!$B$38&lt;&gt;"pvp",Inputs!$B$43&gt;0),((Skills!G6*((R482-1)*IF(Skills!H6&gt;0,Skills!I6/Skills!H6,1)+IF(Skills!H6&gt;0,MIN(Skills!I6,MAX(0,MAX(0,Inputs!$B$43-B515)-((R482-1)*IF(Inputs!$B$38="pvp",15,MAX(0.1,Skills!D6-IF(Skills!E6=TRUE,Inputs!$B$32,0))))))/Skills!H6,1)))/Inputs!$B$43),G482*Q482))/N482*IF(Inputs!$B$38="pvp",1,(1-Summary!$B$11)*1+Summary!$B$11*(MIN(Skills!R6,Inputs!$B$37))),0)</f>
        <v/>
      </c>
      <c r="T482">
        <f>IF(C482,(H482*N482*IF(AND(Inputs!$B$38&lt;&gt;"pvp",Inputs!$B$43&gt;0),((Skills!G6*((R482-1)*IF(Skills!H6&gt;0,Skills!I6/Skills!H6,1)+IF(Skills!H6&gt;0,MIN(Skills!I6,MAX(0,MAX(0,Inputs!$B$43-B515)-((R482-1)*IF(Inputs!$B$38="pvp",15,MAX(0.1,Skills!D6-IF(Skills!E6=TRUE,Inputs!$B$32,0))))))/Skills!H6,1)))/Inputs!$B$43),G482*Q482))*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Hunt"),CHOOSE(ArtifactsInput!$N$35+1,15,18,21,24,27,30)*(1-EXP(-(0.2*B510)*5)),0)+IF(AND(ArtifactsInput!$M$22,Inputs!$B$4&lt;&gt;"Chapter Hunt"),CHOOSE(ArtifactsInput!$N$22+1,10,12,14,16,18,20)*((0*(((0.15*B510*5))^0/1)+1*(((0.15*B510*5))^1/1)+2*(((0.15*B510*5))^2/2)+3*(((0.15*B510*5))^3/6)+4*(((0.15*B510*5))^4/24)+5*(((0.15*B510*5))^5/120))/((((0.15*B510*5))^0/1)+(((0.15*B510*5))^1/1)+(((0.15*B510*5))^2/2)+(((0.15*B510*5))^3/6)+(((0.15*B510*5))^4/24)+(((0.15*B510*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482*(1-MIN(100,(Inputs!$B$9+((C495=TRUE)*(F495-Calc!F19))+B508+(ArtifactsInput!$M$24-ArtifactsInput!$M$24)*CHOOSE(ArtifactsInput!$N$24+1,10,12,14,16,18,20)+(IF(AND(ArtifactsInput!$M$42,((Inputs!$B$9+((C495=TRUE)*(F495-Calc!F19))+B508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482*(MIN(100,(Inputs!$B$9+((C495=TRUE)*(F495-Calc!F19))+B508+(ArtifactsInput!$M$24-ArtifactsInput!$M$24)*CHOOSE(ArtifactsInput!$N$24+1,10,12,14,16,18,20)+(IF(AND(ArtifactsInput!$M$42,((Inputs!$B$9+((C495=TRUE)*(F495-Calc!F19))+B508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482*(1-MIN(100,(Inputs!$B$9+((C495=TRUE)*(F495-Calc!F19))+B508+(ArtifactsInput!$M$24-ArtifactsInput!$M$24)*CHOOSE(ArtifactsInput!$N$24+1,10,12,14,16,18,20)+(IF(AND(ArtifactsInput!$M$42,((Inputs!$B$9+((C495=TRUE)*(F495-Calc!F19))+B508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482*(MIN(100,(Inputs!$B$9+((C495=TRUE)*(F495-Calc!F19))+B508+(ArtifactsInput!$M$24-ArtifactsInput!$M$24)*CHOOSE(ArtifactsInput!$N$24+1,10,12,14,16,18,20)+(IF(AND(ArtifactsInput!$M$42,((Inputs!$B$9+((C495=TRUE)*(F495-Calc!F19))+B508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482">
        <f>IF(C482,(H482*N482*IF(AND(Inputs!$B$38&lt;&gt;"pvp",Inputs!$B$43&gt;0),((Skills!G6*((R482-1)*IF(Skills!H6&gt;0,Skills!I6/Skills!H6,1)+IF(Skills!H6&gt;0,MIN(Skills!I6,MAX(0,MAX(0,Inputs!$B$43-B515)-((R482-1)*IF(Inputs!$B$38="pvp",15,MAX(0.1,Skills!D6-IF(Skills!E6=TRUE,Inputs!$B$32,0))))))/Skills!H6,1)))/Inputs!$B$43),G482*Q482))*IF(Inputs!$B$38="pvp",1,(1+(Inputs!$B$21+Skills!Q6+(IF(ArtifactsInput!$M$33,CHOOSE(ArtifactsInput!$N$33+1,30,36,42,48,54,60),0))+(IF(AND(ArtifactsInput!$M$35,Inputs!$B$4&lt;&gt;"Chapter Hunt"),CHOOSE(ArtifactsInput!$N$35+1,15,18,21,24,27,30)*(1-EXP(-(0.2*B510)*5)),0)+IF(AND(ArtifactsInput!$M$22,Inputs!$B$4&lt;&gt;"Chapter Hunt"),CHOOSE(ArtifactsInput!$N$22+1,10,12,14,16,18,20)*((0*(((0.15*B510*5))^0/1)+1*(((0.15*B510*5))^1/1)+2*(((0.15*B510*5))^2/2)+3*(((0.15*B510*5))^3/6)+4*(((0.15*B510*5))^4/24)+5*(((0.15*B510*5))^5/120))/((((0.15*B510*5))^0/1)+(((0.15*B510*5))^1/1)+(((0.15*B510*5))^2/2)+(((0.15*B510*5))^3/6)+(((0.15*B510*5))^4/24)+(((0.15*B510*5))^5/120))),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483">
      <c r="A483">
        <f>Skills!A7</f>
        <v/>
      </c>
      <c r="B483">
        <f>Skills!B7</f>
        <v/>
      </c>
      <c r="C483">
        <f>Inputs!$B$3&gt;=69</f>
        <v/>
      </c>
      <c r="D483">
        <f>IF(Skills!C7=1,60+Inputs!$B$25+Inputs!$B$29,IF(Skills!C7=2,90+Inputs!$B$26+Inputs!$B$29,IF(Skills!C7=3,120+Inputs!$B$27+Inputs!$B$29,MAX(0,(Inputs!$B$3-100)*3)+Inputs!$B$28+Inputs!$B$29)))</f>
        <v/>
      </c>
      <c r="E483">
        <f>INDEX(FactorTable!$B$2:$Y$301, MATCH(ROUND(MIN(300,MAX(1,D483)),0), FactorTable!$A$2:$A$301,0), Skills!M7+1)</f>
        <v/>
      </c>
      <c r="F483">
        <f>IF(Skills!N7=TRUE,(Skills!L7/10)*(E483/1000),Skills!L7/10)+Skills!O7</f>
        <v/>
      </c>
      <c r="G483">
        <f>Skills!G7*IF(Skills!H7&gt;0,Skills!I7/Skills!H7,1)</f>
        <v/>
      </c>
      <c r="H483">
        <f>1-(1-Skills!J7/100)^Skills!K7</f>
        <v/>
      </c>
      <c r="I483" t="inlineStr">
        <is>
          <t>1</t>
        </is>
      </c>
      <c r="J483">
        <f>((Inputs!$B$6*(1+Inputs!$B$7/100))+(((Inputs!$B$12*(1+Inputs!$B$13/100))-(Inputs!$B$12*(1+Inputs!$B$13/100)))+0.25*(Inputs!$B$14-Inputs!$B$14))*(1+Inputs!$B$7/100))*(F483/100)</f>
        <v/>
      </c>
      <c r="K483">
        <f>J483*(1+((Inputs!$B$12*(1+Inputs!$B$13/100))*0.01+Inputs!$B$14*0.0025)/100)*(1+Inputs!$B$15/100)*(1+Inputs!$B$16/100)*(5000/(6000+Inputs!$B$42*(1-(100*(1-(1-(Inputs!$B$19+0)/100)*(1-CHOOSE(ArtifactsInput!$N$40+1,5,6,7,8,9,10)/100)^(ArtifactsInput!$M$40-ArtifactsInput!$M$40)))/100)))*(1+(Inputs!$B$24+((C500=TRUE)*(F500-Calc!F24))+((C501=TRUE)*(F501-Calc!F25))+B514)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+1.2*IF(C484=TRUE,F484,0)/100)*(1+(IF(Skills!A7="EMPOWERED_PIERCING_ARROW",Inputs!$B$17+((C498=TRUE)*(F498-Calc!F22))+(((IF(AND(ArtifactsInput!$M$42,((Inputs!$B$9+((C495=TRUE)*(F495-Calc!F19))+B508+(ArtifactsInput!$M$24-ArtifactsInput!$M$24)*CHOOSE(ArtifactsInput!$N$24+1,10,12,14,16,18,20)+IF(ArtifactsInput!$M$10,CHOOSE(ArtifactsInput!$N$10+1,15,18,21,24,27,30)*(IF(Inputs!$B$38="pvp",MIN(15,15)/15,IF(AND(Inputs!$B$38&lt;&gt;"pvp",Inputs!$B$43&gt;0),MIN(15,Inputs!$B$43)/(Inputs!$B$43),0))),0)))&gt;=100),MIN(100,((Inputs!$B$9+((C495=TRUE)*(F495-Calc!F19))+B508+(ArtifactsInput!$M$24-ArtifactsInput!$M$24)*CHOOSE(ArtifactsInput!$N$24+1,10,12,14,16,18,20)+IF(ArtifactsInput!$M$10,CHOOSE(ArtifactsInput!$N$10+1,15,18,21,24,27,30)*(IF(Inputs!$B$38="pvp",MIN(15,15)/15,IF(AND(Inputs!$B$38&lt;&gt;"pvp",Inputs!$B$43&gt;0),MIN(15,Inputs!$B$43)/(Inputs!$B$43),0))),0)))-100),0))*CHOOSE(ArtifactsInput!$N$42+1,0.6,0.72,0.84,0.96,1.08,1.2))),Inputs!$B$18+((C503=TRUE)*(F503-Calc!F27))+(IF(AND(ArtifactsInput!$M$42,((Inputs!$B$9+((C495=TRUE)*(F495-Calc!F19))+B508+(ArtifactsInput!$M$24-ArtifactsInput!$M$24)*CHOOSE(ArtifactsInput!$N$24+1,10,12,14,16,18,20)+IF(ArtifactsInput!$M$10,CHOOSE(ArtifactsInput!$N$10+1,15,18,21,24,27,30)*(IF(Inputs!$B$38="pvp",MIN(15,15)/15,IF(AND(Inputs!$B$38&lt;&gt;"pvp",Inputs!$B$43&gt;0),MIN(15,Inputs!$B$43)/(Inputs!$B$43),0))),0)))&gt;=100),CHOOSE(ArtifactsInput!$N$42+1,40,48,56,64,72,80),0))))/100)*((1+(((C489=TRUE)*F489)+((C490=TRUE)*IF(Inputs!$B$38="pvp",F490,(1-Summary!$B$11)*(F490)+Summary!$B$11*(0)))+((C491=TRUE)*F491*IF(AND(Inputs!$B$38&lt;&gt;"pvp",Inputs!$B$43&gt;0),(((R491-1)*(Skills!T15*(1+Inputs!$B$34/100))+MIN((Skills!T15*(1+Inputs!$B$34/100)),MAX(0,Inputs!$B$43-((R491-1)*Skills!D15))))/Inputs!$B$43),IF(Inputs!$B$38="pvp",MIN((Skills!T15*(1+Inputs!$B$34/100)),15)/15,(Skills!T15*(1+Inputs!$B$34/100))/Skills!D15)))+((C488=TRUE)*F488)+((C505=TRUE)*(F505-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483)</f>
        <v/>
      </c>
      <c r="L483">
        <f>K483*(MIN(Inputs!$B$22+((C499=TRUE)*(F499-Calc!F23)),((Inputs!$B$23+1)+((C504=TRUE)*(F504-Calc!F28))+(IF(ArtifactsInput!$M$15,CHOOSE(ArtifactsInput!$N$15+1,25,30,35,40,45,50)/100*(Inputs!$B$11-Inputs!$B$11),0))))/100+((Inputs!$B$23+1)+((C504=TRUE)*(F504-Calc!F28))+(IF(ArtifactsInput!$M$15,CHOOSE(ArtifactsInput!$N$15+1,25,30,35,40,45,50)/100*(Inputs!$B$11-Inputs!$B$11),0)))/100)/2</f>
        <v/>
      </c>
      <c r="M483">
        <f>L483*(1+(Inputs!$B$10+0+B513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483">
        <f>L483*(1-MIN((Inputs!$B$9+((C495=TRUE)*(F495-Calc!F19))+B508+(ArtifactsInput!$M$24-ArtifactsInput!$M$24)*CHOOSE(ArtifactsInput!$N$24+1,10,12,14,16,18,20)+(IF(AND(ArtifactsInput!$M$42,((Inputs!$B$9+((C495=TRUE)*(F495-Calc!F19))+B508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483*(MIN((Inputs!$B$9+((C495=TRUE)*(F495-Calc!F19))+B508+(ArtifactsInput!$M$24-ArtifactsInput!$M$24)*CHOOSE(ArtifactsInput!$N$24+1,10,12,14,16,18,20)+(IF(AND(ArtifactsInput!$M$42,((Inputs!$B$9+((C495=TRUE)*(F495-Calc!F19))+B508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483">
        <f>(1-Summary!$B$11)*T483+Summary!$B$11*V483</f>
        <v/>
      </c>
      <c r="P483">
        <f>IF(B518=0,0,O483/B518)</f>
        <v/>
      </c>
      <c r="Q483">
        <f>IFERROR(1/IF(Inputs!$B$38="pvp",15,MAX(0.1,Skills!D7-IF(Skills!E7=TRUE,Inputs!$B$32,0))),0)</f>
        <v/>
      </c>
      <c r="R483">
        <f>IF(AND(Inputs!$B$38&lt;&gt;"pvp",Inputs!$B$43&gt;0),IF(MAX(0,Inputs!$B$43-B515)&lt;=0,0,(INT(MAX(0,Inputs!$B$43-B515)/IF(Inputs!$B$38="pvp",15,MAX(0.1,Skills!D7-IF(Skills!E7=TRUE,Inputs!$B$32,0))))+1)),0)</f>
        <v/>
      </c>
      <c r="S483">
        <f>IFERROR((H483*N483*IF(AND(Inputs!$B$38&lt;&gt;"pvp",Inputs!$B$43&gt;0),((Skills!G7*((R483-1)*IF(Skills!H7&gt;0,Skills!I7/Skills!H7,1)+IF(Skills!H7&gt;0,MIN(Skills!I7,MAX(0,MAX(0,Inputs!$B$43-B515)-((R483-1)*IF(Inputs!$B$38="pvp",15,MAX(0.1,Skills!D7-IF(Skills!E7=TRUE,Inputs!$B$32,0))))))/Skills!H7,1)))/Inputs!$B$43),G483*Q483))/N483*IF(Inputs!$B$38="pvp",1,(1-Summary!$B$11)*1+Summary!$B$11*(MIN(Skills!R7,Inputs!$B$37))),0)</f>
        <v/>
      </c>
      <c r="T483">
        <f>IF(C483,(H483*N483*IF(AND(Inputs!$B$38&lt;&gt;"pvp",Inputs!$B$43&gt;0),((Skills!G7*((R483-1)*IF(Skills!H7&gt;0,Skills!I7/Skills!H7,1)+IF(Skills!H7&gt;0,MIN(Skills!I7,MAX(0,MAX(0,Inputs!$B$43-B515)-((R483-1)*IF(Inputs!$B$38="pvp",15,MAX(0.1,Skills!D7-IF(Skills!E7=TRUE,Inputs!$B$32,0))))))/Skills!H7,1)))/Inputs!$B$43),G483*Q483))*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Hunt"),CHOOSE(ArtifactsInput!$N$35+1,15,18,21,24,27,30)*(1-EXP(-(0.2*B510)*5)),0)+IF(AND(ArtifactsInput!$M$22,Inputs!$B$4&lt;&gt;"Chapter Hunt"),CHOOSE(ArtifactsInput!$N$22+1,10,12,14,16,18,20)*((0*(((0.15*B510*5))^0/1)+1*(((0.15*B510*5))^1/1)+2*(((0.15*B510*5))^2/2)+3*(((0.15*B510*5))^3/6)+4*(((0.15*B510*5))^4/24)+5*(((0.15*B510*5))^5/120))/((((0.15*B510*5))^0/1)+(((0.15*B510*5))^1/1)+(((0.15*B510*5))^2/2)+(((0.15*B510*5))^3/6)+(((0.15*B510*5))^4/24)+(((0.15*B510*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483*(1-MIN(100,(Inputs!$B$9+((C495=TRUE)*(F495-Calc!F19))+B508+(ArtifactsInput!$M$24-ArtifactsInput!$M$24)*CHOOSE(ArtifactsInput!$N$24+1,10,12,14,16,18,20)+(IF(AND(ArtifactsInput!$M$42,((Inputs!$B$9+((C495=TRUE)*(F495-Calc!F19))+B508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483*(MIN(100,(Inputs!$B$9+((C495=TRUE)*(F495-Calc!F19))+B508+(ArtifactsInput!$M$24-ArtifactsInput!$M$24)*CHOOSE(ArtifactsInput!$N$24+1,10,12,14,16,18,20)+(IF(AND(ArtifactsInput!$M$42,((Inputs!$B$9+((C495=TRUE)*(F495-Calc!F19))+B508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483*(1-MIN(100,(Inputs!$B$9+((C495=TRUE)*(F495-Calc!F19))+B508+(ArtifactsInput!$M$24-ArtifactsInput!$M$24)*CHOOSE(ArtifactsInput!$N$24+1,10,12,14,16,18,20)+(IF(AND(ArtifactsInput!$M$42,((Inputs!$B$9+((C495=TRUE)*(F495-Calc!F19))+B508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483*(MIN(100,(Inputs!$B$9+((C495=TRUE)*(F495-Calc!F19))+B508+(ArtifactsInput!$M$24-ArtifactsInput!$M$24)*CHOOSE(ArtifactsInput!$N$24+1,10,12,14,16,18,20)+(IF(AND(ArtifactsInput!$M$42,((Inputs!$B$9+((C495=TRUE)*(F495-Calc!F19))+B508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483">
        <f>IF(C483,(H483*N483*IF(AND(Inputs!$B$38&lt;&gt;"pvp",Inputs!$B$43&gt;0),((Skills!G7*((R483-1)*IF(Skills!H7&gt;0,Skills!I7/Skills!H7,1)+IF(Skills!H7&gt;0,MIN(Skills!I7,MAX(0,MAX(0,Inputs!$B$43-B515)-((R483-1)*IF(Inputs!$B$38="pvp",15,MAX(0.1,Skills!D7-IF(Skills!E7=TRUE,Inputs!$B$32,0))))))/Skills!H7,1)))/Inputs!$B$43),G483*Q483))*IF(Inputs!$B$38="pvp",1,(1+(Inputs!$B$21+Skills!Q7+(IF(ArtifactsInput!$M$33,CHOOSE(ArtifactsInput!$N$33+1,30,36,42,48,54,60),0))+(IF(AND(ArtifactsInput!$M$35,Inputs!$B$4&lt;&gt;"Chapter Hunt"),CHOOSE(ArtifactsInput!$N$35+1,15,18,21,24,27,30)*(1-EXP(-(0.2*B510)*5)),0)+IF(AND(ArtifactsInput!$M$22,Inputs!$B$4&lt;&gt;"Chapter Hunt"),CHOOSE(ArtifactsInput!$N$22+1,10,12,14,16,18,20)*((0*(((0.15*B510*5))^0/1)+1*(((0.15*B510*5))^1/1)+2*(((0.15*B510*5))^2/2)+3*(((0.15*B510*5))^3/6)+4*(((0.15*B510*5))^4/24)+5*(((0.15*B510*5))^5/120))/((((0.15*B510*5))^0/1)+(((0.15*B510*5))^1/1)+(((0.15*B510*5))^2/2)+(((0.15*B510*5))^3/6)+(((0.15*B510*5))^4/24)+(((0.15*B510*5))^5/120))),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484">
      <c r="A484">
        <f>Skills!A8</f>
        <v/>
      </c>
      <c r="B484">
        <f>Skills!B8</f>
        <v/>
      </c>
      <c r="C484">
        <f>Inputs!$B$3&gt;=100</f>
        <v/>
      </c>
      <c r="D484">
        <f>IF(Skills!C8=1,60+Inputs!$B$25+Inputs!$B$29,IF(Skills!C8=2,90+Inputs!$B$26+Inputs!$B$29,IF(Skills!C8=3,120+Inputs!$B$27+Inputs!$B$29,MAX(0,(Inputs!$B$3-100)*3)+Inputs!$B$28+Inputs!$B$29)))</f>
        <v/>
      </c>
      <c r="E484">
        <f>INDEX(FactorTable!$B$2:$Y$301, MATCH(ROUND(MIN(300,MAX(1,D484)),0), FactorTable!$A$2:$A$301,0), Skills!M8+1)</f>
        <v/>
      </c>
      <c r="F484">
        <f>IF(Skills!N8=TRUE,(Skills!L8/10)*(E484/1000),Skills!L8/10)+Skills!O8</f>
        <v/>
      </c>
      <c r="G484" t="inlineStr"/>
      <c r="H484" t="inlineStr"/>
      <c r="I484" t="inlineStr">
        <is>
          <t>1</t>
        </is>
      </c>
      <c r="J484" t="inlineStr"/>
      <c r="K484" t="inlineStr"/>
      <c r="L484" t="inlineStr"/>
      <c r="M484" t="inlineStr"/>
      <c r="N484" t="inlineStr"/>
      <c r="O484" t="inlineStr"/>
      <c r="P484" t="inlineStr"/>
      <c r="Q484" t="inlineStr"/>
      <c r="R484" t="inlineStr"/>
      <c r="S484" t="inlineStr"/>
      <c r="T484" t="inlineStr"/>
      <c r="V484" t="inlineStr"/>
    </row>
    <row r="485">
      <c r="A485">
        <f>Skills!A9</f>
        <v/>
      </c>
      <c r="B485">
        <f>Skills!B9</f>
        <v/>
      </c>
      <c r="C485">
        <f>Inputs!$B$3&gt;=103</f>
        <v/>
      </c>
      <c r="D485">
        <f>IF(Skills!C9=1,60+Inputs!$B$25+Inputs!$B$29,IF(Skills!C9=2,90+Inputs!$B$26+Inputs!$B$29,IF(Skills!C9=3,120+Inputs!$B$27+Inputs!$B$29,MAX(0,(Inputs!$B$3-100)*3)+Inputs!$B$28+Inputs!$B$29)))</f>
        <v/>
      </c>
      <c r="E485">
        <f>INDEX(FactorTable!$B$2:$Y$301, MATCH(ROUND(MIN(300,MAX(1,D485)),0), FactorTable!$A$2:$A$301,0), Skills!M9+1)</f>
        <v/>
      </c>
      <c r="F485">
        <f>IF(Skills!N9=TRUE,(Skills!L9/10)*(E485/1000),Skills!L9/10)+Skills!O9</f>
        <v/>
      </c>
      <c r="G485">
        <f>Skills!G9*IF(Skills!H9&gt;0,Skills!I9/Skills!H9,1)</f>
        <v/>
      </c>
      <c r="H485">
        <f>1-(1-Skills!J9/100)^Skills!K9</f>
        <v/>
      </c>
      <c r="I485" t="inlineStr">
        <is>
          <t>1</t>
        </is>
      </c>
      <c r="J485">
        <f>((Inputs!$B$6*(1+Inputs!$B$7/100))+(((Inputs!$B$12*(1+Inputs!$B$13/100))-(Inputs!$B$12*(1+Inputs!$B$13/100)))+0.25*(Inputs!$B$14-Inputs!$B$14))*(1+Inputs!$B$7/100))*(F485/100)</f>
        <v/>
      </c>
      <c r="K485">
        <f>J485*(1+((Inputs!$B$12*(1+Inputs!$B$13/100))*0.01+Inputs!$B$14*0.0025)/100)*(1+Inputs!$B$15/100)*(1+Inputs!$B$16/100)*(5000/(6000+Inputs!$B$42*(1-(100*(1-(1-(Inputs!$B$19+0)/100)*(1-CHOOSE(ArtifactsInput!$N$40+1,5,6,7,8,9,10)/100)^(ArtifactsInput!$M$40-ArtifactsInput!$M$40)))/100)))*(1+(Inputs!$B$24+((C500=TRUE)*(F500-Calc!F24))+((C501=TRUE)*(F501-Calc!F25))+B514)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EMPOWERED_PIERCING_ARROW",Inputs!$B$17+((C498=TRUE)*(F498-Calc!F22))+(((IF(AND(ArtifactsInput!$M$42,((Inputs!$B$9+((C495=TRUE)*(F495-Calc!F19))+B508+(ArtifactsInput!$M$24-ArtifactsInput!$M$24)*CHOOSE(ArtifactsInput!$N$24+1,10,12,14,16,18,20)+IF(ArtifactsInput!$M$10,CHOOSE(ArtifactsInput!$N$10+1,15,18,21,24,27,30)*(IF(Inputs!$B$38="pvp",MIN(15,15)/15,IF(AND(Inputs!$B$38&lt;&gt;"pvp",Inputs!$B$43&gt;0),MIN(15,Inputs!$B$43)/(Inputs!$B$43),0))),0)))&gt;=100),MIN(100,((Inputs!$B$9+((C495=TRUE)*(F495-Calc!F19))+B508+(ArtifactsInput!$M$24-ArtifactsInput!$M$24)*CHOOSE(ArtifactsInput!$N$24+1,10,12,14,16,18,20)+IF(ArtifactsInput!$M$10,CHOOSE(ArtifactsInput!$N$10+1,15,18,21,24,27,30)*(IF(Inputs!$B$38="pvp",MIN(15,15)/15,IF(AND(Inputs!$B$38&lt;&gt;"pvp",Inputs!$B$43&gt;0),MIN(15,Inputs!$B$43)/(Inputs!$B$43),0))),0)))-100),0))*CHOOSE(ArtifactsInput!$N$42+1,0.6,0.72,0.84,0.96,1.08,1.2))),Inputs!$B$18+((C503=TRUE)*(F503-Calc!F27))+(IF(AND(ArtifactsInput!$M$42,((Inputs!$B$9+((C495=TRUE)*(F495-Calc!F19))+B508+(ArtifactsInput!$M$24-ArtifactsInput!$M$24)*CHOOSE(ArtifactsInput!$N$24+1,10,12,14,16,18,20)+IF(ArtifactsInput!$M$10,CHOOSE(ArtifactsInput!$N$10+1,15,18,21,24,27,30)*(IF(Inputs!$B$38="pvp",MIN(15,15)/15,IF(AND(Inputs!$B$38&lt;&gt;"pvp",Inputs!$B$43&gt;0),MIN(15,Inputs!$B$43)/(Inputs!$B$43),0))),0)))&gt;=100),CHOOSE(ArtifactsInput!$N$42+1,40,48,56,64,72,80),0))))/100)*((1+(((C489=TRUE)*F489)+((C490=TRUE)*IF(Inputs!$B$38="pvp",F490,(1-Summary!$B$11)*(F490)+Summary!$B$11*(0)))+((C491=TRUE)*F491*IF(AND(Inputs!$B$38&lt;&gt;"pvp",Inputs!$B$43&gt;0),(((R491-1)*(Skills!T15*(1+Inputs!$B$34/100))+MIN((Skills!T15*(1+Inputs!$B$34/100)),MAX(0,Inputs!$B$43-((R491-1)*Skills!D15))))/Inputs!$B$43),IF(Inputs!$B$38="pvp",MIN((Skills!T15*(1+Inputs!$B$34/100)),15)/15,(Skills!T15*(1+Inputs!$B$34/100))/Skills!D15)))+((C488=TRUE)*F488)+((C505=TRUE)*(F505-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485)</f>
        <v/>
      </c>
      <c r="L485">
        <f>K485*(MIN(Inputs!$B$22+((C499=TRUE)*(F499-Calc!F23)),((Inputs!$B$23+1)+((C504=TRUE)*(F504-Calc!F28))+(IF(ArtifactsInput!$M$15,CHOOSE(ArtifactsInput!$N$15+1,25,30,35,40,45,50)/100*(Inputs!$B$11-Inputs!$B$11),0))))/100+((Inputs!$B$23+1)+((C504=TRUE)*(F504-Calc!F28))+(IF(ArtifactsInput!$M$15,CHOOSE(ArtifactsInput!$N$15+1,25,30,35,40,45,50)/100*(Inputs!$B$11-Inputs!$B$11),0)))/100)/2</f>
        <v/>
      </c>
      <c r="M485">
        <f>L485*(1+(Inputs!$B$10+0+B513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485">
        <f>L485*(1-MIN((Inputs!$B$9+((C495=TRUE)*(F495-Calc!F19))+B508+(ArtifactsInput!$M$24-ArtifactsInput!$M$24)*CHOOSE(ArtifactsInput!$N$24+1,10,12,14,16,18,20)+(IF(AND(ArtifactsInput!$M$42,((Inputs!$B$9+((C495=TRUE)*(F495-Calc!F19))+B508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485*(MIN((Inputs!$B$9+((C495=TRUE)*(F495-Calc!F19))+B508+(ArtifactsInput!$M$24-ArtifactsInput!$M$24)*CHOOSE(ArtifactsInput!$N$24+1,10,12,14,16,18,20)+(IF(AND(ArtifactsInput!$M$42,((Inputs!$B$9+((C495=TRUE)*(F495-Calc!F19))+B508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485">
        <f>(1-Summary!$B$11)*T485+Summary!$B$11*V485</f>
        <v/>
      </c>
      <c r="P485">
        <f>IF(B518=0,0,O485/B518)</f>
        <v/>
      </c>
      <c r="Q485">
        <f>IFERROR(1/IF(Inputs!$B$38="pvp",15,MAX(0.1,Skills!D9-IF(Skills!E9=TRUE,Inputs!$B$32,0))),0)</f>
        <v/>
      </c>
      <c r="R485">
        <f>IF(AND(Inputs!$B$38&lt;&gt;"pvp",Inputs!$B$43&gt;0),IF(MAX(0,Inputs!$B$43-B515)&lt;=0,0,(INT(MAX(0,Inputs!$B$43-B515)/IF(Inputs!$B$38="pvp",15,MAX(0.1,Skills!D9-IF(Skills!E9=TRUE,Inputs!$B$32,0))))+1)),0)</f>
        <v/>
      </c>
      <c r="S485">
        <f>IFERROR((H485*N485*IF(AND(Inputs!$B$38&lt;&gt;"pvp",Inputs!$B$43&gt;0),((Skills!G9*((R485-1)*IF(Skills!H9&gt;0,Skills!I9/Skills!H9,1)+IF(Skills!H9&gt;0,MIN(Skills!I9,MAX(0,MAX(0,Inputs!$B$43-B515)-((R485-1)*IF(Inputs!$B$38="pvp",15,MAX(0.1,Skills!D9-IF(Skills!E9=TRUE,Inputs!$B$32,0))))))/Skills!H9,1)))/Inputs!$B$43),G485*Q485))/N485*IF(Inputs!$B$38="pvp",1,(1-Summary!$B$11)*1+Summary!$B$11*(MIN(Skills!R9,Inputs!$B$37))),0)</f>
        <v/>
      </c>
      <c r="T485">
        <f>IF(C485,(H485*N485*IF(AND(Inputs!$B$38&lt;&gt;"pvp",Inputs!$B$43&gt;0),((Skills!G9*((R485-1)*IF(Skills!H9&gt;0,Skills!I9/Skills!H9,1)+IF(Skills!H9&gt;0,MIN(Skills!I9,MAX(0,MAX(0,Inputs!$B$43-B515)-((R485-1)*IF(Inputs!$B$38="pvp",15,MAX(0.1,Skills!D9-IF(Skills!E9=TRUE,Inputs!$B$32,0))))))/Skills!H9,1)))/Inputs!$B$43),G485*Q485))*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Hunt"),CHOOSE(ArtifactsInput!$N$35+1,15,18,21,24,27,30)*(1-EXP(-(0.2*B510)*5)),0)+IF(AND(ArtifactsInput!$M$22,Inputs!$B$4&lt;&gt;"Chapter Hunt"),CHOOSE(ArtifactsInput!$N$22+1,10,12,14,16,18,20)*((0*(((0.15*B510*5))^0/1)+1*(((0.15*B510*5))^1/1)+2*(((0.15*B510*5))^2/2)+3*(((0.15*B510*5))^3/6)+4*(((0.15*B510*5))^4/24)+5*(((0.15*B510*5))^5/120))/((((0.15*B510*5))^0/1)+(((0.15*B510*5))^1/1)+(((0.15*B510*5))^2/2)+(((0.15*B510*5))^3/6)+(((0.15*B510*5))^4/24)+(((0.15*B510*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485*(1-MIN(100,(Inputs!$B$9+((C495=TRUE)*(F495-Calc!F19))+B508+(ArtifactsInput!$M$24-ArtifactsInput!$M$24)*CHOOSE(ArtifactsInput!$N$24+1,10,12,14,16,18,20)+(IF(AND(ArtifactsInput!$M$42,((Inputs!$B$9+((C495=TRUE)*(F495-Calc!F19))+B508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485*(MIN(100,(Inputs!$B$9+((C495=TRUE)*(F495-Calc!F19))+B508+(ArtifactsInput!$M$24-ArtifactsInput!$M$24)*CHOOSE(ArtifactsInput!$N$24+1,10,12,14,16,18,20)+(IF(AND(ArtifactsInput!$M$42,((Inputs!$B$9+((C495=TRUE)*(F495-Calc!F19))+B508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485*(1-MIN(100,(Inputs!$B$9+((C495=TRUE)*(F495-Calc!F19))+B508+(ArtifactsInput!$M$24-ArtifactsInput!$M$24)*CHOOSE(ArtifactsInput!$N$24+1,10,12,14,16,18,20)+(IF(AND(ArtifactsInput!$M$42,((Inputs!$B$9+((C495=TRUE)*(F495-Calc!F19))+B508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485*(MIN(100,(Inputs!$B$9+((C495=TRUE)*(F495-Calc!F19))+B508+(ArtifactsInput!$M$24-ArtifactsInput!$M$24)*CHOOSE(ArtifactsInput!$N$24+1,10,12,14,16,18,20)+(IF(AND(ArtifactsInput!$M$42,((Inputs!$B$9+((C495=TRUE)*(F495-Calc!F19))+B508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485">
        <f>IF(C485,(H485*N485*IF(AND(Inputs!$B$38&lt;&gt;"pvp",Inputs!$B$43&gt;0),((Skills!G9*((R485-1)*IF(Skills!H9&gt;0,Skills!I9/Skills!H9,1)+IF(Skills!H9&gt;0,MIN(Skills!I9,MAX(0,MAX(0,Inputs!$B$43-B515)-((R485-1)*IF(Inputs!$B$38="pvp",15,MAX(0.1,Skills!D9-IF(Skills!E9=TRUE,Inputs!$B$32,0))))))/Skills!H9,1)))/Inputs!$B$43),G485*Q485))*IF(Inputs!$B$38="pvp",1,(1+(Inputs!$B$21+Skills!Q9+(IF(ArtifactsInput!$M$33,CHOOSE(ArtifactsInput!$N$33+1,30,36,42,48,54,60),0))+(IF(AND(ArtifactsInput!$M$35,Inputs!$B$4&lt;&gt;"Chapter Hunt"),CHOOSE(ArtifactsInput!$N$35+1,15,18,21,24,27,30)*(1-EXP(-(0.2*B510)*5)),0)+IF(AND(ArtifactsInput!$M$22,Inputs!$B$4&lt;&gt;"Chapter Hunt"),CHOOSE(ArtifactsInput!$N$22+1,10,12,14,16,18,20)*((0*(((0.15*B510*5))^0/1)+1*(((0.15*B510*5))^1/1)+2*(((0.15*B510*5))^2/2)+3*(((0.15*B510*5))^3/6)+4*(((0.15*B510*5))^4/24)+5*(((0.15*B510*5))^5/120))/((((0.15*B510*5))^0/1)+(((0.15*B510*5))^1/1)+(((0.15*B510*5))^2/2)+(((0.15*B510*5))^3/6)+(((0.15*B510*5))^4/24)+(((0.15*B510*5))^5/120)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486">
      <c r="A486">
        <f>Skills!A10</f>
        <v/>
      </c>
      <c r="B486">
        <f>Skills!B10</f>
        <v/>
      </c>
      <c r="C486">
        <f>Inputs!$B$3&gt;=107</f>
        <v/>
      </c>
      <c r="D486">
        <f>IF(Skills!C10=1,60+Inputs!$B$25+Inputs!$B$29,IF(Skills!C10=2,90+Inputs!$B$26+Inputs!$B$29,IF(Skills!C10=3,120+Inputs!$B$27+Inputs!$B$29,MAX(0,(Inputs!$B$3-100)*3)+Inputs!$B$28+Inputs!$B$29)))</f>
        <v/>
      </c>
      <c r="E486">
        <f>INDEX(FactorTable!$B$2:$Y$301, MATCH(ROUND(MIN(300,MAX(1,D486)),0), FactorTable!$A$2:$A$301,0), Skills!M10+1)</f>
        <v/>
      </c>
      <c r="F486">
        <f>IF(Skills!N10=TRUE,(Skills!L10/10)*(E486/1000),Skills!L10/10)+Skills!O10</f>
        <v/>
      </c>
      <c r="G486">
        <f>Skills!G10*IF(Skills!H10&gt;0,Skills!I10/Skills!H10,1)</f>
        <v/>
      </c>
      <c r="H486">
        <f>1-(1-Skills!J10/100)^Skills!K10</f>
        <v/>
      </c>
      <c r="I486" t="inlineStr">
        <is>
          <t>1</t>
        </is>
      </c>
      <c r="J486">
        <f>((Inputs!$B$6*(1+Inputs!$B$7/100))+(((Inputs!$B$12*(1+Inputs!$B$13/100))-(Inputs!$B$12*(1+Inputs!$B$13/100)))+0.25*(Inputs!$B$14-Inputs!$B$14))*(1+Inputs!$B$7/100))*(F486/100)</f>
        <v/>
      </c>
      <c r="K486">
        <f>J486*(1+((Inputs!$B$12*(1+Inputs!$B$13/100))*0.01+Inputs!$B$14*0.0025)/100)*(1+Inputs!$B$15/100)*(1+Inputs!$B$16/100)*(5000/(6000+Inputs!$B$42*(1-(100*(1-(1-(Inputs!$B$19+0)/100)*(1-CHOOSE(ArtifactsInput!$N$40+1,5,6,7,8,9,10)/100)^(ArtifactsInput!$M$40-ArtifactsInput!$M$40)))/100)))*(1+(Inputs!$B$24+((C500=TRUE)*(F500-Calc!F24))+((C501=TRUE)*(F501-Calc!F25))+B514)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EMPOWERED_PIERCING_ARROW",Inputs!$B$17+((C498=TRUE)*(F498-Calc!F22))+(((IF(AND(ArtifactsInput!$M$42,((Inputs!$B$9+((C495=TRUE)*(F495-Calc!F19))+B508+(ArtifactsInput!$M$24-ArtifactsInput!$M$24)*CHOOSE(ArtifactsInput!$N$24+1,10,12,14,16,18,20)+IF(ArtifactsInput!$M$10,CHOOSE(ArtifactsInput!$N$10+1,15,18,21,24,27,30)*(IF(Inputs!$B$38="pvp",MIN(15,15)/15,IF(AND(Inputs!$B$38&lt;&gt;"pvp",Inputs!$B$43&gt;0),MIN(15,Inputs!$B$43)/(Inputs!$B$43),0))),0)))&gt;=100),MIN(100,((Inputs!$B$9+((C495=TRUE)*(F495-Calc!F19))+B508+(ArtifactsInput!$M$24-ArtifactsInput!$M$24)*CHOOSE(ArtifactsInput!$N$24+1,10,12,14,16,18,20)+IF(ArtifactsInput!$M$10,CHOOSE(ArtifactsInput!$N$10+1,15,18,21,24,27,30)*(IF(Inputs!$B$38="pvp",MIN(15,15)/15,IF(AND(Inputs!$B$38&lt;&gt;"pvp",Inputs!$B$43&gt;0),MIN(15,Inputs!$B$43)/(Inputs!$B$43),0))),0)))-100),0))*CHOOSE(ArtifactsInput!$N$42+1,0.6,0.72,0.84,0.96,1.08,1.2))),Inputs!$B$18+((C503=TRUE)*(F503-Calc!F27))+(IF(AND(ArtifactsInput!$M$42,((Inputs!$B$9+((C495=TRUE)*(F495-Calc!F19))+B508+(ArtifactsInput!$M$24-ArtifactsInput!$M$24)*CHOOSE(ArtifactsInput!$N$24+1,10,12,14,16,18,20)+IF(ArtifactsInput!$M$10,CHOOSE(ArtifactsInput!$N$10+1,15,18,21,24,27,30)*(IF(Inputs!$B$38="pvp",MIN(15,15)/15,IF(AND(Inputs!$B$38&lt;&gt;"pvp",Inputs!$B$43&gt;0),MIN(15,Inputs!$B$43)/(Inputs!$B$43),0))),0)))&gt;=100),CHOOSE(ArtifactsInput!$N$42+1,40,48,56,64,72,80),0))))/100)*((1+(((C489=TRUE)*F489)+((C490=TRUE)*IF(Inputs!$B$38="pvp",F490,(1-Summary!$B$11)*(F490)+Summary!$B$11*(0)))+((C491=TRUE)*F491*IF(AND(Inputs!$B$38&lt;&gt;"pvp",Inputs!$B$43&gt;0),(((R491-1)*(Skills!T15*(1+Inputs!$B$34/100))+MIN((Skills!T15*(1+Inputs!$B$34/100)),MAX(0,Inputs!$B$43-((R491-1)*Skills!D15))))/Inputs!$B$43),IF(Inputs!$B$38="pvp",MIN((Skills!T15*(1+Inputs!$B$34/100)),15)/15,(Skills!T15*(1+Inputs!$B$34/100))/Skills!D15)))+((C488=TRUE)*F488)+((C505=TRUE)*(F505-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486)</f>
        <v/>
      </c>
      <c r="L486">
        <f>K486*(MIN(Inputs!$B$22+((C499=TRUE)*(F499-Calc!F23)),((Inputs!$B$23+1)+((C504=TRUE)*(F504-Calc!F28))+(IF(ArtifactsInput!$M$15,CHOOSE(ArtifactsInput!$N$15+1,25,30,35,40,45,50)/100*(Inputs!$B$11-Inputs!$B$11),0))))/100+((Inputs!$B$23+1)+((C504=TRUE)*(F504-Calc!F28))+(IF(ArtifactsInput!$M$15,CHOOSE(ArtifactsInput!$N$15+1,25,30,35,40,45,50)/100*(Inputs!$B$11-Inputs!$B$11),0)))/100)/2</f>
        <v/>
      </c>
      <c r="M486">
        <f>L486*(1+(Inputs!$B$10+0+B513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486">
        <f>L486*(1-MIN((Inputs!$B$9+((C495=TRUE)*(F495-Calc!F19))+B508+(ArtifactsInput!$M$24-ArtifactsInput!$M$24)*CHOOSE(ArtifactsInput!$N$24+1,10,12,14,16,18,20)+(IF(AND(ArtifactsInput!$M$42,((Inputs!$B$9+((C495=TRUE)*(F495-Calc!F19))+B508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486*(MIN((Inputs!$B$9+((C495=TRUE)*(F495-Calc!F19))+B508+(ArtifactsInput!$M$24-ArtifactsInput!$M$24)*CHOOSE(ArtifactsInput!$N$24+1,10,12,14,16,18,20)+(IF(AND(ArtifactsInput!$M$42,((Inputs!$B$9+((C495=TRUE)*(F495-Calc!F19))+B508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486">
        <f>(1-Summary!$B$11)*T486+Summary!$B$11*V486</f>
        <v/>
      </c>
      <c r="P486">
        <f>IF(B518=0,0,O486/B518)</f>
        <v/>
      </c>
      <c r="Q486" t="n">
        <v>0</v>
      </c>
      <c r="R486" t="n">
        <v>0</v>
      </c>
      <c r="S486" t="n">
        <v>0</v>
      </c>
      <c r="T486">
        <f>IF(C486,(0.15*SUMPRODUCT((Skills!U2:U29=TRUE)*(C478:C505=TRUE)*S478:S505)*Skills!G10*N486)*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Hunt"),CHOOSE(ArtifactsInput!$N$35+1,15,18,21,24,27,30)*(1-EXP(-(0.2*B510)*5)),0)+IF(AND(ArtifactsInput!$M$22,Inputs!$B$4&lt;&gt;"Chapter Hunt"),CHOOSE(ArtifactsInput!$N$22+1,10,12,14,16,18,20)*((0*(((0.15*B510*5))^0/1)+1*(((0.15*B510*5))^1/1)+2*(((0.15*B510*5))^2/2)+3*(((0.15*B510*5))^3/6)+4*(((0.15*B510*5))^4/24)+5*(((0.15*B510*5))^5/120))/((((0.15*B510*5))^0/1)+(((0.15*B510*5))^1/1)+(((0.15*B510*5))^2/2)+(((0.15*B510*5))^3/6)+(((0.15*B510*5))^4/24)+(((0.15*B510*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486*(1-MIN(100,(Inputs!$B$9+((C495=TRUE)*(F495-Calc!F19))+B508+(ArtifactsInput!$M$24-ArtifactsInput!$M$24)*CHOOSE(ArtifactsInput!$N$24+1,10,12,14,16,18,20)+(IF(AND(ArtifactsInput!$M$42,((Inputs!$B$9+((C495=TRUE)*(F495-Calc!F19))+B508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486*(MIN(100,(Inputs!$B$9+((C495=TRUE)*(F495-Calc!F19))+B508+(ArtifactsInput!$M$24-ArtifactsInput!$M$24)*CHOOSE(ArtifactsInput!$N$24+1,10,12,14,16,18,20)+(IF(AND(ArtifactsInput!$M$42,((Inputs!$B$9+((C495=TRUE)*(F495-Calc!F19))+B508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486*(1-MIN(100,(Inputs!$B$9+((C495=TRUE)*(F495-Calc!F19))+B508+(ArtifactsInput!$M$24-ArtifactsInput!$M$24)*CHOOSE(ArtifactsInput!$N$24+1,10,12,14,16,18,20)+(IF(AND(ArtifactsInput!$M$42,((Inputs!$B$9+((C495=TRUE)*(F495-Calc!F19))+B508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486*(MIN(100,(Inputs!$B$9+((C495=TRUE)*(F495-Calc!F19))+B508+(ArtifactsInput!$M$24-ArtifactsInput!$M$24)*CHOOSE(ArtifactsInput!$N$24+1,10,12,14,16,18,20)+(IF(AND(ArtifactsInput!$M$42,((Inputs!$B$9+((C495=TRUE)*(F495-Calc!F19))+B508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486">
        <f>IF(C486,(0.15*SUMPRODUCT((Skills!U2:U29=TRUE)*(C478:C505=TRUE)*S478:S505)*Skills!G10*N486)*IF(Inputs!$B$38="pvp",1,(1+(Inputs!$B$21+Skills!Q10+(IF(ArtifactsInput!$M$33,CHOOSE(ArtifactsInput!$N$33+1,30,36,42,48,54,60),0))+(IF(AND(ArtifactsInput!$M$35,Inputs!$B$4&lt;&gt;"Chapter Hunt"),CHOOSE(ArtifactsInput!$N$35+1,15,18,21,24,27,30)*(1-EXP(-(0.2*B510)*5)),0)+IF(AND(ArtifactsInput!$M$22,Inputs!$B$4&lt;&gt;"Chapter Hunt"),CHOOSE(ArtifactsInput!$N$22+1,10,12,14,16,18,20)*((0*(((0.15*B510*5))^0/1)+1*(((0.15*B510*5))^1/1)+2*(((0.15*B510*5))^2/2)+3*(((0.15*B510*5))^3/6)+4*(((0.15*B510*5))^4/24)+5*(((0.15*B510*5))^5/120))/((((0.15*B510*5))^0/1)+(((0.15*B510*5))^1/1)+(((0.15*B510*5))^2/2)+(((0.15*B510*5))^3/6)+(((0.15*B510*5))^4/24)+(((0.15*B510*5))^5/120)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487">
      <c r="A487">
        <f>Skills!A11</f>
        <v/>
      </c>
      <c r="B487">
        <f>Skills!B11</f>
        <v/>
      </c>
      <c r="C487">
        <f>Inputs!$B$3&gt;=110</f>
        <v/>
      </c>
      <c r="D487">
        <f>IF(Skills!C11=1,60+Inputs!$B$25+Inputs!$B$29,IF(Skills!C11=2,90+Inputs!$B$26+Inputs!$B$29,IF(Skills!C11=3,120+Inputs!$B$27+Inputs!$B$29,MAX(0,(Inputs!$B$3-100)*3)+Inputs!$B$28+Inputs!$B$29)))</f>
        <v/>
      </c>
      <c r="E487">
        <f>INDEX(FactorTable!$B$2:$Y$301, MATCH(ROUND(MIN(300,MAX(1,D487)),0), FactorTable!$A$2:$A$301,0), Skills!M11+1)</f>
        <v/>
      </c>
      <c r="F487">
        <f>IF(Skills!N11=TRUE,(Skills!L11/10)*(E487/1000),Skills!L11/10)+Skills!O11</f>
        <v/>
      </c>
      <c r="G487">
        <f>Skills!G11*IF(Skills!H11&gt;0,Skills!I11/Skills!H11,1)</f>
        <v/>
      </c>
      <c r="H487">
        <f>1-(1-Skills!J11/100)^Skills!K11</f>
        <v/>
      </c>
      <c r="I487" t="inlineStr">
        <is>
          <t>1</t>
        </is>
      </c>
      <c r="J487">
        <f>((Inputs!$B$6*(1+Inputs!$B$7/100))+(((Inputs!$B$12*(1+Inputs!$B$13/100))-(Inputs!$B$12*(1+Inputs!$B$13/100)))+0.25*(Inputs!$B$14-Inputs!$B$14))*(1+Inputs!$B$7/100))*(F487/100)</f>
        <v/>
      </c>
      <c r="K487">
        <f>J487*(1+((Inputs!$B$12*(1+Inputs!$B$13/100))*0.01+Inputs!$B$14*0.0025)/100)*(1+Inputs!$B$15/100)*(1+Inputs!$B$16/100)*(5000/(6000+Inputs!$B$42*(1-(100*(1-(1-(Inputs!$B$19+0)/100)*(1-CHOOSE(ArtifactsInput!$N$40+1,5,6,7,8,9,10)/100)^(ArtifactsInput!$M$40-ArtifactsInput!$M$40)))/100)))*(1+(Inputs!$B$24+((C500=TRUE)*(F500-Calc!F24))+((C501=TRUE)*(F501-Calc!F25))+B514)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11="EMPOWERED_PIERCING_ARROW",Inputs!$B$17+((C498=TRUE)*(F498-Calc!F22))+(((IF(AND(ArtifactsInput!$M$42,((Inputs!$B$9+((C495=TRUE)*(F495-Calc!F19))+B508+(ArtifactsInput!$M$24-ArtifactsInput!$M$24)*CHOOSE(ArtifactsInput!$N$24+1,10,12,14,16,18,20)+IF(ArtifactsInput!$M$10,CHOOSE(ArtifactsInput!$N$10+1,15,18,21,24,27,30)*(IF(Inputs!$B$38="pvp",MIN(15,15)/15,IF(AND(Inputs!$B$38&lt;&gt;"pvp",Inputs!$B$43&gt;0),MIN(15,Inputs!$B$43)/(Inputs!$B$43),0))),0)))&gt;=100),MIN(100,((Inputs!$B$9+((C495=TRUE)*(F495-Calc!F19))+B508+(ArtifactsInput!$M$24-ArtifactsInput!$M$24)*CHOOSE(ArtifactsInput!$N$24+1,10,12,14,16,18,20)+IF(ArtifactsInput!$M$10,CHOOSE(ArtifactsInput!$N$10+1,15,18,21,24,27,30)*(IF(Inputs!$B$38="pvp",MIN(15,15)/15,IF(AND(Inputs!$B$38&lt;&gt;"pvp",Inputs!$B$43&gt;0),MIN(15,Inputs!$B$43)/(Inputs!$B$43),0))),0)))-100),0))*CHOOSE(ArtifactsInput!$N$42+1,0.6,0.72,0.84,0.96,1.08,1.2))),Inputs!$B$18+((C503=TRUE)*(F503-Calc!F27))+(IF(AND(ArtifactsInput!$M$42,((Inputs!$B$9+((C495=TRUE)*(F495-Calc!F19))+B508+(ArtifactsInput!$M$24-ArtifactsInput!$M$24)*CHOOSE(ArtifactsInput!$N$24+1,10,12,14,16,18,20)+IF(ArtifactsInput!$M$10,CHOOSE(ArtifactsInput!$N$10+1,15,18,21,24,27,30)*(IF(Inputs!$B$38="pvp",MIN(15,15)/15,IF(AND(Inputs!$B$38&lt;&gt;"pvp",Inputs!$B$43&gt;0),MIN(15,Inputs!$B$43)/(Inputs!$B$43),0))),0)))&gt;=100),CHOOSE(ArtifactsInput!$N$42+1,40,48,56,64,72,80),0))))/100)*((1+(((C489=TRUE)*F489)+((C490=TRUE)*IF(Inputs!$B$38="pvp",F490,(1-Summary!$B$11)*(F490)+Summary!$B$11*(0)))+((C491=TRUE)*F491*IF(AND(Inputs!$B$38&lt;&gt;"pvp",Inputs!$B$43&gt;0),(((R491-1)*(Skills!T15*(1+Inputs!$B$34/100))+MIN((Skills!T15*(1+Inputs!$B$34/100)),MAX(0,Inputs!$B$43-((R491-1)*Skills!D15))))/Inputs!$B$43),IF(Inputs!$B$38="pvp",MIN((Skills!T15*(1+Inputs!$B$34/100)),15)/15,(Skills!T15*(1+Inputs!$B$34/100))/Skills!D15)))+((C488=TRUE)*F488)+((C505=TRUE)*(F505-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487)</f>
        <v/>
      </c>
      <c r="L487">
        <f>K487*(MIN(Inputs!$B$22+((C499=TRUE)*(F499-Calc!F23)),((Inputs!$B$23+1)+((C504=TRUE)*(F504-Calc!F28))+(IF(ArtifactsInput!$M$15,CHOOSE(ArtifactsInput!$N$15+1,25,30,35,40,45,50)/100*(Inputs!$B$11-Inputs!$B$11),0))))/100+((Inputs!$B$23+1)+((C504=TRUE)*(F504-Calc!F28))+(IF(ArtifactsInput!$M$15,CHOOSE(ArtifactsInput!$N$15+1,25,30,35,40,45,50)/100*(Inputs!$B$11-Inputs!$B$11),0)))/100)/2</f>
        <v/>
      </c>
      <c r="M487">
        <f>L487*(1+(Inputs!$B$10+0+B513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487">
        <f>L487*(1-MIN((Inputs!$B$9+((C495=TRUE)*(F495-Calc!F19))+B508+(ArtifactsInput!$M$24-ArtifactsInput!$M$24)*CHOOSE(ArtifactsInput!$N$24+1,10,12,14,16,18,20)+(IF(AND(ArtifactsInput!$M$42,((Inputs!$B$9+((C495=TRUE)*(F495-Calc!F19))+B508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487*(MIN((Inputs!$B$9+((C495=TRUE)*(F495-Calc!F19))+B508+(ArtifactsInput!$M$24-ArtifactsInput!$M$24)*CHOOSE(ArtifactsInput!$N$24+1,10,12,14,16,18,20)+(IF(AND(ArtifactsInput!$M$42,((Inputs!$B$9+((C495=TRUE)*(F495-Calc!F19))+B508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487">
        <f>(1-Summary!$B$11)*T487+Summary!$B$11*V487</f>
        <v/>
      </c>
      <c r="P487">
        <f>IF(B518=0,0,O487/B518)</f>
        <v/>
      </c>
      <c r="Q487">
        <f>IFERROR(1/IF(Inputs!$B$38="pvp",15,MAX(0.1,Skills!D11-IF(Skills!E11=TRUE,Inputs!$B$32,0))),0)</f>
        <v/>
      </c>
      <c r="R487">
        <f>IF(AND(Inputs!$B$38&lt;&gt;"pvp",Inputs!$B$43&gt;0),IF(MAX(0,Inputs!$B$43-B515)&lt;=0,0,(INT(MAX(0,Inputs!$B$43-B515)/IF(Inputs!$B$38="pvp",15,MAX(0.1,Skills!D11-IF(Skills!E11=TRUE,Inputs!$B$32,0))))+1)),0)</f>
        <v/>
      </c>
      <c r="S487">
        <f>IFERROR((H487*N487*IF(AND(Inputs!$B$38&lt;&gt;"pvp",Inputs!$B$43&gt;0),((Skills!G11*((R487-1)*IF(Skills!H11&gt;0,Skills!I11/Skills!H11,1)+IF(Skills!H11&gt;0,MIN(Skills!I11,MAX(0,MAX(0,Inputs!$B$43-B515)-((R487-1)*IF(Inputs!$B$38="pvp",15,MAX(0.1,Skills!D11-IF(Skills!E11=TRUE,Inputs!$B$32,0))))))/Skills!H11,1)))/Inputs!$B$43),G487*Q487))/N487*IF(Inputs!$B$38="pvp",1,(1-Summary!$B$11)*1+Summary!$B$11*(MIN(Skills!R11,Inputs!$B$37))),0)</f>
        <v/>
      </c>
      <c r="T487">
        <f>IF(C487,(H487*N487*IF(AND(Inputs!$B$38&lt;&gt;"pvp",Inputs!$B$43&gt;0),((Skills!G11*((R487-1)*IF(Skills!H11&gt;0,Skills!I11/Skills!H11,1)+IF(Skills!H11&gt;0,MIN(Skills!I11,MAX(0,MAX(0,Inputs!$B$43-B515)-((R487-1)*IF(Inputs!$B$38="pvp",15,MAX(0.1,Skills!D11-IF(Skills!E11=TRUE,Inputs!$B$32,0))))))/Skills!H11,1)))/Inputs!$B$43),G487*Q487))*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Hunt"),CHOOSE(ArtifactsInput!$N$35+1,15,18,21,24,27,30)*(1-EXP(-(0.2*B510)*5)),0)+IF(AND(ArtifactsInput!$M$22,Inputs!$B$4&lt;&gt;"Chapter Hunt"),CHOOSE(ArtifactsInput!$N$22+1,10,12,14,16,18,20)*((0*(((0.15*B510*5))^0/1)+1*(((0.15*B510*5))^1/1)+2*(((0.15*B510*5))^2/2)+3*(((0.15*B510*5))^3/6)+4*(((0.15*B510*5))^4/24)+5*(((0.15*B510*5))^5/120))/((((0.15*B510*5))^0/1)+(((0.15*B510*5))^1/1)+(((0.15*B510*5))^2/2)+(((0.15*B510*5))^3/6)+(((0.15*B510*5))^4/24)+(((0.15*B510*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487*(1-MIN(100,(Inputs!$B$9+((C495=TRUE)*(F495-Calc!F19))+B508+(ArtifactsInput!$M$24-ArtifactsInput!$M$24)*CHOOSE(ArtifactsInput!$N$24+1,10,12,14,16,18,20)+(IF(AND(ArtifactsInput!$M$42,((Inputs!$B$9+((C495=TRUE)*(F495-Calc!F19))+B508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487*(MIN(100,(Inputs!$B$9+((C495=TRUE)*(F495-Calc!F19))+B508+(ArtifactsInput!$M$24-ArtifactsInput!$M$24)*CHOOSE(ArtifactsInput!$N$24+1,10,12,14,16,18,20)+(IF(AND(ArtifactsInput!$M$42,((Inputs!$B$9+((C495=TRUE)*(F495-Calc!F19))+B508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487*(1-MIN(100,(Inputs!$B$9+((C495=TRUE)*(F495-Calc!F19))+B508+(ArtifactsInput!$M$24-ArtifactsInput!$M$24)*CHOOSE(ArtifactsInput!$N$24+1,10,12,14,16,18,20)+(IF(AND(ArtifactsInput!$M$42,((Inputs!$B$9+((C495=TRUE)*(F495-Calc!F19))+B508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487*(MIN(100,(Inputs!$B$9+((C495=TRUE)*(F495-Calc!F19))+B508+(ArtifactsInput!$M$24-ArtifactsInput!$M$24)*CHOOSE(ArtifactsInput!$N$24+1,10,12,14,16,18,20)+(IF(AND(ArtifactsInput!$M$42,((Inputs!$B$9+((C495=TRUE)*(F495-Calc!F19))+B508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487">
        <f>IF(C487,(H487*N487*IF(AND(Inputs!$B$38&lt;&gt;"pvp",Inputs!$B$43&gt;0),((Skills!G11*((R487-1)*IF(Skills!H11&gt;0,Skills!I11/Skills!H11,1)+IF(Skills!H11&gt;0,MIN(Skills!I11,MAX(0,MAX(0,Inputs!$B$43-B515)-((R487-1)*IF(Inputs!$B$38="pvp",15,MAX(0.1,Skills!D11-IF(Skills!E11=TRUE,Inputs!$B$32,0))))))/Skills!H11,1)))/Inputs!$B$43),G487*Q487))*IF(Inputs!$B$38="pvp",1,(1+(Inputs!$B$21+Skills!Q11+(IF(ArtifactsInput!$M$33,CHOOSE(ArtifactsInput!$N$33+1,30,36,42,48,54,60),0))+(IF(AND(ArtifactsInput!$M$35,Inputs!$B$4&lt;&gt;"Chapter Hunt"),CHOOSE(ArtifactsInput!$N$35+1,15,18,21,24,27,30)*(1-EXP(-(0.2*B510)*5)),0)+IF(AND(ArtifactsInput!$M$22,Inputs!$B$4&lt;&gt;"Chapter Hunt"),CHOOSE(ArtifactsInput!$N$22+1,10,12,14,16,18,20)*((0*(((0.15*B510*5))^0/1)+1*(((0.15*B510*5))^1/1)+2*(((0.15*B510*5))^2/2)+3*(((0.15*B510*5))^3/6)+4*(((0.15*B510*5))^4/24)+5*(((0.15*B510*5))^5/120))/((((0.15*B510*5))^0/1)+(((0.15*B510*5))^1/1)+(((0.15*B510*5))^2/2)+(((0.15*B510*5))^3/6)+(((0.15*B510*5))^4/24)+(((0.15*B510*5))^5/120))),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488">
      <c r="A488">
        <f>Skills!A12</f>
        <v/>
      </c>
      <c r="B488">
        <f>Skills!B12</f>
        <v/>
      </c>
      <c r="C488">
        <f>Inputs!$B$3&gt;=60</f>
        <v/>
      </c>
      <c r="D488">
        <f>IF(Skills!C12=1,60+Inputs!$B$25+Inputs!$B$29,IF(Skills!C12=2,90+Inputs!$B$26+Inputs!$B$29,IF(Skills!C12=3,120+Inputs!$B$27+Inputs!$B$29,MAX(0,(Inputs!$B$3-100)*3)+Inputs!$B$28+Inputs!$B$29)))</f>
        <v/>
      </c>
      <c r="E488">
        <f>INDEX(FactorTable!$B$2:$Y$301, MATCH(ROUND(MIN(300,MAX(1,D488)),0), FactorTable!$A$2:$A$301,0), Skills!M12+1)</f>
        <v/>
      </c>
      <c r="F488">
        <f>IF(Skills!N12=TRUE,(Skills!L12/10)*(E488/1000),Skills!L12/10)+Skills!O12</f>
        <v/>
      </c>
      <c r="G488">
        <f>Skills!G12*IF(Skills!H12&gt;0,Skills!I12/Skills!H12,1)</f>
        <v/>
      </c>
      <c r="H488">
        <f>1-(1-Skills!J12/100)^Skills!K12</f>
        <v/>
      </c>
      <c r="I488" t="inlineStr">
        <is>
          <t>1</t>
        </is>
      </c>
      <c r="J488" t="inlineStr"/>
      <c r="K488" t="inlineStr"/>
      <c r="L488" t="inlineStr"/>
      <c r="M488" t="inlineStr"/>
      <c r="N488" t="inlineStr"/>
      <c r="O488">
        <f>(1-Summary!$B$11)*T488+Summary!$B$11*V488</f>
        <v/>
      </c>
      <c r="P488">
        <f>IF(B518=0,0,O488/B518)</f>
        <v/>
      </c>
      <c r="Q488" t="n">
        <v>0</v>
      </c>
      <c r="R488" t="n">
        <v>0</v>
      </c>
      <c r="S488" t="n">
        <v>0</v>
      </c>
      <c r="T488" t="n">
        <v>0</v>
      </c>
      <c r="V488" t="n">
        <v>0</v>
      </c>
    </row>
    <row r="489">
      <c r="A489">
        <f>Skills!A13</f>
        <v/>
      </c>
      <c r="B489">
        <f>Skills!B13</f>
        <v/>
      </c>
      <c r="C489">
        <f>Inputs!$B$3&gt;=74</f>
        <v/>
      </c>
      <c r="D489">
        <f>IF(Skills!C13=1,60+Inputs!$B$25+Inputs!$B$29,IF(Skills!C13=2,90+Inputs!$B$26+Inputs!$B$29,IF(Skills!C13=3,120+Inputs!$B$27+Inputs!$B$29,MAX(0,(Inputs!$B$3-100)*3)+Inputs!$B$28+Inputs!$B$29)))</f>
        <v/>
      </c>
      <c r="E489">
        <f>INDEX(FactorTable!$B$2:$Y$301, MATCH(ROUND(MIN(300,MAX(1,D489)),0), FactorTable!$A$2:$A$301,0), Skills!M13+1)</f>
        <v/>
      </c>
      <c r="F489">
        <f>IF(Skills!N13=TRUE,(Skills!L13/10)*(E489/1000),Skills!L13/10)+Skills!O13</f>
        <v/>
      </c>
      <c r="G489">
        <f>Skills!G13*IF(Skills!H13&gt;0,Skills!I13/Skills!H13,1)</f>
        <v/>
      </c>
      <c r="H489">
        <f>1-(1-Skills!J13/100)^Skills!K13</f>
        <v/>
      </c>
      <c r="I489" t="inlineStr">
        <is>
          <t>1</t>
        </is>
      </c>
      <c r="J489" t="inlineStr"/>
      <c r="K489" t="inlineStr"/>
      <c r="L489" t="inlineStr"/>
      <c r="M489" t="inlineStr"/>
      <c r="N489" t="inlineStr"/>
      <c r="O489">
        <f>(1-Summary!$B$11)*T489+Summary!$B$11*V489</f>
        <v/>
      </c>
      <c r="P489">
        <f>IF(B518=0,0,O489/B518)</f>
        <v/>
      </c>
      <c r="Q489" t="n">
        <v>0</v>
      </c>
      <c r="R489" t="n">
        <v>0</v>
      </c>
      <c r="S489" t="n">
        <v>0</v>
      </c>
      <c r="T489" t="n">
        <v>0</v>
      </c>
      <c r="V489" t="n">
        <v>0</v>
      </c>
    </row>
    <row r="490">
      <c r="A490">
        <f>Skills!A14</f>
        <v/>
      </c>
      <c r="B490">
        <f>Skills!B14</f>
        <v/>
      </c>
      <c r="C490">
        <f>Inputs!$B$3&gt;=74</f>
        <v/>
      </c>
      <c r="D490">
        <f>IF(Skills!C14=1,60+Inputs!$B$25+Inputs!$B$29,IF(Skills!C14=2,90+Inputs!$B$26+Inputs!$B$29,IF(Skills!C14=3,120+Inputs!$B$27+Inputs!$B$29,MAX(0,(Inputs!$B$3-100)*3)+Inputs!$B$28+Inputs!$B$29)))</f>
        <v/>
      </c>
      <c r="E490">
        <f>INDEX(FactorTable!$B$2:$Y$301, MATCH(ROUND(MIN(300,MAX(1,D490)),0), FactorTable!$A$2:$A$301,0), Skills!M14+1)</f>
        <v/>
      </c>
      <c r="F490">
        <f>IF(Skills!N14=TRUE,(Skills!L14/10)*(E490/1000),Skills!L14/10)+Skills!O14</f>
        <v/>
      </c>
      <c r="G490">
        <f>Skills!G14*IF(Skills!H14&gt;0,Skills!I14/Skills!H14,1)</f>
        <v/>
      </c>
      <c r="H490">
        <f>1-(1-Skills!J14/100)^Skills!K14</f>
        <v/>
      </c>
      <c r="I490" t="inlineStr">
        <is>
          <t>1</t>
        </is>
      </c>
      <c r="J490" t="inlineStr"/>
      <c r="K490" t="inlineStr"/>
      <c r="L490" t="inlineStr"/>
      <c r="M490" t="inlineStr"/>
      <c r="N490" t="inlineStr"/>
      <c r="O490">
        <f>(1-Summary!$B$11)*T490+Summary!$B$11*V490</f>
        <v/>
      </c>
      <c r="P490">
        <f>IF(B518=0,0,O490/B518)</f>
        <v/>
      </c>
      <c r="Q490" t="n">
        <v>0</v>
      </c>
      <c r="R490" t="n">
        <v>0</v>
      </c>
      <c r="S490" t="n">
        <v>0</v>
      </c>
      <c r="T490" t="n">
        <v>0</v>
      </c>
      <c r="V490" t="n">
        <v>0</v>
      </c>
    </row>
    <row r="491">
      <c r="A491">
        <f>Skills!A15</f>
        <v/>
      </c>
      <c r="B491">
        <f>Skills!B15</f>
        <v/>
      </c>
      <c r="C491">
        <f>Inputs!$B$3&gt;=117</f>
        <v/>
      </c>
      <c r="D491">
        <f>IF(Skills!C15=1,60+Inputs!$B$25+Inputs!$B$29,IF(Skills!C15=2,90+Inputs!$B$26+Inputs!$B$29,IF(Skills!C15=3,120+Inputs!$B$27+Inputs!$B$29,MAX(0,(Inputs!$B$3-100)*3)+Inputs!$B$28+Inputs!$B$29)))</f>
        <v/>
      </c>
      <c r="E491">
        <f>INDEX(FactorTable!$B$2:$Y$301, MATCH(ROUND(MIN(300,MAX(1,D491)),0), FactorTable!$A$2:$A$301,0), Skills!M15+1)</f>
        <v/>
      </c>
      <c r="F491">
        <f>IF(Skills!N15=TRUE,(Skills!L15/10)*(E491/1000),Skills!L15/10)+Skills!O15</f>
        <v/>
      </c>
      <c r="G491">
        <f>Skills!G15*IF(Skills!H15&gt;0,Skills!I15/Skills!H15,1)</f>
        <v/>
      </c>
      <c r="H491">
        <f>1-(1-Skills!J15/100)^Skills!K15</f>
        <v/>
      </c>
      <c r="I491" t="inlineStr">
        <is>
          <t>1</t>
        </is>
      </c>
      <c r="J491" t="inlineStr"/>
      <c r="K491" t="inlineStr"/>
      <c r="L491" t="inlineStr"/>
      <c r="M491" t="inlineStr"/>
      <c r="N491" t="inlineStr"/>
      <c r="O491">
        <f>(1-Summary!$B$11)*T491+Summary!$B$11*V491</f>
        <v/>
      </c>
      <c r="P491">
        <f>IF(B518=0,0,O491/B518)</f>
        <v/>
      </c>
      <c r="Q491">
        <f>IFERROR(1/IF(Inputs!$B$38="pvp",15,MAX(0.1,Skills!D15-IF(Skills!E15=TRUE,Inputs!$B$32,0))),0)</f>
        <v/>
      </c>
      <c r="R491">
        <f>IF(AND(Inputs!$B$38&lt;&gt;"pvp",Inputs!$B$43&gt;0),IF(Inputs!$B$43&lt;=0,0,(INT(Inputs!$B$43/IF(Inputs!$B$38="pvp",15,MAX(0.1,Skills!D15-IF(Skills!E15=TRUE,Inputs!$B$32,0))))+1)),0)</f>
        <v/>
      </c>
      <c r="S491" t="n">
        <v>0</v>
      </c>
      <c r="T491" t="n">
        <v>0</v>
      </c>
      <c r="V491" t="n">
        <v>0</v>
      </c>
    </row>
    <row r="492">
      <c r="A492">
        <f>Skills!A16</f>
        <v/>
      </c>
      <c r="B492">
        <f>Skills!B16</f>
        <v/>
      </c>
      <c r="C492">
        <f>Inputs!$B$3&gt;=115</f>
        <v/>
      </c>
      <c r="D492">
        <f>IF(Skills!C16=1,60+Inputs!$B$25+Inputs!$B$29,IF(Skills!C16=2,90+Inputs!$B$26+Inputs!$B$29,IF(Skills!C16=3,120+Inputs!$B$27+Inputs!$B$29,MAX(0,(Inputs!$B$3-100)*3)+Inputs!$B$28+Inputs!$B$29)))</f>
        <v/>
      </c>
      <c r="E492">
        <f>INDEX(FactorTable!$B$2:$Y$301, MATCH(ROUND(MIN(300,MAX(1,D492)),0), FactorTable!$A$2:$A$301,0), Skills!M16+1)</f>
        <v/>
      </c>
      <c r="F492">
        <f>IF(Skills!N16=TRUE,(Skills!L16/10)*(E492/1000),Skills!L16/10)+Skills!O16</f>
        <v/>
      </c>
      <c r="G492">
        <f>Skills!G16*IF(Skills!H16&gt;0,Skills!I16/Skills!H16,1)</f>
        <v/>
      </c>
      <c r="H492">
        <f>1-(1-Skills!J16/100)^Skills!K16</f>
        <v/>
      </c>
      <c r="I492" t="inlineStr">
        <is>
          <t>1</t>
        </is>
      </c>
      <c r="J492" t="inlineStr"/>
      <c r="K492" t="inlineStr"/>
      <c r="L492" t="inlineStr"/>
      <c r="M492" t="inlineStr"/>
      <c r="N492" t="inlineStr"/>
      <c r="O492">
        <f>(1-Summary!$B$11)*T492+Summary!$B$11*V492</f>
        <v/>
      </c>
      <c r="P492">
        <f>IF(B518=0,0,O492/B518)</f>
        <v/>
      </c>
      <c r="Q492">
        <f>IFERROR(1/IF(Inputs!$B$38="pvp",15,MAX(0.1,Skills!D16-IF(Skills!E16=TRUE,Inputs!$B$32,0))),0)</f>
        <v/>
      </c>
      <c r="R492">
        <f>IF(AND(Inputs!$B$38&lt;&gt;"pvp",Inputs!$B$43&gt;0),IF(Inputs!$B$43&lt;=0,0,(INT(Inputs!$B$43/IF(Inputs!$B$38="pvp",15,MAX(0.1,Skills!D16-IF(Skills!E16=TRUE,Inputs!$B$32,0))))+1)),0)</f>
        <v/>
      </c>
      <c r="S492" t="n">
        <v>0</v>
      </c>
      <c r="T492" t="n">
        <v>0</v>
      </c>
      <c r="V492" t="n">
        <v>0</v>
      </c>
    </row>
    <row r="493">
      <c r="A493">
        <f>Skills!A17</f>
        <v/>
      </c>
      <c r="B493">
        <f>Skills!B17</f>
        <v/>
      </c>
      <c r="C493">
        <f>Inputs!$B$3&gt;=72</f>
        <v/>
      </c>
      <c r="D493">
        <f>IF(Skills!C17=1,60+Inputs!$B$25+Inputs!$B$29,IF(Skills!C17=2,90+Inputs!$B$26+Inputs!$B$29,IF(Skills!C17=3,120+Inputs!$B$27+Inputs!$B$29,MAX(0,(Inputs!$B$3-100)*3)+Inputs!$B$28+Inputs!$B$29)))</f>
        <v/>
      </c>
      <c r="E493">
        <f>INDEX(FactorTable!$B$2:$Y$301, MATCH(ROUND(MIN(300,MAX(1,D493)),0), FactorTable!$A$2:$A$301,0), Skills!M17+1)</f>
        <v/>
      </c>
      <c r="F493">
        <f>IF(Skills!N17=TRUE,(Skills!L17/10)*(E493/1000),Skills!L17/10)+Skills!O17</f>
        <v/>
      </c>
      <c r="G493">
        <f>Skills!G17*IF(Skills!H17&gt;0,Skills!I17/Skills!H17,1)</f>
        <v/>
      </c>
      <c r="H493">
        <f>1-(1-Skills!J17/100)^Skills!K17</f>
        <v/>
      </c>
      <c r="I493" t="inlineStr">
        <is>
          <t>1</t>
        </is>
      </c>
      <c r="J493" t="inlineStr"/>
      <c r="K493" t="inlineStr"/>
      <c r="L493" t="inlineStr"/>
      <c r="M493" t="inlineStr"/>
      <c r="N493" t="inlineStr"/>
      <c r="O493">
        <f>(1-Summary!$B$11)*T493+Summary!$B$11*V493</f>
        <v/>
      </c>
      <c r="P493">
        <f>IF(B518=0,0,O493/B518)</f>
        <v/>
      </c>
      <c r="Q493" t="n">
        <v>0</v>
      </c>
      <c r="R493" t="n">
        <v>0</v>
      </c>
      <c r="S493" t="n">
        <v>0</v>
      </c>
      <c r="T493" t="n">
        <v>0</v>
      </c>
      <c r="V493" t="n">
        <v>0</v>
      </c>
    </row>
    <row r="494">
      <c r="A494">
        <f>Skills!A18</f>
        <v/>
      </c>
      <c r="B494">
        <f>Skills!B18</f>
        <v/>
      </c>
      <c r="C494">
        <f>TRUE</f>
        <v/>
      </c>
      <c r="D494">
        <f>IF(Skills!C18=1,60+Inputs!$B$25+Inputs!$B$29,IF(Skills!C18=2,90+Inputs!$B$26+Inputs!$B$29,IF(Skills!C18=3,120+Inputs!$B$27+Inputs!$B$29,MAX(0,(Inputs!$B$3-100)*3)+Inputs!$B$28+Inputs!$B$29)))</f>
        <v/>
      </c>
      <c r="E494">
        <f>INDEX(FactorTable!$B$2:$Y$301, MATCH(ROUND(MIN(300,MAX(1,D494)),0), FactorTable!$A$2:$A$301,0), Skills!M18+1)</f>
        <v/>
      </c>
      <c r="F494">
        <f>IF(Skills!N18=TRUE,(Skills!L18/10)*(E494/1000),Skills!L18/10)+Skills!O18</f>
        <v/>
      </c>
      <c r="G494">
        <f>Skills!G18*IF(Skills!H18&gt;0,Skills!I18/Skills!H18,1)</f>
        <v/>
      </c>
      <c r="H494">
        <f>1-(1-Skills!J18/100)^Skills!K18</f>
        <v/>
      </c>
      <c r="I494" t="inlineStr">
        <is>
          <t>1</t>
        </is>
      </c>
      <c r="J494" t="inlineStr"/>
      <c r="K494" t="inlineStr"/>
      <c r="L494" t="inlineStr"/>
      <c r="M494" t="inlineStr"/>
      <c r="N494" t="inlineStr"/>
      <c r="O494">
        <f>(1-Summary!$B$11)*T494+Summary!$B$11*V494</f>
        <v/>
      </c>
      <c r="P494">
        <f>IF(B518=0,0,O494/B518)</f>
        <v/>
      </c>
      <c r="Q494">
        <f>IFERROR(1/IF(Inputs!$B$38="pvp",15,MAX(0.1,Skills!D18-IF(Skills!E18=TRUE,Inputs!$B$32,0))),0)</f>
        <v/>
      </c>
      <c r="R494">
        <f>IF(AND(Inputs!$B$38&lt;&gt;"pvp",Inputs!$B$43&gt;0),IF(Inputs!$B$43&lt;=0,0,(INT(Inputs!$B$43/IF(Inputs!$B$38="pvp",15,MAX(0.1,Skills!D18-IF(Skills!E18=TRUE,Inputs!$B$32,0))))+1)),0)</f>
        <v/>
      </c>
      <c r="S494" t="n">
        <v>0</v>
      </c>
      <c r="T494" t="n">
        <v>0</v>
      </c>
      <c r="V494" t="n">
        <v>0</v>
      </c>
    </row>
    <row r="495">
      <c r="A495">
        <f>Skills!A19</f>
        <v/>
      </c>
      <c r="B495">
        <f>Skills!B19</f>
        <v/>
      </c>
      <c r="C495">
        <f>Inputs!$B$3&gt;=15</f>
        <v/>
      </c>
      <c r="D495">
        <f>IF(Skills!C19=1,60+Inputs!$B$25+Inputs!$B$29,IF(Skills!C19=2,90+Inputs!$B$26+Inputs!$B$29,IF(Skills!C19=3,120+Inputs!$B$27+Inputs!$B$29,MAX(0,(Inputs!$B$3-100)*3)+Inputs!$B$28+Inputs!$B$29)))</f>
        <v/>
      </c>
      <c r="E495">
        <f>INDEX(FactorTable!$B$2:$Y$301, MATCH(ROUND(MIN(300,MAX(1,D495)),0), FactorTable!$A$2:$A$301,0), Skills!M19+1)</f>
        <v/>
      </c>
      <c r="F495">
        <f>IF(Skills!N19=TRUE,(Skills!L19/10)*(E495/1000),Skills!L19/10)+Skills!O19</f>
        <v/>
      </c>
      <c r="G495">
        <f>Skills!G19*IF(Skills!H19&gt;0,Skills!I19/Skills!H19,1)</f>
        <v/>
      </c>
      <c r="H495">
        <f>1-(1-Skills!J19/100)^Skills!K19</f>
        <v/>
      </c>
      <c r="I495" t="inlineStr">
        <is>
          <t>1</t>
        </is>
      </c>
      <c r="J495" t="inlineStr"/>
      <c r="K495" t="inlineStr"/>
      <c r="L495" t="inlineStr"/>
      <c r="M495" t="inlineStr"/>
      <c r="N495" t="inlineStr"/>
      <c r="O495">
        <f>(1-Summary!$B$11)*T495+Summary!$B$11*V495</f>
        <v/>
      </c>
      <c r="P495">
        <f>IF(B518=0,0,O495/B518)</f>
        <v/>
      </c>
      <c r="Q495" t="n">
        <v>0</v>
      </c>
      <c r="R495" t="n">
        <v>0</v>
      </c>
      <c r="S495" t="n">
        <v>0</v>
      </c>
      <c r="T495" t="n">
        <v>0</v>
      </c>
      <c r="V495" t="n">
        <v>0</v>
      </c>
    </row>
    <row r="496">
      <c r="A496">
        <f>Skills!A20</f>
        <v/>
      </c>
      <c r="B496">
        <f>Skills!B20</f>
        <v/>
      </c>
      <c r="C496">
        <f>Inputs!$B$3&gt;=10</f>
        <v/>
      </c>
      <c r="D496">
        <f>IF(Skills!C20=1,60+Inputs!$B$25+Inputs!$B$29,IF(Skills!C20=2,90+Inputs!$B$26+Inputs!$B$29,IF(Skills!C20=3,120+Inputs!$B$27+Inputs!$B$29,MAX(0,(Inputs!$B$3-100)*3)+Inputs!$B$28+Inputs!$B$29)))</f>
        <v/>
      </c>
      <c r="E496">
        <f>INDEX(FactorTable!$B$2:$Y$301, MATCH(ROUND(MIN(300,MAX(1,D496)),0), FactorTable!$A$2:$A$301,0), Skills!M20+1)</f>
        <v/>
      </c>
      <c r="F496">
        <f>IF(Skills!N20=TRUE,(Skills!L20/10)*(E496/1000),Skills!L20/10)+Skills!O20</f>
        <v/>
      </c>
      <c r="G496">
        <f>Skills!G20*IF(Skills!H20&gt;0,Skills!I20/Skills!H20,1)</f>
        <v/>
      </c>
      <c r="H496">
        <f>1-(1-Skills!J20/100)^Skills!K20</f>
        <v/>
      </c>
      <c r="I496" t="inlineStr">
        <is>
          <t>1</t>
        </is>
      </c>
      <c r="J496" t="inlineStr"/>
      <c r="K496" t="inlineStr"/>
      <c r="L496" t="inlineStr"/>
      <c r="M496" t="inlineStr"/>
      <c r="N496" t="inlineStr"/>
      <c r="O496">
        <f>(1-Summary!$B$11)*T496+Summary!$B$11*V496</f>
        <v/>
      </c>
      <c r="P496">
        <f>IF(B518=0,0,O496/B518)</f>
        <v/>
      </c>
      <c r="Q496" t="n">
        <v>0</v>
      </c>
      <c r="R496" t="n">
        <v>0</v>
      </c>
      <c r="S496" t="n">
        <v>0</v>
      </c>
      <c r="T496" t="n">
        <v>0</v>
      </c>
      <c r="V496" t="n">
        <v>0</v>
      </c>
    </row>
    <row r="497">
      <c r="A497">
        <f>Skills!A21</f>
        <v/>
      </c>
      <c r="B497">
        <f>Skills!B21</f>
        <v/>
      </c>
      <c r="C497">
        <f>Inputs!$B$3&gt;=33</f>
        <v/>
      </c>
      <c r="D497">
        <f>IF(Skills!C21=1,60+Inputs!$B$25+Inputs!$B$29,IF(Skills!C21=2,90+Inputs!$B$26+Inputs!$B$29,IF(Skills!C21=3,120+Inputs!$B$27+Inputs!$B$29,MAX(0,(Inputs!$B$3-100)*3)+Inputs!$B$28+Inputs!$B$29)))</f>
        <v/>
      </c>
      <c r="E497">
        <f>INDEX(FactorTable!$B$2:$Y$301, MATCH(ROUND(MIN(300,MAX(1,D497)),0), FactorTable!$A$2:$A$301,0), Skills!M21+1)</f>
        <v/>
      </c>
      <c r="F497">
        <f>IF(Skills!N21=TRUE,(Skills!L21/10)*(E497/1000),Skills!L21/10)+Skills!O21</f>
        <v/>
      </c>
      <c r="G497">
        <f>Skills!G21*IF(Skills!H21&gt;0,Skills!I21/Skills!H21,1)</f>
        <v/>
      </c>
      <c r="H497">
        <f>1-(1-Skills!J21/100)^Skills!K21</f>
        <v/>
      </c>
      <c r="I497" t="inlineStr">
        <is>
          <t>1</t>
        </is>
      </c>
      <c r="J497" t="inlineStr"/>
      <c r="K497" t="inlineStr"/>
      <c r="L497" t="inlineStr"/>
      <c r="M497" t="inlineStr"/>
      <c r="N497" t="inlineStr"/>
      <c r="O497">
        <f>(1-Summary!$B$11)*T497+Summary!$B$11*V497</f>
        <v/>
      </c>
      <c r="P497">
        <f>IF(B518=0,0,O497/B518)</f>
        <v/>
      </c>
      <c r="Q497" t="n">
        <v>0</v>
      </c>
      <c r="R497" t="n">
        <v>0</v>
      </c>
      <c r="S497" t="n">
        <v>0</v>
      </c>
      <c r="T497" t="n">
        <v>0</v>
      </c>
      <c r="V497" t="n">
        <v>0</v>
      </c>
    </row>
    <row r="498">
      <c r="A498">
        <f>Skills!A22</f>
        <v/>
      </c>
      <c r="B498">
        <f>Skills!B22</f>
        <v/>
      </c>
      <c r="C498">
        <f>Inputs!$B$3&gt;=38</f>
        <v/>
      </c>
      <c r="D498">
        <f>IF(Skills!C22=1,60+Inputs!$B$25+Inputs!$B$29,IF(Skills!C22=2,90+Inputs!$B$26+Inputs!$B$29,IF(Skills!C22=3,120+Inputs!$B$27+Inputs!$B$29,MAX(0,(Inputs!$B$3-100)*3)+Inputs!$B$28+Inputs!$B$29)))</f>
        <v/>
      </c>
      <c r="E498">
        <f>INDEX(FactorTable!$B$2:$Y$301, MATCH(ROUND(MIN(300,MAX(1,D498)),0), FactorTable!$A$2:$A$301,0), Skills!M22+1)</f>
        <v/>
      </c>
      <c r="F498">
        <f>IF(Skills!N22=TRUE,(Skills!L22/10)*(E498/1000),Skills!L22/10)+Skills!O22</f>
        <v/>
      </c>
      <c r="G498">
        <f>Skills!G22*IF(Skills!H22&gt;0,Skills!I22/Skills!H22,1)</f>
        <v/>
      </c>
      <c r="H498">
        <f>1-(1-Skills!J22/100)^Skills!K22</f>
        <v/>
      </c>
      <c r="I498" t="inlineStr">
        <is>
          <t>1</t>
        </is>
      </c>
      <c r="J498" t="inlineStr"/>
      <c r="K498" t="inlineStr"/>
      <c r="L498" t="inlineStr"/>
      <c r="M498" t="inlineStr"/>
      <c r="N498" t="inlineStr"/>
      <c r="O498">
        <f>(1-Summary!$B$11)*T498+Summary!$B$11*V498</f>
        <v/>
      </c>
      <c r="P498">
        <f>IF(B518=0,0,O498/B518)</f>
        <v/>
      </c>
      <c r="Q498" t="n">
        <v>0</v>
      </c>
      <c r="R498" t="n">
        <v>0</v>
      </c>
      <c r="S498" t="n">
        <v>0</v>
      </c>
      <c r="T498" t="n">
        <v>0</v>
      </c>
      <c r="V498" t="n">
        <v>0</v>
      </c>
    </row>
    <row r="499">
      <c r="A499">
        <f>Skills!A23</f>
        <v/>
      </c>
      <c r="B499">
        <f>Skills!B23</f>
        <v/>
      </c>
      <c r="C499">
        <f>Inputs!$B$3&gt;=43</f>
        <v/>
      </c>
      <c r="D499">
        <f>IF(Skills!C23=1,60+Inputs!$B$25+Inputs!$B$29,IF(Skills!C23=2,90+Inputs!$B$26+Inputs!$B$29,IF(Skills!C23=3,120+Inputs!$B$27+Inputs!$B$29,MAX(0,(Inputs!$B$3-100)*3)+Inputs!$B$28+Inputs!$B$29)))</f>
        <v/>
      </c>
      <c r="E499">
        <f>INDEX(FactorTable!$B$2:$Y$301, MATCH(ROUND(MIN(300,MAX(1,D499)),0), FactorTable!$A$2:$A$301,0), Skills!M23+1)</f>
        <v/>
      </c>
      <c r="F499">
        <f>IF(Skills!N23=TRUE,(Skills!L23/10)*(E499/1000),Skills!L23/10)+Skills!O23</f>
        <v/>
      </c>
      <c r="G499">
        <f>Skills!G23*IF(Skills!H23&gt;0,Skills!I23/Skills!H23,1)</f>
        <v/>
      </c>
      <c r="H499">
        <f>1-(1-Skills!J23/100)^Skills!K23</f>
        <v/>
      </c>
      <c r="I499" t="inlineStr">
        <is>
          <t>1</t>
        </is>
      </c>
      <c r="J499" t="inlineStr"/>
      <c r="K499" t="inlineStr"/>
      <c r="L499" t="inlineStr"/>
      <c r="M499" t="inlineStr"/>
      <c r="N499" t="inlineStr"/>
      <c r="O499">
        <f>(1-Summary!$B$11)*T499+Summary!$B$11*V499</f>
        <v/>
      </c>
      <c r="P499">
        <f>IF(B518=0,0,O499/B518)</f>
        <v/>
      </c>
      <c r="Q499" t="n">
        <v>0</v>
      </c>
      <c r="R499" t="n">
        <v>0</v>
      </c>
      <c r="S499" t="n">
        <v>0</v>
      </c>
      <c r="T499" t="n">
        <v>0</v>
      </c>
      <c r="V499" t="n">
        <v>0</v>
      </c>
    </row>
    <row r="500">
      <c r="A500">
        <f>Skills!A24</f>
        <v/>
      </c>
      <c r="B500">
        <f>Skills!B24</f>
        <v/>
      </c>
      <c r="C500">
        <f>Inputs!$B$3&gt;=75</f>
        <v/>
      </c>
      <c r="D500">
        <f>IF(Skills!C24=1,60+Inputs!$B$25+Inputs!$B$29,IF(Skills!C24=2,90+Inputs!$B$26+Inputs!$B$29,IF(Skills!C24=3,120+Inputs!$B$27+Inputs!$B$29,MAX(0,(Inputs!$B$3-100)*3)+Inputs!$B$28+Inputs!$B$29)))</f>
        <v/>
      </c>
      <c r="E500">
        <f>INDEX(FactorTable!$B$2:$Y$301, MATCH(ROUND(MIN(300,MAX(1,D500)),0), FactorTable!$A$2:$A$301,0), Skills!M24+1)</f>
        <v/>
      </c>
      <c r="F500">
        <f>IF(Skills!N24=TRUE,(Skills!L24/10)*(E500/1000),Skills!L24/10)+Skills!O24</f>
        <v/>
      </c>
      <c r="G500">
        <f>Skills!G24*IF(Skills!H24&gt;0,Skills!I24/Skills!H24,1)</f>
        <v/>
      </c>
      <c r="H500">
        <f>1-(1-Skills!J24/100)^Skills!K24</f>
        <v/>
      </c>
      <c r="I500" t="inlineStr">
        <is>
          <t>1</t>
        </is>
      </c>
      <c r="J500" t="inlineStr"/>
      <c r="K500" t="inlineStr"/>
      <c r="L500" t="inlineStr"/>
      <c r="M500" t="inlineStr"/>
      <c r="N500" t="inlineStr"/>
      <c r="O500">
        <f>(1-Summary!$B$11)*T500+Summary!$B$11*V500</f>
        <v/>
      </c>
      <c r="P500">
        <f>IF(B518=0,0,O500/B518)</f>
        <v/>
      </c>
      <c r="Q500" t="n">
        <v>0</v>
      </c>
      <c r="R500" t="n">
        <v>0</v>
      </c>
      <c r="S500" t="n">
        <v>0</v>
      </c>
      <c r="T500" t="n">
        <v>0</v>
      </c>
      <c r="V500" t="n">
        <v>0</v>
      </c>
    </row>
    <row r="501">
      <c r="A501">
        <f>Skills!A25</f>
        <v/>
      </c>
      <c r="B501">
        <f>Skills!B25</f>
        <v/>
      </c>
      <c r="C501">
        <f>Inputs!$B$3&gt;=125</f>
        <v/>
      </c>
      <c r="D501">
        <f>IF(Skills!C25=1,60+Inputs!$B$25+Inputs!$B$29,IF(Skills!C25=2,90+Inputs!$B$26+Inputs!$B$29,IF(Skills!C25=3,120+Inputs!$B$27+Inputs!$B$29,MAX(0,(Inputs!$B$3-100)*3)+Inputs!$B$28+Inputs!$B$29)))</f>
        <v/>
      </c>
      <c r="E501">
        <f>INDEX(FactorTable!$B$2:$Y$301, MATCH(ROUND(MIN(300,MAX(1,D501)),0), FactorTable!$A$2:$A$301,0), Skills!M25+1)</f>
        <v/>
      </c>
      <c r="F501">
        <f>IF(Skills!N25=TRUE,(Skills!L25/10)*(E501/1000),Skills!L25/10)+Skills!O25</f>
        <v/>
      </c>
      <c r="G501">
        <f>Skills!G25*IF(Skills!H25&gt;0,Skills!I25/Skills!H25,1)</f>
        <v/>
      </c>
      <c r="H501">
        <f>1-(1-Skills!J25/100)^Skills!K25</f>
        <v/>
      </c>
      <c r="I501" t="inlineStr">
        <is>
          <t>1</t>
        </is>
      </c>
      <c r="J501" t="inlineStr"/>
      <c r="K501" t="inlineStr"/>
      <c r="L501" t="inlineStr"/>
      <c r="M501" t="inlineStr"/>
      <c r="N501" t="inlineStr"/>
      <c r="O501">
        <f>(1-Summary!$B$11)*T501+Summary!$B$11*V501</f>
        <v/>
      </c>
      <c r="P501">
        <f>IF(B518=0,0,O501/B518)</f>
        <v/>
      </c>
      <c r="Q501" t="n">
        <v>0</v>
      </c>
      <c r="R501" t="n">
        <v>0</v>
      </c>
      <c r="S501" t="n">
        <v>0</v>
      </c>
      <c r="T501" t="n">
        <v>0</v>
      </c>
      <c r="V501" t="n">
        <v>0</v>
      </c>
    </row>
    <row r="502">
      <c r="A502">
        <f>Skills!A26</f>
        <v/>
      </c>
      <c r="B502">
        <f>Skills!B26</f>
        <v/>
      </c>
      <c r="C502">
        <f>Inputs!$B$3&gt;=125</f>
        <v/>
      </c>
      <c r="D502">
        <f>IF(Skills!C26=1,60+Inputs!$B$25+Inputs!$B$29,IF(Skills!C26=2,90+Inputs!$B$26+Inputs!$B$29,IF(Skills!C26=3,120+Inputs!$B$27+Inputs!$B$29,MAX(0,(Inputs!$B$3-100)*3)+Inputs!$B$28+Inputs!$B$29)))</f>
        <v/>
      </c>
      <c r="E502">
        <f>INDEX(FactorTable!$B$2:$Y$301, MATCH(ROUND(MIN(300,MAX(1,D502)),0), FactorTable!$A$2:$A$301,0), Skills!M26+1)</f>
        <v/>
      </c>
      <c r="F502">
        <f>IF(Skills!N26=TRUE,(Skills!L26/10)*(E502/1000),Skills!L26/10)+Skills!O26</f>
        <v/>
      </c>
      <c r="G502">
        <f>Skills!G26*IF(Skills!H26&gt;0,Skills!I26/Skills!H26,1)</f>
        <v/>
      </c>
      <c r="H502">
        <f>1-(1-Skills!J26/100)^Skills!K26</f>
        <v/>
      </c>
      <c r="I502" t="inlineStr">
        <is>
          <t>1</t>
        </is>
      </c>
      <c r="J502" t="inlineStr"/>
      <c r="K502" t="inlineStr"/>
      <c r="L502" t="inlineStr"/>
      <c r="M502" t="inlineStr"/>
      <c r="N502" t="inlineStr"/>
      <c r="O502">
        <f>(1-Summary!$B$11)*T502+Summary!$B$11*V502</f>
        <v/>
      </c>
      <c r="P502">
        <f>IF(B518=0,0,O502/B518)</f>
        <v/>
      </c>
      <c r="Q502" t="n">
        <v>0</v>
      </c>
      <c r="R502" t="n">
        <v>0</v>
      </c>
      <c r="S502" t="n">
        <v>0</v>
      </c>
      <c r="T502" t="n">
        <v>0</v>
      </c>
      <c r="V502" t="n">
        <v>0</v>
      </c>
    </row>
    <row r="503">
      <c r="A503">
        <f>Skills!A27</f>
        <v/>
      </c>
      <c r="B503">
        <f>Skills!B27</f>
        <v/>
      </c>
      <c r="C503">
        <f>Inputs!$B$3&gt;=120</f>
        <v/>
      </c>
      <c r="D503">
        <f>IF(Skills!C27=1,60+Inputs!$B$25+Inputs!$B$29,IF(Skills!C27=2,90+Inputs!$B$26+Inputs!$B$29,IF(Skills!C27=3,120+Inputs!$B$27+Inputs!$B$29,MAX(0,(Inputs!$B$3-100)*3)+Inputs!$B$28+Inputs!$B$29)))</f>
        <v/>
      </c>
      <c r="E503">
        <f>INDEX(FactorTable!$B$2:$Y$301, MATCH(ROUND(MIN(300,MAX(1,D503)),0), FactorTable!$A$2:$A$301,0), Skills!M27+1)</f>
        <v/>
      </c>
      <c r="F503">
        <f>IF(Skills!N27=TRUE,(Skills!L27/10)*(E503/1000),Skills!L27/10)+Skills!O27</f>
        <v/>
      </c>
      <c r="G503">
        <f>Skills!G27*IF(Skills!H27&gt;0,Skills!I27/Skills!H27,1)</f>
        <v/>
      </c>
      <c r="H503">
        <f>1-(1-Skills!J27/100)^Skills!K27</f>
        <v/>
      </c>
      <c r="I503" t="inlineStr">
        <is>
          <t>1</t>
        </is>
      </c>
      <c r="J503" t="inlineStr"/>
      <c r="K503" t="inlineStr"/>
      <c r="L503" t="inlineStr"/>
      <c r="M503" t="inlineStr"/>
      <c r="N503" t="inlineStr"/>
      <c r="O503">
        <f>(1-Summary!$B$11)*T503+Summary!$B$11*V503</f>
        <v/>
      </c>
      <c r="P503">
        <f>IF(B518=0,0,O503/B518)</f>
        <v/>
      </c>
      <c r="Q503" t="n">
        <v>0</v>
      </c>
      <c r="R503" t="n">
        <v>0</v>
      </c>
      <c r="S503" t="n">
        <v>0</v>
      </c>
      <c r="T503" t="n">
        <v>0</v>
      </c>
      <c r="V503" t="n">
        <v>0</v>
      </c>
    </row>
    <row r="504">
      <c r="A504">
        <f>Skills!A28</f>
        <v/>
      </c>
      <c r="B504">
        <f>Skills!B28</f>
        <v/>
      </c>
      <c r="C504">
        <f>Inputs!$B$3&gt;=120</f>
        <v/>
      </c>
      <c r="D504">
        <f>IF(Skills!C28=1,60+Inputs!$B$25+Inputs!$B$29,IF(Skills!C28=2,90+Inputs!$B$26+Inputs!$B$29,IF(Skills!C28=3,120+Inputs!$B$27+Inputs!$B$29,MAX(0,(Inputs!$B$3-100)*3)+Inputs!$B$28+Inputs!$B$29)))</f>
        <v/>
      </c>
      <c r="E504">
        <f>INDEX(FactorTable!$B$2:$Y$301, MATCH(ROUND(MIN(300,MAX(1,D504)),0), FactorTable!$A$2:$A$301,0), Skills!M28+1)</f>
        <v/>
      </c>
      <c r="F504">
        <f>IF(Skills!N28=TRUE,(Skills!L28/10)*(E504/1000),Skills!L28/10)+Skills!O28</f>
        <v/>
      </c>
      <c r="G504">
        <f>Skills!G28*IF(Skills!H28&gt;0,Skills!I28/Skills!H28,1)</f>
        <v/>
      </c>
      <c r="H504">
        <f>1-(1-Skills!J28/100)^Skills!K28</f>
        <v/>
      </c>
      <c r="I504" t="inlineStr">
        <is>
          <t>1</t>
        </is>
      </c>
      <c r="J504" t="inlineStr"/>
      <c r="K504" t="inlineStr"/>
      <c r="L504" t="inlineStr"/>
      <c r="M504" t="inlineStr"/>
      <c r="N504" t="inlineStr"/>
      <c r="O504">
        <f>(1-Summary!$B$11)*T504+Summary!$B$11*V504</f>
        <v/>
      </c>
      <c r="P504">
        <f>IF(B518=0,0,O504/B518)</f>
        <v/>
      </c>
      <c r="Q504" t="n">
        <v>0</v>
      </c>
      <c r="R504" t="n">
        <v>0</v>
      </c>
      <c r="S504" t="n">
        <v>0</v>
      </c>
      <c r="T504" t="n">
        <v>0</v>
      </c>
      <c r="V504" t="n">
        <v>0</v>
      </c>
    </row>
    <row r="505">
      <c r="A505">
        <f>Skills!A29</f>
        <v/>
      </c>
      <c r="B505">
        <f>Skills!B29</f>
        <v/>
      </c>
      <c r="C505">
        <f>Inputs!$B$3&gt;=45</f>
        <v/>
      </c>
      <c r="D505">
        <f>IF(Skills!C29=1,60+Inputs!$B$25+Inputs!$B$29,IF(Skills!C29=2,90+Inputs!$B$26+Inputs!$B$29,IF(Skills!C29=3,120+Inputs!$B$27+Inputs!$B$29,MAX(0,(Inputs!$B$3-100)*3)+Inputs!$B$28+Inputs!$B$29)))</f>
        <v/>
      </c>
      <c r="E505">
        <f>INDEX(FactorTable!$B$2:$Y$301, MATCH(ROUND(MIN(300,MAX(1,D505)),0), FactorTable!$A$2:$A$301,0), Skills!M29+1)</f>
        <v/>
      </c>
      <c r="F505">
        <f>IF(Skills!N29=TRUE,(Skills!L29/10)*(E505/1000),Skills!L29/10)+Skills!O29</f>
        <v/>
      </c>
      <c r="G505">
        <f>Skills!G29*IF(Skills!H29&gt;0,Skills!I29/Skills!H29,1)</f>
        <v/>
      </c>
      <c r="H505">
        <f>1-(1-Skills!J29/100)^Skills!K29</f>
        <v/>
      </c>
      <c r="I505" t="inlineStr">
        <is>
          <t>1</t>
        </is>
      </c>
      <c r="J505" t="inlineStr"/>
      <c r="K505" t="inlineStr"/>
      <c r="L505" t="inlineStr"/>
      <c r="M505" t="inlineStr"/>
      <c r="N505" t="inlineStr"/>
      <c r="O505">
        <f>(1-Summary!$B$11)*T505+Summary!$B$11*V505</f>
        <v/>
      </c>
      <c r="P505">
        <f>IF(B518=0,0,O505/B518)</f>
        <v/>
      </c>
      <c r="Q505" t="n">
        <v>0</v>
      </c>
      <c r="R505" t="n">
        <v>0</v>
      </c>
      <c r="S505" t="n">
        <v>0</v>
      </c>
      <c r="T505" t="n">
        <v>0</v>
      </c>
      <c r="V505" t="n">
        <v>0</v>
      </c>
    </row>
    <row r="507">
      <c r="A507" t="inlineStr">
        <is>
          <t>Attack% Bucket Multiplier</t>
        </is>
      </c>
      <c r="B507">
        <f>(1+(((C489=TRUE)*F489)+((C490=TRUE)*IF(Inputs!$B$38="pvp",F490,(1-Summary!$B$11)*(F490)+Summary!$B$11*(0)))+((C491=TRUE)*F491*IF(AND(Inputs!$B$38&lt;&gt;"pvp",Inputs!$B$43&gt;0),(((R491-1)*(Skills!T15*(1+Inputs!$B$34/100))+MIN((Skills!T15*(1+Inputs!$B$34/100)),MAX(0,Inputs!$B$43-((R491-1)*Skills!D15))))/Inputs!$B$43),IF(Inputs!$B$38="pvp",MIN((Skills!T15*(1+Inputs!$B$34/100)),15)/15,(Skills!T15*(1+Inputs!$B$34/100))/Skills!D15)))+((C488=TRUE)*F488)+((C505=TRUE)*(F505-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508">
      <c r="A508" t="inlineStr">
        <is>
          <t>Global Crit Rate Bonus %</t>
        </is>
      </c>
      <c r="B508">
        <f>(C492=TRUE)*20*IF(AND(Inputs!$B$38&lt;&gt;"pvp",Inputs!$B$43&gt;0),(((R492-1)*(Skills!T16*(1+Inputs!$B$34/100))+MIN((Skills!T16*(1+Inputs!$B$34/100)),MAX(0,Inputs!$B$43-((R492-1)*Skills!D16))))/Inputs!$B$43),IF(Inputs!$B$38="pvp",MIN((Skills!T16*(1+Inputs!$B$34/100)),15)/15,(Skills!T16*(1+Inputs!$B$34/100))/Skills!D16))</f>
        <v/>
      </c>
    </row>
    <row r="509">
      <c r="A509" t="inlineStr">
        <is>
          <t>Attack Speed Buff Bonus %</t>
        </is>
      </c>
      <c r="B509">
        <f>((C494=TRUE)*F494*IF(AND(Inputs!$B$38&lt;&gt;"pvp",Inputs!$B$43&gt;0),(((R494-1)*(Skills!T18*(1+Inputs!$B$34/100))+MIN((Skills!T18*(1+Inputs!$B$34/100)),MAX(0,Inputs!$B$43-((R494-1)*Skills!D18))))/Inputs!$B$43),IF(Inputs!$B$38="pvp",MIN((Skills!T18*(1+Inputs!$B$34/100)),15)/15,(Skills!T18*(1+Inputs!$B$34/100))/Skills!D18)))</f>
        <v/>
      </c>
    </row>
    <row r="510">
      <c r="A510" t="inlineStr">
        <is>
          <t>Actions Per Second</t>
        </is>
      </c>
      <c r="B510">
        <f>1+MIN(150,150*(1-(1-(Inputs!$B$11+((C496=TRUE)*(F496-Calc!F20))+((C497=TRUE)*(F497-Calc!F21)))/150)*(1-B509/150)))/100</f>
        <v/>
      </c>
    </row>
    <row r="511">
      <c r="A511" t="inlineStr">
        <is>
          <t>Skill + Buff Cast Rate</t>
        </is>
      </c>
      <c r="B511">
        <f>IF(AND(Inputs!$B$38&lt;&gt;"pvp",Inputs!$B$43&gt;0),SUMPRODUCT((Skills!E2:E29=TRUE)*(C478:C505=TRUE)*R478:R505*Skills!F2:F29)/Inputs!$B$43,SUMPRODUCT((Skills!E2:E29=TRUE)*(C478:C505=TRUE)*Q478:Q505*Skills!F2:F29))</f>
        <v/>
      </c>
    </row>
    <row r="512">
      <c r="A512" t="inlineStr">
        <is>
          <t>Empowered Piercing Arrow Casts Per Second</t>
        </is>
      </c>
      <c r="B512">
        <f>MAX(0,B510-B511)</f>
        <v/>
      </c>
    </row>
    <row r="513">
      <c r="A513" t="inlineStr">
        <is>
          <t>Global Critical Damage Bonus % (Sharp Eyes)</t>
        </is>
      </c>
      <c r="B513">
        <f>(C492=TRUE)*F492*IF(AND(Inputs!$B$38&lt;&gt;"pvp",Inputs!$B$43&gt;0),(((R492-1)*(Skills!T16*(1+Inputs!$B$34/100))+MIN((Skills!T16*(1+Inputs!$B$34/100)),MAX(0,Inputs!$B$43-((R492-1)*Skills!D16))))/Inputs!$B$43),IF(Inputs!$B$38="pvp",MIN((Skills!T16*(1+Inputs!$B$34/100)),15)/15,(Skills!T16*(1+Inputs!$B$34/100))/Skills!D16))</f>
        <v/>
      </c>
    </row>
    <row r="514">
      <c r="A514" t="inlineStr">
        <is>
          <t>Global Final Damage Bonus % (Mortal Blow + Last Man Standing conditional half)</t>
        </is>
      </c>
      <c r="B514">
        <f>(C493=TRUE)*F493+((C502=TRUE)*IF(Inputs!$B$38="pvp",F502,(1-Summary!$B$11)*(F502)+Summary!$B$11*(0)))</f>
        <v/>
      </c>
    </row>
    <row r="515">
      <c r="A515" t="inlineStr">
        <is>
          <t>Buff-Casting Startup Delay (s, fixed-duration only)</t>
        </is>
      </c>
      <c r="B515">
        <f>IF(AND(Inputs!$B$38&lt;&gt;"pvp",Inputs!$B$43&gt;0),SUMPRODUCT((Skills!T2:T29&gt;0)*(Skills!E2:E29=TRUE)*(C478:C505=TRUE))/B510,0)</f>
        <v/>
      </c>
    </row>
    <row r="516">
      <c r="A516" t="inlineStr">
        <is>
          <t>Boss-Only Total DPS (this block's swept value)</t>
        </is>
      </c>
      <c r="B516">
        <f>SUM(T478:T505)</f>
        <v/>
      </c>
    </row>
    <row r="517">
      <c r="A517" t="inlineStr">
        <is>
          <t>Normal-Only Total DPS (this block's swept value)</t>
        </is>
      </c>
      <c r="B517">
        <f>SUM(V478:V505)</f>
        <v/>
      </c>
    </row>
    <row r="518">
      <c r="A518" s="6" t="inlineStr">
        <is>
          <t>TOTAL DPS</t>
        </is>
      </c>
      <c r="B518" s="6">
        <f>SUM(O478:O505)</f>
        <v/>
      </c>
    </row>
    <row r="521">
      <c r="A521" s="6" t="inlineStr">
        <is>
          <t>Stat: CRIT_RATE %</t>
        </is>
      </c>
    </row>
    <row r="522">
      <c r="A522" s="5" t="inlineStr">
        <is>
          <t>Key</t>
        </is>
      </c>
      <c r="B522" s="5" t="inlineStr">
        <is>
          <t>Name</t>
        </is>
      </c>
      <c r="C522" s="5" t="inlineStr">
        <is>
          <t>Unlocked</t>
        </is>
      </c>
      <c r="D522" s="5" t="inlineStr">
        <is>
          <t>InputLevel</t>
        </is>
      </c>
      <c r="E522" s="5" t="inlineStr">
        <is>
          <t>Factor</t>
        </is>
      </c>
      <c r="F522" s="5" t="inlineStr">
        <is>
          <t>CoefficientPercent</t>
        </is>
      </c>
      <c r="G522" s="5" t="inlineStr">
        <is>
          <t>EffectiveHits</t>
        </is>
      </c>
      <c r="H522" s="5" t="inlineStr">
        <is>
          <t>ProcProbability</t>
        </is>
      </c>
      <c r="I522" s="5" t="inlineStr">
        <is>
          <t>MapleHeroMultiplier</t>
        </is>
      </c>
      <c r="J522" s="5" t="inlineStr">
        <is>
          <t>BaseDamage</t>
        </is>
      </c>
      <c r="K522" s="5" t="inlineStr">
        <is>
          <t>BaseHitDamage</t>
        </is>
      </c>
      <c r="L522" s="5" t="inlineStr">
        <is>
          <t>NonCritAvg</t>
        </is>
      </c>
      <c r="M522" s="5" t="inlineStr">
        <is>
          <t>CritAvg</t>
        </is>
      </c>
      <c r="N522" s="5" t="inlineStr">
        <is>
          <t>ExpectedDamage(perHit)</t>
        </is>
      </c>
      <c r="O522" s="5" t="inlineStr">
        <is>
          <t>DPS</t>
        </is>
      </c>
      <c r="P522" s="5" t="inlineStr">
        <is>
          <t>% of Total</t>
        </is>
      </c>
      <c r="Q522" s="5" t="inlineStr">
        <is>
          <t>InvCooldown</t>
        </is>
      </c>
      <c r="R522" s="5" t="inlineStr">
        <is>
          <t>CastsInFight</t>
        </is>
      </c>
      <c r="S522" s="5" t="inlineStr">
        <is>
          <t>HitRate(perSec)</t>
        </is>
      </c>
      <c r="U522" t="inlineStr">
        <is>
          <t>helpers</t>
        </is>
      </c>
    </row>
    <row r="523">
      <c r="A523">
        <f>Skills!A2</f>
        <v/>
      </c>
      <c r="B523">
        <f>Skills!B2</f>
        <v/>
      </c>
      <c r="C523">
        <f>Inputs!$B$3&gt;=100</f>
        <v/>
      </c>
      <c r="D523" t="inlineStr"/>
      <c r="E523" t="inlineStr"/>
      <c r="F523">
        <f>U525+Skills!O2</f>
        <v/>
      </c>
      <c r="G523">
        <f>Skills!G2*IF(Skills!H2&gt;0,Skills!I2/Skills!H2,1)</f>
        <v/>
      </c>
      <c r="H523">
        <f>1-(1-Skills!J2/100)^Skills!K2</f>
        <v/>
      </c>
      <c r="I523" t="inlineStr">
        <is>
          <t>1</t>
        </is>
      </c>
      <c r="J523">
        <f>((Inputs!$B$6*(1+Inputs!$B$7/100))+(((Inputs!$B$12*(1+Inputs!$B$13/100))-(Inputs!$B$12*(1+Inputs!$B$13/100)))+0.25*(Inputs!$B$14-Inputs!$B$14))*(1+Inputs!$B$7/100))*(F523/100)</f>
        <v/>
      </c>
      <c r="K523">
        <f>J523*(1+((Inputs!$B$12*(1+Inputs!$B$13/100))*0.01+Inputs!$B$14*0.0025)/100)*(1+Inputs!$B$15/100)*(1+Inputs!$B$16/100)*(5000/(6000+Inputs!$B$42*(1-(100*(1-(1-(Inputs!$B$19+0)/100)*(1-CHOOSE(ArtifactsInput!$N$40+1,5,6,7,8,9,10)/100)^(ArtifactsInput!$M$40-ArtifactsInput!$M$40)))/100)))*(1+(Inputs!$B$24+((C545=TRUE)*(F545-Calc!F24))+((C546=TRUE)*(F546-Calc!F25))+B559)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EMPOWERED_PIERCING_ARROW",Inputs!$B$17+((C543=TRUE)*(F543-Calc!F22))+(((IF(AND(ArtifactsInput!$M$42,(((Inputs!$B$9+1)+((C540=TRUE)*(F540-Calc!F19))+B553+(ArtifactsInput!$M$24-ArtifactsInput!$M$24)*CHOOSE(ArtifactsInput!$N$24+1,10,12,14,16,18,20)+IF(ArtifactsInput!$M$10,CHOOSE(ArtifactsInput!$N$10+1,15,18,21,24,27,30)*(IF(Inputs!$B$38="pvp",MIN(15,15)/15,IF(AND(Inputs!$B$38&lt;&gt;"pvp",Inputs!$B$43&gt;0),MIN(15,Inputs!$B$43)/(Inputs!$B$43),0))),0)))&gt;=100),MIN(100,(((Inputs!$B$9+1)+((C540=TRUE)*(F540-Calc!F19))+B553+(ArtifactsInput!$M$24-ArtifactsInput!$M$24)*CHOOSE(ArtifactsInput!$N$24+1,10,12,14,16,18,20)+IF(ArtifactsInput!$M$10,CHOOSE(ArtifactsInput!$N$10+1,15,18,21,24,27,30)*(IF(Inputs!$B$38="pvp",MIN(15,15)/15,IF(AND(Inputs!$B$38&lt;&gt;"pvp",Inputs!$B$43&gt;0),MIN(15,Inputs!$B$43)/(Inputs!$B$43),0))),0)))-100),0))*CHOOSE(ArtifactsInput!$N$42+1,0.6,0.72,0.84,0.96,1.08,1.2))),Inputs!$B$18+((C548=TRUE)*(F548-Calc!F27))+(IF(AND(ArtifactsInput!$M$42,(((Inputs!$B$9+1)+((C540=TRUE)*(F540-Calc!F19))+B553+(ArtifactsInput!$M$24-ArtifactsInput!$M$24)*CHOOSE(ArtifactsInput!$N$24+1,10,12,14,16,18,20)+IF(ArtifactsInput!$M$10,CHOOSE(ArtifactsInput!$N$10+1,15,18,21,24,27,30)*(IF(Inputs!$B$38="pvp",MIN(15,15)/15,IF(AND(Inputs!$B$38&lt;&gt;"pvp",Inputs!$B$43&gt;0),MIN(15,Inputs!$B$43)/(Inputs!$B$43),0))),0)))&gt;=100),CHOOSE(ArtifactsInput!$N$42+1,40,48,56,64,72,80),0))))/100)*((1+(((C534=TRUE)*F534)+((C535=TRUE)*IF(Inputs!$B$38="pvp",F535,(1-Summary!$B$11)*(F535)+Summary!$B$11*(0)))+((C536=TRUE)*F536*IF(AND(Inputs!$B$38&lt;&gt;"pvp",Inputs!$B$43&gt;0),(((R536-1)*(Skills!T15*(1+Inputs!$B$34/100))+MIN((Skills!T15*(1+Inputs!$B$34/100)),MAX(0,Inputs!$B$43-((R536-1)*Skills!D15))))/Inputs!$B$43),IF(Inputs!$B$38="pvp",MIN((Skills!T15*(1+Inputs!$B$34/100)),15)/15,(Skills!T15*(1+Inputs!$B$34/100))/Skills!D15)))+((C533=TRUE)*F533)+((C550=TRUE)*(F550-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523)</f>
        <v/>
      </c>
      <c r="L523">
        <f>K523*(MIN(Inputs!$B$22+((C544=TRUE)*(F544-Calc!F23)),(Inputs!$B$23+((C549=TRUE)*(F549-Calc!F28))+(IF(ArtifactsInput!$M$15,CHOOSE(ArtifactsInput!$N$15+1,25,30,35,40,45,50)/100*(Inputs!$B$11-Inputs!$B$11),0))))/100+(Inputs!$B$23+((C549=TRUE)*(F549-Calc!F28))+(IF(ArtifactsInput!$M$15,CHOOSE(ArtifactsInput!$N$15+1,25,30,35,40,45,50)/100*(Inputs!$B$11-Inputs!$B$11),0)))/100)/2</f>
        <v/>
      </c>
      <c r="M523">
        <f>L523*(1+(Inputs!$B$10+0+B558+(IF(ArtifactsInput!$M$24,CHOOSE(ArtifactsInput!$N$24+1,30,36,42,48,54,60)/100*((Inputs!$B$9+1)-Inputs!$B$9),0)+IF(ArtifactsInput!$M$10,CHOOSE(ArtifactsInput!$N$10+1,20,24,28,32,36,40)*(IF(Inputs!$B$38="pvp",MIN(15,15)/15,IF(AND(Inputs!$B$38&lt;&gt;"pvp",Inputs!$B$43&gt;0),MIN(15,Inputs!$B$43)/(Inputs!$B$43),0))),0)+IF(ArtifactsInput!$M$31,1.5*CHOOSE(ArtifactsInput!$N$31+1,20,24,28,32,36,40),0)))/100)</f>
        <v/>
      </c>
      <c r="N523">
        <f>L523*(1-MIN(((Inputs!$B$9+1)+((C540=TRUE)*(F540-Calc!F19))+B553+(ArtifactsInput!$M$24-ArtifactsInput!$M$24)*CHOOSE(ArtifactsInput!$N$24+1,10,12,14,16,18,20)+(IF(AND(ArtifactsInput!$M$42,(((Inputs!$B$9+1)+((C540=TRUE)*(F540-Calc!F19))+B553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523*(MIN(((Inputs!$B$9+1)+((C540=TRUE)*(F540-Calc!F19))+B553+(ArtifactsInput!$M$24-ArtifactsInput!$M$24)*CHOOSE(ArtifactsInput!$N$24+1,10,12,14,16,18,20)+(IF(AND(ArtifactsInput!$M$42,(((Inputs!$B$9+1)+((C540=TRUE)*(F540-Calc!F19))+B553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523">
        <f>(1-Summary!$B$11)*T523+Summary!$B$11*V523</f>
        <v/>
      </c>
      <c r="P523">
        <f>IF(B563=0,0,O523/B563)</f>
        <v/>
      </c>
      <c r="Q523" t="n">
        <v>0</v>
      </c>
      <c r="R523" t="n">
        <v>0</v>
      </c>
      <c r="S523">
        <f>IFERROR((Skills!G2*N523*B557)/N523*IF(Inputs!$B$38="pvp",1,(1-Summary!$B$11)*1+Summary!$B$11*(MIN((6+Inputs!$B$33),Inputs!$B$37))),0)</f>
        <v/>
      </c>
      <c r="T523">
        <f>IF(C523,(Skills!G2*N523*B557)*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Hunt"),CHOOSE(ArtifactsInput!$N$35+1,15,18,21,24,27,30)*(1-EXP(-(0.2*B555)*5)),0)+IF(AND(ArtifactsInput!$M$22,Inputs!$B$4&lt;&gt;"Chapter Hunt"),CHOOSE(ArtifactsInput!$N$22+1,10,12,14,16,18,20)*((0*(((0.15*B555*5))^0/1)+1*(((0.15*B555*5))^1/1)+2*(((0.15*B555*5))^2/2)+3*(((0.15*B555*5))^3/6)+4*(((0.15*B555*5))^4/24)+5*(((0.15*B555*5))^5/120))/((((0.15*B555*5))^0/1)+(((0.15*B555*5))^1/1)+(((0.15*B555*5))^2/2)+(((0.15*B555*5))^3/6)+(((0.15*B555*5))^4/24)+(((0.15*B555*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523*(1-MIN(100,((Inputs!$B$9+1)+((C540=TRUE)*(F540-Calc!F19))+B553+(ArtifactsInput!$M$24-ArtifactsInput!$M$24)*CHOOSE(ArtifactsInput!$N$24+1,10,12,14,16,18,20)+(IF(AND(ArtifactsInput!$M$42,(((Inputs!$B$9+1)+((C540=TRUE)*(F540-Calc!F19))+B553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523*(MIN(100,((Inputs!$B$9+1)+((C540=TRUE)*(F540-Calc!F19))+B553+(ArtifactsInput!$M$24-ArtifactsInput!$M$24)*CHOOSE(ArtifactsInput!$N$24+1,10,12,14,16,18,20)+(IF(AND(ArtifactsInput!$M$42,(((Inputs!$B$9+1)+((C540=TRUE)*(F540-Calc!F19))+B553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523*(1-MIN(100,((Inputs!$B$9+1)+((C540=TRUE)*(F540-Calc!F19))+B553+(ArtifactsInput!$M$24-ArtifactsInput!$M$24)*CHOOSE(ArtifactsInput!$N$24+1,10,12,14,16,18,20)+(IF(AND(ArtifactsInput!$M$42,(((Inputs!$B$9+1)+((C540=TRUE)*(F540-Calc!F19))+B553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523*(MIN(100,((Inputs!$B$9+1)+((C540=TRUE)*(F540-Calc!F19))+B553+(ArtifactsInput!$M$24-ArtifactsInput!$M$24)*CHOOSE(ArtifactsInput!$N$24+1,10,12,14,16,18,20)+(IF(AND(ArtifactsInput!$M$42,(((Inputs!$B$9+1)+((C540=TRUE)*(F540-Calc!F19))+B553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523">
        <f>MAX(0,(Inputs!$B$3-100)*3)+Inputs!$B$28+Inputs!$B$29</f>
        <v/>
      </c>
      <c r="V523">
        <f>IF(C523,(Skills!G2*N523*B557)*IF(Inputs!$B$38="pvp",1,(1+(Inputs!$B$21+Skills!Q2+(IF(ArtifactsInput!$M$33,CHOOSE(ArtifactsInput!$N$33+1,30,36,42,48,54,60),0))+(IF(AND(ArtifactsInput!$M$35,Inputs!$B$4&lt;&gt;"Chapter Hunt"),CHOOSE(ArtifactsInput!$N$35+1,15,18,21,24,27,30)*(1-EXP(-(0.2*B555)*5)),0)+IF(AND(ArtifactsInput!$M$22,Inputs!$B$4&lt;&gt;"Chapter Hunt"),CHOOSE(ArtifactsInput!$N$22+1,10,12,14,16,18,20)*((0*(((0.15*B555*5))^0/1)+1*(((0.15*B555*5))^1/1)+2*(((0.15*B555*5))^2/2)+3*(((0.15*B555*5))^3/6)+4*(((0.15*B555*5))^4/24)+5*(((0.15*B555*5))^5/120))/((((0.15*B555*5))^0/1)+(((0.15*B555*5))^1/1)+(((0.15*B555*5))^2/2)+(((0.15*B555*5))^3/6)+(((0.15*B555*5))^4/24)+(((0.15*B555*5))^5/120)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524">
      <c r="A524">
        <f>Skills!A3</f>
        <v/>
      </c>
      <c r="B524">
        <f>Skills!B3</f>
        <v/>
      </c>
      <c r="C524">
        <f>Inputs!$B$3&gt;=50</f>
        <v/>
      </c>
      <c r="D524">
        <f>IF(Skills!C3=1,60+Inputs!$B$25+Inputs!$B$29,IF(Skills!C3=2,90+Inputs!$B$26+Inputs!$B$29,IF(Skills!C3=3,120+Inputs!$B$27+Inputs!$B$29,MAX(0,(Inputs!$B$3-100)*3)+Inputs!$B$28+Inputs!$B$29)))</f>
        <v/>
      </c>
      <c r="E524">
        <f>INDEX(FactorTable!$B$2:$Y$301, MATCH(ROUND(MIN(300,MAX(1,D524)),0), FactorTable!$A$2:$A$301,0), Skills!M3+1)</f>
        <v/>
      </c>
      <c r="F524">
        <f>IF(Skills!N3=TRUE,(Skills!L3/10)*(E524/1000),Skills!L3/10)+Skills!O3</f>
        <v/>
      </c>
      <c r="G524" t="inlineStr"/>
      <c r="H524" t="inlineStr"/>
      <c r="I524" t="inlineStr">
        <is>
          <t>1</t>
        </is>
      </c>
      <c r="J524" t="inlineStr"/>
      <c r="K524" t="inlineStr"/>
      <c r="L524" t="inlineStr"/>
      <c r="M524" t="inlineStr"/>
      <c r="N524" t="inlineStr"/>
      <c r="O524" t="inlineStr"/>
      <c r="P524" t="inlineStr"/>
      <c r="Q524" t="inlineStr"/>
      <c r="R524" t="inlineStr"/>
      <c r="S524" t="inlineStr"/>
      <c r="T524" t="inlineStr"/>
      <c r="U524">
        <f>INDEX(FactorTable!$B$2:$Y$301, MATCH(ROUND(MIN(300,MAX(1,U523)),0), FactorTable!$A$2:$A$301,0), 22)</f>
        <v/>
      </c>
      <c r="V524" t="inlineStr"/>
    </row>
    <row r="525">
      <c r="A525">
        <f>Skills!A4</f>
        <v/>
      </c>
      <c r="B525">
        <f>Skills!B4</f>
        <v/>
      </c>
      <c r="C525">
        <f>Inputs!$B$3&gt;=105</f>
        <v/>
      </c>
      <c r="D525">
        <f>IF(Skills!C4=1,60+Inputs!$B$25+Inputs!$B$29,IF(Skills!C4=2,90+Inputs!$B$26+Inputs!$B$29,IF(Skills!C4=3,120+Inputs!$B$27+Inputs!$B$29,MAX(0,(Inputs!$B$3-100)*3)+Inputs!$B$28+Inputs!$B$29)))</f>
        <v/>
      </c>
      <c r="E525">
        <f>INDEX(FactorTable!$B$2:$Y$301, MATCH(ROUND(MIN(300,MAX(1,D525)),0), FactorTable!$A$2:$A$301,0), Skills!M4+1)</f>
        <v/>
      </c>
      <c r="F525">
        <f>IF(Skills!N4=TRUE,(Skills!L4/10)*(E525/1000),Skills!L4/10)+Skills!O4</f>
        <v/>
      </c>
      <c r="G525" t="inlineStr"/>
      <c r="H525" t="inlineStr"/>
      <c r="I525" t="inlineStr">
        <is>
          <t>1</t>
        </is>
      </c>
      <c r="J525" t="inlineStr"/>
      <c r="K525" t="inlineStr"/>
      <c r="L525" t="inlineStr"/>
      <c r="M525" t="inlineStr"/>
      <c r="N525" t="inlineStr"/>
      <c r="O525" t="inlineStr"/>
      <c r="P525" t="inlineStr"/>
      <c r="Q525" t="inlineStr"/>
      <c r="R525" t="inlineStr"/>
      <c r="S525" t="inlineStr"/>
      <c r="T525" t="inlineStr"/>
      <c r="U525">
        <f>290*U524/1000</f>
        <v/>
      </c>
      <c r="V525" t="inlineStr"/>
    </row>
    <row r="526">
      <c r="A526">
        <f>Skills!A5</f>
        <v/>
      </c>
      <c r="B526">
        <f>Skills!B5</f>
        <v/>
      </c>
      <c r="C526">
        <f>Inputs!$B$3&gt;=35</f>
        <v/>
      </c>
      <c r="D526">
        <f>IF(Skills!C5=1,60+Inputs!$B$25+Inputs!$B$29,IF(Skills!C5=2,90+Inputs!$B$26+Inputs!$B$29,IF(Skills!C5=3,120+Inputs!$B$27+Inputs!$B$29,MAX(0,(Inputs!$B$3-100)*3)+Inputs!$B$28+Inputs!$B$29)))</f>
        <v/>
      </c>
      <c r="E526">
        <f>INDEX(FactorTable!$B$2:$Y$301, MATCH(ROUND(MIN(300,MAX(1,D526)),0), FactorTable!$A$2:$A$301,0), Skills!M5+1)</f>
        <v/>
      </c>
      <c r="F526">
        <f>IF(Skills!N5=TRUE,(Skills!L5/10)*(E526/1000),Skills!L5/10)+Skills!O5</f>
        <v/>
      </c>
      <c r="G526">
        <f>Skills!G5*IF(Skills!H5&gt;0,Skills!I5/Skills!H5,1)</f>
        <v/>
      </c>
      <c r="H526">
        <f>1-(1-Skills!J5/100)^Skills!K5</f>
        <v/>
      </c>
      <c r="I526" t="inlineStr">
        <is>
          <t>1</t>
        </is>
      </c>
      <c r="J526">
        <f>((Inputs!$B$6*(1+Inputs!$B$7/100))+(((Inputs!$B$12*(1+Inputs!$B$13/100))-(Inputs!$B$12*(1+Inputs!$B$13/100)))+0.25*(Inputs!$B$14-Inputs!$B$14))*(1+Inputs!$B$7/100))*(F526/100)</f>
        <v/>
      </c>
      <c r="K526">
        <f>J526*(1+((Inputs!$B$12*(1+Inputs!$B$13/100))*0.01+Inputs!$B$14*0.0025)/100)*(1+Inputs!$B$15/100)*(1+Inputs!$B$16/100)*(5000/(6000+Inputs!$B$42*(1-(100*(1-(1-(Inputs!$B$19+0)/100)*(1-CHOOSE(ArtifactsInput!$N$40+1,5,6,7,8,9,10)/100)^(ArtifactsInput!$M$40-ArtifactsInput!$M$40)))/100)))*(1+(Inputs!$B$24+((C545=TRUE)*(F545-Calc!F24))+((C546=TRUE)*(F546-Calc!F25))+B559)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529=TRUE,F529,0)/100)*(1+(IF(Skills!A5="EMPOWERED_PIERCING_ARROW",Inputs!$B$17+((C543=TRUE)*(F543-Calc!F22))+(((IF(AND(ArtifactsInput!$M$42,(((Inputs!$B$9+1)+((C540=TRUE)*(F540-Calc!F19))+B553+(ArtifactsInput!$M$24-ArtifactsInput!$M$24)*CHOOSE(ArtifactsInput!$N$24+1,10,12,14,16,18,20)+IF(ArtifactsInput!$M$10,CHOOSE(ArtifactsInput!$N$10+1,15,18,21,24,27,30)*(IF(Inputs!$B$38="pvp",MIN(15,15)/15,IF(AND(Inputs!$B$38&lt;&gt;"pvp",Inputs!$B$43&gt;0),MIN(15,Inputs!$B$43)/(Inputs!$B$43),0))),0)))&gt;=100),MIN(100,(((Inputs!$B$9+1)+((C540=TRUE)*(F540-Calc!F19))+B553+(ArtifactsInput!$M$24-ArtifactsInput!$M$24)*CHOOSE(ArtifactsInput!$N$24+1,10,12,14,16,18,20)+IF(ArtifactsInput!$M$10,CHOOSE(ArtifactsInput!$N$10+1,15,18,21,24,27,30)*(IF(Inputs!$B$38="pvp",MIN(15,15)/15,IF(AND(Inputs!$B$38&lt;&gt;"pvp",Inputs!$B$43&gt;0),MIN(15,Inputs!$B$43)/(Inputs!$B$43),0))),0)))-100),0))*CHOOSE(ArtifactsInput!$N$42+1,0.6,0.72,0.84,0.96,1.08,1.2))),Inputs!$B$18+((C548=TRUE)*(F548-Calc!F27))+(IF(AND(ArtifactsInput!$M$42,(((Inputs!$B$9+1)+((C540=TRUE)*(F540-Calc!F19))+B553+(ArtifactsInput!$M$24-ArtifactsInput!$M$24)*CHOOSE(ArtifactsInput!$N$24+1,10,12,14,16,18,20)+IF(ArtifactsInput!$M$10,CHOOSE(ArtifactsInput!$N$10+1,15,18,21,24,27,30)*(IF(Inputs!$B$38="pvp",MIN(15,15)/15,IF(AND(Inputs!$B$38&lt;&gt;"pvp",Inputs!$B$43&gt;0),MIN(15,Inputs!$B$43)/(Inputs!$B$43),0))),0)))&gt;=100),CHOOSE(ArtifactsInput!$N$42+1,40,48,56,64,72,80),0))))/100)*((1+(((C534=TRUE)*F534)+((C535=TRUE)*IF(Inputs!$B$38="pvp",F535,(1-Summary!$B$11)*(F535)+Summary!$B$11*(0)))+((C536=TRUE)*F536*IF(AND(Inputs!$B$38&lt;&gt;"pvp",Inputs!$B$43&gt;0),(((R536-1)*(Skills!T15*(1+Inputs!$B$34/100))+MIN((Skills!T15*(1+Inputs!$B$34/100)),MAX(0,Inputs!$B$43-((R536-1)*Skills!D15))))/Inputs!$B$43),IF(Inputs!$B$38="pvp",MIN((Skills!T15*(1+Inputs!$B$34/100)),15)/15,(Skills!T15*(1+Inputs!$B$34/100))/Skills!D15)))+((C533=TRUE)*F533)+((C550=TRUE)*(F550-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526)</f>
        <v/>
      </c>
      <c r="L526">
        <f>K526*(MIN(Inputs!$B$22+((C544=TRUE)*(F544-Calc!F23)),(Inputs!$B$23+((C549=TRUE)*(F549-Calc!F28))+(IF(ArtifactsInput!$M$15,CHOOSE(ArtifactsInput!$N$15+1,25,30,35,40,45,50)/100*(Inputs!$B$11-Inputs!$B$11),0))))/100+(Inputs!$B$23+((C549=TRUE)*(F549-Calc!F28))+(IF(ArtifactsInput!$M$15,CHOOSE(ArtifactsInput!$N$15+1,25,30,35,40,45,50)/100*(Inputs!$B$11-Inputs!$B$11),0)))/100)/2</f>
        <v/>
      </c>
      <c r="M526">
        <f>L526*(1+(Inputs!$B$10+0+B558+(IF(ArtifactsInput!$M$24,CHOOSE(ArtifactsInput!$N$24+1,30,36,42,48,54,60)/100*((Inputs!$B$9+1)-Inputs!$B$9),0)+IF(ArtifactsInput!$M$10,CHOOSE(ArtifactsInput!$N$10+1,20,24,28,32,36,40)*(IF(Inputs!$B$38="pvp",MIN(15,15)/15,IF(AND(Inputs!$B$38&lt;&gt;"pvp",Inputs!$B$43&gt;0),MIN(15,Inputs!$B$43)/(Inputs!$B$43),0))),0)+IF(ArtifactsInput!$M$31,1.5*CHOOSE(ArtifactsInput!$N$31+1,20,24,28,32,36,40),0)))/100)</f>
        <v/>
      </c>
      <c r="N526">
        <f>L526*(1-MIN(((Inputs!$B$9+1)+((C540=TRUE)*(F540-Calc!F19))+B553+(ArtifactsInput!$M$24-ArtifactsInput!$M$24)*CHOOSE(ArtifactsInput!$N$24+1,10,12,14,16,18,20)+(IF(AND(ArtifactsInput!$M$42,(((Inputs!$B$9+1)+((C540=TRUE)*(F540-Calc!F19))+B553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526*(MIN(((Inputs!$B$9+1)+((C540=TRUE)*(F540-Calc!F19))+B553+(ArtifactsInput!$M$24-ArtifactsInput!$M$24)*CHOOSE(ArtifactsInput!$N$24+1,10,12,14,16,18,20)+(IF(AND(ArtifactsInput!$M$42,(((Inputs!$B$9+1)+((C540=TRUE)*(F540-Calc!F19))+B553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526">
        <f>(1-Summary!$B$11)*T526+Summary!$B$11*V526</f>
        <v/>
      </c>
      <c r="P526">
        <f>IF(B563=0,0,O526/B563)</f>
        <v/>
      </c>
      <c r="Q526">
        <f>IFERROR(1/IF(Inputs!$B$38="pvp",15,MAX(0.1,Skills!D5-IF(Skills!E5=TRUE,Inputs!$B$32,0))),0)</f>
        <v/>
      </c>
      <c r="R526">
        <f>IF(AND(Inputs!$B$38&lt;&gt;"pvp",Inputs!$B$43&gt;0),IF(MAX(0,Inputs!$B$43-B560)&lt;=0,0,(INT(MAX(0,Inputs!$B$43-B560)/IF(Inputs!$B$38="pvp",15,MAX(0.1,Skills!D5-IF(Skills!E5=TRUE,Inputs!$B$32,0))))+1)),0)</f>
        <v/>
      </c>
      <c r="S526">
        <f>IFERROR((H526*N526*IF(AND(Inputs!$B$38&lt;&gt;"pvp",Inputs!$B$43&gt;0),((Skills!G5*((R526-1)*IF(Skills!H5&gt;0,Skills!I5/Skills!H5,1)+IF(Skills!H5&gt;0,MIN(Skills!I5,MAX(0,MAX(0,Inputs!$B$43-B560)-((R526-1)*IF(Inputs!$B$38="pvp",15,MAX(0.1,Skills!D5-IF(Skills!E5=TRUE,Inputs!$B$32,0))))))/Skills!H5,1)))/Inputs!$B$43),G526*Q526))/N526*IF(Inputs!$B$38="pvp",1,(1-Summary!$B$11)*1+Summary!$B$11*(MIN(Skills!R5,Inputs!$B$37))),0)</f>
        <v/>
      </c>
      <c r="T526">
        <f>IF(C526,(H526*N526*IF(AND(Inputs!$B$38&lt;&gt;"pvp",Inputs!$B$43&gt;0),((Skills!G5*((R526-1)*IF(Skills!H5&gt;0,Skills!I5/Skills!H5,1)+IF(Skills!H5&gt;0,MIN(Skills!I5,MAX(0,MAX(0,Inputs!$B$43-B560)-((R526-1)*IF(Inputs!$B$38="pvp",15,MAX(0.1,Skills!D5-IF(Skills!E5=TRUE,Inputs!$B$32,0))))))/Skills!H5,1)))/Inputs!$B$43),G526*Q526))*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Hunt"),CHOOSE(ArtifactsInput!$N$35+1,15,18,21,24,27,30)*(1-EXP(-(0.2*B555)*5)),0)+IF(AND(ArtifactsInput!$M$22,Inputs!$B$4&lt;&gt;"Chapter Hunt"),CHOOSE(ArtifactsInput!$N$22+1,10,12,14,16,18,20)*((0*(((0.15*B555*5))^0/1)+1*(((0.15*B555*5))^1/1)+2*(((0.15*B555*5))^2/2)+3*(((0.15*B555*5))^3/6)+4*(((0.15*B555*5))^4/24)+5*(((0.15*B555*5))^5/120))/((((0.15*B555*5))^0/1)+(((0.15*B555*5))^1/1)+(((0.15*B555*5))^2/2)+(((0.15*B555*5))^3/6)+(((0.15*B555*5))^4/24)+(((0.15*B555*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526*(1-MIN(100,((Inputs!$B$9+1)+((C540=TRUE)*(F540-Calc!F19))+B553+(ArtifactsInput!$M$24-ArtifactsInput!$M$24)*CHOOSE(ArtifactsInput!$N$24+1,10,12,14,16,18,20)+(IF(AND(ArtifactsInput!$M$42,(((Inputs!$B$9+1)+((C540=TRUE)*(F540-Calc!F19))+B553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526*(MIN(100,((Inputs!$B$9+1)+((C540=TRUE)*(F540-Calc!F19))+B553+(ArtifactsInput!$M$24-ArtifactsInput!$M$24)*CHOOSE(ArtifactsInput!$N$24+1,10,12,14,16,18,20)+(IF(AND(ArtifactsInput!$M$42,(((Inputs!$B$9+1)+((C540=TRUE)*(F540-Calc!F19))+B553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526*(1-MIN(100,((Inputs!$B$9+1)+((C540=TRUE)*(F540-Calc!F19))+B553+(ArtifactsInput!$M$24-ArtifactsInput!$M$24)*CHOOSE(ArtifactsInput!$N$24+1,10,12,14,16,18,20)+(IF(AND(ArtifactsInput!$M$42,(((Inputs!$B$9+1)+((C540=TRUE)*(F540-Calc!F19))+B553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526*(MIN(100,((Inputs!$B$9+1)+((C540=TRUE)*(F540-Calc!F19))+B553+(ArtifactsInput!$M$24-ArtifactsInput!$M$24)*CHOOSE(ArtifactsInput!$N$24+1,10,12,14,16,18,20)+(IF(AND(ArtifactsInput!$M$42,(((Inputs!$B$9+1)+((C540=TRUE)*(F540-Calc!F19))+B553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526">
        <f>IF(C526,(H526*N526*IF(AND(Inputs!$B$38&lt;&gt;"pvp",Inputs!$B$43&gt;0),((Skills!G5*((R526-1)*IF(Skills!H5&gt;0,Skills!I5/Skills!H5,1)+IF(Skills!H5&gt;0,MIN(Skills!I5,MAX(0,MAX(0,Inputs!$B$43-B560)-((R526-1)*IF(Inputs!$B$38="pvp",15,MAX(0.1,Skills!D5-IF(Skills!E5=TRUE,Inputs!$B$32,0))))))/Skills!H5,1)))/Inputs!$B$43),G526*Q526))*IF(Inputs!$B$38="pvp",1,(1+(Inputs!$B$21+Skills!Q5+(IF(ArtifactsInput!$M$33,CHOOSE(ArtifactsInput!$N$33+1,30,36,42,48,54,60),0))+(IF(AND(ArtifactsInput!$M$35,Inputs!$B$4&lt;&gt;"Chapter Hunt"),CHOOSE(ArtifactsInput!$N$35+1,15,18,21,24,27,30)*(1-EXP(-(0.2*B555)*5)),0)+IF(AND(ArtifactsInput!$M$22,Inputs!$B$4&lt;&gt;"Chapter Hunt"),CHOOSE(ArtifactsInput!$N$22+1,10,12,14,16,18,20)*((0*(((0.15*B555*5))^0/1)+1*(((0.15*B555*5))^1/1)+2*(((0.15*B555*5))^2/2)+3*(((0.15*B555*5))^3/6)+4*(((0.15*B555*5))^4/24)+5*(((0.15*B555*5))^5/120))/((((0.15*B555*5))^0/1)+(((0.15*B555*5))^1/1)+(((0.15*B555*5))^2/2)+(((0.15*B555*5))^3/6)+(((0.15*B555*5))^4/24)+(((0.15*B555*5))^5/120)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527">
      <c r="A527">
        <f>Skills!A6</f>
        <v/>
      </c>
      <c r="B527">
        <f>Skills!B6</f>
        <v/>
      </c>
      <c r="C527">
        <f>Inputs!$B$3&gt;=63</f>
        <v/>
      </c>
      <c r="D527">
        <f>IF(Skills!C6=1,60+Inputs!$B$25+Inputs!$B$29,IF(Skills!C6=2,90+Inputs!$B$26+Inputs!$B$29,IF(Skills!C6=3,120+Inputs!$B$27+Inputs!$B$29,MAX(0,(Inputs!$B$3-100)*3)+Inputs!$B$28+Inputs!$B$29)))</f>
        <v/>
      </c>
      <c r="E527">
        <f>INDEX(FactorTable!$B$2:$Y$301, MATCH(ROUND(MIN(300,MAX(1,D527)),0), FactorTable!$A$2:$A$301,0), Skills!M6+1)</f>
        <v/>
      </c>
      <c r="F527">
        <f>IF(Skills!N6=TRUE,(Skills!L6/10)*(E527/1000),Skills!L6/10)+Skills!O6</f>
        <v/>
      </c>
      <c r="G527">
        <f>Skills!G6*IF(Skills!H6&gt;0,Skills!I6/Skills!H6,1)</f>
        <v/>
      </c>
      <c r="H527">
        <f>1-(1-Skills!J6/100)^Skills!K6</f>
        <v/>
      </c>
      <c r="I527" t="inlineStr">
        <is>
          <t>1</t>
        </is>
      </c>
      <c r="J527">
        <f>((Inputs!$B$6*(1+Inputs!$B$7/100))+(((Inputs!$B$12*(1+Inputs!$B$13/100))-(Inputs!$B$12*(1+Inputs!$B$13/100)))+0.25*(Inputs!$B$14-Inputs!$B$14))*(1+Inputs!$B$7/100))*(F527/100)</f>
        <v/>
      </c>
      <c r="K527">
        <f>J527*(1+((Inputs!$B$12*(1+Inputs!$B$13/100))*0.01+Inputs!$B$14*0.0025)/100)*(1+Inputs!$B$15/100)*(1+Inputs!$B$16/100)*(5000/(6000+Inputs!$B$42*(1-(100*(1-(1-(Inputs!$B$19+0)/100)*(1-CHOOSE(ArtifactsInput!$N$40+1,5,6,7,8,9,10)/100)^(ArtifactsInput!$M$40-ArtifactsInput!$M$40)))/100)))*(1+(Inputs!$B$24+((C545=TRUE)*(F545-Calc!F24))+((C546=TRUE)*(F546-Calc!F25))+B559)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529=TRUE,F529,0)/100)*(1+(IF(Skills!A6="EMPOWERED_PIERCING_ARROW",Inputs!$B$17+((C543=TRUE)*(F543-Calc!F22))+(((IF(AND(ArtifactsInput!$M$42,(((Inputs!$B$9+1)+((C540=TRUE)*(F540-Calc!F19))+B553+(ArtifactsInput!$M$24-ArtifactsInput!$M$24)*CHOOSE(ArtifactsInput!$N$24+1,10,12,14,16,18,20)+IF(ArtifactsInput!$M$10,CHOOSE(ArtifactsInput!$N$10+1,15,18,21,24,27,30)*(IF(Inputs!$B$38="pvp",MIN(15,15)/15,IF(AND(Inputs!$B$38&lt;&gt;"pvp",Inputs!$B$43&gt;0),MIN(15,Inputs!$B$43)/(Inputs!$B$43),0))),0)))&gt;=100),MIN(100,(((Inputs!$B$9+1)+((C540=TRUE)*(F540-Calc!F19))+B553+(ArtifactsInput!$M$24-ArtifactsInput!$M$24)*CHOOSE(ArtifactsInput!$N$24+1,10,12,14,16,18,20)+IF(ArtifactsInput!$M$10,CHOOSE(ArtifactsInput!$N$10+1,15,18,21,24,27,30)*(IF(Inputs!$B$38="pvp",MIN(15,15)/15,IF(AND(Inputs!$B$38&lt;&gt;"pvp",Inputs!$B$43&gt;0),MIN(15,Inputs!$B$43)/(Inputs!$B$43),0))),0)))-100),0))*CHOOSE(ArtifactsInput!$N$42+1,0.6,0.72,0.84,0.96,1.08,1.2))),Inputs!$B$18+((C548=TRUE)*(F548-Calc!F27))+(IF(AND(ArtifactsInput!$M$42,(((Inputs!$B$9+1)+((C540=TRUE)*(F540-Calc!F19))+B553+(ArtifactsInput!$M$24-ArtifactsInput!$M$24)*CHOOSE(ArtifactsInput!$N$24+1,10,12,14,16,18,20)+IF(ArtifactsInput!$M$10,CHOOSE(ArtifactsInput!$N$10+1,15,18,21,24,27,30)*(IF(Inputs!$B$38="pvp",MIN(15,15)/15,IF(AND(Inputs!$B$38&lt;&gt;"pvp",Inputs!$B$43&gt;0),MIN(15,Inputs!$B$43)/(Inputs!$B$43),0))),0)))&gt;=100),CHOOSE(ArtifactsInput!$N$42+1,40,48,56,64,72,80),0))))/100)*((1+(((C534=TRUE)*F534)+((C535=TRUE)*IF(Inputs!$B$38="pvp",F535,(1-Summary!$B$11)*(F535)+Summary!$B$11*(0)))+((C536=TRUE)*F536*IF(AND(Inputs!$B$38&lt;&gt;"pvp",Inputs!$B$43&gt;0),(((R536-1)*(Skills!T15*(1+Inputs!$B$34/100))+MIN((Skills!T15*(1+Inputs!$B$34/100)),MAX(0,Inputs!$B$43-((R536-1)*Skills!D15))))/Inputs!$B$43),IF(Inputs!$B$38="pvp",MIN((Skills!T15*(1+Inputs!$B$34/100)),15)/15,(Skills!T15*(1+Inputs!$B$34/100))/Skills!D15)))+((C533=TRUE)*F533)+((C550=TRUE)*(F550-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527)</f>
        <v/>
      </c>
      <c r="L527">
        <f>K527*(MIN(Inputs!$B$22+((C544=TRUE)*(F544-Calc!F23)),(Inputs!$B$23+((C549=TRUE)*(F549-Calc!F28))+(IF(ArtifactsInput!$M$15,CHOOSE(ArtifactsInput!$N$15+1,25,30,35,40,45,50)/100*(Inputs!$B$11-Inputs!$B$11),0))))/100+(Inputs!$B$23+((C549=TRUE)*(F549-Calc!F28))+(IF(ArtifactsInput!$M$15,CHOOSE(ArtifactsInput!$N$15+1,25,30,35,40,45,50)/100*(Inputs!$B$11-Inputs!$B$11),0)))/100)/2</f>
        <v/>
      </c>
      <c r="M527">
        <f>L527*(1+(Inputs!$B$10+0+B558+(IF(ArtifactsInput!$M$24,CHOOSE(ArtifactsInput!$N$24+1,30,36,42,48,54,60)/100*((Inputs!$B$9+1)-Inputs!$B$9),0)+IF(ArtifactsInput!$M$10,CHOOSE(ArtifactsInput!$N$10+1,20,24,28,32,36,40)*(IF(Inputs!$B$38="pvp",MIN(15,15)/15,IF(AND(Inputs!$B$38&lt;&gt;"pvp",Inputs!$B$43&gt;0),MIN(15,Inputs!$B$43)/(Inputs!$B$43),0))),0)+IF(ArtifactsInput!$M$31,1.5*CHOOSE(ArtifactsInput!$N$31+1,20,24,28,32,36,40),0)))/100)</f>
        <v/>
      </c>
      <c r="N527">
        <f>L527*(1-MIN(((Inputs!$B$9+1)+((C540=TRUE)*(F540-Calc!F19))+B553+(ArtifactsInput!$M$24-ArtifactsInput!$M$24)*CHOOSE(ArtifactsInput!$N$24+1,10,12,14,16,18,20)+(IF(AND(ArtifactsInput!$M$42,(((Inputs!$B$9+1)+((C540=TRUE)*(F540-Calc!F19))+B553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527*(MIN(((Inputs!$B$9+1)+((C540=TRUE)*(F540-Calc!F19))+B553+(ArtifactsInput!$M$24-ArtifactsInput!$M$24)*CHOOSE(ArtifactsInput!$N$24+1,10,12,14,16,18,20)+(IF(AND(ArtifactsInput!$M$42,(((Inputs!$B$9+1)+((C540=TRUE)*(F540-Calc!F19))+B553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527">
        <f>(1-Summary!$B$11)*T527+Summary!$B$11*V527</f>
        <v/>
      </c>
      <c r="P527">
        <f>IF(B563=0,0,O527/B563)</f>
        <v/>
      </c>
      <c r="Q527">
        <f>IFERROR(1/IF(Inputs!$B$38="pvp",15,MAX(0.1,Skills!D6-IF(Skills!E6=TRUE,Inputs!$B$32,0))),0)</f>
        <v/>
      </c>
      <c r="R527">
        <f>IF(AND(Inputs!$B$38&lt;&gt;"pvp",Inputs!$B$43&gt;0),IF(MAX(0,Inputs!$B$43-B560)&lt;=0,0,(INT(MAX(0,Inputs!$B$43-B560)/IF(Inputs!$B$38="pvp",15,MAX(0.1,Skills!D6-IF(Skills!E6=TRUE,Inputs!$B$32,0))))+1)),0)</f>
        <v/>
      </c>
      <c r="S527">
        <f>IFERROR((H527*N527*IF(AND(Inputs!$B$38&lt;&gt;"pvp",Inputs!$B$43&gt;0),((Skills!G6*((R527-1)*IF(Skills!H6&gt;0,Skills!I6/Skills!H6,1)+IF(Skills!H6&gt;0,MIN(Skills!I6,MAX(0,MAX(0,Inputs!$B$43-B560)-((R527-1)*IF(Inputs!$B$38="pvp",15,MAX(0.1,Skills!D6-IF(Skills!E6=TRUE,Inputs!$B$32,0))))))/Skills!H6,1)))/Inputs!$B$43),G527*Q527))/N527*IF(Inputs!$B$38="pvp",1,(1-Summary!$B$11)*1+Summary!$B$11*(MIN(Skills!R6,Inputs!$B$37))),0)</f>
        <v/>
      </c>
      <c r="T527">
        <f>IF(C527,(H527*N527*IF(AND(Inputs!$B$38&lt;&gt;"pvp",Inputs!$B$43&gt;0),((Skills!G6*((R527-1)*IF(Skills!H6&gt;0,Skills!I6/Skills!H6,1)+IF(Skills!H6&gt;0,MIN(Skills!I6,MAX(0,MAX(0,Inputs!$B$43-B560)-((R527-1)*IF(Inputs!$B$38="pvp",15,MAX(0.1,Skills!D6-IF(Skills!E6=TRUE,Inputs!$B$32,0))))))/Skills!H6,1)))/Inputs!$B$43),G527*Q527))*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Hunt"),CHOOSE(ArtifactsInput!$N$35+1,15,18,21,24,27,30)*(1-EXP(-(0.2*B555)*5)),0)+IF(AND(ArtifactsInput!$M$22,Inputs!$B$4&lt;&gt;"Chapter Hunt"),CHOOSE(ArtifactsInput!$N$22+1,10,12,14,16,18,20)*((0*(((0.15*B555*5))^0/1)+1*(((0.15*B555*5))^1/1)+2*(((0.15*B555*5))^2/2)+3*(((0.15*B555*5))^3/6)+4*(((0.15*B555*5))^4/24)+5*(((0.15*B555*5))^5/120))/((((0.15*B555*5))^0/1)+(((0.15*B555*5))^1/1)+(((0.15*B555*5))^2/2)+(((0.15*B555*5))^3/6)+(((0.15*B555*5))^4/24)+(((0.15*B555*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527*(1-MIN(100,((Inputs!$B$9+1)+((C540=TRUE)*(F540-Calc!F19))+B553+(ArtifactsInput!$M$24-ArtifactsInput!$M$24)*CHOOSE(ArtifactsInput!$N$24+1,10,12,14,16,18,20)+(IF(AND(ArtifactsInput!$M$42,(((Inputs!$B$9+1)+((C540=TRUE)*(F540-Calc!F19))+B553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527*(MIN(100,((Inputs!$B$9+1)+((C540=TRUE)*(F540-Calc!F19))+B553+(ArtifactsInput!$M$24-ArtifactsInput!$M$24)*CHOOSE(ArtifactsInput!$N$24+1,10,12,14,16,18,20)+(IF(AND(ArtifactsInput!$M$42,(((Inputs!$B$9+1)+((C540=TRUE)*(F540-Calc!F19))+B553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527*(1-MIN(100,((Inputs!$B$9+1)+((C540=TRUE)*(F540-Calc!F19))+B553+(ArtifactsInput!$M$24-ArtifactsInput!$M$24)*CHOOSE(ArtifactsInput!$N$24+1,10,12,14,16,18,20)+(IF(AND(ArtifactsInput!$M$42,(((Inputs!$B$9+1)+((C540=TRUE)*(F540-Calc!F19))+B553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527*(MIN(100,((Inputs!$B$9+1)+((C540=TRUE)*(F540-Calc!F19))+B553+(ArtifactsInput!$M$24-ArtifactsInput!$M$24)*CHOOSE(ArtifactsInput!$N$24+1,10,12,14,16,18,20)+(IF(AND(ArtifactsInput!$M$42,(((Inputs!$B$9+1)+((C540=TRUE)*(F540-Calc!F19))+B553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527">
        <f>IF(C527,(H527*N527*IF(AND(Inputs!$B$38&lt;&gt;"pvp",Inputs!$B$43&gt;0),((Skills!G6*((R527-1)*IF(Skills!H6&gt;0,Skills!I6/Skills!H6,1)+IF(Skills!H6&gt;0,MIN(Skills!I6,MAX(0,MAX(0,Inputs!$B$43-B560)-((R527-1)*IF(Inputs!$B$38="pvp",15,MAX(0.1,Skills!D6-IF(Skills!E6=TRUE,Inputs!$B$32,0))))))/Skills!H6,1)))/Inputs!$B$43),G527*Q527))*IF(Inputs!$B$38="pvp",1,(1+(Inputs!$B$21+Skills!Q6+(IF(ArtifactsInput!$M$33,CHOOSE(ArtifactsInput!$N$33+1,30,36,42,48,54,60),0))+(IF(AND(ArtifactsInput!$M$35,Inputs!$B$4&lt;&gt;"Chapter Hunt"),CHOOSE(ArtifactsInput!$N$35+1,15,18,21,24,27,30)*(1-EXP(-(0.2*B555)*5)),0)+IF(AND(ArtifactsInput!$M$22,Inputs!$B$4&lt;&gt;"Chapter Hunt"),CHOOSE(ArtifactsInput!$N$22+1,10,12,14,16,18,20)*((0*(((0.15*B555*5))^0/1)+1*(((0.15*B555*5))^1/1)+2*(((0.15*B555*5))^2/2)+3*(((0.15*B555*5))^3/6)+4*(((0.15*B555*5))^4/24)+5*(((0.15*B555*5))^5/120))/((((0.15*B555*5))^0/1)+(((0.15*B555*5))^1/1)+(((0.15*B555*5))^2/2)+(((0.15*B555*5))^3/6)+(((0.15*B555*5))^4/24)+(((0.15*B555*5))^5/120))),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528">
      <c r="A528">
        <f>Skills!A7</f>
        <v/>
      </c>
      <c r="B528">
        <f>Skills!B7</f>
        <v/>
      </c>
      <c r="C528">
        <f>Inputs!$B$3&gt;=69</f>
        <v/>
      </c>
      <c r="D528">
        <f>IF(Skills!C7=1,60+Inputs!$B$25+Inputs!$B$29,IF(Skills!C7=2,90+Inputs!$B$26+Inputs!$B$29,IF(Skills!C7=3,120+Inputs!$B$27+Inputs!$B$29,MAX(0,(Inputs!$B$3-100)*3)+Inputs!$B$28+Inputs!$B$29)))</f>
        <v/>
      </c>
      <c r="E528">
        <f>INDEX(FactorTable!$B$2:$Y$301, MATCH(ROUND(MIN(300,MAX(1,D528)),0), FactorTable!$A$2:$A$301,0), Skills!M7+1)</f>
        <v/>
      </c>
      <c r="F528">
        <f>IF(Skills!N7=TRUE,(Skills!L7/10)*(E528/1000),Skills!L7/10)+Skills!O7</f>
        <v/>
      </c>
      <c r="G528">
        <f>Skills!G7*IF(Skills!H7&gt;0,Skills!I7/Skills!H7,1)</f>
        <v/>
      </c>
      <c r="H528">
        <f>1-(1-Skills!J7/100)^Skills!K7</f>
        <v/>
      </c>
      <c r="I528" t="inlineStr">
        <is>
          <t>1</t>
        </is>
      </c>
      <c r="J528">
        <f>((Inputs!$B$6*(1+Inputs!$B$7/100))+(((Inputs!$B$12*(1+Inputs!$B$13/100))-(Inputs!$B$12*(1+Inputs!$B$13/100)))+0.25*(Inputs!$B$14-Inputs!$B$14))*(1+Inputs!$B$7/100))*(F528/100)</f>
        <v/>
      </c>
      <c r="K528">
        <f>J528*(1+((Inputs!$B$12*(1+Inputs!$B$13/100))*0.01+Inputs!$B$14*0.0025)/100)*(1+Inputs!$B$15/100)*(1+Inputs!$B$16/100)*(5000/(6000+Inputs!$B$42*(1-(100*(1-(1-(Inputs!$B$19+0)/100)*(1-CHOOSE(ArtifactsInput!$N$40+1,5,6,7,8,9,10)/100)^(ArtifactsInput!$M$40-ArtifactsInput!$M$40)))/100)))*(1+(Inputs!$B$24+((C545=TRUE)*(F545-Calc!F24))+((C546=TRUE)*(F546-Calc!F25))+B559)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+1.2*IF(C529=TRUE,F529,0)/100)*(1+(IF(Skills!A7="EMPOWERED_PIERCING_ARROW",Inputs!$B$17+((C543=TRUE)*(F543-Calc!F22))+(((IF(AND(ArtifactsInput!$M$42,(((Inputs!$B$9+1)+((C540=TRUE)*(F540-Calc!F19))+B553+(ArtifactsInput!$M$24-ArtifactsInput!$M$24)*CHOOSE(ArtifactsInput!$N$24+1,10,12,14,16,18,20)+IF(ArtifactsInput!$M$10,CHOOSE(ArtifactsInput!$N$10+1,15,18,21,24,27,30)*(IF(Inputs!$B$38="pvp",MIN(15,15)/15,IF(AND(Inputs!$B$38&lt;&gt;"pvp",Inputs!$B$43&gt;0),MIN(15,Inputs!$B$43)/(Inputs!$B$43),0))),0)))&gt;=100),MIN(100,(((Inputs!$B$9+1)+((C540=TRUE)*(F540-Calc!F19))+B553+(ArtifactsInput!$M$24-ArtifactsInput!$M$24)*CHOOSE(ArtifactsInput!$N$24+1,10,12,14,16,18,20)+IF(ArtifactsInput!$M$10,CHOOSE(ArtifactsInput!$N$10+1,15,18,21,24,27,30)*(IF(Inputs!$B$38="pvp",MIN(15,15)/15,IF(AND(Inputs!$B$38&lt;&gt;"pvp",Inputs!$B$43&gt;0),MIN(15,Inputs!$B$43)/(Inputs!$B$43),0))),0)))-100),0))*CHOOSE(ArtifactsInput!$N$42+1,0.6,0.72,0.84,0.96,1.08,1.2))),Inputs!$B$18+((C548=TRUE)*(F548-Calc!F27))+(IF(AND(ArtifactsInput!$M$42,(((Inputs!$B$9+1)+((C540=TRUE)*(F540-Calc!F19))+B553+(ArtifactsInput!$M$24-ArtifactsInput!$M$24)*CHOOSE(ArtifactsInput!$N$24+1,10,12,14,16,18,20)+IF(ArtifactsInput!$M$10,CHOOSE(ArtifactsInput!$N$10+1,15,18,21,24,27,30)*(IF(Inputs!$B$38="pvp",MIN(15,15)/15,IF(AND(Inputs!$B$38&lt;&gt;"pvp",Inputs!$B$43&gt;0),MIN(15,Inputs!$B$43)/(Inputs!$B$43),0))),0)))&gt;=100),CHOOSE(ArtifactsInput!$N$42+1,40,48,56,64,72,80),0))))/100)*((1+(((C534=TRUE)*F534)+((C535=TRUE)*IF(Inputs!$B$38="pvp",F535,(1-Summary!$B$11)*(F535)+Summary!$B$11*(0)))+((C536=TRUE)*F536*IF(AND(Inputs!$B$38&lt;&gt;"pvp",Inputs!$B$43&gt;0),(((R536-1)*(Skills!T15*(1+Inputs!$B$34/100))+MIN((Skills!T15*(1+Inputs!$B$34/100)),MAX(0,Inputs!$B$43-((R536-1)*Skills!D15))))/Inputs!$B$43),IF(Inputs!$B$38="pvp",MIN((Skills!T15*(1+Inputs!$B$34/100)),15)/15,(Skills!T15*(1+Inputs!$B$34/100))/Skills!D15)))+((C533=TRUE)*F533)+((C550=TRUE)*(F550-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528)</f>
        <v/>
      </c>
      <c r="L528">
        <f>K528*(MIN(Inputs!$B$22+((C544=TRUE)*(F544-Calc!F23)),(Inputs!$B$23+((C549=TRUE)*(F549-Calc!F28))+(IF(ArtifactsInput!$M$15,CHOOSE(ArtifactsInput!$N$15+1,25,30,35,40,45,50)/100*(Inputs!$B$11-Inputs!$B$11),0))))/100+(Inputs!$B$23+((C549=TRUE)*(F549-Calc!F28))+(IF(ArtifactsInput!$M$15,CHOOSE(ArtifactsInput!$N$15+1,25,30,35,40,45,50)/100*(Inputs!$B$11-Inputs!$B$11),0)))/100)/2</f>
        <v/>
      </c>
      <c r="M528">
        <f>L528*(1+(Inputs!$B$10+0+B558+(IF(ArtifactsInput!$M$24,CHOOSE(ArtifactsInput!$N$24+1,30,36,42,48,54,60)/100*((Inputs!$B$9+1)-Inputs!$B$9),0)+IF(ArtifactsInput!$M$10,CHOOSE(ArtifactsInput!$N$10+1,20,24,28,32,36,40)*(IF(Inputs!$B$38="pvp",MIN(15,15)/15,IF(AND(Inputs!$B$38&lt;&gt;"pvp",Inputs!$B$43&gt;0),MIN(15,Inputs!$B$43)/(Inputs!$B$43),0))),0)+IF(ArtifactsInput!$M$31,1.5*CHOOSE(ArtifactsInput!$N$31+1,20,24,28,32,36,40),0)))/100)</f>
        <v/>
      </c>
      <c r="N528">
        <f>L528*(1-MIN(((Inputs!$B$9+1)+((C540=TRUE)*(F540-Calc!F19))+B553+(ArtifactsInput!$M$24-ArtifactsInput!$M$24)*CHOOSE(ArtifactsInput!$N$24+1,10,12,14,16,18,20)+(IF(AND(ArtifactsInput!$M$42,(((Inputs!$B$9+1)+((C540=TRUE)*(F540-Calc!F19))+B553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528*(MIN(((Inputs!$B$9+1)+((C540=TRUE)*(F540-Calc!F19))+B553+(ArtifactsInput!$M$24-ArtifactsInput!$M$24)*CHOOSE(ArtifactsInput!$N$24+1,10,12,14,16,18,20)+(IF(AND(ArtifactsInput!$M$42,(((Inputs!$B$9+1)+((C540=TRUE)*(F540-Calc!F19))+B553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528">
        <f>(1-Summary!$B$11)*T528+Summary!$B$11*V528</f>
        <v/>
      </c>
      <c r="P528">
        <f>IF(B563=0,0,O528/B563)</f>
        <v/>
      </c>
      <c r="Q528">
        <f>IFERROR(1/IF(Inputs!$B$38="pvp",15,MAX(0.1,Skills!D7-IF(Skills!E7=TRUE,Inputs!$B$32,0))),0)</f>
        <v/>
      </c>
      <c r="R528">
        <f>IF(AND(Inputs!$B$38&lt;&gt;"pvp",Inputs!$B$43&gt;0),IF(MAX(0,Inputs!$B$43-B560)&lt;=0,0,(INT(MAX(0,Inputs!$B$43-B560)/IF(Inputs!$B$38="pvp",15,MAX(0.1,Skills!D7-IF(Skills!E7=TRUE,Inputs!$B$32,0))))+1)),0)</f>
        <v/>
      </c>
      <c r="S528">
        <f>IFERROR((H528*N528*IF(AND(Inputs!$B$38&lt;&gt;"pvp",Inputs!$B$43&gt;0),((Skills!G7*((R528-1)*IF(Skills!H7&gt;0,Skills!I7/Skills!H7,1)+IF(Skills!H7&gt;0,MIN(Skills!I7,MAX(0,MAX(0,Inputs!$B$43-B560)-((R528-1)*IF(Inputs!$B$38="pvp",15,MAX(0.1,Skills!D7-IF(Skills!E7=TRUE,Inputs!$B$32,0))))))/Skills!H7,1)))/Inputs!$B$43),G528*Q528))/N528*IF(Inputs!$B$38="pvp",1,(1-Summary!$B$11)*1+Summary!$B$11*(MIN(Skills!R7,Inputs!$B$37))),0)</f>
        <v/>
      </c>
      <c r="T528">
        <f>IF(C528,(H528*N528*IF(AND(Inputs!$B$38&lt;&gt;"pvp",Inputs!$B$43&gt;0),((Skills!G7*((R528-1)*IF(Skills!H7&gt;0,Skills!I7/Skills!H7,1)+IF(Skills!H7&gt;0,MIN(Skills!I7,MAX(0,MAX(0,Inputs!$B$43-B560)-((R528-1)*IF(Inputs!$B$38="pvp",15,MAX(0.1,Skills!D7-IF(Skills!E7=TRUE,Inputs!$B$32,0))))))/Skills!H7,1)))/Inputs!$B$43),G528*Q528))*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Hunt"),CHOOSE(ArtifactsInput!$N$35+1,15,18,21,24,27,30)*(1-EXP(-(0.2*B555)*5)),0)+IF(AND(ArtifactsInput!$M$22,Inputs!$B$4&lt;&gt;"Chapter Hunt"),CHOOSE(ArtifactsInput!$N$22+1,10,12,14,16,18,20)*((0*(((0.15*B555*5))^0/1)+1*(((0.15*B555*5))^1/1)+2*(((0.15*B555*5))^2/2)+3*(((0.15*B555*5))^3/6)+4*(((0.15*B555*5))^4/24)+5*(((0.15*B555*5))^5/120))/((((0.15*B555*5))^0/1)+(((0.15*B555*5))^1/1)+(((0.15*B555*5))^2/2)+(((0.15*B555*5))^3/6)+(((0.15*B555*5))^4/24)+(((0.15*B555*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528*(1-MIN(100,((Inputs!$B$9+1)+((C540=TRUE)*(F540-Calc!F19))+B553+(ArtifactsInput!$M$24-ArtifactsInput!$M$24)*CHOOSE(ArtifactsInput!$N$24+1,10,12,14,16,18,20)+(IF(AND(ArtifactsInput!$M$42,(((Inputs!$B$9+1)+((C540=TRUE)*(F540-Calc!F19))+B553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528*(MIN(100,((Inputs!$B$9+1)+((C540=TRUE)*(F540-Calc!F19))+B553+(ArtifactsInput!$M$24-ArtifactsInput!$M$24)*CHOOSE(ArtifactsInput!$N$24+1,10,12,14,16,18,20)+(IF(AND(ArtifactsInput!$M$42,(((Inputs!$B$9+1)+((C540=TRUE)*(F540-Calc!F19))+B553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528*(1-MIN(100,((Inputs!$B$9+1)+((C540=TRUE)*(F540-Calc!F19))+B553+(ArtifactsInput!$M$24-ArtifactsInput!$M$24)*CHOOSE(ArtifactsInput!$N$24+1,10,12,14,16,18,20)+(IF(AND(ArtifactsInput!$M$42,(((Inputs!$B$9+1)+((C540=TRUE)*(F540-Calc!F19))+B553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528*(MIN(100,((Inputs!$B$9+1)+((C540=TRUE)*(F540-Calc!F19))+B553+(ArtifactsInput!$M$24-ArtifactsInput!$M$24)*CHOOSE(ArtifactsInput!$N$24+1,10,12,14,16,18,20)+(IF(AND(ArtifactsInput!$M$42,(((Inputs!$B$9+1)+((C540=TRUE)*(F540-Calc!F19))+B553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528">
        <f>IF(C528,(H528*N528*IF(AND(Inputs!$B$38&lt;&gt;"pvp",Inputs!$B$43&gt;0),((Skills!G7*((R528-1)*IF(Skills!H7&gt;0,Skills!I7/Skills!H7,1)+IF(Skills!H7&gt;0,MIN(Skills!I7,MAX(0,MAX(0,Inputs!$B$43-B560)-((R528-1)*IF(Inputs!$B$38="pvp",15,MAX(0.1,Skills!D7-IF(Skills!E7=TRUE,Inputs!$B$32,0))))))/Skills!H7,1)))/Inputs!$B$43),G528*Q528))*IF(Inputs!$B$38="pvp",1,(1+(Inputs!$B$21+Skills!Q7+(IF(ArtifactsInput!$M$33,CHOOSE(ArtifactsInput!$N$33+1,30,36,42,48,54,60),0))+(IF(AND(ArtifactsInput!$M$35,Inputs!$B$4&lt;&gt;"Chapter Hunt"),CHOOSE(ArtifactsInput!$N$35+1,15,18,21,24,27,30)*(1-EXP(-(0.2*B555)*5)),0)+IF(AND(ArtifactsInput!$M$22,Inputs!$B$4&lt;&gt;"Chapter Hunt"),CHOOSE(ArtifactsInput!$N$22+1,10,12,14,16,18,20)*((0*(((0.15*B555*5))^0/1)+1*(((0.15*B555*5))^1/1)+2*(((0.15*B555*5))^2/2)+3*(((0.15*B555*5))^3/6)+4*(((0.15*B555*5))^4/24)+5*(((0.15*B555*5))^5/120))/((((0.15*B555*5))^0/1)+(((0.15*B555*5))^1/1)+(((0.15*B555*5))^2/2)+(((0.15*B555*5))^3/6)+(((0.15*B555*5))^4/24)+(((0.15*B555*5))^5/120))),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529">
      <c r="A529">
        <f>Skills!A8</f>
        <v/>
      </c>
      <c r="B529">
        <f>Skills!B8</f>
        <v/>
      </c>
      <c r="C529">
        <f>Inputs!$B$3&gt;=100</f>
        <v/>
      </c>
      <c r="D529">
        <f>IF(Skills!C8=1,60+Inputs!$B$25+Inputs!$B$29,IF(Skills!C8=2,90+Inputs!$B$26+Inputs!$B$29,IF(Skills!C8=3,120+Inputs!$B$27+Inputs!$B$29,MAX(0,(Inputs!$B$3-100)*3)+Inputs!$B$28+Inputs!$B$29)))</f>
        <v/>
      </c>
      <c r="E529">
        <f>INDEX(FactorTable!$B$2:$Y$301, MATCH(ROUND(MIN(300,MAX(1,D529)),0), FactorTable!$A$2:$A$301,0), Skills!M8+1)</f>
        <v/>
      </c>
      <c r="F529">
        <f>IF(Skills!N8=TRUE,(Skills!L8/10)*(E529/1000),Skills!L8/10)+Skills!O8</f>
        <v/>
      </c>
      <c r="G529" t="inlineStr"/>
      <c r="H529" t="inlineStr"/>
      <c r="I529" t="inlineStr">
        <is>
          <t>1</t>
        </is>
      </c>
      <c r="J529" t="inlineStr"/>
      <c r="K529" t="inlineStr"/>
      <c r="L529" t="inlineStr"/>
      <c r="M529" t="inlineStr"/>
      <c r="N529" t="inlineStr"/>
      <c r="O529" t="inlineStr"/>
      <c r="P529" t="inlineStr"/>
      <c r="Q529" t="inlineStr"/>
      <c r="R529" t="inlineStr"/>
      <c r="S529" t="inlineStr"/>
      <c r="T529" t="inlineStr"/>
      <c r="V529" t="inlineStr"/>
    </row>
    <row r="530">
      <c r="A530">
        <f>Skills!A9</f>
        <v/>
      </c>
      <c r="B530">
        <f>Skills!B9</f>
        <v/>
      </c>
      <c r="C530">
        <f>Inputs!$B$3&gt;=103</f>
        <v/>
      </c>
      <c r="D530">
        <f>IF(Skills!C9=1,60+Inputs!$B$25+Inputs!$B$29,IF(Skills!C9=2,90+Inputs!$B$26+Inputs!$B$29,IF(Skills!C9=3,120+Inputs!$B$27+Inputs!$B$29,MAX(0,(Inputs!$B$3-100)*3)+Inputs!$B$28+Inputs!$B$29)))</f>
        <v/>
      </c>
      <c r="E530">
        <f>INDEX(FactorTable!$B$2:$Y$301, MATCH(ROUND(MIN(300,MAX(1,D530)),0), FactorTable!$A$2:$A$301,0), Skills!M9+1)</f>
        <v/>
      </c>
      <c r="F530">
        <f>IF(Skills!N9=TRUE,(Skills!L9/10)*(E530/1000),Skills!L9/10)+Skills!O9</f>
        <v/>
      </c>
      <c r="G530">
        <f>Skills!G9*IF(Skills!H9&gt;0,Skills!I9/Skills!H9,1)</f>
        <v/>
      </c>
      <c r="H530">
        <f>1-(1-Skills!J9/100)^Skills!K9</f>
        <v/>
      </c>
      <c r="I530" t="inlineStr">
        <is>
          <t>1</t>
        </is>
      </c>
      <c r="J530">
        <f>((Inputs!$B$6*(1+Inputs!$B$7/100))+(((Inputs!$B$12*(1+Inputs!$B$13/100))-(Inputs!$B$12*(1+Inputs!$B$13/100)))+0.25*(Inputs!$B$14-Inputs!$B$14))*(1+Inputs!$B$7/100))*(F530/100)</f>
        <v/>
      </c>
      <c r="K530">
        <f>J530*(1+((Inputs!$B$12*(1+Inputs!$B$13/100))*0.01+Inputs!$B$14*0.0025)/100)*(1+Inputs!$B$15/100)*(1+Inputs!$B$16/100)*(5000/(6000+Inputs!$B$42*(1-(100*(1-(1-(Inputs!$B$19+0)/100)*(1-CHOOSE(ArtifactsInput!$N$40+1,5,6,7,8,9,10)/100)^(ArtifactsInput!$M$40-ArtifactsInput!$M$40)))/100)))*(1+(Inputs!$B$24+((C545=TRUE)*(F545-Calc!F24))+((C546=TRUE)*(F546-Calc!F25))+B559)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EMPOWERED_PIERCING_ARROW",Inputs!$B$17+((C543=TRUE)*(F543-Calc!F22))+(((IF(AND(ArtifactsInput!$M$42,(((Inputs!$B$9+1)+((C540=TRUE)*(F540-Calc!F19))+B553+(ArtifactsInput!$M$24-ArtifactsInput!$M$24)*CHOOSE(ArtifactsInput!$N$24+1,10,12,14,16,18,20)+IF(ArtifactsInput!$M$10,CHOOSE(ArtifactsInput!$N$10+1,15,18,21,24,27,30)*(IF(Inputs!$B$38="pvp",MIN(15,15)/15,IF(AND(Inputs!$B$38&lt;&gt;"pvp",Inputs!$B$43&gt;0),MIN(15,Inputs!$B$43)/(Inputs!$B$43),0))),0)))&gt;=100),MIN(100,(((Inputs!$B$9+1)+((C540=TRUE)*(F540-Calc!F19))+B553+(ArtifactsInput!$M$24-ArtifactsInput!$M$24)*CHOOSE(ArtifactsInput!$N$24+1,10,12,14,16,18,20)+IF(ArtifactsInput!$M$10,CHOOSE(ArtifactsInput!$N$10+1,15,18,21,24,27,30)*(IF(Inputs!$B$38="pvp",MIN(15,15)/15,IF(AND(Inputs!$B$38&lt;&gt;"pvp",Inputs!$B$43&gt;0),MIN(15,Inputs!$B$43)/(Inputs!$B$43),0))),0)))-100),0))*CHOOSE(ArtifactsInput!$N$42+1,0.6,0.72,0.84,0.96,1.08,1.2))),Inputs!$B$18+((C548=TRUE)*(F548-Calc!F27))+(IF(AND(ArtifactsInput!$M$42,(((Inputs!$B$9+1)+((C540=TRUE)*(F540-Calc!F19))+B553+(ArtifactsInput!$M$24-ArtifactsInput!$M$24)*CHOOSE(ArtifactsInput!$N$24+1,10,12,14,16,18,20)+IF(ArtifactsInput!$M$10,CHOOSE(ArtifactsInput!$N$10+1,15,18,21,24,27,30)*(IF(Inputs!$B$38="pvp",MIN(15,15)/15,IF(AND(Inputs!$B$38&lt;&gt;"pvp",Inputs!$B$43&gt;0),MIN(15,Inputs!$B$43)/(Inputs!$B$43),0))),0)))&gt;=100),CHOOSE(ArtifactsInput!$N$42+1,40,48,56,64,72,80),0))))/100)*((1+(((C534=TRUE)*F534)+((C535=TRUE)*IF(Inputs!$B$38="pvp",F535,(1-Summary!$B$11)*(F535)+Summary!$B$11*(0)))+((C536=TRUE)*F536*IF(AND(Inputs!$B$38&lt;&gt;"pvp",Inputs!$B$43&gt;0),(((R536-1)*(Skills!T15*(1+Inputs!$B$34/100))+MIN((Skills!T15*(1+Inputs!$B$34/100)),MAX(0,Inputs!$B$43-((R536-1)*Skills!D15))))/Inputs!$B$43),IF(Inputs!$B$38="pvp",MIN((Skills!T15*(1+Inputs!$B$34/100)),15)/15,(Skills!T15*(1+Inputs!$B$34/100))/Skills!D15)))+((C533=TRUE)*F533)+((C550=TRUE)*(F550-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530)</f>
        <v/>
      </c>
      <c r="L530">
        <f>K530*(MIN(Inputs!$B$22+((C544=TRUE)*(F544-Calc!F23)),(Inputs!$B$23+((C549=TRUE)*(F549-Calc!F28))+(IF(ArtifactsInput!$M$15,CHOOSE(ArtifactsInput!$N$15+1,25,30,35,40,45,50)/100*(Inputs!$B$11-Inputs!$B$11),0))))/100+(Inputs!$B$23+((C549=TRUE)*(F549-Calc!F28))+(IF(ArtifactsInput!$M$15,CHOOSE(ArtifactsInput!$N$15+1,25,30,35,40,45,50)/100*(Inputs!$B$11-Inputs!$B$11),0)))/100)/2</f>
        <v/>
      </c>
      <c r="M530">
        <f>L530*(1+(Inputs!$B$10+0+B558+(IF(ArtifactsInput!$M$24,CHOOSE(ArtifactsInput!$N$24+1,30,36,42,48,54,60)/100*((Inputs!$B$9+1)-Inputs!$B$9),0)+IF(ArtifactsInput!$M$10,CHOOSE(ArtifactsInput!$N$10+1,20,24,28,32,36,40)*(IF(Inputs!$B$38="pvp",MIN(15,15)/15,IF(AND(Inputs!$B$38&lt;&gt;"pvp",Inputs!$B$43&gt;0),MIN(15,Inputs!$B$43)/(Inputs!$B$43),0))),0)+IF(ArtifactsInput!$M$31,1.5*CHOOSE(ArtifactsInput!$N$31+1,20,24,28,32,36,40),0)))/100)</f>
        <v/>
      </c>
      <c r="N530">
        <f>L530*(1-MIN(((Inputs!$B$9+1)+((C540=TRUE)*(F540-Calc!F19))+B553+(ArtifactsInput!$M$24-ArtifactsInput!$M$24)*CHOOSE(ArtifactsInput!$N$24+1,10,12,14,16,18,20)+(IF(AND(ArtifactsInput!$M$42,(((Inputs!$B$9+1)+((C540=TRUE)*(F540-Calc!F19))+B553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530*(MIN(((Inputs!$B$9+1)+((C540=TRUE)*(F540-Calc!F19))+B553+(ArtifactsInput!$M$24-ArtifactsInput!$M$24)*CHOOSE(ArtifactsInput!$N$24+1,10,12,14,16,18,20)+(IF(AND(ArtifactsInput!$M$42,(((Inputs!$B$9+1)+((C540=TRUE)*(F540-Calc!F19))+B553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530">
        <f>(1-Summary!$B$11)*T530+Summary!$B$11*V530</f>
        <v/>
      </c>
      <c r="P530">
        <f>IF(B563=0,0,O530/B563)</f>
        <v/>
      </c>
      <c r="Q530">
        <f>IFERROR(1/IF(Inputs!$B$38="pvp",15,MAX(0.1,Skills!D9-IF(Skills!E9=TRUE,Inputs!$B$32,0))),0)</f>
        <v/>
      </c>
      <c r="R530">
        <f>IF(AND(Inputs!$B$38&lt;&gt;"pvp",Inputs!$B$43&gt;0),IF(MAX(0,Inputs!$B$43-B560)&lt;=0,0,(INT(MAX(0,Inputs!$B$43-B560)/IF(Inputs!$B$38="pvp",15,MAX(0.1,Skills!D9-IF(Skills!E9=TRUE,Inputs!$B$32,0))))+1)),0)</f>
        <v/>
      </c>
      <c r="S530">
        <f>IFERROR((H530*N530*IF(AND(Inputs!$B$38&lt;&gt;"pvp",Inputs!$B$43&gt;0),((Skills!G9*((R530-1)*IF(Skills!H9&gt;0,Skills!I9/Skills!H9,1)+IF(Skills!H9&gt;0,MIN(Skills!I9,MAX(0,MAX(0,Inputs!$B$43-B560)-((R530-1)*IF(Inputs!$B$38="pvp",15,MAX(0.1,Skills!D9-IF(Skills!E9=TRUE,Inputs!$B$32,0))))))/Skills!H9,1)))/Inputs!$B$43),G530*Q530))/N530*IF(Inputs!$B$38="pvp",1,(1-Summary!$B$11)*1+Summary!$B$11*(MIN(Skills!R9,Inputs!$B$37))),0)</f>
        <v/>
      </c>
      <c r="T530">
        <f>IF(C530,(H530*N530*IF(AND(Inputs!$B$38&lt;&gt;"pvp",Inputs!$B$43&gt;0),((Skills!G9*((R530-1)*IF(Skills!H9&gt;0,Skills!I9/Skills!H9,1)+IF(Skills!H9&gt;0,MIN(Skills!I9,MAX(0,MAX(0,Inputs!$B$43-B560)-((R530-1)*IF(Inputs!$B$38="pvp",15,MAX(0.1,Skills!D9-IF(Skills!E9=TRUE,Inputs!$B$32,0))))))/Skills!H9,1)))/Inputs!$B$43),G530*Q530))*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Hunt"),CHOOSE(ArtifactsInput!$N$35+1,15,18,21,24,27,30)*(1-EXP(-(0.2*B555)*5)),0)+IF(AND(ArtifactsInput!$M$22,Inputs!$B$4&lt;&gt;"Chapter Hunt"),CHOOSE(ArtifactsInput!$N$22+1,10,12,14,16,18,20)*((0*(((0.15*B555*5))^0/1)+1*(((0.15*B555*5))^1/1)+2*(((0.15*B555*5))^2/2)+3*(((0.15*B555*5))^3/6)+4*(((0.15*B555*5))^4/24)+5*(((0.15*B555*5))^5/120))/((((0.15*B555*5))^0/1)+(((0.15*B555*5))^1/1)+(((0.15*B555*5))^2/2)+(((0.15*B555*5))^3/6)+(((0.15*B555*5))^4/24)+(((0.15*B555*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530*(1-MIN(100,((Inputs!$B$9+1)+((C540=TRUE)*(F540-Calc!F19))+B553+(ArtifactsInput!$M$24-ArtifactsInput!$M$24)*CHOOSE(ArtifactsInput!$N$24+1,10,12,14,16,18,20)+(IF(AND(ArtifactsInput!$M$42,(((Inputs!$B$9+1)+((C540=TRUE)*(F540-Calc!F19))+B553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530*(MIN(100,((Inputs!$B$9+1)+((C540=TRUE)*(F540-Calc!F19))+B553+(ArtifactsInput!$M$24-ArtifactsInput!$M$24)*CHOOSE(ArtifactsInput!$N$24+1,10,12,14,16,18,20)+(IF(AND(ArtifactsInput!$M$42,(((Inputs!$B$9+1)+((C540=TRUE)*(F540-Calc!F19))+B553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530*(1-MIN(100,((Inputs!$B$9+1)+((C540=TRUE)*(F540-Calc!F19))+B553+(ArtifactsInput!$M$24-ArtifactsInput!$M$24)*CHOOSE(ArtifactsInput!$N$24+1,10,12,14,16,18,20)+(IF(AND(ArtifactsInput!$M$42,(((Inputs!$B$9+1)+((C540=TRUE)*(F540-Calc!F19))+B553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530*(MIN(100,((Inputs!$B$9+1)+((C540=TRUE)*(F540-Calc!F19))+B553+(ArtifactsInput!$M$24-ArtifactsInput!$M$24)*CHOOSE(ArtifactsInput!$N$24+1,10,12,14,16,18,20)+(IF(AND(ArtifactsInput!$M$42,(((Inputs!$B$9+1)+((C540=TRUE)*(F540-Calc!F19))+B553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530">
        <f>IF(C530,(H530*N530*IF(AND(Inputs!$B$38&lt;&gt;"pvp",Inputs!$B$43&gt;0),((Skills!G9*((R530-1)*IF(Skills!H9&gt;0,Skills!I9/Skills!H9,1)+IF(Skills!H9&gt;0,MIN(Skills!I9,MAX(0,MAX(0,Inputs!$B$43-B560)-((R530-1)*IF(Inputs!$B$38="pvp",15,MAX(0.1,Skills!D9-IF(Skills!E9=TRUE,Inputs!$B$32,0))))))/Skills!H9,1)))/Inputs!$B$43),G530*Q530))*IF(Inputs!$B$38="pvp",1,(1+(Inputs!$B$21+Skills!Q9+(IF(ArtifactsInput!$M$33,CHOOSE(ArtifactsInput!$N$33+1,30,36,42,48,54,60),0))+(IF(AND(ArtifactsInput!$M$35,Inputs!$B$4&lt;&gt;"Chapter Hunt"),CHOOSE(ArtifactsInput!$N$35+1,15,18,21,24,27,30)*(1-EXP(-(0.2*B555)*5)),0)+IF(AND(ArtifactsInput!$M$22,Inputs!$B$4&lt;&gt;"Chapter Hunt"),CHOOSE(ArtifactsInput!$N$22+1,10,12,14,16,18,20)*((0*(((0.15*B555*5))^0/1)+1*(((0.15*B555*5))^1/1)+2*(((0.15*B555*5))^2/2)+3*(((0.15*B555*5))^3/6)+4*(((0.15*B555*5))^4/24)+5*(((0.15*B555*5))^5/120))/((((0.15*B555*5))^0/1)+(((0.15*B555*5))^1/1)+(((0.15*B555*5))^2/2)+(((0.15*B555*5))^3/6)+(((0.15*B555*5))^4/24)+(((0.15*B555*5))^5/120)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531">
      <c r="A531">
        <f>Skills!A10</f>
        <v/>
      </c>
      <c r="B531">
        <f>Skills!B10</f>
        <v/>
      </c>
      <c r="C531">
        <f>Inputs!$B$3&gt;=107</f>
        <v/>
      </c>
      <c r="D531">
        <f>IF(Skills!C10=1,60+Inputs!$B$25+Inputs!$B$29,IF(Skills!C10=2,90+Inputs!$B$26+Inputs!$B$29,IF(Skills!C10=3,120+Inputs!$B$27+Inputs!$B$29,MAX(0,(Inputs!$B$3-100)*3)+Inputs!$B$28+Inputs!$B$29)))</f>
        <v/>
      </c>
      <c r="E531">
        <f>INDEX(FactorTable!$B$2:$Y$301, MATCH(ROUND(MIN(300,MAX(1,D531)),0), FactorTable!$A$2:$A$301,0), Skills!M10+1)</f>
        <v/>
      </c>
      <c r="F531">
        <f>IF(Skills!N10=TRUE,(Skills!L10/10)*(E531/1000),Skills!L10/10)+Skills!O10</f>
        <v/>
      </c>
      <c r="G531">
        <f>Skills!G10*IF(Skills!H10&gt;0,Skills!I10/Skills!H10,1)</f>
        <v/>
      </c>
      <c r="H531">
        <f>1-(1-Skills!J10/100)^Skills!K10</f>
        <v/>
      </c>
      <c r="I531" t="inlineStr">
        <is>
          <t>1</t>
        </is>
      </c>
      <c r="J531">
        <f>((Inputs!$B$6*(1+Inputs!$B$7/100))+(((Inputs!$B$12*(1+Inputs!$B$13/100))-(Inputs!$B$12*(1+Inputs!$B$13/100)))+0.25*(Inputs!$B$14-Inputs!$B$14))*(1+Inputs!$B$7/100))*(F531/100)</f>
        <v/>
      </c>
      <c r="K531">
        <f>J531*(1+((Inputs!$B$12*(1+Inputs!$B$13/100))*0.01+Inputs!$B$14*0.0025)/100)*(1+Inputs!$B$15/100)*(1+Inputs!$B$16/100)*(5000/(6000+Inputs!$B$42*(1-(100*(1-(1-(Inputs!$B$19+0)/100)*(1-CHOOSE(ArtifactsInput!$N$40+1,5,6,7,8,9,10)/100)^(ArtifactsInput!$M$40-ArtifactsInput!$M$40)))/100)))*(1+(Inputs!$B$24+((C545=TRUE)*(F545-Calc!F24))+((C546=TRUE)*(F546-Calc!F25))+B559)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EMPOWERED_PIERCING_ARROW",Inputs!$B$17+((C543=TRUE)*(F543-Calc!F22))+(((IF(AND(ArtifactsInput!$M$42,(((Inputs!$B$9+1)+((C540=TRUE)*(F540-Calc!F19))+B553+(ArtifactsInput!$M$24-ArtifactsInput!$M$24)*CHOOSE(ArtifactsInput!$N$24+1,10,12,14,16,18,20)+IF(ArtifactsInput!$M$10,CHOOSE(ArtifactsInput!$N$10+1,15,18,21,24,27,30)*(IF(Inputs!$B$38="pvp",MIN(15,15)/15,IF(AND(Inputs!$B$38&lt;&gt;"pvp",Inputs!$B$43&gt;0),MIN(15,Inputs!$B$43)/(Inputs!$B$43),0))),0)))&gt;=100),MIN(100,(((Inputs!$B$9+1)+((C540=TRUE)*(F540-Calc!F19))+B553+(ArtifactsInput!$M$24-ArtifactsInput!$M$24)*CHOOSE(ArtifactsInput!$N$24+1,10,12,14,16,18,20)+IF(ArtifactsInput!$M$10,CHOOSE(ArtifactsInput!$N$10+1,15,18,21,24,27,30)*(IF(Inputs!$B$38="pvp",MIN(15,15)/15,IF(AND(Inputs!$B$38&lt;&gt;"pvp",Inputs!$B$43&gt;0),MIN(15,Inputs!$B$43)/(Inputs!$B$43),0))),0)))-100),0))*CHOOSE(ArtifactsInput!$N$42+1,0.6,0.72,0.84,0.96,1.08,1.2))),Inputs!$B$18+((C548=TRUE)*(F548-Calc!F27))+(IF(AND(ArtifactsInput!$M$42,(((Inputs!$B$9+1)+((C540=TRUE)*(F540-Calc!F19))+B553+(ArtifactsInput!$M$24-ArtifactsInput!$M$24)*CHOOSE(ArtifactsInput!$N$24+1,10,12,14,16,18,20)+IF(ArtifactsInput!$M$10,CHOOSE(ArtifactsInput!$N$10+1,15,18,21,24,27,30)*(IF(Inputs!$B$38="pvp",MIN(15,15)/15,IF(AND(Inputs!$B$38&lt;&gt;"pvp",Inputs!$B$43&gt;0),MIN(15,Inputs!$B$43)/(Inputs!$B$43),0))),0)))&gt;=100),CHOOSE(ArtifactsInput!$N$42+1,40,48,56,64,72,80),0))))/100)*((1+(((C534=TRUE)*F534)+((C535=TRUE)*IF(Inputs!$B$38="pvp",F535,(1-Summary!$B$11)*(F535)+Summary!$B$11*(0)))+((C536=TRUE)*F536*IF(AND(Inputs!$B$38&lt;&gt;"pvp",Inputs!$B$43&gt;0),(((R536-1)*(Skills!T15*(1+Inputs!$B$34/100))+MIN((Skills!T15*(1+Inputs!$B$34/100)),MAX(0,Inputs!$B$43-((R536-1)*Skills!D15))))/Inputs!$B$43),IF(Inputs!$B$38="pvp",MIN((Skills!T15*(1+Inputs!$B$34/100)),15)/15,(Skills!T15*(1+Inputs!$B$34/100))/Skills!D15)))+((C533=TRUE)*F533)+((C550=TRUE)*(F550-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531)</f>
        <v/>
      </c>
      <c r="L531">
        <f>K531*(MIN(Inputs!$B$22+((C544=TRUE)*(F544-Calc!F23)),(Inputs!$B$23+((C549=TRUE)*(F549-Calc!F28))+(IF(ArtifactsInput!$M$15,CHOOSE(ArtifactsInput!$N$15+1,25,30,35,40,45,50)/100*(Inputs!$B$11-Inputs!$B$11),0))))/100+(Inputs!$B$23+((C549=TRUE)*(F549-Calc!F28))+(IF(ArtifactsInput!$M$15,CHOOSE(ArtifactsInput!$N$15+1,25,30,35,40,45,50)/100*(Inputs!$B$11-Inputs!$B$11),0)))/100)/2</f>
        <v/>
      </c>
      <c r="M531">
        <f>L531*(1+(Inputs!$B$10+0+B558+(IF(ArtifactsInput!$M$24,CHOOSE(ArtifactsInput!$N$24+1,30,36,42,48,54,60)/100*((Inputs!$B$9+1)-Inputs!$B$9),0)+IF(ArtifactsInput!$M$10,CHOOSE(ArtifactsInput!$N$10+1,20,24,28,32,36,40)*(IF(Inputs!$B$38="pvp",MIN(15,15)/15,IF(AND(Inputs!$B$38&lt;&gt;"pvp",Inputs!$B$43&gt;0),MIN(15,Inputs!$B$43)/(Inputs!$B$43),0))),0)+IF(ArtifactsInput!$M$31,1.5*CHOOSE(ArtifactsInput!$N$31+1,20,24,28,32,36,40),0)))/100)</f>
        <v/>
      </c>
      <c r="N531">
        <f>L531*(1-MIN(((Inputs!$B$9+1)+((C540=TRUE)*(F540-Calc!F19))+B553+(ArtifactsInput!$M$24-ArtifactsInput!$M$24)*CHOOSE(ArtifactsInput!$N$24+1,10,12,14,16,18,20)+(IF(AND(ArtifactsInput!$M$42,(((Inputs!$B$9+1)+((C540=TRUE)*(F540-Calc!F19))+B553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531*(MIN(((Inputs!$B$9+1)+((C540=TRUE)*(F540-Calc!F19))+B553+(ArtifactsInput!$M$24-ArtifactsInput!$M$24)*CHOOSE(ArtifactsInput!$N$24+1,10,12,14,16,18,20)+(IF(AND(ArtifactsInput!$M$42,(((Inputs!$B$9+1)+((C540=TRUE)*(F540-Calc!F19))+B553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531">
        <f>(1-Summary!$B$11)*T531+Summary!$B$11*V531</f>
        <v/>
      </c>
      <c r="P531">
        <f>IF(B563=0,0,O531/B563)</f>
        <v/>
      </c>
      <c r="Q531" t="n">
        <v>0</v>
      </c>
      <c r="R531" t="n">
        <v>0</v>
      </c>
      <c r="S531" t="n">
        <v>0</v>
      </c>
      <c r="T531">
        <f>IF(C531,(0.15*SUMPRODUCT((Skills!U2:U29=TRUE)*(C523:C550=TRUE)*S523:S550)*Skills!G10*N531)*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Hunt"),CHOOSE(ArtifactsInput!$N$35+1,15,18,21,24,27,30)*(1-EXP(-(0.2*B555)*5)),0)+IF(AND(ArtifactsInput!$M$22,Inputs!$B$4&lt;&gt;"Chapter Hunt"),CHOOSE(ArtifactsInput!$N$22+1,10,12,14,16,18,20)*((0*(((0.15*B555*5))^0/1)+1*(((0.15*B555*5))^1/1)+2*(((0.15*B555*5))^2/2)+3*(((0.15*B555*5))^3/6)+4*(((0.15*B555*5))^4/24)+5*(((0.15*B555*5))^5/120))/((((0.15*B555*5))^0/1)+(((0.15*B555*5))^1/1)+(((0.15*B555*5))^2/2)+(((0.15*B555*5))^3/6)+(((0.15*B555*5))^4/24)+(((0.15*B555*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531*(1-MIN(100,((Inputs!$B$9+1)+((C540=TRUE)*(F540-Calc!F19))+B553+(ArtifactsInput!$M$24-ArtifactsInput!$M$24)*CHOOSE(ArtifactsInput!$N$24+1,10,12,14,16,18,20)+(IF(AND(ArtifactsInput!$M$42,(((Inputs!$B$9+1)+((C540=TRUE)*(F540-Calc!F19))+B553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531*(MIN(100,((Inputs!$B$9+1)+((C540=TRUE)*(F540-Calc!F19))+B553+(ArtifactsInput!$M$24-ArtifactsInput!$M$24)*CHOOSE(ArtifactsInput!$N$24+1,10,12,14,16,18,20)+(IF(AND(ArtifactsInput!$M$42,(((Inputs!$B$9+1)+((C540=TRUE)*(F540-Calc!F19))+B553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531*(1-MIN(100,((Inputs!$B$9+1)+((C540=TRUE)*(F540-Calc!F19))+B553+(ArtifactsInput!$M$24-ArtifactsInput!$M$24)*CHOOSE(ArtifactsInput!$N$24+1,10,12,14,16,18,20)+(IF(AND(ArtifactsInput!$M$42,(((Inputs!$B$9+1)+((C540=TRUE)*(F540-Calc!F19))+B553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531*(MIN(100,((Inputs!$B$9+1)+((C540=TRUE)*(F540-Calc!F19))+B553+(ArtifactsInput!$M$24-ArtifactsInput!$M$24)*CHOOSE(ArtifactsInput!$N$24+1,10,12,14,16,18,20)+(IF(AND(ArtifactsInput!$M$42,(((Inputs!$B$9+1)+((C540=TRUE)*(F540-Calc!F19))+B553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531">
        <f>IF(C531,(0.15*SUMPRODUCT((Skills!U2:U29=TRUE)*(C523:C550=TRUE)*S523:S550)*Skills!G10*N531)*IF(Inputs!$B$38="pvp",1,(1+(Inputs!$B$21+Skills!Q10+(IF(ArtifactsInput!$M$33,CHOOSE(ArtifactsInput!$N$33+1,30,36,42,48,54,60),0))+(IF(AND(ArtifactsInput!$M$35,Inputs!$B$4&lt;&gt;"Chapter Hunt"),CHOOSE(ArtifactsInput!$N$35+1,15,18,21,24,27,30)*(1-EXP(-(0.2*B555)*5)),0)+IF(AND(ArtifactsInput!$M$22,Inputs!$B$4&lt;&gt;"Chapter Hunt"),CHOOSE(ArtifactsInput!$N$22+1,10,12,14,16,18,20)*((0*(((0.15*B555*5))^0/1)+1*(((0.15*B555*5))^1/1)+2*(((0.15*B555*5))^2/2)+3*(((0.15*B555*5))^3/6)+4*(((0.15*B555*5))^4/24)+5*(((0.15*B555*5))^5/120))/((((0.15*B555*5))^0/1)+(((0.15*B555*5))^1/1)+(((0.15*B555*5))^2/2)+(((0.15*B555*5))^3/6)+(((0.15*B555*5))^4/24)+(((0.15*B555*5))^5/120)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532">
      <c r="A532">
        <f>Skills!A11</f>
        <v/>
      </c>
      <c r="B532">
        <f>Skills!B11</f>
        <v/>
      </c>
      <c r="C532">
        <f>Inputs!$B$3&gt;=110</f>
        <v/>
      </c>
      <c r="D532">
        <f>IF(Skills!C11=1,60+Inputs!$B$25+Inputs!$B$29,IF(Skills!C11=2,90+Inputs!$B$26+Inputs!$B$29,IF(Skills!C11=3,120+Inputs!$B$27+Inputs!$B$29,MAX(0,(Inputs!$B$3-100)*3)+Inputs!$B$28+Inputs!$B$29)))</f>
        <v/>
      </c>
      <c r="E532">
        <f>INDEX(FactorTable!$B$2:$Y$301, MATCH(ROUND(MIN(300,MAX(1,D532)),0), FactorTable!$A$2:$A$301,0), Skills!M11+1)</f>
        <v/>
      </c>
      <c r="F532">
        <f>IF(Skills!N11=TRUE,(Skills!L11/10)*(E532/1000),Skills!L11/10)+Skills!O11</f>
        <v/>
      </c>
      <c r="G532">
        <f>Skills!G11*IF(Skills!H11&gt;0,Skills!I11/Skills!H11,1)</f>
        <v/>
      </c>
      <c r="H532">
        <f>1-(1-Skills!J11/100)^Skills!K11</f>
        <v/>
      </c>
      <c r="I532" t="inlineStr">
        <is>
          <t>1</t>
        </is>
      </c>
      <c r="J532">
        <f>((Inputs!$B$6*(1+Inputs!$B$7/100))+(((Inputs!$B$12*(1+Inputs!$B$13/100))-(Inputs!$B$12*(1+Inputs!$B$13/100)))+0.25*(Inputs!$B$14-Inputs!$B$14))*(1+Inputs!$B$7/100))*(F532/100)</f>
        <v/>
      </c>
      <c r="K532">
        <f>J532*(1+((Inputs!$B$12*(1+Inputs!$B$13/100))*0.01+Inputs!$B$14*0.0025)/100)*(1+Inputs!$B$15/100)*(1+Inputs!$B$16/100)*(5000/(6000+Inputs!$B$42*(1-(100*(1-(1-(Inputs!$B$19+0)/100)*(1-CHOOSE(ArtifactsInput!$N$40+1,5,6,7,8,9,10)/100)^(ArtifactsInput!$M$40-ArtifactsInput!$M$40)))/100)))*(1+(Inputs!$B$24+((C545=TRUE)*(F545-Calc!F24))+((C546=TRUE)*(F546-Calc!F25))+B559)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11="EMPOWERED_PIERCING_ARROW",Inputs!$B$17+((C543=TRUE)*(F543-Calc!F22))+(((IF(AND(ArtifactsInput!$M$42,(((Inputs!$B$9+1)+((C540=TRUE)*(F540-Calc!F19))+B553+(ArtifactsInput!$M$24-ArtifactsInput!$M$24)*CHOOSE(ArtifactsInput!$N$24+1,10,12,14,16,18,20)+IF(ArtifactsInput!$M$10,CHOOSE(ArtifactsInput!$N$10+1,15,18,21,24,27,30)*(IF(Inputs!$B$38="pvp",MIN(15,15)/15,IF(AND(Inputs!$B$38&lt;&gt;"pvp",Inputs!$B$43&gt;0),MIN(15,Inputs!$B$43)/(Inputs!$B$43),0))),0)))&gt;=100),MIN(100,(((Inputs!$B$9+1)+((C540=TRUE)*(F540-Calc!F19))+B553+(ArtifactsInput!$M$24-ArtifactsInput!$M$24)*CHOOSE(ArtifactsInput!$N$24+1,10,12,14,16,18,20)+IF(ArtifactsInput!$M$10,CHOOSE(ArtifactsInput!$N$10+1,15,18,21,24,27,30)*(IF(Inputs!$B$38="pvp",MIN(15,15)/15,IF(AND(Inputs!$B$38&lt;&gt;"pvp",Inputs!$B$43&gt;0),MIN(15,Inputs!$B$43)/(Inputs!$B$43),0))),0)))-100),0))*CHOOSE(ArtifactsInput!$N$42+1,0.6,0.72,0.84,0.96,1.08,1.2))),Inputs!$B$18+((C548=TRUE)*(F548-Calc!F27))+(IF(AND(ArtifactsInput!$M$42,(((Inputs!$B$9+1)+((C540=TRUE)*(F540-Calc!F19))+B553+(ArtifactsInput!$M$24-ArtifactsInput!$M$24)*CHOOSE(ArtifactsInput!$N$24+1,10,12,14,16,18,20)+IF(ArtifactsInput!$M$10,CHOOSE(ArtifactsInput!$N$10+1,15,18,21,24,27,30)*(IF(Inputs!$B$38="pvp",MIN(15,15)/15,IF(AND(Inputs!$B$38&lt;&gt;"pvp",Inputs!$B$43&gt;0),MIN(15,Inputs!$B$43)/(Inputs!$B$43),0))),0)))&gt;=100),CHOOSE(ArtifactsInput!$N$42+1,40,48,56,64,72,80),0))))/100)*((1+(((C534=TRUE)*F534)+((C535=TRUE)*IF(Inputs!$B$38="pvp",F535,(1-Summary!$B$11)*(F535)+Summary!$B$11*(0)))+((C536=TRUE)*F536*IF(AND(Inputs!$B$38&lt;&gt;"pvp",Inputs!$B$43&gt;0),(((R536-1)*(Skills!T15*(1+Inputs!$B$34/100))+MIN((Skills!T15*(1+Inputs!$B$34/100)),MAX(0,Inputs!$B$43-((R536-1)*Skills!D15))))/Inputs!$B$43),IF(Inputs!$B$38="pvp",MIN((Skills!T15*(1+Inputs!$B$34/100)),15)/15,(Skills!T15*(1+Inputs!$B$34/100))/Skills!D15)))+((C533=TRUE)*F533)+((C550=TRUE)*(F550-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532)</f>
        <v/>
      </c>
      <c r="L532">
        <f>K532*(MIN(Inputs!$B$22+((C544=TRUE)*(F544-Calc!F23)),(Inputs!$B$23+((C549=TRUE)*(F549-Calc!F28))+(IF(ArtifactsInput!$M$15,CHOOSE(ArtifactsInput!$N$15+1,25,30,35,40,45,50)/100*(Inputs!$B$11-Inputs!$B$11),0))))/100+(Inputs!$B$23+((C549=TRUE)*(F549-Calc!F28))+(IF(ArtifactsInput!$M$15,CHOOSE(ArtifactsInput!$N$15+1,25,30,35,40,45,50)/100*(Inputs!$B$11-Inputs!$B$11),0)))/100)/2</f>
        <v/>
      </c>
      <c r="M532">
        <f>L532*(1+(Inputs!$B$10+0+B558+(IF(ArtifactsInput!$M$24,CHOOSE(ArtifactsInput!$N$24+1,30,36,42,48,54,60)/100*((Inputs!$B$9+1)-Inputs!$B$9),0)+IF(ArtifactsInput!$M$10,CHOOSE(ArtifactsInput!$N$10+1,20,24,28,32,36,40)*(IF(Inputs!$B$38="pvp",MIN(15,15)/15,IF(AND(Inputs!$B$38&lt;&gt;"pvp",Inputs!$B$43&gt;0),MIN(15,Inputs!$B$43)/(Inputs!$B$43),0))),0)+IF(ArtifactsInput!$M$31,1.5*CHOOSE(ArtifactsInput!$N$31+1,20,24,28,32,36,40),0)))/100)</f>
        <v/>
      </c>
      <c r="N532">
        <f>L532*(1-MIN(((Inputs!$B$9+1)+((C540=TRUE)*(F540-Calc!F19))+B553+(ArtifactsInput!$M$24-ArtifactsInput!$M$24)*CHOOSE(ArtifactsInput!$N$24+1,10,12,14,16,18,20)+(IF(AND(ArtifactsInput!$M$42,(((Inputs!$B$9+1)+((C540=TRUE)*(F540-Calc!F19))+B553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532*(MIN(((Inputs!$B$9+1)+((C540=TRUE)*(F540-Calc!F19))+B553+(ArtifactsInput!$M$24-ArtifactsInput!$M$24)*CHOOSE(ArtifactsInput!$N$24+1,10,12,14,16,18,20)+(IF(AND(ArtifactsInput!$M$42,(((Inputs!$B$9+1)+((C540=TRUE)*(F540-Calc!F19))+B553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532">
        <f>(1-Summary!$B$11)*T532+Summary!$B$11*V532</f>
        <v/>
      </c>
      <c r="P532">
        <f>IF(B563=0,0,O532/B563)</f>
        <v/>
      </c>
      <c r="Q532">
        <f>IFERROR(1/IF(Inputs!$B$38="pvp",15,MAX(0.1,Skills!D11-IF(Skills!E11=TRUE,Inputs!$B$32,0))),0)</f>
        <v/>
      </c>
      <c r="R532">
        <f>IF(AND(Inputs!$B$38&lt;&gt;"pvp",Inputs!$B$43&gt;0),IF(MAX(0,Inputs!$B$43-B560)&lt;=0,0,(INT(MAX(0,Inputs!$B$43-B560)/IF(Inputs!$B$38="pvp",15,MAX(0.1,Skills!D11-IF(Skills!E11=TRUE,Inputs!$B$32,0))))+1)),0)</f>
        <v/>
      </c>
      <c r="S532">
        <f>IFERROR((H532*N532*IF(AND(Inputs!$B$38&lt;&gt;"pvp",Inputs!$B$43&gt;0),((Skills!G11*((R532-1)*IF(Skills!H11&gt;0,Skills!I11/Skills!H11,1)+IF(Skills!H11&gt;0,MIN(Skills!I11,MAX(0,MAX(0,Inputs!$B$43-B560)-((R532-1)*IF(Inputs!$B$38="pvp",15,MAX(0.1,Skills!D11-IF(Skills!E11=TRUE,Inputs!$B$32,0))))))/Skills!H11,1)))/Inputs!$B$43),G532*Q532))/N532*IF(Inputs!$B$38="pvp",1,(1-Summary!$B$11)*1+Summary!$B$11*(MIN(Skills!R11,Inputs!$B$37))),0)</f>
        <v/>
      </c>
      <c r="T532">
        <f>IF(C532,(H532*N532*IF(AND(Inputs!$B$38&lt;&gt;"pvp",Inputs!$B$43&gt;0),((Skills!G11*((R532-1)*IF(Skills!H11&gt;0,Skills!I11/Skills!H11,1)+IF(Skills!H11&gt;0,MIN(Skills!I11,MAX(0,MAX(0,Inputs!$B$43-B560)-((R532-1)*IF(Inputs!$B$38="pvp",15,MAX(0.1,Skills!D11-IF(Skills!E11=TRUE,Inputs!$B$32,0))))))/Skills!H11,1)))/Inputs!$B$43),G532*Q532))*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Hunt"),CHOOSE(ArtifactsInput!$N$35+1,15,18,21,24,27,30)*(1-EXP(-(0.2*B555)*5)),0)+IF(AND(ArtifactsInput!$M$22,Inputs!$B$4&lt;&gt;"Chapter Hunt"),CHOOSE(ArtifactsInput!$N$22+1,10,12,14,16,18,20)*((0*(((0.15*B555*5))^0/1)+1*(((0.15*B555*5))^1/1)+2*(((0.15*B555*5))^2/2)+3*(((0.15*B555*5))^3/6)+4*(((0.15*B555*5))^4/24)+5*(((0.15*B555*5))^5/120))/((((0.15*B555*5))^0/1)+(((0.15*B555*5))^1/1)+(((0.15*B555*5))^2/2)+(((0.15*B555*5))^3/6)+(((0.15*B555*5))^4/24)+(((0.15*B555*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532*(1-MIN(100,((Inputs!$B$9+1)+((C540=TRUE)*(F540-Calc!F19))+B553+(ArtifactsInput!$M$24-ArtifactsInput!$M$24)*CHOOSE(ArtifactsInput!$N$24+1,10,12,14,16,18,20)+(IF(AND(ArtifactsInput!$M$42,(((Inputs!$B$9+1)+((C540=TRUE)*(F540-Calc!F19))+B553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532*(MIN(100,((Inputs!$B$9+1)+((C540=TRUE)*(F540-Calc!F19))+B553+(ArtifactsInput!$M$24-ArtifactsInput!$M$24)*CHOOSE(ArtifactsInput!$N$24+1,10,12,14,16,18,20)+(IF(AND(ArtifactsInput!$M$42,(((Inputs!$B$9+1)+((C540=TRUE)*(F540-Calc!F19))+B553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532*(1-MIN(100,((Inputs!$B$9+1)+((C540=TRUE)*(F540-Calc!F19))+B553+(ArtifactsInput!$M$24-ArtifactsInput!$M$24)*CHOOSE(ArtifactsInput!$N$24+1,10,12,14,16,18,20)+(IF(AND(ArtifactsInput!$M$42,(((Inputs!$B$9+1)+((C540=TRUE)*(F540-Calc!F19))+B553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532*(MIN(100,((Inputs!$B$9+1)+((C540=TRUE)*(F540-Calc!F19))+B553+(ArtifactsInput!$M$24-ArtifactsInput!$M$24)*CHOOSE(ArtifactsInput!$N$24+1,10,12,14,16,18,20)+(IF(AND(ArtifactsInput!$M$42,(((Inputs!$B$9+1)+((C540=TRUE)*(F540-Calc!F19))+B553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532">
        <f>IF(C532,(H532*N532*IF(AND(Inputs!$B$38&lt;&gt;"pvp",Inputs!$B$43&gt;0),((Skills!G11*((R532-1)*IF(Skills!H11&gt;0,Skills!I11/Skills!H11,1)+IF(Skills!H11&gt;0,MIN(Skills!I11,MAX(0,MAX(0,Inputs!$B$43-B560)-((R532-1)*IF(Inputs!$B$38="pvp",15,MAX(0.1,Skills!D11-IF(Skills!E11=TRUE,Inputs!$B$32,0))))))/Skills!H11,1)))/Inputs!$B$43),G532*Q532))*IF(Inputs!$B$38="pvp",1,(1+(Inputs!$B$21+Skills!Q11+(IF(ArtifactsInput!$M$33,CHOOSE(ArtifactsInput!$N$33+1,30,36,42,48,54,60),0))+(IF(AND(ArtifactsInput!$M$35,Inputs!$B$4&lt;&gt;"Chapter Hunt"),CHOOSE(ArtifactsInput!$N$35+1,15,18,21,24,27,30)*(1-EXP(-(0.2*B555)*5)),0)+IF(AND(ArtifactsInput!$M$22,Inputs!$B$4&lt;&gt;"Chapter Hunt"),CHOOSE(ArtifactsInput!$N$22+1,10,12,14,16,18,20)*((0*(((0.15*B555*5))^0/1)+1*(((0.15*B555*5))^1/1)+2*(((0.15*B555*5))^2/2)+3*(((0.15*B555*5))^3/6)+4*(((0.15*B555*5))^4/24)+5*(((0.15*B555*5))^5/120))/((((0.15*B555*5))^0/1)+(((0.15*B555*5))^1/1)+(((0.15*B555*5))^2/2)+(((0.15*B555*5))^3/6)+(((0.15*B555*5))^4/24)+(((0.15*B555*5))^5/120))),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533">
      <c r="A533">
        <f>Skills!A12</f>
        <v/>
      </c>
      <c r="B533">
        <f>Skills!B12</f>
        <v/>
      </c>
      <c r="C533">
        <f>Inputs!$B$3&gt;=60</f>
        <v/>
      </c>
      <c r="D533">
        <f>IF(Skills!C12=1,60+Inputs!$B$25+Inputs!$B$29,IF(Skills!C12=2,90+Inputs!$B$26+Inputs!$B$29,IF(Skills!C12=3,120+Inputs!$B$27+Inputs!$B$29,MAX(0,(Inputs!$B$3-100)*3)+Inputs!$B$28+Inputs!$B$29)))</f>
        <v/>
      </c>
      <c r="E533">
        <f>INDEX(FactorTable!$B$2:$Y$301, MATCH(ROUND(MIN(300,MAX(1,D533)),0), FactorTable!$A$2:$A$301,0), Skills!M12+1)</f>
        <v/>
      </c>
      <c r="F533">
        <f>IF(Skills!N12=TRUE,(Skills!L12/10)*(E533/1000),Skills!L12/10)+Skills!O12</f>
        <v/>
      </c>
      <c r="G533">
        <f>Skills!G12*IF(Skills!H12&gt;0,Skills!I12/Skills!H12,1)</f>
        <v/>
      </c>
      <c r="H533">
        <f>1-(1-Skills!J12/100)^Skills!K12</f>
        <v/>
      </c>
      <c r="I533" t="inlineStr">
        <is>
          <t>1</t>
        </is>
      </c>
      <c r="J533" t="inlineStr"/>
      <c r="K533" t="inlineStr"/>
      <c r="L533" t="inlineStr"/>
      <c r="M533" t="inlineStr"/>
      <c r="N533" t="inlineStr"/>
      <c r="O533">
        <f>(1-Summary!$B$11)*T533+Summary!$B$11*V533</f>
        <v/>
      </c>
      <c r="P533">
        <f>IF(B563=0,0,O533/B563)</f>
        <v/>
      </c>
      <c r="Q533" t="n">
        <v>0</v>
      </c>
      <c r="R533" t="n">
        <v>0</v>
      </c>
      <c r="S533" t="n">
        <v>0</v>
      </c>
      <c r="T533" t="n">
        <v>0</v>
      </c>
      <c r="V533" t="n">
        <v>0</v>
      </c>
    </row>
    <row r="534">
      <c r="A534">
        <f>Skills!A13</f>
        <v/>
      </c>
      <c r="B534">
        <f>Skills!B13</f>
        <v/>
      </c>
      <c r="C534">
        <f>Inputs!$B$3&gt;=74</f>
        <v/>
      </c>
      <c r="D534">
        <f>IF(Skills!C13=1,60+Inputs!$B$25+Inputs!$B$29,IF(Skills!C13=2,90+Inputs!$B$26+Inputs!$B$29,IF(Skills!C13=3,120+Inputs!$B$27+Inputs!$B$29,MAX(0,(Inputs!$B$3-100)*3)+Inputs!$B$28+Inputs!$B$29)))</f>
        <v/>
      </c>
      <c r="E534">
        <f>INDEX(FactorTable!$B$2:$Y$301, MATCH(ROUND(MIN(300,MAX(1,D534)),0), FactorTable!$A$2:$A$301,0), Skills!M13+1)</f>
        <v/>
      </c>
      <c r="F534">
        <f>IF(Skills!N13=TRUE,(Skills!L13/10)*(E534/1000),Skills!L13/10)+Skills!O13</f>
        <v/>
      </c>
      <c r="G534">
        <f>Skills!G13*IF(Skills!H13&gt;0,Skills!I13/Skills!H13,1)</f>
        <v/>
      </c>
      <c r="H534">
        <f>1-(1-Skills!J13/100)^Skills!K13</f>
        <v/>
      </c>
      <c r="I534" t="inlineStr">
        <is>
          <t>1</t>
        </is>
      </c>
      <c r="J534" t="inlineStr"/>
      <c r="K534" t="inlineStr"/>
      <c r="L534" t="inlineStr"/>
      <c r="M534" t="inlineStr"/>
      <c r="N534" t="inlineStr"/>
      <c r="O534">
        <f>(1-Summary!$B$11)*T534+Summary!$B$11*V534</f>
        <v/>
      </c>
      <c r="P534">
        <f>IF(B563=0,0,O534/B563)</f>
        <v/>
      </c>
      <c r="Q534" t="n">
        <v>0</v>
      </c>
      <c r="R534" t="n">
        <v>0</v>
      </c>
      <c r="S534" t="n">
        <v>0</v>
      </c>
      <c r="T534" t="n">
        <v>0</v>
      </c>
      <c r="V534" t="n">
        <v>0</v>
      </c>
    </row>
    <row r="535">
      <c r="A535">
        <f>Skills!A14</f>
        <v/>
      </c>
      <c r="B535">
        <f>Skills!B14</f>
        <v/>
      </c>
      <c r="C535">
        <f>Inputs!$B$3&gt;=74</f>
        <v/>
      </c>
      <c r="D535">
        <f>IF(Skills!C14=1,60+Inputs!$B$25+Inputs!$B$29,IF(Skills!C14=2,90+Inputs!$B$26+Inputs!$B$29,IF(Skills!C14=3,120+Inputs!$B$27+Inputs!$B$29,MAX(0,(Inputs!$B$3-100)*3)+Inputs!$B$28+Inputs!$B$29)))</f>
        <v/>
      </c>
      <c r="E535">
        <f>INDEX(FactorTable!$B$2:$Y$301, MATCH(ROUND(MIN(300,MAX(1,D535)),0), FactorTable!$A$2:$A$301,0), Skills!M14+1)</f>
        <v/>
      </c>
      <c r="F535">
        <f>IF(Skills!N14=TRUE,(Skills!L14/10)*(E535/1000),Skills!L14/10)+Skills!O14</f>
        <v/>
      </c>
      <c r="G535">
        <f>Skills!G14*IF(Skills!H14&gt;0,Skills!I14/Skills!H14,1)</f>
        <v/>
      </c>
      <c r="H535">
        <f>1-(1-Skills!J14/100)^Skills!K14</f>
        <v/>
      </c>
      <c r="I535" t="inlineStr">
        <is>
          <t>1</t>
        </is>
      </c>
      <c r="J535" t="inlineStr"/>
      <c r="K535" t="inlineStr"/>
      <c r="L535" t="inlineStr"/>
      <c r="M535" t="inlineStr"/>
      <c r="N535" t="inlineStr"/>
      <c r="O535">
        <f>(1-Summary!$B$11)*T535+Summary!$B$11*V535</f>
        <v/>
      </c>
      <c r="P535">
        <f>IF(B563=0,0,O535/B563)</f>
        <v/>
      </c>
      <c r="Q535" t="n">
        <v>0</v>
      </c>
      <c r="R535" t="n">
        <v>0</v>
      </c>
      <c r="S535" t="n">
        <v>0</v>
      </c>
      <c r="T535" t="n">
        <v>0</v>
      </c>
      <c r="V535" t="n">
        <v>0</v>
      </c>
    </row>
    <row r="536">
      <c r="A536">
        <f>Skills!A15</f>
        <v/>
      </c>
      <c r="B536">
        <f>Skills!B15</f>
        <v/>
      </c>
      <c r="C536">
        <f>Inputs!$B$3&gt;=117</f>
        <v/>
      </c>
      <c r="D536">
        <f>IF(Skills!C15=1,60+Inputs!$B$25+Inputs!$B$29,IF(Skills!C15=2,90+Inputs!$B$26+Inputs!$B$29,IF(Skills!C15=3,120+Inputs!$B$27+Inputs!$B$29,MAX(0,(Inputs!$B$3-100)*3)+Inputs!$B$28+Inputs!$B$29)))</f>
        <v/>
      </c>
      <c r="E536">
        <f>INDEX(FactorTable!$B$2:$Y$301, MATCH(ROUND(MIN(300,MAX(1,D536)),0), FactorTable!$A$2:$A$301,0), Skills!M15+1)</f>
        <v/>
      </c>
      <c r="F536">
        <f>IF(Skills!N15=TRUE,(Skills!L15/10)*(E536/1000),Skills!L15/10)+Skills!O15</f>
        <v/>
      </c>
      <c r="G536">
        <f>Skills!G15*IF(Skills!H15&gt;0,Skills!I15/Skills!H15,1)</f>
        <v/>
      </c>
      <c r="H536">
        <f>1-(1-Skills!J15/100)^Skills!K15</f>
        <v/>
      </c>
      <c r="I536" t="inlineStr">
        <is>
          <t>1</t>
        </is>
      </c>
      <c r="J536" t="inlineStr"/>
      <c r="K536" t="inlineStr"/>
      <c r="L536" t="inlineStr"/>
      <c r="M536" t="inlineStr"/>
      <c r="N536" t="inlineStr"/>
      <c r="O536">
        <f>(1-Summary!$B$11)*T536+Summary!$B$11*V536</f>
        <v/>
      </c>
      <c r="P536">
        <f>IF(B563=0,0,O536/B563)</f>
        <v/>
      </c>
      <c r="Q536">
        <f>IFERROR(1/IF(Inputs!$B$38="pvp",15,MAX(0.1,Skills!D15-IF(Skills!E15=TRUE,Inputs!$B$32,0))),0)</f>
        <v/>
      </c>
      <c r="R536">
        <f>IF(AND(Inputs!$B$38&lt;&gt;"pvp",Inputs!$B$43&gt;0),IF(Inputs!$B$43&lt;=0,0,(INT(Inputs!$B$43/IF(Inputs!$B$38="pvp",15,MAX(0.1,Skills!D15-IF(Skills!E15=TRUE,Inputs!$B$32,0))))+1)),0)</f>
        <v/>
      </c>
      <c r="S536" t="n">
        <v>0</v>
      </c>
      <c r="T536" t="n">
        <v>0</v>
      </c>
      <c r="V536" t="n">
        <v>0</v>
      </c>
    </row>
    <row r="537">
      <c r="A537">
        <f>Skills!A16</f>
        <v/>
      </c>
      <c r="B537">
        <f>Skills!B16</f>
        <v/>
      </c>
      <c r="C537">
        <f>Inputs!$B$3&gt;=115</f>
        <v/>
      </c>
      <c r="D537">
        <f>IF(Skills!C16=1,60+Inputs!$B$25+Inputs!$B$29,IF(Skills!C16=2,90+Inputs!$B$26+Inputs!$B$29,IF(Skills!C16=3,120+Inputs!$B$27+Inputs!$B$29,MAX(0,(Inputs!$B$3-100)*3)+Inputs!$B$28+Inputs!$B$29)))</f>
        <v/>
      </c>
      <c r="E537">
        <f>INDEX(FactorTable!$B$2:$Y$301, MATCH(ROUND(MIN(300,MAX(1,D537)),0), FactorTable!$A$2:$A$301,0), Skills!M16+1)</f>
        <v/>
      </c>
      <c r="F537">
        <f>IF(Skills!N16=TRUE,(Skills!L16/10)*(E537/1000),Skills!L16/10)+Skills!O16</f>
        <v/>
      </c>
      <c r="G537">
        <f>Skills!G16*IF(Skills!H16&gt;0,Skills!I16/Skills!H16,1)</f>
        <v/>
      </c>
      <c r="H537">
        <f>1-(1-Skills!J16/100)^Skills!K16</f>
        <v/>
      </c>
      <c r="I537" t="inlineStr">
        <is>
          <t>1</t>
        </is>
      </c>
      <c r="J537" t="inlineStr"/>
      <c r="K537" t="inlineStr"/>
      <c r="L537" t="inlineStr"/>
      <c r="M537" t="inlineStr"/>
      <c r="N537" t="inlineStr"/>
      <c r="O537">
        <f>(1-Summary!$B$11)*T537+Summary!$B$11*V537</f>
        <v/>
      </c>
      <c r="P537">
        <f>IF(B563=0,0,O537/B563)</f>
        <v/>
      </c>
      <c r="Q537">
        <f>IFERROR(1/IF(Inputs!$B$38="pvp",15,MAX(0.1,Skills!D16-IF(Skills!E16=TRUE,Inputs!$B$32,0))),0)</f>
        <v/>
      </c>
      <c r="R537">
        <f>IF(AND(Inputs!$B$38&lt;&gt;"pvp",Inputs!$B$43&gt;0),IF(Inputs!$B$43&lt;=0,0,(INT(Inputs!$B$43/IF(Inputs!$B$38="pvp",15,MAX(0.1,Skills!D16-IF(Skills!E16=TRUE,Inputs!$B$32,0))))+1)),0)</f>
        <v/>
      </c>
      <c r="S537" t="n">
        <v>0</v>
      </c>
      <c r="T537" t="n">
        <v>0</v>
      </c>
      <c r="V537" t="n">
        <v>0</v>
      </c>
    </row>
    <row r="538">
      <c r="A538">
        <f>Skills!A17</f>
        <v/>
      </c>
      <c r="B538">
        <f>Skills!B17</f>
        <v/>
      </c>
      <c r="C538">
        <f>Inputs!$B$3&gt;=72</f>
        <v/>
      </c>
      <c r="D538">
        <f>IF(Skills!C17=1,60+Inputs!$B$25+Inputs!$B$29,IF(Skills!C17=2,90+Inputs!$B$26+Inputs!$B$29,IF(Skills!C17=3,120+Inputs!$B$27+Inputs!$B$29,MAX(0,(Inputs!$B$3-100)*3)+Inputs!$B$28+Inputs!$B$29)))</f>
        <v/>
      </c>
      <c r="E538">
        <f>INDEX(FactorTable!$B$2:$Y$301, MATCH(ROUND(MIN(300,MAX(1,D538)),0), FactorTable!$A$2:$A$301,0), Skills!M17+1)</f>
        <v/>
      </c>
      <c r="F538">
        <f>IF(Skills!N17=TRUE,(Skills!L17/10)*(E538/1000),Skills!L17/10)+Skills!O17</f>
        <v/>
      </c>
      <c r="G538">
        <f>Skills!G17*IF(Skills!H17&gt;0,Skills!I17/Skills!H17,1)</f>
        <v/>
      </c>
      <c r="H538">
        <f>1-(1-Skills!J17/100)^Skills!K17</f>
        <v/>
      </c>
      <c r="I538" t="inlineStr">
        <is>
          <t>1</t>
        </is>
      </c>
      <c r="J538" t="inlineStr"/>
      <c r="K538" t="inlineStr"/>
      <c r="L538" t="inlineStr"/>
      <c r="M538" t="inlineStr"/>
      <c r="N538" t="inlineStr"/>
      <c r="O538">
        <f>(1-Summary!$B$11)*T538+Summary!$B$11*V538</f>
        <v/>
      </c>
      <c r="P538">
        <f>IF(B563=0,0,O538/B563)</f>
        <v/>
      </c>
      <c r="Q538" t="n">
        <v>0</v>
      </c>
      <c r="R538" t="n">
        <v>0</v>
      </c>
      <c r="S538" t="n">
        <v>0</v>
      </c>
      <c r="T538" t="n">
        <v>0</v>
      </c>
      <c r="V538" t="n">
        <v>0</v>
      </c>
    </row>
    <row r="539">
      <c r="A539">
        <f>Skills!A18</f>
        <v/>
      </c>
      <c r="B539">
        <f>Skills!B18</f>
        <v/>
      </c>
      <c r="C539">
        <f>TRUE</f>
        <v/>
      </c>
      <c r="D539">
        <f>IF(Skills!C18=1,60+Inputs!$B$25+Inputs!$B$29,IF(Skills!C18=2,90+Inputs!$B$26+Inputs!$B$29,IF(Skills!C18=3,120+Inputs!$B$27+Inputs!$B$29,MAX(0,(Inputs!$B$3-100)*3)+Inputs!$B$28+Inputs!$B$29)))</f>
        <v/>
      </c>
      <c r="E539">
        <f>INDEX(FactorTable!$B$2:$Y$301, MATCH(ROUND(MIN(300,MAX(1,D539)),0), FactorTable!$A$2:$A$301,0), Skills!M18+1)</f>
        <v/>
      </c>
      <c r="F539">
        <f>IF(Skills!N18=TRUE,(Skills!L18/10)*(E539/1000),Skills!L18/10)+Skills!O18</f>
        <v/>
      </c>
      <c r="G539">
        <f>Skills!G18*IF(Skills!H18&gt;0,Skills!I18/Skills!H18,1)</f>
        <v/>
      </c>
      <c r="H539">
        <f>1-(1-Skills!J18/100)^Skills!K18</f>
        <v/>
      </c>
      <c r="I539" t="inlineStr">
        <is>
          <t>1</t>
        </is>
      </c>
      <c r="J539" t="inlineStr"/>
      <c r="K539" t="inlineStr"/>
      <c r="L539" t="inlineStr"/>
      <c r="M539" t="inlineStr"/>
      <c r="N539" t="inlineStr"/>
      <c r="O539">
        <f>(1-Summary!$B$11)*T539+Summary!$B$11*V539</f>
        <v/>
      </c>
      <c r="P539">
        <f>IF(B563=0,0,O539/B563)</f>
        <v/>
      </c>
      <c r="Q539">
        <f>IFERROR(1/IF(Inputs!$B$38="pvp",15,MAX(0.1,Skills!D18-IF(Skills!E18=TRUE,Inputs!$B$32,0))),0)</f>
        <v/>
      </c>
      <c r="R539">
        <f>IF(AND(Inputs!$B$38&lt;&gt;"pvp",Inputs!$B$43&gt;0),IF(Inputs!$B$43&lt;=0,0,(INT(Inputs!$B$43/IF(Inputs!$B$38="pvp",15,MAX(0.1,Skills!D18-IF(Skills!E18=TRUE,Inputs!$B$32,0))))+1)),0)</f>
        <v/>
      </c>
      <c r="S539" t="n">
        <v>0</v>
      </c>
      <c r="T539" t="n">
        <v>0</v>
      </c>
      <c r="V539" t="n">
        <v>0</v>
      </c>
    </row>
    <row r="540">
      <c r="A540">
        <f>Skills!A19</f>
        <v/>
      </c>
      <c r="B540">
        <f>Skills!B19</f>
        <v/>
      </c>
      <c r="C540">
        <f>Inputs!$B$3&gt;=15</f>
        <v/>
      </c>
      <c r="D540">
        <f>IF(Skills!C19=1,60+Inputs!$B$25+Inputs!$B$29,IF(Skills!C19=2,90+Inputs!$B$26+Inputs!$B$29,IF(Skills!C19=3,120+Inputs!$B$27+Inputs!$B$29,MAX(0,(Inputs!$B$3-100)*3)+Inputs!$B$28+Inputs!$B$29)))</f>
        <v/>
      </c>
      <c r="E540">
        <f>INDEX(FactorTable!$B$2:$Y$301, MATCH(ROUND(MIN(300,MAX(1,D540)),0), FactorTable!$A$2:$A$301,0), Skills!M19+1)</f>
        <v/>
      </c>
      <c r="F540">
        <f>IF(Skills!N19=TRUE,(Skills!L19/10)*(E540/1000),Skills!L19/10)+Skills!O19</f>
        <v/>
      </c>
      <c r="G540">
        <f>Skills!G19*IF(Skills!H19&gt;0,Skills!I19/Skills!H19,1)</f>
        <v/>
      </c>
      <c r="H540">
        <f>1-(1-Skills!J19/100)^Skills!K19</f>
        <v/>
      </c>
      <c r="I540" t="inlineStr">
        <is>
          <t>1</t>
        </is>
      </c>
      <c r="J540" t="inlineStr"/>
      <c r="K540" t="inlineStr"/>
      <c r="L540" t="inlineStr"/>
      <c r="M540" t="inlineStr"/>
      <c r="N540" t="inlineStr"/>
      <c r="O540">
        <f>(1-Summary!$B$11)*T540+Summary!$B$11*V540</f>
        <v/>
      </c>
      <c r="P540">
        <f>IF(B563=0,0,O540/B563)</f>
        <v/>
      </c>
      <c r="Q540" t="n">
        <v>0</v>
      </c>
      <c r="R540" t="n">
        <v>0</v>
      </c>
      <c r="S540" t="n">
        <v>0</v>
      </c>
      <c r="T540" t="n">
        <v>0</v>
      </c>
      <c r="V540" t="n">
        <v>0</v>
      </c>
    </row>
    <row r="541">
      <c r="A541">
        <f>Skills!A20</f>
        <v/>
      </c>
      <c r="B541">
        <f>Skills!B20</f>
        <v/>
      </c>
      <c r="C541">
        <f>Inputs!$B$3&gt;=10</f>
        <v/>
      </c>
      <c r="D541">
        <f>IF(Skills!C20=1,60+Inputs!$B$25+Inputs!$B$29,IF(Skills!C20=2,90+Inputs!$B$26+Inputs!$B$29,IF(Skills!C20=3,120+Inputs!$B$27+Inputs!$B$29,MAX(0,(Inputs!$B$3-100)*3)+Inputs!$B$28+Inputs!$B$29)))</f>
        <v/>
      </c>
      <c r="E541">
        <f>INDEX(FactorTable!$B$2:$Y$301, MATCH(ROUND(MIN(300,MAX(1,D541)),0), FactorTable!$A$2:$A$301,0), Skills!M20+1)</f>
        <v/>
      </c>
      <c r="F541">
        <f>IF(Skills!N20=TRUE,(Skills!L20/10)*(E541/1000),Skills!L20/10)+Skills!O20</f>
        <v/>
      </c>
      <c r="G541">
        <f>Skills!G20*IF(Skills!H20&gt;0,Skills!I20/Skills!H20,1)</f>
        <v/>
      </c>
      <c r="H541">
        <f>1-(1-Skills!J20/100)^Skills!K20</f>
        <v/>
      </c>
      <c r="I541" t="inlineStr">
        <is>
          <t>1</t>
        </is>
      </c>
      <c r="J541" t="inlineStr"/>
      <c r="K541" t="inlineStr"/>
      <c r="L541" t="inlineStr"/>
      <c r="M541" t="inlineStr"/>
      <c r="N541" t="inlineStr"/>
      <c r="O541">
        <f>(1-Summary!$B$11)*T541+Summary!$B$11*V541</f>
        <v/>
      </c>
      <c r="P541">
        <f>IF(B563=0,0,O541/B563)</f>
        <v/>
      </c>
      <c r="Q541" t="n">
        <v>0</v>
      </c>
      <c r="R541" t="n">
        <v>0</v>
      </c>
      <c r="S541" t="n">
        <v>0</v>
      </c>
      <c r="T541" t="n">
        <v>0</v>
      </c>
      <c r="V541" t="n">
        <v>0</v>
      </c>
    </row>
    <row r="542">
      <c r="A542">
        <f>Skills!A21</f>
        <v/>
      </c>
      <c r="B542">
        <f>Skills!B21</f>
        <v/>
      </c>
      <c r="C542">
        <f>Inputs!$B$3&gt;=33</f>
        <v/>
      </c>
      <c r="D542">
        <f>IF(Skills!C21=1,60+Inputs!$B$25+Inputs!$B$29,IF(Skills!C21=2,90+Inputs!$B$26+Inputs!$B$29,IF(Skills!C21=3,120+Inputs!$B$27+Inputs!$B$29,MAX(0,(Inputs!$B$3-100)*3)+Inputs!$B$28+Inputs!$B$29)))</f>
        <v/>
      </c>
      <c r="E542">
        <f>INDEX(FactorTable!$B$2:$Y$301, MATCH(ROUND(MIN(300,MAX(1,D542)),0), FactorTable!$A$2:$A$301,0), Skills!M21+1)</f>
        <v/>
      </c>
      <c r="F542">
        <f>IF(Skills!N21=TRUE,(Skills!L21/10)*(E542/1000),Skills!L21/10)+Skills!O21</f>
        <v/>
      </c>
      <c r="G542">
        <f>Skills!G21*IF(Skills!H21&gt;0,Skills!I21/Skills!H21,1)</f>
        <v/>
      </c>
      <c r="H542">
        <f>1-(1-Skills!J21/100)^Skills!K21</f>
        <v/>
      </c>
      <c r="I542" t="inlineStr">
        <is>
          <t>1</t>
        </is>
      </c>
      <c r="J542" t="inlineStr"/>
      <c r="K542" t="inlineStr"/>
      <c r="L542" t="inlineStr"/>
      <c r="M542" t="inlineStr"/>
      <c r="N542" t="inlineStr"/>
      <c r="O542">
        <f>(1-Summary!$B$11)*T542+Summary!$B$11*V542</f>
        <v/>
      </c>
      <c r="P542">
        <f>IF(B563=0,0,O542/B563)</f>
        <v/>
      </c>
      <c r="Q542" t="n">
        <v>0</v>
      </c>
      <c r="R542" t="n">
        <v>0</v>
      </c>
      <c r="S542" t="n">
        <v>0</v>
      </c>
      <c r="T542" t="n">
        <v>0</v>
      </c>
      <c r="V542" t="n">
        <v>0</v>
      </c>
    </row>
    <row r="543">
      <c r="A543">
        <f>Skills!A22</f>
        <v/>
      </c>
      <c r="B543">
        <f>Skills!B22</f>
        <v/>
      </c>
      <c r="C543">
        <f>Inputs!$B$3&gt;=38</f>
        <v/>
      </c>
      <c r="D543">
        <f>IF(Skills!C22=1,60+Inputs!$B$25+Inputs!$B$29,IF(Skills!C22=2,90+Inputs!$B$26+Inputs!$B$29,IF(Skills!C22=3,120+Inputs!$B$27+Inputs!$B$29,MAX(0,(Inputs!$B$3-100)*3)+Inputs!$B$28+Inputs!$B$29)))</f>
        <v/>
      </c>
      <c r="E543">
        <f>INDEX(FactorTable!$B$2:$Y$301, MATCH(ROUND(MIN(300,MAX(1,D543)),0), FactorTable!$A$2:$A$301,0), Skills!M22+1)</f>
        <v/>
      </c>
      <c r="F543">
        <f>IF(Skills!N22=TRUE,(Skills!L22/10)*(E543/1000),Skills!L22/10)+Skills!O22</f>
        <v/>
      </c>
      <c r="G543">
        <f>Skills!G22*IF(Skills!H22&gt;0,Skills!I22/Skills!H22,1)</f>
        <v/>
      </c>
      <c r="H543">
        <f>1-(1-Skills!J22/100)^Skills!K22</f>
        <v/>
      </c>
      <c r="I543" t="inlineStr">
        <is>
          <t>1</t>
        </is>
      </c>
      <c r="J543" t="inlineStr"/>
      <c r="K543" t="inlineStr"/>
      <c r="L543" t="inlineStr"/>
      <c r="M543" t="inlineStr"/>
      <c r="N543" t="inlineStr"/>
      <c r="O543">
        <f>(1-Summary!$B$11)*T543+Summary!$B$11*V543</f>
        <v/>
      </c>
      <c r="P543">
        <f>IF(B563=0,0,O543/B563)</f>
        <v/>
      </c>
      <c r="Q543" t="n">
        <v>0</v>
      </c>
      <c r="R543" t="n">
        <v>0</v>
      </c>
      <c r="S543" t="n">
        <v>0</v>
      </c>
      <c r="T543" t="n">
        <v>0</v>
      </c>
      <c r="V543" t="n">
        <v>0</v>
      </c>
    </row>
    <row r="544">
      <c r="A544">
        <f>Skills!A23</f>
        <v/>
      </c>
      <c r="B544">
        <f>Skills!B23</f>
        <v/>
      </c>
      <c r="C544">
        <f>Inputs!$B$3&gt;=43</f>
        <v/>
      </c>
      <c r="D544">
        <f>IF(Skills!C23=1,60+Inputs!$B$25+Inputs!$B$29,IF(Skills!C23=2,90+Inputs!$B$26+Inputs!$B$29,IF(Skills!C23=3,120+Inputs!$B$27+Inputs!$B$29,MAX(0,(Inputs!$B$3-100)*3)+Inputs!$B$28+Inputs!$B$29)))</f>
        <v/>
      </c>
      <c r="E544">
        <f>INDEX(FactorTable!$B$2:$Y$301, MATCH(ROUND(MIN(300,MAX(1,D544)),0), FactorTable!$A$2:$A$301,0), Skills!M23+1)</f>
        <v/>
      </c>
      <c r="F544">
        <f>IF(Skills!N23=TRUE,(Skills!L23/10)*(E544/1000),Skills!L23/10)+Skills!O23</f>
        <v/>
      </c>
      <c r="G544">
        <f>Skills!G23*IF(Skills!H23&gt;0,Skills!I23/Skills!H23,1)</f>
        <v/>
      </c>
      <c r="H544">
        <f>1-(1-Skills!J23/100)^Skills!K23</f>
        <v/>
      </c>
      <c r="I544" t="inlineStr">
        <is>
          <t>1</t>
        </is>
      </c>
      <c r="J544" t="inlineStr"/>
      <c r="K544" t="inlineStr"/>
      <c r="L544" t="inlineStr"/>
      <c r="M544" t="inlineStr"/>
      <c r="N544" t="inlineStr"/>
      <c r="O544">
        <f>(1-Summary!$B$11)*T544+Summary!$B$11*V544</f>
        <v/>
      </c>
      <c r="P544">
        <f>IF(B563=0,0,O544/B563)</f>
        <v/>
      </c>
      <c r="Q544" t="n">
        <v>0</v>
      </c>
      <c r="R544" t="n">
        <v>0</v>
      </c>
      <c r="S544" t="n">
        <v>0</v>
      </c>
      <c r="T544" t="n">
        <v>0</v>
      </c>
      <c r="V544" t="n">
        <v>0</v>
      </c>
    </row>
    <row r="545">
      <c r="A545">
        <f>Skills!A24</f>
        <v/>
      </c>
      <c r="B545">
        <f>Skills!B24</f>
        <v/>
      </c>
      <c r="C545">
        <f>Inputs!$B$3&gt;=75</f>
        <v/>
      </c>
      <c r="D545">
        <f>IF(Skills!C24=1,60+Inputs!$B$25+Inputs!$B$29,IF(Skills!C24=2,90+Inputs!$B$26+Inputs!$B$29,IF(Skills!C24=3,120+Inputs!$B$27+Inputs!$B$29,MAX(0,(Inputs!$B$3-100)*3)+Inputs!$B$28+Inputs!$B$29)))</f>
        <v/>
      </c>
      <c r="E545">
        <f>INDEX(FactorTable!$B$2:$Y$301, MATCH(ROUND(MIN(300,MAX(1,D545)),0), FactorTable!$A$2:$A$301,0), Skills!M24+1)</f>
        <v/>
      </c>
      <c r="F545">
        <f>IF(Skills!N24=TRUE,(Skills!L24/10)*(E545/1000),Skills!L24/10)+Skills!O24</f>
        <v/>
      </c>
      <c r="G545">
        <f>Skills!G24*IF(Skills!H24&gt;0,Skills!I24/Skills!H24,1)</f>
        <v/>
      </c>
      <c r="H545">
        <f>1-(1-Skills!J24/100)^Skills!K24</f>
        <v/>
      </c>
      <c r="I545" t="inlineStr">
        <is>
          <t>1</t>
        </is>
      </c>
      <c r="J545" t="inlineStr"/>
      <c r="K545" t="inlineStr"/>
      <c r="L545" t="inlineStr"/>
      <c r="M545" t="inlineStr"/>
      <c r="N545" t="inlineStr"/>
      <c r="O545">
        <f>(1-Summary!$B$11)*T545+Summary!$B$11*V545</f>
        <v/>
      </c>
      <c r="P545">
        <f>IF(B563=0,0,O545/B563)</f>
        <v/>
      </c>
      <c r="Q545" t="n">
        <v>0</v>
      </c>
      <c r="R545" t="n">
        <v>0</v>
      </c>
      <c r="S545" t="n">
        <v>0</v>
      </c>
      <c r="T545" t="n">
        <v>0</v>
      </c>
      <c r="V545" t="n">
        <v>0</v>
      </c>
    </row>
    <row r="546">
      <c r="A546">
        <f>Skills!A25</f>
        <v/>
      </c>
      <c r="B546">
        <f>Skills!B25</f>
        <v/>
      </c>
      <c r="C546">
        <f>Inputs!$B$3&gt;=125</f>
        <v/>
      </c>
      <c r="D546">
        <f>IF(Skills!C25=1,60+Inputs!$B$25+Inputs!$B$29,IF(Skills!C25=2,90+Inputs!$B$26+Inputs!$B$29,IF(Skills!C25=3,120+Inputs!$B$27+Inputs!$B$29,MAX(0,(Inputs!$B$3-100)*3)+Inputs!$B$28+Inputs!$B$29)))</f>
        <v/>
      </c>
      <c r="E546">
        <f>INDEX(FactorTable!$B$2:$Y$301, MATCH(ROUND(MIN(300,MAX(1,D546)),0), FactorTable!$A$2:$A$301,0), Skills!M25+1)</f>
        <v/>
      </c>
      <c r="F546">
        <f>IF(Skills!N25=TRUE,(Skills!L25/10)*(E546/1000),Skills!L25/10)+Skills!O25</f>
        <v/>
      </c>
      <c r="G546">
        <f>Skills!G25*IF(Skills!H25&gt;0,Skills!I25/Skills!H25,1)</f>
        <v/>
      </c>
      <c r="H546">
        <f>1-(1-Skills!J25/100)^Skills!K25</f>
        <v/>
      </c>
      <c r="I546" t="inlineStr">
        <is>
          <t>1</t>
        </is>
      </c>
      <c r="J546" t="inlineStr"/>
      <c r="K546" t="inlineStr"/>
      <c r="L546" t="inlineStr"/>
      <c r="M546" t="inlineStr"/>
      <c r="N546" t="inlineStr"/>
      <c r="O546">
        <f>(1-Summary!$B$11)*T546+Summary!$B$11*V546</f>
        <v/>
      </c>
      <c r="P546">
        <f>IF(B563=0,0,O546/B563)</f>
        <v/>
      </c>
      <c r="Q546" t="n">
        <v>0</v>
      </c>
      <c r="R546" t="n">
        <v>0</v>
      </c>
      <c r="S546" t="n">
        <v>0</v>
      </c>
      <c r="T546" t="n">
        <v>0</v>
      </c>
      <c r="V546" t="n">
        <v>0</v>
      </c>
    </row>
    <row r="547">
      <c r="A547">
        <f>Skills!A26</f>
        <v/>
      </c>
      <c r="B547">
        <f>Skills!B26</f>
        <v/>
      </c>
      <c r="C547">
        <f>Inputs!$B$3&gt;=125</f>
        <v/>
      </c>
      <c r="D547">
        <f>IF(Skills!C26=1,60+Inputs!$B$25+Inputs!$B$29,IF(Skills!C26=2,90+Inputs!$B$26+Inputs!$B$29,IF(Skills!C26=3,120+Inputs!$B$27+Inputs!$B$29,MAX(0,(Inputs!$B$3-100)*3)+Inputs!$B$28+Inputs!$B$29)))</f>
        <v/>
      </c>
      <c r="E547">
        <f>INDEX(FactorTable!$B$2:$Y$301, MATCH(ROUND(MIN(300,MAX(1,D547)),0), FactorTable!$A$2:$A$301,0), Skills!M26+1)</f>
        <v/>
      </c>
      <c r="F547">
        <f>IF(Skills!N26=TRUE,(Skills!L26/10)*(E547/1000),Skills!L26/10)+Skills!O26</f>
        <v/>
      </c>
      <c r="G547">
        <f>Skills!G26*IF(Skills!H26&gt;0,Skills!I26/Skills!H26,1)</f>
        <v/>
      </c>
      <c r="H547">
        <f>1-(1-Skills!J26/100)^Skills!K26</f>
        <v/>
      </c>
      <c r="I547" t="inlineStr">
        <is>
          <t>1</t>
        </is>
      </c>
      <c r="J547" t="inlineStr"/>
      <c r="K547" t="inlineStr"/>
      <c r="L547" t="inlineStr"/>
      <c r="M547" t="inlineStr"/>
      <c r="N547" t="inlineStr"/>
      <c r="O547">
        <f>(1-Summary!$B$11)*T547+Summary!$B$11*V547</f>
        <v/>
      </c>
      <c r="P547">
        <f>IF(B563=0,0,O547/B563)</f>
        <v/>
      </c>
      <c r="Q547" t="n">
        <v>0</v>
      </c>
      <c r="R547" t="n">
        <v>0</v>
      </c>
      <c r="S547" t="n">
        <v>0</v>
      </c>
      <c r="T547" t="n">
        <v>0</v>
      </c>
      <c r="V547" t="n">
        <v>0</v>
      </c>
    </row>
    <row r="548">
      <c r="A548">
        <f>Skills!A27</f>
        <v/>
      </c>
      <c r="B548">
        <f>Skills!B27</f>
        <v/>
      </c>
      <c r="C548">
        <f>Inputs!$B$3&gt;=120</f>
        <v/>
      </c>
      <c r="D548">
        <f>IF(Skills!C27=1,60+Inputs!$B$25+Inputs!$B$29,IF(Skills!C27=2,90+Inputs!$B$26+Inputs!$B$29,IF(Skills!C27=3,120+Inputs!$B$27+Inputs!$B$29,MAX(0,(Inputs!$B$3-100)*3)+Inputs!$B$28+Inputs!$B$29)))</f>
        <v/>
      </c>
      <c r="E548">
        <f>INDEX(FactorTable!$B$2:$Y$301, MATCH(ROUND(MIN(300,MAX(1,D548)),0), FactorTable!$A$2:$A$301,0), Skills!M27+1)</f>
        <v/>
      </c>
      <c r="F548">
        <f>IF(Skills!N27=TRUE,(Skills!L27/10)*(E548/1000),Skills!L27/10)+Skills!O27</f>
        <v/>
      </c>
      <c r="G548">
        <f>Skills!G27*IF(Skills!H27&gt;0,Skills!I27/Skills!H27,1)</f>
        <v/>
      </c>
      <c r="H548">
        <f>1-(1-Skills!J27/100)^Skills!K27</f>
        <v/>
      </c>
      <c r="I548" t="inlineStr">
        <is>
          <t>1</t>
        </is>
      </c>
      <c r="J548" t="inlineStr"/>
      <c r="K548" t="inlineStr"/>
      <c r="L548" t="inlineStr"/>
      <c r="M548" t="inlineStr"/>
      <c r="N548" t="inlineStr"/>
      <c r="O548">
        <f>(1-Summary!$B$11)*T548+Summary!$B$11*V548</f>
        <v/>
      </c>
      <c r="P548">
        <f>IF(B563=0,0,O548/B563)</f>
        <v/>
      </c>
      <c r="Q548" t="n">
        <v>0</v>
      </c>
      <c r="R548" t="n">
        <v>0</v>
      </c>
      <c r="S548" t="n">
        <v>0</v>
      </c>
      <c r="T548" t="n">
        <v>0</v>
      </c>
      <c r="V548" t="n">
        <v>0</v>
      </c>
    </row>
    <row r="549">
      <c r="A549">
        <f>Skills!A28</f>
        <v/>
      </c>
      <c r="B549">
        <f>Skills!B28</f>
        <v/>
      </c>
      <c r="C549">
        <f>Inputs!$B$3&gt;=120</f>
        <v/>
      </c>
      <c r="D549">
        <f>IF(Skills!C28=1,60+Inputs!$B$25+Inputs!$B$29,IF(Skills!C28=2,90+Inputs!$B$26+Inputs!$B$29,IF(Skills!C28=3,120+Inputs!$B$27+Inputs!$B$29,MAX(0,(Inputs!$B$3-100)*3)+Inputs!$B$28+Inputs!$B$29)))</f>
        <v/>
      </c>
      <c r="E549">
        <f>INDEX(FactorTable!$B$2:$Y$301, MATCH(ROUND(MIN(300,MAX(1,D549)),0), FactorTable!$A$2:$A$301,0), Skills!M28+1)</f>
        <v/>
      </c>
      <c r="F549">
        <f>IF(Skills!N28=TRUE,(Skills!L28/10)*(E549/1000),Skills!L28/10)+Skills!O28</f>
        <v/>
      </c>
      <c r="G549">
        <f>Skills!G28*IF(Skills!H28&gt;0,Skills!I28/Skills!H28,1)</f>
        <v/>
      </c>
      <c r="H549">
        <f>1-(1-Skills!J28/100)^Skills!K28</f>
        <v/>
      </c>
      <c r="I549" t="inlineStr">
        <is>
          <t>1</t>
        </is>
      </c>
      <c r="J549" t="inlineStr"/>
      <c r="K549" t="inlineStr"/>
      <c r="L549" t="inlineStr"/>
      <c r="M549" t="inlineStr"/>
      <c r="N549" t="inlineStr"/>
      <c r="O549">
        <f>(1-Summary!$B$11)*T549+Summary!$B$11*V549</f>
        <v/>
      </c>
      <c r="P549">
        <f>IF(B563=0,0,O549/B563)</f>
        <v/>
      </c>
      <c r="Q549" t="n">
        <v>0</v>
      </c>
      <c r="R549" t="n">
        <v>0</v>
      </c>
      <c r="S549" t="n">
        <v>0</v>
      </c>
      <c r="T549" t="n">
        <v>0</v>
      </c>
      <c r="V549" t="n">
        <v>0</v>
      </c>
    </row>
    <row r="550">
      <c r="A550">
        <f>Skills!A29</f>
        <v/>
      </c>
      <c r="B550">
        <f>Skills!B29</f>
        <v/>
      </c>
      <c r="C550">
        <f>Inputs!$B$3&gt;=45</f>
        <v/>
      </c>
      <c r="D550">
        <f>IF(Skills!C29=1,60+Inputs!$B$25+Inputs!$B$29,IF(Skills!C29=2,90+Inputs!$B$26+Inputs!$B$29,IF(Skills!C29=3,120+Inputs!$B$27+Inputs!$B$29,MAX(0,(Inputs!$B$3-100)*3)+Inputs!$B$28+Inputs!$B$29)))</f>
        <v/>
      </c>
      <c r="E550">
        <f>INDEX(FactorTable!$B$2:$Y$301, MATCH(ROUND(MIN(300,MAX(1,D550)),0), FactorTable!$A$2:$A$301,0), Skills!M29+1)</f>
        <v/>
      </c>
      <c r="F550">
        <f>IF(Skills!N29=TRUE,(Skills!L29/10)*(E550/1000),Skills!L29/10)+Skills!O29</f>
        <v/>
      </c>
      <c r="G550">
        <f>Skills!G29*IF(Skills!H29&gt;0,Skills!I29/Skills!H29,1)</f>
        <v/>
      </c>
      <c r="H550">
        <f>1-(1-Skills!J29/100)^Skills!K29</f>
        <v/>
      </c>
      <c r="I550" t="inlineStr">
        <is>
          <t>1</t>
        </is>
      </c>
      <c r="J550" t="inlineStr"/>
      <c r="K550" t="inlineStr"/>
      <c r="L550" t="inlineStr"/>
      <c r="M550" t="inlineStr"/>
      <c r="N550" t="inlineStr"/>
      <c r="O550">
        <f>(1-Summary!$B$11)*T550+Summary!$B$11*V550</f>
        <v/>
      </c>
      <c r="P550">
        <f>IF(B563=0,0,O550/B563)</f>
        <v/>
      </c>
      <c r="Q550" t="n">
        <v>0</v>
      </c>
      <c r="R550" t="n">
        <v>0</v>
      </c>
      <c r="S550" t="n">
        <v>0</v>
      </c>
      <c r="T550" t="n">
        <v>0</v>
      </c>
      <c r="V550" t="n">
        <v>0</v>
      </c>
    </row>
    <row r="552">
      <c r="A552" t="inlineStr">
        <is>
          <t>Attack% Bucket Multiplier</t>
        </is>
      </c>
      <c r="B552">
        <f>(1+(((C534=TRUE)*F534)+((C535=TRUE)*IF(Inputs!$B$38="pvp",F535,(1-Summary!$B$11)*(F535)+Summary!$B$11*(0)))+((C536=TRUE)*F536*IF(AND(Inputs!$B$38&lt;&gt;"pvp",Inputs!$B$43&gt;0),(((R536-1)*(Skills!T15*(1+Inputs!$B$34/100))+MIN((Skills!T15*(1+Inputs!$B$34/100)),MAX(0,Inputs!$B$43-((R536-1)*Skills!D15))))/Inputs!$B$43),IF(Inputs!$B$38="pvp",MIN((Skills!T15*(1+Inputs!$B$34/100)),15)/15,(Skills!T15*(1+Inputs!$B$34/100))/Skills!D15)))+((C533=TRUE)*F533)+((C550=TRUE)*(F550-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553">
      <c r="A553" t="inlineStr">
        <is>
          <t>Global Crit Rate Bonus %</t>
        </is>
      </c>
      <c r="B553">
        <f>(C537=TRUE)*20*IF(AND(Inputs!$B$38&lt;&gt;"pvp",Inputs!$B$43&gt;0),(((R537-1)*(Skills!T16*(1+Inputs!$B$34/100))+MIN((Skills!T16*(1+Inputs!$B$34/100)),MAX(0,Inputs!$B$43-((R537-1)*Skills!D16))))/Inputs!$B$43),IF(Inputs!$B$38="pvp",MIN((Skills!T16*(1+Inputs!$B$34/100)),15)/15,(Skills!T16*(1+Inputs!$B$34/100))/Skills!D16))</f>
        <v/>
      </c>
    </row>
    <row r="554">
      <c r="A554" t="inlineStr">
        <is>
          <t>Attack Speed Buff Bonus %</t>
        </is>
      </c>
      <c r="B554">
        <f>((C539=TRUE)*F539*IF(AND(Inputs!$B$38&lt;&gt;"pvp",Inputs!$B$43&gt;0),(((R539-1)*(Skills!T18*(1+Inputs!$B$34/100))+MIN((Skills!T18*(1+Inputs!$B$34/100)),MAX(0,Inputs!$B$43-((R539-1)*Skills!D18))))/Inputs!$B$43),IF(Inputs!$B$38="pvp",MIN((Skills!T18*(1+Inputs!$B$34/100)),15)/15,(Skills!T18*(1+Inputs!$B$34/100))/Skills!D18)))</f>
        <v/>
      </c>
    </row>
    <row r="555">
      <c r="A555" t="inlineStr">
        <is>
          <t>Actions Per Second</t>
        </is>
      </c>
      <c r="B555">
        <f>1+MIN(150,150*(1-(1-(Inputs!$B$11+((C541=TRUE)*(F541-Calc!F20))+((C542=TRUE)*(F542-Calc!F21)))/150)*(1-B554/150)))/100</f>
        <v/>
      </c>
    </row>
    <row r="556">
      <c r="A556" t="inlineStr">
        <is>
          <t>Skill + Buff Cast Rate</t>
        </is>
      </c>
      <c r="B556">
        <f>IF(AND(Inputs!$B$38&lt;&gt;"pvp",Inputs!$B$43&gt;0),SUMPRODUCT((Skills!E2:E29=TRUE)*(C523:C550=TRUE)*R523:R550*Skills!F2:F29)/Inputs!$B$43,SUMPRODUCT((Skills!E2:E29=TRUE)*(C523:C550=TRUE)*Q523:Q550*Skills!F2:F29))</f>
        <v/>
      </c>
    </row>
    <row r="557">
      <c r="A557" t="inlineStr">
        <is>
          <t>Empowered Piercing Arrow Casts Per Second</t>
        </is>
      </c>
      <c r="B557">
        <f>MAX(0,B555-B556)</f>
        <v/>
      </c>
    </row>
    <row r="558">
      <c r="A558" t="inlineStr">
        <is>
          <t>Global Critical Damage Bonus % (Sharp Eyes)</t>
        </is>
      </c>
      <c r="B558">
        <f>(C537=TRUE)*F537*IF(AND(Inputs!$B$38&lt;&gt;"pvp",Inputs!$B$43&gt;0),(((R537-1)*(Skills!T16*(1+Inputs!$B$34/100))+MIN((Skills!T16*(1+Inputs!$B$34/100)),MAX(0,Inputs!$B$43-((R537-1)*Skills!D16))))/Inputs!$B$43),IF(Inputs!$B$38="pvp",MIN((Skills!T16*(1+Inputs!$B$34/100)),15)/15,(Skills!T16*(1+Inputs!$B$34/100))/Skills!D16))</f>
        <v/>
      </c>
    </row>
    <row r="559">
      <c r="A559" t="inlineStr">
        <is>
          <t>Global Final Damage Bonus % (Mortal Blow + Last Man Standing conditional half)</t>
        </is>
      </c>
      <c r="B559">
        <f>(C538=TRUE)*F538+((C547=TRUE)*IF(Inputs!$B$38="pvp",F547,(1-Summary!$B$11)*(F547)+Summary!$B$11*(0)))</f>
        <v/>
      </c>
    </row>
    <row r="560">
      <c r="A560" t="inlineStr">
        <is>
          <t>Buff-Casting Startup Delay (s, fixed-duration only)</t>
        </is>
      </c>
      <c r="B560">
        <f>IF(AND(Inputs!$B$38&lt;&gt;"pvp",Inputs!$B$43&gt;0),SUMPRODUCT((Skills!T2:T29&gt;0)*(Skills!E2:E29=TRUE)*(C523:C550=TRUE))/B555,0)</f>
        <v/>
      </c>
    </row>
    <row r="561">
      <c r="A561" t="inlineStr">
        <is>
          <t>Boss-Only Total DPS (this block's swept value)</t>
        </is>
      </c>
      <c r="B561">
        <f>SUM(T523:T550)</f>
        <v/>
      </c>
    </row>
    <row r="562">
      <c r="A562" t="inlineStr">
        <is>
          <t>Normal-Only Total DPS (this block's swept value)</t>
        </is>
      </c>
      <c r="B562">
        <f>SUM(V523:V550)</f>
        <v/>
      </c>
    </row>
    <row r="563">
      <c r="A563" s="6" t="inlineStr">
        <is>
          <t>TOTAL DPS</t>
        </is>
      </c>
      <c r="B563" s="6">
        <f>SUM(O523:O550)</f>
        <v/>
      </c>
    </row>
    <row r="566">
      <c r="A566" s="6" t="inlineStr">
        <is>
          <t>Stat: CRIT_DAMAGE %</t>
        </is>
      </c>
    </row>
    <row r="567">
      <c r="A567" s="5" t="inlineStr">
        <is>
          <t>Key</t>
        </is>
      </c>
      <c r="B567" s="5" t="inlineStr">
        <is>
          <t>Name</t>
        </is>
      </c>
      <c r="C567" s="5" t="inlineStr">
        <is>
          <t>Unlocked</t>
        </is>
      </c>
      <c r="D567" s="5" t="inlineStr">
        <is>
          <t>InputLevel</t>
        </is>
      </c>
      <c r="E567" s="5" t="inlineStr">
        <is>
          <t>Factor</t>
        </is>
      </c>
      <c r="F567" s="5" t="inlineStr">
        <is>
          <t>CoefficientPercent</t>
        </is>
      </c>
      <c r="G567" s="5" t="inlineStr">
        <is>
          <t>EffectiveHits</t>
        </is>
      </c>
      <c r="H567" s="5" t="inlineStr">
        <is>
          <t>ProcProbability</t>
        </is>
      </c>
      <c r="I567" s="5" t="inlineStr">
        <is>
          <t>MapleHeroMultiplier</t>
        </is>
      </c>
      <c r="J567" s="5" t="inlineStr">
        <is>
          <t>BaseDamage</t>
        </is>
      </c>
      <c r="K567" s="5" t="inlineStr">
        <is>
          <t>BaseHitDamage</t>
        </is>
      </c>
      <c r="L567" s="5" t="inlineStr">
        <is>
          <t>NonCritAvg</t>
        </is>
      </c>
      <c r="M567" s="5" t="inlineStr">
        <is>
          <t>CritAvg</t>
        </is>
      </c>
      <c r="N567" s="5" t="inlineStr">
        <is>
          <t>ExpectedDamage(perHit)</t>
        </is>
      </c>
      <c r="O567" s="5" t="inlineStr">
        <is>
          <t>DPS</t>
        </is>
      </c>
      <c r="P567" s="5" t="inlineStr">
        <is>
          <t>% of Total</t>
        </is>
      </c>
      <c r="Q567" s="5" t="inlineStr">
        <is>
          <t>InvCooldown</t>
        </is>
      </c>
      <c r="R567" s="5" t="inlineStr">
        <is>
          <t>CastsInFight</t>
        </is>
      </c>
      <c r="S567" s="5" t="inlineStr">
        <is>
          <t>HitRate(perSec)</t>
        </is>
      </c>
      <c r="U567" t="inlineStr">
        <is>
          <t>helpers</t>
        </is>
      </c>
    </row>
    <row r="568">
      <c r="A568">
        <f>Skills!A2</f>
        <v/>
      </c>
      <c r="B568">
        <f>Skills!B2</f>
        <v/>
      </c>
      <c r="C568">
        <f>Inputs!$B$3&gt;=100</f>
        <v/>
      </c>
      <c r="D568" t="inlineStr"/>
      <c r="E568" t="inlineStr"/>
      <c r="F568">
        <f>U570+Skills!O2</f>
        <v/>
      </c>
      <c r="G568">
        <f>Skills!G2*IF(Skills!H2&gt;0,Skills!I2/Skills!H2,1)</f>
        <v/>
      </c>
      <c r="H568">
        <f>1-(1-Skills!J2/100)^Skills!K2</f>
        <v/>
      </c>
      <c r="I568" t="inlineStr">
        <is>
          <t>1</t>
        </is>
      </c>
      <c r="J568">
        <f>((Inputs!$B$6*(1+Inputs!$B$7/100))+(((Inputs!$B$12*(1+Inputs!$B$13/100))-(Inputs!$B$12*(1+Inputs!$B$13/100)))+0.25*(Inputs!$B$14-Inputs!$B$14))*(1+Inputs!$B$7/100))*(F568/100)</f>
        <v/>
      </c>
      <c r="K568">
        <f>J568*(1+((Inputs!$B$12*(1+Inputs!$B$13/100))*0.01+Inputs!$B$14*0.0025)/100)*(1+Inputs!$B$15/100)*(1+Inputs!$B$16/100)*(5000/(6000+Inputs!$B$42*(1-(100*(1-(1-(Inputs!$B$19+0)/100)*(1-CHOOSE(ArtifactsInput!$N$40+1,5,6,7,8,9,10)/100)^(ArtifactsInput!$M$40-ArtifactsInput!$M$40)))/100)))*(1+(Inputs!$B$24+((C590=TRUE)*(F590-Calc!F24))+((C591=TRUE)*(F591-Calc!F25))+B604)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EMPOWERED_PIERCING_ARROW",Inputs!$B$17+((C588=TRUE)*(F588-Calc!F22))+(((IF(AND(ArtifactsInput!$M$42,((Inputs!$B$9+((C585=TRUE)*(F585-Calc!F19))+B598+(ArtifactsInput!$M$24-ArtifactsInput!$M$24)*CHOOSE(ArtifactsInput!$N$24+1,10,12,14,16,18,20)+IF(ArtifactsInput!$M$10,CHOOSE(ArtifactsInput!$N$10+1,15,18,21,24,27,30)*(IF(Inputs!$B$38="pvp",MIN(15,15)/15,IF(AND(Inputs!$B$38&lt;&gt;"pvp",Inputs!$B$43&gt;0),MIN(15,Inputs!$B$43)/(Inputs!$B$43),0))),0)))&gt;=100),MIN(100,((Inputs!$B$9+((C585=TRUE)*(F585-Calc!F19))+B598+(ArtifactsInput!$M$24-ArtifactsInput!$M$24)*CHOOSE(ArtifactsInput!$N$24+1,10,12,14,16,18,20)+IF(ArtifactsInput!$M$10,CHOOSE(ArtifactsInput!$N$10+1,15,18,21,24,27,30)*(IF(Inputs!$B$38="pvp",MIN(15,15)/15,IF(AND(Inputs!$B$38&lt;&gt;"pvp",Inputs!$B$43&gt;0),MIN(15,Inputs!$B$43)/(Inputs!$B$43),0))),0)))-100),0))*CHOOSE(ArtifactsInput!$N$42+1,0.6,0.72,0.84,0.96,1.08,1.2))),Inputs!$B$18+((C593=TRUE)*(F593-Calc!F27))+(IF(AND(ArtifactsInput!$M$42,((Inputs!$B$9+((C585=TRUE)*(F585-Calc!F19))+B598+(ArtifactsInput!$M$24-ArtifactsInput!$M$24)*CHOOSE(ArtifactsInput!$N$24+1,10,12,14,16,18,20)+IF(ArtifactsInput!$M$10,CHOOSE(ArtifactsInput!$N$10+1,15,18,21,24,27,30)*(IF(Inputs!$B$38="pvp",MIN(15,15)/15,IF(AND(Inputs!$B$38&lt;&gt;"pvp",Inputs!$B$43&gt;0),MIN(15,Inputs!$B$43)/(Inputs!$B$43),0))),0)))&gt;=100),CHOOSE(ArtifactsInput!$N$42+1,40,48,56,64,72,80),0))))/100)*((1+(((C579=TRUE)*F579)+((C580=TRUE)*IF(Inputs!$B$38="pvp",F580,(1-Summary!$B$11)*(F580)+Summary!$B$11*(0)))+((C581=TRUE)*F581*IF(AND(Inputs!$B$38&lt;&gt;"pvp",Inputs!$B$43&gt;0),(((R581-1)*(Skills!T15*(1+Inputs!$B$34/100))+MIN((Skills!T15*(1+Inputs!$B$34/100)),MAX(0,Inputs!$B$43-((R581-1)*Skills!D15))))/Inputs!$B$43),IF(Inputs!$B$38="pvp",MIN((Skills!T15*(1+Inputs!$B$34/100)),15)/15,(Skills!T15*(1+Inputs!$B$34/100))/Skills!D15)))+((C578=TRUE)*F578)+((C595=TRUE)*(F595-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568)</f>
        <v/>
      </c>
      <c r="L568">
        <f>K568*(MIN(Inputs!$B$22+((C589=TRUE)*(F589-Calc!F23)),(Inputs!$B$23+((C594=TRUE)*(F594-Calc!F28))+(IF(ArtifactsInput!$M$15,CHOOSE(ArtifactsInput!$N$15+1,25,30,35,40,45,50)/100*(Inputs!$B$11-Inputs!$B$11),0))))/100+(Inputs!$B$23+((C594=TRUE)*(F594-Calc!F28))+(IF(ArtifactsInput!$M$15,CHOOSE(ArtifactsInput!$N$15+1,25,30,35,40,45,50)/100*(Inputs!$B$11-Inputs!$B$11),0)))/100)/2</f>
        <v/>
      </c>
      <c r="M568">
        <f>L568*(1+((Inputs!$B$10+1)+0+B603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568">
        <f>L568*(1-MIN((Inputs!$B$9+((C585=TRUE)*(F585-Calc!F19))+B598+(ArtifactsInput!$M$24-ArtifactsInput!$M$24)*CHOOSE(ArtifactsInput!$N$24+1,10,12,14,16,18,20)+(IF(AND(ArtifactsInput!$M$42,((Inputs!$B$9+((C585=TRUE)*(F585-Calc!F19))+B598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568*(MIN((Inputs!$B$9+((C585=TRUE)*(F585-Calc!F19))+B598+(ArtifactsInput!$M$24-ArtifactsInput!$M$24)*CHOOSE(ArtifactsInput!$N$24+1,10,12,14,16,18,20)+(IF(AND(ArtifactsInput!$M$42,((Inputs!$B$9+((C585=TRUE)*(F585-Calc!F19))+B598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568">
        <f>(1-Summary!$B$11)*T568+Summary!$B$11*V568</f>
        <v/>
      </c>
      <c r="P568">
        <f>IF(B608=0,0,O568/B608)</f>
        <v/>
      </c>
      <c r="Q568" t="n">
        <v>0</v>
      </c>
      <c r="R568" t="n">
        <v>0</v>
      </c>
      <c r="S568">
        <f>IFERROR((Skills!G2*N568*B602)/N568*IF(Inputs!$B$38="pvp",1,(1-Summary!$B$11)*1+Summary!$B$11*(MIN((6+Inputs!$B$33),Inputs!$B$37))),0)</f>
        <v/>
      </c>
      <c r="T568">
        <f>IF(C568,(Skills!G2*N568*B602)*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Hunt"),CHOOSE(ArtifactsInput!$N$35+1,15,18,21,24,27,30)*(1-EXP(-(0.2*B600)*5)),0)+IF(AND(ArtifactsInput!$M$22,Inputs!$B$4&lt;&gt;"Chapter Hunt"),CHOOSE(ArtifactsInput!$N$22+1,10,12,14,16,18,20)*((0*(((0.15*B600*5))^0/1)+1*(((0.15*B600*5))^1/1)+2*(((0.15*B600*5))^2/2)+3*(((0.15*B600*5))^3/6)+4*(((0.15*B600*5))^4/24)+5*(((0.15*B600*5))^5/120))/((((0.15*B600*5))^0/1)+(((0.15*B600*5))^1/1)+(((0.15*B600*5))^2/2)+(((0.15*B600*5))^3/6)+(((0.15*B600*5))^4/24)+(((0.15*B600*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568*(1-MIN(100,(Inputs!$B$9+((C585=TRUE)*(F585-Calc!F19))+B598+(ArtifactsInput!$M$24-ArtifactsInput!$M$24)*CHOOSE(ArtifactsInput!$N$24+1,10,12,14,16,18,20)+(IF(AND(ArtifactsInput!$M$42,((Inputs!$B$9+((C585=TRUE)*(F585-Calc!F19))+B598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568*(MIN(100,(Inputs!$B$9+((C585=TRUE)*(F585-Calc!F19))+B598+(ArtifactsInput!$M$24-ArtifactsInput!$M$24)*CHOOSE(ArtifactsInput!$N$24+1,10,12,14,16,18,20)+(IF(AND(ArtifactsInput!$M$42,((Inputs!$B$9+((C585=TRUE)*(F585-Calc!F19))+B598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568*(1-MIN(100,(Inputs!$B$9+((C585=TRUE)*(F585-Calc!F19))+B598+(ArtifactsInput!$M$24-ArtifactsInput!$M$24)*CHOOSE(ArtifactsInput!$N$24+1,10,12,14,16,18,20)+(IF(AND(ArtifactsInput!$M$42,((Inputs!$B$9+((C585=TRUE)*(F585-Calc!F19))+B598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568*(MIN(100,(Inputs!$B$9+((C585=TRUE)*(F585-Calc!F19))+B598+(ArtifactsInput!$M$24-ArtifactsInput!$M$24)*CHOOSE(ArtifactsInput!$N$24+1,10,12,14,16,18,20)+(IF(AND(ArtifactsInput!$M$42,((Inputs!$B$9+((C585=TRUE)*(F585-Calc!F19))+B598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568">
        <f>MAX(0,(Inputs!$B$3-100)*3)+Inputs!$B$28+Inputs!$B$29</f>
        <v/>
      </c>
      <c r="V568">
        <f>IF(C568,(Skills!G2*N568*B602)*IF(Inputs!$B$38="pvp",1,(1+(Inputs!$B$21+Skills!Q2+(IF(ArtifactsInput!$M$33,CHOOSE(ArtifactsInput!$N$33+1,30,36,42,48,54,60),0))+(IF(AND(ArtifactsInput!$M$35,Inputs!$B$4&lt;&gt;"Chapter Hunt"),CHOOSE(ArtifactsInput!$N$35+1,15,18,21,24,27,30)*(1-EXP(-(0.2*B600)*5)),0)+IF(AND(ArtifactsInput!$M$22,Inputs!$B$4&lt;&gt;"Chapter Hunt"),CHOOSE(ArtifactsInput!$N$22+1,10,12,14,16,18,20)*((0*(((0.15*B600*5))^0/1)+1*(((0.15*B600*5))^1/1)+2*(((0.15*B600*5))^2/2)+3*(((0.15*B600*5))^3/6)+4*(((0.15*B600*5))^4/24)+5*(((0.15*B600*5))^5/120))/((((0.15*B600*5))^0/1)+(((0.15*B600*5))^1/1)+(((0.15*B600*5))^2/2)+(((0.15*B600*5))^3/6)+(((0.15*B600*5))^4/24)+(((0.15*B600*5))^5/120)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569">
      <c r="A569">
        <f>Skills!A3</f>
        <v/>
      </c>
      <c r="B569">
        <f>Skills!B3</f>
        <v/>
      </c>
      <c r="C569">
        <f>Inputs!$B$3&gt;=50</f>
        <v/>
      </c>
      <c r="D569">
        <f>IF(Skills!C3=1,60+Inputs!$B$25+Inputs!$B$29,IF(Skills!C3=2,90+Inputs!$B$26+Inputs!$B$29,IF(Skills!C3=3,120+Inputs!$B$27+Inputs!$B$29,MAX(0,(Inputs!$B$3-100)*3)+Inputs!$B$28+Inputs!$B$29)))</f>
        <v/>
      </c>
      <c r="E569">
        <f>INDEX(FactorTable!$B$2:$Y$301, MATCH(ROUND(MIN(300,MAX(1,D569)),0), FactorTable!$A$2:$A$301,0), Skills!M3+1)</f>
        <v/>
      </c>
      <c r="F569">
        <f>IF(Skills!N3=TRUE,(Skills!L3/10)*(E569/1000),Skills!L3/10)+Skills!O3</f>
        <v/>
      </c>
      <c r="G569" t="inlineStr"/>
      <c r="H569" t="inlineStr"/>
      <c r="I569" t="inlineStr">
        <is>
          <t>1</t>
        </is>
      </c>
      <c r="J569" t="inlineStr"/>
      <c r="K569" t="inlineStr"/>
      <c r="L569" t="inlineStr"/>
      <c r="M569" t="inlineStr"/>
      <c r="N569" t="inlineStr"/>
      <c r="O569" t="inlineStr"/>
      <c r="P569" t="inlineStr"/>
      <c r="Q569" t="inlineStr"/>
      <c r="R569" t="inlineStr"/>
      <c r="S569" t="inlineStr"/>
      <c r="T569" t="inlineStr"/>
      <c r="U569">
        <f>INDEX(FactorTable!$B$2:$Y$301, MATCH(ROUND(MIN(300,MAX(1,U568)),0), FactorTable!$A$2:$A$301,0), 22)</f>
        <v/>
      </c>
      <c r="V569" t="inlineStr"/>
    </row>
    <row r="570">
      <c r="A570">
        <f>Skills!A4</f>
        <v/>
      </c>
      <c r="B570">
        <f>Skills!B4</f>
        <v/>
      </c>
      <c r="C570">
        <f>Inputs!$B$3&gt;=105</f>
        <v/>
      </c>
      <c r="D570">
        <f>IF(Skills!C4=1,60+Inputs!$B$25+Inputs!$B$29,IF(Skills!C4=2,90+Inputs!$B$26+Inputs!$B$29,IF(Skills!C4=3,120+Inputs!$B$27+Inputs!$B$29,MAX(0,(Inputs!$B$3-100)*3)+Inputs!$B$28+Inputs!$B$29)))</f>
        <v/>
      </c>
      <c r="E570">
        <f>INDEX(FactorTable!$B$2:$Y$301, MATCH(ROUND(MIN(300,MAX(1,D570)),0), FactorTable!$A$2:$A$301,0), Skills!M4+1)</f>
        <v/>
      </c>
      <c r="F570">
        <f>IF(Skills!N4=TRUE,(Skills!L4/10)*(E570/1000),Skills!L4/10)+Skills!O4</f>
        <v/>
      </c>
      <c r="G570" t="inlineStr"/>
      <c r="H570" t="inlineStr"/>
      <c r="I570" t="inlineStr">
        <is>
          <t>1</t>
        </is>
      </c>
      <c r="J570" t="inlineStr"/>
      <c r="K570" t="inlineStr"/>
      <c r="L570" t="inlineStr"/>
      <c r="M570" t="inlineStr"/>
      <c r="N570" t="inlineStr"/>
      <c r="O570" t="inlineStr"/>
      <c r="P570" t="inlineStr"/>
      <c r="Q570" t="inlineStr"/>
      <c r="R570" t="inlineStr"/>
      <c r="S570" t="inlineStr"/>
      <c r="T570" t="inlineStr"/>
      <c r="U570">
        <f>290*U569/1000</f>
        <v/>
      </c>
      <c r="V570" t="inlineStr"/>
    </row>
    <row r="571">
      <c r="A571">
        <f>Skills!A5</f>
        <v/>
      </c>
      <c r="B571">
        <f>Skills!B5</f>
        <v/>
      </c>
      <c r="C571">
        <f>Inputs!$B$3&gt;=35</f>
        <v/>
      </c>
      <c r="D571">
        <f>IF(Skills!C5=1,60+Inputs!$B$25+Inputs!$B$29,IF(Skills!C5=2,90+Inputs!$B$26+Inputs!$B$29,IF(Skills!C5=3,120+Inputs!$B$27+Inputs!$B$29,MAX(0,(Inputs!$B$3-100)*3)+Inputs!$B$28+Inputs!$B$29)))</f>
        <v/>
      </c>
      <c r="E571">
        <f>INDEX(FactorTable!$B$2:$Y$301, MATCH(ROUND(MIN(300,MAX(1,D571)),0), FactorTable!$A$2:$A$301,0), Skills!M5+1)</f>
        <v/>
      </c>
      <c r="F571">
        <f>IF(Skills!N5=TRUE,(Skills!L5/10)*(E571/1000),Skills!L5/10)+Skills!O5</f>
        <v/>
      </c>
      <c r="G571">
        <f>Skills!G5*IF(Skills!H5&gt;0,Skills!I5/Skills!H5,1)</f>
        <v/>
      </c>
      <c r="H571">
        <f>1-(1-Skills!J5/100)^Skills!K5</f>
        <v/>
      </c>
      <c r="I571" t="inlineStr">
        <is>
          <t>1</t>
        </is>
      </c>
      <c r="J571">
        <f>((Inputs!$B$6*(1+Inputs!$B$7/100))+(((Inputs!$B$12*(1+Inputs!$B$13/100))-(Inputs!$B$12*(1+Inputs!$B$13/100)))+0.25*(Inputs!$B$14-Inputs!$B$14))*(1+Inputs!$B$7/100))*(F571/100)</f>
        <v/>
      </c>
      <c r="K571">
        <f>J571*(1+((Inputs!$B$12*(1+Inputs!$B$13/100))*0.01+Inputs!$B$14*0.0025)/100)*(1+Inputs!$B$15/100)*(1+Inputs!$B$16/100)*(5000/(6000+Inputs!$B$42*(1-(100*(1-(1-(Inputs!$B$19+0)/100)*(1-CHOOSE(ArtifactsInput!$N$40+1,5,6,7,8,9,10)/100)^(ArtifactsInput!$M$40-ArtifactsInput!$M$40)))/100)))*(1+(Inputs!$B$24+((C590=TRUE)*(F590-Calc!F24))+((C591=TRUE)*(F591-Calc!F25))+B604)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574=TRUE,F574,0)/100)*(1+(IF(Skills!A5="EMPOWERED_PIERCING_ARROW",Inputs!$B$17+((C588=TRUE)*(F588-Calc!F22))+(((IF(AND(ArtifactsInput!$M$42,((Inputs!$B$9+((C585=TRUE)*(F585-Calc!F19))+B598+(ArtifactsInput!$M$24-ArtifactsInput!$M$24)*CHOOSE(ArtifactsInput!$N$24+1,10,12,14,16,18,20)+IF(ArtifactsInput!$M$10,CHOOSE(ArtifactsInput!$N$10+1,15,18,21,24,27,30)*(IF(Inputs!$B$38="pvp",MIN(15,15)/15,IF(AND(Inputs!$B$38&lt;&gt;"pvp",Inputs!$B$43&gt;0),MIN(15,Inputs!$B$43)/(Inputs!$B$43),0))),0)))&gt;=100),MIN(100,((Inputs!$B$9+((C585=TRUE)*(F585-Calc!F19))+B598+(ArtifactsInput!$M$24-ArtifactsInput!$M$24)*CHOOSE(ArtifactsInput!$N$24+1,10,12,14,16,18,20)+IF(ArtifactsInput!$M$10,CHOOSE(ArtifactsInput!$N$10+1,15,18,21,24,27,30)*(IF(Inputs!$B$38="pvp",MIN(15,15)/15,IF(AND(Inputs!$B$38&lt;&gt;"pvp",Inputs!$B$43&gt;0),MIN(15,Inputs!$B$43)/(Inputs!$B$43),0))),0)))-100),0))*CHOOSE(ArtifactsInput!$N$42+1,0.6,0.72,0.84,0.96,1.08,1.2))),Inputs!$B$18+((C593=TRUE)*(F593-Calc!F27))+(IF(AND(ArtifactsInput!$M$42,((Inputs!$B$9+((C585=TRUE)*(F585-Calc!F19))+B598+(ArtifactsInput!$M$24-ArtifactsInput!$M$24)*CHOOSE(ArtifactsInput!$N$24+1,10,12,14,16,18,20)+IF(ArtifactsInput!$M$10,CHOOSE(ArtifactsInput!$N$10+1,15,18,21,24,27,30)*(IF(Inputs!$B$38="pvp",MIN(15,15)/15,IF(AND(Inputs!$B$38&lt;&gt;"pvp",Inputs!$B$43&gt;0),MIN(15,Inputs!$B$43)/(Inputs!$B$43),0))),0)))&gt;=100),CHOOSE(ArtifactsInput!$N$42+1,40,48,56,64,72,80),0))))/100)*((1+(((C579=TRUE)*F579)+((C580=TRUE)*IF(Inputs!$B$38="pvp",F580,(1-Summary!$B$11)*(F580)+Summary!$B$11*(0)))+((C581=TRUE)*F581*IF(AND(Inputs!$B$38&lt;&gt;"pvp",Inputs!$B$43&gt;0),(((R581-1)*(Skills!T15*(1+Inputs!$B$34/100))+MIN((Skills!T15*(1+Inputs!$B$34/100)),MAX(0,Inputs!$B$43-((R581-1)*Skills!D15))))/Inputs!$B$43),IF(Inputs!$B$38="pvp",MIN((Skills!T15*(1+Inputs!$B$34/100)),15)/15,(Skills!T15*(1+Inputs!$B$34/100))/Skills!D15)))+((C578=TRUE)*F578)+((C595=TRUE)*(F595-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571)</f>
        <v/>
      </c>
      <c r="L571">
        <f>K571*(MIN(Inputs!$B$22+((C589=TRUE)*(F589-Calc!F23)),(Inputs!$B$23+((C594=TRUE)*(F594-Calc!F28))+(IF(ArtifactsInput!$M$15,CHOOSE(ArtifactsInput!$N$15+1,25,30,35,40,45,50)/100*(Inputs!$B$11-Inputs!$B$11),0))))/100+(Inputs!$B$23+((C594=TRUE)*(F594-Calc!F28))+(IF(ArtifactsInput!$M$15,CHOOSE(ArtifactsInput!$N$15+1,25,30,35,40,45,50)/100*(Inputs!$B$11-Inputs!$B$11),0)))/100)/2</f>
        <v/>
      </c>
      <c r="M571">
        <f>L571*(1+((Inputs!$B$10+1)+0+B603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571">
        <f>L571*(1-MIN((Inputs!$B$9+((C585=TRUE)*(F585-Calc!F19))+B598+(ArtifactsInput!$M$24-ArtifactsInput!$M$24)*CHOOSE(ArtifactsInput!$N$24+1,10,12,14,16,18,20)+(IF(AND(ArtifactsInput!$M$42,((Inputs!$B$9+((C585=TRUE)*(F585-Calc!F19))+B598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571*(MIN((Inputs!$B$9+((C585=TRUE)*(F585-Calc!F19))+B598+(ArtifactsInput!$M$24-ArtifactsInput!$M$24)*CHOOSE(ArtifactsInput!$N$24+1,10,12,14,16,18,20)+(IF(AND(ArtifactsInput!$M$42,((Inputs!$B$9+((C585=TRUE)*(F585-Calc!F19))+B598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571">
        <f>(1-Summary!$B$11)*T571+Summary!$B$11*V571</f>
        <v/>
      </c>
      <c r="P571">
        <f>IF(B608=0,0,O571/B608)</f>
        <v/>
      </c>
      <c r="Q571">
        <f>IFERROR(1/IF(Inputs!$B$38="pvp",15,MAX(0.1,Skills!D5-IF(Skills!E5=TRUE,Inputs!$B$32,0))),0)</f>
        <v/>
      </c>
      <c r="R571">
        <f>IF(AND(Inputs!$B$38&lt;&gt;"pvp",Inputs!$B$43&gt;0),IF(MAX(0,Inputs!$B$43-B605)&lt;=0,0,(INT(MAX(0,Inputs!$B$43-B605)/IF(Inputs!$B$38="pvp",15,MAX(0.1,Skills!D5-IF(Skills!E5=TRUE,Inputs!$B$32,0))))+1)),0)</f>
        <v/>
      </c>
      <c r="S571">
        <f>IFERROR((H571*N571*IF(AND(Inputs!$B$38&lt;&gt;"pvp",Inputs!$B$43&gt;0),((Skills!G5*((R571-1)*IF(Skills!H5&gt;0,Skills!I5/Skills!H5,1)+IF(Skills!H5&gt;0,MIN(Skills!I5,MAX(0,MAX(0,Inputs!$B$43-B605)-((R571-1)*IF(Inputs!$B$38="pvp",15,MAX(0.1,Skills!D5-IF(Skills!E5=TRUE,Inputs!$B$32,0))))))/Skills!H5,1)))/Inputs!$B$43),G571*Q571))/N571*IF(Inputs!$B$38="pvp",1,(1-Summary!$B$11)*1+Summary!$B$11*(MIN(Skills!R5,Inputs!$B$37))),0)</f>
        <v/>
      </c>
      <c r="T571">
        <f>IF(C571,(H571*N571*IF(AND(Inputs!$B$38&lt;&gt;"pvp",Inputs!$B$43&gt;0),((Skills!G5*((R571-1)*IF(Skills!H5&gt;0,Skills!I5/Skills!H5,1)+IF(Skills!H5&gt;0,MIN(Skills!I5,MAX(0,MAX(0,Inputs!$B$43-B605)-((R571-1)*IF(Inputs!$B$38="pvp",15,MAX(0.1,Skills!D5-IF(Skills!E5=TRUE,Inputs!$B$32,0))))))/Skills!H5,1)))/Inputs!$B$43),G571*Q571))*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Hunt"),CHOOSE(ArtifactsInput!$N$35+1,15,18,21,24,27,30)*(1-EXP(-(0.2*B600)*5)),0)+IF(AND(ArtifactsInput!$M$22,Inputs!$B$4&lt;&gt;"Chapter Hunt"),CHOOSE(ArtifactsInput!$N$22+1,10,12,14,16,18,20)*((0*(((0.15*B600*5))^0/1)+1*(((0.15*B600*5))^1/1)+2*(((0.15*B600*5))^2/2)+3*(((0.15*B600*5))^3/6)+4*(((0.15*B600*5))^4/24)+5*(((0.15*B600*5))^5/120))/((((0.15*B600*5))^0/1)+(((0.15*B600*5))^1/1)+(((0.15*B600*5))^2/2)+(((0.15*B600*5))^3/6)+(((0.15*B600*5))^4/24)+(((0.15*B600*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571*(1-MIN(100,(Inputs!$B$9+((C585=TRUE)*(F585-Calc!F19))+B598+(ArtifactsInput!$M$24-ArtifactsInput!$M$24)*CHOOSE(ArtifactsInput!$N$24+1,10,12,14,16,18,20)+(IF(AND(ArtifactsInput!$M$42,((Inputs!$B$9+((C585=TRUE)*(F585-Calc!F19))+B598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571*(MIN(100,(Inputs!$B$9+((C585=TRUE)*(F585-Calc!F19))+B598+(ArtifactsInput!$M$24-ArtifactsInput!$M$24)*CHOOSE(ArtifactsInput!$N$24+1,10,12,14,16,18,20)+(IF(AND(ArtifactsInput!$M$42,((Inputs!$B$9+((C585=TRUE)*(F585-Calc!F19))+B598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571*(1-MIN(100,(Inputs!$B$9+((C585=TRUE)*(F585-Calc!F19))+B598+(ArtifactsInput!$M$24-ArtifactsInput!$M$24)*CHOOSE(ArtifactsInput!$N$24+1,10,12,14,16,18,20)+(IF(AND(ArtifactsInput!$M$42,((Inputs!$B$9+((C585=TRUE)*(F585-Calc!F19))+B598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571*(MIN(100,(Inputs!$B$9+((C585=TRUE)*(F585-Calc!F19))+B598+(ArtifactsInput!$M$24-ArtifactsInput!$M$24)*CHOOSE(ArtifactsInput!$N$24+1,10,12,14,16,18,20)+(IF(AND(ArtifactsInput!$M$42,((Inputs!$B$9+((C585=TRUE)*(F585-Calc!F19))+B598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571">
        <f>IF(C571,(H571*N571*IF(AND(Inputs!$B$38&lt;&gt;"pvp",Inputs!$B$43&gt;0),((Skills!G5*((R571-1)*IF(Skills!H5&gt;0,Skills!I5/Skills!H5,1)+IF(Skills!H5&gt;0,MIN(Skills!I5,MAX(0,MAX(0,Inputs!$B$43-B605)-((R571-1)*IF(Inputs!$B$38="pvp",15,MAX(0.1,Skills!D5-IF(Skills!E5=TRUE,Inputs!$B$32,0))))))/Skills!H5,1)))/Inputs!$B$43),G571*Q571))*IF(Inputs!$B$38="pvp",1,(1+(Inputs!$B$21+Skills!Q5+(IF(ArtifactsInput!$M$33,CHOOSE(ArtifactsInput!$N$33+1,30,36,42,48,54,60),0))+(IF(AND(ArtifactsInput!$M$35,Inputs!$B$4&lt;&gt;"Chapter Hunt"),CHOOSE(ArtifactsInput!$N$35+1,15,18,21,24,27,30)*(1-EXP(-(0.2*B600)*5)),0)+IF(AND(ArtifactsInput!$M$22,Inputs!$B$4&lt;&gt;"Chapter Hunt"),CHOOSE(ArtifactsInput!$N$22+1,10,12,14,16,18,20)*((0*(((0.15*B600*5))^0/1)+1*(((0.15*B600*5))^1/1)+2*(((0.15*B600*5))^2/2)+3*(((0.15*B600*5))^3/6)+4*(((0.15*B600*5))^4/24)+5*(((0.15*B600*5))^5/120))/((((0.15*B600*5))^0/1)+(((0.15*B600*5))^1/1)+(((0.15*B600*5))^2/2)+(((0.15*B600*5))^3/6)+(((0.15*B600*5))^4/24)+(((0.15*B600*5))^5/120)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572">
      <c r="A572">
        <f>Skills!A6</f>
        <v/>
      </c>
      <c r="B572">
        <f>Skills!B6</f>
        <v/>
      </c>
      <c r="C572">
        <f>Inputs!$B$3&gt;=63</f>
        <v/>
      </c>
      <c r="D572">
        <f>IF(Skills!C6=1,60+Inputs!$B$25+Inputs!$B$29,IF(Skills!C6=2,90+Inputs!$B$26+Inputs!$B$29,IF(Skills!C6=3,120+Inputs!$B$27+Inputs!$B$29,MAX(0,(Inputs!$B$3-100)*3)+Inputs!$B$28+Inputs!$B$29)))</f>
        <v/>
      </c>
      <c r="E572">
        <f>INDEX(FactorTable!$B$2:$Y$301, MATCH(ROUND(MIN(300,MAX(1,D572)),0), FactorTable!$A$2:$A$301,0), Skills!M6+1)</f>
        <v/>
      </c>
      <c r="F572">
        <f>IF(Skills!N6=TRUE,(Skills!L6/10)*(E572/1000),Skills!L6/10)+Skills!O6</f>
        <v/>
      </c>
      <c r="G572">
        <f>Skills!G6*IF(Skills!H6&gt;0,Skills!I6/Skills!H6,1)</f>
        <v/>
      </c>
      <c r="H572">
        <f>1-(1-Skills!J6/100)^Skills!K6</f>
        <v/>
      </c>
      <c r="I572" t="inlineStr">
        <is>
          <t>1</t>
        </is>
      </c>
      <c r="J572">
        <f>((Inputs!$B$6*(1+Inputs!$B$7/100))+(((Inputs!$B$12*(1+Inputs!$B$13/100))-(Inputs!$B$12*(1+Inputs!$B$13/100)))+0.25*(Inputs!$B$14-Inputs!$B$14))*(1+Inputs!$B$7/100))*(F572/100)</f>
        <v/>
      </c>
      <c r="K572">
        <f>J572*(1+((Inputs!$B$12*(1+Inputs!$B$13/100))*0.01+Inputs!$B$14*0.0025)/100)*(1+Inputs!$B$15/100)*(1+Inputs!$B$16/100)*(5000/(6000+Inputs!$B$42*(1-(100*(1-(1-(Inputs!$B$19+0)/100)*(1-CHOOSE(ArtifactsInput!$N$40+1,5,6,7,8,9,10)/100)^(ArtifactsInput!$M$40-ArtifactsInput!$M$40)))/100)))*(1+(Inputs!$B$24+((C590=TRUE)*(F590-Calc!F24))+((C591=TRUE)*(F591-Calc!F25))+B604)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574=TRUE,F574,0)/100)*(1+(IF(Skills!A6="EMPOWERED_PIERCING_ARROW",Inputs!$B$17+((C588=TRUE)*(F588-Calc!F22))+(((IF(AND(ArtifactsInput!$M$42,((Inputs!$B$9+((C585=TRUE)*(F585-Calc!F19))+B598+(ArtifactsInput!$M$24-ArtifactsInput!$M$24)*CHOOSE(ArtifactsInput!$N$24+1,10,12,14,16,18,20)+IF(ArtifactsInput!$M$10,CHOOSE(ArtifactsInput!$N$10+1,15,18,21,24,27,30)*(IF(Inputs!$B$38="pvp",MIN(15,15)/15,IF(AND(Inputs!$B$38&lt;&gt;"pvp",Inputs!$B$43&gt;0),MIN(15,Inputs!$B$43)/(Inputs!$B$43),0))),0)))&gt;=100),MIN(100,((Inputs!$B$9+((C585=TRUE)*(F585-Calc!F19))+B598+(ArtifactsInput!$M$24-ArtifactsInput!$M$24)*CHOOSE(ArtifactsInput!$N$24+1,10,12,14,16,18,20)+IF(ArtifactsInput!$M$10,CHOOSE(ArtifactsInput!$N$10+1,15,18,21,24,27,30)*(IF(Inputs!$B$38="pvp",MIN(15,15)/15,IF(AND(Inputs!$B$38&lt;&gt;"pvp",Inputs!$B$43&gt;0),MIN(15,Inputs!$B$43)/(Inputs!$B$43),0))),0)))-100),0))*CHOOSE(ArtifactsInput!$N$42+1,0.6,0.72,0.84,0.96,1.08,1.2))),Inputs!$B$18+((C593=TRUE)*(F593-Calc!F27))+(IF(AND(ArtifactsInput!$M$42,((Inputs!$B$9+((C585=TRUE)*(F585-Calc!F19))+B598+(ArtifactsInput!$M$24-ArtifactsInput!$M$24)*CHOOSE(ArtifactsInput!$N$24+1,10,12,14,16,18,20)+IF(ArtifactsInput!$M$10,CHOOSE(ArtifactsInput!$N$10+1,15,18,21,24,27,30)*(IF(Inputs!$B$38="pvp",MIN(15,15)/15,IF(AND(Inputs!$B$38&lt;&gt;"pvp",Inputs!$B$43&gt;0),MIN(15,Inputs!$B$43)/(Inputs!$B$43),0))),0)))&gt;=100),CHOOSE(ArtifactsInput!$N$42+1,40,48,56,64,72,80),0))))/100)*((1+(((C579=TRUE)*F579)+((C580=TRUE)*IF(Inputs!$B$38="pvp",F580,(1-Summary!$B$11)*(F580)+Summary!$B$11*(0)))+((C581=TRUE)*F581*IF(AND(Inputs!$B$38&lt;&gt;"pvp",Inputs!$B$43&gt;0),(((R581-1)*(Skills!T15*(1+Inputs!$B$34/100))+MIN((Skills!T15*(1+Inputs!$B$34/100)),MAX(0,Inputs!$B$43-((R581-1)*Skills!D15))))/Inputs!$B$43),IF(Inputs!$B$38="pvp",MIN((Skills!T15*(1+Inputs!$B$34/100)),15)/15,(Skills!T15*(1+Inputs!$B$34/100))/Skills!D15)))+((C578=TRUE)*F578)+((C595=TRUE)*(F595-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572)</f>
        <v/>
      </c>
      <c r="L572">
        <f>K572*(MIN(Inputs!$B$22+((C589=TRUE)*(F589-Calc!F23)),(Inputs!$B$23+((C594=TRUE)*(F594-Calc!F28))+(IF(ArtifactsInput!$M$15,CHOOSE(ArtifactsInput!$N$15+1,25,30,35,40,45,50)/100*(Inputs!$B$11-Inputs!$B$11),0))))/100+(Inputs!$B$23+((C594=TRUE)*(F594-Calc!F28))+(IF(ArtifactsInput!$M$15,CHOOSE(ArtifactsInput!$N$15+1,25,30,35,40,45,50)/100*(Inputs!$B$11-Inputs!$B$11),0)))/100)/2</f>
        <v/>
      </c>
      <c r="M572">
        <f>L572*(1+((Inputs!$B$10+1)+0+B603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572">
        <f>L572*(1-MIN((Inputs!$B$9+((C585=TRUE)*(F585-Calc!F19))+B598+(ArtifactsInput!$M$24-ArtifactsInput!$M$24)*CHOOSE(ArtifactsInput!$N$24+1,10,12,14,16,18,20)+(IF(AND(ArtifactsInput!$M$42,((Inputs!$B$9+((C585=TRUE)*(F585-Calc!F19))+B598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572*(MIN((Inputs!$B$9+((C585=TRUE)*(F585-Calc!F19))+B598+(ArtifactsInput!$M$24-ArtifactsInput!$M$24)*CHOOSE(ArtifactsInput!$N$24+1,10,12,14,16,18,20)+(IF(AND(ArtifactsInput!$M$42,((Inputs!$B$9+((C585=TRUE)*(F585-Calc!F19))+B598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572">
        <f>(1-Summary!$B$11)*T572+Summary!$B$11*V572</f>
        <v/>
      </c>
      <c r="P572">
        <f>IF(B608=0,0,O572/B608)</f>
        <v/>
      </c>
      <c r="Q572">
        <f>IFERROR(1/IF(Inputs!$B$38="pvp",15,MAX(0.1,Skills!D6-IF(Skills!E6=TRUE,Inputs!$B$32,0))),0)</f>
        <v/>
      </c>
      <c r="R572">
        <f>IF(AND(Inputs!$B$38&lt;&gt;"pvp",Inputs!$B$43&gt;0),IF(MAX(0,Inputs!$B$43-B605)&lt;=0,0,(INT(MAX(0,Inputs!$B$43-B605)/IF(Inputs!$B$38="pvp",15,MAX(0.1,Skills!D6-IF(Skills!E6=TRUE,Inputs!$B$32,0))))+1)),0)</f>
        <v/>
      </c>
      <c r="S572">
        <f>IFERROR((H572*N572*IF(AND(Inputs!$B$38&lt;&gt;"pvp",Inputs!$B$43&gt;0),((Skills!G6*((R572-1)*IF(Skills!H6&gt;0,Skills!I6/Skills!H6,1)+IF(Skills!H6&gt;0,MIN(Skills!I6,MAX(0,MAX(0,Inputs!$B$43-B605)-((R572-1)*IF(Inputs!$B$38="pvp",15,MAX(0.1,Skills!D6-IF(Skills!E6=TRUE,Inputs!$B$32,0))))))/Skills!H6,1)))/Inputs!$B$43),G572*Q572))/N572*IF(Inputs!$B$38="pvp",1,(1-Summary!$B$11)*1+Summary!$B$11*(MIN(Skills!R6,Inputs!$B$37))),0)</f>
        <v/>
      </c>
      <c r="T572">
        <f>IF(C572,(H572*N572*IF(AND(Inputs!$B$38&lt;&gt;"pvp",Inputs!$B$43&gt;0),((Skills!G6*((R572-1)*IF(Skills!H6&gt;0,Skills!I6/Skills!H6,1)+IF(Skills!H6&gt;0,MIN(Skills!I6,MAX(0,MAX(0,Inputs!$B$43-B605)-((R572-1)*IF(Inputs!$B$38="pvp",15,MAX(0.1,Skills!D6-IF(Skills!E6=TRUE,Inputs!$B$32,0))))))/Skills!H6,1)))/Inputs!$B$43),G572*Q572))*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Hunt"),CHOOSE(ArtifactsInput!$N$35+1,15,18,21,24,27,30)*(1-EXP(-(0.2*B600)*5)),0)+IF(AND(ArtifactsInput!$M$22,Inputs!$B$4&lt;&gt;"Chapter Hunt"),CHOOSE(ArtifactsInput!$N$22+1,10,12,14,16,18,20)*((0*(((0.15*B600*5))^0/1)+1*(((0.15*B600*5))^1/1)+2*(((0.15*B600*5))^2/2)+3*(((0.15*B600*5))^3/6)+4*(((0.15*B600*5))^4/24)+5*(((0.15*B600*5))^5/120))/((((0.15*B600*5))^0/1)+(((0.15*B600*5))^1/1)+(((0.15*B600*5))^2/2)+(((0.15*B600*5))^3/6)+(((0.15*B600*5))^4/24)+(((0.15*B600*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572*(1-MIN(100,(Inputs!$B$9+((C585=TRUE)*(F585-Calc!F19))+B598+(ArtifactsInput!$M$24-ArtifactsInput!$M$24)*CHOOSE(ArtifactsInput!$N$24+1,10,12,14,16,18,20)+(IF(AND(ArtifactsInput!$M$42,((Inputs!$B$9+((C585=TRUE)*(F585-Calc!F19))+B598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572*(MIN(100,(Inputs!$B$9+((C585=TRUE)*(F585-Calc!F19))+B598+(ArtifactsInput!$M$24-ArtifactsInput!$M$24)*CHOOSE(ArtifactsInput!$N$24+1,10,12,14,16,18,20)+(IF(AND(ArtifactsInput!$M$42,((Inputs!$B$9+((C585=TRUE)*(F585-Calc!F19))+B598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572*(1-MIN(100,(Inputs!$B$9+((C585=TRUE)*(F585-Calc!F19))+B598+(ArtifactsInput!$M$24-ArtifactsInput!$M$24)*CHOOSE(ArtifactsInput!$N$24+1,10,12,14,16,18,20)+(IF(AND(ArtifactsInput!$M$42,((Inputs!$B$9+((C585=TRUE)*(F585-Calc!F19))+B598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572*(MIN(100,(Inputs!$B$9+((C585=TRUE)*(F585-Calc!F19))+B598+(ArtifactsInput!$M$24-ArtifactsInput!$M$24)*CHOOSE(ArtifactsInput!$N$24+1,10,12,14,16,18,20)+(IF(AND(ArtifactsInput!$M$42,((Inputs!$B$9+((C585=TRUE)*(F585-Calc!F19))+B598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572">
        <f>IF(C572,(H572*N572*IF(AND(Inputs!$B$38&lt;&gt;"pvp",Inputs!$B$43&gt;0),((Skills!G6*((R572-1)*IF(Skills!H6&gt;0,Skills!I6/Skills!H6,1)+IF(Skills!H6&gt;0,MIN(Skills!I6,MAX(0,MAX(0,Inputs!$B$43-B605)-((R572-1)*IF(Inputs!$B$38="pvp",15,MAX(0.1,Skills!D6-IF(Skills!E6=TRUE,Inputs!$B$32,0))))))/Skills!H6,1)))/Inputs!$B$43),G572*Q572))*IF(Inputs!$B$38="pvp",1,(1+(Inputs!$B$21+Skills!Q6+(IF(ArtifactsInput!$M$33,CHOOSE(ArtifactsInput!$N$33+1,30,36,42,48,54,60),0))+(IF(AND(ArtifactsInput!$M$35,Inputs!$B$4&lt;&gt;"Chapter Hunt"),CHOOSE(ArtifactsInput!$N$35+1,15,18,21,24,27,30)*(1-EXP(-(0.2*B600)*5)),0)+IF(AND(ArtifactsInput!$M$22,Inputs!$B$4&lt;&gt;"Chapter Hunt"),CHOOSE(ArtifactsInput!$N$22+1,10,12,14,16,18,20)*((0*(((0.15*B600*5))^0/1)+1*(((0.15*B600*5))^1/1)+2*(((0.15*B600*5))^2/2)+3*(((0.15*B600*5))^3/6)+4*(((0.15*B600*5))^4/24)+5*(((0.15*B600*5))^5/120))/((((0.15*B600*5))^0/1)+(((0.15*B600*5))^1/1)+(((0.15*B600*5))^2/2)+(((0.15*B600*5))^3/6)+(((0.15*B600*5))^4/24)+(((0.15*B600*5))^5/120))),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573">
      <c r="A573">
        <f>Skills!A7</f>
        <v/>
      </c>
      <c r="B573">
        <f>Skills!B7</f>
        <v/>
      </c>
      <c r="C573">
        <f>Inputs!$B$3&gt;=69</f>
        <v/>
      </c>
      <c r="D573">
        <f>IF(Skills!C7=1,60+Inputs!$B$25+Inputs!$B$29,IF(Skills!C7=2,90+Inputs!$B$26+Inputs!$B$29,IF(Skills!C7=3,120+Inputs!$B$27+Inputs!$B$29,MAX(0,(Inputs!$B$3-100)*3)+Inputs!$B$28+Inputs!$B$29)))</f>
        <v/>
      </c>
      <c r="E573">
        <f>INDEX(FactorTable!$B$2:$Y$301, MATCH(ROUND(MIN(300,MAX(1,D573)),0), FactorTable!$A$2:$A$301,0), Skills!M7+1)</f>
        <v/>
      </c>
      <c r="F573">
        <f>IF(Skills!N7=TRUE,(Skills!L7/10)*(E573/1000),Skills!L7/10)+Skills!O7</f>
        <v/>
      </c>
      <c r="G573">
        <f>Skills!G7*IF(Skills!H7&gt;0,Skills!I7/Skills!H7,1)</f>
        <v/>
      </c>
      <c r="H573">
        <f>1-(1-Skills!J7/100)^Skills!K7</f>
        <v/>
      </c>
      <c r="I573" t="inlineStr">
        <is>
          <t>1</t>
        </is>
      </c>
      <c r="J573">
        <f>((Inputs!$B$6*(1+Inputs!$B$7/100))+(((Inputs!$B$12*(1+Inputs!$B$13/100))-(Inputs!$B$12*(1+Inputs!$B$13/100)))+0.25*(Inputs!$B$14-Inputs!$B$14))*(1+Inputs!$B$7/100))*(F573/100)</f>
        <v/>
      </c>
      <c r="K573">
        <f>J573*(1+((Inputs!$B$12*(1+Inputs!$B$13/100))*0.01+Inputs!$B$14*0.0025)/100)*(1+Inputs!$B$15/100)*(1+Inputs!$B$16/100)*(5000/(6000+Inputs!$B$42*(1-(100*(1-(1-(Inputs!$B$19+0)/100)*(1-CHOOSE(ArtifactsInput!$N$40+1,5,6,7,8,9,10)/100)^(ArtifactsInput!$M$40-ArtifactsInput!$M$40)))/100)))*(1+(Inputs!$B$24+((C590=TRUE)*(F590-Calc!F24))+((C591=TRUE)*(F591-Calc!F25))+B604)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+1.2*IF(C574=TRUE,F574,0)/100)*(1+(IF(Skills!A7="EMPOWERED_PIERCING_ARROW",Inputs!$B$17+((C588=TRUE)*(F588-Calc!F22))+(((IF(AND(ArtifactsInput!$M$42,((Inputs!$B$9+((C585=TRUE)*(F585-Calc!F19))+B598+(ArtifactsInput!$M$24-ArtifactsInput!$M$24)*CHOOSE(ArtifactsInput!$N$24+1,10,12,14,16,18,20)+IF(ArtifactsInput!$M$10,CHOOSE(ArtifactsInput!$N$10+1,15,18,21,24,27,30)*(IF(Inputs!$B$38="pvp",MIN(15,15)/15,IF(AND(Inputs!$B$38&lt;&gt;"pvp",Inputs!$B$43&gt;0),MIN(15,Inputs!$B$43)/(Inputs!$B$43),0))),0)))&gt;=100),MIN(100,((Inputs!$B$9+((C585=TRUE)*(F585-Calc!F19))+B598+(ArtifactsInput!$M$24-ArtifactsInput!$M$24)*CHOOSE(ArtifactsInput!$N$24+1,10,12,14,16,18,20)+IF(ArtifactsInput!$M$10,CHOOSE(ArtifactsInput!$N$10+1,15,18,21,24,27,30)*(IF(Inputs!$B$38="pvp",MIN(15,15)/15,IF(AND(Inputs!$B$38&lt;&gt;"pvp",Inputs!$B$43&gt;0),MIN(15,Inputs!$B$43)/(Inputs!$B$43),0))),0)))-100),0))*CHOOSE(ArtifactsInput!$N$42+1,0.6,0.72,0.84,0.96,1.08,1.2))),Inputs!$B$18+((C593=TRUE)*(F593-Calc!F27))+(IF(AND(ArtifactsInput!$M$42,((Inputs!$B$9+((C585=TRUE)*(F585-Calc!F19))+B598+(ArtifactsInput!$M$24-ArtifactsInput!$M$24)*CHOOSE(ArtifactsInput!$N$24+1,10,12,14,16,18,20)+IF(ArtifactsInput!$M$10,CHOOSE(ArtifactsInput!$N$10+1,15,18,21,24,27,30)*(IF(Inputs!$B$38="pvp",MIN(15,15)/15,IF(AND(Inputs!$B$38&lt;&gt;"pvp",Inputs!$B$43&gt;0),MIN(15,Inputs!$B$43)/(Inputs!$B$43),0))),0)))&gt;=100),CHOOSE(ArtifactsInput!$N$42+1,40,48,56,64,72,80),0))))/100)*((1+(((C579=TRUE)*F579)+((C580=TRUE)*IF(Inputs!$B$38="pvp",F580,(1-Summary!$B$11)*(F580)+Summary!$B$11*(0)))+((C581=TRUE)*F581*IF(AND(Inputs!$B$38&lt;&gt;"pvp",Inputs!$B$43&gt;0),(((R581-1)*(Skills!T15*(1+Inputs!$B$34/100))+MIN((Skills!T15*(1+Inputs!$B$34/100)),MAX(0,Inputs!$B$43-((R581-1)*Skills!D15))))/Inputs!$B$43),IF(Inputs!$B$38="pvp",MIN((Skills!T15*(1+Inputs!$B$34/100)),15)/15,(Skills!T15*(1+Inputs!$B$34/100))/Skills!D15)))+((C578=TRUE)*F578)+((C595=TRUE)*(F595-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573)</f>
        <v/>
      </c>
      <c r="L573">
        <f>K573*(MIN(Inputs!$B$22+((C589=TRUE)*(F589-Calc!F23)),(Inputs!$B$23+((C594=TRUE)*(F594-Calc!F28))+(IF(ArtifactsInput!$M$15,CHOOSE(ArtifactsInput!$N$15+1,25,30,35,40,45,50)/100*(Inputs!$B$11-Inputs!$B$11),0))))/100+(Inputs!$B$23+((C594=TRUE)*(F594-Calc!F28))+(IF(ArtifactsInput!$M$15,CHOOSE(ArtifactsInput!$N$15+1,25,30,35,40,45,50)/100*(Inputs!$B$11-Inputs!$B$11),0)))/100)/2</f>
        <v/>
      </c>
      <c r="M573">
        <f>L573*(1+((Inputs!$B$10+1)+0+B603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573">
        <f>L573*(1-MIN((Inputs!$B$9+((C585=TRUE)*(F585-Calc!F19))+B598+(ArtifactsInput!$M$24-ArtifactsInput!$M$24)*CHOOSE(ArtifactsInput!$N$24+1,10,12,14,16,18,20)+(IF(AND(ArtifactsInput!$M$42,((Inputs!$B$9+((C585=TRUE)*(F585-Calc!F19))+B598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573*(MIN((Inputs!$B$9+((C585=TRUE)*(F585-Calc!F19))+B598+(ArtifactsInput!$M$24-ArtifactsInput!$M$24)*CHOOSE(ArtifactsInput!$N$24+1,10,12,14,16,18,20)+(IF(AND(ArtifactsInput!$M$42,((Inputs!$B$9+((C585=TRUE)*(F585-Calc!F19))+B598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573">
        <f>(1-Summary!$B$11)*T573+Summary!$B$11*V573</f>
        <v/>
      </c>
      <c r="P573">
        <f>IF(B608=0,0,O573/B608)</f>
        <v/>
      </c>
      <c r="Q573">
        <f>IFERROR(1/IF(Inputs!$B$38="pvp",15,MAX(0.1,Skills!D7-IF(Skills!E7=TRUE,Inputs!$B$32,0))),0)</f>
        <v/>
      </c>
      <c r="R573">
        <f>IF(AND(Inputs!$B$38&lt;&gt;"pvp",Inputs!$B$43&gt;0),IF(MAX(0,Inputs!$B$43-B605)&lt;=0,0,(INT(MAX(0,Inputs!$B$43-B605)/IF(Inputs!$B$38="pvp",15,MAX(0.1,Skills!D7-IF(Skills!E7=TRUE,Inputs!$B$32,0))))+1)),0)</f>
        <v/>
      </c>
      <c r="S573">
        <f>IFERROR((H573*N573*IF(AND(Inputs!$B$38&lt;&gt;"pvp",Inputs!$B$43&gt;0),((Skills!G7*((R573-1)*IF(Skills!H7&gt;0,Skills!I7/Skills!H7,1)+IF(Skills!H7&gt;0,MIN(Skills!I7,MAX(0,MAX(0,Inputs!$B$43-B605)-((R573-1)*IF(Inputs!$B$38="pvp",15,MAX(0.1,Skills!D7-IF(Skills!E7=TRUE,Inputs!$B$32,0))))))/Skills!H7,1)))/Inputs!$B$43),G573*Q573))/N573*IF(Inputs!$B$38="pvp",1,(1-Summary!$B$11)*1+Summary!$B$11*(MIN(Skills!R7,Inputs!$B$37))),0)</f>
        <v/>
      </c>
      <c r="T573">
        <f>IF(C573,(H573*N573*IF(AND(Inputs!$B$38&lt;&gt;"pvp",Inputs!$B$43&gt;0),((Skills!G7*((R573-1)*IF(Skills!H7&gt;0,Skills!I7/Skills!H7,1)+IF(Skills!H7&gt;0,MIN(Skills!I7,MAX(0,MAX(0,Inputs!$B$43-B605)-((R573-1)*IF(Inputs!$B$38="pvp",15,MAX(0.1,Skills!D7-IF(Skills!E7=TRUE,Inputs!$B$32,0))))))/Skills!H7,1)))/Inputs!$B$43),G573*Q573))*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Hunt"),CHOOSE(ArtifactsInput!$N$35+1,15,18,21,24,27,30)*(1-EXP(-(0.2*B600)*5)),0)+IF(AND(ArtifactsInput!$M$22,Inputs!$B$4&lt;&gt;"Chapter Hunt"),CHOOSE(ArtifactsInput!$N$22+1,10,12,14,16,18,20)*((0*(((0.15*B600*5))^0/1)+1*(((0.15*B600*5))^1/1)+2*(((0.15*B600*5))^2/2)+3*(((0.15*B600*5))^3/6)+4*(((0.15*B600*5))^4/24)+5*(((0.15*B600*5))^5/120))/((((0.15*B600*5))^0/1)+(((0.15*B600*5))^1/1)+(((0.15*B600*5))^2/2)+(((0.15*B600*5))^3/6)+(((0.15*B600*5))^4/24)+(((0.15*B600*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573*(1-MIN(100,(Inputs!$B$9+((C585=TRUE)*(F585-Calc!F19))+B598+(ArtifactsInput!$M$24-ArtifactsInput!$M$24)*CHOOSE(ArtifactsInput!$N$24+1,10,12,14,16,18,20)+(IF(AND(ArtifactsInput!$M$42,((Inputs!$B$9+((C585=TRUE)*(F585-Calc!F19))+B598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573*(MIN(100,(Inputs!$B$9+((C585=TRUE)*(F585-Calc!F19))+B598+(ArtifactsInput!$M$24-ArtifactsInput!$M$24)*CHOOSE(ArtifactsInput!$N$24+1,10,12,14,16,18,20)+(IF(AND(ArtifactsInput!$M$42,((Inputs!$B$9+((C585=TRUE)*(F585-Calc!F19))+B598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573*(1-MIN(100,(Inputs!$B$9+((C585=TRUE)*(F585-Calc!F19))+B598+(ArtifactsInput!$M$24-ArtifactsInput!$M$24)*CHOOSE(ArtifactsInput!$N$24+1,10,12,14,16,18,20)+(IF(AND(ArtifactsInput!$M$42,((Inputs!$B$9+((C585=TRUE)*(F585-Calc!F19))+B598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573*(MIN(100,(Inputs!$B$9+((C585=TRUE)*(F585-Calc!F19))+B598+(ArtifactsInput!$M$24-ArtifactsInput!$M$24)*CHOOSE(ArtifactsInput!$N$24+1,10,12,14,16,18,20)+(IF(AND(ArtifactsInput!$M$42,((Inputs!$B$9+((C585=TRUE)*(F585-Calc!F19))+B598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573">
        <f>IF(C573,(H573*N573*IF(AND(Inputs!$B$38&lt;&gt;"pvp",Inputs!$B$43&gt;0),((Skills!G7*((R573-1)*IF(Skills!H7&gt;0,Skills!I7/Skills!H7,1)+IF(Skills!H7&gt;0,MIN(Skills!I7,MAX(0,MAX(0,Inputs!$B$43-B605)-((R573-1)*IF(Inputs!$B$38="pvp",15,MAX(0.1,Skills!D7-IF(Skills!E7=TRUE,Inputs!$B$32,0))))))/Skills!H7,1)))/Inputs!$B$43),G573*Q573))*IF(Inputs!$B$38="pvp",1,(1+(Inputs!$B$21+Skills!Q7+(IF(ArtifactsInput!$M$33,CHOOSE(ArtifactsInput!$N$33+1,30,36,42,48,54,60),0))+(IF(AND(ArtifactsInput!$M$35,Inputs!$B$4&lt;&gt;"Chapter Hunt"),CHOOSE(ArtifactsInput!$N$35+1,15,18,21,24,27,30)*(1-EXP(-(0.2*B600)*5)),0)+IF(AND(ArtifactsInput!$M$22,Inputs!$B$4&lt;&gt;"Chapter Hunt"),CHOOSE(ArtifactsInput!$N$22+1,10,12,14,16,18,20)*((0*(((0.15*B600*5))^0/1)+1*(((0.15*B600*5))^1/1)+2*(((0.15*B600*5))^2/2)+3*(((0.15*B600*5))^3/6)+4*(((0.15*B600*5))^4/24)+5*(((0.15*B600*5))^5/120))/((((0.15*B600*5))^0/1)+(((0.15*B600*5))^1/1)+(((0.15*B600*5))^2/2)+(((0.15*B600*5))^3/6)+(((0.15*B600*5))^4/24)+(((0.15*B600*5))^5/120))),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574">
      <c r="A574">
        <f>Skills!A8</f>
        <v/>
      </c>
      <c r="B574">
        <f>Skills!B8</f>
        <v/>
      </c>
      <c r="C574">
        <f>Inputs!$B$3&gt;=100</f>
        <v/>
      </c>
      <c r="D574">
        <f>IF(Skills!C8=1,60+Inputs!$B$25+Inputs!$B$29,IF(Skills!C8=2,90+Inputs!$B$26+Inputs!$B$29,IF(Skills!C8=3,120+Inputs!$B$27+Inputs!$B$29,MAX(0,(Inputs!$B$3-100)*3)+Inputs!$B$28+Inputs!$B$29)))</f>
        <v/>
      </c>
      <c r="E574">
        <f>INDEX(FactorTable!$B$2:$Y$301, MATCH(ROUND(MIN(300,MAX(1,D574)),0), FactorTable!$A$2:$A$301,0), Skills!M8+1)</f>
        <v/>
      </c>
      <c r="F574">
        <f>IF(Skills!N8=TRUE,(Skills!L8/10)*(E574/1000),Skills!L8/10)+Skills!O8</f>
        <v/>
      </c>
      <c r="G574" t="inlineStr"/>
      <c r="H574" t="inlineStr"/>
      <c r="I574" t="inlineStr">
        <is>
          <t>1</t>
        </is>
      </c>
      <c r="J574" t="inlineStr"/>
      <c r="K574" t="inlineStr"/>
      <c r="L574" t="inlineStr"/>
      <c r="M574" t="inlineStr"/>
      <c r="N574" t="inlineStr"/>
      <c r="O574" t="inlineStr"/>
      <c r="P574" t="inlineStr"/>
      <c r="Q574" t="inlineStr"/>
      <c r="R574" t="inlineStr"/>
      <c r="S574" t="inlineStr"/>
      <c r="T574" t="inlineStr"/>
      <c r="V574" t="inlineStr"/>
    </row>
    <row r="575">
      <c r="A575">
        <f>Skills!A9</f>
        <v/>
      </c>
      <c r="B575">
        <f>Skills!B9</f>
        <v/>
      </c>
      <c r="C575">
        <f>Inputs!$B$3&gt;=103</f>
        <v/>
      </c>
      <c r="D575">
        <f>IF(Skills!C9=1,60+Inputs!$B$25+Inputs!$B$29,IF(Skills!C9=2,90+Inputs!$B$26+Inputs!$B$29,IF(Skills!C9=3,120+Inputs!$B$27+Inputs!$B$29,MAX(0,(Inputs!$B$3-100)*3)+Inputs!$B$28+Inputs!$B$29)))</f>
        <v/>
      </c>
      <c r="E575">
        <f>INDEX(FactorTable!$B$2:$Y$301, MATCH(ROUND(MIN(300,MAX(1,D575)),0), FactorTable!$A$2:$A$301,0), Skills!M9+1)</f>
        <v/>
      </c>
      <c r="F575">
        <f>IF(Skills!N9=TRUE,(Skills!L9/10)*(E575/1000),Skills!L9/10)+Skills!O9</f>
        <v/>
      </c>
      <c r="G575">
        <f>Skills!G9*IF(Skills!H9&gt;0,Skills!I9/Skills!H9,1)</f>
        <v/>
      </c>
      <c r="H575">
        <f>1-(1-Skills!J9/100)^Skills!K9</f>
        <v/>
      </c>
      <c r="I575" t="inlineStr">
        <is>
          <t>1</t>
        </is>
      </c>
      <c r="J575">
        <f>((Inputs!$B$6*(1+Inputs!$B$7/100))+(((Inputs!$B$12*(1+Inputs!$B$13/100))-(Inputs!$B$12*(1+Inputs!$B$13/100)))+0.25*(Inputs!$B$14-Inputs!$B$14))*(1+Inputs!$B$7/100))*(F575/100)</f>
        <v/>
      </c>
      <c r="K575">
        <f>J575*(1+((Inputs!$B$12*(1+Inputs!$B$13/100))*0.01+Inputs!$B$14*0.0025)/100)*(1+Inputs!$B$15/100)*(1+Inputs!$B$16/100)*(5000/(6000+Inputs!$B$42*(1-(100*(1-(1-(Inputs!$B$19+0)/100)*(1-CHOOSE(ArtifactsInput!$N$40+1,5,6,7,8,9,10)/100)^(ArtifactsInput!$M$40-ArtifactsInput!$M$40)))/100)))*(1+(Inputs!$B$24+((C590=TRUE)*(F590-Calc!F24))+((C591=TRUE)*(F591-Calc!F25))+B604)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EMPOWERED_PIERCING_ARROW",Inputs!$B$17+((C588=TRUE)*(F588-Calc!F22))+(((IF(AND(ArtifactsInput!$M$42,((Inputs!$B$9+((C585=TRUE)*(F585-Calc!F19))+B598+(ArtifactsInput!$M$24-ArtifactsInput!$M$24)*CHOOSE(ArtifactsInput!$N$24+1,10,12,14,16,18,20)+IF(ArtifactsInput!$M$10,CHOOSE(ArtifactsInput!$N$10+1,15,18,21,24,27,30)*(IF(Inputs!$B$38="pvp",MIN(15,15)/15,IF(AND(Inputs!$B$38&lt;&gt;"pvp",Inputs!$B$43&gt;0),MIN(15,Inputs!$B$43)/(Inputs!$B$43),0))),0)))&gt;=100),MIN(100,((Inputs!$B$9+((C585=TRUE)*(F585-Calc!F19))+B598+(ArtifactsInput!$M$24-ArtifactsInput!$M$24)*CHOOSE(ArtifactsInput!$N$24+1,10,12,14,16,18,20)+IF(ArtifactsInput!$M$10,CHOOSE(ArtifactsInput!$N$10+1,15,18,21,24,27,30)*(IF(Inputs!$B$38="pvp",MIN(15,15)/15,IF(AND(Inputs!$B$38&lt;&gt;"pvp",Inputs!$B$43&gt;0),MIN(15,Inputs!$B$43)/(Inputs!$B$43),0))),0)))-100),0))*CHOOSE(ArtifactsInput!$N$42+1,0.6,0.72,0.84,0.96,1.08,1.2))),Inputs!$B$18+((C593=TRUE)*(F593-Calc!F27))+(IF(AND(ArtifactsInput!$M$42,((Inputs!$B$9+((C585=TRUE)*(F585-Calc!F19))+B598+(ArtifactsInput!$M$24-ArtifactsInput!$M$24)*CHOOSE(ArtifactsInput!$N$24+1,10,12,14,16,18,20)+IF(ArtifactsInput!$M$10,CHOOSE(ArtifactsInput!$N$10+1,15,18,21,24,27,30)*(IF(Inputs!$B$38="pvp",MIN(15,15)/15,IF(AND(Inputs!$B$38&lt;&gt;"pvp",Inputs!$B$43&gt;0),MIN(15,Inputs!$B$43)/(Inputs!$B$43),0))),0)))&gt;=100),CHOOSE(ArtifactsInput!$N$42+1,40,48,56,64,72,80),0))))/100)*((1+(((C579=TRUE)*F579)+((C580=TRUE)*IF(Inputs!$B$38="pvp",F580,(1-Summary!$B$11)*(F580)+Summary!$B$11*(0)))+((C581=TRUE)*F581*IF(AND(Inputs!$B$38&lt;&gt;"pvp",Inputs!$B$43&gt;0),(((R581-1)*(Skills!T15*(1+Inputs!$B$34/100))+MIN((Skills!T15*(1+Inputs!$B$34/100)),MAX(0,Inputs!$B$43-((R581-1)*Skills!D15))))/Inputs!$B$43),IF(Inputs!$B$38="pvp",MIN((Skills!T15*(1+Inputs!$B$34/100)),15)/15,(Skills!T15*(1+Inputs!$B$34/100))/Skills!D15)))+((C578=TRUE)*F578)+((C595=TRUE)*(F595-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575)</f>
        <v/>
      </c>
      <c r="L575">
        <f>K575*(MIN(Inputs!$B$22+((C589=TRUE)*(F589-Calc!F23)),(Inputs!$B$23+((C594=TRUE)*(F594-Calc!F28))+(IF(ArtifactsInput!$M$15,CHOOSE(ArtifactsInput!$N$15+1,25,30,35,40,45,50)/100*(Inputs!$B$11-Inputs!$B$11),0))))/100+(Inputs!$B$23+((C594=TRUE)*(F594-Calc!F28))+(IF(ArtifactsInput!$M$15,CHOOSE(ArtifactsInput!$N$15+1,25,30,35,40,45,50)/100*(Inputs!$B$11-Inputs!$B$11),0)))/100)/2</f>
        <v/>
      </c>
      <c r="M575">
        <f>L575*(1+((Inputs!$B$10+1)+0+B603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575">
        <f>L575*(1-MIN((Inputs!$B$9+((C585=TRUE)*(F585-Calc!F19))+B598+(ArtifactsInput!$M$24-ArtifactsInput!$M$24)*CHOOSE(ArtifactsInput!$N$24+1,10,12,14,16,18,20)+(IF(AND(ArtifactsInput!$M$42,((Inputs!$B$9+((C585=TRUE)*(F585-Calc!F19))+B598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575*(MIN((Inputs!$B$9+((C585=TRUE)*(F585-Calc!F19))+B598+(ArtifactsInput!$M$24-ArtifactsInput!$M$24)*CHOOSE(ArtifactsInput!$N$24+1,10,12,14,16,18,20)+(IF(AND(ArtifactsInput!$M$42,((Inputs!$B$9+((C585=TRUE)*(F585-Calc!F19))+B598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575">
        <f>(1-Summary!$B$11)*T575+Summary!$B$11*V575</f>
        <v/>
      </c>
      <c r="P575">
        <f>IF(B608=0,0,O575/B608)</f>
        <v/>
      </c>
      <c r="Q575">
        <f>IFERROR(1/IF(Inputs!$B$38="pvp",15,MAX(0.1,Skills!D9-IF(Skills!E9=TRUE,Inputs!$B$32,0))),0)</f>
        <v/>
      </c>
      <c r="R575">
        <f>IF(AND(Inputs!$B$38&lt;&gt;"pvp",Inputs!$B$43&gt;0),IF(MAX(0,Inputs!$B$43-B605)&lt;=0,0,(INT(MAX(0,Inputs!$B$43-B605)/IF(Inputs!$B$38="pvp",15,MAX(0.1,Skills!D9-IF(Skills!E9=TRUE,Inputs!$B$32,0))))+1)),0)</f>
        <v/>
      </c>
      <c r="S575">
        <f>IFERROR((H575*N575*IF(AND(Inputs!$B$38&lt;&gt;"pvp",Inputs!$B$43&gt;0),((Skills!G9*((R575-1)*IF(Skills!H9&gt;0,Skills!I9/Skills!H9,1)+IF(Skills!H9&gt;0,MIN(Skills!I9,MAX(0,MAX(0,Inputs!$B$43-B605)-((R575-1)*IF(Inputs!$B$38="pvp",15,MAX(0.1,Skills!D9-IF(Skills!E9=TRUE,Inputs!$B$32,0))))))/Skills!H9,1)))/Inputs!$B$43),G575*Q575))/N575*IF(Inputs!$B$38="pvp",1,(1-Summary!$B$11)*1+Summary!$B$11*(MIN(Skills!R9,Inputs!$B$37))),0)</f>
        <v/>
      </c>
      <c r="T575">
        <f>IF(C575,(H575*N575*IF(AND(Inputs!$B$38&lt;&gt;"pvp",Inputs!$B$43&gt;0),((Skills!G9*((R575-1)*IF(Skills!H9&gt;0,Skills!I9/Skills!H9,1)+IF(Skills!H9&gt;0,MIN(Skills!I9,MAX(0,MAX(0,Inputs!$B$43-B605)-((R575-1)*IF(Inputs!$B$38="pvp",15,MAX(0.1,Skills!D9-IF(Skills!E9=TRUE,Inputs!$B$32,0))))))/Skills!H9,1)))/Inputs!$B$43),G575*Q575))*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Hunt"),CHOOSE(ArtifactsInput!$N$35+1,15,18,21,24,27,30)*(1-EXP(-(0.2*B600)*5)),0)+IF(AND(ArtifactsInput!$M$22,Inputs!$B$4&lt;&gt;"Chapter Hunt"),CHOOSE(ArtifactsInput!$N$22+1,10,12,14,16,18,20)*((0*(((0.15*B600*5))^0/1)+1*(((0.15*B600*5))^1/1)+2*(((0.15*B600*5))^2/2)+3*(((0.15*B600*5))^3/6)+4*(((0.15*B600*5))^4/24)+5*(((0.15*B600*5))^5/120))/((((0.15*B600*5))^0/1)+(((0.15*B600*5))^1/1)+(((0.15*B600*5))^2/2)+(((0.15*B600*5))^3/6)+(((0.15*B600*5))^4/24)+(((0.15*B600*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575*(1-MIN(100,(Inputs!$B$9+((C585=TRUE)*(F585-Calc!F19))+B598+(ArtifactsInput!$M$24-ArtifactsInput!$M$24)*CHOOSE(ArtifactsInput!$N$24+1,10,12,14,16,18,20)+(IF(AND(ArtifactsInput!$M$42,((Inputs!$B$9+((C585=TRUE)*(F585-Calc!F19))+B598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575*(MIN(100,(Inputs!$B$9+((C585=TRUE)*(F585-Calc!F19))+B598+(ArtifactsInput!$M$24-ArtifactsInput!$M$24)*CHOOSE(ArtifactsInput!$N$24+1,10,12,14,16,18,20)+(IF(AND(ArtifactsInput!$M$42,((Inputs!$B$9+((C585=TRUE)*(F585-Calc!F19))+B598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575*(1-MIN(100,(Inputs!$B$9+((C585=TRUE)*(F585-Calc!F19))+B598+(ArtifactsInput!$M$24-ArtifactsInput!$M$24)*CHOOSE(ArtifactsInput!$N$24+1,10,12,14,16,18,20)+(IF(AND(ArtifactsInput!$M$42,((Inputs!$B$9+((C585=TRUE)*(F585-Calc!F19))+B598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575*(MIN(100,(Inputs!$B$9+((C585=TRUE)*(F585-Calc!F19))+B598+(ArtifactsInput!$M$24-ArtifactsInput!$M$24)*CHOOSE(ArtifactsInput!$N$24+1,10,12,14,16,18,20)+(IF(AND(ArtifactsInput!$M$42,((Inputs!$B$9+((C585=TRUE)*(F585-Calc!F19))+B598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575">
        <f>IF(C575,(H575*N575*IF(AND(Inputs!$B$38&lt;&gt;"pvp",Inputs!$B$43&gt;0),((Skills!G9*((R575-1)*IF(Skills!H9&gt;0,Skills!I9/Skills!H9,1)+IF(Skills!H9&gt;0,MIN(Skills!I9,MAX(0,MAX(0,Inputs!$B$43-B605)-((R575-1)*IF(Inputs!$B$38="pvp",15,MAX(0.1,Skills!D9-IF(Skills!E9=TRUE,Inputs!$B$32,0))))))/Skills!H9,1)))/Inputs!$B$43),G575*Q575))*IF(Inputs!$B$38="pvp",1,(1+(Inputs!$B$21+Skills!Q9+(IF(ArtifactsInput!$M$33,CHOOSE(ArtifactsInput!$N$33+1,30,36,42,48,54,60),0))+(IF(AND(ArtifactsInput!$M$35,Inputs!$B$4&lt;&gt;"Chapter Hunt"),CHOOSE(ArtifactsInput!$N$35+1,15,18,21,24,27,30)*(1-EXP(-(0.2*B600)*5)),0)+IF(AND(ArtifactsInput!$M$22,Inputs!$B$4&lt;&gt;"Chapter Hunt"),CHOOSE(ArtifactsInput!$N$22+1,10,12,14,16,18,20)*((0*(((0.15*B600*5))^0/1)+1*(((0.15*B600*5))^1/1)+2*(((0.15*B600*5))^2/2)+3*(((0.15*B600*5))^3/6)+4*(((0.15*B600*5))^4/24)+5*(((0.15*B600*5))^5/120))/((((0.15*B600*5))^0/1)+(((0.15*B600*5))^1/1)+(((0.15*B600*5))^2/2)+(((0.15*B600*5))^3/6)+(((0.15*B600*5))^4/24)+(((0.15*B600*5))^5/120)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576">
      <c r="A576">
        <f>Skills!A10</f>
        <v/>
      </c>
      <c r="B576">
        <f>Skills!B10</f>
        <v/>
      </c>
      <c r="C576">
        <f>Inputs!$B$3&gt;=107</f>
        <v/>
      </c>
      <c r="D576">
        <f>IF(Skills!C10=1,60+Inputs!$B$25+Inputs!$B$29,IF(Skills!C10=2,90+Inputs!$B$26+Inputs!$B$29,IF(Skills!C10=3,120+Inputs!$B$27+Inputs!$B$29,MAX(0,(Inputs!$B$3-100)*3)+Inputs!$B$28+Inputs!$B$29)))</f>
        <v/>
      </c>
      <c r="E576">
        <f>INDEX(FactorTable!$B$2:$Y$301, MATCH(ROUND(MIN(300,MAX(1,D576)),0), FactorTable!$A$2:$A$301,0), Skills!M10+1)</f>
        <v/>
      </c>
      <c r="F576">
        <f>IF(Skills!N10=TRUE,(Skills!L10/10)*(E576/1000),Skills!L10/10)+Skills!O10</f>
        <v/>
      </c>
      <c r="G576">
        <f>Skills!G10*IF(Skills!H10&gt;0,Skills!I10/Skills!H10,1)</f>
        <v/>
      </c>
      <c r="H576">
        <f>1-(1-Skills!J10/100)^Skills!K10</f>
        <v/>
      </c>
      <c r="I576" t="inlineStr">
        <is>
          <t>1</t>
        </is>
      </c>
      <c r="J576">
        <f>((Inputs!$B$6*(1+Inputs!$B$7/100))+(((Inputs!$B$12*(1+Inputs!$B$13/100))-(Inputs!$B$12*(1+Inputs!$B$13/100)))+0.25*(Inputs!$B$14-Inputs!$B$14))*(1+Inputs!$B$7/100))*(F576/100)</f>
        <v/>
      </c>
      <c r="K576">
        <f>J576*(1+((Inputs!$B$12*(1+Inputs!$B$13/100))*0.01+Inputs!$B$14*0.0025)/100)*(1+Inputs!$B$15/100)*(1+Inputs!$B$16/100)*(5000/(6000+Inputs!$B$42*(1-(100*(1-(1-(Inputs!$B$19+0)/100)*(1-CHOOSE(ArtifactsInput!$N$40+1,5,6,7,8,9,10)/100)^(ArtifactsInput!$M$40-ArtifactsInput!$M$40)))/100)))*(1+(Inputs!$B$24+((C590=TRUE)*(F590-Calc!F24))+((C591=TRUE)*(F591-Calc!F25))+B604)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EMPOWERED_PIERCING_ARROW",Inputs!$B$17+((C588=TRUE)*(F588-Calc!F22))+(((IF(AND(ArtifactsInput!$M$42,((Inputs!$B$9+((C585=TRUE)*(F585-Calc!F19))+B598+(ArtifactsInput!$M$24-ArtifactsInput!$M$24)*CHOOSE(ArtifactsInput!$N$24+1,10,12,14,16,18,20)+IF(ArtifactsInput!$M$10,CHOOSE(ArtifactsInput!$N$10+1,15,18,21,24,27,30)*(IF(Inputs!$B$38="pvp",MIN(15,15)/15,IF(AND(Inputs!$B$38&lt;&gt;"pvp",Inputs!$B$43&gt;0),MIN(15,Inputs!$B$43)/(Inputs!$B$43),0))),0)))&gt;=100),MIN(100,((Inputs!$B$9+((C585=TRUE)*(F585-Calc!F19))+B598+(ArtifactsInput!$M$24-ArtifactsInput!$M$24)*CHOOSE(ArtifactsInput!$N$24+1,10,12,14,16,18,20)+IF(ArtifactsInput!$M$10,CHOOSE(ArtifactsInput!$N$10+1,15,18,21,24,27,30)*(IF(Inputs!$B$38="pvp",MIN(15,15)/15,IF(AND(Inputs!$B$38&lt;&gt;"pvp",Inputs!$B$43&gt;0),MIN(15,Inputs!$B$43)/(Inputs!$B$43),0))),0)))-100),0))*CHOOSE(ArtifactsInput!$N$42+1,0.6,0.72,0.84,0.96,1.08,1.2))),Inputs!$B$18+((C593=TRUE)*(F593-Calc!F27))+(IF(AND(ArtifactsInput!$M$42,((Inputs!$B$9+((C585=TRUE)*(F585-Calc!F19))+B598+(ArtifactsInput!$M$24-ArtifactsInput!$M$24)*CHOOSE(ArtifactsInput!$N$24+1,10,12,14,16,18,20)+IF(ArtifactsInput!$M$10,CHOOSE(ArtifactsInput!$N$10+1,15,18,21,24,27,30)*(IF(Inputs!$B$38="pvp",MIN(15,15)/15,IF(AND(Inputs!$B$38&lt;&gt;"pvp",Inputs!$B$43&gt;0),MIN(15,Inputs!$B$43)/(Inputs!$B$43),0))),0)))&gt;=100),CHOOSE(ArtifactsInput!$N$42+1,40,48,56,64,72,80),0))))/100)*((1+(((C579=TRUE)*F579)+((C580=TRUE)*IF(Inputs!$B$38="pvp",F580,(1-Summary!$B$11)*(F580)+Summary!$B$11*(0)))+((C581=TRUE)*F581*IF(AND(Inputs!$B$38&lt;&gt;"pvp",Inputs!$B$43&gt;0),(((R581-1)*(Skills!T15*(1+Inputs!$B$34/100))+MIN((Skills!T15*(1+Inputs!$B$34/100)),MAX(0,Inputs!$B$43-((R581-1)*Skills!D15))))/Inputs!$B$43),IF(Inputs!$B$38="pvp",MIN((Skills!T15*(1+Inputs!$B$34/100)),15)/15,(Skills!T15*(1+Inputs!$B$34/100))/Skills!D15)))+((C578=TRUE)*F578)+((C595=TRUE)*(F595-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576)</f>
        <v/>
      </c>
      <c r="L576">
        <f>K576*(MIN(Inputs!$B$22+((C589=TRUE)*(F589-Calc!F23)),(Inputs!$B$23+((C594=TRUE)*(F594-Calc!F28))+(IF(ArtifactsInput!$M$15,CHOOSE(ArtifactsInput!$N$15+1,25,30,35,40,45,50)/100*(Inputs!$B$11-Inputs!$B$11),0))))/100+(Inputs!$B$23+((C594=TRUE)*(F594-Calc!F28))+(IF(ArtifactsInput!$M$15,CHOOSE(ArtifactsInput!$N$15+1,25,30,35,40,45,50)/100*(Inputs!$B$11-Inputs!$B$11),0)))/100)/2</f>
        <v/>
      </c>
      <c r="M576">
        <f>L576*(1+((Inputs!$B$10+1)+0+B603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576">
        <f>L576*(1-MIN((Inputs!$B$9+((C585=TRUE)*(F585-Calc!F19))+B598+(ArtifactsInput!$M$24-ArtifactsInput!$M$24)*CHOOSE(ArtifactsInput!$N$24+1,10,12,14,16,18,20)+(IF(AND(ArtifactsInput!$M$42,((Inputs!$B$9+((C585=TRUE)*(F585-Calc!F19))+B598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576*(MIN((Inputs!$B$9+((C585=TRUE)*(F585-Calc!F19))+B598+(ArtifactsInput!$M$24-ArtifactsInput!$M$24)*CHOOSE(ArtifactsInput!$N$24+1,10,12,14,16,18,20)+(IF(AND(ArtifactsInput!$M$42,((Inputs!$B$9+((C585=TRUE)*(F585-Calc!F19))+B598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576">
        <f>(1-Summary!$B$11)*T576+Summary!$B$11*V576</f>
        <v/>
      </c>
      <c r="P576">
        <f>IF(B608=0,0,O576/B608)</f>
        <v/>
      </c>
      <c r="Q576" t="n">
        <v>0</v>
      </c>
      <c r="R576" t="n">
        <v>0</v>
      </c>
      <c r="S576" t="n">
        <v>0</v>
      </c>
      <c r="T576">
        <f>IF(C576,(0.15*SUMPRODUCT((Skills!U2:U29=TRUE)*(C568:C595=TRUE)*S568:S595)*Skills!G10*N576)*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Hunt"),CHOOSE(ArtifactsInput!$N$35+1,15,18,21,24,27,30)*(1-EXP(-(0.2*B600)*5)),0)+IF(AND(ArtifactsInput!$M$22,Inputs!$B$4&lt;&gt;"Chapter Hunt"),CHOOSE(ArtifactsInput!$N$22+1,10,12,14,16,18,20)*((0*(((0.15*B600*5))^0/1)+1*(((0.15*B600*5))^1/1)+2*(((0.15*B600*5))^2/2)+3*(((0.15*B600*5))^3/6)+4*(((0.15*B600*5))^4/24)+5*(((0.15*B600*5))^5/120))/((((0.15*B600*5))^0/1)+(((0.15*B600*5))^1/1)+(((0.15*B600*5))^2/2)+(((0.15*B600*5))^3/6)+(((0.15*B600*5))^4/24)+(((0.15*B600*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576*(1-MIN(100,(Inputs!$B$9+((C585=TRUE)*(F585-Calc!F19))+B598+(ArtifactsInput!$M$24-ArtifactsInput!$M$24)*CHOOSE(ArtifactsInput!$N$24+1,10,12,14,16,18,20)+(IF(AND(ArtifactsInput!$M$42,((Inputs!$B$9+((C585=TRUE)*(F585-Calc!F19))+B598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576*(MIN(100,(Inputs!$B$9+((C585=TRUE)*(F585-Calc!F19))+B598+(ArtifactsInput!$M$24-ArtifactsInput!$M$24)*CHOOSE(ArtifactsInput!$N$24+1,10,12,14,16,18,20)+(IF(AND(ArtifactsInput!$M$42,((Inputs!$B$9+((C585=TRUE)*(F585-Calc!F19))+B598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576*(1-MIN(100,(Inputs!$B$9+((C585=TRUE)*(F585-Calc!F19))+B598+(ArtifactsInput!$M$24-ArtifactsInput!$M$24)*CHOOSE(ArtifactsInput!$N$24+1,10,12,14,16,18,20)+(IF(AND(ArtifactsInput!$M$42,((Inputs!$B$9+((C585=TRUE)*(F585-Calc!F19))+B598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576*(MIN(100,(Inputs!$B$9+((C585=TRUE)*(F585-Calc!F19))+B598+(ArtifactsInput!$M$24-ArtifactsInput!$M$24)*CHOOSE(ArtifactsInput!$N$24+1,10,12,14,16,18,20)+(IF(AND(ArtifactsInput!$M$42,((Inputs!$B$9+((C585=TRUE)*(F585-Calc!F19))+B598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576">
        <f>IF(C576,(0.15*SUMPRODUCT((Skills!U2:U29=TRUE)*(C568:C595=TRUE)*S568:S595)*Skills!G10*N576)*IF(Inputs!$B$38="pvp",1,(1+(Inputs!$B$21+Skills!Q10+(IF(ArtifactsInput!$M$33,CHOOSE(ArtifactsInput!$N$33+1,30,36,42,48,54,60),0))+(IF(AND(ArtifactsInput!$M$35,Inputs!$B$4&lt;&gt;"Chapter Hunt"),CHOOSE(ArtifactsInput!$N$35+1,15,18,21,24,27,30)*(1-EXP(-(0.2*B600)*5)),0)+IF(AND(ArtifactsInput!$M$22,Inputs!$B$4&lt;&gt;"Chapter Hunt"),CHOOSE(ArtifactsInput!$N$22+1,10,12,14,16,18,20)*((0*(((0.15*B600*5))^0/1)+1*(((0.15*B600*5))^1/1)+2*(((0.15*B600*5))^2/2)+3*(((0.15*B600*5))^3/6)+4*(((0.15*B600*5))^4/24)+5*(((0.15*B600*5))^5/120))/((((0.15*B600*5))^0/1)+(((0.15*B600*5))^1/1)+(((0.15*B600*5))^2/2)+(((0.15*B600*5))^3/6)+(((0.15*B600*5))^4/24)+(((0.15*B600*5))^5/120)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577">
      <c r="A577">
        <f>Skills!A11</f>
        <v/>
      </c>
      <c r="B577">
        <f>Skills!B11</f>
        <v/>
      </c>
      <c r="C577">
        <f>Inputs!$B$3&gt;=110</f>
        <v/>
      </c>
      <c r="D577">
        <f>IF(Skills!C11=1,60+Inputs!$B$25+Inputs!$B$29,IF(Skills!C11=2,90+Inputs!$B$26+Inputs!$B$29,IF(Skills!C11=3,120+Inputs!$B$27+Inputs!$B$29,MAX(0,(Inputs!$B$3-100)*3)+Inputs!$B$28+Inputs!$B$29)))</f>
        <v/>
      </c>
      <c r="E577">
        <f>INDEX(FactorTable!$B$2:$Y$301, MATCH(ROUND(MIN(300,MAX(1,D577)),0), FactorTable!$A$2:$A$301,0), Skills!M11+1)</f>
        <v/>
      </c>
      <c r="F577">
        <f>IF(Skills!N11=TRUE,(Skills!L11/10)*(E577/1000),Skills!L11/10)+Skills!O11</f>
        <v/>
      </c>
      <c r="G577">
        <f>Skills!G11*IF(Skills!H11&gt;0,Skills!I11/Skills!H11,1)</f>
        <v/>
      </c>
      <c r="H577">
        <f>1-(1-Skills!J11/100)^Skills!K11</f>
        <v/>
      </c>
      <c r="I577" t="inlineStr">
        <is>
          <t>1</t>
        </is>
      </c>
      <c r="J577">
        <f>((Inputs!$B$6*(1+Inputs!$B$7/100))+(((Inputs!$B$12*(1+Inputs!$B$13/100))-(Inputs!$B$12*(1+Inputs!$B$13/100)))+0.25*(Inputs!$B$14-Inputs!$B$14))*(1+Inputs!$B$7/100))*(F577/100)</f>
        <v/>
      </c>
      <c r="K577">
        <f>J577*(1+((Inputs!$B$12*(1+Inputs!$B$13/100))*0.01+Inputs!$B$14*0.0025)/100)*(1+Inputs!$B$15/100)*(1+Inputs!$B$16/100)*(5000/(6000+Inputs!$B$42*(1-(100*(1-(1-(Inputs!$B$19+0)/100)*(1-CHOOSE(ArtifactsInput!$N$40+1,5,6,7,8,9,10)/100)^(ArtifactsInput!$M$40-ArtifactsInput!$M$40)))/100)))*(1+(Inputs!$B$24+((C590=TRUE)*(F590-Calc!F24))+((C591=TRUE)*(F591-Calc!F25))+B604)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11="EMPOWERED_PIERCING_ARROW",Inputs!$B$17+((C588=TRUE)*(F588-Calc!F22))+(((IF(AND(ArtifactsInput!$M$42,((Inputs!$B$9+((C585=TRUE)*(F585-Calc!F19))+B598+(ArtifactsInput!$M$24-ArtifactsInput!$M$24)*CHOOSE(ArtifactsInput!$N$24+1,10,12,14,16,18,20)+IF(ArtifactsInput!$M$10,CHOOSE(ArtifactsInput!$N$10+1,15,18,21,24,27,30)*(IF(Inputs!$B$38="pvp",MIN(15,15)/15,IF(AND(Inputs!$B$38&lt;&gt;"pvp",Inputs!$B$43&gt;0),MIN(15,Inputs!$B$43)/(Inputs!$B$43),0))),0)))&gt;=100),MIN(100,((Inputs!$B$9+((C585=TRUE)*(F585-Calc!F19))+B598+(ArtifactsInput!$M$24-ArtifactsInput!$M$24)*CHOOSE(ArtifactsInput!$N$24+1,10,12,14,16,18,20)+IF(ArtifactsInput!$M$10,CHOOSE(ArtifactsInput!$N$10+1,15,18,21,24,27,30)*(IF(Inputs!$B$38="pvp",MIN(15,15)/15,IF(AND(Inputs!$B$38&lt;&gt;"pvp",Inputs!$B$43&gt;0),MIN(15,Inputs!$B$43)/(Inputs!$B$43),0))),0)))-100),0))*CHOOSE(ArtifactsInput!$N$42+1,0.6,0.72,0.84,0.96,1.08,1.2))),Inputs!$B$18+((C593=TRUE)*(F593-Calc!F27))+(IF(AND(ArtifactsInput!$M$42,((Inputs!$B$9+((C585=TRUE)*(F585-Calc!F19))+B598+(ArtifactsInput!$M$24-ArtifactsInput!$M$24)*CHOOSE(ArtifactsInput!$N$24+1,10,12,14,16,18,20)+IF(ArtifactsInput!$M$10,CHOOSE(ArtifactsInput!$N$10+1,15,18,21,24,27,30)*(IF(Inputs!$B$38="pvp",MIN(15,15)/15,IF(AND(Inputs!$B$38&lt;&gt;"pvp",Inputs!$B$43&gt;0),MIN(15,Inputs!$B$43)/(Inputs!$B$43),0))),0)))&gt;=100),CHOOSE(ArtifactsInput!$N$42+1,40,48,56,64,72,80),0))))/100)*((1+(((C579=TRUE)*F579)+((C580=TRUE)*IF(Inputs!$B$38="pvp",F580,(1-Summary!$B$11)*(F580)+Summary!$B$11*(0)))+((C581=TRUE)*F581*IF(AND(Inputs!$B$38&lt;&gt;"pvp",Inputs!$B$43&gt;0),(((R581-1)*(Skills!T15*(1+Inputs!$B$34/100))+MIN((Skills!T15*(1+Inputs!$B$34/100)),MAX(0,Inputs!$B$43-((R581-1)*Skills!D15))))/Inputs!$B$43),IF(Inputs!$B$38="pvp",MIN((Skills!T15*(1+Inputs!$B$34/100)),15)/15,(Skills!T15*(1+Inputs!$B$34/100))/Skills!D15)))+((C578=TRUE)*F578)+((C595=TRUE)*(F595-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577)</f>
        <v/>
      </c>
      <c r="L577">
        <f>K577*(MIN(Inputs!$B$22+((C589=TRUE)*(F589-Calc!F23)),(Inputs!$B$23+((C594=TRUE)*(F594-Calc!F28))+(IF(ArtifactsInput!$M$15,CHOOSE(ArtifactsInput!$N$15+1,25,30,35,40,45,50)/100*(Inputs!$B$11-Inputs!$B$11),0))))/100+(Inputs!$B$23+((C594=TRUE)*(F594-Calc!F28))+(IF(ArtifactsInput!$M$15,CHOOSE(ArtifactsInput!$N$15+1,25,30,35,40,45,50)/100*(Inputs!$B$11-Inputs!$B$11),0)))/100)/2</f>
        <v/>
      </c>
      <c r="M577">
        <f>L577*(1+((Inputs!$B$10+1)+0+B603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577">
        <f>L577*(1-MIN((Inputs!$B$9+((C585=TRUE)*(F585-Calc!F19))+B598+(ArtifactsInput!$M$24-ArtifactsInput!$M$24)*CHOOSE(ArtifactsInput!$N$24+1,10,12,14,16,18,20)+(IF(AND(ArtifactsInput!$M$42,((Inputs!$B$9+((C585=TRUE)*(F585-Calc!F19))+B598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577*(MIN((Inputs!$B$9+((C585=TRUE)*(F585-Calc!F19))+B598+(ArtifactsInput!$M$24-ArtifactsInput!$M$24)*CHOOSE(ArtifactsInput!$N$24+1,10,12,14,16,18,20)+(IF(AND(ArtifactsInput!$M$42,((Inputs!$B$9+((C585=TRUE)*(F585-Calc!F19))+B598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577">
        <f>(1-Summary!$B$11)*T577+Summary!$B$11*V577</f>
        <v/>
      </c>
      <c r="P577">
        <f>IF(B608=0,0,O577/B608)</f>
        <v/>
      </c>
      <c r="Q577">
        <f>IFERROR(1/IF(Inputs!$B$38="pvp",15,MAX(0.1,Skills!D11-IF(Skills!E11=TRUE,Inputs!$B$32,0))),0)</f>
        <v/>
      </c>
      <c r="R577">
        <f>IF(AND(Inputs!$B$38&lt;&gt;"pvp",Inputs!$B$43&gt;0),IF(MAX(0,Inputs!$B$43-B605)&lt;=0,0,(INT(MAX(0,Inputs!$B$43-B605)/IF(Inputs!$B$38="pvp",15,MAX(0.1,Skills!D11-IF(Skills!E11=TRUE,Inputs!$B$32,0))))+1)),0)</f>
        <v/>
      </c>
      <c r="S577">
        <f>IFERROR((H577*N577*IF(AND(Inputs!$B$38&lt;&gt;"pvp",Inputs!$B$43&gt;0),((Skills!G11*((R577-1)*IF(Skills!H11&gt;0,Skills!I11/Skills!H11,1)+IF(Skills!H11&gt;0,MIN(Skills!I11,MAX(0,MAX(0,Inputs!$B$43-B605)-((R577-1)*IF(Inputs!$B$38="pvp",15,MAX(0.1,Skills!D11-IF(Skills!E11=TRUE,Inputs!$B$32,0))))))/Skills!H11,1)))/Inputs!$B$43),G577*Q577))/N577*IF(Inputs!$B$38="pvp",1,(1-Summary!$B$11)*1+Summary!$B$11*(MIN(Skills!R11,Inputs!$B$37))),0)</f>
        <v/>
      </c>
      <c r="T577">
        <f>IF(C577,(H577*N577*IF(AND(Inputs!$B$38&lt;&gt;"pvp",Inputs!$B$43&gt;0),((Skills!G11*((R577-1)*IF(Skills!H11&gt;0,Skills!I11/Skills!H11,1)+IF(Skills!H11&gt;0,MIN(Skills!I11,MAX(0,MAX(0,Inputs!$B$43-B605)-((R577-1)*IF(Inputs!$B$38="pvp",15,MAX(0.1,Skills!D11-IF(Skills!E11=TRUE,Inputs!$B$32,0))))))/Skills!H11,1)))/Inputs!$B$43),G577*Q577))*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Hunt"),CHOOSE(ArtifactsInput!$N$35+1,15,18,21,24,27,30)*(1-EXP(-(0.2*B600)*5)),0)+IF(AND(ArtifactsInput!$M$22,Inputs!$B$4&lt;&gt;"Chapter Hunt"),CHOOSE(ArtifactsInput!$N$22+1,10,12,14,16,18,20)*((0*(((0.15*B600*5))^0/1)+1*(((0.15*B600*5))^1/1)+2*(((0.15*B600*5))^2/2)+3*(((0.15*B600*5))^3/6)+4*(((0.15*B600*5))^4/24)+5*(((0.15*B600*5))^5/120))/((((0.15*B600*5))^0/1)+(((0.15*B600*5))^1/1)+(((0.15*B600*5))^2/2)+(((0.15*B600*5))^3/6)+(((0.15*B600*5))^4/24)+(((0.15*B600*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577*(1-MIN(100,(Inputs!$B$9+((C585=TRUE)*(F585-Calc!F19))+B598+(ArtifactsInput!$M$24-ArtifactsInput!$M$24)*CHOOSE(ArtifactsInput!$N$24+1,10,12,14,16,18,20)+(IF(AND(ArtifactsInput!$M$42,((Inputs!$B$9+((C585=TRUE)*(F585-Calc!F19))+B598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577*(MIN(100,(Inputs!$B$9+((C585=TRUE)*(F585-Calc!F19))+B598+(ArtifactsInput!$M$24-ArtifactsInput!$M$24)*CHOOSE(ArtifactsInput!$N$24+1,10,12,14,16,18,20)+(IF(AND(ArtifactsInput!$M$42,((Inputs!$B$9+((C585=TRUE)*(F585-Calc!F19))+B598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577*(1-MIN(100,(Inputs!$B$9+((C585=TRUE)*(F585-Calc!F19))+B598+(ArtifactsInput!$M$24-ArtifactsInput!$M$24)*CHOOSE(ArtifactsInput!$N$24+1,10,12,14,16,18,20)+(IF(AND(ArtifactsInput!$M$42,((Inputs!$B$9+((C585=TRUE)*(F585-Calc!F19))+B598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577*(MIN(100,(Inputs!$B$9+((C585=TRUE)*(F585-Calc!F19))+B598+(ArtifactsInput!$M$24-ArtifactsInput!$M$24)*CHOOSE(ArtifactsInput!$N$24+1,10,12,14,16,18,20)+(IF(AND(ArtifactsInput!$M$42,((Inputs!$B$9+((C585=TRUE)*(F585-Calc!F19))+B598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577">
        <f>IF(C577,(H577*N577*IF(AND(Inputs!$B$38&lt;&gt;"pvp",Inputs!$B$43&gt;0),((Skills!G11*((R577-1)*IF(Skills!H11&gt;0,Skills!I11/Skills!H11,1)+IF(Skills!H11&gt;0,MIN(Skills!I11,MAX(0,MAX(0,Inputs!$B$43-B605)-((R577-1)*IF(Inputs!$B$38="pvp",15,MAX(0.1,Skills!D11-IF(Skills!E11=TRUE,Inputs!$B$32,0))))))/Skills!H11,1)))/Inputs!$B$43),G577*Q577))*IF(Inputs!$B$38="pvp",1,(1+(Inputs!$B$21+Skills!Q11+(IF(ArtifactsInput!$M$33,CHOOSE(ArtifactsInput!$N$33+1,30,36,42,48,54,60),0))+(IF(AND(ArtifactsInput!$M$35,Inputs!$B$4&lt;&gt;"Chapter Hunt"),CHOOSE(ArtifactsInput!$N$35+1,15,18,21,24,27,30)*(1-EXP(-(0.2*B600)*5)),0)+IF(AND(ArtifactsInput!$M$22,Inputs!$B$4&lt;&gt;"Chapter Hunt"),CHOOSE(ArtifactsInput!$N$22+1,10,12,14,16,18,20)*((0*(((0.15*B600*5))^0/1)+1*(((0.15*B600*5))^1/1)+2*(((0.15*B600*5))^2/2)+3*(((0.15*B600*5))^3/6)+4*(((0.15*B600*5))^4/24)+5*(((0.15*B600*5))^5/120))/((((0.15*B600*5))^0/1)+(((0.15*B600*5))^1/1)+(((0.15*B600*5))^2/2)+(((0.15*B600*5))^3/6)+(((0.15*B600*5))^4/24)+(((0.15*B600*5))^5/120))),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578">
      <c r="A578">
        <f>Skills!A12</f>
        <v/>
      </c>
      <c r="B578">
        <f>Skills!B12</f>
        <v/>
      </c>
      <c r="C578">
        <f>Inputs!$B$3&gt;=60</f>
        <v/>
      </c>
      <c r="D578">
        <f>IF(Skills!C12=1,60+Inputs!$B$25+Inputs!$B$29,IF(Skills!C12=2,90+Inputs!$B$26+Inputs!$B$29,IF(Skills!C12=3,120+Inputs!$B$27+Inputs!$B$29,MAX(0,(Inputs!$B$3-100)*3)+Inputs!$B$28+Inputs!$B$29)))</f>
        <v/>
      </c>
      <c r="E578">
        <f>INDEX(FactorTable!$B$2:$Y$301, MATCH(ROUND(MIN(300,MAX(1,D578)),0), FactorTable!$A$2:$A$301,0), Skills!M12+1)</f>
        <v/>
      </c>
      <c r="F578">
        <f>IF(Skills!N12=TRUE,(Skills!L12/10)*(E578/1000),Skills!L12/10)+Skills!O12</f>
        <v/>
      </c>
      <c r="G578">
        <f>Skills!G12*IF(Skills!H12&gt;0,Skills!I12/Skills!H12,1)</f>
        <v/>
      </c>
      <c r="H578">
        <f>1-(1-Skills!J12/100)^Skills!K12</f>
        <v/>
      </c>
      <c r="I578" t="inlineStr">
        <is>
          <t>1</t>
        </is>
      </c>
      <c r="J578" t="inlineStr"/>
      <c r="K578" t="inlineStr"/>
      <c r="L578" t="inlineStr"/>
      <c r="M578" t="inlineStr"/>
      <c r="N578" t="inlineStr"/>
      <c r="O578">
        <f>(1-Summary!$B$11)*T578+Summary!$B$11*V578</f>
        <v/>
      </c>
      <c r="P578">
        <f>IF(B608=0,0,O578/B608)</f>
        <v/>
      </c>
      <c r="Q578" t="n">
        <v>0</v>
      </c>
      <c r="R578" t="n">
        <v>0</v>
      </c>
      <c r="S578" t="n">
        <v>0</v>
      </c>
      <c r="T578" t="n">
        <v>0</v>
      </c>
      <c r="V578" t="n">
        <v>0</v>
      </c>
    </row>
    <row r="579">
      <c r="A579">
        <f>Skills!A13</f>
        <v/>
      </c>
      <c r="B579">
        <f>Skills!B13</f>
        <v/>
      </c>
      <c r="C579">
        <f>Inputs!$B$3&gt;=74</f>
        <v/>
      </c>
      <c r="D579">
        <f>IF(Skills!C13=1,60+Inputs!$B$25+Inputs!$B$29,IF(Skills!C13=2,90+Inputs!$B$26+Inputs!$B$29,IF(Skills!C13=3,120+Inputs!$B$27+Inputs!$B$29,MAX(0,(Inputs!$B$3-100)*3)+Inputs!$B$28+Inputs!$B$29)))</f>
        <v/>
      </c>
      <c r="E579">
        <f>INDEX(FactorTable!$B$2:$Y$301, MATCH(ROUND(MIN(300,MAX(1,D579)),0), FactorTable!$A$2:$A$301,0), Skills!M13+1)</f>
        <v/>
      </c>
      <c r="F579">
        <f>IF(Skills!N13=TRUE,(Skills!L13/10)*(E579/1000),Skills!L13/10)+Skills!O13</f>
        <v/>
      </c>
      <c r="G579">
        <f>Skills!G13*IF(Skills!H13&gt;0,Skills!I13/Skills!H13,1)</f>
        <v/>
      </c>
      <c r="H579">
        <f>1-(1-Skills!J13/100)^Skills!K13</f>
        <v/>
      </c>
      <c r="I579" t="inlineStr">
        <is>
          <t>1</t>
        </is>
      </c>
      <c r="J579" t="inlineStr"/>
      <c r="K579" t="inlineStr"/>
      <c r="L579" t="inlineStr"/>
      <c r="M579" t="inlineStr"/>
      <c r="N579" t="inlineStr"/>
      <c r="O579">
        <f>(1-Summary!$B$11)*T579+Summary!$B$11*V579</f>
        <v/>
      </c>
      <c r="P579">
        <f>IF(B608=0,0,O579/B608)</f>
        <v/>
      </c>
      <c r="Q579" t="n">
        <v>0</v>
      </c>
      <c r="R579" t="n">
        <v>0</v>
      </c>
      <c r="S579" t="n">
        <v>0</v>
      </c>
      <c r="T579" t="n">
        <v>0</v>
      </c>
      <c r="V579" t="n">
        <v>0</v>
      </c>
    </row>
    <row r="580">
      <c r="A580">
        <f>Skills!A14</f>
        <v/>
      </c>
      <c r="B580">
        <f>Skills!B14</f>
        <v/>
      </c>
      <c r="C580">
        <f>Inputs!$B$3&gt;=74</f>
        <v/>
      </c>
      <c r="D580">
        <f>IF(Skills!C14=1,60+Inputs!$B$25+Inputs!$B$29,IF(Skills!C14=2,90+Inputs!$B$26+Inputs!$B$29,IF(Skills!C14=3,120+Inputs!$B$27+Inputs!$B$29,MAX(0,(Inputs!$B$3-100)*3)+Inputs!$B$28+Inputs!$B$29)))</f>
        <v/>
      </c>
      <c r="E580">
        <f>INDEX(FactorTable!$B$2:$Y$301, MATCH(ROUND(MIN(300,MAX(1,D580)),0), FactorTable!$A$2:$A$301,0), Skills!M14+1)</f>
        <v/>
      </c>
      <c r="F580">
        <f>IF(Skills!N14=TRUE,(Skills!L14/10)*(E580/1000),Skills!L14/10)+Skills!O14</f>
        <v/>
      </c>
      <c r="G580">
        <f>Skills!G14*IF(Skills!H14&gt;0,Skills!I14/Skills!H14,1)</f>
        <v/>
      </c>
      <c r="H580">
        <f>1-(1-Skills!J14/100)^Skills!K14</f>
        <v/>
      </c>
      <c r="I580" t="inlineStr">
        <is>
          <t>1</t>
        </is>
      </c>
      <c r="J580" t="inlineStr"/>
      <c r="K580" t="inlineStr"/>
      <c r="L580" t="inlineStr"/>
      <c r="M580" t="inlineStr"/>
      <c r="N580" t="inlineStr"/>
      <c r="O580">
        <f>(1-Summary!$B$11)*T580+Summary!$B$11*V580</f>
        <v/>
      </c>
      <c r="P580">
        <f>IF(B608=0,0,O580/B608)</f>
        <v/>
      </c>
      <c r="Q580" t="n">
        <v>0</v>
      </c>
      <c r="R580" t="n">
        <v>0</v>
      </c>
      <c r="S580" t="n">
        <v>0</v>
      </c>
      <c r="T580" t="n">
        <v>0</v>
      </c>
      <c r="V580" t="n">
        <v>0</v>
      </c>
    </row>
    <row r="581">
      <c r="A581">
        <f>Skills!A15</f>
        <v/>
      </c>
      <c r="B581">
        <f>Skills!B15</f>
        <v/>
      </c>
      <c r="C581">
        <f>Inputs!$B$3&gt;=117</f>
        <v/>
      </c>
      <c r="D581">
        <f>IF(Skills!C15=1,60+Inputs!$B$25+Inputs!$B$29,IF(Skills!C15=2,90+Inputs!$B$26+Inputs!$B$29,IF(Skills!C15=3,120+Inputs!$B$27+Inputs!$B$29,MAX(0,(Inputs!$B$3-100)*3)+Inputs!$B$28+Inputs!$B$29)))</f>
        <v/>
      </c>
      <c r="E581">
        <f>INDEX(FactorTable!$B$2:$Y$301, MATCH(ROUND(MIN(300,MAX(1,D581)),0), FactorTable!$A$2:$A$301,0), Skills!M15+1)</f>
        <v/>
      </c>
      <c r="F581">
        <f>IF(Skills!N15=TRUE,(Skills!L15/10)*(E581/1000),Skills!L15/10)+Skills!O15</f>
        <v/>
      </c>
      <c r="G581">
        <f>Skills!G15*IF(Skills!H15&gt;0,Skills!I15/Skills!H15,1)</f>
        <v/>
      </c>
      <c r="H581">
        <f>1-(1-Skills!J15/100)^Skills!K15</f>
        <v/>
      </c>
      <c r="I581" t="inlineStr">
        <is>
          <t>1</t>
        </is>
      </c>
      <c r="J581" t="inlineStr"/>
      <c r="K581" t="inlineStr"/>
      <c r="L581" t="inlineStr"/>
      <c r="M581" t="inlineStr"/>
      <c r="N581" t="inlineStr"/>
      <c r="O581">
        <f>(1-Summary!$B$11)*T581+Summary!$B$11*V581</f>
        <v/>
      </c>
      <c r="P581">
        <f>IF(B608=0,0,O581/B608)</f>
        <v/>
      </c>
      <c r="Q581">
        <f>IFERROR(1/IF(Inputs!$B$38="pvp",15,MAX(0.1,Skills!D15-IF(Skills!E15=TRUE,Inputs!$B$32,0))),0)</f>
        <v/>
      </c>
      <c r="R581">
        <f>IF(AND(Inputs!$B$38&lt;&gt;"pvp",Inputs!$B$43&gt;0),IF(Inputs!$B$43&lt;=0,0,(INT(Inputs!$B$43/IF(Inputs!$B$38="pvp",15,MAX(0.1,Skills!D15-IF(Skills!E15=TRUE,Inputs!$B$32,0))))+1)),0)</f>
        <v/>
      </c>
      <c r="S581" t="n">
        <v>0</v>
      </c>
      <c r="T581" t="n">
        <v>0</v>
      </c>
      <c r="V581" t="n">
        <v>0</v>
      </c>
    </row>
    <row r="582">
      <c r="A582">
        <f>Skills!A16</f>
        <v/>
      </c>
      <c r="B582">
        <f>Skills!B16</f>
        <v/>
      </c>
      <c r="C582">
        <f>Inputs!$B$3&gt;=115</f>
        <v/>
      </c>
      <c r="D582">
        <f>IF(Skills!C16=1,60+Inputs!$B$25+Inputs!$B$29,IF(Skills!C16=2,90+Inputs!$B$26+Inputs!$B$29,IF(Skills!C16=3,120+Inputs!$B$27+Inputs!$B$29,MAX(0,(Inputs!$B$3-100)*3)+Inputs!$B$28+Inputs!$B$29)))</f>
        <v/>
      </c>
      <c r="E582">
        <f>INDEX(FactorTable!$B$2:$Y$301, MATCH(ROUND(MIN(300,MAX(1,D582)),0), FactorTable!$A$2:$A$301,0), Skills!M16+1)</f>
        <v/>
      </c>
      <c r="F582">
        <f>IF(Skills!N16=TRUE,(Skills!L16/10)*(E582/1000),Skills!L16/10)+Skills!O16</f>
        <v/>
      </c>
      <c r="G582">
        <f>Skills!G16*IF(Skills!H16&gt;0,Skills!I16/Skills!H16,1)</f>
        <v/>
      </c>
      <c r="H582">
        <f>1-(1-Skills!J16/100)^Skills!K16</f>
        <v/>
      </c>
      <c r="I582" t="inlineStr">
        <is>
          <t>1</t>
        </is>
      </c>
      <c r="J582" t="inlineStr"/>
      <c r="K582" t="inlineStr"/>
      <c r="L582" t="inlineStr"/>
      <c r="M582" t="inlineStr"/>
      <c r="N582" t="inlineStr"/>
      <c r="O582">
        <f>(1-Summary!$B$11)*T582+Summary!$B$11*V582</f>
        <v/>
      </c>
      <c r="P582">
        <f>IF(B608=0,0,O582/B608)</f>
        <v/>
      </c>
      <c r="Q582">
        <f>IFERROR(1/IF(Inputs!$B$38="pvp",15,MAX(0.1,Skills!D16-IF(Skills!E16=TRUE,Inputs!$B$32,0))),0)</f>
        <v/>
      </c>
      <c r="R582">
        <f>IF(AND(Inputs!$B$38&lt;&gt;"pvp",Inputs!$B$43&gt;0),IF(Inputs!$B$43&lt;=0,0,(INT(Inputs!$B$43/IF(Inputs!$B$38="pvp",15,MAX(0.1,Skills!D16-IF(Skills!E16=TRUE,Inputs!$B$32,0))))+1)),0)</f>
        <v/>
      </c>
      <c r="S582" t="n">
        <v>0</v>
      </c>
      <c r="T582" t="n">
        <v>0</v>
      </c>
      <c r="V582" t="n">
        <v>0</v>
      </c>
    </row>
    <row r="583">
      <c r="A583">
        <f>Skills!A17</f>
        <v/>
      </c>
      <c r="B583">
        <f>Skills!B17</f>
        <v/>
      </c>
      <c r="C583">
        <f>Inputs!$B$3&gt;=72</f>
        <v/>
      </c>
      <c r="D583">
        <f>IF(Skills!C17=1,60+Inputs!$B$25+Inputs!$B$29,IF(Skills!C17=2,90+Inputs!$B$26+Inputs!$B$29,IF(Skills!C17=3,120+Inputs!$B$27+Inputs!$B$29,MAX(0,(Inputs!$B$3-100)*3)+Inputs!$B$28+Inputs!$B$29)))</f>
        <v/>
      </c>
      <c r="E583">
        <f>INDEX(FactorTable!$B$2:$Y$301, MATCH(ROUND(MIN(300,MAX(1,D583)),0), FactorTable!$A$2:$A$301,0), Skills!M17+1)</f>
        <v/>
      </c>
      <c r="F583">
        <f>IF(Skills!N17=TRUE,(Skills!L17/10)*(E583/1000),Skills!L17/10)+Skills!O17</f>
        <v/>
      </c>
      <c r="G583">
        <f>Skills!G17*IF(Skills!H17&gt;0,Skills!I17/Skills!H17,1)</f>
        <v/>
      </c>
      <c r="H583">
        <f>1-(1-Skills!J17/100)^Skills!K17</f>
        <v/>
      </c>
      <c r="I583" t="inlineStr">
        <is>
          <t>1</t>
        </is>
      </c>
      <c r="J583" t="inlineStr"/>
      <c r="K583" t="inlineStr"/>
      <c r="L583" t="inlineStr"/>
      <c r="M583" t="inlineStr"/>
      <c r="N583" t="inlineStr"/>
      <c r="O583">
        <f>(1-Summary!$B$11)*T583+Summary!$B$11*V583</f>
        <v/>
      </c>
      <c r="P583">
        <f>IF(B608=0,0,O583/B608)</f>
        <v/>
      </c>
      <c r="Q583" t="n">
        <v>0</v>
      </c>
      <c r="R583" t="n">
        <v>0</v>
      </c>
      <c r="S583" t="n">
        <v>0</v>
      </c>
      <c r="T583" t="n">
        <v>0</v>
      </c>
      <c r="V583" t="n">
        <v>0</v>
      </c>
    </row>
    <row r="584">
      <c r="A584">
        <f>Skills!A18</f>
        <v/>
      </c>
      <c r="B584">
        <f>Skills!B18</f>
        <v/>
      </c>
      <c r="C584">
        <f>TRUE</f>
        <v/>
      </c>
      <c r="D584">
        <f>IF(Skills!C18=1,60+Inputs!$B$25+Inputs!$B$29,IF(Skills!C18=2,90+Inputs!$B$26+Inputs!$B$29,IF(Skills!C18=3,120+Inputs!$B$27+Inputs!$B$29,MAX(0,(Inputs!$B$3-100)*3)+Inputs!$B$28+Inputs!$B$29)))</f>
        <v/>
      </c>
      <c r="E584">
        <f>INDEX(FactorTable!$B$2:$Y$301, MATCH(ROUND(MIN(300,MAX(1,D584)),0), FactorTable!$A$2:$A$301,0), Skills!M18+1)</f>
        <v/>
      </c>
      <c r="F584">
        <f>IF(Skills!N18=TRUE,(Skills!L18/10)*(E584/1000),Skills!L18/10)+Skills!O18</f>
        <v/>
      </c>
      <c r="G584">
        <f>Skills!G18*IF(Skills!H18&gt;0,Skills!I18/Skills!H18,1)</f>
        <v/>
      </c>
      <c r="H584">
        <f>1-(1-Skills!J18/100)^Skills!K18</f>
        <v/>
      </c>
      <c r="I584" t="inlineStr">
        <is>
          <t>1</t>
        </is>
      </c>
      <c r="J584" t="inlineStr"/>
      <c r="K584" t="inlineStr"/>
      <c r="L584" t="inlineStr"/>
      <c r="M584" t="inlineStr"/>
      <c r="N584" t="inlineStr"/>
      <c r="O584">
        <f>(1-Summary!$B$11)*T584+Summary!$B$11*V584</f>
        <v/>
      </c>
      <c r="P584">
        <f>IF(B608=0,0,O584/B608)</f>
        <v/>
      </c>
      <c r="Q584">
        <f>IFERROR(1/IF(Inputs!$B$38="pvp",15,MAX(0.1,Skills!D18-IF(Skills!E18=TRUE,Inputs!$B$32,0))),0)</f>
        <v/>
      </c>
      <c r="R584">
        <f>IF(AND(Inputs!$B$38&lt;&gt;"pvp",Inputs!$B$43&gt;0),IF(Inputs!$B$43&lt;=0,0,(INT(Inputs!$B$43/IF(Inputs!$B$38="pvp",15,MAX(0.1,Skills!D18-IF(Skills!E18=TRUE,Inputs!$B$32,0))))+1)),0)</f>
        <v/>
      </c>
      <c r="S584" t="n">
        <v>0</v>
      </c>
      <c r="T584" t="n">
        <v>0</v>
      </c>
      <c r="V584" t="n">
        <v>0</v>
      </c>
    </row>
    <row r="585">
      <c r="A585">
        <f>Skills!A19</f>
        <v/>
      </c>
      <c r="B585">
        <f>Skills!B19</f>
        <v/>
      </c>
      <c r="C585">
        <f>Inputs!$B$3&gt;=15</f>
        <v/>
      </c>
      <c r="D585">
        <f>IF(Skills!C19=1,60+Inputs!$B$25+Inputs!$B$29,IF(Skills!C19=2,90+Inputs!$B$26+Inputs!$B$29,IF(Skills!C19=3,120+Inputs!$B$27+Inputs!$B$29,MAX(0,(Inputs!$B$3-100)*3)+Inputs!$B$28+Inputs!$B$29)))</f>
        <v/>
      </c>
      <c r="E585">
        <f>INDEX(FactorTable!$B$2:$Y$301, MATCH(ROUND(MIN(300,MAX(1,D585)),0), FactorTable!$A$2:$A$301,0), Skills!M19+1)</f>
        <v/>
      </c>
      <c r="F585">
        <f>IF(Skills!N19=TRUE,(Skills!L19/10)*(E585/1000),Skills!L19/10)+Skills!O19</f>
        <v/>
      </c>
      <c r="G585">
        <f>Skills!G19*IF(Skills!H19&gt;0,Skills!I19/Skills!H19,1)</f>
        <v/>
      </c>
      <c r="H585">
        <f>1-(1-Skills!J19/100)^Skills!K19</f>
        <v/>
      </c>
      <c r="I585" t="inlineStr">
        <is>
          <t>1</t>
        </is>
      </c>
      <c r="J585" t="inlineStr"/>
      <c r="K585" t="inlineStr"/>
      <c r="L585" t="inlineStr"/>
      <c r="M585" t="inlineStr"/>
      <c r="N585" t="inlineStr"/>
      <c r="O585">
        <f>(1-Summary!$B$11)*T585+Summary!$B$11*V585</f>
        <v/>
      </c>
      <c r="P585">
        <f>IF(B608=0,0,O585/B608)</f>
        <v/>
      </c>
      <c r="Q585" t="n">
        <v>0</v>
      </c>
      <c r="R585" t="n">
        <v>0</v>
      </c>
      <c r="S585" t="n">
        <v>0</v>
      </c>
      <c r="T585" t="n">
        <v>0</v>
      </c>
      <c r="V585" t="n">
        <v>0</v>
      </c>
    </row>
    <row r="586">
      <c r="A586">
        <f>Skills!A20</f>
        <v/>
      </c>
      <c r="B586">
        <f>Skills!B20</f>
        <v/>
      </c>
      <c r="C586">
        <f>Inputs!$B$3&gt;=10</f>
        <v/>
      </c>
      <c r="D586">
        <f>IF(Skills!C20=1,60+Inputs!$B$25+Inputs!$B$29,IF(Skills!C20=2,90+Inputs!$B$26+Inputs!$B$29,IF(Skills!C20=3,120+Inputs!$B$27+Inputs!$B$29,MAX(0,(Inputs!$B$3-100)*3)+Inputs!$B$28+Inputs!$B$29)))</f>
        <v/>
      </c>
      <c r="E586">
        <f>INDEX(FactorTable!$B$2:$Y$301, MATCH(ROUND(MIN(300,MAX(1,D586)),0), FactorTable!$A$2:$A$301,0), Skills!M20+1)</f>
        <v/>
      </c>
      <c r="F586">
        <f>IF(Skills!N20=TRUE,(Skills!L20/10)*(E586/1000),Skills!L20/10)+Skills!O20</f>
        <v/>
      </c>
      <c r="G586">
        <f>Skills!G20*IF(Skills!H20&gt;0,Skills!I20/Skills!H20,1)</f>
        <v/>
      </c>
      <c r="H586">
        <f>1-(1-Skills!J20/100)^Skills!K20</f>
        <v/>
      </c>
      <c r="I586" t="inlineStr">
        <is>
          <t>1</t>
        </is>
      </c>
      <c r="J586" t="inlineStr"/>
      <c r="K586" t="inlineStr"/>
      <c r="L586" t="inlineStr"/>
      <c r="M586" t="inlineStr"/>
      <c r="N586" t="inlineStr"/>
      <c r="O586">
        <f>(1-Summary!$B$11)*T586+Summary!$B$11*V586</f>
        <v/>
      </c>
      <c r="P586">
        <f>IF(B608=0,0,O586/B608)</f>
        <v/>
      </c>
      <c r="Q586" t="n">
        <v>0</v>
      </c>
      <c r="R586" t="n">
        <v>0</v>
      </c>
      <c r="S586" t="n">
        <v>0</v>
      </c>
      <c r="T586" t="n">
        <v>0</v>
      </c>
      <c r="V586" t="n">
        <v>0</v>
      </c>
    </row>
    <row r="587">
      <c r="A587">
        <f>Skills!A21</f>
        <v/>
      </c>
      <c r="B587">
        <f>Skills!B21</f>
        <v/>
      </c>
      <c r="C587">
        <f>Inputs!$B$3&gt;=33</f>
        <v/>
      </c>
      <c r="D587">
        <f>IF(Skills!C21=1,60+Inputs!$B$25+Inputs!$B$29,IF(Skills!C21=2,90+Inputs!$B$26+Inputs!$B$29,IF(Skills!C21=3,120+Inputs!$B$27+Inputs!$B$29,MAX(0,(Inputs!$B$3-100)*3)+Inputs!$B$28+Inputs!$B$29)))</f>
        <v/>
      </c>
      <c r="E587">
        <f>INDEX(FactorTable!$B$2:$Y$301, MATCH(ROUND(MIN(300,MAX(1,D587)),0), FactorTable!$A$2:$A$301,0), Skills!M21+1)</f>
        <v/>
      </c>
      <c r="F587">
        <f>IF(Skills!N21=TRUE,(Skills!L21/10)*(E587/1000),Skills!L21/10)+Skills!O21</f>
        <v/>
      </c>
      <c r="G587">
        <f>Skills!G21*IF(Skills!H21&gt;0,Skills!I21/Skills!H21,1)</f>
        <v/>
      </c>
      <c r="H587">
        <f>1-(1-Skills!J21/100)^Skills!K21</f>
        <v/>
      </c>
      <c r="I587" t="inlineStr">
        <is>
          <t>1</t>
        </is>
      </c>
      <c r="J587" t="inlineStr"/>
      <c r="K587" t="inlineStr"/>
      <c r="L587" t="inlineStr"/>
      <c r="M587" t="inlineStr"/>
      <c r="N587" t="inlineStr"/>
      <c r="O587">
        <f>(1-Summary!$B$11)*T587+Summary!$B$11*V587</f>
        <v/>
      </c>
      <c r="P587">
        <f>IF(B608=0,0,O587/B608)</f>
        <v/>
      </c>
      <c r="Q587" t="n">
        <v>0</v>
      </c>
      <c r="R587" t="n">
        <v>0</v>
      </c>
      <c r="S587" t="n">
        <v>0</v>
      </c>
      <c r="T587" t="n">
        <v>0</v>
      </c>
      <c r="V587" t="n">
        <v>0</v>
      </c>
    </row>
    <row r="588">
      <c r="A588">
        <f>Skills!A22</f>
        <v/>
      </c>
      <c r="B588">
        <f>Skills!B22</f>
        <v/>
      </c>
      <c r="C588">
        <f>Inputs!$B$3&gt;=38</f>
        <v/>
      </c>
      <c r="D588">
        <f>IF(Skills!C22=1,60+Inputs!$B$25+Inputs!$B$29,IF(Skills!C22=2,90+Inputs!$B$26+Inputs!$B$29,IF(Skills!C22=3,120+Inputs!$B$27+Inputs!$B$29,MAX(0,(Inputs!$B$3-100)*3)+Inputs!$B$28+Inputs!$B$29)))</f>
        <v/>
      </c>
      <c r="E588">
        <f>INDEX(FactorTable!$B$2:$Y$301, MATCH(ROUND(MIN(300,MAX(1,D588)),0), FactorTable!$A$2:$A$301,0), Skills!M22+1)</f>
        <v/>
      </c>
      <c r="F588">
        <f>IF(Skills!N22=TRUE,(Skills!L22/10)*(E588/1000),Skills!L22/10)+Skills!O22</f>
        <v/>
      </c>
      <c r="G588">
        <f>Skills!G22*IF(Skills!H22&gt;0,Skills!I22/Skills!H22,1)</f>
        <v/>
      </c>
      <c r="H588">
        <f>1-(1-Skills!J22/100)^Skills!K22</f>
        <v/>
      </c>
      <c r="I588" t="inlineStr">
        <is>
          <t>1</t>
        </is>
      </c>
      <c r="J588" t="inlineStr"/>
      <c r="K588" t="inlineStr"/>
      <c r="L588" t="inlineStr"/>
      <c r="M588" t="inlineStr"/>
      <c r="N588" t="inlineStr"/>
      <c r="O588">
        <f>(1-Summary!$B$11)*T588+Summary!$B$11*V588</f>
        <v/>
      </c>
      <c r="P588">
        <f>IF(B608=0,0,O588/B608)</f>
        <v/>
      </c>
      <c r="Q588" t="n">
        <v>0</v>
      </c>
      <c r="R588" t="n">
        <v>0</v>
      </c>
      <c r="S588" t="n">
        <v>0</v>
      </c>
      <c r="T588" t="n">
        <v>0</v>
      </c>
      <c r="V588" t="n">
        <v>0</v>
      </c>
    </row>
    <row r="589">
      <c r="A589">
        <f>Skills!A23</f>
        <v/>
      </c>
      <c r="B589">
        <f>Skills!B23</f>
        <v/>
      </c>
      <c r="C589">
        <f>Inputs!$B$3&gt;=43</f>
        <v/>
      </c>
      <c r="D589">
        <f>IF(Skills!C23=1,60+Inputs!$B$25+Inputs!$B$29,IF(Skills!C23=2,90+Inputs!$B$26+Inputs!$B$29,IF(Skills!C23=3,120+Inputs!$B$27+Inputs!$B$29,MAX(0,(Inputs!$B$3-100)*3)+Inputs!$B$28+Inputs!$B$29)))</f>
        <v/>
      </c>
      <c r="E589">
        <f>INDEX(FactorTable!$B$2:$Y$301, MATCH(ROUND(MIN(300,MAX(1,D589)),0), FactorTable!$A$2:$A$301,0), Skills!M23+1)</f>
        <v/>
      </c>
      <c r="F589">
        <f>IF(Skills!N23=TRUE,(Skills!L23/10)*(E589/1000),Skills!L23/10)+Skills!O23</f>
        <v/>
      </c>
      <c r="G589">
        <f>Skills!G23*IF(Skills!H23&gt;0,Skills!I23/Skills!H23,1)</f>
        <v/>
      </c>
      <c r="H589">
        <f>1-(1-Skills!J23/100)^Skills!K23</f>
        <v/>
      </c>
      <c r="I589" t="inlineStr">
        <is>
          <t>1</t>
        </is>
      </c>
      <c r="J589" t="inlineStr"/>
      <c r="K589" t="inlineStr"/>
      <c r="L589" t="inlineStr"/>
      <c r="M589" t="inlineStr"/>
      <c r="N589" t="inlineStr"/>
      <c r="O589">
        <f>(1-Summary!$B$11)*T589+Summary!$B$11*V589</f>
        <v/>
      </c>
      <c r="P589">
        <f>IF(B608=0,0,O589/B608)</f>
        <v/>
      </c>
      <c r="Q589" t="n">
        <v>0</v>
      </c>
      <c r="R589" t="n">
        <v>0</v>
      </c>
      <c r="S589" t="n">
        <v>0</v>
      </c>
      <c r="T589" t="n">
        <v>0</v>
      </c>
      <c r="V589" t="n">
        <v>0</v>
      </c>
    </row>
    <row r="590">
      <c r="A590">
        <f>Skills!A24</f>
        <v/>
      </c>
      <c r="B590">
        <f>Skills!B24</f>
        <v/>
      </c>
      <c r="C590">
        <f>Inputs!$B$3&gt;=75</f>
        <v/>
      </c>
      <c r="D590">
        <f>IF(Skills!C24=1,60+Inputs!$B$25+Inputs!$B$29,IF(Skills!C24=2,90+Inputs!$B$26+Inputs!$B$29,IF(Skills!C24=3,120+Inputs!$B$27+Inputs!$B$29,MAX(0,(Inputs!$B$3-100)*3)+Inputs!$B$28+Inputs!$B$29)))</f>
        <v/>
      </c>
      <c r="E590">
        <f>INDEX(FactorTable!$B$2:$Y$301, MATCH(ROUND(MIN(300,MAX(1,D590)),0), FactorTable!$A$2:$A$301,0), Skills!M24+1)</f>
        <v/>
      </c>
      <c r="F590">
        <f>IF(Skills!N24=TRUE,(Skills!L24/10)*(E590/1000),Skills!L24/10)+Skills!O24</f>
        <v/>
      </c>
      <c r="G590">
        <f>Skills!G24*IF(Skills!H24&gt;0,Skills!I24/Skills!H24,1)</f>
        <v/>
      </c>
      <c r="H590">
        <f>1-(1-Skills!J24/100)^Skills!K24</f>
        <v/>
      </c>
      <c r="I590" t="inlineStr">
        <is>
          <t>1</t>
        </is>
      </c>
      <c r="J590" t="inlineStr"/>
      <c r="K590" t="inlineStr"/>
      <c r="L590" t="inlineStr"/>
      <c r="M590" t="inlineStr"/>
      <c r="N590" t="inlineStr"/>
      <c r="O590">
        <f>(1-Summary!$B$11)*T590+Summary!$B$11*V590</f>
        <v/>
      </c>
      <c r="P590">
        <f>IF(B608=0,0,O590/B608)</f>
        <v/>
      </c>
      <c r="Q590" t="n">
        <v>0</v>
      </c>
      <c r="R590" t="n">
        <v>0</v>
      </c>
      <c r="S590" t="n">
        <v>0</v>
      </c>
      <c r="T590" t="n">
        <v>0</v>
      </c>
      <c r="V590" t="n">
        <v>0</v>
      </c>
    </row>
    <row r="591">
      <c r="A591">
        <f>Skills!A25</f>
        <v/>
      </c>
      <c r="B591">
        <f>Skills!B25</f>
        <v/>
      </c>
      <c r="C591">
        <f>Inputs!$B$3&gt;=125</f>
        <v/>
      </c>
      <c r="D591">
        <f>IF(Skills!C25=1,60+Inputs!$B$25+Inputs!$B$29,IF(Skills!C25=2,90+Inputs!$B$26+Inputs!$B$29,IF(Skills!C25=3,120+Inputs!$B$27+Inputs!$B$29,MAX(0,(Inputs!$B$3-100)*3)+Inputs!$B$28+Inputs!$B$29)))</f>
        <v/>
      </c>
      <c r="E591">
        <f>INDEX(FactorTable!$B$2:$Y$301, MATCH(ROUND(MIN(300,MAX(1,D591)),0), FactorTable!$A$2:$A$301,0), Skills!M25+1)</f>
        <v/>
      </c>
      <c r="F591">
        <f>IF(Skills!N25=TRUE,(Skills!L25/10)*(E591/1000),Skills!L25/10)+Skills!O25</f>
        <v/>
      </c>
      <c r="G591">
        <f>Skills!G25*IF(Skills!H25&gt;0,Skills!I25/Skills!H25,1)</f>
        <v/>
      </c>
      <c r="H591">
        <f>1-(1-Skills!J25/100)^Skills!K25</f>
        <v/>
      </c>
      <c r="I591" t="inlineStr">
        <is>
          <t>1</t>
        </is>
      </c>
      <c r="J591" t="inlineStr"/>
      <c r="K591" t="inlineStr"/>
      <c r="L591" t="inlineStr"/>
      <c r="M591" t="inlineStr"/>
      <c r="N591" t="inlineStr"/>
      <c r="O591">
        <f>(1-Summary!$B$11)*T591+Summary!$B$11*V591</f>
        <v/>
      </c>
      <c r="P591">
        <f>IF(B608=0,0,O591/B608)</f>
        <v/>
      </c>
      <c r="Q591" t="n">
        <v>0</v>
      </c>
      <c r="R591" t="n">
        <v>0</v>
      </c>
      <c r="S591" t="n">
        <v>0</v>
      </c>
      <c r="T591" t="n">
        <v>0</v>
      </c>
      <c r="V591" t="n">
        <v>0</v>
      </c>
    </row>
    <row r="592">
      <c r="A592">
        <f>Skills!A26</f>
        <v/>
      </c>
      <c r="B592">
        <f>Skills!B26</f>
        <v/>
      </c>
      <c r="C592">
        <f>Inputs!$B$3&gt;=125</f>
        <v/>
      </c>
      <c r="D592">
        <f>IF(Skills!C26=1,60+Inputs!$B$25+Inputs!$B$29,IF(Skills!C26=2,90+Inputs!$B$26+Inputs!$B$29,IF(Skills!C26=3,120+Inputs!$B$27+Inputs!$B$29,MAX(0,(Inputs!$B$3-100)*3)+Inputs!$B$28+Inputs!$B$29)))</f>
        <v/>
      </c>
      <c r="E592">
        <f>INDEX(FactorTable!$B$2:$Y$301, MATCH(ROUND(MIN(300,MAX(1,D592)),0), FactorTable!$A$2:$A$301,0), Skills!M26+1)</f>
        <v/>
      </c>
      <c r="F592">
        <f>IF(Skills!N26=TRUE,(Skills!L26/10)*(E592/1000),Skills!L26/10)+Skills!O26</f>
        <v/>
      </c>
      <c r="G592">
        <f>Skills!G26*IF(Skills!H26&gt;0,Skills!I26/Skills!H26,1)</f>
        <v/>
      </c>
      <c r="H592">
        <f>1-(1-Skills!J26/100)^Skills!K26</f>
        <v/>
      </c>
      <c r="I592" t="inlineStr">
        <is>
          <t>1</t>
        </is>
      </c>
      <c r="J592" t="inlineStr"/>
      <c r="K592" t="inlineStr"/>
      <c r="L592" t="inlineStr"/>
      <c r="M592" t="inlineStr"/>
      <c r="N592" t="inlineStr"/>
      <c r="O592">
        <f>(1-Summary!$B$11)*T592+Summary!$B$11*V592</f>
        <v/>
      </c>
      <c r="P592">
        <f>IF(B608=0,0,O592/B608)</f>
        <v/>
      </c>
      <c r="Q592" t="n">
        <v>0</v>
      </c>
      <c r="R592" t="n">
        <v>0</v>
      </c>
      <c r="S592" t="n">
        <v>0</v>
      </c>
      <c r="T592" t="n">
        <v>0</v>
      </c>
      <c r="V592" t="n">
        <v>0</v>
      </c>
    </row>
    <row r="593">
      <c r="A593">
        <f>Skills!A27</f>
        <v/>
      </c>
      <c r="B593">
        <f>Skills!B27</f>
        <v/>
      </c>
      <c r="C593">
        <f>Inputs!$B$3&gt;=120</f>
        <v/>
      </c>
      <c r="D593">
        <f>IF(Skills!C27=1,60+Inputs!$B$25+Inputs!$B$29,IF(Skills!C27=2,90+Inputs!$B$26+Inputs!$B$29,IF(Skills!C27=3,120+Inputs!$B$27+Inputs!$B$29,MAX(0,(Inputs!$B$3-100)*3)+Inputs!$B$28+Inputs!$B$29)))</f>
        <v/>
      </c>
      <c r="E593">
        <f>INDEX(FactorTable!$B$2:$Y$301, MATCH(ROUND(MIN(300,MAX(1,D593)),0), FactorTable!$A$2:$A$301,0), Skills!M27+1)</f>
        <v/>
      </c>
      <c r="F593">
        <f>IF(Skills!N27=TRUE,(Skills!L27/10)*(E593/1000),Skills!L27/10)+Skills!O27</f>
        <v/>
      </c>
      <c r="G593">
        <f>Skills!G27*IF(Skills!H27&gt;0,Skills!I27/Skills!H27,1)</f>
        <v/>
      </c>
      <c r="H593">
        <f>1-(1-Skills!J27/100)^Skills!K27</f>
        <v/>
      </c>
      <c r="I593" t="inlineStr">
        <is>
          <t>1</t>
        </is>
      </c>
      <c r="J593" t="inlineStr"/>
      <c r="K593" t="inlineStr"/>
      <c r="L593" t="inlineStr"/>
      <c r="M593" t="inlineStr"/>
      <c r="N593" t="inlineStr"/>
      <c r="O593">
        <f>(1-Summary!$B$11)*T593+Summary!$B$11*V593</f>
        <v/>
      </c>
      <c r="P593">
        <f>IF(B608=0,0,O593/B608)</f>
        <v/>
      </c>
      <c r="Q593" t="n">
        <v>0</v>
      </c>
      <c r="R593" t="n">
        <v>0</v>
      </c>
      <c r="S593" t="n">
        <v>0</v>
      </c>
      <c r="T593" t="n">
        <v>0</v>
      </c>
      <c r="V593" t="n">
        <v>0</v>
      </c>
    </row>
    <row r="594">
      <c r="A594">
        <f>Skills!A28</f>
        <v/>
      </c>
      <c r="B594">
        <f>Skills!B28</f>
        <v/>
      </c>
      <c r="C594">
        <f>Inputs!$B$3&gt;=120</f>
        <v/>
      </c>
      <c r="D594">
        <f>IF(Skills!C28=1,60+Inputs!$B$25+Inputs!$B$29,IF(Skills!C28=2,90+Inputs!$B$26+Inputs!$B$29,IF(Skills!C28=3,120+Inputs!$B$27+Inputs!$B$29,MAX(0,(Inputs!$B$3-100)*3)+Inputs!$B$28+Inputs!$B$29)))</f>
        <v/>
      </c>
      <c r="E594">
        <f>INDEX(FactorTable!$B$2:$Y$301, MATCH(ROUND(MIN(300,MAX(1,D594)),0), FactorTable!$A$2:$A$301,0), Skills!M28+1)</f>
        <v/>
      </c>
      <c r="F594">
        <f>IF(Skills!N28=TRUE,(Skills!L28/10)*(E594/1000),Skills!L28/10)+Skills!O28</f>
        <v/>
      </c>
      <c r="G594">
        <f>Skills!G28*IF(Skills!H28&gt;0,Skills!I28/Skills!H28,1)</f>
        <v/>
      </c>
      <c r="H594">
        <f>1-(1-Skills!J28/100)^Skills!K28</f>
        <v/>
      </c>
      <c r="I594" t="inlineStr">
        <is>
          <t>1</t>
        </is>
      </c>
      <c r="J594" t="inlineStr"/>
      <c r="K594" t="inlineStr"/>
      <c r="L594" t="inlineStr"/>
      <c r="M594" t="inlineStr"/>
      <c r="N594" t="inlineStr"/>
      <c r="O594">
        <f>(1-Summary!$B$11)*T594+Summary!$B$11*V594</f>
        <v/>
      </c>
      <c r="P594">
        <f>IF(B608=0,0,O594/B608)</f>
        <v/>
      </c>
      <c r="Q594" t="n">
        <v>0</v>
      </c>
      <c r="R594" t="n">
        <v>0</v>
      </c>
      <c r="S594" t="n">
        <v>0</v>
      </c>
      <c r="T594" t="n">
        <v>0</v>
      </c>
      <c r="V594" t="n">
        <v>0</v>
      </c>
    </row>
    <row r="595">
      <c r="A595">
        <f>Skills!A29</f>
        <v/>
      </c>
      <c r="B595">
        <f>Skills!B29</f>
        <v/>
      </c>
      <c r="C595">
        <f>Inputs!$B$3&gt;=45</f>
        <v/>
      </c>
      <c r="D595">
        <f>IF(Skills!C29=1,60+Inputs!$B$25+Inputs!$B$29,IF(Skills!C29=2,90+Inputs!$B$26+Inputs!$B$29,IF(Skills!C29=3,120+Inputs!$B$27+Inputs!$B$29,MAX(0,(Inputs!$B$3-100)*3)+Inputs!$B$28+Inputs!$B$29)))</f>
        <v/>
      </c>
      <c r="E595">
        <f>INDEX(FactorTable!$B$2:$Y$301, MATCH(ROUND(MIN(300,MAX(1,D595)),0), FactorTable!$A$2:$A$301,0), Skills!M29+1)</f>
        <v/>
      </c>
      <c r="F595">
        <f>IF(Skills!N29=TRUE,(Skills!L29/10)*(E595/1000),Skills!L29/10)+Skills!O29</f>
        <v/>
      </c>
      <c r="G595">
        <f>Skills!G29*IF(Skills!H29&gt;0,Skills!I29/Skills!H29,1)</f>
        <v/>
      </c>
      <c r="H595">
        <f>1-(1-Skills!J29/100)^Skills!K29</f>
        <v/>
      </c>
      <c r="I595" t="inlineStr">
        <is>
          <t>1</t>
        </is>
      </c>
      <c r="J595" t="inlineStr"/>
      <c r="K595" t="inlineStr"/>
      <c r="L595" t="inlineStr"/>
      <c r="M595" t="inlineStr"/>
      <c r="N595" t="inlineStr"/>
      <c r="O595">
        <f>(1-Summary!$B$11)*T595+Summary!$B$11*V595</f>
        <v/>
      </c>
      <c r="P595">
        <f>IF(B608=0,0,O595/B608)</f>
        <v/>
      </c>
      <c r="Q595" t="n">
        <v>0</v>
      </c>
      <c r="R595" t="n">
        <v>0</v>
      </c>
      <c r="S595" t="n">
        <v>0</v>
      </c>
      <c r="T595" t="n">
        <v>0</v>
      </c>
      <c r="V595" t="n">
        <v>0</v>
      </c>
    </row>
    <row r="597">
      <c r="A597" t="inlineStr">
        <is>
          <t>Attack% Bucket Multiplier</t>
        </is>
      </c>
      <c r="B597">
        <f>(1+(((C579=TRUE)*F579)+((C580=TRUE)*IF(Inputs!$B$38="pvp",F580,(1-Summary!$B$11)*(F580)+Summary!$B$11*(0)))+((C581=TRUE)*F581*IF(AND(Inputs!$B$38&lt;&gt;"pvp",Inputs!$B$43&gt;0),(((R581-1)*(Skills!T15*(1+Inputs!$B$34/100))+MIN((Skills!T15*(1+Inputs!$B$34/100)),MAX(0,Inputs!$B$43-((R581-1)*Skills!D15))))/Inputs!$B$43),IF(Inputs!$B$38="pvp",MIN((Skills!T15*(1+Inputs!$B$34/100)),15)/15,(Skills!T15*(1+Inputs!$B$34/100))/Skills!D15)))+((C578=TRUE)*F578)+((C595=TRUE)*(F595-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598">
      <c r="A598" t="inlineStr">
        <is>
          <t>Global Crit Rate Bonus %</t>
        </is>
      </c>
      <c r="B598">
        <f>(C582=TRUE)*20*IF(AND(Inputs!$B$38&lt;&gt;"pvp",Inputs!$B$43&gt;0),(((R582-1)*(Skills!T16*(1+Inputs!$B$34/100))+MIN((Skills!T16*(1+Inputs!$B$34/100)),MAX(0,Inputs!$B$43-((R582-1)*Skills!D16))))/Inputs!$B$43),IF(Inputs!$B$38="pvp",MIN((Skills!T16*(1+Inputs!$B$34/100)),15)/15,(Skills!T16*(1+Inputs!$B$34/100))/Skills!D16))</f>
        <v/>
      </c>
    </row>
    <row r="599">
      <c r="A599" t="inlineStr">
        <is>
          <t>Attack Speed Buff Bonus %</t>
        </is>
      </c>
      <c r="B599">
        <f>((C584=TRUE)*F584*IF(AND(Inputs!$B$38&lt;&gt;"pvp",Inputs!$B$43&gt;0),(((R584-1)*(Skills!T18*(1+Inputs!$B$34/100))+MIN((Skills!T18*(1+Inputs!$B$34/100)),MAX(0,Inputs!$B$43-((R584-1)*Skills!D18))))/Inputs!$B$43),IF(Inputs!$B$38="pvp",MIN((Skills!T18*(1+Inputs!$B$34/100)),15)/15,(Skills!T18*(1+Inputs!$B$34/100))/Skills!D18)))</f>
        <v/>
      </c>
    </row>
    <row r="600">
      <c r="A600" t="inlineStr">
        <is>
          <t>Actions Per Second</t>
        </is>
      </c>
      <c r="B600">
        <f>1+MIN(150,150*(1-(1-(Inputs!$B$11+((C586=TRUE)*(F586-Calc!F20))+((C587=TRUE)*(F587-Calc!F21)))/150)*(1-B599/150)))/100</f>
        <v/>
      </c>
    </row>
    <row r="601">
      <c r="A601" t="inlineStr">
        <is>
          <t>Skill + Buff Cast Rate</t>
        </is>
      </c>
      <c r="B601">
        <f>IF(AND(Inputs!$B$38&lt;&gt;"pvp",Inputs!$B$43&gt;0),SUMPRODUCT((Skills!E2:E29=TRUE)*(C568:C595=TRUE)*R568:R595*Skills!F2:F29)/Inputs!$B$43,SUMPRODUCT((Skills!E2:E29=TRUE)*(C568:C595=TRUE)*Q568:Q595*Skills!F2:F29))</f>
        <v/>
      </c>
    </row>
    <row r="602">
      <c r="A602" t="inlineStr">
        <is>
          <t>Empowered Piercing Arrow Casts Per Second</t>
        </is>
      </c>
      <c r="B602">
        <f>MAX(0,B600-B601)</f>
        <v/>
      </c>
    </row>
    <row r="603">
      <c r="A603" t="inlineStr">
        <is>
          <t>Global Critical Damage Bonus % (Sharp Eyes)</t>
        </is>
      </c>
      <c r="B603">
        <f>(C582=TRUE)*F582*IF(AND(Inputs!$B$38&lt;&gt;"pvp",Inputs!$B$43&gt;0),(((R582-1)*(Skills!T16*(1+Inputs!$B$34/100))+MIN((Skills!T16*(1+Inputs!$B$34/100)),MAX(0,Inputs!$B$43-((R582-1)*Skills!D16))))/Inputs!$B$43),IF(Inputs!$B$38="pvp",MIN((Skills!T16*(1+Inputs!$B$34/100)),15)/15,(Skills!T16*(1+Inputs!$B$34/100))/Skills!D16))</f>
        <v/>
      </c>
    </row>
    <row r="604">
      <c r="A604" t="inlineStr">
        <is>
          <t>Global Final Damage Bonus % (Mortal Blow + Last Man Standing conditional half)</t>
        </is>
      </c>
      <c r="B604">
        <f>(C583=TRUE)*F583+((C592=TRUE)*IF(Inputs!$B$38="pvp",F592,(1-Summary!$B$11)*(F592)+Summary!$B$11*(0)))</f>
        <v/>
      </c>
    </row>
    <row r="605">
      <c r="A605" t="inlineStr">
        <is>
          <t>Buff-Casting Startup Delay (s, fixed-duration only)</t>
        </is>
      </c>
      <c r="B605">
        <f>IF(AND(Inputs!$B$38&lt;&gt;"pvp",Inputs!$B$43&gt;0),SUMPRODUCT((Skills!T2:T29&gt;0)*(Skills!E2:E29=TRUE)*(C568:C595=TRUE))/B600,0)</f>
        <v/>
      </c>
    </row>
    <row r="606">
      <c r="A606" t="inlineStr">
        <is>
          <t>Boss-Only Total DPS (this block's swept value)</t>
        </is>
      </c>
      <c r="B606">
        <f>SUM(T568:T595)</f>
        <v/>
      </c>
    </row>
    <row r="607">
      <c r="A607" t="inlineStr">
        <is>
          <t>Normal-Only Total DPS (this block's swept value)</t>
        </is>
      </c>
      <c r="B607">
        <f>SUM(V568:V595)</f>
        <v/>
      </c>
    </row>
    <row r="608">
      <c r="A608" s="6" t="inlineStr">
        <is>
          <t>TOTAL DPS</t>
        </is>
      </c>
      <c r="B608" s="6">
        <f>SUM(O568:O595)</f>
        <v/>
      </c>
    </row>
    <row r="611">
      <c r="A611" s="6" t="inlineStr">
        <is>
          <t>Stat: ATTACK_SPEED % (diminishing returns, factor 150)</t>
        </is>
      </c>
    </row>
    <row r="612">
      <c r="A612" s="5" t="inlineStr">
        <is>
          <t>Key</t>
        </is>
      </c>
      <c r="B612" s="5" t="inlineStr">
        <is>
          <t>Name</t>
        </is>
      </c>
      <c r="C612" s="5" t="inlineStr">
        <is>
          <t>Unlocked</t>
        </is>
      </c>
      <c r="D612" s="5" t="inlineStr">
        <is>
          <t>InputLevel</t>
        </is>
      </c>
      <c r="E612" s="5" t="inlineStr">
        <is>
          <t>Factor</t>
        </is>
      </c>
      <c r="F612" s="5" t="inlineStr">
        <is>
          <t>CoefficientPercent</t>
        </is>
      </c>
      <c r="G612" s="5" t="inlineStr">
        <is>
          <t>EffectiveHits</t>
        </is>
      </c>
      <c r="H612" s="5" t="inlineStr">
        <is>
          <t>ProcProbability</t>
        </is>
      </c>
      <c r="I612" s="5" t="inlineStr">
        <is>
          <t>MapleHeroMultiplier</t>
        </is>
      </c>
      <c r="J612" s="5" t="inlineStr">
        <is>
          <t>BaseDamage</t>
        </is>
      </c>
      <c r="K612" s="5" t="inlineStr">
        <is>
          <t>BaseHitDamage</t>
        </is>
      </c>
      <c r="L612" s="5" t="inlineStr">
        <is>
          <t>NonCritAvg</t>
        </is>
      </c>
      <c r="M612" s="5" t="inlineStr">
        <is>
          <t>CritAvg</t>
        </is>
      </c>
      <c r="N612" s="5" t="inlineStr">
        <is>
          <t>ExpectedDamage(perHit)</t>
        </is>
      </c>
      <c r="O612" s="5" t="inlineStr">
        <is>
          <t>DPS</t>
        </is>
      </c>
      <c r="P612" s="5" t="inlineStr">
        <is>
          <t>% of Total</t>
        </is>
      </c>
      <c r="Q612" s="5" t="inlineStr">
        <is>
          <t>InvCooldown</t>
        </is>
      </c>
      <c r="R612" s="5" t="inlineStr">
        <is>
          <t>CastsInFight</t>
        </is>
      </c>
      <c r="S612" s="5" t="inlineStr">
        <is>
          <t>HitRate(perSec)</t>
        </is>
      </c>
      <c r="U612" t="inlineStr">
        <is>
          <t>helpers</t>
        </is>
      </c>
    </row>
    <row r="613">
      <c r="A613">
        <f>Skills!A2</f>
        <v/>
      </c>
      <c r="B613">
        <f>Skills!B2</f>
        <v/>
      </c>
      <c r="C613">
        <f>Inputs!$B$3&gt;=100</f>
        <v/>
      </c>
      <c r="D613" t="inlineStr"/>
      <c r="E613" t="inlineStr"/>
      <c r="F613">
        <f>U615+Skills!O2</f>
        <v/>
      </c>
      <c r="G613">
        <f>Skills!G2*IF(Skills!H2&gt;0,Skills!I2/Skills!H2,1)</f>
        <v/>
      </c>
      <c r="H613">
        <f>1-(1-Skills!J2/100)^Skills!K2</f>
        <v/>
      </c>
      <c r="I613" t="inlineStr">
        <is>
          <t>1</t>
        </is>
      </c>
      <c r="J613">
        <f>((Inputs!$B$6*(1+Inputs!$B$7/100))+(((Inputs!$B$12*(1+Inputs!$B$13/100))-(Inputs!$B$12*(1+Inputs!$B$13/100)))+0.25*(Inputs!$B$14-Inputs!$B$14))*(1+Inputs!$B$7/100))*(F613/100)</f>
        <v/>
      </c>
      <c r="K613">
        <f>J613*(1+((Inputs!$B$12*(1+Inputs!$B$13/100))*0.01+Inputs!$B$14*0.0025)/100)*(1+Inputs!$B$15/100)*(1+Inputs!$B$16/100)*(5000/(6000+Inputs!$B$42*(1-(100*(1-(1-(Inputs!$B$19+0)/100)*(1-CHOOSE(ArtifactsInput!$N$40+1,5,6,7,8,9,10)/100)^(ArtifactsInput!$M$40-ArtifactsInput!$M$40)))/100)))*(1+(Inputs!$B$24+((C635=TRUE)*(F635-Calc!F24))+((C636=TRUE)*(F636-Calc!F25))+B649)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(1-(1-Inputs!$B$11/150)*(1-1/150))*150)-60))),0)-IF(ArtifactsInput!$M$34,MIN(CHOOSE(ArtifactsInput!$N$34+1,10,12,14,16,18,20),MAX(0,(CHOOSE(ArtifactsInput!$N$34+1,0.5,0.6,0.7,0.8,0.9,1)/3)*(Inputs!$B$11-60))),0)))/100)*(1+(IF(Skills!A2="EMPOWERED_PIERCING_ARROW",Inputs!$B$17+((C633=TRUE)*(F633-Calc!F22))+(((IF(AND(ArtifactsInput!$M$42,((Inputs!$B$9+((C630=TRUE)*(F630-Calc!F19))+B643+(ArtifactsInput!$M$24-ArtifactsInput!$M$24)*CHOOSE(ArtifactsInput!$N$24+1,10,12,14,16,18,20)+IF(ArtifactsInput!$M$10,CHOOSE(ArtifactsInput!$N$10+1,15,18,21,24,27,30)*(IF(Inputs!$B$38="pvp",MIN(15,15)/15,IF(AND(Inputs!$B$38&lt;&gt;"pvp",Inputs!$B$43&gt;0),MIN(15,Inputs!$B$43)/(Inputs!$B$43),0))),0)))&gt;=100),MIN(100,((Inputs!$B$9+((C630=TRUE)*(F630-Calc!F19))+B643+(ArtifactsInput!$M$24-ArtifactsInput!$M$24)*CHOOSE(ArtifactsInput!$N$24+1,10,12,14,16,18,20)+IF(ArtifactsInput!$M$10,CHOOSE(ArtifactsInput!$N$10+1,15,18,21,24,27,30)*(IF(Inputs!$B$38="pvp",MIN(15,15)/15,IF(AND(Inputs!$B$38&lt;&gt;"pvp",Inputs!$B$43&gt;0),MIN(15,Inputs!$B$43)/(Inputs!$B$43),0))),0)))-100),0))*CHOOSE(ArtifactsInput!$N$42+1,0.6,0.72,0.84,0.96,1.08,1.2))),Inputs!$B$18+((C638=TRUE)*(F638-Calc!F27))+(IF(AND(ArtifactsInput!$M$42,((Inputs!$B$9+((C630=TRUE)*(F630-Calc!F19))+B643+(ArtifactsInput!$M$24-ArtifactsInput!$M$24)*CHOOSE(ArtifactsInput!$N$24+1,10,12,14,16,18,20)+IF(ArtifactsInput!$M$10,CHOOSE(ArtifactsInput!$N$10+1,15,18,21,24,27,30)*(IF(Inputs!$B$38="pvp",MIN(15,15)/15,IF(AND(Inputs!$B$38&lt;&gt;"pvp",Inputs!$B$43&gt;0),MIN(15,Inputs!$B$43)/(Inputs!$B$43),0))),0)))&gt;=100),CHOOSE(ArtifactsInput!$N$42+1,40,48,56,64,72,80),0))))/100)*((1+(((C624=TRUE)*F624)+((C625=TRUE)*IF(Inputs!$B$38="pvp",F625,(1-Summary!$B$11)*(F625)+Summary!$B$11*(0)))+((C626=TRUE)*F626*IF(AND(Inputs!$B$38&lt;&gt;"pvp",Inputs!$B$43&gt;0),(((R626-1)*(Skills!T15*(1+Inputs!$B$34/100))+MIN((Skills!T15*(1+Inputs!$B$34/100)),MAX(0,Inputs!$B$43-((R626-1)*Skills!D15))))/Inputs!$B$43),IF(Inputs!$B$38="pvp",MIN((Skills!T15*(1+Inputs!$B$34/100)),15)/15,(Skills!T15*(1+Inputs!$B$34/100))/Skills!D15)))+((C623=TRUE)*F623)+((C640=TRUE)*(F640-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613)</f>
        <v/>
      </c>
      <c r="L613">
        <f>K613*(MIN(Inputs!$B$22+((C634=TRUE)*(F634-Calc!F23)),(Inputs!$B$23+((C639=TRUE)*(F639-Calc!F28))+(IF(ArtifactsInput!$M$15,CHOOSE(ArtifactsInput!$N$15+1,25,30,35,40,45,50)/100*(((1-(1-Inputs!$B$11/150)*(1-1/150))*150)-Inputs!$B$11),0))))/100+(Inputs!$B$23+((C639=TRUE)*(F639-Calc!F28))+(IF(ArtifactsInput!$M$15,CHOOSE(ArtifactsInput!$N$15+1,25,30,35,40,45,50)/100*(((1-(1-Inputs!$B$11/150)*(1-1/150))*150)-Inputs!$B$11),0)))/100)/2</f>
        <v/>
      </c>
      <c r="M613">
        <f>L613*(1+(Inputs!$B$10+0+B648+(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613">
        <f>L613*(1-MIN((Inputs!$B$9+((C630=TRUE)*(F630-Calc!F19))+B643+(ArtifactsInput!$M$24-ArtifactsInput!$M$24)*CHOOSE(ArtifactsInput!$N$24+1,10,12,14,16,18,20)+(IF(AND(ArtifactsInput!$M$42,((Inputs!$B$9+((C630=TRUE)*(F630-Calc!F19))+B643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613*(MIN((Inputs!$B$9+((C630=TRUE)*(F630-Calc!F19))+B643+(ArtifactsInput!$M$24-ArtifactsInput!$M$24)*CHOOSE(ArtifactsInput!$N$24+1,10,12,14,16,18,20)+(IF(AND(ArtifactsInput!$M$42,((Inputs!$B$9+((C630=TRUE)*(F630-Calc!F19))+B643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613">
        <f>(1-Summary!$B$11)*T613+Summary!$B$11*V613</f>
        <v/>
      </c>
      <c r="P613">
        <f>IF(B653=0,0,O613/B653)</f>
        <v/>
      </c>
      <c r="Q613" t="n">
        <v>0</v>
      </c>
      <c r="R613" t="n">
        <v>0</v>
      </c>
      <c r="S613">
        <f>IFERROR((Skills!G2*N613*B647)/N613*IF(Inputs!$B$38="pvp",1,(1-Summary!$B$11)*1+Summary!$B$11*(MIN((6+Inputs!$B$33),Inputs!$B$37))),0)</f>
        <v/>
      </c>
      <c r="T613">
        <f>IF(C613,(Skills!G2*N613*B647)*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Hunt"),CHOOSE(ArtifactsInput!$N$35+1,15,18,21,24,27,30)*(1-EXP(-(0.2*B645)*5)),0)+IF(AND(ArtifactsInput!$M$22,Inputs!$B$4&lt;&gt;"Chapter Hunt"),CHOOSE(ArtifactsInput!$N$22+1,10,12,14,16,18,20)*((0*(((0.15*B645*5))^0/1)+1*(((0.15*B645*5))^1/1)+2*(((0.15*B645*5))^2/2)+3*(((0.15*B645*5))^3/6)+4*(((0.15*B645*5))^4/24)+5*(((0.15*B645*5))^5/120))/((((0.15*B645*5))^0/1)+(((0.15*B645*5))^1/1)+(((0.15*B645*5))^2/2)+(((0.15*B645*5))^3/6)+(((0.15*B645*5))^4/24)+(((0.15*B645*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613*(1-MIN(100,(Inputs!$B$9+((C630=TRUE)*(F630-Calc!F19))+B643+(ArtifactsInput!$M$24-ArtifactsInput!$M$24)*CHOOSE(ArtifactsInput!$N$24+1,10,12,14,16,18,20)+(IF(AND(ArtifactsInput!$M$42,((Inputs!$B$9+((C630=TRUE)*(F630-Calc!F19))+B643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613*(MIN(100,(Inputs!$B$9+((C630=TRUE)*(F630-Calc!F19))+B643+(ArtifactsInput!$M$24-ArtifactsInput!$M$24)*CHOOSE(ArtifactsInput!$N$24+1,10,12,14,16,18,20)+(IF(AND(ArtifactsInput!$M$42,((Inputs!$B$9+((C630=TRUE)*(F630-Calc!F19))+B643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613*(1-MIN(100,(Inputs!$B$9+((C630=TRUE)*(F630-Calc!F19))+B643+(ArtifactsInput!$M$24-ArtifactsInput!$M$24)*CHOOSE(ArtifactsInput!$N$24+1,10,12,14,16,18,20)+(IF(AND(ArtifactsInput!$M$42,((Inputs!$B$9+((C630=TRUE)*(F630-Calc!F19))+B643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613*(MIN(100,(Inputs!$B$9+((C630=TRUE)*(F630-Calc!F19))+B643+(ArtifactsInput!$M$24-ArtifactsInput!$M$24)*CHOOSE(ArtifactsInput!$N$24+1,10,12,14,16,18,20)+(IF(AND(ArtifactsInput!$M$42,((Inputs!$B$9+((C630=TRUE)*(F630-Calc!F19))+B643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613">
        <f>MAX(0,(Inputs!$B$3-100)*3)+Inputs!$B$28+Inputs!$B$29</f>
        <v/>
      </c>
      <c r="V613">
        <f>IF(C613,(Skills!G2*N613*B647)*IF(Inputs!$B$38="pvp",1,(1+(Inputs!$B$21+Skills!Q2+(IF(ArtifactsInput!$M$33,CHOOSE(ArtifactsInput!$N$33+1,30,36,42,48,54,60),0))+(IF(AND(ArtifactsInput!$M$35,Inputs!$B$4&lt;&gt;"Chapter Hunt"),CHOOSE(ArtifactsInput!$N$35+1,15,18,21,24,27,30)*(1-EXP(-(0.2*B645)*5)),0)+IF(AND(ArtifactsInput!$M$22,Inputs!$B$4&lt;&gt;"Chapter Hunt"),CHOOSE(ArtifactsInput!$N$22+1,10,12,14,16,18,20)*((0*(((0.15*B645*5))^0/1)+1*(((0.15*B645*5))^1/1)+2*(((0.15*B645*5))^2/2)+3*(((0.15*B645*5))^3/6)+4*(((0.15*B645*5))^4/24)+5*(((0.15*B645*5))^5/120))/((((0.15*B645*5))^0/1)+(((0.15*B645*5))^1/1)+(((0.15*B645*5))^2/2)+(((0.15*B645*5))^3/6)+(((0.15*B645*5))^4/24)+(((0.15*B645*5))^5/120)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614">
      <c r="A614">
        <f>Skills!A3</f>
        <v/>
      </c>
      <c r="B614">
        <f>Skills!B3</f>
        <v/>
      </c>
      <c r="C614">
        <f>Inputs!$B$3&gt;=50</f>
        <v/>
      </c>
      <c r="D614">
        <f>IF(Skills!C3=1,60+Inputs!$B$25+Inputs!$B$29,IF(Skills!C3=2,90+Inputs!$B$26+Inputs!$B$29,IF(Skills!C3=3,120+Inputs!$B$27+Inputs!$B$29,MAX(0,(Inputs!$B$3-100)*3)+Inputs!$B$28+Inputs!$B$29)))</f>
        <v/>
      </c>
      <c r="E614">
        <f>INDEX(FactorTable!$B$2:$Y$301, MATCH(ROUND(MIN(300,MAX(1,D614)),0), FactorTable!$A$2:$A$301,0), Skills!M3+1)</f>
        <v/>
      </c>
      <c r="F614">
        <f>IF(Skills!N3=TRUE,(Skills!L3/10)*(E614/1000),Skills!L3/10)+Skills!O3</f>
        <v/>
      </c>
      <c r="G614" t="inlineStr"/>
      <c r="H614" t="inlineStr"/>
      <c r="I614" t="inlineStr">
        <is>
          <t>1</t>
        </is>
      </c>
      <c r="J614" t="inlineStr"/>
      <c r="K614" t="inlineStr"/>
      <c r="L614" t="inlineStr"/>
      <c r="M614" t="inlineStr"/>
      <c r="N614" t="inlineStr"/>
      <c r="O614" t="inlineStr"/>
      <c r="P614" t="inlineStr"/>
      <c r="Q614" t="inlineStr"/>
      <c r="R614" t="inlineStr"/>
      <c r="S614" t="inlineStr"/>
      <c r="T614" t="inlineStr"/>
      <c r="U614">
        <f>INDEX(FactorTable!$B$2:$Y$301, MATCH(ROUND(MIN(300,MAX(1,U613)),0), FactorTable!$A$2:$A$301,0), 22)</f>
        <v/>
      </c>
      <c r="V614" t="inlineStr"/>
    </row>
    <row r="615">
      <c r="A615">
        <f>Skills!A4</f>
        <v/>
      </c>
      <c r="B615">
        <f>Skills!B4</f>
        <v/>
      </c>
      <c r="C615">
        <f>Inputs!$B$3&gt;=105</f>
        <v/>
      </c>
      <c r="D615">
        <f>IF(Skills!C4=1,60+Inputs!$B$25+Inputs!$B$29,IF(Skills!C4=2,90+Inputs!$B$26+Inputs!$B$29,IF(Skills!C4=3,120+Inputs!$B$27+Inputs!$B$29,MAX(0,(Inputs!$B$3-100)*3)+Inputs!$B$28+Inputs!$B$29)))</f>
        <v/>
      </c>
      <c r="E615">
        <f>INDEX(FactorTable!$B$2:$Y$301, MATCH(ROUND(MIN(300,MAX(1,D615)),0), FactorTable!$A$2:$A$301,0), Skills!M4+1)</f>
        <v/>
      </c>
      <c r="F615">
        <f>IF(Skills!N4=TRUE,(Skills!L4/10)*(E615/1000),Skills!L4/10)+Skills!O4</f>
        <v/>
      </c>
      <c r="G615" t="inlineStr"/>
      <c r="H615" t="inlineStr"/>
      <c r="I615" t="inlineStr">
        <is>
          <t>1</t>
        </is>
      </c>
      <c r="J615" t="inlineStr"/>
      <c r="K615" t="inlineStr"/>
      <c r="L615" t="inlineStr"/>
      <c r="M615" t="inlineStr"/>
      <c r="N615" t="inlineStr"/>
      <c r="O615" t="inlineStr"/>
      <c r="P615" t="inlineStr"/>
      <c r="Q615" t="inlineStr"/>
      <c r="R615" t="inlineStr"/>
      <c r="S615" t="inlineStr"/>
      <c r="T615" t="inlineStr"/>
      <c r="U615">
        <f>290*U614/1000</f>
        <v/>
      </c>
      <c r="V615" t="inlineStr"/>
    </row>
    <row r="616">
      <c r="A616">
        <f>Skills!A5</f>
        <v/>
      </c>
      <c r="B616">
        <f>Skills!B5</f>
        <v/>
      </c>
      <c r="C616">
        <f>Inputs!$B$3&gt;=35</f>
        <v/>
      </c>
      <c r="D616">
        <f>IF(Skills!C5=1,60+Inputs!$B$25+Inputs!$B$29,IF(Skills!C5=2,90+Inputs!$B$26+Inputs!$B$29,IF(Skills!C5=3,120+Inputs!$B$27+Inputs!$B$29,MAX(0,(Inputs!$B$3-100)*3)+Inputs!$B$28+Inputs!$B$29)))</f>
        <v/>
      </c>
      <c r="E616">
        <f>INDEX(FactorTable!$B$2:$Y$301, MATCH(ROUND(MIN(300,MAX(1,D616)),0), FactorTable!$A$2:$A$301,0), Skills!M5+1)</f>
        <v/>
      </c>
      <c r="F616">
        <f>IF(Skills!N5=TRUE,(Skills!L5/10)*(E616/1000),Skills!L5/10)+Skills!O5</f>
        <v/>
      </c>
      <c r="G616">
        <f>Skills!G5*IF(Skills!H5&gt;0,Skills!I5/Skills!H5,1)</f>
        <v/>
      </c>
      <c r="H616">
        <f>1-(1-Skills!J5/100)^Skills!K5</f>
        <v/>
      </c>
      <c r="I616" t="inlineStr">
        <is>
          <t>1</t>
        </is>
      </c>
      <c r="J616">
        <f>((Inputs!$B$6*(1+Inputs!$B$7/100))+(((Inputs!$B$12*(1+Inputs!$B$13/100))-(Inputs!$B$12*(1+Inputs!$B$13/100)))+0.25*(Inputs!$B$14-Inputs!$B$14))*(1+Inputs!$B$7/100))*(F616/100)</f>
        <v/>
      </c>
      <c r="K616">
        <f>J616*(1+((Inputs!$B$12*(1+Inputs!$B$13/100))*0.01+Inputs!$B$14*0.0025)/100)*(1+Inputs!$B$15/100)*(1+Inputs!$B$16/100)*(5000/(6000+Inputs!$B$42*(1-(100*(1-(1-(Inputs!$B$19+0)/100)*(1-CHOOSE(ArtifactsInput!$N$40+1,5,6,7,8,9,10)/100)^(ArtifactsInput!$M$40-ArtifactsInput!$M$40)))/100)))*(1+(Inputs!$B$24+((C635=TRUE)*(F635-Calc!F24))+((C636=TRUE)*(F636-Calc!F25))+B649)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(1-(1-Inputs!$B$11/150)*(1-1/150))*150)-60))),0)-IF(ArtifactsInput!$M$34,MIN(CHOOSE(ArtifactsInput!$N$34+1,10,12,14,16,18,20),MAX(0,(CHOOSE(ArtifactsInput!$N$34+1,0.5,0.6,0.7,0.8,0.9,1)/3)*(Inputs!$B$11-60))),0)))/100)*(1+4.0*IF(C619=TRUE,F619,0)/100)*(1+(IF(Skills!A5="EMPOWERED_PIERCING_ARROW",Inputs!$B$17+((C633=TRUE)*(F633-Calc!F22))+(((IF(AND(ArtifactsInput!$M$42,((Inputs!$B$9+((C630=TRUE)*(F630-Calc!F19))+B643+(ArtifactsInput!$M$24-ArtifactsInput!$M$24)*CHOOSE(ArtifactsInput!$N$24+1,10,12,14,16,18,20)+IF(ArtifactsInput!$M$10,CHOOSE(ArtifactsInput!$N$10+1,15,18,21,24,27,30)*(IF(Inputs!$B$38="pvp",MIN(15,15)/15,IF(AND(Inputs!$B$38&lt;&gt;"pvp",Inputs!$B$43&gt;0),MIN(15,Inputs!$B$43)/(Inputs!$B$43),0))),0)))&gt;=100),MIN(100,((Inputs!$B$9+((C630=TRUE)*(F630-Calc!F19))+B643+(ArtifactsInput!$M$24-ArtifactsInput!$M$24)*CHOOSE(ArtifactsInput!$N$24+1,10,12,14,16,18,20)+IF(ArtifactsInput!$M$10,CHOOSE(ArtifactsInput!$N$10+1,15,18,21,24,27,30)*(IF(Inputs!$B$38="pvp",MIN(15,15)/15,IF(AND(Inputs!$B$38&lt;&gt;"pvp",Inputs!$B$43&gt;0),MIN(15,Inputs!$B$43)/(Inputs!$B$43),0))),0)))-100),0))*CHOOSE(ArtifactsInput!$N$42+1,0.6,0.72,0.84,0.96,1.08,1.2))),Inputs!$B$18+((C638=TRUE)*(F638-Calc!F27))+(IF(AND(ArtifactsInput!$M$42,((Inputs!$B$9+((C630=TRUE)*(F630-Calc!F19))+B643+(ArtifactsInput!$M$24-ArtifactsInput!$M$24)*CHOOSE(ArtifactsInput!$N$24+1,10,12,14,16,18,20)+IF(ArtifactsInput!$M$10,CHOOSE(ArtifactsInput!$N$10+1,15,18,21,24,27,30)*(IF(Inputs!$B$38="pvp",MIN(15,15)/15,IF(AND(Inputs!$B$38&lt;&gt;"pvp",Inputs!$B$43&gt;0),MIN(15,Inputs!$B$43)/(Inputs!$B$43),0))),0)))&gt;=100),CHOOSE(ArtifactsInput!$N$42+1,40,48,56,64,72,80),0))))/100)*((1+(((C624=TRUE)*F624)+((C625=TRUE)*IF(Inputs!$B$38="pvp",F625,(1-Summary!$B$11)*(F625)+Summary!$B$11*(0)))+((C626=TRUE)*F626*IF(AND(Inputs!$B$38&lt;&gt;"pvp",Inputs!$B$43&gt;0),(((R626-1)*(Skills!T15*(1+Inputs!$B$34/100))+MIN((Skills!T15*(1+Inputs!$B$34/100)),MAX(0,Inputs!$B$43-((R626-1)*Skills!D15))))/Inputs!$B$43),IF(Inputs!$B$38="pvp",MIN((Skills!T15*(1+Inputs!$B$34/100)),15)/15,(Skills!T15*(1+Inputs!$B$34/100))/Skills!D15)))+((C623=TRUE)*F623)+((C640=TRUE)*(F640-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616)</f>
        <v/>
      </c>
      <c r="L616">
        <f>K616*(MIN(Inputs!$B$22+((C634=TRUE)*(F634-Calc!F23)),(Inputs!$B$23+((C639=TRUE)*(F639-Calc!F28))+(IF(ArtifactsInput!$M$15,CHOOSE(ArtifactsInput!$N$15+1,25,30,35,40,45,50)/100*(((1-(1-Inputs!$B$11/150)*(1-1/150))*150)-Inputs!$B$11),0))))/100+(Inputs!$B$23+((C639=TRUE)*(F639-Calc!F28))+(IF(ArtifactsInput!$M$15,CHOOSE(ArtifactsInput!$N$15+1,25,30,35,40,45,50)/100*(((1-(1-Inputs!$B$11/150)*(1-1/150))*150)-Inputs!$B$11),0)))/100)/2</f>
        <v/>
      </c>
      <c r="M616">
        <f>L616*(1+(Inputs!$B$10+0+B648+(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616">
        <f>L616*(1-MIN((Inputs!$B$9+((C630=TRUE)*(F630-Calc!F19))+B643+(ArtifactsInput!$M$24-ArtifactsInput!$M$24)*CHOOSE(ArtifactsInput!$N$24+1,10,12,14,16,18,20)+(IF(AND(ArtifactsInput!$M$42,((Inputs!$B$9+((C630=TRUE)*(F630-Calc!F19))+B643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616*(MIN((Inputs!$B$9+((C630=TRUE)*(F630-Calc!F19))+B643+(ArtifactsInput!$M$24-ArtifactsInput!$M$24)*CHOOSE(ArtifactsInput!$N$24+1,10,12,14,16,18,20)+(IF(AND(ArtifactsInput!$M$42,((Inputs!$B$9+((C630=TRUE)*(F630-Calc!F19))+B643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616">
        <f>(1-Summary!$B$11)*T616+Summary!$B$11*V616</f>
        <v/>
      </c>
      <c r="P616">
        <f>IF(B653=0,0,O616/B653)</f>
        <v/>
      </c>
      <c r="Q616">
        <f>IFERROR(1/IF(Inputs!$B$38="pvp",15,MAX(0.1,Skills!D5-IF(Skills!E5=TRUE,Inputs!$B$32,0))),0)</f>
        <v/>
      </c>
      <c r="R616">
        <f>IF(AND(Inputs!$B$38&lt;&gt;"pvp",Inputs!$B$43&gt;0),IF(MAX(0,Inputs!$B$43-B650)&lt;=0,0,(INT(MAX(0,Inputs!$B$43-B650)/IF(Inputs!$B$38="pvp",15,MAX(0.1,Skills!D5-IF(Skills!E5=TRUE,Inputs!$B$32,0))))+1)),0)</f>
        <v/>
      </c>
      <c r="S616">
        <f>IFERROR((H616*N616*IF(AND(Inputs!$B$38&lt;&gt;"pvp",Inputs!$B$43&gt;0),((Skills!G5*((R616-1)*IF(Skills!H5&gt;0,Skills!I5/Skills!H5,1)+IF(Skills!H5&gt;0,MIN(Skills!I5,MAX(0,MAX(0,Inputs!$B$43-B650)-((R616-1)*IF(Inputs!$B$38="pvp",15,MAX(0.1,Skills!D5-IF(Skills!E5=TRUE,Inputs!$B$32,0))))))/Skills!H5,1)))/Inputs!$B$43),G616*Q616))/N616*IF(Inputs!$B$38="pvp",1,(1-Summary!$B$11)*1+Summary!$B$11*(MIN(Skills!R5,Inputs!$B$37))),0)</f>
        <v/>
      </c>
      <c r="T616">
        <f>IF(C616,(H616*N616*IF(AND(Inputs!$B$38&lt;&gt;"pvp",Inputs!$B$43&gt;0),((Skills!G5*((R616-1)*IF(Skills!H5&gt;0,Skills!I5/Skills!H5,1)+IF(Skills!H5&gt;0,MIN(Skills!I5,MAX(0,MAX(0,Inputs!$B$43-B650)-((R616-1)*IF(Inputs!$B$38="pvp",15,MAX(0.1,Skills!D5-IF(Skills!E5=TRUE,Inputs!$B$32,0))))))/Skills!H5,1)))/Inputs!$B$43),G616*Q616))*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Hunt"),CHOOSE(ArtifactsInput!$N$35+1,15,18,21,24,27,30)*(1-EXP(-(0.2*B645)*5)),0)+IF(AND(ArtifactsInput!$M$22,Inputs!$B$4&lt;&gt;"Chapter Hunt"),CHOOSE(ArtifactsInput!$N$22+1,10,12,14,16,18,20)*((0*(((0.15*B645*5))^0/1)+1*(((0.15*B645*5))^1/1)+2*(((0.15*B645*5))^2/2)+3*(((0.15*B645*5))^3/6)+4*(((0.15*B645*5))^4/24)+5*(((0.15*B645*5))^5/120))/((((0.15*B645*5))^0/1)+(((0.15*B645*5))^1/1)+(((0.15*B645*5))^2/2)+(((0.15*B645*5))^3/6)+(((0.15*B645*5))^4/24)+(((0.15*B645*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616*(1-MIN(100,(Inputs!$B$9+((C630=TRUE)*(F630-Calc!F19))+B643+(ArtifactsInput!$M$24-ArtifactsInput!$M$24)*CHOOSE(ArtifactsInput!$N$24+1,10,12,14,16,18,20)+(IF(AND(ArtifactsInput!$M$42,((Inputs!$B$9+((C630=TRUE)*(F630-Calc!F19))+B643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616*(MIN(100,(Inputs!$B$9+((C630=TRUE)*(F630-Calc!F19))+B643+(ArtifactsInput!$M$24-ArtifactsInput!$M$24)*CHOOSE(ArtifactsInput!$N$24+1,10,12,14,16,18,20)+(IF(AND(ArtifactsInput!$M$42,((Inputs!$B$9+((C630=TRUE)*(F630-Calc!F19))+B643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616*(1-MIN(100,(Inputs!$B$9+((C630=TRUE)*(F630-Calc!F19))+B643+(ArtifactsInput!$M$24-ArtifactsInput!$M$24)*CHOOSE(ArtifactsInput!$N$24+1,10,12,14,16,18,20)+(IF(AND(ArtifactsInput!$M$42,((Inputs!$B$9+((C630=TRUE)*(F630-Calc!F19))+B643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616*(MIN(100,(Inputs!$B$9+((C630=TRUE)*(F630-Calc!F19))+B643+(ArtifactsInput!$M$24-ArtifactsInput!$M$24)*CHOOSE(ArtifactsInput!$N$24+1,10,12,14,16,18,20)+(IF(AND(ArtifactsInput!$M$42,((Inputs!$B$9+((C630=TRUE)*(F630-Calc!F19))+B643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616">
        <f>IF(C616,(H616*N616*IF(AND(Inputs!$B$38&lt;&gt;"pvp",Inputs!$B$43&gt;0),((Skills!G5*((R616-1)*IF(Skills!H5&gt;0,Skills!I5/Skills!H5,1)+IF(Skills!H5&gt;0,MIN(Skills!I5,MAX(0,MAX(0,Inputs!$B$43-B650)-((R616-1)*IF(Inputs!$B$38="pvp",15,MAX(0.1,Skills!D5-IF(Skills!E5=TRUE,Inputs!$B$32,0))))))/Skills!H5,1)))/Inputs!$B$43),G616*Q616))*IF(Inputs!$B$38="pvp",1,(1+(Inputs!$B$21+Skills!Q5+(IF(ArtifactsInput!$M$33,CHOOSE(ArtifactsInput!$N$33+1,30,36,42,48,54,60),0))+(IF(AND(ArtifactsInput!$M$35,Inputs!$B$4&lt;&gt;"Chapter Hunt"),CHOOSE(ArtifactsInput!$N$35+1,15,18,21,24,27,30)*(1-EXP(-(0.2*B645)*5)),0)+IF(AND(ArtifactsInput!$M$22,Inputs!$B$4&lt;&gt;"Chapter Hunt"),CHOOSE(ArtifactsInput!$N$22+1,10,12,14,16,18,20)*((0*(((0.15*B645*5))^0/1)+1*(((0.15*B645*5))^1/1)+2*(((0.15*B645*5))^2/2)+3*(((0.15*B645*5))^3/6)+4*(((0.15*B645*5))^4/24)+5*(((0.15*B645*5))^5/120))/((((0.15*B645*5))^0/1)+(((0.15*B645*5))^1/1)+(((0.15*B645*5))^2/2)+(((0.15*B645*5))^3/6)+(((0.15*B645*5))^4/24)+(((0.15*B645*5))^5/120)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617">
      <c r="A617">
        <f>Skills!A6</f>
        <v/>
      </c>
      <c r="B617">
        <f>Skills!B6</f>
        <v/>
      </c>
      <c r="C617">
        <f>Inputs!$B$3&gt;=63</f>
        <v/>
      </c>
      <c r="D617">
        <f>IF(Skills!C6=1,60+Inputs!$B$25+Inputs!$B$29,IF(Skills!C6=2,90+Inputs!$B$26+Inputs!$B$29,IF(Skills!C6=3,120+Inputs!$B$27+Inputs!$B$29,MAX(0,(Inputs!$B$3-100)*3)+Inputs!$B$28+Inputs!$B$29)))</f>
        <v/>
      </c>
      <c r="E617">
        <f>INDEX(FactorTable!$B$2:$Y$301, MATCH(ROUND(MIN(300,MAX(1,D617)),0), FactorTable!$A$2:$A$301,0), Skills!M6+1)</f>
        <v/>
      </c>
      <c r="F617">
        <f>IF(Skills!N6=TRUE,(Skills!L6/10)*(E617/1000),Skills!L6/10)+Skills!O6</f>
        <v/>
      </c>
      <c r="G617">
        <f>Skills!G6*IF(Skills!H6&gt;0,Skills!I6/Skills!H6,1)</f>
        <v/>
      </c>
      <c r="H617">
        <f>1-(1-Skills!J6/100)^Skills!K6</f>
        <v/>
      </c>
      <c r="I617" t="inlineStr">
        <is>
          <t>1</t>
        </is>
      </c>
      <c r="J617">
        <f>((Inputs!$B$6*(1+Inputs!$B$7/100))+(((Inputs!$B$12*(1+Inputs!$B$13/100))-(Inputs!$B$12*(1+Inputs!$B$13/100)))+0.25*(Inputs!$B$14-Inputs!$B$14))*(1+Inputs!$B$7/100))*(F617/100)</f>
        <v/>
      </c>
      <c r="K617">
        <f>J617*(1+((Inputs!$B$12*(1+Inputs!$B$13/100))*0.01+Inputs!$B$14*0.0025)/100)*(1+Inputs!$B$15/100)*(1+Inputs!$B$16/100)*(5000/(6000+Inputs!$B$42*(1-(100*(1-(1-(Inputs!$B$19+0)/100)*(1-CHOOSE(ArtifactsInput!$N$40+1,5,6,7,8,9,10)/100)^(ArtifactsInput!$M$40-ArtifactsInput!$M$40)))/100)))*(1+(Inputs!$B$24+((C635=TRUE)*(F635-Calc!F24))+((C636=TRUE)*(F636-Calc!F25))+B649)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(1-(1-Inputs!$B$11/150)*(1-1/150))*150)-60))),0)-IF(ArtifactsInput!$M$34,MIN(CHOOSE(ArtifactsInput!$N$34+1,10,12,14,16,18,20),MAX(0,(CHOOSE(ArtifactsInput!$N$34+1,0.5,0.6,0.7,0.8,0.9,1)/3)*(Inputs!$B$11-60))),0)))/100)*(1+1.0*IF(C619=TRUE,F619,0)/100)*(1+(IF(Skills!A6="EMPOWERED_PIERCING_ARROW",Inputs!$B$17+((C633=TRUE)*(F633-Calc!F22))+(((IF(AND(ArtifactsInput!$M$42,((Inputs!$B$9+((C630=TRUE)*(F630-Calc!F19))+B643+(ArtifactsInput!$M$24-ArtifactsInput!$M$24)*CHOOSE(ArtifactsInput!$N$24+1,10,12,14,16,18,20)+IF(ArtifactsInput!$M$10,CHOOSE(ArtifactsInput!$N$10+1,15,18,21,24,27,30)*(IF(Inputs!$B$38="pvp",MIN(15,15)/15,IF(AND(Inputs!$B$38&lt;&gt;"pvp",Inputs!$B$43&gt;0),MIN(15,Inputs!$B$43)/(Inputs!$B$43),0))),0)))&gt;=100),MIN(100,((Inputs!$B$9+((C630=TRUE)*(F630-Calc!F19))+B643+(ArtifactsInput!$M$24-ArtifactsInput!$M$24)*CHOOSE(ArtifactsInput!$N$24+1,10,12,14,16,18,20)+IF(ArtifactsInput!$M$10,CHOOSE(ArtifactsInput!$N$10+1,15,18,21,24,27,30)*(IF(Inputs!$B$38="pvp",MIN(15,15)/15,IF(AND(Inputs!$B$38&lt;&gt;"pvp",Inputs!$B$43&gt;0),MIN(15,Inputs!$B$43)/(Inputs!$B$43),0))),0)))-100),0))*CHOOSE(ArtifactsInput!$N$42+1,0.6,0.72,0.84,0.96,1.08,1.2))),Inputs!$B$18+((C638=TRUE)*(F638-Calc!F27))+(IF(AND(ArtifactsInput!$M$42,((Inputs!$B$9+((C630=TRUE)*(F630-Calc!F19))+B643+(ArtifactsInput!$M$24-ArtifactsInput!$M$24)*CHOOSE(ArtifactsInput!$N$24+1,10,12,14,16,18,20)+IF(ArtifactsInput!$M$10,CHOOSE(ArtifactsInput!$N$10+1,15,18,21,24,27,30)*(IF(Inputs!$B$38="pvp",MIN(15,15)/15,IF(AND(Inputs!$B$38&lt;&gt;"pvp",Inputs!$B$43&gt;0),MIN(15,Inputs!$B$43)/(Inputs!$B$43),0))),0)))&gt;=100),CHOOSE(ArtifactsInput!$N$42+1,40,48,56,64,72,80),0))))/100)*((1+(((C624=TRUE)*F624)+((C625=TRUE)*IF(Inputs!$B$38="pvp",F625,(1-Summary!$B$11)*(F625)+Summary!$B$11*(0)))+((C626=TRUE)*F626*IF(AND(Inputs!$B$38&lt;&gt;"pvp",Inputs!$B$43&gt;0),(((R626-1)*(Skills!T15*(1+Inputs!$B$34/100))+MIN((Skills!T15*(1+Inputs!$B$34/100)),MAX(0,Inputs!$B$43-((R626-1)*Skills!D15))))/Inputs!$B$43),IF(Inputs!$B$38="pvp",MIN((Skills!T15*(1+Inputs!$B$34/100)),15)/15,(Skills!T15*(1+Inputs!$B$34/100))/Skills!D15)))+((C623=TRUE)*F623)+((C640=TRUE)*(F640-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617)</f>
        <v/>
      </c>
      <c r="L617">
        <f>K617*(MIN(Inputs!$B$22+((C634=TRUE)*(F634-Calc!F23)),(Inputs!$B$23+((C639=TRUE)*(F639-Calc!F28))+(IF(ArtifactsInput!$M$15,CHOOSE(ArtifactsInput!$N$15+1,25,30,35,40,45,50)/100*(((1-(1-Inputs!$B$11/150)*(1-1/150))*150)-Inputs!$B$11),0))))/100+(Inputs!$B$23+((C639=TRUE)*(F639-Calc!F28))+(IF(ArtifactsInput!$M$15,CHOOSE(ArtifactsInput!$N$15+1,25,30,35,40,45,50)/100*(((1-(1-Inputs!$B$11/150)*(1-1/150))*150)-Inputs!$B$11),0)))/100)/2</f>
        <v/>
      </c>
      <c r="M617">
        <f>L617*(1+(Inputs!$B$10+0+B648+(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617">
        <f>L617*(1-MIN((Inputs!$B$9+((C630=TRUE)*(F630-Calc!F19))+B643+(ArtifactsInput!$M$24-ArtifactsInput!$M$24)*CHOOSE(ArtifactsInput!$N$24+1,10,12,14,16,18,20)+(IF(AND(ArtifactsInput!$M$42,((Inputs!$B$9+((C630=TRUE)*(F630-Calc!F19))+B643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617*(MIN((Inputs!$B$9+((C630=TRUE)*(F630-Calc!F19))+B643+(ArtifactsInput!$M$24-ArtifactsInput!$M$24)*CHOOSE(ArtifactsInput!$N$24+1,10,12,14,16,18,20)+(IF(AND(ArtifactsInput!$M$42,((Inputs!$B$9+((C630=TRUE)*(F630-Calc!F19))+B643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617">
        <f>(1-Summary!$B$11)*T617+Summary!$B$11*V617</f>
        <v/>
      </c>
      <c r="P617">
        <f>IF(B653=0,0,O617/B653)</f>
        <v/>
      </c>
      <c r="Q617">
        <f>IFERROR(1/IF(Inputs!$B$38="pvp",15,MAX(0.1,Skills!D6-IF(Skills!E6=TRUE,Inputs!$B$32,0))),0)</f>
        <v/>
      </c>
      <c r="R617">
        <f>IF(AND(Inputs!$B$38&lt;&gt;"pvp",Inputs!$B$43&gt;0),IF(MAX(0,Inputs!$B$43-B650)&lt;=0,0,(INT(MAX(0,Inputs!$B$43-B650)/IF(Inputs!$B$38="pvp",15,MAX(0.1,Skills!D6-IF(Skills!E6=TRUE,Inputs!$B$32,0))))+1)),0)</f>
        <v/>
      </c>
      <c r="S617">
        <f>IFERROR((H617*N617*IF(AND(Inputs!$B$38&lt;&gt;"pvp",Inputs!$B$43&gt;0),((Skills!G6*((R617-1)*IF(Skills!H6&gt;0,Skills!I6/Skills!H6,1)+IF(Skills!H6&gt;0,MIN(Skills!I6,MAX(0,MAX(0,Inputs!$B$43-B650)-((R617-1)*IF(Inputs!$B$38="pvp",15,MAX(0.1,Skills!D6-IF(Skills!E6=TRUE,Inputs!$B$32,0))))))/Skills!H6,1)))/Inputs!$B$43),G617*Q617))/N617*IF(Inputs!$B$38="pvp",1,(1-Summary!$B$11)*1+Summary!$B$11*(MIN(Skills!R6,Inputs!$B$37))),0)</f>
        <v/>
      </c>
      <c r="T617">
        <f>IF(C617,(H617*N617*IF(AND(Inputs!$B$38&lt;&gt;"pvp",Inputs!$B$43&gt;0),((Skills!G6*((R617-1)*IF(Skills!H6&gt;0,Skills!I6/Skills!H6,1)+IF(Skills!H6&gt;0,MIN(Skills!I6,MAX(0,MAX(0,Inputs!$B$43-B650)-((R617-1)*IF(Inputs!$B$38="pvp",15,MAX(0.1,Skills!D6-IF(Skills!E6=TRUE,Inputs!$B$32,0))))))/Skills!H6,1)))/Inputs!$B$43),G617*Q617))*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Hunt"),CHOOSE(ArtifactsInput!$N$35+1,15,18,21,24,27,30)*(1-EXP(-(0.2*B645)*5)),0)+IF(AND(ArtifactsInput!$M$22,Inputs!$B$4&lt;&gt;"Chapter Hunt"),CHOOSE(ArtifactsInput!$N$22+1,10,12,14,16,18,20)*((0*(((0.15*B645*5))^0/1)+1*(((0.15*B645*5))^1/1)+2*(((0.15*B645*5))^2/2)+3*(((0.15*B645*5))^3/6)+4*(((0.15*B645*5))^4/24)+5*(((0.15*B645*5))^5/120))/((((0.15*B645*5))^0/1)+(((0.15*B645*5))^1/1)+(((0.15*B645*5))^2/2)+(((0.15*B645*5))^3/6)+(((0.15*B645*5))^4/24)+(((0.15*B645*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617*(1-MIN(100,(Inputs!$B$9+((C630=TRUE)*(F630-Calc!F19))+B643+(ArtifactsInput!$M$24-ArtifactsInput!$M$24)*CHOOSE(ArtifactsInput!$N$24+1,10,12,14,16,18,20)+(IF(AND(ArtifactsInput!$M$42,((Inputs!$B$9+((C630=TRUE)*(F630-Calc!F19))+B643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617*(MIN(100,(Inputs!$B$9+((C630=TRUE)*(F630-Calc!F19))+B643+(ArtifactsInput!$M$24-ArtifactsInput!$M$24)*CHOOSE(ArtifactsInput!$N$24+1,10,12,14,16,18,20)+(IF(AND(ArtifactsInput!$M$42,((Inputs!$B$9+((C630=TRUE)*(F630-Calc!F19))+B643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617*(1-MIN(100,(Inputs!$B$9+((C630=TRUE)*(F630-Calc!F19))+B643+(ArtifactsInput!$M$24-ArtifactsInput!$M$24)*CHOOSE(ArtifactsInput!$N$24+1,10,12,14,16,18,20)+(IF(AND(ArtifactsInput!$M$42,((Inputs!$B$9+((C630=TRUE)*(F630-Calc!F19))+B643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617*(MIN(100,(Inputs!$B$9+((C630=TRUE)*(F630-Calc!F19))+B643+(ArtifactsInput!$M$24-ArtifactsInput!$M$24)*CHOOSE(ArtifactsInput!$N$24+1,10,12,14,16,18,20)+(IF(AND(ArtifactsInput!$M$42,((Inputs!$B$9+((C630=TRUE)*(F630-Calc!F19))+B643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617">
        <f>IF(C617,(H617*N617*IF(AND(Inputs!$B$38&lt;&gt;"pvp",Inputs!$B$43&gt;0),((Skills!G6*((R617-1)*IF(Skills!H6&gt;0,Skills!I6/Skills!H6,1)+IF(Skills!H6&gt;0,MIN(Skills!I6,MAX(0,MAX(0,Inputs!$B$43-B650)-((R617-1)*IF(Inputs!$B$38="pvp",15,MAX(0.1,Skills!D6-IF(Skills!E6=TRUE,Inputs!$B$32,0))))))/Skills!H6,1)))/Inputs!$B$43),G617*Q617))*IF(Inputs!$B$38="pvp",1,(1+(Inputs!$B$21+Skills!Q6+(IF(ArtifactsInput!$M$33,CHOOSE(ArtifactsInput!$N$33+1,30,36,42,48,54,60),0))+(IF(AND(ArtifactsInput!$M$35,Inputs!$B$4&lt;&gt;"Chapter Hunt"),CHOOSE(ArtifactsInput!$N$35+1,15,18,21,24,27,30)*(1-EXP(-(0.2*B645)*5)),0)+IF(AND(ArtifactsInput!$M$22,Inputs!$B$4&lt;&gt;"Chapter Hunt"),CHOOSE(ArtifactsInput!$N$22+1,10,12,14,16,18,20)*((0*(((0.15*B645*5))^0/1)+1*(((0.15*B645*5))^1/1)+2*(((0.15*B645*5))^2/2)+3*(((0.15*B645*5))^3/6)+4*(((0.15*B645*5))^4/24)+5*(((0.15*B645*5))^5/120))/((((0.15*B645*5))^0/1)+(((0.15*B645*5))^1/1)+(((0.15*B645*5))^2/2)+(((0.15*B645*5))^3/6)+(((0.15*B645*5))^4/24)+(((0.15*B645*5))^5/120))),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618">
      <c r="A618">
        <f>Skills!A7</f>
        <v/>
      </c>
      <c r="B618">
        <f>Skills!B7</f>
        <v/>
      </c>
      <c r="C618">
        <f>Inputs!$B$3&gt;=69</f>
        <v/>
      </c>
      <c r="D618">
        <f>IF(Skills!C7=1,60+Inputs!$B$25+Inputs!$B$29,IF(Skills!C7=2,90+Inputs!$B$26+Inputs!$B$29,IF(Skills!C7=3,120+Inputs!$B$27+Inputs!$B$29,MAX(0,(Inputs!$B$3-100)*3)+Inputs!$B$28+Inputs!$B$29)))</f>
        <v/>
      </c>
      <c r="E618">
        <f>INDEX(FactorTable!$B$2:$Y$301, MATCH(ROUND(MIN(300,MAX(1,D618)),0), FactorTable!$A$2:$A$301,0), Skills!M7+1)</f>
        <v/>
      </c>
      <c r="F618">
        <f>IF(Skills!N7=TRUE,(Skills!L7/10)*(E618/1000),Skills!L7/10)+Skills!O7</f>
        <v/>
      </c>
      <c r="G618">
        <f>Skills!G7*IF(Skills!H7&gt;0,Skills!I7/Skills!H7,1)</f>
        <v/>
      </c>
      <c r="H618">
        <f>1-(1-Skills!J7/100)^Skills!K7</f>
        <v/>
      </c>
      <c r="I618" t="inlineStr">
        <is>
          <t>1</t>
        </is>
      </c>
      <c r="J618">
        <f>((Inputs!$B$6*(1+Inputs!$B$7/100))+(((Inputs!$B$12*(1+Inputs!$B$13/100))-(Inputs!$B$12*(1+Inputs!$B$13/100)))+0.25*(Inputs!$B$14-Inputs!$B$14))*(1+Inputs!$B$7/100))*(F618/100)</f>
        <v/>
      </c>
      <c r="K618">
        <f>J618*(1+((Inputs!$B$12*(1+Inputs!$B$13/100))*0.01+Inputs!$B$14*0.0025)/100)*(1+Inputs!$B$15/100)*(1+Inputs!$B$16/100)*(5000/(6000+Inputs!$B$42*(1-(100*(1-(1-(Inputs!$B$19+0)/100)*(1-CHOOSE(ArtifactsInput!$N$40+1,5,6,7,8,9,10)/100)^(ArtifactsInput!$M$40-ArtifactsInput!$M$40)))/100)))*(1+(Inputs!$B$24+((C635=TRUE)*(F635-Calc!F24))+((C636=TRUE)*(F636-Calc!F25))+B649)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(1-(1-Inputs!$B$11/150)*(1-1/150))*150)-60))),0)-IF(ArtifactsInput!$M$34,MIN(CHOOSE(ArtifactsInput!$N$34+1,10,12,14,16,18,20),MAX(0,(CHOOSE(ArtifactsInput!$N$34+1,0.5,0.6,0.7,0.8,0.9,1)/3)*(Inputs!$B$11-60))),0)))/100)*(1+1.2*IF(C619=TRUE,F619,0)/100)*(1+(IF(Skills!A7="EMPOWERED_PIERCING_ARROW",Inputs!$B$17+((C633=TRUE)*(F633-Calc!F22))+(((IF(AND(ArtifactsInput!$M$42,((Inputs!$B$9+((C630=TRUE)*(F630-Calc!F19))+B643+(ArtifactsInput!$M$24-ArtifactsInput!$M$24)*CHOOSE(ArtifactsInput!$N$24+1,10,12,14,16,18,20)+IF(ArtifactsInput!$M$10,CHOOSE(ArtifactsInput!$N$10+1,15,18,21,24,27,30)*(IF(Inputs!$B$38="pvp",MIN(15,15)/15,IF(AND(Inputs!$B$38&lt;&gt;"pvp",Inputs!$B$43&gt;0),MIN(15,Inputs!$B$43)/(Inputs!$B$43),0))),0)))&gt;=100),MIN(100,((Inputs!$B$9+((C630=TRUE)*(F630-Calc!F19))+B643+(ArtifactsInput!$M$24-ArtifactsInput!$M$24)*CHOOSE(ArtifactsInput!$N$24+1,10,12,14,16,18,20)+IF(ArtifactsInput!$M$10,CHOOSE(ArtifactsInput!$N$10+1,15,18,21,24,27,30)*(IF(Inputs!$B$38="pvp",MIN(15,15)/15,IF(AND(Inputs!$B$38&lt;&gt;"pvp",Inputs!$B$43&gt;0),MIN(15,Inputs!$B$43)/(Inputs!$B$43),0))),0)))-100),0))*CHOOSE(ArtifactsInput!$N$42+1,0.6,0.72,0.84,0.96,1.08,1.2))),Inputs!$B$18+((C638=TRUE)*(F638-Calc!F27))+(IF(AND(ArtifactsInput!$M$42,((Inputs!$B$9+((C630=TRUE)*(F630-Calc!F19))+B643+(ArtifactsInput!$M$24-ArtifactsInput!$M$24)*CHOOSE(ArtifactsInput!$N$24+1,10,12,14,16,18,20)+IF(ArtifactsInput!$M$10,CHOOSE(ArtifactsInput!$N$10+1,15,18,21,24,27,30)*(IF(Inputs!$B$38="pvp",MIN(15,15)/15,IF(AND(Inputs!$B$38&lt;&gt;"pvp",Inputs!$B$43&gt;0),MIN(15,Inputs!$B$43)/(Inputs!$B$43),0))),0)))&gt;=100),CHOOSE(ArtifactsInput!$N$42+1,40,48,56,64,72,80),0))))/100)*((1+(((C624=TRUE)*F624)+((C625=TRUE)*IF(Inputs!$B$38="pvp",F625,(1-Summary!$B$11)*(F625)+Summary!$B$11*(0)))+((C626=TRUE)*F626*IF(AND(Inputs!$B$38&lt;&gt;"pvp",Inputs!$B$43&gt;0),(((R626-1)*(Skills!T15*(1+Inputs!$B$34/100))+MIN((Skills!T15*(1+Inputs!$B$34/100)),MAX(0,Inputs!$B$43-((R626-1)*Skills!D15))))/Inputs!$B$43),IF(Inputs!$B$38="pvp",MIN((Skills!T15*(1+Inputs!$B$34/100)),15)/15,(Skills!T15*(1+Inputs!$B$34/100))/Skills!D15)))+((C623=TRUE)*F623)+((C640=TRUE)*(F640-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618)</f>
        <v/>
      </c>
      <c r="L618">
        <f>K618*(MIN(Inputs!$B$22+((C634=TRUE)*(F634-Calc!F23)),(Inputs!$B$23+((C639=TRUE)*(F639-Calc!F28))+(IF(ArtifactsInput!$M$15,CHOOSE(ArtifactsInput!$N$15+1,25,30,35,40,45,50)/100*(((1-(1-Inputs!$B$11/150)*(1-1/150))*150)-Inputs!$B$11),0))))/100+(Inputs!$B$23+((C639=TRUE)*(F639-Calc!F28))+(IF(ArtifactsInput!$M$15,CHOOSE(ArtifactsInput!$N$15+1,25,30,35,40,45,50)/100*(((1-(1-Inputs!$B$11/150)*(1-1/150))*150)-Inputs!$B$11),0)))/100)/2</f>
        <v/>
      </c>
      <c r="M618">
        <f>L618*(1+(Inputs!$B$10+0+B648+(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618">
        <f>L618*(1-MIN((Inputs!$B$9+((C630=TRUE)*(F630-Calc!F19))+B643+(ArtifactsInput!$M$24-ArtifactsInput!$M$24)*CHOOSE(ArtifactsInput!$N$24+1,10,12,14,16,18,20)+(IF(AND(ArtifactsInput!$M$42,((Inputs!$B$9+((C630=TRUE)*(F630-Calc!F19))+B643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618*(MIN((Inputs!$B$9+((C630=TRUE)*(F630-Calc!F19))+B643+(ArtifactsInput!$M$24-ArtifactsInput!$M$24)*CHOOSE(ArtifactsInput!$N$24+1,10,12,14,16,18,20)+(IF(AND(ArtifactsInput!$M$42,((Inputs!$B$9+((C630=TRUE)*(F630-Calc!F19))+B643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618">
        <f>(1-Summary!$B$11)*T618+Summary!$B$11*V618</f>
        <v/>
      </c>
      <c r="P618">
        <f>IF(B653=0,0,O618/B653)</f>
        <v/>
      </c>
      <c r="Q618">
        <f>IFERROR(1/IF(Inputs!$B$38="pvp",15,MAX(0.1,Skills!D7-IF(Skills!E7=TRUE,Inputs!$B$32,0))),0)</f>
        <v/>
      </c>
      <c r="R618">
        <f>IF(AND(Inputs!$B$38&lt;&gt;"pvp",Inputs!$B$43&gt;0),IF(MAX(0,Inputs!$B$43-B650)&lt;=0,0,(INT(MAX(0,Inputs!$B$43-B650)/IF(Inputs!$B$38="pvp",15,MAX(0.1,Skills!D7-IF(Skills!E7=TRUE,Inputs!$B$32,0))))+1)),0)</f>
        <v/>
      </c>
      <c r="S618">
        <f>IFERROR((H618*N618*IF(AND(Inputs!$B$38&lt;&gt;"pvp",Inputs!$B$43&gt;0),((Skills!G7*((R618-1)*IF(Skills!H7&gt;0,Skills!I7/Skills!H7,1)+IF(Skills!H7&gt;0,MIN(Skills!I7,MAX(0,MAX(0,Inputs!$B$43-B650)-((R618-1)*IF(Inputs!$B$38="pvp",15,MAX(0.1,Skills!D7-IF(Skills!E7=TRUE,Inputs!$B$32,0))))))/Skills!H7,1)))/Inputs!$B$43),G618*Q618))/N618*IF(Inputs!$B$38="pvp",1,(1-Summary!$B$11)*1+Summary!$B$11*(MIN(Skills!R7,Inputs!$B$37))),0)</f>
        <v/>
      </c>
      <c r="T618">
        <f>IF(C618,(H618*N618*IF(AND(Inputs!$B$38&lt;&gt;"pvp",Inputs!$B$43&gt;0),((Skills!G7*((R618-1)*IF(Skills!H7&gt;0,Skills!I7/Skills!H7,1)+IF(Skills!H7&gt;0,MIN(Skills!I7,MAX(0,MAX(0,Inputs!$B$43-B650)-((R618-1)*IF(Inputs!$B$38="pvp",15,MAX(0.1,Skills!D7-IF(Skills!E7=TRUE,Inputs!$B$32,0))))))/Skills!H7,1)))/Inputs!$B$43),G618*Q618))*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Hunt"),CHOOSE(ArtifactsInput!$N$35+1,15,18,21,24,27,30)*(1-EXP(-(0.2*B645)*5)),0)+IF(AND(ArtifactsInput!$M$22,Inputs!$B$4&lt;&gt;"Chapter Hunt"),CHOOSE(ArtifactsInput!$N$22+1,10,12,14,16,18,20)*((0*(((0.15*B645*5))^0/1)+1*(((0.15*B645*5))^1/1)+2*(((0.15*B645*5))^2/2)+3*(((0.15*B645*5))^3/6)+4*(((0.15*B645*5))^4/24)+5*(((0.15*B645*5))^5/120))/((((0.15*B645*5))^0/1)+(((0.15*B645*5))^1/1)+(((0.15*B645*5))^2/2)+(((0.15*B645*5))^3/6)+(((0.15*B645*5))^4/24)+(((0.15*B645*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618*(1-MIN(100,(Inputs!$B$9+((C630=TRUE)*(F630-Calc!F19))+B643+(ArtifactsInput!$M$24-ArtifactsInput!$M$24)*CHOOSE(ArtifactsInput!$N$24+1,10,12,14,16,18,20)+(IF(AND(ArtifactsInput!$M$42,((Inputs!$B$9+((C630=TRUE)*(F630-Calc!F19))+B643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618*(MIN(100,(Inputs!$B$9+((C630=TRUE)*(F630-Calc!F19))+B643+(ArtifactsInput!$M$24-ArtifactsInput!$M$24)*CHOOSE(ArtifactsInput!$N$24+1,10,12,14,16,18,20)+(IF(AND(ArtifactsInput!$M$42,((Inputs!$B$9+((C630=TRUE)*(F630-Calc!F19))+B643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618*(1-MIN(100,(Inputs!$B$9+((C630=TRUE)*(F630-Calc!F19))+B643+(ArtifactsInput!$M$24-ArtifactsInput!$M$24)*CHOOSE(ArtifactsInput!$N$24+1,10,12,14,16,18,20)+(IF(AND(ArtifactsInput!$M$42,((Inputs!$B$9+((C630=TRUE)*(F630-Calc!F19))+B643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618*(MIN(100,(Inputs!$B$9+((C630=TRUE)*(F630-Calc!F19))+B643+(ArtifactsInput!$M$24-ArtifactsInput!$M$24)*CHOOSE(ArtifactsInput!$N$24+1,10,12,14,16,18,20)+(IF(AND(ArtifactsInput!$M$42,((Inputs!$B$9+((C630=TRUE)*(F630-Calc!F19))+B643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618">
        <f>IF(C618,(H618*N618*IF(AND(Inputs!$B$38&lt;&gt;"pvp",Inputs!$B$43&gt;0),((Skills!G7*((R618-1)*IF(Skills!H7&gt;0,Skills!I7/Skills!H7,1)+IF(Skills!H7&gt;0,MIN(Skills!I7,MAX(0,MAX(0,Inputs!$B$43-B650)-((R618-1)*IF(Inputs!$B$38="pvp",15,MAX(0.1,Skills!D7-IF(Skills!E7=TRUE,Inputs!$B$32,0))))))/Skills!H7,1)))/Inputs!$B$43),G618*Q618))*IF(Inputs!$B$38="pvp",1,(1+(Inputs!$B$21+Skills!Q7+(IF(ArtifactsInput!$M$33,CHOOSE(ArtifactsInput!$N$33+1,30,36,42,48,54,60),0))+(IF(AND(ArtifactsInput!$M$35,Inputs!$B$4&lt;&gt;"Chapter Hunt"),CHOOSE(ArtifactsInput!$N$35+1,15,18,21,24,27,30)*(1-EXP(-(0.2*B645)*5)),0)+IF(AND(ArtifactsInput!$M$22,Inputs!$B$4&lt;&gt;"Chapter Hunt"),CHOOSE(ArtifactsInput!$N$22+1,10,12,14,16,18,20)*((0*(((0.15*B645*5))^0/1)+1*(((0.15*B645*5))^1/1)+2*(((0.15*B645*5))^2/2)+3*(((0.15*B645*5))^3/6)+4*(((0.15*B645*5))^4/24)+5*(((0.15*B645*5))^5/120))/((((0.15*B645*5))^0/1)+(((0.15*B645*5))^1/1)+(((0.15*B645*5))^2/2)+(((0.15*B645*5))^3/6)+(((0.15*B645*5))^4/24)+(((0.15*B645*5))^5/120))),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619">
      <c r="A619">
        <f>Skills!A8</f>
        <v/>
      </c>
      <c r="B619">
        <f>Skills!B8</f>
        <v/>
      </c>
      <c r="C619">
        <f>Inputs!$B$3&gt;=100</f>
        <v/>
      </c>
      <c r="D619">
        <f>IF(Skills!C8=1,60+Inputs!$B$25+Inputs!$B$29,IF(Skills!C8=2,90+Inputs!$B$26+Inputs!$B$29,IF(Skills!C8=3,120+Inputs!$B$27+Inputs!$B$29,MAX(0,(Inputs!$B$3-100)*3)+Inputs!$B$28+Inputs!$B$29)))</f>
        <v/>
      </c>
      <c r="E619">
        <f>INDEX(FactorTable!$B$2:$Y$301, MATCH(ROUND(MIN(300,MAX(1,D619)),0), FactorTable!$A$2:$A$301,0), Skills!M8+1)</f>
        <v/>
      </c>
      <c r="F619">
        <f>IF(Skills!N8=TRUE,(Skills!L8/10)*(E619/1000),Skills!L8/10)+Skills!O8</f>
        <v/>
      </c>
      <c r="G619" t="inlineStr"/>
      <c r="H619" t="inlineStr"/>
      <c r="I619" t="inlineStr">
        <is>
          <t>1</t>
        </is>
      </c>
      <c r="J619" t="inlineStr"/>
      <c r="K619" t="inlineStr"/>
      <c r="L619" t="inlineStr"/>
      <c r="M619" t="inlineStr"/>
      <c r="N619" t="inlineStr"/>
      <c r="O619" t="inlineStr"/>
      <c r="P619" t="inlineStr"/>
      <c r="Q619" t="inlineStr"/>
      <c r="R619" t="inlineStr"/>
      <c r="S619" t="inlineStr"/>
      <c r="T619" t="inlineStr"/>
      <c r="V619" t="inlineStr"/>
    </row>
    <row r="620">
      <c r="A620">
        <f>Skills!A9</f>
        <v/>
      </c>
      <c r="B620">
        <f>Skills!B9</f>
        <v/>
      </c>
      <c r="C620">
        <f>Inputs!$B$3&gt;=103</f>
        <v/>
      </c>
      <c r="D620">
        <f>IF(Skills!C9=1,60+Inputs!$B$25+Inputs!$B$29,IF(Skills!C9=2,90+Inputs!$B$26+Inputs!$B$29,IF(Skills!C9=3,120+Inputs!$B$27+Inputs!$B$29,MAX(0,(Inputs!$B$3-100)*3)+Inputs!$B$28+Inputs!$B$29)))</f>
        <v/>
      </c>
      <c r="E620">
        <f>INDEX(FactorTable!$B$2:$Y$301, MATCH(ROUND(MIN(300,MAX(1,D620)),0), FactorTable!$A$2:$A$301,0), Skills!M9+1)</f>
        <v/>
      </c>
      <c r="F620">
        <f>IF(Skills!N9=TRUE,(Skills!L9/10)*(E620/1000),Skills!L9/10)+Skills!O9</f>
        <v/>
      </c>
      <c r="G620">
        <f>Skills!G9*IF(Skills!H9&gt;0,Skills!I9/Skills!H9,1)</f>
        <v/>
      </c>
      <c r="H620">
        <f>1-(1-Skills!J9/100)^Skills!K9</f>
        <v/>
      </c>
      <c r="I620" t="inlineStr">
        <is>
          <t>1</t>
        </is>
      </c>
      <c r="J620">
        <f>((Inputs!$B$6*(1+Inputs!$B$7/100))+(((Inputs!$B$12*(1+Inputs!$B$13/100))-(Inputs!$B$12*(1+Inputs!$B$13/100)))+0.25*(Inputs!$B$14-Inputs!$B$14))*(1+Inputs!$B$7/100))*(F620/100)</f>
        <v/>
      </c>
      <c r="K620">
        <f>J620*(1+((Inputs!$B$12*(1+Inputs!$B$13/100))*0.01+Inputs!$B$14*0.0025)/100)*(1+Inputs!$B$15/100)*(1+Inputs!$B$16/100)*(5000/(6000+Inputs!$B$42*(1-(100*(1-(1-(Inputs!$B$19+0)/100)*(1-CHOOSE(ArtifactsInput!$N$40+1,5,6,7,8,9,10)/100)^(ArtifactsInput!$M$40-ArtifactsInput!$M$40)))/100)))*(1+(Inputs!$B$24+((C635=TRUE)*(F635-Calc!F24))+((C636=TRUE)*(F636-Calc!F25))+B649)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(1-(1-Inputs!$B$11/150)*(1-1/150))*150)-60))),0)-IF(ArtifactsInput!$M$34,MIN(CHOOSE(ArtifactsInput!$N$34+1,10,12,14,16,18,20),MAX(0,(CHOOSE(ArtifactsInput!$N$34+1,0.5,0.6,0.7,0.8,0.9,1)/3)*(Inputs!$B$11-60))),0)))/100)*(1+(IF(Skills!A9="EMPOWERED_PIERCING_ARROW",Inputs!$B$17+((C633=TRUE)*(F633-Calc!F22))+(((IF(AND(ArtifactsInput!$M$42,((Inputs!$B$9+((C630=TRUE)*(F630-Calc!F19))+B643+(ArtifactsInput!$M$24-ArtifactsInput!$M$24)*CHOOSE(ArtifactsInput!$N$24+1,10,12,14,16,18,20)+IF(ArtifactsInput!$M$10,CHOOSE(ArtifactsInput!$N$10+1,15,18,21,24,27,30)*(IF(Inputs!$B$38="pvp",MIN(15,15)/15,IF(AND(Inputs!$B$38&lt;&gt;"pvp",Inputs!$B$43&gt;0),MIN(15,Inputs!$B$43)/(Inputs!$B$43),0))),0)))&gt;=100),MIN(100,((Inputs!$B$9+((C630=TRUE)*(F630-Calc!F19))+B643+(ArtifactsInput!$M$24-ArtifactsInput!$M$24)*CHOOSE(ArtifactsInput!$N$24+1,10,12,14,16,18,20)+IF(ArtifactsInput!$M$10,CHOOSE(ArtifactsInput!$N$10+1,15,18,21,24,27,30)*(IF(Inputs!$B$38="pvp",MIN(15,15)/15,IF(AND(Inputs!$B$38&lt;&gt;"pvp",Inputs!$B$43&gt;0),MIN(15,Inputs!$B$43)/(Inputs!$B$43),0))),0)))-100),0))*CHOOSE(ArtifactsInput!$N$42+1,0.6,0.72,0.84,0.96,1.08,1.2))),Inputs!$B$18+((C638=TRUE)*(F638-Calc!F27))+(IF(AND(ArtifactsInput!$M$42,((Inputs!$B$9+((C630=TRUE)*(F630-Calc!F19))+B643+(ArtifactsInput!$M$24-ArtifactsInput!$M$24)*CHOOSE(ArtifactsInput!$N$24+1,10,12,14,16,18,20)+IF(ArtifactsInput!$M$10,CHOOSE(ArtifactsInput!$N$10+1,15,18,21,24,27,30)*(IF(Inputs!$B$38="pvp",MIN(15,15)/15,IF(AND(Inputs!$B$38&lt;&gt;"pvp",Inputs!$B$43&gt;0),MIN(15,Inputs!$B$43)/(Inputs!$B$43),0))),0)))&gt;=100),CHOOSE(ArtifactsInput!$N$42+1,40,48,56,64,72,80),0))))/100)*((1+(((C624=TRUE)*F624)+((C625=TRUE)*IF(Inputs!$B$38="pvp",F625,(1-Summary!$B$11)*(F625)+Summary!$B$11*(0)))+((C626=TRUE)*F626*IF(AND(Inputs!$B$38&lt;&gt;"pvp",Inputs!$B$43&gt;0),(((R626-1)*(Skills!T15*(1+Inputs!$B$34/100))+MIN((Skills!T15*(1+Inputs!$B$34/100)),MAX(0,Inputs!$B$43-((R626-1)*Skills!D15))))/Inputs!$B$43),IF(Inputs!$B$38="pvp",MIN((Skills!T15*(1+Inputs!$B$34/100)),15)/15,(Skills!T15*(1+Inputs!$B$34/100))/Skills!D15)))+((C623=TRUE)*F623)+((C640=TRUE)*(F640-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620)</f>
        <v/>
      </c>
      <c r="L620">
        <f>K620*(MIN(Inputs!$B$22+((C634=TRUE)*(F634-Calc!F23)),(Inputs!$B$23+((C639=TRUE)*(F639-Calc!F28))+(IF(ArtifactsInput!$M$15,CHOOSE(ArtifactsInput!$N$15+1,25,30,35,40,45,50)/100*(((1-(1-Inputs!$B$11/150)*(1-1/150))*150)-Inputs!$B$11),0))))/100+(Inputs!$B$23+((C639=TRUE)*(F639-Calc!F28))+(IF(ArtifactsInput!$M$15,CHOOSE(ArtifactsInput!$N$15+1,25,30,35,40,45,50)/100*(((1-(1-Inputs!$B$11/150)*(1-1/150))*150)-Inputs!$B$11),0)))/100)/2</f>
        <v/>
      </c>
      <c r="M620">
        <f>L620*(1+(Inputs!$B$10+0+B648+(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620">
        <f>L620*(1-MIN((Inputs!$B$9+((C630=TRUE)*(F630-Calc!F19))+B643+(ArtifactsInput!$M$24-ArtifactsInput!$M$24)*CHOOSE(ArtifactsInput!$N$24+1,10,12,14,16,18,20)+(IF(AND(ArtifactsInput!$M$42,((Inputs!$B$9+((C630=TRUE)*(F630-Calc!F19))+B643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620*(MIN((Inputs!$B$9+((C630=TRUE)*(F630-Calc!F19))+B643+(ArtifactsInput!$M$24-ArtifactsInput!$M$24)*CHOOSE(ArtifactsInput!$N$24+1,10,12,14,16,18,20)+(IF(AND(ArtifactsInput!$M$42,((Inputs!$B$9+((C630=TRUE)*(F630-Calc!F19))+B643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620">
        <f>(1-Summary!$B$11)*T620+Summary!$B$11*V620</f>
        <v/>
      </c>
      <c r="P620">
        <f>IF(B653=0,0,O620/B653)</f>
        <v/>
      </c>
      <c r="Q620">
        <f>IFERROR(1/IF(Inputs!$B$38="pvp",15,MAX(0.1,Skills!D9-IF(Skills!E9=TRUE,Inputs!$B$32,0))),0)</f>
        <v/>
      </c>
      <c r="R620">
        <f>IF(AND(Inputs!$B$38&lt;&gt;"pvp",Inputs!$B$43&gt;0),IF(MAX(0,Inputs!$B$43-B650)&lt;=0,0,(INT(MAX(0,Inputs!$B$43-B650)/IF(Inputs!$B$38="pvp",15,MAX(0.1,Skills!D9-IF(Skills!E9=TRUE,Inputs!$B$32,0))))+1)),0)</f>
        <v/>
      </c>
      <c r="S620">
        <f>IFERROR((H620*N620*IF(AND(Inputs!$B$38&lt;&gt;"pvp",Inputs!$B$43&gt;0),((Skills!G9*((R620-1)*IF(Skills!H9&gt;0,Skills!I9/Skills!H9,1)+IF(Skills!H9&gt;0,MIN(Skills!I9,MAX(0,MAX(0,Inputs!$B$43-B650)-((R620-1)*IF(Inputs!$B$38="pvp",15,MAX(0.1,Skills!D9-IF(Skills!E9=TRUE,Inputs!$B$32,0))))))/Skills!H9,1)))/Inputs!$B$43),G620*Q620))/N620*IF(Inputs!$B$38="pvp",1,(1-Summary!$B$11)*1+Summary!$B$11*(MIN(Skills!R9,Inputs!$B$37))),0)</f>
        <v/>
      </c>
      <c r="T620">
        <f>IF(C620,(H620*N620*IF(AND(Inputs!$B$38&lt;&gt;"pvp",Inputs!$B$43&gt;0),((Skills!G9*((R620-1)*IF(Skills!H9&gt;0,Skills!I9/Skills!H9,1)+IF(Skills!H9&gt;0,MIN(Skills!I9,MAX(0,MAX(0,Inputs!$B$43-B650)-((R620-1)*IF(Inputs!$B$38="pvp",15,MAX(0.1,Skills!D9-IF(Skills!E9=TRUE,Inputs!$B$32,0))))))/Skills!H9,1)))/Inputs!$B$43),G620*Q620))*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Hunt"),CHOOSE(ArtifactsInput!$N$35+1,15,18,21,24,27,30)*(1-EXP(-(0.2*B645)*5)),0)+IF(AND(ArtifactsInput!$M$22,Inputs!$B$4&lt;&gt;"Chapter Hunt"),CHOOSE(ArtifactsInput!$N$22+1,10,12,14,16,18,20)*((0*(((0.15*B645*5))^0/1)+1*(((0.15*B645*5))^1/1)+2*(((0.15*B645*5))^2/2)+3*(((0.15*B645*5))^3/6)+4*(((0.15*B645*5))^4/24)+5*(((0.15*B645*5))^5/120))/((((0.15*B645*5))^0/1)+(((0.15*B645*5))^1/1)+(((0.15*B645*5))^2/2)+(((0.15*B645*5))^3/6)+(((0.15*B645*5))^4/24)+(((0.15*B645*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620*(1-MIN(100,(Inputs!$B$9+((C630=TRUE)*(F630-Calc!F19))+B643+(ArtifactsInput!$M$24-ArtifactsInput!$M$24)*CHOOSE(ArtifactsInput!$N$24+1,10,12,14,16,18,20)+(IF(AND(ArtifactsInput!$M$42,((Inputs!$B$9+((C630=TRUE)*(F630-Calc!F19))+B643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620*(MIN(100,(Inputs!$B$9+((C630=TRUE)*(F630-Calc!F19))+B643+(ArtifactsInput!$M$24-ArtifactsInput!$M$24)*CHOOSE(ArtifactsInput!$N$24+1,10,12,14,16,18,20)+(IF(AND(ArtifactsInput!$M$42,((Inputs!$B$9+((C630=TRUE)*(F630-Calc!F19))+B643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620*(1-MIN(100,(Inputs!$B$9+((C630=TRUE)*(F630-Calc!F19))+B643+(ArtifactsInput!$M$24-ArtifactsInput!$M$24)*CHOOSE(ArtifactsInput!$N$24+1,10,12,14,16,18,20)+(IF(AND(ArtifactsInput!$M$42,((Inputs!$B$9+((C630=TRUE)*(F630-Calc!F19))+B643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620*(MIN(100,(Inputs!$B$9+((C630=TRUE)*(F630-Calc!F19))+B643+(ArtifactsInput!$M$24-ArtifactsInput!$M$24)*CHOOSE(ArtifactsInput!$N$24+1,10,12,14,16,18,20)+(IF(AND(ArtifactsInput!$M$42,((Inputs!$B$9+((C630=TRUE)*(F630-Calc!F19))+B643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620">
        <f>IF(C620,(H620*N620*IF(AND(Inputs!$B$38&lt;&gt;"pvp",Inputs!$B$43&gt;0),((Skills!G9*((R620-1)*IF(Skills!H9&gt;0,Skills!I9/Skills!H9,1)+IF(Skills!H9&gt;0,MIN(Skills!I9,MAX(0,MAX(0,Inputs!$B$43-B650)-((R620-1)*IF(Inputs!$B$38="pvp",15,MAX(0.1,Skills!D9-IF(Skills!E9=TRUE,Inputs!$B$32,0))))))/Skills!H9,1)))/Inputs!$B$43),G620*Q620))*IF(Inputs!$B$38="pvp",1,(1+(Inputs!$B$21+Skills!Q9+(IF(ArtifactsInput!$M$33,CHOOSE(ArtifactsInput!$N$33+1,30,36,42,48,54,60),0))+(IF(AND(ArtifactsInput!$M$35,Inputs!$B$4&lt;&gt;"Chapter Hunt"),CHOOSE(ArtifactsInput!$N$35+1,15,18,21,24,27,30)*(1-EXP(-(0.2*B645)*5)),0)+IF(AND(ArtifactsInput!$M$22,Inputs!$B$4&lt;&gt;"Chapter Hunt"),CHOOSE(ArtifactsInput!$N$22+1,10,12,14,16,18,20)*((0*(((0.15*B645*5))^0/1)+1*(((0.15*B645*5))^1/1)+2*(((0.15*B645*5))^2/2)+3*(((0.15*B645*5))^3/6)+4*(((0.15*B645*5))^4/24)+5*(((0.15*B645*5))^5/120))/((((0.15*B645*5))^0/1)+(((0.15*B645*5))^1/1)+(((0.15*B645*5))^2/2)+(((0.15*B645*5))^3/6)+(((0.15*B645*5))^4/24)+(((0.15*B645*5))^5/120)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621">
      <c r="A621">
        <f>Skills!A10</f>
        <v/>
      </c>
      <c r="B621">
        <f>Skills!B10</f>
        <v/>
      </c>
      <c r="C621">
        <f>Inputs!$B$3&gt;=107</f>
        <v/>
      </c>
      <c r="D621">
        <f>IF(Skills!C10=1,60+Inputs!$B$25+Inputs!$B$29,IF(Skills!C10=2,90+Inputs!$B$26+Inputs!$B$29,IF(Skills!C10=3,120+Inputs!$B$27+Inputs!$B$29,MAX(0,(Inputs!$B$3-100)*3)+Inputs!$B$28+Inputs!$B$29)))</f>
        <v/>
      </c>
      <c r="E621">
        <f>INDEX(FactorTable!$B$2:$Y$301, MATCH(ROUND(MIN(300,MAX(1,D621)),0), FactorTable!$A$2:$A$301,0), Skills!M10+1)</f>
        <v/>
      </c>
      <c r="F621">
        <f>IF(Skills!N10=TRUE,(Skills!L10/10)*(E621/1000),Skills!L10/10)+Skills!O10</f>
        <v/>
      </c>
      <c r="G621">
        <f>Skills!G10*IF(Skills!H10&gt;0,Skills!I10/Skills!H10,1)</f>
        <v/>
      </c>
      <c r="H621">
        <f>1-(1-Skills!J10/100)^Skills!K10</f>
        <v/>
      </c>
      <c r="I621" t="inlineStr">
        <is>
          <t>1</t>
        </is>
      </c>
      <c r="J621">
        <f>((Inputs!$B$6*(1+Inputs!$B$7/100))+(((Inputs!$B$12*(1+Inputs!$B$13/100))-(Inputs!$B$12*(1+Inputs!$B$13/100)))+0.25*(Inputs!$B$14-Inputs!$B$14))*(1+Inputs!$B$7/100))*(F621/100)</f>
        <v/>
      </c>
      <c r="K621">
        <f>J621*(1+((Inputs!$B$12*(1+Inputs!$B$13/100))*0.01+Inputs!$B$14*0.0025)/100)*(1+Inputs!$B$15/100)*(1+Inputs!$B$16/100)*(5000/(6000+Inputs!$B$42*(1-(100*(1-(1-(Inputs!$B$19+0)/100)*(1-CHOOSE(ArtifactsInput!$N$40+1,5,6,7,8,9,10)/100)^(ArtifactsInput!$M$40-ArtifactsInput!$M$40)))/100)))*(1+(Inputs!$B$24+((C635=TRUE)*(F635-Calc!F24))+((C636=TRUE)*(F636-Calc!F25))+B649)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(1-(1-Inputs!$B$11/150)*(1-1/150))*150)-60))),0)-IF(ArtifactsInput!$M$34,MIN(CHOOSE(ArtifactsInput!$N$34+1,10,12,14,16,18,20),MAX(0,(CHOOSE(ArtifactsInput!$N$34+1,0.5,0.6,0.7,0.8,0.9,1)/3)*(Inputs!$B$11-60))),0)))/100)*(1+(IF(Skills!A10="EMPOWERED_PIERCING_ARROW",Inputs!$B$17+((C633=TRUE)*(F633-Calc!F22))+(((IF(AND(ArtifactsInput!$M$42,((Inputs!$B$9+((C630=TRUE)*(F630-Calc!F19))+B643+(ArtifactsInput!$M$24-ArtifactsInput!$M$24)*CHOOSE(ArtifactsInput!$N$24+1,10,12,14,16,18,20)+IF(ArtifactsInput!$M$10,CHOOSE(ArtifactsInput!$N$10+1,15,18,21,24,27,30)*(IF(Inputs!$B$38="pvp",MIN(15,15)/15,IF(AND(Inputs!$B$38&lt;&gt;"pvp",Inputs!$B$43&gt;0),MIN(15,Inputs!$B$43)/(Inputs!$B$43),0))),0)))&gt;=100),MIN(100,((Inputs!$B$9+((C630=TRUE)*(F630-Calc!F19))+B643+(ArtifactsInput!$M$24-ArtifactsInput!$M$24)*CHOOSE(ArtifactsInput!$N$24+1,10,12,14,16,18,20)+IF(ArtifactsInput!$M$10,CHOOSE(ArtifactsInput!$N$10+1,15,18,21,24,27,30)*(IF(Inputs!$B$38="pvp",MIN(15,15)/15,IF(AND(Inputs!$B$38&lt;&gt;"pvp",Inputs!$B$43&gt;0),MIN(15,Inputs!$B$43)/(Inputs!$B$43),0))),0)))-100),0))*CHOOSE(ArtifactsInput!$N$42+1,0.6,0.72,0.84,0.96,1.08,1.2))),Inputs!$B$18+((C638=TRUE)*(F638-Calc!F27))+(IF(AND(ArtifactsInput!$M$42,((Inputs!$B$9+((C630=TRUE)*(F630-Calc!F19))+B643+(ArtifactsInput!$M$24-ArtifactsInput!$M$24)*CHOOSE(ArtifactsInput!$N$24+1,10,12,14,16,18,20)+IF(ArtifactsInput!$M$10,CHOOSE(ArtifactsInput!$N$10+1,15,18,21,24,27,30)*(IF(Inputs!$B$38="pvp",MIN(15,15)/15,IF(AND(Inputs!$B$38&lt;&gt;"pvp",Inputs!$B$43&gt;0),MIN(15,Inputs!$B$43)/(Inputs!$B$43),0))),0)))&gt;=100),CHOOSE(ArtifactsInput!$N$42+1,40,48,56,64,72,80),0))))/100)*((1+(((C624=TRUE)*F624)+((C625=TRUE)*IF(Inputs!$B$38="pvp",F625,(1-Summary!$B$11)*(F625)+Summary!$B$11*(0)))+((C626=TRUE)*F626*IF(AND(Inputs!$B$38&lt;&gt;"pvp",Inputs!$B$43&gt;0),(((R626-1)*(Skills!T15*(1+Inputs!$B$34/100))+MIN((Skills!T15*(1+Inputs!$B$34/100)),MAX(0,Inputs!$B$43-((R626-1)*Skills!D15))))/Inputs!$B$43),IF(Inputs!$B$38="pvp",MIN((Skills!T15*(1+Inputs!$B$34/100)),15)/15,(Skills!T15*(1+Inputs!$B$34/100))/Skills!D15)))+((C623=TRUE)*F623)+((C640=TRUE)*(F640-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621)</f>
        <v/>
      </c>
      <c r="L621">
        <f>K621*(MIN(Inputs!$B$22+((C634=TRUE)*(F634-Calc!F23)),(Inputs!$B$23+((C639=TRUE)*(F639-Calc!F28))+(IF(ArtifactsInput!$M$15,CHOOSE(ArtifactsInput!$N$15+1,25,30,35,40,45,50)/100*(((1-(1-Inputs!$B$11/150)*(1-1/150))*150)-Inputs!$B$11),0))))/100+(Inputs!$B$23+((C639=TRUE)*(F639-Calc!F28))+(IF(ArtifactsInput!$M$15,CHOOSE(ArtifactsInput!$N$15+1,25,30,35,40,45,50)/100*(((1-(1-Inputs!$B$11/150)*(1-1/150))*150)-Inputs!$B$11),0)))/100)/2</f>
        <v/>
      </c>
      <c r="M621">
        <f>L621*(1+(Inputs!$B$10+0+B648+(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621">
        <f>L621*(1-MIN((Inputs!$B$9+((C630=TRUE)*(F630-Calc!F19))+B643+(ArtifactsInput!$M$24-ArtifactsInput!$M$24)*CHOOSE(ArtifactsInput!$N$24+1,10,12,14,16,18,20)+(IF(AND(ArtifactsInput!$M$42,((Inputs!$B$9+((C630=TRUE)*(F630-Calc!F19))+B643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621*(MIN((Inputs!$B$9+((C630=TRUE)*(F630-Calc!F19))+B643+(ArtifactsInput!$M$24-ArtifactsInput!$M$24)*CHOOSE(ArtifactsInput!$N$24+1,10,12,14,16,18,20)+(IF(AND(ArtifactsInput!$M$42,((Inputs!$B$9+((C630=TRUE)*(F630-Calc!F19))+B643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621">
        <f>(1-Summary!$B$11)*T621+Summary!$B$11*V621</f>
        <v/>
      </c>
      <c r="P621">
        <f>IF(B653=0,0,O621/B653)</f>
        <v/>
      </c>
      <c r="Q621" t="n">
        <v>0</v>
      </c>
      <c r="R621" t="n">
        <v>0</v>
      </c>
      <c r="S621" t="n">
        <v>0</v>
      </c>
      <c r="T621">
        <f>IF(C621,(0.15*SUMPRODUCT((Skills!U2:U29=TRUE)*(C613:C640=TRUE)*S613:S640)*Skills!G10*N621)*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Hunt"),CHOOSE(ArtifactsInput!$N$35+1,15,18,21,24,27,30)*(1-EXP(-(0.2*B645)*5)),0)+IF(AND(ArtifactsInput!$M$22,Inputs!$B$4&lt;&gt;"Chapter Hunt"),CHOOSE(ArtifactsInput!$N$22+1,10,12,14,16,18,20)*((0*(((0.15*B645*5))^0/1)+1*(((0.15*B645*5))^1/1)+2*(((0.15*B645*5))^2/2)+3*(((0.15*B645*5))^3/6)+4*(((0.15*B645*5))^4/24)+5*(((0.15*B645*5))^5/120))/((((0.15*B645*5))^0/1)+(((0.15*B645*5))^1/1)+(((0.15*B645*5))^2/2)+(((0.15*B645*5))^3/6)+(((0.15*B645*5))^4/24)+(((0.15*B645*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621*(1-MIN(100,(Inputs!$B$9+((C630=TRUE)*(F630-Calc!F19))+B643+(ArtifactsInput!$M$24-ArtifactsInput!$M$24)*CHOOSE(ArtifactsInput!$N$24+1,10,12,14,16,18,20)+(IF(AND(ArtifactsInput!$M$42,((Inputs!$B$9+((C630=TRUE)*(F630-Calc!F19))+B643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621*(MIN(100,(Inputs!$B$9+((C630=TRUE)*(F630-Calc!F19))+B643+(ArtifactsInput!$M$24-ArtifactsInput!$M$24)*CHOOSE(ArtifactsInput!$N$24+1,10,12,14,16,18,20)+(IF(AND(ArtifactsInput!$M$42,((Inputs!$B$9+((C630=TRUE)*(F630-Calc!F19))+B643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621*(1-MIN(100,(Inputs!$B$9+((C630=TRUE)*(F630-Calc!F19))+B643+(ArtifactsInput!$M$24-ArtifactsInput!$M$24)*CHOOSE(ArtifactsInput!$N$24+1,10,12,14,16,18,20)+(IF(AND(ArtifactsInput!$M$42,((Inputs!$B$9+((C630=TRUE)*(F630-Calc!F19))+B643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621*(MIN(100,(Inputs!$B$9+((C630=TRUE)*(F630-Calc!F19))+B643+(ArtifactsInput!$M$24-ArtifactsInput!$M$24)*CHOOSE(ArtifactsInput!$N$24+1,10,12,14,16,18,20)+(IF(AND(ArtifactsInput!$M$42,((Inputs!$B$9+((C630=TRUE)*(F630-Calc!F19))+B643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621">
        <f>IF(C621,(0.15*SUMPRODUCT((Skills!U2:U29=TRUE)*(C613:C640=TRUE)*S613:S640)*Skills!G10*N621)*IF(Inputs!$B$38="pvp",1,(1+(Inputs!$B$21+Skills!Q10+(IF(ArtifactsInput!$M$33,CHOOSE(ArtifactsInput!$N$33+1,30,36,42,48,54,60),0))+(IF(AND(ArtifactsInput!$M$35,Inputs!$B$4&lt;&gt;"Chapter Hunt"),CHOOSE(ArtifactsInput!$N$35+1,15,18,21,24,27,30)*(1-EXP(-(0.2*B645)*5)),0)+IF(AND(ArtifactsInput!$M$22,Inputs!$B$4&lt;&gt;"Chapter Hunt"),CHOOSE(ArtifactsInput!$N$22+1,10,12,14,16,18,20)*((0*(((0.15*B645*5))^0/1)+1*(((0.15*B645*5))^1/1)+2*(((0.15*B645*5))^2/2)+3*(((0.15*B645*5))^3/6)+4*(((0.15*B645*5))^4/24)+5*(((0.15*B645*5))^5/120))/((((0.15*B645*5))^0/1)+(((0.15*B645*5))^1/1)+(((0.15*B645*5))^2/2)+(((0.15*B645*5))^3/6)+(((0.15*B645*5))^4/24)+(((0.15*B645*5))^5/120)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622">
      <c r="A622">
        <f>Skills!A11</f>
        <v/>
      </c>
      <c r="B622">
        <f>Skills!B11</f>
        <v/>
      </c>
      <c r="C622">
        <f>Inputs!$B$3&gt;=110</f>
        <v/>
      </c>
      <c r="D622">
        <f>IF(Skills!C11=1,60+Inputs!$B$25+Inputs!$B$29,IF(Skills!C11=2,90+Inputs!$B$26+Inputs!$B$29,IF(Skills!C11=3,120+Inputs!$B$27+Inputs!$B$29,MAX(0,(Inputs!$B$3-100)*3)+Inputs!$B$28+Inputs!$B$29)))</f>
        <v/>
      </c>
      <c r="E622">
        <f>INDEX(FactorTable!$B$2:$Y$301, MATCH(ROUND(MIN(300,MAX(1,D622)),0), FactorTable!$A$2:$A$301,0), Skills!M11+1)</f>
        <v/>
      </c>
      <c r="F622">
        <f>IF(Skills!N11=TRUE,(Skills!L11/10)*(E622/1000),Skills!L11/10)+Skills!O11</f>
        <v/>
      </c>
      <c r="G622">
        <f>Skills!G11*IF(Skills!H11&gt;0,Skills!I11/Skills!H11,1)</f>
        <v/>
      </c>
      <c r="H622">
        <f>1-(1-Skills!J11/100)^Skills!K11</f>
        <v/>
      </c>
      <c r="I622" t="inlineStr">
        <is>
          <t>1</t>
        </is>
      </c>
      <c r="J622">
        <f>((Inputs!$B$6*(1+Inputs!$B$7/100))+(((Inputs!$B$12*(1+Inputs!$B$13/100))-(Inputs!$B$12*(1+Inputs!$B$13/100)))+0.25*(Inputs!$B$14-Inputs!$B$14))*(1+Inputs!$B$7/100))*(F622/100)</f>
        <v/>
      </c>
      <c r="K622">
        <f>J622*(1+((Inputs!$B$12*(1+Inputs!$B$13/100))*0.01+Inputs!$B$14*0.0025)/100)*(1+Inputs!$B$15/100)*(1+Inputs!$B$16/100)*(5000/(6000+Inputs!$B$42*(1-(100*(1-(1-(Inputs!$B$19+0)/100)*(1-CHOOSE(ArtifactsInput!$N$40+1,5,6,7,8,9,10)/100)^(ArtifactsInput!$M$40-ArtifactsInput!$M$40)))/100)))*(1+(Inputs!$B$24+((C635=TRUE)*(F635-Calc!F24))+((C636=TRUE)*(F636-Calc!F25))+B649)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(1-(1-Inputs!$B$11/150)*(1-1/150))*150)-60))),0)-IF(ArtifactsInput!$M$34,MIN(CHOOSE(ArtifactsInput!$N$34+1,10,12,14,16,18,20),MAX(0,(CHOOSE(ArtifactsInput!$N$34+1,0.5,0.6,0.7,0.8,0.9,1)/3)*(Inputs!$B$11-60))),0)))/100)*(1+(IF(Skills!A11="EMPOWERED_PIERCING_ARROW",Inputs!$B$17+((C633=TRUE)*(F633-Calc!F22))+(((IF(AND(ArtifactsInput!$M$42,((Inputs!$B$9+((C630=TRUE)*(F630-Calc!F19))+B643+(ArtifactsInput!$M$24-ArtifactsInput!$M$24)*CHOOSE(ArtifactsInput!$N$24+1,10,12,14,16,18,20)+IF(ArtifactsInput!$M$10,CHOOSE(ArtifactsInput!$N$10+1,15,18,21,24,27,30)*(IF(Inputs!$B$38="pvp",MIN(15,15)/15,IF(AND(Inputs!$B$38&lt;&gt;"pvp",Inputs!$B$43&gt;0),MIN(15,Inputs!$B$43)/(Inputs!$B$43),0))),0)))&gt;=100),MIN(100,((Inputs!$B$9+((C630=TRUE)*(F630-Calc!F19))+B643+(ArtifactsInput!$M$24-ArtifactsInput!$M$24)*CHOOSE(ArtifactsInput!$N$24+1,10,12,14,16,18,20)+IF(ArtifactsInput!$M$10,CHOOSE(ArtifactsInput!$N$10+1,15,18,21,24,27,30)*(IF(Inputs!$B$38="pvp",MIN(15,15)/15,IF(AND(Inputs!$B$38&lt;&gt;"pvp",Inputs!$B$43&gt;0),MIN(15,Inputs!$B$43)/(Inputs!$B$43),0))),0)))-100),0))*CHOOSE(ArtifactsInput!$N$42+1,0.6,0.72,0.84,0.96,1.08,1.2))),Inputs!$B$18+((C638=TRUE)*(F638-Calc!F27))+(IF(AND(ArtifactsInput!$M$42,((Inputs!$B$9+((C630=TRUE)*(F630-Calc!F19))+B643+(ArtifactsInput!$M$24-ArtifactsInput!$M$24)*CHOOSE(ArtifactsInput!$N$24+1,10,12,14,16,18,20)+IF(ArtifactsInput!$M$10,CHOOSE(ArtifactsInput!$N$10+1,15,18,21,24,27,30)*(IF(Inputs!$B$38="pvp",MIN(15,15)/15,IF(AND(Inputs!$B$38&lt;&gt;"pvp",Inputs!$B$43&gt;0),MIN(15,Inputs!$B$43)/(Inputs!$B$43),0))),0)))&gt;=100),CHOOSE(ArtifactsInput!$N$42+1,40,48,56,64,72,80),0))))/100)*((1+(((C624=TRUE)*F624)+((C625=TRUE)*IF(Inputs!$B$38="pvp",F625,(1-Summary!$B$11)*(F625)+Summary!$B$11*(0)))+((C626=TRUE)*F626*IF(AND(Inputs!$B$38&lt;&gt;"pvp",Inputs!$B$43&gt;0),(((R626-1)*(Skills!T15*(1+Inputs!$B$34/100))+MIN((Skills!T15*(1+Inputs!$B$34/100)),MAX(0,Inputs!$B$43-((R626-1)*Skills!D15))))/Inputs!$B$43),IF(Inputs!$B$38="pvp",MIN((Skills!T15*(1+Inputs!$B$34/100)),15)/15,(Skills!T15*(1+Inputs!$B$34/100))/Skills!D15)))+((C623=TRUE)*F623)+((C640=TRUE)*(F640-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622)</f>
        <v/>
      </c>
      <c r="L622">
        <f>K622*(MIN(Inputs!$B$22+((C634=TRUE)*(F634-Calc!F23)),(Inputs!$B$23+((C639=TRUE)*(F639-Calc!F28))+(IF(ArtifactsInput!$M$15,CHOOSE(ArtifactsInput!$N$15+1,25,30,35,40,45,50)/100*(((1-(1-Inputs!$B$11/150)*(1-1/150))*150)-Inputs!$B$11),0))))/100+(Inputs!$B$23+((C639=TRUE)*(F639-Calc!F28))+(IF(ArtifactsInput!$M$15,CHOOSE(ArtifactsInput!$N$15+1,25,30,35,40,45,50)/100*(((1-(1-Inputs!$B$11/150)*(1-1/150))*150)-Inputs!$B$11),0)))/100)/2</f>
        <v/>
      </c>
      <c r="M622">
        <f>L622*(1+(Inputs!$B$10+0+B648+(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622">
        <f>L622*(1-MIN((Inputs!$B$9+((C630=TRUE)*(F630-Calc!F19))+B643+(ArtifactsInput!$M$24-ArtifactsInput!$M$24)*CHOOSE(ArtifactsInput!$N$24+1,10,12,14,16,18,20)+(IF(AND(ArtifactsInput!$M$42,((Inputs!$B$9+((C630=TRUE)*(F630-Calc!F19))+B643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622*(MIN((Inputs!$B$9+((C630=TRUE)*(F630-Calc!F19))+B643+(ArtifactsInput!$M$24-ArtifactsInput!$M$24)*CHOOSE(ArtifactsInput!$N$24+1,10,12,14,16,18,20)+(IF(AND(ArtifactsInput!$M$42,((Inputs!$B$9+((C630=TRUE)*(F630-Calc!F19))+B643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622">
        <f>(1-Summary!$B$11)*T622+Summary!$B$11*V622</f>
        <v/>
      </c>
      <c r="P622">
        <f>IF(B653=0,0,O622/B653)</f>
        <v/>
      </c>
      <c r="Q622">
        <f>IFERROR(1/IF(Inputs!$B$38="pvp",15,MAX(0.1,Skills!D11-IF(Skills!E11=TRUE,Inputs!$B$32,0))),0)</f>
        <v/>
      </c>
      <c r="R622">
        <f>IF(AND(Inputs!$B$38&lt;&gt;"pvp",Inputs!$B$43&gt;0),IF(MAX(0,Inputs!$B$43-B650)&lt;=0,0,(INT(MAX(0,Inputs!$B$43-B650)/IF(Inputs!$B$38="pvp",15,MAX(0.1,Skills!D11-IF(Skills!E11=TRUE,Inputs!$B$32,0))))+1)),0)</f>
        <v/>
      </c>
      <c r="S622">
        <f>IFERROR((H622*N622*IF(AND(Inputs!$B$38&lt;&gt;"pvp",Inputs!$B$43&gt;0),((Skills!G11*((R622-1)*IF(Skills!H11&gt;0,Skills!I11/Skills!H11,1)+IF(Skills!H11&gt;0,MIN(Skills!I11,MAX(0,MAX(0,Inputs!$B$43-B650)-((R622-1)*IF(Inputs!$B$38="pvp",15,MAX(0.1,Skills!D11-IF(Skills!E11=TRUE,Inputs!$B$32,0))))))/Skills!H11,1)))/Inputs!$B$43),G622*Q622))/N622*IF(Inputs!$B$38="pvp",1,(1-Summary!$B$11)*1+Summary!$B$11*(MIN(Skills!R11,Inputs!$B$37))),0)</f>
        <v/>
      </c>
      <c r="T622">
        <f>IF(C622,(H622*N622*IF(AND(Inputs!$B$38&lt;&gt;"pvp",Inputs!$B$43&gt;0),((Skills!G11*((R622-1)*IF(Skills!H11&gt;0,Skills!I11/Skills!H11,1)+IF(Skills!H11&gt;0,MIN(Skills!I11,MAX(0,MAX(0,Inputs!$B$43-B650)-((R622-1)*IF(Inputs!$B$38="pvp",15,MAX(0.1,Skills!D11-IF(Skills!E11=TRUE,Inputs!$B$32,0))))))/Skills!H11,1)))/Inputs!$B$43),G622*Q622))*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Hunt"),CHOOSE(ArtifactsInput!$N$35+1,15,18,21,24,27,30)*(1-EXP(-(0.2*B645)*5)),0)+IF(AND(ArtifactsInput!$M$22,Inputs!$B$4&lt;&gt;"Chapter Hunt"),CHOOSE(ArtifactsInput!$N$22+1,10,12,14,16,18,20)*((0*(((0.15*B645*5))^0/1)+1*(((0.15*B645*5))^1/1)+2*(((0.15*B645*5))^2/2)+3*(((0.15*B645*5))^3/6)+4*(((0.15*B645*5))^4/24)+5*(((0.15*B645*5))^5/120))/((((0.15*B645*5))^0/1)+(((0.15*B645*5))^1/1)+(((0.15*B645*5))^2/2)+(((0.15*B645*5))^3/6)+(((0.15*B645*5))^4/24)+(((0.15*B645*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622*(1-MIN(100,(Inputs!$B$9+((C630=TRUE)*(F630-Calc!F19))+B643+(ArtifactsInput!$M$24-ArtifactsInput!$M$24)*CHOOSE(ArtifactsInput!$N$24+1,10,12,14,16,18,20)+(IF(AND(ArtifactsInput!$M$42,((Inputs!$B$9+((C630=TRUE)*(F630-Calc!F19))+B643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622*(MIN(100,(Inputs!$B$9+((C630=TRUE)*(F630-Calc!F19))+B643+(ArtifactsInput!$M$24-ArtifactsInput!$M$24)*CHOOSE(ArtifactsInput!$N$24+1,10,12,14,16,18,20)+(IF(AND(ArtifactsInput!$M$42,((Inputs!$B$9+((C630=TRUE)*(F630-Calc!F19))+B643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622*(1-MIN(100,(Inputs!$B$9+((C630=TRUE)*(F630-Calc!F19))+B643+(ArtifactsInput!$M$24-ArtifactsInput!$M$24)*CHOOSE(ArtifactsInput!$N$24+1,10,12,14,16,18,20)+(IF(AND(ArtifactsInput!$M$42,((Inputs!$B$9+((C630=TRUE)*(F630-Calc!F19))+B643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622*(MIN(100,(Inputs!$B$9+((C630=TRUE)*(F630-Calc!F19))+B643+(ArtifactsInput!$M$24-ArtifactsInput!$M$24)*CHOOSE(ArtifactsInput!$N$24+1,10,12,14,16,18,20)+(IF(AND(ArtifactsInput!$M$42,((Inputs!$B$9+((C630=TRUE)*(F630-Calc!F19))+B643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622">
        <f>IF(C622,(H622*N622*IF(AND(Inputs!$B$38&lt;&gt;"pvp",Inputs!$B$43&gt;0),((Skills!G11*((R622-1)*IF(Skills!H11&gt;0,Skills!I11/Skills!H11,1)+IF(Skills!H11&gt;0,MIN(Skills!I11,MAX(0,MAX(0,Inputs!$B$43-B650)-((R622-1)*IF(Inputs!$B$38="pvp",15,MAX(0.1,Skills!D11-IF(Skills!E11=TRUE,Inputs!$B$32,0))))))/Skills!H11,1)))/Inputs!$B$43),G622*Q622))*IF(Inputs!$B$38="pvp",1,(1+(Inputs!$B$21+Skills!Q11+(IF(ArtifactsInput!$M$33,CHOOSE(ArtifactsInput!$N$33+1,30,36,42,48,54,60),0))+(IF(AND(ArtifactsInput!$M$35,Inputs!$B$4&lt;&gt;"Chapter Hunt"),CHOOSE(ArtifactsInput!$N$35+1,15,18,21,24,27,30)*(1-EXP(-(0.2*B645)*5)),0)+IF(AND(ArtifactsInput!$M$22,Inputs!$B$4&lt;&gt;"Chapter Hunt"),CHOOSE(ArtifactsInput!$N$22+1,10,12,14,16,18,20)*((0*(((0.15*B645*5))^0/1)+1*(((0.15*B645*5))^1/1)+2*(((0.15*B645*5))^2/2)+3*(((0.15*B645*5))^3/6)+4*(((0.15*B645*5))^4/24)+5*(((0.15*B645*5))^5/120))/((((0.15*B645*5))^0/1)+(((0.15*B645*5))^1/1)+(((0.15*B645*5))^2/2)+(((0.15*B645*5))^3/6)+(((0.15*B645*5))^4/24)+(((0.15*B645*5))^5/120))),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623">
      <c r="A623">
        <f>Skills!A12</f>
        <v/>
      </c>
      <c r="B623">
        <f>Skills!B12</f>
        <v/>
      </c>
      <c r="C623">
        <f>Inputs!$B$3&gt;=60</f>
        <v/>
      </c>
      <c r="D623">
        <f>IF(Skills!C12=1,60+Inputs!$B$25+Inputs!$B$29,IF(Skills!C12=2,90+Inputs!$B$26+Inputs!$B$29,IF(Skills!C12=3,120+Inputs!$B$27+Inputs!$B$29,MAX(0,(Inputs!$B$3-100)*3)+Inputs!$B$28+Inputs!$B$29)))</f>
        <v/>
      </c>
      <c r="E623">
        <f>INDEX(FactorTable!$B$2:$Y$301, MATCH(ROUND(MIN(300,MAX(1,D623)),0), FactorTable!$A$2:$A$301,0), Skills!M12+1)</f>
        <v/>
      </c>
      <c r="F623">
        <f>IF(Skills!N12=TRUE,(Skills!L12/10)*(E623/1000),Skills!L12/10)+Skills!O12</f>
        <v/>
      </c>
      <c r="G623">
        <f>Skills!G12*IF(Skills!H12&gt;0,Skills!I12/Skills!H12,1)</f>
        <v/>
      </c>
      <c r="H623">
        <f>1-(1-Skills!J12/100)^Skills!K12</f>
        <v/>
      </c>
      <c r="I623" t="inlineStr">
        <is>
          <t>1</t>
        </is>
      </c>
      <c r="J623" t="inlineStr"/>
      <c r="K623" t="inlineStr"/>
      <c r="L623" t="inlineStr"/>
      <c r="M623" t="inlineStr"/>
      <c r="N623" t="inlineStr"/>
      <c r="O623">
        <f>(1-Summary!$B$11)*T623+Summary!$B$11*V623</f>
        <v/>
      </c>
      <c r="P623">
        <f>IF(B653=0,0,O623/B653)</f>
        <v/>
      </c>
      <c r="Q623" t="n">
        <v>0</v>
      </c>
      <c r="R623" t="n">
        <v>0</v>
      </c>
      <c r="S623" t="n">
        <v>0</v>
      </c>
      <c r="T623" t="n">
        <v>0</v>
      </c>
      <c r="V623" t="n">
        <v>0</v>
      </c>
    </row>
    <row r="624">
      <c r="A624">
        <f>Skills!A13</f>
        <v/>
      </c>
      <c r="B624">
        <f>Skills!B13</f>
        <v/>
      </c>
      <c r="C624">
        <f>Inputs!$B$3&gt;=74</f>
        <v/>
      </c>
      <c r="D624">
        <f>IF(Skills!C13=1,60+Inputs!$B$25+Inputs!$B$29,IF(Skills!C13=2,90+Inputs!$B$26+Inputs!$B$29,IF(Skills!C13=3,120+Inputs!$B$27+Inputs!$B$29,MAX(0,(Inputs!$B$3-100)*3)+Inputs!$B$28+Inputs!$B$29)))</f>
        <v/>
      </c>
      <c r="E624">
        <f>INDEX(FactorTable!$B$2:$Y$301, MATCH(ROUND(MIN(300,MAX(1,D624)),0), FactorTable!$A$2:$A$301,0), Skills!M13+1)</f>
        <v/>
      </c>
      <c r="F624">
        <f>IF(Skills!N13=TRUE,(Skills!L13/10)*(E624/1000),Skills!L13/10)+Skills!O13</f>
        <v/>
      </c>
      <c r="G624">
        <f>Skills!G13*IF(Skills!H13&gt;0,Skills!I13/Skills!H13,1)</f>
        <v/>
      </c>
      <c r="H624">
        <f>1-(1-Skills!J13/100)^Skills!K13</f>
        <v/>
      </c>
      <c r="I624" t="inlineStr">
        <is>
          <t>1</t>
        </is>
      </c>
      <c r="J624" t="inlineStr"/>
      <c r="K624" t="inlineStr"/>
      <c r="L624" t="inlineStr"/>
      <c r="M624" t="inlineStr"/>
      <c r="N624" t="inlineStr"/>
      <c r="O624">
        <f>(1-Summary!$B$11)*T624+Summary!$B$11*V624</f>
        <v/>
      </c>
      <c r="P624">
        <f>IF(B653=0,0,O624/B653)</f>
        <v/>
      </c>
      <c r="Q624" t="n">
        <v>0</v>
      </c>
      <c r="R624" t="n">
        <v>0</v>
      </c>
      <c r="S624" t="n">
        <v>0</v>
      </c>
      <c r="T624" t="n">
        <v>0</v>
      </c>
      <c r="V624" t="n">
        <v>0</v>
      </c>
    </row>
    <row r="625">
      <c r="A625">
        <f>Skills!A14</f>
        <v/>
      </c>
      <c r="B625">
        <f>Skills!B14</f>
        <v/>
      </c>
      <c r="C625">
        <f>Inputs!$B$3&gt;=74</f>
        <v/>
      </c>
      <c r="D625">
        <f>IF(Skills!C14=1,60+Inputs!$B$25+Inputs!$B$29,IF(Skills!C14=2,90+Inputs!$B$26+Inputs!$B$29,IF(Skills!C14=3,120+Inputs!$B$27+Inputs!$B$29,MAX(0,(Inputs!$B$3-100)*3)+Inputs!$B$28+Inputs!$B$29)))</f>
        <v/>
      </c>
      <c r="E625">
        <f>INDEX(FactorTable!$B$2:$Y$301, MATCH(ROUND(MIN(300,MAX(1,D625)),0), FactorTable!$A$2:$A$301,0), Skills!M14+1)</f>
        <v/>
      </c>
      <c r="F625">
        <f>IF(Skills!N14=TRUE,(Skills!L14/10)*(E625/1000),Skills!L14/10)+Skills!O14</f>
        <v/>
      </c>
      <c r="G625">
        <f>Skills!G14*IF(Skills!H14&gt;0,Skills!I14/Skills!H14,1)</f>
        <v/>
      </c>
      <c r="H625">
        <f>1-(1-Skills!J14/100)^Skills!K14</f>
        <v/>
      </c>
      <c r="I625" t="inlineStr">
        <is>
          <t>1</t>
        </is>
      </c>
      <c r="J625" t="inlineStr"/>
      <c r="K625" t="inlineStr"/>
      <c r="L625" t="inlineStr"/>
      <c r="M625" t="inlineStr"/>
      <c r="N625" t="inlineStr"/>
      <c r="O625">
        <f>(1-Summary!$B$11)*T625+Summary!$B$11*V625</f>
        <v/>
      </c>
      <c r="P625">
        <f>IF(B653=0,0,O625/B653)</f>
        <v/>
      </c>
      <c r="Q625" t="n">
        <v>0</v>
      </c>
      <c r="R625" t="n">
        <v>0</v>
      </c>
      <c r="S625" t="n">
        <v>0</v>
      </c>
      <c r="T625" t="n">
        <v>0</v>
      </c>
      <c r="V625" t="n">
        <v>0</v>
      </c>
    </row>
    <row r="626">
      <c r="A626">
        <f>Skills!A15</f>
        <v/>
      </c>
      <c r="B626">
        <f>Skills!B15</f>
        <v/>
      </c>
      <c r="C626">
        <f>Inputs!$B$3&gt;=117</f>
        <v/>
      </c>
      <c r="D626">
        <f>IF(Skills!C15=1,60+Inputs!$B$25+Inputs!$B$29,IF(Skills!C15=2,90+Inputs!$B$26+Inputs!$B$29,IF(Skills!C15=3,120+Inputs!$B$27+Inputs!$B$29,MAX(0,(Inputs!$B$3-100)*3)+Inputs!$B$28+Inputs!$B$29)))</f>
        <v/>
      </c>
      <c r="E626">
        <f>INDEX(FactorTable!$B$2:$Y$301, MATCH(ROUND(MIN(300,MAX(1,D626)),0), FactorTable!$A$2:$A$301,0), Skills!M15+1)</f>
        <v/>
      </c>
      <c r="F626">
        <f>IF(Skills!N15=TRUE,(Skills!L15/10)*(E626/1000),Skills!L15/10)+Skills!O15</f>
        <v/>
      </c>
      <c r="G626">
        <f>Skills!G15*IF(Skills!H15&gt;0,Skills!I15/Skills!H15,1)</f>
        <v/>
      </c>
      <c r="H626">
        <f>1-(1-Skills!J15/100)^Skills!K15</f>
        <v/>
      </c>
      <c r="I626" t="inlineStr">
        <is>
          <t>1</t>
        </is>
      </c>
      <c r="J626" t="inlineStr"/>
      <c r="K626" t="inlineStr"/>
      <c r="L626" t="inlineStr"/>
      <c r="M626" t="inlineStr"/>
      <c r="N626" t="inlineStr"/>
      <c r="O626">
        <f>(1-Summary!$B$11)*T626+Summary!$B$11*V626</f>
        <v/>
      </c>
      <c r="P626">
        <f>IF(B653=0,0,O626/B653)</f>
        <v/>
      </c>
      <c r="Q626">
        <f>IFERROR(1/IF(Inputs!$B$38="pvp",15,MAX(0.1,Skills!D15-IF(Skills!E15=TRUE,Inputs!$B$32,0))),0)</f>
        <v/>
      </c>
      <c r="R626">
        <f>IF(AND(Inputs!$B$38&lt;&gt;"pvp",Inputs!$B$43&gt;0),IF(Inputs!$B$43&lt;=0,0,(INT(Inputs!$B$43/IF(Inputs!$B$38="pvp",15,MAX(0.1,Skills!D15-IF(Skills!E15=TRUE,Inputs!$B$32,0))))+1)),0)</f>
        <v/>
      </c>
      <c r="S626" t="n">
        <v>0</v>
      </c>
      <c r="T626" t="n">
        <v>0</v>
      </c>
      <c r="V626" t="n">
        <v>0</v>
      </c>
    </row>
    <row r="627">
      <c r="A627">
        <f>Skills!A16</f>
        <v/>
      </c>
      <c r="B627">
        <f>Skills!B16</f>
        <v/>
      </c>
      <c r="C627">
        <f>Inputs!$B$3&gt;=115</f>
        <v/>
      </c>
      <c r="D627">
        <f>IF(Skills!C16=1,60+Inputs!$B$25+Inputs!$B$29,IF(Skills!C16=2,90+Inputs!$B$26+Inputs!$B$29,IF(Skills!C16=3,120+Inputs!$B$27+Inputs!$B$29,MAX(0,(Inputs!$B$3-100)*3)+Inputs!$B$28+Inputs!$B$29)))</f>
        <v/>
      </c>
      <c r="E627">
        <f>INDEX(FactorTable!$B$2:$Y$301, MATCH(ROUND(MIN(300,MAX(1,D627)),0), FactorTable!$A$2:$A$301,0), Skills!M16+1)</f>
        <v/>
      </c>
      <c r="F627">
        <f>IF(Skills!N16=TRUE,(Skills!L16/10)*(E627/1000),Skills!L16/10)+Skills!O16</f>
        <v/>
      </c>
      <c r="G627">
        <f>Skills!G16*IF(Skills!H16&gt;0,Skills!I16/Skills!H16,1)</f>
        <v/>
      </c>
      <c r="H627">
        <f>1-(1-Skills!J16/100)^Skills!K16</f>
        <v/>
      </c>
      <c r="I627" t="inlineStr">
        <is>
          <t>1</t>
        </is>
      </c>
      <c r="J627" t="inlineStr"/>
      <c r="K627" t="inlineStr"/>
      <c r="L627" t="inlineStr"/>
      <c r="M627" t="inlineStr"/>
      <c r="N627" t="inlineStr"/>
      <c r="O627">
        <f>(1-Summary!$B$11)*T627+Summary!$B$11*V627</f>
        <v/>
      </c>
      <c r="P627">
        <f>IF(B653=0,0,O627/B653)</f>
        <v/>
      </c>
      <c r="Q627">
        <f>IFERROR(1/IF(Inputs!$B$38="pvp",15,MAX(0.1,Skills!D16-IF(Skills!E16=TRUE,Inputs!$B$32,0))),0)</f>
        <v/>
      </c>
      <c r="R627">
        <f>IF(AND(Inputs!$B$38&lt;&gt;"pvp",Inputs!$B$43&gt;0),IF(Inputs!$B$43&lt;=0,0,(INT(Inputs!$B$43/IF(Inputs!$B$38="pvp",15,MAX(0.1,Skills!D16-IF(Skills!E16=TRUE,Inputs!$B$32,0))))+1)),0)</f>
        <v/>
      </c>
      <c r="S627" t="n">
        <v>0</v>
      </c>
      <c r="T627" t="n">
        <v>0</v>
      </c>
      <c r="V627" t="n">
        <v>0</v>
      </c>
    </row>
    <row r="628">
      <c r="A628">
        <f>Skills!A17</f>
        <v/>
      </c>
      <c r="B628">
        <f>Skills!B17</f>
        <v/>
      </c>
      <c r="C628">
        <f>Inputs!$B$3&gt;=72</f>
        <v/>
      </c>
      <c r="D628">
        <f>IF(Skills!C17=1,60+Inputs!$B$25+Inputs!$B$29,IF(Skills!C17=2,90+Inputs!$B$26+Inputs!$B$29,IF(Skills!C17=3,120+Inputs!$B$27+Inputs!$B$29,MAX(0,(Inputs!$B$3-100)*3)+Inputs!$B$28+Inputs!$B$29)))</f>
        <v/>
      </c>
      <c r="E628">
        <f>INDEX(FactorTable!$B$2:$Y$301, MATCH(ROUND(MIN(300,MAX(1,D628)),0), FactorTable!$A$2:$A$301,0), Skills!M17+1)</f>
        <v/>
      </c>
      <c r="F628">
        <f>IF(Skills!N17=TRUE,(Skills!L17/10)*(E628/1000),Skills!L17/10)+Skills!O17</f>
        <v/>
      </c>
      <c r="G628">
        <f>Skills!G17*IF(Skills!H17&gt;0,Skills!I17/Skills!H17,1)</f>
        <v/>
      </c>
      <c r="H628">
        <f>1-(1-Skills!J17/100)^Skills!K17</f>
        <v/>
      </c>
      <c r="I628" t="inlineStr">
        <is>
          <t>1</t>
        </is>
      </c>
      <c r="J628" t="inlineStr"/>
      <c r="K628" t="inlineStr"/>
      <c r="L628" t="inlineStr"/>
      <c r="M628" t="inlineStr"/>
      <c r="N628" t="inlineStr"/>
      <c r="O628">
        <f>(1-Summary!$B$11)*T628+Summary!$B$11*V628</f>
        <v/>
      </c>
      <c r="P628">
        <f>IF(B653=0,0,O628/B653)</f>
        <v/>
      </c>
      <c r="Q628" t="n">
        <v>0</v>
      </c>
      <c r="R628" t="n">
        <v>0</v>
      </c>
      <c r="S628" t="n">
        <v>0</v>
      </c>
      <c r="T628" t="n">
        <v>0</v>
      </c>
      <c r="V628" t="n">
        <v>0</v>
      </c>
    </row>
    <row r="629">
      <c r="A629">
        <f>Skills!A18</f>
        <v/>
      </c>
      <c r="B629">
        <f>Skills!B18</f>
        <v/>
      </c>
      <c r="C629">
        <f>TRUE</f>
        <v/>
      </c>
      <c r="D629">
        <f>IF(Skills!C18=1,60+Inputs!$B$25+Inputs!$B$29,IF(Skills!C18=2,90+Inputs!$B$26+Inputs!$B$29,IF(Skills!C18=3,120+Inputs!$B$27+Inputs!$B$29,MAX(0,(Inputs!$B$3-100)*3)+Inputs!$B$28+Inputs!$B$29)))</f>
        <v/>
      </c>
      <c r="E629">
        <f>INDEX(FactorTable!$B$2:$Y$301, MATCH(ROUND(MIN(300,MAX(1,D629)),0), FactorTable!$A$2:$A$301,0), Skills!M18+1)</f>
        <v/>
      </c>
      <c r="F629">
        <f>IF(Skills!N18=TRUE,(Skills!L18/10)*(E629/1000),Skills!L18/10)+Skills!O18</f>
        <v/>
      </c>
      <c r="G629">
        <f>Skills!G18*IF(Skills!H18&gt;0,Skills!I18/Skills!H18,1)</f>
        <v/>
      </c>
      <c r="H629">
        <f>1-(1-Skills!J18/100)^Skills!K18</f>
        <v/>
      </c>
      <c r="I629" t="inlineStr">
        <is>
          <t>1</t>
        </is>
      </c>
      <c r="J629" t="inlineStr"/>
      <c r="K629" t="inlineStr"/>
      <c r="L629" t="inlineStr"/>
      <c r="M629" t="inlineStr"/>
      <c r="N629" t="inlineStr"/>
      <c r="O629">
        <f>(1-Summary!$B$11)*T629+Summary!$B$11*V629</f>
        <v/>
      </c>
      <c r="P629">
        <f>IF(B653=0,0,O629/B653)</f>
        <v/>
      </c>
      <c r="Q629">
        <f>IFERROR(1/IF(Inputs!$B$38="pvp",15,MAX(0.1,Skills!D18-IF(Skills!E18=TRUE,Inputs!$B$32,0))),0)</f>
        <v/>
      </c>
      <c r="R629">
        <f>IF(AND(Inputs!$B$38&lt;&gt;"pvp",Inputs!$B$43&gt;0),IF(Inputs!$B$43&lt;=0,0,(INT(Inputs!$B$43/IF(Inputs!$B$38="pvp",15,MAX(0.1,Skills!D18-IF(Skills!E18=TRUE,Inputs!$B$32,0))))+1)),0)</f>
        <v/>
      </c>
      <c r="S629" t="n">
        <v>0</v>
      </c>
      <c r="T629" t="n">
        <v>0</v>
      </c>
      <c r="V629" t="n">
        <v>0</v>
      </c>
    </row>
    <row r="630">
      <c r="A630">
        <f>Skills!A19</f>
        <v/>
      </c>
      <c r="B630">
        <f>Skills!B19</f>
        <v/>
      </c>
      <c r="C630">
        <f>Inputs!$B$3&gt;=15</f>
        <v/>
      </c>
      <c r="D630">
        <f>IF(Skills!C19=1,60+Inputs!$B$25+Inputs!$B$29,IF(Skills!C19=2,90+Inputs!$B$26+Inputs!$B$29,IF(Skills!C19=3,120+Inputs!$B$27+Inputs!$B$29,MAX(0,(Inputs!$B$3-100)*3)+Inputs!$B$28+Inputs!$B$29)))</f>
        <v/>
      </c>
      <c r="E630">
        <f>INDEX(FactorTable!$B$2:$Y$301, MATCH(ROUND(MIN(300,MAX(1,D630)),0), FactorTable!$A$2:$A$301,0), Skills!M19+1)</f>
        <v/>
      </c>
      <c r="F630">
        <f>IF(Skills!N19=TRUE,(Skills!L19/10)*(E630/1000),Skills!L19/10)+Skills!O19</f>
        <v/>
      </c>
      <c r="G630">
        <f>Skills!G19*IF(Skills!H19&gt;0,Skills!I19/Skills!H19,1)</f>
        <v/>
      </c>
      <c r="H630">
        <f>1-(1-Skills!J19/100)^Skills!K19</f>
        <v/>
      </c>
      <c r="I630" t="inlineStr">
        <is>
          <t>1</t>
        </is>
      </c>
      <c r="J630" t="inlineStr"/>
      <c r="K630" t="inlineStr"/>
      <c r="L630" t="inlineStr"/>
      <c r="M630" t="inlineStr"/>
      <c r="N630" t="inlineStr"/>
      <c r="O630">
        <f>(1-Summary!$B$11)*T630+Summary!$B$11*V630</f>
        <v/>
      </c>
      <c r="P630">
        <f>IF(B653=0,0,O630/B653)</f>
        <v/>
      </c>
      <c r="Q630" t="n">
        <v>0</v>
      </c>
      <c r="R630" t="n">
        <v>0</v>
      </c>
      <c r="S630" t="n">
        <v>0</v>
      </c>
      <c r="T630" t="n">
        <v>0</v>
      </c>
      <c r="V630" t="n">
        <v>0</v>
      </c>
    </row>
    <row r="631">
      <c r="A631">
        <f>Skills!A20</f>
        <v/>
      </c>
      <c r="B631">
        <f>Skills!B20</f>
        <v/>
      </c>
      <c r="C631">
        <f>Inputs!$B$3&gt;=10</f>
        <v/>
      </c>
      <c r="D631">
        <f>IF(Skills!C20=1,60+Inputs!$B$25+Inputs!$B$29,IF(Skills!C20=2,90+Inputs!$B$26+Inputs!$B$29,IF(Skills!C20=3,120+Inputs!$B$27+Inputs!$B$29,MAX(0,(Inputs!$B$3-100)*3)+Inputs!$B$28+Inputs!$B$29)))</f>
        <v/>
      </c>
      <c r="E631">
        <f>INDEX(FactorTable!$B$2:$Y$301, MATCH(ROUND(MIN(300,MAX(1,D631)),0), FactorTable!$A$2:$A$301,0), Skills!M20+1)</f>
        <v/>
      </c>
      <c r="F631">
        <f>IF(Skills!N20=TRUE,(Skills!L20/10)*(E631/1000),Skills!L20/10)+Skills!O20</f>
        <v/>
      </c>
      <c r="G631">
        <f>Skills!G20*IF(Skills!H20&gt;0,Skills!I20/Skills!H20,1)</f>
        <v/>
      </c>
      <c r="H631">
        <f>1-(1-Skills!J20/100)^Skills!K20</f>
        <v/>
      </c>
      <c r="I631" t="inlineStr">
        <is>
          <t>1</t>
        </is>
      </c>
      <c r="J631" t="inlineStr"/>
      <c r="K631" t="inlineStr"/>
      <c r="L631" t="inlineStr"/>
      <c r="M631" t="inlineStr"/>
      <c r="N631" t="inlineStr"/>
      <c r="O631">
        <f>(1-Summary!$B$11)*T631+Summary!$B$11*V631</f>
        <v/>
      </c>
      <c r="P631">
        <f>IF(B653=0,0,O631/B653)</f>
        <v/>
      </c>
      <c r="Q631" t="n">
        <v>0</v>
      </c>
      <c r="R631" t="n">
        <v>0</v>
      </c>
      <c r="S631" t="n">
        <v>0</v>
      </c>
      <c r="T631" t="n">
        <v>0</v>
      </c>
      <c r="V631" t="n">
        <v>0</v>
      </c>
    </row>
    <row r="632">
      <c r="A632">
        <f>Skills!A21</f>
        <v/>
      </c>
      <c r="B632">
        <f>Skills!B21</f>
        <v/>
      </c>
      <c r="C632">
        <f>Inputs!$B$3&gt;=33</f>
        <v/>
      </c>
      <c r="D632">
        <f>IF(Skills!C21=1,60+Inputs!$B$25+Inputs!$B$29,IF(Skills!C21=2,90+Inputs!$B$26+Inputs!$B$29,IF(Skills!C21=3,120+Inputs!$B$27+Inputs!$B$29,MAX(0,(Inputs!$B$3-100)*3)+Inputs!$B$28+Inputs!$B$29)))</f>
        <v/>
      </c>
      <c r="E632">
        <f>INDEX(FactorTable!$B$2:$Y$301, MATCH(ROUND(MIN(300,MAX(1,D632)),0), FactorTable!$A$2:$A$301,0), Skills!M21+1)</f>
        <v/>
      </c>
      <c r="F632">
        <f>IF(Skills!N21=TRUE,(Skills!L21/10)*(E632/1000),Skills!L21/10)+Skills!O21</f>
        <v/>
      </c>
      <c r="G632">
        <f>Skills!G21*IF(Skills!H21&gt;0,Skills!I21/Skills!H21,1)</f>
        <v/>
      </c>
      <c r="H632">
        <f>1-(1-Skills!J21/100)^Skills!K21</f>
        <v/>
      </c>
      <c r="I632" t="inlineStr">
        <is>
          <t>1</t>
        </is>
      </c>
      <c r="J632" t="inlineStr"/>
      <c r="K632" t="inlineStr"/>
      <c r="L632" t="inlineStr"/>
      <c r="M632" t="inlineStr"/>
      <c r="N632" t="inlineStr"/>
      <c r="O632">
        <f>(1-Summary!$B$11)*T632+Summary!$B$11*V632</f>
        <v/>
      </c>
      <c r="P632">
        <f>IF(B653=0,0,O632/B653)</f>
        <v/>
      </c>
      <c r="Q632" t="n">
        <v>0</v>
      </c>
      <c r="R632" t="n">
        <v>0</v>
      </c>
      <c r="S632" t="n">
        <v>0</v>
      </c>
      <c r="T632" t="n">
        <v>0</v>
      </c>
      <c r="V632" t="n">
        <v>0</v>
      </c>
    </row>
    <row r="633">
      <c r="A633">
        <f>Skills!A22</f>
        <v/>
      </c>
      <c r="B633">
        <f>Skills!B22</f>
        <v/>
      </c>
      <c r="C633">
        <f>Inputs!$B$3&gt;=38</f>
        <v/>
      </c>
      <c r="D633">
        <f>IF(Skills!C22=1,60+Inputs!$B$25+Inputs!$B$29,IF(Skills!C22=2,90+Inputs!$B$26+Inputs!$B$29,IF(Skills!C22=3,120+Inputs!$B$27+Inputs!$B$29,MAX(0,(Inputs!$B$3-100)*3)+Inputs!$B$28+Inputs!$B$29)))</f>
        <v/>
      </c>
      <c r="E633">
        <f>INDEX(FactorTable!$B$2:$Y$301, MATCH(ROUND(MIN(300,MAX(1,D633)),0), FactorTable!$A$2:$A$301,0), Skills!M22+1)</f>
        <v/>
      </c>
      <c r="F633">
        <f>IF(Skills!N22=TRUE,(Skills!L22/10)*(E633/1000),Skills!L22/10)+Skills!O22</f>
        <v/>
      </c>
      <c r="G633">
        <f>Skills!G22*IF(Skills!H22&gt;0,Skills!I22/Skills!H22,1)</f>
        <v/>
      </c>
      <c r="H633">
        <f>1-(1-Skills!J22/100)^Skills!K22</f>
        <v/>
      </c>
      <c r="I633" t="inlineStr">
        <is>
          <t>1</t>
        </is>
      </c>
      <c r="J633" t="inlineStr"/>
      <c r="K633" t="inlineStr"/>
      <c r="L633" t="inlineStr"/>
      <c r="M633" t="inlineStr"/>
      <c r="N633" t="inlineStr"/>
      <c r="O633">
        <f>(1-Summary!$B$11)*T633+Summary!$B$11*V633</f>
        <v/>
      </c>
      <c r="P633">
        <f>IF(B653=0,0,O633/B653)</f>
        <v/>
      </c>
      <c r="Q633" t="n">
        <v>0</v>
      </c>
      <c r="R633" t="n">
        <v>0</v>
      </c>
      <c r="S633" t="n">
        <v>0</v>
      </c>
      <c r="T633" t="n">
        <v>0</v>
      </c>
      <c r="V633" t="n">
        <v>0</v>
      </c>
    </row>
    <row r="634">
      <c r="A634">
        <f>Skills!A23</f>
        <v/>
      </c>
      <c r="B634">
        <f>Skills!B23</f>
        <v/>
      </c>
      <c r="C634">
        <f>Inputs!$B$3&gt;=43</f>
        <v/>
      </c>
      <c r="D634">
        <f>IF(Skills!C23=1,60+Inputs!$B$25+Inputs!$B$29,IF(Skills!C23=2,90+Inputs!$B$26+Inputs!$B$29,IF(Skills!C23=3,120+Inputs!$B$27+Inputs!$B$29,MAX(0,(Inputs!$B$3-100)*3)+Inputs!$B$28+Inputs!$B$29)))</f>
        <v/>
      </c>
      <c r="E634">
        <f>INDEX(FactorTable!$B$2:$Y$301, MATCH(ROUND(MIN(300,MAX(1,D634)),0), FactorTable!$A$2:$A$301,0), Skills!M23+1)</f>
        <v/>
      </c>
      <c r="F634">
        <f>IF(Skills!N23=TRUE,(Skills!L23/10)*(E634/1000),Skills!L23/10)+Skills!O23</f>
        <v/>
      </c>
      <c r="G634">
        <f>Skills!G23*IF(Skills!H23&gt;0,Skills!I23/Skills!H23,1)</f>
        <v/>
      </c>
      <c r="H634">
        <f>1-(1-Skills!J23/100)^Skills!K23</f>
        <v/>
      </c>
      <c r="I634" t="inlineStr">
        <is>
          <t>1</t>
        </is>
      </c>
      <c r="J634" t="inlineStr"/>
      <c r="K634" t="inlineStr"/>
      <c r="L634" t="inlineStr"/>
      <c r="M634" t="inlineStr"/>
      <c r="N634" t="inlineStr"/>
      <c r="O634">
        <f>(1-Summary!$B$11)*T634+Summary!$B$11*V634</f>
        <v/>
      </c>
      <c r="P634">
        <f>IF(B653=0,0,O634/B653)</f>
        <v/>
      </c>
      <c r="Q634" t="n">
        <v>0</v>
      </c>
      <c r="R634" t="n">
        <v>0</v>
      </c>
      <c r="S634" t="n">
        <v>0</v>
      </c>
      <c r="T634" t="n">
        <v>0</v>
      </c>
      <c r="V634" t="n">
        <v>0</v>
      </c>
    </row>
    <row r="635">
      <c r="A635">
        <f>Skills!A24</f>
        <v/>
      </c>
      <c r="B635">
        <f>Skills!B24</f>
        <v/>
      </c>
      <c r="C635">
        <f>Inputs!$B$3&gt;=75</f>
        <v/>
      </c>
      <c r="D635">
        <f>IF(Skills!C24=1,60+Inputs!$B$25+Inputs!$B$29,IF(Skills!C24=2,90+Inputs!$B$26+Inputs!$B$29,IF(Skills!C24=3,120+Inputs!$B$27+Inputs!$B$29,MAX(0,(Inputs!$B$3-100)*3)+Inputs!$B$28+Inputs!$B$29)))</f>
        <v/>
      </c>
      <c r="E635">
        <f>INDEX(FactorTable!$B$2:$Y$301, MATCH(ROUND(MIN(300,MAX(1,D635)),0), FactorTable!$A$2:$A$301,0), Skills!M24+1)</f>
        <v/>
      </c>
      <c r="F635">
        <f>IF(Skills!N24=TRUE,(Skills!L24/10)*(E635/1000),Skills!L24/10)+Skills!O24</f>
        <v/>
      </c>
      <c r="G635">
        <f>Skills!G24*IF(Skills!H24&gt;0,Skills!I24/Skills!H24,1)</f>
        <v/>
      </c>
      <c r="H635">
        <f>1-(1-Skills!J24/100)^Skills!K24</f>
        <v/>
      </c>
      <c r="I635" t="inlineStr">
        <is>
          <t>1</t>
        </is>
      </c>
      <c r="J635" t="inlineStr"/>
      <c r="K635" t="inlineStr"/>
      <c r="L635" t="inlineStr"/>
      <c r="M635" t="inlineStr"/>
      <c r="N635" t="inlineStr"/>
      <c r="O635">
        <f>(1-Summary!$B$11)*T635+Summary!$B$11*V635</f>
        <v/>
      </c>
      <c r="P635">
        <f>IF(B653=0,0,O635/B653)</f>
        <v/>
      </c>
      <c r="Q635" t="n">
        <v>0</v>
      </c>
      <c r="R635" t="n">
        <v>0</v>
      </c>
      <c r="S635" t="n">
        <v>0</v>
      </c>
      <c r="T635" t="n">
        <v>0</v>
      </c>
      <c r="V635" t="n">
        <v>0</v>
      </c>
    </row>
    <row r="636">
      <c r="A636">
        <f>Skills!A25</f>
        <v/>
      </c>
      <c r="B636">
        <f>Skills!B25</f>
        <v/>
      </c>
      <c r="C636">
        <f>Inputs!$B$3&gt;=125</f>
        <v/>
      </c>
      <c r="D636">
        <f>IF(Skills!C25=1,60+Inputs!$B$25+Inputs!$B$29,IF(Skills!C25=2,90+Inputs!$B$26+Inputs!$B$29,IF(Skills!C25=3,120+Inputs!$B$27+Inputs!$B$29,MAX(0,(Inputs!$B$3-100)*3)+Inputs!$B$28+Inputs!$B$29)))</f>
        <v/>
      </c>
      <c r="E636">
        <f>INDEX(FactorTable!$B$2:$Y$301, MATCH(ROUND(MIN(300,MAX(1,D636)),0), FactorTable!$A$2:$A$301,0), Skills!M25+1)</f>
        <v/>
      </c>
      <c r="F636">
        <f>IF(Skills!N25=TRUE,(Skills!L25/10)*(E636/1000),Skills!L25/10)+Skills!O25</f>
        <v/>
      </c>
      <c r="G636">
        <f>Skills!G25*IF(Skills!H25&gt;0,Skills!I25/Skills!H25,1)</f>
        <v/>
      </c>
      <c r="H636">
        <f>1-(1-Skills!J25/100)^Skills!K25</f>
        <v/>
      </c>
      <c r="I636" t="inlineStr">
        <is>
          <t>1</t>
        </is>
      </c>
      <c r="J636" t="inlineStr"/>
      <c r="K636" t="inlineStr"/>
      <c r="L636" t="inlineStr"/>
      <c r="M636" t="inlineStr"/>
      <c r="N636" t="inlineStr"/>
      <c r="O636">
        <f>(1-Summary!$B$11)*T636+Summary!$B$11*V636</f>
        <v/>
      </c>
      <c r="P636">
        <f>IF(B653=0,0,O636/B653)</f>
        <v/>
      </c>
      <c r="Q636" t="n">
        <v>0</v>
      </c>
      <c r="R636" t="n">
        <v>0</v>
      </c>
      <c r="S636" t="n">
        <v>0</v>
      </c>
      <c r="T636" t="n">
        <v>0</v>
      </c>
      <c r="V636" t="n">
        <v>0</v>
      </c>
    </row>
    <row r="637">
      <c r="A637">
        <f>Skills!A26</f>
        <v/>
      </c>
      <c r="B637">
        <f>Skills!B26</f>
        <v/>
      </c>
      <c r="C637">
        <f>Inputs!$B$3&gt;=125</f>
        <v/>
      </c>
      <c r="D637">
        <f>IF(Skills!C26=1,60+Inputs!$B$25+Inputs!$B$29,IF(Skills!C26=2,90+Inputs!$B$26+Inputs!$B$29,IF(Skills!C26=3,120+Inputs!$B$27+Inputs!$B$29,MAX(0,(Inputs!$B$3-100)*3)+Inputs!$B$28+Inputs!$B$29)))</f>
        <v/>
      </c>
      <c r="E637">
        <f>INDEX(FactorTable!$B$2:$Y$301, MATCH(ROUND(MIN(300,MAX(1,D637)),0), FactorTable!$A$2:$A$301,0), Skills!M26+1)</f>
        <v/>
      </c>
      <c r="F637">
        <f>IF(Skills!N26=TRUE,(Skills!L26/10)*(E637/1000),Skills!L26/10)+Skills!O26</f>
        <v/>
      </c>
      <c r="G637">
        <f>Skills!G26*IF(Skills!H26&gt;0,Skills!I26/Skills!H26,1)</f>
        <v/>
      </c>
      <c r="H637">
        <f>1-(1-Skills!J26/100)^Skills!K26</f>
        <v/>
      </c>
      <c r="I637" t="inlineStr">
        <is>
          <t>1</t>
        </is>
      </c>
      <c r="J637" t="inlineStr"/>
      <c r="K637" t="inlineStr"/>
      <c r="L637" t="inlineStr"/>
      <c r="M637" t="inlineStr"/>
      <c r="N637" t="inlineStr"/>
      <c r="O637">
        <f>(1-Summary!$B$11)*T637+Summary!$B$11*V637</f>
        <v/>
      </c>
      <c r="P637">
        <f>IF(B653=0,0,O637/B653)</f>
        <v/>
      </c>
      <c r="Q637" t="n">
        <v>0</v>
      </c>
      <c r="R637" t="n">
        <v>0</v>
      </c>
      <c r="S637" t="n">
        <v>0</v>
      </c>
      <c r="T637" t="n">
        <v>0</v>
      </c>
      <c r="V637" t="n">
        <v>0</v>
      </c>
    </row>
    <row r="638">
      <c r="A638">
        <f>Skills!A27</f>
        <v/>
      </c>
      <c r="B638">
        <f>Skills!B27</f>
        <v/>
      </c>
      <c r="C638">
        <f>Inputs!$B$3&gt;=120</f>
        <v/>
      </c>
      <c r="D638">
        <f>IF(Skills!C27=1,60+Inputs!$B$25+Inputs!$B$29,IF(Skills!C27=2,90+Inputs!$B$26+Inputs!$B$29,IF(Skills!C27=3,120+Inputs!$B$27+Inputs!$B$29,MAX(0,(Inputs!$B$3-100)*3)+Inputs!$B$28+Inputs!$B$29)))</f>
        <v/>
      </c>
      <c r="E638">
        <f>INDEX(FactorTable!$B$2:$Y$301, MATCH(ROUND(MIN(300,MAX(1,D638)),0), FactorTable!$A$2:$A$301,0), Skills!M27+1)</f>
        <v/>
      </c>
      <c r="F638">
        <f>IF(Skills!N27=TRUE,(Skills!L27/10)*(E638/1000),Skills!L27/10)+Skills!O27</f>
        <v/>
      </c>
      <c r="G638">
        <f>Skills!G27*IF(Skills!H27&gt;0,Skills!I27/Skills!H27,1)</f>
        <v/>
      </c>
      <c r="H638">
        <f>1-(1-Skills!J27/100)^Skills!K27</f>
        <v/>
      </c>
      <c r="I638" t="inlineStr">
        <is>
          <t>1</t>
        </is>
      </c>
      <c r="J638" t="inlineStr"/>
      <c r="K638" t="inlineStr"/>
      <c r="L638" t="inlineStr"/>
      <c r="M638" t="inlineStr"/>
      <c r="N638" t="inlineStr"/>
      <c r="O638">
        <f>(1-Summary!$B$11)*T638+Summary!$B$11*V638</f>
        <v/>
      </c>
      <c r="P638">
        <f>IF(B653=0,0,O638/B653)</f>
        <v/>
      </c>
      <c r="Q638" t="n">
        <v>0</v>
      </c>
      <c r="R638" t="n">
        <v>0</v>
      </c>
      <c r="S638" t="n">
        <v>0</v>
      </c>
      <c r="T638" t="n">
        <v>0</v>
      </c>
      <c r="V638" t="n">
        <v>0</v>
      </c>
    </row>
    <row r="639">
      <c r="A639">
        <f>Skills!A28</f>
        <v/>
      </c>
      <c r="B639">
        <f>Skills!B28</f>
        <v/>
      </c>
      <c r="C639">
        <f>Inputs!$B$3&gt;=120</f>
        <v/>
      </c>
      <c r="D639">
        <f>IF(Skills!C28=1,60+Inputs!$B$25+Inputs!$B$29,IF(Skills!C28=2,90+Inputs!$B$26+Inputs!$B$29,IF(Skills!C28=3,120+Inputs!$B$27+Inputs!$B$29,MAX(0,(Inputs!$B$3-100)*3)+Inputs!$B$28+Inputs!$B$29)))</f>
        <v/>
      </c>
      <c r="E639">
        <f>INDEX(FactorTable!$B$2:$Y$301, MATCH(ROUND(MIN(300,MAX(1,D639)),0), FactorTable!$A$2:$A$301,0), Skills!M28+1)</f>
        <v/>
      </c>
      <c r="F639">
        <f>IF(Skills!N28=TRUE,(Skills!L28/10)*(E639/1000),Skills!L28/10)+Skills!O28</f>
        <v/>
      </c>
      <c r="G639">
        <f>Skills!G28*IF(Skills!H28&gt;0,Skills!I28/Skills!H28,1)</f>
        <v/>
      </c>
      <c r="H639">
        <f>1-(1-Skills!J28/100)^Skills!K28</f>
        <v/>
      </c>
      <c r="I639" t="inlineStr">
        <is>
          <t>1</t>
        </is>
      </c>
      <c r="J639" t="inlineStr"/>
      <c r="K639" t="inlineStr"/>
      <c r="L639" t="inlineStr"/>
      <c r="M639" t="inlineStr"/>
      <c r="N639" t="inlineStr"/>
      <c r="O639">
        <f>(1-Summary!$B$11)*T639+Summary!$B$11*V639</f>
        <v/>
      </c>
      <c r="P639">
        <f>IF(B653=0,0,O639/B653)</f>
        <v/>
      </c>
      <c r="Q639" t="n">
        <v>0</v>
      </c>
      <c r="R639" t="n">
        <v>0</v>
      </c>
      <c r="S639" t="n">
        <v>0</v>
      </c>
      <c r="T639" t="n">
        <v>0</v>
      </c>
      <c r="V639" t="n">
        <v>0</v>
      </c>
    </row>
    <row r="640">
      <c r="A640">
        <f>Skills!A29</f>
        <v/>
      </c>
      <c r="B640">
        <f>Skills!B29</f>
        <v/>
      </c>
      <c r="C640">
        <f>Inputs!$B$3&gt;=45</f>
        <v/>
      </c>
      <c r="D640">
        <f>IF(Skills!C29=1,60+Inputs!$B$25+Inputs!$B$29,IF(Skills!C29=2,90+Inputs!$B$26+Inputs!$B$29,IF(Skills!C29=3,120+Inputs!$B$27+Inputs!$B$29,MAX(0,(Inputs!$B$3-100)*3)+Inputs!$B$28+Inputs!$B$29)))</f>
        <v/>
      </c>
      <c r="E640">
        <f>INDEX(FactorTable!$B$2:$Y$301, MATCH(ROUND(MIN(300,MAX(1,D640)),0), FactorTable!$A$2:$A$301,0), Skills!M29+1)</f>
        <v/>
      </c>
      <c r="F640">
        <f>IF(Skills!N29=TRUE,(Skills!L29/10)*(E640/1000),Skills!L29/10)+Skills!O29</f>
        <v/>
      </c>
      <c r="G640">
        <f>Skills!G29*IF(Skills!H29&gt;0,Skills!I29/Skills!H29,1)</f>
        <v/>
      </c>
      <c r="H640">
        <f>1-(1-Skills!J29/100)^Skills!K29</f>
        <v/>
      </c>
      <c r="I640" t="inlineStr">
        <is>
          <t>1</t>
        </is>
      </c>
      <c r="J640" t="inlineStr"/>
      <c r="K640" t="inlineStr"/>
      <c r="L640" t="inlineStr"/>
      <c r="M640" t="inlineStr"/>
      <c r="N640" t="inlineStr"/>
      <c r="O640">
        <f>(1-Summary!$B$11)*T640+Summary!$B$11*V640</f>
        <v/>
      </c>
      <c r="P640">
        <f>IF(B653=0,0,O640/B653)</f>
        <v/>
      </c>
      <c r="Q640" t="n">
        <v>0</v>
      </c>
      <c r="R640" t="n">
        <v>0</v>
      </c>
      <c r="S640" t="n">
        <v>0</v>
      </c>
      <c r="T640" t="n">
        <v>0</v>
      </c>
      <c r="V640" t="n">
        <v>0</v>
      </c>
    </row>
    <row r="642">
      <c r="A642" t="inlineStr">
        <is>
          <t>Attack% Bucket Multiplier</t>
        </is>
      </c>
      <c r="B642">
        <f>(1+(((C624=TRUE)*F624)+((C625=TRUE)*IF(Inputs!$B$38="pvp",F625,(1-Summary!$B$11)*(F625)+Summary!$B$11*(0)))+((C626=TRUE)*F626*IF(AND(Inputs!$B$38&lt;&gt;"pvp",Inputs!$B$43&gt;0),(((R626-1)*(Skills!T15*(1+Inputs!$B$34/100))+MIN((Skills!T15*(1+Inputs!$B$34/100)),MAX(0,Inputs!$B$43-((R626-1)*Skills!D15))))/Inputs!$B$43),IF(Inputs!$B$38="pvp",MIN((Skills!T15*(1+Inputs!$B$34/100)),15)/15,(Skills!T15*(1+Inputs!$B$34/100))/Skills!D15)))+((C623=TRUE)*F623)+((C640=TRUE)*(F640-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643">
      <c r="A643" t="inlineStr">
        <is>
          <t>Global Crit Rate Bonus %</t>
        </is>
      </c>
      <c r="B643">
        <f>(C627=TRUE)*20*IF(AND(Inputs!$B$38&lt;&gt;"pvp",Inputs!$B$43&gt;0),(((R627-1)*(Skills!T16*(1+Inputs!$B$34/100))+MIN((Skills!T16*(1+Inputs!$B$34/100)),MAX(0,Inputs!$B$43-((R627-1)*Skills!D16))))/Inputs!$B$43),IF(Inputs!$B$38="pvp",MIN((Skills!T16*(1+Inputs!$B$34/100)),15)/15,(Skills!T16*(1+Inputs!$B$34/100))/Skills!D16))</f>
        <v/>
      </c>
    </row>
    <row r="644">
      <c r="A644" t="inlineStr">
        <is>
          <t>Attack Speed Buff Bonus %</t>
        </is>
      </c>
      <c r="B644">
        <f>((C629=TRUE)*F629*IF(AND(Inputs!$B$38&lt;&gt;"pvp",Inputs!$B$43&gt;0),(((R629-1)*(Skills!T18*(1+Inputs!$B$34/100))+MIN((Skills!T18*(1+Inputs!$B$34/100)),MAX(0,Inputs!$B$43-((R629-1)*Skills!D18))))/Inputs!$B$43),IF(Inputs!$B$38="pvp",MIN((Skills!T18*(1+Inputs!$B$34/100)),15)/15,(Skills!T18*(1+Inputs!$B$34/100))/Skills!D18)))</f>
        <v/>
      </c>
    </row>
    <row r="645">
      <c r="A645" t="inlineStr">
        <is>
          <t>Actions Per Second</t>
        </is>
      </c>
      <c r="B645">
        <f>1+MIN(150,150*(1-(1-(((1-(1-Inputs!$B$11/150)*(1-1/150))*150)+((C631=TRUE)*(F631-Calc!F20))+((C632=TRUE)*(F632-Calc!F21)))/150)*(1-B644/150)))/100</f>
        <v/>
      </c>
    </row>
    <row r="646">
      <c r="A646" t="inlineStr">
        <is>
          <t>Skill + Buff Cast Rate</t>
        </is>
      </c>
      <c r="B646">
        <f>IF(AND(Inputs!$B$38&lt;&gt;"pvp",Inputs!$B$43&gt;0),SUMPRODUCT((Skills!E2:E29=TRUE)*(C613:C640=TRUE)*R613:R640*Skills!F2:F29)/Inputs!$B$43,SUMPRODUCT((Skills!E2:E29=TRUE)*(C613:C640=TRUE)*Q613:Q640*Skills!F2:F29))</f>
        <v/>
      </c>
    </row>
    <row r="647">
      <c r="A647" t="inlineStr">
        <is>
          <t>Empowered Piercing Arrow Casts Per Second</t>
        </is>
      </c>
      <c r="B647">
        <f>MAX(0,B645-B646)</f>
        <v/>
      </c>
    </row>
    <row r="648">
      <c r="A648" t="inlineStr">
        <is>
          <t>Global Critical Damage Bonus % (Sharp Eyes)</t>
        </is>
      </c>
      <c r="B648">
        <f>(C627=TRUE)*F627*IF(AND(Inputs!$B$38&lt;&gt;"pvp",Inputs!$B$43&gt;0),(((R627-1)*(Skills!T16*(1+Inputs!$B$34/100))+MIN((Skills!T16*(1+Inputs!$B$34/100)),MAX(0,Inputs!$B$43-((R627-1)*Skills!D16))))/Inputs!$B$43),IF(Inputs!$B$38="pvp",MIN((Skills!T16*(1+Inputs!$B$34/100)),15)/15,(Skills!T16*(1+Inputs!$B$34/100))/Skills!D16))</f>
        <v/>
      </c>
    </row>
    <row r="649">
      <c r="A649" t="inlineStr">
        <is>
          <t>Global Final Damage Bonus % (Mortal Blow + Last Man Standing conditional half)</t>
        </is>
      </c>
      <c r="B649">
        <f>(C628=TRUE)*F628+((C637=TRUE)*IF(Inputs!$B$38="pvp",F637,(1-Summary!$B$11)*(F637)+Summary!$B$11*(0)))</f>
        <v/>
      </c>
    </row>
    <row r="650">
      <c r="A650" t="inlineStr">
        <is>
          <t>Buff-Casting Startup Delay (s, fixed-duration only)</t>
        </is>
      </c>
      <c r="B650">
        <f>IF(AND(Inputs!$B$38&lt;&gt;"pvp",Inputs!$B$43&gt;0),SUMPRODUCT((Skills!T2:T29&gt;0)*(Skills!E2:E29=TRUE)*(C613:C640=TRUE))/B645,0)</f>
        <v/>
      </c>
    </row>
    <row r="651">
      <c r="A651" t="inlineStr">
        <is>
          <t>Boss-Only Total DPS (this block's swept value)</t>
        </is>
      </c>
      <c r="B651">
        <f>SUM(T613:T640)</f>
        <v/>
      </c>
    </row>
    <row r="652">
      <c r="A652" t="inlineStr">
        <is>
          <t>Normal-Only Total DPS (this block's swept value)</t>
        </is>
      </c>
      <c r="B652">
        <f>SUM(V613:V640)</f>
        <v/>
      </c>
    </row>
    <row r="653">
      <c r="A653" s="6" t="inlineStr">
        <is>
          <t>TOTAL DPS</t>
        </is>
      </c>
      <c r="B653" s="6">
        <f>SUM(O613:O640)</f>
        <v/>
      </c>
    </row>
    <row r="656">
      <c r="A656" s="6" t="inlineStr">
        <is>
          <t>Stat: DEF_PEN % (diminishing returns, factor 100)</t>
        </is>
      </c>
    </row>
    <row r="657">
      <c r="A657" s="5" t="inlineStr">
        <is>
          <t>Key</t>
        </is>
      </c>
      <c r="B657" s="5" t="inlineStr">
        <is>
          <t>Name</t>
        </is>
      </c>
      <c r="C657" s="5" t="inlineStr">
        <is>
          <t>Unlocked</t>
        </is>
      </c>
      <c r="D657" s="5" t="inlineStr">
        <is>
          <t>InputLevel</t>
        </is>
      </c>
      <c r="E657" s="5" t="inlineStr">
        <is>
          <t>Factor</t>
        </is>
      </c>
      <c r="F657" s="5" t="inlineStr">
        <is>
          <t>CoefficientPercent</t>
        </is>
      </c>
      <c r="G657" s="5" t="inlineStr">
        <is>
          <t>EffectiveHits</t>
        </is>
      </c>
      <c r="H657" s="5" t="inlineStr">
        <is>
          <t>ProcProbability</t>
        </is>
      </c>
      <c r="I657" s="5" t="inlineStr">
        <is>
          <t>MapleHeroMultiplier</t>
        </is>
      </c>
      <c r="J657" s="5" t="inlineStr">
        <is>
          <t>BaseDamage</t>
        </is>
      </c>
      <c r="K657" s="5" t="inlineStr">
        <is>
          <t>BaseHitDamage</t>
        </is>
      </c>
      <c r="L657" s="5" t="inlineStr">
        <is>
          <t>NonCritAvg</t>
        </is>
      </c>
      <c r="M657" s="5" t="inlineStr">
        <is>
          <t>CritAvg</t>
        </is>
      </c>
      <c r="N657" s="5" t="inlineStr">
        <is>
          <t>ExpectedDamage(perHit)</t>
        </is>
      </c>
      <c r="O657" s="5" t="inlineStr">
        <is>
          <t>DPS</t>
        </is>
      </c>
      <c r="P657" s="5" t="inlineStr">
        <is>
          <t>% of Total</t>
        </is>
      </c>
      <c r="Q657" s="5" t="inlineStr">
        <is>
          <t>InvCooldown</t>
        </is>
      </c>
      <c r="R657" s="5" t="inlineStr">
        <is>
          <t>CastsInFight</t>
        </is>
      </c>
      <c r="S657" s="5" t="inlineStr">
        <is>
          <t>HitRate(perSec)</t>
        </is>
      </c>
      <c r="U657" t="inlineStr">
        <is>
          <t>helpers</t>
        </is>
      </c>
    </row>
    <row r="658">
      <c r="A658">
        <f>Skills!A2</f>
        <v/>
      </c>
      <c r="B658">
        <f>Skills!B2</f>
        <v/>
      </c>
      <c r="C658">
        <f>Inputs!$B$3&gt;=100</f>
        <v/>
      </c>
      <c r="D658" t="inlineStr"/>
      <c r="E658" t="inlineStr"/>
      <c r="F658">
        <f>U660+Skills!O2</f>
        <v/>
      </c>
      <c r="G658">
        <f>Skills!G2*IF(Skills!H2&gt;0,Skills!I2/Skills!H2,1)</f>
        <v/>
      </c>
      <c r="H658">
        <f>1-(1-Skills!J2/100)^Skills!K2</f>
        <v/>
      </c>
      <c r="I658" t="inlineStr">
        <is>
          <t>1</t>
        </is>
      </c>
      <c r="J658">
        <f>((Inputs!$B$6*(1+Inputs!$B$7/100))+(((Inputs!$B$12*(1+Inputs!$B$13/100))-(Inputs!$B$12*(1+Inputs!$B$13/100)))+0.25*(Inputs!$B$14-Inputs!$B$14))*(1+Inputs!$B$7/100))*(F658/100)</f>
        <v/>
      </c>
      <c r="K658">
        <f>J658*(1+((Inputs!$B$12*(1+Inputs!$B$13/100))*0.01+Inputs!$B$14*0.0025)/100)*(1+Inputs!$B$15/100)*(1+Inputs!$B$16/100)*(5000/(6000+Inputs!$B$42*(1-(100*(1-(1-(((1-(1-Inputs!$B$19/100)*(1-1/100))*100)+0)/100)*(1-CHOOSE(ArtifactsInput!$N$40+1,5,6,7,8,9,10)/100)^(ArtifactsInput!$M$40-ArtifactsInput!$M$40)))/100)))*(1+(Inputs!$B$24+((C680=TRUE)*(F680-Calc!F24))+((C681=TRUE)*(F681-Calc!F25))+B694)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EMPOWERED_PIERCING_ARROW",Inputs!$B$17+((C678=TRUE)*(F678-Calc!F22))+(((IF(AND(ArtifactsInput!$M$42,((Inputs!$B$9+((C675=TRUE)*(F675-Calc!F19))+B688+(ArtifactsInput!$M$24-ArtifactsInput!$M$24)*CHOOSE(ArtifactsInput!$N$24+1,10,12,14,16,18,20)+IF(ArtifactsInput!$M$10,CHOOSE(ArtifactsInput!$N$10+1,15,18,21,24,27,30)*(IF(Inputs!$B$38="pvp",MIN(15,15)/15,IF(AND(Inputs!$B$38&lt;&gt;"pvp",Inputs!$B$43&gt;0),MIN(15,Inputs!$B$43)/(Inputs!$B$43),0))),0)))&gt;=100),MIN(100,((Inputs!$B$9+((C675=TRUE)*(F675-Calc!F19))+B688+(ArtifactsInput!$M$24-ArtifactsInput!$M$24)*CHOOSE(ArtifactsInput!$N$24+1,10,12,14,16,18,20)+IF(ArtifactsInput!$M$10,CHOOSE(ArtifactsInput!$N$10+1,15,18,21,24,27,30)*(IF(Inputs!$B$38="pvp",MIN(15,15)/15,IF(AND(Inputs!$B$38&lt;&gt;"pvp",Inputs!$B$43&gt;0),MIN(15,Inputs!$B$43)/(Inputs!$B$43),0))),0)))-100),0))*CHOOSE(ArtifactsInput!$N$42+1,0.6,0.72,0.84,0.96,1.08,1.2))),Inputs!$B$18+((C683=TRUE)*(F683-Calc!F27))+(IF(AND(ArtifactsInput!$M$42,((Inputs!$B$9+((C675=TRUE)*(F675-Calc!F19))+B688+(ArtifactsInput!$M$24-ArtifactsInput!$M$24)*CHOOSE(ArtifactsInput!$N$24+1,10,12,14,16,18,20)+IF(ArtifactsInput!$M$10,CHOOSE(ArtifactsInput!$N$10+1,15,18,21,24,27,30)*(IF(Inputs!$B$38="pvp",MIN(15,15)/15,IF(AND(Inputs!$B$38&lt;&gt;"pvp",Inputs!$B$43&gt;0),MIN(15,Inputs!$B$43)/(Inputs!$B$43),0))),0)))&gt;=100),CHOOSE(ArtifactsInput!$N$42+1,40,48,56,64,72,80),0))))/100)*((1+(((C669=TRUE)*F669)+((C670=TRUE)*IF(Inputs!$B$38="pvp",F670,(1-Summary!$B$11)*(F670)+Summary!$B$11*(0)))+((C671=TRUE)*F671*IF(AND(Inputs!$B$38&lt;&gt;"pvp",Inputs!$B$43&gt;0),(((R671-1)*(Skills!T15*(1+Inputs!$B$34/100))+MIN((Skills!T15*(1+Inputs!$B$34/100)),MAX(0,Inputs!$B$43-((R671-1)*Skills!D15))))/Inputs!$B$43),IF(Inputs!$B$38="pvp",MIN((Skills!T15*(1+Inputs!$B$34/100)),15)/15,(Skills!T15*(1+Inputs!$B$34/100))/Skills!D15)))+((C668=TRUE)*F668)+((C685=TRUE)*(F685-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658)</f>
        <v/>
      </c>
      <c r="L658">
        <f>K658*(MIN(Inputs!$B$22+((C679=TRUE)*(F679-Calc!F23)),(Inputs!$B$23+((C684=TRUE)*(F684-Calc!F28))+(IF(ArtifactsInput!$M$15,CHOOSE(ArtifactsInput!$N$15+1,25,30,35,40,45,50)/100*(Inputs!$B$11-Inputs!$B$11),0))))/100+(Inputs!$B$23+((C684=TRUE)*(F684-Calc!F28))+(IF(ArtifactsInput!$M$15,CHOOSE(ArtifactsInput!$N$15+1,25,30,35,40,45,50)/100*(Inputs!$B$11-Inputs!$B$11),0)))/100)/2</f>
        <v/>
      </c>
      <c r="M658">
        <f>L658*(1+(Inputs!$B$10+0+B693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658">
        <f>L658*(1-MIN((Inputs!$B$9+((C675=TRUE)*(F675-Calc!F19))+B688+(ArtifactsInput!$M$24-ArtifactsInput!$M$24)*CHOOSE(ArtifactsInput!$N$24+1,10,12,14,16,18,20)+(IF(AND(ArtifactsInput!$M$42,((Inputs!$B$9+((C675=TRUE)*(F675-Calc!F19))+B688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658*(MIN((Inputs!$B$9+((C675=TRUE)*(F675-Calc!F19))+B688+(ArtifactsInput!$M$24-ArtifactsInput!$M$24)*CHOOSE(ArtifactsInput!$N$24+1,10,12,14,16,18,20)+(IF(AND(ArtifactsInput!$M$42,((Inputs!$B$9+((C675=TRUE)*(F675-Calc!F19))+B688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658">
        <f>(1-Summary!$B$11)*T658+Summary!$B$11*V658</f>
        <v/>
      </c>
      <c r="P658">
        <f>IF(B698=0,0,O658/B698)</f>
        <v/>
      </c>
      <c r="Q658" t="n">
        <v>0</v>
      </c>
      <c r="R658" t="n">
        <v>0</v>
      </c>
      <c r="S658">
        <f>IFERROR((Skills!G2*N658*B692)/N658*IF(Inputs!$B$38="pvp",1,(1-Summary!$B$11)*1+Summary!$B$11*(MIN((6+Inputs!$B$33),Inputs!$B$37))),0)</f>
        <v/>
      </c>
      <c r="T658">
        <f>IF(C658,(Skills!G2*N658*B692)*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Hunt"),CHOOSE(ArtifactsInput!$N$35+1,15,18,21,24,27,30)*(1-EXP(-(0.2*B690)*5)),0)+IF(AND(ArtifactsInput!$M$22,Inputs!$B$4&lt;&gt;"Chapter Hunt"),CHOOSE(ArtifactsInput!$N$22+1,10,12,14,16,18,20)*((0*(((0.15*B690*5))^0/1)+1*(((0.15*B690*5))^1/1)+2*(((0.15*B690*5))^2/2)+3*(((0.15*B690*5))^3/6)+4*(((0.15*B690*5))^4/24)+5*(((0.15*B690*5))^5/120))/((((0.15*B690*5))^0/1)+(((0.15*B690*5))^1/1)+(((0.15*B690*5))^2/2)+(((0.15*B690*5))^3/6)+(((0.15*B690*5))^4/24)+(((0.15*B690*5))^5/120))),0)))/100)*((((5000/(6000+Inputs!$B$42*(1-(100*(1-(1-(100*(1-(1-(((1-(1-Inputs!$B$19/100)*(1-1/100))*100)+0)/100)*(1-CHOOSE(ArtifactsInput!$N$40+1,5,6,7,8,9,10)/100)^(ArtifactsInput!$M$40-ArtifactsInput!$M$40)))/100)*(1-IF(ArtifactsInput!$M$40,CHOOSE(ArtifactsInput!$N$40+1,5,6,7,8,9,10),0)/100)^IF(Inputs!$B$38="pvp",1,2)))/100)))/(5000/(6000+Inputs!$B$42*(1-(100*(1-(1-(((1-(1-Inputs!$B$19/100)*(1-1/100))*100)+0)/100)*(1-CHOOSE(ArtifactsInput!$N$40+1,5,6,7,8,9,10)/100)^(ArtifactsInput!$M$40-ArtifactsInput!$M$40)))/100))))*((L658*(1-MIN(100,(Inputs!$B$9+((C675=TRUE)*(F675-Calc!F19))+B688+(ArtifactsInput!$M$24-ArtifactsInput!$M$24)*CHOOSE(ArtifactsInput!$N$24+1,10,12,14,16,18,20)+(IF(AND(ArtifactsInput!$M$42,((Inputs!$B$9+((C675=TRUE)*(F675-Calc!F19))+B688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658*(MIN(100,(Inputs!$B$9+((C675=TRUE)*(F675-Calc!F19))+B688+(ArtifactsInput!$M$24-ArtifactsInput!$M$24)*CHOOSE(ArtifactsInput!$N$24+1,10,12,14,16,18,20)+(IF(AND(ArtifactsInput!$M$42,((Inputs!$B$9+((C675=TRUE)*(F675-Calc!F19))+B688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658*(1-MIN(100,(Inputs!$B$9+((C675=TRUE)*(F675-Calc!F19))+B688+(ArtifactsInput!$M$24-ArtifactsInput!$M$24)*CHOOSE(ArtifactsInput!$N$24+1,10,12,14,16,18,20)+(IF(AND(ArtifactsInput!$M$42,((Inputs!$B$9+((C675=TRUE)*(F675-Calc!F19))+B688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658*(MIN(100,(Inputs!$B$9+((C675=TRUE)*(F675-Calc!F19))+B688+(ArtifactsInput!$M$24-ArtifactsInput!$M$24)*CHOOSE(ArtifactsInput!$N$24+1,10,12,14,16,18,20)+(IF(AND(ArtifactsInput!$M$42,((Inputs!$B$9+((C675=TRUE)*(F675-Calc!F19))+B688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658">
        <f>MAX(0,(Inputs!$B$3-100)*3)+Inputs!$B$28+Inputs!$B$29</f>
        <v/>
      </c>
      <c r="V658">
        <f>IF(C658,(Skills!G2*N658*B692)*IF(Inputs!$B$38="pvp",1,(1+(Inputs!$B$21+Skills!Q2+(IF(ArtifactsInput!$M$33,CHOOSE(ArtifactsInput!$N$33+1,30,36,42,48,54,60),0))+(IF(AND(ArtifactsInput!$M$35,Inputs!$B$4&lt;&gt;"Chapter Hunt"),CHOOSE(ArtifactsInput!$N$35+1,15,18,21,24,27,30)*(1-EXP(-(0.2*B690)*5)),0)+IF(AND(ArtifactsInput!$M$22,Inputs!$B$4&lt;&gt;"Chapter Hunt"),CHOOSE(ArtifactsInput!$N$22+1,10,12,14,16,18,20)*((0*(((0.15*B690*5))^0/1)+1*(((0.15*B690*5))^1/1)+2*(((0.15*B690*5))^2/2)+3*(((0.15*B690*5))^3/6)+4*(((0.15*B690*5))^4/24)+5*(((0.15*B690*5))^5/120))/((((0.15*B690*5))^0/1)+(((0.15*B690*5))^1/1)+(((0.15*B690*5))^2/2)+(((0.15*B690*5))^3/6)+(((0.15*B690*5))^4/24)+(((0.15*B690*5))^5/120)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659">
      <c r="A659">
        <f>Skills!A3</f>
        <v/>
      </c>
      <c r="B659">
        <f>Skills!B3</f>
        <v/>
      </c>
      <c r="C659">
        <f>Inputs!$B$3&gt;=50</f>
        <v/>
      </c>
      <c r="D659">
        <f>IF(Skills!C3=1,60+Inputs!$B$25+Inputs!$B$29,IF(Skills!C3=2,90+Inputs!$B$26+Inputs!$B$29,IF(Skills!C3=3,120+Inputs!$B$27+Inputs!$B$29,MAX(0,(Inputs!$B$3-100)*3)+Inputs!$B$28+Inputs!$B$29)))</f>
        <v/>
      </c>
      <c r="E659">
        <f>INDEX(FactorTable!$B$2:$Y$301, MATCH(ROUND(MIN(300,MAX(1,D659)),0), FactorTable!$A$2:$A$301,0), Skills!M3+1)</f>
        <v/>
      </c>
      <c r="F659">
        <f>IF(Skills!N3=TRUE,(Skills!L3/10)*(E659/1000),Skills!L3/10)+Skills!O3</f>
        <v/>
      </c>
      <c r="G659" t="inlineStr"/>
      <c r="H659" t="inlineStr"/>
      <c r="I659" t="inlineStr">
        <is>
          <t>1</t>
        </is>
      </c>
      <c r="J659" t="inlineStr"/>
      <c r="K659" t="inlineStr"/>
      <c r="L659" t="inlineStr"/>
      <c r="M659" t="inlineStr"/>
      <c r="N659" t="inlineStr"/>
      <c r="O659" t="inlineStr"/>
      <c r="P659" t="inlineStr"/>
      <c r="Q659" t="inlineStr"/>
      <c r="R659" t="inlineStr"/>
      <c r="S659" t="inlineStr"/>
      <c r="T659" t="inlineStr"/>
      <c r="U659">
        <f>INDEX(FactorTable!$B$2:$Y$301, MATCH(ROUND(MIN(300,MAX(1,U658)),0), FactorTable!$A$2:$A$301,0), 22)</f>
        <v/>
      </c>
      <c r="V659" t="inlineStr"/>
    </row>
    <row r="660">
      <c r="A660">
        <f>Skills!A4</f>
        <v/>
      </c>
      <c r="B660">
        <f>Skills!B4</f>
        <v/>
      </c>
      <c r="C660">
        <f>Inputs!$B$3&gt;=105</f>
        <v/>
      </c>
      <c r="D660">
        <f>IF(Skills!C4=1,60+Inputs!$B$25+Inputs!$B$29,IF(Skills!C4=2,90+Inputs!$B$26+Inputs!$B$29,IF(Skills!C4=3,120+Inputs!$B$27+Inputs!$B$29,MAX(0,(Inputs!$B$3-100)*3)+Inputs!$B$28+Inputs!$B$29)))</f>
        <v/>
      </c>
      <c r="E660">
        <f>INDEX(FactorTable!$B$2:$Y$301, MATCH(ROUND(MIN(300,MAX(1,D660)),0), FactorTable!$A$2:$A$301,0), Skills!M4+1)</f>
        <v/>
      </c>
      <c r="F660">
        <f>IF(Skills!N4=TRUE,(Skills!L4/10)*(E660/1000),Skills!L4/10)+Skills!O4</f>
        <v/>
      </c>
      <c r="G660" t="inlineStr"/>
      <c r="H660" t="inlineStr"/>
      <c r="I660" t="inlineStr">
        <is>
          <t>1</t>
        </is>
      </c>
      <c r="J660" t="inlineStr"/>
      <c r="K660" t="inlineStr"/>
      <c r="L660" t="inlineStr"/>
      <c r="M660" t="inlineStr"/>
      <c r="N660" t="inlineStr"/>
      <c r="O660" t="inlineStr"/>
      <c r="P660" t="inlineStr"/>
      <c r="Q660" t="inlineStr"/>
      <c r="R660" t="inlineStr"/>
      <c r="S660" t="inlineStr"/>
      <c r="T660" t="inlineStr"/>
      <c r="U660">
        <f>290*U659/1000</f>
        <v/>
      </c>
      <c r="V660" t="inlineStr"/>
    </row>
    <row r="661">
      <c r="A661">
        <f>Skills!A5</f>
        <v/>
      </c>
      <c r="B661">
        <f>Skills!B5</f>
        <v/>
      </c>
      <c r="C661">
        <f>Inputs!$B$3&gt;=35</f>
        <v/>
      </c>
      <c r="D661">
        <f>IF(Skills!C5=1,60+Inputs!$B$25+Inputs!$B$29,IF(Skills!C5=2,90+Inputs!$B$26+Inputs!$B$29,IF(Skills!C5=3,120+Inputs!$B$27+Inputs!$B$29,MAX(0,(Inputs!$B$3-100)*3)+Inputs!$B$28+Inputs!$B$29)))</f>
        <v/>
      </c>
      <c r="E661">
        <f>INDEX(FactorTable!$B$2:$Y$301, MATCH(ROUND(MIN(300,MAX(1,D661)),0), FactorTable!$A$2:$A$301,0), Skills!M5+1)</f>
        <v/>
      </c>
      <c r="F661">
        <f>IF(Skills!N5=TRUE,(Skills!L5/10)*(E661/1000),Skills!L5/10)+Skills!O5</f>
        <v/>
      </c>
      <c r="G661">
        <f>Skills!G5*IF(Skills!H5&gt;0,Skills!I5/Skills!H5,1)</f>
        <v/>
      </c>
      <c r="H661">
        <f>1-(1-Skills!J5/100)^Skills!K5</f>
        <v/>
      </c>
      <c r="I661" t="inlineStr">
        <is>
          <t>1</t>
        </is>
      </c>
      <c r="J661">
        <f>((Inputs!$B$6*(1+Inputs!$B$7/100))+(((Inputs!$B$12*(1+Inputs!$B$13/100))-(Inputs!$B$12*(1+Inputs!$B$13/100)))+0.25*(Inputs!$B$14-Inputs!$B$14))*(1+Inputs!$B$7/100))*(F661/100)</f>
        <v/>
      </c>
      <c r="K661">
        <f>J661*(1+((Inputs!$B$12*(1+Inputs!$B$13/100))*0.01+Inputs!$B$14*0.0025)/100)*(1+Inputs!$B$15/100)*(1+Inputs!$B$16/100)*(5000/(6000+Inputs!$B$42*(1-(100*(1-(1-(((1-(1-Inputs!$B$19/100)*(1-1/100))*100)+0)/100)*(1-CHOOSE(ArtifactsInput!$N$40+1,5,6,7,8,9,10)/100)^(ArtifactsInput!$M$40-ArtifactsInput!$M$40)))/100)))*(1+(Inputs!$B$24+((C680=TRUE)*(F680-Calc!F24))+((C681=TRUE)*(F681-Calc!F25))+B694)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664=TRUE,F664,0)/100)*(1+(IF(Skills!A5="EMPOWERED_PIERCING_ARROW",Inputs!$B$17+((C678=TRUE)*(F678-Calc!F22))+(((IF(AND(ArtifactsInput!$M$42,((Inputs!$B$9+((C675=TRUE)*(F675-Calc!F19))+B688+(ArtifactsInput!$M$24-ArtifactsInput!$M$24)*CHOOSE(ArtifactsInput!$N$24+1,10,12,14,16,18,20)+IF(ArtifactsInput!$M$10,CHOOSE(ArtifactsInput!$N$10+1,15,18,21,24,27,30)*(IF(Inputs!$B$38="pvp",MIN(15,15)/15,IF(AND(Inputs!$B$38&lt;&gt;"pvp",Inputs!$B$43&gt;0),MIN(15,Inputs!$B$43)/(Inputs!$B$43),0))),0)))&gt;=100),MIN(100,((Inputs!$B$9+((C675=TRUE)*(F675-Calc!F19))+B688+(ArtifactsInput!$M$24-ArtifactsInput!$M$24)*CHOOSE(ArtifactsInput!$N$24+1,10,12,14,16,18,20)+IF(ArtifactsInput!$M$10,CHOOSE(ArtifactsInput!$N$10+1,15,18,21,24,27,30)*(IF(Inputs!$B$38="pvp",MIN(15,15)/15,IF(AND(Inputs!$B$38&lt;&gt;"pvp",Inputs!$B$43&gt;0),MIN(15,Inputs!$B$43)/(Inputs!$B$43),0))),0)))-100),0))*CHOOSE(ArtifactsInput!$N$42+1,0.6,0.72,0.84,0.96,1.08,1.2))),Inputs!$B$18+((C683=TRUE)*(F683-Calc!F27))+(IF(AND(ArtifactsInput!$M$42,((Inputs!$B$9+((C675=TRUE)*(F675-Calc!F19))+B688+(ArtifactsInput!$M$24-ArtifactsInput!$M$24)*CHOOSE(ArtifactsInput!$N$24+1,10,12,14,16,18,20)+IF(ArtifactsInput!$M$10,CHOOSE(ArtifactsInput!$N$10+1,15,18,21,24,27,30)*(IF(Inputs!$B$38="pvp",MIN(15,15)/15,IF(AND(Inputs!$B$38&lt;&gt;"pvp",Inputs!$B$43&gt;0),MIN(15,Inputs!$B$43)/(Inputs!$B$43),0))),0)))&gt;=100),CHOOSE(ArtifactsInput!$N$42+1,40,48,56,64,72,80),0))))/100)*((1+(((C669=TRUE)*F669)+((C670=TRUE)*IF(Inputs!$B$38="pvp",F670,(1-Summary!$B$11)*(F670)+Summary!$B$11*(0)))+((C671=TRUE)*F671*IF(AND(Inputs!$B$38&lt;&gt;"pvp",Inputs!$B$43&gt;0),(((R671-1)*(Skills!T15*(1+Inputs!$B$34/100))+MIN((Skills!T15*(1+Inputs!$B$34/100)),MAX(0,Inputs!$B$43-((R671-1)*Skills!D15))))/Inputs!$B$43),IF(Inputs!$B$38="pvp",MIN((Skills!T15*(1+Inputs!$B$34/100)),15)/15,(Skills!T15*(1+Inputs!$B$34/100))/Skills!D15)))+((C668=TRUE)*F668)+((C685=TRUE)*(F685-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661)</f>
        <v/>
      </c>
      <c r="L661">
        <f>K661*(MIN(Inputs!$B$22+((C679=TRUE)*(F679-Calc!F23)),(Inputs!$B$23+((C684=TRUE)*(F684-Calc!F28))+(IF(ArtifactsInput!$M$15,CHOOSE(ArtifactsInput!$N$15+1,25,30,35,40,45,50)/100*(Inputs!$B$11-Inputs!$B$11),0))))/100+(Inputs!$B$23+((C684=TRUE)*(F684-Calc!F28))+(IF(ArtifactsInput!$M$15,CHOOSE(ArtifactsInput!$N$15+1,25,30,35,40,45,50)/100*(Inputs!$B$11-Inputs!$B$11),0)))/100)/2</f>
        <v/>
      </c>
      <c r="M661">
        <f>L661*(1+(Inputs!$B$10+0+B693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661">
        <f>L661*(1-MIN((Inputs!$B$9+((C675=TRUE)*(F675-Calc!F19))+B688+(ArtifactsInput!$M$24-ArtifactsInput!$M$24)*CHOOSE(ArtifactsInput!$N$24+1,10,12,14,16,18,20)+(IF(AND(ArtifactsInput!$M$42,((Inputs!$B$9+((C675=TRUE)*(F675-Calc!F19))+B688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661*(MIN((Inputs!$B$9+((C675=TRUE)*(F675-Calc!F19))+B688+(ArtifactsInput!$M$24-ArtifactsInput!$M$24)*CHOOSE(ArtifactsInput!$N$24+1,10,12,14,16,18,20)+(IF(AND(ArtifactsInput!$M$42,((Inputs!$B$9+((C675=TRUE)*(F675-Calc!F19))+B688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661">
        <f>(1-Summary!$B$11)*T661+Summary!$B$11*V661</f>
        <v/>
      </c>
      <c r="P661">
        <f>IF(B698=0,0,O661/B698)</f>
        <v/>
      </c>
      <c r="Q661">
        <f>IFERROR(1/IF(Inputs!$B$38="pvp",15,MAX(0.1,Skills!D5-IF(Skills!E5=TRUE,Inputs!$B$32,0))),0)</f>
        <v/>
      </c>
      <c r="R661">
        <f>IF(AND(Inputs!$B$38&lt;&gt;"pvp",Inputs!$B$43&gt;0),IF(MAX(0,Inputs!$B$43-B695)&lt;=0,0,(INT(MAX(0,Inputs!$B$43-B695)/IF(Inputs!$B$38="pvp",15,MAX(0.1,Skills!D5-IF(Skills!E5=TRUE,Inputs!$B$32,0))))+1)),0)</f>
        <v/>
      </c>
      <c r="S661">
        <f>IFERROR((H661*N661*IF(AND(Inputs!$B$38&lt;&gt;"pvp",Inputs!$B$43&gt;0),((Skills!G5*((R661-1)*IF(Skills!H5&gt;0,Skills!I5/Skills!H5,1)+IF(Skills!H5&gt;0,MIN(Skills!I5,MAX(0,MAX(0,Inputs!$B$43-B695)-((R661-1)*IF(Inputs!$B$38="pvp",15,MAX(0.1,Skills!D5-IF(Skills!E5=TRUE,Inputs!$B$32,0))))))/Skills!H5,1)))/Inputs!$B$43),G661*Q661))/N661*IF(Inputs!$B$38="pvp",1,(1-Summary!$B$11)*1+Summary!$B$11*(MIN(Skills!R5,Inputs!$B$37))),0)</f>
        <v/>
      </c>
      <c r="T661">
        <f>IF(C661,(H661*N661*IF(AND(Inputs!$B$38&lt;&gt;"pvp",Inputs!$B$43&gt;0),((Skills!G5*((R661-1)*IF(Skills!H5&gt;0,Skills!I5/Skills!H5,1)+IF(Skills!H5&gt;0,MIN(Skills!I5,MAX(0,MAX(0,Inputs!$B$43-B695)-((R661-1)*IF(Inputs!$B$38="pvp",15,MAX(0.1,Skills!D5-IF(Skills!E5=TRUE,Inputs!$B$32,0))))))/Skills!H5,1)))/Inputs!$B$43),G661*Q661))*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Hunt"),CHOOSE(ArtifactsInput!$N$35+1,15,18,21,24,27,30)*(1-EXP(-(0.2*B690)*5)),0)+IF(AND(ArtifactsInput!$M$22,Inputs!$B$4&lt;&gt;"Chapter Hunt"),CHOOSE(ArtifactsInput!$N$22+1,10,12,14,16,18,20)*((0*(((0.15*B690*5))^0/1)+1*(((0.15*B690*5))^1/1)+2*(((0.15*B690*5))^2/2)+3*(((0.15*B690*5))^3/6)+4*(((0.15*B690*5))^4/24)+5*(((0.15*B690*5))^5/120))/((((0.15*B690*5))^0/1)+(((0.15*B690*5))^1/1)+(((0.15*B690*5))^2/2)+(((0.15*B690*5))^3/6)+(((0.15*B690*5))^4/24)+(((0.15*B690*5))^5/120))),0)))/100)*((((5000/(6000+Inputs!$B$42*(1-(100*(1-(1-(100*(1-(1-(((1-(1-Inputs!$B$19/100)*(1-1/100))*100)+0)/100)*(1-CHOOSE(ArtifactsInput!$N$40+1,5,6,7,8,9,10)/100)^(ArtifactsInput!$M$40-ArtifactsInput!$M$40)))/100)*(1-IF(ArtifactsInput!$M$40,CHOOSE(ArtifactsInput!$N$40+1,5,6,7,8,9,10),0)/100)^IF(Inputs!$B$38="pvp",1,2)))/100)))/(5000/(6000+Inputs!$B$42*(1-(100*(1-(1-(((1-(1-Inputs!$B$19/100)*(1-1/100))*100)+0)/100)*(1-CHOOSE(ArtifactsInput!$N$40+1,5,6,7,8,9,10)/100)^(ArtifactsInput!$M$40-ArtifactsInput!$M$40)))/100))))*((L661*(1-MIN(100,(Inputs!$B$9+((C675=TRUE)*(F675-Calc!F19))+B688+(ArtifactsInput!$M$24-ArtifactsInput!$M$24)*CHOOSE(ArtifactsInput!$N$24+1,10,12,14,16,18,20)+(IF(AND(ArtifactsInput!$M$42,((Inputs!$B$9+((C675=TRUE)*(F675-Calc!F19))+B688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661*(MIN(100,(Inputs!$B$9+((C675=TRUE)*(F675-Calc!F19))+B688+(ArtifactsInput!$M$24-ArtifactsInput!$M$24)*CHOOSE(ArtifactsInput!$N$24+1,10,12,14,16,18,20)+(IF(AND(ArtifactsInput!$M$42,((Inputs!$B$9+((C675=TRUE)*(F675-Calc!F19))+B688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661*(1-MIN(100,(Inputs!$B$9+((C675=TRUE)*(F675-Calc!F19))+B688+(ArtifactsInput!$M$24-ArtifactsInput!$M$24)*CHOOSE(ArtifactsInput!$N$24+1,10,12,14,16,18,20)+(IF(AND(ArtifactsInput!$M$42,((Inputs!$B$9+((C675=TRUE)*(F675-Calc!F19))+B688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661*(MIN(100,(Inputs!$B$9+((C675=TRUE)*(F675-Calc!F19))+B688+(ArtifactsInput!$M$24-ArtifactsInput!$M$24)*CHOOSE(ArtifactsInput!$N$24+1,10,12,14,16,18,20)+(IF(AND(ArtifactsInput!$M$42,((Inputs!$B$9+((C675=TRUE)*(F675-Calc!F19))+B688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661">
        <f>IF(C661,(H661*N661*IF(AND(Inputs!$B$38&lt;&gt;"pvp",Inputs!$B$43&gt;0),((Skills!G5*((R661-1)*IF(Skills!H5&gt;0,Skills!I5/Skills!H5,1)+IF(Skills!H5&gt;0,MIN(Skills!I5,MAX(0,MAX(0,Inputs!$B$43-B695)-((R661-1)*IF(Inputs!$B$38="pvp",15,MAX(0.1,Skills!D5-IF(Skills!E5=TRUE,Inputs!$B$32,0))))))/Skills!H5,1)))/Inputs!$B$43),G661*Q661))*IF(Inputs!$B$38="pvp",1,(1+(Inputs!$B$21+Skills!Q5+(IF(ArtifactsInput!$M$33,CHOOSE(ArtifactsInput!$N$33+1,30,36,42,48,54,60),0))+(IF(AND(ArtifactsInput!$M$35,Inputs!$B$4&lt;&gt;"Chapter Hunt"),CHOOSE(ArtifactsInput!$N$35+1,15,18,21,24,27,30)*(1-EXP(-(0.2*B690)*5)),0)+IF(AND(ArtifactsInput!$M$22,Inputs!$B$4&lt;&gt;"Chapter Hunt"),CHOOSE(ArtifactsInput!$N$22+1,10,12,14,16,18,20)*((0*(((0.15*B690*5))^0/1)+1*(((0.15*B690*5))^1/1)+2*(((0.15*B690*5))^2/2)+3*(((0.15*B690*5))^3/6)+4*(((0.15*B690*5))^4/24)+5*(((0.15*B690*5))^5/120))/((((0.15*B690*5))^0/1)+(((0.15*B690*5))^1/1)+(((0.15*B690*5))^2/2)+(((0.15*B690*5))^3/6)+(((0.15*B690*5))^4/24)+(((0.15*B690*5))^5/120)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662">
      <c r="A662">
        <f>Skills!A6</f>
        <v/>
      </c>
      <c r="B662">
        <f>Skills!B6</f>
        <v/>
      </c>
      <c r="C662">
        <f>Inputs!$B$3&gt;=63</f>
        <v/>
      </c>
      <c r="D662">
        <f>IF(Skills!C6=1,60+Inputs!$B$25+Inputs!$B$29,IF(Skills!C6=2,90+Inputs!$B$26+Inputs!$B$29,IF(Skills!C6=3,120+Inputs!$B$27+Inputs!$B$29,MAX(0,(Inputs!$B$3-100)*3)+Inputs!$B$28+Inputs!$B$29)))</f>
        <v/>
      </c>
      <c r="E662">
        <f>INDEX(FactorTable!$B$2:$Y$301, MATCH(ROUND(MIN(300,MAX(1,D662)),0), FactorTable!$A$2:$A$301,0), Skills!M6+1)</f>
        <v/>
      </c>
      <c r="F662">
        <f>IF(Skills!N6=TRUE,(Skills!L6/10)*(E662/1000),Skills!L6/10)+Skills!O6</f>
        <v/>
      </c>
      <c r="G662">
        <f>Skills!G6*IF(Skills!H6&gt;0,Skills!I6/Skills!H6,1)</f>
        <v/>
      </c>
      <c r="H662">
        <f>1-(1-Skills!J6/100)^Skills!K6</f>
        <v/>
      </c>
      <c r="I662" t="inlineStr">
        <is>
          <t>1</t>
        </is>
      </c>
      <c r="J662">
        <f>((Inputs!$B$6*(1+Inputs!$B$7/100))+(((Inputs!$B$12*(1+Inputs!$B$13/100))-(Inputs!$B$12*(1+Inputs!$B$13/100)))+0.25*(Inputs!$B$14-Inputs!$B$14))*(1+Inputs!$B$7/100))*(F662/100)</f>
        <v/>
      </c>
      <c r="K662">
        <f>J662*(1+((Inputs!$B$12*(1+Inputs!$B$13/100))*0.01+Inputs!$B$14*0.0025)/100)*(1+Inputs!$B$15/100)*(1+Inputs!$B$16/100)*(5000/(6000+Inputs!$B$42*(1-(100*(1-(1-(((1-(1-Inputs!$B$19/100)*(1-1/100))*100)+0)/100)*(1-CHOOSE(ArtifactsInput!$N$40+1,5,6,7,8,9,10)/100)^(ArtifactsInput!$M$40-ArtifactsInput!$M$40)))/100)))*(1+(Inputs!$B$24+((C680=TRUE)*(F680-Calc!F24))+((C681=TRUE)*(F681-Calc!F25))+B694)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664=TRUE,F664,0)/100)*(1+(IF(Skills!A6="EMPOWERED_PIERCING_ARROW",Inputs!$B$17+((C678=TRUE)*(F678-Calc!F22))+(((IF(AND(ArtifactsInput!$M$42,((Inputs!$B$9+((C675=TRUE)*(F675-Calc!F19))+B688+(ArtifactsInput!$M$24-ArtifactsInput!$M$24)*CHOOSE(ArtifactsInput!$N$24+1,10,12,14,16,18,20)+IF(ArtifactsInput!$M$10,CHOOSE(ArtifactsInput!$N$10+1,15,18,21,24,27,30)*(IF(Inputs!$B$38="pvp",MIN(15,15)/15,IF(AND(Inputs!$B$38&lt;&gt;"pvp",Inputs!$B$43&gt;0),MIN(15,Inputs!$B$43)/(Inputs!$B$43),0))),0)))&gt;=100),MIN(100,((Inputs!$B$9+((C675=TRUE)*(F675-Calc!F19))+B688+(ArtifactsInput!$M$24-ArtifactsInput!$M$24)*CHOOSE(ArtifactsInput!$N$24+1,10,12,14,16,18,20)+IF(ArtifactsInput!$M$10,CHOOSE(ArtifactsInput!$N$10+1,15,18,21,24,27,30)*(IF(Inputs!$B$38="pvp",MIN(15,15)/15,IF(AND(Inputs!$B$38&lt;&gt;"pvp",Inputs!$B$43&gt;0),MIN(15,Inputs!$B$43)/(Inputs!$B$43),0))),0)))-100),0))*CHOOSE(ArtifactsInput!$N$42+1,0.6,0.72,0.84,0.96,1.08,1.2))),Inputs!$B$18+((C683=TRUE)*(F683-Calc!F27))+(IF(AND(ArtifactsInput!$M$42,((Inputs!$B$9+((C675=TRUE)*(F675-Calc!F19))+B688+(ArtifactsInput!$M$24-ArtifactsInput!$M$24)*CHOOSE(ArtifactsInput!$N$24+1,10,12,14,16,18,20)+IF(ArtifactsInput!$M$10,CHOOSE(ArtifactsInput!$N$10+1,15,18,21,24,27,30)*(IF(Inputs!$B$38="pvp",MIN(15,15)/15,IF(AND(Inputs!$B$38&lt;&gt;"pvp",Inputs!$B$43&gt;0),MIN(15,Inputs!$B$43)/(Inputs!$B$43),0))),0)))&gt;=100),CHOOSE(ArtifactsInput!$N$42+1,40,48,56,64,72,80),0))))/100)*((1+(((C669=TRUE)*F669)+((C670=TRUE)*IF(Inputs!$B$38="pvp",F670,(1-Summary!$B$11)*(F670)+Summary!$B$11*(0)))+((C671=TRUE)*F671*IF(AND(Inputs!$B$38&lt;&gt;"pvp",Inputs!$B$43&gt;0),(((R671-1)*(Skills!T15*(1+Inputs!$B$34/100))+MIN((Skills!T15*(1+Inputs!$B$34/100)),MAX(0,Inputs!$B$43-((R671-1)*Skills!D15))))/Inputs!$B$43),IF(Inputs!$B$38="pvp",MIN((Skills!T15*(1+Inputs!$B$34/100)),15)/15,(Skills!T15*(1+Inputs!$B$34/100))/Skills!D15)))+((C668=TRUE)*F668)+((C685=TRUE)*(F685-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662)</f>
        <v/>
      </c>
      <c r="L662">
        <f>K662*(MIN(Inputs!$B$22+((C679=TRUE)*(F679-Calc!F23)),(Inputs!$B$23+((C684=TRUE)*(F684-Calc!F28))+(IF(ArtifactsInput!$M$15,CHOOSE(ArtifactsInput!$N$15+1,25,30,35,40,45,50)/100*(Inputs!$B$11-Inputs!$B$11),0))))/100+(Inputs!$B$23+((C684=TRUE)*(F684-Calc!F28))+(IF(ArtifactsInput!$M$15,CHOOSE(ArtifactsInput!$N$15+1,25,30,35,40,45,50)/100*(Inputs!$B$11-Inputs!$B$11),0)))/100)/2</f>
        <v/>
      </c>
      <c r="M662">
        <f>L662*(1+(Inputs!$B$10+0+B693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662">
        <f>L662*(1-MIN((Inputs!$B$9+((C675=TRUE)*(F675-Calc!F19))+B688+(ArtifactsInput!$M$24-ArtifactsInput!$M$24)*CHOOSE(ArtifactsInput!$N$24+1,10,12,14,16,18,20)+(IF(AND(ArtifactsInput!$M$42,((Inputs!$B$9+((C675=TRUE)*(F675-Calc!F19))+B688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662*(MIN((Inputs!$B$9+((C675=TRUE)*(F675-Calc!F19))+B688+(ArtifactsInput!$M$24-ArtifactsInput!$M$24)*CHOOSE(ArtifactsInput!$N$24+1,10,12,14,16,18,20)+(IF(AND(ArtifactsInput!$M$42,((Inputs!$B$9+((C675=TRUE)*(F675-Calc!F19))+B688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662">
        <f>(1-Summary!$B$11)*T662+Summary!$B$11*V662</f>
        <v/>
      </c>
      <c r="P662">
        <f>IF(B698=0,0,O662/B698)</f>
        <v/>
      </c>
      <c r="Q662">
        <f>IFERROR(1/IF(Inputs!$B$38="pvp",15,MAX(0.1,Skills!D6-IF(Skills!E6=TRUE,Inputs!$B$32,0))),0)</f>
        <v/>
      </c>
      <c r="R662">
        <f>IF(AND(Inputs!$B$38&lt;&gt;"pvp",Inputs!$B$43&gt;0),IF(MAX(0,Inputs!$B$43-B695)&lt;=0,0,(INT(MAX(0,Inputs!$B$43-B695)/IF(Inputs!$B$38="pvp",15,MAX(0.1,Skills!D6-IF(Skills!E6=TRUE,Inputs!$B$32,0))))+1)),0)</f>
        <v/>
      </c>
      <c r="S662">
        <f>IFERROR((H662*N662*IF(AND(Inputs!$B$38&lt;&gt;"pvp",Inputs!$B$43&gt;0),((Skills!G6*((R662-1)*IF(Skills!H6&gt;0,Skills!I6/Skills!H6,1)+IF(Skills!H6&gt;0,MIN(Skills!I6,MAX(0,MAX(0,Inputs!$B$43-B695)-((R662-1)*IF(Inputs!$B$38="pvp",15,MAX(0.1,Skills!D6-IF(Skills!E6=TRUE,Inputs!$B$32,0))))))/Skills!H6,1)))/Inputs!$B$43),G662*Q662))/N662*IF(Inputs!$B$38="pvp",1,(1-Summary!$B$11)*1+Summary!$B$11*(MIN(Skills!R6,Inputs!$B$37))),0)</f>
        <v/>
      </c>
      <c r="T662">
        <f>IF(C662,(H662*N662*IF(AND(Inputs!$B$38&lt;&gt;"pvp",Inputs!$B$43&gt;0),((Skills!G6*((R662-1)*IF(Skills!H6&gt;0,Skills!I6/Skills!H6,1)+IF(Skills!H6&gt;0,MIN(Skills!I6,MAX(0,MAX(0,Inputs!$B$43-B695)-((R662-1)*IF(Inputs!$B$38="pvp",15,MAX(0.1,Skills!D6-IF(Skills!E6=TRUE,Inputs!$B$32,0))))))/Skills!H6,1)))/Inputs!$B$43),G662*Q662))*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Hunt"),CHOOSE(ArtifactsInput!$N$35+1,15,18,21,24,27,30)*(1-EXP(-(0.2*B690)*5)),0)+IF(AND(ArtifactsInput!$M$22,Inputs!$B$4&lt;&gt;"Chapter Hunt"),CHOOSE(ArtifactsInput!$N$22+1,10,12,14,16,18,20)*((0*(((0.15*B690*5))^0/1)+1*(((0.15*B690*5))^1/1)+2*(((0.15*B690*5))^2/2)+3*(((0.15*B690*5))^3/6)+4*(((0.15*B690*5))^4/24)+5*(((0.15*B690*5))^5/120))/((((0.15*B690*5))^0/1)+(((0.15*B690*5))^1/1)+(((0.15*B690*5))^2/2)+(((0.15*B690*5))^3/6)+(((0.15*B690*5))^4/24)+(((0.15*B690*5))^5/120))),0)))/100)*((((5000/(6000+Inputs!$B$42*(1-(100*(1-(1-(100*(1-(1-(((1-(1-Inputs!$B$19/100)*(1-1/100))*100)+0)/100)*(1-CHOOSE(ArtifactsInput!$N$40+1,5,6,7,8,9,10)/100)^(ArtifactsInput!$M$40-ArtifactsInput!$M$40)))/100)*(1-IF(ArtifactsInput!$M$40,CHOOSE(ArtifactsInput!$N$40+1,5,6,7,8,9,10),0)/100)^IF(Inputs!$B$38="pvp",1,2)))/100)))/(5000/(6000+Inputs!$B$42*(1-(100*(1-(1-(((1-(1-Inputs!$B$19/100)*(1-1/100))*100)+0)/100)*(1-CHOOSE(ArtifactsInput!$N$40+1,5,6,7,8,9,10)/100)^(ArtifactsInput!$M$40-ArtifactsInput!$M$40)))/100))))*((L662*(1-MIN(100,(Inputs!$B$9+((C675=TRUE)*(F675-Calc!F19))+B688+(ArtifactsInput!$M$24-ArtifactsInput!$M$24)*CHOOSE(ArtifactsInput!$N$24+1,10,12,14,16,18,20)+(IF(AND(ArtifactsInput!$M$42,((Inputs!$B$9+((C675=TRUE)*(F675-Calc!F19))+B688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662*(MIN(100,(Inputs!$B$9+((C675=TRUE)*(F675-Calc!F19))+B688+(ArtifactsInput!$M$24-ArtifactsInput!$M$24)*CHOOSE(ArtifactsInput!$N$24+1,10,12,14,16,18,20)+(IF(AND(ArtifactsInput!$M$42,((Inputs!$B$9+((C675=TRUE)*(F675-Calc!F19))+B688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662*(1-MIN(100,(Inputs!$B$9+((C675=TRUE)*(F675-Calc!F19))+B688+(ArtifactsInput!$M$24-ArtifactsInput!$M$24)*CHOOSE(ArtifactsInput!$N$24+1,10,12,14,16,18,20)+(IF(AND(ArtifactsInput!$M$42,((Inputs!$B$9+((C675=TRUE)*(F675-Calc!F19))+B688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662*(MIN(100,(Inputs!$B$9+((C675=TRUE)*(F675-Calc!F19))+B688+(ArtifactsInput!$M$24-ArtifactsInput!$M$24)*CHOOSE(ArtifactsInput!$N$24+1,10,12,14,16,18,20)+(IF(AND(ArtifactsInput!$M$42,((Inputs!$B$9+((C675=TRUE)*(F675-Calc!F19))+B688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662">
        <f>IF(C662,(H662*N662*IF(AND(Inputs!$B$38&lt;&gt;"pvp",Inputs!$B$43&gt;0),((Skills!G6*((R662-1)*IF(Skills!H6&gt;0,Skills!I6/Skills!H6,1)+IF(Skills!H6&gt;0,MIN(Skills!I6,MAX(0,MAX(0,Inputs!$B$43-B695)-((R662-1)*IF(Inputs!$B$38="pvp",15,MAX(0.1,Skills!D6-IF(Skills!E6=TRUE,Inputs!$B$32,0))))))/Skills!H6,1)))/Inputs!$B$43),G662*Q662))*IF(Inputs!$B$38="pvp",1,(1+(Inputs!$B$21+Skills!Q6+(IF(ArtifactsInput!$M$33,CHOOSE(ArtifactsInput!$N$33+1,30,36,42,48,54,60),0))+(IF(AND(ArtifactsInput!$M$35,Inputs!$B$4&lt;&gt;"Chapter Hunt"),CHOOSE(ArtifactsInput!$N$35+1,15,18,21,24,27,30)*(1-EXP(-(0.2*B690)*5)),0)+IF(AND(ArtifactsInput!$M$22,Inputs!$B$4&lt;&gt;"Chapter Hunt"),CHOOSE(ArtifactsInput!$N$22+1,10,12,14,16,18,20)*((0*(((0.15*B690*5))^0/1)+1*(((0.15*B690*5))^1/1)+2*(((0.15*B690*5))^2/2)+3*(((0.15*B690*5))^3/6)+4*(((0.15*B690*5))^4/24)+5*(((0.15*B690*5))^5/120))/((((0.15*B690*5))^0/1)+(((0.15*B690*5))^1/1)+(((0.15*B690*5))^2/2)+(((0.15*B690*5))^3/6)+(((0.15*B690*5))^4/24)+(((0.15*B690*5))^5/120))),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663">
      <c r="A663">
        <f>Skills!A7</f>
        <v/>
      </c>
      <c r="B663">
        <f>Skills!B7</f>
        <v/>
      </c>
      <c r="C663">
        <f>Inputs!$B$3&gt;=69</f>
        <v/>
      </c>
      <c r="D663">
        <f>IF(Skills!C7=1,60+Inputs!$B$25+Inputs!$B$29,IF(Skills!C7=2,90+Inputs!$B$26+Inputs!$B$29,IF(Skills!C7=3,120+Inputs!$B$27+Inputs!$B$29,MAX(0,(Inputs!$B$3-100)*3)+Inputs!$B$28+Inputs!$B$29)))</f>
        <v/>
      </c>
      <c r="E663">
        <f>INDEX(FactorTable!$B$2:$Y$301, MATCH(ROUND(MIN(300,MAX(1,D663)),0), FactorTable!$A$2:$A$301,0), Skills!M7+1)</f>
        <v/>
      </c>
      <c r="F663">
        <f>IF(Skills!N7=TRUE,(Skills!L7/10)*(E663/1000),Skills!L7/10)+Skills!O7</f>
        <v/>
      </c>
      <c r="G663">
        <f>Skills!G7*IF(Skills!H7&gt;0,Skills!I7/Skills!H7,1)</f>
        <v/>
      </c>
      <c r="H663">
        <f>1-(1-Skills!J7/100)^Skills!K7</f>
        <v/>
      </c>
      <c r="I663" t="inlineStr">
        <is>
          <t>1</t>
        </is>
      </c>
      <c r="J663">
        <f>((Inputs!$B$6*(1+Inputs!$B$7/100))+(((Inputs!$B$12*(1+Inputs!$B$13/100))-(Inputs!$B$12*(1+Inputs!$B$13/100)))+0.25*(Inputs!$B$14-Inputs!$B$14))*(1+Inputs!$B$7/100))*(F663/100)</f>
        <v/>
      </c>
      <c r="K663">
        <f>J663*(1+((Inputs!$B$12*(1+Inputs!$B$13/100))*0.01+Inputs!$B$14*0.0025)/100)*(1+Inputs!$B$15/100)*(1+Inputs!$B$16/100)*(5000/(6000+Inputs!$B$42*(1-(100*(1-(1-(((1-(1-Inputs!$B$19/100)*(1-1/100))*100)+0)/100)*(1-CHOOSE(ArtifactsInput!$N$40+1,5,6,7,8,9,10)/100)^(ArtifactsInput!$M$40-ArtifactsInput!$M$40)))/100)))*(1+(Inputs!$B$24+((C680=TRUE)*(F680-Calc!F24))+((C681=TRUE)*(F681-Calc!F25))+B694)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+1.2*IF(C664=TRUE,F664,0)/100)*(1+(IF(Skills!A7="EMPOWERED_PIERCING_ARROW",Inputs!$B$17+((C678=TRUE)*(F678-Calc!F22))+(((IF(AND(ArtifactsInput!$M$42,((Inputs!$B$9+((C675=TRUE)*(F675-Calc!F19))+B688+(ArtifactsInput!$M$24-ArtifactsInput!$M$24)*CHOOSE(ArtifactsInput!$N$24+1,10,12,14,16,18,20)+IF(ArtifactsInput!$M$10,CHOOSE(ArtifactsInput!$N$10+1,15,18,21,24,27,30)*(IF(Inputs!$B$38="pvp",MIN(15,15)/15,IF(AND(Inputs!$B$38&lt;&gt;"pvp",Inputs!$B$43&gt;0),MIN(15,Inputs!$B$43)/(Inputs!$B$43),0))),0)))&gt;=100),MIN(100,((Inputs!$B$9+((C675=TRUE)*(F675-Calc!F19))+B688+(ArtifactsInput!$M$24-ArtifactsInput!$M$24)*CHOOSE(ArtifactsInput!$N$24+1,10,12,14,16,18,20)+IF(ArtifactsInput!$M$10,CHOOSE(ArtifactsInput!$N$10+1,15,18,21,24,27,30)*(IF(Inputs!$B$38="pvp",MIN(15,15)/15,IF(AND(Inputs!$B$38&lt;&gt;"pvp",Inputs!$B$43&gt;0),MIN(15,Inputs!$B$43)/(Inputs!$B$43),0))),0)))-100),0))*CHOOSE(ArtifactsInput!$N$42+1,0.6,0.72,0.84,0.96,1.08,1.2))),Inputs!$B$18+((C683=TRUE)*(F683-Calc!F27))+(IF(AND(ArtifactsInput!$M$42,((Inputs!$B$9+((C675=TRUE)*(F675-Calc!F19))+B688+(ArtifactsInput!$M$24-ArtifactsInput!$M$24)*CHOOSE(ArtifactsInput!$N$24+1,10,12,14,16,18,20)+IF(ArtifactsInput!$M$10,CHOOSE(ArtifactsInput!$N$10+1,15,18,21,24,27,30)*(IF(Inputs!$B$38="pvp",MIN(15,15)/15,IF(AND(Inputs!$B$38&lt;&gt;"pvp",Inputs!$B$43&gt;0),MIN(15,Inputs!$B$43)/(Inputs!$B$43),0))),0)))&gt;=100),CHOOSE(ArtifactsInput!$N$42+1,40,48,56,64,72,80),0))))/100)*((1+(((C669=TRUE)*F669)+((C670=TRUE)*IF(Inputs!$B$38="pvp",F670,(1-Summary!$B$11)*(F670)+Summary!$B$11*(0)))+((C671=TRUE)*F671*IF(AND(Inputs!$B$38&lt;&gt;"pvp",Inputs!$B$43&gt;0),(((R671-1)*(Skills!T15*(1+Inputs!$B$34/100))+MIN((Skills!T15*(1+Inputs!$B$34/100)),MAX(0,Inputs!$B$43-((R671-1)*Skills!D15))))/Inputs!$B$43),IF(Inputs!$B$38="pvp",MIN((Skills!T15*(1+Inputs!$B$34/100)),15)/15,(Skills!T15*(1+Inputs!$B$34/100))/Skills!D15)))+((C668=TRUE)*F668)+((C685=TRUE)*(F685-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663)</f>
        <v/>
      </c>
      <c r="L663">
        <f>K663*(MIN(Inputs!$B$22+((C679=TRUE)*(F679-Calc!F23)),(Inputs!$B$23+((C684=TRUE)*(F684-Calc!F28))+(IF(ArtifactsInput!$M$15,CHOOSE(ArtifactsInput!$N$15+1,25,30,35,40,45,50)/100*(Inputs!$B$11-Inputs!$B$11),0))))/100+(Inputs!$B$23+((C684=TRUE)*(F684-Calc!F28))+(IF(ArtifactsInput!$M$15,CHOOSE(ArtifactsInput!$N$15+1,25,30,35,40,45,50)/100*(Inputs!$B$11-Inputs!$B$11),0)))/100)/2</f>
        <v/>
      </c>
      <c r="M663">
        <f>L663*(1+(Inputs!$B$10+0+B693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663">
        <f>L663*(1-MIN((Inputs!$B$9+((C675=TRUE)*(F675-Calc!F19))+B688+(ArtifactsInput!$M$24-ArtifactsInput!$M$24)*CHOOSE(ArtifactsInput!$N$24+1,10,12,14,16,18,20)+(IF(AND(ArtifactsInput!$M$42,((Inputs!$B$9+((C675=TRUE)*(F675-Calc!F19))+B688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663*(MIN((Inputs!$B$9+((C675=TRUE)*(F675-Calc!F19))+B688+(ArtifactsInput!$M$24-ArtifactsInput!$M$24)*CHOOSE(ArtifactsInput!$N$24+1,10,12,14,16,18,20)+(IF(AND(ArtifactsInput!$M$42,((Inputs!$B$9+((C675=TRUE)*(F675-Calc!F19))+B688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663">
        <f>(1-Summary!$B$11)*T663+Summary!$B$11*V663</f>
        <v/>
      </c>
      <c r="P663">
        <f>IF(B698=0,0,O663/B698)</f>
        <v/>
      </c>
      <c r="Q663">
        <f>IFERROR(1/IF(Inputs!$B$38="pvp",15,MAX(0.1,Skills!D7-IF(Skills!E7=TRUE,Inputs!$B$32,0))),0)</f>
        <v/>
      </c>
      <c r="R663">
        <f>IF(AND(Inputs!$B$38&lt;&gt;"pvp",Inputs!$B$43&gt;0),IF(MAX(0,Inputs!$B$43-B695)&lt;=0,0,(INT(MAX(0,Inputs!$B$43-B695)/IF(Inputs!$B$38="pvp",15,MAX(0.1,Skills!D7-IF(Skills!E7=TRUE,Inputs!$B$32,0))))+1)),0)</f>
        <v/>
      </c>
      <c r="S663">
        <f>IFERROR((H663*N663*IF(AND(Inputs!$B$38&lt;&gt;"pvp",Inputs!$B$43&gt;0),((Skills!G7*((R663-1)*IF(Skills!H7&gt;0,Skills!I7/Skills!H7,1)+IF(Skills!H7&gt;0,MIN(Skills!I7,MAX(0,MAX(0,Inputs!$B$43-B695)-((R663-1)*IF(Inputs!$B$38="pvp",15,MAX(0.1,Skills!D7-IF(Skills!E7=TRUE,Inputs!$B$32,0))))))/Skills!H7,1)))/Inputs!$B$43),G663*Q663))/N663*IF(Inputs!$B$38="pvp",1,(1-Summary!$B$11)*1+Summary!$B$11*(MIN(Skills!R7,Inputs!$B$37))),0)</f>
        <v/>
      </c>
      <c r="T663">
        <f>IF(C663,(H663*N663*IF(AND(Inputs!$B$38&lt;&gt;"pvp",Inputs!$B$43&gt;0),((Skills!G7*((R663-1)*IF(Skills!H7&gt;0,Skills!I7/Skills!H7,1)+IF(Skills!H7&gt;0,MIN(Skills!I7,MAX(0,MAX(0,Inputs!$B$43-B695)-((R663-1)*IF(Inputs!$B$38="pvp",15,MAX(0.1,Skills!D7-IF(Skills!E7=TRUE,Inputs!$B$32,0))))))/Skills!H7,1)))/Inputs!$B$43),G663*Q663))*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Hunt"),CHOOSE(ArtifactsInput!$N$35+1,15,18,21,24,27,30)*(1-EXP(-(0.2*B690)*5)),0)+IF(AND(ArtifactsInput!$M$22,Inputs!$B$4&lt;&gt;"Chapter Hunt"),CHOOSE(ArtifactsInput!$N$22+1,10,12,14,16,18,20)*((0*(((0.15*B690*5))^0/1)+1*(((0.15*B690*5))^1/1)+2*(((0.15*B690*5))^2/2)+3*(((0.15*B690*5))^3/6)+4*(((0.15*B690*5))^4/24)+5*(((0.15*B690*5))^5/120))/((((0.15*B690*5))^0/1)+(((0.15*B690*5))^1/1)+(((0.15*B690*5))^2/2)+(((0.15*B690*5))^3/6)+(((0.15*B690*5))^4/24)+(((0.15*B690*5))^5/120))),0)))/100)*((((5000/(6000+Inputs!$B$42*(1-(100*(1-(1-(100*(1-(1-(((1-(1-Inputs!$B$19/100)*(1-1/100))*100)+0)/100)*(1-CHOOSE(ArtifactsInput!$N$40+1,5,6,7,8,9,10)/100)^(ArtifactsInput!$M$40-ArtifactsInput!$M$40)))/100)*(1-IF(ArtifactsInput!$M$40,CHOOSE(ArtifactsInput!$N$40+1,5,6,7,8,9,10),0)/100)^IF(Inputs!$B$38="pvp",1,2)))/100)))/(5000/(6000+Inputs!$B$42*(1-(100*(1-(1-(((1-(1-Inputs!$B$19/100)*(1-1/100))*100)+0)/100)*(1-CHOOSE(ArtifactsInput!$N$40+1,5,6,7,8,9,10)/100)^(ArtifactsInput!$M$40-ArtifactsInput!$M$40)))/100))))*((L663*(1-MIN(100,(Inputs!$B$9+((C675=TRUE)*(F675-Calc!F19))+B688+(ArtifactsInput!$M$24-ArtifactsInput!$M$24)*CHOOSE(ArtifactsInput!$N$24+1,10,12,14,16,18,20)+(IF(AND(ArtifactsInput!$M$42,((Inputs!$B$9+((C675=TRUE)*(F675-Calc!F19))+B688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663*(MIN(100,(Inputs!$B$9+((C675=TRUE)*(F675-Calc!F19))+B688+(ArtifactsInput!$M$24-ArtifactsInput!$M$24)*CHOOSE(ArtifactsInput!$N$24+1,10,12,14,16,18,20)+(IF(AND(ArtifactsInput!$M$42,((Inputs!$B$9+((C675=TRUE)*(F675-Calc!F19))+B688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663*(1-MIN(100,(Inputs!$B$9+((C675=TRUE)*(F675-Calc!F19))+B688+(ArtifactsInput!$M$24-ArtifactsInput!$M$24)*CHOOSE(ArtifactsInput!$N$24+1,10,12,14,16,18,20)+(IF(AND(ArtifactsInput!$M$42,((Inputs!$B$9+((C675=TRUE)*(F675-Calc!F19))+B688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663*(MIN(100,(Inputs!$B$9+((C675=TRUE)*(F675-Calc!F19))+B688+(ArtifactsInput!$M$24-ArtifactsInput!$M$24)*CHOOSE(ArtifactsInput!$N$24+1,10,12,14,16,18,20)+(IF(AND(ArtifactsInput!$M$42,((Inputs!$B$9+((C675=TRUE)*(F675-Calc!F19))+B688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663">
        <f>IF(C663,(H663*N663*IF(AND(Inputs!$B$38&lt;&gt;"pvp",Inputs!$B$43&gt;0),((Skills!G7*((R663-1)*IF(Skills!H7&gt;0,Skills!I7/Skills!H7,1)+IF(Skills!H7&gt;0,MIN(Skills!I7,MAX(0,MAX(0,Inputs!$B$43-B695)-((R663-1)*IF(Inputs!$B$38="pvp",15,MAX(0.1,Skills!D7-IF(Skills!E7=TRUE,Inputs!$B$32,0))))))/Skills!H7,1)))/Inputs!$B$43),G663*Q663))*IF(Inputs!$B$38="pvp",1,(1+(Inputs!$B$21+Skills!Q7+(IF(ArtifactsInput!$M$33,CHOOSE(ArtifactsInput!$N$33+1,30,36,42,48,54,60),0))+(IF(AND(ArtifactsInput!$M$35,Inputs!$B$4&lt;&gt;"Chapter Hunt"),CHOOSE(ArtifactsInput!$N$35+1,15,18,21,24,27,30)*(1-EXP(-(0.2*B690)*5)),0)+IF(AND(ArtifactsInput!$M$22,Inputs!$B$4&lt;&gt;"Chapter Hunt"),CHOOSE(ArtifactsInput!$N$22+1,10,12,14,16,18,20)*((0*(((0.15*B690*5))^0/1)+1*(((0.15*B690*5))^1/1)+2*(((0.15*B690*5))^2/2)+3*(((0.15*B690*5))^3/6)+4*(((0.15*B690*5))^4/24)+5*(((0.15*B690*5))^5/120))/((((0.15*B690*5))^0/1)+(((0.15*B690*5))^1/1)+(((0.15*B690*5))^2/2)+(((0.15*B690*5))^3/6)+(((0.15*B690*5))^4/24)+(((0.15*B690*5))^5/120))),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664">
      <c r="A664">
        <f>Skills!A8</f>
        <v/>
      </c>
      <c r="B664">
        <f>Skills!B8</f>
        <v/>
      </c>
      <c r="C664">
        <f>Inputs!$B$3&gt;=100</f>
        <v/>
      </c>
      <c r="D664">
        <f>IF(Skills!C8=1,60+Inputs!$B$25+Inputs!$B$29,IF(Skills!C8=2,90+Inputs!$B$26+Inputs!$B$29,IF(Skills!C8=3,120+Inputs!$B$27+Inputs!$B$29,MAX(0,(Inputs!$B$3-100)*3)+Inputs!$B$28+Inputs!$B$29)))</f>
        <v/>
      </c>
      <c r="E664">
        <f>INDEX(FactorTable!$B$2:$Y$301, MATCH(ROUND(MIN(300,MAX(1,D664)),0), FactorTable!$A$2:$A$301,0), Skills!M8+1)</f>
        <v/>
      </c>
      <c r="F664">
        <f>IF(Skills!N8=TRUE,(Skills!L8/10)*(E664/1000),Skills!L8/10)+Skills!O8</f>
        <v/>
      </c>
      <c r="G664" t="inlineStr"/>
      <c r="H664" t="inlineStr"/>
      <c r="I664" t="inlineStr">
        <is>
          <t>1</t>
        </is>
      </c>
      <c r="J664" t="inlineStr"/>
      <c r="K664" t="inlineStr"/>
      <c r="L664" t="inlineStr"/>
      <c r="M664" t="inlineStr"/>
      <c r="N664" t="inlineStr"/>
      <c r="O664" t="inlineStr"/>
      <c r="P664" t="inlineStr"/>
      <c r="Q664" t="inlineStr"/>
      <c r="R664" t="inlineStr"/>
      <c r="S664" t="inlineStr"/>
      <c r="T664" t="inlineStr"/>
      <c r="V664" t="inlineStr"/>
    </row>
    <row r="665">
      <c r="A665">
        <f>Skills!A9</f>
        <v/>
      </c>
      <c r="B665">
        <f>Skills!B9</f>
        <v/>
      </c>
      <c r="C665">
        <f>Inputs!$B$3&gt;=103</f>
        <v/>
      </c>
      <c r="D665">
        <f>IF(Skills!C9=1,60+Inputs!$B$25+Inputs!$B$29,IF(Skills!C9=2,90+Inputs!$B$26+Inputs!$B$29,IF(Skills!C9=3,120+Inputs!$B$27+Inputs!$B$29,MAX(0,(Inputs!$B$3-100)*3)+Inputs!$B$28+Inputs!$B$29)))</f>
        <v/>
      </c>
      <c r="E665">
        <f>INDEX(FactorTable!$B$2:$Y$301, MATCH(ROUND(MIN(300,MAX(1,D665)),0), FactorTable!$A$2:$A$301,0), Skills!M9+1)</f>
        <v/>
      </c>
      <c r="F665">
        <f>IF(Skills!N9=TRUE,(Skills!L9/10)*(E665/1000),Skills!L9/10)+Skills!O9</f>
        <v/>
      </c>
      <c r="G665">
        <f>Skills!G9*IF(Skills!H9&gt;0,Skills!I9/Skills!H9,1)</f>
        <v/>
      </c>
      <c r="H665">
        <f>1-(1-Skills!J9/100)^Skills!K9</f>
        <v/>
      </c>
      <c r="I665" t="inlineStr">
        <is>
          <t>1</t>
        </is>
      </c>
      <c r="J665">
        <f>((Inputs!$B$6*(1+Inputs!$B$7/100))+(((Inputs!$B$12*(1+Inputs!$B$13/100))-(Inputs!$B$12*(1+Inputs!$B$13/100)))+0.25*(Inputs!$B$14-Inputs!$B$14))*(1+Inputs!$B$7/100))*(F665/100)</f>
        <v/>
      </c>
      <c r="K665">
        <f>J665*(1+((Inputs!$B$12*(1+Inputs!$B$13/100))*0.01+Inputs!$B$14*0.0025)/100)*(1+Inputs!$B$15/100)*(1+Inputs!$B$16/100)*(5000/(6000+Inputs!$B$42*(1-(100*(1-(1-(((1-(1-Inputs!$B$19/100)*(1-1/100))*100)+0)/100)*(1-CHOOSE(ArtifactsInput!$N$40+1,5,6,7,8,9,10)/100)^(ArtifactsInput!$M$40-ArtifactsInput!$M$40)))/100)))*(1+(Inputs!$B$24+((C680=TRUE)*(F680-Calc!F24))+((C681=TRUE)*(F681-Calc!F25))+B694)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EMPOWERED_PIERCING_ARROW",Inputs!$B$17+((C678=TRUE)*(F678-Calc!F22))+(((IF(AND(ArtifactsInput!$M$42,((Inputs!$B$9+((C675=TRUE)*(F675-Calc!F19))+B688+(ArtifactsInput!$M$24-ArtifactsInput!$M$24)*CHOOSE(ArtifactsInput!$N$24+1,10,12,14,16,18,20)+IF(ArtifactsInput!$M$10,CHOOSE(ArtifactsInput!$N$10+1,15,18,21,24,27,30)*(IF(Inputs!$B$38="pvp",MIN(15,15)/15,IF(AND(Inputs!$B$38&lt;&gt;"pvp",Inputs!$B$43&gt;0),MIN(15,Inputs!$B$43)/(Inputs!$B$43),0))),0)))&gt;=100),MIN(100,((Inputs!$B$9+((C675=TRUE)*(F675-Calc!F19))+B688+(ArtifactsInput!$M$24-ArtifactsInput!$M$24)*CHOOSE(ArtifactsInput!$N$24+1,10,12,14,16,18,20)+IF(ArtifactsInput!$M$10,CHOOSE(ArtifactsInput!$N$10+1,15,18,21,24,27,30)*(IF(Inputs!$B$38="pvp",MIN(15,15)/15,IF(AND(Inputs!$B$38&lt;&gt;"pvp",Inputs!$B$43&gt;0),MIN(15,Inputs!$B$43)/(Inputs!$B$43),0))),0)))-100),0))*CHOOSE(ArtifactsInput!$N$42+1,0.6,0.72,0.84,0.96,1.08,1.2))),Inputs!$B$18+((C683=TRUE)*(F683-Calc!F27))+(IF(AND(ArtifactsInput!$M$42,((Inputs!$B$9+((C675=TRUE)*(F675-Calc!F19))+B688+(ArtifactsInput!$M$24-ArtifactsInput!$M$24)*CHOOSE(ArtifactsInput!$N$24+1,10,12,14,16,18,20)+IF(ArtifactsInput!$M$10,CHOOSE(ArtifactsInput!$N$10+1,15,18,21,24,27,30)*(IF(Inputs!$B$38="pvp",MIN(15,15)/15,IF(AND(Inputs!$B$38&lt;&gt;"pvp",Inputs!$B$43&gt;0),MIN(15,Inputs!$B$43)/(Inputs!$B$43),0))),0)))&gt;=100),CHOOSE(ArtifactsInput!$N$42+1,40,48,56,64,72,80),0))))/100)*((1+(((C669=TRUE)*F669)+((C670=TRUE)*IF(Inputs!$B$38="pvp",F670,(1-Summary!$B$11)*(F670)+Summary!$B$11*(0)))+((C671=TRUE)*F671*IF(AND(Inputs!$B$38&lt;&gt;"pvp",Inputs!$B$43&gt;0),(((R671-1)*(Skills!T15*(1+Inputs!$B$34/100))+MIN((Skills!T15*(1+Inputs!$B$34/100)),MAX(0,Inputs!$B$43-((R671-1)*Skills!D15))))/Inputs!$B$43),IF(Inputs!$B$38="pvp",MIN((Skills!T15*(1+Inputs!$B$34/100)),15)/15,(Skills!T15*(1+Inputs!$B$34/100))/Skills!D15)))+((C668=TRUE)*F668)+((C685=TRUE)*(F685-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665)</f>
        <v/>
      </c>
      <c r="L665">
        <f>K665*(MIN(Inputs!$B$22+((C679=TRUE)*(F679-Calc!F23)),(Inputs!$B$23+((C684=TRUE)*(F684-Calc!F28))+(IF(ArtifactsInput!$M$15,CHOOSE(ArtifactsInput!$N$15+1,25,30,35,40,45,50)/100*(Inputs!$B$11-Inputs!$B$11),0))))/100+(Inputs!$B$23+((C684=TRUE)*(F684-Calc!F28))+(IF(ArtifactsInput!$M$15,CHOOSE(ArtifactsInput!$N$15+1,25,30,35,40,45,50)/100*(Inputs!$B$11-Inputs!$B$11),0)))/100)/2</f>
        <v/>
      </c>
      <c r="M665">
        <f>L665*(1+(Inputs!$B$10+0+B693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665">
        <f>L665*(1-MIN((Inputs!$B$9+((C675=TRUE)*(F675-Calc!F19))+B688+(ArtifactsInput!$M$24-ArtifactsInput!$M$24)*CHOOSE(ArtifactsInput!$N$24+1,10,12,14,16,18,20)+(IF(AND(ArtifactsInput!$M$42,((Inputs!$B$9+((C675=TRUE)*(F675-Calc!F19))+B688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665*(MIN((Inputs!$B$9+((C675=TRUE)*(F675-Calc!F19))+B688+(ArtifactsInput!$M$24-ArtifactsInput!$M$24)*CHOOSE(ArtifactsInput!$N$24+1,10,12,14,16,18,20)+(IF(AND(ArtifactsInput!$M$42,((Inputs!$B$9+((C675=TRUE)*(F675-Calc!F19))+B688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665">
        <f>(1-Summary!$B$11)*T665+Summary!$B$11*V665</f>
        <v/>
      </c>
      <c r="P665">
        <f>IF(B698=0,0,O665/B698)</f>
        <v/>
      </c>
      <c r="Q665">
        <f>IFERROR(1/IF(Inputs!$B$38="pvp",15,MAX(0.1,Skills!D9-IF(Skills!E9=TRUE,Inputs!$B$32,0))),0)</f>
        <v/>
      </c>
      <c r="R665">
        <f>IF(AND(Inputs!$B$38&lt;&gt;"pvp",Inputs!$B$43&gt;0),IF(MAX(0,Inputs!$B$43-B695)&lt;=0,0,(INT(MAX(0,Inputs!$B$43-B695)/IF(Inputs!$B$38="pvp",15,MAX(0.1,Skills!D9-IF(Skills!E9=TRUE,Inputs!$B$32,0))))+1)),0)</f>
        <v/>
      </c>
      <c r="S665">
        <f>IFERROR((H665*N665*IF(AND(Inputs!$B$38&lt;&gt;"pvp",Inputs!$B$43&gt;0),((Skills!G9*((R665-1)*IF(Skills!H9&gt;0,Skills!I9/Skills!H9,1)+IF(Skills!H9&gt;0,MIN(Skills!I9,MAX(0,MAX(0,Inputs!$B$43-B695)-((R665-1)*IF(Inputs!$B$38="pvp",15,MAX(0.1,Skills!D9-IF(Skills!E9=TRUE,Inputs!$B$32,0))))))/Skills!H9,1)))/Inputs!$B$43),G665*Q665))/N665*IF(Inputs!$B$38="pvp",1,(1-Summary!$B$11)*1+Summary!$B$11*(MIN(Skills!R9,Inputs!$B$37))),0)</f>
        <v/>
      </c>
      <c r="T665">
        <f>IF(C665,(H665*N665*IF(AND(Inputs!$B$38&lt;&gt;"pvp",Inputs!$B$43&gt;0),((Skills!G9*((R665-1)*IF(Skills!H9&gt;0,Skills!I9/Skills!H9,1)+IF(Skills!H9&gt;0,MIN(Skills!I9,MAX(0,MAX(0,Inputs!$B$43-B695)-((R665-1)*IF(Inputs!$B$38="pvp",15,MAX(0.1,Skills!D9-IF(Skills!E9=TRUE,Inputs!$B$32,0))))))/Skills!H9,1)))/Inputs!$B$43),G665*Q665))*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Hunt"),CHOOSE(ArtifactsInput!$N$35+1,15,18,21,24,27,30)*(1-EXP(-(0.2*B690)*5)),0)+IF(AND(ArtifactsInput!$M$22,Inputs!$B$4&lt;&gt;"Chapter Hunt"),CHOOSE(ArtifactsInput!$N$22+1,10,12,14,16,18,20)*((0*(((0.15*B690*5))^0/1)+1*(((0.15*B690*5))^1/1)+2*(((0.15*B690*5))^2/2)+3*(((0.15*B690*5))^3/6)+4*(((0.15*B690*5))^4/24)+5*(((0.15*B690*5))^5/120))/((((0.15*B690*5))^0/1)+(((0.15*B690*5))^1/1)+(((0.15*B690*5))^2/2)+(((0.15*B690*5))^3/6)+(((0.15*B690*5))^4/24)+(((0.15*B690*5))^5/120))),0)))/100)*((((5000/(6000+Inputs!$B$42*(1-(100*(1-(1-(100*(1-(1-(((1-(1-Inputs!$B$19/100)*(1-1/100))*100)+0)/100)*(1-CHOOSE(ArtifactsInput!$N$40+1,5,6,7,8,9,10)/100)^(ArtifactsInput!$M$40-ArtifactsInput!$M$40)))/100)*(1-IF(ArtifactsInput!$M$40,CHOOSE(ArtifactsInput!$N$40+1,5,6,7,8,9,10),0)/100)^IF(Inputs!$B$38="pvp",1,2)))/100)))/(5000/(6000+Inputs!$B$42*(1-(100*(1-(1-(((1-(1-Inputs!$B$19/100)*(1-1/100))*100)+0)/100)*(1-CHOOSE(ArtifactsInput!$N$40+1,5,6,7,8,9,10)/100)^(ArtifactsInput!$M$40-ArtifactsInput!$M$40)))/100))))*((L665*(1-MIN(100,(Inputs!$B$9+((C675=TRUE)*(F675-Calc!F19))+B688+(ArtifactsInput!$M$24-ArtifactsInput!$M$24)*CHOOSE(ArtifactsInput!$N$24+1,10,12,14,16,18,20)+(IF(AND(ArtifactsInput!$M$42,((Inputs!$B$9+((C675=TRUE)*(F675-Calc!F19))+B688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665*(MIN(100,(Inputs!$B$9+((C675=TRUE)*(F675-Calc!F19))+B688+(ArtifactsInput!$M$24-ArtifactsInput!$M$24)*CHOOSE(ArtifactsInput!$N$24+1,10,12,14,16,18,20)+(IF(AND(ArtifactsInput!$M$42,((Inputs!$B$9+((C675=TRUE)*(F675-Calc!F19))+B688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665*(1-MIN(100,(Inputs!$B$9+((C675=TRUE)*(F675-Calc!F19))+B688+(ArtifactsInput!$M$24-ArtifactsInput!$M$24)*CHOOSE(ArtifactsInput!$N$24+1,10,12,14,16,18,20)+(IF(AND(ArtifactsInput!$M$42,((Inputs!$B$9+((C675=TRUE)*(F675-Calc!F19))+B688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665*(MIN(100,(Inputs!$B$9+((C675=TRUE)*(F675-Calc!F19))+B688+(ArtifactsInput!$M$24-ArtifactsInput!$M$24)*CHOOSE(ArtifactsInput!$N$24+1,10,12,14,16,18,20)+(IF(AND(ArtifactsInput!$M$42,((Inputs!$B$9+((C675=TRUE)*(F675-Calc!F19))+B688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665">
        <f>IF(C665,(H665*N665*IF(AND(Inputs!$B$38&lt;&gt;"pvp",Inputs!$B$43&gt;0),((Skills!G9*((R665-1)*IF(Skills!H9&gt;0,Skills!I9/Skills!H9,1)+IF(Skills!H9&gt;0,MIN(Skills!I9,MAX(0,MAX(0,Inputs!$B$43-B695)-((R665-1)*IF(Inputs!$B$38="pvp",15,MAX(0.1,Skills!D9-IF(Skills!E9=TRUE,Inputs!$B$32,0))))))/Skills!H9,1)))/Inputs!$B$43),G665*Q665))*IF(Inputs!$B$38="pvp",1,(1+(Inputs!$B$21+Skills!Q9+(IF(ArtifactsInput!$M$33,CHOOSE(ArtifactsInput!$N$33+1,30,36,42,48,54,60),0))+(IF(AND(ArtifactsInput!$M$35,Inputs!$B$4&lt;&gt;"Chapter Hunt"),CHOOSE(ArtifactsInput!$N$35+1,15,18,21,24,27,30)*(1-EXP(-(0.2*B690)*5)),0)+IF(AND(ArtifactsInput!$M$22,Inputs!$B$4&lt;&gt;"Chapter Hunt"),CHOOSE(ArtifactsInput!$N$22+1,10,12,14,16,18,20)*((0*(((0.15*B690*5))^0/1)+1*(((0.15*B690*5))^1/1)+2*(((0.15*B690*5))^2/2)+3*(((0.15*B690*5))^3/6)+4*(((0.15*B690*5))^4/24)+5*(((0.15*B690*5))^5/120))/((((0.15*B690*5))^0/1)+(((0.15*B690*5))^1/1)+(((0.15*B690*5))^2/2)+(((0.15*B690*5))^3/6)+(((0.15*B690*5))^4/24)+(((0.15*B690*5))^5/120)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666">
      <c r="A666">
        <f>Skills!A10</f>
        <v/>
      </c>
      <c r="B666">
        <f>Skills!B10</f>
        <v/>
      </c>
      <c r="C666">
        <f>Inputs!$B$3&gt;=107</f>
        <v/>
      </c>
      <c r="D666">
        <f>IF(Skills!C10=1,60+Inputs!$B$25+Inputs!$B$29,IF(Skills!C10=2,90+Inputs!$B$26+Inputs!$B$29,IF(Skills!C10=3,120+Inputs!$B$27+Inputs!$B$29,MAX(0,(Inputs!$B$3-100)*3)+Inputs!$B$28+Inputs!$B$29)))</f>
        <v/>
      </c>
      <c r="E666">
        <f>INDEX(FactorTable!$B$2:$Y$301, MATCH(ROUND(MIN(300,MAX(1,D666)),0), FactorTable!$A$2:$A$301,0), Skills!M10+1)</f>
        <v/>
      </c>
      <c r="F666">
        <f>IF(Skills!N10=TRUE,(Skills!L10/10)*(E666/1000),Skills!L10/10)+Skills!O10</f>
        <v/>
      </c>
      <c r="G666">
        <f>Skills!G10*IF(Skills!H10&gt;0,Skills!I10/Skills!H10,1)</f>
        <v/>
      </c>
      <c r="H666">
        <f>1-(1-Skills!J10/100)^Skills!K10</f>
        <v/>
      </c>
      <c r="I666" t="inlineStr">
        <is>
          <t>1</t>
        </is>
      </c>
      <c r="J666">
        <f>((Inputs!$B$6*(1+Inputs!$B$7/100))+(((Inputs!$B$12*(1+Inputs!$B$13/100))-(Inputs!$B$12*(1+Inputs!$B$13/100)))+0.25*(Inputs!$B$14-Inputs!$B$14))*(1+Inputs!$B$7/100))*(F666/100)</f>
        <v/>
      </c>
      <c r="K666">
        <f>J666*(1+((Inputs!$B$12*(1+Inputs!$B$13/100))*0.01+Inputs!$B$14*0.0025)/100)*(1+Inputs!$B$15/100)*(1+Inputs!$B$16/100)*(5000/(6000+Inputs!$B$42*(1-(100*(1-(1-(((1-(1-Inputs!$B$19/100)*(1-1/100))*100)+0)/100)*(1-CHOOSE(ArtifactsInput!$N$40+1,5,6,7,8,9,10)/100)^(ArtifactsInput!$M$40-ArtifactsInput!$M$40)))/100)))*(1+(Inputs!$B$24+((C680=TRUE)*(F680-Calc!F24))+((C681=TRUE)*(F681-Calc!F25))+B694)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EMPOWERED_PIERCING_ARROW",Inputs!$B$17+((C678=TRUE)*(F678-Calc!F22))+(((IF(AND(ArtifactsInput!$M$42,((Inputs!$B$9+((C675=TRUE)*(F675-Calc!F19))+B688+(ArtifactsInput!$M$24-ArtifactsInput!$M$24)*CHOOSE(ArtifactsInput!$N$24+1,10,12,14,16,18,20)+IF(ArtifactsInput!$M$10,CHOOSE(ArtifactsInput!$N$10+1,15,18,21,24,27,30)*(IF(Inputs!$B$38="pvp",MIN(15,15)/15,IF(AND(Inputs!$B$38&lt;&gt;"pvp",Inputs!$B$43&gt;0),MIN(15,Inputs!$B$43)/(Inputs!$B$43),0))),0)))&gt;=100),MIN(100,((Inputs!$B$9+((C675=TRUE)*(F675-Calc!F19))+B688+(ArtifactsInput!$M$24-ArtifactsInput!$M$24)*CHOOSE(ArtifactsInput!$N$24+1,10,12,14,16,18,20)+IF(ArtifactsInput!$M$10,CHOOSE(ArtifactsInput!$N$10+1,15,18,21,24,27,30)*(IF(Inputs!$B$38="pvp",MIN(15,15)/15,IF(AND(Inputs!$B$38&lt;&gt;"pvp",Inputs!$B$43&gt;0),MIN(15,Inputs!$B$43)/(Inputs!$B$43),0))),0)))-100),0))*CHOOSE(ArtifactsInput!$N$42+1,0.6,0.72,0.84,0.96,1.08,1.2))),Inputs!$B$18+((C683=TRUE)*(F683-Calc!F27))+(IF(AND(ArtifactsInput!$M$42,((Inputs!$B$9+((C675=TRUE)*(F675-Calc!F19))+B688+(ArtifactsInput!$M$24-ArtifactsInput!$M$24)*CHOOSE(ArtifactsInput!$N$24+1,10,12,14,16,18,20)+IF(ArtifactsInput!$M$10,CHOOSE(ArtifactsInput!$N$10+1,15,18,21,24,27,30)*(IF(Inputs!$B$38="pvp",MIN(15,15)/15,IF(AND(Inputs!$B$38&lt;&gt;"pvp",Inputs!$B$43&gt;0),MIN(15,Inputs!$B$43)/(Inputs!$B$43),0))),0)))&gt;=100),CHOOSE(ArtifactsInput!$N$42+1,40,48,56,64,72,80),0))))/100)*((1+(((C669=TRUE)*F669)+((C670=TRUE)*IF(Inputs!$B$38="pvp",F670,(1-Summary!$B$11)*(F670)+Summary!$B$11*(0)))+((C671=TRUE)*F671*IF(AND(Inputs!$B$38&lt;&gt;"pvp",Inputs!$B$43&gt;0),(((R671-1)*(Skills!T15*(1+Inputs!$B$34/100))+MIN((Skills!T15*(1+Inputs!$B$34/100)),MAX(0,Inputs!$B$43-((R671-1)*Skills!D15))))/Inputs!$B$43),IF(Inputs!$B$38="pvp",MIN((Skills!T15*(1+Inputs!$B$34/100)),15)/15,(Skills!T15*(1+Inputs!$B$34/100))/Skills!D15)))+((C668=TRUE)*F668)+((C685=TRUE)*(F685-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666)</f>
        <v/>
      </c>
      <c r="L666">
        <f>K666*(MIN(Inputs!$B$22+((C679=TRUE)*(F679-Calc!F23)),(Inputs!$B$23+((C684=TRUE)*(F684-Calc!F28))+(IF(ArtifactsInput!$M$15,CHOOSE(ArtifactsInput!$N$15+1,25,30,35,40,45,50)/100*(Inputs!$B$11-Inputs!$B$11),0))))/100+(Inputs!$B$23+((C684=TRUE)*(F684-Calc!F28))+(IF(ArtifactsInput!$M$15,CHOOSE(ArtifactsInput!$N$15+1,25,30,35,40,45,50)/100*(Inputs!$B$11-Inputs!$B$11),0)))/100)/2</f>
        <v/>
      </c>
      <c r="M666">
        <f>L666*(1+(Inputs!$B$10+0+B693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666">
        <f>L666*(1-MIN((Inputs!$B$9+((C675=TRUE)*(F675-Calc!F19))+B688+(ArtifactsInput!$M$24-ArtifactsInput!$M$24)*CHOOSE(ArtifactsInput!$N$24+1,10,12,14,16,18,20)+(IF(AND(ArtifactsInput!$M$42,((Inputs!$B$9+((C675=TRUE)*(F675-Calc!F19))+B688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666*(MIN((Inputs!$B$9+((C675=TRUE)*(F675-Calc!F19))+B688+(ArtifactsInput!$M$24-ArtifactsInput!$M$24)*CHOOSE(ArtifactsInput!$N$24+1,10,12,14,16,18,20)+(IF(AND(ArtifactsInput!$M$42,((Inputs!$B$9+((C675=TRUE)*(F675-Calc!F19))+B688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666">
        <f>(1-Summary!$B$11)*T666+Summary!$B$11*V666</f>
        <v/>
      </c>
      <c r="P666">
        <f>IF(B698=0,0,O666/B698)</f>
        <v/>
      </c>
      <c r="Q666" t="n">
        <v>0</v>
      </c>
      <c r="R666" t="n">
        <v>0</v>
      </c>
      <c r="S666" t="n">
        <v>0</v>
      </c>
      <c r="T666">
        <f>IF(C666,(0.15*SUMPRODUCT((Skills!U2:U29=TRUE)*(C658:C685=TRUE)*S658:S685)*Skills!G10*N666)*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Hunt"),CHOOSE(ArtifactsInput!$N$35+1,15,18,21,24,27,30)*(1-EXP(-(0.2*B690)*5)),0)+IF(AND(ArtifactsInput!$M$22,Inputs!$B$4&lt;&gt;"Chapter Hunt"),CHOOSE(ArtifactsInput!$N$22+1,10,12,14,16,18,20)*((0*(((0.15*B690*5))^0/1)+1*(((0.15*B690*5))^1/1)+2*(((0.15*B690*5))^2/2)+3*(((0.15*B690*5))^3/6)+4*(((0.15*B690*5))^4/24)+5*(((0.15*B690*5))^5/120))/((((0.15*B690*5))^0/1)+(((0.15*B690*5))^1/1)+(((0.15*B690*5))^2/2)+(((0.15*B690*5))^3/6)+(((0.15*B690*5))^4/24)+(((0.15*B690*5))^5/120))),0)))/100)*((((5000/(6000+Inputs!$B$42*(1-(100*(1-(1-(100*(1-(1-(((1-(1-Inputs!$B$19/100)*(1-1/100))*100)+0)/100)*(1-CHOOSE(ArtifactsInput!$N$40+1,5,6,7,8,9,10)/100)^(ArtifactsInput!$M$40-ArtifactsInput!$M$40)))/100)*(1-IF(ArtifactsInput!$M$40,CHOOSE(ArtifactsInput!$N$40+1,5,6,7,8,9,10),0)/100)^IF(Inputs!$B$38="pvp",1,2)))/100)))/(5000/(6000+Inputs!$B$42*(1-(100*(1-(1-(((1-(1-Inputs!$B$19/100)*(1-1/100))*100)+0)/100)*(1-CHOOSE(ArtifactsInput!$N$40+1,5,6,7,8,9,10)/100)^(ArtifactsInput!$M$40-ArtifactsInput!$M$40)))/100))))*((L666*(1-MIN(100,(Inputs!$B$9+((C675=TRUE)*(F675-Calc!F19))+B688+(ArtifactsInput!$M$24-ArtifactsInput!$M$24)*CHOOSE(ArtifactsInput!$N$24+1,10,12,14,16,18,20)+(IF(AND(ArtifactsInput!$M$42,((Inputs!$B$9+((C675=TRUE)*(F675-Calc!F19))+B688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666*(MIN(100,(Inputs!$B$9+((C675=TRUE)*(F675-Calc!F19))+B688+(ArtifactsInput!$M$24-ArtifactsInput!$M$24)*CHOOSE(ArtifactsInput!$N$24+1,10,12,14,16,18,20)+(IF(AND(ArtifactsInput!$M$42,((Inputs!$B$9+((C675=TRUE)*(F675-Calc!F19))+B688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666*(1-MIN(100,(Inputs!$B$9+((C675=TRUE)*(F675-Calc!F19))+B688+(ArtifactsInput!$M$24-ArtifactsInput!$M$24)*CHOOSE(ArtifactsInput!$N$24+1,10,12,14,16,18,20)+(IF(AND(ArtifactsInput!$M$42,((Inputs!$B$9+((C675=TRUE)*(F675-Calc!F19))+B688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666*(MIN(100,(Inputs!$B$9+((C675=TRUE)*(F675-Calc!F19))+B688+(ArtifactsInput!$M$24-ArtifactsInput!$M$24)*CHOOSE(ArtifactsInput!$N$24+1,10,12,14,16,18,20)+(IF(AND(ArtifactsInput!$M$42,((Inputs!$B$9+((C675=TRUE)*(F675-Calc!F19))+B688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666">
        <f>IF(C666,(0.15*SUMPRODUCT((Skills!U2:U29=TRUE)*(C658:C685=TRUE)*S658:S685)*Skills!G10*N666)*IF(Inputs!$B$38="pvp",1,(1+(Inputs!$B$21+Skills!Q10+(IF(ArtifactsInput!$M$33,CHOOSE(ArtifactsInput!$N$33+1,30,36,42,48,54,60),0))+(IF(AND(ArtifactsInput!$M$35,Inputs!$B$4&lt;&gt;"Chapter Hunt"),CHOOSE(ArtifactsInput!$N$35+1,15,18,21,24,27,30)*(1-EXP(-(0.2*B690)*5)),0)+IF(AND(ArtifactsInput!$M$22,Inputs!$B$4&lt;&gt;"Chapter Hunt"),CHOOSE(ArtifactsInput!$N$22+1,10,12,14,16,18,20)*((0*(((0.15*B690*5))^0/1)+1*(((0.15*B690*5))^1/1)+2*(((0.15*B690*5))^2/2)+3*(((0.15*B690*5))^3/6)+4*(((0.15*B690*5))^4/24)+5*(((0.15*B690*5))^5/120))/((((0.15*B690*5))^0/1)+(((0.15*B690*5))^1/1)+(((0.15*B690*5))^2/2)+(((0.15*B690*5))^3/6)+(((0.15*B690*5))^4/24)+(((0.15*B690*5))^5/120)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667">
      <c r="A667">
        <f>Skills!A11</f>
        <v/>
      </c>
      <c r="B667">
        <f>Skills!B11</f>
        <v/>
      </c>
      <c r="C667">
        <f>Inputs!$B$3&gt;=110</f>
        <v/>
      </c>
      <c r="D667">
        <f>IF(Skills!C11=1,60+Inputs!$B$25+Inputs!$B$29,IF(Skills!C11=2,90+Inputs!$B$26+Inputs!$B$29,IF(Skills!C11=3,120+Inputs!$B$27+Inputs!$B$29,MAX(0,(Inputs!$B$3-100)*3)+Inputs!$B$28+Inputs!$B$29)))</f>
        <v/>
      </c>
      <c r="E667">
        <f>INDEX(FactorTable!$B$2:$Y$301, MATCH(ROUND(MIN(300,MAX(1,D667)),0), FactorTable!$A$2:$A$301,0), Skills!M11+1)</f>
        <v/>
      </c>
      <c r="F667">
        <f>IF(Skills!N11=TRUE,(Skills!L11/10)*(E667/1000),Skills!L11/10)+Skills!O11</f>
        <v/>
      </c>
      <c r="G667">
        <f>Skills!G11*IF(Skills!H11&gt;0,Skills!I11/Skills!H11,1)</f>
        <v/>
      </c>
      <c r="H667">
        <f>1-(1-Skills!J11/100)^Skills!K11</f>
        <v/>
      </c>
      <c r="I667" t="inlineStr">
        <is>
          <t>1</t>
        </is>
      </c>
      <c r="J667">
        <f>((Inputs!$B$6*(1+Inputs!$B$7/100))+(((Inputs!$B$12*(1+Inputs!$B$13/100))-(Inputs!$B$12*(1+Inputs!$B$13/100)))+0.25*(Inputs!$B$14-Inputs!$B$14))*(1+Inputs!$B$7/100))*(F667/100)</f>
        <v/>
      </c>
      <c r="K667">
        <f>J667*(1+((Inputs!$B$12*(1+Inputs!$B$13/100))*0.01+Inputs!$B$14*0.0025)/100)*(1+Inputs!$B$15/100)*(1+Inputs!$B$16/100)*(5000/(6000+Inputs!$B$42*(1-(100*(1-(1-(((1-(1-Inputs!$B$19/100)*(1-1/100))*100)+0)/100)*(1-CHOOSE(ArtifactsInput!$N$40+1,5,6,7,8,9,10)/100)^(ArtifactsInput!$M$40-ArtifactsInput!$M$40)))/100)))*(1+(Inputs!$B$24+((C680=TRUE)*(F680-Calc!F24))+((C681=TRUE)*(F681-Calc!F25))+B694)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11="EMPOWERED_PIERCING_ARROW",Inputs!$B$17+((C678=TRUE)*(F678-Calc!F22))+(((IF(AND(ArtifactsInput!$M$42,((Inputs!$B$9+((C675=TRUE)*(F675-Calc!F19))+B688+(ArtifactsInput!$M$24-ArtifactsInput!$M$24)*CHOOSE(ArtifactsInput!$N$24+1,10,12,14,16,18,20)+IF(ArtifactsInput!$M$10,CHOOSE(ArtifactsInput!$N$10+1,15,18,21,24,27,30)*(IF(Inputs!$B$38="pvp",MIN(15,15)/15,IF(AND(Inputs!$B$38&lt;&gt;"pvp",Inputs!$B$43&gt;0),MIN(15,Inputs!$B$43)/(Inputs!$B$43),0))),0)))&gt;=100),MIN(100,((Inputs!$B$9+((C675=TRUE)*(F675-Calc!F19))+B688+(ArtifactsInput!$M$24-ArtifactsInput!$M$24)*CHOOSE(ArtifactsInput!$N$24+1,10,12,14,16,18,20)+IF(ArtifactsInput!$M$10,CHOOSE(ArtifactsInput!$N$10+1,15,18,21,24,27,30)*(IF(Inputs!$B$38="pvp",MIN(15,15)/15,IF(AND(Inputs!$B$38&lt;&gt;"pvp",Inputs!$B$43&gt;0),MIN(15,Inputs!$B$43)/(Inputs!$B$43),0))),0)))-100),0))*CHOOSE(ArtifactsInput!$N$42+1,0.6,0.72,0.84,0.96,1.08,1.2))),Inputs!$B$18+((C683=TRUE)*(F683-Calc!F27))+(IF(AND(ArtifactsInput!$M$42,((Inputs!$B$9+((C675=TRUE)*(F675-Calc!F19))+B688+(ArtifactsInput!$M$24-ArtifactsInput!$M$24)*CHOOSE(ArtifactsInput!$N$24+1,10,12,14,16,18,20)+IF(ArtifactsInput!$M$10,CHOOSE(ArtifactsInput!$N$10+1,15,18,21,24,27,30)*(IF(Inputs!$B$38="pvp",MIN(15,15)/15,IF(AND(Inputs!$B$38&lt;&gt;"pvp",Inputs!$B$43&gt;0),MIN(15,Inputs!$B$43)/(Inputs!$B$43),0))),0)))&gt;=100),CHOOSE(ArtifactsInput!$N$42+1,40,48,56,64,72,80),0))))/100)*((1+(((C669=TRUE)*F669)+((C670=TRUE)*IF(Inputs!$B$38="pvp",F670,(1-Summary!$B$11)*(F670)+Summary!$B$11*(0)))+((C671=TRUE)*F671*IF(AND(Inputs!$B$38&lt;&gt;"pvp",Inputs!$B$43&gt;0),(((R671-1)*(Skills!T15*(1+Inputs!$B$34/100))+MIN((Skills!T15*(1+Inputs!$B$34/100)),MAX(0,Inputs!$B$43-((R671-1)*Skills!D15))))/Inputs!$B$43),IF(Inputs!$B$38="pvp",MIN((Skills!T15*(1+Inputs!$B$34/100)),15)/15,(Skills!T15*(1+Inputs!$B$34/100))/Skills!D15)))+((C668=TRUE)*F668)+((C685=TRUE)*(F685-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667)</f>
        <v/>
      </c>
      <c r="L667">
        <f>K667*(MIN(Inputs!$B$22+((C679=TRUE)*(F679-Calc!F23)),(Inputs!$B$23+((C684=TRUE)*(F684-Calc!F28))+(IF(ArtifactsInput!$M$15,CHOOSE(ArtifactsInput!$N$15+1,25,30,35,40,45,50)/100*(Inputs!$B$11-Inputs!$B$11),0))))/100+(Inputs!$B$23+((C684=TRUE)*(F684-Calc!F28))+(IF(ArtifactsInput!$M$15,CHOOSE(ArtifactsInput!$N$15+1,25,30,35,40,45,50)/100*(Inputs!$B$11-Inputs!$B$11),0)))/100)/2</f>
        <v/>
      </c>
      <c r="M667">
        <f>L667*(1+(Inputs!$B$10+0+B693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667">
        <f>L667*(1-MIN((Inputs!$B$9+((C675=TRUE)*(F675-Calc!F19))+B688+(ArtifactsInput!$M$24-ArtifactsInput!$M$24)*CHOOSE(ArtifactsInput!$N$24+1,10,12,14,16,18,20)+(IF(AND(ArtifactsInput!$M$42,((Inputs!$B$9+((C675=TRUE)*(F675-Calc!F19))+B688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667*(MIN((Inputs!$B$9+((C675=TRUE)*(F675-Calc!F19))+B688+(ArtifactsInput!$M$24-ArtifactsInput!$M$24)*CHOOSE(ArtifactsInput!$N$24+1,10,12,14,16,18,20)+(IF(AND(ArtifactsInput!$M$42,((Inputs!$B$9+((C675=TRUE)*(F675-Calc!F19))+B688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667">
        <f>(1-Summary!$B$11)*T667+Summary!$B$11*V667</f>
        <v/>
      </c>
      <c r="P667">
        <f>IF(B698=0,0,O667/B698)</f>
        <v/>
      </c>
      <c r="Q667">
        <f>IFERROR(1/IF(Inputs!$B$38="pvp",15,MAX(0.1,Skills!D11-IF(Skills!E11=TRUE,Inputs!$B$32,0))),0)</f>
        <v/>
      </c>
      <c r="R667">
        <f>IF(AND(Inputs!$B$38&lt;&gt;"pvp",Inputs!$B$43&gt;0),IF(MAX(0,Inputs!$B$43-B695)&lt;=0,0,(INT(MAX(0,Inputs!$B$43-B695)/IF(Inputs!$B$38="pvp",15,MAX(0.1,Skills!D11-IF(Skills!E11=TRUE,Inputs!$B$32,0))))+1)),0)</f>
        <v/>
      </c>
      <c r="S667">
        <f>IFERROR((H667*N667*IF(AND(Inputs!$B$38&lt;&gt;"pvp",Inputs!$B$43&gt;0),((Skills!G11*((R667-1)*IF(Skills!H11&gt;0,Skills!I11/Skills!H11,1)+IF(Skills!H11&gt;0,MIN(Skills!I11,MAX(0,MAX(0,Inputs!$B$43-B695)-((R667-1)*IF(Inputs!$B$38="pvp",15,MAX(0.1,Skills!D11-IF(Skills!E11=TRUE,Inputs!$B$32,0))))))/Skills!H11,1)))/Inputs!$B$43),G667*Q667))/N667*IF(Inputs!$B$38="pvp",1,(1-Summary!$B$11)*1+Summary!$B$11*(MIN(Skills!R11,Inputs!$B$37))),0)</f>
        <v/>
      </c>
      <c r="T667">
        <f>IF(C667,(H667*N667*IF(AND(Inputs!$B$38&lt;&gt;"pvp",Inputs!$B$43&gt;0),((Skills!G11*((R667-1)*IF(Skills!H11&gt;0,Skills!I11/Skills!H11,1)+IF(Skills!H11&gt;0,MIN(Skills!I11,MAX(0,MAX(0,Inputs!$B$43-B695)-((R667-1)*IF(Inputs!$B$38="pvp",15,MAX(0.1,Skills!D11-IF(Skills!E11=TRUE,Inputs!$B$32,0))))))/Skills!H11,1)))/Inputs!$B$43),G667*Q667))*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Hunt"),CHOOSE(ArtifactsInput!$N$35+1,15,18,21,24,27,30)*(1-EXP(-(0.2*B690)*5)),0)+IF(AND(ArtifactsInput!$M$22,Inputs!$B$4&lt;&gt;"Chapter Hunt"),CHOOSE(ArtifactsInput!$N$22+1,10,12,14,16,18,20)*((0*(((0.15*B690*5))^0/1)+1*(((0.15*B690*5))^1/1)+2*(((0.15*B690*5))^2/2)+3*(((0.15*B690*5))^3/6)+4*(((0.15*B690*5))^4/24)+5*(((0.15*B690*5))^5/120))/((((0.15*B690*5))^0/1)+(((0.15*B690*5))^1/1)+(((0.15*B690*5))^2/2)+(((0.15*B690*5))^3/6)+(((0.15*B690*5))^4/24)+(((0.15*B690*5))^5/120))),0)))/100)*((((5000/(6000+Inputs!$B$42*(1-(100*(1-(1-(100*(1-(1-(((1-(1-Inputs!$B$19/100)*(1-1/100))*100)+0)/100)*(1-CHOOSE(ArtifactsInput!$N$40+1,5,6,7,8,9,10)/100)^(ArtifactsInput!$M$40-ArtifactsInput!$M$40)))/100)*(1-IF(ArtifactsInput!$M$40,CHOOSE(ArtifactsInput!$N$40+1,5,6,7,8,9,10),0)/100)^IF(Inputs!$B$38="pvp",1,2)))/100)))/(5000/(6000+Inputs!$B$42*(1-(100*(1-(1-(((1-(1-Inputs!$B$19/100)*(1-1/100))*100)+0)/100)*(1-CHOOSE(ArtifactsInput!$N$40+1,5,6,7,8,9,10)/100)^(ArtifactsInput!$M$40-ArtifactsInput!$M$40)))/100))))*((L667*(1-MIN(100,(Inputs!$B$9+((C675=TRUE)*(F675-Calc!F19))+B688+(ArtifactsInput!$M$24-ArtifactsInput!$M$24)*CHOOSE(ArtifactsInput!$N$24+1,10,12,14,16,18,20)+(IF(AND(ArtifactsInput!$M$42,((Inputs!$B$9+((C675=TRUE)*(F675-Calc!F19))+B688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667*(MIN(100,(Inputs!$B$9+((C675=TRUE)*(F675-Calc!F19))+B688+(ArtifactsInput!$M$24-ArtifactsInput!$M$24)*CHOOSE(ArtifactsInput!$N$24+1,10,12,14,16,18,20)+(IF(AND(ArtifactsInput!$M$42,((Inputs!$B$9+((C675=TRUE)*(F675-Calc!F19))+B688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667*(1-MIN(100,(Inputs!$B$9+((C675=TRUE)*(F675-Calc!F19))+B688+(ArtifactsInput!$M$24-ArtifactsInput!$M$24)*CHOOSE(ArtifactsInput!$N$24+1,10,12,14,16,18,20)+(IF(AND(ArtifactsInput!$M$42,((Inputs!$B$9+((C675=TRUE)*(F675-Calc!F19))+B688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667*(MIN(100,(Inputs!$B$9+((C675=TRUE)*(F675-Calc!F19))+B688+(ArtifactsInput!$M$24-ArtifactsInput!$M$24)*CHOOSE(ArtifactsInput!$N$24+1,10,12,14,16,18,20)+(IF(AND(ArtifactsInput!$M$42,((Inputs!$B$9+((C675=TRUE)*(F675-Calc!F19))+B688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667">
        <f>IF(C667,(H667*N667*IF(AND(Inputs!$B$38&lt;&gt;"pvp",Inputs!$B$43&gt;0),((Skills!G11*((R667-1)*IF(Skills!H11&gt;0,Skills!I11/Skills!H11,1)+IF(Skills!H11&gt;0,MIN(Skills!I11,MAX(0,MAX(0,Inputs!$B$43-B695)-((R667-1)*IF(Inputs!$B$38="pvp",15,MAX(0.1,Skills!D11-IF(Skills!E11=TRUE,Inputs!$B$32,0))))))/Skills!H11,1)))/Inputs!$B$43),G667*Q667))*IF(Inputs!$B$38="pvp",1,(1+(Inputs!$B$21+Skills!Q11+(IF(ArtifactsInput!$M$33,CHOOSE(ArtifactsInput!$N$33+1,30,36,42,48,54,60),0))+(IF(AND(ArtifactsInput!$M$35,Inputs!$B$4&lt;&gt;"Chapter Hunt"),CHOOSE(ArtifactsInput!$N$35+1,15,18,21,24,27,30)*(1-EXP(-(0.2*B690)*5)),0)+IF(AND(ArtifactsInput!$M$22,Inputs!$B$4&lt;&gt;"Chapter Hunt"),CHOOSE(ArtifactsInput!$N$22+1,10,12,14,16,18,20)*((0*(((0.15*B690*5))^0/1)+1*(((0.15*B690*5))^1/1)+2*(((0.15*B690*5))^2/2)+3*(((0.15*B690*5))^3/6)+4*(((0.15*B690*5))^4/24)+5*(((0.15*B690*5))^5/120))/((((0.15*B690*5))^0/1)+(((0.15*B690*5))^1/1)+(((0.15*B690*5))^2/2)+(((0.15*B690*5))^3/6)+(((0.15*B690*5))^4/24)+(((0.15*B690*5))^5/120))),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668">
      <c r="A668">
        <f>Skills!A12</f>
        <v/>
      </c>
      <c r="B668">
        <f>Skills!B12</f>
        <v/>
      </c>
      <c r="C668">
        <f>Inputs!$B$3&gt;=60</f>
        <v/>
      </c>
      <c r="D668">
        <f>IF(Skills!C12=1,60+Inputs!$B$25+Inputs!$B$29,IF(Skills!C12=2,90+Inputs!$B$26+Inputs!$B$29,IF(Skills!C12=3,120+Inputs!$B$27+Inputs!$B$29,MAX(0,(Inputs!$B$3-100)*3)+Inputs!$B$28+Inputs!$B$29)))</f>
        <v/>
      </c>
      <c r="E668">
        <f>INDEX(FactorTable!$B$2:$Y$301, MATCH(ROUND(MIN(300,MAX(1,D668)),0), FactorTable!$A$2:$A$301,0), Skills!M12+1)</f>
        <v/>
      </c>
      <c r="F668">
        <f>IF(Skills!N12=TRUE,(Skills!L12/10)*(E668/1000),Skills!L12/10)+Skills!O12</f>
        <v/>
      </c>
      <c r="G668">
        <f>Skills!G12*IF(Skills!H12&gt;0,Skills!I12/Skills!H12,1)</f>
        <v/>
      </c>
      <c r="H668">
        <f>1-(1-Skills!J12/100)^Skills!K12</f>
        <v/>
      </c>
      <c r="I668" t="inlineStr">
        <is>
          <t>1</t>
        </is>
      </c>
      <c r="J668" t="inlineStr"/>
      <c r="K668" t="inlineStr"/>
      <c r="L668" t="inlineStr"/>
      <c r="M668" t="inlineStr"/>
      <c r="N668" t="inlineStr"/>
      <c r="O668">
        <f>(1-Summary!$B$11)*T668+Summary!$B$11*V668</f>
        <v/>
      </c>
      <c r="P668">
        <f>IF(B698=0,0,O668/B698)</f>
        <v/>
      </c>
      <c r="Q668" t="n">
        <v>0</v>
      </c>
      <c r="R668" t="n">
        <v>0</v>
      </c>
      <c r="S668" t="n">
        <v>0</v>
      </c>
      <c r="T668" t="n">
        <v>0</v>
      </c>
      <c r="V668" t="n">
        <v>0</v>
      </c>
    </row>
    <row r="669">
      <c r="A669">
        <f>Skills!A13</f>
        <v/>
      </c>
      <c r="B669">
        <f>Skills!B13</f>
        <v/>
      </c>
      <c r="C669">
        <f>Inputs!$B$3&gt;=74</f>
        <v/>
      </c>
      <c r="D669">
        <f>IF(Skills!C13=1,60+Inputs!$B$25+Inputs!$B$29,IF(Skills!C13=2,90+Inputs!$B$26+Inputs!$B$29,IF(Skills!C13=3,120+Inputs!$B$27+Inputs!$B$29,MAX(0,(Inputs!$B$3-100)*3)+Inputs!$B$28+Inputs!$B$29)))</f>
        <v/>
      </c>
      <c r="E669">
        <f>INDEX(FactorTable!$B$2:$Y$301, MATCH(ROUND(MIN(300,MAX(1,D669)),0), FactorTable!$A$2:$A$301,0), Skills!M13+1)</f>
        <v/>
      </c>
      <c r="F669">
        <f>IF(Skills!N13=TRUE,(Skills!L13/10)*(E669/1000),Skills!L13/10)+Skills!O13</f>
        <v/>
      </c>
      <c r="G669">
        <f>Skills!G13*IF(Skills!H13&gt;0,Skills!I13/Skills!H13,1)</f>
        <v/>
      </c>
      <c r="H669">
        <f>1-(1-Skills!J13/100)^Skills!K13</f>
        <v/>
      </c>
      <c r="I669" t="inlineStr">
        <is>
          <t>1</t>
        </is>
      </c>
      <c r="J669" t="inlineStr"/>
      <c r="K669" t="inlineStr"/>
      <c r="L669" t="inlineStr"/>
      <c r="M669" t="inlineStr"/>
      <c r="N669" t="inlineStr"/>
      <c r="O669">
        <f>(1-Summary!$B$11)*T669+Summary!$B$11*V669</f>
        <v/>
      </c>
      <c r="P669">
        <f>IF(B698=0,0,O669/B698)</f>
        <v/>
      </c>
      <c r="Q669" t="n">
        <v>0</v>
      </c>
      <c r="R669" t="n">
        <v>0</v>
      </c>
      <c r="S669" t="n">
        <v>0</v>
      </c>
      <c r="T669" t="n">
        <v>0</v>
      </c>
      <c r="V669" t="n">
        <v>0</v>
      </c>
    </row>
    <row r="670">
      <c r="A670">
        <f>Skills!A14</f>
        <v/>
      </c>
      <c r="B670">
        <f>Skills!B14</f>
        <v/>
      </c>
      <c r="C670">
        <f>Inputs!$B$3&gt;=74</f>
        <v/>
      </c>
      <c r="D670">
        <f>IF(Skills!C14=1,60+Inputs!$B$25+Inputs!$B$29,IF(Skills!C14=2,90+Inputs!$B$26+Inputs!$B$29,IF(Skills!C14=3,120+Inputs!$B$27+Inputs!$B$29,MAX(0,(Inputs!$B$3-100)*3)+Inputs!$B$28+Inputs!$B$29)))</f>
        <v/>
      </c>
      <c r="E670">
        <f>INDEX(FactorTable!$B$2:$Y$301, MATCH(ROUND(MIN(300,MAX(1,D670)),0), FactorTable!$A$2:$A$301,0), Skills!M14+1)</f>
        <v/>
      </c>
      <c r="F670">
        <f>IF(Skills!N14=TRUE,(Skills!L14/10)*(E670/1000),Skills!L14/10)+Skills!O14</f>
        <v/>
      </c>
      <c r="G670">
        <f>Skills!G14*IF(Skills!H14&gt;0,Skills!I14/Skills!H14,1)</f>
        <v/>
      </c>
      <c r="H670">
        <f>1-(1-Skills!J14/100)^Skills!K14</f>
        <v/>
      </c>
      <c r="I670" t="inlineStr">
        <is>
          <t>1</t>
        </is>
      </c>
      <c r="J670" t="inlineStr"/>
      <c r="K670" t="inlineStr"/>
      <c r="L670" t="inlineStr"/>
      <c r="M670" t="inlineStr"/>
      <c r="N670" t="inlineStr"/>
      <c r="O670">
        <f>(1-Summary!$B$11)*T670+Summary!$B$11*V670</f>
        <v/>
      </c>
      <c r="P670">
        <f>IF(B698=0,0,O670/B698)</f>
        <v/>
      </c>
      <c r="Q670" t="n">
        <v>0</v>
      </c>
      <c r="R670" t="n">
        <v>0</v>
      </c>
      <c r="S670" t="n">
        <v>0</v>
      </c>
      <c r="T670" t="n">
        <v>0</v>
      </c>
      <c r="V670" t="n">
        <v>0</v>
      </c>
    </row>
    <row r="671">
      <c r="A671">
        <f>Skills!A15</f>
        <v/>
      </c>
      <c r="B671">
        <f>Skills!B15</f>
        <v/>
      </c>
      <c r="C671">
        <f>Inputs!$B$3&gt;=117</f>
        <v/>
      </c>
      <c r="D671">
        <f>IF(Skills!C15=1,60+Inputs!$B$25+Inputs!$B$29,IF(Skills!C15=2,90+Inputs!$B$26+Inputs!$B$29,IF(Skills!C15=3,120+Inputs!$B$27+Inputs!$B$29,MAX(0,(Inputs!$B$3-100)*3)+Inputs!$B$28+Inputs!$B$29)))</f>
        <v/>
      </c>
      <c r="E671">
        <f>INDEX(FactorTable!$B$2:$Y$301, MATCH(ROUND(MIN(300,MAX(1,D671)),0), FactorTable!$A$2:$A$301,0), Skills!M15+1)</f>
        <v/>
      </c>
      <c r="F671">
        <f>IF(Skills!N15=TRUE,(Skills!L15/10)*(E671/1000),Skills!L15/10)+Skills!O15</f>
        <v/>
      </c>
      <c r="G671">
        <f>Skills!G15*IF(Skills!H15&gt;0,Skills!I15/Skills!H15,1)</f>
        <v/>
      </c>
      <c r="H671">
        <f>1-(1-Skills!J15/100)^Skills!K15</f>
        <v/>
      </c>
      <c r="I671" t="inlineStr">
        <is>
          <t>1</t>
        </is>
      </c>
      <c r="J671" t="inlineStr"/>
      <c r="K671" t="inlineStr"/>
      <c r="L671" t="inlineStr"/>
      <c r="M671" t="inlineStr"/>
      <c r="N671" t="inlineStr"/>
      <c r="O671">
        <f>(1-Summary!$B$11)*T671+Summary!$B$11*V671</f>
        <v/>
      </c>
      <c r="P671">
        <f>IF(B698=0,0,O671/B698)</f>
        <v/>
      </c>
      <c r="Q671">
        <f>IFERROR(1/IF(Inputs!$B$38="pvp",15,MAX(0.1,Skills!D15-IF(Skills!E15=TRUE,Inputs!$B$32,0))),0)</f>
        <v/>
      </c>
      <c r="R671">
        <f>IF(AND(Inputs!$B$38&lt;&gt;"pvp",Inputs!$B$43&gt;0),IF(Inputs!$B$43&lt;=0,0,(INT(Inputs!$B$43/IF(Inputs!$B$38="pvp",15,MAX(0.1,Skills!D15-IF(Skills!E15=TRUE,Inputs!$B$32,0))))+1)),0)</f>
        <v/>
      </c>
      <c r="S671" t="n">
        <v>0</v>
      </c>
      <c r="T671" t="n">
        <v>0</v>
      </c>
      <c r="V671" t="n">
        <v>0</v>
      </c>
    </row>
    <row r="672">
      <c r="A672">
        <f>Skills!A16</f>
        <v/>
      </c>
      <c r="B672">
        <f>Skills!B16</f>
        <v/>
      </c>
      <c r="C672">
        <f>Inputs!$B$3&gt;=115</f>
        <v/>
      </c>
      <c r="D672">
        <f>IF(Skills!C16=1,60+Inputs!$B$25+Inputs!$B$29,IF(Skills!C16=2,90+Inputs!$B$26+Inputs!$B$29,IF(Skills!C16=3,120+Inputs!$B$27+Inputs!$B$29,MAX(0,(Inputs!$B$3-100)*3)+Inputs!$B$28+Inputs!$B$29)))</f>
        <v/>
      </c>
      <c r="E672">
        <f>INDEX(FactorTable!$B$2:$Y$301, MATCH(ROUND(MIN(300,MAX(1,D672)),0), FactorTable!$A$2:$A$301,0), Skills!M16+1)</f>
        <v/>
      </c>
      <c r="F672">
        <f>IF(Skills!N16=TRUE,(Skills!L16/10)*(E672/1000),Skills!L16/10)+Skills!O16</f>
        <v/>
      </c>
      <c r="G672">
        <f>Skills!G16*IF(Skills!H16&gt;0,Skills!I16/Skills!H16,1)</f>
        <v/>
      </c>
      <c r="H672">
        <f>1-(1-Skills!J16/100)^Skills!K16</f>
        <v/>
      </c>
      <c r="I672" t="inlineStr">
        <is>
          <t>1</t>
        </is>
      </c>
      <c r="J672" t="inlineStr"/>
      <c r="K672" t="inlineStr"/>
      <c r="L672" t="inlineStr"/>
      <c r="M672" t="inlineStr"/>
      <c r="N672" t="inlineStr"/>
      <c r="O672">
        <f>(1-Summary!$B$11)*T672+Summary!$B$11*V672</f>
        <v/>
      </c>
      <c r="P672">
        <f>IF(B698=0,0,O672/B698)</f>
        <v/>
      </c>
      <c r="Q672">
        <f>IFERROR(1/IF(Inputs!$B$38="pvp",15,MAX(0.1,Skills!D16-IF(Skills!E16=TRUE,Inputs!$B$32,0))),0)</f>
        <v/>
      </c>
      <c r="R672">
        <f>IF(AND(Inputs!$B$38&lt;&gt;"pvp",Inputs!$B$43&gt;0),IF(Inputs!$B$43&lt;=0,0,(INT(Inputs!$B$43/IF(Inputs!$B$38="pvp",15,MAX(0.1,Skills!D16-IF(Skills!E16=TRUE,Inputs!$B$32,0))))+1)),0)</f>
        <v/>
      </c>
      <c r="S672" t="n">
        <v>0</v>
      </c>
      <c r="T672" t="n">
        <v>0</v>
      </c>
      <c r="V672" t="n">
        <v>0</v>
      </c>
    </row>
    <row r="673">
      <c r="A673">
        <f>Skills!A17</f>
        <v/>
      </c>
      <c r="B673">
        <f>Skills!B17</f>
        <v/>
      </c>
      <c r="C673">
        <f>Inputs!$B$3&gt;=72</f>
        <v/>
      </c>
      <c r="D673">
        <f>IF(Skills!C17=1,60+Inputs!$B$25+Inputs!$B$29,IF(Skills!C17=2,90+Inputs!$B$26+Inputs!$B$29,IF(Skills!C17=3,120+Inputs!$B$27+Inputs!$B$29,MAX(0,(Inputs!$B$3-100)*3)+Inputs!$B$28+Inputs!$B$29)))</f>
        <v/>
      </c>
      <c r="E673">
        <f>INDEX(FactorTable!$B$2:$Y$301, MATCH(ROUND(MIN(300,MAX(1,D673)),0), FactorTable!$A$2:$A$301,0), Skills!M17+1)</f>
        <v/>
      </c>
      <c r="F673">
        <f>IF(Skills!N17=TRUE,(Skills!L17/10)*(E673/1000),Skills!L17/10)+Skills!O17</f>
        <v/>
      </c>
      <c r="G673">
        <f>Skills!G17*IF(Skills!H17&gt;0,Skills!I17/Skills!H17,1)</f>
        <v/>
      </c>
      <c r="H673">
        <f>1-(1-Skills!J17/100)^Skills!K17</f>
        <v/>
      </c>
      <c r="I673" t="inlineStr">
        <is>
          <t>1</t>
        </is>
      </c>
      <c r="J673" t="inlineStr"/>
      <c r="K673" t="inlineStr"/>
      <c r="L673" t="inlineStr"/>
      <c r="M673" t="inlineStr"/>
      <c r="N673" t="inlineStr"/>
      <c r="O673">
        <f>(1-Summary!$B$11)*T673+Summary!$B$11*V673</f>
        <v/>
      </c>
      <c r="P673">
        <f>IF(B698=0,0,O673/B698)</f>
        <v/>
      </c>
      <c r="Q673" t="n">
        <v>0</v>
      </c>
      <c r="R673" t="n">
        <v>0</v>
      </c>
      <c r="S673" t="n">
        <v>0</v>
      </c>
      <c r="T673" t="n">
        <v>0</v>
      </c>
      <c r="V673" t="n">
        <v>0</v>
      </c>
    </row>
    <row r="674">
      <c r="A674">
        <f>Skills!A18</f>
        <v/>
      </c>
      <c r="B674">
        <f>Skills!B18</f>
        <v/>
      </c>
      <c r="C674">
        <f>TRUE</f>
        <v/>
      </c>
      <c r="D674">
        <f>IF(Skills!C18=1,60+Inputs!$B$25+Inputs!$B$29,IF(Skills!C18=2,90+Inputs!$B$26+Inputs!$B$29,IF(Skills!C18=3,120+Inputs!$B$27+Inputs!$B$29,MAX(0,(Inputs!$B$3-100)*3)+Inputs!$B$28+Inputs!$B$29)))</f>
        <v/>
      </c>
      <c r="E674">
        <f>INDEX(FactorTable!$B$2:$Y$301, MATCH(ROUND(MIN(300,MAX(1,D674)),0), FactorTable!$A$2:$A$301,0), Skills!M18+1)</f>
        <v/>
      </c>
      <c r="F674">
        <f>IF(Skills!N18=TRUE,(Skills!L18/10)*(E674/1000),Skills!L18/10)+Skills!O18</f>
        <v/>
      </c>
      <c r="G674">
        <f>Skills!G18*IF(Skills!H18&gt;0,Skills!I18/Skills!H18,1)</f>
        <v/>
      </c>
      <c r="H674">
        <f>1-(1-Skills!J18/100)^Skills!K18</f>
        <v/>
      </c>
      <c r="I674" t="inlineStr">
        <is>
          <t>1</t>
        </is>
      </c>
      <c r="J674" t="inlineStr"/>
      <c r="K674" t="inlineStr"/>
      <c r="L674" t="inlineStr"/>
      <c r="M674" t="inlineStr"/>
      <c r="N674" t="inlineStr"/>
      <c r="O674">
        <f>(1-Summary!$B$11)*T674+Summary!$B$11*V674</f>
        <v/>
      </c>
      <c r="P674">
        <f>IF(B698=0,0,O674/B698)</f>
        <v/>
      </c>
      <c r="Q674">
        <f>IFERROR(1/IF(Inputs!$B$38="pvp",15,MAX(0.1,Skills!D18-IF(Skills!E18=TRUE,Inputs!$B$32,0))),0)</f>
        <v/>
      </c>
      <c r="R674">
        <f>IF(AND(Inputs!$B$38&lt;&gt;"pvp",Inputs!$B$43&gt;0),IF(Inputs!$B$43&lt;=0,0,(INT(Inputs!$B$43/IF(Inputs!$B$38="pvp",15,MAX(0.1,Skills!D18-IF(Skills!E18=TRUE,Inputs!$B$32,0))))+1)),0)</f>
        <v/>
      </c>
      <c r="S674" t="n">
        <v>0</v>
      </c>
      <c r="T674" t="n">
        <v>0</v>
      </c>
      <c r="V674" t="n">
        <v>0</v>
      </c>
    </row>
    <row r="675">
      <c r="A675">
        <f>Skills!A19</f>
        <v/>
      </c>
      <c r="B675">
        <f>Skills!B19</f>
        <v/>
      </c>
      <c r="C675">
        <f>Inputs!$B$3&gt;=15</f>
        <v/>
      </c>
      <c r="D675">
        <f>IF(Skills!C19=1,60+Inputs!$B$25+Inputs!$B$29,IF(Skills!C19=2,90+Inputs!$B$26+Inputs!$B$29,IF(Skills!C19=3,120+Inputs!$B$27+Inputs!$B$29,MAX(0,(Inputs!$B$3-100)*3)+Inputs!$B$28+Inputs!$B$29)))</f>
        <v/>
      </c>
      <c r="E675">
        <f>INDEX(FactorTable!$B$2:$Y$301, MATCH(ROUND(MIN(300,MAX(1,D675)),0), FactorTable!$A$2:$A$301,0), Skills!M19+1)</f>
        <v/>
      </c>
      <c r="F675">
        <f>IF(Skills!N19=TRUE,(Skills!L19/10)*(E675/1000),Skills!L19/10)+Skills!O19</f>
        <v/>
      </c>
      <c r="G675">
        <f>Skills!G19*IF(Skills!H19&gt;0,Skills!I19/Skills!H19,1)</f>
        <v/>
      </c>
      <c r="H675">
        <f>1-(1-Skills!J19/100)^Skills!K19</f>
        <v/>
      </c>
      <c r="I675" t="inlineStr">
        <is>
          <t>1</t>
        </is>
      </c>
      <c r="J675" t="inlineStr"/>
      <c r="K675" t="inlineStr"/>
      <c r="L675" t="inlineStr"/>
      <c r="M675" t="inlineStr"/>
      <c r="N675" t="inlineStr"/>
      <c r="O675">
        <f>(1-Summary!$B$11)*T675+Summary!$B$11*V675</f>
        <v/>
      </c>
      <c r="P675">
        <f>IF(B698=0,0,O675/B698)</f>
        <v/>
      </c>
      <c r="Q675" t="n">
        <v>0</v>
      </c>
      <c r="R675" t="n">
        <v>0</v>
      </c>
      <c r="S675" t="n">
        <v>0</v>
      </c>
      <c r="T675" t="n">
        <v>0</v>
      </c>
      <c r="V675" t="n">
        <v>0</v>
      </c>
    </row>
    <row r="676">
      <c r="A676">
        <f>Skills!A20</f>
        <v/>
      </c>
      <c r="B676">
        <f>Skills!B20</f>
        <v/>
      </c>
      <c r="C676">
        <f>Inputs!$B$3&gt;=10</f>
        <v/>
      </c>
      <c r="D676">
        <f>IF(Skills!C20=1,60+Inputs!$B$25+Inputs!$B$29,IF(Skills!C20=2,90+Inputs!$B$26+Inputs!$B$29,IF(Skills!C20=3,120+Inputs!$B$27+Inputs!$B$29,MAX(0,(Inputs!$B$3-100)*3)+Inputs!$B$28+Inputs!$B$29)))</f>
        <v/>
      </c>
      <c r="E676">
        <f>INDEX(FactorTable!$B$2:$Y$301, MATCH(ROUND(MIN(300,MAX(1,D676)),0), FactorTable!$A$2:$A$301,0), Skills!M20+1)</f>
        <v/>
      </c>
      <c r="F676">
        <f>IF(Skills!N20=TRUE,(Skills!L20/10)*(E676/1000),Skills!L20/10)+Skills!O20</f>
        <v/>
      </c>
      <c r="G676">
        <f>Skills!G20*IF(Skills!H20&gt;0,Skills!I20/Skills!H20,1)</f>
        <v/>
      </c>
      <c r="H676">
        <f>1-(1-Skills!J20/100)^Skills!K20</f>
        <v/>
      </c>
      <c r="I676" t="inlineStr">
        <is>
          <t>1</t>
        </is>
      </c>
      <c r="J676" t="inlineStr"/>
      <c r="K676" t="inlineStr"/>
      <c r="L676" t="inlineStr"/>
      <c r="M676" t="inlineStr"/>
      <c r="N676" t="inlineStr"/>
      <c r="O676">
        <f>(1-Summary!$B$11)*T676+Summary!$B$11*V676</f>
        <v/>
      </c>
      <c r="P676">
        <f>IF(B698=0,0,O676/B698)</f>
        <v/>
      </c>
      <c r="Q676" t="n">
        <v>0</v>
      </c>
      <c r="R676" t="n">
        <v>0</v>
      </c>
      <c r="S676" t="n">
        <v>0</v>
      </c>
      <c r="T676" t="n">
        <v>0</v>
      </c>
      <c r="V676" t="n">
        <v>0</v>
      </c>
    </row>
    <row r="677">
      <c r="A677">
        <f>Skills!A21</f>
        <v/>
      </c>
      <c r="B677">
        <f>Skills!B21</f>
        <v/>
      </c>
      <c r="C677">
        <f>Inputs!$B$3&gt;=33</f>
        <v/>
      </c>
      <c r="D677">
        <f>IF(Skills!C21=1,60+Inputs!$B$25+Inputs!$B$29,IF(Skills!C21=2,90+Inputs!$B$26+Inputs!$B$29,IF(Skills!C21=3,120+Inputs!$B$27+Inputs!$B$29,MAX(0,(Inputs!$B$3-100)*3)+Inputs!$B$28+Inputs!$B$29)))</f>
        <v/>
      </c>
      <c r="E677">
        <f>INDEX(FactorTable!$B$2:$Y$301, MATCH(ROUND(MIN(300,MAX(1,D677)),0), FactorTable!$A$2:$A$301,0), Skills!M21+1)</f>
        <v/>
      </c>
      <c r="F677">
        <f>IF(Skills!N21=TRUE,(Skills!L21/10)*(E677/1000),Skills!L21/10)+Skills!O21</f>
        <v/>
      </c>
      <c r="G677">
        <f>Skills!G21*IF(Skills!H21&gt;0,Skills!I21/Skills!H21,1)</f>
        <v/>
      </c>
      <c r="H677">
        <f>1-(1-Skills!J21/100)^Skills!K21</f>
        <v/>
      </c>
      <c r="I677" t="inlineStr">
        <is>
          <t>1</t>
        </is>
      </c>
      <c r="J677" t="inlineStr"/>
      <c r="K677" t="inlineStr"/>
      <c r="L677" t="inlineStr"/>
      <c r="M677" t="inlineStr"/>
      <c r="N677" t="inlineStr"/>
      <c r="O677">
        <f>(1-Summary!$B$11)*T677+Summary!$B$11*V677</f>
        <v/>
      </c>
      <c r="P677">
        <f>IF(B698=0,0,O677/B698)</f>
        <v/>
      </c>
      <c r="Q677" t="n">
        <v>0</v>
      </c>
      <c r="R677" t="n">
        <v>0</v>
      </c>
      <c r="S677" t="n">
        <v>0</v>
      </c>
      <c r="T677" t="n">
        <v>0</v>
      </c>
      <c r="V677" t="n">
        <v>0</v>
      </c>
    </row>
    <row r="678">
      <c r="A678">
        <f>Skills!A22</f>
        <v/>
      </c>
      <c r="B678">
        <f>Skills!B22</f>
        <v/>
      </c>
      <c r="C678">
        <f>Inputs!$B$3&gt;=38</f>
        <v/>
      </c>
      <c r="D678">
        <f>IF(Skills!C22=1,60+Inputs!$B$25+Inputs!$B$29,IF(Skills!C22=2,90+Inputs!$B$26+Inputs!$B$29,IF(Skills!C22=3,120+Inputs!$B$27+Inputs!$B$29,MAX(0,(Inputs!$B$3-100)*3)+Inputs!$B$28+Inputs!$B$29)))</f>
        <v/>
      </c>
      <c r="E678">
        <f>INDEX(FactorTable!$B$2:$Y$301, MATCH(ROUND(MIN(300,MAX(1,D678)),0), FactorTable!$A$2:$A$301,0), Skills!M22+1)</f>
        <v/>
      </c>
      <c r="F678">
        <f>IF(Skills!N22=TRUE,(Skills!L22/10)*(E678/1000),Skills!L22/10)+Skills!O22</f>
        <v/>
      </c>
      <c r="G678">
        <f>Skills!G22*IF(Skills!H22&gt;0,Skills!I22/Skills!H22,1)</f>
        <v/>
      </c>
      <c r="H678">
        <f>1-(1-Skills!J22/100)^Skills!K22</f>
        <v/>
      </c>
      <c r="I678" t="inlineStr">
        <is>
          <t>1</t>
        </is>
      </c>
      <c r="J678" t="inlineStr"/>
      <c r="K678" t="inlineStr"/>
      <c r="L678" t="inlineStr"/>
      <c r="M678" t="inlineStr"/>
      <c r="N678" t="inlineStr"/>
      <c r="O678">
        <f>(1-Summary!$B$11)*T678+Summary!$B$11*V678</f>
        <v/>
      </c>
      <c r="P678">
        <f>IF(B698=0,0,O678/B698)</f>
        <v/>
      </c>
      <c r="Q678" t="n">
        <v>0</v>
      </c>
      <c r="R678" t="n">
        <v>0</v>
      </c>
      <c r="S678" t="n">
        <v>0</v>
      </c>
      <c r="T678" t="n">
        <v>0</v>
      </c>
      <c r="V678" t="n">
        <v>0</v>
      </c>
    </row>
    <row r="679">
      <c r="A679">
        <f>Skills!A23</f>
        <v/>
      </c>
      <c r="B679">
        <f>Skills!B23</f>
        <v/>
      </c>
      <c r="C679">
        <f>Inputs!$B$3&gt;=43</f>
        <v/>
      </c>
      <c r="D679">
        <f>IF(Skills!C23=1,60+Inputs!$B$25+Inputs!$B$29,IF(Skills!C23=2,90+Inputs!$B$26+Inputs!$B$29,IF(Skills!C23=3,120+Inputs!$B$27+Inputs!$B$29,MAX(0,(Inputs!$B$3-100)*3)+Inputs!$B$28+Inputs!$B$29)))</f>
        <v/>
      </c>
      <c r="E679">
        <f>INDEX(FactorTable!$B$2:$Y$301, MATCH(ROUND(MIN(300,MAX(1,D679)),0), FactorTable!$A$2:$A$301,0), Skills!M23+1)</f>
        <v/>
      </c>
      <c r="F679">
        <f>IF(Skills!N23=TRUE,(Skills!L23/10)*(E679/1000),Skills!L23/10)+Skills!O23</f>
        <v/>
      </c>
      <c r="G679">
        <f>Skills!G23*IF(Skills!H23&gt;0,Skills!I23/Skills!H23,1)</f>
        <v/>
      </c>
      <c r="H679">
        <f>1-(1-Skills!J23/100)^Skills!K23</f>
        <v/>
      </c>
      <c r="I679" t="inlineStr">
        <is>
          <t>1</t>
        </is>
      </c>
      <c r="J679" t="inlineStr"/>
      <c r="K679" t="inlineStr"/>
      <c r="L679" t="inlineStr"/>
      <c r="M679" t="inlineStr"/>
      <c r="N679" t="inlineStr"/>
      <c r="O679">
        <f>(1-Summary!$B$11)*T679+Summary!$B$11*V679</f>
        <v/>
      </c>
      <c r="P679">
        <f>IF(B698=0,0,O679/B698)</f>
        <v/>
      </c>
      <c r="Q679" t="n">
        <v>0</v>
      </c>
      <c r="R679" t="n">
        <v>0</v>
      </c>
      <c r="S679" t="n">
        <v>0</v>
      </c>
      <c r="T679" t="n">
        <v>0</v>
      </c>
      <c r="V679" t="n">
        <v>0</v>
      </c>
    </row>
    <row r="680">
      <c r="A680">
        <f>Skills!A24</f>
        <v/>
      </c>
      <c r="B680">
        <f>Skills!B24</f>
        <v/>
      </c>
      <c r="C680">
        <f>Inputs!$B$3&gt;=75</f>
        <v/>
      </c>
      <c r="D680">
        <f>IF(Skills!C24=1,60+Inputs!$B$25+Inputs!$B$29,IF(Skills!C24=2,90+Inputs!$B$26+Inputs!$B$29,IF(Skills!C24=3,120+Inputs!$B$27+Inputs!$B$29,MAX(0,(Inputs!$B$3-100)*3)+Inputs!$B$28+Inputs!$B$29)))</f>
        <v/>
      </c>
      <c r="E680">
        <f>INDEX(FactorTable!$B$2:$Y$301, MATCH(ROUND(MIN(300,MAX(1,D680)),0), FactorTable!$A$2:$A$301,0), Skills!M24+1)</f>
        <v/>
      </c>
      <c r="F680">
        <f>IF(Skills!N24=TRUE,(Skills!L24/10)*(E680/1000),Skills!L24/10)+Skills!O24</f>
        <v/>
      </c>
      <c r="G680">
        <f>Skills!G24*IF(Skills!H24&gt;0,Skills!I24/Skills!H24,1)</f>
        <v/>
      </c>
      <c r="H680">
        <f>1-(1-Skills!J24/100)^Skills!K24</f>
        <v/>
      </c>
      <c r="I680" t="inlineStr">
        <is>
          <t>1</t>
        </is>
      </c>
      <c r="J680" t="inlineStr"/>
      <c r="K680" t="inlineStr"/>
      <c r="L680" t="inlineStr"/>
      <c r="M680" t="inlineStr"/>
      <c r="N680" t="inlineStr"/>
      <c r="O680">
        <f>(1-Summary!$B$11)*T680+Summary!$B$11*V680</f>
        <v/>
      </c>
      <c r="P680">
        <f>IF(B698=0,0,O680/B698)</f>
        <v/>
      </c>
      <c r="Q680" t="n">
        <v>0</v>
      </c>
      <c r="R680" t="n">
        <v>0</v>
      </c>
      <c r="S680" t="n">
        <v>0</v>
      </c>
      <c r="T680" t="n">
        <v>0</v>
      </c>
      <c r="V680" t="n">
        <v>0</v>
      </c>
    </row>
    <row r="681">
      <c r="A681">
        <f>Skills!A25</f>
        <v/>
      </c>
      <c r="B681">
        <f>Skills!B25</f>
        <v/>
      </c>
      <c r="C681">
        <f>Inputs!$B$3&gt;=125</f>
        <v/>
      </c>
      <c r="D681">
        <f>IF(Skills!C25=1,60+Inputs!$B$25+Inputs!$B$29,IF(Skills!C25=2,90+Inputs!$B$26+Inputs!$B$29,IF(Skills!C25=3,120+Inputs!$B$27+Inputs!$B$29,MAX(0,(Inputs!$B$3-100)*3)+Inputs!$B$28+Inputs!$B$29)))</f>
        <v/>
      </c>
      <c r="E681">
        <f>INDEX(FactorTable!$B$2:$Y$301, MATCH(ROUND(MIN(300,MAX(1,D681)),0), FactorTable!$A$2:$A$301,0), Skills!M25+1)</f>
        <v/>
      </c>
      <c r="F681">
        <f>IF(Skills!N25=TRUE,(Skills!L25/10)*(E681/1000),Skills!L25/10)+Skills!O25</f>
        <v/>
      </c>
      <c r="G681">
        <f>Skills!G25*IF(Skills!H25&gt;0,Skills!I25/Skills!H25,1)</f>
        <v/>
      </c>
      <c r="H681">
        <f>1-(1-Skills!J25/100)^Skills!K25</f>
        <v/>
      </c>
      <c r="I681" t="inlineStr">
        <is>
          <t>1</t>
        </is>
      </c>
      <c r="J681" t="inlineStr"/>
      <c r="K681" t="inlineStr"/>
      <c r="L681" t="inlineStr"/>
      <c r="M681" t="inlineStr"/>
      <c r="N681" t="inlineStr"/>
      <c r="O681">
        <f>(1-Summary!$B$11)*T681+Summary!$B$11*V681</f>
        <v/>
      </c>
      <c r="P681">
        <f>IF(B698=0,0,O681/B698)</f>
        <v/>
      </c>
      <c r="Q681" t="n">
        <v>0</v>
      </c>
      <c r="R681" t="n">
        <v>0</v>
      </c>
      <c r="S681" t="n">
        <v>0</v>
      </c>
      <c r="T681" t="n">
        <v>0</v>
      </c>
      <c r="V681" t="n">
        <v>0</v>
      </c>
    </row>
    <row r="682">
      <c r="A682">
        <f>Skills!A26</f>
        <v/>
      </c>
      <c r="B682">
        <f>Skills!B26</f>
        <v/>
      </c>
      <c r="C682">
        <f>Inputs!$B$3&gt;=125</f>
        <v/>
      </c>
      <c r="D682">
        <f>IF(Skills!C26=1,60+Inputs!$B$25+Inputs!$B$29,IF(Skills!C26=2,90+Inputs!$B$26+Inputs!$B$29,IF(Skills!C26=3,120+Inputs!$B$27+Inputs!$B$29,MAX(0,(Inputs!$B$3-100)*3)+Inputs!$B$28+Inputs!$B$29)))</f>
        <v/>
      </c>
      <c r="E682">
        <f>INDEX(FactorTable!$B$2:$Y$301, MATCH(ROUND(MIN(300,MAX(1,D682)),0), FactorTable!$A$2:$A$301,0), Skills!M26+1)</f>
        <v/>
      </c>
      <c r="F682">
        <f>IF(Skills!N26=TRUE,(Skills!L26/10)*(E682/1000),Skills!L26/10)+Skills!O26</f>
        <v/>
      </c>
      <c r="G682">
        <f>Skills!G26*IF(Skills!H26&gt;0,Skills!I26/Skills!H26,1)</f>
        <v/>
      </c>
      <c r="H682">
        <f>1-(1-Skills!J26/100)^Skills!K26</f>
        <v/>
      </c>
      <c r="I682" t="inlineStr">
        <is>
          <t>1</t>
        </is>
      </c>
      <c r="J682" t="inlineStr"/>
      <c r="K682" t="inlineStr"/>
      <c r="L682" t="inlineStr"/>
      <c r="M682" t="inlineStr"/>
      <c r="N682" t="inlineStr"/>
      <c r="O682">
        <f>(1-Summary!$B$11)*T682+Summary!$B$11*V682</f>
        <v/>
      </c>
      <c r="P682">
        <f>IF(B698=0,0,O682/B698)</f>
        <v/>
      </c>
      <c r="Q682" t="n">
        <v>0</v>
      </c>
      <c r="R682" t="n">
        <v>0</v>
      </c>
      <c r="S682" t="n">
        <v>0</v>
      </c>
      <c r="T682" t="n">
        <v>0</v>
      </c>
      <c r="V682" t="n">
        <v>0</v>
      </c>
    </row>
    <row r="683">
      <c r="A683">
        <f>Skills!A27</f>
        <v/>
      </c>
      <c r="B683">
        <f>Skills!B27</f>
        <v/>
      </c>
      <c r="C683">
        <f>Inputs!$B$3&gt;=120</f>
        <v/>
      </c>
      <c r="D683">
        <f>IF(Skills!C27=1,60+Inputs!$B$25+Inputs!$B$29,IF(Skills!C27=2,90+Inputs!$B$26+Inputs!$B$29,IF(Skills!C27=3,120+Inputs!$B$27+Inputs!$B$29,MAX(0,(Inputs!$B$3-100)*3)+Inputs!$B$28+Inputs!$B$29)))</f>
        <v/>
      </c>
      <c r="E683">
        <f>INDEX(FactorTable!$B$2:$Y$301, MATCH(ROUND(MIN(300,MAX(1,D683)),0), FactorTable!$A$2:$A$301,0), Skills!M27+1)</f>
        <v/>
      </c>
      <c r="F683">
        <f>IF(Skills!N27=TRUE,(Skills!L27/10)*(E683/1000),Skills!L27/10)+Skills!O27</f>
        <v/>
      </c>
      <c r="G683">
        <f>Skills!G27*IF(Skills!H27&gt;0,Skills!I27/Skills!H27,1)</f>
        <v/>
      </c>
      <c r="H683">
        <f>1-(1-Skills!J27/100)^Skills!K27</f>
        <v/>
      </c>
      <c r="I683" t="inlineStr">
        <is>
          <t>1</t>
        </is>
      </c>
      <c r="J683" t="inlineStr"/>
      <c r="K683" t="inlineStr"/>
      <c r="L683" t="inlineStr"/>
      <c r="M683" t="inlineStr"/>
      <c r="N683" t="inlineStr"/>
      <c r="O683">
        <f>(1-Summary!$B$11)*T683+Summary!$B$11*V683</f>
        <v/>
      </c>
      <c r="P683">
        <f>IF(B698=0,0,O683/B698)</f>
        <v/>
      </c>
      <c r="Q683" t="n">
        <v>0</v>
      </c>
      <c r="R683" t="n">
        <v>0</v>
      </c>
      <c r="S683" t="n">
        <v>0</v>
      </c>
      <c r="T683" t="n">
        <v>0</v>
      </c>
      <c r="V683" t="n">
        <v>0</v>
      </c>
    </row>
    <row r="684">
      <c r="A684">
        <f>Skills!A28</f>
        <v/>
      </c>
      <c r="B684">
        <f>Skills!B28</f>
        <v/>
      </c>
      <c r="C684">
        <f>Inputs!$B$3&gt;=120</f>
        <v/>
      </c>
      <c r="D684">
        <f>IF(Skills!C28=1,60+Inputs!$B$25+Inputs!$B$29,IF(Skills!C28=2,90+Inputs!$B$26+Inputs!$B$29,IF(Skills!C28=3,120+Inputs!$B$27+Inputs!$B$29,MAX(0,(Inputs!$B$3-100)*3)+Inputs!$B$28+Inputs!$B$29)))</f>
        <v/>
      </c>
      <c r="E684">
        <f>INDEX(FactorTable!$B$2:$Y$301, MATCH(ROUND(MIN(300,MAX(1,D684)),0), FactorTable!$A$2:$A$301,0), Skills!M28+1)</f>
        <v/>
      </c>
      <c r="F684">
        <f>IF(Skills!N28=TRUE,(Skills!L28/10)*(E684/1000),Skills!L28/10)+Skills!O28</f>
        <v/>
      </c>
      <c r="G684">
        <f>Skills!G28*IF(Skills!H28&gt;0,Skills!I28/Skills!H28,1)</f>
        <v/>
      </c>
      <c r="H684">
        <f>1-(1-Skills!J28/100)^Skills!K28</f>
        <v/>
      </c>
      <c r="I684" t="inlineStr">
        <is>
          <t>1</t>
        </is>
      </c>
      <c r="J684" t="inlineStr"/>
      <c r="K684" t="inlineStr"/>
      <c r="L684" t="inlineStr"/>
      <c r="M684" t="inlineStr"/>
      <c r="N684" t="inlineStr"/>
      <c r="O684">
        <f>(1-Summary!$B$11)*T684+Summary!$B$11*V684</f>
        <v/>
      </c>
      <c r="P684">
        <f>IF(B698=0,0,O684/B698)</f>
        <v/>
      </c>
      <c r="Q684" t="n">
        <v>0</v>
      </c>
      <c r="R684" t="n">
        <v>0</v>
      </c>
      <c r="S684" t="n">
        <v>0</v>
      </c>
      <c r="T684" t="n">
        <v>0</v>
      </c>
      <c r="V684" t="n">
        <v>0</v>
      </c>
    </row>
    <row r="685">
      <c r="A685">
        <f>Skills!A29</f>
        <v/>
      </c>
      <c r="B685">
        <f>Skills!B29</f>
        <v/>
      </c>
      <c r="C685">
        <f>Inputs!$B$3&gt;=45</f>
        <v/>
      </c>
      <c r="D685">
        <f>IF(Skills!C29=1,60+Inputs!$B$25+Inputs!$B$29,IF(Skills!C29=2,90+Inputs!$B$26+Inputs!$B$29,IF(Skills!C29=3,120+Inputs!$B$27+Inputs!$B$29,MAX(0,(Inputs!$B$3-100)*3)+Inputs!$B$28+Inputs!$B$29)))</f>
        <v/>
      </c>
      <c r="E685">
        <f>INDEX(FactorTable!$B$2:$Y$301, MATCH(ROUND(MIN(300,MAX(1,D685)),0), FactorTable!$A$2:$A$301,0), Skills!M29+1)</f>
        <v/>
      </c>
      <c r="F685">
        <f>IF(Skills!N29=TRUE,(Skills!L29/10)*(E685/1000),Skills!L29/10)+Skills!O29</f>
        <v/>
      </c>
      <c r="G685">
        <f>Skills!G29*IF(Skills!H29&gt;0,Skills!I29/Skills!H29,1)</f>
        <v/>
      </c>
      <c r="H685">
        <f>1-(1-Skills!J29/100)^Skills!K29</f>
        <v/>
      </c>
      <c r="I685" t="inlineStr">
        <is>
          <t>1</t>
        </is>
      </c>
      <c r="J685" t="inlineStr"/>
      <c r="K685" t="inlineStr"/>
      <c r="L685" t="inlineStr"/>
      <c r="M685" t="inlineStr"/>
      <c r="N685" t="inlineStr"/>
      <c r="O685">
        <f>(1-Summary!$B$11)*T685+Summary!$B$11*V685</f>
        <v/>
      </c>
      <c r="P685">
        <f>IF(B698=0,0,O685/B698)</f>
        <v/>
      </c>
      <c r="Q685" t="n">
        <v>0</v>
      </c>
      <c r="R685" t="n">
        <v>0</v>
      </c>
      <c r="S685" t="n">
        <v>0</v>
      </c>
      <c r="T685" t="n">
        <v>0</v>
      </c>
      <c r="V685" t="n">
        <v>0</v>
      </c>
    </row>
    <row r="687">
      <c r="A687" t="inlineStr">
        <is>
          <t>Attack% Bucket Multiplier</t>
        </is>
      </c>
      <c r="B687">
        <f>(1+(((C669=TRUE)*F669)+((C670=TRUE)*IF(Inputs!$B$38="pvp",F670,(1-Summary!$B$11)*(F670)+Summary!$B$11*(0)))+((C671=TRUE)*F671*IF(AND(Inputs!$B$38&lt;&gt;"pvp",Inputs!$B$43&gt;0),(((R671-1)*(Skills!T15*(1+Inputs!$B$34/100))+MIN((Skills!T15*(1+Inputs!$B$34/100)),MAX(0,Inputs!$B$43-((R671-1)*Skills!D15))))/Inputs!$B$43),IF(Inputs!$B$38="pvp",MIN((Skills!T15*(1+Inputs!$B$34/100)),15)/15,(Skills!T15*(1+Inputs!$B$34/100))/Skills!D15)))+((C668=TRUE)*F668)+((C685=TRUE)*(F685-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688">
      <c r="A688" t="inlineStr">
        <is>
          <t>Global Crit Rate Bonus %</t>
        </is>
      </c>
      <c r="B688">
        <f>(C672=TRUE)*20*IF(AND(Inputs!$B$38&lt;&gt;"pvp",Inputs!$B$43&gt;0),(((R672-1)*(Skills!T16*(1+Inputs!$B$34/100))+MIN((Skills!T16*(1+Inputs!$B$34/100)),MAX(0,Inputs!$B$43-((R672-1)*Skills!D16))))/Inputs!$B$43),IF(Inputs!$B$38="pvp",MIN((Skills!T16*(1+Inputs!$B$34/100)),15)/15,(Skills!T16*(1+Inputs!$B$34/100))/Skills!D16))</f>
        <v/>
      </c>
    </row>
    <row r="689">
      <c r="A689" t="inlineStr">
        <is>
          <t>Attack Speed Buff Bonus %</t>
        </is>
      </c>
      <c r="B689">
        <f>((C674=TRUE)*F674*IF(AND(Inputs!$B$38&lt;&gt;"pvp",Inputs!$B$43&gt;0),(((R674-1)*(Skills!T18*(1+Inputs!$B$34/100))+MIN((Skills!T18*(1+Inputs!$B$34/100)),MAX(0,Inputs!$B$43-((R674-1)*Skills!D18))))/Inputs!$B$43),IF(Inputs!$B$38="pvp",MIN((Skills!T18*(1+Inputs!$B$34/100)),15)/15,(Skills!T18*(1+Inputs!$B$34/100))/Skills!D18)))</f>
        <v/>
      </c>
    </row>
    <row r="690">
      <c r="A690" t="inlineStr">
        <is>
          <t>Actions Per Second</t>
        </is>
      </c>
      <c r="B690">
        <f>1+MIN(150,150*(1-(1-(Inputs!$B$11+((C676=TRUE)*(F676-Calc!F20))+((C677=TRUE)*(F677-Calc!F21)))/150)*(1-B689/150)))/100</f>
        <v/>
      </c>
    </row>
    <row r="691">
      <c r="A691" t="inlineStr">
        <is>
          <t>Skill + Buff Cast Rate</t>
        </is>
      </c>
      <c r="B691">
        <f>IF(AND(Inputs!$B$38&lt;&gt;"pvp",Inputs!$B$43&gt;0),SUMPRODUCT((Skills!E2:E29=TRUE)*(C658:C685=TRUE)*R658:R685*Skills!F2:F29)/Inputs!$B$43,SUMPRODUCT((Skills!E2:E29=TRUE)*(C658:C685=TRUE)*Q658:Q685*Skills!F2:F29))</f>
        <v/>
      </c>
    </row>
    <row r="692">
      <c r="A692" t="inlineStr">
        <is>
          <t>Empowered Piercing Arrow Casts Per Second</t>
        </is>
      </c>
      <c r="B692">
        <f>MAX(0,B690-B691)</f>
        <v/>
      </c>
    </row>
    <row r="693">
      <c r="A693" t="inlineStr">
        <is>
          <t>Global Critical Damage Bonus % (Sharp Eyes)</t>
        </is>
      </c>
      <c r="B693">
        <f>(C672=TRUE)*F672*IF(AND(Inputs!$B$38&lt;&gt;"pvp",Inputs!$B$43&gt;0),(((R672-1)*(Skills!T16*(1+Inputs!$B$34/100))+MIN((Skills!T16*(1+Inputs!$B$34/100)),MAX(0,Inputs!$B$43-((R672-1)*Skills!D16))))/Inputs!$B$43),IF(Inputs!$B$38="pvp",MIN((Skills!T16*(1+Inputs!$B$34/100)),15)/15,(Skills!T16*(1+Inputs!$B$34/100))/Skills!D16))</f>
        <v/>
      </c>
    </row>
    <row r="694">
      <c r="A694" t="inlineStr">
        <is>
          <t>Global Final Damage Bonus % (Mortal Blow + Last Man Standing conditional half)</t>
        </is>
      </c>
      <c r="B694">
        <f>(C673=TRUE)*F673+((C682=TRUE)*IF(Inputs!$B$38="pvp",F682,(1-Summary!$B$11)*(F682)+Summary!$B$11*(0)))</f>
        <v/>
      </c>
    </row>
    <row r="695">
      <c r="A695" t="inlineStr">
        <is>
          <t>Buff-Casting Startup Delay (s, fixed-duration only)</t>
        </is>
      </c>
      <c r="B695">
        <f>IF(AND(Inputs!$B$38&lt;&gt;"pvp",Inputs!$B$43&gt;0),SUMPRODUCT((Skills!T2:T29&gt;0)*(Skills!E2:E29=TRUE)*(C658:C685=TRUE))/B690,0)</f>
        <v/>
      </c>
    </row>
    <row r="696">
      <c r="A696" t="inlineStr">
        <is>
          <t>Boss-Only Total DPS (this block's swept value)</t>
        </is>
      </c>
      <c r="B696">
        <f>SUM(T658:T685)</f>
        <v/>
      </c>
    </row>
    <row r="697">
      <c r="A697" t="inlineStr">
        <is>
          <t>Normal-Only Total DPS (this block's swept value)</t>
        </is>
      </c>
      <c r="B697">
        <f>SUM(V658:V685)</f>
        <v/>
      </c>
    </row>
    <row r="698">
      <c r="A698" s="6" t="inlineStr">
        <is>
          <t>TOTAL DPS</t>
        </is>
      </c>
      <c r="B698" s="6">
        <f>SUM(O658:O685)</f>
        <v/>
      </c>
    </row>
    <row r="701">
      <c r="A701" s="6" t="inlineStr">
        <is>
          <t>Stat: BASIC_ATTACK_DAMAGE %</t>
        </is>
      </c>
    </row>
    <row r="702">
      <c r="A702" s="5" t="inlineStr">
        <is>
          <t>Key</t>
        </is>
      </c>
      <c r="B702" s="5" t="inlineStr">
        <is>
          <t>Name</t>
        </is>
      </c>
      <c r="C702" s="5" t="inlineStr">
        <is>
          <t>Unlocked</t>
        </is>
      </c>
      <c r="D702" s="5" t="inlineStr">
        <is>
          <t>InputLevel</t>
        </is>
      </c>
      <c r="E702" s="5" t="inlineStr">
        <is>
          <t>Factor</t>
        </is>
      </c>
      <c r="F702" s="5" t="inlineStr">
        <is>
          <t>CoefficientPercent</t>
        </is>
      </c>
      <c r="G702" s="5" t="inlineStr">
        <is>
          <t>EffectiveHits</t>
        </is>
      </c>
      <c r="H702" s="5" t="inlineStr">
        <is>
          <t>ProcProbability</t>
        </is>
      </c>
      <c r="I702" s="5" t="inlineStr">
        <is>
          <t>MapleHeroMultiplier</t>
        </is>
      </c>
      <c r="J702" s="5" t="inlineStr">
        <is>
          <t>BaseDamage</t>
        </is>
      </c>
      <c r="K702" s="5" t="inlineStr">
        <is>
          <t>BaseHitDamage</t>
        </is>
      </c>
      <c r="L702" s="5" t="inlineStr">
        <is>
          <t>NonCritAvg</t>
        </is>
      </c>
      <c r="M702" s="5" t="inlineStr">
        <is>
          <t>CritAvg</t>
        </is>
      </c>
      <c r="N702" s="5" t="inlineStr">
        <is>
          <t>ExpectedDamage(perHit)</t>
        </is>
      </c>
      <c r="O702" s="5" t="inlineStr">
        <is>
          <t>DPS</t>
        </is>
      </c>
      <c r="P702" s="5" t="inlineStr">
        <is>
          <t>% of Total</t>
        </is>
      </c>
      <c r="Q702" s="5" t="inlineStr">
        <is>
          <t>InvCooldown</t>
        </is>
      </c>
      <c r="R702" s="5" t="inlineStr">
        <is>
          <t>CastsInFight</t>
        </is>
      </c>
      <c r="S702" s="5" t="inlineStr">
        <is>
          <t>HitRate(perSec)</t>
        </is>
      </c>
      <c r="U702" t="inlineStr">
        <is>
          <t>helpers</t>
        </is>
      </c>
    </row>
    <row r="703">
      <c r="A703">
        <f>Skills!A2</f>
        <v/>
      </c>
      <c r="B703">
        <f>Skills!B2</f>
        <v/>
      </c>
      <c r="C703">
        <f>Inputs!$B$3&gt;=100</f>
        <v/>
      </c>
      <c r="D703" t="inlineStr"/>
      <c r="E703" t="inlineStr"/>
      <c r="F703">
        <f>U705+Skills!O2</f>
        <v/>
      </c>
      <c r="G703">
        <f>Skills!G2*IF(Skills!H2&gt;0,Skills!I2/Skills!H2,1)</f>
        <v/>
      </c>
      <c r="H703">
        <f>1-(1-Skills!J2/100)^Skills!K2</f>
        <v/>
      </c>
      <c r="I703" t="inlineStr">
        <is>
          <t>1</t>
        </is>
      </c>
      <c r="J703">
        <f>((Inputs!$B$6*(1+Inputs!$B$7/100))+(((Inputs!$B$12*(1+Inputs!$B$13/100))-(Inputs!$B$12*(1+Inputs!$B$13/100)))+0.25*(Inputs!$B$14-Inputs!$B$14))*(1+Inputs!$B$7/100))*(F703/100)</f>
        <v/>
      </c>
      <c r="K703">
        <f>J703*(1+((Inputs!$B$12*(1+Inputs!$B$13/100))*0.01+Inputs!$B$14*0.0025)/100)*(1+Inputs!$B$15/100)*(1+Inputs!$B$16/100)*(5000/(6000+Inputs!$B$42*(1-(100*(1-(1-(Inputs!$B$19+0)/100)*(1-CHOOSE(ArtifactsInput!$N$40+1,5,6,7,8,9,10)/100)^(ArtifactsInput!$M$40-ArtifactsInput!$M$40)))/100)))*(1+(Inputs!$B$24+((C725=TRUE)*(F725-Calc!F24))+((C726=TRUE)*(F726-Calc!F25))+B739)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EMPOWERED_PIERCING_ARROW",(Inputs!$B$17+1)+((C723=TRUE)*(F723-Calc!F22))+(((IF(AND(ArtifactsInput!$M$42,((Inputs!$B$9+((C720=TRUE)*(F720-Calc!F19))+B733+(ArtifactsInput!$M$24-ArtifactsInput!$M$24)*CHOOSE(ArtifactsInput!$N$24+1,10,12,14,16,18,20)+IF(ArtifactsInput!$M$10,CHOOSE(ArtifactsInput!$N$10+1,15,18,21,24,27,30)*(IF(Inputs!$B$38="pvp",MIN(15,15)/15,IF(AND(Inputs!$B$38&lt;&gt;"pvp",Inputs!$B$43&gt;0),MIN(15,Inputs!$B$43)/(Inputs!$B$43),0))),0)))&gt;=100),MIN(100,((Inputs!$B$9+((C720=TRUE)*(F720-Calc!F19))+B733+(ArtifactsInput!$M$24-ArtifactsInput!$M$24)*CHOOSE(ArtifactsInput!$N$24+1,10,12,14,16,18,20)+IF(ArtifactsInput!$M$10,CHOOSE(ArtifactsInput!$N$10+1,15,18,21,24,27,30)*(IF(Inputs!$B$38="pvp",MIN(15,15)/15,IF(AND(Inputs!$B$38&lt;&gt;"pvp",Inputs!$B$43&gt;0),MIN(15,Inputs!$B$43)/(Inputs!$B$43),0))),0)))-100),0))*CHOOSE(ArtifactsInput!$N$42+1,0.6,0.72,0.84,0.96,1.08,1.2))),Inputs!$B$18+((C728=TRUE)*(F728-Calc!F27))+(IF(AND(ArtifactsInput!$M$42,((Inputs!$B$9+((C720=TRUE)*(F720-Calc!F19))+B733+(ArtifactsInput!$M$24-ArtifactsInput!$M$24)*CHOOSE(ArtifactsInput!$N$24+1,10,12,14,16,18,20)+IF(ArtifactsInput!$M$10,CHOOSE(ArtifactsInput!$N$10+1,15,18,21,24,27,30)*(IF(Inputs!$B$38="pvp",MIN(15,15)/15,IF(AND(Inputs!$B$38&lt;&gt;"pvp",Inputs!$B$43&gt;0),MIN(15,Inputs!$B$43)/(Inputs!$B$43),0))),0)))&gt;=100),CHOOSE(ArtifactsInput!$N$42+1,40,48,56,64,72,80),0))))/100)*((1+(((C714=TRUE)*F714)+((C715=TRUE)*IF(Inputs!$B$38="pvp",F715,(1-Summary!$B$11)*(F715)+Summary!$B$11*(0)))+((C716=TRUE)*F716*IF(AND(Inputs!$B$38&lt;&gt;"pvp",Inputs!$B$43&gt;0),(((R716-1)*(Skills!T15*(1+Inputs!$B$34/100))+MIN((Skills!T15*(1+Inputs!$B$34/100)),MAX(0,Inputs!$B$43-((R716-1)*Skills!D15))))/Inputs!$B$43),IF(Inputs!$B$38="pvp",MIN((Skills!T15*(1+Inputs!$B$34/100)),15)/15,(Skills!T15*(1+Inputs!$B$34/100))/Skills!D15)))+((C713=TRUE)*F713)+((C730=TRUE)*(F730-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703)</f>
        <v/>
      </c>
      <c r="L703">
        <f>K703*(MIN(Inputs!$B$22+((C724=TRUE)*(F724-Calc!F23)),(Inputs!$B$23+((C729=TRUE)*(F729-Calc!F28))+(IF(ArtifactsInput!$M$15,CHOOSE(ArtifactsInput!$N$15+1,25,30,35,40,45,50)/100*(Inputs!$B$11-Inputs!$B$11),0))))/100+(Inputs!$B$23+((C729=TRUE)*(F729-Calc!F28))+(IF(ArtifactsInput!$M$15,CHOOSE(ArtifactsInput!$N$15+1,25,30,35,40,45,50)/100*(Inputs!$B$11-Inputs!$B$11),0)))/100)/2</f>
        <v/>
      </c>
      <c r="M703">
        <f>L703*(1+(Inputs!$B$10+0+B738+(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703">
        <f>L703*(1-MIN((Inputs!$B$9+((C720=TRUE)*(F720-Calc!F19))+B733+(ArtifactsInput!$M$24-ArtifactsInput!$M$24)*CHOOSE(ArtifactsInput!$N$24+1,10,12,14,16,18,20)+(IF(AND(ArtifactsInput!$M$42,((Inputs!$B$9+((C720=TRUE)*(F720-Calc!F19))+B733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703*(MIN((Inputs!$B$9+((C720=TRUE)*(F720-Calc!F19))+B733+(ArtifactsInput!$M$24-ArtifactsInput!$M$24)*CHOOSE(ArtifactsInput!$N$24+1,10,12,14,16,18,20)+(IF(AND(ArtifactsInput!$M$42,((Inputs!$B$9+((C720=TRUE)*(F720-Calc!F19))+B733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703">
        <f>(1-Summary!$B$11)*T703+Summary!$B$11*V703</f>
        <v/>
      </c>
      <c r="P703">
        <f>IF(B743=0,0,O703/B743)</f>
        <v/>
      </c>
      <c r="Q703" t="n">
        <v>0</v>
      </c>
      <c r="R703" t="n">
        <v>0</v>
      </c>
      <c r="S703">
        <f>IFERROR((Skills!G2*N703*B737)/N703*IF(Inputs!$B$38="pvp",1,(1-Summary!$B$11)*1+Summary!$B$11*(MIN((6+Inputs!$B$33),Inputs!$B$37))),0)</f>
        <v/>
      </c>
      <c r="T703">
        <f>IF(C703,(Skills!G2*N703*B737)*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Hunt"),CHOOSE(ArtifactsInput!$N$35+1,15,18,21,24,27,30)*(1-EXP(-(0.2*B735)*5)),0)+IF(AND(ArtifactsInput!$M$22,Inputs!$B$4&lt;&gt;"Chapter Hunt"),CHOOSE(ArtifactsInput!$N$22+1,10,12,14,16,18,20)*((0*(((0.15*B735*5))^0/1)+1*(((0.15*B735*5))^1/1)+2*(((0.15*B735*5))^2/2)+3*(((0.15*B735*5))^3/6)+4*(((0.15*B735*5))^4/24)+5*(((0.15*B735*5))^5/120))/((((0.15*B735*5))^0/1)+(((0.15*B735*5))^1/1)+(((0.15*B735*5))^2/2)+(((0.15*B735*5))^3/6)+(((0.15*B735*5))^4/24)+(((0.15*B735*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703*(1-MIN(100,(Inputs!$B$9+((C720=TRUE)*(F720-Calc!F19))+B733+(ArtifactsInput!$M$24-ArtifactsInput!$M$24)*CHOOSE(ArtifactsInput!$N$24+1,10,12,14,16,18,20)+(IF(AND(ArtifactsInput!$M$42,((Inputs!$B$9+((C720=TRUE)*(F720-Calc!F19))+B733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703*(MIN(100,(Inputs!$B$9+((C720=TRUE)*(F720-Calc!F19))+B733+(ArtifactsInput!$M$24-ArtifactsInput!$M$24)*CHOOSE(ArtifactsInput!$N$24+1,10,12,14,16,18,20)+(IF(AND(ArtifactsInput!$M$42,((Inputs!$B$9+((C720=TRUE)*(F720-Calc!F19))+B733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703*(1-MIN(100,(Inputs!$B$9+((C720=TRUE)*(F720-Calc!F19))+B733+(ArtifactsInput!$M$24-ArtifactsInput!$M$24)*CHOOSE(ArtifactsInput!$N$24+1,10,12,14,16,18,20)+(IF(AND(ArtifactsInput!$M$42,((Inputs!$B$9+((C720=TRUE)*(F720-Calc!F19))+B733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703*(MIN(100,(Inputs!$B$9+((C720=TRUE)*(F720-Calc!F19))+B733+(ArtifactsInput!$M$24-ArtifactsInput!$M$24)*CHOOSE(ArtifactsInput!$N$24+1,10,12,14,16,18,20)+(IF(AND(ArtifactsInput!$M$42,((Inputs!$B$9+((C720=TRUE)*(F720-Calc!F19))+B733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703">
        <f>MAX(0,(Inputs!$B$3-100)*3)+Inputs!$B$28+Inputs!$B$29</f>
        <v/>
      </c>
      <c r="V703">
        <f>IF(C703,(Skills!G2*N703*B737)*IF(Inputs!$B$38="pvp",1,(1+(Inputs!$B$21+Skills!Q2+(IF(ArtifactsInput!$M$33,CHOOSE(ArtifactsInput!$N$33+1,30,36,42,48,54,60),0))+(IF(AND(ArtifactsInput!$M$35,Inputs!$B$4&lt;&gt;"Chapter Hunt"),CHOOSE(ArtifactsInput!$N$35+1,15,18,21,24,27,30)*(1-EXP(-(0.2*B735)*5)),0)+IF(AND(ArtifactsInput!$M$22,Inputs!$B$4&lt;&gt;"Chapter Hunt"),CHOOSE(ArtifactsInput!$N$22+1,10,12,14,16,18,20)*((0*(((0.15*B735*5))^0/1)+1*(((0.15*B735*5))^1/1)+2*(((0.15*B735*5))^2/2)+3*(((0.15*B735*5))^3/6)+4*(((0.15*B735*5))^4/24)+5*(((0.15*B735*5))^5/120))/((((0.15*B735*5))^0/1)+(((0.15*B735*5))^1/1)+(((0.15*B735*5))^2/2)+(((0.15*B735*5))^3/6)+(((0.15*B735*5))^4/24)+(((0.15*B735*5))^5/120)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704">
      <c r="A704">
        <f>Skills!A3</f>
        <v/>
      </c>
      <c r="B704">
        <f>Skills!B3</f>
        <v/>
      </c>
      <c r="C704">
        <f>Inputs!$B$3&gt;=50</f>
        <v/>
      </c>
      <c r="D704">
        <f>IF(Skills!C3=1,60+Inputs!$B$25+Inputs!$B$29,IF(Skills!C3=2,90+Inputs!$B$26+Inputs!$B$29,IF(Skills!C3=3,120+Inputs!$B$27+Inputs!$B$29,MAX(0,(Inputs!$B$3-100)*3)+Inputs!$B$28+Inputs!$B$29)))</f>
        <v/>
      </c>
      <c r="E704">
        <f>INDEX(FactorTable!$B$2:$Y$301, MATCH(ROUND(MIN(300,MAX(1,D704)),0), FactorTable!$A$2:$A$301,0), Skills!M3+1)</f>
        <v/>
      </c>
      <c r="F704">
        <f>IF(Skills!N3=TRUE,(Skills!L3/10)*(E704/1000),Skills!L3/10)+Skills!O3</f>
        <v/>
      </c>
      <c r="G704" t="inlineStr"/>
      <c r="H704" t="inlineStr"/>
      <c r="I704" t="inlineStr">
        <is>
          <t>1</t>
        </is>
      </c>
      <c r="J704" t="inlineStr"/>
      <c r="K704" t="inlineStr"/>
      <c r="L704" t="inlineStr"/>
      <c r="M704" t="inlineStr"/>
      <c r="N704" t="inlineStr"/>
      <c r="O704" t="inlineStr"/>
      <c r="P704" t="inlineStr"/>
      <c r="Q704" t="inlineStr"/>
      <c r="R704" t="inlineStr"/>
      <c r="S704" t="inlineStr"/>
      <c r="T704" t="inlineStr"/>
      <c r="U704">
        <f>INDEX(FactorTable!$B$2:$Y$301, MATCH(ROUND(MIN(300,MAX(1,U703)),0), FactorTable!$A$2:$A$301,0), 22)</f>
        <v/>
      </c>
      <c r="V704" t="inlineStr"/>
    </row>
    <row r="705">
      <c r="A705">
        <f>Skills!A4</f>
        <v/>
      </c>
      <c r="B705">
        <f>Skills!B4</f>
        <v/>
      </c>
      <c r="C705">
        <f>Inputs!$B$3&gt;=105</f>
        <v/>
      </c>
      <c r="D705">
        <f>IF(Skills!C4=1,60+Inputs!$B$25+Inputs!$B$29,IF(Skills!C4=2,90+Inputs!$B$26+Inputs!$B$29,IF(Skills!C4=3,120+Inputs!$B$27+Inputs!$B$29,MAX(0,(Inputs!$B$3-100)*3)+Inputs!$B$28+Inputs!$B$29)))</f>
        <v/>
      </c>
      <c r="E705">
        <f>INDEX(FactorTable!$B$2:$Y$301, MATCH(ROUND(MIN(300,MAX(1,D705)),0), FactorTable!$A$2:$A$301,0), Skills!M4+1)</f>
        <v/>
      </c>
      <c r="F705">
        <f>IF(Skills!N4=TRUE,(Skills!L4/10)*(E705/1000),Skills!L4/10)+Skills!O4</f>
        <v/>
      </c>
      <c r="G705" t="inlineStr"/>
      <c r="H705" t="inlineStr"/>
      <c r="I705" t="inlineStr">
        <is>
          <t>1</t>
        </is>
      </c>
      <c r="J705" t="inlineStr"/>
      <c r="K705" t="inlineStr"/>
      <c r="L705" t="inlineStr"/>
      <c r="M705" t="inlineStr"/>
      <c r="N705" t="inlineStr"/>
      <c r="O705" t="inlineStr"/>
      <c r="P705" t="inlineStr"/>
      <c r="Q705" t="inlineStr"/>
      <c r="R705" t="inlineStr"/>
      <c r="S705" t="inlineStr"/>
      <c r="T705" t="inlineStr"/>
      <c r="U705">
        <f>290*U704/1000</f>
        <v/>
      </c>
      <c r="V705" t="inlineStr"/>
    </row>
    <row r="706">
      <c r="A706">
        <f>Skills!A5</f>
        <v/>
      </c>
      <c r="B706">
        <f>Skills!B5</f>
        <v/>
      </c>
      <c r="C706">
        <f>Inputs!$B$3&gt;=35</f>
        <v/>
      </c>
      <c r="D706">
        <f>IF(Skills!C5=1,60+Inputs!$B$25+Inputs!$B$29,IF(Skills!C5=2,90+Inputs!$B$26+Inputs!$B$29,IF(Skills!C5=3,120+Inputs!$B$27+Inputs!$B$29,MAX(0,(Inputs!$B$3-100)*3)+Inputs!$B$28+Inputs!$B$29)))</f>
        <v/>
      </c>
      <c r="E706">
        <f>INDEX(FactorTable!$B$2:$Y$301, MATCH(ROUND(MIN(300,MAX(1,D706)),0), FactorTable!$A$2:$A$301,0), Skills!M5+1)</f>
        <v/>
      </c>
      <c r="F706">
        <f>IF(Skills!N5=TRUE,(Skills!L5/10)*(E706/1000),Skills!L5/10)+Skills!O5</f>
        <v/>
      </c>
      <c r="G706">
        <f>Skills!G5*IF(Skills!H5&gt;0,Skills!I5/Skills!H5,1)</f>
        <v/>
      </c>
      <c r="H706">
        <f>1-(1-Skills!J5/100)^Skills!K5</f>
        <v/>
      </c>
      <c r="I706" t="inlineStr">
        <is>
          <t>1</t>
        </is>
      </c>
      <c r="J706">
        <f>((Inputs!$B$6*(1+Inputs!$B$7/100))+(((Inputs!$B$12*(1+Inputs!$B$13/100))-(Inputs!$B$12*(1+Inputs!$B$13/100)))+0.25*(Inputs!$B$14-Inputs!$B$14))*(1+Inputs!$B$7/100))*(F706/100)</f>
        <v/>
      </c>
      <c r="K706">
        <f>J706*(1+((Inputs!$B$12*(1+Inputs!$B$13/100))*0.01+Inputs!$B$14*0.0025)/100)*(1+Inputs!$B$15/100)*(1+Inputs!$B$16/100)*(5000/(6000+Inputs!$B$42*(1-(100*(1-(1-(Inputs!$B$19+0)/100)*(1-CHOOSE(ArtifactsInput!$N$40+1,5,6,7,8,9,10)/100)^(ArtifactsInput!$M$40-ArtifactsInput!$M$40)))/100)))*(1+(Inputs!$B$24+((C725=TRUE)*(F725-Calc!F24))+((C726=TRUE)*(F726-Calc!F25))+B739)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709=TRUE,F709,0)/100)*(1+(IF(Skills!A5="EMPOWERED_PIERCING_ARROW",(Inputs!$B$17+1)+((C723=TRUE)*(F723-Calc!F22))+(((IF(AND(ArtifactsInput!$M$42,((Inputs!$B$9+((C720=TRUE)*(F720-Calc!F19))+B733+(ArtifactsInput!$M$24-ArtifactsInput!$M$24)*CHOOSE(ArtifactsInput!$N$24+1,10,12,14,16,18,20)+IF(ArtifactsInput!$M$10,CHOOSE(ArtifactsInput!$N$10+1,15,18,21,24,27,30)*(IF(Inputs!$B$38="pvp",MIN(15,15)/15,IF(AND(Inputs!$B$38&lt;&gt;"pvp",Inputs!$B$43&gt;0),MIN(15,Inputs!$B$43)/(Inputs!$B$43),0))),0)))&gt;=100),MIN(100,((Inputs!$B$9+((C720=TRUE)*(F720-Calc!F19))+B733+(ArtifactsInput!$M$24-ArtifactsInput!$M$24)*CHOOSE(ArtifactsInput!$N$24+1,10,12,14,16,18,20)+IF(ArtifactsInput!$M$10,CHOOSE(ArtifactsInput!$N$10+1,15,18,21,24,27,30)*(IF(Inputs!$B$38="pvp",MIN(15,15)/15,IF(AND(Inputs!$B$38&lt;&gt;"pvp",Inputs!$B$43&gt;0),MIN(15,Inputs!$B$43)/(Inputs!$B$43),0))),0)))-100),0))*CHOOSE(ArtifactsInput!$N$42+1,0.6,0.72,0.84,0.96,1.08,1.2))),Inputs!$B$18+((C728=TRUE)*(F728-Calc!F27))+(IF(AND(ArtifactsInput!$M$42,((Inputs!$B$9+((C720=TRUE)*(F720-Calc!F19))+B733+(ArtifactsInput!$M$24-ArtifactsInput!$M$24)*CHOOSE(ArtifactsInput!$N$24+1,10,12,14,16,18,20)+IF(ArtifactsInput!$M$10,CHOOSE(ArtifactsInput!$N$10+1,15,18,21,24,27,30)*(IF(Inputs!$B$38="pvp",MIN(15,15)/15,IF(AND(Inputs!$B$38&lt;&gt;"pvp",Inputs!$B$43&gt;0),MIN(15,Inputs!$B$43)/(Inputs!$B$43),0))),0)))&gt;=100),CHOOSE(ArtifactsInput!$N$42+1,40,48,56,64,72,80),0))))/100)*((1+(((C714=TRUE)*F714)+((C715=TRUE)*IF(Inputs!$B$38="pvp",F715,(1-Summary!$B$11)*(F715)+Summary!$B$11*(0)))+((C716=TRUE)*F716*IF(AND(Inputs!$B$38&lt;&gt;"pvp",Inputs!$B$43&gt;0),(((R716-1)*(Skills!T15*(1+Inputs!$B$34/100))+MIN((Skills!T15*(1+Inputs!$B$34/100)),MAX(0,Inputs!$B$43-((R716-1)*Skills!D15))))/Inputs!$B$43),IF(Inputs!$B$38="pvp",MIN((Skills!T15*(1+Inputs!$B$34/100)),15)/15,(Skills!T15*(1+Inputs!$B$34/100))/Skills!D15)))+((C713=TRUE)*F713)+((C730=TRUE)*(F730-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706)</f>
        <v/>
      </c>
      <c r="L706">
        <f>K706*(MIN(Inputs!$B$22+((C724=TRUE)*(F724-Calc!F23)),(Inputs!$B$23+((C729=TRUE)*(F729-Calc!F28))+(IF(ArtifactsInput!$M$15,CHOOSE(ArtifactsInput!$N$15+1,25,30,35,40,45,50)/100*(Inputs!$B$11-Inputs!$B$11),0))))/100+(Inputs!$B$23+((C729=TRUE)*(F729-Calc!F28))+(IF(ArtifactsInput!$M$15,CHOOSE(ArtifactsInput!$N$15+1,25,30,35,40,45,50)/100*(Inputs!$B$11-Inputs!$B$11),0)))/100)/2</f>
        <v/>
      </c>
      <c r="M706">
        <f>L706*(1+(Inputs!$B$10+0+B738+(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706">
        <f>L706*(1-MIN((Inputs!$B$9+((C720=TRUE)*(F720-Calc!F19))+B733+(ArtifactsInput!$M$24-ArtifactsInput!$M$24)*CHOOSE(ArtifactsInput!$N$24+1,10,12,14,16,18,20)+(IF(AND(ArtifactsInput!$M$42,((Inputs!$B$9+((C720=TRUE)*(F720-Calc!F19))+B733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706*(MIN((Inputs!$B$9+((C720=TRUE)*(F720-Calc!F19))+B733+(ArtifactsInput!$M$24-ArtifactsInput!$M$24)*CHOOSE(ArtifactsInput!$N$24+1,10,12,14,16,18,20)+(IF(AND(ArtifactsInput!$M$42,((Inputs!$B$9+((C720=TRUE)*(F720-Calc!F19))+B733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706">
        <f>(1-Summary!$B$11)*T706+Summary!$B$11*V706</f>
        <v/>
      </c>
      <c r="P706">
        <f>IF(B743=0,0,O706/B743)</f>
        <v/>
      </c>
      <c r="Q706">
        <f>IFERROR(1/IF(Inputs!$B$38="pvp",15,MAX(0.1,Skills!D5-IF(Skills!E5=TRUE,Inputs!$B$32,0))),0)</f>
        <v/>
      </c>
      <c r="R706">
        <f>IF(AND(Inputs!$B$38&lt;&gt;"pvp",Inputs!$B$43&gt;0),IF(MAX(0,Inputs!$B$43-B740)&lt;=0,0,(INT(MAX(0,Inputs!$B$43-B740)/IF(Inputs!$B$38="pvp",15,MAX(0.1,Skills!D5-IF(Skills!E5=TRUE,Inputs!$B$32,0))))+1)),0)</f>
        <v/>
      </c>
      <c r="S706">
        <f>IFERROR((H706*N706*IF(AND(Inputs!$B$38&lt;&gt;"pvp",Inputs!$B$43&gt;0),((Skills!G5*((R706-1)*IF(Skills!H5&gt;0,Skills!I5/Skills!H5,1)+IF(Skills!H5&gt;0,MIN(Skills!I5,MAX(0,MAX(0,Inputs!$B$43-B740)-((R706-1)*IF(Inputs!$B$38="pvp",15,MAX(0.1,Skills!D5-IF(Skills!E5=TRUE,Inputs!$B$32,0))))))/Skills!H5,1)))/Inputs!$B$43),G706*Q706))/N706*IF(Inputs!$B$38="pvp",1,(1-Summary!$B$11)*1+Summary!$B$11*(MIN(Skills!R5,Inputs!$B$37))),0)</f>
        <v/>
      </c>
      <c r="T706">
        <f>IF(C706,(H706*N706*IF(AND(Inputs!$B$38&lt;&gt;"pvp",Inputs!$B$43&gt;0),((Skills!G5*((R706-1)*IF(Skills!H5&gt;0,Skills!I5/Skills!H5,1)+IF(Skills!H5&gt;0,MIN(Skills!I5,MAX(0,MAX(0,Inputs!$B$43-B740)-((R706-1)*IF(Inputs!$B$38="pvp",15,MAX(0.1,Skills!D5-IF(Skills!E5=TRUE,Inputs!$B$32,0))))))/Skills!H5,1)))/Inputs!$B$43),G706*Q706))*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Hunt"),CHOOSE(ArtifactsInput!$N$35+1,15,18,21,24,27,30)*(1-EXP(-(0.2*B735)*5)),0)+IF(AND(ArtifactsInput!$M$22,Inputs!$B$4&lt;&gt;"Chapter Hunt"),CHOOSE(ArtifactsInput!$N$22+1,10,12,14,16,18,20)*((0*(((0.15*B735*5))^0/1)+1*(((0.15*B735*5))^1/1)+2*(((0.15*B735*5))^2/2)+3*(((0.15*B735*5))^3/6)+4*(((0.15*B735*5))^4/24)+5*(((0.15*B735*5))^5/120))/((((0.15*B735*5))^0/1)+(((0.15*B735*5))^1/1)+(((0.15*B735*5))^2/2)+(((0.15*B735*5))^3/6)+(((0.15*B735*5))^4/24)+(((0.15*B735*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706*(1-MIN(100,(Inputs!$B$9+((C720=TRUE)*(F720-Calc!F19))+B733+(ArtifactsInput!$M$24-ArtifactsInput!$M$24)*CHOOSE(ArtifactsInput!$N$24+1,10,12,14,16,18,20)+(IF(AND(ArtifactsInput!$M$42,((Inputs!$B$9+((C720=TRUE)*(F720-Calc!F19))+B733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706*(MIN(100,(Inputs!$B$9+((C720=TRUE)*(F720-Calc!F19))+B733+(ArtifactsInput!$M$24-ArtifactsInput!$M$24)*CHOOSE(ArtifactsInput!$N$24+1,10,12,14,16,18,20)+(IF(AND(ArtifactsInput!$M$42,((Inputs!$B$9+((C720=TRUE)*(F720-Calc!F19))+B733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706*(1-MIN(100,(Inputs!$B$9+((C720=TRUE)*(F720-Calc!F19))+B733+(ArtifactsInput!$M$24-ArtifactsInput!$M$24)*CHOOSE(ArtifactsInput!$N$24+1,10,12,14,16,18,20)+(IF(AND(ArtifactsInput!$M$42,((Inputs!$B$9+((C720=TRUE)*(F720-Calc!F19))+B733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706*(MIN(100,(Inputs!$B$9+((C720=TRUE)*(F720-Calc!F19))+B733+(ArtifactsInput!$M$24-ArtifactsInput!$M$24)*CHOOSE(ArtifactsInput!$N$24+1,10,12,14,16,18,20)+(IF(AND(ArtifactsInput!$M$42,((Inputs!$B$9+((C720=TRUE)*(F720-Calc!F19))+B733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706">
        <f>IF(C706,(H706*N706*IF(AND(Inputs!$B$38&lt;&gt;"pvp",Inputs!$B$43&gt;0),((Skills!G5*((R706-1)*IF(Skills!H5&gt;0,Skills!I5/Skills!H5,1)+IF(Skills!H5&gt;0,MIN(Skills!I5,MAX(0,MAX(0,Inputs!$B$43-B740)-((R706-1)*IF(Inputs!$B$38="pvp",15,MAX(0.1,Skills!D5-IF(Skills!E5=TRUE,Inputs!$B$32,0))))))/Skills!H5,1)))/Inputs!$B$43),G706*Q706))*IF(Inputs!$B$38="pvp",1,(1+(Inputs!$B$21+Skills!Q5+(IF(ArtifactsInput!$M$33,CHOOSE(ArtifactsInput!$N$33+1,30,36,42,48,54,60),0))+(IF(AND(ArtifactsInput!$M$35,Inputs!$B$4&lt;&gt;"Chapter Hunt"),CHOOSE(ArtifactsInput!$N$35+1,15,18,21,24,27,30)*(1-EXP(-(0.2*B735)*5)),0)+IF(AND(ArtifactsInput!$M$22,Inputs!$B$4&lt;&gt;"Chapter Hunt"),CHOOSE(ArtifactsInput!$N$22+1,10,12,14,16,18,20)*((0*(((0.15*B735*5))^0/1)+1*(((0.15*B735*5))^1/1)+2*(((0.15*B735*5))^2/2)+3*(((0.15*B735*5))^3/6)+4*(((0.15*B735*5))^4/24)+5*(((0.15*B735*5))^5/120))/((((0.15*B735*5))^0/1)+(((0.15*B735*5))^1/1)+(((0.15*B735*5))^2/2)+(((0.15*B735*5))^3/6)+(((0.15*B735*5))^4/24)+(((0.15*B735*5))^5/120)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707">
      <c r="A707">
        <f>Skills!A6</f>
        <v/>
      </c>
      <c r="B707">
        <f>Skills!B6</f>
        <v/>
      </c>
      <c r="C707">
        <f>Inputs!$B$3&gt;=63</f>
        <v/>
      </c>
      <c r="D707">
        <f>IF(Skills!C6=1,60+Inputs!$B$25+Inputs!$B$29,IF(Skills!C6=2,90+Inputs!$B$26+Inputs!$B$29,IF(Skills!C6=3,120+Inputs!$B$27+Inputs!$B$29,MAX(0,(Inputs!$B$3-100)*3)+Inputs!$B$28+Inputs!$B$29)))</f>
        <v/>
      </c>
      <c r="E707">
        <f>INDEX(FactorTable!$B$2:$Y$301, MATCH(ROUND(MIN(300,MAX(1,D707)),0), FactorTable!$A$2:$A$301,0), Skills!M6+1)</f>
        <v/>
      </c>
      <c r="F707">
        <f>IF(Skills!N6=TRUE,(Skills!L6/10)*(E707/1000),Skills!L6/10)+Skills!O6</f>
        <v/>
      </c>
      <c r="G707">
        <f>Skills!G6*IF(Skills!H6&gt;0,Skills!I6/Skills!H6,1)</f>
        <v/>
      </c>
      <c r="H707">
        <f>1-(1-Skills!J6/100)^Skills!K6</f>
        <v/>
      </c>
      <c r="I707" t="inlineStr">
        <is>
          <t>1</t>
        </is>
      </c>
      <c r="J707">
        <f>((Inputs!$B$6*(1+Inputs!$B$7/100))+(((Inputs!$B$12*(1+Inputs!$B$13/100))-(Inputs!$B$12*(1+Inputs!$B$13/100)))+0.25*(Inputs!$B$14-Inputs!$B$14))*(1+Inputs!$B$7/100))*(F707/100)</f>
        <v/>
      </c>
      <c r="K707">
        <f>J707*(1+((Inputs!$B$12*(1+Inputs!$B$13/100))*0.01+Inputs!$B$14*0.0025)/100)*(1+Inputs!$B$15/100)*(1+Inputs!$B$16/100)*(5000/(6000+Inputs!$B$42*(1-(100*(1-(1-(Inputs!$B$19+0)/100)*(1-CHOOSE(ArtifactsInput!$N$40+1,5,6,7,8,9,10)/100)^(ArtifactsInput!$M$40-ArtifactsInput!$M$40)))/100)))*(1+(Inputs!$B$24+((C725=TRUE)*(F725-Calc!F24))+((C726=TRUE)*(F726-Calc!F25))+B739)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709=TRUE,F709,0)/100)*(1+(IF(Skills!A6="EMPOWERED_PIERCING_ARROW",(Inputs!$B$17+1)+((C723=TRUE)*(F723-Calc!F22))+(((IF(AND(ArtifactsInput!$M$42,((Inputs!$B$9+((C720=TRUE)*(F720-Calc!F19))+B733+(ArtifactsInput!$M$24-ArtifactsInput!$M$24)*CHOOSE(ArtifactsInput!$N$24+1,10,12,14,16,18,20)+IF(ArtifactsInput!$M$10,CHOOSE(ArtifactsInput!$N$10+1,15,18,21,24,27,30)*(IF(Inputs!$B$38="pvp",MIN(15,15)/15,IF(AND(Inputs!$B$38&lt;&gt;"pvp",Inputs!$B$43&gt;0),MIN(15,Inputs!$B$43)/(Inputs!$B$43),0))),0)))&gt;=100),MIN(100,((Inputs!$B$9+((C720=TRUE)*(F720-Calc!F19))+B733+(ArtifactsInput!$M$24-ArtifactsInput!$M$24)*CHOOSE(ArtifactsInput!$N$24+1,10,12,14,16,18,20)+IF(ArtifactsInput!$M$10,CHOOSE(ArtifactsInput!$N$10+1,15,18,21,24,27,30)*(IF(Inputs!$B$38="pvp",MIN(15,15)/15,IF(AND(Inputs!$B$38&lt;&gt;"pvp",Inputs!$B$43&gt;0),MIN(15,Inputs!$B$43)/(Inputs!$B$43),0))),0)))-100),0))*CHOOSE(ArtifactsInput!$N$42+1,0.6,0.72,0.84,0.96,1.08,1.2))),Inputs!$B$18+((C728=TRUE)*(F728-Calc!F27))+(IF(AND(ArtifactsInput!$M$42,((Inputs!$B$9+((C720=TRUE)*(F720-Calc!F19))+B733+(ArtifactsInput!$M$24-ArtifactsInput!$M$24)*CHOOSE(ArtifactsInput!$N$24+1,10,12,14,16,18,20)+IF(ArtifactsInput!$M$10,CHOOSE(ArtifactsInput!$N$10+1,15,18,21,24,27,30)*(IF(Inputs!$B$38="pvp",MIN(15,15)/15,IF(AND(Inputs!$B$38&lt;&gt;"pvp",Inputs!$B$43&gt;0),MIN(15,Inputs!$B$43)/(Inputs!$B$43),0))),0)))&gt;=100),CHOOSE(ArtifactsInput!$N$42+1,40,48,56,64,72,80),0))))/100)*((1+(((C714=TRUE)*F714)+((C715=TRUE)*IF(Inputs!$B$38="pvp",F715,(1-Summary!$B$11)*(F715)+Summary!$B$11*(0)))+((C716=TRUE)*F716*IF(AND(Inputs!$B$38&lt;&gt;"pvp",Inputs!$B$43&gt;0),(((R716-1)*(Skills!T15*(1+Inputs!$B$34/100))+MIN((Skills!T15*(1+Inputs!$B$34/100)),MAX(0,Inputs!$B$43-((R716-1)*Skills!D15))))/Inputs!$B$43),IF(Inputs!$B$38="pvp",MIN((Skills!T15*(1+Inputs!$B$34/100)),15)/15,(Skills!T15*(1+Inputs!$B$34/100))/Skills!D15)))+((C713=TRUE)*F713)+((C730=TRUE)*(F730-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707)</f>
        <v/>
      </c>
      <c r="L707">
        <f>K707*(MIN(Inputs!$B$22+((C724=TRUE)*(F724-Calc!F23)),(Inputs!$B$23+((C729=TRUE)*(F729-Calc!F28))+(IF(ArtifactsInput!$M$15,CHOOSE(ArtifactsInput!$N$15+1,25,30,35,40,45,50)/100*(Inputs!$B$11-Inputs!$B$11),0))))/100+(Inputs!$B$23+((C729=TRUE)*(F729-Calc!F28))+(IF(ArtifactsInput!$M$15,CHOOSE(ArtifactsInput!$N$15+1,25,30,35,40,45,50)/100*(Inputs!$B$11-Inputs!$B$11),0)))/100)/2</f>
        <v/>
      </c>
      <c r="M707">
        <f>L707*(1+(Inputs!$B$10+0+B738+(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707">
        <f>L707*(1-MIN((Inputs!$B$9+((C720=TRUE)*(F720-Calc!F19))+B733+(ArtifactsInput!$M$24-ArtifactsInput!$M$24)*CHOOSE(ArtifactsInput!$N$24+1,10,12,14,16,18,20)+(IF(AND(ArtifactsInput!$M$42,((Inputs!$B$9+((C720=TRUE)*(F720-Calc!F19))+B733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707*(MIN((Inputs!$B$9+((C720=TRUE)*(F720-Calc!F19))+B733+(ArtifactsInput!$M$24-ArtifactsInput!$M$24)*CHOOSE(ArtifactsInput!$N$24+1,10,12,14,16,18,20)+(IF(AND(ArtifactsInput!$M$42,((Inputs!$B$9+((C720=TRUE)*(F720-Calc!F19))+B733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707">
        <f>(1-Summary!$B$11)*T707+Summary!$B$11*V707</f>
        <v/>
      </c>
      <c r="P707">
        <f>IF(B743=0,0,O707/B743)</f>
        <v/>
      </c>
      <c r="Q707">
        <f>IFERROR(1/IF(Inputs!$B$38="pvp",15,MAX(0.1,Skills!D6-IF(Skills!E6=TRUE,Inputs!$B$32,0))),0)</f>
        <v/>
      </c>
      <c r="R707">
        <f>IF(AND(Inputs!$B$38&lt;&gt;"pvp",Inputs!$B$43&gt;0),IF(MAX(0,Inputs!$B$43-B740)&lt;=0,0,(INT(MAX(0,Inputs!$B$43-B740)/IF(Inputs!$B$38="pvp",15,MAX(0.1,Skills!D6-IF(Skills!E6=TRUE,Inputs!$B$32,0))))+1)),0)</f>
        <v/>
      </c>
      <c r="S707">
        <f>IFERROR((H707*N707*IF(AND(Inputs!$B$38&lt;&gt;"pvp",Inputs!$B$43&gt;0),((Skills!G6*((R707-1)*IF(Skills!H6&gt;0,Skills!I6/Skills!H6,1)+IF(Skills!H6&gt;0,MIN(Skills!I6,MAX(0,MAX(0,Inputs!$B$43-B740)-((R707-1)*IF(Inputs!$B$38="pvp",15,MAX(0.1,Skills!D6-IF(Skills!E6=TRUE,Inputs!$B$32,0))))))/Skills!H6,1)))/Inputs!$B$43),G707*Q707))/N707*IF(Inputs!$B$38="pvp",1,(1-Summary!$B$11)*1+Summary!$B$11*(MIN(Skills!R6,Inputs!$B$37))),0)</f>
        <v/>
      </c>
      <c r="T707">
        <f>IF(C707,(H707*N707*IF(AND(Inputs!$B$38&lt;&gt;"pvp",Inputs!$B$43&gt;0),((Skills!G6*((R707-1)*IF(Skills!H6&gt;0,Skills!I6/Skills!H6,1)+IF(Skills!H6&gt;0,MIN(Skills!I6,MAX(0,MAX(0,Inputs!$B$43-B740)-((R707-1)*IF(Inputs!$B$38="pvp",15,MAX(0.1,Skills!D6-IF(Skills!E6=TRUE,Inputs!$B$32,0))))))/Skills!H6,1)))/Inputs!$B$43),G707*Q707))*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Hunt"),CHOOSE(ArtifactsInput!$N$35+1,15,18,21,24,27,30)*(1-EXP(-(0.2*B735)*5)),0)+IF(AND(ArtifactsInput!$M$22,Inputs!$B$4&lt;&gt;"Chapter Hunt"),CHOOSE(ArtifactsInput!$N$22+1,10,12,14,16,18,20)*((0*(((0.15*B735*5))^0/1)+1*(((0.15*B735*5))^1/1)+2*(((0.15*B735*5))^2/2)+3*(((0.15*B735*5))^3/6)+4*(((0.15*B735*5))^4/24)+5*(((0.15*B735*5))^5/120))/((((0.15*B735*5))^0/1)+(((0.15*B735*5))^1/1)+(((0.15*B735*5))^2/2)+(((0.15*B735*5))^3/6)+(((0.15*B735*5))^4/24)+(((0.15*B735*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707*(1-MIN(100,(Inputs!$B$9+((C720=TRUE)*(F720-Calc!F19))+B733+(ArtifactsInput!$M$24-ArtifactsInput!$M$24)*CHOOSE(ArtifactsInput!$N$24+1,10,12,14,16,18,20)+(IF(AND(ArtifactsInput!$M$42,((Inputs!$B$9+((C720=TRUE)*(F720-Calc!F19))+B733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707*(MIN(100,(Inputs!$B$9+((C720=TRUE)*(F720-Calc!F19))+B733+(ArtifactsInput!$M$24-ArtifactsInput!$M$24)*CHOOSE(ArtifactsInput!$N$24+1,10,12,14,16,18,20)+(IF(AND(ArtifactsInput!$M$42,((Inputs!$B$9+((C720=TRUE)*(F720-Calc!F19))+B733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707*(1-MIN(100,(Inputs!$B$9+((C720=TRUE)*(F720-Calc!F19))+B733+(ArtifactsInput!$M$24-ArtifactsInput!$M$24)*CHOOSE(ArtifactsInput!$N$24+1,10,12,14,16,18,20)+(IF(AND(ArtifactsInput!$M$42,((Inputs!$B$9+((C720=TRUE)*(F720-Calc!F19))+B733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707*(MIN(100,(Inputs!$B$9+((C720=TRUE)*(F720-Calc!F19))+B733+(ArtifactsInput!$M$24-ArtifactsInput!$M$24)*CHOOSE(ArtifactsInput!$N$24+1,10,12,14,16,18,20)+(IF(AND(ArtifactsInput!$M$42,((Inputs!$B$9+((C720=TRUE)*(F720-Calc!F19))+B733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707">
        <f>IF(C707,(H707*N707*IF(AND(Inputs!$B$38&lt;&gt;"pvp",Inputs!$B$43&gt;0),((Skills!G6*((R707-1)*IF(Skills!H6&gt;0,Skills!I6/Skills!H6,1)+IF(Skills!H6&gt;0,MIN(Skills!I6,MAX(0,MAX(0,Inputs!$B$43-B740)-((R707-1)*IF(Inputs!$B$38="pvp",15,MAX(0.1,Skills!D6-IF(Skills!E6=TRUE,Inputs!$B$32,0))))))/Skills!H6,1)))/Inputs!$B$43),G707*Q707))*IF(Inputs!$B$38="pvp",1,(1+(Inputs!$B$21+Skills!Q6+(IF(ArtifactsInput!$M$33,CHOOSE(ArtifactsInput!$N$33+1,30,36,42,48,54,60),0))+(IF(AND(ArtifactsInput!$M$35,Inputs!$B$4&lt;&gt;"Chapter Hunt"),CHOOSE(ArtifactsInput!$N$35+1,15,18,21,24,27,30)*(1-EXP(-(0.2*B735)*5)),0)+IF(AND(ArtifactsInput!$M$22,Inputs!$B$4&lt;&gt;"Chapter Hunt"),CHOOSE(ArtifactsInput!$N$22+1,10,12,14,16,18,20)*((0*(((0.15*B735*5))^0/1)+1*(((0.15*B735*5))^1/1)+2*(((0.15*B735*5))^2/2)+3*(((0.15*B735*5))^3/6)+4*(((0.15*B735*5))^4/24)+5*(((0.15*B735*5))^5/120))/((((0.15*B735*5))^0/1)+(((0.15*B735*5))^1/1)+(((0.15*B735*5))^2/2)+(((0.15*B735*5))^3/6)+(((0.15*B735*5))^4/24)+(((0.15*B735*5))^5/120))),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708">
      <c r="A708">
        <f>Skills!A7</f>
        <v/>
      </c>
      <c r="B708">
        <f>Skills!B7</f>
        <v/>
      </c>
      <c r="C708">
        <f>Inputs!$B$3&gt;=69</f>
        <v/>
      </c>
      <c r="D708">
        <f>IF(Skills!C7=1,60+Inputs!$B$25+Inputs!$B$29,IF(Skills!C7=2,90+Inputs!$B$26+Inputs!$B$29,IF(Skills!C7=3,120+Inputs!$B$27+Inputs!$B$29,MAX(0,(Inputs!$B$3-100)*3)+Inputs!$B$28+Inputs!$B$29)))</f>
        <v/>
      </c>
      <c r="E708">
        <f>INDEX(FactorTable!$B$2:$Y$301, MATCH(ROUND(MIN(300,MAX(1,D708)),0), FactorTable!$A$2:$A$301,0), Skills!M7+1)</f>
        <v/>
      </c>
      <c r="F708">
        <f>IF(Skills!N7=TRUE,(Skills!L7/10)*(E708/1000),Skills!L7/10)+Skills!O7</f>
        <v/>
      </c>
      <c r="G708">
        <f>Skills!G7*IF(Skills!H7&gt;0,Skills!I7/Skills!H7,1)</f>
        <v/>
      </c>
      <c r="H708">
        <f>1-(1-Skills!J7/100)^Skills!K7</f>
        <v/>
      </c>
      <c r="I708" t="inlineStr">
        <is>
          <t>1</t>
        </is>
      </c>
      <c r="J708">
        <f>((Inputs!$B$6*(1+Inputs!$B$7/100))+(((Inputs!$B$12*(1+Inputs!$B$13/100))-(Inputs!$B$12*(1+Inputs!$B$13/100)))+0.25*(Inputs!$B$14-Inputs!$B$14))*(1+Inputs!$B$7/100))*(F708/100)</f>
        <v/>
      </c>
      <c r="K708">
        <f>J708*(1+((Inputs!$B$12*(1+Inputs!$B$13/100))*0.01+Inputs!$B$14*0.0025)/100)*(1+Inputs!$B$15/100)*(1+Inputs!$B$16/100)*(5000/(6000+Inputs!$B$42*(1-(100*(1-(1-(Inputs!$B$19+0)/100)*(1-CHOOSE(ArtifactsInput!$N$40+1,5,6,7,8,9,10)/100)^(ArtifactsInput!$M$40-ArtifactsInput!$M$40)))/100)))*(1+(Inputs!$B$24+((C725=TRUE)*(F725-Calc!F24))+((C726=TRUE)*(F726-Calc!F25))+B739)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+1.2*IF(C709=TRUE,F709,0)/100)*(1+(IF(Skills!A7="EMPOWERED_PIERCING_ARROW",(Inputs!$B$17+1)+((C723=TRUE)*(F723-Calc!F22))+(((IF(AND(ArtifactsInput!$M$42,((Inputs!$B$9+((C720=TRUE)*(F720-Calc!F19))+B733+(ArtifactsInput!$M$24-ArtifactsInput!$M$24)*CHOOSE(ArtifactsInput!$N$24+1,10,12,14,16,18,20)+IF(ArtifactsInput!$M$10,CHOOSE(ArtifactsInput!$N$10+1,15,18,21,24,27,30)*(IF(Inputs!$B$38="pvp",MIN(15,15)/15,IF(AND(Inputs!$B$38&lt;&gt;"pvp",Inputs!$B$43&gt;0),MIN(15,Inputs!$B$43)/(Inputs!$B$43),0))),0)))&gt;=100),MIN(100,((Inputs!$B$9+((C720=TRUE)*(F720-Calc!F19))+B733+(ArtifactsInput!$M$24-ArtifactsInput!$M$24)*CHOOSE(ArtifactsInput!$N$24+1,10,12,14,16,18,20)+IF(ArtifactsInput!$M$10,CHOOSE(ArtifactsInput!$N$10+1,15,18,21,24,27,30)*(IF(Inputs!$B$38="pvp",MIN(15,15)/15,IF(AND(Inputs!$B$38&lt;&gt;"pvp",Inputs!$B$43&gt;0),MIN(15,Inputs!$B$43)/(Inputs!$B$43),0))),0)))-100),0))*CHOOSE(ArtifactsInput!$N$42+1,0.6,0.72,0.84,0.96,1.08,1.2))),Inputs!$B$18+((C728=TRUE)*(F728-Calc!F27))+(IF(AND(ArtifactsInput!$M$42,((Inputs!$B$9+((C720=TRUE)*(F720-Calc!F19))+B733+(ArtifactsInput!$M$24-ArtifactsInput!$M$24)*CHOOSE(ArtifactsInput!$N$24+1,10,12,14,16,18,20)+IF(ArtifactsInput!$M$10,CHOOSE(ArtifactsInput!$N$10+1,15,18,21,24,27,30)*(IF(Inputs!$B$38="pvp",MIN(15,15)/15,IF(AND(Inputs!$B$38&lt;&gt;"pvp",Inputs!$B$43&gt;0),MIN(15,Inputs!$B$43)/(Inputs!$B$43),0))),0)))&gt;=100),CHOOSE(ArtifactsInput!$N$42+1,40,48,56,64,72,80),0))))/100)*((1+(((C714=TRUE)*F714)+((C715=TRUE)*IF(Inputs!$B$38="pvp",F715,(1-Summary!$B$11)*(F715)+Summary!$B$11*(0)))+((C716=TRUE)*F716*IF(AND(Inputs!$B$38&lt;&gt;"pvp",Inputs!$B$43&gt;0),(((R716-1)*(Skills!T15*(1+Inputs!$B$34/100))+MIN((Skills!T15*(1+Inputs!$B$34/100)),MAX(0,Inputs!$B$43-((R716-1)*Skills!D15))))/Inputs!$B$43),IF(Inputs!$B$38="pvp",MIN((Skills!T15*(1+Inputs!$B$34/100)),15)/15,(Skills!T15*(1+Inputs!$B$34/100))/Skills!D15)))+((C713=TRUE)*F713)+((C730=TRUE)*(F730-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708)</f>
        <v/>
      </c>
      <c r="L708">
        <f>K708*(MIN(Inputs!$B$22+((C724=TRUE)*(F724-Calc!F23)),(Inputs!$B$23+((C729=TRUE)*(F729-Calc!F28))+(IF(ArtifactsInput!$M$15,CHOOSE(ArtifactsInput!$N$15+1,25,30,35,40,45,50)/100*(Inputs!$B$11-Inputs!$B$11),0))))/100+(Inputs!$B$23+((C729=TRUE)*(F729-Calc!F28))+(IF(ArtifactsInput!$M$15,CHOOSE(ArtifactsInput!$N$15+1,25,30,35,40,45,50)/100*(Inputs!$B$11-Inputs!$B$11),0)))/100)/2</f>
        <v/>
      </c>
      <c r="M708">
        <f>L708*(1+(Inputs!$B$10+0+B738+(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708">
        <f>L708*(1-MIN((Inputs!$B$9+((C720=TRUE)*(F720-Calc!F19))+B733+(ArtifactsInput!$M$24-ArtifactsInput!$M$24)*CHOOSE(ArtifactsInput!$N$24+1,10,12,14,16,18,20)+(IF(AND(ArtifactsInput!$M$42,((Inputs!$B$9+((C720=TRUE)*(F720-Calc!F19))+B733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708*(MIN((Inputs!$B$9+((C720=TRUE)*(F720-Calc!F19))+B733+(ArtifactsInput!$M$24-ArtifactsInput!$M$24)*CHOOSE(ArtifactsInput!$N$24+1,10,12,14,16,18,20)+(IF(AND(ArtifactsInput!$M$42,((Inputs!$B$9+((C720=TRUE)*(F720-Calc!F19))+B733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708">
        <f>(1-Summary!$B$11)*T708+Summary!$B$11*V708</f>
        <v/>
      </c>
      <c r="P708">
        <f>IF(B743=0,0,O708/B743)</f>
        <v/>
      </c>
      <c r="Q708">
        <f>IFERROR(1/IF(Inputs!$B$38="pvp",15,MAX(0.1,Skills!D7-IF(Skills!E7=TRUE,Inputs!$B$32,0))),0)</f>
        <v/>
      </c>
      <c r="R708">
        <f>IF(AND(Inputs!$B$38&lt;&gt;"pvp",Inputs!$B$43&gt;0),IF(MAX(0,Inputs!$B$43-B740)&lt;=0,0,(INT(MAX(0,Inputs!$B$43-B740)/IF(Inputs!$B$38="pvp",15,MAX(0.1,Skills!D7-IF(Skills!E7=TRUE,Inputs!$B$32,0))))+1)),0)</f>
        <v/>
      </c>
      <c r="S708">
        <f>IFERROR((H708*N708*IF(AND(Inputs!$B$38&lt;&gt;"pvp",Inputs!$B$43&gt;0),((Skills!G7*((R708-1)*IF(Skills!H7&gt;0,Skills!I7/Skills!H7,1)+IF(Skills!H7&gt;0,MIN(Skills!I7,MAX(0,MAX(0,Inputs!$B$43-B740)-((R708-1)*IF(Inputs!$B$38="pvp",15,MAX(0.1,Skills!D7-IF(Skills!E7=TRUE,Inputs!$B$32,0))))))/Skills!H7,1)))/Inputs!$B$43),G708*Q708))/N708*IF(Inputs!$B$38="pvp",1,(1-Summary!$B$11)*1+Summary!$B$11*(MIN(Skills!R7,Inputs!$B$37))),0)</f>
        <v/>
      </c>
      <c r="T708">
        <f>IF(C708,(H708*N708*IF(AND(Inputs!$B$38&lt;&gt;"pvp",Inputs!$B$43&gt;0),((Skills!G7*((R708-1)*IF(Skills!H7&gt;0,Skills!I7/Skills!H7,1)+IF(Skills!H7&gt;0,MIN(Skills!I7,MAX(0,MAX(0,Inputs!$B$43-B740)-((R708-1)*IF(Inputs!$B$38="pvp",15,MAX(0.1,Skills!D7-IF(Skills!E7=TRUE,Inputs!$B$32,0))))))/Skills!H7,1)))/Inputs!$B$43),G708*Q708))*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Hunt"),CHOOSE(ArtifactsInput!$N$35+1,15,18,21,24,27,30)*(1-EXP(-(0.2*B735)*5)),0)+IF(AND(ArtifactsInput!$M$22,Inputs!$B$4&lt;&gt;"Chapter Hunt"),CHOOSE(ArtifactsInput!$N$22+1,10,12,14,16,18,20)*((0*(((0.15*B735*5))^0/1)+1*(((0.15*B735*5))^1/1)+2*(((0.15*B735*5))^2/2)+3*(((0.15*B735*5))^3/6)+4*(((0.15*B735*5))^4/24)+5*(((0.15*B735*5))^5/120))/((((0.15*B735*5))^0/1)+(((0.15*B735*5))^1/1)+(((0.15*B735*5))^2/2)+(((0.15*B735*5))^3/6)+(((0.15*B735*5))^4/24)+(((0.15*B735*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708*(1-MIN(100,(Inputs!$B$9+((C720=TRUE)*(F720-Calc!F19))+B733+(ArtifactsInput!$M$24-ArtifactsInput!$M$24)*CHOOSE(ArtifactsInput!$N$24+1,10,12,14,16,18,20)+(IF(AND(ArtifactsInput!$M$42,((Inputs!$B$9+((C720=TRUE)*(F720-Calc!F19))+B733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708*(MIN(100,(Inputs!$B$9+((C720=TRUE)*(F720-Calc!F19))+B733+(ArtifactsInput!$M$24-ArtifactsInput!$M$24)*CHOOSE(ArtifactsInput!$N$24+1,10,12,14,16,18,20)+(IF(AND(ArtifactsInput!$M$42,((Inputs!$B$9+((C720=TRUE)*(F720-Calc!F19))+B733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708*(1-MIN(100,(Inputs!$B$9+((C720=TRUE)*(F720-Calc!F19))+B733+(ArtifactsInput!$M$24-ArtifactsInput!$M$24)*CHOOSE(ArtifactsInput!$N$24+1,10,12,14,16,18,20)+(IF(AND(ArtifactsInput!$M$42,((Inputs!$B$9+((C720=TRUE)*(F720-Calc!F19))+B733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708*(MIN(100,(Inputs!$B$9+((C720=TRUE)*(F720-Calc!F19))+B733+(ArtifactsInput!$M$24-ArtifactsInput!$M$24)*CHOOSE(ArtifactsInput!$N$24+1,10,12,14,16,18,20)+(IF(AND(ArtifactsInput!$M$42,((Inputs!$B$9+((C720=TRUE)*(F720-Calc!F19))+B733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708">
        <f>IF(C708,(H708*N708*IF(AND(Inputs!$B$38&lt;&gt;"pvp",Inputs!$B$43&gt;0),((Skills!G7*((R708-1)*IF(Skills!H7&gt;0,Skills!I7/Skills!H7,1)+IF(Skills!H7&gt;0,MIN(Skills!I7,MAX(0,MAX(0,Inputs!$B$43-B740)-((R708-1)*IF(Inputs!$B$38="pvp",15,MAX(0.1,Skills!D7-IF(Skills!E7=TRUE,Inputs!$B$32,0))))))/Skills!H7,1)))/Inputs!$B$43),G708*Q708))*IF(Inputs!$B$38="pvp",1,(1+(Inputs!$B$21+Skills!Q7+(IF(ArtifactsInput!$M$33,CHOOSE(ArtifactsInput!$N$33+1,30,36,42,48,54,60),0))+(IF(AND(ArtifactsInput!$M$35,Inputs!$B$4&lt;&gt;"Chapter Hunt"),CHOOSE(ArtifactsInput!$N$35+1,15,18,21,24,27,30)*(1-EXP(-(0.2*B735)*5)),0)+IF(AND(ArtifactsInput!$M$22,Inputs!$B$4&lt;&gt;"Chapter Hunt"),CHOOSE(ArtifactsInput!$N$22+1,10,12,14,16,18,20)*((0*(((0.15*B735*5))^0/1)+1*(((0.15*B735*5))^1/1)+2*(((0.15*B735*5))^2/2)+3*(((0.15*B735*5))^3/6)+4*(((0.15*B735*5))^4/24)+5*(((0.15*B735*5))^5/120))/((((0.15*B735*5))^0/1)+(((0.15*B735*5))^1/1)+(((0.15*B735*5))^2/2)+(((0.15*B735*5))^3/6)+(((0.15*B735*5))^4/24)+(((0.15*B735*5))^5/120))),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709">
      <c r="A709">
        <f>Skills!A8</f>
        <v/>
      </c>
      <c r="B709">
        <f>Skills!B8</f>
        <v/>
      </c>
      <c r="C709">
        <f>Inputs!$B$3&gt;=100</f>
        <v/>
      </c>
      <c r="D709">
        <f>IF(Skills!C8=1,60+Inputs!$B$25+Inputs!$B$29,IF(Skills!C8=2,90+Inputs!$B$26+Inputs!$B$29,IF(Skills!C8=3,120+Inputs!$B$27+Inputs!$B$29,MAX(0,(Inputs!$B$3-100)*3)+Inputs!$B$28+Inputs!$B$29)))</f>
        <v/>
      </c>
      <c r="E709">
        <f>INDEX(FactorTable!$B$2:$Y$301, MATCH(ROUND(MIN(300,MAX(1,D709)),0), FactorTable!$A$2:$A$301,0), Skills!M8+1)</f>
        <v/>
      </c>
      <c r="F709">
        <f>IF(Skills!N8=TRUE,(Skills!L8/10)*(E709/1000),Skills!L8/10)+Skills!O8</f>
        <v/>
      </c>
      <c r="G709" t="inlineStr"/>
      <c r="H709" t="inlineStr"/>
      <c r="I709" t="inlineStr">
        <is>
          <t>1</t>
        </is>
      </c>
      <c r="J709" t="inlineStr"/>
      <c r="K709" t="inlineStr"/>
      <c r="L709" t="inlineStr"/>
      <c r="M709" t="inlineStr"/>
      <c r="N709" t="inlineStr"/>
      <c r="O709" t="inlineStr"/>
      <c r="P709" t="inlineStr"/>
      <c r="Q709" t="inlineStr"/>
      <c r="R709" t="inlineStr"/>
      <c r="S709" t="inlineStr"/>
      <c r="T709" t="inlineStr"/>
      <c r="V709" t="inlineStr"/>
    </row>
    <row r="710">
      <c r="A710">
        <f>Skills!A9</f>
        <v/>
      </c>
      <c r="B710">
        <f>Skills!B9</f>
        <v/>
      </c>
      <c r="C710">
        <f>Inputs!$B$3&gt;=103</f>
        <v/>
      </c>
      <c r="D710">
        <f>IF(Skills!C9=1,60+Inputs!$B$25+Inputs!$B$29,IF(Skills!C9=2,90+Inputs!$B$26+Inputs!$B$29,IF(Skills!C9=3,120+Inputs!$B$27+Inputs!$B$29,MAX(0,(Inputs!$B$3-100)*3)+Inputs!$B$28+Inputs!$B$29)))</f>
        <v/>
      </c>
      <c r="E710">
        <f>INDEX(FactorTable!$B$2:$Y$301, MATCH(ROUND(MIN(300,MAX(1,D710)),0), FactorTable!$A$2:$A$301,0), Skills!M9+1)</f>
        <v/>
      </c>
      <c r="F710">
        <f>IF(Skills!N9=TRUE,(Skills!L9/10)*(E710/1000),Skills!L9/10)+Skills!O9</f>
        <v/>
      </c>
      <c r="G710">
        <f>Skills!G9*IF(Skills!H9&gt;0,Skills!I9/Skills!H9,1)</f>
        <v/>
      </c>
      <c r="H710">
        <f>1-(1-Skills!J9/100)^Skills!K9</f>
        <v/>
      </c>
      <c r="I710" t="inlineStr">
        <is>
          <t>1</t>
        </is>
      </c>
      <c r="J710">
        <f>((Inputs!$B$6*(1+Inputs!$B$7/100))+(((Inputs!$B$12*(1+Inputs!$B$13/100))-(Inputs!$B$12*(1+Inputs!$B$13/100)))+0.25*(Inputs!$B$14-Inputs!$B$14))*(1+Inputs!$B$7/100))*(F710/100)</f>
        <v/>
      </c>
      <c r="K710">
        <f>J710*(1+((Inputs!$B$12*(1+Inputs!$B$13/100))*0.01+Inputs!$B$14*0.0025)/100)*(1+Inputs!$B$15/100)*(1+Inputs!$B$16/100)*(5000/(6000+Inputs!$B$42*(1-(100*(1-(1-(Inputs!$B$19+0)/100)*(1-CHOOSE(ArtifactsInput!$N$40+1,5,6,7,8,9,10)/100)^(ArtifactsInput!$M$40-ArtifactsInput!$M$40)))/100)))*(1+(Inputs!$B$24+((C725=TRUE)*(F725-Calc!F24))+((C726=TRUE)*(F726-Calc!F25))+B739)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EMPOWERED_PIERCING_ARROW",(Inputs!$B$17+1)+((C723=TRUE)*(F723-Calc!F22))+(((IF(AND(ArtifactsInput!$M$42,((Inputs!$B$9+((C720=TRUE)*(F720-Calc!F19))+B733+(ArtifactsInput!$M$24-ArtifactsInput!$M$24)*CHOOSE(ArtifactsInput!$N$24+1,10,12,14,16,18,20)+IF(ArtifactsInput!$M$10,CHOOSE(ArtifactsInput!$N$10+1,15,18,21,24,27,30)*(IF(Inputs!$B$38="pvp",MIN(15,15)/15,IF(AND(Inputs!$B$38&lt;&gt;"pvp",Inputs!$B$43&gt;0),MIN(15,Inputs!$B$43)/(Inputs!$B$43),0))),0)))&gt;=100),MIN(100,((Inputs!$B$9+((C720=TRUE)*(F720-Calc!F19))+B733+(ArtifactsInput!$M$24-ArtifactsInput!$M$24)*CHOOSE(ArtifactsInput!$N$24+1,10,12,14,16,18,20)+IF(ArtifactsInput!$M$10,CHOOSE(ArtifactsInput!$N$10+1,15,18,21,24,27,30)*(IF(Inputs!$B$38="pvp",MIN(15,15)/15,IF(AND(Inputs!$B$38&lt;&gt;"pvp",Inputs!$B$43&gt;0),MIN(15,Inputs!$B$43)/(Inputs!$B$43),0))),0)))-100),0))*CHOOSE(ArtifactsInput!$N$42+1,0.6,0.72,0.84,0.96,1.08,1.2))),Inputs!$B$18+((C728=TRUE)*(F728-Calc!F27))+(IF(AND(ArtifactsInput!$M$42,((Inputs!$B$9+((C720=TRUE)*(F720-Calc!F19))+B733+(ArtifactsInput!$M$24-ArtifactsInput!$M$24)*CHOOSE(ArtifactsInput!$N$24+1,10,12,14,16,18,20)+IF(ArtifactsInput!$M$10,CHOOSE(ArtifactsInput!$N$10+1,15,18,21,24,27,30)*(IF(Inputs!$B$38="pvp",MIN(15,15)/15,IF(AND(Inputs!$B$38&lt;&gt;"pvp",Inputs!$B$43&gt;0),MIN(15,Inputs!$B$43)/(Inputs!$B$43),0))),0)))&gt;=100),CHOOSE(ArtifactsInput!$N$42+1,40,48,56,64,72,80),0))))/100)*((1+(((C714=TRUE)*F714)+((C715=TRUE)*IF(Inputs!$B$38="pvp",F715,(1-Summary!$B$11)*(F715)+Summary!$B$11*(0)))+((C716=TRUE)*F716*IF(AND(Inputs!$B$38&lt;&gt;"pvp",Inputs!$B$43&gt;0),(((R716-1)*(Skills!T15*(1+Inputs!$B$34/100))+MIN((Skills!T15*(1+Inputs!$B$34/100)),MAX(0,Inputs!$B$43-((R716-1)*Skills!D15))))/Inputs!$B$43),IF(Inputs!$B$38="pvp",MIN((Skills!T15*(1+Inputs!$B$34/100)),15)/15,(Skills!T15*(1+Inputs!$B$34/100))/Skills!D15)))+((C713=TRUE)*F713)+((C730=TRUE)*(F730-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710)</f>
        <v/>
      </c>
      <c r="L710">
        <f>K710*(MIN(Inputs!$B$22+((C724=TRUE)*(F724-Calc!F23)),(Inputs!$B$23+((C729=TRUE)*(F729-Calc!F28))+(IF(ArtifactsInput!$M$15,CHOOSE(ArtifactsInput!$N$15+1,25,30,35,40,45,50)/100*(Inputs!$B$11-Inputs!$B$11),0))))/100+(Inputs!$B$23+((C729=TRUE)*(F729-Calc!F28))+(IF(ArtifactsInput!$M$15,CHOOSE(ArtifactsInput!$N$15+1,25,30,35,40,45,50)/100*(Inputs!$B$11-Inputs!$B$11),0)))/100)/2</f>
        <v/>
      </c>
      <c r="M710">
        <f>L710*(1+(Inputs!$B$10+0+B738+(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710">
        <f>L710*(1-MIN((Inputs!$B$9+((C720=TRUE)*(F720-Calc!F19))+B733+(ArtifactsInput!$M$24-ArtifactsInput!$M$24)*CHOOSE(ArtifactsInput!$N$24+1,10,12,14,16,18,20)+(IF(AND(ArtifactsInput!$M$42,((Inputs!$B$9+((C720=TRUE)*(F720-Calc!F19))+B733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710*(MIN((Inputs!$B$9+((C720=TRUE)*(F720-Calc!F19))+B733+(ArtifactsInput!$M$24-ArtifactsInput!$M$24)*CHOOSE(ArtifactsInput!$N$24+1,10,12,14,16,18,20)+(IF(AND(ArtifactsInput!$M$42,((Inputs!$B$9+((C720=TRUE)*(F720-Calc!F19))+B733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710">
        <f>(1-Summary!$B$11)*T710+Summary!$B$11*V710</f>
        <v/>
      </c>
      <c r="P710">
        <f>IF(B743=0,0,O710/B743)</f>
        <v/>
      </c>
      <c r="Q710">
        <f>IFERROR(1/IF(Inputs!$B$38="pvp",15,MAX(0.1,Skills!D9-IF(Skills!E9=TRUE,Inputs!$B$32,0))),0)</f>
        <v/>
      </c>
      <c r="R710">
        <f>IF(AND(Inputs!$B$38&lt;&gt;"pvp",Inputs!$B$43&gt;0),IF(MAX(0,Inputs!$B$43-B740)&lt;=0,0,(INT(MAX(0,Inputs!$B$43-B740)/IF(Inputs!$B$38="pvp",15,MAX(0.1,Skills!D9-IF(Skills!E9=TRUE,Inputs!$B$32,0))))+1)),0)</f>
        <v/>
      </c>
      <c r="S710">
        <f>IFERROR((H710*N710*IF(AND(Inputs!$B$38&lt;&gt;"pvp",Inputs!$B$43&gt;0),((Skills!G9*((R710-1)*IF(Skills!H9&gt;0,Skills!I9/Skills!H9,1)+IF(Skills!H9&gt;0,MIN(Skills!I9,MAX(0,MAX(0,Inputs!$B$43-B740)-((R710-1)*IF(Inputs!$B$38="pvp",15,MAX(0.1,Skills!D9-IF(Skills!E9=TRUE,Inputs!$B$32,0))))))/Skills!H9,1)))/Inputs!$B$43),G710*Q710))/N710*IF(Inputs!$B$38="pvp",1,(1-Summary!$B$11)*1+Summary!$B$11*(MIN(Skills!R9,Inputs!$B$37))),0)</f>
        <v/>
      </c>
      <c r="T710">
        <f>IF(C710,(H710*N710*IF(AND(Inputs!$B$38&lt;&gt;"pvp",Inputs!$B$43&gt;0),((Skills!G9*((R710-1)*IF(Skills!H9&gt;0,Skills!I9/Skills!H9,1)+IF(Skills!H9&gt;0,MIN(Skills!I9,MAX(0,MAX(0,Inputs!$B$43-B740)-((R710-1)*IF(Inputs!$B$38="pvp",15,MAX(0.1,Skills!D9-IF(Skills!E9=TRUE,Inputs!$B$32,0))))))/Skills!H9,1)))/Inputs!$B$43),G710*Q710))*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Hunt"),CHOOSE(ArtifactsInput!$N$35+1,15,18,21,24,27,30)*(1-EXP(-(0.2*B735)*5)),0)+IF(AND(ArtifactsInput!$M$22,Inputs!$B$4&lt;&gt;"Chapter Hunt"),CHOOSE(ArtifactsInput!$N$22+1,10,12,14,16,18,20)*((0*(((0.15*B735*5))^0/1)+1*(((0.15*B735*5))^1/1)+2*(((0.15*B735*5))^2/2)+3*(((0.15*B735*5))^3/6)+4*(((0.15*B735*5))^4/24)+5*(((0.15*B735*5))^5/120))/((((0.15*B735*5))^0/1)+(((0.15*B735*5))^1/1)+(((0.15*B735*5))^2/2)+(((0.15*B735*5))^3/6)+(((0.15*B735*5))^4/24)+(((0.15*B735*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710*(1-MIN(100,(Inputs!$B$9+((C720=TRUE)*(F720-Calc!F19))+B733+(ArtifactsInput!$M$24-ArtifactsInput!$M$24)*CHOOSE(ArtifactsInput!$N$24+1,10,12,14,16,18,20)+(IF(AND(ArtifactsInput!$M$42,((Inputs!$B$9+((C720=TRUE)*(F720-Calc!F19))+B733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710*(MIN(100,(Inputs!$B$9+((C720=TRUE)*(F720-Calc!F19))+B733+(ArtifactsInput!$M$24-ArtifactsInput!$M$24)*CHOOSE(ArtifactsInput!$N$24+1,10,12,14,16,18,20)+(IF(AND(ArtifactsInput!$M$42,((Inputs!$B$9+((C720=TRUE)*(F720-Calc!F19))+B733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710*(1-MIN(100,(Inputs!$B$9+((C720=TRUE)*(F720-Calc!F19))+B733+(ArtifactsInput!$M$24-ArtifactsInput!$M$24)*CHOOSE(ArtifactsInput!$N$24+1,10,12,14,16,18,20)+(IF(AND(ArtifactsInput!$M$42,((Inputs!$B$9+((C720=TRUE)*(F720-Calc!F19))+B733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710*(MIN(100,(Inputs!$B$9+((C720=TRUE)*(F720-Calc!F19))+B733+(ArtifactsInput!$M$24-ArtifactsInput!$M$24)*CHOOSE(ArtifactsInput!$N$24+1,10,12,14,16,18,20)+(IF(AND(ArtifactsInput!$M$42,((Inputs!$B$9+((C720=TRUE)*(F720-Calc!F19))+B733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710">
        <f>IF(C710,(H710*N710*IF(AND(Inputs!$B$38&lt;&gt;"pvp",Inputs!$B$43&gt;0),((Skills!G9*((R710-1)*IF(Skills!H9&gt;0,Skills!I9/Skills!H9,1)+IF(Skills!H9&gt;0,MIN(Skills!I9,MAX(0,MAX(0,Inputs!$B$43-B740)-((R710-1)*IF(Inputs!$B$38="pvp",15,MAX(0.1,Skills!D9-IF(Skills!E9=TRUE,Inputs!$B$32,0))))))/Skills!H9,1)))/Inputs!$B$43),G710*Q710))*IF(Inputs!$B$38="pvp",1,(1+(Inputs!$B$21+Skills!Q9+(IF(ArtifactsInput!$M$33,CHOOSE(ArtifactsInput!$N$33+1,30,36,42,48,54,60),0))+(IF(AND(ArtifactsInput!$M$35,Inputs!$B$4&lt;&gt;"Chapter Hunt"),CHOOSE(ArtifactsInput!$N$35+1,15,18,21,24,27,30)*(1-EXP(-(0.2*B735)*5)),0)+IF(AND(ArtifactsInput!$M$22,Inputs!$B$4&lt;&gt;"Chapter Hunt"),CHOOSE(ArtifactsInput!$N$22+1,10,12,14,16,18,20)*((0*(((0.15*B735*5))^0/1)+1*(((0.15*B735*5))^1/1)+2*(((0.15*B735*5))^2/2)+3*(((0.15*B735*5))^3/6)+4*(((0.15*B735*5))^4/24)+5*(((0.15*B735*5))^5/120))/((((0.15*B735*5))^0/1)+(((0.15*B735*5))^1/1)+(((0.15*B735*5))^2/2)+(((0.15*B735*5))^3/6)+(((0.15*B735*5))^4/24)+(((0.15*B735*5))^5/120)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711">
      <c r="A711">
        <f>Skills!A10</f>
        <v/>
      </c>
      <c r="B711">
        <f>Skills!B10</f>
        <v/>
      </c>
      <c r="C711">
        <f>Inputs!$B$3&gt;=107</f>
        <v/>
      </c>
      <c r="D711">
        <f>IF(Skills!C10=1,60+Inputs!$B$25+Inputs!$B$29,IF(Skills!C10=2,90+Inputs!$B$26+Inputs!$B$29,IF(Skills!C10=3,120+Inputs!$B$27+Inputs!$B$29,MAX(0,(Inputs!$B$3-100)*3)+Inputs!$B$28+Inputs!$B$29)))</f>
        <v/>
      </c>
      <c r="E711">
        <f>INDEX(FactorTable!$B$2:$Y$301, MATCH(ROUND(MIN(300,MAX(1,D711)),0), FactorTable!$A$2:$A$301,0), Skills!M10+1)</f>
        <v/>
      </c>
      <c r="F711">
        <f>IF(Skills!N10=TRUE,(Skills!L10/10)*(E711/1000),Skills!L10/10)+Skills!O10</f>
        <v/>
      </c>
      <c r="G711">
        <f>Skills!G10*IF(Skills!H10&gt;0,Skills!I10/Skills!H10,1)</f>
        <v/>
      </c>
      <c r="H711">
        <f>1-(1-Skills!J10/100)^Skills!K10</f>
        <v/>
      </c>
      <c r="I711" t="inlineStr">
        <is>
          <t>1</t>
        </is>
      </c>
      <c r="J711">
        <f>((Inputs!$B$6*(1+Inputs!$B$7/100))+(((Inputs!$B$12*(1+Inputs!$B$13/100))-(Inputs!$B$12*(1+Inputs!$B$13/100)))+0.25*(Inputs!$B$14-Inputs!$B$14))*(1+Inputs!$B$7/100))*(F711/100)</f>
        <v/>
      </c>
      <c r="K711">
        <f>J711*(1+((Inputs!$B$12*(1+Inputs!$B$13/100))*0.01+Inputs!$B$14*0.0025)/100)*(1+Inputs!$B$15/100)*(1+Inputs!$B$16/100)*(5000/(6000+Inputs!$B$42*(1-(100*(1-(1-(Inputs!$B$19+0)/100)*(1-CHOOSE(ArtifactsInput!$N$40+1,5,6,7,8,9,10)/100)^(ArtifactsInput!$M$40-ArtifactsInput!$M$40)))/100)))*(1+(Inputs!$B$24+((C725=TRUE)*(F725-Calc!F24))+((C726=TRUE)*(F726-Calc!F25))+B739)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EMPOWERED_PIERCING_ARROW",(Inputs!$B$17+1)+((C723=TRUE)*(F723-Calc!F22))+(((IF(AND(ArtifactsInput!$M$42,((Inputs!$B$9+((C720=TRUE)*(F720-Calc!F19))+B733+(ArtifactsInput!$M$24-ArtifactsInput!$M$24)*CHOOSE(ArtifactsInput!$N$24+1,10,12,14,16,18,20)+IF(ArtifactsInput!$M$10,CHOOSE(ArtifactsInput!$N$10+1,15,18,21,24,27,30)*(IF(Inputs!$B$38="pvp",MIN(15,15)/15,IF(AND(Inputs!$B$38&lt;&gt;"pvp",Inputs!$B$43&gt;0),MIN(15,Inputs!$B$43)/(Inputs!$B$43),0))),0)))&gt;=100),MIN(100,((Inputs!$B$9+((C720=TRUE)*(F720-Calc!F19))+B733+(ArtifactsInput!$M$24-ArtifactsInput!$M$24)*CHOOSE(ArtifactsInput!$N$24+1,10,12,14,16,18,20)+IF(ArtifactsInput!$M$10,CHOOSE(ArtifactsInput!$N$10+1,15,18,21,24,27,30)*(IF(Inputs!$B$38="pvp",MIN(15,15)/15,IF(AND(Inputs!$B$38&lt;&gt;"pvp",Inputs!$B$43&gt;0),MIN(15,Inputs!$B$43)/(Inputs!$B$43),0))),0)))-100),0))*CHOOSE(ArtifactsInput!$N$42+1,0.6,0.72,0.84,0.96,1.08,1.2))),Inputs!$B$18+((C728=TRUE)*(F728-Calc!F27))+(IF(AND(ArtifactsInput!$M$42,((Inputs!$B$9+((C720=TRUE)*(F720-Calc!F19))+B733+(ArtifactsInput!$M$24-ArtifactsInput!$M$24)*CHOOSE(ArtifactsInput!$N$24+1,10,12,14,16,18,20)+IF(ArtifactsInput!$M$10,CHOOSE(ArtifactsInput!$N$10+1,15,18,21,24,27,30)*(IF(Inputs!$B$38="pvp",MIN(15,15)/15,IF(AND(Inputs!$B$38&lt;&gt;"pvp",Inputs!$B$43&gt;0),MIN(15,Inputs!$B$43)/(Inputs!$B$43),0))),0)))&gt;=100),CHOOSE(ArtifactsInput!$N$42+1,40,48,56,64,72,80),0))))/100)*((1+(((C714=TRUE)*F714)+((C715=TRUE)*IF(Inputs!$B$38="pvp",F715,(1-Summary!$B$11)*(F715)+Summary!$B$11*(0)))+((C716=TRUE)*F716*IF(AND(Inputs!$B$38&lt;&gt;"pvp",Inputs!$B$43&gt;0),(((R716-1)*(Skills!T15*(1+Inputs!$B$34/100))+MIN((Skills!T15*(1+Inputs!$B$34/100)),MAX(0,Inputs!$B$43-((R716-1)*Skills!D15))))/Inputs!$B$43),IF(Inputs!$B$38="pvp",MIN((Skills!T15*(1+Inputs!$B$34/100)),15)/15,(Skills!T15*(1+Inputs!$B$34/100))/Skills!D15)))+((C713=TRUE)*F713)+((C730=TRUE)*(F730-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711)</f>
        <v/>
      </c>
      <c r="L711">
        <f>K711*(MIN(Inputs!$B$22+((C724=TRUE)*(F724-Calc!F23)),(Inputs!$B$23+((C729=TRUE)*(F729-Calc!F28))+(IF(ArtifactsInput!$M$15,CHOOSE(ArtifactsInput!$N$15+1,25,30,35,40,45,50)/100*(Inputs!$B$11-Inputs!$B$11),0))))/100+(Inputs!$B$23+((C729=TRUE)*(F729-Calc!F28))+(IF(ArtifactsInput!$M$15,CHOOSE(ArtifactsInput!$N$15+1,25,30,35,40,45,50)/100*(Inputs!$B$11-Inputs!$B$11),0)))/100)/2</f>
        <v/>
      </c>
      <c r="M711">
        <f>L711*(1+(Inputs!$B$10+0+B738+(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711">
        <f>L711*(1-MIN((Inputs!$B$9+((C720=TRUE)*(F720-Calc!F19))+B733+(ArtifactsInput!$M$24-ArtifactsInput!$M$24)*CHOOSE(ArtifactsInput!$N$24+1,10,12,14,16,18,20)+(IF(AND(ArtifactsInput!$M$42,((Inputs!$B$9+((C720=TRUE)*(F720-Calc!F19))+B733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711*(MIN((Inputs!$B$9+((C720=TRUE)*(F720-Calc!F19))+B733+(ArtifactsInput!$M$24-ArtifactsInput!$M$24)*CHOOSE(ArtifactsInput!$N$24+1,10,12,14,16,18,20)+(IF(AND(ArtifactsInput!$M$42,((Inputs!$B$9+((C720=TRUE)*(F720-Calc!F19))+B733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711">
        <f>(1-Summary!$B$11)*T711+Summary!$B$11*V711</f>
        <v/>
      </c>
      <c r="P711">
        <f>IF(B743=0,0,O711/B743)</f>
        <v/>
      </c>
      <c r="Q711" t="n">
        <v>0</v>
      </c>
      <c r="R711" t="n">
        <v>0</v>
      </c>
      <c r="S711" t="n">
        <v>0</v>
      </c>
      <c r="T711">
        <f>IF(C711,(0.15*SUMPRODUCT((Skills!U2:U29=TRUE)*(C703:C730=TRUE)*S703:S730)*Skills!G10*N711)*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Hunt"),CHOOSE(ArtifactsInput!$N$35+1,15,18,21,24,27,30)*(1-EXP(-(0.2*B735)*5)),0)+IF(AND(ArtifactsInput!$M$22,Inputs!$B$4&lt;&gt;"Chapter Hunt"),CHOOSE(ArtifactsInput!$N$22+1,10,12,14,16,18,20)*((0*(((0.15*B735*5))^0/1)+1*(((0.15*B735*5))^1/1)+2*(((0.15*B735*5))^2/2)+3*(((0.15*B735*5))^3/6)+4*(((0.15*B735*5))^4/24)+5*(((0.15*B735*5))^5/120))/((((0.15*B735*5))^0/1)+(((0.15*B735*5))^1/1)+(((0.15*B735*5))^2/2)+(((0.15*B735*5))^3/6)+(((0.15*B735*5))^4/24)+(((0.15*B735*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711*(1-MIN(100,(Inputs!$B$9+((C720=TRUE)*(F720-Calc!F19))+B733+(ArtifactsInput!$M$24-ArtifactsInput!$M$24)*CHOOSE(ArtifactsInput!$N$24+1,10,12,14,16,18,20)+(IF(AND(ArtifactsInput!$M$42,((Inputs!$B$9+((C720=TRUE)*(F720-Calc!F19))+B733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711*(MIN(100,(Inputs!$B$9+((C720=TRUE)*(F720-Calc!F19))+B733+(ArtifactsInput!$M$24-ArtifactsInput!$M$24)*CHOOSE(ArtifactsInput!$N$24+1,10,12,14,16,18,20)+(IF(AND(ArtifactsInput!$M$42,((Inputs!$B$9+((C720=TRUE)*(F720-Calc!F19))+B733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711*(1-MIN(100,(Inputs!$B$9+((C720=TRUE)*(F720-Calc!F19))+B733+(ArtifactsInput!$M$24-ArtifactsInput!$M$24)*CHOOSE(ArtifactsInput!$N$24+1,10,12,14,16,18,20)+(IF(AND(ArtifactsInput!$M$42,((Inputs!$B$9+((C720=TRUE)*(F720-Calc!F19))+B733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711*(MIN(100,(Inputs!$B$9+((C720=TRUE)*(F720-Calc!F19))+B733+(ArtifactsInput!$M$24-ArtifactsInput!$M$24)*CHOOSE(ArtifactsInput!$N$24+1,10,12,14,16,18,20)+(IF(AND(ArtifactsInput!$M$42,((Inputs!$B$9+((C720=TRUE)*(F720-Calc!F19))+B733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711">
        <f>IF(C711,(0.15*SUMPRODUCT((Skills!U2:U29=TRUE)*(C703:C730=TRUE)*S703:S730)*Skills!G10*N711)*IF(Inputs!$B$38="pvp",1,(1+(Inputs!$B$21+Skills!Q10+(IF(ArtifactsInput!$M$33,CHOOSE(ArtifactsInput!$N$33+1,30,36,42,48,54,60),0))+(IF(AND(ArtifactsInput!$M$35,Inputs!$B$4&lt;&gt;"Chapter Hunt"),CHOOSE(ArtifactsInput!$N$35+1,15,18,21,24,27,30)*(1-EXP(-(0.2*B735)*5)),0)+IF(AND(ArtifactsInput!$M$22,Inputs!$B$4&lt;&gt;"Chapter Hunt"),CHOOSE(ArtifactsInput!$N$22+1,10,12,14,16,18,20)*((0*(((0.15*B735*5))^0/1)+1*(((0.15*B735*5))^1/1)+2*(((0.15*B735*5))^2/2)+3*(((0.15*B735*5))^3/6)+4*(((0.15*B735*5))^4/24)+5*(((0.15*B735*5))^5/120))/((((0.15*B735*5))^0/1)+(((0.15*B735*5))^1/1)+(((0.15*B735*5))^2/2)+(((0.15*B735*5))^3/6)+(((0.15*B735*5))^4/24)+(((0.15*B735*5))^5/120)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712">
      <c r="A712">
        <f>Skills!A11</f>
        <v/>
      </c>
      <c r="B712">
        <f>Skills!B11</f>
        <v/>
      </c>
      <c r="C712">
        <f>Inputs!$B$3&gt;=110</f>
        <v/>
      </c>
      <c r="D712">
        <f>IF(Skills!C11=1,60+Inputs!$B$25+Inputs!$B$29,IF(Skills!C11=2,90+Inputs!$B$26+Inputs!$B$29,IF(Skills!C11=3,120+Inputs!$B$27+Inputs!$B$29,MAX(0,(Inputs!$B$3-100)*3)+Inputs!$B$28+Inputs!$B$29)))</f>
        <v/>
      </c>
      <c r="E712">
        <f>INDEX(FactorTable!$B$2:$Y$301, MATCH(ROUND(MIN(300,MAX(1,D712)),0), FactorTable!$A$2:$A$301,0), Skills!M11+1)</f>
        <v/>
      </c>
      <c r="F712">
        <f>IF(Skills!N11=TRUE,(Skills!L11/10)*(E712/1000),Skills!L11/10)+Skills!O11</f>
        <v/>
      </c>
      <c r="G712">
        <f>Skills!G11*IF(Skills!H11&gt;0,Skills!I11/Skills!H11,1)</f>
        <v/>
      </c>
      <c r="H712">
        <f>1-(1-Skills!J11/100)^Skills!K11</f>
        <v/>
      </c>
      <c r="I712" t="inlineStr">
        <is>
          <t>1</t>
        </is>
      </c>
      <c r="J712">
        <f>((Inputs!$B$6*(1+Inputs!$B$7/100))+(((Inputs!$B$12*(1+Inputs!$B$13/100))-(Inputs!$B$12*(1+Inputs!$B$13/100)))+0.25*(Inputs!$B$14-Inputs!$B$14))*(1+Inputs!$B$7/100))*(F712/100)</f>
        <v/>
      </c>
      <c r="K712">
        <f>J712*(1+((Inputs!$B$12*(1+Inputs!$B$13/100))*0.01+Inputs!$B$14*0.0025)/100)*(1+Inputs!$B$15/100)*(1+Inputs!$B$16/100)*(5000/(6000+Inputs!$B$42*(1-(100*(1-(1-(Inputs!$B$19+0)/100)*(1-CHOOSE(ArtifactsInput!$N$40+1,5,6,7,8,9,10)/100)^(ArtifactsInput!$M$40-ArtifactsInput!$M$40)))/100)))*(1+(Inputs!$B$24+((C725=TRUE)*(F725-Calc!F24))+((C726=TRUE)*(F726-Calc!F25))+B739)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11="EMPOWERED_PIERCING_ARROW",(Inputs!$B$17+1)+((C723=TRUE)*(F723-Calc!F22))+(((IF(AND(ArtifactsInput!$M$42,((Inputs!$B$9+((C720=TRUE)*(F720-Calc!F19))+B733+(ArtifactsInput!$M$24-ArtifactsInput!$M$24)*CHOOSE(ArtifactsInput!$N$24+1,10,12,14,16,18,20)+IF(ArtifactsInput!$M$10,CHOOSE(ArtifactsInput!$N$10+1,15,18,21,24,27,30)*(IF(Inputs!$B$38="pvp",MIN(15,15)/15,IF(AND(Inputs!$B$38&lt;&gt;"pvp",Inputs!$B$43&gt;0),MIN(15,Inputs!$B$43)/(Inputs!$B$43),0))),0)))&gt;=100),MIN(100,((Inputs!$B$9+((C720=TRUE)*(F720-Calc!F19))+B733+(ArtifactsInput!$M$24-ArtifactsInput!$M$24)*CHOOSE(ArtifactsInput!$N$24+1,10,12,14,16,18,20)+IF(ArtifactsInput!$M$10,CHOOSE(ArtifactsInput!$N$10+1,15,18,21,24,27,30)*(IF(Inputs!$B$38="pvp",MIN(15,15)/15,IF(AND(Inputs!$B$38&lt;&gt;"pvp",Inputs!$B$43&gt;0),MIN(15,Inputs!$B$43)/(Inputs!$B$43),0))),0)))-100),0))*CHOOSE(ArtifactsInput!$N$42+1,0.6,0.72,0.84,0.96,1.08,1.2))),Inputs!$B$18+((C728=TRUE)*(F728-Calc!F27))+(IF(AND(ArtifactsInput!$M$42,((Inputs!$B$9+((C720=TRUE)*(F720-Calc!F19))+B733+(ArtifactsInput!$M$24-ArtifactsInput!$M$24)*CHOOSE(ArtifactsInput!$N$24+1,10,12,14,16,18,20)+IF(ArtifactsInput!$M$10,CHOOSE(ArtifactsInput!$N$10+1,15,18,21,24,27,30)*(IF(Inputs!$B$38="pvp",MIN(15,15)/15,IF(AND(Inputs!$B$38&lt;&gt;"pvp",Inputs!$B$43&gt;0),MIN(15,Inputs!$B$43)/(Inputs!$B$43),0))),0)))&gt;=100),CHOOSE(ArtifactsInput!$N$42+1,40,48,56,64,72,80),0))))/100)*((1+(((C714=TRUE)*F714)+((C715=TRUE)*IF(Inputs!$B$38="pvp",F715,(1-Summary!$B$11)*(F715)+Summary!$B$11*(0)))+((C716=TRUE)*F716*IF(AND(Inputs!$B$38&lt;&gt;"pvp",Inputs!$B$43&gt;0),(((R716-1)*(Skills!T15*(1+Inputs!$B$34/100))+MIN((Skills!T15*(1+Inputs!$B$34/100)),MAX(0,Inputs!$B$43-((R716-1)*Skills!D15))))/Inputs!$B$43),IF(Inputs!$B$38="pvp",MIN((Skills!T15*(1+Inputs!$B$34/100)),15)/15,(Skills!T15*(1+Inputs!$B$34/100))/Skills!D15)))+((C713=TRUE)*F713)+((C730=TRUE)*(F730-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712)</f>
        <v/>
      </c>
      <c r="L712">
        <f>K712*(MIN(Inputs!$B$22+((C724=TRUE)*(F724-Calc!F23)),(Inputs!$B$23+((C729=TRUE)*(F729-Calc!F28))+(IF(ArtifactsInput!$M$15,CHOOSE(ArtifactsInput!$N$15+1,25,30,35,40,45,50)/100*(Inputs!$B$11-Inputs!$B$11),0))))/100+(Inputs!$B$23+((C729=TRUE)*(F729-Calc!F28))+(IF(ArtifactsInput!$M$15,CHOOSE(ArtifactsInput!$N$15+1,25,30,35,40,45,50)/100*(Inputs!$B$11-Inputs!$B$11),0)))/100)/2</f>
        <v/>
      </c>
      <c r="M712">
        <f>L712*(1+(Inputs!$B$10+0+B738+(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712">
        <f>L712*(1-MIN((Inputs!$B$9+((C720=TRUE)*(F720-Calc!F19))+B733+(ArtifactsInput!$M$24-ArtifactsInput!$M$24)*CHOOSE(ArtifactsInput!$N$24+1,10,12,14,16,18,20)+(IF(AND(ArtifactsInput!$M$42,((Inputs!$B$9+((C720=TRUE)*(F720-Calc!F19))+B733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712*(MIN((Inputs!$B$9+((C720=TRUE)*(F720-Calc!F19))+B733+(ArtifactsInput!$M$24-ArtifactsInput!$M$24)*CHOOSE(ArtifactsInput!$N$24+1,10,12,14,16,18,20)+(IF(AND(ArtifactsInput!$M$42,((Inputs!$B$9+((C720=TRUE)*(F720-Calc!F19))+B733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712">
        <f>(1-Summary!$B$11)*T712+Summary!$B$11*V712</f>
        <v/>
      </c>
      <c r="P712">
        <f>IF(B743=0,0,O712/B743)</f>
        <v/>
      </c>
      <c r="Q712">
        <f>IFERROR(1/IF(Inputs!$B$38="pvp",15,MAX(0.1,Skills!D11-IF(Skills!E11=TRUE,Inputs!$B$32,0))),0)</f>
        <v/>
      </c>
      <c r="R712">
        <f>IF(AND(Inputs!$B$38&lt;&gt;"pvp",Inputs!$B$43&gt;0),IF(MAX(0,Inputs!$B$43-B740)&lt;=0,0,(INT(MAX(0,Inputs!$B$43-B740)/IF(Inputs!$B$38="pvp",15,MAX(0.1,Skills!D11-IF(Skills!E11=TRUE,Inputs!$B$32,0))))+1)),0)</f>
        <v/>
      </c>
      <c r="S712">
        <f>IFERROR((H712*N712*IF(AND(Inputs!$B$38&lt;&gt;"pvp",Inputs!$B$43&gt;0),((Skills!G11*((R712-1)*IF(Skills!H11&gt;0,Skills!I11/Skills!H11,1)+IF(Skills!H11&gt;0,MIN(Skills!I11,MAX(0,MAX(0,Inputs!$B$43-B740)-((R712-1)*IF(Inputs!$B$38="pvp",15,MAX(0.1,Skills!D11-IF(Skills!E11=TRUE,Inputs!$B$32,0))))))/Skills!H11,1)))/Inputs!$B$43),G712*Q712))/N712*IF(Inputs!$B$38="pvp",1,(1-Summary!$B$11)*1+Summary!$B$11*(MIN(Skills!R11,Inputs!$B$37))),0)</f>
        <v/>
      </c>
      <c r="T712">
        <f>IF(C712,(H712*N712*IF(AND(Inputs!$B$38&lt;&gt;"pvp",Inputs!$B$43&gt;0),((Skills!G11*((R712-1)*IF(Skills!H11&gt;0,Skills!I11/Skills!H11,1)+IF(Skills!H11&gt;0,MIN(Skills!I11,MAX(0,MAX(0,Inputs!$B$43-B740)-((R712-1)*IF(Inputs!$B$38="pvp",15,MAX(0.1,Skills!D11-IF(Skills!E11=TRUE,Inputs!$B$32,0))))))/Skills!H11,1)))/Inputs!$B$43),G712*Q712))*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Hunt"),CHOOSE(ArtifactsInput!$N$35+1,15,18,21,24,27,30)*(1-EXP(-(0.2*B735)*5)),0)+IF(AND(ArtifactsInput!$M$22,Inputs!$B$4&lt;&gt;"Chapter Hunt"),CHOOSE(ArtifactsInput!$N$22+1,10,12,14,16,18,20)*((0*(((0.15*B735*5))^0/1)+1*(((0.15*B735*5))^1/1)+2*(((0.15*B735*5))^2/2)+3*(((0.15*B735*5))^3/6)+4*(((0.15*B735*5))^4/24)+5*(((0.15*B735*5))^5/120))/((((0.15*B735*5))^0/1)+(((0.15*B735*5))^1/1)+(((0.15*B735*5))^2/2)+(((0.15*B735*5))^3/6)+(((0.15*B735*5))^4/24)+(((0.15*B735*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712*(1-MIN(100,(Inputs!$B$9+((C720=TRUE)*(F720-Calc!F19))+B733+(ArtifactsInput!$M$24-ArtifactsInput!$M$24)*CHOOSE(ArtifactsInput!$N$24+1,10,12,14,16,18,20)+(IF(AND(ArtifactsInput!$M$42,((Inputs!$B$9+((C720=TRUE)*(F720-Calc!F19))+B733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712*(MIN(100,(Inputs!$B$9+((C720=TRUE)*(F720-Calc!F19))+B733+(ArtifactsInput!$M$24-ArtifactsInput!$M$24)*CHOOSE(ArtifactsInput!$N$24+1,10,12,14,16,18,20)+(IF(AND(ArtifactsInput!$M$42,((Inputs!$B$9+((C720=TRUE)*(F720-Calc!F19))+B733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712*(1-MIN(100,(Inputs!$B$9+((C720=TRUE)*(F720-Calc!F19))+B733+(ArtifactsInput!$M$24-ArtifactsInput!$M$24)*CHOOSE(ArtifactsInput!$N$24+1,10,12,14,16,18,20)+(IF(AND(ArtifactsInput!$M$42,((Inputs!$B$9+((C720=TRUE)*(F720-Calc!F19))+B733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712*(MIN(100,(Inputs!$B$9+((C720=TRUE)*(F720-Calc!F19))+B733+(ArtifactsInput!$M$24-ArtifactsInput!$M$24)*CHOOSE(ArtifactsInput!$N$24+1,10,12,14,16,18,20)+(IF(AND(ArtifactsInput!$M$42,((Inputs!$B$9+((C720=TRUE)*(F720-Calc!F19))+B733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712">
        <f>IF(C712,(H712*N712*IF(AND(Inputs!$B$38&lt;&gt;"pvp",Inputs!$B$43&gt;0),((Skills!G11*((R712-1)*IF(Skills!H11&gt;0,Skills!I11/Skills!H11,1)+IF(Skills!H11&gt;0,MIN(Skills!I11,MAX(0,MAX(0,Inputs!$B$43-B740)-((R712-1)*IF(Inputs!$B$38="pvp",15,MAX(0.1,Skills!D11-IF(Skills!E11=TRUE,Inputs!$B$32,0))))))/Skills!H11,1)))/Inputs!$B$43),G712*Q712))*IF(Inputs!$B$38="pvp",1,(1+(Inputs!$B$21+Skills!Q11+(IF(ArtifactsInput!$M$33,CHOOSE(ArtifactsInput!$N$33+1,30,36,42,48,54,60),0))+(IF(AND(ArtifactsInput!$M$35,Inputs!$B$4&lt;&gt;"Chapter Hunt"),CHOOSE(ArtifactsInput!$N$35+1,15,18,21,24,27,30)*(1-EXP(-(0.2*B735)*5)),0)+IF(AND(ArtifactsInput!$M$22,Inputs!$B$4&lt;&gt;"Chapter Hunt"),CHOOSE(ArtifactsInput!$N$22+1,10,12,14,16,18,20)*((0*(((0.15*B735*5))^0/1)+1*(((0.15*B735*5))^1/1)+2*(((0.15*B735*5))^2/2)+3*(((0.15*B735*5))^3/6)+4*(((0.15*B735*5))^4/24)+5*(((0.15*B735*5))^5/120))/((((0.15*B735*5))^0/1)+(((0.15*B735*5))^1/1)+(((0.15*B735*5))^2/2)+(((0.15*B735*5))^3/6)+(((0.15*B735*5))^4/24)+(((0.15*B735*5))^5/120))),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713">
      <c r="A713">
        <f>Skills!A12</f>
        <v/>
      </c>
      <c r="B713">
        <f>Skills!B12</f>
        <v/>
      </c>
      <c r="C713">
        <f>Inputs!$B$3&gt;=60</f>
        <v/>
      </c>
      <c r="D713">
        <f>IF(Skills!C12=1,60+Inputs!$B$25+Inputs!$B$29,IF(Skills!C12=2,90+Inputs!$B$26+Inputs!$B$29,IF(Skills!C12=3,120+Inputs!$B$27+Inputs!$B$29,MAX(0,(Inputs!$B$3-100)*3)+Inputs!$B$28+Inputs!$B$29)))</f>
        <v/>
      </c>
      <c r="E713">
        <f>INDEX(FactorTable!$B$2:$Y$301, MATCH(ROUND(MIN(300,MAX(1,D713)),0), FactorTable!$A$2:$A$301,0), Skills!M12+1)</f>
        <v/>
      </c>
      <c r="F713">
        <f>IF(Skills!N12=TRUE,(Skills!L12/10)*(E713/1000),Skills!L12/10)+Skills!O12</f>
        <v/>
      </c>
      <c r="G713">
        <f>Skills!G12*IF(Skills!H12&gt;0,Skills!I12/Skills!H12,1)</f>
        <v/>
      </c>
      <c r="H713">
        <f>1-(1-Skills!J12/100)^Skills!K12</f>
        <v/>
      </c>
      <c r="I713" t="inlineStr">
        <is>
          <t>1</t>
        </is>
      </c>
      <c r="J713" t="inlineStr"/>
      <c r="K713" t="inlineStr"/>
      <c r="L713" t="inlineStr"/>
      <c r="M713" t="inlineStr"/>
      <c r="N713" t="inlineStr"/>
      <c r="O713">
        <f>(1-Summary!$B$11)*T713+Summary!$B$11*V713</f>
        <v/>
      </c>
      <c r="P713">
        <f>IF(B743=0,0,O713/B743)</f>
        <v/>
      </c>
      <c r="Q713" t="n">
        <v>0</v>
      </c>
      <c r="R713" t="n">
        <v>0</v>
      </c>
      <c r="S713" t="n">
        <v>0</v>
      </c>
      <c r="T713" t="n">
        <v>0</v>
      </c>
      <c r="V713" t="n">
        <v>0</v>
      </c>
    </row>
    <row r="714">
      <c r="A714">
        <f>Skills!A13</f>
        <v/>
      </c>
      <c r="B714">
        <f>Skills!B13</f>
        <v/>
      </c>
      <c r="C714">
        <f>Inputs!$B$3&gt;=74</f>
        <v/>
      </c>
      <c r="D714">
        <f>IF(Skills!C13=1,60+Inputs!$B$25+Inputs!$B$29,IF(Skills!C13=2,90+Inputs!$B$26+Inputs!$B$29,IF(Skills!C13=3,120+Inputs!$B$27+Inputs!$B$29,MAX(0,(Inputs!$B$3-100)*3)+Inputs!$B$28+Inputs!$B$29)))</f>
        <v/>
      </c>
      <c r="E714">
        <f>INDEX(FactorTable!$B$2:$Y$301, MATCH(ROUND(MIN(300,MAX(1,D714)),0), FactorTable!$A$2:$A$301,0), Skills!M13+1)</f>
        <v/>
      </c>
      <c r="F714">
        <f>IF(Skills!N13=TRUE,(Skills!L13/10)*(E714/1000),Skills!L13/10)+Skills!O13</f>
        <v/>
      </c>
      <c r="G714">
        <f>Skills!G13*IF(Skills!H13&gt;0,Skills!I13/Skills!H13,1)</f>
        <v/>
      </c>
      <c r="H714">
        <f>1-(1-Skills!J13/100)^Skills!K13</f>
        <v/>
      </c>
      <c r="I714" t="inlineStr">
        <is>
          <t>1</t>
        </is>
      </c>
      <c r="J714" t="inlineStr"/>
      <c r="K714" t="inlineStr"/>
      <c r="L714" t="inlineStr"/>
      <c r="M714" t="inlineStr"/>
      <c r="N714" t="inlineStr"/>
      <c r="O714">
        <f>(1-Summary!$B$11)*T714+Summary!$B$11*V714</f>
        <v/>
      </c>
      <c r="P714">
        <f>IF(B743=0,0,O714/B743)</f>
        <v/>
      </c>
      <c r="Q714" t="n">
        <v>0</v>
      </c>
      <c r="R714" t="n">
        <v>0</v>
      </c>
      <c r="S714" t="n">
        <v>0</v>
      </c>
      <c r="T714" t="n">
        <v>0</v>
      </c>
      <c r="V714" t="n">
        <v>0</v>
      </c>
    </row>
    <row r="715">
      <c r="A715">
        <f>Skills!A14</f>
        <v/>
      </c>
      <c r="B715">
        <f>Skills!B14</f>
        <v/>
      </c>
      <c r="C715">
        <f>Inputs!$B$3&gt;=74</f>
        <v/>
      </c>
      <c r="D715">
        <f>IF(Skills!C14=1,60+Inputs!$B$25+Inputs!$B$29,IF(Skills!C14=2,90+Inputs!$B$26+Inputs!$B$29,IF(Skills!C14=3,120+Inputs!$B$27+Inputs!$B$29,MAX(0,(Inputs!$B$3-100)*3)+Inputs!$B$28+Inputs!$B$29)))</f>
        <v/>
      </c>
      <c r="E715">
        <f>INDEX(FactorTable!$B$2:$Y$301, MATCH(ROUND(MIN(300,MAX(1,D715)),0), FactorTable!$A$2:$A$301,0), Skills!M14+1)</f>
        <v/>
      </c>
      <c r="F715">
        <f>IF(Skills!N14=TRUE,(Skills!L14/10)*(E715/1000),Skills!L14/10)+Skills!O14</f>
        <v/>
      </c>
      <c r="G715">
        <f>Skills!G14*IF(Skills!H14&gt;0,Skills!I14/Skills!H14,1)</f>
        <v/>
      </c>
      <c r="H715">
        <f>1-(1-Skills!J14/100)^Skills!K14</f>
        <v/>
      </c>
      <c r="I715" t="inlineStr">
        <is>
          <t>1</t>
        </is>
      </c>
      <c r="J715" t="inlineStr"/>
      <c r="K715" t="inlineStr"/>
      <c r="L715" t="inlineStr"/>
      <c r="M715" t="inlineStr"/>
      <c r="N715" t="inlineStr"/>
      <c r="O715">
        <f>(1-Summary!$B$11)*T715+Summary!$B$11*V715</f>
        <v/>
      </c>
      <c r="P715">
        <f>IF(B743=0,0,O715/B743)</f>
        <v/>
      </c>
      <c r="Q715" t="n">
        <v>0</v>
      </c>
      <c r="R715" t="n">
        <v>0</v>
      </c>
      <c r="S715" t="n">
        <v>0</v>
      </c>
      <c r="T715" t="n">
        <v>0</v>
      </c>
      <c r="V715" t="n">
        <v>0</v>
      </c>
    </row>
    <row r="716">
      <c r="A716">
        <f>Skills!A15</f>
        <v/>
      </c>
      <c r="B716">
        <f>Skills!B15</f>
        <v/>
      </c>
      <c r="C716">
        <f>Inputs!$B$3&gt;=117</f>
        <v/>
      </c>
      <c r="D716">
        <f>IF(Skills!C15=1,60+Inputs!$B$25+Inputs!$B$29,IF(Skills!C15=2,90+Inputs!$B$26+Inputs!$B$29,IF(Skills!C15=3,120+Inputs!$B$27+Inputs!$B$29,MAX(0,(Inputs!$B$3-100)*3)+Inputs!$B$28+Inputs!$B$29)))</f>
        <v/>
      </c>
      <c r="E716">
        <f>INDEX(FactorTable!$B$2:$Y$301, MATCH(ROUND(MIN(300,MAX(1,D716)),0), FactorTable!$A$2:$A$301,0), Skills!M15+1)</f>
        <v/>
      </c>
      <c r="F716">
        <f>IF(Skills!N15=TRUE,(Skills!L15/10)*(E716/1000),Skills!L15/10)+Skills!O15</f>
        <v/>
      </c>
      <c r="G716">
        <f>Skills!G15*IF(Skills!H15&gt;0,Skills!I15/Skills!H15,1)</f>
        <v/>
      </c>
      <c r="H716">
        <f>1-(1-Skills!J15/100)^Skills!K15</f>
        <v/>
      </c>
      <c r="I716" t="inlineStr">
        <is>
          <t>1</t>
        </is>
      </c>
      <c r="J716" t="inlineStr"/>
      <c r="K716" t="inlineStr"/>
      <c r="L716" t="inlineStr"/>
      <c r="M716" t="inlineStr"/>
      <c r="N716" t="inlineStr"/>
      <c r="O716">
        <f>(1-Summary!$B$11)*T716+Summary!$B$11*V716</f>
        <v/>
      </c>
      <c r="P716">
        <f>IF(B743=0,0,O716/B743)</f>
        <v/>
      </c>
      <c r="Q716">
        <f>IFERROR(1/IF(Inputs!$B$38="pvp",15,MAX(0.1,Skills!D15-IF(Skills!E15=TRUE,Inputs!$B$32,0))),0)</f>
        <v/>
      </c>
      <c r="R716">
        <f>IF(AND(Inputs!$B$38&lt;&gt;"pvp",Inputs!$B$43&gt;0),IF(Inputs!$B$43&lt;=0,0,(INT(Inputs!$B$43/IF(Inputs!$B$38="pvp",15,MAX(0.1,Skills!D15-IF(Skills!E15=TRUE,Inputs!$B$32,0))))+1)),0)</f>
        <v/>
      </c>
      <c r="S716" t="n">
        <v>0</v>
      </c>
      <c r="T716" t="n">
        <v>0</v>
      </c>
      <c r="V716" t="n">
        <v>0</v>
      </c>
    </row>
    <row r="717">
      <c r="A717">
        <f>Skills!A16</f>
        <v/>
      </c>
      <c r="B717">
        <f>Skills!B16</f>
        <v/>
      </c>
      <c r="C717">
        <f>Inputs!$B$3&gt;=115</f>
        <v/>
      </c>
      <c r="D717">
        <f>IF(Skills!C16=1,60+Inputs!$B$25+Inputs!$B$29,IF(Skills!C16=2,90+Inputs!$B$26+Inputs!$B$29,IF(Skills!C16=3,120+Inputs!$B$27+Inputs!$B$29,MAX(0,(Inputs!$B$3-100)*3)+Inputs!$B$28+Inputs!$B$29)))</f>
        <v/>
      </c>
      <c r="E717">
        <f>INDEX(FactorTable!$B$2:$Y$301, MATCH(ROUND(MIN(300,MAX(1,D717)),0), FactorTable!$A$2:$A$301,0), Skills!M16+1)</f>
        <v/>
      </c>
      <c r="F717">
        <f>IF(Skills!N16=TRUE,(Skills!L16/10)*(E717/1000),Skills!L16/10)+Skills!O16</f>
        <v/>
      </c>
      <c r="G717">
        <f>Skills!G16*IF(Skills!H16&gt;0,Skills!I16/Skills!H16,1)</f>
        <v/>
      </c>
      <c r="H717">
        <f>1-(1-Skills!J16/100)^Skills!K16</f>
        <v/>
      </c>
      <c r="I717" t="inlineStr">
        <is>
          <t>1</t>
        </is>
      </c>
      <c r="J717" t="inlineStr"/>
      <c r="K717" t="inlineStr"/>
      <c r="L717" t="inlineStr"/>
      <c r="M717" t="inlineStr"/>
      <c r="N717" t="inlineStr"/>
      <c r="O717">
        <f>(1-Summary!$B$11)*T717+Summary!$B$11*V717</f>
        <v/>
      </c>
      <c r="P717">
        <f>IF(B743=0,0,O717/B743)</f>
        <v/>
      </c>
      <c r="Q717">
        <f>IFERROR(1/IF(Inputs!$B$38="pvp",15,MAX(0.1,Skills!D16-IF(Skills!E16=TRUE,Inputs!$B$32,0))),0)</f>
        <v/>
      </c>
      <c r="R717">
        <f>IF(AND(Inputs!$B$38&lt;&gt;"pvp",Inputs!$B$43&gt;0),IF(Inputs!$B$43&lt;=0,0,(INT(Inputs!$B$43/IF(Inputs!$B$38="pvp",15,MAX(0.1,Skills!D16-IF(Skills!E16=TRUE,Inputs!$B$32,0))))+1)),0)</f>
        <v/>
      </c>
      <c r="S717" t="n">
        <v>0</v>
      </c>
      <c r="T717" t="n">
        <v>0</v>
      </c>
      <c r="V717" t="n">
        <v>0</v>
      </c>
    </row>
    <row r="718">
      <c r="A718">
        <f>Skills!A17</f>
        <v/>
      </c>
      <c r="B718">
        <f>Skills!B17</f>
        <v/>
      </c>
      <c r="C718">
        <f>Inputs!$B$3&gt;=72</f>
        <v/>
      </c>
      <c r="D718">
        <f>IF(Skills!C17=1,60+Inputs!$B$25+Inputs!$B$29,IF(Skills!C17=2,90+Inputs!$B$26+Inputs!$B$29,IF(Skills!C17=3,120+Inputs!$B$27+Inputs!$B$29,MAX(0,(Inputs!$B$3-100)*3)+Inputs!$B$28+Inputs!$B$29)))</f>
        <v/>
      </c>
      <c r="E718">
        <f>INDEX(FactorTable!$B$2:$Y$301, MATCH(ROUND(MIN(300,MAX(1,D718)),0), FactorTable!$A$2:$A$301,0), Skills!M17+1)</f>
        <v/>
      </c>
      <c r="F718">
        <f>IF(Skills!N17=TRUE,(Skills!L17/10)*(E718/1000),Skills!L17/10)+Skills!O17</f>
        <v/>
      </c>
      <c r="G718">
        <f>Skills!G17*IF(Skills!H17&gt;0,Skills!I17/Skills!H17,1)</f>
        <v/>
      </c>
      <c r="H718">
        <f>1-(1-Skills!J17/100)^Skills!K17</f>
        <v/>
      </c>
      <c r="I718" t="inlineStr">
        <is>
          <t>1</t>
        </is>
      </c>
      <c r="J718" t="inlineStr"/>
      <c r="K718" t="inlineStr"/>
      <c r="L718" t="inlineStr"/>
      <c r="M718" t="inlineStr"/>
      <c r="N718" t="inlineStr"/>
      <c r="O718">
        <f>(1-Summary!$B$11)*T718+Summary!$B$11*V718</f>
        <v/>
      </c>
      <c r="P718">
        <f>IF(B743=0,0,O718/B743)</f>
        <v/>
      </c>
      <c r="Q718" t="n">
        <v>0</v>
      </c>
      <c r="R718" t="n">
        <v>0</v>
      </c>
      <c r="S718" t="n">
        <v>0</v>
      </c>
      <c r="T718" t="n">
        <v>0</v>
      </c>
      <c r="V718" t="n">
        <v>0</v>
      </c>
    </row>
    <row r="719">
      <c r="A719">
        <f>Skills!A18</f>
        <v/>
      </c>
      <c r="B719">
        <f>Skills!B18</f>
        <v/>
      </c>
      <c r="C719">
        <f>TRUE</f>
        <v/>
      </c>
      <c r="D719">
        <f>IF(Skills!C18=1,60+Inputs!$B$25+Inputs!$B$29,IF(Skills!C18=2,90+Inputs!$B$26+Inputs!$B$29,IF(Skills!C18=3,120+Inputs!$B$27+Inputs!$B$29,MAX(0,(Inputs!$B$3-100)*3)+Inputs!$B$28+Inputs!$B$29)))</f>
        <v/>
      </c>
      <c r="E719">
        <f>INDEX(FactorTable!$B$2:$Y$301, MATCH(ROUND(MIN(300,MAX(1,D719)),0), FactorTable!$A$2:$A$301,0), Skills!M18+1)</f>
        <v/>
      </c>
      <c r="F719">
        <f>IF(Skills!N18=TRUE,(Skills!L18/10)*(E719/1000),Skills!L18/10)+Skills!O18</f>
        <v/>
      </c>
      <c r="G719">
        <f>Skills!G18*IF(Skills!H18&gt;0,Skills!I18/Skills!H18,1)</f>
        <v/>
      </c>
      <c r="H719">
        <f>1-(1-Skills!J18/100)^Skills!K18</f>
        <v/>
      </c>
      <c r="I719" t="inlineStr">
        <is>
          <t>1</t>
        </is>
      </c>
      <c r="J719" t="inlineStr"/>
      <c r="K719" t="inlineStr"/>
      <c r="L719" t="inlineStr"/>
      <c r="M719" t="inlineStr"/>
      <c r="N719" t="inlineStr"/>
      <c r="O719">
        <f>(1-Summary!$B$11)*T719+Summary!$B$11*V719</f>
        <v/>
      </c>
      <c r="P719">
        <f>IF(B743=0,0,O719/B743)</f>
        <v/>
      </c>
      <c r="Q719">
        <f>IFERROR(1/IF(Inputs!$B$38="pvp",15,MAX(0.1,Skills!D18-IF(Skills!E18=TRUE,Inputs!$B$32,0))),0)</f>
        <v/>
      </c>
      <c r="R719">
        <f>IF(AND(Inputs!$B$38&lt;&gt;"pvp",Inputs!$B$43&gt;0),IF(Inputs!$B$43&lt;=0,0,(INT(Inputs!$B$43/IF(Inputs!$B$38="pvp",15,MAX(0.1,Skills!D18-IF(Skills!E18=TRUE,Inputs!$B$32,0))))+1)),0)</f>
        <v/>
      </c>
      <c r="S719" t="n">
        <v>0</v>
      </c>
      <c r="T719" t="n">
        <v>0</v>
      </c>
      <c r="V719" t="n">
        <v>0</v>
      </c>
    </row>
    <row r="720">
      <c r="A720">
        <f>Skills!A19</f>
        <v/>
      </c>
      <c r="B720">
        <f>Skills!B19</f>
        <v/>
      </c>
      <c r="C720">
        <f>Inputs!$B$3&gt;=15</f>
        <v/>
      </c>
      <c r="D720">
        <f>IF(Skills!C19=1,60+Inputs!$B$25+Inputs!$B$29,IF(Skills!C19=2,90+Inputs!$B$26+Inputs!$B$29,IF(Skills!C19=3,120+Inputs!$B$27+Inputs!$B$29,MAX(0,(Inputs!$B$3-100)*3)+Inputs!$B$28+Inputs!$B$29)))</f>
        <v/>
      </c>
      <c r="E720">
        <f>INDEX(FactorTable!$B$2:$Y$301, MATCH(ROUND(MIN(300,MAX(1,D720)),0), FactorTable!$A$2:$A$301,0), Skills!M19+1)</f>
        <v/>
      </c>
      <c r="F720">
        <f>IF(Skills!N19=TRUE,(Skills!L19/10)*(E720/1000),Skills!L19/10)+Skills!O19</f>
        <v/>
      </c>
      <c r="G720">
        <f>Skills!G19*IF(Skills!H19&gt;0,Skills!I19/Skills!H19,1)</f>
        <v/>
      </c>
      <c r="H720">
        <f>1-(1-Skills!J19/100)^Skills!K19</f>
        <v/>
      </c>
      <c r="I720" t="inlineStr">
        <is>
          <t>1</t>
        </is>
      </c>
      <c r="J720" t="inlineStr"/>
      <c r="K720" t="inlineStr"/>
      <c r="L720" t="inlineStr"/>
      <c r="M720" t="inlineStr"/>
      <c r="N720" t="inlineStr"/>
      <c r="O720">
        <f>(1-Summary!$B$11)*T720+Summary!$B$11*V720</f>
        <v/>
      </c>
      <c r="P720">
        <f>IF(B743=0,0,O720/B743)</f>
        <v/>
      </c>
      <c r="Q720" t="n">
        <v>0</v>
      </c>
      <c r="R720" t="n">
        <v>0</v>
      </c>
      <c r="S720" t="n">
        <v>0</v>
      </c>
      <c r="T720" t="n">
        <v>0</v>
      </c>
      <c r="V720" t="n">
        <v>0</v>
      </c>
    </row>
    <row r="721">
      <c r="A721">
        <f>Skills!A20</f>
        <v/>
      </c>
      <c r="B721">
        <f>Skills!B20</f>
        <v/>
      </c>
      <c r="C721">
        <f>Inputs!$B$3&gt;=10</f>
        <v/>
      </c>
      <c r="D721">
        <f>IF(Skills!C20=1,60+Inputs!$B$25+Inputs!$B$29,IF(Skills!C20=2,90+Inputs!$B$26+Inputs!$B$29,IF(Skills!C20=3,120+Inputs!$B$27+Inputs!$B$29,MAX(0,(Inputs!$B$3-100)*3)+Inputs!$B$28+Inputs!$B$29)))</f>
        <v/>
      </c>
      <c r="E721">
        <f>INDEX(FactorTable!$B$2:$Y$301, MATCH(ROUND(MIN(300,MAX(1,D721)),0), FactorTable!$A$2:$A$301,0), Skills!M20+1)</f>
        <v/>
      </c>
      <c r="F721">
        <f>IF(Skills!N20=TRUE,(Skills!L20/10)*(E721/1000),Skills!L20/10)+Skills!O20</f>
        <v/>
      </c>
      <c r="G721">
        <f>Skills!G20*IF(Skills!H20&gt;0,Skills!I20/Skills!H20,1)</f>
        <v/>
      </c>
      <c r="H721">
        <f>1-(1-Skills!J20/100)^Skills!K20</f>
        <v/>
      </c>
      <c r="I721" t="inlineStr">
        <is>
          <t>1</t>
        </is>
      </c>
      <c r="J721" t="inlineStr"/>
      <c r="K721" t="inlineStr"/>
      <c r="L721" t="inlineStr"/>
      <c r="M721" t="inlineStr"/>
      <c r="N721" t="inlineStr"/>
      <c r="O721">
        <f>(1-Summary!$B$11)*T721+Summary!$B$11*V721</f>
        <v/>
      </c>
      <c r="P721">
        <f>IF(B743=0,0,O721/B743)</f>
        <v/>
      </c>
      <c r="Q721" t="n">
        <v>0</v>
      </c>
      <c r="R721" t="n">
        <v>0</v>
      </c>
      <c r="S721" t="n">
        <v>0</v>
      </c>
      <c r="T721" t="n">
        <v>0</v>
      </c>
      <c r="V721" t="n">
        <v>0</v>
      </c>
    </row>
    <row r="722">
      <c r="A722">
        <f>Skills!A21</f>
        <v/>
      </c>
      <c r="B722">
        <f>Skills!B21</f>
        <v/>
      </c>
      <c r="C722">
        <f>Inputs!$B$3&gt;=33</f>
        <v/>
      </c>
      <c r="D722">
        <f>IF(Skills!C21=1,60+Inputs!$B$25+Inputs!$B$29,IF(Skills!C21=2,90+Inputs!$B$26+Inputs!$B$29,IF(Skills!C21=3,120+Inputs!$B$27+Inputs!$B$29,MAX(0,(Inputs!$B$3-100)*3)+Inputs!$B$28+Inputs!$B$29)))</f>
        <v/>
      </c>
      <c r="E722">
        <f>INDEX(FactorTable!$B$2:$Y$301, MATCH(ROUND(MIN(300,MAX(1,D722)),0), FactorTable!$A$2:$A$301,0), Skills!M21+1)</f>
        <v/>
      </c>
      <c r="F722">
        <f>IF(Skills!N21=TRUE,(Skills!L21/10)*(E722/1000),Skills!L21/10)+Skills!O21</f>
        <v/>
      </c>
      <c r="G722">
        <f>Skills!G21*IF(Skills!H21&gt;0,Skills!I21/Skills!H21,1)</f>
        <v/>
      </c>
      <c r="H722">
        <f>1-(1-Skills!J21/100)^Skills!K21</f>
        <v/>
      </c>
      <c r="I722" t="inlineStr">
        <is>
          <t>1</t>
        </is>
      </c>
      <c r="J722" t="inlineStr"/>
      <c r="K722" t="inlineStr"/>
      <c r="L722" t="inlineStr"/>
      <c r="M722" t="inlineStr"/>
      <c r="N722" t="inlineStr"/>
      <c r="O722">
        <f>(1-Summary!$B$11)*T722+Summary!$B$11*V722</f>
        <v/>
      </c>
      <c r="P722">
        <f>IF(B743=0,0,O722/B743)</f>
        <v/>
      </c>
      <c r="Q722" t="n">
        <v>0</v>
      </c>
      <c r="R722" t="n">
        <v>0</v>
      </c>
      <c r="S722" t="n">
        <v>0</v>
      </c>
      <c r="T722" t="n">
        <v>0</v>
      </c>
      <c r="V722" t="n">
        <v>0</v>
      </c>
    </row>
    <row r="723">
      <c r="A723">
        <f>Skills!A22</f>
        <v/>
      </c>
      <c r="B723">
        <f>Skills!B22</f>
        <v/>
      </c>
      <c r="C723">
        <f>Inputs!$B$3&gt;=38</f>
        <v/>
      </c>
      <c r="D723">
        <f>IF(Skills!C22=1,60+Inputs!$B$25+Inputs!$B$29,IF(Skills!C22=2,90+Inputs!$B$26+Inputs!$B$29,IF(Skills!C22=3,120+Inputs!$B$27+Inputs!$B$29,MAX(0,(Inputs!$B$3-100)*3)+Inputs!$B$28+Inputs!$B$29)))</f>
        <v/>
      </c>
      <c r="E723">
        <f>INDEX(FactorTable!$B$2:$Y$301, MATCH(ROUND(MIN(300,MAX(1,D723)),0), FactorTable!$A$2:$A$301,0), Skills!M22+1)</f>
        <v/>
      </c>
      <c r="F723">
        <f>IF(Skills!N22=TRUE,(Skills!L22/10)*(E723/1000),Skills!L22/10)+Skills!O22</f>
        <v/>
      </c>
      <c r="G723">
        <f>Skills!G22*IF(Skills!H22&gt;0,Skills!I22/Skills!H22,1)</f>
        <v/>
      </c>
      <c r="H723">
        <f>1-(1-Skills!J22/100)^Skills!K22</f>
        <v/>
      </c>
      <c r="I723" t="inlineStr">
        <is>
          <t>1</t>
        </is>
      </c>
      <c r="J723" t="inlineStr"/>
      <c r="K723" t="inlineStr"/>
      <c r="L723" t="inlineStr"/>
      <c r="M723" t="inlineStr"/>
      <c r="N723" t="inlineStr"/>
      <c r="O723">
        <f>(1-Summary!$B$11)*T723+Summary!$B$11*V723</f>
        <v/>
      </c>
      <c r="P723">
        <f>IF(B743=0,0,O723/B743)</f>
        <v/>
      </c>
      <c r="Q723" t="n">
        <v>0</v>
      </c>
      <c r="R723" t="n">
        <v>0</v>
      </c>
      <c r="S723" t="n">
        <v>0</v>
      </c>
      <c r="T723" t="n">
        <v>0</v>
      </c>
      <c r="V723" t="n">
        <v>0</v>
      </c>
    </row>
    <row r="724">
      <c r="A724">
        <f>Skills!A23</f>
        <v/>
      </c>
      <c r="B724">
        <f>Skills!B23</f>
        <v/>
      </c>
      <c r="C724">
        <f>Inputs!$B$3&gt;=43</f>
        <v/>
      </c>
      <c r="D724">
        <f>IF(Skills!C23=1,60+Inputs!$B$25+Inputs!$B$29,IF(Skills!C23=2,90+Inputs!$B$26+Inputs!$B$29,IF(Skills!C23=3,120+Inputs!$B$27+Inputs!$B$29,MAX(0,(Inputs!$B$3-100)*3)+Inputs!$B$28+Inputs!$B$29)))</f>
        <v/>
      </c>
      <c r="E724">
        <f>INDEX(FactorTable!$B$2:$Y$301, MATCH(ROUND(MIN(300,MAX(1,D724)),0), FactorTable!$A$2:$A$301,0), Skills!M23+1)</f>
        <v/>
      </c>
      <c r="F724">
        <f>IF(Skills!N23=TRUE,(Skills!L23/10)*(E724/1000),Skills!L23/10)+Skills!O23</f>
        <v/>
      </c>
      <c r="G724">
        <f>Skills!G23*IF(Skills!H23&gt;0,Skills!I23/Skills!H23,1)</f>
        <v/>
      </c>
      <c r="H724">
        <f>1-(1-Skills!J23/100)^Skills!K23</f>
        <v/>
      </c>
      <c r="I724" t="inlineStr">
        <is>
          <t>1</t>
        </is>
      </c>
      <c r="J724" t="inlineStr"/>
      <c r="K724" t="inlineStr"/>
      <c r="L724" t="inlineStr"/>
      <c r="M724" t="inlineStr"/>
      <c r="N724" t="inlineStr"/>
      <c r="O724">
        <f>(1-Summary!$B$11)*T724+Summary!$B$11*V724</f>
        <v/>
      </c>
      <c r="P724">
        <f>IF(B743=0,0,O724/B743)</f>
        <v/>
      </c>
      <c r="Q724" t="n">
        <v>0</v>
      </c>
      <c r="R724" t="n">
        <v>0</v>
      </c>
      <c r="S724" t="n">
        <v>0</v>
      </c>
      <c r="T724" t="n">
        <v>0</v>
      </c>
      <c r="V724" t="n">
        <v>0</v>
      </c>
    </row>
    <row r="725">
      <c r="A725">
        <f>Skills!A24</f>
        <v/>
      </c>
      <c r="B725">
        <f>Skills!B24</f>
        <v/>
      </c>
      <c r="C725">
        <f>Inputs!$B$3&gt;=75</f>
        <v/>
      </c>
      <c r="D725">
        <f>IF(Skills!C24=1,60+Inputs!$B$25+Inputs!$B$29,IF(Skills!C24=2,90+Inputs!$B$26+Inputs!$B$29,IF(Skills!C24=3,120+Inputs!$B$27+Inputs!$B$29,MAX(0,(Inputs!$B$3-100)*3)+Inputs!$B$28+Inputs!$B$29)))</f>
        <v/>
      </c>
      <c r="E725">
        <f>INDEX(FactorTable!$B$2:$Y$301, MATCH(ROUND(MIN(300,MAX(1,D725)),0), FactorTable!$A$2:$A$301,0), Skills!M24+1)</f>
        <v/>
      </c>
      <c r="F725">
        <f>IF(Skills!N24=TRUE,(Skills!L24/10)*(E725/1000),Skills!L24/10)+Skills!O24</f>
        <v/>
      </c>
      <c r="G725">
        <f>Skills!G24*IF(Skills!H24&gt;0,Skills!I24/Skills!H24,1)</f>
        <v/>
      </c>
      <c r="H725">
        <f>1-(1-Skills!J24/100)^Skills!K24</f>
        <v/>
      </c>
      <c r="I725" t="inlineStr">
        <is>
          <t>1</t>
        </is>
      </c>
      <c r="J725" t="inlineStr"/>
      <c r="K725" t="inlineStr"/>
      <c r="L725" t="inlineStr"/>
      <c r="M725" t="inlineStr"/>
      <c r="N725" t="inlineStr"/>
      <c r="O725">
        <f>(1-Summary!$B$11)*T725+Summary!$B$11*V725</f>
        <v/>
      </c>
      <c r="P725">
        <f>IF(B743=0,0,O725/B743)</f>
        <v/>
      </c>
      <c r="Q725" t="n">
        <v>0</v>
      </c>
      <c r="R725" t="n">
        <v>0</v>
      </c>
      <c r="S725" t="n">
        <v>0</v>
      </c>
      <c r="T725" t="n">
        <v>0</v>
      </c>
      <c r="V725" t="n">
        <v>0</v>
      </c>
    </row>
    <row r="726">
      <c r="A726">
        <f>Skills!A25</f>
        <v/>
      </c>
      <c r="B726">
        <f>Skills!B25</f>
        <v/>
      </c>
      <c r="C726">
        <f>Inputs!$B$3&gt;=125</f>
        <v/>
      </c>
      <c r="D726">
        <f>IF(Skills!C25=1,60+Inputs!$B$25+Inputs!$B$29,IF(Skills!C25=2,90+Inputs!$B$26+Inputs!$B$29,IF(Skills!C25=3,120+Inputs!$B$27+Inputs!$B$29,MAX(0,(Inputs!$B$3-100)*3)+Inputs!$B$28+Inputs!$B$29)))</f>
        <v/>
      </c>
      <c r="E726">
        <f>INDEX(FactorTable!$B$2:$Y$301, MATCH(ROUND(MIN(300,MAX(1,D726)),0), FactorTable!$A$2:$A$301,0), Skills!M25+1)</f>
        <v/>
      </c>
      <c r="F726">
        <f>IF(Skills!N25=TRUE,(Skills!L25/10)*(E726/1000),Skills!L25/10)+Skills!O25</f>
        <v/>
      </c>
      <c r="G726">
        <f>Skills!G25*IF(Skills!H25&gt;0,Skills!I25/Skills!H25,1)</f>
        <v/>
      </c>
      <c r="H726">
        <f>1-(1-Skills!J25/100)^Skills!K25</f>
        <v/>
      </c>
      <c r="I726" t="inlineStr">
        <is>
          <t>1</t>
        </is>
      </c>
      <c r="J726" t="inlineStr"/>
      <c r="K726" t="inlineStr"/>
      <c r="L726" t="inlineStr"/>
      <c r="M726" t="inlineStr"/>
      <c r="N726" t="inlineStr"/>
      <c r="O726">
        <f>(1-Summary!$B$11)*T726+Summary!$B$11*V726</f>
        <v/>
      </c>
      <c r="P726">
        <f>IF(B743=0,0,O726/B743)</f>
        <v/>
      </c>
      <c r="Q726" t="n">
        <v>0</v>
      </c>
      <c r="R726" t="n">
        <v>0</v>
      </c>
      <c r="S726" t="n">
        <v>0</v>
      </c>
      <c r="T726" t="n">
        <v>0</v>
      </c>
      <c r="V726" t="n">
        <v>0</v>
      </c>
    </row>
    <row r="727">
      <c r="A727">
        <f>Skills!A26</f>
        <v/>
      </c>
      <c r="B727">
        <f>Skills!B26</f>
        <v/>
      </c>
      <c r="C727">
        <f>Inputs!$B$3&gt;=125</f>
        <v/>
      </c>
      <c r="D727">
        <f>IF(Skills!C26=1,60+Inputs!$B$25+Inputs!$B$29,IF(Skills!C26=2,90+Inputs!$B$26+Inputs!$B$29,IF(Skills!C26=3,120+Inputs!$B$27+Inputs!$B$29,MAX(0,(Inputs!$B$3-100)*3)+Inputs!$B$28+Inputs!$B$29)))</f>
        <v/>
      </c>
      <c r="E727">
        <f>INDEX(FactorTable!$B$2:$Y$301, MATCH(ROUND(MIN(300,MAX(1,D727)),0), FactorTable!$A$2:$A$301,0), Skills!M26+1)</f>
        <v/>
      </c>
      <c r="F727">
        <f>IF(Skills!N26=TRUE,(Skills!L26/10)*(E727/1000),Skills!L26/10)+Skills!O26</f>
        <v/>
      </c>
      <c r="G727">
        <f>Skills!G26*IF(Skills!H26&gt;0,Skills!I26/Skills!H26,1)</f>
        <v/>
      </c>
      <c r="H727">
        <f>1-(1-Skills!J26/100)^Skills!K26</f>
        <v/>
      </c>
      <c r="I727" t="inlineStr">
        <is>
          <t>1</t>
        </is>
      </c>
      <c r="J727" t="inlineStr"/>
      <c r="K727" t="inlineStr"/>
      <c r="L727" t="inlineStr"/>
      <c r="M727" t="inlineStr"/>
      <c r="N727" t="inlineStr"/>
      <c r="O727">
        <f>(1-Summary!$B$11)*T727+Summary!$B$11*V727</f>
        <v/>
      </c>
      <c r="P727">
        <f>IF(B743=0,0,O727/B743)</f>
        <v/>
      </c>
      <c r="Q727" t="n">
        <v>0</v>
      </c>
      <c r="R727" t="n">
        <v>0</v>
      </c>
      <c r="S727" t="n">
        <v>0</v>
      </c>
      <c r="T727" t="n">
        <v>0</v>
      </c>
      <c r="V727" t="n">
        <v>0</v>
      </c>
    </row>
    <row r="728">
      <c r="A728">
        <f>Skills!A27</f>
        <v/>
      </c>
      <c r="B728">
        <f>Skills!B27</f>
        <v/>
      </c>
      <c r="C728">
        <f>Inputs!$B$3&gt;=120</f>
        <v/>
      </c>
      <c r="D728">
        <f>IF(Skills!C27=1,60+Inputs!$B$25+Inputs!$B$29,IF(Skills!C27=2,90+Inputs!$B$26+Inputs!$B$29,IF(Skills!C27=3,120+Inputs!$B$27+Inputs!$B$29,MAX(0,(Inputs!$B$3-100)*3)+Inputs!$B$28+Inputs!$B$29)))</f>
        <v/>
      </c>
      <c r="E728">
        <f>INDEX(FactorTable!$B$2:$Y$301, MATCH(ROUND(MIN(300,MAX(1,D728)),0), FactorTable!$A$2:$A$301,0), Skills!M27+1)</f>
        <v/>
      </c>
      <c r="F728">
        <f>IF(Skills!N27=TRUE,(Skills!L27/10)*(E728/1000),Skills!L27/10)+Skills!O27</f>
        <v/>
      </c>
      <c r="G728">
        <f>Skills!G27*IF(Skills!H27&gt;0,Skills!I27/Skills!H27,1)</f>
        <v/>
      </c>
      <c r="H728">
        <f>1-(1-Skills!J27/100)^Skills!K27</f>
        <v/>
      </c>
      <c r="I728" t="inlineStr">
        <is>
          <t>1</t>
        </is>
      </c>
      <c r="J728" t="inlineStr"/>
      <c r="K728" t="inlineStr"/>
      <c r="L728" t="inlineStr"/>
      <c r="M728" t="inlineStr"/>
      <c r="N728" t="inlineStr"/>
      <c r="O728">
        <f>(1-Summary!$B$11)*T728+Summary!$B$11*V728</f>
        <v/>
      </c>
      <c r="P728">
        <f>IF(B743=0,0,O728/B743)</f>
        <v/>
      </c>
      <c r="Q728" t="n">
        <v>0</v>
      </c>
      <c r="R728" t="n">
        <v>0</v>
      </c>
      <c r="S728" t="n">
        <v>0</v>
      </c>
      <c r="T728" t="n">
        <v>0</v>
      </c>
      <c r="V728" t="n">
        <v>0</v>
      </c>
    </row>
    <row r="729">
      <c r="A729">
        <f>Skills!A28</f>
        <v/>
      </c>
      <c r="B729">
        <f>Skills!B28</f>
        <v/>
      </c>
      <c r="C729">
        <f>Inputs!$B$3&gt;=120</f>
        <v/>
      </c>
      <c r="D729">
        <f>IF(Skills!C28=1,60+Inputs!$B$25+Inputs!$B$29,IF(Skills!C28=2,90+Inputs!$B$26+Inputs!$B$29,IF(Skills!C28=3,120+Inputs!$B$27+Inputs!$B$29,MAX(0,(Inputs!$B$3-100)*3)+Inputs!$B$28+Inputs!$B$29)))</f>
        <v/>
      </c>
      <c r="E729">
        <f>INDEX(FactorTable!$B$2:$Y$301, MATCH(ROUND(MIN(300,MAX(1,D729)),0), FactorTable!$A$2:$A$301,0), Skills!M28+1)</f>
        <v/>
      </c>
      <c r="F729">
        <f>IF(Skills!N28=TRUE,(Skills!L28/10)*(E729/1000),Skills!L28/10)+Skills!O28</f>
        <v/>
      </c>
      <c r="G729">
        <f>Skills!G28*IF(Skills!H28&gt;0,Skills!I28/Skills!H28,1)</f>
        <v/>
      </c>
      <c r="H729">
        <f>1-(1-Skills!J28/100)^Skills!K28</f>
        <v/>
      </c>
      <c r="I729" t="inlineStr">
        <is>
          <t>1</t>
        </is>
      </c>
      <c r="J729" t="inlineStr"/>
      <c r="K729" t="inlineStr"/>
      <c r="L729" t="inlineStr"/>
      <c r="M729" t="inlineStr"/>
      <c r="N729" t="inlineStr"/>
      <c r="O729">
        <f>(1-Summary!$B$11)*T729+Summary!$B$11*V729</f>
        <v/>
      </c>
      <c r="P729">
        <f>IF(B743=0,0,O729/B743)</f>
        <v/>
      </c>
      <c r="Q729" t="n">
        <v>0</v>
      </c>
      <c r="R729" t="n">
        <v>0</v>
      </c>
      <c r="S729" t="n">
        <v>0</v>
      </c>
      <c r="T729" t="n">
        <v>0</v>
      </c>
      <c r="V729" t="n">
        <v>0</v>
      </c>
    </row>
    <row r="730">
      <c r="A730">
        <f>Skills!A29</f>
        <v/>
      </c>
      <c r="B730">
        <f>Skills!B29</f>
        <v/>
      </c>
      <c r="C730">
        <f>Inputs!$B$3&gt;=45</f>
        <v/>
      </c>
      <c r="D730">
        <f>IF(Skills!C29=1,60+Inputs!$B$25+Inputs!$B$29,IF(Skills!C29=2,90+Inputs!$B$26+Inputs!$B$29,IF(Skills!C29=3,120+Inputs!$B$27+Inputs!$B$29,MAX(0,(Inputs!$B$3-100)*3)+Inputs!$B$28+Inputs!$B$29)))</f>
        <v/>
      </c>
      <c r="E730">
        <f>INDEX(FactorTable!$B$2:$Y$301, MATCH(ROUND(MIN(300,MAX(1,D730)),0), FactorTable!$A$2:$A$301,0), Skills!M29+1)</f>
        <v/>
      </c>
      <c r="F730">
        <f>IF(Skills!N29=TRUE,(Skills!L29/10)*(E730/1000),Skills!L29/10)+Skills!O29</f>
        <v/>
      </c>
      <c r="G730">
        <f>Skills!G29*IF(Skills!H29&gt;0,Skills!I29/Skills!H29,1)</f>
        <v/>
      </c>
      <c r="H730">
        <f>1-(1-Skills!J29/100)^Skills!K29</f>
        <v/>
      </c>
      <c r="I730" t="inlineStr">
        <is>
          <t>1</t>
        </is>
      </c>
      <c r="J730" t="inlineStr"/>
      <c r="K730" t="inlineStr"/>
      <c r="L730" t="inlineStr"/>
      <c r="M730" t="inlineStr"/>
      <c r="N730" t="inlineStr"/>
      <c r="O730">
        <f>(1-Summary!$B$11)*T730+Summary!$B$11*V730</f>
        <v/>
      </c>
      <c r="P730">
        <f>IF(B743=0,0,O730/B743)</f>
        <v/>
      </c>
      <c r="Q730" t="n">
        <v>0</v>
      </c>
      <c r="R730" t="n">
        <v>0</v>
      </c>
      <c r="S730" t="n">
        <v>0</v>
      </c>
      <c r="T730" t="n">
        <v>0</v>
      </c>
      <c r="V730" t="n">
        <v>0</v>
      </c>
    </row>
    <row r="732">
      <c r="A732" t="inlineStr">
        <is>
          <t>Attack% Bucket Multiplier</t>
        </is>
      </c>
      <c r="B732">
        <f>(1+(((C714=TRUE)*F714)+((C715=TRUE)*IF(Inputs!$B$38="pvp",F715,(1-Summary!$B$11)*(F715)+Summary!$B$11*(0)))+((C716=TRUE)*F716*IF(AND(Inputs!$B$38&lt;&gt;"pvp",Inputs!$B$43&gt;0),(((R716-1)*(Skills!T15*(1+Inputs!$B$34/100))+MIN((Skills!T15*(1+Inputs!$B$34/100)),MAX(0,Inputs!$B$43-((R716-1)*Skills!D15))))/Inputs!$B$43),IF(Inputs!$B$38="pvp",MIN((Skills!T15*(1+Inputs!$B$34/100)),15)/15,(Skills!T15*(1+Inputs!$B$34/100))/Skills!D15)))+((C713=TRUE)*F713)+((C730=TRUE)*(F730-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733">
      <c r="A733" t="inlineStr">
        <is>
          <t>Global Crit Rate Bonus %</t>
        </is>
      </c>
      <c r="B733">
        <f>(C717=TRUE)*20*IF(AND(Inputs!$B$38&lt;&gt;"pvp",Inputs!$B$43&gt;0),(((R717-1)*(Skills!T16*(1+Inputs!$B$34/100))+MIN((Skills!T16*(1+Inputs!$B$34/100)),MAX(0,Inputs!$B$43-((R717-1)*Skills!D16))))/Inputs!$B$43),IF(Inputs!$B$38="pvp",MIN((Skills!T16*(1+Inputs!$B$34/100)),15)/15,(Skills!T16*(1+Inputs!$B$34/100))/Skills!D16))</f>
        <v/>
      </c>
    </row>
    <row r="734">
      <c r="A734" t="inlineStr">
        <is>
          <t>Attack Speed Buff Bonus %</t>
        </is>
      </c>
      <c r="B734">
        <f>((C719=TRUE)*F719*IF(AND(Inputs!$B$38&lt;&gt;"pvp",Inputs!$B$43&gt;0),(((R719-1)*(Skills!T18*(1+Inputs!$B$34/100))+MIN((Skills!T18*(1+Inputs!$B$34/100)),MAX(0,Inputs!$B$43-((R719-1)*Skills!D18))))/Inputs!$B$43),IF(Inputs!$B$38="pvp",MIN((Skills!T18*(1+Inputs!$B$34/100)),15)/15,(Skills!T18*(1+Inputs!$B$34/100))/Skills!D18)))</f>
        <v/>
      </c>
    </row>
    <row r="735">
      <c r="A735" t="inlineStr">
        <is>
          <t>Actions Per Second</t>
        </is>
      </c>
      <c r="B735">
        <f>1+MIN(150,150*(1-(1-(Inputs!$B$11+((C721=TRUE)*(F721-Calc!F20))+((C722=TRUE)*(F722-Calc!F21)))/150)*(1-B734/150)))/100</f>
        <v/>
      </c>
    </row>
    <row r="736">
      <c r="A736" t="inlineStr">
        <is>
          <t>Skill + Buff Cast Rate</t>
        </is>
      </c>
      <c r="B736">
        <f>IF(AND(Inputs!$B$38&lt;&gt;"pvp",Inputs!$B$43&gt;0),SUMPRODUCT((Skills!E2:E29=TRUE)*(C703:C730=TRUE)*R703:R730*Skills!F2:F29)/Inputs!$B$43,SUMPRODUCT((Skills!E2:E29=TRUE)*(C703:C730=TRUE)*Q703:Q730*Skills!F2:F29))</f>
        <v/>
      </c>
    </row>
    <row r="737">
      <c r="A737" t="inlineStr">
        <is>
          <t>Empowered Piercing Arrow Casts Per Second</t>
        </is>
      </c>
      <c r="B737">
        <f>MAX(0,B735-B736)</f>
        <v/>
      </c>
    </row>
    <row r="738">
      <c r="A738" t="inlineStr">
        <is>
          <t>Global Critical Damage Bonus % (Sharp Eyes)</t>
        </is>
      </c>
      <c r="B738">
        <f>(C717=TRUE)*F717*IF(AND(Inputs!$B$38&lt;&gt;"pvp",Inputs!$B$43&gt;0),(((R717-1)*(Skills!T16*(1+Inputs!$B$34/100))+MIN((Skills!T16*(1+Inputs!$B$34/100)),MAX(0,Inputs!$B$43-((R717-1)*Skills!D16))))/Inputs!$B$43),IF(Inputs!$B$38="pvp",MIN((Skills!T16*(1+Inputs!$B$34/100)),15)/15,(Skills!T16*(1+Inputs!$B$34/100))/Skills!D16))</f>
        <v/>
      </c>
    </row>
    <row r="739">
      <c r="A739" t="inlineStr">
        <is>
          <t>Global Final Damage Bonus % (Mortal Blow + Last Man Standing conditional half)</t>
        </is>
      </c>
      <c r="B739">
        <f>(C718=TRUE)*F718+((C727=TRUE)*IF(Inputs!$B$38="pvp",F727,(1-Summary!$B$11)*(F727)+Summary!$B$11*(0)))</f>
        <v/>
      </c>
    </row>
    <row r="740">
      <c r="A740" t="inlineStr">
        <is>
          <t>Buff-Casting Startup Delay (s, fixed-duration only)</t>
        </is>
      </c>
      <c r="B740">
        <f>IF(AND(Inputs!$B$38&lt;&gt;"pvp",Inputs!$B$43&gt;0),SUMPRODUCT((Skills!T2:T29&gt;0)*(Skills!E2:E29=TRUE)*(C703:C730=TRUE))/B735,0)</f>
        <v/>
      </c>
    </row>
    <row r="741">
      <c r="A741" t="inlineStr">
        <is>
          <t>Boss-Only Total DPS (this block's swept value)</t>
        </is>
      </c>
      <c r="B741">
        <f>SUM(T703:T730)</f>
        <v/>
      </c>
    </row>
    <row r="742">
      <c r="A742" t="inlineStr">
        <is>
          <t>Normal-Only Total DPS (this block's swept value)</t>
        </is>
      </c>
      <c r="B742">
        <f>SUM(V703:V730)</f>
        <v/>
      </c>
    </row>
    <row r="743">
      <c r="A743" s="6" t="inlineStr">
        <is>
          <t>TOTAL DPS</t>
        </is>
      </c>
      <c r="B743" s="6">
        <f>SUM(O703:O730)</f>
        <v/>
      </c>
    </row>
    <row r="746">
      <c r="A746" s="6" t="inlineStr">
        <is>
          <t>Stat: SKILL_DAMAGE %</t>
        </is>
      </c>
    </row>
    <row r="747">
      <c r="A747" s="5" t="inlineStr">
        <is>
          <t>Key</t>
        </is>
      </c>
      <c r="B747" s="5" t="inlineStr">
        <is>
          <t>Name</t>
        </is>
      </c>
      <c r="C747" s="5" t="inlineStr">
        <is>
          <t>Unlocked</t>
        </is>
      </c>
      <c r="D747" s="5" t="inlineStr">
        <is>
          <t>InputLevel</t>
        </is>
      </c>
      <c r="E747" s="5" t="inlineStr">
        <is>
          <t>Factor</t>
        </is>
      </c>
      <c r="F747" s="5" t="inlineStr">
        <is>
          <t>CoefficientPercent</t>
        </is>
      </c>
      <c r="G747" s="5" t="inlineStr">
        <is>
          <t>EffectiveHits</t>
        </is>
      </c>
      <c r="H747" s="5" t="inlineStr">
        <is>
          <t>ProcProbability</t>
        </is>
      </c>
      <c r="I747" s="5" t="inlineStr">
        <is>
          <t>MapleHeroMultiplier</t>
        </is>
      </c>
      <c r="J747" s="5" t="inlineStr">
        <is>
          <t>BaseDamage</t>
        </is>
      </c>
      <c r="K747" s="5" t="inlineStr">
        <is>
          <t>BaseHitDamage</t>
        </is>
      </c>
      <c r="L747" s="5" t="inlineStr">
        <is>
          <t>NonCritAvg</t>
        </is>
      </c>
      <c r="M747" s="5" t="inlineStr">
        <is>
          <t>CritAvg</t>
        </is>
      </c>
      <c r="N747" s="5" t="inlineStr">
        <is>
          <t>ExpectedDamage(perHit)</t>
        </is>
      </c>
      <c r="O747" s="5" t="inlineStr">
        <is>
          <t>DPS</t>
        </is>
      </c>
      <c r="P747" s="5" t="inlineStr">
        <is>
          <t>% of Total</t>
        </is>
      </c>
      <c r="Q747" s="5" t="inlineStr">
        <is>
          <t>InvCooldown</t>
        </is>
      </c>
      <c r="R747" s="5" t="inlineStr">
        <is>
          <t>CastsInFight</t>
        </is>
      </c>
      <c r="S747" s="5" t="inlineStr">
        <is>
          <t>HitRate(perSec)</t>
        </is>
      </c>
      <c r="U747" t="inlineStr">
        <is>
          <t>helpers</t>
        </is>
      </c>
    </row>
    <row r="748">
      <c r="A748">
        <f>Skills!A2</f>
        <v/>
      </c>
      <c r="B748">
        <f>Skills!B2</f>
        <v/>
      </c>
      <c r="C748">
        <f>Inputs!$B$3&gt;=100</f>
        <v/>
      </c>
      <c r="D748" t="inlineStr"/>
      <c r="E748" t="inlineStr"/>
      <c r="F748">
        <f>U750+Skills!O2</f>
        <v/>
      </c>
      <c r="G748">
        <f>Skills!G2*IF(Skills!H2&gt;0,Skills!I2/Skills!H2,1)</f>
        <v/>
      </c>
      <c r="H748">
        <f>1-(1-Skills!J2/100)^Skills!K2</f>
        <v/>
      </c>
      <c r="I748" t="inlineStr">
        <is>
          <t>1</t>
        </is>
      </c>
      <c r="J748">
        <f>((Inputs!$B$6*(1+Inputs!$B$7/100))+(((Inputs!$B$12*(1+Inputs!$B$13/100))-(Inputs!$B$12*(1+Inputs!$B$13/100)))+0.25*(Inputs!$B$14-Inputs!$B$14))*(1+Inputs!$B$7/100))*(F748/100)</f>
        <v/>
      </c>
      <c r="K748">
        <f>J748*(1+((Inputs!$B$12*(1+Inputs!$B$13/100))*0.01+Inputs!$B$14*0.0025)/100)*(1+Inputs!$B$15/100)*(1+Inputs!$B$16/100)*(5000/(6000+Inputs!$B$42*(1-(100*(1-(1-(Inputs!$B$19+0)/100)*(1-CHOOSE(ArtifactsInput!$N$40+1,5,6,7,8,9,10)/100)^(ArtifactsInput!$M$40-ArtifactsInput!$M$40)))/100)))*(1+(Inputs!$B$24+((C770=TRUE)*(F770-Calc!F24))+((C771=TRUE)*(F771-Calc!F25))+B784)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EMPOWERED_PIERCING_ARROW",Inputs!$B$17+((C768=TRUE)*(F768-Calc!F22))+(((IF(AND(ArtifactsInput!$M$42,((Inputs!$B$9+((C765=TRUE)*(F765-Calc!F19))+B778+(ArtifactsInput!$M$24-ArtifactsInput!$M$24)*CHOOSE(ArtifactsInput!$N$24+1,10,12,14,16,18,20)+IF(ArtifactsInput!$M$10,CHOOSE(ArtifactsInput!$N$10+1,15,18,21,24,27,30)*(IF(Inputs!$B$38="pvp",MIN(15,15)/15,IF(AND(Inputs!$B$38&lt;&gt;"pvp",Inputs!$B$43&gt;0),MIN(15,Inputs!$B$43)/(Inputs!$B$43),0))),0)))&gt;=100),MIN(100,((Inputs!$B$9+((C765=TRUE)*(F765-Calc!F19))+B778+(ArtifactsInput!$M$24-ArtifactsInput!$M$24)*CHOOSE(ArtifactsInput!$N$24+1,10,12,14,16,18,20)+IF(ArtifactsInput!$M$10,CHOOSE(ArtifactsInput!$N$10+1,15,18,21,24,27,30)*(IF(Inputs!$B$38="pvp",MIN(15,15)/15,IF(AND(Inputs!$B$38&lt;&gt;"pvp",Inputs!$B$43&gt;0),MIN(15,Inputs!$B$43)/(Inputs!$B$43),0))),0)))-100),0))*CHOOSE(ArtifactsInput!$N$42+1,0.6,0.72,0.84,0.96,1.08,1.2))),(Inputs!$B$18+1)+((C773=TRUE)*(F773-Calc!F27))+(IF(AND(ArtifactsInput!$M$42,((Inputs!$B$9+((C765=TRUE)*(F765-Calc!F19))+B778+(ArtifactsInput!$M$24-ArtifactsInput!$M$24)*CHOOSE(ArtifactsInput!$N$24+1,10,12,14,16,18,20)+IF(ArtifactsInput!$M$10,CHOOSE(ArtifactsInput!$N$10+1,15,18,21,24,27,30)*(IF(Inputs!$B$38="pvp",MIN(15,15)/15,IF(AND(Inputs!$B$38&lt;&gt;"pvp",Inputs!$B$43&gt;0),MIN(15,Inputs!$B$43)/(Inputs!$B$43),0))),0)))&gt;=100),CHOOSE(ArtifactsInput!$N$42+1,40,48,56,64,72,80),0))))/100)*((1+(((C759=TRUE)*F759)+((C760=TRUE)*IF(Inputs!$B$38="pvp",F760,(1-Summary!$B$11)*(F760)+Summary!$B$11*(0)))+((C761=TRUE)*F761*IF(AND(Inputs!$B$38&lt;&gt;"pvp",Inputs!$B$43&gt;0),(((R761-1)*(Skills!T15*(1+Inputs!$B$34/100))+MIN((Skills!T15*(1+Inputs!$B$34/100)),MAX(0,Inputs!$B$43-((R761-1)*Skills!D15))))/Inputs!$B$43),IF(Inputs!$B$38="pvp",MIN((Skills!T15*(1+Inputs!$B$34/100)),15)/15,(Skills!T15*(1+Inputs!$B$34/100))/Skills!D15)))+((C758=TRUE)*F758)+((C775=TRUE)*(F775-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748)</f>
        <v/>
      </c>
      <c r="L748">
        <f>K748*(MIN(Inputs!$B$22+((C769=TRUE)*(F769-Calc!F23)),(Inputs!$B$23+((C774=TRUE)*(F774-Calc!F28))+(IF(ArtifactsInput!$M$15,CHOOSE(ArtifactsInput!$N$15+1,25,30,35,40,45,50)/100*(Inputs!$B$11-Inputs!$B$11),0))))/100+(Inputs!$B$23+((C774=TRUE)*(F774-Calc!F28))+(IF(ArtifactsInput!$M$15,CHOOSE(ArtifactsInput!$N$15+1,25,30,35,40,45,50)/100*(Inputs!$B$11-Inputs!$B$11),0)))/100)/2</f>
        <v/>
      </c>
      <c r="M748">
        <f>L748*(1+(Inputs!$B$10+0+B783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748">
        <f>L748*(1-MIN((Inputs!$B$9+((C765=TRUE)*(F765-Calc!F19))+B778+(ArtifactsInput!$M$24-ArtifactsInput!$M$24)*CHOOSE(ArtifactsInput!$N$24+1,10,12,14,16,18,20)+(IF(AND(ArtifactsInput!$M$42,((Inputs!$B$9+((C765=TRUE)*(F765-Calc!F19))+B778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748*(MIN((Inputs!$B$9+((C765=TRUE)*(F765-Calc!F19))+B778+(ArtifactsInput!$M$24-ArtifactsInput!$M$24)*CHOOSE(ArtifactsInput!$N$24+1,10,12,14,16,18,20)+(IF(AND(ArtifactsInput!$M$42,((Inputs!$B$9+((C765=TRUE)*(F765-Calc!F19))+B778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748">
        <f>(1-Summary!$B$11)*T748+Summary!$B$11*V748</f>
        <v/>
      </c>
      <c r="P748">
        <f>IF(B788=0,0,O748/B788)</f>
        <v/>
      </c>
      <c r="Q748" t="n">
        <v>0</v>
      </c>
      <c r="R748" t="n">
        <v>0</v>
      </c>
      <c r="S748">
        <f>IFERROR((Skills!G2*N748*B782)/N748*IF(Inputs!$B$38="pvp",1,(1-Summary!$B$11)*1+Summary!$B$11*(MIN((6+Inputs!$B$33),Inputs!$B$37))),0)</f>
        <v/>
      </c>
      <c r="T748">
        <f>IF(C748,(Skills!G2*N748*B782)*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Hunt"),CHOOSE(ArtifactsInput!$N$35+1,15,18,21,24,27,30)*(1-EXP(-(0.2*B780)*5)),0)+IF(AND(ArtifactsInput!$M$22,Inputs!$B$4&lt;&gt;"Chapter Hunt"),CHOOSE(ArtifactsInput!$N$22+1,10,12,14,16,18,20)*((0*(((0.15*B780*5))^0/1)+1*(((0.15*B780*5))^1/1)+2*(((0.15*B780*5))^2/2)+3*(((0.15*B780*5))^3/6)+4*(((0.15*B780*5))^4/24)+5*(((0.15*B780*5))^5/120))/((((0.15*B780*5))^0/1)+(((0.15*B780*5))^1/1)+(((0.15*B780*5))^2/2)+(((0.15*B780*5))^3/6)+(((0.15*B780*5))^4/24)+(((0.15*B780*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748*(1-MIN(100,(Inputs!$B$9+((C765=TRUE)*(F765-Calc!F19))+B778+(ArtifactsInput!$M$24-ArtifactsInput!$M$24)*CHOOSE(ArtifactsInput!$N$24+1,10,12,14,16,18,20)+(IF(AND(ArtifactsInput!$M$42,((Inputs!$B$9+((C765=TRUE)*(F765-Calc!F19))+B778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748*(MIN(100,(Inputs!$B$9+((C765=TRUE)*(F765-Calc!F19))+B778+(ArtifactsInput!$M$24-ArtifactsInput!$M$24)*CHOOSE(ArtifactsInput!$N$24+1,10,12,14,16,18,20)+(IF(AND(ArtifactsInput!$M$42,((Inputs!$B$9+((C765=TRUE)*(F765-Calc!F19))+B778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748*(1-MIN(100,(Inputs!$B$9+((C765=TRUE)*(F765-Calc!F19))+B778+(ArtifactsInput!$M$24-ArtifactsInput!$M$24)*CHOOSE(ArtifactsInput!$N$24+1,10,12,14,16,18,20)+(IF(AND(ArtifactsInput!$M$42,((Inputs!$B$9+((C765=TRUE)*(F765-Calc!F19))+B778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748*(MIN(100,(Inputs!$B$9+((C765=TRUE)*(F765-Calc!F19))+B778+(ArtifactsInput!$M$24-ArtifactsInput!$M$24)*CHOOSE(ArtifactsInput!$N$24+1,10,12,14,16,18,20)+(IF(AND(ArtifactsInput!$M$42,((Inputs!$B$9+((C765=TRUE)*(F765-Calc!F19))+B778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748">
        <f>MAX(0,(Inputs!$B$3-100)*3)+Inputs!$B$28+Inputs!$B$29</f>
        <v/>
      </c>
      <c r="V748">
        <f>IF(C748,(Skills!G2*N748*B782)*IF(Inputs!$B$38="pvp",1,(1+(Inputs!$B$21+Skills!Q2+(IF(ArtifactsInput!$M$33,CHOOSE(ArtifactsInput!$N$33+1,30,36,42,48,54,60),0))+(IF(AND(ArtifactsInput!$M$35,Inputs!$B$4&lt;&gt;"Chapter Hunt"),CHOOSE(ArtifactsInput!$N$35+1,15,18,21,24,27,30)*(1-EXP(-(0.2*B780)*5)),0)+IF(AND(ArtifactsInput!$M$22,Inputs!$B$4&lt;&gt;"Chapter Hunt"),CHOOSE(ArtifactsInput!$N$22+1,10,12,14,16,18,20)*((0*(((0.15*B780*5))^0/1)+1*(((0.15*B780*5))^1/1)+2*(((0.15*B780*5))^2/2)+3*(((0.15*B780*5))^3/6)+4*(((0.15*B780*5))^4/24)+5*(((0.15*B780*5))^5/120))/((((0.15*B780*5))^0/1)+(((0.15*B780*5))^1/1)+(((0.15*B780*5))^2/2)+(((0.15*B780*5))^3/6)+(((0.15*B780*5))^4/24)+(((0.15*B780*5))^5/120)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749">
      <c r="A749">
        <f>Skills!A3</f>
        <v/>
      </c>
      <c r="B749">
        <f>Skills!B3</f>
        <v/>
      </c>
      <c r="C749">
        <f>Inputs!$B$3&gt;=50</f>
        <v/>
      </c>
      <c r="D749">
        <f>IF(Skills!C3=1,60+Inputs!$B$25+Inputs!$B$29,IF(Skills!C3=2,90+Inputs!$B$26+Inputs!$B$29,IF(Skills!C3=3,120+Inputs!$B$27+Inputs!$B$29,MAX(0,(Inputs!$B$3-100)*3)+Inputs!$B$28+Inputs!$B$29)))</f>
        <v/>
      </c>
      <c r="E749">
        <f>INDEX(FactorTable!$B$2:$Y$301, MATCH(ROUND(MIN(300,MAX(1,D749)),0), FactorTable!$A$2:$A$301,0), Skills!M3+1)</f>
        <v/>
      </c>
      <c r="F749">
        <f>IF(Skills!N3=TRUE,(Skills!L3/10)*(E749/1000),Skills!L3/10)+Skills!O3</f>
        <v/>
      </c>
      <c r="G749" t="inlineStr"/>
      <c r="H749" t="inlineStr"/>
      <c r="I749" t="inlineStr">
        <is>
          <t>1</t>
        </is>
      </c>
      <c r="J749" t="inlineStr"/>
      <c r="K749" t="inlineStr"/>
      <c r="L749" t="inlineStr"/>
      <c r="M749" t="inlineStr"/>
      <c r="N749" t="inlineStr"/>
      <c r="O749" t="inlineStr"/>
      <c r="P749" t="inlineStr"/>
      <c r="Q749" t="inlineStr"/>
      <c r="R749" t="inlineStr"/>
      <c r="S749" t="inlineStr"/>
      <c r="T749" t="inlineStr"/>
      <c r="U749">
        <f>INDEX(FactorTable!$B$2:$Y$301, MATCH(ROUND(MIN(300,MAX(1,U748)),0), FactorTable!$A$2:$A$301,0), 22)</f>
        <v/>
      </c>
      <c r="V749" t="inlineStr"/>
    </row>
    <row r="750">
      <c r="A750">
        <f>Skills!A4</f>
        <v/>
      </c>
      <c r="B750">
        <f>Skills!B4</f>
        <v/>
      </c>
      <c r="C750">
        <f>Inputs!$B$3&gt;=105</f>
        <v/>
      </c>
      <c r="D750">
        <f>IF(Skills!C4=1,60+Inputs!$B$25+Inputs!$B$29,IF(Skills!C4=2,90+Inputs!$B$26+Inputs!$B$29,IF(Skills!C4=3,120+Inputs!$B$27+Inputs!$B$29,MAX(0,(Inputs!$B$3-100)*3)+Inputs!$B$28+Inputs!$B$29)))</f>
        <v/>
      </c>
      <c r="E750">
        <f>INDEX(FactorTable!$B$2:$Y$301, MATCH(ROUND(MIN(300,MAX(1,D750)),0), FactorTable!$A$2:$A$301,0), Skills!M4+1)</f>
        <v/>
      </c>
      <c r="F750">
        <f>IF(Skills!N4=TRUE,(Skills!L4/10)*(E750/1000),Skills!L4/10)+Skills!O4</f>
        <v/>
      </c>
      <c r="G750" t="inlineStr"/>
      <c r="H750" t="inlineStr"/>
      <c r="I750" t="inlineStr">
        <is>
          <t>1</t>
        </is>
      </c>
      <c r="J750" t="inlineStr"/>
      <c r="K750" t="inlineStr"/>
      <c r="L750" t="inlineStr"/>
      <c r="M750" t="inlineStr"/>
      <c r="N750" t="inlineStr"/>
      <c r="O750" t="inlineStr"/>
      <c r="P750" t="inlineStr"/>
      <c r="Q750" t="inlineStr"/>
      <c r="R750" t="inlineStr"/>
      <c r="S750" t="inlineStr"/>
      <c r="T750" t="inlineStr"/>
      <c r="U750">
        <f>290*U749/1000</f>
        <v/>
      </c>
      <c r="V750" t="inlineStr"/>
    </row>
    <row r="751">
      <c r="A751">
        <f>Skills!A5</f>
        <v/>
      </c>
      <c r="B751">
        <f>Skills!B5</f>
        <v/>
      </c>
      <c r="C751">
        <f>Inputs!$B$3&gt;=35</f>
        <v/>
      </c>
      <c r="D751">
        <f>IF(Skills!C5=1,60+Inputs!$B$25+Inputs!$B$29,IF(Skills!C5=2,90+Inputs!$B$26+Inputs!$B$29,IF(Skills!C5=3,120+Inputs!$B$27+Inputs!$B$29,MAX(0,(Inputs!$B$3-100)*3)+Inputs!$B$28+Inputs!$B$29)))</f>
        <v/>
      </c>
      <c r="E751">
        <f>INDEX(FactorTable!$B$2:$Y$301, MATCH(ROUND(MIN(300,MAX(1,D751)),0), FactorTable!$A$2:$A$301,0), Skills!M5+1)</f>
        <v/>
      </c>
      <c r="F751">
        <f>IF(Skills!N5=TRUE,(Skills!L5/10)*(E751/1000),Skills!L5/10)+Skills!O5</f>
        <v/>
      </c>
      <c r="G751">
        <f>Skills!G5*IF(Skills!H5&gt;0,Skills!I5/Skills!H5,1)</f>
        <v/>
      </c>
      <c r="H751">
        <f>1-(1-Skills!J5/100)^Skills!K5</f>
        <v/>
      </c>
      <c r="I751" t="inlineStr">
        <is>
          <t>1</t>
        </is>
      </c>
      <c r="J751">
        <f>((Inputs!$B$6*(1+Inputs!$B$7/100))+(((Inputs!$B$12*(1+Inputs!$B$13/100))-(Inputs!$B$12*(1+Inputs!$B$13/100)))+0.25*(Inputs!$B$14-Inputs!$B$14))*(1+Inputs!$B$7/100))*(F751/100)</f>
        <v/>
      </c>
      <c r="K751">
        <f>J751*(1+((Inputs!$B$12*(1+Inputs!$B$13/100))*0.01+Inputs!$B$14*0.0025)/100)*(1+Inputs!$B$15/100)*(1+Inputs!$B$16/100)*(5000/(6000+Inputs!$B$42*(1-(100*(1-(1-(Inputs!$B$19+0)/100)*(1-CHOOSE(ArtifactsInput!$N$40+1,5,6,7,8,9,10)/100)^(ArtifactsInput!$M$40-ArtifactsInput!$M$40)))/100)))*(1+(Inputs!$B$24+((C770=TRUE)*(F770-Calc!F24))+((C771=TRUE)*(F771-Calc!F25))+B784)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754=TRUE,F754,0)/100)*(1+(IF(Skills!A5="EMPOWERED_PIERCING_ARROW",Inputs!$B$17+((C768=TRUE)*(F768-Calc!F22))+(((IF(AND(ArtifactsInput!$M$42,((Inputs!$B$9+((C765=TRUE)*(F765-Calc!F19))+B778+(ArtifactsInput!$M$24-ArtifactsInput!$M$24)*CHOOSE(ArtifactsInput!$N$24+1,10,12,14,16,18,20)+IF(ArtifactsInput!$M$10,CHOOSE(ArtifactsInput!$N$10+1,15,18,21,24,27,30)*(IF(Inputs!$B$38="pvp",MIN(15,15)/15,IF(AND(Inputs!$B$38&lt;&gt;"pvp",Inputs!$B$43&gt;0),MIN(15,Inputs!$B$43)/(Inputs!$B$43),0))),0)))&gt;=100),MIN(100,((Inputs!$B$9+((C765=TRUE)*(F765-Calc!F19))+B778+(ArtifactsInput!$M$24-ArtifactsInput!$M$24)*CHOOSE(ArtifactsInput!$N$24+1,10,12,14,16,18,20)+IF(ArtifactsInput!$M$10,CHOOSE(ArtifactsInput!$N$10+1,15,18,21,24,27,30)*(IF(Inputs!$B$38="pvp",MIN(15,15)/15,IF(AND(Inputs!$B$38&lt;&gt;"pvp",Inputs!$B$43&gt;0),MIN(15,Inputs!$B$43)/(Inputs!$B$43),0))),0)))-100),0))*CHOOSE(ArtifactsInput!$N$42+1,0.6,0.72,0.84,0.96,1.08,1.2))),(Inputs!$B$18+1)+((C773=TRUE)*(F773-Calc!F27))+(IF(AND(ArtifactsInput!$M$42,((Inputs!$B$9+((C765=TRUE)*(F765-Calc!F19))+B778+(ArtifactsInput!$M$24-ArtifactsInput!$M$24)*CHOOSE(ArtifactsInput!$N$24+1,10,12,14,16,18,20)+IF(ArtifactsInput!$M$10,CHOOSE(ArtifactsInput!$N$10+1,15,18,21,24,27,30)*(IF(Inputs!$B$38="pvp",MIN(15,15)/15,IF(AND(Inputs!$B$38&lt;&gt;"pvp",Inputs!$B$43&gt;0),MIN(15,Inputs!$B$43)/(Inputs!$B$43),0))),0)))&gt;=100),CHOOSE(ArtifactsInput!$N$42+1,40,48,56,64,72,80),0))))/100)*((1+(((C759=TRUE)*F759)+((C760=TRUE)*IF(Inputs!$B$38="pvp",F760,(1-Summary!$B$11)*(F760)+Summary!$B$11*(0)))+((C761=TRUE)*F761*IF(AND(Inputs!$B$38&lt;&gt;"pvp",Inputs!$B$43&gt;0),(((R761-1)*(Skills!T15*(1+Inputs!$B$34/100))+MIN((Skills!T15*(1+Inputs!$B$34/100)),MAX(0,Inputs!$B$43-((R761-1)*Skills!D15))))/Inputs!$B$43),IF(Inputs!$B$38="pvp",MIN((Skills!T15*(1+Inputs!$B$34/100)),15)/15,(Skills!T15*(1+Inputs!$B$34/100))/Skills!D15)))+((C758=TRUE)*F758)+((C775=TRUE)*(F775-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751)</f>
        <v/>
      </c>
      <c r="L751">
        <f>K751*(MIN(Inputs!$B$22+((C769=TRUE)*(F769-Calc!F23)),(Inputs!$B$23+((C774=TRUE)*(F774-Calc!F28))+(IF(ArtifactsInput!$M$15,CHOOSE(ArtifactsInput!$N$15+1,25,30,35,40,45,50)/100*(Inputs!$B$11-Inputs!$B$11),0))))/100+(Inputs!$B$23+((C774=TRUE)*(F774-Calc!F28))+(IF(ArtifactsInput!$M$15,CHOOSE(ArtifactsInput!$N$15+1,25,30,35,40,45,50)/100*(Inputs!$B$11-Inputs!$B$11),0)))/100)/2</f>
        <v/>
      </c>
      <c r="M751">
        <f>L751*(1+(Inputs!$B$10+0+B783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751">
        <f>L751*(1-MIN((Inputs!$B$9+((C765=TRUE)*(F765-Calc!F19))+B778+(ArtifactsInput!$M$24-ArtifactsInput!$M$24)*CHOOSE(ArtifactsInput!$N$24+1,10,12,14,16,18,20)+(IF(AND(ArtifactsInput!$M$42,((Inputs!$B$9+((C765=TRUE)*(F765-Calc!F19))+B778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751*(MIN((Inputs!$B$9+((C765=TRUE)*(F765-Calc!F19))+B778+(ArtifactsInput!$M$24-ArtifactsInput!$M$24)*CHOOSE(ArtifactsInput!$N$24+1,10,12,14,16,18,20)+(IF(AND(ArtifactsInput!$M$42,((Inputs!$B$9+((C765=TRUE)*(F765-Calc!F19))+B778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751">
        <f>(1-Summary!$B$11)*T751+Summary!$B$11*V751</f>
        <v/>
      </c>
      <c r="P751">
        <f>IF(B788=0,0,O751/B788)</f>
        <v/>
      </c>
      <c r="Q751">
        <f>IFERROR(1/IF(Inputs!$B$38="pvp",15,MAX(0.1,Skills!D5-IF(Skills!E5=TRUE,Inputs!$B$32,0))),0)</f>
        <v/>
      </c>
      <c r="R751">
        <f>IF(AND(Inputs!$B$38&lt;&gt;"pvp",Inputs!$B$43&gt;0),IF(MAX(0,Inputs!$B$43-B785)&lt;=0,0,(INT(MAX(0,Inputs!$B$43-B785)/IF(Inputs!$B$38="pvp",15,MAX(0.1,Skills!D5-IF(Skills!E5=TRUE,Inputs!$B$32,0))))+1)),0)</f>
        <v/>
      </c>
      <c r="S751">
        <f>IFERROR((H751*N751*IF(AND(Inputs!$B$38&lt;&gt;"pvp",Inputs!$B$43&gt;0),((Skills!G5*((R751-1)*IF(Skills!H5&gt;0,Skills!I5/Skills!H5,1)+IF(Skills!H5&gt;0,MIN(Skills!I5,MAX(0,MAX(0,Inputs!$B$43-B785)-((R751-1)*IF(Inputs!$B$38="pvp",15,MAX(0.1,Skills!D5-IF(Skills!E5=TRUE,Inputs!$B$32,0))))))/Skills!H5,1)))/Inputs!$B$43),G751*Q751))/N751*IF(Inputs!$B$38="pvp",1,(1-Summary!$B$11)*1+Summary!$B$11*(MIN(Skills!R5,Inputs!$B$37))),0)</f>
        <v/>
      </c>
      <c r="T751">
        <f>IF(C751,(H751*N751*IF(AND(Inputs!$B$38&lt;&gt;"pvp",Inputs!$B$43&gt;0),((Skills!G5*((R751-1)*IF(Skills!H5&gt;0,Skills!I5/Skills!H5,1)+IF(Skills!H5&gt;0,MIN(Skills!I5,MAX(0,MAX(0,Inputs!$B$43-B785)-((R751-1)*IF(Inputs!$B$38="pvp",15,MAX(0.1,Skills!D5-IF(Skills!E5=TRUE,Inputs!$B$32,0))))))/Skills!H5,1)))/Inputs!$B$43),G751*Q751))*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Hunt"),CHOOSE(ArtifactsInput!$N$35+1,15,18,21,24,27,30)*(1-EXP(-(0.2*B780)*5)),0)+IF(AND(ArtifactsInput!$M$22,Inputs!$B$4&lt;&gt;"Chapter Hunt"),CHOOSE(ArtifactsInput!$N$22+1,10,12,14,16,18,20)*((0*(((0.15*B780*5))^0/1)+1*(((0.15*B780*5))^1/1)+2*(((0.15*B780*5))^2/2)+3*(((0.15*B780*5))^3/6)+4*(((0.15*B780*5))^4/24)+5*(((0.15*B780*5))^5/120))/((((0.15*B780*5))^0/1)+(((0.15*B780*5))^1/1)+(((0.15*B780*5))^2/2)+(((0.15*B780*5))^3/6)+(((0.15*B780*5))^4/24)+(((0.15*B780*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751*(1-MIN(100,(Inputs!$B$9+((C765=TRUE)*(F765-Calc!F19))+B778+(ArtifactsInput!$M$24-ArtifactsInput!$M$24)*CHOOSE(ArtifactsInput!$N$24+1,10,12,14,16,18,20)+(IF(AND(ArtifactsInput!$M$42,((Inputs!$B$9+((C765=TRUE)*(F765-Calc!F19))+B778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751*(MIN(100,(Inputs!$B$9+((C765=TRUE)*(F765-Calc!F19))+B778+(ArtifactsInput!$M$24-ArtifactsInput!$M$24)*CHOOSE(ArtifactsInput!$N$24+1,10,12,14,16,18,20)+(IF(AND(ArtifactsInput!$M$42,((Inputs!$B$9+((C765=TRUE)*(F765-Calc!F19))+B778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751*(1-MIN(100,(Inputs!$B$9+((C765=TRUE)*(F765-Calc!F19))+B778+(ArtifactsInput!$M$24-ArtifactsInput!$M$24)*CHOOSE(ArtifactsInput!$N$24+1,10,12,14,16,18,20)+(IF(AND(ArtifactsInput!$M$42,((Inputs!$B$9+((C765=TRUE)*(F765-Calc!F19))+B778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751*(MIN(100,(Inputs!$B$9+((C765=TRUE)*(F765-Calc!F19))+B778+(ArtifactsInput!$M$24-ArtifactsInput!$M$24)*CHOOSE(ArtifactsInput!$N$24+1,10,12,14,16,18,20)+(IF(AND(ArtifactsInput!$M$42,((Inputs!$B$9+((C765=TRUE)*(F765-Calc!F19))+B778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751">
        <f>IF(C751,(H751*N751*IF(AND(Inputs!$B$38&lt;&gt;"pvp",Inputs!$B$43&gt;0),((Skills!G5*((R751-1)*IF(Skills!H5&gt;0,Skills!I5/Skills!H5,1)+IF(Skills!H5&gt;0,MIN(Skills!I5,MAX(0,MAX(0,Inputs!$B$43-B785)-((R751-1)*IF(Inputs!$B$38="pvp",15,MAX(0.1,Skills!D5-IF(Skills!E5=TRUE,Inputs!$B$32,0))))))/Skills!H5,1)))/Inputs!$B$43),G751*Q751))*IF(Inputs!$B$38="pvp",1,(1+(Inputs!$B$21+Skills!Q5+(IF(ArtifactsInput!$M$33,CHOOSE(ArtifactsInput!$N$33+1,30,36,42,48,54,60),0))+(IF(AND(ArtifactsInput!$M$35,Inputs!$B$4&lt;&gt;"Chapter Hunt"),CHOOSE(ArtifactsInput!$N$35+1,15,18,21,24,27,30)*(1-EXP(-(0.2*B780)*5)),0)+IF(AND(ArtifactsInput!$M$22,Inputs!$B$4&lt;&gt;"Chapter Hunt"),CHOOSE(ArtifactsInput!$N$22+1,10,12,14,16,18,20)*((0*(((0.15*B780*5))^0/1)+1*(((0.15*B780*5))^1/1)+2*(((0.15*B780*5))^2/2)+3*(((0.15*B780*5))^3/6)+4*(((0.15*B780*5))^4/24)+5*(((0.15*B780*5))^5/120))/((((0.15*B780*5))^0/1)+(((0.15*B780*5))^1/1)+(((0.15*B780*5))^2/2)+(((0.15*B780*5))^3/6)+(((0.15*B780*5))^4/24)+(((0.15*B780*5))^5/120)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752">
      <c r="A752">
        <f>Skills!A6</f>
        <v/>
      </c>
      <c r="B752">
        <f>Skills!B6</f>
        <v/>
      </c>
      <c r="C752">
        <f>Inputs!$B$3&gt;=63</f>
        <v/>
      </c>
      <c r="D752">
        <f>IF(Skills!C6=1,60+Inputs!$B$25+Inputs!$B$29,IF(Skills!C6=2,90+Inputs!$B$26+Inputs!$B$29,IF(Skills!C6=3,120+Inputs!$B$27+Inputs!$B$29,MAX(0,(Inputs!$B$3-100)*3)+Inputs!$B$28+Inputs!$B$29)))</f>
        <v/>
      </c>
      <c r="E752">
        <f>INDEX(FactorTable!$B$2:$Y$301, MATCH(ROUND(MIN(300,MAX(1,D752)),0), FactorTable!$A$2:$A$301,0), Skills!M6+1)</f>
        <v/>
      </c>
      <c r="F752">
        <f>IF(Skills!N6=TRUE,(Skills!L6/10)*(E752/1000),Skills!L6/10)+Skills!O6</f>
        <v/>
      </c>
      <c r="G752">
        <f>Skills!G6*IF(Skills!H6&gt;0,Skills!I6/Skills!H6,1)</f>
        <v/>
      </c>
      <c r="H752">
        <f>1-(1-Skills!J6/100)^Skills!K6</f>
        <v/>
      </c>
      <c r="I752" t="inlineStr">
        <is>
          <t>1</t>
        </is>
      </c>
      <c r="J752">
        <f>((Inputs!$B$6*(1+Inputs!$B$7/100))+(((Inputs!$B$12*(1+Inputs!$B$13/100))-(Inputs!$B$12*(1+Inputs!$B$13/100)))+0.25*(Inputs!$B$14-Inputs!$B$14))*(1+Inputs!$B$7/100))*(F752/100)</f>
        <v/>
      </c>
      <c r="K752">
        <f>J752*(1+((Inputs!$B$12*(1+Inputs!$B$13/100))*0.01+Inputs!$B$14*0.0025)/100)*(1+Inputs!$B$15/100)*(1+Inputs!$B$16/100)*(5000/(6000+Inputs!$B$42*(1-(100*(1-(1-(Inputs!$B$19+0)/100)*(1-CHOOSE(ArtifactsInput!$N$40+1,5,6,7,8,9,10)/100)^(ArtifactsInput!$M$40-ArtifactsInput!$M$40)))/100)))*(1+(Inputs!$B$24+((C770=TRUE)*(F770-Calc!F24))+((C771=TRUE)*(F771-Calc!F25))+B784)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754=TRUE,F754,0)/100)*(1+(IF(Skills!A6="EMPOWERED_PIERCING_ARROW",Inputs!$B$17+((C768=TRUE)*(F768-Calc!F22))+(((IF(AND(ArtifactsInput!$M$42,((Inputs!$B$9+((C765=TRUE)*(F765-Calc!F19))+B778+(ArtifactsInput!$M$24-ArtifactsInput!$M$24)*CHOOSE(ArtifactsInput!$N$24+1,10,12,14,16,18,20)+IF(ArtifactsInput!$M$10,CHOOSE(ArtifactsInput!$N$10+1,15,18,21,24,27,30)*(IF(Inputs!$B$38="pvp",MIN(15,15)/15,IF(AND(Inputs!$B$38&lt;&gt;"pvp",Inputs!$B$43&gt;0),MIN(15,Inputs!$B$43)/(Inputs!$B$43),0))),0)))&gt;=100),MIN(100,((Inputs!$B$9+((C765=TRUE)*(F765-Calc!F19))+B778+(ArtifactsInput!$M$24-ArtifactsInput!$M$24)*CHOOSE(ArtifactsInput!$N$24+1,10,12,14,16,18,20)+IF(ArtifactsInput!$M$10,CHOOSE(ArtifactsInput!$N$10+1,15,18,21,24,27,30)*(IF(Inputs!$B$38="pvp",MIN(15,15)/15,IF(AND(Inputs!$B$38&lt;&gt;"pvp",Inputs!$B$43&gt;0),MIN(15,Inputs!$B$43)/(Inputs!$B$43),0))),0)))-100),0))*CHOOSE(ArtifactsInput!$N$42+1,0.6,0.72,0.84,0.96,1.08,1.2))),(Inputs!$B$18+1)+((C773=TRUE)*(F773-Calc!F27))+(IF(AND(ArtifactsInput!$M$42,((Inputs!$B$9+((C765=TRUE)*(F765-Calc!F19))+B778+(ArtifactsInput!$M$24-ArtifactsInput!$M$24)*CHOOSE(ArtifactsInput!$N$24+1,10,12,14,16,18,20)+IF(ArtifactsInput!$M$10,CHOOSE(ArtifactsInput!$N$10+1,15,18,21,24,27,30)*(IF(Inputs!$B$38="pvp",MIN(15,15)/15,IF(AND(Inputs!$B$38&lt;&gt;"pvp",Inputs!$B$43&gt;0),MIN(15,Inputs!$B$43)/(Inputs!$B$43),0))),0)))&gt;=100),CHOOSE(ArtifactsInput!$N$42+1,40,48,56,64,72,80),0))))/100)*((1+(((C759=TRUE)*F759)+((C760=TRUE)*IF(Inputs!$B$38="pvp",F760,(1-Summary!$B$11)*(F760)+Summary!$B$11*(0)))+((C761=TRUE)*F761*IF(AND(Inputs!$B$38&lt;&gt;"pvp",Inputs!$B$43&gt;0),(((R761-1)*(Skills!T15*(1+Inputs!$B$34/100))+MIN((Skills!T15*(1+Inputs!$B$34/100)),MAX(0,Inputs!$B$43-((R761-1)*Skills!D15))))/Inputs!$B$43),IF(Inputs!$B$38="pvp",MIN((Skills!T15*(1+Inputs!$B$34/100)),15)/15,(Skills!T15*(1+Inputs!$B$34/100))/Skills!D15)))+((C758=TRUE)*F758)+((C775=TRUE)*(F775-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752)</f>
        <v/>
      </c>
      <c r="L752">
        <f>K752*(MIN(Inputs!$B$22+((C769=TRUE)*(F769-Calc!F23)),(Inputs!$B$23+((C774=TRUE)*(F774-Calc!F28))+(IF(ArtifactsInput!$M$15,CHOOSE(ArtifactsInput!$N$15+1,25,30,35,40,45,50)/100*(Inputs!$B$11-Inputs!$B$11),0))))/100+(Inputs!$B$23+((C774=TRUE)*(F774-Calc!F28))+(IF(ArtifactsInput!$M$15,CHOOSE(ArtifactsInput!$N$15+1,25,30,35,40,45,50)/100*(Inputs!$B$11-Inputs!$B$11),0)))/100)/2</f>
        <v/>
      </c>
      <c r="M752">
        <f>L752*(1+(Inputs!$B$10+0+B783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752">
        <f>L752*(1-MIN((Inputs!$B$9+((C765=TRUE)*(F765-Calc!F19))+B778+(ArtifactsInput!$M$24-ArtifactsInput!$M$24)*CHOOSE(ArtifactsInput!$N$24+1,10,12,14,16,18,20)+(IF(AND(ArtifactsInput!$M$42,((Inputs!$B$9+((C765=TRUE)*(F765-Calc!F19))+B778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752*(MIN((Inputs!$B$9+((C765=TRUE)*(F765-Calc!F19))+B778+(ArtifactsInput!$M$24-ArtifactsInput!$M$24)*CHOOSE(ArtifactsInput!$N$24+1,10,12,14,16,18,20)+(IF(AND(ArtifactsInput!$M$42,((Inputs!$B$9+((C765=TRUE)*(F765-Calc!F19))+B778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752">
        <f>(1-Summary!$B$11)*T752+Summary!$B$11*V752</f>
        <v/>
      </c>
      <c r="P752">
        <f>IF(B788=0,0,O752/B788)</f>
        <v/>
      </c>
      <c r="Q752">
        <f>IFERROR(1/IF(Inputs!$B$38="pvp",15,MAX(0.1,Skills!D6-IF(Skills!E6=TRUE,Inputs!$B$32,0))),0)</f>
        <v/>
      </c>
      <c r="R752">
        <f>IF(AND(Inputs!$B$38&lt;&gt;"pvp",Inputs!$B$43&gt;0),IF(MAX(0,Inputs!$B$43-B785)&lt;=0,0,(INT(MAX(0,Inputs!$B$43-B785)/IF(Inputs!$B$38="pvp",15,MAX(0.1,Skills!D6-IF(Skills!E6=TRUE,Inputs!$B$32,0))))+1)),0)</f>
        <v/>
      </c>
      <c r="S752">
        <f>IFERROR((H752*N752*IF(AND(Inputs!$B$38&lt;&gt;"pvp",Inputs!$B$43&gt;0),((Skills!G6*((R752-1)*IF(Skills!H6&gt;0,Skills!I6/Skills!H6,1)+IF(Skills!H6&gt;0,MIN(Skills!I6,MAX(0,MAX(0,Inputs!$B$43-B785)-((R752-1)*IF(Inputs!$B$38="pvp",15,MAX(0.1,Skills!D6-IF(Skills!E6=TRUE,Inputs!$B$32,0))))))/Skills!H6,1)))/Inputs!$B$43),G752*Q752))/N752*IF(Inputs!$B$38="pvp",1,(1-Summary!$B$11)*1+Summary!$B$11*(MIN(Skills!R6,Inputs!$B$37))),0)</f>
        <v/>
      </c>
      <c r="T752">
        <f>IF(C752,(H752*N752*IF(AND(Inputs!$B$38&lt;&gt;"pvp",Inputs!$B$43&gt;0),((Skills!G6*((R752-1)*IF(Skills!H6&gt;0,Skills!I6/Skills!H6,1)+IF(Skills!H6&gt;0,MIN(Skills!I6,MAX(0,MAX(0,Inputs!$B$43-B785)-((R752-1)*IF(Inputs!$B$38="pvp",15,MAX(0.1,Skills!D6-IF(Skills!E6=TRUE,Inputs!$B$32,0))))))/Skills!H6,1)))/Inputs!$B$43),G752*Q752))*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Hunt"),CHOOSE(ArtifactsInput!$N$35+1,15,18,21,24,27,30)*(1-EXP(-(0.2*B780)*5)),0)+IF(AND(ArtifactsInput!$M$22,Inputs!$B$4&lt;&gt;"Chapter Hunt"),CHOOSE(ArtifactsInput!$N$22+1,10,12,14,16,18,20)*((0*(((0.15*B780*5))^0/1)+1*(((0.15*B780*5))^1/1)+2*(((0.15*B780*5))^2/2)+3*(((0.15*B780*5))^3/6)+4*(((0.15*B780*5))^4/24)+5*(((0.15*B780*5))^5/120))/((((0.15*B780*5))^0/1)+(((0.15*B780*5))^1/1)+(((0.15*B780*5))^2/2)+(((0.15*B780*5))^3/6)+(((0.15*B780*5))^4/24)+(((0.15*B780*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752*(1-MIN(100,(Inputs!$B$9+((C765=TRUE)*(F765-Calc!F19))+B778+(ArtifactsInput!$M$24-ArtifactsInput!$M$24)*CHOOSE(ArtifactsInput!$N$24+1,10,12,14,16,18,20)+(IF(AND(ArtifactsInput!$M$42,((Inputs!$B$9+((C765=TRUE)*(F765-Calc!F19))+B778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752*(MIN(100,(Inputs!$B$9+((C765=TRUE)*(F765-Calc!F19))+B778+(ArtifactsInput!$M$24-ArtifactsInput!$M$24)*CHOOSE(ArtifactsInput!$N$24+1,10,12,14,16,18,20)+(IF(AND(ArtifactsInput!$M$42,((Inputs!$B$9+((C765=TRUE)*(F765-Calc!F19))+B778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752*(1-MIN(100,(Inputs!$B$9+((C765=TRUE)*(F765-Calc!F19))+B778+(ArtifactsInput!$M$24-ArtifactsInput!$M$24)*CHOOSE(ArtifactsInput!$N$24+1,10,12,14,16,18,20)+(IF(AND(ArtifactsInput!$M$42,((Inputs!$B$9+((C765=TRUE)*(F765-Calc!F19))+B778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752*(MIN(100,(Inputs!$B$9+((C765=TRUE)*(F765-Calc!F19))+B778+(ArtifactsInput!$M$24-ArtifactsInput!$M$24)*CHOOSE(ArtifactsInput!$N$24+1,10,12,14,16,18,20)+(IF(AND(ArtifactsInput!$M$42,((Inputs!$B$9+((C765=TRUE)*(F765-Calc!F19))+B778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752">
        <f>IF(C752,(H752*N752*IF(AND(Inputs!$B$38&lt;&gt;"pvp",Inputs!$B$43&gt;0),((Skills!G6*((R752-1)*IF(Skills!H6&gt;0,Skills!I6/Skills!H6,1)+IF(Skills!H6&gt;0,MIN(Skills!I6,MAX(0,MAX(0,Inputs!$B$43-B785)-((R752-1)*IF(Inputs!$B$38="pvp",15,MAX(0.1,Skills!D6-IF(Skills!E6=TRUE,Inputs!$B$32,0))))))/Skills!H6,1)))/Inputs!$B$43),G752*Q752))*IF(Inputs!$B$38="pvp",1,(1+(Inputs!$B$21+Skills!Q6+(IF(ArtifactsInput!$M$33,CHOOSE(ArtifactsInput!$N$33+1,30,36,42,48,54,60),0))+(IF(AND(ArtifactsInput!$M$35,Inputs!$B$4&lt;&gt;"Chapter Hunt"),CHOOSE(ArtifactsInput!$N$35+1,15,18,21,24,27,30)*(1-EXP(-(0.2*B780)*5)),0)+IF(AND(ArtifactsInput!$M$22,Inputs!$B$4&lt;&gt;"Chapter Hunt"),CHOOSE(ArtifactsInput!$N$22+1,10,12,14,16,18,20)*((0*(((0.15*B780*5))^0/1)+1*(((0.15*B780*5))^1/1)+2*(((0.15*B780*5))^2/2)+3*(((0.15*B780*5))^3/6)+4*(((0.15*B780*5))^4/24)+5*(((0.15*B780*5))^5/120))/((((0.15*B780*5))^0/1)+(((0.15*B780*5))^1/1)+(((0.15*B780*5))^2/2)+(((0.15*B780*5))^3/6)+(((0.15*B780*5))^4/24)+(((0.15*B780*5))^5/120))),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753">
      <c r="A753">
        <f>Skills!A7</f>
        <v/>
      </c>
      <c r="B753">
        <f>Skills!B7</f>
        <v/>
      </c>
      <c r="C753">
        <f>Inputs!$B$3&gt;=69</f>
        <v/>
      </c>
      <c r="D753">
        <f>IF(Skills!C7=1,60+Inputs!$B$25+Inputs!$B$29,IF(Skills!C7=2,90+Inputs!$B$26+Inputs!$B$29,IF(Skills!C7=3,120+Inputs!$B$27+Inputs!$B$29,MAX(0,(Inputs!$B$3-100)*3)+Inputs!$B$28+Inputs!$B$29)))</f>
        <v/>
      </c>
      <c r="E753">
        <f>INDEX(FactorTable!$B$2:$Y$301, MATCH(ROUND(MIN(300,MAX(1,D753)),0), FactorTable!$A$2:$A$301,0), Skills!M7+1)</f>
        <v/>
      </c>
      <c r="F753">
        <f>IF(Skills!N7=TRUE,(Skills!L7/10)*(E753/1000),Skills!L7/10)+Skills!O7</f>
        <v/>
      </c>
      <c r="G753">
        <f>Skills!G7*IF(Skills!H7&gt;0,Skills!I7/Skills!H7,1)</f>
        <v/>
      </c>
      <c r="H753">
        <f>1-(1-Skills!J7/100)^Skills!K7</f>
        <v/>
      </c>
      <c r="I753" t="inlineStr">
        <is>
          <t>1</t>
        </is>
      </c>
      <c r="J753">
        <f>((Inputs!$B$6*(1+Inputs!$B$7/100))+(((Inputs!$B$12*(1+Inputs!$B$13/100))-(Inputs!$B$12*(1+Inputs!$B$13/100)))+0.25*(Inputs!$B$14-Inputs!$B$14))*(1+Inputs!$B$7/100))*(F753/100)</f>
        <v/>
      </c>
      <c r="K753">
        <f>J753*(1+((Inputs!$B$12*(1+Inputs!$B$13/100))*0.01+Inputs!$B$14*0.0025)/100)*(1+Inputs!$B$15/100)*(1+Inputs!$B$16/100)*(5000/(6000+Inputs!$B$42*(1-(100*(1-(1-(Inputs!$B$19+0)/100)*(1-CHOOSE(ArtifactsInput!$N$40+1,5,6,7,8,9,10)/100)^(ArtifactsInput!$M$40-ArtifactsInput!$M$40)))/100)))*(1+(Inputs!$B$24+((C770=TRUE)*(F770-Calc!F24))+((C771=TRUE)*(F771-Calc!F25))+B784)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+1.2*IF(C754=TRUE,F754,0)/100)*(1+(IF(Skills!A7="EMPOWERED_PIERCING_ARROW",Inputs!$B$17+((C768=TRUE)*(F768-Calc!F22))+(((IF(AND(ArtifactsInput!$M$42,((Inputs!$B$9+((C765=TRUE)*(F765-Calc!F19))+B778+(ArtifactsInput!$M$24-ArtifactsInput!$M$24)*CHOOSE(ArtifactsInput!$N$24+1,10,12,14,16,18,20)+IF(ArtifactsInput!$M$10,CHOOSE(ArtifactsInput!$N$10+1,15,18,21,24,27,30)*(IF(Inputs!$B$38="pvp",MIN(15,15)/15,IF(AND(Inputs!$B$38&lt;&gt;"pvp",Inputs!$B$43&gt;0),MIN(15,Inputs!$B$43)/(Inputs!$B$43),0))),0)))&gt;=100),MIN(100,((Inputs!$B$9+((C765=TRUE)*(F765-Calc!F19))+B778+(ArtifactsInput!$M$24-ArtifactsInput!$M$24)*CHOOSE(ArtifactsInput!$N$24+1,10,12,14,16,18,20)+IF(ArtifactsInput!$M$10,CHOOSE(ArtifactsInput!$N$10+1,15,18,21,24,27,30)*(IF(Inputs!$B$38="pvp",MIN(15,15)/15,IF(AND(Inputs!$B$38&lt;&gt;"pvp",Inputs!$B$43&gt;0),MIN(15,Inputs!$B$43)/(Inputs!$B$43),0))),0)))-100),0))*CHOOSE(ArtifactsInput!$N$42+1,0.6,0.72,0.84,0.96,1.08,1.2))),(Inputs!$B$18+1)+((C773=TRUE)*(F773-Calc!F27))+(IF(AND(ArtifactsInput!$M$42,((Inputs!$B$9+((C765=TRUE)*(F765-Calc!F19))+B778+(ArtifactsInput!$M$24-ArtifactsInput!$M$24)*CHOOSE(ArtifactsInput!$N$24+1,10,12,14,16,18,20)+IF(ArtifactsInput!$M$10,CHOOSE(ArtifactsInput!$N$10+1,15,18,21,24,27,30)*(IF(Inputs!$B$38="pvp",MIN(15,15)/15,IF(AND(Inputs!$B$38&lt;&gt;"pvp",Inputs!$B$43&gt;0),MIN(15,Inputs!$B$43)/(Inputs!$B$43),0))),0)))&gt;=100),CHOOSE(ArtifactsInput!$N$42+1,40,48,56,64,72,80),0))))/100)*((1+(((C759=TRUE)*F759)+((C760=TRUE)*IF(Inputs!$B$38="pvp",F760,(1-Summary!$B$11)*(F760)+Summary!$B$11*(0)))+((C761=TRUE)*F761*IF(AND(Inputs!$B$38&lt;&gt;"pvp",Inputs!$B$43&gt;0),(((R761-1)*(Skills!T15*(1+Inputs!$B$34/100))+MIN((Skills!T15*(1+Inputs!$B$34/100)),MAX(0,Inputs!$B$43-((R761-1)*Skills!D15))))/Inputs!$B$43),IF(Inputs!$B$38="pvp",MIN((Skills!T15*(1+Inputs!$B$34/100)),15)/15,(Skills!T15*(1+Inputs!$B$34/100))/Skills!D15)))+((C758=TRUE)*F758)+((C775=TRUE)*(F775-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753)</f>
        <v/>
      </c>
      <c r="L753">
        <f>K753*(MIN(Inputs!$B$22+((C769=TRUE)*(F769-Calc!F23)),(Inputs!$B$23+((C774=TRUE)*(F774-Calc!F28))+(IF(ArtifactsInput!$M$15,CHOOSE(ArtifactsInput!$N$15+1,25,30,35,40,45,50)/100*(Inputs!$B$11-Inputs!$B$11),0))))/100+(Inputs!$B$23+((C774=TRUE)*(F774-Calc!F28))+(IF(ArtifactsInput!$M$15,CHOOSE(ArtifactsInput!$N$15+1,25,30,35,40,45,50)/100*(Inputs!$B$11-Inputs!$B$11),0)))/100)/2</f>
        <v/>
      </c>
      <c r="M753">
        <f>L753*(1+(Inputs!$B$10+0+B783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753">
        <f>L753*(1-MIN((Inputs!$B$9+((C765=TRUE)*(F765-Calc!F19))+B778+(ArtifactsInput!$M$24-ArtifactsInput!$M$24)*CHOOSE(ArtifactsInput!$N$24+1,10,12,14,16,18,20)+(IF(AND(ArtifactsInput!$M$42,((Inputs!$B$9+((C765=TRUE)*(F765-Calc!F19))+B778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753*(MIN((Inputs!$B$9+((C765=TRUE)*(F765-Calc!F19))+B778+(ArtifactsInput!$M$24-ArtifactsInput!$M$24)*CHOOSE(ArtifactsInput!$N$24+1,10,12,14,16,18,20)+(IF(AND(ArtifactsInput!$M$42,((Inputs!$B$9+((C765=TRUE)*(F765-Calc!F19))+B778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753">
        <f>(1-Summary!$B$11)*T753+Summary!$B$11*V753</f>
        <v/>
      </c>
      <c r="P753">
        <f>IF(B788=0,0,O753/B788)</f>
        <v/>
      </c>
      <c r="Q753">
        <f>IFERROR(1/IF(Inputs!$B$38="pvp",15,MAX(0.1,Skills!D7-IF(Skills!E7=TRUE,Inputs!$B$32,0))),0)</f>
        <v/>
      </c>
      <c r="R753">
        <f>IF(AND(Inputs!$B$38&lt;&gt;"pvp",Inputs!$B$43&gt;0),IF(MAX(0,Inputs!$B$43-B785)&lt;=0,0,(INT(MAX(0,Inputs!$B$43-B785)/IF(Inputs!$B$38="pvp",15,MAX(0.1,Skills!D7-IF(Skills!E7=TRUE,Inputs!$B$32,0))))+1)),0)</f>
        <v/>
      </c>
      <c r="S753">
        <f>IFERROR((H753*N753*IF(AND(Inputs!$B$38&lt;&gt;"pvp",Inputs!$B$43&gt;0),((Skills!G7*((R753-1)*IF(Skills!H7&gt;0,Skills!I7/Skills!H7,1)+IF(Skills!H7&gt;0,MIN(Skills!I7,MAX(0,MAX(0,Inputs!$B$43-B785)-((R753-1)*IF(Inputs!$B$38="pvp",15,MAX(0.1,Skills!D7-IF(Skills!E7=TRUE,Inputs!$B$32,0))))))/Skills!H7,1)))/Inputs!$B$43),G753*Q753))/N753*IF(Inputs!$B$38="pvp",1,(1-Summary!$B$11)*1+Summary!$B$11*(MIN(Skills!R7,Inputs!$B$37))),0)</f>
        <v/>
      </c>
      <c r="T753">
        <f>IF(C753,(H753*N753*IF(AND(Inputs!$B$38&lt;&gt;"pvp",Inputs!$B$43&gt;0),((Skills!G7*((R753-1)*IF(Skills!H7&gt;0,Skills!I7/Skills!H7,1)+IF(Skills!H7&gt;0,MIN(Skills!I7,MAX(0,MAX(0,Inputs!$B$43-B785)-((R753-1)*IF(Inputs!$B$38="pvp",15,MAX(0.1,Skills!D7-IF(Skills!E7=TRUE,Inputs!$B$32,0))))))/Skills!H7,1)))/Inputs!$B$43),G753*Q753))*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Hunt"),CHOOSE(ArtifactsInput!$N$35+1,15,18,21,24,27,30)*(1-EXP(-(0.2*B780)*5)),0)+IF(AND(ArtifactsInput!$M$22,Inputs!$B$4&lt;&gt;"Chapter Hunt"),CHOOSE(ArtifactsInput!$N$22+1,10,12,14,16,18,20)*((0*(((0.15*B780*5))^0/1)+1*(((0.15*B780*5))^1/1)+2*(((0.15*B780*5))^2/2)+3*(((0.15*B780*5))^3/6)+4*(((0.15*B780*5))^4/24)+5*(((0.15*B780*5))^5/120))/((((0.15*B780*5))^0/1)+(((0.15*B780*5))^1/1)+(((0.15*B780*5))^2/2)+(((0.15*B780*5))^3/6)+(((0.15*B780*5))^4/24)+(((0.15*B780*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753*(1-MIN(100,(Inputs!$B$9+((C765=TRUE)*(F765-Calc!F19))+B778+(ArtifactsInput!$M$24-ArtifactsInput!$M$24)*CHOOSE(ArtifactsInput!$N$24+1,10,12,14,16,18,20)+(IF(AND(ArtifactsInput!$M$42,((Inputs!$B$9+((C765=TRUE)*(F765-Calc!F19))+B778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753*(MIN(100,(Inputs!$B$9+((C765=TRUE)*(F765-Calc!F19))+B778+(ArtifactsInput!$M$24-ArtifactsInput!$M$24)*CHOOSE(ArtifactsInput!$N$24+1,10,12,14,16,18,20)+(IF(AND(ArtifactsInput!$M$42,((Inputs!$B$9+((C765=TRUE)*(F765-Calc!F19))+B778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753*(1-MIN(100,(Inputs!$B$9+((C765=TRUE)*(F765-Calc!F19))+B778+(ArtifactsInput!$M$24-ArtifactsInput!$M$24)*CHOOSE(ArtifactsInput!$N$24+1,10,12,14,16,18,20)+(IF(AND(ArtifactsInput!$M$42,((Inputs!$B$9+((C765=TRUE)*(F765-Calc!F19))+B778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753*(MIN(100,(Inputs!$B$9+((C765=TRUE)*(F765-Calc!F19))+B778+(ArtifactsInput!$M$24-ArtifactsInput!$M$24)*CHOOSE(ArtifactsInput!$N$24+1,10,12,14,16,18,20)+(IF(AND(ArtifactsInput!$M$42,((Inputs!$B$9+((C765=TRUE)*(F765-Calc!F19))+B778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753">
        <f>IF(C753,(H753*N753*IF(AND(Inputs!$B$38&lt;&gt;"pvp",Inputs!$B$43&gt;0),((Skills!G7*((R753-1)*IF(Skills!H7&gt;0,Skills!I7/Skills!H7,1)+IF(Skills!H7&gt;0,MIN(Skills!I7,MAX(0,MAX(0,Inputs!$B$43-B785)-((R753-1)*IF(Inputs!$B$38="pvp",15,MAX(0.1,Skills!D7-IF(Skills!E7=TRUE,Inputs!$B$32,0))))))/Skills!H7,1)))/Inputs!$B$43),G753*Q753))*IF(Inputs!$B$38="pvp",1,(1+(Inputs!$B$21+Skills!Q7+(IF(ArtifactsInput!$M$33,CHOOSE(ArtifactsInput!$N$33+1,30,36,42,48,54,60),0))+(IF(AND(ArtifactsInput!$M$35,Inputs!$B$4&lt;&gt;"Chapter Hunt"),CHOOSE(ArtifactsInput!$N$35+1,15,18,21,24,27,30)*(1-EXP(-(0.2*B780)*5)),0)+IF(AND(ArtifactsInput!$M$22,Inputs!$B$4&lt;&gt;"Chapter Hunt"),CHOOSE(ArtifactsInput!$N$22+1,10,12,14,16,18,20)*((0*(((0.15*B780*5))^0/1)+1*(((0.15*B780*5))^1/1)+2*(((0.15*B780*5))^2/2)+3*(((0.15*B780*5))^3/6)+4*(((0.15*B780*5))^4/24)+5*(((0.15*B780*5))^5/120))/((((0.15*B780*5))^0/1)+(((0.15*B780*5))^1/1)+(((0.15*B780*5))^2/2)+(((0.15*B780*5))^3/6)+(((0.15*B780*5))^4/24)+(((0.15*B780*5))^5/120))),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754">
      <c r="A754">
        <f>Skills!A8</f>
        <v/>
      </c>
      <c r="B754">
        <f>Skills!B8</f>
        <v/>
      </c>
      <c r="C754">
        <f>Inputs!$B$3&gt;=100</f>
        <v/>
      </c>
      <c r="D754">
        <f>IF(Skills!C8=1,60+Inputs!$B$25+Inputs!$B$29,IF(Skills!C8=2,90+Inputs!$B$26+Inputs!$B$29,IF(Skills!C8=3,120+Inputs!$B$27+Inputs!$B$29,MAX(0,(Inputs!$B$3-100)*3)+Inputs!$B$28+Inputs!$B$29)))</f>
        <v/>
      </c>
      <c r="E754">
        <f>INDEX(FactorTable!$B$2:$Y$301, MATCH(ROUND(MIN(300,MAX(1,D754)),0), FactorTable!$A$2:$A$301,0), Skills!M8+1)</f>
        <v/>
      </c>
      <c r="F754">
        <f>IF(Skills!N8=TRUE,(Skills!L8/10)*(E754/1000),Skills!L8/10)+Skills!O8</f>
        <v/>
      </c>
      <c r="G754" t="inlineStr"/>
      <c r="H754" t="inlineStr"/>
      <c r="I754" t="inlineStr">
        <is>
          <t>1</t>
        </is>
      </c>
      <c r="J754" t="inlineStr"/>
      <c r="K754" t="inlineStr"/>
      <c r="L754" t="inlineStr"/>
      <c r="M754" t="inlineStr"/>
      <c r="N754" t="inlineStr"/>
      <c r="O754" t="inlineStr"/>
      <c r="P754" t="inlineStr"/>
      <c r="Q754" t="inlineStr"/>
      <c r="R754" t="inlineStr"/>
      <c r="S754" t="inlineStr"/>
      <c r="T754" t="inlineStr"/>
      <c r="V754" t="inlineStr"/>
    </row>
    <row r="755">
      <c r="A755">
        <f>Skills!A9</f>
        <v/>
      </c>
      <c r="B755">
        <f>Skills!B9</f>
        <v/>
      </c>
      <c r="C755">
        <f>Inputs!$B$3&gt;=103</f>
        <v/>
      </c>
      <c r="D755">
        <f>IF(Skills!C9=1,60+Inputs!$B$25+Inputs!$B$29,IF(Skills!C9=2,90+Inputs!$B$26+Inputs!$B$29,IF(Skills!C9=3,120+Inputs!$B$27+Inputs!$B$29,MAX(0,(Inputs!$B$3-100)*3)+Inputs!$B$28+Inputs!$B$29)))</f>
        <v/>
      </c>
      <c r="E755">
        <f>INDEX(FactorTable!$B$2:$Y$301, MATCH(ROUND(MIN(300,MAX(1,D755)),0), FactorTable!$A$2:$A$301,0), Skills!M9+1)</f>
        <v/>
      </c>
      <c r="F755">
        <f>IF(Skills!N9=TRUE,(Skills!L9/10)*(E755/1000),Skills!L9/10)+Skills!O9</f>
        <v/>
      </c>
      <c r="G755">
        <f>Skills!G9*IF(Skills!H9&gt;0,Skills!I9/Skills!H9,1)</f>
        <v/>
      </c>
      <c r="H755">
        <f>1-(1-Skills!J9/100)^Skills!K9</f>
        <v/>
      </c>
      <c r="I755" t="inlineStr">
        <is>
          <t>1</t>
        </is>
      </c>
      <c r="J755">
        <f>((Inputs!$B$6*(1+Inputs!$B$7/100))+(((Inputs!$B$12*(1+Inputs!$B$13/100))-(Inputs!$B$12*(1+Inputs!$B$13/100)))+0.25*(Inputs!$B$14-Inputs!$B$14))*(1+Inputs!$B$7/100))*(F755/100)</f>
        <v/>
      </c>
      <c r="K755">
        <f>J755*(1+((Inputs!$B$12*(1+Inputs!$B$13/100))*0.01+Inputs!$B$14*0.0025)/100)*(1+Inputs!$B$15/100)*(1+Inputs!$B$16/100)*(5000/(6000+Inputs!$B$42*(1-(100*(1-(1-(Inputs!$B$19+0)/100)*(1-CHOOSE(ArtifactsInput!$N$40+1,5,6,7,8,9,10)/100)^(ArtifactsInput!$M$40-ArtifactsInput!$M$40)))/100)))*(1+(Inputs!$B$24+((C770=TRUE)*(F770-Calc!F24))+((C771=TRUE)*(F771-Calc!F25))+B784)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EMPOWERED_PIERCING_ARROW",Inputs!$B$17+((C768=TRUE)*(F768-Calc!F22))+(((IF(AND(ArtifactsInput!$M$42,((Inputs!$B$9+((C765=TRUE)*(F765-Calc!F19))+B778+(ArtifactsInput!$M$24-ArtifactsInput!$M$24)*CHOOSE(ArtifactsInput!$N$24+1,10,12,14,16,18,20)+IF(ArtifactsInput!$M$10,CHOOSE(ArtifactsInput!$N$10+1,15,18,21,24,27,30)*(IF(Inputs!$B$38="pvp",MIN(15,15)/15,IF(AND(Inputs!$B$38&lt;&gt;"pvp",Inputs!$B$43&gt;0),MIN(15,Inputs!$B$43)/(Inputs!$B$43),0))),0)))&gt;=100),MIN(100,((Inputs!$B$9+((C765=TRUE)*(F765-Calc!F19))+B778+(ArtifactsInput!$M$24-ArtifactsInput!$M$24)*CHOOSE(ArtifactsInput!$N$24+1,10,12,14,16,18,20)+IF(ArtifactsInput!$M$10,CHOOSE(ArtifactsInput!$N$10+1,15,18,21,24,27,30)*(IF(Inputs!$B$38="pvp",MIN(15,15)/15,IF(AND(Inputs!$B$38&lt;&gt;"pvp",Inputs!$B$43&gt;0),MIN(15,Inputs!$B$43)/(Inputs!$B$43),0))),0)))-100),0))*CHOOSE(ArtifactsInput!$N$42+1,0.6,0.72,0.84,0.96,1.08,1.2))),(Inputs!$B$18+1)+((C773=TRUE)*(F773-Calc!F27))+(IF(AND(ArtifactsInput!$M$42,((Inputs!$B$9+((C765=TRUE)*(F765-Calc!F19))+B778+(ArtifactsInput!$M$24-ArtifactsInput!$M$24)*CHOOSE(ArtifactsInput!$N$24+1,10,12,14,16,18,20)+IF(ArtifactsInput!$M$10,CHOOSE(ArtifactsInput!$N$10+1,15,18,21,24,27,30)*(IF(Inputs!$B$38="pvp",MIN(15,15)/15,IF(AND(Inputs!$B$38&lt;&gt;"pvp",Inputs!$B$43&gt;0),MIN(15,Inputs!$B$43)/(Inputs!$B$43),0))),0)))&gt;=100),CHOOSE(ArtifactsInput!$N$42+1,40,48,56,64,72,80),0))))/100)*((1+(((C759=TRUE)*F759)+((C760=TRUE)*IF(Inputs!$B$38="pvp",F760,(1-Summary!$B$11)*(F760)+Summary!$B$11*(0)))+((C761=TRUE)*F761*IF(AND(Inputs!$B$38&lt;&gt;"pvp",Inputs!$B$43&gt;0),(((R761-1)*(Skills!T15*(1+Inputs!$B$34/100))+MIN((Skills!T15*(1+Inputs!$B$34/100)),MAX(0,Inputs!$B$43-((R761-1)*Skills!D15))))/Inputs!$B$43),IF(Inputs!$B$38="pvp",MIN((Skills!T15*(1+Inputs!$B$34/100)),15)/15,(Skills!T15*(1+Inputs!$B$34/100))/Skills!D15)))+((C758=TRUE)*F758)+((C775=TRUE)*(F775-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755)</f>
        <v/>
      </c>
      <c r="L755">
        <f>K755*(MIN(Inputs!$B$22+((C769=TRUE)*(F769-Calc!F23)),(Inputs!$B$23+((C774=TRUE)*(F774-Calc!F28))+(IF(ArtifactsInput!$M$15,CHOOSE(ArtifactsInput!$N$15+1,25,30,35,40,45,50)/100*(Inputs!$B$11-Inputs!$B$11),0))))/100+(Inputs!$B$23+((C774=TRUE)*(F774-Calc!F28))+(IF(ArtifactsInput!$M$15,CHOOSE(ArtifactsInput!$N$15+1,25,30,35,40,45,50)/100*(Inputs!$B$11-Inputs!$B$11),0)))/100)/2</f>
        <v/>
      </c>
      <c r="M755">
        <f>L755*(1+(Inputs!$B$10+0+B783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755">
        <f>L755*(1-MIN((Inputs!$B$9+((C765=TRUE)*(F765-Calc!F19))+B778+(ArtifactsInput!$M$24-ArtifactsInput!$M$24)*CHOOSE(ArtifactsInput!$N$24+1,10,12,14,16,18,20)+(IF(AND(ArtifactsInput!$M$42,((Inputs!$B$9+((C765=TRUE)*(F765-Calc!F19))+B778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755*(MIN((Inputs!$B$9+((C765=TRUE)*(F765-Calc!F19))+B778+(ArtifactsInput!$M$24-ArtifactsInput!$M$24)*CHOOSE(ArtifactsInput!$N$24+1,10,12,14,16,18,20)+(IF(AND(ArtifactsInput!$M$42,((Inputs!$B$9+((C765=TRUE)*(F765-Calc!F19))+B778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755">
        <f>(1-Summary!$B$11)*T755+Summary!$B$11*V755</f>
        <v/>
      </c>
      <c r="P755">
        <f>IF(B788=0,0,O755/B788)</f>
        <v/>
      </c>
      <c r="Q755">
        <f>IFERROR(1/IF(Inputs!$B$38="pvp",15,MAX(0.1,Skills!D9-IF(Skills!E9=TRUE,Inputs!$B$32,0))),0)</f>
        <v/>
      </c>
      <c r="R755">
        <f>IF(AND(Inputs!$B$38&lt;&gt;"pvp",Inputs!$B$43&gt;0),IF(MAX(0,Inputs!$B$43-B785)&lt;=0,0,(INT(MAX(0,Inputs!$B$43-B785)/IF(Inputs!$B$38="pvp",15,MAX(0.1,Skills!D9-IF(Skills!E9=TRUE,Inputs!$B$32,0))))+1)),0)</f>
        <v/>
      </c>
      <c r="S755">
        <f>IFERROR((H755*N755*IF(AND(Inputs!$B$38&lt;&gt;"pvp",Inputs!$B$43&gt;0),((Skills!G9*((R755-1)*IF(Skills!H9&gt;0,Skills!I9/Skills!H9,1)+IF(Skills!H9&gt;0,MIN(Skills!I9,MAX(0,MAX(0,Inputs!$B$43-B785)-((R755-1)*IF(Inputs!$B$38="pvp",15,MAX(0.1,Skills!D9-IF(Skills!E9=TRUE,Inputs!$B$32,0))))))/Skills!H9,1)))/Inputs!$B$43),G755*Q755))/N755*IF(Inputs!$B$38="pvp",1,(1-Summary!$B$11)*1+Summary!$B$11*(MIN(Skills!R9,Inputs!$B$37))),0)</f>
        <v/>
      </c>
      <c r="T755">
        <f>IF(C755,(H755*N755*IF(AND(Inputs!$B$38&lt;&gt;"pvp",Inputs!$B$43&gt;0),((Skills!G9*((R755-1)*IF(Skills!H9&gt;0,Skills!I9/Skills!H9,1)+IF(Skills!H9&gt;0,MIN(Skills!I9,MAX(0,MAX(0,Inputs!$B$43-B785)-((R755-1)*IF(Inputs!$B$38="pvp",15,MAX(0.1,Skills!D9-IF(Skills!E9=TRUE,Inputs!$B$32,0))))))/Skills!H9,1)))/Inputs!$B$43),G755*Q755))*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Hunt"),CHOOSE(ArtifactsInput!$N$35+1,15,18,21,24,27,30)*(1-EXP(-(0.2*B780)*5)),0)+IF(AND(ArtifactsInput!$M$22,Inputs!$B$4&lt;&gt;"Chapter Hunt"),CHOOSE(ArtifactsInput!$N$22+1,10,12,14,16,18,20)*((0*(((0.15*B780*5))^0/1)+1*(((0.15*B780*5))^1/1)+2*(((0.15*B780*5))^2/2)+3*(((0.15*B780*5))^3/6)+4*(((0.15*B780*5))^4/24)+5*(((0.15*B780*5))^5/120))/((((0.15*B780*5))^0/1)+(((0.15*B780*5))^1/1)+(((0.15*B780*5))^2/2)+(((0.15*B780*5))^3/6)+(((0.15*B780*5))^4/24)+(((0.15*B780*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755*(1-MIN(100,(Inputs!$B$9+((C765=TRUE)*(F765-Calc!F19))+B778+(ArtifactsInput!$M$24-ArtifactsInput!$M$24)*CHOOSE(ArtifactsInput!$N$24+1,10,12,14,16,18,20)+(IF(AND(ArtifactsInput!$M$42,((Inputs!$B$9+((C765=TRUE)*(F765-Calc!F19))+B778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755*(MIN(100,(Inputs!$B$9+((C765=TRUE)*(F765-Calc!F19))+B778+(ArtifactsInput!$M$24-ArtifactsInput!$M$24)*CHOOSE(ArtifactsInput!$N$24+1,10,12,14,16,18,20)+(IF(AND(ArtifactsInput!$M$42,((Inputs!$B$9+((C765=TRUE)*(F765-Calc!F19))+B778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755*(1-MIN(100,(Inputs!$B$9+((C765=TRUE)*(F765-Calc!F19))+B778+(ArtifactsInput!$M$24-ArtifactsInput!$M$24)*CHOOSE(ArtifactsInput!$N$24+1,10,12,14,16,18,20)+(IF(AND(ArtifactsInput!$M$42,((Inputs!$B$9+((C765=TRUE)*(F765-Calc!F19))+B778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755*(MIN(100,(Inputs!$B$9+((C765=TRUE)*(F765-Calc!F19))+B778+(ArtifactsInput!$M$24-ArtifactsInput!$M$24)*CHOOSE(ArtifactsInput!$N$24+1,10,12,14,16,18,20)+(IF(AND(ArtifactsInput!$M$42,((Inputs!$B$9+((C765=TRUE)*(F765-Calc!F19))+B778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755">
        <f>IF(C755,(H755*N755*IF(AND(Inputs!$B$38&lt;&gt;"pvp",Inputs!$B$43&gt;0),((Skills!G9*((R755-1)*IF(Skills!H9&gt;0,Skills!I9/Skills!H9,1)+IF(Skills!H9&gt;0,MIN(Skills!I9,MAX(0,MAX(0,Inputs!$B$43-B785)-((R755-1)*IF(Inputs!$B$38="pvp",15,MAX(0.1,Skills!D9-IF(Skills!E9=TRUE,Inputs!$B$32,0))))))/Skills!H9,1)))/Inputs!$B$43),G755*Q755))*IF(Inputs!$B$38="pvp",1,(1+(Inputs!$B$21+Skills!Q9+(IF(ArtifactsInput!$M$33,CHOOSE(ArtifactsInput!$N$33+1,30,36,42,48,54,60),0))+(IF(AND(ArtifactsInput!$M$35,Inputs!$B$4&lt;&gt;"Chapter Hunt"),CHOOSE(ArtifactsInput!$N$35+1,15,18,21,24,27,30)*(1-EXP(-(0.2*B780)*5)),0)+IF(AND(ArtifactsInput!$M$22,Inputs!$B$4&lt;&gt;"Chapter Hunt"),CHOOSE(ArtifactsInput!$N$22+1,10,12,14,16,18,20)*((0*(((0.15*B780*5))^0/1)+1*(((0.15*B780*5))^1/1)+2*(((0.15*B780*5))^2/2)+3*(((0.15*B780*5))^3/6)+4*(((0.15*B780*5))^4/24)+5*(((0.15*B780*5))^5/120))/((((0.15*B780*5))^0/1)+(((0.15*B780*5))^1/1)+(((0.15*B780*5))^2/2)+(((0.15*B780*5))^3/6)+(((0.15*B780*5))^4/24)+(((0.15*B780*5))^5/120)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756">
      <c r="A756">
        <f>Skills!A10</f>
        <v/>
      </c>
      <c r="B756">
        <f>Skills!B10</f>
        <v/>
      </c>
      <c r="C756">
        <f>Inputs!$B$3&gt;=107</f>
        <v/>
      </c>
      <c r="D756">
        <f>IF(Skills!C10=1,60+Inputs!$B$25+Inputs!$B$29,IF(Skills!C10=2,90+Inputs!$B$26+Inputs!$B$29,IF(Skills!C10=3,120+Inputs!$B$27+Inputs!$B$29,MAX(0,(Inputs!$B$3-100)*3)+Inputs!$B$28+Inputs!$B$29)))</f>
        <v/>
      </c>
      <c r="E756">
        <f>INDEX(FactorTable!$B$2:$Y$301, MATCH(ROUND(MIN(300,MAX(1,D756)),0), FactorTable!$A$2:$A$301,0), Skills!M10+1)</f>
        <v/>
      </c>
      <c r="F756">
        <f>IF(Skills!N10=TRUE,(Skills!L10/10)*(E756/1000),Skills!L10/10)+Skills!O10</f>
        <v/>
      </c>
      <c r="G756">
        <f>Skills!G10*IF(Skills!H10&gt;0,Skills!I10/Skills!H10,1)</f>
        <v/>
      </c>
      <c r="H756">
        <f>1-(1-Skills!J10/100)^Skills!K10</f>
        <v/>
      </c>
      <c r="I756" t="inlineStr">
        <is>
          <t>1</t>
        </is>
      </c>
      <c r="J756">
        <f>((Inputs!$B$6*(1+Inputs!$B$7/100))+(((Inputs!$B$12*(1+Inputs!$B$13/100))-(Inputs!$B$12*(1+Inputs!$B$13/100)))+0.25*(Inputs!$B$14-Inputs!$B$14))*(1+Inputs!$B$7/100))*(F756/100)</f>
        <v/>
      </c>
      <c r="K756">
        <f>J756*(1+((Inputs!$B$12*(1+Inputs!$B$13/100))*0.01+Inputs!$B$14*0.0025)/100)*(1+Inputs!$B$15/100)*(1+Inputs!$B$16/100)*(5000/(6000+Inputs!$B$42*(1-(100*(1-(1-(Inputs!$B$19+0)/100)*(1-CHOOSE(ArtifactsInput!$N$40+1,5,6,7,8,9,10)/100)^(ArtifactsInput!$M$40-ArtifactsInput!$M$40)))/100)))*(1+(Inputs!$B$24+((C770=TRUE)*(F770-Calc!F24))+((C771=TRUE)*(F771-Calc!F25))+B784)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EMPOWERED_PIERCING_ARROW",Inputs!$B$17+((C768=TRUE)*(F768-Calc!F22))+(((IF(AND(ArtifactsInput!$M$42,((Inputs!$B$9+((C765=TRUE)*(F765-Calc!F19))+B778+(ArtifactsInput!$M$24-ArtifactsInput!$M$24)*CHOOSE(ArtifactsInput!$N$24+1,10,12,14,16,18,20)+IF(ArtifactsInput!$M$10,CHOOSE(ArtifactsInput!$N$10+1,15,18,21,24,27,30)*(IF(Inputs!$B$38="pvp",MIN(15,15)/15,IF(AND(Inputs!$B$38&lt;&gt;"pvp",Inputs!$B$43&gt;0),MIN(15,Inputs!$B$43)/(Inputs!$B$43),0))),0)))&gt;=100),MIN(100,((Inputs!$B$9+((C765=TRUE)*(F765-Calc!F19))+B778+(ArtifactsInput!$M$24-ArtifactsInput!$M$24)*CHOOSE(ArtifactsInput!$N$24+1,10,12,14,16,18,20)+IF(ArtifactsInput!$M$10,CHOOSE(ArtifactsInput!$N$10+1,15,18,21,24,27,30)*(IF(Inputs!$B$38="pvp",MIN(15,15)/15,IF(AND(Inputs!$B$38&lt;&gt;"pvp",Inputs!$B$43&gt;0),MIN(15,Inputs!$B$43)/(Inputs!$B$43),0))),0)))-100),0))*CHOOSE(ArtifactsInput!$N$42+1,0.6,0.72,0.84,0.96,1.08,1.2))),(Inputs!$B$18+1)+((C773=TRUE)*(F773-Calc!F27))+(IF(AND(ArtifactsInput!$M$42,((Inputs!$B$9+((C765=TRUE)*(F765-Calc!F19))+B778+(ArtifactsInput!$M$24-ArtifactsInput!$M$24)*CHOOSE(ArtifactsInput!$N$24+1,10,12,14,16,18,20)+IF(ArtifactsInput!$M$10,CHOOSE(ArtifactsInput!$N$10+1,15,18,21,24,27,30)*(IF(Inputs!$B$38="pvp",MIN(15,15)/15,IF(AND(Inputs!$B$38&lt;&gt;"pvp",Inputs!$B$43&gt;0),MIN(15,Inputs!$B$43)/(Inputs!$B$43),0))),0)))&gt;=100),CHOOSE(ArtifactsInput!$N$42+1,40,48,56,64,72,80),0))))/100)*((1+(((C759=TRUE)*F759)+((C760=TRUE)*IF(Inputs!$B$38="pvp",F760,(1-Summary!$B$11)*(F760)+Summary!$B$11*(0)))+((C761=TRUE)*F761*IF(AND(Inputs!$B$38&lt;&gt;"pvp",Inputs!$B$43&gt;0),(((R761-1)*(Skills!T15*(1+Inputs!$B$34/100))+MIN((Skills!T15*(1+Inputs!$B$34/100)),MAX(0,Inputs!$B$43-((R761-1)*Skills!D15))))/Inputs!$B$43),IF(Inputs!$B$38="pvp",MIN((Skills!T15*(1+Inputs!$B$34/100)),15)/15,(Skills!T15*(1+Inputs!$B$34/100))/Skills!D15)))+((C758=TRUE)*F758)+((C775=TRUE)*(F775-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756)</f>
        <v/>
      </c>
      <c r="L756">
        <f>K756*(MIN(Inputs!$B$22+((C769=TRUE)*(F769-Calc!F23)),(Inputs!$B$23+((C774=TRUE)*(F774-Calc!F28))+(IF(ArtifactsInput!$M$15,CHOOSE(ArtifactsInput!$N$15+1,25,30,35,40,45,50)/100*(Inputs!$B$11-Inputs!$B$11),0))))/100+(Inputs!$B$23+((C774=TRUE)*(F774-Calc!F28))+(IF(ArtifactsInput!$M$15,CHOOSE(ArtifactsInput!$N$15+1,25,30,35,40,45,50)/100*(Inputs!$B$11-Inputs!$B$11),0)))/100)/2</f>
        <v/>
      </c>
      <c r="M756">
        <f>L756*(1+(Inputs!$B$10+0+B783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756">
        <f>L756*(1-MIN((Inputs!$B$9+((C765=TRUE)*(F765-Calc!F19))+B778+(ArtifactsInput!$M$24-ArtifactsInput!$M$24)*CHOOSE(ArtifactsInput!$N$24+1,10,12,14,16,18,20)+(IF(AND(ArtifactsInput!$M$42,((Inputs!$B$9+((C765=TRUE)*(F765-Calc!F19))+B778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756*(MIN((Inputs!$B$9+((C765=TRUE)*(F765-Calc!F19))+B778+(ArtifactsInput!$M$24-ArtifactsInput!$M$24)*CHOOSE(ArtifactsInput!$N$24+1,10,12,14,16,18,20)+(IF(AND(ArtifactsInput!$M$42,((Inputs!$B$9+((C765=TRUE)*(F765-Calc!F19))+B778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756">
        <f>(1-Summary!$B$11)*T756+Summary!$B$11*V756</f>
        <v/>
      </c>
      <c r="P756">
        <f>IF(B788=0,0,O756/B788)</f>
        <v/>
      </c>
      <c r="Q756" t="n">
        <v>0</v>
      </c>
      <c r="R756" t="n">
        <v>0</v>
      </c>
      <c r="S756" t="n">
        <v>0</v>
      </c>
      <c r="T756">
        <f>IF(C756,(0.15*SUMPRODUCT((Skills!U2:U29=TRUE)*(C748:C775=TRUE)*S748:S775)*Skills!G10*N756)*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Hunt"),CHOOSE(ArtifactsInput!$N$35+1,15,18,21,24,27,30)*(1-EXP(-(0.2*B780)*5)),0)+IF(AND(ArtifactsInput!$M$22,Inputs!$B$4&lt;&gt;"Chapter Hunt"),CHOOSE(ArtifactsInput!$N$22+1,10,12,14,16,18,20)*((0*(((0.15*B780*5))^0/1)+1*(((0.15*B780*5))^1/1)+2*(((0.15*B780*5))^2/2)+3*(((0.15*B780*5))^3/6)+4*(((0.15*B780*5))^4/24)+5*(((0.15*B780*5))^5/120))/((((0.15*B780*5))^0/1)+(((0.15*B780*5))^1/1)+(((0.15*B780*5))^2/2)+(((0.15*B780*5))^3/6)+(((0.15*B780*5))^4/24)+(((0.15*B780*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756*(1-MIN(100,(Inputs!$B$9+((C765=TRUE)*(F765-Calc!F19))+B778+(ArtifactsInput!$M$24-ArtifactsInput!$M$24)*CHOOSE(ArtifactsInput!$N$24+1,10,12,14,16,18,20)+(IF(AND(ArtifactsInput!$M$42,((Inputs!$B$9+((C765=TRUE)*(F765-Calc!F19))+B778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756*(MIN(100,(Inputs!$B$9+((C765=TRUE)*(F765-Calc!F19))+B778+(ArtifactsInput!$M$24-ArtifactsInput!$M$24)*CHOOSE(ArtifactsInput!$N$24+1,10,12,14,16,18,20)+(IF(AND(ArtifactsInput!$M$42,((Inputs!$B$9+((C765=TRUE)*(F765-Calc!F19))+B778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756*(1-MIN(100,(Inputs!$B$9+((C765=TRUE)*(F765-Calc!F19))+B778+(ArtifactsInput!$M$24-ArtifactsInput!$M$24)*CHOOSE(ArtifactsInput!$N$24+1,10,12,14,16,18,20)+(IF(AND(ArtifactsInput!$M$42,((Inputs!$B$9+((C765=TRUE)*(F765-Calc!F19))+B778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756*(MIN(100,(Inputs!$B$9+((C765=TRUE)*(F765-Calc!F19))+B778+(ArtifactsInput!$M$24-ArtifactsInput!$M$24)*CHOOSE(ArtifactsInput!$N$24+1,10,12,14,16,18,20)+(IF(AND(ArtifactsInput!$M$42,((Inputs!$B$9+((C765=TRUE)*(F765-Calc!F19))+B778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756">
        <f>IF(C756,(0.15*SUMPRODUCT((Skills!U2:U29=TRUE)*(C748:C775=TRUE)*S748:S775)*Skills!G10*N756)*IF(Inputs!$B$38="pvp",1,(1+(Inputs!$B$21+Skills!Q10+(IF(ArtifactsInput!$M$33,CHOOSE(ArtifactsInput!$N$33+1,30,36,42,48,54,60),0))+(IF(AND(ArtifactsInput!$M$35,Inputs!$B$4&lt;&gt;"Chapter Hunt"),CHOOSE(ArtifactsInput!$N$35+1,15,18,21,24,27,30)*(1-EXP(-(0.2*B780)*5)),0)+IF(AND(ArtifactsInput!$M$22,Inputs!$B$4&lt;&gt;"Chapter Hunt"),CHOOSE(ArtifactsInput!$N$22+1,10,12,14,16,18,20)*((0*(((0.15*B780*5))^0/1)+1*(((0.15*B780*5))^1/1)+2*(((0.15*B780*5))^2/2)+3*(((0.15*B780*5))^3/6)+4*(((0.15*B780*5))^4/24)+5*(((0.15*B780*5))^5/120))/((((0.15*B780*5))^0/1)+(((0.15*B780*5))^1/1)+(((0.15*B780*5))^2/2)+(((0.15*B780*5))^3/6)+(((0.15*B780*5))^4/24)+(((0.15*B780*5))^5/120)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757">
      <c r="A757">
        <f>Skills!A11</f>
        <v/>
      </c>
      <c r="B757">
        <f>Skills!B11</f>
        <v/>
      </c>
      <c r="C757">
        <f>Inputs!$B$3&gt;=110</f>
        <v/>
      </c>
      <c r="D757">
        <f>IF(Skills!C11=1,60+Inputs!$B$25+Inputs!$B$29,IF(Skills!C11=2,90+Inputs!$B$26+Inputs!$B$29,IF(Skills!C11=3,120+Inputs!$B$27+Inputs!$B$29,MAX(0,(Inputs!$B$3-100)*3)+Inputs!$B$28+Inputs!$B$29)))</f>
        <v/>
      </c>
      <c r="E757">
        <f>INDEX(FactorTable!$B$2:$Y$301, MATCH(ROUND(MIN(300,MAX(1,D757)),0), FactorTable!$A$2:$A$301,0), Skills!M11+1)</f>
        <v/>
      </c>
      <c r="F757">
        <f>IF(Skills!N11=TRUE,(Skills!L11/10)*(E757/1000),Skills!L11/10)+Skills!O11</f>
        <v/>
      </c>
      <c r="G757">
        <f>Skills!G11*IF(Skills!H11&gt;0,Skills!I11/Skills!H11,1)</f>
        <v/>
      </c>
      <c r="H757">
        <f>1-(1-Skills!J11/100)^Skills!K11</f>
        <v/>
      </c>
      <c r="I757" t="inlineStr">
        <is>
          <t>1</t>
        </is>
      </c>
      <c r="J757">
        <f>((Inputs!$B$6*(1+Inputs!$B$7/100))+(((Inputs!$B$12*(1+Inputs!$B$13/100))-(Inputs!$B$12*(1+Inputs!$B$13/100)))+0.25*(Inputs!$B$14-Inputs!$B$14))*(1+Inputs!$B$7/100))*(F757/100)</f>
        <v/>
      </c>
      <c r="K757">
        <f>J757*(1+((Inputs!$B$12*(1+Inputs!$B$13/100))*0.01+Inputs!$B$14*0.0025)/100)*(1+Inputs!$B$15/100)*(1+Inputs!$B$16/100)*(5000/(6000+Inputs!$B$42*(1-(100*(1-(1-(Inputs!$B$19+0)/100)*(1-CHOOSE(ArtifactsInput!$N$40+1,5,6,7,8,9,10)/100)^(ArtifactsInput!$M$40-ArtifactsInput!$M$40)))/100)))*(1+(Inputs!$B$24+((C770=TRUE)*(F770-Calc!F24))+((C771=TRUE)*(F771-Calc!F25))+B784)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11="EMPOWERED_PIERCING_ARROW",Inputs!$B$17+((C768=TRUE)*(F768-Calc!F22))+(((IF(AND(ArtifactsInput!$M$42,((Inputs!$B$9+((C765=TRUE)*(F765-Calc!F19))+B778+(ArtifactsInput!$M$24-ArtifactsInput!$M$24)*CHOOSE(ArtifactsInput!$N$24+1,10,12,14,16,18,20)+IF(ArtifactsInput!$M$10,CHOOSE(ArtifactsInput!$N$10+1,15,18,21,24,27,30)*(IF(Inputs!$B$38="pvp",MIN(15,15)/15,IF(AND(Inputs!$B$38&lt;&gt;"pvp",Inputs!$B$43&gt;0),MIN(15,Inputs!$B$43)/(Inputs!$B$43),0))),0)))&gt;=100),MIN(100,((Inputs!$B$9+((C765=TRUE)*(F765-Calc!F19))+B778+(ArtifactsInput!$M$24-ArtifactsInput!$M$24)*CHOOSE(ArtifactsInput!$N$24+1,10,12,14,16,18,20)+IF(ArtifactsInput!$M$10,CHOOSE(ArtifactsInput!$N$10+1,15,18,21,24,27,30)*(IF(Inputs!$B$38="pvp",MIN(15,15)/15,IF(AND(Inputs!$B$38&lt;&gt;"pvp",Inputs!$B$43&gt;0),MIN(15,Inputs!$B$43)/(Inputs!$B$43),0))),0)))-100),0))*CHOOSE(ArtifactsInput!$N$42+1,0.6,0.72,0.84,0.96,1.08,1.2))),(Inputs!$B$18+1)+((C773=TRUE)*(F773-Calc!F27))+(IF(AND(ArtifactsInput!$M$42,((Inputs!$B$9+((C765=TRUE)*(F765-Calc!F19))+B778+(ArtifactsInput!$M$24-ArtifactsInput!$M$24)*CHOOSE(ArtifactsInput!$N$24+1,10,12,14,16,18,20)+IF(ArtifactsInput!$M$10,CHOOSE(ArtifactsInput!$N$10+1,15,18,21,24,27,30)*(IF(Inputs!$B$38="pvp",MIN(15,15)/15,IF(AND(Inputs!$B$38&lt;&gt;"pvp",Inputs!$B$43&gt;0),MIN(15,Inputs!$B$43)/(Inputs!$B$43),0))),0)))&gt;=100),CHOOSE(ArtifactsInput!$N$42+1,40,48,56,64,72,80),0))))/100)*((1+(((C759=TRUE)*F759)+((C760=TRUE)*IF(Inputs!$B$38="pvp",F760,(1-Summary!$B$11)*(F760)+Summary!$B$11*(0)))+((C761=TRUE)*F761*IF(AND(Inputs!$B$38&lt;&gt;"pvp",Inputs!$B$43&gt;0),(((R761-1)*(Skills!T15*(1+Inputs!$B$34/100))+MIN((Skills!T15*(1+Inputs!$B$34/100)),MAX(0,Inputs!$B$43-((R761-1)*Skills!D15))))/Inputs!$B$43),IF(Inputs!$B$38="pvp",MIN((Skills!T15*(1+Inputs!$B$34/100)),15)/15,(Skills!T15*(1+Inputs!$B$34/100))/Skills!D15)))+((C758=TRUE)*F758)+((C775=TRUE)*(F775-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757)</f>
        <v/>
      </c>
      <c r="L757">
        <f>K757*(MIN(Inputs!$B$22+((C769=TRUE)*(F769-Calc!F23)),(Inputs!$B$23+((C774=TRUE)*(F774-Calc!F28))+(IF(ArtifactsInput!$M$15,CHOOSE(ArtifactsInput!$N$15+1,25,30,35,40,45,50)/100*(Inputs!$B$11-Inputs!$B$11),0))))/100+(Inputs!$B$23+((C774=TRUE)*(F774-Calc!F28))+(IF(ArtifactsInput!$M$15,CHOOSE(ArtifactsInput!$N$15+1,25,30,35,40,45,50)/100*(Inputs!$B$11-Inputs!$B$11),0)))/100)/2</f>
        <v/>
      </c>
      <c r="M757">
        <f>L757*(1+(Inputs!$B$10+0+B783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757">
        <f>L757*(1-MIN((Inputs!$B$9+((C765=TRUE)*(F765-Calc!F19))+B778+(ArtifactsInput!$M$24-ArtifactsInput!$M$24)*CHOOSE(ArtifactsInput!$N$24+1,10,12,14,16,18,20)+(IF(AND(ArtifactsInput!$M$42,((Inputs!$B$9+((C765=TRUE)*(F765-Calc!F19))+B778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757*(MIN((Inputs!$B$9+((C765=TRUE)*(F765-Calc!F19))+B778+(ArtifactsInput!$M$24-ArtifactsInput!$M$24)*CHOOSE(ArtifactsInput!$N$24+1,10,12,14,16,18,20)+(IF(AND(ArtifactsInput!$M$42,((Inputs!$B$9+((C765=TRUE)*(F765-Calc!F19))+B778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757">
        <f>(1-Summary!$B$11)*T757+Summary!$B$11*V757</f>
        <v/>
      </c>
      <c r="P757">
        <f>IF(B788=0,0,O757/B788)</f>
        <v/>
      </c>
      <c r="Q757">
        <f>IFERROR(1/IF(Inputs!$B$38="pvp",15,MAX(0.1,Skills!D11-IF(Skills!E11=TRUE,Inputs!$B$32,0))),0)</f>
        <v/>
      </c>
      <c r="R757">
        <f>IF(AND(Inputs!$B$38&lt;&gt;"pvp",Inputs!$B$43&gt;0),IF(MAX(0,Inputs!$B$43-B785)&lt;=0,0,(INT(MAX(0,Inputs!$B$43-B785)/IF(Inputs!$B$38="pvp",15,MAX(0.1,Skills!D11-IF(Skills!E11=TRUE,Inputs!$B$32,0))))+1)),0)</f>
        <v/>
      </c>
      <c r="S757">
        <f>IFERROR((H757*N757*IF(AND(Inputs!$B$38&lt;&gt;"pvp",Inputs!$B$43&gt;0),((Skills!G11*((R757-1)*IF(Skills!H11&gt;0,Skills!I11/Skills!H11,1)+IF(Skills!H11&gt;0,MIN(Skills!I11,MAX(0,MAX(0,Inputs!$B$43-B785)-((R757-1)*IF(Inputs!$B$38="pvp",15,MAX(0.1,Skills!D11-IF(Skills!E11=TRUE,Inputs!$B$32,0))))))/Skills!H11,1)))/Inputs!$B$43),G757*Q757))/N757*IF(Inputs!$B$38="pvp",1,(1-Summary!$B$11)*1+Summary!$B$11*(MIN(Skills!R11,Inputs!$B$37))),0)</f>
        <v/>
      </c>
      <c r="T757">
        <f>IF(C757,(H757*N757*IF(AND(Inputs!$B$38&lt;&gt;"pvp",Inputs!$B$43&gt;0),((Skills!G11*((R757-1)*IF(Skills!H11&gt;0,Skills!I11/Skills!H11,1)+IF(Skills!H11&gt;0,MIN(Skills!I11,MAX(0,MAX(0,Inputs!$B$43-B785)-((R757-1)*IF(Inputs!$B$38="pvp",15,MAX(0.1,Skills!D11-IF(Skills!E11=TRUE,Inputs!$B$32,0))))))/Skills!H11,1)))/Inputs!$B$43),G757*Q757))*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Hunt"),CHOOSE(ArtifactsInput!$N$35+1,15,18,21,24,27,30)*(1-EXP(-(0.2*B780)*5)),0)+IF(AND(ArtifactsInput!$M$22,Inputs!$B$4&lt;&gt;"Chapter Hunt"),CHOOSE(ArtifactsInput!$N$22+1,10,12,14,16,18,20)*((0*(((0.15*B780*5))^0/1)+1*(((0.15*B780*5))^1/1)+2*(((0.15*B780*5))^2/2)+3*(((0.15*B780*5))^3/6)+4*(((0.15*B780*5))^4/24)+5*(((0.15*B780*5))^5/120))/((((0.15*B780*5))^0/1)+(((0.15*B780*5))^1/1)+(((0.15*B780*5))^2/2)+(((0.15*B780*5))^3/6)+(((0.15*B780*5))^4/24)+(((0.15*B780*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757*(1-MIN(100,(Inputs!$B$9+((C765=TRUE)*(F765-Calc!F19))+B778+(ArtifactsInput!$M$24-ArtifactsInput!$M$24)*CHOOSE(ArtifactsInput!$N$24+1,10,12,14,16,18,20)+(IF(AND(ArtifactsInput!$M$42,((Inputs!$B$9+((C765=TRUE)*(F765-Calc!F19))+B778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757*(MIN(100,(Inputs!$B$9+((C765=TRUE)*(F765-Calc!F19))+B778+(ArtifactsInput!$M$24-ArtifactsInput!$M$24)*CHOOSE(ArtifactsInput!$N$24+1,10,12,14,16,18,20)+(IF(AND(ArtifactsInput!$M$42,((Inputs!$B$9+((C765=TRUE)*(F765-Calc!F19))+B778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757*(1-MIN(100,(Inputs!$B$9+((C765=TRUE)*(F765-Calc!F19))+B778+(ArtifactsInput!$M$24-ArtifactsInput!$M$24)*CHOOSE(ArtifactsInput!$N$24+1,10,12,14,16,18,20)+(IF(AND(ArtifactsInput!$M$42,((Inputs!$B$9+((C765=TRUE)*(F765-Calc!F19))+B778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757*(MIN(100,(Inputs!$B$9+((C765=TRUE)*(F765-Calc!F19))+B778+(ArtifactsInput!$M$24-ArtifactsInput!$M$24)*CHOOSE(ArtifactsInput!$N$24+1,10,12,14,16,18,20)+(IF(AND(ArtifactsInput!$M$42,((Inputs!$B$9+((C765=TRUE)*(F765-Calc!F19))+B778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757">
        <f>IF(C757,(H757*N757*IF(AND(Inputs!$B$38&lt;&gt;"pvp",Inputs!$B$43&gt;0),((Skills!G11*((R757-1)*IF(Skills!H11&gt;0,Skills!I11/Skills!H11,1)+IF(Skills!H11&gt;0,MIN(Skills!I11,MAX(0,MAX(0,Inputs!$B$43-B785)-((R757-1)*IF(Inputs!$B$38="pvp",15,MAX(0.1,Skills!D11-IF(Skills!E11=TRUE,Inputs!$B$32,0))))))/Skills!H11,1)))/Inputs!$B$43),G757*Q757))*IF(Inputs!$B$38="pvp",1,(1+(Inputs!$B$21+Skills!Q11+(IF(ArtifactsInput!$M$33,CHOOSE(ArtifactsInput!$N$33+1,30,36,42,48,54,60),0))+(IF(AND(ArtifactsInput!$M$35,Inputs!$B$4&lt;&gt;"Chapter Hunt"),CHOOSE(ArtifactsInput!$N$35+1,15,18,21,24,27,30)*(1-EXP(-(0.2*B780)*5)),0)+IF(AND(ArtifactsInput!$M$22,Inputs!$B$4&lt;&gt;"Chapter Hunt"),CHOOSE(ArtifactsInput!$N$22+1,10,12,14,16,18,20)*((0*(((0.15*B780*5))^0/1)+1*(((0.15*B780*5))^1/1)+2*(((0.15*B780*5))^2/2)+3*(((0.15*B780*5))^3/6)+4*(((0.15*B780*5))^4/24)+5*(((0.15*B780*5))^5/120))/((((0.15*B780*5))^0/1)+(((0.15*B780*5))^1/1)+(((0.15*B780*5))^2/2)+(((0.15*B780*5))^3/6)+(((0.15*B780*5))^4/24)+(((0.15*B780*5))^5/120))),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758">
      <c r="A758">
        <f>Skills!A12</f>
        <v/>
      </c>
      <c r="B758">
        <f>Skills!B12</f>
        <v/>
      </c>
      <c r="C758">
        <f>Inputs!$B$3&gt;=60</f>
        <v/>
      </c>
      <c r="D758">
        <f>IF(Skills!C12=1,60+Inputs!$B$25+Inputs!$B$29,IF(Skills!C12=2,90+Inputs!$B$26+Inputs!$B$29,IF(Skills!C12=3,120+Inputs!$B$27+Inputs!$B$29,MAX(0,(Inputs!$B$3-100)*3)+Inputs!$B$28+Inputs!$B$29)))</f>
        <v/>
      </c>
      <c r="E758">
        <f>INDEX(FactorTable!$B$2:$Y$301, MATCH(ROUND(MIN(300,MAX(1,D758)),0), FactorTable!$A$2:$A$301,0), Skills!M12+1)</f>
        <v/>
      </c>
      <c r="F758">
        <f>IF(Skills!N12=TRUE,(Skills!L12/10)*(E758/1000),Skills!L12/10)+Skills!O12</f>
        <v/>
      </c>
      <c r="G758">
        <f>Skills!G12*IF(Skills!H12&gt;0,Skills!I12/Skills!H12,1)</f>
        <v/>
      </c>
      <c r="H758">
        <f>1-(1-Skills!J12/100)^Skills!K12</f>
        <v/>
      </c>
      <c r="I758" t="inlineStr">
        <is>
          <t>1</t>
        </is>
      </c>
      <c r="J758" t="inlineStr"/>
      <c r="K758" t="inlineStr"/>
      <c r="L758" t="inlineStr"/>
      <c r="M758" t="inlineStr"/>
      <c r="N758" t="inlineStr"/>
      <c r="O758">
        <f>(1-Summary!$B$11)*T758+Summary!$B$11*V758</f>
        <v/>
      </c>
      <c r="P758">
        <f>IF(B788=0,0,O758/B788)</f>
        <v/>
      </c>
      <c r="Q758" t="n">
        <v>0</v>
      </c>
      <c r="R758" t="n">
        <v>0</v>
      </c>
      <c r="S758" t="n">
        <v>0</v>
      </c>
      <c r="T758" t="n">
        <v>0</v>
      </c>
      <c r="V758" t="n">
        <v>0</v>
      </c>
    </row>
    <row r="759">
      <c r="A759">
        <f>Skills!A13</f>
        <v/>
      </c>
      <c r="B759">
        <f>Skills!B13</f>
        <v/>
      </c>
      <c r="C759">
        <f>Inputs!$B$3&gt;=74</f>
        <v/>
      </c>
      <c r="D759">
        <f>IF(Skills!C13=1,60+Inputs!$B$25+Inputs!$B$29,IF(Skills!C13=2,90+Inputs!$B$26+Inputs!$B$29,IF(Skills!C13=3,120+Inputs!$B$27+Inputs!$B$29,MAX(0,(Inputs!$B$3-100)*3)+Inputs!$B$28+Inputs!$B$29)))</f>
        <v/>
      </c>
      <c r="E759">
        <f>INDEX(FactorTable!$B$2:$Y$301, MATCH(ROUND(MIN(300,MAX(1,D759)),0), FactorTable!$A$2:$A$301,0), Skills!M13+1)</f>
        <v/>
      </c>
      <c r="F759">
        <f>IF(Skills!N13=TRUE,(Skills!L13/10)*(E759/1000),Skills!L13/10)+Skills!O13</f>
        <v/>
      </c>
      <c r="G759">
        <f>Skills!G13*IF(Skills!H13&gt;0,Skills!I13/Skills!H13,1)</f>
        <v/>
      </c>
      <c r="H759">
        <f>1-(1-Skills!J13/100)^Skills!K13</f>
        <v/>
      </c>
      <c r="I759" t="inlineStr">
        <is>
          <t>1</t>
        </is>
      </c>
      <c r="J759" t="inlineStr"/>
      <c r="K759" t="inlineStr"/>
      <c r="L759" t="inlineStr"/>
      <c r="M759" t="inlineStr"/>
      <c r="N759" t="inlineStr"/>
      <c r="O759">
        <f>(1-Summary!$B$11)*T759+Summary!$B$11*V759</f>
        <v/>
      </c>
      <c r="P759">
        <f>IF(B788=0,0,O759/B788)</f>
        <v/>
      </c>
      <c r="Q759" t="n">
        <v>0</v>
      </c>
      <c r="R759" t="n">
        <v>0</v>
      </c>
      <c r="S759" t="n">
        <v>0</v>
      </c>
      <c r="T759" t="n">
        <v>0</v>
      </c>
      <c r="V759" t="n">
        <v>0</v>
      </c>
    </row>
    <row r="760">
      <c r="A760">
        <f>Skills!A14</f>
        <v/>
      </c>
      <c r="B760">
        <f>Skills!B14</f>
        <v/>
      </c>
      <c r="C760">
        <f>Inputs!$B$3&gt;=74</f>
        <v/>
      </c>
      <c r="D760">
        <f>IF(Skills!C14=1,60+Inputs!$B$25+Inputs!$B$29,IF(Skills!C14=2,90+Inputs!$B$26+Inputs!$B$29,IF(Skills!C14=3,120+Inputs!$B$27+Inputs!$B$29,MAX(0,(Inputs!$B$3-100)*3)+Inputs!$B$28+Inputs!$B$29)))</f>
        <v/>
      </c>
      <c r="E760">
        <f>INDEX(FactorTable!$B$2:$Y$301, MATCH(ROUND(MIN(300,MAX(1,D760)),0), FactorTable!$A$2:$A$301,0), Skills!M14+1)</f>
        <v/>
      </c>
      <c r="F760">
        <f>IF(Skills!N14=TRUE,(Skills!L14/10)*(E760/1000),Skills!L14/10)+Skills!O14</f>
        <v/>
      </c>
      <c r="G760">
        <f>Skills!G14*IF(Skills!H14&gt;0,Skills!I14/Skills!H14,1)</f>
        <v/>
      </c>
      <c r="H760">
        <f>1-(1-Skills!J14/100)^Skills!K14</f>
        <v/>
      </c>
      <c r="I760" t="inlineStr">
        <is>
          <t>1</t>
        </is>
      </c>
      <c r="J760" t="inlineStr"/>
      <c r="K760" t="inlineStr"/>
      <c r="L760" t="inlineStr"/>
      <c r="M760" t="inlineStr"/>
      <c r="N760" t="inlineStr"/>
      <c r="O760">
        <f>(1-Summary!$B$11)*T760+Summary!$B$11*V760</f>
        <v/>
      </c>
      <c r="P760">
        <f>IF(B788=0,0,O760/B788)</f>
        <v/>
      </c>
      <c r="Q760" t="n">
        <v>0</v>
      </c>
      <c r="R760" t="n">
        <v>0</v>
      </c>
      <c r="S760" t="n">
        <v>0</v>
      </c>
      <c r="T760" t="n">
        <v>0</v>
      </c>
      <c r="V760" t="n">
        <v>0</v>
      </c>
    </row>
    <row r="761">
      <c r="A761">
        <f>Skills!A15</f>
        <v/>
      </c>
      <c r="B761">
        <f>Skills!B15</f>
        <v/>
      </c>
      <c r="C761">
        <f>Inputs!$B$3&gt;=117</f>
        <v/>
      </c>
      <c r="D761">
        <f>IF(Skills!C15=1,60+Inputs!$B$25+Inputs!$B$29,IF(Skills!C15=2,90+Inputs!$B$26+Inputs!$B$29,IF(Skills!C15=3,120+Inputs!$B$27+Inputs!$B$29,MAX(0,(Inputs!$B$3-100)*3)+Inputs!$B$28+Inputs!$B$29)))</f>
        <v/>
      </c>
      <c r="E761">
        <f>INDEX(FactorTable!$B$2:$Y$301, MATCH(ROUND(MIN(300,MAX(1,D761)),0), FactorTable!$A$2:$A$301,0), Skills!M15+1)</f>
        <v/>
      </c>
      <c r="F761">
        <f>IF(Skills!N15=TRUE,(Skills!L15/10)*(E761/1000),Skills!L15/10)+Skills!O15</f>
        <v/>
      </c>
      <c r="G761">
        <f>Skills!G15*IF(Skills!H15&gt;0,Skills!I15/Skills!H15,1)</f>
        <v/>
      </c>
      <c r="H761">
        <f>1-(1-Skills!J15/100)^Skills!K15</f>
        <v/>
      </c>
      <c r="I761" t="inlineStr">
        <is>
          <t>1</t>
        </is>
      </c>
      <c r="J761" t="inlineStr"/>
      <c r="K761" t="inlineStr"/>
      <c r="L761" t="inlineStr"/>
      <c r="M761" t="inlineStr"/>
      <c r="N761" t="inlineStr"/>
      <c r="O761">
        <f>(1-Summary!$B$11)*T761+Summary!$B$11*V761</f>
        <v/>
      </c>
      <c r="P761">
        <f>IF(B788=0,0,O761/B788)</f>
        <v/>
      </c>
      <c r="Q761">
        <f>IFERROR(1/IF(Inputs!$B$38="pvp",15,MAX(0.1,Skills!D15-IF(Skills!E15=TRUE,Inputs!$B$32,0))),0)</f>
        <v/>
      </c>
      <c r="R761">
        <f>IF(AND(Inputs!$B$38&lt;&gt;"pvp",Inputs!$B$43&gt;0),IF(Inputs!$B$43&lt;=0,0,(INT(Inputs!$B$43/IF(Inputs!$B$38="pvp",15,MAX(0.1,Skills!D15-IF(Skills!E15=TRUE,Inputs!$B$32,0))))+1)),0)</f>
        <v/>
      </c>
      <c r="S761" t="n">
        <v>0</v>
      </c>
      <c r="T761" t="n">
        <v>0</v>
      </c>
      <c r="V761" t="n">
        <v>0</v>
      </c>
    </row>
    <row r="762">
      <c r="A762">
        <f>Skills!A16</f>
        <v/>
      </c>
      <c r="B762">
        <f>Skills!B16</f>
        <v/>
      </c>
      <c r="C762">
        <f>Inputs!$B$3&gt;=115</f>
        <v/>
      </c>
      <c r="D762">
        <f>IF(Skills!C16=1,60+Inputs!$B$25+Inputs!$B$29,IF(Skills!C16=2,90+Inputs!$B$26+Inputs!$B$29,IF(Skills!C16=3,120+Inputs!$B$27+Inputs!$B$29,MAX(0,(Inputs!$B$3-100)*3)+Inputs!$B$28+Inputs!$B$29)))</f>
        <v/>
      </c>
      <c r="E762">
        <f>INDEX(FactorTable!$B$2:$Y$301, MATCH(ROUND(MIN(300,MAX(1,D762)),0), FactorTable!$A$2:$A$301,0), Skills!M16+1)</f>
        <v/>
      </c>
      <c r="F762">
        <f>IF(Skills!N16=TRUE,(Skills!L16/10)*(E762/1000),Skills!L16/10)+Skills!O16</f>
        <v/>
      </c>
      <c r="G762">
        <f>Skills!G16*IF(Skills!H16&gt;0,Skills!I16/Skills!H16,1)</f>
        <v/>
      </c>
      <c r="H762">
        <f>1-(1-Skills!J16/100)^Skills!K16</f>
        <v/>
      </c>
      <c r="I762" t="inlineStr">
        <is>
          <t>1</t>
        </is>
      </c>
      <c r="J762" t="inlineStr"/>
      <c r="K762" t="inlineStr"/>
      <c r="L762" t="inlineStr"/>
      <c r="M762" t="inlineStr"/>
      <c r="N762" t="inlineStr"/>
      <c r="O762">
        <f>(1-Summary!$B$11)*T762+Summary!$B$11*V762</f>
        <v/>
      </c>
      <c r="P762">
        <f>IF(B788=0,0,O762/B788)</f>
        <v/>
      </c>
      <c r="Q762">
        <f>IFERROR(1/IF(Inputs!$B$38="pvp",15,MAX(0.1,Skills!D16-IF(Skills!E16=TRUE,Inputs!$B$32,0))),0)</f>
        <v/>
      </c>
      <c r="R762">
        <f>IF(AND(Inputs!$B$38&lt;&gt;"pvp",Inputs!$B$43&gt;0),IF(Inputs!$B$43&lt;=0,0,(INT(Inputs!$B$43/IF(Inputs!$B$38="pvp",15,MAX(0.1,Skills!D16-IF(Skills!E16=TRUE,Inputs!$B$32,0))))+1)),0)</f>
        <v/>
      </c>
      <c r="S762" t="n">
        <v>0</v>
      </c>
      <c r="T762" t="n">
        <v>0</v>
      </c>
      <c r="V762" t="n">
        <v>0</v>
      </c>
    </row>
    <row r="763">
      <c r="A763">
        <f>Skills!A17</f>
        <v/>
      </c>
      <c r="B763">
        <f>Skills!B17</f>
        <v/>
      </c>
      <c r="C763">
        <f>Inputs!$B$3&gt;=72</f>
        <v/>
      </c>
      <c r="D763">
        <f>IF(Skills!C17=1,60+Inputs!$B$25+Inputs!$B$29,IF(Skills!C17=2,90+Inputs!$B$26+Inputs!$B$29,IF(Skills!C17=3,120+Inputs!$B$27+Inputs!$B$29,MAX(0,(Inputs!$B$3-100)*3)+Inputs!$B$28+Inputs!$B$29)))</f>
        <v/>
      </c>
      <c r="E763">
        <f>INDEX(FactorTable!$B$2:$Y$301, MATCH(ROUND(MIN(300,MAX(1,D763)),0), FactorTable!$A$2:$A$301,0), Skills!M17+1)</f>
        <v/>
      </c>
      <c r="F763">
        <f>IF(Skills!N17=TRUE,(Skills!L17/10)*(E763/1000),Skills!L17/10)+Skills!O17</f>
        <v/>
      </c>
      <c r="G763">
        <f>Skills!G17*IF(Skills!H17&gt;0,Skills!I17/Skills!H17,1)</f>
        <v/>
      </c>
      <c r="H763">
        <f>1-(1-Skills!J17/100)^Skills!K17</f>
        <v/>
      </c>
      <c r="I763" t="inlineStr">
        <is>
          <t>1</t>
        </is>
      </c>
      <c r="J763" t="inlineStr"/>
      <c r="K763" t="inlineStr"/>
      <c r="L763" t="inlineStr"/>
      <c r="M763" t="inlineStr"/>
      <c r="N763" t="inlineStr"/>
      <c r="O763">
        <f>(1-Summary!$B$11)*T763+Summary!$B$11*V763</f>
        <v/>
      </c>
      <c r="P763">
        <f>IF(B788=0,0,O763/B788)</f>
        <v/>
      </c>
      <c r="Q763" t="n">
        <v>0</v>
      </c>
      <c r="R763" t="n">
        <v>0</v>
      </c>
      <c r="S763" t="n">
        <v>0</v>
      </c>
      <c r="T763" t="n">
        <v>0</v>
      </c>
      <c r="V763" t="n">
        <v>0</v>
      </c>
    </row>
    <row r="764">
      <c r="A764">
        <f>Skills!A18</f>
        <v/>
      </c>
      <c r="B764">
        <f>Skills!B18</f>
        <v/>
      </c>
      <c r="C764">
        <f>TRUE</f>
        <v/>
      </c>
      <c r="D764">
        <f>IF(Skills!C18=1,60+Inputs!$B$25+Inputs!$B$29,IF(Skills!C18=2,90+Inputs!$B$26+Inputs!$B$29,IF(Skills!C18=3,120+Inputs!$B$27+Inputs!$B$29,MAX(0,(Inputs!$B$3-100)*3)+Inputs!$B$28+Inputs!$B$29)))</f>
        <v/>
      </c>
      <c r="E764">
        <f>INDEX(FactorTable!$B$2:$Y$301, MATCH(ROUND(MIN(300,MAX(1,D764)),0), FactorTable!$A$2:$A$301,0), Skills!M18+1)</f>
        <v/>
      </c>
      <c r="F764">
        <f>IF(Skills!N18=TRUE,(Skills!L18/10)*(E764/1000),Skills!L18/10)+Skills!O18</f>
        <v/>
      </c>
      <c r="G764">
        <f>Skills!G18*IF(Skills!H18&gt;0,Skills!I18/Skills!H18,1)</f>
        <v/>
      </c>
      <c r="H764">
        <f>1-(1-Skills!J18/100)^Skills!K18</f>
        <v/>
      </c>
      <c r="I764" t="inlineStr">
        <is>
          <t>1</t>
        </is>
      </c>
      <c r="J764" t="inlineStr"/>
      <c r="K764" t="inlineStr"/>
      <c r="L764" t="inlineStr"/>
      <c r="M764" t="inlineStr"/>
      <c r="N764" t="inlineStr"/>
      <c r="O764">
        <f>(1-Summary!$B$11)*T764+Summary!$B$11*V764</f>
        <v/>
      </c>
      <c r="P764">
        <f>IF(B788=0,0,O764/B788)</f>
        <v/>
      </c>
      <c r="Q764">
        <f>IFERROR(1/IF(Inputs!$B$38="pvp",15,MAX(0.1,Skills!D18-IF(Skills!E18=TRUE,Inputs!$B$32,0))),0)</f>
        <v/>
      </c>
      <c r="R764">
        <f>IF(AND(Inputs!$B$38&lt;&gt;"pvp",Inputs!$B$43&gt;0),IF(Inputs!$B$43&lt;=0,0,(INT(Inputs!$B$43/IF(Inputs!$B$38="pvp",15,MAX(0.1,Skills!D18-IF(Skills!E18=TRUE,Inputs!$B$32,0))))+1)),0)</f>
        <v/>
      </c>
      <c r="S764" t="n">
        <v>0</v>
      </c>
      <c r="T764" t="n">
        <v>0</v>
      </c>
      <c r="V764" t="n">
        <v>0</v>
      </c>
    </row>
    <row r="765">
      <c r="A765">
        <f>Skills!A19</f>
        <v/>
      </c>
      <c r="B765">
        <f>Skills!B19</f>
        <v/>
      </c>
      <c r="C765">
        <f>Inputs!$B$3&gt;=15</f>
        <v/>
      </c>
      <c r="D765">
        <f>IF(Skills!C19=1,60+Inputs!$B$25+Inputs!$B$29,IF(Skills!C19=2,90+Inputs!$B$26+Inputs!$B$29,IF(Skills!C19=3,120+Inputs!$B$27+Inputs!$B$29,MAX(0,(Inputs!$B$3-100)*3)+Inputs!$B$28+Inputs!$B$29)))</f>
        <v/>
      </c>
      <c r="E765">
        <f>INDEX(FactorTable!$B$2:$Y$301, MATCH(ROUND(MIN(300,MAX(1,D765)),0), FactorTable!$A$2:$A$301,0), Skills!M19+1)</f>
        <v/>
      </c>
      <c r="F765">
        <f>IF(Skills!N19=TRUE,(Skills!L19/10)*(E765/1000),Skills!L19/10)+Skills!O19</f>
        <v/>
      </c>
      <c r="G765">
        <f>Skills!G19*IF(Skills!H19&gt;0,Skills!I19/Skills!H19,1)</f>
        <v/>
      </c>
      <c r="H765">
        <f>1-(1-Skills!J19/100)^Skills!K19</f>
        <v/>
      </c>
      <c r="I765" t="inlineStr">
        <is>
          <t>1</t>
        </is>
      </c>
      <c r="J765" t="inlineStr"/>
      <c r="K765" t="inlineStr"/>
      <c r="L765" t="inlineStr"/>
      <c r="M765" t="inlineStr"/>
      <c r="N765" t="inlineStr"/>
      <c r="O765">
        <f>(1-Summary!$B$11)*T765+Summary!$B$11*V765</f>
        <v/>
      </c>
      <c r="P765">
        <f>IF(B788=0,0,O765/B788)</f>
        <v/>
      </c>
      <c r="Q765" t="n">
        <v>0</v>
      </c>
      <c r="R765" t="n">
        <v>0</v>
      </c>
      <c r="S765" t="n">
        <v>0</v>
      </c>
      <c r="T765" t="n">
        <v>0</v>
      </c>
      <c r="V765" t="n">
        <v>0</v>
      </c>
    </row>
    <row r="766">
      <c r="A766">
        <f>Skills!A20</f>
        <v/>
      </c>
      <c r="B766">
        <f>Skills!B20</f>
        <v/>
      </c>
      <c r="C766">
        <f>Inputs!$B$3&gt;=10</f>
        <v/>
      </c>
      <c r="D766">
        <f>IF(Skills!C20=1,60+Inputs!$B$25+Inputs!$B$29,IF(Skills!C20=2,90+Inputs!$B$26+Inputs!$B$29,IF(Skills!C20=3,120+Inputs!$B$27+Inputs!$B$29,MAX(0,(Inputs!$B$3-100)*3)+Inputs!$B$28+Inputs!$B$29)))</f>
        <v/>
      </c>
      <c r="E766">
        <f>INDEX(FactorTable!$B$2:$Y$301, MATCH(ROUND(MIN(300,MAX(1,D766)),0), FactorTable!$A$2:$A$301,0), Skills!M20+1)</f>
        <v/>
      </c>
      <c r="F766">
        <f>IF(Skills!N20=TRUE,(Skills!L20/10)*(E766/1000),Skills!L20/10)+Skills!O20</f>
        <v/>
      </c>
      <c r="G766">
        <f>Skills!G20*IF(Skills!H20&gt;0,Skills!I20/Skills!H20,1)</f>
        <v/>
      </c>
      <c r="H766">
        <f>1-(1-Skills!J20/100)^Skills!K20</f>
        <v/>
      </c>
      <c r="I766" t="inlineStr">
        <is>
          <t>1</t>
        </is>
      </c>
      <c r="J766" t="inlineStr"/>
      <c r="K766" t="inlineStr"/>
      <c r="L766" t="inlineStr"/>
      <c r="M766" t="inlineStr"/>
      <c r="N766" t="inlineStr"/>
      <c r="O766">
        <f>(1-Summary!$B$11)*T766+Summary!$B$11*V766</f>
        <v/>
      </c>
      <c r="P766">
        <f>IF(B788=0,0,O766/B788)</f>
        <v/>
      </c>
      <c r="Q766" t="n">
        <v>0</v>
      </c>
      <c r="R766" t="n">
        <v>0</v>
      </c>
      <c r="S766" t="n">
        <v>0</v>
      </c>
      <c r="T766" t="n">
        <v>0</v>
      </c>
      <c r="V766" t="n">
        <v>0</v>
      </c>
    </row>
    <row r="767">
      <c r="A767">
        <f>Skills!A21</f>
        <v/>
      </c>
      <c r="B767">
        <f>Skills!B21</f>
        <v/>
      </c>
      <c r="C767">
        <f>Inputs!$B$3&gt;=33</f>
        <v/>
      </c>
      <c r="D767">
        <f>IF(Skills!C21=1,60+Inputs!$B$25+Inputs!$B$29,IF(Skills!C21=2,90+Inputs!$B$26+Inputs!$B$29,IF(Skills!C21=3,120+Inputs!$B$27+Inputs!$B$29,MAX(0,(Inputs!$B$3-100)*3)+Inputs!$B$28+Inputs!$B$29)))</f>
        <v/>
      </c>
      <c r="E767">
        <f>INDEX(FactorTable!$B$2:$Y$301, MATCH(ROUND(MIN(300,MAX(1,D767)),0), FactorTable!$A$2:$A$301,0), Skills!M21+1)</f>
        <v/>
      </c>
      <c r="F767">
        <f>IF(Skills!N21=TRUE,(Skills!L21/10)*(E767/1000),Skills!L21/10)+Skills!O21</f>
        <v/>
      </c>
      <c r="G767">
        <f>Skills!G21*IF(Skills!H21&gt;0,Skills!I21/Skills!H21,1)</f>
        <v/>
      </c>
      <c r="H767">
        <f>1-(1-Skills!J21/100)^Skills!K21</f>
        <v/>
      </c>
      <c r="I767" t="inlineStr">
        <is>
          <t>1</t>
        </is>
      </c>
      <c r="J767" t="inlineStr"/>
      <c r="K767" t="inlineStr"/>
      <c r="L767" t="inlineStr"/>
      <c r="M767" t="inlineStr"/>
      <c r="N767" t="inlineStr"/>
      <c r="O767">
        <f>(1-Summary!$B$11)*T767+Summary!$B$11*V767</f>
        <v/>
      </c>
      <c r="P767">
        <f>IF(B788=0,0,O767/B788)</f>
        <v/>
      </c>
      <c r="Q767" t="n">
        <v>0</v>
      </c>
      <c r="R767" t="n">
        <v>0</v>
      </c>
      <c r="S767" t="n">
        <v>0</v>
      </c>
      <c r="T767" t="n">
        <v>0</v>
      </c>
      <c r="V767" t="n">
        <v>0</v>
      </c>
    </row>
    <row r="768">
      <c r="A768">
        <f>Skills!A22</f>
        <v/>
      </c>
      <c r="B768">
        <f>Skills!B22</f>
        <v/>
      </c>
      <c r="C768">
        <f>Inputs!$B$3&gt;=38</f>
        <v/>
      </c>
      <c r="D768">
        <f>IF(Skills!C22=1,60+Inputs!$B$25+Inputs!$B$29,IF(Skills!C22=2,90+Inputs!$B$26+Inputs!$B$29,IF(Skills!C22=3,120+Inputs!$B$27+Inputs!$B$29,MAX(0,(Inputs!$B$3-100)*3)+Inputs!$B$28+Inputs!$B$29)))</f>
        <v/>
      </c>
      <c r="E768">
        <f>INDEX(FactorTable!$B$2:$Y$301, MATCH(ROUND(MIN(300,MAX(1,D768)),0), FactorTable!$A$2:$A$301,0), Skills!M22+1)</f>
        <v/>
      </c>
      <c r="F768">
        <f>IF(Skills!N22=TRUE,(Skills!L22/10)*(E768/1000),Skills!L22/10)+Skills!O22</f>
        <v/>
      </c>
      <c r="G768">
        <f>Skills!G22*IF(Skills!H22&gt;0,Skills!I22/Skills!H22,1)</f>
        <v/>
      </c>
      <c r="H768">
        <f>1-(1-Skills!J22/100)^Skills!K22</f>
        <v/>
      </c>
      <c r="I768" t="inlineStr">
        <is>
          <t>1</t>
        </is>
      </c>
      <c r="J768" t="inlineStr"/>
      <c r="K768" t="inlineStr"/>
      <c r="L768" t="inlineStr"/>
      <c r="M768" t="inlineStr"/>
      <c r="N768" t="inlineStr"/>
      <c r="O768">
        <f>(1-Summary!$B$11)*T768+Summary!$B$11*V768</f>
        <v/>
      </c>
      <c r="P768">
        <f>IF(B788=0,0,O768/B788)</f>
        <v/>
      </c>
      <c r="Q768" t="n">
        <v>0</v>
      </c>
      <c r="R768" t="n">
        <v>0</v>
      </c>
      <c r="S768" t="n">
        <v>0</v>
      </c>
      <c r="T768" t="n">
        <v>0</v>
      </c>
      <c r="V768" t="n">
        <v>0</v>
      </c>
    </row>
    <row r="769">
      <c r="A769">
        <f>Skills!A23</f>
        <v/>
      </c>
      <c r="B769">
        <f>Skills!B23</f>
        <v/>
      </c>
      <c r="C769">
        <f>Inputs!$B$3&gt;=43</f>
        <v/>
      </c>
      <c r="D769">
        <f>IF(Skills!C23=1,60+Inputs!$B$25+Inputs!$B$29,IF(Skills!C23=2,90+Inputs!$B$26+Inputs!$B$29,IF(Skills!C23=3,120+Inputs!$B$27+Inputs!$B$29,MAX(0,(Inputs!$B$3-100)*3)+Inputs!$B$28+Inputs!$B$29)))</f>
        <v/>
      </c>
      <c r="E769">
        <f>INDEX(FactorTable!$B$2:$Y$301, MATCH(ROUND(MIN(300,MAX(1,D769)),0), FactorTable!$A$2:$A$301,0), Skills!M23+1)</f>
        <v/>
      </c>
      <c r="F769">
        <f>IF(Skills!N23=TRUE,(Skills!L23/10)*(E769/1000),Skills!L23/10)+Skills!O23</f>
        <v/>
      </c>
      <c r="G769">
        <f>Skills!G23*IF(Skills!H23&gt;0,Skills!I23/Skills!H23,1)</f>
        <v/>
      </c>
      <c r="H769">
        <f>1-(1-Skills!J23/100)^Skills!K23</f>
        <v/>
      </c>
      <c r="I769" t="inlineStr">
        <is>
          <t>1</t>
        </is>
      </c>
      <c r="J769" t="inlineStr"/>
      <c r="K769" t="inlineStr"/>
      <c r="L769" t="inlineStr"/>
      <c r="M769" t="inlineStr"/>
      <c r="N769" t="inlineStr"/>
      <c r="O769">
        <f>(1-Summary!$B$11)*T769+Summary!$B$11*V769</f>
        <v/>
      </c>
      <c r="P769">
        <f>IF(B788=0,0,O769/B788)</f>
        <v/>
      </c>
      <c r="Q769" t="n">
        <v>0</v>
      </c>
      <c r="R769" t="n">
        <v>0</v>
      </c>
      <c r="S769" t="n">
        <v>0</v>
      </c>
      <c r="T769" t="n">
        <v>0</v>
      </c>
      <c r="V769" t="n">
        <v>0</v>
      </c>
    </row>
    <row r="770">
      <c r="A770">
        <f>Skills!A24</f>
        <v/>
      </c>
      <c r="B770">
        <f>Skills!B24</f>
        <v/>
      </c>
      <c r="C770">
        <f>Inputs!$B$3&gt;=75</f>
        <v/>
      </c>
      <c r="D770">
        <f>IF(Skills!C24=1,60+Inputs!$B$25+Inputs!$B$29,IF(Skills!C24=2,90+Inputs!$B$26+Inputs!$B$29,IF(Skills!C24=3,120+Inputs!$B$27+Inputs!$B$29,MAX(0,(Inputs!$B$3-100)*3)+Inputs!$B$28+Inputs!$B$29)))</f>
        <v/>
      </c>
      <c r="E770">
        <f>INDEX(FactorTable!$B$2:$Y$301, MATCH(ROUND(MIN(300,MAX(1,D770)),0), FactorTable!$A$2:$A$301,0), Skills!M24+1)</f>
        <v/>
      </c>
      <c r="F770">
        <f>IF(Skills!N24=TRUE,(Skills!L24/10)*(E770/1000),Skills!L24/10)+Skills!O24</f>
        <v/>
      </c>
      <c r="G770">
        <f>Skills!G24*IF(Skills!H24&gt;0,Skills!I24/Skills!H24,1)</f>
        <v/>
      </c>
      <c r="H770">
        <f>1-(1-Skills!J24/100)^Skills!K24</f>
        <v/>
      </c>
      <c r="I770" t="inlineStr">
        <is>
          <t>1</t>
        </is>
      </c>
      <c r="J770" t="inlineStr"/>
      <c r="K770" t="inlineStr"/>
      <c r="L770" t="inlineStr"/>
      <c r="M770" t="inlineStr"/>
      <c r="N770" t="inlineStr"/>
      <c r="O770">
        <f>(1-Summary!$B$11)*T770+Summary!$B$11*V770</f>
        <v/>
      </c>
      <c r="P770">
        <f>IF(B788=0,0,O770/B788)</f>
        <v/>
      </c>
      <c r="Q770" t="n">
        <v>0</v>
      </c>
      <c r="R770" t="n">
        <v>0</v>
      </c>
      <c r="S770" t="n">
        <v>0</v>
      </c>
      <c r="T770" t="n">
        <v>0</v>
      </c>
      <c r="V770" t="n">
        <v>0</v>
      </c>
    </row>
    <row r="771">
      <c r="A771">
        <f>Skills!A25</f>
        <v/>
      </c>
      <c r="B771">
        <f>Skills!B25</f>
        <v/>
      </c>
      <c r="C771">
        <f>Inputs!$B$3&gt;=125</f>
        <v/>
      </c>
      <c r="D771">
        <f>IF(Skills!C25=1,60+Inputs!$B$25+Inputs!$B$29,IF(Skills!C25=2,90+Inputs!$B$26+Inputs!$B$29,IF(Skills!C25=3,120+Inputs!$B$27+Inputs!$B$29,MAX(0,(Inputs!$B$3-100)*3)+Inputs!$B$28+Inputs!$B$29)))</f>
        <v/>
      </c>
      <c r="E771">
        <f>INDEX(FactorTable!$B$2:$Y$301, MATCH(ROUND(MIN(300,MAX(1,D771)),0), FactorTable!$A$2:$A$301,0), Skills!M25+1)</f>
        <v/>
      </c>
      <c r="F771">
        <f>IF(Skills!N25=TRUE,(Skills!L25/10)*(E771/1000),Skills!L25/10)+Skills!O25</f>
        <v/>
      </c>
      <c r="G771">
        <f>Skills!G25*IF(Skills!H25&gt;0,Skills!I25/Skills!H25,1)</f>
        <v/>
      </c>
      <c r="H771">
        <f>1-(1-Skills!J25/100)^Skills!K25</f>
        <v/>
      </c>
      <c r="I771" t="inlineStr">
        <is>
          <t>1</t>
        </is>
      </c>
      <c r="J771" t="inlineStr"/>
      <c r="K771" t="inlineStr"/>
      <c r="L771" t="inlineStr"/>
      <c r="M771" t="inlineStr"/>
      <c r="N771" t="inlineStr"/>
      <c r="O771">
        <f>(1-Summary!$B$11)*T771+Summary!$B$11*V771</f>
        <v/>
      </c>
      <c r="P771">
        <f>IF(B788=0,0,O771/B788)</f>
        <v/>
      </c>
      <c r="Q771" t="n">
        <v>0</v>
      </c>
      <c r="R771" t="n">
        <v>0</v>
      </c>
      <c r="S771" t="n">
        <v>0</v>
      </c>
      <c r="T771" t="n">
        <v>0</v>
      </c>
      <c r="V771" t="n">
        <v>0</v>
      </c>
    </row>
    <row r="772">
      <c r="A772">
        <f>Skills!A26</f>
        <v/>
      </c>
      <c r="B772">
        <f>Skills!B26</f>
        <v/>
      </c>
      <c r="C772">
        <f>Inputs!$B$3&gt;=125</f>
        <v/>
      </c>
      <c r="D772">
        <f>IF(Skills!C26=1,60+Inputs!$B$25+Inputs!$B$29,IF(Skills!C26=2,90+Inputs!$B$26+Inputs!$B$29,IF(Skills!C26=3,120+Inputs!$B$27+Inputs!$B$29,MAX(0,(Inputs!$B$3-100)*3)+Inputs!$B$28+Inputs!$B$29)))</f>
        <v/>
      </c>
      <c r="E772">
        <f>INDEX(FactorTable!$B$2:$Y$301, MATCH(ROUND(MIN(300,MAX(1,D772)),0), FactorTable!$A$2:$A$301,0), Skills!M26+1)</f>
        <v/>
      </c>
      <c r="F772">
        <f>IF(Skills!N26=TRUE,(Skills!L26/10)*(E772/1000),Skills!L26/10)+Skills!O26</f>
        <v/>
      </c>
      <c r="G772">
        <f>Skills!G26*IF(Skills!H26&gt;0,Skills!I26/Skills!H26,1)</f>
        <v/>
      </c>
      <c r="H772">
        <f>1-(1-Skills!J26/100)^Skills!K26</f>
        <v/>
      </c>
      <c r="I772" t="inlineStr">
        <is>
          <t>1</t>
        </is>
      </c>
      <c r="J772" t="inlineStr"/>
      <c r="K772" t="inlineStr"/>
      <c r="L772" t="inlineStr"/>
      <c r="M772" t="inlineStr"/>
      <c r="N772" t="inlineStr"/>
      <c r="O772">
        <f>(1-Summary!$B$11)*T772+Summary!$B$11*V772</f>
        <v/>
      </c>
      <c r="P772">
        <f>IF(B788=0,0,O772/B788)</f>
        <v/>
      </c>
      <c r="Q772" t="n">
        <v>0</v>
      </c>
      <c r="R772" t="n">
        <v>0</v>
      </c>
      <c r="S772" t="n">
        <v>0</v>
      </c>
      <c r="T772" t="n">
        <v>0</v>
      </c>
      <c r="V772" t="n">
        <v>0</v>
      </c>
    </row>
    <row r="773">
      <c r="A773">
        <f>Skills!A27</f>
        <v/>
      </c>
      <c r="B773">
        <f>Skills!B27</f>
        <v/>
      </c>
      <c r="C773">
        <f>Inputs!$B$3&gt;=120</f>
        <v/>
      </c>
      <c r="D773">
        <f>IF(Skills!C27=1,60+Inputs!$B$25+Inputs!$B$29,IF(Skills!C27=2,90+Inputs!$B$26+Inputs!$B$29,IF(Skills!C27=3,120+Inputs!$B$27+Inputs!$B$29,MAX(0,(Inputs!$B$3-100)*3)+Inputs!$B$28+Inputs!$B$29)))</f>
        <v/>
      </c>
      <c r="E773">
        <f>INDEX(FactorTable!$B$2:$Y$301, MATCH(ROUND(MIN(300,MAX(1,D773)),0), FactorTable!$A$2:$A$301,0), Skills!M27+1)</f>
        <v/>
      </c>
      <c r="F773">
        <f>IF(Skills!N27=TRUE,(Skills!L27/10)*(E773/1000),Skills!L27/10)+Skills!O27</f>
        <v/>
      </c>
      <c r="G773">
        <f>Skills!G27*IF(Skills!H27&gt;0,Skills!I27/Skills!H27,1)</f>
        <v/>
      </c>
      <c r="H773">
        <f>1-(1-Skills!J27/100)^Skills!K27</f>
        <v/>
      </c>
      <c r="I773" t="inlineStr">
        <is>
          <t>1</t>
        </is>
      </c>
      <c r="J773" t="inlineStr"/>
      <c r="K773" t="inlineStr"/>
      <c r="L773" t="inlineStr"/>
      <c r="M773" t="inlineStr"/>
      <c r="N773" t="inlineStr"/>
      <c r="O773">
        <f>(1-Summary!$B$11)*T773+Summary!$B$11*V773</f>
        <v/>
      </c>
      <c r="P773">
        <f>IF(B788=0,0,O773/B788)</f>
        <v/>
      </c>
      <c r="Q773" t="n">
        <v>0</v>
      </c>
      <c r="R773" t="n">
        <v>0</v>
      </c>
      <c r="S773" t="n">
        <v>0</v>
      </c>
      <c r="T773" t="n">
        <v>0</v>
      </c>
      <c r="V773" t="n">
        <v>0</v>
      </c>
    </row>
    <row r="774">
      <c r="A774">
        <f>Skills!A28</f>
        <v/>
      </c>
      <c r="B774">
        <f>Skills!B28</f>
        <v/>
      </c>
      <c r="C774">
        <f>Inputs!$B$3&gt;=120</f>
        <v/>
      </c>
      <c r="D774">
        <f>IF(Skills!C28=1,60+Inputs!$B$25+Inputs!$B$29,IF(Skills!C28=2,90+Inputs!$B$26+Inputs!$B$29,IF(Skills!C28=3,120+Inputs!$B$27+Inputs!$B$29,MAX(0,(Inputs!$B$3-100)*3)+Inputs!$B$28+Inputs!$B$29)))</f>
        <v/>
      </c>
      <c r="E774">
        <f>INDEX(FactorTable!$B$2:$Y$301, MATCH(ROUND(MIN(300,MAX(1,D774)),0), FactorTable!$A$2:$A$301,0), Skills!M28+1)</f>
        <v/>
      </c>
      <c r="F774">
        <f>IF(Skills!N28=TRUE,(Skills!L28/10)*(E774/1000),Skills!L28/10)+Skills!O28</f>
        <v/>
      </c>
      <c r="G774">
        <f>Skills!G28*IF(Skills!H28&gt;0,Skills!I28/Skills!H28,1)</f>
        <v/>
      </c>
      <c r="H774">
        <f>1-(1-Skills!J28/100)^Skills!K28</f>
        <v/>
      </c>
      <c r="I774" t="inlineStr">
        <is>
          <t>1</t>
        </is>
      </c>
      <c r="J774" t="inlineStr"/>
      <c r="K774" t="inlineStr"/>
      <c r="L774" t="inlineStr"/>
      <c r="M774" t="inlineStr"/>
      <c r="N774" t="inlineStr"/>
      <c r="O774">
        <f>(1-Summary!$B$11)*T774+Summary!$B$11*V774</f>
        <v/>
      </c>
      <c r="P774">
        <f>IF(B788=0,0,O774/B788)</f>
        <v/>
      </c>
      <c r="Q774" t="n">
        <v>0</v>
      </c>
      <c r="R774" t="n">
        <v>0</v>
      </c>
      <c r="S774" t="n">
        <v>0</v>
      </c>
      <c r="T774" t="n">
        <v>0</v>
      </c>
      <c r="V774" t="n">
        <v>0</v>
      </c>
    </row>
    <row r="775">
      <c r="A775">
        <f>Skills!A29</f>
        <v/>
      </c>
      <c r="B775">
        <f>Skills!B29</f>
        <v/>
      </c>
      <c r="C775">
        <f>Inputs!$B$3&gt;=45</f>
        <v/>
      </c>
      <c r="D775">
        <f>IF(Skills!C29=1,60+Inputs!$B$25+Inputs!$B$29,IF(Skills!C29=2,90+Inputs!$B$26+Inputs!$B$29,IF(Skills!C29=3,120+Inputs!$B$27+Inputs!$B$29,MAX(0,(Inputs!$B$3-100)*3)+Inputs!$B$28+Inputs!$B$29)))</f>
        <v/>
      </c>
      <c r="E775">
        <f>INDEX(FactorTable!$B$2:$Y$301, MATCH(ROUND(MIN(300,MAX(1,D775)),0), FactorTable!$A$2:$A$301,0), Skills!M29+1)</f>
        <v/>
      </c>
      <c r="F775">
        <f>IF(Skills!N29=TRUE,(Skills!L29/10)*(E775/1000),Skills!L29/10)+Skills!O29</f>
        <v/>
      </c>
      <c r="G775">
        <f>Skills!G29*IF(Skills!H29&gt;0,Skills!I29/Skills!H29,1)</f>
        <v/>
      </c>
      <c r="H775">
        <f>1-(1-Skills!J29/100)^Skills!K29</f>
        <v/>
      </c>
      <c r="I775" t="inlineStr">
        <is>
          <t>1</t>
        </is>
      </c>
      <c r="J775" t="inlineStr"/>
      <c r="K775" t="inlineStr"/>
      <c r="L775" t="inlineStr"/>
      <c r="M775" t="inlineStr"/>
      <c r="N775" t="inlineStr"/>
      <c r="O775">
        <f>(1-Summary!$B$11)*T775+Summary!$B$11*V775</f>
        <v/>
      </c>
      <c r="P775">
        <f>IF(B788=0,0,O775/B788)</f>
        <v/>
      </c>
      <c r="Q775" t="n">
        <v>0</v>
      </c>
      <c r="R775" t="n">
        <v>0</v>
      </c>
      <c r="S775" t="n">
        <v>0</v>
      </c>
      <c r="T775" t="n">
        <v>0</v>
      </c>
      <c r="V775" t="n">
        <v>0</v>
      </c>
    </row>
    <row r="777">
      <c r="A777" t="inlineStr">
        <is>
          <t>Attack% Bucket Multiplier</t>
        </is>
      </c>
      <c r="B777">
        <f>(1+(((C759=TRUE)*F759)+((C760=TRUE)*IF(Inputs!$B$38="pvp",F760,(1-Summary!$B$11)*(F760)+Summary!$B$11*(0)))+((C761=TRUE)*F761*IF(AND(Inputs!$B$38&lt;&gt;"pvp",Inputs!$B$43&gt;0),(((R761-1)*(Skills!T15*(1+Inputs!$B$34/100))+MIN((Skills!T15*(1+Inputs!$B$34/100)),MAX(0,Inputs!$B$43-((R761-1)*Skills!D15))))/Inputs!$B$43),IF(Inputs!$B$38="pvp",MIN((Skills!T15*(1+Inputs!$B$34/100)),15)/15,(Skills!T15*(1+Inputs!$B$34/100))/Skills!D15)))+((C758=TRUE)*F758)+((C775=TRUE)*(F775-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778">
      <c r="A778" t="inlineStr">
        <is>
          <t>Global Crit Rate Bonus %</t>
        </is>
      </c>
      <c r="B778">
        <f>(C762=TRUE)*20*IF(AND(Inputs!$B$38&lt;&gt;"pvp",Inputs!$B$43&gt;0),(((R762-1)*(Skills!T16*(1+Inputs!$B$34/100))+MIN((Skills!T16*(1+Inputs!$B$34/100)),MAX(0,Inputs!$B$43-((R762-1)*Skills!D16))))/Inputs!$B$43),IF(Inputs!$B$38="pvp",MIN((Skills!T16*(1+Inputs!$B$34/100)),15)/15,(Skills!T16*(1+Inputs!$B$34/100))/Skills!D16))</f>
        <v/>
      </c>
    </row>
    <row r="779">
      <c r="A779" t="inlineStr">
        <is>
          <t>Attack Speed Buff Bonus %</t>
        </is>
      </c>
      <c r="B779">
        <f>((C764=TRUE)*F764*IF(AND(Inputs!$B$38&lt;&gt;"pvp",Inputs!$B$43&gt;0),(((R764-1)*(Skills!T18*(1+Inputs!$B$34/100))+MIN((Skills!T18*(1+Inputs!$B$34/100)),MAX(0,Inputs!$B$43-((R764-1)*Skills!D18))))/Inputs!$B$43),IF(Inputs!$B$38="pvp",MIN((Skills!T18*(1+Inputs!$B$34/100)),15)/15,(Skills!T18*(1+Inputs!$B$34/100))/Skills!D18)))</f>
        <v/>
      </c>
    </row>
    <row r="780">
      <c r="A780" t="inlineStr">
        <is>
          <t>Actions Per Second</t>
        </is>
      </c>
      <c r="B780">
        <f>1+MIN(150,150*(1-(1-(Inputs!$B$11+((C766=TRUE)*(F766-Calc!F20))+((C767=TRUE)*(F767-Calc!F21)))/150)*(1-B779/150)))/100</f>
        <v/>
      </c>
    </row>
    <row r="781">
      <c r="A781" t="inlineStr">
        <is>
          <t>Skill + Buff Cast Rate</t>
        </is>
      </c>
      <c r="B781">
        <f>IF(AND(Inputs!$B$38&lt;&gt;"pvp",Inputs!$B$43&gt;0),SUMPRODUCT((Skills!E2:E29=TRUE)*(C748:C775=TRUE)*R748:R775*Skills!F2:F29)/Inputs!$B$43,SUMPRODUCT((Skills!E2:E29=TRUE)*(C748:C775=TRUE)*Q748:Q775*Skills!F2:F29))</f>
        <v/>
      </c>
    </row>
    <row r="782">
      <c r="A782" t="inlineStr">
        <is>
          <t>Empowered Piercing Arrow Casts Per Second</t>
        </is>
      </c>
      <c r="B782">
        <f>MAX(0,B780-B781)</f>
        <v/>
      </c>
    </row>
    <row r="783">
      <c r="A783" t="inlineStr">
        <is>
          <t>Global Critical Damage Bonus % (Sharp Eyes)</t>
        </is>
      </c>
      <c r="B783">
        <f>(C762=TRUE)*F762*IF(AND(Inputs!$B$38&lt;&gt;"pvp",Inputs!$B$43&gt;0),(((R762-1)*(Skills!T16*(1+Inputs!$B$34/100))+MIN((Skills!T16*(1+Inputs!$B$34/100)),MAX(0,Inputs!$B$43-((R762-1)*Skills!D16))))/Inputs!$B$43),IF(Inputs!$B$38="pvp",MIN((Skills!T16*(1+Inputs!$B$34/100)),15)/15,(Skills!T16*(1+Inputs!$B$34/100))/Skills!D16))</f>
        <v/>
      </c>
    </row>
    <row r="784">
      <c r="A784" t="inlineStr">
        <is>
          <t>Global Final Damage Bonus % (Mortal Blow + Last Man Standing conditional half)</t>
        </is>
      </c>
      <c r="B784">
        <f>(C763=TRUE)*F763+((C772=TRUE)*IF(Inputs!$B$38="pvp",F772,(1-Summary!$B$11)*(F772)+Summary!$B$11*(0)))</f>
        <v/>
      </c>
    </row>
    <row r="785">
      <c r="A785" t="inlineStr">
        <is>
          <t>Buff-Casting Startup Delay (s, fixed-duration only)</t>
        </is>
      </c>
      <c r="B785">
        <f>IF(AND(Inputs!$B$38&lt;&gt;"pvp",Inputs!$B$43&gt;0),SUMPRODUCT((Skills!T2:T29&gt;0)*(Skills!E2:E29=TRUE)*(C748:C775=TRUE))/B780,0)</f>
        <v/>
      </c>
    </row>
    <row r="786">
      <c r="A786" t="inlineStr">
        <is>
          <t>Boss-Only Total DPS (this block's swept value)</t>
        </is>
      </c>
      <c r="B786">
        <f>SUM(T748:T775)</f>
        <v/>
      </c>
    </row>
    <row r="787">
      <c r="A787" t="inlineStr">
        <is>
          <t>Normal-Only Total DPS (this block's swept value)</t>
        </is>
      </c>
      <c r="B787">
        <f>SUM(V748:V775)</f>
        <v/>
      </c>
    </row>
    <row r="788">
      <c r="A788" s="6" t="inlineStr">
        <is>
          <t>TOTAL DPS</t>
        </is>
      </c>
      <c r="B788" s="6">
        <f>SUM(O748:O775)</f>
        <v/>
      </c>
    </row>
    <row r="791">
      <c r="A791" s="6" t="inlineStr">
        <is>
          <t>Stat: Skill Level Bonus — 1st Job</t>
        </is>
      </c>
    </row>
    <row r="792">
      <c r="A792" s="5" t="inlineStr">
        <is>
          <t>Key</t>
        </is>
      </c>
      <c r="B792" s="5" t="inlineStr">
        <is>
          <t>Name</t>
        </is>
      </c>
      <c r="C792" s="5" t="inlineStr">
        <is>
          <t>Unlocked</t>
        </is>
      </c>
      <c r="D792" s="5" t="inlineStr">
        <is>
          <t>InputLevel</t>
        </is>
      </c>
      <c r="E792" s="5" t="inlineStr">
        <is>
          <t>Factor</t>
        </is>
      </c>
      <c r="F792" s="5" t="inlineStr">
        <is>
          <t>CoefficientPercent</t>
        </is>
      </c>
      <c r="G792" s="5" t="inlineStr">
        <is>
          <t>EffectiveHits</t>
        </is>
      </c>
      <c r="H792" s="5" t="inlineStr">
        <is>
          <t>ProcProbability</t>
        </is>
      </c>
      <c r="I792" s="5" t="inlineStr">
        <is>
          <t>MapleHeroMultiplier</t>
        </is>
      </c>
      <c r="J792" s="5" t="inlineStr">
        <is>
          <t>BaseDamage</t>
        </is>
      </c>
      <c r="K792" s="5" t="inlineStr">
        <is>
          <t>BaseHitDamage</t>
        </is>
      </c>
      <c r="L792" s="5" t="inlineStr">
        <is>
          <t>NonCritAvg</t>
        </is>
      </c>
      <c r="M792" s="5" t="inlineStr">
        <is>
          <t>CritAvg</t>
        </is>
      </c>
      <c r="N792" s="5" t="inlineStr">
        <is>
          <t>ExpectedDamage(perHit)</t>
        </is>
      </c>
      <c r="O792" s="5" t="inlineStr">
        <is>
          <t>DPS</t>
        </is>
      </c>
      <c r="P792" s="5" t="inlineStr">
        <is>
          <t>% of Total</t>
        </is>
      </c>
      <c r="Q792" s="5" t="inlineStr">
        <is>
          <t>InvCooldown</t>
        </is>
      </c>
      <c r="R792" s="5" t="inlineStr">
        <is>
          <t>CastsInFight</t>
        </is>
      </c>
      <c r="S792" s="5" t="inlineStr">
        <is>
          <t>HitRate(perSec)</t>
        </is>
      </c>
      <c r="U792" t="inlineStr">
        <is>
          <t>helpers</t>
        </is>
      </c>
    </row>
    <row r="793">
      <c r="A793">
        <f>Skills!A2</f>
        <v/>
      </c>
      <c r="B793">
        <f>Skills!B2</f>
        <v/>
      </c>
      <c r="C793">
        <f>Inputs!$B$3&gt;=100</f>
        <v/>
      </c>
      <c r="D793" t="inlineStr"/>
      <c r="E793" t="inlineStr"/>
      <c r="F793">
        <f>U795+Skills!O2</f>
        <v/>
      </c>
      <c r="G793">
        <f>Skills!G2*IF(Skills!H2&gt;0,Skills!I2/Skills!H2,1)</f>
        <v/>
      </c>
      <c r="H793">
        <f>1-(1-Skills!J2/100)^Skills!K2</f>
        <v/>
      </c>
      <c r="I793" t="inlineStr">
        <is>
          <t>1</t>
        </is>
      </c>
      <c r="J793">
        <f>((Inputs!$B$6*(1+Inputs!$B$7/100))+(((Inputs!$B$12*(1+Inputs!$B$13/100))-(Inputs!$B$12*(1+Inputs!$B$13/100)))+0.25*(Inputs!$B$14-Inputs!$B$14))*(1+Inputs!$B$7/100))*(F793/100)</f>
        <v/>
      </c>
      <c r="K793">
        <f>J793*(1+((Inputs!$B$12*(1+Inputs!$B$13/100))*0.01+Inputs!$B$14*0.0025)/100)*(1+Inputs!$B$15/100)*(1+Inputs!$B$16/100)*(5000/(6000+Inputs!$B$42*(1-(100*(1-(1-(Inputs!$B$19+0)/100)*(1-CHOOSE(ArtifactsInput!$N$40+1,5,6,7,8,9,10)/100)^(ArtifactsInput!$M$40-ArtifactsInput!$M$40)))/100)))*(1+(Inputs!$B$24+((C815=TRUE)*(F815-Calc!F24))+((C816=TRUE)*(F816-Calc!F25))+B829)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EMPOWERED_PIERCING_ARROW",Inputs!$B$17+((C813=TRUE)*(F813-Calc!F22))+(((IF(AND(ArtifactsInput!$M$42,((Inputs!$B$9+((C810=TRUE)*(F810-Calc!F19))+B823+(ArtifactsInput!$M$24-ArtifactsInput!$M$24)*CHOOSE(ArtifactsInput!$N$24+1,10,12,14,16,18,20)+IF(ArtifactsInput!$M$10,CHOOSE(ArtifactsInput!$N$10+1,15,18,21,24,27,30)*(IF(Inputs!$B$38="pvp",MIN(15,15)/15,IF(AND(Inputs!$B$38&lt;&gt;"pvp",Inputs!$B$43&gt;0),MIN(15,Inputs!$B$43)/(Inputs!$B$43),0))),0)))&gt;=100),MIN(100,((Inputs!$B$9+((C810=TRUE)*(F810-Calc!F19))+B823+(ArtifactsInput!$M$24-ArtifactsInput!$M$24)*CHOOSE(ArtifactsInput!$N$24+1,10,12,14,16,18,20)+IF(ArtifactsInput!$M$10,CHOOSE(ArtifactsInput!$N$10+1,15,18,21,24,27,30)*(IF(Inputs!$B$38="pvp",MIN(15,15)/15,IF(AND(Inputs!$B$38&lt;&gt;"pvp",Inputs!$B$43&gt;0),MIN(15,Inputs!$B$43)/(Inputs!$B$43),0))),0)))-100),0))*CHOOSE(ArtifactsInput!$N$42+1,0.6,0.72,0.84,0.96,1.08,1.2))),Inputs!$B$18+((C818=TRUE)*(F818-Calc!F27))+(IF(AND(ArtifactsInput!$M$42,((Inputs!$B$9+((C810=TRUE)*(F810-Calc!F19))+B823+(ArtifactsInput!$M$24-ArtifactsInput!$M$24)*CHOOSE(ArtifactsInput!$N$24+1,10,12,14,16,18,20)+IF(ArtifactsInput!$M$10,CHOOSE(ArtifactsInput!$N$10+1,15,18,21,24,27,30)*(IF(Inputs!$B$38="pvp",MIN(15,15)/15,IF(AND(Inputs!$B$38&lt;&gt;"pvp",Inputs!$B$43&gt;0),MIN(15,Inputs!$B$43)/(Inputs!$B$43),0))),0)))&gt;=100),CHOOSE(ArtifactsInput!$N$42+1,40,48,56,64,72,80),0))))/100)*((1+(((C804=TRUE)*F804)+((C805=TRUE)*IF(Inputs!$B$38="pvp",F805,(1-Summary!$B$11)*(F805)+Summary!$B$11*(0)))+((C806=TRUE)*F806*IF(AND(Inputs!$B$38&lt;&gt;"pvp",Inputs!$B$43&gt;0),(((R806-1)*(Skills!T15*(1+Inputs!$B$34/100))+MIN((Skills!T15*(1+Inputs!$B$34/100)),MAX(0,Inputs!$B$43-((R806-1)*Skills!D15))))/Inputs!$B$43),IF(Inputs!$B$38="pvp",MIN((Skills!T15*(1+Inputs!$B$34/100)),15)/15,(Skills!T15*(1+Inputs!$B$34/100))/Skills!D15)))+((C803=TRUE)*F803)+((C820=TRUE)*(F820-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793)</f>
        <v/>
      </c>
      <c r="L793">
        <f>K793*(MIN(Inputs!$B$22+((C814=TRUE)*(F814-Calc!F23)),(Inputs!$B$23+((C819=TRUE)*(F819-Calc!F28))+(IF(ArtifactsInput!$M$15,CHOOSE(ArtifactsInput!$N$15+1,25,30,35,40,45,50)/100*(Inputs!$B$11-Inputs!$B$11),0))))/100+(Inputs!$B$23+((C819=TRUE)*(F819-Calc!F28))+(IF(ArtifactsInput!$M$15,CHOOSE(ArtifactsInput!$N$15+1,25,30,35,40,45,50)/100*(Inputs!$B$11-Inputs!$B$11),0)))/100)/2</f>
        <v/>
      </c>
      <c r="M793">
        <f>L793*(1+(Inputs!$B$10+0+B828+(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793">
        <f>L793*(1-MIN((Inputs!$B$9+((C810=TRUE)*(F810-Calc!F19))+B823+(ArtifactsInput!$M$24-ArtifactsInput!$M$24)*CHOOSE(ArtifactsInput!$N$24+1,10,12,14,16,18,20)+(IF(AND(ArtifactsInput!$M$42,((Inputs!$B$9+((C810=TRUE)*(F810-Calc!F19))+B823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793*(MIN((Inputs!$B$9+((C810=TRUE)*(F810-Calc!F19))+B823+(ArtifactsInput!$M$24-ArtifactsInput!$M$24)*CHOOSE(ArtifactsInput!$N$24+1,10,12,14,16,18,20)+(IF(AND(ArtifactsInput!$M$42,((Inputs!$B$9+((C810=TRUE)*(F810-Calc!F19))+B823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793">
        <f>(1-Summary!$B$11)*T793+Summary!$B$11*V793</f>
        <v/>
      </c>
      <c r="P793">
        <f>IF(B833=0,0,O793/B833)</f>
        <v/>
      </c>
      <c r="Q793" t="n">
        <v>0</v>
      </c>
      <c r="R793" t="n">
        <v>0</v>
      </c>
      <c r="S793">
        <f>IFERROR((Skills!G2*N793*B827)/N793*IF(Inputs!$B$38="pvp",1,(1-Summary!$B$11)*1+Summary!$B$11*(MIN((6+Inputs!$B$33),Inputs!$B$37))),0)</f>
        <v/>
      </c>
      <c r="T793">
        <f>IF(C793,(Skills!G2*N793*B827)*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Hunt"),CHOOSE(ArtifactsInput!$N$35+1,15,18,21,24,27,30)*(1-EXP(-(0.2*B825)*5)),0)+IF(AND(ArtifactsInput!$M$22,Inputs!$B$4&lt;&gt;"Chapter Hunt"),CHOOSE(ArtifactsInput!$N$22+1,10,12,14,16,18,20)*((0*(((0.15*B825*5))^0/1)+1*(((0.15*B825*5))^1/1)+2*(((0.15*B825*5))^2/2)+3*(((0.15*B825*5))^3/6)+4*(((0.15*B825*5))^4/24)+5*(((0.15*B825*5))^5/120))/((((0.15*B825*5))^0/1)+(((0.15*B825*5))^1/1)+(((0.15*B825*5))^2/2)+(((0.15*B825*5))^3/6)+(((0.15*B825*5))^4/24)+(((0.15*B825*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793*(1-MIN(100,(Inputs!$B$9+((C810=TRUE)*(F810-Calc!F19))+B823+(ArtifactsInput!$M$24-ArtifactsInput!$M$24)*CHOOSE(ArtifactsInput!$N$24+1,10,12,14,16,18,20)+(IF(AND(ArtifactsInput!$M$42,((Inputs!$B$9+((C810=TRUE)*(F810-Calc!F19))+B823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793*(MIN(100,(Inputs!$B$9+((C810=TRUE)*(F810-Calc!F19))+B823+(ArtifactsInput!$M$24-ArtifactsInput!$M$24)*CHOOSE(ArtifactsInput!$N$24+1,10,12,14,16,18,20)+(IF(AND(ArtifactsInput!$M$42,((Inputs!$B$9+((C810=TRUE)*(F810-Calc!F19))+B823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793*(1-MIN(100,(Inputs!$B$9+((C810=TRUE)*(F810-Calc!F19))+B823+(ArtifactsInput!$M$24-ArtifactsInput!$M$24)*CHOOSE(ArtifactsInput!$N$24+1,10,12,14,16,18,20)+(IF(AND(ArtifactsInput!$M$42,((Inputs!$B$9+((C810=TRUE)*(F810-Calc!F19))+B823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793*(MIN(100,(Inputs!$B$9+((C810=TRUE)*(F810-Calc!F19))+B823+(ArtifactsInput!$M$24-ArtifactsInput!$M$24)*CHOOSE(ArtifactsInput!$N$24+1,10,12,14,16,18,20)+(IF(AND(ArtifactsInput!$M$42,((Inputs!$B$9+((C810=TRUE)*(F810-Calc!F19))+B823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793">
        <f>MAX(0,(Inputs!$B$3-100)*3)+Inputs!$B$28+Inputs!$B$29</f>
        <v/>
      </c>
      <c r="V793">
        <f>IF(C793,(Skills!G2*N793*B827)*IF(Inputs!$B$38="pvp",1,(1+(Inputs!$B$21+Skills!Q2+(IF(ArtifactsInput!$M$33,CHOOSE(ArtifactsInput!$N$33+1,30,36,42,48,54,60),0))+(IF(AND(ArtifactsInput!$M$35,Inputs!$B$4&lt;&gt;"Chapter Hunt"),CHOOSE(ArtifactsInput!$N$35+1,15,18,21,24,27,30)*(1-EXP(-(0.2*B825)*5)),0)+IF(AND(ArtifactsInput!$M$22,Inputs!$B$4&lt;&gt;"Chapter Hunt"),CHOOSE(ArtifactsInput!$N$22+1,10,12,14,16,18,20)*((0*(((0.15*B825*5))^0/1)+1*(((0.15*B825*5))^1/1)+2*(((0.15*B825*5))^2/2)+3*(((0.15*B825*5))^3/6)+4*(((0.15*B825*5))^4/24)+5*(((0.15*B825*5))^5/120))/((((0.15*B825*5))^0/1)+(((0.15*B825*5))^1/1)+(((0.15*B825*5))^2/2)+(((0.15*B825*5))^3/6)+(((0.15*B825*5))^4/24)+(((0.15*B825*5))^5/120)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794">
      <c r="A794">
        <f>Skills!A3</f>
        <v/>
      </c>
      <c r="B794">
        <f>Skills!B3</f>
        <v/>
      </c>
      <c r="C794">
        <f>Inputs!$B$3&gt;=50</f>
        <v/>
      </c>
      <c r="D794">
        <f>IF(Skills!C3=1,60+(Inputs!$B$25+1)+Inputs!$B$29,IF(Skills!C3=2,90+Inputs!$B$26+Inputs!$B$29,IF(Skills!C3=3,120+Inputs!$B$27+Inputs!$B$29,MAX(0,(Inputs!$B$3-100)*3)+Inputs!$B$28+Inputs!$B$29)))</f>
        <v/>
      </c>
      <c r="E794">
        <f>INDEX(FactorTable!$B$2:$Y$301, MATCH(ROUND(MIN(300,MAX(1,D794)),0), FactorTable!$A$2:$A$301,0), Skills!M3+1)</f>
        <v/>
      </c>
      <c r="F794">
        <f>IF(Skills!N3=TRUE,(Skills!L3/10)*(E794/1000),Skills!L3/10)+Skills!O3</f>
        <v/>
      </c>
      <c r="G794" t="inlineStr"/>
      <c r="H794" t="inlineStr"/>
      <c r="I794" t="inlineStr">
        <is>
          <t>1</t>
        </is>
      </c>
      <c r="J794" t="inlineStr"/>
      <c r="K794" t="inlineStr"/>
      <c r="L794" t="inlineStr"/>
      <c r="M794" t="inlineStr"/>
      <c r="N794" t="inlineStr"/>
      <c r="O794" t="inlineStr"/>
      <c r="P794" t="inlineStr"/>
      <c r="Q794" t="inlineStr"/>
      <c r="R794" t="inlineStr"/>
      <c r="S794" t="inlineStr"/>
      <c r="T794" t="inlineStr"/>
      <c r="U794">
        <f>INDEX(FactorTable!$B$2:$Y$301, MATCH(ROUND(MIN(300,MAX(1,U793)),0), FactorTable!$A$2:$A$301,0), 22)</f>
        <v/>
      </c>
      <c r="V794" t="inlineStr"/>
    </row>
    <row r="795">
      <c r="A795">
        <f>Skills!A4</f>
        <v/>
      </c>
      <c r="B795">
        <f>Skills!B4</f>
        <v/>
      </c>
      <c r="C795">
        <f>Inputs!$B$3&gt;=105</f>
        <v/>
      </c>
      <c r="D795">
        <f>IF(Skills!C4=1,60+(Inputs!$B$25+1)+Inputs!$B$29,IF(Skills!C4=2,90+Inputs!$B$26+Inputs!$B$29,IF(Skills!C4=3,120+Inputs!$B$27+Inputs!$B$29,MAX(0,(Inputs!$B$3-100)*3)+Inputs!$B$28+Inputs!$B$29)))</f>
        <v/>
      </c>
      <c r="E795">
        <f>INDEX(FactorTable!$B$2:$Y$301, MATCH(ROUND(MIN(300,MAX(1,D795)),0), FactorTable!$A$2:$A$301,0), Skills!M4+1)</f>
        <v/>
      </c>
      <c r="F795">
        <f>IF(Skills!N4=TRUE,(Skills!L4/10)*(E795/1000),Skills!L4/10)+Skills!O4</f>
        <v/>
      </c>
      <c r="G795" t="inlineStr"/>
      <c r="H795" t="inlineStr"/>
      <c r="I795" t="inlineStr">
        <is>
          <t>1</t>
        </is>
      </c>
      <c r="J795" t="inlineStr"/>
      <c r="K795" t="inlineStr"/>
      <c r="L795" t="inlineStr"/>
      <c r="M795" t="inlineStr"/>
      <c r="N795" t="inlineStr"/>
      <c r="O795" t="inlineStr"/>
      <c r="P795" t="inlineStr"/>
      <c r="Q795" t="inlineStr"/>
      <c r="R795" t="inlineStr"/>
      <c r="S795" t="inlineStr"/>
      <c r="T795" t="inlineStr"/>
      <c r="U795">
        <f>290*U794/1000</f>
        <v/>
      </c>
      <c r="V795" t="inlineStr"/>
    </row>
    <row r="796">
      <c r="A796">
        <f>Skills!A5</f>
        <v/>
      </c>
      <c r="B796">
        <f>Skills!B5</f>
        <v/>
      </c>
      <c r="C796">
        <f>Inputs!$B$3&gt;=35</f>
        <v/>
      </c>
      <c r="D796">
        <f>IF(Skills!C5=1,60+(Inputs!$B$25+1)+Inputs!$B$29,IF(Skills!C5=2,90+Inputs!$B$26+Inputs!$B$29,IF(Skills!C5=3,120+Inputs!$B$27+Inputs!$B$29,MAX(0,(Inputs!$B$3-100)*3)+Inputs!$B$28+Inputs!$B$29)))</f>
        <v/>
      </c>
      <c r="E796">
        <f>INDEX(FactorTable!$B$2:$Y$301, MATCH(ROUND(MIN(300,MAX(1,D796)),0), FactorTable!$A$2:$A$301,0), Skills!M5+1)</f>
        <v/>
      </c>
      <c r="F796">
        <f>IF(Skills!N5=TRUE,(Skills!L5/10)*(E796/1000),Skills!L5/10)+Skills!O5</f>
        <v/>
      </c>
      <c r="G796">
        <f>Skills!G5*IF(Skills!H5&gt;0,Skills!I5/Skills!H5,1)</f>
        <v/>
      </c>
      <c r="H796">
        <f>1-(1-Skills!J5/100)^Skills!K5</f>
        <v/>
      </c>
      <c r="I796" t="inlineStr">
        <is>
          <t>1</t>
        </is>
      </c>
      <c r="J796">
        <f>((Inputs!$B$6*(1+Inputs!$B$7/100))+(((Inputs!$B$12*(1+Inputs!$B$13/100))-(Inputs!$B$12*(1+Inputs!$B$13/100)))+0.25*(Inputs!$B$14-Inputs!$B$14))*(1+Inputs!$B$7/100))*(F796/100)</f>
        <v/>
      </c>
      <c r="K796">
        <f>J796*(1+((Inputs!$B$12*(1+Inputs!$B$13/100))*0.01+Inputs!$B$14*0.0025)/100)*(1+Inputs!$B$15/100)*(1+Inputs!$B$16/100)*(5000/(6000+Inputs!$B$42*(1-(100*(1-(1-(Inputs!$B$19+0)/100)*(1-CHOOSE(ArtifactsInput!$N$40+1,5,6,7,8,9,10)/100)^(ArtifactsInput!$M$40-ArtifactsInput!$M$40)))/100)))*(1+(Inputs!$B$24+((C815=TRUE)*(F815-Calc!F24))+((C816=TRUE)*(F816-Calc!F25))+B829)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799=TRUE,F799,0)/100)*(1+(IF(Skills!A5="EMPOWERED_PIERCING_ARROW",Inputs!$B$17+((C813=TRUE)*(F813-Calc!F22))+(((IF(AND(ArtifactsInput!$M$42,((Inputs!$B$9+((C810=TRUE)*(F810-Calc!F19))+B823+(ArtifactsInput!$M$24-ArtifactsInput!$M$24)*CHOOSE(ArtifactsInput!$N$24+1,10,12,14,16,18,20)+IF(ArtifactsInput!$M$10,CHOOSE(ArtifactsInput!$N$10+1,15,18,21,24,27,30)*(IF(Inputs!$B$38="pvp",MIN(15,15)/15,IF(AND(Inputs!$B$38&lt;&gt;"pvp",Inputs!$B$43&gt;0),MIN(15,Inputs!$B$43)/(Inputs!$B$43),0))),0)))&gt;=100),MIN(100,((Inputs!$B$9+((C810=TRUE)*(F810-Calc!F19))+B823+(ArtifactsInput!$M$24-ArtifactsInput!$M$24)*CHOOSE(ArtifactsInput!$N$24+1,10,12,14,16,18,20)+IF(ArtifactsInput!$M$10,CHOOSE(ArtifactsInput!$N$10+1,15,18,21,24,27,30)*(IF(Inputs!$B$38="pvp",MIN(15,15)/15,IF(AND(Inputs!$B$38&lt;&gt;"pvp",Inputs!$B$43&gt;0),MIN(15,Inputs!$B$43)/(Inputs!$B$43),0))),0)))-100),0))*CHOOSE(ArtifactsInput!$N$42+1,0.6,0.72,0.84,0.96,1.08,1.2))),Inputs!$B$18+((C818=TRUE)*(F818-Calc!F27))+(IF(AND(ArtifactsInput!$M$42,((Inputs!$B$9+((C810=TRUE)*(F810-Calc!F19))+B823+(ArtifactsInput!$M$24-ArtifactsInput!$M$24)*CHOOSE(ArtifactsInput!$N$24+1,10,12,14,16,18,20)+IF(ArtifactsInput!$M$10,CHOOSE(ArtifactsInput!$N$10+1,15,18,21,24,27,30)*(IF(Inputs!$B$38="pvp",MIN(15,15)/15,IF(AND(Inputs!$B$38&lt;&gt;"pvp",Inputs!$B$43&gt;0),MIN(15,Inputs!$B$43)/(Inputs!$B$43),0))),0)))&gt;=100),CHOOSE(ArtifactsInput!$N$42+1,40,48,56,64,72,80),0))))/100)*((1+(((C804=TRUE)*F804)+((C805=TRUE)*IF(Inputs!$B$38="pvp",F805,(1-Summary!$B$11)*(F805)+Summary!$B$11*(0)))+((C806=TRUE)*F806*IF(AND(Inputs!$B$38&lt;&gt;"pvp",Inputs!$B$43&gt;0),(((R806-1)*(Skills!T15*(1+Inputs!$B$34/100))+MIN((Skills!T15*(1+Inputs!$B$34/100)),MAX(0,Inputs!$B$43-((R806-1)*Skills!D15))))/Inputs!$B$43),IF(Inputs!$B$38="pvp",MIN((Skills!T15*(1+Inputs!$B$34/100)),15)/15,(Skills!T15*(1+Inputs!$B$34/100))/Skills!D15)))+((C803=TRUE)*F803)+((C820=TRUE)*(F820-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796)</f>
        <v/>
      </c>
      <c r="L796">
        <f>K796*(MIN(Inputs!$B$22+((C814=TRUE)*(F814-Calc!F23)),(Inputs!$B$23+((C819=TRUE)*(F819-Calc!F28))+(IF(ArtifactsInput!$M$15,CHOOSE(ArtifactsInput!$N$15+1,25,30,35,40,45,50)/100*(Inputs!$B$11-Inputs!$B$11),0))))/100+(Inputs!$B$23+((C819=TRUE)*(F819-Calc!F28))+(IF(ArtifactsInput!$M$15,CHOOSE(ArtifactsInput!$N$15+1,25,30,35,40,45,50)/100*(Inputs!$B$11-Inputs!$B$11),0)))/100)/2</f>
        <v/>
      </c>
      <c r="M796">
        <f>L796*(1+(Inputs!$B$10+0+B828+(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796">
        <f>L796*(1-MIN((Inputs!$B$9+((C810=TRUE)*(F810-Calc!F19))+B823+(ArtifactsInput!$M$24-ArtifactsInput!$M$24)*CHOOSE(ArtifactsInput!$N$24+1,10,12,14,16,18,20)+(IF(AND(ArtifactsInput!$M$42,((Inputs!$B$9+((C810=TRUE)*(F810-Calc!F19))+B823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796*(MIN((Inputs!$B$9+((C810=TRUE)*(F810-Calc!F19))+B823+(ArtifactsInput!$M$24-ArtifactsInput!$M$24)*CHOOSE(ArtifactsInput!$N$24+1,10,12,14,16,18,20)+(IF(AND(ArtifactsInput!$M$42,((Inputs!$B$9+((C810=TRUE)*(F810-Calc!F19))+B823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796">
        <f>(1-Summary!$B$11)*T796+Summary!$B$11*V796</f>
        <v/>
      </c>
      <c r="P796">
        <f>IF(B833=0,0,O796/B833)</f>
        <v/>
      </c>
      <c r="Q796">
        <f>IFERROR(1/IF(Inputs!$B$38="pvp",15,MAX(0.1,Skills!D5-IF(Skills!E5=TRUE,Inputs!$B$32,0))),0)</f>
        <v/>
      </c>
      <c r="R796">
        <f>IF(AND(Inputs!$B$38&lt;&gt;"pvp",Inputs!$B$43&gt;0),IF(MAX(0,Inputs!$B$43-B830)&lt;=0,0,(INT(MAX(0,Inputs!$B$43-B830)/IF(Inputs!$B$38="pvp",15,MAX(0.1,Skills!D5-IF(Skills!E5=TRUE,Inputs!$B$32,0))))+1)),0)</f>
        <v/>
      </c>
      <c r="S796">
        <f>IFERROR((H796*N796*IF(AND(Inputs!$B$38&lt;&gt;"pvp",Inputs!$B$43&gt;0),((Skills!G5*((R796-1)*IF(Skills!H5&gt;0,Skills!I5/Skills!H5,1)+IF(Skills!H5&gt;0,MIN(Skills!I5,MAX(0,MAX(0,Inputs!$B$43-B830)-((R796-1)*IF(Inputs!$B$38="pvp",15,MAX(0.1,Skills!D5-IF(Skills!E5=TRUE,Inputs!$B$32,0))))))/Skills!H5,1)))/Inputs!$B$43),G796*Q796))/N796*IF(Inputs!$B$38="pvp",1,(1-Summary!$B$11)*1+Summary!$B$11*(MIN(Skills!R5,Inputs!$B$37))),0)</f>
        <v/>
      </c>
      <c r="T796">
        <f>IF(C796,(H796*N796*IF(AND(Inputs!$B$38&lt;&gt;"pvp",Inputs!$B$43&gt;0),((Skills!G5*((R796-1)*IF(Skills!H5&gt;0,Skills!I5/Skills!H5,1)+IF(Skills!H5&gt;0,MIN(Skills!I5,MAX(0,MAX(0,Inputs!$B$43-B830)-((R796-1)*IF(Inputs!$B$38="pvp",15,MAX(0.1,Skills!D5-IF(Skills!E5=TRUE,Inputs!$B$32,0))))))/Skills!H5,1)))/Inputs!$B$43),G796*Q796))*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Hunt"),CHOOSE(ArtifactsInput!$N$35+1,15,18,21,24,27,30)*(1-EXP(-(0.2*B825)*5)),0)+IF(AND(ArtifactsInput!$M$22,Inputs!$B$4&lt;&gt;"Chapter Hunt"),CHOOSE(ArtifactsInput!$N$22+1,10,12,14,16,18,20)*((0*(((0.15*B825*5))^0/1)+1*(((0.15*B825*5))^1/1)+2*(((0.15*B825*5))^2/2)+3*(((0.15*B825*5))^3/6)+4*(((0.15*B825*5))^4/24)+5*(((0.15*B825*5))^5/120))/((((0.15*B825*5))^0/1)+(((0.15*B825*5))^1/1)+(((0.15*B825*5))^2/2)+(((0.15*B825*5))^3/6)+(((0.15*B825*5))^4/24)+(((0.15*B825*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796*(1-MIN(100,(Inputs!$B$9+((C810=TRUE)*(F810-Calc!F19))+B823+(ArtifactsInput!$M$24-ArtifactsInput!$M$24)*CHOOSE(ArtifactsInput!$N$24+1,10,12,14,16,18,20)+(IF(AND(ArtifactsInput!$M$42,((Inputs!$B$9+((C810=TRUE)*(F810-Calc!F19))+B823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796*(MIN(100,(Inputs!$B$9+((C810=TRUE)*(F810-Calc!F19))+B823+(ArtifactsInput!$M$24-ArtifactsInput!$M$24)*CHOOSE(ArtifactsInput!$N$24+1,10,12,14,16,18,20)+(IF(AND(ArtifactsInput!$M$42,((Inputs!$B$9+((C810=TRUE)*(F810-Calc!F19))+B823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796*(1-MIN(100,(Inputs!$B$9+((C810=TRUE)*(F810-Calc!F19))+B823+(ArtifactsInput!$M$24-ArtifactsInput!$M$24)*CHOOSE(ArtifactsInput!$N$24+1,10,12,14,16,18,20)+(IF(AND(ArtifactsInput!$M$42,((Inputs!$B$9+((C810=TRUE)*(F810-Calc!F19))+B823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796*(MIN(100,(Inputs!$B$9+((C810=TRUE)*(F810-Calc!F19))+B823+(ArtifactsInput!$M$24-ArtifactsInput!$M$24)*CHOOSE(ArtifactsInput!$N$24+1,10,12,14,16,18,20)+(IF(AND(ArtifactsInput!$M$42,((Inputs!$B$9+((C810=TRUE)*(F810-Calc!F19))+B823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796">
        <f>IF(C796,(H796*N796*IF(AND(Inputs!$B$38&lt;&gt;"pvp",Inputs!$B$43&gt;0),((Skills!G5*((R796-1)*IF(Skills!H5&gt;0,Skills!I5/Skills!H5,1)+IF(Skills!H5&gt;0,MIN(Skills!I5,MAX(0,MAX(0,Inputs!$B$43-B830)-((R796-1)*IF(Inputs!$B$38="pvp",15,MAX(0.1,Skills!D5-IF(Skills!E5=TRUE,Inputs!$B$32,0))))))/Skills!H5,1)))/Inputs!$B$43),G796*Q796))*IF(Inputs!$B$38="pvp",1,(1+(Inputs!$B$21+Skills!Q5+(IF(ArtifactsInput!$M$33,CHOOSE(ArtifactsInput!$N$33+1,30,36,42,48,54,60),0))+(IF(AND(ArtifactsInput!$M$35,Inputs!$B$4&lt;&gt;"Chapter Hunt"),CHOOSE(ArtifactsInput!$N$35+1,15,18,21,24,27,30)*(1-EXP(-(0.2*B825)*5)),0)+IF(AND(ArtifactsInput!$M$22,Inputs!$B$4&lt;&gt;"Chapter Hunt"),CHOOSE(ArtifactsInput!$N$22+1,10,12,14,16,18,20)*((0*(((0.15*B825*5))^0/1)+1*(((0.15*B825*5))^1/1)+2*(((0.15*B825*5))^2/2)+3*(((0.15*B825*5))^3/6)+4*(((0.15*B825*5))^4/24)+5*(((0.15*B825*5))^5/120))/((((0.15*B825*5))^0/1)+(((0.15*B825*5))^1/1)+(((0.15*B825*5))^2/2)+(((0.15*B825*5))^3/6)+(((0.15*B825*5))^4/24)+(((0.15*B825*5))^5/120)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797">
      <c r="A797">
        <f>Skills!A6</f>
        <v/>
      </c>
      <c r="B797">
        <f>Skills!B6</f>
        <v/>
      </c>
      <c r="C797">
        <f>Inputs!$B$3&gt;=63</f>
        <v/>
      </c>
      <c r="D797">
        <f>IF(Skills!C6=1,60+(Inputs!$B$25+1)+Inputs!$B$29,IF(Skills!C6=2,90+Inputs!$B$26+Inputs!$B$29,IF(Skills!C6=3,120+Inputs!$B$27+Inputs!$B$29,MAX(0,(Inputs!$B$3-100)*3)+Inputs!$B$28+Inputs!$B$29)))</f>
        <v/>
      </c>
      <c r="E797">
        <f>INDEX(FactorTable!$B$2:$Y$301, MATCH(ROUND(MIN(300,MAX(1,D797)),0), FactorTable!$A$2:$A$301,0), Skills!M6+1)</f>
        <v/>
      </c>
      <c r="F797">
        <f>IF(Skills!N6=TRUE,(Skills!L6/10)*(E797/1000),Skills!L6/10)+Skills!O6</f>
        <v/>
      </c>
      <c r="G797">
        <f>Skills!G6*IF(Skills!H6&gt;0,Skills!I6/Skills!H6,1)</f>
        <v/>
      </c>
      <c r="H797">
        <f>1-(1-Skills!J6/100)^Skills!K6</f>
        <v/>
      </c>
      <c r="I797" t="inlineStr">
        <is>
          <t>1</t>
        </is>
      </c>
      <c r="J797">
        <f>((Inputs!$B$6*(1+Inputs!$B$7/100))+(((Inputs!$B$12*(1+Inputs!$B$13/100))-(Inputs!$B$12*(1+Inputs!$B$13/100)))+0.25*(Inputs!$B$14-Inputs!$B$14))*(1+Inputs!$B$7/100))*(F797/100)</f>
        <v/>
      </c>
      <c r="K797">
        <f>J797*(1+((Inputs!$B$12*(1+Inputs!$B$13/100))*0.01+Inputs!$B$14*0.0025)/100)*(1+Inputs!$B$15/100)*(1+Inputs!$B$16/100)*(5000/(6000+Inputs!$B$42*(1-(100*(1-(1-(Inputs!$B$19+0)/100)*(1-CHOOSE(ArtifactsInput!$N$40+1,5,6,7,8,9,10)/100)^(ArtifactsInput!$M$40-ArtifactsInput!$M$40)))/100)))*(1+(Inputs!$B$24+((C815=TRUE)*(F815-Calc!F24))+((C816=TRUE)*(F816-Calc!F25))+B829)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799=TRUE,F799,0)/100)*(1+(IF(Skills!A6="EMPOWERED_PIERCING_ARROW",Inputs!$B$17+((C813=TRUE)*(F813-Calc!F22))+(((IF(AND(ArtifactsInput!$M$42,((Inputs!$B$9+((C810=TRUE)*(F810-Calc!F19))+B823+(ArtifactsInput!$M$24-ArtifactsInput!$M$24)*CHOOSE(ArtifactsInput!$N$24+1,10,12,14,16,18,20)+IF(ArtifactsInput!$M$10,CHOOSE(ArtifactsInput!$N$10+1,15,18,21,24,27,30)*(IF(Inputs!$B$38="pvp",MIN(15,15)/15,IF(AND(Inputs!$B$38&lt;&gt;"pvp",Inputs!$B$43&gt;0),MIN(15,Inputs!$B$43)/(Inputs!$B$43),0))),0)))&gt;=100),MIN(100,((Inputs!$B$9+((C810=TRUE)*(F810-Calc!F19))+B823+(ArtifactsInput!$M$24-ArtifactsInput!$M$24)*CHOOSE(ArtifactsInput!$N$24+1,10,12,14,16,18,20)+IF(ArtifactsInput!$M$10,CHOOSE(ArtifactsInput!$N$10+1,15,18,21,24,27,30)*(IF(Inputs!$B$38="pvp",MIN(15,15)/15,IF(AND(Inputs!$B$38&lt;&gt;"pvp",Inputs!$B$43&gt;0),MIN(15,Inputs!$B$43)/(Inputs!$B$43),0))),0)))-100),0))*CHOOSE(ArtifactsInput!$N$42+1,0.6,0.72,0.84,0.96,1.08,1.2))),Inputs!$B$18+((C818=TRUE)*(F818-Calc!F27))+(IF(AND(ArtifactsInput!$M$42,((Inputs!$B$9+((C810=TRUE)*(F810-Calc!F19))+B823+(ArtifactsInput!$M$24-ArtifactsInput!$M$24)*CHOOSE(ArtifactsInput!$N$24+1,10,12,14,16,18,20)+IF(ArtifactsInput!$M$10,CHOOSE(ArtifactsInput!$N$10+1,15,18,21,24,27,30)*(IF(Inputs!$B$38="pvp",MIN(15,15)/15,IF(AND(Inputs!$B$38&lt;&gt;"pvp",Inputs!$B$43&gt;0),MIN(15,Inputs!$B$43)/(Inputs!$B$43),0))),0)))&gt;=100),CHOOSE(ArtifactsInput!$N$42+1,40,48,56,64,72,80),0))))/100)*((1+(((C804=TRUE)*F804)+((C805=TRUE)*IF(Inputs!$B$38="pvp",F805,(1-Summary!$B$11)*(F805)+Summary!$B$11*(0)))+((C806=TRUE)*F806*IF(AND(Inputs!$B$38&lt;&gt;"pvp",Inputs!$B$43&gt;0),(((R806-1)*(Skills!T15*(1+Inputs!$B$34/100))+MIN((Skills!T15*(1+Inputs!$B$34/100)),MAX(0,Inputs!$B$43-((R806-1)*Skills!D15))))/Inputs!$B$43),IF(Inputs!$B$38="pvp",MIN((Skills!T15*(1+Inputs!$B$34/100)),15)/15,(Skills!T15*(1+Inputs!$B$34/100))/Skills!D15)))+((C803=TRUE)*F803)+((C820=TRUE)*(F820-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797)</f>
        <v/>
      </c>
      <c r="L797">
        <f>K797*(MIN(Inputs!$B$22+((C814=TRUE)*(F814-Calc!F23)),(Inputs!$B$23+((C819=TRUE)*(F819-Calc!F28))+(IF(ArtifactsInput!$M$15,CHOOSE(ArtifactsInput!$N$15+1,25,30,35,40,45,50)/100*(Inputs!$B$11-Inputs!$B$11),0))))/100+(Inputs!$B$23+((C819=TRUE)*(F819-Calc!F28))+(IF(ArtifactsInput!$M$15,CHOOSE(ArtifactsInput!$N$15+1,25,30,35,40,45,50)/100*(Inputs!$B$11-Inputs!$B$11),0)))/100)/2</f>
        <v/>
      </c>
      <c r="M797">
        <f>L797*(1+(Inputs!$B$10+0+B828+(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797">
        <f>L797*(1-MIN((Inputs!$B$9+((C810=TRUE)*(F810-Calc!F19))+B823+(ArtifactsInput!$M$24-ArtifactsInput!$M$24)*CHOOSE(ArtifactsInput!$N$24+1,10,12,14,16,18,20)+(IF(AND(ArtifactsInput!$M$42,((Inputs!$B$9+((C810=TRUE)*(F810-Calc!F19))+B823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797*(MIN((Inputs!$B$9+((C810=TRUE)*(F810-Calc!F19))+B823+(ArtifactsInput!$M$24-ArtifactsInput!$M$24)*CHOOSE(ArtifactsInput!$N$24+1,10,12,14,16,18,20)+(IF(AND(ArtifactsInput!$M$42,((Inputs!$B$9+((C810=TRUE)*(F810-Calc!F19))+B823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797">
        <f>(1-Summary!$B$11)*T797+Summary!$B$11*V797</f>
        <v/>
      </c>
      <c r="P797">
        <f>IF(B833=0,0,O797/B833)</f>
        <v/>
      </c>
      <c r="Q797">
        <f>IFERROR(1/IF(Inputs!$B$38="pvp",15,MAX(0.1,Skills!D6-IF(Skills!E6=TRUE,Inputs!$B$32,0))),0)</f>
        <v/>
      </c>
      <c r="R797">
        <f>IF(AND(Inputs!$B$38&lt;&gt;"pvp",Inputs!$B$43&gt;0),IF(MAX(0,Inputs!$B$43-B830)&lt;=0,0,(INT(MAX(0,Inputs!$B$43-B830)/IF(Inputs!$B$38="pvp",15,MAX(0.1,Skills!D6-IF(Skills!E6=TRUE,Inputs!$B$32,0))))+1)),0)</f>
        <v/>
      </c>
      <c r="S797">
        <f>IFERROR((H797*N797*IF(AND(Inputs!$B$38&lt;&gt;"pvp",Inputs!$B$43&gt;0),((Skills!G6*((R797-1)*IF(Skills!H6&gt;0,Skills!I6/Skills!H6,1)+IF(Skills!H6&gt;0,MIN(Skills!I6,MAX(0,MAX(0,Inputs!$B$43-B830)-((R797-1)*IF(Inputs!$B$38="pvp",15,MAX(0.1,Skills!D6-IF(Skills!E6=TRUE,Inputs!$B$32,0))))))/Skills!H6,1)))/Inputs!$B$43),G797*Q797))/N797*IF(Inputs!$B$38="pvp",1,(1-Summary!$B$11)*1+Summary!$B$11*(MIN(Skills!R6,Inputs!$B$37))),0)</f>
        <v/>
      </c>
      <c r="T797">
        <f>IF(C797,(H797*N797*IF(AND(Inputs!$B$38&lt;&gt;"pvp",Inputs!$B$43&gt;0),((Skills!G6*((R797-1)*IF(Skills!H6&gt;0,Skills!I6/Skills!H6,1)+IF(Skills!H6&gt;0,MIN(Skills!I6,MAX(0,MAX(0,Inputs!$B$43-B830)-((R797-1)*IF(Inputs!$B$38="pvp",15,MAX(0.1,Skills!D6-IF(Skills!E6=TRUE,Inputs!$B$32,0))))))/Skills!H6,1)))/Inputs!$B$43),G797*Q797))*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Hunt"),CHOOSE(ArtifactsInput!$N$35+1,15,18,21,24,27,30)*(1-EXP(-(0.2*B825)*5)),0)+IF(AND(ArtifactsInput!$M$22,Inputs!$B$4&lt;&gt;"Chapter Hunt"),CHOOSE(ArtifactsInput!$N$22+1,10,12,14,16,18,20)*((0*(((0.15*B825*5))^0/1)+1*(((0.15*B825*5))^1/1)+2*(((0.15*B825*5))^2/2)+3*(((0.15*B825*5))^3/6)+4*(((0.15*B825*5))^4/24)+5*(((0.15*B825*5))^5/120))/((((0.15*B825*5))^0/1)+(((0.15*B825*5))^1/1)+(((0.15*B825*5))^2/2)+(((0.15*B825*5))^3/6)+(((0.15*B825*5))^4/24)+(((0.15*B825*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797*(1-MIN(100,(Inputs!$B$9+((C810=TRUE)*(F810-Calc!F19))+B823+(ArtifactsInput!$M$24-ArtifactsInput!$M$24)*CHOOSE(ArtifactsInput!$N$24+1,10,12,14,16,18,20)+(IF(AND(ArtifactsInput!$M$42,((Inputs!$B$9+((C810=TRUE)*(F810-Calc!F19))+B823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797*(MIN(100,(Inputs!$B$9+((C810=TRUE)*(F810-Calc!F19))+B823+(ArtifactsInput!$M$24-ArtifactsInput!$M$24)*CHOOSE(ArtifactsInput!$N$24+1,10,12,14,16,18,20)+(IF(AND(ArtifactsInput!$M$42,((Inputs!$B$9+((C810=TRUE)*(F810-Calc!F19))+B823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797*(1-MIN(100,(Inputs!$B$9+((C810=TRUE)*(F810-Calc!F19))+B823+(ArtifactsInput!$M$24-ArtifactsInput!$M$24)*CHOOSE(ArtifactsInput!$N$24+1,10,12,14,16,18,20)+(IF(AND(ArtifactsInput!$M$42,((Inputs!$B$9+((C810=TRUE)*(F810-Calc!F19))+B823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797*(MIN(100,(Inputs!$B$9+((C810=TRUE)*(F810-Calc!F19))+B823+(ArtifactsInput!$M$24-ArtifactsInput!$M$24)*CHOOSE(ArtifactsInput!$N$24+1,10,12,14,16,18,20)+(IF(AND(ArtifactsInput!$M$42,((Inputs!$B$9+((C810=TRUE)*(F810-Calc!F19))+B823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797">
        <f>IF(C797,(H797*N797*IF(AND(Inputs!$B$38&lt;&gt;"pvp",Inputs!$B$43&gt;0),((Skills!G6*((R797-1)*IF(Skills!H6&gt;0,Skills!I6/Skills!H6,1)+IF(Skills!H6&gt;0,MIN(Skills!I6,MAX(0,MAX(0,Inputs!$B$43-B830)-((R797-1)*IF(Inputs!$B$38="pvp",15,MAX(0.1,Skills!D6-IF(Skills!E6=TRUE,Inputs!$B$32,0))))))/Skills!H6,1)))/Inputs!$B$43),G797*Q797))*IF(Inputs!$B$38="pvp",1,(1+(Inputs!$B$21+Skills!Q6+(IF(ArtifactsInput!$M$33,CHOOSE(ArtifactsInput!$N$33+1,30,36,42,48,54,60),0))+(IF(AND(ArtifactsInput!$M$35,Inputs!$B$4&lt;&gt;"Chapter Hunt"),CHOOSE(ArtifactsInput!$N$35+1,15,18,21,24,27,30)*(1-EXP(-(0.2*B825)*5)),0)+IF(AND(ArtifactsInput!$M$22,Inputs!$B$4&lt;&gt;"Chapter Hunt"),CHOOSE(ArtifactsInput!$N$22+1,10,12,14,16,18,20)*((0*(((0.15*B825*5))^0/1)+1*(((0.15*B825*5))^1/1)+2*(((0.15*B825*5))^2/2)+3*(((0.15*B825*5))^3/6)+4*(((0.15*B825*5))^4/24)+5*(((0.15*B825*5))^5/120))/((((0.15*B825*5))^0/1)+(((0.15*B825*5))^1/1)+(((0.15*B825*5))^2/2)+(((0.15*B825*5))^3/6)+(((0.15*B825*5))^4/24)+(((0.15*B825*5))^5/120))),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798">
      <c r="A798">
        <f>Skills!A7</f>
        <v/>
      </c>
      <c r="B798">
        <f>Skills!B7</f>
        <v/>
      </c>
      <c r="C798">
        <f>Inputs!$B$3&gt;=69</f>
        <v/>
      </c>
      <c r="D798">
        <f>IF(Skills!C7=1,60+(Inputs!$B$25+1)+Inputs!$B$29,IF(Skills!C7=2,90+Inputs!$B$26+Inputs!$B$29,IF(Skills!C7=3,120+Inputs!$B$27+Inputs!$B$29,MAX(0,(Inputs!$B$3-100)*3)+Inputs!$B$28+Inputs!$B$29)))</f>
        <v/>
      </c>
      <c r="E798">
        <f>INDEX(FactorTable!$B$2:$Y$301, MATCH(ROUND(MIN(300,MAX(1,D798)),0), FactorTable!$A$2:$A$301,0), Skills!M7+1)</f>
        <v/>
      </c>
      <c r="F798">
        <f>IF(Skills!N7=TRUE,(Skills!L7/10)*(E798/1000),Skills!L7/10)+Skills!O7</f>
        <v/>
      </c>
      <c r="G798">
        <f>Skills!G7*IF(Skills!H7&gt;0,Skills!I7/Skills!H7,1)</f>
        <v/>
      </c>
      <c r="H798">
        <f>1-(1-Skills!J7/100)^Skills!K7</f>
        <v/>
      </c>
      <c r="I798" t="inlineStr">
        <is>
          <t>1</t>
        </is>
      </c>
      <c r="J798">
        <f>((Inputs!$B$6*(1+Inputs!$B$7/100))+(((Inputs!$B$12*(1+Inputs!$B$13/100))-(Inputs!$B$12*(1+Inputs!$B$13/100)))+0.25*(Inputs!$B$14-Inputs!$B$14))*(1+Inputs!$B$7/100))*(F798/100)</f>
        <v/>
      </c>
      <c r="K798">
        <f>J798*(1+((Inputs!$B$12*(1+Inputs!$B$13/100))*0.01+Inputs!$B$14*0.0025)/100)*(1+Inputs!$B$15/100)*(1+Inputs!$B$16/100)*(5000/(6000+Inputs!$B$42*(1-(100*(1-(1-(Inputs!$B$19+0)/100)*(1-CHOOSE(ArtifactsInput!$N$40+1,5,6,7,8,9,10)/100)^(ArtifactsInput!$M$40-ArtifactsInput!$M$40)))/100)))*(1+(Inputs!$B$24+((C815=TRUE)*(F815-Calc!F24))+((C816=TRUE)*(F816-Calc!F25))+B829)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+1.2*IF(C799=TRUE,F799,0)/100)*(1+(IF(Skills!A7="EMPOWERED_PIERCING_ARROW",Inputs!$B$17+((C813=TRUE)*(F813-Calc!F22))+(((IF(AND(ArtifactsInput!$M$42,((Inputs!$B$9+((C810=TRUE)*(F810-Calc!F19))+B823+(ArtifactsInput!$M$24-ArtifactsInput!$M$24)*CHOOSE(ArtifactsInput!$N$24+1,10,12,14,16,18,20)+IF(ArtifactsInput!$M$10,CHOOSE(ArtifactsInput!$N$10+1,15,18,21,24,27,30)*(IF(Inputs!$B$38="pvp",MIN(15,15)/15,IF(AND(Inputs!$B$38&lt;&gt;"pvp",Inputs!$B$43&gt;0),MIN(15,Inputs!$B$43)/(Inputs!$B$43),0))),0)))&gt;=100),MIN(100,((Inputs!$B$9+((C810=TRUE)*(F810-Calc!F19))+B823+(ArtifactsInput!$M$24-ArtifactsInput!$M$24)*CHOOSE(ArtifactsInput!$N$24+1,10,12,14,16,18,20)+IF(ArtifactsInput!$M$10,CHOOSE(ArtifactsInput!$N$10+1,15,18,21,24,27,30)*(IF(Inputs!$B$38="pvp",MIN(15,15)/15,IF(AND(Inputs!$B$38&lt;&gt;"pvp",Inputs!$B$43&gt;0),MIN(15,Inputs!$B$43)/(Inputs!$B$43),0))),0)))-100),0))*CHOOSE(ArtifactsInput!$N$42+1,0.6,0.72,0.84,0.96,1.08,1.2))),Inputs!$B$18+((C818=TRUE)*(F818-Calc!F27))+(IF(AND(ArtifactsInput!$M$42,((Inputs!$B$9+((C810=TRUE)*(F810-Calc!F19))+B823+(ArtifactsInput!$M$24-ArtifactsInput!$M$24)*CHOOSE(ArtifactsInput!$N$24+1,10,12,14,16,18,20)+IF(ArtifactsInput!$M$10,CHOOSE(ArtifactsInput!$N$10+1,15,18,21,24,27,30)*(IF(Inputs!$B$38="pvp",MIN(15,15)/15,IF(AND(Inputs!$B$38&lt;&gt;"pvp",Inputs!$B$43&gt;0),MIN(15,Inputs!$B$43)/(Inputs!$B$43),0))),0)))&gt;=100),CHOOSE(ArtifactsInput!$N$42+1,40,48,56,64,72,80),0))))/100)*((1+(((C804=TRUE)*F804)+((C805=TRUE)*IF(Inputs!$B$38="pvp",F805,(1-Summary!$B$11)*(F805)+Summary!$B$11*(0)))+((C806=TRUE)*F806*IF(AND(Inputs!$B$38&lt;&gt;"pvp",Inputs!$B$43&gt;0),(((R806-1)*(Skills!T15*(1+Inputs!$B$34/100))+MIN((Skills!T15*(1+Inputs!$B$34/100)),MAX(0,Inputs!$B$43-((R806-1)*Skills!D15))))/Inputs!$B$43),IF(Inputs!$B$38="pvp",MIN((Skills!T15*(1+Inputs!$B$34/100)),15)/15,(Skills!T15*(1+Inputs!$B$34/100))/Skills!D15)))+((C803=TRUE)*F803)+((C820=TRUE)*(F820-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798)</f>
        <v/>
      </c>
      <c r="L798">
        <f>K798*(MIN(Inputs!$B$22+((C814=TRUE)*(F814-Calc!F23)),(Inputs!$B$23+((C819=TRUE)*(F819-Calc!F28))+(IF(ArtifactsInput!$M$15,CHOOSE(ArtifactsInput!$N$15+1,25,30,35,40,45,50)/100*(Inputs!$B$11-Inputs!$B$11),0))))/100+(Inputs!$B$23+((C819=TRUE)*(F819-Calc!F28))+(IF(ArtifactsInput!$M$15,CHOOSE(ArtifactsInput!$N$15+1,25,30,35,40,45,50)/100*(Inputs!$B$11-Inputs!$B$11),0)))/100)/2</f>
        <v/>
      </c>
      <c r="M798">
        <f>L798*(1+(Inputs!$B$10+0+B828+(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798">
        <f>L798*(1-MIN((Inputs!$B$9+((C810=TRUE)*(F810-Calc!F19))+B823+(ArtifactsInput!$M$24-ArtifactsInput!$M$24)*CHOOSE(ArtifactsInput!$N$24+1,10,12,14,16,18,20)+(IF(AND(ArtifactsInput!$M$42,((Inputs!$B$9+((C810=TRUE)*(F810-Calc!F19))+B823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798*(MIN((Inputs!$B$9+((C810=TRUE)*(F810-Calc!F19))+B823+(ArtifactsInput!$M$24-ArtifactsInput!$M$24)*CHOOSE(ArtifactsInput!$N$24+1,10,12,14,16,18,20)+(IF(AND(ArtifactsInput!$M$42,((Inputs!$B$9+((C810=TRUE)*(F810-Calc!F19))+B823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798">
        <f>(1-Summary!$B$11)*T798+Summary!$B$11*V798</f>
        <v/>
      </c>
      <c r="P798">
        <f>IF(B833=0,0,O798/B833)</f>
        <v/>
      </c>
      <c r="Q798">
        <f>IFERROR(1/IF(Inputs!$B$38="pvp",15,MAX(0.1,Skills!D7-IF(Skills!E7=TRUE,Inputs!$B$32,0))),0)</f>
        <v/>
      </c>
      <c r="R798">
        <f>IF(AND(Inputs!$B$38&lt;&gt;"pvp",Inputs!$B$43&gt;0),IF(MAX(0,Inputs!$B$43-B830)&lt;=0,0,(INT(MAX(0,Inputs!$B$43-B830)/IF(Inputs!$B$38="pvp",15,MAX(0.1,Skills!D7-IF(Skills!E7=TRUE,Inputs!$B$32,0))))+1)),0)</f>
        <v/>
      </c>
      <c r="S798">
        <f>IFERROR((H798*N798*IF(AND(Inputs!$B$38&lt;&gt;"pvp",Inputs!$B$43&gt;0),((Skills!G7*((R798-1)*IF(Skills!H7&gt;0,Skills!I7/Skills!H7,1)+IF(Skills!H7&gt;0,MIN(Skills!I7,MAX(0,MAX(0,Inputs!$B$43-B830)-((R798-1)*IF(Inputs!$B$38="pvp",15,MAX(0.1,Skills!D7-IF(Skills!E7=TRUE,Inputs!$B$32,0))))))/Skills!H7,1)))/Inputs!$B$43),G798*Q798))/N798*IF(Inputs!$B$38="pvp",1,(1-Summary!$B$11)*1+Summary!$B$11*(MIN(Skills!R7,Inputs!$B$37))),0)</f>
        <v/>
      </c>
      <c r="T798">
        <f>IF(C798,(H798*N798*IF(AND(Inputs!$B$38&lt;&gt;"pvp",Inputs!$B$43&gt;0),((Skills!G7*((R798-1)*IF(Skills!H7&gt;0,Skills!I7/Skills!H7,1)+IF(Skills!H7&gt;0,MIN(Skills!I7,MAX(0,MAX(0,Inputs!$B$43-B830)-((R798-1)*IF(Inputs!$B$38="pvp",15,MAX(0.1,Skills!D7-IF(Skills!E7=TRUE,Inputs!$B$32,0))))))/Skills!H7,1)))/Inputs!$B$43),G798*Q798))*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Hunt"),CHOOSE(ArtifactsInput!$N$35+1,15,18,21,24,27,30)*(1-EXP(-(0.2*B825)*5)),0)+IF(AND(ArtifactsInput!$M$22,Inputs!$B$4&lt;&gt;"Chapter Hunt"),CHOOSE(ArtifactsInput!$N$22+1,10,12,14,16,18,20)*((0*(((0.15*B825*5))^0/1)+1*(((0.15*B825*5))^1/1)+2*(((0.15*B825*5))^2/2)+3*(((0.15*B825*5))^3/6)+4*(((0.15*B825*5))^4/24)+5*(((0.15*B825*5))^5/120))/((((0.15*B825*5))^0/1)+(((0.15*B825*5))^1/1)+(((0.15*B825*5))^2/2)+(((0.15*B825*5))^3/6)+(((0.15*B825*5))^4/24)+(((0.15*B825*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798*(1-MIN(100,(Inputs!$B$9+((C810=TRUE)*(F810-Calc!F19))+B823+(ArtifactsInput!$M$24-ArtifactsInput!$M$24)*CHOOSE(ArtifactsInput!$N$24+1,10,12,14,16,18,20)+(IF(AND(ArtifactsInput!$M$42,((Inputs!$B$9+((C810=TRUE)*(F810-Calc!F19))+B823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798*(MIN(100,(Inputs!$B$9+((C810=TRUE)*(F810-Calc!F19))+B823+(ArtifactsInput!$M$24-ArtifactsInput!$M$24)*CHOOSE(ArtifactsInput!$N$24+1,10,12,14,16,18,20)+(IF(AND(ArtifactsInput!$M$42,((Inputs!$B$9+((C810=TRUE)*(F810-Calc!F19))+B823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798*(1-MIN(100,(Inputs!$B$9+((C810=TRUE)*(F810-Calc!F19))+B823+(ArtifactsInput!$M$24-ArtifactsInput!$M$24)*CHOOSE(ArtifactsInput!$N$24+1,10,12,14,16,18,20)+(IF(AND(ArtifactsInput!$M$42,((Inputs!$B$9+((C810=TRUE)*(F810-Calc!F19))+B823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798*(MIN(100,(Inputs!$B$9+((C810=TRUE)*(F810-Calc!F19))+B823+(ArtifactsInput!$M$24-ArtifactsInput!$M$24)*CHOOSE(ArtifactsInput!$N$24+1,10,12,14,16,18,20)+(IF(AND(ArtifactsInput!$M$42,((Inputs!$B$9+((C810=TRUE)*(F810-Calc!F19))+B823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798">
        <f>IF(C798,(H798*N798*IF(AND(Inputs!$B$38&lt;&gt;"pvp",Inputs!$B$43&gt;0),((Skills!G7*((R798-1)*IF(Skills!H7&gt;0,Skills!I7/Skills!H7,1)+IF(Skills!H7&gt;0,MIN(Skills!I7,MAX(0,MAX(0,Inputs!$B$43-B830)-((R798-1)*IF(Inputs!$B$38="pvp",15,MAX(0.1,Skills!D7-IF(Skills!E7=TRUE,Inputs!$B$32,0))))))/Skills!H7,1)))/Inputs!$B$43),G798*Q798))*IF(Inputs!$B$38="pvp",1,(1+(Inputs!$B$21+Skills!Q7+(IF(ArtifactsInput!$M$33,CHOOSE(ArtifactsInput!$N$33+1,30,36,42,48,54,60),0))+(IF(AND(ArtifactsInput!$M$35,Inputs!$B$4&lt;&gt;"Chapter Hunt"),CHOOSE(ArtifactsInput!$N$35+1,15,18,21,24,27,30)*(1-EXP(-(0.2*B825)*5)),0)+IF(AND(ArtifactsInput!$M$22,Inputs!$B$4&lt;&gt;"Chapter Hunt"),CHOOSE(ArtifactsInput!$N$22+1,10,12,14,16,18,20)*((0*(((0.15*B825*5))^0/1)+1*(((0.15*B825*5))^1/1)+2*(((0.15*B825*5))^2/2)+3*(((0.15*B825*5))^3/6)+4*(((0.15*B825*5))^4/24)+5*(((0.15*B825*5))^5/120))/((((0.15*B825*5))^0/1)+(((0.15*B825*5))^1/1)+(((0.15*B825*5))^2/2)+(((0.15*B825*5))^3/6)+(((0.15*B825*5))^4/24)+(((0.15*B825*5))^5/120))),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799">
      <c r="A799">
        <f>Skills!A8</f>
        <v/>
      </c>
      <c r="B799">
        <f>Skills!B8</f>
        <v/>
      </c>
      <c r="C799">
        <f>Inputs!$B$3&gt;=100</f>
        <v/>
      </c>
      <c r="D799">
        <f>IF(Skills!C8=1,60+(Inputs!$B$25+1)+Inputs!$B$29,IF(Skills!C8=2,90+Inputs!$B$26+Inputs!$B$29,IF(Skills!C8=3,120+Inputs!$B$27+Inputs!$B$29,MAX(0,(Inputs!$B$3-100)*3)+Inputs!$B$28+Inputs!$B$29)))</f>
        <v/>
      </c>
      <c r="E799">
        <f>INDEX(FactorTable!$B$2:$Y$301, MATCH(ROUND(MIN(300,MAX(1,D799)),0), FactorTable!$A$2:$A$301,0), Skills!M8+1)</f>
        <v/>
      </c>
      <c r="F799">
        <f>IF(Skills!N8=TRUE,(Skills!L8/10)*(E799/1000),Skills!L8/10)+Skills!O8</f>
        <v/>
      </c>
      <c r="G799" t="inlineStr"/>
      <c r="H799" t="inlineStr"/>
      <c r="I799" t="inlineStr">
        <is>
          <t>1</t>
        </is>
      </c>
      <c r="J799" t="inlineStr"/>
      <c r="K799" t="inlineStr"/>
      <c r="L799" t="inlineStr"/>
      <c r="M799" t="inlineStr"/>
      <c r="N799" t="inlineStr"/>
      <c r="O799" t="inlineStr"/>
      <c r="P799" t="inlineStr"/>
      <c r="Q799" t="inlineStr"/>
      <c r="R799" t="inlineStr"/>
      <c r="S799" t="inlineStr"/>
      <c r="T799" t="inlineStr"/>
      <c r="V799" t="inlineStr"/>
    </row>
    <row r="800">
      <c r="A800">
        <f>Skills!A9</f>
        <v/>
      </c>
      <c r="B800">
        <f>Skills!B9</f>
        <v/>
      </c>
      <c r="C800">
        <f>Inputs!$B$3&gt;=103</f>
        <v/>
      </c>
      <c r="D800">
        <f>IF(Skills!C9=1,60+(Inputs!$B$25+1)+Inputs!$B$29,IF(Skills!C9=2,90+Inputs!$B$26+Inputs!$B$29,IF(Skills!C9=3,120+Inputs!$B$27+Inputs!$B$29,MAX(0,(Inputs!$B$3-100)*3)+Inputs!$B$28+Inputs!$B$29)))</f>
        <v/>
      </c>
      <c r="E800">
        <f>INDEX(FactorTable!$B$2:$Y$301, MATCH(ROUND(MIN(300,MAX(1,D800)),0), FactorTable!$A$2:$A$301,0), Skills!M9+1)</f>
        <v/>
      </c>
      <c r="F800">
        <f>IF(Skills!N9=TRUE,(Skills!L9/10)*(E800/1000),Skills!L9/10)+Skills!O9</f>
        <v/>
      </c>
      <c r="G800">
        <f>Skills!G9*IF(Skills!H9&gt;0,Skills!I9/Skills!H9,1)</f>
        <v/>
      </c>
      <c r="H800">
        <f>1-(1-Skills!J9/100)^Skills!K9</f>
        <v/>
      </c>
      <c r="I800" t="inlineStr">
        <is>
          <t>1</t>
        </is>
      </c>
      <c r="J800">
        <f>((Inputs!$B$6*(1+Inputs!$B$7/100))+(((Inputs!$B$12*(1+Inputs!$B$13/100))-(Inputs!$B$12*(1+Inputs!$B$13/100)))+0.25*(Inputs!$B$14-Inputs!$B$14))*(1+Inputs!$B$7/100))*(F800/100)</f>
        <v/>
      </c>
      <c r="K800">
        <f>J800*(1+((Inputs!$B$12*(1+Inputs!$B$13/100))*0.01+Inputs!$B$14*0.0025)/100)*(1+Inputs!$B$15/100)*(1+Inputs!$B$16/100)*(5000/(6000+Inputs!$B$42*(1-(100*(1-(1-(Inputs!$B$19+0)/100)*(1-CHOOSE(ArtifactsInput!$N$40+1,5,6,7,8,9,10)/100)^(ArtifactsInput!$M$40-ArtifactsInput!$M$40)))/100)))*(1+(Inputs!$B$24+((C815=TRUE)*(F815-Calc!F24))+((C816=TRUE)*(F816-Calc!F25))+B829)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EMPOWERED_PIERCING_ARROW",Inputs!$B$17+((C813=TRUE)*(F813-Calc!F22))+(((IF(AND(ArtifactsInput!$M$42,((Inputs!$B$9+((C810=TRUE)*(F810-Calc!F19))+B823+(ArtifactsInput!$M$24-ArtifactsInput!$M$24)*CHOOSE(ArtifactsInput!$N$24+1,10,12,14,16,18,20)+IF(ArtifactsInput!$M$10,CHOOSE(ArtifactsInput!$N$10+1,15,18,21,24,27,30)*(IF(Inputs!$B$38="pvp",MIN(15,15)/15,IF(AND(Inputs!$B$38&lt;&gt;"pvp",Inputs!$B$43&gt;0),MIN(15,Inputs!$B$43)/(Inputs!$B$43),0))),0)))&gt;=100),MIN(100,((Inputs!$B$9+((C810=TRUE)*(F810-Calc!F19))+B823+(ArtifactsInput!$M$24-ArtifactsInput!$M$24)*CHOOSE(ArtifactsInput!$N$24+1,10,12,14,16,18,20)+IF(ArtifactsInput!$M$10,CHOOSE(ArtifactsInput!$N$10+1,15,18,21,24,27,30)*(IF(Inputs!$B$38="pvp",MIN(15,15)/15,IF(AND(Inputs!$B$38&lt;&gt;"pvp",Inputs!$B$43&gt;0),MIN(15,Inputs!$B$43)/(Inputs!$B$43),0))),0)))-100),0))*CHOOSE(ArtifactsInput!$N$42+1,0.6,0.72,0.84,0.96,1.08,1.2))),Inputs!$B$18+((C818=TRUE)*(F818-Calc!F27))+(IF(AND(ArtifactsInput!$M$42,((Inputs!$B$9+((C810=TRUE)*(F810-Calc!F19))+B823+(ArtifactsInput!$M$24-ArtifactsInput!$M$24)*CHOOSE(ArtifactsInput!$N$24+1,10,12,14,16,18,20)+IF(ArtifactsInput!$M$10,CHOOSE(ArtifactsInput!$N$10+1,15,18,21,24,27,30)*(IF(Inputs!$B$38="pvp",MIN(15,15)/15,IF(AND(Inputs!$B$38&lt;&gt;"pvp",Inputs!$B$43&gt;0),MIN(15,Inputs!$B$43)/(Inputs!$B$43),0))),0)))&gt;=100),CHOOSE(ArtifactsInput!$N$42+1,40,48,56,64,72,80),0))))/100)*((1+(((C804=TRUE)*F804)+((C805=TRUE)*IF(Inputs!$B$38="pvp",F805,(1-Summary!$B$11)*(F805)+Summary!$B$11*(0)))+((C806=TRUE)*F806*IF(AND(Inputs!$B$38&lt;&gt;"pvp",Inputs!$B$43&gt;0),(((R806-1)*(Skills!T15*(1+Inputs!$B$34/100))+MIN((Skills!T15*(1+Inputs!$B$34/100)),MAX(0,Inputs!$B$43-((R806-1)*Skills!D15))))/Inputs!$B$43),IF(Inputs!$B$38="pvp",MIN((Skills!T15*(1+Inputs!$B$34/100)),15)/15,(Skills!T15*(1+Inputs!$B$34/100))/Skills!D15)))+((C803=TRUE)*F803)+((C820=TRUE)*(F820-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800)</f>
        <v/>
      </c>
      <c r="L800">
        <f>K800*(MIN(Inputs!$B$22+((C814=TRUE)*(F814-Calc!F23)),(Inputs!$B$23+((C819=TRUE)*(F819-Calc!F28))+(IF(ArtifactsInput!$M$15,CHOOSE(ArtifactsInput!$N$15+1,25,30,35,40,45,50)/100*(Inputs!$B$11-Inputs!$B$11),0))))/100+(Inputs!$B$23+((C819=TRUE)*(F819-Calc!F28))+(IF(ArtifactsInput!$M$15,CHOOSE(ArtifactsInput!$N$15+1,25,30,35,40,45,50)/100*(Inputs!$B$11-Inputs!$B$11),0)))/100)/2</f>
        <v/>
      </c>
      <c r="M800">
        <f>L800*(1+(Inputs!$B$10+0+B828+(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800">
        <f>L800*(1-MIN((Inputs!$B$9+((C810=TRUE)*(F810-Calc!F19))+B823+(ArtifactsInput!$M$24-ArtifactsInput!$M$24)*CHOOSE(ArtifactsInput!$N$24+1,10,12,14,16,18,20)+(IF(AND(ArtifactsInput!$M$42,((Inputs!$B$9+((C810=TRUE)*(F810-Calc!F19))+B823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800*(MIN((Inputs!$B$9+((C810=TRUE)*(F810-Calc!F19))+B823+(ArtifactsInput!$M$24-ArtifactsInput!$M$24)*CHOOSE(ArtifactsInput!$N$24+1,10,12,14,16,18,20)+(IF(AND(ArtifactsInput!$M$42,((Inputs!$B$9+((C810=TRUE)*(F810-Calc!F19))+B823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800">
        <f>(1-Summary!$B$11)*T800+Summary!$B$11*V800</f>
        <v/>
      </c>
      <c r="P800">
        <f>IF(B833=0,0,O800/B833)</f>
        <v/>
      </c>
      <c r="Q800">
        <f>IFERROR(1/IF(Inputs!$B$38="pvp",15,MAX(0.1,Skills!D9-IF(Skills!E9=TRUE,Inputs!$B$32,0))),0)</f>
        <v/>
      </c>
      <c r="R800">
        <f>IF(AND(Inputs!$B$38&lt;&gt;"pvp",Inputs!$B$43&gt;0),IF(MAX(0,Inputs!$B$43-B830)&lt;=0,0,(INT(MAX(0,Inputs!$B$43-B830)/IF(Inputs!$B$38="pvp",15,MAX(0.1,Skills!D9-IF(Skills!E9=TRUE,Inputs!$B$32,0))))+1)),0)</f>
        <v/>
      </c>
      <c r="S800">
        <f>IFERROR((H800*N800*IF(AND(Inputs!$B$38&lt;&gt;"pvp",Inputs!$B$43&gt;0),((Skills!G9*((R800-1)*IF(Skills!H9&gt;0,Skills!I9/Skills!H9,1)+IF(Skills!H9&gt;0,MIN(Skills!I9,MAX(0,MAX(0,Inputs!$B$43-B830)-((R800-1)*IF(Inputs!$B$38="pvp",15,MAX(0.1,Skills!D9-IF(Skills!E9=TRUE,Inputs!$B$32,0))))))/Skills!H9,1)))/Inputs!$B$43),G800*Q800))/N800*IF(Inputs!$B$38="pvp",1,(1-Summary!$B$11)*1+Summary!$B$11*(MIN(Skills!R9,Inputs!$B$37))),0)</f>
        <v/>
      </c>
      <c r="T800">
        <f>IF(C800,(H800*N800*IF(AND(Inputs!$B$38&lt;&gt;"pvp",Inputs!$B$43&gt;0),((Skills!G9*((R800-1)*IF(Skills!H9&gt;0,Skills!I9/Skills!H9,1)+IF(Skills!H9&gt;0,MIN(Skills!I9,MAX(0,MAX(0,Inputs!$B$43-B830)-((R800-1)*IF(Inputs!$B$38="pvp",15,MAX(0.1,Skills!D9-IF(Skills!E9=TRUE,Inputs!$B$32,0))))))/Skills!H9,1)))/Inputs!$B$43),G800*Q800))*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Hunt"),CHOOSE(ArtifactsInput!$N$35+1,15,18,21,24,27,30)*(1-EXP(-(0.2*B825)*5)),0)+IF(AND(ArtifactsInput!$M$22,Inputs!$B$4&lt;&gt;"Chapter Hunt"),CHOOSE(ArtifactsInput!$N$22+1,10,12,14,16,18,20)*((0*(((0.15*B825*5))^0/1)+1*(((0.15*B825*5))^1/1)+2*(((0.15*B825*5))^2/2)+3*(((0.15*B825*5))^3/6)+4*(((0.15*B825*5))^4/24)+5*(((0.15*B825*5))^5/120))/((((0.15*B825*5))^0/1)+(((0.15*B825*5))^1/1)+(((0.15*B825*5))^2/2)+(((0.15*B825*5))^3/6)+(((0.15*B825*5))^4/24)+(((0.15*B825*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800*(1-MIN(100,(Inputs!$B$9+((C810=TRUE)*(F810-Calc!F19))+B823+(ArtifactsInput!$M$24-ArtifactsInput!$M$24)*CHOOSE(ArtifactsInput!$N$24+1,10,12,14,16,18,20)+(IF(AND(ArtifactsInput!$M$42,((Inputs!$B$9+((C810=TRUE)*(F810-Calc!F19))+B823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800*(MIN(100,(Inputs!$B$9+((C810=TRUE)*(F810-Calc!F19))+B823+(ArtifactsInput!$M$24-ArtifactsInput!$M$24)*CHOOSE(ArtifactsInput!$N$24+1,10,12,14,16,18,20)+(IF(AND(ArtifactsInput!$M$42,((Inputs!$B$9+((C810=TRUE)*(F810-Calc!F19))+B823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800*(1-MIN(100,(Inputs!$B$9+((C810=TRUE)*(F810-Calc!F19))+B823+(ArtifactsInput!$M$24-ArtifactsInput!$M$24)*CHOOSE(ArtifactsInput!$N$24+1,10,12,14,16,18,20)+(IF(AND(ArtifactsInput!$M$42,((Inputs!$B$9+((C810=TRUE)*(F810-Calc!F19))+B823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800*(MIN(100,(Inputs!$B$9+((C810=TRUE)*(F810-Calc!F19))+B823+(ArtifactsInput!$M$24-ArtifactsInput!$M$24)*CHOOSE(ArtifactsInput!$N$24+1,10,12,14,16,18,20)+(IF(AND(ArtifactsInput!$M$42,((Inputs!$B$9+((C810=TRUE)*(F810-Calc!F19))+B823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800">
        <f>IF(C800,(H800*N800*IF(AND(Inputs!$B$38&lt;&gt;"pvp",Inputs!$B$43&gt;0),((Skills!G9*((R800-1)*IF(Skills!H9&gt;0,Skills!I9/Skills!H9,1)+IF(Skills!H9&gt;0,MIN(Skills!I9,MAX(0,MAX(0,Inputs!$B$43-B830)-((R800-1)*IF(Inputs!$B$38="pvp",15,MAX(0.1,Skills!D9-IF(Skills!E9=TRUE,Inputs!$B$32,0))))))/Skills!H9,1)))/Inputs!$B$43),G800*Q800))*IF(Inputs!$B$38="pvp",1,(1+(Inputs!$B$21+Skills!Q9+(IF(ArtifactsInput!$M$33,CHOOSE(ArtifactsInput!$N$33+1,30,36,42,48,54,60),0))+(IF(AND(ArtifactsInput!$M$35,Inputs!$B$4&lt;&gt;"Chapter Hunt"),CHOOSE(ArtifactsInput!$N$35+1,15,18,21,24,27,30)*(1-EXP(-(0.2*B825)*5)),0)+IF(AND(ArtifactsInput!$M$22,Inputs!$B$4&lt;&gt;"Chapter Hunt"),CHOOSE(ArtifactsInput!$N$22+1,10,12,14,16,18,20)*((0*(((0.15*B825*5))^0/1)+1*(((0.15*B825*5))^1/1)+2*(((0.15*B825*5))^2/2)+3*(((0.15*B825*5))^3/6)+4*(((0.15*B825*5))^4/24)+5*(((0.15*B825*5))^5/120))/((((0.15*B825*5))^0/1)+(((0.15*B825*5))^1/1)+(((0.15*B825*5))^2/2)+(((0.15*B825*5))^3/6)+(((0.15*B825*5))^4/24)+(((0.15*B825*5))^5/120)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801">
      <c r="A801">
        <f>Skills!A10</f>
        <v/>
      </c>
      <c r="B801">
        <f>Skills!B10</f>
        <v/>
      </c>
      <c r="C801">
        <f>Inputs!$B$3&gt;=107</f>
        <v/>
      </c>
      <c r="D801">
        <f>IF(Skills!C10=1,60+(Inputs!$B$25+1)+Inputs!$B$29,IF(Skills!C10=2,90+Inputs!$B$26+Inputs!$B$29,IF(Skills!C10=3,120+Inputs!$B$27+Inputs!$B$29,MAX(0,(Inputs!$B$3-100)*3)+Inputs!$B$28+Inputs!$B$29)))</f>
        <v/>
      </c>
      <c r="E801">
        <f>INDEX(FactorTable!$B$2:$Y$301, MATCH(ROUND(MIN(300,MAX(1,D801)),0), FactorTable!$A$2:$A$301,0), Skills!M10+1)</f>
        <v/>
      </c>
      <c r="F801">
        <f>IF(Skills!N10=TRUE,(Skills!L10/10)*(E801/1000),Skills!L10/10)+Skills!O10</f>
        <v/>
      </c>
      <c r="G801">
        <f>Skills!G10*IF(Skills!H10&gt;0,Skills!I10/Skills!H10,1)</f>
        <v/>
      </c>
      <c r="H801">
        <f>1-(1-Skills!J10/100)^Skills!K10</f>
        <v/>
      </c>
      <c r="I801" t="inlineStr">
        <is>
          <t>1</t>
        </is>
      </c>
      <c r="J801">
        <f>((Inputs!$B$6*(1+Inputs!$B$7/100))+(((Inputs!$B$12*(1+Inputs!$B$13/100))-(Inputs!$B$12*(1+Inputs!$B$13/100)))+0.25*(Inputs!$B$14-Inputs!$B$14))*(1+Inputs!$B$7/100))*(F801/100)</f>
        <v/>
      </c>
      <c r="K801">
        <f>J801*(1+((Inputs!$B$12*(1+Inputs!$B$13/100))*0.01+Inputs!$B$14*0.0025)/100)*(1+Inputs!$B$15/100)*(1+Inputs!$B$16/100)*(5000/(6000+Inputs!$B$42*(1-(100*(1-(1-(Inputs!$B$19+0)/100)*(1-CHOOSE(ArtifactsInput!$N$40+1,5,6,7,8,9,10)/100)^(ArtifactsInput!$M$40-ArtifactsInput!$M$40)))/100)))*(1+(Inputs!$B$24+((C815=TRUE)*(F815-Calc!F24))+((C816=TRUE)*(F816-Calc!F25))+B829)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EMPOWERED_PIERCING_ARROW",Inputs!$B$17+((C813=TRUE)*(F813-Calc!F22))+(((IF(AND(ArtifactsInput!$M$42,((Inputs!$B$9+((C810=TRUE)*(F810-Calc!F19))+B823+(ArtifactsInput!$M$24-ArtifactsInput!$M$24)*CHOOSE(ArtifactsInput!$N$24+1,10,12,14,16,18,20)+IF(ArtifactsInput!$M$10,CHOOSE(ArtifactsInput!$N$10+1,15,18,21,24,27,30)*(IF(Inputs!$B$38="pvp",MIN(15,15)/15,IF(AND(Inputs!$B$38&lt;&gt;"pvp",Inputs!$B$43&gt;0),MIN(15,Inputs!$B$43)/(Inputs!$B$43),0))),0)))&gt;=100),MIN(100,((Inputs!$B$9+((C810=TRUE)*(F810-Calc!F19))+B823+(ArtifactsInput!$M$24-ArtifactsInput!$M$24)*CHOOSE(ArtifactsInput!$N$24+1,10,12,14,16,18,20)+IF(ArtifactsInput!$M$10,CHOOSE(ArtifactsInput!$N$10+1,15,18,21,24,27,30)*(IF(Inputs!$B$38="pvp",MIN(15,15)/15,IF(AND(Inputs!$B$38&lt;&gt;"pvp",Inputs!$B$43&gt;0),MIN(15,Inputs!$B$43)/(Inputs!$B$43),0))),0)))-100),0))*CHOOSE(ArtifactsInput!$N$42+1,0.6,0.72,0.84,0.96,1.08,1.2))),Inputs!$B$18+((C818=TRUE)*(F818-Calc!F27))+(IF(AND(ArtifactsInput!$M$42,((Inputs!$B$9+((C810=TRUE)*(F810-Calc!F19))+B823+(ArtifactsInput!$M$24-ArtifactsInput!$M$24)*CHOOSE(ArtifactsInput!$N$24+1,10,12,14,16,18,20)+IF(ArtifactsInput!$M$10,CHOOSE(ArtifactsInput!$N$10+1,15,18,21,24,27,30)*(IF(Inputs!$B$38="pvp",MIN(15,15)/15,IF(AND(Inputs!$B$38&lt;&gt;"pvp",Inputs!$B$43&gt;0),MIN(15,Inputs!$B$43)/(Inputs!$B$43),0))),0)))&gt;=100),CHOOSE(ArtifactsInput!$N$42+1,40,48,56,64,72,80),0))))/100)*((1+(((C804=TRUE)*F804)+((C805=TRUE)*IF(Inputs!$B$38="pvp",F805,(1-Summary!$B$11)*(F805)+Summary!$B$11*(0)))+((C806=TRUE)*F806*IF(AND(Inputs!$B$38&lt;&gt;"pvp",Inputs!$B$43&gt;0),(((R806-1)*(Skills!T15*(1+Inputs!$B$34/100))+MIN((Skills!T15*(1+Inputs!$B$34/100)),MAX(0,Inputs!$B$43-((R806-1)*Skills!D15))))/Inputs!$B$43),IF(Inputs!$B$38="pvp",MIN((Skills!T15*(1+Inputs!$B$34/100)),15)/15,(Skills!T15*(1+Inputs!$B$34/100))/Skills!D15)))+((C803=TRUE)*F803)+((C820=TRUE)*(F820-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801)</f>
        <v/>
      </c>
      <c r="L801">
        <f>K801*(MIN(Inputs!$B$22+((C814=TRUE)*(F814-Calc!F23)),(Inputs!$B$23+((C819=TRUE)*(F819-Calc!F28))+(IF(ArtifactsInput!$M$15,CHOOSE(ArtifactsInput!$N$15+1,25,30,35,40,45,50)/100*(Inputs!$B$11-Inputs!$B$11),0))))/100+(Inputs!$B$23+((C819=TRUE)*(F819-Calc!F28))+(IF(ArtifactsInput!$M$15,CHOOSE(ArtifactsInput!$N$15+1,25,30,35,40,45,50)/100*(Inputs!$B$11-Inputs!$B$11),0)))/100)/2</f>
        <v/>
      </c>
      <c r="M801">
        <f>L801*(1+(Inputs!$B$10+0+B828+(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801">
        <f>L801*(1-MIN((Inputs!$B$9+((C810=TRUE)*(F810-Calc!F19))+B823+(ArtifactsInput!$M$24-ArtifactsInput!$M$24)*CHOOSE(ArtifactsInput!$N$24+1,10,12,14,16,18,20)+(IF(AND(ArtifactsInput!$M$42,((Inputs!$B$9+((C810=TRUE)*(F810-Calc!F19))+B823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801*(MIN((Inputs!$B$9+((C810=TRUE)*(F810-Calc!F19))+B823+(ArtifactsInput!$M$24-ArtifactsInput!$M$24)*CHOOSE(ArtifactsInput!$N$24+1,10,12,14,16,18,20)+(IF(AND(ArtifactsInput!$M$42,((Inputs!$B$9+((C810=TRUE)*(F810-Calc!F19))+B823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801">
        <f>(1-Summary!$B$11)*T801+Summary!$B$11*V801</f>
        <v/>
      </c>
      <c r="P801">
        <f>IF(B833=0,0,O801/B833)</f>
        <v/>
      </c>
      <c r="Q801" t="n">
        <v>0</v>
      </c>
      <c r="R801" t="n">
        <v>0</v>
      </c>
      <c r="S801" t="n">
        <v>0</v>
      </c>
      <c r="T801">
        <f>IF(C801,(0.15*SUMPRODUCT((Skills!U2:U29=TRUE)*(C793:C820=TRUE)*S793:S820)*Skills!G10*N801)*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Hunt"),CHOOSE(ArtifactsInput!$N$35+1,15,18,21,24,27,30)*(1-EXP(-(0.2*B825)*5)),0)+IF(AND(ArtifactsInput!$M$22,Inputs!$B$4&lt;&gt;"Chapter Hunt"),CHOOSE(ArtifactsInput!$N$22+1,10,12,14,16,18,20)*((0*(((0.15*B825*5))^0/1)+1*(((0.15*B825*5))^1/1)+2*(((0.15*B825*5))^2/2)+3*(((0.15*B825*5))^3/6)+4*(((0.15*B825*5))^4/24)+5*(((0.15*B825*5))^5/120))/((((0.15*B825*5))^0/1)+(((0.15*B825*5))^1/1)+(((0.15*B825*5))^2/2)+(((0.15*B825*5))^3/6)+(((0.15*B825*5))^4/24)+(((0.15*B825*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801*(1-MIN(100,(Inputs!$B$9+((C810=TRUE)*(F810-Calc!F19))+B823+(ArtifactsInput!$M$24-ArtifactsInput!$M$24)*CHOOSE(ArtifactsInput!$N$24+1,10,12,14,16,18,20)+(IF(AND(ArtifactsInput!$M$42,((Inputs!$B$9+((C810=TRUE)*(F810-Calc!F19))+B823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801*(MIN(100,(Inputs!$B$9+((C810=TRUE)*(F810-Calc!F19))+B823+(ArtifactsInput!$M$24-ArtifactsInput!$M$24)*CHOOSE(ArtifactsInput!$N$24+1,10,12,14,16,18,20)+(IF(AND(ArtifactsInput!$M$42,((Inputs!$B$9+((C810=TRUE)*(F810-Calc!F19))+B823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801*(1-MIN(100,(Inputs!$B$9+((C810=TRUE)*(F810-Calc!F19))+B823+(ArtifactsInput!$M$24-ArtifactsInput!$M$24)*CHOOSE(ArtifactsInput!$N$24+1,10,12,14,16,18,20)+(IF(AND(ArtifactsInput!$M$42,((Inputs!$B$9+((C810=TRUE)*(F810-Calc!F19))+B823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801*(MIN(100,(Inputs!$B$9+((C810=TRUE)*(F810-Calc!F19))+B823+(ArtifactsInput!$M$24-ArtifactsInput!$M$24)*CHOOSE(ArtifactsInput!$N$24+1,10,12,14,16,18,20)+(IF(AND(ArtifactsInput!$M$42,((Inputs!$B$9+((C810=TRUE)*(F810-Calc!F19))+B823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801">
        <f>IF(C801,(0.15*SUMPRODUCT((Skills!U2:U29=TRUE)*(C793:C820=TRUE)*S793:S820)*Skills!G10*N801)*IF(Inputs!$B$38="pvp",1,(1+(Inputs!$B$21+Skills!Q10+(IF(ArtifactsInput!$M$33,CHOOSE(ArtifactsInput!$N$33+1,30,36,42,48,54,60),0))+(IF(AND(ArtifactsInput!$M$35,Inputs!$B$4&lt;&gt;"Chapter Hunt"),CHOOSE(ArtifactsInput!$N$35+1,15,18,21,24,27,30)*(1-EXP(-(0.2*B825)*5)),0)+IF(AND(ArtifactsInput!$M$22,Inputs!$B$4&lt;&gt;"Chapter Hunt"),CHOOSE(ArtifactsInput!$N$22+1,10,12,14,16,18,20)*((0*(((0.15*B825*5))^0/1)+1*(((0.15*B825*5))^1/1)+2*(((0.15*B825*5))^2/2)+3*(((0.15*B825*5))^3/6)+4*(((0.15*B825*5))^4/24)+5*(((0.15*B825*5))^5/120))/((((0.15*B825*5))^0/1)+(((0.15*B825*5))^1/1)+(((0.15*B825*5))^2/2)+(((0.15*B825*5))^3/6)+(((0.15*B825*5))^4/24)+(((0.15*B825*5))^5/120)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802">
      <c r="A802">
        <f>Skills!A11</f>
        <v/>
      </c>
      <c r="B802">
        <f>Skills!B11</f>
        <v/>
      </c>
      <c r="C802">
        <f>Inputs!$B$3&gt;=110</f>
        <v/>
      </c>
      <c r="D802">
        <f>IF(Skills!C11=1,60+(Inputs!$B$25+1)+Inputs!$B$29,IF(Skills!C11=2,90+Inputs!$B$26+Inputs!$B$29,IF(Skills!C11=3,120+Inputs!$B$27+Inputs!$B$29,MAX(0,(Inputs!$B$3-100)*3)+Inputs!$B$28+Inputs!$B$29)))</f>
        <v/>
      </c>
      <c r="E802">
        <f>INDEX(FactorTable!$B$2:$Y$301, MATCH(ROUND(MIN(300,MAX(1,D802)),0), FactorTable!$A$2:$A$301,0), Skills!M11+1)</f>
        <v/>
      </c>
      <c r="F802">
        <f>IF(Skills!N11=TRUE,(Skills!L11/10)*(E802/1000),Skills!L11/10)+Skills!O11</f>
        <v/>
      </c>
      <c r="G802">
        <f>Skills!G11*IF(Skills!H11&gt;0,Skills!I11/Skills!H11,1)</f>
        <v/>
      </c>
      <c r="H802">
        <f>1-(1-Skills!J11/100)^Skills!K11</f>
        <v/>
      </c>
      <c r="I802" t="inlineStr">
        <is>
          <t>1</t>
        </is>
      </c>
      <c r="J802">
        <f>((Inputs!$B$6*(1+Inputs!$B$7/100))+(((Inputs!$B$12*(1+Inputs!$B$13/100))-(Inputs!$B$12*(1+Inputs!$B$13/100)))+0.25*(Inputs!$B$14-Inputs!$B$14))*(1+Inputs!$B$7/100))*(F802/100)</f>
        <v/>
      </c>
      <c r="K802">
        <f>J802*(1+((Inputs!$B$12*(1+Inputs!$B$13/100))*0.01+Inputs!$B$14*0.0025)/100)*(1+Inputs!$B$15/100)*(1+Inputs!$B$16/100)*(5000/(6000+Inputs!$B$42*(1-(100*(1-(1-(Inputs!$B$19+0)/100)*(1-CHOOSE(ArtifactsInput!$N$40+1,5,6,7,8,9,10)/100)^(ArtifactsInput!$M$40-ArtifactsInput!$M$40)))/100)))*(1+(Inputs!$B$24+((C815=TRUE)*(F815-Calc!F24))+((C816=TRUE)*(F816-Calc!F25))+B829)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11="EMPOWERED_PIERCING_ARROW",Inputs!$B$17+((C813=TRUE)*(F813-Calc!F22))+(((IF(AND(ArtifactsInput!$M$42,((Inputs!$B$9+((C810=TRUE)*(F810-Calc!F19))+B823+(ArtifactsInput!$M$24-ArtifactsInput!$M$24)*CHOOSE(ArtifactsInput!$N$24+1,10,12,14,16,18,20)+IF(ArtifactsInput!$M$10,CHOOSE(ArtifactsInput!$N$10+1,15,18,21,24,27,30)*(IF(Inputs!$B$38="pvp",MIN(15,15)/15,IF(AND(Inputs!$B$38&lt;&gt;"pvp",Inputs!$B$43&gt;0),MIN(15,Inputs!$B$43)/(Inputs!$B$43),0))),0)))&gt;=100),MIN(100,((Inputs!$B$9+((C810=TRUE)*(F810-Calc!F19))+B823+(ArtifactsInput!$M$24-ArtifactsInput!$M$24)*CHOOSE(ArtifactsInput!$N$24+1,10,12,14,16,18,20)+IF(ArtifactsInput!$M$10,CHOOSE(ArtifactsInput!$N$10+1,15,18,21,24,27,30)*(IF(Inputs!$B$38="pvp",MIN(15,15)/15,IF(AND(Inputs!$B$38&lt;&gt;"pvp",Inputs!$B$43&gt;0),MIN(15,Inputs!$B$43)/(Inputs!$B$43),0))),0)))-100),0))*CHOOSE(ArtifactsInput!$N$42+1,0.6,0.72,0.84,0.96,1.08,1.2))),Inputs!$B$18+((C818=TRUE)*(F818-Calc!F27))+(IF(AND(ArtifactsInput!$M$42,((Inputs!$B$9+((C810=TRUE)*(F810-Calc!F19))+B823+(ArtifactsInput!$M$24-ArtifactsInput!$M$24)*CHOOSE(ArtifactsInput!$N$24+1,10,12,14,16,18,20)+IF(ArtifactsInput!$M$10,CHOOSE(ArtifactsInput!$N$10+1,15,18,21,24,27,30)*(IF(Inputs!$B$38="pvp",MIN(15,15)/15,IF(AND(Inputs!$B$38&lt;&gt;"pvp",Inputs!$B$43&gt;0),MIN(15,Inputs!$B$43)/(Inputs!$B$43),0))),0)))&gt;=100),CHOOSE(ArtifactsInput!$N$42+1,40,48,56,64,72,80),0))))/100)*((1+(((C804=TRUE)*F804)+((C805=TRUE)*IF(Inputs!$B$38="pvp",F805,(1-Summary!$B$11)*(F805)+Summary!$B$11*(0)))+((C806=TRUE)*F806*IF(AND(Inputs!$B$38&lt;&gt;"pvp",Inputs!$B$43&gt;0),(((R806-1)*(Skills!T15*(1+Inputs!$B$34/100))+MIN((Skills!T15*(1+Inputs!$B$34/100)),MAX(0,Inputs!$B$43-((R806-1)*Skills!D15))))/Inputs!$B$43),IF(Inputs!$B$38="pvp",MIN((Skills!T15*(1+Inputs!$B$34/100)),15)/15,(Skills!T15*(1+Inputs!$B$34/100))/Skills!D15)))+((C803=TRUE)*F803)+((C820=TRUE)*(F820-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802)</f>
        <v/>
      </c>
      <c r="L802">
        <f>K802*(MIN(Inputs!$B$22+((C814=TRUE)*(F814-Calc!F23)),(Inputs!$B$23+((C819=TRUE)*(F819-Calc!F28))+(IF(ArtifactsInput!$M$15,CHOOSE(ArtifactsInput!$N$15+1,25,30,35,40,45,50)/100*(Inputs!$B$11-Inputs!$B$11),0))))/100+(Inputs!$B$23+((C819=TRUE)*(F819-Calc!F28))+(IF(ArtifactsInput!$M$15,CHOOSE(ArtifactsInput!$N$15+1,25,30,35,40,45,50)/100*(Inputs!$B$11-Inputs!$B$11),0)))/100)/2</f>
        <v/>
      </c>
      <c r="M802">
        <f>L802*(1+(Inputs!$B$10+0+B828+(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802">
        <f>L802*(1-MIN((Inputs!$B$9+((C810=TRUE)*(F810-Calc!F19))+B823+(ArtifactsInput!$M$24-ArtifactsInput!$M$24)*CHOOSE(ArtifactsInput!$N$24+1,10,12,14,16,18,20)+(IF(AND(ArtifactsInput!$M$42,((Inputs!$B$9+((C810=TRUE)*(F810-Calc!F19))+B823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802*(MIN((Inputs!$B$9+((C810=TRUE)*(F810-Calc!F19))+B823+(ArtifactsInput!$M$24-ArtifactsInput!$M$24)*CHOOSE(ArtifactsInput!$N$24+1,10,12,14,16,18,20)+(IF(AND(ArtifactsInput!$M$42,((Inputs!$B$9+((C810=TRUE)*(F810-Calc!F19))+B823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802">
        <f>(1-Summary!$B$11)*T802+Summary!$B$11*V802</f>
        <v/>
      </c>
      <c r="P802">
        <f>IF(B833=0,0,O802/B833)</f>
        <v/>
      </c>
      <c r="Q802">
        <f>IFERROR(1/IF(Inputs!$B$38="pvp",15,MAX(0.1,Skills!D11-IF(Skills!E11=TRUE,Inputs!$B$32,0))),0)</f>
        <v/>
      </c>
      <c r="R802">
        <f>IF(AND(Inputs!$B$38&lt;&gt;"pvp",Inputs!$B$43&gt;0),IF(MAX(0,Inputs!$B$43-B830)&lt;=0,0,(INT(MAX(0,Inputs!$B$43-B830)/IF(Inputs!$B$38="pvp",15,MAX(0.1,Skills!D11-IF(Skills!E11=TRUE,Inputs!$B$32,0))))+1)),0)</f>
        <v/>
      </c>
      <c r="S802">
        <f>IFERROR((H802*N802*IF(AND(Inputs!$B$38&lt;&gt;"pvp",Inputs!$B$43&gt;0),((Skills!G11*((R802-1)*IF(Skills!H11&gt;0,Skills!I11/Skills!H11,1)+IF(Skills!H11&gt;0,MIN(Skills!I11,MAX(0,MAX(0,Inputs!$B$43-B830)-((R802-1)*IF(Inputs!$B$38="pvp",15,MAX(0.1,Skills!D11-IF(Skills!E11=TRUE,Inputs!$B$32,0))))))/Skills!H11,1)))/Inputs!$B$43),G802*Q802))/N802*IF(Inputs!$B$38="pvp",1,(1-Summary!$B$11)*1+Summary!$B$11*(MIN(Skills!R11,Inputs!$B$37))),0)</f>
        <v/>
      </c>
      <c r="T802">
        <f>IF(C802,(H802*N802*IF(AND(Inputs!$B$38&lt;&gt;"pvp",Inputs!$B$43&gt;0),((Skills!G11*((R802-1)*IF(Skills!H11&gt;0,Skills!I11/Skills!H11,1)+IF(Skills!H11&gt;0,MIN(Skills!I11,MAX(0,MAX(0,Inputs!$B$43-B830)-((R802-1)*IF(Inputs!$B$38="pvp",15,MAX(0.1,Skills!D11-IF(Skills!E11=TRUE,Inputs!$B$32,0))))))/Skills!H11,1)))/Inputs!$B$43),G802*Q802))*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Hunt"),CHOOSE(ArtifactsInput!$N$35+1,15,18,21,24,27,30)*(1-EXP(-(0.2*B825)*5)),0)+IF(AND(ArtifactsInput!$M$22,Inputs!$B$4&lt;&gt;"Chapter Hunt"),CHOOSE(ArtifactsInput!$N$22+1,10,12,14,16,18,20)*((0*(((0.15*B825*5))^0/1)+1*(((0.15*B825*5))^1/1)+2*(((0.15*B825*5))^2/2)+3*(((0.15*B825*5))^3/6)+4*(((0.15*B825*5))^4/24)+5*(((0.15*B825*5))^5/120))/((((0.15*B825*5))^0/1)+(((0.15*B825*5))^1/1)+(((0.15*B825*5))^2/2)+(((0.15*B825*5))^3/6)+(((0.15*B825*5))^4/24)+(((0.15*B825*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802*(1-MIN(100,(Inputs!$B$9+((C810=TRUE)*(F810-Calc!F19))+B823+(ArtifactsInput!$M$24-ArtifactsInput!$M$24)*CHOOSE(ArtifactsInput!$N$24+1,10,12,14,16,18,20)+(IF(AND(ArtifactsInput!$M$42,((Inputs!$B$9+((C810=TRUE)*(F810-Calc!F19))+B823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802*(MIN(100,(Inputs!$B$9+((C810=TRUE)*(F810-Calc!F19))+B823+(ArtifactsInput!$M$24-ArtifactsInput!$M$24)*CHOOSE(ArtifactsInput!$N$24+1,10,12,14,16,18,20)+(IF(AND(ArtifactsInput!$M$42,((Inputs!$B$9+((C810=TRUE)*(F810-Calc!F19))+B823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802*(1-MIN(100,(Inputs!$B$9+((C810=TRUE)*(F810-Calc!F19))+B823+(ArtifactsInput!$M$24-ArtifactsInput!$M$24)*CHOOSE(ArtifactsInput!$N$24+1,10,12,14,16,18,20)+(IF(AND(ArtifactsInput!$M$42,((Inputs!$B$9+((C810=TRUE)*(F810-Calc!F19))+B823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802*(MIN(100,(Inputs!$B$9+((C810=TRUE)*(F810-Calc!F19))+B823+(ArtifactsInput!$M$24-ArtifactsInput!$M$24)*CHOOSE(ArtifactsInput!$N$24+1,10,12,14,16,18,20)+(IF(AND(ArtifactsInput!$M$42,((Inputs!$B$9+((C810=TRUE)*(F810-Calc!F19))+B823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802">
        <f>IF(C802,(H802*N802*IF(AND(Inputs!$B$38&lt;&gt;"pvp",Inputs!$B$43&gt;0),((Skills!G11*((R802-1)*IF(Skills!H11&gt;0,Skills!I11/Skills!H11,1)+IF(Skills!H11&gt;0,MIN(Skills!I11,MAX(0,MAX(0,Inputs!$B$43-B830)-((R802-1)*IF(Inputs!$B$38="pvp",15,MAX(0.1,Skills!D11-IF(Skills!E11=TRUE,Inputs!$B$32,0))))))/Skills!H11,1)))/Inputs!$B$43),G802*Q802))*IF(Inputs!$B$38="pvp",1,(1+(Inputs!$B$21+Skills!Q11+(IF(ArtifactsInput!$M$33,CHOOSE(ArtifactsInput!$N$33+1,30,36,42,48,54,60),0))+(IF(AND(ArtifactsInput!$M$35,Inputs!$B$4&lt;&gt;"Chapter Hunt"),CHOOSE(ArtifactsInput!$N$35+1,15,18,21,24,27,30)*(1-EXP(-(0.2*B825)*5)),0)+IF(AND(ArtifactsInput!$M$22,Inputs!$B$4&lt;&gt;"Chapter Hunt"),CHOOSE(ArtifactsInput!$N$22+1,10,12,14,16,18,20)*((0*(((0.15*B825*5))^0/1)+1*(((0.15*B825*5))^1/1)+2*(((0.15*B825*5))^2/2)+3*(((0.15*B825*5))^3/6)+4*(((0.15*B825*5))^4/24)+5*(((0.15*B825*5))^5/120))/((((0.15*B825*5))^0/1)+(((0.15*B825*5))^1/1)+(((0.15*B825*5))^2/2)+(((0.15*B825*5))^3/6)+(((0.15*B825*5))^4/24)+(((0.15*B825*5))^5/120))),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803">
      <c r="A803">
        <f>Skills!A12</f>
        <v/>
      </c>
      <c r="B803">
        <f>Skills!B12</f>
        <v/>
      </c>
      <c r="C803">
        <f>Inputs!$B$3&gt;=60</f>
        <v/>
      </c>
      <c r="D803">
        <f>IF(Skills!C12=1,60+(Inputs!$B$25+1)+Inputs!$B$29,IF(Skills!C12=2,90+Inputs!$B$26+Inputs!$B$29,IF(Skills!C12=3,120+Inputs!$B$27+Inputs!$B$29,MAX(0,(Inputs!$B$3-100)*3)+Inputs!$B$28+Inputs!$B$29)))</f>
        <v/>
      </c>
      <c r="E803">
        <f>INDEX(FactorTable!$B$2:$Y$301, MATCH(ROUND(MIN(300,MAX(1,D803)),0), FactorTable!$A$2:$A$301,0), Skills!M12+1)</f>
        <v/>
      </c>
      <c r="F803">
        <f>IF(Skills!N12=TRUE,(Skills!L12/10)*(E803/1000),Skills!L12/10)+Skills!O12</f>
        <v/>
      </c>
      <c r="G803">
        <f>Skills!G12*IF(Skills!H12&gt;0,Skills!I12/Skills!H12,1)</f>
        <v/>
      </c>
      <c r="H803">
        <f>1-(1-Skills!J12/100)^Skills!K12</f>
        <v/>
      </c>
      <c r="I803" t="inlineStr">
        <is>
          <t>1</t>
        </is>
      </c>
      <c r="J803" t="inlineStr"/>
      <c r="K803" t="inlineStr"/>
      <c r="L803" t="inlineStr"/>
      <c r="M803" t="inlineStr"/>
      <c r="N803" t="inlineStr"/>
      <c r="O803">
        <f>(1-Summary!$B$11)*T803+Summary!$B$11*V803</f>
        <v/>
      </c>
      <c r="P803">
        <f>IF(B833=0,0,O803/B833)</f>
        <v/>
      </c>
      <c r="Q803" t="n">
        <v>0</v>
      </c>
      <c r="R803" t="n">
        <v>0</v>
      </c>
      <c r="S803" t="n">
        <v>0</v>
      </c>
      <c r="T803" t="n">
        <v>0</v>
      </c>
      <c r="V803" t="n">
        <v>0</v>
      </c>
    </row>
    <row r="804">
      <c r="A804">
        <f>Skills!A13</f>
        <v/>
      </c>
      <c r="B804">
        <f>Skills!B13</f>
        <v/>
      </c>
      <c r="C804">
        <f>Inputs!$B$3&gt;=74</f>
        <v/>
      </c>
      <c r="D804">
        <f>IF(Skills!C13=1,60+(Inputs!$B$25+1)+Inputs!$B$29,IF(Skills!C13=2,90+Inputs!$B$26+Inputs!$B$29,IF(Skills!C13=3,120+Inputs!$B$27+Inputs!$B$29,MAX(0,(Inputs!$B$3-100)*3)+Inputs!$B$28+Inputs!$B$29)))</f>
        <v/>
      </c>
      <c r="E804">
        <f>INDEX(FactorTable!$B$2:$Y$301, MATCH(ROUND(MIN(300,MAX(1,D804)),0), FactorTable!$A$2:$A$301,0), Skills!M13+1)</f>
        <v/>
      </c>
      <c r="F804">
        <f>IF(Skills!N13=TRUE,(Skills!L13/10)*(E804/1000),Skills!L13/10)+Skills!O13</f>
        <v/>
      </c>
      <c r="G804">
        <f>Skills!G13*IF(Skills!H13&gt;0,Skills!I13/Skills!H13,1)</f>
        <v/>
      </c>
      <c r="H804">
        <f>1-(1-Skills!J13/100)^Skills!K13</f>
        <v/>
      </c>
      <c r="I804" t="inlineStr">
        <is>
          <t>1</t>
        </is>
      </c>
      <c r="J804" t="inlineStr"/>
      <c r="K804" t="inlineStr"/>
      <c r="L804" t="inlineStr"/>
      <c r="M804" t="inlineStr"/>
      <c r="N804" t="inlineStr"/>
      <c r="O804">
        <f>(1-Summary!$B$11)*T804+Summary!$B$11*V804</f>
        <v/>
      </c>
      <c r="P804">
        <f>IF(B833=0,0,O804/B833)</f>
        <v/>
      </c>
      <c r="Q804" t="n">
        <v>0</v>
      </c>
      <c r="R804" t="n">
        <v>0</v>
      </c>
      <c r="S804" t="n">
        <v>0</v>
      </c>
      <c r="T804" t="n">
        <v>0</v>
      </c>
      <c r="V804" t="n">
        <v>0</v>
      </c>
    </row>
    <row r="805">
      <c r="A805">
        <f>Skills!A14</f>
        <v/>
      </c>
      <c r="B805">
        <f>Skills!B14</f>
        <v/>
      </c>
      <c r="C805">
        <f>Inputs!$B$3&gt;=74</f>
        <v/>
      </c>
      <c r="D805">
        <f>IF(Skills!C14=1,60+(Inputs!$B$25+1)+Inputs!$B$29,IF(Skills!C14=2,90+Inputs!$B$26+Inputs!$B$29,IF(Skills!C14=3,120+Inputs!$B$27+Inputs!$B$29,MAX(0,(Inputs!$B$3-100)*3)+Inputs!$B$28+Inputs!$B$29)))</f>
        <v/>
      </c>
      <c r="E805">
        <f>INDEX(FactorTable!$B$2:$Y$301, MATCH(ROUND(MIN(300,MAX(1,D805)),0), FactorTable!$A$2:$A$301,0), Skills!M14+1)</f>
        <v/>
      </c>
      <c r="F805">
        <f>IF(Skills!N14=TRUE,(Skills!L14/10)*(E805/1000),Skills!L14/10)+Skills!O14</f>
        <v/>
      </c>
      <c r="G805">
        <f>Skills!G14*IF(Skills!H14&gt;0,Skills!I14/Skills!H14,1)</f>
        <v/>
      </c>
      <c r="H805">
        <f>1-(1-Skills!J14/100)^Skills!K14</f>
        <v/>
      </c>
      <c r="I805" t="inlineStr">
        <is>
          <t>1</t>
        </is>
      </c>
      <c r="J805" t="inlineStr"/>
      <c r="K805" t="inlineStr"/>
      <c r="L805" t="inlineStr"/>
      <c r="M805" t="inlineStr"/>
      <c r="N805" t="inlineStr"/>
      <c r="O805">
        <f>(1-Summary!$B$11)*T805+Summary!$B$11*V805</f>
        <v/>
      </c>
      <c r="P805">
        <f>IF(B833=0,0,O805/B833)</f>
        <v/>
      </c>
      <c r="Q805" t="n">
        <v>0</v>
      </c>
      <c r="R805" t="n">
        <v>0</v>
      </c>
      <c r="S805" t="n">
        <v>0</v>
      </c>
      <c r="T805" t="n">
        <v>0</v>
      </c>
      <c r="V805" t="n">
        <v>0</v>
      </c>
    </row>
    <row r="806">
      <c r="A806">
        <f>Skills!A15</f>
        <v/>
      </c>
      <c r="B806">
        <f>Skills!B15</f>
        <v/>
      </c>
      <c r="C806">
        <f>Inputs!$B$3&gt;=117</f>
        <v/>
      </c>
      <c r="D806">
        <f>IF(Skills!C15=1,60+(Inputs!$B$25+1)+Inputs!$B$29,IF(Skills!C15=2,90+Inputs!$B$26+Inputs!$B$29,IF(Skills!C15=3,120+Inputs!$B$27+Inputs!$B$29,MAX(0,(Inputs!$B$3-100)*3)+Inputs!$B$28+Inputs!$B$29)))</f>
        <v/>
      </c>
      <c r="E806">
        <f>INDEX(FactorTable!$B$2:$Y$301, MATCH(ROUND(MIN(300,MAX(1,D806)),0), FactorTable!$A$2:$A$301,0), Skills!M15+1)</f>
        <v/>
      </c>
      <c r="F806">
        <f>IF(Skills!N15=TRUE,(Skills!L15/10)*(E806/1000),Skills!L15/10)+Skills!O15</f>
        <v/>
      </c>
      <c r="G806">
        <f>Skills!G15*IF(Skills!H15&gt;0,Skills!I15/Skills!H15,1)</f>
        <v/>
      </c>
      <c r="H806">
        <f>1-(1-Skills!J15/100)^Skills!K15</f>
        <v/>
      </c>
      <c r="I806" t="inlineStr">
        <is>
          <t>1</t>
        </is>
      </c>
      <c r="J806" t="inlineStr"/>
      <c r="K806" t="inlineStr"/>
      <c r="L806" t="inlineStr"/>
      <c r="M806" t="inlineStr"/>
      <c r="N806" t="inlineStr"/>
      <c r="O806">
        <f>(1-Summary!$B$11)*T806+Summary!$B$11*V806</f>
        <v/>
      </c>
      <c r="P806">
        <f>IF(B833=0,0,O806/B833)</f>
        <v/>
      </c>
      <c r="Q806">
        <f>IFERROR(1/IF(Inputs!$B$38="pvp",15,MAX(0.1,Skills!D15-IF(Skills!E15=TRUE,Inputs!$B$32,0))),0)</f>
        <v/>
      </c>
      <c r="R806">
        <f>IF(AND(Inputs!$B$38&lt;&gt;"pvp",Inputs!$B$43&gt;0),IF(Inputs!$B$43&lt;=0,0,(INT(Inputs!$B$43/IF(Inputs!$B$38="pvp",15,MAX(0.1,Skills!D15-IF(Skills!E15=TRUE,Inputs!$B$32,0))))+1)),0)</f>
        <v/>
      </c>
      <c r="S806" t="n">
        <v>0</v>
      </c>
      <c r="T806" t="n">
        <v>0</v>
      </c>
      <c r="V806" t="n">
        <v>0</v>
      </c>
    </row>
    <row r="807">
      <c r="A807">
        <f>Skills!A16</f>
        <v/>
      </c>
      <c r="B807">
        <f>Skills!B16</f>
        <v/>
      </c>
      <c r="C807">
        <f>Inputs!$B$3&gt;=115</f>
        <v/>
      </c>
      <c r="D807">
        <f>IF(Skills!C16=1,60+(Inputs!$B$25+1)+Inputs!$B$29,IF(Skills!C16=2,90+Inputs!$B$26+Inputs!$B$29,IF(Skills!C16=3,120+Inputs!$B$27+Inputs!$B$29,MAX(0,(Inputs!$B$3-100)*3)+Inputs!$B$28+Inputs!$B$29)))</f>
        <v/>
      </c>
      <c r="E807">
        <f>INDEX(FactorTable!$B$2:$Y$301, MATCH(ROUND(MIN(300,MAX(1,D807)),0), FactorTable!$A$2:$A$301,0), Skills!M16+1)</f>
        <v/>
      </c>
      <c r="F807">
        <f>IF(Skills!N16=TRUE,(Skills!L16/10)*(E807/1000),Skills!L16/10)+Skills!O16</f>
        <v/>
      </c>
      <c r="G807">
        <f>Skills!G16*IF(Skills!H16&gt;0,Skills!I16/Skills!H16,1)</f>
        <v/>
      </c>
      <c r="H807">
        <f>1-(1-Skills!J16/100)^Skills!K16</f>
        <v/>
      </c>
      <c r="I807" t="inlineStr">
        <is>
          <t>1</t>
        </is>
      </c>
      <c r="J807" t="inlineStr"/>
      <c r="K807" t="inlineStr"/>
      <c r="L807" t="inlineStr"/>
      <c r="M807" t="inlineStr"/>
      <c r="N807" t="inlineStr"/>
      <c r="O807">
        <f>(1-Summary!$B$11)*T807+Summary!$B$11*V807</f>
        <v/>
      </c>
      <c r="P807">
        <f>IF(B833=0,0,O807/B833)</f>
        <v/>
      </c>
      <c r="Q807">
        <f>IFERROR(1/IF(Inputs!$B$38="pvp",15,MAX(0.1,Skills!D16-IF(Skills!E16=TRUE,Inputs!$B$32,0))),0)</f>
        <v/>
      </c>
      <c r="R807">
        <f>IF(AND(Inputs!$B$38&lt;&gt;"pvp",Inputs!$B$43&gt;0),IF(Inputs!$B$43&lt;=0,0,(INT(Inputs!$B$43/IF(Inputs!$B$38="pvp",15,MAX(0.1,Skills!D16-IF(Skills!E16=TRUE,Inputs!$B$32,0))))+1)),0)</f>
        <v/>
      </c>
      <c r="S807" t="n">
        <v>0</v>
      </c>
      <c r="T807" t="n">
        <v>0</v>
      </c>
      <c r="V807" t="n">
        <v>0</v>
      </c>
    </row>
    <row r="808">
      <c r="A808">
        <f>Skills!A17</f>
        <v/>
      </c>
      <c r="B808">
        <f>Skills!B17</f>
        <v/>
      </c>
      <c r="C808">
        <f>Inputs!$B$3&gt;=72</f>
        <v/>
      </c>
      <c r="D808">
        <f>IF(Skills!C17=1,60+(Inputs!$B$25+1)+Inputs!$B$29,IF(Skills!C17=2,90+Inputs!$B$26+Inputs!$B$29,IF(Skills!C17=3,120+Inputs!$B$27+Inputs!$B$29,MAX(0,(Inputs!$B$3-100)*3)+Inputs!$B$28+Inputs!$B$29)))</f>
        <v/>
      </c>
      <c r="E808">
        <f>INDEX(FactorTable!$B$2:$Y$301, MATCH(ROUND(MIN(300,MAX(1,D808)),0), FactorTable!$A$2:$A$301,0), Skills!M17+1)</f>
        <v/>
      </c>
      <c r="F808">
        <f>IF(Skills!N17=TRUE,(Skills!L17/10)*(E808/1000),Skills!L17/10)+Skills!O17</f>
        <v/>
      </c>
      <c r="G808">
        <f>Skills!G17*IF(Skills!H17&gt;0,Skills!I17/Skills!H17,1)</f>
        <v/>
      </c>
      <c r="H808">
        <f>1-(1-Skills!J17/100)^Skills!K17</f>
        <v/>
      </c>
      <c r="I808" t="inlineStr">
        <is>
          <t>1</t>
        </is>
      </c>
      <c r="J808" t="inlineStr"/>
      <c r="K808" t="inlineStr"/>
      <c r="L808" t="inlineStr"/>
      <c r="M808" t="inlineStr"/>
      <c r="N808" t="inlineStr"/>
      <c r="O808">
        <f>(1-Summary!$B$11)*T808+Summary!$B$11*V808</f>
        <v/>
      </c>
      <c r="P808">
        <f>IF(B833=0,0,O808/B833)</f>
        <v/>
      </c>
      <c r="Q808" t="n">
        <v>0</v>
      </c>
      <c r="R808" t="n">
        <v>0</v>
      </c>
      <c r="S808" t="n">
        <v>0</v>
      </c>
      <c r="T808" t="n">
        <v>0</v>
      </c>
      <c r="V808" t="n">
        <v>0</v>
      </c>
    </row>
    <row r="809">
      <c r="A809">
        <f>Skills!A18</f>
        <v/>
      </c>
      <c r="B809">
        <f>Skills!B18</f>
        <v/>
      </c>
      <c r="C809">
        <f>TRUE</f>
        <v/>
      </c>
      <c r="D809">
        <f>IF(Skills!C18=1,60+(Inputs!$B$25+1)+Inputs!$B$29,IF(Skills!C18=2,90+Inputs!$B$26+Inputs!$B$29,IF(Skills!C18=3,120+Inputs!$B$27+Inputs!$B$29,MAX(0,(Inputs!$B$3-100)*3)+Inputs!$B$28+Inputs!$B$29)))</f>
        <v/>
      </c>
      <c r="E809">
        <f>INDEX(FactorTable!$B$2:$Y$301, MATCH(ROUND(MIN(300,MAX(1,D809)),0), FactorTable!$A$2:$A$301,0), Skills!M18+1)</f>
        <v/>
      </c>
      <c r="F809">
        <f>IF(Skills!N18=TRUE,(Skills!L18/10)*(E809/1000),Skills!L18/10)+Skills!O18</f>
        <v/>
      </c>
      <c r="G809">
        <f>Skills!G18*IF(Skills!H18&gt;0,Skills!I18/Skills!H18,1)</f>
        <v/>
      </c>
      <c r="H809">
        <f>1-(1-Skills!J18/100)^Skills!K18</f>
        <v/>
      </c>
      <c r="I809" t="inlineStr">
        <is>
          <t>1</t>
        </is>
      </c>
      <c r="J809" t="inlineStr"/>
      <c r="K809" t="inlineStr"/>
      <c r="L809" t="inlineStr"/>
      <c r="M809" t="inlineStr"/>
      <c r="N809" t="inlineStr"/>
      <c r="O809">
        <f>(1-Summary!$B$11)*T809+Summary!$B$11*V809</f>
        <v/>
      </c>
      <c r="P809">
        <f>IF(B833=0,0,O809/B833)</f>
        <v/>
      </c>
      <c r="Q809">
        <f>IFERROR(1/IF(Inputs!$B$38="pvp",15,MAX(0.1,Skills!D18-IF(Skills!E18=TRUE,Inputs!$B$32,0))),0)</f>
        <v/>
      </c>
      <c r="R809">
        <f>IF(AND(Inputs!$B$38&lt;&gt;"pvp",Inputs!$B$43&gt;0),IF(Inputs!$B$43&lt;=0,0,(INT(Inputs!$B$43/IF(Inputs!$B$38="pvp",15,MAX(0.1,Skills!D18-IF(Skills!E18=TRUE,Inputs!$B$32,0))))+1)),0)</f>
        <v/>
      </c>
      <c r="S809" t="n">
        <v>0</v>
      </c>
      <c r="T809" t="n">
        <v>0</v>
      </c>
      <c r="V809" t="n">
        <v>0</v>
      </c>
    </row>
    <row r="810">
      <c r="A810">
        <f>Skills!A19</f>
        <v/>
      </c>
      <c r="B810">
        <f>Skills!B19</f>
        <v/>
      </c>
      <c r="C810">
        <f>Inputs!$B$3&gt;=15</f>
        <v/>
      </c>
      <c r="D810">
        <f>IF(Skills!C19=1,60+(Inputs!$B$25+1)+Inputs!$B$29,IF(Skills!C19=2,90+Inputs!$B$26+Inputs!$B$29,IF(Skills!C19=3,120+Inputs!$B$27+Inputs!$B$29,MAX(0,(Inputs!$B$3-100)*3)+Inputs!$B$28+Inputs!$B$29)))</f>
        <v/>
      </c>
      <c r="E810">
        <f>INDEX(FactorTable!$B$2:$Y$301, MATCH(ROUND(MIN(300,MAX(1,D810)),0), FactorTable!$A$2:$A$301,0), Skills!M19+1)</f>
        <v/>
      </c>
      <c r="F810">
        <f>IF(Skills!N19=TRUE,(Skills!L19/10)*(E810/1000),Skills!L19/10)+Skills!O19</f>
        <v/>
      </c>
      <c r="G810">
        <f>Skills!G19*IF(Skills!H19&gt;0,Skills!I19/Skills!H19,1)</f>
        <v/>
      </c>
      <c r="H810">
        <f>1-(1-Skills!J19/100)^Skills!K19</f>
        <v/>
      </c>
      <c r="I810" t="inlineStr">
        <is>
          <t>1</t>
        </is>
      </c>
      <c r="J810" t="inlineStr"/>
      <c r="K810" t="inlineStr"/>
      <c r="L810" t="inlineStr"/>
      <c r="M810" t="inlineStr"/>
      <c r="N810" t="inlineStr"/>
      <c r="O810">
        <f>(1-Summary!$B$11)*T810+Summary!$B$11*V810</f>
        <v/>
      </c>
      <c r="P810">
        <f>IF(B833=0,0,O810/B833)</f>
        <v/>
      </c>
      <c r="Q810" t="n">
        <v>0</v>
      </c>
      <c r="R810" t="n">
        <v>0</v>
      </c>
      <c r="S810" t="n">
        <v>0</v>
      </c>
      <c r="T810" t="n">
        <v>0</v>
      </c>
      <c r="V810" t="n">
        <v>0</v>
      </c>
    </row>
    <row r="811">
      <c r="A811">
        <f>Skills!A20</f>
        <v/>
      </c>
      <c r="B811">
        <f>Skills!B20</f>
        <v/>
      </c>
      <c r="C811">
        <f>Inputs!$B$3&gt;=10</f>
        <v/>
      </c>
      <c r="D811">
        <f>IF(Skills!C20=1,60+(Inputs!$B$25+1)+Inputs!$B$29,IF(Skills!C20=2,90+Inputs!$B$26+Inputs!$B$29,IF(Skills!C20=3,120+Inputs!$B$27+Inputs!$B$29,MAX(0,(Inputs!$B$3-100)*3)+Inputs!$B$28+Inputs!$B$29)))</f>
        <v/>
      </c>
      <c r="E811">
        <f>INDEX(FactorTable!$B$2:$Y$301, MATCH(ROUND(MIN(300,MAX(1,D811)),0), FactorTable!$A$2:$A$301,0), Skills!M20+1)</f>
        <v/>
      </c>
      <c r="F811">
        <f>IF(Skills!N20=TRUE,(Skills!L20/10)*(E811/1000),Skills!L20/10)+Skills!O20</f>
        <v/>
      </c>
      <c r="G811">
        <f>Skills!G20*IF(Skills!H20&gt;0,Skills!I20/Skills!H20,1)</f>
        <v/>
      </c>
      <c r="H811">
        <f>1-(1-Skills!J20/100)^Skills!K20</f>
        <v/>
      </c>
      <c r="I811" t="inlineStr">
        <is>
          <t>1</t>
        </is>
      </c>
      <c r="J811" t="inlineStr"/>
      <c r="K811" t="inlineStr"/>
      <c r="L811" t="inlineStr"/>
      <c r="M811" t="inlineStr"/>
      <c r="N811" t="inlineStr"/>
      <c r="O811">
        <f>(1-Summary!$B$11)*T811+Summary!$B$11*V811</f>
        <v/>
      </c>
      <c r="P811">
        <f>IF(B833=0,0,O811/B833)</f>
        <v/>
      </c>
      <c r="Q811" t="n">
        <v>0</v>
      </c>
      <c r="R811" t="n">
        <v>0</v>
      </c>
      <c r="S811" t="n">
        <v>0</v>
      </c>
      <c r="T811" t="n">
        <v>0</v>
      </c>
      <c r="V811" t="n">
        <v>0</v>
      </c>
    </row>
    <row r="812">
      <c r="A812">
        <f>Skills!A21</f>
        <v/>
      </c>
      <c r="B812">
        <f>Skills!B21</f>
        <v/>
      </c>
      <c r="C812">
        <f>Inputs!$B$3&gt;=33</f>
        <v/>
      </c>
      <c r="D812">
        <f>IF(Skills!C21=1,60+(Inputs!$B$25+1)+Inputs!$B$29,IF(Skills!C21=2,90+Inputs!$B$26+Inputs!$B$29,IF(Skills!C21=3,120+Inputs!$B$27+Inputs!$B$29,MAX(0,(Inputs!$B$3-100)*3)+Inputs!$B$28+Inputs!$B$29)))</f>
        <v/>
      </c>
      <c r="E812">
        <f>INDEX(FactorTable!$B$2:$Y$301, MATCH(ROUND(MIN(300,MAX(1,D812)),0), FactorTable!$A$2:$A$301,0), Skills!M21+1)</f>
        <v/>
      </c>
      <c r="F812">
        <f>IF(Skills!N21=TRUE,(Skills!L21/10)*(E812/1000),Skills!L21/10)+Skills!O21</f>
        <v/>
      </c>
      <c r="G812">
        <f>Skills!G21*IF(Skills!H21&gt;0,Skills!I21/Skills!H21,1)</f>
        <v/>
      </c>
      <c r="H812">
        <f>1-(1-Skills!J21/100)^Skills!K21</f>
        <v/>
      </c>
      <c r="I812" t="inlineStr">
        <is>
          <t>1</t>
        </is>
      </c>
      <c r="J812" t="inlineStr"/>
      <c r="K812" t="inlineStr"/>
      <c r="L812" t="inlineStr"/>
      <c r="M812" t="inlineStr"/>
      <c r="N812" t="inlineStr"/>
      <c r="O812">
        <f>(1-Summary!$B$11)*T812+Summary!$B$11*V812</f>
        <v/>
      </c>
      <c r="P812">
        <f>IF(B833=0,0,O812/B833)</f>
        <v/>
      </c>
      <c r="Q812" t="n">
        <v>0</v>
      </c>
      <c r="R812" t="n">
        <v>0</v>
      </c>
      <c r="S812" t="n">
        <v>0</v>
      </c>
      <c r="T812" t="n">
        <v>0</v>
      </c>
      <c r="V812" t="n">
        <v>0</v>
      </c>
    </row>
    <row r="813">
      <c r="A813">
        <f>Skills!A22</f>
        <v/>
      </c>
      <c r="B813">
        <f>Skills!B22</f>
        <v/>
      </c>
      <c r="C813">
        <f>Inputs!$B$3&gt;=38</f>
        <v/>
      </c>
      <c r="D813">
        <f>IF(Skills!C22=1,60+(Inputs!$B$25+1)+Inputs!$B$29,IF(Skills!C22=2,90+Inputs!$B$26+Inputs!$B$29,IF(Skills!C22=3,120+Inputs!$B$27+Inputs!$B$29,MAX(0,(Inputs!$B$3-100)*3)+Inputs!$B$28+Inputs!$B$29)))</f>
        <v/>
      </c>
      <c r="E813">
        <f>INDEX(FactorTable!$B$2:$Y$301, MATCH(ROUND(MIN(300,MAX(1,D813)),0), FactorTable!$A$2:$A$301,0), Skills!M22+1)</f>
        <v/>
      </c>
      <c r="F813">
        <f>IF(Skills!N22=TRUE,(Skills!L22/10)*(E813/1000),Skills!L22/10)+Skills!O22</f>
        <v/>
      </c>
      <c r="G813">
        <f>Skills!G22*IF(Skills!H22&gt;0,Skills!I22/Skills!H22,1)</f>
        <v/>
      </c>
      <c r="H813">
        <f>1-(1-Skills!J22/100)^Skills!K22</f>
        <v/>
      </c>
      <c r="I813" t="inlineStr">
        <is>
          <t>1</t>
        </is>
      </c>
      <c r="J813" t="inlineStr"/>
      <c r="K813" t="inlineStr"/>
      <c r="L813" t="inlineStr"/>
      <c r="M813" t="inlineStr"/>
      <c r="N813" t="inlineStr"/>
      <c r="O813">
        <f>(1-Summary!$B$11)*T813+Summary!$B$11*V813</f>
        <v/>
      </c>
      <c r="P813">
        <f>IF(B833=0,0,O813/B833)</f>
        <v/>
      </c>
      <c r="Q813" t="n">
        <v>0</v>
      </c>
      <c r="R813" t="n">
        <v>0</v>
      </c>
      <c r="S813" t="n">
        <v>0</v>
      </c>
      <c r="T813" t="n">
        <v>0</v>
      </c>
      <c r="V813" t="n">
        <v>0</v>
      </c>
    </row>
    <row r="814">
      <c r="A814">
        <f>Skills!A23</f>
        <v/>
      </c>
      <c r="B814">
        <f>Skills!B23</f>
        <v/>
      </c>
      <c r="C814">
        <f>Inputs!$B$3&gt;=43</f>
        <v/>
      </c>
      <c r="D814">
        <f>IF(Skills!C23=1,60+(Inputs!$B$25+1)+Inputs!$B$29,IF(Skills!C23=2,90+Inputs!$B$26+Inputs!$B$29,IF(Skills!C23=3,120+Inputs!$B$27+Inputs!$B$29,MAX(0,(Inputs!$B$3-100)*3)+Inputs!$B$28+Inputs!$B$29)))</f>
        <v/>
      </c>
      <c r="E814">
        <f>INDEX(FactorTable!$B$2:$Y$301, MATCH(ROUND(MIN(300,MAX(1,D814)),0), FactorTable!$A$2:$A$301,0), Skills!M23+1)</f>
        <v/>
      </c>
      <c r="F814">
        <f>IF(Skills!N23=TRUE,(Skills!L23/10)*(E814/1000),Skills!L23/10)+Skills!O23</f>
        <v/>
      </c>
      <c r="G814">
        <f>Skills!G23*IF(Skills!H23&gt;0,Skills!I23/Skills!H23,1)</f>
        <v/>
      </c>
      <c r="H814">
        <f>1-(1-Skills!J23/100)^Skills!K23</f>
        <v/>
      </c>
      <c r="I814" t="inlineStr">
        <is>
          <t>1</t>
        </is>
      </c>
      <c r="J814" t="inlineStr"/>
      <c r="K814" t="inlineStr"/>
      <c r="L814" t="inlineStr"/>
      <c r="M814" t="inlineStr"/>
      <c r="N814" t="inlineStr"/>
      <c r="O814">
        <f>(1-Summary!$B$11)*T814+Summary!$B$11*V814</f>
        <v/>
      </c>
      <c r="P814">
        <f>IF(B833=0,0,O814/B833)</f>
        <v/>
      </c>
      <c r="Q814" t="n">
        <v>0</v>
      </c>
      <c r="R814" t="n">
        <v>0</v>
      </c>
      <c r="S814" t="n">
        <v>0</v>
      </c>
      <c r="T814" t="n">
        <v>0</v>
      </c>
      <c r="V814" t="n">
        <v>0</v>
      </c>
    </row>
    <row r="815">
      <c r="A815">
        <f>Skills!A24</f>
        <v/>
      </c>
      <c r="B815">
        <f>Skills!B24</f>
        <v/>
      </c>
      <c r="C815">
        <f>Inputs!$B$3&gt;=75</f>
        <v/>
      </c>
      <c r="D815">
        <f>IF(Skills!C24=1,60+(Inputs!$B$25+1)+Inputs!$B$29,IF(Skills!C24=2,90+Inputs!$B$26+Inputs!$B$29,IF(Skills!C24=3,120+Inputs!$B$27+Inputs!$B$29,MAX(0,(Inputs!$B$3-100)*3)+Inputs!$B$28+Inputs!$B$29)))</f>
        <v/>
      </c>
      <c r="E815">
        <f>INDEX(FactorTable!$B$2:$Y$301, MATCH(ROUND(MIN(300,MAX(1,D815)),0), FactorTable!$A$2:$A$301,0), Skills!M24+1)</f>
        <v/>
      </c>
      <c r="F815">
        <f>IF(Skills!N24=TRUE,(Skills!L24/10)*(E815/1000),Skills!L24/10)+Skills!O24</f>
        <v/>
      </c>
      <c r="G815">
        <f>Skills!G24*IF(Skills!H24&gt;0,Skills!I24/Skills!H24,1)</f>
        <v/>
      </c>
      <c r="H815">
        <f>1-(1-Skills!J24/100)^Skills!K24</f>
        <v/>
      </c>
      <c r="I815" t="inlineStr">
        <is>
          <t>1</t>
        </is>
      </c>
      <c r="J815" t="inlineStr"/>
      <c r="K815" t="inlineStr"/>
      <c r="L815" t="inlineStr"/>
      <c r="M815" t="inlineStr"/>
      <c r="N815" t="inlineStr"/>
      <c r="O815">
        <f>(1-Summary!$B$11)*T815+Summary!$B$11*V815</f>
        <v/>
      </c>
      <c r="P815">
        <f>IF(B833=0,0,O815/B833)</f>
        <v/>
      </c>
      <c r="Q815" t="n">
        <v>0</v>
      </c>
      <c r="R815" t="n">
        <v>0</v>
      </c>
      <c r="S815" t="n">
        <v>0</v>
      </c>
      <c r="T815" t="n">
        <v>0</v>
      </c>
      <c r="V815" t="n">
        <v>0</v>
      </c>
    </row>
    <row r="816">
      <c r="A816">
        <f>Skills!A25</f>
        <v/>
      </c>
      <c r="B816">
        <f>Skills!B25</f>
        <v/>
      </c>
      <c r="C816">
        <f>Inputs!$B$3&gt;=125</f>
        <v/>
      </c>
      <c r="D816">
        <f>IF(Skills!C25=1,60+(Inputs!$B$25+1)+Inputs!$B$29,IF(Skills!C25=2,90+Inputs!$B$26+Inputs!$B$29,IF(Skills!C25=3,120+Inputs!$B$27+Inputs!$B$29,MAX(0,(Inputs!$B$3-100)*3)+Inputs!$B$28+Inputs!$B$29)))</f>
        <v/>
      </c>
      <c r="E816">
        <f>INDEX(FactorTable!$B$2:$Y$301, MATCH(ROUND(MIN(300,MAX(1,D816)),0), FactorTable!$A$2:$A$301,0), Skills!M25+1)</f>
        <v/>
      </c>
      <c r="F816">
        <f>IF(Skills!N25=TRUE,(Skills!L25/10)*(E816/1000),Skills!L25/10)+Skills!O25</f>
        <v/>
      </c>
      <c r="G816">
        <f>Skills!G25*IF(Skills!H25&gt;0,Skills!I25/Skills!H25,1)</f>
        <v/>
      </c>
      <c r="H816">
        <f>1-(1-Skills!J25/100)^Skills!K25</f>
        <v/>
      </c>
      <c r="I816" t="inlineStr">
        <is>
          <t>1</t>
        </is>
      </c>
      <c r="J816" t="inlineStr"/>
      <c r="K816" t="inlineStr"/>
      <c r="L816" t="inlineStr"/>
      <c r="M816" t="inlineStr"/>
      <c r="N816" t="inlineStr"/>
      <c r="O816">
        <f>(1-Summary!$B$11)*T816+Summary!$B$11*V816</f>
        <v/>
      </c>
      <c r="P816">
        <f>IF(B833=0,0,O816/B833)</f>
        <v/>
      </c>
      <c r="Q816" t="n">
        <v>0</v>
      </c>
      <c r="R816" t="n">
        <v>0</v>
      </c>
      <c r="S816" t="n">
        <v>0</v>
      </c>
      <c r="T816" t="n">
        <v>0</v>
      </c>
      <c r="V816" t="n">
        <v>0</v>
      </c>
    </row>
    <row r="817">
      <c r="A817">
        <f>Skills!A26</f>
        <v/>
      </c>
      <c r="B817">
        <f>Skills!B26</f>
        <v/>
      </c>
      <c r="C817">
        <f>Inputs!$B$3&gt;=125</f>
        <v/>
      </c>
      <c r="D817">
        <f>IF(Skills!C26=1,60+(Inputs!$B$25+1)+Inputs!$B$29,IF(Skills!C26=2,90+Inputs!$B$26+Inputs!$B$29,IF(Skills!C26=3,120+Inputs!$B$27+Inputs!$B$29,MAX(0,(Inputs!$B$3-100)*3)+Inputs!$B$28+Inputs!$B$29)))</f>
        <v/>
      </c>
      <c r="E817">
        <f>INDEX(FactorTable!$B$2:$Y$301, MATCH(ROUND(MIN(300,MAX(1,D817)),0), FactorTable!$A$2:$A$301,0), Skills!M26+1)</f>
        <v/>
      </c>
      <c r="F817">
        <f>IF(Skills!N26=TRUE,(Skills!L26/10)*(E817/1000),Skills!L26/10)+Skills!O26</f>
        <v/>
      </c>
      <c r="G817">
        <f>Skills!G26*IF(Skills!H26&gt;0,Skills!I26/Skills!H26,1)</f>
        <v/>
      </c>
      <c r="H817">
        <f>1-(1-Skills!J26/100)^Skills!K26</f>
        <v/>
      </c>
      <c r="I817" t="inlineStr">
        <is>
          <t>1</t>
        </is>
      </c>
      <c r="J817" t="inlineStr"/>
      <c r="K817" t="inlineStr"/>
      <c r="L817" t="inlineStr"/>
      <c r="M817" t="inlineStr"/>
      <c r="N817" t="inlineStr"/>
      <c r="O817">
        <f>(1-Summary!$B$11)*T817+Summary!$B$11*V817</f>
        <v/>
      </c>
      <c r="P817">
        <f>IF(B833=0,0,O817/B833)</f>
        <v/>
      </c>
      <c r="Q817" t="n">
        <v>0</v>
      </c>
      <c r="R817" t="n">
        <v>0</v>
      </c>
      <c r="S817" t="n">
        <v>0</v>
      </c>
      <c r="T817" t="n">
        <v>0</v>
      </c>
      <c r="V817" t="n">
        <v>0</v>
      </c>
    </row>
    <row r="818">
      <c r="A818">
        <f>Skills!A27</f>
        <v/>
      </c>
      <c r="B818">
        <f>Skills!B27</f>
        <v/>
      </c>
      <c r="C818">
        <f>Inputs!$B$3&gt;=120</f>
        <v/>
      </c>
      <c r="D818">
        <f>IF(Skills!C27=1,60+(Inputs!$B$25+1)+Inputs!$B$29,IF(Skills!C27=2,90+Inputs!$B$26+Inputs!$B$29,IF(Skills!C27=3,120+Inputs!$B$27+Inputs!$B$29,MAX(0,(Inputs!$B$3-100)*3)+Inputs!$B$28+Inputs!$B$29)))</f>
        <v/>
      </c>
      <c r="E818">
        <f>INDEX(FactorTable!$B$2:$Y$301, MATCH(ROUND(MIN(300,MAX(1,D818)),0), FactorTable!$A$2:$A$301,0), Skills!M27+1)</f>
        <v/>
      </c>
      <c r="F818">
        <f>IF(Skills!N27=TRUE,(Skills!L27/10)*(E818/1000),Skills!L27/10)+Skills!O27</f>
        <v/>
      </c>
      <c r="G818">
        <f>Skills!G27*IF(Skills!H27&gt;0,Skills!I27/Skills!H27,1)</f>
        <v/>
      </c>
      <c r="H818">
        <f>1-(1-Skills!J27/100)^Skills!K27</f>
        <v/>
      </c>
      <c r="I818" t="inlineStr">
        <is>
          <t>1</t>
        </is>
      </c>
      <c r="J818" t="inlineStr"/>
      <c r="K818" t="inlineStr"/>
      <c r="L818" t="inlineStr"/>
      <c r="M818" t="inlineStr"/>
      <c r="N818" t="inlineStr"/>
      <c r="O818">
        <f>(1-Summary!$B$11)*T818+Summary!$B$11*V818</f>
        <v/>
      </c>
      <c r="P818">
        <f>IF(B833=0,0,O818/B833)</f>
        <v/>
      </c>
      <c r="Q818" t="n">
        <v>0</v>
      </c>
      <c r="R818" t="n">
        <v>0</v>
      </c>
      <c r="S818" t="n">
        <v>0</v>
      </c>
      <c r="T818" t="n">
        <v>0</v>
      </c>
      <c r="V818" t="n">
        <v>0</v>
      </c>
    </row>
    <row r="819">
      <c r="A819">
        <f>Skills!A28</f>
        <v/>
      </c>
      <c r="B819">
        <f>Skills!B28</f>
        <v/>
      </c>
      <c r="C819">
        <f>Inputs!$B$3&gt;=120</f>
        <v/>
      </c>
      <c r="D819">
        <f>IF(Skills!C28=1,60+(Inputs!$B$25+1)+Inputs!$B$29,IF(Skills!C28=2,90+Inputs!$B$26+Inputs!$B$29,IF(Skills!C28=3,120+Inputs!$B$27+Inputs!$B$29,MAX(0,(Inputs!$B$3-100)*3)+Inputs!$B$28+Inputs!$B$29)))</f>
        <v/>
      </c>
      <c r="E819">
        <f>INDEX(FactorTable!$B$2:$Y$301, MATCH(ROUND(MIN(300,MAX(1,D819)),0), FactorTable!$A$2:$A$301,0), Skills!M28+1)</f>
        <v/>
      </c>
      <c r="F819">
        <f>IF(Skills!N28=TRUE,(Skills!L28/10)*(E819/1000),Skills!L28/10)+Skills!O28</f>
        <v/>
      </c>
      <c r="G819">
        <f>Skills!G28*IF(Skills!H28&gt;0,Skills!I28/Skills!H28,1)</f>
        <v/>
      </c>
      <c r="H819">
        <f>1-(1-Skills!J28/100)^Skills!K28</f>
        <v/>
      </c>
      <c r="I819" t="inlineStr">
        <is>
          <t>1</t>
        </is>
      </c>
      <c r="J819" t="inlineStr"/>
      <c r="K819" t="inlineStr"/>
      <c r="L819" t="inlineStr"/>
      <c r="M819" t="inlineStr"/>
      <c r="N819" t="inlineStr"/>
      <c r="O819">
        <f>(1-Summary!$B$11)*T819+Summary!$B$11*V819</f>
        <v/>
      </c>
      <c r="P819">
        <f>IF(B833=0,0,O819/B833)</f>
        <v/>
      </c>
      <c r="Q819" t="n">
        <v>0</v>
      </c>
      <c r="R819" t="n">
        <v>0</v>
      </c>
      <c r="S819" t="n">
        <v>0</v>
      </c>
      <c r="T819" t="n">
        <v>0</v>
      </c>
      <c r="V819" t="n">
        <v>0</v>
      </c>
    </row>
    <row r="820">
      <c r="A820">
        <f>Skills!A29</f>
        <v/>
      </c>
      <c r="B820">
        <f>Skills!B29</f>
        <v/>
      </c>
      <c r="C820">
        <f>Inputs!$B$3&gt;=45</f>
        <v/>
      </c>
      <c r="D820">
        <f>IF(Skills!C29=1,60+(Inputs!$B$25+1)+Inputs!$B$29,IF(Skills!C29=2,90+Inputs!$B$26+Inputs!$B$29,IF(Skills!C29=3,120+Inputs!$B$27+Inputs!$B$29,MAX(0,(Inputs!$B$3-100)*3)+Inputs!$B$28+Inputs!$B$29)))</f>
        <v/>
      </c>
      <c r="E820">
        <f>INDEX(FactorTable!$B$2:$Y$301, MATCH(ROUND(MIN(300,MAX(1,D820)),0), FactorTable!$A$2:$A$301,0), Skills!M29+1)</f>
        <v/>
      </c>
      <c r="F820">
        <f>IF(Skills!N29=TRUE,(Skills!L29/10)*(E820/1000),Skills!L29/10)+Skills!O29</f>
        <v/>
      </c>
      <c r="G820">
        <f>Skills!G29*IF(Skills!H29&gt;0,Skills!I29/Skills!H29,1)</f>
        <v/>
      </c>
      <c r="H820">
        <f>1-(1-Skills!J29/100)^Skills!K29</f>
        <v/>
      </c>
      <c r="I820" t="inlineStr">
        <is>
          <t>1</t>
        </is>
      </c>
      <c r="J820" t="inlineStr"/>
      <c r="K820" t="inlineStr"/>
      <c r="L820" t="inlineStr"/>
      <c r="M820" t="inlineStr"/>
      <c r="N820" t="inlineStr"/>
      <c r="O820">
        <f>(1-Summary!$B$11)*T820+Summary!$B$11*V820</f>
        <v/>
      </c>
      <c r="P820">
        <f>IF(B833=0,0,O820/B833)</f>
        <v/>
      </c>
      <c r="Q820" t="n">
        <v>0</v>
      </c>
      <c r="R820" t="n">
        <v>0</v>
      </c>
      <c r="S820" t="n">
        <v>0</v>
      </c>
      <c r="T820" t="n">
        <v>0</v>
      </c>
      <c r="V820" t="n">
        <v>0</v>
      </c>
    </row>
    <row r="822">
      <c r="A822" t="inlineStr">
        <is>
          <t>Attack% Bucket Multiplier</t>
        </is>
      </c>
      <c r="B822">
        <f>(1+(((C804=TRUE)*F804)+((C805=TRUE)*IF(Inputs!$B$38="pvp",F805,(1-Summary!$B$11)*(F805)+Summary!$B$11*(0)))+((C806=TRUE)*F806*IF(AND(Inputs!$B$38&lt;&gt;"pvp",Inputs!$B$43&gt;0),(((R806-1)*(Skills!T15*(1+Inputs!$B$34/100))+MIN((Skills!T15*(1+Inputs!$B$34/100)),MAX(0,Inputs!$B$43-((R806-1)*Skills!D15))))/Inputs!$B$43),IF(Inputs!$B$38="pvp",MIN((Skills!T15*(1+Inputs!$B$34/100)),15)/15,(Skills!T15*(1+Inputs!$B$34/100))/Skills!D15)))+((C803=TRUE)*F803)+((C820=TRUE)*(F820-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823">
      <c r="A823" t="inlineStr">
        <is>
          <t>Global Crit Rate Bonus %</t>
        </is>
      </c>
      <c r="B823">
        <f>(C807=TRUE)*20*IF(AND(Inputs!$B$38&lt;&gt;"pvp",Inputs!$B$43&gt;0),(((R807-1)*(Skills!T16*(1+Inputs!$B$34/100))+MIN((Skills!T16*(1+Inputs!$B$34/100)),MAX(0,Inputs!$B$43-((R807-1)*Skills!D16))))/Inputs!$B$43),IF(Inputs!$B$38="pvp",MIN((Skills!T16*(1+Inputs!$B$34/100)),15)/15,(Skills!T16*(1+Inputs!$B$34/100))/Skills!D16))</f>
        <v/>
      </c>
    </row>
    <row r="824">
      <c r="A824" t="inlineStr">
        <is>
          <t>Attack Speed Buff Bonus %</t>
        </is>
      </c>
      <c r="B824">
        <f>((C809=TRUE)*F809*IF(AND(Inputs!$B$38&lt;&gt;"pvp",Inputs!$B$43&gt;0),(((R809-1)*(Skills!T18*(1+Inputs!$B$34/100))+MIN((Skills!T18*(1+Inputs!$B$34/100)),MAX(0,Inputs!$B$43-((R809-1)*Skills!D18))))/Inputs!$B$43),IF(Inputs!$B$38="pvp",MIN((Skills!T18*(1+Inputs!$B$34/100)),15)/15,(Skills!T18*(1+Inputs!$B$34/100))/Skills!D18)))</f>
        <v/>
      </c>
    </row>
    <row r="825">
      <c r="A825" t="inlineStr">
        <is>
          <t>Actions Per Second</t>
        </is>
      </c>
      <c r="B825">
        <f>1+MIN(150,150*(1-(1-(Inputs!$B$11+((C811=TRUE)*(F811-Calc!F20))+((C812=TRUE)*(F812-Calc!F21)))/150)*(1-B824/150)))/100</f>
        <v/>
      </c>
    </row>
    <row r="826">
      <c r="A826" t="inlineStr">
        <is>
          <t>Skill + Buff Cast Rate</t>
        </is>
      </c>
      <c r="B826">
        <f>IF(AND(Inputs!$B$38&lt;&gt;"pvp",Inputs!$B$43&gt;0),SUMPRODUCT((Skills!E2:E29=TRUE)*(C793:C820=TRUE)*R793:R820*Skills!F2:F29)/Inputs!$B$43,SUMPRODUCT((Skills!E2:E29=TRUE)*(C793:C820=TRUE)*Q793:Q820*Skills!F2:F29))</f>
        <v/>
      </c>
    </row>
    <row r="827">
      <c r="A827" t="inlineStr">
        <is>
          <t>Empowered Piercing Arrow Casts Per Second</t>
        </is>
      </c>
      <c r="B827">
        <f>MAX(0,B825-B826)</f>
        <v/>
      </c>
    </row>
    <row r="828">
      <c r="A828" t="inlineStr">
        <is>
          <t>Global Critical Damage Bonus % (Sharp Eyes)</t>
        </is>
      </c>
      <c r="B828">
        <f>(C807=TRUE)*F807*IF(AND(Inputs!$B$38&lt;&gt;"pvp",Inputs!$B$43&gt;0),(((R807-1)*(Skills!T16*(1+Inputs!$B$34/100))+MIN((Skills!T16*(1+Inputs!$B$34/100)),MAX(0,Inputs!$B$43-((R807-1)*Skills!D16))))/Inputs!$B$43),IF(Inputs!$B$38="pvp",MIN((Skills!T16*(1+Inputs!$B$34/100)),15)/15,(Skills!T16*(1+Inputs!$B$34/100))/Skills!D16))</f>
        <v/>
      </c>
    </row>
    <row r="829">
      <c r="A829" t="inlineStr">
        <is>
          <t>Global Final Damage Bonus % (Mortal Blow + Last Man Standing conditional half)</t>
        </is>
      </c>
      <c r="B829">
        <f>(C808=TRUE)*F808+((C817=TRUE)*IF(Inputs!$B$38="pvp",F817,(1-Summary!$B$11)*(F817)+Summary!$B$11*(0)))</f>
        <v/>
      </c>
    </row>
    <row r="830">
      <c r="A830" t="inlineStr">
        <is>
          <t>Buff-Casting Startup Delay (s, fixed-duration only)</t>
        </is>
      </c>
      <c r="B830">
        <f>IF(AND(Inputs!$B$38&lt;&gt;"pvp",Inputs!$B$43&gt;0),SUMPRODUCT((Skills!T2:T29&gt;0)*(Skills!E2:E29=TRUE)*(C793:C820=TRUE))/B825,0)</f>
        <v/>
      </c>
    </row>
    <row r="831">
      <c r="A831" t="inlineStr">
        <is>
          <t>Boss-Only Total DPS (this block's swept value)</t>
        </is>
      </c>
      <c r="B831">
        <f>SUM(T793:T820)</f>
        <v/>
      </c>
    </row>
    <row r="832">
      <c r="A832" t="inlineStr">
        <is>
          <t>Normal-Only Total DPS (this block's swept value)</t>
        </is>
      </c>
      <c r="B832">
        <f>SUM(V793:V820)</f>
        <v/>
      </c>
    </row>
    <row r="833">
      <c r="A833" s="6" t="inlineStr">
        <is>
          <t>TOTAL DPS</t>
        </is>
      </c>
      <c r="B833" s="6">
        <f>SUM(O793:O820)</f>
        <v/>
      </c>
    </row>
    <row r="836">
      <c r="A836" s="6" t="inlineStr">
        <is>
          <t>Stat: Skill Level Bonus — 2nd Job</t>
        </is>
      </c>
    </row>
    <row r="837">
      <c r="A837" s="5" t="inlineStr">
        <is>
          <t>Key</t>
        </is>
      </c>
      <c r="B837" s="5" t="inlineStr">
        <is>
          <t>Name</t>
        </is>
      </c>
      <c r="C837" s="5" t="inlineStr">
        <is>
          <t>Unlocked</t>
        </is>
      </c>
      <c r="D837" s="5" t="inlineStr">
        <is>
          <t>InputLevel</t>
        </is>
      </c>
      <c r="E837" s="5" t="inlineStr">
        <is>
          <t>Factor</t>
        </is>
      </c>
      <c r="F837" s="5" t="inlineStr">
        <is>
          <t>CoefficientPercent</t>
        </is>
      </c>
      <c r="G837" s="5" t="inlineStr">
        <is>
          <t>EffectiveHits</t>
        </is>
      </c>
      <c r="H837" s="5" t="inlineStr">
        <is>
          <t>ProcProbability</t>
        </is>
      </c>
      <c r="I837" s="5" t="inlineStr">
        <is>
          <t>MapleHeroMultiplier</t>
        </is>
      </c>
      <c r="J837" s="5" t="inlineStr">
        <is>
          <t>BaseDamage</t>
        </is>
      </c>
      <c r="K837" s="5" t="inlineStr">
        <is>
          <t>BaseHitDamage</t>
        </is>
      </c>
      <c r="L837" s="5" t="inlineStr">
        <is>
          <t>NonCritAvg</t>
        </is>
      </c>
      <c r="M837" s="5" t="inlineStr">
        <is>
          <t>CritAvg</t>
        </is>
      </c>
      <c r="N837" s="5" t="inlineStr">
        <is>
          <t>ExpectedDamage(perHit)</t>
        </is>
      </c>
      <c r="O837" s="5" t="inlineStr">
        <is>
          <t>DPS</t>
        </is>
      </c>
      <c r="P837" s="5" t="inlineStr">
        <is>
          <t>% of Total</t>
        </is>
      </c>
      <c r="Q837" s="5" t="inlineStr">
        <is>
          <t>InvCooldown</t>
        </is>
      </c>
      <c r="R837" s="5" t="inlineStr">
        <is>
          <t>CastsInFight</t>
        </is>
      </c>
      <c r="S837" s="5" t="inlineStr">
        <is>
          <t>HitRate(perSec)</t>
        </is>
      </c>
      <c r="U837" t="inlineStr">
        <is>
          <t>helpers</t>
        </is>
      </c>
    </row>
    <row r="838">
      <c r="A838">
        <f>Skills!A2</f>
        <v/>
      </c>
      <c r="B838">
        <f>Skills!B2</f>
        <v/>
      </c>
      <c r="C838">
        <f>Inputs!$B$3&gt;=100</f>
        <v/>
      </c>
      <c r="D838" t="inlineStr"/>
      <c r="E838" t="inlineStr"/>
      <c r="F838">
        <f>U840+Skills!O2</f>
        <v/>
      </c>
      <c r="G838">
        <f>Skills!G2*IF(Skills!H2&gt;0,Skills!I2/Skills!H2,1)</f>
        <v/>
      </c>
      <c r="H838">
        <f>1-(1-Skills!J2/100)^Skills!K2</f>
        <v/>
      </c>
      <c r="I838" t="inlineStr">
        <is>
          <t>1</t>
        </is>
      </c>
      <c r="J838">
        <f>((Inputs!$B$6*(1+Inputs!$B$7/100))+(((Inputs!$B$12*(1+Inputs!$B$13/100))-(Inputs!$B$12*(1+Inputs!$B$13/100)))+0.25*(Inputs!$B$14-Inputs!$B$14))*(1+Inputs!$B$7/100))*(F838/100)</f>
        <v/>
      </c>
      <c r="K838">
        <f>J838*(1+((Inputs!$B$12*(1+Inputs!$B$13/100))*0.01+Inputs!$B$14*0.0025)/100)*(1+Inputs!$B$15/100)*(1+Inputs!$B$16/100)*(5000/(6000+Inputs!$B$42*(1-(100*(1-(1-(Inputs!$B$19+0)/100)*(1-CHOOSE(ArtifactsInput!$N$40+1,5,6,7,8,9,10)/100)^(ArtifactsInput!$M$40-ArtifactsInput!$M$40)))/100)))*(1+(Inputs!$B$24+((C860=TRUE)*(F860-Calc!F24))+((C861=TRUE)*(F861-Calc!F25))+B874)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EMPOWERED_PIERCING_ARROW",Inputs!$B$17+((C858=TRUE)*(F858-Calc!F22))+(((IF(AND(ArtifactsInput!$M$42,((Inputs!$B$9+((C855=TRUE)*(F855-Calc!F19))+B868+(ArtifactsInput!$M$24-ArtifactsInput!$M$24)*CHOOSE(ArtifactsInput!$N$24+1,10,12,14,16,18,20)+IF(ArtifactsInput!$M$10,CHOOSE(ArtifactsInput!$N$10+1,15,18,21,24,27,30)*(IF(Inputs!$B$38="pvp",MIN(15,15)/15,IF(AND(Inputs!$B$38&lt;&gt;"pvp",Inputs!$B$43&gt;0),MIN(15,Inputs!$B$43)/(Inputs!$B$43),0))),0)))&gt;=100),MIN(100,((Inputs!$B$9+((C855=TRUE)*(F855-Calc!F19))+B868+(ArtifactsInput!$M$24-ArtifactsInput!$M$24)*CHOOSE(ArtifactsInput!$N$24+1,10,12,14,16,18,20)+IF(ArtifactsInput!$M$10,CHOOSE(ArtifactsInput!$N$10+1,15,18,21,24,27,30)*(IF(Inputs!$B$38="pvp",MIN(15,15)/15,IF(AND(Inputs!$B$38&lt;&gt;"pvp",Inputs!$B$43&gt;0),MIN(15,Inputs!$B$43)/(Inputs!$B$43),0))),0)))-100),0))*CHOOSE(ArtifactsInput!$N$42+1,0.6,0.72,0.84,0.96,1.08,1.2))),Inputs!$B$18+((C863=TRUE)*(F863-Calc!F27))+(IF(AND(ArtifactsInput!$M$42,((Inputs!$B$9+((C855=TRUE)*(F855-Calc!F19))+B868+(ArtifactsInput!$M$24-ArtifactsInput!$M$24)*CHOOSE(ArtifactsInput!$N$24+1,10,12,14,16,18,20)+IF(ArtifactsInput!$M$10,CHOOSE(ArtifactsInput!$N$10+1,15,18,21,24,27,30)*(IF(Inputs!$B$38="pvp",MIN(15,15)/15,IF(AND(Inputs!$B$38&lt;&gt;"pvp",Inputs!$B$43&gt;0),MIN(15,Inputs!$B$43)/(Inputs!$B$43),0))),0)))&gt;=100),CHOOSE(ArtifactsInput!$N$42+1,40,48,56,64,72,80),0))))/100)*((1+(((C849=TRUE)*F849)+((C850=TRUE)*IF(Inputs!$B$38="pvp",F850,(1-Summary!$B$11)*(F850)+Summary!$B$11*(0)))+((C851=TRUE)*F851*IF(AND(Inputs!$B$38&lt;&gt;"pvp",Inputs!$B$43&gt;0),(((R851-1)*(Skills!T15*(1+Inputs!$B$34/100))+MIN((Skills!T15*(1+Inputs!$B$34/100)),MAX(0,Inputs!$B$43-((R851-1)*Skills!D15))))/Inputs!$B$43),IF(Inputs!$B$38="pvp",MIN((Skills!T15*(1+Inputs!$B$34/100)),15)/15,(Skills!T15*(1+Inputs!$B$34/100))/Skills!D15)))+((C848=TRUE)*F848)+((C865=TRUE)*(F865-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838)</f>
        <v/>
      </c>
      <c r="L838">
        <f>K838*(MIN(Inputs!$B$22+((C859=TRUE)*(F859-Calc!F23)),(Inputs!$B$23+((C864=TRUE)*(F864-Calc!F28))+(IF(ArtifactsInput!$M$15,CHOOSE(ArtifactsInput!$N$15+1,25,30,35,40,45,50)/100*(Inputs!$B$11-Inputs!$B$11),0))))/100+(Inputs!$B$23+((C864=TRUE)*(F864-Calc!F28))+(IF(ArtifactsInput!$M$15,CHOOSE(ArtifactsInput!$N$15+1,25,30,35,40,45,50)/100*(Inputs!$B$11-Inputs!$B$11),0)))/100)/2</f>
        <v/>
      </c>
      <c r="M838">
        <f>L838*(1+(Inputs!$B$10+0+B873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838">
        <f>L838*(1-MIN((Inputs!$B$9+((C855=TRUE)*(F855-Calc!F19))+B868+(ArtifactsInput!$M$24-ArtifactsInput!$M$24)*CHOOSE(ArtifactsInput!$N$24+1,10,12,14,16,18,20)+(IF(AND(ArtifactsInput!$M$42,((Inputs!$B$9+((C855=TRUE)*(F855-Calc!F19))+B868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838*(MIN((Inputs!$B$9+((C855=TRUE)*(F855-Calc!F19))+B868+(ArtifactsInput!$M$24-ArtifactsInput!$M$24)*CHOOSE(ArtifactsInput!$N$24+1,10,12,14,16,18,20)+(IF(AND(ArtifactsInput!$M$42,((Inputs!$B$9+((C855=TRUE)*(F855-Calc!F19))+B868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838">
        <f>(1-Summary!$B$11)*T838+Summary!$B$11*V838</f>
        <v/>
      </c>
      <c r="P838">
        <f>IF(B878=0,0,O838/B878)</f>
        <v/>
      </c>
      <c r="Q838" t="n">
        <v>0</v>
      </c>
      <c r="R838" t="n">
        <v>0</v>
      </c>
      <c r="S838">
        <f>IFERROR((Skills!G2*N838*B872)/N838*IF(Inputs!$B$38="pvp",1,(1-Summary!$B$11)*1+Summary!$B$11*(MIN((6+Inputs!$B$33),Inputs!$B$37))),0)</f>
        <v/>
      </c>
      <c r="T838">
        <f>IF(C838,(Skills!G2*N838*B872)*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Hunt"),CHOOSE(ArtifactsInput!$N$35+1,15,18,21,24,27,30)*(1-EXP(-(0.2*B870)*5)),0)+IF(AND(ArtifactsInput!$M$22,Inputs!$B$4&lt;&gt;"Chapter Hunt"),CHOOSE(ArtifactsInput!$N$22+1,10,12,14,16,18,20)*((0*(((0.15*B870*5))^0/1)+1*(((0.15*B870*5))^1/1)+2*(((0.15*B870*5))^2/2)+3*(((0.15*B870*5))^3/6)+4*(((0.15*B870*5))^4/24)+5*(((0.15*B870*5))^5/120))/((((0.15*B870*5))^0/1)+(((0.15*B870*5))^1/1)+(((0.15*B870*5))^2/2)+(((0.15*B870*5))^3/6)+(((0.15*B870*5))^4/24)+(((0.15*B870*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838*(1-MIN(100,(Inputs!$B$9+((C855=TRUE)*(F855-Calc!F19))+B868+(ArtifactsInput!$M$24-ArtifactsInput!$M$24)*CHOOSE(ArtifactsInput!$N$24+1,10,12,14,16,18,20)+(IF(AND(ArtifactsInput!$M$42,((Inputs!$B$9+((C855=TRUE)*(F855-Calc!F19))+B868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838*(MIN(100,(Inputs!$B$9+((C855=TRUE)*(F855-Calc!F19))+B868+(ArtifactsInput!$M$24-ArtifactsInput!$M$24)*CHOOSE(ArtifactsInput!$N$24+1,10,12,14,16,18,20)+(IF(AND(ArtifactsInput!$M$42,((Inputs!$B$9+((C855=TRUE)*(F855-Calc!F19))+B868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838*(1-MIN(100,(Inputs!$B$9+((C855=TRUE)*(F855-Calc!F19))+B868+(ArtifactsInput!$M$24-ArtifactsInput!$M$24)*CHOOSE(ArtifactsInput!$N$24+1,10,12,14,16,18,20)+(IF(AND(ArtifactsInput!$M$42,((Inputs!$B$9+((C855=TRUE)*(F855-Calc!F19))+B868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838*(MIN(100,(Inputs!$B$9+((C855=TRUE)*(F855-Calc!F19))+B868+(ArtifactsInput!$M$24-ArtifactsInput!$M$24)*CHOOSE(ArtifactsInput!$N$24+1,10,12,14,16,18,20)+(IF(AND(ArtifactsInput!$M$42,((Inputs!$B$9+((C855=TRUE)*(F855-Calc!F19))+B868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838">
        <f>MAX(0,(Inputs!$B$3-100)*3)+Inputs!$B$28+Inputs!$B$29</f>
        <v/>
      </c>
      <c r="V838">
        <f>IF(C838,(Skills!G2*N838*B872)*IF(Inputs!$B$38="pvp",1,(1+(Inputs!$B$21+Skills!Q2+(IF(ArtifactsInput!$M$33,CHOOSE(ArtifactsInput!$N$33+1,30,36,42,48,54,60),0))+(IF(AND(ArtifactsInput!$M$35,Inputs!$B$4&lt;&gt;"Chapter Hunt"),CHOOSE(ArtifactsInput!$N$35+1,15,18,21,24,27,30)*(1-EXP(-(0.2*B870)*5)),0)+IF(AND(ArtifactsInput!$M$22,Inputs!$B$4&lt;&gt;"Chapter Hunt"),CHOOSE(ArtifactsInput!$N$22+1,10,12,14,16,18,20)*((0*(((0.15*B870*5))^0/1)+1*(((0.15*B870*5))^1/1)+2*(((0.15*B870*5))^2/2)+3*(((0.15*B870*5))^3/6)+4*(((0.15*B870*5))^4/24)+5*(((0.15*B870*5))^5/120))/((((0.15*B870*5))^0/1)+(((0.15*B870*5))^1/1)+(((0.15*B870*5))^2/2)+(((0.15*B870*5))^3/6)+(((0.15*B870*5))^4/24)+(((0.15*B870*5))^5/120)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839">
      <c r="A839">
        <f>Skills!A3</f>
        <v/>
      </c>
      <c r="B839">
        <f>Skills!B3</f>
        <v/>
      </c>
      <c r="C839">
        <f>Inputs!$B$3&gt;=50</f>
        <v/>
      </c>
      <c r="D839">
        <f>IF(Skills!C3=1,60+Inputs!$B$25+Inputs!$B$29,IF(Skills!C3=2,90+(Inputs!$B$26+1)+Inputs!$B$29,IF(Skills!C3=3,120+Inputs!$B$27+Inputs!$B$29,MAX(0,(Inputs!$B$3-100)*3)+Inputs!$B$28+Inputs!$B$29)))</f>
        <v/>
      </c>
      <c r="E839">
        <f>INDEX(FactorTable!$B$2:$Y$301, MATCH(ROUND(MIN(300,MAX(1,D839)),0), FactorTable!$A$2:$A$301,0), Skills!M3+1)</f>
        <v/>
      </c>
      <c r="F839">
        <f>IF(Skills!N3=TRUE,(Skills!L3/10)*(E839/1000),Skills!L3/10)+Skills!O3</f>
        <v/>
      </c>
      <c r="G839" t="inlineStr"/>
      <c r="H839" t="inlineStr"/>
      <c r="I839" t="inlineStr">
        <is>
          <t>1</t>
        </is>
      </c>
      <c r="J839" t="inlineStr"/>
      <c r="K839" t="inlineStr"/>
      <c r="L839" t="inlineStr"/>
      <c r="M839" t="inlineStr"/>
      <c r="N839" t="inlineStr"/>
      <c r="O839" t="inlineStr"/>
      <c r="P839" t="inlineStr"/>
      <c r="Q839" t="inlineStr"/>
      <c r="R839" t="inlineStr"/>
      <c r="S839" t="inlineStr"/>
      <c r="T839" t="inlineStr"/>
      <c r="U839">
        <f>INDEX(FactorTable!$B$2:$Y$301, MATCH(ROUND(MIN(300,MAX(1,U838)),0), FactorTable!$A$2:$A$301,0), 22)</f>
        <v/>
      </c>
      <c r="V839" t="inlineStr"/>
    </row>
    <row r="840">
      <c r="A840">
        <f>Skills!A4</f>
        <v/>
      </c>
      <c r="B840">
        <f>Skills!B4</f>
        <v/>
      </c>
      <c r="C840">
        <f>Inputs!$B$3&gt;=105</f>
        <v/>
      </c>
      <c r="D840">
        <f>IF(Skills!C4=1,60+Inputs!$B$25+Inputs!$B$29,IF(Skills!C4=2,90+(Inputs!$B$26+1)+Inputs!$B$29,IF(Skills!C4=3,120+Inputs!$B$27+Inputs!$B$29,MAX(0,(Inputs!$B$3-100)*3)+Inputs!$B$28+Inputs!$B$29)))</f>
        <v/>
      </c>
      <c r="E840">
        <f>INDEX(FactorTable!$B$2:$Y$301, MATCH(ROUND(MIN(300,MAX(1,D840)),0), FactorTable!$A$2:$A$301,0), Skills!M4+1)</f>
        <v/>
      </c>
      <c r="F840">
        <f>IF(Skills!N4=TRUE,(Skills!L4/10)*(E840/1000),Skills!L4/10)+Skills!O4</f>
        <v/>
      </c>
      <c r="G840" t="inlineStr"/>
      <c r="H840" t="inlineStr"/>
      <c r="I840" t="inlineStr">
        <is>
          <t>1</t>
        </is>
      </c>
      <c r="J840" t="inlineStr"/>
      <c r="K840" t="inlineStr"/>
      <c r="L840" t="inlineStr"/>
      <c r="M840" t="inlineStr"/>
      <c r="N840" t="inlineStr"/>
      <c r="O840" t="inlineStr"/>
      <c r="P840" t="inlineStr"/>
      <c r="Q840" t="inlineStr"/>
      <c r="R840" t="inlineStr"/>
      <c r="S840" t="inlineStr"/>
      <c r="T840" t="inlineStr"/>
      <c r="U840">
        <f>290*U839/1000</f>
        <v/>
      </c>
      <c r="V840" t="inlineStr"/>
    </row>
    <row r="841">
      <c r="A841">
        <f>Skills!A5</f>
        <v/>
      </c>
      <c r="B841">
        <f>Skills!B5</f>
        <v/>
      </c>
      <c r="C841">
        <f>Inputs!$B$3&gt;=35</f>
        <v/>
      </c>
      <c r="D841">
        <f>IF(Skills!C5=1,60+Inputs!$B$25+Inputs!$B$29,IF(Skills!C5=2,90+(Inputs!$B$26+1)+Inputs!$B$29,IF(Skills!C5=3,120+Inputs!$B$27+Inputs!$B$29,MAX(0,(Inputs!$B$3-100)*3)+Inputs!$B$28+Inputs!$B$29)))</f>
        <v/>
      </c>
      <c r="E841">
        <f>INDEX(FactorTable!$B$2:$Y$301, MATCH(ROUND(MIN(300,MAX(1,D841)),0), FactorTable!$A$2:$A$301,0), Skills!M5+1)</f>
        <v/>
      </c>
      <c r="F841">
        <f>IF(Skills!N5=TRUE,(Skills!L5/10)*(E841/1000),Skills!L5/10)+Skills!O5</f>
        <v/>
      </c>
      <c r="G841">
        <f>Skills!G5*IF(Skills!H5&gt;0,Skills!I5/Skills!H5,1)</f>
        <v/>
      </c>
      <c r="H841">
        <f>1-(1-Skills!J5/100)^Skills!K5</f>
        <v/>
      </c>
      <c r="I841" t="inlineStr">
        <is>
          <t>1</t>
        </is>
      </c>
      <c r="J841">
        <f>((Inputs!$B$6*(1+Inputs!$B$7/100))+(((Inputs!$B$12*(1+Inputs!$B$13/100))-(Inputs!$B$12*(1+Inputs!$B$13/100)))+0.25*(Inputs!$B$14-Inputs!$B$14))*(1+Inputs!$B$7/100))*(F841/100)</f>
        <v/>
      </c>
      <c r="K841">
        <f>J841*(1+((Inputs!$B$12*(1+Inputs!$B$13/100))*0.01+Inputs!$B$14*0.0025)/100)*(1+Inputs!$B$15/100)*(1+Inputs!$B$16/100)*(5000/(6000+Inputs!$B$42*(1-(100*(1-(1-(Inputs!$B$19+0)/100)*(1-CHOOSE(ArtifactsInput!$N$40+1,5,6,7,8,9,10)/100)^(ArtifactsInput!$M$40-ArtifactsInput!$M$40)))/100)))*(1+(Inputs!$B$24+((C860=TRUE)*(F860-Calc!F24))+((C861=TRUE)*(F861-Calc!F25))+B874)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844=TRUE,F844,0)/100)*(1+(IF(Skills!A5="EMPOWERED_PIERCING_ARROW",Inputs!$B$17+((C858=TRUE)*(F858-Calc!F22))+(((IF(AND(ArtifactsInput!$M$42,((Inputs!$B$9+((C855=TRUE)*(F855-Calc!F19))+B868+(ArtifactsInput!$M$24-ArtifactsInput!$M$24)*CHOOSE(ArtifactsInput!$N$24+1,10,12,14,16,18,20)+IF(ArtifactsInput!$M$10,CHOOSE(ArtifactsInput!$N$10+1,15,18,21,24,27,30)*(IF(Inputs!$B$38="pvp",MIN(15,15)/15,IF(AND(Inputs!$B$38&lt;&gt;"pvp",Inputs!$B$43&gt;0),MIN(15,Inputs!$B$43)/(Inputs!$B$43),0))),0)))&gt;=100),MIN(100,((Inputs!$B$9+((C855=TRUE)*(F855-Calc!F19))+B868+(ArtifactsInput!$M$24-ArtifactsInput!$M$24)*CHOOSE(ArtifactsInput!$N$24+1,10,12,14,16,18,20)+IF(ArtifactsInput!$M$10,CHOOSE(ArtifactsInput!$N$10+1,15,18,21,24,27,30)*(IF(Inputs!$B$38="pvp",MIN(15,15)/15,IF(AND(Inputs!$B$38&lt;&gt;"pvp",Inputs!$B$43&gt;0),MIN(15,Inputs!$B$43)/(Inputs!$B$43),0))),0)))-100),0))*CHOOSE(ArtifactsInput!$N$42+1,0.6,0.72,0.84,0.96,1.08,1.2))),Inputs!$B$18+((C863=TRUE)*(F863-Calc!F27))+(IF(AND(ArtifactsInput!$M$42,((Inputs!$B$9+((C855=TRUE)*(F855-Calc!F19))+B868+(ArtifactsInput!$M$24-ArtifactsInput!$M$24)*CHOOSE(ArtifactsInput!$N$24+1,10,12,14,16,18,20)+IF(ArtifactsInput!$M$10,CHOOSE(ArtifactsInput!$N$10+1,15,18,21,24,27,30)*(IF(Inputs!$B$38="pvp",MIN(15,15)/15,IF(AND(Inputs!$B$38&lt;&gt;"pvp",Inputs!$B$43&gt;0),MIN(15,Inputs!$B$43)/(Inputs!$B$43),0))),0)))&gt;=100),CHOOSE(ArtifactsInput!$N$42+1,40,48,56,64,72,80),0))))/100)*((1+(((C849=TRUE)*F849)+((C850=TRUE)*IF(Inputs!$B$38="pvp",F850,(1-Summary!$B$11)*(F850)+Summary!$B$11*(0)))+((C851=TRUE)*F851*IF(AND(Inputs!$B$38&lt;&gt;"pvp",Inputs!$B$43&gt;0),(((R851-1)*(Skills!T15*(1+Inputs!$B$34/100))+MIN((Skills!T15*(1+Inputs!$B$34/100)),MAX(0,Inputs!$B$43-((R851-1)*Skills!D15))))/Inputs!$B$43),IF(Inputs!$B$38="pvp",MIN((Skills!T15*(1+Inputs!$B$34/100)),15)/15,(Skills!T15*(1+Inputs!$B$34/100))/Skills!D15)))+((C848=TRUE)*F848)+((C865=TRUE)*(F865-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841)</f>
        <v/>
      </c>
      <c r="L841">
        <f>K841*(MIN(Inputs!$B$22+((C859=TRUE)*(F859-Calc!F23)),(Inputs!$B$23+((C864=TRUE)*(F864-Calc!F28))+(IF(ArtifactsInput!$M$15,CHOOSE(ArtifactsInput!$N$15+1,25,30,35,40,45,50)/100*(Inputs!$B$11-Inputs!$B$11),0))))/100+(Inputs!$B$23+((C864=TRUE)*(F864-Calc!F28))+(IF(ArtifactsInput!$M$15,CHOOSE(ArtifactsInput!$N$15+1,25,30,35,40,45,50)/100*(Inputs!$B$11-Inputs!$B$11),0)))/100)/2</f>
        <v/>
      </c>
      <c r="M841">
        <f>L841*(1+(Inputs!$B$10+0+B873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841">
        <f>L841*(1-MIN((Inputs!$B$9+((C855=TRUE)*(F855-Calc!F19))+B868+(ArtifactsInput!$M$24-ArtifactsInput!$M$24)*CHOOSE(ArtifactsInput!$N$24+1,10,12,14,16,18,20)+(IF(AND(ArtifactsInput!$M$42,((Inputs!$B$9+((C855=TRUE)*(F855-Calc!F19))+B868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841*(MIN((Inputs!$B$9+((C855=TRUE)*(F855-Calc!F19))+B868+(ArtifactsInput!$M$24-ArtifactsInput!$M$24)*CHOOSE(ArtifactsInput!$N$24+1,10,12,14,16,18,20)+(IF(AND(ArtifactsInput!$M$42,((Inputs!$B$9+((C855=TRUE)*(F855-Calc!F19))+B868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841">
        <f>(1-Summary!$B$11)*T841+Summary!$B$11*V841</f>
        <v/>
      </c>
      <c r="P841">
        <f>IF(B878=0,0,O841/B878)</f>
        <v/>
      </c>
      <c r="Q841">
        <f>IFERROR(1/IF(Inputs!$B$38="pvp",15,MAX(0.1,Skills!D5-IF(Skills!E5=TRUE,Inputs!$B$32,0))),0)</f>
        <v/>
      </c>
      <c r="R841">
        <f>IF(AND(Inputs!$B$38&lt;&gt;"pvp",Inputs!$B$43&gt;0),IF(MAX(0,Inputs!$B$43-B875)&lt;=0,0,(INT(MAX(0,Inputs!$B$43-B875)/IF(Inputs!$B$38="pvp",15,MAX(0.1,Skills!D5-IF(Skills!E5=TRUE,Inputs!$B$32,0))))+1)),0)</f>
        <v/>
      </c>
      <c r="S841">
        <f>IFERROR((H841*N841*IF(AND(Inputs!$B$38&lt;&gt;"pvp",Inputs!$B$43&gt;0),((Skills!G5*((R841-1)*IF(Skills!H5&gt;0,Skills!I5/Skills!H5,1)+IF(Skills!H5&gt;0,MIN(Skills!I5,MAX(0,MAX(0,Inputs!$B$43-B875)-((R841-1)*IF(Inputs!$B$38="pvp",15,MAX(0.1,Skills!D5-IF(Skills!E5=TRUE,Inputs!$B$32,0))))))/Skills!H5,1)))/Inputs!$B$43),G841*Q841))/N841*IF(Inputs!$B$38="pvp",1,(1-Summary!$B$11)*1+Summary!$B$11*(MIN(Skills!R5,Inputs!$B$37))),0)</f>
        <v/>
      </c>
      <c r="T841">
        <f>IF(C841,(H841*N841*IF(AND(Inputs!$B$38&lt;&gt;"pvp",Inputs!$B$43&gt;0),((Skills!G5*((R841-1)*IF(Skills!H5&gt;0,Skills!I5/Skills!H5,1)+IF(Skills!H5&gt;0,MIN(Skills!I5,MAX(0,MAX(0,Inputs!$B$43-B875)-((R841-1)*IF(Inputs!$B$38="pvp",15,MAX(0.1,Skills!D5-IF(Skills!E5=TRUE,Inputs!$B$32,0))))))/Skills!H5,1)))/Inputs!$B$43),G841*Q841))*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Hunt"),CHOOSE(ArtifactsInput!$N$35+1,15,18,21,24,27,30)*(1-EXP(-(0.2*B870)*5)),0)+IF(AND(ArtifactsInput!$M$22,Inputs!$B$4&lt;&gt;"Chapter Hunt"),CHOOSE(ArtifactsInput!$N$22+1,10,12,14,16,18,20)*((0*(((0.15*B870*5))^0/1)+1*(((0.15*B870*5))^1/1)+2*(((0.15*B870*5))^2/2)+3*(((0.15*B870*5))^3/6)+4*(((0.15*B870*5))^4/24)+5*(((0.15*B870*5))^5/120))/((((0.15*B870*5))^0/1)+(((0.15*B870*5))^1/1)+(((0.15*B870*5))^2/2)+(((0.15*B870*5))^3/6)+(((0.15*B870*5))^4/24)+(((0.15*B870*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841*(1-MIN(100,(Inputs!$B$9+((C855=TRUE)*(F855-Calc!F19))+B868+(ArtifactsInput!$M$24-ArtifactsInput!$M$24)*CHOOSE(ArtifactsInput!$N$24+1,10,12,14,16,18,20)+(IF(AND(ArtifactsInput!$M$42,((Inputs!$B$9+((C855=TRUE)*(F855-Calc!F19))+B868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841*(MIN(100,(Inputs!$B$9+((C855=TRUE)*(F855-Calc!F19))+B868+(ArtifactsInput!$M$24-ArtifactsInput!$M$24)*CHOOSE(ArtifactsInput!$N$24+1,10,12,14,16,18,20)+(IF(AND(ArtifactsInput!$M$42,((Inputs!$B$9+((C855=TRUE)*(F855-Calc!F19))+B868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841*(1-MIN(100,(Inputs!$B$9+((C855=TRUE)*(F855-Calc!F19))+B868+(ArtifactsInput!$M$24-ArtifactsInput!$M$24)*CHOOSE(ArtifactsInput!$N$24+1,10,12,14,16,18,20)+(IF(AND(ArtifactsInput!$M$42,((Inputs!$B$9+((C855=TRUE)*(F855-Calc!F19))+B868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841*(MIN(100,(Inputs!$B$9+((C855=TRUE)*(F855-Calc!F19))+B868+(ArtifactsInput!$M$24-ArtifactsInput!$M$24)*CHOOSE(ArtifactsInput!$N$24+1,10,12,14,16,18,20)+(IF(AND(ArtifactsInput!$M$42,((Inputs!$B$9+((C855=TRUE)*(F855-Calc!F19))+B868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841">
        <f>IF(C841,(H841*N841*IF(AND(Inputs!$B$38&lt;&gt;"pvp",Inputs!$B$43&gt;0),((Skills!G5*((R841-1)*IF(Skills!H5&gt;0,Skills!I5/Skills!H5,1)+IF(Skills!H5&gt;0,MIN(Skills!I5,MAX(0,MAX(0,Inputs!$B$43-B875)-((R841-1)*IF(Inputs!$B$38="pvp",15,MAX(0.1,Skills!D5-IF(Skills!E5=TRUE,Inputs!$B$32,0))))))/Skills!H5,1)))/Inputs!$B$43),G841*Q841))*IF(Inputs!$B$38="pvp",1,(1+(Inputs!$B$21+Skills!Q5+(IF(ArtifactsInput!$M$33,CHOOSE(ArtifactsInput!$N$33+1,30,36,42,48,54,60),0))+(IF(AND(ArtifactsInput!$M$35,Inputs!$B$4&lt;&gt;"Chapter Hunt"),CHOOSE(ArtifactsInput!$N$35+1,15,18,21,24,27,30)*(1-EXP(-(0.2*B870)*5)),0)+IF(AND(ArtifactsInput!$M$22,Inputs!$B$4&lt;&gt;"Chapter Hunt"),CHOOSE(ArtifactsInput!$N$22+1,10,12,14,16,18,20)*((0*(((0.15*B870*5))^0/1)+1*(((0.15*B870*5))^1/1)+2*(((0.15*B870*5))^2/2)+3*(((0.15*B870*5))^3/6)+4*(((0.15*B870*5))^4/24)+5*(((0.15*B870*5))^5/120))/((((0.15*B870*5))^0/1)+(((0.15*B870*5))^1/1)+(((0.15*B870*5))^2/2)+(((0.15*B870*5))^3/6)+(((0.15*B870*5))^4/24)+(((0.15*B870*5))^5/120)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842">
      <c r="A842">
        <f>Skills!A6</f>
        <v/>
      </c>
      <c r="B842">
        <f>Skills!B6</f>
        <v/>
      </c>
      <c r="C842">
        <f>Inputs!$B$3&gt;=63</f>
        <v/>
      </c>
      <c r="D842">
        <f>IF(Skills!C6=1,60+Inputs!$B$25+Inputs!$B$29,IF(Skills!C6=2,90+(Inputs!$B$26+1)+Inputs!$B$29,IF(Skills!C6=3,120+Inputs!$B$27+Inputs!$B$29,MAX(0,(Inputs!$B$3-100)*3)+Inputs!$B$28+Inputs!$B$29)))</f>
        <v/>
      </c>
      <c r="E842">
        <f>INDEX(FactorTable!$B$2:$Y$301, MATCH(ROUND(MIN(300,MAX(1,D842)),0), FactorTable!$A$2:$A$301,0), Skills!M6+1)</f>
        <v/>
      </c>
      <c r="F842">
        <f>IF(Skills!N6=TRUE,(Skills!L6/10)*(E842/1000),Skills!L6/10)+Skills!O6</f>
        <v/>
      </c>
      <c r="G842">
        <f>Skills!G6*IF(Skills!H6&gt;0,Skills!I6/Skills!H6,1)</f>
        <v/>
      </c>
      <c r="H842">
        <f>1-(1-Skills!J6/100)^Skills!K6</f>
        <v/>
      </c>
      <c r="I842" t="inlineStr">
        <is>
          <t>1</t>
        </is>
      </c>
      <c r="J842">
        <f>((Inputs!$B$6*(1+Inputs!$B$7/100))+(((Inputs!$B$12*(1+Inputs!$B$13/100))-(Inputs!$B$12*(1+Inputs!$B$13/100)))+0.25*(Inputs!$B$14-Inputs!$B$14))*(1+Inputs!$B$7/100))*(F842/100)</f>
        <v/>
      </c>
      <c r="K842">
        <f>J842*(1+((Inputs!$B$12*(1+Inputs!$B$13/100))*0.01+Inputs!$B$14*0.0025)/100)*(1+Inputs!$B$15/100)*(1+Inputs!$B$16/100)*(5000/(6000+Inputs!$B$42*(1-(100*(1-(1-(Inputs!$B$19+0)/100)*(1-CHOOSE(ArtifactsInput!$N$40+1,5,6,7,8,9,10)/100)^(ArtifactsInput!$M$40-ArtifactsInput!$M$40)))/100)))*(1+(Inputs!$B$24+((C860=TRUE)*(F860-Calc!F24))+((C861=TRUE)*(F861-Calc!F25))+B874)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844=TRUE,F844,0)/100)*(1+(IF(Skills!A6="EMPOWERED_PIERCING_ARROW",Inputs!$B$17+((C858=TRUE)*(F858-Calc!F22))+(((IF(AND(ArtifactsInput!$M$42,((Inputs!$B$9+((C855=TRUE)*(F855-Calc!F19))+B868+(ArtifactsInput!$M$24-ArtifactsInput!$M$24)*CHOOSE(ArtifactsInput!$N$24+1,10,12,14,16,18,20)+IF(ArtifactsInput!$M$10,CHOOSE(ArtifactsInput!$N$10+1,15,18,21,24,27,30)*(IF(Inputs!$B$38="pvp",MIN(15,15)/15,IF(AND(Inputs!$B$38&lt;&gt;"pvp",Inputs!$B$43&gt;0),MIN(15,Inputs!$B$43)/(Inputs!$B$43),0))),0)))&gt;=100),MIN(100,((Inputs!$B$9+((C855=TRUE)*(F855-Calc!F19))+B868+(ArtifactsInput!$M$24-ArtifactsInput!$M$24)*CHOOSE(ArtifactsInput!$N$24+1,10,12,14,16,18,20)+IF(ArtifactsInput!$M$10,CHOOSE(ArtifactsInput!$N$10+1,15,18,21,24,27,30)*(IF(Inputs!$B$38="pvp",MIN(15,15)/15,IF(AND(Inputs!$B$38&lt;&gt;"pvp",Inputs!$B$43&gt;0),MIN(15,Inputs!$B$43)/(Inputs!$B$43),0))),0)))-100),0))*CHOOSE(ArtifactsInput!$N$42+1,0.6,0.72,0.84,0.96,1.08,1.2))),Inputs!$B$18+((C863=TRUE)*(F863-Calc!F27))+(IF(AND(ArtifactsInput!$M$42,((Inputs!$B$9+((C855=TRUE)*(F855-Calc!F19))+B868+(ArtifactsInput!$M$24-ArtifactsInput!$M$24)*CHOOSE(ArtifactsInput!$N$24+1,10,12,14,16,18,20)+IF(ArtifactsInput!$M$10,CHOOSE(ArtifactsInput!$N$10+1,15,18,21,24,27,30)*(IF(Inputs!$B$38="pvp",MIN(15,15)/15,IF(AND(Inputs!$B$38&lt;&gt;"pvp",Inputs!$B$43&gt;0),MIN(15,Inputs!$B$43)/(Inputs!$B$43),0))),0)))&gt;=100),CHOOSE(ArtifactsInput!$N$42+1,40,48,56,64,72,80),0))))/100)*((1+(((C849=TRUE)*F849)+((C850=TRUE)*IF(Inputs!$B$38="pvp",F850,(1-Summary!$B$11)*(F850)+Summary!$B$11*(0)))+((C851=TRUE)*F851*IF(AND(Inputs!$B$38&lt;&gt;"pvp",Inputs!$B$43&gt;0),(((R851-1)*(Skills!T15*(1+Inputs!$B$34/100))+MIN((Skills!T15*(1+Inputs!$B$34/100)),MAX(0,Inputs!$B$43-((R851-1)*Skills!D15))))/Inputs!$B$43),IF(Inputs!$B$38="pvp",MIN((Skills!T15*(1+Inputs!$B$34/100)),15)/15,(Skills!T15*(1+Inputs!$B$34/100))/Skills!D15)))+((C848=TRUE)*F848)+((C865=TRUE)*(F865-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842)</f>
        <v/>
      </c>
      <c r="L842">
        <f>K842*(MIN(Inputs!$B$22+((C859=TRUE)*(F859-Calc!F23)),(Inputs!$B$23+((C864=TRUE)*(F864-Calc!F28))+(IF(ArtifactsInput!$M$15,CHOOSE(ArtifactsInput!$N$15+1,25,30,35,40,45,50)/100*(Inputs!$B$11-Inputs!$B$11),0))))/100+(Inputs!$B$23+((C864=TRUE)*(F864-Calc!F28))+(IF(ArtifactsInput!$M$15,CHOOSE(ArtifactsInput!$N$15+1,25,30,35,40,45,50)/100*(Inputs!$B$11-Inputs!$B$11),0)))/100)/2</f>
        <v/>
      </c>
      <c r="M842">
        <f>L842*(1+(Inputs!$B$10+0+B873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842">
        <f>L842*(1-MIN((Inputs!$B$9+((C855=TRUE)*(F855-Calc!F19))+B868+(ArtifactsInput!$M$24-ArtifactsInput!$M$24)*CHOOSE(ArtifactsInput!$N$24+1,10,12,14,16,18,20)+(IF(AND(ArtifactsInput!$M$42,((Inputs!$B$9+((C855=TRUE)*(F855-Calc!F19))+B868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842*(MIN((Inputs!$B$9+((C855=TRUE)*(F855-Calc!F19))+B868+(ArtifactsInput!$M$24-ArtifactsInput!$M$24)*CHOOSE(ArtifactsInput!$N$24+1,10,12,14,16,18,20)+(IF(AND(ArtifactsInput!$M$42,((Inputs!$B$9+((C855=TRUE)*(F855-Calc!F19))+B868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842">
        <f>(1-Summary!$B$11)*T842+Summary!$B$11*V842</f>
        <v/>
      </c>
      <c r="P842">
        <f>IF(B878=0,0,O842/B878)</f>
        <v/>
      </c>
      <c r="Q842">
        <f>IFERROR(1/IF(Inputs!$B$38="pvp",15,MAX(0.1,Skills!D6-IF(Skills!E6=TRUE,Inputs!$B$32,0))),0)</f>
        <v/>
      </c>
      <c r="R842">
        <f>IF(AND(Inputs!$B$38&lt;&gt;"pvp",Inputs!$B$43&gt;0),IF(MAX(0,Inputs!$B$43-B875)&lt;=0,0,(INT(MAX(0,Inputs!$B$43-B875)/IF(Inputs!$B$38="pvp",15,MAX(0.1,Skills!D6-IF(Skills!E6=TRUE,Inputs!$B$32,0))))+1)),0)</f>
        <v/>
      </c>
      <c r="S842">
        <f>IFERROR((H842*N842*IF(AND(Inputs!$B$38&lt;&gt;"pvp",Inputs!$B$43&gt;0),((Skills!G6*((R842-1)*IF(Skills!H6&gt;0,Skills!I6/Skills!H6,1)+IF(Skills!H6&gt;0,MIN(Skills!I6,MAX(0,MAX(0,Inputs!$B$43-B875)-((R842-1)*IF(Inputs!$B$38="pvp",15,MAX(0.1,Skills!D6-IF(Skills!E6=TRUE,Inputs!$B$32,0))))))/Skills!H6,1)))/Inputs!$B$43),G842*Q842))/N842*IF(Inputs!$B$38="pvp",1,(1-Summary!$B$11)*1+Summary!$B$11*(MIN(Skills!R6,Inputs!$B$37))),0)</f>
        <v/>
      </c>
      <c r="T842">
        <f>IF(C842,(H842*N842*IF(AND(Inputs!$B$38&lt;&gt;"pvp",Inputs!$B$43&gt;0),((Skills!G6*((R842-1)*IF(Skills!H6&gt;0,Skills!I6/Skills!H6,1)+IF(Skills!H6&gt;0,MIN(Skills!I6,MAX(0,MAX(0,Inputs!$B$43-B875)-((R842-1)*IF(Inputs!$B$38="pvp",15,MAX(0.1,Skills!D6-IF(Skills!E6=TRUE,Inputs!$B$32,0))))))/Skills!H6,1)))/Inputs!$B$43),G842*Q842))*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Hunt"),CHOOSE(ArtifactsInput!$N$35+1,15,18,21,24,27,30)*(1-EXP(-(0.2*B870)*5)),0)+IF(AND(ArtifactsInput!$M$22,Inputs!$B$4&lt;&gt;"Chapter Hunt"),CHOOSE(ArtifactsInput!$N$22+1,10,12,14,16,18,20)*((0*(((0.15*B870*5))^0/1)+1*(((0.15*B870*5))^1/1)+2*(((0.15*B870*5))^2/2)+3*(((0.15*B870*5))^3/6)+4*(((0.15*B870*5))^4/24)+5*(((0.15*B870*5))^5/120))/((((0.15*B870*5))^0/1)+(((0.15*B870*5))^1/1)+(((0.15*B870*5))^2/2)+(((0.15*B870*5))^3/6)+(((0.15*B870*5))^4/24)+(((0.15*B870*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842*(1-MIN(100,(Inputs!$B$9+((C855=TRUE)*(F855-Calc!F19))+B868+(ArtifactsInput!$M$24-ArtifactsInput!$M$24)*CHOOSE(ArtifactsInput!$N$24+1,10,12,14,16,18,20)+(IF(AND(ArtifactsInput!$M$42,((Inputs!$B$9+((C855=TRUE)*(F855-Calc!F19))+B868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842*(MIN(100,(Inputs!$B$9+((C855=TRUE)*(F855-Calc!F19))+B868+(ArtifactsInput!$M$24-ArtifactsInput!$M$24)*CHOOSE(ArtifactsInput!$N$24+1,10,12,14,16,18,20)+(IF(AND(ArtifactsInput!$M$42,((Inputs!$B$9+((C855=TRUE)*(F855-Calc!F19))+B868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842*(1-MIN(100,(Inputs!$B$9+((C855=TRUE)*(F855-Calc!F19))+B868+(ArtifactsInput!$M$24-ArtifactsInput!$M$24)*CHOOSE(ArtifactsInput!$N$24+1,10,12,14,16,18,20)+(IF(AND(ArtifactsInput!$M$42,((Inputs!$B$9+((C855=TRUE)*(F855-Calc!F19))+B868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842*(MIN(100,(Inputs!$B$9+((C855=TRUE)*(F855-Calc!F19))+B868+(ArtifactsInput!$M$24-ArtifactsInput!$M$24)*CHOOSE(ArtifactsInput!$N$24+1,10,12,14,16,18,20)+(IF(AND(ArtifactsInput!$M$42,((Inputs!$B$9+((C855=TRUE)*(F855-Calc!F19))+B868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842">
        <f>IF(C842,(H842*N842*IF(AND(Inputs!$B$38&lt;&gt;"pvp",Inputs!$B$43&gt;0),((Skills!G6*((R842-1)*IF(Skills!H6&gt;0,Skills!I6/Skills!H6,1)+IF(Skills!H6&gt;0,MIN(Skills!I6,MAX(0,MAX(0,Inputs!$B$43-B875)-((R842-1)*IF(Inputs!$B$38="pvp",15,MAX(0.1,Skills!D6-IF(Skills!E6=TRUE,Inputs!$B$32,0))))))/Skills!H6,1)))/Inputs!$B$43),G842*Q842))*IF(Inputs!$B$38="pvp",1,(1+(Inputs!$B$21+Skills!Q6+(IF(ArtifactsInput!$M$33,CHOOSE(ArtifactsInput!$N$33+1,30,36,42,48,54,60),0))+(IF(AND(ArtifactsInput!$M$35,Inputs!$B$4&lt;&gt;"Chapter Hunt"),CHOOSE(ArtifactsInput!$N$35+1,15,18,21,24,27,30)*(1-EXP(-(0.2*B870)*5)),0)+IF(AND(ArtifactsInput!$M$22,Inputs!$B$4&lt;&gt;"Chapter Hunt"),CHOOSE(ArtifactsInput!$N$22+1,10,12,14,16,18,20)*((0*(((0.15*B870*5))^0/1)+1*(((0.15*B870*5))^1/1)+2*(((0.15*B870*5))^2/2)+3*(((0.15*B870*5))^3/6)+4*(((0.15*B870*5))^4/24)+5*(((0.15*B870*5))^5/120))/((((0.15*B870*5))^0/1)+(((0.15*B870*5))^1/1)+(((0.15*B870*5))^2/2)+(((0.15*B870*5))^3/6)+(((0.15*B870*5))^4/24)+(((0.15*B870*5))^5/120))),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843">
      <c r="A843">
        <f>Skills!A7</f>
        <v/>
      </c>
      <c r="B843">
        <f>Skills!B7</f>
        <v/>
      </c>
      <c r="C843">
        <f>Inputs!$B$3&gt;=69</f>
        <v/>
      </c>
      <c r="D843">
        <f>IF(Skills!C7=1,60+Inputs!$B$25+Inputs!$B$29,IF(Skills!C7=2,90+(Inputs!$B$26+1)+Inputs!$B$29,IF(Skills!C7=3,120+Inputs!$B$27+Inputs!$B$29,MAX(0,(Inputs!$B$3-100)*3)+Inputs!$B$28+Inputs!$B$29)))</f>
        <v/>
      </c>
      <c r="E843">
        <f>INDEX(FactorTable!$B$2:$Y$301, MATCH(ROUND(MIN(300,MAX(1,D843)),0), FactorTable!$A$2:$A$301,0), Skills!M7+1)</f>
        <v/>
      </c>
      <c r="F843">
        <f>IF(Skills!N7=TRUE,(Skills!L7/10)*(E843/1000),Skills!L7/10)+Skills!O7</f>
        <v/>
      </c>
      <c r="G843">
        <f>Skills!G7*IF(Skills!H7&gt;0,Skills!I7/Skills!H7,1)</f>
        <v/>
      </c>
      <c r="H843">
        <f>1-(1-Skills!J7/100)^Skills!K7</f>
        <v/>
      </c>
      <c r="I843" t="inlineStr">
        <is>
          <t>1</t>
        </is>
      </c>
      <c r="J843">
        <f>((Inputs!$B$6*(1+Inputs!$B$7/100))+(((Inputs!$B$12*(1+Inputs!$B$13/100))-(Inputs!$B$12*(1+Inputs!$B$13/100)))+0.25*(Inputs!$B$14-Inputs!$B$14))*(1+Inputs!$B$7/100))*(F843/100)</f>
        <v/>
      </c>
      <c r="K843">
        <f>J843*(1+((Inputs!$B$12*(1+Inputs!$B$13/100))*0.01+Inputs!$B$14*0.0025)/100)*(1+Inputs!$B$15/100)*(1+Inputs!$B$16/100)*(5000/(6000+Inputs!$B$42*(1-(100*(1-(1-(Inputs!$B$19+0)/100)*(1-CHOOSE(ArtifactsInput!$N$40+1,5,6,7,8,9,10)/100)^(ArtifactsInput!$M$40-ArtifactsInput!$M$40)))/100)))*(1+(Inputs!$B$24+((C860=TRUE)*(F860-Calc!F24))+((C861=TRUE)*(F861-Calc!F25))+B874)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+1.2*IF(C844=TRUE,F844,0)/100)*(1+(IF(Skills!A7="EMPOWERED_PIERCING_ARROW",Inputs!$B$17+((C858=TRUE)*(F858-Calc!F22))+(((IF(AND(ArtifactsInput!$M$42,((Inputs!$B$9+((C855=TRUE)*(F855-Calc!F19))+B868+(ArtifactsInput!$M$24-ArtifactsInput!$M$24)*CHOOSE(ArtifactsInput!$N$24+1,10,12,14,16,18,20)+IF(ArtifactsInput!$M$10,CHOOSE(ArtifactsInput!$N$10+1,15,18,21,24,27,30)*(IF(Inputs!$B$38="pvp",MIN(15,15)/15,IF(AND(Inputs!$B$38&lt;&gt;"pvp",Inputs!$B$43&gt;0),MIN(15,Inputs!$B$43)/(Inputs!$B$43),0))),0)))&gt;=100),MIN(100,((Inputs!$B$9+((C855=TRUE)*(F855-Calc!F19))+B868+(ArtifactsInput!$M$24-ArtifactsInput!$M$24)*CHOOSE(ArtifactsInput!$N$24+1,10,12,14,16,18,20)+IF(ArtifactsInput!$M$10,CHOOSE(ArtifactsInput!$N$10+1,15,18,21,24,27,30)*(IF(Inputs!$B$38="pvp",MIN(15,15)/15,IF(AND(Inputs!$B$38&lt;&gt;"pvp",Inputs!$B$43&gt;0),MIN(15,Inputs!$B$43)/(Inputs!$B$43),0))),0)))-100),0))*CHOOSE(ArtifactsInput!$N$42+1,0.6,0.72,0.84,0.96,1.08,1.2))),Inputs!$B$18+((C863=TRUE)*(F863-Calc!F27))+(IF(AND(ArtifactsInput!$M$42,((Inputs!$B$9+((C855=TRUE)*(F855-Calc!F19))+B868+(ArtifactsInput!$M$24-ArtifactsInput!$M$24)*CHOOSE(ArtifactsInput!$N$24+1,10,12,14,16,18,20)+IF(ArtifactsInput!$M$10,CHOOSE(ArtifactsInput!$N$10+1,15,18,21,24,27,30)*(IF(Inputs!$B$38="pvp",MIN(15,15)/15,IF(AND(Inputs!$B$38&lt;&gt;"pvp",Inputs!$B$43&gt;0),MIN(15,Inputs!$B$43)/(Inputs!$B$43),0))),0)))&gt;=100),CHOOSE(ArtifactsInput!$N$42+1,40,48,56,64,72,80),0))))/100)*((1+(((C849=TRUE)*F849)+((C850=TRUE)*IF(Inputs!$B$38="pvp",F850,(1-Summary!$B$11)*(F850)+Summary!$B$11*(0)))+((C851=TRUE)*F851*IF(AND(Inputs!$B$38&lt;&gt;"pvp",Inputs!$B$43&gt;0),(((R851-1)*(Skills!T15*(1+Inputs!$B$34/100))+MIN((Skills!T15*(1+Inputs!$B$34/100)),MAX(0,Inputs!$B$43-((R851-1)*Skills!D15))))/Inputs!$B$43),IF(Inputs!$B$38="pvp",MIN((Skills!T15*(1+Inputs!$B$34/100)),15)/15,(Skills!T15*(1+Inputs!$B$34/100))/Skills!D15)))+((C848=TRUE)*F848)+((C865=TRUE)*(F865-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843)</f>
        <v/>
      </c>
      <c r="L843">
        <f>K843*(MIN(Inputs!$B$22+((C859=TRUE)*(F859-Calc!F23)),(Inputs!$B$23+((C864=TRUE)*(F864-Calc!F28))+(IF(ArtifactsInput!$M$15,CHOOSE(ArtifactsInput!$N$15+1,25,30,35,40,45,50)/100*(Inputs!$B$11-Inputs!$B$11),0))))/100+(Inputs!$B$23+((C864=TRUE)*(F864-Calc!F28))+(IF(ArtifactsInput!$M$15,CHOOSE(ArtifactsInput!$N$15+1,25,30,35,40,45,50)/100*(Inputs!$B$11-Inputs!$B$11),0)))/100)/2</f>
        <v/>
      </c>
      <c r="M843">
        <f>L843*(1+(Inputs!$B$10+0+B873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843">
        <f>L843*(1-MIN((Inputs!$B$9+((C855=TRUE)*(F855-Calc!F19))+B868+(ArtifactsInput!$M$24-ArtifactsInput!$M$24)*CHOOSE(ArtifactsInput!$N$24+1,10,12,14,16,18,20)+(IF(AND(ArtifactsInput!$M$42,((Inputs!$B$9+((C855=TRUE)*(F855-Calc!F19))+B868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843*(MIN((Inputs!$B$9+((C855=TRUE)*(F855-Calc!F19))+B868+(ArtifactsInput!$M$24-ArtifactsInput!$M$24)*CHOOSE(ArtifactsInput!$N$24+1,10,12,14,16,18,20)+(IF(AND(ArtifactsInput!$M$42,((Inputs!$B$9+((C855=TRUE)*(F855-Calc!F19))+B868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843">
        <f>(1-Summary!$B$11)*T843+Summary!$B$11*V843</f>
        <v/>
      </c>
      <c r="P843">
        <f>IF(B878=0,0,O843/B878)</f>
        <v/>
      </c>
      <c r="Q843">
        <f>IFERROR(1/IF(Inputs!$B$38="pvp",15,MAX(0.1,Skills!D7-IF(Skills!E7=TRUE,Inputs!$B$32,0))),0)</f>
        <v/>
      </c>
      <c r="R843">
        <f>IF(AND(Inputs!$B$38&lt;&gt;"pvp",Inputs!$B$43&gt;0),IF(MAX(0,Inputs!$B$43-B875)&lt;=0,0,(INT(MAX(0,Inputs!$B$43-B875)/IF(Inputs!$B$38="pvp",15,MAX(0.1,Skills!D7-IF(Skills!E7=TRUE,Inputs!$B$32,0))))+1)),0)</f>
        <v/>
      </c>
      <c r="S843">
        <f>IFERROR((H843*N843*IF(AND(Inputs!$B$38&lt;&gt;"pvp",Inputs!$B$43&gt;0),((Skills!G7*((R843-1)*IF(Skills!H7&gt;0,Skills!I7/Skills!H7,1)+IF(Skills!H7&gt;0,MIN(Skills!I7,MAX(0,MAX(0,Inputs!$B$43-B875)-((R843-1)*IF(Inputs!$B$38="pvp",15,MAX(0.1,Skills!D7-IF(Skills!E7=TRUE,Inputs!$B$32,0))))))/Skills!H7,1)))/Inputs!$B$43),G843*Q843))/N843*IF(Inputs!$B$38="pvp",1,(1-Summary!$B$11)*1+Summary!$B$11*(MIN(Skills!R7,Inputs!$B$37))),0)</f>
        <v/>
      </c>
      <c r="T843">
        <f>IF(C843,(H843*N843*IF(AND(Inputs!$B$38&lt;&gt;"pvp",Inputs!$B$43&gt;0),((Skills!G7*((R843-1)*IF(Skills!H7&gt;0,Skills!I7/Skills!H7,1)+IF(Skills!H7&gt;0,MIN(Skills!I7,MAX(0,MAX(0,Inputs!$B$43-B875)-((R843-1)*IF(Inputs!$B$38="pvp",15,MAX(0.1,Skills!D7-IF(Skills!E7=TRUE,Inputs!$B$32,0))))))/Skills!H7,1)))/Inputs!$B$43),G843*Q843))*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Hunt"),CHOOSE(ArtifactsInput!$N$35+1,15,18,21,24,27,30)*(1-EXP(-(0.2*B870)*5)),0)+IF(AND(ArtifactsInput!$M$22,Inputs!$B$4&lt;&gt;"Chapter Hunt"),CHOOSE(ArtifactsInput!$N$22+1,10,12,14,16,18,20)*((0*(((0.15*B870*5))^0/1)+1*(((0.15*B870*5))^1/1)+2*(((0.15*B870*5))^2/2)+3*(((0.15*B870*5))^3/6)+4*(((0.15*B870*5))^4/24)+5*(((0.15*B870*5))^5/120))/((((0.15*B870*5))^0/1)+(((0.15*B870*5))^1/1)+(((0.15*B870*5))^2/2)+(((0.15*B870*5))^3/6)+(((0.15*B870*5))^4/24)+(((0.15*B870*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843*(1-MIN(100,(Inputs!$B$9+((C855=TRUE)*(F855-Calc!F19))+B868+(ArtifactsInput!$M$24-ArtifactsInput!$M$24)*CHOOSE(ArtifactsInput!$N$24+1,10,12,14,16,18,20)+(IF(AND(ArtifactsInput!$M$42,((Inputs!$B$9+((C855=TRUE)*(F855-Calc!F19))+B868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843*(MIN(100,(Inputs!$B$9+((C855=TRUE)*(F855-Calc!F19))+B868+(ArtifactsInput!$M$24-ArtifactsInput!$M$24)*CHOOSE(ArtifactsInput!$N$24+1,10,12,14,16,18,20)+(IF(AND(ArtifactsInput!$M$42,((Inputs!$B$9+((C855=TRUE)*(F855-Calc!F19))+B868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843*(1-MIN(100,(Inputs!$B$9+((C855=TRUE)*(F855-Calc!F19))+B868+(ArtifactsInput!$M$24-ArtifactsInput!$M$24)*CHOOSE(ArtifactsInput!$N$24+1,10,12,14,16,18,20)+(IF(AND(ArtifactsInput!$M$42,((Inputs!$B$9+((C855=TRUE)*(F855-Calc!F19))+B868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843*(MIN(100,(Inputs!$B$9+((C855=TRUE)*(F855-Calc!F19))+B868+(ArtifactsInput!$M$24-ArtifactsInput!$M$24)*CHOOSE(ArtifactsInput!$N$24+1,10,12,14,16,18,20)+(IF(AND(ArtifactsInput!$M$42,((Inputs!$B$9+((C855=TRUE)*(F855-Calc!F19))+B868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843">
        <f>IF(C843,(H843*N843*IF(AND(Inputs!$B$38&lt;&gt;"pvp",Inputs!$B$43&gt;0),((Skills!G7*((R843-1)*IF(Skills!H7&gt;0,Skills!I7/Skills!H7,1)+IF(Skills!H7&gt;0,MIN(Skills!I7,MAX(0,MAX(0,Inputs!$B$43-B875)-((R843-1)*IF(Inputs!$B$38="pvp",15,MAX(0.1,Skills!D7-IF(Skills!E7=TRUE,Inputs!$B$32,0))))))/Skills!H7,1)))/Inputs!$B$43),G843*Q843))*IF(Inputs!$B$38="pvp",1,(1+(Inputs!$B$21+Skills!Q7+(IF(ArtifactsInput!$M$33,CHOOSE(ArtifactsInput!$N$33+1,30,36,42,48,54,60),0))+(IF(AND(ArtifactsInput!$M$35,Inputs!$B$4&lt;&gt;"Chapter Hunt"),CHOOSE(ArtifactsInput!$N$35+1,15,18,21,24,27,30)*(1-EXP(-(0.2*B870)*5)),0)+IF(AND(ArtifactsInput!$M$22,Inputs!$B$4&lt;&gt;"Chapter Hunt"),CHOOSE(ArtifactsInput!$N$22+1,10,12,14,16,18,20)*((0*(((0.15*B870*5))^0/1)+1*(((0.15*B870*5))^1/1)+2*(((0.15*B870*5))^2/2)+3*(((0.15*B870*5))^3/6)+4*(((0.15*B870*5))^4/24)+5*(((0.15*B870*5))^5/120))/((((0.15*B870*5))^0/1)+(((0.15*B870*5))^1/1)+(((0.15*B870*5))^2/2)+(((0.15*B870*5))^3/6)+(((0.15*B870*5))^4/24)+(((0.15*B870*5))^5/120))),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844">
      <c r="A844">
        <f>Skills!A8</f>
        <v/>
      </c>
      <c r="B844">
        <f>Skills!B8</f>
        <v/>
      </c>
      <c r="C844">
        <f>Inputs!$B$3&gt;=100</f>
        <v/>
      </c>
      <c r="D844">
        <f>IF(Skills!C8=1,60+Inputs!$B$25+Inputs!$B$29,IF(Skills!C8=2,90+(Inputs!$B$26+1)+Inputs!$B$29,IF(Skills!C8=3,120+Inputs!$B$27+Inputs!$B$29,MAX(0,(Inputs!$B$3-100)*3)+Inputs!$B$28+Inputs!$B$29)))</f>
        <v/>
      </c>
      <c r="E844">
        <f>INDEX(FactorTable!$B$2:$Y$301, MATCH(ROUND(MIN(300,MAX(1,D844)),0), FactorTable!$A$2:$A$301,0), Skills!M8+1)</f>
        <v/>
      </c>
      <c r="F844">
        <f>IF(Skills!N8=TRUE,(Skills!L8/10)*(E844/1000),Skills!L8/10)+Skills!O8</f>
        <v/>
      </c>
      <c r="G844" t="inlineStr"/>
      <c r="H844" t="inlineStr"/>
      <c r="I844" t="inlineStr">
        <is>
          <t>1</t>
        </is>
      </c>
      <c r="J844" t="inlineStr"/>
      <c r="K844" t="inlineStr"/>
      <c r="L844" t="inlineStr"/>
      <c r="M844" t="inlineStr"/>
      <c r="N844" t="inlineStr"/>
      <c r="O844" t="inlineStr"/>
      <c r="P844" t="inlineStr"/>
      <c r="Q844" t="inlineStr"/>
      <c r="R844" t="inlineStr"/>
      <c r="S844" t="inlineStr"/>
      <c r="T844" t="inlineStr"/>
      <c r="V844" t="inlineStr"/>
    </row>
    <row r="845">
      <c r="A845">
        <f>Skills!A9</f>
        <v/>
      </c>
      <c r="B845">
        <f>Skills!B9</f>
        <v/>
      </c>
      <c r="C845">
        <f>Inputs!$B$3&gt;=103</f>
        <v/>
      </c>
      <c r="D845">
        <f>IF(Skills!C9=1,60+Inputs!$B$25+Inputs!$B$29,IF(Skills!C9=2,90+(Inputs!$B$26+1)+Inputs!$B$29,IF(Skills!C9=3,120+Inputs!$B$27+Inputs!$B$29,MAX(0,(Inputs!$B$3-100)*3)+Inputs!$B$28+Inputs!$B$29)))</f>
        <v/>
      </c>
      <c r="E845">
        <f>INDEX(FactorTable!$B$2:$Y$301, MATCH(ROUND(MIN(300,MAX(1,D845)),0), FactorTable!$A$2:$A$301,0), Skills!M9+1)</f>
        <v/>
      </c>
      <c r="F845">
        <f>IF(Skills!N9=TRUE,(Skills!L9/10)*(E845/1000),Skills!L9/10)+Skills!O9</f>
        <v/>
      </c>
      <c r="G845">
        <f>Skills!G9*IF(Skills!H9&gt;0,Skills!I9/Skills!H9,1)</f>
        <v/>
      </c>
      <c r="H845">
        <f>1-(1-Skills!J9/100)^Skills!K9</f>
        <v/>
      </c>
      <c r="I845" t="inlineStr">
        <is>
          <t>1</t>
        </is>
      </c>
      <c r="J845">
        <f>((Inputs!$B$6*(1+Inputs!$B$7/100))+(((Inputs!$B$12*(1+Inputs!$B$13/100))-(Inputs!$B$12*(1+Inputs!$B$13/100)))+0.25*(Inputs!$B$14-Inputs!$B$14))*(1+Inputs!$B$7/100))*(F845/100)</f>
        <v/>
      </c>
      <c r="K845">
        <f>J845*(1+((Inputs!$B$12*(1+Inputs!$B$13/100))*0.01+Inputs!$B$14*0.0025)/100)*(1+Inputs!$B$15/100)*(1+Inputs!$B$16/100)*(5000/(6000+Inputs!$B$42*(1-(100*(1-(1-(Inputs!$B$19+0)/100)*(1-CHOOSE(ArtifactsInput!$N$40+1,5,6,7,8,9,10)/100)^(ArtifactsInput!$M$40-ArtifactsInput!$M$40)))/100)))*(1+(Inputs!$B$24+((C860=TRUE)*(F860-Calc!F24))+((C861=TRUE)*(F861-Calc!F25))+B874)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EMPOWERED_PIERCING_ARROW",Inputs!$B$17+((C858=TRUE)*(F858-Calc!F22))+(((IF(AND(ArtifactsInput!$M$42,((Inputs!$B$9+((C855=TRUE)*(F855-Calc!F19))+B868+(ArtifactsInput!$M$24-ArtifactsInput!$M$24)*CHOOSE(ArtifactsInput!$N$24+1,10,12,14,16,18,20)+IF(ArtifactsInput!$M$10,CHOOSE(ArtifactsInput!$N$10+1,15,18,21,24,27,30)*(IF(Inputs!$B$38="pvp",MIN(15,15)/15,IF(AND(Inputs!$B$38&lt;&gt;"pvp",Inputs!$B$43&gt;0),MIN(15,Inputs!$B$43)/(Inputs!$B$43),0))),0)))&gt;=100),MIN(100,((Inputs!$B$9+((C855=TRUE)*(F855-Calc!F19))+B868+(ArtifactsInput!$M$24-ArtifactsInput!$M$24)*CHOOSE(ArtifactsInput!$N$24+1,10,12,14,16,18,20)+IF(ArtifactsInput!$M$10,CHOOSE(ArtifactsInput!$N$10+1,15,18,21,24,27,30)*(IF(Inputs!$B$38="pvp",MIN(15,15)/15,IF(AND(Inputs!$B$38&lt;&gt;"pvp",Inputs!$B$43&gt;0),MIN(15,Inputs!$B$43)/(Inputs!$B$43),0))),0)))-100),0))*CHOOSE(ArtifactsInput!$N$42+1,0.6,0.72,0.84,0.96,1.08,1.2))),Inputs!$B$18+((C863=TRUE)*(F863-Calc!F27))+(IF(AND(ArtifactsInput!$M$42,((Inputs!$B$9+((C855=TRUE)*(F855-Calc!F19))+B868+(ArtifactsInput!$M$24-ArtifactsInput!$M$24)*CHOOSE(ArtifactsInput!$N$24+1,10,12,14,16,18,20)+IF(ArtifactsInput!$M$10,CHOOSE(ArtifactsInput!$N$10+1,15,18,21,24,27,30)*(IF(Inputs!$B$38="pvp",MIN(15,15)/15,IF(AND(Inputs!$B$38&lt;&gt;"pvp",Inputs!$B$43&gt;0),MIN(15,Inputs!$B$43)/(Inputs!$B$43),0))),0)))&gt;=100),CHOOSE(ArtifactsInput!$N$42+1,40,48,56,64,72,80),0))))/100)*((1+(((C849=TRUE)*F849)+((C850=TRUE)*IF(Inputs!$B$38="pvp",F850,(1-Summary!$B$11)*(F850)+Summary!$B$11*(0)))+((C851=TRUE)*F851*IF(AND(Inputs!$B$38&lt;&gt;"pvp",Inputs!$B$43&gt;0),(((R851-1)*(Skills!T15*(1+Inputs!$B$34/100))+MIN((Skills!T15*(1+Inputs!$B$34/100)),MAX(0,Inputs!$B$43-((R851-1)*Skills!D15))))/Inputs!$B$43),IF(Inputs!$B$38="pvp",MIN((Skills!T15*(1+Inputs!$B$34/100)),15)/15,(Skills!T15*(1+Inputs!$B$34/100))/Skills!D15)))+((C848=TRUE)*F848)+((C865=TRUE)*(F865-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845)</f>
        <v/>
      </c>
      <c r="L845">
        <f>K845*(MIN(Inputs!$B$22+((C859=TRUE)*(F859-Calc!F23)),(Inputs!$B$23+((C864=TRUE)*(F864-Calc!F28))+(IF(ArtifactsInput!$M$15,CHOOSE(ArtifactsInput!$N$15+1,25,30,35,40,45,50)/100*(Inputs!$B$11-Inputs!$B$11),0))))/100+(Inputs!$B$23+((C864=TRUE)*(F864-Calc!F28))+(IF(ArtifactsInput!$M$15,CHOOSE(ArtifactsInput!$N$15+1,25,30,35,40,45,50)/100*(Inputs!$B$11-Inputs!$B$11),0)))/100)/2</f>
        <v/>
      </c>
      <c r="M845">
        <f>L845*(1+(Inputs!$B$10+0+B873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845">
        <f>L845*(1-MIN((Inputs!$B$9+((C855=TRUE)*(F855-Calc!F19))+B868+(ArtifactsInput!$M$24-ArtifactsInput!$M$24)*CHOOSE(ArtifactsInput!$N$24+1,10,12,14,16,18,20)+(IF(AND(ArtifactsInput!$M$42,((Inputs!$B$9+((C855=TRUE)*(F855-Calc!F19))+B868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845*(MIN((Inputs!$B$9+((C855=TRUE)*(F855-Calc!F19))+B868+(ArtifactsInput!$M$24-ArtifactsInput!$M$24)*CHOOSE(ArtifactsInput!$N$24+1,10,12,14,16,18,20)+(IF(AND(ArtifactsInput!$M$42,((Inputs!$B$9+((C855=TRUE)*(F855-Calc!F19))+B868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845">
        <f>(1-Summary!$B$11)*T845+Summary!$B$11*V845</f>
        <v/>
      </c>
      <c r="P845">
        <f>IF(B878=0,0,O845/B878)</f>
        <v/>
      </c>
      <c r="Q845">
        <f>IFERROR(1/IF(Inputs!$B$38="pvp",15,MAX(0.1,Skills!D9-IF(Skills!E9=TRUE,Inputs!$B$32,0))),0)</f>
        <v/>
      </c>
      <c r="R845">
        <f>IF(AND(Inputs!$B$38&lt;&gt;"pvp",Inputs!$B$43&gt;0),IF(MAX(0,Inputs!$B$43-B875)&lt;=0,0,(INT(MAX(0,Inputs!$B$43-B875)/IF(Inputs!$B$38="pvp",15,MAX(0.1,Skills!D9-IF(Skills!E9=TRUE,Inputs!$B$32,0))))+1)),0)</f>
        <v/>
      </c>
      <c r="S845">
        <f>IFERROR((H845*N845*IF(AND(Inputs!$B$38&lt;&gt;"pvp",Inputs!$B$43&gt;0),((Skills!G9*((R845-1)*IF(Skills!H9&gt;0,Skills!I9/Skills!H9,1)+IF(Skills!H9&gt;0,MIN(Skills!I9,MAX(0,MAX(0,Inputs!$B$43-B875)-((R845-1)*IF(Inputs!$B$38="pvp",15,MAX(0.1,Skills!D9-IF(Skills!E9=TRUE,Inputs!$B$32,0))))))/Skills!H9,1)))/Inputs!$B$43),G845*Q845))/N845*IF(Inputs!$B$38="pvp",1,(1-Summary!$B$11)*1+Summary!$B$11*(MIN(Skills!R9,Inputs!$B$37))),0)</f>
        <v/>
      </c>
      <c r="T845">
        <f>IF(C845,(H845*N845*IF(AND(Inputs!$B$38&lt;&gt;"pvp",Inputs!$B$43&gt;0),((Skills!G9*((R845-1)*IF(Skills!H9&gt;0,Skills!I9/Skills!H9,1)+IF(Skills!H9&gt;0,MIN(Skills!I9,MAX(0,MAX(0,Inputs!$B$43-B875)-((R845-1)*IF(Inputs!$B$38="pvp",15,MAX(0.1,Skills!D9-IF(Skills!E9=TRUE,Inputs!$B$32,0))))))/Skills!H9,1)))/Inputs!$B$43),G845*Q845))*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Hunt"),CHOOSE(ArtifactsInput!$N$35+1,15,18,21,24,27,30)*(1-EXP(-(0.2*B870)*5)),0)+IF(AND(ArtifactsInput!$M$22,Inputs!$B$4&lt;&gt;"Chapter Hunt"),CHOOSE(ArtifactsInput!$N$22+1,10,12,14,16,18,20)*((0*(((0.15*B870*5))^0/1)+1*(((0.15*B870*5))^1/1)+2*(((0.15*B870*5))^2/2)+3*(((0.15*B870*5))^3/6)+4*(((0.15*B870*5))^4/24)+5*(((0.15*B870*5))^5/120))/((((0.15*B870*5))^0/1)+(((0.15*B870*5))^1/1)+(((0.15*B870*5))^2/2)+(((0.15*B870*5))^3/6)+(((0.15*B870*5))^4/24)+(((0.15*B870*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845*(1-MIN(100,(Inputs!$B$9+((C855=TRUE)*(F855-Calc!F19))+B868+(ArtifactsInput!$M$24-ArtifactsInput!$M$24)*CHOOSE(ArtifactsInput!$N$24+1,10,12,14,16,18,20)+(IF(AND(ArtifactsInput!$M$42,((Inputs!$B$9+((C855=TRUE)*(F855-Calc!F19))+B868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845*(MIN(100,(Inputs!$B$9+((C855=TRUE)*(F855-Calc!F19))+B868+(ArtifactsInput!$M$24-ArtifactsInput!$M$24)*CHOOSE(ArtifactsInput!$N$24+1,10,12,14,16,18,20)+(IF(AND(ArtifactsInput!$M$42,((Inputs!$B$9+((C855=TRUE)*(F855-Calc!F19))+B868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845*(1-MIN(100,(Inputs!$B$9+((C855=TRUE)*(F855-Calc!F19))+B868+(ArtifactsInput!$M$24-ArtifactsInput!$M$24)*CHOOSE(ArtifactsInput!$N$24+1,10,12,14,16,18,20)+(IF(AND(ArtifactsInput!$M$42,((Inputs!$B$9+((C855=TRUE)*(F855-Calc!F19))+B868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845*(MIN(100,(Inputs!$B$9+((C855=TRUE)*(F855-Calc!F19))+B868+(ArtifactsInput!$M$24-ArtifactsInput!$M$24)*CHOOSE(ArtifactsInput!$N$24+1,10,12,14,16,18,20)+(IF(AND(ArtifactsInput!$M$42,((Inputs!$B$9+((C855=TRUE)*(F855-Calc!F19))+B868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845">
        <f>IF(C845,(H845*N845*IF(AND(Inputs!$B$38&lt;&gt;"pvp",Inputs!$B$43&gt;0),((Skills!G9*((R845-1)*IF(Skills!H9&gt;0,Skills!I9/Skills!H9,1)+IF(Skills!H9&gt;0,MIN(Skills!I9,MAX(0,MAX(0,Inputs!$B$43-B875)-((R845-1)*IF(Inputs!$B$38="pvp",15,MAX(0.1,Skills!D9-IF(Skills!E9=TRUE,Inputs!$B$32,0))))))/Skills!H9,1)))/Inputs!$B$43),G845*Q845))*IF(Inputs!$B$38="pvp",1,(1+(Inputs!$B$21+Skills!Q9+(IF(ArtifactsInput!$M$33,CHOOSE(ArtifactsInput!$N$33+1,30,36,42,48,54,60),0))+(IF(AND(ArtifactsInput!$M$35,Inputs!$B$4&lt;&gt;"Chapter Hunt"),CHOOSE(ArtifactsInput!$N$35+1,15,18,21,24,27,30)*(1-EXP(-(0.2*B870)*5)),0)+IF(AND(ArtifactsInput!$M$22,Inputs!$B$4&lt;&gt;"Chapter Hunt"),CHOOSE(ArtifactsInput!$N$22+1,10,12,14,16,18,20)*((0*(((0.15*B870*5))^0/1)+1*(((0.15*B870*5))^1/1)+2*(((0.15*B870*5))^2/2)+3*(((0.15*B870*5))^3/6)+4*(((0.15*B870*5))^4/24)+5*(((0.15*B870*5))^5/120))/((((0.15*B870*5))^0/1)+(((0.15*B870*5))^1/1)+(((0.15*B870*5))^2/2)+(((0.15*B870*5))^3/6)+(((0.15*B870*5))^4/24)+(((0.15*B870*5))^5/120)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846">
      <c r="A846">
        <f>Skills!A10</f>
        <v/>
      </c>
      <c r="B846">
        <f>Skills!B10</f>
        <v/>
      </c>
      <c r="C846">
        <f>Inputs!$B$3&gt;=107</f>
        <v/>
      </c>
      <c r="D846">
        <f>IF(Skills!C10=1,60+Inputs!$B$25+Inputs!$B$29,IF(Skills!C10=2,90+(Inputs!$B$26+1)+Inputs!$B$29,IF(Skills!C10=3,120+Inputs!$B$27+Inputs!$B$29,MAX(0,(Inputs!$B$3-100)*3)+Inputs!$B$28+Inputs!$B$29)))</f>
        <v/>
      </c>
      <c r="E846">
        <f>INDEX(FactorTable!$B$2:$Y$301, MATCH(ROUND(MIN(300,MAX(1,D846)),0), FactorTable!$A$2:$A$301,0), Skills!M10+1)</f>
        <v/>
      </c>
      <c r="F846">
        <f>IF(Skills!N10=TRUE,(Skills!L10/10)*(E846/1000),Skills!L10/10)+Skills!O10</f>
        <v/>
      </c>
      <c r="G846">
        <f>Skills!G10*IF(Skills!H10&gt;0,Skills!I10/Skills!H10,1)</f>
        <v/>
      </c>
      <c r="H846">
        <f>1-(1-Skills!J10/100)^Skills!K10</f>
        <v/>
      </c>
      <c r="I846" t="inlineStr">
        <is>
          <t>1</t>
        </is>
      </c>
      <c r="J846">
        <f>((Inputs!$B$6*(1+Inputs!$B$7/100))+(((Inputs!$B$12*(1+Inputs!$B$13/100))-(Inputs!$B$12*(1+Inputs!$B$13/100)))+0.25*(Inputs!$B$14-Inputs!$B$14))*(1+Inputs!$B$7/100))*(F846/100)</f>
        <v/>
      </c>
      <c r="K846">
        <f>J846*(1+((Inputs!$B$12*(1+Inputs!$B$13/100))*0.01+Inputs!$B$14*0.0025)/100)*(1+Inputs!$B$15/100)*(1+Inputs!$B$16/100)*(5000/(6000+Inputs!$B$42*(1-(100*(1-(1-(Inputs!$B$19+0)/100)*(1-CHOOSE(ArtifactsInput!$N$40+1,5,6,7,8,9,10)/100)^(ArtifactsInput!$M$40-ArtifactsInput!$M$40)))/100)))*(1+(Inputs!$B$24+((C860=TRUE)*(F860-Calc!F24))+((C861=TRUE)*(F861-Calc!F25))+B874)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EMPOWERED_PIERCING_ARROW",Inputs!$B$17+((C858=TRUE)*(F858-Calc!F22))+(((IF(AND(ArtifactsInput!$M$42,((Inputs!$B$9+((C855=TRUE)*(F855-Calc!F19))+B868+(ArtifactsInput!$M$24-ArtifactsInput!$M$24)*CHOOSE(ArtifactsInput!$N$24+1,10,12,14,16,18,20)+IF(ArtifactsInput!$M$10,CHOOSE(ArtifactsInput!$N$10+1,15,18,21,24,27,30)*(IF(Inputs!$B$38="pvp",MIN(15,15)/15,IF(AND(Inputs!$B$38&lt;&gt;"pvp",Inputs!$B$43&gt;0),MIN(15,Inputs!$B$43)/(Inputs!$B$43),0))),0)))&gt;=100),MIN(100,((Inputs!$B$9+((C855=TRUE)*(F855-Calc!F19))+B868+(ArtifactsInput!$M$24-ArtifactsInput!$M$24)*CHOOSE(ArtifactsInput!$N$24+1,10,12,14,16,18,20)+IF(ArtifactsInput!$M$10,CHOOSE(ArtifactsInput!$N$10+1,15,18,21,24,27,30)*(IF(Inputs!$B$38="pvp",MIN(15,15)/15,IF(AND(Inputs!$B$38&lt;&gt;"pvp",Inputs!$B$43&gt;0),MIN(15,Inputs!$B$43)/(Inputs!$B$43),0))),0)))-100),0))*CHOOSE(ArtifactsInput!$N$42+1,0.6,0.72,0.84,0.96,1.08,1.2))),Inputs!$B$18+((C863=TRUE)*(F863-Calc!F27))+(IF(AND(ArtifactsInput!$M$42,((Inputs!$B$9+((C855=TRUE)*(F855-Calc!F19))+B868+(ArtifactsInput!$M$24-ArtifactsInput!$M$24)*CHOOSE(ArtifactsInput!$N$24+1,10,12,14,16,18,20)+IF(ArtifactsInput!$M$10,CHOOSE(ArtifactsInput!$N$10+1,15,18,21,24,27,30)*(IF(Inputs!$B$38="pvp",MIN(15,15)/15,IF(AND(Inputs!$B$38&lt;&gt;"pvp",Inputs!$B$43&gt;0),MIN(15,Inputs!$B$43)/(Inputs!$B$43),0))),0)))&gt;=100),CHOOSE(ArtifactsInput!$N$42+1,40,48,56,64,72,80),0))))/100)*((1+(((C849=TRUE)*F849)+((C850=TRUE)*IF(Inputs!$B$38="pvp",F850,(1-Summary!$B$11)*(F850)+Summary!$B$11*(0)))+((C851=TRUE)*F851*IF(AND(Inputs!$B$38&lt;&gt;"pvp",Inputs!$B$43&gt;0),(((R851-1)*(Skills!T15*(1+Inputs!$B$34/100))+MIN((Skills!T15*(1+Inputs!$B$34/100)),MAX(0,Inputs!$B$43-((R851-1)*Skills!D15))))/Inputs!$B$43),IF(Inputs!$B$38="pvp",MIN((Skills!T15*(1+Inputs!$B$34/100)),15)/15,(Skills!T15*(1+Inputs!$B$34/100))/Skills!D15)))+((C848=TRUE)*F848)+((C865=TRUE)*(F865-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846)</f>
        <v/>
      </c>
      <c r="L846">
        <f>K846*(MIN(Inputs!$B$22+((C859=TRUE)*(F859-Calc!F23)),(Inputs!$B$23+((C864=TRUE)*(F864-Calc!F28))+(IF(ArtifactsInput!$M$15,CHOOSE(ArtifactsInput!$N$15+1,25,30,35,40,45,50)/100*(Inputs!$B$11-Inputs!$B$11),0))))/100+(Inputs!$B$23+((C864=TRUE)*(F864-Calc!F28))+(IF(ArtifactsInput!$M$15,CHOOSE(ArtifactsInput!$N$15+1,25,30,35,40,45,50)/100*(Inputs!$B$11-Inputs!$B$11),0)))/100)/2</f>
        <v/>
      </c>
      <c r="M846">
        <f>L846*(1+(Inputs!$B$10+0+B873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846">
        <f>L846*(1-MIN((Inputs!$B$9+((C855=TRUE)*(F855-Calc!F19))+B868+(ArtifactsInput!$M$24-ArtifactsInput!$M$24)*CHOOSE(ArtifactsInput!$N$24+1,10,12,14,16,18,20)+(IF(AND(ArtifactsInput!$M$42,((Inputs!$B$9+((C855=TRUE)*(F855-Calc!F19))+B868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846*(MIN((Inputs!$B$9+((C855=TRUE)*(F855-Calc!F19))+B868+(ArtifactsInput!$M$24-ArtifactsInput!$M$24)*CHOOSE(ArtifactsInput!$N$24+1,10,12,14,16,18,20)+(IF(AND(ArtifactsInput!$M$42,((Inputs!$B$9+((C855=TRUE)*(F855-Calc!F19))+B868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846">
        <f>(1-Summary!$B$11)*T846+Summary!$B$11*V846</f>
        <v/>
      </c>
      <c r="P846">
        <f>IF(B878=0,0,O846/B878)</f>
        <v/>
      </c>
      <c r="Q846" t="n">
        <v>0</v>
      </c>
      <c r="R846" t="n">
        <v>0</v>
      </c>
      <c r="S846" t="n">
        <v>0</v>
      </c>
      <c r="T846">
        <f>IF(C846,(0.15*SUMPRODUCT((Skills!U2:U29=TRUE)*(C838:C865=TRUE)*S838:S865)*Skills!G10*N846)*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Hunt"),CHOOSE(ArtifactsInput!$N$35+1,15,18,21,24,27,30)*(1-EXP(-(0.2*B870)*5)),0)+IF(AND(ArtifactsInput!$M$22,Inputs!$B$4&lt;&gt;"Chapter Hunt"),CHOOSE(ArtifactsInput!$N$22+1,10,12,14,16,18,20)*((0*(((0.15*B870*5))^0/1)+1*(((0.15*B870*5))^1/1)+2*(((0.15*B870*5))^2/2)+3*(((0.15*B870*5))^3/6)+4*(((0.15*B870*5))^4/24)+5*(((0.15*B870*5))^5/120))/((((0.15*B870*5))^0/1)+(((0.15*B870*5))^1/1)+(((0.15*B870*5))^2/2)+(((0.15*B870*5))^3/6)+(((0.15*B870*5))^4/24)+(((0.15*B870*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846*(1-MIN(100,(Inputs!$B$9+((C855=TRUE)*(F855-Calc!F19))+B868+(ArtifactsInput!$M$24-ArtifactsInput!$M$24)*CHOOSE(ArtifactsInput!$N$24+1,10,12,14,16,18,20)+(IF(AND(ArtifactsInput!$M$42,((Inputs!$B$9+((C855=TRUE)*(F855-Calc!F19))+B868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846*(MIN(100,(Inputs!$B$9+((C855=TRUE)*(F855-Calc!F19))+B868+(ArtifactsInput!$M$24-ArtifactsInput!$M$24)*CHOOSE(ArtifactsInput!$N$24+1,10,12,14,16,18,20)+(IF(AND(ArtifactsInput!$M$42,((Inputs!$B$9+((C855=TRUE)*(F855-Calc!F19))+B868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846*(1-MIN(100,(Inputs!$B$9+((C855=TRUE)*(F855-Calc!F19))+B868+(ArtifactsInput!$M$24-ArtifactsInput!$M$24)*CHOOSE(ArtifactsInput!$N$24+1,10,12,14,16,18,20)+(IF(AND(ArtifactsInput!$M$42,((Inputs!$B$9+((C855=TRUE)*(F855-Calc!F19))+B868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846*(MIN(100,(Inputs!$B$9+((C855=TRUE)*(F855-Calc!F19))+B868+(ArtifactsInput!$M$24-ArtifactsInput!$M$24)*CHOOSE(ArtifactsInput!$N$24+1,10,12,14,16,18,20)+(IF(AND(ArtifactsInput!$M$42,((Inputs!$B$9+((C855=TRUE)*(F855-Calc!F19))+B868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846">
        <f>IF(C846,(0.15*SUMPRODUCT((Skills!U2:U29=TRUE)*(C838:C865=TRUE)*S838:S865)*Skills!G10*N846)*IF(Inputs!$B$38="pvp",1,(1+(Inputs!$B$21+Skills!Q10+(IF(ArtifactsInput!$M$33,CHOOSE(ArtifactsInput!$N$33+1,30,36,42,48,54,60),0))+(IF(AND(ArtifactsInput!$M$35,Inputs!$B$4&lt;&gt;"Chapter Hunt"),CHOOSE(ArtifactsInput!$N$35+1,15,18,21,24,27,30)*(1-EXP(-(0.2*B870)*5)),0)+IF(AND(ArtifactsInput!$M$22,Inputs!$B$4&lt;&gt;"Chapter Hunt"),CHOOSE(ArtifactsInput!$N$22+1,10,12,14,16,18,20)*((0*(((0.15*B870*5))^0/1)+1*(((0.15*B870*5))^1/1)+2*(((0.15*B870*5))^2/2)+3*(((0.15*B870*5))^3/6)+4*(((0.15*B870*5))^4/24)+5*(((0.15*B870*5))^5/120))/((((0.15*B870*5))^0/1)+(((0.15*B870*5))^1/1)+(((0.15*B870*5))^2/2)+(((0.15*B870*5))^3/6)+(((0.15*B870*5))^4/24)+(((0.15*B870*5))^5/120)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847">
      <c r="A847">
        <f>Skills!A11</f>
        <v/>
      </c>
      <c r="B847">
        <f>Skills!B11</f>
        <v/>
      </c>
      <c r="C847">
        <f>Inputs!$B$3&gt;=110</f>
        <v/>
      </c>
      <c r="D847">
        <f>IF(Skills!C11=1,60+Inputs!$B$25+Inputs!$B$29,IF(Skills!C11=2,90+(Inputs!$B$26+1)+Inputs!$B$29,IF(Skills!C11=3,120+Inputs!$B$27+Inputs!$B$29,MAX(0,(Inputs!$B$3-100)*3)+Inputs!$B$28+Inputs!$B$29)))</f>
        <v/>
      </c>
      <c r="E847">
        <f>INDEX(FactorTable!$B$2:$Y$301, MATCH(ROUND(MIN(300,MAX(1,D847)),0), FactorTable!$A$2:$A$301,0), Skills!M11+1)</f>
        <v/>
      </c>
      <c r="F847">
        <f>IF(Skills!N11=TRUE,(Skills!L11/10)*(E847/1000),Skills!L11/10)+Skills!O11</f>
        <v/>
      </c>
      <c r="G847">
        <f>Skills!G11*IF(Skills!H11&gt;0,Skills!I11/Skills!H11,1)</f>
        <v/>
      </c>
      <c r="H847">
        <f>1-(1-Skills!J11/100)^Skills!K11</f>
        <v/>
      </c>
      <c r="I847" t="inlineStr">
        <is>
          <t>1</t>
        </is>
      </c>
      <c r="J847">
        <f>((Inputs!$B$6*(1+Inputs!$B$7/100))+(((Inputs!$B$12*(1+Inputs!$B$13/100))-(Inputs!$B$12*(1+Inputs!$B$13/100)))+0.25*(Inputs!$B$14-Inputs!$B$14))*(1+Inputs!$B$7/100))*(F847/100)</f>
        <v/>
      </c>
      <c r="K847">
        <f>J847*(1+((Inputs!$B$12*(1+Inputs!$B$13/100))*0.01+Inputs!$B$14*0.0025)/100)*(1+Inputs!$B$15/100)*(1+Inputs!$B$16/100)*(5000/(6000+Inputs!$B$42*(1-(100*(1-(1-(Inputs!$B$19+0)/100)*(1-CHOOSE(ArtifactsInput!$N$40+1,5,6,7,8,9,10)/100)^(ArtifactsInput!$M$40-ArtifactsInput!$M$40)))/100)))*(1+(Inputs!$B$24+((C860=TRUE)*(F860-Calc!F24))+((C861=TRUE)*(F861-Calc!F25))+B874)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11="EMPOWERED_PIERCING_ARROW",Inputs!$B$17+((C858=TRUE)*(F858-Calc!F22))+(((IF(AND(ArtifactsInput!$M$42,((Inputs!$B$9+((C855=TRUE)*(F855-Calc!F19))+B868+(ArtifactsInput!$M$24-ArtifactsInput!$M$24)*CHOOSE(ArtifactsInput!$N$24+1,10,12,14,16,18,20)+IF(ArtifactsInput!$M$10,CHOOSE(ArtifactsInput!$N$10+1,15,18,21,24,27,30)*(IF(Inputs!$B$38="pvp",MIN(15,15)/15,IF(AND(Inputs!$B$38&lt;&gt;"pvp",Inputs!$B$43&gt;0),MIN(15,Inputs!$B$43)/(Inputs!$B$43),0))),0)))&gt;=100),MIN(100,((Inputs!$B$9+((C855=TRUE)*(F855-Calc!F19))+B868+(ArtifactsInput!$M$24-ArtifactsInput!$M$24)*CHOOSE(ArtifactsInput!$N$24+1,10,12,14,16,18,20)+IF(ArtifactsInput!$M$10,CHOOSE(ArtifactsInput!$N$10+1,15,18,21,24,27,30)*(IF(Inputs!$B$38="pvp",MIN(15,15)/15,IF(AND(Inputs!$B$38&lt;&gt;"pvp",Inputs!$B$43&gt;0),MIN(15,Inputs!$B$43)/(Inputs!$B$43),0))),0)))-100),0))*CHOOSE(ArtifactsInput!$N$42+1,0.6,0.72,0.84,0.96,1.08,1.2))),Inputs!$B$18+((C863=TRUE)*(F863-Calc!F27))+(IF(AND(ArtifactsInput!$M$42,((Inputs!$B$9+((C855=TRUE)*(F855-Calc!F19))+B868+(ArtifactsInput!$M$24-ArtifactsInput!$M$24)*CHOOSE(ArtifactsInput!$N$24+1,10,12,14,16,18,20)+IF(ArtifactsInput!$M$10,CHOOSE(ArtifactsInput!$N$10+1,15,18,21,24,27,30)*(IF(Inputs!$B$38="pvp",MIN(15,15)/15,IF(AND(Inputs!$B$38&lt;&gt;"pvp",Inputs!$B$43&gt;0),MIN(15,Inputs!$B$43)/(Inputs!$B$43),0))),0)))&gt;=100),CHOOSE(ArtifactsInput!$N$42+1,40,48,56,64,72,80),0))))/100)*((1+(((C849=TRUE)*F849)+((C850=TRUE)*IF(Inputs!$B$38="pvp",F850,(1-Summary!$B$11)*(F850)+Summary!$B$11*(0)))+((C851=TRUE)*F851*IF(AND(Inputs!$B$38&lt;&gt;"pvp",Inputs!$B$43&gt;0),(((R851-1)*(Skills!T15*(1+Inputs!$B$34/100))+MIN((Skills!T15*(1+Inputs!$B$34/100)),MAX(0,Inputs!$B$43-((R851-1)*Skills!D15))))/Inputs!$B$43),IF(Inputs!$B$38="pvp",MIN((Skills!T15*(1+Inputs!$B$34/100)),15)/15,(Skills!T15*(1+Inputs!$B$34/100))/Skills!D15)))+((C848=TRUE)*F848)+((C865=TRUE)*(F865-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847)</f>
        <v/>
      </c>
      <c r="L847">
        <f>K847*(MIN(Inputs!$B$22+((C859=TRUE)*(F859-Calc!F23)),(Inputs!$B$23+((C864=TRUE)*(F864-Calc!F28))+(IF(ArtifactsInput!$M$15,CHOOSE(ArtifactsInput!$N$15+1,25,30,35,40,45,50)/100*(Inputs!$B$11-Inputs!$B$11),0))))/100+(Inputs!$B$23+((C864=TRUE)*(F864-Calc!F28))+(IF(ArtifactsInput!$M$15,CHOOSE(ArtifactsInput!$N$15+1,25,30,35,40,45,50)/100*(Inputs!$B$11-Inputs!$B$11),0)))/100)/2</f>
        <v/>
      </c>
      <c r="M847">
        <f>L847*(1+(Inputs!$B$10+0+B873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847">
        <f>L847*(1-MIN((Inputs!$B$9+((C855=TRUE)*(F855-Calc!F19))+B868+(ArtifactsInput!$M$24-ArtifactsInput!$M$24)*CHOOSE(ArtifactsInput!$N$24+1,10,12,14,16,18,20)+(IF(AND(ArtifactsInput!$M$42,((Inputs!$B$9+((C855=TRUE)*(F855-Calc!F19))+B868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847*(MIN((Inputs!$B$9+((C855=TRUE)*(F855-Calc!F19))+B868+(ArtifactsInput!$M$24-ArtifactsInput!$M$24)*CHOOSE(ArtifactsInput!$N$24+1,10,12,14,16,18,20)+(IF(AND(ArtifactsInput!$M$42,((Inputs!$B$9+((C855=TRUE)*(F855-Calc!F19))+B868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847">
        <f>(1-Summary!$B$11)*T847+Summary!$B$11*V847</f>
        <v/>
      </c>
      <c r="P847">
        <f>IF(B878=0,0,O847/B878)</f>
        <v/>
      </c>
      <c r="Q847">
        <f>IFERROR(1/IF(Inputs!$B$38="pvp",15,MAX(0.1,Skills!D11-IF(Skills!E11=TRUE,Inputs!$B$32,0))),0)</f>
        <v/>
      </c>
      <c r="R847">
        <f>IF(AND(Inputs!$B$38&lt;&gt;"pvp",Inputs!$B$43&gt;0),IF(MAX(0,Inputs!$B$43-B875)&lt;=0,0,(INT(MAX(0,Inputs!$B$43-B875)/IF(Inputs!$B$38="pvp",15,MAX(0.1,Skills!D11-IF(Skills!E11=TRUE,Inputs!$B$32,0))))+1)),0)</f>
        <v/>
      </c>
      <c r="S847">
        <f>IFERROR((H847*N847*IF(AND(Inputs!$B$38&lt;&gt;"pvp",Inputs!$B$43&gt;0),((Skills!G11*((R847-1)*IF(Skills!H11&gt;0,Skills!I11/Skills!H11,1)+IF(Skills!H11&gt;0,MIN(Skills!I11,MAX(0,MAX(0,Inputs!$B$43-B875)-((R847-1)*IF(Inputs!$B$38="pvp",15,MAX(0.1,Skills!D11-IF(Skills!E11=TRUE,Inputs!$B$32,0))))))/Skills!H11,1)))/Inputs!$B$43),G847*Q847))/N847*IF(Inputs!$B$38="pvp",1,(1-Summary!$B$11)*1+Summary!$B$11*(MIN(Skills!R11,Inputs!$B$37))),0)</f>
        <v/>
      </c>
      <c r="T847">
        <f>IF(C847,(H847*N847*IF(AND(Inputs!$B$38&lt;&gt;"pvp",Inputs!$B$43&gt;0),((Skills!G11*((R847-1)*IF(Skills!H11&gt;0,Skills!I11/Skills!H11,1)+IF(Skills!H11&gt;0,MIN(Skills!I11,MAX(0,MAX(0,Inputs!$B$43-B875)-((R847-1)*IF(Inputs!$B$38="pvp",15,MAX(0.1,Skills!D11-IF(Skills!E11=TRUE,Inputs!$B$32,0))))))/Skills!H11,1)))/Inputs!$B$43),G847*Q847))*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Hunt"),CHOOSE(ArtifactsInput!$N$35+1,15,18,21,24,27,30)*(1-EXP(-(0.2*B870)*5)),0)+IF(AND(ArtifactsInput!$M$22,Inputs!$B$4&lt;&gt;"Chapter Hunt"),CHOOSE(ArtifactsInput!$N$22+1,10,12,14,16,18,20)*((0*(((0.15*B870*5))^0/1)+1*(((0.15*B870*5))^1/1)+2*(((0.15*B870*5))^2/2)+3*(((0.15*B870*5))^3/6)+4*(((0.15*B870*5))^4/24)+5*(((0.15*B870*5))^5/120))/((((0.15*B870*5))^0/1)+(((0.15*B870*5))^1/1)+(((0.15*B870*5))^2/2)+(((0.15*B870*5))^3/6)+(((0.15*B870*5))^4/24)+(((0.15*B870*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847*(1-MIN(100,(Inputs!$B$9+((C855=TRUE)*(F855-Calc!F19))+B868+(ArtifactsInput!$M$24-ArtifactsInput!$M$24)*CHOOSE(ArtifactsInput!$N$24+1,10,12,14,16,18,20)+(IF(AND(ArtifactsInput!$M$42,((Inputs!$B$9+((C855=TRUE)*(F855-Calc!F19))+B868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847*(MIN(100,(Inputs!$B$9+((C855=TRUE)*(F855-Calc!F19))+B868+(ArtifactsInput!$M$24-ArtifactsInput!$M$24)*CHOOSE(ArtifactsInput!$N$24+1,10,12,14,16,18,20)+(IF(AND(ArtifactsInput!$M$42,((Inputs!$B$9+((C855=TRUE)*(F855-Calc!F19))+B868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847*(1-MIN(100,(Inputs!$B$9+((C855=TRUE)*(F855-Calc!F19))+B868+(ArtifactsInput!$M$24-ArtifactsInput!$M$24)*CHOOSE(ArtifactsInput!$N$24+1,10,12,14,16,18,20)+(IF(AND(ArtifactsInput!$M$42,((Inputs!$B$9+((C855=TRUE)*(F855-Calc!F19))+B868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847*(MIN(100,(Inputs!$B$9+((C855=TRUE)*(F855-Calc!F19))+B868+(ArtifactsInput!$M$24-ArtifactsInput!$M$24)*CHOOSE(ArtifactsInput!$N$24+1,10,12,14,16,18,20)+(IF(AND(ArtifactsInput!$M$42,((Inputs!$B$9+((C855=TRUE)*(F855-Calc!F19))+B868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847">
        <f>IF(C847,(H847*N847*IF(AND(Inputs!$B$38&lt;&gt;"pvp",Inputs!$B$43&gt;0),((Skills!G11*((R847-1)*IF(Skills!H11&gt;0,Skills!I11/Skills!H11,1)+IF(Skills!H11&gt;0,MIN(Skills!I11,MAX(0,MAX(0,Inputs!$B$43-B875)-((R847-1)*IF(Inputs!$B$38="pvp",15,MAX(0.1,Skills!D11-IF(Skills!E11=TRUE,Inputs!$B$32,0))))))/Skills!H11,1)))/Inputs!$B$43),G847*Q847))*IF(Inputs!$B$38="pvp",1,(1+(Inputs!$B$21+Skills!Q11+(IF(ArtifactsInput!$M$33,CHOOSE(ArtifactsInput!$N$33+1,30,36,42,48,54,60),0))+(IF(AND(ArtifactsInput!$M$35,Inputs!$B$4&lt;&gt;"Chapter Hunt"),CHOOSE(ArtifactsInput!$N$35+1,15,18,21,24,27,30)*(1-EXP(-(0.2*B870)*5)),0)+IF(AND(ArtifactsInput!$M$22,Inputs!$B$4&lt;&gt;"Chapter Hunt"),CHOOSE(ArtifactsInput!$N$22+1,10,12,14,16,18,20)*((0*(((0.15*B870*5))^0/1)+1*(((0.15*B870*5))^1/1)+2*(((0.15*B870*5))^2/2)+3*(((0.15*B870*5))^3/6)+4*(((0.15*B870*5))^4/24)+5*(((0.15*B870*5))^5/120))/((((0.15*B870*5))^0/1)+(((0.15*B870*5))^1/1)+(((0.15*B870*5))^2/2)+(((0.15*B870*5))^3/6)+(((0.15*B870*5))^4/24)+(((0.15*B870*5))^5/120))),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848">
      <c r="A848">
        <f>Skills!A12</f>
        <v/>
      </c>
      <c r="B848">
        <f>Skills!B12</f>
        <v/>
      </c>
      <c r="C848">
        <f>Inputs!$B$3&gt;=60</f>
        <v/>
      </c>
      <c r="D848">
        <f>IF(Skills!C12=1,60+Inputs!$B$25+Inputs!$B$29,IF(Skills!C12=2,90+(Inputs!$B$26+1)+Inputs!$B$29,IF(Skills!C12=3,120+Inputs!$B$27+Inputs!$B$29,MAX(0,(Inputs!$B$3-100)*3)+Inputs!$B$28+Inputs!$B$29)))</f>
        <v/>
      </c>
      <c r="E848">
        <f>INDEX(FactorTable!$B$2:$Y$301, MATCH(ROUND(MIN(300,MAX(1,D848)),0), FactorTable!$A$2:$A$301,0), Skills!M12+1)</f>
        <v/>
      </c>
      <c r="F848">
        <f>IF(Skills!N12=TRUE,(Skills!L12/10)*(E848/1000),Skills!L12/10)+Skills!O12</f>
        <v/>
      </c>
      <c r="G848">
        <f>Skills!G12*IF(Skills!H12&gt;0,Skills!I12/Skills!H12,1)</f>
        <v/>
      </c>
      <c r="H848">
        <f>1-(1-Skills!J12/100)^Skills!K12</f>
        <v/>
      </c>
      <c r="I848" t="inlineStr">
        <is>
          <t>1</t>
        </is>
      </c>
      <c r="J848" t="inlineStr"/>
      <c r="K848" t="inlineStr"/>
      <c r="L848" t="inlineStr"/>
      <c r="M848" t="inlineStr"/>
      <c r="N848" t="inlineStr"/>
      <c r="O848">
        <f>(1-Summary!$B$11)*T848+Summary!$B$11*V848</f>
        <v/>
      </c>
      <c r="P848">
        <f>IF(B878=0,0,O848/B878)</f>
        <v/>
      </c>
      <c r="Q848" t="n">
        <v>0</v>
      </c>
      <c r="R848" t="n">
        <v>0</v>
      </c>
      <c r="S848" t="n">
        <v>0</v>
      </c>
      <c r="T848" t="n">
        <v>0</v>
      </c>
      <c r="V848" t="n">
        <v>0</v>
      </c>
    </row>
    <row r="849">
      <c r="A849">
        <f>Skills!A13</f>
        <v/>
      </c>
      <c r="B849">
        <f>Skills!B13</f>
        <v/>
      </c>
      <c r="C849">
        <f>Inputs!$B$3&gt;=74</f>
        <v/>
      </c>
      <c r="D849">
        <f>IF(Skills!C13=1,60+Inputs!$B$25+Inputs!$B$29,IF(Skills!C13=2,90+(Inputs!$B$26+1)+Inputs!$B$29,IF(Skills!C13=3,120+Inputs!$B$27+Inputs!$B$29,MAX(0,(Inputs!$B$3-100)*3)+Inputs!$B$28+Inputs!$B$29)))</f>
        <v/>
      </c>
      <c r="E849">
        <f>INDEX(FactorTable!$B$2:$Y$301, MATCH(ROUND(MIN(300,MAX(1,D849)),0), FactorTable!$A$2:$A$301,0), Skills!M13+1)</f>
        <v/>
      </c>
      <c r="F849">
        <f>IF(Skills!N13=TRUE,(Skills!L13/10)*(E849/1000),Skills!L13/10)+Skills!O13</f>
        <v/>
      </c>
      <c r="G849">
        <f>Skills!G13*IF(Skills!H13&gt;0,Skills!I13/Skills!H13,1)</f>
        <v/>
      </c>
      <c r="H849">
        <f>1-(1-Skills!J13/100)^Skills!K13</f>
        <v/>
      </c>
      <c r="I849" t="inlineStr">
        <is>
          <t>1</t>
        </is>
      </c>
      <c r="J849" t="inlineStr"/>
      <c r="K849" t="inlineStr"/>
      <c r="L849" t="inlineStr"/>
      <c r="M849" t="inlineStr"/>
      <c r="N849" t="inlineStr"/>
      <c r="O849">
        <f>(1-Summary!$B$11)*T849+Summary!$B$11*V849</f>
        <v/>
      </c>
      <c r="P849">
        <f>IF(B878=0,0,O849/B878)</f>
        <v/>
      </c>
      <c r="Q849" t="n">
        <v>0</v>
      </c>
      <c r="R849" t="n">
        <v>0</v>
      </c>
      <c r="S849" t="n">
        <v>0</v>
      </c>
      <c r="T849" t="n">
        <v>0</v>
      </c>
      <c r="V849" t="n">
        <v>0</v>
      </c>
    </row>
    <row r="850">
      <c r="A850">
        <f>Skills!A14</f>
        <v/>
      </c>
      <c r="B850">
        <f>Skills!B14</f>
        <v/>
      </c>
      <c r="C850">
        <f>Inputs!$B$3&gt;=74</f>
        <v/>
      </c>
      <c r="D850">
        <f>IF(Skills!C14=1,60+Inputs!$B$25+Inputs!$B$29,IF(Skills!C14=2,90+(Inputs!$B$26+1)+Inputs!$B$29,IF(Skills!C14=3,120+Inputs!$B$27+Inputs!$B$29,MAX(0,(Inputs!$B$3-100)*3)+Inputs!$B$28+Inputs!$B$29)))</f>
        <v/>
      </c>
      <c r="E850">
        <f>INDEX(FactorTable!$B$2:$Y$301, MATCH(ROUND(MIN(300,MAX(1,D850)),0), FactorTable!$A$2:$A$301,0), Skills!M14+1)</f>
        <v/>
      </c>
      <c r="F850">
        <f>IF(Skills!N14=TRUE,(Skills!L14/10)*(E850/1000),Skills!L14/10)+Skills!O14</f>
        <v/>
      </c>
      <c r="G850">
        <f>Skills!G14*IF(Skills!H14&gt;0,Skills!I14/Skills!H14,1)</f>
        <v/>
      </c>
      <c r="H850">
        <f>1-(1-Skills!J14/100)^Skills!K14</f>
        <v/>
      </c>
      <c r="I850" t="inlineStr">
        <is>
          <t>1</t>
        </is>
      </c>
      <c r="J850" t="inlineStr"/>
      <c r="K850" t="inlineStr"/>
      <c r="L850" t="inlineStr"/>
      <c r="M850" t="inlineStr"/>
      <c r="N850" t="inlineStr"/>
      <c r="O850">
        <f>(1-Summary!$B$11)*T850+Summary!$B$11*V850</f>
        <v/>
      </c>
      <c r="P850">
        <f>IF(B878=0,0,O850/B878)</f>
        <v/>
      </c>
      <c r="Q850" t="n">
        <v>0</v>
      </c>
      <c r="R850" t="n">
        <v>0</v>
      </c>
      <c r="S850" t="n">
        <v>0</v>
      </c>
      <c r="T850" t="n">
        <v>0</v>
      </c>
      <c r="V850" t="n">
        <v>0</v>
      </c>
    </row>
    <row r="851">
      <c r="A851">
        <f>Skills!A15</f>
        <v/>
      </c>
      <c r="B851">
        <f>Skills!B15</f>
        <v/>
      </c>
      <c r="C851">
        <f>Inputs!$B$3&gt;=117</f>
        <v/>
      </c>
      <c r="D851">
        <f>IF(Skills!C15=1,60+Inputs!$B$25+Inputs!$B$29,IF(Skills!C15=2,90+(Inputs!$B$26+1)+Inputs!$B$29,IF(Skills!C15=3,120+Inputs!$B$27+Inputs!$B$29,MAX(0,(Inputs!$B$3-100)*3)+Inputs!$B$28+Inputs!$B$29)))</f>
        <v/>
      </c>
      <c r="E851">
        <f>INDEX(FactorTable!$B$2:$Y$301, MATCH(ROUND(MIN(300,MAX(1,D851)),0), FactorTable!$A$2:$A$301,0), Skills!M15+1)</f>
        <v/>
      </c>
      <c r="F851">
        <f>IF(Skills!N15=TRUE,(Skills!L15/10)*(E851/1000),Skills!L15/10)+Skills!O15</f>
        <v/>
      </c>
      <c r="G851">
        <f>Skills!G15*IF(Skills!H15&gt;0,Skills!I15/Skills!H15,1)</f>
        <v/>
      </c>
      <c r="H851">
        <f>1-(1-Skills!J15/100)^Skills!K15</f>
        <v/>
      </c>
      <c r="I851" t="inlineStr">
        <is>
          <t>1</t>
        </is>
      </c>
      <c r="J851" t="inlineStr"/>
      <c r="K851" t="inlineStr"/>
      <c r="L851" t="inlineStr"/>
      <c r="M851" t="inlineStr"/>
      <c r="N851" t="inlineStr"/>
      <c r="O851">
        <f>(1-Summary!$B$11)*T851+Summary!$B$11*V851</f>
        <v/>
      </c>
      <c r="P851">
        <f>IF(B878=0,0,O851/B878)</f>
        <v/>
      </c>
      <c r="Q851">
        <f>IFERROR(1/IF(Inputs!$B$38="pvp",15,MAX(0.1,Skills!D15-IF(Skills!E15=TRUE,Inputs!$B$32,0))),0)</f>
        <v/>
      </c>
      <c r="R851">
        <f>IF(AND(Inputs!$B$38&lt;&gt;"pvp",Inputs!$B$43&gt;0),IF(Inputs!$B$43&lt;=0,0,(INT(Inputs!$B$43/IF(Inputs!$B$38="pvp",15,MAX(0.1,Skills!D15-IF(Skills!E15=TRUE,Inputs!$B$32,0))))+1)),0)</f>
        <v/>
      </c>
      <c r="S851" t="n">
        <v>0</v>
      </c>
      <c r="T851" t="n">
        <v>0</v>
      </c>
      <c r="V851" t="n">
        <v>0</v>
      </c>
    </row>
    <row r="852">
      <c r="A852">
        <f>Skills!A16</f>
        <v/>
      </c>
      <c r="B852">
        <f>Skills!B16</f>
        <v/>
      </c>
      <c r="C852">
        <f>Inputs!$B$3&gt;=115</f>
        <v/>
      </c>
      <c r="D852">
        <f>IF(Skills!C16=1,60+Inputs!$B$25+Inputs!$B$29,IF(Skills!C16=2,90+(Inputs!$B$26+1)+Inputs!$B$29,IF(Skills!C16=3,120+Inputs!$B$27+Inputs!$B$29,MAX(0,(Inputs!$B$3-100)*3)+Inputs!$B$28+Inputs!$B$29)))</f>
        <v/>
      </c>
      <c r="E852">
        <f>INDEX(FactorTable!$B$2:$Y$301, MATCH(ROUND(MIN(300,MAX(1,D852)),0), FactorTable!$A$2:$A$301,0), Skills!M16+1)</f>
        <v/>
      </c>
      <c r="F852">
        <f>IF(Skills!N16=TRUE,(Skills!L16/10)*(E852/1000),Skills!L16/10)+Skills!O16</f>
        <v/>
      </c>
      <c r="G852">
        <f>Skills!G16*IF(Skills!H16&gt;0,Skills!I16/Skills!H16,1)</f>
        <v/>
      </c>
      <c r="H852">
        <f>1-(1-Skills!J16/100)^Skills!K16</f>
        <v/>
      </c>
      <c r="I852" t="inlineStr">
        <is>
          <t>1</t>
        </is>
      </c>
      <c r="J852" t="inlineStr"/>
      <c r="K852" t="inlineStr"/>
      <c r="L852" t="inlineStr"/>
      <c r="M852" t="inlineStr"/>
      <c r="N852" t="inlineStr"/>
      <c r="O852">
        <f>(1-Summary!$B$11)*T852+Summary!$B$11*V852</f>
        <v/>
      </c>
      <c r="P852">
        <f>IF(B878=0,0,O852/B878)</f>
        <v/>
      </c>
      <c r="Q852">
        <f>IFERROR(1/IF(Inputs!$B$38="pvp",15,MAX(0.1,Skills!D16-IF(Skills!E16=TRUE,Inputs!$B$32,0))),0)</f>
        <v/>
      </c>
      <c r="R852">
        <f>IF(AND(Inputs!$B$38&lt;&gt;"pvp",Inputs!$B$43&gt;0),IF(Inputs!$B$43&lt;=0,0,(INT(Inputs!$B$43/IF(Inputs!$B$38="pvp",15,MAX(0.1,Skills!D16-IF(Skills!E16=TRUE,Inputs!$B$32,0))))+1)),0)</f>
        <v/>
      </c>
      <c r="S852" t="n">
        <v>0</v>
      </c>
      <c r="T852" t="n">
        <v>0</v>
      </c>
      <c r="V852" t="n">
        <v>0</v>
      </c>
    </row>
    <row r="853">
      <c r="A853">
        <f>Skills!A17</f>
        <v/>
      </c>
      <c r="B853">
        <f>Skills!B17</f>
        <v/>
      </c>
      <c r="C853">
        <f>Inputs!$B$3&gt;=72</f>
        <v/>
      </c>
      <c r="D853">
        <f>IF(Skills!C17=1,60+Inputs!$B$25+Inputs!$B$29,IF(Skills!C17=2,90+(Inputs!$B$26+1)+Inputs!$B$29,IF(Skills!C17=3,120+Inputs!$B$27+Inputs!$B$29,MAX(0,(Inputs!$B$3-100)*3)+Inputs!$B$28+Inputs!$B$29)))</f>
        <v/>
      </c>
      <c r="E853">
        <f>INDEX(FactorTable!$B$2:$Y$301, MATCH(ROUND(MIN(300,MAX(1,D853)),0), FactorTable!$A$2:$A$301,0), Skills!M17+1)</f>
        <v/>
      </c>
      <c r="F853">
        <f>IF(Skills!N17=TRUE,(Skills!L17/10)*(E853/1000),Skills!L17/10)+Skills!O17</f>
        <v/>
      </c>
      <c r="G853">
        <f>Skills!G17*IF(Skills!H17&gt;0,Skills!I17/Skills!H17,1)</f>
        <v/>
      </c>
      <c r="H853">
        <f>1-(1-Skills!J17/100)^Skills!K17</f>
        <v/>
      </c>
      <c r="I853" t="inlineStr">
        <is>
          <t>1</t>
        </is>
      </c>
      <c r="J853" t="inlineStr"/>
      <c r="K853" t="inlineStr"/>
      <c r="L853" t="inlineStr"/>
      <c r="M853" t="inlineStr"/>
      <c r="N853" t="inlineStr"/>
      <c r="O853">
        <f>(1-Summary!$B$11)*T853+Summary!$B$11*V853</f>
        <v/>
      </c>
      <c r="P853">
        <f>IF(B878=0,0,O853/B878)</f>
        <v/>
      </c>
      <c r="Q853" t="n">
        <v>0</v>
      </c>
      <c r="R853" t="n">
        <v>0</v>
      </c>
      <c r="S853" t="n">
        <v>0</v>
      </c>
      <c r="T853" t="n">
        <v>0</v>
      </c>
      <c r="V853" t="n">
        <v>0</v>
      </c>
    </row>
    <row r="854">
      <c r="A854">
        <f>Skills!A18</f>
        <v/>
      </c>
      <c r="B854">
        <f>Skills!B18</f>
        <v/>
      </c>
      <c r="C854">
        <f>TRUE</f>
        <v/>
      </c>
      <c r="D854">
        <f>IF(Skills!C18=1,60+Inputs!$B$25+Inputs!$B$29,IF(Skills!C18=2,90+(Inputs!$B$26+1)+Inputs!$B$29,IF(Skills!C18=3,120+Inputs!$B$27+Inputs!$B$29,MAX(0,(Inputs!$B$3-100)*3)+Inputs!$B$28+Inputs!$B$29)))</f>
        <v/>
      </c>
      <c r="E854">
        <f>INDEX(FactorTable!$B$2:$Y$301, MATCH(ROUND(MIN(300,MAX(1,D854)),0), FactorTable!$A$2:$A$301,0), Skills!M18+1)</f>
        <v/>
      </c>
      <c r="F854">
        <f>IF(Skills!N18=TRUE,(Skills!L18/10)*(E854/1000),Skills!L18/10)+Skills!O18</f>
        <v/>
      </c>
      <c r="G854">
        <f>Skills!G18*IF(Skills!H18&gt;0,Skills!I18/Skills!H18,1)</f>
        <v/>
      </c>
      <c r="H854">
        <f>1-(1-Skills!J18/100)^Skills!K18</f>
        <v/>
      </c>
      <c r="I854" t="inlineStr">
        <is>
          <t>1</t>
        </is>
      </c>
      <c r="J854" t="inlineStr"/>
      <c r="K854" t="inlineStr"/>
      <c r="L854" t="inlineStr"/>
      <c r="M854" t="inlineStr"/>
      <c r="N854" t="inlineStr"/>
      <c r="O854">
        <f>(1-Summary!$B$11)*T854+Summary!$B$11*V854</f>
        <v/>
      </c>
      <c r="P854">
        <f>IF(B878=0,0,O854/B878)</f>
        <v/>
      </c>
      <c r="Q854">
        <f>IFERROR(1/IF(Inputs!$B$38="pvp",15,MAX(0.1,Skills!D18-IF(Skills!E18=TRUE,Inputs!$B$32,0))),0)</f>
        <v/>
      </c>
      <c r="R854">
        <f>IF(AND(Inputs!$B$38&lt;&gt;"pvp",Inputs!$B$43&gt;0),IF(Inputs!$B$43&lt;=0,0,(INT(Inputs!$B$43/IF(Inputs!$B$38="pvp",15,MAX(0.1,Skills!D18-IF(Skills!E18=TRUE,Inputs!$B$32,0))))+1)),0)</f>
        <v/>
      </c>
      <c r="S854" t="n">
        <v>0</v>
      </c>
      <c r="T854" t="n">
        <v>0</v>
      </c>
      <c r="V854" t="n">
        <v>0</v>
      </c>
    </row>
    <row r="855">
      <c r="A855">
        <f>Skills!A19</f>
        <v/>
      </c>
      <c r="B855">
        <f>Skills!B19</f>
        <v/>
      </c>
      <c r="C855">
        <f>Inputs!$B$3&gt;=15</f>
        <v/>
      </c>
      <c r="D855">
        <f>IF(Skills!C19=1,60+Inputs!$B$25+Inputs!$B$29,IF(Skills!C19=2,90+(Inputs!$B$26+1)+Inputs!$B$29,IF(Skills!C19=3,120+Inputs!$B$27+Inputs!$B$29,MAX(0,(Inputs!$B$3-100)*3)+Inputs!$B$28+Inputs!$B$29)))</f>
        <v/>
      </c>
      <c r="E855">
        <f>INDEX(FactorTable!$B$2:$Y$301, MATCH(ROUND(MIN(300,MAX(1,D855)),0), FactorTable!$A$2:$A$301,0), Skills!M19+1)</f>
        <v/>
      </c>
      <c r="F855">
        <f>IF(Skills!N19=TRUE,(Skills!L19/10)*(E855/1000),Skills!L19/10)+Skills!O19</f>
        <v/>
      </c>
      <c r="G855">
        <f>Skills!G19*IF(Skills!H19&gt;0,Skills!I19/Skills!H19,1)</f>
        <v/>
      </c>
      <c r="H855">
        <f>1-(1-Skills!J19/100)^Skills!K19</f>
        <v/>
      </c>
      <c r="I855" t="inlineStr">
        <is>
          <t>1</t>
        </is>
      </c>
      <c r="J855" t="inlineStr"/>
      <c r="K855" t="inlineStr"/>
      <c r="L855" t="inlineStr"/>
      <c r="M855" t="inlineStr"/>
      <c r="N855" t="inlineStr"/>
      <c r="O855">
        <f>(1-Summary!$B$11)*T855+Summary!$B$11*V855</f>
        <v/>
      </c>
      <c r="P855">
        <f>IF(B878=0,0,O855/B878)</f>
        <v/>
      </c>
      <c r="Q855" t="n">
        <v>0</v>
      </c>
      <c r="R855" t="n">
        <v>0</v>
      </c>
      <c r="S855" t="n">
        <v>0</v>
      </c>
      <c r="T855" t="n">
        <v>0</v>
      </c>
      <c r="V855" t="n">
        <v>0</v>
      </c>
    </row>
    <row r="856">
      <c r="A856">
        <f>Skills!A20</f>
        <v/>
      </c>
      <c r="B856">
        <f>Skills!B20</f>
        <v/>
      </c>
      <c r="C856">
        <f>Inputs!$B$3&gt;=10</f>
        <v/>
      </c>
      <c r="D856">
        <f>IF(Skills!C20=1,60+Inputs!$B$25+Inputs!$B$29,IF(Skills!C20=2,90+(Inputs!$B$26+1)+Inputs!$B$29,IF(Skills!C20=3,120+Inputs!$B$27+Inputs!$B$29,MAX(0,(Inputs!$B$3-100)*3)+Inputs!$B$28+Inputs!$B$29)))</f>
        <v/>
      </c>
      <c r="E856">
        <f>INDEX(FactorTable!$B$2:$Y$301, MATCH(ROUND(MIN(300,MAX(1,D856)),0), FactorTable!$A$2:$A$301,0), Skills!M20+1)</f>
        <v/>
      </c>
      <c r="F856">
        <f>IF(Skills!N20=TRUE,(Skills!L20/10)*(E856/1000),Skills!L20/10)+Skills!O20</f>
        <v/>
      </c>
      <c r="G856">
        <f>Skills!G20*IF(Skills!H20&gt;0,Skills!I20/Skills!H20,1)</f>
        <v/>
      </c>
      <c r="H856">
        <f>1-(1-Skills!J20/100)^Skills!K20</f>
        <v/>
      </c>
      <c r="I856" t="inlineStr">
        <is>
          <t>1</t>
        </is>
      </c>
      <c r="J856" t="inlineStr"/>
      <c r="K856" t="inlineStr"/>
      <c r="L856" t="inlineStr"/>
      <c r="M856" t="inlineStr"/>
      <c r="N856" t="inlineStr"/>
      <c r="O856">
        <f>(1-Summary!$B$11)*T856+Summary!$B$11*V856</f>
        <v/>
      </c>
      <c r="P856">
        <f>IF(B878=0,0,O856/B878)</f>
        <v/>
      </c>
      <c r="Q856" t="n">
        <v>0</v>
      </c>
      <c r="R856" t="n">
        <v>0</v>
      </c>
      <c r="S856" t="n">
        <v>0</v>
      </c>
      <c r="T856" t="n">
        <v>0</v>
      </c>
      <c r="V856" t="n">
        <v>0</v>
      </c>
    </row>
    <row r="857">
      <c r="A857">
        <f>Skills!A21</f>
        <v/>
      </c>
      <c r="B857">
        <f>Skills!B21</f>
        <v/>
      </c>
      <c r="C857">
        <f>Inputs!$B$3&gt;=33</f>
        <v/>
      </c>
      <c r="D857">
        <f>IF(Skills!C21=1,60+Inputs!$B$25+Inputs!$B$29,IF(Skills!C21=2,90+(Inputs!$B$26+1)+Inputs!$B$29,IF(Skills!C21=3,120+Inputs!$B$27+Inputs!$B$29,MAX(0,(Inputs!$B$3-100)*3)+Inputs!$B$28+Inputs!$B$29)))</f>
        <v/>
      </c>
      <c r="E857">
        <f>INDEX(FactorTable!$B$2:$Y$301, MATCH(ROUND(MIN(300,MAX(1,D857)),0), FactorTable!$A$2:$A$301,0), Skills!M21+1)</f>
        <v/>
      </c>
      <c r="F857">
        <f>IF(Skills!N21=TRUE,(Skills!L21/10)*(E857/1000),Skills!L21/10)+Skills!O21</f>
        <v/>
      </c>
      <c r="G857">
        <f>Skills!G21*IF(Skills!H21&gt;0,Skills!I21/Skills!H21,1)</f>
        <v/>
      </c>
      <c r="H857">
        <f>1-(1-Skills!J21/100)^Skills!K21</f>
        <v/>
      </c>
      <c r="I857" t="inlineStr">
        <is>
          <t>1</t>
        </is>
      </c>
      <c r="J857" t="inlineStr"/>
      <c r="K857" t="inlineStr"/>
      <c r="L857" t="inlineStr"/>
      <c r="M857" t="inlineStr"/>
      <c r="N857" t="inlineStr"/>
      <c r="O857">
        <f>(1-Summary!$B$11)*T857+Summary!$B$11*V857</f>
        <v/>
      </c>
      <c r="P857">
        <f>IF(B878=0,0,O857/B878)</f>
        <v/>
      </c>
      <c r="Q857" t="n">
        <v>0</v>
      </c>
      <c r="R857" t="n">
        <v>0</v>
      </c>
      <c r="S857" t="n">
        <v>0</v>
      </c>
      <c r="T857" t="n">
        <v>0</v>
      </c>
      <c r="V857" t="n">
        <v>0</v>
      </c>
    </row>
    <row r="858">
      <c r="A858">
        <f>Skills!A22</f>
        <v/>
      </c>
      <c r="B858">
        <f>Skills!B22</f>
        <v/>
      </c>
      <c r="C858">
        <f>Inputs!$B$3&gt;=38</f>
        <v/>
      </c>
      <c r="D858">
        <f>IF(Skills!C22=1,60+Inputs!$B$25+Inputs!$B$29,IF(Skills!C22=2,90+(Inputs!$B$26+1)+Inputs!$B$29,IF(Skills!C22=3,120+Inputs!$B$27+Inputs!$B$29,MAX(0,(Inputs!$B$3-100)*3)+Inputs!$B$28+Inputs!$B$29)))</f>
        <v/>
      </c>
      <c r="E858">
        <f>INDEX(FactorTable!$B$2:$Y$301, MATCH(ROUND(MIN(300,MAX(1,D858)),0), FactorTable!$A$2:$A$301,0), Skills!M22+1)</f>
        <v/>
      </c>
      <c r="F858">
        <f>IF(Skills!N22=TRUE,(Skills!L22/10)*(E858/1000),Skills!L22/10)+Skills!O22</f>
        <v/>
      </c>
      <c r="G858">
        <f>Skills!G22*IF(Skills!H22&gt;0,Skills!I22/Skills!H22,1)</f>
        <v/>
      </c>
      <c r="H858">
        <f>1-(1-Skills!J22/100)^Skills!K22</f>
        <v/>
      </c>
      <c r="I858" t="inlineStr">
        <is>
          <t>1</t>
        </is>
      </c>
      <c r="J858" t="inlineStr"/>
      <c r="K858" t="inlineStr"/>
      <c r="L858" t="inlineStr"/>
      <c r="M858" t="inlineStr"/>
      <c r="N858" t="inlineStr"/>
      <c r="O858">
        <f>(1-Summary!$B$11)*T858+Summary!$B$11*V858</f>
        <v/>
      </c>
      <c r="P858">
        <f>IF(B878=0,0,O858/B878)</f>
        <v/>
      </c>
      <c r="Q858" t="n">
        <v>0</v>
      </c>
      <c r="R858" t="n">
        <v>0</v>
      </c>
      <c r="S858" t="n">
        <v>0</v>
      </c>
      <c r="T858" t="n">
        <v>0</v>
      </c>
      <c r="V858" t="n">
        <v>0</v>
      </c>
    </row>
    <row r="859">
      <c r="A859">
        <f>Skills!A23</f>
        <v/>
      </c>
      <c r="B859">
        <f>Skills!B23</f>
        <v/>
      </c>
      <c r="C859">
        <f>Inputs!$B$3&gt;=43</f>
        <v/>
      </c>
      <c r="D859">
        <f>IF(Skills!C23=1,60+Inputs!$B$25+Inputs!$B$29,IF(Skills!C23=2,90+(Inputs!$B$26+1)+Inputs!$B$29,IF(Skills!C23=3,120+Inputs!$B$27+Inputs!$B$29,MAX(0,(Inputs!$B$3-100)*3)+Inputs!$B$28+Inputs!$B$29)))</f>
        <v/>
      </c>
      <c r="E859">
        <f>INDEX(FactorTable!$B$2:$Y$301, MATCH(ROUND(MIN(300,MAX(1,D859)),0), FactorTable!$A$2:$A$301,0), Skills!M23+1)</f>
        <v/>
      </c>
      <c r="F859">
        <f>IF(Skills!N23=TRUE,(Skills!L23/10)*(E859/1000),Skills!L23/10)+Skills!O23</f>
        <v/>
      </c>
      <c r="G859">
        <f>Skills!G23*IF(Skills!H23&gt;0,Skills!I23/Skills!H23,1)</f>
        <v/>
      </c>
      <c r="H859">
        <f>1-(1-Skills!J23/100)^Skills!K23</f>
        <v/>
      </c>
      <c r="I859" t="inlineStr">
        <is>
          <t>1</t>
        </is>
      </c>
      <c r="J859" t="inlineStr"/>
      <c r="K859" t="inlineStr"/>
      <c r="L859" t="inlineStr"/>
      <c r="M859" t="inlineStr"/>
      <c r="N859" t="inlineStr"/>
      <c r="O859">
        <f>(1-Summary!$B$11)*T859+Summary!$B$11*V859</f>
        <v/>
      </c>
      <c r="P859">
        <f>IF(B878=0,0,O859/B878)</f>
        <v/>
      </c>
      <c r="Q859" t="n">
        <v>0</v>
      </c>
      <c r="R859" t="n">
        <v>0</v>
      </c>
      <c r="S859" t="n">
        <v>0</v>
      </c>
      <c r="T859" t="n">
        <v>0</v>
      </c>
      <c r="V859" t="n">
        <v>0</v>
      </c>
    </row>
    <row r="860">
      <c r="A860">
        <f>Skills!A24</f>
        <v/>
      </c>
      <c r="B860">
        <f>Skills!B24</f>
        <v/>
      </c>
      <c r="C860">
        <f>Inputs!$B$3&gt;=75</f>
        <v/>
      </c>
      <c r="D860">
        <f>IF(Skills!C24=1,60+Inputs!$B$25+Inputs!$B$29,IF(Skills!C24=2,90+(Inputs!$B$26+1)+Inputs!$B$29,IF(Skills!C24=3,120+Inputs!$B$27+Inputs!$B$29,MAX(0,(Inputs!$B$3-100)*3)+Inputs!$B$28+Inputs!$B$29)))</f>
        <v/>
      </c>
      <c r="E860">
        <f>INDEX(FactorTable!$B$2:$Y$301, MATCH(ROUND(MIN(300,MAX(1,D860)),0), FactorTable!$A$2:$A$301,0), Skills!M24+1)</f>
        <v/>
      </c>
      <c r="F860">
        <f>IF(Skills!N24=TRUE,(Skills!L24/10)*(E860/1000),Skills!L24/10)+Skills!O24</f>
        <v/>
      </c>
      <c r="G860">
        <f>Skills!G24*IF(Skills!H24&gt;0,Skills!I24/Skills!H24,1)</f>
        <v/>
      </c>
      <c r="H860">
        <f>1-(1-Skills!J24/100)^Skills!K24</f>
        <v/>
      </c>
      <c r="I860" t="inlineStr">
        <is>
          <t>1</t>
        </is>
      </c>
      <c r="J860" t="inlineStr"/>
      <c r="K860" t="inlineStr"/>
      <c r="L860" t="inlineStr"/>
      <c r="M860" t="inlineStr"/>
      <c r="N860" t="inlineStr"/>
      <c r="O860">
        <f>(1-Summary!$B$11)*T860+Summary!$B$11*V860</f>
        <v/>
      </c>
      <c r="P860">
        <f>IF(B878=0,0,O860/B878)</f>
        <v/>
      </c>
      <c r="Q860" t="n">
        <v>0</v>
      </c>
      <c r="R860" t="n">
        <v>0</v>
      </c>
      <c r="S860" t="n">
        <v>0</v>
      </c>
      <c r="T860" t="n">
        <v>0</v>
      </c>
      <c r="V860" t="n">
        <v>0</v>
      </c>
    </row>
    <row r="861">
      <c r="A861">
        <f>Skills!A25</f>
        <v/>
      </c>
      <c r="B861">
        <f>Skills!B25</f>
        <v/>
      </c>
      <c r="C861">
        <f>Inputs!$B$3&gt;=125</f>
        <v/>
      </c>
      <c r="D861">
        <f>IF(Skills!C25=1,60+Inputs!$B$25+Inputs!$B$29,IF(Skills!C25=2,90+(Inputs!$B$26+1)+Inputs!$B$29,IF(Skills!C25=3,120+Inputs!$B$27+Inputs!$B$29,MAX(0,(Inputs!$B$3-100)*3)+Inputs!$B$28+Inputs!$B$29)))</f>
        <v/>
      </c>
      <c r="E861">
        <f>INDEX(FactorTable!$B$2:$Y$301, MATCH(ROUND(MIN(300,MAX(1,D861)),0), FactorTable!$A$2:$A$301,0), Skills!M25+1)</f>
        <v/>
      </c>
      <c r="F861">
        <f>IF(Skills!N25=TRUE,(Skills!L25/10)*(E861/1000),Skills!L25/10)+Skills!O25</f>
        <v/>
      </c>
      <c r="G861">
        <f>Skills!G25*IF(Skills!H25&gt;0,Skills!I25/Skills!H25,1)</f>
        <v/>
      </c>
      <c r="H861">
        <f>1-(1-Skills!J25/100)^Skills!K25</f>
        <v/>
      </c>
      <c r="I861" t="inlineStr">
        <is>
          <t>1</t>
        </is>
      </c>
      <c r="J861" t="inlineStr"/>
      <c r="K861" t="inlineStr"/>
      <c r="L861" t="inlineStr"/>
      <c r="M861" t="inlineStr"/>
      <c r="N861" t="inlineStr"/>
      <c r="O861">
        <f>(1-Summary!$B$11)*T861+Summary!$B$11*V861</f>
        <v/>
      </c>
      <c r="P861">
        <f>IF(B878=0,0,O861/B878)</f>
        <v/>
      </c>
      <c r="Q861" t="n">
        <v>0</v>
      </c>
      <c r="R861" t="n">
        <v>0</v>
      </c>
      <c r="S861" t="n">
        <v>0</v>
      </c>
      <c r="T861" t="n">
        <v>0</v>
      </c>
      <c r="V861" t="n">
        <v>0</v>
      </c>
    </row>
    <row r="862">
      <c r="A862">
        <f>Skills!A26</f>
        <v/>
      </c>
      <c r="B862">
        <f>Skills!B26</f>
        <v/>
      </c>
      <c r="C862">
        <f>Inputs!$B$3&gt;=125</f>
        <v/>
      </c>
      <c r="D862">
        <f>IF(Skills!C26=1,60+Inputs!$B$25+Inputs!$B$29,IF(Skills!C26=2,90+(Inputs!$B$26+1)+Inputs!$B$29,IF(Skills!C26=3,120+Inputs!$B$27+Inputs!$B$29,MAX(0,(Inputs!$B$3-100)*3)+Inputs!$B$28+Inputs!$B$29)))</f>
        <v/>
      </c>
      <c r="E862">
        <f>INDEX(FactorTable!$B$2:$Y$301, MATCH(ROUND(MIN(300,MAX(1,D862)),0), FactorTable!$A$2:$A$301,0), Skills!M26+1)</f>
        <v/>
      </c>
      <c r="F862">
        <f>IF(Skills!N26=TRUE,(Skills!L26/10)*(E862/1000),Skills!L26/10)+Skills!O26</f>
        <v/>
      </c>
      <c r="G862">
        <f>Skills!G26*IF(Skills!H26&gt;0,Skills!I26/Skills!H26,1)</f>
        <v/>
      </c>
      <c r="H862">
        <f>1-(1-Skills!J26/100)^Skills!K26</f>
        <v/>
      </c>
      <c r="I862" t="inlineStr">
        <is>
          <t>1</t>
        </is>
      </c>
      <c r="J862" t="inlineStr"/>
      <c r="K862" t="inlineStr"/>
      <c r="L862" t="inlineStr"/>
      <c r="M862" t="inlineStr"/>
      <c r="N862" t="inlineStr"/>
      <c r="O862">
        <f>(1-Summary!$B$11)*T862+Summary!$B$11*V862</f>
        <v/>
      </c>
      <c r="P862">
        <f>IF(B878=0,0,O862/B878)</f>
        <v/>
      </c>
      <c r="Q862" t="n">
        <v>0</v>
      </c>
      <c r="R862" t="n">
        <v>0</v>
      </c>
      <c r="S862" t="n">
        <v>0</v>
      </c>
      <c r="T862" t="n">
        <v>0</v>
      </c>
      <c r="V862" t="n">
        <v>0</v>
      </c>
    </row>
    <row r="863">
      <c r="A863">
        <f>Skills!A27</f>
        <v/>
      </c>
      <c r="B863">
        <f>Skills!B27</f>
        <v/>
      </c>
      <c r="C863">
        <f>Inputs!$B$3&gt;=120</f>
        <v/>
      </c>
      <c r="D863">
        <f>IF(Skills!C27=1,60+Inputs!$B$25+Inputs!$B$29,IF(Skills!C27=2,90+(Inputs!$B$26+1)+Inputs!$B$29,IF(Skills!C27=3,120+Inputs!$B$27+Inputs!$B$29,MAX(0,(Inputs!$B$3-100)*3)+Inputs!$B$28+Inputs!$B$29)))</f>
        <v/>
      </c>
      <c r="E863">
        <f>INDEX(FactorTable!$B$2:$Y$301, MATCH(ROUND(MIN(300,MAX(1,D863)),0), FactorTable!$A$2:$A$301,0), Skills!M27+1)</f>
        <v/>
      </c>
      <c r="F863">
        <f>IF(Skills!N27=TRUE,(Skills!L27/10)*(E863/1000),Skills!L27/10)+Skills!O27</f>
        <v/>
      </c>
      <c r="G863">
        <f>Skills!G27*IF(Skills!H27&gt;0,Skills!I27/Skills!H27,1)</f>
        <v/>
      </c>
      <c r="H863">
        <f>1-(1-Skills!J27/100)^Skills!K27</f>
        <v/>
      </c>
      <c r="I863" t="inlineStr">
        <is>
          <t>1</t>
        </is>
      </c>
      <c r="J863" t="inlineStr"/>
      <c r="K863" t="inlineStr"/>
      <c r="L863" t="inlineStr"/>
      <c r="M863" t="inlineStr"/>
      <c r="N863" t="inlineStr"/>
      <c r="O863">
        <f>(1-Summary!$B$11)*T863+Summary!$B$11*V863</f>
        <v/>
      </c>
      <c r="P863">
        <f>IF(B878=0,0,O863/B878)</f>
        <v/>
      </c>
      <c r="Q863" t="n">
        <v>0</v>
      </c>
      <c r="R863" t="n">
        <v>0</v>
      </c>
      <c r="S863" t="n">
        <v>0</v>
      </c>
      <c r="T863" t="n">
        <v>0</v>
      </c>
      <c r="V863" t="n">
        <v>0</v>
      </c>
    </row>
    <row r="864">
      <c r="A864">
        <f>Skills!A28</f>
        <v/>
      </c>
      <c r="B864">
        <f>Skills!B28</f>
        <v/>
      </c>
      <c r="C864">
        <f>Inputs!$B$3&gt;=120</f>
        <v/>
      </c>
      <c r="D864">
        <f>IF(Skills!C28=1,60+Inputs!$B$25+Inputs!$B$29,IF(Skills!C28=2,90+(Inputs!$B$26+1)+Inputs!$B$29,IF(Skills!C28=3,120+Inputs!$B$27+Inputs!$B$29,MAX(0,(Inputs!$B$3-100)*3)+Inputs!$B$28+Inputs!$B$29)))</f>
        <v/>
      </c>
      <c r="E864">
        <f>INDEX(FactorTable!$B$2:$Y$301, MATCH(ROUND(MIN(300,MAX(1,D864)),0), FactorTable!$A$2:$A$301,0), Skills!M28+1)</f>
        <v/>
      </c>
      <c r="F864">
        <f>IF(Skills!N28=TRUE,(Skills!L28/10)*(E864/1000),Skills!L28/10)+Skills!O28</f>
        <v/>
      </c>
      <c r="G864">
        <f>Skills!G28*IF(Skills!H28&gt;0,Skills!I28/Skills!H28,1)</f>
        <v/>
      </c>
      <c r="H864">
        <f>1-(1-Skills!J28/100)^Skills!K28</f>
        <v/>
      </c>
      <c r="I864" t="inlineStr">
        <is>
          <t>1</t>
        </is>
      </c>
      <c r="J864" t="inlineStr"/>
      <c r="K864" t="inlineStr"/>
      <c r="L864" t="inlineStr"/>
      <c r="M864" t="inlineStr"/>
      <c r="N864" t="inlineStr"/>
      <c r="O864">
        <f>(1-Summary!$B$11)*T864+Summary!$B$11*V864</f>
        <v/>
      </c>
      <c r="P864">
        <f>IF(B878=0,0,O864/B878)</f>
        <v/>
      </c>
      <c r="Q864" t="n">
        <v>0</v>
      </c>
      <c r="R864" t="n">
        <v>0</v>
      </c>
      <c r="S864" t="n">
        <v>0</v>
      </c>
      <c r="T864" t="n">
        <v>0</v>
      </c>
      <c r="V864" t="n">
        <v>0</v>
      </c>
    </row>
    <row r="865">
      <c r="A865">
        <f>Skills!A29</f>
        <v/>
      </c>
      <c r="B865">
        <f>Skills!B29</f>
        <v/>
      </c>
      <c r="C865">
        <f>Inputs!$B$3&gt;=45</f>
        <v/>
      </c>
      <c r="D865">
        <f>IF(Skills!C29=1,60+Inputs!$B$25+Inputs!$B$29,IF(Skills!C29=2,90+(Inputs!$B$26+1)+Inputs!$B$29,IF(Skills!C29=3,120+Inputs!$B$27+Inputs!$B$29,MAX(0,(Inputs!$B$3-100)*3)+Inputs!$B$28+Inputs!$B$29)))</f>
        <v/>
      </c>
      <c r="E865">
        <f>INDEX(FactorTable!$B$2:$Y$301, MATCH(ROUND(MIN(300,MAX(1,D865)),0), FactorTable!$A$2:$A$301,0), Skills!M29+1)</f>
        <v/>
      </c>
      <c r="F865">
        <f>IF(Skills!N29=TRUE,(Skills!L29/10)*(E865/1000),Skills!L29/10)+Skills!O29</f>
        <v/>
      </c>
      <c r="G865">
        <f>Skills!G29*IF(Skills!H29&gt;0,Skills!I29/Skills!H29,1)</f>
        <v/>
      </c>
      <c r="H865">
        <f>1-(1-Skills!J29/100)^Skills!K29</f>
        <v/>
      </c>
      <c r="I865" t="inlineStr">
        <is>
          <t>1</t>
        </is>
      </c>
      <c r="J865" t="inlineStr"/>
      <c r="K865" t="inlineStr"/>
      <c r="L865" t="inlineStr"/>
      <c r="M865" t="inlineStr"/>
      <c r="N865" t="inlineStr"/>
      <c r="O865">
        <f>(1-Summary!$B$11)*T865+Summary!$B$11*V865</f>
        <v/>
      </c>
      <c r="P865">
        <f>IF(B878=0,0,O865/B878)</f>
        <v/>
      </c>
      <c r="Q865" t="n">
        <v>0</v>
      </c>
      <c r="R865" t="n">
        <v>0</v>
      </c>
      <c r="S865" t="n">
        <v>0</v>
      </c>
      <c r="T865" t="n">
        <v>0</v>
      </c>
      <c r="V865" t="n">
        <v>0</v>
      </c>
    </row>
    <row r="867">
      <c r="A867" t="inlineStr">
        <is>
          <t>Attack% Bucket Multiplier</t>
        </is>
      </c>
      <c r="B867">
        <f>(1+(((C849=TRUE)*F849)+((C850=TRUE)*IF(Inputs!$B$38="pvp",F850,(1-Summary!$B$11)*(F850)+Summary!$B$11*(0)))+((C851=TRUE)*F851*IF(AND(Inputs!$B$38&lt;&gt;"pvp",Inputs!$B$43&gt;0),(((R851-1)*(Skills!T15*(1+Inputs!$B$34/100))+MIN((Skills!T15*(1+Inputs!$B$34/100)),MAX(0,Inputs!$B$43-((R851-1)*Skills!D15))))/Inputs!$B$43),IF(Inputs!$B$38="pvp",MIN((Skills!T15*(1+Inputs!$B$34/100)),15)/15,(Skills!T15*(1+Inputs!$B$34/100))/Skills!D15)))+((C848=TRUE)*F848)+((C865=TRUE)*(F865-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868">
      <c r="A868" t="inlineStr">
        <is>
          <t>Global Crit Rate Bonus %</t>
        </is>
      </c>
      <c r="B868">
        <f>(C852=TRUE)*20*IF(AND(Inputs!$B$38&lt;&gt;"pvp",Inputs!$B$43&gt;0),(((R852-1)*(Skills!T16*(1+Inputs!$B$34/100))+MIN((Skills!T16*(1+Inputs!$B$34/100)),MAX(0,Inputs!$B$43-((R852-1)*Skills!D16))))/Inputs!$B$43),IF(Inputs!$B$38="pvp",MIN((Skills!T16*(1+Inputs!$B$34/100)),15)/15,(Skills!T16*(1+Inputs!$B$34/100))/Skills!D16))</f>
        <v/>
      </c>
    </row>
    <row r="869">
      <c r="A869" t="inlineStr">
        <is>
          <t>Attack Speed Buff Bonus %</t>
        </is>
      </c>
      <c r="B869">
        <f>((C854=TRUE)*F854*IF(AND(Inputs!$B$38&lt;&gt;"pvp",Inputs!$B$43&gt;0),(((R854-1)*(Skills!T18*(1+Inputs!$B$34/100))+MIN((Skills!T18*(1+Inputs!$B$34/100)),MAX(0,Inputs!$B$43-((R854-1)*Skills!D18))))/Inputs!$B$43),IF(Inputs!$B$38="pvp",MIN((Skills!T18*(1+Inputs!$B$34/100)),15)/15,(Skills!T18*(1+Inputs!$B$34/100))/Skills!D18)))</f>
        <v/>
      </c>
    </row>
    <row r="870">
      <c r="A870" t="inlineStr">
        <is>
          <t>Actions Per Second</t>
        </is>
      </c>
      <c r="B870">
        <f>1+MIN(150,150*(1-(1-(Inputs!$B$11+((C856=TRUE)*(F856-Calc!F20))+((C857=TRUE)*(F857-Calc!F21)))/150)*(1-B869/150)))/100</f>
        <v/>
      </c>
    </row>
    <row r="871">
      <c r="A871" t="inlineStr">
        <is>
          <t>Skill + Buff Cast Rate</t>
        </is>
      </c>
      <c r="B871">
        <f>IF(AND(Inputs!$B$38&lt;&gt;"pvp",Inputs!$B$43&gt;0),SUMPRODUCT((Skills!E2:E29=TRUE)*(C838:C865=TRUE)*R838:R865*Skills!F2:F29)/Inputs!$B$43,SUMPRODUCT((Skills!E2:E29=TRUE)*(C838:C865=TRUE)*Q838:Q865*Skills!F2:F29))</f>
        <v/>
      </c>
    </row>
    <row r="872">
      <c r="A872" t="inlineStr">
        <is>
          <t>Empowered Piercing Arrow Casts Per Second</t>
        </is>
      </c>
      <c r="B872">
        <f>MAX(0,B870-B871)</f>
        <v/>
      </c>
    </row>
    <row r="873">
      <c r="A873" t="inlineStr">
        <is>
          <t>Global Critical Damage Bonus % (Sharp Eyes)</t>
        </is>
      </c>
      <c r="B873">
        <f>(C852=TRUE)*F852*IF(AND(Inputs!$B$38&lt;&gt;"pvp",Inputs!$B$43&gt;0),(((R852-1)*(Skills!T16*(1+Inputs!$B$34/100))+MIN((Skills!T16*(1+Inputs!$B$34/100)),MAX(0,Inputs!$B$43-((R852-1)*Skills!D16))))/Inputs!$B$43),IF(Inputs!$B$38="pvp",MIN((Skills!T16*(1+Inputs!$B$34/100)),15)/15,(Skills!T16*(1+Inputs!$B$34/100))/Skills!D16))</f>
        <v/>
      </c>
    </row>
    <row r="874">
      <c r="A874" t="inlineStr">
        <is>
          <t>Global Final Damage Bonus % (Mortal Blow + Last Man Standing conditional half)</t>
        </is>
      </c>
      <c r="B874">
        <f>(C853=TRUE)*F853+((C862=TRUE)*IF(Inputs!$B$38="pvp",F862,(1-Summary!$B$11)*(F862)+Summary!$B$11*(0)))</f>
        <v/>
      </c>
    </row>
    <row r="875">
      <c r="A875" t="inlineStr">
        <is>
          <t>Buff-Casting Startup Delay (s, fixed-duration only)</t>
        </is>
      </c>
      <c r="B875">
        <f>IF(AND(Inputs!$B$38&lt;&gt;"pvp",Inputs!$B$43&gt;0),SUMPRODUCT((Skills!T2:T29&gt;0)*(Skills!E2:E29=TRUE)*(C838:C865=TRUE))/B870,0)</f>
        <v/>
      </c>
    </row>
    <row r="876">
      <c r="A876" t="inlineStr">
        <is>
          <t>Boss-Only Total DPS (this block's swept value)</t>
        </is>
      </c>
      <c r="B876">
        <f>SUM(T838:T865)</f>
        <v/>
      </c>
    </row>
    <row r="877">
      <c r="A877" t="inlineStr">
        <is>
          <t>Normal-Only Total DPS (this block's swept value)</t>
        </is>
      </c>
      <c r="B877">
        <f>SUM(V838:V865)</f>
        <v/>
      </c>
    </row>
    <row r="878">
      <c r="A878" s="6" t="inlineStr">
        <is>
          <t>TOTAL DPS</t>
        </is>
      </c>
      <c r="B878" s="6">
        <f>SUM(O838:O865)</f>
        <v/>
      </c>
    </row>
    <row r="881">
      <c r="A881" s="6" t="inlineStr">
        <is>
          <t>Stat: Skill Level Bonus — 3rd Job</t>
        </is>
      </c>
    </row>
    <row r="882">
      <c r="A882" s="5" t="inlineStr">
        <is>
          <t>Key</t>
        </is>
      </c>
      <c r="B882" s="5" t="inlineStr">
        <is>
          <t>Name</t>
        </is>
      </c>
      <c r="C882" s="5" t="inlineStr">
        <is>
          <t>Unlocked</t>
        </is>
      </c>
      <c r="D882" s="5" t="inlineStr">
        <is>
          <t>InputLevel</t>
        </is>
      </c>
      <c r="E882" s="5" t="inlineStr">
        <is>
          <t>Factor</t>
        </is>
      </c>
      <c r="F882" s="5" t="inlineStr">
        <is>
          <t>CoefficientPercent</t>
        </is>
      </c>
      <c r="G882" s="5" t="inlineStr">
        <is>
          <t>EffectiveHits</t>
        </is>
      </c>
      <c r="H882" s="5" t="inlineStr">
        <is>
          <t>ProcProbability</t>
        </is>
      </c>
      <c r="I882" s="5" t="inlineStr">
        <is>
          <t>MapleHeroMultiplier</t>
        </is>
      </c>
      <c r="J882" s="5" t="inlineStr">
        <is>
          <t>BaseDamage</t>
        </is>
      </c>
      <c r="K882" s="5" t="inlineStr">
        <is>
          <t>BaseHitDamage</t>
        </is>
      </c>
      <c r="L882" s="5" t="inlineStr">
        <is>
          <t>NonCritAvg</t>
        </is>
      </c>
      <c r="M882" s="5" t="inlineStr">
        <is>
          <t>CritAvg</t>
        </is>
      </c>
      <c r="N882" s="5" t="inlineStr">
        <is>
          <t>ExpectedDamage(perHit)</t>
        </is>
      </c>
      <c r="O882" s="5" t="inlineStr">
        <is>
          <t>DPS</t>
        </is>
      </c>
      <c r="P882" s="5" t="inlineStr">
        <is>
          <t>% of Total</t>
        </is>
      </c>
      <c r="Q882" s="5" t="inlineStr">
        <is>
          <t>InvCooldown</t>
        </is>
      </c>
      <c r="R882" s="5" t="inlineStr">
        <is>
          <t>CastsInFight</t>
        </is>
      </c>
      <c r="S882" s="5" t="inlineStr">
        <is>
          <t>HitRate(perSec)</t>
        </is>
      </c>
      <c r="U882" t="inlineStr">
        <is>
          <t>helpers</t>
        </is>
      </c>
    </row>
    <row r="883">
      <c r="A883">
        <f>Skills!A2</f>
        <v/>
      </c>
      <c r="B883">
        <f>Skills!B2</f>
        <v/>
      </c>
      <c r="C883">
        <f>Inputs!$B$3&gt;=100</f>
        <v/>
      </c>
      <c r="D883" t="inlineStr"/>
      <c r="E883" t="inlineStr"/>
      <c r="F883">
        <f>U885+Skills!O2</f>
        <v/>
      </c>
      <c r="G883">
        <f>Skills!G2*IF(Skills!H2&gt;0,Skills!I2/Skills!H2,1)</f>
        <v/>
      </c>
      <c r="H883">
        <f>1-(1-Skills!J2/100)^Skills!K2</f>
        <v/>
      </c>
      <c r="I883" t="inlineStr">
        <is>
          <t>1</t>
        </is>
      </c>
      <c r="J883">
        <f>((Inputs!$B$6*(1+Inputs!$B$7/100))+(((Inputs!$B$12*(1+Inputs!$B$13/100))-(Inputs!$B$12*(1+Inputs!$B$13/100)))+0.25*(Inputs!$B$14-Inputs!$B$14))*(1+Inputs!$B$7/100))*(F883/100)</f>
        <v/>
      </c>
      <c r="K883">
        <f>J883*(1+((Inputs!$B$12*(1+Inputs!$B$13/100))*0.01+Inputs!$B$14*0.0025)/100)*(1+Inputs!$B$15/100)*(1+Inputs!$B$16/100)*(5000/(6000+Inputs!$B$42*(1-(100*(1-(1-(Inputs!$B$19+0)/100)*(1-CHOOSE(ArtifactsInput!$N$40+1,5,6,7,8,9,10)/100)^(ArtifactsInput!$M$40-ArtifactsInput!$M$40)))/100)))*(1+(Inputs!$B$24+((C905=TRUE)*(F905-Calc!F24))+((C906=TRUE)*(F906-Calc!F25))+B919)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EMPOWERED_PIERCING_ARROW",Inputs!$B$17+((C903=TRUE)*(F903-Calc!F22))+(((IF(AND(ArtifactsInput!$M$42,((Inputs!$B$9+((C900=TRUE)*(F900-Calc!F19))+B913+(ArtifactsInput!$M$24-ArtifactsInput!$M$24)*CHOOSE(ArtifactsInput!$N$24+1,10,12,14,16,18,20)+IF(ArtifactsInput!$M$10,CHOOSE(ArtifactsInput!$N$10+1,15,18,21,24,27,30)*(IF(Inputs!$B$38="pvp",MIN(15,15)/15,IF(AND(Inputs!$B$38&lt;&gt;"pvp",Inputs!$B$43&gt;0),MIN(15,Inputs!$B$43)/(Inputs!$B$43),0))),0)))&gt;=100),MIN(100,((Inputs!$B$9+((C900=TRUE)*(F900-Calc!F19))+B913+(ArtifactsInput!$M$24-ArtifactsInput!$M$24)*CHOOSE(ArtifactsInput!$N$24+1,10,12,14,16,18,20)+IF(ArtifactsInput!$M$10,CHOOSE(ArtifactsInput!$N$10+1,15,18,21,24,27,30)*(IF(Inputs!$B$38="pvp",MIN(15,15)/15,IF(AND(Inputs!$B$38&lt;&gt;"pvp",Inputs!$B$43&gt;0),MIN(15,Inputs!$B$43)/(Inputs!$B$43),0))),0)))-100),0))*CHOOSE(ArtifactsInput!$N$42+1,0.6,0.72,0.84,0.96,1.08,1.2))),Inputs!$B$18+((C908=TRUE)*(F908-Calc!F27))+(IF(AND(ArtifactsInput!$M$42,((Inputs!$B$9+((C900=TRUE)*(F900-Calc!F19))+B913+(ArtifactsInput!$M$24-ArtifactsInput!$M$24)*CHOOSE(ArtifactsInput!$N$24+1,10,12,14,16,18,20)+IF(ArtifactsInput!$M$10,CHOOSE(ArtifactsInput!$N$10+1,15,18,21,24,27,30)*(IF(Inputs!$B$38="pvp",MIN(15,15)/15,IF(AND(Inputs!$B$38&lt;&gt;"pvp",Inputs!$B$43&gt;0),MIN(15,Inputs!$B$43)/(Inputs!$B$43),0))),0)))&gt;=100),CHOOSE(ArtifactsInput!$N$42+1,40,48,56,64,72,80),0))))/100)*((1+(((C894=TRUE)*F894)+((C895=TRUE)*IF(Inputs!$B$38="pvp",F895,(1-Summary!$B$11)*(F895)+Summary!$B$11*(0)))+((C896=TRUE)*F896*IF(AND(Inputs!$B$38&lt;&gt;"pvp",Inputs!$B$43&gt;0),(((R896-1)*(Skills!T15*(1+Inputs!$B$34/100))+MIN((Skills!T15*(1+Inputs!$B$34/100)),MAX(0,Inputs!$B$43-((R896-1)*Skills!D15))))/Inputs!$B$43),IF(Inputs!$B$38="pvp",MIN((Skills!T15*(1+Inputs!$B$34/100)),15)/15,(Skills!T15*(1+Inputs!$B$34/100))/Skills!D15)))+((C893=TRUE)*F893)+((C910=TRUE)*(F910-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883)</f>
        <v/>
      </c>
      <c r="L883">
        <f>K883*(MIN(Inputs!$B$22+((C904=TRUE)*(F904-Calc!F23)),(Inputs!$B$23+((C909=TRUE)*(F909-Calc!F28))+(IF(ArtifactsInput!$M$15,CHOOSE(ArtifactsInput!$N$15+1,25,30,35,40,45,50)/100*(Inputs!$B$11-Inputs!$B$11),0))))/100+(Inputs!$B$23+((C909=TRUE)*(F909-Calc!F28))+(IF(ArtifactsInput!$M$15,CHOOSE(ArtifactsInput!$N$15+1,25,30,35,40,45,50)/100*(Inputs!$B$11-Inputs!$B$11),0)))/100)/2</f>
        <v/>
      </c>
      <c r="M883">
        <f>L883*(1+(Inputs!$B$10+0+B918+(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883">
        <f>L883*(1-MIN((Inputs!$B$9+((C900=TRUE)*(F900-Calc!F19))+B913+(ArtifactsInput!$M$24-ArtifactsInput!$M$24)*CHOOSE(ArtifactsInput!$N$24+1,10,12,14,16,18,20)+(IF(AND(ArtifactsInput!$M$42,((Inputs!$B$9+((C900=TRUE)*(F900-Calc!F19))+B913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883*(MIN((Inputs!$B$9+((C900=TRUE)*(F900-Calc!F19))+B913+(ArtifactsInput!$M$24-ArtifactsInput!$M$24)*CHOOSE(ArtifactsInput!$N$24+1,10,12,14,16,18,20)+(IF(AND(ArtifactsInput!$M$42,((Inputs!$B$9+((C900=TRUE)*(F900-Calc!F19))+B913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883">
        <f>(1-Summary!$B$11)*T883+Summary!$B$11*V883</f>
        <v/>
      </c>
      <c r="P883">
        <f>IF(B923=0,0,O883/B923)</f>
        <v/>
      </c>
      <c r="Q883" t="n">
        <v>0</v>
      </c>
      <c r="R883" t="n">
        <v>0</v>
      </c>
      <c r="S883">
        <f>IFERROR((Skills!G2*N883*B917)/N883*IF(Inputs!$B$38="pvp",1,(1-Summary!$B$11)*1+Summary!$B$11*(MIN((6+Inputs!$B$33),Inputs!$B$37))),0)</f>
        <v/>
      </c>
      <c r="T883">
        <f>IF(C883,(Skills!G2*N883*B917)*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Hunt"),CHOOSE(ArtifactsInput!$N$35+1,15,18,21,24,27,30)*(1-EXP(-(0.2*B915)*5)),0)+IF(AND(ArtifactsInput!$M$22,Inputs!$B$4&lt;&gt;"Chapter Hunt"),CHOOSE(ArtifactsInput!$N$22+1,10,12,14,16,18,20)*((0*(((0.15*B915*5))^0/1)+1*(((0.15*B915*5))^1/1)+2*(((0.15*B915*5))^2/2)+3*(((0.15*B915*5))^3/6)+4*(((0.15*B915*5))^4/24)+5*(((0.15*B915*5))^5/120))/((((0.15*B915*5))^0/1)+(((0.15*B915*5))^1/1)+(((0.15*B915*5))^2/2)+(((0.15*B915*5))^3/6)+(((0.15*B915*5))^4/24)+(((0.15*B915*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883*(1-MIN(100,(Inputs!$B$9+((C900=TRUE)*(F900-Calc!F19))+B913+(ArtifactsInput!$M$24-ArtifactsInput!$M$24)*CHOOSE(ArtifactsInput!$N$24+1,10,12,14,16,18,20)+(IF(AND(ArtifactsInput!$M$42,((Inputs!$B$9+((C900=TRUE)*(F900-Calc!F19))+B913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883*(MIN(100,(Inputs!$B$9+((C900=TRUE)*(F900-Calc!F19))+B913+(ArtifactsInput!$M$24-ArtifactsInput!$M$24)*CHOOSE(ArtifactsInput!$N$24+1,10,12,14,16,18,20)+(IF(AND(ArtifactsInput!$M$42,((Inputs!$B$9+((C900=TRUE)*(F900-Calc!F19))+B913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883*(1-MIN(100,(Inputs!$B$9+((C900=TRUE)*(F900-Calc!F19))+B913+(ArtifactsInput!$M$24-ArtifactsInput!$M$24)*CHOOSE(ArtifactsInput!$N$24+1,10,12,14,16,18,20)+(IF(AND(ArtifactsInput!$M$42,((Inputs!$B$9+((C900=TRUE)*(F900-Calc!F19))+B913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883*(MIN(100,(Inputs!$B$9+((C900=TRUE)*(F900-Calc!F19))+B913+(ArtifactsInput!$M$24-ArtifactsInput!$M$24)*CHOOSE(ArtifactsInput!$N$24+1,10,12,14,16,18,20)+(IF(AND(ArtifactsInput!$M$42,((Inputs!$B$9+((C900=TRUE)*(F900-Calc!F19))+B913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883">
        <f>MAX(0,(Inputs!$B$3-100)*3)+Inputs!$B$28+Inputs!$B$29</f>
        <v/>
      </c>
      <c r="V883">
        <f>IF(C883,(Skills!G2*N883*B917)*IF(Inputs!$B$38="pvp",1,(1+(Inputs!$B$21+Skills!Q2+(IF(ArtifactsInput!$M$33,CHOOSE(ArtifactsInput!$N$33+1,30,36,42,48,54,60),0))+(IF(AND(ArtifactsInput!$M$35,Inputs!$B$4&lt;&gt;"Chapter Hunt"),CHOOSE(ArtifactsInput!$N$35+1,15,18,21,24,27,30)*(1-EXP(-(0.2*B915)*5)),0)+IF(AND(ArtifactsInput!$M$22,Inputs!$B$4&lt;&gt;"Chapter Hunt"),CHOOSE(ArtifactsInput!$N$22+1,10,12,14,16,18,20)*((0*(((0.15*B915*5))^0/1)+1*(((0.15*B915*5))^1/1)+2*(((0.15*B915*5))^2/2)+3*(((0.15*B915*5))^3/6)+4*(((0.15*B915*5))^4/24)+5*(((0.15*B915*5))^5/120))/((((0.15*B915*5))^0/1)+(((0.15*B915*5))^1/1)+(((0.15*B915*5))^2/2)+(((0.15*B915*5))^3/6)+(((0.15*B915*5))^4/24)+(((0.15*B915*5))^5/120)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884">
      <c r="A884">
        <f>Skills!A3</f>
        <v/>
      </c>
      <c r="B884">
        <f>Skills!B3</f>
        <v/>
      </c>
      <c r="C884">
        <f>Inputs!$B$3&gt;=50</f>
        <v/>
      </c>
      <c r="D884">
        <f>IF(Skills!C3=1,60+Inputs!$B$25+Inputs!$B$29,IF(Skills!C3=2,90+Inputs!$B$26+Inputs!$B$29,IF(Skills!C3=3,120+(Inputs!$B$27+1)+Inputs!$B$29,MAX(0,(Inputs!$B$3-100)*3)+Inputs!$B$28+Inputs!$B$29)))</f>
        <v/>
      </c>
      <c r="E884">
        <f>INDEX(FactorTable!$B$2:$Y$301, MATCH(ROUND(MIN(300,MAX(1,D884)),0), FactorTable!$A$2:$A$301,0), Skills!M3+1)</f>
        <v/>
      </c>
      <c r="F884">
        <f>IF(Skills!N3=TRUE,(Skills!L3/10)*(E884/1000),Skills!L3/10)+Skills!O3</f>
        <v/>
      </c>
      <c r="G884" t="inlineStr"/>
      <c r="H884" t="inlineStr"/>
      <c r="I884" t="inlineStr">
        <is>
          <t>1</t>
        </is>
      </c>
      <c r="J884" t="inlineStr"/>
      <c r="K884" t="inlineStr"/>
      <c r="L884" t="inlineStr"/>
      <c r="M884" t="inlineStr"/>
      <c r="N884" t="inlineStr"/>
      <c r="O884" t="inlineStr"/>
      <c r="P884" t="inlineStr"/>
      <c r="Q884" t="inlineStr"/>
      <c r="R884" t="inlineStr"/>
      <c r="S884" t="inlineStr"/>
      <c r="T884" t="inlineStr"/>
      <c r="U884">
        <f>INDEX(FactorTable!$B$2:$Y$301, MATCH(ROUND(MIN(300,MAX(1,U883)),0), FactorTable!$A$2:$A$301,0), 22)</f>
        <v/>
      </c>
      <c r="V884" t="inlineStr"/>
    </row>
    <row r="885">
      <c r="A885">
        <f>Skills!A4</f>
        <v/>
      </c>
      <c r="B885">
        <f>Skills!B4</f>
        <v/>
      </c>
      <c r="C885">
        <f>Inputs!$B$3&gt;=105</f>
        <v/>
      </c>
      <c r="D885">
        <f>IF(Skills!C4=1,60+Inputs!$B$25+Inputs!$B$29,IF(Skills!C4=2,90+Inputs!$B$26+Inputs!$B$29,IF(Skills!C4=3,120+(Inputs!$B$27+1)+Inputs!$B$29,MAX(0,(Inputs!$B$3-100)*3)+Inputs!$B$28+Inputs!$B$29)))</f>
        <v/>
      </c>
      <c r="E885">
        <f>INDEX(FactorTable!$B$2:$Y$301, MATCH(ROUND(MIN(300,MAX(1,D885)),0), FactorTable!$A$2:$A$301,0), Skills!M4+1)</f>
        <v/>
      </c>
      <c r="F885">
        <f>IF(Skills!N4=TRUE,(Skills!L4/10)*(E885/1000),Skills!L4/10)+Skills!O4</f>
        <v/>
      </c>
      <c r="G885" t="inlineStr"/>
      <c r="H885" t="inlineStr"/>
      <c r="I885" t="inlineStr">
        <is>
          <t>1</t>
        </is>
      </c>
      <c r="J885" t="inlineStr"/>
      <c r="K885" t="inlineStr"/>
      <c r="L885" t="inlineStr"/>
      <c r="M885" t="inlineStr"/>
      <c r="N885" t="inlineStr"/>
      <c r="O885" t="inlineStr"/>
      <c r="P885" t="inlineStr"/>
      <c r="Q885" t="inlineStr"/>
      <c r="R885" t="inlineStr"/>
      <c r="S885" t="inlineStr"/>
      <c r="T885" t="inlineStr"/>
      <c r="U885">
        <f>290*U884/1000</f>
        <v/>
      </c>
      <c r="V885" t="inlineStr"/>
    </row>
    <row r="886">
      <c r="A886">
        <f>Skills!A5</f>
        <v/>
      </c>
      <c r="B886">
        <f>Skills!B5</f>
        <v/>
      </c>
      <c r="C886">
        <f>Inputs!$B$3&gt;=35</f>
        <v/>
      </c>
      <c r="D886">
        <f>IF(Skills!C5=1,60+Inputs!$B$25+Inputs!$B$29,IF(Skills!C5=2,90+Inputs!$B$26+Inputs!$B$29,IF(Skills!C5=3,120+(Inputs!$B$27+1)+Inputs!$B$29,MAX(0,(Inputs!$B$3-100)*3)+Inputs!$B$28+Inputs!$B$29)))</f>
        <v/>
      </c>
      <c r="E886">
        <f>INDEX(FactorTable!$B$2:$Y$301, MATCH(ROUND(MIN(300,MAX(1,D886)),0), FactorTable!$A$2:$A$301,0), Skills!M5+1)</f>
        <v/>
      </c>
      <c r="F886">
        <f>IF(Skills!N5=TRUE,(Skills!L5/10)*(E886/1000),Skills!L5/10)+Skills!O5</f>
        <v/>
      </c>
      <c r="G886">
        <f>Skills!G5*IF(Skills!H5&gt;0,Skills!I5/Skills!H5,1)</f>
        <v/>
      </c>
      <c r="H886">
        <f>1-(1-Skills!J5/100)^Skills!K5</f>
        <v/>
      </c>
      <c r="I886" t="inlineStr">
        <is>
          <t>1</t>
        </is>
      </c>
      <c r="J886">
        <f>((Inputs!$B$6*(1+Inputs!$B$7/100))+(((Inputs!$B$12*(1+Inputs!$B$13/100))-(Inputs!$B$12*(1+Inputs!$B$13/100)))+0.25*(Inputs!$B$14-Inputs!$B$14))*(1+Inputs!$B$7/100))*(F886/100)</f>
        <v/>
      </c>
      <c r="K886">
        <f>J886*(1+((Inputs!$B$12*(1+Inputs!$B$13/100))*0.01+Inputs!$B$14*0.0025)/100)*(1+Inputs!$B$15/100)*(1+Inputs!$B$16/100)*(5000/(6000+Inputs!$B$42*(1-(100*(1-(1-(Inputs!$B$19+0)/100)*(1-CHOOSE(ArtifactsInput!$N$40+1,5,6,7,8,9,10)/100)^(ArtifactsInput!$M$40-ArtifactsInput!$M$40)))/100)))*(1+(Inputs!$B$24+((C905=TRUE)*(F905-Calc!F24))+((C906=TRUE)*(F906-Calc!F25))+B919)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889=TRUE,F889,0)/100)*(1+(IF(Skills!A5="EMPOWERED_PIERCING_ARROW",Inputs!$B$17+((C903=TRUE)*(F903-Calc!F22))+(((IF(AND(ArtifactsInput!$M$42,((Inputs!$B$9+((C900=TRUE)*(F900-Calc!F19))+B913+(ArtifactsInput!$M$24-ArtifactsInput!$M$24)*CHOOSE(ArtifactsInput!$N$24+1,10,12,14,16,18,20)+IF(ArtifactsInput!$M$10,CHOOSE(ArtifactsInput!$N$10+1,15,18,21,24,27,30)*(IF(Inputs!$B$38="pvp",MIN(15,15)/15,IF(AND(Inputs!$B$38&lt;&gt;"pvp",Inputs!$B$43&gt;0),MIN(15,Inputs!$B$43)/(Inputs!$B$43),0))),0)))&gt;=100),MIN(100,((Inputs!$B$9+((C900=TRUE)*(F900-Calc!F19))+B913+(ArtifactsInput!$M$24-ArtifactsInput!$M$24)*CHOOSE(ArtifactsInput!$N$24+1,10,12,14,16,18,20)+IF(ArtifactsInput!$M$10,CHOOSE(ArtifactsInput!$N$10+1,15,18,21,24,27,30)*(IF(Inputs!$B$38="pvp",MIN(15,15)/15,IF(AND(Inputs!$B$38&lt;&gt;"pvp",Inputs!$B$43&gt;0),MIN(15,Inputs!$B$43)/(Inputs!$B$43),0))),0)))-100),0))*CHOOSE(ArtifactsInput!$N$42+1,0.6,0.72,0.84,0.96,1.08,1.2))),Inputs!$B$18+((C908=TRUE)*(F908-Calc!F27))+(IF(AND(ArtifactsInput!$M$42,((Inputs!$B$9+((C900=TRUE)*(F900-Calc!F19))+B913+(ArtifactsInput!$M$24-ArtifactsInput!$M$24)*CHOOSE(ArtifactsInput!$N$24+1,10,12,14,16,18,20)+IF(ArtifactsInput!$M$10,CHOOSE(ArtifactsInput!$N$10+1,15,18,21,24,27,30)*(IF(Inputs!$B$38="pvp",MIN(15,15)/15,IF(AND(Inputs!$B$38&lt;&gt;"pvp",Inputs!$B$43&gt;0),MIN(15,Inputs!$B$43)/(Inputs!$B$43),0))),0)))&gt;=100),CHOOSE(ArtifactsInput!$N$42+1,40,48,56,64,72,80),0))))/100)*((1+(((C894=TRUE)*F894)+((C895=TRUE)*IF(Inputs!$B$38="pvp",F895,(1-Summary!$B$11)*(F895)+Summary!$B$11*(0)))+((C896=TRUE)*F896*IF(AND(Inputs!$B$38&lt;&gt;"pvp",Inputs!$B$43&gt;0),(((R896-1)*(Skills!T15*(1+Inputs!$B$34/100))+MIN((Skills!T15*(1+Inputs!$B$34/100)),MAX(0,Inputs!$B$43-((R896-1)*Skills!D15))))/Inputs!$B$43),IF(Inputs!$B$38="pvp",MIN((Skills!T15*(1+Inputs!$B$34/100)),15)/15,(Skills!T15*(1+Inputs!$B$34/100))/Skills!D15)))+((C893=TRUE)*F893)+((C910=TRUE)*(F910-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886)</f>
        <v/>
      </c>
      <c r="L886">
        <f>K886*(MIN(Inputs!$B$22+((C904=TRUE)*(F904-Calc!F23)),(Inputs!$B$23+((C909=TRUE)*(F909-Calc!F28))+(IF(ArtifactsInput!$M$15,CHOOSE(ArtifactsInput!$N$15+1,25,30,35,40,45,50)/100*(Inputs!$B$11-Inputs!$B$11),0))))/100+(Inputs!$B$23+((C909=TRUE)*(F909-Calc!F28))+(IF(ArtifactsInput!$M$15,CHOOSE(ArtifactsInput!$N$15+1,25,30,35,40,45,50)/100*(Inputs!$B$11-Inputs!$B$11),0)))/100)/2</f>
        <v/>
      </c>
      <c r="M886">
        <f>L886*(1+(Inputs!$B$10+0+B918+(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886">
        <f>L886*(1-MIN((Inputs!$B$9+((C900=TRUE)*(F900-Calc!F19))+B913+(ArtifactsInput!$M$24-ArtifactsInput!$M$24)*CHOOSE(ArtifactsInput!$N$24+1,10,12,14,16,18,20)+(IF(AND(ArtifactsInput!$M$42,((Inputs!$B$9+((C900=TRUE)*(F900-Calc!F19))+B913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886*(MIN((Inputs!$B$9+((C900=TRUE)*(F900-Calc!F19))+B913+(ArtifactsInput!$M$24-ArtifactsInput!$M$24)*CHOOSE(ArtifactsInput!$N$24+1,10,12,14,16,18,20)+(IF(AND(ArtifactsInput!$M$42,((Inputs!$B$9+((C900=TRUE)*(F900-Calc!F19))+B913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886">
        <f>(1-Summary!$B$11)*T886+Summary!$B$11*V886</f>
        <v/>
      </c>
      <c r="P886">
        <f>IF(B923=0,0,O886/B923)</f>
        <v/>
      </c>
      <c r="Q886">
        <f>IFERROR(1/IF(Inputs!$B$38="pvp",15,MAX(0.1,Skills!D5-IF(Skills!E5=TRUE,Inputs!$B$32,0))),0)</f>
        <v/>
      </c>
      <c r="R886">
        <f>IF(AND(Inputs!$B$38&lt;&gt;"pvp",Inputs!$B$43&gt;0),IF(MAX(0,Inputs!$B$43-B920)&lt;=0,0,(INT(MAX(0,Inputs!$B$43-B920)/IF(Inputs!$B$38="pvp",15,MAX(0.1,Skills!D5-IF(Skills!E5=TRUE,Inputs!$B$32,0))))+1)),0)</f>
        <v/>
      </c>
      <c r="S886">
        <f>IFERROR((H886*N886*IF(AND(Inputs!$B$38&lt;&gt;"pvp",Inputs!$B$43&gt;0),((Skills!G5*((R886-1)*IF(Skills!H5&gt;0,Skills!I5/Skills!H5,1)+IF(Skills!H5&gt;0,MIN(Skills!I5,MAX(0,MAX(0,Inputs!$B$43-B920)-((R886-1)*IF(Inputs!$B$38="pvp",15,MAX(0.1,Skills!D5-IF(Skills!E5=TRUE,Inputs!$B$32,0))))))/Skills!H5,1)))/Inputs!$B$43),G886*Q886))/N886*IF(Inputs!$B$38="pvp",1,(1-Summary!$B$11)*1+Summary!$B$11*(MIN(Skills!R5,Inputs!$B$37))),0)</f>
        <v/>
      </c>
      <c r="T886">
        <f>IF(C886,(H886*N886*IF(AND(Inputs!$B$38&lt;&gt;"pvp",Inputs!$B$43&gt;0),((Skills!G5*((R886-1)*IF(Skills!H5&gt;0,Skills!I5/Skills!H5,1)+IF(Skills!H5&gt;0,MIN(Skills!I5,MAX(0,MAX(0,Inputs!$B$43-B920)-((R886-1)*IF(Inputs!$B$38="pvp",15,MAX(0.1,Skills!D5-IF(Skills!E5=TRUE,Inputs!$B$32,0))))))/Skills!H5,1)))/Inputs!$B$43),G886*Q886))*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Hunt"),CHOOSE(ArtifactsInput!$N$35+1,15,18,21,24,27,30)*(1-EXP(-(0.2*B915)*5)),0)+IF(AND(ArtifactsInput!$M$22,Inputs!$B$4&lt;&gt;"Chapter Hunt"),CHOOSE(ArtifactsInput!$N$22+1,10,12,14,16,18,20)*((0*(((0.15*B915*5))^0/1)+1*(((0.15*B915*5))^1/1)+2*(((0.15*B915*5))^2/2)+3*(((0.15*B915*5))^3/6)+4*(((0.15*B915*5))^4/24)+5*(((0.15*B915*5))^5/120))/((((0.15*B915*5))^0/1)+(((0.15*B915*5))^1/1)+(((0.15*B915*5))^2/2)+(((0.15*B915*5))^3/6)+(((0.15*B915*5))^4/24)+(((0.15*B915*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886*(1-MIN(100,(Inputs!$B$9+((C900=TRUE)*(F900-Calc!F19))+B913+(ArtifactsInput!$M$24-ArtifactsInput!$M$24)*CHOOSE(ArtifactsInput!$N$24+1,10,12,14,16,18,20)+(IF(AND(ArtifactsInput!$M$42,((Inputs!$B$9+((C900=TRUE)*(F900-Calc!F19))+B913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886*(MIN(100,(Inputs!$B$9+((C900=TRUE)*(F900-Calc!F19))+B913+(ArtifactsInput!$M$24-ArtifactsInput!$M$24)*CHOOSE(ArtifactsInput!$N$24+1,10,12,14,16,18,20)+(IF(AND(ArtifactsInput!$M$42,((Inputs!$B$9+((C900=TRUE)*(F900-Calc!F19))+B913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886*(1-MIN(100,(Inputs!$B$9+((C900=TRUE)*(F900-Calc!F19))+B913+(ArtifactsInput!$M$24-ArtifactsInput!$M$24)*CHOOSE(ArtifactsInput!$N$24+1,10,12,14,16,18,20)+(IF(AND(ArtifactsInput!$M$42,((Inputs!$B$9+((C900=TRUE)*(F900-Calc!F19))+B913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886*(MIN(100,(Inputs!$B$9+((C900=TRUE)*(F900-Calc!F19))+B913+(ArtifactsInput!$M$24-ArtifactsInput!$M$24)*CHOOSE(ArtifactsInput!$N$24+1,10,12,14,16,18,20)+(IF(AND(ArtifactsInput!$M$42,((Inputs!$B$9+((C900=TRUE)*(F900-Calc!F19))+B913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886">
        <f>IF(C886,(H886*N886*IF(AND(Inputs!$B$38&lt;&gt;"pvp",Inputs!$B$43&gt;0),((Skills!G5*((R886-1)*IF(Skills!H5&gt;0,Skills!I5/Skills!H5,1)+IF(Skills!H5&gt;0,MIN(Skills!I5,MAX(0,MAX(0,Inputs!$B$43-B920)-((R886-1)*IF(Inputs!$B$38="pvp",15,MAX(0.1,Skills!D5-IF(Skills!E5=TRUE,Inputs!$B$32,0))))))/Skills!H5,1)))/Inputs!$B$43),G886*Q886))*IF(Inputs!$B$38="pvp",1,(1+(Inputs!$B$21+Skills!Q5+(IF(ArtifactsInput!$M$33,CHOOSE(ArtifactsInput!$N$33+1,30,36,42,48,54,60),0))+(IF(AND(ArtifactsInput!$M$35,Inputs!$B$4&lt;&gt;"Chapter Hunt"),CHOOSE(ArtifactsInput!$N$35+1,15,18,21,24,27,30)*(1-EXP(-(0.2*B915)*5)),0)+IF(AND(ArtifactsInput!$M$22,Inputs!$B$4&lt;&gt;"Chapter Hunt"),CHOOSE(ArtifactsInput!$N$22+1,10,12,14,16,18,20)*((0*(((0.15*B915*5))^0/1)+1*(((0.15*B915*5))^1/1)+2*(((0.15*B915*5))^2/2)+3*(((0.15*B915*5))^3/6)+4*(((0.15*B915*5))^4/24)+5*(((0.15*B915*5))^5/120))/((((0.15*B915*5))^0/1)+(((0.15*B915*5))^1/1)+(((0.15*B915*5))^2/2)+(((0.15*B915*5))^3/6)+(((0.15*B915*5))^4/24)+(((0.15*B915*5))^5/120)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887">
      <c r="A887">
        <f>Skills!A6</f>
        <v/>
      </c>
      <c r="B887">
        <f>Skills!B6</f>
        <v/>
      </c>
      <c r="C887">
        <f>Inputs!$B$3&gt;=63</f>
        <v/>
      </c>
      <c r="D887">
        <f>IF(Skills!C6=1,60+Inputs!$B$25+Inputs!$B$29,IF(Skills!C6=2,90+Inputs!$B$26+Inputs!$B$29,IF(Skills!C6=3,120+(Inputs!$B$27+1)+Inputs!$B$29,MAX(0,(Inputs!$B$3-100)*3)+Inputs!$B$28+Inputs!$B$29)))</f>
        <v/>
      </c>
      <c r="E887">
        <f>INDEX(FactorTable!$B$2:$Y$301, MATCH(ROUND(MIN(300,MAX(1,D887)),0), FactorTable!$A$2:$A$301,0), Skills!M6+1)</f>
        <v/>
      </c>
      <c r="F887">
        <f>IF(Skills!N6=TRUE,(Skills!L6/10)*(E887/1000),Skills!L6/10)+Skills!O6</f>
        <v/>
      </c>
      <c r="G887">
        <f>Skills!G6*IF(Skills!H6&gt;0,Skills!I6/Skills!H6,1)</f>
        <v/>
      </c>
      <c r="H887">
        <f>1-(1-Skills!J6/100)^Skills!K6</f>
        <v/>
      </c>
      <c r="I887" t="inlineStr">
        <is>
          <t>1</t>
        </is>
      </c>
      <c r="J887">
        <f>((Inputs!$B$6*(1+Inputs!$B$7/100))+(((Inputs!$B$12*(1+Inputs!$B$13/100))-(Inputs!$B$12*(1+Inputs!$B$13/100)))+0.25*(Inputs!$B$14-Inputs!$B$14))*(1+Inputs!$B$7/100))*(F887/100)</f>
        <v/>
      </c>
      <c r="K887">
        <f>J887*(1+((Inputs!$B$12*(1+Inputs!$B$13/100))*0.01+Inputs!$B$14*0.0025)/100)*(1+Inputs!$B$15/100)*(1+Inputs!$B$16/100)*(5000/(6000+Inputs!$B$42*(1-(100*(1-(1-(Inputs!$B$19+0)/100)*(1-CHOOSE(ArtifactsInput!$N$40+1,5,6,7,8,9,10)/100)^(ArtifactsInput!$M$40-ArtifactsInput!$M$40)))/100)))*(1+(Inputs!$B$24+((C905=TRUE)*(F905-Calc!F24))+((C906=TRUE)*(F906-Calc!F25))+B919)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889=TRUE,F889,0)/100)*(1+(IF(Skills!A6="EMPOWERED_PIERCING_ARROW",Inputs!$B$17+((C903=TRUE)*(F903-Calc!F22))+(((IF(AND(ArtifactsInput!$M$42,((Inputs!$B$9+((C900=TRUE)*(F900-Calc!F19))+B913+(ArtifactsInput!$M$24-ArtifactsInput!$M$24)*CHOOSE(ArtifactsInput!$N$24+1,10,12,14,16,18,20)+IF(ArtifactsInput!$M$10,CHOOSE(ArtifactsInput!$N$10+1,15,18,21,24,27,30)*(IF(Inputs!$B$38="pvp",MIN(15,15)/15,IF(AND(Inputs!$B$38&lt;&gt;"pvp",Inputs!$B$43&gt;0),MIN(15,Inputs!$B$43)/(Inputs!$B$43),0))),0)))&gt;=100),MIN(100,((Inputs!$B$9+((C900=TRUE)*(F900-Calc!F19))+B913+(ArtifactsInput!$M$24-ArtifactsInput!$M$24)*CHOOSE(ArtifactsInput!$N$24+1,10,12,14,16,18,20)+IF(ArtifactsInput!$M$10,CHOOSE(ArtifactsInput!$N$10+1,15,18,21,24,27,30)*(IF(Inputs!$B$38="pvp",MIN(15,15)/15,IF(AND(Inputs!$B$38&lt;&gt;"pvp",Inputs!$B$43&gt;0),MIN(15,Inputs!$B$43)/(Inputs!$B$43),0))),0)))-100),0))*CHOOSE(ArtifactsInput!$N$42+1,0.6,0.72,0.84,0.96,1.08,1.2))),Inputs!$B$18+((C908=TRUE)*(F908-Calc!F27))+(IF(AND(ArtifactsInput!$M$42,((Inputs!$B$9+((C900=TRUE)*(F900-Calc!F19))+B913+(ArtifactsInput!$M$24-ArtifactsInput!$M$24)*CHOOSE(ArtifactsInput!$N$24+1,10,12,14,16,18,20)+IF(ArtifactsInput!$M$10,CHOOSE(ArtifactsInput!$N$10+1,15,18,21,24,27,30)*(IF(Inputs!$B$38="pvp",MIN(15,15)/15,IF(AND(Inputs!$B$38&lt;&gt;"pvp",Inputs!$B$43&gt;0),MIN(15,Inputs!$B$43)/(Inputs!$B$43),0))),0)))&gt;=100),CHOOSE(ArtifactsInput!$N$42+1,40,48,56,64,72,80),0))))/100)*((1+(((C894=TRUE)*F894)+((C895=TRUE)*IF(Inputs!$B$38="pvp",F895,(1-Summary!$B$11)*(F895)+Summary!$B$11*(0)))+((C896=TRUE)*F896*IF(AND(Inputs!$B$38&lt;&gt;"pvp",Inputs!$B$43&gt;0),(((R896-1)*(Skills!T15*(1+Inputs!$B$34/100))+MIN((Skills!T15*(1+Inputs!$B$34/100)),MAX(0,Inputs!$B$43-((R896-1)*Skills!D15))))/Inputs!$B$43),IF(Inputs!$B$38="pvp",MIN((Skills!T15*(1+Inputs!$B$34/100)),15)/15,(Skills!T15*(1+Inputs!$B$34/100))/Skills!D15)))+((C893=TRUE)*F893)+((C910=TRUE)*(F910-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887)</f>
        <v/>
      </c>
      <c r="L887">
        <f>K887*(MIN(Inputs!$B$22+((C904=TRUE)*(F904-Calc!F23)),(Inputs!$B$23+((C909=TRUE)*(F909-Calc!F28))+(IF(ArtifactsInput!$M$15,CHOOSE(ArtifactsInput!$N$15+1,25,30,35,40,45,50)/100*(Inputs!$B$11-Inputs!$B$11),0))))/100+(Inputs!$B$23+((C909=TRUE)*(F909-Calc!F28))+(IF(ArtifactsInput!$M$15,CHOOSE(ArtifactsInput!$N$15+1,25,30,35,40,45,50)/100*(Inputs!$B$11-Inputs!$B$11),0)))/100)/2</f>
        <v/>
      </c>
      <c r="M887">
        <f>L887*(1+(Inputs!$B$10+0+B918+(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887">
        <f>L887*(1-MIN((Inputs!$B$9+((C900=TRUE)*(F900-Calc!F19))+B913+(ArtifactsInput!$M$24-ArtifactsInput!$M$24)*CHOOSE(ArtifactsInput!$N$24+1,10,12,14,16,18,20)+(IF(AND(ArtifactsInput!$M$42,((Inputs!$B$9+((C900=TRUE)*(F900-Calc!F19))+B913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887*(MIN((Inputs!$B$9+((C900=TRUE)*(F900-Calc!F19))+B913+(ArtifactsInput!$M$24-ArtifactsInput!$M$24)*CHOOSE(ArtifactsInput!$N$24+1,10,12,14,16,18,20)+(IF(AND(ArtifactsInput!$M$42,((Inputs!$B$9+((C900=TRUE)*(F900-Calc!F19))+B913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887">
        <f>(1-Summary!$B$11)*T887+Summary!$B$11*V887</f>
        <v/>
      </c>
      <c r="P887">
        <f>IF(B923=0,0,O887/B923)</f>
        <v/>
      </c>
      <c r="Q887">
        <f>IFERROR(1/IF(Inputs!$B$38="pvp",15,MAX(0.1,Skills!D6-IF(Skills!E6=TRUE,Inputs!$B$32,0))),0)</f>
        <v/>
      </c>
      <c r="R887">
        <f>IF(AND(Inputs!$B$38&lt;&gt;"pvp",Inputs!$B$43&gt;0),IF(MAX(0,Inputs!$B$43-B920)&lt;=0,0,(INT(MAX(0,Inputs!$B$43-B920)/IF(Inputs!$B$38="pvp",15,MAX(0.1,Skills!D6-IF(Skills!E6=TRUE,Inputs!$B$32,0))))+1)),0)</f>
        <v/>
      </c>
      <c r="S887">
        <f>IFERROR((H887*N887*IF(AND(Inputs!$B$38&lt;&gt;"pvp",Inputs!$B$43&gt;0),((Skills!G6*((R887-1)*IF(Skills!H6&gt;0,Skills!I6/Skills!H6,1)+IF(Skills!H6&gt;0,MIN(Skills!I6,MAX(0,MAX(0,Inputs!$B$43-B920)-((R887-1)*IF(Inputs!$B$38="pvp",15,MAX(0.1,Skills!D6-IF(Skills!E6=TRUE,Inputs!$B$32,0))))))/Skills!H6,1)))/Inputs!$B$43),G887*Q887))/N887*IF(Inputs!$B$38="pvp",1,(1-Summary!$B$11)*1+Summary!$B$11*(MIN(Skills!R6,Inputs!$B$37))),0)</f>
        <v/>
      </c>
      <c r="T887">
        <f>IF(C887,(H887*N887*IF(AND(Inputs!$B$38&lt;&gt;"pvp",Inputs!$B$43&gt;0),((Skills!G6*((R887-1)*IF(Skills!H6&gt;0,Skills!I6/Skills!H6,1)+IF(Skills!H6&gt;0,MIN(Skills!I6,MAX(0,MAX(0,Inputs!$B$43-B920)-((R887-1)*IF(Inputs!$B$38="pvp",15,MAX(0.1,Skills!D6-IF(Skills!E6=TRUE,Inputs!$B$32,0))))))/Skills!H6,1)))/Inputs!$B$43),G887*Q887))*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Hunt"),CHOOSE(ArtifactsInput!$N$35+1,15,18,21,24,27,30)*(1-EXP(-(0.2*B915)*5)),0)+IF(AND(ArtifactsInput!$M$22,Inputs!$B$4&lt;&gt;"Chapter Hunt"),CHOOSE(ArtifactsInput!$N$22+1,10,12,14,16,18,20)*((0*(((0.15*B915*5))^0/1)+1*(((0.15*B915*5))^1/1)+2*(((0.15*B915*5))^2/2)+3*(((0.15*B915*5))^3/6)+4*(((0.15*B915*5))^4/24)+5*(((0.15*B915*5))^5/120))/((((0.15*B915*5))^0/1)+(((0.15*B915*5))^1/1)+(((0.15*B915*5))^2/2)+(((0.15*B915*5))^3/6)+(((0.15*B915*5))^4/24)+(((0.15*B915*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887*(1-MIN(100,(Inputs!$B$9+((C900=TRUE)*(F900-Calc!F19))+B913+(ArtifactsInput!$M$24-ArtifactsInput!$M$24)*CHOOSE(ArtifactsInput!$N$24+1,10,12,14,16,18,20)+(IF(AND(ArtifactsInput!$M$42,((Inputs!$B$9+((C900=TRUE)*(F900-Calc!F19))+B913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887*(MIN(100,(Inputs!$B$9+((C900=TRUE)*(F900-Calc!F19))+B913+(ArtifactsInput!$M$24-ArtifactsInput!$M$24)*CHOOSE(ArtifactsInput!$N$24+1,10,12,14,16,18,20)+(IF(AND(ArtifactsInput!$M$42,((Inputs!$B$9+((C900=TRUE)*(F900-Calc!F19))+B913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887*(1-MIN(100,(Inputs!$B$9+((C900=TRUE)*(F900-Calc!F19))+B913+(ArtifactsInput!$M$24-ArtifactsInput!$M$24)*CHOOSE(ArtifactsInput!$N$24+1,10,12,14,16,18,20)+(IF(AND(ArtifactsInput!$M$42,((Inputs!$B$9+((C900=TRUE)*(F900-Calc!F19))+B913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887*(MIN(100,(Inputs!$B$9+((C900=TRUE)*(F900-Calc!F19))+B913+(ArtifactsInput!$M$24-ArtifactsInput!$M$24)*CHOOSE(ArtifactsInput!$N$24+1,10,12,14,16,18,20)+(IF(AND(ArtifactsInput!$M$42,((Inputs!$B$9+((C900=TRUE)*(F900-Calc!F19))+B913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887">
        <f>IF(C887,(H887*N887*IF(AND(Inputs!$B$38&lt;&gt;"pvp",Inputs!$B$43&gt;0),((Skills!G6*((R887-1)*IF(Skills!H6&gt;0,Skills!I6/Skills!H6,1)+IF(Skills!H6&gt;0,MIN(Skills!I6,MAX(0,MAX(0,Inputs!$B$43-B920)-((R887-1)*IF(Inputs!$B$38="pvp",15,MAX(0.1,Skills!D6-IF(Skills!E6=TRUE,Inputs!$B$32,0))))))/Skills!H6,1)))/Inputs!$B$43),G887*Q887))*IF(Inputs!$B$38="pvp",1,(1+(Inputs!$B$21+Skills!Q6+(IF(ArtifactsInput!$M$33,CHOOSE(ArtifactsInput!$N$33+1,30,36,42,48,54,60),0))+(IF(AND(ArtifactsInput!$M$35,Inputs!$B$4&lt;&gt;"Chapter Hunt"),CHOOSE(ArtifactsInput!$N$35+1,15,18,21,24,27,30)*(1-EXP(-(0.2*B915)*5)),0)+IF(AND(ArtifactsInput!$M$22,Inputs!$B$4&lt;&gt;"Chapter Hunt"),CHOOSE(ArtifactsInput!$N$22+1,10,12,14,16,18,20)*((0*(((0.15*B915*5))^0/1)+1*(((0.15*B915*5))^1/1)+2*(((0.15*B915*5))^2/2)+3*(((0.15*B915*5))^3/6)+4*(((0.15*B915*5))^4/24)+5*(((0.15*B915*5))^5/120))/((((0.15*B915*5))^0/1)+(((0.15*B915*5))^1/1)+(((0.15*B915*5))^2/2)+(((0.15*B915*5))^3/6)+(((0.15*B915*5))^4/24)+(((0.15*B915*5))^5/120))),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888">
      <c r="A888">
        <f>Skills!A7</f>
        <v/>
      </c>
      <c r="B888">
        <f>Skills!B7</f>
        <v/>
      </c>
      <c r="C888">
        <f>Inputs!$B$3&gt;=69</f>
        <v/>
      </c>
      <c r="D888">
        <f>IF(Skills!C7=1,60+Inputs!$B$25+Inputs!$B$29,IF(Skills!C7=2,90+Inputs!$B$26+Inputs!$B$29,IF(Skills!C7=3,120+(Inputs!$B$27+1)+Inputs!$B$29,MAX(0,(Inputs!$B$3-100)*3)+Inputs!$B$28+Inputs!$B$29)))</f>
        <v/>
      </c>
      <c r="E888">
        <f>INDEX(FactorTable!$B$2:$Y$301, MATCH(ROUND(MIN(300,MAX(1,D888)),0), FactorTable!$A$2:$A$301,0), Skills!M7+1)</f>
        <v/>
      </c>
      <c r="F888">
        <f>IF(Skills!N7=TRUE,(Skills!L7/10)*(E888/1000),Skills!L7/10)+Skills!O7</f>
        <v/>
      </c>
      <c r="G888">
        <f>Skills!G7*IF(Skills!H7&gt;0,Skills!I7/Skills!H7,1)</f>
        <v/>
      </c>
      <c r="H888">
        <f>1-(1-Skills!J7/100)^Skills!K7</f>
        <v/>
      </c>
      <c r="I888" t="inlineStr">
        <is>
          <t>1</t>
        </is>
      </c>
      <c r="J888">
        <f>((Inputs!$B$6*(1+Inputs!$B$7/100))+(((Inputs!$B$12*(1+Inputs!$B$13/100))-(Inputs!$B$12*(1+Inputs!$B$13/100)))+0.25*(Inputs!$B$14-Inputs!$B$14))*(1+Inputs!$B$7/100))*(F888/100)</f>
        <v/>
      </c>
      <c r="K888">
        <f>J888*(1+((Inputs!$B$12*(1+Inputs!$B$13/100))*0.01+Inputs!$B$14*0.0025)/100)*(1+Inputs!$B$15/100)*(1+Inputs!$B$16/100)*(5000/(6000+Inputs!$B$42*(1-(100*(1-(1-(Inputs!$B$19+0)/100)*(1-CHOOSE(ArtifactsInput!$N$40+1,5,6,7,8,9,10)/100)^(ArtifactsInput!$M$40-ArtifactsInput!$M$40)))/100)))*(1+(Inputs!$B$24+((C905=TRUE)*(F905-Calc!F24))+((C906=TRUE)*(F906-Calc!F25))+B919)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+1.2*IF(C889=TRUE,F889,0)/100)*(1+(IF(Skills!A7="EMPOWERED_PIERCING_ARROW",Inputs!$B$17+((C903=TRUE)*(F903-Calc!F22))+(((IF(AND(ArtifactsInput!$M$42,((Inputs!$B$9+((C900=TRUE)*(F900-Calc!F19))+B913+(ArtifactsInput!$M$24-ArtifactsInput!$M$24)*CHOOSE(ArtifactsInput!$N$24+1,10,12,14,16,18,20)+IF(ArtifactsInput!$M$10,CHOOSE(ArtifactsInput!$N$10+1,15,18,21,24,27,30)*(IF(Inputs!$B$38="pvp",MIN(15,15)/15,IF(AND(Inputs!$B$38&lt;&gt;"pvp",Inputs!$B$43&gt;0),MIN(15,Inputs!$B$43)/(Inputs!$B$43),0))),0)))&gt;=100),MIN(100,((Inputs!$B$9+((C900=TRUE)*(F900-Calc!F19))+B913+(ArtifactsInput!$M$24-ArtifactsInput!$M$24)*CHOOSE(ArtifactsInput!$N$24+1,10,12,14,16,18,20)+IF(ArtifactsInput!$M$10,CHOOSE(ArtifactsInput!$N$10+1,15,18,21,24,27,30)*(IF(Inputs!$B$38="pvp",MIN(15,15)/15,IF(AND(Inputs!$B$38&lt;&gt;"pvp",Inputs!$B$43&gt;0),MIN(15,Inputs!$B$43)/(Inputs!$B$43),0))),0)))-100),0))*CHOOSE(ArtifactsInput!$N$42+1,0.6,0.72,0.84,0.96,1.08,1.2))),Inputs!$B$18+((C908=TRUE)*(F908-Calc!F27))+(IF(AND(ArtifactsInput!$M$42,((Inputs!$B$9+((C900=TRUE)*(F900-Calc!F19))+B913+(ArtifactsInput!$M$24-ArtifactsInput!$M$24)*CHOOSE(ArtifactsInput!$N$24+1,10,12,14,16,18,20)+IF(ArtifactsInput!$M$10,CHOOSE(ArtifactsInput!$N$10+1,15,18,21,24,27,30)*(IF(Inputs!$B$38="pvp",MIN(15,15)/15,IF(AND(Inputs!$B$38&lt;&gt;"pvp",Inputs!$B$43&gt;0),MIN(15,Inputs!$B$43)/(Inputs!$B$43),0))),0)))&gt;=100),CHOOSE(ArtifactsInput!$N$42+1,40,48,56,64,72,80),0))))/100)*((1+(((C894=TRUE)*F894)+((C895=TRUE)*IF(Inputs!$B$38="pvp",F895,(1-Summary!$B$11)*(F895)+Summary!$B$11*(0)))+((C896=TRUE)*F896*IF(AND(Inputs!$B$38&lt;&gt;"pvp",Inputs!$B$43&gt;0),(((R896-1)*(Skills!T15*(1+Inputs!$B$34/100))+MIN((Skills!T15*(1+Inputs!$B$34/100)),MAX(0,Inputs!$B$43-((R896-1)*Skills!D15))))/Inputs!$B$43),IF(Inputs!$B$38="pvp",MIN((Skills!T15*(1+Inputs!$B$34/100)),15)/15,(Skills!T15*(1+Inputs!$B$34/100))/Skills!D15)))+((C893=TRUE)*F893)+((C910=TRUE)*(F910-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888)</f>
        <v/>
      </c>
      <c r="L888">
        <f>K888*(MIN(Inputs!$B$22+((C904=TRUE)*(F904-Calc!F23)),(Inputs!$B$23+((C909=TRUE)*(F909-Calc!F28))+(IF(ArtifactsInput!$M$15,CHOOSE(ArtifactsInput!$N$15+1,25,30,35,40,45,50)/100*(Inputs!$B$11-Inputs!$B$11),0))))/100+(Inputs!$B$23+((C909=TRUE)*(F909-Calc!F28))+(IF(ArtifactsInput!$M$15,CHOOSE(ArtifactsInput!$N$15+1,25,30,35,40,45,50)/100*(Inputs!$B$11-Inputs!$B$11),0)))/100)/2</f>
        <v/>
      </c>
      <c r="M888">
        <f>L888*(1+(Inputs!$B$10+0+B918+(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888">
        <f>L888*(1-MIN((Inputs!$B$9+((C900=TRUE)*(F900-Calc!F19))+B913+(ArtifactsInput!$M$24-ArtifactsInput!$M$24)*CHOOSE(ArtifactsInput!$N$24+1,10,12,14,16,18,20)+(IF(AND(ArtifactsInput!$M$42,((Inputs!$B$9+((C900=TRUE)*(F900-Calc!F19))+B913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888*(MIN((Inputs!$B$9+((C900=TRUE)*(F900-Calc!F19))+B913+(ArtifactsInput!$M$24-ArtifactsInput!$M$24)*CHOOSE(ArtifactsInput!$N$24+1,10,12,14,16,18,20)+(IF(AND(ArtifactsInput!$M$42,((Inputs!$B$9+((C900=TRUE)*(F900-Calc!F19))+B913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888">
        <f>(1-Summary!$B$11)*T888+Summary!$B$11*V888</f>
        <v/>
      </c>
      <c r="P888">
        <f>IF(B923=0,0,O888/B923)</f>
        <v/>
      </c>
      <c r="Q888">
        <f>IFERROR(1/IF(Inputs!$B$38="pvp",15,MAX(0.1,Skills!D7-IF(Skills!E7=TRUE,Inputs!$B$32,0))),0)</f>
        <v/>
      </c>
      <c r="R888">
        <f>IF(AND(Inputs!$B$38&lt;&gt;"pvp",Inputs!$B$43&gt;0),IF(MAX(0,Inputs!$B$43-B920)&lt;=0,0,(INT(MAX(0,Inputs!$B$43-B920)/IF(Inputs!$B$38="pvp",15,MAX(0.1,Skills!D7-IF(Skills!E7=TRUE,Inputs!$B$32,0))))+1)),0)</f>
        <v/>
      </c>
      <c r="S888">
        <f>IFERROR((H888*N888*IF(AND(Inputs!$B$38&lt;&gt;"pvp",Inputs!$B$43&gt;0),((Skills!G7*((R888-1)*IF(Skills!H7&gt;0,Skills!I7/Skills!H7,1)+IF(Skills!H7&gt;0,MIN(Skills!I7,MAX(0,MAX(0,Inputs!$B$43-B920)-((R888-1)*IF(Inputs!$B$38="pvp",15,MAX(0.1,Skills!D7-IF(Skills!E7=TRUE,Inputs!$B$32,0))))))/Skills!H7,1)))/Inputs!$B$43),G888*Q888))/N888*IF(Inputs!$B$38="pvp",1,(1-Summary!$B$11)*1+Summary!$B$11*(MIN(Skills!R7,Inputs!$B$37))),0)</f>
        <v/>
      </c>
      <c r="T888">
        <f>IF(C888,(H888*N888*IF(AND(Inputs!$B$38&lt;&gt;"pvp",Inputs!$B$43&gt;0),((Skills!G7*((R888-1)*IF(Skills!H7&gt;0,Skills!I7/Skills!H7,1)+IF(Skills!H7&gt;0,MIN(Skills!I7,MAX(0,MAX(0,Inputs!$B$43-B920)-((R888-1)*IF(Inputs!$B$38="pvp",15,MAX(0.1,Skills!D7-IF(Skills!E7=TRUE,Inputs!$B$32,0))))))/Skills!H7,1)))/Inputs!$B$43),G888*Q888))*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Hunt"),CHOOSE(ArtifactsInput!$N$35+1,15,18,21,24,27,30)*(1-EXP(-(0.2*B915)*5)),0)+IF(AND(ArtifactsInput!$M$22,Inputs!$B$4&lt;&gt;"Chapter Hunt"),CHOOSE(ArtifactsInput!$N$22+1,10,12,14,16,18,20)*((0*(((0.15*B915*5))^0/1)+1*(((0.15*B915*5))^1/1)+2*(((0.15*B915*5))^2/2)+3*(((0.15*B915*5))^3/6)+4*(((0.15*B915*5))^4/24)+5*(((0.15*B915*5))^5/120))/((((0.15*B915*5))^0/1)+(((0.15*B915*5))^1/1)+(((0.15*B915*5))^2/2)+(((0.15*B915*5))^3/6)+(((0.15*B915*5))^4/24)+(((0.15*B915*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888*(1-MIN(100,(Inputs!$B$9+((C900=TRUE)*(F900-Calc!F19))+B913+(ArtifactsInput!$M$24-ArtifactsInput!$M$24)*CHOOSE(ArtifactsInput!$N$24+1,10,12,14,16,18,20)+(IF(AND(ArtifactsInput!$M$42,((Inputs!$B$9+((C900=TRUE)*(F900-Calc!F19))+B913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888*(MIN(100,(Inputs!$B$9+((C900=TRUE)*(F900-Calc!F19))+B913+(ArtifactsInput!$M$24-ArtifactsInput!$M$24)*CHOOSE(ArtifactsInput!$N$24+1,10,12,14,16,18,20)+(IF(AND(ArtifactsInput!$M$42,((Inputs!$B$9+((C900=TRUE)*(F900-Calc!F19))+B913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888*(1-MIN(100,(Inputs!$B$9+((C900=TRUE)*(F900-Calc!F19))+B913+(ArtifactsInput!$M$24-ArtifactsInput!$M$24)*CHOOSE(ArtifactsInput!$N$24+1,10,12,14,16,18,20)+(IF(AND(ArtifactsInput!$M$42,((Inputs!$B$9+((C900=TRUE)*(F900-Calc!F19))+B913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888*(MIN(100,(Inputs!$B$9+((C900=TRUE)*(F900-Calc!F19))+B913+(ArtifactsInput!$M$24-ArtifactsInput!$M$24)*CHOOSE(ArtifactsInput!$N$24+1,10,12,14,16,18,20)+(IF(AND(ArtifactsInput!$M$42,((Inputs!$B$9+((C900=TRUE)*(F900-Calc!F19))+B913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888">
        <f>IF(C888,(H888*N888*IF(AND(Inputs!$B$38&lt;&gt;"pvp",Inputs!$B$43&gt;0),((Skills!G7*((R888-1)*IF(Skills!H7&gt;0,Skills!I7/Skills!H7,1)+IF(Skills!H7&gt;0,MIN(Skills!I7,MAX(0,MAX(0,Inputs!$B$43-B920)-((R888-1)*IF(Inputs!$B$38="pvp",15,MAX(0.1,Skills!D7-IF(Skills!E7=TRUE,Inputs!$B$32,0))))))/Skills!H7,1)))/Inputs!$B$43),G888*Q888))*IF(Inputs!$B$38="pvp",1,(1+(Inputs!$B$21+Skills!Q7+(IF(ArtifactsInput!$M$33,CHOOSE(ArtifactsInput!$N$33+1,30,36,42,48,54,60),0))+(IF(AND(ArtifactsInput!$M$35,Inputs!$B$4&lt;&gt;"Chapter Hunt"),CHOOSE(ArtifactsInput!$N$35+1,15,18,21,24,27,30)*(1-EXP(-(0.2*B915)*5)),0)+IF(AND(ArtifactsInput!$M$22,Inputs!$B$4&lt;&gt;"Chapter Hunt"),CHOOSE(ArtifactsInput!$N$22+1,10,12,14,16,18,20)*((0*(((0.15*B915*5))^0/1)+1*(((0.15*B915*5))^1/1)+2*(((0.15*B915*5))^2/2)+3*(((0.15*B915*5))^3/6)+4*(((0.15*B915*5))^4/24)+5*(((0.15*B915*5))^5/120))/((((0.15*B915*5))^0/1)+(((0.15*B915*5))^1/1)+(((0.15*B915*5))^2/2)+(((0.15*B915*5))^3/6)+(((0.15*B915*5))^4/24)+(((0.15*B915*5))^5/120))),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889">
      <c r="A889">
        <f>Skills!A8</f>
        <v/>
      </c>
      <c r="B889">
        <f>Skills!B8</f>
        <v/>
      </c>
      <c r="C889">
        <f>Inputs!$B$3&gt;=100</f>
        <v/>
      </c>
      <c r="D889">
        <f>IF(Skills!C8=1,60+Inputs!$B$25+Inputs!$B$29,IF(Skills!C8=2,90+Inputs!$B$26+Inputs!$B$29,IF(Skills!C8=3,120+(Inputs!$B$27+1)+Inputs!$B$29,MAX(0,(Inputs!$B$3-100)*3)+Inputs!$B$28+Inputs!$B$29)))</f>
        <v/>
      </c>
      <c r="E889">
        <f>INDEX(FactorTable!$B$2:$Y$301, MATCH(ROUND(MIN(300,MAX(1,D889)),0), FactorTable!$A$2:$A$301,0), Skills!M8+1)</f>
        <v/>
      </c>
      <c r="F889">
        <f>IF(Skills!N8=TRUE,(Skills!L8/10)*(E889/1000),Skills!L8/10)+Skills!O8</f>
        <v/>
      </c>
      <c r="G889" t="inlineStr"/>
      <c r="H889" t="inlineStr"/>
      <c r="I889" t="inlineStr">
        <is>
          <t>1</t>
        </is>
      </c>
      <c r="J889" t="inlineStr"/>
      <c r="K889" t="inlineStr"/>
      <c r="L889" t="inlineStr"/>
      <c r="M889" t="inlineStr"/>
      <c r="N889" t="inlineStr"/>
      <c r="O889" t="inlineStr"/>
      <c r="P889" t="inlineStr"/>
      <c r="Q889" t="inlineStr"/>
      <c r="R889" t="inlineStr"/>
      <c r="S889" t="inlineStr"/>
      <c r="T889" t="inlineStr"/>
      <c r="V889" t="inlineStr"/>
    </row>
    <row r="890">
      <c r="A890">
        <f>Skills!A9</f>
        <v/>
      </c>
      <c r="B890">
        <f>Skills!B9</f>
        <v/>
      </c>
      <c r="C890">
        <f>Inputs!$B$3&gt;=103</f>
        <v/>
      </c>
      <c r="D890">
        <f>IF(Skills!C9=1,60+Inputs!$B$25+Inputs!$B$29,IF(Skills!C9=2,90+Inputs!$B$26+Inputs!$B$29,IF(Skills!C9=3,120+(Inputs!$B$27+1)+Inputs!$B$29,MAX(0,(Inputs!$B$3-100)*3)+Inputs!$B$28+Inputs!$B$29)))</f>
        <v/>
      </c>
      <c r="E890">
        <f>INDEX(FactorTable!$B$2:$Y$301, MATCH(ROUND(MIN(300,MAX(1,D890)),0), FactorTable!$A$2:$A$301,0), Skills!M9+1)</f>
        <v/>
      </c>
      <c r="F890">
        <f>IF(Skills!N9=TRUE,(Skills!L9/10)*(E890/1000),Skills!L9/10)+Skills!O9</f>
        <v/>
      </c>
      <c r="G890">
        <f>Skills!G9*IF(Skills!H9&gt;0,Skills!I9/Skills!H9,1)</f>
        <v/>
      </c>
      <c r="H890">
        <f>1-(1-Skills!J9/100)^Skills!K9</f>
        <v/>
      </c>
      <c r="I890" t="inlineStr">
        <is>
          <t>1</t>
        </is>
      </c>
      <c r="J890">
        <f>((Inputs!$B$6*(1+Inputs!$B$7/100))+(((Inputs!$B$12*(1+Inputs!$B$13/100))-(Inputs!$B$12*(1+Inputs!$B$13/100)))+0.25*(Inputs!$B$14-Inputs!$B$14))*(1+Inputs!$B$7/100))*(F890/100)</f>
        <v/>
      </c>
      <c r="K890">
        <f>J890*(1+((Inputs!$B$12*(1+Inputs!$B$13/100))*0.01+Inputs!$B$14*0.0025)/100)*(1+Inputs!$B$15/100)*(1+Inputs!$B$16/100)*(5000/(6000+Inputs!$B$42*(1-(100*(1-(1-(Inputs!$B$19+0)/100)*(1-CHOOSE(ArtifactsInput!$N$40+1,5,6,7,8,9,10)/100)^(ArtifactsInput!$M$40-ArtifactsInput!$M$40)))/100)))*(1+(Inputs!$B$24+((C905=TRUE)*(F905-Calc!F24))+((C906=TRUE)*(F906-Calc!F25))+B919)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EMPOWERED_PIERCING_ARROW",Inputs!$B$17+((C903=TRUE)*(F903-Calc!F22))+(((IF(AND(ArtifactsInput!$M$42,((Inputs!$B$9+((C900=TRUE)*(F900-Calc!F19))+B913+(ArtifactsInput!$M$24-ArtifactsInput!$M$24)*CHOOSE(ArtifactsInput!$N$24+1,10,12,14,16,18,20)+IF(ArtifactsInput!$M$10,CHOOSE(ArtifactsInput!$N$10+1,15,18,21,24,27,30)*(IF(Inputs!$B$38="pvp",MIN(15,15)/15,IF(AND(Inputs!$B$38&lt;&gt;"pvp",Inputs!$B$43&gt;0),MIN(15,Inputs!$B$43)/(Inputs!$B$43),0))),0)))&gt;=100),MIN(100,((Inputs!$B$9+((C900=TRUE)*(F900-Calc!F19))+B913+(ArtifactsInput!$M$24-ArtifactsInput!$M$24)*CHOOSE(ArtifactsInput!$N$24+1,10,12,14,16,18,20)+IF(ArtifactsInput!$M$10,CHOOSE(ArtifactsInput!$N$10+1,15,18,21,24,27,30)*(IF(Inputs!$B$38="pvp",MIN(15,15)/15,IF(AND(Inputs!$B$38&lt;&gt;"pvp",Inputs!$B$43&gt;0),MIN(15,Inputs!$B$43)/(Inputs!$B$43),0))),0)))-100),0))*CHOOSE(ArtifactsInput!$N$42+1,0.6,0.72,0.84,0.96,1.08,1.2))),Inputs!$B$18+((C908=TRUE)*(F908-Calc!F27))+(IF(AND(ArtifactsInput!$M$42,((Inputs!$B$9+((C900=TRUE)*(F900-Calc!F19))+B913+(ArtifactsInput!$M$24-ArtifactsInput!$M$24)*CHOOSE(ArtifactsInput!$N$24+1,10,12,14,16,18,20)+IF(ArtifactsInput!$M$10,CHOOSE(ArtifactsInput!$N$10+1,15,18,21,24,27,30)*(IF(Inputs!$B$38="pvp",MIN(15,15)/15,IF(AND(Inputs!$B$38&lt;&gt;"pvp",Inputs!$B$43&gt;0),MIN(15,Inputs!$B$43)/(Inputs!$B$43),0))),0)))&gt;=100),CHOOSE(ArtifactsInput!$N$42+1,40,48,56,64,72,80),0))))/100)*((1+(((C894=TRUE)*F894)+((C895=TRUE)*IF(Inputs!$B$38="pvp",F895,(1-Summary!$B$11)*(F895)+Summary!$B$11*(0)))+((C896=TRUE)*F896*IF(AND(Inputs!$B$38&lt;&gt;"pvp",Inputs!$B$43&gt;0),(((R896-1)*(Skills!T15*(1+Inputs!$B$34/100))+MIN((Skills!T15*(1+Inputs!$B$34/100)),MAX(0,Inputs!$B$43-((R896-1)*Skills!D15))))/Inputs!$B$43),IF(Inputs!$B$38="pvp",MIN((Skills!T15*(1+Inputs!$B$34/100)),15)/15,(Skills!T15*(1+Inputs!$B$34/100))/Skills!D15)))+((C893=TRUE)*F893)+((C910=TRUE)*(F910-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890)</f>
        <v/>
      </c>
      <c r="L890">
        <f>K890*(MIN(Inputs!$B$22+((C904=TRUE)*(F904-Calc!F23)),(Inputs!$B$23+((C909=TRUE)*(F909-Calc!F28))+(IF(ArtifactsInput!$M$15,CHOOSE(ArtifactsInput!$N$15+1,25,30,35,40,45,50)/100*(Inputs!$B$11-Inputs!$B$11),0))))/100+(Inputs!$B$23+((C909=TRUE)*(F909-Calc!F28))+(IF(ArtifactsInput!$M$15,CHOOSE(ArtifactsInput!$N$15+1,25,30,35,40,45,50)/100*(Inputs!$B$11-Inputs!$B$11),0)))/100)/2</f>
        <v/>
      </c>
      <c r="M890">
        <f>L890*(1+(Inputs!$B$10+0+B918+(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890">
        <f>L890*(1-MIN((Inputs!$B$9+((C900=TRUE)*(F900-Calc!F19))+B913+(ArtifactsInput!$M$24-ArtifactsInput!$M$24)*CHOOSE(ArtifactsInput!$N$24+1,10,12,14,16,18,20)+(IF(AND(ArtifactsInput!$M$42,((Inputs!$B$9+((C900=TRUE)*(F900-Calc!F19))+B913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890*(MIN((Inputs!$B$9+((C900=TRUE)*(F900-Calc!F19))+B913+(ArtifactsInput!$M$24-ArtifactsInput!$M$24)*CHOOSE(ArtifactsInput!$N$24+1,10,12,14,16,18,20)+(IF(AND(ArtifactsInput!$M$42,((Inputs!$B$9+((C900=TRUE)*(F900-Calc!F19))+B913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890">
        <f>(1-Summary!$B$11)*T890+Summary!$B$11*V890</f>
        <v/>
      </c>
      <c r="P890">
        <f>IF(B923=0,0,O890/B923)</f>
        <v/>
      </c>
      <c r="Q890">
        <f>IFERROR(1/IF(Inputs!$B$38="pvp",15,MAX(0.1,Skills!D9-IF(Skills!E9=TRUE,Inputs!$B$32,0))),0)</f>
        <v/>
      </c>
      <c r="R890">
        <f>IF(AND(Inputs!$B$38&lt;&gt;"pvp",Inputs!$B$43&gt;0),IF(MAX(0,Inputs!$B$43-B920)&lt;=0,0,(INT(MAX(0,Inputs!$B$43-B920)/IF(Inputs!$B$38="pvp",15,MAX(0.1,Skills!D9-IF(Skills!E9=TRUE,Inputs!$B$32,0))))+1)),0)</f>
        <v/>
      </c>
      <c r="S890">
        <f>IFERROR((H890*N890*IF(AND(Inputs!$B$38&lt;&gt;"pvp",Inputs!$B$43&gt;0),((Skills!G9*((R890-1)*IF(Skills!H9&gt;0,Skills!I9/Skills!H9,1)+IF(Skills!H9&gt;0,MIN(Skills!I9,MAX(0,MAX(0,Inputs!$B$43-B920)-((R890-1)*IF(Inputs!$B$38="pvp",15,MAX(0.1,Skills!D9-IF(Skills!E9=TRUE,Inputs!$B$32,0))))))/Skills!H9,1)))/Inputs!$B$43),G890*Q890))/N890*IF(Inputs!$B$38="pvp",1,(1-Summary!$B$11)*1+Summary!$B$11*(MIN(Skills!R9,Inputs!$B$37))),0)</f>
        <v/>
      </c>
      <c r="T890">
        <f>IF(C890,(H890*N890*IF(AND(Inputs!$B$38&lt;&gt;"pvp",Inputs!$B$43&gt;0),((Skills!G9*((R890-1)*IF(Skills!H9&gt;0,Skills!I9/Skills!H9,1)+IF(Skills!H9&gt;0,MIN(Skills!I9,MAX(0,MAX(0,Inputs!$B$43-B920)-((R890-1)*IF(Inputs!$B$38="pvp",15,MAX(0.1,Skills!D9-IF(Skills!E9=TRUE,Inputs!$B$32,0))))))/Skills!H9,1)))/Inputs!$B$43),G890*Q890))*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Hunt"),CHOOSE(ArtifactsInput!$N$35+1,15,18,21,24,27,30)*(1-EXP(-(0.2*B915)*5)),0)+IF(AND(ArtifactsInput!$M$22,Inputs!$B$4&lt;&gt;"Chapter Hunt"),CHOOSE(ArtifactsInput!$N$22+1,10,12,14,16,18,20)*((0*(((0.15*B915*5))^0/1)+1*(((0.15*B915*5))^1/1)+2*(((0.15*B915*5))^2/2)+3*(((0.15*B915*5))^3/6)+4*(((0.15*B915*5))^4/24)+5*(((0.15*B915*5))^5/120))/((((0.15*B915*5))^0/1)+(((0.15*B915*5))^1/1)+(((0.15*B915*5))^2/2)+(((0.15*B915*5))^3/6)+(((0.15*B915*5))^4/24)+(((0.15*B915*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890*(1-MIN(100,(Inputs!$B$9+((C900=TRUE)*(F900-Calc!F19))+B913+(ArtifactsInput!$M$24-ArtifactsInput!$M$24)*CHOOSE(ArtifactsInput!$N$24+1,10,12,14,16,18,20)+(IF(AND(ArtifactsInput!$M$42,((Inputs!$B$9+((C900=TRUE)*(F900-Calc!F19))+B913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890*(MIN(100,(Inputs!$B$9+((C900=TRUE)*(F900-Calc!F19))+B913+(ArtifactsInput!$M$24-ArtifactsInput!$M$24)*CHOOSE(ArtifactsInput!$N$24+1,10,12,14,16,18,20)+(IF(AND(ArtifactsInput!$M$42,((Inputs!$B$9+((C900=TRUE)*(F900-Calc!F19))+B913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890*(1-MIN(100,(Inputs!$B$9+((C900=TRUE)*(F900-Calc!F19))+B913+(ArtifactsInput!$M$24-ArtifactsInput!$M$24)*CHOOSE(ArtifactsInput!$N$24+1,10,12,14,16,18,20)+(IF(AND(ArtifactsInput!$M$42,((Inputs!$B$9+((C900=TRUE)*(F900-Calc!F19))+B913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890*(MIN(100,(Inputs!$B$9+((C900=TRUE)*(F900-Calc!F19))+B913+(ArtifactsInput!$M$24-ArtifactsInput!$M$24)*CHOOSE(ArtifactsInput!$N$24+1,10,12,14,16,18,20)+(IF(AND(ArtifactsInput!$M$42,((Inputs!$B$9+((C900=TRUE)*(F900-Calc!F19))+B913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890">
        <f>IF(C890,(H890*N890*IF(AND(Inputs!$B$38&lt;&gt;"pvp",Inputs!$B$43&gt;0),((Skills!G9*((R890-1)*IF(Skills!H9&gt;0,Skills!I9/Skills!H9,1)+IF(Skills!H9&gt;0,MIN(Skills!I9,MAX(0,MAX(0,Inputs!$B$43-B920)-((R890-1)*IF(Inputs!$B$38="pvp",15,MAX(0.1,Skills!D9-IF(Skills!E9=TRUE,Inputs!$B$32,0))))))/Skills!H9,1)))/Inputs!$B$43),G890*Q890))*IF(Inputs!$B$38="pvp",1,(1+(Inputs!$B$21+Skills!Q9+(IF(ArtifactsInput!$M$33,CHOOSE(ArtifactsInput!$N$33+1,30,36,42,48,54,60),0))+(IF(AND(ArtifactsInput!$M$35,Inputs!$B$4&lt;&gt;"Chapter Hunt"),CHOOSE(ArtifactsInput!$N$35+1,15,18,21,24,27,30)*(1-EXP(-(0.2*B915)*5)),0)+IF(AND(ArtifactsInput!$M$22,Inputs!$B$4&lt;&gt;"Chapter Hunt"),CHOOSE(ArtifactsInput!$N$22+1,10,12,14,16,18,20)*((0*(((0.15*B915*5))^0/1)+1*(((0.15*B915*5))^1/1)+2*(((0.15*B915*5))^2/2)+3*(((0.15*B915*5))^3/6)+4*(((0.15*B915*5))^4/24)+5*(((0.15*B915*5))^5/120))/((((0.15*B915*5))^0/1)+(((0.15*B915*5))^1/1)+(((0.15*B915*5))^2/2)+(((0.15*B915*5))^3/6)+(((0.15*B915*5))^4/24)+(((0.15*B915*5))^5/120)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891">
      <c r="A891">
        <f>Skills!A10</f>
        <v/>
      </c>
      <c r="B891">
        <f>Skills!B10</f>
        <v/>
      </c>
      <c r="C891">
        <f>Inputs!$B$3&gt;=107</f>
        <v/>
      </c>
      <c r="D891">
        <f>IF(Skills!C10=1,60+Inputs!$B$25+Inputs!$B$29,IF(Skills!C10=2,90+Inputs!$B$26+Inputs!$B$29,IF(Skills!C10=3,120+(Inputs!$B$27+1)+Inputs!$B$29,MAX(0,(Inputs!$B$3-100)*3)+Inputs!$B$28+Inputs!$B$29)))</f>
        <v/>
      </c>
      <c r="E891">
        <f>INDEX(FactorTable!$B$2:$Y$301, MATCH(ROUND(MIN(300,MAX(1,D891)),0), FactorTable!$A$2:$A$301,0), Skills!M10+1)</f>
        <v/>
      </c>
      <c r="F891">
        <f>IF(Skills!N10=TRUE,(Skills!L10/10)*(E891/1000),Skills!L10/10)+Skills!O10</f>
        <v/>
      </c>
      <c r="G891">
        <f>Skills!G10*IF(Skills!H10&gt;0,Skills!I10/Skills!H10,1)</f>
        <v/>
      </c>
      <c r="H891">
        <f>1-(1-Skills!J10/100)^Skills!K10</f>
        <v/>
      </c>
      <c r="I891" t="inlineStr">
        <is>
          <t>1</t>
        </is>
      </c>
      <c r="J891">
        <f>((Inputs!$B$6*(1+Inputs!$B$7/100))+(((Inputs!$B$12*(1+Inputs!$B$13/100))-(Inputs!$B$12*(1+Inputs!$B$13/100)))+0.25*(Inputs!$B$14-Inputs!$B$14))*(1+Inputs!$B$7/100))*(F891/100)</f>
        <v/>
      </c>
      <c r="K891">
        <f>J891*(1+((Inputs!$B$12*(1+Inputs!$B$13/100))*0.01+Inputs!$B$14*0.0025)/100)*(1+Inputs!$B$15/100)*(1+Inputs!$B$16/100)*(5000/(6000+Inputs!$B$42*(1-(100*(1-(1-(Inputs!$B$19+0)/100)*(1-CHOOSE(ArtifactsInput!$N$40+1,5,6,7,8,9,10)/100)^(ArtifactsInput!$M$40-ArtifactsInput!$M$40)))/100)))*(1+(Inputs!$B$24+((C905=TRUE)*(F905-Calc!F24))+((C906=TRUE)*(F906-Calc!F25))+B919)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EMPOWERED_PIERCING_ARROW",Inputs!$B$17+((C903=TRUE)*(F903-Calc!F22))+(((IF(AND(ArtifactsInput!$M$42,((Inputs!$B$9+((C900=TRUE)*(F900-Calc!F19))+B913+(ArtifactsInput!$M$24-ArtifactsInput!$M$24)*CHOOSE(ArtifactsInput!$N$24+1,10,12,14,16,18,20)+IF(ArtifactsInput!$M$10,CHOOSE(ArtifactsInput!$N$10+1,15,18,21,24,27,30)*(IF(Inputs!$B$38="pvp",MIN(15,15)/15,IF(AND(Inputs!$B$38&lt;&gt;"pvp",Inputs!$B$43&gt;0),MIN(15,Inputs!$B$43)/(Inputs!$B$43),0))),0)))&gt;=100),MIN(100,((Inputs!$B$9+((C900=TRUE)*(F900-Calc!F19))+B913+(ArtifactsInput!$M$24-ArtifactsInput!$M$24)*CHOOSE(ArtifactsInput!$N$24+1,10,12,14,16,18,20)+IF(ArtifactsInput!$M$10,CHOOSE(ArtifactsInput!$N$10+1,15,18,21,24,27,30)*(IF(Inputs!$B$38="pvp",MIN(15,15)/15,IF(AND(Inputs!$B$38&lt;&gt;"pvp",Inputs!$B$43&gt;0),MIN(15,Inputs!$B$43)/(Inputs!$B$43),0))),0)))-100),0))*CHOOSE(ArtifactsInput!$N$42+1,0.6,0.72,0.84,0.96,1.08,1.2))),Inputs!$B$18+((C908=TRUE)*(F908-Calc!F27))+(IF(AND(ArtifactsInput!$M$42,((Inputs!$B$9+((C900=TRUE)*(F900-Calc!F19))+B913+(ArtifactsInput!$M$24-ArtifactsInput!$M$24)*CHOOSE(ArtifactsInput!$N$24+1,10,12,14,16,18,20)+IF(ArtifactsInput!$M$10,CHOOSE(ArtifactsInput!$N$10+1,15,18,21,24,27,30)*(IF(Inputs!$B$38="pvp",MIN(15,15)/15,IF(AND(Inputs!$B$38&lt;&gt;"pvp",Inputs!$B$43&gt;0),MIN(15,Inputs!$B$43)/(Inputs!$B$43),0))),0)))&gt;=100),CHOOSE(ArtifactsInput!$N$42+1,40,48,56,64,72,80),0))))/100)*((1+(((C894=TRUE)*F894)+((C895=TRUE)*IF(Inputs!$B$38="pvp",F895,(1-Summary!$B$11)*(F895)+Summary!$B$11*(0)))+((C896=TRUE)*F896*IF(AND(Inputs!$B$38&lt;&gt;"pvp",Inputs!$B$43&gt;0),(((R896-1)*(Skills!T15*(1+Inputs!$B$34/100))+MIN((Skills!T15*(1+Inputs!$B$34/100)),MAX(0,Inputs!$B$43-((R896-1)*Skills!D15))))/Inputs!$B$43),IF(Inputs!$B$38="pvp",MIN((Skills!T15*(1+Inputs!$B$34/100)),15)/15,(Skills!T15*(1+Inputs!$B$34/100))/Skills!D15)))+((C893=TRUE)*F893)+((C910=TRUE)*(F910-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891)</f>
        <v/>
      </c>
      <c r="L891">
        <f>K891*(MIN(Inputs!$B$22+((C904=TRUE)*(F904-Calc!F23)),(Inputs!$B$23+((C909=TRUE)*(F909-Calc!F28))+(IF(ArtifactsInput!$M$15,CHOOSE(ArtifactsInput!$N$15+1,25,30,35,40,45,50)/100*(Inputs!$B$11-Inputs!$B$11),0))))/100+(Inputs!$B$23+((C909=TRUE)*(F909-Calc!F28))+(IF(ArtifactsInput!$M$15,CHOOSE(ArtifactsInput!$N$15+1,25,30,35,40,45,50)/100*(Inputs!$B$11-Inputs!$B$11),0)))/100)/2</f>
        <v/>
      </c>
      <c r="M891">
        <f>L891*(1+(Inputs!$B$10+0+B918+(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891">
        <f>L891*(1-MIN((Inputs!$B$9+((C900=TRUE)*(F900-Calc!F19))+B913+(ArtifactsInput!$M$24-ArtifactsInput!$M$24)*CHOOSE(ArtifactsInput!$N$24+1,10,12,14,16,18,20)+(IF(AND(ArtifactsInput!$M$42,((Inputs!$B$9+((C900=TRUE)*(F900-Calc!F19))+B913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891*(MIN((Inputs!$B$9+((C900=TRUE)*(F900-Calc!F19))+B913+(ArtifactsInput!$M$24-ArtifactsInput!$M$24)*CHOOSE(ArtifactsInput!$N$24+1,10,12,14,16,18,20)+(IF(AND(ArtifactsInput!$M$42,((Inputs!$B$9+((C900=TRUE)*(F900-Calc!F19))+B913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891">
        <f>(1-Summary!$B$11)*T891+Summary!$B$11*V891</f>
        <v/>
      </c>
      <c r="P891">
        <f>IF(B923=0,0,O891/B923)</f>
        <v/>
      </c>
      <c r="Q891" t="n">
        <v>0</v>
      </c>
      <c r="R891" t="n">
        <v>0</v>
      </c>
      <c r="S891" t="n">
        <v>0</v>
      </c>
      <c r="T891">
        <f>IF(C891,(0.15*SUMPRODUCT((Skills!U2:U29=TRUE)*(C883:C910=TRUE)*S883:S910)*Skills!G10*N891)*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Hunt"),CHOOSE(ArtifactsInput!$N$35+1,15,18,21,24,27,30)*(1-EXP(-(0.2*B915)*5)),0)+IF(AND(ArtifactsInput!$M$22,Inputs!$B$4&lt;&gt;"Chapter Hunt"),CHOOSE(ArtifactsInput!$N$22+1,10,12,14,16,18,20)*((0*(((0.15*B915*5))^0/1)+1*(((0.15*B915*5))^1/1)+2*(((0.15*B915*5))^2/2)+3*(((0.15*B915*5))^3/6)+4*(((0.15*B915*5))^4/24)+5*(((0.15*B915*5))^5/120))/((((0.15*B915*5))^0/1)+(((0.15*B915*5))^1/1)+(((0.15*B915*5))^2/2)+(((0.15*B915*5))^3/6)+(((0.15*B915*5))^4/24)+(((0.15*B915*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891*(1-MIN(100,(Inputs!$B$9+((C900=TRUE)*(F900-Calc!F19))+B913+(ArtifactsInput!$M$24-ArtifactsInput!$M$24)*CHOOSE(ArtifactsInput!$N$24+1,10,12,14,16,18,20)+(IF(AND(ArtifactsInput!$M$42,((Inputs!$B$9+((C900=TRUE)*(F900-Calc!F19))+B913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891*(MIN(100,(Inputs!$B$9+((C900=TRUE)*(F900-Calc!F19))+B913+(ArtifactsInput!$M$24-ArtifactsInput!$M$24)*CHOOSE(ArtifactsInput!$N$24+1,10,12,14,16,18,20)+(IF(AND(ArtifactsInput!$M$42,((Inputs!$B$9+((C900=TRUE)*(F900-Calc!F19))+B913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891*(1-MIN(100,(Inputs!$B$9+((C900=TRUE)*(F900-Calc!F19))+B913+(ArtifactsInput!$M$24-ArtifactsInput!$M$24)*CHOOSE(ArtifactsInput!$N$24+1,10,12,14,16,18,20)+(IF(AND(ArtifactsInput!$M$42,((Inputs!$B$9+((C900=TRUE)*(F900-Calc!F19))+B913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891*(MIN(100,(Inputs!$B$9+((C900=TRUE)*(F900-Calc!F19))+B913+(ArtifactsInput!$M$24-ArtifactsInput!$M$24)*CHOOSE(ArtifactsInput!$N$24+1,10,12,14,16,18,20)+(IF(AND(ArtifactsInput!$M$42,((Inputs!$B$9+((C900=TRUE)*(F900-Calc!F19))+B913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891">
        <f>IF(C891,(0.15*SUMPRODUCT((Skills!U2:U29=TRUE)*(C883:C910=TRUE)*S883:S910)*Skills!G10*N891)*IF(Inputs!$B$38="pvp",1,(1+(Inputs!$B$21+Skills!Q10+(IF(ArtifactsInput!$M$33,CHOOSE(ArtifactsInput!$N$33+1,30,36,42,48,54,60),0))+(IF(AND(ArtifactsInput!$M$35,Inputs!$B$4&lt;&gt;"Chapter Hunt"),CHOOSE(ArtifactsInput!$N$35+1,15,18,21,24,27,30)*(1-EXP(-(0.2*B915)*5)),0)+IF(AND(ArtifactsInput!$M$22,Inputs!$B$4&lt;&gt;"Chapter Hunt"),CHOOSE(ArtifactsInput!$N$22+1,10,12,14,16,18,20)*((0*(((0.15*B915*5))^0/1)+1*(((0.15*B915*5))^1/1)+2*(((0.15*B915*5))^2/2)+3*(((0.15*B915*5))^3/6)+4*(((0.15*B915*5))^4/24)+5*(((0.15*B915*5))^5/120))/((((0.15*B915*5))^0/1)+(((0.15*B915*5))^1/1)+(((0.15*B915*5))^2/2)+(((0.15*B915*5))^3/6)+(((0.15*B915*5))^4/24)+(((0.15*B915*5))^5/120)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892">
      <c r="A892">
        <f>Skills!A11</f>
        <v/>
      </c>
      <c r="B892">
        <f>Skills!B11</f>
        <v/>
      </c>
      <c r="C892">
        <f>Inputs!$B$3&gt;=110</f>
        <v/>
      </c>
      <c r="D892">
        <f>IF(Skills!C11=1,60+Inputs!$B$25+Inputs!$B$29,IF(Skills!C11=2,90+Inputs!$B$26+Inputs!$B$29,IF(Skills!C11=3,120+(Inputs!$B$27+1)+Inputs!$B$29,MAX(0,(Inputs!$B$3-100)*3)+Inputs!$B$28+Inputs!$B$29)))</f>
        <v/>
      </c>
      <c r="E892">
        <f>INDEX(FactorTable!$B$2:$Y$301, MATCH(ROUND(MIN(300,MAX(1,D892)),0), FactorTable!$A$2:$A$301,0), Skills!M11+1)</f>
        <v/>
      </c>
      <c r="F892">
        <f>IF(Skills!N11=TRUE,(Skills!L11/10)*(E892/1000),Skills!L11/10)+Skills!O11</f>
        <v/>
      </c>
      <c r="G892">
        <f>Skills!G11*IF(Skills!H11&gt;0,Skills!I11/Skills!H11,1)</f>
        <v/>
      </c>
      <c r="H892">
        <f>1-(1-Skills!J11/100)^Skills!K11</f>
        <v/>
      </c>
      <c r="I892" t="inlineStr">
        <is>
          <t>1</t>
        </is>
      </c>
      <c r="J892">
        <f>((Inputs!$B$6*(1+Inputs!$B$7/100))+(((Inputs!$B$12*(1+Inputs!$B$13/100))-(Inputs!$B$12*(1+Inputs!$B$13/100)))+0.25*(Inputs!$B$14-Inputs!$B$14))*(1+Inputs!$B$7/100))*(F892/100)</f>
        <v/>
      </c>
      <c r="K892">
        <f>J892*(1+((Inputs!$B$12*(1+Inputs!$B$13/100))*0.01+Inputs!$B$14*0.0025)/100)*(1+Inputs!$B$15/100)*(1+Inputs!$B$16/100)*(5000/(6000+Inputs!$B$42*(1-(100*(1-(1-(Inputs!$B$19+0)/100)*(1-CHOOSE(ArtifactsInput!$N$40+1,5,6,7,8,9,10)/100)^(ArtifactsInput!$M$40-ArtifactsInput!$M$40)))/100)))*(1+(Inputs!$B$24+((C905=TRUE)*(F905-Calc!F24))+((C906=TRUE)*(F906-Calc!F25))+B919)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11="EMPOWERED_PIERCING_ARROW",Inputs!$B$17+((C903=TRUE)*(F903-Calc!F22))+(((IF(AND(ArtifactsInput!$M$42,((Inputs!$B$9+((C900=TRUE)*(F900-Calc!F19))+B913+(ArtifactsInput!$M$24-ArtifactsInput!$M$24)*CHOOSE(ArtifactsInput!$N$24+1,10,12,14,16,18,20)+IF(ArtifactsInput!$M$10,CHOOSE(ArtifactsInput!$N$10+1,15,18,21,24,27,30)*(IF(Inputs!$B$38="pvp",MIN(15,15)/15,IF(AND(Inputs!$B$38&lt;&gt;"pvp",Inputs!$B$43&gt;0),MIN(15,Inputs!$B$43)/(Inputs!$B$43),0))),0)))&gt;=100),MIN(100,((Inputs!$B$9+((C900=TRUE)*(F900-Calc!F19))+B913+(ArtifactsInput!$M$24-ArtifactsInput!$M$24)*CHOOSE(ArtifactsInput!$N$24+1,10,12,14,16,18,20)+IF(ArtifactsInput!$M$10,CHOOSE(ArtifactsInput!$N$10+1,15,18,21,24,27,30)*(IF(Inputs!$B$38="pvp",MIN(15,15)/15,IF(AND(Inputs!$B$38&lt;&gt;"pvp",Inputs!$B$43&gt;0),MIN(15,Inputs!$B$43)/(Inputs!$B$43),0))),0)))-100),0))*CHOOSE(ArtifactsInput!$N$42+1,0.6,0.72,0.84,0.96,1.08,1.2))),Inputs!$B$18+((C908=TRUE)*(F908-Calc!F27))+(IF(AND(ArtifactsInput!$M$42,((Inputs!$B$9+((C900=TRUE)*(F900-Calc!F19))+B913+(ArtifactsInput!$M$24-ArtifactsInput!$M$24)*CHOOSE(ArtifactsInput!$N$24+1,10,12,14,16,18,20)+IF(ArtifactsInput!$M$10,CHOOSE(ArtifactsInput!$N$10+1,15,18,21,24,27,30)*(IF(Inputs!$B$38="pvp",MIN(15,15)/15,IF(AND(Inputs!$B$38&lt;&gt;"pvp",Inputs!$B$43&gt;0),MIN(15,Inputs!$B$43)/(Inputs!$B$43),0))),0)))&gt;=100),CHOOSE(ArtifactsInput!$N$42+1,40,48,56,64,72,80),0))))/100)*((1+(((C894=TRUE)*F894)+((C895=TRUE)*IF(Inputs!$B$38="pvp",F895,(1-Summary!$B$11)*(F895)+Summary!$B$11*(0)))+((C896=TRUE)*F896*IF(AND(Inputs!$B$38&lt;&gt;"pvp",Inputs!$B$43&gt;0),(((R896-1)*(Skills!T15*(1+Inputs!$B$34/100))+MIN((Skills!T15*(1+Inputs!$B$34/100)),MAX(0,Inputs!$B$43-((R896-1)*Skills!D15))))/Inputs!$B$43),IF(Inputs!$B$38="pvp",MIN((Skills!T15*(1+Inputs!$B$34/100)),15)/15,(Skills!T15*(1+Inputs!$B$34/100))/Skills!D15)))+((C893=TRUE)*F893)+((C910=TRUE)*(F910-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892)</f>
        <v/>
      </c>
      <c r="L892">
        <f>K892*(MIN(Inputs!$B$22+((C904=TRUE)*(F904-Calc!F23)),(Inputs!$B$23+((C909=TRUE)*(F909-Calc!F28))+(IF(ArtifactsInput!$M$15,CHOOSE(ArtifactsInput!$N$15+1,25,30,35,40,45,50)/100*(Inputs!$B$11-Inputs!$B$11),0))))/100+(Inputs!$B$23+((C909=TRUE)*(F909-Calc!F28))+(IF(ArtifactsInput!$M$15,CHOOSE(ArtifactsInput!$N$15+1,25,30,35,40,45,50)/100*(Inputs!$B$11-Inputs!$B$11),0)))/100)/2</f>
        <v/>
      </c>
      <c r="M892">
        <f>L892*(1+(Inputs!$B$10+0+B918+(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892">
        <f>L892*(1-MIN((Inputs!$B$9+((C900=TRUE)*(F900-Calc!F19))+B913+(ArtifactsInput!$M$24-ArtifactsInput!$M$24)*CHOOSE(ArtifactsInput!$N$24+1,10,12,14,16,18,20)+(IF(AND(ArtifactsInput!$M$42,((Inputs!$B$9+((C900=TRUE)*(F900-Calc!F19))+B913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892*(MIN((Inputs!$B$9+((C900=TRUE)*(F900-Calc!F19))+B913+(ArtifactsInput!$M$24-ArtifactsInput!$M$24)*CHOOSE(ArtifactsInput!$N$24+1,10,12,14,16,18,20)+(IF(AND(ArtifactsInput!$M$42,((Inputs!$B$9+((C900=TRUE)*(F900-Calc!F19))+B913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892">
        <f>(1-Summary!$B$11)*T892+Summary!$B$11*V892</f>
        <v/>
      </c>
      <c r="P892">
        <f>IF(B923=0,0,O892/B923)</f>
        <v/>
      </c>
      <c r="Q892">
        <f>IFERROR(1/IF(Inputs!$B$38="pvp",15,MAX(0.1,Skills!D11-IF(Skills!E11=TRUE,Inputs!$B$32,0))),0)</f>
        <v/>
      </c>
      <c r="R892">
        <f>IF(AND(Inputs!$B$38&lt;&gt;"pvp",Inputs!$B$43&gt;0),IF(MAX(0,Inputs!$B$43-B920)&lt;=0,0,(INT(MAX(0,Inputs!$B$43-B920)/IF(Inputs!$B$38="pvp",15,MAX(0.1,Skills!D11-IF(Skills!E11=TRUE,Inputs!$B$32,0))))+1)),0)</f>
        <v/>
      </c>
      <c r="S892">
        <f>IFERROR((H892*N892*IF(AND(Inputs!$B$38&lt;&gt;"pvp",Inputs!$B$43&gt;0),((Skills!G11*((R892-1)*IF(Skills!H11&gt;0,Skills!I11/Skills!H11,1)+IF(Skills!H11&gt;0,MIN(Skills!I11,MAX(0,MAX(0,Inputs!$B$43-B920)-((R892-1)*IF(Inputs!$B$38="pvp",15,MAX(0.1,Skills!D11-IF(Skills!E11=TRUE,Inputs!$B$32,0))))))/Skills!H11,1)))/Inputs!$B$43),G892*Q892))/N892*IF(Inputs!$B$38="pvp",1,(1-Summary!$B$11)*1+Summary!$B$11*(MIN(Skills!R11,Inputs!$B$37))),0)</f>
        <v/>
      </c>
      <c r="T892">
        <f>IF(C892,(H892*N892*IF(AND(Inputs!$B$38&lt;&gt;"pvp",Inputs!$B$43&gt;0),((Skills!G11*((R892-1)*IF(Skills!H11&gt;0,Skills!I11/Skills!H11,1)+IF(Skills!H11&gt;0,MIN(Skills!I11,MAX(0,MAX(0,Inputs!$B$43-B920)-((R892-1)*IF(Inputs!$B$38="pvp",15,MAX(0.1,Skills!D11-IF(Skills!E11=TRUE,Inputs!$B$32,0))))))/Skills!H11,1)))/Inputs!$B$43),G892*Q892))*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Hunt"),CHOOSE(ArtifactsInput!$N$35+1,15,18,21,24,27,30)*(1-EXP(-(0.2*B915)*5)),0)+IF(AND(ArtifactsInput!$M$22,Inputs!$B$4&lt;&gt;"Chapter Hunt"),CHOOSE(ArtifactsInput!$N$22+1,10,12,14,16,18,20)*((0*(((0.15*B915*5))^0/1)+1*(((0.15*B915*5))^1/1)+2*(((0.15*B915*5))^2/2)+3*(((0.15*B915*5))^3/6)+4*(((0.15*B915*5))^4/24)+5*(((0.15*B915*5))^5/120))/((((0.15*B915*5))^0/1)+(((0.15*B915*5))^1/1)+(((0.15*B915*5))^2/2)+(((0.15*B915*5))^3/6)+(((0.15*B915*5))^4/24)+(((0.15*B915*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892*(1-MIN(100,(Inputs!$B$9+((C900=TRUE)*(F900-Calc!F19))+B913+(ArtifactsInput!$M$24-ArtifactsInput!$M$24)*CHOOSE(ArtifactsInput!$N$24+1,10,12,14,16,18,20)+(IF(AND(ArtifactsInput!$M$42,((Inputs!$B$9+((C900=TRUE)*(F900-Calc!F19))+B913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892*(MIN(100,(Inputs!$B$9+((C900=TRUE)*(F900-Calc!F19))+B913+(ArtifactsInput!$M$24-ArtifactsInput!$M$24)*CHOOSE(ArtifactsInput!$N$24+1,10,12,14,16,18,20)+(IF(AND(ArtifactsInput!$M$42,((Inputs!$B$9+((C900=TRUE)*(F900-Calc!F19))+B913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892*(1-MIN(100,(Inputs!$B$9+((C900=TRUE)*(F900-Calc!F19))+B913+(ArtifactsInput!$M$24-ArtifactsInput!$M$24)*CHOOSE(ArtifactsInput!$N$24+1,10,12,14,16,18,20)+(IF(AND(ArtifactsInput!$M$42,((Inputs!$B$9+((C900=TRUE)*(F900-Calc!F19))+B913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892*(MIN(100,(Inputs!$B$9+((C900=TRUE)*(F900-Calc!F19))+B913+(ArtifactsInput!$M$24-ArtifactsInput!$M$24)*CHOOSE(ArtifactsInput!$N$24+1,10,12,14,16,18,20)+(IF(AND(ArtifactsInput!$M$42,((Inputs!$B$9+((C900=TRUE)*(F900-Calc!F19))+B913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892">
        <f>IF(C892,(H892*N892*IF(AND(Inputs!$B$38&lt;&gt;"pvp",Inputs!$B$43&gt;0),((Skills!G11*((R892-1)*IF(Skills!H11&gt;0,Skills!I11/Skills!H11,1)+IF(Skills!H11&gt;0,MIN(Skills!I11,MAX(0,MAX(0,Inputs!$B$43-B920)-((R892-1)*IF(Inputs!$B$38="pvp",15,MAX(0.1,Skills!D11-IF(Skills!E11=TRUE,Inputs!$B$32,0))))))/Skills!H11,1)))/Inputs!$B$43),G892*Q892))*IF(Inputs!$B$38="pvp",1,(1+(Inputs!$B$21+Skills!Q11+(IF(ArtifactsInput!$M$33,CHOOSE(ArtifactsInput!$N$33+1,30,36,42,48,54,60),0))+(IF(AND(ArtifactsInput!$M$35,Inputs!$B$4&lt;&gt;"Chapter Hunt"),CHOOSE(ArtifactsInput!$N$35+1,15,18,21,24,27,30)*(1-EXP(-(0.2*B915)*5)),0)+IF(AND(ArtifactsInput!$M$22,Inputs!$B$4&lt;&gt;"Chapter Hunt"),CHOOSE(ArtifactsInput!$N$22+1,10,12,14,16,18,20)*((0*(((0.15*B915*5))^0/1)+1*(((0.15*B915*5))^1/1)+2*(((0.15*B915*5))^2/2)+3*(((0.15*B915*5))^3/6)+4*(((0.15*B915*5))^4/24)+5*(((0.15*B915*5))^5/120))/((((0.15*B915*5))^0/1)+(((0.15*B915*5))^1/1)+(((0.15*B915*5))^2/2)+(((0.15*B915*5))^3/6)+(((0.15*B915*5))^4/24)+(((0.15*B915*5))^5/120))),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893">
      <c r="A893">
        <f>Skills!A12</f>
        <v/>
      </c>
      <c r="B893">
        <f>Skills!B12</f>
        <v/>
      </c>
      <c r="C893">
        <f>Inputs!$B$3&gt;=60</f>
        <v/>
      </c>
      <c r="D893">
        <f>IF(Skills!C12=1,60+Inputs!$B$25+Inputs!$B$29,IF(Skills!C12=2,90+Inputs!$B$26+Inputs!$B$29,IF(Skills!C12=3,120+(Inputs!$B$27+1)+Inputs!$B$29,MAX(0,(Inputs!$B$3-100)*3)+Inputs!$B$28+Inputs!$B$29)))</f>
        <v/>
      </c>
      <c r="E893">
        <f>INDEX(FactorTable!$B$2:$Y$301, MATCH(ROUND(MIN(300,MAX(1,D893)),0), FactorTable!$A$2:$A$301,0), Skills!M12+1)</f>
        <v/>
      </c>
      <c r="F893">
        <f>IF(Skills!N12=TRUE,(Skills!L12/10)*(E893/1000),Skills!L12/10)+Skills!O12</f>
        <v/>
      </c>
      <c r="G893">
        <f>Skills!G12*IF(Skills!H12&gt;0,Skills!I12/Skills!H12,1)</f>
        <v/>
      </c>
      <c r="H893">
        <f>1-(1-Skills!J12/100)^Skills!K12</f>
        <v/>
      </c>
      <c r="I893" t="inlineStr">
        <is>
          <t>1</t>
        </is>
      </c>
      <c r="J893" t="inlineStr"/>
      <c r="K893" t="inlineStr"/>
      <c r="L893" t="inlineStr"/>
      <c r="M893" t="inlineStr"/>
      <c r="N893" t="inlineStr"/>
      <c r="O893">
        <f>(1-Summary!$B$11)*T893+Summary!$B$11*V893</f>
        <v/>
      </c>
      <c r="P893">
        <f>IF(B923=0,0,O893/B923)</f>
        <v/>
      </c>
      <c r="Q893" t="n">
        <v>0</v>
      </c>
      <c r="R893" t="n">
        <v>0</v>
      </c>
      <c r="S893" t="n">
        <v>0</v>
      </c>
      <c r="T893" t="n">
        <v>0</v>
      </c>
      <c r="V893" t="n">
        <v>0</v>
      </c>
    </row>
    <row r="894">
      <c r="A894">
        <f>Skills!A13</f>
        <v/>
      </c>
      <c r="B894">
        <f>Skills!B13</f>
        <v/>
      </c>
      <c r="C894">
        <f>Inputs!$B$3&gt;=74</f>
        <v/>
      </c>
      <c r="D894">
        <f>IF(Skills!C13=1,60+Inputs!$B$25+Inputs!$B$29,IF(Skills!C13=2,90+Inputs!$B$26+Inputs!$B$29,IF(Skills!C13=3,120+(Inputs!$B$27+1)+Inputs!$B$29,MAX(0,(Inputs!$B$3-100)*3)+Inputs!$B$28+Inputs!$B$29)))</f>
        <v/>
      </c>
      <c r="E894">
        <f>INDEX(FactorTable!$B$2:$Y$301, MATCH(ROUND(MIN(300,MAX(1,D894)),0), FactorTable!$A$2:$A$301,0), Skills!M13+1)</f>
        <v/>
      </c>
      <c r="F894">
        <f>IF(Skills!N13=TRUE,(Skills!L13/10)*(E894/1000),Skills!L13/10)+Skills!O13</f>
        <v/>
      </c>
      <c r="G894">
        <f>Skills!G13*IF(Skills!H13&gt;0,Skills!I13/Skills!H13,1)</f>
        <v/>
      </c>
      <c r="H894">
        <f>1-(1-Skills!J13/100)^Skills!K13</f>
        <v/>
      </c>
      <c r="I894" t="inlineStr">
        <is>
          <t>1</t>
        </is>
      </c>
      <c r="J894" t="inlineStr"/>
      <c r="K894" t="inlineStr"/>
      <c r="L894" t="inlineStr"/>
      <c r="M894" t="inlineStr"/>
      <c r="N894" t="inlineStr"/>
      <c r="O894">
        <f>(1-Summary!$B$11)*T894+Summary!$B$11*V894</f>
        <v/>
      </c>
      <c r="P894">
        <f>IF(B923=0,0,O894/B923)</f>
        <v/>
      </c>
      <c r="Q894" t="n">
        <v>0</v>
      </c>
      <c r="R894" t="n">
        <v>0</v>
      </c>
      <c r="S894" t="n">
        <v>0</v>
      </c>
      <c r="T894" t="n">
        <v>0</v>
      </c>
      <c r="V894" t="n">
        <v>0</v>
      </c>
    </row>
    <row r="895">
      <c r="A895">
        <f>Skills!A14</f>
        <v/>
      </c>
      <c r="B895">
        <f>Skills!B14</f>
        <v/>
      </c>
      <c r="C895">
        <f>Inputs!$B$3&gt;=74</f>
        <v/>
      </c>
      <c r="D895">
        <f>IF(Skills!C14=1,60+Inputs!$B$25+Inputs!$B$29,IF(Skills!C14=2,90+Inputs!$B$26+Inputs!$B$29,IF(Skills!C14=3,120+(Inputs!$B$27+1)+Inputs!$B$29,MAX(0,(Inputs!$B$3-100)*3)+Inputs!$B$28+Inputs!$B$29)))</f>
        <v/>
      </c>
      <c r="E895">
        <f>INDEX(FactorTable!$B$2:$Y$301, MATCH(ROUND(MIN(300,MAX(1,D895)),0), FactorTable!$A$2:$A$301,0), Skills!M14+1)</f>
        <v/>
      </c>
      <c r="F895">
        <f>IF(Skills!N14=TRUE,(Skills!L14/10)*(E895/1000),Skills!L14/10)+Skills!O14</f>
        <v/>
      </c>
      <c r="G895">
        <f>Skills!G14*IF(Skills!H14&gt;0,Skills!I14/Skills!H14,1)</f>
        <v/>
      </c>
      <c r="H895">
        <f>1-(1-Skills!J14/100)^Skills!K14</f>
        <v/>
      </c>
      <c r="I895" t="inlineStr">
        <is>
          <t>1</t>
        </is>
      </c>
      <c r="J895" t="inlineStr"/>
      <c r="K895" t="inlineStr"/>
      <c r="L895" t="inlineStr"/>
      <c r="M895" t="inlineStr"/>
      <c r="N895" t="inlineStr"/>
      <c r="O895">
        <f>(1-Summary!$B$11)*T895+Summary!$B$11*V895</f>
        <v/>
      </c>
      <c r="P895">
        <f>IF(B923=0,0,O895/B923)</f>
        <v/>
      </c>
      <c r="Q895" t="n">
        <v>0</v>
      </c>
      <c r="R895" t="n">
        <v>0</v>
      </c>
      <c r="S895" t="n">
        <v>0</v>
      </c>
      <c r="T895" t="n">
        <v>0</v>
      </c>
      <c r="V895" t="n">
        <v>0</v>
      </c>
    </row>
    <row r="896">
      <c r="A896">
        <f>Skills!A15</f>
        <v/>
      </c>
      <c r="B896">
        <f>Skills!B15</f>
        <v/>
      </c>
      <c r="C896">
        <f>Inputs!$B$3&gt;=117</f>
        <v/>
      </c>
      <c r="D896">
        <f>IF(Skills!C15=1,60+Inputs!$B$25+Inputs!$B$29,IF(Skills!C15=2,90+Inputs!$B$26+Inputs!$B$29,IF(Skills!C15=3,120+(Inputs!$B$27+1)+Inputs!$B$29,MAX(0,(Inputs!$B$3-100)*3)+Inputs!$B$28+Inputs!$B$29)))</f>
        <v/>
      </c>
      <c r="E896">
        <f>INDEX(FactorTable!$B$2:$Y$301, MATCH(ROUND(MIN(300,MAX(1,D896)),0), FactorTable!$A$2:$A$301,0), Skills!M15+1)</f>
        <v/>
      </c>
      <c r="F896">
        <f>IF(Skills!N15=TRUE,(Skills!L15/10)*(E896/1000),Skills!L15/10)+Skills!O15</f>
        <v/>
      </c>
      <c r="G896">
        <f>Skills!G15*IF(Skills!H15&gt;0,Skills!I15/Skills!H15,1)</f>
        <v/>
      </c>
      <c r="H896">
        <f>1-(1-Skills!J15/100)^Skills!K15</f>
        <v/>
      </c>
      <c r="I896" t="inlineStr">
        <is>
          <t>1</t>
        </is>
      </c>
      <c r="J896" t="inlineStr"/>
      <c r="K896" t="inlineStr"/>
      <c r="L896" t="inlineStr"/>
      <c r="M896" t="inlineStr"/>
      <c r="N896" t="inlineStr"/>
      <c r="O896">
        <f>(1-Summary!$B$11)*T896+Summary!$B$11*V896</f>
        <v/>
      </c>
      <c r="P896">
        <f>IF(B923=0,0,O896/B923)</f>
        <v/>
      </c>
      <c r="Q896">
        <f>IFERROR(1/IF(Inputs!$B$38="pvp",15,MAX(0.1,Skills!D15-IF(Skills!E15=TRUE,Inputs!$B$32,0))),0)</f>
        <v/>
      </c>
      <c r="R896">
        <f>IF(AND(Inputs!$B$38&lt;&gt;"pvp",Inputs!$B$43&gt;0),IF(Inputs!$B$43&lt;=0,0,(INT(Inputs!$B$43/IF(Inputs!$B$38="pvp",15,MAX(0.1,Skills!D15-IF(Skills!E15=TRUE,Inputs!$B$32,0))))+1)),0)</f>
        <v/>
      </c>
      <c r="S896" t="n">
        <v>0</v>
      </c>
      <c r="T896" t="n">
        <v>0</v>
      </c>
      <c r="V896" t="n">
        <v>0</v>
      </c>
    </row>
    <row r="897">
      <c r="A897">
        <f>Skills!A16</f>
        <v/>
      </c>
      <c r="B897">
        <f>Skills!B16</f>
        <v/>
      </c>
      <c r="C897">
        <f>Inputs!$B$3&gt;=115</f>
        <v/>
      </c>
      <c r="D897">
        <f>IF(Skills!C16=1,60+Inputs!$B$25+Inputs!$B$29,IF(Skills!C16=2,90+Inputs!$B$26+Inputs!$B$29,IF(Skills!C16=3,120+(Inputs!$B$27+1)+Inputs!$B$29,MAX(0,(Inputs!$B$3-100)*3)+Inputs!$B$28+Inputs!$B$29)))</f>
        <v/>
      </c>
      <c r="E897">
        <f>INDEX(FactorTable!$B$2:$Y$301, MATCH(ROUND(MIN(300,MAX(1,D897)),0), FactorTable!$A$2:$A$301,0), Skills!M16+1)</f>
        <v/>
      </c>
      <c r="F897">
        <f>IF(Skills!N16=TRUE,(Skills!L16/10)*(E897/1000),Skills!L16/10)+Skills!O16</f>
        <v/>
      </c>
      <c r="G897">
        <f>Skills!G16*IF(Skills!H16&gt;0,Skills!I16/Skills!H16,1)</f>
        <v/>
      </c>
      <c r="H897">
        <f>1-(1-Skills!J16/100)^Skills!K16</f>
        <v/>
      </c>
      <c r="I897" t="inlineStr">
        <is>
          <t>1</t>
        </is>
      </c>
      <c r="J897" t="inlineStr"/>
      <c r="K897" t="inlineStr"/>
      <c r="L897" t="inlineStr"/>
      <c r="M897" t="inlineStr"/>
      <c r="N897" t="inlineStr"/>
      <c r="O897">
        <f>(1-Summary!$B$11)*T897+Summary!$B$11*V897</f>
        <v/>
      </c>
      <c r="P897">
        <f>IF(B923=0,0,O897/B923)</f>
        <v/>
      </c>
      <c r="Q897">
        <f>IFERROR(1/IF(Inputs!$B$38="pvp",15,MAX(0.1,Skills!D16-IF(Skills!E16=TRUE,Inputs!$B$32,0))),0)</f>
        <v/>
      </c>
      <c r="R897">
        <f>IF(AND(Inputs!$B$38&lt;&gt;"pvp",Inputs!$B$43&gt;0),IF(Inputs!$B$43&lt;=0,0,(INT(Inputs!$B$43/IF(Inputs!$B$38="pvp",15,MAX(0.1,Skills!D16-IF(Skills!E16=TRUE,Inputs!$B$32,0))))+1)),0)</f>
        <v/>
      </c>
      <c r="S897" t="n">
        <v>0</v>
      </c>
      <c r="T897" t="n">
        <v>0</v>
      </c>
      <c r="V897" t="n">
        <v>0</v>
      </c>
    </row>
    <row r="898">
      <c r="A898">
        <f>Skills!A17</f>
        <v/>
      </c>
      <c r="B898">
        <f>Skills!B17</f>
        <v/>
      </c>
      <c r="C898">
        <f>Inputs!$B$3&gt;=72</f>
        <v/>
      </c>
      <c r="D898">
        <f>IF(Skills!C17=1,60+Inputs!$B$25+Inputs!$B$29,IF(Skills!C17=2,90+Inputs!$B$26+Inputs!$B$29,IF(Skills!C17=3,120+(Inputs!$B$27+1)+Inputs!$B$29,MAX(0,(Inputs!$B$3-100)*3)+Inputs!$B$28+Inputs!$B$29)))</f>
        <v/>
      </c>
      <c r="E898">
        <f>INDEX(FactorTable!$B$2:$Y$301, MATCH(ROUND(MIN(300,MAX(1,D898)),0), FactorTable!$A$2:$A$301,0), Skills!M17+1)</f>
        <v/>
      </c>
      <c r="F898">
        <f>IF(Skills!N17=TRUE,(Skills!L17/10)*(E898/1000),Skills!L17/10)+Skills!O17</f>
        <v/>
      </c>
      <c r="G898">
        <f>Skills!G17*IF(Skills!H17&gt;0,Skills!I17/Skills!H17,1)</f>
        <v/>
      </c>
      <c r="H898">
        <f>1-(1-Skills!J17/100)^Skills!K17</f>
        <v/>
      </c>
      <c r="I898" t="inlineStr">
        <is>
          <t>1</t>
        </is>
      </c>
      <c r="J898" t="inlineStr"/>
      <c r="K898" t="inlineStr"/>
      <c r="L898" t="inlineStr"/>
      <c r="M898" t="inlineStr"/>
      <c r="N898" t="inlineStr"/>
      <c r="O898">
        <f>(1-Summary!$B$11)*T898+Summary!$B$11*V898</f>
        <v/>
      </c>
      <c r="P898">
        <f>IF(B923=0,0,O898/B923)</f>
        <v/>
      </c>
      <c r="Q898" t="n">
        <v>0</v>
      </c>
      <c r="R898" t="n">
        <v>0</v>
      </c>
      <c r="S898" t="n">
        <v>0</v>
      </c>
      <c r="T898" t="n">
        <v>0</v>
      </c>
      <c r="V898" t="n">
        <v>0</v>
      </c>
    </row>
    <row r="899">
      <c r="A899">
        <f>Skills!A18</f>
        <v/>
      </c>
      <c r="B899">
        <f>Skills!B18</f>
        <v/>
      </c>
      <c r="C899">
        <f>TRUE</f>
        <v/>
      </c>
      <c r="D899">
        <f>IF(Skills!C18=1,60+Inputs!$B$25+Inputs!$B$29,IF(Skills!C18=2,90+Inputs!$B$26+Inputs!$B$29,IF(Skills!C18=3,120+(Inputs!$B$27+1)+Inputs!$B$29,MAX(0,(Inputs!$B$3-100)*3)+Inputs!$B$28+Inputs!$B$29)))</f>
        <v/>
      </c>
      <c r="E899">
        <f>INDEX(FactorTable!$B$2:$Y$301, MATCH(ROUND(MIN(300,MAX(1,D899)),0), FactorTable!$A$2:$A$301,0), Skills!M18+1)</f>
        <v/>
      </c>
      <c r="F899">
        <f>IF(Skills!N18=TRUE,(Skills!L18/10)*(E899/1000),Skills!L18/10)+Skills!O18</f>
        <v/>
      </c>
      <c r="G899">
        <f>Skills!G18*IF(Skills!H18&gt;0,Skills!I18/Skills!H18,1)</f>
        <v/>
      </c>
      <c r="H899">
        <f>1-(1-Skills!J18/100)^Skills!K18</f>
        <v/>
      </c>
      <c r="I899" t="inlineStr">
        <is>
          <t>1</t>
        </is>
      </c>
      <c r="J899" t="inlineStr"/>
      <c r="K899" t="inlineStr"/>
      <c r="L899" t="inlineStr"/>
      <c r="M899" t="inlineStr"/>
      <c r="N899" t="inlineStr"/>
      <c r="O899">
        <f>(1-Summary!$B$11)*T899+Summary!$B$11*V899</f>
        <v/>
      </c>
      <c r="P899">
        <f>IF(B923=0,0,O899/B923)</f>
        <v/>
      </c>
      <c r="Q899">
        <f>IFERROR(1/IF(Inputs!$B$38="pvp",15,MAX(0.1,Skills!D18-IF(Skills!E18=TRUE,Inputs!$B$32,0))),0)</f>
        <v/>
      </c>
      <c r="R899">
        <f>IF(AND(Inputs!$B$38&lt;&gt;"pvp",Inputs!$B$43&gt;0),IF(Inputs!$B$43&lt;=0,0,(INT(Inputs!$B$43/IF(Inputs!$B$38="pvp",15,MAX(0.1,Skills!D18-IF(Skills!E18=TRUE,Inputs!$B$32,0))))+1)),0)</f>
        <v/>
      </c>
      <c r="S899" t="n">
        <v>0</v>
      </c>
      <c r="T899" t="n">
        <v>0</v>
      </c>
      <c r="V899" t="n">
        <v>0</v>
      </c>
    </row>
    <row r="900">
      <c r="A900">
        <f>Skills!A19</f>
        <v/>
      </c>
      <c r="B900">
        <f>Skills!B19</f>
        <v/>
      </c>
      <c r="C900">
        <f>Inputs!$B$3&gt;=15</f>
        <v/>
      </c>
      <c r="D900">
        <f>IF(Skills!C19=1,60+Inputs!$B$25+Inputs!$B$29,IF(Skills!C19=2,90+Inputs!$B$26+Inputs!$B$29,IF(Skills!C19=3,120+(Inputs!$B$27+1)+Inputs!$B$29,MAX(0,(Inputs!$B$3-100)*3)+Inputs!$B$28+Inputs!$B$29)))</f>
        <v/>
      </c>
      <c r="E900">
        <f>INDEX(FactorTable!$B$2:$Y$301, MATCH(ROUND(MIN(300,MAX(1,D900)),0), FactorTable!$A$2:$A$301,0), Skills!M19+1)</f>
        <v/>
      </c>
      <c r="F900">
        <f>IF(Skills!N19=TRUE,(Skills!L19/10)*(E900/1000),Skills!L19/10)+Skills!O19</f>
        <v/>
      </c>
      <c r="G900">
        <f>Skills!G19*IF(Skills!H19&gt;0,Skills!I19/Skills!H19,1)</f>
        <v/>
      </c>
      <c r="H900">
        <f>1-(1-Skills!J19/100)^Skills!K19</f>
        <v/>
      </c>
      <c r="I900" t="inlineStr">
        <is>
          <t>1</t>
        </is>
      </c>
      <c r="J900" t="inlineStr"/>
      <c r="K900" t="inlineStr"/>
      <c r="L900" t="inlineStr"/>
      <c r="M900" t="inlineStr"/>
      <c r="N900" t="inlineStr"/>
      <c r="O900">
        <f>(1-Summary!$B$11)*T900+Summary!$B$11*V900</f>
        <v/>
      </c>
      <c r="P900">
        <f>IF(B923=0,0,O900/B923)</f>
        <v/>
      </c>
      <c r="Q900" t="n">
        <v>0</v>
      </c>
      <c r="R900" t="n">
        <v>0</v>
      </c>
      <c r="S900" t="n">
        <v>0</v>
      </c>
      <c r="T900" t="n">
        <v>0</v>
      </c>
      <c r="V900" t="n">
        <v>0</v>
      </c>
    </row>
    <row r="901">
      <c r="A901">
        <f>Skills!A20</f>
        <v/>
      </c>
      <c r="B901">
        <f>Skills!B20</f>
        <v/>
      </c>
      <c r="C901">
        <f>Inputs!$B$3&gt;=10</f>
        <v/>
      </c>
      <c r="D901">
        <f>IF(Skills!C20=1,60+Inputs!$B$25+Inputs!$B$29,IF(Skills!C20=2,90+Inputs!$B$26+Inputs!$B$29,IF(Skills!C20=3,120+(Inputs!$B$27+1)+Inputs!$B$29,MAX(0,(Inputs!$B$3-100)*3)+Inputs!$B$28+Inputs!$B$29)))</f>
        <v/>
      </c>
      <c r="E901">
        <f>INDEX(FactorTable!$B$2:$Y$301, MATCH(ROUND(MIN(300,MAX(1,D901)),0), FactorTable!$A$2:$A$301,0), Skills!M20+1)</f>
        <v/>
      </c>
      <c r="F901">
        <f>IF(Skills!N20=TRUE,(Skills!L20/10)*(E901/1000),Skills!L20/10)+Skills!O20</f>
        <v/>
      </c>
      <c r="G901">
        <f>Skills!G20*IF(Skills!H20&gt;0,Skills!I20/Skills!H20,1)</f>
        <v/>
      </c>
      <c r="H901">
        <f>1-(1-Skills!J20/100)^Skills!K20</f>
        <v/>
      </c>
      <c r="I901" t="inlineStr">
        <is>
          <t>1</t>
        </is>
      </c>
      <c r="J901" t="inlineStr"/>
      <c r="K901" t="inlineStr"/>
      <c r="L901" t="inlineStr"/>
      <c r="M901" t="inlineStr"/>
      <c r="N901" t="inlineStr"/>
      <c r="O901">
        <f>(1-Summary!$B$11)*T901+Summary!$B$11*V901</f>
        <v/>
      </c>
      <c r="P901">
        <f>IF(B923=0,0,O901/B923)</f>
        <v/>
      </c>
      <c r="Q901" t="n">
        <v>0</v>
      </c>
      <c r="R901" t="n">
        <v>0</v>
      </c>
      <c r="S901" t="n">
        <v>0</v>
      </c>
      <c r="T901" t="n">
        <v>0</v>
      </c>
      <c r="V901" t="n">
        <v>0</v>
      </c>
    </row>
    <row r="902">
      <c r="A902">
        <f>Skills!A21</f>
        <v/>
      </c>
      <c r="B902">
        <f>Skills!B21</f>
        <v/>
      </c>
      <c r="C902">
        <f>Inputs!$B$3&gt;=33</f>
        <v/>
      </c>
      <c r="D902">
        <f>IF(Skills!C21=1,60+Inputs!$B$25+Inputs!$B$29,IF(Skills!C21=2,90+Inputs!$B$26+Inputs!$B$29,IF(Skills!C21=3,120+(Inputs!$B$27+1)+Inputs!$B$29,MAX(0,(Inputs!$B$3-100)*3)+Inputs!$B$28+Inputs!$B$29)))</f>
        <v/>
      </c>
      <c r="E902">
        <f>INDEX(FactorTable!$B$2:$Y$301, MATCH(ROUND(MIN(300,MAX(1,D902)),0), FactorTable!$A$2:$A$301,0), Skills!M21+1)</f>
        <v/>
      </c>
      <c r="F902">
        <f>IF(Skills!N21=TRUE,(Skills!L21/10)*(E902/1000),Skills!L21/10)+Skills!O21</f>
        <v/>
      </c>
      <c r="G902">
        <f>Skills!G21*IF(Skills!H21&gt;0,Skills!I21/Skills!H21,1)</f>
        <v/>
      </c>
      <c r="H902">
        <f>1-(1-Skills!J21/100)^Skills!K21</f>
        <v/>
      </c>
      <c r="I902" t="inlineStr">
        <is>
          <t>1</t>
        </is>
      </c>
      <c r="J902" t="inlineStr"/>
      <c r="K902" t="inlineStr"/>
      <c r="L902" t="inlineStr"/>
      <c r="M902" t="inlineStr"/>
      <c r="N902" t="inlineStr"/>
      <c r="O902">
        <f>(1-Summary!$B$11)*T902+Summary!$B$11*V902</f>
        <v/>
      </c>
      <c r="P902">
        <f>IF(B923=0,0,O902/B923)</f>
        <v/>
      </c>
      <c r="Q902" t="n">
        <v>0</v>
      </c>
      <c r="R902" t="n">
        <v>0</v>
      </c>
      <c r="S902" t="n">
        <v>0</v>
      </c>
      <c r="T902" t="n">
        <v>0</v>
      </c>
      <c r="V902" t="n">
        <v>0</v>
      </c>
    </row>
    <row r="903">
      <c r="A903">
        <f>Skills!A22</f>
        <v/>
      </c>
      <c r="B903">
        <f>Skills!B22</f>
        <v/>
      </c>
      <c r="C903">
        <f>Inputs!$B$3&gt;=38</f>
        <v/>
      </c>
      <c r="D903">
        <f>IF(Skills!C22=1,60+Inputs!$B$25+Inputs!$B$29,IF(Skills!C22=2,90+Inputs!$B$26+Inputs!$B$29,IF(Skills!C22=3,120+(Inputs!$B$27+1)+Inputs!$B$29,MAX(0,(Inputs!$B$3-100)*3)+Inputs!$B$28+Inputs!$B$29)))</f>
        <v/>
      </c>
      <c r="E903">
        <f>INDEX(FactorTable!$B$2:$Y$301, MATCH(ROUND(MIN(300,MAX(1,D903)),0), FactorTable!$A$2:$A$301,0), Skills!M22+1)</f>
        <v/>
      </c>
      <c r="F903">
        <f>IF(Skills!N22=TRUE,(Skills!L22/10)*(E903/1000),Skills!L22/10)+Skills!O22</f>
        <v/>
      </c>
      <c r="G903">
        <f>Skills!G22*IF(Skills!H22&gt;0,Skills!I22/Skills!H22,1)</f>
        <v/>
      </c>
      <c r="H903">
        <f>1-(1-Skills!J22/100)^Skills!K22</f>
        <v/>
      </c>
      <c r="I903" t="inlineStr">
        <is>
          <t>1</t>
        </is>
      </c>
      <c r="J903" t="inlineStr"/>
      <c r="K903" t="inlineStr"/>
      <c r="L903" t="inlineStr"/>
      <c r="M903" t="inlineStr"/>
      <c r="N903" t="inlineStr"/>
      <c r="O903">
        <f>(1-Summary!$B$11)*T903+Summary!$B$11*V903</f>
        <v/>
      </c>
      <c r="P903">
        <f>IF(B923=0,0,O903/B923)</f>
        <v/>
      </c>
      <c r="Q903" t="n">
        <v>0</v>
      </c>
      <c r="R903" t="n">
        <v>0</v>
      </c>
      <c r="S903" t="n">
        <v>0</v>
      </c>
      <c r="T903" t="n">
        <v>0</v>
      </c>
      <c r="V903" t="n">
        <v>0</v>
      </c>
    </row>
    <row r="904">
      <c r="A904">
        <f>Skills!A23</f>
        <v/>
      </c>
      <c r="B904">
        <f>Skills!B23</f>
        <v/>
      </c>
      <c r="C904">
        <f>Inputs!$B$3&gt;=43</f>
        <v/>
      </c>
      <c r="D904">
        <f>IF(Skills!C23=1,60+Inputs!$B$25+Inputs!$B$29,IF(Skills!C23=2,90+Inputs!$B$26+Inputs!$B$29,IF(Skills!C23=3,120+(Inputs!$B$27+1)+Inputs!$B$29,MAX(0,(Inputs!$B$3-100)*3)+Inputs!$B$28+Inputs!$B$29)))</f>
        <v/>
      </c>
      <c r="E904">
        <f>INDEX(FactorTable!$B$2:$Y$301, MATCH(ROUND(MIN(300,MAX(1,D904)),0), FactorTable!$A$2:$A$301,0), Skills!M23+1)</f>
        <v/>
      </c>
      <c r="F904">
        <f>IF(Skills!N23=TRUE,(Skills!L23/10)*(E904/1000),Skills!L23/10)+Skills!O23</f>
        <v/>
      </c>
      <c r="G904">
        <f>Skills!G23*IF(Skills!H23&gt;0,Skills!I23/Skills!H23,1)</f>
        <v/>
      </c>
      <c r="H904">
        <f>1-(1-Skills!J23/100)^Skills!K23</f>
        <v/>
      </c>
      <c r="I904" t="inlineStr">
        <is>
          <t>1</t>
        </is>
      </c>
      <c r="J904" t="inlineStr"/>
      <c r="K904" t="inlineStr"/>
      <c r="L904" t="inlineStr"/>
      <c r="M904" t="inlineStr"/>
      <c r="N904" t="inlineStr"/>
      <c r="O904">
        <f>(1-Summary!$B$11)*T904+Summary!$B$11*V904</f>
        <v/>
      </c>
      <c r="P904">
        <f>IF(B923=0,0,O904/B923)</f>
        <v/>
      </c>
      <c r="Q904" t="n">
        <v>0</v>
      </c>
      <c r="R904" t="n">
        <v>0</v>
      </c>
      <c r="S904" t="n">
        <v>0</v>
      </c>
      <c r="T904" t="n">
        <v>0</v>
      </c>
      <c r="V904" t="n">
        <v>0</v>
      </c>
    </row>
    <row r="905">
      <c r="A905">
        <f>Skills!A24</f>
        <v/>
      </c>
      <c r="B905">
        <f>Skills!B24</f>
        <v/>
      </c>
      <c r="C905">
        <f>Inputs!$B$3&gt;=75</f>
        <v/>
      </c>
      <c r="D905">
        <f>IF(Skills!C24=1,60+Inputs!$B$25+Inputs!$B$29,IF(Skills!C24=2,90+Inputs!$B$26+Inputs!$B$29,IF(Skills!C24=3,120+(Inputs!$B$27+1)+Inputs!$B$29,MAX(0,(Inputs!$B$3-100)*3)+Inputs!$B$28+Inputs!$B$29)))</f>
        <v/>
      </c>
      <c r="E905">
        <f>INDEX(FactorTable!$B$2:$Y$301, MATCH(ROUND(MIN(300,MAX(1,D905)),0), FactorTable!$A$2:$A$301,0), Skills!M24+1)</f>
        <v/>
      </c>
      <c r="F905">
        <f>IF(Skills!N24=TRUE,(Skills!L24/10)*(E905/1000),Skills!L24/10)+Skills!O24</f>
        <v/>
      </c>
      <c r="G905">
        <f>Skills!G24*IF(Skills!H24&gt;0,Skills!I24/Skills!H24,1)</f>
        <v/>
      </c>
      <c r="H905">
        <f>1-(1-Skills!J24/100)^Skills!K24</f>
        <v/>
      </c>
      <c r="I905" t="inlineStr">
        <is>
          <t>1</t>
        </is>
      </c>
      <c r="J905" t="inlineStr"/>
      <c r="K905" t="inlineStr"/>
      <c r="L905" t="inlineStr"/>
      <c r="M905" t="inlineStr"/>
      <c r="N905" t="inlineStr"/>
      <c r="O905">
        <f>(1-Summary!$B$11)*T905+Summary!$B$11*V905</f>
        <v/>
      </c>
      <c r="P905">
        <f>IF(B923=0,0,O905/B923)</f>
        <v/>
      </c>
      <c r="Q905" t="n">
        <v>0</v>
      </c>
      <c r="R905" t="n">
        <v>0</v>
      </c>
      <c r="S905" t="n">
        <v>0</v>
      </c>
      <c r="T905" t="n">
        <v>0</v>
      </c>
      <c r="V905" t="n">
        <v>0</v>
      </c>
    </row>
    <row r="906">
      <c r="A906">
        <f>Skills!A25</f>
        <v/>
      </c>
      <c r="B906">
        <f>Skills!B25</f>
        <v/>
      </c>
      <c r="C906">
        <f>Inputs!$B$3&gt;=125</f>
        <v/>
      </c>
      <c r="D906">
        <f>IF(Skills!C25=1,60+Inputs!$B$25+Inputs!$B$29,IF(Skills!C25=2,90+Inputs!$B$26+Inputs!$B$29,IF(Skills!C25=3,120+(Inputs!$B$27+1)+Inputs!$B$29,MAX(0,(Inputs!$B$3-100)*3)+Inputs!$B$28+Inputs!$B$29)))</f>
        <v/>
      </c>
      <c r="E906">
        <f>INDEX(FactorTable!$B$2:$Y$301, MATCH(ROUND(MIN(300,MAX(1,D906)),0), FactorTable!$A$2:$A$301,0), Skills!M25+1)</f>
        <v/>
      </c>
      <c r="F906">
        <f>IF(Skills!N25=TRUE,(Skills!L25/10)*(E906/1000),Skills!L25/10)+Skills!O25</f>
        <v/>
      </c>
      <c r="G906">
        <f>Skills!G25*IF(Skills!H25&gt;0,Skills!I25/Skills!H25,1)</f>
        <v/>
      </c>
      <c r="H906">
        <f>1-(1-Skills!J25/100)^Skills!K25</f>
        <v/>
      </c>
      <c r="I906" t="inlineStr">
        <is>
          <t>1</t>
        </is>
      </c>
      <c r="J906" t="inlineStr"/>
      <c r="K906" t="inlineStr"/>
      <c r="L906" t="inlineStr"/>
      <c r="M906" t="inlineStr"/>
      <c r="N906" t="inlineStr"/>
      <c r="O906">
        <f>(1-Summary!$B$11)*T906+Summary!$B$11*V906</f>
        <v/>
      </c>
      <c r="P906">
        <f>IF(B923=0,0,O906/B923)</f>
        <v/>
      </c>
      <c r="Q906" t="n">
        <v>0</v>
      </c>
      <c r="R906" t="n">
        <v>0</v>
      </c>
      <c r="S906" t="n">
        <v>0</v>
      </c>
      <c r="T906" t="n">
        <v>0</v>
      </c>
      <c r="V906" t="n">
        <v>0</v>
      </c>
    </row>
    <row r="907">
      <c r="A907">
        <f>Skills!A26</f>
        <v/>
      </c>
      <c r="B907">
        <f>Skills!B26</f>
        <v/>
      </c>
      <c r="C907">
        <f>Inputs!$B$3&gt;=125</f>
        <v/>
      </c>
      <c r="D907">
        <f>IF(Skills!C26=1,60+Inputs!$B$25+Inputs!$B$29,IF(Skills!C26=2,90+Inputs!$B$26+Inputs!$B$29,IF(Skills!C26=3,120+(Inputs!$B$27+1)+Inputs!$B$29,MAX(0,(Inputs!$B$3-100)*3)+Inputs!$B$28+Inputs!$B$29)))</f>
        <v/>
      </c>
      <c r="E907">
        <f>INDEX(FactorTable!$B$2:$Y$301, MATCH(ROUND(MIN(300,MAX(1,D907)),0), FactorTable!$A$2:$A$301,0), Skills!M26+1)</f>
        <v/>
      </c>
      <c r="F907">
        <f>IF(Skills!N26=TRUE,(Skills!L26/10)*(E907/1000),Skills!L26/10)+Skills!O26</f>
        <v/>
      </c>
      <c r="G907">
        <f>Skills!G26*IF(Skills!H26&gt;0,Skills!I26/Skills!H26,1)</f>
        <v/>
      </c>
      <c r="H907">
        <f>1-(1-Skills!J26/100)^Skills!K26</f>
        <v/>
      </c>
      <c r="I907" t="inlineStr">
        <is>
          <t>1</t>
        </is>
      </c>
      <c r="J907" t="inlineStr"/>
      <c r="K907" t="inlineStr"/>
      <c r="L907" t="inlineStr"/>
      <c r="M907" t="inlineStr"/>
      <c r="N907" t="inlineStr"/>
      <c r="O907">
        <f>(1-Summary!$B$11)*T907+Summary!$B$11*V907</f>
        <v/>
      </c>
      <c r="P907">
        <f>IF(B923=0,0,O907/B923)</f>
        <v/>
      </c>
      <c r="Q907" t="n">
        <v>0</v>
      </c>
      <c r="R907" t="n">
        <v>0</v>
      </c>
      <c r="S907" t="n">
        <v>0</v>
      </c>
      <c r="T907" t="n">
        <v>0</v>
      </c>
      <c r="V907" t="n">
        <v>0</v>
      </c>
    </row>
    <row r="908">
      <c r="A908">
        <f>Skills!A27</f>
        <v/>
      </c>
      <c r="B908">
        <f>Skills!B27</f>
        <v/>
      </c>
      <c r="C908">
        <f>Inputs!$B$3&gt;=120</f>
        <v/>
      </c>
      <c r="D908">
        <f>IF(Skills!C27=1,60+Inputs!$B$25+Inputs!$B$29,IF(Skills!C27=2,90+Inputs!$B$26+Inputs!$B$29,IF(Skills!C27=3,120+(Inputs!$B$27+1)+Inputs!$B$29,MAX(0,(Inputs!$B$3-100)*3)+Inputs!$B$28+Inputs!$B$29)))</f>
        <v/>
      </c>
      <c r="E908">
        <f>INDEX(FactorTable!$B$2:$Y$301, MATCH(ROUND(MIN(300,MAX(1,D908)),0), FactorTable!$A$2:$A$301,0), Skills!M27+1)</f>
        <v/>
      </c>
      <c r="F908">
        <f>IF(Skills!N27=TRUE,(Skills!L27/10)*(E908/1000),Skills!L27/10)+Skills!O27</f>
        <v/>
      </c>
      <c r="G908">
        <f>Skills!G27*IF(Skills!H27&gt;0,Skills!I27/Skills!H27,1)</f>
        <v/>
      </c>
      <c r="H908">
        <f>1-(1-Skills!J27/100)^Skills!K27</f>
        <v/>
      </c>
      <c r="I908" t="inlineStr">
        <is>
          <t>1</t>
        </is>
      </c>
      <c r="J908" t="inlineStr"/>
      <c r="K908" t="inlineStr"/>
      <c r="L908" t="inlineStr"/>
      <c r="M908" t="inlineStr"/>
      <c r="N908" t="inlineStr"/>
      <c r="O908">
        <f>(1-Summary!$B$11)*T908+Summary!$B$11*V908</f>
        <v/>
      </c>
      <c r="P908">
        <f>IF(B923=0,0,O908/B923)</f>
        <v/>
      </c>
      <c r="Q908" t="n">
        <v>0</v>
      </c>
      <c r="R908" t="n">
        <v>0</v>
      </c>
      <c r="S908" t="n">
        <v>0</v>
      </c>
      <c r="T908" t="n">
        <v>0</v>
      </c>
      <c r="V908" t="n">
        <v>0</v>
      </c>
    </row>
    <row r="909">
      <c r="A909">
        <f>Skills!A28</f>
        <v/>
      </c>
      <c r="B909">
        <f>Skills!B28</f>
        <v/>
      </c>
      <c r="C909">
        <f>Inputs!$B$3&gt;=120</f>
        <v/>
      </c>
      <c r="D909">
        <f>IF(Skills!C28=1,60+Inputs!$B$25+Inputs!$B$29,IF(Skills!C28=2,90+Inputs!$B$26+Inputs!$B$29,IF(Skills!C28=3,120+(Inputs!$B$27+1)+Inputs!$B$29,MAX(0,(Inputs!$B$3-100)*3)+Inputs!$B$28+Inputs!$B$29)))</f>
        <v/>
      </c>
      <c r="E909">
        <f>INDEX(FactorTable!$B$2:$Y$301, MATCH(ROUND(MIN(300,MAX(1,D909)),0), FactorTable!$A$2:$A$301,0), Skills!M28+1)</f>
        <v/>
      </c>
      <c r="F909">
        <f>IF(Skills!N28=TRUE,(Skills!L28/10)*(E909/1000),Skills!L28/10)+Skills!O28</f>
        <v/>
      </c>
      <c r="G909">
        <f>Skills!G28*IF(Skills!H28&gt;0,Skills!I28/Skills!H28,1)</f>
        <v/>
      </c>
      <c r="H909">
        <f>1-(1-Skills!J28/100)^Skills!K28</f>
        <v/>
      </c>
      <c r="I909" t="inlineStr">
        <is>
          <t>1</t>
        </is>
      </c>
      <c r="J909" t="inlineStr"/>
      <c r="K909" t="inlineStr"/>
      <c r="L909" t="inlineStr"/>
      <c r="M909" t="inlineStr"/>
      <c r="N909" t="inlineStr"/>
      <c r="O909">
        <f>(1-Summary!$B$11)*T909+Summary!$B$11*V909</f>
        <v/>
      </c>
      <c r="P909">
        <f>IF(B923=0,0,O909/B923)</f>
        <v/>
      </c>
      <c r="Q909" t="n">
        <v>0</v>
      </c>
      <c r="R909" t="n">
        <v>0</v>
      </c>
      <c r="S909" t="n">
        <v>0</v>
      </c>
      <c r="T909" t="n">
        <v>0</v>
      </c>
      <c r="V909" t="n">
        <v>0</v>
      </c>
    </row>
    <row r="910">
      <c r="A910">
        <f>Skills!A29</f>
        <v/>
      </c>
      <c r="B910">
        <f>Skills!B29</f>
        <v/>
      </c>
      <c r="C910">
        <f>Inputs!$B$3&gt;=45</f>
        <v/>
      </c>
      <c r="D910">
        <f>IF(Skills!C29=1,60+Inputs!$B$25+Inputs!$B$29,IF(Skills!C29=2,90+Inputs!$B$26+Inputs!$B$29,IF(Skills!C29=3,120+(Inputs!$B$27+1)+Inputs!$B$29,MAX(0,(Inputs!$B$3-100)*3)+Inputs!$B$28+Inputs!$B$29)))</f>
        <v/>
      </c>
      <c r="E910">
        <f>INDEX(FactorTable!$B$2:$Y$301, MATCH(ROUND(MIN(300,MAX(1,D910)),0), FactorTable!$A$2:$A$301,0), Skills!M29+1)</f>
        <v/>
      </c>
      <c r="F910">
        <f>IF(Skills!N29=TRUE,(Skills!L29/10)*(E910/1000),Skills!L29/10)+Skills!O29</f>
        <v/>
      </c>
      <c r="G910">
        <f>Skills!G29*IF(Skills!H29&gt;0,Skills!I29/Skills!H29,1)</f>
        <v/>
      </c>
      <c r="H910">
        <f>1-(1-Skills!J29/100)^Skills!K29</f>
        <v/>
      </c>
      <c r="I910" t="inlineStr">
        <is>
          <t>1</t>
        </is>
      </c>
      <c r="J910" t="inlineStr"/>
      <c r="K910" t="inlineStr"/>
      <c r="L910" t="inlineStr"/>
      <c r="M910" t="inlineStr"/>
      <c r="N910" t="inlineStr"/>
      <c r="O910">
        <f>(1-Summary!$B$11)*T910+Summary!$B$11*V910</f>
        <v/>
      </c>
      <c r="P910">
        <f>IF(B923=0,0,O910/B923)</f>
        <v/>
      </c>
      <c r="Q910" t="n">
        <v>0</v>
      </c>
      <c r="R910" t="n">
        <v>0</v>
      </c>
      <c r="S910" t="n">
        <v>0</v>
      </c>
      <c r="T910" t="n">
        <v>0</v>
      </c>
      <c r="V910" t="n">
        <v>0</v>
      </c>
    </row>
    <row r="912">
      <c r="A912" t="inlineStr">
        <is>
          <t>Attack% Bucket Multiplier</t>
        </is>
      </c>
      <c r="B912">
        <f>(1+(((C894=TRUE)*F894)+((C895=TRUE)*IF(Inputs!$B$38="pvp",F895,(1-Summary!$B$11)*(F895)+Summary!$B$11*(0)))+((C896=TRUE)*F896*IF(AND(Inputs!$B$38&lt;&gt;"pvp",Inputs!$B$43&gt;0),(((R896-1)*(Skills!T15*(1+Inputs!$B$34/100))+MIN((Skills!T15*(1+Inputs!$B$34/100)),MAX(0,Inputs!$B$43-((R896-1)*Skills!D15))))/Inputs!$B$43),IF(Inputs!$B$38="pvp",MIN((Skills!T15*(1+Inputs!$B$34/100)),15)/15,(Skills!T15*(1+Inputs!$B$34/100))/Skills!D15)))+((C893=TRUE)*F893)+((C910=TRUE)*(F910-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913">
      <c r="A913" t="inlineStr">
        <is>
          <t>Global Crit Rate Bonus %</t>
        </is>
      </c>
      <c r="B913">
        <f>(C897=TRUE)*20*IF(AND(Inputs!$B$38&lt;&gt;"pvp",Inputs!$B$43&gt;0),(((R897-1)*(Skills!T16*(1+Inputs!$B$34/100))+MIN((Skills!T16*(1+Inputs!$B$34/100)),MAX(0,Inputs!$B$43-((R897-1)*Skills!D16))))/Inputs!$B$43),IF(Inputs!$B$38="pvp",MIN((Skills!T16*(1+Inputs!$B$34/100)),15)/15,(Skills!T16*(1+Inputs!$B$34/100))/Skills!D16))</f>
        <v/>
      </c>
    </row>
    <row r="914">
      <c r="A914" t="inlineStr">
        <is>
          <t>Attack Speed Buff Bonus %</t>
        </is>
      </c>
      <c r="B914">
        <f>((C899=TRUE)*F899*IF(AND(Inputs!$B$38&lt;&gt;"pvp",Inputs!$B$43&gt;0),(((R899-1)*(Skills!T18*(1+Inputs!$B$34/100))+MIN((Skills!T18*(1+Inputs!$B$34/100)),MAX(0,Inputs!$B$43-((R899-1)*Skills!D18))))/Inputs!$B$43),IF(Inputs!$B$38="pvp",MIN((Skills!T18*(1+Inputs!$B$34/100)),15)/15,(Skills!T18*(1+Inputs!$B$34/100))/Skills!D18)))</f>
        <v/>
      </c>
    </row>
    <row r="915">
      <c r="A915" t="inlineStr">
        <is>
          <t>Actions Per Second</t>
        </is>
      </c>
      <c r="B915">
        <f>1+MIN(150,150*(1-(1-(Inputs!$B$11+((C901=TRUE)*(F901-Calc!F20))+((C902=TRUE)*(F902-Calc!F21)))/150)*(1-B914/150)))/100</f>
        <v/>
      </c>
    </row>
    <row r="916">
      <c r="A916" t="inlineStr">
        <is>
          <t>Skill + Buff Cast Rate</t>
        </is>
      </c>
      <c r="B916">
        <f>IF(AND(Inputs!$B$38&lt;&gt;"pvp",Inputs!$B$43&gt;0),SUMPRODUCT((Skills!E2:E29=TRUE)*(C883:C910=TRUE)*R883:R910*Skills!F2:F29)/Inputs!$B$43,SUMPRODUCT((Skills!E2:E29=TRUE)*(C883:C910=TRUE)*Q883:Q910*Skills!F2:F29))</f>
        <v/>
      </c>
    </row>
    <row r="917">
      <c r="A917" t="inlineStr">
        <is>
          <t>Empowered Piercing Arrow Casts Per Second</t>
        </is>
      </c>
      <c r="B917">
        <f>MAX(0,B915-B916)</f>
        <v/>
      </c>
    </row>
    <row r="918">
      <c r="A918" t="inlineStr">
        <is>
          <t>Global Critical Damage Bonus % (Sharp Eyes)</t>
        </is>
      </c>
      <c r="B918">
        <f>(C897=TRUE)*F897*IF(AND(Inputs!$B$38&lt;&gt;"pvp",Inputs!$B$43&gt;0),(((R897-1)*(Skills!T16*(1+Inputs!$B$34/100))+MIN((Skills!T16*(1+Inputs!$B$34/100)),MAX(0,Inputs!$B$43-((R897-1)*Skills!D16))))/Inputs!$B$43),IF(Inputs!$B$38="pvp",MIN((Skills!T16*(1+Inputs!$B$34/100)),15)/15,(Skills!T16*(1+Inputs!$B$34/100))/Skills!D16))</f>
        <v/>
      </c>
    </row>
    <row r="919">
      <c r="A919" t="inlineStr">
        <is>
          <t>Global Final Damage Bonus % (Mortal Blow + Last Man Standing conditional half)</t>
        </is>
      </c>
      <c r="B919">
        <f>(C898=TRUE)*F898+((C907=TRUE)*IF(Inputs!$B$38="pvp",F907,(1-Summary!$B$11)*(F907)+Summary!$B$11*(0)))</f>
        <v/>
      </c>
    </row>
    <row r="920">
      <c r="A920" t="inlineStr">
        <is>
          <t>Buff-Casting Startup Delay (s, fixed-duration only)</t>
        </is>
      </c>
      <c r="B920">
        <f>IF(AND(Inputs!$B$38&lt;&gt;"pvp",Inputs!$B$43&gt;0),SUMPRODUCT((Skills!T2:T29&gt;0)*(Skills!E2:E29=TRUE)*(C883:C910=TRUE))/B915,0)</f>
        <v/>
      </c>
    </row>
    <row r="921">
      <c r="A921" t="inlineStr">
        <is>
          <t>Boss-Only Total DPS (this block's swept value)</t>
        </is>
      </c>
      <c r="B921">
        <f>SUM(T883:T910)</f>
        <v/>
      </c>
    </row>
    <row r="922">
      <c r="A922" t="inlineStr">
        <is>
          <t>Normal-Only Total DPS (this block's swept value)</t>
        </is>
      </c>
      <c r="B922">
        <f>SUM(V883:V910)</f>
        <v/>
      </c>
    </row>
    <row r="923">
      <c r="A923" s="6" t="inlineStr">
        <is>
          <t>TOTAL DPS</t>
        </is>
      </c>
      <c r="B923" s="6">
        <f>SUM(O883:O910)</f>
        <v/>
      </c>
    </row>
    <row r="926">
      <c r="A926" s="6" t="inlineStr">
        <is>
          <t>Stat: Skill Level Bonus — 4th Job</t>
        </is>
      </c>
    </row>
    <row r="927">
      <c r="A927" s="5" t="inlineStr">
        <is>
          <t>Key</t>
        </is>
      </c>
      <c r="B927" s="5" t="inlineStr">
        <is>
          <t>Name</t>
        </is>
      </c>
      <c r="C927" s="5" t="inlineStr">
        <is>
          <t>Unlocked</t>
        </is>
      </c>
      <c r="D927" s="5" t="inlineStr">
        <is>
          <t>InputLevel</t>
        </is>
      </c>
      <c r="E927" s="5" t="inlineStr">
        <is>
          <t>Factor</t>
        </is>
      </c>
      <c r="F927" s="5" t="inlineStr">
        <is>
          <t>CoefficientPercent</t>
        </is>
      </c>
      <c r="G927" s="5" t="inlineStr">
        <is>
          <t>EffectiveHits</t>
        </is>
      </c>
      <c r="H927" s="5" t="inlineStr">
        <is>
          <t>ProcProbability</t>
        </is>
      </c>
      <c r="I927" s="5" t="inlineStr">
        <is>
          <t>MapleHeroMultiplier</t>
        </is>
      </c>
      <c r="J927" s="5" t="inlineStr">
        <is>
          <t>BaseDamage</t>
        </is>
      </c>
      <c r="K927" s="5" t="inlineStr">
        <is>
          <t>BaseHitDamage</t>
        </is>
      </c>
      <c r="L927" s="5" t="inlineStr">
        <is>
          <t>NonCritAvg</t>
        </is>
      </c>
      <c r="M927" s="5" t="inlineStr">
        <is>
          <t>CritAvg</t>
        </is>
      </c>
      <c r="N927" s="5" t="inlineStr">
        <is>
          <t>ExpectedDamage(perHit)</t>
        </is>
      </c>
      <c r="O927" s="5" t="inlineStr">
        <is>
          <t>DPS</t>
        </is>
      </c>
      <c r="P927" s="5" t="inlineStr">
        <is>
          <t>% of Total</t>
        </is>
      </c>
      <c r="Q927" s="5" t="inlineStr">
        <is>
          <t>InvCooldown</t>
        </is>
      </c>
      <c r="R927" s="5" t="inlineStr">
        <is>
          <t>CastsInFight</t>
        </is>
      </c>
      <c r="S927" s="5" t="inlineStr">
        <is>
          <t>HitRate(perSec)</t>
        </is>
      </c>
      <c r="U927" t="inlineStr">
        <is>
          <t>helpers</t>
        </is>
      </c>
    </row>
    <row r="928">
      <c r="A928">
        <f>Skills!A2</f>
        <v/>
      </c>
      <c r="B928">
        <f>Skills!B2</f>
        <v/>
      </c>
      <c r="C928">
        <f>Inputs!$B$3&gt;=100</f>
        <v/>
      </c>
      <c r="D928" t="inlineStr"/>
      <c r="E928" t="inlineStr"/>
      <c r="F928">
        <f>U930+Skills!O2</f>
        <v/>
      </c>
      <c r="G928">
        <f>Skills!G2*IF(Skills!H2&gt;0,Skills!I2/Skills!H2,1)</f>
        <v/>
      </c>
      <c r="H928">
        <f>1-(1-Skills!J2/100)^Skills!K2</f>
        <v/>
      </c>
      <c r="I928" t="inlineStr">
        <is>
          <t>1</t>
        </is>
      </c>
      <c r="J928">
        <f>((Inputs!$B$6*(1+Inputs!$B$7/100))+(((Inputs!$B$12*(1+Inputs!$B$13/100))-(Inputs!$B$12*(1+Inputs!$B$13/100)))+0.25*(Inputs!$B$14-Inputs!$B$14))*(1+Inputs!$B$7/100))*(F928/100)</f>
        <v/>
      </c>
      <c r="K928">
        <f>J928*(1+((Inputs!$B$12*(1+Inputs!$B$13/100))*0.01+Inputs!$B$14*0.0025)/100)*(1+Inputs!$B$15/100)*(1+Inputs!$B$16/100)*(5000/(6000+Inputs!$B$42*(1-(100*(1-(1-(Inputs!$B$19+0)/100)*(1-CHOOSE(ArtifactsInput!$N$40+1,5,6,7,8,9,10)/100)^(ArtifactsInput!$M$40-ArtifactsInput!$M$40)))/100)))*(1+(Inputs!$B$24+((C950=TRUE)*(F950-Calc!F24))+((C951=TRUE)*(F951-Calc!F25))+B964)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EMPOWERED_PIERCING_ARROW",Inputs!$B$17+((C948=TRUE)*(F948-Calc!F22))+(((IF(AND(ArtifactsInput!$M$42,((Inputs!$B$9+((C945=TRUE)*(F945-Calc!F19))+B958+(ArtifactsInput!$M$24-ArtifactsInput!$M$24)*CHOOSE(ArtifactsInput!$N$24+1,10,12,14,16,18,20)+IF(ArtifactsInput!$M$10,CHOOSE(ArtifactsInput!$N$10+1,15,18,21,24,27,30)*(IF(Inputs!$B$38="pvp",MIN(15,15)/15,IF(AND(Inputs!$B$38&lt;&gt;"pvp",Inputs!$B$43&gt;0),MIN(15,Inputs!$B$43)/(Inputs!$B$43),0))),0)))&gt;=100),MIN(100,((Inputs!$B$9+((C945=TRUE)*(F945-Calc!F19))+B958+(ArtifactsInput!$M$24-ArtifactsInput!$M$24)*CHOOSE(ArtifactsInput!$N$24+1,10,12,14,16,18,20)+IF(ArtifactsInput!$M$10,CHOOSE(ArtifactsInput!$N$10+1,15,18,21,24,27,30)*(IF(Inputs!$B$38="pvp",MIN(15,15)/15,IF(AND(Inputs!$B$38&lt;&gt;"pvp",Inputs!$B$43&gt;0),MIN(15,Inputs!$B$43)/(Inputs!$B$43),0))),0)))-100),0))*CHOOSE(ArtifactsInput!$N$42+1,0.6,0.72,0.84,0.96,1.08,1.2))),Inputs!$B$18+((C953=TRUE)*(F953-Calc!F27))+(IF(AND(ArtifactsInput!$M$42,((Inputs!$B$9+((C945=TRUE)*(F945-Calc!F19))+B958+(ArtifactsInput!$M$24-ArtifactsInput!$M$24)*CHOOSE(ArtifactsInput!$N$24+1,10,12,14,16,18,20)+IF(ArtifactsInput!$M$10,CHOOSE(ArtifactsInput!$N$10+1,15,18,21,24,27,30)*(IF(Inputs!$B$38="pvp",MIN(15,15)/15,IF(AND(Inputs!$B$38&lt;&gt;"pvp",Inputs!$B$43&gt;0),MIN(15,Inputs!$B$43)/(Inputs!$B$43),0))),0)))&gt;=100),CHOOSE(ArtifactsInput!$N$42+1,40,48,56,64,72,80),0))))/100)*((1+(((C939=TRUE)*F939)+((C940=TRUE)*IF(Inputs!$B$38="pvp",F940,(1-Summary!$B$11)*(F940)+Summary!$B$11*(0)))+((C941=TRUE)*F941*IF(AND(Inputs!$B$38&lt;&gt;"pvp",Inputs!$B$43&gt;0),(((R941-1)*(Skills!T15*(1+Inputs!$B$34/100))+MIN((Skills!T15*(1+Inputs!$B$34/100)),MAX(0,Inputs!$B$43-((R941-1)*Skills!D15))))/Inputs!$B$43),IF(Inputs!$B$38="pvp",MIN((Skills!T15*(1+Inputs!$B$34/100)),15)/15,(Skills!T15*(1+Inputs!$B$34/100))/Skills!D15)))+((C938=TRUE)*F938)+((C955=TRUE)*(F955-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928)</f>
        <v/>
      </c>
      <c r="L928">
        <f>K928*(MIN(Inputs!$B$22+((C949=TRUE)*(F949-Calc!F23)),(Inputs!$B$23+((C954=TRUE)*(F954-Calc!F28))+(IF(ArtifactsInput!$M$15,CHOOSE(ArtifactsInput!$N$15+1,25,30,35,40,45,50)/100*(Inputs!$B$11-Inputs!$B$11),0))))/100+(Inputs!$B$23+((C954=TRUE)*(F954-Calc!F28))+(IF(ArtifactsInput!$M$15,CHOOSE(ArtifactsInput!$N$15+1,25,30,35,40,45,50)/100*(Inputs!$B$11-Inputs!$B$11),0)))/100)/2</f>
        <v/>
      </c>
      <c r="M928">
        <f>L928*(1+(Inputs!$B$10+0+B963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928">
        <f>L928*(1-MIN((Inputs!$B$9+((C945=TRUE)*(F945-Calc!F19))+B958+(ArtifactsInput!$M$24-ArtifactsInput!$M$24)*CHOOSE(ArtifactsInput!$N$24+1,10,12,14,16,18,20)+(IF(AND(ArtifactsInput!$M$42,((Inputs!$B$9+((C945=TRUE)*(F945-Calc!F19))+B958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928*(MIN((Inputs!$B$9+((C945=TRUE)*(F945-Calc!F19))+B958+(ArtifactsInput!$M$24-ArtifactsInput!$M$24)*CHOOSE(ArtifactsInput!$N$24+1,10,12,14,16,18,20)+(IF(AND(ArtifactsInput!$M$42,((Inputs!$B$9+((C945=TRUE)*(F945-Calc!F19))+B958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928">
        <f>(1-Summary!$B$11)*T928+Summary!$B$11*V928</f>
        <v/>
      </c>
      <c r="P928">
        <f>IF(B968=0,0,O928/B968)</f>
        <v/>
      </c>
      <c r="Q928" t="n">
        <v>0</v>
      </c>
      <c r="R928" t="n">
        <v>0</v>
      </c>
      <c r="S928">
        <f>IFERROR((Skills!G2*N928*B962)/N928*IF(Inputs!$B$38="pvp",1,(1-Summary!$B$11)*1+Summary!$B$11*(MIN((6+Inputs!$B$33),Inputs!$B$37))),0)</f>
        <v/>
      </c>
      <c r="T928">
        <f>IF(C928,(Skills!G2*N928*B962)*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Hunt"),CHOOSE(ArtifactsInput!$N$35+1,15,18,21,24,27,30)*(1-EXP(-(0.2*B960)*5)),0)+IF(AND(ArtifactsInput!$M$22,Inputs!$B$4&lt;&gt;"Chapter Hunt"),CHOOSE(ArtifactsInput!$N$22+1,10,12,14,16,18,20)*((0*(((0.15*B960*5))^0/1)+1*(((0.15*B960*5))^1/1)+2*(((0.15*B960*5))^2/2)+3*(((0.15*B960*5))^3/6)+4*(((0.15*B960*5))^4/24)+5*(((0.15*B960*5))^5/120))/((((0.15*B960*5))^0/1)+(((0.15*B960*5))^1/1)+(((0.15*B960*5))^2/2)+(((0.15*B960*5))^3/6)+(((0.15*B960*5))^4/24)+(((0.15*B960*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928*(1-MIN(100,(Inputs!$B$9+((C945=TRUE)*(F945-Calc!F19))+B958+(ArtifactsInput!$M$24-ArtifactsInput!$M$24)*CHOOSE(ArtifactsInput!$N$24+1,10,12,14,16,18,20)+(IF(AND(ArtifactsInput!$M$42,((Inputs!$B$9+((C945=TRUE)*(F945-Calc!F19))+B958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928*(MIN(100,(Inputs!$B$9+((C945=TRUE)*(F945-Calc!F19))+B958+(ArtifactsInput!$M$24-ArtifactsInput!$M$24)*CHOOSE(ArtifactsInput!$N$24+1,10,12,14,16,18,20)+(IF(AND(ArtifactsInput!$M$42,((Inputs!$B$9+((C945=TRUE)*(F945-Calc!F19))+B958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928*(1-MIN(100,(Inputs!$B$9+((C945=TRUE)*(F945-Calc!F19))+B958+(ArtifactsInput!$M$24-ArtifactsInput!$M$24)*CHOOSE(ArtifactsInput!$N$24+1,10,12,14,16,18,20)+(IF(AND(ArtifactsInput!$M$42,((Inputs!$B$9+((C945=TRUE)*(F945-Calc!F19))+B958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928*(MIN(100,(Inputs!$B$9+((C945=TRUE)*(F945-Calc!F19))+B958+(ArtifactsInput!$M$24-ArtifactsInput!$M$24)*CHOOSE(ArtifactsInput!$N$24+1,10,12,14,16,18,20)+(IF(AND(ArtifactsInput!$M$42,((Inputs!$B$9+((C945=TRUE)*(F945-Calc!F19))+B958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928">
        <f>MAX(0,(Inputs!$B$3-100)*3)+(Inputs!$B$28+1)+Inputs!$B$29</f>
        <v/>
      </c>
      <c r="V928">
        <f>IF(C928,(Skills!G2*N928*B962)*IF(Inputs!$B$38="pvp",1,(1+(Inputs!$B$21+Skills!Q2+(IF(ArtifactsInput!$M$33,CHOOSE(ArtifactsInput!$N$33+1,30,36,42,48,54,60),0))+(IF(AND(ArtifactsInput!$M$35,Inputs!$B$4&lt;&gt;"Chapter Hunt"),CHOOSE(ArtifactsInput!$N$35+1,15,18,21,24,27,30)*(1-EXP(-(0.2*B960)*5)),0)+IF(AND(ArtifactsInput!$M$22,Inputs!$B$4&lt;&gt;"Chapter Hunt"),CHOOSE(ArtifactsInput!$N$22+1,10,12,14,16,18,20)*((0*(((0.15*B960*5))^0/1)+1*(((0.15*B960*5))^1/1)+2*(((0.15*B960*5))^2/2)+3*(((0.15*B960*5))^3/6)+4*(((0.15*B960*5))^4/24)+5*(((0.15*B960*5))^5/120))/((((0.15*B960*5))^0/1)+(((0.15*B960*5))^1/1)+(((0.15*B960*5))^2/2)+(((0.15*B960*5))^3/6)+(((0.15*B960*5))^4/24)+(((0.15*B960*5))^5/120)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929">
      <c r="A929">
        <f>Skills!A3</f>
        <v/>
      </c>
      <c r="B929">
        <f>Skills!B3</f>
        <v/>
      </c>
      <c r="C929">
        <f>Inputs!$B$3&gt;=50</f>
        <v/>
      </c>
      <c r="D929">
        <f>IF(Skills!C3=1,60+Inputs!$B$25+Inputs!$B$29,IF(Skills!C3=2,90+Inputs!$B$26+Inputs!$B$29,IF(Skills!C3=3,120+Inputs!$B$27+Inputs!$B$29,MAX(0,(Inputs!$B$3-100)*3)+(Inputs!$B$28+1)+Inputs!$B$29)))</f>
        <v/>
      </c>
      <c r="E929">
        <f>INDEX(FactorTable!$B$2:$Y$301, MATCH(ROUND(MIN(300,MAX(1,D929)),0), FactorTable!$A$2:$A$301,0), Skills!M3+1)</f>
        <v/>
      </c>
      <c r="F929">
        <f>IF(Skills!N3=TRUE,(Skills!L3/10)*(E929/1000),Skills!L3/10)+Skills!O3</f>
        <v/>
      </c>
      <c r="G929" t="inlineStr"/>
      <c r="H929" t="inlineStr"/>
      <c r="I929" t="inlineStr">
        <is>
          <t>1</t>
        </is>
      </c>
      <c r="J929" t="inlineStr"/>
      <c r="K929" t="inlineStr"/>
      <c r="L929" t="inlineStr"/>
      <c r="M929" t="inlineStr"/>
      <c r="N929" t="inlineStr"/>
      <c r="O929" t="inlineStr"/>
      <c r="P929" t="inlineStr"/>
      <c r="Q929" t="inlineStr"/>
      <c r="R929" t="inlineStr"/>
      <c r="S929" t="inlineStr"/>
      <c r="T929" t="inlineStr"/>
      <c r="U929">
        <f>INDEX(FactorTable!$B$2:$Y$301, MATCH(ROUND(MIN(300,MAX(1,U928)),0), FactorTable!$A$2:$A$301,0), 22)</f>
        <v/>
      </c>
      <c r="V929" t="inlineStr"/>
    </row>
    <row r="930">
      <c r="A930">
        <f>Skills!A4</f>
        <v/>
      </c>
      <c r="B930">
        <f>Skills!B4</f>
        <v/>
      </c>
      <c r="C930">
        <f>Inputs!$B$3&gt;=105</f>
        <v/>
      </c>
      <c r="D930">
        <f>IF(Skills!C4=1,60+Inputs!$B$25+Inputs!$B$29,IF(Skills!C4=2,90+Inputs!$B$26+Inputs!$B$29,IF(Skills!C4=3,120+Inputs!$B$27+Inputs!$B$29,MAX(0,(Inputs!$B$3-100)*3)+(Inputs!$B$28+1)+Inputs!$B$29)))</f>
        <v/>
      </c>
      <c r="E930">
        <f>INDEX(FactorTable!$B$2:$Y$301, MATCH(ROUND(MIN(300,MAX(1,D930)),0), FactorTable!$A$2:$A$301,0), Skills!M4+1)</f>
        <v/>
      </c>
      <c r="F930">
        <f>IF(Skills!N4=TRUE,(Skills!L4/10)*(E930/1000),Skills!L4/10)+Skills!O4</f>
        <v/>
      </c>
      <c r="G930" t="inlineStr"/>
      <c r="H930" t="inlineStr"/>
      <c r="I930" t="inlineStr">
        <is>
          <t>1</t>
        </is>
      </c>
      <c r="J930" t="inlineStr"/>
      <c r="K930" t="inlineStr"/>
      <c r="L930" t="inlineStr"/>
      <c r="M930" t="inlineStr"/>
      <c r="N930" t="inlineStr"/>
      <c r="O930" t="inlineStr"/>
      <c r="P930" t="inlineStr"/>
      <c r="Q930" t="inlineStr"/>
      <c r="R930" t="inlineStr"/>
      <c r="S930" t="inlineStr"/>
      <c r="T930" t="inlineStr"/>
      <c r="U930">
        <f>290*U929/1000</f>
        <v/>
      </c>
      <c r="V930" t="inlineStr"/>
    </row>
    <row r="931">
      <c r="A931">
        <f>Skills!A5</f>
        <v/>
      </c>
      <c r="B931">
        <f>Skills!B5</f>
        <v/>
      </c>
      <c r="C931">
        <f>Inputs!$B$3&gt;=35</f>
        <v/>
      </c>
      <c r="D931">
        <f>IF(Skills!C5=1,60+Inputs!$B$25+Inputs!$B$29,IF(Skills!C5=2,90+Inputs!$B$26+Inputs!$B$29,IF(Skills!C5=3,120+Inputs!$B$27+Inputs!$B$29,MAX(0,(Inputs!$B$3-100)*3)+(Inputs!$B$28+1)+Inputs!$B$29)))</f>
        <v/>
      </c>
      <c r="E931">
        <f>INDEX(FactorTable!$B$2:$Y$301, MATCH(ROUND(MIN(300,MAX(1,D931)),0), FactorTable!$A$2:$A$301,0), Skills!M5+1)</f>
        <v/>
      </c>
      <c r="F931">
        <f>IF(Skills!N5=TRUE,(Skills!L5/10)*(E931/1000),Skills!L5/10)+Skills!O5</f>
        <v/>
      </c>
      <c r="G931">
        <f>Skills!G5*IF(Skills!H5&gt;0,Skills!I5/Skills!H5,1)</f>
        <v/>
      </c>
      <c r="H931">
        <f>1-(1-Skills!J5/100)^Skills!K5</f>
        <v/>
      </c>
      <c r="I931" t="inlineStr">
        <is>
          <t>1</t>
        </is>
      </c>
      <c r="J931">
        <f>((Inputs!$B$6*(1+Inputs!$B$7/100))+(((Inputs!$B$12*(1+Inputs!$B$13/100))-(Inputs!$B$12*(1+Inputs!$B$13/100)))+0.25*(Inputs!$B$14-Inputs!$B$14))*(1+Inputs!$B$7/100))*(F931/100)</f>
        <v/>
      </c>
      <c r="K931">
        <f>J931*(1+((Inputs!$B$12*(1+Inputs!$B$13/100))*0.01+Inputs!$B$14*0.0025)/100)*(1+Inputs!$B$15/100)*(1+Inputs!$B$16/100)*(5000/(6000+Inputs!$B$42*(1-(100*(1-(1-(Inputs!$B$19+0)/100)*(1-CHOOSE(ArtifactsInput!$N$40+1,5,6,7,8,9,10)/100)^(ArtifactsInput!$M$40-ArtifactsInput!$M$40)))/100)))*(1+(Inputs!$B$24+((C950=TRUE)*(F950-Calc!F24))+((C951=TRUE)*(F951-Calc!F25))+B964)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934=TRUE,F934,0)/100)*(1+(IF(Skills!A5="EMPOWERED_PIERCING_ARROW",Inputs!$B$17+((C948=TRUE)*(F948-Calc!F22))+(((IF(AND(ArtifactsInput!$M$42,((Inputs!$B$9+((C945=TRUE)*(F945-Calc!F19))+B958+(ArtifactsInput!$M$24-ArtifactsInput!$M$24)*CHOOSE(ArtifactsInput!$N$24+1,10,12,14,16,18,20)+IF(ArtifactsInput!$M$10,CHOOSE(ArtifactsInput!$N$10+1,15,18,21,24,27,30)*(IF(Inputs!$B$38="pvp",MIN(15,15)/15,IF(AND(Inputs!$B$38&lt;&gt;"pvp",Inputs!$B$43&gt;0),MIN(15,Inputs!$B$43)/(Inputs!$B$43),0))),0)))&gt;=100),MIN(100,((Inputs!$B$9+((C945=TRUE)*(F945-Calc!F19))+B958+(ArtifactsInput!$M$24-ArtifactsInput!$M$24)*CHOOSE(ArtifactsInput!$N$24+1,10,12,14,16,18,20)+IF(ArtifactsInput!$M$10,CHOOSE(ArtifactsInput!$N$10+1,15,18,21,24,27,30)*(IF(Inputs!$B$38="pvp",MIN(15,15)/15,IF(AND(Inputs!$B$38&lt;&gt;"pvp",Inputs!$B$43&gt;0),MIN(15,Inputs!$B$43)/(Inputs!$B$43),0))),0)))-100),0))*CHOOSE(ArtifactsInput!$N$42+1,0.6,0.72,0.84,0.96,1.08,1.2))),Inputs!$B$18+((C953=TRUE)*(F953-Calc!F27))+(IF(AND(ArtifactsInput!$M$42,((Inputs!$B$9+((C945=TRUE)*(F945-Calc!F19))+B958+(ArtifactsInput!$M$24-ArtifactsInput!$M$24)*CHOOSE(ArtifactsInput!$N$24+1,10,12,14,16,18,20)+IF(ArtifactsInput!$M$10,CHOOSE(ArtifactsInput!$N$10+1,15,18,21,24,27,30)*(IF(Inputs!$B$38="pvp",MIN(15,15)/15,IF(AND(Inputs!$B$38&lt;&gt;"pvp",Inputs!$B$43&gt;0),MIN(15,Inputs!$B$43)/(Inputs!$B$43),0))),0)))&gt;=100),CHOOSE(ArtifactsInput!$N$42+1,40,48,56,64,72,80),0))))/100)*((1+(((C939=TRUE)*F939)+((C940=TRUE)*IF(Inputs!$B$38="pvp",F940,(1-Summary!$B$11)*(F940)+Summary!$B$11*(0)))+((C941=TRUE)*F941*IF(AND(Inputs!$B$38&lt;&gt;"pvp",Inputs!$B$43&gt;0),(((R941-1)*(Skills!T15*(1+Inputs!$B$34/100))+MIN((Skills!T15*(1+Inputs!$B$34/100)),MAX(0,Inputs!$B$43-((R941-1)*Skills!D15))))/Inputs!$B$43),IF(Inputs!$B$38="pvp",MIN((Skills!T15*(1+Inputs!$B$34/100)),15)/15,(Skills!T15*(1+Inputs!$B$34/100))/Skills!D15)))+((C938=TRUE)*F938)+((C955=TRUE)*(F955-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931)</f>
        <v/>
      </c>
      <c r="L931">
        <f>K931*(MIN(Inputs!$B$22+((C949=TRUE)*(F949-Calc!F23)),(Inputs!$B$23+((C954=TRUE)*(F954-Calc!F28))+(IF(ArtifactsInput!$M$15,CHOOSE(ArtifactsInput!$N$15+1,25,30,35,40,45,50)/100*(Inputs!$B$11-Inputs!$B$11),0))))/100+(Inputs!$B$23+((C954=TRUE)*(F954-Calc!F28))+(IF(ArtifactsInput!$M$15,CHOOSE(ArtifactsInput!$N$15+1,25,30,35,40,45,50)/100*(Inputs!$B$11-Inputs!$B$11),0)))/100)/2</f>
        <v/>
      </c>
      <c r="M931">
        <f>L931*(1+(Inputs!$B$10+0+B963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931">
        <f>L931*(1-MIN((Inputs!$B$9+((C945=TRUE)*(F945-Calc!F19))+B958+(ArtifactsInput!$M$24-ArtifactsInput!$M$24)*CHOOSE(ArtifactsInput!$N$24+1,10,12,14,16,18,20)+(IF(AND(ArtifactsInput!$M$42,((Inputs!$B$9+((C945=TRUE)*(F945-Calc!F19))+B958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931*(MIN((Inputs!$B$9+((C945=TRUE)*(F945-Calc!F19))+B958+(ArtifactsInput!$M$24-ArtifactsInput!$M$24)*CHOOSE(ArtifactsInput!$N$24+1,10,12,14,16,18,20)+(IF(AND(ArtifactsInput!$M$42,((Inputs!$B$9+((C945=TRUE)*(F945-Calc!F19))+B958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931">
        <f>(1-Summary!$B$11)*T931+Summary!$B$11*V931</f>
        <v/>
      </c>
      <c r="P931">
        <f>IF(B968=0,0,O931/B968)</f>
        <v/>
      </c>
      <c r="Q931">
        <f>IFERROR(1/IF(Inputs!$B$38="pvp",15,MAX(0.1,Skills!D5-IF(Skills!E5=TRUE,Inputs!$B$32,0))),0)</f>
        <v/>
      </c>
      <c r="R931">
        <f>IF(AND(Inputs!$B$38&lt;&gt;"pvp",Inputs!$B$43&gt;0),IF(MAX(0,Inputs!$B$43-B965)&lt;=0,0,(INT(MAX(0,Inputs!$B$43-B965)/IF(Inputs!$B$38="pvp",15,MAX(0.1,Skills!D5-IF(Skills!E5=TRUE,Inputs!$B$32,0))))+1)),0)</f>
        <v/>
      </c>
      <c r="S931">
        <f>IFERROR((H931*N931*IF(AND(Inputs!$B$38&lt;&gt;"pvp",Inputs!$B$43&gt;0),((Skills!G5*((R931-1)*IF(Skills!H5&gt;0,Skills!I5/Skills!H5,1)+IF(Skills!H5&gt;0,MIN(Skills!I5,MAX(0,MAX(0,Inputs!$B$43-B965)-((R931-1)*IF(Inputs!$B$38="pvp",15,MAX(0.1,Skills!D5-IF(Skills!E5=TRUE,Inputs!$B$32,0))))))/Skills!H5,1)))/Inputs!$B$43),G931*Q931))/N931*IF(Inputs!$B$38="pvp",1,(1-Summary!$B$11)*1+Summary!$B$11*(MIN(Skills!R5,Inputs!$B$37))),0)</f>
        <v/>
      </c>
      <c r="T931">
        <f>IF(C931,(H931*N931*IF(AND(Inputs!$B$38&lt;&gt;"pvp",Inputs!$B$43&gt;0),((Skills!G5*((R931-1)*IF(Skills!H5&gt;0,Skills!I5/Skills!H5,1)+IF(Skills!H5&gt;0,MIN(Skills!I5,MAX(0,MAX(0,Inputs!$B$43-B965)-((R931-1)*IF(Inputs!$B$38="pvp",15,MAX(0.1,Skills!D5-IF(Skills!E5=TRUE,Inputs!$B$32,0))))))/Skills!H5,1)))/Inputs!$B$43),G931*Q931))*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Hunt"),CHOOSE(ArtifactsInput!$N$35+1,15,18,21,24,27,30)*(1-EXP(-(0.2*B960)*5)),0)+IF(AND(ArtifactsInput!$M$22,Inputs!$B$4&lt;&gt;"Chapter Hunt"),CHOOSE(ArtifactsInput!$N$22+1,10,12,14,16,18,20)*((0*(((0.15*B960*5))^0/1)+1*(((0.15*B960*5))^1/1)+2*(((0.15*B960*5))^2/2)+3*(((0.15*B960*5))^3/6)+4*(((0.15*B960*5))^4/24)+5*(((0.15*B960*5))^5/120))/((((0.15*B960*5))^0/1)+(((0.15*B960*5))^1/1)+(((0.15*B960*5))^2/2)+(((0.15*B960*5))^3/6)+(((0.15*B960*5))^4/24)+(((0.15*B960*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931*(1-MIN(100,(Inputs!$B$9+((C945=TRUE)*(F945-Calc!F19))+B958+(ArtifactsInput!$M$24-ArtifactsInput!$M$24)*CHOOSE(ArtifactsInput!$N$24+1,10,12,14,16,18,20)+(IF(AND(ArtifactsInput!$M$42,((Inputs!$B$9+((C945=TRUE)*(F945-Calc!F19))+B958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931*(MIN(100,(Inputs!$B$9+((C945=TRUE)*(F945-Calc!F19))+B958+(ArtifactsInput!$M$24-ArtifactsInput!$M$24)*CHOOSE(ArtifactsInput!$N$24+1,10,12,14,16,18,20)+(IF(AND(ArtifactsInput!$M$42,((Inputs!$B$9+((C945=TRUE)*(F945-Calc!F19))+B958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931*(1-MIN(100,(Inputs!$B$9+((C945=TRUE)*(F945-Calc!F19))+B958+(ArtifactsInput!$M$24-ArtifactsInput!$M$24)*CHOOSE(ArtifactsInput!$N$24+1,10,12,14,16,18,20)+(IF(AND(ArtifactsInput!$M$42,((Inputs!$B$9+((C945=TRUE)*(F945-Calc!F19))+B958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931*(MIN(100,(Inputs!$B$9+((C945=TRUE)*(F945-Calc!F19))+B958+(ArtifactsInput!$M$24-ArtifactsInput!$M$24)*CHOOSE(ArtifactsInput!$N$24+1,10,12,14,16,18,20)+(IF(AND(ArtifactsInput!$M$42,((Inputs!$B$9+((C945=TRUE)*(F945-Calc!F19))+B958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931">
        <f>IF(C931,(H931*N931*IF(AND(Inputs!$B$38&lt;&gt;"pvp",Inputs!$B$43&gt;0),((Skills!G5*((R931-1)*IF(Skills!H5&gt;0,Skills!I5/Skills!H5,1)+IF(Skills!H5&gt;0,MIN(Skills!I5,MAX(0,MAX(0,Inputs!$B$43-B965)-((R931-1)*IF(Inputs!$B$38="pvp",15,MAX(0.1,Skills!D5-IF(Skills!E5=TRUE,Inputs!$B$32,0))))))/Skills!H5,1)))/Inputs!$B$43),G931*Q931))*IF(Inputs!$B$38="pvp",1,(1+(Inputs!$B$21+Skills!Q5+(IF(ArtifactsInput!$M$33,CHOOSE(ArtifactsInput!$N$33+1,30,36,42,48,54,60),0))+(IF(AND(ArtifactsInput!$M$35,Inputs!$B$4&lt;&gt;"Chapter Hunt"),CHOOSE(ArtifactsInput!$N$35+1,15,18,21,24,27,30)*(1-EXP(-(0.2*B960)*5)),0)+IF(AND(ArtifactsInput!$M$22,Inputs!$B$4&lt;&gt;"Chapter Hunt"),CHOOSE(ArtifactsInput!$N$22+1,10,12,14,16,18,20)*((0*(((0.15*B960*5))^0/1)+1*(((0.15*B960*5))^1/1)+2*(((0.15*B960*5))^2/2)+3*(((0.15*B960*5))^3/6)+4*(((0.15*B960*5))^4/24)+5*(((0.15*B960*5))^5/120))/((((0.15*B960*5))^0/1)+(((0.15*B960*5))^1/1)+(((0.15*B960*5))^2/2)+(((0.15*B960*5))^3/6)+(((0.15*B960*5))^4/24)+(((0.15*B960*5))^5/120)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932">
      <c r="A932">
        <f>Skills!A6</f>
        <v/>
      </c>
      <c r="B932">
        <f>Skills!B6</f>
        <v/>
      </c>
      <c r="C932">
        <f>Inputs!$B$3&gt;=63</f>
        <v/>
      </c>
      <c r="D932">
        <f>IF(Skills!C6=1,60+Inputs!$B$25+Inputs!$B$29,IF(Skills!C6=2,90+Inputs!$B$26+Inputs!$B$29,IF(Skills!C6=3,120+Inputs!$B$27+Inputs!$B$29,MAX(0,(Inputs!$B$3-100)*3)+(Inputs!$B$28+1)+Inputs!$B$29)))</f>
        <v/>
      </c>
      <c r="E932">
        <f>INDEX(FactorTable!$B$2:$Y$301, MATCH(ROUND(MIN(300,MAX(1,D932)),0), FactorTable!$A$2:$A$301,0), Skills!M6+1)</f>
        <v/>
      </c>
      <c r="F932">
        <f>IF(Skills!N6=TRUE,(Skills!L6/10)*(E932/1000),Skills!L6/10)+Skills!O6</f>
        <v/>
      </c>
      <c r="G932">
        <f>Skills!G6*IF(Skills!H6&gt;0,Skills!I6/Skills!H6,1)</f>
        <v/>
      </c>
      <c r="H932">
        <f>1-(1-Skills!J6/100)^Skills!K6</f>
        <v/>
      </c>
      <c r="I932" t="inlineStr">
        <is>
          <t>1</t>
        </is>
      </c>
      <c r="J932">
        <f>((Inputs!$B$6*(1+Inputs!$B$7/100))+(((Inputs!$B$12*(1+Inputs!$B$13/100))-(Inputs!$B$12*(1+Inputs!$B$13/100)))+0.25*(Inputs!$B$14-Inputs!$B$14))*(1+Inputs!$B$7/100))*(F932/100)</f>
        <v/>
      </c>
      <c r="K932">
        <f>J932*(1+((Inputs!$B$12*(1+Inputs!$B$13/100))*0.01+Inputs!$B$14*0.0025)/100)*(1+Inputs!$B$15/100)*(1+Inputs!$B$16/100)*(5000/(6000+Inputs!$B$42*(1-(100*(1-(1-(Inputs!$B$19+0)/100)*(1-CHOOSE(ArtifactsInput!$N$40+1,5,6,7,8,9,10)/100)^(ArtifactsInput!$M$40-ArtifactsInput!$M$40)))/100)))*(1+(Inputs!$B$24+((C950=TRUE)*(F950-Calc!F24))+((C951=TRUE)*(F951-Calc!F25))+B964)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934=TRUE,F934,0)/100)*(1+(IF(Skills!A6="EMPOWERED_PIERCING_ARROW",Inputs!$B$17+((C948=TRUE)*(F948-Calc!F22))+(((IF(AND(ArtifactsInput!$M$42,((Inputs!$B$9+((C945=TRUE)*(F945-Calc!F19))+B958+(ArtifactsInput!$M$24-ArtifactsInput!$M$24)*CHOOSE(ArtifactsInput!$N$24+1,10,12,14,16,18,20)+IF(ArtifactsInput!$M$10,CHOOSE(ArtifactsInput!$N$10+1,15,18,21,24,27,30)*(IF(Inputs!$B$38="pvp",MIN(15,15)/15,IF(AND(Inputs!$B$38&lt;&gt;"pvp",Inputs!$B$43&gt;0),MIN(15,Inputs!$B$43)/(Inputs!$B$43),0))),0)))&gt;=100),MIN(100,((Inputs!$B$9+((C945=TRUE)*(F945-Calc!F19))+B958+(ArtifactsInput!$M$24-ArtifactsInput!$M$24)*CHOOSE(ArtifactsInput!$N$24+1,10,12,14,16,18,20)+IF(ArtifactsInput!$M$10,CHOOSE(ArtifactsInput!$N$10+1,15,18,21,24,27,30)*(IF(Inputs!$B$38="pvp",MIN(15,15)/15,IF(AND(Inputs!$B$38&lt;&gt;"pvp",Inputs!$B$43&gt;0),MIN(15,Inputs!$B$43)/(Inputs!$B$43),0))),0)))-100),0))*CHOOSE(ArtifactsInput!$N$42+1,0.6,0.72,0.84,0.96,1.08,1.2))),Inputs!$B$18+((C953=TRUE)*(F953-Calc!F27))+(IF(AND(ArtifactsInput!$M$42,((Inputs!$B$9+((C945=TRUE)*(F945-Calc!F19))+B958+(ArtifactsInput!$M$24-ArtifactsInput!$M$24)*CHOOSE(ArtifactsInput!$N$24+1,10,12,14,16,18,20)+IF(ArtifactsInput!$M$10,CHOOSE(ArtifactsInput!$N$10+1,15,18,21,24,27,30)*(IF(Inputs!$B$38="pvp",MIN(15,15)/15,IF(AND(Inputs!$B$38&lt;&gt;"pvp",Inputs!$B$43&gt;0),MIN(15,Inputs!$B$43)/(Inputs!$B$43),0))),0)))&gt;=100),CHOOSE(ArtifactsInput!$N$42+1,40,48,56,64,72,80),0))))/100)*((1+(((C939=TRUE)*F939)+((C940=TRUE)*IF(Inputs!$B$38="pvp",F940,(1-Summary!$B$11)*(F940)+Summary!$B$11*(0)))+((C941=TRUE)*F941*IF(AND(Inputs!$B$38&lt;&gt;"pvp",Inputs!$B$43&gt;0),(((R941-1)*(Skills!T15*(1+Inputs!$B$34/100))+MIN((Skills!T15*(1+Inputs!$B$34/100)),MAX(0,Inputs!$B$43-((R941-1)*Skills!D15))))/Inputs!$B$43),IF(Inputs!$B$38="pvp",MIN((Skills!T15*(1+Inputs!$B$34/100)),15)/15,(Skills!T15*(1+Inputs!$B$34/100))/Skills!D15)))+((C938=TRUE)*F938)+((C955=TRUE)*(F955-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932)</f>
        <v/>
      </c>
      <c r="L932">
        <f>K932*(MIN(Inputs!$B$22+((C949=TRUE)*(F949-Calc!F23)),(Inputs!$B$23+((C954=TRUE)*(F954-Calc!F28))+(IF(ArtifactsInput!$M$15,CHOOSE(ArtifactsInput!$N$15+1,25,30,35,40,45,50)/100*(Inputs!$B$11-Inputs!$B$11),0))))/100+(Inputs!$B$23+((C954=TRUE)*(F954-Calc!F28))+(IF(ArtifactsInput!$M$15,CHOOSE(ArtifactsInput!$N$15+1,25,30,35,40,45,50)/100*(Inputs!$B$11-Inputs!$B$11),0)))/100)/2</f>
        <v/>
      </c>
      <c r="M932">
        <f>L932*(1+(Inputs!$B$10+0+B963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932">
        <f>L932*(1-MIN((Inputs!$B$9+((C945=TRUE)*(F945-Calc!F19))+B958+(ArtifactsInput!$M$24-ArtifactsInput!$M$24)*CHOOSE(ArtifactsInput!$N$24+1,10,12,14,16,18,20)+(IF(AND(ArtifactsInput!$M$42,((Inputs!$B$9+((C945=TRUE)*(F945-Calc!F19))+B958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932*(MIN((Inputs!$B$9+((C945=TRUE)*(F945-Calc!F19))+B958+(ArtifactsInput!$M$24-ArtifactsInput!$M$24)*CHOOSE(ArtifactsInput!$N$24+1,10,12,14,16,18,20)+(IF(AND(ArtifactsInput!$M$42,((Inputs!$B$9+((C945=TRUE)*(F945-Calc!F19))+B958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932">
        <f>(1-Summary!$B$11)*T932+Summary!$B$11*V932</f>
        <v/>
      </c>
      <c r="P932">
        <f>IF(B968=0,0,O932/B968)</f>
        <v/>
      </c>
      <c r="Q932">
        <f>IFERROR(1/IF(Inputs!$B$38="pvp",15,MAX(0.1,Skills!D6-IF(Skills!E6=TRUE,Inputs!$B$32,0))),0)</f>
        <v/>
      </c>
      <c r="R932">
        <f>IF(AND(Inputs!$B$38&lt;&gt;"pvp",Inputs!$B$43&gt;0),IF(MAX(0,Inputs!$B$43-B965)&lt;=0,0,(INT(MAX(0,Inputs!$B$43-B965)/IF(Inputs!$B$38="pvp",15,MAX(0.1,Skills!D6-IF(Skills!E6=TRUE,Inputs!$B$32,0))))+1)),0)</f>
        <v/>
      </c>
      <c r="S932">
        <f>IFERROR((H932*N932*IF(AND(Inputs!$B$38&lt;&gt;"pvp",Inputs!$B$43&gt;0),((Skills!G6*((R932-1)*IF(Skills!H6&gt;0,Skills!I6/Skills!H6,1)+IF(Skills!H6&gt;0,MIN(Skills!I6,MAX(0,MAX(0,Inputs!$B$43-B965)-((R932-1)*IF(Inputs!$B$38="pvp",15,MAX(0.1,Skills!D6-IF(Skills!E6=TRUE,Inputs!$B$32,0))))))/Skills!H6,1)))/Inputs!$B$43),G932*Q932))/N932*IF(Inputs!$B$38="pvp",1,(1-Summary!$B$11)*1+Summary!$B$11*(MIN(Skills!R6,Inputs!$B$37))),0)</f>
        <v/>
      </c>
      <c r="T932">
        <f>IF(C932,(H932*N932*IF(AND(Inputs!$B$38&lt;&gt;"pvp",Inputs!$B$43&gt;0),((Skills!G6*((R932-1)*IF(Skills!H6&gt;0,Skills!I6/Skills!H6,1)+IF(Skills!H6&gt;0,MIN(Skills!I6,MAX(0,MAX(0,Inputs!$B$43-B965)-((R932-1)*IF(Inputs!$B$38="pvp",15,MAX(0.1,Skills!D6-IF(Skills!E6=TRUE,Inputs!$B$32,0))))))/Skills!H6,1)))/Inputs!$B$43),G932*Q932))*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Hunt"),CHOOSE(ArtifactsInput!$N$35+1,15,18,21,24,27,30)*(1-EXP(-(0.2*B960)*5)),0)+IF(AND(ArtifactsInput!$M$22,Inputs!$B$4&lt;&gt;"Chapter Hunt"),CHOOSE(ArtifactsInput!$N$22+1,10,12,14,16,18,20)*((0*(((0.15*B960*5))^0/1)+1*(((0.15*B960*5))^1/1)+2*(((0.15*B960*5))^2/2)+3*(((0.15*B960*5))^3/6)+4*(((0.15*B960*5))^4/24)+5*(((0.15*B960*5))^5/120))/((((0.15*B960*5))^0/1)+(((0.15*B960*5))^1/1)+(((0.15*B960*5))^2/2)+(((0.15*B960*5))^3/6)+(((0.15*B960*5))^4/24)+(((0.15*B960*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932*(1-MIN(100,(Inputs!$B$9+((C945=TRUE)*(F945-Calc!F19))+B958+(ArtifactsInput!$M$24-ArtifactsInput!$M$24)*CHOOSE(ArtifactsInput!$N$24+1,10,12,14,16,18,20)+(IF(AND(ArtifactsInput!$M$42,((Inputs!$B$9+((C945=TRUE)*(F945-Calc!F19))+B958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932*(MIN(100,(Inputs!$B$9+((C945=TRUE)*(F945-Calc!F19))+B958+(ArtifactsInput!$M$24-ArtifactsInput!$M$24)*CHOOSE(ArtifactsInput!$N$24+1,10,12,14,16,18,20)+(IF(AND(ArtifactsInput!$M$42,((Inputs!$B$9+((C945=TRUE)*(F945-Calc!F19))+B958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932*(1-MIN(100,(Inputs!$B$9+((C945=TRUE)*(F945-Calc!F19))+B958+(ArtifactsInput!$M$24-ArtifactsInput!$M$24)*CHOOSE(ArtifactsInput!$N$24+1,10,12,14,16,18,20)+(IF(AND(ArtifactsInput!$M$42,((Inputs!$B$9+((C945=TRUE)*(F945-Calc!F19))+B958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932*(MIN(100,(Inputs!$B$9+((C945=TRUE)*(F945-Calc!F19))+B958+(ArtifactsInput!$M$24-ArtifactsInput!$M$24)*CHOOSE(ArtifactsInput!$N$24+1,10,12,14,16,18,20)+(IF(AND(ArtifactsInput!$M$42,((Inputs!$B$9+((C945=TRUE)*(F945-Calc!F19))+B958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932">
        <f>IF(C932,(H932*N932*IF(AND(Inputs!$B$38&lt;&gt;"pvp",Inputs!$B$43&gt;0),((Skills!G6*((R932-1)*IF(Skills!H6&gt;0,Skills!I6/Skills!H6,1)+IF(Skills!H6&gt;0,MIN(Skills!I6,MAX(0,MAX(0,Inputs!$B$43-B965)-((R932-1)*IF(Inputs!$B$38="pvp",15,MAX(0.1,Skills!D6-IF(Skills!E6=TRUE,Inputs!$B$32,0))))))/Skills!H6,1)))/Inputs!$B$43),G932*Q932))*IF(Inputs!$B$38="pvp",1,(1+(Inputs!$B$21+Skills!Q6+(IF(ArtifactsInput!$M$33,CHOOSE(ArtifactsInput!$N$33+1,30,36,42,48,54,60),0))+(IF(AND(ArtifactsInput!$M$35,Inputs!$B$4&lt;&gt;"Chapter Hunt"),CHOOSE(ArtifactsInput!$N$35+1,15,18,21,24,27,30)*(1-EXP(-(0.2*B960)*5)),0)+IF(AND(ArtifactsInput!$M$22,Inputs!$B$4&lt;&gt;"Chapter Hunt"),CHOOSE(ArtifactsInput!$N$22+1,10,12,14,16,18,20)*((0*(((0.15*B960*5))^0/1)+1*(((0.15*B960*5))^1/1)+2*(((0.15*B960*5))^2/2)+3*(((0.15*B960*5))^3/6)+4*(((0.15*B960*5))^4/24)+5*(((0.15*B960*5))^5/120))/((((0.15*B960*5))^0/1)+(((0.15*B960*5))^1/1)+(((0.15*B960*5))^2/2)+(((0.15*B960*5))^3/6)+(((0.15*B960*5))^4/24)+(((0.15*B960*5))^5/120))),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933">
      <c r="A933">
        <f>Skills!A7</f>
        <v/>
      </c>
      <c r="B933">
        <f>Skills!B7</f>
        <v/>
      </c>
      <c r="C933">
        <f>Inputs!$B$3&gt;=69</f>
        <v/>
      </c>
      <c r="D933">
        <f>IF(Skills!C7=1,60+Inputs!$B$25+Inputs!$B$29,IF(Skills!C7=2,90+Inputs!$B$26+Inputs!$B$29,IF(Skills!C7=3,120+Inputs!$B$27+Inputs!$B$29,MAX(0,(Inputs!$B$3-100)*3)+(Inputs!$B$28+1)+Inputs!$B$29)))</f>
        <v/>
      </c>
      <c r="E933">
        <f>INDEX(FactorTable!$B$2:$Y$301, MATCH(ROUND(MIN(300,MAX(1,D933)),0), FactorTable!$A$2:$A$301,0), Skills!M7+1)</f>
        <v/>
      </c>
      <c r="F933">
        <f>IF(Skills!N7=TRUE,(Skills!L7/10)*(E933/1000),Skills!L7/10)+Skills!O7</f>
        <v/>
      </c>
      <c r="G933">
        <f>Skills!G7*IF(Skills!H7&gt;0,Skills!I7/Skills!H7,1)</f>
        <v/>
      </c>
      <c r="H933">
        <f>1-(1-Skills!J7/100)^Skills!K7</f>
        <v/>
      </c>
      <c r="I933" t="inlineStr">
        <is>
          <t>1</t>
        </is>
      </c>
      <c r="J933">
        <f>((Inputs!$B$6*(1+Inputs!$B$7/100))+(((Inputs!$B$12*(1+Inputs!$B$13/100))-(Inputs!$B$12*(1+Inputs!$B$13/100)))+0.25*(Inputs!$B$14-Inputs!$B$14))*(1+Inputs!$B$7/100))*(F933/100)</f>
        <v/>
      </c>
      <c r="K933">
        <f>J933*(1+((Inputs!$B$12*(1+Inputs!$B$13/100))*0.01+Inputs!$B$14*0.0025)/100)*(1+Inputs!$B$15/100)*(1+Inputs!$B$16/100)*(5000/(6000+Inputs!$B$42*(1-(100*(1-(1-(Inputs!$B$19+0)/100)*(1-CHOOSE(ArtifactsInput!$N$40+1,5,6,7,8,9,10)/100)^(ArtifactsInput!$M$40-ArtifactsInput!$M$40)))/100)))*(1+(Inputs!$B$24+((C950=TRUE)*(F950-Calc!F24))+((C951=TRUE)*(F951-Calc!F25))+B964)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+1.2*IF(C934=TRUE,F934,0)/100)*(1+(IF(Skills!A7="EMPOWERED_PIERCING_ARROW",Inputs!$B$17+((C948=TRUE)*(F948-Calc!F22))+(((IF(AND(ArtifactsInput!$M$42,((Inputs!$B$9+((C945=TRUE)*(F945-Calc!F19))+B958+(ArtifactsInput!$M$24-ArtifactsInput!$M$24)*CHOOSE(ArtifactsInput!$N$24+1,10,12,14,16,18,20)+IF(ArtifactsInput!$M$10,CHOOSE(ArtifactsInput!$N$10+1,15,18,21,24,27,30)*(IF(Inputs!$B$38="pvp",MIN(15,15)/15,IF(AND(Inputs!$B$38&lt;&gt;"pvp",Inputs!$B$43&gt;0),MIN(15,Inputs!$B$43)/(Inputs!$B$43),0))),0)))&gt;=100),MIN(100,((Inputs!$B$9+((C945=TRUE)*(F945-Calc!F19))+B958+(ArtifactsInput!$M$24-ArtifactsInput!$M$24)*CHOOSE(ArtifactsInput!$N$24+1,10,12,14,16,18,20)+IF(ArtifactsInput!$M$10,CHOOSE(ArtifactsInput!$N$10+1,15,18,21,24,27,30)*(IF(Inputs!$B$38="pvp",MIN(15,15)/15,IF(AND(Inputs!$B$38&lt;&gt;"pvp",Inputs!$B$43&gt;0),MIN(15,Inputs!$B$43)/(Inputs!$B$43),0))),0)))-100),0))*CHOOSE(ArtifactsInput!$N$42+1,0.6,0.72,0.84,0.96,1.08,1.2))),Inputs!$B$18+((C953=TRUE)*(F953-Calc!F27))+(IF(AND(ArtifactsInput!$M$42,((Inputs!$B$9+((C945=TRUE)*(F945-Calc!F19))+B958+(ArtifactsInput!$M$24-ArtifactsInput!$M$24)*CHOOSE(ArtifactsInput!$N$24+1,10,12,14,16,18,20)+IF(ArtifactsInput!$M$10,CHOOSE(ArtifactsInput!$N$10+1,15,18,21,24,27,30)*(IF(Inputs!$B$38="pvp",MIN(15,15)/15,IF(AND(Inputs!$B$38&lt;&gt;"pvp",Inputs!$B$43&gt;0),MIN(15,Inputs!$B$43)/(Inputs!$B$43),0))),0)))&gt;=100),CHOOSE(ArtifactsInput!$N$42+1,40,48,56,64,72,80),0))))/100)*((1+(((C939=TRUE)*F939)+((C940=TRUE)*IF(Inputs!$B$38="pvp",F940,(1-Summary!$B$11)*(F940)+Summary!$B$11*(0)))+((C941=TRUE)*F941*IF(AND(Inputs!$B$38&lt;&gt;"pvp",Inputs!$B$43&gt;0),(((R941-1)*(Skills!T15*(1+Inputs!$B$34/100))+MIN((Skills!T15*(1+Inputs!$B$34/100)),MAX(0,Inputs!$B$43-((R941-1)*Skills!D15))))/Inputs!$B$43),IF(Inputs!$B$38="pvp",MIN((Skills!T15*(1+Inputs!$B$34/100)),15)/15,(Skills!T15*(1+Inputs!$B$34/100))/Skills!D15)))+((C938=TRUE)*F938)+((C955=TRUE)*(F955-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933)</f>
        <v/>
      </c>
      <c r="L933">
        <f>K933*(MIN(Inputs!$B$22+((C949=TRUE)*(F949-Calc!F23)),(Inputs!$B$23+((C954=TRUE)*(F954-Calc!F28))+(IF(ArtifactsInput!$M$15,CHOOSE(ArtifactsInput!$N$15+1,25,30,35,40,45,50)/100*(Inputs!$B$11-Inputs!$B$11),0))))/100+(Inputs!$B$23+((C954=TRUE)*(F954-Calc!F28))+(IF(ArtifactsInput!$M$15,CHOOSE(ArtifactsInput!$N$15+1,25,30,35,40,45,50)/100*(Inputs!$B$11-Inputs!$B$11),0)))/100)/2</f>
        <v/>
      </c>
      <c r="M933">
        <f>L933*(1+(Inputs!$B$10+0+B963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933">
        <f>L933*(1-MIN((Inputs!$B$9+((C945=TRUE)*(F945-Calc!F19))+B958+(ArtifactsInput!$M$24-ArtifactsInput!$M$24)*CHOOSE(ArtifactsInput!$N$24+1,10,12,14,16,18,20)+(IF(AND(ArtifactsInput!$M$42,((Inputs!$B$9+((C945=TRUE)*(F945-Calc!F19))+B958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933*(MIN((Inputs!$B$9+((C945=TRUE)*(F945-Calc!F19))+B958+(ArtifactsInput!$M$24-ArtifactsInput!$M$24)*CHOOSE(ArtifactsInput!$N$24+1,10,12,14,16,18,20)+(IF(AND(ArtifactsInput!$M$42,((Inputs!$B$9+((C945=TRUE)*(F945-Calc!F19))+B958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933">
        <f>(1-Summary!$B$11)*T933+Summary!$B$11*V933</f>
        <v/>
      </c>
      <c r="P933">
        <f>IF(B968=0,0,O933/B968)</f>
        <v/>
      </c>
      <c r="Q933">
        <f>IFERROR(1/IF(Inputs!$B$38="pvp",15,MAX(0.1,Skills!D7-IF(Skills!E7=TRUE,Inputs!$B$32,0))),0)</f>
        <v/>
      </c>
      <c r="R933">
        <f>IF(AND(Inputs!$B$38&lt;&gt;"pvp",Inputs!$B$43&gt;0),IF(MAX(0,Inputs!$B$43-B965)&lt;=0,0,(INT(MAX(0,Inputs!$B$43-B965)/IF(Inputs!$B$38="pvp",15,MAX(0.1,Skills!D7-IF(Skills!E7=TRUE,Inputs!$B$32,0))))+1)),0)</f>
        <v/>
      </c>
      <c r="S933">
        <f>IFERROR((H933*N933*IF(AND(Inputs!$B$38&lt;&gt;"pvp",Inputs!$B$43&gt;0),((Skills!G7*((R933-1)*IF(Skills!H7&gt;0,Skills!I7/Skills!H7,1)+IF(Skills!H7&gt;0,MIN(Skills!I7,MAX(0,MAX(0,Inputs!$B$43-B965)-((R933-1)*IF(Inputs!$B$38="pvp",15,MAX(0.1,Skills!D7-IF(Skills!E7=TRUE,Inputs!$B$32,0))))))/Skills!H7,1)))/Inputs!$B$43),G933*Q933))/N933*IF(Inputs!$B$38="pvp",1,(1-Summary!$B$11)*1+Summary!$B$11*(MIN(Skills!R7,Inputs!$B$37))),0)</f>
        <v/>
      </c>
      <c r="T933">
        <f>IF(C933,(H933*N933*IF(AND(Inputs!$B$38&lt;&gt;"pvp",Inputs!$B$43&gt;0),((Skills!G7*((R933-1)*IF(Skills!H7&gt;0,Skills!I7/Skills!H7,1)+IF(Skills!H7&gt;0,MIN(Skills!I7,MAX(0,MAX(0,Inputs!$B$43-B965)-((R933-1)*IF(Inputs!$B$38="pvp",15,MAX(0.1,Skills!D7-IF(Skills!E7=TRUE,Inputs!$B$32,0))))))/Skills!H7,1)))/Inputs!$B$43),G933*Q933))*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Hunt"),CHOOSE(ArtifactsInput!$N$35+1,15,18,21,24,27,30)*(1-EXP(-(0.2*B960)*5)),0)+IF(AND(ArtifactsInput!$M$22,Inputs!$B$4&lt;&gt;"Chapter Hunt"),CHOOSE(ArtifactsInput!$N$22+1,10,12,14,16,18,20)*((0*(((0.15*B960*5))^0/1)+1*(((0.15*B960*5))^1/1)+2*(((0.15*B960*5))^2/2)+3*(((0.15*B960*5))^3/6)+4*(((0.15*B960*5))^4/24)+5*(((0.15*B960*5))^5/120))/((((0.15*B960*5))^0/1)+(((0.15*B960*5))^1/1)+(((0.15*B960*5))^2/2)+(((0.15*B960*5))^3/6)+(((0.15*B960*5))^4/24)+(((0.15*B960*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933*(1-MIN(100,(Inputs!$B$9+((C945=TRUE)*(F945-Calc!F19))+B958+(ArtifactsInput!$M$24-ArtifactsInput!$M$24)*CHOOSE(ArtifactsInput!$N$24+1,10,12,14,16,18,20)+(IF(AND(ArtifactsInput!$M$42,((Inputs!$B$9+((C945=TRUE)*(F945-Calc!F19))+B958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933*(MIN(100,(Inputs!$B$9+((C945=TRUE)*(F945-Calc!F19))+B958+(ArtifactsInput!$M$24-ArtifactsInput!$M$24)*CHOOSE(ArtifactsInput!$N$24+1,10,12,14,16,18,20)+(IF(AND(ArtifactsInput!$M$42,((Inputs!$B$9+((C945=TRUE)*(F945-Calc!F19))+B958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933*(1-MIN(100,(Inputs!$B$9+((C945=TRUE)*(F945-Calc!F19))+B958+(ArtifactsInput!$M$24-ArtifactsInput!$M$24)*CHOOSE(ArtifactsInput!$N$24+1,10,12,14,16,18,20)+(IF(AND(ArtifactsInput!$M$42,((Inputs!$B$9+((C945=TRUE)*(F945-Calc!F19))+B958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933*(MIN(100,(Inputs!$B$9+((C945=TRUE)*(F945-Calc!F19))+B958+(ArtifactsInput!$M$24-ArtifactsInput!$M$24)*CHOOSE(ArtifactsInput!$N$24+1,10,12,14,16,18,20)+(IF(AND(ArtifactsInput!$M$42,((Inputs!$B$9+((C945=TRUE)*(F945-Calc!F19))+B958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933">
        <f>IF(C933,(H933*N933*IF(AND(Inputs!$B$38&lt;&gt;"pvp",Inputs!$B$43&gt;0),((Skills!G7*((R933-1)*IF(Skills!H7&gt;0,Skills!I7/Skills!H7,1)+IF(Skills!H7&gt;0,MIN(Skills!I7,MAX(0,MAX(0,Inputs!$B$43-B965)-((R933-1)*IF(Inputs!$B$38="pvp",15,MAX(0.1,Skills!D7-IF(Skills!E7=TRUE,Inputs!$B$32,0))))))/Skills!H7,1)))/Inputs!$B$43),G933*Q933))*IF(Inputs!$B$38="pvp",1,(1+(Inputs!$B$21+Skills!Q7+(IF(ArtifactsInput!$M$33,CHOOSE(ArtifactsInput!$N$33+1,30,36,42,48,54,60),0))+(IF(AND(ArtifactsInput!$M$35,Inputs!$B$4&lt;&gt;"Chapter Hunt"),CHOOSE(ArtifactsInput!$N$35+1,15,18,21,24,27,30)*(1-EXP(-(0.2*B960)*5)),0)+IF(AND(ArtifactsInput!$M$22,Inputs!$B$4&lt;&gt;"Chapter Hunt"),CHOOSE(ArtifactsInput!$N$22+1,10,12,14,16,18,20)*((0*(((0.15*B960*5))^0/1)+1*(((0.15*B960*5))^1/1)+2*(((0.15*B960*5))^2/2)+3*(((0.15*B960*5))^3/6)+4*(((0.15*B960*5))^4/24)+5*(((0.15*B960*5))^5/120))/((((0.15*B960*5))^0/1)+(((0.15*B960*5))^1/1)+(((0.15*B960*5))^2/2)+(((0.15*B960*5))^3/6)+(((0.15*B960*5))^4/24)+(((0.15*B960*5))^5/120))),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934">
      <c r="A934">
        <f>Skills!A8</f>
        <v/>
      </c>
      <c r="B934">
        <f>Skills!B8</f>
        <v/>
      </c>
      <c r="C934">
        <f>Inputs!$B$3&gt;=100</f>
        <v/>
      </c>
      <c r="D934">
        <f>IF(Skills!C8=1,60+Inputs!$B$25+Inputs!$B$29,IF(Skills!C8=2,90+Inputs!$B$26+Inputs!$B$29,IF(Skills!C8=3,120+Inputs!$B$27+Inputs!$B$29,MAX(0,(Inputs!$B$3-100)*3)+(Inputs!$B$28+1)+Inputs!$B$29)))</f>
        <v/>
      </c>
      <c r="E934">
        <f>INDEX(FactorTable!$B$2:$Y$301, MATCH(ROUND(MIN(300,MAX(1,D934)),0), FactorTable!$A$2:$A$301,0), Skills!M8+1)</f>
        <v/>
      </c>
      <c r="F934">
        <f>IF(Skills!N8=TRUE,(Skills!L8/10)*(E934/1000),Skills!L8/10)+Skills!O8</f>
        <v/>
      </c>
      <c r="G934" t="inlineStr"/>
      <c r="H934" t="inlineStr"/>
      <c r="I934" t="inlineStr">
        <is>
          <t>1</t>
        </is>
      </c>
      <c r="J934" t="inlineStr"/>
      <c r="K934" t="inlineStr"/>
      <c r="L934" t="inlineStr"/>
      <c r="M934" t="inlineStr"/>
      <c r="N934" t="inlineStr"/>
      <c r="O934" t="inlineStr"/>
      <c r="P934" t="inlineStr"/>
      <c r="Q934" t="inlineStr"/>
      <c r="R934" t="inlineStr"/>
      <c r="S934" t="inlineStr"/>
      <c r="T934" t="inlineStr"/>
      <c r="V934" t="inlineStr"/>
    </row>
    <row r="935">
      <c r="A935">
        <f>Skills!A9</f>
        <v/>
      </c>
      <c r="B935">
        <f>Skills!B9</f>
        <v/>
      </c>
      <c r="C935">
        <f>Inputs!$B$3&gt;=103</f>
        <v/>
      </c>
      <c r="D935">
        <f>IF(Skills!C9=1,60+Inputs!$B$25+Inputs!$B$29,IF(Skills!C9=2,90+Inputs!$B$26+Inputs!$B$29,IF(Skills!C9=3,120+Inputs!$B$27+Inputs!$B$29,MAX(0,(Inputs!$B$3-100)*3)+(Inputs!$B$28+1)+Inputs!$B$29)))</f>
        <v/>
      </c>
      <c r="E935">
        <f>INDEX(FactorTable!$B$2:$Y$301, MATCH(ROUND(MIN(300,MAX(1,D935)),0), FactorTable!$A$2:$A$301,0), Skills!M9+1)</f>
        <v/>
      </c>
      <c r="F935">
        <f>IF(Skills!N9=TRUE,(Skills!L9/10)*(E935/1000),Skills!L9/10)+Skills!O9</f>
        <v/>
      </c>
      <c r="G935">
        <f>Skills!G9*IF(Skills!H9&gt;0,Skills!I9/Skills!H9,1)</f>
        <v/>
      </c>
      <c r="H935">
        <f>1-(1-Skills!J9/100)^Skills!K9</f>
        <v/>
      </c>
      <c r="I935" t="inlineStr">
        <is>
          <t>1</t>
        </is>
      </c>
      <c r="J935">
        <f>((Inputs!$B$6*(1+Inputs!$B$7/100))+(((Inputs!$B$12*(1+Inputs!$B$13/100))-(Inputs!$B$12*(1+Inputs!$B$13/100)))+0.25*(Inputs!$B$14-Inputs!$B$14))*(1+Inputs!$B$7/100))*(F935/100)</f>
        <v/>
      </c>
      <c r="K935">
        <f>J935*(1+((Inputs!$B$12*(1+Inputs!$B$13/100))*0.01+Inputs!$B$14*0.0025)/100)*(1+Inputs!$B$15/100)*(1+Inputs!$B$16/100)*(5000/(6000+Inputs!$B$42*(1-(100*(1-(1-(Inputs!$B$19+0)/100)*(1-CHOOSE(ArtifactsInput!$N$40+1,5,6,7,8,9,10)/100)^(ArtifactsInput!$M$40-ArtifactsInput!$M$40)))/100)))*(1+(Inputs!$B$24+((C950=TRUE)*(F950-Calc!F24))+((C951=TRUE)*(F951-Calc!F25))+B964)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EMPOWERED_PIERCING_ARROW",Inputs!$B$17+((C948=TRUE)*(F948-Calc!F22))+(((IF(AND(ArtifactsInput!$M$42,((Inputs!$B$9+((C945=TRUE)*(F945-Calc!F19))+B958+(ArtifactsInput!$M$24-ArtifactsInput!$M$24)*CHOOSE(ArtifactsInput!$N$24+1,10,12,14,16,18,20)+IF(ArtifactsInput!$M$10,CHOOSE(ArtifactsInput!$N$10+1,15,18,21,24,27,30)*(IF(Inputs!$B$38="pvp",MIN(15,15)/15,IF(AND(Inputs!$B$38&lt;&gt;"pvp",Inputs!$B$43&gt;0),MIN(15,Inputs!$B$43)/(Inputs!$B$43),0))),0)))&gt;=100),MIN(100,((Inputs!$B$9+((C945=TRUE)*(F945-Calc!F19))+B958+(ArtifactsInput!$M$24-ArtifactsInput!$M$24)*CHOOSE(ArtifactsInput!$N$24+1,10,12,14,16,18,20)+IF(ArtifactsInput!$M$10,CHOOSE(ArtifactsInput!$N$10+1,15,18,21,24,27,30)*(IF(Inputs!$B$38="pvp",MIN(15,15)/15,IF(AND(Inputs!$B$38&lt;&gt;"pvp",Inputs!$B$43&gt;0),MIN(15,Inputs!$B$43)/(Inputs!$B$43),0))),0)))-100),0))*CHOOSE(ArtifactsInput!$N$42+1,0.6,0.72,0.84,0.96,1.08,1.2))),Inputs!$B$18+((C953=TRUE)*(F953-Calc!F27))+(IF(AND(ArtifactsInput!$M$42,((Inputs!$B$9+((C945=TRUE)*(F945-Calc!F19))+B958+(ArtifactsInput!$M$24-ArtifactsInput!$M$24)*CHOOSE(ArtifactsInput!$N$24+1,10,12,14,16,18,20)+IF(ArtifactsInput!$M$10,CHOOSE(ArtifactsInput!$N$10+1,15,18,21,24,27,30)*(IF(Inputs!$B$38="pvp",MIN(15,15)/15,IF(AND(Inputs!$B$38&lt;&gt;"pvp",Inputs!$B$43&gt;0),MIN(15,Inputs!$B$43)/(Inputs!$B$43),0))),0)))&gt;=100),CHOOSE(ArtifactsInput!$N$42+1,40,48,56,64,72,80),0))))/100)*((1+(((C939=TRUE)*F939)+((C940=TRUE)*IF(Inputs!$B$38="pvp",F940,(1-Summary!$B$11)*(F940)+Summary!$B$11*(0)))+((C941=TRUE)*F941*IF(AND(Inputs!$B$38&lt;&gt;"pvp",Inputs!$B$43&gt;0),(((R941-1)*(Skills!T15*(1+Inputs!$B$34/100))+MIN((Skills!T15*(1+Inputs!$B$34/100)),MAX(0,Inputs!$B$43-((R941-1)*Skills!D15))))/Inputs!$B$43),IF(Inputs!$B$38="pvp",MIN((Skills!T15*(1+Inputs!$B$34/100)),15)/15,(Skills!T15*(1+Inputs!$B$34/100))/Skills!D15)))+((C938=TRUE)*F938)+((C955=TRUE)*(F955-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935)</f>
        <v/>
      </c>
      <c r="L935">
        <f>K935*(MIN(Inputs!$B$22+((C949=TRUE)*(F949-Calc!F23)),(Inputs!$B$23+((C954=TRUE)*(F954-Calc!F28))+(IF(ArtifactsInput!$M$15,CHOOSE(ArtifactsInput!$N$15+1,25,30,35,40,45,50)/100*(Inputs!$B$11-Inputs!$B$11),0))))/100+(Inputs!$B$23+((C954=TRUE)*(F954-Calc!F28))+(IF(ArtifactsInput!$M$15,CHOOSE(ArtifactsInput!$N$15+1,25,30,35,40,45,50)/100*(Inputs!$B$11-Inputs!$B$11),0)))/100)/2</f>
        <v/>
      </c>
      <c r="M935">
        <f>L935*(1+(Inputs!$B$10+0+B963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935">
        <f>L935*(1-MIN((Inputs!$B$9+((C945=TRUE)*(F945-Calc!F19))+B958+(ArtifactsInput!$M$24-ArtifactsInput!$M$24)*CHOOSE(ArtifactsInput!$N$24+1,10,12,14,16,18,20)+(IF(AND(ArtifactsInput!$M$42,((Inputs!$B$9+((C945=TRUE)*(F945-Calc!F19))+B958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935*(MIN((Inputs!$B$9+((C945=TRUE)*(F945-Calc!F19))+B958+(ArtifactsInput!$M$24-ArtifactsInput!$M$24)*CHOOSE(ArtifactsInput!$N$24+1,10,12,14,16,18,20)+(IF(AND(ArtifactsInput!$M$42,((Inputs!$B$9+((C945=TRUE)*(F945-Calc!F19))+B958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935">
        <f>(1-Summary!$B$11)*T935+Summary!$B$11*V935</f>
        <v/>
      </c>
      <c r="P935">
        <f>IF(B968=0,0,O935/B968)</f>
        <v/>
      </c>
      <c r="Q935">
        <f>IFERROR(1/IF(Inputs!$B$38="pvp",15,MAX(0.1,Skills!D9-IF(Skills!E9=TRUE,Inputs!$B$32,0))),0)</f>
        <v/>
      </c>
      <c r="R935">
        <f>IF(AND(Inputs!$B$38&lt;&gt;"pvp",Inputs!$B$43&gt;0),IF(MAX(0,Inputs!$B$43-B965)&lt;=0,0,(INT(MAX(0,Inputs!$B$43-B965)/IF(Inputs!$B$38="pvp",15,MAX(0.1,Skills!D9-IF(Skills!E9=TRUE,Inputs!$B$32,0))))+1)),0)</f>
        <v/>
      </c>
      <c r="S935">
        <f>IFERROR((H935*N935*IF(AND(Inputs!$B$38&lt;&gt;"pvp",Inputs!$B$43&gt;0),((Skills!G9*((R935-1)*IF(Skills!H9&gt;0,Skills!I9/Skills!H9,1)+IF(Skills!H9&gt;0,MIN(Skills!I9,MAX(0,MAX(0,Inputs!$B$43-B965)-((R935-1)*IF(Inputs!$B$38="pvp",15,MAX(0.1,Skills!D9-IF(Skills!E9=TRUE,Inputs!$B$32,0))))))/Skills!H9,1)))/Inputs!$B$43),G935*Q935))/N935*IF(Inputs!$B$38="pvp",1,(1-Summary!$B$11)*1+Summary!$B$11*(MIN(Skills!R9,Inputs!$B$37))),0)</f>
        <v/>
      </c>
      <c r="T935">
        <f>IF(C935,(H935*N935*IF(AND(Inputs!$B$38&lt;&gt;"pvp",Inputs!$B$43&gt;0),((Skills!G9*((R935-1)*IF(Skills!H9&gt;0,Skills!I9/Skills!H9,1)+IF(Skills!H9&gt;0,MIN(Skills!I9,MAX(0,MAX(0,Inputs!$B$43-B965)-((R935-1)*IF(Inputs!$B$38="pvp",15,MAX(0.1,Skills!D9-IF(Skills!E9=TRUE,Inputs!$B$32,0))))))/Skills!H9,1)))/Inputs!$B$43),G935*Q935))*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Hunt"),CHOOSE(ArtifactsInput!$N$35+1,15,18,21,24,27,30)*(1-EXP(-(0.2*B960)*5)),0)+IF(AND(ArtifactsInput!$M$22,Inputs!$B$4&lt;&gt;"Chapter Hunt"),CHOOSE(ArtifactsInput!$N$22+1,10,12,14,16,18,20)*((0*(((0.15*B960*5))^0/1)+1*(((0.15*B960*5))^1/1)+2*(((0.15*B960*5))^2/2)+3*(((0.15*B960*5))^3/6)+4*(((0.15*B960*5))^4/24)+5*(((0.15*B960*5))^5/120))/((((0.15*B960*5))^0/1)+(((0.15*B960*5))^1/1)+(((0.15*B960*5))^2/2)+(((0.15*B960*5))^3/6)+(((0.15*B960*5))^4/24)+(((0.15*B960*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935*(1-MIN(100,(Inputs!$B$9+((C945=TRUE)*(F945-Calc!F19))+B958+(ArtifactsInput!$M$24-ArtifactsInput!$M$24)*CHOOSE(ArtifactsInput!$N$24+1,10,12,14,16,18,20)+(IF(AND(ArtifactsInput!$M$42,((Inputs!$B$9+((C945=TRUE)*(F945-Calc!F19))+B958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935*(MIN(100,(Inputs!$B$9+((C945=TRUE)*(F945-Calc!F19))+B958+(ArtifactsInput!$M$24-ArtifactsInput!$M$24)*CHOOSE(ArtifactsInput!$N$24+1,10,12,14,16,18,20)+(IF(AND(ArtifactsInput!$M$42,((Inputs!$B$9+((C945=TRUE)*(F945-Calc!F19))+B958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935*(1-MIN(100,(Inputs!$B$9+((C945=TRUE)*(F945-Calc!F19))+B958+(ArtifactsInput!$M$24-ArtifactsInput!$M$24)*CHOOSE(ArtifactsInput!$N$24+1,10,12,14,16,18,20)+(IF(AND(ArtifactsInput!$M$42,((Inputs!$B$9+((C945=TRUE)*(F945-Calc!F19))+B958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935*(MIN(100,(Inputs!$B$9+((C945=TRUE)*(F945-Calc!F19))+B958+(ArtifactsInput!$M$24-ArtifactsInput!$M$24)*CHOOSE(ArtifactsInput!$N$24+1,10,12,14,16,18,20)+(IF(AND(ArtifactsInput!$M$42,((Inputs!$B$9+((C945=TRUE)*(F945-Calc!F19))+B958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935">
        <f>IF(C935,(H935*N935*IF(AND(Inputs!$B$38&lt;&gt;"pvp",Inputs!$B$43&gt;0),((Skills!G9*((R935-1)*IF(Skills!H9&gt;0,Skills!I9/Skills!H9,1)+IF(Skills!H9&gt;0,MIN(Skills!I9,MAX(0,MAX(0,Inputs!$B$43-B965)-((R935-1)*IF(Inputs!$B$38="pvp",15,MAX(0.1,Skills!D9-IF(Skills!E9=TRUE,Inputs!$B$32,0))))))/Skills!H9,1)))/Inputs!$B$43),G935*Q935))*IF(Inputs!$B$38="pvp",1,(1+(Inputs!$B$21+Skills!Q9+(IF(ArtifactsInput!$M$33,CHOOSE(ArtifactsInput!$N$33+1,30,36,42,48,54,60),0))+(IF(AND(ArtifactsInput!$M$35,Inputs!$B$4&lt;&gt;"Chapter Hunt"),CHOOSE(ArtifactsInput!$N$35+1,15,18,21,24,27,30)*(1-EXP(-(0.2*B960)*5)),0)+IF(AND(ArtifactsInput!$M$22,Inputs!$B$4&lt;&gt;"Chapter Hunt"),CHOOSE(ArtifactsInput!$N$22+1,10,12,14,16,18,20)*((0*(((0.15*B960*5))^0/1)+1*(((0.15*B960*5))^1/1)+2*(((0.15*B960*5))^2/2)+3*(((0.15*B960*5))^3/6)+4*(((0.15*B960*5))^4/24)+5*(((0.15*B960*5))^5/120))/((((0.15*B960*5))^0/1)+(((0.15*B960*5))^1/1)+(((0.15*B960*5))^2/2)+(((0.15*B960*5))^3/6)+(((0.15*B960*5))^4/24)+(((0.15*B960*5))^5/120)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936">
      <c r="A936">
        <f>Skills!A10</f>
        <v/>
      </c>
      <c r="B936">
        <f>Skills!B10</f>
        <v/>
      </c>
      <c r="C936">
        <f>Inputs!$B$3&gt;=107</f>
        <v/>
      </c>
      <c r="D936">
        <f>IF(Skills!C10=1,60+Inputs!$B$25+Inputs!$B$29,IF(Skills!C10=2,90+Inputs!$B$26+Inputs!$B$29,IF(Skills!C10=3,120+Inputs!$B$27+Inputs!$B$29,MAX(0,(Inputs!$B$3-100)*3)+(Inputs!$B$28+1)+Inputs!$B$29)))</f>
        <v/>
      </c>
      <c r="E936">
        <f>INDEX(FactorTable!$B$2:$Y$301, MATCH(ROUND(MIN(300,MAX(1,D936)),0), FactorTable!$A$2:$A$301,0), Skills!M10+1)</f>
        <v/>
      </c>
      <c r="F936">
        <f>IF(Skills!N10=TRUE,(Skills!L10/10)*(E936/1000),Skills!L10/10)+Skills!O10</f>
        <v/>
      </c>
      <c r="G936">
        <f>Skills!G10*IF(Skills!H10&gt;0,Skills!I10/Skills!H10,1)</f>
        <v/>
      </c>
      <c r="H936">
        <f>1-(1-Skills!J10/100)^Skills!K10</f>
        <v/>
      </c>
      <c r="I936" t="inlineStr">
        <is>
          <t>1</t>
        </is>
      </c>
      <c r="J936">
        <f>((Inputs!$B$6*(1+Inputs!$B$7/100))+(((Inputs!$B$12*(1+Inputs!$B$13/100))-(Inputs!$B$12*(1+Inputs!$B$13/100)))+0.25*(Inputs!$B$14-Inputs!$B$14))*(1+Inputs!$B$7/100))*(F936/100)</f>
        <v/>
      </c>
      <c r="K936">
        <f>J936*(1+((Inputs!$B$12*(1+Inputs!$B$13/100))*0.01+Inputs!$B$14*0.0025)/100)*(1+Inputs!$B$15/100)*(1+Inputs!$B$16/100)*(5000/(6000+Inputs!$B$42*(1-(100*(1-(1-(Inputs!$B$19+0)/100)*(1-CHOOSE(ArtifactsInput!$N$40+1,5,6,7,8,9,10)/100)^(ArtifactsInput!$M$40-ArtifactsInput!$M$40)))/100)))*(1+(Inputs!$B$24+((C950=TRUE)*(F950-Calc!F24))+((C951=TRUE)*(F951-Calc!F25))+B964)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EMPOWERED_PIERCING_ARROW",Inputs!$B$17+((C948=TRUE)*(F948-Calc!F22))+(((IF(AND(ArtifactsInput!$M$42,((Inputs!$B$9+((C945=TRUE)*(F945-Calc!F19))+B958+(ArtifactsInput!$M$24-ArtifactsInput!$M$24)*CHOOSE(ArtifactsInput!$N$24+1,10,12,14,16,18,20)+IF(ArtifactsInput!$M$10,CHOOSE(ArtifactsInput!$N$10+1,15,18,21,24,27,30)*(IF(Inputs!$B$38="pvp",MIN(15,15)/15,IF(AND(Inputs!$B$38&lt;&gt;"pvp",Inputs!$B$43&gt;0),MIN(15,Inputs!$B$43)/(Inputs!$B$43),0))),0)))&gt;=100),MIN(100,((Inputs!$B$9+((C945=TRUE)*(F945-Calc!F19))+B958+(ArtifactsInput!$M$24-ArtifactsInput!$M$24)*CHOOSE(ArtifactsInput!$N$24+1,10,12,14,16,18,20)+IF(ArtifactsInput!$M$10,CHOOSE(ArtifactsInput!$N$10+1,15,18,21,24,27,30)*(IF(Inputs!$B$38="pvp",MIN(15,15)/15,IF(AND(Inputs!$B$38&lt;&gt;"pvp",Inputs!$B$43&gt;0),MIN(15,Inputs!$B$43)/(Inputs!$B$43),0))),0)))-100),0))*CHOOSE(ArtifactsInput!$N$42+1,0.6,0.72,0.84,0.96,1.08,1.2))),Inputs!$B$18+((C953=TRUE)*(F953-Calc!F27))+(IF(AND(ArtifactsInput!$M$42,((Inputs!$B$9+((C945=TRUE)*(F945-Calc!F19))+B958+(ArtifactsInput!$M$24-ArtifactsInput!$M$24)*CHOOSE(ArtifactsInput!$N$24+1,10,12,14,16,18,20)+IF(ArtifactsInput!$M$10,CHOOSE(ArtifactsInput!$N$10+1,15,18,21,24,27,30)*(IF(Inputs!$B$38="pvp",MIN(15,15)/15,IF(AND(Inputs!$B$38&lt;&gt;"pvp",Inputs!$B$43&gt;0),MIN(15,Inputs!$B$43)/(Inputs!$B$43),0))),0)))&gt;=100),CHOOSE(ArtifactsInput!$N$42+1,40,48,56,64,72,80),0))))/100)*((1+(((C939=TRUE)*F939)+((C940=TRUE)*IF(Inputs!$B$38="pvp",F940,(1-Summary!$B$11)*(F940)+Summary!$B$11*(0)))+((C941=TRUE)*F941*IF(AND(Inputs!$B$38&lt;&gt;"pvp",Inputs!$B$43&gt;0),(((R941-1)*(Skills!T15*(1+Inputs!$B$34/100))+MIN((Skills!T15*(1+Inputs!$B$34/100)),MAX(0,Inputs!$B$43-((R941-1)*Skills!D15))))/Inputs!$B$43),IF(Inputs!$B$38="pvp",MIN((Skills!T15*(1+Inputs!$B$34/100)),15)/15,(Skills!T15*(1+Inputs!$B$34/100))/Skills!D15)))+((C938=TRUE)*F938)+((C955=TRUE)*(F955-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936)</f>
        <v/>
      </c>
      <c r="L936">
        <f>K936*(MIN(Inputs!$B$22+((C949=TRUE)*(F949-Calc!F23)),(Inputs!$B$23+((C954=TRUE)*(F954-Calc!F28))+(IF(ArtifactsInput!$M$15,CHOOSE(ArtifactsInput!$N$15+1,25,30,35,40,45,50)/100*(Inputs!$B$11-Inputs!$B$11),0))))/100+(Inputs!$B$23+((C954=TRUE)*(F954-Calc!F28))+(IF(ArtifactsInput!$M$15,CHOOSE(ArtifactsInput!$N$15+1,25,30,35,40,45,50)/100*(Inputs!$B$11-Inputs!$B$11),0)))/100)/2</f>
        <v/>
      </c>
      <c r="M936">
        <f>L936*(1+(Inputs!$B$10+0+B963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936">
        <f>L936*(1-MIN((Inputs!$B$9+((C945=TRUE)*(F945-Calc!F19))+B958+(ArtifactsInput!$M$24-ArtifactsInput!$M$24)*CHOOSE(ArtifactsInput!$N$24+1,10,12,14,16,18,20)+(IF(AND(ArtifactsInput!$M$42,((Inputs!$B$9+((C945=TRUE)*(F945-Calc!F19))+B958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936*(MIN((Inputs!$B$9+((C945=TRUE)*(F945-Calc!F19))+B958+(ArtifactsInput!$M$24-ArtifactsInput!$M$24)*CHOOSE(ArtifactsInput!$N$24+1,10,12,14,16,18,20)+(IF(AND(ArtifactsInput!$M$42,((Inputs!$B$9+((C945=TRUE)*(F945-Calc!F19))+B958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936">
        <f>(1-Summary!$B$11)*T936+Summary!$B$11*V936</f>
        <v/>
      </c>
      <c r="P936">
        <f>IF(B968=0,0,O936/B968)</f>
        <v/>
      </c>
      <c r="Q936" t="n">
        <v>0</v>
      </c>
      <c r="R936" t="n">
        <v>0</v>
      </c>
      <c r="S936" t="n">
        <v>0</v>
      </c>
      <c r="T936">
        <f>IF(C936,(0.15*SUMPRODUCT((Skills!U2:U29=TRUE)*(C928:C955=TRUE)*S928:S955)*Skills!G10*N936)*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Hunt"),CHOOSE(ArtifactsInput!$N$35+1,15,18,21,24,27,30)*(1-EXP(-(0.2*B960)*5)),0)+IF(AND(ArtifactsInput!$M$22,Inputs!$B$4&lt;&gt;"Chapter Hunt"),CHOOSE(ArtifactsInput!$N$22+1,10,12,14,16,18,20)*((0*(((0.15*B960*5))^0/1)+1*(((0.15*B960*5))^1/1)+2*(((0.15*B960*5))^2/2)+3*(((0.15*B960*5))^3/6)+4*(((0.15*B960*5))^4/24)+5*(((0.15*B960*5))^5/120))/((((0.15*B960*5))^0/1)+(((0.15*B960*5))^1/1)+(((0.15*B960*5))^2/2)+(((0.15*B960*5))^3/6)+(((0.15*B960*5))^4/24)+(((0.15*B960*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936*(1-MIN(100,(Inputs!$B$9+((C945=TRUE)*(F945-Calc!F19))+B958+(ArtifactsInput!$M$24-ArtifactsInput!$M$24)*CHOOSE(ArtifactsInput!$N$24+1,10,12,14,16,18,20)+(IF(AND(ArtifactsInput!$M$42,((Inputs!$B$9+((C945=TRUE)*(F945-Calc!F19))+B958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936*(MIN(100,(Inputs!$B$9+((C945=TRUE)*(F945-Calc!F19))+B958+(ArtifactsInput!$M$24-ArtifactsInput!$M$24)*CHOOSE(ArtifactsInput!$N$24+1,10,12,14,16,18,20)+(IF(AND(ArtifactsInput!$M$42,((Inputs!$B$9+((C945=TRUE)*(F945-Calc!F19))+B958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936*(1-MIN(100,(Inputs!$B$9+((C945=TRUE)*(F945-Calc!F19))+B958+(ArtifactsInput!$M$24-ArtifactsInput!$M$24)*CHOOSE(ArtifactsInput!$N$24+1,10,12,14,16,18,20)+(IF(AND(ArtifactsInput!$M$42,((Inputs!$B$9+((C945=TRUE)*(F945-Calc!F19))+B958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936*(MIN(100,(Inputs!$B$9+((C945=TRUE)*(F945-Calc!F19))+B958+(ArtifactsInput!$M$24-ArtifactsInput!$M$24)*CHOOSE(ArtifactsInput!$N$24+1,10,12,14,16,18,20)+(IF(AND(ArtifactsInput!$M$42,((Inputs!$B$9+((C945=TRUE)*(F945-Calc!F19))+B958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936">
        <f>IF(C936,(0.15*SUMPRODUCT((Skills!U2:U29=TRUE)*(C928:C955=TRUE)*S928:S955)*Skills!G10*N936)*IF(Inputs!$B$38="pvp",1,(1+(Inputs!$B$21+Skills!Q10+(IF(ArtifactsInput!$M$33,CHOOSE(ArtifactsInput!$N$33+1,30,36,42,48,54,60),0))+(IF(AND(ArtifactsInput!$M$35,Inputs!$B$4&lt;&gt;"Chapter Hunt"),CHOOSE(ArtifactsInput!$N$35+1,15,18,21,24,27,30)*(1-EXP(-(0.2*B960)*5)),0)+IF(AND(ArtifactsInput!$M$22,Inputs!$B$4&lt;&gt;"Chapter Hunt"),CHOOSE(ArtifactsInput!$N$22+1,10,12,14,16,18,20)*((0*(((0.15*B960*5))^0/1)+1*(((0.15*B960*5))^1/1)+2*(((0.15*B960*5))^2/2)+3*(((0.15*B960*5))^3/6)+4*(((0.15*B960*5))^4/24)+5*(((0.15*B960*5))^5/120))/((((0.15*B960*5))^0/1)+(((0.15*B960*5))^1/1)+(((0.15*B960*5))^2/2)+(((0.15*B960*5))^3/6)+(((0.15*B960*5))^4/24)+(((0.15*B960*5))^5/120)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937">
      <c r="A937">
        <f>Skills!A11</f>
        <v/>
      </c>
      <c r="B937">
        <f>Skills!B11</f>
        <v/>
      </c>
      <c r="C937">
        <f>Inputs!$B$3&gt;=110</f>
        <v/>
      </c>
      <c r="D937">
        <f>IF(Skills!C11=1,60+Inputs!$B$25+Inputs!$B$29,IF(Skills!C11=2,90+Inputs!$B$26+Inputs!$B$29,IF(Skills!C11=3,120+Inputs!$B$27+Inputs!$B$29,MAX(0,(Inputs!$B$3-100)*3)+(Inputs!$B$28+1)+Inputs!$B$29)))</f>
        <v/>
      </c>
      <c r="E937">
        <f>INDEX(FactorTable!$B$2:$Y$301, MATCH(ROUND(MIN(300,MAX(1,D937)),0), FactorTable!$A$2:$A$301,0), Skills!M11+1)</f>
        <v/>
      </c>
      <c r="F937">
        <f>IF(Skills!N11=TRUE,(Skills!L11/10)*(E937/1000),Skills!L11/10)+Skills!O11</f>
        <v/>
      </c>
      <c r="G937">
        <f>Skills!G11*IF(Skills!H11&gt;0,Skills!I11/Skills!H11,1)</f>
        <v/>
      </c>
      <c r="H937">
        <f>1-(1-Skills!J11/100)^Skills!K11</f>
        <v/>
      </c>
      <c r="I937" t="inlineStr">
        <is>
          <t>1</t>
        </is>
      </c>
      <c r="J937">
        <f>((Inputs!$B$6*(1+Inputs!$B$7/100))+(((Inputs!$B$12*(1+Inputs!$B$13/100))-(Inputs!$B$12*(1+Inputs!$B$13/100)))+0.25*(Inputs!$B$14-Inputs!$B$14))*(1+Inputs!$B$7/100))*(F937/100)</f>
        <v/>
      </c>
      <c r="K937">
        <f>J937*(1+((Inputs!$B$12*(1+Inputs!$B$13/100))*0.01+Inputs!$B$14*0.0025)/100)*(1+Inputs!$B$15/100)*(1+Inputs!$B$16/100)*(5000/(6000+Inputs!$B$42*(1-(100*(1-(1-(Inputs!$B$19+0)/100)*(1-CHOOSE(ArtifactsInput!$N$40+1,5,6,7,8,9,10)/100)^(ArtifactsInput!$M$40-ArtifactsInput!$M$40)))/100)))*(1+(Inputs!$B$24+((C950=TRUE)*(F950-Calc!F24))+((C951=TRUE)*(F951-Calc!F25))+B964)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11="EMPOWERED_PIERCING_ARROW",Inputs!$B$17+((C948=TRUE)*(F948-Calc!F22))+(((IF(AND(ArtifactsInput!$M$42,((Inputs!$B$9+((C945=TRUE)*(F945-Calc!F19))+B958+(ArtifactsInput!$M$24-ArtifactsInput!$M$24)*CHOOSE(ArtifactsInput!$N$24+1,10,12,14,16,18,20)+IF(ArtifactsInput!$M$10,CHOOSE(ArtifactsInput!$N$10+1,15,18,21,24,27,30)*(IF(Inputs!$B$38="pvp",MIN(15,15)/15,IF(AND(Inputs!$B$38&lt;&gt;"pvp",Inputs!$B$43&gt;0),MIN(15,Inputs!$B$43)/(Inputs!$B$43),0))),0)))&gt;=100),MIN(100,((Inputs!$B$9+((C945=TRUE)*(F945-Calc!F19))+B958+(ArtifactsInput!$M$24-ArtifactsInput!$M$24)*CHOOSE(ArtifactsInput!$N$24+1,10,12,14,16,18,20)+IF(ArtifactsInput!$M$10,CHOOSE(ArtifactsInput!$N$10+1,15,18,21,24,27,30)*(IF(Inputs!$B$38="pvp",MIN(15,15)/15,IF(AND(Inputs!$B$38&lt;&gt;"pvp",Inputs!$B$43&gt;0),MIN(15,Inputs!$B$43)/(Inputs!$B$43),0))),0)))-100),0))*CHOOSE(ArtifactsInput!$N$42+1,0.6,0.72,0.84,0.96,1.08,1.2))),Inputs!$B$18+((C953=TRUE)*(F953-Calc!F27))+(IF(AND(ArtifactsInput!$M$42,((Inputs!$B$9+((C945=TRUE)*(F945-Calc!F19))+B958+(ArtifactsInput!$M$24-ArtifactsInput!$M$24)*CHOOSE(ArtifactsInput!$N$24+1,10,12,14,16,18,20)+IF(ArtifactsInput!$M$10,CHOOSE(ArtifactsInput!$N$10+1,15,18,21,24,27,30)*(IF(Inputs!$B$38="pvp",MIN(15,15)/15,IF(AND(Inputs!$B$38&lt;&gt;"pvp",Inputs!$B$43&gt;0),MIN(15,Inputs!$B$43)/(Inputs!$B$43),0))),0)))&gt;=100),CHOOSE(ArtifactsInput!$N$42+1,40,48,56,64,72,80),0))))/100)*((1+(((C939=TRUE)*F939)+((C940=TRUE)*IF(Inputs!$B$38="pvp",F940,(1-Summary!$B$11)*(F940)+Summary!$B$11*(0)))+((C941=TRUE)*F941*IF(AND(Inputs!$B$38&lt;&gt;"pvp",Inputs!$B$43&gt;0),(((R941-1)*(Skills!T15*(1+Inputs!$B$34/100))+MIN((Skills!T15*(1+Inputs!$B$34/100)),MAX(0,Inputs!$B$43-((R941-1)*Skills!D15))))/Inputs!$B$43),IF(Inputs!$B$38="pvp",MIN((Skills!T15*(1+Inputs!$B$34/100)),15)/15,(Skills!T15*(1+Inputs!$B$34/100))/Skills!D15)))+((C938=TRUE)*F938)+((C955=TRUE)*(F955-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937)</f>
        <v/>
      </c>
      <c r="L937">
        <f>K937*(MIN(Inputs!$B$22+((C949=TRUE)*(F949-Calc!F23)),(Inputs!$B$23+((C954=TRUE)*(F954-Calc!F28))+(IF(ArtifactsInput!$M$15,CHOOSE(ArtifactsInput!$N$15+1,25,30,35,40,45,50)/100*(Inputs!$B$11-Inputs!$B$11),0))))/100+(Inputs!$B$23+((C954=TRUE)*(F954-Calc!F28))+(IF(ArtifactsInput!$M$15,CHOOSE(ArtifactsInput!$N$15+1,25,30,35,40,45,50)/100*(Inputs!$B$11-Inputs!$B$11),0)))/100)/2</f>
        <v/>
      </c>
      <c r="M937">
        <f>L937*(1+(Inputs!$B$10+0+B963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937">
        <f>L937*(1-MIN((Inputs!$B$9+((C945=TRUE)*(F945-Calc!F19))+B958+(ArtifactsInput!$M$24-ArtifactsInput!$M$24)*CHOOSE(ArtifactsInput!$N$24+1,10,12,14,16,18,20)+(IF(AND(ArtifactsInput!$M$42,((Inputs!$B$9+((C945=TRUE)*(F945-Calc!F19))+B958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937*(MIN((Inputs!$B$9+((C945=TRUE)*(F945-Calc!F19))+B958+(ArtifactsInput!$M$24-ArtifactsInput!$M$24)*CHOOSE(ArtifactsInput!$N$24+1,10,12,14,16,18,20)+(IF(AND(ArtifactsInput!$M$42,((Inputs!$B$9+((C945=TRUE)*(F945-Calc!F19))+B958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937">
        <f>(1-Summary!$B$11)*T937+Summary!$B$11*V937</f>
        <v/>
      </c>
      <c r="P937">
        <f>IF(B968=0,0,O937/B968)</f>
        <v/>
      </c>
      <c r="Q937">
        <f>IFERROR(1/IF(Inputs!$B$38="pvp",15,MAX(0.1,Skills!D11-IF(Skills!E11=TRUE,Inputs!$B$32,0))),0)</f>
        <v/>
      </c>
      <c r="R937">
        <f>IF(AND(Inputs!$B$38&lt;&gt;"pvp",Inputs!$B$43&gt;0),IF(MAX(0,Inputs!$B$43-B965)&lt;=0,0,(INT(MAX(0,Inputs!$B$43-B965)/IF(Inputs!$B$38="pvp",15,MAX(0.1,Skills!D11-IF(Skills!E11=TRUE,Inputs!$B$32,0))))+1)),0)</f>
        <v/>
      </c>
      <c r="S937">
        <f>IFERROR((H937*N937*IF(AND(Inputs!$B$38&lt;&gt;"pvp",Inputs!$B$43&gt;0),((Skills!G11*((R937-1)*IF(Skills!H11&gt;0,Skills!I11/Skills!H11,1)+IF(Skills!H11&gt;0,MIN(Skills!I11,MAX(0,MAX(0,Inputs!$B$43-B965)-((R937-1)*IF(Inputs!$B$38="pvp",15,MAX(0.1,Skills!D11-IF(Skills!E11=TRUE,Inputs!$B$32,0))))))/Skills!H11,1)))/Inputs!$B$43),G937*Q937))/N937*IF(Inputs!$B$38="pvp",1,(1-Summary!$B$11)*1+Summary!$B$11*(MIN(Skills!R11,Inputs!$B$37))),0)</f>
        <v/>
      </c>
      <c r="T937">
        <f>IF(C937,(H937*N937*IF(AND(Inputs!$B$38&lt;&gt;"pvp",Inputs!$B$43&gt;0),((Skills!G11*((R937-1)*IF(Skills!H11&gt;0,Skills!I11/Skills!H11,1)+IF(Skills!H11&gt;0,MIN(Skills!I11,MAX(0,MAX(0,Inputs!$B$43-B965)-((R937-1)*IF(Inputs!$B$38="pvp",15,MAX(0.1,Skills!D11-IF(Skills!E11=TRUE,Inputs!$B$32,0))))))/Skills!H11,1)))/Inputs!$B$43),G937*Q937))*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Hunt"),CHOOSE(ArtifactsInput!$N$35+1,15,18,21,24,27,30)*(1-EXP(-(0.2*B960)*5)),0)+IF(AND(ArtifactsInput!$M$22,Inputs!$B$4&lt;&gt;"Chapter Hunt"),CHOOSE(ArtifactsInput!$N$22+1,10,12,14,16,18,20)*((0*(((0.15*B960*5))^0/1)+1*(((0.15*B960*5))^1/1)+2*(((0.15*B960*5))^2/2)+3*(((0.15*B960*5))^3/6)+4*(((0.15*B960*5))^4/24)+5*(((0.15*B960*5))^5/120))/((((0.15*B960*5))^0/1)+(((0.15*B960*5))^1/1)+(((0.15*B960*5))^2/2)+(((0.15*B960*5))^3/6)+(((0.15*B960*5))^4/24)+(((0.15*B960*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937*(1-MIN(100,(Inputs!$B$9+((C945=TRUE)*(F945-Calc!F19))+B958+(ArtifactsInput!$M$24-ArtifactsInput!$M$24)*CHOOSE(ArtifactsInput!$N$24+1,10,12,14,16,18,20)+(IF(AND(ArtifactsInput!$M$42,((Inputs!$B$9+((C945=TRUE)*(F945-Calc!F19))+B958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937*(MIN(100,(Inputs!$B$9+((C945=TRUE)*(F945-Calc!F19))+B958+(ArtifactsInput!$M$24-ArtifactsInput!$M$24)*CHOOSE(ArtifactsInput!$N$24+1,10,12,14,16,18,20)+(IF(AND(ArtifactsInput!$M$42,((Inputs!$B$9+((C945=TRUE)*(F945-Calc!F19))+B958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937*(1-MIN(100,(Inputs!$B$9+((C945=TRUE)*(F945-Calc!F19))+B958+(ArtifactsInput!$M$24-ArtifactsInput!$M$24)*CHOOSE(ArtifactsInput!$N$24+1,10,12,14,16,18,20)+(IF(AND(ArtifactsInput!$M$42,((Inputs!$B$9+((C945=TRUE)*(F945-Calc!F19))+B958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937*(MIN(100,(Inputs!$B$9+((C945=TRUE)*(F945-Calc!F19))+B958+(ArtifactsInput!$M$24-ArtifactsInput!$M$24)*CHOOSE(ArtifactsInput!$N$24+1,10,12,14,16,18,20)+(IF(AND(ArtifactsInput!$M$42,((Inputs!$B$9+((C945=TRUE)*(F945-Calc!F19))+B958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937">
        <f>IF(C937,(H937*N937*IF(AND(Inputs!$B$38&lt;&gt;"pvp",Inputs!$B$43&gt;0),((Skills!G11*((R937-1)*IF(Skills!H11&gt;0,Skills!I11/Skills!H11,1)+IF(Skills!H11&gt;0,MIN(Skills!I11,MAX(0,MAX(0,Inputs!$B$43-B965)-((R937-1)*IF(Inputs!$B$38="pvp",15,MAX(0.1,Skills!D11-IF(Skills!E11=TRUE,Inputs!$B$32,0))))))/Skills!H11,1)))/Inputs!$B$43),G937*Q937))*IF(Inputs!$B$38="pvp",1,(1+(Inputs!$B$21+Skills!Q11+(IF(ArtifactsInput!$M$33,CHOOSE(ArtifactsInput!$N$33+1,30,36,42,48,54,60),0))+(IF(AND(ArtifactsInput!$M$35,Inputs!$B$4&lt;&gt;"Chapter Hunt"),CHOOSE(ArtifactsInput!$N$35+1,15,18,21,24,27,30)*(1-EXP(-(0.2*B960)*5)),0)+IF(AND(ArtifactsInput!$M$22,Inputs!$B$4&lt;&gt;"Chapter Hunt"),CHOOSE(ArtifactsInput!$N$22+1,10,12,14,16,18,20)*((0*(((0.15*B960*5))^0/1)+1*(((0.15*B960*5))^1/1)+2*(((0.15*B960*5))^2/2)+3*(((0.15*B960*5))^3/6)+4*(((0.15*B960*5))^4/24)+5*(((0.15*B960*5))^5/120))/((((0.15*B960*5))^0/1)+(((0.15*B960*5))^1/1)+(((0.15*B960*5))^2/2)+(((0.15*B960*5))^3/6)+(((0.15*B960*5))^4/24)+(((0.15*B960*5))^5/120))),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938">
      <c r="A938">
        <f>Skills!A12</f>
        <v/>
      </c>
      <c r="B938">
        <f>Skills!B12</f>
        <v/>
      </c>
      <c r="C938">
        <f>Inputs!$B$3&gt;=60</f>
        <v/>
      </c>
      <c r="D938">
        <f>IF(Skills!C12=1,60+Inputs!$B$25+Inputs!$B$29,IF(Skills!C12=2,90+Inputs!$B$26+Inputs!$B$29,IF(Skills!C12=3,120+Inputs!$B$27+Inputs!$B$29,MAX(0,(Inputs!$B$3-100)*3)+(Inputs!$B$28+1)+Inputs!$B$29)))</f>
        <v/>
      </c>
      <c r="E938">
        <f>INDEX(FactorTable!$B$2:$Y$301, MATCH(ROUND(MIN(300,MAX(1,D938)),0), FactorTable!$A$2:$A$301,0), Skills!M12+1)</f>
        <v/>
      </c>
      <c r="F938">
        <f>IF(Skills!N12=TRUE,(Skills!L12/10)*(E938/1000),Skills!L12/10)+Skills!O12</f>
        <v/>
      </c>
      <c r="G938">
        <f>Skills!G12*IF(Skills!H12&gt;0,Skills!I12/Skills!H12,1)</f>
        <v/>
      </c>
      <c r="H938">
        <f>1-(1-Skills!J12/100)^Skills!K12</f>
        <v/>
      </c>
      <c r="I938" t="inlineStr">
        <is>
          <t>1</t>
        </is>
      </c>
      <c r="J938" t="inlineStr"/>
      <c r="K938" t="inlineStr"/>
      <c r="L938" t="inlineStr"/>
      <c r="M938" t="inlineStr"/>
      <c r="N938" t="inlineStr"/>
      <c r="O938">
        <f>(1-Summary!$B$11)*T938+Summary!$B$11*V938</f>
        <v/>
      </c>
      <c r="P938">
        <f>IF(B968=0,0,O938/B968)</f>
        <v/>
      </c>
      <c r="Q938" t="n">
        <v>0</v>
      </c>
      <c r="R938" t="n">
        <v>0</v>
      </c>
      <c r="S938" t="n">
        <v>0</v>
      </c>
      <c r="T938" t="n">
        <v>0</v>
      </c>
      <c r="V938" t="n">
        <v>0</v>
      </c>
    </row>
    <row r="939">
      <c r="A939">
        <f>Skills!A13</f>
        <v/>
      </c>
      <c r="B939">
        <f>Skills!B13</f>
        <v/>
      </c>
      <c r="C939">
        <f>Inputs!$B$3&gt;=74</f>
        <v/>
      </c>
      <c r="D939">
        <f>IF(Skills!C13=1,60+Inputs!$B$25+Inputs!$B$29,IF(Skills!C13=2,90+Inputs!$B$26+Inputs!$B$29,IF(Skills!C13=3,120+Inputs!$B$27+Inputs!$B$29,MAX(0,(Inputs!$B$3-100)*3)+(Inputs!$B$28+1)+Inputs!$B$29)))</f>
        <v/>
      </c>
      <c r="E939">
        <f>INDEX(FactorTable!$B$2:$Y$301, MATCH(ROUND(MIN(300,MAX(1,D939)),0), FactorTable!$A$2:$A$301,0), Skills!M13+1)</f>
        <v/>
      </c>
      <c r="F939">
        <f>IF(Skills!N13=TRUE,(Skills!L13/10)*(E939/1000),Skills!L13/10)+Skills!O13</f>
        <v/>
      </c>
      <c r="G939">
        <f>Skills!G13*IF(Skills!H13&gt;0,Skills!I13/Skills!H13,1)</f>
        <v/>
      </c>
      <c r="H939">
        <f>1-(1-Skills!J13/100)^Skills!K13</f>
        <v/>
      </c>
      <c r="I939" t="inlineStr">
        <is>
          <t>1</t>
        </is>
      </c>
      <c r="J939" t="inlineStr"/>
      <c r="K939" t="inlineStr"/>
      <c r="L939" t="inlineStr"/>
      <c r="M939" t="inlineStr"/>
      <c r="N939" t="inlineStr"/>
      <c r="O939">
        <f>(1-Summary!$B$11)*T939+Summary!$B$11*V939</f>
        <v/>
      </c>
      <c r="P939">
        <f>IF(B968=0,0,O939/B968)</f>
        <v/>
      </c>
      <c r="Q939" t="n">
        <v>0</v>
      </c>
      <c r="R939" t="n">
        <v>0</v>
      </c>
      <c r="S939" t="n">
        <v>0</v>
      </c>
      <c r="T939" t="n">
        <v>0</v>
      </c>
      <c r="V939" t="n">
        <v>0</v>
      </c>
    </row>
    <row r="940">
      <c r="A940">
        <f>Skills!A14</f>
        <v/>
      </c>
      <c r="B940">
        <f>Skills!B14</f>
        <v/>
      </c>
      <c r="C940">
        <f>Inputs!$B$3&gt;=74</f>
        <v/>
      </c>
      <c r="D940">
        <f>IF(Skills!C14=1,60+Inputs!$B$25+Inputs!$B$29,IF(Skills!C14=2,90+Inputs!$B$26+Inputs!$B$29,IF(Skills!C14=3,120+Inputs!$B$27+Inputs!$B$29,MAX(0,(Inputs!$B$3-100)*3)+(Inputs!$B$28+1)+Inputs!$B$29)))</f>
        <v/>
      </c>
      <c r="E940">
        <f>INDEX(FactorTable!$B$2:$Y$301, MATCH(ROUND(MIN(300,MAX(1,D940)),0), FactorTable!$A$2:$A$301,0), Skills!M14+1)</f>
        <v/>
      </c>
      <c r="F940">
        <f>IF(Skills!N14=TRUE,(Skills!L14/10)*(E940/1000),Skills!L14/10)+Skills!O14</f>
        <v/>
      </c>
      <c r="G940">
        <f>Skills!G14*IF(Skills!H14&gt;0,Skills!I14/Skills!H14,1)</f>
        <v/>
      </c>
      <c r="H940">
        <f>1-(1-Skills!J14/100)^Skills!K14</f>
        <v/>
      </c>
      <c r="I940" t="inlineStr">
        <is>
          <t>1</t>
        </is>
      </c>
      <c r="J940" t="inlineStr"/>
      <c r="K940" t="inlineStr"/>
      <c r="L940" t="inlineStr"/>
      <c r="M940" t="inlineStr"/>
      <c r="N940" t="inlineStr"/>
      <c r="O940">
        <f>(1-Summary!$B$11)*T940+Summary!$B$11*V940</f>
        <v/>
      </c>
      <c r="P940">
        <f>IF(B968=0,0,O940/B968)</f>
        <v/>
      </c>
      <c r="Q940" t="n">
        <v>0</v>
      </c>
      <c r="R940" t="n">
        <v>0</v>
      </c>
      <c r="S940" t="n">
        <v>0</v>
      </c>
      <c r="T940" t="n">
        <v>0</v>
      </c>
      <c r="V940" t="n">
        <v>0</v>
      </c>
    </row>
    <row r="941">
      <c r="A941">
        <f>Skills!A15</f>
        <v/>
      </c>
      <c r="B941">
        <f>Skills!B15</f>
        <v/>
      </c>
      <c r="C941">
        <f>Inputs!$B$3&gt;=117</f>
        <v/>
      </c>
      <c r="D941">
        <f>IF(Skills!C15=1,60+Inputs!$B$25+Inputs!$B$29,IF(Skills!C15=2,90+Inputs!$B$26+Inputs!$B$29,IF(Skills!C15=3,120+Inputs!$B$27+Inputs!$B$29,MAX(0,(Inputs!$B$3-100)*3)+(Inputs!$B$28+1)+Inputs!$B$29)))</f>
        <v/>
      </c>
      <c r="E941">
        <f>INDEX(FactorTable!$B$2:$Y$301, MATCH(ROUND(MIN(300,MAX(1,D941)),0), FactorTable!$A$2:$A$301,0), Skills!M15+1)</f>
        <v/>
      </c>
      <c r="F941">
        <f>IF(Skills!N15=TRUE,(Skills!L15/10)*(E941/1000),Skills!L15/10)+Skills!O15</f>
        <v/>
      </c>
      <c r="G941">
        <f>Skills!G15*IF(Skills!H15&gt;0,Skills!I15/Skills!H15,1)</f>
        <v/>
      </c>
      <c r="H941">
        <f>1-(1-Skills!J15/100)^Skills!K15</f>
        <v/>
      </c>
      <c r="I941" t="inlineStr">
        <is>
          <t>1</t>
        </is>
      </c>
      <c r="J941" t="inlineStr"/>
      <c r="K941" t="inlineStr"/>
      <c r="L941" t="inlineStr"/>
      <c r="M941" t="inlineStr"/>
      <c r="N941" t="inlineStr"/>
      <c r="O941">
        <f>(1-Summary!$B$11)*T941+Summary!$B$11*V941</f>
        <v/>
      </c>
      <c r="P941">
        <f>IF(B968=0,0,O941/B968)</f>
        <v/>
      </c>
      <c r="Q941">
        <f>IFERROR(1/IF(Inputs!$B$38="pvp",15,MAX(0.1,Skills!D15-IF(Skills!E15=TRUE,Inputs!$B$32,0))),0)</f>
        <v/>
      </c>
      <c r="R941">
        <f>IF(AND(Inputs!$B$38&lt;&gt;"pvp",Inputs!$B$43&gt;0),IF(Inputs!$B$43&lt;=0,0,(INT(Inputs!$B$43/IF(Inputs!$B$38="pvp",15,MAX(0.1,Skills!D15-IF(Skills!E15=TRUE,Inputs!$B$32,0))))+1)),0)</f>
        <v/>
      </c>
      <c r="S941" t="n">
        <v>0</v>
      </c>
      <c r="T941" t="n">
        <v>0</v>
      </c>
      <c r="V941" t="n">
        <v>0</v>
      </c>
    </row>
    <row r="942">
      <c r="A942">
        <f>Skills!A16</f>
        <v/>
      </c>
      <c r="B942">
        <f>Skills!B16</f>
        <v/>
      </c>
      <c r="C942">
        <f>Inputs!$B$3&gt;=115</f>
        <v/>
      </c>
      <c r="D942">
        <f>IF(Skills!C16=1,60+Inputs!$B$25+Inputs!$B$29,IF(Skills!C16=2,90+Inputs!$B$26+Inputs!$B$29,IF(Skills!C16=3,120+Inputs!$B$27+Inputs!$B$29,MAX(0,(Inputs!$B$3-100)*3)+(Inputs!$B$28+1)+Inputs!$B$29)))</f>
        <v/>
      </c>
      <c r="E942">
        <f>INDEX(FactorTable!$B$2:$Y$301, MATCH(ROUND(MIN(300,MAX(1,D942)),0), FactorTable!$A$2:$A$301,0), Skills!M16+1)</f>
        <v/>
      </c>
      <c r="F942">
        <f>IF(Skills!N16=TRUE,(Skills!L16/10)*(E942/1000),Skills!L16/10)+Skills!O16</f>
        <v/>
      </c>
      <c r="G942">
        <f>Skills!G16*IF(Skills!H16&gt;0,Skills!I16/Skills!H16,1)</f>
        <v/>
      </c>
      <c r="H942">
        <f>1-(1-Skills!J16/100)^Skills!K16</f>
        <v/>
      </c>
      <c r="I942" t="inlineStr">
        <is>
          <t>1</t>
        </is>
      </c>
      <c r="J942" t="inlineStr"/>
      <c r="K942" t="inlineStr"/>
      <c r="L942" t="inlineStr"/>
      <c r="M942" t="inlineStr"/>
      <c r="N942" t="inlineStr"/>
      <c r="O942">
        <f>(1-Summary!$B$11)*T942+Summary!$B$11*V942</f>
        <v/>
      </c>
      <c r="P942">
        <f>IF(B968=0,0,O942/B968)</f>
        <v/>
      </c>
      <c r="Q942">
        <f>IFERROR(1/IF(Inputs!$B$38="pvp",15,MAX(0.1,Skills!D16-IF(Skills!E16=TRUE,Inputs!$B$32,0))),0)</f>
        <v/>
      </c>
      <c r="R942">
        <f>IF(AND(Inputs!$B$38&lt;&gt;"pvp",Inputs!$B$43&gt;0),IF(Inputs!$B$43&lt;=0,0,(INT(Inputs!$B$43/IF(Inputs!$B$38="pvp",15,MAX(0.1,Skills!D16-IF(Skills!E16=TRUE,Inputs!$B$32,0))))+1)),0)</f>
        <v/>
      </c>
      <c r="S942" t="n">
        <v>0</v>
      </c>
      <c r="T942" t="n">
        <v>0</v>
      </c>
      <c r="V942" t="n">
        <v>0</v>
      </c>
    </row>
    <row r="943">
      <c r="A943">
        <f>Skills!A17</f>
        <v/>
      </c>
      <c r="B943">
        <f>Skills!B17</f>
        <v/>
      </c>
      <c r="C943">
        <f>Inputs!$B$3&gt;=72</f>
        <v/>
      </c>
      <c r="D943">
        <f>IF(Skills!C17=1,60+Inputs!$B$25+Inputs!$B$29,IF(Skills!C17=2,90+Inputs!$B$26+Inputs!$B$29,IF(Skills!C17=3,120+Inputs!$B$27+Inputs!$B$29,MAX(0,(Inputs!$B$3-100)*3)+(Inputs!$B$28+1)+Inputs!$B$29)))</f>
        <v/>
      </c>
      <c r="E943">
        <f>INDEX(FactorTable!$B$2:$Y$301, MATCH(ROUND(MIN(300,MAX(1,D943)),0), FactorTable!$A$2:$A$301,0), Skills!M17+1)</f>
        <v/>
      </c>
      <c r="F943">
        <f>IF(Skills!N17=TRUE,(Skills!L17/10)*(E943/1000),Skills!L17/10)+Skills!O17</f>
        <v/>
      </c>
      <c r="G943">
        <f>Skills!G17*IF(Skills!H17&gt;0,Skills!I17/Skills!H17,1)</f>
        <v/>
      </c>
      <c r="H943">
        <f>1-(1-Skills!J17/100)^Skills!K17</f>
        <v/>
      </c>
      <c r="I943" t="inlineStr">
        <is>
          <t>1</t>
        </is>
      </c>
      <c r="J943" t="inlineStr"/>
      <c r="K943" t="inlineStr"/>
      <c r="L943" t="inlineStr"/>
      <c r="M943" t="inlineStr"/>
      <c r="N943" t="inlineStr"/>
      <c r="O943">
        <f>(1-Summary!$B$11)*T943+Summary!$B$11*V943</f>
        <v/>
      </c>
      <c r="P943">
        <f>IF(B968=0,0,O943/B968)</f>
        <v/>
      </c>
      <c r="Q943" t="n">
        <v>0</v>
      </c>
      <c r="R943" t="n">
        <v>0</v>
      </c>
      <c r="S943" t="n">
        <v>0</v>
      </c>
      <c r="T943" t="n">
        <v>0</v>
      </c>
      <c r="V943" t="n">
        <v>0</v>
      </c>
    </row>
    <row r="944">
      <c r="A944">
        <f>Skills!A18</f>
        <v/>
      </c>
      <c r="B944">
        <f>Skills!B18</f>
        <v/>
      </c>
      <c r="C944">
        <f>TRUE</f>
        <v/>
      </c>
      <c r="D944">
        <f>IF(Skills!C18=1,60+Inputs!$B$25+Inputs!$B$29,IF(Skills!C18=2,90+Inputs!$B$26+Inputs!$B$29,IF(Skills!C18=3,120+Inputs!$B$27+Inputs!$B$29,MAX(0,(Inputs!$B$3-100)*3)+(Inputs!$B$28+1)+Inputs!$B$29)))</f>
        <v/>
      </c>
      <c r="E944">
        <f>INDEX(FactorTable!$B$2:$Y$301, MATCH(ROUND(MIN(300,MAX(1,D944)),0), FactorTable!$A$2:$A$301,0), Skills!M18+1)</f>
        <v/>
      </c>
      <c r="F944">
        <f>IF(Skills!N18=TRUE,(Skills!L18/10)*(E944/1000),Skills!L18/10)+Skills!O18</f>
        <v/>
      </c>
      <c r="G944">
        <f>Skills!G18*IF(Skills!H18&gt;0,Skills!I18/Skills!H18,1)</f>
        <v/>
      </c>
      <c r="H944">
        <f>1-(1-Skills!J18/100)^Skills!K18</f>
        <v/>
      </c>
      <c r="I944" t="inlineStr">
        <is>
          <t>1</t>
        </is>
      </c>
      <c r="J944" t="inlineStr"/>
      <c r="K944" t="inlineStr"/>
      <c r="L944" t="inlineStr"/>
      <c r="M944" t="inlineStr"/>
      <c r="N944" t="inlineStr"/>
      <c r="O944">
        <f>(1-Summary!$B$11)*T944+Summary!$B$11*V944</f>
        <v/>
      </c>
      <c r="P944">
        <f>IF(B968=0,0,O944/B968)</f>
        <v/>
      </c>
      <c r="Q944">
        <f>IFERROR(1/IF(Inputs!$B$38="pvp",15,MAX(0.1,Skills!D18-IF(Skills!E18=TRUE,Inputs!$B$32,0))),0)</f>
        <v/>
      </c>
      <c r="R944">
        <f>IF(AND(Inputs!$B$38&lt;&gt;"pvp",Inputs!$B$43&gt;0),IF(Inputs!$B$43&lt;=0,0,(INT(Inputs!$B$43/IF(Inputs!$B$38="pvp",15,MAX(0.1,Skills!D18-IF(Skills!E18=TRUE,Inputs!$B$32,0))))+1)),0)</f>
        <v/>
      </c>
      <c r="S944" t="n">
        <v>0</v>
      </c>
      <c r="T944" t="n">
        <v>0</v>
      </c>
      <c r="V944" t="n">
        <v>0</v>
      </c>
    </row>
    <row r="945">
      <c r="A945">
        <f>Skills!A19</f>
        <v/>
      </c>
      <c r="B945">
        <f>Skills!B19</f>
        <v/>
      </c>
      <c r="C945">
        <f>Inputs!$B$3&gt;=15</f>
        <v/>
      </c>
      <c r="D945">
        <f>IF(Skills!C19=1,60+Inputs!$B$25+Inputs!$B$29,IF(Skills!C19=2,90+Inputs!$B$26+Inputs!$B$29,IF(Skills!C19=3,120+Inputs!$B$27+Inputs!$B$29,MAX(0,(Inputs!$B$3-100)*3)+(Inputs!$B$28+1)+Inputs!$B$29)))</f>
        <v/>
      </c>
      <c r="E945">
        <f>INDEX(FactorTable!$B$2:$Y$301, MATCH(ROUND(MIN(300,MAX(1,D945)),0), FactorTable!$A$2:$A$301,0), Skills!M19+1)</f>
        <v/>
      </c>
      <c r="F945">
        <f>IF(Skills!N19=TRUE,(Skills!L19/10)*(E945/1000),Skills!L19/10)+Skills!O19</f>
        <v/>
      </c>
      <c r="G945">
        <f>Skills!G19*IF(Skills!H19&gt;0,Skills!I19/Skills!H19,1)</f>
        <v/>
      </c>
      <c r="H945">
        <f>1-(1-Skills!J19/100)^Skills!K19</f>
        <v/>
      </c>
      <c r="I945" t="inlineStr">
        <is>
          <t>1</t>
        </is>
      </c>
      <c r="J945" t="inlineStr"/>
      <c r="K945" t="inlineStr"/>
      <c r="L945" t="inlineStr"/>
      <c r="M945" t="inlineStr"/>
      <c r="N945" t="inlineStr"/>
      <c r="O945">
        <f>(1-Summary!$B$11)*T945+Summary!$B$11*V945</f>
        <v/>
      </c>
      <c r="P945">
        <f>IF(B968=0,0,O945/B968)</f>
        <v/>
      </c>
      <c r="Q945" t="n">
        <v>0</v>
      </c>
      <c r="R945" t="n">
        <v>0</v>
      </c>
      <c r="S945" t="n">
        <v>0</v>
      </c>
      <c r="T945" t="n">
        <v>0</v>
      </c>
      <c r="V945" t="n">
        <v>0</v>
      </c>
    </row>
    <row r="946">
      <c r="A946">
        <f>Skills!A20</f>
        <v/>
      </c>
      <c r="B946">
        <f>Skills!B20</f>
        <v/>
      </c>
      <c r="C946">
        <f>Inputs!$B$3&gt;=10</f>
        <v/>
      </c>
      <c r="D946">
        <f>IF(Skills!C20=1,60+Inputs!$B$25+Inputs!$B$29,IF(Skills!C20=2,90+Inputs!$B$26+Inputs!$B$29,IF(Skills!C20=3,120+Inputs!$B$27+Inputs!$B$29,MAX(0,(Inputs!$B$3-100)*3)+(Inputs!$B$28+1)+Inputs!$B$29)))</f>
        <v/>
      </c>
      <c r="E946">
        <f>INDEX(FactorTable!$B$2:$Y$301, MATCH(ROUND(MIN(300,MAX(1,D946)),0), FactorTable!$A$2:$A$301,0), Skills!M20+1)</f>
        <v/>
      </c>
      <c r="F946">
        <f>IF(Skills!N20=TRUE,(Skills!L20/10)*(E946/1000),Skills!L20/10)+Skills!O20</f>
        <v/>
      </c>
      <c r="G946">
        <f>Skills!G20*IF(Skills!H20&gt;0,Skills!I20/Skills!H20,1)</f>
        <v/>
      </c>
      <c r="H946">
        <f>1-(1-Skills!J20/100)^Skills!K20</f>
        <v/>
      </c>
      <c r="I946" t="inlineStr">
        <is>
          <t>1</t>
        </is>
      </c>
      <c r="J946" t="inlineStr"/>
      <c r="K946" t="inlineStr"/>
      <c r="L946" t="inlineStr"/>
      <c r="M946" t="inlineStr"/>
      <c r="N946" t="inlineStr"/>
      <c r="O946">
        <f>(1-Summary!$B$11)*T946+Summary!$B$11*V946</f>
        <v/>
      </c>
      <c r="P946">
        <f>IF(B968=0,0,O946/B968)</f>
        <v/>
      </c>
      <c r="Q946" t="n">
        <v>0</v>
      </c>
      <c r="R946" t="n">
        <v>0</v>
      </c>
      <c r="S946" t="n">
        <v>0</v>
      </c>
      <c r="T946" t="n">
        <v>0</v>
      </c>
      <c r="V946" t="n">
        <v>0</v>
      </c>
    </row>
    <row r="947">
      <c r="A947">
        <f>Skills!A21</f>
        <v/>
      </c>
      <c r="B947">
        <f>Skills!B21</f>
        <v/>
      </c>
      <c r="C947">
        <f>Inputs!$B$3&gt;=33</f>
        <v/>
      </c>
      <c r="D947">
        <f>IF(Skills!C21=1,60+Inputs!$B$25+Inputs!$B$29,IF(Skills!C21=2,90+Inputs!$B$26+Inputs!$B$29,IF(Skills!C21=3,120+Inputs!$B$27+Inputs!$B$29,MAX(0,(Inputs!$B$3-100)*3)+(Inputs!$B$28+1)+Inputs!$B$29)))</f>
        <v/>
      </c>
      <c r="E947">
        <f>INDEX(FactorTable!$B$2:$Y$301, MATCH(ROUND(MIN(300,MAX(1,D947)),0), FactorTable!$A$2:$A$301,0), Skills!M21+1)</f>
        <v/>
      </c>
      <c r="F947">
        <f>IF(Skills!N21=TRUE,(Skills!L21/10)*(E947/1000),Skills!L21/10)+Skills!O21</f>
        <v/>
      </c>
      <c r="G947">
        <f>Skills!G21*IF(Skills!H21&gt;0,Skills!I21/Skills!H21,1)</f>
        <v/>
      </c>
      <c r="H947">
        <f>1-(1-Skills!J21/100)^Skills!K21</f>
        <v/>
      </c>
      <c r="I947" t="inlineStr">
        <is>
          <t>1</t>
        </is>
      </c>
      <c r="J947" t="inlineStr"/>
      <c r="K947" t="inlineStr"/>
      <c r="L947" t="inlineStr"/>
      <c r="M947" t="inlineStr"/>
      <c r="N947" t="inlineStr"/>
      <c r="O947">
        <f>(1-Summary!$B$11)*T947+Summary!$B$11*V947</f>
        <v/>
      </c>
      <c r="P947">
        <f>IF(B968=0,0,O947/B968)</f>
        <v/>
      </c>
      <c r="Q947" t="n">
        <v>0</v>
      </c>
      <c r="R947" t="n">
        <v>0</v>
      </c>
      <c r="S947" t="n">
        <v>0</v>
      </c>
      <c r="T947" t="n">
        <v>0</v>
      </c>
      <c r="V947" t="n">
        <v>0</v>
      </c>
    </row>
    <row r="948">
      <c r="A948">
        <f>Skills!A22</f>
        <v/>
      </c>
      <c r="B948">
        <f>Skills!B22</f>
        <v/>
      </c>
      <c r="C948">
        <f>Inputs!$B$3&gt;=38</f>
        <v/>
      </c>
      <c r="D948">
        <f>IF(Skills!C22=1,60+Inputs!$B$25+Inputs!$B$29,IF(Skills!C22=2,90+Inputs!$B$26+Inputs!$B$29,IF(Skills!C22=3,120+Inputs!$B$27+Inputs!$B$29,MAX(0,(Inputs!$B$3-100)*3)+(Inputs!$B$28+1)+Inputs!$B$29)))</f>
        <v/>
      </c>
      <c r="E948">
        <f>INDEX(FactorTable!$B$2:$Y$301, MATCH(ROUND(MIN(300,MAX(1,D948)),0), FactorTable!$A$2:$A$301,0), Skills!M22+1)</f>
        <v/>
      </c>
      <c r="F948">
        <f>IF(Skills!N22=TRUE,(Skills!L22/10)*(E948/1000),Skills!L22/10)+Skills!O22</f>
        <v/>
      </c>
      <c r="G948">
        <f>Skills!G22*IF(Skills!H22&gt;0,Skills!I22/Skills!H22,1)</f>
        <v/>
      </c>
      <c r="H948">
        <f>1-(1-Skills!J22/100)^Skills!K22</f>
        <v/>
      </c>
      <c r="I948" t="inlineStr">
        <is>
          <t>1</t>
        </is>
      </c>
      <c r="J948" t="inlineStr"/>
      <c r="K948" t="inlineStr"/>
      <c r="L948" t="inlineStr"/>
      <c r="M948" t="inlineStr"/>
      <c r="N948" t="inlineStr"/>
      <c r="O948">
        <f>(1-Summary!$B$11)*T948+Summary!$B$11*V948</f>
        <v/>
      </c>
      <c r="P948">
        <f>IF(B968=0,0,O948/B968)</f>
        <v/>
      </c>
      <c r="Q948" t="n">
        <v>0</v>
      </c>
      <c r="R948" t="n">
        <v>0</v>
      </c>
      <c r="S948" t="n">
        <v>0</v>
      </c>
      <c r="T948" t="n">
        <v>0</v>
      </c>
      <c r="V948" t="n">
        <v>0</v>
      </c>
    </row>
    <row r="949">
      <c r="A949">
        <f>Skills!A23</f>
        <v/>
      </c>
      <c r="B949">
        <f>Skills!B23</f>
        <v/>
      </c>
      <c r="C949">
        <f>Inputs!$B$3&gt;=43</f>
        <v/>
      </c>
      <c r="D949">
        <f>IF(Skills!C23=1,60+Inputs!$B$25+Inputs!$B$29,IF(Skills!C23=2,90+Inputs!$B$26+Inputs!$B$29,IF(Skills!C23=3,120+Inputs!$B$27+Inputs!$B$29,MAX(0,(Inputs!$B$3-100)*3)+(Inputs!$B$28+1)+Inputs!$B$29)))</f>
        <v/>
      </c>
      <c r="E949">
        <f>INDEX(FactorTable!$B$2:$Y$301, MATCH(ROUND(MIN(300,MAX(1,D949)),0), FactorTable!$A$2:$A$301,0), Skills!M23+1)</f>
        <v/>
      </c>
      <c r="F949">
        <f>IF(Skills!N23=TRUE,(Skills!L23/10)*(E949/1000),Skills!L23/10)+Skills!O23</f>
        <v/>
      </c>
      <c r="G949">
        <f>Skills!G23*IF(Skills!H23&gt;0,Skills!I23/Skills!H23,1)</f>
        <v/>
      </c>
      <c r="H949">
        <f>1-(1-Skills!J23/100)^Skills!K23</f>
        <v/>
      </c>
      <c r="I949" t="inlineStr">
        <is>
          <t>1</t>
        </is>
      </c>
      <c r="J949" t="inlineStr"/>
      <c r="K949" t="inlineStr"/>
      <c r="L949" t="inlineStr"/>
      <c r="M949" t="inlineStr"/>
      <c r="N949" t="inlineStr"/>
      <c r="O949">
        <f>(1-Summary!$B$11)*T949+Summary!$B$11*V949</f>
        <v/>
      </c>
      <c r="P949">
        <f>IF(B968=0,0,O949/B968)</f>
        <v/>
      </c>
      <c r="Q949" t="n">
        <v>0</v>
      </c>
      <c r="R949" t="n">
        <v>0</v>
      </c>
      <c r="S949" t="n">
        <v>0</v>
      </c>
      <c r="T949" t="n">
        <v>0</v>
      </c>
      <c r="V949" t="n">
        <v>0</v>
      </c>
    </row>
    <row r="950">
      <c r="A950">
        <f>Skills!A24</f>
        <v/>
      </c>
      <c r="B950">
        <f>Skills!B24</f>
        <v/>
      </c>
      <c r="C950">
        <f>Inputs!$B$3&gt;=75</f>
        <v/>
      </c>
      <c r="D950">
        <f>IF(Skills!C24=1,60+Inputs!$B$25+Inputs!$B$29,IF(Skills!C24=2,90+Inputs!$B$26+Inputs!$B$29,IF(Skills!C24=3,120+Inputs!$B$27+Inputs!$B$29,MAX(0,(Inputs!$B$3-100)*3)+(Inputs!$B$28+1)+Inputs!$B$29)))</f>
        <v/>
      </c>
      <c r="E950">
        <f>INDEX(FactorTable!$B$2:$Y$301, MATCH(ROUND(MIN(300,MAX(1,D950)),0), FactorTable!$A$2:$A$301,0), Skills!M24+1)</f>
        <v/>
      </c>
      <c r="F950">
        <f>IF(Skills!N24=TRUE,(Skills!L24/10)*(E950/1000),Skills!L24/10)+Skills!O24</f>
        <v/>
      </c>
      <c r="G950">
        <f>Skills!G24*IF(Skills!H24&gt;0,Skills!I24/Skills!H24,1)</f>
        <v/>
      </c>
      <c r="H950">
        <f>1-(1-Skills!J24/100)^Skills!K24</f>
        <v/>
      </c>
      <c r="I950" t="inlineStr">
        <is>
          <t>1</t>
        </is>
      </c>
      <c r="J950" t="inlineStr"/>
      <c r="K950" t="inlineStr"/>
      <c r="L950" t="inlineStr"/>
      <c r="M950" t="inlineStr"/>
      <c r="N950" t="inlineStr"/>
      <c r="O950">
        <f>(1-Summary!$B$11)*T950+Summary!$B$11*V950</f>
        <v/>
      </c>
      <c r="P950">
        <f>IF(B968=0,0,O950/B968)</f>
        <v/>
      </c>
      <c r="Q950" t="n">
        <v>0</v>
      </c>
      <c r="R950" t="n">
        <v>0</v>
      </c>
      <c r="S950" t="n">
        <v>0</v>
      </c>
      <c r="T950" t="n">
        <v>0</v>
      </c>
      <c r="V950" t="n">
        <v>0</v>
      </c>
    </row>
    <row r="951">
      <c r="A951">
        <f>Skills!A25</f>
        <v/>
      </c>
      <c r="B951">
        <f>Skills!B25</f>
        <v/>
      </c>
      <c r="C951">
        <f>Inputs!$B$3&gt;=125</f>
        <v/>
      </c>
      <c r="D951">
        <f>IF(Skills!C25=1,60+Inputs!$B$25+Inputs!$B$29,IF(Skills!C25=2,90+Inputs!$B$26+Inputs!$B$29,IF(Skills!C25=3,120+Inputs!$B$27+Inputs!$B$29,MAX(0,(Inputs!$B$3-100)*3)+(Inputs!$B$28+1)+Inputs!$B$29)))</f>
        <v/>
      </c>
      <c r="E951">
        <f>INDEX(FactorTable!$B$2:$Y$301, MATCH(ROUND(MIN(300,MAX(1,D951)),0), FactorTable!$A$2:$A$301,0), Skills!M25+1)</f>
        <v/>
      </c>
      <c r="F951">
        <f>IF(Skills!N25=TRUE,(Skills!L25/10)*(E951/1000),Skills!L25/10)+Skills!O25</f>
        <v/>
      </c>
      <c r="G951">
        <f>Skills!G25*IF(Skills!H25&gt;0,Skills!I25/Skills!H25,1)</f>
        <v/>
      </c>
      <c r="H951">
        <f>1-(1-Skills!J25/100)^Skills!K25</f>
        <v/>
      </c>
      <c r="I951" t="inlineStr">
        <is>
          <t>1</t>
        </is>
      </c>
      <c r="J951" t="inlineStr"/>
      <c r="K951" t="inlineStr"/>
      <c r="L951" t="inlineStr"/>
      <c r="M951" t="inlineStr"/>
      <c r="N951" t="inlineStr"/>
      <c r="O951">
        <f>(1-Summary!$B$11)*T951+Summary!$B$11*V951</f>
        <v/>
      </c>
      <c r="P951">
        <f>IF(B968=0,0,O951/B968)</f>
        <v/>
      </c>
      <c r="Q951" t="n">
        <v>0</v>
      </c>
      <c r="R951" t="n">
        <v>0</v>
      </c>
      <c r="S951" t="n">
        <v>0</v>
      </c>
      <c r="T951" t="n">
        <v>0</v>
      </c>
      <c r="V951" t="n">
        <v>0</v>
      </c>
    </row>
    <row r="952">
      <c r="A952">
        <f>Skills!A26</f>
        <v/>
      </c>
      <c r="B952">
        <f>Skills!B26</f>
        <v/>
      </c>
      <c r="C952">
        <f>Inputs!$B$3&gt;=125</f>
        <v/>
      </c>
      <c r="D952">
        <f>IF(Skills!C26=1,60+Inputs!$B$25+Inputs!$B$29,IF(Skills!C26=2,90+Inputs!$B$26+Inputs!$B$29,IF(Skills!C26=3,120+Inputs!$B$27+Inputs!$B$29,MAX(0,(Inputs!$B$3-100)*3)+(Inputs!$B$28+1)+Inputs!$B$29)))</f>
        <v/>
      </c>
      <c r="E952">
        <f>INDEX(FactorTable!$B$2:$Y$301, MATCH(ROUND(MIN(300,MAX(1,D952)),0), FactorTable!$A$2:$A$301,0), Skills!M26+1)</f>
        <v/>
      </c>
      <c r="F952">
        <f>IF(Skills!N26=TRUE,(Skills!L26/10)*(E952/1000),Skills!L26/10)+Skills!O26</f>
        <v/>
      </c>
      <c r="G952">
        <f>Skills!G26*IF(Skills!H26&gt;0,Skills!I26/Skills!H26,1)</f>
        <v/>
      </c>
      <c r="H952">
        <f>1-(1-Skills!J26/100)^Skills!K26</f>
        <v/>
      </c>
      <c r="I952" t="inlineStr">
        <is>
          <t>1</t>
        </is>
      </c>
      <c r="J952" t="inlineStr"/>
      <c r="K952" t="inlineStr"/>
      <c r="L952" t="inlineStr"/>
      <c r="M952" t="inlineStr"/>
      <c r="N952" t="inlineStr"/>
      <c r="O952">
        <f>(1-Summary!$B$11)*T952+Summary!$B$11*V952</f>
        <v/>
      </c>
      <c r="P952">
        <f>IF(B968=0,0,O952/B968)</f>
        <v/>
      </c>
      <c r="Q952" t="n">
        <v>0</v>
      </c>
      <c r="R952" t="n">
        <v>0</v>
      </c>
      <c r="S952" t="n">
        <v>0</v>
      </c>
      <c r="T952" t="n">
        <v>0</v>
      </c>
      <c r="V952" t="n">
        <v>0</v>
      </c>
    </row>
    <row r="953">
      <c r="A953">
        <f>Skills!A27</f>
        <v/>
      </c>
      <c r="B953">
        <f>Skills!B27</f>
        <v/>
      </c>
      <c r="C953">
        <f>Inputs!$B$3&gt;=120</f>
        <v/>
      </c>
      <c r="D953">
        <f>IF(Skills!C27=1,60+Inputs!$B$25+Inputs!$B$29,IF(Skills!C27=2,90+Inputs!$B$26+Inputs!$B$29,IF(Skills!C27=3,120+Inputs!$B$27+Inputs!$B$29,MAX(0,(Inputs!$B$3-100)*3)+(Inputs!$B$28+1)+Inputs!$B$29)))</f>
        <v/>
      </c>
      <c r="E953">
        <f>INDEX(FactorTable!$B$2:$Y$301, MATCH(ROUND(MIN(300,MAX(1,D953)),0), FactorTable!$A$2:$A$301,0), Skills!M27+1)</f>
        <v/>
      </c>
      <c r="F953">
        <f>IF(Skills!N27=TRUE,(Skills!L27/10)*(E953/1000),Skills!L27/10)+Skills!O27</f>
        <v/>
      </c>
      <c r="G953">
        <f>Skills!G27*IF(Skills!H27&gt;0,Skills!I27/Skills!H27,1)</f>
        <v/>
      </c>
      <c r="H953">
        <f>1-(1-Skills!J27/100)^Skills!K27</f>
        <v/>
      </c>
      <c r="I953" t="inlineStr">
        <is>
          <t>1</t>
        </is>
      </c>
      <c r="J953" t="inlineStr"/>
      <c r="K953" t="inlineStr"/>
      <c r="L953" t="inlineStr"/>
      <c r="M953" t="inlineStr"/>
      <c r="N953" t="inlineStr"/>
      <c r="O953">
        <f>(1-Summary!$B$11)*T953+Summary!$B$11*V953</f>
        <v/>
      </c>
      <c r="P953">
        <f>IF(B968=0,0,O953/B968)</f>
        <v/>
      </c>
      <c r="Q953" t="n">
        <v>0</v>
      </c>
      <c r="R953" t="n">
        <v>0</v>
      </c>
      <c r="S953" t="n">
        <v>0</v>
      </c>
      <c r="T953" t="n">
        <v>0</v>
      </c>
      <c r="V953" t="n">
        <v>0</v>
      </c>
    </row>
    <row r="954">
      <c r="A954">
        <f>Skills!A28</f>
        <v/>
      </c>
      <c r="B954">
        <f>Skills!B28</f>
        <v/>
      </c>
      <c r="C954">
        <f>Inputs!$B$3&gt;=120</f>
        <v/>
      </c>
      <c r="D954">
        <f>IF(Skills!C28=1,60+Inputs!$B$25+Inputs!$B$29,IF(Skills!C28=2,90+Inputs!$B$26+Inputs!$B$29,IF(Skills!C28=3,120+Inputs!$B$27+Inputs!$B$29,MAX(0,(Inputs!$B$3-100)*3)+(Inputs!$B$28+1)+Inputs!$B$29)))</f>
        <v/>
      </c>
      <c r="E954">
        <f>INDEX(FactorTable!$B$2:$Y$301, MATCH(ROUND(MIN(300,MAX(1,D954)),0), FactorTable!$A$2:$A$301,0), Skills!M28+1)</f>
        <v/>
      </c>
      <c r="F954">
        <f>IF(Skills!N28=TRUE,(Skills!L28/10)*(E954/1000),Skills!L28/10)+Skills!O28</f>
        <v/>
      </c>
      <c r="G954">
        <f>Skills!G28*IF(Skills!H28&gt;0,Skills!I28/Skills!H28,1)</f>
        <v/>
      </c>
      <c r="H954">
        <f>1-(1-Skills!J28/100)^Skills!K28</f>
        <v/>
      </c>
      <c r="I954" t="inlineStr">
        <is>
          <t>1</t>
        </is>
      </c>
      <c r="J954" t="inlineStr"/>
      <c r="K954" t="inlineStr"/>
      <c r="L954" t="inlineStr"/>
      <c r="M954" t="inlineStr"/>
      <c r="N954" t="inlineStr"/>
      <c r="O954">
        <f>(1-Summary!$B$11)*T954+Summary!$B$11*V954</f>
        <v/>
      </c>
      <c r="P954">
        <f>IF(B968=0,0,O954/B968)</f>
        <v/>
      </c>
      <c r="Q954" t="n">
        <v>0</v>
      </c>
      <c r="R954" t="n">
        <v>0</v>
      </c>
      <c r="S954" t="n">
        <v>0</v>
      </c>
      <c r="T954" t="n">
        <v>0</v>
      </c>
      <c r="V954" t="n">
        <v>0</v>
      </c>
    </row>
    <row r="955">
      <c r="A955">
        <f>Skills!A29</f>
        <v/>
      </c>
      <c r="B955">
        <f>Skills!B29</f>
        <v/>
      </c>
      <c r="C955">
        <f>Inputs!$B$3&gt;=45</f>
        <v/>
      </c>
      <c r="D955">
        <f>IF(Skills!C29=1,60+Inputs!$B$25+Inputs!$B$29,IF(Skills!C29=2,90+Inputs!$B$26+Inputs!$B$29,IF(Skills!C29=3,120+Inputs!$B$27+Inputs!$B$29,MAX(0,(Inputs!$B$3-100)*3)+(Inputs!$B$28+1)+Inputs!$B$29)))</f>
        <v/>
      </c>
      <c r="E955">
        <f>INDEX(FactorTable!$B$2:$Y$301, MATCH(ROUND(MIN(300,MAX(1,D955)),0), FactorTable!$A$2:$A$301,0), Skills!M29+1)</f>
        <v/>
      </c>
      <c r="F955">
        <f>IF(Skills!N29=TRUE,(Skills!L29/10)*(E955/1000),Skills!L29/10)+Skills!O29</f>
        <v/>
      </c>
      <c r="G955">
        <f>Skills!G29*IF(Skills!H29&gt;0,Skills!I29/Skills!H29,1)</f>
        <v/>
      </c>
      <c r="H955">
        <f>1-(1-Skills!J29/100)^Skills!K29</f>
        <v/>
      </c>
      <c r="I955" t="inlineStr">
        <is>
          <t>1</t>
        </is>
      </c>
      <c r="J955" t="inlineStr"/>
      <c r="K955" t="inlineStr"/>
      <c r="L955" t="inlineStr"/>
      <c r="M955" t="inlineStr"/>
      <c r="N955" t="inlineStr"/>
      <c r="O955">
        <f>(1-Summary!$B$11)*T955+Summary!$B$11*V955</f>
        <v/>
      </c>
      <c r="P955">
        <f>IF(B968=0,0,O955/B968)</f>
        <v/>
      </c>
      <c r="Q955" t="n">
        <v>0</v>
      </c>
      <c r="R955" t="n">
        <v>0</v>
      </c>
      <c r="S955" t="n">
        <v>0</v>
      </c>
      <c r="T955" t="n">
        <v>0</v>
      </c>
      <c r="V955" t="n">
        <v>0</v>
      </c>
    </row>
    <row r="957">
      <c r="A957" t="inlineStr">
        <is>
          <t>Attack% Bucket Multiplier</t>
        </is>
      </c>
      <c r="B957">
        <f>(1+(((C939=TRUE)*F939)+((C940=TRUE)*IF(Inputs!$B$38="pvp",F940,(1-Summary!$B$11)*(F940)+Summary!$B$11*(0)))+((C941=TRUE)*F941*IF(AND(Inputs!$B$38&lt;&gt;"pvp",Inputs!$B$43&gt;0),(((R941-1)*(Skills!T15*(1+Inputs!$B$34/100))+MIN((Skills!T15*(1+Inputs!$B$34/100)),MAX(0,Inputs!$B$43-((R941-1)*Skills!D15))))/Inputs!$B$43),IF(Inputs!$B$38="pvp",MIN((Skills!T15*(1+Inputs!$B$34/100)),15)/15,(Skills!T15*(1+Inputs!$B$34/100))/Skills!D15)))+((C938=TRUE)*F938)+((C955=TRUE)*(F955-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958">
      <c r="A958" t="inlineStr">
        <is>
          <t>Global Crit Rate Bonus %</t>
        </is>
      </c>
      <c r="B958">
        <f>(C942=TRUE)*20*IF(AND(Inputs!$B$38&lt;&gt;"pvp",Inputs!$B$43&gt;0),(((R942-1)*(Skills!T16*(1+Inputs!$B$34/100))+MIN((Skills!T16*(1+Inputs!$B$34/100)),MAX(0,Inputs!$B$43-((R942-1)*Skills!D16))))/Inputs!$B$43),IF(Inputs!$B$38="pvp",MIN((Skills!T16*(1+Inputs!$B$34/100)),15)/15,(Skills!T16*(1+Inputs!$B$34/100))/Skills!D16))</f>
        <v/>
      </c>
    </row>
    <row r="959">
      <c r="A959" t="inlineStr">
        <is>
          <t>Attack Speed Buff Bonus %</t>
        </is>
      </c>
      <c r="B959">
        <f>((C944=TRUE)*F944*IF(AND(Inputs!$B$38&lt;&gt;"pvp",Inputs!$B$43&gt;0),(((R944-1)*(Skills!T18*(1+Inputs!$B$34/100))+MIN((Skills!T18*(1+Inputs!$B$34/100)),MAX(0,Inputs!$B$43-((R944-1)*Skills!D18))))/Inputs!$B$43),IF(Inputs!$B$38="pvp",MIN((Skills!T18*(1+Inputs!$B$34/100)),15)/15,(Skills!T18*(1+Inputs!$B$34/100))/Skills!D18)))</f>
        <v/>
      </c>
    </row>
    <row r="960">
      <c r="A960" t="inlineStr">
        <is>
          <t>Actions Per Second</t>
        </is>
      </c>
      <c r="B960">
        <f>1+MIN(150,150*(1-(1-(Inputs!$B$11+((C946=TRUE)*(F946-Calc!F20))+((C947=TRUE)*(F947-Calc!F21)))/150)*(1-B959/150)))/100</f>
        <v/>
      </c>
    </row>
    <row r="961">
      <c r="A961" t="inlineStr">
        <is>
          <t>Skill + Buff Cast Rate</t>
        </is>
      </c>
      <c r="B961">
        <f>IF(AND(Inputs!$B$38&lt;&gt;"pvp",Inputs!$B$43&gt;0),SUMPRODUCT((Skills!E2:E29=TRUE)*(C928:C955=TRUE)*R928:R955*Skills!F2:F29)/Inputs!$B$43,SUMPRODUCT((Skills!E2:E29=TRUE)*(C928:C955=TRUE)*Q928:Q955*Skills!F2:F29))</f>
        <v/>
      </c>
    </row>
    <row r="962">
      <c r="A962" t="inlineStr">
        <is>
          <t>Empowered Piercing Arrow Casts Per Second</t>
        </is>
      </c>
      <c r="B962">
        <f>MAX(0,B960-B961)</f>
        <v/>
      </c>
    </row>
    <row r="963">
      <c r="A963" t="inlineStr">
        <is>
          <t>Global Critical Damage Bonus % (Sharp Eyes)</t>
        </is>
      </c>
      <c r="B963">
        <f>(C942=TRUE)*F942*IF(AND(Inputs!$B$38&lt;&gt;"pvp",Inputs!$B$43&gt;0),(((R942-1)*(Skills!T16*(1+Inputs!$B$34/100))+MIN((Skills!T16*(1+Inputs!$B$34/100)),MAX(0,Inputs!$B$43-((R942-1)*Skills!D16))))/Inputs!$B$43),IF(Inputs!$B$38="pvp",MIN((Skills!T16*(1+Inputs!$B$34/100)),15)/15,(Skills!T16*(1+Inputs!$B$34/100))/Skills!D16))</f>
        <v/>
      </c>
    </row>
    <row r="964">
      <c r="A964" t="inlineStr">
        <is>
          <t>Global Final Damage Bonus % (Mortal Blow + Last Man Standing conditional half)</t>
        </is>
      </c>
      <c r="B964">
        <f>(C943=TRUE)*F943+((C952=TRUE)*IF(Inputs!$B$38="pvp",F952,(1-Summary!$B$11)*(F952)+Summary!$B$11*(0)))</f>
        <v/>
      </c>
    </row>
    <row r="965">
      <c r="A965" t="inlineStr">
        <is>
          <t>Buff-Casting Startup Delay (s, fixed-duration only)</t>
        </is>
      </c>
      <c r="B965">
        <f>IF(AND(Inputs!$B$38&lt;&gt;"pvp",Inputs!$B$43&gt;0),SUMPRODUCT((Skills!T2:T29&gt;0)*(Skills!E2:E29=TRUE)*(C928:C955=TRUE))/B960,0)</f>
        <v/>
      </c>
    </row>
    <row r="966">
      <c r="A966" t="inlineStr">
        <is>
          <t>Boss-Only Total DPS (this block's swept value)</t>
        </is>
      </c>
      <c r="B966">
        <f>SUM(T928:T955)</f>
        <v/>
      </c>
    </row>
    <row r="967">
      <c r="A967" t="inlineStr">
        <is>
          <t>Normal-Only Total DPS (this block's swept value)</t>
        </is>
      </c>
      <c r="B967">
        <f>SUM(V928:V955)</f>
        <v/>
      </c>
    </row>
    <row r="968">
      <c r="A968" s="6" t="inlineStr">
        <is>
          <t>TOTAL DPS</t>
        </is>
      </c>
      <c r="B968" s="6">
        <f>SUM(O928:O955)</f>
        <v/>
      </c>
    </row>
    <row r="971">
      <c r="A971" s="6" t="inlineStr">
        <is>
          <t>Stat: Skill Level Bonus — All Skills</t>
        </is>
      </c>
    </row>
    <row r="972">
      <c r="A972" s="5" t="inlineStr">
        <is>
          <t>Key</t>
        </is>
      </c>
      <c r="B972" s="5" t="inlineStr">
        <is>
          <t>Name</t>
        </is>
      </c>
      <c r="C972" s="5" t="inlineStr">
        <is>
          <t>Unlocked</t>
        </is>
      </c>
      <c r="D972" s="5" t="inlineStr">
        <is>
          <t>InputLevel</t>
        </is>
      </c>
      <c r="E972" s="5" t="inlineStr">
        <is>
          <t>Factor</t>
        </is>
      </c>
      <c r="F972" s="5" t="inlineStr">
        <is>
          <t>CoefficientPercent</t>
        </is>
      </c>
      <c r="G972" s="5" t="inlineStr">
        <is>
          <t>EffectiveHits</t>
        </is>
      </c>
      <c r="H972" s="5" t="inlineStr">
        <is>
          <t>ProcProbability</t>
        </is>
      </c>
      <c r="I972" s="5" t="inlineStr">
        <is>
          <t>MapleHeroMultiplier</t>
        </is>
      </c>
      <c r="J972" s="5" t="inlineStr">
        <is>
          <t>BaseDamage</t>
        </is>
      </c>
      <c r="K972" s="5" t="inlineStr">
        <is>
          <t>BaseHitDamage</t>
        </is>
      </c>
      <c r="L972" s="5" t="inlineStr">
        <is>
          <t>NonCritAvg</t>
        </is>
      </c>
      <c r="M972" s="5" t="inlineStr">
        <is>
          <t>CritAvg</t>
        </is>
      </c>
      <c r="N972" s="5" t="inlineStr">
        <is>
          <t>ExpectedDamage(perHit)</t>
        </is>
      </c>
      <c r="O972" s="5" t="inlineStr">
        <is>
          <t>DPS</t>
        </is>
      </c>
      <c r="P972" s="5" t="inlineStr">
        <is>
          <t>% of Total</t>
        </is>
      </c>
      <c r="Q972" s="5" t="inlineStr">
        <is>
          <t>InvCooldown</t>
        </is>
      </c>
      <c r="R972" s="5" t="inlineStr">
        <is>
          <t>CastsInFight</t>
        </is>
      </c>
      <c r="S972" s="5" t="inlineStr">
        <is>
          <t>HitRate(perSec)</t>
        </is>
      </c>
      <c r="U972" t="inlineStr">
        <is>
          <t>helpers</t>
        </is>
      </c>
    </row>
    <row r="973">
      <c r="A973">
        <f>Skills!A2</f>
        <v/>
      </c>
      <c r="B973">
        <f>Skills!B2</f>
        <v/>
      </c>
      <c r="C973">
        <f>Inputs!$B$3&gt;=100</f>
        <v/>
      </c>
      <c r="D973" t="inlineStr"/>
      <c r="E973" t="inlineStr"/>
      <c r="F973">
        <f>U975+Skills!O2</f>
        <v/>
      </c>
      <c r="G973">
        <f>Skills!G2*IF(Skills!H2&gt;0,Skills!I2/Skills!H2,1)</f>
        <v/>
      </c>
      <c r="H973">
        <f>1-(1-Skills!J2/100)^Skills!K2</f>
        <v/>
      </c>
      <c r="I973" t="inlineStr">
        <is>
          <t>1</t>
        </is>
      </c>
      <c r="J973">
        <f>((Inputs!$B$6*(1+Inputs!$B$7/100))+(((Inputs!$B$12*(1+Inputs!$B$13/100))-(Inputs!$B$12*(1+Inputs!$B$13/100)))+0.25*(Inputs!$B$14-Inputs!$B$14))*(1+Inputs!$B$7/100))*(F973/100)</f>
        <v/>
      </c>
      <c r="K973">
        <f>J973*(1+((Inputs!$B$12*(1+Inputs!$B$13/100))*0.01+Inputs!$B$14*0.0025)/100)*(1+Inputs!$B$15/100)*(1+Inputs!$B$16/100)*(5000/(6000+Inputs!$B$42*(1-(100*(1-(1-(Inputs!$B$19+0)/100)*(1-CHOOSE(ArtifactsInput!$N$40+1,5,6,7,8,9,10)/100)^(ArtifactsInput!$M$40-ArtifactsInput!$M$40)))/100)))*(1+(Inputs!$B$24+((C995=TRUE)*(F995-Calc!F24))+((C996=TRUE)*(F996-Calc!F25))+B1009)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EMPOWERED_PIERCING_ARROW",Inputs!$B$17+((C993=TRUE)*(F993-Calc!F22))+(((IF(AND(ArtifactsInput!$M$42,((Inputs!$B$9+((C990=TRUE)*(F990-Calc!F19))+B1003+(ArtifactsInput!$M$24-ArtifactsInput!$M$24)*CHOOSE(ArtifactsInput!$N$24+1,10,12,14,16,18,20)+IF(ArtifactsInput!$M$10,CHOOSE(ArtifactsInput!$N$10+1,15,18,21,24,27,30)*(IF(Inputs!$B$38="pvp",MIN(15,15)/15,IF(AND(Inputs!$B$38&lt;&gt;"pvp",Inputs!$B$43&gt;0),MIN(15,Inputs!$B$43)/(Inputs!$B$43),0))),0)))&gt;=100),MIN(100,((Inputs!$B$9+((C990=TRUE)*(F990-Calc!F19))+B1003+(ArtifactsInput!$M$24-ArtifactsInput!$M$24)*CHOOSE(ArtifactsInput!$N$24+1,10,12,14,16,18,20)+IF(ArtifactsInput!$M$10,CHOOSE(ArtifactsInput!$N$10+1,15,18,21,24,27,30)*(IF(Inputs!$B$38="pvp",MIN(15,15)/15,IF(AND(Inputs!$B$38&lt;&gt;"pvp",Inputs!$B$43&gt;0),MIN(15,Inputs!$B$43)/(Inputs!$B$43),0))),0)))-100),0))*CHOOSE(ArtifactsInput!$N$42+1,0.6,0.72,0.84,0.96,1.08,1.2))),Inputs!$B$18+((C998=TRUE)*(F998-Calc!F27))+(IF(AND(ArtifactsInput!$M$42,((Inputs!$B$9+((C990=TRUE)*(F990-Calc!F19))+B1003+(ArtifactsInput!$M$24-ArtifactsInput!$M$24)*CHOOSE(ArtifactsInput!$N$24+1,10,12,14,16,18,20)+IF(ArtifactsInput!$M$10,CHOOSE(ArtifactsInput!$N$10+1,15,18,21,24,27,30)*(IF(Inputs!$B$38="pvp",MIN(15,15)/15,IF(AND(Inputs!$B$38&lt;&gt;"pvp",Inputs!$B$43&gt;0),MIN(15,Inputs!$B$43)/(Inputs!$B$43),0))),0)))&gt;=100),CHOOSE(ArtifactsInput!$N$42+1,40,48,56,64,72,80),0))))/100)*((1+(((C984=TRUE)*F984)+((C985=TRUE)*IF(Inputs!$B$38="pvp",F985,(1-Summary!$B$11)*(F985)+Summary!$B$11*(0)))+((C986=TRUE)*F986*IF(AND(Inputs!$B$38&lt;&gt;"pvp",Inputs!$B$43&gt;0),(((R986-1)*(Skills!T15*(1+Inputs!$B$34/100))+MIN((Skills!T15*(1+Inputs!$B$34/100)),MAX(0,Inputs!$B$43-((R986-1)*Skills!D15))))/Inputs!$B$43),IF(Inputs!$B$38="pvp",MIN((Skills!T15*(1+Inputs!$B$34/100)),15)/15,(Skills!T15*(1+Inputs!$B$34/100))/Skills!D15)))+((C983=TRUE)*F983)+((C1000=TRUE)*(F1000-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973)</f>
        <v/>
      </c>
      <c r="L973">
        <f>K973*(MIN(Inputs!$B$22+((C994=TRUE)*(F994-Calc!F23)),(Inputs!$B$23+((C999=TRUE)*(F999-Calc!F28))+(IF(ArtifactsInput!$M$15,CHOOSE(ArtifactsInput!$N$15+1,25,30,35,40,45,50)/100*(Inputs!$B$11-Inputs!$B$11),0))))/100+(Inputs!$B$23+((C999=TRUE)*(F999-Calc!F28))+(IF(ArtifactsInput!$M$15,CHOOSE(ArtifactsInput!$N$15+1,25,30,35,40,45,50)/100*(Inputs!$B$11-Inputs!$B$11),0)))/100)/2</f>
        <v/>
      </c>
      <c r="M973">
        <f>L973*(1+(Inputs!$B$10+0+B1008+(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973">
        <f>L973*(1-MIN((Inputs!$B$9+((C990=TRUE)*(F990-Calc!F19))+B1003+(ArtifactsInput!$M$24-ArtifactsInput!$M$24)*CHOOSE(ArtifactsInput!$N$24+1,10,12,14,16,18,20)+(IF(AND(ArtifactsInput!$M$42,((Inputs!$B$9+((C990=TRUE)*(F990-Calc!F19))+B1003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973*(MIN((Inputs!$B$9+((C990=TRUE)*(F990-Calc!F19))+B1003+(ArtifactsInput!$M$24-ArtifactsInput!$M$24)*CHOOSE(ArtifactsInput!$N$24+1,10,12,14,16,18,20)+(IF(AND(ArtifactsInput!$M$42,((Inputs!$B$9+((C990=TRUE)*(F990-Calc!F19))+B1003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973">
        <f>(1-Summary!$B$11)*T973+Summary!$B$11*V973</f>
        <v/>
      </c>
      <c r="P973">
        <f>IF(B1013=0,0,O973/B1013)</f>
        <v/>
      </c>
      <c r="Q973" t="n">
        <v>0</v>
      </c>
      <c r="R973" t="n">
        <v>0</v>
      </c>
      <c r="S973">
        <f>IFERROR((Skills!G2*N973*B1007)/N973*IF(Inputs!$B$38="pvp",1,(1-Summary!$B$11)*1+Summary!$B$11*(MIN((6+Inputs!$B$33),Inputs!$B$37))),0)</f>
        <v/>
      </c>
      <c r="T973">
        <f>IF(C973,(Skills!G2*N973*B1007)*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Hunt"),CHOOSE(ArtifactsInput!$N$35+1,15,18,21,24,27,30)*(1-EXP(-(0.2*B1005)*5)),0)+IF(AND(ArtifactsInput!$M$22,Inputs!$B$4&lt;&gt;"Chapter Hunt"),CHOOSE(ArtifactsInput!$N$22+1,10,12,14,16,18,20)*((0*(((0.15*B1005*5))^0/1)+1*(((0.15*B1005*5))^1/1)+2*(((0.15*B1005*5))^2/2)+3*(((0.15*B1005*5))^3/6)+4*(((0.15*B1005*5))^4/24)+5*(((0.15*B1005*5))^5/120))/((((0.15*B1005*5))^0/1)+(((0.15*B1005*5))^1/1)+(((0.15*B1005*5))^2/2)+(((0.15*B1005*5))^3/6)+(((0.15*B1005*5))^4/24)+(((0.15*B1005*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973*(1-MIN(100,(Inputs!$B$9+((C990=TRUE)*(F990-Calc!F19))+B1003+(ArtifactsInput!$M$24-ArtifactsInput!$M$24)*CHOOSE(ArtifactsInput!$N$24+1,10,12,14,16,18,20)+(IF(AND(ArtifactsInput!$M$42,((Inputs!$B$9+((C990=TRUE)*(F990-Calc!F19))+B1003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973*(MIN(100,(Inputs!$B$9+((C990=TRUE)*(F990-Calc!F19))+B1003+(ArtifactsInput!$M$24-ArtifactsInput!$M$24)*CHOOSE(ArtifactsInput!$N$24+1,10,12,14,16,18,20)+(IF(AND(ArtifactsInput!$M$42,((Inputs!$B$9+((C990=TRUE)*(F990-Calc!F19))+B1003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973*(1-MIN(100,(Inputs!$B$9+((C990=TRUE)*(F990-Calc!F19))+B1003+(ArtifactsInput!$M$24-ArtifactsInput!$M$24)*CHOOSE(ArtifactsInput!$N$24+1,10,12,14,16,18,20)+(IF(AND(ArtifactsInput!$M$42,((Inputs!$B$9+((C990=TRUE)*(F990-Calc!F19))+B1003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973*(MIN(100,(Inputs!$B$9+((C990=TRUE)*(F990-Calc!F19))+B1003+(ArtifactsInput!$M$24-ArtifactsInput!$M$24)*CHOOSE(ArtifactsInput!$N$24+1,10,12,14,16,18,20)+(IF(AND(ArtifactsInput!$M$42,((Inputs!$B$9+((C990=TRUE)*(F990-Calc!F19))+B1003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973">
        <f>MAX(0,(Inputs!$B$3-100)*3)+Inputs!$B$28+(Inputs!$B$29+1)</f>
        <v/>
      </c>
      <c r="V973">
        <f>IF(C973,(Skills!G2*N973*B1007)*IF(Inputs!$B$38="pvp",1,(1+(Inputs!$B$21+Skills!Q2+(IF(ArtifactsInput!$M$33,CHOOSE(ArtifactsInput!$N$33+1,30,36,42,48,54,60),0))+(IF(AND(ArtifactsInput!$M$35,Inputs!$B$4&lt;&gt;"Chapter Hunt"),CHOOSE(ArtifactsInput!$N$35+1,15,18,21,24,27,30)*(1-EXP(-(0.2*B1005)*5)),0)+IF(AND(ArtifactsInput!$M$22,Inputs!$B$4&lt;&gt;"Chapter Hunt"),CHOOSE(ArtifactsInput!$N$22+1,10,12,14,16,18,20)*((0*(((0.15*B1005*5))^0/1)+1*(((0.15*B1005*5))^1/1)+2*(((0.15*B1005*5))^2/2)+3*(((0.15*B1005*5))^3/6)+4*(((0.15*B1005*5))^4/24)+5*(((0.15*B1005*5))^5/120))/((((0.15*B1005*5))^0/1)+(((0.15*B1005*5))^1/1)+(((0.15*B1005*5))^2/2)+(((0.15*B1005*5))^3/6)+(((0.15*B1005*5))^4/24)+(((0.15*B1005*5))^5/120)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974">
      <c r="A974">
        <f>Skills!A3</f>
        <v/>
      </c>
      <c r="B974">
        <f>Skills!B3</f>
        <v/>
      </c>
      <c r="C974">
        <f>Inputs!$B$3&gt;=50</f>
        <v/>
      </c>
      <c r="D974">
        <f>IF(Skills!C3=1,60+Inputs!$B$25+(Inputs!$B$29+1),IF(Skills!C3=2,90+Inputs!$B$26+(Inputs!$B$29+1),IF(Skills!C3=3,120+Inputs!$B$27+(Inputs!$B$29+1),MAX(0,(Inputs!$B$3-100)*3)+Inputs!$B$28+(Inputs!$B$29+1))))</f>
        <v/>
      </c>
      <c r="E974">
        <f>INDEX(FactorTable!$B$2:$Y$301, MATCH(ROUND(MIN(300,MAX(1,D974)),0), FactorTable!$A$2:$A$301,0), Skills!M3+1)</f>
        <v/>
      </c>
      <c r="F974">
        <f>IF(Skills!N3=TRUE,(Skills!L3/10)*(E974/1000),Skills!L3/10)+Skills!O3</f>
        <v/>
      </c>
      <c r="G974" t="inlineStr"/>
      <c r="H974" t="inlineStr"/>
      <c r="I974" t="inlineStr">
        <is>
          <t>1</t>
        </is>
      </c>
      <c r="J974" t="inlineStr"/>
      <c r="K974" t="inlineStr"/>
      <c r="L974" t="inlineStr"/>
      <c r="M974" t="inlineStr"/>
      <c r="N974" t="inlineStr"/>
      <c r="O974" t="inlineStr"/>
      <c r="P974" t="inlineStr"/>
      <c r="Q974" t="inlineStr"/>
      <c r="R974" t="inlineStr"/>
      <c r="S974" t="inlineStr"/>
      <c r="T974" t="inlineStr"/>
      <c r="U974">
        <f>INDEX(FactorTable!$B$2:$Y$301, MATCH(ROUND(MIN(300,MAX(1,U973)),0), FactorTable!$A$2:$A$301,0), 22)</f>
        <v/>
      </c>
      <c r="V974" t="inlineStr"/>
    </row>
    <row r="975">
      <c r="A975">
        <f>Skills!A4</f>
        <v/>
      </c>
      <c r="B975">
        <f>Skills!B4</f>
        <v/>
      </c>
      <c r="C975">
        <f>Inputs!$B$3&gt;=105</f>
        <v/>
      </c>
      <c r="D975">
        <f>IF(Skills!C4=1,60+Inputs!$B$25+(Inputs!$B$29+1),IF(Skills!C4=2,90+Inputs!$B$26+(Inputs!$B$29+1),IF(Skills!C4=3,120+Inputs!$B$27+(Inputs!$B$29+1),MAX(0,(Inputs!$B$3-100)*3)+Inputs!$B$28+(Inputs!$B$29+1))))</f>
        <v/>
      </c>
      <c r="E975">
        <f>INDEX(FactorTable!$B$2:$Y$301, MATCH(ROUND(MIN(300,MAX(1,D975)),0), FactorTable!$A$2:$A$301,0), Skills!M4+1)</f>
        <v/>
      </c>
      <c r="F975">
        <f>IF(Skills!N4=TRUE,(Skills!L4/10)*(E975/1000),Skills!L4/10)+Skills!O4</f>
        <v/>
      </c>
      <c r="G975" t="inlineStr"/>
      <c r="H975" t="inlineStr"/>
      <c r="I975" t="inlineStr">
        <is>
          <t>1</t>
        </is>
      </c>
      <c r="J975" t="inlineStr"/>
      <c r="K975" t="inlineStr"/>
      <c r="L975" t="inlineStr"/>
      <c r="M975" t="inlineStr"/>
      <c r="N975" t="inlineStr"/>
      <c r="O975" t="inlineStr"/>
      <c r="P975" t="inlineStr"/>
      <c r="Q975" t="inlineStr"/>
      <c r="R975" t="inlineStr"/>
      <c r="S975" t="inlineStr"/>
      <c r="T975" t="inlineStr"/>
      <c r="U975">
        <f>290*U974/1000</f>
        <v/>
      </c>
      <c r="V975" t="inlineStr"/>
    </row>
    <row r="976">
      <c r="A976">
        <f>Skills!A5</f>
        <v/>
      </c>
      <c r="B976">
        <f>Skills!B5</f>
        <v/>
      </c>
      <c r="C976">
        <f>Inputs!$B$3&gt;=35</f>
        <v/>
      </c>
      <c r="D976">
        <f>IF(Skills!C5=1,60+Inputs!$B$25+(Inputs!$B$29+1),IF(Skills!C5=2,90+Inputs!$B$26+(Inputs!$B$29+1),IF(Skills!C5=3,120+Inputs!$B$27+(Inputs!$B$29+1),MAX(0,(Inputs!$B$3-100)*3)+Inputs!$B$28+(Inputs!$B$29+1))))</f>
        <v/>
      </c>
      <c r="E976">
        <f>INDEX(FactorTable!$B$2:$Y$301, MATCH(ROUND(MIN(300,MAX(1,D976)),0), FactorTable!$A$2:$A$301,0), Skills!M5+1)</f>
        <v/>
      </c>
      <c r="F976">
        <f>IF(Skills!N5=TRUE,(Skills!L5/10)*(E976/1000),Skills!L5/10)+Skills!O5</f>
        <v/>
      </c>
      <c r="G976">
        <f>Skills!G5*IF(Skills!H5&gt;0,Skills!I5/Skills!H5,1)</f>
        <v/>
      </c>
      <c r="H976">
        <f>1-(1-Skills!J5/100)^Skills!K5</f>
        <v/>
      </c>
      <c r="I976" t="inlineStr">
        <is>
          <t>1</t>
        </is>
      </c>
      <c r="J976">
        <f>((Inputs!$B$6*(1+Inputs!$B$7/100))+(((Inputs!$B$12*(1+Inputs!$B$13/100))-(Inputs!$B$12*(1+Inputs!$B$13/100)))+0.25*(Inputs!$B$14-Inputs!$B$14))*(1+Inputs!$B$7/100))*(F976/100)</f>
        <v/>
      </c>
      <c r="K976">
        <f>J976*(1+((Inputs!$B$12*(1+Inputs!$B$13/100))*0.01+Inputs!$B$14*0.0025)/100)*(1+Inputs!$B$15/100)*(1+Inputs!$B$16/100)*(5000/(6000+Inputs!$B$42*(1-(100*(1-(1-(Inputs!$B$19+0)/100)*(1-CHOOSE(ArtifactsInput!$N$40+1,5,6,7,8,9,10)/100)^(ArtifactsInput!$M$40-ArtifactsInput!$M$40)))/100)))*(1+(Inputs!$B$24+((C995=TRUE)*(F995-Calc!F24))+((C996=TRUE)*(F996-Calc!F25))+B1009)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979=TRUE,F979,0)/100)*(1+(IF(Skills!A5="EMPOWERED_PIERCING_ARROW",Inputs!$B$17+((C993=TRUE)*(F993-Calc!F22))+(((IF(AND(ArtifactsInput!$M$42,((Inputs!$B$9+((C990=TRUE)*(F990-Calc!F19))+B1003+(ArtifactsInput!$M$24-ArtifactsInput!$M$24)*CHOOSE(ArtifactsInput!$N$24+1,10,12,14,16,18,20)+IF(ArtifactsInput!$M$10,CHOOSE(ArtifactsInput!$N$10+1,15,18,21,24,27,30)*(IF(Inputs!$B$38="pvp",MIN(15,15)/15,IF(AND(Inputs!$B$38&lt;&gt;"pvp",Inputs!$B$43&gt;0),MIN(15,Inputs!$B$43)/(Inputs!$B$43),0))),0)))&gt;=100),MIN(100,((Inputs!$B$9+((C990=TRUE)*(F990-Calc!F19))+B1003+(ArtifactsInput!$M$24-ArtifactsInput!$M$24)*CHOOSE(ArtifactsInput!$N$24+1,10,12,14,16,18,20)+IF(ArtifactsInput!$M$10,CHOOSE(ArtifactsInput!$N$10+1,15,18,21,24,27,30)*(IF(Inputs!$B$38="pvp",MIN(15,15)/15,IF(AND(Inputs!$B$38&lt;&gt;"pvp",Inputs!$B$43&gt;0),MIN(15,Inputs!$B$43)/(Inputs!$B$43),0))),0)))-100),0))*CHOOSE(ArtifactsInput!$N$42+1,0.6,0.72,0.84,0.96,1.08,1.2))),Inputs!$B$18+((C998=TRUE)*(F998-Calc!F27))+(IF(AND(ArtifactsInput!$M$42,((Inputs!$B$9+((C990=TRUE)*(F990-Calc!F19))+B1003+(ArtifactsInput!$M$24-ArtifactsInput!$M$24)*CHOOSE(ArtifactsInput!$N$24+1,10,12,14,16,18,20)+IF(ArtifactsInput!$M$10,CHOOSE(ArtifactsInput!$N$10+1,15,18,21,24,27,30)*(IF(Inputs!$B$38="pvp",MIN(15,15)/15,IF(AND(Inputs!$B$38&lt;&gt;"pvp",Inputs!$B$43&gt;0),MIN(15,Inputs!$B$43)/(Inputs!$B$43),0))),0)))&gt;=100),CHOOSE(ArtifactsInput!$N$42+1,40,48,56,64,72,80),0))))/100)*((1+(((C984=TRUE)*F984)+((C985=TRUE)*IF(Inputs!$B$38="pvp",F985,(1-Summary!$B$11)*(F985)+Summary!$B$11*(0)))+((C986=TRUE)*F986*IF(AND(Inputs!$B$38&lt;&gt;"pvp",Inputs!$B$43&gt;0),(((R986-1)*(Skills!T15*(1+Inputs!$B$34/100))+MIN((Skills!T15*(1+Inputs!$B$34/100)),MAX(0,Inputs!$B$43-((R986-1)*Skills!D15))))/Inputs!$B$43),IF(Inputs!$B$38="pvp",MIN((Skills!T15*(1+Inputs!$B$34/100)),15)/15,(Skills!T15*(1+Inputs!$B$34/100))/Skills!D15)))+((C983=TRUE)*F983)+((C1000=TRUE)*(F1000-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976)</f>
        <v/>
      </c>
      <c r="L976">
        <f>K976*(MIN(Inputs!$B$22+((C994=TRUE)*(F994-Calc!F23)),(Inputs!$B$23+((C999=TRUE)*(F999-Calc!F28))+(IF(ArtifactsInput!$M$15,CHOOSE(ArtifactsInput!$N$15+1,25,30,35,40,45,50)/100*(Inputs!$B$11-Inputs!$B$11),0))))/100+(Inputs!$B$23+((C999=TRUE)*(F999-Calc!F28))+(IF(ArtifactsInput!$M$15,CHOOSE(ArtifactsInput!$N$15+1,25,30,35,40,45,50)/100*(Inputs!$B$11-Inputs!$B$11),0)))/100)/2</f>
        <v/>
      </c>
      <c r="M976">
        <f>L976*(1+(Inputs!$B$10+0+B1008+(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976">
        <f>L976*(1-MIN((Inputs!$B$9+((C990=TRUE)*(F990-Calc!F19))+B1003+(ArtifactsInput!$M$24-ArtifactsInput!$M$24)*CHOOSE(ArtifactsInput!$N$24+1,10,12,14,16,18,20)+(IF(AND(ArtifactsInput!$M$42,((Inputs!$B$9+((C990=TRUE)*(F990-Calc!F19))+B1003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976*(MIN((Inputs!$B$9+((C990=TRUE)*(F990-Calc!F19))+B1003+(ArtifactsInput!$M$24-ArtifactsInput!$M$24)*CHOOSE(ArtifactsInput!$N$24+1,10,12,14,16,18,20)+(IF(AND(ArtifactsInput!$M$42,((Inputs!$B$9+((C990=TRUE)*(F990-Calc!F19))+B1003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976">
        <f>(1-Summary!$B$11)*T976+Summary!$B$11*V976</f>
        <v/>
      </c>
      <c r="P976">
        <f>IF(B1013=0,0,O976/B1013)</f>
        <v/>
      </c>
      <c r="Q976">
        <f>IFERROR(1/IF(Inputs!$B$38="pvp",15,MAX(0.1,Skills!D5-IF(Skills!E5=TRUE,Inputs!$B$32,0))),0)</f>
        <v/>
      </c>
      <c r="R976">
        <f>IF(AND(Inputs!$B$38&lt;&gt;"pvp",Inputs!$B$43&gt;0),IF(MAX(0,Inputs!$B$43-B1010)&lt;=0,0,(INT(MAX(0,Inputs!$B$43-B1010)/IF(Inputs!$B$38="pvp",15,MAX(0.1,Skills!D5-IF(Skills!E5=TRUE,Inputs!$B$32,0))))+1)),0)</f>
        <v/>
      </c>
      <c r="S976">
        <f>IFERROR((H976*N976*IF(AND(Inputs!$B$38&lt;&gt;"pvp",Inputs!$B$43&gt;0),((Skills!G5*((R976-1)*IF(Skills!H5&gt;0,Skills!I5/Skills!H5,1)+IF(Skills!H5&gt;0,MIN(Skills!I5,MAX(0,MAX(0,Inputs!$B$43-B1010)-((R976-1)*IF(Inputs!$B$38="pvp",15,MAX(0.1,Skills!D5-IF(Skills!E5=TRUE,Inputs!$B$32,0))))))/Skills!H5,1)))/Inputs!$B$43),G976*Q976))/N976*IF(Inputs!$B$38="pvp",1,(1-Summary!$B$11)*1+Summary!$B$11*(MIN(Skills!R5,Inputs!$B$37))),0)</f>
        <v/>
      </c>
      <c r="T976">
        <f>IF(C976,(H976*N976*IF(AND(Inputs!$B$38&lt;&gt;"pvp",Inputs!$B$43&gt;0),((Skills!G5*((R976-1)*IF(Skills!H5&gt;0,Skills!I5/Skills!H5,1)+IF(Skills!H5&gt;0,MIN(Skills!I5,MAX(0,MAX(0,Inputs!$B$43-B1010)-((R976-1)*IF(Inputs!$B$38="pvp",15,MAX(0.1,Skills!D5-IF(Skills!E5=TRUE,Inputs!$B$32,0))))))/Skills!H5,1)))/Inputs!$B$43),G976*Q976))*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Hunt"),CHOOSE(ArtifactsInput!$N$35+1,15,18,21,24,27,30)*(1-EXP(-(0.2*B1005)*5)),0)+IF(AND(ArtifactsInput!$M$22,Inputs!$B$4&lt;&gt;"Chapter Hunt"),CHOOSE(ArtifactsInput!$N$22+1,10,12,14,16,18,20)*((0*(((0.15*B1005*5))^0/1)+1*(((0.15*B1005*5))^1/1)+2*(((0.15*B1005*5))^2/2)+3*(((0.15*B1005*5))^3/6)+4*(((0.15*B1005*5))^4/24)+5*(((0.15*B1005*5))^5/120))/((((0.15*B1005*5))^0/1)+(((0.15*B1005*5))^1/1)+(((0.15*B1005*5))^2/2)+(((0.15*B1005*5))^3/6)+(((0.15*B1005*5))^4/24)+(((0.15*B1005*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976*(1-MIN(100,(Inputs!$B$9+((C990=TRUE)*(F990-Calc!F19))+B1003+(ArtifactsInput!$M$24-ArtifactsInput!$M$24)*CHOOSE(ArtifactsInput!$N$24+1,10,12,14,16,18,20)+(IF(AND(ArtifactsInput!$M$42,((Inputs!$B$9+((C990=TRUE)*(F990-Calc!F19))+B1003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976*(MIN(100,(Inputs!$B$9+((C990=TRUE)*(F990-Calc!F19))+B1003+(ArtifactsInput!$M$24-ArtifactsInput!$M$24)*CHOOSE(ArtifactsInput!$N$24+1,10,12,14,16,18,20)+(IF(AND(ArtifactsInput!$M$42,((Inputs!$B$9+((C990=TRUE)*(F990-Calc!F19))+B1003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976*(1-MIN(100,(Inputs!$B$9+((C990=TRUE)*(F990-Calc!F19))+B1003+(ArtifactsInput!$M$24-ArtifactsInput!$M$24)*CHOOSE(ArtifactsInput!$N$24+1,10,12,14,16,18,20)+(IF(AND(ArtifactsInput!$M$42,((Inputs!$B$9+((C990=TRUE)*(F990-Calc!F19))+B1003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976*(MIN(100,(Inputs!$B$9+((C990=TRUE)*(F990-Calc!F19))+B1003+(ArtifactsInput!$M$24-ArtifactsInput!$M$24)*CHOOSE(ArtifactsInput!$N$24+1,10,12,14,16,18,20)+(IF(AND(ArtifactsInput!$M$42,((Inputs!$B$9+((C990=TRUE)*(F990-Calc!F19))+B1003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976">
        <f>IF(C976,(H976*N976*IF(AND(Inputs!$B$38&lt;&gt;"pvp",Inputs!$B$43&gt;0),((Skills!G5*((R976-1)*IF(Skills!H5&gt;0,Skills!I5/Skills!H5,1)+IF(Skills!H5&gt;0,MIN(Skills!I5,MAX(0,MAX(0,Inputs!$B$43-B1010)-((R976-1)*IF(Inputs!$B$38="pvp",15,MAX(0.1,Skills!D5-IF(Skills!E5=TRUE,Inputs!$B$32,0))))))/Skills!H5,1)))/Inputs!$B$43),G976*Q976))*IF(Inputs!$B$38="pvp",1,(1+(Inputs!$B$21+Skills!Q5+(IF(ArtifactsInput!$M$33,CHOOSE(ArtifactsInput!$N$33+1,30,36,42,48,54,60),0))+(IF(AND(ArtifactsInput!$M$35,Inputs!$B$4&lt;&gt;"Chapter Hunt"),CHOOSE(ArtifactsInput!$N$35+1,15,18,21,24,27,30)*(1-EXP(-(0.2*B1005)*5)),0)+IF(AND(ArtifactsInput!$M$22,Inputs!$B$4&lt;&gt;"Chapter Hunt"),CHOOSE(ArtifactsInput!$N$22+1,10,12,14,16,18,20)*((0*(((0.15*B1005*5))^0/1)+1*(((0.15*B1005*5))^1/1)+2*(((0.15*B1005*5))^2/2)+3*(((0.15*B1005*5))^3/6)+4*(((0.15*B1005*5))^4/24)+5*(((0.15*B1005*5))^5/120))/((((0.15*B1005*5))^0/1)+(((0.15*B1005*5))^1/1)+(((0.15*B1005*5))^2/2)+(((0.15*B1005*5))^3/6)+(((0.15*B1005*5))^4/24)+(((0.15*B1005*5))^5/120)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977">
      <c r="A977">
        <f>Skills!A6</f>
        <v/>
      </c>
      <c r="B977">
        <f>Skills!B6</f>
        <v/>
      </c>
      <c r="C977">
        <f>Inputs!$B$3&gt;=63</f>
        <v/>
      </c>
      <c r="D977">
        <f>IF(Skills!C6=1,60+Inputs!$B$25+(Inputs!$B$29+1),IF(Skills!C6=2,90+Inputs!$B$26+(Inputs!$B$29+1),IF(Skills!C6=3,120+Inputs!$B$27+(Inputs!$B$29+1),MAX(0,(Inputs!$B$3-100)*3)+Inputs!$B$28+(Inputs!$B$29+1))))</f>
        <v/>
      </c>
      <c r="E977">
        <f>INDEX(FactorTable!$B$2:$Y$301, MATCH(ROUND(MIN(300,MAX(1,D977)),0), FactorTable!$A$2:$A$301,0), Skills!M6+1)</f>
        <v/>
      </c>
      <c r="F977">
        <f>IF(Skills!N6=TRUE,(Skills!L6/10)*(E977/1000),Skills!L6/10)+Skills!O6</f>
        <v/>
      </c>
      <c r="G977">
        <f>Skills!G6*IF(Skills!H6&gt;0,Skills!I6/Skills!H6,1)</f>
        <v/>
      </c>
      <c r="H977">
        <f>1-(1-Skills!J6/100)^Skills!K6</f>
        <v/>
      </c>
      <c r="I977" t="inlineStr">
        <is>
          <t>1</t>
        </is>
      </c>
      <c r="J977">
        <f>((Inputs!$B$6*(1+Inputs!$B$7/100))+(((Inputs!$B$12*(1+Inputs!$B$13/100))-(Inputs!$B$12*(1+Inputs!$B$13/100)))+0.25*(Inputs!$B$14-Inputs!$B$14))*(1+Inputs!$B$7/100))*(F977/100)</f>
        <v/>
      </c>
      <c r="K977">
        <f>J977*(1+((Inputs!$B$12*(1+Inputs!$B$13/100))*0.01+Inputs!$B$14*0.0025)/100)*(1+Inputs!$B$15/100)*(1+Inputs!$B$16/100)*(5000/(6000+Inputs!$B$42*(1-(100*(1-(1-(Inputs!$B$19+0)/100)*(1-CHOOSE(ArtifactsInput!$N$40+1,5,6,7,8,9,10)/100)^(ArtifactsInput!$M$40-ArtifactsInput!$M$40)))/100)))*(1+(Inputs!$B$24+((C995=TRUE)*(F995-Calc!F24))+((C996=TRUE)*(F996-Calc!F25))+B1009)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979=TRUE,F979,0)/100)*(1+(IF(Skills!A6="EMPOWERED_PIERCING_ARROW",Inputs!$B$17+((C993=TRUE)*(F993-Calc!F22))+(((IF(AND(ArtifactsInput!$M$42,((Inputs!$B$9+((C990=TRUE)*(F990-Calc!F19))+B1003+(ArtifactsInput!$M$24-ArtifactsInput!$M$24)*CHOOSE(ArtifactsInput!$N$24+1,10,12,14,16,18,20)+IF(ArtifactsInput!$M$10,CHOOSE(ArtifactsInput!$N$10+1,15,18,21,24,27,30)*(IF(Inputs!$B$38="pvp",MIN(15,15)/15,IF(AND(Inputs!$B$38&lt;&gt;"pvp",Inputs!$B$43&gt;0),MIN(15,Inputs!$B$43)/(Inputs!$B$43),0))),0)))&gt;=100),MIN(100,((Inputs!$B$9+((C990=TRUE)*(F990-Calc!F19))+B1003+(ArtifactsInput!$M$24-ArtifactsInput!$M$24)*CHOOSE(ArtifactsInput!$N$24+1,10,12,14,16,18,20)+IF(ArtifactsInput!$M$10,CHOOSE(ArtifactsInput!$N$10+1,15,18,21,24,27,30)*(IF(Inputs!$B$38="pvp",MIN(15,15)/15,IF(AND(Inputs!$B$38&lt;&gt;"pvp",Inputs!$B$43&gt;0),MIN(15,Inputs!$B$43)/(Inputs!$B$43),0))),0)))-100),0))*CHOOSE(ArtifactsInput!$N$42+1,0.6,0.72,0.84,0.96,1.08,1.2))),Inputs!$B$18+((C998=TRUE)*(F998-Calc!F27))+(IF(AND(ArtifactsInput!$M$42,((Inputs!$B$9+((C990=TRUE)*(F990-Calc!F19))+B1003+(ArtifactsInput!$M$24-ArtifactsInput!$M$24)*CHOOSE(ArtifactsInput!$N$24+1,10,12,14,16,18,20)+IF(ArtifactsInput!$M$10,CHOOSE(ArtifactsInput!$N$10+1,15,18,21,24,27,30)*(IF(Inputs!$B$38="pvp",MIN(15,15)/15,IF(AND(Inputs!$B$38&lt;&gt;"pvp",Inputs!$B$43&gt;0),MIN(15,Inputs!$B$43)/(Inputs!$B$43),0))),0)))&gt;=100),CHOOSE(ArtifactsInput!$N$42+1,40,48,56,64,72,80),0))))/100)*((1+(((C984=TRUE)*F984)+((C985=TRUE)*IF(Inputs!$B$38="pvp",F985,(1-Summary!$B$11)*(F985)+Summary!$B$11*(0)))+((C986=TRUE)*F986*IF(AND(Inputs!$B$38&lt;&gt;"pvp",Inputs!$B$43&gt;0),(((R986-1)*(Skills!T15*(1+Inputs!$B$34/100))+MIN((Skills!T15*(1+Inputs!$B$34/100)),MAX(0,Inputs!$B$43-((R986-1)*Skills!D15))))/Inputs!$B$43),IF(Inputs!$B$38="pvp",MIN((Skills!T15*(1+Inputs!$B$34/100)),15)/15,(Skills!T15*(1+Inputs!$B$34/100))/Skills!D15)))+((C983=TRUE)*F983)+((C1000=TRUE)*(F1000-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977)</f>
        <v/>
      </c>
      <c r="L977">
        <f>K977*(MIN(Inputs!$B$22+((C994=TRUE)*(F994-Calc!F23)),(Inputs!$B$23+((C999=TRUE)*(F999-Calc!F28))+(IF(ArtifactsInput!$M$15,CHOOSE(ArtifactsInput!$N$15+1,25,30,35,40,45,50)/100*(Inputs!$B$11-Inputs!$B$11),0))))/100+(Inputs!$B$23+((C999=TRUE)*(F999-Calc!F28))+(IF(ArtifactsInput!$M$15,CHOOSE(ArtifactsInput!$N$15+1,25,30,35,40,45,50)/100*(Inputs!$B$11-Inputs!$B$11),0)))/100)/2</f>
        <v/>
      </c>
      <c r="M977">
        <f>L977*(1+(Inputs!$B$10+0+B1008+(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977">
        <f>L977*(1-MIN((Inputs!$B$9+((C990=TRUE)*(F990-Calc!F19))+B1003+(ArtifactsInput!$M$24-ArtifactsInput!$M$24)*CHOOSE(ArtifactsInput!$N$24+1,10,12,14,16,18,20)+(IF(AND(ArtifactsInput!$M$42,((Inputs!$B$9+((C990=TRUE)*(F990-Calc!F19))+B1003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977*(MIN((Inputs!$B$9+((C990=TRUE)*(F990-Calc!F19))+B1003+(ArtifactsInput!$M$24-ArtifactsInput!$M$24)*CHOOSE(ArtifactsInput!$N$24+1,10,12,14,16,18,20)+(IF(AND(ArtifactsInput!$M$42,((Inputs!$B$9+((C990=TRUE)*(F990-Calc!F19))+B1003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977">
        <f>(1-Summary!$B$11)*T977+Summary!$B$11*V977</f>
        <v/>
      </c>
      <c r="P977">
        <f>IF(B1013=0,0,O977/B1013)</f>
        <v/>
      </c>
      <c r="Q977">
        <f>IFERROR(1/IF(Inputs!$B$38="pvp",15,MAX(0.1,Skills!D6-IF(Skills!E6=TRUE,Inputs!$B$32,0))),0)</f>
        <v/>
      </c>
      <c r="R977">
        <f>IF(AND(Inputs!$B$38&lt;&gt;"pvp",Inputs!$B$43&gt;0),IF(MAX(0,Inputs!$B$43-B1010)&lt;=0,0,(INT(MAX(0,Inputs!$B$43-B1010)/IF(Inputs!$B$38="pvp",15,MAX(0.1,Skills!D6-IF(Skills!E6=TRUE,Inputs!$B$32,0))))+1)),0)</f>
        <v/>
      </c>
      <c r="S977">
        <f>IFERROR((H977*N977*IF(AND(Inputs!$B$38&lt;&gt;"pvp",Inputs!$B$43&gt;0),((Skills!G6*((R977-1)*IF(Skills!H6&gt;0,Skills!I6/Skills!H6,1)+IF(Skills!H6&gt;0,MIN(Skills!I6,MAX(0,MAX(0,Inputs!$B$43-B1010)-((R977-1)*IF(Inputs!$B$38="pvp",15,MAX(0.1,Skills!D6-IF(Skills!E6=TRUE,Inputs!$B$32,0))))))/Skills!H6,1)))/Inputs!$B$43),G977*Q977))/N977*IF(Inputs!$B$38="pvp",1,(1-Summary!$B$11)*1+Summary!$B$11*(MIN(Skills!R6,Inputs!$B$37))),0)</f>
        <v/>
      </c>
      <c r="T977">
        <f>IF(C977,(H977*N977*IF(AND(Inputs!$B$38&lt;&gt;"pvp",Inputs!$B$43&gt;0),((Skills!G6*((R977-1)*IF(Skills!H6&gt;0,Skills!I6/Skills!H6,1)+IF(Skills!H6&gt;0,MIN(Skills!I6,MAX(0,MAX(0,Inputs!$B$43-B1010)-((R977-1)*IF(Inputs!$B$38="pvp",15,MAX(0.1,Skills!D6-IF(Skills!E6=TRUE,Inputs!$B$32,0))))))/Skills!H6,1)))/Inputs!$B$43),G977*Q977))*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Hunt"),CHOOSE(ArtifactsInput!$N$35+1,15,18,21,24,27,30)*(1-EXP(-(0.2*B1005)*5)),0)+IF(AND(ArtifactsInput!$M$22,Inputs!$B$4&lt;&gt;"Chapter Hunt"),CHOOSE(ArtifactsInput!$N$22+1,10,12,14,16,18,20)*((0*(((0.15*B1005*5))^0/1)+1*(((0.15*B1005*5))^1/1)+2*(((0.15*B1005*5))^2/2)+3*(((0.15*B1005*5))^3/6)+4*(((0.15*B1005*5))^4/24)+5*(((0.15*B1005*5))^5/120))/((((0.15*B1005*5))^0/1)+(((0.15*B1005*5))^1/1)+(((0.15*B1005*5))^2/2)+(((0.15*B1005*5))^3/6)+(((0.15*B1005*5))^4/24)+(((0.15*B1005*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977*(1-MIN(100,(Inputs!$B$9+((C990=TRUE)*(F990-Calc!F19))+B1003+(ArtifactsInput!$M$24-ArtifactsInput!$M$24)*CHOOSE(ArtifactsInput!$N$24+1,10,12,14,16,18,20)+(IF(AND(ArtifactsInput!$M$42,((Inputs!$B$9+((C990=TRUE)*(F990-Calc!F19))+B1003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977*(MIN(100,(Inputs!$B$9+((C990=TRUE)*(F990-Calc!F19))+B1003+(ArtifactsInput!$M$24-ArtifactsInput!$M$24)*CHOOSE(ArtifactsInput!$N$24+1,10,12,14,16,18,20)+(IF(AND(ArtifactsInput!$M$42,((Inputs!$B$9+((C990=TRUE)*(F990-Calc!F19))+B1003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977*(1-MIN(100,(Inputs!$B$9+((C990=TRUE)*(F990-Calc!F19))+B1003+(ArtifactsInput!$M$24-ArtifactsInput!$M$24)*CHOOSE(ArtifactsInput!$N$24+1,10,12,14,16,18,20)+(IF(AND(ArtifactsInput!$M$42,((Inputs!$B$9+((C990=TRUE)*(F990-Calc!F19))+B1003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977*(MIN(100,(Inputs!$B$9+((C990=TRUE)*(F990-Calc!F19))+B1003+(ArtifactsInput!$M$24-ArtifactsInput!$M$24)*CHOOSE(ArtifactsInput!$N$24+1,10,12,14,16,18,20)+(IF(AND(ArtifactsInput!$M$42,((Inputs!$B$9+((C990=TRUE)*(F990-Calc!F19))+B1003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977">
        <f>IF(C977,(H977*N977*IF(AND(Inputs!$B$38&lt;&gt;"pvp",Inputs!$B$43&gt;0),((Skills!G6*((R977-1)*IF(Skills!H6&gt;0,Skills!I6/Skills!H6,1)+IF(Skills!H6&gt;0,MIN(Skills!I6,MAX(0,MAX(0,Inputs!$B$43-B1010)-((R977-1)*IF(Inputs!$B$38="pvp",15,MAX(0.1,Skills!D6-IF(Skills!E6=TRUE,Inputs!$B$32,0))))))/Skills!H6,1)))/Inputs!$B$43),G977*Q977))*IF(Inputs!$B$38="pvp",1,(1+(Inputs!$B$21+Skills!Q6+(IF(ArtifactsInput!$M$33,CHOOSE(ArtifactsInput!$N$33+1,30,36,42,48,54,60),0))+(IF(AND(ArtifactsInput!$M$35,Inputs!$B$4&lt;&gt;"Chapter Hunt"),CHOOSE(ArtifactsInput!$N$35+1,15,18,21,24,27,30)*(1-EXP(-(0.2*B1005)*5)),0)+IF(AND(ArtifactsInput!$M$22,Inputs!$B$4&lt;&gt;"Chapter Hunt"),CHOOSE(ArtifactsInput!$N$22+1,10,12,14,16,18,20)*((0*(((0.15*B1005*5))^0/1)+1*(((0.15*B1005*5))^1/1)+2*(((0.15*B1005*5))^2/2)+3*(((0.15*B1005*5))^3/6)+4*(((0.15*B1005*5))^4/24)+5*(((0.15*B1005*5))^5/120))/((((0.15*B1005*5))^0/1)+(((0.15*B1005*5))^1/1)+(((0.15*B1005*5))^2/2)+(((0.15*B1005*5))^3/6)+(((0.15*B1005*5))^4/24)+(((0.15*B1005*5))^5/120))),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978">
      <c r="A978">
        <f>Skills!A7</f>
        <v/>
      </c>
      <c r="B978">
        <f>Skills!B7</f>
        <v/>
      </c>
      <c r="C978">
        <f>Inputs!$B$3&gt;=69</f>
        <v/>
      </c>
      <c r="D978">
        <f>IF(Skills!C7=1,60+Inputs!$B$25+(Inputs!$B$29+1),IF(Skills!C7=2,90+Inputs!$B$26+(Inputs!$B$29+1),IF(Skills!C7=3,120+Inputs!$B$27+(Inputs!$B$29+1),MAX(0,(Inputs!$B$3-100)*3)+Inputs!$B$28+(Inputs!$B$29+1))))</f>
        <v/>
      </c>
      <c r="E978">
        <f>INDEX(FactorTable!$B$2:$Y$301, MATCH(ROUND(MIN(300,MAX(1,D978)),0), FactorTable!$A$2:$A$301,0), Skills!M7+1)</f>
        <v/>
      </c>
      <c r="F978">
        <f>IF(Skills!N7=TRUE,(Skills!L7/10)*(E978/1000),Skills!L7/10)+Skills!O7</f>
        <v/>
      </c>
      <c r="G978">
        <f>Skills!G7*IF(Skills!H7&gt;0,Skills!I7/Skills!H7,1)</f>
        <v/>
      </c>
      <c r="H978">
        <f>1-(1-Skills!J7/100)^Skills!K7</f>
        <v/>
      </c>
      <c r="I978" t="inlineStr">
        <is>
          <t>1</t>
        </is>
      </c>
      <c r="J978">
        <f>((Inputs!$B$6*(1+Inputs!$B$7/100))+(((Inputs!$B$12*(1+Inputs!$B$13/100))-(Inputs!$B$12*(1+Inputs!$B$13/100)))+0.25*(Inputs!$B$14-Inputs!$B$14))*(1+Inputs!$B$7/100))*(F978/100)</f>
        <v/>
      </c>
      <c r="K978">
        <f>J978*(1+((Inputs!$B$12*(1+Inputs!$B$13/100))*0.01+Inputs!$B$14*0.0025)/100)*(1+Inputs!$B$15/100)*(1+Inputs!$B$16/100)*(5000/(6000+Inputs!$B$42*(1-(100*(1-(1-(Inputs!$B$19+0)/100)*(1-CHOOSE(ArtifactsInput!$N$40+1,5,6,7,8,9,10)/100)^(ArtifactsInput!$M$40-ArtifactsInput!$M$40)))/100)))*(1+(Inputs!$B$24+((C995=TRUE)*(F995-Calc!F24))+((C996=TRUE)*(F996-Calc!F25))+B1009)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+1.2*IF(C979=TRUE,F979,0)/100)*(1+(IF(Skills!A7="EMPOWERED_PIERCING_ARROW",Inputs!$B$17+((C993=TRUE)*(F993-Calc!F22))+(((IF(AND(ArtifactsInput!$M$42,((Inputs!$B$9+((C990=TRUE)*(F990-Calc!F19))+B1003+(ArtifactsInput!$M$24-ArtifactsInput!$M$24)*CHOOSE(ArtifactsInput!$N$24+1,10,12,14,16,18,20)+IF(ArtifactsInput!$M$10,CHOOSE(ArtifactsInput!$N$10+1,15,18,21,24,27,30)*(IF(Inputs!$B$38="pvp",MIN(15,15)/15,IF(AND(Inputs!$B$38&lt;&gt;"pvp",Inputs!$B$43&gt;0),MIN(15,Inputs!$B$43)/(Inputs!$B$43),0))),0)))&gt;=100),MIN(100,((Inputs!$B$9+((C990=TRUE)*(F990-Calc!F19))+B1003+(ArtifactsInput!$M$24-ArtifactsInput!$M$24)*CHOOSE(ArtifactsInput!$N$24+1,10,12,14,16,18,20)+IF(ArtifactsInput!$M$10,CHOOSE(ArtifactsInput!$N$10+1,15,18,21,24,27,30)*(IF(Inputs!$B$38="pvp",MIN(15,15)/15,IF(AND(Inputs!$B$38&lt;&gt;"pvp",Inputs!$B$43&gt;0),MIN(15,Inputs!$B$43)/(Inputs!$B$43),0))),0)))-100),0))*CHOOSE(ArtifactsInput!$N$42+1,0.6,0.72,0.84,0.96,1.08,1.2))),Inputs!$B$18+((C998=TRUE)*(F998-Calc!F27))+(IF(AND(ArtifactsInput!$M$42,((Inputs!$B$9+((C990=TRUE)*(F990-Calc!F19))+B1003+(ArtifactsInput!$M$24-ArtifactsInput!$M$24)*CHOOSE(ArtifactsInput!$N$24+1,10,12,14,16,18,20)+IF(ArtifactsInput!$M$10,CHOOSE(ArtifactsInput!$N$10+1,15,18,21,24,27,30)*(IF(Inputs!$B$38="pvp",MIN(15,15)/15,IF(AND(Inputs!$B$38&lt;&gt;"pvp",Inputs!$B$43&gt;0),MIN(15,Inputs!$B$43)/(Inputs!$B$43),0))),0)))&gt;=100),CHOOSE(ArtifactsInput!$N$42+1,40,48,56,64,72,80),0))))/100)*((1+(((C984=TRUE)*F984)+((C985=TRUE)*IF(Inputs!$B$38="pvp",F985,(1-Summary!$B$11)*(F985)+Summary!$B$11*(0)))+((C986=TRUE)*F986*IF(AND(Inputs!$B$38&lt;&gt;"pvp",Inputs!$B$43&gt;0),(((R986-1)*(Skills!T15*(1+Inputs!$B$34/100))+MIN((Skills!T15*(1+Inputs!$B$34/100)),MAX(0,Inputs!$B$43-((R986-1)*Skills!D15))))/Inputs!$B$43),IF(Inputs!$B$38="pvp",MIN((Skills!T15*(1+Inputs!$B$34/100)),15)/15,(Skills!T15*(1+Inputs!$B$34/100))/Skills!D15)))+((C983=TRUE)*F983)+((C1000=TRUE)*(F1000-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978)</f>
        <v/>
      </c>
      <c r="L978">
        <f>K978*(MIN(Inputs!$B$22+((C994=TRUE)*(F994-Calc!F23)),(Inputs!$B$23+((C999=TRUE)*(F999-Calc!F28))+(IF(ArtifactsInput!$M$15,CHOOSE(ArtifactsInput!$N$15+1,25,30,35,40,45,50)/100*(Inputs!$B$11-Inputs!$B$11),0))))/100+(Inputs!$B$23+((C999=TRUE)*(F999-Calc!F28))+(IF(ArtifactsInput!$M$15,CHOOSE(ArtifactsInput!$N$15+1,25,30,35,40,45,50)/100*(Inputs!$B$11-Inputs!$B$11),0)))/100)/2</f>
        <v/>
      </c>
      <c r="M978">
        <f>L978*(1+(Inputs!$B$10+0+B1008+(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978">
        <f>L978*(1-MIN((Inputs!$B$9+((C990=TRUE)*(F990-Calc!F19))+B1003+(ArtifactsInput!$M$24-ArtifactsInput!$M$24)*CHOOSE(ArtifactsInput!$N$24+1,10,12,14,16,18,20)+(IF(AND(ArtifactsInput!$M$42,((Inputs!$B$9+((C990=TRUE)*(F990-Calc!F19))+B1003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978*(MIN((Inputs!$B$9+((C990=TRUE)*(F990-Calc!F19))+B1003+(ArtifactsInput!$M$24-ArtifactsInput!$M$24)*CHOOSE(ArtifactsInput!$N$24+1,10,12,14,16,18,20)+(IF(AND(ArtifactsInput!$M$42,((Inputs!$B$9+((C990=TRUE)*(F990-Calc!F19))+B1003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978">
        <f>(1-Summary!$B$11)*T978+Summary!$B$11*V978</f>
        <v/>
      </c>
      <c r="P978">
        <f>IF(B1013=0,0,O978/B1013)</f>
        <v/>
      </c>
      <c r="Q978">
        <f>IFERROR(1/IF(Inputs!$B$38="pvp",15,MAX(0.1,Skills!D7-IF(Skills!E7=TRUE,Inputs!$B$32,0))),0)</f>
        <v/>
      </c>
      <c r="R978">
        <f>IF(AND(Inputs!$B$38&lt;&gt;"pvp",Inputs!$B$43&gt;0),IF(MAX(0,Inputs!$B$43-B1010)&lt;=0,0,(INT(MAX(0,Inputs!$B$43-B1010)/IF(Inputs!$B$38="pvp",15,MAX(0.1,Skills!D7-IF(Skills!E7=TRUE,Inputs!$B$32,0))))+1)),0)</f>
        <v/>
      </c>
      <c r="S978">
        <f>IFERROR((H978*N978*IF(AND(Inputs!$B$38&lt;&gt;"pvp",Inputs!$B$43&gt;0),((Skills!G7*((R978-1)*IF(Skills!H7&gt;0,Skills!I7/Skills!H7,1)+IF(Skills!H7&gt;0,MIN(Skills!I7,MAX(0,MAX(0,Inputs!$B$43-B1010)-((R978-1)*IF(Inputs!$B$38="pvp",15,MAX(0.1,Skills!D7-IF(Skills!E7=TRUE,Inputs!$B$32,0))))))/Skills!H7,1)))/Inputs!$B$43),G978*Q978))/N978*IF(Inputs!$B$38="pvp",1,(1-Summary!$B$11)*1+Summary!$B$11*(MIN(Skills!R7,Inputs!$B$37))),0)</f>
        <v/>
      </c>
      <c r="T978">
        <f>IF(C978,(H978*N978*IF(AND(Inputs!$B$38&lt;&gt;"pvp",Inputs!$B$43&gt;0),((Skills!G7*((R978-1)*IF(Skills!H7&gt;0,Skills!I7/Skills!H7,1)+IF(Skills!H7&gt;0,MIN(Skills!I7,MAX(0,MAX(0,Inputs!$B$43-B1010)-((R978-1)*IF(Inputs!$B$38="pvp",15,MAX(0.1,Skills!D7-IF(Skills!E7=TRUE,Inputs!$B$32,0))))))/Skills!H7,1)))/Inputs!$B$43),G978*Q978))*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Hunt"),CHOOSE(ArtifactsInput!$N$35+1,15,18,21,24,27,30)*(1-EXP(-(0.2*B1005)*5)),0)+IF(AND(ArtifactsInput!$M$22,Inputs!$B$4&lt;&gt;"Chapter Hunt"),CHOOSE(ArtifactsInput!$N$22+1,10,12,14,16,18,20)*((0*(((0.15*B1005*5))^0/1)+1*(((0.15*B1005*5))^1/1)+2*(((0.15*B1005*5))^2/2)+3*(((0.15*B1005*5))^3/6)+4*(((0.15*B1005*5))^4/24)+5*(((0.15*B1005*5))^5/120))/((((0.15*B1005*5))^0/1)+(((0.15*B1005*5))^1/1)+(((0.15*B1005*5))^2/2)+(((0.15*B1005*5))^3/6)+(((0.15*B1005*5))^4/24)+(((0.15*B1005*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978*(1-MIN(100,(Inputs!$B$9+((C990=TRUE)*(F990-Calc!F19))+B1003+(ArtifactsInput!$M$24-ArtifactsInput!$M$24)*CHOOSE(ArtifactsInput!$N$24+1,10,12,14,16,18,20)+(IF(AND(ArtifactsInput!$M$42,((Inputs!$B$9+((C990=TRUE)*(F990-Calc!F19))+B1003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978*(MIN(100,(Inputs!$B$9+((C990=TRUE)*(F990-Calc!F19))+B1003+(ArtifactsInput!$M$24-ArtifactsInput!$M$24)*CHOOSE(ArtifactsInput!$N$24+1,10,12,14,16,18,20)+(IF(AND(ArtifactsInput!$M$42,((Inputs!$B$9+((C990=TRUE)*(F990-Calc!F19))+B1003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978*(1-MIN(100,(Inputs!$B$9+((C990=TRUE)*(F990-Calc!F19))+B1003+(ArtifactsInput!$M$24-ArtifactsInput!$M$24)*CHOOSE(ArtifactsInput!$N$24+1,10,12,14,16,18,20)+(IF(AND(ArtifactsInput!$M$42,((Inputs!$B$9+((C990=TRUE)*(F990-Calc!F19))+B1003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978*(MIN(100,(Inputs!$B$9+((C990=TRUE)*(F990-Calc!F19))+B1003+(ArtifactsInput!$M$24-ArtifactsInput!$M$24)*CHOOSE(ArtifactsInput!$N$24+1,10,12,14,16,18,20)+(IF(AND(ArtifactsInput!$M$42,((Inputs!$B$9+((C990=TRUE)*(F990-Calc!F19))+B1003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978">
        <f>IF(C978,(H978*N978*IF(AND(Inputs!$B$38&lt;&gt;"pvp",Inputs!$B$43&gt;0),((Skills!G7*((R978-1)*IF(Skills!H7&gt;0,Skills!I7/Skills!H7,1)+IF(Skills!H7&gt;0,MIN(Skills!I7,MAX(0,MAX(0,Inputs!$B$43-B1010)-((R978-1)*IF(Inputs!$B$38="pvp",15,MAX(0.1,Skills!D7-IF(Skills!E7=TRUE,Inputs!$B$32,0))))))/Skills!H7,1)))/Inputs!$B$43),G978*Q978))*IF(Inputs!$B$38="pvp",1,(1+(Inputs!$B$21+Skills!Q7+(IF(ArtifactsInput!$M$33,CHOOSE(ArtifactsInput!$N$33+1,30,36,42,48,54,60),0))+(IF(AND(ArtifactsInput!$M$35,Inputs!$B$4&lt;&gt;"Chapter Hunt"),CHOOSE(ArtifactsInput!$N$35+1,15,18,21,24,27,30)*(1-EXP(-(0.2*B1005)*5)),0)+IF(AND(ArtifactsInput!$M$22,Inputs!$B$4&lt;&gt;"Chapter Hunt"),CHOOSE(ArtifactsInput!$N$22+1,10,12,14,16,18,20)*((0*(((0.15*B1005*5))^0/1)+1*(((0.15*B1005*5))^1/1)+2*(((0.15*B1005*5))^2/2)+3*(((0.15*B1005*5))^3/6)+4*(((0.15*B1005*5))^4/24)+5*(((0.15*B1005*5))^5/120))/((((0.15*B1005*5))^0/1)+(((0.15*B1005*5))^1/1)+(((0.15*B1005*5))^2/2)+(((0.15*B1005*5))^3/6)+(((0.15*B1005*5))^4/24)+(((0.15*B1005*5))^5/120))),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979">
      <c r="A979">
        <f>Skills!A8</f>
        <v/>
      </c>
      <c r="B979">
        <f>Skills!B8</f>
        <v/>
      </c>
      <c r="C979">
        <f>Inputs!$B$3&gt;=100</f>
        <v/>
      </c>
      <c r="D979">
        <f>IF(Skills!C8=1,60+Inputs!$B$25+(Inputs!$B$29+1),IF(Skills!C8=2,90+Inputs!$B$26+(Inputs!$B$29+1),IF(Skills!C8=3,120+Inputs!$B$27+(Inputs!$B$29+1),MAX(0,(Inputs!$B$3-100)*3)+Inputs!$B$28+(Inputs!$B$29+1))))</f>
        <v/>
      </c>
      <c r="E979">
        <f>INDEX(FactorTable!$B$2:$Y$301, MATCH(ROUND(MIN(300,MAX(1,D979)),0), FactorTable!$A$2:$A$301,0), Skills!M8+1)</f>
        <v/>
      </c>
      <c r="F979">
        <f>IF(Skills!N8=TRUE,(Skills!L8/10)*(E979/1000),Skills!L8/10)+Skills!O8</f>
        <v/>
      </c>
      <c r="G979" t="inlineStr"/>
      <c r="H979" t="inlineStr"/>
      <c r="I979" t="inlineStr">
        <is>
          <t>1</t>
        </is>
      </c>
      <c r="J979" t="inlineStr"/>
      <c r="K979" t="inlineStr"/>
      <c r="L979" t="inlineStr"/>
      <c r="M979" t="inlineStr"/>
      <c r="N979" t="inlineStr"/>
      <c r="O979" t="inlineStr"/>
      <c r="P979" t="inlineStr"/>
      <c r="Q979" t="inlineStr"/>
      <c r="R979" t="inlineStr"/>
      <c r="S979" t="inlineStr"/>
      <c r="T979" t="inlineStr"/>
      <c r="V979" t="inlineStr"/>
    </row>
    <row r="980">
      <c r="A980">
        <f>Skills!A9</f>
        <v/>
      </c>
      <c r="B980">
        <f>Skills!B9</f>
        <v/>
      </c>
      <c r="C980">
        <f>Inputs!$B$3&gt;=103</f>
        <v/>
      </c>
      <c r="D980">
        <f>IF(Skills!C9=1,60+Inputs!$B$25+(Inputs!$B$29+1),IF(Skills!C9=2,90+Inputs!$B$26+(Inputs!$B$29+1),IF(Skills!C9=3,120+Inputs!$B$27+(Inputs!$B$29+1),MAX(0,(Inputs!$B$3-100)*3)+Inputs!$B$28+(Inputs!$B$29+1))))</f>
        <v/>
      </c>
      <c r="E980">
        <f>INDEX(FactorTable!$B$2:$Y$301, MATCH(ROUND(MIN(300,MAX(1,D980)),0), FactorTable!$A$2:$A$301,0), Skills!M9+1)</f>
        <v/>
      </c>
      <c r="F980">
        <f>IF(Skills!N9=TRUE,(Skills!L9/10)*(E980/1000),Skills!L9/10)+Skills!O9</f>
        <v/>
      </c>
      <c r="G980">
        <f>Skills!G9*IF(Skills!H9&gt;0,Skills!I9/Skills!H9,1)</f>
        <v/>
      </c>
      <c r="H980">
        <f>1-(1-Skills!J9/100)^Skills!K9</f>
        <v/>
      </c>
      <c r="I980" t="inlineStr">
        <is>
          <t>1</t>
        </is>
      </c>
      <c r="J980">
        <f>((Inputs!$B$6*(1+Inputs!$B$7/100))+(((Inputs!$B$12*(1+Inputs!$B$13/100))-(Inputs!$B$12*(1+Inputs!$B$13/100)))+0.25*(Inputs!$B$14-Inputs!$B$14))*(1+Inputs!$B$7/100))*(F980/100)</f>
        <v/>
      </c>
      <c r="K980">
        <f>J980*(1+((Inputs!$B$12*(1+Inputs!$B$13/100))*0.01+Inputs!$B$14*0.0025)/100)*(1+Inputs!$B$15/100)*(1+Inputs!$B$16/100)*(5000/(6000+Inputs!$B$42*(1-(100*(1-(1-(Inputs!$B$19+0)/100)*(1-CHOOSE(ArtifactsInput!$N$40+1,5,6,7,8,9,10)/100)^(ArtifactsInput!$M$40-ArtifactsInput!$M$40)))/100)))*(1+(Inputs!$B$24+((C995=TRUE)*(F995-Calc!F24))+((C996=TRUE)*(F996-Calc!F25))+B1009)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EMPOWERED_PIERCING_ARROW",Inputs!$B$17+((C993=TRUE)*(F993-Calc!F22))+(((IF(AND(ArtifactsInput!$M$42,((Inputs!$B$9+((C990=TRUE)*(F990-Calc!F19))+B1003+(ArtifactsInput!$M$24-ArtifactsInput!$M$24)*CHOOSE(ArtifactsInput!$N$24+1,10,12,14,16,18,20)+IF(ArtifactsInput!$M$10,CHOOSE(ArtifactsInput!$N$10+1,15,18,21,24,27,30)*(IF(Inputs!$B$38="pvp",MIN(15,15)/15,IF(AND(Inputs!$B$38&lt;&gt;"pvp",Inputs!$B$43&gt;0),MIN(15,Inputs!$B$43)/(Inputs!$B$43),0))),0)))&gt;=100),MIN(100,((Inputs!$B$9+((C990=TRUE)*(F990-Calc!F19))+B1003+(ArtifactsInput!$M$24-ArtifactsInput!$M$24)*CHOOSE(ArtifactsInput!$N$24+1,10,12,14,16,18,20)+IF(ArtifactsInput!$M$10,CHOOSE(ArtifactsInput!$N$10+1,15,18,21,24,27,30)*(IF(Inputs!$B$38="pvp",MIN(15,15)/15,IF(AND(Inputs!$B$38&lt;&gt;"pvp",Inputs!$B$43&gt;0),MIN(15,Inputs!$B$43)/(Inputs!$B$43),0))),0)))-100),0))*CHOOSE(ArtifactsInput!$N$42+1,0.6,0.72,0.84,0.96,1.08,1.2))),Inputs!$B$18+((C998=TRUE)*(F998-Calc!F27))+(IF(AND(ArtifactsInput!$M$42,((Inputs!$B$9+((C990=TRUE)*(F990-Calc!F19))+B1003+(ArtifactsInput!$M$24-ArtifactsInput!$M$24)*CHOOSE(ArtifactsInput!$N$24+1,10,12,14,16,18,20)+IF(ArtifactsInput!$M$10,CHOOSE(ArtifactsInput!$N$10+1,15,18,21,24,27,30)*(IF(Inputs!$B$38="pvp",MIN(15,15)/15,IF(AND(Inputs!$B$38&lt;&gt;"pvp",Inputs!$B$43&gt;0),MIN(15,Inputs!$B$43)/(Inputs!$B$43),0))),0)))&gt;=100),CHOOSE(ArtifactsInput!$N$42+1,40,48,56,64,72,80),0))))/100)*((1+(((C984=TRUE)*F984)+((C985=TRUE)*IF(Inputs!$B$38="pvp",F985,(1-Summary!$B$11)*(F985)+Summary!$B$11*(0)))+((C986=TRUE)*F986*IF(AND(Inputs!$B$38&lt;&gt;"pvp",Inputs!$B$43&gt;0),(((R986-1)*(Skills!T15*(1+Inputs!$B$34/100))+MIN((Skills!T15*(1+Inputs!$B$34/100)),MAX(0,Inputs!$B$43-((R986-1)*Skills!D15))))/Inputs!$B$43),IF(Inputs!$B$38="pvp",MIN((Skills!T15*(1+Inputs!$B$34/100)),15)/15,(Skills!T15*(1+Inputs!$B$34/100))/Skills!D15)))+((C983=TRUE)*F983)+((C1000=TRUE)*(F1000-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980)</f>
        <v/>
      </c>
      <c r="L980">
        <f>K980*(MIN(Inputs!$B$22+((C994=TRUE)*(F994-Calc!F23)),(Inputs!$B$23+((C999=TRUE)*(F999-Calc!F28))+(IF(ArtifactsInput!$M$15,CHOOSE(ArtifactsInput!$N$15+1,25,30,35,40,45,50)/100*(Inputs!$B$11-Inputs!$B$11),0))))/100+(Inputs!$B$23+((C999=TRUE)*(F999-Calc!F28))+(IF(ArtifactsInput!$M$15,CHOOSE(ArtifactsInput!$N$15+1,25,30,35,40,45,50)/100*(Inputs!$B$11-Inputs!$B$11),0)))/100)/2</f>
        <v/>
      </c>
      <c r="M980">
        <f>L980*(1+(Inputs!$B$10+0+B1008+(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980">
        <f>L980*(1-MIN((Inputs!$B$9+((C990=TRUE)*(F990-Calc!F19))+B1003+(ArtifactsInput!$M$24-ArtifactsInput!$M$24)*CHOOSE(ArtifactsInput!$N$24+1,10,12,14,16,18,20)+(IF(AND(ArtifactsInput!$M$42,((Inputs!$B$9+((C990=TRUE)*(F990-Calc!F19))+B1003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980*(MIN((Inputs!$B$9+((C990=TRUE)*(F990-Calc!F19))+B1003+(ArtifactsInput!$M$24-ArtifactsInput!$M$24)*CHOOSE(ArtifactsInput!$N$24+1,10,12,14,16,18,20)+(IF(AND(ArtifactsInput!$M$42,((Inputs!$B$9+((C990=TRUE)*(F990-Calc!F19))+B1003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980">
        <f>(1-Summary!$B$11)*T980+Summary!$B$11*V980</f>
        <v/>
      </c>
      <c r="P980">
        <f>IF(B1013=0,0,O980/B1013)</f>
        <v/>
      </c>
      <c r="Q980">
        <f>IFERROR(1/IF(Inputs!$B$38="pvp",15,MAX(0.1,Skills!D9-IF(Skills!E9=TRUE,Inputs!$B$32,0))),0)</f>
        <v/>
      </c>
      <c r="R980">
        <f>IF(AND(Inputs!$B$38&lt;&gt;"pvp",Inputs!$B$43&gt;0),IF(MAX(0,Inputs!$B$43-B1010)&lt;=0,0,(INT(MAX(0,Inputs!$B$43-B1010)/IF(Inputs!$B$38="pvp",15,MAX(0.1,Skills!D9-IF(Skills!E9=TRUE,Inputs!$B$32,0))))+1)),0)</f>
        <v/>
      </c>
      <c r="S980">
        <f>IFERROR((H980*N980*IF(AND(Inputs!$B$38&lt;&gt;"pvp",Inputs!$B$43&gt;0),((Skills!G9*((R980-1)*IF(Skills!H9&gt;0,Skills!I9/Skills!H9,1)+IF(Skills!H9&gt;0,MIN(Skills!I9,MAX(0,MAX(0,Inputs!$B$43-B1010)-((R980-1)*IF(Inputs!$B$38="pvp",15,MAX(0.1,Skills!D9-IF(Skills!E9=TRUE,Inputs!$B$32,0))))))/Skills!H9,1)))/Inputs!$B$43),G980*Q980))/N980*IF(Inputs!$B$38="pvp",1,(1-Summary!$B$11)*1+Summary!$B$11*(MIN(Skills!R9,Inputs!$B$37))),0)</f>
        <v/>
      </c>
      <c r="T980">
        <f>IF(C980,(H980*N980*IF(AND(Inputs!$B$38&lt;&gt;"pvp",Inputs!$B$43&gt;0),((Skills!G9*((R980-1)*IF(Skills!H9&gt;0,Skills!I9/Skills!H9,1)+IF(Skills!H9&gt;0,MIN(Skills!I9,MAX(0,MAX(0,Inputs!$B$43-B1010)-((R980-1)*IF(Inputs!$B$38="pvp",15,MAX(0.1,Skills!D9-IF(Skills!E9=TRUE,Inputs!$B$32,0))))))/Skills!H9,1)))/Inputs!$B$43),G980*Q980))*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Hunt"),CHOOSE(ArtifactsInput!$N$35+1,15,18,21,24,27,30)*(1-EXP(-(0.2*B1005)*5)),0)+IF(AND(ArtifactsInput!$M$22,Inputs!$B$4&lt;&gt;"Chapter Hunt"),CHOOSE(ArtifactsInput!$N$22+1,10,12,14,16,18,20)*((0*(((0.15*B1005*5))^0/1)+1*(((0.15*B1005*5))^1/1)+2*(((0.15*B1005*5))^2/2)+3*(((0.15*B1005*5))^3/6)+4*(((0.15*B1005*5))^4/24)+5*(((0.15*B1005*5))^5/120))/((((0.15*B1005*5))^0/1)+(((0.15*B1005*5))^1/1)+(((0.15*B1005*5))^2/2)+(((0.15*B1005*5))^3/6)+(((0.15*B1005*5))^4/24)+(((0.15*B1005*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980*(1-MIN(100,(Inputs!$B$9+((C990=TRUE)*(F990-Calc!F19))+B1003+(ArtifactsInput!$M$24-ArtifactsInput!$M$24)*CHOOSE(ArtifactsInput!$N$24+1,10,12,14,16,18,20)+(IF(AND(ArtifactsInput!$M$42,((Inputs!$B$9+((C990=TRUE)*(F990-Calc!F19))+B1003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980*(MIN(100,(Inputs!$B$9+((C990=TRUE)*(F990-Calc!F19))+B1003+(ArtifactsInput!$M$24-ArtifactsInput!$M$24)*CHOOSE(ArtifactsInput!$N$24+1,10,12,14,16,18,20)+(IF(AND(ArtifactsInput!$M$42,((Inputs!$B$9+((C990=TRUE)*(F990-Calc!F19))+B1003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980*(1-MIN(100,(Inputs!$B$9+((C990=TRUE)*(F990-Calc!F19))+B1003+(ArtifactsInput!$M$24-ArtifactsInput!$M$24)*CHOOSE(ArtifactsInput!$N$24+1,10,12,14,16,18,20)+(IF(AND(ArtifactsInput!$M$42,((Inputs!$B$9+((C990=TRUE)*(F990-Calc!F19))+B1003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980*(MIN(100,(Inputs!$B$9+((C990=TRUE)*(F990-Calc!F19))+B1003+(ArtifactsInput!$M$24-ArtifactsInput!$M$24)*CHOOSE(ArtifactsInput!$N$24+1,10,12,14,16,18,20)+(IF(AND(ArtifactsInput!$M$42,((Inputs!$B$9+((C990=TRUE)*(F990-Calc!F19))+B1003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980">
        <f>IF(C980,(H980*N980*IF(AND(Inputs!$B$38&lt;&gt;"pvp",Inputs!$B$43&gt;0),((Skills!G9*((R980-1)*IF(Skills!H9&gt;0,Skills!I9/Skills!H9,1)+IF(Skills!H9&gt;0,MIN(Skills!I9,MAX(0,MAX(0,Inputs!$B$43-B1010)-((R980-1)*IF(Inputs!$B$38="pvp",15,MAX(0.1,Skills!D9-IF(Skills!E9=TRUE,Inputs!$B$32,0))))))/Skills!H9,1)))/Inputs!$B$43),G980*Q980))*IF(Inputs!$B$38="pvp",1,(1+(Inputs!$B$21+Skills!Q9+(IF(ArtifactsInput!$M$33,CHOOSE(ArtifactsInput!$N$33+1,30,36,42,48,54,60),0))+(IF(AND(ArtifactsInput!$M$35,Inputs!$B$4&lt;&gt;"Chapter Hunt"),CHOOSE(ArtifactsInput!$N$35+1,15,18,21,24,27,30)*(1-EXP(-(0.2*B1005)*5)),0)+IF(AND(ArtifactsInput!$M$22,Inputs!$B$4&lt;&gt;"Chapter Hunt"),CHOOSE(ArtifactsInput!$N$22+1,10,12,14,16,18,20)*((0*(((0.15*B1005*5))^0/1)+1*(((0.15*B1005*5))^1/1)+2*(((0.15*B1005*5))^2/2)+3*(((0.15*B1005*5))^3/6)+4*(((0.15*B1005*5))^4/24)+5*(((0.15*B1005*5))^5/120))/((((0.15*B1005*5))^0/1)+(((0.15*B1005*5))^1/1)+(((0.15*B1005*5))^2/2)+(((0.15*B1005*5))^3/6)+(((0.15*B1005*5))^4/24)+(((0.15*B1005*5))^5/120)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981">
      <c r="A981">
        <f>Skills!A10</f>
        <v/>
      </c>
      <c r="B981">
        <f>Skills!B10</f>
        <v/>
      </c>
      <c r="C981">
        <f>Inputs!$B$3&gt;=107</f>
        <v/>
      </c>
      <c r="D981">
        <f>IF(Skills!C10=1,60+Inputs!$B$25+(Inputs!$B$29+1),IF(Skills!C10=2,90+Inputs!$B$26+(Inputs!$B$29+1),IF(Skills!C10=3,120+Inputs!$B$27+(Inputs!$B$29+1),MAX(0,(Inputs!$B$3-100)*3)+Inputs!$B$28+(Inputs!$B$29+1))))</f>
        <v/>
      </c>
      <c r="E981">
        <f>INDEX(FactorTable!$B$2:$Y$301, MATCH(ROUND(MIN(300,MAX(1,D981)),0), FactorTable!$A$2:$A$301,0), Skills!M10+1)</f>
        <v/>
      </c>
      <c r="F981">
        <f>IF(Skills!N10=TRUE,(Skills!L10/10)*(E981/1000),Skills!L10/10)+Skills!O10</f>
        <v/>
      </c>
      <c r="G981">
        <f>Skills!G10*IF(Skills!H10&gt;0,Skills!I10/Skills!H10,1)</f>
        <v/>
      </c>
      <c r="H981">
        <f>1-(1-Skills!J10/100)^Skills!K10</f>
        <v/>
      </c>
      <c r="I981" t="inlineStr">
        <is>
          <t>1</t>
        </is>
      </c>
      <c r="J981">
        <f>((Inputs!$B$6*(1+Inputs!$B$7/100))+(((Inputs!$B$12*(1+Inputs!$B$13/100))-(Inputs!$B$12*(1+Inputs!$B$13/100)))+0.25*(Inputs!$B$14-Inputs!$B$14))*(1+Inputs!$B$7/100))*(F981/100)</f>
        <v/>
      </c>
      <c r="K981">
        <f>J981*(1+((Inputs!$B$12*(1+Inputs!$B$13/100))*0.01+Inputs!$B$14*0.0025)/100)*(1+Inputs!$B$15/100)*(1+Inputs!$B$16/100)*(5000/(6000+Inputs!$B$42*(1-(100*(1-(1-(Inputs!$B$19+0)/100)*(1-CHOOSE(ArtifactsInput!$N$40+1,5,6,7,8,9,10)/100)^(ArtifactsInput!$M$40-ArtifactsInput!$M$40)))/100)))*(1+(Inputs!$B$24+((C995=TRUE)*(F995-Calc!F24))+((C996=TRUE)*(F996-Calc!F25))+B1009)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EMPOWERED_PIERCING_ARROW",Inputs!$B$17+((C993=TRUE)*(F993-Calc!F22))+(((IF(AND(ArtifactsInput!$M$42,((Inputs!$B$9+((C990=TRUE)*(F990-Calc!F19))+B1003+(ArtifactsInput!$M$24-ArtifactsInput!$M$24)*CHOOSE(ArtifactsInput!$N$24+1,10,12,14,16,18,20)+IF(ArtifactsInput!$M$10,CHOOSE(ArtifactsInput!$N$10+1,15,18,21,24,27,30)*(IF(Inputs!$B$38="pvp",MIN(15,15)/15,IF(AND(Inputs!$B$38&lt;&gt;"pvp",Inputs!$B$43&gt;0),MIN(15,Inputs!$B$43)/(Inputs!$B$43),0))),0)))&gt;=100),MIN(100,((Inputs!$B$9+((C990=TRUE)*(F990-Calc!F19))+B1003+(ArtifactsInput!$M$24-ArtifactsInput!$M$24)*CHOOSE(ArtifactsInput!$N$24+1,10,12,14,16,18,20)+IF(ArtifactsInput!$M$10,CHOOSE(ArtifactsInput!$N$10+1,15,18,21,24,27,30)*(IF(Inputs!$B$38="pvp",MIN(15,15)/15,IF(AND(Inputs!$B$38&lt;&gt;"pvp",Inputs!$B$43&gt;0),MIN(15,Inputs!$B$43)/(Inputs!$B$43),0))),0)))-100),0))*CHOOSE(ArtifactsInput!$N$42+1,0.6,0.72,0.84,0.96,1.08,1.2))),Inputs!$B$18+((C998=TRUE)*(F998-Calc!F27))+(IF(AND(ArtifactsInput!$M$42,((Inputs!$B$9+((C990=TRUE)*(F990-Calc!F19))+B1003+(ArtifactsInput!$M$24-ArtifactsInput!$M$24)*CHOOSE(ArtifactsInput!$N$24+1,10,12,14,16,18,20)+IF(ArtifactsInput!$M$10,CHOOSE(ArtifactsInput!$N$10+1,15,18,21,24,27,30)*(IF(Inputs!$B$38="pvp",MIN(15,15)/15,IF(AND(Inputs!$B$38&lt;&gt;"pvp",Inputs!$B$43&gt;0),MIN(15,Inputs!$B$43)/(Inputs!$B$43),0))),0)))&gt;=100),CHOOSE(ArtifactsInput!$N$42+1,40,48,56,64,72,80),0))))/100)*((1+(((C984=TRUE)*F984)+((C985=TRUE)*IF(Inputs!$B$38="pvp",F985,(1-Summary!$B$11)*(F985)+Summary!$B$11*(0)))+((C986=TRUE)*F986*IF(AND(Inputs!$B$38&lt;&gt;"pvp",Inputs!$B$43&gt;0),(((R986-1)*(Skills!T15*(1+Inputs!$B$34/100))+MIN((Skills!T15*(1+Inputs!$B$34/100)),MAX(0,Inputs!$B$43-((R986-1)*Skills!D15))))/Inputs!$B$43),IF(Inputs!$B$38="pvp",MIN((Skills!T15*(1+Inputs!$B$34/100)),15)/15,(Skills!T15*(1+Inputs!$B$34/100))/Skills!D15)))+((C983=TRUE)*F983)+((C1000=TRUE)*(F1000-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981)</f>
        <v/>
      </c>
      <c r="L981">
        <f>K981*(MIN(Inputs!$B$22+((C994=TRUE)*(F994-Calc!F23)),(Inputs!$B$23+((C999=TRUE)*(F999-Calc!F28))+(IF(ArtifactsInput!$M$15,CHOOSE(ArtifactsInput!$N$15+1,25,30,35,40,45,50)/100*(Inputs!$B$11-Inputs!$B$11),0))))/100+(Inputs!$B$23+((C999=TRUE)*(F999-Calc!F28))+(IF(ArtifactsInput!$M$15,CHOOSE(ArtifactsInput!$N$15+1,25,30,35,40,45,50)/100*(Inputs!$B$11-Inputs!$B$11),0)))/100)/2</f>
        <v/>
      </c>
      <c r="M981">
        <f>L981*(1+(Inputs!$B$10+0+B1008+(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981">
        <f>L981*(1-MIN((Inputs!$B$9+((C990=TRUE)*(F990-Calc!F19))+B1003+(ArtifactsInput!$M$24-ArtifactsInput!$M$24)*CHOOSE(ArtifactsInput!$N$24+1,10,12,14,16,18,20)+(IF(AND(ArtifactsInput!$M$42,((Inputs!$B$9+((C990=TRUE)*(F990-Calc!F19))+B1003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981*(MIN((Inputs!$B$9+((C990=TRUE)*(F990-Calc!F19))+B1003+(ArtifactsInput!$M$24-ArtifactsInput!$M$24)*CHOOSE(ArtifactsInput!$N$24+1,10,12,14,16,18,20)+(IF(AND(ArtifactsInput!$M$42,((Inputs!$B$9+((C990=TRUE)*(F990-Calc!F19))+B1003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981">
        <f>(1-Summary!$B$11)*T981+Summary!$B$11*V981</f>
        <v/>
      </c>
      <c r="P981">
        <f>IF(B1013=0,0,O981/B1013)</f>
        <v/>
      </c>
      <c r="Q981" t="n">
        <v>0</v>
      </c>
      <c r="R981" t="n">
        <v>0</v>
      </c>
      <c r="S981" t="n">
        <v>0</v>
      </c>
      <c r="T981">
        <f>IF(C981,(0.15*SUMPRODUCT((Skills!U2:U29=TRUE)*(C973:C1000=TRUE)*S973:S1000)*Skills!G10*N981)*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Hunt"),CHOOSE(ArtifactsInput!$N$35+1,15,18,21,24,27,30)*(1-EXP(-(0.2*B1005)*5)),0)+IF(AND(ArtifactsInput!$M$22,Inputs!$B$4&lt;&gt;"Chapter Hunt"),CHOOSE(ArtifactsInput!$N$22+1,10,12,14,16,18,20)*((0*(((0.15*B1005*5))^0/1)+1*(((0.15*B1005*5))^1/1)+2*(((0.15*B1005*5))^2/2)+3*(((0.15*B1005*5))^3/6)+4*(((0.15*B1005*5))^4/24)+5*(((0.15*B1005*5))^5/120))/((((0.15*B1005*5))^0/1)+(((0.15*B1005*5))^1/1)+(((0.15*B1005*5))^2/2)+(((0.15*B1005*5))^3/6)+(((0.15*B1005*5))^4/24)+(((0.15*B1005*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981*(1-MIN(100,(Inputs!$B$9+((C990=TRUE)*(F990-Calc!F19))+B1003+(ArtifactsInput!$M$24-ArtifactsInput!$M$24)*CHOOSE(ArtifactsInput!$N$24+1,10,12,14,16,18,20)+(IF(AND(ArtifactsInput!$M$42,((Inputs!$B$9+((C990=TRUE)*(F990-Calc!F19))+B1003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981*(MIN(100,(Inputs!$B$9+((C990=TRUE)*(F990-Calc!F19))+B1003+(ArtifactsInput!$M$24-ArtifactsInput!$M$24)*CHOOSE(ArtifactsInput!$N$24+1,10,12,14,16,18,20)+(IF(AND(ArtifactsInput!$M$42,((Inputs!$B$9+((C990=TRUE)*(F990-Calc!F19))+B1003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981*(1-MIN(100,(Inputs!$B$9+((C990=TRUE)*(F990-Calc!F19))+B1003+(ArtifactsInput!$M$24-ArtifactsInput!$M$24)*CHOOSE(ArtifactsInput!$N$24+1,10,12,14,16,18,20)+(IF(AND(ArtifactsInput!$M$42,((Inputs!$B$9+((C990=TRUE)*(F990-Calc!F19))+B1003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981*(MIN(100,(Inputs!$B$9+((C990=TRUE)*(F990-Calc!F19))+B1003+(ArtifactsInput!$M$24-ArtifactsInput!$M$24)*CHOOSE(ArtifactsInput!$N$24+1,10,12,14,16,18,20)+(IF(AND(ArtifactsInput!$M$42,((Inputs!$B$9+((C990=TRUE)*(F990-Calc!F19))+B1003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981">
        <f>IF(C981,(0.15*SUMPRODUCT((Skills!U2:U29=TRUE)*(C973:C1000=TRUE)*S973:S1000)*Skills!G10*N981)*IF(Inputs!$B$38="pvp",1,(1+(Inputs!$B$21+Skills!Q10+(IF(ArtifactsInput!$M$33,CHOOSE(ArtifactsInput!$N$33+1,30,36,42,48,54,60),0))+(IF(AND(ArtifactsInput!$M$35,Inputs!$B$4&lt;&gt;"Chapter Hunt"),CHOOSE(ArtifactsInput!$N$35+1,15,18,21,24,27,30)*(1-EXP(-(0.2*B1005)*5)),0)+IF(AND(ArtifactsInput!$M$22,Inputs!$B$4&lt;&gt;"Chapter Hunt"),CHOOSE(ArtifactsInput!$N$22+1,10,12,14,16,18,20)*((0*(((0.15*B1005*5))^0/1)+1*(((0.15*B1005*5))^1/1)+2*(((0.15*B1005*5))^2/2)+3*(((0.15*B1005*5))^3/6)+4*(((0.15*B1005*5))^4/24)+5*(((0.15*B1005*5))^5/120))/((((0.15*B1005*5))^0/1)+(((0.15*B1005*5))^1/1)+(((0.15*B1005*5))^2/2)+(((0.15*B1005*5))^3/6)+(((0.15*B1005*5))^4/24)+(((0.15*B1005*5))^5/120)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982">
      <c r="A982">
        <f>Skills!A11</f>
        <v/>
      </c>
      <c r="B982">
        <f>Skills!B11</f>
        <v/>
      </c>
      <c r="C982">
        <f>Inputs!$B$3&gt;=110</f>
        <v/>
      </c>
      <c r="D982">
        <f>IF(Skills!C11=1,60+Inputs!$B$25+(Inputs!$B$29+1),IF(Skills!C11=2,90+Inputs!$B$26+(Inputs!$B$29+1),IF(Skills!C11=3,120+Inputs!$B$27+(Inputs!$B$29+1),MAX(0,(Inputs!$B$3-100)*3)+Inputs!$B$28+(Inputs!$B$29+1))))</f>
        <v/>
      </c>
      <c r="E982">
        <f>INDEX(FactorTable!$B$2:$Y$301, MATCH(ROUND(MIN(300,MAX(1,D982)),0), FactorTable!$A$2:$A$301,0), Skills!M11+1)</f>
        <v/>
      </c>
      <c r="F982">
        <f>IF(Skills!N11=TRUE,(Skills!L11/10)*(E982/1000),Skills!L11/10)+Skills!O11</f>
        <v/>
      </c>
      <c r="G982">
        <f>Skills!G11*IF(Skills!H11&gt;0,Skills!I11/Skills!H11,1)</f>
        <v/>
      </c>
      <c r="H982">
        <f>1-(1-Skills!J11/100)^Skills!K11</f>
        <v/>
      </c>
      <c r="I982" t="inlineStr">
        <is>
          <t>1</t>
        </is>
      </c>
      <c r="J982">
        <f>((Inputs!$B$6*(1+Inputs!$B$7/100))+(((Inputs!$B$12*(1+Inputs!$B$13/100))-(Inputs!$B$12*(1+Inputs!$B$13/100)))+0.25*(Inputs!$B$14-Inputs!$B$14))*(1+Inputs!$B$7/100))*(F982/100)</f>
        <v/>
      </c>
      <c r="K982">
        <f>J982*(1+((Inputs!$B$12*(1+Inputs!$B$13/100))*0.01+Inputs!$B$14*0.0025)/100)*(1+Inputs!$B$15/100)*(1+Inputs!$B$16/100)*(5000/(6000+Inputs!$B$42*(1-(100*(1-(1-(Inputs!$B$19+0)/100)*(1-CHOOSE(ArtifactsInput!$N$40+1,5,6,7,8,9,10)/100)^(ArtifactsInput!$M$40-ArtifactsInput!$M$40)))/100)))*(1+(Inputs!$B$24+((C995=TRUE)*(F995-Calc!F24))+((C996=TRUE)*(F996-Calc!F25))+B1009)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11="EMPOWERED_PIERCING_ARROW",Inputs!$B$17+((C993=TRUE)*(F993-Calc!F22))+(((IF(AND(ArtifactsInput!$M$42,((Inputs!$B$9+((C990=TRUE)*(F990-Calc!F19))+B1003+(ArtifactsInput!$M$24-ArtifactsInput!$M$24)*CHOOSE(ArtifactsInput!$N$24+1,10,12,14,16,18,20)+IF(ArtifactsInput!$M$10,CHOOSE(ArtifactsInput!$N$10+1,15,18,21,24,27,30)*(IF(Inputs!$B$38="pvp",MIN(15,15)/15,IF(AND(Inputs!$B$38&lt;&gt;"pvp",Inputs!$B$43&gt;0),MIN(15,Inputs!$B$43)/(Inputs!$B$43),0))),0)))&gt;=100),MIN(100,((Inputs!$B$9+((C990=TRUE)*(F990-Calc!F19))+B1003+(ArtifactsInput!$M$24-ArtifactsInput!$M$24)*CHOOSE(ArtifactsInput!$N$24+1,10,12,14,16,18,20)+IF(ArtifactsInput!$M$10,CHOOSE(ArtifactsInput!$N$10+1,15,18,21,24,27,30)*(IF(Inputs!$B$38="pvp",MIN(15,15)/15,IF(AND(Inputs!$B$38&lt;&gt;"pvp",Inputs!$B$43&gt;0),MIN(15,Inputs!$B$43)/(Inputs!$B$43),0))),0)))-100),0))*CHOOSE(ArtifactsInput!$N$42+1,0.6,0.72,0.84,0.96,1.08,1.2))),Inputs!$B$18+((C998=TRUE)*(F998-Calc!F27))+(IF(AND(ArtifactsInput!$M$42,((Inputs!$B$9+((C990=TRUE)*(F990-Calc!F19))+B1003+(ArtifactsInput!$M$24-ArtifactsInput!$M$24)*CHOOSE(ArtifactsInput!$N$24+1,10,12,14,16,18,20)+IF(ArtifactsInput!$M$10,CHOOSE(ArtifactsInput!$N$10+1,15,18,21,24,27,30)*(IF(Inputs!$B$38="pvp",MIN(15,15)/15,IF(AND(Inputs!$B$38&lt;&gt;"pvp",Inputs!$B$43&gt;0),MIN(15,Inputs!$B$43)/(Inputs!$B$43),0))),0)))&gt;=100),CHOOSE(ArtifactsInput!$N$42+1,40,48,56,64,72,80),0))))/100)*((1+(((C984=TRUE)*F984)+((C985=TRUE)*IF(Inputs!$B$38="pvp",F985,(1-Summary!$B$11)*(F985)+Summary!$B$11*(0)))+((C986=TRUE)*F986*IF(AND(Inputs!$B$38&lt;&gt;"pvp",Inputs!$B$43&gt;0),(((R986-1)*(Skills!T15*(1+Inputs!$B$34/100))+MIN((Skills!T15*(1+Inputs!$B$34/100)),MAX(0,Inputs!$B$43-((R986-1)*Skills!D15))))/Inputs!$B$43),IF(Inputs!$B$38="pvp",MIN((Skills!T15*(1+Inputs!$B$34/100)),15)/15,(Skills!T15*(1+Inputs!$B$34/100))/Skills!D15)))+((C983=TRUE)*F983)+((C1000=TRUE)*(F1000-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982)</f>
        <v/>
      </c>
      <c r="L982">
        <f>K982*(MIN(Inputs!$B$22+((C994=TRUE)*(F994-Calc!F23)),(Inputs!$B$23+((C999=TRUE)*(F999-Calc!F28))+(IF(ArtifactsInput!$M$15,CHOOSE(ArtifactsInput!$N$15+1,25,30,35,40,45,50)/100*(Inputs!$B$11-Inputs!$B$11),0))))/100+(Inputs!$B$23+((C999=TRUE)*(F999-Calc!F28))+(IF(ArtifactsInput!$M$15,CHOOSE(ArtifactsInput!$N$15+1,25,30,35,40,45,50)/100*(Inputs!$B$11-Inputs!$B$11),0)))/100)/2</f>
        <v/>
      </c>
      <c r="M982">
        <f>L982*(1+(Inputs!$B$10+0+B1008+(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982">
        <f>L982*(1-MIN((Inputs!$B$9+((C990=TRUE)*(F990-Calc!F19))+B1003+(ArtifactsInput!$M$24-ArtifactsInput!$M$24)*CHOOSE(ArtifactsInput!$N$24+1,10,12,14,16,18,20)+(IF(AND(ArtifactsInput!$M$42,((Inputs!$B$9+((C990=TRUE)*(F990-Calc!F19))+B1003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982*(MIN((Inputs!$B$9+((C990=TRUE)*(F990-Calc!F19))+B1003+(ArtifactsInput!$M$24-ArtifactsInput!$M$24)*CHOOSE(ArtifactsInput!$N$24+1,10,12,14,16,18,20)+(IF(AND(ArtifactsInput!$M$42,((Inputs!$B$9+((C990=TRUE)*(F990-Calc!F19))+B1003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982">
        <f>(1-Summary!$B$11)*T982+Summary!$B$11*V982</f>
        <v/>
      </c>
      <c r="P982">
        <f>IF(B1013=0,0,O982/B1013)</f>
        <v/>
      </c>
      <c r="Q982">
        <f>IFERROR(1/IF(Inputs!$B$38="pvp",15,MAX(0.1,Skills!D11-IF(Skills!E11=TRUE,Inputs!$B$32,0))),0)</f>
        <v/>
      </c>
      <c r="R982">
        <f>IF(AND(Inputs!$B$38&lt;&gt;"pvp",Inputs!$B$43&gt;0),IF(MAX(0,Inputs!$B$43-B1010)&lt;=0,0,(INT(MAX(0,Inputs!$B$43-B1010)/IF(Inputs!$B$38="pvp",15,MAX(0.1,Skills!D11-IF(Skills!E11=TRUE,Inputs!$B$32,0))))+1)),0)</f>
        <v/>
      </c>
      <c r="S982">
        <f>IFERROR((H982*N982*IF(AND(Inputs!$B$38&lt;&gt;"pvp",Inputs!$B$43&gt;0),((Skills!G11*((R982-1)*IF(Skills!H11&gt;0,Skills!I11/Skills!H11,1)+IF(Skills!H11&gt;0,MIN(Skills!I11,MAX(0,MAX(0,Inputs!$B$43-B1010)-((R982-1)*IF(Inputs!$B$38="pvp",15,MAX(0.1,Skills!D11-IF(Skills!E11=TRUE,Inputs!$B$32,0))))))/Skills!H11,1)))/Inputs!$B$43),G982*Q982))/N982*IF(Inputs!$B$38="pvp",1,(1-Summary!$B$11)*1+Summary!$B$11*(MIN(Skills!R11,Inputs!$B$37))),0)</f>
        <v/>
      </c>
      <c r="T982">
        <f>IF(C982,(H982*N982*IF(AND(Inputs!$B$38&lt;&gt;"pvp",Inputs!$B$43&gt;0),((Skills!G11*((R982-1)*IF(Skills!H11&gt;0,Skills!I11/Skills!H11,1)+IF(Skills!H11&gt;0,MIN(Skills!I11,MAX(0,MAX(0,Inputs!$B$43-B1010)-((R982-1)*IF(Inputs!$B$38="pvp",15,MAX(0.1,Skills!D11-IF(Skills!E11=TRUE,Inputs!$B$32,0))))))/Skills!H11,1)))/Inputs!$B$43),G982*Q982))*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Hunt"),CHOOSE(ArtifactsInput!$N$35+1,15,18,21,24,27,30)*(1-EXP(-(0.2*B1005)*5)),0)+IF(AND(ArtifactsInput!$M$22,Inputs!$B$4&lt;&gt;"Chapter Hunt"),CHOOSE(ArtifactsInput!$N$22+1,10,12,14,16,18,20)*((0*(((0.15*B1005*5))^0/1)+1*(((0.15*B1005*5))^1/1)+2*(((0.15*B1005*5))^2/2)+3*(((0.15*B1005*5))^3/6)+4*(((0.15*B1005*5))^4/24)+5*(((0.15*B1005*5))^5/120))/((((0.15*B1005*5))^0/1)+(((0.15*B1005*5))^1/1)+(((0.15*B1005*5))^2/2)+(((0.15*B1005*5))^3/6)+(((0.15*B1005*5))^4/24)+(((0.15*B1005*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982*(1-MIN(100,(Inputs!$B$9+((C990=TRUE)*(F990-Calc!F19))+B1003+(ArtifactsInput!$M$24-ArtifactsInput!$M$24)*CHOOSE(ArtifactsInput!$N$24+1,10,12,14,16,18,20)+(IF(AND(ArtifactsInput!$M$42,((Inputs!$B$9+((C990=TRUE)*(F990-Calc!F19))+B1003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982*(MIN(100,(Inputs!$B$9+((C990=TRUE)*(F990-Calc!F19))+B1003+(ArtifactsInput!$M$24-ArtifactsInput!$M$24)*CHOOSE(ArtifactsInput!$N$24+1,10,12,14,16,18,20)+(IF(AND(ArtifactsInput!$M$42,((Inputs!$B$9+((C990=TRUE)*(F990-Calc!F19))+B1003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982*(1-MIN(100,(Inputs!$B$9+((C990=TRUE)*(F990-Calc!F19))+B1003+(ArtifactsInput!$M$24-ArtifactsInput!$M$24)*CHOOSE(ArtifactsInput!$N$24+1,10,12,14,16,18,20)+(IF(AND(ArtifactsInput!$M$42,((Inputs!$B$9+((C990=TRUE)*(F990-Calc!F19))+B1003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982*(MIN(100,(Inputs!$B$9+((C990=TRUE)*(F990-Calc!F19))+B1003+(ArtifactsInput!$M$24-ArtifactsInput!$M$24)*CHOOSE(ArtifactsInput!$N$24+1,10,12,14,16,18,20)+(IF(AND(ArtifactsInput!$M$42,((Inputs!$B$9+((C990=TRUE)*(F990-Calc!F19))+B1003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982">
        <f>IF(C982,(H982*N982*IF(AND(Inputs!$B$38&lt;&gt;"pvp",Inputs!$B$43&gt;0),((Skills!G11*((R982-1)*IF(Skills!H11&gt;0,Skills!I11/Skills!H11,1)+IF(Skills!H11&gt;0,MIN(Skills!I11,MAX(0,MAX(0,Inputs!$B$43-B1010)-((R982-1)*IF(Inputs!$B$38="pvp",15,MAX(0.1,Skills!D11-IF(Skills!E11=TRUE,Inputs!$B$32,0))))))/Skills!H11,1)))/Inputs!$B$43),G982*Q982))*IF(Inputs!$B$38="pvp",1,(1+(Inputs!$B$21+Skills!Q11+(IF(ArtifactsInput!$M$33,CHOOSE(ArtifactsInput!$N$33+1,30,36,42,48,54,60),0))+(IF(AND(ArtifactsInput!$M$35,Inputs!$B$4&lt;&gt;"Chapter Hunt"),CHOOSE(ArtifactsInput!$N$35+1,15,18,21,24,27,30)*(1-EXP(-(0.2*B1005)*5)),0)+IF(AND(ArtifactsInput!$M$22,Inputs!$B$4&lt;&gt;"Chapter Hunt"),CHOOSE(ArtifactsInput!$N$22+1,10,12,14,16,18,20)*((0*(((0.15*B1005*5))^0/1)+1*(((0.15*B1005*5))^1/1)+2*(((0.15*B1005*5))^2/2)+3*(((0.15*B1005*5))^3/6)+4*(((0.15*B1005*5))^4/24)+5*(((0.15*B1005*5))^5/120))/((((0.15*B1005*5))^0/1)+(((0.15*B1005*5))^1/1)+(((0.15*B1005*5))^2/2)+(((0.15*B1005*5))^3/6)+(((0.15*B1005*5))^4/24)+(((0.15*B1005*5))^5/120))),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983">
      <c r="A983">
        <f>Skills!A12</f>
        <v/>
      </c>
      <c r="B983">
        <f>Skills!B12</f>
        <v/>
      </c>
      <c r="C983">
        <f>Inputs!$B$3&gt;=60</f>
        <v/>
      </c>
      <c r="D983">
        <f>IF(Skills!C12=1,60+Inputs!$B$25+(Inputs!$B$29+1),IF(Skills!C12=2,90+Inputs!$B$26+(Inputs!$B$29+1),IF(Skills!C12=3,120+Inputs!$B$27+(Inputs!$B$29+1),MAX(0,(Inputs!$B$3-100)*3)+Inputs!$B$28+(Inputs!$B$29+1))))</f>
        <v/>
      </c>
      <c r="E983">
        <f>INDEX(FactorTable!$B$2:$Y$301, MATCH(ROUND(MIN(300,MAX(1,D983)),0), FactorTable!$A$2:$A$301,0), Skills!M12+1)</f>
        <v/>
      </c>
      <c r="F983">
        <f>IF(Skills!N12=TRUE,(Skills!L12/10)*(E983/1000),Skills!L12/10)+Skills!O12</f>
        <v/>
      </c>
      <c r="G983">
        <f>Skills!G12*IF(Skills!H12&gt;0,Skills!I12/Skills!H12,1)</f>
        <v/>
      </c>
      <c r="H983">
        <f>1-(1-Skills!J12/100)^Skills!K12</f>
        <v/>
      </c>
      <c r="I983" t="inlineStr">
        <is>
          <t>1</t>
        </is>
      </c>
      <c r="J983" t="inlineStr"/>
      <c r="K983" t="inlineStr"/>
      <c r="L983" t="inlineStr"/>
      <c r="M983" t="inlineStr"/>
      <c r="N983" t="inlineStr"/>
      <c r="O983">
        <f>(1-Summary!$B$11)*T983+Summary!$B$11*V983</f>
        <v/>
      </c>
      <c r="P983">
        <f>IF(B1013=0,0,O983/B1013)</f>
        <v/>
      </c>
      <c r="Q983" t="n">
        <v>0</v>
      </c>
      <c r="R983" t="n">
        <v>0</v>
      </c>
      <c r="S983" t="n">
        <v>0</v>
      </c>
      <c r="T983" t="n">
        <v>0</v>
      </c>
      <c r="V983" t="n">
        <v>0</v>
      </c>
    </row>
    <row r="984">
      <c r="A984">
        <f>Skills!A13</f>
        <v/>
      </c>
      <c r="B984">
        <f>Skills!B13</f>
        <v/>
      </c>
      <c r="C984">
        <f>Inputs!$B$3&gt;=74</f>
        <v/>
      </c>
      <c r="D984">
        <f>IF(Skills!C13=1,60+Inputs!$B$25+(Inputs!$B$29+1),IF(Skills!C13=2,90+Inputs!$B$26+(Inputs!$B$29+1),IF(Skills!C13=3,120+Inputs!$B$27+(Inputs!$B$29+1),MAX(0,(Inputs!$B$3-100)*3)+Inputs!$B$28+(Inputs!$B$29+1))))</f>
        <v/>
      </c>
      <c r="E984">
        <f>INDEX(FactorTable!$B$2:$Y$301, MATCH(ROUND(MIN(300,MAX(1,D984)),0), FactorTable!$A$2:$A$301,0), Skills!M13+1)</f>
        <v/>
      </c>
      <c r="F984">
        <f>IF(Skills!N13=TRUE,(Skills!L13/10)*(E984/1000),Skills!L13/10)+Skills!O13</f>
        <v/>
      </c>
      <c r="G984">
        <f>Skills!G13*IF(Skills!H13&gt;0,Skills!I13/Skills!H13,1)</f>
        <v/>
      </c>
      <c r="H984">
        <f>1-(1-Skills!J13/100)^Skills!K13</f>
        <v/>
      </c>
      <c r="I984" t="inlineStr">
        <is>
          <t>1</t>
        </is>
      </c>
      <c r="J984" t="inlineStr"/>
      <c r="K984" t="inlineStr"/>
      <c r="L984" t="inlineStr"/>
      <c r="M984" t="inlineStr"/>
      <c r="N984" t="inlineStr"/>
      <c r="O984">
        <f>(1-Summary!$B$11)*T984+Summary!$B$11*V984</f>
        <v/>
      </c>
      <c r="P984">
        <f>IF(B1013=0,0,O984/B1013)</f>
        <v/>
      </c>
      <c r="Q984" t="n">
        <v>0</v>
      </c>
      <c r="R984" t="n">
        <v>0</v>
      </c>
      <c r="S984" t="n">
        <v>0</v>
      </c>
      <c r="T984" t="n">
        <v>0</v>
      </c>
      <c r="V984" t="n">
        <v>0</v>
      </c>
    </row>
    <row r="985">
      <c r="A985">
        <f>Skills!A14</f>
        <v/>
      </c>
      <c r="B985">
        <f>Skills!B14</f>
        <v/>
      </c>
      <c r="C985">
        <f>Inputs!$B$3&gt;=74</f>
        <v/>
      </c>
      <c r="D985">
        <f>IF(Skills!C14=1,60+Inputs!$B$25+(Inputs!$B$29+1),IF(Skills!C14=2,90+Inputs!$B$26+(Inputs!$B$29+1),IF(Skills!C14=3,120+Inputs!$B$27+(Inputs!$B$29+1),MAX(0,(Inputs!$B$3-100)*3)+Inputs!$B$28+(Inputs!$B$29+1))))</f>
        <v/>
      </c>
      <c r="E985">
        <f>INDEX(FactorTable!$B$2:$Y$301, MATCH(ROUND(MIN(300,MAX(1,D985)),0), FactorTable!$A$2:$A$301,0), Skills!M14+1)</f>
        <v/>
      </c>
      <c r="F985">
        <f>IF(Skills!N14=TRUE,(Skills!L14/10)*(E985/1000),Skills!L14/10)+Skills!O14</f>
        <v/>
      </c>
      <c r="G985">
        <f>Skills!G14*IF(Skills!H14&gt;0,Skills!I14/Skills!H14,1)</f>
        <v/>
      </c>
      <c r="H985">
        <f>1-(1-Skills!J14/100)^Skills!K14</f>
        <v/>
      </c>
      <c r="I985" t="inlineStr">
        <is>
          <t>1</t>
        </is>
      </c>
      <c r="J985" t="inlineStr"/>
      <c r="K985" t="inlineStr"/>
      <c r="L985" t="inlineStr"/>
      <c r="M985" t="inlineStr"/>
      <c r="N985" t="inlineStr"/>
      <c r="O985">
        <f>(1-Summary!$B$11)*T985+Summary!$B$11*V985</f>
        <v/>
      </c>
      <c r="P985">
        <f>IF(B1013=0,0,O985/B1013)</f>
        <v/>
      </c>
      <c r="Q985" t="n">
        <v>0</v>
      </c>
      <c r="R985" t="n">
        <v>0</v>
      </c>
      <c r="S985" t="n">
        <v>0</v>
      </c>
      <c r="T985" t="n">
        <v>0</v>
      </c>
      <c r="V985" t="n">
        <v>0</v>
      </c>
    </row>
    <row r="986">
      <c r="A986">
        <f>Skills!A15</f>
        <v/>
      </c>
      <c r="B986">
        <f>Skills!B15</f>
        <v/>
      </c>
      <c r="C986">
        <f>Inputs!$B$3&gt;=117</f>
        <v/>
      </c>
      <c r="D986">
        <f>IF(Skills!C15=1,60+Inputs!$B$25+(Inputs!$B$29+1),IF(Skills!C15=2,90+Inputs!$B$26+(Inputs!$B$29+1),IF(Skills!C15=3,120+Inputs!$B$27+(Inputs!$B$29+1),MAX(0,(Inputs!$B$3-100)*3)+Inputs!$B$28+(Inputs!$B$29+1))))</f>
        <v/>
      </c>
      <c r="E986">
        <f>INDEX(FactorTable!$B$2:$Y$301, MATCH(ROUND(MIN(300,MAX(1,D986)),0), FactorTable!$A$2:$A$301,0), Skills!M15+1)</f>
        <v/>
      </c>
      <c r="F986">
        <f>IF(Skills!N15=TRUE,(Skills!L15/10)*(E986/1000),Skills!L15/10)+Skills!O15</f>
        <v/>
      </c>
      <c r="G986">
        <f>Skills!G15*IF(Skills!H15&gt;0,Skills!I15/Skills!H15,1)</f>
        <v/>
      </c>
      <c r="H986">
        <f>1-(1-Skills!J15/100)^Skills!K15</f>
        <v/>
      </c>
      <c r="I986" t="inlineStr">
        <is>
          <t>1</t>
        </is>
      </c>
      <c r="J986" t="inlineStr"/>
      <c r="K986" t="inlineStr"/>
      <c r="L986" t="inlineStr"/>
      <c r="M986" t="inlineStr"/>
      <c r="N986" t="inlineStr"/>
      <c r="O986">
        <f>(1-Summary!$B$11)*T986+Summary!$B$11*V986</f>
        <v/>
      </c>
      <c r="P986">
        <f>IF(B1013=0,0,O986/B1013)</f>
        <v/>
      </c>
      <c r="Q986">
        <f>IFERROR(1/IF(Inputs!$B$38="pvp",15,MAX(0.1,Skills!D15-IF(Skills!E15=TRUE,Inputs!$B$32,0))),0)</f>
        <v/>
      </c>
      <c r="R986">
        <f>IF(AND(Inputs!$B$38&lt;&gt;"pvp",Inputs!$B$43&gt;0),IF(Inputs!$B$43&lt;=0,0,(INT(Inputs!$B$43/IF(Inputs!$B$38="pvp",15,MAX(0.1,Skills!D15-IF(Skills!E15=TRUE,Inputs!$B$32,0))))+1)),0)</f>
        <v/>
      </c>
      <c r="S986" t="n">
        <v>0</v>
      </c>
      <c r="T986" t="n">
        <v>0</v>
      </c>
      <c r="V986" t="n">
        <v>0</v>
      </c>
    </row>
    <row r="987">
      <c r="A987">
        <f>Skills!A16</f>
        <v/>
      </c>
      <c r="B987">
        <f>Skills!B16</f>
        <v/>
      </c>
      <c r="C987">
        <f>Inputs!$B$3&gt;=115</f>
        <v/>
      </c>
      <c r="D987">
        <f>IF(Skills!C16=1,60+Inputs!$B$25+(Inputs!$B$29+1),IF(Skills!C16=2,90+Inputs!$B$26+(Inputs!$B$29+1),IF(Skills!C16=3,120+Inputs!$B$27+(Inputs!$B$29+1),MAX(0,(Inputs!$B$3-100)*3)+Inputs!$B$28+(Inputs!$B$29+1))))</f>
        <v/>
      </c>
      <c r="E987">
        <f>INDEX(FactorTable!$B$2:$Y$301, MATCH(ROUND(MIN(300,MAX(1,D987)),0), FactorTable!$A$2:$A$301,0), Skills!M16+1)</f>
        <v/>
      </c>
      <c r="F987">
        <f>IF(Skills!N16=TRUE,(Skills!L16/10)*(E987/1000),Skills!L16/10)+Skills!O16</f>
        <v/>
      </c>
      <c r="G987">
        <f>Skills!G16*IF(Skills!H16&gt;0,Skills!I16/Skills!H16,1)</f>
        <v/>
      </c>
      <c r="H987">
        <f>1-(1-Skills!J16/100)^Skills!K16</f>
        <v/>
      </c>
      <c r="I987" t="inlineStr">
        <is>
          <t>1</t>
        </is>
      </c>
      <c r="J987" t="inlineStr"/>
      <c r="K987" t="inlineStr"/>
      <c r="L987" t="inlineStr"/>
      <c r="M987" t="inlineStr"/>
      <c r="N987" t="inlineStr"/>
      <c r="O987">
        <f>(1-Summary!$B$11)*T987+Summary!$B$11*V987</f>
        <v/>
      </c>
      <c r="P987">
        <f>IF(B1013=0,0,O987/B1013)</f>
        <v/>
      </c>
      <c r="Q987">
        <f>IFERROR(1/IF(Inputs!$B$38="pvp",15,MAX(0.1,Skills!D16-IF(Skills!E16=TRUE,Inputs!$B$32,0))),0)</f>
        <v/>
      </c>
      <c r="R987">
        <f>IF(AND(Inputs!$B$38&lt;&gt;"pvp",Inputs!$B$43&gt;0),IF(Inputs!$B$43&lt;=0,0,(INT(Inputs!$B$43/IF(Inputs!$B$38="pvp",15,MAX(0.1,Skills!D16-IF(Skills!E16=TRUE,Inputs!$B$32,0))))+1)),0)</f>
        <v/>
      </c>
      <c r="S987" t="n">
        <v>0</v>
      </c>
      <c r="T987" t="n">
        <v>0</v>
      </c>
      <c r="V987" t="n">
        <v>0</v>
      </c>
    </row>
    <row r="988">
      <c r="A988">
        <f>Skills!A17</f>
        <v/>
      </c>
      <c r="B988">
        <f>Skills!B17</f>
        <v/>
      </c>
      <c r="C988">
        <f>Inputs!$B$3&gt;=72</f>
        <v/>
      </c>
      <c r="D988">
        <f>IF(Skills!C17=1,60+Inputs!$B$25+(Inputs!$B$29+1),IF(Skills!C17=2,90+Inputs!$B$26+(Inputs!$B$29+1),IF(Skills!C17=3,120+Inputs!$B$27+(Inputs!$B$29+1),MAX(0,(Inputs!$B$3-100)*3)+Inputs!$B$28+(Inputs!$B$29+1))))</f>
        <v/>
      </c>
      <c r="E988">
        <f>INDEX(FactorTable!$B$2:$Y$301, MATCH(ROUND(MIN(300,MAX(1,D988)),0), FactorTable!$A$2:$A$301,0), Skills!M17+1)</f>
        <v/>
      </c>
      <c r="F988">
        <f>IF(Skills!N17=TRUE,(Skills!L17/10)*(E988/1000),Skills!L17/10)+Skills!O17</f>
        <v/>
      </c>
      <c r="G988">
        <f>Skills!G17*IF(Skills!H17&gt;0,Skills!I17/Skills!H17,1)</f>
        <v/>
      </c>
      <c r="H988">
        <f>1-(1-Skills!J17/100)^Skills!K17</f>
        <v/>
      </c>
      <c r="I988" t="inlineStr">
        <is>
          <t>1</t>
        </is>
      </c>
      <c r="J988" t="inlineStr"/>
      <c r="K988" t="inlineStr"/>
      <c r="L988" t="inlineStr"/>
      <c r="M988" t="inlineStr"/>
      <c r="N988" t="inlineStr"/>
      <c r="O988">
        <f>(1-Summary!$B$11)*T988+Summary!$B$11*V988</f>
        <v/>
      </c>
      <c r="P988">
        <f>IF(B1013=0,0,O988/B1013)</f>
        <v/>
      </c>
      <c r="Q988" t="n">
        <v>0</v>
      </c>
      <c r="R988" t="n">
        <v>0</v>
      </c>
      <c r="S988" t="n">
        <v>0</v>
      </c>
      <c r="T988" t="n">
        <v>0</v>
      </c>
      <c r="V988" t="n">
        <v>0</v>
      </c>
    </row>
    <row r="989">
      <c r="A989">
        <f>Skills!A18</f>
        <v/>
      </c>
      <c r="B989">
        <f>Skills!B18</f>
        <v/>
      </c>
      <c r="C989">
        <f>TRUE</f>
        <v/>
      </c>
      <c r="D989">
        <f>IF(Skills!C18=1,60+Inputs!$B$25+(Inputs!$B$29+1),IF(Skills!C18=2,90+Inputs!$B$26+(Inputs!$B$29+1),IF(Skills!C18=3,120+Inputs!$B$27+(Inputs!$B$29+1),MAX(0,(Inputs!$B$3-100)*3)+Inputs!$B$28+(Inputs!$B$29+1))))</f>
        <v/>
      </c>
      <c r="E989">
        <f>INDEX(FactorTable!$B$2:$Y$301, MATCH(ROUND(MIN(300,MAX(1,D989)),0), FactorTable!$A$2:$A$301,0), Skills!M18+1)</f>
        <v/>
      </c>
      <c r="F989">
        <f>IF(Skills!N18=TRUE,(Skills!L18/10)*(E989/1000),Skills!L18/10)+Skills!O18</f>
        <v/>
      </c>
      <c r="G989">
        <f>Skills!G18*IF(Skills!H18&gt;0,Skills!I18/Skills!H18,1)</f>
        <v/>
      </c>
      <c r="H989">
        <f>1-(1-Skills!J18/100)^Skills!K18</f>
        <v/>
      </c>
      <c r="I989" t="inlineStr">
        <is>
          <t>1</t>
        </is>
      </c>
      <c r="J989" t="inlineStr"/>
      <c r="K989" t="inlineStr"/>
      <c r="L989" t="inlineStr"/>
      <c r="M989" t="inlineStr"/>
      <c r="N989" t="inlineStr"/>
      <c r="O989">
        <f>(1-Summary!$B$11)*T989+Summary!$B$11*V989</f>
        <v/>
      </c>
      <c r="P989">
        <f>IF(B1013=0,0,O989/B1013)</f>
        <v/>
      </c>
      <c r="Q989">
        <f>IFERROR(1/IF(Inputs!$B$38="pvp",15,MAX(0.1,Skills!D18-IF(Skills!E18=TRUE,Inputs!$B$32,0))),0)</f>
        <v/>
      </c>
      <c r="R989">
        <f>IF(AND(Inputs!$B$38&lt;&gt;"pvp",Inputs!$B$43&gt;0),IF(Inputs!$B$43&lt;=0,0,(INT(Inputs!$B$43/IF(Inputs!$B$38="pvp",15,MAX(0.1,Skills!D18-IF(Skills!E18=TRUE,Inputs!$B$32,0))))+1)),0)</f>
        <v/>
      </c>
      <c r="S989" t="n">
        <v>0</v>
      </c>
      <c r="T989" t="n">
        <v>0</v>
      </c>
      <c r="V989" t="n">
        <v>0</v>
      </c>
    </row>
    <row r="990">
      <c r="A990">
        <f>Skills!A19</f>
        <v/>
      </c>
      <c r="B990">
        <f>Skills!B19</f>
        <v/>
      </c>
      <c r="C990">
        <f>Inputs!$B$3&gt;=15</f>
        <v/>
      </c>
      <c r="D990">
        <f>IF(Skills!C19=1,60+Inputs!$B$25+(Inputs!$B$29+1),IF(Skills!C19=2,90+Inputs!$B$26+(Inputs!$B$29+1),IF(Skills!C19=3,120+Inputs!$B$27+(Inputs!$B$29+1),MAX(0,(Inputs!$B$3-100)*3)+Inputs!$B$28+(Inputs!$B$29+1))))</f>
        <v/>
      </c>
      <c r="E990">
        <f>INDEX(FactorTable!$B$2:$Y$301, MATCH(ROUND(MIN(300,MAX(1,D990)),0), FactorTable!$A$2:$A$301,0), Skills!M19+1)</f>
        <v/>
      </c>
      <c r="F990">
        <f>IF(Skills!N19=TRUE,(Skills!L19/10)*(E990/1000),Skills!L19/10)+Skills!O19</f>
        <v/>
      </c>
      <c r="G990">
        <f>Skills!G19*IF(Skills!H19&gt;0,Skills!I19/Skills!H19,1)</f>
        <v/>
      </c>
      <c r="H990">
        <f>1-(1-Skills!J19/100)^Skills!K19</f>
        <v/>
      </c>
      <c r="I990" t="inlineStr">
        <is>
          <t>1</t>
        </is>
      </c>
      <c r="J990" t="inlineStr"/>
      <c r="K990" t="inlineStr"/>
      <c r="L990" t="inlineStr"/>
      <c r="M990" t="inlineStr"/>
      <c r="N990" t="inlineStr"/>
      <c r="O990">
        <f>(1-Summary!$B$11)*T990+Summary!$B$11*V990</f>
        <v/>
      </c>
      <c r="P990">
        <f>IF(B1013=0,0,O990/B1013)</f>
        <v/>
      </c>
      <c r="Q990" t="n">
        <v>0</v>
      </c>
      <c r="R990" t="n">
        <v>0</v>
      </c>
      <c r="S990" t="n">
        <v>0</v>
      </c>
      <c r="T990" t="n">
        <v>0</v>
      </c>
      <c r="V990" t="n">
        <v>0</v>
      </c>
    </row>
    <row r="991">
      <c r="A991">
        <f>Skills!A20</f>
        <v/>
      </c>
      <c r="B991">
        <f>Skills!B20</f>
        <v/>
      </c>
      <c r="C991">
        <f>Inputs!$B$3&gt;=10</f>
        <v/>
      </c>
      <c r="D991">
        <f>IF(Skills!C20=1,60+Inputs!$B$25+(Inputs!$B$29+1),IF(Skills!C20=2,90+Inputs!$B$26+(Inputs!$B$29+1),IF(Skills!C20=3,120+Inputs!$B$27+(Inputs!$B$29+1),MAX(0,(Inputs!$B$3-100)*3)+Inputs!$B$28+(Inputs!$B$29+1))))</f>
        <v/>
      </c>
      <c r="E991">
        <f>INDEX(FactorTable!$B$2:$Y$301, MATCH(ROUND(MIN(300,MAX(1,D991)),0), FactorTable!$A$2:$A$301,0), Skills!M20+1)</f>
        <v/>
      </c>
      <c r="F991">
        <f>IF(Skills!N20=TRUE,(Skills!L20/10)*(E991/1000),Skills!L20/10)+Skills!O20</f>
        <v/>
      </c>
      <c r="G991">
        <f>Skills!G20*IF(Skills!H20&gt;0,Skills!I20/Skills!H20,1)</f>
        <v/>
      </c>
      <c r="H991">
        <f>1-(1-Skills!J20/100)^Skills!K20</f>
        <v/>
      </c>
      <c r="I991" t="inlineStr">
        <is>
          <t>1</t>
        </is>
      </c>
      <c r="J991" t="inlineStr"/>
      <c r="K991" t="inlineStr"/>
      <c r="L991" t="inlineStr"/>
      <c r="M991" t="inlineStr"/>
      <c r="N991" t="inlineStr"/>
      <c r="O991">
        <f>(1-Summary!$B$11)*T991+Summary!$B$11*V991</f>
        <v/>
      </c>
      <c r="P991">
        <f>IF(B1013=0,0,O991/B1013)</f>
        <v/>
      </c>
      <c r="Q991" t="n">
        <v>0</v>
      </c>
      <c r="R991" t="n">
        <v>0</v>
      </c>
      <c r="S991" t="n">
        <v>0</v>
      </c>
      <c r="T991" t="n">
        <v>0</v>
      </c>
      <c r="V991" t="n">
        <v>0</v>
      </c>
    </row>
    <row r="992">
      <c r="A992">
        <f>Skills!A21</f>
        <v/>
      </c>
      <c r="B992">
        <f>Skills!B21</f>
        <v/>
      </c>
      <c r="C992">
        <f>Inputs!$B$3&gt;=33</f>
        <v/>
      </c>
      <c r="D992">
        <f>IF(Skills!C21=1,60+Inputs!$B$25+(Inputs!$B$29+1),IF(Skills!C21=2,90+Inputs!$B$26+(Inputs!$B$29+1),IF(Skills!C21=3,120+Inputs!$B$27+(Inputs!$B$29+1),MAX(0,(Inputs!$B$3-100)*3)+Inputs!$B$28+(Inputs!$B$29+1))))</f>
        <v/>
      </c>
      <c r="E992">
        <f>INDEX(FactorTable!$B$2:$Y$301, MATCH(ROUND(MIN(300,MAX(1,D992)),0), FactorTable!$A$2:$A$301,0), Skills!M21+1)</f>
        <v/>
      </c>
      <c r="F992">
        <f>IF(Skills!N21=TRUE,(Skills!L21/10)*(E992/1000),Skills!L21/10)+Skills!O21</f>
        <v/>
      </c>
      <c r="G992">
        <f>Skills!G21*IF(Skills!H21&gt;0,Skills!I21/Skills!H21,1)</f>
        <v/>
      </c>
      <c r="H992">
        <f>1-(1-Skills!J21/100)^Skills!K21</f>
        <v/>
      </c>
      <c r="I992" t="inlineStr">
        <is>
          <t>1</t>
        </is>
      </c>
      <c r="J992" t="inlineStr"/>
      <c r="K992" t="inlineStr"/>
      <c r="L992" t="inlineStr"/>
      <c r="M992" t="inlineStr"/>
      <c r="N992" t="inlineStr"/>
      <c r="O992">
        <f>(1-Summary!$B$11)*T992+Summary!$B$11*V992</f>
        <v/>
      </c>
      <c r="P992">
        <f>IF(B1013=0,0,O992/B1013)</f>
        <v/>
      </c>
      <c r="Q992" t="n">
        <v>0</v>
      </c>
      <c r="R992" t="n">
        <v>0</v>
      </c>
      <c r="S992" t="n">
        <v>0</v>
      </c>
      <c r="T992" t="n">
        <v>0</v>
      </c>
      <c r="V992" t="n">
        <v>0</v>
      </c>
    </row>
    <row r="993">
      <c r="A993">
        <f>Skills!A22</f>
        <v/>
      </c>
      <c r="B993">
        <f>Skills!B22</f>
        <v/>
      </c>
      <c r="C993">
        <f>Inputs!$B$3&gt;=38</f>
        <v/>
      </c>
      <c r="D993">
        <f>IF(Skills!C22=1,60+Inputs!$B$25+(Inputs!$B$29+1),IF(Skills!C22=2,90+Inputs!$B$26+(Inputs!$B$29+1),IF(Skills!C22=3,120+Inputs!$B$27+(Inputs!$B$29+1),MAX(0,(Inputs!$B$3-100)*3)+Inputs!$B$28+(Inputs!$B$29+1))))</f>
        <v/>
      </c>
      <c r="E993">
        <f>INDEX(FactorTable!$B$2:$Y$301, MATCH(ROUND(MIN(300,MAX(1,D993)),0), FactorTable!$A$2:$A$301,0), Skills!M22+1)</f>
        <v/>
      </c>
      <c r="F993">
        <f>IF(Skills!N22=TRUE,(Skills!L22/10)*(E993/1000),Skills!L22/10)+Skills!O22</f>
        <v/>
      </c>
      <c r="G993">
        <f>Skills!G22*IF(Skills!H22&gt;0,Skills!I22/Skills!H22,1)</f>
        <v/>
      </c>
      <c r="H993">
        <f>1-(1-Skills!J22/100)^Skills!K22</f>
        <v/>
      </c>
      <c r="I993" t="inlineStr">
        <is>
          <t>1</t>
        </is>
      </c>
      <c r="J993" t="inlineStr"/>
      <c r="K993" t="inlineStr"/>
      <c r="L993" t="inlineStr"/>
      <c r="M993" t="inlineStr"/>
      <c r="N993" t="inlineStr"/>
      <c r="O993">
        <f>(1-Summary!$B$11)*T993+Summary!$B$11*V993</f>
        <v/>
      </c>
      <c r="P993">
        <f>IF(B1013=0,0,O993/B1013)</f>
        <v/>
      </c>
      <c r="Q993" t="n">
        <v>0</v>
      </c>
      <c r="R993" t="n">
        <v>0</v>
      </c>
      <c r="S993" t="n">
        <v>0</v>
      </c>
      <c r="T993" t="n">
        <v>0</v>
      </c>
      <c r="V993" t="n">
        <v>0</v>
      </c>
    </row>
    <row r="994">
      <c r="A994">
        <f>Skills!A23</f>
        <v/>
      </c>
      <c r="B994">
        <f>Skills!B23</f>
        <v/>
      </c>
      <c r="C994">
        <f>Inputs!$B$3&gt;=43</f>
        <v/>
      </c>
      <c r="D994">
        <f>IF(Skills!C23=1,60+Inputs!$B$25+(Inputs!$B$29+1),IF(Skills!C23=2,90+Inputs!$B$26+(Inputs!$B$29+1),IF(Skills!C23=3,120+Inputs!$B$27+(Inputs!$B$29+1),MAX(0,(Inputs!$B$3-100)*3)+Inputs!$B$28+(Inputs!$B$29+1))))</f>
        <v/>
      </c>
      <c r="E994">
        <f>INDEX(FactorTable!$B$2:$Y$301, MATCH(ROUND(MIN(300,MAX(1,D994)),0), FactorTable!$A$2:$A$301,0), Skills!M23+1)</f>
        <v/>
      </c>
      <c r="F994">
        <f>IF(Skills!N23=TRUE,(Skills!L23/10)*(E994/1000),Skills!L23/10)+Skills!O23</f>
        <v/>
      </c>
      <c r="G994">
        <f>Skills!G23*IF(Skills!H23&gt;0,Skills!I23/Skills!H23,1)</f>
        <v/>
      </c>
      <c r="H994">
        <f>1-(1-Skills!J23/100)^Skills!K23</f>
        <v/>
      </c>
      <c r="I994" t="inlineStr">
        <is>
          <t>1</t>
        </is>
      </c>
      <c r="J994" t="inlineStr"/>
      <c r="K994" t="inlineStr"/>
      <c r="L994" t="inlineStr"/>
      <c r="M994" t="inlineStr"/>
      <c r="N994" t="inlineStr"/>
      <c r="O994">
        <f>(1-Summary!$B$11)*T994+Summary!$B$11*V994</f>
        <v/>
      </c>
      <c r="P994">
        <f>IF(B1013=0,0,O994/B1013)</f>
        <v/>
      </c>
      <c r="Q994" t="n">
        <v>0</v>
      </c>
      <c r="R994" t="n">
        <v>0</v>
      </c>
      <c r="S994" t="n">
        <v>0</v>
      </c>
      <c r="T994" t="n">
        <v>0</v>
      </c>
      <c r="V994" t="n">
        <v>0</v>
      </c>
    </row>
    <row r="995">
      <c r="A995">
        <f>Skills!A24</f>
        <v/>
      </c>
      <c r="B995">
        <f>Skills!B24</f>
        <v/>
      </c>
      <c r="C995">
        <f>Inputs!$B$3&gt;=75</f>
        <v/>
      </c>
      <c r="D995">
        <f>IF(Skills!C24=1,60+Inputs!$B$25+(Inputs!$B$29+1),IF(Skills!C24=2,90+Inputs!$B$26+(Inputs!$B$29+1),IF(Skills!C24=3,120+Inputs!$B$27+(Inputs!$B$29+1),MAX(0,(Inputs!$B$3-100)*3)+Inputs!$B$28+(Inputs!$B$29+1))))</f>
        <v/>
      </c>
      <c r="E995">
        <f>INDEX(FactorTable!$B$2:$Y$301, MATCH(ROUND(MIN(300,MAX(1,D995)),0), FactorTable!$A$2:$A$301,0), Skills!M24+1)</f>
        <v/>
      </c>
      <c r="F995">
        <f>IF(Skills!N24=TRUE,(Skills!L24/10)*(E995/1000),Skills!L24/10)+Skills!O24</f>
        <v/>
      </c>
      <c r="G995">
        <f>Skills!G24*IF(Skills!H24&gt;0,Skills!I24/Skills!H24,1)</f>
        <v/>
      </c>
      <c r="H995">
        <f>1-(1-Skills!J24/100)^Skills!K24</f>
        <v/>
      </c>
      <c r="I995" t="inlineStr">
        <is>
          <t>1</t>
        </is>
      </c>
      <c r="J995" t="inlineStr"/>
      <c r="K995" t="inlineStr"/>
      <c r="L995" t="inlineStr"/>
      <c r="M995" t="inlineStr"/>
      <c r="N995" t="inlineStr"/>
      <c r="O995">
        <f>(1-Summary!$B$11)*T995+Summary!$B$11*V995</f>
        <v/>
      </c>
      <c r="P995">
        <f>IF(B1013=0,0,O995/B1013)</f>
        <v/>
      </c>
      <c r="Q995" t="n">
        <v>0</v>
      </c>
      <c r="R995" t="n">
        <v>0</v>
      </c>
      <c r="S995" t="n">
        <v>0</v>
      </c>
      <c r="T995" t="n">
        <v>0</v>
      </c>
      <c r="V995" t="n">
        <v>0</v>
      </c>
    </row>
    <row r="996">
      <c r="A996">
        <f>Skills!A25</f>
        <v/>
      </c>
      <c r="B996">
        <f>Skills!B25</f>
        <v/>
      </c>
      <c r="C996">
        <f>Inputs!$B$3&gt;=125</f>
        <v/>
      </c>
      <c r="D996">
        <f>IF(Skills!C25=1,60+Inputs!$B$25+(Inputs!$B$29+1),IF(Skills!C25=2,90+Inputs!$B$26+(Inputs!$B$29+1),IF(Skills!C25=3,120+Inputs!$B$27+(Inputs!$B$29+1),MAX(0,(Inputs!$B$3-100)*3)+Inputs!$B$28+(Inputs!$B$29+1))))</f>
        <v/>
      </c>
      <c r="E996">
        <f>INDEX(FactorTable!$B$2:$Y$301, MATCH(ROUND(MIN(300,MAX(1,D996)),0), FactorTable!$A$2:$A$301,0), Skills!M25+1)</f>
        <v/>
      </c>
      <c r="F996">
        <f>IF(Skills!N25=TRUE,(Skills!L25/10)*(E996/1000),Skills!L25/10)+Skills!O25</f>
        <v/>
      </c>
      <c r="G996">
        <f>Skills!G25*IF(Skills!H25&gt;0,Skills!I25/Skills!H25,1)</f>
        <v/>
      </c>
      <c r="H996">
        <f>1-(1-Skills!J25/100)^Skills!K25</f>
        <v/>
      </c>
      <c r="I996" t="inlineStr">
        <is>
          <t>1</t>
        </is>
      </c>
      <c r="J996" t="inlineStr"/>
      <c r="K996" t="inlineStr"/>
      <c r="L996" t="inlineStr"/>
      <c r="M996" t="inlineStr"/>
      <c r="N996" t="inlineStr"/>
      <c r="O996">
        <f>(1-Summary!$B$11)*T996+Summary!$B$11*V996</f>
        <v/>
      </c>
      <c r="P996">
        <f>IF(B1013=0,0,O996/B1013)</f>
        <v/>
      </c>
      <c r="Q996" t="n">
        <v>0</v>
      </c>
      <c r="R996" t="n">
        <v>0</v>
      </c>
      <c r="S996" t="n">
        <v>0</v>
      </c>
      <c r="T996" t="n">
        <v>0</v>
      </c>
      <c r="V996" t="n">
        <v>0</v>
      </c>
    </row>
    <row r="997">
      <c r="A997">
        <f>Skills!A26</f>
        <v/>
      </c>
      <c r="B997">
        <f>Skills!B26</f>
        <v/>
      </c>
      <c r="C997">
        <f>Inputs!$B$3&gt;=125</f>
        <v/>
      </c>
      <c r="D997">
        <f>IF(Skills!C26=1,60+Inputs!$B$25+(Inputs!$B$29+1),IF(Skills!C26=2,90+Inputs!$B$26+(Inputs!$B$29+1),IF(Skills!C26=3,120+Inputs!$B$27+(Inputs!$B$29+1),MAX(0,(Inputs!$B$3-100)*3)+Inputs!$B$28+(Inputs!$B$29+1))))</f>
        <v/>
      </c>
      <c r="E997">
        <f>INDEX(FactorTable!$B$2:$Y$301, MATCH(ROUND(MIN(300,MAX(1,D997)),0), FactorTable!$A$2:$A$301,0), Skills!M26+1)</f>
        <v/>
      </c>
      <c r="F997">
        <f>IF(Skills!N26=TRUE,(Skills!L26/10)*(E997/1000),Skills!L26/10)+Skills!O26</f>
        <v/>
      </c>
      <c r="G997">
        <f>Skills!G26*IF(Skills!H26&gt;0,Skills!I26/Skills!H26,1)</f>
        <v/>
      </c>
      <c r="H997">
        <f>1-(1-Skills!J26/100)^Skills!K26</f>
        <v/>
      </c>
      <c r="I997" t="inlineStr">
        <is>
          <t>1</t>
        </is>
      </c>
      <c r="J997" t="inlineStr"/>
      <c r="K997" t="inlineStr"/>
      <c r="L997" t="inlineStr"/>
      <c r="M997" t="inlineStr"/>
      <c r="N997" t="inlineStr"/>
      <c r="O997">
        <f>(1-Summary!$B$11)*T997+Summary!$B$11*V997</f>
        <v/>
      </c>
      <c r="P997">
        <f>IF(B1013=0,0,O997/B1013)</f>
        <v/>
      </c>
      <c r="Q997" t="n">
        <v>0</v>
      </c>
      <c r="R997" t="n">
        <v>0</v>
      </c>
      <c r="S997" t="n">
        <v>0</v>
      </c>
      <c r="T997" t="n">
        <v>0</v>
      </c>
      <c r="V997" t="n">
        <v>0</v>
      </c>
    </row>
    <row r="998">
      <c r="A998">
        <f>Skills!A27</f>
        <v/>
      </c>
      <c r="B998">
        <f>Skills!B27</f>
        <v/>
      </c>
      <c r="C998">
        <f>Inputs!$B$3&gt;=120</f>
        <v/>
      </c>
      <c r="D998">
        <f>IF(Skills!C27=1,60+Inputs!$B$25+(Inputs!$B$29+1),IF(Skills!C27=2,90+Inputs!$B$26+(Inputs!$B$29+1),IF(Skills!C27=3,120+Inputs!$B$27+(Inputs!$B$29+1),MAX(0,(Inputs!$B$3-100)*3)+Inputs!$B$28+(Inputs!$B$29+1))))</f>
        <v/>
      </c>
      <c r="E998">
        <f>INDEX(FactorTable!$B$2:$Y$301, MATCH(ROUND(MIN(300,MAX(1,D998)),0), FactorTable!$A$2:$A$301,0), Skills!M27+1)</f>
        <v/>
      </c>
      <c r="F998">
        <f>IF(Skills!N27=TRUE,(Skills!L27/10)*(E998/1000),Skills!L27/10)+Skills!O27</f>
        <v/>
      </c>
      <c r="G998">
        <f>Skills!G27*IF(Skills!H27&gt;0,Skills!I27/Skills!H27,1)</f>
        <v/>
      </c>
      <c r="H998">
        <f>1-(1-Skills!J27/100)^Skills!K27</f>
        <v/>
      </c>
      <c r="I998" t="inlineStr">
        <is>
          <t>1</t>
        </is>
      </c>
      <c r="J998" t="inlineStr"/>
      <c r="K998" t="inlineStr"/>
      <c r="L998" t="inlineStr"/>
      <c r="M998" t="inlineStr"/>
      <c r="N998" t="inlineStr"/>
      <c r="O998">
        <f>(1-Summary!$B$11)*T998+Summary!$B$11*V998</f>
        <v/>
      </c>
      <c r="P998">
        <f>IF(B1013=0,0,O998/B1013)</f>
        <v/>
      </c>
      <c r="Q998" t="n">
        <v>0</v>
      </c>
      <c r="R998" t="n">
        <v>0</v>
      </c>
      <c r="S998" t="n">
        <v>0</v>
      </c>
      <c r="T998" t="n">
        <v>0</v>
      </c>
      <c r="V998" t="n">
        <v>0</v>
      </c>
    </row>
    <row r="999">
      <c r="A999">
        <f>Skills!A28</f>
        <v/>
      </c>
      <c r="B999">
        <f>Skills!B28</f>
        <v/>
      </c>
      <c r="C999">
        <f>Inputs!$B$3&gt;=120</f>
        <v/>
      </c>
      <c r="D999">
        <f>IF(Skills!C28=1,60+Inputs!$B$25+(Inputs!$B$29+1),IF(Skills!C28=2,90+Inputs!$B$26+(Inputs!$B$29+1),IF(Skills!C28=3,120+Inputs!$B$27+(Inputs!$B$29+1),MAX(0,(Inputs!$B$3-100)*3)+Inputs!$B$28+(Inputs!$B$29+1))))</f>
        <v/>
      </c>
      <c r="E999">
        <f>INDEX(FactorTable!$B$2:$Y$301, MATCH(ROUND(MIN(300,MAX(1,D999)),0), FactorTable!$A$2:$A$301,0), Skills!M28+1)</f>
        <v/>
      </c>
      <c r="F999">
        <f>IF(Skills!N28=TRUE,(Skills!L28/10)*(E999/1000),Skills!L28/10)+Skills!O28</f>
        <v/>
      </c>
      <c r="G999">
        <f>Skills!G28*IF(Skills!H28&gt;0,Skills!I28/Skills!H28,1)</f>
        <v/>
      </c>
      <c r="H999">
        <f>1-(1-Skills!J28/100)^Skills!K28</f>
        <v/>
      </c>
      <c r="I999" t="inlineStr">
        <is>
          <t>1</t>
        </is>
      </c>
      <c r="J999" t="inlineStr"/>
      <c r="K999" t="inlineStr"/>
      <c r="L999" t="inlineStr"/>
      <c r="M999" t="inlineStr"/>
      <c r="N999" t="inlineStr"/>
      <c r="O999">
        <f>(1-Summary!$B$11)*T999+Summary!$B$11*V999</f>
        <v/>
      </c>
      <c r="P999">
        <f>IF(B1013=0,0,O999/B1013)</f>
        <v/>
      </c>
      <c r="Q999" t="n">
        <v>0</v>
      </c>
      <c r="R999" t="n">
        <v>0</v>
      </c>
      <c r="S999" t="n">
        <v>0</v>
      </c>
      <c r="T999" t="n">
        <v>0</v>
      </c>
      <c r="V999" t="n">
        <v>0</v>
      </c>
    </row>
    <row r="1000">
      <c r="A1000">
        <f>Skills!A29</f>
        <v/>
      </c>
      <c r="B1000">
        <f>Skills!B29</f>
        <v/>
      </c>
      <c r="C1000">
        <f>Inputs!$B$3&gt;=45</f>
        <v/>
      </c>
      <c r="D1000">
        <f>IF(Skills!C29=1,60+Inputs!$B$25+(Inputs!$B$29+1),IF(Skills!C29=2,90+Inputs!$B$26+(Inputs!$B$29+1),IF(Skills!C29=3,120+Inputs!$B$27+(Inputs!$B$29+1),MAX(0,(Inputs!$B$3-100)*3)+Inputs!$B$28+(Inputs!$B$29+1))))</f>
        <v/>
      </c>
      <c r="E1000">
        <f>INDEX(FactorTable!$B$2:$Y$301, MATCH(ROUND(MIN(300,MAX(1,D1000)),0), FactorTable!$A$2:$A$301,0), Skills!M29+1)</f>
        <v/>
      </c>
      <c r="F1000">
        <f>IF(Skills!N29=TRUE,(Skills!L29/10)*(E1000/1000),Skills!L29/10)+Skills!O29</f>
        <v/>
      </c>
      <c r="G1000">
        <f>Skills!G29*IF(Skills!H29&gt;0,Skills!I29/Skills!H29,1)</f>
        <v/>
      </c>
      <c r="H1000">
        <f>1-(1-Skills!J29/100)^Skills!K29</f>
        <v/>
      </c>
      <c r="I1000" t="inlineStr">
        <is>
          <t>1</t>
        </is>
      </c>
      <c r="J1000" t="inlineStr"/>
      <c r="K1000" t="inlineStr"/>
      <c r="L1000" t="inlineStr"/>
      <c r="M1000" t="inlineStr"/>
      <c r="N1000" t="inlineStr"/>
      <c r="O1000">
        <f>(1-Summary!$B$11)*T1000+Summary!$B$11*V1000</f>
        <v/>
      </c>
      <c r="P1000">
        <f>IF(B1013=0,0,O1000/B1013)</f>
        <v/>
      </c>
      <c r="Q1000" t="n">
        <v>0</v>
      </c>
      <c r="R1000" t="n">
        <v>0</v>
      </c>
      <c r="S1000" t="n">
        <v>0</v>
      </c>
      <c r="T1000" t="n">
        <v>0</v>
      </c>
      <c r="V1000" t="n">
        <v>0</v>
      </c>
    </row>
    <row r="1002">
      <c r="A1002" t="inlineStr">
        <is>
          <t>Attack% Bucket Multiplier</t>
        </is>
      </c>
      <c r="B1002">
        <f>(1+(((C984=TRUE)*F984)+((C985=TRUE)*IF(Inputs!$B$38="pvp",F985,(1-Summary!$B$11)*(F985)+Summary!$B$11*(0)))+((C986=TRUE)*F986*IF(AND(Inputs!$B$38&lt;&gt;"pvp",Inputs!$B$43&gt;0),(((R986-1)*(Skills!T15*(1+Inputs!$B$34/100))+MIN((Skills!T15*(1+Inputs!$B$34/100)),MAX(0,Inputs!$B$43-((R986-1)*Skills!D15))))/Inputs!$B$43),IF(Inputs!$B$38="pvp",MIN((Skills!T15*(1+Inputs!$B$34/100)),15)/15,(Skills!T15*(1+Inputs!$B$34/100))/Skills!D15)))+((C983=TRUE)*F983)+((C1000=TRUE)*(F1000-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1003">
      <c r="A1003" t="inlineStr">
        <is>
          <t>Global Crit Rate Bonus %</t>
        </is>
      </c>
      <c r="B1003">
        <f>(C987=TRUE)*20*IF(AND(Inputs!$B$38&lt;&gt;"pvp",Inputs!$B$43&gt;0),(((R987-1)*(Skills!T16*(1+Inputs!$B$34/100))+MIN((Skills!T16*(1+Inputs!$B$34/100)),MAX(0,Inputs!$B$43-((R987-1)*Skills!D16))))/Inputs!$B$43),IF(Inputs!$B$38="pvp",MIN((Skills!T16*(1+Inputs!$B$34/100)),15)/15,(Skills!T16*(1+Inputs!$B$34/100))/Skills!D16))</f>
        <v/>
      </c>
    </row>
    <row r="1004">
      <c r="A1004" t="inlineStr">
        <is>
          <t>Attack Speed Buff Bonus %</t>
        </is>
      </c>
      <c r="B1004">
        <f>((C989=TRUE)*F989*IF(AND(Inputs!$B$38&lt;&gt;"pvp",Inputs!$B$43&gt;0),(((R989-1)*(Skills!T18*(1+Inputs!$B$34/100))+MIN((Skills!T18*(1+Inputs!$B$34/100)),MAX(0,Inputs!$B$43-((R989-1)*Skills!D18))))/Inputs!$B$43),IF(Inputs!$B$38="pvp",MIN((Skills!T18*(1+Inputs!$B$34/100)),15)/15,(Skills!T18*(1+Inputs!$B$34/100))/Skills!D18)))</f>
        <v/>
      </c>
    </row>
    <row r="1005">
      <c r="A1005" t="inlineStr">
        <is>
          <t>Actions Per Second</t>
        </is>
      </c>
      <c r="B1005">
        <f>1+MIN(150,150*(1-(1-(Inputs!$B$11+((C991=TRUE)*(F991-Calc!F20))+((C992=TRUE)*(F992-Calc!F21)))/150)*(1-B1004/150)))/100</f>
        <v/>
      </c>
    </row>
    <row r="1006">
      <c r="A1006" t="inlineStr">
        <is>
          <t>Skill + Buff Cast Rate</t>
        </is>
      </c>
      <c r="B1006">
        <f>IF(AND(Inputs!$B$38&lt;&gt;"pvp",Inputs!$B$43&gt;0),SUMPRODUCT((Skills!E2:E29=TRUE)*(C973:C1000=TRUE)*R973:R1000*Skills!F2:F29)/Inputs!$B$43,SUMPRODUCT((Skills!E2:E29=TRUE)*(C973:C1000=TRUE)*Q973:Q1000*Skills!F2:F29))</f>
        <v/>
      </c>
    </row>
    <row r="1007">
      <c r="A1007" t="inlineStr">
        <is>
          <t>Empowered Piercing Arrow Casts Per Second</t>
        </is>
      </c>
      <c r="B1007">
        <f>MAX(0,B1005-B1006)</f>
        <v/>
      </c>
    </row>
    <row r="1008">
      <c r="A1008" t="inlineStr">
        <is>
          <t>Global Critical Damage Bonus % (Sharp Eyes)</t>
        </is>
      </c>
      <c r="B1008">
        <f>(C987=TRUE)*F987*IF(AND(Inputs!$B$38&lt;&gt;"pvp",Inputs!$B$43&gt;0),(((R987-1)*(Skills!T16*(1+Inputs!$B$34/100))+MIN((Skills!T16*(1+Inputs!$B$34/100)),MAX(0,Inputs!$B$43-((R987-1)*Skills!D16))))/Inputs!$B$43),IF(Inputs!$B$38="pvp",MIN((Skills!T16*(1+Inputs!$B$34/100)),15)/15,(Skills!T16*(1+Inputs!$B$34/100))/Skills!D16))</f>
        <v/>
      </c>
    </row>
    <row r="1009">
      <c r="A1009" t="inlineStr">
        <is>
          <t>Global Final Damage Bonus % (Mortal Blow + Last Man Standing conditional half)</t>
        </is>
      </c>
      <c r="B1009">
        <f>(C988=TRUE)*F988+((C997=TRUE)*IF(Inputs!$B$38="pvp",F997,(1-Summary!$B$11)*(F997)+Summary!$B$11*(0)))</f>
        <v/>
      </c>
    </row>
    <row r="1010">
      <c r="A1010" t="inlineStr">
        <is>
          <t>Buff-Casting Startup Delay (s, fixed-duration only)</t>
        </is>
      </c>
      <c r="B1010">
        <f>IF(AND(Inputs!$B$38&lt;&gt;"pvp",Inputs!$B$43&gt;0),SUMPRODUCT((Skills!T2:T29&gt;0)*(Skills!E2:E29=TRUE)*(C973:C1000=TRUE))/B1005,0)</f>
        <v/>
      </c>
    </row>
    <row r="1011">
      <c r="A1011" t="inlineStr">
        <is>
          <t>Boss-Only Total DPS (this block's swept value)</t>
        </is>
      </c>
      <c r="B1011">
        <f>SUM(T973:T1000)</f>
        <v/>
      </c>
    </row>
    <row r="1012">
      <c r="A1012" t="inlineStr">
        <is>
          <t>Normal-Only Total DPS (this block's swept value)</t>
        </is>
      </c>
      <c r="B1012">
        <f>SUM(V973:V1000)</f>
        <v/>
      </c>
    </row>
    <row r="1013">
      <c r="A1013" s="6" t="inlineStr">
        <is>
          <t>TOTAL DPS</t>
        </is>
      </c>
      <c r="B1013" s="6">
        <f>SUM(O973:O1000)</f>
        <v/>
      </c>
    </row>
    <row r="1016">
      <c r="A1016" s="6" t="inlineStr">
        <is>
          <t>Stat: Flat ATTACK</t>
        </is>
      </c>
    </row>
    <row r="1017">
      <c r="A1017" s="5" t="inlineStr">
        <is>
          <t>Key</t>
        </is>
      </c>
      <c r="B1017" s="5" t="inlineStr">
        <is>
          <t>Name</t>
        </is>
      </c>
      <c r="C1017" s="5" t="inlineStr">
        <is>
          <t>Unlocked</t>
        </is>
      </c>
      <c r="D1017" s="5" t="inlineStr">
        <is>
          <t>InputLevel</t>
        </is>
      </c>
      <c r="E1017" s="5" t="inlineStr">
        <is>
          <t>Factor</t>
        </is>
      </c>
      <c r="F1017" s="5" t="inlineStr">
        <is>
          <t>CoefficientPercent</t>
        </is>
      </c>
      <c r="G1017" s="5" t="inlineStr">
        <is>
          <t>EffectiveHits</t>
        </is>
      </c>
      <c r="H1017" s="5" t="inlineStr">
        <is>
          <t>ProcProbability</t>
        </is>
      </c>
      <c r="I1017" s="5" t="inlineStr">
        <is>
          <t>MapleHeroMultiplier</t>
        </is>
      </c>
      <c r="J1017" s="5" t="inlineStr">
        <is>
          <t>BaseDamage</t>
        </is>
      </c>
      <c r="K1017" s="5" t="inlineStr">
        <is>
          <t>BaseHitDamage</t>
        </is>
      </c>
      <c r="L1017" s="5" t="inlineStr">
        <is>
          <t>NonCritAvg</t>
        </is>
      </c>
      <c r="M1017" s="5" t="inlineStr">
        <is>
          <t>CritAvg</t>
        </is>
      </c>
      <c r="N1017" s="5" t="inlineStr">
        <is>
          <t>ExpectedDamage(perHit)</t>
        </is>
      </c>
      <c r="O1017" s="5" t="inlineStr">
        <is>
          <t>DPS</t>
        </is>
      </c>
      <c r="P1017" s="5" t="inlineStr">
        <is>
          <t>% of Total</t>
        </is>
      </c>
      <c r="Q1017" s="5" t="inlineStr">
        <is>
          <t>InvCooldown</t>
        </is>
      </c>
      <c r="R1017" s="5" t="inlineStr">
        <is>
          <t>CastsInFight</t>
        </is>
      </c>
      <c r="S1017" s="5" t="inlineStr">
        <is>
          <t>HitRate(perSec)</t>
        </is>
      </c>
      <c r="U1017" t="inlineStr">
        <is>
          <t>helpers</t>
        </is>
      </c>
    </row>
    <row r="1018">
      <c r="A1018">
        <f>Skills!A2</f>
        <v/>
      </c>
      <c r="B1018">
        <f>Skills!B2</f>
        <v/>
      </c>
      <c r="C1018">
        <f>Inputs!$B$3&gt;=100</f>
        <v/>
      </c>
      <c r="D1018" t="inlineStr"/>
      <c r="E1018" t="inlineStr"/>
      <c r="F1018">
        <f>U1020+Skills!O2</f>
        <v/>
      </c>
      <c r="G1018">
        <f>Skills!G2*IF(Skills!H2&gt;0,Skills!I2/Skills!H2,1)</f>
        <v/>
      </c>
      <c r="H1018">
        <f>1-(1-Skills!J2/100)^Skills!K2</f>
        <v/>
      </c>
      <c r="I1018" t="inlineStr">
        <is>
          <t>1</t>
        </is>
      </c>
      <c r="J1018">
        <f>(((Inputs!$B$6+1)*(1+Inputs!$B$7/100))+(((Inputs!$B$12*(1+Inputs!$B$13/100))-(Inputs!$B$12*(1+Inputs!$B$13/100)))+0.25*(Inputs!$B$14-Inputs!$B$14))*(1+Inputs!$B$7/100))*(F1018/100)</f>
        <v/>
      </c>
      <c r="K1018">
        <f>J1018*(1+((Inputs!$B$12*(1+Inputs!$B$13/100))*0.01+Inputs!$B$14*0.0025)/100)*(1+Inputs!$B$15/100)*(1+Inputs!$B$16/100)*(5000/(6000+Inputs!$B$42*(1-(100*(1-(1-(Inputs!$B$19+0)/100)*(1-CHOOSE(ArtifactsInput!$N$40+1,5,6,7,8,9,10)/100)^(ArtifactsInput!$M$40-ArtifactsInput!$M$40)))/100)))*(1+(Inputs!$B$24+((C1040=TRUE)*(F1040-Calc!F24))+((C1041=TRUE)*(F1041-Calc!F25))+B1054)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EMPOWERED_PIERCING_ARROW",Inputs!$B$17+((C1038=TRUE)*(F1038-Calc!F22))+(((IF(AND(ArtifactsInput!$M$42,((Inputs!$B$9+((C1035=TRUE)*(F1035-Calc!F19))+B1048+(ArtifactsInput!$M$24-ArtifactsInput!$M$24)*CHOOSE(ArtifactsInput!$N$24+1,10,12,14,16,18,20)+IF(ArtifactsInput!$M$10,CHOOSE(ArtifactsInput!$N$10+1,15,18,21,24,27,30)*(IF(Inputs!$B$38="pvp",MIN(15,15)/15,IF(AND(Inputs!$B$38&lt;&gt;"pvp",Inputs!$B$43&gt;0),MIN(15,Inputs!$B$43)/(Inputs!$B$43),0))),0)))&gt;=100),MIN(100,((Inputs!$B$9+((C1035=TRUE)*(F1035-Calc!F19))+B1048+(ArtifactsInput!$M$24-ArtifactsInput!$M$24)*CHOOSE(ArtifactsInput!$N$24+1,10,12,14,16,18,20)+IF(ArtifactsInput!$M$10,CHOOSE(ArtifactsInput!$N$10+1,15,18,21,24,27,30)*(IF(Inputs!$B$38="pvp",MIN(15,15)/15,IF(AND(Inputs!$B$38&lt;&gt;"pvp",Inputs!$B$43&gt;0),MIN(15,Inputs!$B$43)/(Inputs!$B$43),0))),0)))-100),0))*CHOOSE(ArtifactsInput!$N$42+1,0.6,0.72,0.84,0.96,1.08,1.2))),Inputs!$B$18+((C1043=TRUE)*(F1043-Calc!F27))+(IF(AND(ArtifactsInput!$M$42,((Inputs!$B$9+((C1035=TRUE)*(F1035-Calc!F19))+B1048+(ArtifactsInput!$M$24-ArtifactsInput!$M$24)*CHOOSE(ArtifactsInput!$N$24+1,10,12,14,16,18,20)+IF(ArtifactsInput!$M$10,CHOOSE(ArtifactsInput!$N$10+1,15,18,21,24,27,30)*(IF(Inputs!$B$38="pvp",MIN(15,15)/15,IF(AND(Inputs!$B$38&lt;&gt;"pvp",Inputs!$B$43&gt;0),MIN(15,Inputs!$B$43)/(Inputs!$B$43),0))),0)))&gt;=100),CHOOSE(ArtifactsInput!$N$42+1,40,48,56,64,72,80),0))))/100)*((1+(((C1029=TRUE)*F1029)+((C1030=TRUE)*IF(Inputs!$B$38="pvp",F1030,(1-Summary!$B$11)*(F1030)+Summary!$B$11*(0)))+((C1031=TRUE)*F1031*IF(AND(Inputs!$B$38&lt;&gt;"pvp",Inputs!$B$43&gt;0),(((R1031-1)*(Skills!T15*(1+Inputs!$B$34/100))+MIN((Skills!T15*(1+Inputs!$B$34/100)),MAX(0,Inputs!$B$43-((R1031-1)*Skills!D15))))/Inputs!$B$43),IF(Inputs!$B$38="pvp",MIN((Skills!T15*(1+Inputs!$B$34/100)),15)/15,(Skills!T15*(1+Inputs!$B$34/100))/Skills!D15)))+((C1028=TRUE)*F1028)+((C1045=TRUE)*(F1045-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1018)</f>
        <v/>
      </c>
      <c r="L1018">
        <f>K1018*(MIN(Inputs!$B$22+((C1039=TRUE)*(F1039-Calc!F23)),(Inputs!$B$23+((C1044=TRUE)*(F1044-Calc!F28))+(IF(ArtifactsInput!$M$15,CHOOSE(ArtifactsInput!$N$15+1,25,30,35,40,45,50)/100*(Inputs!$B$11-Inputs!$B$11),0))))/100+(Inputs!$B$23+((C1044=TRUE)*(F1044-Calc!F28))+(IF(ArtifactsInput!$M$15,CHOOSE(ArtifactsInput!$N$15+1,25,30,35,40,45,50)/100*(Inputs!$B$11-Inputs!$B$11),0)))/100)/2</f>
        <v/>
      </c>
      <c r="M1018">
        <f>L1018*(1+(Inputs!$B$10+0+B1053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018">
        <f>L1018*(1-MIN((Inputs!$B$9+((C1035=TRUE)*(F1035-Calc!F19))+B1048+(ArtifactsInput!$M$24-ArtifactsInput!$M$24)*CHOOSE(ArtifactsInput!$N$24+1,10,12,14,16,18,20)+(IF(AND(ArtifactsInput!$M$42,((Inputs!$B$9+((C1035=TRUE)*(F1035-Calc!F19))+B1048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1018*(MIN((Inputs!$B$9+((C1035=TRUE)*(F1035-Calc!F19))+B1048+(ArtifactsInput!$M$24-ArtifactsInput!$M$24)*CHOOSE(ArtifactsInput!$N$24+1,10,12,14,16,18,20)+(IF(AND(ArtifactsInput!$M$42,((Inputs!$B$9+((C1035=TRUE)*(F1035-Calc!F19))+B1048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018">
        <f>(1-Summary!$B$11)*T1018+Summary!$B$11*V1018</f>
        <v/>
      </c>
      <c r="P1018">
        <f>IF(B1058=0,0,O1018/B1058)</f>
        <v/>
      </c>
      <c r="Q1018" t="n">
        <v>0</v>
      </c>
      <c r="R1018" t="n">
        <v>0</v>
      </c>
      <c r="S1018">
        <f>IFERROR((Skills!G2*N1018*B1052)/N1018*IF(Inputs!$B$38="pvp",1,(1-Summary!$B$11)*1+Summary!$B$11*(MIN((6+Inputs!$B$33),Inputs!$B$37))),0)</f>
        <v/>
      </c>
      <c r="T1018">
        <f>IF(C1018,(Skills!G2*N1018*B1052)*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Hunt"),CHOOSE(ArtifactsInput!$N$35+1,15,18,21,24,27,30)*(1-EXP(-(0.2*B1050)*5)),0)+IF(AND(ArtifactsInput!$M$22,Inputs!$B$4&lt;&gt;"Chapter Hunt"),CHOOSE(ArtifactsInput!$N$22+1,10,12,14,16,18,20)*((0*(((0.15*B1050*5))^0/1)+1*(((0.15*B1050*5))^1/1)+2*(((0.15*B1050*5))^2/2)+3*(((0.15*B1050*5))^3/6)+4*(((0.15*B1050*5))^4/24)+5*(((0.15*B1050*5))^5/120))/((((0.15*B1050*5))^0/1)+(((0.15*B1050*5))^1/1)+(((0.15*B1050*5))^2/2)+(((0.15*B1050*5))^3/6)+(((0.15*B1050*5))^4/24)+(((0.15*B1050*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1018*(1-MIN(100,(Inputs!$B$9+((C1035=TRUE)*(F1035-Calc!F19))+B1048+(ArtifactsInput!$M$24-ArtifactsInput!$M$24)*CHOOSE(ArtifactsInput!$N$24+1,10,12,14,16,18,20)+(IF(AND(ArtifactsInput!$M$42,((Inputs!$B$9+((C1035=TRUE)*(F1035-Calc!F19))+B1048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1018*(MIN(100,(Inputs!$B$9+((C1035=TRUE)*(F1035-Calc!F19))+B1048+(ArtifactsInput!$M$24-ArtifactsInput!$M$24)*CHOOSE(ArtifactsInput!$N$24+1,10,12,14,16,18,20)+(IF(AND(ArtifactsInput!$M$42,((Inputs!$B$9+((C1035=TRUE)*(F1035-Calc!F19))+B1048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1018*(1-MIN(100,(Inputs!$B$9+((C1035=TRUE)*(F1035-Calc!F19))+B1048+(ArtifactsInput!$M$24-ArtifactsInput!$M$24)*CHOOSE(ArtifactsInput!$N$24+1,10,12,14,16,18,20)+(IF(AND(ArtifactsInput!$M$42,((Inputs!$B$9+((C1035=TRUE)*(F1035-Calc!F19))+B1048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1018*(MIN(100,(Inputs!$B$9+((C1035=TRUE)*(F1035-Calc!F19))+B1048+(ArtifactsInput!$M$24-ArtifactsInput!$M$24)*CHOOSE(ArtifactsInput!$N$24+1,10,12,14,16,18,20)+(IF(AND(ArtifactsInput!$M$42,((Inputs!$B$9+((C1035=TRUE)*(F1035-Calc!F19))+B1048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018">
        <f>MAX(0,(Inputs!$B$3-100)*3)+Inputs!$B$28+Inputs!$B$29</f>
        <v/>
      </c>
      <c r="V1018">
        <f>IF(C1018,(Skills!G2*N1018*B1052)*IF(Inputs!$B$38="pvp",1,(1+(Inputs!$B$21+Skills!Q2+(IF(ArtifactsInput!$M$33,CHOOSE(ArtifactsInput!$N$33+1,30,36,42,48,54,60),0))+(IF(AND(ArtifactsInput!$M$35,Inputs!$B$4&lt;&gt;"Chapter Hunt"),CHOOSE(ArtifactsInput!$N$35+1,15,18,21,24,27,30)*(1-EXP(-(0.2*B1050)*5)),0)+IF(AND(ArtifactsInput!$M$22,Inputs!$B$4&lt;&gt;"Chapter Hunt"),CHOOSE(ArtifactsInput!$N$22+1,10,12,14,16,18,20)*((0*(((0.15*B1050*5))^0/1)+1*(((0.15*B1050*5))^1/1)+2*(((0.15*B1050*5))^2/2)+3*(((0.15*B1050*5))^3/6)+4*(((0.15*B1050*5))^4/24)+5*(((0.15*B1050*5))^5/120))/((((0.15*B1050*5))^0/1)+(((0.15*B1050*5))^1/1)+(((0.15*B1050*5))^2/2)+(((0.15*B1050*5))^3/6)+(((0.15*B1050*5))^4/24)+(((0.15*B1050*5))^5/120)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019">
      <c r="A1019">
        <f>Skills!A3</f>
        <v/>
      </c>
      <c r="B1019">
        <f>Skills!B3</f>
        <v/>
      </c>
      <c r="C1019">
        <f>Inputs!$B$3&gt;=50</f>
        <v/>
      </c>
      <c r="D1019">
        <f>IF(Skills!C3=1,60+Inputs!$B$25+Inputs!$B$29,IF(Skills!C3=2,90+Inputs!$B$26+Inputs!$B$29,IF(Skills!C3=3,120+Inputs!$B$27+Inputs!$B$29,MAX(0,(Inputs!$B$3-100)*3)+Inputs!$B$28+Inputs!$B$29)))</f>
        <v/>
      </c>
      <c r="E1019">
        <f>INDEX(FactorTable!$B$2:$Y$301, MATCH(ROUND(MIN(300,MAX(1,D1019)),0), FactorTable!$A$2:$A$301,0), Skills!M3+1)</f>
        <v/>
      </c>
      <c r="F1019">
        <f>IF(Skills!N3=TRUE,(Skills!L3/10)*(E1019/1000),Skills!L3/10)+Skills!O3</f>
        <v/>
      </c>
      <c r="G1019" t="inlineStr"/>
      <c r="H1019" t="inlineStr"/>
      <c r="I1019" t="inlineStr">
        <is>
          <t>1</t>
        </is>
      </c>
      <c r="J1019" t="inlineStr"/>
      <c r="K1019" t="inlineStr"/>
      <c r="L1019" t="inlineStr"/>
      <c r="M1019" t="inlineStr"/>
      <c r="N1019" t="inlineStr"/>
      <c r="O1019" t="inlineStr"/>
      <c r="P1019" t="inlineStr"/>
      <c r="Q1019" t="inlineStr"/>
      <c r="R1019" t="inlineStr"/>
      <c r="S1019" t="inlineStr"/>
      <c r="T1019" t="inlineStr"/>
      <c r="U1019">
        <f>INDEX(FactorTable!$B$2:$Y$301, MATCH(ROUND(MIN(300,MAX(1,U1018)),0), FactorTable!$A$2:$A$301,0), 22)</f>
        <v/>
      </c>
      <c r="V1019" t="inlineStr"/>
    </row>
    <row r="1020">
      <c r="A1020">
        <f>Skills!A4</f>
        <v/>
      </c>
      <c r="B1020">
        <f>Skills!B4</f>
        <v/>
      </c>
      <c r="C1020">
        <f>Inputs!$B$3&gt;=105</f>
        <v/>
      </c>
      <c r="D1020">
        <f>IF(Skills!C4=1,60+Inputs!$B$25+Inputs!$B$29,IF(Skills!C4=2,90+Inputs!$B$26+Inputs!$B$29,IF(Skills!C4=3,120+Inputs!$B$27+Inputs!$B$29,MAX(0,(Inputs!$B$3-100)*3)+Inputs!$B$28+Inputs!$B$29)))</f>
        <v/>
      </c>
      <c r="E1020">
        <f>INDEX(FactorTable!$B$2:$Y$301, MATCH(ROUND(MIN(300,MAX(1,D1020)),0), FactorTable!$A$2:$A$301,0), Skills!M4+1)</f>
        <v/>
      </c>
      <c r="F1020">
        <f>IF(Skills!N4=TRUE,(Skills!L4/10)*(E1020/1000),Skills!L4/10)+Skills!O4</f>
        <v/>
      </c>
      <c r="G1020" t="inlineStr"/>
      <c r="H1020" t="inlineStr"/>
      <c r="I1020" t="inlineStr">
        <is>
          <t>1</t>
        </is>
      </c>
      <c r="J1020" t="inlineStr"/>
      <c r="K1020" t="inlineStr"/>
      <c r="L1020" t="inlineStr"/>
      <c r="M1020" t="inlineStr"/>
      <c r="N1020" t="inlineStr"/>
      <c r="O1020" t="inlineStr"/>
      <c r="P1020" t="inlineStr"/>
      <c r="Q1020" t="inlineStr"/>
      <c r="R1020" t="inlineStr"/>
      <c r="S1020" t="inlineStr"/>
      <c r="T1020" t="inlineStr"/>
      <c r="U1020">
        <f>290*U1019/1000</f>
        <v/>
      </c>
      <c r="V1020" t="inlineStr"/>
    </row>
    <row r="1021">
      <c r="A1021">
        <f>Skills!A5</f>
        <v/>
      </c>
      <c r="B1021">
        <f>Skills!B5</f>
        <v/>
      </c>
      <c r="C1021">
        <f>Inputs!$B$3&gt;=35</f>
        <v/>
      </c>
      <c r="D1021">
        <f>IF(Skills!C5=1,60+Inputs!$B$25+Inputs!$B$29,IF(Skills!C5=2,90+Inputs!$B$26+Inputs!$B$29,IF(Skills!C5=3,120+Inputs!$B$27+Inputs!$B$29,MAX(0,(Inputs!$B$3-100)*3)+Inputs!$B$28+Inputs!$B$29)))</f>
        <v/>
      </c>
      <c r="E1021">
        <f>INDEX(FactorTable!$B$2:$Y$301, MATCH(ROUND(MIN(300,MAX(1,D1021)),0), FactorTable!$A$2:$A$301,0), Skills!M5+1)</f>
        <v/>
      </c>
      <c r="F1021">
        <f>IF(Skills!N5=TRUE,(Skills!L5/10)*(E1021/1000),Skills!L5/10)+Skills!O5</f>
        <v/>
      </c>
      <c r="G1021">
        <f>Skills!G5*IF(Skills!H5&gt;0,Skills!I5/Skills!H5,1)</f>
        <v/>
      </c>
      <c r="H1021">
        <f>1-(1-Skills!J5/100)^Skills!K5</f>
        <v/>
      </c>
      <c r="I1021" t="inlineStr">
        <is>
          <t>1</t>
        </is>
      </c>
      <c r="J1021">
        <f>(((Inputs!$B$6+1)*(1+Inputs!$B$7/100))+(((Inputs!$B$12*(1+Inputs!$B$13/100))-(Inputs!$B$12*(1+Inputs!$B$13/100)))+0.25*(Inputs!$B$14-Inputs!$B$14))*(1+Inputs!$B$7/100))*(F1021/100)</f>
        <v/>
      </c>
      <c r="K1021">
        <f>J1021*(1+((Inputs!$B$12*(1+Inputs!$B$13/100))*0.01+Inputs!$B$14*0.0025)/100)*(1+Inputs!$B$15/100)*(1+Inputs!$B$16/100)*(5000/(6000+Inputs!$B$42*(1-(100*(1-(1-(Inputs!$B$19+0)/100)*(1-CHOOSE(ArtifactsInput!$N$40+1,5,6,7,8,9,10)/100)^(ArtifactsInput!$M$40-ArtifactsInput!$M$40)))/100)))*(1+(Inputs!$B$24+((C1040=TRUE)*(F1040-Calc!F24))+((C1041=TRUE)*(F1041-Calc!F25))+B1054)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1024=TRUE,F1024,0)/100)*(1+(IF(Skills!A5="EMPOWERED_PIERCING_ARROW",Inputs!$B$17+((C1038=TRUE)*(F1038-Calc!F22))+(((IF(AND(ArtifactsInput!$M$42,((Inputs!$B$9+((C1035=TRUE)*(F1035-Calc!F19))+B1048+(ArtifactsInput!$M$24-ArtifactsInput!$M$24)*CHOOSE(ArtifactsInput!$N$24+1,10,12,14,16,18,20)+IF(ArtifactsInput!$M$10,CHOOSE(ArtifactsInput!$N$10+1,15,18,21,24,27,30)*(IF(Inputs!$B$38="pvp",MIN(15,15)/15,IF(AND(Inputs!$B$38&lt;&gt;"pvp",Inputs!$B$43&gt;0),MIN(15,Inputs!$B$43)/(Inputs!$B$43),0))),0)))&gt;=100),MIN(100,((Inputs!$B$9+((C1035=TRUE)*(F1035-Calc!F19))+B1048+(ArtifactsInput!$M$24-ArtifactsInput!$M$24)*CHOOSE(ArtifactsInput!$N$24+1,10,12,14,16,18,20)+IF(ArtifactsInput!$M$10,CHOOSE(ArtifactsInput!$N$10+1,15,18,21,24,27,30)*(IF(Inputs!$B$38="pvp",MIN(15,15)/15,IF(AND(Inputs!$B$38&lt;&gt;"pvp",Inputs!$B$43&gt;0),MIN(15,Inputs!$B$43)/(Inputs!$B$43),0))),0)))-100),0))*CHOOSE(ArtifactsInput!$N$42+1,0.6,0.72,0.84,0.96,1.08,1.2))),Inputs!$B$18+((C1043=TRUE)*(F1043-Calc!F27))+(IF(AND(ArtifactsInput!$M$42,((Inputs!$B$9+((C1035=TRUE)*(F1035-Calc!F19))+B1048+(ArtifactsInput!$M$24-ArtifactsInput!$M$24)*CHOOSE(ArtifactsInput!$N$24+1,10,12,14,16,18,20)+IF(ArtifactsInput!$M$10,CHOOSE(ArtifactsInput!$N$10+1,15,18,21,24,27,30)*(IF(Inputs!$B$38="pvp",MIN(15,15)/15,IF(AND(Inputs!$B$38&lt;&gt;"pvp",Inputs!$B$43&gt;0),MIN(15,Inputs!$B$43)/(Inputs!$B$43),0))),0)))&gt;=100),CHOOSE(ArtifactsInput!$N$42+1,40,48,56,64,72,80),0))))/100)*((1+(((C1029=TRUE)*F1029)+((C1030=TRUE)*IF(Inputs!$B$38="pvp",F1030,(1-Summary!$B$11)*(F1030)+Summary!$B$11*(0)))+((C1031=TRUE)*F1031*IF(AND(Inputs!$B$38&lt;&gt;"pvp",Inputs!$B$43&gt;0),(((R1031-1)*(Skills!T15*(1+Inputs!$B$34/100))+MIN((Skills!T15*(1+Inputs!$B$34/100)),MAX(0,Inputs!$B$43-((R1031-1)*Skills!D15))))/Inputs!$B$43),IF(Inputs!$B$38="pvp",MIN((Skills!T15*(1+Inputs!$B$34/100)),15)/15,(Skills!T15*(1+Inputs!$B$34/100))/Skills!D15)))+((C1028=TRUE)*F1028)+((C1045=TRUE)*(F1045-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1021)</f>
        <v/>
      </c>
      <c r="L1021">
        <f>K1021*(MIN(Inputs!$B$22+((C1039=TRUE)*(F1039-Calc!F23)),(Inputs!$B$23+((C1044=TRUE)*(F1044-Calc!F28))+(IF(ArtifactsInput!$M$15,CHOOSE(ArtifactsInput!$N$15+1,25,30,35,40,45,50)/100*(Inputs!$B$11-Inputs!$B$11),0))))/100+(Inputs!$B$23+((C1044=TRUE)*(F1044-Calc!F28))+(IF(ArtifactsInput!$M$15,CHOOSE(ArtifactsInput!$N$15+1,25,30,35,40,45,50)/100*(Inputs!$B$11-Inputs!$B$11),0)))/100)/2</f>
        <v/>
      </c>
      <c r="M1021">
        <f>L1021*(1+(Inputs!$B$10+0+B1053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021">
        <f>L1021*(1-MIN((Inputs!$B$9+((C1035=TRUE)*(F1035-Calc!F19))+B1048+(ArtifactsInput!$M$24-ArtifactsInput!$M$24)*CHOOSE(ArtifactsInput!$N$24+1,10,12,14,16,18,20)+(IF(AND(ArtifactsInput!$M$42,((Inputs!$B$9+((C1035=TRUE)*(F1035-Calc!F19))+B1048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1021*(MIN((Inputs!$B$9+((C1035=TRUE)*(F1035-Calc!F19))+B1048+(ArtifactsInput!$M$24-ArtifactsInput!$M$24)*CHOOSE(ArtifactsInput!$N$24+1,10,12,14,16,18,20)+(IF(AND(ArtifactsInput!$M$42,((Inputs!$B$9+((C1035=TRUE)*(F1035-Calc!F19))+B1048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021">
        <f>(1-Summary!$B$11)*T1021+Summary!$B$11*V1021</f>
        <v/>
      </c>
      <c r="P1021">
        <f>IF(B1058=0,0,O1021/B1058)</f>
        <v/>
      </c>
      <c r="Q1021">
        <f>IFERROR(1/IF(Inputs!$B$38="pvp",15,MAX(0.1,Skills!D5-IF(Skills!E5=TRUE,Inputs!$B$32,0))),0)</f>
        <v/>
      </c>
      <c r="R1021">
        <f>IF(AND(Inputs!$B$38&lt;&gt;"pvp",Inputs!$B$43&gt;0),IF(MAX(0,Inputs!$B$43-B1055)&lt;=0,0,(INT(MAX(0,Inputs!$B$43-B1055)/IF(Inputs!$B$38="pvp",15,MAX(0.1,Skills!D5-IF(Skills!E5=TRUE,Inputs!$B$32,0))))+1)),0)</f>
        <v/>
      </c>
      <c r="S1021">
        <f>IFERROR((H1021*N1021*IF(AND(Inputs!$B$38&lt;&gt;"pvp",Inputs!$B$43&gt;0),((Skills!G5*((R1021-1)*IF(Skills!H5&gt;0,Skills!I5/Skills!H5,1)+IF(Skills!H5&gt;0,MIN(Skills!I5,MAX(0,MAX(0,Inputs!$B$43-B1055)-((R1021-1)*IF(Inputs!$B$38="pvp",15,MAX(0.1,Skills!D5-IF(Skills!E5=TRUE,Inputs!$B$32,0))))))/Skills!H5,1)))/Inputs!$B$43),G1021*Q1021))/N1021*IF(Inputs!$B$38="pvp",1,(1-Summary!$B$11)*1+Summary!$B$11*(MIN(Skills!R5,Inputs!$B$37))),0)</f>
        <v/>
      </c>
      <c r="T1021">
        <f>IF(C1021,(H1021*N1021*IF(AND(Inputs!$B$38&lt;&gt;"pvp",Inputs!$B$43&gt;0),((Skills!G5*((R1021-1)*IF(Skills!H5&gt;0,Skills!I5/Skills!H5,1)+IF(Skills!H5&gt;0,MIN(Skills!I5,MAX(0,MAX(0,Inputs!$B$43-B1055)-((R1021-1)*IF(Inputs!$B$38="pvp",15,MAX(0.1,Skills!D5-IF(Skills!E5=TRUE,Inputs!$B$32,0))))))/Skills!H5,1)))/Inputs!$B$43),G1021*Q1021))*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Hunt"),CHOOSE(ArtifactsInput!$N$35+1,15,18,21,24,27,30)*(1-EXP(-(0.2*B1050)*5)),0)+IF(AND(ArtifactsInput!$M$22,Inputs!$B$4&lt;&gt;"Chapter Hunt"),CHOOSE(ArtifactsInput!$N$22+1,10,12,14,16,18,20)*((0*(((0.15*B1050*5))^0/1)+1*(((0.15*B1050*5))^1/1)+2*(((0.15*B1050*5))^2/2)+3*(((0.15*B1050*5))^3/6)+4*(((0.15*B1050*5))^4/24)+5*(((0.15*B1050*5))^5/120))/((((0.15*B1050*5))^0/1)+(((0.15*B1050*5))^1/1)+(((0.15*B1050*5))^2/2)+(((0.15*B1050*5))^3/6)+(((0.15*B1050*5))^4/24)+(((0.15*B1050*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1021*(1-MIN(100,(Inputs!$B$9+((C1035=TRUE)*(F1035-Calc!F19))+B1048+(ArtifactsInput!$M$24-ArtifactsInput!$M$24)*CHOOSE(ArtifactsInput!$N$24+1,10,12,14,16,18,20)+(IF(AND(ArtifactsInput!$M$42,((Inputs!$B$9+((C1035=TRUE)*(F1035-Calc!F19))+B1048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1021*(MIN(100,(Inputs!$B$9+((C1035=TRUE)*(F1035-Calc!F19))+B1048+(ArtifactsInput!$M$24-ArtifactsInput!$M$24)*CHOOSE(ArtifactsInput!$N$24+1,10,12,14,16,18,20)+(IF(AND(ArtifactsInput!$M$42,((Inputs!$B$9+((C1035=TRUE)*(F1035-Calc!F19))+B1048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1021*(1-MIN(100,(Inputs!$B$9+((C1035=TRUE)*(F1035-Calc!F19))+B1048+(ArtifactsInput!$M$24-ArtifactsInput!$M$24)*CHOOSE(ArtifactsInput!$N$24+1,10,12,14,16,18,20)+(IF(AND(ArtifactsInput!$M$42,((Inputs!$B$9+((C1035=TRUE)*(F1035-Calc!F19))+B1048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1021*(MIN(100,(Inputs!$B$9+((C1035=TRUE)*(F1035-Calc!F19))+B1048+(ArtifactsInput!$M$24-ArtifactsInput!$M$24)*CHOOSE(ArtifactsInput!$N$24+1,10,12,14,16,18,20)+(IF(AND(ArtifactsInput!$M$42,((Inputs!$B$9+((C1035=TRUE)*(F1035-Calc!F19))+B1048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021">
        <f>IF(C1021,(H1021*N1021*IF(AND(Inputs!$B$38&lt;&gt;"pvp",Inputs!$B$43&gt;0),((Skills!G5*((R1021-1)*IF(Skills!H5&gt;0,Skills!I5/Skills!H5,1)+IF(Skills!H5&gt;0,MIN(Skills!I5,MAX(0,MAX(0,Inputs!$B$43-B1055)-((R1021-1)*IF(Inputs!$B$38="pvp",15,MAX(0.1,Skills!D5-IF(Skills!E5=TRUE,Inputs!$B$32,0))))))/Skills!H5,1)))/Inputs!$B$43),G1021*Q1021))*IF(Inputs!$B$38="pvp",1,(1+(Inputs!$B$21+Skills!Q5+(IF(ArtifactsInput!$M$33,CHOOSE(ArtifactsInput!$N$33+1,30,36,42,48,54,60),0))+(IF(AND(ArtifactsInput!$M$35,Inputs!$B$4&lt;&gt;"Chapter Hunt"),CHOOSE(ArtifactsInput!$N$35+1,15,18,21,24,27,30)*(1-EXP(-(0.2*B1050)*5)),0)+IF(AND(ArtifactsInput!$M$22,Inputs!$B$4&lt;&gt;"Chapter Hunt"),CHOOSE(ArtifactsInput!$N$22+1,10,12,14,16,18,20)*((0*(((0.15*B1050*5))^0/1)+1*(((0.15*B1050*5))^1/1)+2*(((0.15*B1050*5))^2/2)+3*(((0.15*B1050*5))^3/6)+4*(((0.15*B1050*5))^4/24)+5*(((0.15*B1050*5))^5/120))/((((0.15*B1050*5))^0/1)+(((0.15*B1050*5))^1/1)+(((0.15*B1050*5))^2/2)+(((0.15*B1050*5))^3/6)+(((0.15*B1050*5))^4/24)+(((0.15*B1050*5))^5/120)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022">
      <c r="A1022">
        <f>Skills!A6</f>
        <v/>
      </c>
      <c r="B1022">
        <f>Skills!B6</f>
        <v/>
      </c>
      <c r="C1022">
        <f>Inputs!$B$3&gt;=63</f>
        <v/>
      </c>
      <c r="D1022">
        <f>IF(Skills!C6=1,60+Inputs!$B$25+Inputs!$B$29,IF(Skills!C6=2,90+Inputs!$B$26+Inputs!$B$29,IF(Skills!C6=3,120+Inputs!$B$27+Inputs!$B$29,MAX(0,(Inputs!$B$3-100)*3)+Inputs!$B$28+Inputs!$B$29)))</f>
        <v/>
      </c>
      <c r="E1022">
        <f>INDEX(FactorTable!$B$2:$Y$301, MATCH(ROUND(MIN(300,MAX(1,D1022)),0), FactorTable!$A$2:$A$301,0), Skills!M6+1)</f>
        <v/>
      </c>
      <c r="F1022">
        <f>IF(Skills!N6=TRUE,(Skills!L6/10)*(E1022/1000),Skills!L6/10)+Skills!O6</f>
        <v/>
      </c>
      <c r="G1022">
        <f>Skills!G6*IF(Skills!H6&gt;0,Skills!I6/Skills!H6,1)</f>
        <v/>
      </c>
      <c r="H1022">
        <f>1-(1-Skills!J6/100)^Skills!K6</f>
        <v/>
      </c>
      <c r="I1022" t="inlineStr">
        <is>
          <t>1</t>
        </is>
      </c>
      <c r="J1022">
        <f>(((Inputs!$B$6+1)*(1+Inputs!$B$7/100))+(((Inputs!$B$12*(1+Inputs!$B$13/100))-(Inputs!$B$12*(1+Inputs!$B$13/100)))+0.25*(Inputs!$B$14-Inputs!$B$14))*(1+Inputs!$B$7/100))*(F1022/100)</f>
        <v/>
      </c>
      <c r="K1022">
        <f>J1022*(1+((Inputs!$B$12*(1+Inputs!$B$13/100))*0.01+Inputs!$B$14*0.0025)/100)*(1+Inputs!$B$15/100)*(1+Inputs!$B$16/100)*(5000/(6000+Inputs!$B$42*(1-(100*(1-(1-(Inputs!$B$19+0)/100)*(1-CHOOSE(ArtifactsInput!$N$40+1,5,6,7,8,9,10)/100)^(ArtifactsInput!$M$40-ArtifactsInput!$M$40)))/100)))*(1+(Inputs!$B$24+((C1040=TRUE)*(F1040-Calc!F24))+((C1041=TRUE)*(F1041-Calc!F25))+B1054)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1024=TRUE,F1024,0)/100)*(1+(IF(Skills!A6="EMPOWERED_PIERCING_ARROW",Inputs!$B$17+((C1038=TRUE)*(F1038-Calc!F22))+(((IF(AND(ArtifactsInput!$M$42,((Inputs!$B$9+((C1035=TRUE)*(F1035-Calc!F19))+B1048+(ArtifactsInput!$M$24-ArtifactsInput!$M$24)*CHOOSE(ArtifactsInput!$N$24+1,10,12,14,16,18,20)+IF(ArtifactsInput!$M$10,CHOOSE(ArtifactsInput!$N$10+1,15,18,21,24,27,30)*(IF(Inputs!$B$38="pvp",MIN(15,15)/15,IF(AND(Inputs!$B$38&lt;&gt;"pvp",Inputs!$B$43&gt;0),MIN(15,Inputs!$B$43)/(Inputs!$B$43),0))),0)))&gt;=100),MIN(100,((Inputs!$B$9+((C1035=TRUE)*(F1035-Calc!F19))+B1048+(ArtifactsInput!$M$24-ArtifactsInput!$M$24)*CHOOSE(ArtifactsInput!$N$24+1,10,12,14,16,18,20)+IF(ArtifactsInput!$M$10,CHOOSE(ArtifactsInput!$N$10+1,15,18,21,24,27,30)*(IF(Inputs!$B$38="pvp",MIN(15,15)/15,IF(AND(Inputs!$B$38&lt;&gt;"pvp",Inputs!$B$43&gt;0),MIN(15,Inputs!$B$43)/(Inputs!$B$43),0))),0)))-100),0))*CHOOSE(ArtifactsInput!$N$42+1,0.6,0.72,0.84,0.96,1.08,1.2))),Inputs!$B$18+((C1043=TRUE)*(F1043-Calc!F27))+(IF(AND(ArtifactsInput!$M$42,((Inputs!$B$9+((C1035=TRUE)*(F1035-Calc!F19))+B1048+(ArtifactsInput!$M$24-ArtifactsInput!$M$24)*CHOOSE(ArtifactsInput!$N$24+1,10,12,14,16,18,20)+IF(ArtifactsInput!$M$10,CHOOSE(ArtifactsInput!$N$10+1,15,18,21,24,27,30)*(IF(Inputs!$B$38="pvp",MIN(15,15)/15,IF(AND(Inputs!$B$38&lt;&gt;"pvp",Inputs!$B$43&gt;0),MIN(15,Inputs!$B$43)/(Inputs!$B$43),0))),0)))&gt;=100),CHOOSE(ArtifactsInput!$N$42+1,40,48,56,64,72,80),0))))/100)*((1+(((C1029=TRUE)*F1029)+((C1030=TRUE)*IF(Inputs!$B$38="pvp",F1030,(1-Summary!$B$11)*(F1030)+Summary!$B$11*(0)))+((C1031=TRUE)*F1031*IF(AND(Inputs!$B$38&lt;&gt;"pvp",Inputs!$B$43&gt;0),(((R1031-1)*(Skills!T15*(1+Inputs!$B$34/100))+MIN((Skills!T15*(1+Inputs!$B$34/100)),MAX(0,Inputs!$B$43-((R1031-1)*Skills!D15))))/Inputs!$B$43),IF(Inputs!$B$38="pvp",MIN((Skills!T15*(1+Inputs!$B$34/100)),15)/15,(Skills!T15*(1+Inputs!$B$34/100))/Skills!D15)))+((C1028=TRUE)*F1028)+((C1045=TRUE)*(F1045-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1022)</f>
        <v/>
      </c>
      <c r="L1022">
        <f>K1022*(MIN(Inputs!$B$22+((C1039=TRUE)*(F1039-Calc!F23)),(Inputs!$B$23+((C1044=TRUE)*(F1044-Calc!F28))+(IF(ArtifactsInput!$M$15,CHOOSE(ArtifactsInput!$N$15+1,25,30,35,40,45,50)/100*(Inputs!$B$11-Inputs!$B$11),0))))/100+(Inputs!$B$23+((C1044=TRUE)*(F1044-Calc!F28))+(IF(ArtifactsInput!$M$15,CHOOSE(ArtifactsInput!$N$15+1,25,30,35,40,45,50)/100*(Inputs!$B$11-Inputs!$B$11),0)))/100)/2</f>
        <v/>
      </c>
      <c r="M1022">
        <f>L1022*(1+(Inputs!$B$10+0+B1053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022">
        <f>L1022*(1-MIN((Inputs!$B$9+((C1035=TRUE)*(F1035-Calc!F19))+B1048+(ArtifactsInput!$M$24-ArtifactsInput!$M$24)*CHOOSE(ArtifactsInput!$N$24+1,10,12,14,16,18,20)+(IF(AND(ArtifactsInput!$M$42,((Inputs!$B$9+((C1035=TRUE)*(F1035-Calc!F19))+B1048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1022*(MIN((Inputs!$B$9+((C1035=TRUE)*(F1035-Calc!F19))+B1048+(ArtifactsInput!$M$24-ArtifactsInput!$M$24)*CHOOSE(ArtifactsInput!$N$24+1,10,12,14,16,18,20)+(IF(AND(ArtifactsInput!$M$42,((Inputs!$B$9+((C1035=TRUE)*(F1035-Calc!F19))+B1048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022">
        <f>(1-Summary!$B$11)*T1022+Summary!$B$11*V1022</f>
        <v/>
      </c>
      <c r="P1022">
        <f>IF(B1058=0,0,O1022/B1058)</f>
        <v/>
      </c>
      <c r="Q1022">
        <f>IFERROR(1/IF(Inputs!$B$38="pvp",15,MAX(0.1,Skills!D6-IF(Skills!E6=TRUE,Inputs!$B$32,0))),0)</f>
        <v/>
      </c>
      <c r="R1022">
        <f>IF(AND(Inputs!$B$38&lt;&gt;"pvp",Inputs!$B$43&gt;0),IF(MAX(0,Inputs!$B$43-B1055)&lt;=0,0,(INT(MAX(0,Inputs!$B$43-B1055)/IF(Inputs!$B$38="pvp",15,MAX(0.1,Skills!D6-IF(Skills!E6=TRUE,Inputs!$B$32,0))))+1)),0)</f>
        <v/>
      </c>
      <c r="S1022">
        <f>IFERROR((H1022*N1022*IF(AND(Inputs!$B$38&lt;&gt;"pvp",Inputs!$B$43&gt;0),((Skills!G6*((R1022-1)*IF(Skills!H6&gt;0,Skills!I6/Skills!H6,1)+IF(Skills!H6&gt;0,MIN(Skills!I6,MAX(0,MAX(0,Inputs!$B$43-B1055)-((R1022-1)*IF(Inputs!$B$38="pvp",15,MAX(0.1,Skills!D6-IF(Skills!E6=TRUE,Inputs!$B$32,0))))))/Skills!H6,1)))/Inputs!$B$43),G1022*Q1022))/N1022*IF(Inputs!$B$38="pvp",1,(1-Summary!$B$11)*1+Summary!$B$11*(MIN(Skills!R6,Inputs!$B$37))),0)</f>
        <v/>
      </c>
      <c r="T1022">
        <f>IF(C1022,(H1022*N1022*IF(AND(Inputs!$B$38&lt;&gt;"pvp",Inputs!$B$43&gt;0),((Skills!G6*((R1022-1)*IF(Skills!H6&gt;0,Skills!I6/Skills!H6,1)+IF(Skills!H6&gt;0,MIN(Skills!I6,MAX(0,MAX(0,Inputs!$B$43-B1055)-((R1022-1)*IF(Inputs!$B$38="pvp",15,MAX(0.1,Skills!D6-IF(Skills!E6=TRUE,Inputs!$B$32,0))))))/Skills!H6,1)))/Inputs!$B$43),G1022*Q1022))*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Hunt"),CHOOSE(ArtifactsInput!$N$35+1,15,18,21,24,27,30)*(1-EXP(-(0.2*B1050)*5)),0)+IF(AND(ArtifactsInput!$M$22,Inputs!$B$4&lt;&gt;"Chapter Hunt"),CHOOSE(ArtifactsInput!$N$22+1,10,12,14,16,18,20)*((0*(((0.15*B1050*5))^0/1)+1*(((0.15*B1050*5))^1/1)+2*(((0.15*B1050*5))^2/2)+3*(((0.15*B1050*5))^3/6)+4*(((0.15*B1050*5))^4/24)+5*(((0.15*B1050*5))^5/120))/((((0.15*B1050*5))^0/1)+(((0.15*B1050*5))^1/1)+(((0.15*B1050*5))^2/2)+(((0.15*B1050*5))^3/6)+(((0.15*B1050*5))^4/24)+(((0.15*B1050*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1022*(1-MIN(100,(Inputs!$B$9+((C1035=TRUE)*(F1035-Calc!F19))+B1048+(ArtifactsInput!$M$24-ArtifactsInput!$M$24)*CHOOSE(ArtifactsInput!$N$24+1,10,12,14,16,18,20)+(IF(AND(ArtifactsInput!$M$42,((Inputs!$B$9+((C1035=TRUE)*(F1035-Calc!F19))+B1048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1022*(MIN(100,(Inputs!$B$9+((C1035=TRUE)*(F1035-Calc!F19))+B1048+(ArtifactsInput!$M$24-ArtifactsInput!$M$24)*CHOOSE(ArtifactsInput!$N$24+1,10,12,14,16,18,20)+(IF(AND(ArtifactsInput!$M$42,((Inputs!$B$9+((C1035=TRUE)*(F1035-Calc!F19))+B1048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1022*(1-MIN(100,(Inputs!$B$9+((C1035=TRUE)*(F1035-Calc!F19))+B1048+(ArtifactsInput!$M$24-ArtifactsInput!$M$24)*CHOOSE(ArtifactsInput!$N$24+1,10,12,14,16,18,20)+(IF(AND(ArtifactsInput!$M$42,((Inputs!$B$9+((C1035=TRUE)*(F1035-Calc!F19))+B1048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1022*(MIN(100,(Inputs!$B$9+((C1035=TRUE)*(F1035-Calc!F19))+B1048+(ArtifactsInput!$M$24-ArtifactsInput!$M$24)*CHOOSE(ArtifactsInput!$N$24+1,10,12,14,16,18,20)+(IF(AND(ArtifactsInput!$M$42,((Inputs!$B$9+((C1035=TRUE)*(F1035-Calc!F19))+B1048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022">
        <f>IF(C1022,(H1022*N1022*IF(AND(Inputs!$B$38&lt;&gt;"pvp",Inputs!$B$43&gt;0),((Skills!G6*((R1022-1)*IF(Skills!H6&gt;0,Skills!I6/Skills!H6,1)+IF(Skills!H6&gt;0,MIN(Skills!I6,MAX(0,MAX(0,Inputs!$B$43-B1055)-((R1022-1)*IF(Inputs!$B$38="pvp",15,MAX(0.1,Skills!D6-IF(Skills!E6=TRUE,Inputs!$B$32,0))))))/Skills!H6,1)))/Inputs!$B$43),G1022*Q1022))*IF(Inputs!$B$38="pvp",1,(1+(Inputs!$B$21+Skills!Q6+(IF(ArtifactsInput!$M$33,CHOOSE(ArtifactsInput!$N$33+1,30,36,42,48,54,60),0))+(IF(AND(ArtifactsInput!$M$35,Inputs!$B$4&lt;&gt;"Chapter Hunt"),CHOOSE(ArtifactsInput!$N$35+1,15,18,21,24,27,30)*(1-EXP(-(0.2*B1050)*5)),0)+IF(AND(ArtifactsInput!$M$22,Inputs!$B$4&lt;&gt;"Chapter Hunt"),CHOOSE(ArtifactsInput!$N$22+1,10,12,14,16,18,20)*((0*(((0.15*B1050*5))^0/1)+1*(((0.15*B1050*5))^1/1)+2*(((0.15*B1050*5))^2/2)+3*(((0.15*B1050*5))^3/6)+4*(((0.15*B1050*5))^4/24)+5*(((0.15*B1050*5))^5/120))/((((0.15*B1050*5))^0/1)+(((0.15*B1050*5))^1/1)+(((0.15*B1050*5))^2/2)+(((0.15*B1050*5))^3/6)+(((0.15*B1050*5))^4/24)+(((0.15*B1050*5))^5/120))),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023">
      <c r="A1023">
        <f>Skills!A7</f>
        <v/>
      </c>
      <c r="B1023">
        <f>Skills!B7</f>
        <v/>
      </c>
      <c r="C1023">
        <f>Inputs!$B$3&gt;=69</f>
        <v/>
      </c>
      <c r="D1023">
        <f>IF(Skills!C7=1,60+Inputs!$B$25+Inputs!$B$29,IF(Skills!C7=2,90+Inputs!$B$26+Inputs!$B$29,IF(Skills!C7=3,120+Inputs!$B$27+Inputs!$B$29,MAX(0,(Inputs!$B$3-100)*3)+Inputs!$B$28+Inputs!$B$29)))</f>
        <v/>
      </c>
      <c r="E1023">
        <f>INDEX(FactorTable!$B$2:$Y$301, MATCH(ROUND(MIN(300,MAX(1,D1023)),0), FactorTable!$A$2:$A$301,0), Skills!M7+1)</f>
        <v/>
      </c>
      <c r="F1023">
        <f>IF(Skills!N7=TRUE,(Skills!L7/10)*(E1023/1000),Skills!L7/10)+Skills!O7</f>
        <v/>
      </c>
      <c r="G1023">
        <f>Skills!G7*IF(Skills!H7&gt;0,Skills!I7/Skills!H7,1)</f>
        <v/>
      </c>
      <c r="H1023">
        <f>1-(1-Skills!J7/100)^Skills!K7</f>
        <v/>
      </c>
      <c r="I1023" t="inlineStr">
        <is>
          <t>1</t>
        </is>
      </c>
      <c r="J1023">
        <f>(((Inputs!$B$6+1)*(1+Inputs!$B$7/100))+(((Inputs!$B$12*(1+Inputs!$B$13/100))-(Inputs!$B$12*(1+Inputs!$B$13/100)))+0.25*(Inputs!$B$14-Inputs!$B$14))*(1+Inputs!$B$7/100))*(F1023/100)</f>
        <v/>
      </c>
      <c r="K1023">
        <f>J1023*(1+((Inputs!$B$12*(1+Inputs!$B$13/100))*0.01+Inputs!$B$14*0.0025)/100)*(1+Inputs!$B$15/100)*(1+Inputs!$B$16/100)*(5000/(6000+Inputs!$B$42*(1-(100*(1-(1-(Inputs!$B$19+0)/100)*(1-CHOOSE(ArtifactsInput!$N$40+1,5,6,7,8,9,10)/100)^(ArtifactsInput!$M$40-ArtifactsInput!$M$40)))/100)))*(1+(Inputs!$B$24+((C1040=TRUE)*(F1040-Calc!F24))+((C1041=TRUE)*(F1041-Calc!F25))+B1054)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+1.2*IF(C1024=TRUE,F1024,0)/100)*(1+(IF(Skills!A7="EMPOWERED_PIERCING_ARROW",Inputs!$B$17+((C1038=TRUE)*(F1038-Calc!F22))+(((IF(AND(ArtifactsInput!$M$42,((Inputs!$B$9+((C1035=TRUE)*(F1035-Calc!F19))+B1048+(ArtifactsInput!$M$24-ArtifactsInput!$M$24)*CHOOSE(ArtifactsInput!$N$24+1,10,12,14,16,18,20)+IF(ArtifactsInput!$M$10,CHOOSE(ArtifactsInput!$N$10+1,15,18,21,24,27,30)*(IF(Inputs!$B$38="pvp",MIN(15,15)/15,IF(AND(Inputs!$B$38&lt;&gt;"pvp",Inputs!$B$43&gt;0),MIN(15,Inputs!$B$43)/(Inputs!$B$43),0))),0)))&gt;=100),MIN(100,((Inputs!$B$9+((C1035=TRUE)*(F1035-Calc!F19))+B1048+(ArtifactsInput!$M$24-ArtifactsInput!$M$24)*CHOOSE(ArtifactsInput!$N$24+1,10,12,14,16,18,20)+IF(ArtifactsInput!$M$10,CHOOSE(ArtifactsInput!$N$10+1,15,18,21,24,27,30)*(IF(Inputs!$B$38="pvp",MIN(15,15)/15,IF(AND(Inputs!$B$38&lt;&gt;"pvp",Inputs!$B$43&gt;0),MIN(15,Inputs!$B$43)/(Inputs!$B$43),0))),0)))-100),0))*CHOOSE(ArtifactsInput!$N$42+1,0.6,0.72,0.84,0.96,1.08,1.2))),Inputs!$B$18+((C1043=TRUE)*(F1043-Calc!F27))+(IF(AND(ArtifactsInput!$M$42,((Inputs!$B$9+((C1035=TRUE)*(F1035-Calc!F19))+B1048+(ArtifactsInput!$M$24-ArtifactsInput!$M$24)*CHOOSE(ArtifactsInput!$N$24+1,10,12,14,16,18,20)+IF(ArtifactsInput!$M$10,CHOOSE(ArtifactsInput!$N$10+1,15,18,21,24,27,30)*(IF(Inputs!$B$38="pvp",MIN(15,15)/15,IF(AND(Inputs!$B$38&lt;&gt;"pvp",Inputs!$B$43&gt;0),MIN(15,Inputs!$B$43)/(Inputs!$B$43),0))),0)))&gt;=100),CHOOSE(ArtifactsInput!$N$42+1,40,48,56,64,72,80),0))))/100)*((1+(((C1029=TRUE)*F1029)+((C1030=TRUE)*IF(Inputs!$B$38="pvp",F1030,(1-Summary!$B$11)*(F1030)+Summary!$B$11*(0)))+((C1031=TRUE)*F1031*IF(AND(Inputs!$B$38&lt;&gt;"pvp",Inputs!$B$43&gt;0),(((R1031-1)*(Skills!T15*(1+Inputs!$B$34/100))+MIN((Skills!T15*(1+Inputs!$B$34/100)),MAX(0,Inputs!$B$43-((R1031-1)*Skills!D15))))/Inputs!$B$43),IF(Inputs!$B$38="pvp",MIN((Skills!T15*(1+Inputs!$B$34/100)),15)/15,(Skills!T15*(1+Inputs!$B$34/100))/Skills!D15)))+((C1028=TRUE)*F1028)+((C1045=TRUE)*(F1045-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1023)</f>
        <v/>
      </c>
      <c r="L1023">
        <f>K1023*(MIN(Inputs!$B$22+((C1039=TRUE)*(F1039-Calc!F23)),(Inputs!$B$23+((C1044=TRUE)*(F1044-Calc!F28))+(IF(ArtifactsInput!$M$15,CHOOSE(ArtifactsInput!$N$15+1,25,30,35,40,45,50)/100*(Inputs!$B$11-Inputs!$B$11),0))))/100+(Inputs!$B$23+((C1044=TRUE)*(F1044-Calc!F28))+(IF(ArtifactsInput!$M$15,CHOOSE(ArtifactsInput!$N$15+1,25,30,35,40,45,50)/100*(Inputs!$B$11-Inputs!$B$11),0)))/100)/2</f>
        <v/>
      </c>
      <c r="M1023">
        <f>L1023*(1+(Inputs!$B$10+0+B1053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023">
        <f>L1023*(1-MIN((Inputs!$B$9+((C1035=TRUE)*(F1035-Calc!F19))+B1048+(ArtifactsInput!$M$24-ArtifactsInput!$M$24)*CHOOSE(ArtifactsInput!$N$24+1,10,12,14,16,18,20)+(IF(AND(ArtifactsInput!$M$42,((Inputs!$B$9+((C1035=TRUE)*(F1035-Calc!F19))+B1048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1023*(MIN((Inputs!$B$9+((C1035=TRUE)*(F1035-Calc!F19))+B1048+(ArtifactsInput!$M$24-ArtifactsInput!$M$24)*CHOOSE(ArtifactsInput!$N$24+1,10,12,14,16,18,20)+(IF(AND(ArtifactsInput!$M$42,((Inputs!$B$9+((C1035=TRUE)*(F1035-Calc!F19))+B1048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023">
        <f>(1-Summary!$B$11)*T1023+Summary!$B$11*V1023</f>
        <v/>
      </c>
      <c r="P1023">
        <f>IF(B1058=0,0,O1023/B1058)</f>
        <v/>
      </c>
      <c r="Q1023">
        <f>IFERROR(1/IF(Inputs!$B$38="pvp",15,MAX(0.1,Skills!D7-IF(Skills!E7=TRUE,Inputs!$B$32,0))),0)</f>
        <v/>
      </c>
      <c r="R1023">
        <f>IF(AND(Inputs!$B$38&lt;&gt;"pvp",Inputs!$B$43&gt;0),IF(MAX(0,Inputs!$B$43-B1055)&lt;=0,0,(INT(MAX(0,Inputs!$B$43-B1055)/IF(Inputs!$B$38="pvp",15,MAX(0.1,Skills!D7-IF(Skills!E7=TRUE,Inputs!$B$32,0))))+1)),0)</f>
        <v/>
      </c>
      <c r="S1023">
        <f>IFERROR((H1023*N1023*IF(AND(Inputs!$B$38&lt;&gt;"pvp",Inputs!$B$43&gt;0),((Skills!G7*((R1023-1)*IF(Skills!H7&gt;0,Skills!I7/Skills!H7,1)+IF(Skills!H7&gt;0,MIN(Skills!I7,MAX(0,MAX(0,Inputs!$B$43-B1055)-((R1023-1)*IF(Inputs!$B$38="pvp",15,MAX(0.1,Skills!D7-IF(Skills!E7=TRUE,Inputs!$B$32,0))))))/Skills!H7,1)))/Inputs!$B$43),G1023*Q1023))/N1023*IF(Inputs!$B$38="pvp",1,(1-Summary!$B$11)*1+Summary!$B$11*(MIN(Skills!R7,Inputs!$B$37))),0)</f>
        <v/>
      </c>
      <c r="T1023">
        <f>IF(C1023,(H1023*N1023*IF(AND(Inputs!$B$38&lt;&gt;"pvp",Inputs!$B$43&gt;0),((Skills!G7*((R1023-1)*IF(Skills!H7&gt;0,Skills!I7/Skills!H7,1)+IF(Skills!H7&gt;0,MIN(Skills!I7,MAX(0,MAX(0,Inputs!$B$43-B1055)-((R1023-1)*IF(Inputs!$B$38="pvp",15,MAX(0.1,Skills!D7-IF(Skills!E7=TRUE,Inputs!$B$32,0))))))/Skills!H7,1)))/Inputs!$B$43),G1023*Q1023))*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Hunt"),CHOOSE(ArtifactsInput!$N$35+1,15,18,21,24,27,30)*(1-EXP(-(0.2*B1050)*5)),0)+IF(AND(ArtifactsInput!$M$22,Inputs!$B$4&lt;&gt;"Chapter Hunt"),CHOOSE(ArtifactsInput!$N$22+1,10,12,14,16,18,20)*((0*(((0.15*B1050*5))^0/1)+1*(((0.15*B1050*5))^1/1)+2*(((0.15*B1050*5))^2/2)+3*(((0.15*B1050*5))^3/6)+4*(((0.15*B1050*5))^4/24)+5*(((0.15*B1050*5))^5/120))/((((0.15*B1050*5))^0/1)+(((0.15*B1050*5))^1/1)+(((0.15*B1050*5))^2/2)+(((0.15*B1050*5))^3/6)+(((0.15*B1050*5))^4/24)+(((0.15*B1050*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1023*(1-MIN(100,(Inputs!$B$9+((C1035=TRUE)*(F1035-Calc!F19))+B1048+(ArtifactsInput!$M$24-ArtifactsInput!$M$24)*CHOOSE(ArtifactsInput!$N$24+1,10,12,14,16,18,20)+(IF(AND(ArtifactsInput!$M$42,((Inputs!$B$9+((C1035=TRUE)*(F1035-Calc!F19))+B1048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1023*(MIN(100,(Inputs!$B$9+((C1035=TRUE)*(F1035-Calc!F19))+B1048+(ArtifactsInput!$M$24-ArtifactsInput!$M$24)*CHOOSE(ArtifactsInput!$N$24+1,10,12,14,16,18,20)+(IF(AND(ArtifactsInput!$M$42,((Inputs!$B$9+((C1035=TRUE)*(F1035-Calc!F19))+B1048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1023*(1-MIN(100,(Inputs!$B$9+((C1035=TRUE)*(F1035-Calc!F19))+B1048+(ArtifactsInput!$M$24-ArtifactsInput!$M$24)*CHOOSE(ArtifactsInput!$N$24+1,10,12,14,16,18,20)+(IF(AND(ArtifactsInput!$M$42,((Inputs!$B$9+((C1035=TRUE)*(F1035-Calc!F19))+B1048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1023*(MIN(100,(Inputs!$B$9+((C1035=TRUE)*(F1035-Calc!F19))+B1048+(ArtifactsInput!$M$24-ArtifactsInput!$M$24)*CHOOSE(ArtifactsInput!$N$24+1,10,12,14,16,18,20)+(IF(AND(ArtifactsInput!$M$42,((Inputs!$B$9+((C1035=TRUE)*(F1035-Calc!F19))+B1048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023">
        <f>IF(C1023,(H1023*N1023*IF(AND(Inputs!$B$38&lt;&gt;"pvp",Inputs!$B$43&gt;0),((Skills!G7*((R1023-1)*IF(Skills!H7&gt;0,Skills!I7/Skills!H7,1)+IF(Skills!H7&gt;0,MIN(Skills!I7,MAX(0,MAX(0,Inputs!$B$43-B1055)-((R1023-1)*IF(Inputs!$B$38="pvp",15,MAX(0.1,Skills!D7-IF(Skills!E7=TRUE,Inputs!$B$32,0))))))/Skills!H7,1)))/Inputs!$B$43),G1023*Q1023))*IF(Inputs!$B$38="pvp",1,(1+(Inputs!$B$21+Skills!Q7+(IF(ArtifactsInput!$M$33,CHOOSE(ArtifactsInput!$N$33+1,30,36,42,48,54,60),0))+(IF(AND(ArtifactsInput!$M$35,Inputs!$B$4&lt;&gt;"Chapter Hunt"),CHOOSE(ArtifactsInput!$N$35+1,15,18,21,24,27,30)*(1-EXP(-(0.2*B1050)*5)),0)+IF(AND(ArtifactsInput!$M$22,Inputs!$B$4&lt;&gt;"Chapter Hunt"),CHOOSE(ArtifactsInput!$N$22+1,10,12,14,16,18,20)*((0*(((0.15*B1050*5))^0/1)+1*(((0.15*B1050*5))^1/1)+2*(((0.15*B1050*5))^2/2)+3*(((0.15*B1050*5))^3/6)+4*(((0.15*B1050*5))^4/24)+5*(((0.15*B1050*5))^5/120))/((((0.15*B1050*5))^0/1)+(((0.15*B1050*5))^1/1)+(((0.15*B1050*5))^2/2)+(((0.15*B1050*5))^3/6)+(((0.15*B1050*5))^4/24)+(((0.15*B1050*5))^5/120))),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024">
      <c r="A1024">
        <f>Skills!A8</f>
        <v/>
      </c>
      <c r="B1024">
        <f>Skills!B8</f>
        <v/>
      </c>
      <c r="C1024">
        <f>Inputs!$B$3&gt;=100</f>
        <v/>
      </c>
      <c r="D1024">
        <f>IF(Skills!C8=1,60+Inputs!$B$25+Inputs!$B$29,IF(Skills!C8=2,90+Inputs!$B$26+Inputs!$B$29,IF(Skills!C8=3,120+Inputs!$B$27+Inputs!$B$29,MAX(0,(Inputs!$B$3-100)*3)+Inputs!$B$28+Inputs!$B$29)))</f>
        <v/>
      </c>
      <c r="E1024">
        <f>INDEX(FactorTable!$B$2:$Y$301, MATCH(ROUND(MIN(300,MAX(1,D1024)),0), FactorTable!$A$2:$A$301,0), Skills!M8+1)</f>
        <v/>
      </c>
      <c r="F1024">
        <f>IF(Skills!N8=TRUE,(Skills!L8/10)*(E1024/1000),Skills!L8/10)+Skills!O8</f>
        <v/>
      </c>
      <c r="G1024" t="inlineStr"/>
      <c r="H1024" t="inlineStr"/>
      <c r="I1024" t="inlineStr">
        <is>
          <t>1</t>
        </is>
      </c>
      <c r="J1024" t="inlineStr"/>
      <c r="K1024" t="inlineStr"/>
      <c r="L1024" t="inlineStr"/>
      <c r="M1024" t="inlineStr"/>
      <c r="N1024" t="inlineStr"/>
      <c r="O1024" t="inlineStr"/>
      <c r="P1024" t="inlineStr"/>
      <c r="Q1024" t="inlineStr"/>
      <c r="R1024" t="inlineStr"/>
      <c r="S1024" t="inlineStr"/>
      <c r="T1024" t="inlineStr"/>
      <c r="V1024" t="inlineStr"/>
    </row>
    <row r="1025">
      <c r="A1025">
        <f>Skills!A9</f>
        <v/>
      </c>
      <c r="B1025">
        <f>Skills!B9</f>
        <v/>
      </c>
      <c r="C1025">
        <f>Inputs!$B$3&gt;=103</f>
        <v/>
      </c>
      <c r="D1025">
        <f>IF(Skills!C9=1,60+Inputs!$B$25+Inputs!$B$29,IF(Skills!C9=2,90+Inputs!$B$26+Inputs!$B$29,IF(Skills!C9=3,120+Inputs!$B$27+Inputs!$B$29,MAX(0,(Inputs!$B$3-100)*3)+Inputs!$B$28+Inputs!$B$29)))</f>
        <v/>
      </c>
      <c r="E1025">
        <f>INDEX(FactorTable!$B$2:$Y$301, MATCH(ROUND(MIN(300,MAX(1,D1025)),0), FactorTable!$A$2:$A$301,0), Skills!M9+1)</f>
        <v/>
      </c>
      <c r="F1025">
        <f>IF(Skills!N9=TRUE,(Skills!L9/10)*(E1025/1000),Skills!L9/10)+Skills!O9</f>
        <v/>
      </c>
      <c r="G1025">
        <f>Skills!G9*IF(Skills!H9&gt;0,Skills!I9/Skills!H9,1)</f>
        <v/>
      </c>
      <c r="H1025">
        <f>1-(1-Skills!J9/100)^Skills!K9</f>
        <v/>
      </c>
      <c r="I1025" t="inlineStr">
        <is>
          <t>1</t>
        </is>
      </c>
      <c r="J1025">
        <f>(((Inputs!$B$6+1)*(1+Inputs!$B$7/100))+(((Inputs!$B$12*(1+Inputs!$B$13/100))-(Inputs!$B$12*(1+Inputs!$B$13/100)))+0.25*(Inputs!$B$14-Inputs!$B$14))*(1+Inputs!$B$7/100))*(F1025/100)</f>
        <v/>
      </c>
      <c r="K1025">
        <f>J1025*(1+((Inputs!$B$12*(1+Inputs!$B$13/100))*0.01+Inputs!$B$14*0.0025)/100)*(1+Inputs!$B$15/100)*(1+Inputs!$B$16/100)*(5000/(6000+Inputs!$B$42*(1-(100*(1-(1-(Inputs!$B$19+0)/100)*(1-CHOOSE(ArtifactsInput!$N$40+1,5,6,7,8,9,10)/100)^(ArtifactsInput!$M$40-ArtifactsInput!$M$40)))/100)))*(1+(Inputs!$B$24+((C1040=TRUE)*(F1040-Calc!F24))+((C1041=TRUE)*(F1041-Calc!F25))+B1054)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EMPOWERED_PIERCING_ARROW",Inputs!$B$17+((C1038=TRUE)*(F1038-Calc!F22))+(((IF(AND(ArtifactsInput!$M$42,((Inputs!$B$9+((C1035=TRUE)*(F1035-Calc!F19))+B1048+(ArtifactsInput!$M$24-ArtifactsInput!$M$24)*CHOOSE(ArtifactsInput!$N$24+1,10,12,14,16,18,20)+IF(ArtifactsInput!$M$10,CHOOSE(ArtifactsInput!$N$10+1,15,18,21,24,27,30)*(IF(Inputs!$B$38="pvp",MIN(15,15)/15,IF(AND(Inputs!$B$38&lt;&gt;"pvp",Inputs!$B$43&gt;0),MIN(15,Inputs!$B$43)/(Inputs!$B$43),0))),0)))&gt;=100),MIN(100,((Inputs!$B$9+((C1035=TRUE)*(F1035-Calc!F19))+B1048+(ArtifactsInput!$M$24-ArtifactsInput!$M$24)*CHOOSE(ArtifactsInput!$N$24+1,10,12,14,16,18,20)+IF(ArtifactsInput!$M$10,CHOOSE(ArtifactsInput!$N$10+1,15,18,21,24,27,30)*(IF(Inputs!$B$38="pvp",MIN(15,15)/15,IF(AND(Inputs!$B$38&lt;&gt;"pvp",Inputs!$B$43&gt;0),MIN(15,Inputs!$B$43)/(Inputs!$B$43),0))),0)))-100),0))*CHOOSE(ArtifactsInput!$N$42+1,0.6,0.72,0.84,0.96,1.08,1.2))),Inputs!$B$18+((C1043=TRUE)*(F1043-Calc!F27))+(IF(AND(ArtifactsInput!$M$42,((Inputs!$B$9+((C1035=TRUE)*(F1035-Calc!F19))+B1048+(ArtifactsInput!$M$24-ArtifactsInput!$M$24)*CHOOSE(ArtifactsInput!$N$24+1,10,12,14,16,18,20)+IF(ArtifactsInput!$M$10,CHOOSE(ArtifactsInput!$N$10+1,15,18,21,24,27,30)*(IF(Inputs!$B$38="pvp",MIN(15,15)/15,IF(AND(Inputs!$B$38&lt;&gt;"pvp",Inputs!$B$43&gt;0),MIN(15,Inputs!$B$43)/(Inputs!$B$43),0))),0)))&gt;=100),CHOOSE(ArtifactsInput!$N$42+1,40,48,56,64,72,80),0))))/100)*((1+(((C1029=TRUE)*F1029)+((C1030=TRUE)*IF(Inputs!$B$38="pvp",F1030,(1-Summary!$B$11)*(F1030)+Summary!$B$11*(0)))+((C1031=TRUE)*F1031*IF(AND(Inputs!$B$38&lt;&gt;"pvp",Inputs!$B$43&gt;0),(((R1031-1)*(Skills!T15*(1+Inputs!$B$34/100))+MIN((Skills!T15*(1+Inputs!$B$34/100)),MAX(0,Inputs!$B$43-((R1031-1)*Skills!D15))))/Inputs!$B$43),IF(Inputs!$B$38="pvp",MIN((Skills!T15*(1+Inputs!$B$34/100)),15)/15,(Skills!T15*(1+Inputs!$B$34/100))/Skills!D15)))+((C1028=TRUE)*F1028)+((C1045=TRUE)*(F1045-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1025)</f>
        <v/>
      </c>
      <c r="L1025">
        <f>K1025*(MIN(Inputs!$B$22+((C1039=TRUE)*(F1039-Calc!F23)),(Inputs!$B$23+((C1044=TRUE)*(F1044-Calc!F28))+(IF(ArtifactsInput!$M$15,CHOOSE(ArtifactsInput!$N$15+1,25,30,35,40,45,50)/100*(Inputs!$B$11-Inputs!$B$11),0))))/100+(Inputs!$B$23+((C1044=TRUE)*(F1044-Calc!F28))+(IF(ArtifactsInput!$M$15,CHOOSE(ArtifactsInput!$N$15+1,25,30,35,40,45,50)/100*(Inputs!$B$11-Inputs!$B$11),0)))/100)/2</f>
        <v/>
      </c>
      <c r="M1025">
        <f>L1025*(1+(Inputs!$B$10+0+B1053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025">
        <f>L1025*(1-MIN((Inputs!$B$9+((C1035=TRUE)*(F1035-Calc!F19))+B1048+(ArtifactsInput!$M$24-ArtifactsInput!$M$24)*CHOOSE(ArtifactsInput!$N$24+1,10,12,14,16,18,20)+(IF(AND(ArtifactsInput!$M$42,((Inputs!$B$9+((C1035=TRUE)*(F1035-Calc!F19))+B1048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1025*(MIN((Inputs!$B$9+((C1035=TRUE)*(F1035-Calc!F19))+B1048+(ArtifactsInput!$M$24-ArtifactsInput!$M$24)*CHOOSE(ArtifactsInput!$N$24+1,10,12,14,16,18,20)+(IF(AND(ArtifactsInput!$M$42,((Inputs!$B$9+((C1035=TRUE)*(F1035-Calc!F19))+B1048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025">
        <f>(1-Summary!$B$11)*T1025+Summary!$B$11*V1025</f>
        <v/>
      </c>
      <c r="P1025">
        <f>IF(B1058=0,0,O1025/B1058)</f>
        <v/>
      </c>
      <c r="Q1025">
        <f>IFERROR(1/IF(Inputs!$B$38="pvp",15,MAX(0.1,Skills!D9-IF(Skills!E9=TRUE,Inputs!$B$32,0))),0)</f>
        <v/>
      </c>
      <c r="R1025">
        <f>IF(AND(Inputs!$B$38&lt;&gt;"pvp",Inputs!$B$43&gt;0),IF(MAX(0,Inputs!$B$43-B1055)&lt;=0,0,(INT(MAX(0,Inputs!$B$43-B1055)/IF(Inputs!$B$38="pvp",15,MAX(0.1,Skills!D9-IF(Skills!E9=TRUE,Inputs!$B$32,0))))+1)),0)</f>
        <v/>
      </c>
      <c r="S1025">
        <f>IFERROR((H1025*N1025*IF(AND(Inputs!$B$38&lt;&gt;"pvp",Inputs!$B$43&gt;0),((Skills!G9*((R1025-1)*IF(Skills!H9&gt;0,Skills!I9/Skills!H9,1)+IF(Skills!H9&gt;0,MIN(Skills!I9,MAX(0,MAX(0,Inputs!$B$43-B1055)-((R1025-1)*IF(Inputs!$B$38="pvp",15,MAX(0.1,Skills!D9-IF(Skills!E9=TRUE,Inputs!$B$32,0))))))/Skills!H9,1)))/Inputs!$B$43),G1025*Q1025))/N1025*IF(Inputs!$B$38="pvp",1,(1-Summary!$B$11)*1+Summary!$B$11*(MIN(Skills!R9,Inputs!$B$37))),0)</f>
        <v/>
      </c>
      <c r="T1025">
        <f>IF(C1025,(H1025*N1025*IF(AND(Inputs!$B$38&lt;&gt;"pvp",Inputs!$B$43&gt;0),((Skills!G9*((R1025-1)*IF(Skills!H9&gt;0,Skills!I9/Skills!H9,1)+IF(Skills!H9&gt;0,MIN(Skills!I9,MAX(0,MAX(0,Inputs!$B$43-B1055)-((R1025-1)*IF(Inputs!$B$38="pvp",15,MAX(0.1,Skills!D9-IF(Skills!E9=TRUE,Inputs!$B$32,0))))))/Skills!H9,1)))/Inputs!$B$43),G1025*Q1025))*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Hunt"),CHOOSE(ArtifactsInput!$N$35+1,15,18,21,24,27,30)*(1-EXP(-(0.2*B1050)*5)),0)+IF(AND(ArtifactsInput!$M$22,Inputs!$B$4&lt;&gt;"Chapter Hunt"),CHOOSE(ArtifactsInput!$N$22+1,10,12,14,16,18,20)*((0*(((0.15*B1050*5))^0/1)+1*(((0.15*B1050*5))^1/1)+2*(((0.15*B1050*5))^2/2)+3*(((0.15*B1050*5))^3/6)+4*(((0.15*B1050*5))^4/24)+5*(((0.15*B1050*5))^5/120))/((((0.15*B1050*5))^0/1)+(((0.15*B1050*5))^1/1)+(((0.15*B1050*5))^2/2)+(((0.15*B1050*5))^3/6)+(((0.15*B1050*5))^4/24)+(((0.15*B1050*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1025*(1-MIN(100,(Inputs!$B$9+((C1035=TRUE)*(F1035-Calc!F19))+B1048+(ArtifactsInput!$M$24-ArtifactsInput!$M$24)*CHOOSE(ArtifactsInput!$N$24+1,10,12,14,16,18,20)+(IF(AND(ArtifactsInput!$M$42,((Inputs!$B$9+((C1035=TRUE)*(F1035-Calc!F19))+B1048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1025*(MIN(100,(Inputs!$B$9+((C1035=TRUE)*(F1035-Calc!F19))+B1048+(ArtifactsInput!$M$24-ArtifactsInput!$M$24)*CHOOSE(ArtifactsInput!$N$24+1,10,12,14,16,18,20)+(IF(AND(ArtifactsInput!$M$42,((Inputs!$B$9+((C1035=TRUE)*(F1035-Calc!F19))+B1048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1025*(1-MIN(100,(Inputs!$B$9+((C1035=TRUE)*(F1035-Calc!F19))+B1048+(ArtifactsInput!$M$24-ArtifactsInput!$M$24)*CHOOSE(ArtifactsInput!$N$24+1,10,12,14,16,18,20)+(IF(AND(ArtifactsInput!$M$42,((Inputs!$B$9+((C1035=TRUE)*(F1035-Calc!F19))+B1048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1025*(MIN(100,(Inputs!$B$9+((C1035=TRUE)*(F1035-Calc!F19))+B1048+(ArtifactsInput!$M$24-ArtifactsInput!$M$24)*CHOOSE(ArtifactsInput!$N$24+1,10,12,14,16,18,20)+(IF(AND(ArtifactsInput!$M$42,((Inputs!$B$9+((C1035=TRUE)*(F1035-Calc!F19))+B1048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025">
        <f>IF(C1025,(H1025*N1025*IF(AND(Inputs!$B$38&lt;&gt;"pvp",Inputs!$B$43&gt;0),((Skills!G9*((R1025-1)*IF(Skills!H9&gt;0,Skills!I9/Skills!H9,1)+IF(Skills!H9&gt;0,MIN(Skills!I9,MAX(0,MAX(0,Inputs!$B$43-B1055)-((R1025-1)*IF(Inputs!$B$38="pvp",15,MAX(0.1,Skills!D9-IF(Skills!E9=TRUE,Inputs!$B$32,0))))))/Skills!H9,1)))/Inputs!$B$43),G1025*Q1025))*IF(Inputs!$B$38="pvp",1,(1+(Inputs!$B$21+Skills!Q9+(IF(ArtifactsInput!$M$33,CHOOSE(ArtifactsInput!$N$33+1,30,36,42,48,54,60),0))+(IF(AND(ArtifactsInput!$M$35,Inputs!$B$4&lt;&gt;"Chapter Hunt"),CHOOSE(ArtifactsInput!$N$35+1,15,18,21,24,27,30)*(1-EXP(-(0.2*B1050)*5)),0)+IF(AND(ArtifactsInput!$M$22,Inputs!$B$4&lt;&gt;"Chapter Hunt"),CHOOSE(ArtifactsInput!$N$22+1,10,12,14,16,18,20)*((0*(((0.15*B1050*5))^0/1)+1*(((0.15*B1050*5))^1/1)+2*(((0.15*B1050*5))^2/2)+3*(((0.15*B1050*5))^3/6)+4*(((0.15*B1050*5))^4/24)+5*(((0.15*B1050*5))^5/120))/((((0.15*B1050*5))^0/1)+(((0.15*B1050*5))^1/1)+(((0.15*B1050*5))^2/2)+(((0.15*B1050*5))^3/6)+(((0.15*B1050*5))^4/24)+(((0.15*B1050*5))^5/120)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026">
      <c r="A1026">
        <f>Skills!A10</f>
        <v/>
      </c>
      <c r="B1026">
        <f>Skills!B10</f>
        <v/>
      </c>
      <c r="C1026">
        <f>Inputs!$B$3&gt;=107</f>
        <v/>
      </c>
      <c r="D1026">
        <f>IF(Skills!C10=1,60+Inputs!$B$25+Inputs!$B$29,IF(Skills!C10=2,90+Inputs!$B$26+Inputs!$B$29,IF(Skills!C10=3,120+Inputs!$B$27+Inputs!$B$29,MAX(0,(Inputs!$B$3-100)*3)+Inputs!$B$28+Inputs!$B$29)))</f>
        <v/>
      </c>
      <c r="E1026">
        <f>INDEX(FactorTable!$B$2:$Y$301, MATCH(ROUND(MIN(300,MAX(1,D1026)),0), FactorTable!$A$2:$A$301,0), Skills!M10+1)</f>
        <v/>
      </c>
      <c r="F1026">
        <f>IF(Skills!N10=TRUE,(Skills!L10/10)*(E1026/1000),Skills!L10/10)+Skills!O10</f>
        <v/>
      </c>
      <c r="G1026">
        <f>Skills!G10*IF(Skills!H10&gt;0,Skills!I10/Skills!H10,1)</f>
        <v/>
      </c>
      <c r="H1026">
        <f>1-(1-Skills!J10/100)^Skills!K10</f>
        <v/>
      </c>
      <c r="I1026" t="inlineStr">
        <is>
          <t>1</t>
        </is>
      </c>
      <c r="J1026">
        <f>(((Inputs!$B$6+1)*(1+Inputs!$B$7/100))+(((Inputs!$B$12*(1+Inputs!$B$13/100))-(Inputs!$B$12*(1+Inputs!$B$13/100)))+0.25*(Inputs!$B$14-Inputs!$B$14))*(1+Inputs!$B$7/100))*(F1026/100)</f>
        <v/>
      </c>
      <c r="K1026">
        <f>J1026*(1+((Inputs!$B$12*(1+Inputs!$B$13/100))*0.01+Inputs!$B$14*0.0025)/100)*(1+Inputs!$B$15/100)*(1+Inputs!$B$16/100)*(5000/(6000+Inputs!$B$42*(1-(100*(1-(1-(Inputs!$B$19+0)/100)*(1-CHOOSE(ArtifactsInput!$N$40+1,5,6,7,8,9,10)/100)^(ArtifactsInput!$M$40-ArtifactsInput!$M$40)))/100)))*(1+(Inputs!$B$24+((C1040=TRUE)*(F1040-Calc!F24))+((C1041=TRUE)*(F1041-Calc!F25))+B1054)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EMPOWERED_PIERCING_ARROW",Inputs!$B$17+((C1038=TRUE)*(F1038-Calc!F22))+(((IF(AND(ArtifactsInput!$M$42,((Inputs!$B$9+((C1035=TRUE)*(F1035-Calc!F19))+B1048+(ArtifactsInput!$M$24-ArtifactsInput!$M$24)*CHOOSE(ArtifactsInput!$N$24+1,10,12,14,16,18,20)+IF(ArtifactsInput!$M$10,CHOOSE(ArtifactsInput!$N$10+1,15,18,21,24,27,30)*(IF(Inputs!$B$38="pvp",MIN(15,15)/15,IF(AND(Inputs!$B$38&lt;&gt;"pvp",Inputs!$B$43&gt;0),MIN(15,Inputs!$B$43)/(Inputs!$B$43),0))),0)))&gt;=100),MIN(100,((Inputs!$B$9+((C1035=TRUE)*(F1035-Calc!F19))+B1048+(ArtifactsInput!$M$24-ArtifactsInput!$M$24)*CHOOSE(ArtifactsInput!$N$24+1,10,12,14,16,18,20)+IF(ArtifactsInput!$M$10,CHOOSE(ArtifactsInput!$N$10+1,15,18,21,24,27,30)*(IF(Inputs!$B$38="pvp",MIN(15,15)/15,IF(AND(Inputs!$B$38&lt;&gt;"pvp",Inputs!$B$43&gt;0),MIN(15,Inputs!$B$43)/(Inputs!$B$43),0))),0)))-100),0))*CHOOSE(ArtifactsInput!$N$42+1,0.6,0.72,0.84,0.96,1.08,1.2))),Inputs!$B$18+((C1043=TRUE)*(F1043-Calc!F27))+(IF(AND(ArtifactsInput!$M$42,((Inputs!$B$9+((C1035=TRUE)*(F1035-Calc!F19))+B1048+(ArtifactsInput!$M$24-ArtifactsInput!$M$24)*CHOOSE(ArtifactsInput!$N$24+1,10,12,14,16,18,20)+IF(ArtifactsInput!$M$10,CHOOSE(ArtifactsInput!$N$10+1,15,18,21,24,27,30)*(IF(Inputs!$B$38="pvp",MIN(15,15)/15,IF(AND(Inputs!$B$38&lt;&gt;"pvp",Inputs!$B$43&gt;0),MIN(15,Inputs!$B$43)/(Inputs!$B$43),0))),0)))&gt;=100),CHOOSE(ArtifactsInput!$N$42+1,40,48,56,64,72,80),0))))/100)*((1+(((C1029=TRUE)*F1029)+((C1030=TRUE)*IF(Inputs!$B$38="pvp",F1030,(1-Summary!$B$11)*(F1030)+Summary!$B$11*(0)))+((C1031=TRUE)*F1031*IF(AND(Inputs!$B$38&lt;&gt;"pvp",Inputs!$B$43&gt;0),(((R1031-1)*(Skills!T15*(1+Inputs!$B$34/100))+MIN((Skills!T15*(1+Inputs!$B$34/100)),MAX(0,Inputs!$B$43-((R1031-1)*Skills!D15))))/Inputs!$B$43),IF(Inputs!$B$38="pvp",MIN((Skills!T15*(1+Inputs!$B$34/100)),15)/15,(Skills!T15*(1+Inputs!$B$34/100))/Skills!D15)))+((C1028=TRUE)*F1028)+((C1045=TRUE)*(F1045-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1026)</f>
        <v/>
      </c>
      <c r="L1026">
        <f>K1026*(MIN(Inputs!$B$22+((C1039=TRUE)*(F1039-Calc!F23)),(Inputs!$B$23+((C1044=TRUE)*(F1044-Calc!F28))+(IF(ArtifactsInput!$M$15,CHOOSE(ArtifactsInput!$N$15+1,25,30,35,40,45,50)/100*(Inputs!$B$11-Inputs!$B$11),0))))/100+(Inputs!$B$23+((C1044=TRUE)*(F1044-Calc!F28))+(IF(ArtifactsInput!$M$15,CHOOSE(ArtifactsInput!$N$15+1,25,30,35,40,45,50)/100*(Inputs!$B$11-Inputs!$B$11),0)))/100)/2</f>
        <v/>
      </c>
      <c r="M1026">
        <f>L1026*(1+(Inputs!$B$10+0+B1053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026">
        <f>L1026*(1-MIN((Inputs!$B$9+((C1035=TRUE)*(F1035-Calc!F19))+B1048+(ArtifactsInput!$M$24-ArtifactsInput!$M$24)*CHOOSE(ArtifactsInput!$N$24+1,10,12,14,16,18,20)+(IF(AND(ArtifactsInput!$M$42,((Inputs!$B$9+((C1035=TRUE)*(F1035-Calc!F19))+B1048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1026*(MIN((Inputs!$B$9+((C1035=TRUE)*(F1035-Calc!F19))+B1048+(ArtifactsInput!$M$24-ArtifactsInput!$M$24)*CHOOSE(ArtifactsInput!$N$24+1,10,12,14,16,18,20)+(IF(AND(ArtifactsInput!$M$42,((Inputs!$B$9+((C1035=TRUE)*(F1035-Calc!F19))+B1048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026">
        <f>(1-Summary!$B$11)*T1026+Summary!$B$11*V1026</f>
        <v/>
      </c>
      <c r="P1026">
        <f>IF(B1058=0,0,O1026/B1058)</f>
        <v/>
      </c>
      <c r="Q1026" t="n">
        <v>0</v>
      </c>
      <c r="R1026" t="n">
        <v>0</v>
      </c>
      <c r="S1026" t="n">
        <v>0</v>
      </c>
      <c r="T1026">
        <f>IF(C1026,(0.15*SUMPRODUCT((Skills!U2:U29=TRUE)*(C1018:C1045=TRUE)*S1018:S1045)*Skills!G10*N1026)*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Hunt"),CHOOSE(ArtifactsInput!$N$35+1,15,18,21,24,27,30)*(1-EXP(-(0.2*B1050)*5)),0)+IF(AND(ArtifactsInput!$M$22,Inputs!$B$4&lt;&gt;"Chapter Hunt"),CHOOSE(ArtifactsInput!$N$22+1,10,12,14,16,18,20)*((0*(((0.15*B1050*5))^0/1)+1*(((0.15*B1050*5))^1/1)+2*(((0.15*B1050*5))^2/2)+3*(((0.15*B1050*5))^3/6)+4*(((0.15*B1050*5))^4/24)+5*(((0.15*B1050*5))^5/120))/((((0.15*B1050*5))^0/1)+(((0.15*B1050*5))^1/1)+(((0.15*B1050*5))^2/2)+(((0.15*B1050*5))^3/6)+(((0.15*B1050*5))^4/24)+(((0.15*B1050*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1026*(1-MIN(100,(Inputs!$B$9+((C1035=TRUE)*(F1035-Calc!F19))+B1048+(ArtifactsInput!$M$24-ArtifactsInput!$M$24)*CHOOSE(ArtifactsInput!$N$24+1,10,12,14,16,18,20)+(IF(AND(ArtifactsInput!$M$42,((Inputs!$B$9+((C1035=TRUE)*(F1035-Calc!F19))+B1048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1026*(MIN(100,(Inputs!$B$9+((C1035=TRUE)*(F1035-Calc!F19))+B1048+(ArtifactsInput!$M$24-ArtifactsInput!$M$24)*CHOOSE(ArtifactsInput!$N$24+1,10,12,14,16,18,20)+(IF(AND(ArtifactsInput!$M$42,((Inputs!$B$9+((C1035=TRUE)*(F1035-Calc!F19))+B1048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1026*(1-MIN(100,(Inputs!$B$9+((C1035=TRUE)*(F1035-Calc!F19))+B1048+(ArtifactsInput!$M$24-ArtifactsInput!$M$24)*CHOOSE(ArtifactsInput!$N$24+1,10,12,14,16,18,20)+(IF(AND(ArtifactsInput!$M$42,((Inputs!$B$9+((C1035=TRUE)*(F1035-Calc!F19))+B1048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1026*(MIN(100,(Inputs!$B$9+((C1035=TRUE)*(F1035-Calc!F19))+B1048+(ArtifactsInput!$M$24-ArtifactsInput!$M$24)*CHOOSE(ArtifactsInput!$N$24+1,10,12,14,16,18,20)+(IF(AND(ArtifactsInput!$M$42,((Inputs!$B$9+((C1035=TRUE)*(F1035-Calc!F19))+B1048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026">
        <f>IF(C1026,(0.15*SUMPRODUCT((Skills!U2:U29=TRUE)*(C1018:C1045=TRUE)*S1018:S1045)*Skills!G10*N1026)*IF(Inputs!$B$38="pvp",1,(1+(Inputs!$B$21+Skills!Q10+(IF(ArtifactsInput!$M$33,CHOOSE(ArtifactsInput!$N$33+1,30,36,42,48,54,60),0))+(IF(AND(ArtifactsInput!$M$35,Inputs!$B$4&lt;&gt;"Chapter Hunt"),CHOOSE(ArtifactsInput!$N$35+1,15,18,21,24,27,30)*(1-EXP(-(0.2*B1050)*5)),0)+IF(AND(ArtifactsInput!$M$22,Inputs!$B$4&lt;&gt;"Chapter Hunt"),CHOOSE(ArtifactsInput!$N$22+1,10,12,14,16,18,20)*((0*(((0.15*B1050*5))^0/1)+1*(((0.15*B1050*5))^1/1)+2*(((0.15*B1050*5))^2/2)+3*(((0.15*B1050*5))^3/6)+4*(((0.15*B1050*5))^4/24)+5*(((0.15*B1050*5))^5/120))/((((0.15*B1050*5))^0/1)+(((0.15*B1050*5))^1/1)+(((0.15*B1050*5))^2/2)+(((0.15*B1050*5))^3/6)+(((0.15*B1050*5))^4/24)+(((0.15*B1050*5))^5/120)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027">
      <c r="A1027">
        <f>Skills!A11</f>
        <v/>
      </c>
      <c r="B1027">
        <f>Skills!B11</f>
        <v/>
      </c>
      <c r="C1027">
        <f>Inputs!$B$3&gt;=110</f>
        <v/>
      </c>
      <c r="D1027">
        <f>IF(Skills!C11=1,60+Inputs!$B$25+Inputs!$B$29,IF(Skills!C11=2,90+Inputs!$B$26+Inputs!$B$29,IF(Skills!C11=3,120+Inputs!$B$27+Inputs!$B$29,MAX(0,(Inputs!$B$3-100)*3)+Inputs!$B$28+Inputs!$B$29)))</f>
        <v/>
      </c>
      <c r="E1027">
        <f>INDEX(FactorTable!$B$2:$Y$301, MATCH(ROUND(MIN(300,MAX(1,D1027)),0), FactorTable!$A$2:$A$301,0), Skills!M11+1)</f>
        <v/>
      </c>
      <c r="F1027">
        <f>IF(Skills!N11=TRUE,(Skills!L11/10)*(E1027/1000),Skills!L11/10)+Skills!O11</f>
        <v/>
      </c>
      <c r="G1027">
        <f>Skills!G11*IF(Skills!H11&gt;0,Skills!I11/Skills!H11,1)</f>
        <v/>
      </c>
      <c r="H1027">
        <f>1-(1-Skills!J11/100)^Skills!K11</f>
        <v/>
      </c>
      <c r="I1027" t="inlineStr">
        <is>
          <t>1</t>
        </is>
      </c>
      <c r="J1027">
        <f>(((Inputs!$B$6+1)*(1+Inputs!$B$7/100))+(((Inputs!$B$12*(1+Inputs!$B$13/100))-(Inputs!$B$12*(1+Inputs!$B$13/100)))+0.25*(Inputs!$B$14-Inputs!$B$14))*(1+Inputs!$B$7/100))*(F1027/100)</f>
        <v/>
      </c>
      <c r="K1027">
        <f>J1027*(1+((Inputs!$B$12*(1+Inputs!$B$13/100))*0.01+Inputs!$B$14*0.0025)/100)*(1+Inputs!$B$15/100)*(1+Inputs!$B$16/100)*(5000/(6000+Inputs!$B$42*(1-(100*(1-(1-(Inputs!$B$19+0)/100)*(1-CHOOSE(ArtifactsInput!$N$40+1,5,6,7,8,9,10)/100)^(ArtifactsInput!$M$40-ArtifactsInput!$M$40)))/100)))*(1+(Inputs!$B$24+((C1040=TRUE)*(F1040-Calc!F24))+((C1041=TRUE)*(F1041-Calc!F25))+B1054)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11="EMPOWERED_PIERCING_ARROW",Inputs!$B$17+((C1038=TRUE)*(F1038-Calc!F22))+(((IF(AND(ArtifactsInput!$M$42,((Inputs!$B$9+((C1035=TRUE)*(F1035-Calc!F19))+B1048+(ArtifactsInput!$M$24-ArtifactsInput!$M$24)*CHOOSE(ArtifactsInput!$N$24+1,10,12,14,16,18,20)+IF(ArtifactsInput!$M$10,CHOOSE(ArtifactsInput!$N$10+1,15,18,21,24,27,30)*(IF(Inputs!$B$38="pvp",MIN(15,15)/15,IF(AND(Inputs!$B$38&lt;&gt;"pvp",Inputs!$B$43&gt;0),MIN(15,Inputs!$B$43)/(Inputs!$B$43),0))),0)))&gt;=100),MIN(100,((Inputs!$B$9+((C1035=TRUE)*(F1035-Calc!F19))+B1048+(ArtifactsInput!$M$24-ArtifactsInput!$M$24)*CHOOSE(ArtifactsInput!$N$24+1,10,12,14,16,18,20)+IF(ArtifactsInput!$M$10,CHOOSE(ArtifactsInput!$N$10+1,15,18,21,24,27,30)*(IF(Inputs!$B$38="pvp",MIN(15,15)/15,IF(AND(Inputs!$B$38&lt;&gt;"pvp",Inputs!$B$43&gt;0),MIN(15,Inputs!$B$43)/(Inputs!$B$43),0))),0)))-100),0))*CHOOSE(ArtifactsInput!$N$42+1,0.6,0.72,0.84,0.96,1.08,1.2))),Inputs!$B$18+((C1043=TRUE)*(F1043-Calc!F27))+(IF(AND(ArtifactsInput!$M$42,((Inputs!$B$9+((C1035=TRUE)*(F1035-Calc!F19))+B1048+(ArtifactsInput!$M$24-ArtifactsInput!$M$24)*CHOOSE(ArtifactsInput!$N$24+1,10,12,14,16,18,20)+IF(ArtifactsInput!$M$10,CHOOSE(ArtifactsInput!$N$10+1,15,18,21,24,27,30)*(IF(Inputs!$B$38="pvp",MIN(15,15)/15,IF(AND(Inputs!$B$38&lt;&gt;"pvp",Inputs!$B$43&gt;0),MIN(15,Inputs!$B$43)/(Inputs!$B$43),0))),0)))&gt;=100),CHOOSE(ArtifactsInput!$N$42+1,40,48,56,64,72,80),0))))/100)*((1+(((C1029=TRUE)*F1029)+((C1030=TRUE)*IF(Inputs!$B$38="pvp",F1030,(1-Summary!$B$11)*(F1030)+Summary!$B$11*(0)))+((C1031=TRUE)*F1031*IF(AND(Inputs!$B$38&lt;&gt;"pvp",Inputs!$B$43&gt;0),(((R1031-1)*(Skills!T15*(1+Inputs!$B$34/100))+MIN((Skills!T15*(1+Inputs!$B$34/100)),MAX(0,Inputs!$B$43-((R1031-1)*Skills!D15))))/Inputs!$B$43),IF(Inputs!$B$38="pvp",MIN((Skills!T15*(1+Inputs!$B$34/100)),15)/15,(Skills!T15*(1+Inputs!$B$34/100))/Skills!D15)))+((C1028=TRUE)*F1028)+((C1045=TRUE)*(F1045-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1027)</f>
        <v/>
      </c>
      <c r="L1027">
        <f>K1027*(MIN(Inputs!$B$22+((C1039=TRUE)*(F1039-Calc!F23)),(Inputs!$B$23+((C1044=TRUE)*(F1044-Calc!F28))+(IF(ArtifactsInput!$M$15,CHOOSE(ArtifactsInput!$N$15+1,25,30,35,40,45,50)/100*(Inputs!$B$11-Inputs!$B$11),0))))/100+(Inputs!$B$23+((C1044=TRUE)*(F1044-Calc!F28))+(IF(ArtifactsInput!$M$15,CHOOSE(ArtifactsInput!$N$15+1,25,30,35,40,45,50)/100*(Inputs!$B$11-Inputs!$B$11),0)))/100)/2</f>
        <v/>
      </c>
      <c r="M1027">
        <f>L1027*(1+(Inputs!$B$10+0+B1053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027">
        <f>L1027*(1-MIN((Inputs!$B$9+((C1035=TRUE)*(F1035-Calc!F19))+B1048+(ArtifactsInput!$M$24-ArtifactsInput!$M$24)*CHOOSE(ArtifactsInput!$N$24+1,10,12,14,16,18,20)+(IF(AND(ArtifactsInput!$M$42,((Inputs!$B$9+((C1035=TRUE)*(F1035-Calc!F19))+B1048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1027*(MIN((Inputs!$B$9+((C1035=TRUE)*(F1035-Calc!F19))+B1048+(ArtifactsInput!$M$24-ArtifactsInput!$M$24)*CHOOSE(ArtifactsInput!$N$24+1,10,12,14,16,18,20)+(IF(AND(ArtifactsInput!$M$42,((Inputs!$B$9+((C1035=TRUE)*(F1035-Calc!F19))+B1048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027">
        <f>(1-Summary!$B$11)*T1027+Summary!$B$11*V1027</f>
        <v/>
      </c>
      <c r="P1027">
        <f>IF(B1058=0,0,O1027/B1058)</f>
        <v/>
      </c>
      <c r="Q1027">
        <f>IFERROR(1/IF(Inputs!$B$38="pvp",15,MAX(0.1,Skills!D11-IF(Skills!E11=TRUE,Inputs!$B$32,0))),0)</f>
        <v/>
      </c>
      <c r="R1027">
        <f>IF(AND(Inputs!$B$38&lt;&gt;"pvp",Inputs!$B$43&gt;0),IF(MAX(0,Inputs!$B$43-B1055)&lt;=0,0,(INT(MAX(0,Inputs!$B$43-B1055)/IF(Inputs!$B$38="pvp",15,MAX(0.1,Skills!D11-IF(Skills!E11=TRUE,Inputs!$B$32,0))))+1)),0)</f>
        <v/>
      </c>
      <c r="S1027">
        <f>IFERROR((H1027*N1027*IF(AND(Inputs!$B$38&lt;&gt;"pvp",Inputs!$B$43&gt;0),((Skills!G11*((R1027-1)*IF(Skills!H11&gt;0,Skills!I11/Skills!H11,1)+IF(Skills!H11&gt;0,MIN(Skills!I11,MAX(0,MAX(0,Inputs!$B$43-B1055)-((R1027-1)*IF(Inputs!$B$38="pvp",15,MAX(0.1,Skills!D11-IF(Skills!E11=TRUE,Inputs!$B$32,0))))))/Skills!H11,1)))/Inputs!$B$43),G1027*Q1027))/N1027*IF(Inputs!$B$38="pvp",1,(1-Summary!$B$11)*1+Summary!$B$11*(MIN(Skills!R11,Inputs!$B$37))),0)</f>
        <v/>
      </c>
      <c r="T1027">
        <f>IF(C1027,(H1027*N1027*IF(AND(Inputs!$B$38&lt;&gt;"pvp",Inputs!$B$43&gt;0),((Skills!G11*((R1027-1)*IF(Skills!H11&gt;0,Skills!I11/Skills!H11,1)+IF(Skills!H11&gt;0,MIN(Skills!I11,MAX(0,MAX(0,Inputs!$B$43-B1055)-((R1027-1)*IF(Inputs!$B$38="pvp",15,MAX(0.1,Skills!D11-IF(Skills!E11=TRUE,Inputs!$B$32,0))))))/Skills!H11,1)))/Inputs!$B$43),G1027*Q1027))*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Hunt"),CHOOSE(ArtifactsInput!$N$35+1,15,18,21,24,27,30)*(1-EXP(-(0.2*B1050)*5)),0)+IF(AND(ArtifactsInput!$M$22,Inputs!$B$4&lt;&gt;"Chapter Hunt"),CHOOSE(ArtifactsInput!$N$22+1,10,12,14,16,18,20)*((0*(((0.15*B1050*5))^0/1)+1*(((0.15*B1050*5))^1/1)+2*(((0.15*B1050*5))^2/2)+3*(((0.15*B1050*5))^3/6)+4*(((0.15*B1050*5))^4/24)+5*(((0.15*B1050*5))^5/120))/((((0.15*B1050*5))^0/1)+(((0.15*B1050*5))^1/1)+(((0.15*B1050*5))^2/2)+(((0.15*B1050*5))^3/6)+(((0.15*B1050*5))^4/24)+(((0.15*B1050*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1027*(1-MIN(100,(Inputs!$B$9+((C1035=TRUE)*(F1035-Calc!F19))+B1048+(ArtifactsInput!$M$24-ArtifactsInput!$M$24)*CHOOSE(ArtifactsInput!$N$24+1,10,12,14,16,18,20)+(IF(AND(ArtifactsInput!$M$42,((Inputs!$B$9+((C1035=TRUE)*(F1035-Calc!F19))+B1048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1027*(MIN(100,(Inputs!$B$9+((C1035=TRUE)*(F1035-Calc!F19))+B1048+(ArtifactsInput!$M$24-ArtifactsInput!$M$24)*CHOOSE(ArtifactsInput!$N$24+1,10,12,14,16,18,20)+(IF(AND(ArtifactsInput!$M$42,((Inputs!$B$9+((C1035=TRUE)*(F1035-Calc!F19))+B1048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1027*(1-MIN(100,(Inputs!$B$9+((C1035=TRUE)*(F1035-Calc!F19))+B1048+(ArtifactsInput!$M$24-ArtifactsInput!$M$24)*CHOOSE(ArtifactsInput!$N$24+1,10,12,14,16,18,20)+(IF(AND(ArtifactsInput!$M$42,((Inputs!$B$9+((C1035=TRUE)*(F1035-Calc!F19))+B1048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1027*(MIN(100,(Inputs!$B$9+((C1035=TRUE)*(F1035-Calc!F19))+B1048+(ArtifactsInput!$M$24-ArtifactsInput!$M$24)*CHOOSE(ArtifactsInput!$N$24+1,10,12,14,16,18,20)+(IF(AND(ArtifactsInput!$M$42,((Inputs!$B$9+((C1035=TRUE)*(F1035-Calc!F19))+B1048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027">
        <f>IF(C1027,(H1027*N1027*IF(AND(Inputs!$B$38&lt;&gt;"pvp",Inputs!$B$43&gt;0),((Skills!G11*((R1027-1)*IF(Skills!H11&gt;0,Skills!I11/Skills!H11,1)+IF(Skills!H11&gt;0,MIN(Skills!I11,MAX(0,MAX(0,Inputs!$B$43-B1055)-((R1027-1)*IF(Inputs!$B$38="pvp",15,MAX(0.1,Skills!D11-IF(Skills!E11=TRUE,Inputs!$B$32,0))))))/Skills!H11,1)))/Inputs!$B$43),G1027*Q1027))*IF(Inputs!$B$38="pvp",1,(1+(Inputs!$B$21+Skills!Q11+(IF(ArtifactsInput!$M$33,CHOOSE(ArtifactsInput!$N$33+1,30,36,42,48,54,60),0))+(IF(AND(ArtifactsInput!$M$35,Inputs!$B$4&lt;&gt;"Chapter Hunt"),CHOOSE(ArtifactsInput!$N$35+1,15,18,21,24,27,30)*(1-EXP(-(0.2*B1050)*5)),0)+IF(AND(ArtifactsInput!$M$22,Inputs!$B$4&lt;&gt;"Chapter Hunt"),CHOOSE(ArtifactsInput!$N$22+1,10,12,14,16,18,20)*((0*(((0.15*B1050*5))^0/1)+1*(((0.15*B1050*5))^1/1)+2*(((0.15*B1050*5))^2/2)+3*(((0.15*B1050*5))^3/6)+4*(((0.15*B1050*5))^4/24)+5*(((0.15*B1050*5))^5/120))/((((0.15*B1050*5))^0/1)+(((0.15*B1050*5))^1/1)+(((0.15*B1050*5))^2/2)+(((0.15*B1050*5))^3/6)+(((0.15*B1050*5))^4/24)+(((0.15*B1050*5))^5/120))),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028">
      <c r="A1028">
        <f>Skills!A12</f>
        <v/>
      </c>
      <c r="B1028">
        <f>Skills!B12</f>
        <v/>
      </c>
      <c r="C1028">
        <f>Inputs!$B$3&gt;=60</f>
        <v/>
      </c>
      <c r="D1028">
        <f>IF(Skills!C12=1,60+Inputs!$B$25+Inputs!$B$29,IF(Skills!C12=2,90+Inputs!$B$26+Inputs!$B$29,IF(Skills!C12=3,120+Inputs!$B$27+Inputs!$B$29,MAX(0,(Inputs!$B$3-100)*3)+Inputs!$B$28+Inputs!$B$29)))</f>
        <v/>
      </c>
      <c r="E1028">
        <f>INDEX(FactorTable!$B$2:$Y$301, MATCH(ROUND(MIN(300,MAX(1,D1028)),0), FactorTable!$A$2:$A$301,0), Skills!M12+1)</f>
        <v/>
      </c>
      <c r="F1028">
        <f>IF(Skills!N12=TRUE,(Skills!L12/10)*(E1028/1000),Skills!L12/10)+Skills!O12</f>
        <v/>
      </c>
      <c r="G1028">
        <f>Skills!G12*IF(Skills!H12&gt;0,Skills!I12/Skills!H12,1)</f>
        <v/>
      </c>
      <c r="H1028">
        <f>1-(1-Skills!J12/100)^Skills!K12</f>
        <v/>
      </c>
      <c r="I1028" t="inlineStr">
        <is>
          <t>1</t>
        </is>
      </c>
      <c r="J1028" t="inlineStr"/>
      <c r="K1028" t="inlineStr"/>
      <c r="L1028" t="inlineStr"/>
      <c r="M1028" t="inlineStr"/>
      <c r="N1028" t="inlineStr"/>
      <c r="O1028">
        <f>(1-Summary!$B$11)*T1028+Summary!$B$11*V1028</f>
        <v/>
      </c>
      <c r="P1028">
        <f>IF(B1058=0,0,O1028/B1058)</f>
        <v/>
      </c>
      <c r="Q1028" t="n">
        <v>0</v>
      </c>
      <c r="R1028" t="n">
        <v>0</v>
      </c>
      <c r="S1028" t="n">
        <v>0</v>
      </c>
      <c r="T1028" t="n">
        <v>0</v>
      </c>
      <c r="V1028" t="n">
        <v>0</v>
      </c>
    </row>
    <row r="1029">
      <c r="A1029">
        <f>Skills!A13</f>
        <v/>
      </c>
      <c r="B1029">
        <f>Skills!B13</f>
        <v/>
      </c>
      <c r="C1029">
        <f>Inputs!$B$3&gt;=74</f>
        <v/>
      </c>
      <c r="D1029">
        <f>IF(Skills!C13=1,60+Inputs!$B$25+Inputs!$B$29,IF(Skills!C13=2,90+Inputs!$B$26+Inputs!$B$29,IF(Skills!C13=3,120+Inputs!$B$27+Inputs!$B$29,MAX(0,(Inputs!$B$3-100)*3)+Inputs!$B$28+Inputs!$B$29)))</f>
        <v/>
      </c>
      <c r="E1029">
        <f>INDEX(FactorTable!$B$2:$Y$301, MATCH(ROUND(MIN(300,MAX(1,D1029)),0), FactorTable!$A$2:$A$301,0), Skills!M13+1)</f>
        <v/>
      </c>
      <c r="F1029">
        <f>IF(Skills!N13=TRUE,(Skills!L13/10)*(E1029/1000),Skills!L13/10)+Skills!O13</f>
        <v/>
      </c>
      <c r="G1029">
        <f>Skills!G13*IF(Skills!H13&gt;0,Skills!I13/Skills!H13,1)</f>
        <v/>
      </c>
      <c r="H1029">
        <f>1-(1-Skills!J13/100)^Skills!K13</f>
        <v/>
      </c>
      <c r="I1029" t="inlineStr">
        <is>
          <t>1</t>
        </is>
      </c>
      <c r="J1029" t="inlineStr"/>
      <c r="K1029" t="inlineStr"/>
      <c r="L1029" t="inlineStr"/>
      <c r="M1029" t="inlineStr"/>
      <c r="N1029" t="inlineStr"/>
      <c r="O1029">
        <f>(1-Summary!$B$11)*T1029+Summary!$B$11*V1029</f>
        <v/>
      </c>
      <c r="P1029">
        <f>IF(B1058=0,0,O1029/B1058)</f>
        <v/>
      </c>
      <c r="Q1029" t="n">
        <v>0</v>
      </c>
      <c r="R1029" t="n">
        <v>0</v>
      </c>
      <c r="S1029" t="n">
        <v>0</v>
      </c>
      <c r="T1029" t="n">
        <v>0</v>
      </c>
      <c r="V1029" t="n">
        <v>0</v>
      </c>
    </row>
    <row r="1030">
      <c r="A1030">
        <f>Skills!A14</f>
        <v/>
      </c>
      <c r="B1030">
        <f>Skills!B14</f>
        <v/>
      </c>
      <c r="C1030">
        <f>Inputs!$B$3&gt;=74</f>
        <v/>
      </c>
      <c r="D1030">
        <f>IF(Skills!C14=1,60+Inputs!$B$25+Inputs!$B$29,IF(Skills!C14=2,90+Inputs!$B$26+Inputs!$B$29,IF(Skills!C14=3,120+Inputs!$B$27+Inputs!$B$29,MAX(0,(Inputs!$B$3-100)*3)+Inputs!$B$28+Inputs!$B$29)))</f>
        <v/>
      </c>
      <c r="E1030">
        <f>INDEX(FactorTable!$B$2:$Y$301, MATCH(ROUND(MIN(300,MAX(1,D1030)),0), FactorTable!$A$2:$A$301,0), Skills!M14+1)</f>
        <v/>
      </c>
      <c r="F1030">
        <f>IF(Skills!N14=TRUE,(Skills!L14/10)*(E1030/1000),Skills!L14/10)+Skills!O14</f>
        <v/>
      </c>
      <c r="G1030">
        <f>Skills!G14*IF(Skills!H14&gt;0,Skills!I14/Skills!H14,1)</f>
        <v/>
      </c>
      <c r="H1030">
        <f>1-(1-Skills!J14/100)^Skills!K14</f>
        <v/>
      </c>
      <c r="I1030" t="inlineStr">
        <is>
          <t>1</t>
        </is>
      </c>
      <c r="J1030" t="inlineStr"/>
      <c r="K1030" t="inlineStr"/>
      <c r="L1030" t="inlineStr"/>
      <c r="M1030" t="inlineStr"/>
      <c r="N1030" t="inlineStr"/>
      <c r="O1030">
        <f>(1-Summary!$B$11)*T1030+Summary!$B$11*V1030</f>
        <v/>
      </c>
      <c r="P1030">
        <f>IF(B1058=0,0,O1030/B1058)</f>
        <v/>
      </c>
      <c r="Q1030" t="n">
        <v>0</v>
      </c>
      <c r="R1030" t="n">
        <v>0</v>
      </c>
      <c r="S1030" t="n">
        <v>0</v>
      </c>
      <c r="T1030" t="n">
        <v>0</v>
      </c>
      <c r="V1030" t="n">
        <v>0</v>
      </c>
    </row>
    <row r="1031">
      <c r="A1031">
        <f>Skills!A15</f>
        <v/>
      </c>
      <c r="B1031">
        <f>Skills!B15</f>
        <v/>
      </c>
      <c r="C1031">
        <f>Inputs!$B$3&gt;=117</f>
        <v/>
      </c>
      <c r="D1031">
        <f>IF(Skills!C15=1,60+Inputs!$B$25+Inputs!$B$29,IF(Skills!C15=2,90+Inputs!$B$26+Inputs!$B$29,IF(Skills!C15=3,120+Inputs!$B$27+Inputs!$B$29,MAX(0,(Inputs!$B$3-100)*3)+Inputs!$B$28+Inputs!$B$29)))</f>
        <v/>
      </c>
      <c r="E1031">
        <f>INDEX(FactorTable!$B$2:$Y$301, MATCH(ROUND(MIN(300,MAX(1,D1031)),0), FactorTable!$A$2:$A$301,0), Skills!M15+1)</f>
        <v/>
      </c>
      <c r="F1031">
        <f>IF(Skills!N15=TRUE,(Skills!L15/10)*(E1031/1000),Skills!L15/10)+Skills!O15</f>
        <v/>
      </c>
      <c r="G1031">
        <f>Skills!G15*IF(Skills!H15&gt;0,Skills!I15/Skills!H15,1)</f>
        <v/>
      </c>
      <c r="H1031">
        <f>1-(1-Skills!J15/100)^Skills!K15</f>
        <v/>
      </c>
      <c r="I1031" t="inlineStr">
        <is>
          <t>1</t>
        </is>
      </c>
      <c r="J1031" t="inlineStr"/>
      <c r="K1031" t="inlineStr"/>
      <c r="L1031" t="inlineStr"/>
      <c r="M1031" t="inlineStr"/>
      <c r="N1031" t="inlineStr"/>
      <c r="O1031">
        <f>(1-Summary!$B$11)*T1031+Summary!$B$11*V1031</f>
        <v/>
      </c>
      <c r="P1031">
        <f>IF(B1058=0,0,O1031/B1058)</f>
        <v/>
      </c>
      <c r="Q1031">
        <f>IFERROR(1/IF(Inputs!$B$38="pvp",15,MAX(0.1,Skills!D15-IF(Skills!E15=TRUE,Inputs!$B$32,0))),0)</f>
        <v/>
      </c>
      <c r="R1031">
        <f>IF(AND(Inputs!$B$38&lt;&gt;"pvp",Inputs!$B$43&gt;0),IF(Inputs!$B$43&lt;=0,0,(INT(Inputs!$B$43/IF(Inputs!$B$38="pvp",15,MAX(0.1,Skills!D15-IF(Skills!E15=TRUE,Inputs!$B$32,0))))+1)),0)</f>
        <v/>
      </c>
      <c r="S1031" t="n">
        <v>0</v>
      </c>
      <c r="T1031" t="n">
        <v>0</v>
      </c>
      <c r="V1031" t="n">
        <v>0</v>
      </c>
    </row>
    <row r="1032">
      <c r="A1032">
        <f>Skills!A16</f>
        <v/>
      </c>
      <c r="B1032">
        <f>Skills!B16</f>
        <v/>
      </c>
      <c r="C1032">
        <f>Inputs!$B$3&gt;=115</f>
        <v/>
      </c>
      <c r="D1032">
        <f>IF(Skills!C16=1,60+Inputs!$B$25+Inputs!$B$29,IF(Skills!C16=2,90+Inputs!$B$26+Inputs!$B$29,IF(Skills!C16=3,120+Inputs!$B$27+Inputs!$B$29,MAX(0,(Inputs!$B$3-100)*3)+Inputs!$B$28+Inputs!$B$29)))</f>
        <v/>
      </c>
      <c r="E1032">
        <f>INDEX(FactorTable!$B$2:$Y$301, MATCH(ROUND(MIN(300,MAX(1,D1032)),0), FactorTable!$A$2:$A$301,0), Skills!M16+1)</f>
        <v/>
      </c>
      <c r="F1032">
        <f>IF(Skills!N16=TRUE,(Skills!L16/10)*(E1032/1000),Skills!L16/10)+Skills!O16</f>
        <v/>
      </c>
      <c r="G1032">
        <f>Skills!G16*IF(Skills!H16&gt;0,Skills!I16/Skills!H16,1)</f>
        <v/>
      </c>
      <c r="H1032">
        <f>1-(1-Skills!J16/100)^Skills!K16</f>
        <v/>
      </c>
      <c r="I1032" t="inlineStr">
        <is>
          <t>1</t>
        </is>
      </c>
      <c r="J1032" t="inlineStr"/>
      <c r="K1032" t="inlineStr"/>
      <c r="L1032" t="inlineStr"/>
      <c r="M1032" t="inlineStr"/>
      <c r="N1032" t="inlineStr"/>
      <c r="O1032">
        <f>(1-Summary!$B$11)*T1032+Summary!$B$11*V1032</f>
        <v/>
      </c>
      <c r="P1032">
        <f>IF(B1058=0,0,O1032/B1058)</f>
        <v/>
      </c>
      <c r="Q1032">
        <f>IFERROR(1/IF(Inputs!$B$38="pvp",15,MAX(0.1,Skills!D16-IF(Skills!E16=TRUE,Inputs!$B$32,0))),0)</f>
        <v/>
      </c>
      <c r="R1032">
        <f>IF(AND(Inputs!$B$38&lt;&gt;"pvp",Inputs!$B$43&gt;0),IF(Inputs!$B$43&lt;=0,0,(INT(Inputs!$B$43/IF(Inputs!$B$38="pvp",15,MAX(0.1,Skills!D16-IF(Skills!E16=TRUE,Inputs!$B$32,0))))+1)),0)</f>
        <v/>
      </c>
      <c r="S1032" t="n">
        <v>0</v>
      </c>
      <c r="T1032" t="n">
        <v>0</v>
      </c>
      <c r="V1032" t="n">
        <v>0</v>
      </c>
    </row>
    <row r="1033">
      <c r="A1033">
        <f>Skills!A17</f>
        <v/>
      </c>
      <c r="B1033">
        <f>Skills!B17</f>
        <v/>
      </c>
      <c r="C1033">
        <f>Inputs!$B$3&gt;=72</f>
        <v/>
      </c>
      <c r="D1033">
        <f>IF(Skills!C17=1,60+Inputs!$B$25+Inputs!$B$29,IF(Skills!C17=2,90+Inputs!$B$26+Inputs!$B$29,IF(Skills!C17=3,120+Inputs!$B$27+Inputs!$B$29,MAX(0,(Inputs!$B$3-100)*3)+Inputs!$B$28+Inputs!$B$29)))</f>
        <v/>
      </c>
      <c r="E1033">
        <f>INDEX(FactorTable!$B$2:$Y$301, MATCH(ROUND(MIN(300,MAX(1,D1033)),0), FactorTable!$A$2:$A$301,0), Skills!M17+1)</f>
        <v/>
      </c>
      <c r="F1033">
        <f>IF(Skills!N17=TRUE,(Skills!L17/10)*(E1033/1000),Skills!L17/10)+Skills!O17</f>
        <v/>
      </c>
      <c r="G1033">
        <f>Skills!G17*IF(Skills!H17&gt;0,Skills!I17/Skills!H17,1)</f>
        <v/>
      </c>
      <c r="H1033">
        <f>1-(1-Skills!J17/100)^Skills!K17</f>
        <v/>
      </c>
      <c r="I1033" t="inlineStr">
        <is>
          <t>1</t>
        </is>
      </c>
      <c r="J1033" t="inlineStr"/>
      <c r="K1033" t="inlineStr"/>
      <c r="L1033" t="inlineStr"/>
      <c r="M1033" t="inlineStr"/>
      <c r="N1033" t="inlineStr"/>
      <c r="O1033">
        <f>(1-Summary!$B$11)*T1033+Summary!$B$11*V1033</f>
        <v/>
      </c>
      <c r="P1033">
        <f>IF(B1058=0,0,O1033/B1058)</f>
        <v/>
      </c>
      <c r="Q1033" t="n">
        <v>0</v>
      </c>
      <c r="R1033" t="n">
        <v>0</v>
      </c>
      <c r="S1033" t="n">
        <v>0</v>
      </c>
      <c r="T1033" t="n">
        <v>0</v>
      </c>
      <c r="V1033" t="n">
        <v>0</v>
      </c>
    </row>
    <row r="1034">
      <c r="A1034">
        <f>Skills!A18</f>
        <v/>
      </c>
      <c r="B1034">
        <f>Skills!B18</f>
        <v/>
      </c>
      <c r="C1034">
        <f>TRUE</f>
        <v/>
      </c>
      <c r="D1034">
        <f>IF(Skills!C18=1,60+Inputs!$B$25+Inputs!$B$29,IF(Skills!C18=2,90+Inputs!$B$26+Inputs!$B$29,IF(Skills!C18=3,120+Inputs!$B$27+Inputs!$B$29,MAX(0,(Inputs!$B$3-100)*3)+Inputs!$B$28+Inputs!$B$29)))</f>
        <v/>
      </c>
      <c r="E1034">
        <f>INDEX(FactorTable!$B$2:$Y$301, MATCH(ROUND(MIN(300,MAX(1,D1034)),0), FactorTable!$A$2:$A$301,0), Skills!M18+1)</f>
        <v/>
      </c>
      <c r="F1034">
        <f>IF(Skills!N18=TRUE,(Skills!L18/10)*(E1034/1000),Skills!L18/10)+Skills!O18</f>
        <v/>
      </c>
      <c r="G1034">
        <f>Skills!G18*IF(Skills!H18&gt;0,Skills!I18/Skills!H18,1)</f>
        <v/>
      </c>
      <c r="H1034">
        <f>1-(1-Skills!J18/100)^Skills!K18</f>
        <v/>
      </c>
      <c r="I1034" t="inlineStr">
        <is>
          <t>1</t>
        </is>
      </c>
      <c r="J1034" t="inlineStr"/>
      <c r="K1034" t="inlineStr"/>
      <c r="L1034" t="inlineStr"/>
      <c r="M1034" t="inlineStr"/>
      <c r="N1034" t="inlineStr"/>
      <c r="O1034">
        <f>(1-Summary!$B$11)*T1034+Summary!$B$11*V1034</f>
        <v/>
      </c>
      <c r="P1034">
        <f>IF(B1058=0,0,O1034/B1058)</f>
        <v/>
      </c>
      <c r="Q1034">
        <f>IFERROR(1/IF(Inputs!$B$38="pvp",15,MAX(0.1,Skills!D18-IF(Skills!E18=TRUE,Inputs!$B$32,0))),0)</f>
        <v/>
      </c>
      <c r="R1034">
        <f>IF(AND(Inputs!$B$38&lt;&gt;"pvp",Inputs!$B$43&gt;0),IF(Inputs!$B$43&lt;=0,0,(INT(Inputs!$B$43/IF(Inputs!$B$38="pvp",15,MAX(0.1,Skills!D18-IF(Skills!E18=TRUE,Inputs!$B$32,0))))+1)),0)</f>
        <v/>
      </c>
      <c r="S1034" t="n">
        <v>0</v>
      </c>
      <c r="T1034" t="n">
        <v>0</v>
      </c>
      <c r="V1034" t="n">
        <v>0</v>
      </c>
    </row>
    <row r="1035">
      <c r="A1035">
        <f>Skills!A19</f>
        <v/>
      </c>
      <c r="B1035">
        <f>Skills!B19</f>
        <v/>
      </c>
      <c r="C1035">
        <f>Inputs!$B$3&gt;=15</f>
        <v/>
      </c>
      <c r="D1035">
        <f>IF(Skills!C19=1,60+Inputs!$B$25+Inputs!$B$29,IF(Skills!C19=2,90+Inputs!$B$26+Inputs!$B$29,IF(Skills!C19=3,120+Inputs!$B$27+Inputs!$B$29,MAX(0,(Inputs!$B$3-100)*3)+Inputs!$B$28+Inputs!$B$29)))</f>
        <v/>
      </c>
      <c r="E1035">
        <f>INDEX(FactorTable!$B$2:$Y$301, MATCH(ROUND(MIN(300,MAX(1,D1035)),0), FactorTable!$A$2:$A$301,0), Skills!M19+1)</f>
        <v/>
      </c>
      <c r="F1035">
        <f>IF(Skills!N19=TRUE,(Skills!L19/10)*(E1035/1000),Skills!L19/10)+Skills!O19</f>
        <v/>
      </c>
      <c r="G1035">
        <f>Skills!G19*IF(Skills!H19&gt;0,Skills!I19/Skills!H19,1)</f>
        <v/>
      </c>
      <c r="H1035">
        <f>1-(1-Skills!J19/100)^Skills!K19</f>
        <v/>
      </c>
      <c r="I1035" t="inlineStr">
        <is>
          <t>1</t>
        </is>
      </c>
      <c r="J1035" t="inlineStr"/>
      <c r="K1035" t="inlineStr"/>
      <c r="L1035" t="inlineStr"/>
      <c r="M1035" t="inlineStr"/>
      <c r="N1035" t="inlineStr"/>
      <c r="O1035">
        <f>(1-Summary!$B$11)*T1035+Summary!$B$11*V1035</f>
        <v/>
      </c>
      <c r="P1035">
        <f>IF(B1058=0,0,O1035/B1058)</f>
        <v/>
      </c>
      <c r="Q1035" t="n">
        <v>0</v>
      </c>
      <c r="R1035" t="n">
        <v>0</v>
      </c>
      <c r="S1035" t="n">
        <v>0</v>
      </c>
      <c r="T1035" t="n">
        <v>0</v>
      </c>
      <c r="V1035" t="n">
        <v>0</v>
      </c>
    </row>
    <row r="1036">
      <c r="A1036">
        <f>Skills!A20</f>
        <v/>
      </c>
      <c r="B1036">
        <f>Skills!B20</f>
        <v/>
      </c>
      <c r="C1036">
        <f>Inputs!$B$3&gt;=10</f>
        <v/>
      </c>
      <c r="D1036">
        <f>IF(Skills!C20=1,60+Inputs!$B$25+Inputs!$B$29,IF(Skills!C20=2,90+Inputs!$B$26+Inputs!$B$29,IF(Skills!C20=3,120+Inputs!$B$27+Inputs!$B$29,MAX(0,(Inputs!$B$3-100)*3)+Inputs!$B$28+Inputs!$B$29)))</f>
        <v/>
      </c>
      <c r="E1036">
        <f>INDEX(FactorTable!$B$2:$Y$301, MATCH(ROUND(MIN(300,MAX(1,D1036)),0), FactorTable!$A$2:$A$301,0), Skills!M20+1)</f>
        <v/>
      </c>
      <c r="F1036">
        <f>IF(Skills!N20=TRUE,(Skills!L20/10)*(E1036/1000),Skills!L20/10)+Skills!O20</f>
        <v/>
      </c>
      <c r="G1036">
        <f>Skills!G20*IF(Skills!H20&gt;0,Skills!I20/Skills!H20,1)</f>
        <v/>
      </c>
      <c r="H1036">
        <f>1-(1-Skills!J20/100)^Skills!K20</f>
        <v/>
      </c>
      <c r="I1036" t="inlineStr">
        <is>
          <t>1</t>
        </is>
      </c>
      <c r="J1036" t="inlineStr"/>
      <c r="K1036" t="inlineStr"/>
      <c r="L1036" t="inlineStr"/>
      <c r="M1036" t="inlineStr"/>
      <c r="N1036" t="inlineStr"/>
      <c r="O1036">
        <f>(1-Summary!$B$11)*T1036+Summary!$B$11*V1036</f>
        <v/>
      </c>
      <c r="P1036">
        <f>IF(B1058=0,0,O1036/B1058)</f>
        <v/>
      </c>
      <c r="Q1036" t="n">
        <v>0</v>
      </c>
      <c r="R1036" t="n">
        <v>0</v>
      </c>
      <c r="S1036" t="n">
        <v>0</v>
      </c>
      <c r="T1036" t="n">
        <v>0</v>
      </c>
      <c r="V1036" t="n">
        <v>0</v>
      </c>
    </row>
    <row r="1037">
      <c r="A1037">
        <f>Skills!A21</f>
        <v/>
      </c>
      <c r="B1037">
        <f>Skills!B21</f>
        <v/>
      </c>
      <c r="C1037">
        <f>Inputs!$B$3&gt;=33</f>
        <v/>
      </c>
      <c r="D1037">
        <f>IF(Skills!C21=1,60+Inputs!$B$25+Inputs!$B$29,IF(Skills!C21=2,90+Inputs!$B$26+Inputs!$B$29,IF(Skills!C21=3,120+Inputs!$B$27+Inputs!$B$29,MAX(0,(Inputs!$B$3-100)*3)+Inputs!$B$28+Inputs!$B$29)))</f>
        <v/>
      </c>
      <c r="E1037">
        <f>INDEX(FactorTable!$B$2:$Y$301, MATCH(ROUND(MIN(300,MAX(1,D1037)),0), FactorTable!$A$2:$A$301,0), Skills!M21+1)</f>
        <v/>
      </c>
      <c r="F1037">
        <f>IF(Skills!N21=TRUE,(Skills!L21/10)*(E1037/1000),Skills!L21/10)+Skills!O21</f>
        <v/>
      </c>
      <c r="G1037">
        <f>Skills!G21*IF(Skills!H21&gt;0,Skills!I21/Skills!H21,1)</f>
        <v/>
      </c>
      <c r="H1037">
        <f>1-(1-Skills!J21/100)^Skills!K21</f>
        <v/>
      </c>
      <c r="I1037" t="inlineStr">
        <is>
          <t>1</t>
        </is>
      </c>
      <c r="J1037" t="inlineStr"/>
      <c r="K1037" t="inlineStr"/>
      <c r="L1037" t="inlineStr"/>
      <c r="M1037" t="inlineStr"/>
      <c r="N1037" t="inlineStr"/>
      <c r="O1037">
        <f>(1-Summary!$B$11)*T1037+Summary!$B$11*V1037</f>
        <v/>
      </c>
      <c r="P1037">
        <f>IF(B1058=0,0,O1037/B1058)</f>
        <v/>
      </c>
      <c r="Q1037" t="n">
        <v>0</v>
      </c>
      <c r="R1037" t="n">
        <v>0</v>
      </c>
      <c r="S1037" t="n">
        <v>0</v>
      </c>
      <c r="T1037" t="n">
        <v>0</v>
      </c>
      <c r="V1037" t="n">
        <v>0</v>
      </c>
    </row>
    <row r="1038">
      <c r="A1038">
        <f>Skills!A22</f>
        <v/>
      </c>
      <c r="B1038">
        <f>Skills!B22</f>
        <v/>
      </c>
      <c r="C1038">
        <f>Inputs!$B$3&gt;=38</f>
        <v/>
      </c>
      <c r="D1038">
        <f>IF(Skills!C22=1,60+Inputs!$B$25+Inputs!$B$29,IF(Skills!C22=2,90+Inputs!$B$26+Inputs!$B$29,IF(Skills!C22=3,120+Inputs!$B$27+Inputs!$B$29,MAX(0,(Inputs!$B$3-100)*3)+Inputs!$B$28+Inputs!$B$29)))</f>
        <v/>
      </c>
      <c r="E1038">
        <f>INDEX(FactorTable!$B$2:$Y$301, MATCH(ROUND(MIN(300,MAX(1,D1038)),0), FactorTable!$A$2:$A$301,0), Skills!M22+1)</f>
        <v/>
      </c>
      <c r="F1038">
        <f>IF(Skills!N22=TRUE,(Skills!L22/10)*(E1038/1000),Skills!L22/10)+Skills!O22</f>
        <v/>
      </c>
      <c r="G1038">
        <f>Skills!G22*IF(Skills!H22&gt;0,Skills!I22/Skills!H22,1)</f>
        <v/>
      </c>
      <c r="H1038">
        <f>1-(1-Skills!J22/100)^Skills!K22</f>
        <v/>
      </c>
      <c r="I1038" t="inlineStr">
        <is>
          <t>1</t>
        </is>
      </c>
      <c r="J1038" t="inlineStr"/>
      <c r="K1038" t="inlineStr"/>
      <c r="L1038" t="inlineStr"/>
      <c r="M1038" t="inlineStr"/>
      <c r="N1038" t="inlineStr"/>
      <c r="O1038">
        <f>(1-Summary!$B$11)*T1038+Summary!$B$11*V1038</f>
        <v/>
      </c>
      <c r="P1038">
        <f>IF(B1058=0,0,O1038/B1058)</f>
        <v/>
      </c>
      <c r="Q1038" t="n">
        <v>0</v>
      </c>
      <c r="R1038" t="n">
        <v>0</v>
      </c>
      <c r="S1038" t="n">
        <v>0</v>
      </c>
      <c r="T1038" t="n">
        <v>0</v>
      </c>
      <c r="V1038" t="n">
        <v>0</v>
      </c>
    </row>
    <row r="1039">
      <c r="A1039">
        <f>Skills!A23</f>
        <v/>
      </c>
      <c r="B1039">
        <f>Skills!B23</f>
        <v/>
      </c>
      <c r="C1039">
        <f>Inputs!$B$3&gt;=43</f>
        <v/>
      </c>
      <c r="D1039">
        <f>IF(Skills!C23=1,60+Inputs!$B$25+Inputs!$B$29,IF(Skills!C23=2,90+Inputs!$B$26+Inputs!$B$29,IF(Skills!C23=3,120+Inputs!$B$27+Inputs!$B$29,MAX(0,(Inputs!$B$3-100)*3)+Inputs!$B$28+Inputs!$B$29)))</f>
        <v/>
      </c>
      <c r="E1039">
        <f>INDEX(FactorTable!$B$2:$Y$301, MATCH(ROUND(MIN(300,MAX(1,D1039)),0), FactorTable!$A$2:$A$301,0), Skills!M23+1)</f>
        <v/>
      </c>
      <c r="F1039">
        <f>IF(Skills!N23=TRUE,(Skills!L23/10)*(E1039/1000),Skills!L23/10)+Skills!O23</f>
        <v/>
      </c>
      <c r="G1039">
        <f>Skills!G23*IF(Skills!H23&gt;0,Skills!I23/Skills!H23,1)</f>
        <v/>
      </c>
      <c r="H1039">
        <f>1-(1-Skills!J23/100)^Skills!K23</f>
        <v/>
      </c>
      <c r="I1039" t="inlineStr">
        <is>
          <t>1</t>
        </is>
      </c>
      <c r="J1039" t="inlineStr"/>
      <c r="K1039" t="inlineStr"/>
      <c r="L1039" t="inlineStr"/>
      <c r="M1039" t="inlineStr"/>
      <c r="N1039" t="inlineStr"/>
      <c r="O1039">
        <f>(1-Summary!$B$11)*T1039+Summary!$B$11*V1039</f>
        <v/>
      </c>
      <c r="P1039">
        <f>IF(B1058=0,0,O1039/B1058)</f>
        <v/>
      </c>
      <c r="Q1039" t="n">
        <v>0</v>
      </c>
      <c r="R1039" t="n">
        <v>0</v>
      </c>
      <c r="S1039" t="n">
        <v>0</v>
      </c>
      <c r="T1039" t="n">
        <v>0</v>
      </c>
      <c r="V1039" t="n">
        <v>0</v>
      </c>
    </row>
    <row r="1040">
      <c r="A1040">
        <f>Skills!A24</f>
        <v/>
      </c>
      <c r="B1040">
        <f>Skills!B24</f>
        <v/>
      </c>
      <c r="C1040">
        <f>Inputs!$B$3&gt;=75</f>
        <v/>
      </c>
      <c r="D1040">
        <f>IF(Skills!C24=1,60+Inputs!$B$25+Inputs!$B$29,IF(Skills!C24=2,90+Inputs!$B$26+Inputs!$B$29,IF(Skills!C24=3,120+Inputs!$B$27+Inputs!$B$29,MAX(0,(Inputs!$B$3-100)*3)+Inputs!$B$28+Inputs!$B$29)))</f>
        <v/>
      </c>
      <c r="E1040">
        <f>INDEX(FactorTable!$B$2:$Y$301, MATCH(ROUND(MIN(300,MAX(1,D1040)),0), FactorTable!$A$2:$A$301,0), Skills!M24+1)</f>
        <v/>
      </c>
      <c r="F1040">
        <f>IF(Skills!N24=TRUE,(Skills!L24/10)*(E1040/1000),Skills!L24/10)+Skills!O24</f>
        <v/>
      </c>
      <c r="G1040">
        <f>Skills!G24*IF(Skills!H24&gt;0,Skills!I24/Skills!H24,1)</f>
        <v/>
      </c>
      <c r="H1040">
        <f>1-(1-Skills!J24/100)^Skills!K24</f>
        <v/>
      </c>
      <c r="I1040" t="inlineStr">
        <is>
          <t>1</t>
        </is>
      </c>
      <c r="J1040" t="inlineStr"/>
      <c r="K1040" t="inlineStr"/>
      <c r="L1040" t="inlineStr"/>
      <c r="M1040" t="inlineStr"/>
      <c r="N1040" t="inlineStr"/>
      <c r="O1040">
        <f>(1-Summary!$B$11)*T1040+Summary!$B$11*V1040</f>
        <v/>
      </c>
      <c r="P1040">
        <f>IF(B1058=0,0,O1040/B1058)</f>
        <v/>
      </c>
      <c r="Q1040" t="n">
        <v>0</v>
      </c>
      <c r="R1040" t="n">
        <v>0</v>
      </c>
      <c r="S1040" t="n">
        <v>0</v>
      </c>
      <c r="T1040" t="n">
        <v>0</v>
      </c>
      <c r="V1040" t="n">
        <v>0</v>
      </c>
    </row>
    <row r="1041">
      <c r="A1041">
        <f>Skills!A25</f>
        <v/>
      </c>
      <c r="B1041">
        <f>Skills!B25</f>
        <v/>
      </c>
      <c r="C1041">
        <f>Inputs!$B$3&gt;=125</f>
        <v/>
      </c>
      <c r="D1041">
        <f>IF(Skills!C25=1,60+Inputs!$B$25+Inputs!$B$29,IF(Skills!C25=2,90+Inputs!$B$26+Inputs!$B$29,IF(Skills!C25=3,120+Inputs!$B$27+Inputs!$B$29,MAX(0,(Inputs!$B$3-100)*3)+Inputs!$B$28+Inputs!$B$29)))</f>
        <v/>
      </c>
      <c r="E1041">
        <f>INDEX(FactorTable!$B$2:$Y$301, MATCH(ROUND(MIN(300,MAX(1,D1041)),0), FactorTable!$A$2:$A$301,0), Skills!M25+1)</f>
        <v/>
      </c>
      <c r="F1041">
        <f>IF(Skills!N25=TRUE,(Skills!L25/10)*(E1041/1000),Skills!L25/10)+Skills!O25</f>
        <v/>
      </c>
      <c r="G1041">
        <f>Skills!G25*IF(Skills!H25&gt;0,Skills!I25/Skills!H25,1)</f>
        <v/>
      </c>
      <c r="H1041">
        <f>1-(1-Skills!J25/100)^Skills!K25</f>
        <v/>
      </c>
      <c r="I1041" t="inlineStr">
        <is>
          <t>1</t>
        </is>
      </c>
      <c r="J1041" t="inlineStr"/>
      <c r="K1041" t="inlineStr"/>
      <c r="L1041" t="inlineStr"/>
      <c r="M1041" t="inlineStr"/>
      <c r="N1041" t="inlineStr"/>
      <c r="O1041">
        <f>(1-Summary!$B$11)*T1041+Summary!$B$11*V1041</f>
        <v/>
      </c>
      <c r="P1041">
        <f>IF(B1058=0,0,O1041/B1058)</f>
        <v/>
      </c>
      <c r="Q1041" t="n">
        <v>0</v>
      </c>
      <c r="R1041" t="n">
        <v>0</v>
      </c>
      <c r="S1041" t="n">
        <v>0</v>
      </c>
      <c r="T1041" t="n">
        <v>0</v>
      </c>
      <c r="V1041" t="n">
        <v>0</v>
      </c>
    </row>
    <row r="1042">
      <c r="A1042">
        <f>Skills!A26</f>
        <v/>
      </c>
      <c r="B1042">
        <f>Skills!B26</f>
        <v/>
      </c>
      <c r="C1042">
        <f>Inputs!$B$3&gt;=125</f>
        <v/>
      </c>
      <c r="D1042">
        <f>IF(Skills!C26=1,60+Inputs!$B$25+Inputs!$B$29,IF(Skills!C26=2,90+Inputs!$B$26+Inputs!$B$29,IF(Skills!C26=3,120+Inputs!$B$27+Inputs!$B$29,MAX(0,(Inputs!$B$3-100)*3)+Inputs!$B$28+Inputs!$B$29)))</f>
        <v/>
      </c>
      <c r="E1042">
        <f>INDEX(FactorTable!$B$2:$Y$301, MATCH(ROUND(MIN(300,MAX(1,D1042)),0), FactorTable!$A$2:$A$301,0), Skills!M26+1)</f>
        <v/>
      </c>
      <c r="F1042">
        <f>IF(Skills!N26=TRUE,(Skills!L26/10)*(E1042/1000),Skills!L26/10)+Skills!O26</f>
        <v/>
      </c>
      <c r="G1042">
        <f>Skills!G26*IF(Skills!H26&gt;0,Skills!I26/Skills!H26,1)</f>
        <v/>
      </c>
      <c r="H1042">
        <f>1-(1-Skills!J26/100)^Skills!K26</f>
        <v/>
      </c>
      <c r="I1042" t="inlineStr">
        <is>
          <t>1</t>
        </is>
      </c>
      <c r="J1042" t="inlineStr"/>
      <c r="K1042" t="inlineStr"/>
      <c r="L1042" t="inlineStr"/>
      <c r="M1042" t="inlineStr"/>
      <c r="N1042" t="inlineStr"/>
      <c r="O1042">
        <f>(1-Summary!$B$11)*T1042+Summary!$B$11*V1042</f>
        <v/>
      </c>
      <c r="P1042">
        <f>IF(B1058=0,0,O1042/B1058)</f>
        <v/>
      </c>
      <c r="Q1042" t="n">
        <v>0</v>
      </c>
      <c r="R1042" t="n">
        <v>0</v>
      </c>
      <c r="S1042" t="n">
        <v>0</v>
      </c>
      <c r="T1042" t="n">
        <v>0</v>
      </c>
      <c r="V1042" t="n">
        <v>0</v>
      </c>
    </row>
    <row r="1043">
      <c r="A1043">
        <f>Skills!A27</f>
        <v/>
      </c>
      <c r="B1043">
        <f>Skills!B27</f>
        <v/>
      </c>
      <c r="C1043">
        <f>Inputs!$B$3&gt;=120</f>
        <v/>
      </c>
      <c r="D1043">
        <f>IF(Skills!C27=1,60+Inputs!$B$25+Inputs!$B$29,IF(Skills!C27=2,90+Inputs!$B$26+Inputs!$B$29,IF(Skills!C27=3,120+Inputs!$B$27+Inputs!$B$29,MAX(0,(Inputs!$B$3-100)*3)+Inputs!$B$28+Inputs!$B$29)))</f>
        <v/>
      </c>
      <c r="E1043">
        <f>INDEX(FactorTable!$B$2:$Y$301, MATCH(ROUND(MIN(300,MAX(1,D1043)),0), FactorTable!$A$2:$A$301,0), Skills!M27+1)</f>
        <v/>
      </c>
      <c r="F1043">
        <f>IF(Skills!N27=TRUE,(Skills!L27/10)*(E1043/1000),Skills!L27/10)+Skills!O27</f>
        <v/>
      </c>
      <c r="G1043">
        <f>Skills!G27*IF(Skills!H27&gt;0,Skills!I27/Skills!H27,1)</f>
        <v/>
      </c>
      <c r="H1043">
        <f>1-(1-Skills!J27/100)^Skills!K27</f>
        <v/>
      </c>
      <c r="I1043" t="inlineStr">
        <is>
          <t>1</t>
        </is>
      </c>
      <c r="J1043" t="inlineStr"/>
      <c r="K1043" t="inlineStr"/>
      <c r="L1043" t="inlineStr"/>
      <c r="M1043" t="inlineStr"/>
      <c r="N1043" t="inlineStr"/>
      <c r="O1043">
        <f>(1-Summary!$B$11)*T1043+Summary!$B$11*V1043</f>
        <v/>
      </c>
      <c r="P1043">
        <f>IF(B1058=0,0,O1043/B1058)</f>
        <v/>
      </c>
      <c r="Q1043" t="n">
        <v>0</v>
      </c>
      <c r="R1043" t="n">
        <v>0</v>
      </c>
      <c r="S1043" t="n">
        <v>0</v>
      </c>
      <c r="T1043" t="n">
        <v>0</v>
      </c>
      <c r="V1043" t="n">
        <v>0</v>
      </c>
    </row>
    <row r="1044">
      <c r="A1044">
        <f>Skills!A28</f>
        <v/>
      </c>
      <c r="B1044">
        <f>Skills!B28</f>
        <v/>
      </c>
      <c r="C1044">
        <f>Inputs!$B$3&gt;=120</f>
        <v/>
      </c>
      <c r="D1044">
        <f>IF(Skills!C28=1,60+Inputs!$B$25+Inputs!$B$29,IF(Skills!C28=2,90+Inputs!$B$26+Inputs!$B$29,IF(Skills!C28=3,120+Inputs!$B$27+Inputs!$B$29,MAX(0,(Inputs!$B$3-100)*3)+Inputs!$B$28+Inputs!$B$29)))</f>
        <v/>
      </c>
      <c r="E1044">
        <f>INDEX(FactorTable!$B$2:$Y$301, MATCH(ROUND(MIN(300,MAX(1,D1044)),0), FactorTable!$A$2:$A$301,0), Skills!M28+1)</f>
        <v/>
      </c>
      <c r="F1044">
        <f>IF(Skills!N28=TRUE,(Skills!L28/10)*(E1044/1000),Skills!L28/10)+Skills!O28</f>
        <v/>
      </c>
      <c r="G1044">
        <f>Skills!G28*IF(Skills!H28&gt;0,Skills!I28/Skills!H28,1)</f>
        <v/>
      </c>
      <c r="H1044">
        <f>1-(1-Skills!J28/100)^Skills!K28</f>
        <v/>
      </c>
      <c r="I1044" t="inlineStr">
        <is>
          <t>1</t>
        </is>
      </c>
      <c r="J1044" t="inlineStr"/>
      <c r="K1044" t="inlineStr"/>
      <c r="L1044" t="inlineStr"/>
      <c r="M1044" t="inlineStr"/>
      <c r="N1044" t="inlineStr"/>
      <c r="O1044">
        <f>(1-Summary!$B$11)*T1044+Summary!$B$11*V1044</f>
        <v/>
      </c>
      <c r="P1044">
        <f>IF(B1058=0,0,O1044/B1058)</f>
        <v/>
      </c>
      <c r="Q1044" t="n">
        <v>0</v>
      </c>
      <c r="R1044" t="n">
        <v>0</v>
      </c>
      <c r="S1044" t="n">
        <v>0</v>
      </c>
      <c r="T1044" t="n">
        <v>0</v>
      </c>
      <c r="V1044" t="n">
        <v>0</v>
      </c>
    </row>
    <row r="1045">
      <c r="A1045">
        <f>Skills!A29</f>
        <v/>
      </c>
      <c r="B1045">
        <f>Skills!B29</f>
        <v/>
      </c>
      <c r="C1045">
        <f>Inputs!$B$3&gt;=45</f>
        <v/>
      </c>
      <c r="D1045">
        <f>IF(Skills!C29=1,60+Inputs!$B$25+Inputs!$B$29,IF(Skills!C29=2,90+Inputs!$B$26+Inputs!$B$29,IF(Skills!C29=3,120+Inputs!$B$27+Inputs!$B$29,MAX(0,(Inputs!$B$3-100)*3)+Inputs!$B$28+Inputs!$B$29)))</f>
        <v/>
      </c>
      <c r="E1045">
        <f>INDEX(FactorTable!$B$2:$Y$301, MATCH(ROUND(MIN(300,MAX(1,D1045)),0), FactorTable!$A$2:$A$301,0), Skills!M29+1)</f>
        <v/>
      </c>
      <c r="F1045">
        <f>IF(Skills!N29=TRUE,(Skills!L29/10)*(E1045/1000),Skills!L29/10)+Skills!O29</f>
        <v/>
      </c>
      <c r="G1045">
        <f>Skills!G29*IF(Skills!H29&gt;0,Skills!I29/Skills!H29,1)</f>
        <v/>
      </c>
      <c r="H1045">
        <f>1-(1-Skills!J29/100)^Skills!K29</f>
        <v/>
      </c>
      <c r="I1045" t="inlineStr">
        <is>
          <t>1</t>
        </is>
      </c>
      <c r="J1045" t="inlineStr"/>
      <c r="K1045" t="inlineStr"/>
      <c r="L1045" t="inlineStr"/>
      <c r="M1045" t="inlineStr"/>
      <c r="N1045" t="inlineStr"/>
      <c r="O1045">
        <f>(1-Summary!$B$11)*T1045+Summary!$B$11*V1045</f>
        <v/>
      </c>
      <c r="P1045">
        <f>IF(B1058=0,0,O1045/B1058)</f>
        <v/>
      </c>
      <c r="Q1045" t="n">
        <v>0</v>
      </c>
      <c r="R1045" t="n">
        <v>0</v>
      </c>
      <c r="S1045" t="n">
        <v>0</v>
      </c>
      <c r="T1045" t="n">
        <v>0</v>
      </c>
      <c r="V1045" t="n">
        <v>0</v>
      </c>
    </row>
    <row r="1047">
      <c r="A1047" t="inlineStr">
        <is>
          <t>Attack% Bucket Multiplier</t>
        </is>
      </c>
      <c r="B1047">
        <f>(1+(((C1029=TRUE)*F1029)+((C1030=TRUE)*IF(Inputs!$B$38="pvp",F1030,(1-Summary!$B$11)*(F1030)+Summary!$B$11*(0)))+((C1031=TRUE)*F1031*IF(AND(Inputs!$B$38&lt;&gt;"pvp",Inputs!$B$43&gt;0),(((R1031-1)*(Skills!T15*(1+Inputs!$B$34/100))+MIN((Skills!T15*(1+Inputs!$B$34/100)),MAX(0,Inputs!$B$43-((R1031-1)*Skills!D15))))/Inputs!$B$43),IF(Inputs!$B$38="pvp",MIN((Skills!T15*(1+Inputs!$B$34/100)),15)/15,(Skills!T15*(1+Inputs!$B$34/100))/Skills!D15)))+((C1028=TRUE)*F1028)+((C1045=TRUE)*(F1045-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1048">
      <c r="A1048" t="inlineStr">
        <is>
          <t>Global Crit Rate Bonus %</t>
        </is>
      </c>
      <c r="B1048">
        <f>(C1032=TRUE)*20*IF(AND(Inputs!$B$38&lt;&gt;"pvp",Inputs!$B$43&gt;0),(((R1032-1)*(Skills!T16*(1+Inputs!$B$34/100))+MIN((Skills!T16*(1+Inputs!$B$34/100)),MAX(0,Inputs!$B$43-((R1032-1)*Skills!D16))))/Inputs!$B$43),IF(Inputs!$B$38="pvp",MIN((Skills!T16*(1+Inputs!$B$34/100)),15)/15,(Skills!T16*(1+Inputs!$B$34/100))/Skills!D16))</f>
        <v/>
      </c>
    </row>
    <row r="1049">
      <c r="A1049" t="inlineStr">
        <is>
          <t>Attack Speed Buff Bonus %</t>
        </is>
      </c>
      <c r="B1049">
        <f>((C1034=TRUE)*F1034*IF(AND(Inputs!$B$38&lt;&gt;"pvp",Inputs!$B$43&gt;0),(((R1034-1)*(Skills!T18*(1+Inputs!$B$34/100))+MIN((Skills!T18*(1+Inputs!$B$34/100)),MAX(0,Inputs!$B$43-((R1034-1)*Skills!D18))))/Inputs!$B$43),IF(Inputs!$B$38="pvp",MIN((Skills!T18*(1+Inputs!$B$34/100)),15)/15,(Skills!T18*(1+Inputs!$B$34/100))/Skills!D18)))</f>
        <v/>
      </c>
    </row>
    <row r="1050">
      <c r="A1050" t="inlineStr">
        <is>
          <t>Actions Per Second</t>
        </is>
      </c>
      <c r="B1050">
        <f>1+MIN(150,150*(1-(1-(Inputs!$B$11+((C1036=TRUE)*(F1036-Calc!F20))+((C1037=TRUE)*(F1037-Calc!F21)))/150)*(1-B1049/150)))/100</f>
        <v/>
      </c>
    </row>
    <row r="1051">
      <c r="A1051" t="inlineStr">
        <is>
          <t>Skill + Buff Cast Rate</t>
        </is>
      </c>
      <c r="B1051">
        <f>IF(AND(Inputs!$B$38&lt;&gt;"pvp",Inputs!$B$43&gt;0),SUMPRODUCT((Skills!E2:E29=TRUE)*(C1018:C1045=TRUE)*R1018:R1045*Skills!F2:F29)/Inputs!$B$43,SUMPRODUCT((Skills!E2:E29=TRUE)*(C1018:C1045=TRUE)*Q1018:Q1045*Skills!F2:F29))</f>
        <v/>
      </c>
    </row>
    <row r="1052">
      <c r="A1052" t="inlineStr">
        <is>
          <t>Empowered Piercing Arrow Casts Per Second</t>
        </is>
      </c>
      <c r="B1052">
        <f>MAX(0,B1050-B1051)</f>
        <v/>
      </c>
    </row>
    <row r="1053">
      <c r="A1053" t="inlineStr">
        <is>
          <t>Global Critical Damage Bonus % (Sharp Eyes)</t>
        </is>
      </c>
      <c r="B1053">
        <f>(C1032=TRUE)*F1032*IF(AND(Inputs!$B$38&lt;&gt;"pvp",Inputs!$B$43&gt;0),(((R1032-1)*(Skills!T16*(1+Inputs!$B$34/100))+MIN((Skills!T16*(1+Inputs!$B$34/100)),MAX(0,Inputs!$B$43-((R1032-1)*Skills!D16))))/Inputs!$B$43),IF(Inputs!$B$38="pvp",MIN((Skills!T16*(1+Inputs!$B$34/100)),15)/15,(Skills!T16*(1+Inputs!$B$34/100))/Skills!D16))</f>
        <v/>
      </c>
    </row>
    <row r="1054">
      <c r="A1054" t="inlineStr">
        <is>
          <t>Global Final Damage Bonus % (Mortal Blow + Last Man Standing conditional half)</t>
        </is>
      </c>
      <c r="B1054">
        <f>(C1033=TRUE)*F1033+((C1042=TRUE)*IF(Inputs!$B$38="pvp",F1042,(1-Summary!$B$11)*(F1042)+Summary!$B$11*(0)))</f>
        <v/>
      </c>
    </row>
    <row r="1055">
      <c r="A1055" t="inlineStr">
        <is>
          <t>Buff-Casting Startup Delay (s, fixed-duration only)</t>
        </is>
      </c>
      <c r="B1055">
        <f>IF(AND(Inputs!$B$38&lt;&gt;"pvp",Inputs!$B$43&gt;0),SUMPRODUCT((Skills!T2:T29&gt;0)*(Skills!E2:E29=TRUE)*(C1018:C1045=TRUE))/B1050,0)</f>
        <v/>
      </c>
    </row>
    <row r="1056">
      <c r="A1056" t="inlineStr">
        <is>
          <t>Boss-Only Total DPS (this block's swept value)</t>
        </is>
      </c>
      <c r="B1056">
        <f>SUM(T1018:T1045)</f>
        <v/>
      </c>
    </row>
    <row r="1057">
      <c r="A1057" t="inlineStr">
        <is>
          <t>Normal-Only Total DPS (this block's swept value)</t>
        </is>
      </c>
      <c r="B1057">
        <f>SUM(V1018:V1045)</f>
        <v/>
      </c>
    </row>
    <row r="1058">
      <c r="A1058" s="6" t="inlineStr">
        <is>
          <t>TOTAL DPS</t>
        </is>
      </c>
      <c r="B1058" s="6">
        <f>SUM(O1018:O1045)</f>
        <v/>
      </c>
    </row>
    <row r="1061">
      <c r="A1061" s="6" t="inlineStr">
        <is>
          <t>Stat: ATTACK %</t>
        </is>
      </c>
    </row>
    <row r="1062">
      <c r="A1062" s="5" t="inlineStr">
        <is>
          <t>Key</t>
        </is>
      </c>
      <c r="B1062" s="5" t="inlineStr">
        <is>
          <t>Name</t>
        </is>
      </c>
      <c r="C1062" s="5" t="inlineStr">
        <is>
          <t>Unlocked</t>
        </is>
      </c>
      <c r="D1062" s="5" t="inlineStr">
        <is>
          <t>InputLevel</t>
        </is>
      </c>
      <c r="E1062" s="5" t="inlineStr">
        <is>
          <t>Factor</t>
        </is>
      </c>
      <c r="F1062" s="5" t="inlineStr">
        <is>
          <t>CoefficientPercent</t>
        </is>
      </c>
      <c r="G1062" s="5" t="inlineStr">
        <is>
          <t>EffectiveHits</t>
        </is>
      </c>
      <c r="H1062" s="5" t="inlineStr">
        <is>
          <t>ProcProbability</t>
        </is>
      </c>
      <c r="I1062" s="5" t="inlineStr">
        <is>
          <t>MapleHeroMultiplier</t>
        </is>
      </c>
      <c r="J1062" s="5" t="inlineStr">
        <is>
          <t>BaseDamage</t>
        </is>
      </c>
      <c r="K1062" s="5" t="inlineStr">
        <is>
          <t>BaseHitDamage</t>
        </is>
      </c>
      <c r="L1062" s="5" t="inlineStr">
        <is>
          <t>NonCritAvg</t>
        </is>
      </c>
      <c r="M1062" s="5" t="inlineStr">
        <is>
          <t>CritAvg</t>
        </is>
      </c>
      <c r="N1062" s="5" t="inlineStr">
        <is>
          <t>ExpectedDamage(perHit)</t>
        </is>
      </c>
      <c r="O1062" s="5" t="inlineStr">
        <is>
          <t>DPS</t>
        </is>
      </c>
      <c r="P1062" s="5" t="inlineStr">
        <is>
          <t>% of Total</t>
        </is>
      </c>
      <c r="Q1062" s="5" t="inlineStr">
        <is>
          <t>InvCooldown</t>
        </is>
      </c>
      <c r="R1062" s="5" t="inlineStr">
        <is>
          <t>CastsInFight</t>
        </is>
      </c>
      <c r="S1062" s="5" t="inlineStr">
        <is>
          <t>HitRate(perSec)</t>
        </is>
      </c>
      <c r="U1062" t="inlineStr">
        <is>
          <t>helpers</t>
        </is>
      </c>
    </row>
    <row r="1063">
      <c r="A1063">
        <f>Skills!A2</f>
        <v/>
      </c>
      <c r="B1063">
        <f>Skills!B2</f>
        <v/>
      </c>
      <c r="C1063">
        <f>Inputs!$B$3&gt;=100</f>
        <v/>
      </c>
      <c r="D1063" t="inlineStr"/>
      <c r="E1063" t="inlineStr"/>
      <c r="F1063">
        <f>U1065+Skills!O2</f>
        <v/>
      </c>
      <c r="G1063">
        <f>Skills!G2*IF(Skills!H2&gt;0,Skills!I2/Skills!H2,1)</f>
        <v/>
      </c>
      <c r="H1063">
        <f>1-(1-Skills!J2/100)^Skills!K2</f>
        <v/>
      </c>
      <c r="I1063" t="inlineStr">
        <is>
          <t>1</t>
        </is>
      </c>
      <c r="J1063">
        <f>((Inputs!$B$6*(1+(Inputs!$B$7+1)/100))+(((Inputs!$B$12*(1+Inputs!$B$13/100))-(Inputs!$B$12*(1+Inputs!$B$13/100)))+0.25*(Inputs!$B$14-Inputs!$B$14))*(1+(Inputs!$B$7+1)/100))*(F1063/100)</f>
        <v/>
      </c>
      <c r="K1063">
        <f>J1063*(1+((Inputs!$B$12*(1+Inputs!$B$13/100))*0.01+Inputs!$B$14*0.0025)/100)*(1+Inputs!$B$15/100)*(1+Inputs!$B$16/100)*(5000/(6000+Inputs!$B$42*(1-(100*(1-(1-(Inputs!$B$19+0)/100)*(1-CHOOSE(ArtifactsInput!$N$40+1,5,6,7,8,9,10)/100)^(ArtifactsInput!$M$40-ArtifactsInput!$M$40)))/100)))*(1+(Inputs!$B$24+((C1085=TRUE)*(F1085-Calc!F24))+((C1086=TRUE)*(F1086-Calc!F25))+B1099)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EMPOWERED_PIERCING_ARROW",Inputs!$B$17+((C1083=TRUE)*(F1083-Calc!F22))+(((IF(AND(ArtifactsInput!$M$42,((Inputs!$B$9+((C1080=TRUE)*(F1080-Calc!F19))+B1093+(ArtifactsInput!$M$24-ArtifactsInput!$M$24)*CHOOSE(ArtifactsInput!$N$24+1,10,12,14,16,18,20)+IF(ArtifactsInput!$M$10,CHOOSE(ArtifactsInput!$N$10+1,15,18,21,24,27,30)*(IF(Inputs!$B$38="pvp",MIN(15,15)/15,IF(AND(Inputs!$B$38&lt;&gt;"pvp",Inputs!$B$43&gt;0),MIN(15,Inputs!$B$43)/(Inputs!$B$43),0))),0)))&gt;=100),MIN(100,((Inputs!$B$9+((C1080=TRUE)*(F1080-Calc!F19))+B1093+(ArtifactsInput!$M$24-ArtifactsInput!$M$24)*CHOOSE(ArtifactsInput!$N$24+1,10,12,14,16,18,20)+IF(ArtifactsInput!$M$10,CHOOSE(ArtifactsInput!$N$10+1,15,18,21,24,27,30)*(IF(Inputs!$B$38="pvp",MIN(15,15)/15,IF(AND(Inputs!$B$38&lt;&gt;"pvp",Inputs!$B$43&gt;0),MIN(15,Inputs!$B$43)/(Inputs!$B$43),0))),0)))-100),0))*CHOOSE(ArtifactsInput!$N$42+1,0.6,0.72,0.84,0.96,1.08,1.2))),Inputs!$B$18+((C1088=TRUE)*(F1088-Calc!F27))+(IF(AND(ArtifactsInput!$M$42,((Inputs!$B$9+((C1080=TRUE)*(F1080-Calc!F19))+B1093+(ArtifactsInput!$M$24-ArtifactsInput!$M$24)*CHOOSE(ArtifactsInput!$N$24+1,10,12,14,16,18,20)+IF(ArtifactsInput!$M$10,CHOOSE(ArtifactsInput!$N$10+1,15,18,21,24,27,30)*(IF(Inputs!$B$38="pvp",MIN(15,15)/15,IF(AND(Inputs!$B$38&lt;&gt;"pvp",Inputs!$B$43&gt;0),MIN(15,Inputs!$B$43)/(Inputs!$B$43),0))),0)))&gt;=100),CHOOSE(ArtifactsInput!$N$42+1,40,48,56,64,72,80),0))))/100)*((1+(((C1074=TRUE)*F1074)+((C1075=TRUE)*IF(Inputs!$B$38="pvp",F1075,(1-Summary!$B$11)*(F1075)+Summary!$B$11*(0)))+((C1076=TRUE)*F1076*IF(AND(Inputs!$B$38&lt;&gt;"pvp",Inputs!$B$43&gt;0),(((R1076-1)*(Skills!T15*(1+Inputs!$B$34/100))+MIN((Skills!T15*(1+Inputs!$B$34/100)),MAX(0,Inputs!$B$43-((R1076-1)*Skills!D15))))/Inputs!$B$43),IF(Inputs!$B$38="pvp",MIN((Skills!T15*(1+Inputs!$B$34/100)),15)/15,(Skills!T15*(1+Inputs!$B$34/100))/Skills!D15)))+((C1073=TRUE)*F1073)+((C1090=TRUE)*(F1090-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1063)</f>
        <v/>
      </c>
      <c r="L1063">
        <f>K1063*(MIN(Inputs!$B$22+((C1084=TRUE)*(F1084-Calc!F23)),(Inputs!$B$23+((C1089=TRUE)*(F1089-Calc!F28))+(IF(ArtifactsInput!$M$15,CHOOSE(ArtifactsInput!$N$15+1,25,30,35,40,45,50)/100*(Inputs!$B$11-Inputs!$B$11),0))))/100+(Inputs!$B$23+((C1089=TRUE)*(F1089-Calc!F28))+(IF(ArtifactsInput!$M$15,CHOOSE(ArtifactsInput!$N$15+1,25,30,35,40,45,50)/100*(Inputs!$B$11-Inputs!$B$11),0)))/100)/2</f>
        <v/>
      </c>
      <c r="M1063">
        <f>L1063*(1+(Inputs!$B$10+0+B1098+(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063">
        <f>L1063*(1-MIN((Inputs!$B$9+((C1080=TRUE)*(F1080-Calc!F19))+B1093+(ArtifactsInput!$M$24-ArtifactsInput!$M$24)*CHOOSE(ArtifactsInput!$N$24+1,10,12,14,16,18,20)+(IF(AND(ArtifactsInput!$M$42,((Inputs!$B$9+((C1080=TRUE)*(F1080-Calc!F19))+B1093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1063*(MIN((Inputs!$B$9+((C1080=TRUE)*(F1080-Calc!F19))+B1093+(ArtifactsInput!$M$24-ArtifactsInput!$M$24)*CHOOSE(ArtifactsInput!$N$24+1,10,12,14,16,18,20)+(IF(AND(ArtifactsInput!$M$42,((Inputs!$B$9+((C1080=TRUE)*(F1080-Calc!F19))+B1093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063">
        <f>(1-Summary!$B$11)*T1063+Summary!$B$11*V1063</f>
        <v/>
      </c>
      <c r="P1063">
        <f>IF(B1103=0,0,O1063/B1103)</f>
        <v/>
      </c>
      <c r="Q1063" t="n">
        <v>0</v>
      </c>
      <c r="R1063" t="n">
        <v>0</v>
      </c>
      <c r="S1063">
        <f>IFERROR((Skills!G2*N1063*B1097)/N1063*IF(Inputs!$B$38="pvp",1,(1-Summary!$B$11)*1+Summary!$B$11*(MIN((6+Inputs!$B$33),Inputs!$B$37))),0)</f>
        <v/>
      </c>
      <c r="T1063">
        <f>IF(C1063,(Skills!G2*N1063*B1097)*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Hunt"),CHOOSE(ArtifactsInput!$N$35+1,15,18,21,24,27,30)*(1-EXP(-(0.2*B1095)*5)),0)+IF(AND(ArtifactsInput!$M$22,Inputs!$B$4&lt;&gt;"Chapter Hunt"),CHOOSE(ArtifactsInput!$N$22+1,10,12,14,16,18,20)*((0*(((0.15*B1095*5))^0/1)+1*(((0.15*B1095*5))^1/1)+2*(((0.15*B1095*5))^2/2)+3*(((0.15*B1095*5))^3/6)+4*(((0.15*B1095*5))^4/24)+5*(((0.15*B1095*5))^5/120))/((((0.15*B1095*5))^0/1)+(((0.15*B1095*5))^1/1)+(((0.15*B1095*5))^2/2)+(((0.15*B1095*5))^3/6)+(((0.15*B1095*5))^4/24)+(((0.15*B1095*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1063*(1-MIN(100,(Inputs!$B$9+((C1080=TRUE)*(F1080-Calc!F19))+B1093+(ArtifactsInput!$M$24-ArtifactsInput!$M$24)*CHOOSE(ArtifactsInput!$N$24+1,10,12,14,16,18,20)+(IF(AND(ArtifactsInput!$M$42,((Inputs!$B$9+((C1080=TRUE)*(F1080-Calc!F19))+B1093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1063*(MIN(100,(Inputs!$B$9+((C1080=TRUE)*(F1080-Calc!F19))+B1093+(ArtifactsInput!$M$24-ArtifactsInput!$M$24)*CHOOSE(ArtifactsInput!$N$24+1,10,12,14,16,18,20)+(IF(AND(ArtifactsInput!$M$42,((Inputs!$B$9+((C1080=TRUE)*(F1080-Calc!F19))+B1093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1063*(1-MIN(100,(Inputs!$B$9+((C1080=TRUE)*(F1080-Calc!F19))+B1093+(ArtifactsInput!$M$24-ArtifactsInput!$M$24)*CHOOSE(ArtifactsInput!$N$24+1,10,12,14,16,18,20)+(IF(AND(ArtifactsInput!$M$42,((Inputs!$B$9+((C1080=TRUE)*(F1080-Calc!F19))+B1093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1063*(MIN(100,(Inputs!$B$9+((C1080=TRUE)*(F1080-Calc!F19))+B1093+(ArtifactsInput!$M$24-ArtifactsInput!$M$24)*CHOOSE(ArtifactsInput!$N$24+1,10,12,14,16,18,20)+(IF(AND(ArtifactsInput!$M$42,((Inputs!$B$9+((C1080=TRUE)*(F1080-Calc!F19))+B1093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063">
        <f>MAX(0,(Inputs!$B$3-100)*3)+Inputs!$B$28+Inputs!$B$29</f>
        <v/>
      </c>
      <c r="V1063">
        <f>IF(C1063,(Skills!G2*N1063*B1097)*IF(Inputs!$B$38="pvp",1,(1+(Inputs!$B$21+Skills!Q2+(IF(ArtifactsInput!$M$33,CHOOSE(ArtifactsInput!$N$33+1,30,36,42,48,54,60),0))+(IF(AND(ArtifactsInput!$M$35,Inputs!$B$4&lt;&gt;"Chapter Hunt"),CHOOSE(ArtifactsInput!$N$35+1,15,18,21,24,27,30)*(1-EXP(-(0.2*B1095)*5)),0)+IF(AND(ArtifactsInput!$M$22,Inputs!$B$4&lt;&gt;"Chapter Hunt"),CHOOSE(ArtifactsInput!$N$22+1,10,12,14,16,18,20)*((0*(((0.15*B1095*5))^0/1)+1*(((0.15*B1095*5))^1/1)+2*(((0.15*B1095*5))^2/2)+3*(((0.15*B1095*5))^3/6)+4*(((0.15*B1095*5))^4/24)+5*(((0.15*B1095*5))^5/120))/((((0.15*B1095*5))^0/1)+(((0.15*B1095*5))^1/1)+(((0.15*B1095*5))^2/2)+(((0.15*B1095*5))^3/6)+(((0.15*B1095*5))^4/24)+(((0.15*B1095*5))^5/120)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064">
      <c r="A1064">
        <f>Skills!A3</f>
        <v/>
      </c>
      <c r="B1064">
        <f>Skills!B3</f>
        <v/>
      </c>
      <c r="C1064">
        <f>Inputs!$B$3&gt;=50</f>
        <v/>
      </c>
      <c r="D1064">
        <f>IF(Skills!C3=1,60+Inputs!$B$25+Inputs!$B$29,IF(Skills!C3=2,90+Inputs!$B$26+Inputs!$B$29,IF(Skills!C3=3,120+Inputs!$B$27+Inputs!$B$29,MAX(0,(Inputs!$B$3-100)*3)+Inputs!$B$28+Inputs!$B$29)))</f>
        <v/>
      </c>
      <c r="E1064">
        <f>INDEX(FactorTable!$B$2:$Y$301, MATCH(ROUND(MIN(300,MAX(1,D1064)),0), FactorTable!$A$2:$A$301,0), Skills!M3+1)</f>
        <v/>
      </c>
      <c r="F1064">
        <f>IF(Skills!N3=TRUE,(Skills!L3/10)*(E1064/1000),Skills!L3/10)+Skills!O3</f>
        <v/>
      </c>
      <c r="G1064" t="inlineStr"/>
      <c r="H1064" t="inlineStr"/>
      <c r="I1064" t="inlineStr">
        <is>
          <t>1</t>
        </is>
      </c>
      <c r="J1064" t="inlineStr"/>
      <c r="K1064" t="inlineStr"/>
      <c r="L1064" t="inlineStr"/>
      <c r="M1064" t="inlineStr"/>
      <c r="N1064" t="inlineStr"/>
      <c r="O1064" t="inlineStr"/>
      <c r="P1064" t="inlineStr"/>
      <c r="Q1064" t="inlineStr"/>
      <c r="R1064" t="inlineStr"/>
      <c r="S1064" t="inlineStr"/>
      <c r="T1064" t="inlineStr"/>
      <c r="U1064">
        <f>INDEX(FactorTable!$B$2:$Y$301, MATCH(ROUND(MIN(300,MAX(1,U1063)),0), FactorTable!$A$2:$A$301,0), 22)</f>
        <v/>
      </c>
      <c r="V1064" t="inlineStr"/>
    </row>
    <row r="1065">
      <c r="A1065">
        <f>Skills!A4</f>
        <v/>
      </c>
      <c r="B1065">
        <f>Skills!B4</f>
        <v/>
      </c>
      <c r="C1065">
        <f>Inputs!$B$3&gt;=105</f>
        <v/>
      </c>
      <c r="D1065">
        <f>IF(Skills!C4=1,60+Inputs!$B$25+Inputs!$B$29,IF(Skills!C4=2,90+Inputs!$B$26+Inputs!$B$29,IF(Skills!C4=3,120+Inputs!$B$27+Inputs!$B$29,MAX(0,(Inputs!$B$3-100)*3)+Inputs!$B$28+Inputs!$B$29)))</f>
        <v/>
      </c>
      <c r="E1065">
        <f>INDEX(FactorTable!$B$2:$Y$301, MATCH(ROUND(MIN(300,MAX(1,D1065)),0), FactorTable!$A$2:$A$301,0), Skills!M4+1)</f>
        <v/>
      </c>
      <c r="F1065">
        <f>IF(Skills!N4=TRUE,(Skills!L4/10)*(E1065/1000),Skills!L4/10)+Skills!O4</f>
        <v/>
      </c>
      <c r="G1065" t="inlineStr"/>
      <c r="H1065" t="inlineStr"/>
      <c r="I1065" t="inlineStr">
        <is>
          <t>1</t>
        </is>
      </c>
      <c r="J1065" t="inlineStr"/>
      <c r="K1065" t="inlineStr"/>
      <c r="L1065" t="inlineStr"/>
      <c r="M1065" t="inlineStr"/>
      <c r="N1065" t="inlineStr"/>
      <c r="O1065" t="inlineStr"/>
      <c r="P1065" t="inlineStr"/>
      <c r="Q1065" t="inlineStr"/>
      <c r="R1065" t="inlineStr"/>
      <c r="S1065" t="inlineStr"/>
      <c r="T1065" t="inlineStr"/>
      <c r="U1065">
        <f>290*U1064/1000</f>
        <v/>
      </c>
      <c r="V1065" t="inlineStr"/>
    </row>
    <row r="1066">
      <c r="A1066">
        <f>Skills!A5</f>
        <v/>
      </c>
      <c r="B1066">
        <f>Skills!B5</f>
        <v/>
      </c>
      <c r="C1066">
        <f>Inputs!$B$3&gt;=35</f>
        <v/>
      </c>
      <c r="D1066">
        <f>IF(Skills!C5=1,60+Inputs!$B$25+Inputs!$B$29,IF(Skills!C5=2,90+Inputs!$B$26+Inputs!$B$29,IF(Skills!C5=3,120+Inputs!$B$27+Inputs!$B$29,MAX(0,(Inputs!$B$3-100)*3)+Inputs!$B$28+Inputs!$B$29)))</f>
        <v/>
      </c>
      <c r="E1066">
        <f>INDEX(FactorTable!$B$2:$Y$301, MATCH(ROUND(MIN(300,MAX(1,D1066)),0), FactorTable!$A$2:$A$301,0), Skills!M5+1)</f>
        <v/>
      </c>
      <c r="F1066">
        <f>IF(Skills!N5=TRUE,(Skills!L5/10)*(E1066/1000),Skills!L5/10)+Skills!O5</f>
        <v/>
      </c>
      <c r="G1066">
        <f>Skills!G5*IF(Skills!H5&gt;0,Skills!I5/Skills!H5,1)</f>
        <v/>
      </c>
      <c r="H1066">
        <f>1-(1-Skills!J5/100)^Skills!K5</f>
        <v/>
      </c>
      <c r="I1066" t="inlineStr">
        <is>
          <t>1</t>
        </is>
      </c>
      <c r="J1066">
        <f>((Inputs!$B$6*(1+(Inputs!$B$7+1)/100))+(((Inputs!$B$12*(1+Inputs!$B$13/100))-(Inputs!$B$12*(1+Inputs!$B$13/100)))+0.25*(Inputs!$B$14-Inputs!$B$14))*(1+(Inputs!$B$7+1)/100))*(F1066/100)</f>
        <v/>
      </c>
      <c r="K1066">
        <f>J1066*(1+((Inputs!$B$12*(1+Inputs!$B$13/100))*0.01+Inputs!$B$14*0.0025)/100)*(1+Inputs!$B$15/100)*(1+Inputs!$B$16/100)*(5000/(6000+Inputs!$B$42*(1-(100*(1-(1-(Inputs!$B$19+0)/100)*(1-CHOOSE(ArtifactsInput!$N$40+1,5,6,7,8,9,10)/100)^(ArtifactsInput!$M$40-ArtifactsInput!$M$40)))/100)))*(1+(Inputs!$B$24+((C1085=TRUE)*(F1085-Calc!F24))+((C1086=TRUE)*(F1086-Calc!F25))+B1099)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1069=TRUE,F1069,0)/100)*(1+(IF(Skills!A5="EMPOWERED_PIERCING_ARROW",Inputs!$B$17+((C1083=TRUE)*(F1083-Calc!F22))+(((IF(AND(ArtifactsInput!$M$42,((Inputs!$B$9+((C1080=TRUE)*(F1080-Calc!F19))+B1093+(ArtifactsInput!$M$24-ArtifactsInput!$M$24)*CHOOSE(ArtifactsInput!$N$24+1,10,12,14,16,18,20)+IF(ArtifactsInput!$M$10,CHOOSE(ArtifactsInput!$N$10+1,15,18,21,24,27,30)*(IF(Inputs!$B$38="pvp",MIN(15,15)/15,IF(AND(Inputs!$B$38&lt;&gt;"pvp",Inputs!$B$43&gt;0),MIN(15,Inputs!$B$43)/(Inputs!$B$43),0))),0)))&gt;=100),MIN(100,((Inputs!$B$9+((C1080=TRUE)*(F1080-Calc!F19))+B1093+(ArtifactsInput!$M$24-ArtifactsInput!$M$24)*CHOOSE(ArtifactsInput!$N$24+1,10,12,14,16,18,20)+IF(ArtifactsInput!$M$10,CHOOSE(ArtifactsInput!$N$10+1,15,18,21,24,27,30)*(IF(Inputs!$B$38="pvp",MIN(15,15)/15,IF(AND(Inputs!$B$38&lt;&gt;"pvp",Inputs!$B$43&gt;0),MIN(15,Inputs!$B$43)/(Inputs!$B$43),0))),0)))-100),0))*CHOOSE(ArtifactsInput!$N$42+1,0.6,0.72,0.84,0.96,1.08,1.2))),Inputs!$B$18+((C1088=TRUE)*(F1088-Calc!F27))+(IF(AND(ArtifactsInput!$M$42,((Inputs!$B$9+((C1080=TRUE)*(F1080-Calc!F19))+B1093+(ArtifactsInput!$M$24-ArtifactsInput!$M$24)*CHOOSE(ArtifactsInput!$N$24+1,10,12,14,16,18,20)+IF(ArtifactsInput!$M$10,CHOOSE(ArtifactsInput!$N$10+1,15,18,21,24,27,30)*(IF(Inputs!$B$38="pvp",MIN(15,15)/15,IF(AND(Inputs!$B$38&lt;&gt;"pvp",Inputs!$B$43&gt;0),MIN(15,Inputs!$B$43)/(Inputs!$B$43),0))),0)))&gt;=100),CHOOSE(ArtifactsInput!$N$42+1,40,48,56,64,72,80),0))))/100)*((1+(((C1074=TRUE)*F1074)+((C1075=TRUE)*IF(Inputs!$B$38="pvp",F1075,(1-Summary!$B$11)*(F1075)+Summary!$B$11*(0)))+((C1076=TRUE)*F1076*IF(AND(Inputs!$B$38&lt;&gt;"pvp",Inputs!$B$43&gt;0),(((R1076-1)*(Skills!T15*(1+Inputs!$B$34/100))+MIN((Skills!T15*(1+Inputs!$B$34/100)),MAX(0,Inputs!$B$43-((R1076-1)*Skills!D15))))/Inputs!$B$43),IF(Inputs!$B$38="pvp",MIN((Skills!T15*(1+Inputs!$B$34/100)),15)/15,(Skills!T15*(1+Inputs!$B$34/100))/Skills!D15)))+((C1073=TRUE)*F1073)+((C1090=TRUE)*(F1090-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1066)</f>
        <v/>
      </c>
      <c r="L1066">
        <f>K1066*(MIN(Inputs!$B$22+((C1084=TRUE)*(F1084-Calc!F23)),(Inputs!$B$23+((C1089=TRUE)*(F1089-Calc!F28))+(IF(ArtifactsInput!$M$15,CHOOSE(ArtifactsInput!$N$15+1,25,30,35,40,45,50)/100*(Inputs!$B$11-Inputs!$B$11),0))))/100+(Inputs!$B$23+((C1089=TRUE)*(F1089-Calc!F28))+(IF(ArtifactsInput!$M$15,CHOOSE(ArtifactsInput!$N$15+1,25,30,35,40,45,50)/100*(Inputs!$B$11-Inputs!$B$11),0)))/100)/2</f>
        <v/>
      </c>
      <c r="M1066">
        <f>L1066*(1+(Inputs!$B$10+0+B1098+(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066">
        <f>L1066*(1-MIN((Inputs!$B$9+((C1080=TRUE)*(F1080-Calc!F19))+B1093+(ArtifactsInput!$M$24-ArtifactsInput!$M$24)*CHOOSE(ArtifactsInput!$N$24+1,10,12,14,16,18,20)+(IF(AND(ArtifactsInput!$M$42,((Inputs!$B$9+((C1080=TRUE)*(F1080-Calc!F19))+B1093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1066*(MIN((Inputs!$B$9+((C1080=TRUE)*(F1080-Calc!F19))+B1093+(ArtifactsInput!$M$24-ArtifactsInput!$M$24)*CHOOSE(ArtifactsInput!$N$24+1,10,12,14,16,18,20)+(IF(AND(ArtifactsInput!$M$42,((Inputs!$B$9+((C1080=TRUE)*(F1080-Calc!F19))+B1093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066">
        <f>(1-Summary!$B$11)*T1066+Summary!$B$11*V1066</f>
        <v/>
      </c>
      <c r="P1066">
        <f>IF(B1103=0,0,O1066/B1103)</f>
        <v/>
      </c>
      <c r="Q1066">
        <f>IFERROR(1/IF(Inputs!$B$38="pvp",15,MAX(0.1,Skills!D5-IF(Skills!E5=TRUE,Inputs!$B$32,0))),0)</f>
        <v/>
      </c>
      <c r="R1066">
        <f>IF(AND(Inputs!$B$38&lt;&gt;"pvp",Inputs!$B$43&gt;0),IF(MAX(0,Inputs!$B$43-B1100)&lt;=0,0,(INT(MAX(0,Inputs!$B$43-B1100)/IF(Inputs!$B$38="pvp",15,MAX(0.1,Skills!D5-IF(Skills!E5=TRUE,Inputs!$B$32,0))))+1)),0)</f>
        <v/>
      </c>
      <c r="S1066">
        <f>IFERROR((H1066*N1066*IF(AND(Inputs!$B$38&lt;&gt;"pvp",Inputs!$B$43&gt;0),((Skills!G5*((R1066-1)*IF(Skills!H5&gt;0,Skills!I5/Skills!H5,1)+IF(Skills!H5&gt;0,MIN(Skills!I5,MAX(0,MAX(0,Inputs!$B$43-B1100)-((R1066-1)*IF(Inputs!$B$38="pvp",15,MAX(0.1,Skills!D5-IF(Skills!E5=TRUE,Inputs!$B$32,0))))))/Skills!H5,1)))/Inputs!$B$43),G1066*Q1066))/N1066*IF(Inputs!$B$38="pvp",1,(1-Summary!$B$11)*1+Summary!$B$11*(MIN(Skills!R5,Inputs!$B$37))),0)</f>
        <v/>
      </c>
      <c r="T1066">
        <f>IF(C1066,(H1066*N1066*IF(AND(Inputs!$B$38&lt;&gt;"pvp",Inputs!$B$43&gt;0),((Skills!G5*((R1066-1)*IF(Skills!H5&gt;0,Skills!I5/Skills!H5,1)+IF(Skills!H5&gt;0,MIN(Skills!I5,MAX(0,MAX(0,Inputs!$B$43-B1100)-((R1066-1)*IF(Inputs!$B$38="pvp",15,MAX(0.1,Skills!D5-IF(Skills!E5=TRUE,Inputs!$B$32,0))))))/Skills!H5,1)))/Inputs!$B$43),G1066*Q1066))*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Hunt"),CHOOSE(ArtifactsInput!$N$35+1,15,18,21,24,27,30)*(1-EXP(-(0.2*B1095)*5)),0)+IF(AND(ArtifactsInput!$M$22,Inputs!$B$4&lt;&gt;"Chapter Hunt"),CHOOSE(ArtifactsInput!$N$22+1,10,12,14,16,18,20)*((0*(((0.15*B1095*5))^0/1)+1*(((0.15*B1095*5))^1/1)+2*(((0.15*B1095*5))^2/2)+3*(((0.15*B1095*5))^3/6)+4*(((0.15*B1095*5))^4/24)+5*(((0.15*B1095*5))^5/120))/((((0.15*B1095*5))^0/1)+(((0.15*B1095*5))^1/1)+(((0.15*B1095*5))^2/2)+(((0.15*B1095*5))^3/6)+(((0.15*B1095*5))^4/24)+(((0.15*B1095*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1066*(1-MIN(100,(Inputs!$B$9+((C1080=TRUE)*(F1080-Calc!F19))+B1093+(ArtifactsInput!$M$24-ArtifactsInput!$M$24)*CHOOSE(ArtifactsInput!$N$24+1,10,12,14,16,18,20)+(IF(AND(ArtifactsInput!$M$42,((Inputs!$B$9+((C1080=TRUE)*(F1080-Calc!F19))+B1093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1066*(MIN(100,(Inputs!$B$9+((C1080=TRUE)*(F1080-Calc!F19))+B1093+(ArtifactsInput!$M$24-ArtifactsInput!$M$24)*CHOOSE(ArtifactsInput!$N$24+1,10,12,14,16,18,20)+(IF(AND(ArtifactsInput!$M$42,((Inputs!$B$9+((C1080=TRUE)*(F1080-Calc!F19))+B1093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1066*(1-MIN(100,(Inputs!$B$9+((C1080=TRUE)*(F1080-Calc!F19))+B1093+(ArtifactsInput!$M$24-ArtifactsInput!$M$24)*CHOOSE(ArtifactsInput!$N$24+1,10,12,14,16,18,20)+(IF(AND(ArtifactsInput!$M$42,((Inputs!$B$9+((C1080=TRUE)*(F1080-Calc!F19))+B1093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1066*(MIN(100,(Inputs!$B$9+((C1080=TRUE)*(F1080-Calc!F19))+B1093+(ArtifactsInput!$M$24-ArtifactsInput!$M$24)*CHOOSE(ArtifactsInput!$N$24+1,10,12,14,16,18,20)+(IF(AND(ArtifactsInput!$M$42,((Inputs!$B$9+((C1080=TRUE)*(F1080-Calc!F19))+B1093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066">
        <f>IF(C1066,(H1066*N1066*IF(AND(Inputs!$B$38&lt;&gt;"pvp",Inputs!$B$43&gt;0),((Skills!G5*((R1066-1)*IF(Skills!H5&gt;0,Skills!I5/Skills!H5,1)+IF(Skills!H5&gt;0,MIN(Skills!I5,MAX(0,MAX(0,Inputs!$B$43-B1100)-((R1066-1)*IF(Inputs!$B$38="pvp",15,MAX(0.1,Skills!D5-IF(Skills!E5=TRUE,Inputs!$B$32,0))))))/Skills!H5,1)))/Inputs!$B$43),G1066*Q1066))*IF(Inputs!$B$38="pvp",1,(1+(Inputs!$B$21+Skills!Q5+(IF(ArtifactsInput!$M$33,CHOOSE(ArtifactsInput!$N$33+1,30,36,42,48,54,60),0))+(IF(AND(ArtifactsInput!$M$35,Inputs!$B$4&lt;&gt;"Chapter Hunt"),CHOOSE(ArtifactsInput!$N$35+1,15,18,21,24,27,30)*(1-EXP(-(0.2*B1095)*5)),0)+IF(AND(ArtifactsInput!$M$22,Inputs!$B$4&lt;&gt;"Chapter Hunt"),CHOOSE(ArtifactsInput!$N$22+1,10,12,14,16,18,20)*((0*(((0.15*B1095*5))^0/1)+1*(((0.15*B1095*5))^1/1)+2*(((0.15*B1095*5))^2/2)+3*(((0.15*B1095*5))^3/6)+4*(((0.15*B1095*5))^4/24)+5*(((0.15*B1095*5))^5/120))/((((0.15*B1095*5))^0/1)+(((0.15*B1095*5))^1/1)+(((0.15*B1095*5))^2/2)+(((0.15*B1095*5))^3/6)+(((0.15*B1095*5))^4/24)+(((0.15*B1095*5))^5/120)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067">
      <c r="A1067">
        <f>Skills!A6</f>
        <v/>
      </c>
      <c r="B1067">
        <f>Skills!B6</f>
        <v/>
      </c>
      <c r="C1067">
        <f>Inputs!$B$3&gt;=63</f>
        <v/>
      </c>
      <c r="D1067">
        <f>IF(Skills!C6=1,60+Inputs!$B$25+Inputs!$B$29,IF(Skills!C6=2,90+Inputs!$B$26+Inputs!$B$29,IF(Skills!C6=3,120+Inputs!$B$27+Inputs!$B$29,MAX(0,(Inputs!$B$3-100)*3)+Inputs!$B$28+Inputs!$B$29)))</f>
        <v/>
      </c>
      <c r="E1067">
        <f>INDEX(FactorTable!$B$2:$Y$301, MATCH(ROUND(MIN(300,MAX(1,D1067)),0), FactorTable!$A$2:$A$301,0), Skills!M6+1)</f>
        <v/>
      </c>
      <c r="F1067">
        <f>IF(Skills!N6=TRUE,(Skills!L6/10)*(E1067/1000),Skills!L6/10)+Skills!O6</f>
        <v/>
      </c>
      <c r="G1067">
        <f>Skills!G6*IF(Skills!H6&gt;0,Skills!I6/Skills!H6,1)</f>
        <v/>
      </c>
      <c r="H1067">
        <f>1-(1-Skills!J6/100)^Skills!K6</f>
        <v/>
      </c>
      <c r="I1067" t="inlineStr">
        <is>
          <t>1</t>
        </is>
      </c>
      <c r="J1067">
        <f>((Inputs!$B$6*(1+(Inputs!$B$7+1)/100))+(((Inputs!$B$12*(1+Inputs!$B$13/100))-(Inputs!$B$12*(1+Inputs!$B$13/100)))+0.25*(Inputs!$B$14-Inputs!$B$14))*(1+(Inputs!$B$7+1)/100))*(F1067/100)</f>
        <v/>
      </c>
      <c r="K1067">
        <f>J1067*(1+((Inputs!$B$12*(1+Inputs!$B$13/100))*0.01+Inputs!$B$14*0.0025)/100)*(1+Inputs!$B$15/100)*(1+Inputs!$B$16/100)*(5000/(6000+Inputs!$B$42*(1-(100*(1-(1-(Inputs!$B$19+0)/100)*(1-CHOOSE(ArtifactsInput!$N$40+1,5,6,7,8,9,10)/100)^(ArtifactsInput!$M$40-ArtifactsInput!$M$40)))/100)))*(1+(Inputs!$B$24+((C1085=TRUE)*(F1085-Calc!F24))+((C1086=TRUE)*(F1086-Calc!F25))+B1099)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1069=TRUE,F1069,0)/100)*(1+(IF(Skills!A6="EMPOWERED_PIERCING_ARROW",Inputs!$B$17+((C1083=TRUE)*(F1083-Calc!F22))+(((IF(AND(ArtifactsInput!$M$42,((Inputs!$B$9+((C1080=TRUE)*(F1080-Calc!F19))+B1093+(ArtifactsInput!$M$24-ArtifactsInput!$M$24)*CHOOSE(ArtifactsInput!$N$24+1,10,12,14,16,18,20)+IF(ArtifactsInput!$M$10,CHOOSE(ArtifactsInput!$N$10+1,15,18,21,24,27,30)*(IF(Inputs!$B$38="pvp",MIN(15,15)/15,IF(AND(Inputs!$B$38&lt;&gt;"pvp",Inputs!$B$43&gt;0),MIN(15,Inputs!$B$43)/(Inputs!$B$43),0))),0)))&gt;=100),MIN(100,((Inputs!$B$9+((C1080=TRUE)*(F1080-Calc!F19))+B1093+(ArtifactsInput!$M$24-ArtifactsInput!$M$24)*CHOOSE(ArtifactsInput!$N$24+1,10,12,14,16,18,20)+IF(ArtifactsInput!$M$10,CHOOSE(ArtifactsInput!$N$10+1,15,18,21,24,27,30)*(IF(Inputs!$B$38="pvp",MIN(15,15)/15,IF(AND(Inputs!$B$38&lt;&gt;"pvp",Inputs!$B$43&gt;0),MIN(15,Inputs!$B$43)/(Inputs!$B$43),0))),0)))-100),0))*CHOOSE(ArtifactsInput!$N$42+1,0.6,0.72,0.84,0.96,1.08,1.2))),Inputs!$B$18+((C1088=TRUE)*(F1088-Calc!F27))+(IF(AND(ArtifactsInput!$M$42,((Inputs!$B$9+((C1080=TRUE)*(F1080-Calc!F19))+B1093+(ArtifactsInput!$M$24-ArtifactsInput!$M$24)*CHOOSE(ArtifactsInput!$N$24+1,10,12,14,16,18,20)+IF(ArtifactsInput!$M$10,CHOOSE(ArtifactsInput!$N$10+1,15,18,21,24,27,30)*(IF(Inputs!$B$38="pvp",MIN(15,15)/15,IF(AND(Inputs!$B$38&lt;&gt;"pvp",Inputs!$B$43&gt;0),MIN(15,Inputs!$B$43)/(Inputs!$B$43),0))),0)))&gt;=100),CHOOSE(ArtifactsInput!$N$42+1,40,48,56,64,72,80),0))))/100)*((1+(((C1074=TRUE)*F1074)+((C1075=TRUE)*IF(Inputs!$B$38="pvp",F1075,(1-Summary!$B$11)*(F1075)+Summary!$B$11*(0)))+((C1076=TRUE)*F1076*IF(AND(Inputs!$B$38&lt;&gt;"pvp",Inputs!$B$43&gt;0),(((R1076-1)*(Skills!T15*(1+Inputs!$B$34/100))+MIN((Skills!T15*(1+Inputs!$B$34/100)),MAX(0,Inputs!$B$43-((R1076-1)*Skills!D15))))/Inputs!$B$43),IF(Inputs!$B$38="pvp",MIN((Skills!T15*(1+Inputs!$B$34/100)),15)/15,(Skills!T15*(1+Inputs!$B$34/100))/Skills!D15)))+((C1073=TRUE)*F1073)+((C1090=TRUE)*(F1090-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1067)</f>
        <v/>
      </c>
      <c r="L1067">
        <f>K1067*(MIN(Inputs!$B$22+((C1084=TRUE)*(F1084-Calc!F23)),(Inputs!$B$23+((C1089=TRUE)*(F1089-Calc!F28))+(IF(ArtifactsInput!$M$15,CHOOSE(ArtifactsInput!$N$15+1,25,30,35,40,45,50)/100*(Inputs!$B$11-Inputs!$B$11),0))))/100+(Inputs!$B$23+((C1089=TRUE)*(F1089-Calc!F28))+(IF(ArtifactsInput!$M$15,CHOOSE(ArtifactsInput!$N$15+1,25,30,35,40,45,50)/100*(Inputs!$B$11-Inputs!$B$11),0)))/100)/2</f>
        <v/>
      </c>
      <c r="M1067">
        <f>L1067*(1+(Inputs!$B$10+0+B1098+(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067">
        <f>L1067*(1-MIN((Inputs!$B$9+((C1080=TRUE)*(F1080-Calc!F19))+B1093+(ArtifactsInput!$M$24-ArtifactsInput!$M$24)*CHOOSE(ArtifactsInput!$N$24+1,10,12,14,16,18,20)+(IF(AND(ArtifactsInput!$M$42,((Inputs!$B$9+((C1080=TRUE)*(F1080-Calc!F19))+B1093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1067*(MIN((Inputs!$B$9+((C1080=TRUE)*(F1080-Calc!F19))+B1093+(ArtifactsInput!$M$24-ArtifactsInput!$M$24)*CHOOSE(ArtifactsInput!$N$24+1,10,12,14,16,18,20)+(IF(AND(ArtifactsInput!$M$42,((Inputs!$B$9+((C1080=TRUE)*(F1080-Calc!F19))+B1093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067">
        <f>(1-Summary!$B$11)*T1067+Summary!$B$11*V1067</f>
        <v/>
      </c>
      <c r="P1067">
        <f>IF(B1103=0,0,O1067/B1103)</f>
        <v/>
      </c>
      <c r="Q1067">
        <f>IFERROR(1/IF(Inputs!$B$38="pvp",15,MAX(0.1,Skills!D6-IF(Skills!E6=TRUE,Inputs!$B$32,0))),0)</f>
        <v/>
      </c>
      <c r="R1067">
        <f>IF(AND(Inputs!$B$38&lt;&gt;"pvp",Inputs!$B$43&gt;0),IF(MAX(0,Inputs!$B$43-B1100)&lt;=0,0,(INT(MAX(0,Inputs!$B$43-B1100)/IF(Inputs!$B$38="pvp",15,MAX(0.1,Skills!D6-IF(Skills!E6=TRUE,Inputs!$B$32,0))))+1)),0)</f>
        <v/>
      </c>
      <c r="S1067">
        <f>IFERROR((H1067*N1067*IF(AND(Inputs!$B$38&lt;&gt;"pvp",Inputs!$B$43&gt;0),((Skills!G6*((R1067-1)*IF(Skills!H6&gt;0,Skills!I6/Skills!H6,1)+IF(Skills!H6&gt;0,MIN(Skills!I6,MAX(0,MAX(0,Inputs!$B$43-B1100)-((R1067-1)*IF(Inputs!$B$38="pvp",15,MAX(0.1,Skills!D6-IF(Skills!E6=TRUE,Inputs!$B$32,0))))))/Skills!H6,1)))/Inputs!$B$43),G1067*Q1067))/N1067*IF(Inputs!$B$38="pvp",1,(1-Summary!$B$11)*1+Summary!$B$11*(MIN(Skills!R6,Inputs!$B$37))),0)</f>
        <v/>
      </c>
      <c r="T1067">
        <f>IF(C1067,(H1067*N1067*IF(AND(Inputs!$B$38&lt;&gt;"pvp",Inputs!$B$43&gt;0),((Skills!G6*((R1067-1)*IF(Skills!H6&gt;0,Skills!I6/Skills!H6,1)+IF(Skills!H6&gt;0,MIN(Skills!I6,MAX(0,MAX(0,Inputs!$B$43-B1100)-((R1067-1)*IF(Inputs!$B$38="pvp",15,MAX(0.1,Skills!D6-IF(Skills!E6=TRUE,Inputs!$B$32,0))))))/Skills!H6,1)))/Inputs!$B$43),G1067*Q1067))*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Hunt"),CHOOSE(ArtifactsInput!$N$35+1,15,18,21,24,27,30)*(1-EXP(-(0.2*B1095)*5)),0)+IF(AND(ArtifactsInput!$M$22,Inputs!$B$4&lt;&gt;"Chapter Hunt"),CHOOSE(ArtifactsInput!$N$22+1,10,12,14,16,18,20)*((0*(((0.15*B1095*5))^0/1)+1*(((0.15*B1095*5))^1/1)+2*(((0.15*B1095*5))^2/2)+3*(((0.15*B1095*5))^3/6)+4*(((0.15*B1095*5))^4/24)+5*(((0.15*B1095*5))^5/120))/((((0.15*B1095*5))^0/1)+(((0.15*B1095*5))^1/1)+(((0.15*B1095*5))^2/2)+(((0.15*B1095*5))^3/6)+(((0.15*B1095*5))^4/24)+(((0.15*B1095*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1067*(1-MIN(100,(Inputs!$B$9+((C1080=TRUE)*(F1080-Calc!F19))+B1093+(ArtifactsInput!$M$24-ArtifactsInput!$M$24)*CHOOSE(ArtifactsInput!$N$24+1,10,12,14,16,18,20)+(IF(AND(ArtifactsInput!$M$42,((Inputs!$B$9+((C1080=TRUE)*(F1080-Calc!F19))+B1093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1067*(MIN(100,(Inputs!$B$9+((C1080=TRUE)*(F1080-Calc!F19))+B1093+(ArtifactsInput!$M$24-ArtifactsInput!$M$24)*CHOOSE(ArtifactsInput!$N$24+1,10,12,14,16,18,20)+(IF(AND(ArtifactsInput!$M$42,((Inputs!$B$9+((C1080=TRUE)*(F1080-Calc!F19))+B1093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1067*(1-MIN(100,(Inputs!$B$9+((C1080=TRUE)*(F1080-Calc!F19))+B1093+(ArtifactsInput!$M$24-ArtifactsInput!$M$24)*CHOOSE(ArtifactsInput!$N$24+1,10,12,14,16,18,20)+(IF(AND(ArtifactsInput!$M$42,((Inputs!$B$9+((C1080=TRUE)*(F1080-Calc!F19))+B1093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1067*(MIN(100,(Inputs!$B$9+((C1080=TRUE)*(F1080-Calc!F19))+B1093+(ArtifactsInput!$M$24-ArtifactsInput!$M$24)*CHOOSE(ArtifactsInput!$N$24+1,10,12,14,16,18,20)+(IF(AND(ArtifactsInput!$M$42,((Inputs!$B$9+((C1080=TRUE)*(F1080-Calc!F19))+B1093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067">
        <f>IF(C1067,(H1067*N1067*IF(AND(Inputs!$B$38&lt;&gt;"pvp",Inputs!$B$43&gt;0),((Skills!G6*((R1067-1)*IF(Skills!H6&gt;0,Skills!I6/Skills!H6,1)+IF(Skills!H6&gt;0,MIN(Skills!I6,MAX(0,MAX(0,Inputs!$B$43-B1100)-((R1067-1)*IF(Inputs!$B$38="pvp",15,MAX(0.1,Skills!D6-IF(Skills!E6=TRUE,Inputs!$B$32,0))))))/Skills!H6,1)))/Inputs!$B$43),G1067*Q1067))*IF(Inputs!$B$38="pvp",1,(1+(Inputs!$B$21+Skills!Q6+(IF(ArtifactsInput!$M$33,CHOOSE(ArtifactsInput!$N$33+1,30,36,42,48,54,60),0))+(IF(AND(ArtifactsInput!$M$35,Inputs!$B$4&lt;&gt;"Chapter Hunt"),CHOOSE(ArtifactsInput!$N$35+1,15,18,21,24,27,30)*(1-EXP(-(0.2*B1095)*5)),0)+IF(AND(ArtifactsInput!$M$22,Inputs!$B$4&lt;&gt;"Chapter Hunt"),CHOOSE(ArtifactsInput!$N$22+1,10,12,14,16,18,20)*((0*(((0.15*B1095*5))^0/1)+1*(((0.15*B1095*5))^1/1)+2*(((0.15*B1095*5))^2/2)+3*(((0.15*B1095*5))^3/6)+4*(((0.15*B1095*5))^4/24)+5*(((0.15*B1095*5))^5/120))/((((0.15*B1095*5))^0/1)+(((0.15*B1095*5))^1/1)+(((0.15*B1095*5))^2/2)+(((0.15*B1095*5))^3/6)+(((0.15*B1095*5))^4/24)+(((0.15*B1095*5))^5/120))),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068">
      <c r="A1068">
        <f>Skills!A7</f>
        <v/>
      </c>
      <c r="B1068">
        <f>Skills!B7</f>
        <v/>
      </c>
      <c r="C1068">
        <f>Inputs!$B$3&gt;=69</f>
        <v/>
      </c>
      <c r="D1068">
        <f>IF(Skills!C7=1,60+Inputs!$B$25+Inputs!$B$29,IF(Skills!C7=2,90+Inputs!$B$26+Inputs!$B$29,IF(Skills!C7=3,120+Inputs!$B$27+Inputs!$B$29,MAX(0,(Inputs!$B$3-100)*3)+Inputs!$B$28+Inputs!$B$29)))</f>
        <v/>
      </c>
      <c r="E1068">
        <f>INDEX(FactorTable!$B$2:$Y$301, MATCH(ROUND(MIN(300,MAX(1,D1068)),0), FactorTable!$A$2:$A$301,0), Skills!M7+1)</f>
        <v/>
      </c>
      <c r="F1068">
        <f>IF(Skills!N7=TRUE,(Skills!L7/10)*(E1068/1000),Skills!L7/10)+Skills!O7</f>
        <v/>
      </c>
      <c r="G1068">
        <f>Skills!G7*IF(Skills!H7&gt;0,Skills!I7/Skills!H7,1)</f>
        <v/>
      </c>
      <c r="H1068">
        <f>1-(1-Skills!J7/100)^Skills!K7</f>
        <v/>
      </c>
      <c r="I1068" t="inlineStr">
        <is>
          <t>1</t>
        </is>
      </c>
      <c r="J1068">
        <f>((Inputs!$B$6*(1+(Inputs!$B$7+1)/100))+(((Inputs!$B$12*(1+Inputs!$B$13/100))-(Inputs!$B$12*(1+Inputs!$B$13/100)))+0.25*(Inputs!$B$14-Inputs!$B$14))*(1+(Inputs!$B$7+1)/100))*(F1068/100)</f>
        <v/>
      </c>
      <c r="K1068">
        <f>J1068*(1+((Inputs!$B$12*(1+Inputs!$B$13/100))*0.01+Inputs!$B$14*0.0025)/100)*(1+Inputs!$B$15/100)*(1+Inputs!$B$16/100)*(5000/(6000+Inputs!$B$42*(1-(100*(1-(1-(Inputs!$B$19+0)/100)*(1-CHOOSE(ArtifactsInput!$N$40+1,5,6,7,8,9,10)/100)^(ArtifactsInput!$M$40-ArtifactsInput!$M$40)))/100)))*(1+(Inputs!$B$24+((C1085=TRUE)*(F1085-Calc!F24))+((C1086=TRUE)*(F1086-Calc!F25))+B1099)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+1.2*IF(C1069=TRUE,F1069,0)/100)*(1+(IF(Skills!A7="EMPOWERED_PIERCING_ARROW",Inputs!$B$17+((C1083=TRUE)*(F1083-Calc!F22))+(((IF(AND(ArtifactsInput!$M$42,((Inputs!$B$9+((C1080=TRUE)*(F1080-Calc!F19))+B1093+(ArtifactsInput!$M$24-ArtifactsInput!$M$24)*CHOOSE(ArtifactsInput!$N$24+1,10,12,14,16,18,20)+IF(ArtifactsInput!$M$10,CHOOSE(ArtifactsInput!$N$10+1,15,18,21,24,27,30)*(IF(Inputs!$B$38="pvp",MIN(15,15)/15,IF(AND(Inputs!$B$38&lt;&gt;"pvp",Inputs!$B$43&gt;0),MIN(15,Inputs!$B$43)/(Inputs!$B$43),0))),0)))&gt;=100),MIN(100,((Inputs!$B$9+((C1080=TRUE)*(F1080-Calc!F19))+B1093+(ArtifactsInput!$M$24-ArtifactsInput!$M$24)*CHOOSE(ArtifactsInput!$N$24+1,10,12,14,16,18,20)+IF(ArtifactsInput!$M$10,CHOOSE(ArtifactsInput!$N$10+1,15,18,21,24,27,30)*(IF(Inputs!$B$38="pvp",MIN(15,15)/15,IF(AND(Inputs!$B$38&lt;&gt;"pvp",Inputs!$B$43&gt;0),MIN(15,Inputs!$B$43)/(Inputs!$B$43),0))),0)))-100),0))*CHOOSE(ArtifactsInput!$N$42+1,0.6,0.72,0.84,0.96,1.08,1.2))),Inputs!$B$18+((C1088=TRUE)*(F1088-Calc!F27))+(IF(AND(ArtifactsInput!$M$42,((Inputs!$B$9+((C1080=TRUE)*(F1080-Calc!F19))+B1093+(ArtifactsInput!$M$24-ArtifactsInput!$M$24)*CHOOSE(ArtifactsInput!$N$24+1,10,12,14,16,18,20)+IF(ArtifactsInput!$M$10,CHOOSE(ArtifactsInput!$N$10+1,15,18,21,24,27,30)*(IF(Inputs!$B$38="pvp",MIN(15,15)/15,IF(AND(Inputs!$B$38&lt;&gt;"pvp",Inputs!$B$43&gt;0),MIN(15,Inputs!$B$43)/(Inputs!$B$43),0))),0)))&gt;=100),CHOOSE(ArtifactsInput!$N$42+1,40,48,56,64,72,80),0))))/100)*((1+(((C1074=TRUE)*F1074)+((C1075=TRUE)*IF(Inputs!$B$38="pvp",F1075,(1-Summary!$B$11)*(F1075)+Summary!$B$11*(0)))+((C1076=TRUE)*F1076*IF(AND(Inputs!$B$38&lt;&gt;"pvp",Inputs!$B$43&gt;0),(((R1076-1)*(Skills!T15*(1+Inputs!$B$34/100))+MIN((Skills!T15*(1+Inputs!$B$34/100)),MAX(0,Inputs!$B$43-((R1076-1)*Skills!D15))))/Inputs!$B$43),IF(Inputs!$B$38="pvp",MIN((Skills!T15*(1+Inputs!$B$34/100)),15)/15,(Skills!T15*(1+Inputs!$B$34/100))/Skills!D15)))+((C1073=TRUE)*F1073)+((C1090=TRUE)*(F1090-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1068)</f>
        <v/>
      </c>
      <c r="L1068">
        <f>K1068*(MIN(Inputs!$B$22+((C1084=TRUE)*(F1084-Calc!F23)),(Inputs!$B$23+((C1089=TRUE)*(F1089-Calc!F28))+(IF(ArtifactsInput!$M$15,CHOOSE(ArtifactsInput!$N$15+1,25,30,35,40,45,50)/100*(Inputs!$B$11-Inputs!$B$11),0))))/100+(Inputs!$B$23+((C1089=TRUE)*(F1089-Calc!F28))+(IF(ArtifactsInput!$M$15,CHOOSE(ArtifactsInput!$N$15+1,25,30,35,40,45,50)/100*(Inputs!$B$11-Inputs!$B$11),0)))/100)/2</f>
        <v/>
      </c>
      <c r="M1068">
        <f>L1068*(1+(Inputs!$B$10+0+B1098+(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068">
        <f>L1068*(1-MIN((Inputs!$B$9+((C1080=TRUE)*(F1080-Calc!F19))+B1093+(ArtifactsInput!$M$24-ArtifactsInput!$M$24)*CHOOSE(ArtifactsInput!$N$24+1,10,12,14,16,18,20)+(IF(AND(ArtifactsInput!$M$42,((Inputs!$B$9+((C1080=TRUE)*(F1080-Calc!F19))+B1093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1068*(MIN((Inputs!$B$9+((C1080=TRUE)*(F1080-Calc!F19))+B1093+(ArtifactsInput!$M$24-ArtifactsInput!$M$24)*CHOOSE(ArtifactsInput!$N$24+1,10,12,14,16,18,20)+(IF(AND(ArtifactsInput!$M$42,((Inputs!$B$9+((C1080=TRUE)*(F1080-Calc!F19))+B1093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068">
        <f>(1-Summary!$B$11)*T1068+Summary!$B$11*V1068</f>
        <v/>
      </c>
      <c r="P1068">
        <f>IF(B1103=0,0,O1068/B1103)</f>
        <v/>
      </c>
      <c r="Q1068">
        <f>IFERROR(1/IF(Inputs!$B$38="pvp",15,MAX(0.1,Skills!D7-IF(Skills!E7=TRUE,Inputs!$B$32,0))),0)</f>
        <v/>
      </c>
      <c r="R1068">
        <f>IF(AND(Inputs!$B$38&lt;&gt;"pvp",Inputs!$B$43&gt;0),IF(MAX(0,Inputs!$B$43-B1100)&lt;=0,0,(INT(MAX(0,Inputs!$B$43-B1100)/IF(Inputs!$B$38="pvp",15,MAX(0.1,Skills!D7-IF(Skills!E7=TRUE,Inputs!$B$32,0))))+1)),0)</f>
        <v/>
      </c>
      <c r="S1068">
        <f>IFERROR((H1068*N1068*IF(AND(Inputs!$B$38&lt;&gt;"pvp",Inputs!$B$43&gt;0),((Skills!G7*((R1068-1)*IF(Skills!H7&gt;0,Skills!I7/Skills!H7,1)+IF(Skills!H7&gt;0,MIN(Skills!I7,MAX(0,MAX(0,Inputs!$B$43-B1100)-((R1068-1)*IF(Inputs!$B$38="pvp",15,MAX(0.1,Skills!D7-IF(Skills!E7=TRUE,Inputs!$B$32,0))))))/Skills!H7,1)))/Inputs!$B$43),G1068*Q1068))/N1068*IF(Inputs!$B$38="pvp",1,(1-Summary!$B$11)*1+Summary!$B$11*(MIN(Skills!R7,Inputs!$B$37))),0)</f>
        <v/>
      </c>
      <c r="T1068">
        <f>IF(C1068,(H1068*N1068*IF(AND(Inputs!$B$38&lt;&gt;"pvp",Inputs!$B$43&gt;0),((Skills!G7*((R1068-1)*IF(Skills!H7&gt;0,Skills!I7/Skills!H7,1)+IF(Skills!H7&gt;0,MIN(Skills!I7,MAX(0,MAX(0,Inputs!$B$43-B1100)-((R1068-1)*IF(Inputs!$B$38="pvp",15,MAX(0.1,Skills!D7-IF(Skills!E7=TRUE,Inputs!$B$32,0))))))/Skills!H7,1)))/Inputs!$B$43),G1068*Q1068))*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Hunt"),CHOOSE(ArtifactsInput!$N$35+1,15,18,21,24,27,30)*(1-EXP(-(0.2*B1095)*5)),0)+IF(AND(ArtifactsInput!$M$22,Inputs!$B$4&lt;&gt;"Chapter Hunt"),CHOOSE(ArtifactsInput!$N$22+1,10,12,14,16,18,20)*((0*(((0.15*B1095*5))^0/1)+1*(((0.15*B1095*5))^1/1)+2*(((0.15*B1095*5))^2/2)+3*(((0.15*B1095*5))^3/6)+4*(((0.15*B1095*5))^4/24)+5*(((0.15*B1095*5))^5/120))/((((0.15*B1095*5))^0/1)+(((0.15*B1095*5))^1/1)+(((0.15*B1095*5))^2/2)+(((0.15*B1095*5))^3/6)+(((0.15*B1095*5))^4/24)+(((0.15*B1095*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1068*(1-MIN(100,(Inputs!$B$9+((C1080=TRUE)*(F1080-Calc!F19))+B1093+(ArtifactsInput!$M$24-ArtifactsInput!$M$24)*CHOOSE(ArtifactsInput!$N$24+1,10,12,14,16,18,20)+(IF(AND(ArtifactsInput!$M$42,((Inputs!$B$9+((C1080=TRUE)*(F1080-Calc!F19))+B1093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1068*(MIN(100,(Inputs!$B$9+((C1080=TRUE)*(F1080-Calc!F19))+B1093+(ArtifactsInput!$M$24-ArtifactsInput!$M$24)*CHOOSE(ArtifactsInput!$N$24+1,10,12,14,16,18,20)+(IF(AND(ArtifactsInput!$M$42,((Inputs!$B$9+((C1080=TRUE)*(F1080-Calc!F19))+B1093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1068*(1-MIN(100,(Inputs!$B$9+((C1080=TRUE)*(F1080-Calc!F19))+B1093+(ArtifactsInput!$M$24-ArtifactsInput!$M$24)*CHOOSE(ArtifactsInput!$N$24+1,10,12,14,16,18,20)+(IF(AND(ArtifactsInput!$M$42,((Inputs!$B$9+((C1080=TRUE)*(F1080-Calc!F19))+B1093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1068*(MIN(100,(Inputs!$B$9+((C1080=TRUE)*(F1080-Calc!F19))+B1093+(ArtifactsInput!$M$24-ArtifactsInput!$M$24)*CHOOSE(ArtifactsInput!$N$24+1,10,12,14,16,18,20)+(IF(AND(ArtifactsInput!$M$42,((Inputs!$B$9+((C1080=TRUE)*(F1080-Calc!F19))+B1093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068">
        <f>IF(C1068,(H1068*N1068*IF(AND(Inputs!$B$38&lt;&gt;"pvp",Inputs!$B$43&gt;0),((Skills!G7*((R1068-1)*IF(Skills!H7&gt;0,Skills!I7/Skills!H7,1)+IF(Skills!H7&gt;0,MIN(Skills!I7,MAX(0,MAX(0,Inputs!$B$43-B1100)-((R1068-1)*IF(Inputs!$B$38="pvp",15,MAX(0.1,Skills!D7-IF(Skills!E7=TRUE,Inputs!$B$32,0))))))/Skills!H7,1)))/Inputs!$B$43),G1068*Q1068))*IF(Inputs!$B$38="pvp",1,(1+(Inputs!$B$21+Skills!Q7+(IF(ArtifactsInput!$M$33,CHOOSE(ArtifactsInput!$N$33+1,30,36,42,48,54,60),0))+(IF(AND(ArtifactsInput!$M$35,Inputs!$B$4&lt;&gt;"Chapter Hunt"),CHOOSE(ArtifactsInput!$N$35+1,15,18,21,24,27,30)*(1-EXP(-(0.2*B1095)*5)),0)+IF(AND(ArtifactsInput!$M$22,Inputs!$B$4&lt;&gt;"Chapter Hunt"),CHOOSE(ArtifactsInput!$N$22+1,10,12,14,16,18,20)*((0*(((0.15*B1095*5))^0/1)+1*(((0.15*B1095*5))^1/1)+2*(((0.15*B1095*5))^2/2)+3*(((0.15*B1095*5))^3/6)+4*(((0.15*B1095*5))^4/24)+5*(((0.15*B1095*5))^5/120))/((((0.15*B1095*5))^0/1)+(((0.15*B1095*5))^1/1)+(((0.15*B1095*5))^2/2)+(((0.15*B1095*5))^3/6)+(((0.15*B1095*5))^4/24)+(((0.15*B1095*5))^5/120))),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069">
      <c r="A1069">
        <f>Skills!A8</f>
        <v/>
      </c>
      <c r="B1069">
        <f>Skills!B8</f>
        <v/>
      </c>
      <c r="C1069">
        <f>Inputs!$B$3&gt;=100</f>
        <v/>
      </c>
      <c r="D1069">
        <f>IF(Skills!C8=1,60+Inputs!$B$25+Inputs!$B$29,IF(Skills!C8=2,90+Inputs!$B$26+Inputs!$B$29,IF(Skills!C8=3,120+Inputs!$B$27+Inputs!$B$29,MAX(0,(Inputs!$B$3-100)*3)+Inputs!$B$28+Inputs!$B$29)))</f>
        <v/>
      </c>
      <c r="E1069">
        <f>INDEX(FactorTable!$B$2:$Y$301, MATCH(ROUND(MIN(300,MAX(1,D1069)),0), FactorTable!$A$2:$A$301,0), Skills!M8+1)</f>
        <v/>
      </c>
      <c r="F1069">
        <f>IF(Skills!N8=TRUE,(Skills!L8/10)*(E1069/1000),Skills!L8/10)+Skills!O8</f>
        <v/>
      </c>
      <c r="G1069" t="inlineStr"/>
      <c r="H1069" t="inlineStr"/>
      <c r="I1069" t="inlineStr">
        <is>
          <t>1</t>
        </is>
      </c>
      <c r="J1069" t="inlineStr"/>
      <c r="K1069" t="inlineStr"/>
      <c r="L1069" t="inlineStr"/>
      <c r="M1069" t="inlineStr"/>
      <c r="N1069" t="inlineStr"/>
      <c r="O1069" t="inlineStr"/>
      <c r="P1069" t="inlineStr"/>
      <c r="Q1069" t="inlineStr"/>
      <c r="R1069" t="inlineStr"/>
      <c r="S1069" t="inlineStr"/>
      <c r="T1069" t="inlineStr"/>
      <c r="V1069" t="inlineStr"/>
    </row>
    <row r="1070">
      <c r="A1070">
        <f>Skills!A9</f>
        <v/>
      </c>
      <c r="B1070">
        <f>Skills!B9</f>
        <v/>
      </c>
      <c r="C1070">
        <f>Inputs!$B$3&gt;=103</f>
        <v/>
      </c>
      <c r="D1070">
        <f>IF(Skills!C9=1,60+Inputs!$B$25+Inputs!$B$29,IF(Skills!C9=2,90+Inputs!$B$26+Inputs!$B$29,IF(Skills!C9=3,120+Inputs!$B$27+Inputs!$B$29,MAX(0,(Inputs!$B$3-100)*3)+Inputs!$B$28+Inputs!$B$29)))</f>
        <v/>
      </c>
      <c r="E1070">
        <f>INDEX(FactorTable!$B$2:$Y$301, MATCH(ROUND(MIN(300,MAX(1,D1070)),0), FactorTable!$A$2:$A$301,0), Skills!M9+1)</f>
        <v/>
      </c>
      <c r="F1070">
        <f>IF(Skills!N9=TRUE,(Skills!L9/10)*(E1070/1000),Skills!L9/10)+Skills!O9</f>
        <v/>
      </c>
      <c r="G1070">
        <f>Skills!G9*IF(Skills!H9&gt;0,Skills!I9/Skills!H9,1)</f>
        <v/>
      </c>
      <c r="H1070">
        <f>1-(1-Skills!J9/100)^Skills!K9</f>
        <v/>
      </c>
      <c r="I1070" t="inlineStr">
        <is>
          <t>1</t>
        </is>
      </c>
      <c r="J1070">
        <f>((Inputs!$B$6*(1+(Inputs!$B$7+1)/100))+(((Inputs!$B$12*(1+Inputs!$B$13/100))-(Inputs!$B$12*(1+Inputs!$B$13/100)))+0.25*(Inputs!$B$14-Inputs!$B$14))*(1+(Inputs!$B$7+1)/100))*(F1070/100)</f>
        <v/>
      </c>
      <c r="K1070">
        <f>J1070*(1+((Inputs!$B$12*(1+Inputs!$B$13/100))*0.01+Inputs!$B$14*0.0025)/100)*(1+Inputs!$B$15/100)*(1+Inputs!$B$16/100)*(5000/(6000+Inputs!$B$42*(1-(100*(1-(1-(Inputs!$B$19+0)/100)*(1-CHOOSE(ArtifactsInput!$N$40+1,5,6,7,8,9,10)/100)^(ArtifactsInput!$M$40-ArtifactsInput!$M$40)))/100)))*(1+(Inputs!$B$24+((C1085=TRUE)*(F1085-Calc!F24))+((C1086=TRUE)*(F1086-Calc!F25))+B1099)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EMPOWERED_PIERCING_ARROW",Inputs!$B$17+((C1083=TRUE)*(F1083-Calc!F22))+(((IF(AND(ArtifactsInput!$M$42,((Inputs!$B$9+((C1080=TRUE)*(F1080-Calc!F19))+B1093+(ArtifactsInput!$M$24-ArtifactsInput!$M$24)*CHOOSE(ArtifactsInput!$N$24+1,10,12,14,16,18,20)+IF(ArtifactsInput!$M$10,CHOOSE(ArtifactsInput!$N$10+1,15,18,21,24,27,30)*(IF(Inputs!$B$38="pvp",MIN(15,15)/15,IF(AND(Inputs!$B$38&lt;&gt;"pvp",Inputs!$B$43&gt;0),MIN(15,Inputs!$B$43)/(Inputs!$B$43),0))),0)))&gt;=100),MIN(100,((Inputs!$B$9+((C1080=TRUE)*(F1080-Calc!F19))+B1093+(ArtifactsInput!$M$24-ArtifactsInput!$M$24)*CHOOSE(ArtifactsInput!$N$24+1,10,12,14,16,18,20)+IF(ArtifactsInput!$M$10,CHOOSE(ArtifactsInput!$N$10+1,15,18,21,24,27,30)*(IF(Inputs!$B$38="pvp",MIN(15,15)/15,IF(AND(Inputs!$B$38&lt;&gt;"pvp",Inputs!$B$43&gt;0),MIN(15,Inputs!$B$43)/(Inputs!$B$43),0))),0)))-100),0))*CHOOSE(ArtifactsInput!$N$42+1,0.6,0.72,0.84,0.96,1.08,1.2))),Inputs!$B$18+((C1088=TRUE)*(F1088-Calc!F27))+(IF(AND(ArtifactsInput!$M$42,((Inputs!$B$9+((C1080=TRUE)*(F1080-Calc!F19))+B1093+(ArtifactsInput!$M$24-ArtifactsInput!$M$24)*CHOOSE(ArtifactsInput!$N$24+1,10,12,14,16,18,20)+IF(ArtifactsInput!$M$10,CHOOSE(ArtifactsInput!$N$10+1,15,18,21,24,27,30)*(IF(Inputs!$B$38="pvp",MIN(15,15)/15,IF(AND(Inputs!$B$38&lt;&gt;"pvp",Inputs!$B$43&gt;0),MIN(15,Inputs!$B$43)/(Inputs!$B$43),0))),0)))&gt;=100),CHOOSE(ArtifactsInput!$N$42+1,40,48,56,64,72,80),0))))/100)*((1+(((C1074=TRUE)*F1074)+((C1075=TRUE)*IF(Inputs!$B$38="pvp",F1075,(1-Summary!$B$11)*(F1075)+Summary!$B$11*(0)))+((C1076=TRUE)*F1076*IF(AND(Inputs!$B$38&lt;&gt;"pvp",Inputs!$B$43&gt;0),(((R1076-1)*(Skills!T15*(1+Inputs!$B$34/100))+MIN((Skills!T15*(1+Inputs!$B$34/100)),MAX(0,Inputs!$B$43-((R1076-1)*Skills!D15))))/Inputs!$B$43),IF(Inputs!$B$38="pvp",MIN((Skills!T15*(1+Inputs!$B$34/100)),15)/15,(Skills!T15*(1+Inputs!$B$34/100))/Skills!D15)))+((C1073=TRUE)*F1073)+((C1090=TRUE)*(F1090-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1070)</f>
        <v/>
      </c>
      <c r="L1070">
        <f>K1070*(MIN(Inputs!$B$22+((C1084=TRUE)*(F1084-Calc!F23)),(Inputs!$B$23+((C1089=TRUE)*(F1089-Calc!F28))+(IF(ArtifactsInput!$M$15,CHOOSE(ArtifactsInput!$N$15+1,25,30,35,40,45,50)/100*(Inputs!$B$11-Inputs!$B$11),0))))/100+(Inputs!$B$23+((C1089=TRUE)*(F1089-Calc!F28))+(IF(ArtifactsInput!$M$15,CHOOSE(ArtifactsInput!$N$15+1,25,30,35,40,45,50)/100*(Inputs!$B$11-Inputs!$B$11),0)))/100)/2</f>
        <v/>
      </c>
      <c r="M1070">
        <f>L1070*(1+(Inputs!$B$10+0+B1098+(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070">
        <f>L1070*(1-MIN((Inputs!$B$9+((C1080=TRUE)*(F1080-Calc!F19))+B1093+(ArtifactsInput!$M$24-ArtifactsInput!$M$24)*CHOOSE(ArtifactsInput!$N$24+1,10,12,14,16,18,20)+(IF(AND(ArtifactsInput!$M$42,((Inputs!$B$9+((C1080=TRUE)*(F1080-Calc!F19))+B1093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1070*(MIN((Inputs!$B$9+((C1080=TRUE)*(F1080-Calc!F19))+B1093+(ArtifactsInput!$M$24-ArtifactsInput!$M$24)*CHOOSE(ArtifactsInput!$N$24+1,10,12,14,16,18,20)+(IF(AND(ArtifactsInput!$M$42,((Inputs!$B$9+((C1080=TRUE)*(F1080-Calc!F19))+B1093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070">
        <f>(1-Summary!$B$11)*T1070+Summary!$B$11*V1070</f>
        <v/>
      </c>
      <c r="P1070">
        <f>IF(B1103=0,0,O1070/B1103)</f>
        <v/>
      </c>
      <c r="Q1070">
        <f>IFERROR(1/IF(Inputs!$B$38="pvp",15,MAX(0.1,Skills!D9-IF(Skills!E9=TRUE,Inputs!$B$32,0))),0)</f>
        <v/>
      </c>
      <c r="R1070">
        <f>IF(AND(Inputs!$B$38&lt;&gt;"pvp",Inputs!$B$43&gt;0),IF(MAX(0,Inputs!$B$43-B1100)&lt;=0,0,(INT(MAX(0,Inputs!$B$43-B1100)/IF(Inputs!$B$38="pvp",15,MAX(0.1,Skills!D9-IF(Skills!E9=TRUE,Inputs!$B$32,0))))+1)),0)</f>
        <v/>
      </c>
      <c r="S1070">
        <f>IFERROR((H1070*N1070*IF(AND(Inputs!$B$38&lt;&gt;"pvp",Inputs!$B$43&gt;0),((Skills!G9*((R1070-1)*IF(Skills!H9&gt;0,Skills!I9/Skills!H9,1)+IF(Skills!H9&gt;0,MIN(Skills!I9,MAX(0,MAX(0,Inputs!$B$43-B1100)-((R1070-1)*IF(Inputs!$B$38="pvp",15,MAX(0.1,Skills!D9-IF(Skills!E9=TRUE,Inputs!$B$32,0))))))/Skills!H9,1)))/Inputs!$B$43),G1070*Q1070))/N1070*IF(Inputs!$B$38="pvp",1,(1-Summary!$B$11)*1+Summary!$B$11*(MIN(Skills!R9,Inputs!$B$37))),0)</f>
        <v/>
      </c>
      <c r="T1070">
        <f>IF(C1070,(H1070*N1070*IF(AND(Inputs!$B$38&lt;&gt;"pvp",Inputs!$B$43&gt;0),((Skills!G9*((R1070-1)*IF(Skills!H9&gt;0,Skills!I9/Skills!H9,1)+IF(Skills!H9&gt;0,MIN(Skills!I9,MAX(0,MAX(0,Inputs!$B$43-B1100)-((R1070-1)*IF(Inputs!$B$38="pvp",15,MAX(0.1,Skills!D9-IF(Skills!E9=TRUE,Inputs!$B$32,0))))))/Skills!H9,1)))/Inputs!$B$43),G1070*Q1070))*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Hunt"),CHOOSE(ArtifactsInput!$N$35+1,15,18,21,24,27,30)*(1-EXP(-(0.2*B1095)*5)),0)+IF(AND(ArtifactsInput!$M$22,Inputs!$B$4&lt;&gt;"Chapter Hunt"),CHOOSE(ArtifactsInput!$N$22+1,10,12,14,16,18,20)*((0*(((0.15*B1095*5))^0/1)+1*(((0.15*B1095*5))^1/1)+2*(((0.15*B1095*5))^2/2)+3*(((0.15*B1095*5))^3/6)+4*(((0.15*B1095*5))^4/24)+5*(((0.15*B1095*5))^5/120))/((((0.15*B1095*5))^0/1)+(((0.15*B1095*5))^1/1)+(((0.15*B1095*5))^2/2)+(((0.15*B1095*5))^3/6)+(((0.15*B1095*5))^4/24)+(((0.15*B1095*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1070*(1-MIN(100,(Inputs!$B$9+((C1080=TRUE)*(F1080-Calc!F19))+B1093+(ArtifactsInput!$M$24-ArtifactsInput!$M$24)*CHOOSE(ArtifactsInput!$N$24+1,10,12,14,16,18,20)+(IF(AND(ArtifactsInput!$M$42,((Inputs!$B$9+((C1080=TRUE)*(F1080-Calc!F19))+B1093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1070*(MIN(100,(Inputs!$B$9+((C1080=TRUE)*(F1080-Calc!F19))+B1093+(ArtifactsInput!$M$24-ArtifactsInput!$M$24)*CHOOSE(ArtifactsInput!$N$24+1,10,12,14,16,18,20)+(IF(AND(ArtifactsInput!$M$42,((Inputs!$B$9+((C1080=TRUE)*(F1080-Calc!F19))+B1093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1070*(1-MIN(100,(Inputs!$B$9+((C1080=TRUE)*(F1080-Calc!F19))+B1093+(ArtifactsInput!$M$24-ArtifactsInput!$M$24)*CHOOSE(ArtifactsInput!$N$24+1,10,12,14,16,18,20)+(IF(AND(ArtifactsInput!$M$42,((Inputs!$B$9+((C1080=TRUE)*(F1080-Calc!F19))+B1093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1070*(MIN(100,(Inputs!$B$9+((C1080=TRUE)*(F1080-Calc!F19))+B1093+(ArtifactsInput!$M$24-ArtifactsInput!$M$24)*CHOOSE(ArtifactsInput!$N$24+1,10,12,14,16,18,20)+(IF(AND(ArtifactsInput!$M$42,((Inputs!$B$9+((C1080=TRUE)*(F1080-Calc!F19))+B1093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070">
        <f>IF(C1070,(H1070*N1070*IF(AND(Inputs!$B$38&lt;&gt;"pvp",Inputs!$B$43&gt;0),((Skills!G9*((R1070-1)*IF(Skills!H9&gt;0,Skills!I9/Skills!H9,1)+IF(Skills!H9&gt;0,MIN(Skills!I9,MAX(0,MAX(0,Inputs!$B$43-B1100)-((R1070-1)*IF(Inputs!$B$38="pvp",15,MAX(0.1,Skills!D9-IF(Skills!E9=TRUE,Inputs!$B$32,0))))))/Skills!H9,1)))/Inputs!$B$43),G1070*Q1070))*IF(Inputs!$B$38="pvp",1,(1+(Inputs!$B$21+Skills!Q9+(IF(ArtifactsInput!$M$33,CHOOSE(ArtifactsInput!$N$33+1,30,36,42,48,54,60),0))+(IF(AND(ArtifactsInput!$M$35,Inputs!$B$4&lt;&gt;"Chapter Hunt"),CHOOSE(ArtifactsInput!$N$35+1,15,18,21,24,27,30)*(1-EXP(-(0.2*B1095)*5)),0)+IF(AND(ArtifactsInput!$M$22,Inputs!$B$4&lt;&gt;"Chapter Hunt"),CHOOSE(ArtifactsInput!$N$22+1,10,12,14,16,18,20)*((0*(((0.15*B1095*5))^0/1)+1*(((0.15*B1095*5))^1/1)+2*(((0.15*B1095*5))^2/2)+3*(((0.15*B1095*5))^3/6)+4*(((0.15*B1095*5))^4/24)+5*(((0.15*B1095*5))^5/120))/((((0.15*B1095*5))^0/1)+(((0.15*B1095*5))^1/1)+(((0.15*B1095*5))^2/2)+(((0.15*B1095*5))^3/6)+(((0.15*B1095*5))^4/24)+(((0.15*B1095*5))^5/120)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071">
      <c r="A1071">
        <f>Skills!A10</f>
        <v/>
      </c>
      <c r="B1071">
        <f>Skills!B10</f>
        <v/>
      </c>
      <c r="C1071">
        <f>Inputs!$B$3&gt;=107</f>
        <v/>
      </c>
      <c r="D1071">
        <f>IF(Skills!C10=1,60+Inputs!$B$25+Inputs!$B$29,IF(Skills!C10=2,90+Inputs!$B$26+Inputs!$B$29,IF(Skills!C10=3,120+Inputs!$B$27+Inputs!$B$29,MAX(0,(Inputs!$B$3-100)*3)+Inputs!$B$28+Inputs!$B$29)))</f>
        <v/>
      </c>
      <c r="E1071">
        <f>INDEX(FactorTable!$B$2:$Y$301, MATCH(ROUND(MIN(300,MAX(1,D1071)),0), FactorTable!$A$2:$A$301,0), Skills!M10+1)</f>
        <v/>
      </c>
      <c r="F1071">
        <f>IF(Skills!N10=TRUE,(Skills!L10/10)*(E1071/1000),Skills!L10/10)+Skills!O10</f>
        <v/>
      </c>
      <c r="G1071">
        <f>Skills!G10*IF(Skills!H10&gt;0,Skills!I10/Skills!H10,1)</f>
        <v/>
      </c>
      <c r="H1071">
        <f>1-(1-Skills!J10/100)^Skills!K10</f>
        <v/>
      </c>
      <c r="I1071" t="inlineStr">
        <is>
          <t>1</t>
        </is>
      </c>
      <c r="J1071">
        <f>((Inputs!$B$6*(1+(Inputs!$B$7+1)/100))+(((Inputs!$B$12*(1+Inputs!$B$13/100))-(Inputs!$B$12*(1+Inputs!$B$13/100)))+0.25*(Inputs!$B$14-Inputs!$B$14))*(1+(Inputs!$B$7+1)/100))*(F1071/100)</f>
        <v/>
      </c>
      <c r="K1071">
        <f>J1071*(1+((Inputs!$B$12*(1+Inputs!$B$13/100))*0.01+Inputs!$B$14*0.0025)/100)*(1+Inputs!$B$15/100)*(1+Inputs!$B$16/100)*(5000/(6000+Inputs!$B$42*(1-(100*(1-(1-(Inputs!$B$19+0)/100)*(1-CHOOSE(ArtifactsInput!$N$40+1,5,6,7,8,9,10)/100)^(ArtifactsInput!$M$40-ArtifactsInput!$M$40)))/100)))*(1+(Inputs!$B$24+((C1085=TRUE)*(F1085-Calc!F24))+((C1086=TRUE)*(F1086-Calc!F25))+B1099)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EMPOWERED_PIERCING_ARROW",Inputs!$B$17+((C1083=TRUE)*(F1083-Calc!F22))+(((IF(AND(ArtifactsInput!$M$42,((Inputs!$B$9+((C1080=TRUE)*(F1080-Calc!F19))+B1093+(ArtifactsInput!$M$24-ArtifactsInput!$M$24)*CHOOSE(ArtifactsInput!$N$24+1,10,12,14,16,18,20)+IF(ArtifactsInput!$M$10,CHOOSE(ArtifactsInput!$N$10+1,15,18,21,24,27,30)*(IF(Inputs!$B$38="pvp",MIN(15,15)/15,IF(AND(Inputs!$B$38&lt;&gt;"pvp",Inputs!$B$43&gt;0),MIN(15,Inputs!$B$43)/(Inputs!$B$43),0))),0)))&gt;=100),MIN(100,((Inputs!$B$9+((C1080=TRUE)*(F1080-Calc!F19))+B1093+(ArtifactsInput!$M$24-ArtifactsInput!$M$24)*CHOOSE(ArtifactsInput!$N$24+1,10,12,14,16,18,20)+IF(ArtifactsInput!$M$10,CHOOSE(ArtifactsInput!$N$10+1,15,18,21,24,27,30)*(IF(Inputs!$B$38="pvp",MIN(15,15)/15,IF(AND(Inputs!$B$38&lt;&gt;"pvp",Inputs!$B$43&gt;0),MIN(15,Inputs!$B$43)/(Inputs!$B$43),0))),0)))-100),0))*CHOOSE(ArtifactsInput!$N$42+1,0.6,0.72,0.84,0.96,1.08,1.2))),Inputs!$B$18+((C1088=TRUE)*(F1088-Calc!F27))+(IF(AND(ArtifactsInput!$M$42,((Inputs!$B$9+((C1080=TRUE)*(F1080-Calc!F19))+B1093+(ArtifactsInput!$M$24-ArtifactsInput!$M$24)*CHOOSE(ArtifactsInput!$N$24+1,10,12,14,16,18,20)+IF(ArtifactsInput!$M$10,CHOOSE(ArtifactsInput!$N$10+1,15,18,21,24,27,30)*(IF(Inputs!$B$38="pvp",MIN(15,15)/15,IF(AND(Inputs!$B$38&lt;&gt;"pvp",Inputs!$B$43&gt;0),MIN(15,Inputs!$B$43)/(Inputs!$B$43),0))),0)))&gt;=100),CHOOSE(ArtifactsInput!$N$42+1,40,48,56,64,72,80),0))))/100)*((1+(((C1074=TRUE)*F1074)+((C1075=TRUE)*IF(Inputs!$B$38="pvp",F1075,(1-Summary!$B$11)*(F1075)+Summary!$B$11*(0)))+((C1076=TRUE)*F1076*IF(AND(Inputs!$B$38&lt;&gt;"pvp",Inputs!$B$43&gt;0),(((R1076-1)*(Skills!T15*(1+Inputs!$B$34/100))+MIN((Skills!T15*(1+Inputs!$B$34/100)),MAX(0,Inputs!$B$43-((R1076-1)*Skills!D15))))/Inputs!$B$43),IF(Inputs!$B$38="pvp",MIN((Skills!T15*(1+Inputs!$B$34/100)),15)/15,(Skills!T15*(1+Inputs!$B$34/100))/Skills!D15)))+((C1073=TRUE)*F1073)+((C1090=TRUE)*(F1090-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1071)</f>
        <v/>
      </c>
      <c r="L1071">
        <f>K1071*(MIN(Inputs!$B$22+((C1084=TRUE)*(F1084-Calc!F23)),(Inputs!$B$23+((C1089=TRUE)*(F1089-Calc!F28))+(IF(ArtifactsInput!$M$15,CHOOSE(ArtifactsInput!$N$15+1,25,30,35,40,45,50)/100*(Inputs!$B$11-Inputs!$B$11),0))))/100+(Inputs!$B$23+((C1089=TRUE)*(F1089-Calc!F28))+(IF(ArtifactsInput!$M$15,CHOOSE(ArtifactsInput!$N$15+1,25,30,35,40,45,50)/100*(Inputs!$B$11-Inputs!$B$11),0)))/100)/2</f>
        <v/>
      </c>
      <c r="M1071">
        <f>L1071*(1+(Inputs!$B$10+0+B1098+(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071">
        <f>L1071*(1-MIN((Inputs!$B$9+((C1080=TRUE)*(F1080-Calc!F19))+B1093+(ArtifactsInput!$M$24-ArtifactsInput!$M$24)*CHOOSE(ArtifactsInput!$N$24+1,10,12,14,16,18,20)+(IF(AND(ArtifactsInput!$M$42,((Inputs!$B$9+((C1080=TRUE)*(F1080-Calc!F19))+B1093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1071*(MIN((Inputs!$B$9+((C1080=TRUE)*(F1080-Calc!F19))+B1093+(ArtifactsInput!$M$24-ArtifactsInput!$M$24)*CHOOSE(ArtifactsInput!$N$24+1,10,12,14,16,18,20)+(IF(AND(ArtifactsInput!$M$42,((Inputs!$B$9+((C1080=TRUE)*(F1080-Calc!F19))+B1093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071">
        <f>(1-Summary!$B$11)*T1071+Summary!$B$11*V1071</f>
        <v/>
      </c>
      <c r="P1071">
        <f>IF(B1103=0,0,O1071/B1103)</f>
        <v/>
      </c>
      <c r="Q1071" t="n">
        <v>0</v>
      </c>
      <c r="R1071" t="n">
        <v>0</v>
      </c>
      <c r="S1071" t="n">
        <v>0</v>
      </c>
      <c r="T1071">
        <f>IF(C1071,(0.15*SUMPRODUCT((Skills!U2:U29=TRUE)*(C1063:C1090=TRUE)*S1063:S1090)*Skills!G10*N1071)*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Hunt"),CHOOSE(ArtifactsInput!$N$35+1,15,18,21,24,27,30)*(1-EXP(-(0.2*B1095)*5)),0)+IF(AND(ArtifactsInput!$M$22,Inputs!$B$4&lt;&gt;"Chapter Hunt"),CHOOSE(ArtifactsInput!$N$22+1,10,12,14,16,18,20)*((0*(((0.15*B1095*5))^0/1)+1*(((0.15*B1095*5))^1/1)+2*(((0.15*B1095*5))^2/2)+3*(((0.15*B1095*5))^3/6)+4*(((0.15*B1095*5))^4/24)+5*(((0.15*B1095*5))^5/120))/((((0.15*B1095*5))^0/1)+(((0.15*B1095*5))^1/1)+(((0.15*B1095*5))^2/2)+(((0.15*B1095*5))^3/6)+(((0.15*B1095*5))^4/24)+(((0.15*B1095*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1071*(1-MIN(100,(Inputs!$B$9+((C1080=TRUE)*(F1080-Calc!F19))+B1093+(ArtifactsInput!$M$24-ArtifactsInput!$M$24)*CHOOSE(ArtifactsInput!$N$24+1,10,12,14,16,18,20)+(IF(AND(ArtifactsInput!$M$42,((Inputs!$B$9+((C1080=TRUE)*(F1080-Calc!F19))+B1093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1071*(MIN(100,(Inputs!$B$9+((C1080=TRUE)*(F1080-Calc!F19))+B1093+(ArtifactsInput!$M$24-ArtifactsInput!$M$24)*CHOOSE(ArtifactsInput!$N$24+1,10,12,14,16,18,20)+(IF(AND(ArtifactsInput!$M$42,((Inputs!$B$9+((C1080=TRUE)*(F1080-Calc!F19))+B1093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1071*(1-MIN(100,(Inputs!$B$9+((C1080=TRUE)*(F1080-Calc!F19))+B1093+(ArtifactsInput!$M$24-ArtifactsInput!$M$24)*CHOOSE(ArtifactsInput!$N$24+1,10,12,14,16,18,20)+(IF(AND(ArtifactsInput!$M$42,((Inputs!$B$9+((C1080=TRUE)*(F1080-Calc!F19))+B1093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1071*(MIN(100,(Inputs!$B$9+((C1080=TRUE)*(F1080-Calc!F19))+B1093+(ArtifactsInput!$M$24-ArtifactsInput!$M$24)*CHOOSE(ArtifactsInput!$N$24+1,10,12,14,16,18,20)+(IF(AND(ArtifactsInput!$M$42,((Inputs!$B$9+((C1080=TRUE)*(F1080-Calc!F19))+B1093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071">
        <f>IF(C1071,(0.15*SUMPRODUCT((Skills!U2:U29=TRUE)*(C1063:C1090=TRUE)*S1063:S1090)*Skills!G10*N1071)*IF(Inputs!$B$38="pvp",1,(1+(Inputs!$B$21+Skills!Q10+(IF(ArtifactsInput!$M$33,CHOOSE(ArtifactsInput!$N$33+1,30,36,42,48,54,60),0))+(IF(AND(ArtifactsInput!$M$35,Inputs!$B$4&lt;&gt;"Chapter Hunt"),CHOOSE(ArtifactsInput!$N$35+1,15,18,21,24,27,30)*(1-EXP(-(0.2*B1095)*5)),0)+IF(AND(ArtifactsInput!$M$22,Inputs!$B$4&lt;&gt;"Chapter Hunt"),CHOOSE(ArtifactsInput!$N$22+1,10,12,14,16,18,20)*((0*(((0.15*B1095*5))^0/1)+1*(((0.15*B1095*5))^1/1)+2*(((0.15*B1095*5))^2/2)+3*(((0.15*B1095*5))^3/6)+4*(((0.15*B1095*5))^4/24)+5*(((0.15*B1095*5))^5/120))/((((0.15*B1095*5))^0/1)+(((0.15*B1095*5))^1/1)+(((0.15*B1095*5))^2/2)+(((0.15*B1095*5))^3/6)+(((0.15*B1095*5))^4/24)+(((0.15*B1095*5))^5/120)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072">
      <c r="A1072">
        <f>Skills!A11</f>
        <v/>
      </c>
      <c r="B1072">
        <f>Skills!B11</f>
        <v/>
      </c>
      <c r="C1072">
        <f>Inputs!$B$3&gt;=110</f>
        <v/>
      </c>
      <c r="D1072">
        <f>IF(Skills!C11=1,60+Inputs!$B$25+Inputs!$B$29,IF(Skills!C11=2,90+Inputs!$B$26+Inputs!$B$29,IF(Skills!C11=3,120+Inputs!$B$27+Inputs!$B$29,MAX(0,(Inputs!$B$3-100)*3)+Inputs!$B$28+Inputs!$B$29)))</f>
        <v/>
      </c>
      <c r="E1072">
        <f>INDEX(FactorTable!$B$2:$Y$301, MATCH(ROUND(MIN(300,MAX(1,D1072)),0), FactorTable!$A$2:$A$301,0), Skills!M11+1)</f>
        <v/>
      </c>
      <c r="F1072">
        <f>IF(Skills!N11=TRUE,(Skills!L11/10)*(E1072/1000),Skills!L11/10)+Skills!O11</f>
        <v/>
      </c>
      <c r="G1072">
        <f>Skills!G11*IF(Skills!H11&gt;0,Skills!I11/Skills!H11,1)</f>
        <v/>
      </c>
      <c r="H1072">
        <f>1-(1-Skills!J11/100)^Skills!K11</f>
        <v/>
      </c>
      <c r="I1072" t="inlineStr">
        <is>
          <t>1</t>
        </is>
      </c>
      <c r="J1072">
        <f>((Inputs!$B$6*(1+(Inputs!$B$7+1)/100))+(((Inputs!$B$12*(1+Inputs!$B$13/100))-(Inputs!$B$12*(1+Inputs!$B$13/100)))+0.25*(Inputs!$B$14-Inputs!$B$14))*(1+(Inputs!$B$7+1)/100))*(F1072/100)</f>
        <v/>
      </c>
      <c r="K1072">
        <f>J1072*(1+((Inputs!$B$12*(1+Inputs!$B$13/100))*0.01+Inputs!$B$14*0.0025)/100)*(1+Inputs!$B$15/100)*(1+Inputs!$B$16/100)*(5000/(6000+Inputs!$B$42*(1-(100*(1-(1-(Inputs!$B$19+0)/100)*(1-CHOOSE(ArtifactsInput!$N$40+1,5,6,7,8,9,10)/100)^(ArtifactsInput!$M$40-ArtifactsInput!$M$40)))/100)))*(1+(Inputs!$B$24+((C1085=TRUE)*(F1085-Calc!F24))+((C1086=TRUE)*(F1086-Calc!F25))+B1099)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11="EMPOWERED_PIERCING_ARROW",Inputs!$B$17+((C1083=TRUE)*(F1083-Calc!F22))+(((IF(AND(ArtifactsInput!$M$42,((Inputs!$B$9+((C1080=TRUE)*(F1080-Calc!F19))+B1093+(ArtifactsInput!$M$24-ArtifactsInput!$M$24)*CHOOSE(ArtifactsInput!$N$24+1,10,12,14,16,18,20)+IF(ArtifactsInput!$M$10,CHOOSE(ArtifactsInput!$N$10+1,15,18,21,24,27,30)*(IF(Inputs!$B$38="pvp",MIN(15,15)/15,IF(AND(Inputs!$B$38&lt;&gt;"pvp",Inputs!$B$43&gt;0),MIN(15,Inputs!$B$43)/(Inputs!$B$43),0))),0)))&gt;=100),MIN(100,((Inputs!$B$9+((C1080=TRUE)*(F1080-Calc!F19))+B1093+(ArtifactsInput!$M$24-ArtifactsInput!$M$24)*CHOOSE(ArtifactsInput!$N$24+1,10,12,14,16,18,20)+IF(ArtifactsInput!$M$10,CHOOSE(ArtifactsInput!$N$10+1,15,18,21,24,27,30)*(IF(Inputs!$B$38="pvp",MIN(15,15)/15,IF(AND(Inputs!$B$38&lt;&gt;"pvp",Inputs!$B$43&gt;0),MIN(15,Inputs!$B$43)/(Inputs!$B$43),0))),0)))-100),0))*CHOOSE(ArtifactsInput!$N$42+1,0.6,0.72,0.84,0.96,1.08,1.2))),Inputs!$B$18+((C1088=TRUE)*(F1088-Calc!F27))+(IF(AND(ArtifactsInput!$M$42,((Inputs!$B$9+((C1080=TRUE)*(F1080-Calc!F19))+B1093+(ArtifactsInput!$M$24-ArtifactsInput!$M$24)*CHOOSE(ArtifactsInput!$N$24+1,10,12,14,16,18,20)+IF(ArtifactsInput!$M$10,CHOOSE(ArtifactsInput!$N$10+1,15,18,21,24,27,30)*(IF(Inputs!$B$38="pvp",MIN(15,15)/15,IF(AND(Inputs!$B$38&lt;&gt;"pvp",Inputs!$B$43&gt;0),MIN(15,Inputs!$B$43)/(Inputs!$B$43),0))),0)))&gt;=100),CHOOSE(ArtifactsInput!$N$42+1,40,48,56,64,72,80),0))))/100)*((1+(((C1074=TRUE)*F1074)+((C1075=TRUE)*IF(Inputs!$B$38="pvp",F1075,(1-Summary!$B$11)*(F1075)+Summary!$B$11*(0)))+((C1076=TRUE)*F1076*IF(AND(Inputs!$B$38&lt;&gt;"pvp",Inputs!$B$43&gt;0),(((R1076-1)*(Skills!T15*(1+Inputs!$B$34/100))+MIN((Skills!T15*(1+Inputs!$B$34/100)),MAX(0,Inputs!$B$43-((R1076-1)*Skills!D15))))/Inputs!$B$43),IF(Inputs!$B$38="pvp",MIN((Skills!T15*(1+Inputs!$B$34/100)),15)/15,(Skills!T15*(1+Inputs!$B$34/100))/Skills!D15)))+((C1073=TRUE)*F1073)+((C1090=TRUE)*(F1090-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1072)</f>
        <v/>
      </c>
      <c r="L1072">
        <f>K1072*(MIN(Inputs!$B$22+((C1084=TRUE)*(F1084-Calc!F23)),(Inputs!$B$23+((C1089=TRUE)*(F1089-Calc!F28))+(IF(ArtifactsInput!$M$15,CHOOSE(ArtifactsInput!$N$15+1,25,30,35,40,45,50)/100*(Inputs!$B$11-Inputs!$B$11),0))))/100+(Inputs!$B$23+((C1089=TRUE)*(F1089-Calc!F28))+(IF(ArtifactsInput!$M$15,CHOOSE(ArtifactsInput!$N$15+1,25,30,35,40,45,50)/100*(Inputs!$B$11-Inputs!$B$11),0)))/100)/2</f>
        <v/>
      </c>
      <c r="M1072">
        <f>L1072*(1+(Inputs!$B$10+0+B1098+(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072">
        <f>L1072*(1-MIN((Inputs!$B$9+((C1080=TRUE)*(F1080-Calc!F19))+B1093+(ArtifactsInput!$M$24-ArtifactsInput!$M$24)*CHOOSE(ArtifactsInput!$N$24+1,10,12,14,16,18,20)+(IF(AND(ArtifactsInput!$M$42,((Inputs!$B$9+((C1080=TRUE)*(F1080-Calc!F19))+B1093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1072*(MIN((Inputs!$B$9+((C1080=TRUE)*(F1080-Calc!F19))+B1093+(ArtifactsInput!$M$24-ArtifactsInput!$M$24)*CHOOSE(ArtifactsInput!$N$24+1,10,12,14,16,18,20)+(IF(AND(ArtifactsInput!$M$42,((Inputs!$B$9+((C1080=TRUE)*(F1080-Calc!F19))+B1093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072">
        <f>(1-Summary!$B$11)*T1072+Summary!$B$11*V1072</f>
        <v/>
      </c>
      <c r="P1072">
        <f>IF(B1103=0,0,O1072/B1103)</f>
        <v/>
      </c>
      <c r="Q1072">
        <f>IFERROR(1/IF(Inputs!$B$38="pvp",15,MAX(0.1,Skills!D11-IF(Skills!E11=TRUE,Inputs!$B$32,0))),0)</f>
        <v/>
      </c>
      <c r="R1072">
        <f>IF(AND(Inputs!$B$38&lt;&gt;"pvp",Inputs!$B$43&gt;0),IF(MAX(0,Inputs!$B$43-B1100)&lt;=0,0,(INT(MAX(0,Inputs!$B$43-B1100)/IF(Inputs!$B$38="pvp",15,MAX(0.1,Skills!D11-IF(Skills!E11=TRUE,Inputs!$B$32,0))))+1)),0)</f>
        <v/>
      </c>
      <c r="S1072">
        <f>IFERROR((H1072*N1072*IF(AND(Inputs!$B$38&lt;&gt;"pvp",Inputs!$B$43&gt;0),((Skills!G11*((R1072-1)*IF(Skills!H11&gt;0,Skills!I11/Skills!H11,1)+IF(Skills!H11&gt;0,MIN(Skills!I11,MAX(0,MAX(0,Inputs!$B$43-B1100)-((R1072-1)*IF(Inputs!$B$38="pvp",15,MAX(0.1,Skills!D11-IF(Skills!E11=TRUE,Inputs!$B$32,0))))))/Skills!H11,1)))/Inputs!$B$43),G1072*Q1072))/N1072*IF(Inputs!$B$38="pvp",1,(1-Summary!$B$11)*1+Summary!$B$11*(MIN(Skills!R11,Inputs!$B$37))),0)</f>
        <v/>
      </c>
      <c r="T1072">
        <f>IF(C1072,(H1072*N1072*IF(AND(Inputs!$B$38&lt;&gt;"pvp",Inputs!$B$43&gt;0),((Skills!G11*((R1072-1)*IF(Skills!H11&gt;0,Skills!I11/Skills!H11,1)+IF(Skills!H11&gt;0,MIN(Skills!I11,MAX(0,MAX(0,Inputs!$B$43-B1100)-((R1072-1)*IF(Inputs!$B$38="pvp",15,MAX(0.1,Skills!D11-IF(Skills!E11=TRUE,Inputs!$B$32,0))))))/Skills!H11,1)))/Inputs!$B$43),G1072*Q1072))*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Hunt"),CHOOSE(ArtifactsInput!$N$35+1,15,18,21,24,27,30)*(1-EXP(-(0.2*B1095)*5)),0)+IF(AND(ArtifactsInput!$M$22,Inputs!$B$4&lt;&gt;"Chapter Hunt"),CHOOSE(ArtifactsInput!$N$22+1,10,12,14,16,18,20)*((0*(((0.15*B1095*5))^0/1)+1*(((0.15*B1095*5))^1/1)+2*(((0.15*B1095*5))^2/2)+3*(((0.15*B1095*5))^3/6)+4*(((0.15*B1095*5))^4/24)+5*(((0.15*B1095*5))^5/120))/((((0.15*B1095*5))^0/1)+(((0.15*B1095*5))^1/1)+(((0.15*B1095*5))^2/2)+(((0.15*B1095*5))^3/6)+(((0.15*B1095*5))^4/24)+(((0.15*B1095*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1072*(1-MIN(100,(Inputs!$B$9+((C1080=TRUE)*(F1080-Calc!F19))+B1093+(ArtifactsInput!$M$24-ArtifactsInput!$M$24)*CHOOSE(ArtifactsInput!$N$24+1,10,12,14,16,18,20)+(IF(AND(ArtifactsInput!$M$42,((Inputs!$B$9+((C1080=TRUE)*(F1080-Calc!F19))+B1093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1072*(MIN(100,(Inputs!$B$9+((C1080=TRUE)*(F1080-Calc!F19))+B1093+(ArtifactsInput!$M$24-ArtifactsInput!$M$24)*CHOOSE(ArtifactsInput!$N$24+1,10,12,14,16,18,20)+(IF(AND(ArtifactsInput!$M$42,((Inputs!$B$9+((C1080=TRUE)*(F1080-Calc!F19))+B1093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1072*(1-MIN(100,(Inputs!$B$9+((C1080=TRUE)*(F1080-Calc!F19))+B1093+(ArtifactsInput!$M$24-ArtifactsInput!$M$24)*CHOOSE(ArtifactsInput!$N$24+1,10,12,14,16,18,20)+(IF(AND(ArtifactsInput!$M$42,((Inputs!$B$9+((C1080=TRUE)*(F1080-Calc!F19))+B1093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1072*(MIN(100,(Inputs!$B$9+((C1080=TRUE)*(F1080-Calc!F19))+B1093+(ArtifactsInput!$M$24-ArtifactsInput!$M$24)*CHOOSE(ArtifactsInput!$N$24+1,10,12,14,16,18,20)+(IF(AND(ArtifactsInput!$M$42,((Inputs!$B$9+((C1080=TRUE)*(F1080-Calc!F19))+B1093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072">
        <f>IF(C1072,(H1072*N1072*IF(AND(Inputs!$B$38&lt;&gt;"pvp",Inputs!$B$43&gt;0),((Skills!G11*((R1072-1)*IF(Skills!H11&gt;0,Skills!I11/Skills!H11,1)+IF(Skills!H11&gt;0,MIN(Skills!I11,MAX(0,MAX(0,Inputs!$B$43-B1100)-((R1072-1)*IF(Inputs!$B$38="pvp",15,MAX(0.1,Skills!D11-IF(Skills!E11=TRUE,Inputs!$B$32,0))))))/Skills!H11,1)))/Inputs!$B$43),G1072*Q1072))*IF(Inputs!$B$38="pvp",1,(1+(Inputs!$B$21+Skills!Q11+(IF(ArtifactsInput!$M$33,CHOOSE(ArtifactsInput!$N$33+1,30,36,42,48,54,60),0))+(IF(AND(ArtifactsInput!$M$35,Inputs!$B$4&lt;&gt;"Chapter Hunt"),CHOOSE(ArtifactsInput!$N$35+1,15,18,21,24,27,30)*(1-EXP(-(0.2*B1095)*5)),0)+IF(AND(ArtifactsInput!$M$22,Inputs!$B$4&lt;&gt;"Chapter Hunt"),CHOOSE(ArtifactsInput!$N$22+1,10,12,14,16,18,20)*((0*(((0.15*B1095*5))^0/1)+1*(((0.15*B1095*5))^1/1)+2*(((0.15*B1095*5))^2/2)+3*(((0.15*B1095*5))^3/6)+4*(((0.15*B1095*5))^4/24)+5*(((0.15*B1095*5))^5/120))/((((0.15*B1095*5))^0/1)+(((0.15*B1095*5))^1/1)+(((0.15*B1095*5))^2/2)+(((0.15*B1095*5))^3/6)+(((0.15*B1095*5))^4/24)+(((0.15*B1095*5))^5/120))),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073">
      <c r="A1073">
        <f>Skills!A12</f>
        <v/>
      </c>
      <c r="B1073">
        <f>Skills!B12</f>
        <v/>
      </c>
      <c r="C1073">
        <f>Inputs!$B$3&gt;=60</f>
        <v/>
      </c>
      <c r="D1073">
        <f>IF(Skills!C12=1,60+Inputs!$B$25+Inputs!$B$29,IF(Skills!C12=2,90+Inputs!$B$26+Inputs!$B$29,IF(Skills!C12=3,120+Inputs!$B$27+Inputs!$B$29,MAX(0,(Inputs!$B$3-100)*3)+Inputs!$B$28+Inputs!$B$29)))</f>
        <v/>
      </c>
      <c r="E1073">
        <f>INDEX(FactorTable!$B$2:$Y$301, MATCH(ROUND(MIN(300,MAX(1,D1073)),0), FactorTable!$A$2:$A$301,0), Skills!M12+1)</f>
        <v/>
      </c>
      <c r="F1073">
        <f>IF(Skills!N12=TRUE,(Skills!L12/10)*(E1073/1000),Skills!L12/10)+Skills!O12</f>
        <v/>
      </c>
      <c r="G1073">
        <f>Skills!G12*IF(Skills!H12&gt;0,Skills!I12/Skills!H12,1)</f>
        <v/>
      </c>
      <c r="H1073">
        <f>1-(1-Skills!J12/100)^Skills!K12</f>
        <v/>
      </c>
      <c r="I1073" t="inlineStr">
        <is>
          <t>1</t>
        </is>
      </c>
      <c r="J1073" t="inlineStr"/>
      <c r="K1073" t="inlineStr"/>
      <c r="L1073" t="inlineStr"/>
      <c r="M1073" t="inlineStr"/>
      <c r="N1073" t="inlineStr"/>
      <c r="O1073">
        <f>(1-Summary!$B$11)*T1073+Summary!$B$11*V1073</f>
        <v/>
      </c>
      <c r="P1073">
        <f>IF(B1103=0,0,O1073/B1103)</f>
        <v/>
      </c>
      <c r="Q1073" t="n">
        <v>0</v>
      </c>
      <c r="R1073" t="n">
        <v>0</v>
      </c>
      <c r="S1073" t="n">
        <v>0</v>
      </c>
      <c r="T1073" t="n">
        <v>0</v>
      </c>
      <c r="V1073" t="n">
        <v>0</v>
      </c>
    </row>
    <row r="1074">
      <c r="A1074">
        <f>Skills!A13</f>
        <v/>
      </c>
      <c r="B1074">
        <f>Skills!B13</f>
        <v/>
      </c>
      <c r="C1074">
        <f>Inputs!$B$3&gt;=74</f>
        <v/>
      </c>
      <c r="D1074">
        <f>IF(Skills!C13=1,60+Inputs!$B$25+Inputs!$B$29,IF(Skills!C13=2,90+Inputs!$B$26+Inputs!$B$29,IF(Skills!C13=3,120+Inputs!$B$27+Inputs!$B$29,MAX(0,(Inputs!$B$3-100)*3)+Inputs!$B$28+Inputs!$B$29)))</f>
        <v/>
      </c>
      <c r="E1074">
        <f>INDEX(FactorTable!$B$2:$Y$301, MATCH(ROUND(MIN(300,MAX(1,D1074)),0), FactorTable!$A$2:$A$301,0), Skills!M13+1)</f>
        <v/>
      </c>
      <c r="F1074">
        <f>IF(Skills!N13=TRUE,(Skills!L13/10)*(E1074/1000),Skills!L13/10)+Skills!O13</f>
        <v/>
      </c>
      <c r="G1074">
        <f>Skills!G13*IF(Skills!H13&gt;0,Skills!I13/Skills!H13,1)</f>
        <v/>
      </c>
      <c r="H1074">
        <f>1-(1-Skills!J13/100)^Skills!K13</f>
        <v/>
      </c>
      <c r="I1074" t="inlineStr">
        <is>
          <t>1</t>
        </is>
      </c>
      <c r="J1074" t="inlineStr"/>
      <c r="K1074" t="inlineStr"/>
      <c r="L1074" t="inlineStr"/>
      <c r="M1074" t="inlineStr"/>
      <c r="N1074" t="inlineStr"/>
      <c r="O1074">
        <f>(1-Summary!$B$11)*T1074+Summary!$B$11*V1074</f>
        <v/>
      </c>
      <c r="P1074">
        <f>IF(B1103=0,0,O1074/B1103)</f>
        <v/>
      </c>
      <c r="Q1074" t="n">
        <v>0</v>
      </c>
      <c r="R1074" t="n">
        <v>0</v>
      </c>
      <c r="S1074" t="n">
        <v>0</v>
      </c>
      <c r="T1074" t="n">
        <v>0</v>
      </c>
      <c r="V1074" t="n">
        <v>0</v>
      </c>
    </row>
    <row r="1075">
      <c r="A1075">
        <f>Skills!A14</f>
        <v/>
      </c>
      <c r="B1075">
        <f>Skills!B14</f>
        <v/>
      </c>
      <c r="C1075">
        <f>Inputs!$B$3&gt;=74</f>
        <v/>
      </c>
      <c r="D1075">
        <f>IF(Skills!C14=1,60+Inputs!$B$25+Inputs!$B$29,IF(Skills!C14=2,90+Inputs!$B$26+Inputs!$B$29,IF(Skills!C14=3,120+Inputs!$B$27+Inputs!$B$29,MAX(0,(Inputs!$B$3-100)*3)+Inputs!$B$28+Inputs!$B$29)))</f>
        <v/>
      </c>
      <c r="E1075">
        <f>INDEX(FactorTable!$B$2:$Y$301, MATCH(ROUND(MIN(300,MAX(1,D1075)),0), FactorTable!$A$2:$A$301,0), Skills!M14+1)</f>
        <v/>
      </c>
      <c r="F1075">
        <f>IF(Skills!N14=TRUE,(Skills!L14/10)*(E1075/1000),Skills!L14/10)+Skills!O14</f>
        <v/>
      </c>
      <c r="G1075">
        <f>Skills!G14*IF(Skills!H14&gt;0,Skills!I14/Skills!H14,1)</f>
        <v/>
      </c>
      <c r="H1075">
        <f>1-(1-Skills!J14/100)^Skills!K14</f>
        <v/>
      </c>
      <c r="I1075" t="inlineStr">
        <is>
          <t>1</t>
        </is>
      </c>
      <c r="J1075" t="inlineStr"/>
      <c r="K1075" t="inlineStr"/>
      <c r="L1075" t="inlineStr"/>
      <c r="M1075" t="inlineStr"/>
      <c r="N1075" t="inlineStr"/>
      <c r="O1075">
        <f>(1-Summary!$B$11)*T1075+Summary!$B$11*V1075</f>
        <v/>
      </c>
      <c r="P1075">
        <f>IF(B1103=0,0,O1075/B1103)</f>
        <v/>
      </c>
      <c r="Q1075" t="n">
        <v>0</v>
      </c>
      <c r="R1075" t="n">
        <v>0</v>
      </c>
      <c r="S1075" t="n">
        <v>0</v>
      </c>
      <c r="T1075" t="n">
        <v>0</v>
      </c>
      <c r="V1075" t="n">
        <v>0</v>
      </c>
    </row>
    <row r="1076">
      <c r="A1076">
        <f>Skills!A15</f>
        <v/>
      </c>
      <c r="B1076">
        <f>Skills!B15</f>
        <v/>
      </c>
      <c r="C1076">
        <f>Inputs!$B$3&gt;=117</f>
        <v/>
      </c>
      <c r="D1076">
        <f>IF(Skills!C15=1,60+Inputs!$B$25+Inputs!$B$29,IF(Skills!C15=2,90+Inputs!$B$26+Inputs!$B$29,IF(Skills!C15=3,120+Inputs!$B$27+Inputs!$B$29,MAX(0,(Inputs!$B$3-100)*3)+Inputs!$B$28+Inputs!$B$29)))</f>
        <v/>
      </c>
      <c r="E1076">
        <f>INDEX(FactorTable!$B$2:$Y$301, MATCH(ROUND(MIN(300,MAX(1,D1076)),0), FactorTable!$A$2:$A$301,0), Skills!M15+1)</f>
        <v/>
      </c>
      <c r="F1076">
        <f>IF(Skills!N15=TRUE,(Skills!L15/10)*(E1076/1000),Skills!L15/10)+Skills!O15</f>
        <v/>
      </c>
      <c r="G1076">
        <f>Skills!G15*IF(Skills!H15&gt;0,Skills!I15/Skills!H15,1)</f>
        <v/>
      </c>
      <c r="H1076">
        <f>1-(1-Skills!J15/100)^Skills!K15</f>
        <v/>
      </c>
      <c r="I1076" t="inlineStr">
        <is>
          <t>1</t>
        </is>
      </c>
      <c r="J1076" t="inlineStr"/>
      <c r="K1076" t="inlineStr"/>
      <c r="L1076" t="inlineStr"/>
      <c r="M1076" t="inlineStr"/>
      <c r="N1076" t="inlineStr"/>
      <c r="O1076">
        <f>(1-Summary!$B$11)*T1076+Summary!$B$11*V1076</f>
        <v/>
      </c>
      <c r="P1076">
        <f>IF(B1103=0,0,O1076/B1103)</f>
        <v/>
      </c>
      <c r="Q1076">
        <f>IFERROR(1/IF(Inputs!$B$38="pvp",15,MAX(0.1,Skills!D15-IF(Skills!E15=TRUE,Inputs!$B$32,0))),0)</f>
        <v/>
      </c>
      <c r="R1076">
        <f>IF(AND(Inputs!$B$38&lt;&gt;"pvp",Inputs!$B$43&gt;0),IF(Inputs!$B$43&lt;=0,0,(INT(Inputs!$B$43/IF(Inputs!$B$38="pvp",15,MAX(0.1,Skills!D15-IF(Skills!E15=TRUE,Inputs!$B$32,0))))+1)),0)</f>
        <v/>
      </c>
      <c r="S1076" t="n">
        <v>0</v>
      </c>
      <c r="T1076" t="n">
        <v>0</v>
      </c>
      <c r="V1076" t="n">
        <v>0</v>
      </c>
    </row>
    <row r="1077">
      <c r="A1077">
        <f>Skills!A16</f>
        <v/>
      </c>
      <c r="B1077">
        <f>Skills!B16</f>
        <v/>
      </c>
      <c r="C1077">
        <f>Inputs!$B$3&gt;=115</f>
        <v/>
      </c>
      <c r="D1077">
        <f>IF(Skills!C16=1,60+Inputs!$B$25+Inputs!$B$29,IF(Skills!C16=2,90+Inputs!$B$26+Inputs!$B$29,IF(Skills!C16=3,120+Inputs!$B$27+Inputs!$B$29,MAX(0,(Inputs!$B$3-100)*3)+Inputs!$B$28+Inputs!$B$29)))</f>
        <v/>
      </c>
      <c r="E1077">
        <f>INDEX(FactorTable!$B$2:$Y$301, MATCH(ROUND(MIN(300,MAX(1,D1077)),0), FactorTable!$A$2:$A$301,0), Skills!M16+1)</f>
        <v/>
      </c>
      <c r="F1077">
        <f>IF(Skills!N16=TRUE,(Skills!L16/10)*(E1077/1000),Skills!L16/10)+Skills!O16</f>
        <v/>
      </c>
      <c r="G1077">
        <f>Skills!G16*IF(Skills!H16&gt;0,Skills!I16/Skills!H16,1)</f>
        <v/>
      </c>
      <c r="H1077">
        <f>1-(1-Skills!J16/100)^Skills!K16</f>
        <v/>
      </c>
      <c r="I1077" t="inlineStr">
        <is>
          <t>1</t>
        </is>
      </c>
      <c r="J1077" t="inlineStr"/>
      <c r="K1077" t="inlineStr"/>
      <c r="L1077" t="inlineStr"/>
      <c r="M1077" t="inlineStr"/>
      <c r="N1077" t="inlineStr"/>
      <c r="O1077">
        <f>(1-Summary!$B$11)*T1077+Summary!$B$11*V1077</f>
        <v/>
      </c>
      <c r="P1077">
        <f>IF(B1103=0,0,O1077/B1103)</f>
        <v/>
      </c>
      <c r="Q1077">
        <f>IFERROR(1/IF(Inputs!$B$38="pvp",15,MAX(0.1,Skills!D16-IF(Skills!E16=TRUE,Inputs!$B$32,0))),0)</f>
        <v/>
      </c>
      <c r="R1077">
        <f>IF(AND(Inputs!$B$38&lt;&gt;"pvp",Inputs!$B$43&gt;0),IF(Inputs!$B$43&lt;=0,0,(INT(Inputs!$B$43/IF(Inputs!$B$38="pvp",15,MAX(0.1,Skills!D16-IF(Skills!E16=TRUE,Inputs!$B$32,0))))+1)),0)</f>
        <v/>
      </c>
      <c r="S1077" t="n">
        <v>0</v>
      </c>
      <c r="T1077" t="n">
        <v>0</v>
      </c>
      <c r="V1077" t="n">
        <v>0</v>
      </c>
    </row>
    <row r="1078">
      <c r="A1078">
        <f>Skills!A17</f>
        <v/>
      </c>
      <c r="B1078">
        <f>Skills!B17</f>
        <v/>
      </c>
      <c r="C1078">
        <f>Inputs!$B$3&gt;=72</f>
        <v/>
      </c>
      <c r="D1078">
        <f>IF(Skills!C17=1,60+Inputs!$B$25+Inputs!$B$29,IF(Skills!C17=2,90+Inputs!$B$26+Inputs!$B$29,IF(Skills!C17=3,120+Inputs!$B$27+Inputs!$B$29,MAX(0,(Inputs!$B$3-100)*3)+Inputs!$B$28+Inputs!$B$29)))</f>
        <v/>
      </c>
      <c r="E1078">
        <f>INDEX(FactorTable!$B$2:$Y$301, MATCH(ROUND(MIN(300,MAX(1,D1078)),0), FactorTable!$A$2:$A$301,0), Skills!M17+1)</f>
        <v/>
      </c>
      <c r="F1078">
        <f>IF(Skills!N17=TRUE,(Skills!L17/10)*(E1078/1000),Skills!L17/10)+Skills!O17</f>
        <v/>
      </c>
      <c r="G1078">
        <f>Skills!G17*IF(Skills!H17&gt;0,Skills!I17/Skills!H17,1)</f>
        <v/>
      </c>
      <c r="H1078">
        <f>1-(1-Skills!J17/100)^Skills!K17</f>
        <v/>
      </c>
      <c r="I1078" t="inlineStr">
        <is>
          <t>1</t>
        </is>
      </c>
      <c r="J1078" t="inlineStr"/>
      <c r="K1078" t="inlineStr"/>
      <c r="L1078" t="inlineStr"/>
      <c r="M1078" t="inlineStr"/>
      <c r="N1078" t="inlineStr"/>
      <c r="O1078">
        <f>(1-Summary!$B$11)*T1078+Summary!$B$11*V1078</f>
        <v/>
      </c>
      <c r="P1078">
        <f>IF(B1103=0,0,O1078/B1103)</f>
        <v/>
      </c>
      <c r="Q1078" t="n">
        <v>0</v>
      </c>
      <c r="R1078" t="n">
        <v>0</v>
      </c>
      <c r="S1078" t="n">
        <v>0</v>
      </c>
      <c r="T1078" t="n">
        <v>0</v>
      </c>
      <c r="V1078" t="n">
        <v>0</v>
      </c>
    </row>
    <row r="1079">
      <c r="A1079">
        <f>Skills!A18</f>
        <v/>
      </c>
      <c r="B1079">
        <f>Skills!B18</f>
        <v/>
      </c>
      <c r="C1079">
        <f>TRUE</f>
        <v/>
      </c>
      <c r="D1079">
        <f>IF(Skills!C18=1,60+Inputs!$B$25+Inputs!$B$29,IF(Skills!C18=2,90+Inputs!$B$26+Inputs!$B$29,IF(Skills!C18=3,120+Inputs!$B$27+Inputs!$B$29,MAX(0,(Inputs!$B$3-100)*3)+Inputs!$B$28+Inputs!$B$29)))</f>
        <v/>
      </c>
      <c r="E1079">
        <f>INDEX(FactorTable!$B$2:$Y$301, MATCH(ROUND(MIN(300,MAX(1,D1079)),0), FactorTable!$A$2:$A$301,0), Skills!M18+1)</f>
        <v/>
      </c>
      <c r="F1079">
        <f>IF(Skills!N18=TRUE,(Skills!L18/10)*(E1079/1000),Skills!L18/10)+Skills!O18</f>
        <v/>
      </c>
      <c r="G1079">
        <f>Skills!G18*IF(Skills!H18&gt;0,Skills!I18/Skills!H18,1)</f>
        <v/>
      </c>
      <c r="H1079">
        <f>1-(1-Skills!J18/100)^Skills!K18</f>
        <v/>
      </c>
      <c r="I1079" t="inlineStr">
        <is>
          <t>1</t>
        </is>
      </c>
      <c r="J1079" t="inlineStr"/>
      <c r="K1079" t="inlineStr"/>
      <c r="L1079" t="inlineStr"/>
      <c r="M1079" t="inlineStr"/>
      <c r="N1079" t="inlineStr"/>
      <c r="O1079">
        <f>(1-Summary!$B$11)*T1079+Summary!$B$11*V1079</f>
        <v/>
      </c>
      <c r="P1079">
        <f>IF(B1103=0,0,O1079/B1103)</f>
        <v/>
      </c>
      <c r="Q1079">
        <f>IFERROR(1/IF(Inputs!$B$38="pvp",15,MAX(0.1,Skills!D18-IF(Skills!E18=TRUE,Inputs!$B$32,0))),0)</f>
        <v/>
      </c>
      <c r="R1079">
        <f>IF(AND(Inputs!$B$38&lt;&gt;"pvp",Inputs!$B$43&gt;0),IF(Inputs!$B$43&lt;=0,0,(INT(Inputs!$B$43/IF(Inputs!$B$38="pvp",15,MAX(0.1,Skills!D18-IF(Skills!E18=TRUE,Inputs!$B$32,0))))+1)),0)</f>
        <v/>
      </c>
      <c r="S1079" t="n">
        <v>0</v>
      </c>
      <c r="T1079" t="n">
        <v>0</v>
      </c>
      <c r="V1079" t="n">
        <v>0</v>
      </c>
    </row>
    <row r="1080">
      <c r="A1080">
        <f>Skills!A19</f>
        <v/>
      </c>
      <c r="B1080">
        <f>Skills!B19</f>
        <v/>
      </c>
      <c r="C1080">
        <f>Inputs!$B$3&gt;=15</f>
        <v/>
      </c>
      <c r="D1080">
        <f>IF(Skills!C19=1,60+Inputs!$B$25+Inputs!$B$29,IF(Skills!C19=2,90+Inputs!$B$26+Inputs!$B$29,IF(Skills!C19=3,120+Inputs!$B$27+Inputs!$B$29,MAX(0,(Inputs!$B$3-100)*3)+Inputs!$B$28+Inputs!$B$29)))</f>
        <v/>
      </c>
      <c r="E1080">
        <f>INDEX(FactorTable!$B$2:$Y$301, MATCH(ROUND(MIN(300,MAX(1,D1080)),0), FactorTable!$A$2:$A$301,0), Skills!M19+1)</f>
        <v/>
      </c>
      <c r="F1080">
        <f>IF(Skills!N19=TRUE,(Skills!L19/10)*(E1080/1000),Skills!L19/10)+Skills!O19</f>
        <v/>
      </c>
      <c r="G1080">
        <f>Skills!G19*IF(Skills!H19&gt;0,Skills!I19/Skills!H19,1)</f>
        <v/>
      </c>
      <c r="H1080">
        <f>1-(1-Skills!J19/100)^Skills!K19</f>
        <v/>
      </c>
      <c r="I1080" t="inlineStr">
        <is>
          <t>1</t>
        </is>
      </c>
      <c r="J1080" t="inlineStr"/>
      <c r="K1080" t="inlineStr"/>
      <c r="L1080" t="inlineStr"/>
      <c r="M1080" t="inlineStr"/>
      <c r="N1080" t="inlineStr"/>
      <c r="O1080">
        <f>(1-Summary!$B$11)*T1080+Summary!$B$11*V1080</f>
        <v/>
      </c>
      <c r="P1080">
        <f>IF(B1103=0,0,O1080/B1103)</f>
        <v/>
      </c>
      <c r="Q1080" t="n">
        <v>0</v>
      </c>
      <c r="R1080" t="n">
        <v>0</v>
      </c>
      <c r="S1080" t="n">
        <v>0</v>
      </c>
      <c r="T1080" t="n">
        <v>0</v>
      </c>
      <c r="V1080" t="n">
        <v>0</v>
      </c>
    </row>
    <row r="1081">
      <c r="A1081">
        <f>Skills!A20</f>
        <v/>
      </c>
      <c r="B1081">
        <f>Skills!B20</f>
        <v/>
      </c>
      <c r="C1081">
        <f>Inputs!$B$3&gt;=10</f>
        <v/>
      </c>
      <c r="D1081">
        <f>IF(Skills!C20=1,60+Inputs!$B$25+Inputs!$B$29,IF(Skills!C20=2,90+Inputs!$B$26+Inputs!$B$29,IF(Skills!C20=3,120+Inputs!$B$27+Inputs!$B$29,MAX(0,(Inputs!$B$3-100)*3)+Inputs!$B$28+Inputs!$B$29)))</f>
        <v/>
      </c>
      <c r="E1081">
        <f>INDEX(FactorTable!$B$2:$Y$301, MATCH(ROUND(MIN(300,MAX(1,D1081)),0), FactorTable!$A$2:$A$301,0), Skills!M20+1)</f>
        <v/>
      </c>
      <c r="F1081">
        <f>IF(Skills!N20=TRUE,(Skills!L20/10)*(E1081/1000),Skills!L20/10)+Skills!O20</f>
        <v/>
      </c>
      <c r="G1081">
        <f>Skills!G20*IF(Skills!H20&gt;0,Skills!I20/Skills!H20,1)</f>
        <v/>
      </c>
      <c r="H1081">
        <f>1-(1-Skills!J20/100)^Skills!K20</f>
        <v/>
      </c>
      <c r="I1081" t="inlineStr">
        <is>
          <t>1</t>
        </is>
      </c>
      <c r="J1081" t="inlineStr"/>
      <c r="K1081" t="inlineStr"/>
      <c r="L1081" t="inlineStr"/>
      <c r="M1081" t="inlineStr"/>
      <c r="N1081" t="inlineStr"/>
      <c r="O1081">
        <f>(1-Summary!$B$11)*T1081+Summary!$B$11*V1081</f>
        <v/>
      </c>
      <c r="P1081">
        <f>IF(B1103=0,0,O1081/B1103)</f>
        <v/>
      </c>
      <c r="Q1081" t="n">
        <v>0</v>
      </c>
      <c r="R1081" t="n">
        <v>0</v>
      </c>
      <c r="S1081" t="n">
        <v>0</v>
      </c>
      <c r="T1081" t="n">
        <v>0</v>
      </c>
      <c r="V1081" t="n">
        <v>0</v>
      </c>
    </row>
    <row r="1082">
      <c r="A1082">
        <f>Skills!A21</f>
        <v/>
      </c>
      <c r="B1082">
        <f>Skills!B21</f>
        <v/>
      </c>
      <c r="C1082">
        <f>Inputs!$B$3&gt;=33</f>
        <v/>
      </c>
      <c r="D1082">
        <f>IF(Skills!C21=1,60+Inputs!$B$25+Inputs!$B$29,IF(Skills!C21=2,90+Inputs!$B$26+Inputs!$B$29,IF(Skills!C21=3,120+Inputs!$B$27+Inputs!$B$29,MAX(0,(Inputs!$B$3-100)*3)+Inputs!$B$28+Inputs!$B$29)))</f>
        <v/>
      </c>
      <c r="E1082">
        <f>INDEX(FactorTable!$B$2:$Y$301, MATCH(ROUND(MIN(300,MAX(1,D1082)),0), FactorTable!$A$2:$A$301,0), Skills!M21+1)</f>
        <v/>
      </c>
      <c r="F1082">
        <f>IF(Skills!N21=TRUE,(Skills!L21/10)*(E1082/1000),Skills!L21/10)+Skills!O21</f>
        <v/>
      </c>
      <c r="G1082">
        <f>Skills!G21*IF(Skills!H21&gt;0,Skills!I21/Skills!H21,1)</f>
        <v/>
      </c>
      <c r="H1082">
        <f>1-(1-Skills!J21/100)^Skills!K21</f>
        <v/>
      </c>
      <c r="I1082" t="inlineStr">
        <is>
          <t>1</t>
        </is>
      </c>
      <c r="J1082" t="inlineStr"/>
      <c r="K1082" t="inlineStr"/>
      <c r="L1082" t="inlineStr"/>
      <c r="M1082" t="inlineStr"/>
      <c r="N1082" t="inlineStr"/>
      <c r="O1082">
        <f>(1-Summary!$B$11)*T1082+Summary!$B$11*V1082</f>
        <v/>
      </c>
      <c r="P1082">
        <f>IF(B1103=0,0,O1082/B1103)</f>
        <v/>
      </c>
      <c r="Q1082" t="n">
        <v>0</v>
      </c>
      <c r="R1082" t="n">
        <v>0</v>
      </c>
      <c r="S1082" t="n">
        <v>0</v>
      </c>
      <c r="T1082" t="n">
        <v>0</v>
      </c>
      <c r="V1082" t="n">
        <v>0</v>
      </c>
    </row>
    <row r="1083">
      <c r="A1083">
        <f>Skills!A22</f>
        <v/>
      </c>
      <c r="B1083">
        <f>Skills!B22</f>
        <v/>
      </c>
      <c r="C1083">
        <f>Inputs!$B$3&gt;=38</f>
        <v/>
      </c>
      <c r="D1083">
        <f>IF(Skills!C22=1,60+Inputs!$B$25+Inputs!$B$29,IF(Skills!C22=2,90+Inputs!$B$26+Inputs!$B$29,IF(Skills!C22=3,120+Inputs!$B$27+Inputs!$B$29,MAX(0,(Inputs!$B$3-100)*3)+Inputs!$B$28+Inputs!$B$29)))</f>
        <v/>
      </c>
      <c r="E1083">
        <f>INDEX(FactorTable!$B$2:$Y$301, MATCH(ROUND(MIN(300,MAX(1,D1083)),0), FactorTable!$A$2:$A$301,0), Skills!M22+1)</f>
        <v/>
      </c>
      <c r="F1083">
        <f>IF(Skills!N22=TRUE,(Skills!L22/10)*(E1083/1000),Skills!L22/10)+Skills!O22</f>
        <v/>
      </c>
      <c r="G1083">
        <f>Skills!G22*IF(Skills!H22&gt;0,Skills!I22/Skills!H22,1)</f>
        <v/>
      </c>
      <c r="H1083">
        <f>1-(1-Skills!J22/100)^Skills!K22</f>
        <v/>
      </c>
      <c r="I1083" t="inlineStr">
        <is>
          <t>1</t>
        </is>
      </c>
      <c r="J1083" t="inlineStr"/>
      <c r="K1083" t="inlineStr"/>
      <c r="L1083" t="inlineStr"/>
      <c r="M1083" t="inlineStr"/>
      <c r="N1083" t="inlineStr"/>
      <c r="O1083">
        <f>(1-Summary!$B$11)*T1083+Summary!$B$11*V1083</f>
        <v/>
      </c>
      <c r="P1083">
        <f>IF(B1103=0,0,O1083/B1103)</f>
        <v/>
      </c>
      <c r="Q1083" t="n">
        <v>0</v>
      </c>
      <c r="R1083" t="n">
        <v>0</v>
      </c>
      <c r="S1083" t="n">
        <v>0</v>
      </c>
      <c r="T1083" t="n">
        <v>0</v>
      </c>
      <c r="V1083" t="n">
        <v>0</v>
      </c>
    </row>
    <row r="1084">
      <c r="A1084">
        <f>Skills!A23</f>
        <v/>
      </c>
      <c r="B1084">
        <f>Skills!B23</f>
        <v/>
      </c>
      <c r="C1084">
        <f>Inputs!$B$3&gt;=43</f>
        <v/>
      </c>
      <c r="D1084">
        <f>IF(Skills!C23=1,60+Inputs!$B$25+Inputs!$B$29,IF(Skills!C23=2,90+Inputs!$B$26+Inputs!$B$29,IF(Skills!C23=3,120+Inputs!$B$27+Inputs!$B$29,MAX(0,(Inputs!$B$3-100)*3)+Inputs!$B$28+Inputs!$B$29)))</f>
        <v/>
      </c>
      <c r="E1084">
        <f>INDEX(FactorTable!$B$2:$Y$301, MATCH(ROUND(MIN(300,MAX(1,D1084)),0), FactorTable!$A$2:$A$301,0), Skills!M23+1)</f>
        <v/>
      </c>
      <c r="F1084">
        <f>IF(Skills!N23=TRUE,(Skills!L23/10)*(E1084/1000),Skills!L23/10)+Skills!O23</f>
        <v/>
      </c>
      <c r="G1084">
        <f>Skills!G23*IF(Skills!H23&gt;0,Skills!I23/Skills!H23,1)</f>
        <v/>
      </c>
      <c r="H1084">
        <f>1-(1-Skills!J23/100)^Skills!K23</f>
        <v/>
      </c>
      <c r="I1084" t="inlineStr">
        <is>
          <t>1</t>
        </is>
      </c>
      <c r="J1084" t="inlineStr"/>
      <c r="K1084" t="inlineStr"/>
      <c r="L1084" t="inlineStr"/>
      <c r="M1084" t="inlineStr"/>
      <c r="N1084" t="inlineStr"/>
      <c r="O1084">
        <f>(1-Summary!$B$11)*T1084+Summary!$B$11*V1084</f>
        <v/>
      </c>
      <c r="P1084">
        <f>IF(B1103=0,0,O1084/B1103)</f>
        <v/>
      </c>
      <c r="Q1084" t="n">
        <v>0</v>
      </c>
      <c r="R1084" t="n">
        <v>0</v>
      </c>
      <c r="S1084" t="n">
        <v>0</v>
      </c>
      <c r="T1084" t="n">
        <v>0</v>
      </c>
      <c r="V1084" t="n">
        <v>0</v>
      </c>
    </row>
    <row r="1085">
      <c r="A1085">
        <f>Skills!A24</f>
        <v/>
      </c>
      <c r="B1085">
        <f>Skills!B24</f>
        <v/>
      </c>
      <c r="C1085">
        <f>Inputs!$B$3&gt;=75</f>
        <v/>
      </c>
      <c r="D1085">
        <f>IF(Skills!C24=1,60+Inputs!$B$25+Inputs!$B$29,IF(Skills!C24=2,90+Inputs!$B$26+Inputs!$B$29,IF(Skills!C24=3,120+Inputs!$B$27+Inputs!$B$29,MAX(0,(Inputs!$B$3-100)*3)+Inputs!$B$28+Inputs!$B$29)))</f>
        <v/>
      </c>
      <c r="E1085">
        <f>INDEX(FactorTable!$B$2:$Y$301, MATCH(ROUND(MIN(300,MAX(1,D1085)),0), FactorTable!$A$2:$A$301,0), Skills!M24+1)</f>
        <v/>
      </c>
      <c r="F1085">
        <f>IF(Skills!N24=TRUE,(Skills!L24/10)*(E1085/1000),Skills!L24/10)+Skills!O24</f>
        <v/>
      </c>
      <c r="G1085">
        <f>Skills!G24*IF(Skills!H24&gt;0,Skills!I24/Skills!H24,1)</f>
        <v/>
      </c>
      <c r="H1085">
        <f>1-(1-Skills!J24/100)^Skills!K24</f>
        <v/>
      </c>
      <c r="I1085" t="inlineStr">
        <is>
          <t>1</t>
        </is>
      </c>
      <c r="J1085" t="inlineStr"/>
      <c r="K1085" t="inlineStr"/>
      <c r="L1085" t="inlineStr"/>
      <c r="M1085" t="inlineStr"/>
      <c r="N1085" t="inlineStr"/>
      <c r="O1085">
        <f>(1-Summary!$B$11)*T1085+Summary!$B$11*V1085</f>
        <v/>
      </c>
      <c r="P1085">
        <f>IF(B1103=0,0,O1085/B1103)</f>
        <v/>
      </c>
      <c r="Q1085" t="n">
        <v>0</v>
      </c>
      <c r="R1085" t="n">
        <v>0</v>
      </c>
      <c r="S1085" t="n">
        <v>0</v>
      </c>
      <c r="T1085" t="n">
        <v>0</v>
      </c>
      <c r="V1085" t="n">
        <v>0</v>
      </c>
    </row>
    <row r="1086">
      <c r="A1086">
        <f>Skills!A25</f>
        <v/>
      </c>
      <c r="B1086">
        <f>Skills!B25</f>
        <v/>
      </c>
      <c r="C1086">
        <f>Inputs!$B$3&gt;=125</f>
        <v/>
      </c>
      <c r="D1086">
        <f>IF(Skills!C25=1,60+Inputs!$B$25+Inputs!$B$29,IF(Skills!C25=2,90+Inputs!$B$26+Inputs!$B$29,IF(Skills!C25=3,120+Inputs!$B$27+Inputs!$B$29,MAX(0,(Inputs!$B$3-100)*3)+Inputs!$B$28+Inputs!$B$29)))</f>
        <v/>
      </c>
      <c r="E1086">
        <f>INDEX(FactorTable!$B$2:$Y$301, MATCH(ROUND(MIN(300,MAX(1,D1086)),0), FactorTable!$A$2:$A$301,0), Skills!M25+1)</f>
        <v/>
      </c>
      <c r="F1086">
        <f>IF(Skills!N25=TRUE,(Skills!L25/10)*(E1086/1000),Skills!L25/10)+Skills!O25</f>
        <v/>
      </c>
      <c r="G1086">
        <f>Skills!G25*IF(Skills!H25&gt;0,Skills!I25/Skills!H25,1)</f>
        <v/>
      </c>
      <c r="H1086">
        <f>1-(1-Skills!J25/100)^Skills!K25</f>
        <v/>
      </c>
      <c r="I1086" t="inlineStr">
        <is>
          <t>1</t>
        </is>
      </c>
      <c r="J1086" t="inlineStr"/>
      <c r="K1086" t="inlineStr"/>
      <c r="L1086" t="inlineStr"/>
      <c r="M1086" t="inlineStr"/>
      <c r="N1086" t="inlineStr"/>
      <c r="O1086">
        <f>(1-Summary!$B$11)*T1086+Summary!$B$11*V1086</f>
        <v/>
      </c>
      <c r="P1086">
        <f>IF(B1103=0,0,O1086/B1103)</f>
        <v/>
      </c>
      <c r="Q1086" t="n">
        <v>0</v>
      </c>
      <c r="R1086" t="n">
        <v>0</v>
      </c>
      <c r="S1086" t="n">
        <v>0</v>
      </c>
      <c r="T1086" t="n">
        <v>0</v>
      </c>
      <c r="V1086" t="n">
        <v>0</v>
      </c>
    </row>
    <row r="1087">
      <c r="A1087">
        <f>Skills!A26</f>
        <v/>
      </c>
      <c r="B1087">
        <f>Skills!B26</f>
        <v/>
      </c>
      <c r="C1087">
        <f>Inputs!$B$3&gt;=125</f>
        <v/>
      </c>
      <c r="D1087">
        <f>IF(Skills!C26=1,60+Inputs!$B$25+Inputs!$B$29,IF(Skills!C26=2,90+Inputs!$B$26+Inputs!$B$29,IF(Skills!C26=3,120+Inputs!$B$27+Inputs!$B$29,MAX(0,(Inputs!$B$3-100)*3)+Inputs!$B$28+Inputs!$B$29)))</f>
        <v/>
      </c>
      <c r="E1087">
        <f>INDEX(FactorTable!$B$2:$Y$301, MATCH(ROUND(MIN(300,MAX(1,D1087)),0), FactorTable!$A$2:$A$301,0), Skills!M26+1)</f>
        <v/>
      </c>
      <c r="F1087">
        <f>IF(Skills!N26=TRUE,(Skills!L26/10)*(E1087/1000),Skills!L26/10)+Skills!O26</f>
        <v/>
      </c>
      <c r="G1087">
        <f>Skills!G26*IF(Skills!H26&gt;0,Skills!I26/Skills!H26,1)</f>
        <v/>
      </c>
      <c r="H1087">
        <f>1-(1-Skills!J26/100)^Skills!K26</f>
        <v/>
      </c>
      <c r="I1087" t="inlineStr">
        <is>
          <t>1</t>
        </is>
      </c>
      <c r="J1087" t="inlineStr"/>
      <c r="K1087" t="inlineStr"/>
      <c r="L1087" t="inlineStr"/>
      <c r="M1087" t="inlineStr"/>
      <c r="N1087" t="inlineStr"/>
      <c r="O1087">
        <f>(1-Summary!$B$11)*T1087+Summary!$B$11*V1087</f>
        <v/>
      </c>
      <c r="P1087">
        <f>IF(B1103=0,0,O1087/B1103)</f>
        <v/>
      </c>
      <c r="Q1087" t="n">
        <v>0</v>
      </c>
      <c r="R1087" t="n">
        <v>0</v>
      </c>
      <c r="S1087" t="n">
        <v>0</v>
      </c>
      <c r="T1087" t="n">
        <v>0</v>
      </c>
      <c r="V1087" t="n">
        <v>0</v>
      </c>
    </row>
    <row r="1088">
      <c r="A1088">
        <f>Skills!A27</f>
        <v/>
      </c>
      <c r="B1088">
        <f>Skills!B27</f>
        <v/>
      </c>
      <c r="C1088">
        <f>Inputs!$B$3&gt;=120</f>
        <v/>
      </c>
      <c r="D1088">
        <f>IF(Skills!C27=1,60+Inputs!$B$25+Inputs!$B$29,IF(Skills!C27=2,90+Inputs!$B$26+Inputs!$B$29,IF(Skills!C27=3,120+Inputs!$B$27+Inputs!$B$29,MAX(0,(Inputs!$B$3-100)*3)+Inputs!$B$28+Inputs!$B$29)))</f>
        <v/>
      </c>
      <c r="E1088">
        <f>INDEX(FactorTable!$B$2:$Y$301, MATCH(ROUND(MIN(300,MAX(1,D1088)),0), FactorTable!$A$2:$A$301,0), Skills!M27+1)</f>
        <v/>
      </c>
      <c r="F1088">
        <f>IF(Skills!N27=TRUE,(Skills!L27/10)*(E1088/1000),Skills!L27/10)+Skills!O27</f>
        <v/>
      </c>
      <c r="G1088">
        <f>Skills!G27*IF(Skills!H27&gt;0,Skills!I27/Skills!H27,1)</f>
        <v/>
      </c>
      <c r="H1088">
        <f>1-(1-Skills!J27/100)^Skills!K27</f>
        <v/>
      </c>
      <c r="I1088" t="inlineStr">
        <is>
          <t>1</t>
        </is>
      </c>
      <c r="J1088" t="inlineStr"/>
      <c r="K1088" t="inlineStr"/>
      <c r="L1088" t="inlineStr"/>
      <c r="M1088" t="inlineStr"/>
      <c r="N1088" t="inlineStr"/>
      <c r="O1088">
        <f>(1-Summary!$B$11)*T1088+Summary!$B$11*V1088</f>
        <v/>
      </c>
      <c r="P1088">
        <f>IF(B1103=0,0,O1088/B1103)</f>
        <v/>
      </c>
      <c r="Q1088" t="n">
        <v>0</v>
      </c>
      <c r="R1088" t="n">
        <v>0</v>
      </c>
      <c r="S1088" t="n">
        <v>0</v>
      </c>
      <c r="T1088" t="n">
        <v>0</v>
      </c>
      <c r="V1088" t="n">
        <v>0</v>
      </c>
    </row>
    <row r="1089">
      <c r="A1089">
        <f>Skills!A28</f>
        <v/>
      </c>
      <c r="B1089">
        <f>Skills!B28</f>
        <v/>
      </c>
      <c r="C1089">
        <f>Inputs!$B$3&gt;=120</f>
        <v/>
      </c>
      <c r="D1089">
        <f>IF(Skills!C28=1,60+Inputs!$B$25+Inputs!$B$29,IF(Skills!C28=2,90+Inputs!$B$26+Inputs!$B$29,IF(Skills!C28=3,120+Inputs!$B$27+Inputs!$B$29,MAX(0,(Inputs!$B$3-100)*3)+Inputs!$B$28+Inputs!$B$29)))</f>
        <v/>
      </c>
      <c r="E1089">
        <f>INDEX(FactorTable!$B$2:$Y$301, MATCH(ROUND(MIN(300,MAX(1,D1089)),0), FactorTable!$A$2:$A$301,0), Skills!M28+1)</f>
        <v/>
      </c>
      <c r="F1089">
        <f>IF(Skills!N28=TRUE,(Skills!L28/10)*(E1089/1000),Skills!L28/10)+Skills!O28</f>
        <v/>
      </c>
      <c r="G1089">
        <f>Skills!G28*IF(Skills!H28&gt;0,Skills!I28/Skills!H28,1)</f>
        <v/>
      </c>
      <c r="H1089">
        <f>1-(1-Skills!J28/100)^Skills!K28</f>
        <v/>
      </c>
      <c r="I1089" t="inlineStr">
        <is>
          <t>1</t>
        </is>
      </c>
      <c r="J1089" t="inlineStr"/>
      <c r="K1089" t="inlineStr"/>
      <c r="L1089" t="inlineStr"/>
      <c r="M1089" t="inlineStr"/>
      <c r="N1089" t="inlineStr"/>
      <c r="O1089">
        <f>(1-Summary!$B$11)*T1089+Summary!$B$11*V1089</f>
        <v/>
      </c>
      <c r="P1089">
        <f>IF(B1103=0,0,O1089/B1103)</f>
        <v/>
      </c>
      <c r="Q1089" t="n">
        <v>0</v>
      </c>
      <c r="R1089" t="n">
        <v>0</v>
      </c>
      <c r="S1089" t="n">
        <v>0</v>
      </c>
      <c r="T1089" t="n">
        <v>0</v>
      </c>
      <c r="V1089" t="n">
        <v>0</v>
      </c>
    </row>
    <row r="1090">
      <c r="A1090">
        <f>Skills!A29</f>
        <v/>
      </c>
      <c r="B1090">
        <f>Skills!B29</f>
        <v/>
      </c>
      <c r="C1090">
        <f>Inputs!$B$3&gt;=45</f>
        <v/>
      </c>
      <c r="D1090">
        <f>IF(Skills!C29=1,60+Inputs!$B$25+Inputs!$B$29,IF(Skills!C29=2,90+Inputs!$B$26+Inputs!$B$29,IF(Skills!C29=3,120+Inputs!$B$27+Inputs!$B$29,MAX(0,(Inputs!$B$3-100)*3)+Inputs!$B$28+Inputs!$B$29)))</f>
        <v/>
      </c>
      <c r="E1090">
        <f>INDEX(FactorTable!$B$2:$Y$301, MATCH(ROUND(MIN(300,MAX(1,D1090)),0), FactorTable!$A$2:$A$301,0), Skills!M29+1)</f>
        <v/>
      </c>
      <c r="F1090">
        <f>IF(Skills!N29=TRUE,(Skills!L29/10)*(E1090/1000),Skills!L29/10)+Skills!O29</f>
        <v/>
      </c>
      <c r="G1090">
        <f>Skills!G29*IF(Skills!H29&gt;0,Skills!I29/Skills!H29,1)</f>
        <v/>
      </c>
      <c r="H1090">
        <f>1-(1-Skills!J29/100)^Skills!K29</f>
        <v/>
      </c>
      <c r="I1090" t="inlineStr">
        <is>
          <t>1</t>
        </is>
      </c>
      <c r="J1090" t="inlineStr"/>
      <c r="K1090" t="inlineStr"/>
      <c r="L1090" t="inlineStr"/>
      <c r="M1090" t="inlineStr"/>
      <c r="N1090" t="inlineStr"/>
      <c r="O1090">
        <f>(1-Summary!$B$11)*T1090+Summary!$B$11*V1090</f>
        <v/>
      </c>
      <c r="P1090">
        <f>IF(B1103=0,0,O1090/B1103)</f>
        <v/>
      </c>
      <c r="Q1090" t="n">
        <v>0</v>
      </c>
      <c r="R1090" t="n">
        <v>0</v>
      </c>
      <c r="S1090" t="n">
        <v>0</v>
      </c>
      <c r="T1090" t="n">
        <v>0</v>
      </c>
      <c r="V1090" t="n">
        <v>0</v>
      </c>
    </row>
    <row r="1092">
      <c r="A1092" t="inlineStr">
        <is>
          <t>Attack% Bucket Multiplier</t>
        </is>
      </c>
      <c r="B1092">
        <f>(1+(((C1074=TRUE)*F1074)+((C1075=TRUE)*IF(Inputs!$B$38="pvp",F1075,(1-Summary!$B$11)*(F1075)+Summary!$B$11*(0)))+((C1076=TRUE)*F1076*IF(AND(Inputs!$B$38&lt;&gt;"pvp",Inputs!$B$43&gt;0),(((R1076-1)*(Skills!T15*(1+Inputs!$B$34/100))+MIN((Skills!T15*(1+Inputs!$B$34/100)),MAX(0,Inputs!$B$43-((R1076-1)*Skills!D15))))/Inputs!$B$43),IF(Inputs!$B$38="pvp",MIN((Skills!T15*(1+Inputs!$B$34/100)),15)/15,(Skills!T15*(1+Inputs!$B$34/100))/Skills!D15)))+((C1073=TRUE)*F1073)+((C1090=TRUE)*(F1090-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1093">
      <c r="A1093" t="inlineStr">
        <is>
          <t>Global Crit Rate Bonus %</t>
        </is>
      </c>
      <c r="B1093">
        <f>(C1077=TRUE)*20*IF(AND(Inputs!$B$38&lt;&gt;"pvp",Inputs!$B$43&gt;0),(((R1077-1)*(Skills!T16*(1+Inputs!$B$34/100))+MIN((Skills!T16*(1+Inputs!$B$34/100)),MAX(0,Inputs!$B$43-((R1077-1)*Skills!D16))))/Inputs!$B$43),IF(Inputs!$B$38="pvp",MIN((Skills!T16*(1+Inputs!$B$34/100)),15)/15,(Skills!T16*(1+Inputs!$B$34/100))/Skills!D16))</f>
        <v/>
      </c>
    </row>
    <row r="1094">
      <c r="A1094" t="inlineStr">
        <is>
          <t>Attack Speed Buff Bonus %</t>
        </is>
      </c>
      <c r="B1094">
        <f>((C1079=TRUE)*F1079*IF(AND(Inputs!$B$38&lt;&gt;"pvp",Inputs!$B$43&gt;0),(((R1079-1)*(Skills!T18*(1+Inputs!$B$34/100))+MIN((Skills!T18*(1+Inputs!$B$34/100)),MAX(0,Inputs!$B$43-((R1079-1)*Skills!D18))))/Inputs!$B$43),IF(Inputs!$B$38="pvp",MIN((Skills!T18*(1+Inputs!$B$34/100)),15)/15,(Skills!T18*(1+Inputs!$B$34/100))/Skills!D18)))</f>
        <v/>
      </c>
    </row>
    <row r="1095">
      <c r="A1095" t="inlineStr">
        <is>
          <t>Actions Per Second</t>
        </is>
      </c>
      <c r="B1095">
        <f>1+MIN(150,150*(1-(1-(Inputs!$B$11+((C1081=TRUE)*(F1081-Calc!F20))+((C1082=TRUE)*(F1082-Calc!F21)))/150)*(1-B1094/150)))/100</f>
        <v/>
      </c>
    </row>
    <row r="1096">
      <c r="A1096" t="inlineStr">
        <is>
          <t>Skill + Buff Cast Rate</t>
        </is>
      </c>
      <c r="B1096">
        <f>IF(AND(Inputs!$B$38&lt;&gt;"pvp",Inputs!$B$43&gt;0),SUMPRODUCT((Skills!E2:E29=TRUE)*(C1063:C1090=TRUE)*R1063:R1090*Skills!F2:F29)/Inputs!$B$43,SUMPRODUCT((Skills!E2:E29=TRUE)*(C1063:C1090=TRUE)*Q1063:Q1090*Skills!F2:F29))</f>
        <v/>
      </c>
    </row>
    <row r="1097">
      <c r="A1097" t="inlineStr">
        <is>
          <t>Empowered Piercing Arrow Casts Per Second</t>
        </is>
      </c>
      <c r="B1097">
        <f>MAX(0,B1095-B1096)</f>
        <v/>
      </c>
    </row>
    <row r="1098">
      <c r="A1098" t="inlineStr">
        <is>
          <t>Global Critical Damage Bonus % (Sharp Eyes)</t>
        </is>
      </c>
      <c r="B1098">
        <f>(C1077=TRUE)*F1077*IF(AND(Inputs!$B$38&lt;&gt;"pvp",Inputs!$B$43&gt;0),(((R1077-1)*(Skills!T16*(1+Inputs!$B$34/100))+MIN((Skills!T16*(1+Inputs!$B$34/100)),MAX(0,Inputs!$B$43-((R1077-1)*Skills!D16))))/Inputs!$B$43),IF(Inputs!$B$38="pvp",MIN((Skills!T16*(1+Inputs!$B$34/100)),15)/15,(Skills!T16*(1+Inputs!$B$34/100))/Skills!D16))</f>
        <v/>
      </c>
    </row>
    <row r="1099">
      <c r="A1099" t="inlineStr">
        <is>
          <t>Global Final Damage Bonus % (Mortal Blow + Last Man Standing conditional half)</t>
        </is>
      </c>
      <c r="B1099">
        <f>(C1078=TRUE)*F1078+((C1087=TRUE)*IF(Inputs!$B$38="pvp",F1087,(1-Summary!$B$11)*(F1087)+Summary!$B$11*(0)))</f>
        <v/>
      </c>
    </row>
    <row r="1100">
      <c r="A1100" t="inlineStr">
        <is>
          <t>Buff-Casting Startup Delay (s, fixed-duration only)</t>
        </is>
      </c>
      <c r="B1100">
        <f>IF(AND(Inputs!$B$38&lt;&gt;"pvp",Inputs!$B$43&gt;0),SUMPRODUCT((Skills!T2:T29&gt;0)*(Skills!E2:E29=TRUE)*(C1063:C1090=TRUE))/B1095,0)</f>
        <v/>
      </c>
    </row>
    <row r="1101">
      <c r="A1101" t="inlineStr">
        <is>
          <t>Boss-Only Total DPS (this block's swept value)</t>
        </is>
      </c>
      <c r="B1101">
        <f>SUM(T1063:T1090)</f>
        <v/>
      </c>
    </row>
    <row r="1102">
      <c r="A1102" t="inlineStr">
        <is>
          <t>Normal-Only Total DPS (this block's swept value)</t>
        </is>
      </c>
      <c r="B1102">
        <f>SUM(V1063:V1090)</f>
        <v/>
      </c>
    </row>
    <row r="1103">
      <c r="A1103" s="6" t="inlineStr">
        <is>
          <t>TOTAL DPS</t>
        </is>
      </c>
      <c r="B1103" s="6">
        <f>SUM(O1063:O1090)</f>
        <v/>
      </c>
    </row>
    <row r="1106">
      <c r="A1106" s="6" t="inlineStr">
        <is>
          <t>Stat: Skill Cooldown Decrease (seconds)</t>
        </is>
      </c>
    </row>
    <row r="1107">
      <c r="A1107" s="5" t="inlineStr">
        <is>
          <t>Key</t>
        </is>
      </c>
      <c r="B1107" s="5" t="inlineStr">
        <is>
          <t>Name</t>
        </is>
      </c>
      <c r="C1107" s="5" t="inlineStr">
        <is>
          <t>Unlocked</t>
        </is>
      </c>
      <c r="D1107" s="5" t="inlineStr">
        <is>
          <t>InputLevel</t>
        </is>
      </c>
      <c r="E1107" s="5" t="inlineStr">
        <is>
          <t>Factor</t>
        </is>
      </c>
      <c r="F1107" s="5" t="inlineStr">
        <is>
          <t>CoefficientPercent</t>
        </is>
      </c>
      <c r="G1107" s="5" t="inlineStr">
        <is>
          <t>EffectiveHits</t>
        </is>
      </c>
      <c r="H1107" s="5" t="inlineStr">
        <is>
          <t>ProcProbability</t>
        </is>
      </c>
      <c r="I1107" s="5" t="inlineStr">
        <is>
          <t>MapleHeroMultiplier</t>
        </is>
      </c>
      <c r="J1107" s="5" t="inlineStr">
        <is>
          <t>BaseDamage</t>
        </is>
      </c>
      <c r="K1107" s="5" t="inlineStr">
        <is>
          <t>BaseHitDamage</t>
        </is>
      </c>
      <c r="L1107" s="5" t="inlineStr">
        <is>
          <t>NonCritAvg</t>
        </is>
      </c>
      <c r="M1107" s="5" t="inlineStr">
        <is>
          <t>CritAvg</t>
        </is>
      </c>
      <c r="N1107" s="5" t="inlineStr">
        <is>
          <t>ExpectedDamage(perHit)</t>
        </is>
      </c>
      <c r="O1107" s="5" t="inlineStr">
        <is>
          <t>DPS</t>
        </is>
      </c>
      <c r="P1107" s="5" t="inlineStr">
        <is>
          <t>% of Total</t>
        </is>
      </c>
      <c r="Q1107" s="5" t="inlineStr">
        <is>
          <t>InvCooldown</t>
        </is>
      </c>
      <c r="R1107" s="5" t="inlineStr">
        <is>
          <t>CastsInFight</t>
        </is>
      </c>
      <c r="S1107" s="5" t="inlineStr">
        <is>
          <t>HitRate(perSec)</t>
        </is>
      </c>
      <c r="U1107" t="inlineStr">
        <is>
          <t>helpers</t>
        </is>
      </c>
    </row>
    <row r="1108">
      <c r="A1108">
        <f>Skills!A2</f>
        <v/>
      </c>
      <c r="B1108">
        <f>Skills!B2</f>
        <v/>
      </c>
      <c r="C1108">
        <f>Inputs!$B$3&gt;=100</f>
        <v/>
      </c>
      <c r="D1108" t="inlineStr"/>
      <c r="E1108" t="inlineStr"/>
      <c r="F1108">
        <f>U1110+Skills!O2</f>
        <v/>
      </c>
      <c r="G1108">
        <f>Skills!G2*IF(Skills!H2&gt;0,Skills!I2/Skills!H2,1)</f>
        <v/>
      </c>
      <c r="H1108">
        <f>1-(1-Skills!J2/100)^Skills!K2</f>
        <v/>
      </c>
      <c r="I1108" t="inlineStr">
        <is>
          <t>1</t>
        </is>
      </c>
      <c r="J1108">
        <f>((Inputs!$B$6*(1+Inputs!$B$7/100))+(((Inputs!$B$12*(1+Inputs!$B$13/100))-(Inputs!$B$12*(1+Inputs!$B$13/100)))+0.25*(Inputs!$B$14-Inputs!$B$14))*(1+Inputs!$B$7/100))*(F1108/100)</f>
        <v/>
      </c>
      <c r="K1108">
        <f>J1108*(1+((Inputs!$B$12*(1+Inputs!$B$13/100))*0.01+Inputs!$B$14*0.0025)/100)*(1+Inputs!$B$15/100)*(1+Inputs!$B$16/100)*(5000/(6000+Inputs!$B$42*(1-(100*(1-(1-(Inputs!$B$19+0)/100)*(1-CHOOSE(ArtifactsInput!$N$40+1,5,6,7,8,9,10)/100)^(ArtifactsInput!$M$40-ArtifactsInput!$M$40)))/100)))*(1+(Inputs!$B$24+((C1130=TRUE)*(F1130-Calc!F24))+((C1131=TRUE)*(F1131-Calc!F25))+B1144)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EMPOWERED_PIERCING_ARROW",Inputs!$B$17+((C1128=TRUE)*(F1128-Calc!F22))+(((IF(AND(ArtifactsInput!$M$42,((Inputs!$B$9+((C1125=TRUE)*(F1125-Calc!F19))+B1138+(ArtifactsInput!$M$24-ArtifactsInput!$M$24)*CHOOSE(ArtifactsInput!$N$24+1,10,12,14,16,18,20)+IF(ArtifactsInput!$M$10,CHOOSE(ArtifactsInput!$N$10+1,15,18,21,24,27,30)*(IF(Inputs!$B$38="pvp",MIN(15,15)/15,IF(AND(Inputs!$B$38&lt;&gt;"pvp",Inputs!$B$43&gt;0),MIN(15,Inputs!$B$43)/(Inputs!$B$43),0))),0)))&gt;=100),MIN(100,((Inputs!$B$9+((C1125=TRUE)*(F1125-Calc!F19))+B1138+(ArtifactsInput!$M$24-ArtifactsInput!$M$24)*CHOOSE(ArtifactsInput!$N$24+1,10,12,14,16,18,20)+IF(ArtifactsInput!$M$10,CHOOSE(ArtifactsInput!$N$10+1,15,18,21,24,27,30)*(IF(Inputs!$B$38="pvp",MIN(15,15)/15,IF(AND(Inputs!$B$38&lt;&gt;"pvp",Inputs!$B$43&gt;0),MIN(15,Inputs!$B$43)/(Inputs!$B$43),0))),0)))-100),0))*CHOOSE(ArtifactsInput!$N$42+1,0.6,0.72,0.84,0.96,1.08,1.2))),Inputs!$B$18+((C1133=TRUE)*(F1133-Calc!F27))+(IF(AND(ArtifactsInput!$M$42,((Inputs!$B$9+((C1125=TRUE)*(F1125-Calc!F19))+B1138+(ArtifactsInput!$M$24-ArtifactsInput!$M$24)*CHOOSE(ArtifactsInput!$N$24+1,10,12,14,16,18,20)+IF(ArtifactsInput!$M$10,CHOOSE(ArtifactsInput!$N$10+1,15,18,21,24,27,30)*(IF(Inputs!$B$38="pvp",MIN(15,15)/15,IF(AND(Inputs!$B$38&lt;&gt;"pvp",Inputs!$B$43&gt;0),MIN(15,Inputs!$B$43)/(Inputs!$B$43),0))),0)))&gt;=100),CHOOSE(ArtifactsInput!$N$42+1,40,48,56,64,72,80),0))))/100)*((1+(((C1119=TRUE)*F1119)+((C1120=TRUE)*IF(Inputs!$B$38="pvp",F1120,(1-Summary!$B$11)*(F1120)+Summary!$B$11*(0)))+((C1121=TRUE)*F1121*IF(AND(Inputs!$B$38&lt;&gt;"pvp",Inputs!$B$43&gt;0),(((R1121-1)*(Skills!T15*(1+Inputs!$B$34/100))+MIN((Skills!T15*(1+Inputs!$B$34/100)),MAX(0,Inputs!$B$43-((R1121-1)*Skills!D15))))/Inputs!$B$43),IF(Inputs!$B$38="pvp",MIN((Skills!T15*(1+Inputs!$B$34/100)),15)/15,(Skills!T15*(1+Inputs!$B$34/100))/Skills!D15)))+((C1118=TRUE)*F1118)+((C1135=TRUE)*(F1135-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1108)</f>
        <v/>
      </c>
      <c r="L1108">
        <f>K1108*(MIN(Inputs!$B$22+((C1129=TRUE)*(F1129-Calc!F23)),(Inputs!$B$23+((C1134=TRUE)*(F1134-Calc!F28))+(IF(ArtifactsInput!$M$15,CHOOSE(ArtifactsInput!$N$15+1,25,30,35,40,45,50)/100*(Inputs!$B$11-Inputs!$B$11),0))))/100+(Inputs!$B$23+((C1134=TRUE)*(F1134-Calc!F28))+(IF(ArtifactsInput!$M$15,CHOOSE(ArtifactsInput!$N$15+1,25,30,35,40,45,50)/100*(Inputs!$B$11-Inputs!$B$11),0)))/100)/2</f>
        <v/>
      </c>
      <c r="M1108">
        <f>L1108*(1+(Inputs!$B$10+0+B1143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108">
        <f>L1108*(1-MIN((Inputs!$B$9+((C1125=TRUE)*(F1125-Calc!F19))+B1138+(ArtifactsInput!$M$24-ArtifactsInput!$M$24)*CHOOSE(ArtifactsInput!$N$24+1,10,12,14,16,18,20)+(IF(AND(ArtifactsInput!$M$42,((Inputs!$B$9+((C1125=TRUE)*(F1125-Calc!F19))+B1138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1108*(MIN((Inputs!$B$9+((C1125=TRUE)*(F1125-Calc!F19))+B1138+(ArtifactsInput!$M$24-ArtifactsInput!$M$24)*CHOOSE(ArtifactsInput!$N$24+1,10,12,14,16,18,20)+(IF(AND(ArtifactsInput!$M$42,((Inputs!$B$9+((C1125=TRUE)*(F1125-Calc!F19))+B1138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108">
        <f>(1-Summary!$B$11)*T1108+Summary!$B$11*V1108</f>
        <v/>
      </c>
      <c r="P1108">
        <f>IF(B1148=0,0,O1108/B1148)</f>
        <v/>
      </c>
      <c r="Q1108" t="n">
        <v>0</v>
      </c>
      <c r="R1108" t="n">
        <v>0</v>
      </c>
      <c r="S1108">
        <f>IFERROR((Skills!G2*N1108*B1142)/N1108*IF(Inputs!$B$38="pvp",1,(1-Summary!$B$11)*1+Summary!$B$11*(MIN((6+Inputs!$B$33),Inputs!$B$37))),0)</f>
        <v/>
      </c>
      <c r="T1108">
        <f>IF(C1108,(Skills!G2*N1108*B1142)*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Hunt"),CHOOSE(ArtifactsInput!$N$35+1,15,18,21,24,27,30)*(1-EXP(-(0.2*B1140)*5)),0)+IF(AND(ArtifactsInput!$M$22,Inputs!$B$4&lt;&gt;"Chapter Hunt"),CHOOSE(ArtifactsInput!$N$22+1,10,12,14,16,18,20)*((0*(((0.15*B1140*5))^0/1)+1*(((0.15*B1140*5))^1/1)+2*(((0.15*B1140*5))^2/2)+3*(((0.15*B1140*5))^3/6)+4*(((0.15*B1140*5))^4/24)+5*(((0.15*B1140*5))^5/120))/((((0.15*B1140*5))^0/1)+(((0.15*B1140*5))^1/1)+(((0.15*B1140*5))^2/2)+(((0.15*B1140*5))^3/6)+(((0.15*B1140*5))^4/24)+(((0.15*B1140*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1108*(1-MIN(100,(Inputs!$B$9+((C1125=TRUE)*(F1125-Calc!F19))+B1138+(ArtifactsInput!$M$24-ArtifactsInput!$M$24)*CHOOSE(ArtifactsInput!$N$24+1,10,12,14,16,18,20)+(IF(AND(ArtifactsInput!$M$42,((Inputs!$B$9+((C1125=TRUE)*(F1125-Calc!F19))+B1138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1108*(MIN(100,(Inputs!$B$9+((C1125=TRUE)*(F1125-Calc!F19))+B1138+(ArtifactsInput!$M$24-ArtifactsInput!$M$24)*CHOOSE(ArtifactsInput!$N$24+1,10,12,14,16,18,20)+(IF(AND(ArtifactsInput!$M$42,((Inputs!$B$9+((C1125=TRUE)*(F1125-Calc!F19))+B1138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1108*(1-MIN(100,(Inputs!$B$9+((C1125=TRUE)*(F1125-Calc!F19))+B1138+(ArtifactsInput!$M$24-ArtifactsInput!$M$24)*CHOOSE(ArtifactsInput!$N$24+1,10,12,14,16,18,20)+(IF(AND(ArtifactsInput!$M$42,((Inputs!$B$9+((C1125=TRUE)*(F1125-Calc!F19))+B1138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1108*(MIN(100,(Inputs!$B$9+((C1125=TRUE)*(F1125-Calc!F19))+B1138+(ArtifactsInput!$M$24-ArtifactsInput!$M$24)*CHOOSE(ArtifactsInput!$N$24+1,10,12,14,16,18,20)+(IF(AND(ArtifactsInput!$M$42,((Inputs!$B$9+((C1125=TRUE)*(F1125-Calc!F19))+B1138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108">
        <f>MAX(0,(Inputs!$B$3-100)*3)+Inputs!$B$28+Inputs!$B$29</f>
        <v/>
      </c>
      <c r="V1108">
        <f>IF(C1108,(Skills!G2*N1108*B1142)*IF(Inputs!$B$38="pvp",1,(1+(Inputs!$B$21+Skills!Q2+(IF(ArtifactsInput!$M$33,CHOOSE(ArtifactsInput!$N$33+1,30,36,42,48,54,60),0))+(IF(AND(ArtifactsInput!$M$35,Inputs!$B$4&lt;&gt;"Chapter Hunt"),CHOOSE(ArtifactsInput!$N$35+1,15,18,21,24,27,30)*(1-EXP(-(0.2*B1140)*5)),0)+IF(AND(ArtifactsInput!$M$22,Inputs!$B$4&lt;&gt;"Chapter Hunt"),CHOOSE(ArtifactsInput!$N$22+1,10,12,14,16,18,20)*((0*(((0.15*B1140*5))^0/1)+1*(((0.15*B1140*5))^1/1)+2*(((0.15*B1140*5))^2/2)+3*(((0.15*B1140*5))^3/6)+4*(((0.15*B1140*5))^4/24)+5*(((0.15*B1140*5))^5/120))/((((0.15*B1140*5))^0/1)+(((0.15*B1140*5))^1/1)+(((0.15*B1140*5))^2/2)+(((0.15*B1140*5))^3/6)+(((0.15*B1140*5))^4/24)+(((0.15*B1140*5))^5/120)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109">
      <c r="A1109">
        <f>Skills!A3</f>
        <v/>
      </c>
      <c r="B1109">
        <f>Skills!B3</f>
        <v/>
      </c>
      <c r="C1109">
        <f>Inputs!$B$3&gt;=50</f>
        <v/>
      </c>
      <c r="D1109">
        <f>IF(Skills!C3=1,60+Inputs!$B$25+Inputs!$B$29,IF(Skills!C3=2,90+Inputs!$B$26+Inputs!$B$29,IF(Skills!C3=3,120+Inputs!$B$27+Inputs!$B$29,MAX(0,(Inputs!$B$3-100)*3)+Inputs!$B$28+Inputs!$B$29)))</f>
        <v/>
      </c>
      <c r="E1109">
        <f>INDEX(FactorTable!$B$2:$Y$301, MATCH(ROUND(MIN(300,MAX(1,D1109)),0), FactorTable!$A$2:$A$301,0), Skills!M3+1)</f>
        <v/>
      </c>
      <c r="F1109">
        <f>IF(Skills!N3=TRUE,(Skills!L3/10)*(E1109/1000),Skills!L3/10)+Skills!O3</f>
        <v/>
      </c>
      <c r="G1109" t="inlineStr"/>
      <c r="H1109" t="inlineStr"/>
      <c r="I1109" t="inlineStr">
        <is>
          <t>1</t>
        </is>
      </c>
      <c r="J1109" t="inlineStr"/>
      <c r="K1109" t="inlineStr"/>
      <c r="L1109" t="inlineStr"/>
      <c r="M1109" t="inlineStr"/>
      <c r="N1109" t="inlineStr"/>
      <c r="O1109" t="inlineStr"/>
      <c r="P1109" t="inlineStr"/>
      <c r="Q1109" t="inlineStr"/>
      <c r="R1109" t="inlineStr"/>
      <c r="S1109" t="inlineStr"/>
      <c r="T1109" t="inlineStr"/>
      <c r="U1109">
        <f>INDEX(FactorTable!$B$2:$Y$301, MATCH(ROUND(MIN(300,MAX(1,U1108)),0), FactorTable!$A$2:$A$301,0), 22)</f>
        <v/>
      </c>
      <c r="V1109" t="inlineStr"/>
    </row>
    <row r="1110">
      <c r="A1110">
        <f>Skills!A4</f>
        <v/>
      </c>
      <c r="B1110">
        <f>Skills!B4</f>
        <v/>
      </c>
      <c r="C1110">
        <f>Inputs!$B$3&gt;=105</f>
        <v/>
      </c>
      <c r="D1110">
        <f>IF(Skills!C4=1,60+Inputs!$B$25+Inputs!$B$29,IF(Skills!C4=2,90+Inputs!$B$26+Inputs!$B$29,IF(Skills!C4=3,120+Inputs!$B$27+Inputs!$B$29,MAX(0,(Inputs!$B$3-100)*3)+Inputs!$B$28+Inputs!$B$29)))</f>
        <v/>
      </c>
      <c r="E1110">
        <f>INDEX(FactorTable!$B$2:$Y$301, MATCH(ROUND(MIN(300,MAX(1,D1110)),0), FactorTable!$A$2:$A$301,0), Skills!M4+1)</f>
        <v/>
      </c>
      <c r="F1110">
        <f>IF(Skills!N4=TRUE,(Skills!L4/10)*(E1110/1000),Skills!L4/10)+Skills!O4</f>
        <v/>
      </c>
      <c r="G1110" t="inlineStr"/>
      <c r="H1110" t="inlineStr"/>
      <c r="I1110" t="inlineStr">
        <is>
          <t>1</t>
        </is>
      </c>
      <c r="J1110" t="inlineStr"/>
      <c r="K1110" t="inlineStr"/>
      <c r="L1110" t="inlineStr"/>
      <c r="M1110" t="inlineStr"/>
      <c r="N1110" t="inlineStr"/>
      <c r="O1110" t="inlineStr"/>
      <c r="P1110" t="inlineStr"/>
      <c r="Q1110" t="inlineStr"/>
      <c r="R1110" t="inlineStr"/>
      <c r="S1110" t="inlineStr"/>
      <c r="T1110" t="inlineStr"/>
      <c r="U1110">
        <f>290*U1109/1000</f>
        <v/>
      </c>
      <c r="V1110" t="inlineStr"/>
    </row>
    <row r="1111">
      <c r="A1111">
        <f>Skills!A5</f>
        <v/>
      </c>
      <c r="B1111">
        <f>Skills!B5</f>
        <v/>
      </c>
      <c r="C1111">
        <f>Inputs!$B$3&gt;=35</f>
        <v/>
      </c>
      <c r="D1111">
        <f>IF(Skills!C5=1,60+Inputs!$B$25+Inputs!$B$29,IF(Skills!C5=2,90+Inputs!$B$26+Inputs!$B$29,IF(Skills!C5=3,120+Inputs!$B$27+Inputs!$B$29,MAX(0,(Inputs!$B$3-100)*3)+Inputs!$B$28+Inputs!$B$29)))</f>
        <v/>
      </c>
      <c r="E1111">
        <f>INDEX(FactorTable!$B$2:$Y$301, MATCH(ROUND(MIN(300,MAX(1,D1111)),0), FactorTable!$A$2:$A$301,0), Skills!M5+1)</f>
        <v/>
      </c>
      <c r="F1111">
        <f>IF(Skills!N5=TRUE,(Skills!L5/10)*(E1111/1000),Skills!L5/10)+Skills!O5</f>
        <v/>
      </c>
      <c r="G1111">
        <f>Skills!G5*IF(Skills!H5&gt;0,Skills!I5/Skills!H5,1)</f>
        <v/>
      </c>
      <c r="H1111">
        <f>1-(1-Skills!J5/100)^Skills!K5</f>
        <v/>
      </c>
      <c r="I1111" t="inlineStr">
        <is>
          <t>1</t>
        </is>
      </c>
      <c r="J1111">
        <f>((Inputs!$B$6*(1+Inputs!$B$7/100))+(((Inputs!$B$12*(1+Inputs!$B$13/100))-(Inputs!$B$12*(1+Inputs!$B$13/100)))+0.25*(Inputs!$B$14-Inputs!$B$14))*(1+Inputs!$B$7/100))*(F1111/100)</f>
        <v/>
      </c>
      <c r="K1111">
        <f>J1111*(1+((Inputs!$B$12*(1+Inputs!$B$13/100))*0.01+Inputs!$B$14*0.0025)/100)*(1+Inputs!$B$15/100)*(1+Inputs!$B$16/100)*(5000/(6000+Inputs!$B$42*(1-(100*(1-(1-(Inputs!$B$19+0)/100)*(1-CHOOSE(ArtifactsInput!$N$40+1,5,6,7,8,9,10)/100)^(ArtifactsInput!$M$40-ArtifactsInput!$M$40)))/100)))*(1+(Inputs!$B$24+((C1130=TRUE)*(F1130-Calc!F24))+((C1131=TRUE)*(F1131-Calc!F25))+B1144)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1114=TRUE,F1114,0)/100)*(1+(IF(Skills!A5="EMPOWERED_PIERCING_ARROW",Inputs!$B$17+((C1128=TRUE)*(F1128-Calc!F22))+(((IF(AND(ArtifactsInput!$M$42,((Inputs!$B$9+((C1125=TRUE)*(F1125-Calc!F19))+B1138+(ArtifactsInput!$M$24-ArtifactsInput!$M$24)*CHOOSE(ArtifactsInput!$N$24+1,10,12,14,16,18,20)+IF(ArtifactsInput!$M$10,CHOOSE(ArtifactsInput!$N$10+1,15,18,21,24,27,30)*(IF(Inputs!$B$38="pvp",MIN(15,15)/15,IF(AND(Inputs!$B$38&lt;&gt;"pvp",Inputs!$B$43&gt;0),MIN(15,Inputs!$B$43)/(Inputs!$B$43),0))),0)))&gt;=100),MIN(100,((Inputs!$B$9+((C1125=TRUE)*(F1125-Calc!F19))+B1138+(ArtifactsInput!$M$24-ArtifactsInput!$M$24)*CHOOSE(ArtifactsInput!$N$24+1,10,12,14,16,18,20)+IF(ArtifactsInput!$M$10,CHOOSE(ArtifactsInput!$N$10+1,15,18,21,24,27,30)*(IF(Inputs!$B$38="pvp",MIN(15,15)/15,IF(AND(Inputs!$B$38&lt;&gt;"pvp",Inputs!$B$43&gt;0),MIN(15,Inputs!$B$43)/(Inputs!$B$43),0))),0)))-100),0))*CHOOSE(ArtifactsInput!$N$42+1,0.6,0.72,0.84,0.96,1.08,1.2))),Inputs!$B$18+((C1133=TRUE)*(F1133-Calc!F27))+(IF(AND(ArtifactsInput!$M$42,((Inputs!$B$9+((C1125=TRUE)*(F1125-Calc!F19))+B1138+(ArtifactsInput!$M$24-ArtifactsInput!$M$24)*CHOOSE(ArtifactsInput!$N$24+1,10,12,14,16,18,20)+IF(ArtifactsInput!$M$10,CHOOSE(ArtifactsInput!$N$10+1,15,18,21,24,27,30)*(IF(Inputs!$B$38="pvp",MIN(15,15)/15,IF(AND(Inputs!$B$38&lt;&gt;"pvp",Inputs!$B$43&gt;0),MIN(15,Inputs!$B$43)/(Inputs!$B$43),0))),0)))&gt;=100),CHOOSE(ArtifactsInput!$N$42+1,40,48,56,64,72,80),0))))/100)*((1+(((C1119=TRUE)*F1119)+((C1120=TRUE)*IF(Inputs!$B$38="pvp",F1120,(1-Summary!$B$11)*(F1120)+Summary!$B$11*(0)))+((C1121=TRUE)*F1121*IF(AND(Inputs!$B$38&lt;&gt;"pvp",Inputs!$B$43&gt;0),(((R1121-1)*(Skills!T15*(1+Inputs!$B$34/100))+MIN((Skills!T15*(1+Inputs!$B$34/100)),MAX(0,Inputs!$B$43-((R1121-1)*Skills!D15))))/Inputs!$B$43),IF(Inputs!$B$38="pvp",MIN((Skills!T15*(1+Inputs!$B$34/100)),15)/15,(Skills!T15*(1+Inputs!$B$34/100))/Skills!D15)))+((C1118=TRUE)*F1118)+((C1135=TRUE)*(F1135-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1111)</f>
        <v/>
      </c>
      <c r="L1111">
        <f>K1111*(MIN(Inputs!$B$22+((C1129=TRUE)*(F1129-Calc!F23)),(Inputs!$B$23+((C1134=TRUE)*(F1134-Calc!F28))+(IF(ArtifactsInput!$M$15,CHOOSE(ArtifactsInput!$N$15+1,25,30,35,40,45,50)/100*(Inputs!$B$11-Inputs!$B$11),0))))/100+(Inputs!$B$23+((C1134=TRUE)*(F1134-Calc!F28))+(IF(ArtifactsInput!$M$15,CHOOSE(ArtifactsInput!$N$15+1,25,30,35,40,45,50)/100*(Inputs!$B$11-Inputs!$B$11),0)))/100)/2</f>
        <v/>
      </c>
      <c r="M1111">
        <f>L1111*(1+(Inputs!$B$10+0+B1143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111">
        <f>L1111*(1-MIN((Inputs!$B$9+((C1125=TRUE)*(F1125-Calc!F19))+B1138+(ArtifactsInput!$M$24-ArtifactsInput!$M$24)*CHOOSE(ArtifactsInput!$N$24+1,10,12,14,16,18,20)+(IF(AND(ArtifactsInput!$M$42,((Inputs!$B$9+((C1125=TRUE)*(F1125-Calc!F19))+B1138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1111*(MIN((Inputs!$B$9+((C1125=TRUE)*(F1125-Calc!F19))+B1138+(ArtifactsInput!$M$24-ArtifactsInput!$M$24)*CHOOSE(ArtifactsInput!$N$24+1,10,12,14,16,18,20)+(IF(AND(ArtifactsInput!$M$42,((Inputs!$B$9+((C1125=TRUE)*(F1125-Calc!F19))+B1138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111">
        <f>(1-Summary!$B$11)*T1111+Summary!$B$11*V1111</f>
        <v/>
      </c>
      <c r="P1111">
        <f>IF(B1148=0,0,O1111/B1148)</f>
        <v/>
      </c>
      <c r="Q1111">
        <f>IFERROR(1/IF(Inputs!$B$38="pvp",15,MAX(0.1,Skills!D5-IF(Skills!E5=TRUE,(Inputs!$B$32+1),0))),0)</f>
        <v/>
      </c>
      <c r="R1111">
        <f>IF(AND(Inputs!$B$38&lt;&gt;"pvp",Inputs!$B$43&gt;0),IF(MAX(0,Inputs!$B$43-B1145)&lt;=0,0,(INT(MAX(0,Inputs!$B$43-B1145)/IF(Inputs!$B$38="pvp",15,MAX(0.1,Skills!D5-IF(Skills!E5=TRUE,(Inputs!$B$32+1),0))))+1)),0)</f>
        <v/>
      </c>
      <c r="S1111">
        <f>IFERROR((H1111*N1111*IF(AND(Inputs!$B$38&lt;&gt;"pvp",Inputs!$B$43&gt;0),((Skills!G5*((R1111-1)*IF(Skills!H5&gt;0,Skills!I5/Skills!H5,1)+IF(Skills!H5&gt;0,MIN(Skills!I5,MAX(0,MAX(0,Inputs!$B$43-B1145)-((R1111-1)*IF(Inputs!$B$38="pvp",15,MAX(0.1,Skills!D5-IF(Skills!E5=TRUE,(Inputs!$B$32+1),0))))))/Skills!H5,1)))/Inputs!$B$43),G1111*Q1111))/N1111*IF(Inputs!$B$38="pvp",1,(1-Summary!$B$11)*1+Summary!$B$11*(MIN(Skills!R5,Inputs!$B$37))),0)</f>
        <v/>
      </c>
      <c r="T1111">
        <f>IF(C1111,(H1111*N1111*IF(AND(Inputs!$B$38&lt;&gt;"pvp",Inputs!$B$43&gt;0),((Skills!G5*((R1111-1)*IF(Skills!H5&gt;0,Skills!I5/Skills!H5,1)+IF(Skills!H5&gt;0,MIN(Skills!I5,MAX(0,MAX(0,Inputs!$B$43-B1145)-((R1111-1)*IF(Inputs!$B$38="pvp",15,MAX(0.1,Skills!D5-IF(Skills!E5=TRUE,(Inputs!$B$32+1),0))))))/Skills!H5,1)))/Inputs!$B$43),G1111*Q1111))*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Hunt"),CHOOSE(ArtifactsInput!$N$35+1,15,18,21,24,27,30)*(1-EXP(-(0.2*B1140)*5)),0)+IF(AND(ArtifactsInput!$M$22,Inputs!$B$4&lt;&gt;"Chapter Hunt"),CHOOSE(ArtifactsInput!$N$22+1,10,12,14,16,18,20)*((0*(((0.15*B1140*5))^0/1)+1*(((0.15*B1140*5))^1/1)+2*(((0.15*B1140*5))^2/2)+3*(((0.15*B1140*5))^3/6)+4*(((0.15*B1140*5))^4/24)+5*(((0.15*B1140*5))^5/120))/((((0.15*B1140*5))^0/1)+(((0.15*B1140*5))^1/1)+(((0.15*B1140*5))^2/2)+(((0.15*B1140*5))^3/6)+(((0.15*B1140*5))^4/24)+(((0.15*B1140*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1111*(1-MIN(100,(Inputs!$B$9+((C1125=TRUE)*(F1125-Calc!F19))+B1138+(ArtifactsInput!$M$24-ArtifactsInput!$M$24)*CHOOSE(ArtifactsInput!$N$24+1,10,12,14,16,18,20)+(IF(AND(ArtifactsInput!$M$42,((Inputs!$B$9+((C1125=TRUE)*(F1125-Calc!F19))+B1138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1111*(MIN(100,(Inputs!$B$9+((C1125=TRUE)*(F1125-Calc!F19))+B1138+(ArtifactsInput!$M$24-ArtifactsInput!$M$24)*CHOOSE(ArtifactsInput!$N$24+1,10,12,14,16,18,20)+(IF(AND(ArtifactsInput!$M$42,((Inputs!$B$9+((C1125=TRUE)*(F1125-Calc!F19))+B1138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1111*(1-MIN(100,(Inputs!$B$9+((C1125=TRUE)*(F1125-Calc!F19))+B1138+(ArtifactsInput!$M$24-ArtifactsInput!$M$24)*CHOOSE(ArtifactsInput!$N$24+1,10,12,14,16,18,20)+(IF(AND(ArtifactsInput!$M$42,((Inputs!$B$9+((C1125=TRUE)*(F1125-Calc!F19))+B1138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1111*(MIN(100,(Inputs!$B$9+((C1125=TRUE)*(F1125-Calc!F19))+B1138+(ArtifactsInput!$M$24-ArtifactsInput!$M$24)*CHOOSE(ArtifactsInput!$N$24+1,10,12,14,16,18,20)+(IF(AND(ArtifactsInput!$M$42,((Inputs!$B$9+((C1125=TRUE)*(F1125-Calc!F19))+B1138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111">
        <f>IF(C1111,(H1111*N1111*IF(AND(Inputs!$B$38&lt;&gt;"pvp",Inputs!$B$43&gt;0),((Skills!G5*((R1111-1)*IF(Skills!H5&gt;0,Skills!I5/Skills!H5,1)+IF(Skills!H5&gt;0,MIN(Skills!I5,MAX(0,MAX(0,Inputs!$B$43-B1145)-((R1111-1)*IF(Inputs!$B$38="pvp",15,MAX(0.1,Skills!D5-IF(Skills!E5=TRUE,(Inputs!$B$32+1),0))))))/Skills!H5,1)))/Inputs!$B$43),G1111*Q1111))*IF(Inputs!$B$38="pvp",1,(1+(Inputs!$B$21+Skills!Q5+(IF(ArtifactsInput!$M$33,CHOOSE(ArtifactsInput!$N$33+1,30,36,42,48,54,60),0))+(IF(AND(ArtifactsInput!$M$35,Inputs!$B$4&lt;&gt;"Chapter Hunt"),CHOOSE(ArtifactsInput!$N$35+1,15,18,21,24,27,30)*(1-EXP(-(0.2*B1140)*5)),0)+IF(AND(ArtifactsInput!$M$22,Inputs!$B$4&lt;&gt;"Chapter Hunt"),CHOOSE(ArtifactsInput!$N$22+1,10,12,14,16,18,20)*((0*(((0.15*B1140*5))^0/1)+1*(((0.15*B1140*5))^1/1)+2*(((0.15*B1140*5))^2/2)+3*(((0.15*B1140*5))^3/6)+4*(((0.15*B1140*5))^4/24)+5*(((0.15*B1140*5))^5/120))/((((0.15*B1140*5))^0/1)+(((0.15*B1140*5))^1/1)+(((0.15*B1140*5))^2/2)+(((0.15*B1140*5))^3/6)+(((0.15*B1140*5))^4/24)+(((0.15*B1140*5))^5/120)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112">
      <c r="A1112">
        <f>Skills!A6</f>
        <v/>
      </c>
      <c r="B1112">
        <f>Skills!B6</f>
        <v/>
      </c>
      <c r="C1112">
        <f>Inputs!$B$3&gt;=63</f>
        <v/>
      </c>
      <c r="D1112">
        <f>IF(Skills!C6=1,60+Inputs!$B$25+Inputs!$B$29,IF(Skills!C6=2,90+Inputs!$B$26+Inputs!$B$29,IF(Skills!C6=3,120+Inputs!$B$27+Inputs!$B$29,MAX(0,(Inputs!$B$3-100)*3)+Inputs!$B$28+Inputs!$B$29)))</f>
        <v/>
      </c>
      <c r="E1112">
        <f>INDEX(FactorTable!$B$2:$Y$301, MATCH(ROUND(MIN(300,MAX(1,D1112)),0), FactorTable!$A$2:$A$301,0), Skills!M6+1)</f>
        <v/>
      </c>
      <c r="F1112">
        <f>IF(Skills!N6=TRUE,(Skills!L6/10)*(E1112/1000),Skills!L6/10)+Skills!O6</f>
        <v/>
      </c>
      <c r="G1112">
        <f>Skills!G6*IF(Skills!H6&gt;0,Skills!I6/Skills!H6,1)</f>
        <v/>
      </c>
      <c r="H1112">
        <f>1-(1-Skills!J6/100)^Skills!K6</f>
        <v/>
      </c>
      <c r="I1112" t="inlineStr">
        <is>
          <t>1</t>
        </is>
      </c>
      <c r="J1112">
        <f>((Inputs!$B$6*(1+Inputs!$B$7/100))+(((Inputs!$B$12*(1+Inputs!$B$13/100))-(Inputs!$B$12*(1+Inputs!$B$13/100)))+0.25*(Inputs!$B$14-Inputs!$B$14))*(1+Inputs!$B$7/100))*(F1112/100)</f>
        <v/>
      </c>
      <c r="K1112">
        <f>J1112*(1+((Inputs!$B$12*(1+Inputs!$B$13/100))*0.01+Inputs!$B$14*0.0025)/100)*(1+Inputs!$B$15/100)*(1+Inputs!$B$16/100)*(5000/(6000+Inputs!$B$42*(1-(100*(1-(1-(Inputs!$B$19+0)/100)*(1-CHOOSE(ArtifactsInput!$N$40+1,5,6,7,8,9,10)/100)^(ArtifactsInput!$M$40-ArtifactsInput!$M$40)))/100)))*(1+(Inputs!$B$24+((C1130=TRUE)*(F1130-Calc!F24))+((C1131=TRUE)*(F1131-Calc!F25))+B1144)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1114=TRUE,F1114,0)/100)*(1+(IF(Skills!A6="EMPOWERED_PIERCING_ARROW",Inputs!$B$17+((C1128=TRUE)*(F1128-Calc!F22))+(((IF(AND(ArtifactsInput!$M$42,((Inputs!$B$9+((C1125=TRUE)*(F1125-Calc!F19))+B1138+(ArtifactsInput!$M$24-ArtifactsInput!$M$24)*CHOOSE(ArtifactsInput!$N$24+1,10,12,14,16,18,20)+IF(ArtifactsInput!$M$10,CHOOSE(ArtifactsInput!$N$10+1,15,18,21,24,27,30)*(IF(Inputs!$B$38="pvp",MIN(15,15)/15,IF(AND(Inputs!$B$38&lt;&gt;"pvp",Inputs!$B$43&gt;0),MIN(15,Inputs!$B$43)/(Inputs!$B$43),0))),0)))&gt;=100),MIN(100,((Inputs!$B$9+((C1125=TRUE)*(F1125-Calc!F19))+B1138+(ArtifactsInput!$M$24-ArtifactsInput!$M$24)*CHOOSE(ArtifactsInput!$N$24+1,10,12,14,16,18,20)+IF(ArtifactsInput!$M$10,CHOOSE(ArtifactsInput!$N$10+1,15,18,21,24,27,30)*(IF(Inputs!$B$38="pvp",MIN(15,15)/15,IF(AND(Inputs!$B$38&lt;&gt;"pvp",Inputs!$B$43&gt;0),MIN(15,Inputs!$B$43)/(Inputs!$B$43),0))),0)))-100),0))*CHOOSE(ArtifactsInput!$N$42+1,0.6,0.72,0.84,0.96,1.08,1.2))),Inputs!$B$18+((C1133=TRUE)*(F1133-Calc!F27))+(IF(AND(ArtifactsInput!$M$42,((Inputs!$B$9+((C1125=TRUE)*(F1125-Calc!F19))+B1138+(ArtifactsInput!$M$24-ArtifactsInput!$M$24)*CHOOSE(ArtifactsInput!$N$24+1,10,12,14,16,18,20)+IF(ArtifactsInput!$M$10,CHOOSE(ArtifactsInput!$N$10+1,15,18,21,24,27,30)*(IF(Inputs!$B$38="pvp",MIN(15,15)/15,IF(AND(Inputs!$B$38&lt;&gt;"pvp",Inputs!$B$43&gt;0),MIN(15,Inputs!$B$43)/(Inputs!$B$43),0))),0)))&gt;=100),CHOOSE(ArtifactsInput!$N$42+1,40,48,56,64,72,80),0))))/100)*((1+(((C1119=TRUE)*F1119)+((C1120=TRUE)*IF(Inputs!$B$38="pvp",F1120,(1-Summary!$B$11)*(F1120)+Summary!$B$11*(0)))+((C1121=TRUE)*F1121*IF(AND(Inputs!$B$38&lt;&gt;"pvp",Inputs!$B$43&gt;0),(((R1121-1)*(Skills!T15*(1+Inputs!$B$34/100))+MIN((Skills!T15*(1+Inputs!$B$34/100)),MAX(0,Inputs!$B$43-((R1121-1)*Skills!D15))))/Inputs!$B$43),IF(Inputs!$B$38="pvp",MIN((Skills!T15*(1+Inputs!$B$34/100)),15)/15,(Skills!T15*(1+Inputs!$B$34/100))/Skills!D15)))+((C1118=TRUE)*F1118)+((C1135=TRUE)*(F1135-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1112)</f>
        <v/>
      </c>
      <c r="L1112">
        <f>K1112*(MIN(Inputs!$B$22+((C1129=TRUE)*(F1129-Calc!F23)),(Inputs!$B$23+((C1134=TRUE)*(F1134-Calc!F28))+(IF(ArtifactsInput!$M$15,CHOOSE(ArtifactsInput!$N$15+1,25,30,35,40,45,50)/100*(Inputs!$B$11-Inputs!$B$11),0))))/100+(Inputs!$B$23+((C1134=TRUE)*(F1134-Calc!F28))+(IF(ArtifactsInput!$M$15,CHOOSE(ArtifactsInput!$N$15+1,25,30,35,40,45,50)/100*(Inputs!$B$11-Inputs!$B$11),0)))/100)/2</f>
        <v/>
      </c>
      <c r="M1112">
        <f>L1112*(1+(Inputs!$B$10+0+B1143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112">
        <f>L1112*(1-MIN((Inputs!$B$9+((C1125=TRUE)*(F1125-Calc!F19))+B1138+(ArtifactsInput!$M$24-ArtifactsInput!$M$24)*CHOOSE(ArtifactsInput!$N$24+1,10,12,14,16,18,20)+(IF(AND(ArtifactsInput!$M$42,((Inputs!$B$9+((C1125=TRUE)*(F1125-Calc!F19))+B1138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1112*(MIN((Inputs!$B$9+((C1125=TRUE)*(F1125-Calc!F19))+B1138+(ArtifactsInput!$M$24-ArtifactsInput!$M$24)*CHOOSE(ArtifactsInput!$N$24+1,10,12,14,16,18,20)+(IF(AND(ArtifactsInput!$M$42,((Inputs!$B$9+((C1125=TRUE)*(F1125-Calc!F19))+B1138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112">
        <f>(1-Summary!$B$11)*T1112+Summary!$B$11*V1112</f>
        <v/>
      </c>
      <c r="P1112">
        <f>IF(B1148=0,0,O1112/B1148)</f>
        <v/>
      </c>
      <c r="Q1112">
        <f>IFERROR(1/IF(Inputs!$B$38="pvp",15,MAX(0.1,Skills!D6-IF(Skills!E6=TRUE,(Inputs!$B$32+1),0))),0)</f>
        <v/>
      </c>
      <c r="R1112">
        <f>IF(AND(Inputs!$B$38&lt;&gt;"pvp",Inputs!$B$43&gt;0),IF(MAX(0,Inputs!$B$43-B1145)&lt;=0,0,(INT(MAX(0,Inputs!$B$43-B1145)/IF(Inputs!$B$38="pvp",15,MAX(0.1,Skills!D6-IF(Skills!E6=TRUE,(Inputs!$B$32+1),0))))+1)),0)</f>
        <v/>
      </c>
      <c r="S1112">
        <f>IFERROR((H1112*N1112*IF(AND(Inputs!$B$38&lt;&gt;"pvp",Inputs!$B$43&gt;0),((Skills!G6*((R1112-1)*IF(Skills!H6&gt;0,Skills!I6/Skills!H6,1)+IF(Skills!H6&gt;0,MIN(Skills!I6,MAX(0,MAX(0,Inputs!$B$43-B1145)-((R1112-1)*IF(Inputs!$B$38="pvp",15,MAX(0.1,Skills!D6-IF(Skills!E6=TRUE,(Inputs!$B$32+1),0))))))/Skills!H6,1)))/Inputs!$B$43),G1112*Q1112))/N1112*IF(Inputs!$B$38="pvp",1,(1-Summary!$B$11)*1+Summary!$B$11*(MIN(Skills!R6,Inputs!$B$37))),0)</f>
        <v/>
      </c>
      <c r="T1112">
        <f>IF(C1112,(H1112*N1112*IF(AND(Inputs!$B$38&lt;&gt;"pvp",Inputs!$B$43&gt;0),((Skills!G6*((R1112-1)*IF(Skills!H6&gt;0,Skills!I6/Skills!H6,1)+IF(Skills!H6&gt;0,MIN(Skills!I6,MAX(0,MAX(0,Inputs!$B$43-B1145)-((R1112-1)*IF(Inputs!$B$38="pvp",15,MAX(0.1,Skills!D6-IF(Skills!E6=TRUE,(Inputs!$B$32+1),0))))))/Skills!H6,1)))/Inputs!$B$43),G1112*Q1112))*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Hunt"),CHOOSE(ArtifactsInput!$N$35+1,15,18,21,24,27,30)*(1-EXP(-(0.2*B1140)*5)),0)+IF(AND(ArtifactsInput!$M$22,Inputs!$B$4&lt;&gt;"Chapter Hunt"),CHOOSE(ArtifactsInput!$N$22+1,10,12,14,16,18,20)*((0*(((0.15*B1140*5))^0/1)+1*(((0.15*B1140*5))^1/1)+2*(((0.15*B1140*5))^2/2)+3*(((0.15*B1140*5))^3/6)+4*(((0.15*B1140*5))^4/24)+5*(((0.15*B1140*5))^5/120))/((((0.15*B1140*5))^0/1)+(((0.15*B1140*5))^1/1)+(((0.15*B1140*5))^2/2)+(((0.15*B1140*5))^3/6)+(((0.15*B1140*5))^4/24)+(((0.15*B1140*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1112*(1-MIN(100,(Inputs!$B$9+((C1125=TRUE)*(F1125-Calc!F19))+B1138+(ArtifactsInput!$M$24-ArtifactsInput!$M$24)*CHOOSE(ArtifactsInput!$N$24+1,10,12,14,16,18,20)+(IF(AND(ArtifactsInput!$M$42,((Inputs!$B$9+((C1125=TRUE)*(F1125-Calc!F19))+B1138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1112*(MIN(100,(Inputs!$B$9+((C1125=TRUE)*(F1125-Calc!F19))+B1138+(ArtifactsInput!$M$24-ArtifactsInput!$M$24)*CHOOSE(ArtifactsInput!$N$24+1,10,12,14,16,18,20)+(IF(AND(ArtifactsInput!$M$42,((Inputs!$B$9+((C1125=TRUE)*(F1125-Calc!F19))+B1138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1112*(1-MIN(100,(Inputs!$B$9+((C1125=TRUE)*(F1125-Calc!F19))+B1138+(ArtifactsInput!$M$24-ArtifactsInput!$M$24)*CHOOSE(ArtifactsInput!$N$24+1,10,12,14,16,18,20)+(IF(AND(ArtifactsInput!$M$42,((Inputs!$B$9+((C1125=TRUE)*(F1125-Calc!F19))+B1138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1112*(MIN(100,(Inputs!$B$9+((C1125=TRUE)*(F1125-Calc!F19))+B1138+(ArtifactsInput!$M$24-ArtifactsInput!$M$24)*CHOOSE(ArtifactsInput!$N$24+1,10,12,14,16,18,20)+(IF(AND(ArtifactsInput!$M$42,((Inputs!$B$9+((C1125=TRUE)*(F1125-Calc!F19))+B1138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112">
        <f>IF(C1112,(H1112*N1112*IF(AND(Inputs!$B$38&lt;&gt;"pvp",Inputs!$B$43&gt;0),((Skills!G6*((R1112-1)*IF(Skills!H6&gt;0,Skills!I6/Skills!H6,1)+IF(Skills!H6&gt;0,MIN(Skills!I6,MAX(0,MAX(0,Inputs!$B$43-B1145)-((R1112-1)*IF(Inputs!$B$38="pvp",15,MAX(0.1,Skills!D6-IF(Skills!E6=TRUE,(Inputs!$B$32+1),0))))))/Skills!H6,1)))/Inputs!$B$43),G1112*Q1112))*IF(Inputs!$B$38="pvp",1,(1+(Inputs!$B$21+Skills!Q6+(IF(ArtifactsInput!$M$33,CHOOSE(ArtifactsInput!$N$33+1,30,36,42,48,54,60),0))+(IF(AND(ArtifactsInput!$M$35,Inputs!$B$4&lt;&gt;"Chapter Hunt"),CHOOSE(ArtifactsInput!$N$35+1,15,18,21,24,27,30)*(1-EXP(-(0.2*B1140)*5)),0)+IF(AND(ArtifactsInput!$M$22,Inputs!$B$4&lt;&gt;"Chapter Hunt"),CHOOSE(ArtifactsInput!$N$22+1,10,12,14,16,18,20)*((0*(((0.15*B1140*5))^0/1)+1*(((0.15*B1140*5))^1/1)+2*(((0.15*B1140*5))^2/2)+3*(((0.15*B1140*5))^3/6)+4*(((0.15*B1140*5))^4/24)+5*(((0.15*B1140*5))^5/120))/((((0.15*B1140*5))^0/1)+(((0.15*B1140*5))^1/1)+(((0.15*B1140*5))^2/2)+(((0.15*B1140*5))^3/6)+(((0.15*B1140*5))^4/24)+(((0.15*B1140*5))^5/120))),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113">
      <c r="A1113">
        <f>Skills!A7</f>
        <v/>
      </c>
      <c r="B1113">
        <f>Skills!B7</f>
        <v/>
      </c>
      <c r="C1113">
        <f>Inputs!$B$3&gt;=69</f>
        <v/>
      </c>
      <c r="D1113">
        <f>IF(Skills!C7=1,60+Inputs!$B$25+Inputs!$B$29,IF(Skills!C7=2,90+Inputs!$B$26+Inputs!$B$29,IF(Skills!C7=3,120+Inputs!$B$27+Inputs!$B$29,MAX(0,(Inputs!$B$3-100)*3)+Inputs!$B$28+Inputs!$B$29)))</f>
        <v/>
      </c>
      <c r="E1113">
        <f>INDEX(FactorTable!$B$2:$Y$301, MATCH(ROUND(MIN(300,MAX(1,D1113)),0), FactorTable!$A$2:$A$301,0), Skills!M7+1)</f>
        <v/>
      </c>
      <c r="F1113">
        <f>IF(Skills!N7=TRUE,(Skills!L7/10)*(E1113/1000),Skills!L7/10)+Skills!O7</f>
        <v/>
      </c>
      <c r="G1113">
        <f>Skills!G7*IF(Skills!H7&gt;0,Skills!I7/Skills!H7,1)</f>
        <v/>
      </c>
      <c r="H1113">
        <f>1-(1-Skills!J7/100)^Skills!K7</f>
        <v/>
      </c>
      <c r="I1113" t="inlineStr">
        <is>
          <t>1</t>
        </is>
      </c>
      <c r="J1113">
        <f>((Inputs!$B$6*(1+Inputs!$B$7/100))+(((Inputs!$B$12*(1+Inputs!$B$13/100))-(Inputs!$B$12*(1+Inputs!$B$13/100)))+0.25*(Inputs!$B$14-Inputs!$B$14))*(1+Inputs!$B$7/100))*(F1113/100)</f>
        <v/>
      </c>
      <c r="K1113">
        <f>J1113*(1+((Inputs!$B$12*(1+Inputs!$B$13/100))*0.01+Inputs!$B$14*0.0025)/100)*(1+Inputs!$B$15/100)*(1+Inputs!$B$16/100)*(5000/(6000+Inputs!$B$42*(1-(100*(1-(1-(Inputs!$B$19+0)/100)*(1-CHOOSE(ArtifactsInput!$N$40+1,5,6,7,8,9,10)/100)^(ArtifactsInput!$M$40-ArtifactsInput!$M$40)))/100)))*(1+(Inputs!$B$24+((C1130=TRUE)*(F1130-Calc!F24))+((C1131=TRUE)*(F1131-Calc!F25))+B1144)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+1.2*IF(C1114=TRUE,F1114,0)/100)*(1+(IF(Skills!A7="EMPOWERED_PIERCING_ARROW",Inputs!$B$17+((C1128=TRUE)*(F1128-Calc!F22))+(((IF(AND(ArtifactsInput!$M$42,((Inputs!$B$9+((C1125=TRUE)*(F1125-Calc!F19))+B1138+(ArtifactsInput!$M$24-ArtifactsInput!$M$24)*CHOOSE(ArtifactsInput!$N$24+1,10,12,14,16,18,20)+IF(ArtifactsInput!$M$10,CHOOSE(ArtifactsInput!$N$10+1,15,18,21,24,27,30)*(IF(Inputs!$B$38="pvp",MIN(15,15)/15,IF(AND(Inputs!$B$38&lt;&gt;"pvp",Inputs!$B$43&gt;0),MIN(15,Inputs!$B$43)/(Inputs!$B$43),0))),0)))&gt;=100),MIN(100,((Inputs!$B$9+((C1125=TRUE)*(F1125-Calc!F19))+B1138+(ArtifactsInput!$M$24-ArtifactsInput!$M$24)*CHOOSE(ArtifactsInput!$N$24+1,10,12,14,16,18,20)+IF(ArtifactsInput!$M$10,CHOOSE(ArtifactsInput!$N$10+1,15,18,21,24,27,30)*(IF(Inputs!$B$38="pvp",MIN(15,15)/15,IF(AND(Inputs!$B$38&lt;&gt;"pvp",Inputs!$B$43&gt;0),MIN(15,Inputs!$B$43)/(Inputs!$B$43),0))),0)))-100),0))*CHOOSE(ArtifactsInput!$N$42+1,0.6,0.72,0.84,0.96,1.08,1.2))),Inputs!$B$18+((C1133=TRUE)*(F1133-Calc!F27))+(IF(AND(ArtifactsInput!$M$42,((Inputs!$B$9+((C1125=TRUE)*(F1125-Calc!F19))+B1138+(ArtifactsInput!$M$24-ArtifactsInput!$M$24)*CHOOSE(ArtifactsInput!$N$24+1,10,12,14,16,18,20)+IF(ArtifactsInput!$M$10,CHOOSE(ArtifactsInput!$N$10+1,15,18,21,24,27,30)*(IF(Inputs!$B$38="pvp",MIN(15,15)/15,IF(AND(Inputs!$B$38&lt;&gt;"pvp",Inputs!$B$43&gt;0),MIN(15,Inputs!$B$43)/(Inputs!$B$43),0))),0)))&gt;=100),CHOOSE(ArtifactsInput!$N$42+1,40,48,56,64,72,80),0))))/100)*((1+(((C1119=TRUE)*F1119)+((C1120=TRUE)*IF(Inputs!$B$38="pvp",F1120,(1-Summary!$B$11)*(F1120)+Summary!$B$11*(0)))+((C1121=TRUE)*F1121*IF(AND(Inputs!$B$38&lt;&gt;"pvp",Inputs!$B$43&gt;0),(((R1121-1)*(Skills!T15*(1+Inputs!$B$34/100))+MIN((Skills!T15*(1+Inputs!$B$34/100)),MAX(0,Inputs!$B$43-((R1121-1)*Skills!D15))))/Inputs!$B$43),IF(Inputs!$B$38="pvp",MIN((Skills!T15*(1+Inputs!$B$34/100)),15)/15,(Skills!T15*(1+Inputs!$B$34/100))/Skills!D15)))+((C1118=TRUE)*F1118)+((C1135=TRUE)*(F1135-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1113)</f>
        <v/>
      </c>
      <c r="L1113">
        <f>K1113*(MIN(Inputs!$B$22+((C1129=TRUE)*(F1129-Calc!F23)),(Inputs!$B$23+((C1134=TRUE)*(F1134-Calc!F28))+(IF(ArtifactsInput!$M$15,CHOOSE(ArtifactsInput!$N$15+1,25,30,35,40,45,50)/100*(Inputs!$B$11-Inputs!$B$11),0))))/100+(Inputs!$B$23+((C1134=TRUE)*(F1134-Calc!F28))+(IF(ArtifactsInput!$M$15,CHOOSE(ArtifactsInput!$N$15+1,25,30,35,40,45,50)/100*(Inputs!$B$11-Inputs!$B$11),0)))/100)/2</f>
        <v/>
      </c>
      <c r="M1113">
        <f>L1113*(1+(Inputs!$B$10+0+B1143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113">
        <f>L1113*(1-MIN((Inputs!$B$9+((C1125=TRUE)*(F1125-Calc!F19))+B1138+(ArtifactsInput!$M$24-ArtifactsInput!$M$24)*CHOOSE(ArtifactsInput!$N$24+1,10,12,14,16,18,20)+(IF(AND(ArtifactsInput!$M$42,((Inputs!$B$9+((C1125=TRUE)*(F1125-Calc!F19))+B1138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1113*(MIN((Inputs!$B$9+((C1125=TRUE)*(F1125-Calc!F19))+B1138+(ArtifactsInput!$M$24-ArtifactsInput!$M$24)*CHOOSE(ArtifactsInput!$N$24+1,10,12,14,16,18,20)+(IF(AND(ArtifactsInput!$M$42,((Inputs!$B$9+((C1125=TRUE)*(F1125-Calc!F19))+B1138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113">
        <f>(1-Summary!$B$11)*T1113+Summary!$B$11*V1113</f>
        <v/>
      </c>
      <c r="P1113">
        <f>IF(B1148=0,0,O1113/B1148)</f>
        <v/>
      </c>
      <c r="Q1113">
        <f>IFERROR(1/IF(Inputs!$B$38="pvp",15,MAX(0.1,Skills!D7-IF(Skills!E7=TRUE,(Inputs!$B$32+1),0))),0)</f>
        <v/>
      </c>
      <c r="R1113">
        <f>IF(AND(Inputs!$B$38&lt;&gt;"pvp",Inputs!$B$43&gt;0),IF(MAX(0,Inputs!$B$43-B1145)&lt;=0,0,(INT(MAX(0,Inputs!$B$43-B1145)/IF(Inputs!$B$38="pvp",15,MAX(0.1,Skills!D7-IF(Skills!E7=TRUE,(Inputs!$B$32+1),0))))+1)),0)</f>
        <v/>
      </c>
      <c r="S1113">
        <f>IFERROR((H1113*N1113*IF(AND(Inputs!$B$38&lt;&gt;"pvp",Inputs!$B$43&gt;0),((Skills!G7*((R1113-1)*IF(Skills!H7&gt;0,Skills!I7/Skills!H7,1)+IF(Skills!H7&gt;0,MIN(Skills!I7,MAX(0,MAX(0,Inputs!$B$43-B1145)-((R1113-1)*IF(Inputs!$B$38="pvp",15,MAX(0.1,Skills!D7-IF(Skills!E7=TRUE,(Inputs!$B$32+1),0))))))/Skills!H7,1)))/Inputs!$B$43),G1113*Q1113))/N1113*IF(Inputs!$B$38="pvp",1,(1-Summary!$B$11)*1+Summary!$B$11*(MIN(Skills!R7,Inputs!$B$37))),0)</f>
        <v/>
      </c>
      <c r="T1113">
        <f>IF(C1113,(H1113*N1113*IF(AND(Inputs!$B$38&lt;&gt;"pvp",Inputs!$B$43&gt;0),((Skills!G7*((R1113-1)*IF(Skills!H7&gt;0,Skills!I7/Skills!H7,1)+IF(Skills!H7&gt;0,MIN(Skills!I7,MAX(0,MAX(0,Inputs!$B$43-B1145)-((R1113-1)*IF(Inputs!$B$38="pvp",15,MAX(0.1,Skills!D7-IF(Skills!E7=TRUE,(Inputs!$B$32+1),0))))))/Skills!H7,1)))/Inputs!$B$43),G1113*Q1113))*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Hunt"),CHOOSE(ArtifactsInput!$N$35+1,15,18,21,24,27,30)*(1-EXP(-(0.2*B1140)*5)),0)+IF(AND(ArtifactsInput!$M$22,Inputs!$B$4&lt;&gt;"Chapter Hunt"),CHOOSE(ArtifactsInput!$N$22+1,10,12,14,16,18,20)*((0*(((0.15*B1140*5))^0/1)+1*(((0.15*B1140*5))^1/1)+2*(((0.15*B1140*5))^2/2)+3*(((0.15*B1140*5))^3/6)+4*(((0.15*B1140*5))^4/24)+5*(((0.15*B1140*5))^5/120))/((((0.15*B1140*5))^0/1)+(((0.15*B1140*5))^1/1)+(((0.15*B1140*5))^2/2)+(((0.15*B1140*5))^3/6)+(((0.15*B1140*5))^4/24)+(((0.15*B1140*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1113*(1-MIN(100,(Inputs!$B$9+((C1125=TRUE)*(F1125-Calc!F19))+B1138+(ArtifactsInput!$M$24-ArtifactsInput!$M$24)*CHOOSE(ArtifactsInput!$N$24+1,10,12,14,16,18,20)+(IF(AND(ArtifactsInput!$M$42,((Inputs!$B$9+((C1125=TRUE)*(F1125-Calc!F19))+B1138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1113*(MIN(100,(Inputs!$B$9+((C1125=TRUE)*(F1125-Calc!F19))+B1138+(ArtifactsInput!$M$24-ArtifactsInput!$M$24)*CHOOSE(ArtifactsInput!$N$24+1,10,12,14,16,18,20)+(IF(AND(ArtifactsInput!$M$42,((Inputs!$B$9+((C1125=TRUE)*(F1125-Calc!F19))+B1138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1113*(1-MIN(100,(Inputs!$B$9+((C1125=TRUE)*(F1125-Calc!F19))+B1138+(ArtifactsInput!$M$24-ArtifactsInput!$M$24)*CHOOSE(ArtifactsInput!$N$24+1,10,12,14,16,18,20)+(IF(AND(ArtifactsInput!$M$42,((Inputs!$B$9+((C1125=TRUE)*(F1125-Calc!F19))+B1138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1113*(MIN(100,(Inputs!$B$9+((C1125=TRUE)*(F1125-Calc!F19))+B1138+(ArtifactsInput!$M$24-ArtifactsInput!$M$24)*CHOOSE(ArtifactsInput!$N$24+1,10,12,14,16,18,20)+(IF(AND(ArtifactsInput!$M$42,((Inputs!$B$9+((C1125=TRUE)*(F1125-Calc!F19))+B1138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113">
        <f>IF(C1113,(H1113*N1113*IF(AND(Inputs!$B$38&lt;&gt;"pvp",Inputs!$B$43&gt;0),((Skills!G7*((R1113-1)*IF(Skills!H7&gt;0,Skills!I7/Skills!H7,1)+IF(Skills!H7&gt;0,MIN(Skills!I7,MAX(0,MAX(0,Inputs!$B$43-B1145)-((R1113-1)*IF(Inputs!$B$38="pvp",15,MAX(0.1,Skills!D7-IF(Skills!E7=TRUE,(Inputs!$B$32+1),0))))))/Skills!H7,1)))/Inputs!$B$43),G1113*Q1113))*IF(Inputs!$B$38="pvp",1,(1+(Inputs!$B$21+Skills!Q7+(IF(ArtifactsInput!$M$33,CHOOSE(ArtifactsInput!$N$33+1,30,36,42,48,54,60),0))+(IF(AND(ArtifactsInput!$M$35,Inputs!$B$4&lt;&gt;"Chapter Hunt"),CHOOSE(ArtifactsInput!$N$35+1,15,18,21,24,27,30)*(1-EXP(-(0.2*B1140)*5)),0)+IF(AND(ArtifactsInput!$M$22,Inputs!$B$4&lt;&gt;"Chapter Hunt"),CHOOSE(ArtifactsInput!$N$22+1,10,12,14,16,18,20)*((0*(((0.15*B1140*5))^0/1)+1*(((0.15*B1140*5))^1/1)+2*(((0.15*B1140*5))^2/2)+3*(((0.15*B1140*5))^3/6)+4*(((0.15*B1140*5))^4/24)+5*(((0.15*B1140*5))^5/120))/((((0.15*B1140*5))^0/1)+(((0.15*B1140*5))^1/1)+(((0.15*B1140*5))^2/2)+(((0.15*B1140*5))^3/6)+(((0.15*B1140*5))^4/24)+(((0.15*B1140*5))^5/120))),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114">
      <c r="A1114">
        <f>Skills!A8</f>
        <v/>
      </c>
      <c r="B1114">
        <f>Skills!B8</f>
        <v/>
      </c>
      <c r="C1114">
        <f>Inputs!$B$3&gt;=100</f>
        <v/>
      </c>
      <c r="D1114">
        <f>IF(Skills!C8=1,60+Inputs!$B$25+Inputs!$B$29,IF(Skills!C8=2,90+Inputs!$B$26+Inputs!$B$29,IF(Skills!C8=3,120+Inputs!$B$27+Inputs!$B$29,MAX(0,(Inputs!$B$3-100)*3)+Inputs!$B$28+Inputs!$B$29)))</f>
        <v/>
      </c>
      <c r="E1114">
        <f>INDEX(FactorTable!$B$2:$Y$301, MATCH(ROUND(MIN(300,MAX(1,D1114)),0), FactorTable!$A$2:$A$301,0), Skills!M8+1)</f>
        <v/>
      </c>
      <c r="F1114">
        <f>IF(Skills!N8=TRUE,(Skills!L8/10)*(E1114/1000),Skills!L8/10)+Skills!O8</f>
        <v/>
      </c>
      <c r="G1114" t="inlineStr"/>
      <c r="H1114" t="inlineStr"/>
      <c r="I1114" t="inlineStr">
        <is>
          <t>1</t>
        </is>
      </c>
      <c r="J1114" t="inlineStr"/>
      <c r="K1114" t="inlineStr"/>
      <c r="L1114" t="inlineStr"/>
      <c r="M1114" t="inlineStr"/>
      <c r="N1114" t="inlineStr"/>
      <c r="O1114" t="inlineStr"/>
      <c r="P1114" t="inlineStr"/>
      <c r="Q1114" t="inlineStr"/>
      <c r="R1114" t="inlineStr"/>
      <c r="S1114" t="inlineStr"/>
      <c r="T1114" t="inlineStr"/>
      <c r="V1114" t="inlineStr"/>
    </row>
    <row r="1115">
      <c r="A1115">
        <f>Skills!A9</f>
        <v/>
      </c>
      <c r="B1115">
        <f>Skills!B9</f>
        <v/>
      </c>
      <c r="C1115">
        <f>Inputs!$B$3&gt;=103</f>
        <v/>
      </c>
      <c r="D1115">
        <f>IF(Skills!C9=1,60+Inputs!$B$25+Inputs!$B$29,IF(Skills!C9=2,90+Inputs!$B$26+Inputs!$B$29,IF(Skills!C9=3,120+Inputs!$B$27+Inputs!$B$29,MAX(0,(Inputs!$B$3-100)*3)+Inputs!$B$28+Inputs!$B$29)))</f>
        <v/>
      </c>
      <c r="E1115">
        <f>INDEX(FactorTable!$B$2:$Y$301, MATCH(ROUND(MIN(300,MAX(1,D1115)),0), FactorTable!$A$2:$A$301,0), Skills!M9+1)</f>
        <v/>
      </c>
      <c r="F1115">
        <f>IF(Skills!N9=TRUE,(Skills!L9/10)*(E1115/1000),Skills!L9/10)+Skills!O9</f>
        <v/>
      </c>
      <c r="G1115">
        <f>Skills!G9*IF(Skills!H9&gt;0,Skills!I9/Skills!H9,1)</f>
        <v/>
      </c>
      <c r="H1115">
        <f>1-(1-Skills!J9/100)^Skills!K9</f>
        <v/>
      </c>
      <c r="I1115" t="inlineStr">
        <is>
          <t>1</t>
        </is>
      </c>
      <c r="J1115">
        <f>((Inputs!$B$6*(1+Inputs!$B$7/100))+(((Inputs!$B$12*(1+Inputs!$B$13/100))-(Inputs!$B$12*(1+Inputs!$B$13/100)))+0.25*(Inputs!$B$14-Inputs!$B$14))*(1+Inputs!$B$7/100))*(F1115/100)</f>
        <v/>
      </c>
      <c r="K1115">
        <f>J1115*(1+((Inputs!$B$12*(1+Inputs!$B$13/100))*0.01+Inputs!$B$14*0.0025)/100)*(1+Inputs!$B$15/100)*(1+Inputs!$B$16/100)*(5000/(6000+Inputs!$B$42*(1-(100*(1-(1-(Inputs!$B$19+0)/100)*(1-CHOOSE(ArtifactsInput!$N$40+1,5,6,7,8,9,10)/100)^(ArtifactsInput!$M$40-ArtifactsInput!$M$40)))/100)))*(1+(Inputs!$B$24+((C1130=TRUE)*(F1130-Calc!F24))+((C1131=TRUE)*(F1131-Calc!F25))+B1144)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EMPOWERED_PIERCING_ARROW",Inputs!$B$17+((C1128=TRUE)*(F1128-Calc!F22))+(((IF(AND(ArtifactsInput!$M$42,((Inputs!$B$9+((C1125=TRUE)*(F1125-Calc!F19))+B1138+(ArtifactsInput!$M$24-ArtifactsInput!$M$24)*CHOOSE(ArtifactsInput!$N$24+1,10,12,14,16,18,20)+IF(ArtifactsInput!$M$10,CHOOSE(ArtifactsInput!$N$10+1,15,18,21,24,27,30)*(IF(Inputs!$B$38="pvp",MIN(15,15)/15,IF(AND(Inputs!$B$38&lt;&gt;"pvp",Inputs!$B$43&gt;0),MIN(15,Inputs!$B$43)/(Inputs!$B$43),0))),0)))&gt;=100),MIN(100,((Inputs!$B$9+((C1125=TRUE)*(F1125-Calc!F19))+B1138+(ArtifactsInput!$M$24-ArtifactsInput!$M$24)*CHOOSE(ArtifactsInput!$N$24+1,10,12,14,16,18,20)+IF(ArtifactsInput!$M$10,CHOOSE(ArtifactsInput!$N$10+1,15,18,21,24,27,30)*(IF(Inputs!$B$38="pvp",MIN(15,15)/15,IF(AND(Inputs!$B$38&lt;&gt;"pvp",Inputs!$B$43&gt;0),MIN(15,Inputs!$B$43)/(Inputs!$B$43),0))),0)))-100),0))*CHOOSE(ArtifactsInput!$N$42+1,0.6,0.72,0.84,0.96,1.08,1.2))),Inputs!$B$18+((C1133=TRUE)*(F1133-Calc!F27))+(IF(AND(ArtifactsInput!$M$42,((Inputs!$B$9+((C1125=TRUE)*(F1125-Calc!F19))+B1138+(ArtifactsInput!$M$24-ArtifactsInput!$M$24)*CHOOSE(ArtifactsInput!$N$24+1,10,12,14,16,18,20)+IF(ArtifactsInput!$M$10,CHOOSE(ArtifactsInput!$N$10+1,15,18,21,24,27,30)*(IF(Inputs!$B$38="pvp",MIN(15,15)/15,IF(AND(Inputs!$B$38&lt;&gt;"pvp",Inputs!$B$43&gt;0),MIN(15,Inputs!$B$43)/(Inputs!$B$43),0))),0)))&gt;=100),CHOOSE(ArtifactsInput!$N$42+1,40,48,56,64,72,80),0))))/100)*((1+(((C1119=TRUE)*F1119)+((C1120=TRUE)*IF(Inputs!$B$38="pvp",F1120,(1-Summary!$B$11)*(F1120)+Summary!$B$11*(0)))+((C1121=TRUE)*F1121*IF(AND(Inputs!$B$38&lt;&gt;"pvp",Inputs!$B$43&gt;0),(((R1121-1)*(Skills!T15*(1+Inputs!$B$34/100))+MIN((Skills!T15*(1+Inputs!$B$34/100)),MAX(0,Inputs!$B$43-((R1121-1)*Skills!D15))))/Inputs!$B$43),IF(Inputs!$B$38="pvp",MIN((Skills!T15*(1+Inputs!$B$34/100)),15)/15,(Skills!T15*(1+Inputs!$B$34/100))/Skills!D15)))+((C1118=TRUE)*F1118)+((C1135=TRUE)*(F1135-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1115)</f>
        <v/>
      </c>
      <c r="L1115">
        <f>K1115*(MIN(Inputs!$B$22+((C1129=TRUE)*(F1129-Calc!F23)),(Inputs!$B$23+((C1134=TRUE)*(F1134-Calc!F28))+(IF(ArtifactsInput!$M$15,CHOOSE(ArtifactsInput!$N$15+1,25,30,35,40,45,50)/100*(Inputs!$B$11-Inputs!$B$11),0))))/100+(Inputs!$B$23+((C1134=TRUE)*(F1134-Calc!F28))+(IF(ArtifactsInput!$M$15,CHOOSE(ArtifactsInput!$N$15+1,25,30,35,40,45,50)/100*(Inputs!$B$11-Inputs!$B$11),0)))/100)/2</f>
        <v/>
      </c>
      <c r="M1115">
        <f>L1115*(1+(Inputs!$B$10+0+B1143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115">
        <f>L1115*(1-MIN((Inputs!$B$9+((C1125=TRUE)*(F1125-Calc!F19))+B1138+(ArtifactsInput!$M$24-ArtifactsInput!$M$24)*CHOOSE(ArtifactsInput!$N$24+1,10,12,14,16,18,20)+(IF(AND(ArtifactsInput!$M$42,((Inputs!$B$9+((C1125=TRUE)*(F1125-Calc!F19))+B1138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1115*(MIN((Inputs!$B$9+((C1125=TRUE)*(F1125-Calc!F19))+B1138+(ArtifactsInput!$M$24-ArtifactsInput!$M$24)*CHOOSE(ArtifactsInput!$N$24+1,10,12,14,16,18,20)+(IF(AND(ArtifactsInput!$M$42,((Inputs!$B$9+((C1125=TRUE)*(F1125-Calc!F19))+B1138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115">
        <f>(1-Summary!$B$11)*T1115+Summary!$B$11*V1115</f>
        <v/>
      </c>
      <c r="P1115">
        <f>IF(B1148=0,0,O1115/B1148)</f>
        <v/>
      </c>
      <c r="Q1115">
        <f>IFERROR(1/IF(Inputs!$B$38="pvp",15,MAX(0.1,Skills!D9-IF(Skills!E9=TRUE,(Inputs!$B$32+1),0))),0)</f>
        <v/>
      </c>
      <c r="R1115">
        <f>IF(AND(Inputs!$B$38&lt;&gt;"pvp",Inputs!$B$43&gt;0),IF(MAX(0,Inputs!$B$43-B1145)&lt;=0,0,(INT(MAX(0,Inputs!$B$43-B1145)/IF(Inputs!$B$38="pvp",15,MAX(0.1,Skills!D9-IF(Skills!E9=TRUE,(Inputs!$B$32+1),0))))+1)),0)</f>
        <v/>
      </c>
      <c r="S1115">
        <f>IFERROR((H1115*N1115*IF(AND(Inputs!$B$38&lt;&gt;"pvp",Inputs!$B$43&gt;0),((Skills!G9*((R1115-1)*IF(Skills!H9&gt;0,Skills!I9/Skills!H9,1)+IF(Skills!H9&gt;0,MIN(Skills!I9,MAX(0,MAX(0,Inputs!$B$43-B1145)-((R1115-1)*IF(Inputs!$B$38="pvp",15,MAX(0.1,Skills!D9-IF(Skills!E9=TRUE,(Inputs!$B$32+1),0))))))/Skills!H9,1)))/Inputs!$B$43),G1115*Q1115))/N1115*IF(Inputs!$B$38="pvp",1,(1-Summary!$B$11)*1+Summary!$B$11*(MIN(Skills!R9,Inputs!$B$37))),0)</f>
        <v/>
      </c>
      <c r="T1115">
        <f>IF(C1115,(H1115*N1115*IF(AND(Inputs!$B$38&lt;&gt;"pvp",Inputs!$B$43&gt;0),((Skills!G9*((R1115-1)*IF(Skills!H9&gt;0,Skills!I9/Skills!H9,1)+IF(Skills!H9&gt;0,MIN(Skills!I9,MAX(0,MAX(0,Inputs!$B$43-B1145)-((R1115-1)*IF(Inputs!$B$38="pvp",15,MAX(0.1,Skills!D9-IF(Skills!E9=TRUE,(Inputs!$B$32+1),0))))))/Skills!H9,1)))/Inputs!$B$43),G1115*Q1115))*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Hunt"),CHOOSE(ArtifactsInput!$N$35+1,15,18,21,24,27,30)*(1-EXP(-(0.2*B1140)*5)),0)+IF(AND(ArtifactsInput!$M$22,Inputs!$B$4&lt;&gt;"Chapter Hunt"),CHOOSE(ArtifactsInput!$N$22+1,10,12,14,16,18,20)*((0*(((0.15*B1140*5))^0/1)+1*(((0.15*B1140*5))^1/1)+2*(((0.15*B1140*5))^2/2)+3*(((0.15*B1140*5))^3/6)+4*(((0.15*B1140*5))^4/24)+5*(((0.15*B1140*5))^5/120))/((((0.15*B1140*5))^0/1)+(((0.15*B1140*5))^1/1)+(((0.15*B1140*5))^2/2)+(((0.15*B1140*5))^3/6)+(((0.15*B1140*5))^4/24)+(((0.15*B1140*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1115*(1-MIN(100,(Inputs!$B$9+((C1125=TRUE)*(F1125-Calc!F19))+B1138+(ArtifactsInput!$M$24-ArtifactsInput!$M$24)*CHOOSE(ArtifactsInput!$N$24+1,10,12,14,16,18,20)+(IF(AND(ArtifactsInput!$M$42,((Inputs!$B$9+((C1125=TRUE)*(F1125-Calc!F19))+B1138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1115*(MIN(100,(Inputs!$B$9+((C1125=TRUE)*(F1125-Calc!F19))+B1138+(ArtifactsInput!$M$24-ArtifactsInput!$M$24)*CHOOSE(ArtifactsInput!$N$24+1,10,12,14,16,18,20)+(IF(AND(ArtifactsInput!$M$42,((Inputs!$B$9+((C1125=TRUE)*(F1125-Calc!F19))+B1138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1115*(1-MIN(100,(Inputs!$B$9+((C1125=TRUE)*(F1125-Calc!F19))+B1138+(ArtifactsInput!$M$24-ArtifactsInput!$M$24)*CHOOSE(ArtifactsInput!$N$24+1,10,12,14,16,18,20)+(IF(AND(ArtifactsInput!$M$42,((Inputs!$B$9+((C1125=TRUE)*(F1125-Calc!F19))+B1138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1115*(MIN(100,(Inputs!$B$9+((C1125=TRUE)*(F1125-Calc!F19))+B1138+(ArtifactsInput!$M$24-ArtifactsInput!$M$24)*CHOOSE(ArtifactsInput!$N$24+1,10,12,14,16,18,20)+(IF(AND(ArtifactsInput!$M$42,((Inputs!$B$9+((C1125=TRUE)*(F1125-Calc!F19))+B1138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115">
        <f>IF(C1115,(H1115*N1115*IF(AND(Inputs!$B$38&lt;&gt;"pvp",Inputs!$B$43&gt;0),((Skills!G9*((R1115-1)*IF(Skills!H9&gt;0,Skills!I9/Skills!H9,1)+IF(Skills!H9&gt;0,MIN(Skills!I9,MAX(0,MAX(0,Inputs!$B$43-B1145)-((R1115-1)*IF(Inputs!$B$38="pvp",15,MAX(0.1,Skills!D9-IF(Skills!E9=TRUE,(Inputs!$B$32+1),0))))))/Skills!H9,1)))/Inputs!$B$43),G1115*Q1115))*IF(Inputs!$B$38="pvp",1,(1+(Inputs!$B$21+Skills!Q9+(IF(ArtifactsInput!$M$33,CHOOSE(ArtifactsInput!$N$33+1,30,36,42,48,54,60),0))+(IF(AND(ArtifactsInput!$M$35,Inputs!$B$4&lt;&gt;"Chapter Hunt"),CHOOSE(ArtifactsInput!$N$35+1,15,18,21,24,27,30)*(1-EXP(-(0.2*B1140)*5)),0)+IF(AND(ArtifactsInput!$M$22,Inputs!$B$4&lt;&gt;"Chapter Hunt"),CHOOSE(ArtifactsInput!$N$22+1,10,12,14,16,18,20)*((0*(((0.15*B1140*5))^0/1)+1*(((0.15*B1140*5))^1/1)+2*(((0.15*B1140*5))^2/2)+3*(((0.15*B1140*5))^3/6)+4*(((0.15*B1140*5))^4/24)+5*(((0.15*B1140*5))^5/120))/((((0.15*B1140*5))^0/1)+(((0.15*B1140*5))^1/1)+(((0.15*B1140*5))^2/2)+(((0.15*B1140*5))^3/6)+(((0.15*B1140*5))^4/24)+(((0.15*B1140*5))^5/120)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116">
      <c r="A1116">
        <f>Skills!A10</f>
        <v/>
      </c>
      <c r="B1116">
        <f>Skills!B10</f>
        <v/>
      </c>
      <c r="C1116">
        <f>Inputs!$B$3&gt;=107</f>
        <v/>
      </c>
      <c r="D1116">
        <f>IF(Skills!C10=1,60+Inputs!$B$25+Inputs!$B$29,IF(Skills!C10=2,90+Inputs!$B$26+Inputs!$B$29,IF(Skills!C10=3,120+Inputs!$B$27+Inputs!$B$29,MAX(0,(Inputs!$B$3-100)*3)+Inputs!$B$28+Inputs!$B$29)))</f>
        <v/>
      </c>
      <c r="E1116">
        <f>INDEX(FactorTable!$B$2:$Y$301, MATCH(ROUND(MIN(300,MAX(1,D1116)),0), FactorTable!$A$2:$A$301,0), Skills!M10+1)</f>
        <v/>
      </c>
      <c r="F1116">
        <f>IF(Skills!N10=TRUE,(Skills!L10/10)*(E1116/1000),Skills!L10/10)+Skills!O10</f>
        <v/>
      </c>
      <c r="G1116">
        <f>Skills!G10*IF(Skills!H10&gt;0,Skills!I10/Skills!H10,1)</f>
        <v/>
      </c>
      <c r="H1116">
        <f>1-(1-Skills!J10/100)^Skills!K10</f>
        <v/>
      </c>
      <c r="I1116" t="inlineStr">
        <is>
          <t>1</t>
        </is>
      </c>
      <c r="J1116">
        <f>((Inputs!$B$6*(1+Inputs!$B$7/100))+(((Inputs!$B$12*(1+Inputs!$B$13/100))-(Inputs!$B$12*(1+Inputs!$B$13/100)))+0.25*(Inputs!$B$14-Inputs!$B$14))*(1+Inputs!$B$7/100))*(F1116/100)</f>
        <v/>
      </c>
      <c r="K1116">
        <f>J1116*(1+((Inputs!$B$12*(1+Inputs!$B$13/100))*0.01+Inputs!$B$14*0.0025)/100)*(1+Inputs!$B$15/100)*(1+Inputs!$B$16/100)*(5000/(6000+Inputs!$B$42*(1-(100*(1-(1-(Inputs!$B$19+0)/100)*(1-CHOOSE(ArtifactsInput!$N$40+1,5,6,7,8,9,10)/100)^(ArtifactsInput!$M$40-ArtifactsInput!$M$40)))/100)))*(1+(Inputs!$B$24+((C1130=TRUE)*(F1130-Calc!F24))+((C1131=TRUE)*(F1131-Calc!F25))+B1144)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EMPOWERED_PIERCING_ARROW",Inputs!$B$17+((C1128=TRUE)*(F1128-Calc!F22))+(((IF(AND(ArtifactsInput!$M$42,((Inputs!$B$9+((C1125=TRUE)*(F1125-Calc!F19))+B1138+(ArtifactsInput!$M$24-ArtifactsInput!$M$24)*CHOOSE(ArtifactsInput!$N$24+1,10,12,14,16,18,20)+IF(ArtifactsInput!$M$10,CHOOSE(ArtifactsInput!$N$10+1,15,18,21,24,27,30)*(IF(Inputs!$B$38="pvp",MIN(15,15)/15,IF(AND(Inputs!$B$38&lt;&gt;"pvp",Inputs!$B$43&gt;0),MIN(15,Inputs!$B$43)/(Inputs!$B$43),0))),0)))&gt;=100),MIN(100,((Inputs!$B$9+((C1125=TRUE)*(F1125-Calc!F19))+B1138+(ArtifactsInput!$M$24-ArtifactsInput!$M$24)*CHOOSE(ArtifactsInput!$N$24+1,10,12,14,16,18,20)+IF(ArtifactsInput!$M$10,CHOOSE(ArtifactsInput!$N$10+1,15,18,21,24,27,30)*(IF(Inputs!$B$38="pvp",MIN(15,15)/15,IF(AND(Inputs!$B$38&lt;&gt;"pvp",Inputs!$B$43&gt;0),MIN(15,Inputs!$B$43)/(Inputs!$B$43),0))),0)))-100),0))*CHOOSE(ArtifactsInput!$N$42+1,0.6,0.72,0.84,0.96,1.08,1.2))),Inputs!$B$18+((C1133=TRUE)*(F1133-Calc!F27))+(IF(AND(ArtifactsInput!$M$42,((Inputs!$B$9+((C1125=TRUE)*(F1125-Calc!F19))+B1138+(ArtifactsInput!$M$24-ArtifactsInput!$M$24)*CHOOSE(ArtifactsInput!$N$24+1,10,12,14,16,18,20)+IF(ArtifactsInput!$M$10,CHOOSE(ArtifactsInput!$N$10+1,15,18,21,24,27,30)*(IF(Inputs!$B$38="pvp",MIN(15,15)/15,IF(AND(Inputs!$B$38&lt;&gt;"pvp",Inputs!$B$43&gt;0),MIN(15,Inputs!$B$43)/(Inputs!$B$43),0))),0)))&gt;=100),CHOOSE(ArtifactsInput!$N$42+1,40,48,56,64,72,80),0))))/100)*((1+(((C1119=TRUE)*F1119)+((C1120=TRUE)*IF(Inputs!$B$38="pvp",F1120,(1-Summary!$B$11)*(F1120)+Summary!$B$11*(0)))+((C1121=TRUE)*F1121*IF(AND(Inputs!$B$38&lt;&gt;"pvp",Inputs!$B$43&gt;0),(((R1121-1)*(Skills!T15*(1+Inputs!$B$34/100))+MIN((Skills!T15*(1+Inputs!$B$34/100)),MAX(0,Inputs!$B$43-((R1121-1)*Skills!D15))))/Inputs!$B$43),IF(Inputs!$B$38="pvp",MIN((Skills!T15*(1+Inputs!$B$34/100)),15)/15,(Skills!T15*(1+Inputs!$B$34/100))/Skills!D15)))+((C1118=TRUE)*F1118)+((C1135=TRUE)*(F1135-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1116)</f>
        <v/>
      </c>
      <c r="L1116">
        <f>K1116*(MIN(Inputs!$B$22+((C1129=TRUE)*(F1129-Calc!F23)),(Inputs!$B$23+((C1134=TRUE)*(F1134-Calc!F28))+(IF(ArtifactsInput!$M$15,CHOOSE(ArtifactsInput!$N$15+1,25,30,35,40,45,50)/100*(Inputs!$B$11-Inputs!$B$11),0))))/100+(Inputs!$B$23+((C1134=TRUE)*(F1134-Calc!F28))+(IF(ArtifactsInput!$M$15,CHOOSE(ArtifactsInput!$N$15+1,25,30,35,40,45,50)/100*(Inputs!$B$11-Inputs!$B$11),0)))/100)/2</f>
        <v/>
      </c>
      <c r="M1116">
        <f>L1116*(1+(Inputs!$B$10+0+B1143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116">
        <f>L1116*(1-MIN((Inputs!$B$9+((C1125=TRUE)*(F1125-Calc!F19))+B1138+(ArtifactsInput!$M$24-ArtifactsInput!$M$24)*CHOOSE(ArtifactsInput!$N$24+1,10,12,14,16,18,20)+(IF(AND(ArtifactsInput!$M$42,((Inputs!$B$9+((C1125=TRUE)*(F1125-Calc!F19))+B1138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1116*(MIN((Inputs!$B$9+((C1125=TRUE)*(F1125-Calc!F19))+B1138+(ArtifactsInput!$M$24-ArtifactsInput!$M$24)*CHOOSE(ArtifactsInput!$N$24+1,10,12,14,16,18,20)+(IF(AND(ArtifactsInput!$M$42,((Inputs!$B$9+((C1125=TRUE)*(F1125-Calc!F19))+B1138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116">
        <f>(1-Summary!$B$11)*T1116+Summary!$B$11*V1116</f>
        <v/>
      </c>
      <c r="P1116">
        <f>IF(B1148=0,0,O1116/B1148)</f>
        <v/>
      </c>
      <c r="Q1116" t="n">
        <v>0</v>
      </c>
      <c r="R1116" t="n">
        <v>0</v>
      </c>
      <c r="S1116" t="n">
        <v>0</v>
      </c>
      <c r="T1116">
        <f>IF(C1116,(0.15*SUMPRODUCT((Skills!U2:U29=TRUE)*(C1108:C1135=TRUE)*S1108:S1135)*Skills!G10*N1116)*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Hunt"),CHOOSE(ArtifactsInput!$N$35+1,15,18,21,24,27,30)*(1-EXP(-(0.2*B1140)*5)),0)+IF(AND(ArtifactsInput!$M$22,Inputs!$B$4&lt;&gt;"Chapter Hunt"),CHOOSE(ArtifactsInput!$N$22+1,10,12,14,16,18,20)*((0*(((0.15*B1140*5))^0/1)+1*(((0.15*B1140*5))^1/1)+2*(((0.15*B1140*5))^2/2)+3*(((0.15*B1140*5))^3/6)+4*(((0.15*B1140*5))^4/24)+5*(((0.15*B1140*5))^5/120))/((((0.15*B1140*5))^0/1)+(((0.15*B1140*5))^1/1)+(((0.15*B1140*5))^2/2)+(((0.15*B1140*5))^3/6)+(((0.15*B1140*5))^4/24)+(((0.15*B1140*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1116*(1-MIN(100,(Inputs!$B$9+((C1125=TRUE)*(F1125-Calc!F19))+B1138+(ArtifactsInput!$M$24-ArtifactsInput!$M$24)*CHOOSE(ArtifactsInput!$N$24+1,10,12,14,16,18,20)+(IF(AND(ArtifactsInput!$M$42,((Inputs!$B$9+((C1125=TRUE)*(F1125-Calc!F19))+B1138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1116*(MIN(100,(Inputs!$B$9+((C1125=TRUE)*(F1125-Calc!F19))+B1138+(ArtifactsInput!$M$24-ArtifactsInput!$M$24)*CHOOSE(ArtifactsInput!$N$24+1,10,12,14,16,18,20)+(IF(AND(ArtifactsInput!$M$42,((Inputs!$B$9+((C1125=TRUE)*(F1125-Calc!F19))+B1138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1116*(1-MIN(100,(Inputs!$B$9+((C1125=TRUE)*(F1125-Calc!F19))+B1138+(ArtifactsInput!$M$24-ArtifactsInput!$M$24)*CHOOSE(ArtifactsInput!$N$24+1,10,12,14,16,18,20)+(IF(AND(ArtifactsInput!$M$42,((Inputs!$B$9+((C1125=TRUE)*(F1125-Calc!F19))+B1138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1116*(MIN(100,(Inputs!$B$9+((C1125=TRUE)*(F1125-Calc!F19))+B1138+(ArtifactsInput!$M$24-ArtifactsInput!$M$24)*CHOOSE(ArtifactsInput!$N$24+1,10,12,14,16,18,20)+(IF(AND(ArtifactsInput!$M$42,((Inputs!$B$9+((C1125=TRUE)*(F1125-Calc!F19))+B1138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116">
        <f>IF(C1116,(0.15*SUMPRODUCT((Skills!U2:U29=TRUE)*(C1108:C1135=TRUE)*S1108:S1135)*Skills!G10*N1116)*IF(Inputs!$B$38="pvp",1,(1+(Inputs!$B$21+Skills!Q10+(IF(ArtifactsInput!$M$33,CHOOSE(ArtifactsInput!$N$33+1,30,36,42,48,54,60),0))+(IF(AND(ArtifactsInput!$M$35,Inputs!$B$4&lt;&gt;"Chapter Hunt"),CHOOSE(ArtifactsInput!$N$35+1,15,18,21,24,27,30)*(1-EXP(-(0.2*B1140)*5)),0)+IF(AND(ArtifactsInput!$M$22,Inputs!$B$4&lt;&gt;"Chapter Hunt"),CHOOSE(ArtifactsInput!$N$22+1,10,12,14,16,18,20)*((0*(((0.15*B1140*5))^0/1)+1*(((0.15*B1140*5))^1/1)+2*(((0.15*B1140*5))^2/2)+3*(((0.15*B1140*5))^3/6)+4*(((0.15*B1140*5))^4/24)+5*(((0.15*B1140*5))^5/120))/((((0.15*B1140*5))^0/1)+(((0.15*B1140*5))^1/1)+(((0.15*B1140*5))^2/2)+(((0.15*B1140*5))^3/6)+(((0.15*B1140*5))^4/24)+(((0.15*B1140*5))^5/120)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117">
      <c r="A1117">
        <f>Skills!A11</f>
        <v/>
      </c>
      <c r="B1117">
        <f>Skills!B11</f>
        <v/>
      </c>
      <c r="C1117">
        <f>Inputs!$B$3&gt;=110</f>
        <v/>
      </c>
      <c r="D1117">
        <f>IF(Skills!C11=1,60+Inputs!$B$25+Inputs!$B$29,IF(Skills!C11=2,90+Inputs!$B$26+Inputs!$B$29,IF(Skills!C11=3,120+Inputs!$B$27+Inputs!$B$29,MAX(0,(Inputs!$B$3-100)*3)+Inputs!$B$28+Inputs!$B$29)))</f>
        <v/>
      </c>
      <c r="E1117">
        <f>INDEX(FactorTable!$B$2:$Y$301, MATCH(ROUND(MIN(300,MAX(1,D1117)),0), FactorTable!$A$2:$A$301,0), Skills!M11+1)</f>
        <v/>
      </c>
      <c r="F1117">
        <f>IF(Skills!N11=TRUE,(Skills!L11/10)*(E1117/1000),Skills!L11/10)+Skills!O11</f>
        <v/>
      </c>
      <c r="G1117">
        <f>Skills!G11*IF(Skills!H11&gt;0,Skills!I11/Skills!H11,1)</f>
        <v/>
      </c>
      <c r="H1117">
        <f>1-(1-Skills!J11/100)^Skills!K11</f>
        <v/>
      </c>
      <c r="I1117" t="inlineStr">
        <is>
          <t>1</t>
        </is>
      </c>
      <c r="J1117">
        <f>((Inputs!$B$6*(1+Inputs!$B$7/100))+(((Inputs!$B$12*(1+Inputs!$B$13/100))-(Inputs!$B$12*(1+Inputs!$B$13/100)))+0.25*(Inputs!$B$14-Inputs!$B$14))*(1+Inputs!$B$7/100))*(F1117/100)</f>
        <v/>
      </c>
      <c r="K1117">
        <f>J1117*(1+((Inputs!$B$12*(1+Inputs!$B$13/100))*0.01+Inputs!$B$14*0.0025)/100)*(1+Inputs!$B$15/100)*(1+Inputs!$B$16/100)*(5000/(6000+Inputs!$B$42*(1-(100*(1-(1-(Inputs!$B$19+0)/100)*(1-CHOOSE(ArtifactsInput!$N$40+1,5,6,7,8,9,10)/100)^(ArtifactsInput!$M$40-ArtifactsInput!$M$40)))/100)))*(1+(Inputs!$B$24+((C1130=TRUE)*(F1130-Calc!F24))+((C1131=TRUE)*(F1131-Calc!F25))+B1144)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11="EMPOWERED_PIERCING_ARROW",Inputs!$B$17+((C1128=TRUE)*(F1128-Calc!F22))+(((IF(AND(ArtifactsInput!$M$42,((Inputs!$B$9+((C1125=TRUE)*(F1125-Calc!F19))+B1138+(ArtifactsInput!$M$24-ArtifactsInput!$M$24)*CHOOSE(ArtifactsInput!$N$24+1,10,12,14,16,18,20)+IF(ArtifactsInput!$M$10,CHOOSE(ArtifactsInput!$N$10+1,15,18,21,24,27,30)*(IF(Inputs!$B$38="pvp",MIN(15,15)/15,IF(AND(Inputs!$B$38&lt;&gt;"pvp",Inputs!$B$43&gt;0),MIN(15,Inputs!$B$43)/(Inputs!$B$43),0))),0)))&gt;=100),MIN(100,((Inputs!$B$9+((C1125=TRUE)*(F1125-Calc!F19))+B1138+(ArtifactsInput!$M$24-ArtifactsInput!$M$24)*CHOOSE(ArtifactsInput!$N$24+1,10,12,14,16,18,20)+IF(ArtifactsInput!$M$10,CHOOSE(ArtifactsInput!$N$10+1,15,18,21,24,27,30)*(IF(Inputs!$B$38="pvp",MIN(15,15)/15,IF(AND(Inputs!$B$38&lt;&gt;"pvp",Inputs!$B$43&gt;0),MIN(15,Inputs!$B$43)/(Inputs!$B$43),0))),0)))-100),0))*CHOOSE(ArtifactsInput!$N$42+1,0.6,0.72,0.84,0.96,1.08,1.2))),Inputs!$B$18+((C1133=TRUE)*(F1133-Calc!F27))+(IF(AND(ArtifactsInput!$M$42,((Inputs!$B$9+((C1125=TRUE)*(F1125-Calc!F19))+B1138+(ArtifactsInput!$M$24-ArtifactsInput!$M$24)*CHOOSE(ArtifactsInput!$N$24+1,10,12,14,16,18,20)+IF(ArtifactsInput!$M$10,CHOOSE(ArtifactsInput!$N$10+1,15,18,21,24,27,30)*(IF(Inputs!$B$38="pvp",MIN(15,15)/15,IF(AND(Inputs!$B$38&lt;&gt;"pvp",Inputs!$B$43&gt;0),MIN(15,Inputs!$B$43)/(Inputs!$B$43),0))),0)))&gt;=100),CHOOSE(ArtifactsInput!$N$42+1,40,48,56,64,72,80),0))))/100)*((1+(((C1119=TRUE)*F1119)+((C1120=TRUE)*IF(Inputs!$B$38="pvp",F1120,(1-Summary!$B$11)*(F1120)+Summary!$B$11*(0)))+((C1121=TRUE)*F1121*IF(AND(Inputs!$B$38&lt;&gt;"pvp",Inputs!$B$43&gt;0),(((R1121-1)*(Skills!T15*(1+Inputs!$B$34/100))+MIN((Skills!T15*(1+Inputs!$B$34/100)),MAX(0,Inputs!$B$43-((R1121-1)*Skills!D15))))/Inputs!$B$43),IF(Inputs!$B$38="pvp",MIN((Skills!T15*(1+Inputs!$B$34/100)),15)/15,(Skills!T15*(1+Inputs!$B$34/100))/Skills!D15)))+((C1118=TRUE)*F1118)+((C1135=TRUE)*(F1135-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1117)</f>
        <v/>
      </c>
      <c r="L1117">
        <f>K1117*(MIN(Inputs!$B$22+((C1129=TRUE)*(F1129-Calc!F23)),(Inputs!$B$23+((C1134=TRUE)*(F1134-Calc!F28))+(IF(ArtifactsInput!$M$15,CHOOSE(ArtifactsInput!$N$15+1,25,30,35,40,45,50)/100*(Inputs!$B$11-Inputs!$B$11),0))))/100+(Inputs!$B$23+((C1134=TRUE)*(F1134-Calc!F28))+(IF(ArtifactsInput!$M$15,CHOOSE(ArtifactsInput!$N$15+1,25,30,35,40,45,50)/100*(Inputs!$B$11-Inputs!$B$11),0)))/100)/2</f>
        <v/>
      </c>
      <c r="M1117">
        <f>L1117*(1+(Inputs!$B$10+0+B1143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117">
        <f>L1117*(1-MIN((Inputs!$B$9+((C1125=TRUE)*(F1125-Calc!F19))+B1138+(ArtifactsInput!$M$24-ArtifactsInput!$M$24)*CHOOSE(ArtifactsInput!$N$24+1,10,12,14,16,18,20)+(IF(AND(ArtifactsInput!$M$42,((Inputs!$B$9+((C1125=TRUE)*(F1125-Calc!F19))+B1138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1117*(MIN((Inputs!$B$9+((C1125=TRUE)*(F1125-Calc!F19))+B1138+(ArtifactsInput!$M$24-ArtifactsInput!$M$24)*CHOOSE(ArtifactsInput!$N$24+1,10,12,14,16,18,20)+(IF(AND(ArtifactsInput!$M$42,((Inputs!$B$9+((C1125=TRUE)*(F1125-Calc!F19))+B1138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117">
        <f>(1-Summary!$B$11)*T1117+Summary!$B$11*V1117</f>
        <v/>
      </c>
      <c r="P1117">
        <f>IF(B1148=0,0,O1117/B1148)</f>
        <v/>
      </c>
      <c r="Q1117">
        <f>IFERROR(1/IF(Inputs!$B$38="pvp",15,MAX(0.1,Skills!D11-IF(Skills!E11=TRUE,(Inputs!$B$32+1),0))),0)</f>
        <v/>
      </c>
      <c r="R1117">
        <f>IF(AND(Inputs!$B$38&lt;&gt;"pvp",Inputs!$B$43&gt;0),IF(MAX(0,Inputs!$B$43-B1145)&lt;=0,0,(INT(MAX(0,Inputs!$B$43-B1145)/IF(Inputs!$B$38="pvp",15,MAX(0.1,Skills!D11-IF(Skills!E11=TRUE,(Inputs!$B$32+1),0))))+1)),0)</f>
        <v/>
      </c>
      <c r="S1117">
        <f>IFERROR((H1117*N1117*IF(AND(Inputs!$B$38&lt;&gt;"pvp",Inputs!$B$43&gt;0),((Skills!G11*((R1117-1)*IF(Skills!H11&gt;0,Skills!I11/Skills!H11,1)+IF(Skills!H11&gt;0,MIN(Skills!I11,MAX(0,MAX(0,Inputs!$B$43-B1145)-((R1117-1)*IF(Inputs!$B$38="pvp",15,MAX(0.1,Skills!D11-IF(Skills!E11=TRUE,(Inputs!$B$32+1),0))))))/Skills!H11,1)))/Inputs!$B$43),G1117*Q1117))/N1117*IF(Inputs!$B$38="pvp",1,(1-Summary!$B$11)*1+Summary!$B$11*(MIN(Skills!R11,Inputs!$B$37))),0)</f>
        <v/>
      </c>
      <c r="T1117">
        <f>IF(C1117,(H1117*N1117*IF(AND(Inputs!$B$38&lt;&gt;"pvp",Inputs!$B$43&gt;0),((Skills!G11*((R1117-1)*IF(Skills!H11&gt;0,Skills!I11/Skills!H11,1)+IF(Skills!H11&gt;0,MIN(Skills!I11,MAX(0,MAX(0,Inputs!$B$43-B1145)-((R1117-1)*IF(Inputs!$B$38="pvp",15,MAX(0.1,Skills!D11-IF(Skills!E11=TRUE,(Inputs!$B$32+1),0))))))/Skills!H11,1)))/Inputs!$B$43),G1117*Q1117))*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Hunt"),CHOOSE(ArtifactsInput!$N$35+1,15,18,21,24,27,30)*(1-EXP(-(0.2*B1140)*5)),0)+IF(AND(ArtifactsInput!$M$22,Inputs!$B$4&lt;&gt;"Chapter Hunt"),CHOOSE(ArtifactsInput!$N$22+1,10,12,14,16,18,20)*((0*(((0.15*B1140*5))^0/1)+1*(((0.15*B1140*5))^1/1)+2*(((0.15*B1140*5))^2/2)+3*(((0.15*B1140*5))^3/6)+4*(((0.15*B1140*5))^4/24)+5*(((0.15*B1140*5))^5/120))/((((0.15*B1140*5))^0/1)+(((0.15*B1140*5))^1/1)+(((0.15*B1140*5))^2/2)+(((0.15*B1140*5))^3/6)+(((0.15*B1140*5))^4/24)+(((0.15*B1140*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1117*(1-MIN(100,(Inputs!$B$9+((C1125=TRUE)*(F1125-Calc!F19))+B1138+(ArtifactsInput!$M$24-ArtifactsInput!$M$24)*CHOOSE(ArtifactsInput!$N$24+1,10,12,14,16,18,20)+(IF(AND(ArtifactsInput!$M$42,((Inputs!$B$9+((C1125=TRUE)*(F1125-Calc!F19))+B1138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1117*(MIN(100,(Inputs!$B$9+((C1125=TRUE)*(F1125-Calc!F19))+B1138+(ArtifactsInput!$M$24-ArtifactsInput!$M$24)*CHOOSE(ArtifactsInput!$N$24+1,10,12,14,16,18,20)+(IF(AND(ArtifactsInput!$M$42,((Inputs!$B$9+((C1125=TRUE)*(F1125-Calc!F19))+B1138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1117*(1-MIN(100,(Inputs!$B$9+((C1125=TRUE)*(F1125-Calc!F19))+B1138+(ArtifactsInput!$M$24-ArtifactsInput!$M$24)*CHOOSE(ArtifactsInput!$N$24+1,10,12,14,16,18,20)+(IF(AND(ArtifactsInput!$M$42,((Inputs!$B$9+((C1125=TRUE)*(F1125-Calc!F19))+B1138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1117*(MIN(100,(Inputs!$B$9+((C1125=TRUE)*(F1125-Calc!F19))+B1138+(ArtifactsInput!$M$24-ArtifactsInput!$M$24)*CHOOSE(ArtifactsInput!$N$24+1,10,12,14,16,18,20)+(IF(AND(ArtifactsInput!$M$42,((Inputs!$B$9+((C1125=TRUE)*(F1125-Calc!F19))+B1138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117">
        <f>IF(C1117,(H1117*N1117*IF(AND(Inputs!$B$38&lt;&gt;"pvp",Inputs!$B$43&gt;0),((Skills!G11*((R1117-1)*IF(Skills!H11&gt;0,Skills!I11/Skills!H11,1)+IF(Skills!H11&gt;0,MIN(Skills!I11,MAX(0,MAX(0,Inputs!$B$43-B1145)-((R1117-1)*IF(Inputs!$B$38="pvp",15,MAX(0.1,Skills!D11-IF(Skills!E11=TRUE,(Inputs!$B$32+1),0))))))/Skills!H11,1)))/Inputs!$B$43),G1117*Q1117))*IF(Inputs!$B$38="pvp",1,(1+(Inputs!$B$21+Skills!Q11+(IF(ArtifactsInput!$M$33,CHOOSE(ArtifactsInput!$N$33+1,30,36,42,48,54,60),0))+(IF(AND(ArtifactsInput!$M$35,Inputs!$B$4&lt;&gt;"Chapter Hunt"),CHOOSE(ArtifactsInput!$N$35+1,15,18,21,24,27,30)*(1-EXP(-(0.2*B1140)*5)),0)+IF(AND(ArtifactsInput!$M$22,Inputs!$B$4&lt;&gt;"Chapter Hunt"),CHOOSE(ArtifactsInput!$N$22+1,10,12,14,16,18,20)*((0*(((0.15*B1140*5))^0/1)+1*(((0.15*B1140*5))^1/1)+2*(((0.15*B1140*5))^2/2)+3*(((0.15*B1140*5))^3/6)+4*(((0.15*B1140*5))^4/24)+5*(((0.15*B1140*5))^5/120))/((((0.15*B1140*5))^0/1)+(((0.15*B1140*5))^1/1)+(((0.15*B1140*5))^2/2)+(((0.15*B1140*5))^3/6)+(((0.15*B1140*5))^4/24)+(((0.15*B1140*5))^5/120))),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118">
      <c r="A1118">
        <f>Skills!A12</f>
        <v/>
      </c>
      <c r="B1118">
        <f>Skills!B12</f>
        <v/>
      </c>
      <c r="C1118">
        <f>Inputs!$B$3&gt;=60</f>
        <v/>
      </c>
      <c r="D1118">
        <f>IF(Skills!C12=1,60+Inputs!$B$25+Inputs!$B$29,IF(Skills!C12=2,90+Inputs!$B$26+Inputs!$B$29,IF(Skills!C12=3,120+Inputs!$B$27+Inputs!$B$29,MAX(0,(Inputs!$B$3-100)*3)+Inputs!$B$28+Inputs!$B$29)))</f>
        <v/>
      </c>
      <c r="E1118">
        <f>INDEX(FactorTable!$B$2:$Y$301, MATCH(ROUND(MIN(300,MAX(1,D1118)),0), FactorTable!$A$2:$A$301,0), Skills!M12+1)</f>
        <v/>
      </c>
      <c r="F1118">
        <f>IF(Skills!N12=TRUE,(Skills!L12/10)*(E1118/1000),Skills!L12/10)+Skills!O12</f>
        <v/>
      </c>
      <c r="G1118">
        <f>Skills!G12*IF(Skills!H12&gt;0,Skills!I12/Skills!H12,1)</f>
        <v/>
      </c>
      <c r="H1118">
        <f>1-(1-Skills!J12/100)^Skills!K12</f>
        <v/>
      </c>
      <c r="I1118" t="inlineStr">
        <is>
          <t>1</t>
        </is>
      </c>
      <c r="J1118" t="inlineStr"/>
      <c r="K1118" t="inlineStr"/>
      <c r="L1118" t="inlineStr"/>
      <c r="M1118" t="inlineStr"/>
      <c r="N1118" t="inlineStr"/>
      <c r="O1118">
        <f>(1-Summary!$B$11)*T1118+Summary!$B$11*V1118</f>
        <v/>
      </c>
      <c r="P1118">
        <f>IF(B1148=0,0,O1118/B1148)</f>
        <v/>
      </c>
      <c r="Q1118" t="n">
        <v>0</v>
      </c>
      <c r="R1118" t="n">
        <v>0</v>
      </c>
      <c r="S1118" t="n">
        <v>0</v>
      </c>
      <c r="T1118" t="n">
        <v>0</v>
      </c>
      <c r="V1118" t="n">
        <v>0</v>
      </c>
    </row>
    <row r="1119">
      <c r="A1119">
        <f>Skills!A13</f>
        <v/>
      </c>
      <c r="B1119">
        <f>Skills!B13</f>
        <v/>
      </c>
      <c r="C1119">
        <f>Inputs!$B$3&gt;=74</f>
        <v/>
      </c>
      <c r="D1119">
        <f>IF(Skills!C13=1,60+Inputs!$B$25+Inputs!$B$29,IF(Skills!C13=2,90+Inputs!$B$26+Inputs!$B$29,IF(Skills!C13=3,120+Inputs!$B$27+Inputs!$B$29,MAX(0,(Inputs!$B$3-100)*3)+Inputs!$B$28+Inputs!$B$29)))</f>
        <v/>
      </c>
      <c r="E1119">
        <f>INDEX(FactorTable!$B$2:$Y$301, MATCH(ROUND(MIN(300,MAX(1,D1119)),0), FactorTable!$A$2:$A$301,0), Skills!M13+1)</f>
        <v/>
      </c>
      <c r="F1119">
        <f>IF(Skills!N13=TRUE,(Skills!L13/10)*(E1119/1000),Skills!L13/10)+Skills!O13</f>
        <v/>
      </c>
      <c r="G1119">
        <f>Skills!G13*IF(Skills!H13&gt;0,Skills!I13/Skills!H13,1)</f>
        <v/>
      </c>
      <c r="H1119">
        <f>1-(1-Skills!J13/100)^Skills!K13</f>
        <v/>
      </c>
      <c r="I1119" t="inlineStr">
        <is>
          <t>1</t>
        </is>
      </c>
      <c r="J1119" t="inlineStr"/>
      <c r="K1119" t="inlineStr"/>
      <c r="L1119" t="inlineStr"/>
      <c r="M1119" t="inlineStr"/>
      <c r="N1119" t="inlineStr"/>
      <c r="O1119">
        <f>(1-Summary!$B$11)*T1119+Summary!$B$11*V1119</f>
        <v/>
      </c>
      <c r="P1119">
        <f>IF(B1148=0,0,O1119/B1148)</f>
        <v/>
      </c>
      <c r="Q1119" t="n">
        <v>0</v>
      </c>
      <c r="R1119" t="n">
        <v>0</v>
      </c>
      <c r="S1119" t="n">
        <v>0</v>
      </c>
      <c r="T1119" t="n">
        <v>0</v>
      </c>
      <c r="V1119" t="n">
        <v>0</v>
      </c>
    </row>
    <row r="1120">
      <c r="A1120">
        <f>Skills!A14</f>
        <v/>
      </c>
      <c r="B1120">
        <f>Skills!B14</f>
        <v/>
      </c>
      <c r="C1120">
        <f>Inputs!$B$3&gt;=74</f>
        <v/>
      </c>
      <c r="D1120">
        <f>IF(Skills!C14=1,60+Inputs!$B$25+Inputs!$B$29,IF(Skills!C14=2,90+Inputs!$B$26+Inputs!$B$29,IF(Skills!C14=3,120+Inputs!$B$27+Inputs!$B$29,MAX(0,(Inputs!$B$3-100)*3)+Inputs!$B$28+Inputs!$B$29)))</f>
        <v/>
      </c>
      <c r="E1120">
        <f>INDEX(FactorTable!$B$2:$Y$301, MATCH(ROUND(MIN(300,MAX(1,D1120)),0), FactorTable!$A$2:$A$301,0), Skills!M14+1)</f>
        <v/>
      </c>
      <c r="F1120">
        <f>IF(Skills!N14=TRUE,(Skills!L14/10)*(E1120/1000),Skills!L14/10)+Skills!O14</f>
        <v/>
      </c>
      <c r="G1120">
        <f>Skills!G14*IF(Skills!H14&gt;0,Skills!I14/Skills!H14,1)</f>
        <v/>
      </c>
      <c r="H1120">
        <f>1-(1-Skills!J14/100)^Skills!K14</f>
        <v/>
      </c>
      <c r="I1120" t="inlineStr">
        <is>
          <t>1</t>
        </is>
      </c>
      <c r="J1120" t="inlineStr"/>
      <c r="K1120" t="inlineStr"/>
      <c r="L1120" t="inlineStr"/>
      <c r="M1120" t="inlineStr"/>
      <c r="N1120" t="inlineStr"/>
      <c r="O1120">
        <f>(1-Summary!$B$11)*T1120+Summary!$B$11*V1120</f>
        <v/>
      </c>
      <c r="P1120">
        <f>IF(B1148=0,0,O1120/B1148)</f>
        <v/>
      </c>
      <c r="Q1120" t="n">
        <v>0</v>
      </c>
      <c r="R1120" t="n">
        <v>0</v>
      </c>
      <c r="S1120" t="n">
        <v>0</v>
      </c>
      <c r="T1120" t="n">
        <v>0</v>
      </c>
      <c r="V1120" t="n">
        <v>0</v>
      </c>
    </row>
    <row r="1121">
      <c r="A1121">
        <f>Skills!A15</f>
        <v/>
      </c>
      <c r="B1121">
        <f>Skills!B15</f>
        <v/>
      </c>
      <c r="C1121">
        <f>Inputs!$B$3&gt;=117</f>
        <v/>
      </c>
      <c r="D1121">
        <f>IF(Skills!C15=1,60+Inputs!$B$25+Inputs!$B$29,IF(Skills!C15=2,90+Inputs!$B$26+Inputs!$B$29,IF(Skills!C15=3,120+Inputs!$B$27+Inputs!$B$29,MAX(0,(Inputs!$B$3-100)*3)+Inputs!$B$28+Inputs!$B$29)))</f>
        <v/>
      </c>
      <c r="E1121">
        <f>INDEX(FactorTable!$B$2:$Y$301, MATCH(ROUND(MIN(300,MAX(1,D1121)),0), FactorTable!$A$2:$A$301,0), Skills!M15+1)</f>
        <v/>
      </c>
      <c r="F1121">
        <f>IF(Skills!N15=TRUE,(Skills!L15/10)*(E1121/1000),Skills!L15/10)+Skills!O15</f>
        <v/>
      </c>
      <c r="G1121">
        <f>Skills!G15*IF(Skills!H15&gt;0,Skills!I15/Skills!H15,1)</f>
        <v/>
      </c>
      <c r="H1121">
        <f>1-(1-Skills!J15/100)^Skills!K15</f>
        <v/>
      </c>
      <c r="I1121" t="inlineStr">
        <is>
          <t>1</t>
        </is>
      </c>
      <c r="J1121" t="inlineStr"/>
      <c r="K1121" t="inlineStr"/>
      <c r="L1121" t="inlineStr"/>
      <c r="M1121" t="inlineStr"/>
      <c r="N1121" t="inlineStr"/>
      <c r="O1121">
        <f>(1-Summary!$B$11)*T1121+Summary!$B$11*V1121</f>
        <v/>
      </c>
      <c r="P1121">
        <f>IF(B1148=0,0,O1121/B1148)</f>
        <v/>
      </c>
      <c r="Q1121">
        <f>IFERROR(1/IF(Inputs!$B$38="pvp",15,MAX(0.1,Skills!D15-IF(Skills!E15=TRUE,(Inputs!$B$32+1),0))),0)</f>
        <v/>
      </c>
      <c r="R1121">
        <f>IF(AND(Inputs!$B$38&lt;&gt;"pvp",Inputs!$B$43&gt;0),IF(Inputs!$B$43&lt;=0,0,(INT(Inputs!$B$43/IF(Inputs!$B$38="pvp",15,MAX(0.1,Skills!D15-IF(Skills!E15=TRUE,(Inputs!$B$32+1),0))))+1)),0)</f>
        <v/>
      </c>
      <c r="S1121" t="n">
        <v>0</v>
      </c>
      <c r="T1121" t="n">
        <v>0</v>
      </c>
      <c r="V1121" t="n">
        <v>0</v>
      </c>
    </row>
    <row r="1122">
      <c r="A1122">
        <f>Skills!A16</f>
        <v/>
      </c>
      <c r="B1122">
        <f>Skills!B16</f>
        <v/>
      </c>
      <c r="C1122">
        <f>Inputs!$B$3&gt;=115</f>
        <v/>
      </c>
      <c r="D1122">
        <f>IF(Skills!C16=1,60+Inputs!$B$25+Inputs!$B$29,IF(Skills!C16=2,90+Inputs!$B$26+Inputs!$B$29,IF(Skills!C16=3,120+Inputs!$B$27+Inputs!$B$29,MAX(0,(Inputs!$B$3-100)*3)+Inputs!$B$28+Inputs!$B$29)))</f>
        <v/>
      </c>
      <c r="E1122">
        <f>INDEX(FactorTable!$B$2:$Y$301, MATCH(ROUND(MIN(300,MAX(1,D1122)),0), FactorTable!$A$2:$A$301,0), Skills!M16+1)</f>
        <v/>
      </c>
      <c r="F1122">
        <f>IF(Skills!N16=TRUE,(Skills!L16/10)*(E1122/1000),Skills!L16/10)+Skills!O16</f>
        <v/>
      </c>
      <c r="G1122">
        <f>Skills!G16*IF(Skills!H16&gt;0,Skills!I16/Skills!H16,1)</f>
        <v/>
      </c>
      <c r="H1122">
        <f>1-(1-Skills!J16/100)^Skills!K16</f>
        <v/>
      </c>
      <c r="I1122" t="inlineStr">
        <is>
          <t>1</t>
        </is>
      </c>
      <c r="J1122" t="inlineStr"/>
      <c r="K1122" t="inlineStr"/>
      <c r="L1122" t="inlineStr"/>
      <c r="M1122" t="inlineStr"/>
      <c r="N1122" t="inlineStr"/>
      <c r="O1122">
        <f>(1-Summary!$B$11)*T1122+Summary!$B$11*V1122</f>
        <v/>
      </c>
      <c r="P1122">
        <f>IF(B1148=0,0,O1122/B1148)</f>
        <v/>
      </c>
      <c r="Q1122">
        <f>IFERROR(1/IF(Inputs!$B$38="pvp",15,MAX(0.1,Skills!D16-IF(Skills!E16=TRUE,(Inputs!$B$32+1),0))),0)</f>
        <v/>
      </c>
      <c r="R1122">
        <f>IF(AND(Inputs!$B$38&lt;&gt;"pvp",Inputs!$B$43&gt;0),IF(Inputs!$B$43&lt;=0,0,(INT(Inputs!$B$43/IF(Inputs!$B$38="pvp",15,MAX(0.1,Skills!D16-IF(Skills!E16=TRUE,(Inputs!$B$32+1),0))))+1)),0)</f>
        <v/>
      </c>
      <c r="S1122" t="n">
        <v>0</v>
      </c>
      <c r="T1122" t="n">
        <v>0</v>
      </c>
      <c r="V1122" t="n">
        <v>0</v>
      </c>
    </row>
    <row r="1123">
      <c r="A1123">
        <f>Skills!A17</f>
        <v/>
      </c>
      <c r="B1123">
        <f>Skills!B17</f>
        <v/>
      </c>
      <c r="C1123">
        <f>Inputs!$B$3&gt;=72</f>
        <v/>
      </c>
      <c r="D1123">
        <f>IF(Skills!C17=1,60+Inputs!$B$25+Inputs!$B$29,IF(Skills!C17=2,90+Inputs!$B$26+Inputs!$B$29,IF(Skills!C17=3,120+Inputs!$B$27+Inputs!$B$29,MAX(0,(Inputs!$B$3-100)*3)+Inputs!$B$28+Inputs!$B$29)))</f>
        <v/>
      </c>
      <c r="E1123">
        <f>INDEX(FactorTable!$B$2:$Y$301, MATCH(ROUND(MIN(300,MAX(1,D1123)),0), FactorTable!$A$2:$A$301,0), Skills!M17+1)</f>
        <v/>
      </c>
      <c r="F1123">
        <f>IF(Skills!N17=TRUE,(Skills!L17/10)*(E1123/1000),Skills!L17/10)+Skills!O17</f>
        <v/>
      </c>
      <c r="G1123">
        <f>Skills!G17*IF(Skills!H17&gt;0,Skills!I17/Skills!H17,1)</f>
        <v/>
      </c>
      <c r="H1123">
        <f>1-(1-Skills!J17/100)^Skills!K17</f>
        <v/>
      </c>
      <c r="I1123" t="inlineStr">
        <is>
          <t>1</t>
        </is>
      </c>
      <c r="J1123" t="inlineStr"/>
      <c r="K1123" t="inlineStr"/>
      <c r="L1123" t="inlineStr"/>
      <c r="M1123" t="inlineStr"/>
      <c r="N1123" t="inlineStr"/>
      <c r="O1123">
        <f>(1-Summary!$B$11)*T1123+Summary!$B$11*V1123</f>
        <v/>
      </c>
      <c r="P1123">
        <f>IF(B1148=0,0,O1123/B1148)</f>
        <v/>
      </c>
      <c r="Q1123" t="n">
        <v>0</v>
      </c>
      <c r="R1123" t="n">
        <v>0</v>
      </c>
      <c r="S1123" t="n">
        <v>0</v>
      </c>
      <c r="T1123" t="n">
        <v>0</v>
      </c>
      <c r="V1123" t="n">
        <v>0</v>
      </c>
    </row>
    <row r="1124">
      <c r="A1124">
        <f>Skills!A18</f>
        <v/>
      </c>
      <c r="B1124">
        <f>Skills!B18</f>
        <v/>
      </c>
      <c r="C1124">
        <f>TRUE</f>
        <v/>
      </c>
      <c r="D1124">
        <f>IF(Skills!C18=1,60+Inputs!$B$25+Inputs!$B$29,IF(Skills!C18=2,90+Inputs!$B$26+Inputs!$B$29,IF(Skills!C18=3,120+Inputs!$B$27+Inputs!$B$29,MAX(0,(Inputs!$B$3-100)*3)+Inputs!$B$28+Inputs!$B$29)))</f>
        <v/>
      </c>
      <c r="E1124">
        <f>INDEX(FactorTable!$B$2:$Y$301, MATCH(ROUND(MIN(300,MAX(1,D1124)),0), FactorTable!$A$2:$A$301,0), Skills!M18+1)</f>
        <v/>
      </c>
      <c r="F1124">
        <f>IF(Skills!N18=TRUE,(Skills!L18/10)*(E1124/1000),Skills!L18/10)+Skills!O18</f>
        <v/>
      </c>
      <c r="G1124">
        <f>Skills!G18*IF(Skills!H18&gt;0,Skills!I18/Skills!H18,1)</f>
        <v/>
      </c>
      <c r="H1124">
        <f>1-(1-Skills!J18/100)^Skills!K18</f>
        <v/>
      </c>
      <c r="I1124" t="inlineStr">
        <is>
          <t>1</t>
        </is>
      </c>
      <c r="J1124" t="inlineStr"/>
      <c r="K1124" t="inlineStr"/>
      <c r="L1124" t="inlineStr"/>
      <c r="M1124" t="inlineStr"/>
      <c r="N1124" t="inlineStr"/>
      <c r="O1124">
        <f>(1-Summary!$B$11)*T1124+Summary!$B$11*V1124</f>
        <v/>
      </c>
      <c r="P1124">
        <f>IF(B1148=0,0,O1124/B1148)</f>
        <v/>
      </c>
      <c r="Q1124">
        <f>IFERROR(1/IF(Inputs!$B$38="pvp",15,MAX(0.1,Skills!D18-IF(Skills!E18=TRUE,(Inputs!$B$32+1),0))),0)</f>
        <v/>
      </c>
      <c r="R1124">
        <f>IF(AND(Inputs!$B$38&lt;&gt;"pvp",Inputs!$B$43&gt;0),IF(Inputs!$B$43&lt;=0,0,(INT(Inputs!$B$43/IF(Inputs!$B$38="pvp",15,MAX(0.1,Skills!D18-IF(Skills!E18=TRUE,(Inputs!$B$32+1),0))))+1)),0)</f>
        <v/>
      </c>
      <c r="S1124" t="n">
        <v>0</v>
      </c>
      <c r="T1124" t="n">
        <v>0</v>
      </c>
      <c r="V1124" t="n">
        <v>0</v>
      </c>
    </row>
    <row r="1125">
      <c r="A1125">
        <f>Skills!A19</f>
        <v/>
      </c>
      <c r="B1125">
        <f>Skills!B19</f>
        <v/>
      </c>
      <c r="C1125">
        <f>Inputs!$B$3&gt;=15</f>
        <v/>
      </c>
      <c r="D1125">
        <f>IF(Skills!C19=1,60+Inputs!$B$25+Inputs!$B$29,IF(Skills!C19=2,90+Inputs!$B$26+Inputs!$B$29,IF(Skills!C19=3,120+Inputs!$B$27+Inputs!$B$29,MAX(0,(Inputs!$B$3-100)*3)+Inputs!$B$28+Inputs!$B$29)))</f>
        <v/>
      </c>
      <c r="E1125">
        <f>INDEX(FactorTable!$B$2:$Y$301, MATCH(ROUND(MIN(300,MAX(1,D1125)),0), FactorTable!$A$2:$A$301,0), Skills!M19+1)</f>
        <v/>
      </c>
      <c r="F1125">
        <f>IF(Skills!N19=TRUE,(Skills!L19/10)*(E1125/1000),Skills!L19/10)+Skills!O19</f>
        <v/>
      </c>
      <c r="G1125">
        <f>Skills!G19*IF(Skills!H19&gt;0,Skills!I19/Skills!H19,1)</f>
        <v/>
      </c>
      <c r="H1125">
        <f>1-(1-Skills!J19/100)^Skills!K19</f>
        <v/>
      </c>
      <c r="I1125" t="inlineStr">
        <is>
          <t>1</t>
        </is>
      </c>
      <c r="J1125" t="inlineStr"/>
      <c r="K1125" t="inlineStr"/>
      <c r="L1125" t="inlineStr"/>
      <c r="M1125" t="inlineStr"/>
      <c r="N1125" t="inlineStr"/>
      <c r="O1125">
        <f>(1-Summary!$B$11)*T1125+Summary!$B$11*V1125</f>
        <v/>
      </c>
      <c r="P1125">
        <f>IF(B1148=0,0,O1125/B1148)</f>
        <v/>
      </c>
      <c r="Q1125" t="n">
        <v>0</v>
      </c>
      <c r="R1125" t="n">
        <v>0</v>
      </c>
      <c r="S1125" t="n">
        <v>0</v>
      </c>
      <c r="T1125" t="n">
        <v>0</v>
      </c>
      <c r="V1125" t="n">
        <v>0</v>
      </c>
    </row>
    <row r="1126">
      <c r="A1126">
        <f>Skills!A20</f>
        <v/>
      </c>
      <c r="B1126">
        <f>Skills!B20</f>
        <v/>
      </c>
      <c r="C1126">
        <f>Inputs!$B$3&gt;=10</f>
        <v/>
      </c>
      <c r="D1126">
        <f>IF(Skills!C20=1,60+Inputs!$B$25+Inputs!$B$29,IF(Skills!C20=2,90+Inputs!$B$26+Inputs!$B$29,IF(Skills!C20=3,120+Inputs!$B$27+Inputs!$B$29,MAX(0,(Inputs!$B$3-100)*3)+Inputs!$B$28+Inputs!$B$29)))</f>
        <v/>
      </c>
      <c r="E1126">
        <f>INDEX(FactorTable!$B$2:$Y$301, MATCH(ROUND(MIN(300,MAX(1,D1126)),0), FactorTable!$A$2:$A$301,0), Skills!M20+1)</f>
        <v/>
      </c>
      <c r="F1126">
        <f>IF(Skills!N20=TRUE,(Skills!L20/10)*(E1126/1000),Skills!L20/10)+Skills!O20</f>
        <v/>
      </c>
      <c r="G1126">
        <f>Skills!G20*IF(Skills!H20&gt;0,Skills!I20/Skills!H20,1)</f>
        <v/>
      </c>
      <c r="H1126">
        <f>1-(1-Skills!J20/100)^Skills!K20</f>
        <v/>
      </c>
      <c r="I1126" t="inlineStr">
        <is>
          <t>1</t>
        </is>
      </c>
      <c r="J1126" t="inlineStr"/>
      <c r="K1126" t="inlineStr"/>
      <c r="L1126" t="inlineStr"/>
      <c r="M1126" t="inlineStr"/>
      <c r="N1126" t="inlineStr"/>
      <c r="O1126">
        <f>(1-Summary!$B$11)*T1126+Summary!$B$11*V1126</f>
        <v/>
      </c>
      <c r="P1126">
        <f>IF(B1148=0,0,O1126/B1148)</f>
        <v/>
      </c>
      <c r="Q1126" t="n">
        <v>0</v>
      </c>
      <c r="R1126" t="n">
        <v>0</v>
      </c>
      <c r="S1126" t="n">
        <v>0</v>
      </c>
      <c r="T1126" t="n">
        <v>0</v>
      </c>
      <c r="V1126" t="n">
        <v>0</v>
      </c>
    </row>
    <row r="1127">
      <c r="A1127">
        <f>Skills!A21</f>
        <v/>
      </c>
      <c r="B1127">
        <f>Skills!B21</f>
        <v/>
      </c>
      <c r="C1127">
        <f>Inputs!$B$3&gt;=33</f>
        <v/>
      </c>
      <c r="D1127">
        <f>IF(Skills!C21=1,60+Inputs!$B$25+Inputs!$B$29,IF(Skills!C21=2,90+Inputs!$B$26+Inputs!$B$29,IF(Skills!C21=3,120+Inputs!$B$27+Inputs!$B$29,MAX(0,(Inputs!$B$3-100)*3)+Inputs!$B$28+Inputs!$B$29)))</f>
        <v/>
      </c>
      <c r="E1127">
        <f>INDEX(FactorTable!$B$2:$Y$301, MATCH(ROUND(MIN(300,MAX(1,D1127)),0), FactorTable!$A$2:$A$301,0), Skills!M21+1)</f>
        <v/>
      </c>
      <c r="F1127">
        <f>IF(Skills!N21=TRUE,(Skills!L21/10)*(E1127/1000),Skills!L21/10)+Skills!O21</f>
        <v/>
      </c>
      <c r="G1127">
        <f>Skills!G21*IF(Skills!H21&gt;0,Skills!I21/Skills!H21,1)</f>
        <v/>
      </c>
      <c r="H1127">
        <f>1-(1-Skills!J21/100)^Skills!K21</f>
        <v/>
      </c>
      <c r="I1127" t="inlineStr">
        <is>
          <t>1</t>
        </is>
      </c>
      <c r="J1127" t="inlineStr"/>
      <c r="K1127" t="inlineStr"/>
      <c r="L1127" t="inlineStr"/>
      <c r="M1127" t="inlineStr"/>
      <c r="N1127" t="inlineStr"/>
      <c r="O1127">
        <f>(1-Summary!$B$11)*T1127+Summary!$B$11*V1127</f>
        <v/>
      </c>
      <c r="P1127">
        <f>IF(B1148=0,0,O1127/B1148)</f>
        <v/>
      </c>
      <c r="Q1127" t="n">
        <v>0</v>
      </c>
      <c r="R1127" t="n">
        <v>0</v>
      </c>
      <c r="S1127" t="n">
        <v>0</v>
      </c>
      <c r="T1127" t="n">
        <v>0</v>
      </c>
      <c r="V1127" t="n">
        <v>0</v>
      </c>
    </row>
    <row r="1128">
      <c r="A1128">
        <f>Skills!A22</f>
        <v/>
      </c>
      <c r="B1128">
        <f>Skills!B22</f>
        <v/>
      </c>
      <c r="C1128">
        <f>Inputs!$B$3&gt;=38</f>
        <v/>
      </c>
      <c r="D1128">
        <f>IF(Skills!C22=1,60+Inputs!$B$25+Inputs!$B$29,IF(Skills!C22=2,90+Inputs!$B$26+Inputs!$B$29,IF(Skills!C22=3,120+Inputs!$B$27+Inputs!$B$29,MAX(0,(Inputs!$B$3-100)*3)+Inputs!$B$28+Inputs!$B$29)))</f>
        <v/>
      </c>
      <c r="E1128">
        <f>INDEX(FactorTable!$B$2:$Y$301, MATCH(ROUND(MIN(300,MAX(1,D1128)),0), FactorTable!$A$2:$A$301,0), Skills!M22+1)</f>
        <v/>
      </c>
      <c r="F1128">
        <f>IF(Skills!N22=TRUE,(Skills!L22/10)*(E1128/1000),Skills!L22/10)+Skills!O22</f>
        <v/>
      </c>
      <c r="G1128">
        <f>Skills!G22*IF(Skills!H22&gt;0,Skills!I22/Skills!H22,1)</f>
        <v/>
      </c>
      <c r="H1128">
        <f>1-(1-Skills!J22/100)^Skills!K22</f>
        <v/>
      </c>
      <c r="I1128" t="inlineStr">
        <is>
          <t>1</t>
        </is>
      </c>
      <c r="J1128" t="inlineStr"/>
      <c r="K1128" t="inlineStr"/>
      <c r="L1128" t="inlineStr"/>
      <c r="M1128" t="inlineStr"/>
      <c r="N1128" t="inlineStr"/>
      <c r="O1128">
        <f>(1-Summary!$B$11)*T1128+Summary!$B$11*V1128</f>
        <v/>
      </c>
      <c r="P1128">
        <f>IF(B1148=0,0,O1128/B1148)</f>
        <v/>
      </c>
      <c r="Q1128" t="n">
        <v>0</v>
      </c>
      <c r="R1128" t="n">
        <v>0</v>
      </c>
      <c r="S1128" t="n">
        <v>0</v>
      </c>
      <c r="T1128" t="n">
        <v>0</v>
      </c>
      <c r="V1128" t="n">
        <v>0</v>
      </c>
    </row>
    <row r="1129">
      <c r="A1129">
        <f>Skills!A23</f>
        <v/>
      </c>
      <c r="B1129">
        <f>Skills!B23</f>
        <v/>
      </c>
      <c r="C1129">
        <f>Inputs!$B$3&gt;=43</f>
        <v/>
      </c>
      <c r="D1129">
        <f>IF(Skills!C23=1,60+Inputs!$B$25+Inputs!$B$29,IF(Skills!C23=2,90+Inputs!$B$26+Inputs!$B$29,IF(Skills!C23=3,120+Inputs!$B$27+Inputs!$B$29,MAX(0,(Inputs!$B$3-100)*3)+Inputs!$B$28+Inputs!$B$29)))</f>
        <v/>
      </c>
      <c r="E1129">
        <f>INDEX(FactorTable!$B$2:$Y$301, MATCH(ROUND(MIN(300,MAX(1,D1129)),0), FactorTable!$A$2:$A$301,0), Skills!M23+1)</f>
        <v/>
      </c>
      <c r="F1129">
        <f>IF(Skills!N23=TRUE,(Skills!L23/10)*(E1129/1000),Skills!L23/10)+Skills!O23</f>
        <v/>
      </c>
      <c r="G1129">
        <f>Skills!G23*IF(Skills!H23&gt;0,Skills!I23/Skills!H23,1)</f>
        <v/>
      </c>
      <c r="H1129">
        <f>1-(1-Skills!J23/100)^Skills!K23</f>
        <v/>
      </c>
      <c r="I1129" t="inlineStr">
        <is>
          <t>1</t>
        </is>
      </c>
      <c r="J1129" t="inlineStr"/>
      <c r="K1129" t="inlineStr"/>
      <c r="L1129" t="inlineStr"/>
      <c r="M1129" t="inlineStr"/>
      <c r="N1129" t="inlineStr"/>
      <c r="O1129">
        <f>(1-Summary!$B$11)*T1129+Summary!$B$11*V1129</f>
        <v/>
      </c>
      <c r="P1129">
        <f>IF(B1148=0,0,O1129/B1148)</f>
        <v/>
      </c>
      <c r="Q1129" t="n">
        <v>0</v>
      </c>
      <c r="R1129" t="n">
        <v>0</v>
      </c>
      <c r="S1129" t="n">
        <v>0</v>
      </c>
      <c r="T1129" t="n">
        <v>0</v>
      </c>
      <c r="V1129" t="n">
        <v>0</v>
      </c>
    </row>
    <row r="1130">
      <c r="A1130">
        <f>Skills!A24</f>
        <v/>
      </c>
      <c r="B1130">
        <f>Skills!B24</f>
        <v/>
      </c>
      <c r="C1130">
        <f>Inputs!$B$3&gt;=75</f>
        <v/>
      </c>
      <c r="D1130">
        <f>IF(Skills!C24=1,60+Inputs!$B$25+Inputs!$B$29,IF(Skills!C24=2,90+Inputs!$B$26+Inputs!$B$29,IF(Skills!C24=3,120+Inputs!$B$27+Inputs!$B$29,MAX(0,(Inputs!$B$3-100)*3)+Inputs!$B$28+Inputs!$B$29)))</f>
        <v/>
      </c>
      <c r="E1130">
        <f>INDEX(FactorTable!$B$2:$Y$301, MATCH(ROUND(MIN(300,MAX(1,D1130)),0), FactorTable!$A$2:$A$301,0), Skills!M24+1)</f>
        <v/>
      </c>
      <c r="F1130">
        <f>IF(Skills!N24=TRUE,(Skills!L24/10)*(E1130/1000),Skills!L24/10)+Skills!O24</f>
        <v/>
      </c>
      <c r="G1130">
        <f>Skills!G24*IF(Skills!H24&gt;0,Skills!I24/Skills!H24,1)</f>
        <v/>
      </c>
      <c r="H1130">
        <f>1-(1-Skills!J24/100)^Skills!K24</f>
        <v/>
      </c>
      <c r="I1130" t="inlineStr">
        <is>
          <t>1</t>
        </is>
      </c>
      <c r="J1130" t="inlineStr"/>
      <c r="K1130" t="inlineStr"/>
      <c r="L1130" t="inlineStr"/>
      <c r="M1130" t="inlineStr"/>
      <c r="N1130" t="inlineStr"/>
      <c r="O1130">
        <f>(1-Summary!$B$11)*T1130+Summary!$B$11*V1130</f>
        <v/>
      </c>
      <c r="P1130">
        <f>IF(B1148=0,0,O1130/B1148)</f>
        <v/>
      </c>
      <c r="Q1130" t="n">
        <v>0</v>
      </c>
      <c r="R1130" t="n">
        <v>0</v>
      </c>
      <c r="S1130" t="n">
        <v>0</v>
      </c>
      <c r="T1130" t="n">
        <v>0</v>
      </c>
      <c r="V1130" t="n">
        <v>0</v>
      </c>
    </row>
    <row r="1131">
      <c r="A1131">
        <f>Skills!A25</f>
        <v/>
      </c>
      <c r="B1131">
        <f>Skills!B25</f>
        <v/>
      </c>
      <c r="C1131">
        <f>Inputs!$B$3&gt;=125</f>
        <v/>
      </c>
      <c r="D1131">
        <f>IF(Skills!C25=1,60+Inputs!$B$25+Inputs!$B$29,IF(Skills!C25=2,90+Inputs!$B$26+Inputs!$B$29,IF(Skills!C25=3,120+Inputs!$B$27+Inputs!$B$29,MAX(0,(Inputs!$B$3-100)*3)+Inputs!$B$28+Inputs!$B$29)))</f>
        <v/>
      </c>
      <c r="E1131">
        <f>INDEX(FactorTable!$B$2:$Y$301, MATCH(ROUND(MIN(300,MAX(1,D1131)),0), FactorTable!$A$2:$A$301,0), Skills!M25+1)</f>
        <v/>
      </c>
      <c r="F1131">
        <f>IF(Skills!N25=TRUE,(Skills!L25/10)*(E1131/1000),Skills!L25/10)+Skills!O25</f>
        <v/>
      </c>
      <c r="G1131">
        <f>Skills!G25*IF(Skills!H25&gt;0,Skills!I25/Skills!H25,1)</f>
        <v/>
      </c>
      <c r="H1131">
        <f>1-(1-Skills!J25/100)^Skills!K25</f>
        <v/>
      </c>
      <c r="I1131" t="inlineStr">
        <is>
          <t>1</t>
        </is>
      </c>
      <c r="J1131" t="inlineStr"/>
      <c r="K1131" t="inlineStr"/>
      <c r="L1131" t="inlineStr"/>
      <c r="M1131" t="inlineStr"/>
      <c r="N1131" t="inlineStr"/>
      <c r="O1131">
        <f>(1-Summary!$B$11)*T1131+Summary!$B$11*V1131</f>
        <v/>
      </c>
      <c r="P1131">
        <f>IF(B1148=0,0,O1131/B1148)</f>
        <v/>
      </c>
      <c r="Q1131" t="n">
        <v>0</v>
      </c>
      <c r="R1131" t="n">
        <v>0</v>
      </c>
      <c r="S1131" t="n">
        <v>0</v>
      </c>
      <c r="T1131" t="n">
        <v>0</v>
      </c>
      <c r="V1131" t="n">
        <v>0</v>
      </c>
    </row>
    <row r="1132">
      <c r="A1132">
        <f>Skills!A26</f>
        <v/>
      </c>
      <c r="B1132">
        <f>Skills!B26</f>
        <v/>
      </c>
      <c r="C1132">
        <f>Inputs!$B$3&gt;=125</f>
        <v/>
      </c>
      <c r="D1132">
        <f>IF(Skills!C26=1,60+Inputs!$B$25+Inputs!$B$29,IF(Skills!C26=2,90+Inputs!$B$26+Inputs!$B$29,IF(Skills!C26=3,120+Inputs!$B$27+Inputs!$B$29,MAX(0,(Inputs!$B$3-100)*3)+Inputs!$B$28+Inputs!$B$29)))</f>
        <v/>
      </c>
      <c r="E1132">
        <f>INDEX(FactorTable!$B$2:$Y$301, MATCH(ROUND(MIN(300,MAX(1,D1132)),0), FactorTable!$A$2:$A$301,0), Skills!M26+1)</f>
        <v/>
      </c>
      <c r="F1132">
        <f>IF(Skills!N26=TRUE,(Skills!L26/10)*(E1132/1000),Skills!L26/10)+Skills!O26</f>
        <v/>
      </c>
      <c r="G1132">
        <f>Skills!G26*IF(Skills!H26&gt;0,Skills!I26/Skills!H26,1)</f>
        <v/>
      </c>
      <c r="H1132">
        <f>1-(1-Skills!J26/100)^Skills!K26</f>
        <v/>
      </c>
      <c r="I1132" t="inlineStr">
        <is>
          <t>1</t>
        </is>
      </c>
      <c r="J1132" t="inlineStr"/>
      <c r="K1132" t="inlineStr"/>
      <c r="L1132" t="inlineStr"/>
      <c r="M1132" t="inlineStr"/>
      <c r="N1132" t="inlineStr"/>
      <c r="O1132">
        <f>(1-Summary!$B$11)*T1132+Summary!$B$11*V1132</f>
        <v/>
      </c>
      <c r="P1132">
        <f>IF(B1148=0,0,O1132/B1148)</f>
        <v/>
      </c>
      <c r="Q1132" t="n">
        <v>0</v>
      </c>
      <c r="R1132" t="n">
        <v>0</v>
      </c>
      <c r="S1132" t="n">
        <v>0</v>
      </c>
      <c r="T1132" t="n">
        <v>0</v>
      </c>
      <c r="V1132" t="n">
        <v>0</v>
      </c>
    </row>
    <row r="1133">
      <c r="A1133">
        <f>Skills!A27</f>
        <v/>
      </c>
      <c r="B1133">
        <f>Skills!B27</f>
        <v/>
      </c>
      <c r="C1133">
        <f>Inputs!$B$3&gt;=120</f>
        <v/>
      </c>
      <c r="D1133">
        <f>IF(Skills!C27=1,60+Inputs!$B$25+Inputs!$B$29,IF(Skills!C27=2,90+Inputs!$B$26+Inputs!$B$29,IF(Skills!C27=3,120+Inputs!$B$27+Inputs!$B$29,MAX(0,(Inputs!$B$3-100)*3)+Inputs!$B$28+Inputs!$B$29)))</f>
        <v/>
      </c>
      <c r="E1133">
        <f>INDEX(FactorTable!$B$2:$Y$301, MATCH(ROUND(MIN(300,MAX(1,D1133)),0), FactorTable!$A$2:$A$301,0), Skills!M27+1)</f>
        <v/>
      </c>
      <c r="F1133">
        <f>IF(Skills!N27=TRUE,(Skills!L27/10)*(E1133/1000),Skills!L27/10)+Skills!O27</f>
        <v/>
      </c>
      <c r="G1133">
        <f>Skills!G27*IF(Skills!H27&gt;0,Skills!I27/Skills!H27,1)</f>
        <v/>
      </c>
      <c r="H1133">
        <f>1-(1-Skills!J27/100)^Skills!K27</f>
        <v/>
      </c>
      <c r="I1133" t="inlineStr">
        <is>
          <t>1</t>
        </is>
      </c>
      <c r="J1133" t="inlineStr"/>
      <c r="K1133" t="inlineStr"/>
      <c r="L1133" t="inlineStr"/>
      <c r="M1133" t="inlineStr"/>
      <c r="N1133" t="inlineStr"/>
      <c r="O1133">
        <f>(1-Summary!$B$11)*T1133+Summary!$B$11*V1133</f>
        <v/>
      </c>
      <c r="P1133">
        <f>IF(B1148=0,0,O1133/B1148)</f>
        <v/>
      </c>
      <c r="Q1133" t="n">
        <v>0</v>
      </c>
      <c r="R1133" t="n">
        <v>0</v>
      </c>
      <c r="S1133" t="n">
        <v>0</v>
      </c>
      <c r="T1133" t="n">
        <v>0</v>
      </c>
      <c r="V1133" t="n">
        <v>0</v>
      </c>
    </row>
    <row r="1134">
      <c r="A1134">
        <f>Skills!A28</f>
        <v/>
      </c>
      <c r="B1134">
        <f>Skills!B28</f>
        <v/>
      </c>
      <c r="C1134">
        <f>Inputs!$B$3&gt;=120</f>
        <v/>
      </c>
      <c r="D1134">
        <f>IF(Skills!C28=1,60+Inputs!$B$25+Inputs!$B$29,IF(Skills!C28=2,90+Inputs!$B$26+Inputs!$B$29,IF(Skills!C28=3,120+Inputs!$B$27+Inputs!$B$29,MAX(0,(Inputs!$B$3-100)*3)+Inputs!$B$28+Inputs!$B$29)))</f>
        <v/>
      </c>
      <c r="E1134">
        <f>INDEX(FactorTable!$B$2:$Y$301, MATCH(ROUND(MIN(300,MAX(1,D1134)),0), FactorTable!$A$2:$A$301,0), Skills!M28+1)</f>
        <v/>
      </c>
      <c r="F1134">
        <f>IF(Skills!N28=TRUE,(Skills!L28/10)*(E1134/1000),Skills!L28/10)+Skills!O28</f>
        <v/>
      </c>
      <c r="G1134">
        <f>Skills!G28*IF(Skills!H28&gt;0,Skills!I28/Skills!H28,1)</f>
        <v/>
      </c>
      <c r="H1134">
        <f>1-(1-Skills!J28/100)^Skills!K28</f>
        <v/>
      </c>
      <c r="I1134" t="inlineStr">
        <is>
          <t>1</t>
        </is>
      </c>
      <c r="J1134" t="inlineStr"/>
      <c r="K1134" t="inlineStr"/>
      <c r="L1134" t="inlineStr"/>
      <c r="M1134" t="inlineStr"/>
      <c r="N1134" t="inlineStr"/>
      <c r="O1134">
        <f>(1-Summary!$B$11)*T1134+Summary!$B$11*V1134</f>
        <v/>
      </c>
      <c r="P1134">
        <f>IF(B1148=0,0,O1134/B1148)</f>
        <v/>
      </c>
      <c r="Q1134" t="n">
        <v>0</v>
      </c>
      <c r="R1134" t="n">
        <v>0</v>
      </c>
      <c r="S1134" t="n">
        <v>0</v>
      </c>
      <c r="T1134" t="n">
        <v>0</v>
      </c>
      <c r="V1134" t="n">
        <v>0</v>
      </c>
    </row>
    <row r="1135">
      <c r="A1135">
        <f>Skills!A29</f>
        <v/>
      </c>
      <c r="B1135">
        <f>Skills!B29</f>
        <v/>
      </c>
      <c r="C1135">
        <f>Inputs!$B$3&gt;=45</f>
        <v/>
      </c>
      <c r="D1135">
        <f>IF(Skills!C29=1,60+Inputs!$B$25+Inputs!$B$29,IF(Skills!C29=2,90+Inputs!$B$26+Inputs!$B$29,IF(Skills!C29=3,120+Inputs!$B$27+Inputs!$B$29,MAX(0,(Inputs!$B$3-100)*3)+Inputs!$B$28+Inputs!$B$29)))</f>
        <v/>
      </c>
      <c r="E1135">
        <f>INDEX(FactorTable!$B$2:$Y$301, MATCH(ROUND(MIN(300,MAX(1,D1135)),0), FactorTable!$A$2:$A$301,0), Skills!M29+1)</f>
        <v/>
      </c>
      <c r="F1135">
        <f>IF(Skills!N29=TRUE,(Skills!L29/10)*(E1135/1000),Skills!L29/10)+Skills!O29</f>
        <v/>
      </c>
      <c r="G1135">
        <f>Skills!G29*IF(Skills!H29&gt;0,Skills!I29/Skills!H29,1)</f>
        <v/>
      </c>
      <c r="H1135">
        <f>1-(1-Skills!J29/100)^Skills!K29</f>
        <v/>
      </c>
      <c r="I1135" t="inlineStr">
        <is>
          <t>1</t>
        </is>
      </c>
      <c r="J1135" t="inlineStr"/>
      <c r="K1135" t="inlineStr"/>
      <c r="L1135" t="inlineStr"/>
      <c r="M1135" t="inlineStr"/>
      <c r="N1135" t="inlineStr"/>
      <c r="O1135">
        <f>(1-Summary!$B$11)*T1135+Summary!$B$11*V1135</f>
        <v/>
      </c>
      <c r="P1135">
        <f>IF(B1148=0,0,O1135/B1148)</f>
        <v/>
      </c>
      <c r="Q1135" t="n">
        <v>0</v>
      </c>
      <c r="R1135" t="n">
        <v>0</v>
      </c>
      <c r="S1135" t="n">
        <v>0</v>
      </c>
      <c r="T1135" t="n">
        <v>0</v>
      </c>
      <c r="V1135" t="n">
        <v>0</v>
      </c>
    </row>
    <row r="1137">
      <c r="A1137" t="inlineStr">
        <is>
          <t>Attack% Bucket Multiplier</t>
        </is>
      </c>
      <c r="B1137">
        <f>(1+(((C1119=TRUE)*F1119)+((C1120=TRUE)*IF(Inputs!$B$38="pvp",F1120,(1-Summary!$B$11)*(F1120)+Summary!$B$11*(0)))+((C1121=TRUE)*F1121*IF(AND(Inputs!$B$38&lt;&gt;"pvp",Inputs!$B$43&gt;0),(((R1121-1)*(Skills!T15*(1+Inputs!$B$34/100))+MIN((Skills!T15*(1+Inputs!$B$34/100)),MAX(0,Inputs!$B$43-((R1121-1)*Skills!D15))))/Inputs!$B$43),IF(Inputs!$B$38="pvp",MIN((Skills!T15*(1+Inputs!$B$34/100)),15)/15,(Skills!T15*(1+Inputs!$B$34/100))/Skills!D15)))+((C1118=TRUE)*F1118)+((C1135=TRUE)*(F1135-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1138">
      <c r="A1138" t="inlineStr">
        <is>
          <t>Global Crit Rate Bonus %</t>
        </is>
      </c>
      <c r="B1138">
        <f>(C1122=TRUE)*20*IF(AND(Inputs!$B$38&lt;&gt;"pvp",Inputs!$B$43&gt;0),(((R1122-1)*(Skills!T16*(1+Inputs!$B$34/100))+MIN((Skills!T16*(1+Inputs!$B$34/100)),MAX(0,Inputs!$B$43-((R1122-1)*Skills!D16))))/Inputs!$B$43),IF(Inputs!$B$38="pvp",MIN((Skills!T16*(1+Inputs!$B$34/100)),15)/15,(Skills!T16*(1+Inputs!$B$34/100))/Skills!D16))</f>
        <v/>
      </c>
    </row>
    <row r="1139">
      <c r="A1139" t="inlineStr">
        <is>
          <t>Attack Speed Buff Bonus %</t>
        </is>
      </c>
      <c r="B1139">
        <f>((C1124=TRUE)*F1124*IF(AND(Inputs!$B$38&lt;&gt;"pvp",Inputs!$B$43&gt;0),(((R1124-1)*(Skills!T18*(1+Inputs!$B$34/100))+MIN((Skills!T18*(1+Inputs!$B$34/100)),MAX(0,Inputs!$B$43-((R1124-1)*Skills!D18))))/Inputs!$B$43),IF(Inputs!$B$38="pvp",MIN((Skills!T18*(1+Inputs!$B$34/100)),15)/15,(Skills!T18*(1+Inputs!$B$34/100))/Skills!D18)))</f>
        <v/>
      </c>
    </row>
    <row r="1140">
      <c r="A1140" t="inlineStr">
        <is>
          <t>Actions Per Second</t>
        </is>
      </c>
      <c r="B1140">
        <f>1+MIN(150,150*(1-(1-(Inputs!$B$11+((C1126=TRUE)*(F1126-Calc!F20))+((C1127=TRUE)*(F1127-Calc!F21)))/150)*(1-B1139/150)))/100</f>
        <v/>
      </c>
    </row>
    <row r="1141">
      <c r="A1141" t="inlineStr">
        <is>
          <t>Skill + Buff Cast Rate</t>
        </is>
      </c>
      <c r="B1141">
        <f>IF(AND(Inputs!$B$38&lt;&gt;"pvp",Inputs!$B$43&gt;0),SUMPRODUCT((Skills!E2:E29=TRUE)*(C1108:C1135=TRUE)*R1108:R1135*Skills!F2:F29)/Inputs!$B$43,SUMPRODUCT((Skills!E2:E29=TRUE)*(C1108:C1135=TRUE)*Q1108:Q1135*Skills!F2:F29))</f>
        <v/>
      </c>
    </row>
    <row r="1142">
      <c r="A1142" t="inlineStr">
        <is>
          <t>Empowered Piercing Arrow Casts Per Second</t>
        </is>
      </c>
      <c r="B1142">
        <f>MAX(0,B1140-B1141)</f>
        <v/>
      </c>
    </row>
    <row r="1143">
      <c r="A1143" t="inlineStr">
        <is>
          <t>Global Critical Damage Bonus % (Sharp Eyes)</t>
        </is>
      </c>
      <c r="B1143">
        <f>(C1122=TRUE)*F1122*IF(AND(Inputs!$B$38&lt;&gt;"pvp",Inputs!$B$43&gt;0),(((R1122-1)*(Skills!T16*(1+Inputs!$B$34/100))+MIN((Skills!T16*(1+Inputs!$B$34/100)),MAX(0,Inputs!$B$43-((R1122-1)*Skills!D16))))/Inputs!$B$43),IF(Inputs!$B$38="pvp",MIN((Skills!T16*(1+Inputs!$B$34/100)),15)/15,(Skills!T16*(1+Inputs!$B$34/100))/Skills!D16))</f>
        <v/>
      </c>
    </row>
    <row r="1144">
      <c r="A1144" t="inlineStr">
        <is>
          <t>Global Final Damage Bonus % (Mortal Blow + Last Man Standing conditional half)</t>
        </is>
      </c>
      <c r="B1144">
        <f>(C1123=TRUE)*F1123+((C1132=TRUE)*IF(Inputs!$B$38="pvp",F1132,(1-Summary!$B$11)*(F1132)+Summary!$B$11*(0)))</f>
        <v/>
      </c>
    </row>
    <row r="1145">
      <c r="A1145" t="inlineStr">
        <is>
          <t>Buff-Casting Startup Delay (s, fixed-duration only)</t>
        </is>
      </c>
      <c r="B1145">
        <f>IF(AND(Inputs!$B$38&lt;&gt;"pvp",Inputs!$B$43&gt;0),SUMPRODUCT((Skills!T2:T29&gt;0)*(Skills!E2:E29=TRUE)*(C1108:C1135=TRUE))/B1140,0)</f>
        <v/>
      </c>
    </row>
    <row r="1146">
      <c r="A1146" t="inlineStr">
        <is>
          <t>Boss-Only Total DPS (this block's swept value)</t>
        </is>
      </c>
      <c r="B1146">
        <f>SUM(T1108:T1135)</f>
        <v/>
      </c>
    </row>
    <row r="1147">
      <c r="A1147" t="inlineStr">
        <is>
          <t>Normal-Only Total DPS (this block's swept value)</t>
        </is>
      </c>
      <c r="B1147">
        <f>SUM(V1108:V1135)</f>
        <v/>
      </c>
    </row>
    <row r="1148">
      <c r="A1148" s="6" t="inlineStr">
        <is>
          <t>TOTAL DPS</t>
        </is>
      </c>
      <c r="B1148" s="6">
        <f>SUM(O1108:O1135)</f>
        <v/>
      </c>
    </row>
    <row r="1151">
      <c r="A1151" s="6" t="inlineStr">
        <is>
          <t>Stat: Basic Attack Target Increase (flat)</t>
        </is>
      </c>
    </row>
    <row r="1152">
      <c r="A1152" s="5" t="inlineStr">
        <is>
          <t>Key</t>
        </is>
      </c>
      <c r="B1152" s="5" t="inlineStr">
        <is>
          <t>Name</t>
        </is>
      </c>
      <c r="C1152" s="5" t="inlineStr">
        <is>
          <t>Unlocked</t>
        </is>
      </c>
      <c r="D1152" s="5" t="inlineStr">
        <is>
          <t>InputLevel</t>
        </is>
      </c>
      <c r="E1152" s="5" t="inlineStr">
        <is>
          <t>Factor</t>
        </is>
      </c>
      <c r="F1152" s="5" t="inlineStr">
        <is>
          <t>CoefficientPercent</t>
        </is>
      </c>
      <c r="G1152" s="5" t="inlineStr">
        <is>
          <t>EffectiveHits</t>
        </is>
      </c>
      <c r="H1152" s="5" t="inlineStr">
        <is>
          <t>ProcProbability</t>
        </is>
      </c>
      <c r="I1152" s="5" t="inlineStr">
        <is>
          <t>MapleHeroMultiplier</t>
        </is>
      </c>
      <c r="J1152" s="5" t="inlineStr">
        <is>
          <t>BaseDamage</t>
        </is>
      </c>
      <c r="K1152" s="5" t="inlineStr">
        <is>
          <t>BaseHitDamage</t>
        </is>
      </c>
      <c r="L1152" s="5" t="inlineStr">
        <is>
          <t>NonCritAvg</t>
        </is>
      </c>
      <c r="M1152" s="5" t="inlineStr">
        <is>
          <t>CritAvg</t>
        </is>
      </c>
      <c r="N1152" s="5" t="inlineStr">
        <is>
          <t>ExpectedDamage(perHit)</t>
        </is>
      </c>
      <c r="O1152" s="5" t="inlineStr">
        <is>
          <t>DPS</t>
        </is>
      </c>
      <c r="P1152" s="5" t="inlineStr">
        <is>
          <t>% of Total</t>
        </is>
      </c>
      <c r="Q1152" s="5" t="inlineStr">
        <is>
          <t>InvCooldown</t>
        </is>
      </c>
      <c r="R1152" s="5" t="inlineStr">
        <is>
          <t>CastsInFight</t>
        </is>
      </c>
      <c r="S1152" s="5" t="inlineStr">
        <is>
          <t>HitRate(perSec)</t>
        </is>
      </c>
      <c r="U1152" t="inlineStr">
        <is>
          <t>helpers</t>
        </is>
      </c>
    </row>
    <row r="1153">
      <c r="A1153">
        <f>Skills!A2</f>
        <v/>
      </c>
      <c r="B1153">
        <f>Skills!B2</f>
        <v/>
      </c>
      <c r="C1153">
        <f>Inputs!$B$3&gt;=100</f>
        <v/>
      </c>
      <c r="D1153" t="inlineStr"/>
      <c r="E1153" t="inlineStr"/>
      <c r="F1153">
        <f>U1155+Skills!O2</f>
        <v/>
      </c>
      <c r="G1153">
        <f>Skills!G2*IF(Skills!H2&gt;0,Skills!I2/Skills!H2,1)</f>
        <v/>
      </c>
      <c r="H1153">
        <f>1-(1-Skills!J2/100)^Skills!K2</f>
        <v/>
      </c>
      <c r="I1153" t="inlineStr">
        <is>
          <t>1</t>
        </is>
      </c>
      <c r="J1153">
        <f>((Inputs!$B$6*(1+Inputs!$B$7/100))+(((Inputs!$B$12*(1+Inputs!$B$13/100))-(Inputs!$B$12*(1+Inputs!$B$13/100)))+0.25*(Inputs!$B$14-Inputs!$B$14))*(1+Inputs!$B$7/100))*(F1153/100)</f>
        <v/>
      </c>
      <c r="K1153">
        <f>J1153*(1+((Inputs!$B$12*(1+Inputs!$B$13/100))*0.01+Inputs!$B$14*0.0025)/100)*(1+Inputs!$B$15/100)*(1+Inputs!$B$16/100)*(5000/(6000+Inputs!$B$42*(1-(100*(1-(1-(Inputs!$B$19+0)/100)*(1-CHOOSE(ArtifactsInput!$N$40+1,5,6,7,8,9,10)/100)^(ArtifactsInput!$M$40-ArtifactsInput!$M$40)))/100)))*(1+(Inputs!$B$24+((C1175=TRUE)*(F1175-Calc!F24))+((C1176=TRUE)*(F1176-Calc!F25))+B1189)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EMPOWERED_PIERCING_ARROW",Inputs!$B$17+((C1173=TRUE)*(F1173-Calc!F22))+(((IF(AND(ArtifactsInput!$M$42,((Inputs!$B$9+((C1170=TRUE)*(F1170-Calc!F19))+B1183+(ArtifactsInput!$M$24-ArtifactsInput!$M$24)*CHOOSE(ArtifactsInput!$N$24+1,10,12,14,16,18,20)+IF(ArtifactsInput!$M$10,CHOOSE(ArtifactsInput!$N$10+1,15,18,21,24,27,30)*(IF(Inputs!$B$38="pvp",MIN(15,15)/15,IF(AND(Inputs!$B$38&lt;&gt;"pvp",Inputs!$B$43&gt;0),MIN(15,Inputs!$B$43)/(Inputs!$B$43),0))),0)))&gt;=100),MIN(100,((Inputs!$B$9+((C1170=TRUE)*(F1170-Calc!F19))+B1183+(ArtifactsInput!$M$24-ArtifactsInput!$M$24)*CHOOSE(ArtifactsInput!$N$24+1,10,12,14,16,18,20)+IF(ArtifactsInput!$M$10,CHOOSE(ArtifactsInput!$N$10+1,15,18,21,24,27,30)*(IF(Inputs!$B$38="pvp",MIN(15,15)/15,IF(AND(Inputs!$B$38&lt;&gt;"pvp",Inputs!$B$43&gt;0),MIN(15,Inputs!$B$43)/(Inputs!$B$43),0))),0)))-100),0))*CHOOSE(ArtifactsInput!$N$42+1,0.6,0.72,0.84,0.96,1.08,1.2))),Inputs!$B$18+((C1178=TRUE)*(F1178-Calc!F27))+(IF(AND(ArtifactsInput!$M$42,((Inputs!$B$9+((C1170=TRUE)*(F1170-Calc!F19))+B1183+(ArtifactsInput!$M$24-ArtifactsInput!$M$24)*CHOOSE(ArtifactsInput!$N$24+1,10,12,14,16,18,20)+IF(ArtifactsInput!$M$10,CHOOSE(ArtifactsInput!$N$10+1,15,18,21,24,27,30)*(IF(Inputs!$B$38="pvp",MIN(15,15)/15,IF(AND(Inputs!$B$38&lt;&gt;"pvp",Inputs!$B$43&gt;0),MIN(15,Inputs!$B$43)/(Inputs!$B$43),0))),0)))&gt;=100),CHOOSE(ArtifactsInput!$N$42+1,40,48,56,64,72,80),0))))/100)*((1+(((C1164=TRUE)*F1164)+((C1165=TRUE)*IF(Inputs!$B$38="pvp",F1165,(1-Summary!$B$11)*(F1165)+Summary!$B$11*(0)))+((C1166=TRUE)*F1166*IF(AND(Inputs!$B$38&lt;&gt;"pvp",Inputs!$B$43&gt;0),(((R1166-1)*(Skills!T15*(1+Inputs!$B$34/100))+MIN((Skills!T15*(1+Inputs!$B$34/100)),MAX(0,Inputs!$B$43-((R1166-1)*Skills!D15))))/Inputs!$B$43),IF(Inputs!$B$38="pvp",MIN((Skills!T15*(1+Inputs!$B$34/100)),15)/15,(Skills!T15*(1+Inputs!$B$34/100))/Skills!D15)))+((C1163=TRUE)*F1163)+((C1180=TRUE)*(F1180-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1153)</f>
        <v/>
      </c>
      <c r="L1153">
        <f>K1153*(MIN(Inputs!$B$22+((C1174=TRUE)*(F1174-Calc!F23)),(Inputs!$B$23+((C1179=TRUE)*(F1179-Calc!F28))+(IF(ArtifactsInput!$M$15,CHOOSE(ArtifactsInput!$N$15+1,25,30,35,40,45,50)/100*(Inputs!$B$11-Inputs!$B$11),0))))/100+(Inputs!$B$23+((C1179=TRUE)*(F1179-Calc!F28))+(IF(ArtifactsInput!$M$15,CHOOSE(ArtifactsInput!$N$15+1,25,30,35,40,45,50)/100*(Inputs!$B$11-Inputs!$B$11),0)))/100)/2</f>
        <v/>
      </c>
      <c r="M1153">
        <f>L1153*(1+(Inputs!$B$10+0+B1188+(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153">
        <f>L1153*(1-MIN((Inputs!$B$9+((C1170=TRUE)*(F1170-Calc!F19))+B1183+(ArtifactsInput!$M$24-ArtifactsInput!$M$24)*CHOOSE(ArtifactsInput!$N$24+1,10,12,14,16,18,20)+(IF(AND(ArtifactsInput!$M$42,((Inputs!$B$9+((C1170=TRUE)*(F1170-Calc!F19))+B1183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1153*(MIN((Inputs!$B$9+((C1170=TRUE)*(F1170-Calc!F19))+B1183+(ArtifactsInput!$M$24-ArtifactsInput!$M$24)*CHOOSE(ArtifactsInput!$N$24+1,10,12,14,16,18,20)+(IF(AND(ArtifactsInput!$M$42,((Inputs!$B$9+((C1170=TRUE)*(F1170-Calc!F19))+B1183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153">
        <f>(1-Summary!$B$11)*T1153+Summary!$B$11*V1153</f>
        <v/>
      </c>
      <c r="P1153">
        <f>IF(B1193=0,0,O1153/B1193)</f>
        <v/>
      </c>
      <c r="Q1153" t="n">
        <v>0</v>
      </c>
      <c r="R1153" t="n">
        <v>0</v>
      </c>
      <c r="S1153">
        <f>IFERROR((Skills!G2*N1153*B1187)/N1153*IF(Inputs!$B$38="pvp",1,(1-Summary!$B$11)*1+Summary!$B$11*(MIN((6+(Inputs!$B$33+1)),Inputs!$B$37))),0)</f>
        <v/>
      </c>
      <c r="T1153">
        <f>IF(C1153,(Skills!G2*N1153*B1187)*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Hunt"),CHOOSE(ArtifactsInput!$N$35+1,15,18,21,24,27,30)*(1-EXP(-(0.2*B1185)*5)),0)+IF(AND(ArtifactsInput!$M$22,Inputs!$B$4&lt;&gt;"Chapter Hunt"),CHOOSE(ArtifactsInput!$N$22+1,10,12,14,16,18,20)*((0*(((0.15*B1185*5))^0/1)+1*(((0.15*B1185*5))^1/1)+2*(((0.15*B1185*5))^2/2)+3*(((0.15*B1185*5))^3/6)+4*(((0.15*B1185*5))^4/24)+5*(((0.15*B1185*5))^5/120))/((((0.15*B1185*5))^0/1)+(((0.15*B1185*5))^1/1)+(((0.15*B1185*5))^2/2)+(((0.15*B1185*5))^3/6)+(((0.15*B1185*5))^4/24)+(((0.15*B1185*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1153*(1-MIN(100,(Inputs!$B$9+((C1170=TRUE)*(F1170-Calc!F19))+B1183+(ArtifactsInput!$M$24-ArtifactsInput!$M$24)*CHOOSE(ArtifactsInput!$N$24+1,10,12,14,16,18,20)+(IF(AND(ArtifactsInput!$M$42,((Inputs!$B$9+((C1170=TRUE)*(F1170-Calc!F19))+B1183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1153*(MIN(100,(Inputs!$B$9+((C1170=TRUE)*(F1170-Calc!F19))+B1183+(ArtifactsInput!$M$24-ArtifactsInput!$M$24)*CHOOSE(ArtifactsInput!$N$24+1,10,12,14,16,18,20)+(IF(AND(ArtifactsInput!$M$42,((Inputs!$B$9+((C1170=TRUE)*(F1170-Calc!F19))+B1183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1153*(1-MIN(100,(Inputs!$B$9+((C1170=TRUE)*(F1170-Calc!F19))+B1183+(ArtifactsInput!$M$24-ArtifactsInput!$M$24)*CHOOSE(ArtifactsInput!$N$24+1,10,12,14,16,18,20)+(IF(AND(ArtifactsInput!$M$42,((Inputs!$B$9+((C1170=TRUE)*(F1170-Calc!F19))+B1183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1153*(MIN(100,(Inputs!$B$9+((C1170=TRUE)*(F1170-Calc!F19))+B1183+(ArtifactsInput!$M$24-ArtifactsInput!$M$24)*CHOOSE(ArtifactsInput!$N$24+1,10,12,14,16,18,20)+(IF(AND(ArtifactsInput!$M$42,((Inputs!$B$9+((C1170=TRUE)*(F1170-Calc!F19))+B1183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153">
        <f>MAX(0,(Inputs!$B$3-100)*3)+Inputs!$B$28+Inputs!$B$29</f>
        <v/>
      </c>
      <c r="V1153">
        <f>IF(C1153,(Skills!G2*N1153*B1187)*IF(Inputs!$B$38="pvp",1,(1+(Inputs!$B$21+Skills!Q2+(IF(ArtifactsInput!$M$33,CHOOSE(ArtifactsInput!$N$33+1,30,36,42,48,54,60),0))+(IF(AND(ArtifactsInput!$M$35,Inputs!$B$4&lt;&gt;"Chapter Hunt"),CHOOSE(ArtifactsInput!$N$35+1,15,18,21,24,27,30)*(1-EXP(-(0.2*B1185)*5)),0)+IF(AND(ArtifactsInput!$M$22,Inputs!$B$4&lt;&gt;"Chapter Hunt"),CHOOSE(ArtifactsInput!$N$22+1,10,12,14,16,18,20)*((0*(((0.15*B1185*5))^0/1)+1*(((0.15*B1185*5))^1/1)+2*(((0.15*B1185*5))^2/2)+3*(((0.15*B1185*5))^3/6)+4*(((0.15*B1185*5))^4/24)+5*(((0.15*B1185*5))^5/120))/((((0.15*B1185*5))^0/1)+(((0.15*B1185*5))^1/1)+(((0.15*B1185*5))^2/2)+(((0.15*B1185*5))^3/6)+(((0.15*B1185*5))^4/24)+(((0.15*B1185*5))^5/120))),0)))/100)*(MIN((6+(Inputs!$B$33+1)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154">
      <c r="A1154">
        <f>Skills!A3</f>
        <v/>
      </c>
      <c r="B1154">
        <f>Skills!B3</f>
        <v/>
      </c>
      <c r="C1154">
        <f>Inputs!$B$3&gt;=50</f>
        <v/>
      </c>
      <c r="D1154">
        <f>IF(Skills!C3=1,60+Inputs!$B$25+Inputs!$B$29,IF(Skills!C3=2,90+Inputs!$B$26+Inputs!$B$29,IF(Skills!C3=3,120+Inputs!$B$27+Inputs!$B$29,MAX(0,(Inputs!$B$3-100)*3)+Inputs!$B$28+Inputs!$B$29)))</f>
        <v/>
      </c>
      <c r="E1154">
        <f>INDEX(FactorTable!$B$2:$Y$301, MATCH(ROUND(MIN(300,MAX(1,D1154)),0), FactorTable!$A$2:$A$301,0), Skills!M3+1)</f>
        <v/>
      </c>
      <c r="F1154">
        <f>IF(Skills!N3=TRUE,(Skills!L3/10)*(E1154/1000),Skills!L3/10)+Skills!O3</f>
        <v/>
      </c>
      <c r="G1154" t="inlineStr"/>
      <c r="H1154" t="inlineStr"/>
      <c r="I1154" t="inlineStr">
        <is>
          <t>1</t>
        </is>
      </c>
      <c r="J1154" t="inlineStr"/>
      <c r="K1154" t="inlineStr"/>
      <c r="L1154" t="inlineStr"/>
      <c r="M1154" t="inlineStr"/>
      <c r="N1154" t="inlineStr"/>
      <c r="O1154" t="inlineStr"/>
      <c r="P1154" t="inlineStr"/>
      <c r="Q1154" t="inlineStr"/>
      <c r="R1154" t="inlineStr"/>
      <c r="S1154" t="inlineStr"/>
      <c r="T1154" t="inlineStr"/>
      <c r="U1154">
        <f>INDEX(FactorTable!$B$2:$Y$301, MATCH(ROUND(MIN(300,MAX(1,U1153)),0), FactorTable!$A$2:$A$301,0), 22)</f>
        <v/>
      </c>
      <c r="V1154" t="inlineStr"/>
    </row>
    <row r="1155">
      <c r="A1155">
        <f>Skills!A4</f>
        <v/>
      </c>
      <c r="B1155">
        <f>Skills!B4</f>
        <v/>
      </c>
      <c r="C1155">
        <f>Inputs!$B$3&gt;=105</f>
        <v/>
      </c>
      <c r="D1155">
        <f>IF(Skills!C4=1,60+Inputs!$B$25+Inputs!$B$29,IF(Skills!C4=2,90+Inputs!$B$26+Inputs!$B$29,IF(Skills!C4=3,120+Inputs!$B$27+Inputs!$B$29,MAX(0,(Inputs!$B$3-100)*3)+Inputs!$B$28+Inputs!$B$29)))</f>
        <v/>
      </c>
      <c r="E1155">
        <f>INDEX(FactorTable!$B$2:$Y$301, MATCH(ROUND(MIN(300,MAX(1,D1155)),0), FactorTable!$A$2:$A$301,0), Skills!M4+1)</f>
        <v/>
      </c>
      <c r="F1155">
        <f>IF(Skills!N4=TRUE,(Skills!L4/10)*(E1155/1000),Skills!L4/10)+Skills!O4</f>
        <v/>
      </c>
      <c r="G1155" t="inlineStr"/>
      <c r="H1155" t="inlineStr"/>
      <c r="I1155" t="inlineStr">
        <is>
          <t>1</t>
        </is>
      </c>
      <c r="J1155" t="inlineStr"/>
      <c r="K1155" t="inlineStr"/>
      <c r="L1155" t="inlineStr"/>
      <c r="M1155" t="inlineStr"/>
      <c r="N1155" t="inlineStr"/>
      <c r="O1155" t="inlineStr"/>
      <c r="P1155" t="inlineStr"/>
      <c r="Q1155" t="inlineStr"/>
      <c r="R1155" t="inlineStr"/>
      <c r="S1155" t="inlineStr"/>
      <c r="T1155" t="inlineStr"/>
      <c r="U1155">
        <f>290*U1154/1000</f>
        <v/>
      </c>
      <c r="V1155" t="inlineStr"/>
    </row>
    <row r="1156">
      <c r="A1156">
        <f>Skills!A5</f>
        <v/>
      </c>
      <c r="B1156">
        <f>Skills!B5</f>
        <v/>
      </c>
      <c r="C1156">
        <f>Inputs!$B$3&gt;=35</f>
        <v/>
      </c>
      <c r="D1156">
        <f>IF(Skills!C5=1,60+Inputs!$B$25+Inputs!$B$29,IF(Skills!C5=2,90+Inputs!$B$26+Inputs!$B$29,IF(Skills!C5=3,120+Inputs!$B$27+Inputs!$B$29,MAX(0,(Inputs!$B$3-100)*3)+Inputs!$B$28+Inputs!$B$29)))</f>
        <v/>
      </c>
      <c r="E1156">
        <f>INDEX(FactorTable!$B$2:$Y$301, MATCH(ROUND(MIN(300,MAX(1,D1156)),0), FactorTable!$A$2:$A$301,0), Skills!M5+1)</f>
        <v/>
      </c>
      <c r="F1156">
        <f>IF(Skills!N5=TRUE,(Skills!L5/10)*(E1156/1000),Skills!L5/10)+Skills!O5</f>
        <v/>
      </c>
      <c r="G1156">
        <f>Skills!G5*IF(Skills!H5&gt;0,Skills!I5/Skills!H5,1)</f>
        <v/>
      </c>
      <c r="H1156">
        <f>1-(1-Skills!J5/100)^Skills!K5</f>
        <v/>
      </c>
      <c r="I1156" t="inlineStr">
        <is>
          <t>1</t>
        </is>
      </c>
      <c r="J1156">
        <f>((Inputs!$B$6*(1+Inputs!$B$7/100))+(((Inputs!$B$12*(1+Inputs!$B$13/100))-(Inputs!$B$12*(1+Inputs!$B$13/100)))+0.25*(Inputs!$B$14-Inputs!$B$14))*(1+Inputs!$B$7/100))*(F1156/100)</f>
        <v/>
      </c>
      <c r="K1156">
        <f>J1156*(1+((Inputs!$B$12*(1+Inputs!$B$13/100))*0.01+Inputs!$B$14*0.0025)/100)*(1+Inputs!$B$15/100)*(1+Inputs!$B$16/100)*(5000/(6000+Inputs!$B$42*(1-(100*(1-(1-(Inputs!$B$19+0)/100)*(1-CHOOSE(ArtifactsInput!$N$40+1,5,6,7,8,9,10)/100)^(ArtifactsInput!$M$40-ArtifactsInput!$M$40)))/100)))*(1+(Inputs!$B$24+((C1175=TRUE)*(F1175-Calc!F24))+((C1176=TRUE)*(F1176-Calc!F25))+B1189)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1159=TRUE,F1159,0)/100)*(1+(IF(Skills!A5="EMPOWERED_PIERCING_ARROW",Inputs!$B$17+((C1173=TRUE)*(F1173-Calc!F22))+(((IF(AND(ArtifactsInput!$M$42,((Inputs!$B$9+((C1170=TRUE)*(F1170-Calc!F19))+B1183+(ArtifactsInput!$M$24-ArtifactsInput!$M$24)*CHOOSE(ArtifactsInput!$N$24+1,10,12,14,16,18,20)+IF(ArtifactsInput!$M$10,CHOOSE(ArtifactsInput!$N$10+1,15,18,21,24,27,30)*(IF(Inputs!$B$38="pvp",MIN(15,15)/15,IF(AND(Inputs!$B$38&lt;&gt;"pvp",Inputs!$B$43&gt;0),MIN(15,Inputs!$B$43)/(Inputs!$B$43),0))),0)))&gt;=100),MIN(100,((Inputs!$B$9+((C1170=TRUE)*(F1170-Calc!F19))+B1183+(ArtifactsInput!$M$24-ArtifactsInput!$M$24)*CHOOSE(ArtifactsInput!$N$24+1,10,12,14,16,18,20)+IF(ArtifactsInput!$M$10,CHOOSE(ArtifactsInput!$N$10+1,15,18,21,24,27,30)*(IF(Inputs!$B$38="pvp",MIN(15,15)/15,IF(AND(Inputs!$B$38&lt;&gt;"pvp",Inputs!$B$43&gt;0),MIN(15,Inputs!$B$43)/(Inputs!$B$43),0))),0)))-100),0))*CHOOSE(ArtifactsInput!$N$42+1,0.6,0.72,0.84,0.96,1.08,1.2))),Inputs!$B$18+((C1178=TRUE)*(F1178-Calc!F27))+(IF(AND(ArtifactsInput!$M$42,((Inputs!$B$9+((C1170=TRUE)*(F1170-Calc!F19))+B1183+(ArtifactsInput!$M$24-ArtifactsInput!$M$24)*CHOOSE(ArtifactsInput!$N$24+1,10,12,14,16,18,20)+IF(ArtifactsInput!$M$10,CHOOSE(ArtifactsInput!$N$10+1,15,18,21,24,27,30)*(IF(Inputs!$B$38="pvp",MIN(15,15)/15,IF(AND(Inputs!$B$38&lt;&gt;"pvp",Inputs!$B$43&gt;0),MIN(15,Inputs!$B$43)/(Inputs!$B$43),0))),0)))&gt;=100),CHOOSE(ArtifactsInput!$N$42+1,40,48,56,64,72,80),0))))/100)*((1+(((C1164=TRUE)*F1164)+((C1165=TRUE)*IF(Inputs!$B$38="pvp",F1165,(1-Summary!$B$11)*(F1165)+Summary!$B$11*(0)))+((C1166=TRUE)*F1166*IF(AND(Inputs!$B$38&lt;&gt;"pvp",Inputs!$B$43&gt;0),(((R1166-1)*(Skills!T15*(1+Inputs!$B$34/100))+MIN((Skills!T15*(1+Inputs!$B$34/100)),MAX(0,Inputs!$B$43-((R1166-1)*Skills!D15))))/Inputs!$B$43),IF(Inputs!$B$38="pvp",MIN((Skills!T15*(1+Inputs!$B$34/100)),15)/15,(Skills!T15*(1+Inputs!$B$34/100))/Skills!D15)))+((C1163=TRUE)*F1163)+((C1180=TRUE)*(F1180-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1156)</f>
        <v/>
      </c>
      <c r="L1156">
        <f>K1156*(MIN(Inputs!$B$22+((C1174=TRUE)*(F1174-Calc!F23)),(Inputs!$B$23+((C1179=TRUE)*(F1179-Calc!F28))+(IF(ArtifactsInput!$M$15,CHOOSE(ArtifactsInput!$N$15+1,25,30,35,40,45,50)/100*(Inputs!$B$11-Inputs!$B$11),0))))/100+(Inputs!$B$23+((C1179=TRUE)*(F1179-Calc!F28))+(IF(ArtifactsInput!$M$15,CHOOSE(ArtifactsInput!$N$15+1,25,30,35,40,45,50)/100*(Inputs!$B$11-Inputs!$B$11),0)))/100)/2</f>
        <v/>
      </c>
      <c r="M1156">
        <f>L1156*(1+(Inputs!$B$10+0+B1188+(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156">
        <f>L1156*(1-MIN((Inputs!$B$9+((C1170=TRUE)*(F1170-Calc!F19))+B1183+(ArtifactsInput!$M$24-ArtifactsInput!$M$24)*CHOOSE(ArtifactsInput!$N$24+1,10,12,14,16,18,20)+(IF(AND(ArtifactsInput!$M$42,((Inputs!$B$9+((C1170=TRUE)*(F1170-Calc!F19))+B1183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1156*(MIN((Inputs!$B$9+((C1170=TRUE)*(F1170-Calc!F19))+B1183+(ArtifactsInput!$M$24-ArtifactsInput!$M$24)*CHOOSE(ArtifactsInput!$N$24+1,10,12,14,16,18,20)+(IF(AND(ArtifactsInput!$M$42,((Inputs!$B$9+((C1170=TRUE)*(F1170-Calc!F19))+B1183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156">
        <f>(1-Summary!$B$11)*T1156+Summary!$B$11*V1156</f>
        <v/>
      </c>
      <c r="P1156">
        <f>IF(B1193=0,0,O1156/B1193)</f>
        <v/>
      </c>
      <c r="Q1156">
        <f>IFERROR(1/IF(Inputs!$B$38="pvp",15,MAX(0.1,Skills!D5-IF(Skills!E5=TRUE,Inputs!$B$32,0))),0)</f>
        <v/>
      </c>
      <c r="R1156">
        <f>IF(AND(Inputs!$B$38&lt;&gt;"pvp",Inputs!$B$43&gt;0),IF(MAX(0,Inputs!$B$43-B1190)&lt;=0,0,(INT(MAX(0,Inputs!$B$43-B1190)/IF(Inputs!$B$38="pvp",15,MAX(0.1,Skills!D5-IF(Skills!E5=TRUE,Inputs!$B$32,0))))+1)),0)</f>
        <v/>
      </c>
      <c r="S1156">
        <f>IFERROR((H1156*N1156*IF(AND(Inputs!$B$38&lt;&gt;"pvp",Inputs!$B$43&gt;0),((Skills!G5*((R1156-1)*IF(Skills!H5&gt;0,Skills!I5/Skills!H5,1)+IF(Skills!H5&gt;0,MIN(Skills!I5,MAX(0,MAX(0,Inputs!$B$43-B1190)-((R1156-1)*IF(Inputs!$B$38="pvp",15,MAX(0.1,Skills!D5-IF(Skills!E5=TRUE,Inputs!$B$32,0))))))/Skills!H5,1)))/Inputs!$B$43),G1156*Q1156))/N1156*IF(Inputs!$B$38="pvp",1,(1-Summary!$B$11)*1+Summary!$B$11*(MIN(Skills!R5,Inputs!$B$37))),0)</f>
        <v/>
      </c>
      <c r="T1156">
        <f>IF(C1156,(H1156*N1156*IF(AND(Inputs!$B$38&lt;&gt;"pvp",Inputs!$B$43&gt;0),((Skills!G5*((R1156-1)*IF(Skills!H5&gt;0,Skills!I5/Skills!H5,1)+IF(Skills!H5&gt;0,MIN(Skills!I5,MAX(0,MAX(0,Inputs!$B$43-B1190)-((R1156-1)*IF(Inputs!$B$38="pvp",15,MAX(0.1,Skills!D5-IF(Skills!E5=TRUE,Inputs!$B$32,0))))))/Skills!H5,1)))/Inputs!$B$43),G1156*Q1156))*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Hunt"),CHOOSE(ArtifactsInput!$N$35+1,15,18,21,24,27,30)*(1-EXP(-(0.2*B1185)*5)),0)+IF(AND(ArtifactsInput!$M$22,Inputs!$B$4&lt;&gt;"Chapter Hunt"),CHOOSE(ArtifactsInput!$N$22+1,10,12,14,16,18,20)*((0*(((0.15*B1185*5))^0/1)+1*(((0.15*B1185*5))^1/1)+2*(((0.15*B1185*5))^2/2)+3*(((0.15*B1185*5))^3/6)+4*(((0.15*B1185*5))^4/24)+5*(((0.15*B1185*5))^5/120))/((((0.15*B1185*5))^0/1)+(((0.15*B1185*5))^1/1)+(((0.15*B1185*5))^2/2)+(((0.15*B1185*5))^3/6)+(((0.15*B1185*5))^4/24)+(((0.15*B1185*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1156*(1-MIN(100,(Inputs!$B$9+((C1170=TRUE)*(F1170-Calc!F19))+B1183+(ArtifactsInput!$M$24-ArtifactsInput!$M$24)*CHOOSE(ArtifactsInput!$N$24+1,10,12,14,16,18,20)+(IF(AND(ArtifactsInput!$M$42,((Inputs!$B$9+((C1170=TRUE)*(F1170-Calc!F19))+B1183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1156*(MIN(100,(Inputs!$B$9+((C1170=TRUE)*(F1170-Calc!F19))+B1183+(ArtifactsInput!$M$24-ArtifactsInput!$M$24)*CHOOSE(ArtifactsInput!$N$24+1,10,12,14,16,18,20)+(IF(AND(ArtifactsInput!$M$42,((Inputs!$B$9+((C1170=TRUE)*(F1170-Calc!F19))+B1183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1156*(1-MIN(100,(Inputs!$B$9+((C1170=TRUE)*(F1170-Calc!F19))+B1183+(ArtifactsInput!$M$24-ArtifactsInput!$M$24)*CHOOSE(ArtifactsInput!$N$24+1,10,12,14,16,18,20)+(IF(AND(ArtifactsInput!$M$42,((Inputs!$B$9+((C1170=TRUE)*(F1170-Calc!F19))+B1183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1156*(MIN(100,(Inputs!$B$9+((C1170=TRUE)*(F1170-Calc!F19))+B1183+(ArtifactsInput!$M$24-ArtifactsInput!$M$24)*CHOOSE(ArtifactsInput!$N$24+1,10,12,14,16,18,20)+(IF(AND(ArtifactsInput!$M$42,((Inputs!$B$9+((C1170=TRUE)*(F1170-Calc!F19))+B1183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156">
        <f>IF(C1156,(H1156*N1156*IF(AND(Inputs!$B$38&lt;&gt;"pvp",Inputs!$B$43&gt;0),((Skills!G5*((R1156-1)*IF(Skills!H5&gt;0,Skills!I5/Skills!H5,1)+IF(Skills!H5&gt;0,MIN(Skills!I5,MAX(0,MAX(0,Inputs!$B$43-B1190)-((R1156-1)*IF(Inputs!$B$38="pvp",15,MAX(0.1,Skills!D5-IF(Skills!E5=TRUE,Inputs!$B$32,0))))))/Skills!H5,1)))/Inputs!$B$43),G1156*Q1156))*IF(Inputs!$B$38="pvp",1,(1+(Inputs!$B$21+Skills!Q5+(IF(ArtifactsInput!$M$33,CHOOSE(ArtifactsInput!$N$33+1,30,36,42,48,54,60),0))+(IF(AND(ArtifactsInput!$M$35,Inputs!$B$4&lt;&gt;"Chapter Hunt"),CHOOSE(ArtifactsInput!$N$35+1,15,18,21,24,27,30)*(1-EXP(-(0.2*B1185)*5)),0)+IF(AND(ArtifactsInput!$M$22,Inputs!$B$4&lt;&gt;"Chapter Hunt"),CHOOSE(ArtifactsInput!$N$22+1,10,12,14,16,18,20)*((0*(((0.15*B1185*5))^0/1)+1*(((0.15*B1185*5))^1/1)+2*(((0.15*B1185*5))^2/2)+3*(((0.15*B1185*5))^3/6)+4*(((0.15*B1185*5))^4/24)+5*(((0.15*B1185*5))^5/120))/((((0.15*B1185*5))^0/1)+(((0.15*B1185*5))^1/1)+(((0.15*B1185*5))^2/2)+(((0.15*B1185*5))^3/6)+(((0.15*B1185*5))^4/24)+(((0.15*B1185*5))^5/120)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157">
      <c r="A1157">
        <f>Skills!A6</f>
        <v/>
      </c>
      <c r="B1157">
        <f>Skills!B6</f>
        <v/>
      </c>
      <c r="C1157">
        <f>Inputs!$B$3&gt;=63</f>
        <v/>
      </c>
      <c r="D1157">
        <f>IF(Skills!C6=1,60+Inputs!$B$25+Inputs!$B$29,IF(Skills!C6=2,90+Inputs!$B$26+Inputs!$B$29,IF(Skills!C6=3,120+Inputs!$B$27+Inputs!$B$29,MAX(0,(Inputs!$B$3-100)*3)+Inputs!$B$28+Inputs!$B$29)))</f>
        <v/>
      </c>
      <c r="E1157">
        <f>INDEX(FactorTable!$B$2:$Y$301, MATCH(ROUND(MIN(300,MAX(1,D1157)),0), FactorTable!$A$2:$A$301,0), Skills!M6+1)</f>
        <v/>
      </c>
      <c r="F1157">
        <f>IF(Skills!N6=TRUE,(Skills!L6/10)*(E1157/1000),Skills!L6/10)+Skills!O6</f>
        <v/>
      </c>
      <c r="G1157">
        <f>Skills!G6*IF(Skills!H6&gt;0,Skills!I6/Skills!H6,1)</f>
        <v/>
      </c>
      <c r="H1157">
        <f>1-(1-Skills!J6/100)^Skills!K6</f>
        <v/>
      </c>
      <c r="I1157" t="inlineStr">
        <is>
          <t>1</t>
        </is>
      </c>
      <c r="J1157">
        <f>((Inputs!$B$6*(1+Inputs!$B$7/100))+(((Inputs!$B$12*(1+Inputs!$B$13/100))-(Inputs!$B$12*(1+Inputs!$B$13/100)))+0.25*(Inputs!$B$14-Inputs!$B$14))*(1+Inputs!$B$7/100))*(F1157/100)</f>
        <v/>
      </c>
      <c r="K1157">
        <f>J1157*(1+((Inputs!$B$12*(1+Inputs!$B$13/100))*0.01+Inputs!$B$14*0.0025)/100)*(1+Inputs!$B$15/100)*(1+Inputs!$B$16/100)*(5000/(6000+Inputs!$B$42*(1-(100*(1-(1-(Inputs!$B$19+0)/100)*(1-CHOOSE(ArtifactsInput!$N$40+1,5,6,7,8,9,10)/100)^(ArtifactsInput!$M$40-ArtifactsInput!$M$40)))/100)))*(1+(Inputs!$B$24+((C1175=TRUE)*(F1175-Calc!F24))+((C1176=TRUE)*(F1176-Calc!F25))+B1189)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1159=TRUE,F1159,0)/100)*(1+(IF(Skills!A6="EMPOWERED_PIERCING_ARROW",Inputs!$B$17+((C1173=TRUE)*(F1173-Calc!F22))+(((IF(AND(ArtifactsInput!$M$42,((Inputs!$B$9+((C1170=TRUE)*(F1170-Calc!F19))+B1183+(ArtifactsInput!$M$24-ArtifactsInput!$M$24)*CHOOSE(ArtifactsInput!$N$24+1,10,12,14,16,18,20)+IF(ArtifactsInput!$M$10,CHOOSE(ArtifactsInput!$N$10+1,15,18,21,24,27,30)*(IF(Inputs!$B$38="pvp",MIN(15,15)/15,IF(AND(Inputs!$B$38&lt;&gt;"pvp",Inputs!$B$43&gt;0),MIN(15,Inputs!$B$43)/(Inputs!$B$43),0))),0)))&gt;=100),MIN(100,((Inputs!$B$9+((C1170=TRUE)*(F1170-Calc!F19))+B1183+(ArtifactsInput!$M$24-ArtifactsInput!$M$24)*CHOOSE(ArtifactsInput!$N$24+1,10,12,14,16,18,20)+IF(ArtifactsInput!$M$10,CHOOSE(ArtifactsInput!$N$10+1,15,18,21,24,27,30)*(IF(Inputs!$B$38="pvp",MIN(15,15)/15,IF(AND(Inputs!$B$38&lt;&gt;"pvp",Inputs!$B$43&gt;0),MIN(15,Inputs!$B$43)/(Inputs!$B$43),0))),0)))-100),0))*CHOOSE(ArtifactsInput!$N$42+1,0.6,0.72,0.84,0.96,1.08,1.2))),Inputs!$B$18+((C1178=TRUE)*(F1178-Calc!F27))+(IF(AND(ArtifactsInput!$M$42,((Inputs!$B$9+((C1170=TRUE)*(F1170-Calc!F19))+B1183+(ArtifactsInput!$M$24-ArtifactsInput!$M$24)*CHOOSE(ArtifactsInput!$N$24+1,10,12,14,16,18,20)+IF(ArtifactsInput!$M$10,CHOOSE(ArtifactsInput!$N$10+1,15,18,21,24,27,30)*(IF(Inputs!$B$38="pvp",MIN(15,15)/15,IF(AND(Inputs!$B$38&lt;&gt;"pvp",Inputs!$B$43&gt;0),MIN(15,Inputs!$B$43)/(Inputs!$B$43),0))),0)))&gt;=100),CHOOSE(ArtifactsInput!$N$42+1,40,48,56,64,72,80),0))))/100)*((1+(((C1164=TRUE)*F1164)+((C1165=TRUE)*IF(Inputs!$B$38="pvp",F1165,(1-Summary!$B$11)*(F1165)+Summary!$B$11*(0)))+((C1166=TRUE)*F1166*IF(AND(Inputs!$B$38&lt;&gt;"pvp",Inputs!$B$43&gt;0),(((R1166-1)*(Skills!T15*(1+Inputs!$B$34/100))+MIN((Skills!T15*(1+Inputs!$B$34/100)),MAX(0,Inputs!$B$43-((R1166-1)*Skills!D15))))/Inputs!$B$43),IF(Inputs!$B$38="pvp",MIN((Skills!T15*(1+Inputs!$B$34/100)),15)/15,(Skills!T15*(1+Inputs!$B$34/100))/Skills!D15)))+((C1163=TRUE)*F1163)+((C1180=TRUE)*(F1180-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1157)</f>
        <v/>
      </c>
      <c r="L1157">
        <f>K1157*(MIN(Inputs!$B$22+((C1174=TRUE)*(F1174-Calc!F23)),(Inputs!$B$23+((C1179=TRUE)*(F1179-Calc!F28))+(IF(ArtifactsInput!$M$15,CHOOSE(ArtifactsInput!$N$15+1,25,30,35,40,45,50)/100*(Inputs!$B$11-Inputs!$B$11),0))))/100+(Inputs!$B$23+((C1179=TRUE)*(F1179-Calc!F28))+(IF(ArtifactsInput!$M$15,CHOOSE(ArtifactsInput!$N$15+1,25,30,35,40,45,50)/100*(Inputs!$B$11-Inputs!$B$11),0)))/100)/2</f>
        <v/>
      </c>
      <c r="M1157">
        <f>L1157*(1+(Inputs!$B$10+0+B1188+(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157">
        <f>L1157*(1-MIN((Inputs!$B$9+((C1170=TRUE)*(F1170-Calc!F19))+B1183+(ArtifactsInput!$M$24-ArtifactsInput!$M$24)*CHOOSE(ArtifactsInput!$N$24+1,10,12,14,16,18,20)+(IF(AND(ArtifactsInput!$M$42,((Inputs!$B$9+((C1170=TRUE)*(F1170-Calc!F19))+B1183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1157*(MIN((Inputs!$B$9+((C1170=TRUE)*(F1170-Calc!F19))+B1183+(ArtifactsInput!$M$24-ArtifactsInput!$M$24)*CHOOSE(ArtifactsInput!$N$24+1,10,12,14,16,18,20)+(IF(AND(ArtifactsInput!$M$42,((Inputs!$B$9+((C1170=TRUE)*(F1170-Calc!F19))+B1183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157">
        <f>(1-Summary!$B$11)*T1157+Summary!$B$11*V1157</f>
        <v/>
      </c>
      <c r="P1157">
        <f>IF(B1193=0,0,O1157/B1193)</f>
        <v/>
      </c>
      <c r="Q1157">
        <f>IFERROR(1/IF(Inputs!$B$38="pvp",15,MAX(0.1,Skills!D6-IF(Skills!E6=TRUE,Inputs!$B$32,0))),0)</f>
        <v/>
      </c>
      <c r="R1157">
        <f>IF(AND(Inputs!$B$38&lt;&gt;"pvp",Inputs!$B$43&gt;0),IF(MAX(0,Inputs!$B$43-B1190)&lt;=0,0,(INT(MAX(0,Inputs!$B$43-B1190)/IF(Inputs!$B$38="pvp",15,MAX(0.1,Skills!D6-IF(Skills!E6=TRUE,Inputs!$B$32,0))))+1)),0)</f>
        <v/>
      </c>
      <c r="S1157">
        <f>IFERROR((H1157*N1157*IF(AND(Inputs!$B$38&lt;&gt;"pvp",Inputs!$B$43&gt;0),((Skills!G6*((R1157-1)*IF(Skills!H6&gt;0,Skills!I6/Skills!H6,1)+IF(Skills!H6&gt;0,MIN(Skills!I6,MAX(0,MAX(0,Inputs!$B$43-B1190)-((R1157-1)*IF(Inputs!$B$38="pvp",15,MAX(0.1,Skills!D6-IF(Skills!E6=TRUE,Inputs!$B$32,0))))))/Skills!H6,1)))/Inputs!$B$43),G1157*Q1157))/N1157*IF(Inputs!$B$38="pvp",1,(1-Summary!$B$11)*1+Summary!$B$11*(MIN(Skills!R6,Inputs!$B$37))),0)</f>
        <v/>
      </c>
      <c r="T1157">
        <f>IF(C1157,(H1157*N1157*IF(AND(Inputs!$B$38&lt;&gt;"pvp",Inputs!$B$43&gt;0),((Skills!G6*((R1157-1)*IF(Skills!H6&gt;0,Skills!I6/Skills!H6,1)+IF(Skills!H6&gt;0,MIN(Skills!I6,MAX(0,MAX(0,Inputs!$B$43-B1190)-((R1157-1)*IF(Inputs!$B$38="pvp",15,MAX(0.1,Skills!D6-IF(Skills!E6=TRUE,Inputs!$B$32,0))))))/Skills!H6,1)))/Inputs!$B$43),G1157*Q1157))*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Hunt"),CHOOSE(ArtifactsInput!$N$35+1,15,18,21,24,27,30)*(1-EXP(-(0.2*B1185)*5)),0)+IF(AND(ArtifactsInput!$M$22,Inputs!$B$4&lt;&gt;"Chapter Hunt"),CHOOSE(ArtifactsInput!$N$22+1,10,12,14,16,18,20)*((0*(((0.15*B1185*5))^0/1)+1*(((0.15*B1185*5))^1/1)+2*(((0.15*B1185*5))^2/2)+3*(((0.15*B1185*5))^3/6)+4*(((0.15*B1185*5))^4/24)+5*(((0.15*B1185*5))^5/120))/((((0.15*B1185*5))^0/1)+(((0.15*B1185*5))^1/1)+(((0.15*B1185*5))^2/2)+(((0.15*B1185*5))^3/6)+(((0.15*B1185*5))^4/24)+(((0.15*B1185*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1157*(1-MIN(100,(Inputs!$B$9+((C1170=TRUE)*(F1170-Calc!F19))+B1183+(ArtifactsInput!$M$24-ArtifactsInput!$M$24)*CHOOSE(ArtifactsInput!$N$24+1,10,12,14,16,18,20)+(IF(AND(ArtifactsInput!$M$42,((Inputs!$B$9+((C1170=TRUE)*(F1170-Calc!F19))+B1183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1157*(MIN(100,(Inputs!$B$9+((C1170=TRUE)*(F1170-Calc!F19))+B1183+(ArtifactsInput!$M$24-ArtifactsInput!$M$24)*CHOOSE(ArtifactsInput!$N$24+1,10,12,14,16,18,20)+(IF(AND(ArtifactsInput!$M$42,((Inputs!$B$9+((C1170=TRUE)*(F1170-Calc!F19))+B1183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1157*(1-MIN(100,(Inputs!$B$9+((C1170=TRUE)*(F1170-Calc!F19))+B1183+(ArtifactsInput!$M$24-ArtifactsInput!$M$24)*CHOOSE(ArtifactsInput!$N$24+1,10,12,14,16,18,20)+(IF(AND(ArtifactsInput!$M$42,((Inputs!$B$9+((C1170=TRUE)*(F1170-Calc!F19))+B1183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1157*(MIN(100,(Inputs!$B$9+((C1170=TRUE)*(F1170-Calc!F19))+B1183+(ArtifactsInput!$M$24-ArtifactsInput!$M$24)*CHOOSE(ArtifactsInput!$N$24+1,10,12,14,16,18,20)+(IF(AND(ArtifactsInput!$M$42,((Inputs!$B$9+((C1170=TRUE)*(F1170-Calc!F19))+B1183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157">
        <f>IF(C1157,(H1157*N1157*IF(AND(Inputs!$B$38&lt;&gt;"pvp",Inputs!$B$43&gt;0),((Skills!G6*((R1157-1)*IF(Skills!H6&gt;0,Skills!I6/Skills!H6,1)+IF(Skills!H6&gt;0,MIN(Skills!I6,MAX(0,MAX(0,Inputs!$B$43-B1190)-((R1157-1)*IF(Inputs!$B$38="pvp",15,MAX(0.1,Skills!D6-IF(Skills!E6=TRUE,Inputs!$B$32,0))))))/Skills!H6,1)))/Inputs!$B$43),G1157*Q1157))*IF(Inputs!$B$38="pvp",1,(1+(Inputs!$B$21+Skills!Q6+(IF(ArtifactsInput!$M$33,CHOOSE(ArtifactsInput!$N$33+1,30,36,42,48,54,60),0))+(IF(AND(ArtifactsInput!$M$35,Inputs!$B$4&lt;&gt;"Chapter Hunt"),CHOOSE(ArtifactsInput!$N$35+1,15,18,21,24,27,30)*(1-EXP(-(0.2*B1185)*5)),0)+IF(AND(ArtifactsInput!$M$22,Inputs!$B$4&lt;&gt;"Chapter Hunt"),CHOOSE(ArtifactsInput!$N$22+1,10,12,14,16,18,20)*((0*(((0.15*B1185*5))^0/1)+1*(((0.15*B1185*5))^1/1)+2*(((0.15*B1185*5))^2/2)+3*(((0.15*B1185*5))^3/6)+4*(((0.15*B1185*5))^4/24)+5*(((0.15*B1185*5))^5/120))/((((0.15*B1185*5))^0/1)+(((0.15*B1185*5))^1/1)+(((0.15*B1185*5))^2/2)+(((0.15*B1185*5))^3/6)+(((0.15*B1185*5))^4/24)+(((0.15*B1185*5))^5/120))),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158">
      <c r="A1158">
        <f>Skills!A7</f>
        <v/>
      </c>
      <c r="B1158">
        <f>Skills!B7</f>
        <v/>
      </c>
      <c r="C1158">
        <f>Inputs!$B$3&gt;=69</f>
        <v/>
      </c>
      <c r="D1158">
        <f>IF(Skills!C7=1,60+Inputs!$B$25+Inputs!$B$29,IF(Skills!C7=2,90+Inputs!$B$26+Inputs!$B$29,IF(Skills!C7=3,120+Inputs!$B$27+Inputs!$B$29,MAX(0,(Inputs!$B$3-100)*3)+Inputs!$B$28+Inputs!$B$29)))</f>
        <v/>
      </c>
      <c r="E1158">
        <f>INDEX(FactorTable!$B$2:$Y$301, MATCH(ROUND(MIN(300,MAX(1,D1158)),0), FactorTable!$A$2:$A$301,0), Skills!M7+1)</f>
        <v/>
      </c>
      <c r="F1158">
        <f>IF(Skills!N7=TRUE,(Skills!L7/10)*(E1158/1000),Skills!L7/10)+Skills!O7</f>
        <v/>
      </c>
      <c r="G1158">
        <f>Skills!G7*IF(Skills!H7&gt;0,Skills!I7/Skills!H7,1)</f>
        <v/>
      </c>
      <c r="H1158">
        <f>1-(1-Skills!J7/100)^Skills!K7</f>
        <v/>
      </c>
      <c r="I1158" t="inlineStr">
        <is>
          <t>1</t>
        </is>
      </c>
      <c r="J1158">
        <f>((Inputs!$B$6*(1+Inputs!$B$7/100))+(((Inputs!$B$12*(1+Inputs!$B$13/100))-(Inputs!$B$12*(1+Inputs!$B$13/100)))+0.25*(Inputs!$B$14-Inputs!$B$14))*(1+Inputs!$B$7/100))*(F1158/100)</f>
        <v/>
      </c>
      <c r="K1158">
        <f>J1158*(1+((Inputs!$B$12*(1+Inputs!$B$13/100))*0.01+Inputs!$B$14*0.0025)/100)*(1+Inputs!$B$15/100)*(1+Inputs!$B$16/100)*(5000/(6000+Inputs!$B$42*(1-(100*(1-(1-(Inputs!$B$19+0)/100)*(1-CHOOSE(ArtifactsInput!$N$40+1,5,6,7,8,9,10)/100)^(ArtifactsInput!$M$40-ArtifactsInput!$M$40)))/100)))*(1+(Inputs!$B$24+((C1175=TRUE)*(F1175-Calc!F24))+((C1176=TRUE)*(F1176-Calc!F25))+B1189)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+1.2*IF(C1159=TRUE,F1159,0)/100)*(1+(IF(Skills!A7="EMPOWERED_PIERCING_ARROW",Inputs!$B$17+((C1173=TRUE)*(F1173-Calc!F22))+(((IF(AND(ArtifactsInput!$M$42,((Inputs!$B$9+((C1170=TRUE)*(F1170-Calc!F19))+B1183+(ArtifactsInput!$M$24-ArtifactsInput!$M$24)*CHOOSE(ArtifactsInput!$N$24+1,10,12,14,16,18,20)+IF(ArtifactsInput!$M$10,CHOOSE(ArtifactsInput!$N$10+1,15,18,21,24,27,30)*(IF(Inputs!$B$38="pvp",MIN(15,15)/15,IF(AND(Inputs!$B$38&lt;&gt;"pvp",Inputs!$B$43&gt;0),MIN(15,Inputs!$B$43)/(Inputs!$B$43),0))),0)))&gt;=100),MIN(100,((Inputs!$B$9+((C1170=TRUE)*(F1170-Calc!F19))+B1183+(ArtifactsInput!$M$24-ArtifactsInput!$M$24)*CHOOSE(ArtifactsInput!$N$24+1,10,12,14,16,18,20)+IF(ArtifactsInput!$M$10,CHOOSE(ArtifactsInput!$N$10+1,15,18,21,24,27,30)*(IF(Inputs!$B$38="pvp",MIN(15,15)/15,IF(AND(Inputs!$B$38&lt;&gt;"pvp",Inputs!$B$43&gt;0),MIN(15,Inputs!$B$43)/(Inputs!$B$43),0))),0)))-100),0))*CHOOSE(ArtifactsInput!$N$42+1,0.6,0.72,0.84,0.96,1.08,1.2))),Inputs!$B$18+((C1178=TRUE)*(F1178-Calc!F27))+(IF(AND(ArtifactsInput!$M$42,((Inputs!$B$9+((C1170=TRUE)*(F1170-Calc!F19))+B1183+(ArtifactsInput!$M$24-ArtifactsInput!$M$24)*CHOOSE(ArtifactsInput!$N$24+1,10,12,14,16,18,20)+IF(ArtifactsInput!$M$10,CHOOSE(ArtifactsInput!$N$10+1,15,18,21,24,27,30)*(IF(Inputs!$B$38="pvp",MIN(15,15)/15,IF(AND(Inputs!$B$38&lt;&gt;"pvp",Inputs!$B$43&gt;0),MIN(15,Inputs!$B$43)/(Inputs!$B$43),0))),0)))&gt;=100),CHOOSE(ArtifactsInput!$N$42+1,40,48,56,64,72,80),0))))/100)*((1+(((C1164=TRUE)*F1164)+((C1165=TRUE)*IF(Inputs!$B$38="pvp",F1165,(1-Summary!$B$11)*(F1165)+Summary!$B$11*(0)))+((C1166=TRUE)*F1166*IF(AND(Inputs!$B$38&lt;&gt;"pvp",Inputs!$B$43&gt;0),(((R1166-1)*(Skills!T15*(1+Inputs!$B$34/100))+MIN((Skills!T15*(1+Inputs!$B$34/100)),MAX(0,Inputs!$B$43-((R1166-1)*Skills!D15))))/Inputs!$B$43),IF(Inputs!$B$38="pvp",MIN((Skills!T15*(1+Inputs!$B$34/100)),15)/15,(Skills!T15*(1+Inputs!$B$34/100))/Skills!D15)))+((C1163=TRUE)*F1163)+((C1180=TRUE)*(F1180-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1158)</f>
        <v/>
      </c>
      <c r="L1158">
        <f>K1158*(MIN(Inputs!$B$22+((C1174=TRUE)*(F1174-Calc!F23)),(Inputs!$B$23+((C1179=TRUE)*(F1179-Calc!F28))+(IF(ArtifactsInput!$M$15,CHOOSE(ArtifactsInput!$N$15+1,25,30,35,40,45,50)/100*(Inputs!$B$11-Inputs!$B$11),0))))/100+(Inputs!$B$23+((C1179=TRUE)*(F1179-Calc!F28))+(IF(ArtifactsInput!$M$15,CHOOSE(ArtifactsInput!$N$15+1,25,30,35,40,45,50)/100*(Inputs!$B$11-Inputs!$B$11),0)))/100)/2</f>
        <v/>
      </c>
      <c r="M1158">
        <f>L1158*(1+(Inputs!$B$10+0+B1188+(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158">
        <f>L1158*(1-MIN((Inputs!$B$9+((C1170=TRUE)*(F1170-Calc!F19))+B1183+(ArtifactsInput!$M$24-ArtifactsInput!$M$24)*CHOOSE(ArtifactsInput!$N$24+1,10,12,14,16,18,20)+(IF(AND(ArtifactsInput!$M$42,((Inputs!$B$9+((C1170=TRUE)*(F1170-Calc!F19))+B1183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1158*(MIN((Inputs!$B$9+((C1170=TRUE)*(F1170-Calc!F19))+B1183+(ArtifactsInput!$M$24-ArtifactsInput!$M$24)*CHOOSE(ArtifactsInput!$N$24+1,10,12,14,16,18,20)+(IF(AND(ArtifactsInput!$M$42,((Inputs!$B$9+((C1170=TRUE)*(F1170-Calc!F19))+B1183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158">
        <f>(1-Summary!$B$11)*T1158+Summary!$B$11*V1158</f>
        <v/>
      </c>
      <c r="P1158">
        <f>IF(B1193=0,0,O1158/B1193)</f>
        <v/>
      </c>
      <c r="Q1158">
        <f>IFERROR(1/IF(Inputs!$B$38="pvp",15,MAX(0.1,Skills!D7-IF(Skills!E7=TRUE,Inputs!$B$32,0))),0)</f>
        <v/>
      </c>
      <c r="R1158">
        <f>IF(AND(Inputs!$B$38&lt;&gt;"pvp",Inputs!$B$43&gt;0),IF(MAX(0,Inputs!$B$43-B1190)&lt;=0,0,(INT(MAX(0,Inputs!$B$43-B1190)/IF(Inputs!$B$38="pvp",15,MAX(0.1,Skills!D7-IF(Skills!E7=TRUE,Inputs!$B$32,0))))+1)),0)</f>
        <v/>
      </c>
      <c r="S1158">
        <f>IFERROR((H1158*N1158*IF(AND(Inputs!$B$38&lt;&gt;"pvp",Inputs!$B$43&gt;0),((Skills!G7*((R1158-1)*IF(Skills!H7&gt;0,Skills!I7/Skills!H7,1)+IF(Skills!H7&gt;0,MIN(Skills!I7,MAX(0,MAX(0,Inputs!$B$43-B1190)-((R1158-1)*IF(Inputs!$B$38="pvp",15,MAX(0.1,Skills!D7-IF(Skills!E7=TRUE,Inputs!$B$32,0))))))/Skills!H7,1)))/Inputs!$B$43),G1158*Q1158))/N1158*IF(Inputs!$B$38="pvp",1,(1-Summary!$B$11)*1+Summary!$B$11*(MIN(Skills!R7,Inputs!$B$37))),0)</f>
        <v/>
      </c>
      <c r="T1158">
        <f>IF(C1158,(H1158*N1158*IF(AND(Inputs!$B$38&lt;&gt;"pvp",Inputs!$B$43&gt;0),((Skills!G7*((R1158-1)*IF(Skills!H7&gt;0,Skills!I7/Skills!H7,1)+IF(Skills!H7&gt;0,MIN(Skills!I7,MAX(0,MAX(0,Inputs!$B$43-B1190)-((R1158-1)*IF(Inputs!$B$38="pvp",15,MAX(0.1,Skills!D7-IF(Skills!E7=TRUE,Inputs!$B$32,0))))))/Skills!H7,1)))/Inputs!$B$43),G1158*Q1158))*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Hunt"),CHOOSE(ArtifactsInput!$N$35+1,15,18,21,24,27,30)*(1-EXP(-(0.2*B1185)*5)),0)+IF(AND(ArtifactsInput!$M$22,Inputs!$B$4&lt;&gt;"Chapter Hunt"),CHOOSE(ArtifactsInput!$N$22+1,10,12,14,16,18,20)*((0*(((0.15*B1185*5))^0/1)+1*(((0.15*B1185*5))^1/1)+2*(((0.15*B1185*5))^2/2)+3*(((0.15*B1185*5))^3/6)+4*(((0.15*B1185*5))^4/24)+5*(((0.15*B1185*5))^5/120))/((((0.15*B1185*5))^0/1)+(((0.15*B1185*5))^1/1)+(((0.15*B1185*5))^2/2)+(((0.15*B1185*5))^3/6)+(((0.15*B1185*5))^4/24)+(((0.15*B1185*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1158*(1-MIN(100,(Inputs!$B$9+((C1170=TRUE)*(F1170-Calc!F19))+B1183+(ArtifactsInput!$M$24-ArtifactsInput!$M$24)*CHOOSE(ArtifactsInput!$N$24+1,10,12,14,16,18,20)+(IF(AND(ArtifactsInput!$M$42,((Inputs!$B$9+((C1170=TRUE)*(F1170-Calc!F19))+B1183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1158*(MIN(100,(Inputs!$B$9+((C1170=TRUE)*(F1170-Calc!F19))+B1183+(ArtifactsInput!$M$24-ArtifactsInput!$M$24)*CHOOSE(ArtifactsInput!$N$24+1,10,12,14,16,18,20)+(IF(AND(ArtifactsInput!$M$42,((Inputs!$B$9+((C1170=TRUE)*(F1170-Calc!F19))+B1183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1158*(1-MIN(100,(Inputs!$B$9+((C1170=TRUE)*(F1170-Calc!F19))+B1183+(ArtifactsInput!$M$24-ArtifactsInput!$M$24)*CHOOSE(ArtifactsInput!$N$24+1,10,12,14,16,18,20)+(IF(AND(ArtifactsInput!$M$42,((Inputs!$B$9+((C1170=TRUE)*(F1170-Calc!F19))+B1183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1158*(MIN(100,(Inputs!$B$9+((C1170=TRUE)*(F1170-Calc!F19))+B1183+(ArtifactsInput!$M$24-ArtifactsInput!$M$24)*CHOOSE(ArtifactsInput!$N$24+1,10,12,14,16,18,20)+(IF(AND(ArtifactsInput!$M$42,((Inputs!$B$9+((C1170=TRUE)*(F1170-Calc!F19))+B1183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158">
        <f>IF(C1158,(H1158*N1158*IF(AND(Inputs!$B$38&lt;&gt;"pvp",Inputs!$B$43&gt;0),((Skills!G7*((R1158-1)*IF(Skills!H7&gt;0,Skills!I7/Skills!H7,1)+IF(Skills!H7&gt;0,MIN(Skills!I7,MAX(0,MAX(0,Inputs!$B$43-B1190)-((R1158-1)*IF(Inputs!$B$38="pvp",15,MAX(0.1,Skills!D7-IF(Skills!E7=TRUE,Inputs!$B$32,0))))))/Skills!H7,1)))/Inputs!$B$43),G1158*Q1158))*IF(Inputs!$B$38="pvp",1,(1+(Inputs!$B$21+Skills!Q7+(IF(ArtifactsInput!$M$33,CHOOSE(ArtifactsInput!$N$33+1,30,36,42,48,54,60),0))+(IF(AND(ArtifactsInput!$M$35,Inputs!$B$4&lt;&gt;"Chapter Hunt"),CHOOSE(ArtifactsInput!$N$35+1,15,18,21,24,27,30)*(1-EXP(-(0.2*B1185)*5)),0)+IF(AND(ArtifactsInput!$M$22,Inputs!$B$4&lt;&gt;"Chapter Hunt"),CHOOSE(ArtifactsInput!$N$22+1,10,12,14,16,18,20)*((0*(((0.15*B1185*5))^0/1)+1*(((0.15*B1185*5))^1/1)+2*(((0.15*B1185*5))^2/2)+3*(((0.15*B1185*5))^3/6)+4*(((0.15*B1185*5))^4/24)+5*(((0.15*B1185*5))^5/120))/((((0.15*B1185*5))^0/1)+(((0.15*B1185*5))^1/1)+(((0.15*B1185*5))^2/2)+(((0.15*B1185*5))^3/6)+(((0.15*B1185*5))^4/24)+(((0.15*B1185*5))^5/120))),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159">
      <c r="A1159">
        <f>Skills!A8</f>
        <v/>
      </c>
      <c r="B1159">
        <f>Skills!B8</f>
        <v/>
      </c>
      <c r="C1159">
        <f>Inputs!$B$3&gt;=100</f>
        <v/>
      </c>
      <c r="D1159">
        <f>IF(Skills!C8=1,60+Inputs!$B$25+Inputs!$B$29,IF(Skills!C8=2,90+Inputs!$B$26+Inputs!$B$29,IF(Skills!C8=3,120+Inputs!$B$27+Inputs!$B$29,MAX(0,(Inputs!$B$3-100)*3)+Inputs!$B$28+Inputs!$B$29)))</f>
        <v/>
      </c>
      <c r="E1159">
        <f>INDEX(FactorTable!$B$2:$Y$301, MATCH(ROUND(MIN(300,MAX(1,D1159)),0), FactorTable!$A$2:$A$301,0), Skills!M8+1)</f>
        <v/>
      </c>
      <c r="F1159">
        <f>IF(Skills!N8=TRUE,(Skills!L8/10)*(E1159/1000),Skills!L8/10)+Skills!O8</f>
        <v/>
      </c>
      <c r="G1159" t="inlineStr"/>
      <c r="H1159" t="inlineStr"/>
      <c r="I1159" t="inlineStr">
        <is>
          <t>1</t>
        </is>
      </c>
      <c r="J1159" t="inlineStr"/>
      <c r="K1159" t="inlineStr"/>
      <c r="L1159" t="inlineStr"/>
      <c r="M1159" t="inlineStr"/>
      <c r="N1159" t="inlineStr"/>
      <c r="O1159" t="inlineStr"/>
      <c r="P1159" t="inlineStr"/>
      <c r="Q1159" t="inlineStr"/>
      <c r="R1159" t="inlineStr"/>
      <c r="S1159" t="inlineStr"/>
      <c r="T1159" t="inlineStr"/>
      <c r="V1159" t="inlineStr"/>
    </row>
    <row r="1160">
      <c r="A1160">
        <f>Skills!A9</f>
        <v/>
      </c>
      <c r="B1160">
        <f>Skills!B9</f>
        <v/>
      </c>
      <c r="C1160">
        <f>Inputs!$B$3&gt;=103</f>
        <v/>
      </c>
      <c r="D1160">
        <f>IF(Skills!C9=1,60+Inputs!$B$25+Inputs!$B$29,IF(Skills!C9=2,90+Inputs!$B$26+Inputs!$B$29,IF(Skills!C9=3,120+Inputs!$B$27+Inputs!$B$29,MAX(0,(Inputs!$B$3-100)*3)+Inputs!$B$28+Inputs!$B$29)))</f>
        <v/>
      </c>
      <c r="E1160">
        <f>INDEX(FactorTable!$B$2:$Y$301, MATCH(ROUND(MIN(300,MAX(1,D1160)),0), FactorTable!$A$2:$A$301,0), Skills!M9+1)</f>
        <v/>
      </c>
      <c r="F1160">
        <f>IF(Skills!N9=TRUE,(Skills!L9/10)*(E1160/1000),Skills!L9/10)+Skills!O9</f>
        <v/>
      </c>
      <c r="G1160">
        <f>Skills!G9*IF(Skills!H9&gt;0,Skills!I9/Skills!H9,1)</f>
        <v/>
      </c>
      <c r="H1160">
        <f>1-(1-Skills!J9/100)^Skills!K9</f>
        <v/>
      </c>
      <c r="I1160" t="inlineStr">
        <is>
          <t>1</t>
        </is>
      </c>
      <c r="J1160">
        <f>((Inputs!$B$6*(1+Inputs!$B$7/100))+(((Inputs!$B$12*(1+Inputs!$B$13/100))-(Inputs!$B$12*(1+Inputs!$B$13/100)))+0.25*(Inputs!$B$14-Inputs!$B$14))*(1+Inputs!$B$7/100))*(F1160/100)</f>
        <v/>
      </c>
      <c r="K1160">
        <f>J1160*(1+((Inputs!$B$12*(1+Inputs!$B$13/100))*0.01+Inputs!$B$14*0.0025)/100)*(1+Inputs!$B$15/100)*(1+Inputs!$B$16/100)*(5000/(6000+Inputs!$B$42*(1-(100*(1-(1-(Inputs!$B$19+0)/100)*(1-CHOOSE(ArtifactsInput!$N$40+1,5,6,7,8,9,10)/100)^(ArtifactsInput!$M$40-ArtifactsInput!$M$40)))/100)))*(1+(Inputs!$B$24+((C1175=TRUE)*(F1175-Calc!F24))+((C1176=TRUE)*(F1176-Calc!F25))+B1189)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EMPOWERED_PIERCING_ARROW",Inputs!$B$17+((C1173=TRUE)*(F1173-Calc!F22))+(((IF(AND(ArtifactsInput!$M$42,((Inputs!$B$9+((C1170=TRUE)*(F1170-Calc!F19))+B1183+(ArtifactsInput!$M$24-ArtifactsInput!$M$24)*CHOOSE(ArtifactsInput!$N$24+1,10,12,14,16,18,20)+IF(ArtifactsInput!$M$10,CHOOSE(ArtifactsInput!$N$10+1,15,18,21,24,27,30)*(IF(Inputs!$B$38="pvp",MIN(15,15)/15,IF(AND(Inputs!$B$38&lt;&gt;"pvp",Inputs!$B$43&gt;0),MIN(15,Inputs!$B$43)/(Inputs!$B$43),0))),0)))&gt;=100),MIN(100,((Inputs!$B$9+((C1170=TRUE)*(F1170-Calc!F19))+B1183+(ArtifactsInput!$M$24-ArtifactsInput!$M$24)*CHOOSE(ArtifactsInput!$N$24+1,10,12,14,16,18,20)+IF(ArtifactsInput!$M$10,CHOOSE(ArtifactsInput!$N$10+1,15,18,21,24,27,30)*(IF(Inputs!$B$38="pvp",MIN(15,15)/15,IF(AND(Inputs!$B$38&lt;&gt;"pvp",Inputs!$B$43&gt;0),MIN(15,Inputs!$B$43)/(Inputs!$B$43),0))),0)))-100),0))*CHOOSE(ArtifactsInput!$N$42+1,0.6,0.72,0.84,0.96,1.08,1.2))),Inputs!$B$18+((C1178=TRUE)*(F1178-Calc!F27))+(IF(AND(ArtifactsInput!$M$42,((Inputs!$B$9+((C1170=TRUE)*(F1170-Calc!F19))+B1183+(ArtifactsInput!$M$24-ArtifactsInput!$M$24)*CHOOSE(ArtifactsInput!$N$24+1,10,12,14,16,18,20)+IF(ArtifactsInput!$M$10,CHOOSE(ArtifactsInput!$N$10+1,15,18,21,24,27,30)*(IF(Inputs!$B$38="pvp",MIN(15,15)/15,IF(AND(Inputs!$B$38&lt;&gt;"pvp",Inputs!$B$43&gt;0),MIN(15,Inputs!$B$43)/(Inputs!$B$43),0))),0)))&gt;=100),CHOOSE(ArtifactsInput!$N$42+1,40,48,56,64,72,80),0))))/100)*((1+(((C1164=TRUE)*F1164)+((C1165=TRUE)*IF(Inputs!$B$38="pvp",F1165,(1-Summary!$B$11)*(F1165)+Summary!$B$11*(0)))+((C1166=TRUE)*F1166*IF(AND(Inputs!$B$38&lt;&gt;"pvp",Inputs!$B$43&gt;0),(((R1166-1)*(Skills!T15*(1+Inputs!$B$34/100))+MIN((Skills!T15*(1+Inputs!$B$34/100)),MAX(0,Inputs!$B$43-((R1166-1)*Skills!D15))))/Inputs!$B$43),IF(Inputs!$B$38="pvp",MIN((Skills!T15*(1+Inputs!$B$34/100)),15)/15,(Skills!T15*(1+Inputs!$B$34/100))/Skills!D15)))+((C1163=TRUE)*F1163)+((C1180=TRUE)*(F1180-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1160)</f>
        <v/>
      </c>
      <c r="L1160">
        <f>K1160*(MIN(Inputs!$B$22+((C1174=TRUE)*(F1174-Calc!F23)),(Inputs!$B$23+((C1179=TRUE)*(F1179-Calc!F28))+(IF(ArtifactsInput!$M$15,CHOOSE(ArtifactsInput!$N$15+1,25,30,35,40,45,50)/100*(Inputs!$B$11-Inputs!$B$11),0))))/100+(Inputs!$B$23+((C1179=TRUE)*(F1179-Calc!F28))+(IF(ArtifactsInput!$M$15,CHOOSE(ArtifactsInput!$N$15+1,25,30,35,40,45,50)/100*(Inputs!$B$11-Inputs!$B$11),0)))/100)/2</f>
        <v/>
      </c>
      <c r="M1160">
        <f>L1160*(1+(Inputs!$B$10+0+B1188+(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160">
        <f>L1160*(1-MIN((Inputs!$B$9+((C1170=TRUE)*(F1170-Calc!F19))+B1183+(ArtifactsInput!$M$24-ArtifactsInput!$M$24)*CHOOSE(ArtifactsInput!$N$24+1,10,12,14,16,18,20)+(IF(AND(ArtifactsInput!$M$42,((Inputs!$B$9+((C1170=TRUE)*(F1170-Calc!F19))+B1183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1160*(MIN((Inputs!$B$9+((C1170=TRUE)*(F1170-Calc!F19))+B1183+(ArtifactsInput!$M$24-ArtifactsInput!$M$24)*CHOOSE(ArtifactsInput!$N$24+1,10,12,14,16,18,20)+(IF(AND(ArtifactsInput!$M$42,((Inputs!$B$9+((C1170=TRUE)*(F1170-Calc!F19))+B1183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160">
        <f>(1-Summary!$B$11)*T1160+Summary!$B$11*V1160</f>
        <v/>
      </c>
      <c r="P1160">
        <f>IF(B1193=0,0,O1160/B1193)</f>
        <v/>
      </c>
      <c r="Q1160">
        <f>IFERROR(1/IF(Inputs!$B$38="pvp",15,MAX(0.1,Skills!D9-IF(Skills!E9=TRUE,Inputs!$B$32,0))),0)</f>
        <v/>
      </c>
      <c r="R1160">
        <f>IF(AND(Inputs!$B$38&lt;&gt;"pvp",Inputs!$B$43&gt;0),IF(MAX(0,Inputs!$B$43-B1190)&lt;=0,0,(INT(MAX(0,Inputs!$B$43-B1190)/IF(Inputs!$B$38="pvp",15,MAX(0.1,Skills!D9-IF(Skills!E9=TRUE,Inputs!$B$32,0))))+1)),0)</f>
        <v/>
      </c>
      <c r="S1160">
        <f>IFERROR((H1160*N1160*IF(AND(Inputs!$B$38&lt;&gt;"pvp",Inputs!$B$43&gt;0),((Skills!G9*((R1160-1)*IF(Skills!H9&gt;0,Skills!I9/Skills!H9,1)+IF(Skills!H9&gt;0,MIN(Skills!I9,MAX(0,MAX(0,Inputs!$B$43-B1190)-((R1160-1)*IF(Inputs!$B$38="pvp",15,MAX(0.1,Skills!D9-IF(Skills!E9=TRUE,Inputs!$B$32,0))))))/Skills!H9,1)))/Inputs!$B$43),G1160*Q1160))/N1160*IF(Inputs!$B$38="pvp",1,(1-Summary!$B$11)*1+Summary!$B$11*(MIN(Skills!R9,Inputs!$B$37))),0)</f>
        <v/>
      </c>
      <c r="T1160">
        <f>IF(C1160,(H1160*N1160*IF(AND(Inputs!$B$38&lt;&gt;"pvp",Inputs!$B$43&gt;0),((Skills!G9*((R1160-1)*IF(Skills!H9&gt;0,Skills!I9/Skills!H9,1)+IF(Skills!H9&gt;0,MIN(Skills!I9,MAX(0,MAX(0,Inputs!$B$43-B1190)-((R1160-1)*IF(Inputs!$B$38="pvp",15,MAX(0.1,Skills!D9-IF(Skills!E9=TRUE,Inputs!$B$32,0))))))/Skills!H9,1)))/Inputs!$B$43),G1160*Q1160))*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Hunt"),CHOOSE(ArtifactsInput!$N$35+1,15,18,21,24,27,30)*(1-EXP(-(0.2*B1185)*5)),0)+IF(AND(ArtifactsInput!$M$22,Inputs!$B$4&lt;&gt;"Chapter Hunt"),CHOOSE(ArtifactsInput!$N$22+1,10,12,14,16,18,20)*((0*(((0.15*B1185*5))^0/1)+1*(((0.15*B1185*5))^1/1)+2*(((0.15*B1185*5))^2/2)+3*(((0.15*B1185*5))^3/6)+4*(((0.15*B1185*5))^4/24)+5*(((0.15*B1185*5))^5/120))/((((0.15*B1185*5))^0/1)+(((0.15*B1185*5))^1/1)+(((0.15*B1185*5))^2/2)+(((0.15*B1185*5))^3/6)+(((0.15*B1185*5))^4/24)+(((0.15*B1185*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1160*(1-MIN(100,(Inputs!$B$9+((C1170=TRUE)*(F1170-Calc!F19))+B1183+(ArtifactsInput!$M$24-ArtifactsInput!$M$24)*CHOOSE(ArtifactsInput!$N$24+1,10,12,14,16,18,20)+(IF(AND(ArtifactsInput!$M$42,((Inputs!$B$9+((C1170=TRUE)*(F1170-Calc!F19))+B1183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1160*(MIN(100,(Inputs!$B$9+((C1170=TRUE)*(F1170-Calc!F19))+B1183+(ArtifactsInput!$M$24-ArtifactsInput!$M$24)*CHOOSE(ArtifactsInput!$N$24+1,10,12,14,16,18,20)+(IF(AND(ArtifactsInput!$M$42,((Inputs!$B$9+((C1170=TRUE)*(F1170-Calc!F19))+B1183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1160*(1-MIN(100,(Inputs!$B$9+((C1170=TRUE)*(F1170-Calc!F19))+B1183+(ArtifactsInput!$M$24-ArtifactsInput!$M$24)*CHOOSE(ArtifactsInput!$N$24+1,10,12,14,16,18,20)+(IF(AND(ArtifactsInput!$M$42,((Inputs!$B$9+((C1170=TRUE)*(F1170-Calc!F19))+B1183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1160*(MIN(100,(Inputs!$B$9+((C1170=TRUE)*(F1170-Calc!F19))+B1183+(ArtifactsInput!$M$24-ArtifactsInput!$M$24)*CHOOSE(ArtifactsInput!$N$24+1,10,12,14,16,18,20)+(IF(AND(ArtifactsInput!$M$42,((Inputs!$B$9+((C1170=TRUE)*(F1170-Calc!F19))+B1183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160">
        <f>IF(C1160,(H1160*N1160*IF(AND(Inputs!$B$38&lt;&gt;"pvp",Inputs!$B$43&gt;0),((Skills!G9*((R1160-1)*IF(Skills!H9&gt;0,Skills!I9/Skills!H9,1)+IF(Skills!H9&gt;0,MIN(Skills!I9,MAX(0,MAX(0,Inputs!$B$43-B1190)-((R1160-1)*IF(Inputs!$B$38="pvp",15,MAX(0.1,Skills!D9-IF(Skills!E9=TRUE,Inputs!$B$32,0))))))/Skills!H9,1)))/Inputs!$B$43),G1160*Q1160))*IF(Inputs!$B$38="pvp",1,(1+(Inputs!$B$21+Skills!Q9+(IF(ArtifactsInput!$M$33,CHOOSE(ArtifactsInput!$N$33+1,30,36,42,48,54,60),0))+(IF(AND(ArtifactsInput!$M$35,Inputs!$B$4&lt;&gt;"Chapter Hunt"),CHOOSE(ArtifactsInput!$N$35+1,15,18,21,24,27,30)*(1-EXP(-(0.2*B1185)*5)),0)+IF(AND(ArtifactsInput!$M$22,Inputs!$B$4&lt;&gt;"Chapter Hunt"),CHOOSE(ArtifactsInput!$N$22+1,10,12,14,16,18,20)*((0*(((0.15*B1185*5))^0/1)+1*(((0.15*B1185*5))^1/1)+2*(((0.15*B1185*5))^2/2)+3*(((0.15*B1185*5))^3/6)+4*(((0.15*B1185*5))^4/24)+5*(((0.15*B1185*5))^5/120))/((((0.15*B1185*5))^0/1)+(((0.15*B1185*5))^1/1)+(((0.15*B1185*5))^2/2)+(((0.15*B1185*5))^3/6)+(((0.15*B1185*5))^4/24)+(((0.15*B1185*5))^5/120)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161">
      <c r="A1161">
        <f>Skills!A10</f>
        <v/>
      </c>
      <c r="B1161">
        <f>Skills!B10</f>
        <v/>
      </c>
      <c r="C1161">
        <f>Inputs!$B$3&gt;=107</f>
        <v/>
      </c>
      <c r="D1161">
        <f>IF(Skills!C10=1,60+Inputs!$B$25+Inputs!$B$29,IF(Skills!C10=2,90+Inputs!$B$26+Inputs!$B$29,IF(Skills!C10=3,120+Inputs!$B$27+Inputs!$B$29,MAX(0,(Inputs!$B$3-100)*3)+Inputs!$B$28+Inputs!$B$29)))</f>
        <v/>
      </c>
      <c r="E1161">
        <f>INDEX(FactorTable!$B$2:$Y$301, MATCH(ROUND(MIN(300,MAX(1,D1161)),0), FactorTable!$A$2:$A$301,0), Skills!M10+1)</f>
        <v/>
      </c>
      <c r="F1161">
        <f>IF(Skills!N10=TRUE,(Skills!L10/10)*(E1161/1000),Skills!L10/10)+Skills!O10</f>
        <v/>
      </c>
      <c r="G1161">
        <f>Skills!G10*IF(Skills!H10&gt;0,Skills!I10/Skills!H10,1)</f>
        <v/>
      </c>
      <c r="H1161">
        <f>1-(1-Skills!J10/100)^Skills!K10</f>
        <v/>
      </c>
      <c r="I1161" t="inlineStr">
        <is>
          <t>1</t>
        </is>
      </c>
      <c r="J1161">
        <f>((Inputs!$B$6*(1+Inputs!$B$7/100))+(((Inputs!$B$12*(1+Inputs!$B$13/100))-(Inputs!$B$12*(1+Inputs!$B$13/100)))+0.25*(Inputs!$B$14-Inputs!$B$14))*(1+Inputs!$B$7/100))*(F1161/100)</f>
        <v/>
      </c>
      <c r="K1161">
        <f>J1161*(1+((Inputs!$B$12*(1+Inputs!$B$13/100))*0.01+Inputs!$B$14*0.0025)/100)*(1+Inputs!$B$15/100)*(1+Inputs!$B$16/100)*(5000/(6000+Inputs!$B$42*(1-(100*(1-(1-(Inputs!$B$19+0)/100)*(1-CHOOSE(ArtifactsInput!$N$40+1,5,6,7,8,9,10)/100)^(ArtifactsInput!$M$40-ArtifactsInput!$M$40)))/100)))*(1+(Inputs!$B$24+((C1175=TRUE)*(F1175-Calc!F24))+((C1176=TRUE)*(F1176-Calc!F25))+B1189)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EMPOWERED_PIERCING_ARROW",Inputs!$B$17+((C1173=TRUE)*(F1173-Calc!F22))+(((IF(AND(ArtifactsInput!$M$42,((Inputs!$B$9+((C1170=TRUE)*(F1170-Calc!F19))+B1183+(ArtifactsInput!$M$24-ArtifactsInput!$M$24)*CHOOSE(ArtifactsInput!$N$24+1,10,12,14,16,18,20)+IF(ArtifactsInput!$M$10,CHOOSE(ArtifactsInput!$N$10+1,15,18,21,24,27,30)*(IF(Inputs!$B$38="pvp",MIN(15,15)/15,IF(AND(Inputs!$B$38&lt;&gt;"pvp",Inputs!$B$43&gt;0),MIN(15,Inputs!$B$43)/(Inputs!$B$43),0))),0)))&gt;=100),MIN(100,((Inputs!$B$9+((C1170=TRUE)*(F1170-Calc!F19))+B1183+(ArtifactsInput!$M$24-ArtifactsInput!$M$24)*CHOOSE(ArtifactsInput!$N$24+1,10,12,14,16,18,20)+IF(ArtifactsInput!$M$10,CHOOSE(ArtifactsInput!$N$10+1,15,18,21,24,27,30)*(IF(Inputs!$B$38="pvp",MIN(15,15)/15,IF(AND(Inputs!$B$38&lt;&gt;"pvp",Inputs!$B$43&gt;0),MIN(15,Inputs!$B$43)/(Inputs!$B$43),0))),0)))-100),0))*CHOOSE(ArtifactsInput!$N$42+1,0.6,0.72,0.84,0.96,1.08,1.2))),Inputs!$B$18+((C1178=TRUE)*(F1178-Calc!F27))+(IF(AND(ArtifactsInput!$M$42,((Inputs!$B$9+((C1170=TRUE)*(F1170-Calc!F19))+B1183+(ArtifactsInput!$M$24-ArtifactsInput!$M$24)*CHOOSE(ArtifactsInput!$N$24+1,10,12,14,16,18,20)+IF(ArtifactsInput!$M$10,CHOOSE(ArtifactsInput!$N$10+1,15,18,21,24,27,30)*(IF(Inputs!$B$38="pvp",MIN(15,15)/15,IF(AND(Inputs!$B$38&lt;&gt;"pvp",Inputs!$B$43&gt;0),MIN(15,Inputs!$B$43)/(Inputs!$B$43),0))),0)))&gt;=100),CHOOSE(ArtifactsInput!$N$42+1,40,48,56,64,72,80),0))))/100)*((1+(((C1164=TRUE)*F1164)+((C1165=TRUE)*IF(Inputs!$B$38="pvp",F1165,(1-Summary!$B$11)*(F1165)+Summary!$B$11*(0)))+((C1166=TRUE)*F1166*IF(AND(Inputs!$B$38&lt;&gt;"pvp",Inputs!$B$43&gt;0),(((R1166-1)*(Skills!T15*(1+Inputs!$B$34/100))+MIN((Skills!T15*(1+Inputs!$B$34/100)),MAX(0,Inputs!$B$43-((R1166-1)*Skills!D15))))/Inputs!$B$43),IF(Inputs!$B$38="pvp",MIN((Skills!T15*(1+Inputs!$B$34/100)),15)/15,(Skills!T15*(1+Inputs!$B$34/100))/Skills!D15)))+((C1163=TRUE)*F1163)+((C1180=TRUE)*(F1180-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1161)</f>
        <v/>
      </c>
      <c r="L1161">
        <f>K1161*(MIN(Inputs!$B$22+((C1174=TRUE)*(F1174-Calc!F23)),(Inputs!$B$23+((C1179=TRUE)*(F1179-Calc!F28))+(IF(ArtifactsInput!$M$15,CHOOSE(ArtifactsInput!$N$15+1,25,30,35,40,45,50)/100*(Inputs!$B$11-Inputs!$B$11),0))))/100+(Inputs!$B$23+((C1179=TRUE)*(F1179-Calc!F28))+(IF(ArtifactsInput!$M$15,CHOOSE(ArtifactsInput!$N$15+1,25,30,35,40,45,50)/100*(Inputs!$B$11-Inputs!$B$11),0)))/100)/2</f>
        <v/>
      </c>
      <c r="M1161">
        <f>L1161*(1+(Inputs!$B$10+0+B1188+(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161">
        <f>L1161*(1-MIN((Inputs!$B$9+((C1170=TRUE)*(F1170-Calc!F19))+B1183+(ArtifactsInput!$M$24-ArtifactsInput!$M$24)*CHOOSE(ArtifactsInput!$N$24+1,10,12,14,16,18,20)+(IF(AND(ArtifactsInput!$M$42,((Inputs!$B$9+((C1170=TRUE)*(F1170-Calc!F19))+B1183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1161*(MIN((Inputs!$B$9+((C1170=TRUE)*(F1170-Calc!F19))+B1183+(ArtifactsInput!$M$24-ArtifactsInput!$M$24)*CHOOSE(ArtifactsInput!$N$24+1,10,12,14,16,18,20)+(IF(AND(ArtifactsInput!$M$42,((Inputs!$B$9+((C1170=TRUE)*(F1170-Calc!F19))+B1183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161">
        <f>(1-Summary!$B$11)*T1161+Summary!$B$11*V1161</f>
        <v/>
      </c>
      <c r="P1161">
        <f>IF(B1193=0,0,O1161/B1193)</f>
        <v/>
      </c>
      <c r="Q1161" t="n">
        <v>0</v>
      </c>
      <c r="R1161" t="n">
        <v>0</v>
      </c>
      <c r="S1161" t="n">
        <v>0</v>
      </c>
      <c r="T1161">
        <f>IF(C1161,(0.15*SUMPRODUCT((Skills!U2:U29=TRUE)*(C1153:C1180=TRUE)*S1153:S1180)*Skills!G10*N1161)*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Hunt"),CHOOSE(ArtifactsInput!$N$35+1,15,18,21,24,27,30)*(1-EXP(-(0.2*B1185)*5)),0)+IF(AND(ArtifactsInput!$M$22,Inputs!$B$4&lt;&gt;"Chapter Hunt"),CHOOSE(ArtifactsInput!$N$22+1,10,12,14,16,18,20)*((0*(((0.15*B1185*5))^0/1)+1*(((0.15*B1185*5))^1/1)+2*(((0.15*B1185*5))^2/2)+3*(((0.15*B1185*5))^3/6)+4*(((0.15*B1185*5))^4/24)+5*(((0.15*B1185*5))^5/120))/((((0.15*B1185*5))^0/1)+(((0.15*B1185*5))^1/1)+(((0.15*B1185*5))^2/2)+(((0.15*B1185*5))^3/6)+(((0.15*B1185*5))^4/24)+(((0.15*B1185*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1161*(1-MIN(100,(Inputs!$B$9+((C1170=TRUE)*(F1170-Calc!F19))+B1183+(ArtifactsInput!$M$24-ArtifactsInput!$M$24)*CHOOSE(ArtifactsInput!$N$24+1,10,12,14,16,18,20)+(IF(AND(ArtifactsInput!$M$42,((Inputs!$B$9+((C1170=TRUE)*(F1170-Calc!F19))+B1183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1161*(MIN(100,(Inputs!$B$9+((C1170=TRUE)*(F1170-Calc!F19))+B1183+(ArtifactsInput!$M$24-ArtifactsInput!$M$24)*CHOOSE(ArtifactsInput!$N$24+1,10,12,14,16,18,20)+(IF(AND(ArtifactsInput!$M$42,((Inputs!$B$9+((C1170=TRUE)*(F1170-Calc!F19))+B1183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1161*(1-MIN(100,(Inputs!$B$9+((C1170=TRUE)*(F1170-Calc!F19))+B1183+(ArtifactsInput!$M$24-ArtifactsInput!$M$24)*CHOOSE(ArtifactsInput!$N$24+1,10,12,14,16,18,20)+(IF(AND(ArtifactsInput!$M$42,((Inputs!$B$9+((C1170=TRUE)*(F1170-Calc!F19))+B1183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1161*(MIN(100,(Inputs!$B$9+((C1170=TRUE)*(F1170-Calc!F19))+B1183+(ArtifactsInput!$M$24-ArtifactsInput!$M$24)*CHOOSE(ArtifactsInput!$N$24+1,10,12,14,16,18,20)+(IF(AND(ArtifactsInput!$M$42,((Inputs!$B$9+((C1170=TRUE)*(F1170-Calc!F19))+B1183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161">
        <f>IF(C1161,(0.15*SUMPRODUCT((Skills!U2:U29=TRUE)*(C1153:C1180=TRUE)*S1153:S1180)*Skills!G10*N1161)*IF(Inputs!$B$38="pvp",1,(1+(Inputs!$B$21+Skills!Q10+(IF(ArtifactsInput!$M$33,CHOOSE(ArtifactsInput!$N$33+1,30,36,42,48,54,60),0))+(IF(AND(ArtifactsInput!$M$35,Inputs!$B$4&lt;&gt;"Chapter Hunt"),CHOOSE(ArtifactsInput!$N$35+1,15,18,21,24,27,30)*(1-EXP(-(0.2*B1185)*5)),0)+IF(AND(ArtifactsInput!$M$22,Inputs!$B$4&lt;&gt;"Chapter Hunt"),CHOOSE(ArtifactsInput!$N$22+1,10,12,14,16,18,20)*((0*(((0.15*B1185*5))^0/1)+1*(((0.15*B1185*5))^1/1)+2*(((0.15*B1185*5))^2/2)+3*(((0.15*B1185*5))^3/6)+4*(((0.15*B1185*5))^4/24)+5*(((0.15*B1185*5))^5/120))/((((0.15*B1185*5))^0/1)+(((0.15*B1185*5))^1/1)+(((0.15*B1185*5))^2/2)+(((0.15*B1185*5))^3/6)+(((0.15*B1185*5))^4/24)+(((0.15*B1185*5))^5/120)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162">
      <c r="A1162">
        <f>Skills!A11</f>
        <v/>
      </c>
      <c r="B1162">
        <f>Skills!B11</f>
        <v/>
      </c>
      <c r="C1162">
        <f>Inputs!$B$3&gt;=110</f>
        <v/>
      </c>
      <c r="D1162">
        <f>IF(Skills!C11=1,60+Inputs!$B$25+Inputs!$B$29,IF(Skills!C11=2,90+Inputs!$B$26+Inputs!$B$29,IF(Skills!C11=3,120+Inputs!$B$27+Inputs!$B$29,MAX(0,(Inputs!$B$3-100)*3)+Inputs!$B$28+Inputs!$B$29)))</f>
        <v/>
      </c>
      <c r="E1162">
        <f>INDEX(FactorTable!$B$2:$Y$301, MATCH(ROUND(MIN(300,MAX(1,D1162)),0), FactorTable!$A$2:$A$301,0), Skills!M11+1)</f>
        <v/>
      </c>
      <c r="F1162">
        <f>IF(Skills!N11=TRUE,(Skills!L11/10)*(E1162/1000),Skills!L11/10)+Skills!O11</f>
        <v/>
      </c>
      <c r="G1162">
        <f>Skills!G11*IF(Skills!H11&gt;0,Skills!I11/Skills!H11,1)</f>
        <v/>
      </c>
      <c r="H1162">
        <f>1-(1-Skills!J11/100)^Skills!K11</f>
        <v/>
      </c>
      <c r="I1162" t="inlineStr">
        <is>
          <t>1</t>
        </is>
      </c>
      <c r="J1162">
        <f>((Inputs!$B$6*(1+Inputs!$B$7/100))+(((Inputs!$B$12*(1+Inputs!$B$13/100))-(Inputs!$B$12*(1+Inputs!$B$13/100)))+0.25*(Inputs!$B$14-Inputs!$B$14))*(1+Inputs!$B$7/100))*(F1162/100)</f>
        <v/>
      </c>
      <c r="K1162">
        <f>J1162*(1+((Inputs!$B$12*(1+Inputs!$B$13/100))*0.01+Inputs!$B$14*0.0025)/100)*(1+Inputs!$B$15/100)*(1+Inputs!$B$16/100)*(5000/(6000+Inputs!$B$42*(1-(100*(1-(1-(Inputs!$B$19+0)/100)*(1-CHOOSE(ArtifactsInput!$N$40+1,5,6,7,8,9,10)/100)^(ArtifactsInput!$M$40-ArtifactsInput!$M$40)))/100)))*(1+(Inputs!$B$24+((C1175=TRUE)*(F1175-Calc!F24))+((C1176=TRUE)*(F1176-Calc!F25))+B1189)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11="EMPOWERED_PIERCING_ARROW",Inputs!$B$17+((C1173=TRUE)*(F1173-Calc!F22))+(((IF(AND(ArtifactsInput!$M$42,((Inputs!$B$9+((C1170=TRUE)*(F1170-Calc!F19))+B1183+(ArtifactsInput!$M$24-ArtifactsInput!$M$24)*CHOOSE(ArtifactsInput!$N$24+1,10,12,14,16,18,20)+IF(ArtifactsInput!$M$10,CHOOSE(ArtifactsInput!$N$10+1,15,18,21,24,27,30)*(IF(Inputs!$B$38="pvp",MIN(15,15)/15,IF(AND(Inputs!$B$38&lt;&gt;"pvp",Inputs!$B$43&gt;0),MIN(15,Inputs!$B$43)/(Inputs!$B$43),0))),0)))&gt;=100),MIN(100,((Inputs!$B$9+((C1170=TRUE)*(F1170-Calc!F19))+B1183+(ArtifactsInput!$M$24-ArtifactsInput!$M$24)*CHOOSE(ArtifactsInput!$N$24+1,10,12,14,16,18,20)+IF(ArtifactsInput!$M$10,CHOOSE(ArtifactsInput!$N$10+1,15,18,21,24,27,30)*(IF(Inputs!$B$38="pvp",MIN(15,15)/15,IF(AND(Inputs!$B$38&lt;&gt;"pvp",Inputs!$B$43&gt;0),MIN(15,Inputs!$B$43)/(Inputs!$B$43),0))),0)))-100),0))*CHOOSE(ArtifactsInput!$N$42+1,0.6,0.72,0.84,0.96,1.08,1.2))),Inputs!$B$18+((C1178=TRUE)*(F1178-Calc!F27))+(IF(AND(ArtifactsInput!$M$42,((Inputs!$B$9+((C1170=TRUE)*(F1170-Calc!F19))+B1183+(ArtifactsInput!$M$24-ArtifactsInput!$M$24)*CHOOSE(ArtifactsInput!$N$24+1,10,12,14,16,18,20)+IF(ArtifactsInput!$M$10,CHOOSE(ArtifactsInput!$N$10+1,15,18,21,24,27,30)*(IF(Inputs!$B$38="pvp",MIN(15,15)/15,IF(AND(Inputs!$B$38&lt;&gt;"pvp",Inputs!$B$43&gt;0),MIN(15,Inputs!$B$43)/(Inputs!$B$43),0))),0)))&gt;=100),CHOOSE(ArtifactsInput!$N$42+1,40,48,56,64,72,80),0))))/100)*((1+(((C1164=TRUE)*F1164)+((C1165=TRUE)*IF(Inputs!$B$38="pvp",F1165,(1-Summary!$B$11)*(F1165)+Summary!$B$11*(0)))+((C1166=TRUE)*F1166*IF(AND(Inputs!$B$38&lt;&gt;"pvp",Inputs!$B$43&gt;0),(((R1166-1)*(Skills!T15*(1+Inputs!$B$34/100))+MIN((Skills!T15*(1+Inputs!$B$34/100)),MAX(0,Inputs!$B$43-((R1166-1)*Skills!D15))))/Inputs!$B$43),IF(Inputs!$B$38="pvp",MIN((Skills!T15*(1+Inputs!$B$34/100)),15)/15,(Skills!T15*(1+Inputs!$B$34/100))/Skills!D15)))+((C1163=TRUE)*F1163)+((C1180=TRUE)*(F1180-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1162)</f>
        <v/>
      </c>
      <c r="L1162">
        <f>K1162*(MIN(Inputs!$B$22+((C1174=TRUE)*(F1174-Calc!F23)),(Inputs!$B$23+((C1179=TRUE)*(F1179-Calc!F28))+(IF(ArtifactsInput!$M$15,CHOOSE(ArtifactsInput!$N$15+1,25,30,35,40,45,50)/100*(Inputs!$B$11-Inputs!$B$11),0))))/100+(Inputs!$B$23+((C1179=TRUE)*(F1179-Calc!F28))+(IF(ArtifactsInput!$M$15,CHOOSE(ArtifactsInput!$N$15+1,25,30,35,40,45,50)/100*(Inputs!$B$11-Inputs!$B$11),0)))/100)/2</f>
        <v/>
      </c>
      <c r="M1162">
        <f>L1162*(1+(Inputs!$B$10+0+B1188+(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162">
        <f>L1162*(1-MIN((Inputs!$B$9+((C1170=TRUE)*(F1170-Calc!F19))+B1183+(ArtifactsInput!$M$24-ArtifactsInput!$M$24)*CHOOSE(ArtifactsInput!$N$24+1,10,12,14,16,18,20)+(IF(AND(ArtifactsInput!$M$42,((Inputs!$B$9+((C1170=TRUE)*(F1170-Calc!F19))+B1183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1162*(MIN((Inputs!$B$9+((C1170=TRUE)*(F1170-Calc!F19))+B1183+(ArtifactsInput!$M$24-ArtifactsInput!$M$24)*CHOOSE(ArtifactsInput!$N$24+1,10,12,14,16,18,20)+(IF(AND(ArtifactsInput!$M$42,((Inputs!$B$9+((C1170=TRUE)*(F1170-Calc!F19))+B1183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162">
        <f>(1-Summary!$B$11)*T1162+Summary!$B$11*V1162</f>
        <v/>
      </c>
      <c r="P1162">
        <f>IF(B1193=0,0,O1162/B1193)</f>
        <v/>
      </c>
      <c r="Q1162">
        <f>IFERROR(1/IF(Inputs!$B$38="pvp",15,MAX(0.1,Skills!D11-IF(Skills!E11=TRUE,Inputs!$B$32,0))),0)</f>
        <v/>
      </c>
      <c r="R1162">
        <f>IF(AND(Inputs!$B$38&lt;&gt;"pvp",Inputs!$B$43&gt;0),IF(MAX(0,Inputs!$B$43-B1190)&lt;=0,0,(INT(MAX(0,Inputs!$B$43-B1190)/IF(Inputs!$B$38="pvp",15,MAX(0.1,Skills!D11-IF(Skills!E11=TRUE,Inputs!$B$32,0))))+1)),0)</f>
        <v/>
      </c>
      <c r="S1162">
        <f>IFERROR((H1162*N1162*IF(AND(Inputs!$B$38&lt;&gt;"pvp",Inputs!$B$43&gt;0),((Skills!G11*((R1162-1)*IF(Skills!H11&gt;0,Skills!I11/Skills!H11,1)+IF(Skills!H11&gt;0,MIN(Skills!I11,MAX(0,MAX(0,Inputs!$B$43-B1190)-((R1162-1)*IF(Inputs!$B$38="pvp",15,MAX(0.1,Skills!D11-IF(Skills!E11=TRUE,Inputs!$B$32,0))))))/Skills!H11,1)))/Inputs!$B$43),G1162*Q1162))/N1162*IF(Inputs!$B$38="pvp",1,(1-Summary!$B$11)*1+Summary!$B$11*(MIN(Skills!R11,Inputs!$B$37))),0)</f>
        <v/>
      </c>
      <c r="T1162">
        <f>IF(C1162,(H1162*N1162*IF(AND(Inputs!$B$38&lt;&gt;"pvp",Inputs!$B$43&gt;0),((Skills!G11*((R1162-1)*IF(Skills!H11&gt;0,Skills!I11/Skills!H11,1)+IF(Skills!H11&gt;0,MIN(Skills!I11,MAX(0,MAX(0,Inputs!$B$43-B1190)-((R1162-1)*IF(Inputs!$B$38="pvp",15,MAX(0.1,Skills!D11-IF(Skills!E11=TRUE,Inputs!$B$32,0))))))/Skills!H11,1)))/Inputs!$B$43),G1162*Q1162))*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Hunt"),CHOOSE(ArtifactsInput!$N$35+1,15,18,21,24,27,30)*(1-EXP(-(0.2*B1185)*5)),0)+IF(AND(ArtifactsInput!$M$22,Inputs!$B$4&lt;&gt;"Chapter Hunt"),CHOOSE(ArtifactsInput!$N$22+1,10,12,14,16,18,20)*((0*(((0.15*B1185*5))^0/1)+1*(((0.15*B1185*5))^1/1)+2*(((0.15*B1185*5))^2/2)+3*(((0.15*B1185*5))^3/6)+4*(((0.15*B1185*5))^4/24)+5*(((0.15*B1185*5))^5/120))/((((0.15*B1185*5))^0/1)+(((0.15*B1185*5))^1/1)+(((0.15*B1185*5))^2/2)+(((0.15*B1185*5))^3/6)+(((0.15*B1185*5))^4/24)+(((0.15*B1185*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1162*(1-MIN(100,(Inputs!$B$9+((C1170=TRUE)*(F1170-Calc!F19))+B1183+(ArtifactsInput!$M$24-ArtifactsInput!$M$24)*CHOOSE(ArtifactsInput!$N$24+1,10,12,14,16,18,20)+(IF(AND(ArtifactsInput!$M$42,((Inputs!$B$9+((C1170=TRUE)*(F1170-Calc!F19))+B1183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1162*(MIN(100,(Inputs!$B$9+((C1170=TRUE)*(F1170-Calc!F19))+B1183+(ArtifactsInput!$M$24-ArtifactsInput!$M$24)*CHOOSE(ArtifactsInput!$N$24+1,10,12,14,16,18,20)+(IF(AND(ArtifactsInput!$M$42,((Inputs!$B$9+((C1170=TRUE)*(F1170-Calc!F19))+B1183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1162*(1-MIN(100,(Inputs!$B$9+((C1170=TRUE)*(F1170-Calc!F19))+B1183+(ArtifactsInput!$M$24-ArtifactsInput!$M$24)*CHOOSE(ArtifactsInput!$N$24+1,10,12,14,16,18,20)+(IF(AND(ArtifactsInput!$M$42,((Inputs!$B$9+((C1170=TRUE)*(F1170-Calc!F19))+B1183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1162*(MIN(100,(Inputs!$B$9+((C1170=TRUE)*(F1170-Calc!F19))+B1183+(ArtifactsInput!$M$24-ArtifactsInput!$M$24)*CHOOSE(ArtifactsInput!$N$24+1,10,12,14,16,18,20)+(IF(AND(ArtifactsInput!$M$42,((Inputs!$B$9+((C1170=TRUE)*(F1170-Calc!F19))+B1183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162">
        <f>IF(C1162,(H1162*N1162*IF(AND(Inputs!$B$38&lt;&gt;"pvp",Inputs!$B$43&gt;0),((Skills!G11*((R1162-1)*IF(Skills!H11&gt;0,Skills!I11/Skills!H11,1)+IF(Skills!H11&gt;0,MIN(Skills!I11,MAX(0,MAX(0,Inputs!$B$43-B1190)-((R1162-1)*IF(Inputs!$B$38="pvp",15,MAX(0.1,Skills!D11-IF(Skills!E11=TRUE,Inputs!$B$32,0))))))/Skills!H11,1)))/Inputs!$B$43),G1162*Q1162))*IF(Inputs!$B$38="pvp",1,(1+(Inputs!$B$21+Skills!Q11+(IF(ArtifactsInput!$M$33,CHOOSE(ArtifactsInput!$N$33+1,30,36,42,48,54,60),0))+(IF(AND(ArtifactsInput!$M$35,Inputs!$B$4&lt;&gt;"Chapter Hunt"),CHOOSE(ArtifactsInput!$N$35+1,15,18,21,24,27,30)*(1-EXP(-(0.2*B1185)*5)),0)+IF(AND(ArtifactsInput!$M$22,Inputs!$B$4&lt;&gt;"Chapter Hunt"),CHOOSE(ArtifactsInput!$N$22+1,10,12,14,16,18,20)*((0*(((0.15*B1185*5))^0/1)+1*(((0.15*B1185*5))^1/1)+2*(((0.15*B1185*5))^2/2)+3*(((0.15*B1185*5))^3/6)+4*(((0.15*B1185*5))^4/24)+5*(((0.15*B1185*5))^5/120))/((((0.15*B1185*5))^0/1)+(((0.15*B1185*5))^1/1)+(((0.15*B1185*5))^2/2)+(((0.15*B1185*5))^3/6)+(((0.15*B1185*5))^4/24)+(((0.15*B1185*5))^5/120))),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163">
      <c r="A1163">
        <f>Skills!A12</f>
        <v/>
      </c>
      <c r="B1163">
        <f>Skills!B12</f>
        <v/>
      </c>
      <c r="C1163">
        <f>Inputs!$B$3&gt;=60</f>
        <v/>
      </c>
      <c r="D1163">
        <f>IF(Skills!C12=1,60+Inputs!$B$25+Inputs!$B$29,IF(Skills!C12=2,90+Inputs!$B$26+Inputs!$B$29,IF(Skills!C12=3,120+Inputs!$B$27+Inputs!$B$29,MAX(0,(Inputs!$B$3-100)*3)+Inputs!$B$28+Inputs!$B$29)))</f>
        <v/>
      </c>
      <c r="E1163">
        <f>INDEX(FactorTable!$B$2:$Y$301, MATCH(ROUND(MIN(300,MAX(1,D1163)),0), FactorTable!$A$2:$A$301,0), Skills!M12+1)</f>
        <v/>
      </c>
      <c r="F1163">
        <f>IF(Skills!N12=TRUE,(Skills!L12/10)*(E1163/1000),Skills!L12/10)+Skills!O12</f>
        <v/>
      </c>
      <c r="G1163">
        <f>Skills!G12*IF(Skills!H12&gt;0,Skills!I12/Skills!H12,1)</f>
        <v/>
      </c>
      <c r="H1163">
        <f>1-(1-Skills!J12/100)^Skills!K12</f>
        <v/>
      </c>
      <c r="I1163" t="inlineStr">
        <is>
          <t>1</t>
        </is>
      </c>
      <c r="J1163" t="inlineStr"/>
      <c r="K1163" t="inlineStr"/>
      <c r="L1163" t="inlineStr"/>
      <c r="M1163" t="inlineStr"/>
      <c r="N1163" t="inlineStr"/>
      <c r="O1163">
        <f>(1-Summary!$B$11)*T1163+Summary!$B$11*V1163</f>
        <v/>
      </c>
      <c r="P1163">
        <f>IF(B1193=0,0,O1163/B1193)</f>
        <v/>
      </c>
      <c r="Q1163" t="n">
        <v>0</v>
      </c>
      <c r="R1163" t="n">
        <v>0</v>
      </c>
      <c r="S1163" t="n">
        <v>0</v>
      </c>
      <c r="T1163" t="n">
        <v>0</v>
      </c>
      <c r="V1163" t="n">
        <v>0</v>
      </c>
    </row>
    <row r="1164">
      <c r="A1164">
        <f>Skills!A13</f>
        <v/>
      </c>
      <c r="B1164">
        <f>Skills!B13</f>
        <v/>
      </c>
      <c r="C1164">
        <f>Inputs!$B$3&gt;=74</f>
        <v/>
      </c>
      <c r="D1164">
        <f>IF(Skills!C13=1,60+Inputs!$B$25+Inputs!$B$29,IF(Skills!C13=2,90+Inputs!$B$26+Inputs!$B$29,IF(Skills!C13=3,120+Inputs!$B$27+Inputs!$B$29,MAX(0,(Inputs!$B$3-100)*3)+Inputs!$B$28+Inputs!$B$29)))</f>
        <v/>
      </c>
      <c r="E1164">
        <f>INDEX(FactorTable!$B$2:$Y$301, MATCH(ROUND(MIN(300,MAX(1,D1164)),0), FactorTable!$A$2:$A$301,0), Skills!M13+1)</f>
        <v/>
      </c>
      <c r="F1164">
        <f>IF(Skills!N13=TRUE,(Skills!L13/10)*(E1164/1000),Skills!L13/10)+Skills!O13</f>
        <v/>
      </c>
      <c r="G1164">
        <f>Skills!G13*IF(Skills!H13&gt;0,Skills!I13/Skills!H13,1)</f>
        <v/>
      </c>
      <c r="H1164">
        <f>1-(1-Skills!J13/100)^Skills!K13</f>
        <v/>
      </c>
      <c r="I1164" t="inlineStr">
        <is>
          <t>1</t>
        </is>
      </c>
      <c r="J1164" t="inlineStr"/>
      <c r="K1164" t="inlineStr"/>
      <c r="L1164" t="inlineStr"/>
      <c r="M1164" t="inlineStr"/>
      <c r="N1164" t="inlineStr"/>
      <c r="O1164">
        <f>(1-Summary!$B$11)*T1164+Summary!$B$11*V1164</f>
        <v/>
      </c>
      <c r="P1164">
        <f>IF(B1193=0,0,O1164/B1193)</f>
        <v/>
      </c>
      <c r="Q1164" t="n">
        <v>0</v>
      </c>
      <c r="R1164" t="n">
        <v>0</v>
      </c>
      <c r="S1164" t="n">
        <v>0</v>
      </c>
      <c r="T1164" t="n">
        <v>0</v>
      </c>
      <c r="V1164" t="n">
        <v>0</v>
      </c>
    </row>
    <row r="1165">
      <c r="A1165">
        <f>Skills!A14</f>
        <v/>
      </c>
      <c r="B1165">
        <f>Skills!B14</f>
        <v/>
      </c>
      <c r="C1165">
        <f>Inputs!$B$3&gt;=74</f>
        <v/>
      </c>
      <c r="D1165">
        <f>IF(Skills!C14=1,60+Inputs!$B$25+Inputs!$B$29,IF(Skills!C14=2,90+Inputs!$B$26+Inputs!$B$29,IF(Skills!C14=3,120+Inputs!$B$27+Inputs!$B$29,MAX(0,(Inputs!$B$3-100)*3)+Inputs!$B$28+Inputs!$B$29)))</f>
        <v/>
      </c>
      <c r="E1165">
        <f>INDEX(FactorTable!$B$2:$Y$301, MATCH(ROUND(MIN(300,MAX(1,D1165)),0), FactorTable!$A$2:$A$301,0), Skills!M14+1)</f>
        <v/>
      </c>
      <c r="F1165">
        <f>IF(Skills!N14=TRUE,(Skills!L14/10)*(E1165/1000),Skills!L14/10)+Skills!O14</f>
        <v/>
      </c>
      <c r="G1165">
        <f>Skills!G14*IF(Skills!H14&gt;0,Skills!I14/Skills!H14,1)</f>
        <v/>
      </c>
      <c r="H1165">
        <f>1-(1-Skills!J14/100)^Skills!K14</f>
        <v/>
      </c>
      <c r="I1165" t="inlineStr">
        <is>
          <t>1</t>
        </is>
      </c>
      <c r="J1165" t="inlineStr"/>
      <c r="K1165" t="inlineStr"/>
      <c r="L1165" t="inlineStr"/>
      <c r="M1165" t="inlineStr"/>
      <c r="N1165" t="inlineStr"/>
      <c r="O1165">
        <f>(1-Summary!$B$11)*T1165+Summary!$B$11*V1165</f>
        <v/>
      </c>
      <c r="P1165">
        <f>IF(B1193=0,0,O1165/B1193)</f>
        <v/>
      </c>
      <c r="Q1165" t="n">
        <v>0</v>
      </c>
      <c r="R1165" t="n">
        <v>0</v>
      </c>
      <c r="S1165" t="n">
        <v>0</v>
      </c>
      <c r="T1165" t="n">
        <v>0</v>
      </c>
      <c r="V1165" t="n">
        <v>0</v>
      </c>
    </row>
    <row r="1166">
      <c r="A1166">
        <f>Skills!A15</f>
        <v/>
      </c>
      <c r="B1166">
        <f>Skills!B15</f>
        <v/>
      </c>
      <c r="C1166">
        <f>Inputs!$B$3&gt;=117</f>
        <v/>
      </c>
      <c r="D1166">
        <f>IF(Skills!C15=1,60+Inputs!$B$25+Inputs!$B$29,IF(Skills!C15=2,90+Inputs!$B$26+Inputs!$B$29,IF(Skills!C15=3,120+Inputs!$B$27+Inputs!$B$29,MAX(0,(Inputs!$B$3-100)*3)+Inputs!$B$28+Inputs!$B$29)))</f>
        <v/>
      </c>
      <c r="E1166">
        <f>INDEX(FactorTable!$B$2:$Y$301, MATCH(ROUND(MIN(300,MAX(1,D1166)),0), FactorTable!$A$2:$A$301,0), Skills!M15+1)</f>
        <v/>
      </c>
      <c r="F1166">
        <f>IF(Skills!N15=TRUE,(Skills!L15/10)*(E1166/1000),Skills!L15/10)+Skills!O15</f>
        <v/>
      </c>
      <c r="G1166">
        <f>Skills!G15*IF(Skills!H15&gt;0,Skills!I15/Skills!H15,1)</f>
        <v/>
      </c>
      <c r="H1166">
        <f>1-(1-Skills!J15/100)^Skills!K15</f>
        <v/>
      </c>
      <c r="I1166" t="inlineStr">
        <is>
          <t>1</t>
        </is>
      </c>
      <c r="J1166" t="inlineStr"/>
      <c r="K1166" t="inlineStr"/>
      <c r="L1166" t="inlineStr"/>
      <c r="M1166" t="inlineStr"/>
      <c r="N1166" t="inlineStr"/>
      <c r="O1166">
        <f>(1-Summary!$B$11)*T1166+Summary!$B$11*V1166</f>
        <v/>
      </c>
      <c r="P1166">
        <f>IF(B1193=0,0,O1166/B1193)</f>
        <v/>
      </c>
      <c r="Q1166">
        <f>IFERROR(1/IF(Inputs!$B$38="pvp",15,MAX(0.1,Skills!D15-IF(Skills!E15=TRUE,Inputs!$B$32,0))),0)</f>
        <v/>
      </c>
      <c r="R1166">
        <f>IF(AND(Inputs!$B$38&lt;&gt;"pvp",Inputs!$B$43&gt;0),IF(Inputs!$B$43&lt;=0,0,(INT(Inputs!$B$43/IF(Inputs!$B$38="pvp",15,MAX(0.1,Skills!D15-IF(Skills!E15=TRUE,Inputs!$B$32,0))))+1)),0)</f>
        <v/>
      </c>
      <c r="S1166" t="n">
        <v>0</v>
      </c>
      <c r="T1166" t="n">
        <v>0</v>
      </c>
      <c r="V1166" t="n">
        <v>0</v>
      </c>
    </row>
    <row r="1167">
      <c r="A1167">
        <f>Skills!A16</f>
        <v/>
      </c>
      <c r="B1167">
        <f>Skills!B16</f>
        <v/>
      </c>
      <c r="C1167">
        <f>Inputs!$B$3&gt;=115</f>
        <v/>
      </c>
      <c r="D1167">
        <f>IF(Skills!C16=1,60+Inputs!$B$25+Inputs!$B$29,IF(Skills!C16=2,90+Inputs!$B$26+Inputs!$B$29,IF(Skills!C16=3,120+Inputs!$B$27+Inputs!$B$29,MAX(0,(Inputs!$B$3-100)*3)+Inputs!$B$28+Inputs!$B$29)))</f>
        <v/>
      </c>
      <c r="E1167">
        <f>INDEX(FactorTable!$B$2:$Y$301, MATCH(ROUND(MIN(300,MAX(1,D1167)),0), FactorTable!$A$2:$A$301,0), Skills!M16+1)</f>
        <v/>
      </c>
      <c r="F1167">
        <f>IF(Skills!N16=TRUE,(Skills!L16/10)*(E1167/1000),Skills!L16/10)+Skills!O16</f>
        <v/>
      </c>
      <c r="G1167">
        <f>Skills!G16*IF(Skills!H16&gt;0,Skills!I16/Skills!H16,1)</f>
        <v/>
      </c>
      <c r="H1167">
        <f>1-(1-Skills!J16/100)^Skills!K16</f>
        <v/>
      </c>
      <c r="I1167" t="inlineStr">
        <is>
          <t>1</t>
        </is>
      </c>
      <c r="J1167" t="inlineStr"/>
      <c r="K1167" t="inlineStr"/>
      <c r="L1167" t="inlineStr"/>
      <c r="M1167" t="inlineStr"/>
      <c r="N1167" t="inlineStr"/>
      <c r="O1167">
        <f>(1-Summary!$B$11)*T1167+Summary!$B$11*V1167</f>
        <v/>
      </c>
      <c r="P1167">
        <f>IF(B1193=0,0,O1167/B1193)</f>
        <v/>
      </c>
      <c r="Q1167">
        <f>IFERROR(1/IF(Inputs!$B$38="pvp",15,MAX(0.1,Skills!D16-IF(Skills!E16=TRUE,Inputs!$B$32,0))),0)</f>
        <v/>
      </c>
      <c r="R1167">
        <f>IF(AND(Inputs!$B$38&lt;&gt;"pvp",Inputs!$B$43&gt;0),IF(Inputs!$B$43&lt;=0,0,(INT(Inputs!$B$43/IF(Inputs!$B$38="pvp",15,MAX(0.1,Skills!D16-IF(Skills!E16=TRUE,Inputs!$B$32,0))))+1)),0)</f>
        <v/>
      </c>
      <c r="S1167" t="n">
        <v>0</v>
      </c>
      <c r="T1167" t="n">
        <v>0</v>
      </c>
      <c r="V1167" t="n">
        <v>0</v>
      </c>
    </row>
    <row r="1168">
      <c r="A1168">
        <f>Skills!A17</f>
        <v/>
      </c>
      <c r="B1168">
        <f>Skills!B17</f>
        <v/>
      </c>
      <c r="C1168">
        <f>Inputs!$B$3&gt;=72</f>
        <v/>
      </c>
      <c r="D1168">
        <f>IF(Skills!C17=1,60+Inputs!$B$25+Inputs!$B$29,IF(Skills!C17=2,90+Inputs!$B$26+Inputs!$B$29,IF(Skills!C17=3,120+Inputs!$B$27+Inputs!$B$29,MAX(0,(Inputs!$B$3-100)*3)+Inputs!$B$28+Inputs!$B$29)))</f>
        <v/>
      </c>
      <c r="E1168">
        <f>INDEX(FactorTable!$B$2:$Y$301, MATCH(ROUND(MIN(300,MAX(1,D1168)),0), FactorTable!$A$2:$A$301,0), Skills!M17+1)</f>
        <v/>
      </c>
      <c r="F1168">
        <f>IF(Skills!N17=TRUE,(Skills!L17/10)*(E1168/1000),Skills!L17/10)+Skills!O17</f>
        <v/>
      </c>
      <c r="G1168">
        <f>Skills!G17*IF(Skills!H17&gt;0,Skills!I17/Skills!H17,1)</f>
        <v/>
      </c>
      <c r="H1168">
        <f>1-(1-Skills!J17/100)^Skills!K17</f>
        <v/>
      </c>
      <c r="I1168" t="inlineStr">
        <is>
          <t>1</t>
        </is>
      </c>
      <c r="J1168" t="inlineStr"/>
      <c r="K1168" t="inlineStr"/>
      <c r="L1168" t="inlineStr"/>
      <c r="M1168" t="inlineStr"/>
      <c r="N1168" t="inlineStr"/>
      <c r="O1168">
        <f>(1-Summary!$B$11)*T1168+Summary!$B$11*V1168</f>
        <v/>
      </c>
      <c r="P1168">
        <f>IF(B1193=0,0,O1168/B1193)</f>
        <v/>
      </c>
      <c r="Q1168" t="n">
        <v>0</v>
      </c>
      <c r="R1168" t="n">
        <v>0</v>
      </c>
      <c r="S1168" t="n">
        <v>0</v>
      </c>
      <c r="T1168" t="n">
        <v>0</v>
      </c>
      <c r="V1168" t="n">
        <v>0</v>
      </c>
    </row>
    <row r="1169">
      <c r="A1169">
        <f>Skills!A18</f>
        <v/>
      </c>
      <c r="B1169">
        <f>Skills!B18</f>
        <v/>
      </c>
      <c r="C1169">
        <f>TRUE</f>
        <v/>
      </c>
      <c r="D1169">
        <f>IF(Skills!C18=1,60+Inputs!$B$25+Inputs!$B$29,IF(Skills!C18=2,90+Inputs!$B$26+Inputs!$B$29,IF(Skills!C18=3,120+Inputs!$B$27+Inputs!$B$29,MAX(0,(Inputs!$B$3-100)*3)+Inputs!$B$28+Inputs!$B$29)))</f>
        <v/>
      </c>
      <c r="E1169">
        <f>INDEX(FactorTable!$B$2:$Y$301, MATCH(ROUND(MIN(300,MAX(1,D1169)),0), FactorTable!$A$2:$A$301,0), Skills!M18+1)</f>
        <v/>
      </c>
      <c r="F1169">
        <f>IF(Skills!N18=TRUE,(Skills!L18/10)*(E1169/1000),Skills!L18/10)+Skills!O18</f>
        <v/>
      </c>
      <c r="G1169">
        <f>Skills!G18*IF(Skills!H18&gt;0,Skills!I18/Skills!H18,1)</f>
        <v/>
      </c>
      <c r="H1169">
        <f>1-(1-Skills!J18/100)^Skills!K18</f>
        <v/>
      </c>
      <c r="I1169" t="inlineStr">
        <is>
          <t>1</t>
        </is>
      </c>
      <c r="J1169" t="inlineStr"/>
      <c r="K1169" t="inlineStr"/>
      <c r="L1169" t="inlineStr"/>
      <c r="M1169" t="inlineStr"/>
      <c r="N1169" t="inlineStr"/>
      <c r="O1169">
        <f>(1-Summary!$B$11)*T1169+Summary!$B$11*V1169</f>
        <v/>
      </c>
      <c r="P1169">
        <f>IF(B1193=0,0,O1169/B1193)</f>
        <v/>
      </c>
      <c r="Q1169">
        <f>IFERROR(1/IF(Inputs!$B$38="pvp",15,MAX(0.1,Skills!D18-IF(Skills!E18=TRUE,Inputs!$B$32,0))),0)</f>
        <v/>
      </c>
      <c r="R1169">
        <f>IF(AND(Inputs!$B$38&lt;&gt;"pvp",Inputs!$B$43&gt;0),IF(Inputs!$B$43&lt;=0,0,(INT(Inputs!$B$43/IF(Inputs!$B$38="pvp",15,MAX(0.1,Skills!D18-IF(Skills!E18=TRUE,Inputs!$B$32,0))))+1)),0)</f>
        <v/>
      </c>
      <c r="S1169" t="n">
        <v>0</v>
      </c>
      <c r="T1169" t="n">
        <v>0</v>
      </c>
      <c r="V1169" t="n">
        <v>0</v>
      </c>
    </row>
    <row r="1170">
      <c r="A1170">
        <f>Skills!A19</f>
        <v/>
      </c>
      <c r="B1170">
        <f>Skills!B19</f>
        <v/>
      </c>
      <c r="C1170">
        <f>Inputs!$B$3&gt;=15</f>
        <v/>
      </c>
      <c r="D1170">
        <f>IF(Skills!C19=1,60+Inputs!$B$25+Inputs!$B$29,IF(Skills!C19=2,90+Inputs!$B$26+Inputs!$B$29,IF(Skills!C19=3,120+Inputs!$B$27+Inputs!$B$29,MAX(0,(Inputs!$B$3-100)*3)+Inputs!$B$28+Inputs!$B$29)))</f>
        <v/>
      </c>
      <c r="E1170">
        <f>INDEX(FactorTable!$B$2:$Y$301, MATCH(ROUND(MIN(300,MAX(1,D1170)),0), FactorTable!$A$2:$A$301,0), Skills!M19+1)</f>
        <v/>
      </c>
      <c r="F1170">
        <f>IF(Skills!N19=TRUE,(Skills!L19/10)*(E1170/1000),Skills!L19/10)+Skills!O19</f>
        <v/>
      </c>
      <c r="G1170">
        <f>Skills!G19*IF(Skills!H19&gt;0,Skills!I19/Skills!H19,1)</f>
        <v/>
      </c>
      <c r="H1170">
        <f>1-(1-Skills!J19/100)^Skills!K19</f>
        <v/>
      </c>
      <c r="I1170" t="inlineStr">
        <is>
          <t>1</t>
        </is>
      </c>
      <c r="J1170" t="inlineStr"/>
      <c r="K1170" t="inlineStr"/>
      <c r="L1170" t="inlineStr"/>
      <c r="M1170" t="inlineStr"/>
      <c r="N1170" t="inlineStr"/>
      <c r="O1170">
        <f>(1-Summary!$B$11)*T1170+Summary!$B$11*V1170</f>
        <v/>
      </c>
      <c r="P1170">
        <f>IF(B1193=0,0,O1170/B1193)</f>
        <v/>
      </c>
      <c r="Q1170" t="n">
        <v>0</v>
      </c>
      <c r="R1170" t="n">
        <v>0</v>
      </c>
      <c r="S1170" t="n">
        <v>0</v>
      </c>
      <c r="T1170" t="n">
        <v>0</v>
      </c>
      <c r="V1170" t="n">
        <v>0</v>
      </c>
    </row>
    <row r="1171">
      <c r="A1171">
        <f>Skills!A20</f>
        <v/>
      </c>
      <c r="B1171">
        <f>Skills!B20</f>
        <v/>
      </c>
      <c r="C1171">
        <f>Inputs!$B$3&gt;=10</f>
        <v/>
      </c>
      <c r="D1171">
        <f>IF(Skills!C20=1,60+Inputs!$B$25+Inputs!$B$29,IF(Skills!C20=2,90+Inputs!$B$26+Inputs!$B$29,IF(Skills!C20=3,120+Inputs!$B$27+Inputs!$B$29,MAX(0,(Inputs!$B$3-100)*3)+Inputs!$B$28+Inputs!$B$29)))</f>
        <v/>
      </c>
      <c r="E1171">
        <f>INDEX(FactorTable!$B$2:$Y$301, MATCH(ROUND(MIN(300,MAX(1,D1171)),0), FactorTable!$A$2:$A$301,0), Skills!M20+1)</f>
        <v/>
      </c>
      <c r="F1171">
        <f>IF(Skills!N20=TRUE,(Skills!L20/10)*(E1171/1000),Skills!L20/10)+Skills!O20</f>
        <v/>
      </c>
      <c r="G1171">
        <f>Skills!G20*IF(Skills!H20&gt;0,Skills!I20/Skills!H20,1)</f>
        <v/>
      </c>
      <c r="H1171">
        <f>1-(1-Skills!J20/100)^Skills!K20</f>
        <v/>
      </c>
      <c r="I1171" t="inlineStr">
        <is>
          <t>1</t>
        </is>
      </c>
      <c r="J1171" t="inlineStr"/>
      <c r="K1171" t="inlineStr"/>
      <c r="L1171" t="inlineStr"/>
      <c r="M1171" t="inlineStr"/>
      <c r="N1171" t="inlineStr"/>
      <c r="O1171">
        <f>(1-Summary!$B$11)*T1171+Summary!$B$11*V1171</f>
        <v/>
      </c>
      <c r="P1171">
        <f>IF(B1193=0,0,O1171/B1193)</f>
        <v/>
      </c>
      <c r="Q1171" t="n">
        <v>0</v>
      </c>
      <c r="R1171" t="n">
        <v>0</v>
      </c>
      <c r="S1171" t="n">
        <v>0</v>
      </c>
      <c r="T1171" t="n">
        <v>0</v>
      </c>
      <c r="V1171" t="n">
        <v>0</v>
      </c>
    </row>
    <row r="1172">
      <c r="A1172">
        <f>Skills!A21</f>
        <v/>
      </c>
      <c r="B1172">
        <f>Skills!B21</f>
        <v/>
      </c>
      <c r="C1172">
        <f>Inputs!$B$3&gt;=33</f>
        <v/>
      </c>
      <c r="D1172">
        <f>IF(Skills!C21=1,60+Inputs!$B$25+Inputs!$B$29,IF(Skills!C21=2,90+Inputs!$B$26+Inputs!$B$29,IF(Skills!C21=3,120+Inputs!$B$27+Inputs!$B$29,MAX(0,(Inputs!$B$3-100)*3)+Inputs!$B$28+Inputs!$B$29)))</f>
        <v/>
      </c>
      <c r="E1172">
        <f>INDEX(FactorTable!$B$2:$Y$301, MATCH(ROUND(MIN(300,MAX(1,D1172)),0), FactorTable!$A$2:$A$301,0), Skills!M21+1)</f>
        <v/>
      </c>
      <c r="F1172">
        <f>IF(Skills!N21=TRUE,(Skills!L21/10)*(E1172/1000),Skills!L21/10)+Skills!O21</f>
        <v/>
      </c>
      <c r="G1172">
        <f>Skills!G21*IF(Skills!H21&gt;0,Skills!I21/Skills!H21,1)</f>
        <v/>
      </c>
      <c r="H1172">
        <f>1-(1-Skills!J21/100)^Skills!K21</f>
        <v/>
      </c>
      <c r="I1172" t="inlineStr">
        <is>
          <t>1</t>
        </is>
      </c>
      <c r="J1172" t="inlineStr"/>
      <c r="K1172" t="inlineStr"/>
      <c r="L1172" t="inlineStr"/>
      <c r="M1172" t="inlineStr"/>
      <c r="N1172" t="inlineStr"/>
      <c r="O1172">
        <f>(1-Summary!$B$11)*T1172+Summary!$B$11*V1172</f>
        <v/>
      </c>
      <c r="P1172">
        <f>IF(B1193=0,0,O1172/B1193)</f>
        <v/>
      </c>
      <c r="Q1172" t="n">
        <v>0</v>
      </c>
      <c r="R1172" t="n">
        <v>0</v>
      </c>
      <c r="S1172" t="n">
        <v>0</v>
      </c>
      <c r="T1172" t="n">
        <v>0</v>
      </c>
      <c r="V1172" t="n">
        <v>0</v>
      </c>
    </row>
    <row r="1173">
      <c r="A1173">
        <f>Skills!A22</f>
        <v/>
      </c>
      <c r="B1173">
        <f>Skills!B22</f>
        <v/>
      </c>
      <c r="C1173">
        <f>Inputs!$B$3&gt;=38</f>
        <v/>
      </c>
      <c r="D1173">
        <f>IF(Skills!C22=1,60+Inputs!$B$25+Inputs!$B$29,IF(Skills!C22=2,90+Inputs!$B$26+Inputs!$B$29,IF(Skills!C22=3,120+Inputs!$B$27+Inputs!$B$29,MAX(0,(Inputs!$B$3-100)*3)+Inputs!$B$28+Inputs!$B$29)))</f>
        <v/>
      </c>
      <c r="E1173">
        <f>INDEX(FactorTable!$B$2:$Y$301, MATCH(ROUND(MIN(300,MAX(1,D1173)),0), FactorTable!$A$2:$A$301,0), Skills!M22+1)</f>
        <v/>
      </c>
      <c r="F1173">
        <f>IF(Skills!N22=TRUE,(Skills!L22/10)*(E1173/1000),Skills!L22/10)+Skills!O22</f>
        <v/>
      </c>
      <c r="G1173">
        <f>Skills!G22*IF(Skills!H22&gt;0,Skills!I22/Skills!H22,1)</f>
        <v/>
      </c>
      <c r="H1173">
        <f>1-(1-Skills!J22/100)^Skills!K22</f>
        <v/>
      </c>
      <c r="I1173" t="inlineStr">
        <is>
          <t>1</t>
        </is>
      </c>
      <c r="J1173" t="inlineStr"/>
      <c r="K1173" t="inlineStr"/>
      <c r="L1173" t="inlineStr"/>
      <c r="M1173" t="inlineStr"/>
      <c r="N1173" t="inlineStr"/>
      <c r="O1173">
        <f>(1-Summary!$B$11)*T1173+Summary!$B$11*V1173</f>
        <v/>
      </c>
      <c r="P1173">
        <f>IF(B1193=0,0,O1173/B1193)</f>
        <v/>
      </c>
      <c r="Q1173" t="n">
        <v>0</v>
      </c>
      <c r="R1173" t="n">
        <v>0</v>
      </c>
      <c r="S1173" t="n">
        <v>0</v>
      </c>
      <c r="T1173" t="n">
        <v>0</v>
      </c>
      <c r="V1173" t="n">
        <v>0</v>
      </c>
    </row>
    <row r="1174">
      <c r="A1174">
        <f>Skills!A23</f>
        <v/>
      </c>
      <c r="B1174">
        <f>Skills!B23</f>
        <v/>
      </c>
      <c r="C1174">
        <f>Inputs!$B$3&gt;=43</f>
        <v/>
      </c>
      <c r="D1174">
        <f>IF(Skills!C23=1,60+Inputs!$B$25+Inputs!$B$29,IF(Skills!C23=2,90+Inputs!$B$26+Inputs!$B$29,IF(Skills!C23=3,120+Inputs!$B$27+Inputs!$B$29,MAX(0,(Inputs!$B$3-100)*3)+Inputs!$B$28+Inputs!$B$29)))</f>
        <v/>
      </c>
      <c r="E1174">
        <f>INDEX(FactorTable!$B$2:$Y$301, MATCH(ROUND(MIN(300,MAX(1,D1174)),0), FactorTable!$A$2:$A$301,0), Skills!M23+1)</f>
        <v/>
      </c>
      <c r="F1174">
        <f>IF(Skills!N23=TRUE,(Skills!L23/10)*(E1174/1000),Skills!L23/10)+Skills!O23</f>
        <v/>
      </c>
      <c r="G1174">
        <f>Skills!G23*IF(Skills!H23&gt;0,Skills!I23/Skills!H23,1)</f>
        <v/>
      </c>
      <c r="H1174">
        <f>1-(1-Skills!J23/100)^Skills!K23</f>
        <v/>
      </c>
      <c r="I1174" t="inlineStr">
        <is>
          <t>1</t>
        </is>
      </c>
      <c r="J1174" t="inlineStr"/>
      <c r="K1174" t="inlineStr"/>
      <c r="L1174" t="inlineStr"/>
      <c r="M1174" t="inlineStr"/>
      <c r="N1174" t="inlineStr"/>
      <c r="O1174">
        <f>(1-Summary!$B$11)*T1174+Summary!$B$11*V1174</f>
        <v/>
      </c>
      <c r="P1174">
        <f>IF(B1193=0,0,O1174/B1193)</f>
        <v/>
      </c>
      <c r="Q1174" t="n">
        <v>0</v>
      </c>
      <c r="R1174" t="n">
        <v>0</v>
      </c>
      <c r="S1174" t="n">
        <v>0</v>
      </c>
      <c r="T1174" t="n">
        <v>0</v>
      </c>
      <c r="V1174" t="n">
        <v>0</v>
      </c>
    </row>
    <row r="1175">
      <c r="A1175">
        <f>Skills!A24</f>
        <v/>
      </c>
      <c r="B1175">
        <f>Skills!B24</f>
        <v/>
      </c>
      <c r="C1175">
        <f>Inputs!$B$3&gt;=75</f>
        <v/>
      </c>
      <c r="D1175">
        <f>IF(Skills!C24=1,60+Inputs!$B$25+Inputs!$B$29,IF(Skills!C24=2,90+Inputs!$B$26+Inputs!$B$29,IF(Skills!C24=3,120+Inputs!$B$27+Inputs!$B$29,MAX(0,(Inputs!$B$3-100)*3)+Inputs!$B$28+Inputs!$B$29)))</f>
        <v/>
      </c>
      <c r="E1175">
        <f>INDEX(FactorTable!$B$2:$Y$301, MATCH(ROUND(MIN(300,MAX(1,D1175)),0), FactorTable!$A$2:$A$301,0), Skills!M24+1)</f>
        <v/>
      </c>
      <c r="F1175">
        <f>IF(Skills!N24=TRUE,(Skills!L24/10)*(E1175/1000),Skills!L24/10)+Skills!O24</f>
        <v/>
      </c>
      <c r="G1175">
        <f>Skills!G24*IF(Skills!H24&gt;0,Skills!I24/Skills!H24,1)</f>
        <v/>
      </c>
      <c r="H1175">
        <f>1-(1-Skills!J24/100)^Skills!K24</f>
        <v/>
      </c>
      <c r="I1175" t="inlineStr">
        <is>
          <t>1</t>
        </is>
      </c>
      <c r="J1175" t="inlineStr"/>
      <c r="K1175" t="inlineStr"/>
      <c r="L1175" t="inlineStr"/>
      <c r="M1175" t="inlineStr"/>
      <c r="N1175" t="inlineStr"/>
      <c r="O1175">
        <f>(1-Summary!$B$11)*T1175+Summary!$B$11*V1175</f>
        <v/>
      </c>
      <c r="P1175">
        <f>IF(B1193=0,0,O1175/B1193)</f>
        <v/>
      </c>
      <c r="Q1175" t="n">
        <v>0</v>
      </c>
      <c r="R1175" t="n">
        <v>0</v>
      </c>
      <c r="S1175" t="n">
        <v>0</v>
      </c>
      <c r="T1175" t="n">
        <v>0</v>
      </c>
      <c r="V1175" t="n">
        <v>0</v>
      </c>
    </row>
    <row r="1176">
      <c r="A1176">
        <f>Skills!A25</f>
        <v/>
      </c>
      <c r="B1176">
        <f>Skills!B25</f>
        <v/>
      </c>
      <c r="C1176">
        <f>Inputs!$B$3&gt;=125</f>
        <v/>
      </c>
      <c r="D1176">
        <f>IF(Skills!C25=1,60+Inputs!$B$25+Inputs!$B$29,IF(Skills!C25=2,90+Inputs!$B$26+Inputs!$B$29,IF(Skills!C25=3,120+Inputs!$B$27+Inputs!$B$29,MAX(0,(Inputs!$B$3-100)*3)+Inputs!$B$28+Inputs!$B$29)))</f>
        <v/>
      </c>
      <c r="E1176">
        <f>INDEX(FactorTable!$B$2:$Y$301, MATCH(ROUND(MIN(300,MAX(1,D1176)),0), FactorTable!$A$2:$A$301,0), Skills!M25+1)</f>
        <v/>
      </c>
      <c r="F1176">
        <f>IF(Skills!N25=TRUE,(Skills!L25/10)*(E1176/1000),Skills!L25/10)+Skills!O25</f>
        <v/>
      </c>
      <c r="G1176">
        <f>Skills!G25*IF(Skills!H25&gt;0,Skills!I25/Skills!H25,1)</f>
        <v/>
      </c>
      <c r="H1176">
        <f>1-(1-Skills!J25/100)^Skills!K25</f>
        <v/>
      </c>
      <c r="I1176" t="inlineStr">
        <is>
          <t>1</t>
        </is>
      </c>
      <c r="J1176" t="inlineStr"/>
      <c r="K1176" t="inlineStr"/>
      <c r="L1176" t="inlineStr"/>
      <c r="M1176" t="inlineStr"/>
      <c r="N1176" t="inlineStr"/>
      <c r="O1176">
        <f>(1-Summary!$B$11)*T1176+Summary!$B$11*V1176</f>
        <v/>
      </c>
      <c r="P1176">
        <f>IF(B1193=0,0,O1176/B1193)</f>
        <v/>
      </c>
      <c r="Q1176" t="n">
        <v>0</v>
      </c>
      <c r="R1176" t="n">
        <v>0</v>
      </c>
      <c r="S1176" t="n">
        <v>0</v>
      </c>
      <c r="T1176" t="n">
        <v>0</v>
      </c>
      <c r="V1176" t="n">
        <v>0</v>
      </c>
    </row>
    <row r="1177">
      <c r="A1177">
        <f>Skills!A26</f>
        <v/>
      </c>
      <c r="B1177">
        <f>Skills!B26</f>
        <v/>
      </c>
      <c r="C1177">
        <f>Inputs!$B$3&gt;=125</f>
        <v/>
      </c>
      <c r="D1177">
        <f>IF(Skills!C26=1,60+Inputs!$B$25+Inputs!$B$29,IF(Skills!C26=2,90+Inputs!$B$26+Inputs!$B$29,IF(Skills!C26=3,120+Inputs!$B$27+Inputs!$B$29,MAX(0,(Inputs!$B$3-100)*3)+Inputs!$B$28+Inputs!$B$29)))</f>
        <v/>
      </c>
      <c r="E1177">
        <f>INDEX(FactorTable!$B$2:$Y$301, MATCH(ROUND(MIN(300,MAX(1,D1177)),0), FactorTable!$A$2:$A$301,0), Skills!M26+1)</f>
        <v/>
      </c>
      <c r="F1177">
        <f>IF(Skills!N26=TRUE,(Skills!L26/10)*(E1177/1000),Skills!L26/10)+Skills!O26</f>
        <v/>
      </c>
      <c r="G1177">
        <f>Skills!G26*IF(Skills!H26&gt;0,Skills!I26/Skills!H26,1)</f>
        <v/>
      </c>
      <c r="H1177">
        <f>1-(1-Skills!J26/100)^Skills!K26</f>
        <v/>
      </c>
      <c r="I1177" t="inlineStr">
        <is>
          <t>1</t>
        </is>
      </c>
      <c r="J1177" t="inlineStr"/>
      <c r="K1177" t="inlineStr"/>
      <c r="L1177" t="inlineStr"/>
      <c r="M1177" t="inlineStr"/>
      <c r="N1177" t="inlineStr"/>
      <c r="O1177">
        <f>(1-Summary!$B$11)*T1177+Summary!$B$11*V1177</f>
        <v/>
      </c>
      <c r="P1177">
        <f>IF(B1193=0,0,O1177/B1193)</f>
        <v/>
      </c>
      <c r="Q1177" t="n">
        <v>0</v>
      </c>
      <c r="R1177" t="n">
        <v>0</v>
      </c>
      <c r="S1177" t="n">
        <v>0</v>
      </c>
      <c r="T1177" t="n">
        <v>0</v>
      </c>
      <c r="V1177" t="n">
        <v>0</v>
      </c>
    </row>
    <row r="1178">
      <c r="A1178">
        <f>Skills!A27</f>
        <v/>
      </c>
      <c r="B1178">
        <f>Skills!B27</f>
        <v/>
      </c>
      <c r="C1178">
        <f>Inputs!$B$3&gt;=120</f>
        <v/>
      </c>
      <c r="D1178">
        <f>IF(Skills!C27=1,60+Inputs!$B$25+Inputs!$B$29,IF(Skills!C27=2,90+Inputs!$B$26+Inputs!$B$29,IF(Skills!C27=3,120+Inputs!$B$27+Inputs!$B$29,MAX(0,(Inputs!$B$3-100)*3)+Inputs!$B$28+Inputs!$B$29)))</f>
        <v/>
      </c>
      <c r="E1178">
        <f>INDEX(FactorTable!$B$2:$Y$301, MATCH(ROUND(MIN(300,MAX(1,D1178)),0), FactorTable!$A$2:$A$301,0), Skills!M27+1)</f>
        <v/>
      </c>
      <c r="F1178">
        <f>IF(Skills!N27=TRUE,(Skills!L27/10)*(E1178/1000),Skills!L27/10)+Skills!O27</f>
        <v/>
      </c>
      <c r="G1178">
        <f>Skills!G27*IF(Skills!H27&gt;0,Skills!I27/Skills!H27,1)</f>
        <v/>
      </c>
      <c r="H1178">
        <f>1-(1-Skills!J27/100)^Skills!K27</f>
        <v/>
      </c>
      <c r="I1178" t="inlineStr">
        <is>
          <t>1</t>
        </is>
      </c>
      <c r="J1178" t="inlineStr"/>
      <c r="K1178" t="inlineStr"/>
      <c r="L1178" t="inlineStr"/>
      <c r="M1178" t="inlineStr"/>
      <c r="N1178" t="inlineStr"/>
      <c r="O1178">
        <f>(1-Summary!$B$11)*T1178+Summary!$B$11*V1178</f>
        <v/>
      </c>
      <c r="P1178">
        <f>IF(B1193=0,0,O1178/B1193)</f>
        <v/>
      </c>
      <c r="Q1178" t="n">
        <v>0</v>
      </c>
      <c r="R1178" t="n">
        <v>0</v>
      </c>
      <c r="S1178" t="n">
        <v>0</v>
      </c>
      <c r="T1178" t="n">
        <v>0</v>
      </c>
      <c r="V1178" t="n">
        <v>0</v>
      </c>
    </row>
    <row r="1179">
      <c r="A1179">
        <f>Skills!A28</f>
        <v/>
      </c>
      <c r="B1179">
        <f>Skills!B28</f>
        <v/>
      </c>
      <c r="C1179">
        <f>Inputs!$B$3&gt;=120</f>
        <v/>
      </c>
      <c r="D1179">
        <f>IF(Skills!C28=1,60+Inputs!$B$25+Inputs!$B$29,IF(Skills!C28=2,90+Inputs!$B$26+Inputs!$B$29,IF(Skills!C28=3,120+Inputs!$B$27+Inputs!$B$29,MAX(0,(Inputs!$B$3-100)*3)+Inputs!$B$28+Inputs!$B$29)))</f>
        <v/>
      </c>
      <c r="E1179">
        <f>INDEX(FactorTable!$B$2:$Y$301, MATCH(ROUND(MIN(300,MAX(1,D1179)),0), FactorTable!$A$2:$A$301,0), Skills!M28+1)</f>
        <v/>
      </c>
      <c r="F1179">
        <f>IF(Skills!N28=TRUE,(Skills!L28/10)*(E1179/1000),Skills!L28/10)+Skills!O28</f>
        <v/>
      </c>
      <c r="G1179">
        <f>Skills!G28*IF(Skills!H28&gt;0,Skills!I28/Skills!H28,1)</f>
        <v/>
      </c>
      <c r="H1179">
        <f>1-(1-Skills!J28/100)^Skills!K28</f>
        <v/>
      </c>
      <c r="I1179" t="inlineStr">
        <is>
          <t>1</t>
        </is>
      </c>
      <c r="J1179" t="inlineStr"/>
      <c r="K1179" t="inlineStr"/>
      <c r="L1179" t="inlineStr"/>
      <c r="M1179" t="inlineStr"/>
      <c r="N1179" t="inlineStr"/>
      <c r="O1179">
        <f>(1-Summary!$B$11)*T1179+Summary!$B$11*V1179</f>
        <v/>
      </c>
      <c r="P1179">
        <f>IF(B1193=0,0,O1179/B1193)</f>
        <v/>
      </c>
      <c r="Q1179" t="n">
        <v>0</v>
      </c>
      <c r="R1179" t="n">
        <v>0</v>
      </c>
      <c r="S1179" t="n">
        <v>0</v>
      </c>
      <c r="T1179" t="n">
        <v>0</v>
      </c>
      <c r="V1179" t="n">
        <v>0</v>
      </c>
    </row>
    <row r="1180">
      <c r="A1180">
        <f>Skills!A29</f>
        <v/>
      </c>
      <c r="B1180">
        <f>Skills!B29</f>
        <v/>
      </c>
      <c r="C1180">
        <f>Inputs!$B$3&gt;=45</f>
        <v/>
      </c>
      <c r="D1180">
        <f>IF(Skills!C29=1,60+Inputs!$B$25+Inputs!$B$29,IF(Skills!C29=2,90+Inputs!$B$26+Inputs!$B$29,IF(Skills!C29=3,120+Inputs!$B$27+Inputs!$B$29,MAX(0,(Inputs!$B$3-100)*3)+Inputs!$B$28+Inputs!$B$29)))</f>
        <v/>
      </c>
      <c r="E1180">
        <f>INDEX(FactorTable!$B$2:$Y$301, MATCH(ROUND(MIN(300,MAX(1,D1180)),0), FactorTable!$A$2:$A$301,0), Skills!M29+1)</f>
        <v/>
      </c>
      <c r="F1180">
        <f>IF(Skills!N29=TRUE,(Skills!L29/10)*(E1180/1000),Skills!L29/10)+Skills!O29</f>
        <v/>
      </c>
      <c r="G1180">
        <f>Skills!G29*IF(Skills!H29&gt;0,Skills!I29/Skills!H29,1)</f>
        <v/>
      </c>
      <c r="H1180">
        <f>1-(1-Skills!J29/100)^Skills!K29</f>
        <v/>
      </c>
      <c r="I1180" t="inlineStr">
        <is>
          <t>1</t>
        </is>
      </c>
      <c r="J1180" t="inlineStr"/>
      <c r="K1180" t="inlineStr"/>
      <c r="L1180" t="inlineStr"/>
      <c r="M1180" t="inlineStr"/>
      <c r="N1180" t="inlineStr"/>
      <c r="O1180">
        <f>(1-Summary!$B$11)*T1180+Summary!$B$11*V1180</f>
        <v/>
      </c>
      <c r="P1180">
        <f>IF(B1193=0,0,O1180/B1193)</f>
        <v/>
      </c>
      <c r="Q1180" t="n">
        <v>0</v>
      </c>
      <c r="R1180" t="n">
        <v>0</v>
      </c>
      <c r="S1180" t="n">
        <v>0</v>
      </c>
      <c r="T1180" t="n">
        <v>0</v>
      </c>
      <c r="V1180" t="n">
        <v>0</v>
      </c>
    </row>
    <row r="1182">
      <c r="A1182" t="inlineStr">
        <is>
          <t>Attack% Bucket Multiplier</t>
        </is>
      </c>
      <c r="B1182">
        <f>(1+(((C1164=TRUE)*F1164)+((C1165=TRUE)*IF(Inputs!$B$38="pvp",F1165,(1-Summary!$B$11)*(F1165)+Summary!$B$11*(0)))+((C1166=TRUE)*F1166*IF(AND(Inputs!$B$38&lt;&gt;"pvp",Inputs!$B$43&gt;0),(((R1166-1)*(Skills!T15*(1+Inputs!$B$34/100))+MIN((Skills!T15*(1+Inputs!$B$34/100)),MAX(0,Inputs!$B$43-((R1166-1)*Skills!D15))))/Inputs!$B$43),IF(Inputs!$B$38="pvp",MIN((Skills!T15*(1+Inputs!$B$34/100)),15)/15,(Skills!T15*(1+Inputs!$B$34/100))/Skills!D15)))+((C1163=TRUE)*F1163)+((C1180=TRUE)*(F1180-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1183">
      <c r="A1183" t="inlineStr">
        <is>
          <t>Global Crit Rate Bonus %</t>
        </is>
      </c>
      <c r="B1183">
        <f>(C1167=TRUE)*20*IF(AND(Inputs!$B$38&lt;&gt;"pvp",Inputs!$B$43&gt;0),(((R1167-1)*(Skills!T16*(1+Inputs!$B$34/100))+MIN((Skills!T16*(1+Inputs!$B$34/100)),MAX(0,Inputs!$B$43-((R1167-1)*Skills!D16))))/Inputs!$B$43),IF(Inputs!$B$38="pvp",MIN((Skills!T16*(1+Inputs!$B$34/100)),15)/15,(Skills!T16*(1+Inputs!$B$34/100))/Skills!D16))</f>
        <v/>
      </c>
    </row>
    <row r="1184">
      <c r="A1184" t="inlineStr">
        <is>
          <t>Attack Speed Buff Bonus %</t>
        </is>
      </c>
      <c r="B1184">
        <f>((C1169=TRUE)*F1169*IF(AND(Inputs!$B$38&lt;&gt;"pvp",Inputs!$B$43&gt;0),(((R1169-1)*(Skills!T18*(1+Inputs!$B$34/100))+MIN((Skills!T18*(1+Inputs!$B$34/100)),MAX(0,Inputs!$B$43-((R1169-1)*Skills!D18))))/Inputs!$B$43),IF(Inputs!$B$38="pvp",MIN((Skills!T18*(1+Inputs!$B$34/100)),15)/15,(Skills!T18*(1+Inputs!$B$34/100))/Skills!D18)))</f>
        <v/>
      </c>
    </row>
    <row r="1185">
      <c r="A1185" t="inlineStr">
        <is>
          <t>Actions Per Second</t>
        </is>
      </c>
      <c r="B1185">
        <f>1+MIN(150,150*(1-(1-(Inputs!$B$11+((C1171=TRUE)*(F1171-Calc!F20))+((C1172=TRUE)*(F1172-Calc!F21)))/150)*(1-B1184/150)))/100</f>
        <v/>
      </c>
    </row>
    <row r="1186">
      <c r="A1186" t="inlineStr">
        <is>
          <t>Skill + Buff Cast Rate</t>
        </is>
      </c>
      <c r="B1186">
        <f>IF(AND(Inputs!$B$38&lt;&gt;"pvp",Inputs!$B$43&gt;0),SUMPRODUCT((Skills!E2:E29=TRUE)*(C1153:C1180=TRUE)*R1153:R1180*Skills!F2:F29)/Inputs!$B$43,SUMPRODUCT((Skills!E2:E29=TRUE)*(C1153:C1180=TRUE)*Q1153:Q1180*Skills!F2:F29))</f>
        <v/>
      </c>
    </row>
    <row r="1187">
      <c r="A1187" t="inlineStr">
        <is>
          <t>Empowered Piercing Arrow Casts Per Second</t>
        </is>
      </c>
      <c r="B1187">
        <f>MAX(0,B1185-B1186)</f>
        <v/>
      </c>
    </row>
    <row r="1188">
      <c r="A1188" t="inlineStr">
        <is>
          <t>Global Critical Damage Bonus % (Sharp Eyes)</t>
        </is>
      </c>
      <c r="B1188">
        <f>(C1167=TRUE)*F1167*IF(AND(Inputs!$B$38&lt;&gt;"pvp",Inputs!$B$43&gt;0),(((R1167-1)*(Skills!T16*(1+Inputs!$B$34/100))+MIN((Skills!T16*(1+Inputs!$B$34/100)),MAX(0,Inputs!$B$43-((R1167-1)*Skills!D16))))/Inputs!$B$43),IF(Inputs!$B$38="pvp",MIN((Skills!T16*(1+Inputs!$B$34/100)),15)/15,(Skills!T16*(1+Inputs!$B$34/100))/Skills!D16))</f>
        <v/>
      </c>
    </row>
    <row r="1189">
      <c r="A1189" t="inlineStr">
        <is>
          <t>Global Final Damage Bonus % (Mortal Blow + Last Man Standing conditional half)</t>
        </is>
      </c>
      <c r="B1189">
        <f>(C1168=TRUE)*F1168+((C1177=TRUE)*IF(Inputs!$B$38="pvp",F1177,(1-Summary!$B$11)*(F1177)+Summary!$B$11*(0)))</f>
        <v/>
      </c>
    </row>
    <row r="1190">
      <c r="A1190" t="inlineStr">
        <is>
          <t>Buff-Casting Startup Delay (s, fixed-duration only)</t>
        </is>
      </c>
      <c r="B1190">
        <f>IF(AND(Inputs!$B$38&lt;&gt;"pvp",Inputs!$B$43&gt;0),SUMPRODUCT((Skills!T2:T29&gt;0)*(Skills!E2:E29=TRUE)*(C1153:C1180=TRUE))/B1185,0)</f>
        <v/>
      </c>
    </row>
    <row r="1191">
      <c r="A1191" t="inlineStr">
        <is>
          <t>Boss-Only Total DPS (this block's swept value)</t>
        </is>
      </c>
      <c r="B1191">
        <f>SUM(T1153:T1180)</f>
        <v/>
      </c>
    </row>
    <row r="1192">
      <c r="A1192" t="inlineStr">
        <is>
          <t>Normal-Only Total DPS (this block's swept value)</t>
        </is>
      </c>
      <c r="B1192">
        <f>SUM(V1153:V1180)</f>
        <v/>
      </c>
    </row>
    <row r="1193">
      <c r="A1193" s="6" t="inlineStr">
        <is>
          <t>TOTAL DPS</t>
        </is>
      </c>
      <c r="B1193" s="6">
        <f>SUM(O1153:O1180)</f>
        <v/>
      </c>
    </row>
    <row r="1196">
      <c r="A1196" s="6" t="inlineStr">
        <is>
          <t>Stat: Buff Duration Increase %</t>
        </is>
      </c>
    </row>
    <row r="1197">
      <c r="A1197" s="5" t="inlineStr">
        <is>
          <t>Key</t>
        </is>
      </c>
      <c r="B1197" s="5" t="inlineStr">
        <is>
          <t>Name</t>
        </is>
      </c>
      <c r="C1197" s="5" t="inlineStr">
        <is>
          <t>Unlocked</t>
        </is>
      </c>
      <c r="D1197" s="5" t="inlineStr">
        <is>
          <t>InputLevel</t>
        </is>
      </c>
      <c r="E1197" s="5" t="inlineStr">
        <is>
          <t>Factor</t>
        </is>
      </c>
      <c r="F1197" s="5" t="inlineStr">
        <is>
          <t>CoefficientPercent</t>
        </is>
      </c>
      <c r="G1197" s="5" t="inlineStr">
        <is>
          <t>EffectiveHits</t>
        </is>
      </c>
      <c r="H1197" s="5" t="inlineStr">
        <is>
          <t>ProcProbability</t>
        </is>
      </c>
      <c r="I1197" s="5" t="inlineStr">
        <is>
          <t>MapleHeroMultiplier</t>
        </is>
      </c>
      <c r="J1197" s="5" t="inlineStr">
        <is>
          <t>BaseDamage</t>
        </is>
      </c>
      <c r="K1197" s="5" t="inlineStr">
        <is>
          <t>BaseHitDamage</t>
        </is>
      </c>
      <c r="L1197" s="5" t="inlineStr">
        <is>
          <t>NonCritAvg</t>
        </is>
      </c>
      <c r="M1197" s="5" t="inlineStr">
        <is>
          <t>CritAvg</t>
        </is>
      </c>
      <c r="N1197" s="5" t="inlineStr">
        <is>
          <t>ExpectedDamage(perHit)</t>
        </is>
      </c>
      <c r="O1197" s="5" t="inlineStr">
        <is>
          <t>DPS</t>
        </is>
      </c>
      <c r="P1197" s="5" t="inlineStr">
        <is>
          <t>% of Total</t>
        </is>
      </c>
      <c r="Q1197" s="5" t="inlineStr">
        <is>
          <t>InvCooldown</t>
        </is>
      </c>
      <c r="R1197" s="5" t="inlineStr">
        <is>
          <t>CastsInFight</t>
        </is>
      </c>
      <c r="S1197" s="5" t="inlineStr">
        <is>
          <t>HitRate(perSec)</t>
        </is>
      </c>
      <c r="U1197" t="inlineStr">
        <is>
          <t>helpers</t>
        </is>
      </c>
    </row>
    <row r="1198">
      <c r="A1198">
        <f>Skills!A2</f>
        <v/>
      </c>
      <c r="B1198">
        <f>Skills!B2</f>
        <v/>
      </c>
      <c r="C1198">
        <f>Inputs!$B$3&gt;=100</f>
        <v/>
      </c>
      <c r="D1198" t="inlineStr"/>
      <c r="E1198" t="inlineStr"/>
      <c r="F1198">
        <f>U1200+Skills!O2</f>
        <v/>
      </c>
      <c r="G1198">
        <f>Skills!G2*IF(Skills!H2&gt;0,Skills!I2/Skills!H2,1)</f>
        <v/>
      </c>
      <c r="H1198">
        <f>1-(1-Skills!J2/100)^Skills!K2</f>
        <v/>
      </c>
      <c r="I1198" t="inlineStr">
        <is>
          <t>1</t>
        </is>
      </c>
      <c r="J1198">
        <f>((Inputs!$B$6*(1+Inputs!$B$7/100))+(((Inputs!$B$12*(1+Inputs!$B$13/100))-(Inputs!$B$12*(1+Inputs!$B$13/100)))+0.25*(Inputs!$B$14-Inputs!$B$14))*(1+Inputs!$B$7/100))*(F1198/100)</f>
        <v/>
      </c>
      <c r="K1198">
        <f>J1198*(1+((Inputs!$B$12*(1+Inputs!$B$13/100))*0.01+Inputs!$B$14*0.0025)/100)*(1+Inputs!$B$15/100)*(1+Inputs!$B$16/100)*(5000/(6000+Inputs!$B$42*(1-(100*(1-(1-(Inputs!$B$19+0)/100)*(1-CHOOSE(ArtifactsInput!$N$40+1,5,6,7,8,9,10)/100)^(ArtifactsInput!$M$40-ArtifactsInput!$M$40)))/100)))*(1+(Inputs!$B$24+((C1220=TRUE)*(F1220-Calc!F24))+((C1221=TRUE)*(F1221-Calc!F25))+B1234)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EMPOWERED_PIERCING_ARROW",Inputs!$B$17+((C1218=TRUE)*(F1218-Calc!F22))+(((IF(AND(ArtifactsInput!$M$42,((Inputs!$B$9+((C1215=TRUE)*(F1215-Calc!F19))+B1228+(ArtifactsInput!$M$24-ArtifactsInput!$M$24)*CHOOSE(ArtifactsInput!$N$24+1,10,12,14,16,18,20)+IF(ArtifactsInput!$M$10,CHOOSE(ArtifactsInput!$N$10+1,15,18,21,24,27,30)*(IF(Inputs!$B$38="pvp",MIN(15,15)/15,IF(AND(Inputs!$B$38&lt;&gt;"pvp",Inputs!$B$43&gt;0),MIN(15,Inputs!$B$43)/(Inputs!$B$43),0))),0)))&gt;=100),MIN(100,((Inputs!$B$9+((C1215=TRUE)*(F1215-Calc!F19))+B1228+(ArtifactsInput!$M$24-ArtifactsInput!$M$24)*CHOOSE(ArtifactsInput!$N$24+1,10,12,14,16,18,20)+IF(ArtifactsInput!$M$10,CHOOSE(ArtifactsInput!$N$10+1,15,18,21,24,27,30)*(IF(Inputs!$B$38="pvp",MIN(15,15)/15,IF(AND(Inputs!$B$38&lt;&gt;"pvp",Inputs!$B$43&gt;0),MIN(15,Inputs!$B$43)/(Inputs!$B$43),0))),0)))-100),0))*CHOOSE(ArtifactsInput!$N$42+1,0.6,0.72,0.84,0.96,1.08,1.2))),Inputs!$B$18+((C1223=TRUE)*(F1223-Calc!F27))+(IF(AND(ArtifactsInput!$M$42,((Inputs!$B$9+((C1215=TRUE)*(F1215-Calc!F19))+B1228+(ArtifactsInput!$M$24-ArtifactsInput!$M$24)*CHOOSE(ArtifactsInput!$N$24+1,10,12,14,16,18,20)+IF(ArtifactsInput!$M$10,CHOOSE(ArtifactsInput!$N$10+1,15,18,21,24,27,30)*(IF(Inputs!$B$38="pvp",MIN(15,15)/15,IF(AND(Inputs!$B$38&lt;&gt;"pvp",Inputs!$B$43&gt;0),MIN(15,Inputs!$B$43)/(Inputs!$B$43),0))),0)))&gt;=100),CHOOSE(ArtifactsInput!$N$42+1,40,48,56,64,72,80),0))))/100)*((1+(((C1209=TRUE)*F1209)+((C1210=TRUE)*IF(Inputs!$B$38="pvp",F1210,(1-Summary!$B$11)*(F1210)+Summary!$B$11*(0)))+((C1211=TRUE)*F1211*IF(AND(Inputs!$B$38&lt;&gt;"pvp",Inputs!$B$43&gt;0),(((R1211-1)*(Skills!T15*(1+(Inputs!$B$34+1)/100))+MIN((Skills!T15*(1+(Inputs!$B$34+1)/100)),MAX(0,Inputs!$B$43-((R1211-1)*Skills!D15))))/Inputs!$B$43),IF(Inputs!$B$38="pvp",MIN((Skills!T15*(1+(Inputs!$B$34+1)/100)),15)/15,(Skills!T15*(1+(Inputs!$B$34+1)/100))/Skills!D15)))+((C1208=TRUE)*F1208)+((C1225=TRUE)*(F1225-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1198)</f>
        <v/>
      </c>
      <c r="L1198">
        <f>K1198*(MIN(Inputs!$B$22+((C1219=TRUE)*(F1219-Calc!F23)),(Inputs!$B$23+((C1224=TRUE)*(F1224-Calc!F28))+(IF(ArtifactsInput!$M$15,CHOOSE(ArtifactsInput!$N$15+1,25,30,35,40,45,50)/100*(Inputs!$B$11-Inputs!$B$11),0))))/100+(Inputs!$B$23+((C1224=TRUE)*(F1224-Calc!F28))+(IF(ArtifactsInput!$M$15,CHOOSE(ArtifactsInput!$N$15+1,25,30,35,40,45,50)/100*(Inputs!$B$11-Inputs!$B$11),0)))/100)/2</f>
        <v/>
      </c>
      <c r="M1198">
        <f>L1198*(1+(Inputs!$B$10+0+B1233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198">
        <f>L1198*(1-MIN((Inputs!$B$9+((C1215=TRUE)*(F1215-Calc!F19))+B1228+(ArtifactsInput!$M$24-ArtifactsInput!$M$24)*CHOOSE(ArtifactsInput!$N$24+1,10,12,14,16,18,20)+(IF(AND(ArtifactsInput!$M$42,((Inputs!$B$9+((C1215=TRUE)*(F1215-Calc!F19))+B1228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1198*(MIN((Inputs!$B$9+((C1215=TRUE)*(F1215-Calc!F19))+B1228+(ArtifactsInput!$M$24-ArtifactsInput!$M$24)*CHOOSE(ArtifactsInput!$N$24+1,10,12,14,16,18,20)+(IF(AND(ArtifactsInput!$M$42,((Inputs!$B$9+((C1215=TRUE)*(F1215-Calc!F19))+B1228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198">
        <f>(1-Summary!$B$11)*T1198+Summary!$B$11*V1198</f>
        <v/>
      </c>
      <c r="P1198">
        <f>IF(B1238=0,0,O1198/B1238)</f>
        <v/>
      </c>
      <c r="Q1198" t="n">
        <v>0</v>
      </c>
      <c r="R1198" t="n">
        <v>0</v>
      </c>
      <c r="S1198">
        <f>IFERROR((Skills!G2*N1198*B1232)/N1198*IF(Inputs!$B$38="pvp",1,(1-Summary!$B$11)*1+Summary!$B$11*(MIN((6+Inputs!$B$33),Inputs!$B$37))),0)</f>
        <v/>
      </c>
      <c r="T1198">
        <f>IF(C1198,(Skills!G2*N1198*B1232)*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Hunt"),CHOOSE(ArtifactsInput!$N$35+1,15,18,21,24,27,30)*(1-EXP(-(0.2*B1230)*5)),0)+IF(AND(ArtifactsInput!$M$22,Inputs!$B$4&lt;&gt;"Chapter Hunt"),CHOOSE(ArtifactsInput!$N$22+1,10,12,14,16,18,20)*((0*(((0.15*B1230*5))^0/1)+1*(((0.15*B1230*5))^1/1)+2*(((0.15*B1230*5))^2/2)+3*(((0.15*B1230*5))^3/6)+4*(((0.15*B1230*5))^4/24)+5*(((0.15*B1230*5))^5/120))/((((0.15*B1230*5))^0/1)+(((0.15*B1230*5))^1/1)+(((0.15*B1230*5))^2/2)+(((0.15*B1230*5))^3/6)+(((0.15*B1230*5))^4/24)+(((0.15*B1230*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1198*(1-MIN(100,(Inputs!$B$9+((C1215=TRUE)*(F1215-Calc!F19))+B1228+(ArtifactsInput!$M$24-ArtifactsInput!$M$24)*CHOOSE(ArtifactsInput!$N$24+1,10,12,14,16,18,20)+(IF(AND(ArtifactsInput!$M$42,((Inputs!$B$9+((C1215=TRUE)*(F1215-Calc!F19))+B1228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1198*(MIN(100,(Inputs!$B$9+((C1215=TRUE)*(F1215-Calc!F19))+B1228+(ArtifactsInput!$M$24-ArtifactsInput!$M$24)*CHOOSE(ArtifactsInput!$N$24+1,10,12,14,16,18,20)+(IF(AND(ArtifactsInput!$M$42,((Inputs!$B$9+((C1215=TRUE)*(F1215-Calc!F19))+B1228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1198*(1-MIN(100,(Inputs!$B$9+((C1215=TRUE)*(F1215-Calc!F19))+B1228+(ArtifactsInput!$M$24-ArtifactsInput!$M$24)*CHOOSE(ArtifactsInput!$N$24+1,10,12,14,16,18,20)+(IF(AND(ArtifactsInput!$M$42,((Inputs!$B$9+((C1215=TRUE)*(F1215-Calc!F19))+B1228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1198*(MIN(100,(Inputs!$B$9+((C1215=TRUE)*(F1215-Calc!F19))+B1228+(ArtifactsInput!$M$24-ArtifactsInput!$M$24)*CHOOSE(ArtifactsInput!$N$24+1,10,12,14,16,18,20)+(IF(AND(ArtifactsInput!$M$42,((Inputs!$B$9+((C1215=TRUE)*(F1215-Calc!F19))+B1228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198">
        <f>MAX(0,(Inputs!$B$3-100)*3)+Inputs!$B$28+Inputs!$B$29</f>
        <v/>
      </c>
      <c r="V1198">
        <f>IF(C1198,(Skills!G2*N1198*B1232)*IF(Inputs!$B$38="pvp",1,(1+(Inputs!$B$21+Skills!Q2+(IF(ArtifactsInput!$M$33,CHOOSE(ArtifactsInput!$N$33+1,30,36,42,48,54,60),0))+(IF(AND(ArtifactsInput!$M$35,Inputs!$B$4&lt;&gt;"Chapter Hunt"),CHOOSE(ArtifactsInput!$N$35+1,15,18,21,24,27,30)*(1-EXP(-(0.2*B1230)*5)),0)+IF(AND(ArtifactsInput!$M$22,Inputs!$B$4&lt;&gt;"Chapter Hunt"),CHOOSE(ArtifactsInput!$N$22+1,10,12,14,16,18,20)*((0*(((0.15*B1230*5))^0/1)+1*(((0.15*B1230*5))^1/1)+2*(((0.15*B1230*5))^2/2)+3*(((0.15*B1230*5))^3/6)+4*(((0.15*B1230*5))^4/24)+5*(((0.15*B1230*5))^5/120))/((((0.15*B1230*5))^0/1)+(((0.15*B1230*5))^1/1)+(((0.15*B1230*5))^2/2)+(((0.15*B1230*5))^3/6)+(((0.15*B1230*5))^4/24)+(((0.15*B1230*5))^5/120)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199">
      <c r="A1199">
        <f>Skills!A3</f>
        <v/>
      </c>
      <c r="B1199">
        <f>Skills!B3</f>
        <v/>
      </c>
      <c r="C1199">
        <f>Inputs!$B$3&gt;=50</f>
        <v/>
      </c>
      <c r="D1199">
        <f>IF(Skills!C3=1,60+Inputs!$B$25+Inputs!$B$29,IF(Skills!C3=2,90+Inputs!$B$26+Inputs!$B$29,IF(Skills!C3=3,120+Inputs!$B$27+Inputs!$B$29,MAX(0,(Inputs!$B$3-100)*3)+Inputs!$B$28+Inputs!$B$29)))</f>
        <v/>
      </c>
      <c r="E1199">
        <f>INDEX(FactorTable!$B$2:$Y$301, MATCH(ROUND(MIN(300,MAX(1,D1199)),0), FactorTable!$A$2:$A$301,0), Skills!M3+1)</f>
        <v/>
      </c>
      <c r="F1199">
        <f>IF(Skills!N3=TRUE,(Skills!L3/10)*(E1199/1000),Skills!L3/10)+Skills!O3</f>
        <v/>
      </c>
      <c r="G1199" t="inlineStr"/>
      <c r="H1199" t="inlineStr"/>
      <c r="I1199" t="inlineStr">
        <is>
          <t>1</t>
        </is>
      </c>
      <c r="J1199" t="inlineStr"/>
      <c r="K1199" t="inlineStr"/>
      <c r="L1199" t="inlineStr"/>
      <c r="M1199" t="inlineStr"/>
      <c r="N1199" t="inlineStr"/>
      <c r="O1199" t="inlineStr"/>
      <c r="P1199" t="inlineStr"/>
      <c r="Q1199" t="inlineStr"/>
      <c r="R1199" t="inlineStr"/>
      <c r="S1199" t="inlineStr"/>
      <c r="T1199" t="inlineStr"/>
      <c r="U1199">
        <f>INDEX(FactorTable!$B$2:$Y$301, MATCH(ROUND(MIN(300,MAX(1,U1198)),0), FactorTable!$A$2:$A$301,0), 22)</f>
        <v/>
      </c>
      <c r="V1199" t="inlineStr"/>
    </row>
    <row r="1200">
      <c r="A1200">
        <f>Skills!A4</f>
        <v/>
      </c>
      <c r="B1200">
        <f>Skills!B4</f>
        <v/>
      </c>
      <c r="C1200">
        <f>Inputs!$B$3&gt;=105</f>
        <v/>
      </c>
      <c r="D1200">
        <f>IF(Skills!C4=1,60+Inputs!$B$25+Inputs!$B$29,IF(Skills!C4=2,90+Inputs!$B$26+Inputs!$B$29,IF(Skills!C4=3,120+Inputs!$B$27+Inputs!$B$29,MAX(0,(Inputs!$B$3-100)*3)+Inputs!$B$28+Inputs!$B$29)))</f>
        <v/>
      </c>
      <c r="E1200">
        <f>INDEX(FactorTable!$B$2:$Y$301, MATCH(ROUND(MIN(300,MAX(1,D1200)),0), FactorTable!$A$2:$A$301,0), Skills!M4+1)</f>
        <v/>
      </c>
      <c r="F1200">
        <f>IF(Skills!N4=TRUE,(Skills!L4/10)*(E1200/1000),Skills!L4/10)+Skills!O4</f>
        <v/>
      </c>
      <c r="G1200" t="inlineStr"/>
      <c r="H1200" t="inlineStr"/>
      <c r="I1200" t="inlineStr">
        <is>
          <t>1</t>
        </is>
      </c>
      <c r="J1200" t="inlineStr"/>
      <c r="K1200" t="inlineStr"/>
      <c r="L1200" t="inlineStr"/>
      <c r="M1200" t="inlineStr"/>
      <c r="N1200" t="inlineStr"/>
      <c r="O1200" t="inlineStr"/>
      <c r="P1200" t="inlineStr"/>
      <c r="Q1200" t="inlineStr"/>
      <c r="R1200" t="inlineStr"/>
      <c r="S1200" t="inlineStr"/>
      <c r="T1200" t="inlineStr"/>
      <c r="U1200">
        <f>290*U1199/1000</f>
        <v/>
      </c>
      <c r="V1200" t="inlineStr"/>
    </row>
    <row r="1201">
      <c r="A1201">
        <f>Skills!A5</f>
        <v/>
      </c>
      <c r="B1201">
        <f>Skills!B5</f>
        <v/>
      </c>
      <c r="C1201">
        <f>Inputs!$B$3&gt;=35</f>
        <v/>
      </c>
      <c r="D1201">
        <f>IF(Skills!C5=1,60+Inputs!$B$25+Inputs!$B$29,IF(Skills!C5=2,90+Inputs!$B$26+Inputs!$B$29,IF(Skills!C5=3,120+Inputs!$B$27+Inputs!$B$29,MAX(0,(Inputs!$B$3-100)*3)+Inputs!$B$28+Inputs!$B$29)))</f>
        <v/>
      </c>
      <c r="E1201">
        <f>INDEX(FactorTable!$B$2:$Y$301, MATCH(ROUND(MIN(300,MAX(1,D1201)),0), FactorTable!$A$2:$A$301,0), Skills!M5+1)</f>
        <v/>
      </c>
      <c r="F1201">
        <f>IF(Skills!N5=TRUE,(Skills!L5/10)*(E1201/1000),Skills!L5/10)+Skills!O5</f>
        <v/>
      </c>
      <c r="G1201">
        <f>Skills!G5*IF(Skills!H5&gt;0,Skills!I5/Skills!H5,1)</f>
        <v/>
      </c>
      <c r="H1201">
        <f>1-(1-Skills!J5/100)^Skills!K5</f>
        <v/>
      </c>
      <c r="I1201" t="inlineStr">
        <is>
          <t>1</t>
        </is>
      </c>
      <c r="J1201">
        <f>((Inputs!$B$6*(1+Inputs!$B$7/100))+(((Inputs!$B$12*(1+Inputs!$B$13/100))-(Inputs!$B$12*(1+Inputs!$B$13/100)))+0.25*(Inputs!$B$14-Inputs!$B$14))*(1+Inputs!$B$7/100))*(F1201/100)</f>
        <v/>
      </c>
      <c r="K1201">
        <f>J1201*(1+((Inputs!$B$12*(1+Inputs!$B$13/100))*0.01+Inputs!$B$14*0.0025)/100)*(1+Inputs!$B$15/100)*(1+Inputs!$B$16/100)*(5000/(6000+Inputs!$B$42*(1-(100*(1-(1-(Inputs!$B$19+0)/100)*(1-CHOOSE(ArtifactsInput!$N$40+1,5,6,7,8,9,10)/100)^(ArtifactsInput!$M$40-ArtifactsInput!$M$40)))/100)))*(1+(Inputs!$B$24+((C1220=TRUE)*(F1220-Calc!F24))+((C1221=TRUE)*(F1221-Calc!F25))+B1234)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1204=TRUE,F1204,0)/100)*(1+(IF(Skills!A5="EMPOWERED_PIERCING_ARROW",Inputs!$B$17+((C1218=TRUE)*(F1218-Calc!F22))+(((IF(AND(ArtifactsInput!$M$42,((Inputs!$B$9+((C1215=TRUE)*(F1215-Calc!F19))+B1228+(ArtifactsInput!$M$24-ArtifactsInput!$M$24)*CHOOSE(ArtifactsInput!$N$24+1,10,12,14,16,18,20)+IF(ArtifactsInput!$M$10,CHOOSE(ArtifactsInput!$N$10+1,15,18,21,24,27,30)*(IF(Inputs!$B$38="pvp",MIN(15,15)/15,IF(AND(Inputs!$B$38&lt;&gt;"pvp",Inputs!$B$43&gt;0),MIN(15,Inputs!$B$43)/(Inputs!$B$43),0))),0)))&gt;=100),MIN(100,((Inputs!$B$9+((C1215=TRUE)*(F1215-Calc!F19))+B1228+(ArtifactsInput!$M$24-ArtifactsInput!$M$24)*CHOOSE(ArtifactsInput!$N$24+1,10,12,14,16,18,20)+IF(ArtifactsInput!$M$10,CHOOSE(ArtifactsInput!$N$10+1,15,18,21,24,27,30)*(IF(Inputs!$B$38="pvp",MIN(15,15)/15,IF(AND(Inputs!$B$38&lt;&gt;"pvp",Inputs!$B$43&gt;0),MIN(15,Inputs!$B$43)/(Inputs!$B$43),0))),0)))-100),0))*CHOOSE(ArtifactsInput!$N$42+1,0.6,0.72,0.84,0.96,1.08,1.2))),Inputs!$B$18+((C1223=TRUE)*(F1223-Calc!F27))+(IF(AND(ArtifactsInput!$M$42,((Inputs!$B$9+((C1215=TRUE)*(F1215-Calc!F19))+B1228+(ArtifactsInput!$M$24-ArtifactsInput!$M$24)*CHOOSE(ArtifactsInput!$N$24+1,10,12,14,16,18,20)+IF(ArtifactsInput!$M$10,CHOOSE(ArtifactsInput!$N$10+1,15,18,21,24,27,30)*(IF(Inputs!$B$38="pvp",MIN(15,15)/15,IF(AND(Inputs!$B$38&lt;&gt;"pvp",Inputs!$B$43&gt;0),MIN(15,Inputs!$B$43)/(Inputs!$B$43),0))),0)))&gt;=100),CHOOSE(ArtifactsInput!$N$42+1,40,48,56,64,72,80),0))))/100)*((1+(((C1209=TRUE)*F1209)+((C1210=TRUE)*IF(Inputs!$B$38="pvp",F1210,(1-Summary!$B$11)*(F1210)+Summary!$B$11*(0)))+((C1211=TRUE)*F1211*IF(AND(Inputs!$B$38&lt;&gt;"pvp",Inputs!$B$43&gt;0),(((R1211-1)*(Skills!T15*(1+(Inputs!$B$34+1)/100))+MIN((Skills!T15*(1+(Inputs!$B$34+1)/100)),MAX(0,Inputs!$B$43-((R1211-1)*Skills!D15))))/Inputs!$B$43),IF(Inputs!$B$38="pvp",MIN((Skills!T15*(1+(Inputs!$B$34+1)/100)),15)/15,(Skills!T15*(1+(Inputs!$B$34+1)/100))/Skills!D15)))+((C1208=TRUE)*F1208)+((C1225=TRUE)*(F1225-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1201)</f>
        <v/>
      </c>
      <c r="L1201">
        <f>K1201*(MIN(Inputs!$B$22+((C1219=TRUE)*(F1219-Calc!F23)),(Inputs!$B$23+((C1224=TRUE)*(F1224-Calc!F28))+(IF(ArtifactsInput!$M$15,CHOOSE(ArtifactsInput!$N$15+1,25,30,35,40,45,50)/100*(Inputs!$B$11-Inputs!$B$11),0))))/100+(Inputs!$B$23+((C1224=TRUE)*(F1224-Calc!F28))+(IF(ArtifactsInput!$M$15,CHOOSE(ArtifactsInput!$N$15+1,25,30,35,40,45,50)/100*(Inputs!$B$11-Inputs!$B$11),0)))/100)/2</f>
        <v/>
      </c>
      <c r="M1201">
        <f>L1201*(1+(Inputs!$B$10+0+B1233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201">
        <f>L1201*(1-MIN((Inputs!$B$9+((C1215=TRUE)*(F1215-Calc!F19))+B1228+(ArtifactsInput!$M$24-ArtifactsInput!$M$24)*CHOOSE(ArtifactsInput!$N$24+1,10,12,14,16,18,20)+(IF(AND(ArtifactsInput!$M$42,((Inputs!$B$9+((C1215=TRUE)*(F1215-Calc!F19))+B1228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1201*(MIN((Inputs!$B$9+((C1215=TRUE)*(F1215-Calc!F19))+B1228+(ArtifactsInput!$M$24-ArtifactsInput!$M$24)*CHOOSE(ArtifactsInput!$N$24+1,10,12,14,16,18,20)+(IF(AND(ArtifactsInput!$M$42,((Inputs!$B$9+((C1215=TRUE)*(F1215-Calc!F19))+B1228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201">
        <f>(1-Summary!$B$11)*T1201+Summary!$B$11*V1201</f>
        <v/>
      </c>
      <c r="P1201">
        <f>IF(B1238=0,0,O1201/B1238)</f>
        <v/>
      </c>
      <c r="Q1201">
        <f>IFERROR(1/IF(Inputs!$B$38="pvp",15,MAX(0.1,Skills!D5-IF(Skills!E5=TRUE,Inputs!$B$32,0))),0)</f>
        <v/>
      </c>
      <c r="R1201">
        <f>IF(AND(Inputs!$B$38&lt;&gt;"pvp",Inputs!$B$43&gt;0),IF(MAX(0,Inputs!$B$43-B1235)&lt;=0,0,(INT(MAX(0,Inputs!$B$43-B1235)/IF(Inputs!$B$38="pvp",15,MAX(0.1,Skills!D5-IF(Skills!E5=TRUE,Inputs!$B$32,0))))+1)),0)</f>
        <v/>
      </c>
      <c r="S1201">
        <f>IFERROR((H1201*N1201*IF(AND(Inputs!$B$38&lt;&gt;"pvp",Inputs!$B$43&gt;0),((Skills!G5*((R1201-1)*IF(Skills!H5&gt;0,Skills!I5/Skills!H5,1)+IF(Skills!H5&gt;0,MIN(Skills!I5,MAX(0,MAX(0,Inputs!$B$43-B1235)-((R1201-1)*IF(Inputs!$B$38="pvp",15,MAX(0.1,Skills!D5-IF(Skills!E5=TRUE,Inputs!$B$32,0))))))/Skills!H5,1)))/Inputs!$B$43),G1201*Q1201))/N1201*IF(Inputs!$B$38="pvp",1,(1-Summary!$B$11)*1+Summary!$B$11*(MIN(Skills!R5,Inputs!$B$37))),0)</f>
        <v/>
      </c>
      <c r="T1201">
        <f>IF(C1201,(H1201*N1201*IF(AND(Inputs!$B$38&lt;&gt;"pvp",Inputs!$B$43&gt;0),((Skills!G5*((R1201-1)*IF(Skills!H5&gt;0,Skills!I5/Skills!H5,1)+IF(Skills!H5&gt;0,MIN(Skills!I5,MAX(0,MAX(0,Inputs!$B$43-B1235)-((R1201-1)*IF(Inputs!$B$38="pvp",15,MAX(0.1,Skills!D5-IF(Skills!E5=TRUE,Inputs!$B$32,0))))))/Skills!H5,1)))/Inputs!$B$43),G1201*Q1201))*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Hunt"),CHOOSE(ArtifactsInput!$N$35+1,15,18,21,24,27,30)*(1-EXP(-(0.2*B1230)*5)),0)+IF(AND(ArtifactsInput!$M$22,Inputs!$B$4&lt;&gt;"Chapter Hunt"),CHOOSE(ArtifactsInput!$N$22+1,10,12,14,16,18,20)*((0*(((0.15*B1230*5))^0/1)+1*(((0.15*B1230*5))^1/1)+2*(((0.15*B1230*5))^2/2)+3*(((0.15*B1230*5))^3/6)+4*(((0.15*B1230*5))^4/24)+5*(((0.15*B1230*5))^5/120))/((((0.15*B1230*5))^0/1)+(((0.15*B1230*5))^1/1)+(((0.15*B1230*5))^2/2)+(((0.15*B1230*5))^3/6)+(((0.15*B1230*5))^4/24)+(((0.15*B1230*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1201*(1-MIN(100,(Inputs!$B$9+((C1215=TRUE)*(F1215-Calc!F19))+B1228+(ArtifactsInput!$M$24-ArtifactsInput!$M$24)*CHOOSE(ArtifactsInput!$N$24+1,10,12,14,16,18,20)+(IF(AND(ArtifactsInput!$M$42,((Inputs!$B$9+((C1215=TRUE)*(F1215-Calc!F19))+B1228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1201*(MIN(100,(Inputs!$B$9+((C1215=TRUE)*(F1215-Calc!F19))+B1228+(ArtifactsInput!$M$24-ArtifactsInput!$M$24)*CHOOSE(ArtifactsInput!$N$24+1,10,12,14,16,18,20)+(IF(AND(ArtifactsInput!$M$42,((Inputs!$B$9+((C1215=TRUE)*(F1215-Calc!F19))+B1228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1201*(1-MIN(100,(Inputs!$B$9+((C1215=TRUE)*(F1215-Calc!F19))+B1228+(ArtifactsInput!$M$24-ArtifactsInput!$M$24)*CHOOSE(ArtifactsInput!$N$24+1,10,12,14,16,18,20)+(IF(AND(ArtifactsInput!$M$42,((Inputs!$B$9+((C1215=TRUE)*(F1215-Calc!F19))+B1228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1201*(MIN(100,(Inputs!$B$9+((C1215=TRUE)*(F1215-Calc!F19))+B1228+(ArtifactsInput!$M$24-ArtifactsInput!$M$24)*CHOOSE(ArtifactsInput!$N$24+1,10,12,14,16,18,20)+(IF(AND(ArtifactsInput!$M$42,((Inputs!$B$9+((C1215=TRUE)*(F1215-Calc!F19))+B1228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201">
        <f>IF(C1201,(H1201*N1201*IF(AND(Inputs!$B$38&lt;&gt;"pvp",Inputs!$B$43&gt;0),((Skills!G5*((R1201-1)*IF(Skills!H5&gt;0,Skills!I5/Skills!H5,1)+IF(Skills!H5&gt;0,MIN(Skills!I5,MAX(0,MAX(0,Inputs!$B$43-B1235)-((R1201-1)*IF(Inputs!$B$38="pvp",15,MAX(0.1,Skills!D5-IF(Skills!E5=TRUE,Inputs!$B$32,0))))))/Skills!H5,1)))/Inputs!$B$43),G1201*Q1201))*IF(Inputs!$B$38="pvp",1,(1+(Inputs!$B$21+Skills!Q5+(IF(ArtifactsInput!$M$33,CHOOSE(ArtifactsInput!$N$33+1,30,36,42,48,54,60),0))+(IF(AND(ArtifactsInput!$M$35,Inputs!$B$4&lt;&gt;"Chapter Hunt"),CHOOSE(ArtifactsInput!$N$35+1,15,18,21,24,27,30)*(1-EXP(-(0.2*B1230)*5)),0)+IF(AND(ArtifactsInput!$M$22,Inputs!$B$4&lt;&gt;"Chapter Hunt"),CHOOSE(ArtifactsInput!$N$22+1,10,12,14,16,18,20)*((0*(((0.15*B1230*5))^0/1)+1*(((0.15*B1230*5))^1/1)+2*(((0.15*B1230*5))^2/2)+3*(((0.15*B1230*5))^3/6)+4*(((0.15*B1230*5))^4/24)+5*(((0.15*B1230*5))^5/120))/((((0.15*B1230*5))^0/1)+(((0.15*B1230*5))^1/1)+(((0.15*B1230*5))^2/2)+(((0.15*B1230*5))^3/6)+(((0.15*B1230*5))^4/24)+(((0.15*B1230*5))^5/120)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202">
      <c r="A1202">
        <f>Skills!A6</f>
        <v/>
      </c>
      <c r="B1202">
        <f>Skills!B6</f>
        <v/>
      </c>
      <c r="C1202">
        <f>Inputs!$B$3&gt;=63</f>
        <v/>
      </c>
      <c r="D1202">
        <f>IF(Skills!C6=1,60+Inputs!$B$25+Inputs!$B$29,IF(Skills!C6=2,90+Inputs!$B$26+Inputs!$B$29,IF(Skills!C6=3,120+Inputs!$B$27+Inputs!$B$29,MAX(0,(Inputs!$B$3-100)*3)+Inputs!$B$28+Inputs!$B$29)))</f>
        <v/>
      </c>
      <c r="E1202">
        <f>INDEX(FactorTable!$B$2:$Y$301, MATCH(ROUND(MIN(300,MAX(1,D1202)),0), FactorTable!$A$2:$A$301,0), Skills!M6+1)</f>
        <v/>
      </c>
      <c r="F1202">
        <f>IF(Skills!N6=TRUE,(Skills!L6/10)*(E1202/1000),Skills!L6/10)+Skills!O6</f>
        <v/>
      </c>
      <c r="G1202">
        <f>Skills!G6*IF(Skills!H6&gt;0,Skills!I6/Skills!H6,1)</f>
        <v/>
      </c>
      <c r="H1202">
        <f>1-(1-Skills!J6/100)^Skills!K6</f>
        <v/>
      </c>
      <c r="I1202" t="inlineStr">
        <is>
          <t>1</t>
        </is>
      </c>
      <c r="J1202">
        <f>((Inputs!$B$6*(1+Inputs!$B$7/100))+(((Inputs!$B$12*(1+Inputs!$B$13/100))-(Inputs!$B$12*(1+Inputs!$B$13/100)))+0.25*(Inputs!$B$14-Inputs!$B$14))*(1+Inputs!$B$7/100))*(F1202/100)</f>
        <v/>
      </c>
      <c r="K1202">
        <f>J1202*(1+((Inputs!$B$12*(1+Inputs!$B$13/100))*0.01+Inputs!$B$14*0.0025)/100)*(1+Inputs!$B$15/100)*(1+Inputs!$B$16/100)*(5000/(6000+Inputs!$B$42*(1-(100*(1-(1-(Inputs!$B$19+0)/100)*(1-CHOOSE(ArtifactsInput!$N$40+1,5,6,7,8,9,10)/100)^(ArtifactsInput!$M$40-ArtifactsInput!$M$40)))/100)))*(1+(Inputs!$B$24+((C1220=TRUE)*(F1220-Calc!F24))+((C1221=TRUE)*(F1221-Calc!F25))+B1234)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1204=TRUE,F1204,0)/100)*(1+(IF(Skills!A6="EMPOWERED_PIERCING_ARROW",Inputs!$B$17+((C1218=TRUE)*(F1218-Calc!F22))+(((IF(AND(ArtifactsInput!$M$42,((Inputs!$B$9+((C1215=TRUE)*(F1215-Calc!F19))+B1228+(ArtifactsInput!$M$24-ArtifactsInput!$M$24)*CHOOSE(ArtifactsInput!$N$24+1,10,12,14,16,18,20)+IF(ArtifactsInput!$M$10,CHOOSE(ArtifactsInput!$N$10+1,15,18,21,24,27,30)*(IF(Inputs!$B$38="pvp",MIN(15,15)/15,IF(AND(Inputs!$B$38&lt;&gt;"pvp",Inputs!$B$43&gt;0),MIN(15,Inputs!$B$43)/(Inputs!$B$43),0))),0)))&gt;=100),MIN(100,((Inputs!$B$9+((C1215=TRUE)*(F1215-Calc!F19))+B1228+(ArtifactsInput!$M$24-ArtifactsInput!$M$24)*CHOOSE(ArtifactsInput!$N$24+1,10,12,14,16,18,20)+IF(ArtifactsInput!$M$10,CHOOSE(ArtifactsInput!$N$10+1,15,18,21,24,27,30)*(IF(Inputs!$B$38="pvp",MIN(15,15)/15,IF(AND(Inputs!$B$38&lt;&gt;"pvp",Inputs!$B$43&gt;0),MIN(15,Inputs!$B$43)/(Inputs!$B$43),0))),0)))-100),0))*CHOOSE(ArtifactsInput!$N$42+1,0.6,0.72,0.84,0.96,1.08,1.2))),Inputs!$B$18+((C1223=TRUE)*(F1223-Calc!F27))+(IF(AND(ArtifactsInput!$M$42,((Inputs!$B$9+((C1215=TRUE)*(F1215-Calc!F19))+B1228+(ArtifactsInput!$M$24-ArtifactsInput!$M$24)*CHOOSE(ArtifactsInput!$N$24+1,10,12,14,16,18,20)+IF(ArtifactsInput!$M$10,CHOOSE(ArtifactsInput!$N$10+1,15,18,21,24,27,30)*(IF(Inputs!$B$38="pvp",MIN(15,15)/15,IF(AND(Inputs!$B$38&lt;&gt;"pvp",Inputs!$B$43&gt;0),MIN(15,Inputs!$B$43)/(Inputs!$B$43),0))),0)))&gt;=100),CHOOSE(ArtifactsInput!$N$42+1,40,48,56,64,72,80),0))))/100)*((1+(((C1209=TRUE)*F1209)+((C1210=TRUE)*IF(Inputs!$B$38="pvp",F1210,(1-Summary!$B$11)*(F1210)+Summary!$B$11*(0)))+((C1211=TRUE)*F1211*IF(AND(Inputs!$B$38&lt;&gt;"pvp",Inputs!$B$43&gt;0),(((R1211-1)*(Skills!T15*(1+(Inputs!$B$34+1)/100))+MIN((Skills!T15*(1+(Inputs!$B$34+1)/100)),MAX(0,Inputs!$B$43-((R1211-1)*Skills!D15))))/Inputs!$B$43),IF(Inputs!$B$38="pvp",MIN((Skills!T15*(1+(Inputs!$B$34+1)/100)),15)/15,(Skills!T15*(1+(Inputs!$B$34+1)/100))/Skills!D15)))+((C1208=TRUE)*F1208)+((C1225=TRUE)*(F1225-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1202)</f>
        <v/>
      </c>
      <c r="L1202">
        <f>K1202*(MIN(Inputs!$B$22+((C1219=TRUE)*(F1219-Calc!F23)),(Inputs!$B$23+((C1224=TRUE)*(F1224-Calc!F28))+(IF(ArtifactsInput!$M$15,CHOOSE(ArtifactsInput!$N$15+1,25,30,35,40,45,50)/100*(Inputs!$B$11-Inputs!$B$11),0))))/100+(Inputs!$B$23+((C1224=TRUE)*(F1224-Calc!F28))+(IF(ArtifactsInput!$M$15,CHOOSE(ArtifactsInput!$N$15+1,25,30,35,40,45,50)/100*(Inputs!$B$11-Inputs!$B$11),0)))/100)/2</f>
        <v/>
      </c>
      <c r="M1202">
        <f>L1202*(1+(Inputs!$B$10+0+B1233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202">
        <f>L1202*(1-MIN((Inputs!$B$9+((C1215=TRUE)*(F1215-Calc!F19))+B1228+(ArtifactsInput!$M$24-ArtifactsInput!$M$24)*CHOOSE(ArtifactsInput!$N$24+1,10,12,14,16,18,20)+(IF(AND(ArtifactsInput!$M$42,((Inputs!$B$9+((C1215=TRUE)*(F1215-Calc!F19))+B1228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1202*(MIN((Inputs!$B$9+((C1215=TRUE)*(F1215-Calc!F19))+B1228+(ArtifactsInput!$M$24-ArtifactsInput!$M$24)*CHOOSE(ArtifactsInput!$N$24+1,10,12,14,16,18,20)+(IF(AND(ArtifactsInput!$M$42,((Inputs!$B$9+((C1215=TRUE)*(F1215-Calc!F19))+B1228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202">
        <f>(1-Summary!$B$11)*T1202+Summary!$B$11*V1202</f>
        <v/>
      </c>
      <c r="P1202">
        <f>IF(B1238=0,0,O1202/B1238)</f>
        <v/>
      </c>
      <c r="Q1202">
        <f>IFERROR(1/IF(Inputs!$B$38="pvp",15,MAX(0.1,Skills!D6-IF(Skills!E6=TRUE,Inputs!$B$32,0))),0)</f>
        <v/>
      </c>
      <c r="R1202">
        <f>IF(AND(Inputs!$B$38&lt;&gt;"pvp",Inputs!$B$43&gt;0),IF(MAX(0,Inputs!$B$43-B1235)&lt;=0,0,(INT(MAX(0,Inputs!$B$43-B1235)/IF(Inputs!$B$38="pvp",15,MAX(0.1,Skills!D6-IF(Skills!E6=TRUE,Inputs!$B$32,0))))+1)),0)</f>
        <v/>
      </c>
      <c r="S1202">
        <f>IFERROR((H1202*N1202*IF(AND(Inputs!$B$38&lt;&gt;"pvp",Inputs!$B$43&gt;0),((Skills!G6*((R1202-1)*IF(Skills!H6&gt;0,Skills!I6/Skills!H6,1)+IF(Skills!H6&gt;0,MIN(Skills!I6,MAX(0,MAX(0,Inputs!$B$43-B1235)-((R1202-1)*IF(Inputs!$B$38="pvp",15,MAX(0.1,Skills!D6-IF(Skills!E6=TRUE,Inputs!$B$32,0))))))/Skills!H6,1)))/Inputs!$B$43),G1202*Q1202))/N1202*IF(Inputs!$B$38="pvp",1,(1-Summary!$B$11)*1+Summary!$B$11*(MIN(Skills!R6,Inputs!$B$37))),0)</f>
        <v/>
      </c>
      <c r="T1202">
        <f>IF(C1202,(H1202*N1202*IF(AND(Inputs!$B$38&lt;&gt;"pvp",Inputs!$B$43&gt;0),((Skills!G6*((R1202-1)*IF(Skills!H6&gt;0,Skills!I6/Skills!H6,1)+IF(Skills!H6&gt;0,MIN(Skills!I6,MAX(0,MAX(0,Inputs!$B$43-B1235)-((R1202-1)*IF(Inputs!$B$38="pvp",15,MAX(0.1,Skills!D6-IF(Skills!E6=TRUE,Inputs!$B$32,0))))))/Skills!H6,1)))/Inputs!$B$43),G1202*Q1202))*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Hunt"),CHOOSE(ArtifactsInput!$N$35+1,15,18,21,24,27,30)*(1-EXP(-(0.2*B1230)*5)),0)+IF(AND(ArtifactsInput!$M$22,Inputs!$B$4&lt;&gt;"Chapter Hunt"),CHOOSE(ArtifactsInput!$N$22+1,10,12,14,16,18,20)*((0*(((0.15*B1230*5))^0/1)+1*(((0.15*B1230*5))^1/1)+2*(((0.15*B1230*5))^2/2)+3*(((0.15*B1230*5))^3/6)+4*(((0.15*B1230*5))^4/24)+5*(((0.15*B1230*5))^5/120))/((((0.15*B1230*5))^0/1)+(((0.15*B1230*5))^1/1)+(((0.15*B1230*5))^2/2)+(((0.15*B1230*5))^3/6)+(((0.15*B1230*5))^4/24)+(((0.15*B1230*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1202*(1-MIN(100,(Inputs!$B$9+((C1215=TRUE)*(F1215-Calc!F19))+B1228+(ArtifactsInput!$M$24-ArtifactsInput!$M$24)*CHOOSE(ArtifactsInput!$N$24+1,10,12,14,16,18,20)+(IF(AND(ArtifactsInput!$M$42,((Inputs!$B$9+((C1215=TRUE)*(F1215-Calc!F19))+B1228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1202*(MIN(100,(Inputs!$B$9+((C1215=TRUE)*(F1215-Calc!F19))+B1228+(ArtifactsInput!$M$24-ArtifactsInput!$M$24)*CHOOSE(ArtifactsInput!$N$24+1,10,12,14,16,18,20)+(IF(AND(ArtifactsInput!$M$42,((Inputs!$B$9+((C1215=TRUE)*(F1215-Calc!F19))+B1228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1202*(1-MIN(100,(Inputs!$B$9+((C1215=TRUE)*(F1215-Calc!F19))+B1228+(ArtifactsInput!$M$24-ArtifactsInput!$M$24)*CHOOSE(ArtifactsInput!$N$24+1,10,12,14,16,18,20)+(IF(AND(ArtifactsInput!$M$42,((Inputs!$B$9+((C1215=TRUE)*(F1215-Calc!F19))+B1228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1202*(MIN(100,(Inputs!$B$9+((C1215=TRUE)*(F1215-Calc!F19))+B1228+(ArtifactsInput!$M$24-ArtifactsInput!$M$24)*CHOOSE(ArtifactsInput!$N$24+1,10,12,14,16,18,20)+(IF(AND(ArtifactsInput!$M$42,((Inputs!$B$9+((C1215=TRUE)*(F1215-Calc!F19))+B1228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202">
        <f>IF(C1202,(H1202*N1202*IF(AND(Inputs!$B$38&lt;&gt;"pvp",Inputs!$B$43&gt;0),((Skills!G6*((R1202-1)*IF(Skills!H6&gt;0,Skills!I6/Skills!H6,1)+IF(Skills!H6&gt;0,MIN(Skills!I6,MAX(0,MAX(0,Inputs!$B$43-B1235)-((R1202-1)*IF(Inputs!$B$38="pvp",15,MAX(0.1,Skills!D6-IF(Skills!E6=TRUE,Inputs!$B$32,0))))))/Skills!H6,1)))/Inputs!$B$43),G1202*Q1202))*IF(Inputs!$B$38="pvp",1,(1+(Inputs!$B$21+Skills!Q6+(IF(ArtifactsInput!$M$33,CHOOSE(ArtifactsInput!$N$33+1,30,36,42,48,54,60),0))+(IF(AND(ArtifactsInput!$M$35,Inputs!$B$4&lt;&gt;"Chapter Hunt"),CHOOSE(ArtifactsInput!$N$35+1,15,18,21,24,27,30)*(1-EXP(-(0.2*B1230)*5)),0)+IF(AND(ArtifactsInput!$M$22,Inputs!$B$4&lt;&gt;"Chapter Hunt"),CHOOSE(ArtifactsInput!$N$22+1,10,12,14,16,18,20)*((0*(((0.15*B1230*5))^0/1)+1*(((0.15*B1230*5))^1/1)+2*(((0.15*B1230*5))^2/2)+3*(((0.15*B1230*5))^3/6)+4*(((0.15*B1230*5))^4/24)+5*(((0.15*B1230*5))^5/120))/((((0.15*B1230*5))^0/1)+(((0.15*B1230*5))^1/1)+(((0.15*B1230*5))^2/2)+(((0.15*B1230*5))^3/6)+(((0.15*B1230*5))^4/24)+(((0.15*B1230*5))^5/120))),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203">
      <c r="A1203">
        <f>Skills!A7</f>
        <v/>
      </c>
      <c r="B1203">
        <f>Skills!B7</f>
        <v/>
      </c>
      <c r="C1203">
        <f>Inputs!$B$3&gt;=69</f>
        <v/>
      </c>
      <c r="D1203">
        <f>IF(Skills!C7=1,60+Inputs!$B$25+Inputs!$B$29,IF(Skills!C7=2,90+Inputs!$B$26+Inputs!$B$29,IF(Skills!C7=3,120+Inputs!$B$27+Inputs!$B$29,MAX(0,(Inputs!$B$3-100)*3)+Inputs!$B$28+Inputs!$B$29)))</f>
        <v/>
      </c>
      <c r="E1203">
        <f>INDEX(FactorTable!$B$2:$Y$301, MATCH(ROUND(MIN(300,MAX(1,D1203)),0), FactorTable!$A$2:$A$301,0), Skills!M7+1)</f>
        <v/>
      </c>
      <c r="F1203">
        <f>IF(Skills!N7=TRUE,(Skills!L7/10)*(E1203/1000),Skills!L7/10)+Skills!O7</f>
        <v/>
      </c>
      <c r="G1203">
        <f>Skills!G7*IF(Skills!H7&gt;0,Skills!I7/Skills!H7,1)</f>
        <v/>
      </c>
      <c r="H1203">
        <f>1-(1-Skills!J7/100)^Skills!K7</f>
        <v/>
      </c>
      <c r="I1203" t="inlineStr">
        <is>
          <t>1</t>
        </is>
      </c>
      <c r="J1203">
        <f>((Inputs!$B$6*(1+Inputs!$B$7/100))+(((Inputs!$B$12*(1+Inputs!$B$13/100))-(Inputs!$B$12*(1+Inputs!$B$13/100)))+0.25*(Inputs!$B$14-Inputs!$B$14))*(1+Inputs!$B$7/100))*(F1203/100)</f>
        <v/>
      </c>
      <c r="K1203">
        <f>J1203*(1+((Inputs!$B$12*(1+Inputs!$B$13/100))*0.01+Inputs!$B$14*0.0025)/100)*(1+Inputs!$B$15/100)*(1+Inputs!$B$16/100)*(5000/(6000+Inputs!$B$42*(1-(100*(1-(1-(Inputs!$B$19+0)/100)*(1-CHOOSE(ArtifactsInput!$N$40+1,5,6,7,8,9,10)/100)^(ArtifactsInput!$M$40-ArtifactsInput!$M$40)))/100)))*(1+(Inputs!$B$24+((C1220=TRUE)*(F1220-Calc!F24))+((C1221=TRUE)*(F1221-Calc!F25))+B1234)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+1.2*IF(C1204=TRUE,F1204,0)/100)*(1+(IF(Skills!A7="EMPOWERED_PIERCING_ARROW",Inputs!$B$17+((C1218=TRUE)*(F1218-Calc!F22))+(((IF(AND(ArtifactsInput!$M$42,((Inputs!$B$9+((C1215=TRUE)*(F1215-Calc!F19))+B1228+(ArtifactsInput!$M$24-ArtifactsInput!$M$24)*CHOOSE(ArtifactsInput!$N$24+1,10,12,14,16,18,20)+IF(ArtifactsInput!$M$10,CHOOSE(ArtifactsInput!$N$10+1,15,18,21,24,27,30)*(IF(Inputs!$B$38="pvp",MIN(15,15)/15,IF(AND(Inputs!$B$38&lt;&gt;"pvp",Inputs!$B$43&gt;0),MIN(15,Inputs!$B$43)/(Inputs!$B$43),0))),0)))&gt;=100),MIN(100,((Inputs!$B$9+((C1215=TRUE)*(F1215-Calc!F19))+B1228+(ArtifactsInput!$M$24-ArtifactsInput!$M$24)*CHOOSE(ArtifactsInput!$N$24+1,10,12,14,16,18,20)+IF(ArtifactsInput!$M$10,CHOOSE(ArtifactsInput!$N$10+1,15,18,21,24,27,30)*(IF(Inputs!$B$38="pvp",MIN(15,15)/15,IF(AND(Inputs!$B$38&lt;&gt;"pvp",Inputs!$B$43&gt;0),MIN(15,Inputs!$B$43)/(Inputs!$B$43),0))),0)))-100),0))*CHOOSE(ArtifactsInput!$N$42+1,0.6,0.72,0.84,0.96,1.08,1.2))),Inputs!$B$18+((C1223=TRUE)*(F1223-Calc!F27))+(IF(AND(ArtifactsInput!$M$42,((Inputs!$B$9+((C1215=TRUE)*(F1215-Calc!F19))+B1228+(ArtifactsInput!$M$24-ArtifactsInput!$M$24)*CHOOSE(ArtifactsInput!$N$24+1,10,12,14,16,18,20)+IF(ArtifactsInput!$M$10,CHOOSE(ArtifactsInput!$N$10+1,15,18,21,24,27,30)*(IF(Inputs!$B$38="pvp",MIN(15,15)/15,IF(AND(Inputs!$B$38&lt;&gt;"pvp",Inputs!$B$43&gt;0),MIN(15,Inputs!$B$43)/(Inputs!$B$43),0))),0)))&gt;=100),CHOOSE(ArtifactsInput!$N$42+1,40,48,56,64,72,80),0))))/100)*((1+(((C1209=TRUE)*F1209)+((C1210=TRUE)*IF(Inputs!$B$38="pvp",F1210,(1-Summary!$B$11)*(F1210)+Summary!$B$11*(0)))+((C1211=TRUE)*F1211*IF(AND(Inputs!$B$38&lt;&gt;"pvp",Inputs!$B$43&gt;0),(((R1211-1)*(Skills!T15*(1+(Inputs!$B$34+1)/100))+MIN((Skills!T15*(1+(Inputs!$B$34+1)/100)),MAX(0,Inputs!$B$43-((R1211-1)*Skills!D15))))/Inputs!$B$43),IF(Inputs!$B$38="pvp",MIN((Skills!T15*(1+(Inputs!$B$34+1)/100)),15)/15,(Skills!T15*(1+(Inputs!$B$34+1)/100))/Skills!D15)))+((C1208=TRUE)*F1208)+((C1225=TRUE)*(F1225-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1203)</f>
        <v/>
      </c>
      <c r="L1203">
        <f>K1203*(MIN(Inputs!$B$22+((C1219=TRUE)*(F1219-Calc!F23)),(Inputs!$B$23+((C1224=TRUE)*(F1224-Calc!F28))+(IF(ArtifactsInput!$M$15,CHOOSE(ArtifactsInput!$N$15+1,25,30,35,40,45,50)/100*(Inputs!$B$11-Inputs!$B$11),0))))/100+(Inputs!$B$23+((C1224=TRUE)*(F1224-Calc!F28))+(IF(ArtifactsInput!$M$15,CHOOSE(ArtifactsInput!$N$15+1,25,30,35,40,45,50)/100*(Inputs!$B$11-Inputs!$B$11),0)))/100)/2</f>
        <v/>
      </c>
      <c r="M1203">
        <f>L1203*(1+(Inputs!$B$10+0+B1233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203">
        <f>L1203*(1-MIN((Inputs!$B$9+((C1215=TRUE)*(F1215-Calc!F19))+B1228+(ArtifactsInput!$M$24-ArtifactsInput!$M$24)*CHOOSE(ArtifactsInput!$N$24+1,10,12,14,16,18,20)+(IF(AND(ArtifactsInput!$M$42,((Inputs!$B$9+((C1215=TRUE)*(F1215-Calc!F19))+B1228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1203*(MIN((Inputs!$B$9+((C1215=TRUE)*(F1215-Calc!F19))+B1228+(ArtifactsInput!$M$24-ArtifactsInput!$M$24)*CHOOSE(ArtifactsInput!$N$24+1,10,12,14,16,18,20)+(IF(AND(ArtifactsInput!$M$42,((Inputs!$B$9+((C1215=TRUE)*(F1215-Calc!F19))+B1228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203">
        <f>(1-Summary!$B$11)*T1203+Summary!$B$11*V1203</f>
        <v/>
      </c>
      <c r="P1203">
        <f>IF(B1238=0,0,O1203/B1238)</f>
        <v/>
      </c>
      <c r="Q1203">
        <f>IFERROR(1/IF(Inputs!$B$38="pvp",15,MAX(0.1,Skills!D7-IF(Skills!E7=TRUE,Inputs!$B$32,0))),0)</f>
        <v/>
      </c>
      <c r="R1203">
        <f>IF(AND(Inputs!$B$38&lt;&gt;"pvp",Inputs!$B$43&gt;0),IF(MAX(0,Inputs!$B$43-B1235)&lt;=0,0,(INT(MAX(0,Inputs!$B$43-B1235)/IF(Inputs!$B$38="pvp",15,MAX(0.1,Skills!D7-IF(Skills!E7=TRUE,Inputs!$B$32,0))))+1)),0)</f>
        <v/>
      </c>
      <c r="S1203">
        <f>IFERROR((H1203*N1203*IF(AND(Inputs!$B$38&lt;&gt;"pvp",Inputs!$B$43&gt;0),((Skills!G7*((R1203-1)*IF(Skills!H7&gt;0,Skills!I7/Skills!H7,1)+IF(Skills!H7&gt;0,MIN(Skills!I7,MAX(0,MAX(0,Inputs!$B$43-B1235)-((R1203-1)*IF(Inputs!$B$38="pvp",15,MAX(0.1,Skills!D7-IF(Skills!E7=TRUE,Inputs!$B$32,0))))))/Skills!H7,1)))/Inputs!$B$43),G1203*Q1203))/N1203*IF(Inputs!$B$38="pvp",1,(1-Summary!$B$11)*1+Summary!$B$11*(MIN(Skills!R7,Inputs!$B$37))),0)</f>
        <v/>
      </c>
      <c r="T1203">
        <f>IF(C1203,(H1203*N1203*IF(AND(Inputs!$B$38&lt;&gt;"pvp",Inputs!$B$43&gt;0),((Skills!G7*((R1203-1)*IF(Skills!H7&gt;0,Skills!I7/Skills!H7,1)+IF(Skills!H7&gt;0,MIN(Skills!I7,MAX(0,MAX(0,Inputs!$B$43-B1235)-((R1203-1)*IF(Inputs!$B$38="pvp",15,MAX(0.1,Skills!D7-IF(Skills!E7=TRUE,Inputs!$B$32,0))))))/Skills!H7,1)))/Inputs!$B$43),G1203*Q1203))*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Hunt"),CHOOSE(ArtifactsInput!$N$35+1,15,18,21,24,27,30)*(1-EXP(-(0.2*B1230)*5)),0)+IF(AND(ArtifactsInput!$M$22,Inputs!$B$4&lt;&gt;"Chapter Hunt"),CHOOSE(ArtifactsInput!$N$22+1,10,12,14,16,18,20)*((0*(((0.15*B1230*5))^0/1)+1*(((0.15*B1230*5))^1/1)+2*(((0.15*B1230*5))^2/2)+3*(((0.15*B1230*5))^3/6)+4*(((0.15*B1230*5))^4/24)+5*(((0.15*B1230*5))^5/120))/((((0.15*B1230*5))^0/1)+(((0.15*B1230*5))^1/1)+(((0.15*B1230*5))^2/2)+(((0.15*B1230*5))^3/6)+(((0.15*B1230*5))^4/24)+(((0.15*B1230*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1203*(1-MIN(100,(Inputs!$B$9+((C1215=TRUE)*(F1215-Calc!F19))+B1228+(ArtifactsInput!$M$24-ArtifactsInput!$M$24)*CHOOSE(ArtifactsInput!$N$24+1,10,12,14,16,18,20)+(IF(AND(ArtifactsInput!$M$42,((Inputs!$B$9+((C1215=TRUE)*(F1215-Calc!F19))+B1228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1203*(MIN(100,(Inputs!$B$9+((C1215=TRUE)*(F1215-Calc!F19))+B1228+(ArtifactsInput!$M$24-ArtifactsInput!$M$24)*CHOOSE(ArtifactsInput!$N$24+1,10,12,14,16,18,20)+(IF(AND(ArtifactsInput!$M$42,((Inputs!$B$9+((C1215=TRUE)*(F1215-Calc!F19))+B1228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1203*(1-MIN(100,(Inputs!$B$9+((C1215=TRUE)*(F1215-Calc!F19))+B1228+(ArtifactsInput!$M$24-ArtifactsInput!$M$24)*CHOOSE(ArtifactsInput!$N$24+1,10,12,14,16,18,20)+(IF(AND(ArtifactsInput!$M$42,((Inputs!$B$9+((C1215=TRUE)*(F1215-Calc!F19))+B1228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1203*(MIN(100,(Inputs!$B$9+((C1215=TRUE)*(F1215-Calc!F19))+B1228+(ArtifactsInput!$M$24-ArtifactsInput!$M$24)*CHOOSE(ArtifactsInput!$N$24+1,10,12,14,16,18,20)+(IF(AND(ArtifactsInput!$M$42,((Inputs!$B$9+((C1215=TRUE)*(F1215-Calc!F19))+B1228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203">
        <f>IF(C1203,(H1203*N1203*IF(AND(Inputs!$B$38&lt;&gt;"pvp",Inputs!$B$43&gt;0),((Skills!G7*((R1203-1)*IF(Skills!H7&gt;0,Skills!I7/Skills!H7,1)+IF(Skills!H7&gt;0,MIN(Skills!I7,MAX(0,MAX(0,Inputs!$B$43-B1235)-((R1203-1)*IF(Inputs!$B$38="pvp",15,MAX(0.1,Skills!D7-IF(Skills!E7=TRUE,Inputs!$B$32,0))))))/Skills!H7,1)))/Inputs!$B$43),G1203*Q1203))*IF(Inputs!$B$38="pvp",1,(1+(Inputs!$B$21+Skills!Q7+(IF(ArtifactsInput!$M$33,CHOOSE(ArtifactsInput!$N$33+1,30,36,42,48,54,60),0))+(IF(AND(ArtifactsInput!$M$35,Inputs!$B$4&lt;&gt;"Chapter Hunt"),CHOOSE(ArtifactsInput!$N$35+1,15,18,21,24,27,30)*(1-EXP(-(0.2*B1230)*5)),0)+IF(AND(ArtifactsInput!$M$22,Inputs!$B$4&lt;&gt;"Chapter Hunt"),CHOOSE(ArtifactsInput!$N$22+1,10,12,14,16,18,20)*((0*(((0.15*B1230*5))^0/1)+1*(((0.15*B1230*5))^1/1)+2*(((0.15*B1230*5))^2/2)+3*(((0.15*B1230*5))^3/6)+4*(((0.15*B1230*5))^4/24)+5*(((0.15*B1230*5))^5/120))/((((0.15*B1230*5))^0/1)+(((0.15*B1230*5))^1/1)+(((0.15*B1230*5))^2/2)+(((0.15*B1230*5))^3/6)+(((0.15*B1230*5))^4/24)+(((0.15*B1230*5))^5/120))),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204">
      <c r="A1204">
        <f>Skills!A8</f>
        <v/>
      </c>
      <c r="B1204">
        <f>Skills!B8</f>
        <v/>
      </c>
      <c r="C1204">
        <f>Inputs!$B$3&gt;=100</f>
        <v/>
      </c>
      <c r="D1204">
        <f>IF(Skills!C8=1,60+Inputs!$B$25+Inputs!$B$29,IF(Skills!C8=2,90+Inputs!$B$26+Inputs!$B$29,IF(Skills!C8=3,120+Inputs!$B$27+Inputs!$B$29,MAX(0,(Inputs!$B$3-100)*3)+Inputs!$B$28+Inputs!$B$29)))</f>
        <v/>
      </c>
      <c r="E1204">
        <f>INDEX(FactorTable!$B$2:$Y$301, MATCH(ROUND(MIN(300,MAX(1,D1204)),0), FactorTable!$A$2:$A$301,0), Skills!M8+1)</f>
        <v/>
      </c>
      <c r="F1204">
        <f>IF(Skills!N8=TRUE,(Skills!L8/10)*(E1204/1000),Skills!L8/10)+Skills!O8</f>
        <v/>
      </c>
      <c r="G1204" t="inlineStr"/>
      <c r="H1204" t="inlineStr"/>
      <c r="I1204" t="inlineStr">
        <is>
          <t>1</t>
        </is>
      </c>
      <c r="J1204" t="inlineStr"/>
      <c r="K1204" t="inlineStr"/>
      <c r="L1204" t="inlineStr"/>
      <c r="M1204" t="inlineStr"/>
      <c r="N1204" t="inlineStr"/>
      <c r="O1204" t="inlineStr"/>
      <c r="P1204" t="inlineStr"/>
      <c r="Q1204" t="inlineStr"/>
      <c r="R1204" t="inlineStr"/>
      <c r="S1204" t="inlineStr"/>
      <c r="T1204" t="inlineStr"/>
      <c r="V1204" t="inlineStr"/>
    </row>
    <row r="1205">
      <c r="A1205">
        <f>Skills!A9</f>
        <v/>
      </c>
      <c r="B1205">
        <f>Skills!B9</f>
        <v/>
      </c>
      <c r="C1205">
        <f>Inputs!$B$3&gt;=103</f>
        <v/>
      </c>
      <c r="D1205">
        <f>IF(Skills!C9=1,60+Inputs!$B$25+Inputs!$B$29,IF(Skills!C9=2,90+Inputs!$B$26+Inputs!$B$29,IF(Skills!C9=3,120+Inputs!$B$27+Inputs!$B$29,MAX(0,(Inputs!$B$3-100)*3)+Inputs!$B$28+Inputs!$B$29)))</f>
        <v/>
      </c>
      <c r="E1205">
        <f>INDEX(FactorTable!$B$2:$Y$301, MATCH(ROUND(MIN(300,MAX(1,D1205)),0), FactorTable!$A$2:$A$301,0), Skills!M9+1)</f>
        <v/>
      </c>
      <c r="F1205">
        <f>IF(Skills!N9=TRUE,(Skills!L9/10)*(E1205/1000),Skills!L9/10)+Skills!O9</f>
        <v/>
      </c>
      <c r="G1205">
        <f>Skills!G9*IF(Skills!H9&gt;0,Skills!I9/Skills!H9,1)</f>
        <v/>
      </c>
      <c r="H1205">
        <f>1-(1-Skills!J9/100)^Skills!K9</f>
        <v/>
      </c>
      <c r="I1205" t="inlineStr">
        <is>
          <t>1</t>
        </is>
      </c>
      <c r="J1205">
        <f>((Inputs!$B$6*(1+Inputs!$B$7/100))+(((Inputs!$B$12*(1+Inputs!$B$13/100))-(Inputs!$B$12*(1+Inputs!$B$13/100)))+0.25*(Inputs!$B$14-Inputs!$B$14))*(1+Inputs!$B$7/100))*(F1205/100)</f>
        <v/>
      </c>
      <c r="K1205">
        <f>J1205*(1+((Inputs!$B$12*(1+Inputs!$B$13/100))*0.01+Inputs!$B$14*0.0025)/100)*(1+Inputs!$B$15/100)*(1+Inputs!$B$16/100)*(5000/(6000+Inputs!$B$42*(1-(100*(1-(1-(Inputs!$B$19+0)/100)*(1-CHOOSE(ArtifactsInput!$N$40+1,5,6,7,8,9,10)/100)^(ArtifactsInput!$M$40-ArtifactsInput!$M$40)))/100)))*(1+(Inputs!$B$24+((C1220=TRUE)*(F1220-Calc!F24))+((C1221=TRUE)*(F1221-Calc!F25))+B1234)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EMPOWERED_PIERCING_ARROW",Inputs!$B$17+((C1218=TRUE)*(F1218-Calc!F22))+(((IF(AND(ArtifactsInput!$M$42,((Inputs!$B$9+((C1215=TRUE)*(F1215-Calc!F19))+B1228+(ArtifactsInput!$M$24-ArtifactsInput!$M$24)*CHOOSE(ArtifactsInput!$N$24+1,10,12,14,16,18,20)+IF(ArtifactsInput!$M$10,CHOOSE(ArtifactsInput!$N$10+1,15,18,21,24,27,30)*(IF(Inputs!$B$38="pvp",MIN(15,15)/15,IF(AND(Inputs!$B$38&lt;&gt;"pvp",Inputs!$B$43&gt;0),MIN(15,Inputs!$B$43)/(Inputs!$B$43),0))),0)))&gt;=100),MIN(100,((Inputs!$B$9+((C1215=TRUE)*(F1215-Calc!F19))+B1228+(ArtifactsInput!$M$24-ArtifactsInput!$M$24)*CHOOSE(ArtifactsInput!$N$24+1,10,12,14,16,18,20)+IF(ArtifactsInput!$M$10,CHOOSE(ArtifactsInput!$N$10+1,15,18,21,24,27,30)*(IF(Inputs!$B$38="pvp",MIN(15,15)/15,IF(AND(Inputs!$B$38&lt;&gt;"pvp",Inputs!$B$43&gt;0),MIN(15,Inputs!$B$43)/(Inputs!$B$43),0))),0)))-100),0))*CHOOSE(ArtifactsInput!$N$42+1,0.6,0.72,0.84,0.96,1.08,1.2))),Inputs!$B$18+((C1223=TRUE)*(F1223-Calc!F27))+(IF(AND(ArtifactsInput!$M$42,((Inputs!$B$9+((C1215=TRUE)*(F1215-Calc!F19))+B1228+(ArtifactsInput!$M$24-ArtifactsInput!$M$24)*CHOOSE(ArtifactsInput!$N$24+1,10,12,14,16,18,20)+IF(ArtifactsInput!$M$10,CHOOSE(ArtifactsInput!$N$10+1,15,18,21,24,27,30)*(IF(Inputs!$B$38="pvp",MIN(15,15)/15,IF(AND(Inputs!$B$38&lt;&gt;"pvp",Inputs!$B$43&gt;0),MIN(15,Inputs!$B$43)/(Inputs!$B$43),0))),0)))&gt;=100),CHOOSE(ArtifactsInput!$N$42+1,40,48,56,64,72,80),0))))/100)*((1+(((C1209=TRUE)*F1209)+((C1210=TRUE)*IF(Inputs!$B$38="pvp",F1210,(1-Summary!$B$11)*(F1210)+Summary!$B$11*(0)))+((C1211=TRUE)*F1211*IF(AND(Inputs!$B$38&lt;&gt;"pvp",Inputs!$B$43&gt;0),(((R1211-1)*(Skills!T15*(1+(Inputs!$B$34+1)/100))+MIN((Skills!T15*(1+(Inputs!$B$34+1)/100)),MAX(0,Inputs!$B$43-((R1211-1)*Skills!D15))))/Inputs!$B$43),IF(Inputs!$B$38="pvp",MIN((Skills!T15*(1+(Inputs!$B$34+1)/100)),15)/15,(Skills!T15*(1+(Inputs!$B$34+1)/100))/Skills!D15)))+((C1208=TRUE)*F1208)+((C1225=TRUE)*(F1225-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1205)</f>
        <v/>
      </c>
      <c r="L1205">
        <f>K1205*(MIN(Inputs!$B$22+((C1219=TRUE)*(F1219-Calc!F23)),(Inputs!$B$23+((C1224=TRUE)*(F1224-Calc!F28))+(IF(ArtifactsInput!$M$15,CHOOSE(ArtifactsInput!$N$15+1,25,30,35,40,45,50)/100*(Inputs!$B$11-Inputs!$B$11),0))))/100+(Inputs!$B$23+((C1224=TRUE)*(F1224-Calc!F28))+(IF(ArtifactsInput!$M$15,CHOOSE(ArtifactsInput!$N$15+1,25,30,35,40,45,50)/100*(Inputs!$B$11-Inputs!$B$11),0)))/100)/2</f>
        <v/>
      </c>
      <c r="M1205">
        <f>L1205*(1+(Inputs!$B$10+0+B1233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205">
        <f>L1205*(1-MIN((Inputs!$B$9+((C1215=TRUE)*(F1215-Calc!F19))+B1228+(ArtifactsInput!$M$24-ArtifactsInput!$M$24)*CHOOSE(ArtifactsInput!$N$24+1,10,12,14,16,18,20)+(IF(AND(ArtifactsInput!$M$42,((Inputs!$B$9+((C1215=TRUE)*(F1215-Calc!F19))+B1228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1205*(MIN((Inputs!$B$9+((C1215=TRUE)*(F1215-Calc!F19))+B1228+(ArtifactsInput!$M$24-ArtifactsInput!$M$24)*CHOOSE(ArtifactsInput!$N$24+1,10,12,14,16,18,20)+(IF(AND(ArtifactsInput!$M$42,((Inputs!$B$9+((C1215=TRUE)*(F1215-Calc!F19))+B1228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205">
        <f>(1-Summary!$B$11)*T1205+Summary!$B$11*V1205</f>
        <v/>
      </c>
      <c r="P1205">
        <f>IF(B1238=0,0,O1205/B1238)</f>
        <v/>
      </c>
      <c r="Q1205">
        <f>IFERROR(1/IF(Inputs!$B$38="pvp",15,MAX(0.1,Skills!D9-IF(Skills!E9=TRUE,Inputs!$B$32,0))),0)</f>
        <v/>
      </c>
      <c r="R1205">
        <f>IF(AND(Inputs!$B$38&lt;&gt;"pvp",Inputs!$B$43&gt;0),IF(MAX(0,Inputs!$B$43-B1235)&lt;=0,0,(INT(MAX(0,Inputs!$B$43-B1235)/IF(Inputs!$B$38="pvp",15,MAX(0.1,Skills!D9-IF(Skills!E9=TRUE,Inputs!$B$32,0))))+1)),0)</f>
        <v/>
      </c>
      <c r="S1205">
        <f>IFERROR((H1205*N1205*IF(AND(Inputs!$B$38&lt;&gt;"pvp",Inputs!$B$43&gt;0),((Skills!G9*((R1205-1)*IF(Skills!H9&gt;0,Skills!I9/Skills!H9,1)+IF(Skills!H9&gt;0,MIN(Skills!I9,MAX(0,MAX(0,Inputs!$B$43-B1235)-((R1205-1)*IF(Inputs!$B$38="pvp",15,MAX(0.1,Skills!D9-IF(Skills!E9=TRUE,Inputs!$B$32,0))))))/Skills!H9,1)))/Inputs!$B$43),G1205*Q1205))/N1205*IF(Inputs!$B$38="pvp",1,(1-Summary!$B$11)*1+Summary!$B$11*(MIN(Skills!R9,Inputs!$B$37))),0)</f>
        <v/>
      </c>
      <c r="T1205">
        <f>IF(C1205,(H1205*N1205*IF(AND(Inputs!$B$38&lt;&gt;"pvp",Inputs!$B$43&gt;0),((Skills!G9*((R1205-1)*IF(Skills!H9&gt;0,Skills!I9/Skills!H9,1)+IF(Skills!H9&gt;0,MIN(Skills!I9,MAX(0,MAX(0,Inputs!$B$43-B1235)-((R1205-1)*IF(Inputs!$B$38="pvp",15,MAX(0.1,Skills!D9-IF(Skills!E9=TRUE,Inputs!$B$32,0))))))/Skills!H9,1)))/Inputs!$B$43),G1205*Q1205))*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Hunt"),CHOOSE(ArtifactsInput!$N$35+1,15,18,21,24,27,30)*(1-EXP(-(0.2*B1230)*5)),0)+IF(AND(ArtifactsInput!$M$22,Inputs!$B$4&lt;&gt;"Chapter Hunt"),CHOOSE(ArtifactsInput!$N$22+1,10,12,14,16,18,20)*((0*(((0.15*B1230*5))^0/1)+1*(((0.15*B1230*5))^1/1)+2*(((0.15*B1230*5))^2/2)+3*(((0.15*B1230*5))^3/6)+4*(((0.15*B1230*5))^4/24)+5*(((0.15*B1230*5))^5/120))/((((0.15*B1230*5))^0/1)+(((0.15*B1230*5))^1/1)+(((0.15*B1230*5))^2/2)+(((0.15*B1230*5))^3/6)+(((0.15*B1230*5))^4/24)+(((0.15*B1230*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1205*(1-MIN(100,(Inputs!$B$9+((C1215=TRUE)*(F1215-Calc!F19))+B1228+(ArtifactsInput!$M$24-ArtifactsInput!$M$24)*CHOOSE(ArtifactsInput!$N$24+1,10,12,14,16,18,20)+(IF(AND(ArtifactsInput!$M$42,((Inputs!$B$9+((C1215=TRUE)*(F1215-Calc!F19))+B1228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1205*(MIN(100,(Inputs!$B$9+((C1215=TRUE)*(F1215-Calc!F19))+B1228+(ArtifactsInput!$M$24-ArtifactsInput!$M$24)*CHOOSE(ArtifactsInput!$N$24+1,10,12,14,16,18,20)+(IF(AND(ArtifactsInput!$M$42,((Inputs!$B$9+((C1215=TRUE)*(F1215-Calc!F19))+B1228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1205*(1-MIN(100,(Inputs!$B$9+((C1215=TRUE)*(F1215-Calc!F19))+B1228+(ArtifactsInput!$M$24-ArtifactsInput!$M$24)*CHOOSE(ArtifactsInput!$N$24+1,10,12,14,16,18,20)+(IF(AND(ArtifactsInput!$M$42,((Inputs!$B$9+((C1215=TRUE)*(F1215-Calc!F19))+B1228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1205*(MIN(100,(Inputs!$B$9+((C1215=TRUE)*(F1215-Calc!F19))+B1228+(ArtifactsInput!$M$24-ArtifactsInput!$M$24)*CHOOSE(ArtifactsInput!$N$24+1,10,12,14,16,18,20)+(IF(AND(ArtifactsInput!$M$42,((Inputs!$B$9+((C1215=TRUE)*(F1215-Calc!F19))+B1228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205">
        <f>IF(C1205,(H1205*N1205*IF(AND(Inputs!$B$38&lt;&gt;"pvp",Inputs!$B$43&gt;0),((Skills!G9*((R1205-1)*IF(Skills!H9&gt;0,Skills!I9/Skills!H9,1)+IF(Skills!H9&gt;0,MIN(Skills!I9,MAX(0,MAX(0,Inputs!$B$43-B1235)-((R1205-1)*IF(Inputs!$B$38="pvp",15,MAX(0.1,Skills!D9-IF(Skills!E9=TRUE,Inputs!$B$32,0))))))/Skills!H9,1)))/Inputs!$B$43),G1205*Q1205))*IF(Inputs!$B$38="pvp",1,(1+(Inputs!$B$21+Skills!Q9+(IF(ArtifactsInput!$M$33,CHOOSE(ArtifactsInput!$N$33+1,30,36,42,48,54,60),0))+(IF(AND(ArtifactsInput!$M$35,Inputs!$B$4&lt;&gt;"Chapter Hunt"),CHOOSE(ArtifactsInput!$N$35+1,15,18,21,24,27,30)*(1-EXP(-(0.2*B1230)*5)),0)+IF(AND(ArtifactsInput!$M$22,Inputs!$B$4&lt;&gt;"Chapter Hunt"),CHOOSE(ArtifactsInput!$N$22+1,10,12,14,16,18,20)*((0*(((0.15*B1230*5))^0/1)+1*(((0.15*B1230*5))^1/1)+2*(((0.15*B1230*5))^2/2)+3*(((0.15*B1230*5))^3/6)+4*(((0.15*B1230*5))^4/24)+5*(((0.15*B1230*5))^5/120))/((((0.15*B1230*5))^0/1)+(((0.15*B1230*5))^1/1)+(((0.15*B1230*5))^2/2)+(((0.15*B1230*5))^3/6)+(((0.15*B1230*5))^4/24)+(((0.15*B1230*5))^5/120)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206">
      <c r="A1206">
        <f>Skills!A10</f>
        <v/>
      </c>
      <c r="B1206">
        <f>Skills!B10</f>
        <v/>
      </c>
      <c r="C1206">
        <f>Inputs!$B$3&gt;=107</f>
        <v/>
      </c>
      <c r="D1206">
        <f>IF(Skills!C10=1,60+Inputs!$B$25+Inputs!$B$29,IF(Skills!C10=2,90+Inputs!$B$26+Inputs!$B$29,IF(Skills!C10=3,120+Inputs!$B$27+Inputs!$B$29,MAX(0,(Inputs!$B$3-100)*3)+Inputs!$B$28+Inputs!$B$29)))</f>
        <v/>
      </c>
      <c r="E1206">
        <f>INDEX(FactorTable!$B$2:$Y$301, MATCH(ROUND(MIN(300,MAX(1,D1206)),0), FactorTable!$A$2:$A$301,0), Skills!M10+1)</f>
        <v/>
      </c>
      <c r="F1206">
        <f>IF(Skills!N10=TRUE,(Skills!L10/10)*(E1206/1000),Skills!L10/10)+Skills!O10</f>
        <v/>
      </c>
      <c r="G1206">
        <f>Skills!G10*IF(Skills!H10&gt;0,Skills!I10/Skills!H10,1)</f>
        <v/>
      </c>
      <c r="H1206">
        <f>1-(1-Skills!J10/100)^Skills!K10</f>
        <v/>
      </c>
      <c r="I1206" t="inlineStr">
        <is>
          <t>1</t>
        </is>
      </c>
      <c r="J1206">
        <f>((Inputs!$B$6*(1+Inputs!$B$7/100))+(((Inputs!$B$12*(1+Inputs!$B$13/100))-(Inputs!$B$12*(1+Inputs!$B$13/100)))+0.25*(Inputs!$B$14-Inputs!$B$14))*(1+Inputs!$B$7/100))*(F1206/100)</f>
        <v/>
      </c>
      <c r="K1206">
        <f>J1206*(1+((Inputs!$B$12*(1+Inputs!$B$13/100))*0.01+Inputs!$B$14*0.0025)/100)*(1+Inputs!$B$15/100)*(1+Inputs!$B$16/100)*(5000/(6000+Inputs!$B$42*(1-(100*(1-(1-(Inputs!$B$19+0)/100)*(1-CHOOSE(ArtifactsInput!$N$40+1,5,6,7,8,9,10)/100)^(ArtifactsInput!$M$40-ArtifactsInput!$M$40)))/100)))*(1+(Inputs!$B$24+((C1220=TRUE)*(F1220-Calc!F24))+((C1221=TRUE)*(F1221-Calc!F25))+B1234)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EMPOWERED_PIERCING_ARROW",Inputs!$B$17+((C1218=TRUE)*(F1218-Calc!F22))+(((IF(AND(ArtifactsInput!$M$42,((Inputs!$B$9+((C1215=TRUE)*(F1215-Calc!F19))+B1228+(ArtifactsInput!$M$24-ArtifactsInput!$M$24)*CHOOSE(ArtifactsInput!$N$24+1,10,12,14,16,18,20)+IF(ArtifactsInput!$M$10,CHOOSE(ArtifactsInput!$N$10+1,15,18,21,24,27,30)*(IF(Inputs!$B$38="pvp",MIN(15,15)/15,IF(AND(Inputs!$B$38&lt;&gt;"pvp",Inputs!$B$43&gt;0),MIN(15,Inputs!$B$43)/(Inputs!$B$43),0))),0)))&gt;=100),MIN(100,((Inputs!$B$9+((C1215=TRUE)*(F1215-Calc!F19))+B1228+(ArtifactsInput!$M$24-ArtifactsInput!$M$24)*CHOOSE(ArtifactsInput!$N$24+1,10,12,14,16,18,20)+IF(ArtifactsInput!$M$10,CHOOSE(ArtifactsInput!$N$10+1,15,18,21,24,27,30)*(IF(Inputs!$B$38="pvp",MIN(15,15)/15,IF(AND(Inputs!$B$38&lt;&gt;"pvp",Inputs!$B$43&gt;0),MIN(15,Inputs!$B$43)/(Inputs!$B$43),0))),0)))-100),0))*CHOOSE(ArtifactsInput!$N$42+1,0.6,0.72,0.84,0.96,1.08,1.2))),Inputs!$B$18+((C1223=TRUE)*(F1223-Calc!F27))+(IF(AND(ArtifactsInput!$M$42,((Inputs!$B$9+((C1215=TRUE)*(F1215-Calc!F19))+B1228+(ArtifactsInput!$M$24-ArtifactsInput!$M$24)*CHOOSE(ArtifactsInput!$N$24+1,10,12,14,16,18,20)+IF(ArtifactsInput!$M$10,CHOOSE(ArtifactsInput!$N$10+1,15,18,21,24,27,30)*(IF(Inputs!$B$38="pvp",MIN(15,15)/15,IF(AND(Inputs!$B$38&lt;&gt;"pvp",Inputs!$B$43&gt;0),MIN(15,Inputs!$B$43)/(Inputs!$B$43),0))),0)))&gt;=100),CHOOSE(ArtifactsInput!$N$42+1,40,48,56,64,72,80),0))))/100)*((1+(((C1209=TRUE)*F1209)+((C1210=TRUE)*IF(Inputs!$B$38="pvp",F1210,(1-Summary!$B$11)*(F1210)+Summary!$B$11*(0)))+((C1211=TRUE)*F1211*IF(AND(Inputs!$B$38&lt;&gt;"pvp",Inputs!$B$43&gt;0),(((R1211-1)*(Skills!T15*(1+(Inputs!$B$34+1)/100))+MIN((Skills!T15*(1+(Inputs!$B$34+1)/100)),MAX(0,Inputs!$B$43-((R1211-1)*Skills!D15))))/Inputs!$B$43),IF(Inputs!$B$38="pvp",MIN((Skills!T15*(1+(Inputs!$B$34+1)/100)),15)/15,(Skills!T15*(1+(Inputs!$B$34+1)/100))/Skills!D15)))+((C1208=TRUE)*F1208)+((C1225=TRUE)*(F1225-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1206)</f>
        <v/>
      </c>
      <c r="L1206">
        <f>K1206*(MIN(Inputs!$B$22+((C1219=TRUE)*(F1219-Calc!F23)),(Inputs!$B$23+((C1224=TRUE)*(F1224-Calc!F28))+(IF(ArtifactsInput!$M$15,CHOOSE(ArtifactsInput!$N$15+1,25,30,35,40,45,50)/100*(Inputs!$B$11-Inputs!$B$11),0))))/100+(Inputs!$B$23+((C1224=TRUE)*(F1224-Calc!F28))+(IF(ArtifactsInput!$M$15,CHOOSE(ArtifactsInput!$N$15+1,25,30,35,40,45,50)/100*(Inputs!$B$11-Inputs!$B$11),0)))/100)/2</f>
        <v/>
      </c>
      <c r="M1206">
        <f>L1206*(1+(Inputs!$B$10+0+B1233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206">
        <f>L1206*(1-MIN((Inputs!$B$9+((C1215=TRUE)*(F1215-Calc!F19))+B1228+(ArtifactsInput!$M$24-ArtifactsInput!$M$24)*CHOOSE(ArtifactsInput!$N$24+1,10,12,14,16,18,20)+(IF(AND(ArtifactsInput!$M$42,((Inputs!$B$9+((C1215=TRUE)*(F1215-Calc!F19))+B1228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1206*(MIN((Inputs!$B$9+((C1215=TRUE)*(F1215-Calc!F19))+B1228+(ArtifactsInput!$M$24-ArtifactsInput!$M$24)*CHOOSE(ArtifactsInput!$N$24+1,10,12,14,16,18,20)+(IF(AND(ArtifactsInput!$M$42,((Inputs!$B$9+((C1215=TRUE)*(F1215-Calc!F19))+B1228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206">
        <f>(1-Summary!$B$11)*T1206+Summary!$B$11*V1206</f>
        <v/>
      </c>
      <c r="P1206">
        <f>IF(B1238=0,0,O1206/B1238)</f>
        <v/>
      </c>
      <c r="Q1206" t="n">
        <v>0</v>
      </c>
      <c r="R1206" t="n">
        <v>0</v>
      </c>
      <c r="S1206" t="n">
        <v>0</v>
      </c>
      <c r="T1206">
        <f>IF(C1206,(0.15*SUMPRODUCT((Skills!U2:U29=TRUE)*(C1198:C1225=TRUE)*S1198:S1225)*Skills!G10*N1206)*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Hunt"),CHOOSE(ArtifactsInput!$N$35+1,15,18,21,24,27,30)*(1-EXP(-(0.2*B1230)*5)),0)+IF(AND(ArtifactsInput!$M$22,Inputs!$B$4&lt;&gt;"Chapter Hunt"),CHOOSE(ArtifactsInput!$N$22+1,10,12,14,16,18,20)*((0*(((0.15*B1230*5))^0/1)+1*(((0.15*B1230*5))^1/1)+2*(((0.15*B1230*5))^2/2)+3*(((0.15*B1230*5))^3/6)+4*(((0.15*B1230*5))^4/24)+5*(((0.15*B1230*5))^5/120))/((((0.15*B1230*5))^0/1)+(((0.15*B1230*5))^1/1)+(((0.15*B1230*5))^2/2)+(((0.15*B1230*5))^3/6)+(((0.15*B1230*5))^4/24)+(((0.15*B1230*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1206*(1-MIN(100,(Inputs!$B$9+((C1215=TRUE)*(F1215-Calc!F19))+B1228+(ArtifactsInput!$M$24-ArtifactsInput!$M$24)*CHOOSE(ArtifactsInput!$N$24+1,10,12,14,16,18,20)+(IF(AND(ArtifactsInput!$M$42,((Inputs!$B$9+((C1215=TRUE)*(F1215-Calc!F19))+B1228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1206*(MIN(100,(Inputs!$B$9+((C1215=TRUE)*(F1215-Calc!F19))+B1228+(ArtifactsInput!$M$24-ArtifactsInput!$M$24)*CHOOSE(ArtifactsInput!$N$24+1,10,12,14,16,18,20)+(IF(AND(ArtifactsInput!$M$42,((Inputs!$B$9+((C1215=TRUE)*(F1215-Calc!F19))+B1228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1206*(1-MIN(100,(Inputs!$B$9+((C1215=TRUE)*(F1215-Calc!F19))+B1228+(ArtifactsInput!$M$24-ArtifactsInput!$M$24)*CHOOSE(ArtifactsInput!$N$24+1,10,12,14,16,18,20)+(IF(AND(ArtifactsInput!$M$42,((Inputs!$B$9+((C1215=TRUE)*(F1215-Calc!F19))+B1228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1206*(MIN(100,(Inputs!$B$9+((C1215=TRUE)*(F1215-Calc!F19))+B1228+(ArtifactsInput!$M$24-ArtifactsInput!$M$24)*CHOOSE(ArtifactsInput!$N$24+1,10,12,14,16,18,20)+(IF(AND(ArtifactsInput!$M$42,((Inputs!$B$9+((C1215=TRUE)*(F1215-Calc!F19))+B1228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206">
        <f>IF(C1206,(0.15*SUMPRODUCT((Skills!U2:U29=TRUE)*(C1198:C1225=TRUE)*S1198:S1225)*Skills!G10*N1206)*IF(Inputs!$B$38="pvp",1,(1+(Inputs!$B$21+Skills!Q10+(IF(ArtifactsInput!$M$33,CHOOSE(ArtifactsInput!$N$33+1,30,36,42,48,54,60),0))+(IF(AND(ArtifactsInput!$M$35,Inputs!$B$4&lt;&gt;"Chapter Hunt"),CHOOSE(ArtifactsInput!$N$35+1,15,18,21,24,27,30)*(1-EXP(-(0.2*B1230)*5)),0)+IF(AND(ArtifactsInput!$M$22,Inputs!$B$4&lt;&gt;"Chapter Hunt"),CHOOSE(ArtifactsInput!$N$22+1,10,12,14,16,18,20)*((0*(((0.15*B1230*5))^0/1)+1*(((0.15*B1230*5))^1/1)+2*(((0.15*B1230*5))^2/2)+3*(((0.15*B1230*5))^3/6)+4*(((0.15*B1230*5))^4/24)+5*(((0.15*B1230*5))^5/120))/((((0.15*B1230*5))^0/1)+(((0.15*B1230*5))^1/1)+(((0.15*B1230*5))^2/2)+(((0.15*B1230*5))^3/6)+(((0.15*B1230*5))^4/24)+(((0.15*B1230*5))^5/120)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207">
      <c r="A1207">
        <f>Skills!A11</f>
        <v/>
      </c>
      <c r="B1207">
        <f>Skills!B11</f>
        <v/>
      </c>
      <c r="C1207">
        <f>Inputs!$B$3&gt;=110</f>
        <v/>
      </c>
      <c r="D1207">
        <f>IF(Skills!C11=1,60+Inputs!$B$25+Inputs!$B$29,IF(Skills!C11=2,90+Inputs!$B$26+Inputs!$B$29,IF(Skills!C11=3,120+Inputs!$B$27+Inputs!$B$29,MAX(0,(Inputs!$B$3-100)*3)+Inputs!$B$28+Inputs!$B$29)))</f>
        <v/>
      </c>
      <c r="E1207">
        <f>INDEX(FactorTable!$B$2:$Y$301, MATCH(ROUND(MIN(300,MAX(1,D1207)),0), FactorTable!$A$2:$A$301,0), Skills!M11+1)</f>
        <v/>
      </c>
      <c r="F1207">
        <f>IF(Skills!N11=TRUE,(Skills!L11/10)*(E1207/1000),Skills!L11/10)+Skills!O11</f>
        <v/>
      </c>
      <c r="G1207">
        <f>Skills!G11*IF(Skills!H11&gt;0,Skills!I11/Skills!H11,1)</f>
        <v/>
      </c>
      <c r="H1207">
        <f>1-(1-Skills!J11/100)^Skills!K11</f>
        <v/>
      </c>
      <c r="I1207" t="inlineStr">
        <is>
          <t>1</t>
        </is>
      </c>
      <c r="J1207">
        <f>((Inputs!$B$6*(1+Inputs!$B$7/100))+(((Inputs!$B$12*(1+Inputs!$B$13/100))-(Inputs!$B$12*(1+Inputs!$B$13/100)))+0.25*(Inputs!$B$14-Inputs!$B$14))*(1+Inputs!$B$7/100))*(F1207/100)</f>
        <v/>
      </c>
      <c r="K1207">
        <f>J1207*(1+((Inputs!$B$12*(1+Inputs!$B$13/100))*0.01+Inputs!$B$14*0.0025)/100)*(1+Inputs!$B$15/100)*(1+Inputs!$B$16/100)*(5000/(6000+Inputs!$B$42*(1-(100*(1-(1-(Inputs!$B$19+0)/100)*(1-CHOOSE(ArtifactsInput!$N$40+1,5,6,7,8,9,10)/100)^(ArtifactsInput!$M$40-ArtifactsInput!$M$40)))/100)))*(1+(Inputs!$B$24+((C1220=TRUE)*(F1220-Calc!F24))+((C1221=TRUE)*(F1221-Calc!F25))+B1234)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11="EMPOWERED_PIERCING_ARROW",Inputs!$B$17+((C1218=TRUE)*(F1218-Calc!F22))+(((IF(AND(ArtifactsInput!$M$42,((Inputs!$B$9+((C1215=TRUE)*(F1215-Calc!F19))+B1228+(ArtifactsInput!$M$24-ArtifactsInput!$M$24)*CHOOSE(ArtifactsInput!$N$24+1,10,12,14,16,18,20)+IF(ArtifactsInput!$M$10,CHOOSE(ArtifactsInput!$N$10+1,15,18,21,24,27,30)*(IF(Inputs!$B$38="pvp",MIN(15,15)/15,IF(AND(Inputs!$B$38&lt;&gt;"pvp",Inputs!$B$43&gt;0),MIN(15,Inputs!$B$43)/(Inputs!$B$43),0))),0)))&gt;=100),MIN(100,((Inputs!$B$9+((C1215=TRUE)*(F1215-Calc!F19))+B1228+(ArtifactsInput!$M$24-ArtifactsInput!$M$24)*CHOOSE(ArtifactsInput!$N$24+1,10,12,14,16,18,20)+IF(ArtifactsInput!$M$10,CHOOSE(ArtifactsInput!$N$10+1,15,18,21,24,27,30)*(IF(Inputs!$B$38="pvp",MIN(15,15)/15,IF(AND(Inputs!$B$38&lt;&gt;"pvp",Inputs!$B$43&gt;0),MIN(15,Inputs!$B$43)/(Inputs!$B$43),0))),0)))-100),0))*CHOOSE(ArtifactsInput!$N$42+1,0.6,0.72,0.84,0.96,1.08,1.2))),Inputs!$B$18+((C1223=TRUE)*(F1223-Calc!F27))+(IF(AND(ArtifactsInput!$M$42,((Inputs!$B$9+((C1215=TRUE)*(F1215-Calc!F19))+B1228+(ArtifactsInput!$M$24-ArtifactsInput!$M$24)*CHOOSE(ArtifactsInput!$N$24+1,10,12,14,16,18,20)+IF(ArtifactsInput!$M$10,CHOOSE(ArtifactsInput!$N$10+1,15,18,21,24,27,30)*(IF(Inputs!$B$38="pvp",MIN(15,15)/15,IF(AND(Inputs!$B$38&lt;&gt;"pvp",Inputs!$B$43&gt;0),MIN(15,Inputs!$B$43)/(Inputs!$B$43),0))),0)))&gt;=100),CHOOSE(ArtifactsInput!$N$42+1,40,48,56,64,72,80),0))))/100)*((1+(((C1209=TRUE)*F1209)+((C1210=TRUE)*IF(Inputs!$B$38="pvp",F1210,(1-Summary!$B$11)*(F1210)+Summary!$B$11*(0)))+((C1211=TRUE)*F1211*IF(AND(Inputs!$B$38&lt;&gt;"pvp",Inputs!$B$43&gt;0),(((R1211-1)*(Skills!T15*(1+(Inputs!$B$34+1)/100))+MIN((Skills!T15*(1+(Inputs!$B$34+1)/100)),MAX(0,Inputs!$B$43-((R1211-1)*Skills!D15))))/Inputs!$B$43),IF(Inputs!$B$38="pvp",MIN((Skills!T15*(1+(Inputs!$B$34+1)/100)),15)/15,(Skills!T15*(1+(Inputs!$B$34+1)/100))/Skills!D15)))+((C1208=TRUE)*F1208)+((C1225=TRUE)*(F1225-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1207)</f>
        <v/>
      </c>
      <c r="L1207">
        <f>K1207*(MIN(Inputs!$B$22+((C1219=TRUE)*(F1219-Calc!F23)),(Inputs!$B$23+((C1224=TRUE)*(F1224-Calc!F28))+(IF(ArtifactsInput!$M$15,CHOOSE(ArtifactsInput!$N$15+1,25,30,35,40,45,50)/100*(Inputs!$B$11-Inputs!$B$11),0))))/100+(Inputs!$B$23+((C1224=TRUE)*(F1224-Calc!F28))+(IF(ArtifactsInput!$M$15,CHOOSE(ArtifactsInput!$N$15+1,25,30,35,40,45,50)/100*(Inputs!$B$11-Inputs!$B$11),0)))/100)/2</f>
        <v/>
      </c>
      <c r="M1207">
        <f>L1207*(1+(Inputs!$B$10+0+B1233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207">
        <f>L1207*(1-MIN((Inputs!$B$9+((C1215=TRUE)*(F1215-Calc!F19))+B1228+(ArtifactsInput!$M$24-ArtifactsInput!$M$24)*CHOOSE(ArtifactsInput!$N$24+1,10,12,14,16,18,20)+(IF(AND(ArtifactsInput!$M$42,((Inputs!$B$9+((C1215=TRUE)*(F1215-Calc!F19))+B1228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1207*(MIN((Inputs!$B$9+((C1215=TRUE)*(F1215-Calc!F19))+B1228+(ArtifactsInput!$M$24-ArtifactsInput!$M$24)*CHOOSE(ArtifactsInput!$N$24+1,10,12,14,16,18,20)+(IF(AND(ArtifactsInput!$M$42,((Inputs!$B$9+((C1215=TRUE)*(F1215-Calc!F19))+B1228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207">
        <f>(1-Summary!$B$11)*T1207+Summary!$B$11*V1207</f>
        <v/>
      </c>
      <c r="P1207">
        <f>IF(B1238=0,0,O1207/B1238)</f>
        <v/>
      </c>
      <c r="Q1207">
        <f>IFERROR(1/IF(Inputs!$B$38="pvp",15,MAX(0.1,Skills!D11-IF(Skills!E11=TRUE,Inputs!$B$32,0))),0)</f>
        <v/>
      </c>
      <c r="R1207">
        <f>IF(AND(Inputs!$B$38&lt;&gt;"pvp",Inputs!$B$43&gt;0),IF(MAX(0,Inputs!$B$43-B1235)&lt;=0,0,(INT(MAX(0,Inputs!$B$43-B1235)/IF(Inputs!$B$38="pvp",15,MAX(0.1,Skills!D11-IF(Skills!E11=TRUE,Inputs!$B$32,0))))+1)),0)</f>
        <v/>
      </c>
      <c r="S1207">
        <f>IFERROR((H1207*N1207*IF(AND(Inputs!$B$38&lt;&gt;"pvp",Inputs!$B$43&gt;0),((Skills!G11*((R1207-1)*IF(Skills!H11&gt;0,Skills!I11/Skills!H11,1)+IF(Skills!H11&gt;0,MIN(Skills!I11,MAX(0,MAX(0,Inputs!$B$43-B1235)-((R1207-1)*IF(Inputs!$B$38="pvp",15,MAX(0.1,Skills!D11-IF(Skills!E11=TRUE,Inputs!$B$32,0))))))/Skills!H11,1)))/Inputs!$B$43),G1207*Q1207))/N1207*IF(Inputs!$B$38="pvp",1,(1-Summary!$B$11)*1+Summary!$B$11*(MIN(Skills!R11,Inputs!$B$37))),0)</f>
        <v/>
      </c>
      <c r="T1207">
        <f>IF(C1207,(H1207*N1207*IF(AND(Inputs!$B$38&lt;&gt;"pvp",Inputs!$B$43&gt;0),((Skills!G11*((R1207-1)*IF(Skills!H11&gt;0,Skills!I11/Skills!H11,1)+IF(Skills!H11&gt;0,MIN(Skills!I11,MAX(0,MAX(0,Inputs!$B$43-B1235)-((R1207-1)*IF(Inputs!$B$38="pvp",15,MAX(0.1,Skills!D11-IF(Skills!E11=TRUE,Inputs!$B$32,0))))))/Skills!H11,1)))/Inputs!$B$43),G1207*Q1207))*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Hunt"),CHOOSE(ArtifactsInput!$N$35+1,15,18,21,24,27,30)*(1-EXP(-(0.2*B1230)*5)),0)+IF(AND(ArtifactsInput!$M$22,Inputs!$B$4&lt;&gt;"Chapter Hunt"),CHOOSE(ArtifactsInput!$N$22+1,10,12,14,16,18,20)*((0*(((0.15*B1230*5))^0/1)+1*(((0.15*B1230*5))^1/1)+2*(((0.15*B1230*5))^2/2)+3*(((0.15*B1230*5))^3/6)+4*(((0.15*B1230*5))^4/24)+5*(((0.15*B1230*5))^5/120))/((((0.15*B1230*5))^0/1)+(((0.15*B1230*5))^1/1)+(((0.15*B1230*5))^2/2)+(((0.15*B1230*5))^3/6)+(((0.15*B1230*5))^4/24)+(((0.15*B1230*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1207*(1-MIN(100,(Inputs!$B$9+((C1215=TRUE)*(F1215-Calc!F19))+B1228+(ArtifactsInput!$M$24-ArtifactsInput!$M$24)*CHOOSE(ArtifactsInput!$N$24+1,10,12,14,16,18,20)+(IF(AND(ArtifactsInput!$M$42,((Inputs!$B$9+((C1215=TRUE)*(F1215-Calc!F19))+B1228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1207*(MIN(100,(Inputs!$B$9+((C1215=TRUE)*(F1215-Calc!F19))+B1228+(ArtifactsInput!$M$24-ArtifactsInput!$M$24)*CHOOSE(ArtifactsInput!$N$24+1,10,12,14,16,18,20)+(IF(AND(ArtifactsInput!$M$42,((Inputs!$B$9+((C1215=TRUE)*(F1215-Calc!F19))+B1228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1207*(1-MIN(100,(Inputs!$B$9+((C1215=TRUE)*(F1215-Calc!F19))+B1228+(ArtifactsInput!$M$24-ArtifactsInput!$M$24)*CHOOSE(ArtifactsInput!$N$24+1,10,12,14,16,18,20)+(IF(AND(ArtifactsInput!$M$42,((Inputs!$B$9+((C1215=TRUE)*(F1215-Calc!F19))+B1228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1207*(MIN(100,(Inputs!$B$9+((C1215=TRUE)*(F1215-Calc!F19))+B1228+(ArtifactsInput!$M$24-ArtifactsInput!$M$24)*CHOOSE(ArtifactsInput!$N$24+1,10,12,14,16,18,20)+(IF(AND(ArtifactsInput!$M$42,((Inputs!$B$9+((C1215=TRUE)*(F1215-Calc!F19))+B1228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207">
        <f>IF(C1207,(H1207*N1207*IF(AND(Inputs!$B$38&lt;&gt;"pvp",Inputs!$B$43&gt;0),((Skills!G11*((R1207-1)*IF(Skills!H11&gt;0,Skills!I11/Skills!H11,1)+IF(Skills!H11&gt;0,MIN(Skills!I11,MAX(0,MAX(0,Inputs!$B$43-B1235)-((R1207-1)*IF(Inputs!$B$38="pvp",15,MAX(0.1,Skills!D11-IF(Skills!E11=TRUE,Inputs!$B$32,0))))))/Skills!H11,1)))/Inputs!$B$43),G1207*Q1207))*IF(Inputs!$B$38="pvp",1,(1+(Inputs!$B$21+Skills!Q11+(IF(ArtifactsInput!$M$33,CHOOSE(ArtifactsInput!$N$33+1,30,36,42,48,54,60),0))+(IF(AND(ArtifactsInput!$M$35,Inputs!$B$4&lt;&gt;"Chapter Hunt"),CHOOSE(ArtifactsInput!$N$35+1,15,18,21,24,27,30)*(1-EXP(-(0.2*B1230)*5)),0)+IF(AND(ArtifactsInput!$M$22,Inputs!$B$4&lt;&gt;"Chapter Hunt"),CHOOSE(ArtifactsInput!$N$22+1,10,12,14,16,18,20)*((0*(((0.15*B1230*5))^0/1)+1*(((0.15*B1230*5))^1/1)+2*(((0.15*B1230*5))^2/2)+3*(((0.15*B1230*5))^3/6)+4*(((0.15*B1230*5))^4/24)+5*(((0.15*B1230*5))^5/120))/((((0.15*B1230*5))^0/1)+(((0.15*B1230*5))^1/1)+(((0.15*B1230*5))^2/2)+(((0.15*B1230*5))^3/6)+(((0.15*B1230*5))^4/24)+(((0.15*B1230*5))^5/120))),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208">
      <c r="A1208">
        <f>Skills!A12</f>
        <v/>
      </c>
      <c r="B1208">
        <f>Skills!B12</f>
        <v/>
      </c>
      <c r="C1208">
        <f>Inputs!$B$3&gt;=60</f>
        <v/>
      </c>
      <c r="D1208">
        <f>IF(Skills!C12=1,60+Inputs!$B$25+Inputs!$B$29,IF(Skills!C12=2,90+Inputs!$B$26+Inputs!$B$29,IF(Skills!C12=3,120+Inputs!$B$27+Inputs!$B$29,MAX(0,(Inputs!$B$3-100)*3)+Inputs!$B$28+Inputs!$B$29)))</f>
        <v/>
      </c>
      <c r="E1208">
        <f>INDEX(FactorTable!$B$2:$Y$301, MATCH(ROUND(MIN(300,MAX(1,D1208)),0), FactorTable!$A$2:$A$301,0), Skills!M12+1)</f>
        <v/>
      </c>
      <c r="F1208">
        <f>IF(Skills!N12=TRUE,(Skills!L12/10)*(E1208/1000),Skills!L12/10)+Skills!O12</f>
        <v/>
      </c>
      <c r="G1208">
        <f>Skills!G12*IF(Skills!H12&gt;0,Skills!I12/Skills!H12,1)</f>
        <v/>
      </c>
      <c r="H1208">
        <f>1-(1-Skills!J12/100)^Skills!K12</f>
        <v/>
      </c>
      <c r="I1208" t="inlineStr">
        <is>
          <t>1</t>
        </is>
      </c>
      <c r="J1208" t="inlineStr"/>
      <c r="K1208" t="inlineStr"/>
      <c r="L1208" t="inlineStr"/>
      <c r="M1208" t="inlineStr"/>
      <c r="N1208" t="inlineStr"/>
      <c r="O1208">
        <f>(1-Summary!$B$11)*T1208+Summary!$B$11*V1208</f>
        <v/>
      </c>
      <c r="P1208">
        <f>IF(B1238=0,0,O1208/B1238)</f>
        <v/>
      </c>
      <c r="Q1208" t="n">
        <v>0</v>
      </c>
      <c r="R1208" t="n">
        <v>0</v>
      </c>
      <c r="S1208" t="n">
        <v>0</v>
      </c>
      <c r="T1208" t="n">
        <v>0</v>
      </c>
      <c r="V1208" t="n">
        <v>0</v>
      </c>
    </row>
    <row r="1209">
      <c r="A1209">
        <f>Skills!A13</f>
        <v/>
      </c>
      <c r="B1209">
        <f>Skills!B13</f>
        <v/>
      </c>
      <c r="C1209">
        <f>Inputs!$B$3&gt;=74</f>
        <v/>
      </c>
      <c r="D1209">
        <f>IF(Skills!C13=1,60+Inputs!$B$25+Inputs!$B$29,IF(Skills!C13=2,90+Inputs!$B$26+Inputs!$B$29,IF(Skills!C13=3,120+Inputs!$B$27+Inputs!$B$29,MAX(0,(Inputs!$B$3-100)*3)+Inputs!$B$28+Inputs!$B$29)))</f>
        <v/>
      </c>
      <c r="E1209">
        <f>INDEX(FactorTable!$B$2:$Y$301, MATCH(ROUND(MIN(300,MAX(1,D1209)),0), FactorTable!$A$2:$A$301,0), Skills!M13+1)</f>
        <v/>
      </c>
      <c r="F1209">
        <f>IF(Skills!N13=TRUE,(Skills!L13/10)*(E1209/1000),Skills!L13/10)+Skills!O13</f>
        <v/>
      </c>
      <c r="G1209">
        <f>Skills!G13*IF(Skills!H13&gt;0,Skills!I13/Skills!H13,1)</f>
        <v/>
      </c>
      <c r="H1209">
        <f>1-(1-Skills!J13/100)^Skills!K13</f>
        <v/>
      </c>
      <c r="I1209" t="inlineStr">
        <is>
          <t>1</t>
        </is>
      </c>
      <c r="J1209" t="inlineStr"/>
      <c r="K1209" t="inlineStr"/>
      <c r="L1209" t="inlineStr"/>
      <c r="M1209" t="inlineStr"/>
      <c r="N1209" t="inlineStr"/>
      <c r="O1209">
        <f>(1-Summary!$B$11)*T1209+Summary!$B$11*V1209</f>
        <v/>
      </c>
      <c r="P1209">
        <f>IF(B1238=0,0,O1209/B1238)</f>
        <v/>
      </c>
      <c r="Q1209" t="n">
        <v>0</v>
      </c>
      <c r="R1209" t="n">
        <v>0</v>
      </c>
      <c r="S1209" t="n">
        <v>0</v>
      </c>
      <c r="T1209" t="n">
        <v>0</v>
      </c>
      <c r="V1209" t="n">
        <v>0</v>
      </c>
    </row>
    <row r="1210">
      <c r="A1210">
        <f>Skills!A14</f>
        <v/>
      </c>
      <c r="B1210">
        <f>Skills!B14</f>
        <v/>
      </c>
      <c r="C1210">
        <f>Inputs!$B$3&gt;=74</f>
        <v/>
      </c>
      <c r="D1210">
        <f>IF(Skills!C14=1,60+Inputs!$B$25+Inputs!$B$29,IF(Skills!C14=2,90+Inputs!$B$26+Inputs!$B$29,IF(Skills!C14=3,120+Inputs!$B$27+Inputs!$B$29,MAX(0,(Inputs!$B$3-100)*3)+Inputs!$B$28+Inputs!$B$29)))</f>
        <v/>
      </c>
      <c r="E1210">
        <f>INDEX(FactorTable!$B$2:$Y$301, MATCH(ROUND(MIN(300,MAX(1,D1210)),0), FactorTable!$A$2:$A$301,0), Skills!M14+1)</f>
        <v/>
      </c>
      <c r="F1210">
        <f>IF(Skills!N14=TRUE,(Skills!L14/10)*(E1210/1000),Skills!L14/10)+Skills!O14</f>
        <v/>
      </c>
      <c r="G1210">
        <f>Skills!G14*IF(Skills!H14&gt;0,Skills!I14/Skills!H14,1)</f>
        <v/>
      </c>
      <c r="H1210">
        <f>1-(1-Skills!J14/100)^Skills!K14</f>
        <v/>
      </c>
      <c r="I1210" t="inlineStr">
        <is>
          <t>1</t>
        </is>
      </c>
      <c r="J1210" t="inlineStr"/>
      <c r="K1210" t="inlineStr"/>
      <c r="L1210" t="inlineStr"/>
      <c r="M1210" t="inlineStr"/>
      <c r="N1210" t="inlineStr"/>
      <c r="O1210">
        <f>(1-Summary!$B$11)*T1210+Summary!$B$11*V1210</f>
        <v/>
      </c>
      <c r="P1210">
        <f>IF(B1238=0,0,O1210/B1238)</f>
        <v/>
      </c>
      <c r="Q1210" t="n">
        <v>0</v>
      </c>
      <c r="R1210" t="n">
        <v>0</v>
      </c>
      <c r="S1210" t="n">
        <v>0</v>
      </c>
      <c r="T1210" t="n">
        <v>0</v>
      </c>
      <c r="V1210" t="n">
        <v>0</v>
      </c>
    </row>
    <row r="1211">
      <c r="A1211">
        <f>Skills!A15</f>
        <v/>
      </c>
      <c r="B1211">
        <f>Skills!B15</f>
        <v/>
      </c>
      <c r="C1211">
        <f>Inputs!$B$3&gt;=117</f>
        <v/>
      </c>
      <c r="D1211">
        <f>IF(Skills!C15=1,60+Inputs!$B$25+Inputs!$B$29,IF(Skills!C15=2,90+Inputs!$B$26+Inputs!$B$29,IF(Skills!C15=3,120+Inputs!$B$27+Inputs!$B$29,MAX(0,(Inputs!$B$3-100)*3)+Inputs!$B$28+Inputs!$B$29)))</f>
        <v/>
      </c>
      <c r="E1211">
        <f>INDEX(FactorTable!$B$2:$Y$301, MATCH(ROUND(MIN(300,MAX(1,D1211)),0), FactorTable!$A$2:$A$301,0), Skills!M15+1)</f>
        <v/>
      </c>
      <c r="F1211">
        <f>IF(Skills!N15=TRUE,(Skills!L15/10)*(E1211/1000),Skills!L15/10)+Skills!O15</f>
        <v/>
      </c>
      <c r="G1211">
        <f>Skills!G15*IF(Skills!H15&gt;0,Skills!I15/Skills!H15,1)</f>
        <v/>
      </c>
      <c r="H1211">
        <f>1-(1-Skills!J15/100)^Skills!K15</f>
        <v/>
      </c>
      <c r="I1211" t="inlineStr">
        <is>
          <t>1</t>
        </is>
      </c>
      <c r="J1211" t="inlineStr"/>
      <c r="K1211" t="inlineStr"/>
      <c r="L1211" t="inlineStr"/>
      <c r="M1211" t="inlineStr"/>
      <c r="N1211" t="inlineStr"/>
      <c r="O1211">
        <f>(1-Summary!$B$11)*T1211+Summary!$B$11*V1211</f>
        <v/>
      </c>
      <c r="P1211">
        <f>IF(B1238=0,0,O1211/B1238)</f>
        <v/>
      </c>
      <c r="Q1211">
        <f>IFERROR(1/IF(Inputs!$B$38="pvp",15,MAX(0.1,Skills!D15-IF(Skills!E15=TRUE,Inputs!$B$32,0))),0)</f>
        <v/>
      </c>
      <c r="R1211">
        <f>IF(AND(Inputs!$B$38&lt;&gt;"pvp",Inputs!$B$43&gt;0),IF(Inputs!$B$43&lt;=0,0,(INT(Inputs!$B$43/IF(Inputs!$B$38="pvp",15,MAX(0.1,Skills!D15-IF(Skills!E15=TRUE,Inputs!$B$32,0))))+1)),0)</f>
        <v/>
      </c>
      <c r="S1211" t="n">
        <v>0</v>
      </c>
      <c r="T1211" t="n">
        <v>0</v>
      </c>
      <c r="V1211" t="n">
        <v>0</v>
      </c>
    </row>
    <row r="1212">
      <c r="A1212">
        <f>Skills!A16</f>
        <v/>
      </c>
      <c r="B1212">
        <f>Skills!B16</f>
        <v/>
      </c>
      <c r="C1212">
        <f>Inputs!$B$3&gt;=115</f>
        <v/>
      </c>
      <c r="D1212">
        <f>IF(Skills!C16=1,60+Inputs!$B$25+Inputs!$B$29,IF(Skills!C16=2,90+Inputs!$B$26+Inputs!$B$29,IF(Skills!C16=3,120+Inputs!$B$27+Inputs!$B$29,MAX(0,(Inputs!$B$3-100)*3)+Inputs!$B$28+Inputs!$B$29)))</f>
        <v/>
      </c>
      <c r="E1212">
        <f>INDEX(FactorTable!$B$2:$Y$301, MATCH(ROUND(MIN(300,MAX(1,D1212)),0), FactorTable!$A$2:$A$301,0), Skills!M16+1)</f>
        <v/>
      </c>
      <c r="F1212">
        <f>IF(Skills!N16=TRUE,(Skills!L16/10)*(E1212/1000),Skills!L16/10)+Skills!O16</f>
        <v/>
      </c>
      <c r="G1212">
        <f>Skills!G16*IF(Skills!H16&gt;0,Skills!I16/Skills!H16,1)</f>
        <v/>
      </c>
      <c r="H1212">
        <f>1-(1-Skills!J16/100)^Skills!K16</f>
        <v/>
      </c>
      <c r="I1212" t="inlineStr">
        <is>
          <t>1</t>
        </is>
      </c>
      <c r="J1212" t="inlineStr"/>
      <c r="K1212" t="inlineStr"/>
      <c r="L1212" t="inlineStr"/>
      <c r="M1212" t="inlineStr"/>
      <c r="N1212" t="inlineStr"/>
      <c r="O1212">
        <f>(1-Summary!$B$11)*T1212+Summary!$B$11*V1212</f>
        <v/>
      </c>
      <c r="P1212">
        <f>IF(B1238=0,0,O1212/B1238)</f>
        <v/>
      </c>
      <c r="Q1212">
        <f>IFERROR(1/IF(Inputs!$B$38="pvp",15,MAX(0.1,Skills!D16-IF(Skills!E16=TRUE,Inputs!$B$32,0))),0)</f>
        <v/>
      </c>
      <c r="R1212">
        <f>IF(AND(Inputs!$B$38&lt;&gt;"pvp",Inputs!$B$43&gt;0),IF(Inputs!$B$43&lt;=0,0,(INT(Inputs!$B$43/IF(Inputs!$B$38="pvp",15,MAX(0.1,Skills!D16-IF(Skills!E16=TRUE,Inputs!$B$32,0))))+1)),0)</f>
        <v/>
      </c>
      <c r="S1212" t="n">
        <v>0</v>
      </c>
      <c r="T1212" t="n">
        <v>0</v>
      </c>
      <c r="V1212" t="n">
        <v>0</v>
      </c>
    </row>
    <row r="1213">
      <c r="A1213">
        <f>Skills!A17</f>
        <v/>
      </c>
      <c r="B1213">
        <f>Skills!B17</f>
        <v/>
      </c>
      <c r="C1213">
        <f>Inputs!$B$3&gt;=72</f>
        <v/>
      </c>
      <c r="D1213">
        <f>IF(Skills!C17=1,60+Inputs!$B$25+Inputs!$B$29,IF(Skills!C17=2,90+Inputs!$B$26+Inputs!$B$29,IF(Skills!C17=3,120+Inputs!$B$27+Inputs!$B$29,MAX(0,(Inputs!$B$3-100)*3)+Inputs!$B$28+Inputs!$B$29)))</f>
        <v/>
      </c>
      <c r="E1213">
        <f>INDEX(FactorTable!$B$2:$Y$301, MATCH(ROUND(MIN(300,MAX(1,D1213)),0), FactorTable!$A$2:$A$301,0), Skills!M17+1)</f>
        <v/>
      </c>
      <c r="F1213">
        <f>IF(Skills!N17=TRUE,(Skills!L17/10)*(E1213/1000),Skills!L17/10)+Skills!O17</f>
        <v/>
      </c>
      <c r="G1213">
        <f>Skills!G17*IF(Skills!H17&gt;0,Skills!I17/Skills!H17,1)</f>
        <v/>
      </c>
      <c r="H1213">
        <f>1-(1-Skills!J17/100)^Skills!K17</f>
        <v/>
      </c>
      <c r="I1213" t="inlineStr">
        <is>
          <t>1</t>
        </is>
      </c>
      <c r="J1213" t="inlineStr"/>
      <c r="K1213" t="inlineStr"/>
      <c r="L1213" t="inlineStr"/>
      <c r="M1213" t="inlineStr"/>
      <c r="N1213" t="inlineStr"/>
      <c r="O1213">
        <f>(1-Summary!$B$11)*T1213+Summary!$B$11*V1213</f>
        <v/>
      </c>
      <c r="P1213">
        <f>IF(B1238=0,0,O1213/B1238)</f>
        <v/>
      </c>
      <c r="Q1213" t="n">
        <v>0</v>
      </c>
      <c r="R1213" t="n">
        <v>0</v>
      </c>
      <c r="S1213" t="n">
        <v>0</v>
      </c>
      <c r="T1213" t="n">
        <v>0</v>
      </c>
      <c r="V1213" t="n">
        <v>0</v>
      </c>
    </row>
    <row r="1214">
      <c r="A1214">
        <f>Skills!A18</f>
        <v/>
      </c>
      <c r="B1214">
        <f>Skills!B18</f>
        <v/>
      </c>
      <c r="C1214">
        <f>TRUE</f>
        <v/>
      </c>
      <c r="D1214">
        <f>IF(Skills!C18=1,60+Inputs!$B$25+Inputs!$B$29,IF(Skills!C18=2,90+Inputs!$B$26+Inputs!$B$29,IF(Skills!C18=3,120+Inputs!$B$27+Inputs!$B$29,MAX(0,(Inputs!$B$3-100)*3)+Inputs!$B$28+Inputs!$B$29)))</f>
        <v/>
      </c>
      <c r="E1214">
        <f>INDEX(FactorTable!$B$2:$Y$301, MATCH(ROUND(MIN(300,MAX(1,D1214)),0), FactorTable!$A$2:$A$301,0), Skills!M18+1)</f>
        <v/>
      </c>
      <c r="F1214">
        <f>IF(Skills!N18=TRUE,(Skills!L18/10)*(E1214/1000),Skills!L18/10)+Skills!O18</f>
        <v/>
      </c>
      <c r="G1214">
        <f>Skills!G18*IF(Skills!H18&gt;0,Skills!I18/Skills!H18,1)</f>
        <v/>
      </c>
      <c r="H1214">
        <f>1-(1-Skills!J18/100)^Skills!K18</f>
        <v/>
      </c>
      <c r="I1214" t="inlineStr">
        <is>
          <t>1</t>
        </is>
      </c>
      <c r="J1214" t="inlineStr"/>
      <c r="K1214" t="inlineStr"/>
      <c r="L1214" t="inlineStr"/>
      <c r="M1214" t="inlineStr"/>
      <c r="N1214" t="inlineStr"/>
      <c r="O1214">
        <f>(1-Summary!$B$11)*T1214+Summary!$B$11*V1214</f>
        <v/>
      </c>
      <c r="P1214">
        <f>IF(B1238=0,0,O1214/B1238)</f>
        <v/>
      </c>
      <c r="Q1214">
        <f>IFERROR(1/IF(Inputs!$B$38="pvp",15,MAX(0.1,Skills!D18-IF(Skills!E18=TRUE,Inputs!$B$32,0))),0)</f>
        <v/>
      </c>
      <c r="R1214">
        <f>IF(AND(Inputs!$B$38&lt;&gt;"pvp",Inputs!$B$43&gt;0),IF(Inputs!$B$43&lt;=0,0,(INT(Inputs!$B$43/IF(Inputs!$B$38="pvp",15,MAX(0.1,Skills!D18-IF(Skills!E18=TRUE,Inputs!$B$32,0))))+1)),0)</f>
        <v/>
      </c>
      <c r="S1214" t="n">
        <v>0</v>
      </c>
      <c r="T1214" t="n">
        <v>0</v>
      </c>
      <c r="V1214" t="n">
        <v>0</v>
      </c>
    </row>
    <row r="1215">
      <c r="A1215">
        <f>Skills!A19</f>
        <v/>
      </c>
      <c r="B1215">
        <f>Skills!B19</f>
        <v/>
      </c>
      <c r="C1215">
        <f>Inputs!$B$3&gt;=15</f>
        <v/>
      </c>
      <c r="D1215">
        <f>IF(Skills!C19=1,60+Inputs!$B$25+Inputs!$B$29,IF(Skills!C19=2,90+Inputs!$B$26+Inputs!$B$29,IF(Skills!C19=3,120+Inputs!$B$27+Inputs!$B$29,MAX(0,(Inputs!$B$3-100)*3)+Inputs!$B$28+Inputs!$B$29)))</f>
        <v/>
      </c>
      <c r="E1215">
        <f>INDEX(FactorTable!$B$2:$Y$301, MATCH(ROUND(MIN(300,MAX(1,D1215)),0), FactorTable!$A$2:$A$301,0), Skills!M19+1)</f>
        <v/>
      </c>
      <c r="F1215">
        <f>IF(Skills!N19=TRUE,(Skills!L19/10)*(E1215/1000),Skills!L19/10)+Skills!O19</f>
        <v/>
      </c>
      <c r="G1215">
        <f>Skills!G19*IF(Skills!H19&gt;0,Skills!I19/Skills!H19,1)</f>
        <v/>
      </c>
      <c r="H1215">
        <f>1-(1-Skills!J19/100)^Skills!K19</f>
        <v/>
      </c>
      <c r="I1215" t="inlineStr">
        <is>
          <t>1</t>
        </is>
      </c>
      <c r="J1215" t="inlineStr"/>
      <c r="K1215" t="inlineStr"/>
      <c r="L1215" t="inlineStr"/>
      <c r="M1215" t="inlineStr"/>
      <c r="N1215" t="inlineStr"/>
      <c r="O1215">
        <f>(1-Summary!$B$11)*T1215+Summary!$B$11*V1215</f>
        <v/>
      </c>
      <c r="P1215">
        <f>IF(B1238=0,0,O1215/B1238)</f>
        <v/>
      </c>
      <c r="Q1215" t="n">
        <v>0</v>
      </c>
      <c r="R1215" t="n">
        <v>0</v>
      </c>
      <c r="S1215" t="n">
        <v>0</v>
      </c>
      <c r="T1215" t="n">
        <v>0</v>
      </c>
      <c r="V1215" t="n">
        <v>0</v>
      </c>
    </row>
    <row r="1216">
      <c r="A1216">
        <f>Skills!A20</f>
        <v/>
      </c>
      <c r="B1216">
        <f>Skills!B20</f>
        <v/>
      </c>
      <c r="C1216">
        <f>Inputs!$B$3&gt;=10</f>
        <v/>
      </c>
      <c r="D1216">
        <f>IF(Skills!C20=1,60+Inputs!$B$25+Inputs!$B$29,IF(Skills!C20=2,90+Inputs!$B$26+Inputs!$B$29,IF(Skills!C20=3,120+Inputs!$B$27+Inputs!$B$29,MAX(0,(Inputs!$B$3-100)*3)+Inputs!$B$28+Inputs!$B$29)))</f>
        <v/>
      </c>
      <c r="E1216">
        <f>INDEX(FactorTable!$B$2:$Y$301, MATCH(ROUND(MIN(300,MAX(1,D1216)),0), FactorTable!$A$2:$A$301,0), Skills!M20+1)</f>
        <v/>
      </c>
      <c r="F1216">
        <f>IF(Skills!N20=TRUE,(Skills!L20/10)*(E1216/1000),Skills!L20/10)+Skills!O20</f>
        <v/>
      </c>
      <c r="G1216">
        <f>Skills!G20*IF(Skills!H20&gt;0,Skills!I20/Skills!H20,1)</f>
        <v/>
      </c>
      <c r="H1216">
        <f>1-(1-Skills!J20/100)^Skills!K20</f>
        <v/>
      </c>
      <c r="I1216" t="inlineStr">
        <is>
          <t>1</t>
        </is>
      </c>
      <c r="J1216" t="inlineStr"/>
      <c r="K1216" t="inlineStr"/>
      <c r="L1216" t="inlineStr"/>
      <c r="M1216" t="inlineStr"/>
      <c r="N1216" t="inlineStr"/>
      <c r="O1216">
        <f>(1-Summary!$B$11)*T1216+Summary!$B$11*V1216</f>
        <v/>
      </c>
      <c r="P1216">
        <f>IF(B1238=0,0,O1216/B1238)</f>
        <v/>
      </c>
      <c r="Q1216" t="n">
        <v>0</v>
      </c>
      <c r="R1216" t="n">
        <v>0</v>
      </c>
      <c r="S1216" t="n">
        <v>0</v>
      </c>
      <c r="T1216" t="n">
        <v>0</v>
      </c>
      <c r="V1216" t="n">
        <v>0</v>
      </c>
    </row>
    <row r="1217">
      <c r="A1217">
        <f>Skills!A21</f>
        <v/>
      </c>
      <c r="B1217">
        <f>Skills!B21</f>
        <v/>
      </c>
      <c r="C1217">
        <f>Inputs!$B$3&gt;=33</f>
        <v/>
      </c>
      <c r="D1217">
        <f>IF(Skills!C21=1,60+Inputs!$B$25+Inputs!$B$29,IF(Skills!C21=2,90+Inputs!$B$26+Inputs!$B$29,IF(Skills!C21=3,120+Inputs!$B$27+Inputs!$B$29,MAX(0,(Inputs!$B$3-100)*3)+Inputs!$B$28+Inputs!$B$29)))</f>
        <v/>
      </c>
      <c r="E1217">
        <f>INDEX(FactorTable!$B$2:$Y$301, MATCH(ROUND(MIN(300,MAX(1,D1217)),0), FactorTable!$A$2:$A$301,0), Skills!M21+1)</f>
        <v/>
      </c>
      <c r="F1217">
        <f>IF(Skills!N21=TRUE,(Skills!L21/10)*(E1217/1000),Skills!L21/10)+Skills!O21</f>
        <v/>
      </c>
      <c r="G1217">
        <f>Skills!G21*IF(Skills!H21&gt;0,Skills!I21/Skills!H21,1)</f>
        <v/>
      </c>
      <c r="H1217">
        <f>1-(1-Skills!J21/100)^Skills!K21</f>
        <v/>
      </c>
      <c r="I1217" t="inlineStr">
        <is>
          <t>1</t>
        </is>
      </c>
      <c r="J1217" t="inlineStr"/>
      <c r="K1217" t="inlineStr"/>
      <c r="L1217" t="inlineStr"/>
      <c r="M1217" t="inlineStr"/>
      <c r="N1217" t="inlineStr"/>
      <c r="O1217">
        <f>(1-Summary!$B$11)*T1217+Summary!$B$11*V1217</f>
        <v/>
      </c>
      <c r="P1217">
        <f>IF(B1238=0,0,O1217/B1238)</f>
        <v/>
      </c>
      <c r="Q1217" t="n">
        <v>0</v>
      </c>
      <c r="R1217" t="n">
        <v>0</v>
      </c>
      <c r="S1217" t="n">
        <v>0</v>
      </c>
      <c r="T1217" t="n">
        <v>0</v>
      </c>
      <c r="V1217" t="n">
        <v>0</v>
      </c>
    </row>
    <row r="1218">
      <c r="A1218">
        <f>Skills!A22</f>
        <v/>
      </c>
      <c r="B1218">
        <f>Skills!B22</f>
        <v/>
      </c>
      <c r="C1218">
        <f>Inputs!$B$3&gt;=38</f>
        <v/>
      </c>
      <c r="D1218">
        <f>IF(Skills!C22=1,60+Inputs!$B$25+Inputs!$B$29,IF(Skills!C22=2,90+Inputs!$B$26+Inputs!$B$29,IF(Skills!C22=3,120+Inputs!$B$27+Inputs!$B$29,MAX(0,(Inputs!$B$3-100)*3)+Inputs!$B$28+Inputs!$B$29)))</f>
        <v/>
      </c>
      <c r="E1218">
        <f>INDEX(FactorTable!$B$2:$Y$301, MATCH(ROUND(MIN(300,MAX(1,D1218)),0), FactorTable!$A$2:$A$301,0), Skills!M22+1)</f>
        <v/>
      </c>
      <c r="F1218">
        <f>IF(Skills!N22=TRUE,(Skills!L22/10)*(E1218/1000),Skills!L22/10)+Skills!O22</f>
        <v/>
      </c>
      <c r="G1218">
        <f>Skills!G22*IF(Skills!H22&gt;0,Skills!I22/Skills!H22,1)</f>
        <v/>
      </c>
      <c r="H1218">
        <f>1-(1-Skills!J22/100)^Skills!K22</f>
        <v/>
      </c>
      <c r="I1218" t="inlineStr">
        <is>
          <t>1</t>
        </is>
      </c>
      <c r="J1218" t="inlineStr"/>
      <c r="K1218" t="inlineStr"/>
      <c r="L1218" t="inlineStr"/>
      <c r="M1218" t="inlineStr"/>
      <c r="N1218" t="inlineStr"/>
      <c r="O1218">
        <f>(1-Summary!$B$11)*T1218+Summary!$B$11*V1218</f>
        <v/>
      </c>
      <c r="P1218">
        <f>IF(B1238=0,0,O1218/B1238)</f>
        <v/>
      </c>
      <c r="Q1218" t="n">
        <v>0</v>
      </c>
      <c r="R1218" t="n">
        <v>0</v>
      </c>
      <c r="S1218" t="n">
        <v>0</v>
      </c>
      <c r="T1218" t="n">
        <v>0</v>
      </c>
      <c r="V1218" t="n">
        <v>0</v>
      </c>
    </row>
    <row r="1219">
      <c r="A1219">
        <f>Skills!A23</f>
        <v/>
      </c>
      <c r="B1219">
        <f>Skills!B23</f>
        <v/>
      </c>
      <c r="C1219">
        <f>Inputs!$B$3&gt;=43</f>
        <v/>
      </c>
      <c r="D1219">
        <f>IF(Skills!C23=1,60+Inputs!$B$25+Inputs!$B$29,IF(Skills!C23=2,90+Inputs!$B$26+Inputs!$B$29,IF(Skills!C23=3,120+Inputs!$B$27+Inputs!$B$29,MAX(0,(Inputs!$B$3-100)*3)+Inputs!$B$28+Inputs!$B$29)))</f>
        <v/>
      </c>
      <c r="E1219">
        <f>INDEX(FactorTable!$B$2:$Y$301, MATCH(ROUND(MIN(300,MAX(1,D1219)),0), FactorTable!$A$2:$A$301,0), Skills!M23+1)</f>
        <v/>
      </c>
      <c r="F1219">
        <f>IF(Skills!N23=TRUE,(Skills!L23/10)*(E1219/1000),Skills!L23/10)+Skills!O23</f>
        <v/>
      </c>
      <c r="G1219">
        <f>Skills!G23*IF(Skills!H23&gt;0,Skills!I23/Skills!H23,1)</f>
        <v/>
      </c>
      <c r="H1219">
        <f>1-(1-Skills!J23/100)^Skills!K23</f>
        <v/>
      </c>
      <c r="I1219" t="inlineStr">
        <is>
          <t>1</t>
        </is>
      </c>
      <c r="J1219" t="inlineStr"/>
      <c r="K1219" t="inlineStr"/>
      <c r="L1219" t="inlineStr"/>
      <c r="M1219" t="inlineStr"/>
      <c r="N1219" t="inlineStr"/>
      <c r="O1219">
        <f>(1-Summary!$B$11)*T1219+Summary!$B$11*V1219</f>
        <v/>
      </c>
      <c r="P1219">
        <f>IF(B1238=0,0,O1219/B1238)</f>
        <v/>
      </c>
      <c r="Q1219" t="n">
        <v>0</v>
      </c>
      <c r="R1219" t="n">
        <v>0</v>
      </c>
      <c r="S1219" t="n">
        <v>0</v>
      </c>
      <c r="T1219" t="n">
        <v>0</v>
      </c>
      <c r="V1219" t="n">
        <v>0</v>
      </c>
    </row>
    <row r="1220">
      <c r="A1220">
        <f>Skills!A24</f>
        <v/>
      </c>
      <c r="B1220">
        <f>Skills!B24</f>
        <v/>
      </c>
      <c r="C1220">
        <f>Inputs!$B$3&gt;=75</f>
        <v/>
      </c>
      <c r="D1220">
        <f>IF(Skills!C24=1,60+Inputs!$B$25+Inputs!$B$29,IF(Skills!C24=2,90+Inputs!$B$26+Inputs!$B$29,IF(Skills!C24=3,120+Inputs!$B$27+Inputs!$B$29,MAX(0,(Inputs!$B$3-100)*3)+Inputs!$B$28+Inputs!$B$29)))</f>
        <v/>
      </c>
      <c r="E1220">
        <f>INDEX(FactorTable!$B$2:$Y$301, MATCH(ROUND(MIN(300,MAX(1,D1220)),0), FactorTable!$A$2:$A$301,0), Skills!M24+1)</f>
        <v/>
      </c>
      <c r="F1220">
        <f>IF(Skills!N24=TRUE,(Skills!L24/10)*(E1220/1000),Skills!L24/10)+Skills!O24</f>
        <v/>
      </c>
      <c r="G1220">
        <f>Skills!G24*IF(Skills!H24&gt;0,Skills!I24/Skills!H24,1)</f>
        <v/>
      </c>
      <c r="H1220">
        <f>1-(1-Skills!J24/100)^Skills!K24</f>
        <v/>
      </c>
      <c r="I1220" t="inlineStr">
        <is>
          <t>1</t>
        </is>
      </c>
      <c r="J1220" t="inlineStr"/>
      <c r="K1220" t="inlineStr"/>
      <c r="L1220" t="inlineStr"/>
      <c r="M1220" t="inlineStr"/>
      <c r="N1220" t="inlineStr"/>
      <c r="O1220">
        <f>(1-Summary!$B$11)*T1220+Summary!$B$11*V1220</f>
        <v/>
      </c>
      <c r="P1220">
        <f>IF(B1238=0,0,O1220/B1238)</f>
        <v/>
      </c>
      <c r="Q1220" t="n">
        <v>0</v>
      </c>
      <c r="R1220" t="n">
        <v>0</v>
      </c>
      <c r="S1220" t="n">
        <v>0</v>
      </c>
      <c r="T1220" t="n">
        <v>0</v>
      </c>
      <c r="V1220" t="n">
        <v>0</v>
      </c>
    </row>
    <row r="1221">
      <c r="A1221">
        <f>Skills!A25</f>
        <v/>
      </c>
      <c r="B1221">
        <f>Skills!B25</f>
        <v/>
      </c>
      <c r="C1221">
        <f>Inputs!$B$3&gt;=125</f>
        <v/>
      </c>
      <c r="D1221">
        <f>IF(Skills!C25=1,60+Inputs!$B$25+Inputs!$B$29,IF(Skills!C25=2,90+Inputs!$B$26+Inputs!$B$29,IF(Skills!C25=3,120+Inputs!$B$27+Inputs!$B$29,MAX(0,(Inputs!$B$3-100)*3)+Inputs!$B$28+Inputs!$B$29)))</f>
        <v/>
      </c>
      <c r="E1221">
        <f>INDEX(FactorTable!$B$2:$Y$301, MATCH(ROUND(MIN(300,MAX(1,D1221)),0), FactorTable!$A$2:$A$301,0), Skills!M25+1)</f>
        <v/>
      </c>
      <c r="F1221">
        <f>IF(Skills!N25=TRUE,(Skills!L25/10)*(E1221/1000),Skills!L25/10)+Skills!O25</f>
        <v/>
      </c>
      <c r="G1221">
        <f>Skills!G25*IF(Skills!H25&gt;0,Skills!I25/Skills!H25,1)</f>
        <v/>
      </c>
      <c r="H1221">
        <f>1-(1-Skills!J25/100)^Skills!K25</f>
        <v/>
      </c>
      <c r="I1221" t="inlineStr">
        <is>
          <t>1</t>
        </is>
      </c>
      <c r="J1221" t="inlineStr"/>
      <c r="K1221" t="inlineStr"/>
      <c r="L1221" t="inlineStr"/>
      <c r="M1221" t="inlineStr"/>
      <c r="N1221" t="inlineStr"/>
      <c r="O1221">
        <f>(1-Summary!$B$11)*T1221+Summary!$B$11*V1221</f>
        <v/>
      </c>
      <c r="P1221">
        <f>IF(B1238=0,0,O1221/B1238)</f>
        <v/>
      </c>
      <c r="Q1221" t="n">
        <v>0</v>
      </c>
      <c r="R1221" t="n">
        <v>0</v>
      </c>
      <c r="S1221" t="n">
        <v>0</v>
      </c>
      <c r="T1221" t="n">
        <v>0</v>
      </c>
      <c r="V1221" t="n">
        <v>0</v>
      </c>
    </row>
    <row r="1222">
      <c r="A1222">
        <f>Skills!A26</f>
        <v/>
      </c>
      <c r="B1222">
        <f>Skills!B26</f>
        <v/>
      </c>
      <c r="C1222">
        <f>Inputs!$B$3&gt;=125</f>
        <v/>
      </c>
      <c r="D1222">
        <f>IF(Skills!C26=1,60+Inputs!$B$25+Inputs!$B$29,IF(Skills!C26=2,90+Inputs!$B$26+Inputs!$B$29,IF(Skills!C26=3,120+Inputs!$B$27+Inputs!$B$29,MAX(0,(Inputs!$B$3-100)*3)+Inputs!$B$28+Inputs!$B$29)))</f>
        <v/>
      </c>
      <c r="E1222">
        <f>INDEX(FactorTable!$B$2:$Y$301, MATCH(ROUND(MIN(300,MAX(1,D1222)),0), FactorTable!$A$2:$A$301,0), Skills!M26+1)</f>
        <v/>
      </c>
      <c r="F1222">
        <f>IF(Skills!N26=TRUE,(Skills!L26/10)*(E1222/1000),Skills!L26/10)+Skills!O26</f>
        <v/>
      </c>
      <c r="G1222">
        <f>Skills!G26*IF(Skills!H26&gt;0,Skills!I26/Skills!H26,1)</f>
        <v/>
      </c>
      <c r="H1222">
        <f>1-(1-Skills!J26/100)^Skills!K26</f>
        <v/>
      </c>
      <c r="I1222" t="inlineStr">
        <is>
          <t>1</t>
        </is>
      </c>
      <c r="J1222" t="inlineStr"/>
      <c r="K1222" t="inlineStr"/>
      <c r="L1222" t="inlineStr"/>
      <c r="M1222" t="inlineStr"/>
      <c r="N1222" t="inlineStr"/>
      <c r="O1222">
        <f>(1-Summary!$B$11)*T1222+Summary!$B$11*V1222</f>
        <v/>
      </c>
      <c r="P1222">
        <f>IF(B1238=0,0,O1222/B1238)</f>
        <v/>
      </c>
      <c r="Q1222" t="n">
        <v>0</v>
      </c>
      <c r="R1222" t="n">
        <v>0</v>
      </c>
      <c r="S1222" t="n">
        <v>0</v>
      </c>
      <c r="T1222" t="n">
        <v>0</v>
      </c>
      <c r="V1222" t="n">
        <v>0</v>
      </c>
    </row>
    <row r="1223">
      <c r="A1223">
        <f>Skills!A27</f>
        <v/>
      </c>
      <c r="B1223">
        <f>Skills!B27</f>
        <v/>
      </c>
      <c r="C1223">
        <f>Inputs!$B$3&gt;=120</f>
        <v/>
      </c>
      <c r="D1223">
        <f>IF(Skills!C27=1,60+Inputs!$B$25+Inputs!$B$29,IF(Skills!C27=2,90+Inputs!$B$26+Inputs!$B$29,IF(Skills!C27=3,120+Inputs!$B$27+Inputs!$B$29,MAX(0,(Inputs!$B$3-100)*3)+Inputs!$B$28+Inputs!$B$29)))</f>
        <v/>
      </c>
      <c r="E1223">
        <f>INDEX(FactorTable!$B$2:$Y$301, MATCH(ROUND(MIN(300,MAX(1,D1223)),0), FactorTable!$A$2:$A$301,0), Skills!M27+1)</f>
        <v/>
      </c>
      <c r="F1223">
        <f>IF(Skills!N27=TRUE,(Skills!L27/10)*(E1223/1000),Skills!L27/10)+Skills!O27</f>
        <v/>
      </c>
      <c r="G1223">
        <f>Skills!G27*IF(Skills!H27&gt;0,Skills!I27/Skills!H27,1)</f>
        <v/>
      </c>
      <c r="H1223">
        <f>1-(1-Skills!J27/100)^Skills!K27</f>
        <v/>
      </c>
      <c r="I1223" t="inlineStr">
        <is>
          <t>1</t>
        </is>
      </c>
      <c r="J1223" t="inlineStr"/>
      <c r="K1223" t="inlineStr"/>
      <c r="L1223" t="inlineStr"/>
      <c r="M1223" t="inlineStr"/>
      <c r="N1223" t="inlineStr"/>
      <c r="O1223">
        <f>(1-Summary!$B$11)*T1223+Summary!$B$11*V1223</f>
        <v/>
      </c>
      <c r="P1223">
        <f>IF(B1238=0,0,O1223/B1238)</f>
        <v/>
      </c>
      <c r="Q1223" t="n">
        <v>0</v>
      </c>
      <c r="R1223" t="n">
        <v>0</v>
      </c>
      <c r="S1223" t="n">
        <v>0</v>
      </c>
      <c r="T1223" t="n">
        <v>0</v>
      </c>
      <c r="V1223" t="n">
        <v>0</v>
      </c>
    </row>
    <row r="1224">
      <c r="A1224">
        <f>Skills!A28</f>
        <v/>
      </c>
      <c r="B1224">
        <f>Skills!B28</f>
        <v/>
      </c>
      <c r="C1224">
        <f>Inputs!$B$3&gt;=120</f>
        <v/>
      </c>
      <c r="D1224">
        <f>IF(Skills!C28=1,60+Inputs!$B$25+Inputs!$B$29,IF(Skills!C28=2,90+Inputs!$B$26+Inputs!$B$29,IF(Skills!C28=3,120+Inputs!$B$27+Inputs!$B$29,MAX(0,(Inputs!$B$3-100)*3)+Inputs!$B$28+Inputs!$B$29)))</f>
        <v/>
      </c>
      <c r="E1224">
        <f>INDEX(FactorTable!$B$2:$Y$301, MATCH(ROUND(MIN(300,MAX(1,D1224)),0), FactorTable!$A$2:$A$301,0), Skills!M28+1)</f>
        <v/>
      </c>
      <c r="F1224">
        <f>IF(Skills!N28=TRUE,(Skills!L28/10)*(E1224/1000),Skills!L28/10)+Skills!O28</f>
        <v/>
      </c>
      <c r="G1224">
        <f>Skills!G28*IF(Skills!H28&gt;0,Skills!I28/Skills!H28,1)</f>
        <v/>
      </c>
      <c r="H1224">
        <f>1-(1-Skills!J28/100)^Skills!K28</f>
        <v/>
      </c>
      <c r="I1224" t="inlineStr">
        <is>
          <t>1</t>
        </is>
      </c>
      <c r="J1224" t="inlineStr"/>
      <c r="K1224" t="inlineStr"/>
      <c r="L1224" t="inlineStr"/>
      <c r="M1224" t="inlineStr"/>
      <c r="N1224" t="inlineStr"/>
      <c r="O1224">
        <f>(1-Summary!$B$11)*T1224+Summary!$B$11*V1224</f>
        <v/>
      </c>
      <c r="P1224">
        <f>IF(B1238=0,0,O1224/B1238)</f>
        <v/>
      </c>
      <c r="Q1224" t="n">
        <v>0</v>
      </c>
      <c r="R1224" t="n">
        <v>0</v>
      </c>
      <c r="S1224" t="n">
        <v>0</v>
      </c>
      <c r="T1224" t="n">
        <v>0</v>
      </c>
      <c r="V1224" t="n">
        <v>0</v>
      </c>
    </row>
    <row r="1225">
      <c r="A1225">
        <f>Skills!A29</f>
        <v/>
      </c>
      <c r="B1225">
        <f>Skills!B29</f>
        <v/>
      </c>
      <c r="C1225">
        <f>Inputs!$B$3&gt;=45</f>
        <v/>
      </c>
      <c r="D1225">
        <f>IF(Skills!C29=1,60+Inputs!$B$25+Inputs!$B$29,IF(Skills!C29=2,90+Inputs!$B$26+Inputs!$B$29,IF(Skills!C29=3,120+Inputs!$B$27+Inputs!$B$29,MAX(0,(Inputs!$B$3-100)*3)+Inputs!$B$28+Inputs!$B$29)))</f>
        <v/>
      </c>
      <c r="E1225">
        <f>INDEX(FactorTable!$B$2:$Y$301, MATCH(ROUND(MIN(300,MAX(1,D1225)),0), FactorTable!$A$2:$A$301,0), Skills!M29+1)</f>
        <v/>
      </c>
      <c r="F1225">
        <f>IF(Skills!N29=TRUE,(Skills!L29/10)*(E1225/1000),Skills!L29/10)+Skills!O29</f>
        <v/>
      </c>
      <c r="G1225">
        <f>Skills!G29*IF(Skills!H29&gt;0,Skills!I29/Skills!H29,1)</f>
        <v/>
      </c>
      <c r="H1225">
        <f>1-(1-Skills!J29/100)^Skills!K29</f>
        <v/>
      </c>
      <c r="I1225" t="inlineStr">
        <is>
          <t>1</t>
        </is>
      </c>
      <c r="J1225" t="inlineStr"/>
      <c r="K1225" t="inlineStr"/>
      <c r="L1225" t="inlineStr"/>
      <c r="M1225" t="inlineStr"/>
      <c r="N1225" t="inlineStr"/>
      <c r="O1225">
        <f>(1-Summary!$B$11)*T1225+Summary!$B$11*V1225</f>
        <v/>
      </c>
      <c r="P1225">
        <f>IF(B1238=0,0,O1225/B1238)</f>
        <v/>
      </c>
      <c r="Q1225" t="n">
        <v>0</v>
      </c>
      <c r="R1225" t="n">
        <v>0</v>
      </c>
      <c r="S1225" t="n">
        <v>0</v>
      </c>
      <c r="T1225" t="n">
        <v>0</v>
      </c>
      <c r="V1225" t="n">
        <v>0</v>
      </c>
    </row>
    <row r="1227">
      <c r="A1227" t="inlineStr">
        <is>
          <t>Attack% Bucket Multiplier</t>
        </is>
      </c>
      <c r="B1227">
        <f>(1+(((C1209=TRUE)*F1209)+((C1210=TRUE)*IF(Inputs!$B$38="pvp",F1210,(1-Summary!$B$11)*(F1210)+Summary!$B$11*(0)))+((C1211=TRUE)*F1211*IF(AND(Inputs!$B$38&lt;&gt;"pvp",Inputs!$B$43&gt;0),(((R1211-1)*(Skills!T15*(1+(Inputs!$B$34+1)/100))+MIN((Skills!T15*(1+(Inputs!$B$34+1)/100)),MAX(0,Inputs!$B$43-((R1211-1)*Skills!D15))))/Inputs!$B$43),IF(Inputs!$B$38="pvp",MIN((Skills!T15*(1+(Inputs!$B$34+1)/100)),15)/15,(Skills!T15*(1+(Inputs!$B$34+1)/100))/Skills!D15)))+((C1208=TRUE)*F1208)+((C1225=TRUE)*(F1225-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1228">
      <c r="A1228" t="inlineStr">
        <is>
          <t>Global Crit Rate Bonus %</t>
        </is>
      </c>
      <c r="B1228">
        <f>(C1212=TRUE)*20*IF(AND(Inputs!$B$38&lt;&gt;"pvp",Inputs!$B$43&gt;0),(((R1212-1)*(Skills!T16*(1+(Inputs!$B$34+1)/100))+MIN((Skills!T16*(1+(Inputs!$B$34+1)/100)),MAX(0,Inputs!$B$43-((R1212-1)*Skills!D16))))/Inputs!$B$43),IF(Inputs!$B$38="pvp",MIN((Skills!T16*(1+(Inputs!$B$34+1)/100)),15)/15,(Skills!T16*(1+(Inputs!$B$34+1)/100))/Skills!D16))</f>
        <v/>
      </c>
    </row>
    <row r="1229">
      <c r="A1229" t="inlineStr">
        <is>
          <t>Attack Speed Buff Bonus %</t>
        </is>
      </c>
      <c r="B1229">
        <f>((C1214=TRUE)*F1214*IF(AND(Inputs!$B$38&lt;&gt;"pvp",Inputs!$B$43&gt;0),(((R1214-1)*(Skills!T18*(1+(Inputs!$B$34+1)/100))+MIN((Skills!T18*(1+(Inputs!$B$34+1)/100)),MAX(0,Inputs!$B$43-((R1214-1)*Skills!D18))))/Inputs!$B$43),IF(Inputs!$B$38="pvp",MIN((Skills!T18*(1+(Inputs!$B$34+1)/100)),15)/15,(Skills!T18*(1+(Inputs!$B$34+1)/100))/Skills!D18)))</f>
        <v/>
      </c>
    </row>
    <row r="1230">
      <c r="A1230" t="inlineStr">
        <is>
          <t>Actions Per Second</t>
        </is>
      </c>
      <c r="B1230">
        <f>1+MIN(150,150*(1-(1-(Inputs!$B$11+((C1216=TRUE)*(F1216-Calc!F20))+((C1217=TRUE)*(F1217-Calc!F21)))/150)*(1-B1229/150)))/100</f>
        <v/>
      </c>
    </row>
    <row r="1231">
      <c r="A1231" t="inlineStr">
        <is>
          <t>Skill + Buff Cast Rate</t>
        </is>
      </c>
      <c r="B1231">
        <f>IF(AND(Inputs!$B$38&lt;&gt;"pvp",Inputs!$B$43&gt;0),SUMPRODUCT((Skills!E2:E29=TRUE)*(C1198:C1225=TRUE)*R1198:R1225*Skills!F2:F29)/Inputs!$B$43,SUMPRODUCT((Skills!E2:E29=TRUE)*(C1198:C1225=TRUE)*Q1198:Q1225*Skills!F2:F29))</f>
        <v/>
      </c>
    </row>
    <row r="1232">
      <c r="A1232" t="inlineStr">
        <is>
          <t>Empowered Piercing Arrow Casts Per Second</t>
        </is>
      </c>
      <c r="B1232">
        <f>MAX(0,B1230-B1231)</f>
        <v/>
      </c>
    </row>
    <row r="1233">
      <c r="A1233" t="inlineStr">
        <is>
          <t>Global Critical Damage Bonus % (Sharp Eyes)</t>
        </is>
      </c>
      <c r="B1233">
        <f>(C1212=TRUE)*F1212*IF(AND(Inputs!$B$38&lt;&gt;"pvp",Inputs!$B$43&gt;0),(((R1212-1)*(Skills!T16*(1+(Inputs!$B$34+1)/100))+MIN((Skills!T16*(1+(Inputs!$B$34+1)/100)),MAX(0,Inputs!$B$43-((R1212-1)*Skills!D16))))/Inputs!$B$43),IF(Inputs!$B$38="pvp",MIN((Skills!T16*(1+(Inputs!$B$34+1)/100)),15)/15,(Skills!T16*(1+(Inputs!$B$34+1)/100))/Skills!D16))</f>
        <v/>
      </c>
    </row>
    <row r="1234">
      <c r="A1234" t="inlineStr">
        <is>
          <t>Global Final Damage Bonus % (Mortal Blow + Last Man Standing conditional half)</t>
        </is>
      </c>
      <c r="B1234">
        <f>(C1213=TRUE)*F1213+((C1222=TRUE)*IF(Inputs!$B$38="pvp",F1222,(1-Summary!$B$11)*(F1222)+Summary!$B$11*(0)))</f>
        <v/>
      </c>
    </row>
    <row r="1235">
      <c r="A1235" t="inlineStr">
        <is>
          <t>Buff-Casting Startup Delay (s, fixed-duration only)</t>
        </is>
      </c>
      <c r="B1235">
        <f>IF(AND(Inputs!$B$38&lt;&gt;"pvp",Inputs!$B$43&gt;0),SUMPRODUCT((Skills!T2:T29&gt;0)*(Skills!E2:E29=TRUE)*(C1198:C1225=TRUE))/B1230,0)</f>
        <v/>
      </c>
    </row>
    <row r="1236">
      <c r="A1236" t="inlineStr">
        <is>
          <t>Boss-Only Total DPS (this block's swept value)</t>
        </is>
      </c>
      <c r="B1236">
        <f>SUM(T1198:T1225)</f>
        <v/>
      </c>
    </row>
    <row r="1237">
      <c r="A1237" t="inlineStr">
        <is>
          <t>Normal-Only Total DPS (this block's swept value)</t>
        </is>
      </c>
      <c r="B1237">
        <f>SUM(V1198:V1225)</f>
        <v/>
      </c>
    </row>
    <row r="1238">
      <c r="A1238" s="6" t="inlineStr">
        <is>
          <t>TOTAL DPS</t>
        </is>
      </c>
      <c r="B1238" s="6">
        <f>SUM(O1198:O1225)</f>
        <v/>
      </c>
    </row>
    <row r="1241">
      <c r="A1241" s="6" t="inlineStr">
        <is>
          <t>Stat: Charm of the Undead (Equip)</t>
        </is>
      </c>
    </row>
    <row r="1242">
      <c r="A1242" s="5" t="inlineStr">
        <is>
          <t>Key</t>
        </is>
      </c>
      <c r="B1242" s="5" t="inlineStr">
        <is>
          <t>Name</t>
        </is>
      </c>
      <c r="C1242" s="5" t="inlineStr">
        <is>
          <t>Unlocked</t>
        </is>
      </c>
      <c r="D1242" s="5" t="inlineStr">
        <is>
          <t>InputLevel</t>
        </is>
      </c>
      <c r="E1242" s="5" t="inlineStr">
        <is>
          <t>Factor</t>
        </is>
      </c>
      <c r="F1242" s="5" t="inlineStr">
        <is>
          <t>CoefficientPercent</t>
        </is>
      </c>
      <c r="G1242" s="5" t="inlineStr">
        <is>
          <t>EffectiveHits</t>
        </is>
      </c>
      <c r="H1242" s="5" t="inlineStr">
        <is>
          <t>ProcProbability</t>
        </is>
      </c>
      <c r="I1242" s="5" t="inlineStr">
        <is>
          <t>MapleHeroMultiplier</t>
        </is>
      </c>
      <c r="J1242" s="5" t="inlineStr">
        <is>
          <t>BaseDamage</t>
        </is>
      </c>
      <c r="K1242" s="5" t="inlineStr">
        <is>
          <t>BaseHitDamage</t>
        </is>
      </c>
      <c r="L1242" s="5" t="inlineStr">
        <is>
          <t>NonCritAvg</t>
        </is>
      </c>
      <c r="M1242" s="5" t="inlineStr">
        <is>
          <t>CritAvg</t>
        </is>
      </c>
      <c r="N1242" s="5" t="inlineStr">
        <is>
          <t>ExpectedDamage(perHit)</t>
        </is>
      </c>
      <c r="O1242" s="5" t="inlineStr">
        <is>
          <t>DPS</t>
        </is>
      </c>
      <c r="P1242" s="5" t="inlineStr">
        <is>
          <t>% of Total</t>
        </is>
      </c>
      <c r="Q1242" s="5" t="inlineStr">
        <is>
          <t>InvCooldown</t>
        </is>
      </c>
      <c r="R1242" s="5" t="inlineStr">
        <is>
          <t>CastsInFight</t>
        </is>
      </c>
      <c r="S1242" s="5" t="inlineStr">
        <is>
          <t>HitRate(perSec)</t>
        </is>
      </c>
      <c r="U1242" t="inlineStr">
        <is>
          <t>helpers</t>
        </is>
      </c>
    </row>
    <row r="1243">
      <c r="A1243">
        <f>Skills!A2</f>
        <v/>
      </c>
      <c r="B1243">
        <f>Skills!B2</f>
        <v/>
      </c>
      <c r="C1243">
        <f>Inputs!$B$3&gt;=100</f>
        <v/>
      </c>
      <c r="D1243" t="inlineStr"/>
      <c r="E1243" t="inlineStr"/>
      <c r="F1243">
        <f>U1245+Skills!O2</f>
        <v/>
      </c>
      <c r="G1243">
        <f>Skills!G2*IF(Skills!H2&gt;0,Skills!I2/Skills!H2,1)</f>
        <v/>
      </c>
      <c r="H1243">
        <f>1-(1-Skills!J2/100)^Skills!K2</f>
        <v/>
      </c>
      <c r="I1243" t="inlineStr">
        <is>
          <t>1</t>
        </is>
      </c>
      <c r="J1243">
        <f>((Inputs!$B$6*(1+Inputs!$B$7/100))+(((Inputs!$B$12*(1+Inputs!$B$13/100))-(Inputs!$B$12*(1+Inputs!$B$13/100)))+0.25*(Inputs!$B$14-Inputs!$B$14))*(1+Inputs!$B$7/100))*(F1243/100)</f>
        <v/>
      </c>
      <c r="K1243">
        <f>J1243*(1+((Inputs!$B$12*(1+Inputs!$B$13/100))*0.01+Inputs!$B$14*0.0025)/100)*(1+Inputs!$B$15/100)*(1+Inputs!$B$16/100)*(5000/(6000+Inputs!$B$42*(1-(100*(1-(1-(Inputs!$B$19+0)/100)*(1-CHOOSE(ArtifactsInput!$N$40+1,5,6,7,8,9,10)/100)^(ArtifactsInput!$M$40-ArtifactsInput!$M$40)))/100)))*(1+(Inputs!$B$24+((C1265=TRUE)*(F1265-Calc!F24))+((C1266=TRUE)*(F1266-Calc!F25))+B1279)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EMPOWERED_PIERCING_ARROW",Inputs!$B$17+((C1263=TRUE)*(F1263-Calc!F22))+(((IF(AND(ArtifactsInput!$M$42,((Inputs!$B$9+((C1260=TRUE)*(F1260-Calc!F19))+B1273+(ArtifactsInput!$M$24-ArtifactsInput!$M$24)*CHOOSE(ArtifactsInput!$N$24+1,10,12,14,16,18,20)+IF(ArtifactsInput!$M$10,CHOOSE(ArtifactsInput!$N$10+1,15,18,21,24,27,30)*(IF(Inputs!$B$38="pvp",MIN(15,15)/15,IF(AND(Inputs!$B$38&lt;&gt;"pvp",Inputs!$B$43&gt;0),MIN(15,Inputs!$B$43)/(Inputs!$B$43),0))),0)))&gt;=100),MIN(100,((Inputs!$B$9+((C1260=TRUE)*(F1260-Calc!F19))+B1273+(ArtifactsInput!$M$24-ArtifactsInput!$M$24)*CHOOSE(ArtifactsInput!$N$24+1,10,12,14,16,18,20)+IF(ArtifactsInput!$M$10,CHOOSE(ArtifactsInput!$N$10+1,15,18,21,24,27,30)*(IF(Inputs!$B$38="pvp",MIN(15,15)/15,IF(AND(Inputs!$B$38&lt;&gt;"pvp",Inputs!$B$43&gt;0),MIN(15,Inputs!$B$43)/(Inputs!$B$43),0))),0)))-100),0))*CHOOSE(ArtifactsInput!$N$42+1,0.6,0.72,0.84,0.96,1.08,1.2))),Inputs!$B$18+((C1268=TRUE)*(F1268-Calc!F27))+(IF(AND(ArtifactsInput!$M$42,((Inputs!$B$9+((C1260=TRUE)*(F1260-Calc!F19))+B1273+(ArtifactsInput!$M$24-ArtifactsInput!$M$24)*CHOOSE(ArtifactsInput!$N$24+1,10,12,14,16,18,20)+IF(ArtifactsInput!$M$10,CHOOSE(ArtifactsInput!$N$10+1,15,18,21,24,27,30)*(IF(Inputs!$B$38="pvp",MIN(15,15)/15,IF(AND(Inputs!$B$38&lt;&gt;"pvp",Inputs!$B$43&gt;0),MIN(15,Inputs!$B$43)/(Inputs!$B$43),0))),0)))&gt;=100),CHOOSE(ArtifactsInput!$N$42+1,40,48,56,64,72,80),0))))/100)*((1+(((C1254=TRUE)*F1254)+((C1255=TRUE)*IF(Inputs!$B$38="pvp",F1255,(1-Summary!$B$11)*(F1255)+Summary!$B$11*(0)))+((C1256=TRUE)*F1256*IF(AND(Inputs!$B$38&lt;&gt;"pvp",Inputs!$B$43&gt;0),(((R1256-1)*(Skills!T15*(1+Inputs!$B$34/100))+MIN((Skills!T15*(1+Inputs!$B$34/100)),MAX(0,Inputs!$B$43-((R1256-1)*Skills!D15))))/Inputs!$B$43),IF(Inputs!$B$38="pvp",MIN((Skills!T15*(1+Inputs!$B$34/100)),15)/15,(Skills!T15*(1+Inputs!$B$34/100))/Skills!D15)))+((C1253=TRUE)*F1253)+((C1270=TRUE)*(F1270-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IF(ArtifactsInput!$M$5,FALSE,TRUE),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1243)</f>
        <v/>
      </c>
      <c r="L1243">
        <f>K1243*(MIN(Inputs!$B$22+((C1264=TRUE)*(F1264-Calc!F23)),(Inputs!$B$23+((C1269=TRUE)*(F1269-Calc!F28))+(IF(ArtifactsInput!$M$15,CHOOSE(ArtifactsInput!$N$15+1,25,30,35,40,45,50)/100*(Inputs!$B$11-Inputs!$B$11),0))))/100+(Inputs!$B$23+((C1269=TRUE)*(F1269-Calc!F28))+(IF(ArtifactsInput!$M$15,CHOOSE(ArtifactsInput!$N$15+1,25,30,35,40,45,50)/100*(Inputs!$B$11-Inputs!$B$11),0)))/100)/2</f>
        <v/>
      </c>
      <c r="M1243">
        <f>L1243*(1+(Inputs!$B$10+0+B1278+(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243">
        <f>L1243*(1-MIN((Inputs!$B$9+((C1260=TRUE)*(F1260-Calc!F19))+B1273+(ArtifactsInput!$M$24-ArtifactsInput!$M$24)*CHOOSE(ArtifactsInput!$N$24+1,10,12,14,16,18,20)+(IF(AND(ArtifactsInput!$M$42,((Inputs!$B$9+((C1260=TRUE)*(F1260-Calc!F19))+B1273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1243*(MIN((Inputs!$B$9+((C1260=TRUE)*(F1260-Calc!F19))+B1273+(ArtifactsInput!$M$24-ArtifactsInput!$M$24)*CHOOSE(ArtifactsInput!$N$24+1,10,12,14,16,18,20)+(IF(AND(ArtifactsInput!$M$42,((Inputs!$B$9+((C1260=TRUE)*(F1260-Calc!F19))+B1273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243">
        <f>(1-Summary!$B$11)*T1243+Summary!$B$11*V1243</f>
        <v/>
      </c>
      <c r="P1243">
        <f>IF(B1283=0,0,O1243/B1283)</f>
        <v/>
      </c>
      <c r="Q1243" t="n">
        <v>0</v>
      </c>
      <c r="R1243" t="n">
        <v>0</v>
      </c>
      <c r="S1243">
        <f>IFERROR((Skills!G2*N1243*B1277)/N1243*IF(Inputs!$B$38="pvp",1,(1-Summary!$B$11)*1+Summary!$B$11*(MIN((6+Inputs!$B$33),Inputs!$B$37))),0)</f>
        <v/>
      </c>
      <c r="T1243">
        <f>IF(C1243,(Skills!G2*N1243*B1277)*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Hunt"),CHOOSE(ArtifactsInput!$N$35+1,15,18,21,24,27,30)*(1-EXP(-(0.2*B1275)*5)),0)+IF(AND(ArtifactsInput!$M$22,Inputs!$B$4&lt;&gt;"Chapter Hunt"),CHOOSE(ArtifactsInput!$N$22+1,10,12,14,16,18,20)*((0*(((0.15*B1275*5))^0/1)+1*(((0.15*B1275*5))^1/1)+2*(((0.15*B1275*5))^2/2)+3*(((0.15*B1275*5))^3/6)+4*(((0.15*B1275*5))^4/24)+5*(((0.15*B1275*5))^5/120))/((((0.15*B1275*5))^0/1)+(((0.15*B1275*5))^1/1)+(((0.15*B1275*5))^2/2)+(((0.15*B1275*5))^3/6)+(((0.15*B1275*5))^4/24)+(((0.15*B1275*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1243*(1-MIN(100,(Inputs!$B$9+((C1260=TRUE)*(F1260-Calc!F19))+B1273+(ArtifactsInput!$M$24-ArtifactsInput!$M$24)*CHOOSE(ArtifactsInput!$N$24+1,10,12,14,16,18,20)+(IF(AND(ArtifactsInput!$M$42,((Inputs!$B$9+((C1260=TRUE)*(F1260-Calc!F19))+B1273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1243*(MIN(100,(Inputs!$B$9+((C1260=TRUE)*(F1260-Calc!F19))+B1273+(ArtifactsInput!$M$24-ArtifactsInput!$M$24)*CHOOSE(ArtifactsInput!$N$24+1,10,12,14,16,18,20)+(IF(AND(ArtifactsInput!$M$42,((Inputs!$B$9+((C1260=TRUE)*(F1260-Calc!F19))+B1273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1243*(1-MIN(100,(Inputs!$B$9+((C1260=TRUE)*(F1260-Calc!F19))+B1273+(ArtifactsInput!$M$24-ArtifactsInput!$M$24)*CHOOSE(ArtifactsInput!$N$24+1,10,12,14,16,18,20)+(IF(AND(ArtifactsInput!$M$42,((Inputs!$B$9+((C1260=TRUE)*(F1260-Calc!F19))+B1273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1243*(MIN(100,(Inputs!$B$9+((C1260=TRUE)*(F1260-Calc!F19))+B1273+(ArtifactsInput!$M$24-ArtifactsInput!$M$24)*CHOOSE(ArtifactsInput!$N$24+1,10,12,14,16,18,20)+(IF(AND(ArtifactsInput!$M$42,((Inputs!$B$9+((C1260=TRUE)*(F1260-Calc!F19))+B1273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243">
        <f>MAX(0,(Inputs!$B$3-100)*3)+Inputs!$B$28+Inputs!$B$29</f>
        <v/>
      </c>
      <c r="V1243">
        <f>IF(C1243,(Skills!G2*N1243*B1277)*IF(Inputs!$B$38="pvp",1,(1+(Inputs!$B$21+Skills!Q2+(IF(ArtifactsInput!$M$33,CHOOSE(ArtifactsInput!$N$33+1,30,36,42,48,54,60),0))+(IF(AND(ArtifactsInput!$M$35,Inputs!$B$4&lt;&gt;"Chapter Hunt"),CHOOSE(ArtifactsInput!$N$35+1,15,18,21,24,27,30)*(1-EXP(-(0.2*B1275)*5)),0)+IF(AND(ArtifactsInput!$M$22,Inputs!$B$4&lt;&gt;"Chapter Hunt"),CHOOSE(ArtifactsInput!$N$22+1,10,12,14,16,18,20)*((0*(((0.15*B1275*5))^0/1)+1*(((0.15*B1275*5))^1/1)+2*(((0.15*B1275*5))^2/2)+3*(((0.15*B1275*5))^3/6)+4*(((0.15*B1275*5))^4/24)+5*(((0.15*B1275*5))^5/120))/((((0.15*B1275*5))^0/1)+(((0.15*B1275*5))^1/1)+(((0.15*B1275*5))^2/2)+(((0.15*B1275*5))^3/6)+(((0.15*B1275*5))^4/24)+(((0.15*B1275*5))^5/120)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244">
      <c r="A1244">
        <f>Skills!A3</f>
        <v/>
      </c>
      <c r="B1244">
        <f>Skills!B3</f>
        <v/>
      </c>
      <c r="C1244">
        <f>Inputs!$B$3&gt;=50</f>
        <v/>
      </c>
      <c r="D1244">
        <f>IF(Skills!C3=1,60+Inputs!$B$25+Inputs!$B$29,IF(Skills!C3=2,90+Inputs!$B$26+Inputs!$B$29,IF(Skills!C3=3,120+Inputs!$B$27+Inputs!$B$29,MAX(0,(Inputs!$B$3-100)*3)+Inputs!$B$28+Inputs!$B$29)))</f>
        <v/>
      </c>
      <c r="E1244">
        <f>INDEX(FactorTable!$B$2:$Y$301, MATCH(ROUND(MIN(300,MAX(1,D1244)),0), FactorTable!$A$2:$A$301,0), Skills!M3+1)</f>
        <v/>
      </c>
      <c r="F1244">
        <f>IF(Skills!N3=TRUE,(Skills!L3/10)*(E1244/1000),Skills!L3/10)+Skills!O3</f>
        <v/>
      </c>
      <c r="G1244" t="inlineStr"/>
      <c r="H1244" t="inlineStr"/>
      <c r="I1244" t="inlineStr">
        <is>
          <t>1</t>
        </is>
      </c>
      <c r="J1244" t="inlineStr"/>
      <c r="K1244" t="inlineStr"/>
      <c r="L1244" t="inlineStr"/>
      <c r="M1244" t="inlineStr"/>
      <c r="N1244" t="inlineStr"/>
      <c r="O1244" t="inlineStr"/>
      <c r="P1244" t="inlineStr"/>
      <c r="Q1244" t="inlineStr"/>
      <c r="R1244" t="inlineStr"/>
      <c r="S1244" t="inlineStr"/>
      <c r="T1244" t="inlineStr"/>
      <c r="U1244">
        <f>INDEX(FactorTable!$B$2:$Y$301, MATCH(ROUND(MIN(300,MAX(1,U1243)),0), FactorTable!$A$2:$A$301,0), 22)</f>
        <v/>
      </c>
      <c r="V1244" t="inlineStr"/>
    </row>
    <row r="1245">
      <c r="A1245">
        <f>Skills!A4</f>
        <v/>
      </c>
      <c r="B1245">
        <f>Skills!B4</f>
        <v/>
      </c>
      <c r="C1245">
        <f>Inputs!$B$3&gt;=105</f>
        <v/>
      </c>
      <c r="D1245">
        <f>IF(Skills!C4=1,60+Inputs!$B$25+Inputs!$B$29,IF(Skills!C4=2,90+Inputs!$B$26+Inputs!$B$29,IF(Skills!C4=3,120+Inputs!$B$27+Inputs!$B$29,MAX(0,(Inputs!$B$3-100)*3)+Inputs!$B$28+Inputs!$B$29)))</f>
        <v/>
      </c>
      <c r="E1245">
        <f>INDEX(FactorTable!$B$2:$Y$301, MATCH(ROUND(MIN(300,MAX(1,D1245)),0), FactorTable!$A$2:$A$301,0), Skills!M4+1)</f>
        <v/>
      </c>
      <c r="F1245">
        <f>IF(Skills!N4=TRUE,(Skills!L4/10)*(E1245/1000),Skills!L4/10)+Skills!O4</f>
        <v/>
      </c>
      <c r="G1245" t="inlineStr"/>
      <c r="H1245" t="inlineStr"/>
      <c r="I1245" t="inlineStr">
        <is>
          <t>1</t>
        </is>
      </c>
      <c r="J1245" t="inlineStr"/>
      <c r="K1245" t="inlineStr"/>
      <c r="L1245" t="inlineStr"/>
      <c r="M1245" t="inlineStr"/>
      <c r="N1245" t="inlineStr"/>
      <c r="O1245" t="inlineStr"/>
      <c r="P1245" t="inlineStr"/>
      <c r="Q1245" t="inlineStr"/>
      <c r="R1245" t="inlineStr"/>
      <c r="S1245" t="inlineStr"/>
      <c r="T1245" t="inlineStr"/>
      <c r="U1245">
        <f>290*U1244/1000</f>
        <v/>
      </c>
      <c r="V1245" t="inlineStr"/>
    </row>
    <row r="1246">
      <c r="A1246">
        <f>Skills!A5</f>
        <v/>
      </c>
      <c r="B1246">
        <f>Skills!B5</f>
        <v/>
      </c>
      <c r="C1246">
        <f>Inputs!$B$3&gt;=35</f>
        <v/>
      </c>
      <c r="D1246">
        <f>IF(Skills!C5=1,60+Inputs!$B$25+Inputs!$B$29,IF(Skills!C5=2,90+Inputs!$B$26+Inputs!$B$29,IF(Skills!C5=3,120+Inputs!$B$27+Inputs!$B$29,MAX(0,(Inputs!$B$3-100)*3)+Inputs!$B$28+Inputs!$B$29)))</f>
        <v/>
      </c>
      <c r="E1246">
        <f>INDEX(FactorTable!$B$2:$Y$301, MATCH(ROUND(MIN(300,MAX(1,D1246)),0), FactorTable!$A$2:$A$301,0), Skills!M5+1)</f>
        <v/>
      </c>
      <c r="F1246">
        <f>IF(Skills!N5=TRUE,(Skills!L5/10)*(E1246/1000),Skills!L5/10)+Skills!O5</f>
        <v/>
      </c>
      <c r="G1246">
        <f>Skills!G5*IF(Skills!H5&gt;0,Skills!I5/Skills!H5,1)</f>
        <v/>
      </c>
      <c r="H1246">
        <f>1-(1-Skills!J5/100)^Skills!K5</f>
        <v/>
      </c>
      <c r="I1246" t="inlineStr">
        <is>
          <t>1</t>
        </is>
      </c>
      <c r="J1246">
        <f>((Inputs!$B$6*(1+Inputs!$B$7/100))+(((Inputs!$B$12*(1+Inputs!$B$13/100))-(Inputs!$B$12*(1+Inputs!$B$13/100)))+0.25*(Inputs!$B$14-Inputs!$B$14))*(1+Inputs!$B$7/100))*(F1246/100)</f>
        <v/>
      </c>
      <c r="K1246">
        <f>J1246*(1+((Inputs!$B$12*(1+Inputs!$B$13/100))*0.01+Inputs!$B$14*0.0025)/100)*(1+Inputs!$B$15/100)*(1+Inputs!$B$16/100)*(5000/(6000+Inputs!$B$42*(1-(100*(1-(1-(Inputs!$B$19+0)/100)*(1-CHOOSE(ArtifactsInput!$N$40+1,5,6,7,8,9,10)/100)^(ArtifactsInput!$M$40-ArtifactsInput!$M$40)))/100)))*(1+(Inputs!$B$24+((C1265=TRUE)*(F1265-Calc!F24))+((C1266=TRUE)*(F1266-Calc!F25))+B1279)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1249=TRUE,F1249,0)/100)*(1+(IF(Skills!A5="EMPOWERED_PIERCING_ARROW",Inputs!$B$17+((C1263=TRUE)*(F1263-Calc!F22))+(((IF(AND(ArtifactsInput!$M$42,((Inputs!$B$9+((C1260=TRUE)*(F1260-Calc!F19))+B1273+(ArtifactsInput!$M$24-ArtifactsInput!$M$24)*CHOOSE(ArtifactsInput!$N$24+1,10,12,14,16,18,20)+IF(ArtifactsInput!$M$10,CHOOSE(ArtifactsInput!$N$10+1,15,18,21,24,27,30)*(IF(Inputs!$B$38="pvp",MIN(15,15)/15,IF(AND(Inputs!$B$38&lt;&gt;"pvp",Inputs!$B$43&gt;0),MIN(15,Inputs!$B$43)/(Inputs!$B$43),0))),0)))&gt;=100),MIN(100,((Inputs!$B$9+((C1260=TRUE)*(F1260-Calc!F19))+B1273+(ArtifactsInput!$M$24-ArtifactsInput!$M$24)*CHOOSE(ArtifactsInput!$N$24+1,10,12,14,16,18,20)+IF(ArtifactsInput!$M$10,CHOOSE(ArtifactsInput!$N$10+1,15,18,21,24,27,30)*(IF(Inputs!$B$38="pvp",MIN(15,15)/15,IF(AND(Inputs!$B$38&lt;&gt;"pvp",Inputs!$B$43&gt;0),MIN(15,Inputs!$B$43)/(Inputs!$B$43),0))),0)))-100),0))*CHOOSE(ArtifactsInput!$N$42+1,0.6,0.72,0.84,0.96,1.08,1.2))),Inputs!$B$18+((C1268=TRUE)*(F1268-Calc!F27))+(IF(AND(ArtifactsInput!$M$42,((Inputs!$B$9+((C1260=TRUE)*(F1260-Calc!F19))+B1273+(ArtifactsInput!$M$24-ArtifactsInput!$M$24)*CHOOSE(ArtifactsInput!$N$24+1,10,12,14,16,18,20)+IF(ArtifactsInput!$M$10,CHOOSE(ArtifactsInput!$N$10+1,15,18,21,24,27,30)*(IF(Inputs!$B$38="pvp",MIN(15,15)/15,IF(AND(Inputs!$B$38&lt;&gt;"pvp",Inputs!$B$43&gt;0),MIN(15,Inputs!$B$43)/(Inputs!$B$43),0))),0)))&gt;=100),CHOOSE(ArtifactsInput!$N$42+1,40,48,56,64,72,80),0))))/100)*((1+(((C1254=TRUE)*F1254)+((C1255=TRUE)*IF(Inputs!$B$38="pvp",F1255,(1-Summary!$B$11)*(F1255)+Summary!$B$11*(0)))+((C1256=TRUE)*F1256*IF(AND(Inputs!$B$38&lt;&gt;"pvp",Inputs!$B$43&gt;0),(((R1256-1)*(Skills!T15*(1+Inputs!$B$34/100))+MIN((Skills!T15*(1+Inputs!$B$34/100)),MAX(0,Inputs!$B$43-((R1256-1)*Skills!D15))))/Inputs!$B$43),IF(Inputs!$B$38="pvp",MIN((Skills!T15*(1+Inputs!$B$34/100)),15)/15,(Skills!T15*(1+Inputs!$B$34/100))/Skills!D15)))+((C1253=TRUE)*F1253)+((C1270=TRUE)*(F1270-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IF(ArtifactsInput!$M$5,FALSE,TRUE),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1246)</f>
        <v/>
      </c>
      <c r="L1246">
        <f>K1246*(MIN(Inputs!$B$22+((C1264=TRUE)*(F1264-Calc!F23)),(Inputs!$B$23+((C1269=TRUE)*(F1269-Calc!F28))+(IF(ArtifactsInput!$M$15,CHOOSE(ArtifactsInput!$N$15+1,25,30,35,40,45,50)/100*(Inputs!$B$11-Inputs!$B$11),0))))/100+(Inputs!$B$23+((C1269=TRUE)*(F1269-Calc!F28))+(IF(ArtifactsInput!$M$15,CHOOSE(ArtifactsInput!$N$15+1,25,30,35,40,45,50)/100*(Inputs!$B$11-Inputs!$B$11),0)))/100)/2</f>
        <v/>
      </c>
      <c r="M1246">
        <f>L1246*(1+(Inputs!$B$10+0+B1278+(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246">
        <f>L1246*(1-MIN((Inputs!$B$9+((C1260=TRUE)*(F1260-Calc!F19))+B1273+(ArtifactsInput!$M$24-ArtifactsInput!$M$24)*CHOOSE(ArtifactsInput!$N$24+1,10,12,14,16,18,20)+(IF(AND(ArtifactsInput!$M$42,((Inputs!$B$9+((C1260=TRUE)*(F1260-Calc!F19))+B1273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1246*(MIN((Inputs!$B$9+((C1260=TRUE)*(F1260-Calc!F19))+B1273+(ArtifactsInput!$M$24-ArtifactsInput!$M$24)*CHOOSE(ArtifactsInput!$N$24+1,10,12,14,16,18,20)+(IF(AND(ArtifactsInput!$M$42,((Inputs!$B$9+((C1260=TRUE)*(F1260-Calc!F19))+B1273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246">
        <f>(1-Summary!$B$11)*T1246+Summary!$B$11*V1246</f>
        <v/>
      </c>
      <c r="P1246">
        <f>IF(B1283=0,0,O1246/B1283)</f>
        <v/>
      </c>
      <c r="Q1246">
        <f>IFERROR(1/IF(Inputs!$B$38="pvp",15,MAX(0.1,Skills!D5-IF(Skills!E5=TRUE,Inputs!$B$32,0))),0)</f>
        <v/>
      </c>
      <c r="R1246">
        <f>IF(AND(Inputs!$B$38&lt;&gt;"pvp",Inputs!$B$43&gt;0),IF(MAX(0,Inputs!$B$43-B1280)&lt;=0,0,(INT(MAX(0,Inputs!$B$43-B1280)/IF(Inputs!$B$38="pvp",15,MAX(0.1,Skills!D5-IF(Skills!E5=TRUE,Inputs!$B$32,0))))+1)),0)</f>
        <v/>
      </c>
      <c r="S1246">
        <f>IFERROR((H1246*N1246*IF(AND(Inputs!$B$38&lt;&gt;"pvp",Inputs!$B$43&gt;0),((Skills!G5*((R1246-1)*IF(Skills!H5&gt;0,Skills!I5/Skills!H5,1)+IF(Skills!H5&gt;0,MIN(Skills!I5,MAX(0,MAX(0,Inputs!$B$43-B1280)-((R1246-1)*IF(Inputs!$B$38="pvp",15,MAX(0.1,Skills!D5-IF(Skills!E5=TRUE,Inputs!$B$32,0))))))/Skills!H5,1)))/Inputs!$B$43),G1246*Q1246))/N1246*IF(Inputs!$B$38="pvp",1,(1-Summary!$B$11)*1+Summary!$B$11*(MIN(Skills!R5,Inputs!$B$37))),0)</f>
        <v/>
      </c>
      <c r="T1246">
        <f>IF(C1246,(H1246*N1246*IF(AND(Inputs!$B$38&lt;&gt;"pvp",Inputs!$B$43&gt;0),((Skills!G5*((R1246-1)*IF(Skills!H5&gt;0,Skills!I5/Skills!H5,1)+IF(Skills!H5&gt;0,MIN(Skills!I5,MAX(0,MAX(0,Inputs!$B$43-B1280)-((R1246-1)*IF(Inputs!$B$38="pvp",15,MAX(0.1,Skills!D5-IF(Skills!E5=TRUE,Inputs!$B$32,0))))))/Skills!H5,1)))/Inputs!$B$43),G1246*Q1246))*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Hunt"),CHOOSE(ArtifactsInput!$N$35+1,15,18,21,24,27,30)*(1-EXP(-(0.2*B1275)*5)),0)+IF(AND(ArtifactsInput!$M$22,Inputs!$B$4&lt;&gt;"Chapter Hunt"),CHOOSE(ArtifactsInput!$N$22+1,10,12,14,16,18,20)*((0*(((0.15*B1275*5))^0/1)+1*(((0.15*B1275*5))^1/1)+2*(((0.15*B1275*5))^2/2)+3*(((0.15*B1275*5))^3/6)+4*(((0.15*B1275*5))^4/24)+5*(((0.15*B1275*5))^5/120))/((((0.15*B1275*5))^0/1)+(((0.15*B1275*5))^1/1)+(((0.15*B1275*5))^2/2)+(((0.15*B1275*5))^3/6)+(((0.15*B1275*5))^4/24)+(((0.15*B1275*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1246*(1-MIN(100,(Inputs!$B$9+((C1260=TRUE)*(F1260-Calc!F19))+B1273+(ArtifactsInput!$M$24-ArtifactsInput!$M$24)*CHOOSE(ArtifactsInput!$N$24+1,10,12,14,16,18,20)+(IF(AND(ArtifactsInput!$M$42,((Inputs!$B$9+((C1260=TRUE)*(F1260-Calc!F19))+B1273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1246*(MIN(100,(Inputs!$B$9+((C1260=TRUE)*(F1260-Calc!F19))+B1273+(ArtifactsInput!$M$24-ArtifactsInput!$M$24)*CHOOSE(ArtifactsInput!$N$24+1,10,12,14,16,18,20)+(IF(AND(ArtifactsInput!$M$42,((Inputs!$B$9+((C1260=TRUE)*(F1260-Calc!F19))+B1273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1246*(1-MIN(100,(Inputs!$B$9+((C1260=TRUE)*(F1260-Calc!F19))+B1273+(ArtifactsInput!$M$24-ArtifactsInput!$M$24)*CHOOSE(ArtifactsInput!$N$24+1,10,12,14,16,18,20)+(IF(AND(ArtifactsInput!$M$42,((Inputs!$B$9+((C1260=TRUE)*(F1260-Calc!F19))+B1273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1246*(MIN(100,(Inputs!$B$9+((C1260=TRUE)*(F1260-Calc!F19))+B1273+(ArtifactsInput!$M$24-ArtifactsInput!$M$24)*CHOOSE(ArtifactsInput!$N$24+1,10,12,14,16,18,20)+(IF(AND(ArtifactsInput!$M$42,((Inputs!$B$9+((C1260=TRUE)*(F1260-Calc!F19))+B1273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246">
        <f>IF(C1246,(H1246*N1246*IF(AND(Inputs!$B$38&lt;&gt;"pvp",Inputs!$B$43&gt;0),((Skills!G5*((R1246-1)*IF(Skills!H5&gt;0,Skills!I5/Skills!H5,1)+IF(Skills!H5&gt;0,MIN(Skills!I5,MAX(0,MAX(0,Inputs!$B$43-B1280)-((R1246-1)*IF(Inputs!$B$38="pvp",15,MAX(0.1,Skills!D5-IF(Skills!E5=TRUE,Inputs!$B$32,0))))))/Skills!H5,1)))/Inputs!$B$43),G1246*Q1246))*IF(Inputs!$B$38="pvp",1,(1+(Inputs!$B$21+Skills!Q5+(IF(ArtifactsInput!$M$33,CHOOSE(ArtifactsInput!$N$33+1,30,36,42,48,54,60),0))+(IF(AND(ArtifactsInput!$M$35,Inputs!$B$4&lt;&gt;"Chapter Hunt"),CHOOSE(ArtifactsInput!$N$35+1,15,18,21,24,27,30)*(1-EXP(-(0.2*B1275)*5)),0)+IF(AND(ArtifactsInput!$M$22,Inputs!$B$4&lt;&gt;"Chapter Hunt"),CHOOSE(ArtifactsInput!$N$22+1,10,12,14,16,18,20)*((0*(((0.15*B1275*5))^0/1)+1*(((0.15*B1275*5))^1/1)+2*(((0.15*B1275*5))^2/2)+3*(((0.15*B1275*5))^3/6)+4*(((0.15*B1275*5))^4/24)+5*(((0.15*B1275*5))^5/120))/((((0.15*B1275*5))^0/1)+(((0.15*B1275*5))^1/1)+(((0.15*B1275*5))^2/2)+(((0.15*B1275*5))^3/6)+(((0.15*B1275*5))^4/24)+(((0.15*B1275*5))^5/120)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247">
      <c r="A1247">
        <f>Skills!A6</f>
        <v/>
      </c>
      <c r="B1247">
        <f>Skills!B6</f>
        <v/>
      </c>
      <c r="C1247">
        <f>Inputs!$B$3&gt;=63</f>
        <v/>
      </c>
      <c r="D1247">
        <f>IF(Skills!C6=1,60+Inputs!$B$25+Inputs!$B$29,IF(Skills!C6=2,90+Inputs!$B$26+Inputs!$B$29,IF(Skills!C6=3,120+Inputs!$B$27+Inputs!$B$29,MAX(0,(Inputs!$B$3-100)*3)+Inputs!$B$28+Inputs!$B$29)))</f>
        <v/>
      </c>
      <c r="E1247">
        <f>INDEX(FactorTable!$B$2:$Y$301, MATCH(ROUND(MIN(300,MAX(1,D1247)),0), FactorTable!$A$2:$A$301,0), Skills!M6+1)</f>
        <v/>
      </c>
      <c r="F1247">
        <f>IF(Skills!N6=TRUE,(Skills!L6/10)*(E1247/1000),Skills!L6/10)+Skills!O6</f>
        <v/>
      </c>
      <c r="G1247">
        <f>Skills!G6*IF(Skills!H6&gt;0,Skills!I6/Skills!H6,1)</f>
        <v/>
      </c>
      <c r="H1247">
        <f>1-(1-Skills!J6/100)^Skills!K6</f>
        <v/>
      </c>
      <c r="I1247" t="inlineStr">
        <is>
          <t>1</t>
        </is>
      </c>
      <c r="J1247">
        <f>((Inputs!$B$6*(1+Inputs!$B$7/100))+(((Inputs!$B$12*(1+Inputs!$B$13/100))-(Inputs!$B$12*(1+Inputs!$B$13/100)))+0.25*(Inputs!$B$14-Inputs!$B$14))*(1+Inputs!$B$7/100))*(F1247/100)</f>
        <v/>
      </c>
      <c r="K1247">
        <f>J1247*(1+((Inputs!$B$12*(1+Inputs!$B$13/100))*0.01+Inputs!$B$14*0.0025)/100)*(1+Inputs!$B$15/100)*(1+Inputs!$B$16/100)*(5000/(6000+Inputs!$B$42*(1-(100*(1-(1-(Inputs!$B$19+0)/100)*(1-CHOOSE(ArtifactsInput!$N$40+1,5,6,7,8,9,10)/100)^(ArtifactsInput!$M$40-ArtifactsInput!$M$40)))/100)))*(1+(Inputs!$B$24+((C1265=TRUE)*(F1265-Calc!F24))+((C1266=TRUE)*(F1266-Calc!F25))+B1279)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1249=TRUE,F1249,0)/100)*(1+(IF(Skills!A6="EMPOWERED_PIERCING_ARROW",Inputs!$B$17+((C1263=TRUE)*(F1263-Calc!F22))+(((IF(AND(ArtifactsInput!$M$42,((Inputs!$B$9+((C1260=TRUE)*(F1260-Calc!F19))+B1273+(ArtifactsInput!$M$24-ArtifactsInput!$M$24)*CHOOSE(ArtifactsInput!$N$24+1,10,12,14,16,18,20)+IF(ArtifactsInput!$M$10,CHOOSE(ArtifactsInput!$N$10+1,15,18,21,24,27,30)*(IF(Inputs!$B$38="pvp",MIN(15,15)/15,IF(AND(Inputs!$B$38&lt;&gt;"pvp",Inputs!$B$43&gt;0),MIN(15,Inputs!$B$43)/(Inputs!$B$43),0))),0)))&gt;=100),MIN(100,((Inputs!$B$9+((C1260=TRUE)*(F1260-Calc!F19))+B1273+(ArtifactsInput!$M$24-ArtifactsInput!$M$24)*CHOOSE(ArtifactsInput!$N$24+1,10,12,14,16,18,20)+IF(ArtifactsInput!$M$10,CHOOSE(ArtifactsInput!$N$10+1,15,18,21,24,27,30)*(IF(Inputs!$B$38="pvp",MIN(15,15)/15,IF(AND(Inputs!$B$38&lt;&gt;"pvp",Inputs!$B$43&gt;0),MIN(15,Inputs!$B$43)/(Inputs!$B$43),0))),0)))-100),0))*CHOOSE(ArtifactsInput!$N$42+1,0.6,0.72,0.84,0.96,1.08,1.2))),Inputs!$B$18+((C1268=TRUE)*(F1268-Calc!F27))+(IF(AND(ArtifactsInput!$M$42,((Inputs!$B$9+((C1260=TRUE)*(F1260-Calc!F19))+B1273+(ArtifactsInput!$M$24-ArtifactsInput!$M$24)*CHOOSE(ArtifactsInput!$N$24+1,10,12,14,16,18,20)+IF(ArtifactsInput!$M$10,CHOOSE(ArtifactsInput!$N$10+1,15,18,21,24,27,30)*(IF(Inputs!$B$38="pvp",MIN(15,15)/15,IF(AND(Inputs!$B$38&lt;&gt;"pvp",Inputs!$B$43&gt;0),MIN(15,Inputs!$B$43)/(Inputs!$B$43),0))),0)))&gt;=100),CHOOSE(ArtifactsInput!$N$42+1,40,48,56,64,72,80),0))))/100)*((1+(((C1254=TRUE)*F1254)+((C1255=TRUE)*IF(Inputs!$B$38="pvp",F1255,(1-Summary!$B$11)*(F1255)+Summary!$B$11*(0)))+((C1256=TRUE)*F1256*IF(AND(Inputs!$B$38&lt;&gt;"pvp",Inputs!$B$43&gt;0),(((R1256-1)*(Skills!T15*(1+Inputs!$B$34/100))+MIN((Skills!T15*(1+Inputs!$B$34/100)),MAX(0,Inputs!$B$43-((R1256-1)*Skills!D15))))/Inputs!$B$43),IF(Inputs!$B$38="pvp",MIN((Skills!T15*(1+Inputs!$B$34/100)),15)/15,(Skills!T15*(1+Inputs!$B$34/100))/Skills!D15)))+((C1253=TRUE)*F1253)+((C1270=TRUE)*(F1270-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IF(ArtifactsInput!$M$5,FALSE,TRUE),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1247)</f>
        <v/>
      </c>
      <c r="L1247">
        <f>K1247*(MIN(Inputs!$B$22+((C1264=TRUE)*(F1264-Calc!F23)),(Inputs!$B$23+((C1269=TRUE)*(F1269-Calc!F28))+(IF(ArtifactsInput!$M$15,CHOOSE(ArtifactsInput!$N$15+1,25,30,35,40,45,50)/100*(Inputs!$B$11-Inputs!$B$11),0))))/100+(Inputs!$B$23+((C1269=TRUE)*(F1269-Calc!F28))+(IF(ArtifactsInput!$M$15,CHOOSE(ArtifactsInput!$N$15+1,25,30,35,40,45,50)/100*(Inputs!$B$11-Inputs!$B$11),0)))/100)/2</f>
        <v/>
      </c>
      <c r="M1247">
        <f>L1247*(1+(Inputs!$B$10+0+B1278+(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247">
        <f>L1247*(1-MIN((Inputs!$B$9+((C1260=TRUE)*(F1260-Calc!F19))+B1273+(ArtifactsInput!$M$24-ArtifactsInput!$M$24)*CHOOSE(ArtifactsInput!$N$24+1,10,12,14,16,18,20)+(IF(AND(ArtifactsInput!$M$42,((Inputs!$B$9+((C1260=TRUE)*(F1260-Calc!F19))+B1273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1247*(MIN((Inputs!$B$9+((C1260=TRUE)*(F1260-Calc!F19))+B1273+(ArtifactsInput!$M$24-ArtifactsInput!$M$24)*CHOOSE(ArtifactsInput!$N$24+1,10,12,14,16,18,20)+(IF(AND(ArtifactsInput!$M$42,((Inputs!$B$9+((C1260=TRUE)*(F1260-Calc!F19))+B1273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247">
        <f>(1-Summary!$B$11)*T1247+Summary!$B$11*V1247</f>
        <v/>
      </c>
      <c r="P1247">
        <f>IF(B1283=0,0,O1247/B1283)</f>
        <v/>
      </c>
      <c r="Q1247">
        <f>IFERROR(1/IF(Inputs!$B$38="pvp",15,MAX(0.1,Skills!D6-IF(Skills!E6=TRUE,Inputs!$B$32,0))),0)</f>
        <v/>
      </c>
      <c r="R1247">
        <f>IF(AND(Inputs!$B$38&lt;&gt;"pvp",Inputs!$B$43&gt;0),IF(MAX(0,Inputs!$B$43-B1280)&lt;=0,0,(INT(MAX(0,Inputs!$B$43-B1280)/IF(Inputs!$B$38="pvp",15,MAX(0.1,Skills!D6-IF(Skills!E6=TRUE,Inputs!$B$32,0))))+1)),0)</f>
        <v/>
      </c>
      <c r="S1247">
        <f>IFERROR((H1247*N1247*IF(AND(Inputs!$B$38&lt;&gt;"pvp",Inputs!$B$43&gt;0),((Skills!G6*((R1247-1)*IF(Skills!H6&gt;0,Skills!I6/Skills!H6,1)+IF(Skills!H6&gt;0,MIN(Skills!I6,MAX(0,MAX(0,Inputs!$B$43-B1280)-((R1247-1)*IF(Inputs!$B$38="pvp",15,MAX(0.1,Skills!D6-IF(Skills!E6=TRUE,Inputs!$B$32,0))))))/Skills!H6,1)))/Inputs!$B$43),G1247*Q1247))/N1247*IF(Inputs!$B$38="pvp",1,(1-Summary!$B$11)*1+Summary!$B$11*(MIN(Skills!R6,Inputs!$B$37))),0)</f>
        <v/>
      </c>
      <c r="T1247">
        <f>IF(C1247,(H1247*N1247*IF(AND(Inputs!$B$38&lt;&gt;"pvp",Inputs!$B$43&gt;0),((Skills!G6*((R1247-1)*IF(Skills!H6&gt;0,Skills!I6/Skills!H6,1)+IF(Skills!H6&gt;0,MIN(Skills!I6,MAX(0,MAX(0,Inputs!$B$43-B1280)-((R1247-1)*IF(Inputs!$B$38="pvp",15,MAX(0.1,Skills!D6-IF(Skills!E6=TRUE,Inputs!$B$32,0))))))/Skills!H6,1)))/Inputs!$B$43),G1247*Q1247))*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Hunt"),CHOOSE(ArtifactsInput!$N$35+1,15,18,21,24,27,30)*(1-EXP(-(0.2*B1275)*5)),0)+IF(AND(ArtifactsInput!$M$22,Inputs!$B$4&lt;&gt;"Chapter Hunt"),CHOOSE(ArtifactsInput!$N$22+1,10,12,14,16,18,20)*((0*(((0.15*B1275*5))^0/1)+1*(((0.15*B1275*5))^1/1)+2*(((0.15*B1275*5))^2/2)+3*(((0.15*B1275*5))^3/6)+4*(((0.15*B1275*5))^4/24)+5*(((0.15*B1275*5))^5/120))/((((0.15*B1275*5))^0/1)+(((0.15*B1275*5))^1/1)+(((0.15*B1275*5))^2/2)+(((0.15*B1275*5))^3/6)+(((0.15*B1275*5))^4/24)+(((0.15*B1275*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1247*(1-MIN(100,(Inputs!$B$9+((C1260=TRUE)*(F1260-Calc!F19))+B1273+(ArtifactsInput!$M$24-ArtifactsInput!$M$24)*CHOOSE(ArtifactsInput!$N$24+1,10,12,14,16,18,20)+(IF(AND(ArtifactsInput!$M$42,((Inputs!$B$9+((C1260=TRUE)*(F1260-Calc!F19))+B1273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1247*(MIN(100,(Inputs!$B$9+((C1260=TRUE)*(F1260-Calc!F19))+B1273+(ArtifactsInput!$M$24-ArtifactsInput!$M$24)*CHOOSE(ArtifactsInput!$N$24+1,10,12,14,16,18,20)+(IF(AND(ArtifactsInput!$M$42,((Inputs!$B$9+((C1260=TRUE)*(F1260-Calc!F19))+B1273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1247*(1-MIN(100,(Inputs!$B$9+((C1260=TRUE)*(F1260-Calc!F19))+B1273+(ArtifactsInput!$M$24-ArtifactsInput!$M$24)*CHOOSE(ArtifactsInput!$N$24+1,10,12,14,16,18,20)+(IF(AND(ArtifactsInput!$M$42,((Inputs!$B$9+((C1260=TRUE)*(F1260-Calc!F19))+B1273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1247*(MIN(100,(Inputs!$B$9+((C1260=TRUE)*(F1260-Calc!F19))+B1273+(ArtifactsInput!$M$24-ArtifactsInput!$M$24)*CHOOSE(ArtifactsInput!$N$24+1,10,12,14,16,18,20)+(IF(AND(ArtifactsInput!$M$42,((Inputs!$B$9+((C1260=TRUE)*(F1260-Calc!F19))+B1273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247">
        <f>IF(C1247,(H1247*N1247*IF(AND(Inputs!$B$38&lt;&gt;"pvp",Inputs!$B$43&gt;0),((Skills!G6*((R1247-1)*IF(Skills!H6&gt;0,Skills!I6/Skills!H6,1)+IF(Skills!H6&gt;0,MIN(Skills!I6,MAX(0,MAX(0,Inputs!$B$43-B1280)-((R1247-1)*IF(Inputs!$B$38="pvp",15,MAX(0.1,Skills!D6-IF(Skills!E6=TRUE,Inputs!$B$32,0))))))/Skills!H6,1)))/Inputs!$B$43),G1247*Q1247))*IF(Inputs!$B$38="pvp",1,(1+(Inputs!$B$21+Skills!Q6+(IF(ArtifactsInput!$M$33,CHOOSE(ArtifactsInput!$N$33+1,30,36,42,48,54,60),0))+(IF(AND(ArtifactsInput!$M$35,Inputs!$B$4&lt;&gt;"Chapter Hunt"),CHOOSE(ArtifactsInput!$N$35+1,15,18,21,24,27,30)*(1-EXP(-(0.2*B1275)*5)),0)+IF(AND(ArtifactsInput!$M$22,Inputs!$B$4&lt;&gt;"Chapter Hunt"),CHOOSE(ArtifactsInput!$N$22+1,10,12,14,16,18,20)*((0*(((0.15*B1275*5))^0/1)+1*(((0.15*B1275*5))^1/1)+2*(((0.15*B1275*5))^2/2)+3*(((0.15*B1275*5))^3/6)+4*(((0.15*B1275*5))^4/24)+5*(((0.15*B1275*5))^5/120))/((((0.15*B1275*5))^0/1)+(((0.15*B1275*5))^1/1)+(((0.15*B1275*5))^2/2)+(((0.15*B1275*5))^3/6)+(((0.15*B1275*5))^4/24)+(((0.15*B1275*5))^5/120))),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248">
      <c r="A1248">
        <f>Skills!A7</f>
        <v/>
      </c>
      <c r="B1248">
        <f>Skills!B7</f>
        <v/>
      </c>
      <c r="C1248">
        <f>Inputs!$B$3&gt;=69</f>
        <v/>
      </c>
      <c r="D1248">
        <f>IF(Skills!C7=1,60+Inputs!$B$25+Inputs!$B$29,IF(Skills!C7=2,90+Inputs!$B$26+Inputs!$B$29,IF(Skills!C7=3,120+Inputs!$B$27+Inputs!$B$29,MAX(0,(Inputs!$B$3-100)*3)+Inputs!$B$28+Inputs!$B$29)))</f>
        <v/>
      </c>
      <c r="E1248">
        <f>INDEX(FactorTable!$B$2:$Y$301, MATCH(ROUND(MIN(300,MAX(1,D1248)),0), FactorTable!$A$2:$A$301,0), Skills!M7+1)</f>
        <v/>
      </c>
      <c r="F1248">
        <f>IF(Skills!N7=TRUE,(Skills!L7/10)*(E1248/1000),Skills!L7/10)+Skills!O7</f>
        <v/>
      </c>
      <c r="G1248">
        <f>Skills!G7*IF(Skills!H7&gt;0,Skills!I7/Skills!H7,1)</f>
        <v/>
      </c>
      <c r="H1248">
        <f>1-(1-Skills!J7/100)^Skills!K7</f>
        <v/>
      </c>
      <c r="I1248" t="inlineStr">
        <is>
          <t>1</t>
        </is>
      </c>
      <c r="J1248">
        <f>((Inputs!$B$6*(1+Inputs!$B$7/100))+(((Inputs!$B$12*(1+Inputs!$B$13/100))-(Inputs!$B$12*(1+Inputs!$B$13/100)))+0.25*(Inputs!$B$14-Inputs!$B$14))*(1+Inputs!$B$7/100))*(F1248/100)</f>
        <v/>
      </c>
      <c r="K1248">
        <f>J1248*(1+((Inputs!$B$12*(1+Inputs!$B$13/100))*0.01+Inputs!$B$14*0.0025)/100)*(1+Inputs!$B$15/100)*(1+Inputs!$B$16/100)*(5000/(6000+Inputs!$B$42*(1-(100*(1-(1-(Inputs!$B$19+0)/100)*(1-CHOOSE(ArtifactsInput!$N$40+1,5,6,7,8,9,10)/100)^(ArtifactsInput!$M$40-ArtifactsInput!$M$40)))/100)))*(1+(Inputs!$B$24+((C1265=TRUE)*(F1265-Calc!F24))+((C1266=TRUE)*(F1266-Calc!F25))+B1279)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+1.2*IF(C1249=TRUE,F1249,0)/100)*(1+(IF(Skills!A7="EMPOWERED_PIERCING_ARROW",Inputs!$B$17+((C1263=TRUE)*(F1263-Calc!F22))+(((IF(AND(ArtifactsInput!$M$42,((Inputs!$B$9+((C1260=TRUE)*(F1260-Calc!F19))+B1273+(ArtifactsInput!$M$24-ArtifactsInput!$M$24)*CHOOSE(ArtifactsInput!$N$24+1,10,12,14,16,18,20)+IF(ArtifactsInput!$M$10,CHOOSE(ArtifactsInput!$N$10+1,15,18,21,24,27,30)*(IF(Inputs!$B$38="pvp",MIN(15,15)/15,IF(AND(Inputs!$B$38&lt;&gt;"pvp",Inputs!$B$43&gt;0),MIN(15,Inputs!$B$43)/(Inputs!$B$43),0))),0)))&gt;=100),MIN(100,((Inputs!$B$9+((C1260=TRUE)*(F1260-Calc!F19))+B1273+(ArtifactsInput!$M$24-ArtifactsInput!$M$24)*CHOOSE(ArtifactsInput!$N$24+1,10,12,14,16,18,20)+IF(ArtifactsInput!$M$10,CHOOSE(ArtifactsInput!$N$10+1,15,18,21,24,27,30)*(IF(Inputs!$B$38="pvp",MIN(15,15)/15,IF(AND(Inputs!$B$38&lt;&gt;"pvp",Inputs!$B$43&gt;0),MIN(15,Inputs!$B$43)/(Inputs!$B$43),0))),0)))-100),0))*CHOOSE(ArtifactsInput!$N$42+1,0.6,0.72,0.84,0.96,1.08,1.2))),Inputs!$B$18+((C1268=TRUE)*(F1268-Calc!F27))+(IF(AND(ArtifactsInput!$M$42,((Inputs!$B$9+((C1260=TRUE)*(F1260-Calc!F19))+B1273+(ArtifactsInput!$M$24-ArtifactsInput!$M$24)*CHOOSE(ArtifactsInput!$N$24+1,10,12,14,16,18,20)+IF(ArtifactsInput!$M$10,CHOOSE(ArtifactsInput!$N$10+1,15,18,21,24,27,30)*(IF(Inputs!$B$38="pvp",MIN(15,15)/15,IF(AND(Inputs!$B$38&lt;&gt;"pvp",Inputs!$B$43&gt;0),MIN(15,Inputs!$B$43)/(Inputs!$B$43),0))),0)))&gt;=100),CHOOSE(ArtifactsInput!$N$42+1,40,48,56,64,72,80),0))))/100)*((1+(((C1254=TRUE)*F1254)+((C1255=TRUE)*IF(Inputs!$B$38="pvp",F1255,(1-Summary!$B$11)*(F1255)+Summary!$B$11*(0)))+((C1256=TRUE)*F1256*IF(AND(Inputs!$B$38&lt;&gt;"pvp",Inputs!$B$43&gt;0),(((R1256-1)*(Skills!T15*(1+Inputs!$B$34/100))+MIN((Skills!T15*(1+Inputs!$B$34/100)),MAX(0,Inputs!$B$43-((R1256-1)*Skills!D15))))/Inputs!$B$43),IF(Inputs!$B$38="pvp",MIN((Skills!T15*(1+Inputs!$B$34/100)),15)/15,(Skills!T15*(1+Inputs!$B$34/100))/Skills!D15)))+((C1253=TRUE)*F1253)+((C1270=TRUE)*(F1270-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IF(ArtifactsInput!$M$5,FALSE,TRUE),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1248)</f>
        <v/>
      </c>
      <c r="L1248">
        <f>K1248*(MIN(Inputs!$B$22+((C1264=TRUE)*(F1264-Calc!F23)),(Inputs!$B$23+((C1269=TRUE)*(F1269-Calc!F28))+(IF(ArtifactsInput!$M$15,CHOOSE(ArtifactsInput!$N$15+1,25,30,35,40,45,50)/100*(Inputs!$B$11-Inputs!$B$11),0))))/100+(Inputs!$B$23+((C1269=TRUE)*(F1269-Calc!F28))+(IF(ArtifactsInput!$M$15,CHOOSE(ArtifactsInput!$N$15+1,25,30,35,40,45,50)/100*(Inputs!$B$11-Inputs!$B$11),0)))/100)/2</f>
        <v/>
      </c>
      <c r="M1248">
        <f>L1248*(1+(Inputs!$B$10+0+B1278+(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248">
        <f>L1248*(1-MIN((Inputs!$B$9+((C1260=TRUE)*(F1260-Calc!F19))+B1273+(ArtifactsInput!$M$24-ArtifactsInput!$M$24)*CHOOSE(ArtifactsInput!$N$24+1,10,12,14,16,18,20)+(IF(AND(ArtifactsInput!$M$42,((Inputs!$B$9+((C1260=TRUE)*(F1260-Calc!F19))+B1273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1248*(MIN((Inputs!$B$9+((C1260=TRUE)*(F1260-Calc!F19))+B1273+(ArtifactsInput!$M$24-ArtifactsInput!$M$24)*CHOOSE(ArtifactsInput!$N$24+1,10,12,14,16,18,20)+(IF(AND(ArtifactsInput!$M$42,((Inputs!$B$9+((C1260=TRUE)*(F1260-Calc!F19))+B1273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248">
        <f>(1-Summary!$B$11)*T1248+Summary!$B$11*V1248</f>
        <v/>
      </c>
      <c r="P1248">
        <f>IF(B1283=0,0,O1248/B1283)</f>
        <v/>
      </c>
      <c r="Q1248">
        <f>IFERROR(1/IF(Inputs!$B$38="pvp",15,MAX(0.1,Skills!D7-IF(Skills!E7=TRUE,Inputs!$B$32,0))),0)</f>
        <v/>
      </c>
      <c r="R1248">
        <f>IF(AND(Inputs!$B$38&lt;&gt;"pvp",Inputs!$B$43&gt;0),IF(MAX(0,Inputs!$B$43-B1280)&lt;=0,0,(INT(MAX(0,Inputs!$B$43-B1280)/IF(Inputs!$B$38="pvp",15,MAX(0.1,Skills!D7-IF(Skills!E7=TRUE,Inputs!$B$32,0))))+1)),0)</f>
        <v/>
      </c>
      <c r="S1248">
        <f>IFERROR((H1248*N1248*IF(AND(Inputs!$B$38&lt;&gt;"pvp",Inputs!$B$43&gt;0),((Skills!G7*((R1248-1)*IF(Skills!H7&gt;0,Skills!I7/Skills!H7,1)+IF(Skills!H7&gt;0,MIN(Skills!I7,MAX(0,MAX(0,Inputs!$B$43-B1280)-((R1248-1)*IF(Inputs!$B$38="pvp",15,MAX(0.1,Skills!D7-IF(Skills!E7=TRUE,Inputs!$B$32,0))))))/Skills!H7,1)))/Inputs!$B$43),G1248*Q1248))/N1248*IF(Inputs!$B$38="pvp",1,(1-Summary!$B$11)*1+Summary!$B$11*(MIN(Skills!R7,Inputs!$B$37))),0)</f>
        <v/>
      </c>
      <c r="T1248">
        <f>IF(C1248,(H1248*N1248*IF(AND(Inputs!$B$38&lt;&gt;"pvp",Inputs!$B$43&gt;0),((Skills!G7*((R1248-1)*IF(Skills!H7&gt;0,Skills!I7/Skills!H7,1)+IF(Skills!H7&gt;0,MIN(Skills!I7,MAX(0,MAX(0,Inputs!$B$43-B1280)-((R1248-1)*IF(Inputs!$B$38="pvp",15,MAX(0.1,Skills!D7-IF(Skills!E7=TRUE,Inputs!$B$32,0))))))/Skills!H7,1)))/Inputs!$B$43),G1248*Q1248))*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Hunt"),CHOOSE(ArtifactsInput!$N$35+1,15,18,21,24,27,30)*(1-EXP(-(0.2*B1275)*5)),0)+IF(AND(ArtifactsInput!$M$22,Inputs!$B$4&lt;&gt;"Chapter Hunt"),CHOOSE(ArtifactsInput!$N$22+1,10,12,14,16,18,20)*((0*(((0.15*B1275*5))^0/1)+1*(((0.15*B1275*5))^1/1)+2*(((0.15*B1275*5))^2/2)+3*(((0.15*B1275*5))^3/6)+4*(((0.15*B1275*5))^4/24)+5*(((0.15*B1275*5))^5/120))/((((0.15*B1275*5))^0/1)+(((0.15*B1275*5))^1/1)+(((0.15*B1275*5))^2/2)+(((0.15*B1275*5))^3/6)+(((0.15*B1275*5))^4/24)+(((0.15*B1275*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1248*(1-MIN(100,(Inputs!$B$9+((C1260=TRUE)*(F1260-Calc!F19))+B1273+(ArtifactsInput!$M$24-ArtifactsInput!$M$24)*CHOOSE(ArtifactsInput!$N$24+1,10,12,14,16,18,20)+(IF(AND(ArtifactsInput!$M$42,((Inputs!$B$9+((C1260=TRUE)*(F1260-Calc!F19))+B1273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1248*(MIN(100,(Inputs!$B$9+((C1260=TRUE)*(F1260-Calc!F19))+B1273+(ArtifactsInput!$M$24-ArtifactsInput!$M$24)*CHOOSE(ArtifactsInput!$N$24+1,10,12,14,16,18,20)+(IF(AND(ArtifactsInput!$M$42,((Inputs!$B$9+((C1260=TRUE)*(F1260-Calc!F19))+B1273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1248*(1-MIN(100,(Inputs!$B$9+((C1260=TRUE)*(F1260-Calc!F19))+B1273+(ArtifactsInput!$M$24-ArtifactsInput!$M$24)*CHOOSE(ArtifactsInput!$N$24+1,10,12,14,16,18,20)+(IF(AND(ArtifactsInput!$M$42,((Inputs!$B$9+((C1260=TRUE)*(F1260-Calc!F19))+B1273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1248*(MIN(100,(Inputs!$B$9+((C1260=TRUE)*(F1260-Calc!F19))+B1273+(ArtifactsInput!$M$24-ArtifactsInput!$M$24)*CHOOSE(ArtifactsInput!$N$24+1,10,12,14,16,18,20)+(IF(AND(ArtifactsInput!$M$42,((Inputs!$B$9+((C1260=TRUE)*(F1260-Calc!F19))+B1273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248">
        <f>IF(C1248,(H1248*N1248*IF(AND(Inputs!$B$38&lt;&gt;"pvp",Inputs!$B$43&gt;0),((Skills!G7*((R1248-1)*IF(Skills!H7&gt;0,Skills!I7/Skills!H7,1)+IF(Skills!H7&gt;0,MIN(Skills!I7,MAX(0,MAX(0,Inputs!$B$43-B1280)-((R1248-1)*IF(Inputs!$B$38="pvp",15,MAX(0.1,Skills!D7-IF(Skills!E7=TRUE,Inputs!$B$32,0))))))/Skills!H7,1)))/Inputs!$B$43),G1248*Q1248))*IF(Inputs!$B$38="pvp",1,(1+(Inputs!$B$21+Skills!Q7+(IF(ArtifactsInput!$M$33,CHOOSE(ArtifactsInput!$N$33+1,30,36,42,48,54,60),0))+(IF(AND(ArtifactsInput!$M$35,Inputs!$B$4&lt;&gt;"Chapter Hunt"),CHOOSE(ArtifactsInput!$N$35+1,15,18,21,24,27,30)*(1-EXP(-(0.2*B1275)*5)),0)+IF(AND(ArtifactsInput!$M$22,Inputs!$B$4&lt;&gt;"Chapter Hunt"),CHOOSE(ArtifactsInput!$N$22+1,10,12,14,16,18,20)*((0*(((0.15*B1275*5))^0/1)+1*(((0.15*B1275*5))^1/1)+2*(((0.15*B1275*5))^2/2)+3*(((0.15*B1275*5))^3/6)+4*(((0.15*B1275*5))^4/24)+5*(((0.15*B1275*5))^5/120))/((((0.15*B1275*5))^0/1)+(((0.15*B1275*5))^1/1)+(((0.15*B1275*5))^2/2)+(((0.15*B1275*5))^3/6)+(((0.15*B1275*5))^4/24)+(((0.15*B1275*5))^5/120))),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249">
      <c r="A1249">
        <f>Skills!A8</f>
        <v/>
      </c>
      <c r="B1249">
        <f>Skills!B8</f>
        <v/>
      </c>
      <c r="C1249">
        <f>Inputs!$B$3&gt;=100</f>
        <v/>
      </c>
      <c r="D1249">
        <f>IF(Skills!C8=1,60+Inputs!$B$25+Inputs!$B$29,IF(Skills!C8=2,90+Inputs!$B$26+Inputs!$B$29,IF(Skills!C8=3,120+Inputs!$B$27+Inputs!$B$29,MAX(0,(Inputs!$B$3-100)*3)+Inputs!$B$28+Inputs!$B$29)))</f>
        <v/>
      </c>
      <c r="E1249">
        <f>INDEX(FactorTable!$B$2:$Y$301, MATCH(ROUND(MIN(300,MAX(1,D1249)),0), FactorTable!$A$2:$A$301,0), Skills!M8+1)</f>
        <v/>
      </c>
      <c r="F1249">
        <f>IF(Skills!N8=TRUE,(Skills!L8/10)*(E1249/1000),Skills!L8/10)+Skills!O8</f>
        <v/>
      </c>
      <c r="G1249" t="inlineStr"/>
      <c r="H1249" t="inlineStr"/>
      <c r="I1249" t="inlineStr">
        <is>
          <t>1</t>
        </is>
      </c>
      <c r="J1249" t="inlineStr"/>
      <c r="K1249" t="inlineStr"/>
      <c r="L1249" t="inlineStr"/>
      <c r="M1249" t="inlineStr"/>
      <c r="N1249" t="inlineStr"/>
      <c r="O1249" t="inlineStr"/>
      <c r="P1249" t="inlineStr"/>
      <c r="Q1249" t="inlineStr"/>
      <c r="R1249" t="inlineStr"/>
      <c r="S1249" t="inlineStr"/>
      <c r="T1249" t="inlineStr"/>
      <c r="V1249" t="inlineStr"/>
    </row>
    <row r="1250">
      <c r="A1250">
        <f>Skills!A9</f>
        <v/>
      </c>
      <c r="B1250">
        <f>Skills!B9</f>
        <v/>
      </c>
      <c r="C1250">
        <f>Inputs!$B$3&gt;=103</f>
        <v/>
      </c>
      <c r="D1250">
        <f>IF(Skills!C9=1,60+Inputs!$B$25+Inputs!$B$29,IF(Skills!C9=2,90+Inputs!$B$26+Inputs!$B$29,IF(Skills!C9=3,120+Inputs!$B$27+Inputs!$B$29,MAX(0,(Inputs!$B$3-100)*3)+Inputs!$B$28+Inputs!$B$29)))</f>
        <v/>
      </c>
      <c r="E1250">
        <f>INDEX(FactorTable!$B$2:$Y$301, MATCH(ROUND(MIN(300,MAX(1,D1250)),0), FactorTable!$A$2:$A$301,0), Skills!M9+1)</f>
        <v/>
      </c>
      <c r="F1250">
        <f>IF(Skills!N9=TRUE,(Skills!L9/10)*(E1250/1000),Skills!L9/10)+Skills!O9</f>
        <v/>
      </c>
      <c r="G1250">
        <f>Skills!G9*IF(Skills!H9&gt;0,Skills!I9/Skills!H9,1)</f>
        <v/>
      </c>
      <c r="H1250">
        <f>1-(1-Skills!J9/100)^Skills!K9</f>
        <v/>
      </c>
      <c r="I1250" t="inlineStr">
        <is>
          <t>1</t>
        </is>
      </c>
      <c r="J1250">
        <f>((Inputs!$B$6*(1+Inputs!$B$7/100))+(((Inputs!$B$12*(1+Inputs!$B$13/100))-(Inputs!$B$12*(1+Inputs!$B$13/100)))+0.25*(Inputs!$B$14-Inputs!$B$14))*(1+Inputs!$B$7/100))*(F1250/100)</f>
        <v/>
      </c>
      <c r="K1250">
        <f>J1250*(1+((Inputs!$B$12*(1+Inputs!$B$13/100))*0.01+Inputs!$B$14*0.0025)/100)*(1+Inputs!$B$15/100)*(1+Inputs!$B$16/100)*(5000/(6000+Inputs!$B$42*(1-(100*(1-(1-(Inputs!$B$19+0)/100)*(1-CHOOSE(ArtifactsInput!$N$40+1,5,6,7,8,9,10)/100)^(ArtifactsInput!$M$40-ArtifactsInput!$M$40)))/100)))*(1+(Inputs!$B$24+((C1265=TRUE)*(F1265-Calc!F24))+((C1266=TRUE)*(F1266-Calc!F25))+B1279)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EMPOWERED_PIERCING_ARROW",Inputs!$B$17+((C1263=TRUE)*(F1263-Calc!F22))+(((IF(AND(ArtifactsInput!$M$42,((Inputs!$B$9+((C1260=TRUE)*(F1260-Calc!F19))+B1273+(ArtifactsInput!$M$24-ArtifactsInput!$M$24)*CHOOSE(ArtifactsInput!$N$24+1,10,12,14,16,18,20)+IF(ArtifactsInput!$M$10,CHOOSE(ArtifactsInput!$N$10+1,15,18,21,24,27,30)*(IF(Inputs!$B$38="pvp",MIN(15,15)/15,IF(AND(Inputs!$B$38&lt;&gt;"pvp",Inputs!$B$43&gt;0),MIN(15,Inputs!$B$43)/(Inputs!$B$43),0))),0)))&gt;=100),MIN(100,((Inputs!$B$9+((C1260=TRUE)*(F1260-Calc!F19))+B1273+(ArtifactsInput!$M$24-ArtifactsInput!$M$24)*CHOOSE(ArtifactsInput!$N$24+1,10,12,14,16,18,20)+IF(ArtifactsInput!$M$10,CHOOSE(ArtifactsInput!$N$10+1,15,18,21,24,27,30)*(IF(Inputs!$B$38="pvp",MIN(15,15)/15,IF(AND(Inputs!$B$38&lt;&gt;"pvp",Inputs!$B$43&gt;0),MIN(15,Inputs!$B$43)/(Inputs!$B$43),0))),0)))-100),0))*CHOOSE(ArtifactsInput!$N$42+1,0.6,0.72,0.84,0.96,1.08,1.2))),Inputs!$B$18+((C1268=TRUE)*(F1268-Calc!F27))+(IF(AND(ArtifactsInput!$M$42,((Inputs!$B$9+((C1260=TRUE)*(F1260-Calc!F19))+B1273+(ArtifactsInput!$M$24-ArtifactsInput!$M$24)*CHOOSE(ArtifactsInput!$N$24+1,10,12,14,16,18,20)+IF(ArtifactsInput!$M$10,CHOOSE(ArtifactsInput!$N$10+1,15,18,21,24,27,30)*(IF(Inputs!$B$38="pvp",MIN(15,15)/15,IF(AND(Inputs!$B$38&lt;&gt;"pvp",Inputs!$B$43&gt;0),MIN(15,Inputs!$B$43)/(Inputs!$B$43),0))),0)))&gt;=100),CHOOSE(ArtifactsInput!$N$42+1,40,48,56,64,72,80),0))))/100)*((1+(((C1254=TRUE)*F1254)+((C1255=TRUE)*IF(Inputs!$B$38="pvp",F1255,(1-Summary!$B$11)*(F1255)+Summary!$B$11*(0)))+((C1256=TRUE)*F1256*IF(AND(Inputs!$B$38&lt;&gt;"pvp",Inputs!$B$43&gt;0),(((R1256-1)*(Skills!T15*(1+Inputs!$B$34/100))+MIN((Skills!T15*(1+Inputs!$B$34/100)),MAX(0,Inputs!$B$43-((R1256-1)*Skills!D15))))/Inputs!$B$43),IF(Inputs!$B$38="pvp",MIN((Skills!T15*(1+Inputs!$B$34/100)),15)/15,(Skills!T15*(1+Inputs!$B$34/100))/Skills!D15)))+((C1253=TRUE)*F1253)+((C1270=TRUE)*(F1270-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IF(ArtifactsInput!$M$5,FALSE,TRUE),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1250)</f>
        <v/>
      </c>
      <c r="L1250">
        <f>K1250*(MIN(Inputs!$B$22+((C1264=TRUE)*(F1264-Calc!F23)),(Inputs!$B$23+((C1269=TRUE)*(F1269-Calc!F28))+(IF(ArtifactsInput!$M$15,CHOOSE(ArtifactsInput!$N$15+1,25,30,35,40,45,50)/100*(Inputs!$B$11-Inputs!$B$11),0))))/100+(Inputs!$B$23+((C1269=TRUE)*(F1269-Calc!F28))+(IF(ArtifactsInput!$M$15,CHOOSE(ArtifactsInput!$N$15+1,25,30,35,40,45,50)/100*(Inputs!$B$11-Inputs!$B$11),0)))/100)/2</f>
        <v/>
      </c>
      <c r="M1250">
        <f>L1250*(1+(Inputs!$B$10+0+B1278+(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250">
        <f>L1250*(1-MIN((Inputs!$B$9+((C1260=TRUE)*(F1260-Calc!F19))+B1273+(ArtifactsInput!$M$24-ArtifactsInput!$M$24)*CHOOSE(ArtifactsInput!$N$24+1,10,12,14,16,18,20)+(IF(AND(ArtifactsInput!$M$42,((Inputs!$B$9+((C1260=TRUE)*(F1260-Calc!F19))+B1273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1250*(MIN((Inputs!$B$9+((C1260=TRUE)*(F1260-Calc!F19))+B1273+(ArtifactsInput!$M$24-ArtifactsInput!$M$24)*CHOOSE(ArtifactsInput!$N$24+1,10,12,14,16,18,20)+(IF(AND(ArtifactsInput!$M$42,((Inputs!$B$9+((C1260=TRUE)*(F1260-Calc!F19))+B1273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250">
        <f>(1-Summary!$B$11)*T1250+Summary!$B$11*V1250</f>
        <v/>
      </c>
      <c r="P1250">
        <f>IF(B1283=0,0,O1250/B1283)</f>
        <v/>
      </c>
      <c r="Q1250">
        <f>IFERROR(1/IF(Inputs!$B$38="pvp",15,MAX(0.1,Skills!D9-IF(Skills!E9=TRUE,Inputs!$B$32,0))),0)</f>
        <v/>
      </c>
      <c r="R1250">
        <f>IF(AND(Inputs!$B$38&lt;&gt;"pvp",Inputs!$B$43&gt;0),IF(MAX(0,Inputs!$B$43-B1280)&lt;=0,0,(INT(MAX(0,Inputs!$B$43-B1280)/IF(Inputs!$B$38="pvp",15,MAX(0.1,Skills!D9-IF(Skills!E9=TRUE,Inputs!$B$32,0))))+1)),0)</f>
        <v/>
      </c>
      <c r="S1250">
        <f>IFERROR((H1250*N1250*IF(AND(Inputs!$B$38&lt;&gt;"pvp",Inputs!$B$43&gt;0),((Skills!G9*((R1250-1)*IF(Skills!H9&gt;0,Skills!I9/Skills!H9,1)+IF(Skills!H9&gt;0,MIN(Skills!I9,MAX(0,MAX(0,Inputs!$B$43-B1280)-((R1250-1)*IF(Inputs!$B$38="pvp",15,MAX(0.1,Skills!D9-IF(Skills!E9=TRUE,Inputs!$B$32,0))))))/Skills!H9,1)))/Inputs!$B$43),G1250*Q1250))/N1250*IF(Inputs!$B$38="pvp",1,(1-Summary!$B$11)*1+Summary!$B$11*(MIN(Skills!R9,Inputs!$B$37))),0)</f>
        <v/>
      </c>
      <c r="T1250">
        <f>IF(C1250,(H1250*N1250*IF(AND(Inputs!$B$38&lt;&gt;"pvp",Inputs!$B$43&gt;0),((Skills!G9*((R1250-1)*IF(Skills!H9&gt;0,Skills!I9/Skills!H9,1)+IF(Skills!H9&gt;0,MIN(Skills!I9,MAX(0,MAX(0,Inputs!$B$43-B1280)-((R1250-1)*IF(Inputs!$B$38="pvp",15,MAX(0.1,Skills!D9-IF(Skills!E9=TRUE,Inputs!$B$32,0))))))/Skills!H9,1)))/Inputs!$B$43),G1250*Q1250))*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Hunt"),CHOOSE(ArtifactsInput!$N$35+1,15,18,21,24,27,30)*(1-EXP(-(0.2*B1275)*5)),0)+IF(AND(ArtifactsInput!$M$22,Inputs!$B$4&lt;&gt;"Chapter Hunt"),CHOOSE(ArtifactsInput!$N$22+1,10,12,14,16,18,20)*((0*(((0.15*B1275*5))^0/1)+1*(((0.15*B1275*5))^1/1)+2*(((0.15*B1275*5))^2/2)+3*(((0.15*B1275*5))^3/6)+4*(((0.15*B1275*5))^4/24)+5*(((0.15*B1275*5))^5/120))/((((0.15*B1275*5))^0/1)+(((0.15*B1275*5))^1/1)+(((0.15*B1275*5))^2/2)+(((0.15*B1275*5))^3/6)+(((0.15*B1275*5))^4/24)+(((0.15*B1275*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1250*(1-MIN(100,(Inputs!$B$9+((C1260=TRUE)*(F1260-Calc!F19))+B1273+(ArtifactsInput!$M$24-ArtifactsInput!$M$24)*CHOOSE(ArtifactsInput!$N$24+1,10,12,14,16,18,20)+(IF(AND(ArtifactsInput!$M$42,((Inputs!$B$9+((C1260=TRUE)*(F1260-Calc!F19))+B1273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1250*(MIN(100,(Inputs!$B$9+((C1260=TRUE)*(F1260-Calc!F19))+B1273+(ArtifactsInput!$M$24-ArtifactsInput!$M$24)*CHOOSE(ArtifactsInput!$N$24+1,10,12,14,16,18,20)+(IF(AND(ArtifactsInput!$M$42,((Inputs!$B$9+((C1260=TRUE)*(F1260-Calc!F19))+B1273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1250*(1-MIN(100,(Inputs!$B$9+((C1260=TRUE)*(F1260-Calc!F19))+B1273+(ArtifactsInput!$M$24-ArtifactsInput!$M$24)*CHOOSE(ArtifactsInput!$N$24+1,10,12,14,16,18,20)+(IF(AND(ArtifactsInput!$M$42,((Inputs!$B$9+((C1260=TRUE)*(F1260-Calc!F19))+B1273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1250*(MIN(100,(Inputs!$B$9+((C1260=TRUE)*(F1260-Calc!F19))+B1273+(ArtifactsInput!$M$24-ArtifactsInput!$M$24)*CHOOSE(ArtifactsInput!$N$24+1,10,12,14,16,18,20)+(IF(AND(ArtifactsInput!$M$42,((Inputs!$B$9+((C1260=TRUE)*(F1260-Calc!F19))+B1273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250">
        <f>IF(C1250,(H1250*N1250*IF(AND(Inputs!$B$38&lt;&gt;"pvp",Inputs!$B$43&gt;0),((Skills!G9*((R1250-1)*IF(Skills!H9&gt;0,Skills!I9/Skills!H9,1)+IF(Skills!H9&gt;0,MIN(Skills!I9,MAX(0,MAX(0,Inputs!$B$43-B1280)-((R1250-1)*IF(Inputs!$B$38="pvp",15,MAX(0.1,Skills!D9-IF(Skills!E9=TRUE,Inputs!$B$32,0))))))/Skills!H9,1)))/Inputs!$B$43),G1250*Q1250))*IF(Inputs!$B$38="pvp",1,(1+(Inputs!$B$21+Skills!Q9+(IF(ArtifactsInput!$M$33,CHOOSE(ArtifactsInput!$N$33+1,30,36,42,48,54,60),0))+(IF(AND(ArtifactsInput!$M$35,Inputs!$B$4&lt;&gt;"Chapter Hunt"),CHOOSE(ArtifactsInput!$N$35+1,15,18,21,24,27,30)*(1-EXP(-(0.2*B1275)*5)),0)+IF(AND(ArtifactsInput!$M$22,Inputs!$B$4&lt;&gt;"Chapter Hunt"),CHOOSE(ArtifactsInput!$N$22+1,10,12,14,16,18,20)*((0*(((0.15*B1275*5))^0/1)+1*(((0.15*B1275*5))^1/1)+2*(((0.15*B1275*5))^2/2)+3*(((0.15*B1275*5))^3/6)+4*(((0.15*B1275*5))^4/24)+5*(((0.15*B1275*5))^5/120))/((((0.15*B1275*5))^0/1)+(((0.15*B1275*5))^1/1)+(((0.15*B1275*5))^2/2)+(((0.15*B1275*5))^3/6)+(((0.15*B1275*5))^4/24)+(((0.15*B1275*5))^5/120)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251">
      <c r="A1251">
        <f>Skills!A10</f>
        <v/>
      </c>
      <c r="B1251">
        <f>Skills!B10</f>
        <v/>
      </c>
      <c r="C1251">
        <f>Inputs!$B$3&gt;=107</f>
        <v/>
      </c>
      <c r="D1251">
        <f>IF(Skills!C10=1,60+Inputs!$B$25+Inputs!$B$29,IF(Skills!C10=2,90+Inputs!$B$26+Inputs!$B$29,IF(Skills!C10=3,120+Inputs!$B$27+Inputs!$B$29,MAX(0,(Inputs!$B$3-100)*3)+Inputs!$B$28+Inputs!$B$29)))</f>
        <v/>
      </c>
      <c r="E1251">
        <f>INDEX(FactorTable!$B$2:$Y$301, MATCH(ROUND(MIN(300,MAX(1,D1251)),0), FactorTable!$A$2:$A$301,0), Skills!M10+1)</f>
        <v/>
      </c>
      <c r="F1251">
        <f>IF(Skills!N10=TRUE,(Skills!L10/10)*(E1251/1000),Skills!L10/10)+Skills!O10</f>
        <v/>
      </c>
      <c r="G1251">
        <f>Skills!G10*IF(Skills!H10&gt;0,Skills!I10/Skills!H10,1)</f>
        <v/>
      </c>
      <c r="H1251">
        <f>1-(1-Skills!J10/100)^Skills!K10</f>
        <v/>
      </c>
      <c r="I1251" t="inlineStr">
        <is>
          <t>1</t>
        </is>
      </c>
      <c r="J1251">
        <f>((Inputs!$B$6*(1+Inputs!$B$7/100))+(((Inputs!$B$12*(1+Inputs!$B$13/100))-(Inputs!$B$12*(1+Inputs!$B$13/100)))+0.25*(Inputs!$B$14-Inputs!$B$14))*(1+Inputs!$B$7/100))*(F1251/100)</f>
        <v/>
      </c>
      <c r="K1251">
        <f>J1251*(1+((Inputs!$B$12*(1+Inputs!$B$13/100))*0.01+Inputs!$B$14*0.0025)/100)*(1+Inputs!$B$15/100)*(1+Inputs!$B$16/100)*(5000/(6000+Inputs!$B$42*(1-(100*(1-(1-(Inputs!$B$19+0)/100)*(1-CHOOSE(ArtifactsInput!$N$40+1,5,6,7,8,9,10)/100)^(ArtifactsInput!$M$40-ArtifactsInput!$M$40)))/100)))*(1+(Inputs!$B$24+((C1265=TRUE)*(F1265-Calc!F24))+((C1266=TRUE)*(F1266-Calc!F25))+B1279)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EMPOWERED_PIERCING_ARROW",Inputs!$B$17+((C1263=TRUE)*(F1263-Calc!F22))+(((IF(AND(ArtifactsInput!$M$42,((Inputs!$B$9+((C1260=TRUE)*(F1260-Calc!F19))+B1273+(ArtifactsInput!$M$24-ArtifactsInput!$M$24)*CHOOSE(ArtifactsInput!$N$24+1,10,12,14,16,18,20)+IF(ArtifactsInput!$M$10,CHOOSE(ArtifactsInput!$N$10+1,15,18,21,24,27,30)*(IF(Inputs!$B$38="pvp",MIN(15,15)/15,IF(AND(Inputs!$B$38&lt;&gt;"pvp",Inputs!$B$43&gt;0),MIN(15,Inputs!$B$43)/(Inputs!$B$43),0))),0)))&gt;=100),MIN(100,((Inputs!$B$9+((C1260=TRUE)*(F1260-Calc!F19))+B1273+(ArtifactsInput!$M$24-ArtifactsInput!$M$24)*CHOOSE(ArtifactsInput!$N$24+1,10,12,14,16,18,20)+IF(ArtifactsInput!$M$10,CHOOSE(ArtifactsInput!$N$10+1,15,18,21,24,27,30)*(IF(Inputs!$B$38="pvp",MIN(15,15)/15,IF(AND(Inputs!$B$38&lt;&gt;"pvp",Inputs!$B$43&gt;0),MIN(15,Inputs!$B$43)/(Inputs!$B$43),0))),0)))-100),0))*CHOOSE(ArtifactsInput!$N$42+1,0.6,0.72,0.84,0.96,1.08,1.2))),Inputs!$B$18+((C1268=TRUE)*(F1268-Calc!F27))+(IF(AND(ArtifactsInput!$M$42,((Inputs!$B$9+((C1260=TRUE)*(F1260-Calc!F19))+B1273+(ArtifactsInput!$M$24-ArtifactsInput!$M$24)*CHOOSE(ArtifactsInput!$N$24+1,10,12,14,16,18,20)+IF(ArtifactsInput!$M$10,CHOOSE(ArtifactsInput!$N$10+1,15,18,21,24,27,30)*(IF(Inputs!$B$38="pvp",MIN(15,15)/15,IF(AND(Inputs!$B$38&lt;&gt;"pvp",Inputs!$B$43&gt;0),MIN(15,Inputs!$B$43)/(Inputs!$B$43),0))),0)))&gt;=100),CHOOSE(ArtifactsInput!$N$42+1,40,48,56,64,72,80),0))))/100)*((1+(((C1254=TRUE)*F1254)+((C1255=TRUE)*IF(Inputs!$B$38="pvp",F1255,(1-Summary!$B$11)*(F1255)+Summary!$B$11*(0)))+((C1256=TRUE)*F1256*IF(AND(Inputs!$B$38&lt;&gt;"pvp",Inputs!$B$43&gt;0),(((R1256-1)*(Skills!T15*(1+Inputs!$B$34/100))+MIN((Skills!T15*(1+Inputs!$B$34/100)),MAX(0,Inputs!$B$43-((R1256-1)*Skills!D15))))/Inputs!$B$43),IF(Inputs!$B$38="pvp",MIN((Skills!T15*(1+Inputs!$B$34/100)),15)/15,(Skills!T15*(1+Inputs!$B$34/100))/Skills!D15)))+((C1253=TRUE)*F1253)+((C1270=TRUE)*(F1270-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IF(ArtifactsInput!$M$5,FALSE,TRUE),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1251)</f>
        <v/>
      </c>
      <c r="L1251">
        <f>K1251*(MIN(Inputs!$B$22+((C1264=TRUE)*(F1264-Calc!F23)),(Inputs!$B$23+((C1269=TRUE)*(F1269-Calc!F28))+(IF(ArtifactsInput!$M$15,CHOOSE(ArtifactsInput!$N$15+1,25,30,35,40,45,50)/100*(Inputs!$B$11-Inputs!$B$11),0))))/100+(Inputs!$B$23+((C1269=TRUE)*(F1269-Calc!F28))+(IF(ArtifactsInput!$M$15,CHOOSE(ArtifactsInput!$N$15+1,25,30,35,40,45,50)/100*(Inputs!$B$11-Inputs!$B$11),0)))/100)/2</f>
        <v/>
      </c>
      <c r="M1251">
        <f>L1251*(1+(Inputs!$B$10+0+B1278+(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251">
        <f>L1251*(1-MIN((Inputs!$B$9+((C1260=TRUE)*(F1260-Calc!F19))+B1273+(ArtifactsInput!$M$24-ArtifactsInput!$M$24)*CHOOSE(ArtifactsInput!$N$24+1,10,12,14,16,18,20)+(IF(AND(ArtifactsInput!$M$42,((Inputs!$B$9+((C1260=TRUE)*(F1260-Calc!F19))+B1273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1251*(MIN((Inputs!$B$9+((C1260=TRUE)*(F1260-Calc!F19))+B1273+(ArtifactsInput!$M$24-ArtifactsInput!$M$24)*CHOOSE(ArtifactsInput!$N$24+1,10,12,14,16,18,20)+(IF(AND(ArtifactsInput!$M$42,((Inputs!$B$9+((C1260=TRUE)*(F1260-Calc!F19))+B1273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251">
        <f>(1-Summary!$B$11)*T1251+Summary!$B$11*V1251</f>
        <v/>
      </c>
      <c r="P1251">
        <f>IF(B1283=0,0,O1251/B1283)</f>
        <v/>
      </c>
      <c r="Q1251" t="n">
        <v>0</v>
      </c>
      <c r="R1251" t="n">
        <v>0</v>
      </c>
      <c r="S1251" t="n">
        <v>0</v>
      </c>
      <c r="T1251">
        <f>IF(C1251,(0.15*SUMPRODUCT((Skills!U2:U29=TRUE)*(C1243:C1270=TRUE)*S1243:S1270)*Skills!G10*N1251)*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Hunt"),CHOOSE(ArtifactsInput!$N$35+1,15,18,21,24,27,30)*(1-EXP(-(0.2*B1275)*5)),0)+IF(AND(ArtifactsInput!$M$22,Inputs!$B$4&lt;&gt;"Chapter Hunt"),CHOOSE(ArtifactsInput!$N$22+1,10,12,14,16,18,20)*((0*(((0.15*B1275*5))^0/1)+1*(((0.15*B1275*5))^1/1)+2*(((0.15*B1275*5))^2/2)+3*(((0.15*B1275*5))^3/6)+4*(((0.15*B1275*5))^4/24)+5*(((0.15*B1275*5))^5/120))/((((0.15*B1275*5))^0/1)+(((0.15*B1275*5))^1/1)+(((0.15*B1275*5))^2/2)+(((0.15*B1275*5))^3/6)+(((0.15*B1275*5))^4/24)+(((0.15*B1275*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1251*(1-MIN(100,(Inputs!$B$9+((C1260=TRUE)*(F1260-Calc!F19))+B1273+(ArtifactsInput!$M$24-ArtifactsInput!$M$24)*CHOOSE(ArtifactsInput!$N$24+1,10,12,14,16,18,20)+(IF(AND(ArtifactsInput!$M$42,((Inputs!$B$9+((C1260=TRUE)*(F1260-Calc!F19))+B1273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1251*(MIN(100,(Inputs!$B$9+((C1260=TRUE)*(F1260-Calc!F19))+B1273+(ArtifactsInput!$M$24-ArtifactsInput!$M$24)*CHOOSE(ArtifactsInput!$N$24+1,10,12,14,16,18,20)+(IF(AND(ArtifactsInput!$M$42,((Inputs!$B$9+((C1260=TRUE)*(F1260-Calc!F19))+B1273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1251*(1-MIN(100,(Inputs!$B$9+((C1260=TRUE)*(F1260-Calc!F19))+B1273+(ArtifactsInput!$M$24-ArtifactsInput!$M$24)*CHOOSE(ArtifactsInput!$N$24+1,10,12,14,16,18,20)+(IF(AND(ArtifactsInput!$M$42,((Inputs!$B$9+((C1260=TRUE)*(F1260-Calc!F19))+B1273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1251*(MIN(100,(Inputs!$B$9+((C1260=TRUE)*(F1260-Calc!F19))+B1273+(ArtifactsInput!$M$24-ArtifactsInput!$M$24)*CHOOSE(ArtifactsInput!$N$24+1,10,12,14,16,18,20)+(IF(AND(ArtifactsInput!$M$42,((Inputs!$B$9+((C1260=TRUE)*(F1260-Calc!F19))+B1273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251">
        <f>IF(C1251,(0.15*SUMPRODUCT((Skills!U2:U29=TRUE)*(C1243:C1270=TRUE)*S1243:S1270)*Skills!G10*N1251)*IF(Inputs!$B$38="pvp",1,(1+(Inputs!$B$21+Skills!Q10+(IF(ArtifactsInput!$M$33,CHOOSE(ArtifactsInput!$N$33+1,30,36,42,48,54,60),0))+(IF(AND(ArtifactsInput!$M$35,Inputs!$B$4&lt;&gt;"Chapter Hunt"),CHOOSE(ArtifactsInput!$N$35+1,15,18,21,24,27,30)*(1-EXP(-(0.2*B1275)*5)),0)+IF(AND(ArtifactsInput!$M$22,Inputs!$B$4&lt;&gt;"Chapter Hunt"),CHOOSE(ArtifactsInput!$N$22+1,10,12,14,16,18,20)*((0*(((0.15*B1275*5))^0/1)+1*(((0.15*B1275*5))^1/1)+2*(((0.15*B1275*5))^2/2)+3*(((0.15*B1275*5))^3/6)+4*(((0.15*B1275*5))^4/24)+5*(((0.15*B1275*5))^5/120))/((((0.15*B1275*5))^0/1)+(((0.15*B1275*5))^1/1)+(((0.15*B1275*5))^2/2)+(((0.15*B1275*5))^3/6)+(((0.15*B1275*5))^4/24)+(((0.15*B1275*5))^5/120)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252">
      <c r="A1252">
        <f>Skills!A11</f>
        <v/>
      </c>
      <c r="B1252">
        <f>Skills!B11</f>
        <v/>
      </c>
      <c r="C1252">
        <f>Inputs!$B$3&gt;=110</f>
        <v/>
      </c>
      <c r="D1252">
        <f>IF(Skills!C11=1,60+Inputs!$B$25+Inputs!$B$29,IF(Skills!C11=2,90+Inputs!$B$26+Inputs!$B$29,IF(Skills!C11=3,120+Inputs!$B$27+Inputs!$B$29,MAX(0,(Inputs!$B$3-100)*3)+Inputs!$B$28+Inputs!$B$29)))</f>
        <v/>
      </c>
      <c r="E1252">
        <f>INDEX(FactorTable!$B$2:$Y$301, MATCH(ROUND(MIN(300,MAX(1,D1252)),0), FactorTable!$A$2:$A$301,0), Skills!M11+1)</f>
        <v/>
      </c>
      <c r="F1252">
        <f>IF(Skills!N11=TRUE,(Skills!L11/10)*(E1252/1000),Skills!L11/10)+Skills!O11</f>
        <v/>
      </c>
      <c r="G1252">
        <f>Skills!G11*IF(Skills!H11&gt;0,Skills!I11/Skills!H11,1)</f>
        <v/>
      </c>
      <c r="H1252">
        <f>1-(1-Skills!J11/100)^Skills!K11</f>
        <v/>
      </c>
      <c r="I1252" t="inlineStr">
        <is>
          <t>1</t>
        </is>
      </c>
      <c r="J1252">
        <f>((Inputs!$B$6*(1+Inputs!$B$7/100))+(((Inputs!$B$12*(1+Inputs!$B$13/100))-(Inputs!$B$12*(1+Inputs!$B$13/100)))+0.25*(Inputs!$B$14-Inputs!$B$14))*(1+Inputs!$B$7/100))*(F1252/100)</f>
        <v/>
      </c>
      <c r="K1252">
        <f>J1252*(1+((Inputs!$B$12*(1+Inputs!$B$13/100))*0.01+Inputs!$B$14*0.0025)/100)*(1+Inputs!$B$15/100)*(1+Inputs!$B$16/100)*(5000/(6000+Inputs!$B$42*(1-(100*(1-(1-(Inputs!$B$19+0)/100)*(1-CHOOSE(ArtifactsInput!$N$40+1,5,6,7,8,9,10)/100)^(ArtifactsInput!$M$40-ArtifactsInput!$M$40)))/100)))*(1+(Inputs!$B$24+((C1265=TRUE)*(F1265-Calc!F24))+((C1266=TRUE)*(F1266-Calc!F25))+B1279)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11="EMPOWERED_PIERCING_ARROW",Inputs!$B$17+((C1263=TRUE)*(F1263-Calc!F22))+(((IF(AND(ArtifactsInput!$M$42,((Inputs!$B$9+((C1260=TRUE)*(F1260-Calc!F19))+B1273+(ArtifactsInput!$M$24-ArtifactsInput!$M$24)*CHOOSE(ArtifactsInput!$N$24+1,10,12,14,16,18,20)+IF(ArtifactsInput!$M$10,CHOOSE(ArtifactsInput!$N$10+1,15,18,21,24,27,30)*(IF(Inputs!$B$38="pvp",MIN(15,15)/15,IF(AND(Inputs!$B$38&lt;&gt;"pvp",Inputs!$B$43&gt;0),MIN(15,Inputs!$B$43)/(Inputs!$B$43),0))),0)))&gt;=100),MIN(100,((Inputs!$B$9+((C1260=TRUE)*(F1260-Calc!F19))+B1273+(ArtifactsInput!$M$24-ArtifactsInput!$M$24)*CHOOSE(ArtifactsInput!$N$24+1,10,12,14,16,18,20)+IF(ArtifactsInput!$M$10,CHOOSE(ArtifactsInput!$N$10+1,15,18,21,24,27,30)*(IF(Inputs!$B$38="pvp",MIN(15,15)/15,IF(AND(Inputs!$B$38&lt;&gt;"pvp",Inputs!$B$43&gt;0),MIN(15,Inputs!$B$43)/(Inputs!$B$43),0))),0)))-100),0))*CHOOSE(ArtifactsInput!$N$42+1,0.6,0.72,0.84,0.96,1.08,1.2))),Inputs!$B$18+((C1268=TRUE)*(F1268-Calc!F27))+(IF(AND(ArtifactsInput!$M$42,((Inputs!$B$9+((C1260=TRUE)*(F1260-Calc!F19))+B1273+(ArtifactsInput!$M$24-ArtifactsInput!$M$24)*CHOOSE(ArtifactsInput!$N$24+1,10,12,14,16,18,20)+IF(ArtifactsInput!$M$10,CHOOSE(ArtifactsInput!$N$10+1,15,18,21,24,27,30)*(IF(Inputs!$B$38="pvp",MIN(15,15)/15,IF(AND(Inputs!$B$38&lt;&gt;"pvp",Inputs!$B$43&gt;0),MIN(15,Inputs!$B$43)/(Inputs!$B$43),0))),0)))&gt;=100),CHOOSE(ArtifactsInput!$N$42+1,40,48,56,64,72,80),0))))/100)*((1+(((C1254=TRUE)*F1254)+((C1255=TRUE)*IF(Inputs!$B$38="pvp",F1255,(1-Summary!$B$11)*(F1255)+Summary!$B$11*(0)))+((C1256=TRUE)*F1256*IF(AND(Inputs!$B$38&lt;&gt;"pvp",Inputs!$B$43&gt;0),(((R1256-1)*(Skills!T15*(1+Inputs!$B$34/100))+MIN((Skills!T15*(1+Inputs!$B$34/100)),MAX(0,Inputs!$B$43-((R1256-1)*Skills!D15))))/Inputs!$B$43),IF(Inputs!$B$38="pvp",MIN((Skills!T15*(1+Inputs!$B$34/100)),15)/15,(Skills!T15*(1+Inputs!$B$34/100))/Skills!D15)))+((C1253=TRUE)*F1253)+((C1270=TRUE)*(F1270-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IF(ArtifactsInput!$M$5,FALSE,TRUE),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1252)</f>
        <v/>
      </c>
      <c r="L1252">
        <f>K1252*(MIN(Inputs!$B$22+((C1264=TRUE)*(F1264-Calc!F23)),(Inputs!$B$23+((C1269=TRUE)*(F1269-Calc!F28))+(IF(ArtifactsInput!$M$15,CHOOSE(ArtifactsInput!$N$15+1,25,30,35,40,45,50)/100*(Inputs!$B$11-Inputs!$B$11),0))))/100+(Inputs!$B$23+((C1269=TRUE)*(F1269-Calc!F28))+(IF(ArtifactsInput!$M$15,CHOOSE(ArtifactsInput!$N$15+1,25,30,35,40,45,50)/100*(Inputs!$B$11-Inputs!$B$11),0)))/100)/2</f>
        <v/>
      </c>
      <c r="M1252">
        <f>L1252*(1+(Inputs!$B$10+0+B1278+(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252">
        <f>L1252*(1-MIN((Inputs!$B$9+((C1260=TRUE)*(F1260-Calc!F19))+B1273+(ArtifactsInput!$M$24-ArtifactsInput!$M$24)*CHOOSE(ArtifactsInput!$N$24+1,10,12,14,16,18,20)+(IF(AND(ArtifactsInput!$M$42,((Inputs!$B$9+((C1260=TRUE)*(F1260-Calc!F19))+B1273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1252*(MIN((Inputs!$B$9+((C1260=TRUE)*(F1260-Calc!F19))+B1273+(ArtifactsInput!$M$24-ArtifactsInput!$M$24)*CHOOSE(ArtifactsInput!$N$24+1,10,12,14,16,18,20)+(IF(AND(ArtifactsInput!$M$42,((Inputs!$B$9+((C1260=TRUE)*(F1260-Calc!F19))+B1273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252">
        <f>(1-Summary!$B$11)*T1252+Summary!$B$11*V1252</f>
        <v/>
      </c>
      <c r="P1252">
        <f>IF(B1283=0,0,O1252/B1283)</f>
        <v/>
      </c>
      <c r="Q1252">
        <f>IFERROR(1/IF(Inputs!$B$38="pvp",15,MAX(0.1,Skills!D11-IF(Skills!E11=TRUE,Inputs!$B$32,0))),0)</f>
        <v/>
      </c>
      <c r="R1252">
        <f>IF(AND(Inputs!$B$38&lt;&gt;"pvp",Inputs!$B$43&gt;0),IF(MAX(0,Inputs!$B$43-B1280)&lt;=0,0,(INT(MAX(0,Inputs!$B$43-B1280)/IF(Inputs!$B$38="pvp",15,MAX(0.1,Skills!D11-IF(Skills!E11=TRUE,Inputs!$B$32,0))))+1)),0)</f>
        <v/>
      </c>
      <c r="S1252">
        <f>IFERROR((H1252*N1252*IF(AND(Inputs!$B$38&lt;&gt;"pvp",Inputs!$B$43&gt;0),((Skills!G11*((R1252-1)*IF(Skills!H11&gt;0,Skills!I11/Skills!H11,1)+IF(Skills!H11&gt;0,MIN(Skills!I11,MAX(0,MAX(0,Inputs!$B$43-B1280)-((R1252-1)*IF(Inputs!$B$38="pvp",15,MAX(0.1,Skills!D11-IF(Skills!E11=TRUE,Inputs!$B$32,0))))))/Skills!H11,1)))/Inputs!$B$43),G1252*Q1252))/N1252*IF(Inputs!$B$38="pvp",1,(1-Summary!$B$11)*1+Summary!$B$11*(MIN(Skills!R11,Inputs!$B$37))),0)</f>
        <v/>
      </c>
      <c r="T1252">
        <f>IF(C1252,(H1252*N1252*IF(AND(Inputs!$B$38&lt;&gt;"pvp",Inputs!$B$43&gt;0),((Skills!G11*((R1252-1)*IF(Skills!H11&gt;0,Skills!I11/Skills!H11,1)+IF(Skills!H11&gt;0,MIN(Skills!I11,MAX(0,MAX(0,Inputs!$B$43-B1280)-((R1252-1)*IF(Inputs!$B$38="pvp",15,MAX(0.1,Skills!D11-IF(Skills!E11=TRUE,Inputs!$B$32,0))))))/Skills!H11,1)))/Inputs!$B$43),G1252*Q1252))*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Hunt"),CHOOSE(ArtifactsInput!$N$35+1,15,18,21,24,27,30)*(1-EXP(-(0.2*B1275)*5)),0)+IF(AND(ArtifactsInput!$M$22,Inputs!$B$4&lt;&gt;"Chapter Hunt"),CHOOSE(ArtifactsInput!$N$22+1,10,12,14,16,18,20)*((0*(((0.15*B1275*5))^0/1)+1*(((0.15*B1275*5))^1/1)+2*(((0.15*B1275*5))^2/2)+3*(((0.15*B1275*5))^3/6)+4*(((0.15*B1275*5))^4/24)+5*(((0.15*B1275*5))^5/120))/((((0.15*B1275*5))^0/1)+(((0.15*B1275*5))^1/1)+(((0.15*B1275*5))^2/2)+(((0.15*B1275*5))^3/6)+(((0.15*B1275*5))^4/24)+(((0.15*B1275*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1252*(1-MIN(100,(Inputs!$B$9+((C1260=TRUE)*(F1260-Calc!F19))+B1273+(ArtifactsInput!$M$24-ArtifactsInput!$M$24)*CHOOSE(ArtifactsInput!$N$24+1,10,12,14,16,18,20)+(IF(AND(ArtifactsInput!$M$42,((Inputs!$B$9+((C1260=TRUE)*(F1260-Calc!F19))+B1273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1252*(MIN(100,(Inputs!$B$9+((C1260=TRUE)*(F1260-Calc!F19))+B1273+(ArtifactsInput!$M$24-ArtifactsInput!$M$24)*CHOOSE(ArtifactsInput!$N$24+1,10,12,14,16,18,20)+(IF(AND(ArtifactsInput!$M$42,((Inputs!$B$9+((C1260=TRUE)*(F1260-Calc!F19))+B1273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1252*(1-MIN(100,(Inputs!$B$9+((C1260=TRUE)*(F1260-Calc!F19))+B1273+(ArtifactsInput!$M$24-ArtifactsInput!$M$24)*CHOOSE(ArtifactsInput!$N$24+1,10,12,14,16,18,20)+(IF(AND(ArtifactsInput!$M$42,((Inputs!$B$9+((C1260=TRUE)*(F1260-Calc!F19))+B1273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1252*(MIN(100,(Inputs!$B$9+((C1260=TRUE)*(F1260-Calc!F19))+B1273+(ArtifactsInput!$M$24-ArtifactsInput!$M$24)*CHOOSE(ArtifactsInput!$N$24+1,10,12,14,16,18,20)+(IF(AND(ArtifactsInput!$M$42,((Inputs!$B$9+((C1260=TRUE)*(F1260-Calc!F19))+B1273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252">
        <f>IF(C1252,(H1252*N1252*IF(AND(Inputs!$B$38&lt;&gt;"pvp",Inputs!$B$43&gt;0),((Skills!G11*((R1252-1)*IF(Skills!H11&gt;0,Skills!I11/Skills!H11,1)+IF(Skills!H11&gt;0,MIN(Skills!I11,MAX(0,MAX(0,Inputs!$B$43-B1280)-((R1252-1)*IF(Inputs!$B$38="pvp",15,MAX(0.1,Skills!D11-IF(Skills!E11=TRUE,Inputs!$B$32,0))))))/Skills!H11,1)))/Inputs!$B$43),G1252*Q1252))*IF(Inputs!$B$38="pvp",1,(1+(Inputs!$B$21+Skills!Q11+(IF(ArtifactsInput!$M$33,CHOOSE(ArtifactsInput!$N$33+1,30,36,42,48,54,60),0))+(IF(AND(ArtifactsInput!$M$35,Inputs!$B$4&lt;&gt;"Chapter Hunt"),CHOOSE(ArtifactsInput!$N$35+1,15,18,21,24,27,30)*(1-EXP(-(0.2*B1275)*5)),0)+IF(AND(ArtifactsInput!$M$22,Inputs!$B$4&lt;&gt;"Chapter Hunt"),CHOOSE(ArtifactsInput!$N$22+1,10,12,14,16,18,20)*((0*(((0.15*B1275*5))^0/1)+1*(((0.15*B1275*5))^1/1)+2*(((0.15*B1275*5))^2/2)+3*(((0.15*B1275*5))^3/6)+4*(((0.15*B1275*5))^4/24)+5*(((0.15*B1275*5))^5/120))/((((0.15*B1275*5))^0/1)+(((0.15*B1275*5))^1/1)+(((0.15*B1275*5))^2/2)+(((0.15*B1275*5))^3/6)+(((0.15*B1275*5))^4/24)+(((0.15*B1275*5))^5/120))),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253">
      <c r="A1253">
        <f>Skills!A12</f>
        <v/>
      </c>
      <c r="B1253">
        <f>Skills!B12</f>
        <v/>
      </c>
      <c r="C1253">
        <f>Inputs!$B$3&gt;=60</f>
        <v/>
      </c>
      <c r="D1253">
        <f>IF(Skills!C12=1,60+Inputs!$B$25+Inputs!$B$29,IF(Skills!C12=2,90+Inputs!$B$26+Inputs!$B$29,IF(Skills!C12=3,120+Inputs!$B$27+Inputs!$B$29,MAX(0,(Inputs!$B$3-100)*3)+Inputs!$B$28+Inputs!$B$29)))</f>
        <v/>
      </c>
      <c r="E1253">
        <f>INDEX(FactorTable!$B$2:$Y$301, MATCH(ROUND(MIN(300,MAX(1,D1253)),0), FactorTable!$A$2:$A$301,0), Skills!M12+1)</f>
        <v/>
      </c>
      <c r="F1253">
        <f>IF(Skills!N12=TRUE,(Skills!L12/10)*(E1253/1000),Skills!L12/10)+Skills!O12</f>
        <v/>
      </c>
      <c r="G1253">
        <f>Skills!G12*IF(Skills!H12&gt;0,Skills!I12/Skills!H12,1)</f>
        <v/>
      </c>
      <c r="H1253">
        <f>1-(1-Skills!J12/100)^Skills!K12</f>
        <v/>
      </c>
      <c r="I1253" t="inlineStr">
        <is>
          <t>1</t>
        </is>
      </c>
      <c r="J1253" t="inlineStr"/>
      <c r="K1253" t="inlineStr"/>
      <c r="L1253" t="inlineStr"/>
      <c r="M1253" t="inlineStr"/>
      <c r="N1253" t="inlineStr"/>
      <c r="O1253">
        <f>(1-Summary!$B$11)*T1253+Summary!$B$11*V1253</f>
        <v/>
      </c>
      <c r="P1253">
        <f>IF(B1283=0,0,O1253/B1283)</f>
        <v/>
      </c>
      <c r="Q1253" t="n">
        <v>0</v>
      </c>
      <c r="R1253" t="n">
        <v>0</v>
      </c>
      <c r="S1253" t="n">
        <v>0</v>
      </c>
      <c r="T1253" t="n">
        <v>0</v>
      </c>
      <c r="V1253" t="n">
        <v>0</v>
      </c>
    </row>
    <row r="1254">
      <c r="A1254">
        <f>Skills!A13</f>
        <v/>
      </c>
      <c r="B1254">
        <f>Skills!B13</f>
        <v/>
      </c>
      <c r="C1254">
        <f>Inputs!$B$3&gt;=74</f>
        <v/>
      </c>
      <c r="D1254">
        <f>IF(Skills!C13=1,60+Inputs!$B$25+Inputs!$B$29,IF(Skills!C13=2,90+Inputs!$B$26+Inputs!$B$29,IF(Skills!C13=3,120+Inputs!$B$27+Inputs!$B$29,MAX(0,(Inputs!$B$3-100)*3)+Inputs!$B$28+Inputs!$B$29)))</f>
        <v/>
      </c>
      <c r="E1254">
        <f>INDEX(FactorTable!$B$2:$Y$301, MATCH(ROUND(MIN(300,MAX(1,D1254)),0), FactorTable!$A$2:$A$301,0), Skills!M13+1)</f>
        <v/>
      </c>
      <c r="F1254">
        <f>IF(Skills!N13=TRUE,(Skills!L13/10)*(E1254/1000),Skills!L13/10)+Skills!O13</f>
        <v/>
      </c>
      <c r="G1254">
        <f>Skills!G13*IF(Skills!H13&gt;0,Skills!I13/Skills!H13,1)</f>
        <v/>
      </c>
      <c r="H1254">
        <f>1-(1-Skills!J13/100)^Skills!K13</f>
        <v/>
      </c>
      <c r="I1254" t="inlineStr">
        <is>
          <t>1</t>
        </is>
      </c>
      <c r="J1254" t="inlineStr"/>
      <c r="K1254" t="inlineStr"/>
      <c r="L1254" t="inlineStr"/>
      <c r="M1254" t="inlineStr"/>
      <c r="N1254" t="inlineStr"/>
      <c r="O1254">
        <f>(1-Summary!$B$11)*T1254+Summary!$B$11*V1254</f>
        <v/>
      </c>
      <c r="P1254">
        <f>IF(B1283=0,0,O1254/B1283)</f>
        <v/>
      </c>
      <c r="Q1254" t="n">
        <v>0</v>
      </c>
      <c r="R1254" t="n">
        <v>0</v>
      </c>
      <c r="S1254" t="n">
        <v>0</v>
      </c>
      <c r="T1254" t="n">
        <v>0</v>
      </c>
      <c r="V1254" t="n">
        <v>0</v>
      </c>
    </row>
    <row r="1255">
      <c r="A1255">
        <f>Skills!A14</f>
        <v/>
      </c>
      <c r="B1255">
        <f>Skills!B14</f>
        <v/>
      </c>
      <c r="C1255">
        <f>Inputs!$B$3&gt;=74</f>
        <v/>
      </c>
      <c r="D1255">
        <f>IF(Skills!C14=1,60+Inputs!$B$25+Inputs!$B$29,IF(Skills!C14=2,90+Inputs!$B$26+Inputs!$B$29,IF(Skills!C14=3,120+Inputs!$B$27+Inputs!$B$29,MAX(0,(Inputs!$B$3-100)*3)+Inputs!$B$28+Inputs!$B$29)))</f>
        <v/>
      </c>
      <c r="E1255">
        <f>INDEX(FactorTable!$B$2:$Y$301, MATCH(ROUND(MIN(300,MAX(1,D1255)),0), FactorTable!$A$2:$A$301,0), Skills!M14+1)</f>
        <v/>
      </c>
      <c r="F1255">
        <f>IF(Skills!N14=TRUE,(Skills!L14/10)*(E1255/1000),Skills!L14/10)+Skills!O14</f>
        <v/>
      </c>
      <c r="G1255">
        <f>Skills!G14*IF(Skills!H14&gt;0,Skills!I14/Skills!H14,1)</f>
        <v/>
      </c>
      <c r="H1255">
        <f>1-(1-Skills!J14/100)^Skills!K14</f>
        <v/>
      </c>
      <c r="I1255" t="inlineStr">
        <is>
          <t>1</t>
        </is>
      </c>
      <c r="J1255" t="inlineStr"/>
      <c r="K1255" t="inlineStr"/>
      <c r="L1255" t="inlineStr"/>
      <c r="M1255" t="inlineStr"/>
      <c r="N1255" t="inlineStr"/>
      <c r="O1255">
        <f>(1-Summary!$B$11)*T1255+Summary!$B$11*V1255</f>
        <v/>
      </c>
      <c r="P1255">
        <f>IF(B1283=0,0,O1255/B1283)</f>
        <v/>
      </c>
      <c r="Q1255" t="n">
        <v>0</v>
      </c>
      <c r="R1255" t="n">
        <v>0</v>
      </c>
      <c r="S1255" t="n">
        <v>0</v>
      </c>
      <c r="T1255" t="n">
        <v>0</v>
      </c>
      <c r="V1255" t="n">
        <v>0</v>
      </c>
    </row>
    <row r="1256">
      <c r="A1256">
        <f>Skills!A15</f>
        <v/>
      </c>
      <c r="B1256">
        <f>Skills!B15</f>
        <v/>
      </c>
      <c r="C1256">
        <f>Inputs!$B$3&gt;=117</f>
        <v/>
      </c>
      <c r="D1256">
        <f>IF(Skills!C15=1,60+Inputs!$B$25+Inputs!$B$29,IF(Skills!C15=2,90+Inputs!$B$26+Inputs!$B$29,IF(Skills!C15=3,120+Inputs!$B$27+Inputs!$B$29,MAX(0,(Inputs!$B$3-100)*3)+Inputs!$B$28+Inputs!$B$29)))</f>
        <v/>
      </c>
      <c r="E1256">
        <f>INDEX(FactorTable!$B$2:$Y$301, MATCH(ROUND(MIN(300,MAX(1,D1256)),0), FactorTable!$A$2:$A$301,0), Skills!M15+1)</f>
        <v/>
      </c>
      <c r="F1256">
        <f>IF(Skills!N15=TRUE,(Skills!L15/10)*(E1256/1000),Skills!L15/10)+Skills!O15</f>
        <v/>
      </c>
      <c r="G1256">
        <f>Skills!G15*IF(Skills!H15&gt;0,Skills!I15/Skills!H15,1)</f>
        <v/>
      </c>
      <c r="H1256">
        <f>1-(1-Skills!J15/100)^Skills!K15</f>
        <v/>
      </c>
      <c r="I1256" t="inlineStr">
        <is>
          <t>1</t>
        </is>
      </c>
      <c r="J1256" t="inlineStr"/>
      <c r="K1256" t="inlineStr"/>
      <c r="L1256" t="inlineStr"/>
      <c r="M1256" t="inlineStr"/>
      <c r="N1256" t="inlineStr"/>
      <c r="O1256">
        <f>(1-Summary!$B$11)*T1256+Summary!$B$11*V1256</f>
        <v/>
      </c>
      <c r="P1256">
        <f>IF(B1283=0,0,O1256/B1283)</f>
        <v/>
      </c>
      <c r="Q1256">
        <f>IFERROR(1/IF(Inputs!$B$38="pvp",15,MAX(0.1,Skills!D15-IF(Skills!E15=TRUE,Inputs!$B$32,0))),0)</f>
        <v/>
      </c>
      <c r="R1256">
        <f>IF(AND(Inputs!$B$38&lt;&gt;"pvp",Inputs!$B$43&gt;0),IF(Inputs!$B$43&lt;=0,0,(INT(Inputs!$B$43/IF(Inputs!$B$38="pvp",15,MAX(0.1,Skills!D15-IF(Skills!E15=TRUE,Inputs!$B$32,0))))+1)),0)</f>
        <v/>
      </c>
      <c r="S1256" t="n">
        <v>0</v>
      </c>
      <c r="T1256" t="n">
        <v>0</v>
      </c>
      <c r="V1256" t="n">
        <v>0</v>
      </c>
    </row>
    <row r="1257">
      <c r="A1257">
        <f>Skills!A16</f>
        <v/>
      </c>
      <c r="B1257">
        <f>Skills!B16</f>
        <v/>
      </c>
      <c r="C1257">
        <f>Inputs!$B$3&gt;=115</f>
        <v/>
      </c>
      <c r="D1257">
        <f>IF(Skills!C16=1,60+Inputs!$B$25+Inputs!$B$29,IF(Skills!C16=2,90+Inputs!$B$26+Inputs!$B$29,IF(Skills!C16=3,120+Inputs!$B$27+Inputs!$B$29,MAX(0,(Inputs!$B$3-100)*3)+Inputs!$B$28+Inputs!$B$29)))</f>
        <v/>
      </c>
      <c r="E1257">
        <f>INDEX(FactorTable!$B$2:$Y$301, MATCH(ROUND(MIN(300,MAX(1,D1257)),0), FactorTable!$A$2:$A$301,0), Skills!M16+1)</f>
        <v/>
      </c>
      <c r="F1257">
        <f>IF(Skills!N16=TRUE,(Skills!L16/10)*(E1257/1000),Skills!L16/10)+Skills!O16</f>
        <v/>
      </c>
      <c r="G1257">
        <f>Skills!G16*IF(Skills!H16&gt;0,Skills!I16/Skills!H16,1)</f>
        <v/>
      </c>
      <c r="H1257">
        <f>1-(1-Skills!J16/100)^Skills!K16</f>
        <v/>
      </c>
      <c r="I1257" t="inlineStr">
        <is>
          <t>1</t>
        </is>
      </c>
      <c r="J1257" t="inlineStr"/>
      <c r="K1257" t="inlineStr"/>
      <c r="L1257" t="inlineStr"/>
      <c r="M1257" t="inlineStr"/>
      <c r="N1257" t="inlineStr"/>
      <c r="O1257">
        <f>(1-Summary!$B$11)*T1257+Summary!$B$11*V1257</f>
        <v/>
      </c>
      <c r="P1257">
        <f>IF(B1283=0,0,O1257/B1283)</f>
        <v/>
      </c>
      <c r="Q1257">
        <f>IFERROR(1/IF(Inputs!$B$38="pvp",15,MAX(0.1,Skills!D16-IF(Skills!E16=TRUE,Inputs!$B$32,0))),0)</f>
        <v/>
      </c>
      <c r="R1257">
        <f>IF(AND(Inputs!$B$38&lt;&gt;"pvp",Inputs!$B$43&gt;0),IF(Inputs!$B$43&lt;=0,0,(INT(Inputs!$B$43/IF(Inputs!$B$38="pvp",15,MAX(0.1,Skills!D16-IF(Skills!E16=TRUE,Inputs!$B$32,0))))+1)),0)</f>
        <v/>
      </c>
      <c r="S1257" t="n">
        <v>0</v>
      </c>
      <c r="T1257" t="n">
        <v>0</v>
      </c>
      <c r="V1257" t="n">
        <v>0</v>
      </c>
    </row>
    <row r="1258">
      <c r="A1258">
        <f>Skills!A17</f>
        <v/>
      </c>
      <c r="B1258">
        <f>Skills!B17</f>
        <v/>
      </c>
      <c r="C1258">
        <f>Inputs!$B$3&gt;=72</f>
        <v/>
      </c>
      <c r="D1258">
        <f>IF(Skills!C17=1,60+Inputs!$B$25+Inputs!$B$29,IF(Skills!C17=2,90+Inputs!$B$26+Inputs!$B$29,IF(Skills!C17=3,120+Inputs!$B$27+Inputs!$B$29,MAX(0,(Inputs!$B$3-100)*3)+Inputs!$B$28+Inputs!$B$29)))</f>
        <v/>
      </c>
      <c r="E1258">
        <f>INDEX(FactorTable!$B$2:$Y$301, MATCH(ROUND(MIN(300,MAX(1,D1258)),0), FactorTable!$A$2:$A$301,0), Skills!M17+1)</f>
        <v/>
      </c>
      <c r="F1258">
        <f>IF(Skills!N17=TRUE,(Skills!L17/10)*(E1258/1000),Skills!L17/10)+Skills!O17</f>
        <v/>
      </c>
      <c r="G1258">
        <f>Skills!G17*IF(Skills!H17&gt;0,Skills!I17/Skills!H17,1)</f>
        <v/>
      </c>
      <c r="H1258">
        <f>1-(1-Skills!J17/100)^Skills!K17</f>
        <v/>
      </c>
      <c r="I1258" t="inlineStr">
        <is>
          <t>1</t>
        </is>
      </c>
      <c r="J1258" t="inlineStr"/>
      <c r="K1258" t="inlineStr"/>
      <c r="L1258" t="inlineStr"/>
      <c r="M1258" t="inlineStr"/>
      <c r="N1258" t="inlineStr"/>
      <c r="O1258">
        <f>(1-Summary!$B$11)*T1258+Summary!$B$11*V1258</f>
        <v/>
      </c>
      <c r="P1258">
        <f>IF(B1283=0,0,O1258/B1283)</f>
        <v/>
      </c>
      <c r="Q1258" t="n">
        <v>0</v>
      </c>
      <c r="R1258" t="n">
        <v>0</v>
      </c>
      <c r="S1258" t="n">
        <v>0</v>
      </c>
      <c r="T1258" t="n">
        <v>0</v>
      </c>
      <c r="V1258" t="n">
        <v>0</v>
      </c>
    </row>
    <row r="1259">
      <c r="A1259">
        <f>Skills!A18</f>
        <v/>
      </c>
      <c r="B1259">
        <f>Skills!B18</f>
        <v/>
      </c>
      <c r="C1259">
        <f>TRUE</f>
        <v/>
      </c>
      <c r="D1259">
        <f>IF(Skills!C18=1,60+Inputs!$B$25+Inputs!$B$29,IF(Skills!C18=2,90+Inputs!$B$26+Inputs!$B$29,IF(Skills!C18=3,120+Inputs!$B$27+Inputs!$B$29,MAX(0,(Inputs!$B$3-100)*3)+Inputs!$B$28+Inputs!$B$29)))</f>
        <v/>
      </c>
      <c r="E1259">
        <f>INDEX(FactorTable!$B$2:$Y$301, MATCH(ROUND(MIN(300,MAX(1,D1259)),0), FactorTable!$A$2:$A$301,0), Skills!M18+1)</f>
        <v/>
      </c>
      <c r="F1259">
        <f>IF(Skills!N18=TRUE,(Skills!L18/10)*(E1259/1000),Skills!L18/10)+Skills!O18</f>
        <v/>
      </c>
      <c r="G1259">
        <f>Skills!G18*IF(Skills!H18&gt;0,Skills!I18/Skills!H18,1)</f>
        <v/>
      </c>
      <c r="H1259">
        <f>1-(1-Skills!J18/100)^Skills!K18</f>
        <v/>
      </c>
      <c r="I1259" t="inlineStr">
        <is>
          <t>1</t>
        </is>
      </c>
      <c r="J1259" t="inlineStr"/>
      <c r="K1259" t="inlineStr"/>
      <c r="L1259" t="inlineStr"/>
      <c r="M1259" t="inlineStr"/>
      <c r="N1259" t="inlineStr"/>
      <c r="O1259">
        <f>(1-Summary!$B$11)*T1259+Summary!$B$11*V1259</f>
        <v/>
      </c>
      <c r="P1259">
        <f>IF(B1283=0,0,O1259/B1283)</f>
        <v/>
      </c>
      <c r="Q1259">
        <f>IFERROR(1/IF(Inputs!$B$38="pvp",15,MAX(0.1,Skills!D18-IF(Skills!E18=TRUE,Inputs!$B$32,0))),0)</f>
        <v/>
      </c>
      <c r="R1259">
        <f>IF(AND(Inputs!$B$38&lt;&gt;"pvp",Inputs!$B$43&gt;0),IF(Inputs!$B$43&lt;=0,0,(INT(Inputs!$B$43/IF(Inputs!$B$38="pvp",15,MAX(0.1,Skills!D18-IF(Skills!E18=TRUE,Inputs!$B$32,0))))+1)),0)</f>
        <v/>
      </c>
      <c r="S1259" t="n">
        <v>0</v>
      </c>
      <c r="T1259" t="n">
        <v>0</v>
      </c>
      <c r="V1259" t="n">
        <v>0</v>
      </c>
    </row>
    <row r="1260">
      <c r="A1260">
        <f>Skills!A19</f>
        <v/>
      </c>
      <c r="B1260">
        <f>Skills!B19</f>
        <v/>
      </c>
      <c r="C1260">
        <f>Inputs!$B$3&gt;=15</f>
        <v/>
      </c>
      <c r="D1260">
        <f>IF(Skills!C19=1,60+Inputs!$B$25+Inputs!$B$29,IF(Skills!C19=2,90+Inputs!$B$26+Inputs!$B$29,IF(Skills!C19=3,120+Inputs!$B$27+Inputs!$B$29,MAX(0,(Inputs!$B$3-100)*3)+Inputs!$B$28+Inputs!$B$29)))</f>
        <v/>
      </c>
      <c r="E1260">
        <f>INDEX(FactorTable!$B$2:$Y$301, MATCH(ROUND(MIN(300,MAX(1,D1260)),0), FactorTable!$A$2:$A$301,0), Skills!M19+1)</f>
        <v/>
      </c>
      <c r="F1260">
        <f>IF(Skills!N19=TRUE,(Skills!L19/10)*(E1260/1000),Skills!L19/10)+Skills!O19</f>
        <v/>
      </c>
      <c r="G1260">
        <f>Skills!G19*IF(Skills!H19&gt;0,Skills!I19/Skills!H19,1)</f>
        <v/>
      </c>
      <c r="H1260">
        <f>1-(1-Skills!J19/100)^Skills!K19</f>
        <v/>
      </c>
      <c r="I1260" t="inlineStr">
        <is>
          <t>1</t>
        </is>
      </c>
      <c r="J1260" t="inlineStr"/>
      <c r="K1260" t="inlineStr"/>
      <c r="L1260" t="inlineStr"/>
      <c r="M1260" t="inlineStr"/>
      <c r="N1260" t="inlineStr"/>
      <c r="O1260">
        <f>(1-Summary!$B$11)*T1260+Summary!$B$11*V1260</f>
        <v/>
      </c>
      <c r="P1260">
        <f>IF(B1283=0,0,O1260/B1283)</f>
        <v/>
      </c>
      <c r="Q1260" t="n">
        <v>0</v>
      </c>
      <c r="R1260" t="n">
        <v>0</v>
      </c>
      <c r="S1260" t="n">
        <v>0</v>
      </c>
      <c r="T1260" t="n">
        <v>0</v>
      </c>
      <c r="V1260" t="n">
        <v>0</v>
      </c>
    </row>
    <row r="1261">
      <c r="A1261">
        <f>Skills!A20</f>
        <v/>
      </c>
      <c r="B1261">
        <f>Skills!B20</f>
        <v/>
      </c>
      <c r="C1261">
        <f>Inputs!$B$3&gt;=10</f>
        <v/>
      </c>
      <c r="D1261">
        <f>IF(Skills!C20=1,60+Inputs!$B$25+Inputs!$B$29,IF(Skills!C20=2,90+Inputs!$B$26+Inputs!$B$29,IF(Skills!C20=3,120+Inputs!$B$27+Inputs!$B$29,MAX(0,(Inputs!$B$3-100)*3)+Inputs!$B$28+Inputs!$B$29)))</f>
        <v/>
      </c>
      <c r="E1261">
        <f>INDEX(FactorTable!$B$2:$Y$301, MATCH(ROUND(MIN(300,MAX(1,D1261)),0), FactorTable!$A$2:$A$301,0), Skills!M20+1)</f>
        <v/>
      </c>
      <c r="F1261">
        <f>IF(Skills!N20=TRUE,(Skills!L20/10)*(E1261/1000),Skills!L20/10)+Skills!O20</f>
        <v/>
      </c>
      <c r="G1261">
        <f>Skills!G20*IF(Skills!H20&gt;0,Skills!I20/Skills!H20,1)</f>
        <v/>
      </c>
      <c r="H1261">
        <f>1-(1-Skills!J20/100)^Skills!K20</f>
        <v/>
      </c>
      <c r="I1261" t="inlineStr">
        <is>
          <t>1</t>
        </is>
      </c>
      <c r="J1261" t="inlineStr"/>
      <c r="K1261" t="inlineStr"/>
      <c r="L1261" t="inlineStr"/>
      <c r="M1261" t="inlineStr"/>
      <c r="N1261" t="inlineStr"/>
      <c r="O1261">
        <f>(1-Summary!$B$11)*T1261+Summary!$B$11*V1261</f>
        <v/>
      </c>
      <c r="P1261">
        <f>IF(B1283=0,0,O1261/B1283)</f>
        <v/>
      </c>
      <c r="Q1261" t="n">
        <v>0</v>
      </c>
      <c r="R1261" t="n">
        <v>0</v>
      </c>
      <c r="S1261" t="n">
        <v>0</v>
      </c>
      <c r="T1261" t="n">
        <v>0</v>
      </c>
      <c r="V1261" t="n">
        <v>0</v>
      </c>
    </row>
    <row r="1262">
      <c r="A1262">
        <f>Skills!A21</f>
        <v/>
      </c>
      <c r="B1262">
        <f>Skills!B21</f>
        <v/>
      </c>
      <c r="C1262">
        <f>Inputs!$B$3&gt;=33</f>
        <v/>
      </c>
      <c r="D1262">
        <f>IF(Skills!C21=1,60+Inputs!$B$25+Inputs!$B$29,IF(Skills!C21=2,90+Inputs!$B$26+Inputs!$B$29,IF(Skills!C21=3,120+Inputs!$B$27+Inputs!$B$29,MAX(0,(Inputs!$B$3-100)*3)+Inputs!$B$28+Inputs!$B$29)))</f>
        <v/>
      </c>
      <c r="E1262">
        <f>INDEX(FactorTable!$B$2:$Y$301, MATCH(ROUND(MIN(300,MAX(1,D1262)),0), FactorTable!$A$2:$A$301,0), Skills!M21+1)</f>
        <v/>
      </c>
      <c r="F1262">
        <f>IF(Skills!N21=TRUE,(Skills!L21/10)*(E1262/1000),Skills!L21/10)+Skills!O21</f>
        <v/>
      </c>
      <c r="G1262">
        <f>Skills!G21*IF(Skills!H21&gt;0,Skills!I21/Skills!H21,1)</f>
        <v/>
      </c>
      <c r="H1262">
        <f>1-(1-Skills!J21/100)^Skills!K21</f>
        <v/>
      </c>
      <c r="I1262" t="inlineStr">
        <is>
          <t>1</t>
        </is>
      </c>
      <c r="J1262" t="inlineStr"/>
      <c r="K1262" t="inlineStr"/>
      <c r="L1262" t="inlineStr"/>
      <c r="M1262" t="inlineStr"/>
      <c r="N1262" t="inlineStr"/>
      <c r="O1262">
        <f>(1-Summary!$B$11)*T1262+Summary!$B$11*V1262</f>
        <v/>
      </c>
      <c r="P1262">
        <f>IF(B1283=0,0,O1262/B1283)</f>
        <v/>
      </c>
      <c r="Q1262" t="n">
        <v>0</v>
      </c>
      <c r="R1262" t="n">
        <v>0</v>
      </c>
      <c r="S1262" t="n">
        <v>0</v>
      </c>
      <c r="T1262" t="n">
        <v>0</v>
      </c>
      <c r="V1262" t="n">
        <v>0</v>
      </c>
    </row>
    <row r="1263">
      <c r="A1263">
        <f>Skills!A22</f>
        <v/>
      </c>
      <c r="B1263">
        <f>Skills!B22</f>
        <v/>
      </c>
      <c r="C1263">
        <f>Inputs!$B$3&gt;=38</f>
        <v/>
      </c>
      <c r="D1263">
        <f>IF(Skills!C22=1,60+Inputs!$B$25+Inputs!$B$29,IF(Skills!C22=2,90+Inputs!$B$26+Inputs!$B$29,IF(Skills!C22=3,120+Inputs!$B$27+Inputs!$B$29,MAX(0,(Inputs!$B$3-100)*3)+Inputs!$B$28+Inputs!$B$29)))</f>
        <v/>
      </c>
      <c r="E1263">
        <f>INDEX(FactorTable!$B$2:$Y$301, MATCH(ROUND(MIN(300,MAX(1,D1263)),0), FactorTable!$A$2:$A$301,0), Skills!M22+1)</f>
        <v/>
      </c>
      <c r="F1263">
        <f>IF(Skills!N22=TRUE,(Skills!L22/10)*(E1263/1000),Skills!L22/10)+Skills!O22</f>
        <v/>
      </c>
      <c r="G1263">
        <f>Skills!G22*IF(Skills!H22&gt;0,Skills!I22/Skills!H22,1)</f>
        <v/>
      </c>
      <c r="H1263">
        <f>1-(1-Skills!J22/100)^Skills!K22</f>
        <v/>
      </c>
      <c r="I1263" t="inlineStr">
        <is>
          <t>1</t>
        </is>
      </c>
      <c r="J1263" t="inlineStr"/>
      <c r="K1263" t="inlineStr"/>
      <c r="L1263" t="inlineStr"/>
      <c r="M1263" t="inlineStr"/>
      <c r="N1263" t="inlineStr"/>
      <c r="O1263">
        <f>(1-Summary!$B$11)*T1263+Summary!$B$11*V1263</f>
        <v/>
      </c>
      <c r="P1263">
        <f>IF(B1283=0,0,O1263/B1283)</f>
        <v/>
      </c>
      <c r="Q1263" t="n">
        <v>0</v>
      </c>
      <c r="R1263" t="n">
        <v>0</v>
      </c>
      <c r="S1263" t="n">
        <v>0</v>
      </c>
      <c r="T1263" t="n">
        <v>0</v>
      </c>
      <c r="V1263" t="n">
        <v>0</v>
      </c>
    </row>
    <row r="1264">
      <c r="A1264">
        <f>Skills!A23</f>
        <v/>
      </c>
      <c r="B1264">
        <f>Skills!B23</f>
        <v/>
      </c>
      <c r="C1264">
        <f>Inputs!$B$3&gt;=43</f>
        <v/>
      </c>
      <c r="D1264">
        <f>IF(Skills!C23=1,60+Inputs!$B$25+Inputs!$B$29,IF(Skills!C23=2,90+Inputs!$B$26+Inputs!$B$29,IF(Skills!C23=3,120+Inputs!$B$27+Inputs!$B$29,MAX(0,(Inputs!$B$3-100)*3)+Inputs!$B$28+Inputs!$B$29)))</f>
        <v/>
      </c>
      <c r="E1264">
        <f>INDEX(FactorTable!$B$2:$Y$301, MATCH(ROUND(MIN(300,MAX(1,D1264)),0), FactorTable!$A$2:$A$301,0), Skills!M23+1)</f>
        <v/>
      </c>
      <c r="F1264">
        <f>IF(Skills!N23=TRUE,(Skills!L23/10)*(E1264/1000),Skills!L23/10)+Skills!O23</f>
        <v/>
      </c>
      <c r="G1264">
        <f>Skills!G23*IF(Skills!H23&gt;0,Skills!I23/Skills!H23,1)</f>
        <v/>
      </c>
      <c r="H1264">
        <f>1-(1-Skills!J23/100)^Skills!K23</f>
        <v/>
      </c>
      <c r="I1264" t="inlineStr">
        <is>
          <t>1</t>
        </is>
      </c>
      <c r="J1264" t="inlineStr"/>
      <c r="K1264" t="inlineStr"/>
      <c r="L1264" t="inlineStr"/>
      <c r="M1264" t="inlineStr"/>
      <c r="N1264" t="inlineStr"/>
      <c r="O1264">
        <f>(1-Summary!$B$11)*T1264+Summary!$B$11*V1264</f>
        <v/>
      </c>
      <c r="P1264">
        <f>IF(B1283=0,0,O1264/B1283)</f>
        <v/>
      </c>
      <c r="Q1264" t="n">
        <v>0</v>
      </c>
      <c r="R1264" t="n">
        <v>0</v>
      </c>
      <c r="S1264" t="n">
        <v>0</v>
      </c>
      <c r="T1264" t="n">
        <v>0</v>
      </c>
      <c r="V1264" t="n">
        <v>0</v>
      </c>
    </row>
    <row r="1265">
      <c r="A1265">
        <f>Skills!A24</f>
        <v/>
      </c>
      <c r="B1265">
        <f>Skills!B24</f>
        <v/>
      </c>
      <c r="C1265">
        <f>Inputs!$B$3&gt;=75</f>
        <v/>
      </c>
      <c r="D1265">
        <f>IF(Skills!C24=1,60+Inputs!$B$25+Inputs!$B$29,IF(Skills!C24=2,90+Inputs!$B$26+Inputs!$B$29,IF(Skills!C24=3,120+Inputs!$B$27+Inputs!$B$29,MAX(0,(Inputs!$B$3-100)*3)+Inputs!$B$28+Inputs!$B$29)))</f>
        <v/>
      </c>
      <c r="E1265">
        <f>INDEX(FactorTable!$B$2:$Y$301, MATCH(ROUND(MIN(300,MAX(1,D1265)),0), FactorTable!$A$2:$A$301,0), Skills!M24+1)</f>
        <v/>
      </c>
      <c r="F1265">
        <f>IF(Skills!N24=TRUE,(Skills!L24/10)*(E1265/1000),Skills!L24/10)+Skills!O24</f>
        <v/>
      </c>
      <c r="G1265">
        <f>Skills!G24*IF(Skills!H24&gt;0,Skills!I24/Skills!H24,1)</f>
        <v/>
      </c>
      <c r="H1265">
        <f>1-(1-Skills!J24/100)^Skills!K24</f>
        <v/>
      </c>
      <c r="I1265" t="inlineStr">
        <is>
          <t>1</t>
        </is>
      </c>
      <c r="J1265" t="inlineStr"/>
      <c r="K1265" t="inlineStr"/>
      <c r="L1265" t="inlineStr"/>
      <c r="M1265" t="inlineStr"/>
      <c r="N1265" t="inlineStr"/>
      <c r="O1265">
        <f>(1-Summary!$B$11)*T1265+Summary!$B$11*V1265</f>
        <v/>
      </c>
      <c r="P1265">
        <f>IF(B1283=0,0,O1265/B1283)</f>
        <v/>
      </c>
      <c r="Q1265" t="n">
        <v>0</v>
      </c>
      <c r="R1265" t="n">
        <v>0</v>
      </c>
      <c r="S1265" t="n">
        <v>0</v>
      </c>
      <c r="T1265" t="n">
        <v>0</v>
      </c>
      <c r="V1265" t="n">
        <v>0</v>
      </c>
    </row>
    <row r="1266">
      <c r="A1266">
        <f>Skills!A25</f>
        <v/>
      </c>
      <c r="B1266">
        <f>Skills!B25</f>
        <v/>
      </c>
      <c r="C1266">
        <f>Inputs!$B$3&gt;=125</f>
        <v/>
      </c>
      <c r="D1266">
        <f>IF(Skills!C25=1,60+Inputs!$B$25+Inputs!$B$29,IF(Skills!C25=2,90+Inputs!$B$26+Inputs!$B$29,IF(Skills!C25=3,120+Inputs!$B$27+Inputs!$B$29,MAX(0,(Inputs!$B$3-100)*3)+Inputs!$B$28+Inputs!$B$29)))</f>
        <v/>
      </c>
      <c r="E1266">
        <f>INDEX(FactorTable!$B$2:$Y$301, MATCH(ROUND(MIN(300,MAX(1,D1266)),0), FactorTable!$A$2:$A$301,0), Skills!M25+1)</f>
        <v/>
      </c>
      <c r="F1266">
        <f>IF(Skills!N25=TRUE,(Skills!L25/10)*(E1266/1000),Skills!L25/10)+Skills!O25</f>
        <v/>
      </c>
      <c r="G1266">
        <f>Skills!G25*IF(Skills!H25&gt;0,Skills!I25/Skills!H25,1)</f>
        <v/>
      </c>
      <c r="H1266">
        <f>1-(1-Skills!J25/100)^Skills!K25</f>
        <v/>
      </c>
      <c r="I1266" t="inlineStr">
        <is>
          <t>1</t>
        </is>
      </c>
      <c r="J1266" t="inlineStr"/>
      <c r="K1266" t="inlineStr"/>
      <c r="L1266" t="inlineStr"/>
      <c r="M1266" t="inlineStr"/>
      <c r="N1266" t="inlineStr"/>
      <c r="O1266">
        <f>(1-Summary!$B$11)*T1266+Summary!$B$11*V1266</f>
        <v/>
      </c>
      <c r="P1266">
        <f>IF(B1283=0,0,O1266/B1283)</f>
        <v/>
      </c>
      <c r="Q1266" t="n">
        <v>0</v>
      </c>
      <c r="R1266" t="n">
        <v>0</v>
      </c>
      <c r="S1266" t="n">
        <v>0</v>
      </c>
      <c r="T1266" t="n">
        <v>0</v>
      </c>
      <c r="V1266" t="n">
        <v>0</v>
      </c>
    </row>
    <row r="1267">
      <c r="A1267">
        <f>Skills!A26</f>
        <v/>
      </c>
      <c r="B1267">
        <f>Skills!B26</f>
        <v/>
      </c>
      <c r="C1267">
        <f>Inputs!$B$3&gt;=125</f>
        <v/>
      </c>
      <c r="D1267">
        <f>IF(Skills!C26=1,60+Inputs!$B$25+Inputs!$B$29,IF(Skills!C26=2,90+Inputs!$B$26+Inputs!$B$29,IF(Skills!C26=3,120+Inputs!$B$27+Inputs!$B$29,MAX(0,(Inputs!$B$3-100)*3)+Inputs!$B$28+Inputs!$B$29)))</f>
        <v/>
      </c>
      <c r="E1267">
        <f>INDEX(FactorTable!$B$2:$Y$301, MATCH(ROUND(MIN(300,MAX(1,D1267)),0), FactorTable!$A$2:$A$301,0), Skills!M26+1)</f>
        <v/>
      </c>
      <c r="F1267">
        <f>IF(Skills!N26=TRUE,(Skills!L26/10)*(E1267/1000),Skills!L26/10)+Skills!O26</f>
        <v/>
      </c>
      <c r="G1267">
        <f>Skills!G26*IF(Skills!H26&gt;0,Skills!I26/Skills!H26,1)</f>
        <v/>
      </c>
      <c r="H1267">
        <f>1-(1-Skills!J26/100)^Skills!K26</f>
        <v/>
      </c>
      <c r="I1267" t="inlineStr">
        <is>
          <t>1</t>
        </is>
      </c>
      <c r="J1267" t="inlineStr"/>
      <c r="K1267" t="inlineStr"/>
      <c r="L1267" t="inlineStr"/>
      <c r="M1267" t="inlineStr"/>
      <c r="N1267" t="inlineStr"/>
      <c r="O1267">
        <f>(1-Summary!$B$11)*T1267+Summary!$B$11*V1267</f>
        <v/>
      </c>
      <c r="P1267">
        <f>IF(B1283=0,0,O1267/B1283)</f>
        <v/>
      </c>
      <c r="Q1267" t="n">
        <v>0</v>
      </c>
      <c r="R1267" t="n">
        <v>0</v>
      </c>
      <c r="S1267" t="n">
        <v>0</v>
      </c>
      <c r="T1267" t="n">
        <v>0</v>
      </c>
      <c r="V1267" t="n">
        <v>0</v>
      </c>
    </row>
    <row r="1268">
      <c r="A1268">
        <f>Skills!A27</f>
        <v/>
      </c>
      <c r="B1268">
        <f>Skills!B27</f>
        <v/>
      </c>
      <c r="C1268">
        <f>Inputs!$B$3&gt;=120</f>
        <v/>
      </c>
      <c r="D1268">
        <f>IF(Skills!C27=1,60+Inputs!$B$25+Inputs!$B$29,IF(Skills!C27=2,90+Inputs!$B$26+Inputs!$B$29,IF(Skills!C27=3,120+Inputs!$B$27+Inputs!$B$29,MAX(0,(Inputs!$B$3-100)*3)+Inputs!$B$28+Inputs!$B$29)))</f>
        <v/>
      </c>
      <c r="E1268">
        <f>INDEX(FactorTable!$B$2:$Y$301, MATCH(ROUND(MIN(300,MAX(1,D1268)),0), FactorTable!$A$2:$A$301,0), Skills!M27+1)</f>
        <v/>
      </c>
      <c r="F1268">
        <f>IF(Skills!N27=TRUE,(Skills!L27/10)*(E1268/1000),Skills!L27/10)+Skills!O27</f>
        <v/>
      </c>
      <c r="G1268">
        <f>Skills!G27*IF(Skills!H27&gt;0,Skills!I27/Skills!H27,1)</f>
        <v/>
      </c>
      <c r="H1268">
        <f>1-(1-Skills!J27/100)^Skills!K27</f>
        <v/>
      </c>
      <c r="I1268" t="inlineStr">
        <is>
          <t>1</t>
        </is>
      </c>
      <c r="J1268" t="inlineStr"/>
      <c r="K1268" t="inlineStr"/>
      <c r="L1268" t="inlineStr"/>
      <c r="M1268" t="inlineStr"/>
      <c r="N1268" t="inlineStr"/>
      <c r="O1268">
        <f>(1-Summary!$B$11)*T1268+Summary!$B$11*V1268</f>
        <v/>
      </c>
      <c r="P1268">
        <f>IF(B1283=0,0,O1268/B1283)</f>
        <v/>
      </c>
      <c r="Q1268" t="n">
        <v>0</v>
      </c>
      <c r="R1268" t="n">
        <v>0</v>
      </c>
      <c r="S1268" t="n">
        <v>0</v>
      </c>
      <c r="T1268" t="n">
        <v>0</v>
      </c>
      <c r="V1268" t="n">
        <v>0</v>
      </c>
    </row>
    <row r="1269">
      <c r="A1269">
        <f>Skills!A28</f>
        <v/>
      </c>
      <c r="B1269">
        <f>Skills!B28</f>
        <v/>
      </c>
      <c r="C1269">
        <f>Inputs!$B$3&gt;=120</f>
        <v/>
      </c>
      <c r="D1269">
        <f>IF(Skills!C28=1,60+Inputs!$B$25+Inputs!$B$29,IF(Skills!C28=2,90+Inputs!$B$26+Inputs!$B$29,IF(Skills!C28=3,120+Inputs!$B$27+Inputs!$B$29,MAX(0,(Inputs!$B$3-100)*3)+Inputs!$B$28+Inputs!$B$29)))</f>
        <v/>
      </c>
      <c r="E1269">
        <f>INDEX(FactorTable!$B$2:$Y$301, MATCH(ROUND(MIN(300,MAX(1,D1269)),0), FactorTable!$A$2:$A$301,0), Skills!M28+1)</f>
        <v/>
      </c>
      <c r="F1269">
        <f>IF(Skills!N28=TRUE,(Skills!L28/10)*(E1269/1000),Skills!L28/10)+Skills!O28</f>
        <v/>
      </c>
      <c r="G1269">
        <f>Skills!G28*IF(Skills!H28&gt;0,Skills!I28/Skills!H28,1)</f>
        <v/>
      </c>
      <c r="H1269">
        <f>1-(1-Skills!J28/100)^Skills!K28</f>
        <v/>
      </c>
      <c r="I1269" t="inlineStr">
        <is>
          <t>1</t>
        </is>
      </c>
      <c r="J1269" t="inlineStr"/>
      <c r="K1269" t="inlineStr"/>
      <c r="L1269" t="inlineStr"/>
      <c r="M1269" t="inlineStr"/>
      <c r="N1269" t="inlineStr"/>
      <c r="O1269">
        <f>(1-Summary!$B$11)*T1269+Summary!$B$11*V1269</f>
        <v/>
      </c>
      <c r="P1269">
        <f>IF(B1283=0,0,O1269/B1283)</f>
        <v/>
      </c>
      <c r="Q1269" t="n">
        <v>0</v>
      </c>
      <c r="R1269" t="n">
        <v>0</v>
      </c>
      <c r="S1269" t="n">
        <v>0</v>
      </c>
      <c r="T1269" t="n">
        <v>0</v>
      </c>
      <c r="V1269" t="n">
        <v>0</v>
      </c>
    </row>
    <row r="1270">
      <c r="A1270">
        <f>Skills!A29</f>
        <v/>
      </c>
      <c r="B1270">
        <f>Skills!B29</f>
        <v/>
      </c>
      <c r="C1270">
        <f>Inputs!$B$3&gt;=45</f>
        <v/>
      </c>
      <c r="D1270">
        <f>IF(Skills!C29=1,60+Inputs!$B$25+Inputs!$B$29,IF(Skills!C29=2,90+Inputs!$B$26+Inputs!$B$29,IF(Skills!C29=3,120+Inputs!$B$27+Inputs!$B$29,MAX(0,(Inputs!$B$3-100)*3)+Inputs!$B$28+Inputs!$B$29)))</f>
        <v/>
      </c>
      <c r="E1270">
        <f>INDEX(FactorTable!$B$2:$Y$301, MATCH(ROUND(MIN(300,MAX(1,D1270)),0), FactorTable!$A$2:$A$301,0), Skills!M29+1)</f>
        <v/>
      </c>
      <c r="F1270">
        <f>IF(Skills!N29=TRUE,(Skills!L29/10)*(E1270/1000),Skills!L29/10)+Skills!O29</f>
        <v/>
      </c>
      <c r="G1270">
        <f>Skills!G29*IF(Skills!H29&gt;0,Skills!I29/Skills!H29,1)</f>
        <v/>
      </c>
      <c r="H1270">
        <f>1-(1-Skills!J29/100)^Skills!K29</f>
        <v/>
      </c>
      <c r="I1270" t="inlineStr">
        <is>
          <t>1</t>
        </is>
      </c>
      <c r="J1270" t="inlineStr"/>
      <c r="K1270" t="inlineStr"/>
      <c r="L1270" t="inlineStr"/>
      <c r="M1270" t="inlineStr"/>
      <c r="N1270" t="inlineStr"/>
      <c r="O1270">
        <f>(1-Summary!$B$11)*T1270+Summary!$B$11*V1270</f>
        <v/>
      </c>
      <c r="P1270">
        <f>IF(B1283=0,0,O1270/B1283)</f>
        <v/>
      </c>
      <c r="Q1270" t="n">
        <v>0</v>
      </c>
      <c r="R1270" t="n">
        <v>0</v>
      </c>
      <c r="S1270" t="n">
        <v>0</v>
      </c>
      <c r="T1270" t="n">
        <v>0</v>
      </c>
      <c r="V1270" t="n">
        <v>0</v>
      </c>
    </row>
    <row r="1272">
      <c r="A1272" t="inlineStr">
        <is>
          <t>Attack% Bucket Multiplier</t>
        </is>
      </c>
      <c r="B1272">
        <f>(1+(((C1254=TRUE)*F1254)+((C1255=TRUE)*IF(Inputs!$B$38="pvp",F1255,(1-Summary!$B$11)*(F1255)+Summary!$B$11*(0)))+((C1256=TRUE)*F1256*IF(AND(Inputs!$B$38&lt;&gt;"pvp",Inputs!$B$43&gt;0),(((R1256-1)*(Skills!T15*(1+Inputs!$B$34/100))+MIN((Skills!T15*(1+Inputs!$B$34/100)),MAX(0,Inputs!$B$43-((R1256-1)*Skills!D15))))/Inputs!$B$43),IF(Inputs!$B$38="pvp",MIN((Skills!T15*(1+Inputs!$B$34/100)),15)/15,(Skills!T15*(1+Inputs!$B$34/100))/Skills!D15)))+((C1253=TRUE)*F1253)+((C1270=TRUE)*(F1270-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IF(ArtifactsInput!$M$5,FALSE,TRUE),CHOOSE(ArtifactsInput!$N$5+1,10,12,14,16,18,20)*(IF(AND(Inputs!$B$38&lt;&gt;"pvp",Inputs!$B$43=0),0.5,(5*INT(MAX(0,IF(Inputs!$B$38="pvp",15,Inputs!$B$43)-10)/10)+MIN((MAX(0,IF(Inputs!$B$38="pvp",15,Inputs!$B$43)-10)-10*INT(MAX(0,IF(Inputs!$B$38="pvp",15,Inputs!$B$43)-10)/10)),5))/IF(Inputs!$B$38="pvp",15,Inputs!$B$43))),0)))/100)</f>
        <v/>
      </c>
    </row>
    <row r="1273">
      <c r="A1273" t="inlineStr">
        <is>
          <t>Global Crit Rate Bonus %</t>
        </is>
      </c>
      <c r="B1273">
        <f>(C1257=TRUE)*20*IF(AND(Inputs!$B$38&lt;&gt;"pvp",Inputs!$B$43&gt;0),(((R1257-1)*(Skills!T16*(1+Inputs!$B$34/100))+MIN((Skills!T16*(1+Inputs!$B$34/100)),MAX(0,Inputs!$B$43-((R1257-1)*Skills!D16))))/Inputs!$B$43),IF(Inputs!$B$38="pvp",MIN((Skills!T16*(1+Inputs!$B$34/100)),15)/15,(Skills!T16*(1+Inputs!$B$34/100))/Skills!D16))</f>
        <v/>
      </c>
    </row>
    <row r="1274">
      <c r="A1274" t="inlineStr">
        <is>
          <t>Attack Speed Buff Bonus %</t>
        </is>
      </c>
      <c r="B1274">
        <f>((C1259=TRUE)*F1259*IF(AND(Inputs!$B$38&lt;&gt;"pvp",Inputs!$B$43&gt;0),(((R1259-1)*(Skills!T18*(1+Inputs!$B$34/100))+MIN((Skills!T18*(1+Inputs!$B$34/100)),MAX(0,Inputs!$B$43-((R1259-1)*Skills!D18))))/Inputs!$B$43),IF(Inputs!$B$38="pvp",MIN((Skills!T18*(1+Inputs!$B$34/100)),15)/15,(Skills!T18*(1+Inputs!$B$34/100))/Skills!D18)))</f>
        <v/>
      </c>
    </row>
    <row r="1275">
      <c r="A1275" t="inlineStr">
        <is>
          <t>Actions Per Second</t>
        </is>
      </c>
      <c r="B1275">
        <f>1+MIN(150,150*(1-(1-(Inputs!$B$11+((C1261=TRUE)*(F1261-Calc!F20))+((C1262=TRUE)*(F1262-Calc!F21)))/150)*(1-B1274/150)))/100</f>
        <v/>
      </c>
    </row>
    <row r="1276">
      <c r="A1276" t="inlineStr">
        <is>
          <t>Skill + Buff Cast Rate</t>
        </is>
      </c>
      <c r="B1276">
        <f>IF(AND(Inputs!$B$38&lt;&gt;"pvp",Inputs!$B$43&gt;0),SUMPRODUCT((Skills!E2:E29=TRUE)*(C1243:C1270=TRUE)*R1243:R1270*Skills!F2:F29)/Inputs!$B$43,SUMPRODUCT((Skills!E2:E29=TRUE)*(C1243:C1270=TRUE)*Q1243:Q1270*Skills!F2:F29))</f>
        <v/>
      </c>
    </row>
    <row r="1277">
      <c r="A1277" t="inlineStr">
        <is>
          <t>Empowered Piercing Arrow Casts Per Second</t>
        </is>
      </c>
      <c r="B1277">
        <f>MAX(0,B1275-B1276)</f>
        <v/>
      </c>
    </row>
    <row r="1278">
      <c r="A1278" t="inlineStr">
        <is>
          <t>Global Critical Damage Bonus % (Sharp Eyes)</t>
        </is>
      </c>
      <c r="B1278">
        <f>(C1257=TRUE)*F1257*IF(AND(Inputs!$B$38&lt;&gt;"pvp",Inputs!$B$43&gt;0),(((R1257-1)*(Skills!T16*(1+Inputs!$B$34/100))+MIN((Skills!T16*(1+Inputs!$B$34/100)),MAX(0,Inputs!$B$43-((R1257-1)*Skills!D16))))/Inputs!$B$43),IF(Inputs!$B$38="pvp",MIN((Skills!T16*(1+Inputs!$B$34/100)),15)/15,(Skills!T16*(1+Inputs!$B$34/100))/Skills!D16))</f>
        <v/>
      </c>
    </row>
    <row r="1279">
      <c r="A1279" t="inlineStr">
        <is>
          <t>Global Final Damage Bonus % (Mortal Blow + Last Man Standing conditional half)</t>
        </is>
      </c>
      <c r="B1279">
        <f>(C1258=TRUE)*F1258+((C1267=TRUE)*IF(Inputs!$B$38="pvp",F1267,(1-Summary!$B$11)*(F1267)+Summary!$B$11*(0)))</f>
        <v/>
      </c>
    </row>
    <row r="1280">
      <c r="A1280" t="inlineStr">
        <is>
          <t>Buff-Casting Startup Delay (s, fixed-duration only)</t>
        </is>
      </c>
      <c r="B1280">
        <f>IF(AND(Inputs!$B$38&lt;&gt;"pvp",Inputs!$B$43&gt;0),SUMPRODUCT((Skills!T2:T29&gt;0)*(Skills!E2:E29=TRUE)*(C1243:C1270=TRUE))/B1275,0)</f>
        <v/>
      </c>
    </row>
    <row r="1281">
      <c r="A1281" t="inlineStr">
        <is>
          <t>Boss-Only Total DPS (this block's swept value)</t>
        </is>
      </c>
      <c r="B1281">
        <f>SUM(T1243:T1270)</f>
        <v/>
      </c>
    </row>
    <row r="1282">
      <c r="A1282" t="inlineStr">
        <is>
          <t>Normal-Only Total DPS (this block's swept value)</t>
        </is>
      </c>
      <c r="B1282">
        <f>SUM(V1243:V1270)</f>
        <v/>
      </c>
    </row>
    <row r="1283">
      <c r="A1283" s="6" t="inlineStr">
        <is>
          <t>TOTAL DPS</t>
        </is>
      </c>
      <c r="B1283" s="6">
        <f>SUM(O1243:O1270)</f>
        <v/>
      </c>
    </row>
    <row r="1286">
      <c r="A1286" s="6" t="inlineStr">
        <is>
          <t>Stat: Pig's Ribbon (Equip)</t>
        </is>
      </c>
    </row>
    <row r="1287">
      <c r="A1287" s="5" t="inlineStr">
        <is>
          <t>Key</t>
        </is>
      </c>
      <c r="B1287" s="5" t="inlineStr">
        <is>
          <t>Name</t>
        </is>
      </c>
      <c r="C1287" s="5" t="inlineStr">
        <is>
          <t>Unlocked</t>
        </is>
      </c>
      <c r="D1287" s="5" t="inlineStr">
        <is>
          <t>InputLevel</t>
        </is>
      </c>
      <c r="E1287" s="5" t="inlineStr">
        <is>
          <t>Factor</t>
        </is>
      </c>
      <c r="F1287" s="5" t="inlineStr">
        <is>
          <t>CoefficientPercent</t>
        </is>
      </c>
      <c r="G1287" s="5" t="inlineStr">
        <is>
          <t>EffectiveHits</t>
        </is>
      </c>
      <c r="H1287" s="5" t="inlineStr">
        <is>
          <t>ProcProbability</t>
        </is>
      </c>
      <c r="I1287" s="5" t="inlineStr">
        <is>
          <t>MapleHeroMultiplier</t>
        </is>
      </c>
      <c r="J1287" s="5" t="inlineStr">
        <is>
          <t>BaseDamage</t>
        </is>
      </c>
      <c r="K1287" s="5" t="inlineStr">
        <is>
          <t>BaseHitDamage</t>
        </is>
      </c>
      <c r="L1287" s="5" t="inlineStr">
        <is>
          <t>NonCritAvg</t>
        </is>
      </c>
      <c r="M1287" s="5" t="inlineStr">
        <is>
          <t>CritAvg</t>
        </is>
      </c>
      <c r="N1287" s="5" t="inlineStr">
        <is>
          <t>ExpectedDamage(perHit)</t>
        </is>
      </c>
      <c r="O1287" s="5" t="inlineStr">
        <is>
          <t>DPS</t>
        </is>
      </c>
      <c r="P1287" s="5" t="inlineStr">
        <is>
          <t>% of Total</t>
        </is>
      </c>
      <c r="Q1287" s="5" t="inlineStr">
        <is>
          <t>InvCooldown</t>
        </is>
      </c>
      <c r="R1287" s="5" t="inlineStr">
        <is>
          <t>CastsInFight</t>
        </is>
      </c>
      <c r="S1287" s="5" t="inlineStr">
        <is>
          <t>HitRate(perSec)</t>
        </is>
      </c>
      <c r="U1287" t="inlineStr">
        <is>
          <t>helpers</t>
        </is>
      </c>
    </row>
    <row r="1288">
      <c r="A1288">
        <f>Skills!A2</f>
        <v/>
      </c>
      <c r="B1288">
        <f>Skills!B2</f>
        <v/>
      </c>
      <c r="C1288">
        <f>Inputs!$B$3&gt;=100</f>
        <v/>
      </c>
      <c r="D1288" t="inlineStr"/>
      <c r="E1288" t="inlineStr"/>
      <c r="F1288">
        <f>U1290+Skills!O2</f>
        <v/>
      </c>
      <c r="G1288">
        <f>Skills!G2*IF(Skills!H2&gt;0,Skills!I2/Skills!H2,1)</f>
        <v/>
      </c>
      <c r="H1288">
        <f>1-(1-Skills!J2/100)^Skills!K2</f>
        <v/>
      </c>
      <c r="I1288" t="inlineStr">
        <is>
          <t>1</t>
        </is>
      </c>
      <c r="J1288">
        <f>((Inputs!$B$6*(1+Inputs!$B$7/100))+(((Inputs!$B$12*(1+Inputs!$B$13/100))-(Inputs!$B$12*(1+Inputs!$B$13/100)))+0.25*(Inputs!$B$14-Inputs!$B$14))*(1+Inputs!$B$7/100))*(F1288/100)</f>
        <v/>
      </c>
      <c r="K1288">
        <f>J1288*(1+((Inputs!$B$12*(1+Inputs!$B$13/100))*0.01+Inputs!$B$14*0.0025)/100)*(1+Inputs!$B$15/100)*(1+Inputs!$B$16/100)*(5000/(6000+Inputs!$B$42*(1-(100*(1-(1-(Inputs!$B$19+0)/100)*(1-CHOOSE(ArtifactsInput!$N$40+1,5,6,7,8,9,10)/100)^(ArtifactsInput!$M$40-ArtifactsInput!$M$40)))/100)))*(1+(Inputs!$B$24+((C1310=TRUE)*(F1310-Calc!F24))+((C1311=TRUE)*(F1311-Calc!F25))+B1324)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EMPOWERED_PIERCING_ARROW",Inputs!$B$17+((C1308=TRUE)*(F1308-Calc!F22))+(((IF(AND(ArtifactsInput!$M$42,((Inputs!$B$9+((C1305=TRUE)*(F1305-Calc!F19))+B1318+(ArtifactsInput!$M$24-ArtifactsInput!$M$24)*CHOOSE(ArtifactsInput!$N$24+1,10,12,14,16,18,20)+IF(ArtifactsInput!$M$10,CHOOSE(ArtifactsInput!$N$10+1,15,18,21,24,27,30)*(IF(Inputs!$B$38="pvp",MIN(15,15)/15,IF(AND(Inputs!$B$38&lt;&gt;"pvp",Inputs!$B$43&gt;0),MIN(15,Inputs!$B$43)/(Inputs!$B$43),0))),0)))&gt;=100),MIN(100,((Inputs!$B$9+((C1305=TRUE)*(F1305-Calc!F19))+B1318+(ArtifactsInput!$M$24-ArtifactsInput!$M$24)*CHOOSE(ArtifactsInput!$N$24+1,10,12,14,16,18,20)+IF(ArtifactsInput!$M$10,CHOOSE(ArtifactsInput!$N$10+1,15,18,21,24,27,30)*(IF(Inputs!$B$38="pvp",MIN(15,15)/15,IF(AND(Inputs!$B$38&lt;&gt;"pvp",Inputs!$B$43&gt;0),MIN(15,Inputs!$B$43)/(Inputs!$B$43),0))),0)))-100),0))*CHOOSE(ArtifactsInput!$N$42+1,0.6,0.72,0.84,0.96,1.08,1.2))),Inputs!$B$18+((C1313=TRUE)*(F1313-Calc!F27))+(IF(AND(ArtifactsInput!$M$42,((Inputs!$B$9+((C1305=TRUE)*(F1305-Calc!F19))+B1318+(ArtifactsInput!$M$24-ArtifactsInput!$M$24)*CHOOSE(ArtifactsInput!$N$24+1,10,12,14,16,18,20)+IF(ArtifactsInput!$M$10,CHOOSE(ArtifactsInput!$N$10+1,15,18,21,24,27,30)*(IF(Inputs!$B$38="pvp",MIN(15,15)/15,IF(AND(Inputs!$B$38&lt;&gt;"pvp",Inputs!$B$43&gt;0),MIN(15,Inputs!$B$43)/(Inputs!$B$43),0))),0)))&gt;=100),CHOOSE(ArtifactsInput!$N$42+1,40,48,56,64,72,80),0))))/100)*((1+(((C1299=TRUE)*F1299)+((C1300=TRUE)*IF(Inputs!$B$38="pvp",F1300,(1-Summary!$B$11)*(F1300)+Summary!$B$11*(0)))+((C1301=TRUE)*F1301*IF(AND(Inputs!$B$38&lt;&gt;"pvp",Inputs!$B$43&gt;0),(((R1301-1)*(Skills!T15*(1+Inputs!$B$34/100))+MIN((Skills!T15*(1+Inputs!$B$34/100)),MAX(0,Inputs!$B$43-((R1301-1)*Skills!D15))))/Inputs!$B$43),IF(Inputs!$B$38="pvp",MIN((Skills!T15*(1+Inputs!$B$34/100)),15)/15,(Skills!T15*(1+Inputs!$B$34/100))/Skills!D15)))+((C1298=TRUE)*F1298)+((C1315=TRUE)*(F1315-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1288)</f>
        <v/>
      </c>
      <c r="L1288">
        <f>K1288*(MIN(Inputs!$B$22+((C1309=TRUE)*(F1309-Calc!F23)),(Inputs!$B$23+((C1314=TRUE)*(F1314-Calc!F28))+(IF(ArtifactsInput!$M$15,CHOOSE(ArtifactsInput!$N$15+1,25,30,35,40,45,50)/100*(Inputs!$B$11-Inputs!$B$11),0))))/100+(Inputs!$B$23+((C1314=TRUE)*(F1314-Calc!F28))+(IF(ArtifactsInput!$M$15,CHOOSE(ArtifactsInput!$N$15+1,25,30,35,40,45,50)/100*(Inputs!$B$11-Inputs!$B$11),0)))/100)/2</f>
        <v/>
      </c>
      <c r="M1288">
        <f>L1288*(1+(Inputs!$B$10+0+B1323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288">
        <f>L1288*(1-MIN((Inputs!$B$9+((C1305=TRUE)*(F1305-Calc!F19))+B1318+(ArtifactsInput!$M$24-ArtifactsInput!$M$24)*CHOOSE(ArtifactsInput!$N$24+1,10,12,14,16,18,20)+(IF(AND(ArtifactsInput!$M$42,((Inputs!$B$9+((C1305=TRUE)*(F1305-Calc!F19))+B1318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1288*(MIN((Inputs!$B$9+((C1305=TRUE)*(F1305-Calc!F19))+B1318+(ArtifactsInput!$M$24-ArtifactsInput!$M$24)*CHOOSE(ArtifactsInput!$N$24+1,10,12,14,16,18,20)+(IF(AND(ArtifactsInput!$M$42,((Inputs!$B$9+((C1305=TRUE)*(F1305-Calc!F19))+B1318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288">
        <f>(1-Summary!$B$11)*T1288+Summary!$B$11*V1288</f>
        <v/>
      </c>
      <c r="P1288">
        <f>IF(B1328=0,0,O1288/B1328)</f>
        <v/>
      </c>
      <c r="Q1288" t="n">
        <v>0</v>
      </c>
      <c r="R1288" t="n">
        <v>0</v>
      </c>
      <c r="S1288">
        <f>IFERROR((Skills!G2*N1288*B1322)/N1288*IF(Inputs!$B$38="pvp",1,(1-Summary!$B$11)*1+Summary!$B$11*(MIN((6+Inputs!$B$33),Inputs!$B$37))),0)</f>
        <v/>
      </c>
      <c r="T1288">
        <f>IF(C1288,(Skills!G2*N1288*B1322)*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Hunt"),CHOOSE(ArtifactsInput!$N$35+1,15,18,21,24,27,30)*(1-EXP(-(0.2*B1320)*5)),0)+IF(AND(ArtifactsInput!$M$22,Inputs!$B$4&lt;&gt;"Chapter Hunt"),CHOOSE(ArtifactsInput!$N$22+1,10,12,14,16,18,20)*((0*(((0.15*B1320*5))^0/1)+1*(((0.15*B1320*5))^1/1)+2*(((0.15*B1320*5))^2/2)+3*(((0.15*B1320*5))^3/6)+4*(((0.15*B1320*5))^4/24)+5*(((0.15*B1320*5))^5/120))/((((0.15*B1320*5))^0/1)+(((0.15*B1320*5))^1/1)+(((0.15*B1320*5))^2/2)+(((0.15*B1320*5))^3/6)+(((0.15*B1320*5))^4/24)+(((0.15*B1320*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1288*(1-MIN(100,(Inputs!$B$9+((C1305=TRUE)*(F1305-Calc!F19))+B1318+(ArtifactsInput!$M$24-ArtifactsInput!$M$24)*CHOOSE(ArtifactsInput!$N$24+1,10,12,14,16,18,20)+(IF(AND(ArtifactsInput!$M$42,((Inputs!$B$9+((C1305=TRUE)*(F1305-Calc!F19))+B1318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1288*(MIN(100,(Inputs!$B$9+((C1305=TRUE)*(F1305-Calc!F19))+B1318+(ArtifactsInput!$M$24-ArtifactsInput!$M$24)*CHOOSE(ArtifactsInput!$N$24+1,10,12,14,16,18,20)+(IF(AND(ArtifactsInput!$M$42,((Inputs!$B$9+((C1305=TRUE)*(F1305-Calc!F19))+B1318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1288*(1-MIN(100,(Inputs!$B$9+((C1305=TRUE)*(F1305-Calc!F19))+B1318+(ArtifactsInput!$M$24-ArtifactsInput!$M$24)*CHOOSE(ArtifactsInput!$N$24+1,10,12,14,16,18,20)+(IF(AND(ArtifactsInput!$M$42,((Inputs!$B$9+((C1305=TRUE)*(F1305-Calc!F19))+B1318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1288*(MIN(100,(Inputs!$B$9+((C1305=TRUE)*(F1305-Calc!F19))+B1318+(ArtifactsInput!$M$24-ArtifactsInput!$M$24)*CHOOSE(ArtifactsInput!$N$24+1,10,12,14,16,18,20)+(IF(AND(ArtifactsInput!$M$42,((Inputs!$B$9+((C1305=TRUE)*(F1305-Calc!F19))+B1318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288">
        <f>MAX(0,(Inputs!$B$3-100)*3)+Inputs!$B$28+Inputs!$B$29</f>
        <v/>
      </c>
      <c r="V1288">
        <f>IF(C1288,(Skills!G2*N1288*B1322)*IF(Inputs!$B$38="pvp",1,(1+(Inputs!$B$21+Skills!Q2+(IF(ArtifactsInput!$M$33,CHOOSE(ArtifactsInput!$N$33+1,30,36,42,48,54,60),0))+(IF(AND(ArtifactsInput!$M$35,Inputs!$B$4&lt;&gt;"Chapter Hunt"),CHOOSE(ArtifactsInput!$N$35+1,15,18,21,24,27,30)*(1-EXP(-(0.2*B1320)*5)),0)+IF(AND(ArtifactsInput!$M$22,Inputs!$B$4&lt;&gt;"Chapter Hunt"),CHOOSE(ArtifactsInput!$N$22+1,10,12,14,16,18,20)*((0*(((0.15*B1320*5))^0/1)+1*(((0.15*B1320*5))^1/1)+2*(((0.15*B1320*5))^2/2)+3*(((0.15*B1320*5))^3/6)+4*(((0.15*B1320*5))^4/24)+5*(((0.15*B1320*5))^5/120))/((((0.15*B1320*5))^0/1)+(((0.15*B1320*5))^1/1)+(((0.15*B1320*5))^2/2)+(((0.15*B1320*5))^3/6)+(((0.15*B1320*5))^4/24)+(((0.15*B1320*5))^5/120)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289">
      <c r="A1289">
        <f>Skills!A3</f>
        <v/>
      </c>
      <c r="B1289">
        <f>Skills!B3</f>
        <v/>
      </c>
      <c r="C1289">
        <f>Inputs!$B$3&gt;=50</f>
        <v/>
      </c>
      <c r="D1289">
        <f>IF(Skills!C3=1,60+Inputs!$B$25+Inputs!$B$29,IF(Skills!C3=2,90+Inputs!$B$26+Inputs!$B$29,IF(Skills!C3=3,120+Inputs!$B$27+Inputs!$B$29,MAX(0,(Inputs!$B$3-100)*3)+Inputs!$B$28+Inputs!$B$29)))</f>
        <v/>
      </c>
      <c r="E1289">
        <f>INDEX(FactorTable!$B$2:$Y$301, MATCH(ROUND(MIN(300,MAX(1,D1289)),0), FactorTable!$A$2:$A$301,0), Skills!M3+1)</f>
        <v/>
      </c>
      <c r="F1289">
        <f>IF(Skills!N3=TRUE,(Skills!L3/10)*(E1289/1000),Skills!L3/10)+Skills!O3</f>
        <v/>
      </c>
      <c r="G1289" t="inlineStr"/>
      <c r="H1289" t="inlineStr"/>
      <c r="I1289" t="inlineStr">
        <is>
          <t>1</t>
        </is>
      </c>
      <c r="J1289" t="inlineStr"/>
      <c r="K1289" t="inlineStr"/>
      <c r="L1289" t="inlineStr"/>
      <c r="M1289" t="inlineStr"/>
      <c r="N1289" t="inlineStr"/>
      <c r="O1289" t="inlineStr"/>
      <c r="P1289" t="inlineStr"/>
      <c r="Q1289" t="inlineStr"/>
      <c r="R1289" t="inlineStr"/>
      <c r="S1289" t="inlineStr"/>
      <c r="T1289" t="inlineStr"/>
      <c r="U1289">
        <f>INDEX(FactorTable!$B$2:$Y$301, MATCH(ROUND(MIN(300,MAX(1,U1288)),0), FactorTable!$A$2:$A$301,0), 22)</f>
        <v/>
      </c>
      <c r="V1289" t="inlineStr"/>
    </row>
    <row r="1290">
      <c r="A1290">
        <f>Skills!A4</f>
        <v/>
      </c>
      <c r="B1290">
        <f>Skills!B4</f>
        <v/>
      </c>
      <c r="C1290">
        <f>Inputs!$B$3&gt;=105</f>
        <v/>
      </c>
      <c r="D1290">
        <f>IF(Skills!C4=1,60+Inputs!$B$25+Inputs!$B$29,IF(Skills!C4=2,90+Inputs!$B$26+Inputs!$B$29,IF(Skills!C4=3,120+Inputs!$B$27+Inputs!$B$29,MAX(0,(Inputs!$B$3-100)*3)+Inputs!$B$28+Inputs!$B$29)))</f>
        <v/>
      </c>
      <c r="E1290">
        <f>INDEX(FactorTable!$B$2:$Y$301, MATCH(ROUND(MIN(300,MAX(1,D1290)),0), FactorTable!$A$2:$A$301,0), Skills!M4+1)</f>
        <v/>
      </c>
      <c r="F1290">
        <f>IF(Skills!N4=TRUE,(Skills!L4/10)*(E1290/1000),Skills!L4/10)+Skills!O4</f>
        <v/>
      </c>
      <c r="G1290" t="inlineStr"/>
      <c r="H1290" t="inlineStr"/>
      <c r="I1290" t="inlineStr">
        <is>
          <t>1</t>
        </is>
      </c>
      <c r="J1290" t="inlineStr"/>
      <c r="K1290" t="inlineStr"/>
      <c r="L1290" t="inlineStr"/>
      <c r="M1290" t="inlineStr"/>
      <c r="N1290" t="inlineStr"/>
      <c r="O1290" t="inlineStr"/>
      <c r="P1290" t="inlineStr"/>
      <c r="Q1290" t="inlineStr"/>
      <c r="R1290" t="inlineStr"/>
      <c r="S1290" t="inlineStr"/>
      <c r="T1290" t="inlineStr"/>
      <c r="U1290">
        <f>290*U1289/1000</f>
        <v/>
      </c>
      <c r="V1290" t="inlineStr"/>
    </row>
    <row r="1291">
      <c r="A1291">
        <f>Skills!A5</f>
        <v/>
      </c>
      <c r="B1291">
        <f>Skills!B5</f>
        <v/>
      </c>
      <c r="C1291">
        <f>Inputs!$B$3&gt;=35</f>
        <v/>
      </c>
      <c r="D1291">
        <f>IF(Skills!C5=1,60+Inputs!$B$25+Inputs!$B$29,IF(Skills!C5=2,90+Inputs!$B$26+Inputs!$B$29,IF(Skills!C5=3,120+Inputs!$B$27+Inputs!$B$29,MAX(0,(Inputs!$B$3-100)*3)+Inputs!$B$28+Inputs!$B$29)))</f>
        <v/>
      </c>
      <c r="E1291">
        <f>INDEX(FactorTable!$B$2:$Y$301, MATCH(ROUND(MIN(300,MAX(1,D1291)),0), FactorTable!$A$2:$A$301,0), Skills!M5+1)</f>
        <v/>
      </c>
      <c r="F1291">
        <f>IF(Skills!N5=TRUE,(Skills!L5/10)*(E1291/1000),Skills!L5/10)+Skills!O5</f>
        <v/>
      </c>
      <c r="G1291">
        <f>Skills!G5*IF(Skills!H5&gt;0,Skills!I5/Skills!H5,1)</f>
        <v/>
      </c>
      <c r="H1291">
        <f>1-(1-Skills!J5/100)^Skills!K5</f>
        <v/>
      </c>
      <c r="I1291" t="inlineStr">
        <is>
          <t>1</t>
        </is>
      </c>
      <c r="J1291">
        <f>((Inputs!$B$6*(1+Inputs!$B$7/100))+(((Inputs!$B$12*(1+Inputs!$B$13/100))-(Inputs!$B$12*(1+Inputs!$B$13/100)))+0.25*(Inputs!$B$14-Inputs!$B$14))*(1+Inputs!$B$7/100))*(F1291/100)</f>
        <v/>
      </c>
      <c r="K1291">
        <f>J1291*(1+((Inputs!$B$12*(1+Inputs!$B$13/100))*0.01+Inputs!$B$14*0.0025)/100)*(1+Inputs!$B$15/100)*(1+Inputs!$B$16/100)*(5000/(6000+Inputs!$B$42*(1-(100*(1-(1-(Inputs!$B$19+0)/100)*(1-CHOOSE(ArtifactsInput!$N$40+1,5,6,7,8,9,10)/100)^(ArtifactsInput!$M$40-ArtifactsInput!$M$40)))/100)))*(1+(Inputs!$B$24+((C1310=TRUE)*(F1310-Calc!F24))+((C1311=TRUE)*(F1311-Calc!F25))+B1324)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1294=TRUE,F1294,0)/100)*(1+(IF(Skills!A5="EMPOWERED_PIERCING_ARROW",Inputs!$B$17+((C1308=TRUE)*(F1308-Calc!F22))+(((IF(AND(ArtifactsInput!$M$42,((Inputs!$B$9+((C1305=TRUE)*(F1305-Calc!F19))+B1318+(ArtifactsInput!$M$24-ArtifactsInput!$M$24)*CHOOSE(ArtifactsInput!$N$24+1,10,12,14,16,18,20)+IF(ArtifactsInput!$M$10,CHOOSE(ArtifactsInput!$N$10+1,15,18,21,24,27,30)*(IF(Inputs!$B$38="pvp",MIN(15,15)/15,IF(AND(Inputs!$B$38&lt;&gt;"pvp",Inputs!$B$43&gt;0),MIN(15,Inputs!$B$43)/(Inputs!$B$43),0))),0)))&gt;=100),MIN(100,((Inputs!$B$9+((C1305=TRUE)*(F1305-Calc!F19))+B1318+(ArtifactsInput!$M$24-ArtifactsInput!$M$24)*CHOOSE(ArtifactsInput!$N$24+1,10,12,14,16,18,20)+IF(ArtifactsInput!$M$10,CHOOSE(ArtifactsInput!$N$10+1,15,18,21,24,27,30)*(IF(Inputs!$B$38="pvp",MIN(15,15)/15,IF(AND(Inputs!$B$38&lt;&gt;"pvp",Inputs!$B$43&gt;0),MIN(15,Inputs!$B$43)/(Inputs!$B$43),0))),0)))-100),0))*CHOOSE(ArtifactsInput!$N$42+1,0.6,0.72,0.84,0.96,1.08,1.2))),Inputs!$B$18+((C1313=TRUE)*(F1313-Calc!F27))+(IF(AND(ArtifactsInput!$M$42,((Inputs!$B$9+((C1305=TRUE)*(F1305-Calc!F19))+B1318+(ArtifactsInput!$M$24-ArtifactsInput!$M$24)*CHOOSE(ArtifactsInput!$N$24+1,10,12,14,16,18,20)+IF(ArtifactsInput!$M$10,CHOOSE(ArtifactsInput!$N$10+1,15,18,21,24,27,30)*(IF(Inputs!$B$38="pvp",MIN(15,15)/15,IF(AND(Inputs!$B$38&lt;&gt;"pvp",Inputs!$B$43&gt;0),MIN(15,Inputs!$B$43)/(Inputs!$B$43),0))),0)))&gt;=100),CHOOSE(ArtifactsInput!$N$42+1,40,48,56,64,72,80),0))))/100)*((1+(((C1299=TRUE)*F1299)+((C1300=TRUE)*IF(Inputs!$B$38="pvp",F1300,(1-Summary!$B$11)*(F1300)+Summary!$B$11*(0)))+((C1301=TRUE)*F1301*IF(AND(Inputs!$B$38&lt;&gt;"pvp",Inputs!$B$43&gt;0),(((R1301-1)*(Skills!T15*(1+Inputs!$B$34/100))+MIN((Skills!T15*(1+Inputs!$B$34/100)),MAX(0,Inputs!$B$43-((R1301-1)*Skills!D15))))/Inputs!$B$43),IF(Inputs!$B$38="pvp",MIN((Skills!T15*(1+Inputs!$B$34/100)),15)/15,(Skills!T15*(1+Inputs!$B$34/100))/Skills!D15)))+((C1298=TRUE)*F1298)+((C1315=TRUE)*(F1315-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1291)</f>
        <v/>
      </c>
      <c r="L1291">
        <f>K1291*(MIN(Inputs!$B$22+((C1309=TRUE)*(F1309-Calc!F23)),(Inputs!$B$23+((C1314=TRUE)*(F1314-Calc!F28))+(IF(ArtifactsInput!$M$15,CHOOSE(ArtifactsInput!$N$15+1,25,30,35,40,45,50)/100*(Inputs!$B$11-Inputs!$B$11),0))))/100+(Inputs!$B$23+((C1314=TRUE)*(F1314-Calc!F28))+(IF(ArtifactsInput!$M$15,CHOOSE(ArtifactsInput!$N$15+1,25,30,35,40,45,50)/100*(Inputs!$B$11-Inputs!$B$11),0)))/100)/2</f>
        <v/>
      </c>
      <c r="M1291">
        <f>L1291*(1+(Inputs!$B$10+0+B1323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291">
        <f>L1291*(1-MIN((Inputs!$B$9+((C1305=TRUE)*(F1305-Calc!F19))+B1318+(ArtifactsInput!$M$24-ArtifactsInput!$M$24)*CHOOSE(ArtifactsInput!$N$24+1,10,12,14,16,18,20)+(IF(AND(ArtifactsInput!$M$42,((Inputs!$B$9+((C1305=TRUE)*(F1305-Calc!F19))+B1318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1291*(MIN((Inputs!$B$9+((C1305=TRUE)*(F1305-Calc!F19))+B1318+(ArtifactsInput!$M$24-ArtifactsInput!$M$24)*CHOOSE(ArtifactsInput!$N$24+1,10,12,14,16,18,20)+(IF(AND(ArtifactsInput!$M$42,((Inputs!$B$9+((C1305=TRUE)*(F1305-Calc!F19))+B1318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291">
        <f>(1-Summary!$B$11)*T1291+Summary!$B$11*V1291</f>
        <v/>
      </c>
      <c r="P1291">
        <f>IF(B1328=0,0,O1291/B1328)</f>
        <v/>
      </c>
      <c r="Q1291">
        <f>IFERROR(1/IF(Inputs!$B$38="pvp",15,MAX(0.1,Skills!D5-IF(Skills!E5=TRUE,Inputs!$B$32,0))),0)</f>
        <v/>
      </c>
      <c r="R1291">
        <f>IF(AND(Inputs!$B$38&lt;&gt;"pvp",Inputs!$B$43&gt;0),IF(MAX(0,Inputs!$B$43-B1325)&lt;=0,0,(INT(MAX(0,Inputs!$B$43-B1325)/IF(Inputs!$B$38="pvp",15,MAX(0.1,Skills!D5-IF(Skills!E5=TRUE,Inputs!$B$32,0))))+1)),0)</f>
        <v/>
      </c>
      <c r="S1291">
        <f>IFERROR((H1291*N1291*IF(AND(Inputs!$B$38&lt;&gt;"pvp",Inputs!$B$43&gt;0),((Skills!G5*((R1291-1)*IF(Skills!H5&gt;0,Skills!I5/Skills!H5,1)+IF(Skills!H5&gt;0,MIN(Skills!I5,MAX(0,MAX(0,Inputs!$B$43-B1325)-((R1291-1)*IF(Inputs!$B$38="pvp",15,MAX(0.1,Skills!D5-IF(Skills!E5=TRUE,Inputs!$B$32,0))))))/Skills!H5,1)))/Inputs!$B$43),G1291*Q1291))/N1291*IF(Inputs!$B$38="pvp",1,(1-Summary!$B$11)*1+Summary!$B$11*(MIN(Skills!R5,Inputs!$B$37))),0)</f>
        <v/>
      </c>
      <c r="T1291">
        <f>IF(C1291,(H1291*N1291*IF(AND(Inputs!$B$38&lt;&gt;"pvp",Inputs!$B$43&gt;0),((Skills!G5*((R1291-1)*IF(Skills!H5&gt;0,Skills!I5/Skills!H5,1)+IF(Skills!H5&gt;0,MIN(Skills!I5,MAX(0,MAX(0,Inputs!$B$43-B1325)-((R1291-1)*IF(Inputs!$B$38="pvp",15,MAX(0.1,Skills!D5-IF(Skills!E5=TRUE,Inputs!$B$32,0))))))/Skills!H5,1)))/Inputs!$B$43),G1291*Q1291))*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Hunt"),CHOOSE(ArtifactsInput!$N$35+1,15,18,21,24,27,30)*(1-EXP(-(0.2*B1320)*5)),0)+IF(AND(ArtifactsInput!$M$22,Inputs!$B$4&lt;&gt;"Chapter Hunt"),CHOOSE(ArtifactsInput!$N$22+1,10,12,14,16,18,20)*((0*(((0.15*B1320*5))^0/1)+1*(((0.15*B1320*5))^1/1)+2*(((0.15*B1320*5))^2/2)+3*(((0.15*B1320*5))^3/6)+4*(((0.15*B1320*5))^4/24)+5*(((0.15*B1320*5))^5/120))/((((0.15*B1320*5))^0/1)+(((0.15*B1320*5))^1/1)+(((0.15*B1320*5))^2/2)+(((0.15*B1320*5))^3/6)+(((0.15*B1320*5))^4/24)+(((0.15*B1320*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1291*(1-MIN(100,(Inputs!$B$9+((C1305=TRUE)*(F1305-Calc!F19))+B1318+(ArtifactsInput!$M$24-ArtifactsInput!$M$24)*CHOOSE(ArtifactsInput!$N$24+1,10,12,14,16,18,20)+(IF(AND(ArtifactsInput!$M$42,((Inputs!$B$9+((C1305=TRUE)*(F1305-Calc!F19))+B1318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1291*(MIN(100,(Inputs!$B$9+((C1305=TRUE)*(F1305-Calc!F19))+B1318+(ArtifactsInput!$M$24-ArtifactsInput!$M$24)*CHOOSE(ArtifactsInput!$N$24+1,10,12,14,16,18,20)+(IF(AND(ArtifactsInput!$M$42,((Inputs!$B$9+((C1305=TRUE)*(F1305-Calc!F19))+B1318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1291*(1-MIN(100,(Inputs!$B$9+((C1305=TRUE)*(F1305-Calc!F19))+B1318+(ArtifactsInput!$M$24-ArtifactsInput!$M$24)*CHOOSE(ArtifactsInput!$N$24+1,10,12,14,16,18,20)+(IF(AND(ArtifactsInput!$M$42,((Inputs!$B$9+((C1305=TRUE)*(F1305-Calc!F19))+B1318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1291*(MIN(100,(Inputs!$B$9+((C1305=TRUE)*(F1305-Calc!F19))+B1318+(ArtifactsInput!$M$24-ArtifactsInput!$M$24)*CHOOSE(ArtifactsInput!$N$24+1,10,12,14,16,18,20)+(IF(AND(ArtifactsInput!$M$42,((Inputs!$B$9+((C1305=TRUE)*(F1305-Calc!F19))+B1318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291">
        <f>IF(C1291,(H1291*N1291*IF(AND(Inputs!$B$38&lt;&gt;"pvp",Inputs!$B$43&gt;0),((Skills!G5*((R1291-1)*IF(Skills!H5&gt;0,Skills!I5/Skills!H5,1)+IF(Skills!H5&gt;0,MIN(Skills!I5,MAX(0,MAX(0,Inputs!$B$43-B1325)-((R1291-1)*IF(Inputs!$B$38="pvp",15,MAX(0.1,Skills!D5-IF(Skills!E5=TRUE,Inputs!$B$32,0))))))/Skills!H5,1)))/Inputs!$B$43),G1291*Q1291))*IF(Inputs!$B$38="pvp",1,(1+(Inputs!$B$21+Skills!Q5+(IF(ArtifactsInput!$M$33,CHOOSE(ArtifactsInput!$N$33+1,30,36,42,48,54,60),0))+(IF(AND(ArtifactsInput!$M$35,Inputs!$B$4&lt;&gt;"Chapter Hunt"),CHOOSE(ArtifactsInput!$N$35+1,15,18,21,24,27,30)*(1-EXP(-(0.2*B1320)*5)),0)+IF(AND(ArtifactsInput!$M$22,Inputs!$B$4&lt;&gt;"Chapter Hunt"),CHOOSE(ArtifactsInput!$N$22+1,10,12,14,16,18,20)*((0*(((0.15*B1320*5))^0/1)+1*(((0.15*B1320*5))^1/1)+2*(((0.15*B1320*5))^2/2)+3*(((0.15*B1320*5))^3/6)+4*(((0.15*B1320*5))^4/24)+5*(((0.15*B1320*5))^5/120))/((((0.15*B1320*5))^0/1)+(((0.15*B1320*5))^1/1)+(((0.15*B1320*5))^2/2)+(((0.15*B1320*5))^3/6)+(((0.15*B1320*5))^4/24)+(((0.15*B1320*5))^5/120)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292">
      <c r="A1292">
        <f>Skills!A6</f>
        <v/>
      </c>
      <c r="B1292">
        <f>Skills!B6</f>
        <v/>
      </c>
      <c r="C1292">
        <f>Inputs!$B$3&gt;=63</f>
        <v/>
      </c>
      <c r="D1292">
        <f>IF(Skills!C6=1,60+Inputs!$B$25+Inputs!$B$29,IF(Skills!C6=2,90+Inputs!$B$26+Inputs!$B$29,IF(Skills!C6=3,120+Inputs!$B$27+Inputs!$B$29,MAX(0,(Inputs!$B$3-100)*3)+Inputs!$B$28+Inputs!$B$29)))</f>
        <v/>
      </c>
      <c r="E1292">
        <f>INDEX(FactorTable!$B$2:$Y$301, MATCH(ROUND(MIN(300,MAX(1,D1292)),0), FactorTable!$A$2:$A$301,0), Skills!M6+1)</f>
        <v/>
      </c>
      <c r="F1292">
        <f>IF(Skills!N6=TRUE,(Skills!L6/10)*(E1292/1000),Skills!L6/10)+Skills!O6</f>
        <v/>
      </c>
      <c r="G1292">
        <f>Skills!G6*IF(Skills!H6&gt;0,Skills!I6/Skills!H6,1)</f>
        <v/>
      </c>
      <c r="H1292">
        <f>1-(1-Skills!J6/100)^Skills!K6</f>
        <v/>
      </c>
      <c r="I1292" t="inlineStr">
        <is>
          <t>1</t>
        </is>
      </c>
      <c r="J1292">
        <f>((Inputs!$B$6*(1+Inputs!$B$7/100))+(((Inputs!$B$12*(1+Inputs!$B$13/100))-(Inputs!$B$12*(1+Inputs!$B$13/100)))+0.25*(Inputs!$B$14-Inputs!$B$14))*(1+Inputs!$B$7/100))*(F1292/100)</f>
        <v/>
      </c>
      <c r="K1292">
        <f>J1292*(1+((Inputs!$B$12*(1+Inputs!$B$13/100))*0.01+Inputs!$B$14*0.0025)/100)*(1+Inputs!$B$15/100)*(1+Inputs!$B$16/100)*(5000/(6000+Inputs!$B$42*(1-(100*(1-(1-(Inputs!$B$19+0)/100)*(1-CHOOSE(ArtifactsInput!$N$40+1,5,6,7,8,9,10)/100)^(ArtifactsInput!$M$40-ArtifactsInput!$M$40)))/100)))*(1+(Inputs!$B$24+((C1310=TRUE)*(F1310-Calc!F24))+((C1311=TRUE)*(F1311-Calc!F25))+B1324)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1294=TRUE,F1294,0)/100)*(1+(IF(Skills!A6="EMPOWERED_PIERCING_ARROW",Inputs!$B$17+((C1308=TRUE)*(F1308-Calc!F22))+(((IF(AND(ArtifactsInput!$M$42,((Inputs!$B$9+((C1305=TRUE)*(F1305-Calc!F19))+B1318+(ArtifactsInput!$M$24-ArtifactsInput!$M$24)*CHOOSE(ArtifactsInput!$N$24+1,10,12,14,16,18,20)+IF(ArtifactsInput!$M$10,CHOOSE(ArtifactsInput!$N$10+1,15,18,21,24,27,30)*(IF(Inputs!$B$38="pvp",MIN(15,15)/15,IF(AND(Inputs!$B$38&lt;&gt;"pvp",Inputs!$B$43&gt;0),MIN(15,Inputs!$B$43)/(Inputs!$B$43),0))),0)))&gt;=100),MIN(100,((Inputs!$B$9+((C1305=TRUE)*(F1305-Calc!F19))+B1318+(ArtifactsInput!$M$24-ArtifactsInput!$M$24)*CHOOSE(ArtifactsInput!$N$24+1,10,12,14,16,18,20)+IF(ArtifactsInput!$M$10,CHOOSE(ArtifactsInput!$N$10+1,15,18,21,24,27,30)*(IF(Inputs!$B$38="pvp",MIN(15,15)/15,IF(AND(Inputs!$B$38&lt;&gt;"pvp",Inputs!$B$43&gt;0),MIN(15,Inputs!$B$43)/(Inputs!$B$43),0))),0)))-100),0))*CHOOSE(ArtifactsInput!$N$42+1,0.6,0.72,0.84,0.96,1.08,1.2))),Inputs!$B$18+((C1313=TRUE)*(F1313-Calc!F27))+(IF(AND(ArtifactsInput!$M$42,((Inputs!$B$9+((C1305=TRUE)*(F1305-Calc!F19))+B1318+(ArtifactsInput!$M$24-ArtifactsInput!$M$24)*CHOOSE(ArtifactsInput!$N$24+1,10,12,14,16,18,20)+IF(ArtifactsInput!$M$10,CHOOSE(ArtifactsInput!$N$10+1,15,18,21,24,27,30)*(IF(Inputs!$B$38="pvp",MIN(15,15)/15,IF(AND(Inputs!$B$38&lt;&gt;"pvp",Inputs!$B$43&gt;0),MIN(15,Inputs!$B$43)/(Inputs!$B$43),0))),0)))&gt;=100),CHOOSE(ArtifactsInput!$N$42+1,40,48,56,64,72,80),0))))/100)*((1+(((C1299=TRUE)*F1299)+((C1300=TRUE)*IF(Inputs!$B$38="pvp",F1300,(1-Summary!$B$11)*(F1300)+Summary!$B$11*(0)))+((C1301=TRUE)*F1301*IF(AND(Inputs!$B$38&lt;&gt;"pvp",Inputs!$B$43&gt;0),(((R1301-1)*(Skills!T15*(1+Inputs!$B$34/100))+MIN((Skills!T15*(1+Inputs!$B$34/100)),MAX(0,Inputs!$B$43-((R1301-1)*Skills!D15))))/Inputs!$B$43),IF(Inputs!$B$38="pvp",MIN((Skills!T15*(1+Inputs!$B$34/100)),15)/15,(Skills!T15*(1+Inputs!$B$34/100))/Skills!D15)))+((C1298=TRUE)*F1298)+((C1315=TRUE)*(F1315-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1292)</f>
        <v/>
      </c>
      <c r="L1292">
        <f>K1292*(MIN(Inputs!$B$22+((C1309=TRUE)*(F1309-Calc!F23)),(Inputs!$B$23+((C1314=TRUE)*(F1314-Calc!F28))+(IF(ArtifactsInput!$M$15,CHOOSE(ArtifactsInput!$N$15+1,25,30,35,40,45,50)/100*(Inputs!$B$11-Inputs!$B$11),0))))/100+(Inputs!$B$23+((C1314=TRUE)*(F1314-Calc!F28))+(IF(ArtifactsInput!$M$15,CHOOSE(ArtifactsInput!$N$15+1,25,30,35,40,45,50)/100*(Inputs!$B$11-Inputs!$B$11),0)))/100)/2</f>
        <v/>
      </c>
      <c r="M1292">
        <f>L1292*(1+(Inputs!$B$10+0+B1323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292">
        <f>L1292*(1-MIN((Inputs!$B$9+((C1305=TRUE)*(F1305-Calc!F19))+B1318+(ArtifactsInput!$M$24-ArtifactsInput!$M$24)*CHOOSE(ArtifactsInput!$N$24+1,10,12,14,16,18,20)+(IF(AND(ArtifactsInput!$M$42,((Inputs!$B$9+((C1305=TRUE)*(F1305-Calc!F19))+B1318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1292*(MIN((Inputs!$B$9+((C1305=TRUE)*(F1305-Calc!F19))+B1318+(ArtifactsInput!$M$24-ArtifactsInput!$M$24)*CHOOSE(ArtifactsInput!$N$24+1,10,12,14,16,18,20)+(IF(AND(ArtifactsInput!$M$42,((Inputs!$B$9+((C1305=TRUE)*(F1305-Calc!F19))+B1318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292">
        <f>(1-Summary!$B$11)*T1292+Summary!$B$11*V1292</f>
        <v/>
      </c>
      <c r="P1292">
        <f>IF(B1328=0,0,O1292/B1328)</f>
        <v/>
      </c>
      <c r="Q1292">
        <f>IFERROR(1/IF(Inputs!$B$38="pvp",15,MAX(0.1,Skills!D6-IF(Skills!E6=TRUE,Inputs!$B$32,0))),0)</f>
        <v/>
      </c>
      <c r="R1292">
        <f>IF(AND(Inputs!$B$38&lt;&gt;"pvp",Inputs!$B$43&gt;0),IF(MAX(0,Inputs!$B$43-B1325)&lt;=0,0,(INT(MAX(0,Inputs!$B$43-B1325)/IF(Inputs!$B$38="pvp",15,MAX(0.1,Skills!D6-IF(Skills!E6=TRUE,Inputs!$B$32,0))))+1)),0)</f>
        <v/>
      </c>
      <c r="S1292">
        <f>IFERROR((H1292*N1292*IF(AND(Inputs!$B$38&lt;&gt;"pvp",Inputs!$B$43&gt;0),((Skills!G6*((R1292-1)*IF(Skills!H6&gt;0,Skills!I6/Skills!H6,1)+IF(Skills!H6&gt;0,MIN(Skills!I6,MAX(0,MAX(0,Inputs!$B$43-B1325)-((R1292-1)*IF(Inputs!$B$38="pvp",15,MAX(0.1,Skills!D6-IF(Skills!E6=TRUE,Inputs!$B$32,0))))))/Skills!H6,1)))/Inputs!$B$43),G1292*Q1292))/N1292*IF(Inputs!$B$38="pvp",1,(1-Summary!$B$11)*1+Summary!$B$11*(MIN(Skills!R6,Inputs!$B$37))),0)</f>
        <v/>
      </c>
      <c r="T1292">
        <f>IF(C1292,(H1292*N1292*IF(AND(Inputs!$B$38&lt;&gt;"pvp",Inputs!$B$43&gt;0),((Skills!G6*((R1292-1)*IF(Skills!H6&gt;0,Skills!I6/Skills!H6,1)+IF(Skills!H6&gt;0,MIN(Skills!I6,MAX(0,MAX(0,Inputs!$B$43-B1325)-((R1292-1)*IF(Inputs!$B$38="pvp",15,MAX(0.1,Skills!D6-IF(Skills!E6=TRUE,Inputs!$B$32,0))))))/Skills!H6,1)))/Inputs!$B$43),G1292*Q1292))*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Hunt"),CHOOSE(ArtifactsInput!$N$35+1,15,18,21,24,27,30)*(1-EXP(-(0.2*B1320)*5)),0)+IF(AND(ArtifactsInput!$M$22,Inputs!$B$4&lt;&gt;"Chapter Hunt"),CHOOSE(ArtifactsInput!$N$22+1,10,12,14,16,18,20)*((0*(((0.15*B1320*5))^0/1)+1*(((0.15*B1320*5))^1/1)+2*(((0.15*B1320*5))^2/2)+3*(((0.15*B1320*5))^3/6)+4*(((0.15*B1320*5))^4/24)+5*(((0.15*B1320*5))^5/120))/((((0.15*B1320*5))^0/1)+(((0.15*B1320*5))^1/1)+(((0.15*B1320*5))^2/2)+(((0.15*B1320*5))^3/6)+(((0.15*B1320*5))^4/24)+(((0.15*B1320*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1292*(1-MIN(100,(Inputs!$B$9+((C1305=TRUE)*(F1305-Calc!F19))+B1318+(ArtifactsInput!$M$24-ArtifactsInput!$M$24)*CHOOSE(ArtifactsInput!$N$24+1,10,12,14,16,18,20)+(IF(AND(ArtifactsInput!$M$42,((Inputs!$B$9+((C1305=TRUE)*(F1305-Calc!F19))+B1318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1292*(MIN(100,(Inputs!$B$9+((C1305=TRUE)*(F1305-Calc!F19))+B1318+(ArtifactsInput!$M$24-ArtifactsInput!$M$24)*CHOOSE(ArtifactsInput!$N$24+1,10,12,14,16,18,20)+(IF(AND(ArtifactsInput!$M$42,((Inputs!$B$9+((C1305=TRUE)*(F1305-Calc!F19))+B1318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1292*(1-MIN(100,(Inputs!$B$9+((C1305=TRUE)*(F1305-Calc!F19))+B1318+(ArtifactsInput!$M$24-ArtifactsInput!$M$24)*CHOOSE(ArtifactsInput!$N$24+1,10,12,14,16,18,20)+(IF(AND(ArtifactsInput!$M$42,((Inputs!$B$9+((C1305=TRUE)*(F1305-Calc!F19))+B1318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1292*(MIN(100,(Inputs!$B$9+((C1305=TRUE)*(F1305-Calc!F19))+B1318+(ArtifactsInput!$M$24-ArtifactsInput!$M$24)*CHOOSE(ArtifactsInput!$N$24+1,10,12,14,16,18,20)+(IF(AND(ArtifactsInput!$M$42,((Inputs!$B$9+((C1305=TRUE)*(F1305-Calc!F19))+B1318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292">
        <f>IF(C1292,(H1292*N1292*IF(AND(Inputs!$B$38&lt;&gt;"pvp",Inputs!$B$43&gt;0),((Skills!G6*((R1292-1)*IF(Skills!H6&gt;0,Skills!I6/Skills!H6,1)+IF(Skills!H6&gt;0,MIN(Skills!I6,MAX(0,MAX(0,Inputs!$B$43-B1325)-((R1292-1)*IF(Inputs!$B$38="pvp",15,MAX(0.1,Skills!D6-IF(Skills!E6=TRUE,Inputs!$B$32,0))))))/Skills!H6,1)))/Inputs!$B$43),G1292*Q1292))*IF(Inputs!$B$38="pvp",1,(1+(Inputs!$B$21+Skills!Q6+(IF(ArtifactsInput!$M$33,CHOOSE(ArtifactsInput!$N$33+1,30,36,42,48,54,60),0))+(IF(AND(ArtifactsInput!$M$35,Inputs!$B$4&lt;&gt;"Chapter Hunt"),CHOOSE(ArtifactsInput!$N$35+1,15,18,21,24,27,30)*(1-EXP(-(0.2*B1320)*5)),0)+IF(AND(ArtifactsInput!$M$22,Inputs!$B$4&lt;&gt;"Chapter Hunt"),CHOOSE(ArtifactsInput!$N$22+1,10,12,14,16,18,20)*((0*(((0.15*B1320*5))^0/1)+1*(((0.15*B1320*5))^1/1)+2*(((0.15*B1320*5))^2/2)+3*(((0.15*B1320*5))^3/6)+4*(((0.15*B1320*5))^4/24)+5*(((0.15*B1320*5))^5/120))/((((0.15*B1320*5))^0/1)+(((0.15*B1320*5))^1/1)+(((0.15*B1320*5))^2/2)+(((0.15*B1320*5))^3/6)+(((0.15*B1320*5))^4/24)+(((0.15*B1320*5))^5/120))),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293">
      <c r="A1293">
        <f>Skills!A7</f>
        <v/>
      </c>
      <c r="B1293">
        <f>Skills!B7</f>
        <v/>
      </c>
      <c r="C1293">
        <f>Inputs!$B$3&gt;=69</f>
        <v/>
      </c>
      <c r="D1293">
        <f>IF(Skills!C7=1,60+Inputs!$B$25+Inputs!$B$29,IF(Skills!C7=2,90+Inputs!$B$26+Inputs!$B$29,IF(Skills!C7=3,120+Inputs!$B$27+Inputs!$B$29,MAX(0,(Inputs!$B$3-100)*3)+Inputs!$B$28+Inputs!$B$29)))</f>
        <v/>
      </c>
      <c r="E1293">
        <f>INDEX(FactorTable!$B$2:$Y$301, MATCH(ROUND(MIN(300,MAX(1,D1293)),0), FactorTable!$A$2:$A$301,0), Skills!M7+1)</f>
        <v/>
      </c>
      <c r="F1293">
        <f>IF(Skills!N7=TRUE,(Skills!L7/10)*(E1293/1000),Skills!L7/10)+Skills!O7</f>
        <v/>
      </c>
      <c r="G1293">
        <f>Skills!G7*IF(Skills!H7&gt;0,Skills!I7/Skills!H7,1)</f>
        <v/>
      </c>
      <c r="H1293">
        <f>1-(1-Skills!J7/100)^Skills!K7</f>
        <v/>
      </c>
      <c r="I1293" t="inlineStr">
        <is>
          <t>1</t>
        </is>
      </c>
      <c r="J1293">
        <f>((Inputs!$B$6*(1+Inputs!$B$7/100))+(((Inputs!$B$12*(1+Inputs!$B$13/100))-(Inputs!$B$12*(1+Inputs!$B$13/100)))+0.25*(Inputs!$B$14-Inputs!$B$14))*(1+Inputs!$B$7/100))*(F1293/100)</f>
        <v/>
      </c>
      <c r="K1293">
        <f>J1293*(1+((Inputs!$B$12*(1+Inputs!$B$13/100))*0.01+Inputs!$B$14*0.0025)/100)*(1+Inputs!$B$15/100)*(1+Inputs!$B$16/100)*(5000/(6000+Inputs!$B$42*(1-(100*(1-(1-(Inputs!$B$19+0)/100)*(1-CHOOSE(ArtifactsInput!$N$40+1,5,6,7,8,9,10)/100)^(ArtifactsInput!$M$40-ArtifactsInput!$M$40)))/100)))*(1+(Inputs!$B$24+((C1310=TRUE)*(F1310-Calc!F24))+((C1311=TRUE)*(F1311-Calc!F25))+B1324)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+1.2*IF(C1294=TRUE,F1294,0)/100)*(1+(IF(Skills!A7="EMPOWERED_PIERCING_ARROW",Inputs!$B$17+((C1308=TRUE)*(F1308-Calc!F22))+(((IF(AND(ArtifactsInput!$M$42,((Inputs!$B$9+((C1305=TRUE)*(F1305-Calc!F19))+B1318+(ArtifactsInput!$M$24-ArtifactsInput!$M$24)*CHOOSE(ArtifactsInput!$N$24+1,10,12,14,16,18,20)+IF(ArtifactsInput!$M$10,CHOOSE(ArtifactsInput!$N$10+1,15,18,21,24,27,30)*(IF(Inputs!$B$38="pvp",MIN(15,15)/15,IF(AND(Inputs!$B$38&lt;&gt;"pvp",Inputs!$B$43&gt;0),MIN(15,Inputs!$B$43)/(Inputs!$B$43),0))),0)))&gt;=100),MIN(100,((Inputs!$B$9+((C1305=TRUE)*(F1305-Calc!F19))+B1318+(ArtifactsInput!$M$24-ArtifactsInput!$M$24)*CHOOSE(ArtifactsInput!$N$24+1,10,12,14,16,18,20)+IF(ArtifactsInput!$M$10,CHOOSE(ArtifactsInput!$N$10+1,15,18,21,24,27,30)*(IF(Inputs!$B$38="pvp",MIN(15,15)/15,IF(AND(Inputs!$B$38&lt;&gt;"pvp",Inputs!$B$43&gt;0),MIN(15,Inputs!$B$43)/(Inputs!$B$43),0))),0)))-100),0))*CHOOSE(ArtifactsInput!$N$42+1,0.6,0.72,0.84,0.96,1.08,1.2))),Inputs!$B$18+((C1313=TRUE)*(F1313-Calc!F27))+(IF(AND(ArtifactsInput!$M$42,((Inputs!$B$9+((C1305=TRUE)*(F1305-Calc!F19))+B1318+(ArtifactsInput!$M$24-ArtifactsInput!$M$24)*CHOOSE(ArtifactsInput!$N$24+1,10,12,14,16,18,20)+IF(ArtifactsInput!$M$10,CHOOSE(ArtifactsInput!$N$10+1,15,18,21,24,27,30)*(IF(Inputs!$B$38="pvp",MIN(15,15)/15,IF(AND(Inputs!$B$38&lt;&gt;"pvp",Inputs!$B$43&gt;0),MIN(15,Inputs!$B$43)/(Inputs!$B$43),0))),0)))&gt;=100),CHOOSE(ArtifactsInput!$N$42+1,40,48,56,64,72,80),0))))/100)*((1+(((C1299=TRUE)*F1299)+((C1300=TRUE)*IF(Inputs!$B$38="pvp",F1300,(1-Summary!$B$11)*(F1300)+Summary!$B$11*(0)))+((C1301=TRUE)*F1301*IF(AND(Inputs!$B$38&lt;&gt;"pvp",Inputs!$B$43&gt;0),(((R1301-1)*(Skills!T15*(1+Inputs!$B$34/100))+MIN((Skills!T15*(1+Inputs!$B$34/100)),MAX(0,Inputs!$B$43-((R1301-1)*Skills!D15))))/Inputs!$B$43),IF(Inputs!$B$38="pvp",MIN((Skills!T15*(1+Inputs!$B$34/100)),15)/15,(Skills!T15*(1+Inputs!$B$34/100))/Skills!D15)))+((C1298=TRUE)*F1298)+((C1315=TRUE)*(F1315-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1293)</f>
        <v/>
      </c>
      <c r="L1293">
        <f>K1293*(MIN(Inputs!$B$22+((C1309=TRUE)*(F1309-Calc!F23)),(Inputs!$B$23+((C1314=TRUE)*(F1314-Calc!F28))+(IF(ArtifactsInput!$M$15,CHOOSE(ArtifactsInput!$N$15+1,25,30,35,40,45,50)/100*(Inputs!$B$11-Inputs!$B$11),0))))/100+(Inputs!$B$23+((C1314=TRUE)*(F1314-Calc!F28))+(IF(ArtifactsInput!$M$15,CHOOSE(ArtifactsInput!$N$15+1,25,30,35,40,45,50)/100*(Inputs!$B$11-Inputs!$B$11),0)))/100)/2</f>
        <v/>
      </c>
      <c r="M1293">
        <f>L1293*(1+(Inputs!$B$10+0+B1323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293">
        <f>L1293*(1-MIN((Inputs!$B$9+((C1305=TRUE)*(F1305-Calc!F19))+B1318+(ArtifactsInput!$M$24-ArtifactsInput!$M$24)*CHOOSE(ArtifactsInput!$N$24+1,10,12,14,16,18,20)+(IF(AND(ArtifactsInput!$M$42,((Inputs!$B$9+((C1305=TRUE)*(F1305-Calc!F19))+B1318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1293*(MIN((Inputs!$B$9+((C1305=TRUE)*(F1305-Calc!F19))+B1318+(ArtifactsInput!$M$24-ArtifactsInput!$M$24)*CHOOSE(ArtifactsInput!$N$24+1,10,12,14,16,18,20)+(IF(AND(ArtifactsInput!$M$42,((Inputs!$B$9+((C1305=TRUE)*(F1305-Calc!F19))+B1318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293">
        <f>(1-Summary!$B$11)*T1293+Summary!$B$11*V1293</f>
        <v/>
      </c>
      <c r="P1293">
        <f>IF(B1328=0,0,O1293/B1328)</f>
        <v/>
      </c>
      <c r="Q1293">
        <f>IFERROR(1/IF(Inputs!$B$38="pvp",15,MAX(0.1,Skills!D7-IF(Skills!E7=TRUE,Inputs!$B$32,0))),0)</f>
        <v/>
      </c>
      <c r="R1293">
        <f>IF(AND(Inputs!$B$38&lt;&gt;"pvp",Inputs!$B$43&gt;0),IF(MAX(0,Inputs!$B$43-B1325)&lt;=0,0,(INT(MAX(0,Inputs!$B$43-B1325)/IF(Inputs!$B$38="pvp",15,MAX(0.1,Skills!D7-IF(Skills!E7=TRUE,Inputs!$B$32,0))))+1)),0)</f>
        <v/>
      </c>
      <c r="S1293">
        <f>IFERROR((H1293*N1293*IF(AND(Inputs!$B$38&lt;&gt;"pvp",Inputs!$B$43&gt;0),((Skills!G7*((R1293-1)*IF(Skills!H7&gt;0,Skills!I7/Skills!H7,1)+IF(Skills!H7&gt;0,MIN(Skills!I7,MAX(0,MAX(0,Inputs!$B$43-B1325)-((R1293-1)*IF(Inputs!$B$38="pvp",15,MAX(0.1,Skills!D7-IF(Skills!E7=TRUE,Inputs!$B$32,0))))))/Skills!H7,1)))/Inputs!$B$43),G1293*Q1293))/N1293*IF(Inputs!$B$38="pvp",1,(1-Summary!$B$11)*1+Summary!$B$11*(MIN(Skills!R7,Inputs!$B$37))),0)</f>
        <v/>
      </c>
      <c r="T1293">
        <f>IF(C1293,(H1293*N1293*IF(AND(Inputs!$B$38&lt;&gt;"pvp",Inputs!$B$43&gt;0),((Skills!G7*((R1293-1)*IF(Skills!H7&gt;0,Skills!I7/Skills!H7,1)+IF(Skills!H7&gt;0,MIN(Skills!I7,MAX(0,MAX(0,Inputs!$B$43-B1325)-((R1293-1)*IF(Inputs!$B$38="pvp",15,MAX(0.1,Skills!D7-IF(Skills!E7=TRUE,Inputs!$B$32,0))))))/Skills!H7,1)))/Inputs!$B$43),G1293*Q1293))*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Hunt"),CHOOSE(ArtifactsInput!$N$35+1,15,18,21,24,27,30)*(1-EXP(-(0.2*B1320)*5)),0)+IF(AND(ArtifactsInput!$M$22,Inputs!$B$4&lt;&gt;"Chapter Hunt"),CHOOSE(ArtifactsInput!$N$22+1,10,12,14,16,18,20)*((0*(((0.15*B1320*5))^0/1)+1*(((0.15*B1320*5))^1/1)+2*(((0.15*B1320*5))^2/2)+3*(((0.15*B1320*5))^3/6)+4*(((0.15*B1320*5))^4/24)+5*(((0.15*B1320*5))^5/120))/((((0.15*B1320*5))^0/1)+(((0.15*B1320*5))^1/1)+(((0.15*B1320*5))^2/2)+(((0.15*B1320*5))^3/6)+(((0.15*B1320*5))^4/24)+(((0.15*B1320*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1293*(1-MIN(100,(Inputs!$B$9+((C1305=TRUE)*(F1305-Calc!F19))+B1318+(ArtifactsInput!$M$24-ArtifactsInput!$M$24)*CHOOSE(ArtifactsInput!$N$24+1,10,12,14,16,18,20)+(IF(AND(ArtifactsInput!$M$42,((Inputs!$B$9+((C1305=TRUE)*(F1305-Calc!F19))+B1318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1293*(MIN(100,(Inputs!$B$9+((C1305=TRUE)*(F1305-Calc!F19))+B1318+(ArtifactsInput!$M$24-ArtifactsInput!$M$24)*CHOOSE(ArtifactsInput!$N$24+1,10,12,14,16,18,20)+(IF(AND(ArtifactsInput!$M$42,((Inputs!$B$9+((C1305=TRUE)*(F1305-Calc!F19))+B1318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1293*(1-MIN(100,(Inputs!$B$9+((C1305=TRUE)*(F1305-Calc!F19))+B1318+(ArtifactsInput!$M$24-ArtifactsInput!$M$24)*CHOOSE(ArtifactsInput!$N$24+1,10,12,14,16,18,20)+(IF(AND(ArtifactsInput!$M$42,((Inputs!$B$9+((C1305=TRUE)*(F1305-Calc!F19))+B1318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1293*(MIN(100,(Inputs!$B$9+((C1305=TRUE)*(F1305-Calc!F19))+B1318+(ArtifactsInput!$M$24-ArtifactsInput!$M$24)*CHOOSE(ArtifactsInput!$N$24+1,10,12,14,16,18,20)+(IF(AND(ArtifactsInput!$M$42,((Inputs!$B$9+((C1305=TRUE)*(F1305-Calc!F19))+B1318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293">
        <f>IF(C1293,(H1293*N1293*IF(AND(Inputs!$B$38&lt;&gt;"pvp",Inputs!$B$43&gt;0),((Skills!G7*((R1293-1)*IF(Skills!H7&gt;0,Skills!I7/Skills!H7,1)+IF(Skills!H7&gt;0,MIN(Skills!I7,MAX(0,MAX(0,Inputs!$B$43-B1325)-((R1293-1)*IF(Inputs!$B$38="pvp",15,MAX(0.1,Skills!D7-IF(Skills!E7=TRUE,Inputs!$B$32,0))))))/Skills!H7,1)))/Inputs!$B$43),G1293*Q1293))*IF(Inputs!$B$38="pvp",1,(1+(Inputs!$B$21+Skills!Q7+(IF(ArtifactsInput!$M$33,CHOOSE(ArtifactsInput!$N$33+1,30,36,42,48,54,60),0))+(IF(AND(ArtifactsInput!$M$35,Inputs!$B$4&lt;&gt;"Chapter Hunt"),CHOOSE(ArtifactsInput!$N$35+1,15,18,21,24,27,30)*(1-EXP(-(0.2*B1320)*5)),0)+IF(AND(ArtifactsInput!$M$22,Inputs!$B$4&lt;&gt;"Chapter Hunt"),CHOOSE(ArtifactsInput!$N$22+1,10,12,14,16,18,20)*((0*(((0.15*B1320*5))^0/1)+1*(((0.15*B1320*5))^1/1)+2*(((0.15*B1320*5))^2/2)+3*(((0.15*B1320*5))^3/6)+4*(((0.15*B1320*5))^4/24)+5*(((0.15*B1320*5))^5/120))/((((0.15*B1320*5))^0/1)+(((0.15*B1320*5))^1/1)+(((0.15*B1320*5))^2/2)+(((0.15*B1320*5))^3/6)+(((0.15*B1320*5))^4/24)+(((0.15*B1320*5))^5/120))),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294">
      <c r="A1294">
        <f>Skills!A8</f>
        <v/>
      </c>
      <c r="B1294">
        <f>Skills!B8</f>
        <v/>
      </c>
      <c r="C1294">
        <f>Inputs!$B$3&gt;=100</f>
        <v/>
      </c>
      <c r="D1294">
        <f>IF(Skills!C8=1,60+Inputs!$B$25+Inputs!$B$29,IF(Skills!C8=2,90+Inputs!$B$26+Inputs!$B$29,IF(Skills!C8=3,120+Inputs!$B$27+Inputs!$B$29,MAX(0,(Inputs!$B$3-100)*3)+Inputs!$B$28+Inputs!$B$29)))</f>
        <v/>
      </c>
      <c r="E1294">
        <f>INDEX(FactorTable!$B$2:$Y$301, MATCH(ROUND(MIN(300,MAX(1,D1294)),0), FactorTable!$A$2:$A$301,0), Skills!M8+1)</f>
        <v/>
      </c>
      <c r="F1294">
        <f>IF(Skills!N8=TRUE,(Skills!L8/10)*(E1294/1000),Skills!L8/10)+Skills!O8</f>
        <v/>
      </c>
      <c r="G1294" t="inlineStr"/>
      <c r="H1294" t="inlineStr"/>
      <c r="I1294" t="inlineStr">
        <is>
          <t>1</t>
        </is>
      </c>
      <c r="J1294" t="inlineStr"/>
      <c r="K1294" t="inlineStr"/>
      <c r="L1294" t="inlineStr"/>
      <c r="M1294" t="inlineStr"/>
      <c r="N1294" t="inlineStr"/>
      <c r="O1294" t="inlineStr"/>
      <c r="P1294" t="inlineStr"/>
      <c r="Q1294" t="inlineStr"/>
      <c r="R1294" t="inlineStr"/>
      <c r="S1294" t="inlineStr"/>
      <c r="T1294" t="inlineStr"/>
      <c r="V1294" t="inlineStr"/>
    </row>
    <row r="1295">
      <c r="A1295">
        <f>Skills!A9</f>
        <v/>
      </c>
      <c r="B1295">
        <f>Skills!B9</f>
        <v/>
      </c>
      <c r="C1295">
        <f>Inputs!$B$3&gt;=103</f>
        <v/>
      </c>
      <c r="D1295">
        <f>IF(Skills!C9=1,60+Inputs!$B$25+Inputs!$B$29,IF(Skills!C9=2,90+Inputs!$B$26+Inputs!$B$29,IF(Skills!C9=3,120+Inputs!$B$27+Inputs!$B$29,MAX(0,(Inputs!$B$3-100)*3)+Inputs!$B$28+Inputs!$B$29)))</f>
        <v/>
      </c>
      <c r="E1295">
        <f>INDEX(FactorTable!$B$2:$Y$301, MATCH(ROUND(MIN(300,MAX(1,D1295)),0), FactorTable!$A$2:$A$301,0), Skills!M9+1)</f>
        <v/>
      </c>
      <c r="F1295">
        <f>IF(Skills!N9=TRUE,(Skills!L9/10)*(E1295/1000),Skills!L9/10)+Skills!O9</f>
        <v/>
      </c>
      <c r="G1295">
        <f>Skills!G9*IF(Skills!H9&gt;0,Skills!I9/Skills!H9,1)</f>
        <v/>
      </c>
      <c r="H1295">
        <f>1-(1-Skills!J9/100)^Skills!K9</f>
        <v/>
      </c>
      <c r="I1295" t="inlineStr">
        <is>
          <t>1</t>
        </is>
      </c>
      <c r="J1295">
        <f>((Inputs!$B$6*(1+Inputs!$B$7/100))+(((Inputs!$B$12*(1+Inputs!$B$13/100))-(Inputs!$B$12*(1+Inputs!$B$13/100)))+0.25*(Inputs!$B$14-Inputs!$B$14))*(1+Inputs!$B$7/100))*(F1295/100)</f>
        <v/>
      </c>
      <c r="K1295">
        <f>J1295*(1+((Inputs!$B$12*(1+Inputs!$B$13/100))*0.01+Inputs!$B$14*0.0025)/100)*(1+Inputs!$B$15/100)*(1+Inputs!$B$16/100)*(5000/(6000+Inputs!$B$42*(1-(100*(1-(1-(Inputs!$B$19+0)/100)*(1-CHOOSE(ArtifactsInput!$N$40+1,5,6,7,8,9,10)/100)^(ArtifactsInput!$M$40-ArtifactsInput!$M$40)))/100)))*(1+(Inputs!$B$24+((C1310=TRUE)*(F1310-Calc!F24))+((C1311=TRUE)*(F1311-Calc!F25))+B1324)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EMPOWERED_PIERCING_ARROW",Inputs!$B$17+((C1308=TRUE)*(F1308-Calc!F22))+(((IF(AND(ArtifactsInput!$M$42,((Inputs!$B$9+((C1305=TRUE)*(F1305-Calc!F19))+B1318+(ArtifactsInput!$M$24-ArtifactsInput!$M$24)*CHOOSE(ArtifactsInput!$N$24+1,10,12,14,16,18,20)+IF(ArtifactsInput!$M$10,CHOOSE(ArtifactsInput!$N$10+1,15,18,21,24,27,30)*(IF(Inputs!$B$38="pvp",MIN(15,15)/15,IF(AND(Inputs!$B$38&lt;&gt;"pvp",Inputs!$B$43&gt;0),MIN(15,Inputs!$B$43)/(Inputs!$B$43),0))),0)))&gt;=100),MIN(100,((Inputs!$B$9+((C1305=TRUE)*(F1305-Calc!F19))+B1318+(ArtifactsInput!$M$24-ArtifactsInput!$M$24)*CHOOSE(ArtifactsInput!$N$24+1,10,12,14,16,18,20)+IF(ArtifactsInput!$M$10,CHOOSE(ArtifactsInput!$N$10+1,15,18,21,24,27,30)*(IF(Inputs!$B$38="pvp",MIN(15,15)/15,IF(AND(Inputs!$B$38&lt;&gt;"pvp",Inputs!$B$43&gt;0),MIN(15,Inputs!$B$43)/(Inputs!$B$43),0))),0)))-100),0))*CHOOSE(ArtifactsInput!$N$42+1,0.6,0.72,0.84,0.96,1.08,1.2))),Inputs!$B$18+((C1313=TRUE)*(F1313-Calc!F27))+(IF(AND(ArtifactsInput!$M$42,((Inputs!$B$9+((C1305=TRUE)*(F1305-Calc!F19))+B1318+(ArtifactsInput!$M$24-ArtifactsInput!$M$24)*CHOOSE(ArtifactsInput!$N$24+1,10,12,14,16,18,20)+IF(ArtifactsInput!$M$10,CHOOSE(ArtifactsInput!$N$10+1,15,18,21,24,27,30)*(IF(Inputs!$B$38="pvp",MIN(15,15)/15,IF(AND(Inputs!$B$38&lt;&gt;"pvp",Inputs!$B$43&gt;0),MIN(15,Inputs!$B$43)/(Inputs!$B$43),0))),0)))&gt;=100),CHOOSE(ArtifactsInput!$N$42+1,40,48,56,64,72,80),0))))/100)*((1+(((C1299=TRUE)*F1299)+((C1300=TRUE)*IF(Inputs!$B$38="pvp",F1300,(1-Summary!$B$11)*(F1300)+Summary!$B$11*(0)))+((C1301=TRUE)*F1301*IF(AND(Inputs!$B$38&lt;&gt;"pvp",Inputs!$B$43&gt;0),(((R1301-1)*(Skills!T15*(1+Inputs!$B$34/100))+MIN((Skills!T15*(1+Inputs!$B$34/100)),MAX(0,Inputs!$B$43-((R1301-1)*Skills!D15))))/Inputs!$B$43),IF(Inputs!$B$38="pvp",MIN((Skills!T15*(1+Inputs!$B$34/100)),15)/15,(Skills!T15*(1+Inputs!$B$34/100))/Skills!D15)))+((C1298=TRUE)*F1298)+((C1315=TRUE)*(F1315-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1295)</f>
        <v/>
      </c>
      <c r="L1295">
        <f>K1295*(MIN(Inputs!$B$22+((C1309=TRUE)*(F1309-Calc!F23)),(Inputs!$B$23+((C1314=TRUE)*(F1314-Calc!F28))+(IF(ArtifactsInput!$M$15,CHOOSE(ArtifactsInput!$N$15+1,25,30,35,40,45,50)/100*(Inputs!$B$11-Inputs!$B$11),0))))/100+(Inputs!$B$23+((C1314=TRUE)*(F1314-Calc!F28))+(IF(ArtifactsInput!$M$15,CHOOSE(ArtifactsInput!$N$15+1,25,30,35,40,45,50)/100*(Inputs!$B$11-Inputs!$B$11),0)))/100)/2</f>
        <v/>
      </c>
      <c r="M1295">
        <f>L1295*(1+(Inputs!$B$10+0+B1323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295">
        <f>L1295*(1-MIN((Inputs!$B$9+((C1305=TRUE)*(F1305-Calc!F19))+B1318+(ArtifactsInput!$M$24-ArtifactsInput!$M$24)*CHOOSE(ArtifactsInput!$N$24+1,10,12,14,16,18,20)+(IF(AND(ArtifactsInput!$M$42,((Inputs!$B$9+((C1305=TRUE)*(F1305-Calc!F19))+B1318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1295*(MIN((Inputs!$B$9+((C1305=TRUE)*(F1305-Calc!F19))+B1318+(ArtifactsInput!$M$24-ArtifactsInput!$M$24)*CHOOSE(ArtifactsInput!$N$24+1,10,12,14,16,18,20)+(IF(AND(ArtifactsInput!$M$42,((Inputs!$B$9+((C1305=TRUE)*(F1305-Calc!F19))+B1318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295">
        <f>(1-Summary!$B$11)*T1295+Summary!$B$11*V1295</f>
        <v/>
      </c>
      <c r="P1295">
        <f>IF(B1328=0,0,O1295/B1328)</f>
        <v/>
      </c>
      <c r="Q1295">
        <f>IFERROR(1/IF(Inputs!$B$38="pvp",15,MAX(0.1,Skills!D9-IF(Skills!E9=TRUE,Inputs!$B$32,0))),0)</f>
        <v/>
      </c>
      <c r="R1295">
        <f>IF(AND(Inputs!$B$38&lt;&gt;"pvp",Inputs!$B$43&gt;0),IF(MAX(0,Inputs!$B$43-B1325)&lt;=0,0,(INT(MAX(0,Inputs!$B$43-B1325)/IF(Inputs!$B$38="pvp",15,MAX(0.1,Skills!D9-IF(Skills!E9=TRUE,Inputs!$B$32,0))))+1)),0)</f>
        <v/>
      </c>
      <c r="S1295">
        <f>IFERROR((H1295*N1295*IF(AND(Inputs!$B$38&lt;&gt;"pvp",Inputs!$B$43&gt;0),((Skills!G9*((R1295-1)*IF(Skills!H9&gt;0,Skills!I9/Skills!H9,1)+IF(Skills!H9&gt;0,MIN(Skills!I9,MAX(0,MAX(0,Inputs!$B$43-B1325)-((R1295-1)*IF(Inputs!$B$38="pvp",15,MAX(0.1,Skills!D9-IF(Skills!E9=TRUE,Inputs!$B$32,0))))))/Skills!H9,1)))/Inputs!$B$43),G1295*Q1295))/N1295*IF(Inputs!$B$38="pvp",1,(1-Summary!$B$11)*1+Summary!$B$11*(MIN(Skills!R9,Inputs!$B$37))),0)</f>
        <v/>
      </c>
      <c r="T1295">
        <f>IF(C1295,(H1295*N1295*IF(AND(Inputs!$B$38&lt;&gt;"pvp",Inputs!$B$43&gt;0),((Skills!G9*((R1295-1)*IF(Skills!H9&gt;0,Skills!I9/Skills!H9,1)+IF(Skills!H9&gt;0,MIN(Skills!I9,MAX(0,MAX(0,Inputs!$B$43-B1325)-((R1295-1)*IF(Inputs!$B$38="pvp",15,MAX(0.1,Skills!D9-IF(Skills!E9=TRUE,Inputs!$B$32,0))))))/Skills!H9,1)))/Inputs!$B$43),G1295*Q1295))*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Hunt"),CHOOSE(ArtifactsInput!$N$35+1,15,18,21,24,27,30)*(1-EXP(-(0.2*B1320)*5)),0)+IF(AND(ArtifactsInput!$M$22,Inputs!$B$4&lt;&gt;"Chapter Hunt"),CHOOSE(ArtifactsInput!$N$22+1,10,12,14,16,18,20)*((0*(((0.15*B1320*5))^0/1)+1*(((0.15*B1320*5))^1/1)+2*(((0.15*B1320*5))^2/2)+3*(((0.15*B1320*5))^3/6)+4*(((0.15*B1320*5))^4/24)+5*(((0.15*B1320*5))^5/120))/((((0.15*B1320*5))^0/1)+(((0.15*B1320*5))^1/1)+(((0.15*B1320*5))^2/2)+(((0.15*B1320*5))^3/6)+(((0.15*B1320*5))^4/24)+(((0.15*B1320*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1295*(1-MIN(100,(Inputs!$B$9+((C1305=TRUE)*(F1305-Calc!F19))+B1318+(ArtifactsInput!$M$24-ArtifactsInput!$M$24)*CHOOSE(ArtifactsInput!$N$24+1,10,12,14,16,18,20)+(IF(AND(ArtifactsInput!$M$42,((Inputs!$B$9+((C1305=TRUE)*(F1305-Calc!F19))+B1318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1295*(MIN(100,(Inputs!$B$9+((C1305=TRUE)*(F1305-Calc!F19))+B1318+(ArtifactsInput!$M$24-ArtifactsInput!$M$24)*CHOOSE(ArtifactsInput!$N$24+1,10,12,14,16,18,20)+(IF(AND(ArtifactsInput!$M$42,((Inputs!$B$9+((C1305=TRUE)*(F1305-Calc!F19))+B1318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1295*(1-MIN(100,(Inputs!$B$9+((C1305=TRUE)*(F1305-Calc!F19))+B1318+(ArtifactsInput!$M$24-ArtifactsInput!$M$24)*CHOOSE(ArtifactsInput!$N$24+1,10,12,14,16,18,20)+(IF(AND(ArtifactsInput!$M$42,((Inputs!$B$9+((C1305=TRUE)*(F1305-Calc!F19))+B1318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1295*(MIN(100,(Inputs!$B$9+((C1305=TRUE)*(F1305-Calc!F19))+B1318+(ArtifactsInput!$M$24-ArtifactsInput!$M$24)*CHOOSE(ArtifactsInput!$N$24+1,10,12,14,16,18,20)+(IF(AND(ArtifactsInput!$M$42,((Inputs!$B$9+((C1305=TRUE)*(F1305-Calc!F19))+B1318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295">
        <f>IF(C1295,(H1295*N1295*IF(AND(Inputs!$B$38&lt;&gt;"pvp",Inputs!$B$43&gt;0),((Skills!G9*((R1295-1)*IF(Skills!H9&gt;0,Skills!I9/Skills!H9,1)+IF(Skills!H9&gt;0,MIN(Skills!I9,MAX(0,MAX(0,Inputs!$B$43-B1325)-((R1295-1)*IF(Inputs!$B$38="pvp",15,MAX(0.1,Skills!D9-IF(Skills!E9=TRUE,Inputs!$B$32,0))))))/Skills!H9,1)))/Inputs!$B$43),G1295*Q1295))*IF(Inputs!$B$38="pvp",1,(1+(Inputs!$B$21+Skills!Q9+(IF(ArtifactsInput!$M$33,CHOOSE(ArtifactsInput!$N$33+1,30,36,42,48,54,60),0))+(IF(AND(ArtifactsInput!$M$35,Inputs!$B$4&lt;&gt;"Chapter Hunt"),CHOOSE(ArtifactsInput!$N$35+1,15,18,21,24,27,30)*(1-EXP(-(0.2*B1320)*5)),0)+IF(AND(ArtifactsInput!$M$22,Inputs!$B$4&lt;&gt;"Chapter Hunt"),CHOOSE(ArtifactsInput!$N$22+1,10,12,14,16,18,20)*((0*(((0.15*B1320*5))^0/1)+1*(((0.15*B1320*5))^1/1)+2*(((0.15*B1320*5))^2/2)+3*(((0.15*B1320*5))^3/6)+4*(((0.15*B1320*5))^4/24)+5*(((0.15*B1320*5))^5/120))/((((0.15*B1320*5))^0/1)+(((0.15*B1320*5))^1/1)+(((0.15*B1320*5))^2/2)+(((0.15*B1320*5))^3/6)+(((0.15*B1320*5))^4/24)+(((0.15*B1320*5))^5/120)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296">
      <c r="A1296">
        <f>Skills!A10</f>
        <v/>
      </c>
      <c r="B1296">
        <f>Skills!B10</f>
        <v/>
      </c>
      <c r="C1296">
        <f>Inputs!$B$3&gt;=107</f>
        <v/>
      </c>
      <c r="D1296">
        <f>IF(Skills!C10=1,60+Inputs!$B$25+Inputs!$B$29,IF(Skills!C10=2,90+Inputs!$B$26+Inputs!$B$29,IF(Skills!C10=3,120+Inputs!$B$27+Inputs!$B$29,MAX(0,(Inputs!$B$3-100)*3)+Inputs!$B$28+Inputs!$B$29)))</f>
        <v/>
      </c>
      <c r="E1296">
        <f>INDEX(FactorTable!$B$2:$Y$301, MATCH(ROUND(MIN(300,MAX(1,D1296)),0), FactorTable!$A$2:$A$301,0), Skills!M10+1)</f>
        <v/>
      </c>
      <c r="F1296">
        <f>IF(Skills!N10=TRUE,(Skills!L10/10)*(E1296/1000),Skills!L10/10)+Skills!O10</f>
        <v/>
      </c>
      <c r="G1296">
        <f>Skills!G10*IF(Skills!H10&gt;0,Skills!I10/Skills!H10,1)</f>
        <v/>
      </c>
      <c r="H1296">
        <f>1-(1-Skills!J10/100)^Skills!K10</f>
        <v/>
      </c>
      <c r="I1296" t="inlineStr">
        <is>
          <t>1</t>
        </is>
      </c>
      <c r="J1296">
        <f>((Inputs!$B$6*(1+Inputs!$B$7/100))+(((Inputs!$B$12*(1+Inputs!$B$13/100))-(Inputs!$B$12*(1+Inputs!$B$13/100)))+0.25*(Inputs!$B$14-Inputs!$B$14))*(1+Inputs!$B$7/100))*(F1296/100)</f>
        <v/>
      </c>
      <c r="K1296">
        <f>J1296*(1+((Inputs!$B$12*(1+Inputs!$B$13/100))*0.01+Inputs!$B$14*0.0025)/100)*(1+Inputs!$B$15/100)*(1+Inputs!$B$16/100)*(5000/(6000+Inputs!$B$42*(1-(100*(1-(1-(Inputs!$B$19+0)/100)*(1-CHOOSE(ArtifactsInput!$N$40+1,5,6,7,8,9,10)/100)^(ArtifactsInput!$M$40-ArtifactsInput!$M$40)))/100)))*(1+(Inputs!$B$24+((C1310=TRUE)*(F1310-Calc!F24))+((C1311=TRUE)*(F1311-Calc!F25))+B1324)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EMPOWERED_PIERCING_ARROW",Inputs!$B$17+((C1308=TRUE)*(F1308-Calc!F22))+(((IF(AND(ArtifactsInput!$M$42,((Inputs!$B$9+((C1305=TRUE)*(F1305-Calc!F19))+B1318+(ArtifactsInput!$M$24-ArtifactsInput!$M$24)*CHOOSE(ArtifactsInput!$N$24+1,10,12,14,16,18,20)+IF(ArtifactsInput!$M$10,CHOOSE(ArtifactsInput!$N$10+1,15,18,21,24,27,30)*(IF(Inputs!$B$38="pvp",MIN(15,15)/15,IF(AND(Inputs!$B$38&lt;&gt;"pvp",Inputs!$B$43&gt;0),MIN(15,Inputs!$B$43)/(Inputs!$B$43),0))),0)))&gt;=100),MIN(100,((Inputs!$B$9+((C1305=TRUE)*(F1305-Calc!F19))+B1318+(ArtifactsInput!$M$24-ArtifactsInput!$M$24)*CHOOSE(ArtifactsInput!$N$24+1,10,12,14,16,18,20)+IF(ArtifactsInput!$M$10,CHOOSE(ArtifactsInput!$N$10+1,15,18,21,24,27,30)*(IF(Inputs!$B$38="pvp",MIN(15,15)/15,IF(AND(Inputs!$B$38&lt;&gt;"pvp",Inputs!$B$43&gt;0),MIN(15,Inputs!$B$43)/(Inputs!$B$43),0))),0)))-100),0))*CHOOSE(ArtifactsInput!$N$42+1,0.6,0.72,0.84,0.96,1.08,1.2))),Inputs!$B$18+((C1313=TRUE)*(F1313-Calc!F27))+(IF(AND(ArtifactsInput!$M$42,((Inputs!$B$9+((C1305=TRUE)*(F1305-Calc!F19))+B1318+(ArtifactsInput!$M$24-ArtifactsInput!$M$24)*CHOOSE(ArtifactsInput!$N$24+1,10,12,14,16,18,20)+IF(ArtifactsInput!$M$10,CHOOSE(ArtifactsInput!$N$10+1,15,18,21,24,27,30)*(IF(Inputs!$B$38="pvp",MIN(15,15)/15,IF(AND(Inputs!$B$38&lt;&gt;"pvp",Inputs!$B$43&gt;0),MIN(15,Inputs!$B$43)/(Inputs!$B$43),0))),0)))&gt;=100),CHOOSE(ArtifactsInput!$N$42+1,40,48,56,64,72,80),0))))/100)*((1+(((C1299=TRUE)*F1299)+((C1300=TRUE)*IF(Inputs!$B$38="pvp",F1300,(1-Summary!$B$11)*(F1300)+Summary!$B$11*(0)))+((C1301=TRUE)*F1301*IF(AND(Inputs!$B$38&lt;&gt;"pvp",Inputs!$B$43&gt;0),(((R1301-1)*(Skills!T15*(1+Inputs!$B$34/100))+MIN((Skills!T15*(1+Inputs!$B$34/100)),MAX(0,Inputs!$B$43-((R1301-1)*Skills!D15))))/Inputs!$B$43),IF(Inputs!$B$38="pvp",MIN((Skills!T15*(1+Inputs!$B$34/100)),15)/15,(Skills!T15*(1+Inputs!$B$34/100))/Skills!D15)))+((C1298=TRUE)*F1298)+((C1315=TRUE)*(F1315-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1296)</f>
        <v/>
      </c>
      <c r="L1296">
        <f>K1296*(MIN(Inputs!$B$22+((C1309=TRUE)*(F1309-Calc!F23)),(Inputs!$B$23+((C1314=TRUE)*(F1314-Calc!F28))+(IF(ArtifactsInput!$M$15,CHOOSE(ArtifactsInput!$N$15+1,25,30,35,40,45,50)/100*(Inputs!$B$11-Inputs!$B$11),0))))/100+(Inputs!$B$23+((C1314=TRUE)*(F1314-Calc!F28))+(IF(ArtifactsInput!$M$15,CHOOSE(ArtifactsInput!$N$15+1,25,30,35,40,45,50)/100*(Inputs!$B$11-Inputs!$B$11),0)))/100)/2</f>
        <v/>
      </c>
      <c r="M1296">
        <f>L1296*(1+(Inputs!$B$10+0+B1323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296">
        <f>L1296*(1-MIN((Inputs!$B$9+((C1305=TRUE)*(F1305-Calc!F19))+B1318+(ArtifactsInput!$M$24-ArtifactsInput!$M$24)*CHOOSE(ArtifactsInput!$N$24+1,10,12,14,16,18,20)+(IF(AND(ArtifactsInput!$M$42,((Inputs!$B$9+((C1305=TRUE)*(F1305-Calc!F19))+B1318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1296*(MIN((Inputs!$B$9+((C1305=TRUE)*(F1305-Calc!F19))+B1318+(ArtifactsInput!$M$24-ArtifactsInput!$M$24)*CHOOSE(ArtifactsInput!$N$24+1,10,12,14,16,18,20)+(IF(AND(ArtifactsInput!$M$42,((Inputs!$B$9+((C1305=TRUE)*(F1305-Calc!F19))+B1318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296">
        <f>(1-Summary!$B$11)*T1296+Summary!$B$11*V1296</f>
        <v/>
      </c>
      <c r="P1296">
        <f>IF(B1328=0,0,O1296/B1328)</f>
        <v/>
      </c>
      <c r="Q1296" t="n">
        <v>0</v>
      </c>
      <c r="R1296" t="n">
        <v>0</v>
      </c>
      <c r="S1296" t="n">
        <v>0</v>
      </c>
      <c r="T1296">
        <f>IF(C1296,(0.15*SUMPRODUCT((Skills!U2:U29=TRUE)*(C1288:C1315=TRUE)*S1288:S1315)*Skills!G10*N1296)*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Hunt"),CHOOSE(ArtifactsInput!$N$35+1,15,18,21,24,27,30)*(1-EXP(-(0.2*B1320)*5)),0)+IF(AND(ArtifactsInput!$M$22,Inputs!$B$4&lt;&gt;"Chapter Hunt"),CHOOSE(ArtifactsInput!$N$22+1,10,12,14,16,18,20)*((0*(((0.15*B1320*5))^0/1)+1*(((0.15*B1320*5))^1/1)+2*(((0.15*B1320*5))^2/2)+3*(((0.15*B1320*5))^3/6)+4*(((0.15*B1320*5))^4/24)+5*(((0.15*B1320*5))^5/120))/((((0.15*B1320*5))^0/1)+(((0.15*B1320*5))^1/1)+(((0.15*B1320*5))^2/2)+(((0.15*B1320*5))^3/6)+(((0.15*B1320*5))^4/24)+(((0.15*B1320*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1296*(1-MIN(100,(Inputs!$B$9+((C1305=TRUE)*(F1305-Calc!F19))+B1318+(ArtifactsInput!$M$24-ArtifactsInput!$M$24)*CHOOSE(ArtifactsInput!$N$24+1,10,12,14,16,18,20)+(IF(AND(ArtifactsInput!$M$42,((Inputs!$B$9+((C1305=TRUE)*(F1305-Calc!F19))+B1318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1296*(MIN(100,(Inputs!$B$9+((C1305=TRUE)*(F1305-Calc!F19))+B1318+(ArtifactsInput!$M$24-ArtifactsInput!$M$24)*CHOOSE(ArtifactsInput!$N$24+1,10,12,14,16,18,20)+(IF(AND(ArtifactsInput!$M$42,((Inputs!$B$9+((C1305=TRUE)*(F1305-Calc!F19))+B1318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1296*(1-MIN(100,(Inputs!$B$9+((C1305=TRUE)*(F1305-Calc!F19))+B1318+(ArtifactsInput!$M$24-ArtifactsInput!$M$24)*CHOOSE(ArtifactsInput!$N$24+1,10,12,14,16,18,20)+(IF(AND(ArtifactsInput!$M$42,((Inputs!$B$9+((C1305=TRUE)*(F1305-Calc!F19))+B1318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1296*(MIN(100,(Inputs!$B$9+((C1305=TRUE)*(F1305-Calc!F19))+B1318+(ArtifactsInput!$M$24-ArtifactsInput!$M$24)*CHOOSE(ArtifactsInput!$N$24+1,10,12,14,16,18,20)+(IF(AND(ArtifactsInput!$M$42,((Inputs!$B$9+((C1305=TRUE)*(F1305-Calc!F19))+B1318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296">
        <f>IF(C1296,(0.15*SUMPRODUCT((Skills!U2:U29=TRUE)*(C1288:C1315=TRUE)*S1288:S1315)*Skills!G10*N1296)*IF(Inputs!$B$38="pvp",1,(1+(Inputs!$B$21+Skills!Q10+(IF(ArtifactsInput!$M$33,CHOOSE(ArtifactsInput!$N$33+1,30,36,42,48,54,60),0))+(IF(AND(ArtifactsInput!$M$35,Inputs!$B$4&lt;&gt;"Chapter Hunt"),CHOOSE(ArtifactsInput!$N$35+1,15,18,21,24,27,30)*(1-EXP(-(0.2*B1320)*5)),0)+IF(AND(ArtifactsInput!$M$22,Inputs!$B$4&lt;&gt;"Chapter Hunt"),CHOOSE(ArtifactsInput!$N$22+1,10,12,14,16,18,20)*((0*(((0.15*B1320*5))^0/1)+1*(((0.15*B1320*5))^1/1)+2*(((0.15*B1320*5))^2/2)+3*(((0.15*B1320*5))^3/6)+4*(((0.15*B1320*5))^4/24)+5*(((0.15*B1320*5))^5/120))/((((0.15*B1320*5))^0/1)+(((0.15*B1320*5))^1/1)+(((0.15*B1320*5))^2/2)+(((0.15*B1320*5))^3/6)+(((0.15*B1320*5))^4/24)+(((0.15*B1320*5))^5/120)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297">
      <c r="A1297">
        <f>Skills!A11</f>
        <v/>
      </c>
      <c r="B1297">
        <f>Skills!B11</f>
        <v/>
      </c>
      <c r="C1297">
        <f>Inputs!$B$3&gt;=110</f>
        <v/>
      </c>
      <c r="D1297">
        <f>IF(Skills!C11=1,60+Inputs!$B$25+Inputs!$B$29,IF(Skills!C11=2,90+Inputs!$B$26+Inputs!$B$29,IF(Skills!C11=3,120+Inputs!$B$27+Inputs!$B$29,MAX(0,(Inputs!$B$3-100)*3)+Inputs!$B$28+Inputs!$B$29)))</f>
        <v/>
      </c>
      <c r="E1297">
        <f>INDEX(FactorTable!$B$2:$Y$301, MATCH(ROUND(MIN(300,MAX(1,D1297)),0), FactorTable!$A$2:$A$301,0), Skills!M11+1)</f>
        <v/>
      </c>
      <c r="F1297">
        <f>IF(Skills!N11=TRUE,(Skills!L11/10)*(E1297/1000),Skills!L11/10)+Skills!O11</f>
        <v/>
      </c>
      <c r="G1297">
        <f>Skills!G11*IF(Skills!H11&gt;0,Skills!I11/Skills!H11,1)</f>
        <v/>
      </c>
      <c r="H1297">
        <f>1-(1-Skills!J11/100)^Skills!K11</f>
        <v/>
      </c>
      <c r="I1297" t="inlineStr">
        <is>
          <t>1</t>
        </is>
      </c>
      <c r="J1297">
        <f>((Inputs!$B$6*(1+Inputs!$B$7/100))+(((Inputs!$B$12*(1+Inputs!$B$13/100))-(Inputs!$B$12*(1+Inputs!$B$13/100)))+0.25*(Inputs!$B$14-Inputs!$B$14))*(1+Inputs!$B$7/100))*(F1297/100)</f>
        <v/>
      </c>
      <c r="K1297">
        <f>J1297*(1+((Inputs!$B$12*(1+Inputs!$B$13/100))*0.01+Inputs!$B$14*0.0025)/100)*(1+Inputs!$B$15/100)*(1+Inputs!$B$16/100)*(5000/(6000+Inputs!$B$42*(1-(100*(1-(1-(Inputs!$B$19+0)/100)*(1-CHOOSE(ArtifactsInput!$N$40+1,5,6,7,8,9,10)/100)^(ArtifactsInput!$M$40-ArtifactsInput!$M$40)))/100)))*(1+(Inputs!$B$24+((C1310=TRUE)*(F1310-Calc!F24))+((C1311=TRUE)*(F1311-Calc!F25))+B1324)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11="EMPOWERED_PIERCING_ARROW",Inputs!$B$17+((C1308=TRUE)*(F1308-Calc!F22))+(((IF(AND(ArtifactsInput!$M$42,((Inputs!$B$9+((C1305=TRUE)*(F1305-Calc!F19))+B1318+(ArtifactsInput!$M$24-ArtifactsInput!$M$24)*CHOOSE(ArtifactsInput!$N$24+1,10,12,14,16,18,20)+IF(ArtifactsInput!$M$10,CHOOSE(ArtifactsInput!$N$10+1,15,18,21,24,27,30)*(IF(Inputs!$B$38="pvp",MIN(15,15)/15,IF(AND(Inputs!$B$38&lt;&gt;"pvp",Inputs!$B$43&gt;0),MIN(15,Inputs!$B$43)/(Inputs!$B$43),0))),0)))&gt;=100),MIN(100,((Inputs!$B$9+((C1305=TRUE)*(F1305-Calc!F19))+B1318+(ArtifactsInput!$M$24-ArtifactsInput!$M$24)*CHOOSE(ArtifactsInput!$N$24+1,10,12,14,16,18,20)+IF(ArtifactsInput!$M$10,CHOOSE(ArtifactsInput!$N$10+1,15,18,21,24,27,30)*(IF(Inputs!$B$38="pvp",MIN(15,15)/15,IF(AND(Inputs!$B$38&lt;&gt;"pvp",Inputs!$B$43&gt;0),MIN(15,Inputs!$B$43)/(Inputs!$B$43),0))),0)))-100),0))*CHOOSE(ArtifactsInput!$N$42+1,0.6,0.72,0.84,0.96,1.08,1.2))),Inputs!$B$18+((C1313=TRUE)*(F1313-Calc!F27))+(IF(AND(ArtifactsInput!$M$42,((Inputs!$B$9+((C1305=TRUE)*(F1305-Calc!F19))+B1318+(ArtifactsInput!$M$24-ArtifactsInput!$M$24)*CHOOSE(ArtifactsInput!$N$24+1,10,12,14,16,18,20)+IF(ArtifactsInput!$M$10,CHOOSE(ArtifactsInput!$N$10+1,15,18,21,24,27,30)*(IF(Inputs!$B$38="pvp",MIN(15,15)/15,IF(AND(Inputs!$B$38&lt;&gt;"pvp",Inputs!$B$43&gt;0),MIN(15,Inputs!$B$43)/(Inputs!$B$43),0))),0)))&gt;=100),CHOOSE(ArtifactsInput!$N$42+1,40,48,56,64,72,80),0))))/100)*((1+(((C1299=TRUE)*F1299)+((C1300=TRUE)*IF(Inputs!$B$38="pvp",F1300,(1-Summary!$B$11)*(F1300)+Summary!$B$11*(0)))+((C1301=TRUE)*F1301*IF(AND(Inputs!$B$38&lt;&gt;"pvp",Inputs!$B$43&gt;0),(((R1301-1)*(Skills!T15*(1+Inputs!$B$34/100))+MIN((Skills!T15*(1+Inputs!$B$34/100)),MAX(0,Inputs!$B$43-((R1301-1)*Skills!D15))))/Inputs!$B$43),IF(Inputs!$B$38="pvp",MIN((Skills!T15*(1+Inputs!$B$34/100)),15)/15,(Skills!T15*(1+Inputs!$B$34/100))/Skills!D15)))+((C1298=TRUE)*F1298)+((C1315=TRUE)*(F1315-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1297)</f>
        <v/>
      </c>
      <c r="L1297">
        <f>K1297*(MIN(Inputs!$B$22+((C1309=TRUE)*(F1309-Calc!F23)),(Inputs!$B$23+((C1314=TRUE)*(F1314-Calc!F28))+(IF(ArtifactsInput!$M$15,CHOOSE(ArtifactsInput!$N$15+1,25,30,35,40,45,50)/100*(Inputs!$B$11-Inputs!$B$11),0))))/100+(Inputs!$B$23+((C1314=TRUE)*(F1314-Calc!F28))+(IF(ArtifactsInput!$M$15,CHOOSE(ArtifactsInput!$N$15+1,25,30,35,40,45,50)/100*(Inputs!$B$11-Inputs!$B$11),0)))/100)/2</f>
        <v/>
      </c>
      <c r="M1297">
        <f>L1297*(1+(Inputs!$B$10+0+B1323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297">
        <f>L1297*(1-MIN((Inputs!$B$9+((C1305=TRUE)*(F1305-Calc!F19))+B1318+(ArtifactsInput!$M$24-ArtifactsInput!$M$24)*CHOOSE(ArtifactsInput!$N$24+1,10,12,14,16,18,20)+(IF(AND(ArtifactsInput!$M$42,((Inputs!$B$9+((C1305=TRUE)*(F1305-Calc!F19))+B1318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1297*(MIN((Inputs!$B$9+((C1305=TRUE)*(F1305-Calc!F19))+B1318+(ArtifactsInput!$M$24-ArtifactsInput!$M$24)*CHOOSE(ArtifactsInput!$N$24+1,10,12,14,16,18,20)+(IF(AND(ArtifactsInput!$M$42,((Inputs!$B$9+((C1305=TRUE)*(F1305-Calc!F19))+B1318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297">
        <f>(1-Summary!$B$11)*T1297+Summary!$B$11*V1297</f>
        <v/>
      </c>
      <c r="P1297">
        <f>IF(B1328=0,0,O1297/B1328)</f>
        <v/>
      </c>
      <c r="Q1297">
        <f>IFERROR(1/IF(Inputs!$B$38="pvp",15,MAX(0.1,Skills!D11-IF(Skills!E11=TRUE,Inputs!$B$32,0))),0)</f>
        <v/>
      </c>
      <c r="R1297">
        <f>IF(AND(Inputs!$B$38&lt;&gt;"pvp",Inputs!$B$43&gt;0),IF(MAX(0,Inputs!$B$43-B1325)&lt;=0,0,(INT(MAX(0,Inputs!$B$43-B1325)/IF(Inputs!$B$38="pvp",15,MAX(0.1,Skills!D11-IF(Skills!E11=TRUE,Inputs!$B$32,0))))+1)),0)</f>
        <v/>
      </c>
      <c r="S1297">
        <f>IFERROR((H1297*N1297*IF(AND(Inputs!$B$38&lt;&gt;"pvp",Inputs!$B$43&gt;0),((Skills!G11*((R1297-1)*IF(Skills!H11&gt;0,Skills!I11/Skills!H11,1)+IF(Skills!H11&gt;0,MIN(Skills!I11,MAX(0,MAX(0,Inputs!$B$43-B1325)-((R1297-1)*IF(Inputs!$B$38="pvp",15,MAX(0.1,Skills!D11-IF(Skills!E11=TRUE,Inputs!$B$32,0))))))/Skills!H11,1)))/Inputs!$B$43),G1297*Q1297))/N1297*IF(Inputs!$B$38="pvp",1,(1-Summary!$B$11)*1+Summary!$B$11*(MIN(Skills!R11,Inputs!$B$37))),0)</f>
        <v/>
      </c>
      <c r="T1297">
        <f>IF(C1297,(H1297*N1297*IF(AND(Inputs!$B$38&lt;&gt;"pvp",Inputs!$B$43&gt;0),((Skills!G11*((R1297-1)*IF(Skills!H11&gt;0,Skills!I11/Skills!H11,1)+IF(Skills!H11&gt;0,MIN(Skills!I11,MAX(0,MAX(0,Inputs!$B$43-B1325)-((R1297-1)*IF(Inputs!$B$38="pvp",15,MAX(0.1,Skills!D11-IF(Skills!E11=TRUE,Inputs!$B$32,0))))))/Skills!H11,1)))/Inputs!$B$43),G1297*Q1297))*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Hunt"),CHOOSE(ArtifactsInput!$N$35+1,15,18,21,24,27,30)*(1-EXP(-(0.2*B1320)*5)),0)+IF(AND(ArtifactsInput!$M$22,Inputs!$B$4&lt;&gt;"Chapter Hunt"),CHOOSE(ArtifactsInput!$N$22+1,10,12,14,16,18,20)*((0*(((0.15*B1320*5))^0/1)+1*(((0.15*B1320*5))^1/1)+2*(((0.15*B1320*5))^2/2)+3*(((0.15*B1320*5))^3/6)+4*(((0.15*B1320*5))^4/24)+5*(((0.15*B1320*5))^5/120))/((((0.15*B1320*5))^0/1)+(((0.15*B1320*5))^1/1)+(((0.15*B1320*5))^2/2)+(((0.15*B1320*5))^3/6)+(((0.15*B1320*5))^4/24)+(((0.15*B1320*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1297*(1-MIN(100,(Inputs!$B$9+((C1305=TRUE)*(F1305-Calc!F19))+B1318+(ArtifactsInput!$M$24-ArtifactsInput!$M$24)*CHOOSE(ArtifactsInput!$N$24+1,10,12,14,16,18,20)+(IF(AND(ArtifactsInput!$M$42,((Inputs!$B$9+((C1305=TRUE)*(F1305-Calc!F19))+B1318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1297*(MIN(100,(Inputs!$B$9+((C1305=TRUE)*(F1305-Calc!F19))+B1318+(ArtifactsInput!$M$24-ArtifactsInput!$M$24)*CHOOSE(ArtifactsInput!$N$24+1,10,12,14,16,18,20)+(IF(AND(ArtifactsInput!$M$42,((Inputs!$B$9+((C1305=TRUE)*(F1305-Calc!F19))+B1318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1297*(1-MIN(100,(Inputs!$B$9+((C1305=TRUE)*(F1305-Calc!F19))+B1318+(ArtifactsInput!$M$24-ArtifactsInput!$M$24)*CHOOSE(ArtifactsInput!$N$24+1,10,12,14,16,18,20)+(IF(AND(ArtifactsInput!$M$42,((Inputs!$B$9+((C1305=TRUE)*(F1305-Calc!F19))+B1318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1297*(MIN(100,(Inputs!$B$9+((C1305=TRUE)*(F1305-Calc!F19))+B1318+(ArtifactsInput!$M$24-ArtifactsInput!$M$24)*CHOOSE(ArtifactsInput!$N$24+1,10,12,14,16,18,20)+(IF(AND(ArtifactsInput!$M$42,((Inputs!$B$9+((C1305=TRUE)*(F1305-Calc!F19))+B1318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297">
        <f>IF(C1297,(H1297*N1297*IF(AND(Inputs!$B$38&lt;&gt;"pvp",Inputs!$B$43&gt;0),((Skills!G11*((R1297-1)*IF(Skills!H11&gt;0,Skills!I11/Skills!H11,1)+IF(Skills!H11&gt;0,MIN(Skills!I11,MAX(0,MAX(0,Inputs!$B$43-B1325)-((R1297-1)*IF(Inputs!$B$38="pvp",15,MAX(0.1,Skills!D11-IF(Skills!E11=TRUE,Inputs!$B$32,0))))))/Skills!H11,1)))/Inputs!$B$43),G1297*Q1297))*IF(Inputs!$B$38="pvp",1,(1+(Inputs!$B$21+Skills!Q11+(IF(ArtifactsInput!$M$33,CHOOSE(ArtifactsInput!$N$33+1,30,36,42,48,54,60),0))+(IF(AND(ArtifactsInput!$M$35,Inputs!$B$4&lt;&gt;"Chapter Hunt"),CHOOSE(ArtifactsInput!$N$35+1,15,18,21,24,27,30)*(1-EXP(-(0.2*B1320)*5)),0)+IF(AND(ArtifactsInput!$M$22,Inputs!$B$4&lt;&gt;"Chapter Hunt"),CHOOSE(ArtifactsInput!$N$22+1,10,12,14,16,18,20)*((0*(((0.15*B1320*5))^0/1)+1*(((0.15*B1320*5))^1/1)+2*(((0.15*B1320*5))^2/2)+3*(((0.15*B1320*5))^3/6)+4*(((0.15*B1320*5))^4/24)+5*(((0.15*B1320*5))^5/120))/((((0.15*B1320*5))^0/1)+(((0.15*B1320*5))^1/1)+(((0.15*B1320*5))^2/2)+(((0.15*B1320*5))^3/6)+(((0.15*B1320*5))^4/24)+(((0.15*B1320*5))^5/120))),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298">
      <c r="A1298">
        <f>Skills!A12</f>
        <v/>
      </c>
      <c r="B1298">
        <f>Skills!B12</f>
        <v/>
      </c>
      <c r="C1298">
        <f>Inputs!$B$3&gt;=60</f>
        <v/>
      </c>
      <c r="D1298">
        <f>IF(Skills!C12=1,60+Inputs!$B$25+Inputs!$B$29,IF(Skills!C12=2,90+Inputs!$B$26+Inputs!$B$29,IF(Skills!C12=3,120+Inputs!$B$27+Inputs!$B$29,MAX(0,(Inputs!$B$3-100)*3)+Inputs!$B$28+Inputs!$B$29)))</f>
        <v/>
      </c>
      <c r="E1298">
        <f>INDEX(FactorTable!$B$2:$Y$301, MATCH(ROUND(MIN(300,MAX(1,D1298)),0), FactorTable!$A$2:$A$301,0), Skills!M12+1)</f>
        <v/>
      </c>
      <c r="F1298">
        <f>IF(Skills!N12=TRUE,(Skills!L12/10)*(E1298/1000),Skills!L12/10)+Skills!O12</f>
        <v/>
      </c>
      <c r="G1298">
        <f>Skills!G12*IF(Skills!H12&gt;0,Skills!I12/Skills!H12,1)</f>
        <v/>
      </c>
      <c r="H1298">
        <f>1-(1-Skills!J12/100)^Skills!K12</f>
        <v/>
      </c>
      <c r="I1298" t="inlineStr">
        <is>
          <t>1</t>
        </is>
      </c>
      <c r="J1298" t="inlineStr"/>
      <c r="K1298" t="inlineStr"/>
      <c r="L1298" t="inlineStr"/>
      <c r="M1298" t="inlineStr"/>
      <c r="N1298" t="inlineStr"/>
      <c r="O1298">
        <f>(1-Summary!$B$11)*T1298+Summary!$B$11*V1298</f>
        <v/>
      </c>
      <c r="P1298">
        <f>IF(B1328=0,0,O1298/B1328)</f>
        <v/>
      </c>
      <c r="Q1298" t="n">
        <v>0</v>
      </c>
      <c r="R1298" t="n">
        <v>0</v>
      </c>
      <c r="S1298" t="n">
        <v>0</v>
      </c>
      <c r="T1298" t="n">
        <v>0</v>
      </c>
      <c r="V1298" t="n">
        <v>0</v>
      </c>
    </row>
    <row r="1299">
      <c r="A1299">
        <f>Skills!A13</f>
        <v/>
      </c>
      <c r="B1299">
        <f>Skills!B13</f>
        <v/>
      </c>
      <c r="C1299">
        <f>Inputs!$B$3&gt;=74</f>
        <v/>
      </c>
      <c r="D1299">
        <f>IF(Skills!C13=1,60+Inputs!$B$25+Inputs!$B$29,IF(Skills!C13=2,90+Inputs!$B$26+Inputs!$B$29,IF(Skills!C13=3,120+Inputs!$B$27+Inputs!$B$29,MAX(0,(Inputs!$B$3-100)*3)+Inputs!$B$28+Inputs!$B$29)))</f>
        <v/>
      </c>
      <c r="E1299">
        <f>INDEX(FactorTable!$B$2:$Y$301, MATCH(ROUND(MIN(300,MAX(1,D1299)),0), FactorTable!$A$2:$A$301,0), Skills!M13+1)</f>
        <v/>
      </c>
      <c r="F1299">
        <f>IF(Skills!N13=TRUE,(Skills!L13/10)*(E1299/1000),Skills!L13/10)+Skills!O13</f>
        <v/>
      </c>
      <c r="G1299">
        <f>Skills!G13*IF(Skills!H13&gt;0,Skills!I13/Skills!H13,1)</f>
        <v/>
      </c>
      <c r="H1299">
        <f>1-(1-Skills!J13/100)^Skills!K13</f>
        <v/>
      </c>
      <c r="I1299" t="inlineStr">
        <is>
          <t>1</t>
        </is>
      </c>
      <c r="J1299" t="inlineStr"/>
      <c r="K1299" t="inlineStr"/>
      <c r="L1299" t="inlineStr"/>
      <c r="M1299" t="inlineStr"/>
      <c r="N1299" t="inlineStr"/>
      <c r="O1299">
        <f>(1-Summary!$B$11)*T1299+Summary!$B$11*V1299</f>
        <v/>
      </c>
      <c r="P1299">
        <f>IF(B1328=0,0,O1299/B1328)</f>
        <v/>
      </c>
      <c r="Q1299" t="n">
        <v>0</v>
      </c>
      <c r="R1299" t="n">
        <v>0</v>
      </c>
      <c r="S1299" t="n">
        <v>0</v>
      </c>
      <c r="T1299" t="n">
        <v>0</v>
      </c>
      <c r="V1299" t="n">
        <v>0</v>
      </c>
    </row>
    <row r="1300">
      <c r="A1300">
        <f>Skills!A14</f>
        <v/>
      </c>
      <c r="B1300">
        <f>Skills!B14</f>
        <v/>
      </c>
      <c r="C1300">
        <f>Inputs!$B$3&gt;=74</f>
        <v/>
      </c>
      <c r="D1300">
        <f>IF(Skills!C14=1,60+Inputs!$B$25+Inputs!$B$29,IF(Skills!C14=2,90+Inputs!$B$26+Inputs!$B$29,IF(Skills!C14=3,120+Inputs!$B$27+Inputs!$B$29,MAX(0,(Inputs!$B$3-100)*3)+Inputs!$B$28+Inputs!$B$29)))</f>
        <v/>
      </c>
      <c r="E1300">
        <f>INDEX(FactorTable!$B$2:$Y$301, MATCH(ROUND(MIN(300,MAX(1,D1300)),0), FactorTable!$A$2:$A$301,0), Skills!M14+1)</f>
        <v/>
      </c>
      <c r="F1300">
        <f>IF(Skills!N14=TRUE,(Skills!L14/10)*(E1300/1000),Skills!L14/10)+Skills!O14</f>
        <v/>
      </c>
      <c r="G1300">
        <f>Skills!G14*IF(Skills!H14&gt;0,Skills!I14/Skills!H14,1)</f>
        <v/>
      </c>
      <c r="H1300">
        <f>1-(1-Skills!J14/100)^Skills!K14</f>
        <v/>
      </c>
      <c r="I1300" t="inlineStr">
        <is>
          <t>1</t>
        </is>
      </c>
      <c r="J1300" t="inlineStr"/>
      <c r="K1300" t="inlineStr"/>
      <c r="L1300" t="inlineStr"/>
      <c r="M1300" t="inlineStr"/>
      <c r="N1300" t="inlineStr"/>
      <c r="O1300">
        <f>(1-Summary!$B$11)*T1300+Summary!$B$11*V1300</f>
        <v/>
      </c>
      <c r="P1300">
        <f>IF(B1328=0,0,O1300/B1328)</f>
        <v/>
      </c>
      <c r="Q1300" t="n">
        <v>0</v>
      </c>
      <c r="R1300" t="n">
        <v>0</v>
      </c>
      <c r="S1300" t="n">
        <v>0</v>
      </c>
      <c r="T1300" t="n">
        <v>0</v>
      </c>
      <c r="V1300" t="n">
        <v>0</v>
      </c>
    </row>
    <row r="1301">
      <c r="A1301">
        <f>Skills!A15</f>
        <v/>
      </c>
      <c r="B1301">
        <f>Skills!B15</f>
        <v/>
      </c>
      <c r="C1301">
        <f>Inputs!$B$3&gt;=117</f>
        <v/>
      </c>
      <c r="D1301">
        <f>IF(Skills!C15=1,60+Inputs!$B$25+Inputs!$B$29,IF(Skills!C15=2,90+Inputs!$B$26+Inputs!$B$29,IF(Skills!C15=3,120+Inputs!$B$27+Inputs!$B$29,MAX(0,(Inputs!$B$3-100)*3)+Inputs!$B$28+Inputs!$B$29)))</f>
        <v/>
      </c>
      <c r="E1301">
        <f>INDEX(FactorTable!$B$2:$Y$301, MATCH(ROUND(MIN(300,MAX(1,D1301)),0), FactorTable!$A$2:$A$301,0), Skills!M15+1)</f>
        <v/>
      </c>
      <c r="F1301">
        <f>IF(Skills!N15=TRUE,(Skills!L15/10)*(E1301/1000),Skills!L15/10)+Skills!O15</f>
        <v/>
      </c>
      <c r="G1301">
        <f>Skills!G15*IF(Skills!H15&gt;0,Skills!I15/Skills!H15,1)</f>
        <v/>
      </c>
      <c r="H1301">
        <f>1-(1-Skills!J15/100)^Skills!K15</f>
        <v/>
      </c>
      <c r="I1301" t="inlineStr">
        <is>
          <t>1</t>
        </is>
      </c>
      <c r="J1301" t="inlineStr"/>
      <c r="K1301" t="inlineStr"/>
      <c r="L1301" t="inlineStr"/>
      <c r="M1301" t="inlineStr"/>
      <c r="N1301" t="inlineStr"/>
      <c r="O1301">
        <f>(1-Summary!$B$11)*T1301+Summary!$B$11*V1301</f>
        <v/>
      </c>
      <c r="P1301">
        <f>IF(B1328=0,0,O1301/B1328)</f>
        <v/>
      </c>
      <c r="Q1301">
        <f>IFERROR(1/IF(Inputs!$B$38="pvp",15,MAX(0.1,Skills!D15-IF(Skills!E15=TRUE,Inputs!$B$32,0))),0)</f>
        <v/>
      </c>
      <c r="R1301">
        <f>IF(AND(Inputs!$B$38&lt;&gt;"pvp",Inputs!$B$43&gt;0),IF(Inputs!$B$43&lt;=0,0,(INT(Inputs!$B$43/IF(Inputs!$B$38="pvp",15,MAX(0.1,Skills!D15-IF(Skills!E15=TRUE,Inputs!$B$32,0))))+1)),0)</f>
        <v/>
      </c>
      <c r="S1301" t="n">
        <v>0</v>
      </c>
      <c r="T1301" t="n">
        <v>0</v>
      </c>
      <c r="V1301" t="n">
        <v>0</v>
      </c>
    </row>
    <row r="1302">
      <c r="A1302">
        <f>Skills!A16</f>
        <v/>
      </c>
      <c r="B1302">
        <f>Skills!B16</f>
        <v/>
      </c>
      <c r="C1302">
        <f>Inputs!$B$3&gt;=115</f>
        <v/>
      </c>
      <c r="D1302">
        <f>IF(Skills!C16=1,60+Inputs!$B$25+Inputs!$B$29,IF(Skills!C16=2,90+Inputs!$B$26+Inputs!$B$29,IF(Skills!C16=3,120+Inputs!$B$27+Inputs!$B$29,MAX(0,(Inputs!$B$3-100)*3)+Inputs!$B$28+Inputs!$B$29)))</f>
        <v/>
      </c>
      <c r="E1302">
        <f>INDEX(FactorTable!$B$2:$Y$301, MATCH(ROUND(MIN(300,MAX(1,D1302)),0), FactorTable!$A$2:$A$301,0), Skills!M16+1)</f>
        <v/>
      </c>
      <c r="F1302">
        <f>IF(Skills!N16=TRUE,(Skills!L16/10)*(E1302/1000),Skills!L16/10)+Skills!O16</f>
        <v/>
      </c>
      <c r="G1302">
        <f>Skills!G16*IF(Skills!H16&gt;0,Skills!I16/Skills!H16,1)</f>
        <v/>
      </c>
      <c r="H1302">
        <f>1-(1-Skills!J16/100)^Skills!K16</f>
        <v/>
      </c>
      <c r="I1302" t="inlineStr">
        <is>
          <t>1</t>
        </is>
      </c>
      <c r="J1302" t="inlineStr"/>
      <c r="K1302" t="inlineStr"/>
      <c r="L1302" t="inlineStr"/>
      <c r="M1302" t="inlineStr"/>
      <c r="N1302" t="inlineStr"/>
      <c r="O1302">
        <f>(1-Summary!$B$11)*T1302+Summary!$B$11*V1302</f>
        <v/>
      </c>
      <c r="P1302">
        <f>IF(B1328=0,0,O1302/B1328)</f>
        <v/>
      </c>
      <c r="Q1302">
        <f>IFERROR(1/IF(Inputs!$B$38="pvp",15,MAX(0.1,Skills!D16-IF(Skills!E16=TRUE,Inputs!$B$32,0))),0)</f>
        <v/>
      </c>
      <c r="R1302">
        <f>IF(AND(Inputs!$B$38&lt;&gt;"pvp",Inputs!$B$43&gt;0),IF(Inputs!$B$43&lt;=0,0,(INT(Inputs!$B$43/IF(Inputs!$B$38="pvp",15,MAX(0.1,Skills!D16-IF(Skills!E16=TRUE,Inputs!$B$32,0))))+1)),0)</f>
        <v/>
      </c>
      <c r="S1302" t="n">
        <v>0</v>
      </c>
      <c r="T1302" t="n">
        <v>0</v>
      </c>
      <c r="V1302" t="n">
        <v>0</v>
      </c>
    </row>
    <row r="1303">
      <c r="A1303">
        <f>Skills!A17</f>
        <v/>
      </c>
      <c r="B1303">
        <f>Skills!B17</f>
        <v/>
      </c>
      <c r="C1303">
        <f>Inputs!$B$3&gt;=72</f>
        <v/>
      </c>
      <c r="D1303">
        <f>IF(Skills!C17=1,60+Inputs!$B$25+Inputs!$B$29,IF(Skills!C17=2,90+Inputs!$B$26+Inputs!$B$29,IF(Skills!C17=3,120+Inputs!$B$27+Inputs!$B$29,MAX(0,(Inputs!$B$3-100)*3)+Inputs!$B$28+Inputs!$B$29)))</f>
        <v/>
      </c>
      <c r="E1303">
        <f>INDEX(FactorTable!$B$2:$Y$301, MATCH(ROUND(MIN(300,MAX(1,D1303)),0), FactorTable!$A$2:$A$301,0), Skills!M17+1)</f>
        <v/>
      </c>
      <c r="F1303">
        <f>IF(Skills!N17=TRUE,(Skills!L17/10)*(E1303/1000),Skills!L17/10)+Skills!O17</f>
        <v/>
      </c>
      <c r="G1303">
        <f>Skills!G17*IF(Skills!H17&gt;0,Skills!I17/Skills!H17,1)</f>
        <v/>
      </c>
      <c r="H1303">
        <f>1-(1-Skills!J17/100)^Skills!K17</f>
        <v/>
      </c>
      <c r="I1303" t="inlineStr">
        <is>
          <t>1</t>
        </is>
      </c>
      <c r="J1303" t="inlineStr"/>
      <c r="K1303" t="inlineStr"/>
      <c r="L1303" t="inlineStr"/>
      <c r="M1303" t="inlineStr"/>
      <c r="N1303" t="inlineStr"/>
      <c r="O1303">
        <f>(1-Summary!$B$11)*T1303+Summary!$B$11*V1303</f>
        <v/>
      </c>
      <c r="P1303">
        <f>IF(B1328=0,0,O1303/B1328)</f>
        <v/>
      </c>
      <c r="Q1303" t="n">
        <v>0</v>
      </c>
      <c r="R1303" t="n">
        <v>0</v>
      </c>
      <c r="S1303" t="n">
        <v>0</v>
      </c>
      <c r="T1303" t="n">
        <v>0</v>
      </c>
      <c r="V1303" t="n">
        <v>0</v>
      </c>
    </row>
    <row r="1304">
      <c r="A1304">
        <f>Skills!A18</f>
        <v/>
      </c>
      <c r="B1304">
        <f>Skills!B18</f>
        <v/>
      </c>
      <c r="C1304">
        <f>TRUE</f>
        <v/>
      </c>
      <c r="D1304">
        <f>IF(Skills!C18=1,60+Inputs!$B$25+Inputs!$B$29,IF(Skills!C18=2,90+Inputs!$B$26+Inputs!$B$29,IF(Skills!C18=3,120+Inputs!$B$27+Inputs!$B$29,MAX(0,(Inputs!$B$3-100)*3)+Inputs!$B$28+Inputs!$B$29)))</f>
        <v/>
      </c>
      <c r="E1304">
        <f>INDEX(FactorTable!$B$2:$Y$301, MATCH(ROUND(MIN(300,MAX(1,D1304)),0), FactorTable!$A$2:$A$301,0), Skills!M18+1)</f>
        <v/>
      </c>
      <c r="F1304">
        <f>IF(Skills!N18=TRUE,(Skills!L18/10)*(E1304/1000),Skills!L18/10)+Skills!O18</f>
        <v/>
      </c>
      <c r="G1304">
        <f>Skills!G18*IF(Skills!H18&gt;0,Skills!I18/Skills!H18,1)</f>
        <v/>
      </c>
      <c r="H1304">
        <f>1-(1-Skills!J18/100)^Skills!K18</f>
        <v/>
      </c>
      <c r="I1304" t="inlineStr">
        <is>
          <t>1</t>
        </is>
      </c>
      <c r="J1304" t="inlineStr"/>
      <c r="K1304" t="inlineStr"/>
      <c r="L1304" t="inlineStr"/>
      <c r="M1304" t="inlineStr"/>
      <c r="N1304" t="inlineStr"/>
      <c r="O1304">
        <f>(1-Summary!$B$11)*T1304+Summary!$B$11*V1304</f>
        <v/>
      </c>
      <c r="P1304">
        <f>IF(B1328=0,0,O1304/B1328)</f>
        <v/>
      </c>
      <c r="Q1304">
        <f>IFERROR(1/IF(Inputs!$B$38="pvp",15,MAX(0.1,Skills!D18-IF(Skills!E18=TRUE,Inputs!$B$32,0))),0)</f>
        <v/>
      </c>
      <c r="R1304">
        <f>IF(AND(Inputs!$B$38&lt;&gt;"pvp",Inputs!$B$43&gt;0),IF(Inputs!$B$43&lt;=0,0,(INT(Inputs!$B$43/IF(Inputs!$B$38="pvp",15,MAX(0.1,Skills!D18-IF(Skills!E18=TRUE,Inputs!$B$32,0))))+1)),0)</f>
        <v/>
      </c>
      <c r="S1304" t="n">
        <v>0</v>
      </c>
      <c r="T1304" t="n">
        <v>0</v>
      </c>
      <c r="V1304" t="n">
        <v>0</v>
      </c>
    </row>
    <row r="1305">
      <c r="A1305">
        <f>Skills!A19</f>
        <v/>
      </c>
      <c r="B1305">
        <f>Skills!B19</f>
        <v/>
      </c>
      <c r="C1305">
        <f>Inputs!$B$3&gt;=15</f>
        <v/>
      </c>
      <c r="D1305">
        <f>IF(Skills!C19=1,60+Inputs!$B$25+Inputs!$B$29,IF(Skills!C19=2,90+Inputs!$B$26+Inputs!$B$29,IF(Skills!C19=3,120+Inputs!$B$27+Inputs!$B$29,MAX(0,(Inputs!$B$3-100)*3)+Inputs!$B$28+Inputs!$B$29)))</f>
        <v/>
      </c>
      <c r="E1305">
        <f>INDEX(FactorTable!$B$2:$Y$301, MATCH(ROUND(MIN(300,MAX(1,D1305)),0), FactorTable!$A$2:$A$301,0), Skills!M19+1)</f>
        <v/>
      </c>
      <c r="F1305">
        <f>IF(Skills!N19=TRUE,(Skills!L19/10)*(E1305/1000),Skills!L19/10)+Skills!O19</f>
        <v/>
      </c>
      <c r="G1305">
        <f>Skills!G19*IF(Skills!H19&gt;0,Skills!I19/Skills!H19,1)</f>
        <v/>
      </c>
      <c r="H1305">
        <f>1-(1-Skills!J19/100)^Skills!K19</f>
        <v/>
      </c>
      <c r="I1305" t="inlineStr">
        <is>
          <t>1</t>
        </is>
      </c>
      <c r="J1305" t="inlineStr"/>
      <c r="K1305" t="inlineStr"/>
      <c r="L1305" t="inlineStr"/>
      <c r="M1305" t="inlineStr"/>
      <c r="N1305" t="inlineStr"/>
      <c r="O1305">
        <f>(1-Summary!$B$11)*T1305+Summary!$B$11*V1305</f>
        <v/>
      </c>
      <c r="P1305">
        <f>IF(B1328=0,0,O1305/B1328)</f>
        <v/>
      </c>
      <c r="Q1305" t="n">
        <v>0</v>
      </c>
      <c r="R1305" t="n">
        <v>0</v>
      </c>
      <c r="S1305" t="n">
        <v>0</v>
      </c>
      <c r="T1305" t="n">
        <v>0</v>
      </c>
      <c r="V1305" t="n">
        <v>0</v>
      </c>
    </row>
    <row r="1306">
      <c r="A1306">
        <f>Skills!A20</f>
        <v/>
      </c>
      <c r="B1306">
        <f>Skills!B20</f>
        <v/>
      </c>
      <c r="C1306">
        <f>Inputs!$B$3&gt;=10</f>
        <v/>
      </c>
      <c r="D1306">
        <f>IF(Skills!C20=1,60+Inputs!$B$25+Inputs!$B$29,IF(Skills!C20=2,90+Inputs!$B$26+Inputs!$B$29,IF(Skills!C20=3,120+Inputs!$B$27+Inputs!$B$29,MAX(0,(Inputs!$B$3-100)*3)+Inputs!$B$28+Inputs!$B$29)))</f>
        <v/>
      </c>
      <c r="E1306">
        <f>INDEX(FactorTable!$B$2:$Y$301, MATCH(ROUND(MIN(300,MAX(1,D1306)),0), FactorTable!$A$2:$A$301,0), Skills!M20+1)</f>
        <v/>
      </c>
      <c r="F1306">
        <f>IF(Skills!N20=TRUE,(Skills!L20/10)*(E1306/1000),Skills!L20/10)+Skills!O20</f>
        <v/>
      </c>
      <c r="G1306">
        <f>Skills!G20*IF(Skills!H20&gt;0,Skills!I20/Skills!H20,1)</f>
        <v/>
      </c>
      <c r="H1306">
        <f>1-(1-Skills!J20/100)^Skills!K20</f>
        <v/>
      </c>
      <c r="I1306" t="inlineStr">
        <is>
          <t>1</t>
        </is>
      </c>
      <c r="J1306" t="inlineStr"/>
      <c r="K1306" t="inlineStr"/>
      <c r="L1306" t="inlineStr"/>
      <c r="M1306" t="inlineStr"/>
      <c r="N1306" t="inlineStr"/>
      <c r="O1306">
        <f>(1-Summary!$B$11)*T1306+Summary!$B$11*V1306</f>
        <v/>
      </c>
      <c r="P1306">
        <f>IF(B1328=0,0,O1306/B1328)</f>
        <v/>
      </c>
      <c r="Q1306" t="n">
        <v>0</v>
      </c>
      <c r="R1306" t="n">
        <v>0</v>
      </c>
      <c r="S1306" t="n">
        <v>0</v>
      </c>
      <c r="T1306" t="n">
        <v>0</v>
      </c>
      <c r="V1306" t="n">
        <v>0</v>
      </c>
    </row>
    <row r="1307">
      <c r="A1307">
        <f>Skills!A21</f>
        <v/>
      </c>
      <c r="B1307">
        <f>Skills!B21</f>
        <v/>
      </c>
      <c r="C1307">
        <f>Inputs!$B$3&gt;=33</f>
        <v/>
      </c>
      <c r="D1307">
        <f>IF(Skills!C21=1,60+Inputs!$B$25+Inputs!$B$29,IF(Skills!C21=2,90+Inputs!$B$26+Inputs!$B$29,IF(Skills!C21=3,120+Inputs!$B$27+Inputs!$B$29,MAX(0,(Inputs!$B$3-100)*3)+Inputs!$B$28+Inputs!$B$29)))</f>
        <v/>
      </c>
      <c r="E1307">
        <f>INDEX(FactorTable!$B$2:$Y$301, MATCH(ROUND(MIN(300,MAX(1,D1307)),0), FactorTable!$A$2:$A$301,0), Skills!M21+1)</f>
        <v/>
      </c>
      <c r="F1307">
        <f>IF(Skills!N21=TRUE,(Skills!L21/10)*(E1307/1000),Skills!L21/10)+Skills!O21</f>
        <v/>
      </c>
      <c r="G1307">
        <f>Skills!G21*IF(Skills!H21&gt;0,Skills!I21/Skills!H21,1)</f>
        <v/>
      </c>
      <c r="H1307">
        <f>1-(1-Skills!J21/100)^Skills!K21</f>
        <v/>
      </c>
      <c r="I1307" t="inlineStr">
        <is>
          <t>1</t>
        </is>
      </c>
      <c r="J1307" t="inlineStr"/>
      <c r="K1307" t="inlineStr"/>
      <c r="L1307" t="inlineStr"/>
      <c r="M1307" t="inlineStr"/>
      <c r="N1307" t="inlineStr"/>
      <c r="O1307">
        <f>(1-Summary!$B$11)*T1307+Summary!$B$11*V1307</f>
        <v/>
      </c>
      <c r="P1307">
        <f>IF(B1328=0,0,O1307/B1328)</f>
        <v/>
      </c>
      <c r="Q1307" t="n">
        <v>0</v>
      </c>
      <c r="R1307" t="n">
        <v>0</v>
      </c>
      <c r="S1307" t="n">
        <v>0</v>
      </c>
      <c r="T1307" t="n">
        <v>0</v>
      </c>
      <c r="V1307" t="n">
        <v>0</v>
      </c>
    </row>
    <row r="1308">
      <c r="A1308">
        <f>Skills!A22</f>
        <v/>
      </c>
      <c r="B1308">
        <f>Skills!B22</f>
        <v/>
      </c>
      <c r="C1308">
        <f>Inputs!$B$3&gt;=38</f>
        <v/>
      </c>
      <c r="D1308">
        <f>IF(Skills!C22=1,60+Inputs!$B$25+Inputs!$B$29,IF(Skills!C22=2,90+Inputs!$B$26+Inputs!$B$29,IF(Skills!C22=3,120+Inputs!$B$27+Inputs!$B$29,MAX(0,(Inputs!$B$3-100)*3)+Inputs!$B$28+Inputs!$B$29)))</f>
        <v/>
      </c>
      <c r="E1308">
        <f>INDEX(FactorTable!$B$2:$Y$301, MATCH(ROUND(MIN(300,MAX(1,D1308)),0), FactorTable!$A$2:$A$301,0), Skills!M22+1)</f>
        <v/>
      </c>
      <c r="F1308">
        <f>IF(Skills!N22=TRUE,(Skills!L22/10)*(E1308/1000),Skills!L22/10)+Skills!O22</f>
        <v/>
      </c>
      <c r="G1308">
        <f>Skills!G22*IF(Skills!H22&gt;0,Skills!I22/Skills!H22,1)</f>
        <v/>
      </c>
      <c r="H1308">
        <f>1-(1-Skills!J22/100)^Skills!K22</f>
        <v/>
      </c>
      <c r="I1308" t="inlineStr">
        <is>
          <t>1</t>
        </is>
      </c>
      <c r="J1308" t="inlineStr"/>
      <c r="K1308" t="inlineStr"/>
      <c r="L1308" t="inlineStr"/>
      <c r="M1308" t="inlineStr"/>
      <c r="N1308" t="inlineStr"/>
      <c r="O1308">
        <f>(1-Summary!$B$11)*T1308+Summary!$B$11*V1308</f>
        <v/>
      </c>
      <c r="P1308">
        <f>IF(B1328=0,0,O1308/B1328)</f>
        <v/>
      </c>
      <c r="Q1308" t="n">
        <v>0</v>
      </c>
      <c r="R1308" t="n">
        <v>0</v>
      </c>
      <c r="S1308" t="n">
        <v>0</v>
      </c>
      <c r="T1308" t="n">
        <v>0</v>
      </c>
      <c r="V1308" t="n">
        <v>0</v>
      </c>
    </row>
    <row r="1309">
      <c r="A1309">
        <f>Skills!A23</f>
        <v/>
      </c>
      <c r="B1309">
        <f>Skills!B23</f>
        <v/>
      </c>
      <c r="C1309">
        <f>Inputs!$B$3&gt;=43</f>
        <v/>
      </c>
      <c r="D1309">
        <f>IF(Skills!C23=1,60+Inputs!$B$25+Inputs!$B$29,IF(Skills!C23=2,90+Inputs!$B$26+Inputs!$B$29,IF(Skills!C23=3,120+Inputs!$B$27+Inputs!$B$29,MAX(0,(Inputs!$B$3-100)*3)+Inputs!$B$28+Inputs!$B$29)))</f>
        <v/>
      </c>
      <c r="E1309">
        <f>INDEX(FactorTable!$B$2:$Y$301, MATCH(ROUND(MIN(300,MAX(1,D1309)),0), FactorTable!$A$2:$A$301,0), Skills!M23+1)</f>
        <v/>
      </c>
      <c r="F1309">
        <f>IF(Skills!N23=TRUE,(Skills!L23/10)*(E1309/1000),Skills!L23/10)+Skills!O23</f>
        <v/>
      </c>
      <c r="G1309">
        <f>Skills!G23*IF(Skills!H23&gt;0,Skills!I23/Skills!H23,1)</f>
        <v/>
      </c>
      <c r="H1309">
        <f>1-(1-Skills!J23/100)^Skills!K23</f>
        <v/>
      </c>
      <c r="I1309" t="inlineStr">
        <is>
          <t>1</t>
        </is>
      </c>
      <c r="J1309" t="inlineStr"/>
      <c r="K1309" t="inlineStr"/>
      <c r="L1309" t="inlineStr"/>
      <c r="M1309" t="inlineStr"/>
      <c r="N1309" t="inlineStr"/>
      <c r="O1309">
        <f>(1-Summary!$B$11)*T1309+Summary!$B$11*V1309</f>
        <v/>
      </c>
      <c r="P1309">
        <f>IF(B1328=0,0,O1309/B1328)</f>
        <v/>
      </c>
      <c r="Q1309" t="n">
        <v>0</v>
      </c>
      <c r="R1309" t="n">
        <v>0</v>
      </c>
      <c r="S1309" t="n">
        <v>0</v>
      </c>
      <c r="T1309" t="n">
        <v>0</v>
      </c>
      <c r="V1309" t="n">
        <v>0</v>
      </c>
    </row>
    <row r="1310">
      <c r="A1310">
        <f>Skills!A24</f>
        <v/>
      </c>
      <c r="B1310">
        <f>Skills!B24</f>
        <v/>
      </c>
      <c r="C1310">
        <f>Inputs!$B$3&gt;=75</f>
        <v/>
      </c>
      <c r="D1310">
        <f>IF(Skills!C24=1,60+Inputs!$B$25+Inputs!$B$29,IF(Skills!C24=2,90+Inputs!$B$26+Inputs!$B$29,IF(Skills!C24=3,120+Inputs!$B$27+Inputs!$B$29,MAX(0,(Inputs!$B$3-100)*3)+Inputs!$B$28+Inputs!$B$29)))</f>
        <v/>
      </c>
      <c r="E1310">
        <f>INDEX(FactorTable!$B$2:$Y$301, MATCH(ROUND(MIN(300,MAX(1,D1310)),0), FactorTable!$A$2:$A$301,0), Skills!M24+1)</f>
        <v/>
      </c>
      <c r="F1310">
        <f>IF(Skills!N24=TRUE,(Skills!L24/10)*(E1310/1000),Skills!L24/10)+Skills!O24</f>
        <v/>
      </c>
      <c r="G1310">
        <f>Skills!G24*IF(Skills!H24&gt;0,Skills!I24/Skills!H24,1)</f>
        <v/>
      </c>
      <c r="H1310">
        <f>1-(1-Skills!J24/100)^Skills!K24</f>
        <v/>
      </c>
      <c r="I1310" t="inlineStr">
        <is>
          <t>1</t>
        </is>
      </c>
      <c r="J1310" t="inlineStr"/>
      <c r="K1310" t="inlineStr"/>
      <c r="L1310" t="inlineStr"/>
      <c r="M1310" t="inlineStr"/>
      <c r="N1310" t="inlineStr"/>
      <c r="O1310">
        <f>(1-Summary!$B$11)*T1310+Summary!$B$11*V1310</f>
        <v/>
      </c>
      <c r="P1310">
        <f>IF(B1328=0,0,O1310/B1328)</f>
        <v/>
      </c>
      <c r="Q1310" t="n">
        <v>0</v>
      </c>
      <c r="R1310" t="n">
        <v>0</v>
      </c>
      <c r="S1310" t="n">
        <v>0</v>
      </c>
      <c r="T1310" t="n">
        <v>0</v>
      </c>
      <c r="V1310" t="n">
        <v>0</v>
      </c>
    </row>
    <row r="1311">
      <c r="A1311">
        <f>Skills!A25</f>
        <v/>
      </c>
      <c r="B1311">
        <f>Skills!B25</f>
        <v/>
      </c>
      <c r="C1311">
        <f>Inputs!$B$3&gt;=125</f>
        <v/>
      </c>
      <c r="D1311">
        <f>IF(Skills!C25=1,60+Inputs!$B$25+Inputs!$B$29,IF(Skills!C25=2,90+Inputs!$B$26+Inputs!$B$29,IF(Skills!C25=3,120+Inputs!$B$27+Inputs!$B$29,MAX(0,(Inputs!$B$3-100)*3)+Inputs!$B$28+Inputs!$B$29)))</f>
        <v/>
      </c>
      <c r="E1311">
        <f>INDEX(FactorTable!$B$2:$Y$301, MATCH(ROUND(MIN(300,MAX(1,D1311)),0), FactorTable!$A$2:$A$301,0), Skills!M25+1)</f>
        <v/>
      </c>
      <c r="F1311">
        <f>IF(Skills!N25=TRUE,(Skills!L25/10)*(E1311/1000),Skills!L25/10)+Skills!O25</f>
        <v/>
      </c>
      <c r="G1311">
        <f>Skills!G25*IF(Skills!H25&gt;0,Skills!I25/Skills!H25,1)</f>
        <v/>
      </c>
      <c r="H1311">
        <f>1-(1-Skills!J25/100)^Skills!K25</f>
        <v/>
      </c>
      <c r="I1311" t="inlineStr">
        <is>
          <t>1</t>
        </is>
      </c>
      <c r="J1311" t="inlineStr"/>
      <c r="K1311" t="inlineStr"/>
      <c r="L1311" t="inlineStr"/>
      <c r="M1311" t="inlineStr"/>
      <c r="N1311" t="inlineStr"/>
      <c r="O1311">
        <f>(1-Summary!$B$11)*T1311+Summary!$B$11*V1311</f>
        <v/>
      </c>
      <c r="P1311">
        <f>IF(B1328=0,0,O1311/B1328)</f>
        <v/>
      </c>
      <c r="Q1311" t="n">
        <v>0</v>
      </c>
      <c r="R1311" t="n">
        <v>0</v>
      </c>
      <c r="S1311" t="n">
        <v>0</v>
      </c>
      <c r="T1311" t="n">
        <v>0</v>
      </c>
      <c r="V1311" t="n">
        <v>0</v>
      </c>
    </row>
    <row r="1312">
      <c r="A1312">
        <f>Skills!A26</f>
        <v/>
      </c>
      <c r="B1312">
        <f>Skills!B26</f>
        <v/>
      </c>
      <c r="C1312">
        <f>Inputs!$B$3&gt;=125</f>
        <v/>
      </c>
      <c r="D1312">
        <f>IF(Skills!C26=1,60+Inputs!$B$25+Inputs!$B$29,IF(Skills!C26=2,90+Inputs!$B$26+Inputs!$B$29,IF(Skills!C26=3,120+Inputs!$B$27+Inputs!$B$29,MAX(0,(Inputs!$B$3-100)*3)+Inputs!$B$28+Inputs!$B$29)))</f>
        <v/>
      </c>
      <c r="E1312">
        <f>INDEX(FactorTable!$B$2:$Y$301, MATCH(ROUND(MIN(300,MAX(1,D1312)),0), FactorTable!$A$2:$A$301,0), Skills!M26+1)</f>
        <v/>
      </c>
      <c r="F1312">
        <f>IF(Skills!N26=TRUE,(Skills!L26/10)*(E1312/1000),Skills!L26/10)+Skills!O26</f>
        <v/>
      </c>
      <c r="G1312">
        <f>Skills!G26*IF(Skills!H26&gt;0,Skills!I26/Skills!H26,1)</f>
        <v/>
      </c>
      <c r="H1312">
        <f>1-(1-Skills!J26/100)^Skills!K26</f>
        <v/>
      </c>
      <c r="I1312" t="inlineStr">
        <is>
          <t>1</t>
        </is>
      </c>
      <c r="J1312" t="inlineStr"/>
      <c r="K1312" t="inlineStr"/>
      <c r="L1312" t="inlineStr"/>
      <c r="M1312" t="inlineStr"/>
      <c r="N1312" t="inlineStr"/>
      <c r="O1312">
        <f>(1-Summary!$B$11)*T1312+Summary!$B$11*V1312</f>
        <v/>
      </c>
      <c r="P1312">
        <f>IF(B1328=0,0,O1312/B1328)</f>
        <v/>
      </c>
      <c r="Q1312" t="n">
        <v>0</v>
      </c>
      <c r="R1312" t="n">
        <v>0</v>
      </c>
      <c r="S1312" t="n">
        <v>0</v>
      </c>
      <c r="T1312" t="n">
        <v>0</v>
      </c>
      <c r="V1312" t="n">
        <v>0</v>
      </c>
    </row>
    <row r="1313">
      <c r="A1313">
        <f>Skills!A27</f>
        <v/>
      </c>
      <c r="B1313">
        <f>Skills!B27</f>
        <v/>
      </c>
      <c r="C1313">
        <f>Inputs!$B$3&gt;=120</f>
        <v/>
      </c>
      <c r="D1313">
        <f>IF(Skills!C27=1,60+Inputs!$B$25+Inputs!$B$29,IF(Skills!C27=2,90+Inputs!$B$26+Inputs!$B$29,IF(Skills!C27=3,120+Inputs!$B$27+Inputs!$B$29,MAX(0,(Inputs!$B$3-100)*3)+Inputs!$B$28+Inputs!$B$29)))</f>
        <v/>
      </c>
      <c r="E1313">
        <f>INDEX(FactorTable!$B$2:$Y$301, MATCH(ROUND(MIN(300,MAX(1,D1313)),0), FactorTable!$A$2:$A$301,0), Skills!M27+1)</f>
        <v/>
      </c>
      <c r="F1313">
        <f>IF(Skills!N27=TRUE,(Skills!L27/10)*(E1313/1000),Skills!L27/10)+Skills!O27</f>
        <v/>
      </c>
      <c r="G1313">
        <f>Skills!G27*IF(Skills!H27&gt;0,Skills!I27/Skills!H27,1)</f>
        <v/>
      </c>
      <c r="H1313">
        <f>1-(1-Skills!J27/100)^Skills!K27</f>
        <v/>
      </c>
      <c r="I1313" t="inlineStr">
        <is>
          <t>1</t>
        </is>
      </c>
      <c r="J1313" t="inlineStr"/>
      <c r="K1313" t="inlineStr"/>
      <c r="L1313" t="inlineStr"/>
      <c r="M1313" t="inlineStr"/>
      <c r="N1313" t="inlineStr"/>
      <c r="O1313">
        <f>(1-Summary!$B$11)*T1313+Summary!$B$11*V1313</f>
        <v/>
      </c>
      <c r="P1313">
        <f>IF(B1328=0,0,O1313/B1328)</f>
        <v/>
      </c>
      <c r="Q1313" t="n">
        <v>0</v>
      </c>
      <c r="R1313" t="n">
        <v>0</v>
      </c>
      <c r="S1313" t="n">
        <v>0</v>
      </c>
      <c r="T1313" t="n">
        <v>0</v>
      </c>
      <c r="V1313" t="n">
        <v>0</v>
      </c>
    </row>
    <row r="1314">
      <c r="A1314">
        <f>Skills!A28</f>
        <v/>
      </c>
      <c r="B1314">
        <f>Skills!B28</f>
        <v/>
      </c>
      <c r="C1314">
        <f>Inputs!$B$3&gt;=120</f>
        <v/>
      </c>
      <c r="D1314">
        <f>IF(Skills!C28=1,60+Inputs!$B$25+Inputs!$B$29,IF(Skills!C28=2,90+Inputs!$B$26+Inputs!$B$29,IF(Skills!C28=3,120+Inputs!$B$27+Inputs!$B$29,MAX(0,(Inputs!$B$3-100)*3)+Inputs!$B$28+Inputs!$B$29)))</f>
        <v/>
      </c>
      <c r="E1314">
        <f>INDEX(FactorTable!$B$2:$Y$301, MATCH(ROUND(MIN(300,MAX(1,D1314)),0), FactorTable!$A$2:$A$301,0), Skills!M28+1)</f>
        <v/>
      </c>
      <c r="F1314">
        <f>IF(Skills!N28=TRUE,(Skills!L28/10)*(E1314/1000),Skills!L28/10)+Skills!O28</f>
        <v/>
      </c>
      <c r="G1314">
        <f>Skills!G28*IF(Skills!H28&gt;0,Skills!I28/Skills!H28,1)</f>
        <v/>
      </c>
      <c r="H1314">
        <f>1-(1-Skills!J28/100)^Skills!K28</f>
        <v/>
      </c>
      <c r="I1314" t="inlineStr">
        <is>
          <t>1</t>
        </is>
      </c>
      <c r="J1314" t="inlineStr"/>
      <c r="K1314" t="inlineStr"/>
      <c r="L1314" t="inlineStr"/>
      <c r="M1314" t="inlineStr"/>
      <c r="N1314" t="inlineStr"/>
      <c r="O1314">
        <f>(1-Summary!$B$11)*T1314+Summary!$B$11*V1314</f>
        <v/>
      </c>
      <c r="P1314">
        <f>IF(B1328=0,0,O1314/B1328)</f>
        <v/>
      </c>
      <c r="Q1314" t="n">
        <v>0</v>
      </c>
      <c r="R1314" t="n">
        <v>0</v>
      </c>
      <c r="S1314" t="n">
        <v>0</v>
      </c>
      <c r="T1314" t="n">
        <v>0</v>
      </c>
      <c r="V1314" t="n">
        <v>0</v>
      </c>
    </row>
    <row r="1315">
      <c r="A1315">
        <f>Skills!A29</f>
        <v/>
      </c>
      <c r="B1315">
        <f>Skills!B29</f>
        <v/>
      </c>
      <c r="C1315">
        <f>Inputs!$B$3&gt;=45</f>
        <v/>
      </c>
      <c r="D1315">
        <f>IF(Skills!C29=1,60+Inputs!$B$25+Inputs!$B$29,IF(Skills!C29=2,90+Inputs!$B$26+Inputs!$B$29,IF(Skills!C29=3,120+Inputs!$B$27+Inputs!$B$29,MAX(0,(Inputs!$B$3-100)*3)+Inputs!$B$28+Inputs!$B$29)))</f>
        <v/>
      </c>
      <c r="E1315">
        <f>INDEX(FactorTable!$B$2:$Y$301, MATCH(ROUND(MIN(300,MAX(1,D1315)),0), FactorTable!$A$2:$A$301,0), Skills!M29+1)</f>
        <v/>
      </c>
      <c r="F1315">
        <f>IF(Skills!N29=TRUE,(Skills!L29/10)*(E1315/1000),Skills!L29/10)+Skills!O29</f>
        <v/>
      </c>
      <c r="G1315">
        <f>Skills!G29*IF(Skills!H29&gt;0,Skills!I29/Skills!H29,1)</f>
        <v/>
      </c>
      <c r="H1315">
        <f>1-(1-Skills!J29/100)^Skills!K29</f>
        <v/>
      </c>
      <c r="I1315" t="inlineStr">
        <is>
          <t>1</t>
        </is>
      </c>
      <c r="J1315" t="inlineStr"/>
      <c r="K1315" t="inlineStr"/>
      <c r="L1315" t="inlineStr"/>
      <c r="M1315" t="inlineStr"/>
      <c r="N1315" t="inlineStr"/>
      <c r="O1315">
        <f>(1-Summary!$B$11)*T1315+Summary!$B$11*V1315</f>
        <v/>
      </c>
      <c r="P1315">
        <f>IF(B1328=0,0,O1315/B1328)</f>
        <v/>
      </c>
      <c r="Q1315" t="n">
        <v>0</v>
      </c>
      <c r="R1315" t="n">
        <v>0</v>
      </c>
      <c r="S1315" t="n">
        <v>0</v>
      </c>
      <c r="T1315" t="n">
        <v>0</v>
      </c>
      <c r="V1315" t="n">
        <v>0</v>
      </c>
    </row>
    <row r="1317">
      <c r="A1317" t="inlineStr">
        <is>
          <t>Attack% Bucket Multiplier</t>
        </is>
      </c>
      <c r="B1317">
        <f>(1+(((C1299=TRUE)*F1299)+((C1300=TRUE)*IF(Inputs!$B$38="pvp",F1300,(1-Summary!$B$11)*(F1300)+Summary!$B$11*(0)))+((C1301=TRUE)*F1301*IF(AND(Inputs!$B$38&lt;&gt;"pvp",Inputs!$B$43&gt;0),(((R1301-1)*(Skills!T15*(1+Inputs!$B$34/100))+MIN((Skills!T15*(1+Inputs!$B$34/100)),MAX(0,Inputs!$B$43-((R1301-1)*Skills!D15))))/Inputs!$B$43),IF(Inputs!$B$38="pvp",MIN((Skills!T15*(1+Inputs!$B$34/100)),15)/15,(Skills!T15*(1+Inputs!$B$34/100))/Skills!D15)))+((C1298=TRUE)*F1298)+((C1315=TRUE)*(F1315-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1318">
      <c r="A1318" t="inlineStr">
        <is>
          <t>Global Crit Rate Bonus %</t>
        </is>
      </c>
      <c r="B1318">
        <f>(C1302=TRUE)*20*IF(AND(Inputs!$B$38&lt;&gt;"pvp",Inputs!$B$43&gt;0),(((R1302-1)*(Skills!T16*(1+Inputs!$B$34/100))+MIN((Skills!T16*(1+Inputs!$B$34/100)),MAX(0,Inputs!$B$43-((R1302-1)*Skills!D16))))/Inputs!$B$43),IF(Inputs!$B$38="pvp",MIN((Skills!T16*(1+Inputs!$B$34/100)),15)/15,(Skills!T16*(1+Inputs!$B$34/100))/Skills!D16))</f>
        <v/>
      </c>
    </row>
    <row r="1319">
      <c r="A1319" t="inlineStr">
        <is>
          <t>Attack Speed Buff Bonus %</t>
        </is>
      </c>
      <c r="B1319">
        <f>((C1304=TRUE)*F1304*IF(AND(Inputs!$B$38&lt;&gt;"pvp",Inputs!$B$43&gt;0),(((R1304-1)*(Skills!T18*(1+Inputs!$B$34/100))+MIN((Skills!T18*(1+Inputs!$B$34/100)),MAX(0,Inputs!$B$43-((R1304-1)*Skills!D18))))/Inputs!$B$43),IF(Inputs!$B$38="pvp",MIN((Skills!T18*(1+Inputs!$B$34/100)),15)/15,(Skills!T18*(1+Inputs!$B$34/100))/Skills!D18)))</f>
        <v/>
      </c>
    </row>
    <row r="1320">
      <c r="A1320" t="inlineStr">
        <is>
          <t>Actions Per Second</t>
        </is>
      </c>
      <c r="B1320">
        <f>1+MIN(150,150*(1-(1-(Inputs!$B$11+((C1306=TRUE)*(F1306-Calc!F20))+((C1307=TRUE)*(F1307-Calc!F21)))/150)*(1-B1319/150)))/100</f>
        <v/>
      </c>
    </row>
    <row r="1321">
      <c r="A1321" t="inlineStr">
        <is>
          <t>Skill + Buff Cast Rate</t>
        </is>
      </c>
      <c r="B1321">
        <f>IF(AND(Inputs!$B$38&lt;&gt;"pvp",Inputs!$B$43&gt;0),SUMPRODUCT((Skills!E2:E29=TRUE)*(C1288:C1315=TRUE)*R1288:R1315*Skills!F2:F29)/Inputs!$B$43,SUMPRODUCT((Skills!E2:E29=TRUE)*(C1288:C1315=TRUE)*Q1288:Q1315*Skills!F2:F29))</f>
        <v/>
      </c>
    </row>
    <row r="1322">
      <c r="A1322" t="inlineStr">
        <is>
          <t>Empowered Piercing Arrow Casts Per Second</t>
        </is>
      </c>
      <c r="B1322">
        <f>MAX(0,B1320-B1321)</f>
        <v/>
      </c>
    </row>
    <row r="1323">
      <c r="A1323" t="inlineStr">
        <is>
          <t>Global Critical Damage Bonus % (Sharp Eyes)</t>
        </is>
      </c>
      <c r="B1323">
        <f>(C1302=TRUE)*F1302*IF(AND(Inputs!$B$38&lt;&gt;"pvp",Inputs!$B$43&gt;0),(((R1302-1)*(Skills!T16*(1+Inputs!$B$34/100))+MIN((Skills!T16*(1+Inputs!$B$34/100)),MAX(0,Inputs!$B$43-((R1302-1)*Skills!D16))))/Inputs!$B$43),IF(Inputs!$B$38="pvp",MIN((Skills!T16*(1+Inputs!$B$34/100)),15)/15,(Skills!T16*(1+Inputs!$B$34/100))/Skills!D16))</f>
        <v/>
      </c>
    </row>
    <row r="1324">
      <c r="A1324" t="inlineStr">
        <is>
          <t>Global Final Damage Bonus % (Mortal Blow + Last Man Standing conditional half)</t>
        </is>
      </c>
      <c r="B1324">
        <f>(C1303=TRUE)*F1303+((C1312=TRUE)*IF(Inputs!$B$38="pvp",F1312,(1-Summary!$B$11)*(F1312)+Summary!$B$11*(0)))</f>
        <v/>
      </c>
    </row>
    <row r="1325">
      <c r="A1325" t="inlineStr">
        <is>
          <t>Buff-Casting Startup Delay (s, fixed-duration only)</t>
        </is>
      </c>
      <c r="B1325">
        <f>IF(AND(Inputs!$B$38&lt;&gt;"pvp",Inputs!$B$43&gt;0),SUMPRODUCT((Skills!T2:T29&gt;0)*(Skills!E2:E29=TRUE)*(C1288:C1315=TRUE))/B1320,0)</f>
        <v/>
      </c>
    </row>
    <row r="1326">
      <c r="A1326" t="inlineStr">
        <is>
          <t>Boss-Only Total DPS (this block's swept value)</t>
        </is>
      </c>
      <c r="B1326">
        <f>SUM(T1288:T1315)</f>
        <v/>
      </c>
    </row>
    <row r="1327">
      <c r="A1327" t="inlineStr">
        <is>
          <t>Normal-Only Total DPS (this block's swept value)</t>
        </is>
      </c>
      <c r="B1327">
        <f>SUM(V1288:V1315)</f>
        <v/>
      </c>
    </row>
    <row r="1328">
      <c r="A1328" s="6" t="inlineStr">
        <is>
          <t>TOTAL DPS</t>
        </is>
      </c>
      <c r="B1328" s="6">
        <f>SUM(O1288:O1315)</f>
        <v/>
      </c>
    </row>
    <row r="1331">
      <c r="A1331" s="6" t="inlineStr">
        <is>
          <t>Stat: Shamaness Marble (Equip)</t>
        </is>
      </c>
    </row>
    <row r="1332">
      <c r="A1332" s="5" t="inlineStr">
        <is>
          <t>Key</t>
        </is>
      </c>
      <c r="B1332" s="5" t="inlineStr">
        <is>
          <t>Name</t>
        </is>
      </c>
      <c r="C1332" s="5" t="inlineStr">
        <is>
          <t>Unlocked</t>
        </is>
      </c>
      <c r="D1332" s="5" t="inlineStr">
        <is>
          <t>InputLevel</t>
        </is>
      </c>
      <c r="E1332" s="5" t="inlineStr">
        <is>
          <t>Factor</t>
        </is>
      </c>
      <c r="F1332" s="5" t="inlineStr">
        <is>
          <t>CoefficientPercent</t>
        </is>
      </c>
      <c r="G1332" s="5" t="inlineStr">
        <is>
          <t>EffectiveHits</t>
        </is>
      </c>
      <c r="H1332" s="5" t="inlineStr">
        <is>
          <t>ProcProbability</t>
        </is>
      </c>
      <c r="I1332" s="5" t="inlineStr">
        <is>
          <t>MapleHeroMultiplier</t>
        </is>
      </c>
      <c r="J1332" s="5" t="inlineStr">
        <is>
          <t>BaseDamage</t>
        </is>
      </c>
      <c r="K1332" s="5" t="inlineStr">
        <is>
          <t>BaseHitDamage</t>
        </is>
      </c>
      <c r="L1332" s="5" t="inlineStr">
        <is>
          <t>NonCritAvg</t>
        </is>
      </c>
      <c r="M1332" s="5" t="inlineStr">
        <is>
          <t>CritAvg</t>
        </is>
      </c>
      <c r="N1332" s="5" t="inlineStr">
        <is>
          <t>ExpectedDamage(perHit)</t>
        </is>
      </c>
      <c r="O1332" s="5" t="inlineStr">
        <is>
          <t>DPS</t>
        </is>
      </c>
      <c r="P1332" s="5" t="inlineStr">
        <is>
          <t>% of Total</t>
        </is>
      </c>
      <c r="Q1332" s="5" t="inlineStr">
        <is>
          <t>InvCooldown</t>
        </is>
      </c>
      <c r="R1332" s="5" t="inlineStr">
        <is>
          <t>CastsInFight</t>
        </is>
      </c>
      <c r="S1332" s="5" t="inlineStr">
        <is>
          <t>HitRate(perSec)</t>
        </is>
      </c>
      <c r="U1332" t="inlineStr">
        <is>
          <t>helpers</t>
        </is>
      </c>
    </row>
    <row r="1333">
      <c r="A1333">
        <f>Skills!A2</f>
        <v/>
      </c>
      <c r="B1333">
        <f>Skills!B2</f>
        <v/>
      </c>
      <c r="C1333">
        <f>Inputs!$B$3&gt;=100</f>
        <v/>
      </c>
      <c r="D1333" t="inlineStr"/>
      <c r="E1333" t="inlineStr"/>
      <c r="F1333">
        <f>U1335+Skills!O2</f>
        <v/>
      </c>
      <c r="G1333">
        <f>Skills!G2*IF(Skills!H2&gt;0,Skills!I2/Skills!H2,1)</f>
        <v/>
      </c>
      <c r="H1333">
        <f>1-(1-Skills!J2/100)^Skills!K2</f>
        <v/>
      </c>
      <c r="I1333" t="inlineStr">
        <is>
          <t>1</t>
        </is>
      </c>
      <c r="J1333">
        <f>((Inputs!$B$6*(1+Inputs!$B$7/100))+(((Inputs!$B$12*(1+Inputs!$B$13/100))-(Inputs!$B$12*(1+Inputs!$B$13/100)))+0.25*(Inputs!$B$14-Inputs!$B$14))*(1+Inputs!$B$7/100))*(F1333/100)</f>
        <v/>
      </c>
      <c r="K1333">
        <f>J1333*(1+((Inputs!$B$12*(1+Inputs!$B$13/100))*0.01+Inputs!$B$14*0.0025)/100)*(1+Inputs!$B$15/100)*(1+Inputs!$B$16/100)*(5000/(6000+Inputs!$B$42*(1-(100*(1-(1-(Inputs!$B$19+0)/100)*(1-CHOOSE(ArtifactsInput!$N$40+1,5,6,7,8,9,10)/100)^(ArtifactsInput!$M$40-ArtifactsInput!$M$40)))/100)))*(1+(Inputs!$B$24+((C1355=TRUE)*(F1355-Calc!F24))+((C1356=TRUE)*(F1356-Calc!F25))+B1369)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EMPOWERED_PIERCING_ARROW",Inputs!$B$17+((C1353=TRUE)*(F1353-Calc!F22))+(((IF(AND(ArtifactsInput!$M$42,((Inputs!$B$9+((C1350=TRUE)*(F1350-Calc!F19))+B1363+(ArtifactsInput!$M$24-ArtifactsInput!$M$24)*CHOOSE(ArtifactsInput!$N$24+1,10,12,14,16,18,20)+IF(ArtifactsInput!$M$10,CHOOSE(ArtifactsInput!$N$10+1,15,18,21,24,27,30)*(IF(Inputs!$B$38="pvp",MIN(15,15)/15,IF(AND(Inputs!$B$38&lt;&gt;"pvp",Inputs!$B$43&gt;0),MIN(15,Inputs!$B$43)/(Inputs!$B$43),0))),0)))&gt;=100),MIN(100,((Inputs!$B$9+((C1350=TRUE)*(F1350-Calc!F19))+B1363+(ArtifactsInput!$M$24-ArtifactsInput!$M$24)*CHOOSE(ArtifactsInput!$N$24+1,10,12,14,16,18,20)+IF(ArtifactsInput!$M$10,CHOOSE(ArtifactsInput!$N$10+1,15,18,21,24,27,30)*(IF(Inputs!$B$38="pvp",MIN(15,15)/15,IF(AND(Inputs!$B$38&lt;&gt;"pvp",Inputs!$B$43&gt;0),MIN(15,Inputs!$B$43)/(Inputs!$B$43),0))),0)))-100),0))*CHOOSE(ArtifactsInput!$N$42+1,0.6,0.72,0.84,0.96,1.08,1.2))),Inputs!$B$18+((C1358=TRUE)*(F1358-Calc!F27))+(IF(AND(ArtifactsInput!$M$42,((Inputs!$B$9+((C1350=TRUE)*(F1350-Calc!F19))+B1363+(ArtifactsInput!$M$24-ArtifactsInput!$M$24)*CHOOSE(ArtifactsInput!$N$24+1,10,12,14,16,18,20)+IF(ArtifactsInput!$M$10,CHOOSE(ArtifactsInput!$N$10+1,15,18,21,24,27,30)*(IF(Inputs!$B$38="pvp",MIN(15,15)/15,IF(AND(Inputs!$B$38&lt;&gt;"pvp",Inputs!$B$43&gt;0),MIN(15,Inputs!$B$43)/(Inputs!$B$43),0))),0)))&gt;=100),CHOOSE(ArtifactsInput!$N$42+1,40,48,56,64,72,80),0))))/100)*((1+(((C1344=TRUE)*F1344)+((C1345=TRUE)*IF(Inputs!$B$38="pvp",F1345,(1-Summary!$B$11)*(F1345)+Summary!$B$11*(0)))+((C1346=TRUE)*F1346*IF(AND(Inputs!$B$38&lt;&gt;"pvp",Inputs!$B$43&gt;0),(((R1346-1)*(Skills!T15*(1+Inputs!$B$34/100))+MIN((Skills!T15*(1+Inputs!$B$34/100)),MAX(0,Inputs!$B$43-((R1346-1)*Skills!D15))))/Inputs!$B$43),IF(Inputs!$B$38="pvp",MIN((Skills!T15*(1+Inputs!$B$34/100)),15)/15,(Skills!T15*(1+Inputs!$B$34/100))/Skills!D15)))+((C1343=TRUE)*F1343)+((C1360=TRUE)*(F1360-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1333)</f>
        <v/>
      </c>
      <c r="L1333">
        <f>K1333*(MIN(Inputs!$B$22+((C1354=TRUE)*(F1354-Calc!F23)),(Inputs!$B$23+((C1359=TRUE)*(F1359-Calc!F28))+(IF(ArtifactsInput!$M$15,CHOOSE(ArtifactsInput!$N$15+1,25,30,35,40,45,50)/100*(Inputs!$B$11-Inputs!$B$11),0))))/100+(Inputs!$B$23+((C1359=TRUE)*(F1359-Calc!F28))+(IF(ArtifactsInput!$M$15,CHOOSE(ArtifactsInput!$N$15+1,25,30,35,40,45,50)/100*(Inputs!$B$11-Inputs!$B$11),0)))/100)/2</f>
        <v/>
      </c>
      <c r="M1333">
        <f>L1333*(1+(Inputs!$B$10+0+B1368+(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333">
        <f>L1333*(1-MIN((Inputs!$B$9+((C1350=TRUE)*(F1350-Calc!F19))+B1363+(ArtifactsInput!$M$24-ArtifactsInput!$M$24)*CHOOSE(ArtifactsInput!$N$24+1,10,12,14,16,18,20)+(IF(AND(ArtifactsInput!$M$42,((Inputs!$B$9+((C1350=TRUE)*(F1350-Calc!F19))+B1363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1333*(MIN((Inputs!$B$9+((C1350=TRUE)*(F1350-Calc!F19))+B1363+(ArtifactsInput!$M$24-ArtifactsInput!$M$24)*CHOOSE(ArtifactsInput!$N$24+1,10,12,14,16,18,20)+(IF(AND(ArtifactsInput!$M$42,((Inputs!$B$9+((C1350=TRUE)*(F1350-Calc!F19))+B1363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333">
        <f>(1-Summary!$B$11)*T1333+Summary!$B$11*V1333</f>
        <v/>
      </c>
      <c r="P1333">
        <f>IF(B1373=0,0,O1333/B1373)</f>
        <v/>
      </c>
      <c r="Q1333" t="n">
        <v>0</v>
      </c>
      <c r="R1333" t="n">
        <v>0</v>
      </c>
      <c r="S1333">
        <f>IFERROR((Skills!G2*N1333*B1367)/N1333*IF(Inputs!$B$38="pvp",1,(1-Summary!$B$11)*1+Summary!$B$11*(MIN((6+Inputs!$B$33),Inputs!$B$37))),0)</f>
        <v/>
      </c>
      <c r="T1333">
        <f>IF(C1333,(Skills!G2*N1333*B1367)*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Hunt"),CHOOSE(ArtifactsInput!$N$35+1,15,18,21,24,27,30)*(1-EXP(-(0.2*B1365)*5)),0)+IF(AND(ArtifactsInput!$M$22,Inputs!$B$4&lt;&gt;"Chapter Hunt"),CHOOSE(ArtifactsInput!$N$22+1,10,12,14,16,18,20)*((0*(((0.15*B1365*5))^0/1)+1*(((0.15*B1365*5))^1/1)+2*(((0.15*B1365*5))^2/2)+3*(((0.15*B1365*5))^3/6)+4*(((0.15*B1365*5))^4/24)+5*(((0.15*B1365*5))^5/120))/((((0.15*B1365*5))^0/1)+(((0.15*B1365*5))^1/1)+(((0.15*B1365*5))^2/2)+(((0.15*B1365*5))^3/6)+(((0.15*B1365*5))^4/24)+(((0.15*B1365*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1333*(1-MIN(100,(Inputs!$B$9+((C1350=TRUE)*(F1350-Calc!F19))+B1363+(ArtifactsInput!$M$24-ArtifactsInput!$M$24)*CHOOSE(ArtifactsInput!$N$24+1,10,12,14,16,18,20)+(IF(AND(ArtifactsInput!$M$42,((Inputs!$B$9+((C1350=TRUE)*(F1350-Calc!F19))+B1363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1333*(MIN(100,(Inputs!$B$9+((C1350=TRUE)*(F1350-Calc!F19))+B1363+(ArtifactsInput!$M$24-ArtifactsInput!$M$24)*CHOOSE(ArtifactsInput!$N$24+1,10,12,14,16,18,20)+(IF(AND(ArtifactsInput!$M$42,((Inputs!$B$9+((C1350=TRUE)*(F1350-Calc!F19))+B1363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1333*(1-MIN(100,(Inputs!$B$9+((C1350=TRUE)*(F1350-Calc!F19))+B1363+(ArtifactsInput!$M$24-ArtifactsInput!$M$24)*CHOOSE(ArtifactsInput!$N$24+1,10,12,14,16,18,20)+(IF(AND(ArtifactsInput!$M$42,((Inputs!$B$9+((C1350=TRUE)*(F1350-Calc!F19))+B1363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1333*(MIN(100,(Inputs!$B$9+((C1350=TRUE)*(F1350-Calc!F19))+B1363+(ArtifactsInput!$M$24-ArtifactsInput!$M$24)*CHOOSE(ArtifactsInput!$N$24+1,10,12,14,16,18,20)+(IF(AND(ArtifactsInput!$M$42,((Inputs!$B$9+((C1350=TRUE)*(F1350-Calc!F19))+B1363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333">
        <f>MAX(0,(Inputs!$B$3-100)*3)+Inputs!$B$28+Inputs!$B$29</f>
        <v/>
      </c>
      <c r="V1333">
        <f>IF(C1333,(Skills!G2*N1333*B1367)*IF(Inputs!$B$38="pvp",1,(1+(Inputs!$B$21+Skills!Q2+(IF(ArtifactsInput!$M$33,CHOOSE(ArtifactsInput!$N$33+1,30,36,42,48,54,60),0))+(IF(AND(ArtifactsInput!$M$35,Inputs!$B$4&lt;&gt;"Chapter Hunt"),CHOOSE(ArtifactsInput!$N$35+1,15,18,21,24,27,30)*(1-EXP(-(0.2*B1365)*5)),0)+IF(AND(ArtifactsInput!$M$22,Inputs!$B$4&lt;&gt;"Chapter Hunt"),CHOOSE(ArtifactsInput!$N$22+1,10,12,14,16,18,20)*((0*(((0.15*B1365*5))^0/1)+1*(((0.15*B1365*5))^1/1)+2*(((0.15*B1365*5))^2/2)+3*(((0.15*B1365*5))^3/6)+4*(((0.15*B1365*5))^4/24)+5*(((0.15*B1365*5))^5/120))/((((0.15*B1365*5))^0/1)+(((0.15*B1365*5))^1/1)+(((0.15*B1365*5))^2/2)+(((0.15*B1365*5))^3/6)+(((0.15*B1365*5))^4/24)+(((0.15*B1365*5))^5/120)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334">
      <c r="A1334">
        <f>Skills!A3</f>
        <v/>
      </c>
      <c r="B1334">
        <f>Skills!B3</f>
        <v/>
      </c>
      <c r="C1334">
        <f>Inputs!$B$3&gt;=50</f>
        <v/>
      </c>
      <c r="D1334">
        <f>IF(Skills!C3=1,60+Inputs!$B$25+Inputs!$B$29,IF(Skills!C3=2,90+Inputs!$B$26+Inputs!$B$29,IF(Skills!C3=3,120+Inputs!$B$27+Inputs!$B$29,MAX(0,(Inputs!$B$3-100)*3)+Inputs!$B$28+Inputs!$B$29)))</f>
        <v/>
      </c>
      <c r="E1334">
        <f>INDEX(FactorTable!$B$2:$Y$301, MATCH(ROUND(MIN(300,MAX(1,D1334)),0), FactorTable!$A$2:$A$301,0), Skills!M3+1)</f>
        <v/>
      </c>
      <c r="F1334">
        <f>IF(Skills!N3=TRUE,(Skills!L3/10)*(E1334/1000),Skills!L3/10)+Skills!O3</f>
        <v/>
      </c>
      <c r="G1334" t="inlineStr"/>
      <c r="H1334" t="inlineStr"/>
      <c r="I1334" t="inlineStr">
        <is>
          <t>1</t>
        </is>
      </c>
      <c r="J1334" t="inlineStr"/>
      <c r="K1334" t="inlineStr"/>
      <c r="L1334" t="inlineStr"/>
      <c r="M1334" t="inlineStr"/>
      <c r="N1334" t="inlineStr"/>
      <c r="O1334" t="inlineStr"/>
      <c r="P1334" t="inlineStr"/>
      <c r="Q1334" t="inlineStr"/>
      <c r="R1334" t="inlineStr"/>
      <c r="S1334" t="inlineStr"/>
      <c r="T1334" t="inlineStr"/>
      <c r="U1334">
        <f>INDEX(FactorTable!$B$2:$Y$301, MATCH(ROUND(MIN(300,MAX(1,U1333)),0), FactorTable!$A$2:$A$301,0), 22)</f>
        <v/>
      </c>
      <c r="V1334" t="inlineStr"/>
    </row>
    <row r="1335">
      <c r="A1335">
        <f>Skills!A4</f>
        <v/>
      </c>
      <c r="B1335">
        <f>Skills!B4</f>
        <v/>
      </c>
      <c r="C1335">
        <f>Inputs!$B$3&gt;=105</f>
        <v/>
      </c>
      <c r="D1335">
        <f>IF(Skills!C4=1,60+Inputs!$B$25+Inputs!$B$29,IF(Skills!C4=2,90+Inputs!$B$26+Inputs!$B$29,IF(Skills!C4=3,120+Inputs!$B$27+Inputs!$B$29,MAX(0,(Inputs!$B$3-100)*3)+Inputs!$B$28+Inputs!$B$29)))</f>
        <v/>
      </c>
      <c r="E1335">
        <f>INDEX(FactorTable!$B$2:$Y$301, MATCH(ROUND(MIN(300,MAX(1,D1335)),0), FactorTable!$A$2:$A$301,0), Skills!M4+1)</f>
        <v/>
      </c>
      <c r="F1335">
        <f>IF(Skills!N4=TRUE,(Skills!L4/10)*(E1335/1000),Skills!L4/10)+Skills!O4</f>
        <v/>
      </c>
      <c r="G1335" t="inlineStr"/>
      <c r="H1335" t="inlineStr"/>
      <c r="I1335" t="inlineStr">
        <is>
          <t>1</t>
        </is>
      </c>
      <c r="J1335" t="inlineStr"/>
      <c r="K1335" t="inlineStr"/>
      <c r="L1335" t="inlineStr"/>
      <c r="M1335" t="inlineStr"/>
      <c r="N1335" t="inlineStr"/>
      <c r="O1335" t="inlineStr"/>
      <c r="P1335" t="inlineStr"/>
      <c r="Q1335" t="inlineStr"/>
      <c r="R1335" t="inlineStr"/>
      <c r="S1335" t="inlineStr"/>
      <c r="T1335" t="inlineStr"/>
      <c r="U1335">
        <f>290*U1334/1000</f>
        <v/>
      </c>
      <c r="V1335" t="inlineStr"/>
    </row>
    <row r="1336">
      <c r="A1336">
        <f>Skills!A5</f>
        <v/>
      </c>
      <c r="B1336">
        <f>Skills!B5</f>
        <v/>
      </c>
      <c r="C1336">
        <f>Inputs!$B$3&gt;=35</f>
        <v/>
      </c>
      <c r="D1336">
        <f>IF(Skills!C5=1,60+Inputs!$B$25+Inputs!$B$29,IF(Skills!C5=2,90+Inputs!$B$26+Inputs!$B$29,IF(Skills!C5=3,120+Inputs!$B$27+Inputs!$B$29,MAX(0,(Inputs!$B$3-100)*3)+Inputs!$B$28+Inputs!$B$29)))</f>
        <v/>
      </c>
      <c r="E1336">
        <f>INDEX(FactorTable!$B$2:$Y$301, MATCH(ROUND(MIN(300,MAX(1,D1336)),0), FactorTable!$A$2:$A$301,0), Skills!M5+1)</f>
        <v/>
      </c>
      <c r="F1336">
        <f>IF(Skills!N5=TRUE,(Skills!L5/10)*(E1336/1000),Skills!L5/10)+Skills!O5</f>
        <v/>
      </c>
      <c r="G1336">
        <f>Skills!G5*IF(Skills!H5&gt;0,Skills!I5/Skills!H5,1)</f>
        <v/>
      </c>
      <c r="H1336">
        <f>1-(1-Skills!J5/100)^Skills!K5</f>
        <v/>
      </c>
      <c r="I1336" t="inlineStr">
        <is>
          <t>1</t>
        </is>
      </c>
      <c r="J1336">
        <f>((Inputs!$B$6*(1+Inputs!$B$7/100))+(((Inputs!$B$12*(1+Inputs!$B$13/100))-(Inputs!$B$12*(1+Inputs!$B$13/100)))+0.25*(Inputs!$B$14-Inputs!$B$14))*(1+Inputs!$B$7/100))*(F1336/100)</f>
        <v/>
      </c>
      <c r="K1336">
        <f>J1336*(1+((Inputs!$B$12*(1+Inputs!$B$13/100))*0.01+Inputs!$B$14*0.0025)/100)*(1+Inputs!$B$15/100)*(1+Inputs!$B$16/100)*(5000/(6000+Inputs!$B$42*(1-(100*(1-(1-(Inputs!$B$19+0)/100)*(1-CHOOSE(ArtifactsInput!$N$40+1,5,6,7,8,9,10)/100)^(ArtifactsInput!$M$40-ArtifactsInput!$M$40)))/100)))*(1+(Inputs!$B$24+((C1355=TRUE)*(F1355-Calc!F24))+((C1356=TRUE)*(F1356-Calc!F25))+B1369)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1339=TRUE,F1339,0)/100)*(1+(IF(Skills!A5="EMPOWERED_PIERCING_ARROW",Inputs!$B$17+((C1353=TRUE)*(F1353-Calc!F22))+(((IF(AND(ArtifactsInput!$M$42,((Inputs!$B$9+((C1350=TRUE)*(F1350-Calc!F19))+B1363+(ArtifactsInput!$M$24-ArtifactsInput!$M$24)*CHOOSE(ArtifactsInput!$N$24+1,10,12,14,16,18,20)+IF(ArtifactsInput!$M$10,CHOOSE(ArtifactsInput!$N$10+1,15,18,21,24,27,30)*(IF(Inputs!$B$38="pvp",MIN(15,15)/15,IF(AND(Inputs!$B$38&lt;&gt;"pvp",Inputs!$B$43&gt;0),MIN(15,Inputs!$B$43)/(Inputs!$B$43),0))),0)))&gt;=100),MIN(100,((Inputs!$B$9+((C1350=TRUE)*(F1350-Calc!F19))+B1363+(ArtifactsInput!$M$24-ArtifactsInput!$M$24)*CHOOSE(ArtifactsInput!$N$24+1,10,12,14,16,18,20)+IF(ArtifactsInput!$M$10,CHOOSE(ArtifactsInput!$N$10+1,15,18,21,24,27,30)*(IF(Inputs!$B$38="pvp",MIN(15,15)/15,IF(AND(Inputs!$B$38&lt;&gt;"pvp",Inputs!$B$43&gt;0),MIN(15,Inputs!$B$43)/(Inputs!$B$43),0))),0)))-100),0))*CHOOSE(ArtifactsInput!$N$42+1,0.6,0.72,0.84,0.96,1.08,1.2))),Inputs!$B$18+((C1358=TRUE)*(F1358-Calc!F27))+(IF(AND(ArtifactsInput!$M$42,((Inputs!$B$9+((C1350=TRUE)*(F1350-Calc!F19))+B1363+(ArtifactsInput!$M$24-ArtifactsInput!$M$24)*CHOOSE(ArtifactsInput!$N$24+1,10,12,14,16,18,20)+IF(ArtifactsInput!$M$10,CHOOSE(ArtifactsInput!$N$10+1,15,18,21,24,27,30)*(IF(Inputs!$B$38="pvp",MIN(15,15)/15,IF(AND(Inputs!$B$38&lt;&gt;"pvp",Inputs!$B$43&gt;0),MIN(15,Inputs!$B$43)/(Inputs!$B$43),0))),0)))&gt;=100),CHOOSE(ArtifactsInput!$N$42+1,40,48,56,64,72,80),0))))/100)*((1+(((C1344=TRUE)*F1344)+((C1345=TRUE)*IF(Inputs!$B$38="pvp",F1345,(1-Summary!$B$11)*(F1345)+Summary!$B$11*(0)))+((C1346=TRUE)*F1346*IF(AND(Inputs!$B$38&lt;&gt;"pvp",Inputs!$B$43&gt;0),(((R1346-1)*(Skills!T15*(1+Inputs!$B$34/100))+MIN((Skills!T15*(1+Inputs!$B$34/100)),MAX(0,Inputs!$B$43-((R1346-1)*Skills!D15))))/Inputs!$B$43),IF(Inputs!$B$38="pvp",MIN((Skills!T15*(1+Inputs!$B$34/100)),15)/15,(Skills!T15*(1+Inputs!$B$34/100))/Skills!D15)))+((C1343=TRUE)*F1343)+((C1360=TRUE)*(F1360-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1336)</f>
        <v/>
      </c>
      <c r="L1336">
        <f>K1336*(MIN(Inputs!$B$22+((C1354=TRUE)*(F1354-Calc!F23)),(Inputs!$B$23+((C1359=TRUE)*(F1359-Calc!F28))+(IF(ArtifactsInput!$M$15,CHOOSE(ArtifactsInput!$N$15+1,25,30,35,40,45,50)/100*(Inputs!$B$11-Inputs!$B$11),0))))/100+(Inputs!$B$23+((C1359=TRUE)*(F1359-Calc!F28))+(IF(ArtifactsInput!$M$15,CHOOSE(ArtifactsInput!$N$15+1,25,30,35,40,45,50)/100*(Inputs!$B$11-Inputs!$B$11),0)))/100)/2</f>
        <v/>
      </c>
      <c r="M1336">
        <f>L1336*(1+(Inputs!$B$10+0+B1368+(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336">
        <f>L1336*(1-MIN((Inputs!$B$9+((C1350=TRUE)*(F1350-Calc!F19))+B1363+(ArtifactsInput!$M$24-ArtifactsInput!$M$24)*CHOOSE(ArtifactsInput!$N$24+1,10,12,14,16,18,20)+(IF(AND(ArtifactsInput!$M$42,((Inputs!$B$9+((C1350=TRUE)*(F1350-Calc!F19))+B1363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1336*(MIN((Inputs!$B$9+((C1350=TRUE)*(F1350-Calc!F19))+B1363+(ArtifactsInput!$M$24-ArtifactsInput!$M$24)*CHOOSE(ArtifactsInput!$N$24+1,10,12,14,16,18,20)+(IF(AND(ArtifactsInput!$M$42,((Inputs!$B$9+((C1350=TRUE)*(F1350-Calc!F19))+B1363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336">
        <f>(1-Summary!$B$11)*T1336+Summary!$B$11*V1336</f>
        <v/>
      </c>
      <c r="P1336">
        <f>IF(B1373=0,0,O1336/B1373)</f>
        <v/>
      </c>
      <c r="Q1336">
        <f>IFERROR(1/IF(Inputs!$B$38="pvp",15,MAX(0.1,Skills!D5-IF(Skills!E5=TRUE,Inputs!$B$32,0))),0)</f>
        <v/>
      </c>
      <c r="R1336">
        <f>IF(AND(Inputs!$B$38&lt;&gt;"pvp",Inputs!$B$43&gt;0),IF(MAX(0,Inputs!$B$43-B1370)&lt;=0,0,(INT(MAX(0,Inputs!$B$43-B1370)/IF(Inputs!$B$38="pvp",15,MAX(0.1,Skills!D5-IF(Skills!E5=TRUE,Inputs!$B$32,0))))+1)),0)</f>
        <v/>
      </c>
      <c r="S1336">
        <f>IFERROR((H1336*N1336*IF(AND(Inputs!$B$38&lt;&gt;"pvp",Inputs!$B$43&gt;0),((Skills!G5*((R1336-1)*IF(Skills!H5&gt;0,Skills!I5/Skills!H5,1)+IF(Skills!H5&gt;0,MIN(Skills!I5,MAX(0,MAX(0,Inputs!$B$43-B1370)-((R1336-1)*IF(Inputs!$B$38="pvp",15,MAX(0.1,Skills!D5-IF(Skills!E5=TRUE,Inputs!$B$32,0))))))/Skills!H5,1)))/Inputs!$B$43),G1336*Q1336))/N1336*IF(Inputs!$B$38="pvp",1,(1-Summary!$B$11)*1+Summary!$B$11*(MIN(Skills!R5,Inputs!$B$37))),0)</f>
        <v/>
      </c>
      <c r="T1336">
        <f>IF(C1336,(H1336*N1336*IF(AND(Inputs!$B$38&lt;&gt;"pvp",Inputs!$B$43&gt;0),((Skills!G5*((R1336-1)*IF(Skills!H5&gt;0,Skills!I5/Skills!H5,1)+IF(Skills!H5&gt;0,MIN(Skills!I5,MAX(0,MAX(0,Inputs!$B$43-B1370)-((R1336-1)*IF(Inputs!$B$38="pvp",15,MAX(0.1,Skills!D5-IF(Skills!E5=TRUE,Inputs!$B$32,0))))))/Skills!H5,1)))/Inputs!$B$43),G1336*Q1336))*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Hunt"),CHOOSE(ArtifactsInput!$N$35+1,15,18,21,24,27,30)*(1-EXP(-(0.2*B1365)*5)),0)+IF(AND(ArtifactsInput!$M$22,Inputs!$B$4&lt;&gt;"Chapter Hunt"),CHOOSE(ArtifactsInput!$N$22+1,10,12,14,16,18,20)*((0*(((0.15*B1365*5))^0/1)+1*(((0.15*B1365*5))^1/1)+2*(((0.15*B1365*5))^2/2)+3*(((0.15*B1365*5))^3/6)+4*(((0.15*B1365*5))^4/24)+5*(((0.15*B1365*5))^5/120))/((((0.15*B1365*5))^0/1)+(((0.15*B1365*5))^1/1)+(((0.15*B1365*5))^2/2)+(((0.15*B1365*5))^3/6)+(((0.15*B1365*5))^4/24)+(((0.15*B1365*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1336*(1-MIN(100,(Inputs!$B$9+((C1350=TRUE)*(F1350-Calc!F19))+B1363+(ArtifactsInput!$M$24-ArtifactsInput!$M$24)*CHOOSE(ArtifactsInput!$N$24+1,10,12,14,16,18,20)+(IF(AND(ArtifactsInput!$M$42,((Inputs!$B$9+((C1350=TRUE)*(F1350-Calc!F19))+B1363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1336*(MIN(100,(Inputs!$B$9+((C1350=TRUE)*(F1350-Calc!F19))+B1363+(ArtifactsInput!$M$24-ArtifactsInput!$M$24)*CHOOSE(ArtifactsInput!$N$24+1,10,12,14,16,18,20)+(IF(AND(ArtifactsInput!$M$42,((Inputs!$B$9+((C1350=TRUE)*(F1350-Calc!F19))+B1363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1336*(1-MIN(100,(Inputs!$B$9+((C1350=TRUE)*(F1350-Calc!F19))+B1363+(ArtifactsInput!$M$24-ArtifactsInput!$M$24)*CHOOSE(ArtifactsInput!$N$24+1,10,12,14,16,18,20)+(IF(AND(ArtifactsInput!$M$42,((Inputs!$B$9+((C1350=TRUE)*(F1350-Calc!F19))+B1363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1336*(MIN(100,(Inputs!$B$9+((C1350=TRUE)*(F1350-Calc!F19))+B1363+(ArtifactsInput!$M$24-ArtifactsInput!$M$24)*CHOOSE(ArtifactsInput!$N$24+1,10,12,14,16,18,20)+(IF(AND(ArtifactsInput!$M$42,((Inputs!$B$9+((C1350=TRUE)*(F1350-Calc!F19))+B1363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336">
        <f>IF(C1336,(H1336*N1336*IF(AND(Inputs!$B$38&lt;&gt;"pvp",Inputs!$B$43&gt;0),((Skills!G5*((R1336-1)*IF(Skills!H5&gt;0,Skills!I5/Skills!H5,1)+IF(Skills!H5&gt;0,MIN(Skills!I5,MAX(0,MAX(0,Inputs!$B$43-B1370)-((R1336-1)*IF(Inputs!$B$38="pvp",15,MAX(0.1,Skills!D5-IF(Skills!E5=TRUE,Inputs!$B$32,0))))))/Skills!H5,1)))/Inputs!$B$43),G1336*Q1336))*IF(Inputs!$B$38="pvp",1,(1+(Inputs!$B$21+Skills!Q5+(IF(ArtifactsInput!$M$33,CHOOSE(ArtifactsInput!$N$33+1,30,36,42,48,54,60),0))+(IF(AND(ArtifactsInput!$M$35,Inputs!$B$4&lt;&gt;"Chapter Hunt"),CHOOSE(ArtifactsInput!$N$35+1,15,18,21,24,27,30)*(1-EXP(-(0.2*B1365)*5)),0)+IF(AND(ArtifactsInput!$M$22,Inputs!$B$4&lt;&gt;"Chapter Hunt"),CHOOSE(ArtifactsInput!$N$22+1,10,12,14,16,18,20)*((0*(((0.15*B1365*5))^0/1)+1*(((0.15*B1365*5))^1/1)+2*(((0.15*B1365*5))^2/2)+3*(((0.15*B1365*5))^3/6)+4*(((0.15*B1365*5))^4/24)+5*(((0.15*B1365*5))^5/120))/((((0.15*B1365*5))^0/1)+(((0.15*B1365*5))^1/1)+(((0.15*B1365*5))^2/2)+(((0.15*B1365*5))^3/6)+(((0.15*B1365*5))^4/24)+(((0.15*B1365*5))^5/120)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337">
      <c r="A1337">
        <f>Skills!A6</f>
        <v/>
      </c>
      <c r="B1337">
        <f>Skills!B6</f>
        <v/>
      </c>
      <c r="C1337">
        <f>Inputs!$B$3&gt;=63</f>
        <v/>
      </c>
      <c r="D1337">
        <f>IF(Skills!C6=1,60+Inputs!$B$25+Inputs!$B$29,IF(Skills!C6=2,90+Inputs!$B$26+Inputs!$B$29,IF(Skills!C6=3,120+Inputs!$B$27+Inputs!$B$29,MAX(0,(Inputs!$B$3-100)*3)+Inputs!$B$28+Inputs!$B$29)))</f>
        <v/>
      </c>
      <c r="E1337">
        <f>INDEX(FactorTable!$B$2:$Y$301, MATCH(ROUND(MIN(300,MAX(1,D1337)),0), FactorTable!$A$2:$A$301,0), Skills!M6+1)</f>
        <v/>
      </c>
      <c r="F1337">
        <f>IF(Skills!N6=TRUE,(Skills!L6/10)*(E1337/1000),Skills!L6/10)+Skills!O6</f>
        <v/>
      </c>
      <c r="G1337">
        <f>Skills!G6*IF(Skills!H6&gt;0,Skills!I6/Skills!H6,1)</f>
        <v/>
      </c>
      <c r="H1337">
        <f>1-(1-Skills!J6/100)^Skills!K6</f>
        <v/>
      </c>
      <c r="I1337" t="inlineStr">
        <is>
          <t>1</t>
        </is>
      </c>
      <c r="J1337">
        <f>((Inputs!$B$6*(1+Inputs!$B$7/100))+(((Inputs!$B$12*(1+Inputs!$B$13/100))-(Inputs!$B$12*(1+Inputs!$B$13/100)))+0.25*(Inputs!$B$14-Inputs!$B$14))*(1+Inputs!$B$7/100))*(F1337/100)</f>
        <v/>
      </c>
      <c r="K1337">
        <f>J1337*(1+((Inputs!$B$12*(1+Inputs!$B$13/100))*0.01+Inputs!$B$14*0.0025)/100)*(1+Inputs!$B$15/100)*(1+Inputs!$B$16/100)*(5000/(6000+Inputs!$B$42*(1-(100*(1-(1-(Inputs!$B$19+0)/100)*(1-CHOOSE(ArtifactsInput!$N$40+1,5,6,7,8,9,10)/100)^(ArtifactsInput!$M$40-ArtifactsInput!$M$40)))/100)))*(1+(Inputs!$B$24+((C1355=TRUE)*(F1355-Calc!F24))+((C1356=TRUE)*(F1356-Calc!F25))+B1369)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1339=TRUE,F1339,0)/100)*(1+(IF(Skills!A6="EMPOWERED_PIERCING_ARROW",Inputs!$B$17+((C1353=TRUE)*(F1353-Calc!F22))+(((IF(AND(ArtifactsInput!$M$42,((Inputs!$B$9+((C1350=TRUE)*(F1350-Calc!F19))+B1363+(ArtifactsInput!$M$24-ArtifactsInput!$M$24)*CHOOSE(ArtifactsInput!$N$24+1,10,12,14,16,18,20)+IF(ArtifactsInput!$M$10,CHOOSE(ArtifactsInput!$N$10+1,15,18,21,24,27,30)*(IF(Inputs!$B$38="pvp",MIN(15,15)/15,IF(AND(Inputs!$B$38&lt;&gt;"pvp",Inputs!$B$43&gt;0),MIN(15,Inputs!$B$43)/(Inputs!$B$43),0))),0)))&gt;=100),MIN(100,((Inputs!$B$9+((C1350=TRUE)*(F1350-Calc!F19))+B1363+(ArtifactsInput!$M$24-ArtifactsInput!$M$24)*CHOOSE(ArtifactsInput!$N$24+1,10,12,14,16,18,20)+IF(ArtifactsInput!$M$10,CHOOSE(ArtifactsInput!$N$10+1,15,18,21,24,27,30)*(IF(Inputs!$B$38="pvp",MIN(15,15)/15,IF(AND(Inputs!$B$38&lt;&gt;"pvp",Inputs!$B$43&gt;0),MIN(15,Inputs!$B$43)/(Inputs!$B$43),0))),0)))-100),0))*CHOOSE(ArtifactsInput!$N$42+1,0.6,0.72,0.84,0.96,1.08,1.2))),Inputs!$B$18+((C1358=TRUE)*(F1358-Calc!F27))+(IF(AND(ArtifactsInput!$M$42,((Inputs!$B$9+((C1350=TRUE)*(F1350-Calc!F19))+B1363+(ArtifactsInput!$M$24-ArtifactsInput!$M$24)*CHOOSE(ArtifactsInput!$N$24+1,10,12,14,16,18,20)+IF(ArtifactsInput!$M$10,CHOOSE(ArtifactsInput!$N$10+1,15,18,21,24,27,30)*(IF(Inputs!$B$38="pvp",MIN(15,15)/15,IF(AND(Inputs!$B$38&lt;&gt;"pvp",Inputs!$B$43&gt;0),MIN(15,Inputs!$B$43)/(Inputs!$B$43),0))),0)))&gt;=100),CHOOSE(ArtifactsInput!$N$42+1,40,48,56,64,72,80),0))))/100)*((1+(((C1344=TRUE)*F1344)+((C1345=TRUE)*IF(Inputs!$B$38="pvp",F1345,(1-Summary!$B$11)*(F1345)+Summary!$B$11*(0)))+((C1346=TRUE)*F1346*IF(AND(Inputs!$B$38&lt;&gt;"pvp",Inputs!$B$43&gt;0),(((R1346-1)*(Skills!T15*(1+Inputs!$B$34/100))+MIN((Skills!T15*(1+Inputs!$B$34/100)),MAX(0,Inputs!$B$43-((R1346-1)*Skills!D15))))/Inputs!$B$43),IF(Inputs!$B$38="pvp",MIN((Skills!T15*(1+Inputs!$B$34/100)),15)/15,(Skills!T15*(1+Inputs!$B$34/100))/Skills!D15)))+((C1343=TRUE)*F1343)+((C1360=TRUE)*(F1360-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1337)</f>
        <v/>
      </c>
      <c r="L1337">
        <f>K1337*(MIN(Inputs!$B$22+((C1354=TRUE)*(F1354-Calc!F23)),(Inputs!$B$23+((C1359=TRUE)*(F1359-Calc!F28))+(IF(ArtifactsInput!$M$15,CHOOSE(ArtifactsInput!$N$15+1,25,30,35,40,45,50)/100*(Inputs!$B$11-Inputs!$B$11),0))))/100+(Inputs!$B$23+((C1359=TRUE)*(F1359-Calc!F28))+(IF(ArtifactsInput!$M$15,CHOOSE(ArtifactsInput!$N$15+1,25,30,35,40,45,50)/100*(Inputs!$B$11-Inputs!$B$11),0)))/100)/2</f>
        <v/>
      </c>
      <c r="M1337">
        <f>L1337*(1+(Inputs!$B$10+0+B1368+(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337">
        <f>L1337*(1-MIN((Inputs!$B$9+((C1350=TRUE)*(F1350-Calc!F19))+B1363+(ArtifactsInput!$M$24-ArtifactsInput!$M$24)*CHOOSE(ArtifactsInput!$N$24+1,10,12,14,16,18,20)+(IF(AND(ArtifactsInput!$M$42,((Inputs!$B$9+((C1350=TRUE)*(F1350-Calc!F19))+B1363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1337*(MIN((Inputs!$B$9+((C1350=TRUE)*(F1350-Calc!F19))+B1363+(ArtifactsInput!$M$24-ArtifactsInput!$M$24)*CHOOSE(ArtifactsInput!$N$24+1,10,12,14,16,18,20)+(IF(AND(ArtifactsInput!$M$42,((Inputs!$B$9+((C1350=TRUE)*(F1350-Calc!F19))+B1363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337">
        <f>(1-Summary!$B$11)*T1337+Summary!$B$11*V1337</f>
        <v/>
      </c>
      <c r="P1337">
        <f>IF(B1373=0,0,O1337/B1373)</f>
        <v/>
      </c>
      <c r="Q1337">
        <f>IFERROR(1/IF(Inputs!$B$38="pvp",15,MAX(0.1,Skills!D6-IF(Skills!E6=TRUE,Inputs!$B$32,0))),0)</f>
        <v/>
      </c>
      <c r="R1337">
        <f>IF(AND(Inputs!$B$38&lt;&gt;"pvp",Inputs!$B$43&gt;0),IF(MAX(0,Inputs!$B$43-B1370)&lt;=0,0,(INT(MAX(0,Inputs!$B$43-B1370)/IF(Inputs!$B$38="pvp",15,MAX(0.1,Skills!D6-IF(Skills!E6=TRUE,Inputs!$B$32,0))))+1)),0)</f>
        <v/>
      </c>
      <c r="S1337">
        <f>IFERROR((H1337*N1337*IF(AND(Inputs!$B$38&lt;&gt;"pvp",Inputs!$B$43&gt;0),((Skills!G6*((R1337-1)*IF(Skills!H6&gt;0,Skills!I6/Skills!H6,1)+IF(Skills!H6&gt;0,MIN(Skills!I6,MAX(0,MAX(0,Inputs!$B$43-B1370)-((R1337-1)*IF(Inputs!$B$38="pvp",15,MAX(0.1,Skills!D6-IF(Skills!E6=TRUE,Inputs!$B$32,0))))))/Skills!H6,1)))/Inputs!$B$43),G1337*Q1337))/N1337*IF(Inputs!$B$38="pvp",1,(1-Summary!$B$11)*1+Summary!$B$11*(MIN(Skills!R6,Inputs!$B$37))),0)</f>
        <v/>
      </c>
      <c r="T1337">
        <f>IF(C1337,(H1337*N1337*IF(AND(Inputs!$B$38&lt;&gt;"pvp",Inputs!$B$43&gt;0),((Skills!G6*((R1337-1)*IF(Skills!H6&gt;0,Skills!I6/Skills!H6,1)+IF(Skills!H6&gt;0,MIN(Skills!I6,MAX(0,MAX(0,Inputs!$B$43-B1370)-((R1337-1)*IF(Inputs!$B$38="pvp",15,MAX(0.1,Skills!D6-IF(Skills!E6=TRUE,Inputs!$B$32,0))))))/Skills!H6,1)))/Inputs!$B$43),G1337*Q1337))*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Hunt"),CHOOSE(ArtifactsInput!$N$35+1,15,18,21,24,27,30)*(1-EXP(-(0.2*B1365)*5)),0)+IF(AND(ArtifactsInput!$M$22,Inputs!$B$4&lt;&gt;"Chapter Hunt"),CHOOSE(ArtifactsInput!$N$22+1,10,12,14,16,18,20)*((0*(((0.15*B1365*5))^0/1)+1*(((0.15*B1365*5))^1/1)+2*(((0.15*B1365*5))^2/2)+3*(((0.15*B1365*5))^3/6)+4*(((0.15*B1365*5))^4/24)+5*(((0.15*B1365*5))^5/120))/((((0.15*B1365*5))^0/1)+(((0.15*B1365*5))^1/1)+(((0.15*B1365*5))^2/2)+(((0.15*B1365*5))^3/6)+(((0.15*B1365*5))^4/24)+(((0.15*B1365*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1337*(1-MIN(100,(Inputs!$B$9+((C1350=TRUE)*(F1350-Calc!F19))+B1363+(ArtifactsInput!$M$24-ArtifactsInput!$M$24)*CHOOSE(ArtifactsInput!$N$24+1,10,12,14,16,18,20)+(IF(AND(ArtifactsInput!$M$42,((Inputs!$B$9+((C1350=TRUE)*(F1350-Calc!F19))+B1363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1337*(MIN(100,(Inputs!$B$9+((C1350=TRUE)*(F1350-Calc!F19))+B1363+(ArtifactsInput!$M$24-ArtifactsInput!$M$24)*CHOOSE(ArtifactsInput!$N$24+1,10,12,14,16,18,20)+(IF(AND(ArtifactsInput!$M$42,((Inputs!$B$9+((C1350=TRUE)*(F1350-Calc!F19))+B1363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1337*(1-MIN(100,(Inputs!$B$9+((C1350=TRUE)*(F1350-Calc!F19))+B1363+(ArtifactsInput!$M$24-ArtifactsInput!$M$24)*CHOOSE(ArtifactsInput!$N$24+1,10,12,14,16,18,20)+(IF(AND(ArtifactsInput!$M$42,((Inputs!$B$9+((C1350=TRUE)*(F1350-Calc!F19))+B1363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1337*(MIN(100,(Inputs!$B$9+((C1350=TRUE)*(F1350-Calc!F19))+B1363+(ArtifactsInput!$M$24-ArtifactsInput!$M$24)*CHOOSE(ArtifactsInput!$N$24+1,10,12,14,16,18,20)+(IF(AND(ArtifactsInput!$M$42,((Inputs!$B$9+((C1350=TRUE)*(F1350-Calc!F19))+B1363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337">
        <f>IF(C1337,(H1337*N1337*IF(AND(Inputs!$B$38&lt;&gt;"pvp",Inputs!$B$43&gt;0),((Skills!G6*((R1337-1)*IF(Skills!H6&gt;0,Skills!I6/Skills!H6,1)+IF(Skills!H6&gt;0,MIN(Skills!I6,MAX(0,MAX(0,Inputs!$B$43-B1370)-((R1337-1)*IF(Inputs!$B$38="pvp",15,MAX(0.1,Skills!D6-IF(Skills!E6=TRUE,Inputs!$B$32,0))))))/Skills!H6,1)))/Inputs!$B$43),G1337*Q1337))*IF(Inputs!$B$38="pvp",1,(1+(Inputs!$B$21+Skills!Q6+(IF(ArtifactsInput!$M$33,CHOOSE(ArtifactsInput!$N$33+1,30,36,42,48,54,60),0))+(IF(AND(ArtifactsInput!$M$35,Inputs!$B$4&lt;&gt;"Chapter Hunt"),CHOOSE(ArtifactsInput!$N$35+1,15,18,21,24,27,30)*(1-EXP(-(0.2*B1365)*5)),0)+IF(AND(ArtifactsInput!$M$22,Inputs!$B$4&lt;&gt;"Chapter Hunt"),CHOOSE(ArtifactsInput!$N$22+1,10,12,14,16,18,20)*((0*(((0.15*B1365*5))^0/1)+1*(((0.15*B1365*5))^1/1)+2*(((0.15*B1365*5))^2/2)+3*(((0.15*B1365*5))^3/6)+4*(((0.15*B1365*5))^4/24)+5*(((0.15*B1365*5))^5/120))/((((0.15*B1365*5))^0/1)+(((0.15*B1365*5))^1/1)+(((0.15*B1365*5))^2/2)+(((0.15*B1365*5))^3/6)+(((0.15*B1365*5))^4/24)+(((0.15*B1365*5))^5/120))),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338">
      <c r="A1338">
        <f>Skills!A7</f>
        <v/>
      </c>
      <c r="B1338">
        <f>Skills!B7</f>
        <v/>
      </c>
      <c r="C1338">
        <f>Inputs!$B$3&gt;=69</f>
        <v/>
      </c>
      <c r="D1338">
        <f>IF(Skills!C7=1,60+Inputs!$B$25+Inputs!$B$29,IF(Skills!C7=2,90+Inputs!$B$26+Inputs!$B$29,IF(Skills!C7=3,120+Inputs!$B$27+Inputs!$B$29,MAX(0,(Inputs!$B$3-100)*3)+Inputs!$B$28+Inputs!$B$29)))</f>
        <v/>
      </c>
      <c r="E1338">
        <f>INDEX(FactorTable!$B$2:$Y$301, MATCH(ROUND(MIN(300,MAX(1,D1338)),0), FactorTable!$A$2:$A$301,0), Skills!M7+1)</f>
        <v/>
      </c>
      <c r="F1338">
        <f>IF(Skills!N7=TRUE,(Skills!L7/10)*(E1338/1000),Skills!L7/10)+Skills!O7</f>
        <v/>
      </c>
      <c r="G1338">
        <f>Skills!G7*IF(Skills!H7&gt;0,Skills!I7/Skills!H7,1)</f>
        <v/>
      </c>
      <c r="H1338">
        <f>1-(1-Skills!J7/100)^Skills!K7</f>
        <v/>
      </c>
      <c r="I1338" t="inlineStr">
        <is>
          <t>1</t>
        </is>
      </c>
      <c r="J1338">
        <f>((Inputs!$B$6*(1+Inputs!$B$7/100))+(((Inputs!$B$12*(1+Inputs!$B$13/100))-(Inputs!$B$12*(1+Inputs!$B$13/100)))+0.25*(Inputs!$B$14-Inputs!$B$14))*(1+Inputs!$B$7/100))*(F1338/100)</f>
        <v/>
      </c>
      <c r="K1338">
        <f>J1338*(1+((Inputs!$B$12*(1+Inputs!$B$13/100))*0.01+Inputs!$B$14*0.0025)/100)*(1+Inputs!$B$15/100)*(1+Inputs!$B$16/100)*(5000/(6000+Inputs!$B$42*(1-(100*(1-(1-(Inputs!$B$19+0)/100)*(1-CHOOSE(ArtifactsInput!$N$40+1,5,6,7,8,9,10)/100)^(ArtifactsInput!$M$40-ArtifactsInput!$M$40)))/100)))*(1+(Inputs!$B$24+((C1355=TRUE)*(F1355-Calc!F24))+((C1356=TRUE)*(F1356-Calc!F25))+B1369)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+1.2*IF(C1339=TRUE,F1339,0)/100)*(1+(IF(Skills!A7="EMPOWERED_PIERCING_ARROW",Inputs!$B$17+((C1353=TRUE)*(F1353-Calc!F22))+(((IF(AND(ArtifactsInput!$M$42,((Inputs!$B$9+((C1350=TRUE)*(F1350-Calc!F19))+B1363+(ArtifactsInput!$M$24-ArtifactsInput!$M$24)*CHOOSE(ArtifactsInput!$N$24+1,10,12,14,16,18,20)+IF(ArtifactsInput!$M$10,CHOOSE(ArtifactsInput!$N$10+1,15,18,21,24,27,30)*(IF(Inputs!$B$38="pvp",MIN(15,15)/15,IF(AND(Inputs!$B$38&lt;&gt;"pvp",Inputs!$B$43&gt;0),MIN(15,Inputs!$B$43)/(Inputs!$B$43),0))),0)))&gt;=100),MIN(100,((Inputs!$B$9+((C1350=TRUE)*(F1350-Calc!F19))+B1363+(ArtifactsInput!$M$24-ArtifactsInput!$M$24)*CHOOSE(ArtifactsInput!$N$24+1,10,12,14,16,18,20)+IF(ArtifactsInput!$M$10,CHOOSE(ArtifactsInput!$N$10+1,15,18,21,24,27,30)*(IF(Inputs!$B$38="pvp",MIN(15,15)/15,IF(AND(Inputs!$B$38&lt;&gt;"pvp",Inputs!$B$43&gt;0),MIN(15,Inputs!$B$43)/(Inputs!$B$43),0))),0)))-100),0))*CHOOSE(ArtifactsInput!$N$42+1,0.6,0.72,0.84,0.96,1.08,1.2))),Inputs!$B$18+((C1358=TRUE)*(F1358-Calc!F27))+(IF(AND(ArtifactsInput!$M$42,((Inputs!$B$9+((C1350=TRUE)*(F1350-Calc!F19))+B1363+(ArtifactsInput!$M$24-ArtifactsInput!$M$24)*CHOOSE(ArtifactsInput!$N$24+1,10,12,14,16,18,20)+IF(ArtifactsInput!$M$10,CHOOSE(ArtifactsInput!$N$10+1,15,18,21,24,27,30)*(IF(Inputs!$B$38="pvp",MIN(15,15)/15,IF(AND(Inputs!$B$38&lt;&gt;"pvp",Inputs!$B$43&gt;0),MIN(15,Inputs!$B$43)/(Inputs!$B$43),0))),0)))&gt;=100),CHOOSE(ArtifactsInput!$N$42+1,40,48,56,64,72,80),0))))/100)*((1+(((C1344=TRUE)*F1344)+((C1345=TRUE)*IF(Inputs!$B$38="pvp",F1345,(1-Summary!$B$11)*(F1345)+Summary!$B$11*(0)))+((C1346=TRUE)*F1346*IF(AND(Inputs!$B$38&lt;&gt;"pvp",Inputs!$B$43&gt;0),(((R1346-1)*(Skills!T15*(1+Inputs!$B$34/100))+MIN((Skills!T15*(1+Inputs!$B$34/100)),MAX(0,Inputs!$B$43-((R1346-1)*Skills!D15))))/Inputs!$B$43),IF(Inputs!$B$38="pvp",MIN((Skills!T15*(1+Inputs!$B$34/100)),15)/15,(Skills!T15*(1+Inputs!$B$34/100))/Skills!D15)))+((C1343=TRUE)*F1343)+((C1360=TRUE)*(F1360-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1338)</f>
        <v/>
      </c>
      <c r="L1338">
        <f>K1338*(MIN(Inputs!$B$22+((C1354=TRUE)*(F1354-Calc!F23)),(Inputs!$B$23+((C1359=TRUE)*(F1359-Calc!F28))+(IF(ArtifactsInput!$M$15,CHOOSE(ArtifactsInput!$N$15+1,25,30,35,40,45,50)/100*(Inputs!$B$11-Inputs!$B$11),0))))/100+(Inputs!$B$23+((C1359=TRUE)*(F1359-Calc!F28))+(IF(ArtifactsInput!$M$15,CHOOSE(ArtifactsInput!$N$15+1,25,30,35,40,45,50)/100*(Inputs!$B$11-Inputs!$B$11),0)))/100)/2</f>
        <v/>
      </c>
      <c r="M1338">
        <f>L1338*(1+(Inputs!$B$10+0+B1368+(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338">
        <f>L1338*(1-MIN((Inputs!$B$9+((C1350=TRUE)*(F1350-Calc!F19))+B1363+(ArtifactsInput!$M$24-ArtifactsInput!$M$24)*CHOOSE(ArtifactsInput!$N$24+1,10,12,14,16,18,20)+(IF(AND(ArtifactsInput!$M$42,((Inputs!$B$9+((C1350=TRUE)*(F1350-Calc!F19))+B1363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1338*(MIN((Inputs!$B$9+((C1350=TRUE)*(F1350-Calc!F19))+B1363+(ArtifactsInput!$M$24-ArtifactsInput!$M$24)*CHOOSE(ArtifactsInput!$N$24+1,10,12,14,16,18,20)+(IF(AND(ArtifactsInput!$M$42,((Inputs!$B$9+((C1350=TRUE)*(F1350-Calc!F19))+B1363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338">
        <f>(1-Summary!$B$11)*T1338+Summary!$B$11*V1338</f>
        <v/>
      </c>
      <c r="P1338">
        <f>IF(B1373=0,0,O1338/B1373)</f>
        <v/>
      </c>
      <c r="Q1338">
        <f>IFERROR(1/IF(Inputs!$B$38="pvp",15,MAX(0.1,Skills!D7-IF(Skills!E7=TRUE,Inputs!$B$32,0))),0)</f>
        <v/>
      </c>
      <c r="R1338">
        <f>IF(AND(Inputs!$B$38&lt;&gt;"pvp",Inputs!$B$43&gt;0),IF(MAX(0,Inputs!$B$43-B1370)&lt;=0,0,(INT(MAX(0,Inputs!$B$43-B1370)/IF(Inputs!$B$38="pvp",15,MAX(0.1,Skills!D7-IF(Skills!E7=TRUE,Inputs!$B$32,0))))+1)),0)</f>
        <v/>
      </c>
      <c r="S1338">
        <f>IFERROR((H1338*N1338*IF(AND(Inputs!$B$38&lt;&gt;"pvp",Inputs!$B$43&gt;0),((Skills!G7*((R1338-1)*IF(Skills!H7&gt;0,Skills!I7/Skills!H7,1)+IF(Skills!H7&gt;0,MIN(Skills!I7,MAX(0,MAX(0,Inputs!$B$43-B1370)-((R1338-1)*IF(Inputs!$B$38="pvp",15,MAX(0.1,Skills!D7-IF(Skills!E7=TRUE,Inputs!$B$32,0))))))/Skills!H7,1)))/Inputs!$B$43),G1338*Q1338))/N1338*IF(Inputs!$B$38="pvp",1,(1-Summary!$B$11)*1+Summary!$B$11*(MIN(Skills!R7,Inputs!$B$37))),0)</f>
        <v/>
      </c>
      <c r="T1338">
        <f>IF(C1338,(H1338*N1338*IF(AND(Inputs!$B$38&lt;&gt;"pvp",Inputs!$B$43&gt;0),((Skills!G7*((R1338-1)*IF(Skills!H7&gt;0,Skills!I7/Skills!H7,1)+IF(Skills!H7&gt;0,MIN(Skills!I7,MAX(0,MAX(0,Inputs!$B$43-B1370)-((R1338-1)*IF(Inputs!$B$38="pvp",15,MAX(0.1,Skills!D7-IF(Skills!E7=TRUE,Inputs!$B$32,0))))))/Skills!H7,1)))/Inputs!$B$43),G1338*Q1338))*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Hunt"),CHOOSE(ArtifactsInput!$N$35+1,15,18,21,24,27,30)*(1-EXP(-(0.2*B1365)*5)),0)+IF(AND(ArtifactsInput!$M$22,Inputs!$B$4&lt;&gt;"Chapter Hunt"),CHOOSE(ArtifactsInput!$N$22+1,10,12,14,16,18,20)*((0*(((0.15*B1365*5))^0/1)+1*(((0.15*B1365*5))^1/1)+2*(((0.15*B1365*5))^2/2)+3*(((0.15*B1365*5))^3/6)+4*(((0.15*B1365*5))^4/24)+5*(((0.15*B1365*5))^5/120))/((((0.15*B1365*5))^0/1)+(((0.15*B1365*5))^1/1)+(((0.15*B1365*5))^2/2)+(((0.15*B1365*5))^3/6)+(((0.15*B1365*5))^4/24)+(((0.15*B1365*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1338*(1-MIN(100,(Inputs!$B$9+((C1350=TRUE)*(F1350-Calc!F19))+B1363+(ArtifactsInput!$M$24-ArtifactsInput!$M$24)*CHOOSE(ArtifactsInput!$N$24+1,10,12,14,16,18,20)+(IF(AND(ArtifactsInput!$M$42,((Inputs!$B$9+((C1350=TRUE)*(F1350-Calc!F19))+B1363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1338*(MIN(100,(Inputs!$B$9+((C1350=TRUE)*(F1350-Calc!F19))+B1363+(ArtifactsInput!$M$24-ArtifactsInput!$M$24)*CHOOSE(ArtifactsInput!$N$24+1,10,12,14,16,18,20)+(IF(AND(ArtifactsInput!$M$42,((Inputs!$B$9+((C1350=TRUE)*(F1350-Calc!F19))+B1363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1338*(1-MIN(100,(Inputs!$B$9+((C1350=TRUE)*(F1350-Calc!F19))+B1363+(ArtifactsInput!$M$24-ArtifactsInput!$M$24)*CHOOSE(ArtifactsInput!$N$24+1,10,12,14,16,18,20)+(IF(AND(ArtifactsInput!$M$42,((Inputs!$B$9+((C1350=TRUE)*(F1350-Calc!F19))+B1363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1338*(MIN(100,(Inputs!$B$9+((C1350=TRUE)*(F1350-Calc!F19))+B1363+(ArtifactsInput!$M$24-ArtifactsInput!$M$24)*CHOOSE(ArtifactsInput!$N$24+1,10,12,14,16,18,20)+(IF(AND(ArtifactsInput!$M$42,((Inputs!$B$9+((C1350=TRUE)*(F1350-Calc!F19))+B1363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338">
        <f>IF(C1338,(H1338*N1338*IF(AND(Inputs!$B$38&lt;&gt;"pvp",Inputs!$B$43&gt;0),((Skills!G7*((R1338-1)*IF(Skills!H7&gt;0,Skills!I7/Skills!H7,1)+IF(Skills!H7&gt;0,MIN(Skills!I7,MAX(0,MAX(0,Inputs!$B$43-B1370)-((R1338-1)*IF(Inputs!$B$38="pvp",15,MAX(0.1,Skills!D7-IF(Skills!E7=TRUE,Inputs!$B$32,0))))))/Skills!H7,1)))/Inputs!$B$43),G1338*Q1338))*IF(Inputs!$B$38="pvp",1,(1+(Inputs!$B$21+Skills!Q7+(IF(ArtifactsInput!$M$33,CHOOSE(ArtifactsInput!$N$33+1,30,36,42,48,54,60),0))+(IF(AND(ArtifactsInput!$M$35,Inputs!$B$4&lt;&gt;"Chapter Hunt"),CHOOSE(ArtifactsInput!$N$35+1,15,18,21,24,27,30)*(1-EXP(-(0.2*B1365)*5)),0)+IF(AND(ArtifactsInput!$M$22,Inputs!$B$4&lt;&gt;"Chapter Hunt"),CHOOSE(ArtifactsInput!$N$22+1,10,12,14,16,18,20)*((0*(((0.15*B1365*5))^0/1)+1*(((0.15*B1365*5))^1/1)+2*(((0.15*B1365*5))^2/2)+3*(((0.15*B1365*5))^3/6)+4*(((0.15*B1365*5))^4/24)+5*(((0.15*B1365*5))^5/120))/((((0.15*B1365*5))^0/1)+(((0.15*B1365*5))^1/1)+(((0.15*B1365*5))^2/2)+(((0.15*B1365*5))^3/6)+(((0.15*B1365*5))^4/24)+(((0.15*B1365*5))^5/120))),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339">
      <c r="A1339">
        <f>Skills!A8</f>
        <v/>
      </c>
      <c r="B1339">
        <f>Skills!B8</f>
        <v/>
      </c>
      <c r="C1339">
        <f>Inputs!$B$3&gt;=100</f>
        <v/>
      </c>
      <c r="D1339">
        <f>IF(Skills!C8=1,60+Inputs!$B$25+Inputs!$B$29,IF(Skills!C8=2,90+Inputs!$B$26+Inputs!$B$29,IF(Skills!C8=3,120+Inputs!$B$27+Inputs!$B$29,MAX(0,(Inputs!$B$3-100)*3)+Inputs!$B$28+Inputs!$B$29)))</f>
        <v/>
      </c>
      <c r="E1339">
        <f>INDEX(FactorTable!$B$2:$Y$301, MATCH(ROUND(MIN(300,MAX(1,D1339)),0), FactorTable!$A$2:$A$301,0), Skills!M8+1)</f>
        <v/>
      </c>
      <c r="F1339">
        <f>IF(Skills!N8=TRUE,(Skills!L8/10)*(E1339/1000),Skills!L8/10)+Skills!O8</f>
        <v/>
      </c>
      <c r="G1339" t="inlineStr"/>
      <c r="H1339" t="inlineStr"/>
      <c r="I1339" t="inlineStr">
        <is>
          <t>1</t>
        </is>
      </c>
      <c r="J1339" t="inlineStr"/>
      <c r="K1339" t="inlineStr"/>
      <c r="L1339" t="inlineStr"/>
      <c r="M1339" t="inlineStr"/>
      <c r="N1339" t="inlineStr"/>
      <c r="O1339" t="inlineStr"/>
      <c r="P1339" t="inlineStr"/>
      <c r="Q1339" t="inlineStr"/>
      <c r="R1339" t="inlineStr"/>
      <c r="S1339" t="inlineStr"/>
      <c r="T1339" t="inlineStr"/>
      <c r="V1339" t="inlineStr"/>
    </row>
    <row r="1340">
      <c r="A1340">
        <f>Skills!A9</f>
        <v/>
      </c>
      <c r="B1340">
        <f>Skills!B9</f>
        <v/>
      </c>
      <c r="C1340">
        <f>Inputs!$B$3&gt;=103</f>
        <v/>
      </c>
      <c r="D1340">
        <f>IF(Skills!C9=1,60+Inputs!$B$25+Inputs!$B$29,IF(Skills!C9=2,90+Inputs!$B$26+Inputs!$B$29,IF(Skills!C9=3,120+Inputs!$B$27+Inputs!$B$29,MAX(0,(Inputs!$B$3-100)*3)+Inputs!$B$28+Inputs!$B$29)))</f>
        <v/>
      </c>
      <c r="E1340">
        <f>INDEX(FactorTable!$B$2:$Y$301, MATCH(ROUND(MIN(300,MAX(1,D1340)),0), FactorTable!$A$2:$A$301,0), Skills!M9+1)</f>
        <v/>
      </c>
      <c r="F1340">
        <f>IF(Skills!N9=TRUE,(Skills!L9/10)*(E1340/1000),Skills!L9/10)+Skills!O9</f>
        <v/>
      </c>
      <c r="G1340">
        <f>Skills!G9*IF(Skills!H9&gt;0,Skills!I9/Skills!H9,1)</f>
        <v/>
      </c>
      <c r="H1340">
        <f>1-(1-Skills!J9/100)^Skills!K9</f>
        <v/>
      </c>
      <c r="I1340" t="inlineStr">
        <is>
          <t>1</t>
        </is>
      </c>
      <c r="J1340">
        <f>((Inputs!$B$6*(1+Inputs!$B$7/100))+(((Inputs!$B$12*(1+Inputs!$B$13/100))-(Inputs!$B$12*(1+Inputs!$B$13/100)))+0.25*(Inputs!$B$14-Inputs!$B$14))*(1+Inputs!$B$7/100))*(F1340/100)</f>
        <v/>
      </c>
      <c r="K1340">
        <f>J1340*(1+((Inputs!$B$12*(1+Inputs!$B$13/100))*0.01+Inputs!$B$14*0.0025)/100)*(1+Inputs!$B$15/100)*(1+Inputs!$B$16/100)*(5000/(6000+Inputs!$B$42*(1-(100*(1-(1-(Inputs!$B$19+0)/100)*(1-CHOOSE(ArtifactsInput!$N$40+1,5,6,7,8,9,10)/100)^(ArtifactsInput!$M$40-ArtifactsInput!$M$40)))/100)))*(1+(Inputs!$B$24+((C1355=TRUE)*(F1355-Calc!F24))+((C1356=TRUE)*(F1356-Calc!F25))+B1369)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EMPOWERED_PIERCING_ARROW",Inputs!$B$17+((C1353=TRUE)*(F1353-Calc!F22))+(((IF(AND(ArtifactsInput!$M$42,((Inputs!$B$9+((C1350=TRUE)*(F1350-Calc!F19))+B1363+(ArtifactsInput!$M$24-ArtifactsInput!$M$24)*CHOOSE(ArtifactsInput!$N$24+1,10,12,14,16,18,20)+IF(ArtifactsInput!$M$10,CHOOSE(ArtifactsInput!$N$10+1,15,18,21,24,27,30)*(IF(Inputs!$B$38="pvp",MIN(15,15)/15,IF(AND(Inputs!$B$38&lt;&gt;"pvp",Inputs!$B$43&gt;0),MIN(15,Inputs!$B$43)/(Inputs!$B$43),0))),0)))&gt;=100),MIN(100,((Inputs!$B$9+((C1350=TRUE)*(F1350-Calc!F19))+B1363+(ArtifactsInput!$M$24-ArtifactsInput!$M$24)*CHOOSE(ArtifactsInput!$N$24+1,10,12,14,16,18,20)+IF(ArtifactsInput!$M$10,CHOOSE(ArtifactsInput!$N$10+1,15,18,21,24,27,30)*(IF(Inputs!$B$38="pvp",MIN(15,15)/15,IF(AND(Inputs!$B$38&lt;&gt;"pvp",Inputs!$B$43&gt;0),MIN(15,Inputs!$B$43)/(Inputs!$B$43),0))),0)))-100),0))*CHOOSE(ArtifactsInput!$N$42+1,0.6,0.72,0.84,0.96,1.08,1.2))),Inputs!$B$18+((C1358=TRUE)*(F1358-Calc!F27))+(IF(AND(ArtifactsInput!$M$42,((Inputs!$B$9+((C1350=TRUE)*(F1350-Calc!F19))+B1363+(ArtifactsInput!$M$24-ArtifactsInput!$M$24)*CHOOSE(ArtifactsInput!$N$24+1,10,12,14,16,18,20)+IF(ArtifactsInput!$M$10,CHOOSE(ArtifactsInput!$N$10+1,15,18,21,24,27,30)*(IF(Inputs!$B$38="pvp",MIN(15,15)/15,IF(AND(Inputs!$B$38&lt;&gt;"pvp",Inputs!$B$43&gt;0),MIN(15,Inputs!$B$43)/(Inputs!$B$43),0))),0)))&gt;=100),CHOOSE(ArtifactsInput!$N$42+1,40,48,56,64,72,80),0))))/100)*((1+(((C1344=TRUE)*F1344)+((C1345=TRUE)*IF(Inputs!$B$38="pvp",F1345,(1-Summary!$B$11)*(F1345)+Summary!$B$11*(0)))+((C1346=TRUE)*F1346*IF(AND(Inputs!$B$38&lt;&gt;"pvp",Inputs!$B$43&gt;0),(((R1346-1)*(Skills!T15*(1+Inputs!$B$34/100))+MIN((Skills!T15*(1+Inputs!$B$34/100)),MAX(0,Inputs!$B$43-((R1346-1)*Skills!D15))))/Inputs!$B$43),IF(Inputs!$B$38="pvp",MIN((Skills!T15*(1+Inputs!$B$34/100)),15)/15,(Skills!T15*(1+Inputs!$B$34/100))/Skills!D15)))+((C1343=TRUE)*F1343)+((C1360=TRUE)*(F1360-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1340)</f>
        <v/>
      </c>
      <c r="L1340">
        <f>K1340*(MIN(Inputs!$B$22+((C1354=TRUE)*(F1354-Calc!F23)),(Inputs!$B$23+((C1359=TRUE)*(F1359-Calc!F28))+(IF(ArtifactsInput!$M$15,CHOOSE(ArtifactsInput!$N$15+1,25,30,35,40,45,50)/100*(Inputs!$B$11-Inputs!$B$11),0))))/100+(Inputs!$B$23+((C1359=TRUE)*(F1359-Calc!F28))+(IF(ArtifactsInput!$M$15,CHOOSE(ArtifactsInput!$N$15+1,25,30,35,40,45,50)/100*(Inputs!$B$11-Inputs!$B$11),0)))/100)/2</f>
        <v/>
      </c>
      <c r="M1340">
        <f>L1340*(1+(Inputs!$B$10+0+B1368+(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340">
        <f>L1340*(1-MIN((Inputs!$B$9+((C1350=TRUE)*(F1350-Calc!F19))+B1363+(ArtifactsInput!$M$24-ArtifactsInput!$M$24)*CHOOSE(ArtifactsInput!$N$24+1,10,12,14,16,18,20)+(IF(AND(ArtifactsInput!$M$42,((Inputs!$B$9+((C1350=TRUE)*(F1350-Calc!F19))+B1363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1340*(MIN((Inputs!$B$9+((C1350=TRUE)*(F1350-Calc!F19))+B1363+(ArtifactsInput!$M$24-ArtifactsInput!$M$24)*CHOOSE(ArtifactsInput!$N$24+1,10,12,14,16,18,20)+(IF(AND(ArtifactsInput!$M$42,((Inputs!$B$9+((C1350=TRUE)*(F1350-Calc!F19))+B1363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340">
        <f>(1-Summary!$B$11)*T1340+Summary!$B$11*V1340</f>
        <v/>
      </c>
      <c r="P1340">
        <f>IF(B1373=0,0,O1340/B1373)</f>
        <v/>
      </c>
      <c r="Q1340">
        <f>IFERROR(1/IF(Inputs!$B$38="pvp",15,MAX(0.1,Skills!D9-IF(Skills!E9=TRUE,Inputs!$B$32,0))),0)</f>
        <v/>
      </c>
      <c r="R1340">
        <f>IF(AND(Inputs!$B$38&lt;&gt;"pvp",Inputs!$B$43&gt;0),IF(MAX(0,Inputs!$B$43-B1370)&lt;=0,0,(INT(MAX(0,Inputs!$B$43-B1370)/IF(Inputs!$B$38="pvp",15,MAX(0.1,Skills!D9-IF(Skills!E9=TRUE,Inputs!$B$32,0))))+1)),0)</f>
        <v/>
      </c>
      <c r="S1340">
        <f>IFERROR((H1340*N1340*IF(AND(Inputs!$B$38&lt;&gt;"pvp",Inputs!$B$43&gt;0),((Skills!G9*((R1340-1)*IF(Skills!H9&gt;0,Skills!I9/Skills!H9,1)+IF(Skills!H9&gt;0,MIN(Skills!I9,MAX(0,MAX(0,Inputs!$B$43-B1370)-((R1340-1)*IF(Inputs!$B$38="pvp",15,MAX(0.1,Skills!D9-IF(Skills!E9=TRUE,Inputs!$B$32,0))))))/Skills!H9,1)))/Inputs!$B$43),G1340*Q1340))/N1340*IF(Inputs!$B$38="pvp",1,(1-Summary!$B$11)*1+Summary!$B$11*(MIN(Skills!R9,Inputs!$B$37))),0)</f>
        <v/>
      </c>
      <c r="T1340">
        <f>IF(C1340,(H1340*N1340*IF(AND(Inputs!$B$38&lt;&gt;"pvp",Inputs!$B$43&gt;0),((Skills!G9*((R1340-1)*IF(Skills!H9&gt;0,Skills!I9/Skills!H9,1)+IF(Skills!H9&gt;0,MIN(Skills!I9,MAX(0,MAX(0,Inputs!$B$43-B1370)-((R1340-1)*IF(Inputs!$B$38="pvp",15,MAX(0.1,Skills!D9-IF(Skills!E9=TRUE,Inputs!$B$32,0))))))/Skills!H9,1)))/Inputs!$B$43),G1340*Q1340))*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Hunt"),CHOOSE(ArtifactsInput!$N$35+1,15,18,21,24,27,30)*(1-EXP(-(0.2*B1365)*5)),0)+IF(AND(ArtifactsInput!$M$22,Inputs!$B$4&lt;&gt;"Chapter Hunt"),CHOOSE(ArtifactsInput!$N$22+1,10,12,14,16,18,20)*((0*(((0.15*B1365*5))^0/1)+1*(((0.15*B1365*5))^1/1)+2*(((0.15*B1365*5))^2/2)+3*(((0.15*B1365*5))^3/6)+4*(((0.15*B1365*5))^4/24)+5*(((0.15*B1365*5))^5/120))/((((0.15*B1365*5))^0/1)+(((0.15*B1365*5))^1/1)+(((0.15*B1365*5))^2/2)+(((0.15*B1365*5))^3/6)+(((0.15*B1365*5))^4/24)+(((0.15*B1365*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1340*(1-MIN(100,(Inputs!$B$9+((C1350=TRUE)*(F1350-Calc!F19))+B1363+(ArtifactsInput!$M$24-ArtifactsInput!$M$24)*CHOOSE(ArtifactsInput!$N$24+1,10,12,14,16,18,20)+(IF(AND(ArtifactsInput!$M$42,((Inputs!$B$9+((C1350=TRUE)*(F1350-Calc!F19))+B1363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1340*(MIN(100,(Inputs!$B$9+((C1350=TRUE)*(F1350-Calc!F19))+B1363+(ArtifactsInput!$M$24-ArtifactsInput!$M$24)*CHOOSE(ArtifactsInput!$N$24+1,10,12,14,16,18,20)+(IF(AND(ArtifactsInput!$M$42,((Inputs!$B$9+((C1350=TRUE)*(F1350-Calc!F19))+B1363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1340*(1-MIN(100,(Inputs!$B$9+((C1350=TRUE)*(F1350-Calc!F19))+B1363+(ArtifactsInput!$M$24-ArtifactsInput!$M$24)*CHOOSE(ArtifactsInput!$N$24+1,10,12,14,16,18,20)+(IF(AND(ArtifactsInput!$M$42,((Inputs!$B$9+((C1350=TRUE)*(F1350-Calc!F19))+B1363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1340*(MIN(100,(Inputs!$B$9+((C1350=TRUE)*(F1350-Calc!F19))+B1363+(ArtifactsInput!$M$24-ArtifactsInput!$M$24)*CHOOSE(ArtifactsInput!$N$24+1,10,12,14,16,18,20)+(IF(AND(ArtifactsInput!$M$42,((Inputs!$B$9+((C1350=TRUE)*(F1350-Calc!F19))+B1363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340">
        <f>IF(C1340,(H1340*N1340*IF(AND(Inputs!$B$38&lt;&gt;"pvp",Inputs!$B$43&gt;0),((Skills!G9*((R1340-1)*IF(Skills!H9&gt;0,Skills!I9/Skills!H9,1)+IF(Skills!H9&gt;0,MIN(Skills!I9,MAX(0,MAX(0,Inputs!$B$43-B1370)-((R1340-1)*IF(Inputs!$B$38="pvp",15,MAX(0.1,Skills!D9-IF(Skills!E9=TRUE,Inputs!$B$32,0))))))/Skills!H9,1)))/Inputs!$B$43),G1340*Q1340))*IF(Inputs!$B$38="pvp",1,(1+(Inputs!$B$21+Skills!Q9+(IF(ArtifactsInput!$M$33,CHOOSE(ArtifactsInput!$N$33+1,30,36,42,48,54,60),0))+(IF(AND(ArtifactsInput!$M$35,Inputs!$B$4&lt;&gt;"Chapter Hunt"),CHOOSE(ArtifactsInput!$N$35+1,15,18,21,24,27,30)*(1-EXP(-(0.2*B1365)*5)),0)+IF(AND(ArtifactsInput!$M$22,Inputs!$B$4&lt;&gt;"Chapter Hunt"),CHOOSE(ArtifactsInput!$N$22+1,10,12,14,16,18,20)*((0*(((0.15*B1365*5))^0/1)+1*(((0.15*B1365*5))^1/1)+2*(((0.15*B1365*5))^2/2)+3*(((0.15*B1365*5))^3/6)+4*(((0.15*B1365*5))^4/24)+5*(((0.15*B1365*5))^5/120))/((((0.15*B1365*5))^0/1)+(((0.15*B1365*5))^1/1)+(((0.15*B1365*5))^2/2)+(((0.15*B1365*5))^3/6)+(((0.15*B1365*5))^4/24)+(((0.15*B1365*5))^5/120)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341">
      <c r="A1341">
        <f>Skills!A10</f>
        <v/>
      </c>
      <c r="B1341">
        <f>Skills!B10</f>
        <v/>
      </c>
      <c r="C1341">
        <f>Inputs!$B$3&gt;=107</f>
        <v/>
      </c>
      <c r="D1341">
        <f>IF(Skills!C10=1,60+Inputs!$B$25+Inputs!$B$29,IF(Skills!C10=2,90+Inputs!$B$26+Inputs!$B$29,IF(Skills!C10=3,120+Inputs!$B$27+Inputs!$B$29,MAX(0,(Inputs!$B$3-100)*3)+Inputs!$B$28+Inputs!$B$29)))</f>
        <v/>
      </c>
      <c r="E1341">
        <f>INDEX(FactorTable!$B$2:$Y$301, MATCH(ROUND(MIN(300,MAX(1,D1341)),0), FactorTable!$A$2:$A$301,0), Skills!M10+1)</f>
        <v/>
      </c>
      <c r="F1341">
        <f>IF(Skills!N10=TRUE,(Skills!L10/10)*(E1341/1000),Skills!L10/10)+Skills!O10</f>
        <v/>
      </c>
      <c r="G1341">
        <f>Skills!G10*IF(Skills!H10&gt;0,Skills!I10/Skills!H10,1)</f>
        <v/>
      </c>
      <c r="H1341">
        <f>1-(1-Skills!J10/100)^Skills!K10</f>
        <v/>
      </c>
      <c r="I1341" t="inlineStr">
        <is>
          <t>1</t>
        </is>
      </c>
      <c r="J1341">
        <f>((Inputs!$B$6*(1+Inputs!$B$7/100))+(((Inputs!$B$12*(1+Inputs!$B$13/100))-(Inputs!$B$12*(1+Inputs!$B$13/100)))+0.25*(Inputs!$B$14-Inputs!$B$14))*(1+Inputs!$B$7/100))*(F1341/100)</f>
        <v/>
      </c>
      <c r="K1341">
        <f>J1341*(1+((Inputs!$B$12*(1+Inputs!$B$13/100))*0.01+Inputs!$B$14*0.0025)/100)*(1+Inputs!$B$15/100)*(1+Inputs!$B$16/100)*(5000/(6000+Inputs!$B$42*(1-(100*(1-(1-(Inputs!$B$19+0)/100)*(1-CHOOSE(ArtifactsInput!$N$40+1,5,6,7,8,9,10)/100)^(ArtifactsInput!$M$40-ArtifactsInput!$M$40)))/100)))*(1+(Inputs!$B$24+((C1355=TRUE)*(F1355-Calc!F24))+((C1356=TRUE)*(F1356-Calc!F25))+B1369)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EMPOWERED_PIERCING_ARROW",Inputs!$B$17+((C1353=TRUE)*(F1353-Calc!F22))+(((IF(AND(ArtifactsInput!$M$42,((Inputs!$B$9+((C1350=TRUE)*(F1350-Calc!F19))+B1363+(ArtifactsInput!$M$24-ArtifactsInput!$M$24)*CHOOSE(ArtifactsInput!$N$24+1,10,12,14,16,18,20)+IF(ArtifactsInput!$M$10,CHOOSE(ArtifactsInput!$N$10+1,15,18,21,24,27,30)*(IF(Inputs!$B$38="pvp",MIN(15,15)/15,IF(AND(Inputs!$B$38&lt;&gt;"pvp",Inputs!$B$43&gt;0),MIN(15,Inputs!$B$43)/(Inputs!$B$43),0))),0)))&gt;=100),MIN(100,((Inputs!$B$9+((C1350=TRUE)*(F1350-Calc!F19))+B1363+(ArtifactsInput!$M$24-ArtifactsInput!$M$24)*CHOOSE(ArtifactsInput!$N$24+1,10,12,14,16,18,20)+IF(ArtifactsInput!$M$10,CHOOSE(ArtifactsInput!$N$10+1,15,18,21,24,27,30)*(IF(Inputs!$B$38="pvp",MIN(15,15)/15,IF(AND(Inputs!$B$38&lt;&gt;"pvp",Inputs!$B$43&gt;0),MIN(15,Inputs!$B$43)/(Inputs!$B$43),0))),0)))-100),0))*CHOOSE(ArtifactsInput!$N$42+1,0.6,0.72,0.84,0.96,1.08,1.2))),Inputs!$B$18+((C1358=TRUE)*(F1358-Calc!F27))+(IF(AND(ArtifactsInput!$M$42,((Inputs!$B$9+((C1350=TRUE)*(F1350-Calc!F19))+B1363+(ArtifactsInput!$M$24-ArtifactsInput!$M$24)*CHOOSE(ArtifactsInput!$N$24+1,10,12,14,16,18,20)+IF(ArtifactsInput!$M$10,CHOOSE(ArtifactsInput!$N$10+1,15,18,21,24,27,30)*(IF(Inputs!$B$38="pvp",MIN(15,15)/15,IF(AND(Inputs!$B$38&lt;&gt;"pvp",Inputs!$B$43&gt;0),MIN(15,Inputs!$B$43)/(Inputs!$B$43),0))),0)))&gt;=100),CHOOSE(ArtifactsInput!$N$42+1,40,48,56,64,72,80),0))))/100)*((1+(((C1344=TRUE)*F1344)+((C1345=TRUE)*IF(Inputs!$B$38="pvp",F1345,(1-Summary!$B$11)*(F1345)+Summary!$B$11*(0)))+((C1346=TRUE)*F1346*IF(AND(Inputs!$B$38&lt;&gt;"pvp",Inputs!$B$43&gt;0),(((R1346-1)*(Skills!T15*(1+Inputs!$B$34/100))+MIN((Skills!T15*(1+Inputs!$B$34/100)),MAX(0,Inputs!$B$43-((R1346-1)*Skills!D15))))/Inputs!$B$43),IF(Inputs!$B$38="pvp",MIN((Skills!T15*(1+Inputs!$B$34/100)),15)/15,(Skills!T15*(1+Inputs!$B$34/100))/Skills!D15)))+((C1343=TRUE)*F1343)+((C1360=TRUE)*(F1360-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1341)</f>
        <v/>
      </c>
      <c r="L1341">
        <f>K1341*(MIN(Inputs!$B$22+((C1354=TRUE)*(F1354-Calc!F23)),(Inputs!$B$23+((C1359=TRUE)*(F1359-Calc!F28))+(IF(ArtifactsInput!$M$15,CHOOSE(ArtifactsInput!$N$15+1,25,30,35,40,45,50)/100*(Inputs!$B$11-Inputs!$B$11),0))))/100+(Inputs!$B$23+((C1359=TRUE)*(F1359-Calc!F28))+(IF(ArtifactsInput!$M$15,CHOOSE(ArtifactsInput!$N$15+1,25,30,35,40,45,50)/100*(Inputs!$B$11-Inputs!$B$11),0)))/100)/2</f>
        <v/>
      </c>
      <c r="M1341">
        <f>L1341*(1+(Inputs!$B$10+0+B1368+(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341">
        <f>L1341*(1-MIN((Inputs!$B$9+((C1350=TRUE)*(F1350-Calc!F19))+B1363+(ArtifactsInput!$M$24-ArtifactsInput!$M$24)*CHOOSE(ArtifactsInput!$N$24+1,10,12,14,16,18,20)+(IF(AND(ArtifactsInput!$M$42,((Inputs!$B$9+((C1350=TRUE)*(F1350-Calc!F19))+B1363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1341*(MIN((Inputs!$B$9+((C1350=TRUE)*(F1350-Calc!F19))+B1363+(ArtifactsInput!$M$24-ArtifactsInput!$M$24)*CHOOSE(ArtifactsInput!$N$24+1,10,12,14,16,18,20)+(IF(AND(ArtifactsInput!$M$42,((Inputs!$B$9+((C1350=TRUE)*(F1350-Calc!F19))+B1363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341">
        <f>(1-Summary!$B$11)*T1341+Summary!$B$11*V1341</f>
        <v/>
      </c>
      <c r="P1341">
        <f>IF(B1373=0,0,O1341/B1373)</f>
        <v/>
      </c>
      <c r="Q1341" t="n">
        <v>0</v>
      </c>
      <c r="R1341" t="n">
        <v>0</v>
      </c>
      <c r="S1341" t="n">
        <v>0</v>
      </c>
      <c r="T1341">
        <f>IF(C1341,(0.15*SUMPRODUCT((Skills!U2:U29=TRUE)*(C1333:C1360=TRUE)*S1333:S1360)*Skills!G10*N1341)*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Hunt"),CHOOSE(ArtifactsInput!$N$35+1,15,18,21,24,27,30)*(1-EXP(-(0.2*B1365)*5)),0)+IF(AND(ArtifactsInput!$M$22,Inputs!$B$4&lt;&gt;"Chapter Hunt"),CHOOSE(ArtifactsInput!$N$22+1,10,12,14,16,18,20)*((0*(((0.15*B1365*5))^0/1)+1*(((0.15*B1365*5))^1/1)+2*(((0.15*B1365*5))^2/2)+3*(((0.15*B1365*5))^3/6)+4*(((0.15*B1365*5))^4/24)+5*(((0.15*B1365*5))^5/120))/((((0.15*B1365*5))^0/1)+(((0.15*B1365*5))^1/1)+(((0.15*B1365*5))^2/2)+(((0.15*B1365*5))^3/6)+(((0.15*B1365*5))^4/24)+(((0.15*B1365*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1341*(1-MIN(100,(Inputs!$B$9+((C1350=TRUE)*(F1350-Calc!F19))+B1363+(ArtifactsInput!$M$24-ArtifactsInput!$M$24)*CHOOSE(ArtifactsInput!$N$24+1,10,12,14,16,18,20)+(IF(AND(ArtifactsInput!$M$42,((Inputs!$B$9+((C1350=TRUE)*(F1350-Calc!F19))+B1363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1341*(MIN(100,(Inputs!$B$9+((C1350=TRUE)*(F1350-Calc!F19))+B1363+(ArtifactsInput!$M$24-ArtifactsInput!$M$24)*CHOOSE(ArtifactsInput!$N$24+1,10,12,14,16,18,20)+(IF(AND(ArtifactsInput!$M$42,((Inputs!$B$9+((C1350=TRUE)*(F1350-Calc!F19))+B1363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1341*(1-MIN(100,(Inputs!$B$9+((C1350=TRUE)*(F1350-Calc!F19))+B1363+(ArtifactsInput!$M$24-ArtifactsInput!$M$24)*CHOOSE(ArtifactsInput!$N$24+1,10,12,14,16,18,20)+(IF(AND(ArtifactsInput!$M$42,((Inputs!$B$9+((C1350=TRUE)*(F1350-Calc!F19))+B1363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1341*(MIN(100,(Inputs!$B$9+((C1350=TRUE)*(F1350-Calc!F19))+B1363+(ArtifactsInput!$M$24-ArtifactsInput!$M$24)*CHOOSE(ArtifactsInput!$N$24+1,10,12,14,16,18,20)+(IF(AND(ArtifactsInput!$M$42,((Inputs!$B$9+((C1350=TRUE)*(F1350-Calc!F19))+B1363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341">
        <f>IF(C1341,(0.15*SUMPRODUCT((Skills!U2:U29=TRUE)*(C1333:C1360=TRUE)*S1333:S1360)*Skills!G10*N1341)*IF(Inputs!$B$38="pvp",1,(1+(Inputs!$B$21+Skills!Q10+(IF(ArtifactsInput!$M$33,CHOOSE(ArtifactsInput!$N$33+1,30,36,42,48,54,60),0))+(IF(AND(ArtifactsInput!$M$35,Inputs!$B$4&lt;&gt;"Chapter Hunt"),CHOOSE(ArtifactsInput!$N$35+1,15,18,21,24,27,30)*(1-EXP(-(0.2*B1365)*5)),0)+IF(AND(ArtifactsInput!$M$22,Inputs!$B$4&lt;&gt;"Chapter Hunt"),CHOOSE(ArtifactsInput!$N$22+1,10,12,14,16,18,20)*((0*(((0.15*B1365*5))^0/1)+1*(((0.15*B1365*5))^1/1)+2*(((0.15*B1365*5))^2/2)+3*(((0.15*B1365*5))^3/6)+4*(((0.15*B1365*5))^4/24)+5*(((0.15*B1365*5))^5/120))/((((0.15*B1365*5))^0/1)+(((0.15*B1365*5))^1/1)+(((0.15*B1365*5))^2/2)+(((0.15*B1365*5))^3/6)+(((0.15*B1365*5))^4/24)+(((0.15*B1365*5))^5/120)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342">
      <c r="A1342">
        <f>Skills!A11</f>
        <v/>
      </c>
      <c r="B1342">
        <f>Skills!B11</f>
        <v/>
      </c>
      <c r="C1342">
        <f>Inputs!$B$3&gt;=110</f>
        <v/>
      </c>
      <c r="D1342">
        <f>IF(Skills!C11=1,60+Inputs!$B$25+Inputs!$B$29,IF(Skills!C11=2,90+Inputs!$B$26+Inputs!$B$29,IF(Skills!C11=3,120+Inputs!$B$27+Inputs!$B$29,MAX(0,(Inputs!$B$3-100)*3)+Inputs!$B$28+Inputs!$B$29)))</f>
        <v/>
      </c>
      <c r="E1342">
        <f>INDEX(FactorTable!$B$2:$Y$301, MATCH(ROUND(MIN(300,MAX(1,D1342)),0), FactorTable!$A$2:$A$301,0), Skills!M11+1)</f>
        <v/>
      </c>
      <c r="F1342">
        <f>IF(Skills!N11=TRUE,(Skills!L11/10)*(E1342/1000),Skills!L11/10)+Skills!O11</f>
        <v/>
      </c>
      <c r="G1342">
        <f>Skills!G11*IF(Skills!H11&gt;0,Skills!I11/Skills!H11,1)</f>
        <v/>
      </c>
      <c r="H1342">
        <f>1-(1-Skills!J11/100)^Skills!K11</f>
        <v/>
      </c>
      <c r="I1342" t="inlineStr">
        <is>
          <t>1</t>
        </is>
      </c>
      <c r="J1342">
        <f>((Inputs!$B$6*(1+Inputs!$B$7/100))+(((Inputs!$B$12*(1+Inputs!$B$13/100))-(Inputs!$B$12*(1+Inputs!$B$13/100)))+0.25*(Inputs!$B$14-Inputs!$B$14))*(1+Inputs!$B$7/100))*(F1342/100)</f>
        <v/>
      </c>
      <c r="K1342">
        <f>J1342*(1+((Inputs!$B$12*(1+Inputs!$B$13/100))*0.01+Inputs!$B$14*0.0025)/100)*(1+Inputs!$B$15/100)*(1+Inputs!$B$16/100)*(5000/(6000+Inputs!$B$42*(1-(100*(1-(1-(Inputs!$B$19+0)/100)*(1-CHOOSE(ArtifactsInput!$N$40+1,5,6,7,8,9,10)/100)^(ArtifactsInput!$M$40-ArtifactsInput!$M$40)))/100)))*(1+(Inputs!$B$24+((C1355=TRUE)*(F1355-Calc!F24))+((C1356=TRUE)*(F1356-Calc!F25))+B1369)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11="EMPOWERED_PIERCING_ARROW",Inputs!$B$17+((C1353=TRUE)*(F1353-Calc!F22))+(((IF(AND(ArtifactsInput!$M$42,((Inputs!$B$9+((C1350=TRUE)*(F1350-Calc!F19))+B1363+(ArtifactsInput!$M$24-ArtifactsInput!$M$24)*CHOOSE(ArtifactsInput!$N$24+1,10,12,14,16,18,20)+IF(ArtifactsInput!$M$10,CHOOSE(ArtifactsInput!$N$10+1,15,18,21,24,27,30)*(IF(Inputs!$B$38="pvp",MIN(15,15)/15,IF(AND(Inputs!$B$38&lt;&gt;"pvp",Inputs!$B$43&gt;0),MIN(15,Inputs!$B$43)/(Inputs!$B$43),0))),0)))&gt;=100),MIN(100,((Inputs!$B$9+((C1350=TRUE)*(F1350-Calc!F19))+B1363+(ArtifactsInput!$M$24-ArtifactsInput!$M$24)*CHOOSE(ArtifactsInput!$N$24+1,10,12,14,16,18,20)+IF(ArtifactsInput!$M$10,CHOOSE(ArtifactsInput!$N$10+1,15,18,21,24,27,30)*(IF(Inputs!$B$38="pvp",MIN(15,15)/15,IF(AND(Inputs!$B$38&lt;&gt;"pvp",Inputs!$B$43&gt;0),MIN(15,Inputs!$B$43)/(Inputs!$B$43),0))),0)))-100),0))*CHOOSE(ArtifactsInput!$N$42+1,0.6,0.72,0.84,0.96,1.08,1.2))),Inputs!$B$18+((C1358=TRUE)*(F1358-Calc!F27))+(IF(AND(ArtifactsInput!$M$42,((Inputs!$B$9+((C1350=TRUE)*(F1350-Calc!F19))+B1363+(ArtifactsInput!$M$24-ArtifactsInput!$M$24)*CHOOSE(ArtifactsInput!$N$24+1,10,12,14,16,18,20)+IF(ArtifactsInput!$M$10,CHOOSE(ArtifactsInput!$N$10+1,15,18,21,24,27,30)*(IF(Inputs!$B$38="pvp",MIN(15,15)/15,IF(AND(Inputs!$B$38&lt;&gt;"pvp",Inputs!$B$43&gt;0),MIN(15,Inputs!$B$43)/(Inputs!$B$43),0))),0)))&gt;=100),CHOOSE(ArtifactsInput!$N$42+1,40,48,56,64,72,80),0))))/100)*((1+(((C1344=TRUE)*F1344)+((C1345=TRUE)*IF(Inputs!$B$38="pvp",F1345,(1-Summary!$B$11)*(F1345)+Summary!$B$11*(0)))+((C1346=TRUE)*F1346*IF(AND(Inputs!$B$38&lt;&gt;"pvp",Inputs!$B$43&gt;0),(((R1346-1)*(Skills!T15*(1+Inputs!$B$34/100))+MIN((Skills!T15*(1+Inputs!$B$34/100)),MAX(0,Inputs!$B$43-((R1346-1)*Skills!D15))))/Inputs!$B$43),IF(Inputs!$B$38="pvp",MIN((Skills!T15*(1+Inputs!$B$34/100)),15)/15,(Skills!T15*(1+Inputs!$B$34/100))/Skills!D15)))+((C1343=TRUE)*F1343)+((C1360=TRUE)*(F1360-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1342)</f>
        <v/>
      </c>
      <c r="L1342">
        <f>K1342*(MIN(Inputs!$B$22+((C1354=TRUE)*(F1354-Calc!F23)),(Inputs!$B$23+((C1359=TRUE)*(F1359-Calc!F28))+(IF(ArtifactsInput!$M$15,CHOOSE(ArtifactsInput!$N$15+1,25,30,35,40,45,50)/100*(Inputs!$B$11-Inputs!$B$11),0))))/100+(Inputs!$B$23+((C1359=TRUE)*(F1359-Calc!F28))+(IF(ArtifactsInput!$M$15,CHOOSE(ArtifactsInput!$N$15+1,25,30,35,40,45,50)/100*(Inputs!$B$11-Inputs!$B$11),0)))/100)/2</f>
        <v/>
      </c>
      <c r="M1342">
        <f>L1342*(1+(Inputs!$B$10+0+B1368+(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342">
        <f>L1342*(1-MIN((Inputs!$B$9+((C1350=TRUE)*(F1350-Calc!F19))+B1363+(ArtifactsInput!$M$24-ArtifactsInput!$M$24)*CHOOSE(ArtifactsInput!$N$24+1,10,12,14,16,18,20)+(IF(AND(ArtifactsInput!$M$42,((Inputs!$B$9+((C1350=TRUE)*(F1350-Calc!F19))+B1363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1342*(MIN((Inputs!$B$9+((C1350=TRUE)*(F1350-Calc!F19))+B1363+(ArtifactsInput!$M$24-ArtifactsInput!$M$24)*CHOOSE(ArtifactsInput!$N$24+1,10,12,14,16,18,20)+(IF(AND(ArtifactsInput!$M$42,((Inputs!$B$9+((C1350=TRUE)*(F1350-Calc!F19))+B1363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342">
        <f>(1-Summary!$B$11)*T1342+Summary!$B$11*V1342</f>
        <v/>
      </c>
      <c r="P1342">
        <f>IF(B1373=0,0,O1342/B1373)</f>
        <v/>
      </c>
      <c r="Q1342">
        <f>IFERROR(1/IF(Inputs!$B$38="pvp",15,MAX(0.1,Skills!D11-IF(Skills!E11=TRUE,Inputs!$B$32,0))),0)</f>
        <v/>
      </c>
      <c r="R1342">
        <f>IF(AND(Inputs!$B$38&lt;&gt;"pvp",Inputs!$B$43&gt;0),IF(MAX(0,Inputs!$B$43-B1370)&lt;=0,0,(INT(MAX(0,Inputs!$B$43-B1370)/IF(Inputs!$B$38="pvp",15,MAX(0.1,Skills!D11-IF(Skills!E11=TRUE,Inputs!$B$32,0))))+1)),0)</f>
        <v/>
      </c>
      <c r="S1342">
        <f>IFERROR((H1342*N1342*IF(AND(Inputs!$B$38&lt;&gt;"pvp",Inputs!$B$43&gt;0),((Skills!G11*((R1342-1)*IF(Skills!H11&gt;0,Skills!I11/Skills!H11,1)+IF(Skills!H11&gt;0,MIN(Skills!I11,MAX(0,MAX(0,Inputs!$B$43-B1370)-((R1342-1)*IF(Inputs!$B$38="pvp",15,MAX(0.1,Skills!D11-IF(Skills!E11=TRUE,Inputs!$B$32,0))))))/Skills!H11,1)))/Inputs!$B$43),G1342*Q1342))/N1342*IF(Inputs!$B$38="pvp",1,(1-Summary!$B$11)*1+Summary!$B$11*(MIN(Skills!R11,Inputs!$B$37))),0)</f>
        <v/>
      </c>
      <c r="T1342">
        <f>IF(C1342,(H1342*N1342*IF(AND(Inputs!$B$38&lt;&gt;"pvp",Inputs!$B$43&gt;0),((Skills!G11*((R1342-1)*IF(Skills!H11&gt;0,Skills!I11/Skills!H11,1)+IF(Skills!H11&gt;0,MIN(Skills!I11,MAX(0,MAX(0,Inputs!$B$43-B1370)-((R1342-1)*IF(Inputs!$B$38="pvp",15,MAX(0.1,Skills!D11-IF(Skills!E11=TRUE,Inputs!$B$32,0))))))/Skills!H11,1)))/Inputs!$B$43),G1342*Q1342))*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Hunt"),CHOOSE(ArtifactsInput!$N$35+1,15,18,21,24,27,30)*(1-EXP(-(0.2*B1365)*5)),0)+IF(AND(ArtifactsInput!$M$22,Inputs!$B$4&lt;&gt;"Chapter Hunt"),CHOOSE(ArtifactsInput!$N$22+1,10,12,14,16,18,20)*((0*(((0.15*B1365*5))^0/1)+1*(((0.15*B1365*5))^1/1)+2*(((0.15*B1365*5))^2/2)+3*(((0.15*B1365*5))^3/6)+4*(((0.15*B1365*5))^4/24)+5*(((0.15*B1365*5))^5/120))/((((0.15*B1365*5))^0/1)+(((0.15*B1365*5))^1/1)+(((0.15*B1365*5))^2/2)+(((0.15*B1365*5))^3/6)+(((0.15*B1365*5))^4/24)+(((0.15*B1365*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1342*(1-MIN(100,(Inputs!$B$9+((C1350=TRUE)*(F1350-Calc!F19))+B1363+(ArtifactsInput!$M$24-ArtifactsInput!$M$24)*CHOOSE(ArtifactsInput!$N$24+1,10,12,14,16,18,20)+(IF(AND(ArtifactsInput!$M$42,((Inputs!$B$9+((C1350=TRUE)*(F1350-Calc!F19))+B1363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1342*(MIN(100,(Inputs!$B$9+((C1350=TRUE)*(F1350-Calc!F19))+B1363+(ArtifactsInput!$M$24-ArtifactsInput!$M$24)*CHOOSE(ArtifactsInput!$N$24+1,10,12,14,16,18,20)+(IF(AND(ArtifactsInput!$M$42,((Inputs!$B$9+((C1350=TRUE)*(F1350-Calc!F19))+B1363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1342*(1-MIN(100,(Inputs!$B$9+((C1350=TRUE)*(F1350-Calc!F19))+B1363+(ArtifactsInput!$M$24-ArtifactsInput!$M$24)*CHOOSE(ArtifactsInput!$N$24+1,10,12,14,16,18,20)+(IF(AND(ArtifactsInput!$M$42,((Inputs!$B$9+((C1350=TRUE)*(F1350-Calc!F19))+B1363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1342*(MIN(100,(Inputs!$B$9+((C1350=TRUE)*(F1350-Calc!F19))+B1363+(ArtifactsInput!$M$24-ArtifactsInput!$M$24)*CHOOSE(ArtifactsInput!$N$24+1,10,12,14,16,18,20)+(IF(AND(ArtifactsInput!$M$42,((Inputs!$B$9+((C1350=TRUE)*(F1350-Calc!F19))+B1363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342">
        <f>IF(C1342,(H1342*N1342*IF(AND(Inputs!$B$38&lt;&gt;"pvp",Inputs!$B$43&gt;0),((Skills!G11*((R1342-1)*IF(Skills!H11&gt;0,Skills!I11/Skills!H11,1)+IF(Skills!H11&gt;0,MIN(Skills!I11,MAX(0,MAX(0,Inputs!$B$43-B1370)-((R1342-1)*IF(Inputs!$B$38="pvp",15,MAX(0.1,Skills!D11-IF(Skills!E11=TRUE,Inputs!$B$32,0))))))/Skills!H11,1)))/Inputs!$B$43),G1342*Q1342))*IF(Inputs!$B$38="pvp",1,(1+(Inputs!$B$21+Skills!Q11+(IF(ArtifactsInput!$M$33,CHOOSE(ArtifactsInput!$N$33+1,30,36,42,48,54,60),0))+(IF(AND(ArtifactsInput!$M$35,Inputs!$B$4&lt;&gt;"Chapter Hunt"),CHOOSE(ArtifactsInput!$N$35+1,15,18,21,24,27,30)*(1-EXP(-(0.2*B1365)*5)),0)+IF(AND(ArtifactsInput!$M$22,Inputs!$B$4&lt;&gt;"Chapter Hunt"),CHOOSE(ArtifactsInput!$N$22+1,10,12,14,16,18,20)*((0*(((0.15*B1365*5))^0/1)+1*(((0.15*B1365*5))^1/1)+2*(((0.15*B1365*5))^2/2)+3*(((0.15*B1365*5))^3/6)+4*(((0.15*B1365*5))^4/24)+5*(((0.15*B1365*5))^5/120))/((((0.15*B1365*5))^0/1)+(((0.15*B1365*5))^1/1)+(((0.15*B1365*5))^2/2)+(((0.15*B1365*5))^3/6)+(((0.15*B1365*5))^4/24)+(((0.15*B1365*5))^5/120))),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343">
      <c r="A1343">
        <f>Skills!A12</f>
        <v/>
      </c>
      <c r="B1343">
        <f>Skills!B12</f>
        <v/>
      </c>
      <c r="C1343">
        <f>Inputs!$B$3&gt;=60</f>
        <v/>
      </c>
      <c r="D1343">
        <f>IF(Skills!C12=1,60+Inputs!$B$25+Inputs!$B$29,IF(Skills!C12=2,90+Inputs!$B$26+Inputs!$B$29,IF(Skills!C12=3,120+Inputs!$B$27+Inputs!$B$29,MAX(0,(Inputs!$B$3-100)*3)+Inputs!$B$28+Inputs!$B$29)))</f>
        <v/>
      </c>
      <c r="E1343">
        <f>INDEX(FactorTable!$B$2:$Y$301, MATCH(ROUND(MIN(300,MAX(1,D1343)),0), FactorTable!$A$2:$A$301,0), Skills!M12+1)</f>
        <v/>
      </c>
      <c r="F1343">
        <f>IF(Skills!N12=TRUE,(Skills!L12/10)*(E1343/1000),Skills!L12/10)+Skills!O12</f>
        <v/>
      </c>
      <c r="G1343">
        <f>Skills!G12*IF(Skills!H12&gt;0,Skills!I12/Skills!H12,1)</f>
        <v/>
      </c>
      <c r="H1343">
        <f>1-(1-Skills!J12/100)^Skills!K12</f>
        <v/>
      </c>
      <c r="I1343" t="inlineStr">
        <is>
          <t>1</t>
        </is>
      </c>
      <c r="J1343" t="inlineStr"/>
      <c r="K1343" t="inlineStr"/>
      <c r="L1343" t="inlineStr"/>
      <c r="M1343" t="inlineStr"/>
      <c r="N1343" t="inlineStr"/>
      <c r="O1343">
        <f>(1-Summary!$B$11)*T1343+Summary!$B$11*V1343</f>
        <v/>
      </c>
      <c r="P1343">
        <f>IF(B1373=0,0,O1343/B1373)</f>
        <v/>
      </c>
      <c r="Q1343" t="n">
        <v>0</v>
      </c>
      <c r="R1343" t="n">
        <v>0</v>
      </c>
      <c r="S1343" t="n">
        <v>0</v>
      </c>
      <c r="T1343" t="n">
        <v>0</v>
      </c>
      <c r="V1343" t="n">
        <v>0</v>
      </c>
    </row>
    <row r="1344">
      <c r="A1344">
        <f>Skills!A13</f>
        <v/>
      </c>
      <c r="B1344">
        <f>Skills!B13</f>
        <v/>
      </c>
      <c r="C1344">
        <f>Inputs!$B$3&gt;=74</f>
        <v/>
      </c>
      <c r="D1344">
        <f>IF(Skills!C13=1,60+Inputs!$B$25+Inputs!$B$29,IF(Skills!C13=2,90+Inputs!$B$26+Inputs!$B$29,IF(Skills!C13=3,120+Inputs!$B$27+Inputs!$B$29,MAX(0,(Inputs!$B$3-100)*3)+Inputs!$B$28+Inputs!$B$29)))</f>
        <v/>
      </c>
      <c r="E1344">
        <f>INDEX(FactorTable!$B$2:$Y$301, MATCH(ROUND(MIN(300,MAX(1,D1344)),0), FactorTable!$A$2:$A$301,0), Skills!M13+1)</f>
        <v/>
      </c>
      <c r="F1344">
        <f>IF(Skills!N13=TRUE,(Skills!L13/10)*(E1344/1000),Skills!L13/10)+Skills!O13</f>
        <v/>
      </c>
      <c r="G1344">
        <f>Skills!G13*IF(Skills!H13&gt;0,Skills!I13/Skills!H13,1)</f>
        <v/>
      </c>
      <c r="H1344">
        <f>1-(1-Skills!J13/100)^Skills!K13</f>
        <v/>
      </c>
      <c r="I1344" t="inlineStr">
        <is>
          <t>1</t>
        </is>
      </c>
      <c r="J1344" t="inlineStr"/>
      <c r="K1344" t="inlineStr"/>
      <c r="L1344" t="inlineStr"/>
      <c r="M1344" t="inlineStr"/>
      <c r="N1344" t="inlineStr"/>
      <c r="O1344">
        <f>(1-Summary!$B$11)*T1344+Summary!$B$11*V1344</f>
        <v/>
      </c>
      <c r="P1344">
        <f>IF(B1373=0,0,O1344/B1373)</f>
        <v/>
      </c>
      <c r="Q1344" t="n">
        <v>0</v>
      </c>
      <c r="R1344" t="n">
        <v>0</v>
      </c>
      <c r="S1344" t="n">
        <v>0</v>
      </c>
      <c r="T1344" t="n">
        <v>0</v>
      </c>
      <c r="V1344" t="n">
        <v>0</v>
      </c>
    </row>
    <row r="1345">
      <c r="A1345">
        <f>Skills!A14</f>
        <v/>
      </c>
      <c r="B1345">
        <f>Skills!B14</f>
        <v/>
      </c>
      <c r="C1345">
        <f>Inputs!$B$3&gt;=74</f>
        <v/>
      </c>
      <c r="D1345">
        <f>IF(Skills!C14=1,60+Inputs!$B$25+Inputs!$B$29,IF(Skills!C14=2,90+Inputs!$B$26+Inputs!$B$29,IF(Skills!C14=3,120+Inputs!$B$27+Inputs!$B$29,MAX(0,(Inputs!$B$3-100)*3)+Inputs!$B$28+Inputs!$B$29)))</f>
        <v/>
      </c>
      <c r="E1345">
        <f>INDEX(FactorTable!$B$2:$Y$301, MATCH(ROUND(MIN(300,MAX(1,D1345)),0), FactorTable!$A$2:$A$301,0), Skills!M14+1)</f>
        <v/>
      </c>
      <c r="F1345">
        <f>IF(Skills!N14=TRUE,(Skills!L14/10)*(E1345/1000),Skills!L14/10)+Skills!O14</f>
        <v/>
      </c>
      <c r="G1345">
        <f>Skills!G14*IF(Skills!H14&gt;0,Skills!I14/Skills!H14,1)</f>
        <v/>
      </c>
      <c r="H1345">
        <f>1-(1-Skills!J14/100)^Skills!K14</f>
        <v/>
      </c>
      <c r="I1345" t="inlineStr">
        <is>
          <t>1</t>
        </is>
      </c>
      <c r="J1345" t="inlineStr"/>
      <c r="K1345" t="inlineStr"/>
      <c r="L1345" t="inlineStr"/>
      <c r="M1345" t="inlineStr"/>
      <c r="N1345" t="inlineStr"/>
      <c r="O1345">
        <f>(1-Summary!$B$11)*T1345+Summary!$B$11*V1345</f>
        <v/>
      </c>
      <c r="P1345">
        <f>IF(B1373=0,0,O1345/B1373)</f>
        <v/>
      </c>
      <c r="Q1345" t="n">
        <v>0</v>
      </c>
      <c r="R1345" t="n">
        <v>0</v>
      </c>
      <c r="S1345" t="n">
        <v>0</v>
      </c>
      <c r="T1345" t="n">
        <v>0</v>
      </c>
      <c r="V1345" t="n">
        <v>0</v>
      </c>
    </row>
    <row r="1346">
      <c r="A1346">
        <f>Skills!A15</f>
        <v/>
      </c>
      <c r="B1346">
        <f>Skills!B15</f>
        <v/>
      </c>
      <c r="C1346">
        <f>Inputs!$B$3&gt;=117</f>
        <v/>
      </c>
      <c r="D1346">
        <f>IF(Skills!C15=1,60+Inputs!$B$25+Inputs!$B$29,IF(Skills!C15=2,90+Inputs!$B$26+Inputs!$B$29,IF(Skills!C15=3,120+Inputs!$B$27+Inputs!$B$29,MAX(0,(Inputs!$B$3-100)*3)+Inputs!$B$28+Inputs!$B$29)))</f>
        <v/>
      </c>
      <c r="E1346">
        <f>INDEX(FactorTable!$B$2:$Y$301, MATCH(ROUND(MIN(300,MAX(1,D1346)),0), FactorTable!$A$2:$A$301,0), Skills!M15+1)</f>
        <v/>
      </c>
      <c r="F1346">
        <f>IF(Skills!N15=TRUE,(Skills!L15/10)*(E1346/1000),Skills!L15/10)+Skills!O15</f>
        <v/>
      </c>
      <c r="G1346">
        <f>Skills!G15*IF(Skills!H15&gt;0,Skills!I15/Skills!H15,1)</f>
        <v/>
      </c>
      <c r="H1346">
        <f>1-(1-Skills!J15/100)^Skills!K15</f>
        <v/>
      </c>
      <c r="I1346" t="inlineStr">
        <is>
          <t>1</t>
        </is>
      </c>
      <c r="J1346" t="inlineStr"/>
      <c r="K1346" t="inlineStr"/>
      <c r="L1346" t="inlineStr"/>
      <c r="M1346" t="inlineStr"/>
      <c r="N1346" t="inlineStr"/>
      <c r="O1346">
        <f>(1-Summary!$B$11)*T1346+Summary!$B$11*V1346</f>
        <v/>
      </c>
      <c r="P1346">
        <f>IF(B1373=0,0,O1346/B1373)</f>
        <v/>
      </c>
      <c r="Q1346">
        <f>IFERROR(1/IF(Inputs!$B$38="pvp",15,MAX(0.1,Skills!D15-IF(Skills!E15=TRUE,Inputs!$B$32,0))),0)</f>
        <v/>
      </c>
      <c r="R1346">
        <f>IF(AND(Inputs!$B$38&lt;&gt;"pvp",Inputs!$B$43&gt;0),IF(Inputs!$B$43&lt;=0,0,(INT(Inputs!$B$43/IF(Inputs!$B$38="pvp",15,MAX(0.1,Skills!D15-IF(Skills!E15=TRUE,Inputs!$B$32,0))))+1)),0)</f>
        <v/>
      </c>
      <c r="S1346" t="n">
        <v>0</v>
      </c>
      <c r="T1346" t="n">
        <v>0</v>
      </c>
      <c r="V1346" t="n">
        <v>0</v>
      </c>
    </row>
    <row r="1347">
      <c r="A1347">
        <f>Skills!A16</f>
        <v/>
      </c>
      <c r="B1347">
        <f>Skills!B16</f>
        <v/>
      </c>
      <c r="C1347">
        <f>Inputs!$B$3&gt;=115</f>
        <v/>
      </c>
      <c r="D1347">
        <f>IF(Skills!C16=1,60+Inputs!$B$25+Inputs!$B$29,IF(Skills!C16=2,90+Inputs!$B$26+Inputs!$B$29,IF(Skills!C16=3,120+Inputs!$B$27+Inputs!$B$29,MAX(0,(Inputs!$B$3-100)*3)+Inputs!$B$28+Inputs!$B$29)))</f>
        <v/>
      </c>
      <c r="E1347">
        <f>INDEX(FactorTable!$B$2:$Y$301, MATCH(ROUND(MIN(300,MAX(1,D1347)),0), FactorTable!$A$2:$A$301,0), Skills!M16+1)</f>
        <v/>
      </c>
      <c r="F1347">
        <f>IF(Skills!N16=TRUE,(Skills!L16/10)*(E1347/1000),Skills!L16/10)+Skills!O16</f>
        <v/>
      </c>
      <c r="G1347">
        <f>Skills!G16*IF(Skills!H16&gt;0,Skills!I16/Skills!H16,1)</f>
        <v/>
      </c>
      <c r="H1347">
        <f>1-(1-Skills!J16/100)^Skills!K16</f>
        <v/>
      </c>
      <c r="I1347" t="inlineStr">
        <is>
          <t>1</t>
        </is>
      </c>
      <c r="J1347" t="inlineStr"/>
      <c r="K1347" t="inlineStr"/>
      <c r="L1347" t="inlineStr"/>
      <c r="M1347" t="inlineStr"/>
      <c r="N1347" t="inlineStr"/>
      <c r="O1347">
        <f>(1-Summary!$B$11)*T1347+Summary!$B$11*V1347</f>
        <v/>
      </c>
      <c r="P1347">
        <f>IF(B1373=0,0,O1347/B1373)</f>
        <v/>
      </c>
      <c r="Q1347">
        <f>IFERROR(1/IF(Inputs!$B$38="pvp",15,MAX(0.1,Skills!D16-IF(Skills!E16=TRUE,Inputs!$B$32,0))),0)</f>
        <v/>
      </c>
      <c r="R1347">
        <f>IF(AND(Inputs!$B$38&lt;&gt;"pvp",Inputs!$B$43&gt;0),IF(Inputs!$B$43&lt;=0,0,(INT(Inputs!$B$43/IF(Inputs!$B$38="pvp",15,MAX(0.1,Skills!D16-IF(Skills!E16=TRUE,Inputs!$B$32,0))))+1)),0)</f>
        <v/>
      </c>
      <c r="S1347" t="n">
        <v>0</v>
      </c>
      <c r="T1347" t="n">
        <v>0</v>
      </c>
      <c r="V1347" t="n">
        <v>0</v>
      </c>
    </row>
    <row r="1348">
      <c r="A1348">
        <f>Skills!A17</f>
        <v/>
      </c>
      <c r="B1348">
        <f>Skills!B17</f>
        <v/>
      </c>
      <c r="C1348">
        <f>Inputs!$B$3&gt;=72</f>
        <v/>
      </c>
      <c r="D1348">
        <f>IF(Skills!C17=1,60+Inputs!$B$25+Inputs!$B$29,IF(Skills!C17=2,90+Inputs!$B$26+Inputs!$B$29,IF(Skills!C17=3,120+Inputs!$B$27+Inputs!$B$29,MAX(0,(Inputs!$B$3-100)*3)+Inputs!$B$28+Inputs!$B$29)))</f>
        <v/>
      </c>
      <c r="E1348">
        <f>INDEX(FactorTable!$B$2:$Y$301, MATCH(ROUND(MIN(300,MAX(1,D1348)),0), FactorTable!$A$2:$A$301,0), Skills!M17+1)</f>
        <v/>
      </c>
      <c r="F1348">
        <f>IF(Skills!N17=TRUE,(Skills!L17/10)*(E1348/1000),Skills!L17/10)+Skills!O17</f>
        <v/>
      </c>
      <c r="G1348">
        <f>Skills!G17*IF(Skills!H17&gt;0,Skills!I17/Skills!H17,1)</f>
        <v/>
      </c>
      <c r="H1348">
        <f>1-(1-Skills!J17/100)^Skills!K17</f>
        <v/>
      </c>
      <c r="I1348" t="inlineStr">
        <is>
          <t>1</t>
        </is>
      </c>
      <c r="J1348" t="inlineStr"/>
      <c r="K1348" t="inlineStr"/>
      <c r="L1348" t="inlineStr"/>
      <c r="M1348" t="inlineStr"/>
      <c r="N1348" t="inlineStr"/>
      <c r="O1348">
        <f>(1-Summary!$B$11)*T1348+Summary!$B$11*V1348</f>
        <v/>
      </c>
      <c r="P1348">
        <f>IF(B1373=0,0,O1348/B1373)</f>
        <v/>
      </c>
      <c r="Q1348" t="n">
        <v>0</v>
      </c>
      <c r="R1348" t="n">
        <v>0</v>
      </c>
      <c r="S1348" t="n">
        <v>0</v>
      </c>
      <c r="T1348" t="n">
        <v>0</v>
      </c>
      <c r="V1348" t="n">
        <v>0</v>
      </c>
    </row>
    <row r="1349">
      <c r="A1349">
        <f>Skills!A18</f>
        <v/>
      </c>
      <c r="B1349">
        <f>Skills!B18</f>
        <v/>
      </c>
      <c r="C1349">
        <f>TRUE</f>
        <v/>
      </c>
      <c r="D1349">
        <f>IF(Skills!C18=1,60+Inputs!$B$25+Inputs!$B$29,IF(Skills!C18=2,90+Inputs!$B$26+Inputs!$B$29,IF(Skills!C18=3,120+Inputs!$B$27+Inputs!$B$29,MAX(0,(Inputs!$B$3-100)*3)+Inputs!$B$28+Inputs!$B$29)))</f>
        <v/>
      </c>
      <c r="E1349">
        <f>INDEX(FactorTable!$B$2:$Y$301, MATCH(ROUND(MIN(300,MAX(1,D1349)),0), FactorTable!$A$2:$A$301,0), Skills!M18+1)</f>
        <v/>
      </c>
      <c r="F1349">
        <f>IF(Skills!N18=TRUE,(Skills!L18/10)*(E1349/1000),Skills!L18/10)+Skills!O18</f>
        <v/>
      </c>
      <c r="G1349">
        <f>Skills!G18*IF(Skills!H18&gt;0,Skills!I18/Skills!H18,1)</f>
        <v/>
      </c>
      <c r="H1349">
        <f>1-(1-Skills!J18/100)^Skills!K18</f>
        <v/>
      </c>
      <c r="I1349" t="inlineStr">
        <is>
          <t>1</t>
        </is>
      </c>
      <c r="J1349" t="inlineStr"/>
      <c r="K1349" t="inlineStr"/>
      <c r="L1349" t="inlineStr"/>
      <c r="M1349" t="inlineStr"/>
      <c r="N1349" t="inlineStr"/>
      <c r="O1349">
        <f>(1-Summary!$B$11)*T1349+Summary!$B$11*V1349</f>
        <v/>
      </c>
      <c r="P1349">
        <f>IF(B1373=0,0,O1349/B1373)</f>
        <v/>
      </c>
      <c r="Q1349">
        <f>IFERROR(1/IF(Inputs!$B$38="pvp",15,MAX(0.1,Skills!D18-IF(Skills!E18=TRUE,Inputs!$B$32,0))),0)</f>
        <v/>
      </c>
      <c r="R1349">
        <f>IF(AND(Inputs!$B$38&lt;&gt;"pvp",Inputs!$B$43&gt;0),IF(Inputs!$B$43&lt;=0,0,(INT(Inputs!$B$43/IF(Inputs!$B$38="pvp",15,MAX(0.1,Skills!D18-IF(Skills!E18=TRUE,Inputs!$B$32,0))))+1)),0)</f>
        <v/>
      </c>
      <c r="S1349" t="n">
        <v>0</v>
      </c>
      <c r="T1349" t="n">
        <v>0</v>
      </c>
      <c r="V1349" t="n">
        <v>0</v>
      </c>
    </row>
    <row r="1350">
      <c r="A1350">
        <f>Skills!A19</f>
        <v/>
      </c>
      <c r="B1350">
        <f>Skills!B19</f>
        <v/>
      </c>
      <c r="C1350">
        <f>Inputs!$B$3&gt;=15</f>
        <v/>
      </c>
      <c r="D1350">
        <f>IF(Skills!C19=1,60+Inputs!$B$25+Inputs!$B$29,IF(Skills!C19=2,90+Inputs!$B$26+Inputs!$B$29,IF(Skills!C19=3,120+Inputs!$B$27+Inputs!$B$29,MAX(0,(Inputs!$B$3-100)*3)+Inputs!$B$28+Inputs!$B$29)))</f>
        <v/>
      </c>
      <c r="E1350">
        <f>INDEX(FactorTable!$B$2:$Y$301, MATCH(ROUND(MIN(300,MAX(1,D1350)),0), FactorTable!$A$2:$A$301,0), Skills!M19+1)</f>
        <v/>
      </c>
      <c r="F1350">
        <f>IF(Skills!N19=TRUE,(Skills!L19/10)*(E1350/1000),Skills!L19/10)+Skills!O19</f>
        <v/>
      </c>
      <c r="G1350">
        <f>Skills!G19*IF(Skills!H19&gt;0,Skills!I19/Skills!H19,1)</f>
        <v/>
      </c>
      <c r="H1350">
        <f>1-(1-Skills!J19/100)^Skills!K19</f>
        <v/>
      </c>
      <c r="I1350" t="inlineStr">
        <is>
          <t>1</t>
        </is>
      </c>
      <c r="J1350" t="inlineStr"/>
      <c r="K1350" t="inlineStr"/>
      <c r="L1350" t="inlineStr"/>
      <c r="M1350" t="inlineStr"/>
      <c r="N1350" t="inlineStr"/>
      <c r="O1350">
        <f>(1-Summary!$B$11)*T1350+Summary!$B$11*V1350</f>
        <v/>
      </c>
      <c r="P1350">
        <f>IF(B1373=0,0,O1350/B1373)</f>
        <v/>
      </c>
      <c r="Q1350" t="n">
        <v>0</v>
      </c>
      <c r="R1350" t="n">
        <v>0</v>
      </c>
      <c r="S1350" t="n">
        <v>0</v>
      </c>
      <c r="T1350" t="n">
        <v>0</v>
      </c>
      <c r="V1350" t="n">
        <v>0</v>
      </c>
    </row>
    <row r="1351">
      <c r="A1351">
        <f>Skills!A20</f>
        <v/>
      </c>
      <c r="B1351">
        <f>Skills!B20</f>
        <v/>
      </c>
      <c r="C1351">
        <f>Inputs!$B$3&gt;=10</f>
        <v/>
      </c>
      <c r="D1351">
        <f>IF(Skills!C20=1,60+Inputs!$B$25+Inputs!$B$29,IF(Skills!C20=2,90+Inputs!$B$26+Inputs!$B$29,IF(Skills!C20=3,120+Inputs!$B$27+Inputs!$B$29,MAX(0,(Inputs!$B$3-100)*3)+Inputs!$B$28+Inputs!$B$29)))</f>
        <v/>
      </c>
      <c r="E1351">
        <f>INDEX(FactorTable!$B$2:$Y$301, MATCH(ROUND(MIN(300,MAX(1,D1351)),0), FactorTable!$A$2:$A$301,0), Skills!M20+1)</f>
        <v/>
      </c>
      <c r="F1351">
        <f>IF(Skills!N20=TRUE,(Skills!L20/10)*(E1351/1000),Skills!L20/10)+Skills!O20</f>
        <v/>
      </c>
      <c r="G1351">
        <f>Skills!G20*IF(Skills!H20&gt;0,Skills!I20/Skills!H20,1)</f>
        <v/>
      </c>
      <c r="H1351">
        <f>1-(1-Skills!J20/100)^Skills!K20</f>
        <v/>
      </c>
      <c r="I1351" t="inlineStr">
        <is>
          <t>1</t>
        </is>
      </c>
      <c r="J1351" t="inlineStr"/>
      <c r="K1351" t="inlineStr"/>
      <c r="L1351" t="inlineStr"/>
      <c r="M1351" t="inlineStr"/>
      <c r="N1351" t="inlineStr"/>
      <c r="O1351">
        <f>(1-Summary!$B$11)*T1351+Summary!$B$11*V1351</f>
        <v/>
      </c>
      <c r="P1351">
        <f>IF(B1373=0,0,O1351/B1373)</f>
        <v/>
      </c>
      <c r="Q1351" t="n">
        <v>0</v>
      </c>
      <c r="R1351" t="n">
        <v>0</v>
      </c>
      <c r="S1351" t="n">
        <v>0</v>
      </c>
      <c r="T1351" t="n">
        <v>0</v>
      </c>
      <c r="V1351" t="n">
        <v>0</v>
      </c>
    </row>
    <row r="1352">
      <c r="A1352">
        <f>Skills!A21</f>
        <v/>
      </c>
      <c r="B1352">
        <f>Skills!B21</f>
        <v/>
      </c>
      <c r="C1352">
        <f>Inputs!$B$3&gt;=33</f>
        <v/>
      </c>
      <c r="D1352">
        <f>IF(Skills!C21=1,60+Inputs!$B$25+Inputs!$B$29,IF(Skills!C21=2,90+Inputs!$B$26+Inputs!$B$29,IF(Skills!C21=3,120+Inputs!$B$27+Inputs!$B$29,MAX(0,(Inputs!$B$3-100)*3)+Inputs!$B$28+Inputs!$B$29)))</f>
        <v/>
      </c>
      <c r="E1352">
        <f>INDEX(FactorTable!$B$2:$Y$301, MATCH(ROUND(MIN(300,MAX(1,D1352)),0), FactorTable!$A$2:$A$301,0), Skills!M21+1)</f>
        <v/>
      </c>
      <c r="F1352">
        <f>IF(Skills!N21=TRUE,(Skills!L21/10)*(E1352/1000),Skills!L21/10)+Skills!O21</f>
        <v/>
      </c>
      <c r="G1352">
        <f>Skills!G21*IF(Skills!H21&gt;0,Skills!I21/Skills!H21,1)</f>
        <v/>
      </c>
      <c r="H1352">
        <f>1-(1-Skills!J21/100)^Skills!K21</f>
        <v/>
      </c>
      <c r="I1352" t="inlineStr">
        <is>
          <t>1</t>
        </is>
      </c>
      <c r="J1352" t="inlineStr"/>
      <c r="K1352" t="inlineStr"/>
      <c r="L1352" t="inlineStr"/>
      <c r="M1352" t="inlineStr"/>
      <c r="N1352" t="inlineStr"/>
      <c r="O1352">
        <f>(1-Summary!$B$11)*T1352+Summary!$B$11*V1352</f>
        <v/>
      </c>
      <c r="P1352">
        <f>IF(B1373=0,0,O1352/B1373)</f>
        <v/>
      </c>
      <c r="Q1352" t="n">
        <v>0</v>
      </c>
      <c r="R1352" t="n">
        <v>0</v>
      </c>
      <c r="S1352" t="n">
        <v>0</v>
      </c>
      <c r="T1352" t="n">
        <v>0</v>
      </c>
      <c r="V1352" t="n">
        <v>0</v>
      </c>
    </row>
    <row r="1353">
      <c r="A1353">
        <f>Skills!A22</f>
        <v/>
      </c>
      <c r="B1353">
        <f>Skills!B22</f>
        <v/>
      </c>
      <c r="C1353">
        <f>Inputs!$B$3&gt;=38</f>
        <v/>
      </c>
      <c r="D1353">
        <f>IF(Skills!C22=1,60+Inputs!$B$25+Inputs!$B$29,IF(Skills!C22=2,90+Inputs!$B$26+Inputs!$B$29,IF(Skills!C22=3,120+Inputs!$B$27+Inputs!$B$29,MAX(0,(Inputs!$B$3-100)*3)+Inputs!$B$28+Inputs!$B$29)))</f>
        <v/>
      </c>
      <c r="E1353">
        <f>INDEX(FactorTable!$B$2:$Y$301, MATCH(ROUND(MIN(300,MAX(1,D1353)),0), FactorTable!$A$2:$A$301,0), Skills!M22+1)</f>
        <v/>
      </c>
      <c r="F1353">
        <f>IF(Skills!N22=TRUE,(Skills!L22/10)*(E1353/1000),Skills!L22/10)+Skills!O22</f>
        <v/>
      </c>
      <c r="G1353">
        <f>Skills!G22*IF(Skills!H22&gt;0,Skills!I22/Skills!H22,1)</f>
        <v/>
      </c>
      <c r="H1353">
        <f>1-(1-Skills!J22/100)^Skills!K22</f>
        <v/>
      </c>
      <c r="I1353" t="inlineStr">
        <is>
          <t>1</t>
        </is>
      </c>
      <c r="J1353" t="inlineStr"/>
      <c r="K1353" t="inlineStr"/>
      <c r="L1353" t="inlineStr"/>
      <c r="M1353" t="inlineStr"/>
      <c r="N1353" t="inlineStr"/>
      <c r="O1353">
        <f>(1-Summary!$B$11)*T1353+Summary!$B$11*V1353</f>
        <v/>
      </c>
      <c r="P1353">
        <f>IF(B1373=0,0,O1353/B1373)</f>
        <v/>
      </c>
      <c r="Q1353" t="n">
        <v>0</v>
      </c>
      <c r="R1353" t="n">
        <v>0</v>
      </c>
      <c r="S1353" t="n">
        <v>0</v>
      </c>
      <c r="T1353" t="n">
        <v>0</v>
      </c>
      <c r="V1353" t="n">
        <v>0</v>
      </c>
    </row>
    <row r="1354">
      <c r="A1354">
        <f>Skills!A23</f>
        <v/>
      </c>
      <c r="B1354">
        <f>Skills!B23</f>
        <v/>
      </c>
      <c r="C1354">
        <f>Inputs!$B$3&gt;=43</f>
        <v/>
      </c>
      <c r="D1354">
        <f>IF(Skills!C23=1,60+Inputs!$B$25+Inputs!$B$29,IF(Skills!C23=2,90+Inputs!$B$26+Inputs!$B$29,IF(Skills!C23=3,120+Inputs!$B$27+Inputs!$B$29,MAX(0,(Inputs!$B$3-100)*3)+Inputs!$B$28+Inputs!$B$29)))</f>
        <v/>
      </c>
      <c r="E1354">
        <f>INDEX(FactorTable!$B$2:$Y$301, MATCH(ROUND(MIN(300,MAX(1,D1354)),0), FactorTable!$A$2:$A$301,0), Skills!M23+1)</f>
        <v/>
      </c>
      <c r="F1354">
        <f>IF(Skills!N23=TRUE,(Skills!L23/10)*(E1354/1000),Skills!L23/10)+Skills!O23</f>
        <v/>
      </c>
      <c r="G1354">
        <f>Skills!G23*IF(Skills!H23&gt;0,Skills!I23/Skills!H23,1)</f>
        <v/>
      </c>
      <c r="H1354">
        <f>1-(1-Skills!J23/100)^Skills!K23</f>
        <v/>
      </c>
      <c r="I1354" t="inlineStr">
        <is>
          <t>1</t>
        </is>
      </c>
      <c r="J1354" t="inlineStr"/>
      <c r="K1354" t="inlineStr"/>
      <c r="L1354" t="inlineStr"/>
      <c r="M1354" t="inlineStr"/>
      <c r="N1354" t="inlineStr"/>
      <c r="O1354">
        <f>(1-Summary!$B$11)*T1354+Summary!$B$11*V1354</f>
        <v/>
      </c>
      <c r="P1354">
        <f>IF(B1373=0,0,O1354/B1373)</f>
        <v/>
      </c>
      <c r="Q1354" t="n">
        <v>0</v>
      </c>
      <c r="R1354" t="n">
        <v>0</v>
      </c>
      <c r="S1354" t="n">
        <v>0</v>
      </c>
      <c r="T1354" t="n">
        <v>0</v>
      </c>
      <c r="V1354" t="n">
        <v>0</v>
      </c>
    </row>
    <row r="1355">
      <c r="A1355">
        <f>Skills!A24</f>
        <v/>
      </c>
      <c r="B1355">
        <f>Skills!B24</f>
        <v/>
      </c>
      <c r="C1355">
        <f>Inputs!$B$3&gt;=75</f>
        <v/>
      </c>
      <c r="D1355">
        <f>IF(Skills!C24=1,60+Inputs!$B$25+Inputs!$B$29,IF(Skills!C24=2,90+Inputs!$B$26+Inputs!$B$29,IF(Skills!C24=3,120+Inputs!$B$27+Inputs!$B$29,MAX(0,(Inputs!$B$3-100)*3)+Inputs!$B$28+Inputs!$B$29)))</f>
        <v/>
      </c>
      <c r="E1355">
        <f>INDEX(FactorTable!$B$2:$Y$301, MATCH(ROUND(MIN(300,MAX(1,D1355)),0), FactorTable!$A$2:$A$301,0), Skills!M24+1)</f>
        <v/>
      </c>
      <c r="F1355">
        <f>IF(Skills!N24=TRUE,(Skills!L24/10)*(E1355/1000),Skills!L24/10)+Skills!O24</f>
        <v/>
      </c>
      <c r="G1355">
        <f>Skills!G24*IF(Skills!H24&gt;0,Skills!I24/Skills!H24,1)</f>
        <v/>
      </c>
      <c r="H1355">
        <f>1-(1-Skills!J24/100)^Skills!K24</f>
        <v/>
      </c>
      <c r="I1355" t="inlineStr">
        <is>
          <t>1</t>
        </is>
      </c>
      <c r="J1355" t="inlineStr"/>
      <c r="K1355" t="inlineStr"/>
      <c r="L1355" t="inlineStr"/>
      <c r="M1355" t="inlineStr"/>
      <c r="N1355" t="inlineStr"/>
      <c r="O1355">
        <f>(1-Summary!$B$11)*T1355+Summary!$B$11*V1355</f>
        <v/>
      </c>
      <c r="P1355">
        <f>IF(B1373=0,0,O1355/B1373)</f>
        <v/>
      </c>
      <c r="Q1355" t="n">
        <v>0</v>
      </c>
      <c r="R1355" t="n">
        <v>0</v>
      </c>
      <c r="S1355" t="n">
        <v>0</v>
      </c>
      <c r="T1355" t="n">
        <v>0</v>
      </c>
      <c r="V1355" t="n">
        <v>0</v>
      </c>
    </row>
    <row r="1356">
      <c r="A1356">
        <f>Skills!A25</f>
        <v/>
      </c>
      <c r="B1356">
        <f>Skills!B25</f>
        <v/>
      </c>
      <c r="C1356">
        <f>Inputs!$B$3&gt;=125</f>
        <v/>
      </c>
      <c r="D1356">
        <f>IF(Skills!C25=1,60+Inputs!$B$25+Inputs!$B$29,IF(Skills!C25=2,90+Inputs!$B$26+Inputs!$B$29,IF(Skills!C25=3,120+Inputs!$B$27+Inputs!$B$29,MAX(0,(Inputs!$B$3-100)*3)+Inputs!$B$28+Inputs!$B$29)))</f>
        <v/>
      </c>
      <c r="E1356">
        <f>INDEX(FactorTable!$B$2:$Y$301, MATCH(ROUND(MIN(300,MAX(1,D1356)),0), FactorTable!$A$2:$A$301,0), Skills!M25+1)</f>
        <v/>
      </c>
      <c r="F1356">
        <f>IF(Skills!N25=TRUE,(Skills!L25/10)*(E1356/1000),Skills!L25/10)+Skills!O25</f>
        <v/>
      </c>
      <c r="G1356">
        <f>Skills!G25*IF(Skills!H25&gt;0,Skills!I25/Skills!H25,1)</f>
        <v/>
      </c>
      <c r="H1356">
        <f>1-(1-Skills!J25/100)^Skills!K25</f>
        <v/>
      </c>
      <c r="I1356" t="inlineStr">
        <is>
          <t>1</t>
        </is>
      </c>
      <c r="J1356" t="inlineStr"/>
      <c r="K1356" t="inlineStr"/>
      <c r="L1356" t="inlineStr"/>
      <c r="M1356" t="inlineStr"/>
      <c r="N1356" t="inlineStr"/>
      <c r="O1356">
        <f>(1-Summary!$B$11)*T1356+Summary!$B$11*V1356</f>
        <v/>
      </c>
      <c r="P1356">
        <f>IF(B1373=0,0,O1356/B1373)</f>
        <v/>
      </c>
      <c r="Q1356" t="n">
        <v>0</v>
      </c>
      <c r="R1356" t="n">
        <v>0</v>
      </c>
      <c r="S1356" t="n">
        <v>0</v>
      </c>
      <c r="T1356" t="n">
        <v>0</v>
      </c>
      <c r="V1356" t="n">
        <v>0</v>
      </c>
    </row>
    <row r="1357">
      <c r="A1357">
        <f>Skills!A26</f>
        <v/>
      </c>
      <c r="B1357">
        <f>Skills!B26</f>
        <v/>
      </c>
      <c r="C1357">
        <f>Inputs!$B$3&gt;=125</f>
        <v/>
      </c>
      <c r="D1357">
        <f>IF(Skills!C26=1,60+Inputs!$B$25+Inputs!$B$29,IF(Skills!C26=2,90+Inputs!$B$26+Inputs!$B$29,IF(Skills!C26=3,120+Inputs!$B$27+Inputs!$B$29,MAX(0,(Inputs!$B$3-100)*3)+Inputs!$B$28+Inputs!$B$29)))</f>
        <v/>
      </c>
      <c r="E1357">
        <f>INDEX(FactorTable!$B$2:$Y$301, MATCH(ROUND(MIN(300,MAX(1,D1357)),0), FactorTable!$A$2:$A$301,0), Skills!M26+1)</f>
        <v/>
      </c>
      <c r="F1357">
        <f>IF(Skills!N26=TRUE,(Skills!L26/10)*(E1357/1000),Skills!L26/10)+Skills!O26</f>
        <v/>
      </c>
      <c r="G1357">
        <f>Skills!G26*IF(Skills!H26&gt;0,Skills!I26/Skills!H26,1)</f>
        <v/>
      </c>
      <c r="H1357">
        <f>1-(1-Skills!J26/100)^Skills!K26</f>
        <v/>
      </c>
      <c r="I1357" t="inlineStr">
        <is>
          <t>1</t>
        </is>
      </c>
      <c r="J1357" t="inlineStr"/>
      <c r="K1357" t="inlineStr"/>
      <c r="L1357" t="inlineStr"/>
      <c r="M1357" t="inlineStr"/>
      <c r="N1357" t="inlineStr"/>
      <c r="O1357">
        <f>(1-Summary!$B$11)*T1357+Summary!$B$11*V1357</f>
        <v/>
      </c>
      <c r="P1357">
        <f>IF(B1373=0,0,O1357/B1373)</f>
        <v/>
      </c>
      <c r="Q1357" t="n">
        <v>0</v>
      </c>
      <c r="R1357" t="n">
        <v>0</v>
      </c>
      <c r="S1357" t="n">
        <v>0</v>
      </c>
      <c r="T1357" t="n">
        <v>0</v>
      </c>
      <c r="V1357" t="n">
        <v>0</v>
      </c>
    </row>
    <row r="1358">
      <c r="A1358">
        <f>Skills!A27</f>
        <v/>
      </c>
      <c r="B1358">
        <f>Skills!B27</f>
        <v/>
      </c>
      <c r="C1358">
        <f>Inputs!$B$3&gt;=120</f>
        <v/>
      </c>
      <c r="D1358">
        <f>IF(Skills!C27=1,60+Inputs!$B$25+Inputs!$B$29,IF(Skills!C27=2,90+Inputs!$B$26+Inputs!$B$29,IF(Skills!C27=3,120+Inputs!$B$27+Inputs!$B$29,MAX(0,(Inputs!$B$3-100)*3)+Inputs!$B$28+Inputs!$B$29)))</f>
        <v/>
      </c>
      <c r="E1358">
        <f>INDEX(FactorTable!$B$2:$Y$301, MATCH(ROUND(MIN(300,MAX(1,D1358)),0), FactorTable!$A$2:$A$301,0), Skills!M27+1)</f>
        <v/>
      </c>
      <c r="F1358">
        <f>IF(Skills!N27=TRUE,(Skills!L27/10)*(E1358/1000),Skills!L27/10)+Skills!O27</f>
        <v/>
      </c>
      <c r="G1358">
        <f>Skills!G27*IF(Skills!H27&gt;0,Skills!I27/Skills!H27,1)</f>
        <v/>
      </c>
      <c r="H1358">
        <f>1-(1-Skills!J27/100)^Skills!K27</f>
        <v/>
      </c>
      <c r="I1358" t="inlineStr">
        <is>
          <t>1</t>
        </is>
      </c>
      <c r="J1358" t="inlineStr"/>
      <c r="K1358" t="inlineStr"/>
      <c r="L1358" t="inlineStr"/>
      <c r="M1358" t="inlineStr"/>
      <c r="N1358" t="inlineStr"/>
      <c r="O1358">
        <f>(1-Summary!$B$11)*T1358+Summary!$B$11*V1358</f>
        <v/>
      </c>
      <c r="P1358">
        <f>IF(B1373=0,0,O1358/B1373)</f>
        <v/>
      </c>
      <c r="Q1358" t="n">
        <v>0</v>
      </c>
      <c r="R1358" t="n">
        <v>0</v>
      </c>
      <c r="S1358" t="n">
        <v>0</v>
      </c>
      <c r="T1358" t="n">
        <v>0</v>
      </c>
      <c r="V1358" t="n">
        <v>0</v>
      </c>
    </row>
    <row r="1359">
      <c r="A1359">
        <f>Skills!A28</f>
        <v/>
      </c>
      <c r="B1359">
        <f>Skills!B28</f>
        <v/>
      </c>
      <c r="C1359">
        <f>Inputs!$B$3&gt;=120</f>
        <v/>
      </c>
      <c r="D1359">
        <f>IF(Skills!C28=1,60+Inputs!$B$25+Inputs!$B$29,IF(Skills!C28=2,90+Inputs!$B$26+Inputs!$B$29,IF(Skills!C28=3,120+Inputs!$B$27+Inputs!$B$29,MAX(0,(Inputs!$B$3-100)*3)+Inputs!$B$28+Inputs!$B$29)))</f>
        <v/>
      </c>
      <c r="E1359">
        <f>INDEX(FactorTable!$B$2:$Y$301, MATCH(ROUND(MIN(300,MAX(1,D1359)),0), FactorTable!$A$2:$A$301,0), Skills!M28+1)</f>
        <v/>
      </c>
      <c r="F1359">
        <f>IF(Skills!N28=TRUE,(Skills!L28/10)*(E1359/1000),Skills!L28/10)+Skills!O28</f>
        <v/>
      </c>
      <c r="G1359">
        <f>Skills!G28*IF(Skills!H28&gt;0,Skills!I28/Skills!H28,1)</f>
        <v/>
      </c>
      <c r="H1359">
        <f>1-(1-Skills!J28/100)^Skills!K28</f>
        <v/>
      </c>
      <c r="I1359" t="inlineStr">
        <is>
          <t>1</t>
        </is>
      </c>
      <c r="J1359" t="inlineStr"/>
      <c r="K1359" t="inlineStr"/>
      <c r="L1359" t="inlineStr"/>
      <c r="M1359" t="inlineStr"/>
      <c r="N1359" t="inlineStr"/>
      <c r="O1359">
        <f>(1-Summary!$B$11)*T1359+Summary!$B$11*V1359</f>
        <v/>
      </c>
      <c r="P1359">
        <f>IF(B1373=0,0,O1359/B1373)</f>
        <v/>
      </c>
      <c r="Q1359" t="n">
        <v>0</v>
      </c>
      <c r="R1359" t="n">
        <v>0</v>
      </c>
      <c r="S1359" t="n">
        <v>0</v>
      </c>
      <c r="T1359" t="n">
        <v>0</v>
      </c>
      <c r="V1359" t="n">
        <v>0</v>
      </c>
    </row>
    <row r="1360">
      <c r="A1360">
        <f>Skills!A29</f>
        <v/>
      </c>
      <c r="B1360">
        <f>Skills!B29</f>
        <v/>
      </c>
      <c r="C1360">
        <f>Inputs!$B$3&gt;=45</f>
        <v/>
      </c>
      <c r="D1360">
        <f>IF(Skills!C29=1,60+Inputs!$B$25+Inputs!$B$29,IF(Skills!C29=2,90+Inputs!$B$26+Inputs!$B$29,IF(Skills!C29=3,120+Inputs!$B$27+Inputs!$B$29,MAX(0,(Inputs!$B$3-100)*3)+Inputs!$B$28+Inputs!$B$29)))</f>
        <v/>
      </c>
      <c r="E1360">
        <f>INDEX(FactorTable!$B$2:$Y$301, MATCH(ROUND(MIN(300,MAX(1,D1360)),0), FactorTable!$A$2:$A$301,0), Skills!M29+1)</f>
        <v/>
      </c>
      <c r="F1360">
        <f>IF(Skills!N29=TRUE,(Skills!L29/10)*(E1360/1000),Skills!L29/10)+Skills!O29</f>
        <v/>
      </c>
      <c r="G1360">
        <f>Skills!G29*IF(Skills!H29&gt;0,Skills!I29/Skills!H29,1)</f>
        <v/>
      </c>
      <c r="H1360">
        <f>1-(1-Skills!J29/100)^Skills!K29</f>
        <v/>
      </c>
      <c r="I1360" t="inlineStr">
        <is>
          <t>1</t>
        </is>
      </c>
      <c r="J1360" t="inlineStr"/>
      <c r="K1360" t="inlineStr"/>
      <c r="L1360" t="inlineStr"/>
      <c r="M1360" t="inlineStr"/>
      <c r="N1360" t="inlineStr"/>
      <c r="O1360">
        <f>(1-Summary!$B$11)*T1360+Summary!$B$11*V1360</f>
        <v/>
      </c>
      <c r="P1360">
        <f>IF(B1373=0,0,O1360/B1373)</f>
        <v/>
      </c>
      <c r="Q1360" t="n">
        <v>0</v>
      </c>
      <c r="R1360" t="n">
        <v>0</v>
      </c>
      <c r="S1360" t="n">
        <v>0</v>
      </c>
      <c r="T1360" t="n">
        <v>0</v>
      </c>
      <c r="V1360" t="n">
        <v>0</v>
      </c>
    </row>
    <row r="1362">
      <c r="A1362" t="inlineStr">
        <is>
          <t>Attack% Bucket Multiplier</t>
        </is>
      </c>
      <c r="B1362">
        <f>(1+(((C1344=TRUE)*F1344)+((C1345=TRUE)*IF(Inputs!$B$38="pvp",F1345,(1-Summary!$B$11)*(F1345)+Summary!$B$11*(0)))+((C1346=TRUE)*F1346*IF(AND(Inputs!$B$38&lt;&gt;"pvp",Inputs!$B$43&gt;0),(((R1346-1)*(Skills!T15*(1+Inputs!$B$34/100))+MIN((Skills!T15*(1+Inputs!$B$34/100)),MAX(0,Inputs!$B$43-((R1346-1)*Skills!D15))))/Inputs!$B$43),IF(Inputs!$B$38="pvp",MIN((Skills!T15*(1+Inputs!$B$34/100)),15)/15,(Skills!T15*(1+Inputs!$B$34/100))/Skills!D15)))+((C1343=TRUE)*F1343)+((C1360=TRUE)*(F1360-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1363">
      <c r="A1363" t="inlineStr">
        <is>
          <t>Global Crit Rate Bonus %</t>
        </is>
      </c>
      <c r="B1363">
        <f>(C1347=TRUE)*20*IF(AND(Inputs!$B$38&lt;&gt;"pvp",Inputs!$B$43&gt;0),(((R1347-1)*(Skills!T16*(1+Inputs!$B$34/100))+MIN((Skills!T16*(1+Inputs!$B$34/100)),MAX(0,Inputs!$B$43-((R1347-1)*Skills!D16))))/Inputs!$B$43),IF(Inputs!$B$38="pvp",MIN((Skills!T16*(1+Inputs!$B$34/100)),15)/15,(Skills!T16*(1+Inputs!$B$34/100))/Skills!D16))</f>
        <v/>
      </c>
    </row>
    <row r="1364">
      <c r="A1364" t="inlineStr">
        <is>
          <t>Attack Speed Buff Bonus %</t>
        </is>
      </c>
      <c r="B1364">
        <f>((C1349=TRUE)*F1349*IF(AND(Inputs!$B$38&lt;&gt;"pvp",Inputs!$B$43&gt;0),(((R1349-1)*(Skills!T18*(1+Inputs!$B$34/100))+MIN((Skills!T18*(1+Inputs!$B$34/100)),MAX(0,Inputs!$B$43-((R1349-1)*Skills!D18))))/Inputs!$B$43),IF(Inputs!$B$38="pvp",MIN((Skills!T18*(1+Inputs!$B$34/100)),15)/15,(Skills!T18*(1+Inputs!$B$34/100))/Skills!D18)))</f>
        <v/>
      </c>
    </row>
    <row r="1365">
      <c r="A1365" t="inlineStr">
        <is>
          <t>Actions Per Second</t>
        </is>
      </c>
      <c r="B1365">
        <f>1+MIN(150,150*(1-(1-(Inputs!$B$11+((C1351=TRUE)*(F1351-Calc!F20))+((C1352=TRUE)*(F1352-Calc!F21)))/150)*(1-B1364/150)))/100</f>
        <v/>
      </c>
    </row>
    <row r="1366">
      <c r="A1366" t="inlineStr">
        <is>
          <t>Skill + Buff Cast Rate</t>
        </is>
      </c>
      <c r="B1366">
        <f>IF(AND(Inputs!$B$38&lt;&gt;"pvp",Inputs!$B$43&gt;0),SUMPRODUCT((Skills!E2:E29=TRUE)*(C1333:C1360=TRUE)*R1333:R1360*Skills!F2:F29)/Inputs!$B$43,SUMPRODUCT((Skills!E2:E29=TRUE)*(C1333:C1360=TRUE)*Q1333:Q1360*Skills!F2:F29))</f>
        <v/>
      </c>
    </row>
    <row r="1367">
      <c r="A1367" t="inlineStr">
        <is>
          <t>Empowered Piercing Arrow Casts Per Second</t>
        </is>
      </c>
      <c r="B1367">
        <f>MAX(0,B1365-B1366)</f>
        <v/>
      </c>
    </row>
    <row r="1368">
      <c r="A1368" t="inlineStr">
        <is>
          <t>Global Critical Damage Bonus % (Sharp Eyes)</t>
        </is>
      </c>
      <c r="B1368">
        <f>(C1347=TRUE)*F1347*IF(AND(Inputs!$B$38&lt;&gt;"pvp",Inputs!$B$43&gt;0),(((R1347-1)*(Skills!T16*(1+Inputs!$B$34/100))+MIN((Skills!T16*(1+Inputs!$B$34/100)),MAX(0,Inputs!$B$43-((R1347-1)*Skills!D16))))/Inputs!$B$43),IF(Inputs!$B$38="pvp",MIN((Skills!T16*(1+Inputs!$B$34/100)),15)/15,(Skills!T16*(1+Inputs!$B$34/100))/Skills!D16))</f>
        <v/>
      </c>
    </row>
    <row r="1369">
      <c r="A1369" t="inlineStr">
        <is>
          <t>Global Final Damage Bonus % (Mortal Blow + Last Man Standing conditional half)</t>
        </is>
      </c>
      <c r="B1369">
        <f>(C1348=TRUE)*F1348+((C1357=TRUE)*IF(Inputs!$B$38="pvp",F1357,(1-Summary!$B$11)*(F1357)+Summary!$B$11*(0)))</f>
        <v/>
      </c>
    </row>
    <row r="1370">
      <c r="A1370" t="inlineStr">
        <is>
          <t>Buff-Casting Startup Delay (s, fixed-duration only)</t>
        </is>
      </c>
      <c r="B1370">
        <f>IF(AND(Inputs!$B$38&lt;&gt;"pvp",Inputs!$B$43&gt;0),SUMPRODUCT((Skills!T2:T29&gt;0)*(Skills!E2:E29=TRUE)*(C1333:C1360=TRUE))/B1365,0)</f>
        <v/>
      </c>
    </row>
    <row r="1371">
      <c r="A1371" t="inlineStr">
        <is>
          <t>Boss-Only Total DPS (this block's swept value)</t>
        </is>
      </c>
      <c r="B1371">
        <f>SUM(T1333:T1360)</f>
        <v/>
      </c>
    </row>
    <row r="1372">
      <c r="A1372" t="inlineStr">
        <is>
          <t>Normal-Only Total DPS (this block's swept value)</t>
        </is>
      </c>
      <c r="B1372">
        <f>SUM(V1333:V1360)</f>
        <v/>
      </c>
    </row>
    <row r="1373">
      <c r="A1373" s="6" t="inlineStr">
        <is>
          <t>TOTAL DPS</t>
        </is>
      </c>
      <c r="B1373" s="6">
        <f>SUM(O1333:O1360)</f>
        <v/>
      </c>
    </row>
    <row r="1376">
      <c r="A1376" s="6" t="inlineStr">
        <is>
          <t>Stat: The Contract of Darkness (Equip)</t>
        </is>
      </c>
    </row>
    <row r="1377">
      <c r="A1377" s="5" t="inlineStr">
        <is>
          <t>Key</t>
        </is>
      </c>
      <c r="B1377" s="5" t="inlineStr">
        <is>
          <t>Name</t>
        </is>
      </c>
      <c r="C1377" s="5" t="inlineStr">
        <is>
          <t>Unlocked</t>
        </is>
      </c>
      <c r="D1377" s="5" t="inlineStr">
        <is>
          <t>InputLevel</t>
        </is>
      </c>
      <c r="E1377" s="5" t="inlineStr">
        <is>
          <t>Factor</t>
        </is>
      </c>
      <c r="F1377" s="5" t="inlineStr">
        <is>
          <t>CoefficientPercent</t>
        </is>
      </c>
      <c r="G1377" s="5" t="inlineStr">
        <is>
          <t>EffectiveHits</t>
        </is>
      </c>
      <c r="H1377" s="5" t="inlineStr">
        <is>
          <t>ProcProbability</t>
        </is>
      </c>
      <c r="I1377" s="5" t="inlineStr">
        <is>
          <t>MapleHeroMultiplier</t>
        </is>
      </c>
      <c r="J1377" s="5" t="inlineStr">
        <is>
          <t>BaseDamage</t>
        </is>
      </c>
      <c r="K1377" s="5" t="inlineStr">
        <is>
          <t>BaseHitDamage</t>
        </is>
      </c>
      <c r="L1377" s="5" t="inlineStr">
        <is>
          <t>NonCritAvg</t>
        </is>
      </c>
      <c r="M1377" s="5" t="inlineStr">
        <is>
          <t>CritAvg</t>
        </is>
      </c>
      <c r="N1377" s="5" t="inlineStr">
        <is>
          <t>ExpectedDamage(perHit)</t>
        </is>
      </c>
      <c r="O1377" s="5" t="inlineStr">
        <is>
          <t>DPS</t>
        </is>
      </c>
      <c r="P1377" s="5" t="inlineStr">
        <is>
          <t>% of Total</t>
        </is>
      </c>
      <c r="Q1377" s="5" t="inlineStr">
        <is>
          <t>InvCooldown</t>
        </is>
      </c>
      <c r="R1377" s="5" t="inlineStr">
        <is>
          <t>CastsInFight</t>
        </is>
      </c>
      <c r="S1377" s="5" t="inlineStr">
        <is>
          <t>HitRate(perSec)</t>
        </is>
      </c>
      <c r="U1377" t="inlineStr">
        <is>
          <t>helpers</t>
        </is>
      </c>
    </row>
    <row r="1378">
      <c r="A1378">
        <f>Skills!A2</f>
        <v/>
      </c>
      <c r="B1378">
        <f>Skills!B2</f>
        <v/>
      </c>
      <c r="C1378">
        <f>Inputs!$B$3&gt;=100</f>
        <v/>
      </c>
      <c r="D1378" t="inlineStr"/>
      <c r="E1378" t="inlineStr"/>
      <c r="F1378">
        <f>U1380+Skills!O2</f>
        <v/>
      </c>
      <c r="G1378">
        <f>Skills!G2*IF(Skills!H2&gt;0,Skills!I2/Skills!H2,1)</f>
        <v/>
      </c>
      <c r="H1378">
        <f>1-(1-Skills!J2/100)^Skills!K2</f>
        <v/>
      </c>
      <c r="I1378" t="inlineStr">
        <is>
          <t>1</t>
        </is>
      </c>
      <c r="J1378">
        <f>((Inputs!$B$6*(1+Inputs!$B$7/100))+(((Inputs!$B$12*(1+Inputs!$B$13/100))-(Inputs!$B$12*(1+Inputs!$B$13/100)))+0.25*(Inputs!$B$14-Inputs!$B$14))*(1+Inputs!$B$7/100))*(F1378/100)</f>
        <v/>
      </c>
      <c r="K1378">
        <f>J1378*(1+((Inputs!$B$12*(1+Inputs!$B$13/100))*0.01+Inputs!$B$14*0.0025)/100)*(1+Inputs!$B$15/100)*(1+Inputs!$B$16/100)*(5000/(6000+Inputs!$B$42*(1-(100*(1-(1-(Inputs!$B$19+0)/100)*(1-CHOOSE(ArtifactsInput!$N$40+1,5,6,7,8,9,10)/100)^(ArtifactsInput!$M$40-ArtifactsInput!$M$40)))/100)))*(1+(Inputs!$B$24+((C1400=TRUE)*(F1400-Calc!F24))+((C1401=TRUE)*(F1401-Calc!F25))+B1414)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EMPOWERED_PIERCING_ARROW",Inputs!$B$17+((C1398=TRUE)*(F1398-Calc!F22))+(((IF(AND(ArtifactsInput!$M$42,((Inputs!$B$9+((C1395=TRUE)*(F1395-Calc!F19))+B1408+(ArtifactsInput!$M$24-ArtifactsInput!$M$24)*CHOOSE(ArtifactsInput!$N$24+1,10,12,14,16,18,20)+IF(ArtifactsInput!$M$10,CHOOSE(ArtifactsInput!$N$10+1,15,18,21,24,27,30)*(IF(Inputs!$B$38="pvp",MIN(15,15)/15,IF(AND(Inputs!$B$38&lt;&gt;"pvp",Inputs!$B$43&gt;0),MIN(15,Inputs!$B$43)/(Inputs!$B$43),0))),0)))&gt;=100),MIN(100,((Inputs!$B$9+((C1395=TRUE)*(F1395-Calc!F19))+B1408+(ArtifactsInput!$M$24-ArtifactsInput!$M$24)*CHOOSE(ArtifactsInput!$N$24+1,10,12,14,16,18,20)+IF(ArtifactsInput!$M$10,CHOOSE(ArtifactsInput!$N$10+1,15,18,21,24,27,30)*(IF(Inputs!$B$38="pvp",MIN(15,15)/15,IF(AND(Inputs!$B$38&lt;&gt;"pvp",Inputs!$B$43&gt;0),MIN(15,Inputs!$B$43)/(Inputs!$B$43),0))),0)))-100),0))*CHOOSE(ArtifactsInput!$N$42+1,0.6,0.72,0.84,0.96,1.08,1.2))),Inputs!$B$18+((C1403=TRUE)*(F1403-Calc!F27))+(IF(AND(ArtifactsInput!$M$42,((Inputs!$B$9+((C1395=TRUE)*(F1395-Calc!F19))+B1408+(ArtifactsInput!$M$24-ArtifactsInput!$M$24)*CHOOSE(ArtifactsInput!$N$24+1,10,12,14,16,18,20)+IF(ArtifactsInput!$M$10,CHOOSE(ArtifactsInput!$N$10+1,15,18,21,24,27,30)*(IF(Inputs!$B$38="pvp",MIN(15,15)/15,IF(AND(Inputs!$B$38&lt;&gt;"pvp",Inputs!$B$43&gt;0),MIN(15,Inputs!$B$43)/(Inputs!$B$43),0))),0)))&gt;=100),CHOOSE(ArtifactsInput!$N$42+1,40,48,56,64,72,80),0))))/100)*((1+(((C1389=TRUE)*F1389)+((C1390=TRUE)*IF(Inputs!$B$38="pvp",F1390,(1-Summary!$B$11)*(F1390)+Summary!$B$11*(0)))+((C1391=TRUE)*F1391*IF(AND(Inputs!$B$38&lt;&gt;"pvp",Inputs!$B$43&gt;0),(((R1391-1)*(Skills!T15*(1+Inputs!$B$34/100))+MIN((Skills!T15*(1+Inputs!$B$34/100)),MAX(0,Inputs!$B$43-((R1391-1)*Skills!D15))))/Inputs!$B$43),IF(Inputs!$B$38="pvp",MIN((Skills!T15*(1+Inputs!$B$34/100)),15)/15,(Skills!T15*(1+Inputs!$B$34/100))/Skills!D15)))+((C1388=TRUE)*F1388)+((C1405=TRUE)*(F1405-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1378)</f>
        <v/>
      </c>
      <c r="L1378">
        <f>K1378*(MIN(Inputs!$B$22+((C1399=TRUE)*(F1399-Calc!F23)),(Inputs!$B$23+((C1404=TRUE)*(F1404-Calc!F28))+(IF(ArtifactsInput!$M$15,CHOOSE(ArtifactsInput!$N$15+1,25,30,35,40,45,50)/100*(Inputs!$B$11-Inputs!$B$11),0))))/100+(Inputs!$B$23+((C1404=TRUE)*(F1404-Calc!F28))+(IF(ArtifactsInput!$M$15,CHOOSE(ArtifactsInput!$N$15+1,25,30,35,40,45,50)/100*(Inputs!$B$11-Inputs!$B$11),0)))/100)/2</f>
        <v/>
      </c>
      <c r="M1378">
        <f>L1378*(1+(Inputs!$B$10+0+B1413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378">
        <f>L1378*(1-MIN((Inputs!$B$9+((C1395=TRUE)*(F1395-Calc!F19))+B1408+(ArtifactsInput!$M$24-ArtifactsInput!$M$24)*CHOOSE(ArtifactsInput!$N$24+1,10,12,14,16,18,20)+(IF(AND(ArtifactsInput!$M$42,((Inputs!$B$9+((C1395=TRUE)*(F1395-Calc!F19))+B1408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1378*(MIN((Inputs!$B$9+((C1395=TRUE)*(F1395-Calc!F19))+B1408+(ArtifactsInput!$M$24-ArtifactsInput!$M$24)*CHOOSE(ArtifactsInput!$N$24+1,10,12,14,16,18,20)+(IF(AND(ArtifactsInput!$M$42,((Inputs!$B$9+((C1395=TRUE)*(F1395-Calc!F19))+B1408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378">
        <f>(1-Summary!$B$11)*T1378+Summary!$B$11*V1378</f>
        <v/>
      </c>
      <c r="P1378">
        <f>IF(B1418=0,0,O1378/B1418)</f>
        <v/>
      </c>
      <c r="Q1378" t="n">
        <v>0</v>
      </c>
      <c r="R1378" t="n">
        <v>0</v>
      </c>
      <c r="S1378">
        <f>IFERROR((Skills!G2*N1378*B1412)/N1378*IF(Inputs!$B$38="pvp",1,(1-Summary!$B$11)*1+Summary!$B$11*(MIN((6+Inputs!$B$33),Inputs!$B$37))),0)</f>
        <v/>
      </c>
      <c r="T1378">
        <f>IF(C1378,(Skills!G2*N1378*B1412)*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Hunt"),CHOOSE(ArtifactsInput!$N$35+1,15,18,21,24,27,30)*(1-EXP(-(0.2*B1410)*5)),0)+IF(AND(ArtifactsInput!$M$22,Inputs!$B$4&lt;&gt;"Chapter Hunt"),CHOOSE(ArtifactsInput!$N$22+1,10,12,14,16,18,20)*((0*(((0.15*B1410*5))^0/1)+1*(((0.15*B1410*5))^1/1)+2*(((0.15*B1410*5))^2/2)+3*(((0.15*B1410*5))^3/6)+4*(((0.15*B1410*5))^4/24)+5*(((0.15*B1410*5))^5/120))/((((0.15*B1410*5))^0/1)+(((0.15*B1410*5))^1/1)+(((0.15*B1410*5))^2/2)+(((0.15*B1410*5))^3/6)+(((0.15*B1410*5))^4/24)+(((0.15*B1410*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1378*(1-MIN(100,(Inputs!$B$9+((C1395=TRUE)*(F1395-Calc!F19))+B1408+(ArtifactsInput!$M$24-ArtifactsInput!$M$24)*CHOOSE(ArtifactsInput!$N$24+1,10,12,14,16,18,20)+(IF(AND(ArtifactsInput!$M$42,((Inputs!$B$9+((C1395=TRUE)*(F1395-Calc!F19))+B1408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IF(ArtifactsInput!$M$8,FALSE,TRUE),Inputs!$B$38&lt;&gt;"pvp"),CHOOSE(ArtifactsInput!$N$8+1,8,9.6,11.2,12.8,14.4,16),0))/100)+M1378*(MIN(100,(Inputs!$B$9+((C1395=TRUE)*(F1395-Calc!F19))+B1408+(ArtifactsInput!$M$24-ArtifactsInput!$M$24)*CHOOSE(ArtifactsInput!$N$24+1,10,12,14,16,18,20)+(IF(AND(ArtifactsInput!$M$42,((Inputs!$B$9+((C1395=TRUE)*(F1395-Calc!F19))+B1408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IF(ArtifactsInput!$M$8,FALSE,TRUE),Inputs!$B$38&lt;&gt;"pvp"),CHOOSE(ArtifactsInput!$N$8+1,8,9.6,11.2,12.8,14.4,16),0))/100))/(L1378*(1-MIN(100,(Inputs!$B$9+((C1395=TRUE)*(F1395-Calc!F19))+B1408+(ArtifactsInput!$M$24-ArtifactsInput!$M$24)*CHOOSE(ArtifactsInput!$N$24+1,10,12,14,16,18,20)+(IF(AND(ArtifactsInput!$M$42,((Inputs!$B$9+((C1395=TRUE)*(F1395-Calc!F19))+B1408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1378*(MIN(100,(Inputs!$B$9+((C1395=TRUE)*(F1395-Calc!F19))+B1408+(ArtifactsInput!$M$24-ArtifactsInput!$M$24)*CHOOSE(ArtifactsInput!$N$24+1,10,12,14,16,18,20)+(IF(AND(ArtifactsInput!$M$42,((Inputs!$B$9+((C1395=TRUE)*(F1395-Calc!F19))+B1408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378">
        <f>MAX(0,(Inputs!$B$3-100)*3)+Inputs!$B$28+Inputs!$B$29</f>
        <v/>
      </c>
      <c r="V1378">
        <f>IF(C1378,(Skills!G2*N1378*B1412)*IF(Inputs!$B$38="pvp",1,(1+(Inputs!$B$21+Skills!Q2+(IF(ArtifactsInput!$M$33,CHOOSE(ArtifactsInput!$N$33+1,30,36,42,48,54,60),0))+(IF(AND(ArtifactsInput!$M$35,Inputs!$B$4&lt;&gt;"Chapter Hunt"),CHOOSE(ArtifactsInput!$N$35+1,15,18,21,24,27,30)*(1-EXP(-(0.2*B1410)*5)),0)+IF(AND(ArtifactsInput!$M$22,Inputs!$B$4&lt;&gt;"Chapter Hunt"),CHOOSE(ArtifactsInput!$N$22+1,10,12,14,16,18,20)*((0*(((0.15*B1410*5))^0/1)+1*(((0.15*B1410*5))^1/1)+2*(((0.15*B1410*5))^2/2)+3*(((0.15*B1410*5))^3/6)+4*(((0.15*B1410*5))^4/24)+5*(((0.15*B1410*5))^5/120))/((((0.15*B1410*5))^0/1)+(((0.15*B1410*5))^1/1)+(((0.15*B1410*5))^2/2)+(((0.15*B1410*5))^3/6)+(((0.15*B1410*5))^4/24)+(((0.15*B1410*5))^5/120)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379">
      <c r="A1379">
        <f>Skills!A3</f>
        <v/>
      </c>
      <c r="B1379">
        <f>Skills!B3</f>
        <v/>
      </c>
      <c r="C1379">
        <f>Inputs!$B$3&gt;=50</f>
        <v/>
      </c>
      <c r="D1379">
        <f>IF(Skills!C3=1,60+Inputs!$B$25+Inputs!$B$29,IF(Skills!C3=2,90+Inputs!$B$26+Inputs!$B$29,IF(Skills!C3=3,120+Inputs!$B$27+Inputs!$B$29,MAX(0,(Inputs!$B$3-100)*3)+Inputs!$B$28+Inputs!$B$29)))</f>
        <v/>
      </c>
      <c r="E1379">
        <f>INDEX(FactorTable!$B$2:$Y$301, MATCH(ROUND(MIN(300,MAX(1,D1379)),0), FactorTable!$A$2:$A$301,0), Skills!M3+1)</f>
        <v/>
      </c>
      <c r="F1379">
        <f>IF(Skills!N3=TRUE,(Skills!L3/10)*(E1379/1000),Skills!L3/10)+Skills!O3</f>
        <v/>
      </c>
      <c r="G1379" t="inlineStr"/>
      <c r="H1379" t="inlineStr"/>
      <c r="I1379" t="inlineStr">
        <is>
          <t>1</t>
        </is>
      </c>
      <c r="J1379" t="inlineStr"/>
      <c r="K1379" t="inlineStr"/>
      <c r="L1379" t="inlineStr"/>
      <c r="M1379" t="inlineStr"/>
      <c r="N1379" t="inlineStr"/>
      <c r="O1379" t="inlineStr"/>
      <c r="P1379" t="inlineStr"/>
      <c r="Q1379" t="inlineStr"/>
      <c r="R1379" t="inlineStr"/>
      <c r="S1379" t="inlineStr"/>
      <c r="T1379" t="inlineStr"/>
      <c r="U1379">
        <f>INDEX(FactorTable!$B$2:$Y$301, MATCH(ROUND(MIN(300,MAX(1,U1378)),0), FactorTable!$A$2:$A$301,0), 22)</f>
        <v/>
      </c>
      <c r="V1379" t="inlineStr"/>
    </row>
    <row r="1380">
      <c r="A1380">
        <f>Skills!A4</f>
        <v/>
      </c>
      <c r="B1380">
        <f>Skills!B4</f>
        <v/>
      </c>
      <c r="C1380">
        <f>Inputs!$B$3&gt;=105</f>
        <v/>
      </c>
      <c r="D1380">
        <f>IF(Skills!C4=1,60+Inputs!$B$25+Inputs!$B$29,IF(Skills!C4=2,90+Inputs!$B$26+Inputs!$B$29,IF(Skills!C4=3,120+Inputs!$B$27+Inputs!$B$29,MAX(0,(Inputs!$B$3-100)*3)+Inputs!$B$28+Inputs!$B$29)))</f>
        <v/>
      </c>
      <c r="E1380">
        <f>INDEX(FactorTable!$B$2:$Y$301, MATCH(ROUND(MIN(300,MAX(1,D1380)),0), FactorTable!$A$2:$A$301,0), Skills!M4+1)</f>
        <v/>
      </c>
      <c r="F1380">
        <f>IF(Skills!N4=TRUE,(Skills!L4/10)*(E1380/1000),Skills!L4/10)+Skills!O4</f>
        <v/>
      </c>
      <c r="G1380" t="inlineStr"/>
      <c r="H1380" t="inlineStr"/>
      <c r="I1380" t="inlineStr">
        <is>
          <t>1</t>
        </is>
      </c>
      <c r="J1380" t="inlineStr"/>
      <c r="K1380" t="inlineStr"/>
      <c r="L1380" t="inlineStr"/>
      <c r="M1380" t="inlineStr"/>
      <c r="N1380" t="inlineStr"/>
      <c r="O1380" t="inlineStr"/>
      <c r="P1380" t="inlineStr"/>
      <c r="Q1380" t="inlineStr"/>
      <c r="R1380" t="inlineStr"/>
      <c r="S1380" t="inlineStr"/>
      <c r="T1380" t="inlineStr"/>
      <c r="U1380">
        <f>290*U1379/1000</f>
        <v/>
      </c>
      <c r="V1380" t="inlineStr"/>
    </row>
    <row r="1381">
      <c r="A1381">
        <f>Skills!A5</f>
        <v/>
      </c>
      <c r="B1381">
        <f>Skills!B5</f>
        <v/>
      </c>
      <c r="C1381">
        <f>Inputs!$B$3&gt;=35</f>
        <v/>
      </c>
      <c r="D1381">
        <f>IF(Skills!C5=1,60+Inputs!$B$25+Inputs!$B$29,IF(Skills!C5=2,90+Inputs!$B$26+Inputs!$B$29,IF(Skills!C5=3,120+Inputs!$B$27+Inputs!$B$29,MAX(0,(Inputs!$B$3-100)*3)+Inputs!$B$28+Inputs!$B$29)))</f>
        <v/>
      </c>
      <c r="E1381">
        <f>INDEX(FactorTable!$B$2:$Y$301, MATCH(ROUND(MIN(300,MAX(1,D1381)),0), FactorTable!$A$2:$A$301,0), Skills!M5+1)</f>
        <v/>
      </c>
      <c r="F1381">
        <f>IF(Skills!N5=TRUE,(Skills!L5/10)*(E1381/1000),Skills!L5/10)+Skills!O5</f>
        <v/>
      </c>
      <c r="G1381">
        <f>Skills!G5*IF(Skills!H5&gt;0,Skills!I5/Skills!H5,1)</f>
        <v/>
      </c>
      <c r="H1381">
        <f>1-(1-Skills!J5/100)^Skills!K5</f>
        <v/>
      </c>
      <c r="I1381" t="inlineStr">
        <is>
          <t>1</t>
        </is>
      </c>
      <c r="J1381">
        <f>((Inputs!$B$6*(1+Inputs!$B$7/100))+(((Inputs!$B$12*(1+Inputs!$B$13/100))-(Inputs!$B$12*(1+Inputs!$B$13/100)))+0.25*(Inputs!$B$14-Inputs!$B$14))*(1+Inputs!$B$7/100))*(F1381/100)</f>
        <v/>
      </c>
      <c r="K1381">
        <f>J1381*(1+((Inputs!$B$12*(1+Inputs!$B$13/100))*0.01+Inputs!$B$14*0.0025)/100)*(1+Inputs!$B$15/100)*(1+Inputs!$B$16/100)*(5000/(6000+Inputs!$B$42*(1-(100*(1-(1-(Inputs!$B$19+0)/100)*(1-CHOOSE(ArtifactsInput!$N$40+1,5,6,7,8,9,10)/100)^(ArtifactsInput!$M$40-ArtifactsInput!$M$40)))/100)))*(1+(Inputs!$B$24+((C1400=TRUE)*(F1400-Calc!F24))+((C1401=TRUE)*(F1401-Calc!F25))+B1414)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1384=TRUE,F1384,0)/100)*(1+(IF(Skills!A5="EMPOWERED_PIERCING_ARROW",Inputs!$B$17+((C1398=TRUE)*(F1398-Calc!F22))+(((IF(AND(ArtifactsInput!$M$42,((Inputs!$B$9+((C1395=TRUE)*(F1395-Calc!F19))+B1408+(ArtifactsInput!$M$24-ArtifactsInput!$M$24)*CHOOSE(ArtifactsInput!$N$24+1,10,12,14,16,18,20)+IF(ArtifactsInput!$M$10,CHOOSE(ArtifactsInput!$N$10+1,15,18,21,24,27,30)*(IF(Inputs!$B$38="pvp",MIN(15,15)/15,IF(AND(Inputs!$B$38&lt;&gt;"pvp",Inputs!$B$43&gt;0),MIN(15,Inputs!$B$43)/(Inputs!$B$43),0))),0)))&gt;=100),MIN(100,((Inputs!$B$9+((C1395=TRUE)*(F1395-Calc!F19))+B1408+(ArtifactsInput!$M$24-ArtifactsInput!$M$24)*CHOOSE(ArtifactsInput!$N$24+1,10,12,14,16,18,20)+IF(ArtifactsInput!$M$10,CHOOSE(ArtifactsInput!$N$10+1,15,18,21,24,27,30)*(IF(Inputs!$B$38="pvp",MIN(15,15)/15,IF(AND(Inputs!$B$38&lt;&gt;"pvp",Inputs!$B$43&gt;0),MIN(15,Inputs!$B$43)/(Inputs!$B$43),0))),0)))-100),0))*CHOOSE(ArtifactsInput!$N$42+1,0.6,0.72,0.84,0.96,1.08,1.2))),Inputs!$B$18+((C1403=TRUE)*(F1403-Calc!F27))+(IF(AND(ArtifactsInput!$M$42,((Inputs!$B$9+((C1395=TRUE)*(F1395-Calc!F19))+B1408+(ArtifactsInput!$M$24-ArtifactsInput!$M$24)*CHOOSE(ArtifactsInput!$N$24+1,10,12,14,16,18,20)+IF(ArtifactsInput!$M$10,CHOOSE(ArtifactsInput!$N$10+1,15,18,21,24,27,30)*(IF(Inputs!$B$38="pvp",MIN(15,15)/15,IF(AND(Inputs!$B$38&lt;&gt;"pvp",Inputs!$B$43&gt;0),MIN(15,Inputs!$B$43)/(Inputs!$B$43),0))),0)))&gt;=100),CHOOSE(ArtifactsInput!$N$42+1,40,48,56,64,72,80),0))))/100)*((1+(((C1389=TRUE)*F1389)+((C1390=TRUE)*IF(Inputs!$B$38="pvp",F1390,(1-Summary!$B$11)*(F1390)+Summary!$B$11*(0)))+((C1391=TRUE)*F1391*IF(AND(Inputs!$B$38&lt;&gt;"pvp",Inputs!$B$43&gt;0),(((R1391-1)*(Skills!T15*(1+Inputs!$B$34/100))+MIN((Skills!T15*(1+Inputs!$B$34/100)),MAX(0,Inputs!$B$43-((R1391-1)*Skills!D15))))/Inputs!$B$43),IF(Inputs!$B$38="pvp",MIN((Skills!T15*(1+Inputs!$B$34/100)),15)/15,(Skills!T15*(1+Inputs!$B$34/100))/Skills!D15)))+((C1388=TRUE)*F1388)+((C1405=TRUE)*(F1405-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1381)</f>
        <v/>
      </c>
      <c r="L1381">
        <f>K1381*(MIN(Inputs!$B$22+((C1399=TRUE)*(F1399-Calc!F23)),(Inputs!$B$23+((C1404=TRUE)*(F1404-Calc!F28))+(IF(ArtifactsInput!$M$15,CHOOSE(ArtifactsInput!$N$15+1,25,30,35,40,45,50)/100*(Inputs!$B$11-Inputs!$B$11),0))))/100+(Inputs!$B$23+((C1404=TRUE)*(F1404-Calc!F28))+(IF(ArtifactsInput!$M$15,CHOOSE(ArtifactsInput!$N$15+1,25,30,35,40,45,50)/100*(Inputs!$B$11-Inputs!$B$11),0)))/100)/2</f>
        <v/>
      </c>
      <c r="M1381">
        <f>L1381*(1+(Inputs!$B$10+0+B1413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381">
        <f>L1381*(1-MIN((Inputs!$B$9+((C1395=TRUE)*(F1395-Calc!F19))+B1408+(ArtifactsInput!$M$24-ArtifactsInput!$M$24)*CHOOSE(ArtifactsInput!$N$24+1,10,12,14,16,18,20)+(IF(AND(ArtifactsInput!$M$42,((Inputs!$B$9+((C1395=TRUE)*(F1395-Calc!F19))+B1408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1381*(MIN((Inputs!$B$9+((C1395=TRUE)*(F1395-Calc!F19))+B1408+(ArtifactsInput!$M$24-ArtifactsInput!$M$24)*CHOOSE(ArtifactsInput!$N$24+1,10,12,14,16,18,20)+(IF(AND(ArtifactsInput!$M$42,((Inputs!$B$9+((C1395=TRUE)*(F1395-Calc!F19))+B1408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381">
        <f>(1-Summary!$B$11)*T1381+Summary!$B$11*V1381</f>
        <v/>
      </c>
      <c r="P1381">
        <f>IF(B1418=0,0,O1381/B1418)</f>
        <v/>
      </c>
      <c r="Q1381">
        <f>IFERROR(1/IF(Inputs!$B$38="pvp",15,MAX(0.1,Skills!D5-IF(Skills!E5=TRUE,Inputs!$B$32,0))),0)</f>
        <v/>
      </c>
      <c r="R1381">
        <f>IF(AND(Inputs!$B$38&lt;&gt;"pvp",Inputs!$B$43&gt;0),IF(MAX(0,Inputs!$B$43-B1415)&lt;=0,0,(INT(MAX(0,Inputs!$B$43-B1415)/IF(Inputs!$B$38="pvp",15,MAX(0.1,Skills!D5-IF(Skills!E5=TRUE,Inputs!$B$32,0))))+1)),0)</f>
        <v/>
      </c>
      <c r="S1381">
        <f>IFERROR((H1381*N1381*IF(AND(Inputs!$B$38&lt;&gt;"pvp",Inputs!$B$43&gt;0),((Skills!G5*((R1381-1)*IF(Skills!H5&gt;0,Skills!I5/Skills!H5,1)+IF(Skills!H5&gt;0,MIN(Skills!I5,MAX(0,MAX(0,Inputs!$B$43-B1415)-((R1381-1)*IF(Inputs!$B$38="pvp",15,MAX(0.1,Skills!D5-IF(Skills!E5=TRUE,Inputs!$B$32,0))))))/Skills!H5,1)))/Inputs!$B$43),G1381*Q1381))/N1381*IF(Inputs!$B$38="pvp",1,(1-Summary!$B$11)*1+Summary!$B$11*(MIN(Skills!R5,Inputs!$B$37))),0)</f>
        <v/>
      </c>
      <c r="T1381">
        <f>IF(C1381,(H1381*N1381*IF(AND(Inputs!$B$38&lt;&gt;"pvp",Inputs!$B$43&gt;0),((Skills!G5*((R1381-1)*IF(Skills!H5&gt;0,Skills!I5/Skills!H5,1)+IF(Skills!H5&gt;0,MIN(Skills!I5,MAX(0,MAX(0,Inputs!$B$43-B1415)-((R1381-1)*IF(Inputs!$B$38="pvp",15,MAX(0.1,Skills!D5-IF(Skills!E5=TRUE,Inputs!$B$32,0))))))/Skills!H5,1)))/Inputs!$B$43),G1381*Q1381))*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Hunt"),CHOOSE(ArtifactsInput!$N$35+1,15,18,21,24,27,30)*(1-EXP(-(0.2*B1410)*5)),0)+IF(AND(ArtifactsInput!$M$22,Inputs!$B$4&lt;&gt;"Chapter Hunt"),CHOOSE(ArtifactsInput!$N$22+1,10,12,14,16,18,20)*((0*(((0.15*B1410*5))^0/1)+1*(((0.15*B1410*5))^1/1)+2*(((0.15*B1410*5))^2/2)+3*(((0.15*B1410*5))^3/6)+4*(((0.15*B1410*5))^4/24)+5*(((0.15*B1410*5))^5/120))/((((0.15*B1410*5))^0/1)+(((0.15*B1410*5))^1/1)+(((0.15*B1410*5))^2/2)+(((0.15*B1410*5))^3/6)+(((0.15*B1410*5))^4/24)+(((0.15*B1410*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1381*(1-MIN(100,(Inputs!$B$9+((C1395=TRUE)*(F1395-Calc!F19))+B1408+(ArtifactsInput!$M$24-ArtifactsInput!$M$24)*CHOOSE(ArtifactsInput!$N$24+1,10,12,14,16,18,20)+(IF(AND(ArtifactsInput!$M$42,((Inputs!$B$9+((C1395=TRUE)*(F1395-Calc!F19))+B1408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IF(ArtifactsInput!$M$8,FALSE,TRUE),Inputs!$B$38&lt;&gt;"pvp"),CHOOSE(ArtifactsInput!$N$8+1,8,9.6,11.2,12.8,14.4,16),0))/100)+M1381*(MIN(100,(Inputs!$B$9+((C1395=TRUE)*(F1395-Calc!F19))+B1408+(ArtifactsInput!$M$24-ArtifactsInput!$M$24)*CHOOSE(ArtifactsInput!$N$24+1,10,12,14,16,18,20)+(IF(AND(ArtifactsInput!$M$42,((Inputs!$B$9+((C1395=TRUE)*(F1395-Calc!F19))+B1408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IF(ArtifactsInput!$M$8,FALSE,TRUE),Inputs!$B$38&lt;&gt;"pvp"),CHOOSE(ArtifactsInput!$N$8+1,8,9.6,11.2,12.8,14.4,16),0))/100))/(L1381*(1-MIN(100,(Inputs!$B$9+((C1395=TRUE)*(F1395-Calc!F19))+B1408+(ArtifactsInput!$M$24-ArtifactsInput!$M$24)*CHOOSE(ArtifactsInput!$N$24+1,10,12,14,16,18,20)+(IF(AND(ArtifactsInput!$M$42,((Inputs!$B$9+((C1395=TRUE)*(F1395-Calc!F19))+B1408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1381*(MIN(100,(Inputs!$B$9+((C1395=TRUE)*(F1395-Calc!F19))+B1408+(ArtifactsInput!$M$24-ArtifactsInput!$M$24)*CHOOSE(ArtifactsInput!$N$24+1,10,12,14,16,18,20)+(IF(AND(ArtifactsInput!$M$42,((Inputs!$B$9+((C1395=TRUE)*(F1395-Calc!F19))+B1408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381">
        <f>IF(C1381,(H1381*N1381*IF(AND(Inputs!$B$38&lt;&gt;"pvp",Inputs!$B$43&gt;0),((Skills!G5*((R1381-1)*IF(Skills!H5&gt;0,Skills!I5/Skills!H5,1)+IF(Skills!H5&gt;0,MIN(Skills!I5,MAX(0,MAX(0,Inputs!$B$43-B1415)-((R1381-1)*IF(Inputs!$B$38="pvp",15,MAX(0.1,Skills!D5-IF(Skills!E5=TRUE,Inputs!$B$32,0))))))/Skills!H5,1)))/Inputs!$B$43),G1381*Q1381))*IF(Inputs!$B$38="pvp",1,(1+(Inputs!$B$21+Skills!Q5+(IF(ArtifactsInput!$M$33,CHOOSE(ArtifactsInput!$N$33+1,30,36,42,48,54,60),0))+(IF(AND(ArtifactsInput!$M$35,Inputs!$B$4&lt;&gt;"Chapter Hunt"),CHOOSE(ArtifactsInput!$N$35+1,15,18,21,24,27,30)*(1-EXP(-(0.2*B1410)*5)),0)+IF(AND(ArtifactsInput!$M$22,Inputs!$B$4&lt;&gt;"Chapter Hunt"),CHOOSE(ArtifactsInput!$N$22+1,10,12,14,16,18,20)*((0*(((0.15*B1410*5))^0/1)+1*(((0.15*B1410*5))^1/1)+2*(((0.15*B1410*5))^2/2)+3*(((0.15*B1410*5))^3/6)+4*(((0.15*B1410*5))^4/24)+5*(((0.15*B1410*5))^5/120))/((((0.15*B1410*5))^0/1)+(((0.15*B1410*5))^1/1)+(((0.15*B1410*5))^2/2)+(((0.15*B1410*5))^3/6)+(((0.15*B1410*5))^4/24)+(((0.15*B1410*5))^5/120)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382">
      <c r="A1382">
        <f>Skills!A6</f>
        <v/>
      </c>
      <c r="B1382">
        <f>Skills!B6</f>
        <v/>
      </c>
      <c r="C1382">
        <f>Inputs!$B$3&gt;=63</f>
        <v/>
      </c>
      <c r="D1382">
        <f>IF(Skills!C6=1,60+Inputs!$B$25+Inputs!$B$29,IF(Skills!C6=2,90+Inputs!$B$26+Inputs!$B$29,IF(Skills!C6=3,120+Inputs!$B$27+Inputs!$B$29,MAX(0,(Inputs!$B$3-100)*3)+Inputs!$B$28+Inputs!$B$29)))</f>
        <v/>
      </c>
      <c r="E1382">
        <f>INDEX(FactorTable!$B$2:$Y$301, MATCH(ROUND(MIN(300,MAX(1,D1382)),0), FactorTable!$A$2:$A$301,0), Skills!M6+1)</f>
        <v/>
      </c>
      <c r="F1382">
        <f>IF(Skills!N6=TRUE,(Skills!L6/10)*(E1382/1000),Skills!L6/10)+Skills!O6</f>
        <v/>
      </c>
      <c r="G1382">
        <f>Skills!G6*IF(Skills!H6&gt;0,Skills!I6/Skills!H6,1)</f>
        <v/>
      </c>
      <c r="H1382">
        <f>1-(1-Skills!J6/100)^Skills!K6</f>
        <v/>
      </c>
      <c r="I1382" t="inlineStr">
        <is>
          <t>1</t>
        </is>
      </c>
      <c r="J1382">
        <f>((Inputs!$B$6*(1+Inputs!$B$7/100))+(((Inputs!$B$12*(1+Inputs!$B$13/100))-(Inputs!$B$12*(1+Inputs!$B$13/100)))+0.25*(Inputs!$B$14-Inputs!$B$14))*(1+Inputs!$B$7/100))*(F1382/100)</f>
        <v/>
      </c>
      <c r="K1382">
        <f>J1382*(1+((Inputs!$B$12*(1+Inputs!$B$13/100))*0.01+Inputs!$B$14*0.0025)/100)*(1+Inputs!$B$15/100)*(1+Inputs!$B$16/100)*(5000/(6000+Inputs!$B$42*(1-(100*(1-(1-(Inputs!$B$19+0)/100)*(1-CHOOSE(ArtifactsInput!$N$40+1,5,6,7,8,9,10)/100)^(ArtifactsInput!$M$40-ArtifactsInput!$M$40)))/100)))*(1+(Inputs!$B$24+((C1400=TRUE)*(F1400-Calc!F24))+((C1401=TRUE)*(F1401-Calc!F25))+B1414)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1384=TRUE,F1384,0)/100)*(1+(IF(Skills!A6="EMPOWERED_PIERCING_ARROW",Inputs!$B$17+((C1398=TRUE)*(F1398-Calc!F22))+(((IF(AND(ArtifactsInput!$M$42,((Inputs!$B$9+((C1395=TRUE)*(F1395-Calc!F19))+B1408+(ArtifactsInput!$M$24-ArtifactsInput!$M$24)*CHOOSE(ArtifactsInput!$N$24+1,10,12,14,16,18,20)+IF(ArtifactsInput!$M$10,CHOOSE(ArtifactsInput!$N$10+1,15,18,21,24,27,30)*(IF(Inputs!$B$38="pvp",MIN(15,15)/15,IF(AND(Inputs!$B$38&lt;&gt;"pvp",Inputs!$B$43&gt;0),MIN(15,Inputs!$B$43)/(Inputs!$B$43),0))),0)))&gt;=100),MIN(100,((Inputs!$B$9+((C1395=TRUE)*(F1395-Calc!F19))+B1408+(ArtifactsInput!$M$24-ArtifactsInput!$M$24)*CHOOSE(ArtifactsInput!$N$24+1,10,12,14,16,18,20)+IF(ArtifactsInput!$M$10,CHOOSE(ArtifactsInput!$N$10+1,15,18,21,24,27,30)*(IF(Inputs!$B$38="pvp",MIN(15,15)/15,IF(AND(Inputs!$B$38&lt;&gt;"pvp",Inputs!$B$43&gt;0),MIN(15,Inputs!$B$43)/(Inputs!$B$43),0))),0)))-100),0))*CHOOSE(ArtifactsInput!$N$42+1,0.6,0.72,0.84,0.96,1.08,1.2))),Inputs!$B$18+((C1403=TRUE)*(F1403-Calc!F27))+(IF(AND(ArtifactsInput!$M$42,((Inputs!$B$9+((C1395=TRUE)*(F1395-Calc!F19))+B1408+(ArtifactsInput!$M$24-ArtifactsInput!$M$24)*CHOOSE(ArtifactsInput!$N$24+1,10,12,14,16,18,20)+IF(ArtifactsInput!$M$10,CHOOSE(ArtifactsInput!$N$10+1,15,18,21,24,27,30)*(IF(Inputs!$B$38="pvp",MIN(15,15)/15,IF(AND(Inputs!$B$38&lt;&gt;"pvp",Inputs!$B$43&gt;0),MIN(15,Inputs!$B$43)/(Inputs!$B$43),0))),0)))&gt;=100),CHOOSE(ArtifactsInput!$N$42+1,40,48,56,64,72,80),0))))/100)*((1+(((C1389=TRUE)*F1389)+((C1390=TRUE)*IF(Inputs!$B$38="pvp",F1390,(1-Summary!$B$11)*(F1390)+Summary!$B$11*(0)))+((C1391=TRUE)*F1391*IF(AND(Inputs!$B$38&lt;&gt;"pvp",Inputs!$B$43&gt;0),(((R1391-1)*(Skills!T15*(1+Inputs!$B$34/100))+MIN((Skills!T15*(1+Inputs!$B$34/100)),MAX(0,Inputs!$B$43-((R1391-1)*Skills!D15))))/Inputs!$B$43),IF(Inputs!$B$38="pvp",MIN((Skills!T15*(1+Inputs!$B$34/100)),15)/15,(Skills!T15*(1+Inputs!$B$34/100))/Skills!D15)))+((C1388=TRUE)*F1388)+((C1405=TRUE)*(F1405-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1382)</f>
        <v/>
      </c>
      <c r="L1382">
        <f>K1382*(MIN(Inputs!$B$22+((C1399=TRUE)*(F1399-Calc!F23)),(Inputs!$B$23+((C1404=TRUE)*(F1404-Calc!F28))+(IF(ArtifactsInput!$M$15,CHOOSE(ArtifactsInput!$N$15+1,25,30,35,40,45,50)/100*(Inputs!$B$11-Inputs!$B$11),0))))/100+(Inputs!$B$23+((C1404=TRUE)*(F1404-Calc!F28))+(IF(ArtifactsInput!$M$15,CHOOSE(ArtifactsInput!$N$15+1,25,30,35,40,45,50)/100*(Inputs!$B$11-Inputs!$B$11),0)))/100)/2</f>
        <v/>
      </c>
      <c r="M1382">
        <f>L1382*(1+(Inputs!$B$10+0+B1413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382">
        <f>L1382*(1-MIN((Inputs!$B$9+((C1395=TRUE)*(F1395-Calc!F19))+B1408+(ArtifactsInput!$M$24-ArtifactsInput!$M$24)*CHOOSE(ArtifactsInput!$N$24+1,10,12,14,16,18,20)+(IF(AND(ArtifactsInput!$M$42,((Inputs!$B$9+((C1395=TRUE)*(F1395-Calc!F19))+B1408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1382*(MIN((Inputs!$B$9+((C1395=TRUE)*(F1395-Calc!F19))+B1408+(ArtifactsInput!$M$24-ArtifactsInput!$M$24)*CHOOSE(ArtifactsInput!$N$24+1,10,12,14,16,18,20)+(IF(AND(ArtifactsInput!$M$42,((Inputs!$B$9+((C1395=TRUE)*(F1395-Calc!F19))+B1408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382">
        <f>(1-Summary!$B$11)*T1382+Summary!$B$11*V1382</f>
        <v/>
      </c>
      <c r="P1382">
        <f>IF(B1418=0,0,O1382/B1418)</f>
        <v/>
      </c>
      <c r="Q1382">
        <f>IFERROR(1/IF(Inputs!$B$38="pvp",15,MAX(0.1,Skills!D6-IF(Skills!E6=TRUE,Inputs!$B$32,0))),0)</f>
        <v/>
      </c>
      <c r="R1382">
        <f>IF(AND(Inputs!$B$38&lt;&gt;"pvp",Inputs!$B$43&gt;0),IF(MAX(0,Inputs!$B$43-B1415)&lt;=0,0,(INT(MAX(0,Inputs!$B$43-B1415)/IF(Inputs!$B$38="pvp",15,MAX(0.1,Skills!D6-IF(Skills!E6=TRUE,Inputs!$B$32,0))))+1)),0)</f>
        <v/>
      </c>
      <c r="S1382">
        <f>IFERROR((H1382*N1382*IF(AND(Inputs!$B$38&lt;&gt;"pvp",Inputs!$B$43&gt;0),((Skills!G6*((R1382-1)*IF(Skills!H6&gt;0,Skills!I6/Skills!H6,1)+IF(Skills!H6&gt;0,MIN(Skills!I6,MAX(0,MAX(0,Inputs!$B$43-B1415)-((R1382-1)*IF(Inputs!$B$38="pvp",15,MAX(0.1,Skills!D6-IF(Skills!E6=TRUE,Inputs!$B$32,0))))))/Skills!H6,1)))/Inputs!$B$43),G1382*Q1382))/N1382*IF(Inputs!$B$38="pvp",1,(1-Summary!$B$11)*1+Summary!$B$11*(MIN(Skills!R6,Inputs!$B$37))),0)</f>
        <v/>
      </c>
      <c r="T1382">
        <f>IF(C1382,(H1382*N1382*IF(AND(Inputs!$B$38&lt;&gt;"pvp",Inputs!$B$43&gt;0),((Skills!G6*((R1382-1)*IF(Skills!H6&gt;0,Skills!I6/Skills!H6,1)+IF(Skills!H6&gt;0,MIN(Skills!I6,MAX(0,MAX(0,Inputs!$B$43-B1415)-((R1382-1)*IF(Inputs!$B$38="pvp",15,MAX(0.1,Skills!D6-IF(Skills!E6=TRUE,Inputs!$B$32,0))))))/Skills!H6,1)))/Inputs!$B$43),G1382*Q1382))*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Hunt"),CHOOSE(ArtifactsInput!$N$35+1,15,18,21,24,27,30)*(1-EXP(-(0.2*B1410)*5)),0)+IF(AND(ArtifactsInput!$M$22,Inputs!$B$4&lt;&gt;"Chapter Hunt"),CHOOSE(ArtifactsInput!$N$22+1,10,12,14,16,18,20)*((0*(((0.15*B1410*5))^0/1)+1*(((0.15*B1410*5))^1/1)+2*(((0.15*B1410*5))^2/2)+3*(((0.15*B1410*5))^3/6)+4*(((0.15*B1410*5))^4/24)+5*(((0.15*B1410*5))^5/120))/((((0.15*B1410*5))^0/1)+(((0.15*B1410*5))^1/1)+(((0.15*B1410*5))^2/2)+(((0.15*B1410*5))^3/6)+(((0.15*B1410*5))^4/24)+(((0.15*B1410*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1382*(1-MIN(100,(Inputs!$B$9+((C1395=TRUE)*(F1395-Calc!F19))+B1408+(ArtifactsInput!$M$24-ArtifactsInput!$M$24)*CHOOSE(ArtifactsInput!$N$24+1,10,12,14,16,18,20)+(IF(AND(ArtifactsInput!$M$42,((Inputs!$B$9+((C1395=TRUE)*(F1395-Calc!F19))+B1408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IF(ArtifactsInput!$M$8,FALSE,TRUE),Inputs!$B$38&lt;&gt;"pvp"),CHOOSE(ArtifactsInput!$N$8+1,8,9.6,11.2,12.8,14.4,16),0))/100)+M1382*(MIN(100,(Inputs!$B$9+((C1395=TRUE)*(F1395-Calc!F19))+B1408+(ArtifactsInput!$M$24-ArtifactsInput!$M$24)*CHOOSE(ArtifactsInput!$N$24+1,10,12,14,16,18,20)+(IF(AND(ArtifactsInput!$M$42,((Inputs!$B$9+((C1395=TRUE)*(F1395-Calc!F19))+B1408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IF(ArtifactsInput!$M$8,FALSE,TRUE),Inputs!$B$38&lt;&gt;"pvp"),CHOOSE(ArtifactsInput!$N$8+1,8,9.6,11.2,12.8,14.4,16),0))/100))/(L1382*(1-MIN(100,(Inputs!$B$9+((C1395=TRUE)*(F1395-Calc!F19))+B1408+(ArtifactsInput!$M$24-ArtifactsInput!$M$24)*CHOOSE(ArtifactsInput!$N$24+1,10,12,14,16,18,20)+(IF(AND(ArtifactsInput!$M$42,((Inputs!$B$9+((C1395=TRUE)*(F1395-Calc!F19))+B1408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1382*(MIN(100,(Inputs!$B$9+((C1395=TRUE)*(F1395-Calc!F19))+B1408+(ArtifactsInput!$M$24-ArtifactsInput!$M$24)*CHOOSE(ArtifactsInput!$N$24+1,10,12,14,16,18,20)+(IF(AND(ArtifactsInput!$M$42,((Inputs!$B$9+((C1395=TRUE)*(F1395-Calc!F19))+B1408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382">
        <f>IF(C1382,(H1382*N1382*IF(AND(Inputs!$B$38&lt;&gt;"pvp",Inputs!$B$43&gt;0),((Skills!G6*((R1382-1)*IF(Skills!H6&gt;0,Skills!I6/Skills!H6,1)+IF(Skills!H6&gt;0,MIN(Skills!I6,MAX(0,MAX(0,Inputs!$B$43-B1415)-((R1382-1)*IF(Inputs!$B$38="pvp",15,MAX(0.1,Skills!D6-IF(Skills!E6=TRUE,Inputs!$B$32,0))))))/Skills!H6,1)))/Inputs!$B$43),G1382*Q1382))*IF(Inputs!$B$38="pvp",1,(1+(Inputs!$B$21+Skills!Q6+(IF(ArtifactsInput!$M$33,CHOOSE(ArtifactsInput!$N$33+1,30,36,42,48,54,60),0))+(IF(AND(ArtifactsInput!$M$35,Inputs!$B$4&lt;&gt;"Chapter Hunt"),CHOOSE(ArtifactsInput!$N$35+1,15,18,21,24,27,30)*(1-EXP(-(0.2*B1410)*5)),0)+IF(AND(ArtifactsInput!$M$22,Inputs!$B$4&lt;&gt;"Chapter Hunt"),CHOOSE(ArtifactsInput!$N$22+1,10,12,14,16,18,20)*((0*(((0.15*B1410*5))^0/1)+1*(((0.15*B1410*5))^1/1)+2*(((0.15*B1410*5))^2/2)+3*(((0.15*B1410*5))^3/6)+4*(((0.15*B1410*5))^4/24)+5*(((0.15*B1410*5))^5/120))/((((0.15*B1410*5))^0/1)+(((0.15*B1410*5))^1/1)+(((0.15*B1410*5))^2/2)+(((0.15*B1410*5))^3/6)+(((0.15*B1410*5))^4/24)+(((0.15*B1410*5))^5/120))),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383">
      <c r="A1383">
        <f>Skills!A7</f>
        <v/>
      </c>
      <c r="B1383">
        <f>Skills!B7</f>
        <v/>
      </c>
      <c r="C1383">
        <f>Inputs!$B$3&gt;=69</f>
        <v/>
      </c>
      <c r="D1383">
        <f>IF(Skills!C7=1,60+Inputs!$B$25+Inputs!$B$29,IF(Skills!C7=2,90+Inputs!$B$26+Inputs!$B$29,IF(Skills!C7=3,120+Inputs!$B$27+Inputs!$B$29,MAX(0,(Inputs!$B$3-100)*3)+Inputs!$B$28+Inputs!$B$29)))</f>
        <v/>
      </c>
      <c r="E1383">
        <f>INDEX(FactorTable!$B$2:$Y$301, MATCH(ROUND(MIN(300,MAX(1,D1383)),0), FactorTable!$A$2:$A$301,0), Skills!M7+1)</f>
        <v/>
      </c>
      <c r="F1383">
        <f>IF(Skills!N7=TRUE,(Skills!L7/10)*(E1383/1000),Skills!L7/10)+Skills!O7</f>
        <v/>
      </c>
      <c r="G1383">
        <f>Skills!G7*IF(Skills!H7&gt;0,Skills!I7/Skills!H7,1)</f>
        <v/>
      </c>
      <c r="H1383">
        <f>1-(1-Skills!J7/100)^Skills!K7</f>
        <v/>
      </c>
      <c r="I1383" t="inlineStr">
        <is>
          <t>1</t>
        </is>
      </c>
      <c r="J1383">
        <f>((Inputs!$B$6*(1+Inputs!$B$7/100))+(((Inputs!$B$12*(1+Inputs!$B$13/100))-(Inputs!$B$12*(1+Inputs!$B$13/100)))+0.25*(Inputs!$B$14-Inputs!$B$14))*(1+Inputs!$B$7/100))*(F1383/100)</f>
        <v/>
      </c>
      <c r="K1383">
        <f>J1383*(1+((Inputs!$B$12*(1+Inputs!$B$13/100))*0.01+Inputs!$B$14*0.0025)/100)*(1+Inputs!$B$15/100)*(1+Inputs!$B$16/100)*(5000/(6000+Inputs!$B$42*(1-(100*(1-(1-(Inputs!$B$19+0)/100)*(1-CHOOSE(ArtifactsInput!$N$40+1,5,6,7,8,9,10)/100)^(ArtifactsInput!$M$40-ArtifactsInput!$M$40)))/100)))*(1+(Inputs!$B$24+((C1400=TRUE)*(F1400-Calc!F24))+((C1401=TRUE)*(F1401-Calc!F25))+B1414)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+1.2*IF(C1384=TRUE,F1384,0)/100)*(1+(IF(Skills!A7="EMPOWERED_PIERCING_ARROW",Inputs!$B$17+((C1398=TRUE)*(F1398-Calc!F22))+(((IF(AND(ArtifactsInput!$M$42,((Inputs!$B$9+((C1395=TRUE)*(F1395-Calc!F19))+B1408+(ArtifactsInput!$M$24-ArtifactsInput!$M$24)*CHOOSE(ArtifactsInput!$N$24+1,10,12,14,16,18,20)+IF(ArtifactsInput!$M$10,CHOOSE(ArtifactsInput!$N$10+1,15,18,21,24,27,30)*(IF(Inputs!$B$38="pvp",MIN(15,15)/15,IF(AND(Inputs!$B$38&lt;&gt;"pvp",Inputs!$B$43&gt;0),MIN(15,Inputs!$B$43)/(Inputs!$B$43),0))),0)))&gt;=100),MIN(100,((Inputs!$B$9+((C1395=TRUE)*(F1395-Calc!F19))+B1408+(ArtifactsInput!$M$24-ArtifactsInput!$M$24)*CHOOSE(ArtifactsInput!$N$24+1,10,12,14,16,18,20)+IF(ArtifactsInput!$M$10,CHOOSE(ArtifactsInput!$N$10+1,15,18,21,24,27,30)*(IF(Inputs!$B$38="pvp",MIN(15,15)/15,IF(AND(Inputs!$B$38&lt;&gt;"pvp",Inputs!$B$43&gt;0),MIN(15,Inputs!$B$43)/(Inputs!$B$43),0))),0)))-100),0))*CHOOSE(ArtifactsInput!$N$42+1,0.6,0.72,0.84,0.96,1.08,1.2))),Inputs!$B$18+((C1403=TRUE)*(F1403-Calc!F27))+(IF(AND(ArtifactsInput!$M$42,((Inputs!$B$9+((C1395=TRUE)*(F1395-Calc!F19))+B1408+(ArtifactsInput!$M$24-ArtifactsInput!$M$24)*CHOOSE(ArtifactsInput!$N$24+1,10,12,14,16,18,20)+IF(ArtifactsInput!$M$10,CHOOSE(ArtifactsInput!$N$10+1,15,18,21,24,27,30)*(IF(Inputs!$B$38="pvp",MIN(15,15)/15,IF(AND(Inputs!$B$38&lt;&gt;"pvp",Inputs!$B$43&gt;0),MIN(15,Inputs!$B$43)/(Inputs!$B$43),0))),0)))&gt;=100),CHOOSE(ArtifactsInput!$N$42+1,40,48,56,64,72,80),0))))/100)*((1+(((C1389=TRUE)*F1389)+((C1390=TRUE)*IF(Inputs!$B$38="pvp",F1390,(1-Summary!$B$11)*(F1390)+Summary!$B$11*(0)))+((C1391=TRUE)*F1391*IF(AND(Inputs!$B$38&lt;&gt;"pvp",Inputs!$B$43&gt;0),(((R1391-1)*(Skills!T15*(1+Inputs!$B$34/100))+MIN((Skills!T15*(1+Inputs!$B$34/100)),MAX(0,Inputs!$B$43-((R1391-1)*Skills!D15))))/Inputs!$B$43),IF(Inputs!$B$38="pvp",MIN((Skills!T15*(1+Inputs!$B$34/100)),15)/15,(Skills!T15*(1+Inputs!$B$34/100))/Skills!D15)))+((C1388=TRUE)*F1388)+((C1405=TRUE)*(F1405-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1383)</f>
        <v/>
      </c>
      <c r="L1383">
        <f>K1383*(MIN(Inputs!$B$22+((C1399=TRUE)*(F1399-Calc!F23)),(Inputs!$B$23+((C1404=TRUE)*(F1404-Calc!F28))+(IF(ArtifactsInput!$M$15,CHOOSE(ArtifactsInput!$N$15+1,25,30,35,40,45,50)/100*(Inputs!$B$11-Inputs!$B$11),0))))/100+(Inputs!$B$23+((C1404=TRUE)*(F1404-Calc!F28))+(IF(ArtifactsInput!$M$15,CHOOSE(ArtifactsInput!$N$15+1,25,30,35,40,45,50)/100*(Inputs!$B$11-Inputs!$B$11),0)))/100)/2</f>
        <v/>
      </c>
      <c r="M1383">
        <f>L1383*(1+(Inputs!$B$10+0+B1413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383">
        <f>L1383*(1-MIN((Inputs!$B$9+((C1395=TRUE)*(F1395-Calc!F19))+B1408+(ArtifactsInput!$M$24-ArtifactsInput!$M$24)*CHOOSE(ArtifactsInput!$N$24+1,10,12,14,16,18,20)+(IF(AND(ArtifactsInput!$M$42,((Inputs!$B$9+((C1395=TRUE)*(F1395-Calc!F19))+B1408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1383*(MIN((Inputs!$B$9+((C1395=TRUE)*(F1395-Calc!F19))+B1408+(ArtifactsInput!$M$24-ArtifactsInput!$M$24)*CHOOSE(ArtifactsInput!$N$24+1,10,12,14,16,18,20)+(IF(AND(ArtifactsInput!$M$42,((Inputs!$B$9+((C1395=TRUE)*(F1395-Calc!F19))+B1408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383">
        <f>(1-Summary!$B$11)*T1383+Summary!$B$11*V1383</f>
        <v/>
      </c>
      <c r="P1383">
        <f>IF(B1418=0,0,O1383/B1418)</f>
        <v/>
      </c>
      <c r="Q1383">
        <f>IFERROR(1/IF(Inputs!$B$38="pvp",15,MAX(0.1,Skills!D7-IF(Skills!E7=TRUE,Inputs!$B$32,0))),0)</f>
        <v/>
      </c>
      <c r="R1383">
        <f>IF(AND(Inputs!$B$38&lt;&gt;"pvp",Inputs!$B$43&gt;0),IF(MAX(0,Inputs!$B$43-B1415)&lt;=0,0,(INT(MAX(0,Inputs!$B$43-B1415)/IF(Inputs!$B$38="pvp",15,MAX(0.1,Skills!D7-IF(Skills!E7=TRUE,Inputs!$B$32,0))))+1)),0)</f>
        <v/>
      </c>
      <c r="S1383">
        <f>IFERROR((H1383*N1383*IF(AND(Inputs!$B$38&lt;&gt;"pvp",Inputs!$B$43&gt;0),((Skills!G7*((R1383-1)*IF(Skills!H7&gt;0,Skills!I7/Skills!H7,1)+IF(Skills!H7&gt;0,MIN(Skills!I7,MAX(0,MAX(0,Inputs!$B$43-B1415)-((R1383-1)*IF(Inputs!$B$38="pvp",15,MAX(0.1,Skills!D7-IF(Skills!E7=TRUE,Inputs!$B$32,0))))))/Skills!H7,1)))/Inputs!$B$43),G1383*Q1383))/N1383*IF(Inputs!$B$38="pvp",1,(1-Summary!$B$11)*1+Summary!$B$11*(MIN(Skills!R7,Inputs!$B$37))),0)</f>
        <v/>
      </c>
      <c r="T1383">
        <f>IF(C1383,(H1383*N1383*IF(AND(Inputs!$B$38&lt;&gt;"pvp",Inputs!$B$43&gt;0),((Skills!G7*((R1383-1)*IF(Skills!H7&gt;0,Skills!I7/Skills!H7,1)+IF(Skills!H7&gt;0,MIN(Skills!I7,MAX(0,MAX(0,Inputs!$B$43-B1415)-((R1383-1)*IF(Inputs!$B$38="pvp",15,MAX(0.1,Skills!D7-IF(Skills!E7=TRUE,Inputs!$B$32,0))))))/Skills!H7,1)))/Inputs!$B$43),G1383*Q1383))*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Hunt"),CHOOSE(ArtifactsInput!$N$35+1,15,18,21,24,27,30)*(1-EXP(-(0.2*B1410)*5)),0)+IF(AND(ArtifactsInput!$M$22,Inputs!$B$4&lt;&gt;"Chapter Hunt"),CHOOSE(ArtifactsInput!$N$22+1,10,12,14,16,18,20)*((0*(((0.15*B1410*5))^0/1)+1*(((0.15*B1410*5))^1/1)+2*(((0.15*B1410*5))^2/2)+3*(((0.15*B1410*5))^3/6)+4*(((0.15*B1410*5))^4/24)+5*(((0.15*B1410*5))^5/120))/((((0.15*B1410*5))^0/1)+(((0.15*B1410*5))^1/1)+(((0.15*B1410*5))^2/2)+(((0.15*B1410*5))^3/6)+(((0.15*B1410*5))^4/24)+(((0.15*B1410*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1383*(1-MIN(100,(Inputs!$B$9+((C1395=TRUE)*(F1395-Calc!F19))+B1408+(ArtifactsInput!$M$24-ArtifactsInput!$M$24)*CHOOSE(ArtifactsInput!$N$24+1,10,12,14,16,18,20)+(IF(AND(ArtifactsInput!$M$42,((Inputs!$B$9+((C1395=TRUE)*(F1395-Calc!F19))+B1408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IF(ArtifactsInput!$M$8,FALSE,TRUE),Inputs!$B$38&lt;&gt;"pvp"),CHOOSE(ArtifactsInput!$N$8+1,8,9.6,11.2,12.8,14.4,16),0))/100)+M1383*(MIN(100,(Inputs!$B$9+((C1395=TRUE)*(F1395-Calc!F19))+B1408+(ArtifactsInput!$M$24-ArtifactsInput!$M$24)*CHOOSE(ArtifactsInput!$N$24+1,10,12,14,16,18,20)+(IF(AND(ArtifactsInput!$M$42,((Inputs!$B$9+((C1395=TRUE)*(F1395-Calc!F19))+B1408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IF(ArtifactsInput!$M$8,FALSE,TRUE),Inputs!$B$38&lt;&gt;"pvp"),CHOOSE(ArtifactsInput!$N$8+1,8,9.6,11.2,12.8,14.4,16),0))/100))/(L1383*(1-MIN(100,(Inputs!$B$9+((C1395=TRUE)*(F1395-Calc!F19))+B1408+(ArtifactsInput!$M$24-ArtifactsInput!$M$24)*CHOOSE(ArtifactsInput!$N$24+1,10,12,14,16,18,20)+(IF(AND(ArtifactsInput!$M$42,((Inputs!$B$9+((C1395=TRUE)*(F1395-Calc!F19))+B1408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1383*(MIN(100,(Inputs!$B$9+((C1395=TRUE)*(F1395-Calc!F19))+B1408+(ArtifactsInput!$M$24-ArtifactsInput!$M$24)*CHOOSE(ArtifactsInput!$N$24+1,10,12,14,16,18,20)+(IF(AND(ArtifactsInput!$M$42,((Inputs!$B$9+((C1395=TRUE)*(F1395-Calc!F19))+B1408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383">
        <f>IF(C1383,(H1383*N1383*IF(AND(Inputs!$B$38&lt;&gt;"pvp",Inputs!$B$43&gt;0),((Skills!G7*((R1383-1)*IF(Skills!H7&gt;0,Skills!I7/Skills!H7,1)+IF(Skills!H7&gt;0,MIN(Skills!I7,MAX(0,MAX(0,Inputs!$B$43-B1415)-((R1383-1)*IF(Inputs!$B$38="pvp",15,MAX(0.1,Skills!D7-IF(Skills!E7=TRUE,Inputs!$B$32,0))))))/Skills!H7,1)))/Inputs!$B$43),G1383*Q1383))*IF(Inputs!$B$38="pvp",1,(1+(Inputs!$B$21+Skills!Q7+(IF(ArtifactsInput!$M$33,CHOOSE(ArtifactsInput!$N$33+1,30,36,42,48,54,60),0))+(IF(AND(ArtifactsInput!$M$35,Inputs!$B$4&lt;&gt;"Chapter Hunt"),CHOOSE(ArtifactsInput!$N$35+1,15,18,21,24,27,30)*(1-EXP(-(0.2*B1410)*5)),0)+IF(AND(ArtifactsInput!$M$22,Inputs!$B$4&lt;&gt;"Chapter Hunt"),CHOOSE(ArtifactsInput!$N$22+1,10,12,14,16,18,20)*((0*(((0.15*B1410*5))^0/1)+1*(((0.15*B1410*5))^1/1)+2*(((0.15*B1410*5))^2/2)+3*(((0.15*B1410*5))^3/6)+4*(((0.15*B1410*5))^4/24)+5*(((0.15*B1410*5))^5/120))/((((0.15*B1410*5))^0/1)+(((0.15*B1410*5))^1/1)+(((0.15*B1410*5))^2/2)+(((0.15*B1410*5))^3/6)+(((0.15*B1410*5))^4/24)+(((0.15*B1410*5))^5/120))),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384">
      <c r="A1384">
        <f>Skills!A8</f>
        <v/>
      </c>
      <c r="B1384">
        <f>Skills!B8</f>
        <v/>
      </c>
      <c r="C1384">
        <f>Inputs!$B$3&gt;=100</f>
        <v/>
      </c>
      <c r="D1384">
        <f>IF(Skills!C8=1,60+Inputs!$B$25+Inputs!$B$29,IF(Skills!C8=2,90+Inputs!$B$26+Inputs!$B$29,IF(Skills!C8=3,120+Inputs!$B$27+Inputs!$B$29,MAX(0,(Inputs!$B$3-100)*3)+Inputs!$B$28+Inputs!$B$29)))</f>
        <v/>
      </c>
      <c r="E1384">
        <f>INDEX(FactorTable!$B$2:$Y$301, MATCH(ROUND(MIN(300,MAX(1,D1384)),0), FactorTable!$A$2:$A$301,0), Skills!M8+1)</f>
        <v/>
      </c>
      <c r="F1384">
        <f>IF(Skills!N8=TRUE,(Skills!L8/10)*(E1384/1000),Skills!L8/10)+Skills!O8</f>
        <v/>
      </c>
      <c r="G1384" t="inlineStr"/>
      <c r="H1384" t="inlineStr"/>
      <c r="I1384" t="inlineStr">
        <is>
          <t>1</t>
        </is>
      </c>
      <c r="J1384" t="inlineStr"/>
      <c r="K1384" t="inlineStr"/>
      <c r="L1384" t="inlineStr"/>
      <c r="M1384" t="inlineStr"/>
      <c r="N1384" t="inlineStr"/>
      <c r="O1384" t="inlineStr"/>
      <c r="P1384" t="inlineStr"/>
      <c r="Q1384" t="inlineStr"/>
      <c r="R1384" t="inlineStr"/>
      <c r="S1384" t="inlineStr"/>
      <c r="T1384" t="inlineStr"/>
      <c r="V1384" t="inlineStr"/>
    </row>
    <row r="1385">
      <c r="A1385">
        <f>Skills!A9</f>
        <v/>
      </c>
      <c r="B1385">
        <f>Skills!B9</f>
        <v/>
      </c>
      <c r="C1385">
        <f>Inputs!$B$3&gt;=103</f>
        <v/>
      </c>
      <c r="D1385">
        <f>IF(Skills!C9=1,60+Inputs!$B$25+Inputs!$B$29,IF(Skills!C9=2,90+Inputs!$B$26+Inputs!$B$29,IF(Skills!C9=3,120+Inputs!$B$27+Inputs!$B$29,MAX(0,(Inputs!$B$3-100)*3)+Inputs!$B$28+Inputs!$B$29)))</f>
        <v/>
      </c>
      <c r="E1385">
        <f>INDEX(FactorTable!$B$2:$Y$301, MATCH(ROUND(MIN(300,MAX(1,D1385)),0), FactorTable!$A$2:$A$301,0), Skills!M9+1)</f>
        <v/>
      </c>
      <c r="F1385">
        <f>IF(Skills!N9=TRUE,(Skills!L9/10)*(E1385/1000),Skills!L9/10)+Skills!O9</f>
        <v/>
      </c>
      <c r="G1385">
        <f>Skills!G9*IF(Skills!H9&gt;0,Skills!I9/Skills!H9,1)</f>
        <v/>
      </c>
      <c r="H1385">
        <f>1-(1-Skills!J9/100)^Skills!K9</f>
        <v/>
      </c>
      <c r="I1385" t="inlineStr">
        <is>
          <t>1</t>
        </is>
      </c>
      <c r="J1385">
        <f>((Inputs!$B$6*(1+Inputs!$B$7/100))+(((Inputs!$B$12*(1+Inputs!$B$13/100))-(Inputs!$B$12*(1+Inputs!$B$13/100)))+0.25*(Inputs!$B$14-Inputs!$B$14))*(1+Inputs!$B$7/100))*(F1385/100)</f>
        <v/>
      </c>
      <c r="K1385">
        <f>J1385*(1+((Inputs!$B$12*(1+Inputs!$B$13/100))*0.01+Inputs!$B$14*0.0025)/100)*(1+Inputs!$B$15/100)*(1+Inputs!$B$16/100)*(5000/(6000+Inputs!$B$42*(1-(100*(1-(1-(Inputs!$B$19+0)/100)*(1-CHOOSE(ArtifactsInput!$N$40+1,5,6,7,8,9,10)/100)^(ArtifactsInput!$M$40-ArtifactsInput!$M$40)))/100)))*(1+(Inputs!$B$24+((C1400=TRUE)*(F1400-Calc!F24))+((C1401=TRUE)*(F1401-Calc!F25))+B1414)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EMPOWERED_PIERCING_ARROW",Inputs!$B$17+((C1398=TRUE)*(F1398-Calc!F22))+(((IF(AND(ArtifactsInput!$M$42,((Inputs!$B$9+((C1395=TRUE)*(F1395-Calc!F19))+B1408+(ArtifactsInput!$M$24-ArtifactsInput!$M$24)*CHOOSE(ArtifactsInput!$N$24+1,10,12,14,16,18,20)+IF(ArtifactsInput!$M$10,CHOOSE(ArtifactsInput!$N$10+1,15,18,21,24,27,30)*(IF(Inputs!$B$38="pvp",MIN(15,15)/15,IF(AND(Inputs!$B$38&lt;&gt;"pvp",Inputs!$B$43&gt;0),MIN(15,Inputs!$B$43)/(Inputs!$B$43),0))),0)))&gt;=100),MIN(100,((Inputs!$B$9+((C1395=TRUE)*(F1395-Calc!F19))+B1408+(ArtifactsInput!$M$24-ArtifactsInput!$M$24)*CHOOSE(ArtifactsInput!$N$24+1,10,12,14,16,18,20)+IF(ArtifactsInput!$M$10,CHOOSE(ArtifactsInput!$N$10+1,15,18,21,24,27,30)*(IF(Inputs!$B$38="pvp",MIN(15,15)/15,IF(AND(Inputs!$B$38&lt;&gt;"pvp",Inputs!$B$43&gt;0),MIN(15,Inputs!$B$43)/(Inputs!$B$43),0))),0)))-100),0))*CHOOSE(ArtifactsInput!$N$42+1,0.6,0.72,0.84,0.96,1.08,1.2))),Inputs!$B$18+((C1403=TRUE)*(F1403-Calc!F27))+(IF(AND(ArtifactsInput!$M$42,((Inputs!$B$9+((C1395=TRUE)*(F1395-Calc!F19))+B1408+(ArtifactsInput!$M$24-ArtifactsInput!$M$24)*CHOOSE(ArtifactsInput!$N$24+1,10,12,14,16,18,20)+IF(ArtifactsInput!$M$10,CHOOSE(ArtifactsInput!$N$10+1,15,18,21,24,27,30)*(IF(Inputs!$B$38="pvp",MIN(15,15)/15,IF(AND(Inputs!$B$38&lt;&gt;"pvp",Inputs!$B$43&gt;0),MIN(15,Inputs!$B$43)/(Inputs!$B$43),0))),0)))&gt;=100),CHOOSE(ArtifactsInput!$N$42+1,40,48,56,64,72,80),0))))/100)*((1+(((C1389=TRUE)*F1389)+((C1390=TRUE)*IF(Inputs!$B$38="pvp",F1390,(1-Summary!$B$11)*(F1390)+Summary!$B$11*(0)))+((C1391=TRUE)*F1391*IF(AND(Inputs!$B$38&lt;&gt;"pvp",Inputs!$B$43&gt;0),(((R1391-1)*(Skills!T15*(1+Inputs!$B$34/100))+MIN((Skills!T15*(1+Inputs!$B$34/100)),MAX(0,Inputs!$B$43-((R1391-1)*Skills!D15))))/Inputs!$B$43),IF(Inputs!$B$38="pvp",MIN((Skills!T15*(1+Inputs!$B$34/100)),15)/15,(Skills!T15*(1+Inputs!$B$34/100))/Skills!D15)))+((C1388=TRUE)*F1388)+((C1405=TRUE)*(F1405-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1385)</f>
        <v/>
      </c>
      <c r="L1385">
        <f>K1385*(MIN(Inputs!$B$22+((C1399=TRUE)*(F1399-Calc!F23)),(Inputs!$B$23+((C1404=TRUE)*(F1404-Calc!F28))+(IF(ArtifactsInput!$M$15,CHOOSE(ArtifactsInput!$N$15+1,25,30,35,40,45,50)/100*(Inputs!$B$11-Inputs!$B$11),0))))/100+(Inputs!$B$23+((C1404=TRUE)*(F1404-Calc!F28))+(IF(ArtifactsInput!$M$15,CHOOSE(ArtifactsInput!$N$15+1,25,30,35,40,45,50)/100*(Inputs!$B$11-Inputs!$B$11),0)))/100)/2</f>
        <v/>
      </c>
      <c r="M1385">
        <f>L1385*(1+(Inputs!$B$10+0+B1413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385">
        <f>L1385*(1-MIN((Inputs!$B$9+((C1395=TRUE)*(F1395-Calc!F19))+B1408+(ArtifactsInput!$M$24-ArtifactsInput!$M$24)*CHOOSE(ArtifactsInput!$N$24+1,10,12,14,16,18,20)+(IF(AND(ArtifactsInput!$M$42,((Inputs!$B$9+((C1395=TRUE)*(F1395-Calc!F19))+B1408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1385*(MIN((Inputs!$B$9+((C1395=TRUE)*(F1395-Calc!F19))+B1408+(ArtifactsInput!$M$24-ArtifactsInput!$M$24)*CHOOSE(ArtifactsInput!$N$24+1,10,12,14,16,18,20)+(IF(AND(ArtifactsInput!$M$42,((Inputs!$B$9+((C1395=TRUE)*(F1395-Calc!F19))+B1408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385">
        <f>(1-Summary!$B$11)*T1385+Summary!$B$11*V1385</f>
        <v/>
      </c>
      <c r="P1385">
        <f>IF(B1418=0,0,O1385/B1418)</f>
        <v/>
      </c>
      <c r="Q1385">
        <f>IFERROR(1/IF(Inputs!$B$38="pvp",15,MAX(0.1,Skills!D9-IF(Skills!E9=TRUE,Inputs!$B$32,0))),0)</f>
        <v/>
      </c>
      <c r="R1385">
        <f>IF(AND(Inputs!$B$38&lt;&gt;"pvp",Inputs!$B$43&gt;0),IF(MAX(0,Inputs!$B$43-B1415)&lt;=0,0,(INT(MAX(0,Inputs!$B$43-B1415)/IF(Inputs!$B$38="pvp",15,MAX(0.1,Skills!D9-IF(Skills!E9=TRUE,Inputs!$B$32,0))))+1)),0)</f>
        <v/>
      </c>
      <c r="S1385">
        <f>IFERROR((H1385*N1385*IF(AND(Inputs!$B$38&lt;&gt;"pvp",Inputs!$B$43&gt;0),((Skills!G9*((R1385-1)*IF(Skills!H9&gt;0,Skills!I9/Skills!H9,1)+IF(Skills!H9&gt;0,MIN(Skills!I9,MAX(0,MAX(0,Inputs!$B$43-B1415)-((R1385-1)*IF(Inputs!$B$38="pvp",15,MAX(0.1,Skills!D9-IF(Skills!E9=TRUE,Inputs!$B$32,0))))))/Skills!H9,1)))/Inputs!$B$43),G1385*Q1385))/N1385*IF(Inputs!$B$38="pvp",1,(1-Summary!$B$11)*1+Summary!$B$11*(MIN(Skills!R9,Inputs!$B$37))),0)</f>
        <v/>
      </c>
      <c r="T1385">
        <f>IF(C1385,(H1385*N1385*IF(AND(Inputs!$B$38&lt;&gt;"pvp",Inputs!$B$43&gt;0),((Skills!G9*((R1385-1)*IF(Skills!H9&gt;0,Skills!I9/Skills!H9,1)+IF(Skills!H9&gt;0,MIN(Skills!I9,MAX(0,MAX(0,Inputs!$B$43-B1415)-((R1385-1)*IF(Inputs!$B$38="pvp",15,MAX(0.1,Skills!D9-IF(Skills!E9=TRUE,Inputs!$B$32,0))))))/Skills!H9,1)))/Inputs!$B$43),G1385*Q1385))*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Hunt"),CHOOSE(ArtifactsInput!$N$35+1,15,18,21,24,27,30)*(1-EXP(-(0.2*B1410)*5)),0)+IF(AND(ArtifactsInput!$M$22,Inputs!$B$4&lt;&gt;"Chapter Hunt"),CHOOSE(ArtifactsInput!$N$22+1,10,12,14,16,18,20)*((0*(((0.15*B1410*5))^0/1)+1*(((0.15*B1410*5))^1/1)+2*(((0.15*B1410*5))^2/2)+3*(((0.15*B1410*5))^3/6)+4*(((0.15*B1410*5))^4/24)+5*(((0.15*B1410*5))^5/120))/((((0.15*B1410*5))^0/1)+(((0.15*B1410*5))^1/1)+(((0.15*B1410*5))^2/2)+(((0.15*B1410*5))^3/6)+(((0.15*B1410*5))^4/24)+(((0.15*B1410*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1385*(1-MIN(100,(Inputs!$B$9+((C1395=TRUE)*(F1395-Calc!F19))+B1408+(ArtifactsInput!$M$24-ArtifactsInput!$M$24)*CHOOSE(ArtifactsInput!$N$24+1,10,12,14,16,18,20)+(IF(AND(ArtifactsInput!$M$42,((Inputs!$B$9+((C1395=TRUE)*(F1395-Calc!F19))+B1408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IF(ArtifactsInput!$M$8,FALSE,TRUE),Inputs!$B$38&lt;&gt;"pvp"),CHOOSE(ArtifactsInput!$N$8+1,8,9.6,11.2,12.8,14.4,16),0))/100)+M1385*(MIN(100,(Inputs!$B$9+((C1395=TRUE)*(F1395-Calc!F19))+B1408+(ArtifactsInput!$M$24-ArtifactsInput!$M$24)*CHOOSE(ArtifactsInput!$N$24+1,10,12,14,16,18,20)+(IF(AND(ArtifactsInput!$M$42,((Inputs!$B$9+((C1395=TRUE)*(F1395-Calc!F19))+B1408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IF(ArtifactsInput!$M$8,FALSE,TRUE),Inputs!$B$38&lt;&gt;"pvp"),CHOOSE(ArtifactsInput!$N$8+1,8,9.6,11.2,12.8,14.4,16),0))/100))/(L1385*(1-MIN(100,(Inputs!$B$9+((C1395=TRUE)*(F1395-Calc!F19))+B1408+(ArtifactsInput!$M$24-ArtifactsInput!$M$24)*CHOOSE(ArtifactsInput!$N$24+1,10,12,14,16,18,20)+(IF(AND(ArtifactsInput!$M$42,((Inputs!$B$9+((C1395=TRUE)*(F1395-Calc!F19))+B1408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1385*(MIN(100,(Inputs!$B$9+((C1395=TRUE)*(F1395-Calc!F19))+B1408+(ArtifactsInput!$M$24-ArtifactsInput!$M$24)*CHOOSE(ArtifactsInput!$N$24+1,10,12,14,16,18,20)+(IF(AND(ArtifactsInput!$M$42,((Inputs!$B$9+((C1395=TRUE)*(F1395-Calc!F19))+B1408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385">
        <f>IF(C1385,(H1385*N1385*IF(AND(Inputs!$B$38&lt;&gt;"pvp",Inputs!$B$43&gt;0),((Skills!G9*((R1385-1)*IF(Skills!H9&gt;0,Skills!I9/Skills!H9,1)+IF(Skills!H9&gt;0,MIN(Skills!I9,MAX(0,MAX(0,Inputs!$B$43-B1415)-((R1385-1)*IF(Inputs!$B$38="pvp",15,MAX(0.1,Skills!D9-IF(Skills!E9=TRUE,Inputs!$B$32,0))))))/Skills!H9,1)))/Inputs!$B$43),G1385*Q1385))*IF(Inputs!$B$38="pvp",1,(1+(Inputs!$B$21+Skills!Q9+(IF(ArtifactsInput!$M$33,CHOOSE(ArtifactsInput!$N$33+1,30,36,42,48,54,60),0))+(IF(AND(ArtifactsInput!$M$35,Inputs!$B$4&lt;&gt;"Chapter Hunt"),CHOOSE(ArtifactsInput!$N$35+1,15,18,21,24,27,30)*(1-EXP(-(0.2*B1410)*5)),0)+IF(AND(ArtifactsInput!$M$22,Inputs!$B$4&lt;&gt;"Chapter Hunt"),CHOOSE(ArtifactsInput!$N$22+1,10,12,14,16,18,20)*((0*(((0.15*B1410*5))^0/1)+1*(((0.15*B1410*5))^1/1)+2*(((0.15*B1410*5))^2/2)+3*(((0.15*B1410*5))^3/6)+4*(((0.15*B1410*5))^4/24)+5*(((0.15*B1410*5))^5/120))/((((0.15*B1410*5))^0/1)+(((0.15*B1410*5))^1/1)+(((0.15*B1410*5))^2/2)+(((0.15*B1410*5))^3/6)+(((0.15*B1410*5))^4/24)+(((0.15*B1410*5))^5/120)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386">
      <c r="A1386">
        <f>Skills!A10</f>
        <v/>
      </c>
      <c r="B1386">
        <f>Skills!B10</f>
        <v/>
      </c>
      <c r="C1386">
        <f>Inputs!$B$3&gt;=107</f>
        <v/>
      </c>
      <c r="D1386">
        <f>IF(Skills!C10=1,60+Inputs!$B$25+Inputs!$B$29,IF(Skills!C10=2,90+Inputs!$B$26+Inputs!$B$29,IF(Skills!C10=3,120+Inputs!$B$27+Inputs!$B$29,MAX(0,(Inputs!$B$3-100)*3)+Inputs!$B$28+Inputs!$B$29)))</f>
        <v/>
      </c>
      <c r="E1386">
        <f>INDEX(FactorTable!$B$2:$Y$301, MATCH(ROUND(MIN(300,MAX(1,D1386)),0), FactorTable!$A$2:$A$301,0), Skills!M10+1)</f>
        <v/>
      </c>
      <c r="F1386">
        <f>IF(Skills!N10=TRUE,(Skills!L10/10)*(E1386/1000),Skills!L10/10)+Skills!O10</f>
        <v/>
      </c>
      <c r="G1386">
        <f>Skills!G10*IF(Skills!H10&gt;0,Skills!I10/Skills!H10,1)</f>
        <v/>
      </c>
      <c r="H1386">
        <f>1-(1-Skills!J10/100)^Skills!K10</f>
        <v/>
      </c>
      <c r="I1386" t="inlineStr">
        <is>
          <t>1</t>
        </is>
      </c>
      <c r="J1386">
        <f>((Inputs!$B$6*(1+Inputs!$B$7/100))+(((Inputs!$B$12*(1+Inputs!$B$13/100))-(Inputs!$B$12*(1+Inputs!$B$13/100)))+0.25*(Inputs!$B$14-Inputs!$B$14))*(1+Inputs!$B$7/100))*(F1386/100)</f>
        <v/>
      </c>
      <c r="K1386">
        <f>J1386*(1+((Inputs!$B$12*(1+Inputs!$B$13/100))*0.01+Inputs!$B$14*0.0025)/100)*(1+Inputs!$B$15/100)*(1+Inputs!$B$16/100)*(5000/(6000+Inputs!$B$42*(1-(100*(1-(1-(Inputs!$B$19+0)/100)*(1-CHOOSE(ArtifactsInput!$N$40+1,5,6,7,8,9,10)/100)^(ArtifactsInput!$M$40-ArtifactsInput!$M$40)))/100)))*(1+(Inputs!$B$24+((C1400=TRUE)*(F1400-Calc!F24))+((C1401=TRUE)*(F1401-Calc!F25))+B1414)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EMPOWERED_PIERCING_ARROW",Inputs!$B$17+((C1398=TRUE)*(F1398-Calc!F22))+(((IF(AND(ArtifactsInput!$M$42,((Inputs!$B$9+((C1395=TRUE)*(F1395-Calc!F19))+B1408+(ArtifactsInput!$M$24-ArtifactsInput!$M$24)*CHOOSE(ArtifactsInput!$N$24+1,10,12,14,16,18,20)+IF(ArtifactsInput!$M$10,CHOOSE(ArtifactsInput!$N$10+1,15,18,21,24,27,30)*(IF(Inputs!$B$38="pvp",MIN(15,15)/15,IF(AND(Inputs!$B$38&lt;&gt;"pvp",Inputs!$B$43&gt;0),MIN(15,Inputs!$B$43)/(Inputs!$B$43),0))),0)))&gt;=100),MIN(100,((Inputs!$B$9+((C1395=TRUE)*(F1395-Calc!F19))+B1408+(ArtifactsInput!$M$24-ArtifactsInput!$M$24)*CHOOSE(ArtifactsInput!$N$24+1,10,12,14,16,18,20)+IF(ArtifactsInput!$M$10,CHOOSE(ArtifactsInput!$N$10+1,15,18,21,24,27,30)*(IF(Inputs!$B$38="pvp",MIN(15,15)/15,IF(AND(Inputs!$B$38&lt;&gt;"pvp",Inputs!$B$43&gt;0),MIN(15,Inputs!$B$43)/(Inputs!$B$43),0))),0)))-100),0))*CHOOSE(ArtifactsInput!$N$42+1,0.6,0.72,0.84,0.96,1.08,1.2))),Inputs!$B$18+((C1403=TRUE)*(F1403-Calc!F27))+(IF(AND(ArtifactsInput!$M$42,((Inputs!$B$9+((C1395=TRUE)*(F1395-Calc!F19))+B1408+(ArtifactsInput!$M$24-ArtifactsInput!$M$24)*CHOOSE(ArtifactsInput!$N$24+1,10,12,14,16,18,20)+IF(ArtifactsInput!$M$10,CHOOSE(ArtifactsInput!$N$10+1,15,18,21,24,27,30)*(IF(Inputs!$B$38="pvp",MIN(15,15)/15,IF(AND(Inputs!$B$38&lt;&gt;"pvp",Inputs!$B$43&gt;0),MIN(15,Inputs!$B$43)/(Inputs!$B$43),0))),0)))&gt;=100),CHOOSE(ArtifactsInput!$N$42+1,40,48,56,64,72,80),0))))/100)*((1+(((C1389=TRUE)*F1389)+((C1390=TRUE)*IF(Inputs!$B$38="pvp",F1390,(1-Summary!$B$11)*(F1390)+Summary!$B$11*(0)))+((C1391=TRUE)*F1391*IF(AND(Inputs!$B$38&lt;&gt;"pvp",Inputs!$B$43&gt;0),(((R1391-1)*(Skills!T15*(1+Inputs!$B$34/100))+MIN((Skills!T15*(1+Inputs!$B$34/100)),MAX(0,Inputs!$B$43-((R1391-1)*Skills!D15))))/Inputs!$B$43),IF(Inputs!$B$38="pvp",MIN((Skills!T15*(1+Inputs!$B$34/100)),15)/15,(Skills!T15*(1+Inputs!$B$34/100))/Skills!D15)))+((C1388=TRUE)*F1388)+((C1405=TRUE)*(F1405-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1386)</f>
        <v/>
      </c>
      <c r="L1386">
        <f>K1386*(MIN(Inputs!$B$22+((C1399=TRUE)*(F1399-Calc!F23)),(Inputs!$B$23+((C1404=TRUE)*(F1404-Calc!F28))+(IF(ArtifactsInput!$M$15,CHOOSE(ArtifactsInput!$N$15+1,25,30,35,40,45,50)/100*(Inputs!$B$11-Inputs!$B$11),0))))/100+(Inputs!$B$23+((C1404=TRUE)*(F1404-Calc!F28))+(IF(ArtifactsInput!$M$15,CHOOSE(ArtifactsInput!$N$15+1,25,30,35,40,45,50)/100*(Inputs!$B$11-Inputs!$B$11),0)))/100)/2</f>
        <v/>
      </c>
      <c r="M1386">
        <f>L1386*(1+(Inputs!$B$10+0+B1413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386">
        <f>L1386*(1-MIN((Inputs!$B$9+((C1395=TRUE)*(F1395-Calc!F19))+B1408+(ArtifactsInput!$M$24-ArtifactsInput!$M$24)*CHOOSE(ArtifactsInput!$N$24+1,10,12,14,16,18,20)+(IF(AND(ArtifactsInput!$M$42,((Inputs!$B$9+((C1395=TRUE)*(F1395-Calc!F19))+B1408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1386*(MIN((Inputs!$B$9+((C1395=TRUE)*(F1395-Calc!F19))+B1408+(ArtifactsInput!$M$24-ArtifactsInput!$M$24)*CHOOSE(ArtifactsInput!$N$24+1,10,12,14,16,18,20)+(IF(AND(ArtifactsInput!$M$42,((Inputs!$B$9+((C1395=TRUE)*(F1395-Calc!F19))+B1408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386">
        <f>(1-Summary!$B$11)*T1386+Summary!$B$11*V1386</f>
        <v/>
      </c>
      <c r="P1386">
        <f>IF(B1418=0,0,O1386/B1418)</f>
        <v/>
      </c>
      <c r="Q1386" t="n">
        <v>0</v>
      </c>
      <c r="R1386" t="n">
        <v>0</v>
      </c>
      <c r="S1386" t="n">
        <v>0</v>
      </c>
      <c r="T1386">
        <f>IF(C1386,(0.15*SUMPRODUCT((Skills!U2:U29=TRUE)*(C1378:C1405=TRUE)*S1378:S1405)*Skills!G10*N1386)*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Hunt"),CHOOSE(ArtifactsInput!$N$35+1,15,18,21,24,27,30)*(1-EXP(-(0.2*B1410)*5)),0)+IF(AND(ArtifactsInput!$M$22,Inputs!$B$4&lt;&gt;"Chapter Hunt"),CHOOSE(ArtifactsInput!$N$22+1,10,12,14,16,18,20)*((0*(((0.15*B1410*5))^0/1)+1*(((0.15*B1410*5))^1/1)+2*(((0.15*B1410*5))^2/2)+3*(((0.15*B1410*5))^3/6)+4*(((0.15*B1410*5))^4/24)+5*(((0.15*B1410*5))^5/120))/((((0.15*B1410*5))^0/1)+(((0.15*B1410*5))^1/1)+(((0.15*B1410*5))^2/2)+(((0.15*B1410*5))^3/6)+(((0.15*B1410*5))^4/24)+(((0.15*B1410*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1386*(1-MIN(100,(Inputs!$B$9+((C1395=TRUE)*(F1395-Calc!F19))+B1408+(ArtifactsInput!$M$24-ArtifactsInput!$M$24)*CHOOSE(ArtifactsInput!$N$24+1,10,12,14,16,18,20)+(IF(AND(ArtifactsInput!$M$42,((Inputs!$B$9+((C1395=TRUE)*(F1395-Calc!F19))+B1408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IF(ArtifactsInput!$M$8,FALSE,TRUE),Inputs!$B$38&lt;&gt;"pvp"),CHOOSE(ArtifactsInput!$N$8+1,8,9.6,11.2,12.8,14.4,16),0))/100)+M1386*(MIN(100,(Inputs!$B$9+((C1395=TRUE)*(F1395-Calc!F19))+B1408+(ArtifactsInput!$M$24-ArtifactsInput!$M$24)*CHOOSE(ArtifactsInput!$N$24+1,10,12,14,16,18,20)+(IF(AND(ArtifactsInput!$M$42,((Inputs!$B$9+((C1395=TRUE)*(F1395-Calc!F19))+B1408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IF(ArtifactsInput!$M$8,FALSE,TRUE),Inputs!$B$38&lt;&gt;"pvp"),CHOOSE(ArtifactsInput!$N$8+1,8,9.6,11.2,12.8,14.4,16),0))/100))/(L1386*(1-MIN(100,(Inputs!$B$9+((C1395=TRUE)*(F1395-Calc!F19))+B1408+(ArtifactsInput!$M$24-ArtifactsInput!$M$24)*CHOOSE(ArtifactsInput!$N$24+1,10,12,14,16,18,20)+(IF(AND(ArtifactsInput!$M$42,((Inputs!$B$9+((C1395=TRUE)*(F1395-Calc!F19))+B1408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1386*(MIN(100,(Inputs!$B$9+((C1395=TRUE)*(F1395-Calc!F19))+B1408+(ArtifactsInput!$M$24-ArtifactsInput!$M$24)*CHOOSE(ArtifactsInput!$N$24+1,10,12,14,16,18,20)+(IF(AND(ArtifactsInput!$M$42,((Inputs!$B$9+((C1395=TRUE)*(F1395-Calc!F19))+B1408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386">
        <f>IF(C1386,(0.15*SUMPRODUCT((Skills!U2:U29=TRUE)*(C1378:C1405=TRUE)*S1378:S1405)*Skills!G10*N1386)*IF(Inputs!$B$38="pvp",1,(1+(Inputs!$B$21+Skills!Q10+(IF(ArtifactsInput!$M$33,CHOOSE(ArtifactsInput!$N$33+1,30,36,42,48,54,60),0))+(IF(AND(ArtifactsInput!$M$35,Inputs!$B$4&lt;&gt;"Chapter Hunt"),CHOOSE(ArtifactsInput!$N$35+1,15,18,21,24,27,30)*(1-EXP(-(0.2*B1410)*5)),0)+IF(AND(ArtifactsInput!$M$22,Inputs!$B$4&lt;&gt;"Chapter Hunt"),CHOOSE(ArtifactsInput!$N$22+1,10,12,14,16,18,20)*((0*(((0.15*B1410*5))^0/1)+1*(((0.15*B1410*5))^1/1)+2*(((0.15*B1410*5))^2/2)+3*(((0.15*B1410*5))^3/6)+4*(((0.15*B1410*5))^4/24)+5*(((0.15*B1410*5))^5/120))/((((0.15*B1410*5))^0/1)+(((0.15*B1410*5))^1/1)+(((0.15*B1410*5))^2/2)+(((0.15*B1410*5))^3/6)+(((0.15*B1410*5))^4/24)+(((0.15*B1410*5))^5/120)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387">
      <c r="A1387">
        <f>Skills!A11</f>
        <v/>
      </c>
      <c r="B1387">
        <f>Skills!B11</f>
        <v/>
      </c>
      <c r="C1387">
        <f>Inputs!$B$3&gt;=110</f>
        <v/>
      </c>
      <c r="D1387">
        <f>IF(Skills!C11=1,60+Inputs!$B$25+Inputs!$B$29,IF(Skills!C11=2,90+Inputs!$B$26+Inputs!$B$29,IF(Skills!C11=3,120+Inputs!$B$27+Inputs!$B$29,MAX(0,(Inputs!$B$3-100)*3)+Inputs!$B$28+Inputs!$B$29)))</f>
        <v/>
      </c>
      <c r="E1387">
        <f>INDEX(FactorTable!$B$2:$Y$301, MATCH(ROUND(MIN(300,MAX(1,D1387)),0), FactorTable!$A$2:$A$301,0), Skills!M11+1)</f>
        <v/>
      </c>
      <c r="F1387">
        <f>IF(Skills!N11=TRUE,(Skills!L11/10)*(E1387/1000),Skills!L11/10)+Skills!O11</f>
        <v/>
      </c>
      <c r="G1387">
        <f>Skills!G11*IF(Skills!H11&gt;0,Skills!I11/Skills!H11,1)</f>
        <v/>
      </c>
      <c r="H1387">
        <f>1-(1-Skills!J11/100)^Skills!K11</f>
        <v/>
      </c>
      <c r="I1387" t="inlineStr">
        <is>
          <t>1</t>
        </is>
      </c>
      <c r="J1387">
        <f>((Inputs!$B$6*(1+Inputs!$B$7/100))+(((Inputs!$B$12*(1+Inputs!$B$13/100))-(Inputs!$B$12*(1+Inputs!$B$13/100)))+0.25*(Inputs!$B$14-Inputs!$B$14))*(1+Inputs!$B$7/100))*(F1387/100)</f>
        <v/>
      </c>
      <c r="K1387">
        <f>J1387*(1+((Inputs!$B$12*(1+Inputs!$B$13/100))*0.01+Inputs!$B$14*0.0025)/100)*(1+Inputs!$B$15/100)*(1+Inputs!$B$16/100)*(5000/(6000+Inputs!$B$42*(1-(100*(1-(1-(Inputs!$B$19+0)/100)*(1-CHOOSE(ArtifactsInput!$N$40+1,5,6,7,8,9,10)/100)^(ArtifactsInput!$M$40-ArtifactsInput!$M$40)))/100)))*(1+(Inputs!$B$24+((C1400=TRUE)*(F1400-Calc!F24))+((C1401=TRUE)*(F1401-Calc!F25))+B1414)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11="EMPOWERED_PIERCING_ARROW",Inputs!$B$17+((C1398=TRUE)*(F1398-Calc!F22))+(((IF(AND(ArtifactsInput!$M$42,((Inputs!$B$9+((C1395=TRUE)*(F1395-Calc!F19))+B1408+(ArtifactsInput!$M$24-ArtifactsInput!$M$24)*CHOOSE(ArtifactsInput!$N$24+1,10,12,14,16,18,20)+IF(ArtifactsInput!$M$10,CHOOSE(ArtifactsInput!$N$10+1,15,18,21,24,27,30)*(IF(Inputs!$B$38="pvp",MIN(15,15)/15,IF(AND(Inputs!$B$38&lt;&gt;"pvp",Inputs!$B$43&gt;0),MIN(15,Inputs!$B$43)/(Inputs!$B$43),0))),0)))&gt;=100),MIN(100,((Inputs!$B$9+((C1395=TRUE)*(F1395-Calc!F19))+B1408+(ArtifactsInput!$M$24-ArtifactsInput!$M$24)*CHOOSE(ArtifactsInput!$N$24+1,10,12,14,16,18,20)+IF(ArtifactsInput!$M$10,CHOOSE(ArtifactsInput!$N$10+1,15,18,21,24,27,30)*(IF(Inputs!$B$38="pvp",MIN(15,15)/15,IF(AND(Inputs!$B$38&lt;&gt;"pvp",Inputs!$B$43&gt;0),MIN(15,Inputs!$B$43)/(Inputs!$B$43),0))),0)))-100),0))*CHOOSE(ArtifactsInput!$N$42+1,0.6,0.72,0.84,0.96,1.08,1.2))),Inputs!$B$18+((C1403=TRUE)*(F1403-Calc!F27))+(IF(AND(ArtifactsInput!$M$42,((Inputs!$B$9+((C1395=TRUE)*(F1395-Calc!F19))+B1408+(ArtifactsInput!$M$24-ArtifactsInput!$M$24)*CHOOSE(ArtifactsInput!$N$24+1,10,12,14,16,18,20)+IF(ArtifactsInput!$M$10,CHOOSE(ArtifactsInput!$N$10+1,15,18,21,24,27,30)*(IF(Inputs!$B$38="pvp",MIN(15,15)/15,IF(AND(Inputs!$B$38&lt;&gt;"pvp",Inputs!$B$43&gt;0),MIN(15,Inputs!$B$43)/(Inputs!$B$43),0))),0)))&gt;=100),CHOOSE(ArtifactsInput!$N$42+1,40,48,56,64,72,80),0))))/100)*((1+(((C1389=TRUE)*F1389)+((C1390=TRUE)*IF(Inputs!$B$38="pvp",F1390,(1-Summary!$B$11)*(F1390)+Summary!$B$11*(0)))+((C1391=TRUE)*F1391*IF(AND(Inputs!$B$38&lt;&gt;"pvp",Inputs!$B$43&gt;0),(((R1391-1)*(Skills!T15*(1+Inputs!$B$34/100))+MIN((Skills!T15*(1+Inputs!$B$34/100)),MAX(0,Inputs!$B$43-((R1391-1)*Skills!D15))))/Inputs!$B$43),IF(Inputs!$B$38="pvp",MIN((Skills!T15*(1+Inputs!$B$34/100)),15)/15,(Skills!T15*(1+Inputs!$B$34/100))/Skills!D15)))+((C1388=TRUE)*F1388)+((C1405=TRUE)*(F1405-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1387)</f>
        <v/>
      </c>
      <c r="L1387">
        <f>K1387*(MIN(Inputs!$B$22+((C1399=TRUE)*(F1399-Calc!F23)),(Inputs!$B$23+((C1404=TRUE)*(F1404-Calc!F28))+(IF(ArtifactsInput!$M$15,CHOOSE(ArtifactsInput!$N$15+1,25,30,35,40,45,50)/100*(Inputs!$B$11-Inputs!$B$11),0))))/100+(Inputs!$B$23+((C1404=TRUE)*(F1404-Calc!F28))+(IF(ArtifactsInput!$M$15,CHOOSE(ArtifactsInput!$N$15+1,25,30,35,40,45,50)/100*(Inputs!$B$11-Inputs!$B$11),0)))/100)/2</f>
        <v/>
      </c>
      <c r="M1387">
        <f>L1387*(1+(Inputs!$B$10+0+B1413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387">
        <f>L1387*(1-MIN((Inputs!$B$9+((C1395=TRUE)*(F1395-Calc!F19))+B1408+(ArtifactsInput!$M$24-ArtifactsInput!$M$24)*CHOOSE(ArtifactsInput!$N$24+1,10,12,14,16,18,20)+(IF(AND(ArtifactsInput!$M$42,((Inputs!$B$9+((C1395=TRUE)*(F1395-Calc!F19))+B1408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1387*(MIN((Inputs!$B$9+((C1395=TRUE)*(F1395-Calc!F19))+B1408+(ArtifactsInput!$M$24-ArtifactsInput!$M$24)*CHOOSE(ArtifactsInput!$N$24+1,10,12,14,16,18,20)+(IF(AND(ArtifactsInput!$M$42,((Inputs!$B$9+((C1395=TRUE)*(F1395-Calc!F19))+B1408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387">
        <f>(1-Summary!$B$11)*T1387+Summary!$B$11*V1387</f>
        <v/>
      </c>
      <c r="P1387">
        <f>IF(B1418=0,0,O1387/B1418)</f>
        <v/>
      </c>
      <c r="Q1387">
        <f>IFERROR(1/IF(Inputs!$B$38="pvp",15,MAX(0.1,Skills!D11-IF(Skills!E11=TRUE,Inputs!$B$32,0))),0)</f>
        <v/>
      </c>
      <c r="R1387">
        <f>IF(AND(Inputs!$B$38&lt;&gt;"pvp",Inputs!$B$43&gt;0),IF(MAX(0,Inputs!$B$43-B1415)&lt;=0,0,(INT(MAX(0,Inputs!$B$43-B1415)/IF(Inputs!$B$38="pvp",15,MAX(0.1,Skills!D11-IF(Skills!E11=TRUE,Inputs!$B$32,0))))+1)),0)</f>
        <v/>
      </c>
      <c r="S1387">
        <f>IFERROR((H1387*N1387*IF(AND(Inputs!$B$38&lt;&gt;"pvp",Inputs!$B$43&gt;0),((Skills!G11*((R1387-1)*IF(Skills!H11&gt;0,Skills!I11/Skills!H11,1)+IF(Skills!H11&gt;0,MIN(Skills!I11,MAX(0,MAX(0,Inputs!$B$43-B1415)-((R1387-1)*IF(Inputs!$B$38="pvp",15,MAX(0.1,Skills!D11-IF(Skills!E11=TRUE,Inputs!$B$32,0))))))/Skills!H11,1)))/Inputs!$B$43),G1387*Q1387))/N1387*IF(Inputs!$B$38="pvp",1,(1-Summary!$B$11)*1+Summary!$B$11*(MIN(Skills!R11,Inputs!$B$37))),0)</f>
        <v/>
      </c>
      <c r="T1387">
        <f>IF(C1387,(H1387*N1387*IF(AND(Inputs!$B$38&lt;&gt;"pvp",Inputs!$B$43&gt;0),((Skills!G11*((R1387-1)*IF(Skills!H11&gt;0,Skills!I11/Skills!H11,1)+IF(Skills!H11&gt;0,MIN(Skills!I11,MAX(0,MAX(0,Inputs!$B$43-B1415)-((R1387-1)*IF(Inputs!$B$38="pvp",15,MAX(0.1,Skills!D11-IF(Skills!E11=TRUE,Inputs!$B$32,0))))))/Skills!H11,1)))/Inputs!$B$43),G1387*Q1387))*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Hunt"),CHOOSE(ArtifactsInput!$N$35+1,15,18,21,24,27,30)*(1-EXP(-(0.2*B1410)*5)),0)+IF(AND(ArtifactsInput!$M$22,Inputs!$B$4&lt;&gt;"Chapter Hunt"),CHOOSE(ArtifactsInput!$N$22+1,10,12,14,16,18,20)*((0*(((0.15*B1410*5))^0/1)+1*(((0.15*B1410*5))^1/1)+2*(((0.15*B1410*5))^2/2)+3*(((0.15*B1410*5))^3/6)+4*(((0.15*B1410*5))^4/24)+5*(((0.15*B1410*5))^5/120))/((((0.15*B1410*5))^0/1)+(((0.15*B1410*5))^1/1)+(((0.15*B1410*5))^2/2)+(((0.15*B1410*5))^3/6)+(((0.15*B1410*5))^4/24)+(((0.15*B1410*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1387*(1-MIN(100,(Inputs!$B$9+((C1395=TRUE)*(F1395-Calc!F19))+B1408+(ArtifactsInput!$M$24-ArtifactsInput!$M$24)*CHOOSE(ArtifactsInput!$N$24+1,10,12,14,16,18,20)+(IF(AND(ArtifactsInput!$M$42,((Inputs!$B$9+((C1395=TRUE)*(F1395-Calc!F19))+B1408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IF(ArtifactsInput!$M$8,FALSE,TRUE),Inputs!$B$38&lt;&gt;"pvp"),CHOOSE(ArtifactsInput!$N$8+1,8,9.6,11.2,12.8,14.4,16),0))/100)+M1387*(MIN(100,(Inputs!$B$9+((C1395=TRUE)*(F1395-Calc!F19))+B1408+(ArtifactsInput!$M$24-ArtifactsInput!$M$24)*CHOOSE(ArtifactsInput!$N$24+1,10,12,14,16,18,20)+(IF(AND(ArtifactsInput!$M$42,((Inputs!$B$9+((C1395=TRUE)*(F1395-Calc!F19))+B1408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IF(ArtifactsInput!$M$8,FALSE,TRUE),Inputs!$B$38&lt;&gt;"pvp"),CHOOSE(ArtifactsInput!$N$8+1,8,9.6,11.2,12.8,14.4,16),0))/100))/(L1387*(1-MIN(100,(Inputs!$B$9+((C1395=TRUE)*(F1395-Calc!F19))+B1408+(ArtifactsInput!$M$24-ArtifactsInput!$M$24)*CHOOSE(ArtifactsInput!$N$24+1,10,12,14,16,18,20)+(IF(AND(ArtifactsInput!$M$42,((Inputs!$B$9+((C1395=TRUE)*(F1395-Calc!F19))+B1408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1387*(MIN(100,(Inputs!$B$9+((C1395=TRUE)*(F1395-Calc!F19))+B1408+(ArtifactsInput!$M$24-ArtifactsInput!$M$24)*CHOOSE(ArtifactsInput!$N$24+1,10,12,14,16,18,20)+(IF(AND(ArtifactsInput!$M$42,((Inputs!$B$9+((C1395=TRUE)*(F1395-Calc!F19))+B1408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387">
        <f>IF(C1387,(H1387*N1387*IF(AND(Inputs!$B$38&lt;&gt;"pvp",Inputs!$B$43&gt;0),((Skills!G11*((R1387-1)*IF(Skills!H11&gt;0,Skills!I11/Skills!H11,1)+IF(Skills!H11&gt;0,MIN(Skills!I11,MAX(0,MAX(0,Inputs!$B$43-B1415)-((R1387-1)*IF(Inputs!$B$38="pvp",15,MAX(0.1,Skills!D11-IF(Skills!E11=TRUE,Inputs!$B$32,0))))))/Skills!H11,1)))/Inputs!$B$43),G1387*Q1387))*IF(Inputs!$B$38="pvp",1,(1+(Inputs!$B$21+Skills!Q11+(IF(ArtifactsInput!$M$33,CHOOSE(ArtifactsInput!$N$33+1,30,36,42,48,54,60),0))+(IF(AND(ArtifactsInput!$M$35,Inputs!$B$4&lt;&gt;"Chapter Hunt"),CHOOSE(ArtifactsInput!$N$35+1,15,18,21,24,27,30)*(1-EXP(-(0.2*B1410)*5)),0)+IF(AND(ArtifactsInput!$M$22,Inputs!$B$4&lt;&gt;"Chapter Hunt"),CHOOSE(ArtifactsInput!$N$22+1,10,12,14,16,18,20)*((0*(((0.15*B1410*5))^0/1)+1*(((0.15*B1410*5))^1/1)+2*(((0.15*B1410*5))^2/2)+3*(((0.15*B1410*5))^3/6)+4*(((0.15*B1410*5))^4/24)+5*(((0.15*B1410*5))^5/120))/((((0.15*B1410*5))^0/1)+(((0.15*B1410*5))^1/1)+(((0.15*B1410*5))^2/2)+(((0.15*B1410*5))^3/6)+(((0.15*B1410*5))^4/24)+(((0.15*B1410*5))^5/120))),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388">
      <c r="A1388">
        <f>Skills!A12</f>
        <v/>
      </c>
      <c r="B1388">
        <f>Skills!B12</f>
        <v/>
      </c>
      <c r="C1388">
        <f>Inputs!$B$3&gt;=60</f>
        <v/>
      </c>
      <c r="D1388">
        <f>IF(Skills!C12=1,60+Inputs!$B$25+Inputs!$B$29,IF(Skills!C12=2,90+Inputs!$B$26+Inputs!$B$29,IF(Skills!C12=3,120+Inputs!$B$27+Inputs!$B$29,MAX(0,(Inputs!$B$3-100)*3)+Inputs!$B$28+Inputs!$B$29)))</f>
        <v/>
      </c>
      <c r="E1388">
        <f>INDEX(FactorTable!$B$2:$Y$301, MATCH(ROUND(MIN(300,MAX(1,D1388)),0), FactorTable!$A$2:$A$301,0), Skills!M12+1)</f>
        <v/>
      </c>
      <c r="F1388">
        <f>IF(Skills!N12=TRUE,(Skills!L12/10)*(E1388/1000),Skills!L12/10)+Skills!O12</f>
        <v/>
      </c>
      <c r="G1388">
        <f>Skills!G12*IF(Skills!H12&gt;0,Skills!I12/Skills!H12,1)</f>
        <v/>
      </c>
      <c r="H1388">
        <f>1-(1-Skills!J12/100)^Skills!K12</f>
        <v/>
      </c>
      <c r="I1388" t="inlineStr">
        <is>
          <t>1</t>
        </is>
      </c>
      <c r="J1388" t="inlineStr"/>
      <c r="K1388" t="inlineStr"/>
      <c r="L1388" t="inlineStr"/>
      <c r="M1388" t="inlineStr"/>
      <c r="N1388" t="inlineStr"/>
      <c r="O1388">
        <f>(1-Summary!$B$11)*T1388+Summary!$B$11*V1388</f>
        <v/>
      </c>
      <c r="P1388">
        <f>IF(B1418=0,0,O1388/B1418)</f>
        <v/>
      </c>
      <c r="Q1388" t="n">
        <v>0</v>
      </c>
      <c r="R1388" t="n">
        <v>0</v>
      </c>
      <c r="S1388" t="n">
        <v>0</v>
      </c>
      <c r="T1388" t="n">
        <v>0</v>
      </c>
      <c r="V1388" t="n">
        <v>0</v>
      </c>
    </row>
    <row r="1389">
      <c r="A1389">
        <f>Skills!A13</f>
        <v/>
      </c>
      <c r="B1389">
        <f>Skills!B13</f>
        <v/>
      </c>
      <c r="C1389">
        <f>Inputs!$B$3&gt;=74</f>
        <v/>
      </c>
      <c r="D1389">
        <f>IF(Skills!C13=1,60+Inputs!$B$25+Inputs!$B$29,IF(Skills!C13=2,90+Inputs!$B$26+Inputs!$B$29,IF(Skills!C13=3,120+Inputs!$B$27+Inputs!$B$29,MAX(0,(Inputs!$B$3-100)*3)+Inputs!$B$28+Inputs!$B$29)))</f>
        <v/>
      </c>
      <c r="E1389">
        <f>INDEX(FactorTable!$B$2:$Y$301, MATCH(ROUND(MIN(300,MAX(1,D1389)),0), FactorTable!$A$2:$A$301,0), Skills!M13+1)</f>
        <v/>
      </c>
      <c r="F1389">
        <f>IF(Skills!N13=TRUE,(Skills!L13/10)*(E1389/1000),Skills!L13/10)+Skills!O13</f>
        <v/>
      </c>
      <c r="G1389">
        <f>Skills!G13*IF(Skills!H13&gt;0,Skills!I13/Skills!H13,1)</f>
        <v/>
      </c>
      <c r="H1389">
        <f>1-(1-Skills!J13/100)^Skills!K13</f>
        <v/>
      </c>
      <c r="I1389" t="inlineStr">
        <is>
          <t>1</t>
        </is>
      </c>
      <c r="J1389" t="inlineStr"/>
      <c r="K1389" t="inlineStr"/>
      <c r="L1389" t="inlineStr"/>
      <c r="M1389" t="inlineStr"/>
      <c r="N1389" t="inlineStr"/>
      <c r="O1389">
        <f>(1-Summary!$B$11)*T1389+Summary!$B$11*V1389</f>
        <v/>
      </c>
      <c r="P1389">
        <f>IF(B1418=0,0,O1389/B1418)</f>
        <v/>
      </c>
      <c r="Q1389" t="n">
        <v>0</v>
      </c>
      <c r="R1389" t="n">
        <v>0</v>
      </c>
      <c r="S1389" t="n">
        <v>0</v>
      </c>
      <c r="T1389" t="n">
        <v>0</v>
      </c>
      <c r="V1389" t="n">
        <v>0</v>
      </c>
    </row>
    <row r="1390">
      <c r="A1390">
        <f>Skills!A14</f>
        <v/>
      </c>
      <c r="B1390">
        <f>Skills!B14</f>
        <v/>
      </c>
      <c r="C1390">
        <f>Inputs!$B$3&gt;=74</f>
        <v/>
      </c>
      <c r="D1390">
        <f>IF(Skills!C14=1,60+Inputs!$B$25+Inputs!$B$29,IF(Skills!C14=2,90+Inputs!$B$26+Inputs!$B$29,IF(Skills!C14=3,120+Inputs!$B$27+Inputs!$B$29,MAX(0,(Inputs!$B$3-100)*3)+Inputs!$B$28+Inputs!$B$29)))</f>
        <v/>
      </c>
      <c r="E1390">
        <f>INDEX(FactorTable!$B$2:$Y$301, MATCH(ROUND(MIN(300,MAX(1,D1390)),0), FactorTable!$A$2:$A$301,0), Skills!M14+1)</f>
        <v/>
      </c>
      <c r="F1390">
        <f>IF(Skills!N14=TRUE,(Skills!L14/10)*(E1390/1000),Skills!L14/10)+Skills!O14</f>
        <v/>
      </c>
      <c r="G1390">
        <f>Skills!G14*IF(Skills!H14&gt;0,Skills!I14/Skills!H14,1)</f>
        <v/>
      </c>
      <c r="H1390">
        <f>1-(1-Skills!J14/100)^Skills!K14</f>
        <v/>
      </c>
      <c r="I1390" t="inlineStr">
        <is>
          <t>1</t>
        </is>
      </c>
      <c r="J1390" t="inlineStr"/>
      <c r="K1390" t="inlineStr"/>
      <c r="L1390" t="inlineStr"/>
      <c r="M1390" t="inlineStr"/>
      <c r="N1390" t="inlineStr"/>
      <c r="O1390">
        <f>(1-Summary!$B$11)*T1390+Summary!$B$11*V1390</f>
        <v/>
      </c>
      <c r="P1390">
        <f>IF(B1418=0,0,O1390/B1418)</f>
        <v/>
      </c>
      <c r="Q1390" t="n">
        <v>0</v>
      </c>
      <c r="R1390" t="n">
        <v>0</v>
      </c>
      <c r="S1390" t="n">
        <v>0</v>
      </c>
      <c r="T1390" t="n">
        <v>0</v>
      </c>
      <c r="V1390" t="n">
        <v>0</v>
      </c>
    </row>
    <row r="1391">
      <c r="A1391">
        <f>Skills!A15</f>
        <v/>
      </c>
      <c r="B1391">
        <f>Skills!B15</f>
        <v/>
      </c>
      <c r="C1391">
        <f>Inputs!$B$3&gt;=117</f>
        <v/>
      </c>
      <c r="D1391">
        <f>IF(Skills!C15=1,60+Inputs!$B$25+Inputs!$B$29,IF(Skills!C15=2,90+Inputs!$B$26+Inputs!$B$29,IF(Skills!C15=3,120+Inputs!$B$27+Inputs!$B$29,MAX(0,(Inputs!$B$3-100)*3)+Inputs!$B$28+Inputs!$B$29)))</f>
        <v/>
      </c>
      <c r="E1391">
        <f>INDEX(FactorTable!$B$2:$Y$301, MATCH(ROUND(MIN(300,MAX(1,D1391)),0), FactorTable!$A$2:$A$301,0), Skills!M15+1)</f>
        <v/>
      </c>
      <c r="F1391">
        <f>IF(Skills!N15=TRUE,(Skills!L15/10)*(E1391/1000),Skills!L15/10)+Skills!O15</f>
        <v/>
      </c>
      <c r="G1391">
        <f>Skills!G15*IF(Skills!H15&gt;0,Skills!I15/Skills!H15,1)</f>
        <v/>
      </c>
      <c r="H1391">
        <f>1-(1-Skills!J15/100)^Skills!K15</f>
        <v/>
      </c>
      <c r="I1391" t="inlineStr">
        <is>
          <t>1</t>
        </is>
      </c>
      <c r="J1391" t="inlineStr"/>
      <c r="K1391" t="inlineStr"/>
      <c r="L1391" t="inlineStr"/>
      <c r="M1391" t="inlineStr"/>
      <c r="N1391" t="inlineStr"/>
      <c r="O1391">
        <f>(1-Summary!$B$11)*T1391+Summary!$B$11*V1391</f>
        <v/>
      </c>
      <c r="P1391">
        <f>IF(B1418=0,0,O1391/B1418)</f>
        <v/>
      </c>
      <c r="Q1391">
        <f>IFERROR(1/IF(Inputs!$B$38="pvp",15,MAX(0.1,Skills!D15-IF(Skills!E15=TRUE,Inputs!$B$32,0))),0)</f>
        <v/>
      </c>
      <c r="R1391">
        <f>IF(AND(Inputs!$B$38&lt;&gt;"pvp",Inputs!$B$43&gt;0),IF(Inputs!$B$43&lt;=0,0,(INT(Inputs!$B$43/IF(Inputs!$B$38="pvp",15,MAX(0.1,Skills!D15-IF(Skills!E15=TRUE,Inputs!$B$32,0))))+1)),0)</f>
        <v/>
      </c>
      <c r="S1391" t="n">
        <v>0</v>
      </c>
      <c r="T1391" t="n">
        <v>0</v>
      </c>
      <c r="V1391" t="n">
        <v>0</v>
      </c>
    </row>
    <row r="1392">
      <c r="A1392">
        <f>Skills!A16</f>
        <v/>
      </c>
      <c r="B1392">
        <f>Skills!B16</f>
        <v/>
      </c>
      <c r="C1392">
        <f>Inputs!$B$3&gt;=115</f>
        <v/>
      </c>
      <c r="D1392">
        <f>IF(Skills!C16=1,60+Inputs!$B$25+Inputs!$B$29,IF(Skills!C16=2,90+Inputs!$B$26+Inputs!$B$29,IF(Skills!C16=3,120+Inputs!$B$27+Inputs!$B$29,MAX(0,(Inputs!$B$3-100)*3)+Inputs!$B$28+Inputs!$B$29)))</f>
        <v/>
      </c>
      <c r="E1392">
        <f>INDEX(FactorTable!$B$2:$Y$301, MATCH(ROUND(MIN(300,MAX(1,D1392)),0), FactorTable!$A$2:$A$301,0), Skills!M16+1)</f>
        <v/>
      </c>
      <c r="F1392">
        <f>IF(Skills!N16=TRUE,(Skills!L16/10)*(E1392/1000),Skills!L16/10)+Skills!O16</f>
        <v/>
      </c>
      <c r="G1392">
        <f>Skills!G16*IF(Skills!H16&gt;0,Skills!I16/Skills!H16,1)</f>
        <v/>
      </c>
      <c r="H1392">
        <f>1-(1-Skills!J16/100)^Skills!K16</f>
        <v/>
      </c>
      <c r="I1392" t="inlineStr">
        <is>
          <t>1</t>
        </is>
      </c>
      <c r="J1392" t="inlineStr"/>
      <c r="K1392" t="inlineStr"/>
      <c r="L1392" t="inlineStr"/>
      <c r="M1392" t="inlineStr"/>
      <c r="N1392" t="inlineStr"/>
      <c r="O1392">
        <f>(1-Summary!$B$11)*T1392+Summary!$B$11*V1392</f>
        <v/>
      </c>
      <c r="P1392">
        <f>IF(B1418=0,0,O1392/B1418)</f>
        <v/>
      </c>
      <c r="Q1392">
        <f>IFERROR(1/IF(Inputs!$B$38="pvp",15,MAX(0.1,Skills!D16-IF(Skills!E16=TRUE,Inputs!$B$32,0))),0)</f>
        <v/>
      </c>
      <c r="R1392">
        <f>IF(AND(Inputs!$B$38&lt;&gt;"pvp",Inputs!$B$43&gt;0),IF(Inputs!$B$43&lt;=0,0,(INT(Inputs!$B$43/IF(Inputs!$B$38="pvp",15,MAX(0.1,Skills!D16-IF(Skills!E16=TRUE,Inputs!$B$32,0))))+1)),0)</f>
        <v/>
      </c>
      <c r="S1392" t="n">
        <v>0</v>
      </c>
      <c r="T1392" t="n">
        <v>0</v>
      </c>
      <c r="V1392" t="n">
        <v>0</v>
      </c>
    </row>
    <row r="1393">
      <c r="A1393">
        <f>Skills!A17</f>
        <v/>
      </c>
      <c r="B1393">
        <f>Skills!B17</f>
        <v/>
      </c>
      <c r="C1393">
        <f>Inputs!$B$3&gt;=72</f>
        <v/>
      </c>
      <c r="D1393">
        <f>IF(Skills!C17=1,60+Inputs!$B$25+Inputs!$B$29,IF(Skills!C17=2,90+Inputs!$B$26+Inputs!$B$29,IF(Skills!C17=3,120+Inputs!$B$27+Inputs!$B$29,MAX(0,(Inputs!$B$3-100)*3)+Inputs!$B$28+Inputs!$B$29)))</f>
        <v/>
      </c>
      <c r="E1393">
        <f>INDEX(FactorTable!$B$2:$Y$301, MATCH(ROUND(MIN(300,MAX(1,D1393)),0), FactorTable!$A$2:$A$301,0), Skills!M17+1)</f>
        <v/>
      </c>
      <c r="F1393">
        <f>IF(Skills!N17=TRUE,(Skills!L17/10)*(E1393/1000),Skills!L17/10)+Skills!O17</f>
        <v/>
      </c>
      <c r="G1393">
        <f>Skills!G17*IF(Skills!H17&gt;0,Skills!I17/Skills!H17,1)</f>
        <v/>
      </c>
      <c r="H1393">
        <f>1-(1-Skills!J17/100)^Skills!K17</f>
        <v/>
      </c>
      <c r="I1393" t="inlineStr">
        <is>
          <t>1</t>
        </is>
      </c>
      <c r="J1393" t="inlineStr"/>
      <c r="K1393" t="inlineStr"/>
      <c r="L1393" t="inlineStr"/>
      <c r="M1393" t="inlineStr"/>
      <c r="N1393" t="inlineStr"/>
      <c r="O1393">
        <f>(1-Summary!$B$11)*T1393+Summary!$B$11*V1393</f>
        <v/>
      </c>
      <c r="P1393">
        <f>IF(B1418=0,0,O1393/B1418)</f>
        <v/>
      </c>
      <c r="Q1393" t="n">
        <v>0</v>
      </c>
      <c r="R1393" t="n">
        <v>0</v>
      </c>
      <c r="S1393" t="n">
        <v>0</v>
      </c>
      <c r="T1393" t="n">
        <v>0</v>
      </c>
      <c r="V1393" t="n">
        <v>0</v>
      </c>
    </row>
    <row r="1394">
      <c r="A1394">
        <f>Skills!A18</f>
        <v/>
      </c>
      <c r="B1394">
        <f>Skills!B18</f>
        <v/>
      </c>
      <c r="C1394">
        <f>TRUE</f>
        <v/>
      </c>
      <c r="D1394">
        <f>IF(Skills!C18=1,60+Inputs!$B$25+Inputs!$B$29,IF(Skills!C18=2,90+Inputs!$B$26+Inputs!$B$29,IF(Skills!C18=3,120+Inputs!$B$27+Inputs!$B$29,MAX(0,(Inputs!$B$3-100)*3)+Inputs!$B$28+Inputs!$B$29)))</f>
        <v/>
      </c>
      <c r="E1394">
        <f>INDEX(FactorTable!$B$2:$Y$301, MATCH(ROUND(MIN(300,MAX(1,D1394)),0), FactorTable!$A$2:$A$301,0), Skills!M18+1)</f>
        <v/>
      </c>
      <c r="F1394">
        <f>IF(Skills!N18=TRUE,(Skills!L18/10)*(E1394/1000),Skills!L18/10)+Skills!O18</f>
        <v/>
      </c>
      <c r="G1394">
        <f>Skills!G18*IF(Skills!H18&gt;0,Skills!I18/Skills!H18,1)</f>
        <v/>
      </c>
      <c r="H1394">
        <f>1-(1-Skills!J18/100)^Skills!K18</f>
        <v/>
      </c>
      <c r="I1394" t="inlineStr">
        <is>
          <t>1</t>
        </is>
      </c>
      <c r="J1394" t="inlineStr"/>
      <c r="K1394" t="inlineStr"/>
      <c r="L1394" t="inlineStr"/>
      <c r="M1394" t="inlineStr"/>
      <c r="N1394" t="inlineStr"/>
      <c r="O1394">
        <f>(1-Summary!$B$11)*T1394+Summary!$B$11*V1394</f>
        <v/>
      </c>
      <c r="P1394">
        <f>IF(B1418=0,0,O1394/B1418)</f>
        <v/>
      </c>
      <c r="Q1394">
        <f>IFERROR(1/IF(Inputs!$B$38="pvp",15,MAX(0.1,Skills!D18-IF(Skills!E18=TRUE,Inputs!$B$32,0))),0)</f>
        <v/>
      </c>
      <c r="R1394">
        <f>IF(AND(Inputs!$B$38&lt;&gt;"pvp",Inputs!$B$43&gt;0),IF(Inputs!$B$43&lt;=0,0,(INT(Inputs!$B$43/IF(Inputs!$B$38="pvp",15,MAX(0.1,Skills!D18-IF(Skills!E18=TRUE,Inputs!$B$32,0))))+1)),0)</f>
        <v/>
      </c>
      <c r="S1394" t="n">
        <v>0</v>
      </c>
      <c r="T1394" t="n">
        <v>0</v>
      </c>
      <c r="V1394" t="n">
        <v>0</v>
      </c>
    </row>
    <row r="1395">
      <c r="A1395">
        <f>Skills!A19</f>
        <v/>
      </c>
      <c r="B1395">
        <f>Skills!B19</f>
        <v/>
      </c>
      <c r="C1395">
        <f>Inputs!$B$3&gt;=15</f>
        <v/>
      </c>
      <c r="D1395">
        <f>IF(Skills!C19=1,60+Inputs!$B$25+Inputs!$B$29,IF(Skills!C19=2,90+Inputs!$B$26+Inputs!$B$29,IF(Skills!C19=3,120+Inputs!$B$27+Inputs!$B$29,MAX(0,(Inputs!$B$3-100)*3)+Inputs!$B$28+Inputs!$B$29)))</f>
        <v/>
      </c>
      <c r="E1395">
        <f>INDEX(FactorTable!$B$2:$Y$301, MATCH(ROUND(MIN(300,MAX(1,D1395)),0), FactorTable!$A$2:$A$301,0), Skills!M19+1)</f>
        <v/>
      </c>
      <c r="F1395">
        <f>IF(Skills!N19=TRUE,(Skills!L19/10)*(E1395/1000),Skills!L19/10)+Skills!O19</f>
        <v/>
      </c>
      <c r="G1395">
        <f>Skills!G19*IF(Skills!H19&gt;0,Skills!I19/Skills!H19,1)</f>
        <v/>
      </c>
      <c r="H1395">
        <f>1-(1-Skills!J19/100)^Skills!K19</f>
        <v/>
      </c>
      <c r="I1395" t="inlineStr">
        <is>
          <t>1</t>
        </is>
      </c>
      <c r="J1395" t="inlineStr"/>
      <c r="K1395" t="inlineStr"/>
      <c r="L1395" t="inlineStr"/>
      <c r="M1395" t="inlineStr"/>
      <c r="N1395" t="inlineStr"/>
      <c r="O1395">
        <f>(1-Summary!$B$11)*T1395+Summary!$B$11*V1395</f>
        <v/>
      </c>
      <c r="P1395">
        <f>IF(B1418=0,0,O1395/B1418)</f>
        <v/>
      </c>
      <c r="Q1395" t="n">
        <v>0</v>
      </c>
      <c r="R1395" t="n">
        <v>0</v>
      </c>
      <c r="S1395" t="n">
        <v>0</v>
      </c>
      <c r="T1395" t="n">
        <v>0</v>
      </c>
      <c r="V1395" t="n">
        <v>0</v>
      </c>
    </row>
    <row r="1396">
      <c r="A1396">
        <f>Skills!A20</f>
        <v/>
      </c>
      <c r="B1396">
        <f>Skills!B20</f>
        <v/>
      </c>
      <c r="C1396">
        <f>Inputs!$B$3&gt;=10</f>
        <v/>
      </c>
      <c r="D1396">
        <f>IF(Skills!C20=1,60+Inputs!$B$25+Inputs!$B$29,IF(Skills!C20=2,90+Inputs!$B$26+Inputs!$B$29,IF(Skills!C20=3,120+Inputs!$B$27+Inputs!$B$29,MAX(0,(Inputs!$B$3-100)*3)+Inputs!$B$28+Inputs!$B$29)))</f>
        <v/>
      </c>
      <c r="E1396">
        <f>INDEX(FactorTable!$B$2:$Y$301, MATCH(ROUND(MIN(300,MAX(1,D1396)),0), FactorTable!$A$2:$A$301,0), Skills!M20+1)</f>
        <v/>
      </c>
      <c r="F1396">
        <f>IF(Skills!N20=TRUE,(Skills!L20/10)*(E1396/1000),Skills!L20/10)+Skills!O20</f>
        <v/>
      </c>
      <c r="G1396">
        <f>Skills!G20*IF(Skills!H20&gt;0,Skills!I20/Skills!H20,1)</f>
        <v/>
      </c>
      <c r="H1396">
        <f>1-(1-Skills!J20/100)^Skills!K20</f>
        <v/>
      </c>
      <c r="I1396" t="inlineStr">
        <is>
          <t>1</t>
        </is>
      </c>
      <c r="J1396" t="inlineStr"/>
      <c r="K1396" t="inlineStr"/>
      <c r="L1396" t="inlineStr"/>
      <c r="M1396" t="inlineStr"/>
      <c r="N1396" t="inlineStr"/>
      <c r="O1396">
        <f>(1-Summary!$B$11)*T1396+Summary!$B$11*V1396</f>
        <v/>
      </c>
      <c r="P1396">
        <f>IF(B1418=0,0,O1396/B1418)</f>
        <v/>
      </c>
      <c r="Q1396" t="n">
        <v>0</v>
      </c>
      <c r="R1396" t="n">
        <v>0</v>
      </c>
      <c r="S1396" t="n">
        <v>0</v>
      </c>
      <c r="T1396" t="n">
        <v>0</v>
      </c>
      <c r="V1396" t="n">
        <v>0</v>
      </c>
    </row>
    <row r="1397">
      <c r="A1397">
        <f>Skills!A21</f>
        <v/>
      </c>
      <c r="B1397">
        <f>Skills!B21</f>
        <v/>
      </c>
      <c r="C1397">
        <f>Inputs!$B$3&gt;=33</f>
        <v/>
      </c>
      <c r="D1397">
        <f>IF(Skills!C21=1,60+Inputs!$B$25+Inputs!$B$29,IF(Skills!C21=2,90+Inputs!$B$26+Inputs!$B$29,IF(Skills!C21=3,120+Inputs!$B$27+Inputs!$B$29,MAX(0,(Inputs!$B$3-100)*3)+Inputs!$B$28+Inputs!$B$29)))</f>
        <v/>
      </c>
      <c r="E1397">
        <f>INDEX(FactorTable!$B$2:$Y$301, MATCH(ROUND(MIN(300,MAX(1,D1397)),0), FactorTable!$A$2:$A$301,0), Skills!M21+1)</f>
        <v/>
      </c>
      <c r="F1397">
        <f>IF(Skills!N21=TRUE,(Skills!L21/10)*(E1397/1000),Skills!L21/10)+Skills!O21</f>
        <v/>
      </c>
      <c r="G1397">
        <f>Skills!G21*IF(Skills!H21&gt;0,Skills!I21/Skills!H21,1)</f>
        <v/>
      </c>
      <c r="H1397">
        <f>1-(1-Skills!J21/100)^Skills!K21</f>
        <v/>
      </c>
      <c r="I1397" t="inlineStr">
        <is>
          <t>1</t>
        </is>
      </c>
      <c r="J1397" t="inlineStr"/>
      <c r="K1397" t="inlineStr"/>
      <c r="L1397" t="inlineStr"/>
      <c r="M1397" t="inlineStr"/>
      <c r="N1397" t="inlineStr"/>
      <c r="O1397">
        <f>(1-Summary!$B$11)*T1397+Summary!$B$11*V1397</f>
        <v/>
      </c>
      <c r="P1397">
        <f>IF(B1418=0,0,O1397/B1418)</f>
        <v/>
      </c>
      <c r="Q1397" t="n">
        <v>0</v>
      </c>
      <c r="R1397" t="n">
        <v>0</v>
      </c>
      <c r="S1397" t="n">
        <v>0</v>
      </c>
      <c r="T1397" t="n">
        <v>0</v>
      </c>
      <c r="V1397" t="n">
        <v>0</v>
      </c>
    </row>
    <row r="1398">
      <c r="A1398">
        <f>Skills!A22</f>
        <v/>
      </c>
      <c r="B1398">
        <f>Skills!B22</f>
        <v/>
      </c>
      <c r="C1398">
        <f>Inputs!$B$3&gt;=38</f>
        <v/>
      </c>
      <c r="D1398">
        <f>IF(Skills!C22=1,60+Inputs!$B$25+Inputs!$B$29,IF(Skills!C22=2,90+Inputs!$B$26+Inputs!$B$29,IF(Skills!C22=3,120+Inputs!$B$27+Inputs!$B$29,MAX(0,(Inputs!$B$3-100)*3)+Inputs!$B$28+Inputs!$B$29)))</f>
        <v/>
      </c>
      <c r="E1398">
        <f>INDEX(FactorTable!$B$2:$Y$301, MATCH(ROUND(MIN(300,MAX(1,D1398)),0), FactorTable!$A$2:$A$301,0), Skills!M22+1)</f>
        <v/>
      </c>
      <c r="F1398">
        <f>IF(Skills!N22=TRUE,(Skills!L22/10)*(E1398/1000),Skills!L22/10)+Skills!O22</f>
        <v/>
      </c>
      <c r="G1398">
        <f>Skills!G22*IF(Skills!H22&gt;0,Skills!I22/Skills!H22,1)</f>
        <v/>
      </c>
      <c r="H1398">
        <f>1-(1-Skills!J22/100)^Skills!K22</f>
        <v/>
      </c>
      <c r="I1398" t="inlineStr">
        <is>
          <t>1</t>
        </is>
      </c>
      <c r="J1398" t="inlineStr"/>
      <c r="K1398" t="inlineStr"/>
      <c r="L1398" t="inlineStr"/>
      <c r="M1398" t="inlineStr"/>
      <c r="N1398" t="inlineStr"/>
      <c r="O1398">
        <f>(1-Summary!$B$11)*T1398+Summary!$B$11*V1398</f>
        <v/>
      </c>
      <c r="P1398">
        <f>IF(B1418=0,0,O1398/B1418)</f>
        <v/>
      </c>
      <c r="Q1398" t="n">
        <v>0</v>
      </c>
      <c r="R1398" t="n">
        <v>0</v>
      </c>
      <c r="S1398" t="n">
        <v>0</v>
      </c>
      <c r="T1398" t="n">
        <v>0</v>
      </c>
      <c r="V1398" t="n">
        <v>0</v>
      </c>
    </row>
    <row r="1399">
      <c r="A1399">
        <f>Skills!A23</f>
        <v/>
      </c>
      <c r="B1399">
        <f>Skills!B23</f>
        <v/>
      </c>
      <c r="C1399">
        <f>Inputs!$B$3&gt;=43</f>
        <v/>
      </c>
      <c r="D1399">
        <f>IF(Skills!C23=1,60+Inputs!$B$25+Inputs!$B$29,IF(Skills!C23=2,90+Inputs!$B$26+Inputs!$B$29,IF(Skills!C23=3,120+Inputs!$B$27+Inputs!$B$29,MAX(0,(Inputs!$B$3-100)*3)+Inputs!$B$28+Inputs!$B$29)))</f>
        <v/>
      </c>
      <c r="E1399">
        <f>INDEX(FactorTable!$B$2:$Y$301, MATCH(ROUND(MIN(300,MAX(1,D1399)),0), FactorTable!$A$2:$A$301,0), Skills!M23+1)</f>
        <v/>
      </c>
      <c r="F1399">
        <f>IF(Skills!N23=TRUE,(Skills!L23/10)*(E1399/1000),Skills!L23/10)+Skills!O23</f>
        <v/>
      </c>
      <c r="G1399">
        <f>Skills!G23*IF(Skills!H23&gt;0,Skills!I23/Skills!H23,1)</f>
        <v/>
      </c>
      <c r="H1399">
        <f>1-(1-Skills!J23/100)^Skills!K23</f>
        <v/>
      </c>
      <c r="I1399" t="inlineStr">
        <is>
          <t>1</t>
        </is>
      </c>
      <c r="J1399" t="inlineStr"/>
      <c r="K1399" t="inlineStr"/>
      <c r="L1399" t="inlineStr"/>
      <c r="M1399" t="inlineStr"/>
      <c r="N1399" t="inlineStr"/>
      <c r="O1399">
        <f>(1-Summary!$B$11)*T1399+Summary!$B$11*V1399</f>
        <v/>
      </c>
      <c r="P1399">
        <f>IF(B1418=0,0,O1399/B1418)</f>
        <v/>
      </c>
      <c r="Q1399" t="n">
        <v>0</v>
      </c>
      <c r="R1399" t="n">
        <v>0</v>
      </c>
      <c r="S1399" t="n">
        <v>0</v>
      </c>
      <c r="T1399" t="n">
        <v>0</v>
      </c>
      <c r="V1399" t="n">
        <v>0</v>
      </c>
    </row>
    <row r="1400">
      <c r="A1400">
        <f>Skills!A24</f>
        <v/>
      </c>
      <c r="B1400">
        <f>Skills!B24</f>
        <v/>
      </c>
      <c r="C1400">
        <f>Inputs!$B$3&gt;=75</f>
        <v/>
      </c>
      <c r="D1400">
        <f>IF(Skills!C24=1,60+Inputs!$B$25+Inputs!$B$29,IF(Skills!C24=2,90+Inputs!$B$26+Inputs!$B$29,IF(Skills!C24=3,120+Inputs!$B$27+Inputs!$B$29,MAX(0,(Inputs!$B$3-100)*3)+Inputs!$B$28+Inputs!$B$29)))</f>
        <v/>
      </c>
      <c r="E1400">
        <f>INDEX(FactorTable!$B$2:$Y$301, MATCH(ROUND(MIN(300,MAX(1,D1400)),0), FactorTable!$A$2:$A$301,0), Skills!M24+1)</f>
        <v/>
      </c>
      <c r="F1400">
        <f>IF(Skills!N24=TRUE,(Skills!L24/10)*(E1400/1000),Skills!L24/10)+Skills!O24</f>
        <v/>
      </c>
      <c r="G1400">
        <f>Skills!G24*IF(Skills!H24&gt;0,Skills!I24/Skills!H24,1)</f>
        <v/>
      </c>
      <c r="H1400">
        <f>1-(1-Skills!J24/100)^Skills!K24</f>
        <v/>
      </c>
      <c r="I1400" t="inlineStr">
        <is>
          <t>1</t>
        </is>
      </c>
      <c r="J1400" t="inlineStr"/>
      <c r="K1400" t="inlineStr"/>
      <c r="L1400" t="inlineStr"/>
      <c r="M1400" t="inlineStr"/>
      <c r="N1400" t="inlineStr"/>
      <c r="O1400">
        <f>(1-Summary!$B$11)*T1400+Summary!$B$11*V1400</f>
        <v/>
      </c>
      <c r="P1400">
        <f>IF(B1418=0,0,O1400/B1418)</f>
        <v/>
      </c>
      <c r="Q1400" t="n">
        <v>0</v>
      </c>
      <c r="R1400" t="n">
        <v>0</v>
      </c>
      <c r="S1400" t="n">
        <v>0</v>
      </c>
      <c r="T1400" t="n">
        <v>0</v>
      </c>
      <c r="V1400" t="n">
        <v>0</v>
      </c>
    </row>
    <row r="1401">
      <c r="A1401">
        <f>Skills!A25</f>
        <v/>
      </c>
      <c r="B1401">
        <f>Skills!B25</f>
        <v/>
      </c>
      <c r="C1401">
        <f>Inputs!$B$3&gt;=125</f>
        <v/>
      </c>
      <c r="D1401">
        <f>IF(Skills!C25=1,60+Inputs!$B$25+Inputs!$B$29,IF(Skills!C25=2,90+Inputs!$B$26+Inputs!$B$29,IF(Skills!C25=3,120+Inputs!$B$27+Inputs!$B$29,MAX(0,(Inputs!$B$3-100)*3)+Inputs!$B$28+Inputs!$B$29)))</f>
        <v/>
      </c>
      <c r="E1401">
        <f>INDEX(FactorTable!$B$2:$Y$301, MATCH(ROUND(MIN(300,MAX(1,D1401)),0), FactorTable!$A$2:$A$301,0), Skills!M25+1)</f>
        <v/>
      </c>
      <c r="F1401">
        <f>IF(Skills!N25=TRUE,(Skills!L25/10)*(E1401/1000),Skills!L25/10)+Skills!O25</f>
        <v/>
      </c>
      <c r="G1401">
        <f>Skills!G25*IF(Skills!H25&gt;0,Skills!I25/Skills!H25,1)</f>
        <v/>
      </c>
      <c r="H1401">
        <f>1-(1-Skills!J25/100)^Skills!K25</f>
        <v/>
      </c>
      <c r="I1401" t="inlineStr">
        <is>
          <t>1</t>
        </is>
      </c>
      <c r="J1401" t="inlineStr"/>
      <c r="K1401" t="inlineStr"/>
      <c r="L1401" t="inlineStr"/>
      <c r="M1401" t="inlineStr"/>
      <c r="N1401" t="inlineStr"/>
      <c r="O1401">
        <f>(1-Summary!$B$11)*T1401+Summary!$B$11*V1401</f>
        <v/>
      </c>
      <c r="P1401">
        <f>IF(B1418=0,0,O1401/B1418)</f>
        <v/>
      </c>
      <c r="Q1401" t="n">
        <v>0</v>
      </c>
      <c r="R1401" t="n">
        <v>0</v>
      </c>
      <c r="S1401" t="n">
        <v>0</v>
      </c>
      <c r="T1401" t="n">
        <v>0</v>
      </c>
      <c r="V1401" t="n">
        <v>0</v>
      </c>
    </row>
    <row r="1402">
      <c r="A1402">
        <f>Skills!A26</f>
        <v/>
      </c>
      <c r="B1402">
        <f>Skills!B26</f>
        <v/>
      </c>
      <c r="C1402">
        <f>Inputs!$B$3&gt;=125</f>
        <v/>
      </c>
      <c r="D1402">
        <f>IF(Skills!C26=1,60+Inputs!$B$25+Inputs!$B$29,IF(Skills!C26=2,90+Inputs!$B$26+Inputs!$B$29,IF(Skills!C26=3,120+Inputs!$B$27+Inputs!$B$29,MAX(0,(Inputs!$B$3-100)*3)+Inputs!$B$28+Inputs!$B$29)))</f>
        <v/>
      </c>
      <c r="E1402">
        <f>INDEX(FactorTable!$B$2:$Y$301, MATCH(ROUND(MIN(300,MAX(1,D1402)),0), FactorTable!$A$2:$A$301,0), Skills!M26+1)</f>
        <v/>
      </c>
      <c r="F1402">
        <f>IF(Skills!N26=TRUE,(Skills!L26/10)*(E1402/1000),Skills!L26/10)+Skills!O26</f>
        <v/>
      </c>
      <c r="G1402">
        <f>Skills!G26*IF(Skills!H26&gt;0,Skills!I26/Skills!H26,1)</f>
        <v/>
      </c>
      <c r="H1402">
        <f>1-(1-Skills!J26/100)^Skills!K26</f>
        <v/>
      </c>
      <c r="I1402" t="inlineStr">
        <is>
          <t>1</t>
        </is>
      </c>
      <c r="J1402" t="inlineStr"/>
      <c r="K1402" t="inlineStr"/>
      <c r="L1402" t="inlineStr"/>
      <c r="M1402" t="inlineStr"/>
      <c r="N1402" t="inlineStr"/>
      <c r="O1402">
        <f>(1-Summary!$B$11)*T1402+Summary!$B$11*V1402</f>
        <v/>
      </c>
      <c r="P1402">
        <f>IF(B1418=0,0,O1402/B1418)</f>
        <v/>
      </c>
      <c r="Q1402" t="n">
        <v>0</v>
      </c>
      <c r="R1402" t="n">
        <v>0</v>
      </c>
      <c r="S1402" t="n">
        <v>0</v>
      </c>
      <c r="T1402" t="n">
        <v>0</v>
      </c>
      <c r="V1402" t="n">
        <v>0</v>
      </c>
    </row>
    <row r="1403">
      <c r="A1403">
        <f>Skills!A27</f>
        <v/>
      </c>
      <c r="B1403">
        <f>Skills!B27</f>
        <v/>
      </c>
      <c r="C1403">
        <f>Inputs!$B$3&gt;=120</f>
        <v/>
      </c>
      <c r="D1403">
        <f>IF(Skills!C27=1,60+Inputs!$B$25+Inputs!$B$29,IF(Skills!C27=2,90+Inputs!$B$26+Inputs!$B$29,IF(Skills!C27=3,120+Inputs!$B$27+Inputs!$B$29,MAX(0,(Inputs!$B$3-100)*3)+Inputs!$B$28+Inputs!$B$29)))</f>
        <v/>
      </c>
      <c r="E1403">
        <f>INDEX(FactorTable!$B$2:$Y$301, MATCH(ROUND(MIN(300,MAX(1,D1403)),0), FactorTable!$A$2:$A$301,0), Skills!M27+1)</f>
        <v/>
      </c>
      <c r="F1403">
        <f>IF(Skills!N27=TRUE,(Skills!L27/10)*(E1403/1000),Skills!L27/10)+Skills!O27</f>
        <v/>
      </c>
      <c r="G1403">
        <f>Skills!G27*IF(Skills!H27&gt;0,Skills!I27/Skills!H27,1)</f>
        <v/>
      </c>
      <c r="H1403">
        <f>1-(1-Skills!J27/100)^Skills!K27</f>
        <v/>
      </c>
      <c r="I1403" t="inlineStr">
        <is>
          <t>1</t>
        </is>
      </c>
      <c r="J1403" t="inlineStr"/>
      <c r="K1403" t="inlineStr"/>
      <c r="L1403" t="inlineStr"/>
      <c r="M1403" t="inlineStr"/>
      <c r="N1403" t="inlineStr"/>
      <c r="O1403">
        <f>(1-Summary!$B$11)*T1403+Summary!$B$11*V1403</f>
        <v/>
      </c>
      <c r="P1403">
        <f>IF(B1418=0,0,O1403/B1418)</f>
        <v/>
      </c>
      <c r="Q1403" t="n">
        <v>0</v>
      </c>
      <c r="R1403" t="n">
        <v>0</v>
      </c>
      <c r="S1403" t="n">
        <v>0</v>
      </c>
      <c r="T1403" t="n">
        <v>0</v>
      </c>
      <c r="V1403" t="n">
        <v>0</v>
      </c>
    </row>
    <row r="1404">
      <c r="A1404">
        <f>Skills!A28</f>
        <v/>
      </c>
      <c r="B1404">
        <f>Skills!B28</f>
        <v/>
      </c>
      <c r="C1404">
        <f>Inputs!$B$3&gt;=120</f>
        <v/>
      </c>
      <c r="D1404">
        <f>IF(Skills!C28=1,60+Inputs!$B$25+Inputs!$B$29,IF(Skills!C28=2,90+Inputs!$B$26+Inputs!$B$29,IF(Skills!C28=3,120+Inputs!$B$27+Inputs!$B$29,MAX(0,(Inputs!$B$3-100)*3)+Inputs!$B$28+Inputs!$B$29)))</f>
        <v/>
      </c>
      <c r="E1404">
        <f>INDEX(FactorTable!$B$2:$Y$301, MATCH(ROUND(MIN(300,MAX(1,D1404)),0), FactorTable!$A$2:$A$301,0), Skills!M28+1)</f>
        <v/>
      </c>
      <c r="F1404">
        <f>IF(Skills!N28=TRUE,(Skills!L28/10)*(E1404/1000),Skills!L28/10)+Skills!O28</f>
        <v/>
      </c>
      <c r="G1404">
        <f>Skills!G28*IF(Skills!H28&gt;0,Skills!I28/Skills!H28,1)</f>
        <v/>
      </c>
      <c r="H1404">
        <f>1-(1-Skills!J28/100)^Skills!K28</f>
        <v/>
      </c>
      <c r="I1404" t="inlineStr">
        <is>
          <t>1</t>
        </is>
      </c>
      <c r="J1404" t="inlineStr"/>
      <c r="K1404" t="inlineStr"/>
      <c r="L1404" t="inlineStr"/>
      <c r="M1404" t="inlineStr"/>
      <c r="N1404" t="inlineStr"/>
      <c r="O1404">
        <f>(1-Summary!$B$11)*T1404+Summary!$B$11*V1404</f>
        <v/>
      </c>
      <c r="P1404">
        <f>IF(B1418=0,0,O1404/B1418)</f>
        <v/>
      </c>
      <c r="Q1404" t="n">
        <v>0</v>
      </c>
      <c r="R1404" t="n">
        <v>0</v>
      </c>
      <c r="S1404" t="n">
        <v>0</v>
      </c>
      <c r="T1404" t="n">
        <v>0</v>
      </c>
      <c r="V1404" t="n">
        <v>0</v>
      </c>
    </row>
    <row r="1405">
      <c r="A1405">
        <f>Skills!A29</f>
        <v/>
      </c>
      <c r="B1405">
        <f>Skills!B29</f>
        <v/>
      </c>
      <c r="C1405">
        <f>Inputs!$B$3&gt;=45</f>
        <v/>
      </c>
      <c r="D1405">
        <f>IF(Skills!C29=1,60+Inputs!$B$25+Inputs!$B$29,IF(Skills!C29=2,90+Inputs!$B$26+Inputs!$B$29,IF(Skills!C29=3,120+Inputs!$B$27+Inputs!$B$29,MAX(0,(Inputs!$B$3-100)*3)+Inputs!$B$28+Inputs!$B$29)))</f>
        <v/>
      </c>
      <c r="E1405">
        <f>INDEX(FactorTable!$B$2:$Y$301, MATCH(ROUND(MIN(300,MAX(1,D1405)),0), FactorTable!$A$2:$A$301,0), Skills!M29+1)</f>
        <v/>
      </c>
      <c r="F1405">
        <f>IF(Skills!N29=TRUE,(Skills!L29/10)*(E1405/1000),Skills!L29/10)+Skills!O29</f>
        <v/>
      </c>
      <c r="G1405">
        <f>Skills!G29*IF(Skills!H29&gt;0,Skills!I29/Skills!H29,1)</f>
        <v/>
      </c>
      <c r="H1405">
        <f>1-(1-Skills!J29/100)^Skills!K29</f>
        <v/>
      </c>
      <c r="I1405" t="inlineStr">
        <is>
          <t>1</t>
        </is>
      </c>
      <c r="J1405" t="inlineStr"/>
      <c r="K1405" t="inlineStr"/>
      <c r="L1405" t="inlineStr"/>
      <c r="M1405" t="inlineStr"/>
      <c r="N1405" t="inlineStr"/>
      <c r="O1405">
        <f>(1-Summary!$B$11)*T1405+Summary!$B$11*V1405</f>
        <v/>
      </c>
      <c r="P1405">
        <f>IF(B1418=0,0,O1405/B1418)</f>
        <v/>
      </c>
      <c r="Q1405" t="n">
        <v>0</v>
      </c>
      <c r="R1405" t="n">
        <v>0</v>
      </c>
      <c r="S1405" t="n">
        <v>0</v>
      </c>
      <c r="T1405" t="n">
        <v>0</v>
      </c>
      <c r="V1405" t="n">
        <v>0</v>
      </c>
    </row>
    <row r="1407">
      <c r="A1407" t="inlineStr">
        <is>
          <t>Attack% Bucket Multiplier</t>
        </is>
      </c>
      <c r="B1407">
        <f>(1+(((C1389=TRUE)*F1389)+((C1390=TRUE)*IF(Inputs!$B$38="pvp",F1390,(1-Summary!$B$11)*(F1390)+Summary!$B$11*(0)))+((C1391=TRUE)*F1391*IF(AND(Inputs!$B$38&lt;&gt;"pvp",Inputs!$B$43&gt;0),(((R1391-1)*(Skills!T15*(1+Inputs!$B$34/100))+MIN((Skills!T15*(1+Inputs!$B$34/100)),MAX(0,Inputs!$B$43-((R1391-1)*Skills!D15))))/Inputs!$B$43),IF(Inputs!$B$38="pvp",MIN((Skills!T15*(1+Inputs!$B$34/100)),15)/15,(Skills!T15*(1+Inputs!$B$34/100))/Skills!D15)))+((C1388=TRUE)*F1388)+((C1405=TRUE)*(F1405-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1408">
      <c r="A1408" t="inlineStr">
        <is>
          <t>Global Crit Rate Bonus %</t>
        </is>
      </c>
      <c r="B1408">
        <f>(C1392=TRUE)*20*IF(AND(Inputs!$B$38&lt;&gt;"pvp",Inputs!$B$43&gt;0),(((R1392-1)*(Skills!T16*(1+Inputs!$B$34/100))+MIN((Skills!T16*(1+Inputs!$B$34/100)),MAX(0,Inputs!$B$43-((R1392-1)*Skills!D16))))/Inputs!$B$43),IF(Inputs!$B$38="pvp",MIN((Skills!T16*(1+Inputs!$B$34/100)),15)/15,(Skills!T16*(1+Inputs!$B$34/100))/Skills!D16))</f>
        <v/>
      </c>
    </row>
    <row r="1409">
      <c r="A1409" t="inlineStr">
        <is>
          <t>Attack Speed Buff Bonus %</t>
        </is>
      </c>
      <c r="B1409">
        <f>((C1394=TRUE)*F1394*IF(AND(Inputs!$B$38&lt;&gt;"pvp",Inputs!$B$43&gt;0),(((R1394-1)*(Skills!T18*(1+Inputs!$B$34/100))+MIN((Skills!T18*(1+Inputs!$B$34/100)),MAX(0,Inputs!$B$43-((R1394-1)*Skills!D18))))/Inputs!$B$43),IF(Inputs!$B$38="pvp",MIN((Skills!T18*(1+Inputs!$B$34/100)),15)/15,(Skills!T18*(1+Inputs!$B$34/100))/Skills!D18)))</f>
        <v/>
      </c>
    </row>
    <row r="1410">
      <c r="A1410" t="inlineStr">
        <is>
          <t>Actions Per Second</t>
        </is>
      </c>
      <c r="B1410">
        <f>1+MIN(150,150*(1-(1-(Inputs!$B$11+((C1396=TRUE)*(F1396-Calc!F20))+((C1397=TRUE)*(F1397-Calc!F21)))/150)*(1-B1409/150)))/100</f>
        <v/>
      </c>
    </row>
    <row r="1411">
      <c r="A1411" t="inlineStr">
        <is>
          <t>Skill + Buff Cast Rate</t>
        </is>
      </c>
      <c r="B1411">
        <f>IF(AND(Inputs!$B$38&lt;&gt;"pvp",Inputs!$B$43&gt;0),SUMPRODUCT((Skills!E2:E29=TRUE)*(C1378:C1405=TRUE)*R1378:R1405*Skills!F2:F29)/Inputs!$B$43,SUMPRODUCT((Skills!E2:E29=TRUE)*(C1378:C1405=TRUE)*Q1378:Q1405*Skills!F2:F29))</f>
        <v/>
      </c>
    </row>
    <row r="1412">
      <c r="A1412" t="inlineStr">
        <is>
          <t>Empowered Piercing Arrow Casts Per Second</t>
        </is>
      </c>
      <c r="B1412">
        <f>MAX(0,B1410-B1411)</f>
        <v/>
      </c>
    </row>
    <row r="1413">
      <c r="A1413" t="inlineStr">
        <is>
          <t>Global Critical Damage Bonus % (Sharp Eyes)</t>
        </is>
      </c>
      <c r="B1413">
        <f>(C1392=TRUE)*F1392*IF(AND(Inputs!$B$38&lt;&gt;"pvp",Inputs!$B$43&gt;0),(((R1392-1)*(Skills!T16*(1+Inputs!$B$34/100))+MIN((Skills!T16*(1+Inputs!$B$34/100)),MAX(0,Inputs!$B$43-((R1392-1)*Skills!D16))))/Inputs!$B$43),IF(Inputs!$B$38="pvp",MIN((Skills!T16*(1+Inputs!$B$34/100)),15)/15,(Skills!T16*(1+Inputs!$B$34/100))/Skills!D16))</f>
        <v/>
      </c>
    </row>
    <row r="1414">
      <c r="A1414" t="inlineStr">
        <is>
          <t>Global Final Damage Bonus % (Mortal Blow + Last Man Standing conditional half)</t>
        </is>
      </c>
      <c r="B1414">
        <f>(C1393=TRUE)*F1393+((C1402=TRUE)*IF(Inputs!$B$38="pvp",F1402,(1-Summary!$B$11)*(F1402)+Summary!$B$11*(0)))</f>
        <v/>
      </c>
    </row>
    <row r="1415">
      <c r="A1415" t="inlineStr">
        <is>
          <t>Buff-Casting Startup Delay (s, fixed-duration only)</t>
        </is>
      </c>
      <c r="B1415">
        <f>IF(AND(Inputs!$B$38&lt;&gt;"pvp",Inputs!$B$43&gt;0),SUMPRODUCT((Skills!T2:T29&gt;0)*(Skills!E2:E29=TRUE)*(C1378:C1405=TRUE))/B1410,0)</f>
        <v/>
      </c>
    </row>
    <row r="1416">
      <c r="A1416" t="inlineStr">
        <is>
          <t>Boss-Only Total DPS (this block's swept value)</t>
        </is>
      </c>
      <c r="B1416">
        <f>SUM(T1378:T1405)</f>
        <v/>
      </c>
    </row>
    <row r="1417">
      <c r="A1417" t="inlineStr">
        <is>
          <t>Normal-Only Total DPS (this block's swept value)</t>
        </is>
      </c>
      <c r="B1417">
        <f>SUM(V1378:V1405)</f>
        <v/>
      </c>
    </row>
    <row r="1418">
      <c r="A1418" s="6" t="inlineStr">
        <is>
          <t>TOTAL DPS</t>
        </is>
      </c>
      <c r="B1418" s="6">
        <f>SUM(O1378:O1405)</f>
        <v/>
      </c>
    </row>
    <row r="1421">
      <c r="A1421" s="6" t="inlineStr">
        <is>
          <t>Stat: Rainbow-colored Snail Shell (Equip)</t>
        </is>
      </c>
    </row>
    <row r="1422">
      <c r="A1422" s="5" t="inlineStr">
        <is>
          <t>Key</t>
        </is>
      </c>
      <c r="B1422" s="5" t="inlineStr">
        <is>
          <t>Name</t>
        </is>
      </c>
      <c r="C1422" s="5" t="inlineStr">
        <is>
          <t>Unlocked</t>
        </is>
      </c>
      <c r="D1422" s="5" t="inlineStr">
        <is>
          <t>InputLevel</t>
        </is>
      </c>
      <c r="E1422" s="5" t="inlineStr">
        <is>
          <t>Factor</t>
        </is>
      </c>
      <c r="F1422" s="5" t="inlineStr">
        <is>
          <t>CoefficientPercent</t>
        </is>
      </c>
      <c r="G1422" s="5" t="inlineStr">
        <is>
          <t>EffectiveHits</t>
        </is>
      </c>
      <c r="H1422" s="5" t="inlineStr">
        <is>
          <t>ProcProbability</t>
        </is>
      </c>
      <c r="I1422" s="5" t="inlineStr">
        <is>
          <t>MapleHeroMultiplier</t>
        </is>
      </c>
      <c r="J1422" s="5" t="inlineStr">
        <is>
          <t>BaseDamage</t>
        </is>
      </c>
      <c r="K1422" s="5" t="inlineStr">
        <is>
          <t>BaseHitDamage</t>
        </is>
      </c>
      <c r="L1422" s="5" t="inlineStr">
        <is>
          <t>NonCritAvg</t>
        </is>
      </c>
      <c r="M1422" s="5" t="inlineStr">
        <is>
          <t>CritAvg</t>
        </is>
      </c>
      <c r="N1422" s="5" t="inlineStr">
        <is>
          <t>ExpectedDamage(perHit)</t>
        </is>
      </c>
      <c r="O1422" s="5" t="inlineStr">
        <is>
          <t>DPS</t>
        </is>
      </c>
      <c r="P1422" s="5" t="inlineStr">
        <is>
          <t>% of Total</t>
        </is>
      </c>
      <c r="Q1422" s="5" t="inlineStr">
        <is>
          <t>InvCooldown</t>
        </is>
      </c>
      <c r="R1422" s="5" t="inlineStr">
        <is>
          <t>CastsInFight</t>
        </is>
      </c>
      <c r="S1422" s="5" t="inlineStr">
        <is>
          <t>HitRate(perSec)</t>
        </is>
      </c>
      <c r="U1422" t="inlineStr">
        <is>
          <t>helpers</t>
        </is>
      </c>
    </row>
    <row r="1423">
      <c r="A1423">
        <f>Skills!A2</f>
        <v/>
      </c>
      <c r="B1423">
        <f>Skills!B2</f>
        <v/>
      </c>
      <c r="C1423">
        <f>Inputs!$B$3&gt;=100</f>
        <v/>
      </c>
      <c r="D1423" t="inlineStr"/>
      <c r="E1423" t="inlineStr"/>
      <c r="F1423">
        <f>U1425+Skills!O2</f>
        <v/>
      </c>
      <c r="G1423">
        <f>Skills!G2*IF(Skills!H2&gt;0,Skills!I2/Skills!H2,1)</f>
        <v/>
      </c>
      <c r="H1423">
        <f>1-(1-Skills!J2/100)^Skills!K2</f>
        <v/>
      </c>
      <c r="I1423" t="inlineStr">
        <is>
          <t>1</t>
        </is>
      </c>
      <c r="J1423">
        <f>((Inputs!$B$6*(1+Inputs!$B$7/100))+(((Inputs!$B$12*(1+Inputs!$B$13/100))-(Inputs!$B$12*(1+Inputs!$B$13/100)))+0.25*(Inputs!$B$14-Inputs!$B$14))*(1+Inputs!$B$7/100))*(F1423/100)</f>
        <v/>
      </c>
      <c r="K1423">
        <f>J1423*(1+((Inputs!$B$12*(1+Inputs!$B$13/100))*0.01+Inputs!$B$14*0.0025)/100)*(1+Inputs!$B$15/100)*(1+Inputs!$B$16/100)*(5000/(6000+Inputs!$B$42*(1-(100*(1-(1-(Inputs!$B$19+0)/100)*(1-CHOOSE(ArtifactsInput!$N$40+1,5,6,7,8,9,10)/100)^(ArtifactsInput!$M$40-ArtifactsInput!$M$40)))/100)))*(1+(Inputs!$B$24+((C1445=TRUE)*(F1445-Calc!F24))+((C1446=TRUE)*(F1446-Calc!F25))+B1459)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EMPOWERED_PIERCING_ARROW",Inputs!$B$17+((C1443=TRUE)*(F1443-Calc!F22))+(((IF(AND(ArtifactsInput!$M$42,((Inputs!$B$9+((C1440=TRUE)*(F1440-Calc!F19))+B1453+(ArtifactsInput!$M$24-ArtifactsInput!$M$24)*CHOOSE(ArtifactsInput!$N$24+1,10,12,14,16,18,20)+IF(IF(ArtifactsInput!$M$10,FALSE,TRUE),CHOOSE(ArtifactsInput!$N$10+1,15,18,21,24,27,30)*(IF(Inputs!$B$38="pvp",MIN(15,15)/15,IF(AND(Inputs!$B$38&lt;&gt;"pvp",Inputs!$B$43&gt;0),MIN(15,Inputs!$B$43)/(Inputs!$B$43),0))),0)))&gt;=100),MIN(100,((Inputs!$B$9+((C1440=TRUE)*(F1440-Calc!F19))+B1453+(ArtifactsInput!$M$24-ArtifactsInput!$M$24)*CHOOSE(ArtifactsInput!$N$24+1,10,12,14,16,18,20)+IF(IF(ArtifactsInput!$M$10,FALSE,TRUE),CHOOSE(ArtifactsInput!$N$10+1,15,18,21,24,27,30)*(IF(Inputs!$B$38="pvp",MIN(15,15)/15,IF(AND(Inputs!$B$38&lt;&gt;"pvp",Inputs!$B$43&gt;0),MIN(15,Inputs!$B$43)/(Inputs!$B$43),0))),0)))-100),0))*CHOOSE(ArtifactsInput!$N$42+1,0.6,0.72,0.84,0.96,1.08,1.2))),Inputs!$B$18+((C1448=TRUE)*(F1448-Calc!F27))+(IF(AND(ArtifactsInput!$M$42,((Inputs!$B$9+((C1440=TRUE)*(F1440-Calc!F19))+B1453+(ArtifactsInput!$M$24-ArtifactsInput!$M$24)*CHOOSE(ArtifactsInput!$N$24+1,10,12,14,16,18,20)+IF(IF(ArtifactsInput!$M$10,FALSE,TRUE),CHOOSE(ArtifactsInput!$N$10+1,15,18,21,24,27,30)*(IF(Inputs!$B$38="pvp",MIN(15,15)/15,IF(AND(Inputs!$B$38&lt;&gt;"pvp",Inputs!$B$43&gt;0),MIN(15,Inputs!$B$43)/(Inputs!$B$43),0))),0)))&gt;=100),CHOOSE(ArtifactsInput!$N$42+1,40,48,56,64,72,80),0))))/100)*((1+(((C1434=TRUE)*F1434)+((C1435=TRUE)*IF(Inputs!$B$38="pvp",F1435,(1-Summary!$B$11)*(F1435)+Summary!$B$11*(0)))+((C1436=TRUE)*F1436*IF(AND(Inputs!$B$38&lt;&gt;"pvp",Inputs!$B$43&gt;0),(((R1436-1)*(Skills!T15*(1+Inputs!$B$34/100))+MIN((Skills!T15*(1+Inputs!$B$34/100)),MAX(0,Inputs!$B$43-((R1436-1)*Skills!D15))))/Inputs!$B$43),IF(Inputs!$B$38="pvp",MIN((Skills!T15*(1+Inputs!$B$34/100)),15)/15,(Skills!T15*(1+Inputs!$B$34/100))/Skills!D15)))+((C1433=TRUE)*F1433)+((C1450=TRUE)*(F1450-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1423)</f>
        <v/>
      </c>
      <c r="L1423">
        <f>K1423*(MIN(Inputs!$B$22+((C1444=TRUE)*(F1444-Calc!F23)),(Inputs!$B$23+((C1449=TRUE)*(F1449-Calc!F28))+(IF(ArtifactsInput!$M$15,CHOOSE(ArtifactsInput!$N$15+1,25,30,35,40,45,50)/100*(Inputs!$B$11-Inputs!$B$11),0))))/100+(Inputs!$B$23+((C1449=TRUE)*(F1449-Calc!F28))+(IF(ArtifactsInput!$M$15,CHOOSE(ArtifactsInput!$N$15+1,25,30,35,40,45,50)/100*(Inputs!$B$11-Inputs!$B$11),0)))/100)/2</f>
        <v/>
      </c>
      <c r="M1423">
        <f>L1423*(1+(Inputs!$B$10+0+B1458+(IF(ArtifactsInput!$M$24,CHOOSE(ArtifactsInput!$N$24+1,30,36,42,48,54,60)/100*(Inputs!$B$9-Inputs!$B$9),0)+IF(IF(ArtifactsInput!$M$10,FALSE,TRUE),CHOOSE(ArtifactsInput!$N$10+1,20,24,28,32,36,40)*(IF(Inputs!$B$38="pvp",MIN(15,15)/15,IF(AND(Inputs!$B$38&lt;&gt;"pvp",Inputs!$B$43&gt;0),MIN(15,Inputs!$B$43)/(Inputs!$B$43),0))),0)+IF(ArtifactsInput!$M$31,1.5*CHOOSE(ArtifactsInput!$N$31+1,20,24,28,32,36,40),0)))/100)</f>
        <v/>
      </c>
      <c r="N1423">
        <f>L1423*(1-MIN((Inputs!$B$9+((C1440=TRUE)*(F1440-Calc!F19))+B1453+(ArtifactsInput!$M$24-ArtifactsInput!$M$24)*CHOOSE(ArtifactsInput!$N$24+1,10,12,14,16,18,20)+(IF(AND(ArtifactsInput!$M$42,((Inputs!$B$9+((C1440=TRUE)*(F1440-Calc!F19))+B1453+(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100)+M1423*(MIN((Inputs!$B$9+((C1440=TRUE)*(F1440-Calc!F19))+B1453+(ArtifactsInput!$M$24-ArtifactsInput!$M$24)*CHOOSE(ArtifactsInput!$N$24+1,10,12,14,16,18,20)+(IF(AND(ArtifactsInput!$M$42,((Inputs!$B$9+((C1440=TRUE)*(F1440-Calc!F19))+B1453+(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100)</f>
        <v/>
      </c>
      <c r="O1423">
        <f>(1-Summary!$B$11)*T1423+Summary!$B$11*V1423</f>
        <v/>
      </c>
      <c r="P1423">
        <f>IF(B1463=0,0,O1423/B1463)</f>
        <v/>
      </c>
      <c r="Q1423" t="n">
        <v>0</v>
      </c>
      <c r="R1423" t="n">
        <v>0</v>
      </c>
      <c r="S1423">
        <f>IFERROR((Skills!G2*N1423*B1457)/N1423*IF(Inputs!$B$38="pvp",1,(1-Summary!$B$11)*1+Summary!$B$11*(MIN((6+Inputs!$B$33),Inputs!$B$37))),0)</f>
        <v/>
      </c>
      <c r="T1423">
        <f>IF(C1423,(Skills!G2*N1423*B1457)*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Hunt"),CHOOSE(ArtifactsInput!$N$35+1,15,18,21,24,27,30)*(1-EXP(-(0.2*B1455)*5)),0)+IF(AND(ArtifactsInput!$M$22,Inputs!$B$4&lt;&gt;"Chapter Hunt"),CHOOSE(ArtifactsInput!$N$22+1,10,12,14,16,18,20)*((0*(((0.15*B1455*5))^0/1)+1*(((0.15*B1455*5))^1/1)+2*(((0.15*B1455*5))^2/2)+3*(((0.15*B1455*5))^3/6)+4*(((0.15*B1455*5))^4/24)+5*(((0.15*B1455*5))^5/120))/((((0.15*B1455*5))^0/1)+(((0.15*B1455*5))^1/1)+(((0.15*B1455*5))^2/2)+(((0.15*B1455*5))^3/6)+(((0.15*B1455*5))^4/24)+(((0.15*B1455*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1423*(1-MIN(100,(Inputs!$B$9+((C1440=TRUE)*(F1440-Calc!F19))+B1453+(ArtifactsInput!$M$24-ArtifactsInput!$M$24)*CHOOSE(ArtifactsInput!$N$24+1,10,12,14,16,18,20)+(IF(AND(ArtifactsInput!$M$42,((Inputs!$B$9+((C1440=TRUE)*(F1440-Calc!F19))+B1453+(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IF(AND(ArtifactsInput!$M$8,Inputs!$B$38&lt;&gt;"pvp"),CHOOSE(ArtifactsInput!$N$8+1,8,9.6,11.2,12.8,14.4,16),0))/100)+M1423*(MIN(100,(Inputs!$B$9+((C1440=TRUE)*(F1440-Calc!F19))+B1453+(ArtifactsInput!$M$24-ArtifactsInput!$M$24)*CHOOSE(ArtifactsInput!$N$24+1,10,12,14,16,18,20)+(IF(AND(ArtifactsInput!$M$42,((Inputs!$B$9+((C1440=TRUE)*(F1440-Calc!F19))+B1453+(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IF(AND(ArtifactsInput!$M$8,Inputs!$B$38&lt;&gt;"pvp"),CHOOSE(ArtifactsInput!$N$8+1,8,9.6,11.2,12.8,14.4,16),0))/100))/(L1423*(1-MIN(100,(Inputs!$B$9+((C1440=TRUE)*(F1440-Calc!F19))+B1453+(ArtifactsInput!$M$24-ArtifactsInput!$M$24)*CHOOSE(ArtifactsInput!$N$24+1,10,12,14,16,18,20)+(IF(AND(ArtifactsInput!$M$42,((Inputs!$B$9+((C1440=TRUE)*(F1440-Calc!F19))+B1453+(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M1423*(MIN(100,(Inputs!$B$9+((C1440=TRUE)*(F1440-Calc!F19))+B1453+(ArtifactsInput!$M$24-ArtifactsInput!$M$24)*CHOOSE(ArtifactsInput!$N$24+1,10,12,14,16,18,20)+(IF(AND(ArtifactsInput!$M$42,((Inputs!$B$9+((C1440=TRUE)*(F1440-Calc!F19))+B1453+(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423">
        <f>MAX(0,(Inputs!$B$3-100)*3)+Inputs!$B$28+Inputs!$B$29</f>
        <v/>
      </c>
      <c r="V1423">
        <f>IF(C1423,(Skills!G2*N1423*B1457)*IF(Inputs!$B$38="pvp",1,(1+(Inputs!$B$21+Skills!Q2+(IF(ArtifactsInput!$M$33,CHOOSE(ArtifactsInput!$N$33+1,30,36,42,48,54,60),0))+(IF(AND(ArtifactsInput!$M$35,Inputs!$B$4&lt;&gt;"Chapter Hunt"),CHOOSE(ArtifactsInput!$N$35+1,15,18,21,24,27,30)*(1-EXP(-(0.2*B1455)*5)),0)+IF(AND(ArtifactsInput!$M$22,Inputs!$B$4&lt;&gt;"Chapter Hunt"),CHOOSE(ArtifactsInput!$N$22+1,10,12,14,16,18,20)*((0*(((0.15*B1455*5))^0/1)+1*(((0.15*B1455*5))^1/1)+2*(((0.15*B1455*5))^2/2)+3*(((0.15*B1455*5))^3/6)+4*(((0.15*B1455*5))^4/24)+5*(((0.15*B1455*5))^5/120))/((((0.15*B1455*5))^0/1)+(((0.15*B1455*5))^1/1)+(((0.15*B1455*5))^2/2)+(((0.15*B1455*5))^3/6)+(((0.15*B1455*5))^4/24)+(((0.15*B1455*5))^5/120)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424">
      <c r="A1424">
        <f>Skills!A3</f>
        <v/>
      </c>
      <c r="B1424">
        <f>Skills!B3</f>
        <v/>
      </c>
      <c r="C1424">
        <f>Inputs!$B$3&gt;=50</f>
        <v/>
      </c>
      <c r="D1424">
        <f>IF(Skills!C3=1,60+Inputs!$B$25+Inputs!$B$29,IF(Skills!C3=2,90+Inputs!$B$26+Inputs!$B$29,IF(Skills!C3=3,120+Inputs!$B$27+Inputs!$B$29,MAX(0,(Inputs!$B$3-100)*3)+Inputs!$B$28+Inputs!$B$29)))</f>
        <v/>
      </c>
      <c r="E1424">
        <f>INDEX(FactorTable!$B$2:$Y$301, MATCH(ROUND(MIN(300,MAX(1,D1424)),0), FactorTable!$A$2:$A$301,0), Skills!M3+1)</f>
        <v/>
      </c>
      <c r="F1424">
        <f>IF(Skills!N3=TRUE,(Skills!L3/10)*(E1424/1000),Skills!L3/10)+Skills!O3</f>
        <v/>
      </c>
      <c r="G1424" t="inlineStr"/>
      <c r="H1424" t="inlineStr"/>
      <c r="I1424" t="inlineStr">
        <is>
          <t>1</t>
        </is>
      </c>
      <c r="J1424" t="inlineStr"/>
      <c r="K1424" t="inlineStr"/>
      <c r="L1424" t="inlineStr"/>
      <c r="M1424" t="inlineStr"/>
      <c r="N1424" t="inlineStr"/>
      <c r="O1424" t="inlineStr"/>
      <c r="P1424" t="inlineStr"/>
      <c r="Q1424" t="inlineStr"/>
      <c r="R1424" t="inlineStr"/>
      <c r="S1424" t="inlineStr"/>
      <c r="T1424" t="inlineStr"/>
      <c r="U1424">
        <f>INDEX(FactorTable!$B$2:$Y$301, MATCH(ROUND(MIN(300,MAX(1,U1423)),0), FactorTable!$A$2:$A$301,0), 22)</f>
        <v/>
      </c>
      <c r="V1424" t="inlineStr"/>
    </row>
    <row r="1425">
      <c r="A1425">
        <f>Skills!A4</f>
        <v/>
      </c>
      <c r="B1425">
        <f>Skills!B4</f>
        <v/>
      </c>
      <c r="C1425">
        <f>Inputs!$B$3&gt;=105</f>
        <v/>
      </c>
      <c r="D1425">
        <f>IF(Skills!C4=1,60+Inputs!$B$25+Inputs!$B$29,IF(Skills!C4=2,90+Inputs!$B$26+Inputs!$B$29,IF(Skills!C4=3,120+Inputs!$B$27+Inputs!$B$29,MAX(0,(Inputs!$B$3-100)*3)+Inputs!$B$28+Inputs!$B$29)))</f>
        <v/>
      </c>
      <c r="E1425">
        <f>INDEX(FactorTable!$B$2:$Y$301, MATCH(ROUND(MIN(300,MAX(1,D1425)),0), FactorTable!$A$2:$A$301,0), Skills!M4+1)</f>
        <v/>
      </c>
      <c r="F1425">
        <f>IF(Skills!N4=TRUE,(Skills!L4/10)*(E1425/1000),Skills!L4/10)+Skills!O4</f>
        <v/>
      </c>
      <c r="G1425" t="inlineStr"/>
      <c r="H1425" t="inlineStr"/>
      <c r="I1425" t="inlineStr">
        <is>
          <t>1</t>
        </is>
      </c>
      <c r="J1425" t="inlineStr"/>
      <c r="K1425" t="inlineStr"/>
      <c r="L1425" t="inlineStr"/>
      <c r="M1425" t="inlineStr"/>
      <c r="N1425" t="inlineStr"/>
      <c r="O1425" t="inlineStr"/>
      <c r="P1425" t="inlineStr"/>
      <c r="Q1425" t="inlineStr"/>
      <c r="R1425" t="inlineStr"/>
      <c r="S1425" t="inlineStr"/>
      <c r="T1425" t="inlineStr"/>
      <c r="U1425">
        <f>290*U1424/1000</f>
        <v/>
      </c>
      <c r="V1425" t="inlineStr"/>
    </row>
    <row r="1426">
      <c r="A1426">
        <f>Skills!A5</f>
        <v/>
      </c>
      <c r="B1426">
        <f>Skills!B5</f>
        <v/>
      </c>
      <c r="C1426">
        <f>Inputs!$B$3&gt;=35</f>
        <v/>
      </c>
      <c r="D1426">
        <f>IF(Skills!C5=1,60+Inputs!$B$25+Inputs!$B$29,IF(Skills!C5=2,90+Inputs!$B$26+Inputs!$B$29,IF(Skills!C5=3,120+Inputs!$B$27+Inputs!$B$29,MAX(0,(Inputs!$B$3-100)*3)+Inputs!$B$28+Inputs!$B$29)))</f>
        <v/>
      </c>
      <c r="E1426">
        <f>INDEX(FactorTable!$B$2:$Y$301, MATCH(ROUND(MIN(300,MAX(1,D1426)),0), FactorTable!$A$2:$A$301,0), Skills!M5+1)</f>
        <v/>
      </c>
      <c r="F1426">
        <f>IF(Skills!N5=TRUE,(Skills!L5/10)*(E1426/1000),Skills!L5/10)+Skills!O5</f>
        <v/>
      </c>
      <c r="G1426">
        <f>Skills!G5*IF(Skills!H5&gt;0,Skills!I5/Skills!H5,1)</f>
        <v/>
      </c>
      <c r="H1426">
        <f>1-(1-Skills!J5/100)^Skills!K5</f>
        <v/>
      </c>
      <c r="I1426" t="inlineStr">
        <is>
          <t>1</t>
        </is>
      </c>
      <c r="J1426">
        <f>((Inputs!$B$6*(1+Inputs!$B$7/100))+(((Inputs!$B$12*(1+Inputs!$B$13/100))-(Inputs!$B$12*(1+Inputs!$B$13/100)))+0.25*(Inputs!$B$14-Inputs!$B$14))*(1+Inputs!$B$7/100))*(F1426/100)</f>
        <v/>
      </c>
      <c r="K1426">
        <f>J1426*(1+((Inputs!$B$12*(1+Inputs!$B$13/100))*0.01+Inputs!$B$14*0.0025)/100)*(1+Inputs!$B$15/100)*(1+Inputs!$B$16/100)*(5000/(6000+Inputs!$B$42*(1-(100*(1-(1-(Inputs!$B$19+0)/100)*(1-CHOOSE(ArtifactsInput!$N$40+1,5,6,7,8,9,10)/100)^(ArtifactsInput!$M$40-ArtifactsInput!$M$40)))/100)))*(1+(Inputs!$B$24+((C1445=TRUE)*(F1445-Calc!F24))+((C1446=TRUE)*(F1446-Calc!F25))+B1459)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1429=TRUE,F1429,0)/100)*(1+(IF(Skills!A5="EMPOWERED_PIERCING_ARROW",Inputs!$B$17+((C1443=TRUE)*(F1443-Calc!F22))+(((IF(AND(ArtifactsInput!$M$42,((Inputs!$B$9+((C1440=TRUE)*(F1440-Calc!F19))+B1453+(ArtifactsInput!$M$24-ArtifactsInput!$M$24)*CHOOSE(ArtifactsInput!$N$24+1,10,12,14,16,18,20)+IF(IF(ArtifactsInput!$M$10,FALSE,TRUE),CHOOSE(ArtifactsInput!$N$10+1,15,18,21,24,27,30)*(IF(Inputs!$B$38="pvp",MIN(15,15)/15,IF(AND(Inputs!$B$38&lt;&gt;"pvp",Inputs!$B$43&gt;0),MIN(15,Inputs!$B$43)/(Inputs!$B$43),0))),0)))&gt;=100),MIN(100,((Inputs!$B$9+((C1440=TRUE)*(F1440-Calc!F19))+B1453+(ArtifactsInput!$M$24-ArtifactsInput!$M$24)*CHOOSE(ArtifactsInput!$N$24+1,10,12,14,16,18,20)+IF(IF(ArtifactsInput!$M$10,FALSE,TRUE),CHOOSE(ArtifactsInput!$N$10+1,15,18,21,24,27,30)*(IF(Inputs!$B$38="pvp",MIN(15,15)/15,IF(AND(Inputs!$B$38&lt;&gt;"pvp",Inputs!$B$43&gt;0),MIN(15,Inputs!$B$43)/(Inputs!$B$43),0))),0)))-100),0))*CHOOSE(ArtifactsInput!$N$42+1,0.6,0.72,0.84,0.96,1.08,1.2))),Inputs!$B$18+((C1448=TRUE)*(F1448-Calc!F27))+(IF(AND(ArtifactsInput!$M$42,((Inputs!$B$9+((C1440=TRUE)*(F1440-Calc!F19))+B1453+(ArtifactsInput!$M$24-ArtifactsInput!$M$24)*CHOOSE(ArtifactsInput!$N$24+1,10,12,14,16,18,20)+IF(IF(ArtifactsInput!$M$10,FALSE,TRUE),CHOOSE(ArtifactsInput!$N$10+1,15,18,21,24,27,30)*(IF(Inputs!$B$38="pvp",MIN(15,15)/15,IF(AND(Inputs!$B$38&lt;&gt;"pvp",Inputs!$B$43&gt;0),MIN(15,Inputs!$B$43)/(Inputs!$B$43),0))),0)))&gt;=100),CHOOSE(ArtifactsInput!$N$42+1,40,48,56,64,72,80),0))))/100)*((1+(((C1434=TRUE)*F1434)+((C1435=TRUE)*IF(Inputs!$B$38="pvp",F1435,(1-Summary!$B$11)*(F1435)+Summary!$B$11*(0)))+((C1436=TRUE)*F1436*IF(AND(Inputs!$B$38&lt;&gt;"pvp",Inputs!$B$43&gt;0),(((R1436-1)*(Skills!T15*(1+Inputs!$B$34/100))+MIN((Skills!T15*(1+Inputs!$B$34/100)),MAX(0,Inputs!$B$43-((R1436-1)*Skills!D15))))/Inputs!$B$43),IF(Inputs!$B$38="pvp",MIN((Skills!T15*(1+Inputs!$B$34/100)),15)/15,(Skills!T15*(1+Inputs!$B$34/100))/Skills!D15)))+((C1433=TRUE)*F1433)+((C1450=TRUE)*(F1450-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1426)</f>
        <v/>
      </c>
      <c r="L1426">
        <f>K1426*(MIN(Inputs!$B$22+((C1444=TRUE)*(F1444-Calc!F23)),(Inputs!$B$23+((C1449=TRUE)*(F1449-Calc!F28))+(IF(ArtifactsInput!$M$15,CHOOSE(ArtifactsInput!$N$15+1,25,30,35,40,45,50)/100*(Inputs!$B$11-Inputs!$B$11),0))))/100+(Inputs!$B$23+((C1449=TRUE)*(F1449-Calc!F28))+(IF(ArtifactsInput!$M$15,CHOOSE(ArtifactsInput!$N$15+1,25,30,35,40,45,50)/100*(Inputs!$B$11-Inputs!$B$11),0)))/100)/2</f>
        <v/>
      </c>
      <c r="M1426">
        <f>L1426*(1+(Inputs!$B$10+0+B1458+(IF(ArtifactsInput!$M$24,CHOOSE(ArtifactsInput!$N$24+1,30,36,42,48,54,60)/100*(Inputs!$B$9-Inputs!$B$9),0)+IF(IF(ArtifactsInput!$M$10,FALSE,TRUE),CHOOSE(ArtifactsInput!$N$10+1,20,24,28,32,36,40)*(IF(Inputs!$B$38="pvp",MIN(15,15)/15,IF(AND(Inputs!$B$38&lt;&gt;"pvp",Inputs!$B$43&gt;0),MIN(15,Inputs!$B$43)/(Inputs!$B$43),0))),0)+IF(ArtifactsInput!$M$31,1.5*CHOOSE(ArtifactsInput!$N$31+1,20,24,28,32,36,40),0)))/100)</f>
        <v/>
      </c>
      <c r="N1426">
        <f>L1426*(1-MIN((Inputs!$B$9+((C1440=TRUE)*(F1440-Calc!F19))+B1453+(ArtifactsInput!$M$24-ArtifactsInput!$M$24)*CHOOSE(ArtifactsInput!$N$24+1,10,12,14,16,18,20)+(IF(AND(ArtifactsInput!$M$42,((Inputs!$B$9+((C1440=TRUE)*(F1440-Calc!F19))+B1453+(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100)+M1426*(MIN((Inputs!$B$9+((C1440=TRUE)*(F1440-Calc!F19))+B1453+(ArtifactsInput!$M$24-ArtifactsInput!$M$24)*CHOOSE(ArtifactsInput!$N$24+1,10,12,14,16,18,20)+(IF(AND(ArtifactsInput!$M$42,((Inputs!$B$9+((C1440=TRUE)*(F1440-Calc!F19))+B1453+(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100)</f>
        <v/>
      </c>
      <c r="O1426">
        <f>(1-Summary!$B$11)*T1426+Summary!$B$11*V1426</f>
        <v/>
      </c>
      <c r="P1426">
        <f>IF(B1463=0,0,O1426/B1463)</f>
        <v/>
      </c>
      <c r="Q1426">
        <f>IFERROR(1/IF(Inputs!$B$38="pvp",15,MAX(0.1,Skills!D5-IF(Skills!E5=TRUE,Inputs!$B$32,0))),0)</f>
        <v/>
      </c>
      <c r="R1426">
        <f>IF(AND(Inputs!$B$38&lt;&gt;"pvp",Inputs!$B$43&gt;0),IF(MAX(0,Inputs!$B$43-B1460)&lt;=0,0,(INT(MAX(0,Inputs!$B$43-B1460)/IF(Inputs!$B$38="pvp",15,MAX(0.1,Skills!D5-IF(Skills!E5=TRUE,Inputs!$B$32,0))))+1)),0)</f>
        <v/>
      </c>
      <c r="S1426">
        <f>IFERROR((H1426*N1426*IF(AND(Inputs!$B$38&lt;&gt;"pvp",Inputs!$B$43&gt;0),((Skills!G5*((R1426-1)*IF(Skills!H5&gt;0,Skills!I5/Skills!H5,1)+IF(Skills!H5&gt;0,MIN(Skills!I5,MAX(0,MAX(0,Inputs!$B$43-B1460)-((R1426-1)*IF(Inputs!$B$38="pvp",15,MAX(0.1,Skills!D5-IF(Skills!E5=TRUE,Inputs!$B$32,0))))))/Skills!H5,1)))/Inputs!$B$43),G1426*Q1426))/N1426*IF(Inputs!$B$38="pvp",1,(1-Summary!$B$11)*1+Summary!$B$11*(MIN(Skills!R5,Inputs!$B$37))),0)</f>
        <v/>
      </c>
      <c r="T1426">
        <f>IF(C1426,(H1426*N1426*IF(AND(Inputs!$B$38&lt;&gt;"pvp",Inputs!$B$43&gt;0),((Skills!G5*((R1426-1)*IF(Skills!H5&gt;0,Skills!I5/Skills!H5,1)+IF(Skills!H5&gt;0,MIN(Skills!I5,MAX(0,MAX(0,Inputs!$B$43-B1460)-((R1426-1)*IF(Inputs!$B$38="pvp",15,MAX(0.1,Skills!D5-IF(Skills!E5=TRUE,Inputs!$B$32,0))))))/Skills!H5,1)))/Inputs!$B$43),G1426*Q1426))*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Hunt"),CHOOSE(ArtifactsInput!$N$35+1,15,18,21,24,27,30)*(1-EXP(-(0.2*B1455)*5)),0)+IF(AND(ArtifactsInput!$M$22,Inputs!$B$4&lt;&gt;"Chapter Hunt"),CHOOSE(ArtifactsInput!$N$22+1,10,12,14,16,18,20)*((0*(((0.15*B1455*5))^0/1)+1*(((0.15*B1455*5))^1/1)+2*(((0.15*B1455*5))^2/2)+3*(((0.15*B1455*5))^3/6)+4*(((0.15*B1455*5))^4/24)+5*(((0.15*B1455*5))^5/120))/((((0.15*B1455*5))^0/1)+(((0.15*B1455*5))^1/1)+(((0.15*B1455*5))^2/2)+(((0.15*B1455*5))^3/6)+(((0.15*B1455*5))^4/24)+(((0.15*B1455*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1426*(1-MIN(100,(Inputs!$B$9+((C1440=TRUE)*(F1440-Calc!F19))+B1453+(ArtifactsInput!$M$24-ArtifactsInput!$M$24)*CHOOSE(ArtifactsInput!$N$24+1,10,12,14,16,18,20)+(IF(AND(ArtifactsInput!$M$42,((Inputs!$B$9+((C1440=TRUE)*(F1440-Calc!F19))+B1453+(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IF(AND(ArtifactsInput!$M$8,Inputs!$B$38&lt;&gt;"pvp"),CHOOSE(ArtifactsInput!$N$8+1,8,9.6,11.2,12.8,14.4,16),0))/100)+M1426*(MIN(100,(Inputs!$B$9+((C1440=TRUE)*(F1440-Calc!F19))+B1453+(ArtifactsInput!$M$24-ArtifactsInput!$M$24)*CHOOSE(ArtifactsInput!$N$24+1,10,12,14,16,18,20)+(IF(AND(ArtifactsInput!$M$42,((Inputs!$B$9+((C1440=TRUE)*(F1440-Calc!F19))+B1453+(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IF(AND(ArtifactsInput!$M$8,Inputs!$B$38&lt;&gt;"pvp"),CHOOSE(ArtifactsInput!$N$8+1,8,9.6,11.2,12.8,14.4,16),0))/100))/(L1426*(1-MIN(100,(Inputs!$B$9+((C1440=TRUE)*(F1440-Calc!F19))+B1453+(ArtifactsInput!$M$24-ArtifactsInput!$M$24)*CHOOSE(ArtifactsInput!$N$24+1,10,12,14,16,18,20)+(IF(AND(ArtifactsInput!$M$42,((Inputs!$B$9+((C1440=TRUE)*(F1440-Calc!F19))+B1453+(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M1426*(MIN(100,(Inputs!$B$9+((C1440=TRUE)*(F1440-Calc!F19))+B1453+(ArtifactsInput!$M$24-ArtifactsInput!$M$24)*CHOOSE(ArtifactsInput!$N$24+1,10,12,14,16,18,20)+(IF(AND(ArtifactsInput!$M$42,((Inputs!$B$9+((C1440=TRUE)*(F1440-Calc!F19))+B1453+(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426">
        <f>IF(C1426,(H1426*N1426*IF(AND(Inputs!$B$38&lt;&gt;"pvp",Inputs!$B$43&gt;0),((Skills!G5*((R1426-1)*IF(Skills!H5&gt;0,Skills!I5/Skills!H5,1)+IF(Skills!H5&gt;0,MIN(Skills!I5,MAX(0,MAX(0,Inputs!$B$43-B1460)-((R1426-1)*IF(Inputs!$B$38="pvp",15,MAX(0.1,Skills!D5-IF(Skills!E5=TRUE,Inputs!$B$32,0))))))/Skills!H5,1)))/Inputs!$B$43),G1426*Q1426))*IF(Inputs!$B$38="pvp",1,(1+(Inputs!$B$21+Skills!Q5+(IF(ArtifactsInput!$M$33,CHOOSE(ArtifactsInput!$N$33+1,30,36,42,48,54,60),0))+(IF(AND(ArtifactsInput!$M$35,Inputs!$B$4&lt;&gt;"Chapter Hunt"),CHOOSE(ArtifactsInput!$N$35+1,15,18,21,24,27,30)*(1-EXP(-(0.2*B1455)*5)),0)+IF(AND(ArtifactsInput!$M$22,Inputs!$B$4&lt;&gt;"Chapter Hunt"),CHOOSE(ArtifactsInput!$N$22+1,10,12,14,16,18,20)*((0*(((0.15*B1455*5))^0/1)+1*(((0.15*B1455*5))^1/1)+2*(((0.15*B1455*5))^2/2)+3*(((0.15*B1455*5))^3/6)+4*(((0.15*B1455*5))^4/24)+5*(((0.15*B1455*5))^5/120))/((((0.15*B1455*5))^0/1)+(((0.15*B1455*5))^1/1)+(((0.15*B1455*5))^2/2)+(((0.15*B1455*5))^3/6)+(((0.15*B1455*5))^4/24)+(((0.15*B1455*5))^5/120)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427">
      <c r="A1427">
        <f>Skills!A6</f>
        <v/>
      </c>
      <c r="B1427">
        <f>Skills!B6</f>
        <v/>
      </c>
      <c r="C1427">
        <f>Inputs!$B$3&gt;=63</f>
        <v/>
      </c>
      <c r="D1427">
        <f>IF(Skills!C6=1,60+Inputs!$B$25+Inputs!$B$29,IF(Skills!C6=2,90+Inputs!$B$26+Inputs!$B$29,IF(Skills!C6=3,120+Inputs!$B$27+Inputs!$B$29,MAX(0,(Inputs!$B$3-100)*3)+Inputs!$B$28+Inputs!$B$29)))</f>
        <v/>
      </c>
      <c r="E1427">
        <f>INDEX(FactorTable!$B$2:$Y$301, MATCH(ROUND(MIN(300,MAX(1,D1427)),0), FactorTable!$A$2:$A$301,0), Skills!M6+1)</f>
        <v/>
      </c>
      <c r="F1427">
        <f>IF(Skills!N6=TRUE,(Skills!L6/10)*(E1427/1000),Skills!L6/10)+Skills!O6</f>
        <v/>
      </c>
      <c r="G1427">
        <f>Skills!G6*IF(Skills!H6&gt;0,Skills!I6/Skills!H6,1)</f>
        <v/>
      </c>
      <c r="H1427">
        <f>1-(1-Skills!J6/100)^Skills!K6</f>
        <v/>
      </c>
      <c r="I1427" t="inlineStr">
        <is>
          <t>1</t>
        </is>
      </c>
      <c r="J1427">
        <f>((Inputs!$B$6*(1+Inputs!$B$7/100))+(((Inputs!$B$12*(1+Inputs!$B$13/100))-(Inputs!$B$12*(1+Inputs!$B$13/100)))+0.25*(Inputs!$B$14-Inputs!$B$14))*(1+Inputs!$B$7/100))*(F1427/100)</f>
        <v/>
      </c>
      <c r="K1427">
        <f>J1427*(1+((Inputs!$B$12*(1+Inputs!$B$13/100))*0.01+Inputs!$B$14*0.0025)/100)*(1+Inputs!$B$15/100)*(1+Inputs!$B$16/100)*(5000/(6000+Inputs!$B$42*(1-(100*(1-(1-(Inputs!$B$19+0)/100)*(1-CHOOSE(ArtifactsInput!$N$40+1,5,6,7,8,9,10)/100)^(ArtifactsInput!$M$40-ArtifactsInput!$M$40)))/100)))*(1+(Inputs!$B$24+((C1445=TRUE)*(F1445-Calc!F24))+((C1446=TRUE)*(F1446-Calc!F25))+B1459)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1429=TRUE,F1429,0)/100)*(1+(IF(Skills!A6="EMPOWERED_PIERCING_ARROW",Inputs!$B$17+((C1443=TRUE)*(F1443-Calc!F22))+(((IF(AND(ArtifactsInput!$M$42,((Inputs!$B$9+((C1440=TRUE)*(F1440-Calc!F19))+B1453+(ArtifactsInput!$M$24-ArtifactsInput!$M$24)*CHOOSE(ArtifactsInput!$N$24+1,10,12,14,16,18,20)+IF(IF(ArtifactsInput!$M$10,FALSE,TRUE),CHOOSE(ArtifactsInput!$N$10+1,15,18,21,24,27,30)*(IF(Inputs!$B$38="pvp",MIN(15,15)/15,IF(AND(Inputs!$B$38&lt;&gt;"pvp",Inputs!$B$43&gt;0),MIN(15,Inputs!$B$43)/(Inputs!$B$43),0))),0)))&gt;=100),MIN(100,((Inputs!$B$9+((C1440=TRUE)*(F1440-Calc!F19))+B1453+(ArtifactsInput!$M$24-ArtifactsInput!$M$24)*CHOOSE(ArtifactsInput!$N$24+1,10,12,14,16,18,20)+IF(IF(ArtifactsInput!$M$10,FALSE,TRUE),CHOOSE(ArtifactsInput!$N$10+1,15,18,21,24,27,30)*(IF(Inputs!$B$38="pvp",MIN(15,15)/15,IF(AND(Inputs!$B$38&lt;&gt;"pvp",Inputs!$B$43&gt;0),MIN(15,Inputs!$B$43)/(Inputs!$B$43),0))),0)))-100),0))*CHOOSE(ArtifactsInput!$N$42+1,0.6,0.72,0.84,0.96,1.08,1.2))),Inputs!$B$18+((C1448=TRUE)*(F1448-Calc!F27))+(IF(AND(ArtifactsInput!$M$42,((Inputs!$B$9+((C1440=TRUE)*(F1440-Calc!F19))+B1453+(ArtifactsInput!$M$24-ArtifactsInput!$M$24)*CHOOSE(ArtifactsInput!$N$24+1,10,12,14,16,18,20)+IF(IF(ArtifactsInput!$M$10,FALSE,TRUE),CHOOSE(ArtifactsInput!$N$10+1,15,18,21,24,27,30)*(IF(Inputs!$B$38="pvp",MIN(15,15)/15,IF(AND(Inputs!$B$38&lt;&gt;"pvp",Inputs!$B$43&gt;0),MIN(15,Inputs!$B$43)/(Inputs!$B$43),0))),0)))&gt;=100),CHOOSE(ArtifactsInput!$N$42+1,40,48,56,64,72,80),0))))/100)*((1+(((C1434=TRUE)*F1434)+((C1435=TRUE)*IF(Inputs!$B$38="pvp",F1435,(1-Summary!$B$11)*(F1435)+Summary!$B$11*(0)))+((C1436=TRUE)*F1436*IF(AND(Inputs!$B$38&lt;&gt;"pvp",Inputs!$B$43&gt;0),(((R1436-1)*(Skills!T15*(1+Inputs!$B$34/100))+MIN((Skills!T15*(1+Inputs!$B$34/100)),MAX(0,Inputs!$B$43-((R1436-1)*Skills!D15))))/Inputs!$B$43),IF(Inputs!$B$38="pvp",MIN((Skills!T15*(1+Inputs!$B$34/100)),15)/15,(Skills!T15*(1+Inputs!$B$34/100))/Skills!D15)))+((C1433=TRUE)*F1433)+((C1450=TRUE)*(F1450-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1427)</f>
        <v/>
      </c>
      <c r="L1427">
        <f>K1427*(MIN(Inputs!$B$22+((C1444=TRUE)*(F1444-Calc!F23)),(Inputs!$B$23+((C1449=TRUE)*(F1449-Calc!F28))+(IF(ArtifactsInput!$M$15,CHOOSE(ArtifactsInput!$N$15+1,25,30,35,40,45,50)/100*(Inputs!$B$11-Inputs!$B$11),0))))/100+(Inputs!$B$23+((C1449=TRUE)*(F1449-Calc!F28))+(IF(ArtifactsInput!$M$15,CHOOSE(ArtifactsInput!$N$15+1,25,30,35,40,45,50)/100*(Inputs!$B$11-Inputs!$B$11),0)))/100)/2</f>
        <v/>
      </c>
      <c r="M1427">
        <f>L1427*(1+(Inputs!$B$10+0+B1458+(IF(ArtifactsInput!$M$24,CHOOSE(ArtifactsInput!$N$24+1,30,36,42,48,54,60)/100*(Inputs!$B$9-Inputs!$B$9),0)+IF(IF(ArtifactsInput!$M$10,FALSE,TRUE),CHOOSE(ArtifactsInput!$N$10+1,20,24,28,32,36,40)*(IF(Inputs!$B$38="pvp",MIN(15,15)/15,IF(AND(Inputs!$B$38&lt;&gt;"pvp",Inputs!$B$43&gt;0),MIN(15,Inputs!$B$43)/(Inputs!$B$43),0))),0)+IF(ArtifactsInput!$M$31,1.5*CHOOSE(ArtifactsInput!$N$31+1,20,24,28,32,36,40),0)))/100)</f>
        <v/>
      </c>
      <c r="N1427">
        <f>L1427*(1-MIN((Inputs!$B$9+((C1440=TRUE)*(F1440-Calc!F19))+B1453+(ArtifactsInput!$M$24-ArtifactsInput!$M$24)*CHOOSE(ArtifactsInput!$N$24+1,10,12,14,16,18,20)+(IF(AND(ArtifactsInput!$M$42,((Inputs!$B$9+((C1440=TRUE)*(F1440-Calc!F19))+B1453+(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100)+M1427*(MIN((Inputs!$B$9+((C1440=TRUE)*(F1440-Calc!F19))+B1453+(ArtifactsInput!$M$24-ArtifactsInput!$M$24)*CHOOSE(ArtifactsInput!$N$24+1,10,12,14,16,18,20)+(IF(AND(ArtifactsInput!$M$42,((Inputs!$B$9+((C1440=TRUE)*(F1440-Calc!F19))+B1453+(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100)</f>
        <v/>
      </c>
      <c r="O1427">
        <f>(1-Summary!$B$11)*T1427+Summary!$B$11*V1427</f>
        <v/>
      </c>
      <c r="P1427">
        <f>IF(B1463=0,0,O1427/B1463)</f>
        <v/>
      </c>
      <c r="Q1427">
        <f>IFERROR(1/IF(Inputs!$B$38="pvp",15,MAX(0.1,Skills!D6-IF(Skills!E6=TRUE,Inputs!$B$32,0))),0)</f>
        <v/>
      </c>
      <c r="R1427">
        <f>IF(AND(Inputs!$B$38&lt;&gt;"pvp",Inputs!$B$43&gt;0),IF(MAX(0,Inputs!$B$43-B1460)&lt;=0,0,(INT(MAX(0,Inputs!$B$43-B1460)/IF(Inputs!$B$38="pvp",15,MAX(0.1,Skills!D6-IF(Skills!E6=TRUE,Inputs!$B$32,0))))+1)),0)</f>
        <v/>
      </c>
      <c r="S1427">
        <f>IFERROR((H1427*N1427*IF(AND(Inputs!$B$38&lt;&gt;"pvp",Inputs!$B$43&gt;0),((Skills!G6*((R1427-1)*IF(Skills!H6&gt;0,Skills!I6/Skills!H6,1)+IF(Skills!H6&gt;0,MIN(Skills!I6,MAX(0,MAX(0,Inputs!$B$43-B1460)-((R1427-1)*IF(Inputs!$B$38="pvp",15,MAX(0.1,Skills!D6-IF(Skills!E6=TRUE,Inputs!$B$32,0))))))/Skills!H6,1)))/Inputs!$B$43),G1427*Q1427))/N1427*IF(Inputs!$B$38="pvp",1,(1-Summary!$B$11)*1+Summary!$B$11*(MIN(Skills!R6,Inputs!$B$37))),0)</f>
        <v/>
      </c>
      <c r="T1427">
        <f>IF(C1427,(H1427*N1427*IF(AND(Inputs!$B$38&lt;&gt;"pvp",Inputs!$B$43&gt;0),((Skills!G6*((R1427-1)*IF(Skills!H6&gt;0,Skills!I6/Skills!H6,1)+IF(Skills!H6&gt;0,MIN(Skills!I6,MAX(0,MAX(0,Inputs!$B$43-B1460)-((R1427-1)*IF(Inputs!$B$38="pvp",15,MAX(0.1,Skills!D6-IF(Skills!E6=TRUE,Inputs!$B$32,0))))))/Skills!H6,1)))/Inputs!$B$43),G1427*Q1427))*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Hunt"),CHOOSE(ArtifactsInput!$N$35+1,15,18,21,24,27,30)*(1-EXP(-(0.2*B1455)*5)),0)+IF(AND(ArtifactsInput!$M$22,Inputs!$B$4&lt;&gt;"Chapter Hunt"),CHOOSE(ArtifactsInput!$N$22+1,10,12,14,16,18,20)*((0*(((0.15*B1455*5))^0/1)+1*(((0.15*B1455*5))^1/1)+2*(((0.15*B1455*5))^2/2)+3*(((0.15*B1455*5))^3/6)+4*(((0.15*B1455*5))^4/24)+5*(((0.15*B1455*5))^5/120))/((((0.15*B1455*5))^0/1)+(((0.15*B1455*5))^1/1)+(((0.15*B1455*5))^2/2)+(((0.15*B1455*5))^3/6)+(((0.15*B1455*5))^4/24)+(((0.15*B1455*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1427*(1-MIN(100,(Inputs!$B$9+((C1440=TRUE)*(F1440-Calc!F19))+B1453+(ArtifactsInput!$M$24-ArtifactsInput!$M$24)*CHOOSE(ArtifactsInput!$N$24+1,10,12,14,16,18,20)+(IF(AND(ArtifactsInput!$M$42,((Inputs!$B$9+((C1440=TRUE)*(F1440-Calc!F19))+B1453+(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IF(AND(ArtifactsInput!$M$8,Inputs!$B$38&lt;&gt;"pvp"),CHOOSE(ArtifactsInput!$N$8+1,8,9.6,11.2,12.8,14.4,16),0))/100)+M1427*(MIN(100,(Inputs!$B$9+((C1440=TRUE)*(F1440-Calc!F19))+B1453+(ArtifactsInput!$M$24-ArtifactsInput!$M$24)*CHOOSE(ArtifactsInput!$N$24+1,10,12,14,16,18,20)+(IF(AND(ArtifactsInput!$M$42,((Inputs!$B$9+((C1440=TRUE)*(F1440-Calc!F19))+B1453+(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IF(AND(ArtifactsInput!$M$8,Inputs!$B$38&lt;&gt;"pvp"),CHOOSE(ArtifactsInput!$N$8+1,8,9.6,11.2,12.8,14.4,16),0))/100))/(L1427*(1-MIN(100,(Inputs!$B$9+((C1440=TRUE)*(F1440-Calc!F19))+B1453+(ArtifactsInput!$M$24-ArtifactsInput!$M$24)*CHOOSE(ArtifactsInput!$N$24+1,10,12,14,16,18,20)+(IF(AND(ArtifactsInput!$M$42,((Inputs!$B$9+((C1440=TRUE)*(F1440-Calc!F19))+B1453+(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M1427*(MIN(100,(Inputs!$B$9+((C1440=TRUE)*(F1440-Calc!F19))+B1453+(ArtifactsInput!$M$24-ArtifactsInput!$M$24)*CHOOSE(ArtifactsInput!$N$24+1,10,12,14,16,18,20)+(IF(AND(ArtifactsInput!$M$42,((Inputs!$B$9+((C1440=TRUE)*(F1440-Calc!F19))+B1453+(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427">
        <f>IF(C1427,(H1427*N1427*IF(AND(Inputs!$B$38&lt;&gt;"pvp",Inputs!$B$43&gt;0),((Skills!G6*((R1427-1)*IF(Skills!H6&gt;0,Skills!I6/Skills!H6,1)+IF(Skills!H6&gt;0,MIN(Skills!I6,MAX(0,MAX(0,Inputs!$B$43-B1460)-((R1427-1)*IF(Inputs!$B$38="pvp",15,MAX(0.1,Skills!D6-IF(Skills!E6=TRUE,Inputs!$B$32,0))))))/Skills!H6,1)))/Inputs!$B$43),G1427*Q1427))*IF(Inputs!$B$38="pvp",1,(1+(Inputs!$B$21+Skills!Q6+(IF(ArtifactsInput!$M$33,CHOOSE(ArtifactsInput!$N$33+1,30,36,42,48,54,60),0))+(IF(AND(ArtifactsInput!$M$35,Inputs!$B$4&lt;&gt;"Chapter Hunt"),CHOOSE(ArtifactsInput!$N$35+1,15,18,21,24,27,30)*(1-EXP(-(0.2*B1455)*5)),0)+IF(AND(ArtifactsInput!$M$22,Inputs!$B$4&lt;&gt;"Chapter Hunt"),CHOOSE(ArtifactsInput!$N$22+1,10,12,14,16,18,20)*((0*(((0.15*B1455*5))^0/1)+1*(((0.15*B1455*5))^1/1)+2*(((0.15*B1455*5))^2/2)+3*(((0.15*B1455*5))^3/6)+4*(((0.15*B1455*5))^4/24)+5*(((0.15*B1455*5))^5/120))/((((0.15*B1455*5))^0/1)+(((0.15*B1455*5))^1/1)+(((0.15*B1455*5))^2/2)+(((0.15*B1455*5))^3/6)+(((0.15*B1455*5))^4/24)+(((0.15*B1455*5))^5/120))),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428">
      <c r="A1428">
        <f>Skills!A7</f>
        <v/>
      </c>
      <c r="B1428">
        <f>Skills!B7</f>
        <v/>
      </c>
      <c r="C1428">
        <f>Inputs!$B$3&gt;=69</f>
        <v/>
      </c>
      <c r="D1428">
        <f>IF(Skills!C7=1,60+Inputs!$B$25+Inputs!$B$29,IF(Skills!C7=2,90+Inputs!$B$26+Inputs!$B$29,IF(Skills!C7=3,120+Inputs!$B$27+Inputs!$B$29,MAX(0,(Inputs!$B$3-100)*3)+Inputs!$B$28+Inputs!$B$29)))</f>
        <v/>
      </c>
      <c r="E1428">
        <f>INDEX(FactorTable!$B$2:$Y$301, MATCH(ROUND(MIN(300,MAX(1,D1428)),0), FactorTable!$A$2:$A$301,0), Skills!M7+1)</f>
        <v/>
      </c>
      <c r="F1428">
        <f>IF(Skills!N7=TRUE,(Skills!L7/10)*(E1428/1000),Skills!L7/10)+Skills!O7</f>
        <v/>
      </c>
      <c r="G1428">
        <f>Skills!G7*IF(Skills!H7&gt;0,Skills!I7/Skills!H7,1)</f>
        <v/>
      </c>
      <c r="H1428">
        <f>1-(1-Skills!J7/100)^Skills!K7</f>
        <v/>
      </c>
      <c r="I1428" t="inlineStr">
        <is>
          <t>1</t>
        </is>
      </c>
      <c r="J1428">
        <f>((Inputs!$B$6*(1+Inputs!$B$7/100))+(((Inputs!$B$12*(1+Inputs!$B$13/100))-(Inputs!$B$12*(1+Inputs!$B$13/100)))+0.25*(Inputs!$B$14-Inputs!$B$14))*(1+Inputs!$B$7/100))*(F1428/100)</f>
        <v/>
      </c>
      <c r="K1428">
        <f>J1428*(1+((Inputs!$B$12*(1+Inputs!$B$13/100))*0.01+Inputs!$B$14*0.0025)/100)*(1+Inputs!$B$15/100)*(1+Inputs!$B$16/100)*(5000/(6000+Inputs!$B$42*(1-(100*(1-(1-(Inputs!$B$19+0)/100)*(1-CHOOSE(ArtifactsInput!$N$40+1,5,6,7,8,9,10)/100)^(ArtifactsInput!$M$40-ArtifactsInput!$M$40)))/100)))*(1+(Inputs!$B$24+((C1445=TRUE)*(F1445-Calc!F24))+((C1446=TRUE)*(F1446-Calc!F25))+B1459)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+1.2*IF(C1429=TRUE,F1429,0)/100)*(1+(IF(Skills!A7="EMPOWERED_PIERCING_ARROW",Inputs!$B$17+((C1443=TRUE)*(F1443-Calc!F22))+(((IF(AND(ArtifactsInput!$M$42,((Inputs!$B$9+((C1440=TRUE)*(F1440-Calc!F19))+B1453+(ArtifactsInput!$M$24-ArtifactsInput!$M$24)*CHOOSE(ArtifactsInput!$N$24+1,10,12,14,16,18,20)+IF(IF(ArtifactsInput!$M$10,FALSE,TRUE),CHOOSE(ArtifactsInput!$N$10+1,15,18,21,24,27,30)*(IF(Inputs!$B$38="pvp",MIN(15,15)/15,IF(AND(Inputs!$B$38&lt;&gt;"pvp",Inputs!$B$43&gt;0),MIN(15,Inputs!$B$43)/(Inputs!$B$43),0))),0)))&gt;=100),MIN(100,((Inputs!$B$9+((C1440=TRUE)*(F1440-Calc!F19))+B1453+(ArtifactsInput!$M$24-ArtifactsInput!$M$24)*CHOOSE(ArtifactsInput!$N$24+1,10,12,14,16,18,20)+IF(IF(ArtifactsInput!$M$10,FALSE,TRUE),CHOOSE(ArtifactsInput!$N$10+1,15,18,21,24,27,30)*(IF(Inputs!$B$38="pvp",MIN(15,15)/15,IF(AND(Inputs!$B$38&lt;&gt;"pvp",Inputs!$B$43&gt;0),MIN(15,Inputs!$B$43)/(Inputs!$B$43),0))),0)))-100),0))*CHOOSE(ArtifactsInput!$N$42+1,0.6,0.72,0.84,0.96,1.08,1.2))),Inputs!$B$18+((C1448=TRUE)*(F1448-Calc!F27))+(IF(AND(ArtifactsInput!$M$42,((Inputs!$B$9+((C1440=TRUE)*(F1440-Calc!F19))+B1453+(ArtifactsInput!$M$24-ArtifactsInput!$M$24)*CHOOSE(ArtifactsInput!$N$24+1,10,12,14,16,18,20)+IF(IF(ArtifactsInput!$M$10,FALSE,TRUE),CHOOSE(ArtifactsInput!$N$10+1,15,18,21,24,27,30)*(IF(Inputs!$B$38="pvp",MIN(15,15)/15,IF(AND(Inputs!$B$38&lt;&gt;"pvp",Inputs!$B$43&gt;0),MIN(15,Inputs!$B$43)/(Inputs!$B$43),0))),0)))&gt;=100),CHOOSE(ArtifactsInput!$N$42+1,40,48,56,64,72,80),0))))/100)*((1+(((C1434=TRUE)*F1434)+((C1435=TRUE)*IF(Inputs!$B$38="pvp",F1435,(1-Summary!$B$11)*(F1435)+Summary!$B$11*(0)))+((C1436=TRUE)*F1436*IF(AND(Inputs!$B$38&lt;&gt;"pvp",Inputs!$B$43&gt;0),(((R1436-1)*(Skills!T15*(1+Inputs!$B$34/100))+MIN((Skills!T15*(1+Inputs!$B$34/100)),MAX(0,Inputs!$B$43-((R1436-1)*Skills!D15))))/Inputs!$B$43),IF(Inputs!$B$38="pvp",MIN((Skills!T15*(1+Inputs!$B$34/100)),15)/15,(Skills!T15*(1+Inputs!$B$34/100))/Skills!D15)))+((C1433=TRUE)*F1433)+((C1450=TRUE)*(F1450-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1428)</f>
        <v/>
      </c>
      <c r="L1428">
        <f>K1428*(MIN(Inputs!$B$22+((C1444=TRUE)*(F1444-Calc!F23)),(Inputs!$B$23+((C1449=TRUE)*(F1449-Calc!F28))+(IF(ArtifactsInput!$M$15,CHOOSE(ArtifactsInput!$N$15+1,25,30,35,40,45,50)/100*(Inputs!$B$11-Inputs!$B$11),0))))/100+(Inputs!$B$23+((C1449=TRUE)*(F1449-Calc!F28))+(IF(ArtifactsInput!$M$15,CHOOSE(ArtifactsInput!$N$15+1,25,30,35,40,45,50)/100*(Inputs!$B$11-Inputs!$B$11),0)))/100)/2</f>
        <v/>
      </c>
      <c r="M1428">
        <f>L1428*(1+(Inputs!$B$10+0+B1458+(IF(ArtifactsInput!$M$24,CHOOSE(ArtifactsInput!$N$24+1,30,36,42,48,54,60)/100*(Inputs!$B$9-Inputs!$B$9),0)+IF(IF(ArtifactsInput!$M$10,FALSE,TRUE),CHOOSE(ArtifactsInput!$N$10+1,20,24,28,32,36,40)*(IF(Inputs!$B$38="pvp",MIN(15,15)/15,IF(AND(Inputs!$B$38&lt;&gt;"pvp",Inputs!$B$43&gt;0),MIN(15,Inputs!$B$43)/(Inputs!$B$43),0))),0)+IF(ArtifactsInput!$M$31,1.5*CHOOSE(ArtifactsInput!$N$31+1,20,24,28,32,36,40),0)))/100)</f>
        <v/>
      </c>
      <c r="N1428">
        <f>L1428*(1-MIN((Inputs!$B$9+((C1440=TRUE)*(F1440-Calc!F19))+B1453+(ArtifactsInput!$M$24-ArtifactsInput!$M$24)*CHOOSE(ArtifactsInput!$N$24+1,10,12,14,16,18,20)+(IF(AND(ArtifactsInput!$M$42,((Inputs!$B$9+((C1440=TRUE)*(F1440-Calc!F19))+B1453+(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100)+M1428*(MIN((Inputs!$B$9+((C1440=TRUE)*(F1440-Calc!F19))+B1453+(ArtifactsInput!$M$24-ArtifactsInput!$M$24)*CHOOSE(ArtifactsInput!$N$24+1,10,12,14,16,18,20)+(IF(AND(ArtifactsInput!$M$42,((Inputs!$B$9+((C1440=TRUE)*(F1440-Calc!F19))+B1453+(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100)</f>
        <v/>
      </c>
      <c r="O1428">
        <f>(1-Summary!$B$11)*T1428+Summary!$B$11*V1428</f>
        <v/>
      </c>
      <c r="P1428">
        <f>IF(B1463=0,0,O1428/B1463)</f>
        <v/>
      </c>
      <c r="Q1428">
        <f>IFERROR(1/IF(Inputs!$B$38="pvp",15,MAX(0.1,Skills!D7-IF(Skills!E7=TRUE,Inputs!$B$32,0))),0)</f>
        <v/>
      </c>
      <c r="R1428">
        <f>IF(AND(Inputs!$B$38&lt;&gt;"pvp",Inputs!$B$43&gt;0),IF(MAX(0,Inputs!$B$43-B1460)&lt;=0,0,(INT(MAX(0,Inputs!$B$43-B1460)/IF(Inputs!$B$38="pvp",15,MAX(0.1,Skills!D7-IF(Skills!E7=TRUE,Inputs!$B$32,0))))+1)),0)</f>
        <v/>
      </c>
      <c r="S1428">
        <f>IFERROR((H1428*N1428*IF(AND(Inputs!$B$38&lt;&gt;"pvp",Inputs!$B$43&gt;0),((Skills!G7*((R1428-1)*IF(Skills!H7&gt;0,Skills!I7/Skills!H7,1)+IF(Skills!H7&gt;0,MIN(Skills!I7,MAX(0,MAX(0,Inputs!$B$43-B1460)-((R1428-1)*IF(Inputs!$B$38="pvp",15,MAX(0.1,Skills!D7-IF(Skills!E7=TRUE,Inputs!$B$32,0))))))/Skills!H7,1)))/Inputs!$B$43),G1428*Q1428))/N1428*IF(Inputs!$B$38="pvp",1,(1-Summary!$B$11)*1+Summary!$B$11*(MIN(Skills!R7,Inputs!$B$37))),0)</f>
        <v/>
      </c>
      <c r="T1428">
        <f>IF(C1428,(H1428*N1428*IF(AND(Inputs!$B$38&lt;&gt;"pvp",Inputs!$B$43&gt;0),((Skills!G7*((R1428-1)*IF(Skills!H7&gt;0,Skills!I7/Skills!H7,1)+IF(Skills!H7&gt;0,MIN(Skills!I7,MAX(0,MAX(0,Inputs!$B$43-B1460)-((R1428-1)*IF(Inputs!$B$38="pvp",15,MAX(0.1,Skills!D7-IF(Skills!E7=TRUE,Inputs!$B$32,0))))))/Skills!H7,1)))/Inputs!$B$43),G1428*Q1428))*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Hunt"),CHOOSE(ArtifactsInput!$N$35+1,15,18,21,24,27,30)*(1-EXP(-(0.2*B1455)*5)),0)+IF(AND(ArtifactsInput!$M$22,Inputs!$B$4&lt;&gt;"Chapter Hunt"),CHOOSE(ArtifactsInput!$N$22+1,10,12,14,16,18,20)*((0*(((0.15*B1455*5))^0/1)+1*(((0.15*B1455*5))^1/1)+2*(((0.15*B1455*5))^2/2)+3*(((0.15*B1455*5))^3/6)+4*(((0.15*B1455*5))^4/24)+5*(((0.15*B1455*5))^5/120))/((((0.15*B1455*5))^0/1)+(((0.15*B1455*5))^1/1)+(((0.15*B1455*5))^2/2)+(((0.15*B1455*5))^3/6)+(((0.15*B1455*5))^4/24)+(((0.15*B1455*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1428*(1-MIN(100,(Inputs!$B$9+((C1440=TRUE)*(F1440-Calc!F19))+B1453+(ArtifactsInput!$M$24-ArtifactsInput!$M$24)*CHOOSE(ArtifactsInput!$N$24+1,10,12,14,16,18,20)+(IF(AND(ArtifactsInput!$M$42,((Inputs!$B$9+((C1440=TRUE)*(F1440-Calc!F19))+B1453+(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IF(AND(ArtifactsInput!$M$8,Inputs!$B$38&lt;&gt;"pvp"),CHOOSE(ArtifactsInput!$N$8+1,8,9.6,11.2,12.8,14.4,16),0))/100)+M1428*(MIN(100,(Inputs!$B$9+((C1440=TRUE)*(F1440-Calc!F19))+B1453+(ArtifactsInput!$M$24-ArtifactsInput!$M$24)*CHOOSE(ArtifactsInput!$N$24+1,10,12,14,16,18,20)+(IF(AND(ArtifactsInput!$M$42,((Inputs!$B$9+((C1440=TRUE)*(F1440-Calc!F19))+B1453+(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IF(AND(ArtifactsInput!$M$8,Inputs!$B$38&lt;&gt;"pvp"),CHOOSE(ArtifactsInput!$N$8+1,8,9.6,11.2,12.8,14.4,16),0))/100))/(L1428*(1-MIN(100,(Inputs!$B$9+((C1440=TRUE)*(F1440-Calc!F19))+B1453+(ArtifactsInput!$M$24-ArtifactsInput!$M$24)*CHOOSE(ArtifactsInput!$N$24+1,10,12,14,16,18,20)+(IF(AND(ArtifactsInput!$M$42,((Inputs!$B$9+((C1440=TRUE)*(F1440-Calc!F19))+B1453+(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M1428*(MIN(100,(Inputs!$B$9+((C1440=TRUE)*(F1440-Calc!F19))+B1453+(ArtifactsInput!$M$24-ArtifactsInput!$M$24)*CHOOSE(ArtifactsInput!$N$24+1,10,12,14,16,18,20)+(IF(AND(ArtifactsInput!$M$42,((Inputs!$B$9+((C1440=TRUE)*(F1440-Calc!F19))+B1453+(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428">
        <f>IF(C1428,(H1428*N1428*IF(AND(Inputs!$B$38&lt;&gt;"pvp",Inputs!$B$43&gt;0),((Skills!G7*((R1428-1)*IF(Skills!H7&gt;0,Skills!I7/Skills!H7,1)+IF(Skills!H7&gt;0,MIN(Skills!I7,MAX(0,MAX(0,Inputs!$B$43-B1460)-((R1428-1)*IF(Inputs!$B$38="pvp",15,MAX(0.1,Skills!D7-IF(Skills!E7=TRUE,Inputs!$B$32,0))))))/Skills!H7,1)))/Inputs!$B$43),G1428*Q1428))*IF(Inputs!$B$38="pvp",1,(1+(Inputs!$B$21+Skills!Q7+(IF(ArtifactsInput!$M$33,CHOOSE(ArtifactsInput!$N$33+1,30,36,42,48,54,60),0))+(IF(AND(ArtifactsInput!$M$35,Inputs!$B$4&lt;&gt;"Chapter Hunt"),CHOOSE(ArtifactsInput!$N$35+1,15,18,21,24,27,30)*(1-EXP(-(0.2*B1455)*5)),0)+IF(AND(ArtifactsInput!$M$22,Inputs!$B$4&lt;&gt;"Chapter Hunt"),CHOOSE(ArtifactsInput!$N$22+1,10,12,14,16,18,20)*((0*(((0.15*B1455*5))^0/1)+1*(((0.15*B1455*5))^1/1)+2*(((0.15*B1455*5))^2/2)+3*(((0.15*B1455*5))^3/6)+4*(((0.15*B1455*5))^4/24)+5*(((0.15*B1455*5))^5/120))/((((0.15*B1455*5))^0/1)+(((0.15*B1455*5))^1/1)+(((0.15*B1455*5))^2/2)+(((0.15*B1455*5))^3/6)+(((0.15*B1455*5))^4/24)+(((0.15*B1455*5))^5/120))),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429">
      <c r="A1429">
        <f>Skills!A8</f>
        <v/>
      </c>
      <c r="B1429">
        <f>Skills!B8</f>
        <v/>
      </c>
      <c r="C1429">
        <f>Inputs!$B$3&gt;=100</f>
        <v/>
      </c>
      <c r="D1429">
        <f>IF(Skills!C8=1,60+Inputs!$B$25+Inputs!$B$29,IF(Skills!C8=2,90+Inputs!$B$26+Inputs!$B$29,IF(Skills!C8=3,120+Inputs!$B$27+Inputs!$B$29,MAX(0,(Inputs!$B$3-100)*3)+Inputs!$B$28+Inputs!$B$29)))</f>
        <v/>
      </c>
      <c r="E1429">
        <f>INDEX(FactorTable!$B$2:$Y$301, MATCH(ROUND(MIN(300,MAX(1,D1429)),0), FactorTable!$A$2:$A$301,0), Skills!M8+1)</f>
        <v/>
      </c>
      <c r="F1429">
        <f>IF(Skills!N8=TRUE,(Skills!L8/10)*(E1429/1000),Skills!L8/10)+Skills!O8</f>
        <v/>
      </c>
      <c r="G1429" t="inlineStr"/>
      <c r="H1429" t="inlineStr"/>
      <c r="I1429" t="inlineStr">
        <is>
          <t>1</t>
        </is>
      </c>
      <c r="J1429" t="inlineStr"/>
      <c r="K1429" t="inlineStr"/>
      <c r="L1429" t="inlineStr"/>
      <c r="M1429" t="inlineStr"/>
      <c r="N1429" t="inlineStr"/>
      <c r="O1429" t="inlineStr"/>
      <c r="P1429" t="inlineStr"/>
      <c r="Q1429" t="inlineStr"/>
      <c r="R1429" t="inlineStr"/>
      <c r="S1429" t="inlineStr"/>
      <c r="T1429" t="inlineStr"/>
      <c r="V1429" t="inlineStr"/>
    </row>
    <row r="1430">
      <c r="A1430">
        <f>Skills!A9</f>
        <v/>
      </c>
      <c r="B1430">
        <f>Skills!B9</f>
        <v/>
      </c>
      <c r="C1430">
        <f>Inputs!$B$3&gt;=103</f>
        <v/>
      </c>
      <c r="D1430">
        <f>IF(Skills!C9=1,60+Inputs!$B$25+Inputs!$B$29,IF(Skills!C9=2,90+Inputs!$B$26+Inputs!$B$29,IF(Skills!C9=3,120+Inputs!$B$27+Inputs!$B$29,MAX(0,(Inputs!$B$3-100)*3)+Inputs!$B$28+Inputs!$B$29)))</f>
        <v/>
      </c>
      <c r="E1430">
        <f>INDEX(FactorTable!$B$2:$Y$301, MATCH(ROUND(MIN(300,MAX(1,D1430)),0), FactorTable!$A$2:$A$301,0), Skills!M9+1)</f>
        <v/>
      </c>
      <c r="F1430">
        <f>IF(Skills!N9=TRUE,(Skills!L9/10)*(E1430/1000),Skills!L9/10)+Skills!O9</f>
        <v/>
      </c>
      <c r="G1430">
        <f>Skills!G9*IF(Skills!H9&gt;0,Skills!I9/Skills!H9,1)</f>
        <v/>
      </c>
      <c r="H1430">
        <f>1-(1-Skills!J9/100)^Skills!K9</f>
        <v/>
      </c>
      <c r="I1430" t="inlineStr">
        <is>
          <t>1</t>
        </is>
      </c>
      <c r="J1430">
        <f>((Inputs!$B$6*(1+Inputs!$B$7/100))+(((Inputs!$B$12*(1+Inputs!$B$13/100))-(Inputs!$B$12*(1+Inputs!$B$13/100)))+0.25*(Inputs!$B$14-Inputs!$B$14))*(1+Inputs!$B$7/100))*(F1430/100)</f>
        <v/>
      </c>
      <c r="K1430">
        <f>J1430*(1+((Inputs!$B$12*(1+Inputs!$B$13/100))*0.01+Inputs!$B$14*0.0025)/100)*(1+Inputs!$B$15/100)*(1+Inputs!$B$16/100)*(5000/(6000+Inputs!$B$42*(1-(100*(1-(1-(Inputs!$B$19+0)/100)*(1-CHOOSE(ArtifactsInput!$N$40+1,5,6,7,8,9,10)/100)^(ArtifactsInput!$M$40-ArtifactsInput!$M$40)))/100)))*(1+(Inputs!$B$24+((C1445=TRUE)*(F1445-Calc!F24))+((C1446=TRUE)*(F1446-Calc!F25))+B1459)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EMPOWERED_PIERCING_ARROW",Inputs!$B$17+((C1443=TRUE)*(F1443-Calc!F22))+(((IF(AND(ArtifactsInput!$M$42,((Inputs!$B$9+((C1440=TRUE)*(F1440-Calc!F19))+B1453+(ArtifactsInput!$M$24-ArtifactsInput!$M$24)*CHOOSE(ArtifactsInput!$N$24+1,10,12,14,16,18,20)+IF(IF(ArtifactsInput!$M$10,FALSE,TRUE),CHOOSE(ArtifactsInput!$N$10+1,15,18,21,24,27,30)*(IF(Inputs!$B$38="pvp",MIN(15,15)/15,IF(AND(Inputs!$B$38&lt;&gt;"pvp",Inputs!$B$43&gt;0),MIN(15,Inputs!$B$43)/(Inputs!$B$43),0))),0)))&gt;=100),MIN(100,((Inputs!$B$9+((C1440=TRUE)*(F1440-Calc!F19))+B1453+(ArtifactsInput!$M$24-ArtifactsInput!$M$24)*CHOOSE(ArtifactsInput!$N$24+1,10,12,14,16,18,20)+IF(IF(ArtifactsInput!$M$10,FALSE,TRUE),CHOOSE(ArtifactsInput!$N$10+1,15,18,21,24,27,30)*(IF(Inputs!$B$38="pvp",MIN(15,15)/15,IF(AND(Inputs!$B$38&lt;&gt;"pvp",Inputs!$B$43&gt;0),MIN(15,Inputs!$B$43)/(Inputs!$B$43),0))),0)))-100),0))*CHOOSE(ArtifactsInput!$N$42+1,0.6,0.72,0.84,0.96,1.08,1.2))),Inputs!$B$18+((C1448=TRUE)*(F1448-Calc!F27))+(IF(AND(ArtifactsInput!$M$42,((Inputs!$B$9+((C1440=TRUE)*(F1440-Calc!F19))+B1453+(ArtifactsInput!$M$24-ArtifactsInput!$M$24)*CHOOSE(ArtifactsInput!$N$24+1,10,12,14,16,18,20)+IF(IF(ArtifactsInput!$M$10,FALSE,TRUE),CHOOSE(ArtifactsInput!$N$10+1,15,18,21,24,27,30)*(IF(Inputs!$B$38="pvp",MIN(15,15)/15,IF(AND(Inputs!$B$38&lt;&gt;"pvp",Inputs!$B$43&gt;0),MIN(15,Inputs!$B$43)/(Inputs!$B$43),0))),0)))&gt;=100),CHOOSE(ArtifactsInput!$N$42+1,40,48,56,64,72,80),0))))/100)*((1+(((C1434=TRUE)*F1434)+((C1435=TRUE)*IF(Inputs!$B$38="pvp",F1435,(1-Summary!$B$11)*(F1435)+Summary!$B$11*(0)))+((C1436=TRUE)*F1436*IF(AND(Inputs!$B$38&lt;&gt;"pvp",Inputs!$B$43&gt;0),(((R1436-1)*(Skills!T15*(1+Inputs!$B$34/100))+MIN((Skills!T15*(1+Inputs!$B$34/100)),MAX(0,Inputs!$B$43-((R1436-1)*Skills!D15))))/Inputs!$B$43),IF(Inputs!$B$38="pvp",MIN((Skills!T15*(1+Inputs!$B$34/100)),15)/15,(Skills!T15*(1+Inputs!$B$34/100))/Skills!D15)))+((C1433=TRUE)*F1433)+((C1450=TRUE)*(F1450-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1430)</f>
        <v/>
      </c>
      <c r="L1430">
        <f>K1430*(MIN(Inputs!$B$22+((C1444=TRUE)*(F1444-Calc!F23)),(Inputs!$B$23+((C1449=TRUE)*(F1449-Calc!F28))+(IF(ArtifactsInput!$M$15,CHOOSE(ArtifactsInput!$N$15+1,25,30,35,40,45,50)/100*(Inputs!$B$11-Inputs!$B$11),0))))/100+(Inputs!$B$23+((C1449=TRUE)*(F1449-Calc!F28))+(IF(ArtifactsInput!$M$15,CHOOSE(ArtifactsInput!$N$15+1,25,30,35,40,45,50)/100*(Inputs!$B$11-Inputs!$B$11),0)))/100)/2</f>
        <v/>
      </c>
      <c r="M1430">
        <f>L1430*(1+(Inputs!$B$10+0+B1458+(IF(ArtifactsInput!$M$24,CHOOSE(ArtifactsInput!$N$24+1,30,36,42,48,54,60)/100*(Inputs!$B$9-Inputs!$B$9),0)+IF(IF(ArtifactsInput!$M$10,FALSE,TRUE),CHOOSE(ArtifactsInput!$N$10+1,20,24,28,32,36,40)*(IF(Inputs!$B$38="pvp",MIN(15,15)/15,IF(AND(Inputs!$B$38&lt;&gt;"pvp",Inputs!$B$43&gt;0),MIN(15,Inputs!$B$43)/(Inputs!$B$43),0))),0)+IF(ArtifactsInput!$M$31,1.5*CHOOSE(ArtifactsInput!$N$31+1,20,24,28,32,36,40),0)))/100)</f>
        <v/>
      </c>
      <c r="N1430">
        <f>L1430*(1-MIN((Inputs!$B$9+((C1440=TRUE)*(F1440-Calc!F19))+B1453+(ArtifactsInput!$M$24-ArtifactsInput!$M$24)*CHOOSE(ArtifactsInput!$N$24+1,10,12,14,16,18,20)+(IF(AND(ArtifactsInput!$M$42,((Inputs!$B$9+((C1440=TRUE)*(F1440-Calc!F19))+B1453+(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100)+M1430*(MIN((Inputs!$B$9+((C1440=TRUE)*(F1440-Calc!F19))+B1453+(ArtifactsInput!$M$24-ArtifactsInput!$M$24)*CHOOSE(ArtifactsInput!$N$24+1,10,12,14,16,18,20)+(IF(AND(ArtifactsInput!$M$42,((Inputs!$B$9+((C1440=TRUE)*(F1440-Calc!F19))+B1453+(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100)</f>
        <v/>
      </c>
      <c r="O1430">
        <f>(1-Summary!$B$11)*T1430+Summary!$B$11*V1430</f>
        <v/>
      </c>
      <c r="P1430">
        <f>IF(B1463=0,0,O1430/B1463)</f>
        <v/>
      </c>
      <c r="Q1430">
        <f>IFERROR(1/IF(Inputs!$B$38="pvp",15,MAX(0.1,Skills!D9-IF(Skills!E9=TRUE,Inputs!$B$32,0))),0)</f>
        <v/>
      </c>
      <c r="R1430">
        <f>IF(AND(Inputs!$B$38&lt;&gt;"pvp",Inputs!$B$43&gt;0),IF(MAX(0,Inputs!$B$43-B1460)&lt;=0,0,(INT(MAX(0,Inputs!$B$43-B1460)/IF(Inputs!$B$38="pvp",15,MAX(0.1,Skills!D9-IF(Skills!E9=TRUE,Inputs!$B$32,0))))+1)),0)</f>
        <v/>
      </c>
      <c r="S1430">
        <f>IFERROR((H1430*N1430*IF(AND(Inputs!$B$38&lt;&gt;"pvp",Inputs!$B$43&gt;0),((Skills!G9*((R1430-1)*IF(Skills!H9&gt;0,Skills!I9/Skills!H9,1)+IF(Skills!H9&gt;0,MIN(Skills!I9,MAX(0,MAX(0,Inputs!$B$43-B1460)-((R1430-1)*IF(Inputs!$B$38="pvp",15,MAX(0.1,Skills!D9-IF(Skills!E9=TRUE,Inputs!$B$32,0))))))/Skills!H9,1)))/Inputs!$B$43),G1430*Q1430))/N1430*IF(Inputs!$B$38="pvp",1,(1-Summary!$B$11)*1+Summary!$B$11*(MIN(Skills!R9,Inputs!$B$37))),0)</f>
        <v/>
      </c>
      <c r="T1430">
        <f>IF(C1430,(H1430*N1430*IF(AND(Inputs!$B$38&lt;&gt;"pvp",Inputs!$B$43&gt;0),((Skills!G9*((R1430-1)*IF(Skills!H9&gt;0,Skills!I9/Skills!H9,1)+IF(Skills!H9&gt;0,MIN(Skills!I9,MAX(0,MAX(0,Inputs!$B$43-B1460)-((R1430-1)*IF(Inputs!$B$38="pvp",15,MAX(0.1,Skills!D9-IF(Skills!E9=TRUE,Inputs!$B$32,0))))))/Skills!H9,1)))/Inputs!$B$43),G1430*Q1430))*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Hunt"),CHOOSE(ArtifactsInput!$N$35+1,15,18,21,24,27,30)*(1-EXP(-(0.2*B1455)*5)),0)+IF(AND(ArtifactsInput!$M$22,Inputs!$B$4&lt;&gt;"Chapter Hunt"),CHOOSE(ArtifactsInput!$N$22+1,10,12,14,16,18,20)*((0*(((0.15*B1455*5))^0/1)+1*(((0.15*B1455*5))^1/1)+2*(((0.15*B1455*5))^2/2)+3*(((0.15*B1455*5))^3/6)+4*(((0.15*B1455*5))^4/24)+5*(((0.15*B1455*5))^5/120))/((((0.15*B1455*5))^0/1)+(((0.15*B1455*5))^1/1)+(((0.15*B1455*5))^2/2)+(((0.15*B1455*5))^3/6)+(((0.15*B1455*5))^4/24)+(((0.15*B1455*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1430*(1-MIN(100,(Inputs!$B$9+((C1440=TRUE)*(F1440-Calc!F19))+B1453+(ArtifactsInput!$M$24-ArtifactsInput!$M$24)*CHOOSE(ArtifactsInput!$N$24+1,10,12,14,16,18,20)+(IF(AND(ArtifactsInput!$M$42,((Inputs!$B$9+((C1440=TRUE)*(F1440-Calc!F19))+B1453+(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IF(AND(ArtifactsInput!$M$8,Inputs!$B$38&lt;&gt;"pvp"),CHOOSE(ArtifactsInput!$N$8+1,8,9.6,11.2,12.8,14.4,16),0))/100)+M1430*(MIN(100,(Inputs!$B$9+((C1440=TRUE)*(F1440-Calc!F19))+B1453+(ArtifactsInput!$M$24-ArtifactsInput!$M$24)*CHOOSE(ArtifactsInput!$N$24+1,10,12,14,16,18,20)+(IF(AND(ArtifactsInput!$M$42,((Inputs!$B$9+((C1440=TRUE)*(F1440-Calc!F19))+B1453+(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IF(AND(ArtifactsInput!$M$8,Inputs!$B$38&lt;&gt;"pvp"),CHOOSE(ArtifactsInput!$N$8+1,8,9.6,11.2,12.8,14.4,16),0))/100))/(L1430*(1-MIN(100,(Inputs!$B$9+((C1440=TRUE)*(F1440-Calc!F19))+B1453+(ArtifactsInput!$M$24-ArtifactsInput!$M$24)*CHOOSE(ArtifactsInput!$N$24+1,10,12,14,16,18,20)+(IF(AND(ArtifactsInput!$M$42,((Inputs!$B$9+((C1440=TRUE)*(F1440-Calc!F19))+B1453+(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M1430*(MIN(100,(Inputs!$B$9+((C1440=TRUE)*(F1440-Calc!F19))+B1453+(ArtifactsInput!$M$24-ArtifactsInput!$M$24)*CHOOSE(ArtifactsInput!$N$24+1,10,12,14,16,18,20)+(IF(AND(ArtifactsInput!$M$42,((Inputs!$B$9+((C1440=TRUE)*(F1440-Calc!F19))+B1453+(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430">
        <f>IF(C1430,(H1430*N1430*IF(AND(Inputs!$B$38&lt;&gt;"pvp",Inputs!$B$43&gt;0),((Skills!G9*((R1430-1)*IF(Skills!H9&gt;0,Skills!I9/Skills!H9,1)+IF(Skills!H9&gt;0,MIN(Skills!I9,MAX(0,MAX(0,Inputs!$B$43-B1460)-((R1430-1)*IF(Inputs!$B$38="pvp",15,MAX(0.1,Skills!D9-IF(Skills!E9=TRUE,Inputs!$B$32,0))))))/Skills!H9,1)))/Inputs!$B$43),G1430*Q1430))*IF(Inputs!$B$38="pvp",1,(1+(Inputs!$B$21+Skills!Q9+(IF(ArtifactsInput!$M$33,CHOOSE(ArtifactsInput!$N$33+1,30,36,42,48,54,60),0))+(IF(AND(ArtifactsInput!$M$35,Inputs!$B$4&lt;&gt;"Chapter Hunt"),CHOOSE(ArtifactsInput!$N$35+1,15,18,21,24,27,30)*(1-EXP(-(0.2*B1455)*5)),0)+IF(AND(ArtifactsInput!$M$22,Inputs!$B$4&lt;&gt;"Chapter Hunt"),CHOOSE(ArtifactsInput!$N$22+1,10,12,14,16,18,20)*((0*(((0.15*B1455*5))^0/1)+1*(((0.15*B1455*5))^1/1)+2*(((0.15*B1455*5))^2/2)+3*(((0.15*B1455*5))^3/6)+4*(((0.15*B1455*5))^4/24)+5*(((0.15*B1455*5))^5/120))/((((0.15*B1455*5))^0/1)+(((0.15*B1455*5))^1/1)+(((0.15*B1455*5))^2/2)+(((0.15*B1455*5))^3/6)+(((0.15*B1455*5))^4/24)+(((0.15*B1455*5))^5/120)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431">
      <c r="A1431">
        <f>Skills!A10</f>
        <v/>
      </c>
      <c r="B1431">
        <f>Skills!B10</f>
        <v/>
      </c>
      <c r="C1431">
        <f>Inputs!$B$3&gt;=107</f>
        <v/>
      </c>
      <c r="D1431">
        <f>IF(Skills!C10=1,60+Inputs!$B$25+Inputs!$B$29,IF(Skills!C10=2,90+Inputs!$B$26+Inputs!$B$29,IF(Skills!C10=3,120+Inputs!$B$27+Inputs!$B$29,MAX(0,(Inputs!$B$3-100)*3)+Inputs!$B$28+Inputs!$B$29)))</f>
        <v/>
      </c>
      <c r="E1431">
        <f>INDEX(FactorTable!$B$2:$Y$301, MATCH(ROUND(MIN(300,MAX(1,D1431)),0), FactorTable!$A$2:$A$301,0), Skills!M10+1)</f>
        <v/>
      </c>
      <c r="F1431">
        <f>IF(Skills!N10=TRUE,(Skills!L10/10)*(E1431/1000),Skills!L10/10)+Skills!O10</f>
        <v/>
      </c>
      <c r="G1431">
        <f>Skills!G10*IF(Skills!H10&gt;0,Skills!I10/Skills!H10,1)</f>
        <v/>
      </c>
      <c r="H1431">
        <f>1-(1-Skills!J10/100)^Skills!K10</f>
        <v/>
      </c>
      <c r="I1431" t="inlineStr">
        <is>
          <t>1</t>
        </is>
      </c>
      <c r="J1431">
        <f>((Inputs!$B$6*(1+Inputs!$B$7/100))+(((Inputs!$B$12*(1+Inputs!$B$13/100))-(Inputs!$B$12*(1+Inputs!$B$13/100)))+0.25*(Inputs!$B$14-Inputs!$B$14))*(1+Inputs!$B$7/100))*(F1431/100)</f>
        <v/>
      </c>
      <c r="K1431">
        <f>J1431*(1+((Inputs!$B$12*(1+Inputs!$B$13/100))*0.01+Inputs!$B$14*0.0025)/100)*(1+Inputs!$B$15/100)*(1+Inputs!$B$16/100)*(5000/(6000+Inputs!$B$42*(1-(100*(1-(1-(Inputs!$B$19+0)/100)*(1-CHOOSE(ArtifactsInput!$N$40+1,5,6,7,8,9,10)/100)^(ArtifactsInput!$M$40-ArtifactsInput!$M$40)))/100)))*(1+(Inputs!$B$24+((C1445=TRUE)*(F1445-Calc!F24))+((C1446=TRUE)*(F1446-Calc!F25))+B1459)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EMPOWERED_PIERCING_ARROW",Inputs!$B$17+((C1443=TRUE)*(F1443-Calc!F22))+(((IF(AND(ArtifactsInput!$M$42,((Inputs!$B$9+((C1440=TRUE)*(F1440-Calc!F19))+B1453+(ArtifactsInput!$M$24-ArtifactsInput!$M$24)*CHOOSE(ArtifactsInput!$N$24+1,10,12,14,16,18,20)+IF(IF(ArtifactsInput!$M$10,FALSE,TRUE),CHOOSE(ArtifactsInput!$N$10+1,15,18,21,24,27,30)*(IF(Inputs!$B$38="pvp",MIN(15,15)/15,IF(AND(Inputs!$B$38&lt;&gt;"pvp",Inputs!$B$43&gt;0),MIN(15,Inputs!$B$43)/(Inputs!$B$43),0))),0)))&gt;=100),MIN(100,((Inputs!$B$9+((C1440=TRUE)*(F1440-Calc!F19))+B1453+(ArtifactsInput!$M$24-ArtifactsInput!$M$24)*CHOOSE(ArtifactsInput!$N$24+1,10,12,14,16,18,20)+IF(IF(ArtifactsInput!$M$10,FALSE,TRUE),CHOOSE(ArtifactsInput!$N$10+1,15,18,21,24,27,30)*(IF(Inputs!$B$38="pvp",MIN(15,15)/15,IF(AND(Inputs!$B$38&lt;&gt;"pvp",Inputs!$B$43&gt;0),MIN(15,Inputs!$B$43)/(Inputs!$B$43),0))),0)))-100),0))*CHOOSE(ArtifactsInput!$N$42+1,0.6,0.72,0.84,0.96,1.08,1.2))),Inputs!$B$18+((C1448=TRUE)*(F1448-Calc!F27))+(IF(AND(ArtifactsInput!$M$42,((Inputs!$B$9+((C1440=TRUE)*(F1440-Calc!F19))+B1453+(ArtifactsInput!$M$24-ArtifactsInput!$M$24)*CHOOSE(ArtifactsInput!$N$24+1,10,12,14,16,18,20)+IF(IF(ArtifactsInput!$M$10,FALSE,TRUE),CHOOSE(ArtifactsInput!$N$10+1,15,18,21,24,27,30)*(IF(Inputs!$B$38="pvp",MIN(15,15)/15,IF(AND(Inputs!$B$38&lt;&gt;"pvp",Inputs!$B$43&gt;0),MIN(15,Inputs!$B$43)/(Inputs!$B$43),0))),0)))&gt;=100),CHOOSE(ArtifactsInput!$N$42+1,40,48,56,64,72,80),0))))/100)*((1+(((C1434=TRUE)*F1434)+((C1435=TRUE)*IF(Inputs!$B$38="pvp",F1435,(1-Summary!$B$11)*(F1435)+Summary!$B$11*(0)))+((C1436=TRUE)*F1436*IF(AND(Inputs!$B$38&lt;&gt;"pvp",Inputs!$B$43&gt;0),(((R1436-1)*(Skills!T15*(1+Inputs!$B$34/100))+MIN((Skills!T15*(1+Inputs!$B$34/100)),MAX(0,Inputs!$B$43-((R1436-1)*Skills!D15))))/Inputs!$B$43),IF(Inputs!$B$38="pvp",MIN((Skills!T15*(1+Inputs!$B$34/100)),15)/15,(Skills!T15*(1+Inputs!$B$34/100))/Skills!D15)))+((C1433=TRUE)*F1433)+((C1450=TRUE)*(F1450-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1431)</f>
        <v/>
      </c>
      <c r="L1431">
        <f>K1431*(MIN(Inputs!$B$22+((C1444=TRUE)*(F1444-Calc!F23)),(Inputs!$B$23+((C1449=TRUE)*(F1449-Calc!F28))+(IF(ArtifactsInput!$M$15,CHOOSE(ArtifactsInput!$N$15+1,25,30,35,40,45,50)/100*(Inputs!$B$11-Inputs!$B$11),0))))/100+(Inputs!$B$23+((C1449=TRUE)*(F1449-Calc!F28))+(IF(ArtifactsInput!$M$15,CHOOSE(ArtifactsInput!$N$15+1,25,30,35,40,45,50)/100*(Inputs!$B$11-Inputs!$B$11),0)))/100)/2</f>
        <v/>
      </c>
      <c r="M1431">
        <f>L1431*(1+(Inputs!$B$10+0+B1458+(IF(ArtifactsInput!$M$24,CHOOSE(ArtifactsInput!$N$24+1,30,36,42,48,54,60)/100*(Inputs!$B$9-Inputs!$B$9),0)+IF(IF(ArtifactsInput!$M$10,FALSE,TRUE),CHOOSE(ArtifactsInput!$N$10+1,20,24,28,32,36,40)*(IF(Inputs!$B$38="pvp",MIN(15,15)/15,IF(AND(Inputs!$B$38&lt;&gt;"pvp",Inputs!$B$43&gt;0),MIN(15,Inputs!$B$43)/(Inputs!$B$43),0))),0)+IF(ArtifactsInput!$M$31,1.5*CHOOSE(ArtifactsInput!$N$31+1,20,24,28,32,36,40),0)))/100)</f>
        <v/>
      </c>
      <c r="N1431">
        <f>L1431*(1-MIN((Inputs!$B$9+((C1440=TRUE)*(F1440-Calc!F19))+B1453+(ArtifactsInput!$M$24-ArtifactsInput!$M$24)*CHOOSE(ArtifactsInput!$N$24+1,10,12,14,16,18,20)+(IF(AND(ArtifactsInput!$M$42,((Inputs!$B$9+((C1440=TRUE)*(F1440-Calc!F19))+B1453+(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100)+M1431*(MIN((Inputs!$B$9+((C1440=TRUE)*(F1440-Calc!F19))+B1453+(ArtifactsInput!$M$24-ArtifactsInput!$M$24)*CHOOSE(ArtifactsInput!$N$24+1,10,12,14,16,18,20)+(IF(AND(ArtifactsInput!$M$42,((Inputs!$B$9+((C1440=TRUE)*(F1440-Calc!F19))+B1453+(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100)</f>
        <v/>
      </c>
      <c r="O1431">
        <f>(1-Summary!$B$11)*T1431+Summary!$B$11*V1431</f>
        <v/>
      </c>
      <c r="P1431">
        <f>IF(B1463=0,0,O1431/B1463)</f>
        <v/>
      </c>
      <c r="Q1431" t="n">
        <v>0</v>
      </c>
      <c r="R1431" t="n">
        <v>0</v>
      </c>
      <c r="S1431" t="n">
        <v>0</v>
      </c>
      <c r="T1431">
        <f>IF(C1431,(0.15*SUMPRODUCT((Skills!U2:U29=TRUE)*(C1423:C1450=TRUE)*S1423:S1450)*Skills!G10*N1431)*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Hunt"),CHOOSE(ArtifactsInput!$N$35+1,15,18,21,24,27,30)*(1-EXP(-(0.2*B1455)*5)),0)+IF(AND(ArtifactsInput!$M$22,Inputs!$B$4&lt;&gt;"Chapter Hunt"),CHOOSE(ArtifactsInput!$N$22+1,10,12,14,16,18,20)*((0*(((0.15*B1455*5))^0/1)+1*(((0.15*B1455*5))^1/1)+2*(((0.15*B1455*5))^2/2)+3*(((0.15*B1455*5))^3/6)+4*(((0.15*B1455*5))^4/24)+5*(((0.15*B1455*5))^5/120))/((((0.15*B1455*5))^0/1)+(((0.15*B1455*5))^1/1)+(((0.15*B1455*5))^2/2)+(((0.15*B1455*5))^3/6)+(((0.15*B1455*5))^4/24)+(((0.15*B1455*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1431*(1-MIN(100,(Inputs!$B$9+((C1440=TRUE)*(F1440-Calc!F19))+B1453+(ArtifactsInput!$M$24-ArtifactsInput!$M$24)*CHOOSE(ArtifactsInput!$N$24+1,10,12,14,16,18,20)+(IF(AND(ArtifactsInput!$M$42,((Inputs!$B$9+((C1440=TRUE)*(F1440-Calc!F19))+B1453+(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IF(AND(ArtifactsInput!$M$8,Inputs!$B$38&lt;&gt;"pvp"),CHOOSE(ArtifactsInput!$N$8+1,8,9.6,11.2,12.8,14.4,16),0))/100)+M1431*(MIN(100,(Inputs!$B$9+((C1440=TRUE)*(F1440-Calc!F19))+B1453+(ArtifactsInput!$M$24-ArtifactsInput!$M$24)*CHOOSE(ArtifactsInput!$N$24+1,10,12,14,16,18,20)+(IF(AND(ArtifactsInput!$M$42,((Inputs!$B$9+((C1440=TRUE)*(F1440-Calc!F19))+B1453+(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IF(AND(ArtifactsInput!$M$8,Inputs!$B$38&lt;&gt;"pvp"),CHOOSE(ArtifactsInput!$N$8+1,8,9.6,11.2,12.8,14.4,16),0))/100))/(L1431*(1-MIN(100,(Inputs!$B$9+((C1440=TRUE)*(F1440-Calc!F19))+B1453+(ArtifactsInput!$M$24-ArtifactsInput!$M$24)*CHOOSE(ArtifactsInput!$N$24+1,10,12,14,16,18,20)+(IF(AND(ArtifactsInput!$M$42,((Inputs!$B$9+((C1440=TRUE)*(F1440-Calc!F19))+B1453+(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M1431*(MIN(100,(Inputs!$B$9+((C1440=TRUE)*(F1440-Calc!F19))+B1453+(ArtifactsInput!$M$24-ArtifactsInput!$M$24)*CHOOSE(ArtifactsInput!$N$24+1,10,12,14,16,18,20)+(IF(AND(ArtifactsInput!$M$42,((Inputs!$B$9+((C1440=TRUE)*(F1440-Calc!F19))+B1453+(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431">
        <f>IF(C1431,(0.15*SUMPRODUCT((Skills!U2:U29=TRUE)*(C1423:C1450=TRUE)*S1423:S1450)*Skills!G10*N1431)*IF(Inputs!$B$38="pvp",1,(1+(Inputs!$B$21+Skills!Q10+(IF(ArtifactsInput!$M$33,CHOOSE(ArtifactsInput!$N$33+1,30,36,42,48,54,60),0))+(IF(AND(ArtifactsInput!$M$35,Inputs!$B$4&lt;&gt;"Chapter Hunt"),CHOOSE(ArtifactsInput!$N$35+1,15,18,21,24,27,30)*(1-EXP(-(0.2*B1455)*5)),0)+IF(AND(ArtifactsInput!$M$22,Inputs!$B$4&lt;&gt;"Chapter Hunt"),CHOOSE(ArtifactsInput!$N$22+1,10,12,14,16,18,20)*((0*(((0.15*B1455*5))^0/1)+1*(((0.15*B1455*5))^1/1)+2*(((0.15*B1455*5))^2/2)+3*(((0.15*B1455*5))^3/6)+4*(((0.15*B1455*5))^4/24)+5*(((0.15*B1455*5))^5/120))/((((0.15*B1455*5))^0/1)+(((0.15*B1455*5))^1/1)+(((0.15*B1455*5))^2/2)+(((0.15*B1455*5))^3/6)+(((0.15*B1455*5))^4/24)+(((0.15*B1455*5))^5/120)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432">
      <c r="A1432">
        <f>Skills!A11</f>
        <v/>
      </c>
      <c r="B1432">
        <f>Skills!B11</f>
        <v/>
      </c>
      <c r="C1432">
        <f>Inputs!$B$3&gt;=110</f>
        <v/>
      </c>
      <c r="D1432">
        <f>IF(Skills!C11=1,60+Inputs!$B$25+Inputs!$B$29,IF(Skills!C11=2,90+Inputs!$B$26+Inputs!$B$29,IF(Skills!C11=3,120+Inputs!$B$27+Inputs!$B$29,MAX(0,(Inputs!$B$3-100)*3)+Inputs!$B$28+Inputs!$B$29)))</f>
        <v/>
      </c>
      <c r="E1432">
        <f>INDEX(FactorTable!$B$2:$Y$301, MATCH(ROUND(MIN(300,MAX(1,D1432)),0), FactorTable!$A$2:$A$301,0), Skills!M11+1)</f>
        <v/>
      </c>
      <c r="F1432">
        <f>IF(Skills!N11=TRUE,(Skills!L11/10)*(E1432/1000),Skills!L11/10)+Skills!O11</f>
        <v/>
      </c>
      <c r="G1432">
        <f>Skills!G11*IF(Skills!H11&gt;0,Skills!I11/Skills!H11,1)</f>
        <v/>
      </c>
      <c r="H1432">
        <f>1-(1-Skills!J11/100)^Skills!K11</f>
        <v/>
      </c>
      <c r="I1432" t="inlineStr">
        <is>
          <t>1</t>
        </is>
      </c>
      <c r="J1432">
        <f>((Inputs!$B$6*(1+Inputs!$B$7/100))+(((Inputs!$B$12*(1+Inputs!$B$13/100))-(Inputs!$B$12*(1+Inputs!$B$13/100)))+0.25*(Inputs!$B$14-Inputs!$B$14))*(1+Inputs!$B$7/100))*(F1432/100)</f>
        <v/>
      </c>
      <c r="K1432">
        <f>J1432*(1+((Inputs!$B$12*(1+Inputs!$B$13/100))*0.01+Inputs!$B$14*0.0025)/100)*(1+Inputs!$B$15/100)*(1+Inputs!$B$16/100)*(5000/(6000+Inputs!$B$42*(1-(100*(1-(1-(Inputs!$B$19+0)/100)*(1-CHOOSE(ArtifactsInput!$N$40+1,5,6,7,8,9,10)/100)^(ArtifactsInput!$M$40-ArtifactsInput!$M$40)))/100)))*(1+(Inputs!$B$24+((C1445=TRUE)*(F1445-Calc!F24))+((C1446=TRUE)*(F1446-Calc!F25))+B1459)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11="EMPOWERED_PIERCING_ARROW",Inputs!$B$17+((C1443=TRUE)*(F1443-Calc!F22))+(((IF(AND(ArtifactsInput!$M$42,((Inputs!$B$9+((C1440=TRUE)*(F1440-Calc!F19))+B1453+(ArtifactsInput!$M$24-ArtifactsInput!$M$24)*CHOOSE(ArtifactsInput!$N$24+1,10,12,14,16,18,20)+IF(IF(ArtifactsInput!$M$10,FALSE,TRUE),CHOOSE(ArtifactsInput!$N$10+1,15,18,21,24,27,30)*(IF(Inputs!$B$38="pvp",MIN(15,15)/15,IF(AND(Inputs!$B$38&lt;&gt;"pvp",Inputs!$B$43&gt;0),MIN(15,Inputs!$B$43)/(Inputs!$B$43),0))),0)))&gt;=100),MIN(100,((Inputs!$B$9+((C1440=TRUE)*(F1440-Calc!F19))+B1453+(ArtifactsInput!$M$24-ArtifactsInput!$M$24)*CHOOSE(ArtifactsInput!$N$24+1,10,12,14,16,18,20)+IF(IF(ArtifactsInput!$M$10,FALSE,TRUE),CHOOSE(ArtifactsInput!$N$10+1,15,18,21,24,27,30)*(IF(Inputs!$B$38="pvp",MIN(15,15)/15,IF(AND(Inputs!$B$38&lt;&gt;"pvp",Inputs!$B$43&gt;0),MIN(15,Inputs!$B$43)/(Inputs!$B$43),0))),0)))-100),0))*CHOOSE(ArtifactsInput!$N$42+1,0.6,0.72,0.84,0.96,1.08,1.2))),Inputs!$B$18+((C1448=TRUE)*(F1448-Calc!F27))+(IF(AND(ArtifactsInput!$M$42,((Inputs!$B$9+((C1440=TRUE)*(F1440-Calc!F19))+B1453+(ArtifactsInput!$M$24-ArtifactsInput!$M$24)*CHOOSE(ArtifactsInput!$N$24+1,10,12,14,16,18,20)+IF(IF(ArtifactsInput!$M$10,FALSE,TRUE),CHOOSE(ArtifactsInput!$N$10+1,15,18,21,24,27,30)*(IF(Inputs!$B$38="pvp",MIN(15,15)/15,IF(AND(Inputs!$B$38&lt;&gt;"pvp",Inputs!$B$43&gt;0),MIN(15,Inputs!$B$43)/(Inputs!$B$43),0))),0)))&gt;=100),CHOOSE(ArtifactsInput!$N$42+1,40,48,56,64,72,80),0))))/100)*((1+(((C1434=TRUE)*F1434)+((C1435=TRUE)*IF(Inputs!$B$38="pvp",F1435,(1-Summary!$B$11)*(F1435)+Summary!$B$11*(0)))+((C1436=TRUE)*F1436*IF(AND(Inputs!$B$38&lt;&gt;"pvp",Inputs!$B$43&gt;0),(((R1436-1)*(Skills!T15*(1+Inputs!$B$34/100))+MIN((Skills!T15*(1+Inputs!$B$34/100)),MAX(0,Inputs!$B$43-((R1436-1)*Skills!D15))))/Inputs!$B$43),IF(Inputs!$B$38="pvp",MIN((Skills!T15*(1+Inputs!$B$34/100)),15)/15,(Skills!T15*(1+Inputs!$B$34/100))/Skills!D15)))+((C1433=TRUE)*F1433)+((C1450=TRUE)*(F1450-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1432)</f>
        <v/>
      </c>
      <c r="L1432">
        <f>K1432*(MIN(Inputs!$B$22+((C1444=TRUE)*(F1444-Calc!F23)),(Inputs!$B$23+((C1449=TRUE)*(F1449-Calc!F28))+(IF(ArtifactsInput!$M$15,CHOOSE(ArtifactsInput!$N$15+1,25,30,35,40,45,50)/100*(Inputs!$B$11-Inputs!$B$11),0))))/100+(Inputs!$B$23+((C1449=TRUE)*(F1449-Calc!F28))+(IF(ArtifactsInput!$M$15,CHOOSE(ArtifactsInput!$N$15+1,25,30,35,40,45,50)/100*(Inputs!$B$11-Inputs!$B$11),0)))/100)/2</f>
        <v/>
      </c>
      <c r="M1432">
        <f>L1432*(1+(Inputs!$B$10+0+B1458+(IF(ArtifactsInput!$M$24,CHOOSE(ArtifactsInput!$N$24+1,30,36,42,48,54,60)/100*(Inputs!$B$9-Inputs!$B$9),0)+IF(IF(ArtifactsInput!$M$10,FALSE,TRUE),CHOOSE(ArtifactsInput!$N$10+1,20,24,28,32,36,40)*(IF(Inputs!$B$38="pvp",MIN(15,15)/15,IF(AND(Inputs!$B$38&lt;&gt;"pvp",Inputs!$B$43&gt;0),MIN(15,Inputs!$B$43)/(Inputs!$B$43),0))),0)+IF(ArtifactsInput!$M$31,1.5*CHOOSE(ArtifactsInput!$N$31+1,20,24,28,32,36,40),0)))/100)</f>
        <v/>
      </c>
      <c r="N1432">
        <f>L1432*(1-MIN((Inputs!$B$9+((C1440=TRUE)*(F1440-Calc!F19))+B1453+(ArtifactsInput!$M$24-ArtifactsInput!$M$24)*CHOOSE(ArtifactsInput!$N$24+1,10,12,14,16,18,20)+(IF(AND(ArtifactsInput!$M$42,((Inputs!$B$9+((C1440=TRUE)*(F1440-Calc!F19))+B1453+(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100)+M1432*(MIN((Inputs!$B$9+((C1440=TRUE)*(F1440-Calc!F19))+B1453+(ArtifactsInput!$M$24-ArtifactsInput!$M$24)*CHOOSE(ArtifactsInput!$N$24+1,10,12,14,16,18,20)+(IF(AND(ArtifactsInput!$M$42,((Inputs!$B$9+((C1440=TRUE)*(F1440-Calc!F19))+B1453+(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100)</f>
        <v/>
      </c>
      <c r="O1432">
        <f>(1-Summary!$B$11)*T1432+Summary!$B$11*V1432</f>
        <v/>
      </c>
      <c r="P1432">
        <f>IF(B1463=0,0,O1432/B1463)</f>
        <v/>
      </c>
      <c r="Q1432">
        <f>IFERROR(1/IF(Inputs!$B$38="pvp",15,MAX(0.1,Skills!D11-IF(Skills!E11=TRUE,Inputs!$B$32,0))),0)</f>
        <v/>
      </c>
      <c r="R1432">
        <f>IF(AND(Inputs!$B$38&lt;&gt;"pvp",Inputs!$B$43&gt;0),IF(MAX(0,Inputs!$B$43-B1460)&lt;=0,0,(INT(MAX(0,Inputs!$B$43-B1460)/IF(Inputs!$B$38="pvp",15,MAX(0.1,Skills!D11-IF(Skills!E11=TRUE,Inputs!$B$32,0))))+1)),0)</f>
        <v/>
      </c>
      <c r="S1432">
        <f>IFERROR((H1432*N1432*IF(AND(Inputs!$B$38&lt;&gt;"pvp",Inputs!$B$43&gt;0),((Skills!G11*((R1432-1)*IF(Skills!H11&gt;0,Skills!I11/Skills!H11,1)+IF(Skills!H11&gt;0,MIN(Skills!I11,MAX(0,MAX(0,Inputs!$B$43-B1460)-((R1432-1)*IF(Inputs!$B$38="pvp",15,MAX(0.1,Skills!D11-IF(Skills!E11=TRUE,Inputs!$B$32,0))))))/Skills!H11,1)))/Inputs!$B$43),G1432*Q1432))/N1432*IF(Inputs!$B$38="pvp",1,(1-Summary!$B$11)*1+Summary!$B$11*(MIN(Skills!R11,Inputs!$B$37))),0)</f>
        <v/>
      </c>
      <c r="T1432">
        <f>IF(C1432,(H1432*N1432*IF(AND(Inputs!$B$38&lt;&gt;"pvp",Inputs!$B$43&gt;0),((Skills!G11*((R1432-1)*IF(Skills!H11&gt;0,Skills!I11/Skills!H11,1)+IF(Skills!H11&gt;0,MIN(Skills!I11,MAX(0,MAX(0,Inputs!$B$43-B1460)-((R1432-1)*IF(Inputs!$B$38="pvp",15,MAX(0.1,Skills!D11-IF(Skills!E11=TRUE,Inputs!$B$32,0))))))/Skills!H11,1)))/Inputs!$B$43),G1432*Q1432))*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Hunt"),CHOOSE(ArtifactsInput!$N$35+1,15,18,21,24,27,30)*(1-EXP(-(0.2*B1455)*5)),0)+IF(AND(ArtifactsInput!$M$22,Inputs!$B$4&lt;&gt;"Chapter Hunt"),CHOOSE(ArtifactsInput!$N$22+1,10,12,14,16,18,20)*((0*(((0.15*B1455*5))^0/1)+1*(((0.15*B1455*5))^1/1)+2*(((0.15*B1455*5))^2/2)+3*(((0.15*B1455*5))^3/6)+4*(((0.15*B1455*5))^4/24)+5*(((0.15*B1455*5))^5/120))/((((0.15*B1455*5))^0/1)+(((0.15*B1455*5))^1/1)+(((0.15*B1455*5))^2/2)+(((0.15*B1455*5))^3/6)+(((0.15*B1455*5))^4/24)+(((0.15*B1455*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1432*(1-MIN(100,(Inputs!$B$9+((C1440=TRUE)*(F1440-Calc!F19))+B1453+(ArtifactsInput!$M$24-ArtifactsInput!$M$24)*CHOOSE(ArtifactsInput!$N$24+1,10,12,14,16,18,20)+(IF(AND(ArtifactsInput!$M$42,((Inputs!$B$9+((C1440=TRUE)*(F1440-Calc!F19))+B1453+(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IF(AND(ArtifactsInput!$M$8,Inputs!$B$38&lt;&gt;"pvp"),CHOOSE(ArtifactsInput!$N$8+1,8,9.6,11.2,12.8,14.4,16),0))/100)+M1432*(MIN(100,(Inputs!$B$9+((C1440=TRUE)*(F1440-Calc!F19))+B1453+(ArtifactsInput!$M$24-ArtifactsInput!$M$24)*CHOOSE(ArtifactsInput!$N$24+1,10,12,14,16,18,20)+(IF(AND(ArtifactsInput!$M$42,((Inputs!$B$9+((C1440=TRUE)*(F1440-Calc!F19))+B1453+(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IF(AND(ArtifactsInput!$M$8,Inputs!$B$38&lt;&gt;"pvp"),CHOOSE(ArtifactsInput!$N$8+1,8,9.6,11.2,12.8,14.4,16),0))/100))/(L1432*(1-MIN(100,(Inputs!$B$9+((C1440=TRUE)*(F1440-Calc!F19))+B1453+(ArtifactsInput!$M$24-ArtifactsInput!$M$24)*CHOOSE(ArtifactsInput!$N$24+1,10,12,14,16,18,20)+(IF(AND(ArtifactsInput!$M$42,((Inputs!$B$9+((C1440=TRUE)*(F1440-Calc!F19))+B1453+(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M1432*(MIN(100,(Inputs!$B$9+((C1440=TRUE)*(F1440-Calc!F19))+B1453+(ArtifactsInput!$M$24-ArtifactsInput!$M$24)*CHOOSE(ArtifactsInput!$N$24+1,10,12,14,16,18,20)+(IF(AND(ArtifactsInput!$M$42,((Inputs!$B$9+((C1440=TRUE)*(F1440-Calc!F19))+B1453+(ArtifactsInput!$M$24-ArtifactsInput!$M$24)*CHOOSE(ArtifactsInput!$N$24+1,10,12,14,16,18,20)+IF(IF(ArtifactsInput!$M$10,FALSE,TRUE),CHOOSE(ArtifactsInput!$N$10+1,15,18,21,24,27,30)*(IF(Inputs!$B$38="pvp",MIN(15,15)/15,IF(AND(Inputs!$B$38&lt;&gt;"pvp",Inputs!$B$43&gt;0),MIN(15,Inputs!$B$43)/(Inputs!$B$43),0))),0)))&lt;100),CHOOSE(ArtifactsInput!$N$42+1,30,36,42,48,54,60),0)+IF(IF(ArtifactsInput!$M$10,FALSE,TRUE),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432">
        <f>IF(C1432,(H1432*N1432*IF(AND(Inputs!$B$38&lt;&gt;"pvp",Inputs!$B$43&gt;0),((Skills!G11*((R1432-1)*IF(Skills!H11&gt;0,Skills!I11/Skills!H11,1)+IF(Skills!H11&gt;0,MIN(Skills!I11,MAX(0,MAX(0,Inputs!$B$43-B1460)-((R1432-1)*IF(Inputs!$B$38="pvp",15,MAX(0.1,Skills!D11-IF(Skills!E11=TRUE,Inputs!$B$32,0))))))/Skills!H11,1)))/Inputs!$B$43),G1432*Q1432))*IF(Inputs!$B$38="pvp",1,(1+(Inputs!$B$21+Skills!Q11+(IF(ArtifactsInput!$M$33,CHOOSE(ArtifactsInput!$N$33+1,30,36,42,48,54,60),0))+(IF(AND(ArtifactsInput!$M$35,Inputs!$B$4&lt;&gt;"Chapter Hunt"),CHOOSE(ArtifactsInput!$N$35+1,15,18,21,24,27,30)*(1-EXP(-(0.2*B1455)*5)),0)+IF(AND(ArtifactsInput!$M$22,Inputs!$B$4&lt;&gt;"Chapter Hunt"),CHOOSE(ArtifactsInput!$N$22+1,10,12,14,16,18,20)*((0*(((0.15*B1455*5))^0/1)+1*(((0.15*B1455*5))^1/1)+2*(((0.15*B1455*5))^2/2)+3*(((0.15*B1455*5))^3/6)+4*(((0.15*B1455*5))^4/24)+5*(((0.15*B1455*5))^5/120))/((((0.15*B1455*5))^0/1)+(((0.15*B1455*5))^1/1)+(((0.15*B1455*5))^2/2)+(((0.15*B1455*5))^3/6)+(((0.15*B1455*5))^4/24)+(((0.15*B1455*5))^5/120))),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433">
      <c r="A1433">
        <f>Skills!A12</f>
        <v/>
      </c>
      <c r="B1433">
        <f>Skills!B12</f>
        <v/>
      </c>
      <c r="C1433">
        <f>Inputs!$B$3&gt;=60</f>
        <v/>
      </c>
      <c r="D1433">
        <f>IF(Skills!C12=1,60+Inputs!$B$25+Inputs!$B$29,IF(Skills!C12=2,90+Inputs!$B$26+Inputs!$B$29,IF(Skills!C12=3,120+Inputs!$B$27+Inputs!$B$29,MAX(0,(Inputs!$B$3-100)*3)+Inputs!$B$28+Inputs!$B$29)))</f>
        <v/>
      </c>
      <c r="E1433">
        <f>INDEX(FactorTable!$B$2:$Y$301, MATCH(ROUND(MIN(300,MAX(1,D1433)),0), FactorTable!$A$2:$A$301,0), Skills!M12+1)</f>
        <v/>
      </c>
      <c r="F1433">
        <f>IF(Skills!N12=TRUE,(Skills!L12/10)*(E1433/1000),Skills!L12/10)+Skills!O12</f>
        <v/>
      </c>
      <c r="G1433">
        <f>Skills!G12*IF(Skills!H12&gt;0,Skills!I12/Skills!H12,1)</f>
        <v/>
      </c>
      <c r="H1433">
        <f>1-(1-Skills!J12/100)^Skills!K12</f>
        <v/>
      </c>
      <c r="I1433" t="inlineStr">
        <is>
          <t>1</t>
        </is>
      </c>
      <c r="J1433" t="inlineStr"/>
      <c r="K1433" t="inlineStr"/>
      <c r="L1433" t="inlineStr"/>
      <c r="M1433" t="inlineStr"/>
      <c r="N1433" t="inlineStr"/>
      <c r="O1433">
        <f>(1-Summary!$B$11)*T1433+Summary!$B$11*V1433</f>
        <v/>
      </c>
      <c r="P1433">
        <f>IF(B1463=0,0,O1433/B1463)</f>
        <v/>
      </c>
      <c r="Q1433" t="n">
        <v>0</v>
      </c>
      <c r="R1433" t="n">
        <v>0</v>
      </c>
      <c r="S1433" t="n">
        <v>0</v>
      </c>
      <c r="T1433" t="n">
        <v>0</v>
      </c>
      <c r="V1433" t="n">
        <v>0</v>
      </c>
    </row>
    <row r="1434">
      <c r="A1434">
        <f>Skills!A13</f>
        <v/>
      </c>
      <c r="B1434">
        <f>Skills!B13</f>
        <v/>
      </c>
      <c r="C1434">
        <f>Inputs!$B$3&gt;=74</f>
        <v/>
      </c>
      <c r="D1434">
        <f>IF(Skills!C13=1,60+Inputs!$B$25+Inputs!$B$29,IF(Skills!C13=2,90+Inputs!$B$26+Inputs!$B$29,IF(Skills!C13=3,120+Inputs!$B$27+Inputs!$B$29,MAX(0,(Inputs!$B$3-100)*3)+Inputs!$B$28+Inputs!$B$29)))</f>
        <v/>
      </c>
      <c r="E1434">
        <f>INDEX(FactorTable!$B$2:$Y$301, MATCH(ROUND(MIN(300,MAX(1,D1434)),0), FactorTable!$A$2:$A$301,0), Skills!M13+1)</f>
        <v/>
      </c>
      <c r="F1434">
        <f>IF(Skills!N13=TRUE,(Skills!L13/10)*(E1434/1000),Skills!L13/10)+Skills!O13</f>
        <v/>
      </c>
      <c r="G1434">
        <f>Skills!G13*IF(Skills!H13&gt;0,Skills!I13/Skills!H13,1)</f>
        <v/>
      </c>
      <c r="H1434">
        <f>1-(1-Skills!J13/100)^Skills!K13</f>
        <v/>
      </c>
      <c r="I1434" t="inlineStr">
        <is>
          <t>1</t>
        </is>
      </c>
      <c r="J1434" t="inlineStr"/>
      <c r="K1434" t="inlineStr"/>
      <c r="L1434" t="inlineStr"/>
      <c r="M1434" t="inlineStr"/>
      <c r="N1434" t="inlineStr"/>
      <c r="O1434">
        <f>(1-Summary!$B$11)*T1434+Summary!$B$11*V1434</f>
        <v/>
      </c>
      <c r="P1434">
        <f>IF(B1463=0,0,O1434/B1463)</f>
        <v/>
      </c>
      <c r="Q1434" t="n">
        <v>0</v>
      </c>
      <c r="R1434" t="n">
        <v>0</v>
      </c>
      <c r="S1434" t="n">
        <v>0</v>
      </c>
      <c r="T1434" t="n">
        <v>0</v>
      </c>
      <c r="V1434" t="n">
        <v>0</v>
      </c>
    </row>
    <row r="1435">
      <c r="A1435">
        <f>Skills!A14</f>
        <v/>
      </c>
      <c r="B1435">
        <f>Skills!B14</f>
        <v/>
      </c>
      <c r="C1435">
        <f>Inputs!$B$3&gt;=74</f>
        <v/>
      </c>
      <c r="D1435">
        <f>IF(Skills!C14=1,60+Inputs!$B$25+Inputs!$B$29,IF(Skills!C14=2,90+Inputs!$B$26+Inputs!$B$29,IF(Skills!C14=3,120+Inputs!$B$27+Inputs!$B$29,MAX(0,(Inputs!$B$3-100)*3)+Inputs!$B$28+Inputs!$B$29)))</f>
        <v/>
      </c>
      <c r="E1435">
        <f>INDEX(FactorTable!$B$2:$Y$301, MATCH(ROUND(MIN(300,MAX(1,D1435)),0), FactorTable!$A$2:$A$301,0), Skills!M14+1)</f>
        <v/>
      </c>
      <c r="F1435">
        <f>IF(Skills!N14=TRUE,(Skills!L14/10)*(E1435/1000),Skills!L14/10)+Skills!O14</f>
        <v/>
      </c>
      <c r="G1435">
        <f>Skills!G14*IF(Skills!H14&gt;0,Skills!I14/Skills!H14,1)</f>
        <v/>
      </c>
      <c r="H1435">
        <f>1-(1-Skills!J14/100)^Skills!K14</f>
        <v/>
      </c>
      <c r="I1435" t="inlineStr">
        <is>
          <t>1</t>
        </is>
      </c>
      <c r="J1435" t="inlineStr"/>
      <c r="K1435" t="inlineStr"/>
      <c r="L1435" t="inlineStr"/>
      <c r="M1435" t="inlineStr"/>
      <c r="N1435" t="inlineStr"/>
      <c r="O1435">
        <f>(1-Summary!$B$11)*T1435+Summary!$B$11*V1435</f>
        <v/>
      </c>
      <c r="P1435">
        <f>IF(B1463=0,0,O1435/B1463)</f>
        <v/>
      </c>
      <c r="Q1435" t="n">
        <v>0</v>
      </c>
      <c r="R1435" t="n">
        <v>0</v>
      </c>
      <c r="S1435" t="n">
        <v>0</v>
      </c>
      <c r="T1435" t="n">
        <v>0</v>
      </c>
      <c r="V1435" t="n">
        <v>0</v>
      </c>
    </row>
    <row r="1436">
      <c r="A1436">
        <f>Skills!A15</f>
        <v/>
      </c>
      <c r="B1436">
        <f>Skills!B15</f>
        <v/>
      </c>
      <c r="C1436">
        <f>Inputs!$B$3&gt;=117</f>
        <v/>
      </c>
      <c r="D1436">
        <f>IF(Skills!C15=1,60+Inputs!$B$25+Inputs!$B$29,IF(Skills!C15=2,90+Inputs!$B$26+Inputs!$B$29,IF(Skills!C15=3,120+Inputs!$B$27+Inputs!$B$29,MAX(0,(Inputs!$B$3-100)*3)+Inputs!$B$28+Inputs!$B$29)))</f>
        <v/>
      </c>
      <c r="E1436">
        <f>INDEX(FactorTable!$B$2:$Y$301, MATCH(ROUND(MIN(300,MAX(1,D1436)),0), FactorTable!$A$2:$A$301,0), Skills!M15+1)</f>
        <v/>
      </c>
      <c r="F1436">
        <f>IF(Skills!N15=TRUE,(Skills!L15/10)*(E1436/1000),Skills!L15/10)+Skills!O15</f>
        <v/>
      </c>
      <c r="G1436">
        <f>Skills!G15*IF(Skills!H15&gt;0,Skills!I15/Skills!H15,1)</f>
        <v/>
      </c>
      <c r="H1436">
        <f>1-(1-Skills!J15/100)^Skills!K15</f>
        <v/>
      </c>
      <c r="I1436" t="inlineStr">
        <is>
          <t>1</t>
        </is>
      </c>
      <c r="J1436" t="inlineStr"/>
      <c r="K1436" t="inlineStr"/>
      <c r="L1436" t="inlineStr"/>
      <c r="M1436" t="inlineStr"/>
      <c r="N1436" t="inlineStr"/>
      <c r="O1436">
        <f>(1-Summary!$B$11)*T1436+Summary!$B$11*V1436</f>
        <v/>
      </c>
      <c r="P1436">
        <f>IF(B1463=0,0,O1436/B1463)</f>
        <v/>
      </c>
      <c r="Q1436">
        <f>IFERROR(1/IF(Inputs!$B$38="pvp",15,MAX(0.1,Skills!D15-IF(Skills!E15=TRUE,Inputs!$B$32,0))),0)</f>
        <v/>
      </c>
      <c r="R1436">
        <f>IF(AND(Inputs!$B$38&lt;&gt;"pvp",Inputs!$B$43&gt;0),IF(Inputs!$B$43&lt;=0,0,(INT(Inputs!$B$43/IF(Inputs!$B$38="pvp",15,MAX(0.1,Skills!D15-IF(Skills!E15=TRUE,Inputs!$B$32,0))))+1)),0)</f>
        <v/>
      </c>
      <c r="S1436" t="n">
        <v>0</v>
      </c>
      <c r="T1436" t="n">
        <v>0</v>
      </c>
      <c r="V1436" t="n">
        <v>0</v>
      </c>
    </row>
    <row r="1437">
      <c r="A1437">
        <f>Skills!A16</f>
        <v/>
      </c>
      <c r="B1437">
        <f>Skills!B16</f>
        <v/>
      </c>
      <c r="C1437">
        <f>Inputs!$B$3&gt;=115</f>
        <v/>
      </c>
      <c r="D1437">
        <f>IF(Skills!C16=1,60+Inputs!$B$25+Inputs!$B$29,IF(Skills!C16=2,90+Inputs!$B$26+Inputs!$B$29,IF(Skills!C16=3,120+Inputs!$B$27+Inputs!$B$29,MAX(0,(Inputs!$B$3-100)*3)+Inputs!$B$28+Inputs!$B$29)))</f>
        <v/>
      </c>
      <c r="E1437">
        <f>INDEX(FactorTable!$B$2:$Y$301, MATCH(ROUND(MIN(300,MAX(1,D1437)),0), FactorTable!$A$2:$A$301,0), Skills!M16+1)</f>
        <v/>
      </c>
      <c r="F1437">
        <f>IF(Skills!N16=TRUE,(Skills!L16/10)*(E1437/1000),Skills!L16/10)+Skills!O16</f>
        <v/>
      </c>
      <c r="G1437">
        <f>Skills!G16*IF(Skills!H16&gt;0,Skills!I16/Skills!H16,1)</f>
        <v/>
      </c>
      <c r="H1437">
        <f>1-(1-Skills!J16/100)^Skills!K16</f>
        <v/>
      </c>
      <c r="I1437" t="inlineStr">
        <is>
          <t>1</t>
        </is>
      </c>
      <c r="J1437" t="inlineStr"/>
      <c r="K1437" t="inlineStr"/>
      <c r="L1437" t="inlineStr"/>
      <c r="M1437" t="inlineStr"/>
      <c r="N1437" t="inlineStr"/>
      <c r="O1437">
        <f>(1-Summary!$B$11)*T1437+Summary!$B$11*V1437</f>
        <v/>
      </c>
      <c r="P1437">
        <f>IF(B1463=0,0,O1437/B1463)</f>
        <v/>
      </c>
      <c r="Q1437">
        <f>IFERROR(1/IF(Inputs!$B$38="pvp",15,MAX(0.1,Skills!D16-IF(Skills!E16=TRUE,Inputs!$B$32,0))),0)</f>
        <v/>
      </c>
      <c r="R1437">
        <f>IF(AND(Inputs!$B$38&lt;&gt;"pvp",Inputs!$B$43&gt;0),IF(Inputs!$B$43&lt;=0,0,(INT(Inputs!$B$43/IF(Inputs!$B$38="pvp",15,MAX(0.1,Skills!D16-IF(Skills!E16=TRUE,Inputs!$B$32,0))))+1)),0)</f>
        <v/>
      </c>
      <c r="S1437" t="n">
        <v>0</v>
      </c>
      <c r="T1437" t="n">
        <v>0</v>
      </c>
      <c r="V1437" t="n">
        <v>0</v>
      </c>
    </row>
    <row r="1438">
      <c r="A1438">
        <f>Skills!A17</f>
        <v/>
      </c>
      <c r="B1438">
        <f>Skills!B17</f>
        <v/>
      </c>
      <c r="C1438">
        <f>Inputs!$B$3&gt;=72</f>
        <v/>
      </c>
      <c r="D1438">
        <f>IF(Skills!C17=1,60+Inputs!$B$25+Inputs!$B$29,IF(Skills!C17=2,90+Inputs!$B$26+Inputs!$B$29,IF(Skills!C17=3,120+Inputs!$B$27+Inputs!$B$29,MAX(0,(Inputs!$B$3-100)*3)+Inputs!$B$28+Inputs!$B$29)))</f>
        <v/>
      </c>
      <c r="E1438">
        <f>INDEX(FactorTable!$B$2:$Y$301, MATCH(ROUND(MIN(300,MAX(1,D1438)),0), FactorTable!$A$2:$A$301,0), Skills!M17+1)</f>
        <v/>
      </c>
      <c r="F1438">
        <f>IF(Skills!N17=TRUE,(Skills!L17/10)*(E1438/1000),Skills!L17/10)+Skills!O17</f>
        <v/>
      </c>
      <c r="G1438">
        <f>Skills!G17*IF(Skills!H17&gt;0,Skills!I17/Skills!H17,1)</f>
        <v/>
      </c>
      <c r="H1438">
        <f>1-(1-Skills!J17/100)^Skills!K17</f>
        <v/>
      </c>
      <c r="I1438" t="inlineStr">
        <is>
          <t>1</t>
        </is>
      </c>
      <c r="J1438" t="inlineStr"/>
      <c r="K1438" t="inlineStr"/>
      <c r="L1438" t="inlineStr"/>
      <c r="M1438" t="inlineStr"/>
      <c r="N1438" t="inlineStr"/>
      <c r="O1438">
        <f>(1-Summary!$B$11)*T1438+Summary!$B$11*V1438</f>
        <v/>
      </c>
      <c r="P1438">
        <f>IF(B1463=0,0,O1438/B1463)</f>
        <v/>
      </c>
      <c r="Q1438" t="n">
        <v>0</v>
      </c>
      <c r="R1438" t="n">
        <v>0</v>
      </c>
      <c r="S1438" t="n">
        <v>0</v>
      </c>
      <c r="T1438" t="n">
        <v>0</v>
      </c>
      <c r="V1438" t="n">
        <v>0</v>
      </c>
    </row>
    <row r="1439">
      <c r="A1439">
        <f>Skills!A18</f>
        <v/>
      </c>
      <c r="B1439">
        <f>Skills!B18</f>
        <v/>
      </c>
      <c r="C1439">
        <f>TRUE</f>
        <v/>
      </c>
      <c r="D1439">
        <f>IF(Skills!C18=1,60+Inputs!$B$25+Inputs!$B$29,IF(Skills!C18=2,90+Inputs!$B$26+Inputs!$B$29,IF(Skills!C18=3,120+Inputs!$B$27+Inputs!$B$29,MAX(0,(Inputs!$B$3-100)*3)+Inputs!$B$28+Inputs!$B$29)))</f>
        <v/>
      </c>
      <c r="E1439">
        <f>INDEX(FactorTable!$B$2:$Y$301, MATCH(ROUND(MIN(300,MAX(1,D1439)),0), FactorTable!$A$2:$A$301,0), Skills!M18+1)</f>
        <v/>
      </c>
      <c r="F1439">
        <f>IF(Skills!N18=TRUE,(Skills!L18/10)*(E1439/1000),Skills!L18/10)+Skills!O18</f>
        <v/>
      </c>
      <c r="G1439">
        <f>Skills!G18*IF(Skills!H18&gt;0,Skills!I18/Skills!H18,1)</f>
        <v/>
      </c>
      <c r="H1439">
        <f>1-(1-Skills!J18/100)^Skills!K18</f>
        <v/>
      </c>
      <c r="I1439" t="inlineStr">
        <is>
          <t>1</t>
        </is>
      </c>
      <c r="J1439" t="inlineStr"/>
      <c r="K1439" t="inlineStr"/>
      <c r="L1439" t="inlineStr"/>
      <c r="M1439" t="inlineStr"/>
      <c r="N1439" t="inlineStr"/>
      <c r="O1439">
        <f>(1-Summary!$B$11)*T1439+Summary!$B$11*V1439</f>
        <v/>
      </c>
      <c r="P1439">
        <f>IF(B1463=0,0,O1439/B1463)</f>
        <v/>
      </c>
      <c r="Q1439">
        <f>IFERROR(1/IF(Inputs!$B$38="pvp",15,MAX(0.1,Skills!D18-IF(Skills!E18=TRUE,Inputs!$B$32,0))),0)</f>
        <v/>
      </c>
      <c r="R1439">
        <f>IF(AND(Inputs!$B$38&lt;&gt;"pvp",Inputs!$B$43&gt;0),IF(Inputs!$B$43&lt;=0,0,(INT(Inputs!$B$43/IF(Inputs!$B$38="pvp",15,MAX(0.1,Skills!D18-IF(Skills!E18=TRUE,Inputs!$B$32,0))))+1)),0)</f>
        <v/>
      </c>
      <c r="S1439" t="n">
        <v>0</v>
      </c>
      <c r="T1439" t="n">
        <v>0</v>
      </c>
      <c r="V1439" t="n">
        <v>0</v>
      </c>
    </row>
    <row r="1440">
      <c r="A1440">
        <f>Skills!A19</f>
        <v/>
      </c>
      <c r="B1440">
        <f>Skills!B19</f>
        <v/>
      </c>
      <c r="C1440">
        <f>Inputs!$B$3&gt;=15</f>
        <v/>
      </c>
      <c r="D1440">
        <f>IF(Skills!C19=1,60+Inputs!$B$25+Inputs!$B$29,IF(Skills!C19=2,90+Inputs!$B$26+Inputs!$B$29,IF(Skills!C19=3,120+Inputs!$B$27+Inputs!$B$29,MAX(0,(Inputs!$B$3-100)*3)+Inputs!$B$28+Inputs!$B$29)))</f>
        <v/>
      </c>
      <c r="E1440">
        <f>INDEX(FactorTable!$B$2:$Y$301, MATCH(ROUND(MIN(300,MAX(1,D1440)),0), FactorTable!$A$2:$A$301,0), Skills!M19+1)</f>
        <v/>
      </c>
      <c r="F1440">
        <f>IF(Skills!N19=TRUE,(Skills!L19/10)*(E1440/1000),Skills!L19/10)+Skills!O19</f>
        <v/>
      </c>
      <c r="G1440">
        <f>Skills!G19*IF(Skills!H19&gt;0,Skills!I19/Skills!H19,1)</f>
        <v/>
      </c>
      <c r="H1440">
        <f>1-(1-Skills!J19/100)^Skills!K19</f>
        <v/>
      </c>
      <c r="I1440" t="inlineStr">
        <is>
          <t>1</t>
        </is>
      </c>
      <c r="J1440" t="inlineStr"/>
      <c r="K1440" t="inlineStr"/>
      <c r="L1440" t="inlineStr"/>
      <c r="M1440" t="inlineStr"/>
      <c r="N1440" t="inlineStr"/>
      <c r="O1440">
        <f>(1-Summary!$B$11)*T1440+Summary!$B$11*V1440</f>
        <v/>
      </c>
      <c r="P1440">
        <f>IF(B1463=0,0,O1440/B1463)</f>
        <v/>
      </c>
      <c r="Q1440" t="n">
        <v>0</v>
      </c>
      <c r="R1440" t="n">
        <v>0</v>
      </c>
      <c r="S1440" t="n">
        <v>0</v>
      </c>
      <c r="T1440" t="n">
        <v>0</v>
      </c>
      <c r="V1440" t="n">
        <v>0</v>
      </c>
    </row>
    <row r="1441">
      <c r="A1441">
        <f>Skills!A20</f>
        <v/>
      </c>
      <c r="B1441">
        <f>Skills!B20</f>
        <v/>
      </c>
      <c r="C1441">
        <f>Inputs!$B$3&gt;=10</f>
        <v/>
      </c>
      <c r="D1441">
        <f>IF(Skills!C20=1,60+Inputs!$B$25+Inputs!$B$29,IF(Skills!C20=2,90+Inputs!$B$26+Inputs!$B$29,IF(Skills!C20=3,120+Inputs!$B$27+Inputs!$B$29,MAX(0,(Inputs!$B$3-100)*3)+Inputs!$B$28+Inputs!$B$29)))</f>
        <v/>
      </c>
      <c r="E1441">
        <f>INDEX(FactorTable!$B$2:$Y$301, MATCH(ROUND(MIN(300,MAX(1,D1441)),0), FactorTable!$A$2:$A$301,0), Skills!M20+1)</f>
        <v/>
      </c>
      <c r="F1441">
        <f>IF(Skills!N20=TRUE,(Skills!L20/10)*(E1441/1000),Skills!L20/10)+Skills!O20</f>
        <v/>
      </c>
      <c r="G1441">
        <f>Skills!G20*IF(Skills!H20&gt;0,Skills!I20/Skills!H20,1)</f>
        <v/>
      </c>
      <c r="H1441">
        <f>1-(1-Skills!J20/100)^Skills!K20</f>
        <v/>
      </c>
      <c r="I1441" t="inlineStr">
        <is>
          <t>1</t>
        </is>
      </c>
      <c r="J1441" t="inlineStr"/>
      <c r="K1441" t="inlineStr"/>
      <c r="L1441" t="inlineStr"/>
      <c r="M1441" t="inlineStr"/>
      <c r="N1441" t="inlineStr"/>
      <c r="O1441">
        <f>(1-Summary!$B$11)*T1441+Summary!$B$11*V1441</f>
        <v/>
      </c>
      <c r="P1441">
        <f>IF(B1463=0,0,O1441/B1463)</f>
        <v/>
      </c>
      <c r="Q1441" t="n">
        <v>0</v>
      </c>
      <c r="R1441" t="n">
        <v>0</v>
      </c>
      <c r="S1441" t="n">
        <v>0</v>
      </c>
      <c r="T1441" t="n">
        <v>0</v>
      </c>
      <c r="V1441" t="n">
        <v>0</v>
      </c>
    </row>
    <row r="1442">
      <c r="A1442">
        <f>Skills!A21</f>
        <v/>
      </c>
      <c r="B1442">
        <f>Skills!B21</f>
        <v/>
      </c>
      <c r="C1442">
        <f>Inputs!$B$3&gt;=33</f>
        <v/>
      </c>
      <c r="D1442">
        <f>IF(Skills!C21=1,60+Inputs!$B$25+Inputs!$B$29,IF(Skills!C21=2,90+Inputs!$B$26+Inputs!$B$29,IF(Skills!C21=3,120+Inputs!$B$27+Inputs!$B$29,MAX(0,(Inputs!$B$3-100)*3)+Inputs!$B$28+Inputs!$B$29)))</f>
        <v/>
      </c>
      <c r="E1442">
        <f>INDEX(FactorTable!$B$2:$Y$301, MATCH(ROUND(MIN(300,MAX(1,D1442)),0), FactorTable!$A$2:$A$301,0), Skills!M21+1)</f>
        <v/>
      </c>
      <c r="F1442">
        <f>IF(Skills!N21=TRUE,(Skills!L21/10)*(E1442/1000),Skills!L21/10)+Skills!O21</f>
        <v/>
      </c>
      <c r="G1442">
        <f>Skills!G21*IF(Skills!H21&gt;0,Skills!I21/Skills!H21,1)</f>
        <v/>
      </c>
      <c r="H1442">
        <f>1-(1-Skills!J21/100)^Skills!K21</f>
        <v/>
      </c>
      <c r="I1442" t="inlineStr">
        <is>
          <t>1</t>
        </is>
      </c>
      <c r="J1442" t="inlineStr"/>
      <c r="K1442" t="inlineStr"/>
      <c r="L1442" t="inlineStr"/>
      <c r="M1442" t="inlineStr"/>
      <c r="N1442" t="inlineStr"/>
      <c r="O1442">
        <f>(1-Summary!$B$11)*T1442+Summary!$B$11*V1442</f>
        <v/>
      </c>
      <c r="P1442">
        <f>IF(B1463=0,0,O1442/B1463)</f>
        <v/>
      </c>
      <c r="Q1442" t="n">
        <v>0</v>
      </c>
      <c r="R1442" t="n">
        <v>0</v>
      </c>
      <c r="S1442" t="n">
        <v>0</v>
      </c>
      <c r="T1442" t="n">
        <v>0</v>
      </c>
      <c r="V1442" t="n">
        <v>0</v>
      </c>
    </row>
    <row r="1443">
      <c r="A1443">
        <f>Skills!A22</f>
        <v/>
      </c>
      <c r="B1443">
        <f>Skills!B22</f>
        <v/>
      </c>
      <c r="C1443">
        <f>Inputs!$B$3&gt;=38</f>
        <v/>
      </c>
      <c r="D1443">
        <f>IF(Skills!C22=1,60+Inputs!$B$25+Inputs!$B$29,IF(Skills!C22=2,90+Inputs!$B$26+Inputs!$B$29,IF(Skills!C22=3,120+Inputs!$B$27+Inputs!$B$29,MAX(0,(Inputs!$B$3-100)*3)+Inputs!$B$28+Inputs!$B$29)))</f>
        <v/>
      </c>
      <c r="E1443">
        <f>INDEX(FactorTable!$B$2:$Y$301, MATCH(ROUND(MIN(300,MAX(1,D1443)),0), FactorTable!$A$2:$A$301,0), Skills!M22+1)</f>
        <v/>
      </c>
      <c r="F1443">
        <f>IF(Skills!N22=TRUE,(Skills!L22/10)*(E1443/1000),Skills!L22/10)+Skills!O22</f>
        <v/>
      </c>
      <c r="G1443">
        <f>Skills!G22*IF(Skills!H22&gt;0,Skills!I22/Skills!H22,1)</f>
        <v/>
      </c>
      <c r="H1443">
        <f>1-(1-Skills!J22/100)^Skills!K22</f>
        <v/>
      </c>
      <c r="I1443" t="inlineStr">
        <is>
          <t>1</t>
        </is>
      </c>
      <c r="J1443" t="inlineStr"/>
      <c r="K1443" t="inlineStr"/>
      <c r="L1443" t="inlineStr"/>
      <c r="M1443" t="inlineStr"/>
      <c r="N1443" t="inlineStr"/>
      <c r="O1443">
        <f>(1-Summary!$B$11)*T1443+Summary!$B$11*V1443</f>
        <v/>
      </c>
      <c r="P1443">
        <f>IF(B1463=0,0,O1443/B1463)</f>
        <v/>
      </c>
      <c r="Q1443" t="n">
        <v>0</v>
      </c>
      <c r="R1443" t="n">
        <v>0</v>
      </c>
      <c r="S1443" t="n">
        <v>0</v>
      </c>
      <c r="T1443" t="n">
        <v>0</v>
      </c>
      <c r="V1443" t="n">
        <v>0</v>
      </c>
    </row>
    <row r="1444">
      <c r="A1444">
        <f>Skills!A23</f>
        <v/>
      </c>
      <c r="B1444">
        <f>Skills!B23</f>
        <v/>
      </c>
      <c r="C1444">
        <f>Inputs!$B$3&gt;=43</f>
        <v/>
      </c>
      <c r="D1444">
        <f>IF(Skills!C23=1,60+Inputs!$B$25+Inputs!$B$29,IF(Skills!C23=2,90+Inputs!$B$26+Inputs!$B$29,IF(Skills!C23=3,120+Inputs!$B$27+Inputs!$B$29,MAX(0,(Inputs!$B$3-100)*3)+Inputs!$B$28+Inputs!$B$29)))</f>
        <v/>
      </c>
      <c r="E1444">
        <f>INDEX(FactorTable!$B$2:$Y$301, MATCH(ROUND(MIN(300,MAX(1,D1444)),0), FactorTable!$A$2:$A$301,0), Skills!M23+1)</f>
        <v/>
      </c>
      <c r="F1444">
        <f>IF(Skills!N23=TRUE,(Skills!L23/10)*(E1444/1000),Skills!L23/10)+Skills!O23</f>
        <v/>
      </c>
      <c r="G1444">
        <f>Skills!G23*IF(Skills!H23&gt;0,Skills!I23/Skills!H23,1)</f>
        <v/>
      </c>
      <c r="H1444">
        <f>1-(1-Skills!J23/100)^Skills!K23</f>
        <v/>
      </c>
      <c r="I1444" t="inlineStr">
        <is>
          <t>1</t>
        </is>
      </c>
      <c r="J1444" t="inlineStr"/>
      <c r="K1444" t="inlineStr"/>
      <c r="L1444" t="inlineStr"/>
      <c r="M1444" t="inlineStr"/>
      <c r="N1444" t="inlineStr"/>
      <c r="O1444">
        <f>(1-Summary!$B$11)*T1444+Summary!$B$11*V1444</f>
        <v/>
      </c>
      <c r="P1444">
        <f>IF(B1463=0,0,O1444/B1463)</f>
        <v/>
      </c>
      <c r="Q1444" t="n">
        <v>0</v>
      </c>
      <c r="R1444" t="n">
        <v>0</v>
      </c>
      <c r="S1444" t="n">
        <v>0</v>
      </c>
      <c r="T1444" t="n">
        <v>0</v>
      </c>
      <c r="V1444" t="n">
        <v>0</v>
      </c>
    </row>
    <row r="1445">
      <c r="A1445">
        <f>Skills!A24</f>
        <v/>
      </c>
      <c r="B1445">
        <f>Skills!B24</f>
        <v/>
      </c>
      <c r="C1445">
        <f>Inputs!$B$3&gt;=75</f>
        <v/>
      </c>
      <c r="D1445">
        <f>IF(Skills!C24=1,60+Inputs!$B$25+Inputs!$B$29,IF(Skills!C24=2,90+Inputs!$B$26+Inputs!$B$29,IF(Skills!C24=3,120+Inputs!$B$27+Inputs!$B$29,MAX(0,(Inputs!$B$3-100)*3)+Inputs!$B$28+Inputs!$B$29)))</f>
        <v/>
      </c>
      <c r="E1445">
        <f>INDEX(FactorTable!$B$2:$Y$301, MATCH(ROUND(MIN(300,MAX(1,D1445)),0), FactorTable!$A$2:$A$301,0), Skills!M24+1)</f>
        <v/>
      </c>
      <c r="F1445">
        <f>IF(Skills!N24=TRUE,(Skills!L24/10)*(E1445/1000),Skills!L24/10)+Skills!O24</f>
        <v/>
      </c>
      <c r="G1445">
        <f>Skills!G24*IF(Skills!H24&gt;0,Skills!I24/Skills!H24,1)</f>
        <v/>
      </c>
      <c r="H1445">
        <f>1-(1-Skills!J24/100)^Skills!K24</f>
        <v/>
      </c>
      <c r="I1445" t="inlineStr">
        <is>
          <t>1</t>
        </is>
      </c>
      <c r="J1445" t="inlineStr"/>
      <c r="K1445" t="inlineStr"/>
      <c r="L1445" t="inlineStr"/>
      <c r="M1445" t="inlineStr"/>
      <c r="N1445" t="inlineStr"/>
      <c r="O1445">
        <f>(1-Summary!$B$11)*T1445+Summary!$B$11*V1445</f>
        <v/>
      </c>
      <c r="P1445">
        <f>IF(B1463=0,0,O1445/B1463)</f>
        <v/>
      </c>
      <c r="Q1445" t="n">
        <v>0</v>
      </c>
      <c r="R1445" t="n">
        <v>0</v>
      </c>
      <c r="S1445" t="n">
        <v>0</v>
      </c>
      <c r="T1445" t="n">
        <v>0</v>
      </c>
      <c r="V1445" t="n">
        <v>0</v>
      </c>
    </row>
    <row r="1446">
      <c r="A1446">
        <f>Skills!A25</f>
        <v/>
      </c>
      <c r="B1446">
        <f>Skills!B25</f>
        <v/>
      </c>
      <c r="C1446">
        <f>Inputs!$B$3&gt;=125</f>
        <v/>
      </c>
      <c r="D1446">
        <f>IF(Skills!C25=1,60+Inputs!$B$25+Inputs!$B$29,IF(Skills!C25=2,90+Inputs!$B$26+Inputs!$B$29,IF(Skills!C25=3,120+Inputs!$B$27+Inputs!$B$29,MAX(0,(Inputs!$B$3-100)*3)+Inputs!$B$28+Inputs!$B$29)))</f>
        <v/>
      </c>
      <c r="E1446">
        <f>INDEX(FactorTable!$B$2:$Y$301, MATCH(ROUND(MIN(300,MAX(1,D1446)),0), FactorTable!$A$2:$A$301,0), Skills!M25+1)</f>
        <v/>
      </c>
      <c r="F1446">
        <f>IF(Skills!N25=TRUE,(Skills!L25/10)*(E1446/1000),Skills!L25/10)+Skills!O25</f>
        <v/>
      </c>
      <c r="G1446">
        <f>Skills!G25*IF(Skills!H25&gt;0,Skills!I25/Skills!H25,1)</f>
        <v/>
      </c>
      <c r="H1446">
        <f>1-(1-Skills!J25/100)^Skills!K25</f>
        <v/>
      </c>
      <c r="I1446" t="inlineStr">
        <is>
          <t>1</t>
        </is>
      </c>
      <c r="J1446" t="inlineStr"/>
      <c r="K1446" t="inlineStr"/>
      <c r="L1446" t="inlineStr"/>
      <c r="M1446" t="inlineStr"/>
      <c r="N1446" t="inlineStr"/>
      <c r="O1446">
        <f>(1-Summary!$B$11)*T1446+Summary!$B$11*V1446</f>
        <v/>
      </c>
      <c r="P1446">
        <f>IF(B1463=0,0,O1446/B1463)</f>
        <v/>
      </c>
      <c r="Q1446" t="n">
        <v>0</v>
      </c>
      <c r="R1446" t="n">
        <v>0</v>
      </c>
      <c r="S1446" t="n">
        <v>0</v>
      </c>
      <c r="T1446" t="n">
        <v>0</v>
      </c>
      <c r="V1446" t="n">
        <v>0</v>
      </c>
    </row>
    <row r="1447">
      <c r="A1447">
        <f>Skills!A26</f>
        <v/>
      </c>
      <c r="B1447">
        <f>Skills!B26</f>
        <v/>
      </c>
      <c r="C1447">
        <f>Inputs!$B$3&gt;=125</f>
        <v/>
      </c>
      <c r="D1447">
        <f>IF(Skills!C26=1,60+Inputs!$B$25+Inputs!$B$29,IF(Skills!C26=2,90+Inputs!$B$26+Inputs!$B$29,IF(Skills!C26=3,120+Inputs!$B$27+Inputs!$B$29,MAX(0,(Inputs!$B$3-100)*3)+Inputs!$B$28+Inputs!$B$29)))</f>
        <v/>
      </c>
      <c r="E1447">
        <f>INDEX(FactorTable!$B$2:$Y$301, MATCH(ROUND(MIN(300,MAX(1,D1447)),0), FactorTable!$A$2:$A$301,0), Skills!M26+1)</f>
        <v/>
      </c>
      <c r="F1447">
        <f>IF(Skills!N26=TRUE,(Skills!L26/10)*(E1447/1000),Skills!L26/10)+Skills!O26</f>
        <v/>
      </c>
      <c r="G1447">
        <f>Skills!G26*IF(Skills!H26&gt;0,Skills!I26/Skills!H26,1)</f>
        <v/>
      </c>
      <c r="H1447">
        <f>1-(1-Skills!J26/100)^Skills!K26</f>
        <v/>
      </c>
      <c r="I1447" t="inlineStr">
        <is>
          <t>1</t>
        </is>
      </c>
      <c r="J1447" t="inlineStr"/>
      <c r="K1447" t="inlineStr"/>
      <c r="L1447" t="inlineStr"/>
      <c r="M1447" t="inlineStr"/>
      <c r="N1447" t="inlineStr"/>
      <c r="O1447">
        <f>(1-Summary!$B$11)*T1447+Summary!$B$11*V1447</f>
        <v/>
      </c>
      <c r="P1447">
        <f>IF(B1463=0,0,O1447/B1463)</f>
        <v/>
      </c>
      <c r="Q1447" t="n">
        <v>0</v>
      </c>
      <c r="R1447" t="n">
        <v>0</v>
      </c>
      <c r="S1447" t="n">
        <v>0</v>
      </c>
      <c r="T1447" t="n">
        <v>0</v>
      </c>
      <c r="V1447" t="n">
        <v>0</v>
      </c>
    </row>
    <row r="1448">
      <c r="A1448">
        <f>Skills!A27</f>
        <v/>
      </c>
      <c r="B1448">
        <f>Skills!B27</f>
        <v/>
      </c>
      <c r="C1448">
        <f>Inputs!$B$3&gt;=120</f>
        <v/>
      </c>
      <c r="D1448">
        <f>IF(Skills!C27=1,60+Inputs!$B$25+Inputs!$B$29,IF(Skills!C27=2,90+Inputs!$B$26+Inputs!$B$29,IF(Skills!C27=3,120+Inputs!$B$27+Inputs!$B$29,MAX(0,(Inputs!$B$3-100)*3)+Inputs!$B$28+Inputs!$B$29)))</f>
        <v/>
      </c>
      <c r="E1448">
        <f>INDEX(FactorTable!$B$2:$Y$301, MATCH(ROUND(MIN(300,MAX(1,D1448)),0), FactorTable!$A$2:$A$301,0), Skills!M27+1)</f>
        <v/>
      </c>
      <c r="F1448">
        <f>IF(Skills!N27=TRUE,(Skills!L27/10)*(E1448/1000),Skills!L27/10)+Skills!O27</f>
        <v/>
      </c>
      <c r="G1448">
        <f>Skills!G27*IF(Skills!H27&gt;0,Skills!I27/Skills!H27,1)</f>
        <v/>
      </c>
      <c r="H1448">
        <f>1-(1-Skills!J27/100)^Skills!K27</f>
        <v/>
      </c>
      <c r="I1448" t="inlineStr">
        <is>
          <t>1</t>
        </is>
      </c>
      <c r="J1448" t="inlineStr"/>
      <c r="K1448" t="inlineStr"/>
      <c r="L1448" t="inlineStr"/>
      <c r="M1448" t="inlineStr"/>
      <c r="N1448" t="inlineStr"/>
      <c r="O1448">
        <f>(1-Summary!$B$11)*T1448+Summary!$B$11*V1448</f>
        <v/>
      </c>
      <c r="P1448">
        <f>IF(B1463=0,0,O1448/B1463)</f>
        <v/>
      </c>
      <c r="Q1448" t="n">
        <v>0</v>
      </c>
      <c r="R1448" t="n">
        <v>0</v>
      </c>
      <c r="S1448" t="n">
        <v>0</v>
      </c>
      <c r="T1448" t="n">
        <v>0</v>
      </c>
      <c r="V1448" t="n">
        <v>0</v>
      </c>
    </row>
    <row r="1449">
      <c r="A1449">
        <f>Skills!A28</f>
        <v/>
      </c>
      <c r="B1449">
        <f>Skills!B28</f>
        <v/>
      </c>
      <c r="C1449">
        <f>Inputs!$B$3&gt;=120</f>
        <v/>
      </c>
      <c r="D1449">
        <f>IF(Skills!C28=1,60+Inputs!$B$25+Inputs!$B$29,IF(Skills!C28=2,90+Inputs!$B$26+Inputs!$B$29,IF(Skills!C28=3,120+Inputs!$B$27+Inputs!$B$29,MAX(0,(Inputs!$B$3-100)*3)+Inputs!$B$28+Inputs!$B$29)))</f>
        <v/>
      </c>
      <c r="E1449">
        <f>INDEX(FactorTable!$B$2:$Y$301, MATCH(ROUND(MIN(300,MAX(1,D1449)),0), FactorTable!$A$2:$A$301,0), Skills!M28+1)</f>
        <v/>
      </c>
      <c r="F1449">
        <f>IF(Skills!N28=TRUE,(Skills!L28/10)*(E1449/1000),Skills!L28/10)+Skills!O28</f>
        <v/>
      </c>
      <c r="G1449">
        <f>Skills!G28*IF(Skills!H28&gt;0,Skills!I28/Skills!H28,1)</f>
        <v/>
      </c>
      <c r="H1449">
        <f>1-(1-Skills!J28/100)^Skills!K28</f>
        <v/>
      </c>
      <c r="I1449" t="inlineStr">
        <is>
          <t>1</t>
        </is>
      </c>
      <c r="J1449" t="inlineStr"/>
      <c r="K1449" t="inlineStr"/>
      <c r="L1449" t="inlineStr"/>
      <c r="M1449" t="inlineStr"/>
      <c r="N1449" t="inlineStr"/>
      <c r="O1449">
        <f>(1-Summary!$B$11)*T1449+Summary!$B$11*V1449</f>
        <v/>
      </c>
      <c r="P1449">
        <f>IF(B1463=0,0,O1449/B1463)</f>
        <v/>
      </c>
      <c r="Q1449" t="n">
        <v>0</v>
      </c>
      <c r="R1449" t="n">
        <v>0</v>
      </c>
      <c r="S1449" t="n">
        <v>0</v>
      </c>
      <c r="T1449" t="n">
        <v>0</v>
      </c>
      <c r="V1449" t="n">
        <v>0</v>
      </c>
    </row>
    <row r="1450">
      <c r="A1450">
        <f>Skills!A29</f>
        <v/>
      </c>
      <c r="B1450">
        <f>Skills!B29</f>
        <v/>
      </c>
      <c r="C1450">
        <f>Inputs!$B$3&gt;=45</f>
        <v/>
      </c>
      <c r="D1450">
        <f>IF(Skills!C29=1,60+Inputs!$B$25+Inputs!$B$29,IF(Skills!C29=2,90+Inputs!$B$26+Inputs!$B$29,IF(Skills!C29=3,120+Inputs!$B$27+Inputs!$B$29,MAX(0,(Inputs!$B$3-100)*3)+Inputs!$B$28+Inputs!$B$29)))</f>
        <v/>
      </c>
      <c r="E1450">
        <f>INDEX(FactorTable!$B$2:$Y$301, MATCH(ROUND(MIN(300,MAX(1,D1450)),0), FactorTable!$A$2:$A$301,0), Skills!M29+1)</f>
        <v/>
      </c>
      <c r="F1450">
        <f>IF(Skills!N29=TRUE,(Skills!L29/10)*(E1450/1000),Skills!L29/10)+Skills!O29</f>
        <v/>
      </c>
      <c r="G1450">
        <f>Skills!G29*IF(Skills!H29&gt;0,Skills!I29/Skills!H29,1)</f>
        <v/>
      </c>
      <c r="H1450">
        <f>1-(1-Skills!J29/100)^Skills!K29</f>
        <v/>
      </c>
      <c r="I1450" t="inlineStr">
        <is>
          <t>1</t>
        </is>
      </c>
      <c r="J1450" t="inlineStr"/>
      <c r="K1450" t="inlineStr"/>
      <c r="L1450" t="inlineStr"/>
      <c r="M1450" t="inlineStr"/>
      <c r="N1450" t="inlineStr"/>
      <c r="O1450">
        <f>(1-Summary!$B$11)*T1450+Summary!$B$11*V1450</f>
        <v/>
      </c>
      <c r="P1450">
        <f>IF(B1463=0,0,O1450/B1463)</f>
        <v/>
      </c>
      <c r="Q1450" t="n">
        <v>0</v>
      </c>
      <c r="R1450" t="n">
        <v>0</v>
      </c>
      <c r="S1450" t="n">
        <v>0</v>
      </c>
      <c r="T1450" t="n">
        <v>0</v>
      </c>
      <c r="V1450" t="n">
        <v>0</v>
      </c>
    </row>
    <row r="1452">
      <c r="A1452" t="inlineStr">
        <is>
          <t>Attack% Bucket Multiplier</t>
        </is>
      </c>
      <c r="B1452">
        <f>(1+(((C1434=TRUE)*F1434)+((C1435=TRUE)*IF(Inputs!$B$38="pvp",F1435,(1-Summary!$B$11)*(F1435)+Summary!$B$11*(0)))+((C1436=TRUE)*F1436*IF(AND(Inputs!$B$38&lt;&gt;"pvp",Inputs!$B$43&gt;0),(((R1436-1)*(Skills!T15*(1+Inputs!$B$34/100))+MIN((Skills!T15*(1+Inputs!$B$34/100)),MAX(0,Inputs!$B$43-((R1436-1)*Skills!D15))))/Inputs!$B$43),IF(Inputs!$B$38="pvp",MIN((Skills!T15*(1+Inputs!$B$34/100)),15)/15,(Skills!T15*(1+Inputs!$B$34/100))/Skills!D15)))+((C1433=TRUE)*F1433)+((C1450=TRUE)*(F1450-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1453">
      <c r="A1453" t="inlineStr">
        <is>
          <t>Global Crit Rate Bonus %</t>
        </is>
      </c>
      <c r="B1453">
        <f>(C1437=TRUE)*20*IF(AND(Inputs!$B$38&lt;&gt;"pvp",Inputs!$B$43&gt;0),(((R1437-1)*(Skills!T16*(1+Inputs!$B$34/100))+MIN((Skills!T16*(1+Inputs!$B$34/100)),MAX(0,Inputs!$B$43-((R1437-1)*Skills!D16))))/Inputs!$B$43),IF(Inputs!$B$38="pvp",MIN((Skills!T16*(1+Inputs!$B$34/100)),15)/15,(Skills!T16*(1+Inputs!$B$34/100))/Skills!D16))</f>
        <v/>
      </c>
    </row>
    <row r="1454">
      <c r="A1454" t="inlineStr">
        <is>
          <t>Attack Speed Buff Bonus %</t>
        </is>
      </c>
      <c r="B1454">
        <f>((C1439=TRUE)*F1439*IF(AND(Inputs!$B$38&lt;&gt;"pvp",Inputs!$B$43&gt;0),(((R1439-1)*(Skills!T18*(1+Inputs!$B$34/100))+MIN((Skills!T18*(1+Inputs!$B$34/100)),MAX(0,Inputs!$B$43-((R1439-1)*Skills!D18))))/Inputs!$B$43),IF(Inputs!$B$38="pvp",MIN((Skills!T18*(1+Inputs!$B$34/100)),15)/15,(Skills!T18*(1+Inputs!$B$34/100))/Skills!D18)))</f>
        <v/>
      </c>
    </row>
    <row r="1455">
      <c r="A1455" t="inlineStr">
        <is>
          <t>Actions Per Second</t>
        </is>
      </c>
      <c r="B1455">
        <f>1+MIN(150,150*(1-(1-(Inputs!$B$11+((C1441=TRUE)*(F1441-Calc!F20))+((C1442=TRUE)*(F1442-Calc!F21)))/150)*(1-B1454/150)))/100</f>
        <v/>
      </c>
    </row>
    <row r="1456">
      <c r="A1456" t="inlineStr">
        <is>
          <t>Skill + Buff Cast Rate</t>
        </is>
      </c>
      <c r="B1456">
        <f>IF(AND(Inputs!$B$38&lt;&gt;"pvp",Inputs!$B$43&gt;0),SUMPRODUCT((Skills!E2:E29=TRUE)*(C1423:C1450=TRUE)*R1423:R1450*Skills!F2:F29)/Inputs!$B$43,SUMPRODUCT((Skills!E2:E29=TRUE)*(C1423:C1450=TRUE)*Q1423:Q1450*Skills!F2:F29))</f>
        <v/>
      </c>
    </row>
    <row r="1457">
      <c r="A1457" t="inlineStr">
        <is>
          <t>Empowered Piercing Arrow Casts Per Second</t>
        </is>
      </c>
      <c r="B1457">
        <f>MAX(0,B1455-B1456)</f>
        <v/>
      </c>
    </row>
    <row r="1458">
      <c r="A1458" t="inlineStr">
        <is>
          <t>Global Critical Damage Bonus % (Sharp Eyes)</t>
        </is>
      </c>
      <c r="B1458">
        <f>(C1437=TRUE)*F1437*IF(AND(Inputs!$B$38&lt;&gt;"pvp",Inputs!$B$43&gt;0),(((R1437-1)*(Skills!T16*(1+Inputs!$B$34/100))+MIN((Skills!T16*(1+Inputs!$B$34/100)),MAX(0,Inputs!$B$43-((R1437-1)*Skills!D16))))/Inputs!$B$43),IF(Inputs!$B$38="pvp",MIN((Skills!T16*(1+Inputs!$B$34/100)),15)/15,(Skills!T16*(1+Inputs!$B$34/100))/Skills!D16))</f>
        <v/>
      </c>
    </row>
    <row r="1459">
      <c r="A1459" t="inlineStr">
        <is>
          <t>Global Final Damage Bonus % (Mortal Blow + Last Man Standing conditional half)</t>
        </is>
      </c>
      <c r="B1459">
        <f>(C1438=TRUE)*F1438+((C1447=TRUE)*IF(Inputs!$B$38="pvp",F1447,(1-Summary!$B$11)*(F1447)+Summary!$B$11*(0)))</f>
        <v/>
      </c>
    </row>
    <row r="1460">
      <c r="A1460" t="inlineStr">
        <is>
          <t>Buff-Casting Startup Delay (s, fixed-duration only)</t>
        </is>
      </c>
      <c r="B1460">
        <f>IF(AND(Inputs!$B$38&lt;&gt;"pvp",Inputs!$B$43&gt;0),SUMPRODUCT((Skills!T2:T29&gt;0)*(Skills!E2:E29=TRUE)*(C1423:C1450=TRUE))/B1455,0)</f>
        <v/>
      </c>
    </row>
    <row r="1461">
      <c r="A1461" t="inlineStr">
        <is>
          <t>Boss-Only Total DPS (this block's swept value)</t>
        </is>
      </c>
      <c r="B1461">
        <f>SUM(T1423:T1450)</f>
        <v/>
      </c>
    </row>
    <row r="1462">
      <c r="A1462" t="inlineStr">
        <is>
          <t>Normal-Only Total DPS (this block's swept value)</t>
        </is>
      </c>
      <c r="B1462">
        <f>SUM(V1423:V1450)</f>
        <v/>
      </c>
    </row>
    <row r="1463">
      <c r="A1463" s="6" t="inlineStr">
        <is>
          <t>TOTAL DPS</t>
        </is>
      </c>
      <c r="B1463" s="6">
        <f>SUM(O1423:O1450)</f>
        <v/>
      </c>
    </row>
    <row r="1466">
      <c r="A1466" s="6" t="inlineStr">
        <is>
          <t>Stat: Hexagon Necklace (Equip)</t>
        </is>
      </c>
    </row>
    <row r="1467">
      <c r="A1467" s="5" t="inlineStr">
        <is>
          <t>Key</t>
        </is>
      </c>
      <c r="B1467" s="5" t="inlineStr">
        <is>
          <t>Name</t>
        </is>
      </c>
      <c r="C1467" s="5" t="inlineStr">
        <is>
          <t>Unlocked</t>
        </is>
      </c>
      <c r="D1467" s="5" t="inlineStr">
        <is>
          <t>InputLevel</t>
        </is>
      </c>
      <c r="E1467" s="5" t="inlineStr">
        <is>
          <t>Factor</t>
        </is>
      </c>
      <c r="F1467" s="5" t="inlineStr">
        <is>
          <t>CoefficientPercent</t>
        </is>
      </c>
      <c r="G1467" s="5" t="inlineStr">
        <is>
          <t>EffectiveHits</t>
        </is>
      </c>
      <c r="H1467" s="5" t="inlineStr">
        <is>
          <t>ProcProbability</t>
        </is>
      </c>
      <c r="I1467" s="5" t="inlineStr">
        <is>
          <t>MapleHeroMultiplier</t>
        </is>
      </c>
      <c r="J1467" s="5" t="inlineStr">
        <is>
          <t>BaseDamage</t>
        </is>
      </c>
      <c r="K1467" s="5" t="inlineStr">
        <is>
          <t>BaseHitDamage</t>
        </is>
      </c>
      <c r="L1467" s="5" t="inlineStr">
        <is>
          <t>NonCritAvg</t>
        </is>
      </c>
      <c r="M1467" s="5" t="inlineStr">
        <is>
          <t>CritAvg</t>
        </is>
      </c>
      <c r="N1467" s="5" t="inlineStr">
        <is>
          <t>ExpectedDamage(perHit)</t>
        </is>
      </c>
      <c r="O1467" s="5" t="inlineStr">
        <is>
          <t>DPS</t>
        </is>
      </c>
      <c r="P1467" s="5" t="inlineStr">
        <is>
          <t>% of Total</t>
        </is>
      </c>
      <c r="Q1467" s="5" t="inlineStr">
        <is>
          <t>InvCooldown</t>
        </is>
      </c>
      <c r="R1467" s="5" t="inlineStr">
        <is>
          <t>CastsInFight</t>
        </is>
      </c>
      <c r="S1467" s="5" t="inlineStr">
        <is>
          <t>HitRate(perSec)</t>
        </is>
      </c>
      <c r="U1467" t="inlineStr">
        <is>
          <t>helpers</t>
        </is>
      </c>
    </row>
    <row r="1468">
      <c r="A1468">
        <f>Skills!A2</f>
        <v/>
      </c>
      <c r="B1468">
        <f>Skills!B2</f>
        <v/>
      </c>
      <c r="C1468">
        <f>Inputs!$B$3&gt;=100</f>
        <v/>
      </c>
      <c r="D1468" t="inlineStr"/>
      <c r="E1468" t="inlineStr"/>
      <c r="F1468">
        <f>U1470+Skills!O2</f>
        <v/>
      </c>
      <c r="G1468">
        <f>Skills!G2*IF(Skills!H2&gt;0,Skills!I2/Skills!H2,1)</f>
        <v/>
      </c>
      <c r="H1468">
        <f>1-(1-Skills!J2/100)^Skills!K2</f>
        <v/>
      </c>
      <c r="I1468" t="inlineStr">
        <is>
          <t>1</t>
        </is>
      </c>
      <c r="J1468">
        <f>((Inputs!$B$6*(1+Inputs!$B$7/100))+(((Inputs!$B$12*(1+Inputs!$B$13/100))-(Inputs!$B$12*(1+Inputs!$B$13/100)))+0.25*(Inputs!$B$14-Inputs!$B$14))*(1+Inputs!$B$7/100))*(F1468/100)</f>
        <v/>
      </c>
      <c r="K1468">
        <f>J1468*(1+((Inputs!$B$12*(1+Inputs!$B$13/100))*0.01+Inputs!$B$14*0.0025)/100)*(1+Inputs!$B$15/100)*(1+Inputs!$B$16/100)*(5000/(6000+Inputs!$B$42*(1-(100*(1-(1-(Inputs!$B$19+0)/100)*(1-CHOOSE(ArtifactsInput!$N$40+1,5,6,7,8,9,10)/100)^(ArtifactsInput!$M$40-ArtifactsInput!$M$40)))/100)))*(1+(Inputs!$B$24+((C1490=TRUE)*(F1490-Calc!F24))+((C1491=TRUE)*(F1491-Calc!F25))+B1504)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EMPOWERED_PIERCING_ARROW",Inputs!$B$17+((C1488=TRUE)*(F1488-Calc!F22))+(((IF(AND(ArtifactsInput!$M$42,((Inputs!$B$9+((C1485=TRUE)*(F1485-Calc!F19))+B1498+(ArtifactsInput!$M$24-ArtifactsInput!$M$24)*CHOOSE(ArtifactsInput!$N$24+1,10,12,14,16,18,20)+IF(ArtifactsInput!$M$10,CHOOSE(ArtifactsInput!$N$10+1,15,18,21,24,27,30)*(IF(Inputs!$B$38="pvp",MIN(15,15)/15,IF(AND(Inputs!$B$38&lt;&gt;"pvp",Inputs!$B$43&gt;0),MIN(15,Inputs!$B$43)/(Inputs!$B$43),0))),0)))&gt;=100),MIN(100,((Inputs!$B$9+((C1485=TRUE)*(F1485-Calc!F19))+B1498+(ArtifactsInput!$M$24-ArtifactsInput!$M$24)*CHOOSE(ArtifactsInput!$N$24+1,10,12,14,16,18,20)+IF(ArtifactsInput!$M$10,CHOOSE(ArtifactsInput!$N$10+1,15,18,21,24,27,30)*(IF(Inputs!$B$38="pvp",MIN(15,15)/15,IF(AND(Inputs!$B$38&lt;&gt;"pvp",Inputs!$B$43&gt;0),MIN(15,Inputs!$B$43)/(Inputs!$B$43),0))),0)))-100),0))*CHOOSE(ArtifactsInput!$N$42+1,0.6,0.72,0.84,0.96,1.08,1.2))),Inputs!$B$18+((C1493=TRUE)*(F1493-Calc!F27))+(IF(AND(ArtifactsInput!$M$42,((Inputs!$B$9+((C1485=TRUE)*(F1485-Calc!F19))+B1498+(ArtifactsInput!$M$24-ArtifactsInput!$M$24)*CHOOSE(ArtifactsInput!$N$24+1,10,12,14,16,18,20)+IF(ArtifactsInput!$M$10,CHOOSE(ArtifactsInput!$N$10+1,15,18,21,24,27,30)*(IF(Inputs!$B$38="pvp",MIN(15,15)/15,IF(AND(Inputs!$B$38&lt;&gt;"pvp",Inputs!$B$43&gt;0),MIN(15,Inputs!$B$43)/(Inputs!$B$43),0))),0)))&gt;=100),CHOOSE(ArtifactsInput!$N$42+1,40,48,56,64,72,80),0))))/100)*((1+(((C1479=TRUE)*F1479)+((C1480=TRUE)*IF(Inputs!$B$38="pvp",F1480,(1-Summary!$B$11)*(F1480)+Summary!$B$11*(0)))+((C1481=TRUE)*F1481*IF(AND(Inputs!$B$38&lt;&gt;"pvp",Inputs!$B$43&gt;0),(((R1481-1)*(Skills!T15*(1+Inputs!$B$34/100))+MIN((Skills!T15*(1+Inputs!$B$34/100)),MAX(0,Inputs!$B$43-((R1481-1)*Skills!D15))))/Inputs!$B$43),IF(Inputs!$B$38="pvp",MIN((Skills!T15*(1+Inputs!$B$34/100)),15)/15,(Skills!T15*(1+Inputs!$B$34/100))/Skills!D15)))+((C1478=TRUE)*F1478)+((C1495=TRUE)*(F1495-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IF(ArtifactsInput!$M$11,FALSE,TRUE),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1468)</f>
        <v/>
      </c>
      <c r="L1468">
        <f>K1468*(MIN(Inputs!$B$22+((C1489=TRUE)*(F1489-Calc!F23)),(Inputs!$B$23+((C1494=TRUE)*(F1494-Calc!F28))+(IF(ArtifactsInput!$M$15,CHOOSE(ArtifactsInput!$N$15+1,25,30,35,40,45,50)/100*(Inputs!$B$11-Inputs!$B$11),0))))/100+(Inputs!$B$23+((C1494=TRUE)*(F1494-Calc!F28))+(IF(ArtifactsInput!$M$15,CHOOSE(ArtifactsInput!$N$15+1,25,30,35,40,45,50)/100*(Inputs!$B$11-Inputs!$B$11),0)))/100)/2</f>
        <v/>
      </c>
      <c r="M1468">
        <f>L1468*(1+(Inputs!$B$10+0+B1503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468">
        <f>L1468*(1-MIN((Inputs!$B$9+((C1485=TRUE)*(F1485-Calc!F19))+B1498+(ArtifactsInput!$M$24-ArtifactsInput!$M$24)*CHOOSE(ArtifactsInput!$N$24+1,10,12,14,16,18,20)+(IF(AND(ArtifactsInput!$M$42,((Inputs!$B$9+((C1485=TRUE)*(F1485-Calc!F19))+B1498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1468*(MIN((Inputs!$B$9+((C1485=TRUE)*(F1485-Calc!F19))+B1498+(ArtifactsInput!$M$24-ArtifactsInput!$M$24)*CHOOSE(ArtifactsInput!$N$24+1,10,12,14,16,18,20)+(IF(AND(ArtifactsInput!$M$42,((Inputs!$B$9+((C1485=TRUE)*(F1485-Calc!F19))+B1498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468">
        <f>(1-Summary!$B$11)*T1468+Summary!$B$11*V1468</f>
        <v/>
      </c>
      <c r="P1468">
        <f>IF(B1508=0,0,O1468/B1508)</f>
        <v/>
      </c>
      <c r="Q1468" t="n">
        <v>0</v>
      </c>
      <c r="R1468" t="n">
        <v>0</v>
      </c>
      <c r="S1468">
        <f>IFERROR((Skills!G2*N1468*B1502)/N1468*IF(Inputs!$B$38="pvp",1,(1-Summary!$B$11)*1+Summary!$B$11*(MIN((6+Inputs!$B$33),Inputs!$B$37))),0)</f>
        <v/>
      </c>
      <c r="T1468">
        <f>IF(C1468,(Skills!G2*N1468*B1502)*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Hunt"),CHOOSE(ArtifactsInput!$N$35+1,15,18,21,24,27,30)*(1-EXP(-(0.2*B1500)*5)),0)+IF(AND(ArtifactsInput!$M$22,Inputs!$B$4&lt;&gt;"Chapter Hunt"),CHOOSE(ArtifactsInput!$N$22+1,10,12,14,16,18,20)*((0*(((0.15*B1500*5))^0/1)+1*(((0.15*B1500*5))^1/1)+2*(((0.15*B1500*5))^2/2)+3*(((0.15*B1500*5))^3/6)+4*(((0.15*B1500*5))^4/24)+5*(((0.15*B1500*5))^5/120))/((((0.15*B1500*5))^0/1)+(((0.15*B1500*5))^1/1)+(((0.15*B1500*5))^2/2)+(((0.15*B1500*5))^3/6)+(((0.15*B1500*5))^4/24)+(((0.15*B1500*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1468*(1-MIN(100,(Inputs!$B$9+((C1485=TRUE)*(F1485-Calc!F19))+B1498+(ArtifactsInput!$M$24-ArtifactsInput!$M$24)*CHOOSE(ArtifactsInput!$N$24+1,10,12,14,16,18,20)+(IF(AND(ArtifactsInput!$M$42,((Inputs!$B$9+((C1485=TRUE)*(F1485-Calc!F19))+B1498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1468*(MIN(100,(Inputs!$B$9+((C1485=TRUE)*(F1485-Calc!F19))+B1498+(ArtifactsInput!$M$24-ArtifactsInput!$M$24)*CHOOSE(ArtifactsInput!$N$24+1,10,12,14,16,18,20)+(IF(AND(ArtifactsInput!$M$42,((Inputs!$B$9+((C1485=TRUE)*(F1485-Calc!F19))+B1498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1468*(1-MIN(100,(Inputs!$B$9+((C1485=TRUE)*(F1485-Calc!F19))+B1498+(ArtifactsInput!$M$24-ArtifactsInput!$M$24)*CHOOSE(ArtifactsInput!$N$24+1,10,12,14,16,18,20)+(IF(AND(ArtifactsInput!$M$42,((Inputs!$B$9+((C1485=TRUE)*(F1485-Calc!F19))+B1498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1468*(MIN(100,(Inputs!$B$9+((C1485=TRUE)*(F1485-Calc!F19))+B1498+(ArtifactsInput!$M$24-ArtifactsInput!$M$24)*CHOOSE(ArtifactsInput!$N$24+1,10,12,14,16,18,20)+(IF(AND(ArtifactsInput!$M$42,((Inputs!$B$9+((C1485=TRUE)*(F1485-Calc!F19))+B1498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468">
        <f>MAX(0,(Inputs!$B$3-100)*3)+Inputs!$B$28+Inputs!$B$29</f>
        <v/>
      </c>
      <c r="V1468">
        <f>IF(C1468,(Skills!G2*N1468*B1502)*IF(Inputs!$B$38="pvp",1,(1+(Inputs!$B$21+Skills!Q2+(IF(ArtifactsInput!$M$33,CHOOSE(ArtifactsInput!$N$33+1,30,36,42,48,54,60),0))+(IF(AND(ArtifactsInput!$M$35,Inputs!$B$4&lt;&gt;"Chapter Hunt"),CHOOSE(ArtifactsInput!$N$35+1,15,18,21,24,27,30)*(1-EXP(-(0.2*B1500)*5)),0)+IF(AND(ArtifactsInput!$M$22,Inputs!$B$4&lt;&gt;"Chapter Hunt"),CHOOSE(ArtifactsInput!$N$22+1,10,12,14,16,18,20)*((0*(((0.15*B1500*5))^0/1)+1*(((0.15*B1500*5))^1/1)+2*(((0.15*B1500*5))^2/2)+3*(((0.15*B1500*5))^3/6)+4*(((0.15*B1500*5))^4/24)+5*(((0.15*B1500*5))^5/120))/((((0.15*B1500*5))^0/1)+(((0.15*B1500*5))^1/1)+(((0.15*B1500*5))^2/2)+(((0.15*B1500*5))^3/6)+(((0.15*B1500*5))^4/24)+(((0.15*B1500*5))^5/120)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469">
      <c r="A1469">
        <f>Skills!A3</f>
        <v/>
      </c>
      <c r="B1469">
        <f>Skills!B3</f>
        <v/>
      </c>
      <c r="C1469">
        <f>Inputs!$B$3&gt;=50</f>
        <v/>
      </c>
      <c r="D1469">
        <f>IF(Skills!C3=1,60+Inputs!$B$25+Inputs!$B$29,IF(Skills!C3=2,90+Inputs!$B$26+Inputs!$B$29,IF(Skills!C3=3,120+Inputs!$B$27+Inputs!$B$29,MAX(0,(Inputs!$B$3-100)*3)+Inputs!$B$28+Inputs!$B$29)))</f>
        <v/>
      </c>
      <c r="E1469">
        <f>INDEX(FactorTable!$B$2:$Y$301, MATCH(ROUND(MIN(300,MAX(1,D1469)),0), FactorTable!$A$2:$A$301,0), Skills!M3+1)</f>
        <v/>
      </c>
      <c r="F1469">
        <f>IF(Skills!N3=TRUE,(Skills!L3/10)*(E1469/1000),Skills!L3/10)+Skills!O3</f>
        <v/>
      </c>
      <c r="G1469" t="inlineStr"/>
      <c r="H1469" t="inlineStr"/>
      <c r="I1469" t="inlineStr">
        <is>
          <t>1</t>
        </is>
      </c>
      <c r="J1469" t="inlineStr"/>
      <c r="K1469" t="inlineStr"/>
      <c r="L1469" t="inlineStr"/>
      <c r="M1469" t="inlineStr"/>
      <c r="N1469" t="inlineStr"/>
      <c r="O1469" t="inlineStr"/>
      <c r="P1469" t="inlineStr"/>
      <c r="Q1469" t="inlineStr"/>
      <c r="R1469" t="inlineStr"/>
      <c r="S1469" t="inlineStr"/>
      <c r="T1469" t="inlineStr"/>
      <c r="U1469">
        <f>INDEX(FactorTable!$B$2:$Y$301, MATCH(ROUND(MIN(300,MAX(1,U1468)),0), FactorTable!$A$2:$A$301,0), 22)</f>
        <v/>
      </c>
      <c r="V1469" t="inlineStr"/>
    </row>
    <row r="1470">
      <c r="A1470">
        <f>Skills!A4</f>
        <v/>
      </c>
      <c r="B1470">
        <f>Skills!B4</f>
        <v/>
      </c>
      <c r="C1470">
        <f>Inputs!$B$3&gt;=105</f>
        <v/>
      </c>
      <c r="D1470">
        <f>IF(Skills!C4=1,60+Inputs!$B$25+Inputs!$B$29,IF(Skills!C4=2,90+Inputs!$B$26+Inputs!$B$29,IF(Skills!C4=3,120+Inputs!$B$27+Inputs!$B$29,MAX(0,(Inputs!$B$3-100)*3)+Inputs!$B$28+Inputs!$B$29)))</f>
        <v/>
      </c>
      <c r="E1470">
        <f>INDEX(FactorTable!$B$2:$Y$301, MATCH(ROUND(MIN(300,MAX(1,D1470)),0), FactorTable!$A$2:$A$301,0), Skills!M4+1)</f>
        <v/>
      </c>
      <c r="F1470">
        <f>IF(Skills!N4=TRUE,(Skills!L4/10)*(E1470/1000),Skills!L4/10)+Skills!O4</f>
        <v/>
      </c>
      <c r="G1470" t="inlineStr"/>
      <c r="H1470" t="inlineStr"/>
      <c r="I1470" t="inlineStr">
        <is>
          <t>1</t>
        </is>
      </c>
      <c r="J1470" t="inlineStr"/>
      <c r="K1470" t="inlineStr"/>
      <c r="L1470" t="inlineStr"/>
      <c r="M1470" t="inlineStr"/>
      <c r="N1470" t="inlineStr"/>
      <c r="O1470" t="inlineStr"/>
      <c r="P1470" t="inlineStr"/>
      <c r="Q1470" t="inlineStr"/>
      <c r="R1470" t="inlineStr"/>
      <c r="S1470" t="inlineStr"/>
      <c r="T1470" t="inlineStr"/>
      <c r="U1470">
        <f>290*U1469/1000</f>
        <v/>
      </c>
      <c r="V1470" t="inlineStr"/>
    </row>
    <row r="1471">
      <c r="A1471">
        <f>Skills!A5</f>
        <v/>
      </c>
      <c r="B1471">
        <f>Skills!B5</f>
        <v/>
      </c>
      <c r="C1471">
        <f>Inputs!$B$3&gt;=35</f>
        <v/>
      </c>
      <c r="D1471">
        <f>IF(Skills!C5=1,60+Inputs!$B$25+Inputs!$B$29,IF(Skills!C5=2,90+Inputs!$B$26+Inputs!$B$29,IF(Skills!C5=3,120+Inputs!$B$27+Inputs!$B$29,MAX(0,(Inputs!$B$3-100)*3)+Inputs!$B$28+Inputs!$B$29)))</f>
        <v/>
      </c>
      <c r="E1471">
        <f>INDEX(FactorTable!$B$2:$Y$301, MATCH(ROUND(MIN(300,MAX(1,D1471)),0), FactorTable!$A$2:$A$301,0), Skills!M5+1)</f>
        <v/>
      </c>
      <c r="F1471">
        <f>IF(Skills!N5=TRUE,(Skills!L5/10)*(E1471/1000),Skills!L5/10)+Skills!O5</f>
        <v/>
      </c>
      <c r="G1471">
        <f>Skills!G5*IF(Skills!H5&gt;0,Skills!I5/Skills!H5,1)</f>
        <v/>
      </c>
      <c r="H1471">
        <f>1-(1-Skills!J5/100)^Skills!K5</f>
        <v/>
      </c>
      <c r="I1471" t="inlineStr">
        <is>
          <t>1</t>
        </is>
      </c>
      <c r="J1471">
        <f>((Inputs!$B$6*(1+Inputs!$B$7/100))+(((Inputs!$B$12*(1+Inputs!$B$13/100))-(Inputs!$B$12*(1+Inputs!$B$13/100)))+0.25*(Inputs!$B$14-Inputs!$B$14))*(1+Inputs!$B$7/100))*(F1471/100)</f>
        <v/>
      </c>
      <c r="K1471">
        <f>J1471*(1+((Inputs!$B$12*(1+Inputs!$B$13/100))*0.01+Inputs!$B$14*0.0025)/100)*(1+Inputs!$B$15/100)*(1+Inputs!$B$16/100)*(5000/(6000+Inputs!$B$42*(1-(100*(1-(1-(Inputs!$B$19+0)/100)*(1-CHOOSE(ArtifactsInput!$N$40+1,5,6,7,8,9,10)/100)^(ArtifactsInput!$M$40-ArtifactsInput!$M$40)))/100)))*(1+(Inputs!$B$24+((C1490=TRUE)*(F1490-Calc!F24))+((C1491=TRUE)*(F1491-Calc!F25))+B1504)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1474=TRUE,F1474,0)/100)*(1+(IF(Skills!A5="EMPOWERED_PIERCING_ARROW",Inputs!$B$17+((C1488=TRUE)*(F1488-Calc!F22))+(((IF(AND(ArtifactsInput!$M$42,((Inputs!$B$9+((C1485=TRUE)*(F1485-Calc!F19))+B1498+(ArtifactsInput!$M$24-ArtifactsInput!$M$24)*CHOOSE(ArtifactsInput!$N$24+1,10,12,14,16,18,20)+IF(ArtifactsInput!$M$10,CHOOSE(ArtifactsInput!$N$10+1,15,18,21,24,27,30)*(IF(Inputs!$B$38="pvp",MIN(15,15)/15,IF(AND(Inputs!$B$38&lt;&gt;"pvp",Inputs!$B$43&gt;0),MIN(15,Inputs!$B$43)/(Inputs!$B$43),0))),0)))&gt;=100),MIN(100,((Inputs!$B$9+((C1485=TRUE)*(F1485-Calc!F19))+B1498+(ArtifactsInput!$M$24-ArtifactsInput!$M$24)*CHOOSE(ArtifactsInput!$N$24+1,10,12,14,16,18,20)+IF(ArtifactsInput!$M$10,CHOOSE(ArtifactsInput!$N$10+1,15,18,21,24,27,30)*(IF(Inputs!$B$38="pvp",MIN(15,15)/15,IF(AND(Inputs!$B$38&lt;&gt;"pvp",Inputs!$B$43&gt;0),MIN(15,Inputs!$B$43)/(Inputs!$B$43),0))),0)))-100),0))*CHOOSE(ArtifactsInput!$N$42+1,0.6,0.72,0.84,0.96,1.08,1.2))),Inputs!$B$18+((C1493=TRUE)*(F1493-Calc!F27))+(IF(AND(ArtifactsInput!$M$42,((Inputs!$B$9+((C1485=TRUE)*(F1485-Calc!F19))+B1498+(ArtifactsInput!$M$24-ArtifactsInput!$M$24)*CHOOSE(ArtifactsInput!$N$24+1,10,12,14,16,18,20)+IF(ArtifactsInput!$M$10,CHOOSE(ArtifactsInput!$N$10+1,15,18,21,24,27,30)*(IF(Inputs!$B$38="pvp",MIN(15,15)/15,IF(AND(Inputs!$B$38&lt;&gt;"pvp",Inputs!$B$43&gt;0),MIN(15,Inputs!$B$43)/(Inputs!$B$43),0))),0)))&gt;=100),CHOOSE(ArtifactsInput!$N$42+1,40,48,56,64,72,80),0))))/100)*((1+(((C1479=TRUE)*F1479)+((C1480=TRUE)*IF(Inputs!$B$38="pvp",F1480,(1-Summary!$B$11)*(F1480)+Summary!$B$11*(0)))+((C1481=TRUE)*F1481*IF(AND(Inputs!$B$38&lt;&gt;"pvp",Inputs!$B$43&gt;0),(((R1481-1)*(Skills!T15*(1+Inputs!$B$34/100))+MIN((Skills!T15*(1+Inputs!$B$34/100)),MAX(0,Inputs!$B$43-((R1481-1)*Skills!D15))))/Inputs!$B$43),IF(Inputs!$B$38="pvp",MIN((Skills!T15*(1+Inputs!$B$34/100)),15)/15,(Skills!T15*(1+Inputs!$B$34/100))/Skills!D15)))+((C1478=TRUE)*F1478)+((C1495=TRUE)*(F1495-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IF(ArtifactsInput!$M$11,FALSE,TRUE),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1471)</f>
        <v/>
      </c>
      <c r="L1471">
        <f>K1471*(MIN(Inputs!$B$22+((C1489=TRUE)*(F1489-Calc!F23)),(Inputs!$B$23+((C1494=TRUE)*(F1494-Calc!F28))+(IF(ArtifactsInput!$M$15,CHOOSE(ArtifactsInput!$N$15+1,25,30,35,40,45,50)/100*(Inputs!$B$11-Inputs!$B$11),0))))/100+(Inputs!$B$23+((C1494=TRUE)*(F1494-Calc!F28))+(IF(ArtifactsInput!$M$15,CHOOSE(ArtifactsInput!$N$15+1,25,30,35,40,45,50)/100*(Inputs!$B$11-Inputs!$B$11),0)))/100)/2</f>
        <v/>
      </c>
      <c r="M1471">
        <f>L1471*(1+(Inputs!$B$10+0+B1503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471">
        <f>L1471*(1-MIN((Inputs!$B$9+((C1485=TRUE)*(F1485-Calc!F19))+B1498+(ArtifactsInput!$M$24-ArtifactsInput!$M$24)*CHOOSE(ArtifactsInput!$N$24+1,10,12,14,16,18,20)+(IF(AND(ArtifactsInput!$M$42,((Inputs!$B$9+((C1485=TRUE)*(F1485-Calc!F19))+B1498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1471*(MIN((Inputs!$B$9+((C1485=TRUE)*(F1485-Calc!F19))+B1498+(ArtifactsInput!$M$24-ArtifactsInput!$M$24)*CHOOSE(ArtifactsInput!$N$24+1,10,12,14,16,18,20)+(IF(AND(ArtifactsInput!$M$42,((Inputs!$B$9+((C1485=TRUE)*(F1485-Calc!F19))+B1498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471">
        <f>(1-Summary!$B$11)*T1471+Summary!$B$11*V1471</f>
        <v/>
      </c>
      <c r="P1471">
        <f>IF(B1508=0,0,O1471/B1508)</f>
        <v/>
      </c>
      <c r="Q1471">
        <f>IFERROR(1/IF(Inputs!$B$38="pvp",15,MAX(0.1,Skills!D5-IF(Skills!E5=TRUE,Inputs!$B$32,0))),0)</f>
        <v/>
      </c>
      <c r="R1471">
        <f>IF(AND(Inputs!$B$38&lt;&gt;"pvp",Inputs!$B$43&gt;0),IF(MAX(0,Inputs!$B$43-B1505)&lt;=0,0,(INT(MAX(0,Inputs!$B$43-B1505)/IF(Inputs!$B$38="pvp",15,MAX(0.1,Skills!D5-IF(Skills!E5=TRUE,Inputs!$B$32,0))))+1)),0)</f>
        <v/>
      </c>
      <c r="S1471">
        <f>IFERROR((H1471*N1471*IF(AND(Inputs!$B$38&lt;&gt;"pvp",Inputs!$B$43&gt;0),((Skills!G5*((R1471-1)*IF(Skills!H5&gt;0,Skills!I5/Skills!H5,1)+IF(Skills!H5&gt;0,MIN(Skills!I5,MAX(0,MAX(0,Inputs!$B$43-B1505)-((R1471-1)*IF(Inputs!$B$38="pvp",15,MAX(0.1,Skills!D5-IF(Skills!E5=TRUE,Inputs!$B$32,0))))))/Skills!H5,1)))/Inputs!$B$43),G1471*Q1471))/N1471*IF(Inputs!$B$38="pvp",1,(1-Summary!$B$11)*1+Summary!$B$11*(MIN(Skills!R5,Inputs!$B$37))),0)</f>
        <v/>
      </c>
      <c r="T1471">
        <f>IF(C1471,(H1471*N1471*IF(AND(Inputs!$B$38&lt;&gt;"pvp",Inputs!$B$43&gt;0),((Skills!G5*((R1471-1)*IF(Skills!H5&gt;0,Skills!I5/Skills!H5,1)+IF(Skills!H5&gt;0,MIN(Skills!I5,MAX(0,MAX(0,Inputs!$B$43-B1505)-((R1471-1)*IF(Inputs!$B$38="pvp",15,MAX(0.1,Skills!D5-IF(Skills!E5=TRUE,Inputs!$B$32,0))))))/Skills!H5,1)))/Inputs!$B$43),G1471*Q1471))*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Hunt"),CHOOSE(ArtifactsInput!$N$35+1,15,18,21,24,27,30)*(1-EXP(-(0.2*B1500)*5)),0)+IF(AND(ArtifactsInput!$M$22,Inputs!$B$4&lt;&gt;"Chapter Hunt"),CHOOSE(ArtifactsInput!$N$22+1,10,12,14,16,18,20)*((0*(((0.15*B1500*5))^0/1)+1*(((0.15*B1500*5))^1/1)+2*(((0.15*B1500*5))^2/2)+3*(((0.15*B1500*5))^3/6)+4*(((0.15*B1500*5))^4/24)+5*(((0.15*B1500*5))^5/120))/((((0.15*B1500*5))^0/1)+(((0.15*B1500*5))^1/1)+(((0.15*B1500*5))^2/2)+(((0.15*B1500*5))^3/6)+(((0.15*B1500*5))^4/24)+(((0.15*B1500*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1471*(1-MIN(100,(Inputs!$B$9+((C1485=TRUE)*(F1485-Calc!F19))+B1498+(ArtifactsInput!$M$24-ArtifactsInput!$M$24)*CHOOSE(ArtifactsInput!$N$24+1,10,12,14,16,18,20)+(IF(AND(ArtifactsInput!$M$42,((Inputs!$B$9+((C1485=TRUE)*(F1485-Calc!F19))+B1498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1471*(MIN(100,(Inputs!$B$9+((C1485=TRUE)*(F1485-Calc!F19))+B1498+(ArtifactsInput!$M$24-ArtifactsInput!$M$24)*CHOOSE(ArtifactsInput!$N$24+1,10,12,14,16,18,20)+(IF(AND(ArtifactsInput!$M$42,((Inputs!$B$9+((C1485=TRUE)*(F1485-Calc!F19))+B1498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1471*(1-MIN(100,(Inputs!$B$9+((C1485=TRUE)*(F1485-Calc!F19))+B1498+(ArtifactsInput!$M$24-ArtifactsInput!$M$24)*CHOOSE(ArtifactsInput!$N$24+1,10,12,14,16,18,20)+(IF(AND(ArtifactsInput!$M$42,((Inputs!$B$9+((C1485=TRUE)*(F1485-Calc!F19))+B1498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1471*(MIN(100,(Inputs!$B$9+((C1485=TRUE)*(F1485-Calc!F19))+B1498+(ArtifactsInput!$M$24-ArtifactsInput!$M$24)*CHOOSE(ArtifactsInput!$N$24+1,10,12,14,16,18,20)+(IF(AND(ArtifactsInput!$M$42,((Inputs!$B$9+((C1485=TRUE)*(F1485-Calc!F19))+B1498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471">
        <f>IF(C1471,(H1471*N1471*IF(AND(Inputs!$B$38&lt;&gt;"pvp",Inputs!$B$43&gt;0),((Skills!G5*((R1471-1)*IF(Skills!H5&gt;0,Skills!I5/Skills!H5,1)+IF(Skills!H5&gt;0,MIN(Skills!I5,MAX(0,MAX(0,Inputs!$B$43-B1505)-((R1471-1)*IF(Inputs!$B$38="pvp",15,MAX(0.1,Skills!D5-IF(Skills!E5=TRUE,Inputs!$B$32,0))))))/Skills!H5,1)))/Inputs!$B$43),G1471*Q1471))*IF(Inputs!$B$38="pvp",1,(1+(Inputs!$B$21+Skills!Q5+(IF(ArtifactsInput!$M$33,CHOOSE(ArtifactsInput!$N$33+1,30,36,42,48,54,60),0))+(IF(AND(ArtifactsInput!$M$35,Inputs!$B$4&lt;&gt;"Chapter Hunt"),CHOOSE(ArtifactsInput!$N$35+1,15,18,21,24,27,30)*(1-EXP(-(0.2*B1500)*5)),0)+IF(AND(ArtifactsInput!$M$22,Inputs!$B$4&lt;&gt;"Chapter Hunt"),CHOOSE(ArtifactsInput!$N$22+1,10,12,14,16,18,20)*((0*(((0.15*B1500*5))^0/1)+1*(((0.15*B1500*5))^1/1)+2*(((0.15*B1500*5))^2/2)+3*(((0.15*B1500*5))^3/6)+4*(((0.15*B1500*5))^4/24)+5*(((0.15*B1500*5))^5/120))/((((0.15*B1500*5))^0/1)+(((0.15*B1500*5))^1/1)+(((0.15*B1500*5))^2/2)+(((0.15*B1500*5))^3/6)+(((0.15*B1500*5))^4/24)+(((0.15*B1500*5))^5/120)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472">
      <c r="A1472">
        <f>Skills!A6</f>
        <v/>
      </c>
      <c r="B1472">
        <f>Skills!B6</f>
        <v/>
      </c>
      <c r="C1472">
        <f>Inputs!$B$3&gt;=63</f>
        <v/>
      </c>
      <c r="D1472">
        <f>IF(Skills!C6=1,60+Inputs!$B$25+Inputs!$B$29,IF(Skills!C6=2,90+Inputs!$B$26+Inputs!$B$29,IF(Skills!C6=3,120+Inputs!$B$27+Inputs!$B$29,MAX(0,(Inputs!$B$3-100)*3)+Inputs!$B$28+Inputs!$B$29)))</f>
        <v/>
      </c>
      <c r="E1472">
        <f>INDEX(FactorTable!$B$2:$Y$301, MATCH(ROUND(MIN(300,MAX(1,D1472)),0), FactorTable!$A$2:$A$301,0), Skills!M6+1)</f>
        <v/>
      </c>
      <c r="F1472">
        <f>IF(Skills!N6=TRUE,(Skills!L6/10)*(E1472/1000),Skills!L6/10)+Skills!O6</f>
        <v/>
      </c>
      <c r="G1472">
        <f>Skills!G6*IF(Skills!H6&gt;0,Skills!I6/Skills!H6,1)</f>
        <v/>
      </c>
      <c r="H1472">
        <f>1-(1-Skills!J6/100)^Skills!K6</f>
        <v/>
      </c>
      <c r="I1472" t="inlineStr">
        <is>
          <t>1</t>
        </is>
      </c>
      <c r="J1472">
        <f>((Inputs!$B$6*(1+Inputs!$B$7/100))+(((Inputs!$B$12*(1+Inputs!$B$13/100))-(Inputs!$B$12*(1+Inputs!$B$13/100)))+0.25*(Inputs!$B$14-Inputs!$B$14))*(1+Inputs!$B$7/100))*(F1472/100)</f>
        <v/>
      </c>
      <c r="K1472">
        <f>J1472*(1+((Inputs!$B$12*(1+Inputs!$B$13/100))*0.01+Inputs!$B$14*0.0025)/100)*(1+Inputs!$B$15/100)*(1+Inputs!$B$16/100)*(5000/(6000+Inputs!$B$42*(1-(100*(1-(1-(Inputs!$B$19+0)/100)*(1-CHOOSE(ArtifactsInput!$N$40+1,5,6,7,8,9,10)/100)^(ArtifactsInput!$M$40-ArtifactsInput!$M$40)))/100)))*(1+(Inputs!$B$24+((C1490=TRUE)*(F1490-Calc!F24))+((C1491=TRUE)*(F1491-Calc!F25))+B1504)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1474=TRUE,F1474,0)/100)*(1+(IF(Skills!A6="EMPOWERED_PIERCING_ARROW",Inputs!$B$17+((C1488=TRUE)*(F1488-Calc!F22))+(((IF(AND(ArtifactsInput!$M$42,((Inputs!$B$9+((C1485=TRUE)*(F1485-Calc!F19))+B1498+(ArtifactsInput!$M$24-ArtifactsInput!$M$24)*CHOOSE(ArtifactsInput!$N$24+1,10,12,14,16,18,20)+IF(ArtifactsInput!$M$10,CHOOSE(ArtifactsInput!$N$10+1,15,18,21,24,27,30)*(IF(Inputs!$B$38="pvp",MIN(15,15)/15,IF(AND(Inputs!$B$38&lt;&gt;"pvp",Inputs!$B$43&gt;0),MIN(15,Inputs!$B$43)/(Inputs!$B$43),0))),0)))&gt;=100),MIN(100,((Inputs!$B$9+((C1485=TRUE)*(F1485-Calc!F19))+B1498+(ArtifactsInput!$M$24-ArtifactsInput!$M$24)*CHOOSE(ArtifactsInput!$N$24+1,10,12,14,16,18,20)+IF(ArtifactsInput!$M$10,CHOOSE(ArtifactsInput!$N$10+1,15,18,21,24,27,30)*(IF(Inputs!$B$38="pvp",MIN(15,15)/15,IF(AND(Inputs!$B$38&lt;&gt;"pvp",Inputs!$B$43&gt;0),MIN(15,Inputs!$B$43)/(Inputs!$B$43),0))),0)))-100),0))*CHOOSE(ArtifactsInput!$N$42+1,0.6,0.72,0.84,0.96,1.08,1.2))),Inputs!$B$18+((C1493=TRUE)*(F1493-Calc!F27))+(IF(AND(ArtifactsInput!$M$42,((Inputs!$B$9+((C1485=TRUE)*(F1485-Calc!F19))+B1498+(ArtifactsInput!$M$24-ArtifactsInput!$M$24)*CHOOSE(ArtifactsInput!$N$24+1,10,12,14,16,18,20)+IF(ArtifactsInput!$M$10,CHOOSE(ArtifactsInput!$N$10+1,15,18,21,24,27,30)*(IF(Inputs!$B$38="pvp",MIN(15,15)/15,IF(AND(Inputs!$B$38&lt;&gt;"pvp",Inputs!$B$43&gt;0),MIN(15,Inputs!$B$43)/(Inputs!$B$43),0))),0)))&gt;=100),CHOOSE(ArtifactsInput!$N$42+1,40,48,56,64,72,80),0))))/100)*((1+(((C1479=TRUE)*F1479)+((C1480=TRUE)*IF(Inputs!$B$38="pvp",F1480,(1-Summary!$B$11)*(F1480)+Summary!$B$11*(0)))+((C1481=TRUE)*F1481*IF(AND(Inputs!$B$38&lt;&gt;"pvp",Inputs!$B$43&gt;0),(((R1481-1)*(Skills!T15*(1+Inputs!$B$34/100))+MIN((Skills!T15*(1+Inputs!$B$34/100)),MAX(0,Inputs!$B$43-((R1481-1)*Skills!D15))))/Inputs!$B$43),IF(Inputs!$B$38="pvp",MIN((Skills!T15*(1+Inputs!$B$34/100)),15)/15,(Skills!T15*(1+Inputs!$B$34/100))/Skills!D15)))+((C1478=TRUE)*F1478)+((C1495=TRUE)*(F1495-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IF(ArtifactsInput!$M$11,FALSE,TRUE),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1472)</f>
        <v/>
      </c>
      <c r="L1472">
        <f>K1472*(MIN(Inputs!$B$22+((C1489=TRUE)*(F1489-Calc!F23)),(Inputs!$B$23+((C1494=TRUE)*(F1494-Calc!F28))+(IF(ArtifactsInput!$M$15,CHOOSE(ArtifactsInput!$N$15+1,25,30,35,40,45,50)/100*(Inputs!$B$11-Inputs!$B$11),0))))/100+(Inputs!$B$23+((C1494=TRUE)*(F1494-Calc!F28))+(IF(ArtifactsInput!$M$15,CHOOSE(ArtifactsInput!$N$15+1,25,30,35,40,45,50)/100*(Inputs!$B$11-Inputs!$B$11),0)))/100)/2</f>
        <v/>
      </c>
      <c r="M1472">
        <f>L1472*(1+(Inputs!$B$10+0+B1503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472">
        <f>L1472*(1-MIN((Inputs!$B$9+((C1485=TRUE)*(F1485-Calc!F19))+B1498+(ArtifactsInput!$M$24-ArtifactsInput!$M$24)*CHOOSE(ArtifactsInput!$N$24+1,10,12,14,16,18,20)+(IF(AND(ArtifactsInput!$M$42,((Inputs!$B$9+((C1485=TRUE)*(F1485-Calc!F19))+B1498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1472*(MIN((Inputs!$B$9+((C1485=TRUE)*(F1485-Calc!F19))+B1498+(ArtifactsInput!$M$24-ArtifactsInput!$M$24)*CHOOSE(ArtifactsInput!$N$24+1,10,12,14,16,18,20)+(IF(AND(ArtifactsInput!$M$42,((Inputs!$B$9+((C1485=TRUE)*(F1485-Calc!F19))+B1498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472">
        <f>(1-Summary!$B$11)*T1472+Summary!$B$11*V1472</f>
        <v/>
      </c>
      <c r="P1472">
        <f>IF(B1508=0,0,O1472/B1508)</f>
        <v/>
      </c>
      <c r="Q1472">
        <f>IFERROR(1/IF(Inputs!$B$38="pvp",15,MAX(0.1,Skills!D6-IF(Skills!E6=TRUE,Inputs!$B$32,0))),0)</f>
        <v/>
      </c>
      <c r="R1472">
        <f>IF(AND(Inputs!$B$38&lt;&gt;"pvp",Inputs!$B$43&gt;0),IF(MAX(0,Inputs!$B$43-B1505)&lt;=0,0,(INT(MAX(0,Inputs!$B$43-B1505)/IF(Inputs!$B$38="pvp",15,MAX(0.1,Skills!D6-IF(Skills!E6=TRUE,Inputs!$B$32,0))))+1)),0)</f>
        <v/>
      </c>
      <c r="S1472">
        <f>IFERROR((H1472*N1472*IF(AND(Inputs!$B$38&lt;&gt;"pvp",Inputs!$B$43&gt;0),((Skills!G6*((R1472-1)*IF(Skills!H6&gt;0,Skills!I6/Skills!H6,1)+IF(Skills!H6&gt;0,MIN(Skills!I6,MAX(0,MAX(0,Inputs!$B$43-B1505)-((R1472-1)*IF(Inputs!$B$38="pvp",15,MAX(0.1,Skills!D6-IF(Skills!E6=TRUE,Inputs!$B$32,0))))))/Skills!H6,1)))/Inputs!$B$43),G1472*Q1472))/N1472*IF(Inputs!$B$38="pvp",1,(1-Summary!$B$11)*1+Summary!$B$11*(MIN(Skills!R6,Inputs!$B$37))),0)</f>
        <v/>
      </c>
      <c r="T1472">
        <f>IF(C1472,(H1472*N1472*IF(AND(Inputs!$B$38&lt;&gt;"pvp",Inputs!$B$43&gt;0),((Skills!G6*((R1472-1)*IF(Skills!H6&gt;0,Skills!I6/Skills!H6,1)+IF(Skills!H6&gt;0,MIN(Skills!I6,MAX(0,MAX(0,Inputs!$B$43-B1505)-((R1472-1)*IF(Inputs!$B$38="pvp",15,MAX(0.1,Skills!D6-IF(Skills!E6=TRUE,Inputs!$B$32,0))))))/Skills!H6,1)))/Inputs!$B$43),G1472*Q1472))*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Hunt"),CHOOSE(ArtifactsInput!$N$35+1,15,18,21,24,27,30)*(1-EXP(-(0.2*B1500)*5)),0)+IF(AND(ArtifactsInput!$M$22,Inputs!$B$4&lt;&gt;"Chapter Hunt"),CHOOSE(ArtifactsInput!$N$22+1,10,12,14,16,18,20)*((0*(((0.15*B1500*5))^0/1)+1*(((0.15*B1500*5))^1/1)+2*(((0.15*B1500*5))^2/2)+3*(((0.15*B1500*5))^3/6)+4*(((0.15*B1500*5))^4/24)+5*(((0.15*B1500*5))^5/120))/((((0.15*B1500*5))^0/1)+(((0.15*B1500*5))^1/1)+(((0.15*B1500*5))^2/2)+(((0.15*B1500*5))^3/6)+(((0.15*B1500*5))^4/24)+(((0.15*B1500*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1472*(1-MIN(100,(Inputs!$B$9+((C1485=TRUE)*(F1485-Calc!F19))+B1498+(ArtifactsInput!$M$24-ArtifactsInput!$M$24)*CHOOSE(ArtifactsInput!$N$24+1,10,12,14,16,18,20)+(IF(AND(ArtifactsInput!$M$42,((Inputs!$B$9+((C1485=TRUE)*(F1485-Calc!F19))+B1498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1472*(MIN(100,(Inputs!$B$9+((C1485=TRUE)*(F1485-Calc!F19))+B1498+(ArtifactsInput!$M$24-ArtifactsInput!$M$24)*CHOOSE(ArtifactsInput!$N$24+1,10,12,14,16,18,20)+(IF(AND(ArtifactsInput!$M$42,((Inputs!$B$9+((C1485=TRUE)*(F1485-Calc!F19))+B1498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1472*(1-MIN(100,(Inputs!$B$9+((C1485=TRUE)*(F1485-Calc!F19))+B1498+(ArtifactsInput!$M$24-ArtifactsInput!$M$24)*CHOOSE(ArtifactsInput!$N$24+1,10,12,14,16,18,20)+(IF(AND(ArtifactsInput!$M$42,((Inputs!$B$9+((C1485=TRUE)*(F1485-Calc!F19))+B1498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1472*(MIN(100,(Inputs!$B$9+((C1485=TRUE)*(F1485-Calc!F19))+B1498+(ArtifactsInput!$M$24-ArtifactsInput!$M$24)*CHOOSE(ArtifactsInput!$N$24+1,10,12,14,16,18,20)+(IF(AND(ArtifactsInput!$M$42,((Inputs!$B$9+((C1485=TRUE)*(F1485-Calc!F19))+B1498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472">
        <f>IF(C1472,(H1472*N1472*IF(AND(Inputs!$B$38&lt;&gt;"pvp",Inputs!$B$43&gt;0),((Skills!G6*((R1472-1)*IF(Skills!H6&gt;0,Skills!I6/Skills!H6,1)+IF(Skills!H6&gt;0,MIN(Skills!I6,MAX(0,MAX(0,Inputs!$B$43-B1505)-((R1472-1)*IF(Inputs!$B$38="pvp",15,MAX(0.1,Skills!D6-IF(Skills!E6=TRUE,Inputs!$B$32,0))))))/Skills!H6,1)))/Inputs!$B$43),G1472*Q1472))*IF(Inputs!$B$38="pvp",1,(1+(Inputs!$B$21+Skills!Q6+(IF(ArtifactsInput!$M$33,CHOOSE(ArtifactsInput!$N$33+1,30,36,42,48,54,60),0))+(IF(AND(ArtifactsInput!$M$35,Inputs!$B$4&lt;&gt;"Chapter Hunt"),CHOOSE(ArtifactsInput!$N$35+1,15,18,21,24,27,30)*(1-EXP(-(0.2*B1500)*5)),0)+IF(AND(ArtifactsInput!$M$22,Inputs!$B$4&lt;&gt;"Chapter Hunt"),CHOOSE(ArtifactsInput!$N$22+1,10,12,14,16,18,20)*((0*(((0.15*B1500*5))^0/1)+1*(((0.15*B1500*5))^1/1)+2*(((0.15*B1500*5))^2/2)+3*(((0.15*B1500*5))^3/6)+4*(((0.15*B1500*5))^4/24)+5*(((0.15*B1500*5))^5/120))/((((0.15*B1500*5))^0/1)+(((0.15*B1500*5))^1/1)+(((0.15*B1500*5))^2/2)+(((0.15*B1500*5))^3/6)+(((0.15*B1500*5))^4/24)+(((0.15*B1500*5))^5/120))),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473">
      <c r="A1473">
        <f>Skills!A7</f>
        <v/>
      </c>
      <c r="B1473">
        <f>Skills!B7</f>
        <v/>
      </c>
      <c r="C1473">
        <f>Inputs!$B$3&gt;=69</f>
        <v/>
      </c>
      <c r="D1473">
        <f>IF(Skills!C7=1,60+Inputs!$B$25+Inputs!$B$29,IF(Skills!C7=2,90+Inputs!$B$26+Inputs!$B$29,IF(Skills!C7=3,120+Inputs!$B$27+Inputs!$B$29,MAX(0,(Inputs!$B$3-100)*3)+Inputs!$B$28+Inputs!$B$29)))</f>
        <v/>
      </c>
      <c r="E1473">
        <f>INDEX(FactorTable!$B$2:$Y$301, MATCH(ROUND(MIN(300,MAX(1,D1473)),0), FactorTable!$A$2:$A$301,0), Skills!M7+1)</f>
        <v/>
      </c>
      <c r="F1473">
        <f>IF(Skills!N7=TRUE,(Skills!L7/10)*(E1473/1000),Skills!L7/10)+Skills!O7</f>
        <v/>
      </c>
      <c r="G1473">
        <f>Skills!G7*IF(Skills!H7&gt;0,Skills!I7/Skills!H7,1)</f>
        <v/>
      </c>
      <c r="H1473">
        <f>1-(1-Skills!J7/100)^Skills!K7</f>
        <v/>
      </c>
      <c r="I1473" t="inlineStr">
        <is>
          <t>1</t>
        </is>
      </c>
      <c r="J1473">
        <f>((Inputs!$B$6*(1+Inputs!$B$7/100))+(((Inputs!$B$12*(1+Inputs!$B$13/100))-(Inputs!$B$12*(1+Inputs!$B$13/100)))+0.25*(Inputs!$B$14-Inputs!$B$14))*(1+Inputs!$B$7/100))*(F1473/100)</f>
        <v/>
      </c>
      <c r="K1473">
        <f>J1473*(1+((Inputs!$B$12*(1+Inputs!$B$13/100))*0.01+Inputs!$B$14*0.0025)/100)*(1+Inputs!$B$15/100)*(1+Inputs!$B$16/100)*(5000/(6000+Inputs!$B$42*(1-(100*(1-(1-(Inputs!$B$19+0)/100)*(1-CHOOSE(ArtifactsInput!$N$40+1,5,6,7,8,9,10)/100)^(ArtifactsInput!$M$40-ArtifactsInput!$M$40)))/100)))*(1+(Inputs!$B$24+((C1490=TRUE)*(F1490-Calc!F24))+((C1491=TRUE)*(F1491-Calc!F25))+B1504)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+1.2*IF(C1474=TRUE,F1474,0)/100)*(1+(IF(Skills!A7="EMPOWERED_PIERCING_ARROW",Inputs!$B$17+((C1488=TRUE)*(F1488-Calc!F22))+(((IF(AND(ArtifactsInput!$M$42,((Inputs!$B$9+((C1485=TRUE)*(F1485-Calc!F19))+B1498+(ArtifactsInput!$M$24-ArtifactsInput!$M$24)*CHOOSE(ArtifactsInput!$N$24+1,10,12,14,16,18,20)+IF(ArtifactsInput!$M$10,CHOOSE(ArtifactsInput!$N$10+1,15,18,21,24,27,30)*(IF(Inputs!$B$38="pvp",MIN(15,15)/15,IF(AND(Inputs!$B$38&lt;&gt;"pvp",Inputs!$B$43&gt;0),MIN(15,Inputs!$B$43)/(Inputs!$B$43),0))),0)))&gt;=100),MIN(100,((Inputs!$B$9+((C1485=TRUE)*(F1485-Calc!F19))+B1498+(ArtifactsInput!$M$24-ArtifactsInput!$M$24)*CHOOSE(ArtifactsInput!$N$24+1,10,12,14,16,18,20)+IF(ArtifactsInput!$M$10,CHOOSE(ArtifactsInput!$N$10+1,15,18,21,24,27,30)*(IF(Inputs!$B$38="pvp",MIN(15,15)/15,IF(AND(Inputs!$B$38&lt;&gt;"pvp",Inputs!$B$43&gt;0),MIN(15,Inputs!$B$43)/(Inputs!$B$43),0))),0)))-100),0))*CHOOSE(ArtifactsInput!$N$42+1,0.6,0.72,0.84,0.96,1.08,1.2))),Inputs!$B$18+((C1493=TRUE)*(F1493-Calc!F27))+(IF(AND(ArtifactsInput!$M$42,((Inputs!$B$9+((C1485=TRUE)*(F1485-Calc!F19))+B1498+(ArtifactsInput!$M$24-ArtifactsInput!$M$24)*CHOOSE(ArtifactsInput!$N$24+1,10,12,14,16,18,20)+IF(ArtifactsInput!$M$10,CHOOSE(ArtifactsInput!$N$10+1,15,18,21,24,27,30)*(IF(Inputs!$B$38="pvp",MIN(15,15)/15,IF(AND(Inputs!$B$38&lt;&gt;"pvp",Inputs!$B$43&gt;0),MIN(15,Inputs!$B$43)/(Inputs!$B$43),0))),0)))&gt;=100),CHOOSE(ArtifactsInput!$N$42+1,40,48,56,64,72,80),0))))/100)*((1+(((C1479=TRUE)*F1479)+((C1480=TRUE)*IF(Inputs!$B$38="pvp",F1480,(1-Summary!$B$11)*(F1480)+Summary!$B$11*(0)))+((C1481=TRUE)*F1481*IF(AND(Inputs!$B$38&lt;&gt;"pvp",Inputs!$B$43&gt;0),(((R1481-1)*(Skills!T15*(1+Inputs!$B$34/100))+MIN((Skills!T15*(1+Inputs!$B$34/100)),MAX(0,Inputs!$B$43-((R1481-1)*Skills!D15))))/Inputs!$B$43),IF(Inputs!$B$38="pvp",MIN((Skills!T15*(1+Inputs!$B$34/100)),15)/15,(Skills!T15*(1+Inputs!$B$34/100))/Skills!D15)))+((C1478=TRUE)*F1478)+((C1495=TRUE)*(F1495-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IF(ArtifactsInput!$M$11,FALSE,TRUE),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1473)</f>
        <v/>
      </c>
      <c r="L1473">
        <f>K1473*(MIN(Inputs!$B$22+((C1489=TRUE)*(F1489-Calc!F23)),(Inputs!$B$23+((C1494=TRUE)*(F1494-Calc!F28))+(IF(ArtifactsInput!$M$15,CHOOSE(ArtifactsInput!$N$15+1,25,30,35,40,45,50)/100*(Inputs!$B$11-Inputs!$B$11),0))))/100+(Inputs!$B$23+((C1494=TRUE)*(F1494-Calc!F28))+(IF(ArtifactsInput!$M$15,CHOOSE(ArtifactsInput!$N$15+1,25,30,35,40,45,50)/100*(Inputs!$B$11-Inputs!$B$11),0)))/100)/2</f>
        <v/>
      </c>
      <c r="M1473">
        <f>L1473*(1+(Inputs!$B$10+0+B1503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473">
        <f>L1473*(1-MIN((Inputs!$B$9+((C1485=TRUE)*(F1485-Calc!F19))+B1498+(ArtifactsInput!$M$24-ArtifactsInput!$M$24)*CHOOSE(ArtifactsInput!$N$24+1,10,12,14,16,18,20)+(IF(AND(ArtifactsInput!$M$42,((Inputs!$B$9+((C1485=TRUE)*(F1485-Calc!F19))+B1498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1473*(MIN((Inputs!$B$9+((C1485=TRUE)*(F1485-Calc!F19))+B1498+(ArtifactsInput!$M$24-ArtifactsInput!$M$24)*CHOOSE(ArtifactsInput!$N$24+1,10,12,14,16,18,20)+(IF(AND(ArtifactsInput!$M$42,((Inputs!$B$9+((C1485=TRUE)*(F1485-Calc!F19))+B1498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473">
        <f>(1-Summary!$B$11)*T1473+Summary!$B$11*V1473</f>
        <v/>
      </c>
      <c r="P1473">
        <f>IF(B1508=0,0,O1473/B1508)</f>
        <v/>
      </c>
      <c r="Q1473">
        <f>IFERROR(1/IF(Inputs!$B$38="pvp",15,MAX(0.1,Skills!D7-IF(Skills!E7=TRUE,Inputs!$B$32,0))),0)</f>
        <v/>
      </c>
      <c r="R1473">
        <f>IF(AND(Inputs!$B$38&lt;&gt;"pvp",Inputs!$B$43&gt;0),IF(MAX(0,Inputs!$B$43-B1505)&lt;=0,0,(INT(MAX(0,Inputs!$B$43-B1505)/IF(Inputs!$B$38="pvp",15,MAX(0.1,Skills!D7-IF(Skills!E7=TRUE,Inputs!$B$32,0))))+1)),0)</f>
        <v/>
      </c>
      <c r="S1473">
        <f>IFERROR((H1473*N1473*IF(AND(Inputs!$B$38&lt;&gt;"pvp",Inputs!$B$43&gt;0),((Skills!G7*((R1473-1)*IF(Skills!H7&gt;0,Skills!I7/Skills!H7,1)+IF(Skills!H7&gt;0,MIN(Skills!I7,MAX(0,MAX(0,Inputs!$B$43-B1505)-((R1473-1)*IF(Inputs!$B$38="pvp",15,MAX(0.1,Skills!D7-IF(Skills!E7=TRUE,Inputs!$B$32,0))))))/Skills!H7,1)))/Inputs!$B$43),G1473*Q1473))/N1473*IF(Inputs!$B$38="pvp",1,(1-Summary!$B$11)*1+Summary!$B$11*(MIN(Skills!R7,Inputs!$B$37))),0)</f>
        <v/>
      </c>
      <c r="T1473">
        <f>IF(C1473,(H1473*N1473*IF(AND(Inputs!$B$38&lt;&gt;"pvp",Inputs!$B$43&gt;0),((Skills!G7*((R1473-1)*IF(Skills!H7&gt;0,Skills!I7/Skills!H7,1)+IF(Skills!H7&gt;0,MIN(Skills!I7,MAX(0,MAX(0,Inputs!$B$43-B1505)-((R1473-1)*IF(Inputs!$B$38="pvp",15,MAX(0.1,Skills!D7-IF(Skills!E7=TRUE,Inputs!$B$32,0))))))/Skills!H7,1)))/Inputs!$B$43),G1473*Q1473))*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Hunt"),CHOOSE(ArtifactsInput!$N$35+1,15,18,21,24,27,30)*(1-EXP(-(0.2*B1500)*5)),0)+IF(AND(ArtifactsInput!$M$22,Inputs!$B$4&lt;&gt;"Chapter Hunt"),CHOOSE(ArtifactsInput!$N$22+1,10,12,14,16,18,20)*((0*(((0.15*B1500*5))^0/1)+1*(((0.15*B1500*5))^1/1)+2*(((0.15*B1500*5))^2/2)+3*(((0.15*B1500*5))^3/6)+4*(((0.15*B1500*5))^4/24)+5*(((0.15*B1500*5))^5/120))/((((0.15*B1500*5))^0/1)+(((0.15*B1500*5))^1/1)+(((0.15*B1500*5))^2/2)+(((0.15*B1500*5))^3/6)+(((0.15*B1500*5))^4/24)+(((0.15*B1500*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1473*(1-MIN(100,(Inputs!$B$9+((C1485=TRUE)*(F1485-Calc!F19))+B1498+(ArtifactsInput!$M$24-ArtifactsInput!$M$24)*CHOOSE(ArtifactsInput!$N$24+1,10,12,14,16,18,20)+(IF(AND(ArtifactsInput!$M$42,((Inputs!$B$9+((C1485=TRUE)*(F1485-Calc!F19))+B1498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1473*(MIN(100,(Inputs!$B$9+((C1485=TRUE)*(F1485-Calc!F19))+B1498+(ArtifactsInput!$M$24-ArtifactsInput!$M$24)*CHOOSE(ArtifactsInput!$N$24+1,10,12,14,16,18,20)+(IF(AND(ArtifactsInput!$M$42,((Inputs!$B$9+((C1485=TRUE)*(F1485-Calc!F19))+B1498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1473*(1-MIN(100,(Inputs!$B$9+((C1485=TRUE)*(F1485-Calc!F19))+B1498+(ArtifactsInput!$M$24-ArtifactsInput!$M$24)*CHOOSE(ArtifactsInput!$N$24+1,10,12,14,16,18,20)+(IF(AND(ArtifactsInput!$M$42,((Inputs!$B$9+((C1485=TRUE)*(F1485-Calc!F19))+B1498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1473*(MIN(100,(Inputs!$B$9+((C1485=TRUE)*(F1485-Calc!F19))+B1498+(ArtifactsInput!$M$24-ArtifactsInput!$M$24)*CHOOSE(ArtifactsInput!$N$24+1,10,12,14,16,18,20)+(IF(AND(ArtifactsInput!$M$42,((Inputs!$B$9+((C1485=TRUE)*(F1485-Calc!F19))+B1498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473">
        <f>IF(C1473,(H1473*N1473*IF(AND(Inputs!$B$38&lt;&gt;"pvp",Inputs!$B$43&gt;0),((Skills!G7*((R1473-1)*IF(Skills!H7&gt;0,Skills!I7/Skills!H7,1)+IF(Skills!H7&gt;0,MIN(Skills!I7,MAX(0,MAX(0,Inputs!$B$43-B1505)-((R1473-1)*IF(Inputs!$B$38="pvp",15,MAX(0.1,Skills!D7-IF(Skills!E7=TRUE,Inputs!$B$32,0))))))/Skills!H7,1)))/Inputs!$B$43),G1473*Q1473))*IF(Inputs!$B$38="pvp",1,(1+(Inputs!$B$21+Skills!Q7+(IF(ArtifactsInput!$M$33,CHOOSE(ArtifactsInput!$N$33+1,30,36,42,48,54,60),0))+(IF(AND(ArtifactsInput!$M$35,Inputs!$B$4&lt;&gt;"Chapter Hunt"),CHOOSE(ArtifactsInput!$N$35+1,15,18,21,24,27,30)*(1-EXP(-(0.2*B1500)*5)),0)+IF(AND(ArtifactsInput!$M$22,Inputs!$B$4&lt;&gt;"Chapter Hunt"),CHOOSE(ArtifactsInput!$N$22+1,10,12,14,16,18,20)*((0*(((0.15*B1500*5))^0/1)+1*(((0.15*B1500*5))^1/1)+2*(((0.15*B1500*5))^2/2)+3*(((0.15*B1500*5))^3/6)+4*(((0.15*B1500*5))^4/24)+5*(((0.15*B1500*5))^5/120))/((((0.15*B1500*5))^0/1)+(((0.15*B1500*5))^1/1)+(((0.15*B1500*5))^2/2)+(((0.15*B1500*5))^3/6)+(((0.15*B1500*5))^4/24)+(((0.15*B1500*5))^5/120))),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474">
      <c r="A1474">
        <f>Skills!A8</f>
        <v/>
      </c>
      <c r="B1474">
        <f>Skills!B8</f>
        <v/>
      </c>
      <c r="C1474">
        <f>Inputs!$B$3&gt;=100</f>
        <v/>
      </c>
      <c r="D1474">
        <f>IF(Skills!C8=1,60+Inputs!$B$25+Inputs!$B$29,IF(Skills!C8=2,90+Inputs!$B$26+Inputs!$B$29,IF(Skills!C8=3,120+Inputs!$B$27+Inputs!$B$29,MAX(0,(Inputs!$B$3-100)*3)+Inputs!$B$28+Inputs!$B$29)))</f>
        <v/>
      </c>
      <c r="E1474">
        <f>INDEX(FactorTable!$B$2:$Y$301, MATCH(ROUND(MIN(300,MAX(1,D1474)),0), FactorTable!$A$2:$A$301,0), Skills!M8+1)</f>
        <v/>
      </c>
      <c r="F1474">
        <f>IF(Skills!N8=TRUE,(Skills!L8/10)*(E1474/1000),Skills!L8/10)+Skills!O8</f>
        <v/>
      </c>
      <c r="G1474" t="inlineStr"/>
      <c r="H1474" t="inlineStr"/>
      <c r="I1474" t="inlineStr">
        <is>
          <t>1</t>
        </is>
      </c>
      <c r="J1474" t="inlineStr"/>
      <c r="K1474" t="inlineStr"/>
      <c r="L1474" t="inlineStr"/>
      <c r="M1474" t="inlineStr"/>
      <c r="N1474" t="inlineStr"/>
      <c r="O1474" t="inlineStr"/>
      <c r="P1474" t="inlineStr"/>
      <c r="Q1474" t="inlineStr"/>
      <c r="R1474" t="inlineStr"/>
      <c r="S1474" t="inlineStr"/>
      <c r="T1474" t="inlineStr"/>
      <c r="V1474" t="inlineStr"/>
    </row>
    <row r="1475">
      <c r="A1475">
        <f>Skills!A9</f>
        <v/>
      </c>
      <c r="B1475">
        <f>Skills!B9</f>
        <v/>
      </c>
      <c r="C1475">
        <f>Inputs!$B$3&gt;=103</f>
        <v/>
      </c>
      <c r="D1475">
        <f>IF(Skills!C9=1,60+Inputs!$B$25+Inputs!$B$29,IF(Skills!C9=2,90+Inputs!$B$26+Inputs!$B$29,IF(Skills!C9=3,120+Inputs!$B$27+Inputs!$B$29,MAX(0,(Inputs!$B$3-100)*3)+Inputs!$B$28+Inputs!$B$29)))</f>
        <v/>
      </c>
      <c r="E1475">
        <f>INDEX(FactorTable!$B$2:$Y$301, MATCH(ROUND(MIN(300,MAX(1,D1475)),0), FactorTable!$A$2:$A$301,0), Skills!M9+1)</f>
        <v/>
      </c>
      <c r="F1475">
        <f>IF(Skills!N9=TRUE,(Skills!L9/10)*(E1475/1000),Skills!L9/10)+Skills!O9</f>
        <v/>
      </c>
      <c r="G1475">
        <f>Skills!G9*IF(Skills!H9&gt;0,Skills!I9/Skills!H9,1)</f>
        <v/>
      </c>
      <c r="H1475">
        <f>1-(1-Skills!J9/100)^Skills!K9</f>
        <v/>
      </c>
      <c r="I1475" t="inlineStr">
        <is>
          <t>1</t>
        </is>
      </c>
      <c r="J1475">
        <f>((Inputs!$B$6*(1+Inputs!$B$7/100))+(((Inputs!$B$12*(1+Inputs!$B$13/100))-(Inputs!$B$12*(1+Inputs!$B$13/100)))+0.25*(Inputs!$B$14-Inputs!$B$14))*(1+Inputs!$B$7/100))*(F1475/100)</f>
        <v/>
      </c>
      <c r="K1475">
        <f>J1475*(1+((Inputs!$B$12*(1+Inputs!$B$13/100))*0.01+Inputs!$B$14*0.0025)/100)*(1+Inputs!$B$15/100)*(1+Inputs!$B$16/100)*(5000/(6000+Inputs!$B$42*(1-(100*(1-(1-(Inputs!$B$19+0)/100)*(1-CHOOSE(ArtifactsInput!$N$40+1,5,6,7,8,9,10)/100)^(ArtifactsInput!$M$40-ArtifactsInput!$M$40)))/100)))*(1+(Inputs!$B$24+((C1490=TRUE)*(F1490-Calc!F24))+((C1491=TRUE)*(F1491-Calc!F25))+B1504)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EMPOWERED_PIERCING_ARROW",Inputs!$B$17+((C1488=TRUE)*(F1488-Calc!F22))+(((IF(AND(ArtifactsInput!$M$42,((Inputs!$B$9+((C1485=TRUE)*(F1485-Calc!F19))+B1498+(ArtifactsInput!$M$24-ArtifactsInput!$M$24)*CHOOSE(ArtifactsInput!$N$24+1,10,12,14,16,18,20)+IF(ArtifactsInput!$M$10,CHOOSE(ArtifactsInput!$N$10+1,15,18,21,24,27,30)*(IF(Inputs!$B$38="pvp",MIN(15,15)/15,IF(AND(Inputs!$B$38&lt;&gt;"pvp",Inputs!$B$43&gt;0),MIN(15,Inputs!$B$43)/(Inputs!$B$43),0))),0)))&gt;=100),MIN(100,((Inputs!$B$9+((C1485=TRUE)*(F1485-Calc!F19))+B1498+(ArtifactsInput!$M$24-ArtifactsInput!$M$24)*CHOOSE(ArtifactsInput!$N$24+1,10,12,14,16,18,20)+IF(ArtifactsInput!$M$10,CHOOSE(ArtifactsInput!$N$10+1,15,18,21,24,27,30)*(IF(Inputs!$B$38="pvp",MIN(15,15)/15,IF(AND(Inputs!$B$38&lt;&gt;"pvp",Inputs!$B$43&gt;0),MIN(15,Inputs!$B$43)/(Inputs!$B$43),0))),0)))-100),0))*CHOOSE(ArtifactsInput!$N$42+1,0.6,0.72,0.84,0.96,1.08,1.2))),Inputs!$B$18+((C1493=TRUE)*(F1493-Calc!F27))+(IF(AND(ArtifactsInput!$M$42,((Inputs!$B$9+((C1485=TRUE)*(F1485-Calc!F19))+B1498+(ArtifactsInput!$M$24-ArtifactsInput!$M$24)*CHOOSE(ArtifactsInput!$N$24+1,10,12,14,16,18,20)+IF(ArtifactsInput!$M$10,CHOOSE(ArtifactsInput!$N$10+1,15,18,21,24,27,30)*(IF(Inputs!$B$38="pvp",MIN(15,15)/15,IF(AND(Inputs!$B$38&lt;&gt;"pvp",Inputs!$B$43&gt;0),MIN(15,Inputs!$B$43)/(Inputs!$B$43),0))),0)))&gt;=100),CHOOSE(ArtifactsInput!$N$42+1,40,48,56,64,72,80),0))))/100)*((1+(((C1479=TRUE)*F1479)+((C1480=TRUE)*IF(Inputs!$B$38="pvp",F1480,(1-Summary!$B$11)*(F1480)+Summary!$B$11*(0)))+((C1481=TRUE)*F1481*IF(AND(Inputs!$B$38&lt;&gt;"pvp",Inputs!$B$43&gt;0),(((R1481-1)*(Skills!T15*(1+Inputs!$B$34/100))+MIN((Skills!T15*(1+Inputs!$B$34/100)),MAX(0,Inputs!$B$43-((R1481-1)*Skills!D15))))/Inputs!$B$43),IF(Inputs!$B$38="pvp",MIN((Skills!T15*(1+Inputs!$B$34/100)),15)/15,(Skills!T15*(1+Inputs!$B$34/100))/Skills!D15)))+((C1478=TRUE)*F1478)+((C1495=TRUE)*(F1495-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IF(ArtifactsInput!$M$11,FALSE,TRUE),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1475)</f>
        <v/>
      </c>
      <c r="L1475">
        <f>K1475*(MIN(Inputs!$B$22+((C1489=TRUE)*(F1489-Calc!F23)),(Inputs!$B$23+((C1494=TRUE)*(F1494-Calc!F28))+(IF(ArtifactsInput!$M$15,CHOOSE(ArtifactsInput!$N$15+1,25,30,35,40,45,50)/100*(Inputs!$B$11-Inputs!$B$11),0))))/100+(Inputs!$B$23+((C1494=TRUE)*(F1494-Calc!F28))+(IF(ArtifactsInput!$M$15,CHOOSE(ArtifactsInput!$N$15+1,25,30,35,40,45,50)/100*(Inputs!$B$11-Inputs!$B$11),0)))/100)/2</f>
        <v/>
      </c>
      <c r="M1475">
        <f>L1475*(1+(Inputs!$B$10+0+B1503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475">
        <f>L1475*(1-MIN((Inputs!$B$9+((C1485=TRUE)*(F1485-Calc!F19))+B1498+(ArtifactsInput!$M$24-ArtifactsInput!$M$24)*CHOOSE(ArtifactsInput!$N$24+1,10,12,14,16,18,20)+(IF(AND(ArtifactsInput!$M$42,((Inputs!$B$9+((C1485=TRUE)*(F1485-Calc!F19))+B1498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1475*(MIN((Inputs!$B$9+((C1485=TRUE)*(F1485-Calc!F19))+B1498+(ArtifactsInput!$M$24-ArtifactsInput!$M$24)*CHOOSE(ArtifactsInput!$N$24+1,10,12,14,16,18,20)+(IF(AND(ArtifactsInput!$M$42,((Inputs!$B$9+((C1485=TRUE)*(F1485-Calc!F19))+B1498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475">
        <f>(1-Summary!$B$11)*T1475+Summary!$B$11*V1475</f>
        <v/>
      </c>
      <c r="P1475">
        <f>IF(B1508=0,0,O1475/B1508)</f>
        <v/>
      </c>
      <c r="Q1475">
        <f>IFERROR(1/IF(Inputs!$B$38="pvp",15,MAX(0.1,Skills!D9-IF(Skills!E9=TRUE,Inputs!$B$32,0))),0)</f>
        <v/>
      </c>
      <c r="R1475">
        <f>IF(AND(Inputs!$B$38&lt;&gt;"pvp",Inputs!$B$43&gt;0),IF(MAX(0,Inputs!$B$43-B1505)&lt;=0,0,(INT(MAX(0,Inputs!$B$43-B1505)/IF(Inputs!$B$38="pvp",15,MAX(0.1,Skills!D9-IF(Skills!E9=TRUE,Inputs!$B$32,0))))+1)),0)</f>
        <v/>
      </c>
      <c r="S1475">
        <f>IFERROR((H1475*N1475*IF(AND(Inputs!$B$38&lt;&gt;"pvp",Inputs!$B$43&gt;0),((Skills!G9*((R1475-1)*IF(Skills!H9&gt;0,Skills!I9/Skills!H9,1)+IF(Skills!H9&gt;0,MIN(Skills!I9,MAX(0,MAX(0,Inputs!$B$43-B1505)-((R1475-1)*IF(Inputs!$B$38="pvp",15,MAX(0.1,Skills!D9-IF(Skills!E9=TRUE,Inputs!$B$32,0))))))/Skills!H9,1)))/Inputs!$B$43),G1475*Q1475))/N1475*IF(Inputs!$B$38="pvp",1,(1-Summary!$B$11)*1+Summary!$B$11*(MIN(Skills!R9,Inputs!$B$37))),0)</f>
        <v/>
      </c>
      <c r="T1475">
        <f>IF(C1475,(H1475*N1475*IF(AND(Inputs!$B$38&lt;&gt;"pvp",Inputs!$B$43&gt;0),((Skills!G9*((R1475-1)*IF(Skills!H9&gt;0,Skills!I9/Skills!H9,1)+IF(Skills!H9&gt;0,MIN(Skills!I9,MAX(0,MAX(0,Inputs!$B$43-B1505)-((R1475-1)*IF(Inputs!$B$38="pvp",15,MAX(0.1,Skills!D9-IF(Skills!E9=TRUE,Inputs!$B$32,0))))))/Skills!H9,1)))/Inputs!$B$43),G1475*Q1475))*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Hunt"),CHOOSE(ArtifactsInput!$N$35+1,15,18,21,24,27,30)*(1-EXP(-(0.2*B1500)*5)),0)+IF(AND(ArtifactsInput!$M$22,Inputs!$B$4&lt;&gt;"Chapter Hunt"),CHOOSE(ArtifactsInput!$N$22+1,10,12,14,16,18,20)*((0*(((0.15*B1500*5))^0/1)+1*(((0.15*B1500*5))^1/1)+2*(((0.15*B1500*5))^2/2)+3*(((0.15*B1500*5))^3/6)+4*(((0.15*B1500*5))^4/24)+5*(((0.15*B1500*5))^5/120))/((((0.15*B1500*5))^0/1)+(((0.15*B1500*5))^1/1)+(((0.15*B1500*5))^2/2)+(((0.15*B1500*5))^3/6)+(((0.15*B1500*5))^4/24)+(((0.15*B1500*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1475*(1-MIN(100,(Inputs!$B$9+((C1485=TRUE)*(F1485-Calc!F19))+B1498+(ArtifactsInput!$M$24-ArtifactsInput!$M$24)*CHOOSE(ArtifactsInput!$N$24+1,10,12,14,16,18,20)+(IF(AND(ArtifactsInput!$M$42,((Inputs!$B$9+((C1485=TRUE)*(F1485-Calc!F19))+B1498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1475*(MIN(100,(Inputs!$B$9+((C1485=TRUE)*(F1485-Calc!F19))+B1498+(ArtifactsInput!$M$24-ArtifactsInput!$M$24)*CHOOSE(ArtifactsInput!$N$24+1,10,12,14,16,18,20)+(IF(AND(ArtifactsInput!$M$42,((Inputs!$B$9+((C1485=TRUE)*(F1485-Calc!F19))+B1498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1475*(1-MIN(100,(Inputs!$B$9+((C1485=TRUE)*(F1485-Calc!F19))+B1498+(ArtifactsInput!$M$24-ArtifactsInput!$M$24)*CHOOSE(ArtifactsInput!$N$24+1,10,12,14,16,18,20)+(IF(AND(ArtifactsInput!$M$42,((Inputs!$B$9+((C1485=TRUE)*(F1485-Calc!F19))+B1498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1475*(MIN(100,(Inputs!$B$9+((C1485=TRUE)*(F1485-Calc!F19))+B1498+(ArtifactsInput!$M$24-ArtifactsInput!$M$24)*CHOOSE(ArtifactsInput!$N$24+1,10,12,14,16,18,20)+(IF(AND(ArtifactsInput!$M$42,((Inputs!$B$9+((C1485=TRUE)*(F1485-Calc!F19))+B1498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475">
        <f>IF(C1475,(H1475*N1475*IF(AND(Inputs!$B$38&lt;&gt;"pvp",Inputs!$B$43&gt;0),((Skills!G9*((R1475-1)*IF(Skills!H9&gt;0,Skills!I9/Skills!H9,1)+IF(Skills!H9&gt;0,MIN(Skills!I9,MAX(0,MAX(0,Inputs!$B$43-B1505)-((R1475-1)*IF(Inputs!$B$38="pvp",15,MAX(0.1,Skills!D9-IF(Skills!E9=TRUE,Inputs!$B$32,0))))))/Skills!H9,1)))/Inputs!$B$43),G1475*Q1475))*IF(Inputs!$B$38="pvp",1,(1+(Inputs!$B$21+Skills!Q9+(IF(ArtifactsInput!$M$33,CHOOSE(ArtifactsInput!$N$33+1,30,36,42,48,54,60),0))+(IF(AND(ArtifactsInput!$M$35,Inputs!$B$4&lt;&gt;"Chapter Hunt"),CHOOSE(ArtifactsInput!$N$35+1,15,18,21,24,27,30)*(1-EXP(-(0.2*B1500)*5)),0)+IF(AND(ArtifactsInput!$M$22,Inputs!$B$4&lt;&gt;"Chapter Hunt"),CHOOSE(ArtifactsInput!$N$22+1,10,12,14,16,18,20)*((0*(((0.15*B1500*5))^0/1)+1*(((0.15*B1500*5))^1/1)+2*(((0.15*B1500*5))^2/2)+3*(((0.15*B1500*5))^3/6)+4*(((0.15*B1500*5))^4/24)+5*(((0.15*B1500*5))^5/120))/((((0.15*B1500*5))^0/1)+(((0.15*B1500*5))^1/1)+(((0.15*B1500*5))^2/2)+(((0.15*B1500*5))^3/6)+(((0.15*B1500*5))^4/24)+(((0.15*B1500*5))^5/120)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476">
      <c r="A1476">
        <f>Skills!A10</f>
        <v/>
      </c>
      <c r="B1476">
        <f>Skills!B10</f>
        <v/>
      </c>
      <c r="C1476">
        <f>Inputs!$B$3&gt;=107</f>
        <v/>
      </c>
      <c r="D1476">
        <f>IF(Skills!C10=1,60+Inputs!$B$25+Inputs!$B$29,IF(Skills!C10=2,90+Inputs!$B$26+Inputs!$B$29,IF(Skills!C10=3,120+Inputs!$B$27+Inputs!$B$29,MAX(0,(Inputs!$B$3-100)*3)+Inputs!$B$28+Inputs!$B$29)))</f>
        <v/>
      </c>
      <c r="E1476">
        <f>INDEX(FactorTable!$B$2:$Y$301, MATCH(ROUND(MIN(300,MAX(1,D1476)),0), FactorTable!$A$2:$A$301,0), Skills!M10+1)</f>
        <v/>
      </c>
      <c r="F1476">
        <f>IF(Skills!N10=TRUE,(Skills!L10/10)*(E1476/1000),Skills!L10/10)+Skills!O10</f>
        <v/>
      </c>
      <c r="G1476">
        <f>Skills!G10*IF(Skills!H10&gt;0,Skills!I10/Skills!H10,1)</f>
        <v/>
      </c>
      <c r="H1476">
        <f>1-(1-Skills!J10/100)^Skills!K10</f>
        <v/>
      </c>
      <c r="I1476" t="inlineStr">
        <is>
          <t>1</t>
        </is>
      </c>
      <c r="J1476">
        <f>((Inputs!$B$6*(1+Inputs!$B$7/100))+(((Inputs!$B$12*(1+Inputs!$B$13/100))-(Inputs!$B$12*(1+Inputs!$B$13/100)))+0.25*(Inputs!$B$14-Inputs!$B$14))*(1+Inputs!$B$7/100))*(F1476/100)</f>
        <v/>
      </c>
      <c r="K1476">
        <f>J1476*(1+((Inputs!$B$12*(1+Inputs!$B$13/100))*0.01+Inputs!$B$14*0.0025)/100)*(1+Inputs!$B$15/100)*(1+Inputs!$B$16/100)*(5000/(6000+Inputs!$B$42*(1-(100*(1-(1-(Inputs!$B$19+0)/100)*(1-CHOOSE(ArtifactsInput!$N$40+1,5,6,7,8,9,10)/100)^(ArtifactsInput!$M$40-ArtifactsInput!$M$40)))/100)))*(1+(Inputs!$B$24+((C1490=TRUE)*(F1490-Calc!F24))+((C1491=TRUE)*(F1491-Calc!F25))+B1504)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EMPOWERED_PIERCING_ARROW",Inputs!$B$17+((C1488=TRUE)*(F1488-Calc!F22))+(((IF(AND(ArtifactsInput!$M$42,((Inputs!$B$9+((C1485=TRUE)*(F1485-Calc!F19))+B1498+(ArtifactsInput!$M$24-ArtifactsInput!$M$24)*CHOOSE(ArtifactsInput!$N$24+1,10,12,14,16,18,20)+IF(ArtifactsInput!$M$10,CHOOSE(ArtifactsInput!$N$10+1,15,18,21,24,27,30)*(IF(Inputs!$B$38="pvp",MIN(15,15)/15,IF(AND(Inputs!$B$38&lt;&gt;"pvp",Inputs!$B$43&gt;0),MIN(15,Inputs!$B$43)/(Inputs!$B$43),0))),0)))&gt;=100),MIN(100,((Inputs!$B$9+((C1485=TRUE)*(F1485-Calc!F19))+B1498+(ArtifactsInput!$M$24-ArtifactsInput!$M$24)*CHOOSE(ArtifactsInput!$N$24+1,10,12,14,16,18,20)+IF(ArtifactsInput!$M$10,CHOOSE(ArtifactsInput!$N$10+1,15,18,21,24,27,30)*(IF(Inputs!$B$38="pvp",MIN(15,15)/15,IF(AND(Inputs!$B$38&lt;&gt;"pvp",Inputs!$B$43&gt;0),MIN(15,Inputs!$B$43)/(Inputs!$B$43),0))),0)))-100),0))*CHOOSE(ArtifactsInput!$N$42+1,0.6,0.72,0.84,0.96,1.08,1.2))),Inputs!$B$18+((C1493=TRUE)*(F1493-Calc!F27))+(IF(AND(ArtifactsInput!$M$42,((Inputs!$B$9+((C1485=TRUE)*(F1485-Calc!F19))+B1498+(ArtifactsInput!$M$24-ArtifactsInput!$M$24)*CHOOSE(ArtifactsInput!$N$24+1,10,12,14,16,18,20)+IF(ArtifactsInput!$M$10,CHOOSE(ArtifactsInput!$N$10+1,15,18,21,24,27,30)*(IF(Inputs!$B$38="pvp",MIN(15,15)/15,IF(AND(Inputs!$B$38&lt;&gt;"pvp",Inputs!$B$43&gt;0),MIN(15,Inputs!$B$43)/(Inputs!$B$43),0))),0)))&gt;=100),CHOOSE(ArtifactsInput!$N$42+1,40,48,56,64,72,80),0))))/100)*((1+(((C1479=TRUE)*F1479)+((C1480=TRUE)*IF(Inputs!$B$38="pvp",F1480,(1-Summary!$B$11)*(F1480)+Summary!$B$11*(0)))+((C1481=TRUE)*F1481*IF(AND(Inputs!$B$38&lt;&gt;"pvp",Inputs!$B$43&gt;0),(((R1481-1)*(Skills!T15*(1+Inputs!$B$34/100))+MIN((Skills!T15*(1+Inputs!$B$34/100)),MAX(0,Inputs!$B$43-((R1481-1)*Skills!D15))))/Inputs!$B$43),IF(Inputs!$B$38="pvp",MIN((Skills!T15*(1+Inputs!$B$34/100)),15)/15,(Skills!T15*(1+Inputs!$B$34/100))/Skills!D15)))+((C1478=TRUE)*F1478)+((C1495=TRUE)*(F1495-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IF(ArtifactsInput!$M$11,FALSE,TRUE),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1476)</f>
        <v/>
      </c>
      <c r="L1476">
        <f>K1476*(MIN(Inputs!$B$22+((C1489=TRUE)*(F1489-Calc!F23)),(Inputs!$B$23+((C1494=TRUE)*(F1494-Calc!F28))+(IF(ArtifactsInput!$M$15,CHOOSE(ArtifactsInput!$N$15+1,25,30,35,40,45,50)/100*(Inputs!$B$11-Inputs!$B$11),0))))/100+(Inputs!$B$23+((C1494=TRUE)*(F1494-Calc!F28))+(IF(ArtifactsInput!$M$15,CHOOSE(ArtifactsInput!$N$15+1,25,30,35,40,45,50)/100*(Inputs!$B$11-Inputs!$B$11),0)))/100)/2</f>
        <v/>
      </c>
      <c r="M1476">
        <f>L1476*(1+(Inputs!$B$10+0+B1503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476">
        <f>L1476*(1-MIN((Inputs!$B$9+((C1485=TRUE)*(F1485-Calc!F19))+B1498+(ArtifactsInput!$M$24-ArtifactsInput!$M$24)*CHOOSE(ArtifactsInput!$N$24+1,10,12,14,16,18,20)+(IF(AND(ArtifactsInput!$M$42,((Inputs!$B$9+((C1485=TRUE)*(F1485-Calc!F19))+B1498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1476*(MIN((Inputs!$B$9+((C1485=TRUE)*(F1485-Calc!F19))+B1498+(ArtifactsInput!$M$24-ArtifactsInput!$M$24)*CHOOSE(ArtifactsInput!$N$24+1,10,12,14,16,18,20)+(IF(AND(ArtifactsInput!$M$42,((Inputs!$B$9+((C1485=TRUE)*(F1485-Calc!F19))+B1498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476">
        <f>(1-Summary!$B$11)*T1476+Summary!$B$11*V1476</f>
        <v/>
      </c>
      <c r="P1476">
        <f>IF(B1508=0,0,O1476/B1508)</f>
        <v/>
      </c>
      <c r="Q1476" t="n">
        <v>0</v>
      </c>
      <c r="R1476" t="n">
        <v>0</v>
      </c>
      <c r="S1476" t="n">
        <v>0</v>
      </c>
      <c r="T1476">
        <f>IF(C1476,(0.15*SUMPRODUCT((Skills!U2:U29=TRUE)*(C1468:C1495=TRUE)*S1468:S1495)*Skills!G10*N1476)*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Hunt"),CHOOSE(ArtifactsInput!$N$35+1,15,18,21,24,27,30)*(1-EXP(-(0.2*B1500)*5)),0)+IF(AND(ArtifactsInput!$M$22,Inputs!$B$4&lt;&gt;"Chapter Hunt"),CHOOSE(ArtifactsInput!$N$22+1,10,12,14,16,18,20)*((0*(((0.15*B1500*5))^0/1)+1*(((0.15*B1500*5))^1/1)+2*(((0.15*B1500*5))^2/2)+3*(((0.15*B1500*5))^3/6)+4*(((0.15*B1500*5))^4/24)+5*(((0.15*B1500*5))^5/120))/((((0.15*B1500*5))^0/1)+(((0.15*B1500*5))^1/1)+(((0.15*B1500*5))^2/2)+(((0.15*B1500*5))^3/6)+(((0.15*B1500*5))^4/24)+(((0.15*B1500*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1476*(1-MIN(100,(Inputs!$B$9+((C1485=TRUE)*(F1485-Calc!F19))+B1498+(ArtifactsInput!$M$24-ArtifactsInput!$M$24)*CHOOSE(ArtifactsInput!$N$24+1,10,12,14,16,18,20)+(IF(AND(ArtifactsInput!$M$42,((Inputs!$B$9+((C1485=TRUE)*(F1485-Calc!F19))+B1498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1476*(MIN(100,(Inputs!$B$9+((C1485=TRUE)*(F1485-Calc!F19))+B1498+(ArtifactsInput!$M$24-ArtifactsInput!$M$24)*CHOOSE(ArtifactsInput!$N$24+1,10,12,14,16,18,20)+(IF(AND(ArtifactsInput!$M$42,((Inputs!$B$9+((C1485=TRUE)*(F1485-Calc!F19))+B1498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1476*(1-MIN(100,(Inputs!$B$9+((C1485=TRUE)*(F1485-Calc!F19))+B1498+(ArtifactsInput!$M$24-ArtifactsInput!$M$24)*CHOOSE(ArtifactsInput!$N$24+1,10,12,14,16,18,20)+(IF(AND(ArtifactsInput!$M$42,((Inputs!$B$9+((C1485=TRUE)*(F1485-Calc!F19))+B1498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1476*(MIN(100,(Inputs!$B$9+((C1485=TRUE)*(F1485-Calc!F19))+B1498+(ArtifactsInput!$M$24-ArtifactsInput!$M$24)*CHOOSE(ArtifactsInput!$N$24+1,10,12,14,16,18,20)+(IF(AND(ArtifactsInput!$M$42,((Inputs!$B$9+((C1485=TRUE)*(F1485-Calc!F19))+B1498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476">
        <f>IF(C1476,(0.15*SUMPRODUCT((Skills!U2:U29=TRUE)*(C1468:C1495=TRUE)*S1468:S1495)*Skills!G10*N1476)*IF(Inputs!$B$38="pvp",1,(1+(Inputs!$B$21+Skills!Q10+(IF(ArtifactsInput!$M$33,CHOOSE(ArtifactsInput!$N$33+1,30,36,42,48,54,60),0))+(IF(AND(ArtifactsInput!$M$35,Inputs!$B$4&lt;&gt;"Chapter Hunt"),CHOOSE(ArtifactsInput!$N$35+1,15,18,21,24,27,30)*(1-EXP(-(0.2*B1500)*5)),0)+IF(AND(ArtifactsInput!$M$22,Inputs!$B$4&lt;&gt;"Chapter Hunt"),CHOOSE(ArtifactsInput!$N$22+1,10,12,14,16,18,20)*((0*(((0.15*B1500*5))^0/1)+1*(((0.15*B1500*5))^1/1)+2*(((0.15*B1500*5))^2/2)+3*(((0.15*B1500*5))^3/6)+4*(((0.15*B1500*5))^4/24)+5*(((0.15*B1500*5))^5/120))/((((0.15*B1500*5))^0/1)+(((0.15*B1500*5))^1/1)+(((0.15*B1500*5))^2/2)+(((0.15*B1500*5))^3/6)+(((0.15*B1500*5))^4/24)+(((0.15*B1500*5))^5/120)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477">
      <c r="A1477">
        <f>Skills!A11</f>
        <v/>
      </c>
      <c r="B1477">
        <f>Skills!B11</f>
        <v/>
      </c>
      <c r="C1477">
        <f>Inputs!$B$3&gt;=110</f>
        <v/>
      </c>
      <c r="D1477">
        <f>IF(Skills!C11=1,60+Inputs!$B$25+Inputs!$B$29,IF(Skills!C11=2,90+Inputs!$B$26+Inputs!$B$29,IF(Skills!C11=3,120+Inputs!$B$27+Inputs!$B$29,MAX(0,(Inputs!$B$3-100)*3)+Inputs!$B$28+Inputs!$B$29)))</f>
        <v/>
      </c>
      <c r="E1477">
        <f>INDEX(FactorTable!$B$2:$Y$301, MATCH(ROUND(MIN(300,MAX(1,D1477)),0), FactorTable!$A$2:$A$301,0), Skills!M11+1)</f>
        <v/>
      </c>
      <c r="F1477">
        <f>IF(Skills!N11=TRUE,(Skills!L11/10)*(E1477/1000),Skills!L11/10)+Skills!O11</f>
        <v/>
      </c>
      <c r="G1477">
        <f>Skills!G11*IF(Skills!H11&gt;0,Skills!I11/Skills!H11,1)</f>
        <v/>
      </c>
      <c r="H1477">
        <f>1-(1-Skills!J11/100)^Skills!K11</f>
        <v/>
      </c>
      <c r="I1477" t="inlineStr">
        <is>
          <t>1</t>
        </is>
      </c>
      <c r="J1477">
        <f>((Inputs!$B$6*(1+Inputs!$B$7/100))+(((Inputs!$B$12*(1+Inputs!$B$13/100))-(Inputs!$B$12*(1+Inputs!$B$13/100)))+0.25*(Inputs!$B$14-Inputs!$B$14))*(1+Inputs!$B$7/100))*(F1477/100)</f>
        <v/>
      </c>
      <c r="K1477">
        <f>J1477*(1+((Inputs!$B$12*(1+Inputs!$B$13/100))*0.01+Inputs!$B$14*0.0025)/100)*(1+Inputs!$B$15/100)*(1+Inputs!$B$16/100)*(5000/(6000+Inputs!$B$42*(1-(100*(1-(1-(Inputs!$B$19+0)/100)*(1-CHOOSE(ArtifactsInput!$N$40+1,5,6,7,8,9,10)/100)^(ArtifactsInput!$M$40-ArtifactsInput!$M$40)))/100)))*(1+(Inputs!$B$24+((C1490=TRUE)*(F1490-Calc!F24))+((C1491=TRUE)*(F1491-Calc!F25))+B1504)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11="EMPOWERED_PIERCING_ARROW",Inputs!$B$17+((C1488=TRUE)*(F1488-Calc!F22))+(((IF(AND(ArtifactsInput!$M$42,((Inputs!$B$9+((C1485=TRUE)*(F1485-Calc!F19))+B1498+(ArtifactsInput!$M$24-ArtifactsInput!$M$24)*CHOOSE(ArtifactsInput!$N$24+1,10,12,14,16,18,20)+IF(ArtifactsInput!$M$10,CHOOSE(ArtifactsInput!$N$10+1,15,18,21,24,27,30)*(IF(Inputs!$B$38="pvp",MIN(15,15)/15,IF(AND(Inputs!$B$38&lt;&gt;"pvp",Inputs!$B$43&gt;0),MIN(15,Inputs!$B$43)/(Inputs!$B$43),0))),0)))&gt;=100),MIN(100,((Inputs!$B$9+((C1485=TRUE)*(F1485-Calc!F19))+B1498+(ArtifactsInput!$M$24-ArtifactsInput!$M$24)*CHOOSE(ArtifactsInput!$N$24+1,10,12,14,16,18,20)+IF(ArtifactsInput!$M$10,CHOOSE(ArtifactsInput!$N$10+1,15,18,21,24,27,30)*(IF(Inputs!$B$38="pvp",MIN(15,15)/15,IF(AND(Inputs!$B$38&lt;&gt;"pvp",Inputs!$B$43&gt;0),MIN(15,Inputs!$B$43)/(Inputs!$B$43),0))),0)))-100),0))*CHOOSE(ArtifactsInput!$N$42+1,0.6,0.72,0.84,0.96,1.08,1.2))),Inputs!$B$18+((C1493=TRUE)*(F1493-Calc!F27))+(IF(AND(ArtifactsInput!$M$42,((Inputs!$B$9+((C1485=TRUE)*(F1485-Calc!F19))+B1498+(ArtifactsInput!$M$24-ArtifactsInput!$M$24)*CHOOSE(ArtifactsInput!$N$24+1,10,12,14,16,18,20)+IF(ArtifactsInput!$M$10,CHOOSE(ArtifactsInput!$N$10+1,15,18,21,24,27,30)*(IF(Inputs!$B$38="pvp",MIN(15,15)/15,IF(AND(Inputs!$B$38&lt;&gt;"pvp",Inputs!$B$43&gt;0),MIN(15,Inputs!$B$43)/(Inputs!$B$43),0))),0)))&gt;=100),CHOOSE(ArtifactsInput!$N$42+1,40,48,56,64,72,80),0))))/100)*((1+(((C1479=TRUE)*F1479)+((C1480=TRUE)*IF(Inputs!$B$38="pvp",F1480,(1-Summary!$B$11)*(F1480)+Summary!$B$11*(0)))+((C1481=TRUE)*F1481*IF(AND(Inputs!$B$38&lt;&gt;"pvp",Inputs!$B$43&gt;0),(((R1481-1)*(Skills!T15*(1+Inputs!$B$34/100))+MIN((Skills!T15*(1+Inputs!$B$34/100)),MAX(0,Inputs!$B$43-((R1481-1)*Skills!D15))))/Inputs!$B$43),IF(Inputs!$B$38="pvp",MIN((Skills!T15*(1+Inputs!$B$34/100)),15)/15,(Skills!T15*(1+Inputs!$B$34/100))/Skills!D15)))+((C1478=TRUE)*F1478)+((C1495=TRUE)*(F1495-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IF(ArtifactsInput!$M$11,FALSE,TRUE),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1477)</f>
        <v/>
      </c>
      <c r="L1477">
        <f>K1477*(MIN(Inputs!$B$22+((C1489=TRUE)*(F1489-Calc!F23)),(Inputs!$B$23+((C1494=TRUE)*(F1494-Calc!F28))+(IF(ArtifactsInput!$M$15,CHOOSE(ArtifactsInput!$N$15+1,25,30,35,40,45,50)/100*(Inputs!$B$11-Inputs!$B$11),0))))/100+(Inputs!$B$23+((C1494=TRUE)*(F1494-Calc!F28))+(IF(ArtifactsInput!$M$15,CHOOSE(ArtifactsInput!$N$15+1,25,30,35,40,45,50)/100*(Inputs!$B$11-Inputs!$B$11),0)))/100)/2</f>
        <v/>
      </c>
      <c r="M1477">
        <f>L1477*(1+(Inputs!$B$10+0+B1503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477">
        <f>L1477*(1-MIN((Inputs!$B$9+((C1485=TRUE)*(F1485-Calc!F19))+B1498+(ArtifactsInput!$M$24-ArtifactsInput!$M$24)*CHOOSE(ArtifactsInput!$N$24+1,10,12,14,16,18,20)+(IF(AND(ArtifactsInput!$M$42,((Inputs!$B$9+((C1485=TRUE)*(F1485-Calc!F19))+B1498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1477*(MIN((Inputs!$B$9+((C1485=TRUE)*(F1485-Calc!F19))+B1498+(ArtifactsInput!$M$24-ArtifactsInput!$M$24)*CHOOSE(ArtifactsInput!$N$24+1,10,12,14,16,18,20)+(IF(AND(ArtifactsInput!$M$42,((Inputs!$B$9+((C1485=TRUE)*(F1485-Calc!F19))+B1498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477">
        <f>(1-Summary!$B$11)*T1477+Summary!$B$11*V1477</f>
        <v/>
      </c>
      <c r="P1477">
        <f>IF(B1508=0,0,O1477/B1508)</f>
        <v/>
      </c>
      <c r="Q1477">
        <f>IFERROR(1/IF(Inputs!$B$38="pvp",15,MAX(0.1,Skills!D11-IF(Skills!E11=TRUE,Inputs!$B$32,0))),0)</f>
        <v/>
      </c>
      <c r="R1477">
        <f>IF(AND(Inputs!$B$38&lt;&gt;"pvp",Inputs!$B$43&gt;0),IF(MAX(0,Inputs!$B$43-B1505)&lt;=0,0,(INT(MAX(0,Inputs!$B$43-B1505)/IF(Inputs!$B$38="pvp",15,MAX(0.1,Skills!D11-IF(Skills!E11=TRUE,Inputs!$B$32,0))))+1)),0)</f>
        <v/>
      </c>
      <c r="S1477">
        <f>IFERROR((H1477*N1477*IF(AND(Inputs!$B$38&lt;&gt;"pvp",Inputs!$B$43&gt;0),((Skills!G11*((R1477-1)*IF(Skills!H11&gt;0,Skills!I11/Skills!H11,1)+IF(Skills!H11&gt;0,MIN(Skills!I11,MAX(0,MAX(0,Inputs!$B$43-B1505)-((R1477-1)*IF(Inputs!$B$38="pvp",15,MAX(0.1,Skills!D11-IF(Skills!E11=TRUE,Inputs!$B$32,0))))))/Skills!H11,1)))/Inputs!$B$43),G1477*Q1477))/N1477*IF(Inputs!$B$38="pvp",1,(1-Summary!$B$11)*1+Summary!$B$11*(MIN(Skills!R11,Inputs!$B$37))),0)</f>
        <v/>
      </c>
      <c r="T1477">
        <f>IF(C1477,(H1477*N1477*IF(AND(Inputs!$B$38&lt;&gt;"pvp",Inputs!$B$43&gt;0),((Skills!G11*((R1477-1)*IF(Skills!H11&gt;0,Skills!I11/Skills!H11,1)+IF(Skills!H11&gt;0,MIN(Skills!I11,MAX(0,MAX(0,Inputs!$B$43-B1505)-((R1477-1)*IF(Inputs!$B$38="pvp",15,MAX(0.1,Skills!D11-IF(Skills!E11=TRUE,Inputs!$B$32,0))))))/Skills!H11,1)))/Inputs!$B$43),G1477*Q1477))*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Hunt"),CHOOSE(ArtifactsInput!$N$35+1,15,18,21,24,27,30)*(1-EXP(-(0.2*B1500)*5)),0)+IF(AND(ArtifactsInput!$M$22,Inputs!$B$4&lt;&gt;"Chapter Hunt"),CHOOSE(ArtifactsInput!$N$22+1,10,12,14,16,18,20)*((0*(((0.15*B1500*5))^0/1)+1*(((0.15*B1500*5))^1/1)+2*(((0.15*B1500*5))^2/2)+3*(((0.15*B1500*5))^3/6)+4*(((0.15*B1500*5))^4/24)+5*(((0.15*B1500*5))^5/120))/((((0.15*B1500*5))^0/1)+(((0.15*B1500*5))^1/1)+(((0.15*B1500*5))^2/2)+(((0.15*B1500*5))^3/6)+(((0.15*B1500*5))^4/24)+(((0.15*B1500*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1477*(1-MIN(100,(Inputs!$B$9+((C1485=TRUE)*(F1485-Calc!F19))+B1498+(ArtifactsInput!$M$24-ArtifactsInput!$M$24)*CHOOSE(ArtifactsInput!$N$24+1,10,12,14,16,18,20)+(IF(AND(ArtifactsInput!$M$42,((Inputs!$B$9+((C1485=TRUE)*(F1485-Calc!F19))+B1498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1477*(MIN(100,(Inputs!$B$9+((C1485=TRUE)*(F1485-Calc!F19))+B1498+(ArtifactsInput!$M$24-ArtifactsInput!$M$24)*CHOOSE(ArtifactsInput!$N$24+1,10,12,14,16,18,20)+(IF(AND(ArtifactsInput!$M$42,((Inputs!$B$9+((C1485=TRUE)*(F1485-Calc!F19))+B1498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1477*(1-MIN(100,(Inputs!$B$9+((C1485=TRUE)*(F1485-Calc!F19))+B1498+(ArtifactsInput!$M$24-ArtifactsInput!$M$24)*CHOOSE(ArtifactsInput!$N$24+1,10,12,14,16,18,20)+(IF(AND(ArtifactsInput!$M$42,((Inputs!$B$9+((C1485=TRUE)*(F1485-Calc!F19))+B1498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1477*(MIN(100,(Inputs!$B$9+((C1485=TRUE)*(F1485-Calc!F19))+B1498+(ArtifactsInput!$M$24-ArtifactsInput!$M$24)*CHOOSE(ArtifactsInput!$N$24+1,10,12,14,16,18,20)+(IF(AND(ArtifactsInput!$M$42,((Inputs!$B$9+((C1485=TRUE)*(F1485-Calc!F19))+B1498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477">
        <f>IF(C1477,(H1477*N1477*IF(AND(Inputs!$B$38&lt;&gt;"pvp",Inputs!$B$43&gt;0),((Skills!G11*((R1477-1)*IF(Skills!H11&gt;0,Skills!I11/Skills!H11,1)+IF(Skills!H11&gt;0,MIN(Skills!I11,MAX(0,MAX(0,Inputs!$B$43-B1505)-((R1477-1)*IF(Inputs!$B$38="pvp",15,MAX(0.1,Skills!D11-IF(Skills!E11=TRUE,Inputs!$B$32,0))))))/Skills!H11,1)))/Inputs!$B$43),G1477*Q1477))*IF(Inputs!$B$38="pvp",1,(1+(Inputs!$B$21+Skills!Q11+(IF(ArtifactsInput!$M$33,CHOOSE(ArtifactsInput!$N$33+1,30,36,42,48,54,60),0))+(IF(AND(ArtifactsInput!$M$35,Inputs!$B$4&lt;&gt;"Chapter Hunt"),CHOOSE(ArtifactsInput!$N$35+1,15,18,21,24,27,30)*(1-EXP(-(0.2*B1500)*5)),0)+IF(AND(ArtifactsInput!$M$22,Inputs!$B$4&lt;&gt;"Chapter Hunt"),CHOOSE(ArtifactsInput!$N$22+1,10,12,14,16,18,20)*((0*(((0.15*B1500*5))^0/1)+1*(((0.15*B1500*5))^1/1)+2*(((0.15*B1500*5))^2/2)+3*(((0.15*B1500*5))^3/6)+4*(((0.15*B1500*5))^4/24)+5*(((0.15*B1500*5))^5/120))/((((0.15*B1500*5))^0/1)+(((0.15*B1500*5))^1/1)+(((0.15*B1500*5))^2/2)+(((0.15*B1500*5))^3/6)+(((0.15*B1500*5))^4/24)+(((0.15*B1500*5))^5/120))),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478">
      <c r="A1478">
        <f>Skills!A12</f>
        <v/>
      </c>
      <c r="B1478">
        <f>Skills!B12</f>
        <v/>
      </c>
      <c r="C1478">
        <f>Inputs!$B$3&gt;=60</f>
        <v/>
      </c>
      <c r="D1478">
        <f>IF(Skills!C12=1,60+Inputs!$B$25+Inputs!$B$29,IF(Skills!C12=2,90+Inputs!$B$26+Inputs!$B$29,IF(Skills!C12=3,120+Inputs!$B$27+Inputs!$B$29,MAX(0,(Inputs!$B$3-100)*3)+Inputs!$B$28+Inputs!$B$29)))</f>
        <v/>
      </c>
      <c r="E1478">
        <f>INDEX(FactorTable!$B$2:$Y$301, MATCH(ROUND(MIN(300,MAX(1,D1478)),0), FactorTable!$A$2:$A$301,0), Skills!M12+1)</f>
        <v/>
      </c>
      <c r="F1478">
        <f>IF(Skills!N12=TRUE,(Skills!L12/10)*(E1478/1000),Skills!L12/10)+Skills!O12</f>
        <v/>
      </c>
      <c r="G1478">
        <f>Skills!G12*IF(Skills!H12&gt;0,Skills!I12/Skills!H12,1)</f>
        <v/>
      </c>
      <c r="H1478">
        <f>1-(1-Skills!J12/100)^Skills!K12</f>
        <v/>
      </c>
      <c r="I1478" t="inlineStr">
        <is>
          <t>1</t>
        </is>
      </c>
      <c r="J1478" t="inlineStr"/>
      <c r="K1478" t="inlineStr"/>
      <c r="L1478" t="inlineStr"/>
      <c r="M1478" t="inlineStr"/>
      <c r="N1478" t="inlineStr"/>
      <c r="O1478">
        <f>(1-Summary!$B$11)*T1478+Summary!$B$11*V1478</f>
        <v/>
      </c>
      <c r="P1478">
        <f>IF(B1508=0,0,O1478/B1508)</f>
        <v/>
      </c>
      <c r="Q1478" t="n">
        <v>0</v>
      </c>
      <c r="R1478" t="n">
        <v>0</v>
      </c>
      <c r="S1478" t="n">
        <v>0</v>
      </c>
      <c r="T1478" t="n">
        <v>0</v>
      </c>
      <c r="V1478" t="n">
        <v>0</v>
      </c>
    </row>
    <row r="1479">
      <c r="A1479">
        <f>Skills!A13</f>
        <v/>
      </c>
      <c r="B1479">
        <f>Skills!B13</f>
        <v/>
      </c>
      <c r="C1479">
        <f>Inputs!$B$3&gt;=74</f>
        <v/>
      </c>
      <c r="D1479">
        <f>IF(Skills!C13=1,60+Inputs!$B$25+Inputs!$B$29,IF(Skills!C13=2,90+Inputs!$B$26+Inputs!$B$29,IF(Skills!C13=3,120+Inputs!$B$27+Inputs!$B$29,MAX(0,(Inputs!$B$3-100)*3)+Inputs!$B$28+Inputs!$B$29)))</f>
        <v/>
      </c>
      <c r="E1479">
        <f>INDEX(FactorTable!$B$2:$Y$301, MATCH(ROUND(MIN(300,MAX(1,D1479)),0), FactorTable!$A$2:$A$301,0), Skills!M13+1)</f>
        <v/>
      </c>
      <c r="F1479">
        <f>IF(Skills!N13=TRUE,(Skills!L13/10)*(E1479/1000),Skills!L13/10)+Skills!O13</f>
        <v/>
      </c>
      <c r="G1479">
        <f>Skills!G13*IF(Skills!H13&gt;0,Skills!I13/Skills!H13,1)</f>
        <v/>
      </c>
      <c r="H1479">
        <f>1-(1-Skills!J13/100)^Skills!K13</f>
        <v/>
      </c>
      <c r="I1479" t="inlineStr">
        <is>
          <t>1</t>
        </is>
      </c>
      <c r="J1479" t="inlineStr"/>
      <c r="K1479" t="inlineStr"/>
      <c r="L1479" t="inlineStr"/>
      <c r="M1479" t="inlineStr"/>
      <c r="N1479" t="inlineStr"/>
      <c r="O1479">
        <f>(1-Summary!$B$11)*T1479+Summary!$B$11*V1479</f>
        <v/>
      </c>
      <c r="P1479">
        <f>IF(B1508=0,0,O1479/B1508)</f>
        <v/>
      </c>
      <c r="Q1479" t="n">
        <v>0</v>
      </c>
      <c r="R1479" t="n">
        <v>0</v>
      </c>
      <c r="S1479" t="n">
        <v>0</v>
      </c>
      <c r="T1479" t="n">
        <v>0</v>
      </c>
      <c r="V1479" t="n">
        <v>0</v>
      </c>
    </row>
    <row r="1480">
      <c r="A1480">
        <f>Skills!A14</f>
        <v/>
      </c>
      <c r="B1480">
        <f>Skills!B14</f>
        <v/>
      </c>
      <c r="C1480">
        <f>Inputs!$B$3&gt;=74</f>
        <v/>
      </c>
      <c r="D1480">
        <f>IF(Skills!C14=1,60+Inputs!$B$25+Inputs!$B$29,IF(Skills!C14=2,90+Inputs!$B$26+Inputs!$B$29,IF(Skills!C14=3,120+Inputs!$B$27+Inputs!$B$29,MAX(0,(Inputs!$B$3-100)*3)+Inputs!$B$28+Inputs!$B$29)))</f>
        <v/>
      </c>
      <c r="E1480">
        <f>INDEX(FactorTable!$B$2:$Y$301, MATCH(ROUND(MIN(300,MAX(1,D1480)),0), FactorTable!$A$2:$A$301,0), Skills!M14+1)</f>
        <v/>
      </c>
      <c r="F1480">
        <f>IF(Skills!N14=TRUE,(Skills!L14/10)*(E1480/1000),Skills!L14/10)+Skills!O14</f>
        <v/>
      </c>
      <c r="G1480">
        <f>Skills!G14*IF(Skills!H14&gt;0,Skills!I14/Skills!H14,1)</f>
        <v/>
      </c>
      <c r="H1480">
        <f>1-(1-Skills!J14/100)^Skills!K14</f>
        <v/>
      </c>
      <c r="I1480" t="inlineStr">
        <is>
          <t>1</t>
        </is>
      </c>
      <c r="J1480" t="inlineStr"/>
      <c r="K1480" t="inlineStr"/>
      <c r="L1480" t="inlineStr"/>
      <c r="M1480" t="inlineStr"/>
      <c r="N1480" t="inlineStr"/>
      <c r="O1480">
        <f>(1-Summary!$B$11)*T1480+Summary!$B$11*V1480</f>
        <v/>
      </c>
      <c r="P1480">
        <f>IF(B1508=0,0,O1480/B1508)</f>
        <v/>
      </c>
      <c r="Q1480" t="n">
        <v>0</v>
      </c>
      <c r="R1480" t="n">
        <v>0</v>
      </c>
      <c r="S1480" t="n">
        <v>0</v>
      </c>
      <c r="T1480" t="n">
        <v>0</v>
      </c>
      <c r="V1480" t="n">
        <v>0</v>
      </c>
    </row>
    <row r="1481">
      <c r="A1481">
        <f>Skills!A15</f>
        <v/>
      </c>
      <c r="B1481">
        <f>Skills!B15</f>
        <v/>
      </c>
      <c r="C1481">
        <f>Inputs!$B$3&gt;=117</f>
        <v/>
      </c>
      <c r="D1481">
        <f>IF(Skills!C15=1,60+Inputs!$B$25+Inputs!$B$29,IF(Skills!C15=2,90+Inputs!$B$26+Inputs!$B$29,IF(Skills!C15=3,120+Inputs!$B$27+Inputs!$B$29,MAX(0,(Inputs!$B$3-100)*3)+Inputs!$B$28+Inputs!$B$29)))</f>
        <v/>
      </c>
      <c r="E1481">
        <f>INDEX(FactorTable!$B$2:$Y$301, MATCH(ROUND(MIN(300,MAX(1,D1481)),0), FactorTable!$A$2:$A$301,0), Skills!M15+1)</f>
        <v/>
      </c>
      <c r="F1481">
        <f>IF(Skills!N15=TRUE,(Skills!L15/10)*(E1481/1000),Skills!L15/10)+Skills!O15</f>
        <v/>
      </c>
      <c r="G1481">
        <f>Skills!G15*IF(Skills!H15&gt;0,Skills!I15/Skills!H15,1)</f>
        <v/>
      </c>
      <c r="H1481">
        <f>1-(1-Skills!J15/100)^Skills!K15</f>
        <v/>
      </c>
      <c r="I1481" t="inlineStr">
        <is>
          <t>1</t>
        </is>
      </c>
      <c r="J1481" t="inlineStr"/>
      <c r="K1481" t="inlineStr"/>
      <c r="L1481" t="inlineStr"/>
      <c r="M1481" t="inlineStr"/>
      <c r="N1481" t="inlineStr"/>
      <c r="O1481">
        <f>(1-Summary!$B$11)*T1481+Summary!$B$11*V1481</f>
        <v/>
      </c>
      <c r="P1481">
        <f>IF(B1508=0,0,O1481/B1508)</f>
        <v/>
      </c>
      <c r="Q1481">
        <f>IFERROR(1/IF(Inputs!$B$38="pvp",15,MAX(0.1,Skills!D15-IF(Skills!E15=TRUE,Inputs!$B$32,0))),0)</f>
        <v/>
      </c>
      <c r="R1481">
        <f>IF(AND(Inputs!$B$38&lt;&gt;"pvp",Inputs!$B$43&gt;0),IF(Inputs!$B$43&lt;=0,0,(INT(Inputs!$B$43/IF(Inputs!$B$38="pvp",15,MAX(0.1,Skills!D15-IF(Skills!E15=TRUE,Inputs!$B$32,0))))+1)),0)</f>
        <v/>
      </c>
      <c r="S1481" t="n">
        <v>0</v>
      </c>
      <c r="T1481" t="n">
        <v>0</v>
      </c>
      <c r="V1481" t="n">
        <v>0</v>
      </c>
    </row>
    <row r="1482">
      <c r="A1482">
        <f>Skills!A16</f>
        <v/>
      </c>
      <c r="B1482">
        <f>Skills!B16</f>
        <v/>
      </c>
      <c r="C1482">
        <f>Inputs!$B$3&gt;=115</f>
        <v/>
      </c>
      <c r="D1482">
        <f>IF(Skills!C16=1,60+Inputs!$B$25+Inputs!$B$29,IF(Skills!C16=2,90+Inputs!$B$26+Inputs!$B$29,IF(Skills!C16=3,120+Inputs!$B$27+Inputs!$B$29,MAX(0,(Inputs!$B$3-100)*3)+Inputs!$B$28+Inputs!$B$29)))</f>
        <v/>
      </c>
      <c r="E1482">
        <f>INDEX(FactorTable!$B$2:$Y$301, MATCH(ROUND(MIN(300,MAX(1,D1482)),0), FactorTable!$A$2:$A$301,0), Skills!M16+1)</f>
        <v/>
      </c>
      <c r="F1482">
        <f>IF(Skills!N16=TRUE,(Skills!L16/10)*(E1482/1000),Skills!L16/10)+Skills!O16</f>
        <v/>
      </c>
      <c r="G1482">
        <f>Skills!G16*IF(Skills!H16&gt;0,Skills!I16/Skills!H16,1)</f>
        <v/>
      </c>
      <c r="H1482">
        <f>1-(1-Skills!J16/100)^Skills!K16</f>
        <v/>
      </c>
      <c r="I1482" t="inlineStr">
        <is>
          <t>1</t>
        </is>
      </c>
      <c r="J1482" t="inlineStr"/>
      <c r="K1482" t="inlineStr"/>
      <c r="L1482" t="inlineStr"/>
      <c r="M1482" t="inlineStr"/>
      <c r="N1482" t="inlineStr"/>
      <c r="O1482">
        <f>(1-Summary!$B$11)*T1482+Summary!$B$11*V1482</f>
        <v/>
      </c>
      <c r="P1482">
        <f>IF(B1508=0,0,O1482/B1508)</f>
        <v/>
      </c>
      <c r="Q1482">
        <f>IFERROR(1/IF(Inputs!$B$38="pvp",15,MAX(0.1,Skills!D16-IF(Skills!E16=TRUE,Inputs!$B$32,0))),0)</f>
        <v/>
      </c>
      <c r="R1482">
        <f>IF(AND(Inputs!$B$38&lt;&gt;"pvp",Inputs!$B$43&gt;0),IF(Inputs!$B$43&lt;=0,0,(INT(Inputs!$B$43/IF(Inputs!$B$38="pvp",15,MAX(0.1,Skills!D16-IF(Skills!E16=TRUE,Inputs!$B$32,0))))+1)),0)</f>
        <v/>
      </c>
      <c r="S1482" t="n">
        <v>0</v>
      </c>
      <c r="T1482" t="n">
        <v>0</v>
      </c>
      <c r="V1482" t="n">
        <v>0</v>
      </c>
    </row>
    <row r="1483">
      <c r="A1483">
        <f>Skills!A17</f>
        <v/>
      </c>
      <c r="B1483">
        <f>Skills!B17</f>
        <v/>
      </c>
      <c r="C1483">
        <f>Inputs!$B$3&gt;=72</f>
        <v/>
      </c>
      <c r="D1483">
        <f>IF(Skills!C17=1,60+Inputs!$B$25+Inputs!$B$29,IF(Skills!C17=2,90+Inputs!$B$26+Inputs!$B$29,IF(Skills!C17=3,120+Inputs!$B$27+Inputs!$B$29,MAX(0,(Inputs!$B$3-100)*3)+Inputs!$B$28+Inputs!$B$29)))</f>
        <v/>
      </c>
      <c r="E1483">
        <f>INDEX(FactorTable!$B$2:$Y$301, MATCH(ROUND(MIN(300,MAX(1,D1483)),0), FactorTable!$A$2:$A$301,0), Skills!M17+1)</f>
        <v/>
      </c>
      <c r="F1483">
        <f>IF(Skills!N17=TRUE,(Skills!L17/10)*(E1483/1000),Skills!L17/10)+Skills!O17</f>
        <v/>
      </c>
      <c r="G1483">
        <f>Skills!G17*IF(Skills!H17&gt;0,Skills!I17/Skills!H17,1)</f>
        <v/>
      </c>
      <c r="H1483">
        <f>1-(1-Skills!J17/100)^Skills!K17</f>
        <v/>
      </c>
      <c r="I1483" t="inlineStr">
        <is>
          <t>1</t>
        </is>
      </c>
      <c r="J1483" t="inlineStr"/>
      <c r="K1483" t="inlineStr"/>
      <c r="L1483" t="inlineStr"/>
      <c r="M1483" t="inlineStr"/>
      <c r="N1483" t="inlineStr"/>
      <c r="O1483">
        <f>(1-Summary!$B$11)*T1483+Summary!$B$11*V1483</f>
        <v/>
      </c>
      <c r="P1483">
        <f>IF(B1508=0,0,O1483/B1508)</f>
        <v/>
      </c>
      <c r="Q1483" t="n">
        <v>0</v>
      </c>
      <c r="R1483" t="n">
        <v>0</v>
      </c>
      <c r="S1483" t="n">
        <v>0</v>
      </c>
      <c r="T1483" t="n">
        <v>0</v>
      </c>
      <c r="V1483" t="n">
        <v>0</v>
      </c>
    </row>
    <row r="1484">
      <c r="A1484">
        <f>Skills!A18</f>
        <v/>
      </c>
      <c r="B1484">
        <f>Skills!B18</f>
        <v/>
      </c>
      <c r="C1484">
        <f>TRUE</f>
        <v/>
      </c>
      <c r="D1484">
        <f>IF(Skills!C18=1,60+Inputs!$B$25+Inputs!$B$29,IF(Skills!C18=2,90+Inputs!$B$26+Inputs!$B$29,IF(Skills!C18=3,120+Inputs!$B$27+Inputs!$B$29,MAX(0,(Inputs!$B$3-100)*3)+Inputs!$B$28+Inputs!$B$29)))</f>
        <v/>
      </c>
      <c r="E1484">
        <f>INDEX(FactorTable!$B$2:$Y$301, MATCH(ROUND(MIN(300,MAX(1,D1484)),0), FactorTable!$A$2:$A$301,0), Skills!M18+1)</f>
        <v/>
      </c>
      <c r="F1484">
        <f>IF(Skills!N18=TRUE,(Skills!L18/10)*(E1484/1000),Skills!L18/10)+Skills!O18</f>
        <v/>
      </c>
      <c r="G1484">
        <f>Skills!G18*IF(Skills!H18&gt;0,Skills!I18/Skills!H18,1)</f>
        <v/>
      </c>
      <c r="H1484">
        <f>1-(1-Skills!J18/100)^Skills!K18</f>
        <v/>
      </c>
      <c r="I1484" t="inlineStr">
        <is>
          <t>1</t>
        </is>
      </c>
      <c r="J1484" t="inlineStr"/>
      <c r="K1484" t="inlineStr"/>
      <c r="L1484" t="inlineStr"/>
      <c r="M1484" t="inlineStr"/>
      <c r="N1484" t="inlineStr"/>
      <c r="O1484">
        <f>(1-Summary!$B$11)*T1484+Summary!$B$11*V1484</f>
        <v/>
      </c>
      <c r="P1484">
        <f>IF(B1508=0,0,O1484/B1508)</f>
        <v/>
      </c>
      <c r="Q1484">
        <f>IFERROR(1/IF(Inputs!$B$38="pvp",15,MAX(0.1,Skills!D18-IF(Skills!E18=TRUE,Inputs!$B$32,0))),0)</f>
        <v/>
      </c>
      <c r="R1484">
        <f>IF(AND(Inputs!$B$38&lt;&gt;"pvp",Inputs!$B$43&gt;0),IF(Inputs!$B$43&lt;=0,0,(INT(Inputs!$B$43/IF(Inputs!$B$38="pvp",15,MAX(0.1,Skills!D18-IF(Skills!E18=TRUE,Inputs!$B$32,0))))+1)),0)</f>
        <v/>
      </c>
      <c r="S1484" t="n">
        <v>0</v>
      </c>
      <c r="T1484" t="n">
        <v>0</v>
      </c>
      <c r="V1484" t="n">
        <v>0</v>
      </c>
    </row>
    <row r="1485">
      <c r="A1485">
        <f>Skills!A19</f>
        <v/>
      </c>
      <c r="B1485">
        <f>Skills!B19</f>
        <v/>
      </c>
      <c r="C1485">
        <f>Inputs!$B$3&gt;=15</f>
        <v/>
      </c>
      <c r="D1485">
        <f>IF(Skills!C19=1,60+Inputs!$B$25+Inputs!$B$29,IF(Skills!C19=2,90+Inputs!$B$26+Inputs!$B$29,IF(Skills!C19=3,120+Inputs!$B$27+Inputs!$B$29,MAX(0,(Inputs!$B$3-100)*3)+Inputs!$B$28+Inputs!$B$29)))</f>
        <v/>
      </c>
      <c r="E1485">
        <f>INDEX(FactorTable!$B$2:$Y$301, MATCH(ROUND(MIN(300,MAX(1,D1485)),0), FactorTable!$A$2:$A$301,0), Skills!M19+1)</f>
        <v/>
      </c>
      <c r="F1485">
        <f>IF(Skills!N19=TRUE,(Skills!L19/10)*(E1485/1000),Skills!L19/10)+Skills!O19</f>
        <v/>
      </c>
      <c r="G1485">
        <f>Skills!G19*IF(Skills!H19&gt;0,Skills!I19/Skills!H19,1)</f>
        <v/>
      </c>
      <c r="H1485">
        <f>1-(1-Skills!J19/100)^Skills!K19</f>
        <v/>
      </c>
      <c r="I1485" t="inlineStr">
        <is>
          <t>1</t>
        </is>
      </c>
      <c r="J1485" t="inlineStr"/>
      <c r="K1485" t="inlineStr"/>
      <c r="L1485" t="inlineStr"/>
      <c r="M1485" t="inlineStr"/>
      <c r="N1485" t="inlineStr"/>
      <c r="O1485">
        <f>(1-Summary!$B$11)*T1485+Summary!$B$11*V1485</f>
        <v/>
      </c>
      <c r="P1485">
        <f>IF(B1508=0,0,O1485/B1508)</f>
        <v/>
      </c>
      <c r="Q1485" t="n">
        <v>0</v>
      </c>
      <c r="R1485" t="n">
        <v>0</v>
      </c>
      <c r="S1485" t="n">
        <v>0</v>
      </c>
      <c r="T1485" t="n">
        <v>0</v>
      </c>
      <c r="V1485" t="n">
        <v>0</v>
      </c>
    </row>
    <row r="1486">
      <c r="A1486">
        <f>Skills!A20</f>
        <v/>
      </c>
      <c r="B1486">
        <f>Skills!B20</f>
        <v/>
      </c>
      <c r="C1486">
        <f>Inputs!$B$3&gt;=10</f>
        <v/>
      </c>
      <c r="D1486">
        <f>IF(Skills!C20=1,60+Inputs!$B$25+Inputs!$B$29,IF(Skills!C20=2,90+Inputs!$B$26+Inputs!$B$29,IF(Skills!C20=3,120+Inputs!$B$27+Inputs!$B$29,MAX(0,(Inputs!$B$3-100)*3)+Inputs!$B$28+Inputs!$B$29)))</f>
        <v/>
      </c>
      <c r="E1486">
        <f>INDEX(FactorTable!$B$2:$Y$301, MATCH(ROUND(MIN(300,MAX(1,D1486)),0), FactorTable!$A$2:$A$301,0), Skills!M20+1)</f>
        <v/>
      </c>
      <c r="F1486">
        <f>IF(Skills!N20=TRUE,(Skills!L20/10)*(E1486/1000),Skills!L20/10)+Skills!O20</f>
        <v/>
      </c>
      <c r="G1486">
        <f>Skills!G20*IF(Skills!H20&gt;0,Skills!I20/Skills!H20,1)</f>
        <v/>
      </c>
      <c r="H1486">
        <f>1-(1-Skills!J20/100)^Skills!K20</f>
        <v/>
      </c>
      <c r="I1486" t="inlineStr">
        <is>
          <t>1</t>
        </is>
      </c>
      <c r="J1486" t="inlineStr"/>
      <c r="K1486" t="inlineStr"/>
      <c r="L1486" t="inlineStr"/>
      <c r="M1486" t="inlineStr"/>
      <c r="N1486" t="inlineStr"/>
      <c r="O1486">
        <f>(1-Summary!$B$11)*T1486+Summary!$B$11*V1486</f>
        <v/>
      </c>
      <c r="P1486">
        <f>IF(B1508=0,0,O1486/B1508)</f>
        <v/>
      </c>
      <c r="Q1486" t="n">
        <v>0</v>
      </c>
      <c r="R1486" t="n">
        <v>0</v>
      </c>
      <c r="S1486" t="n">
        <v>0</v>
      </c>
      <c r="T1486" t="n">
        <v>0</v>
      </c>
      <c r="V1486" t="n">
        <v>0</v>
      </c>
    </row>
    <row r="1487">
      <c r="A1487">
        <f>Skills!A21</f>
        <v/>
      </c>
      <c r="B1487">
        <f>Skills!B21</f>
        <v/>
      </c>
      <c r="C1487">
        <f>Inputs!$B$3&gt;=33</f>
        <v/>
      </c>
      <c r="D1487">
        <f>IF(Skills!C21=1,60+Inputs!$B$25+Inputs!$B$29,IF(Skills!C21=2,90+Inputs!$B$26+Inputs!$B$29,IF(Skills!C21=3,120+Inputs!$B$27+Inputs!$B$29,MAX(0,(Inputs!$B$3-100)*3)+Inputs!$B$28+Inputs!$B$29)))</f>
        <v/>
      </c>
      <c r="E1487">
        <f>INDEX(FactorTable!$B$2:$Y$301, MATCH(ROUND(MIN(300,MAX(1,D1487)),0), FactorTable!$A$2:$A$301,0), Skills!M21+1)</f>
        <v/>
      </c>
      <c r="F1487">
        <f>IF(Skills!N21=TRUE,(Skills!L21/10)*(E1487/1000),Skills!L21/10)+Skills!O21</f>
        <v/>
      </c>
      <c r="G1487">
        <f>Skills!G21*IF(Skills!H21&gt;0,Skills!I21/Skills!H21,1)</f>
        <v/>
      </c>
      <c r="H1487">
        <f>1-(1-Skills!J21/100)^Skills!K21</f>
        <v/>
      </c>
      <c r="I1487" t="inlineStr">
        <is>
          <t>1</t>
        </is>
      </c>
      <c r="J1487" t="inlineStr"/>
      <c r="K1487" t="inlineStr"/>
      <c r="L1487" t="inlineStr"/>
      <c r="M1487" t="inlineStr"/>
      <c r="N1487" t="inlineStr"/>
      <c r="O1487">
        <f>(1-Summary!$B$11)*T1487+Summary!$B$11*V1487</f>
        <v/>
      </c>
      <c r="P1487">
        <f>IF(B1508=0,0,O1487/B1508)</f>
        <v/>
      </c>
      <c r="Q1487" t="n">
        <v>0</v>
      </c>
      <c r="R1487" t="n">
        <v>0</v>
      </c>
      <c r="S1487" t="n">
        <v>0</v>
      </c>
      <c r="T1487" t="n">
        <v>0</v>
      </c>
      <c r="V1487" t="n">
        <v>0</v>
      </c>
    </row>
    <row r="1488">
      <c r="A1488">
        <f>Skills!A22</f>
        <v/>
      </c>
      <c r="B1488">
        <f>Skills!B22</f>
        <v/>
      </c>
      <c r="C1488">
        <f>Inputs!$B$3&gt;=38</f>
        <v/>
      </c>
      <c r="D1488">
        <f>IF(Skills!C22=1,60+Inputs!$B$25+Inputs!$B$29,IF(Skills!C22=2,90+Inputs!$B$26+Inputs!$B$29,IF(Skills!C22=3,120+Inputs!$B$27+Inputs!$B$29,MAX(0,(Inputs!$B$3-100)*3)+Inputs!$B$28+Inputs!$B$29)))</f>
        <v/>
      </c>
      <c r="E1488">
        <f>INDEX(FactorTable!$B$2:$Y$301, MATCH(ROUND(MIN(300,MAX(1,D1488)),0), FactorTable!$A$2:$A$301,0), Skills!M22+1)</f>
        <v/>
      </c>
      <c r="F1488">
        <f>IF(Skills!N22=TRUE,(Skills!L22/10)*(E1488/1000),Skills!L22/10)+Skills!O22</f>
        <v/>
      </c>
      <c r="G1488">
        <f>Skills!G22*IF(Skills!H22&gt;0,Skills!I22/Skills!H22,1)</f>
        <v/>
      </c>
      <c r="H1488">
        <f>1-(1-Skills!J22/100)^Skills!K22</f>
        <v/>
      </c>
      <c r="I1488" t="inlineStr">
        <is>
          <t>1</t>
        </is>
      </c>
      <c r="J1488" t="inlineStr"/>
      <c r="K1488" t="inlineStr"/>
      <c r="L1488" t="inlineStr"/>
      <c r="M1488" t="inlineStr"/>
      <c r="N1488" t="inlineStr"/>
      <c r="O1488">
        <f>(1-Summary!$B$11)*T1488+Summary!$B$11*V1488</f>
        <v/>
      </c>
      <c r="P1488">
        <f>IF(B1508=0,0,O1488/B1508)</f>
        <v/>
      </c>
      <c r="Q1488" t="n">
        <v>0</v>
      </c>
      <c r="R1488" t="n">
        <v>0</v>
      </c>
      <c r="S1488" t="n">
        <v>0</v>
      </c>
      <c r="T1488" t="n">
        <v>0</v>
      </c>
      <c r="V1488" t="n">
        <v>0</v>
      </c>
    </row>
    <row r="1489">
      <c r="A1489">
        <f>Skills!A23</f>
        <v/>
      </c>
      <c r="B1489">
        <f>Skills!B23</f>
        <v/>
      </c>
      <c r="C1489">
        <f>Inputs!$B$3&gt;=43</f>
        <v/>
      </c>
      <c r="D1489">
        <f>IF(Skills!C23=1,60+Inputs!$B$25+Inputs!$B$29,IF(Skills!C23=2,90+Inputs!$B$26+Inputs!$B$29,IF(Skills!C23=3,120+Inputs!$B$27+Inputs!$B$29,MAX(0,(Inputs!$B$3-100)*3)+Inputs!$B$28+Inputs!$B$29)))</f>
        <v/>
      </c>
      <c r="E1489">
        <f>INDEX(FactorTable!$B$2:$Y$301, MATCH(ROUND(MIN(300,MAX(1,D1489)),0), FactorTable!$A$2:$A$301,0), Skills!M23+1)</f>
        <v/>
      </c>
      <c r="F1489">
        <f>IF(Skills!N23=TRUE,(Skills!L23/10)*(E1489/1000),Skills!L23/10)+Skills!O23</f>
        <v/>
      </c>
      <c r="G1489">
        <f>Skills!G23*IF(Skills!H23&gt;0,Skills!I23/Skills!H23,1)</f>
        <v/>
      </c>
      <c r="H1489">
        <f>1-(1-Skills!J23/100)^Skills!K23</f>
        <v/>
      </c>
      <c r="I1489" t="inlineStr">
        <is>
          <t>1</t>
        </is>
      </c>
      <c r="J1489" t="inlineStr"/>
      <c r="K1489" t="inlineStr"/>
      <c r="L1489" t="inlineStr"/>
      <c r="M1489" t="inlineStr"/>
      <c r="N1489" t="inlineStr"/>
      <c r="O1489">
        <f>(1-Summary!$B$11)*T1489+Summary!$B$11*V1489</f>
        <v/>
      </c>
      <c r="P1489">
        <f>IF(B1508=0,0,O1489/B1508)</f>
        <v/>
      </c>
      <c r="Q1489" t="n">
        <v>0</v>
      </c>
      <c r="R1489" t="n">
        <v>0</v>
      </c>
      <c r="S1489" t="n">
        <v>0</v>
      </c>
      <c r="T1489" t="n">
        <v>0</v>
      </c>
      <c r="V1489" t="n">
        <v>0</v>
      </c>
    </row>
    <row r="1490">
      <c r="A1490">
        <f>Skills!A24</f>
        <v/>
      </c>
      <c r="B1490">
        <f>Skills!B24</f>
        <v/>
      </c>
      <c r="C1490">
        <f>Inputs!$B$3&gt;=75</f>
        <v/>
      </c>
      <c r="D1490">
        <f>IF(Skills!C24=1,60+Inputs!$B$25+Inputs!$B$29,IF(Skills!C24=2,90+Inputs!$B$26+Inputs!$B$29,IF(Skills!C24=3,120+Inputs!$B$27+Inputs!$B$29,MAX(0,(Inputs!$B$3-100)*3)+Inputs!$B$28+Inputs!$B$29)))</f>
        <v/>
      </c>
      <c r="E1490">
        <f>INDEX(FactorTable!$B$2:$Y$301, MATCH(ROUND(MIN(300,MAX(1,D1490)),0), FactorTable!$A$2:$A$301,0), Skills!M24+1)</f>
        <v/>
      </c>
      <c r="F1490">
        <f>IF(Skills!N24=TRUE,(Skills!L24/10)*(E1490/1000),Skills!L24/10)+Skills!O24</f>
        <v/>
      </c>
      <c r="G1490">
        <f>Skills!G24*IF(Skills!H24&gt;0,Skills!I24/Skills!H24,1)</f>
        <v/>
      </c>
      <c r="H1490">
        <f>1-(1-Skills!J24/100)^Skills!K24</f>
        <v/>
      </c>
      <c r="I1490" t="inlineStr">
        <is>
          <t>1</t>
        </is>
      </c>
      <c r="J1490" t="inlineStr"/>
      <c r="K1490" t="inlineStr"/>
      <c r="L1490" t="inlineStr"/>
      <c r="M1490" t="inlineStr"/>
      <c r="N1490" t="inlineStr"/>
      <c r="O1490">
        <f>(1-Summary!$B$11)*T1490+Summary!$B$11*V1490</f>
        <v/>
      </c>
      <c r="P1490">
        <f>IF(B1508=0,0,O1490/B1508)</f>
        <v/>
      </c>
      <c r="Q1490" t="n">
        <v>0</v>
      </c>
      <c r="R1490" t="n">
        <v>0</v>
      </c>
      <c r="S1490" t="n">
        <v>0</v>
      </c>
      <c r="T1490" t="n">
        <v>0</v>
      </c>
      <c r="V1490" t="n">
        <v>0</v>
      </c>
    </row>
    <row r="1491">
      <c r="A1491">
        <f>Skills!A25</f>
        <v/>
      </c>
      <c r="B1491">
        <f>Skills!B25</f>
        <v/>
      </c>
      <c r="C1491">
        <f>Inputs!$B$3&gt;=125</f>
        <v/>
      </c>
      <c r="D1491">
        <f>IF(Skills!C25=1,60+Inputs!$B$25+Inputs!$B$29,IF(Skills!C25=2,90+Inputs!$B$26+Inputs!$B$29,IF(Skills!C25=3,120+Inputs!$B$27+Inputs!$B$29,MAX(0,(Inputs!$B$3-100)*3)+Inputs!$B$28+Inputs!$B$29)))</f>
        <v/>
      </c>
      <c r="E1491">
        <f>INDEX(FactorTable!$B$2:$Y$301, MATCH(ROUND(MIN(300,MAX(1,D1491)),0), FactorTable!$A$2:$A$301,0), Skills!M25+1)</f>
        <v/>
      </c>
      <c r="F1491">
        <f>IF(Skills!N25=TRUE,(Skills!L25/10)*(E1491/1000),Skills!L25/10)+Skills!O25</f>
        <v/>
      </c>
      <c r="G1491">
        <f>Skills!G25*IF(Skills!H25&gt;0,Skills!I25/Skills!H25,1)</f>
        <v/>
      </c>
      <c r="H1491">
        <f>1-(1-Skills!J25/100)^Skills!K25</f>
        <v/>
      </c>
      <c r="I1491" t="inlineStr">
        <is>
          <t>1</t>
        </is>
      </c>
      <c r="J1491" t="inlineStr"/>
      <c r="K1491" t="inlineStr"/>
      <c r="L1491" t="inlineStr"/>
      <c r="M1491" t="inlineStr"/>
      <c r="N1491" t="inlineStr"/>
      <c r="O1491">
        <f>(1-Summary!$B$11)*T1491+Summary!$B$11*V1491</f>
        <v/>
      </c>
      <c r="P1491">
        <f>IF(B1508=0,0,O1491/B1508)</f>
        <v/>
      </c>
      <c r="Q1491" t="n">
        <v>0</v>
      </c>
      <c r="R1491" t="n">
        <v>0</v>
      </c>
      <c r="S1491" t="n">
        <v>0</v>
      </c>
      <c r="T1491" t="n">
        <v>0</v>
      </c>
      <c r="V1491" t="n">
        <v>0</v>
      </c>
    </row>
    <row r="1492">
      <c r="A1492">
        <f>Skills!A26</f>
        <v/>
      </c>
      <c r="B1492">
        <f>Skills!B26</f>
        <v/>
      </c>
      <c r="C1492">
        <f>Inputs!$B$3&gt;=125</f>
        <v/>
      </c>
      <c r="D1492">
        <f>IF(Skills!C26=1,60+Inputs!$B$25+Inputs!$B$29,IF(Skills!C26=2,90+Inputs!$B$26+Inputs!$B$29,IF(Skills!C26=3,120+Inputs!$B$27+Inputs!$B$29,MAX(0,(Inputs!$B$3-100)*3)+Inputs!$B$28+Inputs!$B$29)))</f>
        <v/>
      </c>
      <c r="E1492">
        <f>INDEX(FactorTable!$B$2:$Y$301, MATCH(ROUND(MIN(300,MAX(1,D1492)),0), FactorTable!$A$2:$A$301,0), Skills!M26+1)</f>
        <v/>
      </c>
      <c r="F1492">
        <f>IF(Skills!N26=TRUE,(Skills!L26/10)*(E1492/1000),Skills!L26/10)+Skills!O26</f>
        <v/>
      </c>
      <c r="G1492">
        <f>Skills!G26*IF(Skills!H26&gt;0,Skills!I26/Skills!H26,1)</f>
        <v/>
      </c>
      <c r="H1492">
        <f>1-(1-Skills!J26/100)^Skills!K26</f>
        <v/>
      </c>
      <c r="I1492" t="inlineStr">
        <is>
          <t>1</t>
        </is>
      </c>
      <c r="J1492" t="inlineStr"/>
      <c r="K1492" t="inlineStr"/>
      <c r="L1492" t="inlineStr"/>
      <c r="M1492" t="inlineStr"/>
      <c r="N1492" t="inlineStr"/>
      <c r="O1492">
        <f>(1-Summary!$B$11)*T1492+Summary!$B$11*V1492</f>
        <v/>
      </c>
      <c r="P1492">
        <f>IF(B1508=0,0,O1492/B1508)</f>
        <v/>
      </c>
      <c r="Q1492" t="n">
        <v>0</v>
      </c>
      <c r="R1492" t="n">
        <v>0</v>
      </c>
      <c r="S1492" t="n">
        <v>0</v>
      </c>
      <c r="T1492" t="n">
        <v>0</v>
      </c>
      <c r="V1492" t="n">
        <v>0</v>
      </c>
    </row>
    <row r="1493">
      <c r="A1493">
        <f>Skills!A27</f>
        <v/>
      </c>
      <c r="B1493">
        <f>Skills!B27</f>
        <v/>
      </c>
      <c r="C1493">
        <f>Inputs!$B$3&gt;=120</f>
        <v/>
      </c>
      <c r="D1493">
        <f>IF(Skills!C27=1,60+Inputs!$B$25+Inputs!$B$29,IF(Skills!C27=2,90+Inputs!$B$26+Inputs!$B$29,IF(Skills!C27=3,120+Inputs!$B$27+Inputs!$B$29,MAX(0,(Inputs!$B$3-100)*3)+Inputs!$B$28+Inputs!$B$29)))</f>
        <v/>
      </c>
      <c r="E1493">
        <f>INDEX(FactorTable!$B$2:$Y$301, MATCH(ROUND(MIN(300,MAX(1,D1493)),0), FactorTable!$A$2:$A$301,0), Skills!M27+1)</f>
        <v/>
      </c>
      <c r="F1493">
        <f>IF(Skills!N27=TRUE,(Skills!L27/10)*(E1493/1000),Skills!L27/10)+Skills!O27</f>
        <v/>
      </c>
      <c r="G1493">
        <f>Skills!G27*IF(Skills!H27&gt;0,Skills!I27/Skills!H27,1)</f>
        <v/>
      </c>
      <c r="H1493">
        <f>1-(1-Skills!J27/100)^Skills!K27</f>
        <v/>
      </c>
      <c r="I1493" t="inlineStr">
        <is>
          <t>1</t>
        </is>
      </c>
      <c r="J1493" t="inlineStr"/>
      <c r="K1493" t="inlineStr"/>
      <c r="L1493" t="inlineStr"/>
      <c r="M1493" t="inlineStr"/>
      <c r="N1493" t="inlineStr"/>
      <c r="O1493">
        <f>(1-Summary!$B$11)*T1493+Summary!$B$11*V1493</f>
        <v/>
      </c>
      <c r="P1493">
        <f>IF(B1508=0,0,O1493/B1508)</f>
        <v/>
      </c>
      <c r="Q1493" t="n">
        <v>0</v>
      </c>
      <c r="R1493" t="n">
        <v>0</v>
      </c>
      <c r="S1493" t="n">
        <v>0</v>
      </c>
      <c r="T1493" t="n">
        <v>0</v>
      </c>
      <c r="V1493" t="n">
        <v>0</v>
      </c>
    </row>
    <row r="1494">
      <c r="A1494">
        <f>Skills!A28</f>
        <v/>
      </c>
      <c r="B1494">
        <f>Skills!B28</f>
        <v/>
      </c>
      <c r="C1494">
        <f>Inputs!$B$3&gt;=120</f>
        <v/>
      </c>
      <c r="D1494">
        <f>IF(Skills!C28=1,60+Inputs!$B$25+Inputs!$B$29,IF(Skills!C28=2,90+Inputs!$B$26+Inputs!$B$29,IF(Skills!C28=3,120+Inputs!$B$27+Inputs!$B$29,MAX(0,(Inputs!$B$3-100)*3)+Inputs!$B$28+Inputs!$B$29)))</f>
        <v/>
      </c>
      <c r="E1494">
        <f>INDEX(FactorTable!$B$2:$Y$301, MATCH(ROUND(MIN(300,MAX(1,D1494)),0), FactorTable!$A$2:$A$301,0), Skills!M28+1)</f>
        <v/>
      </c>
      <c r="F1494">
        <f>IF(Skills!N28=TRUE,(Skills!L28/10)*(E1494/1000),Skills!L28/10)+Skills!O28</f>
        <v/>
      </c>
      <c r="G1494">
        <f>Skills!G28*IF(Skills!H28&gt;0,Skills!I28/Skills!H28,1)</f>
        <v/>
      </c>
      <c r="H1494">
        <f>1-(1-Skills!J28/100)^Skills!K28</f>
        <v/>
      </c>
      <c r="I1494" t="inlineStr">
        <is>
          <t>1</t>
        </is>
      </c>
      <c r="J1494" t="inlineStr"/>
      <c r="K1494" t="inlineStr"/>
      <c r="L1494" t="inlineStr"/>
      <c r="M1494" t="inlineStr"/>
      <c r="N1494" t="inlineStr"/>
      <c r="O1494">
        <f>(1-Summary!$B$11)*T1494+Summary!$B$11*V1494</f>
        <v/>
      </c>
      <c r="P1494">
        <f>IF(B1508=0,0,O1494/B1508)</f>
        <v/>
      </c>
      <c r="Q1494" t="n">
        <v>0</v>
      </c>
      <c r="R1494" t="n">
        <v>0</v>
      </c>
      <c r="S1494" t="n">
        <v>0</v>
      </c>
      <c r="T1494" t="n">
        <v>0</v>
      </c>
      <c r="V1494" t="n">
        <v>0</v>
      </c>
    </row>
    <row r="1495">
      <c r="A1495">
        <f>Skills!A29</f>
        <v/>
      </c>
      <c r="B1495">
        <f>Skills!B29</f>
        <v/>
      </c>
      <c r="C1495">
        <f>Inputs!$B$3&gt;=45</f>
        <v/>
      </c>
      <c r="D1495">
        <f>IF(Skills!C29=1,60+Inputs!$B$25+Inputs!$B$29,IF(Skills!C29=2,90+Inputs!$B$26+Inputs!$B$29,IF(Skills!C29=3,120+Inputs!$B$27+Inputs!$B$29,MAX(0,(Inputs!$B$3-100)*3)+Inputs!$B$28+Inputs!$B$29)))</f>
        <v/>
      </c>
      <c r="E1495">
        <f>INDEX(FactorTable!$B$2:$Y$301, MATCH(ROUND(MIN(300,MAX(1,D1495)),0), FactorTable!$A$2:$A$301,0), Skills!M29+1)</f>
        <v/>
      </c>
      <c r="F1495">
        <f>IF(Skills!N29=TRUE,(Skills!L29/10)*(E1495/1000),Skills!L29/10)+Skills!O29</f>
        <v/>
      </c>
      <c r="G1495">
        <f>Skills!G29*IF(Skills!H29&gt;0,Skills!I29/Skills!H29,1)</f>
        <v/>
      </c>
      <c r="H1495">
        <f>1-(1-Skills!J29/100)^Skills!K29</f>
        <v/>
      </c>
      <c r="I1495" t="inlineStr">
        <is>
          <t>1</t>
        </is>
      </c>
      <c r="J1495" t="inlineStr"/>
      <c r="K1495" t="inlineStr"/>
      <c r="L1495" t="inlineStr"/>
      <c r="M1495" t="inlineStr"/>
      <c r="N1495" t="inlineStr"/>
      <c r="O1495">
        <f>(1-Summary!$B$11)*T1495+Summary!$B$11*V1495</f>
        <v/>
      </c>
      <c r="P1495">
        <f>IF(B1508=0,0,O1495/B1508)</f>
        <v/>
      </c>
      <c r="Q1495" t="n">
        <v>0</v>
      </c>
      <c r="R1495" t="n">
        <v>0</v>
      </c>
      <c r="S1495" t="n">
        <v>0</v>
      </c>
      <c r="T1495" t="n">
        <v>0</v>
      </c>
      <c r="V1495" t="n">
        <v>0</v>
      </c>
    </row>
    <row r="1497">
      <c r="A1497" t="inlineStr">
        <is>
          <t>Attack% Bucket Multiplier</t>
        </is>
      </c>
      <c r="B1497">
        <f>(1+(((C1479=TRUE)*F1479)+((C1480=TRUE)*IF(Inputs!$B$38="pvp",F1480,(1-Summary!$B$11)*(F1480)+Summary!$B$11*(0)))+((C1481=TRUE)*F1481*IF(AND(Inputs!$B$38&lt;&gt;"pvp",Inputs!$B$43&gt;0),(((R1481-1)*(Skills!T15*(1+Inputs!$B$34/100))+MIN((Skills!T15*(1+Inputs!$B$34/100)),MAX(0,Inputs!$B$43-((R1481-1)*Skills!D15))))/Inputs!$B$43),IF(Inputs!$B$38="pvp",MIN((Skills!T15*(1+Inputs!$B$34/100)),15)/15,(Skills!T15*(1+Inputs!$B$34/100))/Skills!D15)))+((C1478=TRUE)*F1478)+((C1495=TRUE)*(F1495-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1498">
      <c r="A1498" t="inlineStr">
        <is>
          <t>Global Crit Rate Bonus %</t>
        </is>
      </c>
      <c r="B1498">
        <f>(C1482=TRUE)*20*IF(AND(Inputs!$B$38&lt;&gt;"pvp",Inputs!$B$43&gt;0),(((R1482-1)*(Skills!T16*(1+Inputs!$B$34/100))+MIN((Skills!T16*(1+Inputs!$B$34/100)),MAX(0,Inputs!$B$43-((R1482-1)*Skills!D16))))/Inputs!$B$43),IF(Inputs!$B$38="pvp",MIN((Skills!T16*(1+Inputs!$B$34/100)),15)/15,(Skills!T16*(1+Inputs!$B$34/100))/Skills!D16))</f>
        <v/>
      </c>
    </row>
    <row r="1499">
      <c r="A1499" t="inlineStr">
        <is>
          <t>Attack Speed Buff Bonus %</t>
        </is>
      </c>
      <c r="B1499">
        <f>((C1484=TRUE)*F1484*IF(AND(Inputs!$B$38&lt;&gt;"pvp",Inputs!$B$43&gt;0),(((R1484-1)*(Skills!T18*(1+Inputs!$B$34/100))+MIN((Skills!T18*(1+Inputs!$B$34/100)),MAX(0,Inputs!$B$43-((R1484-1)*Skills!D18))))/Inputs!$B$43),IF(Inputs!$B$38="pvp",MIN((Skills!T18*(1+Inputs!$B$34/100)),15)/15,(Skills!T18*(1+Inputs!$B$34/100))/Skills!D18)))</f>
        <v/>
      </c>
    </row>
    <row r="1500">
      <c r="A1500" t="inlineStr">
        <is>
          <t>Actions Per Second</t>
        </is>
      </c>
      <c r="B1500">
        <f>1+MIN(150,150*(1-(1-(Inputs!$B$11+((C1486=TRUE)*(F1486-Calc!F20))+((C1487=TRUE)*(F1487-Calc!F21)))/150)*(1-B1499/150)))/100</f>
        <v/>
      </c>
    </row>
    <row r="1501">
      <c r="A1501" t="inlineStr">
        <is>
          <t>Skill + Buff Cast Rate</t>
        </is>
      </c>
      <c r="B1501">
        <f>IF(AND(Inputs!$B$38&lt;&gt;"pvp",Inputs!$B$43&gt;0),SUMPRODUCT((Skills!E2:E29=TRUE)*(C1468:C1495=TRUE)*R1468:R1495*Skills!F2:F29)/Inputs!$B$43,SUMPRODUCT((Skills!E2:E29=TRUE)*(C1468:C1495=TRUE)*Q1468:Q1495*Skills!F2:F29))</f>
        <v/>
      </c>
    </row>
    <row r="1502">
      <c r="A1502" t="inlineStr">
        <is>
          <t>Empowered Piercing Arrow Casts Per Second</t>
        </is>
      </c>
      <c r="B1502">
        <f>MAX(0,B1500-B1501)</f>
        <v/>
      </c>
    </row>
    <row r="1503">
      <c r="A1503" t="inlineStr">
        <is>
          <t>Global Critical Damage Bonus % (Sharp Eyes)</t>
        </is>
      </c>
      <c r="B1503">
        <f>(C1482=TRUE)*F1482*IF(AND(Inputs!$B$38&lt;&gt;"pvp",Inputs!$B$43&gt;0),(((R1482-1)*(Skills!T16*(1+Inputs!$B$34/100))+MIN((Skills!T16*(1+Inputs!$B$34/100)),MAX(0,Inputs!$B$43-((R1482-1)*Skills!D16))))/Inputs!$B$43),IF(Inputs!$B$38="pvp",MIN((Skills!T16*(1+Inputs!$B$34/100)),15)/15,(Skills!T16*(1+Inputs!$B$34/100))/Skills!D16))</f>
        <v/>
      </c>
    </row>
    <row r="1504">
      <c r="A1504" t="inlineStr">
        <is>
          <t>Global Final Damage Bonus % (Mortal Blow + Last Man Standing conditional half)</t>
        </is>
      </c>
      <c r="B1504">
        <f>(C1483=TRUE)*F1483+((C1492=TRUE)*IF(Inputs!$B$38="pvp",F1492,(1-Summary!$B$11)*(F1492)+Summary!$B$11*(0)))</f>
        <v/>
      </c>
    </row>
    <row r="1505">
      <c r="A1505" t="inlineStr">
        <is>
          <t>Buff-Casting Startup Delay (s, fixed-duration only)</t>
        </is>
      </c>
      <c r="B1505">
        <f>IF(AND(Inputs!$B$38&lt;&gt;"pvp",Inputs!$B$43&gt;0),SUMPRODUCT((Skills!T2:T29&gt;0)*(Skills!E2:E29=TRUE)*(C1468:C1495=TRUE))/B1500,0)</f>
        <v/>
      </c>
    </row>
    <row r="1506">
      <c r="A1506" t="inlineStr">
        <is>
          <t>Boss-Only Total DPS (this block's swept value)</t>
        </is>
      </c>
      <c r="B1506">
        <f>SUM(T1468:T1495)</f>
        <v/>
      </c>
    </row>
    <row r="1507">
      <c r="A1507" t="inlineStr">
        <is>
          <t>Normal-Only Total DPS (this block's swept value)</t>
        </is>
      </c>
      <c r="B1507">
        <f>SUM(V1468:V1495)</f>
        <v/>
      </c>
    </row>
    <row r="1508">
      <c r="A1508" s="6" t="inlineStr">
        <is>
          <t>TOTAL DPS</t>
        </is>
      </c>
      <c r="B1508" s="6">
        <f>SUM(O1468:O1495)</f>
        <v/>
      </c>
    </row>
    <row r="1511">
      <c r="A1511" s="6" t="inlineStr">
        <is>
          <t>Stat: Arwen's Glass Shoes (Equip)</t>
        </is>
      </c>
    </row>
    <row r="1512">
      <c r="A1512" s="5" t="inlineStr">
        <is>
          <t>Key</t>
        </is>
      </c>
      <c r="B1512" s="5" t="inlineStr">
        <is>
          <t>Name</t>
        </is>
      </c>
      <c r="C1512" s="5" t="inlineStr">
        <is>
          <t>Unlocked</t>
        </is>
      </c>
      <c r="D1512" s="5" t="inlineStr">
        <is>
          <t>InputLevel</t>
        </is>
      </c>
      <c r="E1512" s="5" t="inlineStr">
        <is>
          <t>Factor</t>
        </is>
      </c>
      <c r="F1512" s="5" t="inlineStr">
        <is>
          <t>CoefficientPercent</t>
        </is>
      </c>
      <c r="G1512" s="5" t="inlineStr">
        <is>
          <t>EffectiveHits</t>
        </is>
      </c>
      <c r="H1512" s="5" t="inlineStr">
        <is>
          <t>ProcProbability</t>
        </is>
      </c>
      <c r="I1512" s="5" t="inlineStr">
        <is>
          <t>MapleHeroMultiplier</t>
        </is>
      </c>
      <c r="J1512" s="5" t="inlineStr">
        <is>
          <t>BaseDamage</t>
        </is>
      </c>
      <c r="K1512" s="5" t="inlineStr">
        <is>
          <t>BaseHitDamage</t>
        </is>
      </c>
      <c r="L1512" s="5" t="inlineStr">
        <is>
          <t>NonCritAvg</t>
        </is>
      </c>
      <c r="M1512" s="5" t="inlineStr">
        <is>
          <t>CritAvg</t>
        </is>
      </c>
      <c r="N1512" s="5" t="inlineStr">
        <is>
          <t>ExpectedDamage(perHit)</t>
        </is>
      </c>
      <c r="O1512" s="5" t="inlineStr">
        <is>
          <t>DPS</t>
        </is>
      </c>
      <c r="P1512" s="5" t="inlineStr">
        <is>
          <t>% of Total</t>
        </is>
      </c>
      <c r="Q1512" s="5" t="inlineStr">
        <is>
          <t>InvCooldown</t>
        </is>
      </c>
      <c r="R1512" s="5" t="inlineStr">
        <is>
          <t>CastsInFight</t>
        </is>
      </c>
      <c r="S1512" s="5" t="inlineStr">
        <is>
          <t>HitRate(perSec)</t>
        </is>
      </c>
      <c r="U1512" t="inlineStr">
        <is>
          <t>helpers</t>
        </is>
      </c>
    </row>
    <row r="1513">
      <c r="A1513">
        <f>Skills!A2</f>
        <v/>
      </c>
      <c r="B1513">
        <f>Skills!B2</f>
        <v/>
      </c>
      <c r="C1513">
        <f>Inputs!$B$3&gt;=100</f>
        <v/>
      </c>
      <c r="D1513" t="inlineStr"/>
      <c r="E1513" t="inlineStr"/>
      <c r="F1513">
        <f>U1515+Skills!O2</f>
        <v/>
      </c>
      <c r="G1513">
        <f>Skills!G2*IF(Skills!H2&gt;0,Skills!I2/Skills!H2,1)</f>
        <v/>
      </c>
      <c r="H1513">
        <f>1-(1-Skills!J2/100)^Skills!K2</f>
        <v/>
      </c>
      <c r="I1513" t="inlineStr">
        <is>
          <t>1</t>
        </is>
      </c>
      <c r="J1513">
        <f>((Inputs!$B$6*(1+Inputs!$B$7/100))+(((Inputs!$B$12*(1+Inputs!$B$13/100))-(Inputs!$B$12*(1+Inputs!$B$13/100)))+0.25*(Inputs!$B$14-Inputs!$B$14))*(1+Inputs!$B$7/100))*(F1513/100)</f>
        <v/>
      </c>
      <c r="K1513">
        <f>J1513*(1+((Inputs!$B$12*(1+Inputs!$B$13/100))*0.01+Inputs!$B$14*0.0025)/100)*(1+Inputs!$B$15/100)*(1+Inputs!$B$16/100)*(5000/(6000+Inputs!$B$42*(1-(100*(1-(1-(Inputs!$B$19+0)/100)*(1-CHOOSE(ArtifactsInput!$N$40+1,5,6,7,8,9,10)/100)^(ArtifactsInput!$M$40-ArtifactsInput!$M$40)))/100)))*(1+(Inputs!$B$24+((C1535=TRUE)*(F1535-Calc!F24))+((C1536=TRUE)*(F1536-Calc!F25))+B1549)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EMPOWERED_PIERCING_ARROW",Inputs!$B$17+((C1533=TRUE)*(F1533-Calc!F22))+(((IF(AND(ArtifactsInput!$M$42,((Inputs!$B$9+((C1530=TRUE)*(F1530-Calc!F19))+B1543+(ArtifactsInput!$M$24-ArtifactsInput!$M$24)*CHOOSE(ArtifactsInput!$N$24+1,10,12,14,16,18,20)+IF(ArtifactsInput!$M$10,CHOOSE(ArtifactsInput!$N$10+1,15,18,21,24,27,30)*(IF(Inputs!$B$38="pvp",MIN(15,15)/15,IF(AND(Inputs!$B$38&lt;&gt;"pvp",Inputs!$B$43&gt;0),MIN(15,Inputs!$B$43)/(Inputs!$B$43),0))),0)))&gt;=100),MIN(100,((Inputs!$B$9+((C1530=TRUE)*(F1530-Calc!F19))+B1543+(ArtifactsInput!$M$24-ArtifactsInput!$M$24)*CHOOSE(ArtifactsInput!$N$24+1,10,12,14,16,18,20)+IF(ArtifactsInput!$M$10,CHOOSE(ArtifactsInput!$N$10+1,15,18,21,24,27,30)*(IF(Inputs!$B$38="pvp",MIN(15,15)/15,IF(AND(Inputs!$B$38&lt;&gt;"pvp",Inputs!$B$43&gt;0),MIN(15,Inputs!$B$43)/(Inputs!$B$43),0))),0)))-100),0))*CHOOSE(ArtifactsInput!$N$42+1,0.6,0.72,0.84,0.96,1.08,1.2))),Inputs!$B$18+((C1538=TRUE)*(F1538-Calc!F27))+(IF(AND(ArtifactsInput!$M$42,((Inputs!$B$9+((C1530=TRUE)*(F1530-Calc!F19))+B1543+(ArtifactsInput!$M$24-ArtifactsInput!$M$24)*CHOOSE(ArtifactsInput!$N$24+1,10,12,14,16,18,20)+IF(ArtifactsInput!$M$10,CHOOSE(ArtifactsInput!$N$10+1,15,18,21,24,27,30)*(IF(Inputs!$B$38="pvp",MIN(15,15)/15,IF(AND(Inputs!$B$38&lt;&gt;"pvp",Inputs!$B$43&gt;0),MIN(15,Inputs!$B$43)/(Inputs!$B$43),0))),0)))&gt;=100),CHOOSE(ArtifactsInput!$N$42+1,40,48,56,64,72,80),0))))/100)*((1+(((C1524=TRUE)*F1524)+((C1525=TRUE)*IF(Inputs!$B$38="pvp",F1525,(1-Summary!$B$11)*(F1525)+Summary!$B$11*(0)))+((C1526=TRUE)*F1526*IF(AND(Inputs!$B$38&lt;&gt;"pvp",Inputs!$B$43&gt;0),(((R1526-1)*(Skills!T15*(1+Inputs!$B$34/100))+MIN((Skills!T15*(1+Inputs!$B$34/100)),MAX(0,Inputs!$B$43-((R1526-1)*Skills!D15))))/Inputs!$B$43),IF(Inputs!$B$38="pvp",MIN((Skills!T15*(1+Inputs!$B$34/100)),15)/15,(Skills!T15*(1+Inputs!$B$34/100))/Skills!D15)))+((C1523=TRUE)*F1523)+((C1540=TRUE)*(F1540-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1513)</f>
        <v/>
      </c>
      <c r="L1513">
        <f>K1513*(MIN(Inputs!$B$22+((C1534=TRUE)*(F1534-Calc!F23)),(Inputs!$B$23+((C1539=TRUE)*(F1539-Calc!F28))+(IF(ArtifactsInput!$M$15,CHOOSE(ArtifactsInput!$N$15+1,25,30,35,40,45,50)/100*(Inputs!$B$11-Inputs!$B$11),0))))/100+(Inputs!$B$23+((C1539=TRUE)*(F1539-Calc!F28))+(IF(ArtifactsInput!$M$15,CHOOSE(ArtifactsInput!$N$15+1,25,30,35,40,45,50)/100*(Inputs!$B$11-Inputs!$B$11),0)))/100)/2</f>
        <v/>
      </c>
      <c r="M1513">
        <f>L1513*(1+(Inputs!$B$10+0+B1548+(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513">
        <f>L1513*(1-MIN((Inputs!$B$9+((C1530=TRUE)*(F1530-Calc!F19))+B1543+(ArtifactsInput!$M$24-ArtifactsInput!$M$24)*CHOOSE(ArtifactsInput!$N$24+1,10,12,14,16,18,20)+(IF(AND(ArtifactsInput!$M$42,((Inputs!$B$9+((C1530=TRUE)*(F1530-Calc!F19))+B1543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1513*(MIN((Inputs!$B$9+((C1530=TRUE)*(F1530-Calc!F19))+B1543+(ArtifactsInput!$M$24-ArtifactsInput!$M$24)*CHOOSE(ArtifactsInput!$N$24+1,10,12,14,16,18,20)+(IF(AND(ArtifactsInput!$M$42,((Inputs!$B$9+((C1530=TRUE)*(F1530-Calc!F19))+B1543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513">
        <f>(1-Summary!$B$11)*T1513+Summary!$B$11*V1513</f>
        <v/>
      </c>
      <c r="P1513">
        <f>IF(B1553=0,0,O1513/B1553)</f>
        <v/>
      </c>
      <c r="Q1513" t="n">
        <v>0</v>
      </c>
      <c r="R1513" t="n">
        <v>0</v>
      </c>
      <c r="S1513">
        <f>IFERROR((Skills!G2*N1513*B1547)/N1513*IF(Inputs!$B$38="pvp",1,(1-Summary!$B$11)*1+Summary!$B$11*(MIN((6+Inputs!$B$33),Inputs!$B$37))),0)</f>
        <v/>
      </c>
      <c r="T1513">
        <f>IF(C1513,(Skills!G2*N1513*B1547)*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Hunt"),CHOOSE(ArtifactsInput!$N$35+1,15,18,21,24,27,30)*(1-EXP(-(0.2*B1545)*5)),0)+IF(AND(ArtifactsInput!$M$22,Inputs!$B$4&lt;&gt;"Chapter Hunt"),CHOOSE(ArtifactsInput!$N$22+1,10,12,14,16,18,20)*((0*(((0.15*B1545*5))^0/1)+1*(((0.15*B1545*5))^1/1)+2*(((0.15*B1545*5))^2/2)+3*(((0.15*B1545*5))^3/6)+4*(((0.15*B1545*5))^4/24)+5*(((0.15*B1545*5))^5/120))/((((0.15*B1545*5))^0/1)+(((0.15*B1545*5))^1/1)+(((0.15*B1545*5))^2/2)+(((0.15*B1545*5))^3/6)+(((0.15*B1545*5))^4/24)+(((0.15*B1545*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1513*(1-MIN(100,(Inputs!$B$9+((C1530=TRUE)*(F1530-Calc!F19))+B1543+(ArtifactsInput!$M$24-ArtifactsInput!$M$24)*CHOOSE(ArtifactsInput!$N$24+1,10,12,14,16,18,20)+(IF(AND(ArtifactsInput!$M$42,((Inputs!$B$9+((C1530=TRUE)*(F1530-Calc!F19))+B1543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1513*(MIN(100,(Inputs!$B$9+((C1530=TRUE)*(F1530-Calc!F19))+B1543+(ArtifactsInput!$M$24-ArtifactsInput!$M$24)*CHOOSE(ArtifactsInput!$N$24+1,10,12,14,16,18,20)+(IF(AND(ArtifactsInput!$M$42,((Inputs!$B$9+((C1530=TRUE)*(F1530-Calc!F19))+B1543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1513*(1-MIN(100,(Inputs!$B$9+((C1530=TRUE)*(F1530-Calc!F19))+B1543+(ArtifactsInput!$M$24-ArtifactsInput!$M$24)*CHOOSE(ArtifactsInput!$N$24+1,10,12,14,16,18,20)+(IF(AND(ArtifactsInput!$M$42,((Inputs!$B$9+((C1530=TRUE)*(F1530-Calc!F19))+B1543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1513*(MIN(100,(Inputs!$B$9+((C1530=TRUE)*(F1530-Calc!F19))+B1543+(ArtifactsInput!$M$24-ArtifactsInput!$M$24)*CHOOSE(ArtifactsInput!$N$24+1,10,12,14,16,18,20)+(IF(AND(ArtifactsInput!$M$42,((Inputs!$B$9+((C1530=TRUE)*(F1530-Calc!F19))+B1543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513">
        <f>MAX(0,(Inputs!$B$3-100)*3)+Inputs!$B$28+Inputs!$B$29</f>
        <v/>
      </c>
      <c r="V1513">
        <f>IF(C1513,(Skills!G2*N1513*B1547)*IF(Inputs!$B$38="pvp",1,(1+(Inputs!$B$21+Skills!Q2+(IF(ArtifactsInput!$M$33,CHOOSE(ArtifactsInput!$N$33+1,30,36,42,48,54,60),0))+(IF(AND(ArtifactsInput!$M$35,Inputs!$B$4&lt;&gt;"Chapter Hunt"),CHOOSE(ArtifactsInput!$N$35+1,15,18,21,24,27,30)*(1-EXP(-(0.2*B1545)*5)),0)+IF(AND(ArtifactsInput!$M$22,Inputs!$B$4&lt;&gt;"Chapter Hunt"),CHOOSE(ArtifactsInput!$N$22+1,10,12,14,16,18,20)*((0*(((0.15*B1545*5))^0/1)+1*(((0.15*B1545*5))^1/1)+2*(((0.15*B1545*5))^2/2)+3*(((0.15*B1545*5))^3/6)+4*(((0.15*B1545*5))^4/24)+5*(((0.15*B1545*5))^5/120))/((((0.15*B1545*5))^0/1)+(((0.15*B1545*5))^1/1)+(((0.15*B1545*5))^2/2)+(((0.15*B1545*5))^3/6)+(((0.15*B1545*5))^4/24)+(((0.15*B1545*5))^5/120)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514">
      <c r="A1514">
        <f>Skills!A3</f>
        <v/>
      </c>
      <c r="B1514">
        <f>Skills!B3</f>
        <v/>
      </c>
      <c r="C1514">
        <f>Inputs!$B$3&gt;=50</f>
        <v/>
      </c>
      <c r="D1514">
        <f>IF(Skills!C3=1,60+Inputs!$B$25+Inputs!$B$29,IF(Skills!C3=2,90+Inputs!$B$26+Inputs!$B$29,IF(Skills!C3=3,120+Inputs!$B$27+Inputs!$B$29,MAX(0,(Inputs!$B$3-100)*3)+Inputs!$B$28+Inputs!$B$29)))</f>
        <v/>
      </c>
      <c r="E1514">
        <f>INDEX(FactorTable!$B$2:$Y$301, MATCH(ROUND(MIN(300,MAX(1,D1514)),0), FactorTable!$A$2:$A$301,0), Skills!M3+1)</f>
        <v/>
      </c>
      <c r="F1514">
        <f>IF(Skills!N3=TRUE,(Skills!L3/10)*(E1514/1000),Skills!L3/10)+Skills!O3</f>
        <v/>
      </c>
      <c r="G1514" t="inlineStr"/>
      <c r="H1514" t="inlineStr"/>
      <c r="I1514" t="inlineStr">
        <is>
          <t>1</t>
        </is>
      </c>
      <c r="J1514" t="inlineStr"/>
      <c r="K1514" t="inlineStr"/>
      <c r="L1514" t="inlineStr"/>
      <c r="M1514" t="inlineStr"/>
      <c r="N1514" t="inlineStr"/>
      <c r="O1514" t="inlineStr"/>
      <c r="P1514" t="inlineStr"/>
      <c r="Q1514" t="inlineStr"/>
      <c r="R1514" t="inlineStr"/>
      <c r="S1514" t="inlineStr"/>
      <c r="T1514" t="inlineStr"/>
      <c r="U1514">
        <f>INDEX(FactorTable!$B$2:$Y$301, MATCH(ROUND(MIN(300,MAX(1,U1513)),0), FactorTable!$A$2:$A$301,0), 22)</f>
        <v/>
      </c>
      <c r="V1514" t="inlineStr"/>
    </row>
    <row r="1515">
      <c r="A1515">
        <f>Skills!A4</f>
        <v/>
      </c>
      <c r="B1515">
        <f>Skills!B4</f>
        <v/>
      </c>
      <c r="C1515">
        <f>Inputs!$B$3&gt;=105</f>
        <v/>
      </c>
      <c r="D1515">
        <f>IF(Skills!C4=1,60+Inputs!$B$25+Inputs!$B$29,IF(Skills!C4=2,90+Inputs!$B$26+Inputs!$B$29,IF(Skills!C4=3,120+Inputs!$B$27+Inputs!$B$29,MAX(0,(Inputs!$B$3-100)*3)+Inputs!$B$28+Inputs!$B$29)))</f>
        <v/>
      </c>
      <c r="E1515">
        <f>INDEX(FactorTable!$B$2:$Y$301, MATCH(ROUND(MIN(300,MAX(1,D1515)),0), FactorTable!$A$2:$A$301,0), Skills!M4+1)</f>
        <v/>
      </c>
      <c r="F1515">
        <f>IF(Skills!N4=TRUE,(Skills!L4/10)*(E1515/1000),Skills!L4/10)+Skills!O4</f>
        <v/>
      </c>
      <c r="G1515" t="inlineStr"/>
      <c r="H1515" t="inlineStr"/>
      <c r="I1515" t="inlineStr">
        <is>
          <t>1</t>
        </is>
      </c>
      <c r="J1515" t="inlineStr"/>
      <c r="K1515" t="inlineStr"/>
      <c r="L1515" t="inlineStr"/>
      <c r="M1515" t="inlineStr"/>
      <c r="N1515" t="inlineStr"/>
      <c r="O1515" t="inlineStr"/>
      <c r="P1515" t="inlineStr"/>
      <c r="Q1515" t="inlineStr"/>
      <c r="R1515" t="inlineStr"/>
      <c r="S1515" t="inlineStr"/>
      <c r="T1515" t="inlineStr"/>
      <c r="U1515">
        <f>290*U1514/1000</f>
        <v/>
      </c>
      <c r="V1515" t="inlineStr"/>
    </row>
    <row r="1516">
      <c r="A1516">
        <f>Skills!A5</f>
        <v/>
      </c>
      <c r="B1516">
        <f>Skills!B5</f>
        <v/>
      </c>
      <c r="C1516">
        <f>Inputs!$B$3&gt;=35</f>
        <v/>
      </c>
      <c r="D1516">
        <f>IF(Skills!C5=1,60+Inputs!$B$25+Inputs!$B$29,IF(Skills!C5=2,90+Inputs!$B$26+Inputs!$B$29,IF(Skills!C5=3,120+Inputs!$B$27+Inputs!$B$29,MAX(0,(Inputs!$B$3-100)*3)+Inputs!$B$28+Inputs!$B$29)))</f>
        <v/>
      </c>
      <c r="E1516">
        <f>INDEX(FactorTable!$B$2:$Y$301, MATCH(ROUND(MIN(300,MAX(1,D1516)),0), FactorTable!$A$2:$A$301,0), Skills!M5+1)</f>
        <v/>
      </c>
      <c r="F1516">
        <f>IF(Skills!N5=TRUE,(Skills!L5/10)*(E1516/1000),Skills!L5/10)+Skills!O5</f>
        <v/>
      </c>
      <c r="G1516">
        <f>Skills!G5*IF(Skills!H5&gt;0,Skills!I5/Skills!H5,1)</f>
        <v/>
      </c>
      <c r="H1516">
        <f>1-(1-Skills!J5/100)^Skills!K5</f>
        <v/>
      </c>
      <c r="I1516" t="inlineStr">
        <is>
          <t>1</t>
        </is>
      </c>
      <c r="J1516">
        <f>((Inputs!$B$6*(1+Inputs!$B$7/100))+(((Inputs!$B$12*(1+Inputs!$B$13/100))-(Inputs!$B$12*(1+Inputs!$B$13/100)))+0.25*(Inputs!$B$14-Inputs!$B$14))*(1+Inputs!$B$7/100))*(F1516/100)</f>
        <v/>
      </c>
      <c r="K1516">
        <f>J1516*(1+((Inputs!$B$12*(1+Inputs!$B$13/100))*0.01+Inputs!$B$14*0.0025)/100)*(1+Inputs!$B$15/100)*(1+Inputs!$B$16/100)*(5000/(6000+Inputs!$B$42*(1-(100*(1-(1-(Inputs!$B$19+0)/100)*(1-CHOOSE(ArtifactsInput!$N$40+1,5,6,7,8,9,10)/100)^(ArtifactsInput!$M$40-ArtifactsInput!$M$40)))/100)))*(1+(Inputs!$B$24+((C1535=TRUE)*(F1535-Calc!F24))+((C1536=TRUE)*(F1536-Calc!F25))+B1549)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1519=TRUE,F1519,0)/100)*(1+(IF(Skills!A5="EMPOWERED_PIERCING_ARROW",Inputs!$B$17+((C1533=TRUE)*(F1533-Calc!F22))+(((IF(AND(ArtifactsInput!$M$42,((Inputs!$B$9+((C1530=TRUE)*(F1530-Calc!F19))+B1543+(ArtifactsInput!$M$24-ArtifactsInput!$M$24)*CHOOSE(ArtifactsInput!$N$24+1,10,12,14,16,18,20)+IF(ArtifactsInput!$M$10,CHOOSE(ArtifactsInput!$N$10+1,15,18,21,24,27,30)*(IF(Inputs!$B$38="pvp",MIN(15,15)/15,IF(AND(Inputs!$B$38&lt;&gt;"pvp",Inputs!$B$43&gt;0),MIN(15,Inputs!$B$43)/(Inputs!$B$43),0))),0)))&gt;=100),MIN(100,((Inputs!$B$9+((C1530=TRUE)*(F1530-Calc!F19))+B1543+(ArtifactsInput!$M$24-ArtifactsInput!$M$24)*CHOOSE(ArtifactsInput!$N$24+1,10,12,14,16,18,20)+IF(ArtifactsInput!$M$10,CHOOSE(ArtifactsInput!$N$10+1,15,18,21,24,27,30)*(IF(Inputs!$B$38="pvp",MIN(15,15)/15,IF(AND(Inputs!$B$38&lt;&gt;"pvp",Inputs!$B$43&gt;0),MIN(15,Inputs!$B$43)/(Inputs!$B$43),0))),0)))-100),0))*CHOOSE(ArtifactsInput!$N$42+1,0.6,0.72,0.84,0.96,1.08,1.2))),Inputs!$B$18+((C1538=TRUE)*(F1538-Calc!F27))+(IF(AND(ArtifactsInput!$M$42,((Inputs!$B$9+((C1530=TRUE)*(F1530-Calc!F19))+B1543+(ArtifactsInput!$M$24-ArtifactsInput!$M$24)*CHOOSE(ArtifactsInput!$N$24+1,10,12,14,16,18,20)+IF(ArtifactsInput!$M$10,CHOOSE(ArtifactsInput!$N$10+1,15,18,21,24,27,30)*(IF(Inputs!$B$38="pvp",MIN(15,15)/15,IF(AND(Inputs!$B$38&lt;&gt;"pvp",Inputs!$B$43&gt;0),MIN(15,Inputs!$B$43)/(Inputs!$B$43),0))),0)))&gt;=100),CHOOSE(ArtifactsInput!$N$42+1,40,48,56,64,72,80),0))))/100)*((1+(((C1524=TRUE)*F1524)+((C1525=TRUE)*IF(Inputs!$B$38="pvp",F1525,(1-Summary!$B$11)*(F1525)+Summary!$B$11*(0)))+((C1526=TRUE)*F1526*IF(AND(Inputs!$B$38&lt;&gt;"pvp",Inputs!$B$43&gt;0),(((R1526-1)*(Skills!T15*(1+Inputs!$B$34/100))+MIN((Skills!T15*(1+Inputs!$B$34/100)),MAX(0,Inputs!$B$43-((R1526-1)*Skills!D15))))/Inputs!$B$43),IF(Inputs!$B$38="pvp",MIN((Skills!T15*(1+Inputs!$B$34/100)),15)/15,(Skills!T15*(1+Inputs!$B$34/100))/Skills!D15)))+((C1523=TRUE)*F1523)+((C1540=TRUE)*(F1540-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1516)</f>
        <v/>
      </c>
      <c r="L1516">
        <f>K1516*(MIN(Inputs!$B$22+((C1534=TRUE)*(F1534-Calc!F23)),(Inputs!$B$23+((C1539=TRUE)*(F1539-Calc!F28))+(IF(ArtifactsInput!$M$15,CHOOSE(ArtifactsInput!$N$15+1,25,30,35,40,45,50)/100*(Inputs!$B$11-Inputs!$B$11),0))))/100+(Inputs!$B$23+((C1539=TRUE)*(F1539-Calc!F28))+(IF(ArtifactsInput!$M$15,CHOOSE(ArtifactsInput!$N$15+1,25,30,35,40,45,50)/100*(Inputs!$B$11-Inputs!$B$11),0)))/100)/2</f>
        <v/>
      </c>
      <c r="M1516">
        <f>L1516*(1+(Inputs!$B$10+0+B1548+(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516">
        <f>L1516*(1-MIN((Inputs!$B$9+((C1530=TRUE)*(F1530-Calc!F19))+B1543+(ArtifactsInput!$M$24-ArtifactsInput!$M$24)*CHOOSE(ArtifactsInput!$N$24+1,10,12,14,16,18,20)+(IF(AND(ArtifactsInput!$M$42,((Inputs!$B$9+((C1530=TRUE)*(F1530-Calc!F19))+B1543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1516*(MIN((Inputs!$B$9+((C1530=TRUE)*(F1530-Calc!F19))+B1543+(ArtifactsInput!$M$24-ArtifactsInput!$M$24)*CHOOSE(ArtifactsInput!$N$24+1,10,12,14,16,18,20)+(IF(AND(ArtifactsInput!$M$42,((Inputs!$B$9+((C1530=TRUE)*(F1530-Calc!F19))+B1543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516">
        <f>(1-Summary!$B$11)*T1516+Summary!$B$11*V1516</f>
        <v/>
      </c>
      <c r="P1516">
        <f>IF(B1553=0,0,O1516/B1553)</f>
        <v/>
      </c>
      <c r="Q1516">
        <f>IFERROR(1/IF(Inputs!$B$38="pvp",15,MAX(0.1,Skills!D5-IF(Skills!E5=TRUE,Inputs!$B$32,0))),0)</f>
        <v/>
      </c>
      <c r="R1516">
        <f>IF(AND(Inputs!$B$38&lt;&gt;"pvp",Inputs!$B$43&gt;0),IF(MAX(0,Inputs!$B$43-B1550)&lt;=0,0,(INT(MAX(0,Inputs!$B$43-B1550)/IF(Inputs!$B$38="pvp",15,MAX(0.1,Skills!D5-IF(Skills!E5=TRUE,Inputs!$B$32,0))))+1)),0)</f>
        <v/>
      </c>
      <c r="S1516">
        <f>IFERROR((H1516*N1516*IF(AND(Inputs!$B$38&lt;&gt;"pvp",Inputs!$B$43&gt;0),((Skills!G5*((R1516-1)*IF(Skills!H5&gt;0,Skills!I5/Skills!H5,1)+IF(Skills!H5&gt;0,MIN(Skills!I5,MAX(0,MAX(0,Inputs!$B$43-B1550)-((R1516-1)*IF(Inputs!$B$38="pvp",15,MAX(0.1,Skills!D5-IF(Skills!E5=TRUE,Inputs!$B$32,0))))))/Skills!H5,1)))/Inputs!$B$43),G1516*Q1516))/N1516*IF(Inputs!$B$38="pvp",1,(1-Summary!$B$11)*1+Summary!$B$11*(MIN(Skills!R5,Inputs!$B$37))),0)</f>
        <v/>
      </c>
      <c r="T1516">
        <f>IF(C1516,(H1516*N1516*IF(AND(Inputs!$B$38&lt;&gt;"pvp",Inputs!$B$43&gt;0),((Skills!G5*((R1516-1)*IF(Skills!H5&gt;0,Skills!I5/Skills!H5,1)+IF(Skills!H5&gt;0,MIN(Skills!I5,MAX(0,MAX(0,Inputs!$B$43-B1550)-((R1516-1)*IF(Inputs!$B$38="pvp",15,MAX(0.1,Skills!D5-IF(Skills!E5=TRUE,Inputs!$B$32,0))))))/Skills!H5,1)))/Inputs!$B$43),G1516*Q1516))*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Hunt"),CHOOSE(ArtifactsInput!$N$35+1,15,18,21,24,27,30)*(1-EXP(-(0.2*B1545)*5)),0)+IF(AND(ArtifactsInput!$M$22,Inputs!$B$4&lt;&gt;"Chapter Hunt"),CHOOSE(ArtifactsInput!$N$22+1,10,12,14,16,18,20)*((0*(((0.15*B1545*5))^0/1)+1*(((0.15*B1545*5))^1/1)+2*(((0.15*B1545*5))^2/2)+3*(((0.15*B1545*5))^3/6)+4*(((0.15*B1545*5))^4/24)+5*(((0.15*B1545*5))^5/120))/((((0.15*B1545*5))^0/1)+(((0.15*B1545*5))^1/1)+(((0.15*B1545*5))^2/2)+(((0.15*B1545*5))^3/6)+(((0.15*B1545*5))^4/24)+(((0.15*B1545*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1516*(1-MIN(100,(Inputs!$B$9+((C1530=TRUE)*(F1530-Calc!F19))+B1543+(ArtifactsInput!$M$24-ArtifactsInput!$M$24)*CHOOSE(ArtifactsInput!$N$24+1,10,12,14,16,18,20)+(IF(AND(ArtifactsInput!$M$42,((Inputs!$B$9+((C1530=TRUE)*(F1530-Calc!F19))+B1543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1516*(MIN(100,(Inputs!$B$9+((C1530=TRUE)*(F1530-Calc!F19))+B1543+(ArtifactsInput!$M$24-ArtifactsInput!$M$24)*CHOOSE(ArtifactsInput!$N$24+1,10,12,14,16,18,20)+(IF(AND(ArtifactsInput!$M$42,((Inputs!$B$9+((C1530=TRUE)*(F1530-Calc!F19))+B1543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1516*(1-MIN(100,(Inputs!$B$9+((C1530=TRUE)*(F1530-Calc!F19))+B1543+(ArtifactsInput!$M$24-ArtifactsInput!$M$24)*CHOOSE(ArtifactsInput!$N$24+1,10,12,14,16,18,20)+(IF(AND(ArtifactsInput!$M$42,((Inputs!$B$9+((C1530=TRUE)*(F1530-Calc!F19))+B1543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1516*(MIN(100,(Inputs!$B$9+((C1530=TRUE)*(F1530-Calc!F19))+B1543+(ArtifactsInput!$M$24-ArtifactsInput!$M$24)*CHOOSE(ArtifactsInput!$N$24+1,10,12,14,16,18,20)+(IF(AND(ArtifactsInput!$M$42,((Inputs!$B$9+((C1530=TRUE)*(F1530-Calc!F19))+B1543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516">
        <f>IF(C1516,(H1516*N1516*IF(AND(Inputs!$B$38&lt;&gt;"pvp",Inputs!$B$43&gt;0),((Skills!G5*((R1516-1)*IF(Skills!H5&gt;0,Skills!I5/Skills!H5,1)+IF(Skills!H5&gt;0,MIN(Skills!I5,MAX(0,MAX(0,Inputs!$B$43-B1550)-((R1516-1)*IF(Inputs!$B$38="pvp",15,MAX(0.1,Skills!D5-IF(Skills!E5=TRUE,Inputs!$B$32,0))))))/Skills!H5,1)))/Inputs!$B$43),G1516*Q1516))*IF(Inputs!$B$38="pvp",1,(1+(Inputs!$B$21+Skills!Q5+(IF(ArtifactsInput!$M$33,CHOOSE(ArtifactsInput!$N$33+1,30,36,42,48,54,60),0))+(IF(AND(ArtifactsInput!$M$35,Inputs!$B$4&lt;&gt;"Chapter Hunt"),CHOOSE(ArtifactsInput!$N$35+1,15,18,21,24,27,30)*(1-EXP(-(0.2*B1545)*5)),0)+IF(AND(ArtifactsInput!$M$22,Inputs!$B$4&lt;&gt;"Chapter Hunt"),CHOOSE(ArtifactsInput!$N$22+1,10,12,14,16,18,20)*((0*(((0.15*B1545*5))^0/1)+1*(((0.15*B1545*5))^1/1)+2*(((0.15*B1545*5))^2/2)+3*(((0.15*B1545*5))^3/6)+4*(((0.15*B1545*5))^4/24)+5*(((0.15*B1545*5))^5/120))/((((0.15*B1545*5))^0/1)+(((0.15*B1545*5))^1/1)+(((0.15*B1545*5))^2/2)+(((0.15*B1545*5))^3/6)+(((0.15*B1545*5))^4/24)+(((0.15*B1545*5))^5/120)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517">
      <c r="A1517">
        <f>Skills!A6</f>
        <v/>
      </c>
      <c r="B1517">
        <f>Skills!B6</f>
        <v/>
      </c>
      <c r="C1517">
        <f>Inputs!$B$3&gt;=63</f>
        <v/>
      </c>
      <c r="D1517">
        <f>IF(Skills!C6=1,60+Inputs!$B$25+Inputs!$B$29,IF(Skills!C6=2,90+Inputs!$B$26+Inputs!$B$29,IF(Skills!C6=3,120+Inputs!$B$27+Inputs!$B$29,MAX(0,(Inputs!$B$3-100)*3)+Inputs!$B$28+Inputs!$B$29)))</f>
        <v/>
      </c>
      <c r="E1517">
        <f>INDEX(FactorTable!$B$2:$Y$301, MATCH(ROUND(MIN(300,MAX(1,D1517)),0), FactorTable!$A$2:$A$301,0), Skills!M6+1)</f>
        <v/>
      </c>
      <c r="F1517">
        <f>IF(Skills!N6=TRUE,(Skills!L6/10)*(E1517/1000),Skills!L6/10)+Skills!O6</f>
        <v/>
      </c>
      <c r="G1517">
        <f>Skills!G6*IF(Skills!H6&gt;0,Skills!I6/Skills!H6,1)</f>
        <v/>
      </c>
      <c r="H1517">
        <f>1-(1-Skills!J6/100)^Skills!K6</f>
        <v/>
      </c>
      <c r="I1517" t="inlineStr">
        <is>
          <t>1</t>
        </is>
      </c>
      <c r="J1517">
        <f>((Inputs!$B$6*(1+Inputs!$B$7/100))+(((Inputs!$B$12*(1+Inputs!$B$13/100))-(Inputs!$B$12*(1+Inputs!$B$13/100)))+0.25*(Inputs!$B$14-Inputs!$B$14))*(1+Inputs!$B$7/100))*(F1517/100)</f>
        <v/>
      </c>
      <c r="K1517">
        <f>J1517*(1+((Inputs!$B$12*(1+Inputs!$B$13/100))*0.01+Inputs!$B$14*0.0025)/100)*(1+Inputs!$B$15/100)*(1+Inputs!$B$16/100)*(5000/(6000+Inputs!$B$42*(1-(100*(1-(1-(Inputs!$B$19+0)/100)*(1-CHOOSE(ArtifactsInput!$N$40+1,5,6,7,8,9,10)/100)^(ArtifactsInput!$M$40-ArtifactsInput!$M$40)))/100)))*(1+(Inputs!$B$24+((C1535=TRUE)*(F1535-Calc!F24))+((C1536=TRUE)*(F1536-Calc!F25))+B1549)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1519=TRUE,F1519,0)/100)*(1+(IF(Skills!A6="EMPOWERED_PIERCING_ARROW",Inputs!$B$17+((C1533=TRUE)*(F1533-Calc!F22))+(((IF(AND(ArtifactsInput!$M$42,((Inputs!$B$9+((C1530=TRUE)*(F1530-Calc!F19))+B1543+(ArtifactsInput!$M$24-ArtifactsInput!$M$24)*CHOOSE(ArtifactsInput!$N$24+1,10,12,14,16,18,20)+IF(ArtifactsInput!$M$10,CHOOSE(ArtifactsInput!$N$10+1,15,18,21,24,27,30)*(IF(Inputs!$B$38="pvp",MIN(15,15)/15,IF(AND(Inputs!$B$38&lt;&gt;"pvp",Inputs!$B$43&gt;0),MIN(15,Inputs!$B$43)/(Inputs!$B$43),0))),0)))&gt;=100),MIN(100,((Inputs!$B$9+((C1530=TRUE)*(F1530-Calc!F19))+B1543+(ArtifactsInput!$M$24-ArtifactsInput!$M$24)*CHOOSE(ArtifactsInput!$N$24+1,10,12,14,16,18,20)+IF(ArtifactsInput!$M$10,CHOOSE(ArtifactsInput!$N$10+1,15,18,21,24,27,30)*(IF(Inputs!$B$38="pvp",MIN(15,15)/15,IF(AND(Inputs!$B$38&lt;&gt;"pvp",Inputs!$B$43&gt;0),MIN(15,Inputs!$B$43)/(Inputs!$B$43),0))),0)))-100),0))*CHOOSE(ArtifactsInput!$N$42+1,0.6,0.72,0.84,0.96,1.08,1.2))),Inputs!$B$18+((C1538=TRUE)*(F1538-Calc!F27))+(IF(AND(ArtifactsInput!$M$42,((Inputs!$B$9+((C1530=TRUE)*(F1530-Calc!F19))+B1543+(ArtifactsInput!$M$24-ArtifactsInput!$M$24)*CHOOSE(ArtifactsInput!$N$24+1,10,12,14,16,18,20)+IF(ArtifactsInput!$M$10,CHOOSE(ArtifactsInput!$N$10+1,15,18,21,24,27,30)*(IF(Inputs!$B$38="pvp",MIN(15,15)/15,IF(AND(Inputs!$B$38&lt;&gt;"pvp",Inputs!$B$43&gt;0),MIN(15,Inputs!$B$43)/(Inputs!$B$43),0))),0)))&gt;=100),CHOOSE(ArtifactsInput!$N$42+1,40,48,56,64,72,80),0))))/100)*((1+(((C1524=TRUE)*F1524)+((C1525=TRUE)*IF(Inputs!$B$38="pvp",F1525,(1-Summary!$B$11)*(F1525)+Summary!$B$11*(0)))+((C1526=TRUE)*F1526*IF(AND(Inputs!$B$38&lt;&gt;"pvp",Inputs!$B$43&gt;0),(((R1526-1)*(Skills!T15*(1+Inputs!$B$34/100))+MIN((Skills!T15*(1+Inputs!$B$34/100)),MAX(0,Inputs!$B$43-((R1526-1)*Skills!D15))))/Inputs!$B$43),IF(Inputs!$B$38="pvp",MIN((Skills!T15*(1+Inputs!$B$34/100)),15)/15,(Skills!T15*(1+Inputs!$B$34/100))/Skills!D15)))+((C1523=TRUE)*F1523)+((C1540=TRUE)*(F1540-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1517)</f>
        <v/>
      </c>
      <c r="L1517">
        <f>K1517*(MIN(Inputs!$B$22+((C1534=TRUE)*(F1534-Calc!F23)),(Inputs!$B$23+((C1539=TRUE)*(F1539-Calc!F28))+(IF(ArtifactsInput!$M$15,CHOOSE(ArtifactsInput!$N$15+1,25,30,35,40,45,50)/100*(Inputs!$B$11-Inputs!$B$11),0))))/100+(Inputs!$B$23+((C1539=TRUE)*(F1539-Calc!F28))+(IF(ArtifactsInput!$M$15,CHOOSE(ArtifactsInput!$N$15+1,25,30,35,40,45,50)/100*(Inputs!$B$11-Inputs!$B$11),0)))/100)/2</f>
        <v/>
      </c>
      <c r="M1517">
        <f>L1517*(1+(Inputs!$B$10+0+B1548+(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517">
        <f>L1517*(1-MIN((Inputs!$B$9+((C1530=TRUE)*(F1530-Calc!F19))+B1543+(ArtifactsInput!$M$24-ArtifactsInput!$M$24)*CHOOSE(ArtifactsInput!$N$24+1,10,12,14,16,18,20)+(IF(AND(ArtifactsInput!$M$42,((Inputs!$B$9+((C1530=TRUE)*(F1530-Calc!F19))+B1543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1517*(MIN((Inputs!$B$9+((C1530=TRUE)*(F1530-Calc!F19))+B1543+(ArtifactsInput!$M$24-ArtifactsInput!$M$24)*CHOOSE(ArtifactsInput!$N$24+1,10,12,14,16,18,20)+(IF(AND(ArtifactsInput!$M$42,((Inputs!$B$9+((C1530=TRUE)*(F1530-Calc!F19))+B1543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517">
        <f>(1-Summary!$B$11)*T1517+Summary!$B$11*V1517</f>
        <v/>
      </c>
      <c r="P1517">
        <f>IF(B1553=0,0,O1517/B1553)</f>
        <v/>
      </c>
      <c r="Q1517">
        <f>IFERROR(1/IF(Inputs!$B$38="pvp",15,MAX(0.1,Skills!D6-IF(Skills!E6=TRUE,Inputs!$B$32,0))),0)</f>
        <v/>
      </c>
      <c r="R1517">
        <f>IF(AND(Inputs!$B$38&lt;&gt;"pvp",Inputs!$B$43&gt;0),IF(MAX(0,Inputs!$B$43-B1550)&lt;=0,0,(INT(MAX(0,Inputs!$B$43-B1550)/IF(Inputs!$B$38="pvp",15,MAX(0.1,Skills!D6-IF(Skills!E6=TRUE,Inputs!$B$32,0))))+1)),0)</f>
        <v/>
      </c>
      <c r="S1517">
        <f>IFERROR((H1517*N1517*IF(AND(Inputs!$B$38&lt;&gt;"pvp",Inputs!$B$43&gt;0),((Skills!G6*((R1517-1)*IF(Skills!H6&gt;0,Skills!I6/Skills!H6,1)+IF(Skills!H6&gt;0,MIN(Skills!I6,MAX(0,MAX(0,Inputs!$B$43-B1550)-((R1517-1)*IF(Inputs!$B$38="pvp",15,MAX(0.1,Skills!D6-IF(Skills!E6=TRUE,Inputs!$B$32,0))))))/Skills!H6,1)))/Inputs!$B$43),G1517*Q1517))/N1517*IF(Inputs!$B$38="pvp",1,(1-Summary!$B$11)*1+Summary!$B$11*(MIN(Skills!R6,Inputs!$B$37))),0)</f>
        <v/>
      </c>
      <c r="T1517">
        <f>IF(C1517,(H1517*N1517*IF(AND(Inputs!$B$38&lt;&gt;"pvp",Inputs!$B$43&gt;0),((Skills!G6*((R1517-1)*IF(Skills!H6&gt;0,Skills!I6/Skills!H6,1)+IF(Skills!H6&gt;0,MIN(Skills!I6,MAX(0,MAX(0,Inputs!$B$43-B1550)-((R1517-1)*IF(Inputs!$B$38="pvp",15,MAX(0.1,Skills!D6-IF(Skills!E6=TRUE,Inputs!$B$32,0))))))/Skills!H6,1)))/Inputs!$B$43),G1517*Q1517))*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Hunt"),CHOOSE(ArtifactsInput!$N$35+1,15,18,21,24,27,30)*(1-EXP(-(0.2*B1545)*5)),0)+IF(AND(ArtifactsInput!$M$22,Inputs!$B$4&lt;&gt;"Chapter Hunt"),CHOOSE(ArtifactsInput!$N$22+1,10,12,14,16,18,20)*((0*(((0.15*B1545*5))^0/1)+1*(((0.15*B1545*5))^1/1)+2*(((0.15*B1545*5))^2/2)+3*(((0.15*B1545*5))^3/6)+4*(((0.15*B1545*5))^4/24)+5*(((0.15*B1545*5))^5/120))/((((0.15*B1545*5))^0/1)+(((0.15*B1545*5))^1/1)+(((0.15*B1545*5))^2/2)+(((0.15*B1545*5))^3/6)+(((0.15*B1545*5))^4/24)+(((0.15*B1545*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1517*(1-MIN(100,(Inputs!$B$9+((C1530=TRUE)*(F1530-Calc!F19))+B1543+(ArtifactsInput!$M$24-ArtifactsInput!$M$24)*CHOOSE(ArtifactsInput!$N$24+1,10,12,14,16,18,20)+(IF(AND(ArtifactsInput!$M$42,((Inputs!$B$9+((C1530=TRUE)*(F1530-Calc!F19))+B1543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1517*(MIN(100,(Inputs!$B$9+((C1530=TRUE)*(F1530-Calc!F19))+B1543+(ArtifactsInput!$M$24-ArtifactsInput!$M$24)*CHOOSE(ArtifactsInput!$N$24+1,10,12,14,16,18,20)+(IF(AND(ArtifactsInput!$M$42,((Inputs!$B$9+((C1530=TRUE)*(F1530-Calc!F19))+B1543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1517*(1-MIN(100,(Inputs!$B$9+((C1530=TRUE)*(F1530-Calc!F19))+B1543+(ArtifactsInput!$M$24-ArtifactsInput!$M$24)*CHOOSE(ArtifactsInput!$N$24+1,10,12,14,16,18,20)+(IF(AND(ArtifactsInput!$M$42,((Inputs!$B$9+((C1530=TRUE)*(F1530-Calc!F19))+B1543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1517*(MIN(100,(Inputs!$B$9+((C1530=TRUE)*(F1530-Calc!F19))+B1543+(ArtifactsInput!$M$24-ArtifactsInput!$M$24)*CHOOSE(ArtifactsInput!$N$24+1,10,12,14,16,18,20)+(IF(AND(ArtifactsInput!$M$42,((Inputs!$B$9+((C1530=TRUE)*(F1530-Calc!F19))+B1543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517">
        <f>IF(C1517,(H1517*N1517*IF(AND(Inputs!$B$38&lt;&gt;"pvp",Inputs!$B$43&gt;0),((Skills!G6*((R1517-1)*IF(Skills!H6&gt;0,Skills!I6/Skills!H6,1)+IF(Skills!H6&gt;0,MIN(Skills!I6,MAX(0,MAX(0,Inputs!$B$43-B1550)-((R1517-1)*IF(Inputs!$B$38="pvp",15,MAX(0.1,Skills!D6-IF(Skills!E6=TRUE,Inputs!$B$32,0))))))/Skills!H6,1)))/Inputs!$B$43),G1517*Q1517))*IF(Inputs!$B$38="pvp",1,(1+(Inputs!$B$21+Skills!Q6+(IF(ArtifactsInput!$M$33,CHOOSE(ArtifactsInput!$N$33+1,30,36,42,48,54,60),0))+(IF(AND(ArtifactsInput!$M$35,Inputs!$B$4&lt;&gt;"Chapter Hunt"),CHOOSE(ArtifactsInput!$N$35+1,15,18,21,24,27,30)*(1-EXP(-(0.2*B1545)*5)),0)+IF(AND(ArtifactsInput!$M$22,Inputs!$B$4&lt;&gt;"Chapter Hunt"),CHOOSE(ArtifactsInput!$N$22+1,10,12,14,16,18,20)*((0*(((0.15*B1545*5))^0/1)+1*(((0.15*B1545*5))^1/1)+2*(((0.15*B1545*5))^2/2)+3*(((0.15*B1545*5))^3/6)+4*(((0.15*B1545*5))^4/24)+5*(((0.15*B1545*5))^5/120))/((((0.15*B1545*5))^0/1)+(((0.15*B1545*5))^1/1)+(((0.15*B1545*5))^2/2)+(((0.15*B1545*5))^3/6)+(((0.15*B1545*5))^4/24)+(((0.15*B1545*5))^5/120))),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518">
      <c r="A1518">
        <f>Skills!A7</f>
        <v/>
      </c>
      <c r="B1518">
        <f>Skills!B7</f>
        <v/>
      </c>
      <c r="C1518">
        <f>Inputs!$B$3&gt;=69</f>
        <v/>
      </c>
      <c r="D1518">
        <f>IF(Skills!C7=1,60+Inputs!$B$25+Inputs!$B$29,IF(Skills!C7=2,90+Inputs!$B$26+Inputs!$B$29,IF(Skills!C7=3,120+Inputs!$B$27+Inputs!$B$29,MAX(0,(Inputs!$B$3-100)*3)+Inputs!$B$28+Inputs!$B$29)))</f>
        <v/>
      </c>
      <c r="E1518">
        <f>INDEX(FactorTable!$B$2:$Y$301, MATCH(ROUND(MIN(300,MAX(1,D1518)),0), FactorTable!$A$2:$A$301,0), Skills!M7+1)</f>
        <v/>
      </c>
      <c r="F1518">
        <f>IF(Skills!N7=TRUE,(Skills!L7/10)*(E1518/1000),Skills!L7/10)+Skills!O7</f>
        <v/>
      </c>
      <c r="G1518">
        <f>Skills!G7*IF(Skills!H7&gt;0,Skills!I7/Skills!H7,1)</f>
        <v/>
      </c>
      <c r="H1518">
        <f>1-(1-Skills!J7/100)^Skills!K7</f>
        <v/>
      </c>
      <c r="I1518" t="inlineStr">
        <is>
          <t>1</t>
        </is>
      </c>
      <c r="J1518">
        <f>((Inputs!$B$6*(1+Inputs!$B$7/100))+(((Inputs!$B$12*(1+Inputs!$B$13/100))-(Inputs!$B$12*(1+Inputs!$B$13/100)))+0.25*(Inputs!$B$14-Inputs!$B$14))*(1+Inputs!$B$7/100))*(F1518/100)</f>
        <v/>
      </c>
      <c r="K1518">
        <f>J1518*(1+((Inputs!$B$12*(1+Inputs!$B$13/100))*0.01+Inputs!$B$14*0.0025)/100)*(1+Inputs!$B$15/100)*(1+Inputs!$B$16/100)*(5000/(6000+Inputs!$B$42*(1-(100*(1-(1-(Inputs!$B$19+0)/100)*(1-CHOOSE(ArtifactsInput!$N$40+1,5,6,7,8,9,10)/100)^(ArtifactsInput!$M$40-ArtifactsInput!$M$40)))/100)))*(1+(Inputs!$B$24+((C1535=TRUE)*(F1535-Calc!F24))+((C1536=TRUE)*(F1536-Calc!F25))+B1549)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+1.2*IF(C1519=TRUE,F1519,0)/100)*(1+(IF(Skills!A7="EMPOWERED_PIERCING_ARROW",Inputs!$B$17+((C1533=TRUE)*(F1533-Calc!F22))+(((IF(AND(ArtifactsInput!$M$42,((Inputs!$B$9+((C1530=TRUE)*(F1530-Calc!F19))+B1543+(ArtifactsInput!$M$24-ArtifactsInput!$M$24)*CHOOSE(ArtifactsInput!$N$24+1,10,12,14,16,18,20)+IF(ArtifactsInput!$M$10,CHOOSE(ArtifactsInput!$N$10+1,15,18,21,24,27,30)*(IF(Inputs!$B$38="pvp",MIN(15,15)/15,IF(AND(Inputs!$B$38&lt;&gt;"pvp",Inputs!$B$43&gt;0),MIN(15,Inputs!$B$43)/(Inputs!$B$43),0))),0)))&gt;=100),MIN(100,((Inputs!$B$9+((C1530=TRUE)*(F1530-Calc!F19))+B1543+(ArtifactsInput!$M$24-ArtifactsInput!$M$24)*CHOOSE(ArtifactsInput!$N$24+1,10,12,14,16,18,20)+IF(ArtifactsInput!$M$10,CHOOSE(ArtifactsInput!$N$10+1,15,18,21,24,27,30)*(IF(Inputs!$B$38="pvp",MIN(15,15)/15,IF(AND(Inputs!$B$38&lt;&gt;"pvp",Inputs!$B$43&gt;0),MIN(15,Inputs!$B$43)/(Inputs!$B$43),0))),0)))-100),0))*CHOOSE(ArtifactsInput!$N$42+1,0.6,0.72,0.84,0.96,1.08,1.2))),Inputs!$B$18+((C1538=TRUE)*(F1538-Calc!F27))+(IF(AND(ArtifactsInput!$M$42,((Inputs!$B$9+((C1530=TRUE)*(F1530-Calc!F19))+B1543+(ArtifactsInput!$M$24-ArtifactsInput!$M$24)*CHOOSE(ArtifactsInput!$N$24+1,10,12,14,16,18,20)+IF(ArtifactsInput!$M$10,CHOOSE(ArtifactsInput!$N$10+1,15,18,21,24,27,30)*(IF(Inputs!$B$38="pvp",MIN(15,15)/15,IF(AND(Inputs!$B$38&lt;&gt;"pvp",Inputs!$B$43&gt;0),MIN(15,Inputs!$B$43)/(Inputs!$B$43),0))),0)))&gt;=100),CHOOSE(ArtifactsInput!$N$42+1,40,48,56,64,72,80),0))))/100)*((1+(((C1524=TRUE)*F1524)+((C1525=TRUE)*IF(Inputs!$B$38="pvp",F1525,(1-Summary!$B$11)*(F1525)+Summary!$B$11*(0)))+((C1526=TRUE)*F1526*IF(AND(Inputs!$B$38&lt;&gt;"pvp",Inputs!$B$43&gt;0),(((R1526-1)*(Skills!T15*(1+Inputs!$B$34/100))+MIN((Skills!T15*(1+Inputs!$B$34/100)),MAX(0,Inputs!$B$43-((R1526-1)*Skills!D15))))/Inputs!$B$43),IF(Inputs!$B$38="pvp",MIN((Skills!T15*(1+Inputs!$B$34/100)),15)/15,(Skills!T15*(1+Inputs!$B$34/100))/Skills!D15)))+((C1523=TRUE)*F1523)+((C1540=TRUE)*(F1540-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1518)</f>
        <v/>
      </c>
      <c r="L1518">
        <f>K1518*(MIN(Inputs!$B$22+((C1534=TRUE)*(F1534-Calc!F23)),(Inputs!$B$23+((C1539=TRUE)*(F1539-Calc!F28))+(IF(ArtifactsInput!$M$15,CHOOSE(ArtifactsInput!$N$15+1,25,30,35,40,45,50)/100*(Inputs!$B$11-Inputs!$B$11),0))))/100+(Inputs!$B$23+((C1539=TRUE)*(F1539-Calc!F28))+(IF(ArtifactsInput!$M$15,CHOOSE(ArtifactsInput!$N$15+1,25,30,35,40,45,50)/100*(Inputs!$B$11-Inputs!$B$11),0)))/100)/2</f>
        <v/>
      </c>
      <c r="M1518">
        <f>L1518*(1+(Inputs!$B$10+0+B1548+(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518">
        <f>L1518*(1-MIN((Inputs!$B$9+((C1530=TRUE)*(F1530-Calc!F19))+B1543+(ArtifactsInput!$M$24-ArtifactsInput!$M$24)*CHOOSE(ArtifactsInput!$N$24+1,10,12,14,16,18,20)+(IF(AND(ArtifactsInput!$M$42,((Inputs!$B$9+((C1530=TRUE)*(F1530-Calc!F19))+B1543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1518*(MIN((Inputs!$B$9+((C1530=TRUE)*(F1530-Calc!F19))+B1543+(ArtifactsInput!$M$24-ArtifactsInput!$M$24)*CHOOSE(ArtifactsInput!$N$24+1,10,12,14,16,18,20)+(IF(AND(ArtifactsInput!$M$42,((Inputs!$B$9+((C1530=TRUE)*(F1530-Calc!F19))+B1543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518">
        <f>(1-Summary!$B$11)*T1518+Summary!$B$11*V1518</f>
        <v/>
      </c>
      <c r="P1518">
        <f>IF(B1553=0,0,O1518/B1553)</f>
        <v/>
      </c>
      <c r="Q1518">
        <f>IFERROR(1/IF(Inputs!$B$38="pvp",15,MAX(0.1,Skills!D7-IF(Skills!E7=TRUE,Inputs!$B$32,0))),0)</f>
        <v/>
      </c>
      <c r="R1518">
        <f>IF(AND(Inputs!$B$38&lt;&gt;"pvp",Inputs!$B$43&gt;0),IF(MAX(0,Inputs!$B$43-B1550)&lt;=0,0,(INT(MAX(0,Inputs!$B$43-B1550)/IF(Inputs!$B$38="pvp",15,MAX(0.1,Skills!D7-IF(Skills!E7=TRUE,Inputs!$B$32,0))))+1)),0)</f>
        <v/>
      </c>
      <c r="S1518">
        <f>IFERROR((H1518*N1518*IF(AND(Inputs!$B$38&lt;&gt;"pvp",Inputs!$B$43&gt;0),((Skills!G7*((R1518-1)*IF(Skills!H7&gt;0,Skills!I7/Skills!H7,1)+IF(Skills!H7&gt;0,MIN(Skills!I7,MAX(0,MAX(0,Inputs!$B$43-B1550)-((R1518-1)*IF(Inputs!$B$38="pvp",15,MAX(0.1,Skills!D7-IF(Skills!E7=TRUE,Inputs!$B$32,0))))))/Skills!H7,1)))/Inputs!$B$43),G1518*Q1518))/N1518*IF(Inputs!$B$38="pvp",1,(1-Summary!$B$11)*1+Summary!$B$11*(MIN(Skills!R7,Inputs!$B$37))),0)</f>
        <v/>
      </c>
      <c r="T1518">
        <f>IF(C1518,(H1518*N1518*IF(AND(Inputs!$B$38&lt;&gt;"pvp",Inputs!$B$43&gt;0),((Skills!G7*((R1518-1)*IF(Skills!H7&gt;0,Skills!I7/Skills!H7,1)+IF(Skills!H7&gt;0,MIN(Skills!I7,MAX(0,MAX(0,Inputs!$B$43-B1550)-((R1518-1)*IF(Inputs!$B$38="pvp",15,MAX(0.1,Skills!D7-IF(Skills!E7=TRUE,Inputs!$B$32,0))))))/Skills!H7,1)))/Inputs!$B$43),G1518*Q1518))*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Hunt"),CHOOSE(ArtifactsInput!$N$35+1,15,18,21,24,27,30)*(1-EXP(-(0.2*B1545)*5)),0)+IF(AND(ArtifactsInput!$M$22,Inputs!$B$4&lt;&gt;"Chapter Hunt"),CHOOSE(ArtifactsInput!$N$22+1,10,12,14,16,18,20)*((0*(((0.15*B1545*5))^0/1)+1*(((0.15*B1545*5))^1/1)+2*(((0.15*B1545*5))^2/2)+3*(((0.15*B1545*5))^3/6)+4*(((0.15*B1545*5))^4/24)+5*(((0.15*B1545*5))^5/120))/((((0.15*B1545*5))^0/1)+(((0.15*B1545*5))^1/1)+(((0.15*B1545*5))^2/2)+(((0.15*B1545*5))^3/6)+(((0.15*B1545*5))^4/24)+(((0.15*B1545*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1518*(1-MIN(100,(Inputs!$B$9+((C1530=TRUE)*(F1530-Calc!F19))+B1543+(ArtifactsInput!$M$24-ArtifactsInput!$M$24)*CHOOSE(ArtifactsInput!$N$24+1,10,12,14,16,18,20)+(IF(AND(ArtifactsInput!$M$42,((Inputs!$B$9+((C1530=TRUE)*(F1530-Calc!F19))+B1543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1518*(MIN(100,(Inputs!$B$9+((C1530=TRUE)*(F1530-Calc!F19))+B1543+(ArtifactsInput!$M$24-ArtifactsInput!$M$24)*CHOOSE(ArtifactsInput!$N$24+1,10,12,14,16,18,20)+(IF(AND(ArtifactsInput!$M$42,((Inputs!$B$9+((C1530=TRUE)*(F1530-Calc!F19))+B1543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1518*(1-MIN(100,(Inputs!$B$9+((C1530=TRUE)*(F1530-Calc!F19))+B1543+(ArtifactsInput!$M$24-ArtifactsInput!$M$24)*CHOOSE(ArtifactsInput!$N$24+1,10,12,14,16,18,20)+(IF(AND(ArtifactsInput!$M$42,((Inputs!$B$9+((C1530=TRUE)*(F1530-Calc!F19))+B1543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1518*(MIN(100,(Inputs!$B$9+((C1530=TRUE)*(F1530-Calc!F19))+B1543+(ArtifactsInput!$M$24-ArtifactsInput!$M$24)*CHOOSE(ArtifactsInput!$N$24+1,10,12,14,16,18,20)+(IF(AND(ArtifactsInput!$M$42,((Inputs!$B$9+((C1530=TRUE)*(F1530-Calc!F19))+B1543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518">
        <f>IF(C1518,(H1518*N1518*IF(AND(Inputs!$B$38&lt;&gt;"pvp",Inputs!$B$43&gt;0),((Skills!G7*((R1518-1)*IF(Skills!H7&gt;0,Skills!I7/Skills!H7,1)+IF(Skills!H7&gt;0,MIN(Skills!I7,MAX(0,MAX(0,Inputs!$B$43-B1550)-((R1518-1)*IF(Inputs!$B$38="pvp",15,MAX(0.1,Skills!D7-IF(Skills!E7=TRUE,Inputs!$B$32,0))))))/Skills!H7,1)))/Inputs!$B$43),G1518*Q1518))*IF(Inputs!$B$38="pvp",1,(1+(Inputs!$B$21+Skills!Q7+(IF(ArtifactsInput!$M$33,CHOOSE(ArtifactsInput!$N$33+1,30,36,42,48,54,60),0))+(IF(AND(ArtifactsInput!$M$35,Inputs!$B$4&lt;&gt;"Chapter Hunt"),CHOOSE(ArtifactsInput!$N$35+1,15,18,21,24,27,30)*(1-EXP(-(0.2*B1545)*5)),0)+IF(AND(ArtifactsInput!$M$22,Inputs!$B$4&lt;&gt;"Chapter Hunt"),CHOOSE(ArtifactsInput!$N$22+1,10,12,14,16,18,20)*((0*(((0.15*B1545*5))^0/1)+1*(((0.15*B1545*5))^1/1)+2*(((0.15*B1545*5))^2/2)+3*(((0.15*B1545*5))^3/6)+4*(((0.15*B1545*5))^4/24)+5*(((0.15*B1545*5))^5/120))/((((0.15*B1545*5))^0/1)+(((0.15*B1545*5))^1/1)+(((0.15*B1545*5))^2/2)+(((0.15*B1545*5))^3/6)+(((0.15*B1545*5))^4/24)+(((0.15*B1545*5))^5/120))),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519">
      <c r="A1519">
        <f>Skills!A8</f>
        <v/>
      </c>
      <c r="B1519">
        <f>Skills!B8</f>
        <v/>
      </c>
      <c r="C1519">
        <f>Inputs!$B$3&gt;=100</f>
        <v/>
      </c>
      <c r="D1519">
        <f>IF(Skills!C8=1,60+Inputs!$B$25+Inputs!$B$29,IF(Skills!C8=2,90+Inputs!$B$26+Inputs!$B$29,IF(Skills!C8=3,120+Inputs!$B$27+Inputs!$B$29,MAX(0,(Inputs!$B$3-100)*3)+Inputs!$B$28+Inputs!$B$29)))</f>
        <v/>
      </c>
      <c r="E1519">
        <f>INDEX(FactorTable!$B$2:$Y$301, MATCH(ROUND(MIN(300,MAX(1,D1519)),0), FactorTable!$A$2:$A$301,0), Skills!M8+1)</f>
        <v/>
      </c>
      <c r="F1519">
        <f>IF(Skills!N8=TRUE,(Skills!L8/10)*(E1519/1000),Skills!L8/10)+Skills!O8</f>
        <v/>
      </c>
      <c r="G1519" t="inlineStr"/>
      <c r="H1519" t="inlineStr"/>
      <c r="I1519" t="inlineStr">
        <is>
          <t>1</t>
        </is>
      </c>
      <c r="J1519" t="inlineStr"/>
      <c r="K1519" t="inlineStr"/>
      <c r="L1519" t="inlineStr"/>
      <c r="M1519" t="inlineStr"/>
      <c r="N1519" t="inlineStr"/>
      <c r="O1519" t="inlineStr"/>
      <c r="P1519" t="inlineStr"/>
      <c r="Q1519" t="inlineStr"/>
      <c r="R1519" t="inlineStr"/>
      <c r="S1519" t="inlineStr"/>
      <c r="T1519" t="inlineStr"/>
      <c r="V1519" t="inlineStr"/>
    </row>
    <row r="1520">
      <c r="A1520">
        <f>Skills!A9</f>
        <v/>
      </c>
      <c r="B1520">
        <f>Skills!B9</f>
        <v/>
      </c>
      <c r="C1520">
        <f>Inputs!$B$3&gt;=103</f>
        <v/>
      </c>
      <c r="D1520">
        <f>IF(Skills!C9=1,60+Inputs!$B$25+Inputs!$B$29,IF(Skills!C9=2,90+Inputs!$B$26+Inputs!$B$29,IF(Skills!C9=3,120+Inputs!$B$27+Inputs!$B$29,MAX(0,(Inputs!$B$3-100)*3)+Inputs!$B$28+Inputs!$B$29)))</f>
        <v/>
      </c>
      <c r="E1520">
        <f>INDEX(FactorTable!$B$2:$Y$301, MATCH(ROUND(MIN(300,MAX(1,D1520)),0), FactorTable!$A$2:$A$301,0), Skills!M9+1)</f>
        <v/>
      </c>
      <c r="F1520">
        <f>IF(Skills!N9=TRUE,(Skills!L9/10)*(E1520/1000),Skills!L9/10)+Skills!O9</f>
        <v/>
      </c>
      <c r="G1520">
        <f>Skills!G9*IF(Skills!H9&gt;0,Skills!I9/Skills!H9,1)</f>
        <v/>
      </c>
      <c r="H1520">
        <f>1-(1-Skills!J9/100)^Skills!K9</f>
        <v/>
      </c>
      <c r="I1520" t="inlineStr">
        <is>
          <t>1</t>
        </is>
      </c>
      <c r="J1520">
        <f>((Inputs!$B$6*(1+Inputs!$B$7/100))+(((Inputs!$B$12*(1+Inputs!$B$13/100))-(Inputs!$B$12*(1+Inputs!$B$13/100)))+0.25*(Inputs!$B$14-Inputs!$B$14))*(1+Inputs!$B$7/100))*(F1520/100)</f>
        <v/>
      </c>
      <c r="K1520">
        <f>J1520*(1+((Inputs!$B$12*(1+Inputs!$B$13/100))*0.01+Inputs!$B$14*0.0025)/100)*(1+Inputs!$B$15/100)*(1+Inputs!$B$16/100)*(5000/(6000+Inputs!$B$42*(1-(100*(1-(1-(Inputs!$B$19+0)/100)*(1-CHOOSE(ArtifactsInput!$N$40+1,5,6,7,8,9,10)/100)^(ArtifactsInput!$M$40-ArtifactsInput!$M$40)))/100)))*(1+(Inputs!$B$24+((C1535=TRUE)*(F1535-Calc!F24))+((C1536=TRUE)*(F1536-Calc!F25))+B1549)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EMPOWERED_PIERCING_ARROW",Inputs!$B$17+((C1533=TRUE)*(F1533-Calc!F22))+(((IF(AND(ArtifactsInput!$M$42,((Inputs!$B$9+((C1530=TRUE)*(F1530-Calc!F19))+B1543+(ArtifactsInput!$M$24-ArtifactsInput!$M$24)*CHOOSE(ArtifactsInput!$N$24+1,10,12,14,16,18,20)+IF(ArtifactsInput!$M$10,CHOOSE(ArtifactsInput!$N$10+1,15,18,21,24,27,30)*(IF(Inputs!$B$38="pvp",MIN(15,15)/15,IF(AND(Inputs!$B$38&lt;&gt;"pvp",Inputs!$B$43&gt;0),MIN(15,Inputs!$B$43)/(Inputs!$B$43),0))),0)))&gt;=100),MIN(100,((Inputs!$B$9+((C1530=TRUE)*(F1530-Calc!F19))+B1543+(ArtifactsInput!$M$24-ArtifactsInput!$M$24)*CHOOSE(ArtifactsInput!$N$24+1,10,12,14,16,18,20)+IF(ArtifactsInput!$M$10,CHOOSE(ArtifactsInput!$N$10+1,15,18,21,24,27,30)*(IF(Inputs!$B$38="pvp",MIN(15,15)/15,IF(AND(Inputs!$B$38&lt;&gt;"pvp",Inputs!$B$43&gt;0),MIN(15,Inputs!$B$43)/(Inputs!$B$43),0))),0)))-100),0))*CHOOSE(ArtifactsInput!$N$42+1,0.6,0.72,0.84,0.96,1.08,1.2))),Inputs!$B$18+((C1538=TRUE)*(F1538-Calc!F27))+(IF(AND(ArtifactsInput!$M$42,((Inputs!$B$9+((C1530=TRUE)*(F1530-Calc!F19))+B1543+(ArtifactsInput!$M$24-ArtifactsInput!$M$24)*CHOOSE(ArtifactsInput!$N$24+1,10,12,14,16,18,20)+IF(ArtifactsInput!$M$10,CHOOSE(ArtifactsInput!$N$10+1,15,18,21,24,27,30)*(IF(Inputs!$B$38="pvp",MIN(15,15)/15,IF(AND(Inputs!$B$38&lt;&gt;"pvp",Inputs!$B$43&gt;0),MIN(15,Inputs!$B$43)/(Inputs!$B$43),0))),0)))&gt;=100),CHOOSE(ArtifactsInput!$N$42+1,40,48,56,64,72,80),0))))/100)*((1+(((C1524=TRUE)*F1524)+((C1525=TRUE)*IF(Inputs!$B$38="pvp",F1525,(1-Summary!$B$11)*(F1525)+Summary!$B$11*(0)))+((C1526=TRUE)*F1526*IF(AND(Inputs!$B$38&lt;&gt;"pvp",Inputs!$B$43&gt;0),(((R1526-1)*(Skills!T15*(1+Inputs!$B$34/100))+MIN((Skills!T15*(1+Inputs!$B$34/100)),MAX(0,Inputs!$B$43-((R1526-1)*Skills!D15))))/Inputs!$B$43),IF(Inputs!$B$38="pvp",MIN((Skills!T15*(1+Inputs!$B$34/100)),15)/15,(Skills!T15*(1+Inputs!$B$34/100))/Skills!D15)))+((C1523=TRUE)*F1523)+((C1540=TRUE)*(F1540-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1520)</f>
        <v/>
      </c>
      <c r="L1520">
        <f>K1520*(MIN(Inputs!$B$22+((C1534=TRUE)*(F1534-Calc!F23)),(Inputs!$B$23+((C1539=TRUE)*(F1539-Calc!F28))+(IF(ArtifactsInput!$M$15,CHOOSE(ArtifactsInput!$N$15+1,25,30,35,40,45,50)/100*(Inputs!$B$11-Inputs!$B$11),0))))/100+(Inputs!$B$23+((C1539=TRUE)*(F1539-Calc!F28))+(IF(ArtifactsInput!$M$15,CHOOSE(ArtifactsInput!$N$15+1,25,30,35,40,45,50)/100*(Inputs!$B$11-Inputs!$B$11),0)))/100)/2</f>
        <v/>
      </c>
      <c r="M1520">
        <f>L1520*(1+(Inputs!$B$10+0+B1548+(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520">
        <f>L1520*(1-MIN((Inputs!$B$9+((C1530=TRUE)*(F1530-Calc!F19))+B1543+(ArtifactsInput!$M$24-ArtifactsInput!$M$24)*CHOOSE(ArtifactsInput!$N$24+1,10,12,14,16,18,20)+(IF(AND(ArtifactsInput!$M$42,((Inputs!$B$9+((C1530=TRUE)*(F1530-Calc!F19))+B1543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1520*(MIN((Inputs!$B$9+((C1530=TRUE)*(F1530-Calc!F19))+B1543+(ArtifactsInput!$M$24-ArtifactsInput!$M$24)*CHOOSE(ArtifactsInput!$N$24+1,10,12,14,16,18,20)+(IF(AND(ArtifactsInput!$M$42,((Inputs!$B$9+((C1530=TRUE)*(F1530-Calc!F19))+B1543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520">
        <f>(1-Summary!$B$11)*T1520+Summary!$B$11*V1520</f>
        <v/>
      </c>
      <c r="P1520">
        <f>IF(B1553=0,0,O1520/B1553)</f>
        <v/>
      </c>
      <c r="Q1520">
        <f>IFERROR(1/IF(Inputs!$B$38="pvp",15,MAX(0.1,Skills!D9-IF(Skills!E9=TRUE,Inputs!$B$32,0))),0)</f>
        <v/>
      </c>
      <c r="R1520">
        <f>IF(AND(Inputs!$B$38&lt;&gt;"pvp",Inputs!$B$43&gt;0),IF(MAX(0,Inputs!$B$43-B1550)&lt;=0,0,(INT(MAX(0,Inputs!$B$43-B1550)/IF(Inputs!$B$38="pvp",15,MAX(0.1,Skills!D9-IF(Skills!E9=TRUE,Inputs!$B$32,0))))+1)),0)</f>
        <v/>
      </c>
      <c r="S1520">
        <f>IFERROR((H1520*N1520*IF(AND(Inputs!$B$38&lt;&gt;"pvp",Inputs!$B$43&gt;0),((Skills!G9*((R1520-1)*IF(Skills!H9&gt;0,Skills!I9/Skills!H9,1)+IF(Skills!H9&gt;0,MIN(Skills!I9,MAX(0,MAX(0,Inputs!$B$43-B1550)-((R1520-1)*IF(Inputs!$B$38="pvp",15,MAX(0.1,Skills!D9-IF(Skills!E9=TRUE,Inputs!$B$32,0))))))/Skills!H9,1)))/Inputs!$B$43),G1520*Q1520))/N1520*IF(Inputs!$B$38="pvp",1,(1-Summary!$B$11)*1+Summary!$B$11*(MIN(Skills!R9,Inputs!$B$37))),0)</f>
        <v/>
      </c>
      <c r="T1520">
        <f>IF(C1520,(H1520*N1520*IF(AND(Inputs!$B$38&lt;&gt;"pvp",Inputs!$B$43&gt;0),((Skills!G9*((R1520-1)*IF(Skills!H9&gt;0,Skills!I9/Skills!H9,1)+IF(Skills!H9&gt;0,MIN(Skills!I9,MAX(0,MAX(0,Inputs!$B$43-B1550)-((R1520-1)*IF(Inputs!$B$38="pvp",15,MAX(0.1,Skills!D9-IF(Skills!E9=TRUE,Inputs!$B$32,0))))))/Skills!H9,1)))/Inputs!$B$43),G1520*Q1520))*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Hunt"),CHOOSE(ArtifactsInput!$N$35+1,15,18,21,24,27,30)*(1-EXP(-(0.2*B1545)*5)),0)+IF(AND(ArtifactsInput!$M$22,Inputs!$B$4&lt;&gt;"Chapter Hunt"),CHOOSE(ArtifactsInput!$N$22+1,10,12,14,16,18,20)*((0*(((0.15*B1545*5))^0/1)+1*(((0.15*B1545*5))^1/1)+2*(((0.15*B1545*5))^2/2)+3*(((0.15*B1545*5))^3/6)+4*(((0.15*B1545*5))^4/24)+5*(((0.15*B1545*5))^5/120))/((((0.15*B1545*5))^0/1)+(((0.15*B1545*5))^1/1)+(((0.15*B1545*5))^2/2)+(((0.15*B1545*5))^3/6)+(((0.15*B1545*5))^4/24)+(((0.15*B1545*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1520*(1-MIN(100,(Inputs!$B$9+((C1530=TRUE)*(F1530-Calc!F19))+B1543+(ArtifactsInput!$M$24-ArtifactsInput!$M$24)*CHOOSE(ArtifactsInput!$N$24+1,10,12,14,16,18,20)+(IF(AND(ArtifactsInput!$M$42,((Inputs!$B$9+((C1530=TRUE)*(F1530-Calc!F19))+B1543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1520*(MIN(100,(Inputs!$B$9+((C1530=TRUE)*(F1530-Calc!F19))+B1543+(ArtifactsInput!$M$24-ArtifactsInput!$M$24)*CHOOSE(ArtifactsInput!$N$24+1,10,12,14,16,18,20)+(IF(AND(ArtifactsInput!$M$42,((Inputs!$B$9+((C1530=TRUE)*(F1530-Calc!F19))+B1543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1520*(1-MIN(100,(Inputs!$B$9+((C1530=TRUE)*(F1530-Calc!F19))+B1543+(ArtifactsInput!$M$24-ArtifactsInput!$M$24)*CHOOSE(ArtifactsInput!$N$24+1,10,12,14,16,18,20)+(IF(AND(ArtifactsInput!$M$42,((Inputs!$B$9+((C1530=TRUE)*(F1530-Calc!F19))+B1543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1520*(MIN(100,(Inputs!$B$9+((C1530=TRUE)*(F1530-Calc!F19))+B1543+(ArtifactsInput!$M$24-ArtifactsInput!$M$24)*CHOOSE(ArtifactsInput!$N$24+1,10,12,14,16,18,20)+(IF(AND(ArtifactsInput!$M$42,((Inputs!$B$9+((C1530=TRUE)*(F1530-Calc!F19))+B1543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520">
        <f>IF(C1520,(H1520*N1520*IF(AND(Inputs!$B$38&lt;&gt;"pvp",Inputs!$B$43&gt;0),((Skills!G9*((R1520-1)*IF(Skills!H9&gt;0,Skills!I9/Skills!H9,1)+IF(Skills!H9&gt;0,MIN(Skills!I9,MAX(0,MAX(0,Inputs!$B$43-B1550)-((R1520-1)*IF(Inputs!$B$38="pvp",15,MAX(0.1,Skills!D9-IF(Skills!E9=TRUE,Inputs!$B$32,0))))))/Skills!H9,1)))/Inputs!$B$43),G1520*Q1520))*IF(Inputs!$B$38="pvp",1,(1+(Inputs!$B$21+Skills!Q9+(IF(ArtifactsInput!$M$33,CHOOSE(ArtifactsInput!$N$33+1,30,36,42,48,54,60),0))+(IF(AND(ArtifactsInput!$M$35,Inputs!$B$4&lt;&gt;"Chapter Hunt"),CHOOSE(ArtifactsInput!$N$35+1,15,18,21,24,27,30)*(1-EXP(-(0.2*B1545)*5)),0)+IF(AND(ArtifactsInput!$M$22,Inputs!$B$4&lt;&gt;"Chapter Hunt"),CHOOSE(ArtifactsInput!$N$22+1,10,12,14,16,18,20)*((0*(((0.15*B1545*5))^0/1)+1*(((0.15*B1545*5))^1/1)+2*(((0.15*B1545*5))^2/2)+3*(((0.15*B1545*5))^3/6)+4*(((0.15*B1545*5))^4/24)+5*(((0.15*B1545*5))^5/120))/((((0.15*B1545*5))^0/1)+(((0.15*B1545*5))^1/1)+(((0.15*B1545*5))^2/2)+(((0.15*B1545*5))^3/6)+(((0.15*B1545*5))^4/24)+(((0.15*B1545*5))^5/120)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521">
      <c r="A1521">
        <f>Skills!A10</f>
        <v/>
      </c>
      <c r="B1521">
        <f>Skills!B10</f>
        <v/>
      </c>
      <c r="C1521">
        <f>Inputs!$B$3&gt;=107</f>
        <v/>
      </c>
      <c r="D1521">
        <f>IF(Skills!C10=1,60+Inputs!$B$25+Inputs!$B$29,IF(Skills!C10=2,90+Inputs!$B$26+Inputs!$B$29,IF(Skills!C10=3,120+Inputs!$B$27+Inputs!$B$29,MAX(0,(Inputs!$B$3-100)*3)+Inputs!$B$28+Inputs!$B$29)))</f>
        <v/>
      </c>
      <c r="E1521">
        <f>INDEX(FactorTable!$B$2:$Y$301, MATCH(ROUND(MIN(300,MAX(1,D1521)),0), FactorTable!$A$2:$A$301,0), Skills!M10+1)</f>
        <v/>
      </c>
      <c r="F1521">
        <f>IF(Skills!N10=TRUE,(Skills!L10/10)*(E1521/1000),Skills!L10/10)+Skills!O10</f>
        <v/>
      </c>
      <c r="G1521">
        <f>Skills!G10*IF(Skills!H10&gt;0,Skills!I10/Skills!H10,1)</f>
        <v/>
      </c>
      <c r="H1521">
        <f>1-(1-Skills!J10/100)^Skills!K10</f>
        <v/>
      </c>
      <c r="I1521" t="inlineStr">
        <is>
          <t>1</t>
        </is>
      </c>
      <c r="J1521">
        <f>((Inputs!$B$6*(1+Inputs!$B$7/100))+(((Inputs!$B$12*(1+Inputs!$B$13/100))-(Inputs!$B$12*(1+Inputs!$B$13/100)))+0.25*(Inputs!$B$14-Inputs!$B$14))*(1+Inputs!$B$7/100))*(F1521/100)</f>
        <v/>
      </c>
      <c r="K1521">
        <f>J1521*(1+((Inputs!$B$12*(1+Inputs!$B$13/100))*0.01+Inputs!$B$14*0.0025)/100)*(1+Inputs!$B$15/100)*(1+Inputs!$B$16/100)*(5000/(6000+Inputs!$B$42*(1-(100*(1-(1-(Inputs!$B$19+0)/100)*(1-CHOOSE(ArtifactsInput!$N$40+1,5,6,7,8,9,10)/100)^(ArtifactsInput!$M$40-ArtifactsInput!$M$40)))/100)))*(1+(Inputs!$B$24+((C1535=TRUE)*(F1535-Calc!F24))+((C1536=TRUE)*(F1536-Calc!F25))+B1549)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EMPOWERED_PIERCING_ARROW",Inputs!$B$17+((C1533=TRUE)*(F1533-Calc!F22))+(((IF(AND(ArtifactsInput!$M$42,((Inputs!$B$9+((C1530=TRUE)*(F1530-Calc!F19))+B1543+(ArtifactsInput!$M$24-ArtifactsInput!$M$24)*CHOOSE(ArtifactsInput!$N$24+1,10,12,14,16,18,20)+IF(ArtifactsInput!$M$10,CHOOSE(ArtifactsInput!$N$10+1,15,18,21,24,27,30)*(IF(Inputs!$B$38="pvp",MIN(15,15)/15,IF(AND(Inputs!$B$38&lt;&gt;"pvp",Inputs!$B$43&gt;0),MIN(15,Inputs!$B$43)/(Inputs!$B$43),0))),0)))&gt;=100),MIN(100,((Inputs!$B$9+((C1530=TRUE)*(F1530-Calc!F19))+B1543+(ArtifactsInput!$M$24-ArtifactsInput!$M$24)*CHOOSE(ArtifactsInput!$N$24+1,10,12,14,16,18,20)+IF(ArtifactsInput!$M$10,CHOOSE(ArtifactsInput!$N$10+1,15,18,21,24,27,30)*(IF(Inputs!$B$38="pvp",MIN(15,15)/15,IF(AND(Inputs!$B$38&lt;&gt;"pvp",Inputs!$B$43&gt;0),MIN(15,Inputs!$B$43)/(Inputs!$B$43),0))),0)))-100),0))*CHOOSE(ArtifactsInput!$N$42+1,0.6,0.72,0.84,0.96,1.08,1.2))),Inputs!$B$18+((C1538=TRUE)*(F1538-Calc!F27))+(IF(AND(ArtifactsInput!$M$42,((Inputs!$B$9+((C1530=TRUE)*(F1530-Calc!F19))+B1543+(ArtifactsInput!$M$24-ArtifactsInput!$M$24)*CHOOSE(ArtifactsInput!$N$24+1,10,12,14,16,18,20)+IF(ArtifactsInput!$M$10,CHOOSE(ArtifactsInput!$N$10+1,15,18,21,24,27,30)*(IF(Inputs!$B$38="pvp",MIN(15,15)/15,IF(AND(Inputs!$B$38&lt;&gt;"pvp",Inputs!$B$43&gt;0),MIN(15,Inputs!$B$43)/(Inputs!$B$43),0))),0)))&gt;=100),CHOOSE(ArtifactsInput!$N$42+1,40,48,56,64,72,80),0))))/100)*((1+(((C1524=TRUE)*F1524)+((C1525=TRUE)*IF(Inputs!$B$38="pvp",F1525,(1-Summary!$B$11)*(F1525)+Summary!$B$11*(0)))+((C1526=TRUE)*F1526*IF(AND(Inputs!$B$38&lt;&gt;"pvp",Inputs!$B$43&gt;0),(((R1526-1)*(Skills!T15*(1+Inputs!$B$34/100))+MIN((Skills!T15*(1+Inputs!$B$34/100)),MAX(0,Inputs!$B$43-((R1526-1)*Skills!D15))))/Inputs!$B$43),IF(Inputs!$B$38="pvp",MIN((Skills!T15*(1+Inputs!$B$34/100)),15)/15,(Skills!T15*(1+Inputs!$B$34/100))/Skills!D15)))+((C1523=TRUE)*F1523)+((C1540=TRUE)*(F1540-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1521)</f>
        <v/>
      </c>
      <c r="L1521">
        <f>K1521*(MIN(Inputs!$B$22+((C1534=TRUE)*(F1534-Calc!F23)),(Inputs!$B$23+((C1539=TRUE)*(F1539-Calc!F28))+(IF(ArtifactsInput!$M$15,CHOOSE(ArtifactsInput!$N$15+1,25,30,35,40,45,50)/100*(Inputs!$B$11-Inputs!$B$11),0))))/100+(Inputs!$B$23+((C1539=TRUE)*(F1539-Calc!F28))+(IF(ArtifactsInput!$M$15,CHOOSE(ArtifactsInput!$N$15+1,25,30,35,40,45,50)/100*(Inputs!$B$11-Inputs!$B$11),0)))/100)/2</f>
        <v/>
      </c>
      <c r="M1521">
        <f>L1521*(1+(Inputs!$B$10+0+B1548+(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521">
        <f>L1521*(1-MIN((Inputs!$B$9+((C1530=TRUE)*(F1530-Calc!F19))+B1543+(ArtifactsInput!$M$24-ArtifactsInput!$M$24)*CHOOSE(ArtifactsInput!$N$24+1,10,12,14,16,18,20)+(IF(AND(ArtifactsInput!$M$42,((Inputs!$B$9+((C1530=TRUE)*(F1530-Calc!F19))+B1543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1521*(MIN((Inputs!$B$9+((C1530=TRUE)*(F1530-Calc!F19))+B1543+(ArtifactsInput!$M$24-ArtifactsInput!$M$24)*CHOOSE(ArtifactsInput!$N$24+1,10,12,14,16,18,20)+(IF(AND(ArtifactsInput!$M$42,((Inputs!$B$9+((C1530=TRUE)*(F1530-Calc!F19))+B1543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521">
        <f>(1-Summary!$B$11)*T1521+Summary!$B$11*V1521</f>
        <v/>
      </c>
      <c r="P1521">
        <f>IF(B1553=0,0,O1521/B1553)</f>
        <v/>
      </c>
      <c r="Q1521" t="n">
        <v>0</v>
      </c>
      <c r="R1521" t="n">
        <v>0</v>
      </c>
      <c r="S1521" t="n">
        <v>0</v>
      </c>
      <c r="T1521">
        <f>IF(C1521,(0.15*SUMPRODUCT((Skills!U2:U29=TRUE)*(C1513:C1540=TRUE)*S1513:S1540)*Skills!G10*N1521)*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Hunt"),CHOOSE(ArtifactsInput!$N$35+1,15,18,21,24,27,30)*(1-EXP(-(0.2*B1545)*5)),0)+IF(AND(ArtifactsInput!$M$22,Inputs!$B$4&lt;&gt;"Chapter Hunt"),CHOOSE(ArtifactsInput!$N$22+1,10,12,14,16,18,20)*((0*(((0.15*B1545*5))^0/1)+1*(((0.15*B1545*5))^1/1)+2*(((0.15*B1545*5))^2/2)+3*(((0.15*B1545*5))^3/6)+4*(((0.15*B1545*5))^4/24)+5*(((0.15*B1545*5))^5/120))/((((0.15*B1545*5))^0/1)+(((0.15*B1545*5))^1/1)+(((0.15*B1545*5))^2/2)+(((0.15*B1545*5))^3/6)+(((0.15*B1545*5))^4/24)+(((0.15*B1545*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1521*(1-MIN(100,(Inputs!$B$9+((C1530=TRUE)*(F1530-Calc!F19))+B1543+(ArtifactsInput!$M$24-ArtifactsInput!$M$24)*CHOOSE(ArtifactsInput!$N$24+1,10,12,14,16,18,20)+(IF(AND(ArtifactsInput!$M$42,((Inputs!$B$9+((C1530=TRUE)*(F1530-Calc!F19))+B1543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1521*(MIN(100,(Inputs!$B$9+((C1530=TRUE)*(F1530-Calc!F19))+B1543+(ArtifactsInput!$M$24-ArtifactsInput!$M$24)*CHOOSE(ArtifactsInput!$N$24+1,10,12,14,16,18,20)+(IF(AND(ArtifactsInput!$M$42,((Inputs!$B$9+((C1530=TRUE)*(F1530-Calc!F19))+B1543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1521*(1-MIN(100,(Inputs!$B$9+((C1530=TRUE)*(F1530-Calc!F19))+B1543+(ArtifactsInput!$M$24-ArtifactsInput!$M$24)*CHOOSE(ArtifactsInput!$N$24+1,10,12,14,16,18,20)+(IF(AND(ArtifactsInput!$M$42,((Inputs!$B$9+((C1530=TRUE)*(F1530-Calc!F19))+B1543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1521*(MIN(100,(Inputs!$B$9+((C1530=TRUE)*(F1530-Calc!F19))+B1543+(ArtifactsInput!$M$24-ArtifactsInput!$M$24)*CHOOSE(ArtifactsInput!$N$24+1,10,12,14,16,18,20)+(IF(AND(ArtifactsInput!$M$42,((Inputs!$B$9+((C1530=TRUE)*(F1530-Calc!F19))+B1543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521">
        <f>IF(C1521,(0.15*SUMPRODUCT((Skills!U2:U29=TRUE)*(C1513:C1540=TRUE)*S1513:S1540)*Skills!G10*N1521)*IF(Inputs!$B$38="pvp",1,(1+(Inputs!$B$21+Skills!Q10+(IF(ArtifactsInput!$M$33,CHOOSE(ArtifactsInput!$N$33+1,30,36,42,48,54,60),0))+(IF(AND(ArtifactsInput!$M$35,Inputs!$B$4&lt;&gt;"Chapter Hunt"),CHOOSE(ArtifactsInput!$N$35+1,15,18,21,24,27,30)*(1-EXP(-(0.2*B1545)*5)),0)+IF(AND(ArtifactsInput!$M$22,Inputs!$B$4&lt;&gt;"Chapter Hunt"),CHOOSE(ArtifactsInput!$N$22+1,10,12,14,16,18,20)*((0*(((0.15*B1545*5))^0/1)+1*(((0.15*B1545*5))^1/1)+2*(((0.15*B1545*5))^2/2)+3*(((0.15*B1545*5))^3/6)+4*(((0.15*B1545*5))^4/24)+5*(((0.15*B1545*5))^5/120))/((((0.15*B1545*5))^0/1)+(((0.15*B1545*5))^1/1)+(((0.15*B1545*5))^2/2)+(((0.15*B1545*5))^3/6)+(((0.15*B1545*5))^4/24)+(((0.15*B1545*5))^5/120)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522">
      <c r="A1522">
        <f>Skills!A11</f>
        <v/>
      </c>
      <c r="B1522">
        <f>Skills!B11</f>
        <v/>
      </c>
      <c r="C1522">
        <f>Inputs!$B$3&gt;=110</f>
        <v/>
      </c>
      <c r="D1522">
        <f>IF(Skills!C11=1,60+Inputs!$B$25+Inputs!$B$29,IF(Skills!C11=2,90+Inputs!$B$26+Inputs!$B$29,IF(Skills!C11=3,120+Inputs!$B$27+Inputs!$B$29,MAX(0,(Inputs!$B$3-100)*3)+Inputs!$B$28+Inputs!$B$29)))</f>
        <v/>
      </c>
      <c r="E1522">
        <f>INDEX(FactorTable!$B$2:$Y$301, MATCH(ROUND(MIN(300,MAX(1,D1522)),0), FactorTable!$A$2:$A$301,0), Skills!M11+1)</f>
        <v/>
      </c>
      <c r="F1522">
        <f>IF(Skills!N11=TRUE,(Skills!L11/10)*(E1522/1000),Skills!L11/10)+Skills!O11</f>
        <v/>
      </c>
      <c r="G1522">
        <f>Skills!G11*IF(Skills!H11&gt;0,Skills!I11/Skills!H11,1)</f>
        <v/>
      </c>
      <c r="H1522">
        <f>1-(1-Skills!J11/100)^Skills!K11</f>
        <v/>
      </c>
      <c r="I1522" t="inlineStr">
        <is>
          <t>1</t>
        </is>
      </c>
      <c r="J1522">
        <f>((Inputs!$B$6*(1+Inputs!$B$7/100))+(((Inputs!$B$12*(1+Inputs!$B$13/100))-(Inputs!$B$12*(1+Inputs!$B$13/100)))+0.25*(Inputs!$B$14-Inputs!$B$14))*(1+Inputs!$B$7/100))*(F1522/100)</f>
        <v/>
      </c>
      <c r="K1522">
        <f>J1522*(1+((Inputs!$B$12*(1+Inputs!$B$13/100))*0.01+Inputs!$B$14*0.0025)/100)*(1+Inputs!$B$15/100)*(1+Inputs!$B$16/100)*(5000/(6000+Inputs!$B$42*(1-(100*(1-(1-(Inputs!$B$19+0)/100)*(1-CHOOSE(ArtifactsInput!$N$40+1,5,6,7,8,9,10)/100)^(ArtifactsInput!$M$40-ArtifactsInput!$M$40)))/100)))*(1+(Inputs!$B$24+((C1535=TRUE)*(F1535-Calc!F24))+((C1536=TRUE)*(F1536-Calc!F25))+B1549)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11="EMPOWERED_PIERCING_ARROW",Inputs!$B$17+((C1533=TRUE)*(F1533-Calc!F22))+(((IF(AND(ArtifactsInput!$M$42,((Inputs!$B$9+((C1530=TRUE)*(F1530-Calc!F19))+B1543+(ArtifactsInput!$M$24-ArtifactsInput!$M$24)*CHOOSE(ArtifactsInput!$N$24+1,10,12,14,16,18,20)+IF(ArtifactsInput!$M$10,CHOOSE(ArtifactsInput!$N$10+1,15,18,21,24,27,30)*(IF(Inputs!$B$38="pvp",MIN(15,15)/15,IF(AND(Inputs!$B$38&lt;&gt;"pvp",Inputs!$B$43&gt;0),MIN(15,Inputs!$B$43)/(Inputs!$B$43),0))),0)))&gt;=100),MIN(100,((Inputs!$B$9+((C1530=TRUE)*(F1530-Calc!F19))+B1543+(ArtifactsInput!$M$24-ArtifactsInput!$M$24)*CHOOSE(ArtifactsInput!$N$24+1,10,12,14,16,18,20)+IF(ArtifactsInput!$M$10,CHOOSE(ArtifactsInput!$N$10+1,15,18,21,24,27,30)*(IF(Inputs!$B$38="pvp",MIN(15,15)/15,IF(AND(Inputs!$B$38&lt;&gt;"pvp",Inputs!$B$43&gt;0),MIN(15,Inputs!$B$43)/(Inputs!$B$43),0))),0)))-100),0))*CHOOSE(ArtifactsInput!$N$42+1,0.6,0.72,0.84,0.96,1.08,1.2))),Inputs!$B$18+((C1538=TRUE)*(F1538-Calc!F27))+(IF(AND(ArtifactsInput!$M$42,((Inputs!$B$9+((C1530=TRUE)*(F1530-Calc!F19))+B1543+(ArtifactsInput!$M$24-ArtifactsInput!$M$24)*CHOOSE(ArtifactsInput!$N$24+1,10,12,14,16,18,20)+IF(ArtifactsInput!$M$10,CHOOSE(ArtifactsInput!$N$10+1,15,18,21,24,27,30)*(IF(Inputs!$B$38="pvp",MIN(15,15)/15,IF(AND(Inputs!$B$38&lt;&gt;"pvp",Inputs!$B$43&gt;0),MIN(15,Inputs!$B$43)/(Inputs!$B$43),0))),0)))&gt;=100),CHOOSE(ArtifactsInput!$N$42+1,40,48,56,64,72,80),0))))/100)*((1+(((C1524=TRUE)*F1524)+((C1525=TRUE)*IF(Inputs!$B$38="pvp",F1525,(1-Summary!$B$11)*(F1525)+Summary!$B$11*(0)))+((C1526=TRUE)*F1526*IF(AND(Inputs!$B$38&lt;&gt;"pvp",Inputs!$B$43&gt;0),(((R1526-1)*(Skills!T15*(1+Inputs!$B$34/100))+MIN((Skills!T15*(1+Inputs!$B$34/100)),MAX(0,Inputs!$B$43-((R1526-1)*Skills!D15))))/Inputs!$B$43),IF(Inputs!$B$38="pvp",MIN((Skills!T15*(1+Inputs!$B$34/100)),15)/15,(Skills!T15*(1+Inputs!$B$34/100))/Skills!D15)))+((C1523=TRUE)*F1523)+((C1540=TRUE)*(F1540-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1522)</f>
        <v/>
      </c>
      <c r="L1522">
        <f>K1522*(MIN(Inputs!$B$22+((C1534=TRUE)*(F1534-Calc!F23)),(Inputs!$B$23+((C1539=TRUE)*(F1539-Calc!F28))+(IF(ArtifactsInput!$M$15,CHOOSE(ArtifactsInput!$N$15+1,25,30,35,40,45,50)/100*(Inputs!$B$11-Inputs!$B$11),0))))/100+(Inputs!$B$23+((C1539=TRUE)*(F1539-Calc!F28))+(IF(ArtifactsInput!$M$15,CHOOSE(ArtifactsInput!$N$15+1,25,30,35,40,45,50)/100*(Inputs!$B$11-Inputs!$B$11),0)))/100)/2</f>
        <v/>
      </c>
      <c r="M1522">
        <f>L1522*(1+(Inputs!$B$10+0+B1548+(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522">
        <f>L1522*(1-MIN((Inputs!$B$9+((C1530=TRUE)*(F1530-Calc!F19))+B1543+(ArtifactsInput!$M$24-ArtifactsInput!$M$24)*CHOOSE(ArtifactsInput!$N$24+1,10,12,14,16,18,20)+(IF(AND(ArtifactsInput!$M$42,((Inputs!$B$9+((C1530=TRUE)*(F1530-Calc!F19))+B1543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1522*(MIN((Inputs!$B$9+((C1530=TRUE)*(F1530-Calc!F19))+B1543+(ArtifactsInput!$M$24-ArtifactsInput!$M$24)*CHOOSE(ArtifactsInput!$N$24+1,10,12,14,16,18,20)+(IF(AND(ArtifactsInput!$M$42,((Inputs!$B$9+((C1530=TRUE)*(F1530-Calc!F19))+B1543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522">
        <f>(1-Summary!$B$11)*T1522+Summary!$B$11*V1522</f>
        <v/>
      </c>
      <c r="P1522">
        <f>IF(B1553=0,0,O1522/B1553)</f>
        <v/>
      </c>
      <c r="Q1522">
        <f>IFERROR(1/IF(Inputs!$B$38="pvp",15,MAX(0.1,Skills!D11-IF(Skills!E11=TRUE,Inputs!$B$32,0))),0)</f>
        <v/>
      </c>
      <c r="R1522">
        <f>IF(AND(Inputs!$B$38&lt;&gt;"pvp",Inputs!$B$43&gt;0),IF(MAX(0,Inputs!$B$43-B1550)&lt;=0,0,(INT(MAX(0,Inputs!$B$43-B1550)/IF(Inputs!$B$38="pvp",15,MAX(0.1,Skills!D11-IF(Skills!E11=TRUE,Inputs!$B$32,0))))+1)),0)</f>
        <v/>
      </c>
      <c r="S1522">
        <f>IFERROR((H1522*N1522*IF(AND(Inputs!$B$38&lt;&gt;"pvp",Inputs!$B$43&gt;0),((Skills!G11*((R1522-1)*IF(Skills!H11&gt;0,Skills!I11/Skills!H11,1)+IF(Skills!H11&gt;0,MIN(Skills!I11,MAX(0,MAX(0,Inputs!$B$43-B1550)-((R1522-1)*IF(Inputs!$B$38="pvp",15,MAX(0.1,Skills!D11-IF(Skills!E11=TRUE,Inputs!$B$32,0))))))/Skills!H11,1)))/Inputs!$B$43),G1522*Q1522))/N1522*IF(Inputs!$B$38="pvp",1,(1-Summary!$B$11)*1+Summary!$B$11*(MIN(Skills!R11,Inputs!$B$37))),0)</f>
        <v/>
      </c>
      <c r="T1522">
        <f>IF(C1522,(H1522*N1522*IF(AND(Inputs!$B$38&lt;&gt;"pvp",Inputs!$B$43&gt;0),((Skills!G11*((R1522-1)*IF(Skills!H11&gt;0,Skills!I11/Skills!H11,1)+IF(Skills!H11&gt;0,MIN(Skills!I11,MAX(0,MAX(0,Inputs!$B$43-B1550)-((R1522-1)*IF(Inputs!$B$38="pvp",15,MAX(0.1,Skills!D11-IF(Skills!E11=TRUE,Inputs!$B$32,0))))))/Skills!H11,1)))/Inputs!$B$43),G1522*Q1522))*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Hunt"),CHOOSE(ArtifactsInput!$N$35+1,15,18,21,24,27,30)*(1-EXP(-(0.2*B1545)*5)),0)+IF(AND(ArtifactsInput!$M$22,Inputs!$B$4&lt;&gt;"Chapter Hunt"),CHOOSE(ArtifactsInput!$N$22+1,10,12,14,16,18,20)*((0*(((0.15*B1545*5))^0/1)+1*(((0.15*B1545*5))^1/1)+2*(((0.15*B1545*5))^2/2)+3*(((0.15*B1545*5))^3/6)+4*(((0.15*B1545*5))^4/24)+5*(((0.15*B1545*5))^5/120))/((((0.15*B1545*5))^0/1)+(((0.15*B1545*5))^1/1)+(((0.15*B1545*5))^2/2)+(((0.15*B1545*5))^3/6)+(((0.15*B1545*5))^4/24)+(((0.15*B1545*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1522*(1-MIN(100,(Inputs!$B$9+((C1530=TRUE)*(F1530-Calc!F19))+B1543+(ArtifactsInput!$M$24-ArtifactsInput!$M$24)*CHOOSE(ArtifactsInput!$N$24+1,10,12,14,16,18,20)+(IF(AND(ArtifactsInput!$M$42,((Inputs!$B$9+((C1530=TRUE)*(F1530-Calc!F19))+B1543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1522*(MIN(100,(Inputs!$B$9+((C1530=TRUE)*(F1530-Calc!F19))+B1543+(ArtifactsInput!$M$24-ArtifactsInput!$M$24)*CHOOSE(ArtifactsInput!$N$24+1,10,12,14,16,18,20)+(IF(AND(ArtifactsInput!$M$42,((Inputs!$B$9+((C1530=TRUE)*(F1530-Calc!F19))+B1543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1522*(1-MIN(100,(Inputs!$B$9+((C1530=TRUE)*(F1530-Calc!F19))+B1543+(ArtifactsInput!$M$24-ArtifactsInput!$M$24)*CHOOSE(ArtifactsInput!$N$24+1,10,12,14,16,18,20)+(IF(AND(ArtifactsInput!$M$42,((Inputs!$B$9+((C1530=TRUE)*(F1530-Calc!F19))+B1543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1522*(MIN(100,(Inputs!$B$9+((C1530=TRUE)*(F1530-Calc!F19))+B1543+(ArtifactsInput!$M$24-ArtifactsInput!$M$24)*CHOOSE(ArtifactsInput!$N$24+1,10,12,14,16,18,20)+(IF(AND(ArtifactsInput!$M$42,((Inputs!$B$9+((C1530=TRUE)*(F1530-Calc!F19))+B1543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522">
        <f>IF(C1522,(H1522*N1522*IF(AND(Inputs!$B$38&lt;&gt;"pvp",Inputs!$B$43&gt;0),((Skills!G11*((R1522-1)*IF(Skills!H11&gt;0,Skills!I11/Skills!H11,1)+IF(Skills!H11&gt;0,MIN(Skills!I11,MAX(0,MAX(0,Inputs!$B$43-B1550)-((R1522-1)*IF(Inputs!$B$38="pvp",15,MAX(0.1,Skills!D11-IF(Skills!E11=TRUE,Inputs!$B$32,0))))))/Skills!H11,1)))/Inputs!$B$43),G1522*Q1522))*IF(Inputs!$B$38="pvp",1,(1+(Inputs!$B$21+Skills!Q11+(IF(ArtifactsInput!$M$33,CHOOSE(ArtifactsInput!$N$33+1,30,36,42,48,54,60),0))+(IF(AND(ArtifactsInput!$M$35,Inputs!$B$4&lt;&gt;"Chapter Hunt"),CHOOSE(ArtifactsInput!$N$35+1,15,18,21,24,27,30)*(1-EXP(-(0.2*B1545)*5)),0)+IF(AND(ArtifactsInput!$M$22,Inputs!$B$4&lt;&gt;"Chapter Hunt"),CHOOSE(ArtifactsInput!$N$22+1,10,12,14,16,18,20)*((0*(((0.15*B1545*5))^0/1)+1*(((0.15*B1545*5))^1/1)+2*(((0.15*B1545*5))^2/2)+3*(((0.15*B1545*5))^3/6)+4*(((0.15*B1545*5))^4/24)+5*(((0.15*B1545*5))^5/120))/((((0.15*B1545*5))^0/1)+(((0.15*B1545*5))^1/1)+(((0.15*B1545*5))^2/2)+(((0.15*B1545*5))^3/6)+(((0.15*B1545*5))^4/24)+(((0.15*B1545*5))^5/120))),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523">
      <c r="A1523">
        <f>Skills!A12</f>
        <v/>
      </c>
      <c r="B1523">
        <f>Skills!B12</f>
        <v/>
      </c>
      <c r="C1523">
        <f>Inputs!$B$3&gt;=60</f>
        <v/>
      </c>
      <c r="D1523">
        <f>IF(Skills!C12=1,60+Inputs!$B$25+Inputs!$B$29,IF(Skills!C12=2,90+Inputs!$B$26+Inputs!$B$29,IF(Skills!C12=3,120+Inputs!$B$27+Inputs!$B$29,MAX(0,(Inputs!$B$3-100)*3)+Inputs!$B$28+Inputs!$B$29)))</f>
        <v/>
      </c>
      <c r="E1523">
        <f>INDEX(FactorTable!$B$2:$Y$301, MATCH(ROUND(MIN(300,MAX(1,D1523)),0), FactorTable!$A$2:$A$301,0), Skills!M12+1)</f>
        <v/>
      </c>
      <c r="F1523">
        <f>IF(Skills!N12=TRUE,(Skills!L12/10)*(E1523/1000),Skills!L12/10)+Skills!O12</f>
        <v/>
      </c>
      <c r="G1523">
        <f>Skills!G12*IF(Skills!H12&gt;0,Skills!I12/Skills!H12,1)</f>
        <v/>
      </c>
      <c r="H1523">
        <f>1-(1-Skills!J12/100)^Skills!K12</f>
        <v/>
      </c>
      <c r="I1523" t="inlineStr">
        <is>
          <t>1</t>
        </is>
      </c>
      <c r="J1523" t="inlineStr"/>
      <c r="K1523" t="inlineStr"/>
      <c r="L1523" t="inlineStr"/>
      <c r="M1523" t="inlineStr"/>
      <c r="N1523" t="inlineStr"/>
      <c r="O1523">
        <f>(1-Summary!$B$11)*T1523+Summary!$B$11*V1523</f>
        <v/>
      </c>
      <c r="P1523">
        <f>IF(B1553=0,0,O1523/B1553)</f>
        <v/>
      </c>
      <c r="Q1523" t="n">
        <v>0</v>
      </c>
      <c r="R1523" t="n">
        <v>0</v>
      </c>
      <c r="S1523" t="n">
        <v>0</v>
      </c>
      <c r="T1523" t="n">
        <v>0</v>
      </c>
      <c r="V1523" t="n">
        <v>0</v>
      </c>
    </row>
    <row r="1524">
      <c r="A1524">
        <f>Skills!A13</f>
        <v/>
      </c>
      <c r="B1524">
        <f>Skills!B13</f>
        <v/>
      </c>
      <c r="C1524">
        <f>Inputs!$B$3&gt;=74</f>
        <v/>
      </c>
      <c r="D1524">
        <f>IF(Skills!C13=1,60+Inputs!$B$25+Inputs!$B$29,IF(Skills!C13=2,90+Inputs!$B$26+Inputs!$B$29,IF(Skills!C13=3,120+Inputs!$B$27+Inputs!$B$29,MAX(0,(Inputs!$B$3-100)*3)+Inputs!$B$28+Inputs!$B$29)))</f>
        <v/>
      </c>
      <c r="E1524">
        <f>INDEX(FactorTable!$B$2:$Y$301, MATCH(ROUND(MIN(300,MAX(1,D1524)),0), FactorTable!$A$2:$A$301,0), Skills!M13+1)</f>
        <v/>
      </c>
      <c r="F1524">
        <f>IF(Skills!N13=TRUE,(Skills!L13/10)*(E1524/1000),Skills!L13/10)+Skills!O13</f>
        <v/>
      </c>
      <c r="G1524">
        <f>Skills!G13*IF(Skills!H13&gt;0,Skills!I13/Skills!H13,1)</f>
        <v/>
      </c>
      <c r="H1524">
        <f>1-(1-Skills!J13/100)^Skills!K13</f>
        <v/>
      </c>
      <c r="I1524" t="inlineStr">
        <is>
          <t>1</t>
        </is>
      </c>
      <c r="J1524" t="inlineStr"/>
      <c r="K1524" t="inlineStr"/>
      <c r="L1524" t="inlineStr"/>
      <c r="M1524" t="inlineStr"/>
      <c r="N1524" t="inlineStr"/>
      <c r="O1524">
        <f>(1-Summary!$B$11)*T1524+Summary!$B$11*V1524</f>
        <v/>
      </c>
      <c r="P1524">
        <f>IF(B1553=0,0,O1524/B1553)</f>
        <v/>
      </c>
      <c r="Q1524" t="n">
        <v>0</v>
      </c>
      <c r="R1524" t="n">
        <v>0</v>
      </c>
      <c r="S1524" t="n">
        <v>0</v>
      </c>
      <c r="T1524" t="n">
        <v>0</v>
      </c>
      <c r="V1524" t="n">
        <v>0</v>
      </c>
    </row>
    <row r="1525">
      <c r="A1525">
        <f>Skills!A14</f>
        <v/>
      </c>
      <c r="B1525">
        <f>Skills!B14</f>
        <v/>
      </c>
      <c r="C1525">
        <f>Inputs!$B$3&gt;=74</f>
        <v/>
      </c>
      <c r="D1525">
        <f>IF(Skills!C14=1,60+Inputs!$B$25+Inputs!$B$29,IF(Skills!C14=2,90+Inputs!$B$26+Inputs!$B$29,IF(Skills!C14=3,120+Inputs!$B$27+Inputs!$B$29,MAX(0,(Inputs!$B$3-100)*3)+Inputs!$B$28+Inputs!$B$29)))</f>
        <v/>
      </c>
      <c r="E1525">
        <f>INDEX(FactorTable!$B$2:$Y$301, MATCH(ROUND(MIN(300,MAX(1,D1525)),0), FactorTable!$A$2:$A$301,0), Skills!M14+1)</f>
        <v/>
      </c>
      <c r="F1525">
        <f>IF(Skills!N14=TRUE,(Skills!L14/10)*(E1525/1000),Skills!L14/10)+Skills!O14</f>
        <v/>
      </c>
      <c r="G1525">
        <f>Skills!G14*IF(Skills!H14&gt;0,Skills!I14/Skills!H14,1)</f>
        <v/>
      </c>
      <c r="H1525">
        <f>1-(1-Skills!J14/100)^Skills!K14</f>
        <v/>
      </c>
      <c r="I1525" t="inlineStr">
        <is>
          <t>1</t>
        </is>
      </c>
      <c r="J1525" t="inlineStr"/>
      <c r="K1525" t="inlineStr"/>
      <c r="L1525" t="inlineStr"/>
      <c r="M1525" t="inlineStr"/>
      <c r="N1525" t="inlineStr"/>
      <c r="O1525">
        <f>(1-Summary!$B$11)*T1525+Summary!$B$11*V1525</f>
        <v/>
      </c>
      <c r="P1525">
        <f>IF(B1553=0,0,O1525/B1553)</f>
        <v/>
      </c>
      <c r="Q1525" t="n">
        <v>0</v>
      </c>
      <c r="R1525" t="n">
        <v>0</v>
      </c>
      <c r="S1525" t="n">
        <v>0</v>
      </c>
      <c r="T1525" t="n">
        <v>0</v>
      </c>
      <c r="V1525" t="n">
        <v>0</v>
      </c>
    </row>
    <row r="1526">
      <c r="A1526">
        <f>Skills!A15</f>
        <v/>
      </c>
      <c r="B1526">
        <f>Skills!B15</f>
        <v/>
      </c>
      <c r="C1526">
        <f>Inputs!$B$3&gt;=117</f>
        <v/>
      </c>
      <c r="D1526">
        <f>IF(Skills!C15=1,60+Inputs!$B$25+Inputs!$B$29,IF(Skills!C15=2,90+Inputs!$B$26+Inputs!$B$29,IF(Skills!C15=3,120+Inputs!$B$27+Inputs!$B$29,MAX(0,(Inputs!$B$3-100)*3)+Inputs!$B$28+Inputs!$B$29)))</f>
        <v/>
      </c>
      <c r="E1526">
        <f>INDEX(FactorTable!$B$2:$Y$301, MATCH(ROUND(MIN(300,MAX(1,D1526)),0), FactorTable!$A$2:$A$301,0), Skills!M15+1)</f>
        <v/>
      </c>
      <c r="F1526">
        <f>IF(Skills!N15=TRUE,(Skills!L15/10)*(E1526/1000),Skills!L15/10)+Skills!O15</f>
        <v/>
      </c>
      <c r="G1526">
        <f>Skills!G15*IF(Skills!H15&gt;0,Skills!I15/Skills!H15,1)</f>
        <v/>
      </c>
      <c r="H1526">
        <f>1-(1-Skills!J15/100)^Skills!K15</f>
        <v/>
      </c>
      <c r="I1526" t="inlineStr">
        <is>
          <t>1</t>
        </is>
      </c>
      <c r="J1526" t="inlineStr"/>
      <c r="K1526" t="inlineStr"/>
      <c r="L1526" t="inlineStr"/>
      <c r="M1526" t="inlineStr"/>
      <c r="N1526" t="inlineStr"/>
      <c r="O1526">
        <f>(1-Summary!$B$11)*T1526+Summary!$B$11*V1526</f>
        <v/>
      </c>
      <c r="P1526">
        <f>IF(B1553=0,0,O1526/B1553)</f>
        <v/>
      </c>
      <c r="Q1526">
        <f>IFERROR(1/IF(Inputs!$B$38="pvp",15,MAX(0.1,Skills!D15-IF(Skills!E15=TRUE,Inputs!$B$32,0))),0)</f>
        <v/>
      </c>
      <c r="R1526">
        <f>IF(AND(Inputs!$B$38&lt;&gt;"pvp",Inputs!$B$43&gt;0),IF(Inputs!$B$43&lt;=0,0,(INT(Inputs!$B$43/IF(Inputs!$B$38="pvp",15,MAX(0.1,Skills!D15-IF(Skills!E15=TRUE,Inputs!$B$32,0))))+1)),0)</f>
        <v/>
      </c>
      <c r="S1526" t="n">
        <v>0</v>
      </c>
      <c r="T1526" t="n">
        <v>0</v>
      </c>
      <c r="V1526" t="n">
        <v>0</v>
      </c>
    </row>
    <row r="1527">
      <c r="A1527">
        <f>Skills!A16</f>
        <v/>
      </c>
      <c r="B1527">
        <f>Skills!B16</f>
        <v/>
      </c>
      <c r="C1527">
        <f>Inputs!$B$3&gt;=115</f>
        <v/>
      </c>
      <c r="D1527">
        <f>IF(Skills!C16=1,60+Inputs!$B$25+Inputs!$B$29,IF(Skills!C16=2,90+Inputs!$B$26+Inputs!$B$29,IF(Skills!C16=3,120+Inputs!$B$27+Inputs!$B$29,MAX(0,(Inputs!$B$3-100)*3)+Inputs!$B$28+Inputs!$B$29)))</f>
        <v/>
      </c>
      <c r="E1527">
        <f>INDEX(FactorTable!$B$2:$Y$301, MATCH(ROUND(MIN(300,MAX(1,D1527)),0), FactorTable!$A$2:$A$301,0), Skills!M16+1)</f>
        <v/>
      </c>
      <c r="F1527">
        <f>IF(Skills!N16=TRUE,(Skills!L16/10)*(E1527/1000),Skills!L16/10)+Skills!O16</f>
        <v/>
      </c>
      <c r="G1527">
        <f>Skills!G16*IF(Skills!H16&gt;0,Skills!I16/Skills!H16,1)</f>
        <v/>
      </c>
      <c r="H1527">
        <f>1-(1-Skills!J16/100)^Skills!K16</f>
        <v/>
      </c>
      <c r="I1527" t="inlineStr">
        <is>
          <t>1</t>
        </is>
      </c>
      <c r="J1527" t="inlineStr"/>
      <c r="K1527" t="inlineStr"/>
      <c r="L1527" t="inlineStr"/>
      <c r="M1527" t="inlineStr"/>
      <c r="N1527" t="inlineStr"/>
      <c r="O1527">
        <f>(1-Summary!$B$11)*T1527+Summary!$B$11*V1527</f>
        <v/>
      </c>
      <c r="P1527">
        <f>IF(B1553=0,0,O1527/B1553)</f>
        <v/>
      </c>
      <c r="Q1527">
        <f>IFERROR(1/IF(Inputs!$B$38="pvp",15,MAX(0.1,Skills!D16-IF(Skills!E16=TRUE,Inputs!$B$32,0))),0)</f>
        <v/>
      </c>
      <c r="R1527">
        <f>IF(AND(Inputs!$B$38&lt;&gt;"pvp",Inputs!$B$43&gt;0),IF(Inputs!$B$43&lt;=0,0,(INT(Inputs!$B$43/IF(Inputs!$B$38="pvp",15,MAX(0.1,Skills!D16-IF(Skills!E16=TRUE,Inputs!$B$32,0))))+1)),0)</f>
        <v/>
      </c>
      <c r="S1527" t="n">
        <v>0</v>
      </c>
      <c r="T1527" t="n">
        <v>0</v>
      </c>
      <c r="V1527" t="n">
        <v>0</v>
      </c>
    </row>
    <row r="1528">
      <c r="A1528">
        <f>Skills!A17</f>
        <v/>
      </c>
      <c r="B1528">
        <f>Skills!B17</f>
        <v/>
      </c>
      <c r="C1528">
        <f>Inputs!$B$3&gt;=72</f>
        <v/>
      </c>
      <c r="D1528">
        <f>IF(Skills!C17=1,60+Inputs!$B$25+Inputs!$B$29,IF(Skills!C17=2,90+Inputs!$B$26+Inputs!$B$29,IF(Skills!C17=3,120+Inputs!$B$27+Inputs!$B$29,MAX(0,(Inputs!$B$3-100)*3)+Inputs!$B$28+Inputs!$B$29)))</f>
        <v/>
      </c>
      <c r="E1528">
        <f>INDEX(FactorTable!$B$2:$Y$301, MATCH(ROUND(MIN(300,MAX(1,D1528)),0), FactorTable!$A$2:$A$301,0), Skills!M17+1)</f>
        <v/>
      </c>
      <c r="F1528">
        <f>IF(Skills!N17=TRUE,(Skills!L17/10)*(E1528/1000),Skills!L17/10)+Skills!O17</f>
        <v/>
      </c>
      <c r="G1528">
        <f>Skills!G17*IF(Skills!H17&gt;0,Skills!I17/Skills!H17,1)</f>
        <v/>
      </c>
      <c r="H1528">
        <f>1-(1-Skills!J17/100)^Skills!K17</f>
        <v/>
      </c>
      <c r="I1528" t="inlineStr">
        <is>
          <t>1</t>
        </is>
      </c>
      <c r="J1528" t="inlineStr"/>
      <c r="K1528" t="inlineStr"/>
      <c r="L1528" t="inlineStr"/>
      <c r="M1528" t="inlineStr"/>
      <c r="N1528" t="inlineStr"/>
      <c r="O1528">
        <f>(1-Summary!$B$11)*T1528+Summary!$B$11*V1528</f>
        <v/>
      </c>
      <c r="P1528">
        <f>IF(B1553=0,0,O1528/B1553)</f>
        <v/>
      </c>
      <c r="Q1528" t="n">
        <v>0</v>
      </c>
      <c r="R1528" t="n">
        <v>0</v>
      </c>
      <c r="S1528" t="n">
        <v>0</v>
      </c>
      <c r="T1528" t="n">
        <v>0</v>
      </c>
      <c r="V1528" t="n">
        <v>0</v>
      </c>
    </row>
    <row r="1529">
      <c r="A1529">
        <f>Skills!A18</f>
        <v/>
      </c>
      <c r="B1529">
        <f>Skills!B18</f>
        <v/>
      </c>
      <c r="C1529">
        <f>TRUE</f>
        <v/>
      </c>
      <c r="D1529">
        <f>IF(Skills!C18=1,60+Inputs!$B$25+Inputs!$B$29,IF(Skills!C18=2,90+Inputs!$B$26+Inputs!$B$29,IF(Skills!C18=3,120+Inputs!$B$27+Inputs!$B$29,MAX(0,(Inputs!$B$3-100)*3)+Inputs!$B$28+Inputs!$B$29)))</f>
        <v/>
      </c>
      <c r="E1529">
        <f>INDEX(FactorTable!$B$2:$Y$301, MATCH(ROUND(MIN(300,MAX(1,D1529)),0), FactorTable!$A$2:$A$301,0), Skills!M18+1)</f>
        <v/>
      </c>
      <c r="F1529">
        <f>IF(Skills!N18=TRUE,(Skills!L18/10)*(E1529/1000),Skills!L18/10)+Skills!O18</f>
        <v/>
      </c>
      <c r="G1529">
        <f>Skills!G18*IF(Skills!H18&gt;0,Skills!I18/Skills!H18,1)</f>
        <v/>
      </c>
      <c r="H1529">
        <f>1-(1-Skills!J18/100)^Skills!K18</f>
        <v/>
      </c>
      <c r="I1529" t="inlineStr">
        <is>
          <t>1</t>
        </is>
      </c>
      <c r="J1529" t="inlineStr"/>
      <c r="K1529" t="inlineStr"/>
      <c r="L1529" t="inlineStr"/>
      <c r="M1529" t="inlineStr"/>
      <c r="N1529" t="inlineStr"/>
      <c r="O1529">
        <f>(1-Summary!$B$11)*T1529+Summary!$B$11*V1529</f>
        <v/>
      </c>
      <c r="P1529">
        <f>IF(B1553=0,0,O1529/B1553)</f>
        <v/>
      </c>
      <c r="Q1529">
        <f>IFERROR(1/IF(Inputs!$B$38="pvp",15,MAX(0.1,Skills!D18-IF(Skills!E18=TRUE,Inputs!$B$32,0))),0)</f>
        <v/>
      </c>
      <c r="R1529">
        <f>IF(AND(Inputs!$B$38&lt;&gt;"pvp",Inputs!$B$43&gt;0),IF(Inputs!$B$43&lt;=0,0,(INT(Inputs!$B$43/IF(Inputs!$B$38="pvp",15,MAX(0.1,Skills!D18-IF(Skills!E18=TRUE,Inputs!$B$32,0))))+1)),0)</f>
        <v/>
      </c>
      <c r="S1529" t="n">
        <v>0</v>
      </c>
      <c r="T1529" t="n">
        <v>0</v>
      </c>
      <c r="V1529" t="n">
        <v>0</v>
      </c>
    </row>
    <row r="1530">
      <c r="A1530">
        <f>Skills!A19</f>
        <v/>
      </c>
      <c r="B1530">
        <f>Skills!B19</f>
        <v/>
      </c>
      <c r="C1530">
        <f>Inputs!$B$3&gt;=15</f>
        <v/>
      </c>
      <c r="D1530">
        <f>IF(Skills!C19=1,60+Inputs!$B$25+Inputs!$B$29,IF(Skills!C19=2,90+Inputs!$B$26+Inputs!$B$29,IF(Skills!C19=3,120+Inputs!$B$27+Inputs!$B$29,MAX(0,(Inputs!$B$3-100)*3)+Inputs!$B$28+Inputs!$B$29)))</f>
        <v/>
      </c>
      <c r="E1530">
        <f>INDEX(FactorTable!$B$2:$Y$301, MATCH(ROUND(MIN(300,MAX(1,D1530)),0), FactorTable!$A$2:$A$301,0), Skills!M19+1)</f>
        <v/>
      </c>
      <c r="F1530">
        <f>IF(Skills!N19=TRUE,(Skills!L19/10)*(E1530/1000),Skills!L19/10)+Skills!O19</f>
        <v/>
      </c>
      <c r="G1530">
        <f>Skills!G19*IF(Skills!H19&gt;0,Skills!I19/Skills!H19,1)</f>
        <v/>
      </c>
      <c r="H1530">
        <f>1-(1-Skills!J19/100)^Skills!K19</f>
        <v/>
      </c>
      <c r="I1530" t="inlineStr">
        <is>
          <t>1</t>
        </is>
      </c>
      <c r="J1530" t="inlineStr"/>
      <c r="K1530" t="inlineStr"/>
      <c r="L1530" t="inlineStr"/>
      <c r="M1530" t="inlineStr"/>
      <c r="N1530" t="inlineStr"/>
      <c r="O1530">
        <f>(1-Summary!$B$11)*T1530+Summary!$B$11*V1530</f>
        <v/>
      </c>
      <c r="P1530">
        <f>IF(B1553=0,0,O1530/B1553)</f>
        <v/>
      </c>
      <c r="Q1530" t="n">
        <v>0</v>
      </c>
      <c r="R1530" t="n">
        <v>0</v>
      </c>
      <c r="S1530" t="n">
        <v>0</v>
      </c>
      <c r="T1530" t="n">
        <v>0</v>
      </c>
      <c r="V1530" t="n">
        <v>0</v>
      </c>
    </row>
    <row r="1531">
      <c r="A1531">
        <f>Skills!A20</f>
        <v/>
      </c>
      <c r="B1531">
        <f>Skills!B20</f>
        <v/>
      </c>
      <c r="C1531">
        <f>Inputs!$B$3&gt;=10</f>
        <v/>
      </c>
      <c r="D1531">
        <f>IF(Skills!C20=1,60+Inputs!$B$25+Inputs!$B$29,IF(Skills!C20=2,90+Inputs!$B$26+Inputs!$B$29,IF(Skills!C20=3,120+Inputs!$B$27+Inputs!$B$29,MAX(0,(Inputs!$B$3-100)*3)+Inputs!$B$28+Inputs!$B$29)))</f>
        <v/>
      </c>
      <c r="E1531">
        <f>INDEX(FactorTable!$B$2:$Y$301, MATCH(ROUND(MIN(300,MAX(1,D1531)),0), FactorTable!$A$2:$A$301,0), Skills!M20+1)</f>
        <v/>
      </c>
      <c r="F1531">
        <f>IF(Skills!N20=TRUE,(Skills!L20/10)*(E1531/1000),Skills!L20/10)+Skills!O20</f>
        <v/>
      </c>
      <c r="G1531">
        <f>Skills!G20*IF(Skills!H20&gt;0,Skills!I20/Skills!H20,1)</f>
        <v/>
      </c>
      <c r="H1531">
        <f>1-(1-Skills!J20/100)^Skills!K20</f>
        <v/>
      </c>
      <c r="I1531" t="inlineStr">
        <is>
          <t>1</t>
        </is>
      </c>
      <c r="J1531" t="inlineStr"/>
      <c r="K1531" t="inlineStr"/>
      <c r="L1531" t="inlineStr"/>
      <c r="M1531" t="inlineStr"/>
      <c r="N1531" t="inlineStr"/>
      <c r="O1531">
        <f>(1-Summary!$B$11)*T1531+Summary!$B$11*V1531</f>
        <v/>
      </c>
      <c r="P1531">
        <f>IF(B1553=0,0,O1531/B1553)</f>
        <v/>
      </c>
      <c r="Q1531" t="n">
        <v>0</v>
      </c>
      <c r="R1531" t="n">
        <v>0</v>
      </c>
      <c r="S1531" t="n">
        <v>0</v>
      </c>
      <c r="T1531" t="n">
        <v>0</v>
      </c>
      <c r="V1531" t="n">
        <v>0</v>
      </c>
    </row>
    <row r="1532">
      <c r="A1532">
        <f>Skills!A21</f>
        <v/>
      </c>
      <c r="B1532">
        <f>Skills!B21</f>
        <v/>
      </c>
      <c r="C1532">
        <f>Inputs!$B$3&gt;=33</f>
        <v/>
      </c>
      <c r="D1532">
        <f>IF(Skills!C21=1,60+Inputs!$B$25+Inputs!$B$29,IF(Skills!C21=2,90+Inputs!$B$26+Inputs!$B$29,IF(Skills!C21=3,120+Inputs!$B$27+Inputs!$B$29,MAX(0,(Inputs!$B$3-100)*3)+Inputs!$B$28+Inputs!$B$29)))</f>
        <v/>
      </c>
      <c r="E1532">
        <f>INDEX(FactorTable!$B$2:$Y$301, MATCH(ROUND(MIN(300,MAX(1,D1532)),0), FactorTable!$A$2:$A$301,0), Skills!M21+1)</f>
        <v/>
      </c>
      <c r="F1532">
        <f>IF(Skills!N21=TRUE,(Skills!L21/10)*(E1532/1000),Skills!L21/10)+Skills!O21</f>
        <v/>
      </c>
      <c r="G1532">
        <f>Skills!G21*IF(Skills!H21&gt;0,Skills!I21/Skills!H21,1)</f>
        <v/>
      </c>
      <c r="H1532">
        <f>1-(1-Skills!J21/100)^Skills!K21</f>
        <v/>
      </c>
      <c r="I1532" t="inlineStr">
        <is>
          <t>1</t>
        </is>
      </c>
      <c r="J1532" t="inlineStr"/>
      <c r="K1532" t="inlineStr"/>
      <c r="L1532" t="inlineStr"/>
      <c r="M1532" t="inlineStr"/>
      <c r="N1532" t="inlineStr"/>
      <c r="O1532">
        <f>(1-Summary!$B$11)*T1532+Summary!$B$11*V1532</f>
        <v/>
      </c>
      <c r="P1532">
        <f>IF(B1553=0,0,O1532/B1553)</f>
        <v/>
      </c>
      <c r="Q1532" t="n">
        <v>0</v>
      </c>
      <c r="R1532" t="n">
        <v>0</v>
      </c>
      <c r="S1532" t="n">
        <v>0</v>
      </c>
      <c r="T1532" t="n">
        <v>0</v>
      </c>
      <c r="V1532" t="n">
        <v>0</v>
      </c>
    </row>
    <row r="1533">
      <c r="A1533">
        <f>Skills!A22</f>
        <v/>
      </c>
      <c r="B1533">
        <f>Skills!B22</f>
        <v/>
      </c>
      <c r="C1533">
        <f>Inputs!$B$3&gt;=38</f>
        <v/>
      </c>
      <c r="D1533">
        <f>IF(Skills!C22=1,60+Inputs!$B$25+Inputs!$B$29,IF(Skills!C22=2,90+Inputs!$B$26+Inputs!$B$29,IF(Skills!C22=3,120+Inputs!$B$27+Inputs!$B$29,MAX(0,(Inputs!$B$3-100)*3)+Inputs!$B$28+Inputs!$B$29)))</f>
        <v/>
      </c>
      <c r="E1533">
        <f>INDEX(FactorTable!$B$2:$Y$301, MATCH(ROUND(MIN(300,MAX(1,D1533)),0), FactorTable!$A$2:$A$301,0), Skills!M22+1)</f>
        <v/>
      </c>
      <c r="F1533">
        <f>IF(Skills!N22=TRUE,(Skills!L22/10)*(E1533/1000),Skills!L22/10)+Skills!O22</f>
        <v/>
      </c>
      <c r="G1533">
        <f>Skills!G22*IF(Skills!H22&gt;0,Skills!I22/Skills!H22,1)</f>
        <v/>
      </c>
      <c r="H1533">
        <f>1-(1-Skills!J22/100)^Skills!K22</f>
        <v/>
      </c>
      <c r="I1533" t="inlineStr">
        <is>
          <t>1</t>
        </is>
      </c>
      <c r="J1533" t="inlineStr"/>
      <c r="K1533" t="inlineStr"/>
      <c r="L1533" t="inlineStr"/>
      <c r="M1533" t="inlineStr"/>
      <c r="N1533" t="inlineStr"/>
      <c r="O1533">
        <f>(1-Summary!$B$11)*T1533+Summary!$B$11*V1533</f>
        <v/>
      </c>
      <c r="P1533">
        <f>IF(B1553=0,0,O1533/B1553)</f>
        <v/>
      </c>
      <c r="Q1533" t="n">
        <v>0</v>
      </c>
      <c r="R1533" t="n">
        <v>0</v>
      </c>
      <c r="S1533" t="n">
        <v>0</v>
      </c>
      <c r="T1533" t="n">
        <v>0</v>
      </c>
      <c r="V1533" t="n">
        <v>0</v>
      </c>
    </row>
    <row r="1534">
      <c r="A1534">
        <f>Skills!A23</f>
        <v/>
      </c>
      <c r="B1534">
        <f>Skills!B23</f>
        <v/>
      </c>
      <c r="C1534">
        <f>Inputs!$B$3&gt;=43</f>
        <v/>
      </c>
      <c r="D1534">
        <f>IF(Skills!C23=1,60+Inputs!$B$25+Inputs!$B$29,IF(Skills!C23=2,90+Inputs!$B$26+Inputs!$B$29,IF(Skills!C23=3,120+Inputs!$B$27+Inputs!$B$29,MAX(0,(Inputs!$B$3-100)*3)+Inputs!$B$28+Inputs!$B$29)))</f>
        <v/>
      </c>
      <c r="E1534">
        <f>INDEX(FactorTable!$B$2:$Y$301, MATCH(ROUND(MIN(300,MAX(1,D1534)),0), FactorTable!$A$2:$A$301,0), Skills!M23+1)</f>
        <v/>
      </c>
      <c r="F1534">
        <f>IF(Skills!N23=TRUE,(Skills!L23/10)*(E1534/1000),Skills!L23/10)+Skills!O23</f>
        <v/>
      </c>
      <c r="G1534">
        <f>Skills!G23*IF(Skills!H23&gt;0,Skills!I23/Skills!H23,1)</f>
        <v/>
      </c>
      <c r="H1534">
        <f>1-(1-Skills!J23/100)^Skills!K23</f>
        <v/>
      </c>
      <c r="I1534" t="inlineStr">
        <is>
          <t>1</t>
        </is>
      </c>
      <c r="J1534" t="inlineStr"/>
      <c r="K1534" t="inlineStr"/>
      <c r="L1534" t="inlineStr"/>
      <c r="M1534" t="inlineStr"/>
      <c r="N1534" t="inlineStr"/>
      <c r="O1534">
        <f>(1-Summary!$B$11)*T1534+Summary!$B$11*V1534</f>
        <v/>
      </c>
      <c r="P1534">
        <f>IF(B1553=0,0,O1534/B1553)</f>
        <v/>
      </c>
      <c r="Q1534" t="n">
        <v>0</v>
      </c>
      <c r="R1534" t="n">
        <v>0</v>
      </c>
      <c r="S1534" t="n">
        <v>0</v>
      </c>
      <c r="T1534" t="n">
        <v>0</v>
      </c>
      <c r="V1534" t="n">
        <v>0</v>
      </c>
    </row>
    <row r="1535">
      <c r="A1535">
        <f>Skills!A24</f>
        <v/>
      </c>
      <c r="B1535">
        <f>Skills!B24</f>
        <v/>
      </c>
      <c r="C1535">
        <f>Inputs!$B$3&gt;=75</f>
        <v/>
      </c>
      <c r="D1535">
        <f>IF(Skills!C24=1,60+Inputs!$B$25+Inputs!$B$29,IF(Skills!C24=2,90+Inputs!$B$26+Inputs!$B$29,IF(Skills!C24=3,120+Inputs!$B$27+Inputs!$B$29,MAX(0,(Inputs!$B$3-100)*3)+Inputs!$B$28+Inputs!$B$29)))</f>
        <v/>
      </c>
      <c r="E1535">
        <f>INDEX(FactorTable!$B$2:$Y$301, MATCH(ROUND(MIN(300,MAX(1,D1535)),0), FactorTable!$A$2:$A$301,0), Skills!M24+1)</f>
        <v/>
      </c>
      <c r="F1535">
        <f>IF(Skills!N24=TRUE,(Skills!L24/10)*(E1535/1000),Skills!L24/10)+Skills!O24</f>
        <v/>
      </c>
      <c r="G1535">
        <f>Skills!G24*IF(Skills!H24&gt;0,Skills!I24/Skills!H24,1)</f>
        <v/>
      </c>
      <c r="H1535">
        <f>1-(1-Skills!J24/100)^Skills!K24</f>
        <v/>
      </c>
      <c r="I1535" t="inlineStr">
        <is>
          <t>1</t>
        </is>
      </c>
      <c r="J1535" t="inlineStr"/>
      <c r="K1535" t="inlineStr"/>
      <c r="L1535" t="inlineStr"/>
      <c r="M1535" t="inlineStr"/>
      <c r="N1535" t="inlineStr"/>
      <c r="O1535">
        <f>(1-Summary!$B$11)*T1535+Summary!$B$11*V1535</f>
        <v/>
      </c>
      <c r="P1535">
        <f>IF(B1553=0,0,O1535/B1553)</f>
        <v/>
      </c>
      <c r="Q1535" t="n">
        <v>0</v>
      </c>
      <c r="R1535" t="n">
        <v>0</v>
      </c>
      <c r="S1535" t="n">
        <v>0</v>
      </c>
      <c r="T1535" t="n">
        <v>0</v>
      </c>
      <c r="V1535" t="n">
        <v>0</v>
      </c>
    </row>
    <row r="1536">
      <c r="A1536">
        <f>Skills!A25</f>
        <v/>
      </c>
      <c r="B1536">
        <f>Skills!B25</f>
        <v/>
      </c>
      <c r="C1536">
        <f>Inputs!$B$3&gt;=125</f>
        <v/>
      </c>
      <c r="D1536">
        <f>IF(Skills!C25=1,60+Inputs!$B$25+Inputs!$B$29,IF(Skills!C25=2,90+Inputs!$B$26+Inputs!$B$29,IF(Skills!C25=3,120+Inputs!$B$27+Inputs!$B$29,MAX(0,(Inputs!$B$3-100)*3)+Inputs!$B$28+Inputs!$B$29)))</f>
        <v/>
      </c>
      <c r="E1536">
        <f>INDEX(FactorTable!$B$2:$Y$301, MATCH(ROUND(MIN(300,MAX(1,D1536)),0), FactorTable!$A$2:$A$301,0), Skills!M25+1)</f>
        <v/>
      </c>
      <c r="F1536">
        <f>IF(Skills!N25=TRUE,(Skills!L25/10)*(E1536/1000),Skills!L25/10)+Skills!O25</f>
        <v/>
      </c>
      <c r="G1536">
        <f>Skills!G25*IF(Skills!H25&gt;0,Skills!I25/Skills!H25,1)</f>
        <v/>
      </c>
      <c r="H1536">
        <f>1-(1-Skills!J25/100)^Skills!K25</f>
        <v/>
      </c>
      <c r="I1536" t="inlineStr">
        <is>
          <t>1</t>
        </is>
      </c>
      <c r="J1536" t="inlineStr"/>
      <c r="K1536" t="inlineStr"/>
      <c r="L1536" t="inlineStr"/>
      <c r="M1536" t="inlineStr"/>
      <c r="N1536" t="inlineStr"/>
      <c r="O1536">
        <f>(1-Summary!$B$11)*T1536+Summary!$B$11*V1536</f>
        <v/>
      </c>
      <c r="P1536">
        <f>IF(B1553=0,0,O1536/B1553)</f>
        <v/>
      </c>
      <c r="Q1536" t="n">
        <v>0</v>
      </c>
      <c r="R1536" t="n">
        <v>0</v>
      </c>
      <c r="S1536" t="n">
        <v>0</v>
      </c>
      <c r="T1536" t="n">
        <v>0</v>
      </c>
      <c r="V1536" t="n">
        <v>0</v>
      </c>
    </row>
    <row r="1537">
      <c r="A1537">
        <f>Skills!A26</f>
        <v/>
      </c>
      <c r="B1537">
        <f>Skills!B26</f>
        <v/>
      </c>
      <c r="C1537">
        <f>Inputs!$B$3&gt;=125</f>
        <v/>
      </c>
      <c r="D1537">
        <f>IF(Skills!C26=1,60+Inputs!$B$25+Inputs!$B$29,IF(Skills!C26=2,90+Inputs!$B$26+Inputs!$B$29,IF(Skills!C26=3,120+Inputs!$B$27+Inputs!$B$29,MAX(0,(Inputs!$B$3-100)*3)+Inputs!$B$28+Inputs!$B$29)))</f>
        <v/>
      </c>
      <c r="E1537">
        <f>INDEX(FactorTable!$B$2:$Y$301, MATCH(ROUND(MIN(300,MAX(1,D1537)),0), FactorTable!$A$2:$A$301,0), Skills!M26+1)</f>
        <v/>
      </c>
      <c r="F1537">
        <f>IF(Skills!N26=TRUE,(Skills!L26/10)*(E1537/1000),Skills!L26/10)+Skills!O26</f>
        <v/>
      </c>
      <c r="G1537">
        <f>Skills!G26*IF(Skills!H26&gt;0,Skills!I26/Skills!H26,1)</f>
        <v/>
      </c>
      <c r="H1537">
        <f>1-(1-Skills!J26/100)^Skills!K26</f>
        <v/>
      </c>
      <c r="I1537" t="inlineStr">
        <is>
          <t>1</t>
        </is>
      </c>
      <c r="J1537" t="inlineStr"/>
      <c r="K1537" t="inlineStr"/>
      <c r="L1537" t="inlineStr"/>
      <c r="M1537" t="inlineStr"/>
      <c r="N1537" t="inlineStr"/>
      <c r="O1537">
        <f>(1-Summary!$B$11)*T1537+Summary!$B$11*V1537</f>
        <v/>
      </c>
      <c r="P1537">
        <f>IF(B1553=0,0,O1537/B1553)</f>
        <v/>
      </c>
      <c r="Q1537" t="n">
        <v>0</v>
      </c>
      <c r="R1537" t="n">
        <v>0</v>
      </c>
      <c r="S1537" t="n">
        <v>0</v>
      </c>
      <c r="T1537" t="n">
        <v>0</v>
      </c>
      <c r="V1537" t="n">
        <v>0</v>
      </c>
    </row>
    <row r="1538">
      <c r="A1538">
        <f>Skills!A27</f>
        <v/>
      </c>
      <c r="B1538">
        <f>Skills!B27</f>
        <v/>
      </c>
      <c r="C1538">
        <f>Inputs!$B$3&gt;=120</f>
        <v/>
      </c>
      <c r="D1538">
        <f>IF(Skills!C27=1,60+Inputs!$B$25+Inputs!$B$29,IF(Skills!C27=2,90+Inputs!$B$26+Inputs!$B$29,IF(Skills!C27=3,120+Inputs!$B$27+Inputs!$B$29,MAX(0,(Inputs!$B$3-100)*3)+Inputs!$B$28+Inputs!$B$29)))</f>
        <v/>
      </c>
      <c r="E1538">
        <f>INDEX(FactorTable!$B$2:$Y$301, MATCH(ROUND(MIN(300,MAX(1,D1538)),0), FactorTable!$A$2:$A$301,0), Skills!M27+1)</f>
        <v/>
      </c>
      <c r="F1538">
        <f>IF(Skills!N27=TRUE,(Skills!L27/10)*(E1538/1000),Skills!L27/10)+Skills!O27</f>
        <v/>
      </c>
      <c r="G1538">
        <f>Skills!G27*IF(Skills!H27&gt;0,Skills!I27/Skills!H27,1)</f>
        <v/>
      </c>
      <c r="H1538">
        <f>1-(1-Skills!J27/100)^Skills!K27</f>
        <v/>
      </c>
      <c r="I1538" t="inlineStr">
        <is>
          <t>1</t>
        </is>
      </c>
      <c r="J1538" t="inlineStr"/>
      <c r="K1538" t="inlineStr"/>
      <c r="L1538" t="inlineStr"/>
      <c r="M1538" t="inlineStr"/>
      <c r="N1538" t="inlineStr"/>
      <c r="O1538">
        <f>(1-Summary!$B$11)*T1538+Summary!$B$11*V1538</f>
        <v/>
      </c>
      <c r="P1538">
        <f>IF(B1553=0,0,O1538/B1553)</f>
        <v/>
      </c>
      <c r="Q1538" t="n">
        <v>0</v>
      </c>
      <c r="R1538" t="n">
        <v>0</v>
      </c>
      <c r="S1538" t="n">
        <v>0</v>
      </c>
      <c r="T1538" t="n">
        <v>0</v>
      </c>
      <c r="V1538" t="n">
        <v>0</v>
      </c>
    </row>
    <row r="1539">
      <c r="A1539">
        <f>Skills!A28</f>
        <v/>
      </c>
      <c r="B1539">
        <f>Skills!B28</f>
        <v/>
      </c>
      <c r="C1539">
        <f>Inputs!$B$3&gt;=120</f>
        <v/>
      </c>
      <c r="D1539">
        <f>IF(Skills!C28=1,60+Inputs!$B$25+Inputs!$B$29,IF(Skills!C28=2,90+Inputs!$B$26+Inputs!$B$29,IF(Skills!C28=3,120+Inputs!$B$27+Inputs!$B$29,MAX(0,(Inputs!$B$3-100)*3)+Inputs!$B$28+Inputs!$B$29)))</f>
        <v/>
      </c>
      <c r="E1539">
        <f>INDEX(FactorTable!$B$2:$Y$301, MATCH(ROUND(MIN(300,MAX(1,D1539)),0), FactorTable!$A$2:$A$301,0), Skills!M28+1)</f>
        <v/>
      </c>
      <c r="F1539">
        <f>IF(Skills!N28=TRUE,(Skills!L28/10)*(E1539/1000),Skills!L28/10)+Skills!O28</f>
        <v/>
      </c>
      <c r="G1539">
        <f>Skills!G28*IF(Skills!H28&gt;0,Skills!I28/Skills!H28,1)</f>
        <v/>
      </c>
      <c r="H1539">
        <f>1-(1-Skills!J28/100)^Skills!K28</f>
        <v/>
      </c>
      <c r="I1539" t="inlineStr">
        <is>
          <t>1</t>
        </is>
      </c>
      <c r="J1539" t="inlineStr"/>
      <c r="K1539" t="inlineStr"/>
      <c r="L1539" t="inlineStr"/>
      <c r="M1539" t="inlineStr"/>
      <c r="N1539" t="inlineStr"/>
      <c r="O1539">
        <f>(1-Summary!$B$11)*T1539+Summary!$B$11*V1539</f>
        <v/>
      </c>
      <c r="P1539">
        <f>IF(B1553=0,0,O1539/B1553)</f>
        <v/>
      </c>
      <c r="Q1539" t="n">
        <v>0</v>
      </c>
      <c r="R1539" t="n">
        <v>0</v>
      </c>
      <c r="S1539" t="n">
        <v>0</v>
      </c>
      <c r="T1539" t="n">
        <v>0</v>
      </c>
      <c r="V1539" t="n">
        <v>0</v>
      </c>
    </row>
    <row r="1540">
      <c r="A1540">
        <f>Skills!A29</f>
        <v/>
      </c>
      <c r="B1540">
        <f>Skills!B29</f>
        <v/>
      </c>
      <c r="C1540">
        <f>Inputs!$B$3&gt;=45</f>
        <v/>
      </c>
      <c r="D1540">
        <f>IF(Skills!C29=1,60+Inputs!$B$25+Inputs!$B$29,IF(Skills!C29=2,90+Inputs!$B$26+Inputs!$B$29,IF(Skills!C29=3,120+Inputs!$B$27+Inputs!$B$29,MAX(0,(Inputs!$B$3-100)*3)+Inputs!$B$28+Inputs!$B$29)))</f>
        <v/>
      </c>
      <c r="E1540">
        <f>INDEX(FactorTable!$B$2:$Y$301, MATCH(ROUND(MIN(300,MAX(1,D1540)),0), FactorTable!$A$2:$A$301,0), Skills!M29+1)</f>
        <v/>
      </c>
      <c r="F1540">
        <f>IF(Skills!N29=TRUE,(Skills!L29/10)*(E1540/1000),Skills!L29/10)+Skills!O29</f>
        <v/>
      </c>
      <c r="G1540">
        <f>Skills!G29*IF(Skills!H29&gt;0,Skills!I29/Skills!H29,1)</f>
        <v/>
      </c>
      <c r="H1540">
        <f>1-(1-Skills!J29/100)^Skills!K29</f>
        <v/>
      </c>
      <c r="I1540" t="inlineStr">
        <is>
          <t>1</t>
        </is>
      </c>
      <c r="J1540" t="inlineStr"/>
      <c r="K1540" t="inlineStr"/>
      <c r="L1540" t="inlineStr"/>
      <c r="M1540" t="inlineStr"/>
      <c r="N1540" t="inlineStr"/>
      <c r="O1540">
        <f>(1-Summary!$B$11)*T1540+Summary!$B$11*V1540</f>
        <v/>
      </c>
      <c r="P1540">
        <f>IF(B1553=0,0,O1540/B1553)</f>
        <v/>
      </c>
      <c r="Q1540" t="n">
        <v>0</v>
      </c>
      <c r="R1540" t="n">
        <v>0</v>
      </c>
      <c r="S1540" t="n">
        <v>0</v>
      </c>
      <c r="T1540" t="n">
        <v>0</v>
      </c>
      <c r="V1540" t="n">
        <v>0</v>
      </c>
    </row>
    <row r="1542">
      <c r="A1542" t="inlineStr">
        <is>
          <t>Attack% Bucket Multiplier</t>
        </is>
      </c>
      <c r="B1542">
        <f>(1+(((C1524=TRUE)*F1524)+((C1525=TRUE)*IF(Inputs!$B$38="pvp",F1525,(1-Summary!$B$11)*(F1525)+Summary!$B$11*(0)))+((C1526=TRUE)*F1526*IF(AND(Inputs!$B$38&lt;&gt;"pvp",Inputs!$B$43&gt;0),(((R1526-1)*(Skills!T15*(1+Inputs!$B$34/100))+MIN((Skills!T15*(1+Inputs!$B$34/100)),MAX(0,Inputs!$B$43-((R1526-1)*Skills!D15))))/Inputs!$B$43),IF(Inputs!$B$38="pvp",MIN((Skills!T15*(1+Inputs!$B$34/100)),15)/15,(Skills!T15*(1+Inputs!$B$34/100))/Skills!D15)))+((C1523=TRUE)*F1523)+((C1540=TRUE)*(F1540-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1543">
      <c r="A1543" t="inlineStr">
        <is>
          <t>Global Crit Rate Bonus %</t>
        </is>
      </c>
      <c r="B1543">
        <f>(C1527=TRUE)*20*IF(AND(Inputs!$B$38&lt;&gt;"pvp",Inputs!$B$43&gt;0),(((R1527-1)*(Skills!T16*(1+Inputs!$B$34/100))+MIN((Skills!T16*(1+Inputs!$B$34/100)),MAX(0,Inputs!$B$43-((R1527-1)*Skills!D16))))/Inputs!$B$43),IF(Inputs!$B$38="pvp",MIN((Skills!T16*(1+Inputs!$B$34/100)),15)/15,(Skills!T16*(1+Inputs!$B$34/100))/Skills!D16))</f>
        <v/>
      </c>
    </row>
    <row r="1544">
      <c r="A1544" t="inlineStr">
        <is>
          <t>Attack Speed Buff Bonus %</t>
        </is>
      </c>
      <c r="B1544">
        <f>((C1529=TRUE)*F1529*IF(AND(Inputs!$B$38&lt;&gt;"pvp",Inputs!$B$43&gt;0),(((R1529-1)*(Skills!T18*(1+Inputs!$B$34/100))+MIN((Skills!T18*(1+Inputs!$B$34/100)),MAX(0,Inputs!$B$43-((R1529-1)*Skills!D18))))/Inputs!$B$43),IF(Inputs!$B$38="pvp",MIN((Skills!T18*(1+Inputs!$B$34/100)),15)/15,(Skills!T18*(1+Inputs!$B$34/100))/Skills!D18)))</f>
        <v/>
      </c>
    </row>
    <row r="1545">
      <c r="A1545" t="inlineStr">
        <is>
          <t>Actions Per Second</t>
        </is>
      </c>
      <c r="B1545">
        <f>1+MIN(150,150*(1-(1-(Inputs!$B$11+((C1531=TRUE)*(F1531-Calc!F20))+((C1532=TRUE)*(F1532-Calc!F21)))/150)*(1-B1544/150)))/100</f>
        <v/>
      </c>
    </row>
    <row r="1546">
      <c r="A1546" t="inlineStr">
        <is>
          <t>Skill + Buff Cast Rate</t>
        </is>
      </c>
      <c r="B1546">
        <f>IF(AND(Inputs!$B$38&lt;&gt;"pvp",Inputs!$B$43&gt;0),SUMPRODUCT((Skills!E2:E29=TRUE)*(C1513:C1540=TRUE)*R1513:R1540*Skills!F2:F29)/Inputs!$B$43,SUMPRODUCT((Skills!E2:E29=TRUE)*(C1513:C1540=TRUE)*Q1513:Q1540*Skills!F2:F29))</f>
        <v/>
      </c>
    </row>
    <row r="1547">
      <c r="A1547" t="inlineStr">
        <is>
          <t>Empowered Piercing Arrow Casts Per Second</t>
        </is>
      </c>
      <c r="B1547">
        <f>MAX(0,B1545-B1546)</f>
        <v/>
      </c>
    </row>
    <row r="1548">
      <c r="A1548" t="inlineStr">
        <is>
          <t>Global Critical Damage Bonus % (Sharp Eyes)</t>
        </is>
      </c>
      <c r="B1548">
        <f>(C1527=TRUE)*F1527*IF(AND(Inputs!$B$38&lt;&gt;"pvp",Inputs!$B$43&gt;0),(((R1527-1)*(Skills!T16*(1+Inputs!$B$34/100))+MIN((Skills!T16*(1+Inputs!$B$34/100)),MAX(0,Inputs!$B$43-((R1527-1)*Skills!D16))))/Inputs!$B$43),IF(Inputs!$B$38="pvp",MIN((Skills!T16*(1+Inputs!$B$34/100)),15)/15,(Skills!T16*(1+Inputs!$B$34/100))/Skills!D16))</f>
        <v/>
      </c>
    </row>
    <row r="1549">
      <c r="A1549" t="inlineStr">
        <is>
          <t>Global Final Damage Bonus % (Mortal Blow + Last Man Standing conditional half)</t>
        </is>
      </c>
      <c r="B1549">
        <f>(C1528=TRUE)*F1528+((C1537=TRUE)*IF(Inputs!$B$38="pvp",F1537,(1-Summary!$B$11)*(F1537)+Summary!$B$11*(0)))</f>
        <v/>
      </c>
    </row>
    <row r="1550">
      <c r="A1550" t="inlineStr">
        <is>
          <t>Buff-Casting Startup Delay (s, fixed-duration only)</t>
        </is>
      </c>
      <c r="B1550">
        <f>IF(AND(Inputs!$B$38&lt;&gt;"pvp",Inputs!$B$43&gt;0),SUMPRODUCT((Skills!T2:T29&gt;0)*(Skills!E2:E29=TRUE)*(C1513:C1540=TRUE))/B1545,0)</f>
        <v/>
      </c>
    </row>
    <row r="1551">
      <c r="A1551" t="inlineStr">
        <is>
          <t>Boss-Only Total DPS (this block's swept value)</t>
        </is>
      </c>
      <c r="B1551">
        <f>SUM(T1513:T1540)</f>
        <v/>
      </c>
    </row>
    <row r="1552">
      <c r="A1552" t="inlineStr">
        <is>
          <t>Normal-Only Total DPS (this block's swept value)</t>
        </is>
      </c>
      <c r="B1552">
        <f>SUM(V1513:V1540)</f>
        <v/>
      </c>
    </row>
    <row r="1553">
      <c r="A1553" s="6" t="inlineStr">
        <is>
          <t>TOTAL DPS</t>
        </is>
      </c>
      <c r="B1553" s="6">
        <f>SUM(O1513:O1540)</f>
        <v/>
      </c>
    </row>
    <row r="1556">
      <c r="A1556" s="6" t="inlineStr">
        <is>
          <t>Stat: Mushmom's Cap (Equip)</t>
        </is>
      </c>
    </row>
    <row r="1557">
      <c r="A1557" s="5" t="inlineStr">
        <is>
          <t>Key</t>
        </is>
      </c>
      <c r="B1557" s="5" t="inlineStr">
        <is>
          <t>Name</t>
        </is>
      </c>
      <c r="C1557" s="5" t="inlineStr">
        <is>
          <t>Unlocked</t>
        </is>
      </c>
      <c r="D1557" s="5" t="inlineStr">
        <is>
          <t>InputLevel</t>
        </is>
      </c>
      <c r="E1557" s="5" t="inlineStr">
        <is>
          <t>Factor</t>
        </is>
      </c>
      <c r="F1557" s="5" t="inlineStr">
        <is>
          <t>CoefficientPercent</t>
        </is>
      </c>
      <c r="G1557" s="5" t="inlineStr">
        <is>
          <t>EffectiveHits</t>
        </is>
      </c>
      <c r="H1557" s="5" t="inlineStr">
        <is>
          <t>ProcProbability</t>
        </is>
      </c>
      <c r="I1557" s="5" t="inlineStr">
        <is>
          <t>MapleHeroMultiplier</t>
        </is>
      </c>
      <c r="J1557" s="5" t="inlineStr">
        <is>
          <t>BaseDamage</t>
        </is>
      </c>
      <c r="K1557" s="5" t="inlineStr">
        <is>
          <t>BaseHitDamage</t>
        </is>
      </c>
      <c r="L1557" s="5" t="inlineStr">
        <is>
          <t>NonCritAvg</t>
        </is>
      </c>
      <c r="M1557" s="5" t="inlineStr">
        <is>
          <t>CritAvg</t>
        </is>
      </c>
      <c r="N1557" s="5" t="inlineStr">
        <is>
          <t>ExpectedDamage(perHit)</t>
        </is>
      </c>
      <c r="O1557" s="5" t="inlineStr">
        <is>
          <t>DPS</t>
        </is>
      </c>
      <c r="P1557" s="5" t="inlineStr">
        <is>
          <t>% of Total</t>
        </is>
      </c>
      <c r="Q1557" s="5" t="inlineStr">
        <is>
          <t>InvCooldown</t>
        </is>
      </c>
      <c r="R1557" s="5" t="inlineStr">
        <is>
          <t>CastsInFight</t>
        </is>
      </c>
      <c r="S1557" s="5" t="inlineStr">
        <is>
          <t>HitRate(perSec)</t>
        </is>
      </c>
      <c r="U1557" t="inlineStr">
        <is>
          <t>helpers</t>
        </is>
      </c>
    </row>
    <row r="1558">
      <c r="A1558">
        <f>Skills!A2</f>
        <v/>
      </c>
      <c r="B1558">
        <f>Skills!B2</f>
        <v/>
      </c>
      <c r="C1558">
        <f>Inputs!$B$3&gt;=100</f>
        <v/>
      </c>
      <c r="D1558" t="inlineStr"/>
      <c r="E1558" t="inlineStr"/>
      <c r="F1558">
        <f>U1560+Skills!O2</f>
        <v/>
      </c>
      <c r="G1558">
        <f>Skills!G2*IF(Skills!H2&gt;0,Skills!I2/Skills!H2,1)</f>
        <v/>
      </c>
      <c r="H1558">
        <f>1-(1-Skills!J2/100)^Skills!K2</f>
        <v/>
      </c>
      <c r="I1558" t="inlineStr">
        <is>
          <t>1</t>
        </is>
      </c>
      <c r="J1558">
        <f>((Inputs!$B$6*(1+Inputs!$B$7/100))+(((Inputs!$B$12*(1+Inputs!$B$13/100))-(Inputs!$B$12*(1+Inputs!$B$13/100)))+0.25*(Inputs!$B$14-Inputs!$B$14))*(1+Inputs!$B$7/100))*(F1558/100)</f>
        <v/>
      </c>
      <c r="K1558">
        <f>J1558*(1+((Inputs!$B$12*(1+Inputs!$B$13/100))*0.01+Inputs!$B$14*0.0025)/100)*(1+Inputs!$B$15/100)*(1+Inputs!$B$16/100)*(5000/(6000+Inputs!$B$42*(1-(100*(1-(1-(Inputs!$B$19+0)/100)*(1-CHOOSE(ArtifactsInput!$N$40+1,5,6,7,8,9,10)/100)^(ArtifactsInput!$M$40-ArtifactsInput!$M$40)))/100)))*(1+(Inputs!$B$24+((C1580=TRUE)*(F1580-Calc!F24))+((C1581=TRUE)*(F1581-Calc!F25))+B1594)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EMPOWERED_PIERCING_ARROW",Inputs!$B$17+((C1578=TRUE)*(F1578-Calc!F22))+(((IF(AND(ArtifactsInput!$M$42,((Inputs!$B$9+((C1575=TRUE)*(F1575-Calc!F19))+B1588+(ArtifactsInput!$M$24-ArtifactsInput!$M$24)*CHOOSE(ArtifactsInput!$N$24+1,10,12,14,16,18,20)+IF(ArtifactsInput!$M$10,CHOOSE(ArtifactsInput!$N$10+1,15,18,21,24,27,30)*(IF(Inputs!$B$38="pvp",MIN(15,15)/15,IF(AND(Inputs!$B$38&lt;&gt;"pvp",Inputs!$B$43&gt;0),MIN(15,Inputs!$B$43)/(Inputs!$B$43),0))),0)))&gt;=100),MIN(100,((Inputs!$B$9+((C1575=TRUE)*(F1575-Calc!F19))+B1588+(ArtifactsInput!$M$24-ArtifactsInput!$M$24)*CHOOSE(ArtifactsInput!$N$24+1,10,12,14,16,18,20)+IF(ArtifactsInput!$M$10,CHOOSE(ArtifactsInput!$N$10+1,15,18,21,24,27,30)*(IF(Inputs!$B$38="pvp",MIN(15,15)/15,IF(AND(Inputs!$B$38&lt;&gt;"pvp",Inputs!$B$43&gt;0),MIN(15,Inputs!$B$43)/(Inputs!$B$43),0))),0)))-100),0))*CHOOSE(ArtifactsInput!$N$42+1,0.6,0.72,0.84,0.96,1.08,1.2))),Inputs!$B$18+((C1583=TRUE)*(F1583-Calc!F27))+(IF(AND(ArtifactsInput!$M$42,((Inputs!$B$9+((C1575=TRUE)*(F1575-Calc!F19))+B1588+(ArtifactsInput!$M$24-ArtifactsInput!$M$24)*CHOOSE(ArtifactsInput!$N$24+1,10,12,14,16,18,20)+IF(ArtifactsInput!$M$10,CHOOSE(ArtifactsInput!$N$10+1,15,18,21,24,27,30)*(IF(Inputs!$B$38="pvp",MIN(15,15)/15,IF(AND(Inputs!$B$38&lt;&gt;"pvp",Inputs!$B$43&gt;0),MIN(15,Inputs!$B$43)/(Inputs!$B$43),0))),0)))&gt;=100),CHOOSE(ArtifactsInput!$N$42+1,40,48,56,64,72,80),0))))/100)*((1+(((C1569=TRUE)*F1569)+((C1570=TRUE)*IF(Inputs!$B$38="pvp",F1570,(1-Summary!$B$11)*(F1570)+Summary!$B$11*(0)))+((C1571=TRUE)*F1571*IF(AND(Inputs!$B$38&lt;&gt;"pvp",Inputs!$B$43&gt;0),(((R1571-1)*(Skills!T15*(1+Inputs!$B$34/100))+MIN((Skills!T15*(1+Inputs!$B$34/100)),MAX(0,Inputs!$B$43-((R1571-1)*Skills!D15))))/Inputs!$B$43),IF(Inputs!$B$38="pvp",MIN((Skills!T15*(1+Inputs!$B$34/100)),15)/15,(Skills!T15*(1+Inputs!$B$34/100))/Skills!D15)))+((C1568=TRUE)*F1568)+((C1585=TRUE)*(F1585-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1558)</f>
        <v/>
      </c>
      <c r="L1558">
        <f>K1558*(MIN(Inputs!$B$22+((C1579=TRUE)*(F1579-Calc!F23)),(Inputs!$B$23+((C1584=TRUE)*(F1584-Calc!F28))+(IF(ArtifactsInput!$M$15,CHOOSE(ArtifactsInput!$N$15+1,25,30,35,40,45,50)/100*(Inputs!$B$11-Inputs!$B$11),0))))/100+(Inputs!$B$23+((C1584=TRUE)*(F1584-Calc!F28))+(IF(ArtifactsInput!$M$15,CHOOSE(ArtifactsInput!$N$15+1,25,30,35,40,45,50)/100*(Inputs!$B$11-Inputs!$B$11),0)))/100)/2</f>
        <v/>
      </c>
      <c r="M1558">
        <f>L1558*(1+(Inputs!$B$10+0+B1593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558">
        <f>L1558*(1-MIN((Inputs!$B$9+((C1575=TRUE)*(F1575-Calc!F19))+B1588+(ArtifactsInput!$M$24-ArtifactsInput!$M$24)*CHOOSE(ArtifactsInput!$N$24+1,10,12,14,16,18,20)+(IF(AND(ArtifactsInput!$M$42,((Inputs!$B$9+((C1575=TRUE)*(F1575-Calc!F19))+B1588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1558*(MIN((Inputs!$B$9+((C1575=TRUE)*(F1575-Calc!F19))+B1588+(ArtifactsInput!$M$24-ArtifactsInput!$M$24)*CHOOSE(ArtifactsInput!$N$24+1,10,12,14,16,18,20)+(IF(AND(ArtifactsInput!$M$42,((Inputs!$B$9+((C1575=TRUE)*(F1575-Calc!F19))+B1588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558">
        <f>(1-Summary!$B$11)*T1558+Summary!$B$11*V1558</f>
        <v/>
      </c>
      <c r="P1558">
        <f>IF(B1598=0,0,O1558/B1598)</f>
        <v/>
      </c>
      <c r="Q1558" t="n">
        <v>0</v>
      </c>
      <c r="R1558" t="n">
        <v>0</v>
      </c>
      <c r="S1558">
        <f>IFERROR((Skills!G2*N1558*B1592)/N1558*IF(Inputs!$B$38="pvp",1,(1-Summary!$B$11)*1+Summary!$B$11*(MIN((6+Inputs!$B$33),Inputs!$B$37))),0)</f>
        <v/>
      </c>
      <c r="T1558">
        <f>IF(C1558,(Skills!G2*N1558*B1592)*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Hunt"),CHOOSE(ArtifactsInput!$N$35+1,15,18,21,24,27,30)*(1-EXP(-(0.2*B1590)*5)),0)+IF(AND(ArtifactsInput!$M$22,Inputs!$B$4&lt;&gt;"Chapter Hunt"),CHOOSE(ArtifactsInput!$N$22+1,10,12,14,16,18,20)*((0*(((0.15*B1590*5))^0/1)+1*(((0.15*B1590*5))^1/1)+2*(((0.15*B1590*5))^2/2)+3*(((0.15*B1590*5))^3/6)+4*(((0.15*B1590*5))^4/24)+5*(((0.15*B1590*5))^5/120))/((((0.15*B1590*5))^0/1)+(((0.15*B1590*5))^1/1)+(((0.15*B1590*5))^2/2)+(((0.15*B1590*5))^3/6)+(((0.15*B1590*5))^4/24)+(((0.15*B1590*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1558*(1-MIN(100,(Inputs!$B$9+((C1575=TRUE)*(F1575-Calc!F19))+B1588+(ArtifactsInput!$M$24-ArtifactsInput!$M$24)*CHOOSE(ArtifactsInput!$N$24+1,10,12,14,16,18,20)+(IF(AND(ArtifactsInput!$M$42,((Inputs!$B$9+((C1575=TRUE)*(F1575-Calc!F19))+B1588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1558*(MIN(100,(Inputs!$B$9+((C1575=TRUE)*(F1575-Calc!F19))+B1588+(ArtifactsInput!$M$24-ArtifactsInput!$M$24)*CHOOSE(ArtifactsInput!$N$24+1,10,12,14,16,18,20)+(IF(AND(ArtifactsInput!$M$42,((Inputs!$B$9+((C1575=TRUE)*(F1575-Calc!F19))+B1588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1558*(1-MIN(100,(Inputs!$B$9+((C1575=TRUE)*(F1575-Calc!F19))+B1588+(ArtifactsInput!$M$24-ArtifactsInput!$M$24)*CHOOSE(ArtifactsInput!$N$24+1,10,12,14,16,18,20)+(IF(AND(ArtifactsInput!$M$42,((Inputs!$B$9+((C1575=TRUE)*(F1575-Calc!F19))+B1588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1558*(MIN(100,(Inputs!$B$9+((C1575=TRUE)*(F1575-Calc!F19))+B1588+(ArtifactsInput!$M$24-ArtifactsInput!$M$24)*CHOOSE(ArtifactsInput!$N$24+1,10,12,14,16,18,20)+(IF(AND(ArtifactsInput!$M$42,((Inputs!$B$9+((C1575=TRUE)*(F1575-Calc!F19))+B1588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558">
        <f>MAX(0,(Inputs!$B$3-100)*3)+Inputs!$B$28+Inputs!$B$29</f>
        <v/>
      </c>
      <c r="V1558">
        <f>IF(C1558,(Skills!G2*N1558*B1592)*IF(Inputs!$B$38="pvp",1,(1+(Inputs!$B$21+Skills!Q2+(IF(ArtifactsInput!$M$33,CHOOSE(ArtifactsInput!$N$33+1,30,36,42,48,54,60),0))+(IF(AND(ArtifactsInput!$M$35,Inputs!$B$4&lt;&gt;"Chapter Hunt"),CHOOSE(ArtifactsInput!$N$35+1,15,18,21,24,27,30)*(1-EXP(-(0.2*B1590)*5)),0)+IF(AND(ArtifactsInput!$M$22,Inputs!$B$4&lt;&gt;"Chapter Hunt"),CHOOSE(ArtifactsInput!$N$22+1,10,12,14,16,18,20)*((0*(((0.15*B1590*5))^0/1)+1*(((0.15*B1590*5))^1/1)+2*(((0.15*B1590*5))^2/2)+3*(((0.15*B1590*5))^3/6)+4*(((0.15*B1590*5))^4/24)+5*(((0.15*B1590*5))^5/120))/((((0.15*B1590*5))^0/1)+(((0.15*B1590*5))^1/1)+(((0.15*B1590*5))^2/2)+(((0.15*B1590*5))^3/6)+(((0.15*B1590*5))^4/24)+(((0.15*B1590*5))^5/120)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559">
      <c r="A1559">
        <f>Skills!A3</f>
        <v/>
      </c>
      <c r="B1559">
        <f>Skills!B3</f>
        <v/>
      </c>
      <c r="C1559">
        <f>Inputs!$B$3&gt;=50</f>
        <v/>
      </c>
      <c r="D1559">
        <f>IF(Skills!C3=1,60+Inputs!$B$25+Inputs!$B$29,IF(Skills!C3=2,90+Inputs!$B$26+Inputs!$B$29,IF(Skills!C3=3,120+Inputs!$B$27+Inputs!$B$29,MAX(0,(Inputs!$B$3-100)*3)+Inputs!$B$28+Inputs!$B$29)))</f>
        <v/>
      </c>
      <c r="E1559">
        <f>INDEX(FactorTable!$B$2:$Y$301, MATCH(ROUND(MIN(300,MAX(1,D1559)),0), FactorTable!$A$2:$A$301,0), Skills!M3+1)</f>
        <v/>
      </c>
      <c r="F1559">
        <f>IF(Skills!N3=TRUE,(Skills!L3/10)*(E1559/1000),Skills!L3/10)+Skills!O3</f>
        <v/>
      </c>
      <c r="G1559" t="inlineStr"/>
      <c r="H1559" t="inlineStr"/>
      <c r="I1559" t="inlineStr">
        <is>
          <t>1</t>
        </is>
      </c>
      <c r="J1559" t="inlineStr"/>
      <c r="K1559" t="inlineStr"/>
      <c r="L1559" t="inlineStr"/>
      <c r="M1559" t="inlineStr"/>
      <c r="N1559" t="inlineStr"/>
      <c r="O1559" t="inlineStr"/>
      <c r="P1559" t="inlineStr"/>
      <c r="Q1559" t="inlineStr"/>
      <c r="R1559" t="inlineStr"/>
      <c r="S1559" t="inlineStr"/>
      <c r="T1559" t="inlineStr"/>
      <c r="U1559">
        <f>INDEX(FactorTable!$B$2:$Y$301, MATCH(ROUND(MIN(300,MAX(1,U1558)),0), FactorTable!$A$2:$A$301,0), 22)</f>
        <v/>
      </c>
      <c r="V1559" t="inlineStr"/>
    </row>
    <row r="1560">
      <c r="A1560">
        <f>Skills!A4</f>
        <v/>
      </c>
      <c r="B1560">
        <f>Skills!B4</f>
        <v/>
      </c>
      <c r="C1560">
        <f>Inputs!$B$3&gt;=105</f>
        <v/>
      </c>
      <c r="D1560">
        <f>IF(Skills!C4=1,60+Inputs!$B$25+Inputs!$B$29,IF(Skills!C4=2,90+Inputs!$B$26+Inputs!$B$29,IF(Skills!C4=3,120+Inputs!$B$27+Inputs!$B$29,MAX(0,(Inputs!$B$3-100)*3)+Inputs!$B$28+Inputs!$B$29)))</f>
        <v/>
      </c>
      <c r="E1560">
        <f>INDEX(FactorTable!$B$2:$Y$301, MATCH(ROUND(MIN(300,MAX(1,D1560)),0), FactorTable!$A$2:$A$301,0), Skills!M4+1)</f>
        <v/>
      </c>
      <c r="F1560">
        <f>IF(Skills!N4=TRUE,(Skills!L4/10)*(E1560/1000),Skills!L4/10)+Skills!O4</f>
        <v/>
      </c>
      <c r="G1560" t="inlineStr"/>
      <c r="H1560" t="inlineStr"/>
      <c r="I1560" t="inlineStr">
        <is>
          <t>1</t>
        </is>
      </c>
      <c r="J1560" t="inlineStr"/>
      <c r="K1560" t="inlineStr"/>
      <c r="L1560" t="inlineStr"/>
      <c r="M1560" t="inlineStr"/>
      <c r="N1560" t="inlineStr"/>
      <c r="O1560" t="inlineStr"/>
      <c r="P1560" t="inlineStr"/>
      <c r="Q1560" t="inlineStr"/>
      <c r="R1560" t="inlineStr"/>
      <c r="S1560" t="inlineStr"/>
      <c r="T1560" t="inlineStr"/>
      <c r="U1560">
        <f>290*U1559/1000</f>
        <v/>
      </c>
      <c r="V1560" t="inlineStr"/>
    </row>
    <row r="1561">
      <c r="A1561">
        <f>Skills!A5</f>
        <v/>
      </c>
      <c r="B1561">
        <f>Skills!B5</f>
        <v/>
      </c>
      <c r="C1561">
        <f>Inputs!$B$3&gt;=35</f>
        <v/>
      </c>
      <c r="D1561">
        <f>IF(Skills!C5=1,60+Inputs!$B$25+Inputs!$B$29,IF(Skills!C5=2,90+Inputs!$B$26+Inputs!$B$29,IF(Skills!C5=3,120+Inputs!$B$27+Inputs!$B$29,MAX(0,(Inputs!$B$3-100)*3)+Inputs!$B$28+Inputs!$B$29)))</f>
        <v/>
      </c>
      <c r="E1561">
        <f>INDEX(FactorTable!$B$2:$Y$301, MATCH(ROUND(MIN(300,MAX(1,D1561)),0), FactorTable!$A$2:$A$301,0), Skills!M5+1)</f>
        <v/>
      </c>
      <c r="F1561">
        <f>IF(Skills!N5=TRUE,(Skills!L5/10)*(E1561/1000),Skills!L5/10)+Skills!O5</f>
        <v/>
      </c>
      <c r="G1561">
        <f>Skills!G5*IF(Skills!H5&gt;0,Skills!I5/Skills!H5,1)</f>
        <v/>
      </c>
      <c r="H1561">
        <f>1-(1-Skills!J5/100)^Skills!K5</f>
        <v/>
      </c>
      <c r="I1561" t="inlineStr">
        <is>
          <t>1</t>
        </is>
      </c>
      <c r="J1561">
        <f>((Inputs!$B$6*(1+Inputs!$B$7/100))+(((Inputs!$B$12*(1+Inputs!$B$13/100))-(Inputs!$B$12*(1+Inputs!$B$13/100)))+0.25*(Inputs!$B$14-Inputs!$B$14))*(1+Inputs!$B$7/100))*(F1561/100)</f>
        <v/>
      </c>
      <c r="K1561">
        <f>J1561*(1+((Inputs!$B$12*(1+Inputs!$B$13/100))*0.01+Inputs!$B$14*0.0025)/100)*(1+Inputs!$B$15/100)*(1+Inputs!$B$16/100)*(5000/(6000+Inputs!$B$42*(1-(100*(1-(1-(Inputs!$B$19+0)/100)*(1-CHOOSE(ArtifactsInput!$N$40+1,5,6,7,8,9,10)/100)^(ArtifactsInput!$M$40-ArtifactsInput!$M$40)))/100)))*(1+(Inputs!$B$24+((C1580=TRUE)*(F1580-Calc!F24))+((C1581=TRUE)*(F1581-Calc!F25))+B1594)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1564=TRUE,F1564,0)/100)*(1+(IF(Skills!A5="EMPOWERED_PIERCING_ARROW",Inputs!$B$17+((C1578=TRUE)*(F1578-Calc!F22))+(((IF(AND(ArtifactsInput!$M$42,((Inputs!$B$9+((C1575=TRUE)*(F1575-Calc!F19))+B1588+(ArtifactsInput!$M$24-ArtifactsInput!$M$24)*CHOOSE(ArtifactsInput!$N$24+1,10,12,14,16,18,20)+IF(ArtifactsInput!$M$10,CHOOSE(ArtifactsInput!$N$10+1,15,18,21,24,27,30)*(IF(Inputs!$B$38="pvp",MIN(15,15)/15,IF(AND(Inputs!$B$38&lt;&gt;"pvp",Inputs!$B$43&gt;0),MIN(15,Inputs!$B$43)/(Inputs!$B$43),0))),0)))&gt;=100),MIN(100,((Inputs!$B$9+((C1575=TRUE)*(F1575-Calc!F19))+B1588+(ArtifactsInput!$M$24-ArtifactsInput!$M$24)*CHOOSE(ArtifactsInput!$N$24+1,10,12,14,16,18,20)+IF(ArtifactsInput!$M$10,CHOOSE(ArtifactsInput!$N$10+1,15,18,21,24,27,30)*(IF(Inputs!$B$38="pvp",MIN(15,15)/15,IF(AND(Inputs!$B$38&lt;&gt;"pvp",Inputs!$B$43&gt;0),MIN(15,Inputs!$B$43)/(Inputs!$B$43),0))),0)))-100),0))*CHOOSE(ArtifactsInput!$N$42+1,0.6,0.72,0.84,0.96,1.08,1.2))),Inputs!$B$18+((C1583=TRUE)*(F1583-Calc!F27))+(IF(AND(ArtifactsInput!$M$42,((Inputs!$B$9+((C1575=TRUE)*(F1575-Calc!F19))+B1588+(ArtifactsInput!$M$24-ArtifactsInput!$M$24)*CHOOSE(ArtifactsInput!$N$24+1,10,12,14,16,18,20)+IF(ArtifactsInput!$M$10,CHOOSE(ArtifactsInput!$N$10+1,15,18,21,24,27,30)*(IF(Inputs!$B$38="pvp",MIN(15,15)/15,IF(AND(Inputs!$B$38&lt;&gt;"pvp",Inputs!$B$43&gt;0),MIN(15,Inputs!$B$43)/(Inputs!$B$43),0))),0)))&gt;=100),CHOOSE(ArtifactsInput!$N$42+1,40,48,56,64,72,80),0))))/100)*((1+(((C1569=TRUE)*F1569)+((C1570=TRUE)*IF(Inputs!$B$38="pvp",F1570,(1-Summary!$B$11)*(F1570)+Summary!$B$11*(0)))+((C1571=TRUE)*F1571*IF(AND(Inputs!$B$38&lt;&gt;"pvp",Inputs!$B$43&gt;0),(((R1571-1)*(Skills!T15*(1+Inputs!$B$34/100))+MIN((Skills!T15*(1+Inputs!$B$34/100)),MAX(0,Inputs!$B$43-((R1571-1)*Skills!D15))))/Inputs!$B$43),IF(Inputs!$B$38="pvp",MIN((Skills!T15*(1+Inputs!$B$34/100)),15)/15,(Skills!T15*(1+Inputs!$B$34/100))/Skills!D15)))+((C1568=TRUE)*F1568)+((C1585=TRUE)*(F1585-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1561)</f>
        <v/>
      </c>
      <c r="L1561">
        <f>K1561*(MIN(Inputs!$B$22+((C1579=TRUE)*(F1579-Calc!F23)),(Inputs!$B$23+((C1584=TRUE)*(F1584-Calc!F28))+(IF(ArtifactsInput!$M$15,CHOOSE(ArtifactsInput!$N$15+1,25,30,35,40,45,50)/100*(Inputs!$B$11-Inputs!$B$11),0))))/100+(Inputs!$B$23+((C1584=TRUE)*(F1584-Calc!F28))+(IF(ArtifactsInput!$M$15,CHOOSE(ArtifactsInput!$N$15+1,25,30,35,40,45,50)/100*(Inputs!$B$11-Inputs!$B$11),0)))/100)/2</f>
        <v/>
      </c>
      <c r="M1561">
        <f>L1561*(1+(Inputs!$B$10+0+B1593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561">
        <f>L1561*(1-MIN((Inputs!$B$9+((C1575=TRUE)*(F1575-Calc!F19))+B1588+(ArtifactsInput!$M$24-ArtifactsInput!$M$24)*CHOOSE(ArtifactsInput!$N$24+1,10,12,14,16,18,20)+(IF(AND(ArtifactsInput!$M$42,((Inputs!$B$9+((C1575=TRUE)*(F1575-Calc!F19))+B1588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1561*(MIN((Inputs!$B$9+((C1575=TRUE)*(F1575-Calc!F19))+B1588+(ArtifactsInput!$M$24-ArtifactsInput!$M$24)*CHOOSE(ArtifactsInput!$N$24+1,10,12,14,16,18,20)+(IF(AND(ArtifactsInput!$M$42,((Inputs!$B$9+((C1575=TRUE)*(F1575-Calc!F19))+B1588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561">
        <f>(1-Summary!$B$11)*T1561+Summary!$B$11*V1561</f>
        <v/>
      </c>
      <c r="P1561">
        <f>IF(B1598=0,0,O1561/B1598)</f>
        <v/>
      </c>
      <c r="Q1561">
        <f>IFERROR(1/IF(Inputs!$B$38="pvp",15,MAX(0.1,Skills!D5-IF(Skills!E5=TRUE,Inputs!$B$32,0))),0)</f>
        <v/>
      </c>
      <c r="R1561">
        <f>IF(AND(Inputs!$B$38&lt;&gt;"pvp",Inputs!$B$43&gt;0),IF(MAX(0,Inputs!$B$43-B1595)&lt;=0,0,(INT(MAX(0,Inputs!$B$43-B1595)/IF(Inputs!$B$38="pvp",15,MAX(0.1,Skills!D5-IF(Skills!E5=TRUE,Inputs!$B$32,0))))+1)),0)</f>
        <v/>
      </c>
      <c r="S1561">
        <f>IFERROR((H1561*N1561*IF(AND(Inputs!$B$38&lt;&gt;"pvp",Inputs!$B$43&gt;0),((Skills!G5*((R1561-1)*IF(Skills!H5&gt;0,Skills!I5/Skills!H5,1)+IF(Skills!H5&gt;0,MIN(Skills!I5,MAX(0,MAX(0,Inputs!$B$43-B1595)-((R1561-1)*IF(Inputs!$B$38="pvp",15,MAX(0.1,Skills!D5-IF(Skills!E5=TRUE,Inputs!$B$32,0))))))/Skills!H5,1)))/Inputs!$B$43),G1561*Q1561))/N1561*IF(Inputs!$B$38="pvp",1,(1-Summary!$B$11)*1+Summary!$B$11*(MIN(Skills!R5,Inputs!$B$37))),0)</f>
        <v/>
      </c>
      <c r="T1561">
        <f>IF(C1561,(H1561*N1561*IF(AND(Inputs!$B$38&lt;&gt;"pvp",Inputs!$B$43&gt;0),((Skills!G5*((R1561-1)*IF(Skills!H5&gt;0,Skills!I5/Skills!H5,1)+IF(Skills!H5&gt;0,MIN(Skills!I5,MAX(0,MAX(0,Inputs!$B$43-B1595)-((R1561-1)*IF(Inputs!$B$38="pvp",15,MAX(0.1,Skills!D5-IF(Skills!E5=TRUE,Inputs!$B$32,0))))))/Skills!H5,1)))/Inputs!$B$43),G1561*Q1561))*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Hunt"),CHOOSE(ArtifactsInput!$N$35+1,15,18,21,24,27,30)*(1-EXP(-(0.2*B1590)*5)),0)+IF(AND(ArtifactsInput!$M$22,Inputs!$B$4&lt;&gt;"Chapter Hunt"),CHOOSE(ArtifactsInput!$N$22+1,10,12,14,16,18,20)*((0*(((0.15*B1590*5))^0/1)+1*(((0.15*B1590*5))^1/1)+2*(((0.15*B1590*5))^2/2)+3*(((0.15*B1590*5))^3/6)+4*(((0.15*B1590*5))^4/24)+5*(((0.15*B1590*5))^5/120))/((((0.15*B1590*5))^0/1)+(((0.15*B1590*5))^1/1)+(((0.15*B1590*5))^2/2)+(((0.15*B1590*5))^3/6)+(((0.15*B1590*5))^4/24)+(((0.15*B1590*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1561*(1-MIN(100,(Inputs!$B$9+((C1575=TRUE)*(F1575-Calc!F19))+B1588+(ArtifactsInput!$M$24-ArtifactsInput!$M$24)*CHOOSE(ArtifactsInput!$N$24+1,10,12,14,16,18,20)+(IF(AND(ArtifactsInput!$M$42,((Inputs!$B$9+((C1575=TRUE)*(F1575-Calc!F19))+B1588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1561*(MIN(100,(Inputs!$B$9+((C1575=TRUE)*(F1575-Calc!F19))+B1588+(ArtifactsInput!$M$24-ArtifactsInput!$M$24)*CHOOSE(ArtifactsInput!$N$24+1,10,12,14,16,18,20)+(IF(AND(ArtifactsInput!$M$42,((Inputs!$B$9+((C1575=TRUE)*(F1575-Calc!F19))+B1588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1561*(1-MIN(100,(Inputs!$B$9+((C1575=TRUE)*(F1575-Calc!F19))+B1588+(ArtifactsInput!$M$24-ArtifactsInput!$M$24)*CHOOSE(ArtifactsInput!$N$24+1,10,12,14,16,18,20)+(IF(AND(ArtifactsInput!$M$42,((Inputs!$B$9+((C1575=TRUE)*(F1575-Calc!F19))+B1588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1561*(MIN(100,(Inputs!$B$9+((C1575=TRUE)*(F1575-Calc!F19))+B1588+(ArtifactsInput!$M$24-ArtifactsInput!$M$24)*CHOOSE(ArtifactsInput!$N$24+1,10,12,14,16,18,20)+(IF(AND(ArtifactsInput!$M$42,((Inputs!$B$9+((C1575=TRUE)*(F1575-Calc!F19))+B1588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561">
        <f>IF(C1561,(H1561*N1561*IF(AND(Inputs!$B$38&lt;&gt;"pvp",Inputs!$B$43&gt;0),((Skills!G5*((R1561-1)*IF(Skills!H5&gt;0,Skills!I5/Skills!H5,1)+IF(Skills!H5&gt;0,MIN(Skills!I5,MAX(0,MAX(0,Inputs!$B$43-B1595)-((R1561-1)*IF(Inputs!$B$38="pvp",15,MAX(0.1,Skills!D5-IF(Skills!E5=TRUE,Inputs!$B$32,0))))))/Skills!H5,1)))/Inputs!$B$43),G1561*Q1561))*IF(Inputs!$B$38="pvp",1,(1+(Inputs!$B$21+Skills!Q5+(IF(ArtifactsInput!$M$33,CHOOSE(ArtifactsInput!$N$33+1,30,36,42,48,54,60),0))+(IF(AND(ArtifactsInput!$M$35,Inputs!$B$4&lt;&gt;"Chapter Hunt"),CHOOSE(ArtifactsInput!$N$35+1,15,18,21,24,27,30)*(1-EXP(-(0.2*B1590)*5)),0)+IF(AND(ArtifactsInput!$M$22,Inputs!$B$4&lt;&gt;"Chapter Hunt"),CHOOSE(ArtifactsInput!$N$22+1,10,12,14,16,18,20)*((0*(((0.15*B1590*5))^0/1)+1*(((0.15*B1590*5))^1/1)+2*(((0.15*B1590*5))^2/2)+3*(((0.15*B1590*5))^3/6)+4*(((0.15*B1590*5))^4/24)+5*(((0.15*B1590*5))^5/120))/((((0.15*B1590*5))^0/1)+(((0.15*B1590*5))^1/1)+(((0.15*B1590*5))^2/2)+(((0.15*B1590*5))^3/6)+(((0.15*B1590*5))^4/24)+(((0.15*B1590*5))^5/120)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562">
      <c r="A1562">
        <f>Skills!A6</f>
        <v/>
      </c>
      <c r="B1562">
        <f>Skills!B6</f>
        <v/>
      </c>
      <c r="C1562">
        <f>Inputs!$B$3&gt;=63</f>
        <v/>
      </c>
      <c r="D1562">
        <f>IF(Skills!C6=1,60+Inputs!$B$25+Inputs!$B$29,IF(Skills!C6=2,90+Inputs!$B$26+Inputs!$B$29,IF(Skills!C6=3,120+Inputs!$B$27+Inputs!$B$29,MAX(0,(Inputs!$B$3-100)*3)+Inputs!$B$28+Inputs!$B$29)))</f>
        <v/>
      </c>
      <c r="E1562">
        <f>INDEX(FactorTable!$B$2:$Y$301, MATCH(ROUND(MIN(300,MAX(1,D1562)),0), FactorTable!$A$2:$A$301,0), Skills!M6+1)</f>
        <v/>
      </c>
      <c r="F1562">
        <f>IF(Skills!N6=TRUE,(Skills!L6/10)*(E1562/1000),Skills!L6/10)+Skills!O6</f>
        <v/>
      </c>
      <c r="G1562">
        <f>Skills!G6*IF(Skills!H6&gt;0,Skills!I6/Skills!H6,1)</f>
        <v/>
      </c>
      <c r="H1562">
        <f>1-(1-Skills!J6/100)^Skills!K6</f>
        <v/>
      </c>
      <c r="I1562" t="inlineStr">
        <is>
          <t>1</t>
        </is>
      </c>
      <c r="J1562">
        <f>((Inputs!$B$6*(1+Inputs!$B$7/100))+(((Inputs!$B$12*(1+Inputs!$B$13/100))-(Inputs!$B$12*(1+Inputs!$B$13/100)))+0.25*(Inputs!$B$14-Inputs!$B$14))*(1+Inputs!$B$7/100))*(F1562/100)</f>
        <v/>
      </c>
      <c r="K1562">
        <f>J1562*(1+((Inputs!$B$12*(1+Inputs!$B$13/100))*0.01+Inputs!$B$14*0.0025)/100)*(1+Inputs!$B$15/100)*(1+Inputs!$B$16/100)*(5000/(6000+Inputs!$B$42*(1-(100*(1-(1-(Inputs!$B$19+0)/100)*(1-CHOOSE(ArtifactsInput!$N$40+1,5,6,7,8,9,10)/100)^(ArtifactsInput!$M$40-ArtifactsInput!$M$40)))/100)))*(1+(Inputs!$B$24+((C1580=TRUE)*(F1580-Calc!F24))+((C1581=TRUE)*(F1581-Calc!F25))+B1594)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1564=TRUE,F1564,0)/100)*(1+(IF(Skills!A6="EMPOWERED_PIERCING_ARROW",Inputs!$B$17+((C1578=TRUE)*(F1578-Calc!F22))+(((IF(AND(ArtifactsInput!$M$42,((Inputs!$B$9+((C1575=TRUE)*(F1575-Calc!F19))+B1588+(ArtifactsInput!$M$24-ArtifactsInput!$M$24)*CHOOSE(ArtifactsInput!$N$24+1,10,12,14,16,18,20)+IF(ArtifactsInput!$M$10,CHOOSE(ArtifactsInput!$N$10+1,15,18,21,24,27,30)*(IF(Inputs!$B$38="pvp",MIN(15,15)/15,IF(AND(Inputs!$B$38&lt;&gt;"pvp",Inputs!$B$43&gt;0),MIN(15,Inputs!$B$43)/(Inputs!$B$43),0))),0)))&gt;=100),MIN(100,((Inputs!$B$9+((C1575=TRUE)*(F1575-Calc!F19))+B1588+(ArtifactsInput!$M$24-ArtifactsInput!$M$24)*CHOOSE(ArtifactsInput!$N$24+1,10,12,14,16,18,20)+IF(ArtifactsInput!$M$10,CHOOSE(ArtifactsInput!$N$10+1,15,18,21,24,27,30)*(IF(Inputs!$B$38="pvp",MIN(15,15)/15,IF(AND(Inputs!$B$38&lt;&gt;"pvp",Inputs!$B$43&gt;0),MIN(15,Inputs!$B$43)/(Inputs!$B$43),0))),0)))-100),0))*CHOOSE(ArtifactsInput!$N$42+1,0.6,0.72,0.84,0.96,1.08,1.2))),Inputs!$B$18+((C1583=TRUE)*(F1583-Calc!F27))+(IF(AND(ArtifactsInput!$M$42,((Inputs!$B$9+((C1575=TRUE)*(F1575-Calc!F19))+B1588+(ArtifactsInput!$M$24-ArtifactsInput!$M$24)*CHOOSE(ArtifactsInput!$N$24+1,10,12,14,16,18,20)+IF(ArtifactsInput!$M$10,CHOOSE(ArtifactsInput!$N$10+1,15,18,21,24,27,30)*(IF(Inputs!$B$38="pvp",MIN(15,15)/15,IF(AND(Inputs!$B$38&lt;&gt;"pvp",Inputs!$B$43&gt;0),MIN(15,Inputs!$B$43)/(Inputs!$B$43),0))),0)))&gt;=100),CHOOSE(ArtifactsInput!$N$42+1,40,48,56,64,72,80),0))))/100)*((1+(((C1569=TRUE)*F1569)+((C1570=TRUE)*IF(Inputs!$B$38="pvp",F1570,(1-Summary!$B$11)*(F1570)+Summary!$B$11*(0)))+((C1571=TRUE)*F1571*IF(AND(Inputs!$B$38&lt;&gt;"pvp",Inputs!$B$43&gt;0),(((R1571-1)*(Skills!T15*(1+Inputs!$B$34/100))+MIN((Skills!T15*(1+Inputs!$B$34/100)),MAX(0,Inputs!$B$43-((R1571-1)*Skills!D15))))/Inputs!$B$43),IF(Inputs!$B$38="pvp",MIN((Skills!T15*(1+Inputs!$B$34/100)),15)/15,(Skills!T15*(1+Inputs!$B$34/100))/Skills!D15)))+((C1568=TRUE)*F1568)+((C1585=TRUE)*(F1585-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1562)</f>
        <v/>
      </c>
      <c r="L1562">
        <f>K1562*(MIN(Inputs!$B$22+((C1579=TRUE)*(F1579-Calc!F23)),(Inputs!$B$23+((C1584=TRUE)*(F1584-Calc!F28))+(IF(ArtifactsInput!$M$15,CHOOSE(ArtifactsInput!$N$15+1,25,30,35,40,45,50)/100*(Inputs!$B$11-Inputs!$B$11),0))))/100+(Inputs!$B$23+((C1584=TRUE)*(F1584-Calc!F28))+(IF(ArtifactsInput!$M$15,CHOOSE(ArtifactsInput!$N$15+1,25,30,35,40,45,50)/100*(Inputs!$B$11-Inputs!$B$11),0)))/100)/2</f>
        <v/>
      </c>
      <c r="M1562">
        <f>L1562*(1+(Inputs!$B$10+0+B1593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562">
        <f>L1562*(1-MIN((Inputs!$B$9+((C1575=TRUE)*(F1575-Calc!F19))+B1588+(ArtifactsInput!$M$24-ArtifactsInput!$M$24)*CHOOSE(ArtifactsInput!$N$24+1,10,12,14,16,18,20)+(IF(AND(ArtifactsInput!$M$42,((Inputs!$B$9+((C1575=TRUE)*(F1575-Calc!F19))+B1588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1562*(MIN((Inputs!$B$9+((C1575=TRUE)*(F1575-Calc!F19))+B1588+(ArtifactsInput!$M$24-ArtifactsInput!$M$24)*CHOOSE(ArtifactsInput!$N$24+1,10,12,14,16,18,20)+(IF(AND(ArtifactsInput!$M$42,((Inputs!$B$9+((C1575=TRUE)*(F1575-Calc!F19))+B1588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562">
        <f>(1-Summary!$B$11)*T1562+Summary!$B$11*V1562</f>
        <v/>
      </c>
      <c r="P1562">
        <f>IF(B1598=0,0,O1562/B1598)</f>
        <v/>
      </c>
      <c r="Q1562">
        <f>IFERROR(1/IF(Inputs!$B$38="pvp",15,MAX(0.1,Skills!D6-IF(Skills!E6=TRUE,Inputs!$B$32,0))),0)</f>
        <v/>
      </c>
      <c r="R1562">
        <f>IF(AND(Inputs!$B$38&lt;&gt;"pvp",Inputs!$B$43&gt;0),IF(MAX(0,Inputs!$B$43-B1595)&lt;=0,0,(INT(MAX(0,Inputs!$B$43-B1595)/IF(Inputs!$B$38="pvp",15,MAX(0.1,Skills!D6-IF(Skills!E6=TRUE,Inputs!$B$32,0))))+1)),0)</f>
        <v/>
      </c>
      <c r="S1562">
        <f>IFERROR((H1562*N1562*IF(AND(Inputs!$B$38&lt;&gt;"pvp",Inputs!$B$43&gt;0),((Skills!G6*((R1562-1)*IF(Skills!H6&gt;0,Skills!I6/Skills!H6,1)+IF(Skills!H6&gt;0,MIN(Skills!I6,MAX(0,MAX(0,Inputs!$B$43-B1595)-((R1562-1)*IF(Inputs!$B$38="pvp",15,MAX(0.1,Skills!D6-IF(Skills!E6=TRUE,Inputs!$B$32,0))))))/Skills!H6,1)))/Inputs!$B$43),G1562*Q1562))/N1562*IF(Inputs!$B$38="pvp",1,(1-Summary!$B$11)*1+Summary!$B$11*(MIN(Skills!R6,Inputs!$B$37))),0)</f>
        <v/>
      </c>
      <c r="T1562">
        <f>IF(C1562,(H1562*N1562*IF(AND(Inputs!$B$38&lt;&gt;"pvp",Inputs!$B$43&gt;0),((Skills!G6*((R1562-1)*IF(Skills!H6&gt;0,Skills!I6/Skills!H6,1)+IF(Skills!H6&gt;0,MIN(Skills!I6,MAX(0,MAX(0,Inputs!$B$43-B1595)-((R1562-1)*IF(Inputs!$B$38="pvp",15,MAX(0.1,Skills!D6-IF(Skills!E6=TRUE,Inputs!$B$32,0))))))/Skills!H6,1)))/Inputs!$B$43),G1562*Q1562))*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Hunt"),CHOOSE(ArtifactsInput!$N$35+1,15,18,21,24,27,30)*(1-EXP(-(0.2*B1590)*5)),0)+IF(AND(ArtifactsInput!$M$22,Inputs!$B$4&lt;&gt;"Chapter Hunt"),CHOOSE(ArtifactsInput!$N$22+1,10,12,14,16,18,20)*((0*(((0.15*B1590*5))^0/1)+1*(((0.15*B1590*5))^1/1)+2*(((0.15*B1590*5))^2/2)+3*(((0.15*B1590*5))^3/6)+4*(((0.15*B1590*5))^4/24)+5*(((0.15*B1590*5))^5/120))/((((0.15*B1590*5))^0/1)+(((0.15*B1590*5))^1/1)+(((0.15*B1590*5))^2/2)+(((0.15*B1590*5))^3/6)+(((0.15*B1590*5))^4/24)+(((0.15*B1590*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1562*(1-MIN(100,(Inputs!$B$9+((C1575=TRUE)*(F1575-Calc!F19))+B1588+(ArtifactsInput!$M$24-ArtifactsInput!$M$24)*CHOOSE(ArtifactsInput!$N$24+1,10,12,14,16,18,20)+(IF(AND(ArtifactsInput!$M$42,((Inputs!$B$9+((C1575=TRUE)*(F1575-Calc!F19))+B1588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1562*(MIN(100,(Inputs!$B$9+((C1575=TRUE)*(F1575-Calc!F19))+B1588+(ArtifactsInput!$M$24-ArtifactsInput!$M$24)*CHOOSE(ArtifactsInput!$N$24+1,10,12,14,16,18,20)+(IF(AND(ArtifactsInput!$M$42,((Inputs!$B$9+((C1575=TRUE)*(F1575-Calc!F19))+B1588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1562*(1-MIN(100,(Inputs!$B$9+((C1575=TRUE)*(F1575-Calc!F19))+B1588+(ArtifactsInput!$M$24-ArtifactsInput!$M$24)*CHOOSE(ArtifactsInput!$N$24+1,10,12,14,16,18,20)+(IF(AND(ArtifactsInput!$M$42,((Inputs!$B$9+((C1575=TRUE)*(F1575-Calc!F19))+B1588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1562*(MIN(100,(Inputs!$B$9+((C1575=TRUE)*(F1575-Calc!F19))+B1588+(ArtifactsInput!$M$24-ArtifactsInput!$M$24)*CHOOSE(ArtifactsInput!$N$24+1,10,12,14,16,18,20)+(IF(AND(ArtifactsInput!$M$42,((Inputs!$B$9+((C1575=TRUE)*(F1575-Calc!F19))+B1588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562">
        <f>IF(C1562,(H1562*N1562*IF(AND(Inputs!$B$38&lt;&gt;"pvp",Inputs!$B$43&gt;0),((Skills!G6*((R1562-1)*IF(Skills!H6&gt;0,Skills!I6/Skills!H6,1)+IF(Skills!H6&gt;0,MIN(Skills!I6,MAX(0,MAX(0,Inputs!$B$43-B1595)-((R1562-1)*IF(Inputs!$B$38="pvp",15,MAX(0.1,Skills!D6-IF(Skills!E6=TRUE,Inputs!$B$32,0))))))/Skills!H6,1)))/Inputs!$B$43),G1562*Q1562))*IF(Inputs!$B$38="pvp",1,(1+(Inputs!$B$21+Skills!Q6+(IF(ArtifactsInput!$M$33,CHOOSE(ArtifactsInput!$N$33+1,30,36,42,48,54,60),0))+(IF(AND(ArtifactsInput!$M$35,Inputs!$B$4&lt;&gt;"Chapter Hunt"),CHOOSE(ArtifactsInput!$N$35+1,15,18,21,24,27,30)*(1-EXP(-(0.2*B1590)*5)),0)+IF(AND(ArtifactsInput!$M$22,Inputs!$B$4&lt;&gt;"Chapter Hunt"),CHOOSE(ArtifactsInput!$N$22+1,10,12,14,16,18,20)*((0*(((0.15*B1590*5))^0/1)+1*(((0.15*B1590*5))^1/1)+2*(((0.15*B1590*5))^2/2)+3*(((0.15*B1590*5))^3/6)+4*(((0.15*B1590*5))^4/24)+5*(((0.15*B1590*5))^5/120))/((((0.15*B1590*5))^0/1)+(((0.15*B1590*5))^1/1)+(((0.15*B1590*5))^2/2)+(((0.15*B1590*5))^3/6)+(((0.15*B1590*5))^4/24)+(((0.15*B1590*5))^5/120))),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563">
      <c r="A1563">
        <f>Skills!A7</f>
        <v/>
      </c>
      <c r="B1563">
        <f>Skills!B7</f>
        <v/>
      </c>
      <c r="C1563">
        <f>Inputs!$B$3&gt;=69</f>
        <v/>
      </c>
      <c r="D1563">
        <f>IF(Skills!C7=1,60+Inputs!$B$25+Inputs!$B$29,IF(Skills!C7=2,90+Inputs!$B$26+Inputs!$B$29,IF(Skills!C7=3,120+Inputs!$B$27+Inputs!$B$29,MAX(0,(Inputs!$B$3-100)*3)+Inputs!$B$28+Inputs!$B$29)))</f>
        <v/>
      </c>
      <c r="E1563">
        <f>INDEX(FactorTable!$B$2:$Y$301, MATCH(ROUND(MIN(300,MAX(1,D1563)),0), FactorTable!$A$2:$A$301,0), Skills!M7+1)</f>
        <v/>
      </c>
      <c r="F1563">
        <f>IF(Skills!N7=TRUE,(Skills!L7/10)*(E1563/1000),Skills!L7/10)+Skills!O7</f>
        <v/>
      </c>
      <c r="G1563">
        <f>Skills!G7*IF(Skills!H7&gt;0,Skills!I7/Skills!H7,1)</f>
        <v/>
      </c>
      <c r="H1563">
        <f>1-(1-Skills!J7/100)^Skills!K7</f>
        <v/>
      </c>
      <c r="I1563" t="inlineStr">
        <is>
          <t>1</t>
        </is>
      </c>
      <c r="J1563">
        <f>((Inputs!$B$6*(1+Inputs!$B$7/100))+(((Inputs!$B$12*(1+Inputs!$B$13/100))-(Inputs!$B$12*(1+Inputs!$B$13/100)))+0.25*(Inputs!$B$14-Inputs!$B$14))*(1+Inputs!$B$7/100))*(F1563/100)</f>
        <v/>
      </c>
      <c r="K1563">
        <f>J1563*(1+((Inputs!$B$12*(1+Inputs!$B$13/100))*0.01+Inputs!$B$14*0.0025)/100)*(1+Inputs!$B$15/100)*(1+Inputs!$B$16/100)*(5000/(6000+Inputs!$B$42*(1-(100*(1-(1-(Inputs!$B$19+0)/100)*(1-CHOOSE(ArtifactsInput!$N$40+1,5,6,7,8,9,10)/100)^(ArtifactsInput!$M$40-ArtifactsInput!$M$40)))/100)))*(1+(Inputs!$B$24+((C1580=TRUE)*(F1580-Calc!F24))+((C1581=TRUE)*(F1581-Calc!F25))+B1594)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+1.2*IF(C1564=TRUE,F1564,0)/100)*(1+(IF(Skills!A7="EMPOWERED_PIERCING_ARROW",Inputs!$B$17+((C1578=TRUE)*(F1578-Calc!F22))+(((IF(AND(ArtifactsInput!$M$42,((Inputs!$B$9+((C1575=TRUE)*(F1575-Calc!F19))+B1588+(ArtifactsInput!$M$24-ArtifactsInput!$M$24)*CHOOSE(ArtifactsInput!$N$24+1,10,12,14,16,18,20)+IF(ArtifactsInput!$M$10,CHOOSE(ArtifactsInput!$N$10+1,15,18,21,24,27,30)*(IF(Inputs!$B$38="pvp",MIN(15,15)/15,IF(AND(Inputs!$B$38&lt;&gt;"pvp",Inputs!$B$43&gt;0),MIN(15,Inputs!$B$43)/(Inputs!$B$43),0))),0)))&gt;=100),MIN(100,((Inputs!$B$9+((C1575=TRUE)*(F1575-Calc!F19))+B1588+(ArtifactsInput!$M$24-ArtifactsInput!$M$24)*CHOOSE(ArtifactsInput!$N$24+1,10,12,14,16,18,20)+IF(ArtifactsInput!$M$10,CHOOSE(ArtifactsInput!$N$10+1,15,18,21,24,27,30)*(IF(Inputs!$B$38="pvp",MIN(15,15)/15,IF(AND(Inputs!$B$38&lt;&gt;"pvp",Inputs!$B$43&gt;0),MIN(15,Inputs!$B$43)/(Inputs!$B$43),0))),0)))-100),0))*CHOOSE(ArtifactsInput!$N$42+1,0.6,0.72,0.84,0.96,1.08,1.2))),Inputs!$B$18+((C1583=TRUE)*(F1583-Calc!F27))+(IF(AND(ArtifactsInput!$M$42,((Inputs!$B$9+((C1575=TRUE)*(F1575-Calc!F19))+B1588+(ArtifactsInput!$M$24-ArtifactsInput!$M$24)*CHOOSE(ArtifactsInput!$N$24+1,10,12,14,16,18,20)+IF(ArtifactsInput!$M$10,CHOOSE(ArtifactsInput!$N$10+1,15,18,21,24,27,30)*(IF(Inputs!$B$38="pvp",MIN(15,15)/15,IF(AND(Inputs!$B$38&lt;&gt;"pvp",Inputs!$B$43&gt;0),MIN(15,Inputs!$B$43)/(Inputs!$B$43),0))),0)))&gt;=100),CHOOSE(ArtifactsInput!$N$42+1,40,48,56,64,72,80),0))))/100)*((1+(((C1569=TRUE)*F1569)+((C1570=TRUE)*IF(Inputs!$B$38="pvp",F1570,(1-Summary!$B$11)*(F1570)+Summary!$B$11*(0)))+((C1571=TRUE)*F1571*IF(AND(Inputs!$B$38&lt;&gt;"pvp",Inputs!$B$43&gt;0),(((R1571-1)*(Skills!T15*(1+Inputs!$B$34/100))+MIN((Skills!T15*(1+Inputs!$B$34/100)),MAX(0,Inputs!$B$43-((R1571-1)*Skills!D15))))/Inputs!$B$43),IF(Inputs!$B$38="pvp",MIN((Skills!T15*(1+Inputs!$B$34/100)),15)/15,(Skills!T15*(1+Inputs!$B$34/100))/Skills!D15)))+((C1568=TRUE)*F1568)+((C1585=TRUE)*(F1585-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1563)</f>
        <v/>
      </c>
      <c r="L1563">
        <f>K1563*(MIN(Inputs!$B$22+((C1579=TRUE)*(F1579-Calc!F23)),(Inputs!$B$23+((C1584=TRUE)*(F1584-Calc!F28))+(IF(ArtifactsInput!$M$15,CHOOSE(ArtifactsInput!$N$15+1,25,30,35,40,45,50)/100*(Inputs!$B$11-Inputs!$B$11),0))))/100+(Inputs!$B$23+((C1584=TRUE)*(F1584-Calc!F28))+(IF(ArtifactsInput!$M$15,CHOOSE(ArtifactsInput!$N$15+1,25,30,35,40,45,50)/100*(Inputs!$B$11-Inputs!$B$11),0)))/100)/2</f>
        <v/>
      </c>
      <c r="M1563">
        <f>L1563*(1+(Inputs!$B$10+0+B1593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563">
        <f>L1563*(1-MIN((Inputs!$B$9+((C1575=TRUE)*(F1575-Calc!F19))+B1588+(ArtifactsInput!$M$24-ArtifactsInput!$M$24)*CHOOSE(ArtifactsInput!$N$24+1,10,12,14,16,18,20)+(IF(AND(ArtifactsInput!$M$42,((Inputs!$B$9+((C1575=TRUE)*(F1575-Calc!F19))+B1588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1563*(MIN((Inputs!$B$9+((C1575=TRUE)*(F1575-Calc!F19))+B1588+(ArtifactsInput!$M$24-ArtifactsInput!$M$24)*CHOOSE(ArtifactsInput!$N$24+1,10,12,14,16,18,20)+(IF(AND(ArtifactsInput!$M$42,((Inputs!$B$9+((C1575=TRUE)*(F1575-Calc!F19))+B1588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563">
        <f>(1-Summary!$B$11)*T1563+Summary!$B$11*V1563</f>
        <v/>
      </c>
      <c r="P1563">
        <f>IF(B1598=0,0,O1563/B1598)</f>
        <v/>
      </c>
      <c r="Q1563">
        <f>IFERROR(1/IF(Inputs!$B$38="pvp",15,MAX(0.1,Skills!D7-IF(Skills!E7=TRUE,Inputs!$B$32,0))),0)</f>
        <v/>
      </c>
      <c r="R1563">
        <f>IF(AND(Inputs!$B$38&lt;&gt;"pvp",Inputs!$B$43&gt;0),IF(MAX(0,Inputs!$B$43-B1595)&lt;=0,0,(INT(MAX(0,Inputs!$B$43-B1595)/IF(Inputs!$B$38="pvp",15,MAX(0.1,Skills!D7-IF(Skills!E7=TRUE,Inputs!$B$32,0))))+1)),0)</f>
        <v/>
      </c>
      <c r="S1563">
        <f>IFERROR((H1563*N1563*IF(AND(Inputs!$B$38&lt;&gt;"pvp",Inputs!$B$43&gt;0),((Skills!G7*((R1563-1)*IF(Skills!H7&gt;0,Skills!I7/Skills!H7,1)+IF(Skills!H7&gt;0,MIN(Skills!I7,MAX(0,MAX(0,Inputs!$B$43-B1595)-((R1563-1)*IF(Inputs!$B$38="pvp",15,MAX(0.1,Skills!D7-IF(Skills!E7=TRUE,Inputs!$B$32,0))))))/Skills!H7,1)))/Inputs!$B$43),G1563*Q1563))/N1563*IF(Inputs!$B$38="pvp",1,(1-Summary!$B$11)*1+Summary!$B$11*(MIN(Skills!R7,Inputs!$B$37))),0)</f>
        <v/>
      </c>
      <c r="T1563">
        <f>IF(C1563,(H1563*N1563*IF(AND(Inputs!$B$38&lt;&gt;"pvp",Inputs!$B$43&gt;0),((Skills!G7*((R1563-1)*IF(Skills!H7&gt;0,Skills!I7/Skills!H7,1)+IF(Skills!H7&gt;0,MIN(Skills!I7,MAX(0,MAX(0,Inputs!$B$43-B1595)-((R1563-1)*IF(Inputs!$B$38="pvp",15,MAX(0.1,Skills!D7-IF(Skills!E7=TRUE,Inputs!$B$32,0))))))/Skills!H7,1)))/Inputs!$B$43),G1563*Q1563))*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Hunt"),CHOOSE(ArtifactsInput!$N$35+1,15,18,21,24,27,30)*(1-EXP(-(0.2*B1590)*5)),0)+IF(AND(ArtifactsInput!$M$22,Inputs!$B$4&lt;&gt;"Chapter Hunt"),CHOOSE(ArtifactsInput!$N$22+1,10,12,14,16,18,20)*((0*(((0.15*B1590*5))^0/1)+1*(((0.15*B1590*5))^1/1)+2*(((0.15*B1590*5))^2/2)+3*(((0.15*B1590*5))^3/6)+4*(((0.15*B1590*5))^4/24)+5*(((0.15*B1590*5))^5/120))/((((0.15*B1590*5))^0/1)+(((0.15*B1590*5))^1/1)+(((0.15*B1590*5))^2/2)+(((0.15*B1590*5))^3/6)+(((0.15*B1590*5))^4/24)+(((0.15*B1590*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1563*(1-MIN(100,(Inputs!$B$9+((C1575=TRUE)*(F1575-Calc!F19))+B1588+(ArtifactsInput!$M$24-ArtifactsInput!$M$24)*CHOOSE(ArtifactsInput!$N$24+1,10,12,14,16,18,20)+(IF(AND(ArtifactsInput!$M$42,((Inputs!$B$9+((C1575=TRUE)*(F1575-Calc!F19))+B1588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1563*(MIN(100,(Inputs!$B$9+((C1575=TRUE)*(F1575-Calc!F19))+B1588+(ArtifactsInput!$M$24-ArtifactsInput!$M$24)*CHOOSE(ArtifactsInput!$N$24+1,10,12,14,16,18,20)+(IF(AND(ArtifactsInput!$M$42,((Inputs!$B$9+((C1575=TRUE)*(F1575-Calc!F19))+B1588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1563*(1-MIN(100,(Inputs!$B$9+((C1575=TRUE)*(F1575-Calc!F19))+B1588+(ArtifactsInput!$M$24-ArtifactsInput!$M$24)*CHOOSE(ArtifactsInput!$N$24+1,10,12,14,16,18,20)+(IF(AND(ArtifactsInput!$M$42,((Inputs!$B$9+((C1575=TRUE)*(F1575-Calc!F19))+B1588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1563*(MIN(100,(Inputs!$B$9+((C1575=TRUE)*(F1575-Calc!F19))+B1588+(ArtifactsInput!$M$24-ArtifactsInput!$M$24)*CHOOSE(ArtifactsInput!$N$24+1,10,12,14,16,18,20)+(IF(AND(ArtifactsInput!$M$42,((Inputs!$B$9+((C1575=TRUE)*(F1575-Calc!F19))+B1588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563">
        <f>IF(C1563,(H1563*N1563*IF(AND(Inputs!$B$38&lt;&gt;"pvp",Inputs!$B$43&gt;0),((Skills!G7*((R1563-1)*IF(Skills!H7&gt;0,Skills!I7/Skills!H7,1)+IF(Skills!H7&gt;0,MIN(Skills!I7,MAX(0,MAX(0,Inputs!$B$43-B1595)-((R1563-1)*IF(Inputs!$B$38="pvp",15,MAX(0.1,Skills!D7-IF(Skills!E7=TRUE,Inputs!$B$32,0))))))/Skills!H7,1)))/Inputs!$B$43),G1563*Q1563))*IF(Inputs!$B$38="pvp",1,(1+(Inputs!$B$21+Skills!Q7+(IF(ArtifactsInput!$M$33,CHOOSE(ArtifactsInput!$N$33+1,30,36,42,48,54,60),0))+(IF(AND(ArtifactsInput!$M$35,Inputs!$B$4&lt;&gt;"Chapter Hunt"),CHOOSE(ArtifactsInput!$N$35+1,15,18,21,24,27,30)*(1-EXP(-(0.2*B1590)*5)),0)+IF(AND(ArtifactsInput!$M$22,Inputs!$B$4&lt;&gt;"Chapter Hunt"),CHOOSE(ArtifactsInput!$N$22+1,10,12,14,16,18,20)*((0*(((0.15*B1590*5))^0/1)+1*(((0.15*B1590*5))^1/1)+2*(((0.15*B1590*5))^2/2)+3*(((0.15*B1590*5))^3/6)+4*(((0.15*B1590*5))^4/24)+5*(((0.15*B1590*5))^5/120))/((((0.15*B1590*5))^0/1)+(((0.15*B1590*5))^1/1)+(((0.15*B1590*5))^2/2)+(((0.15*B1590*5))^3/6)+(((0.15*B1590*5))^4/24)+(((0.15*B1590*5))^5/120))),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564">
      <c r="A1564">
        <f>Skills!A8</f>
        <v/>
      </c>
      <c r="B1564">
        <f>Skills!B8</f>
        <v/>
      </c>
      <c r="C1564">
        <f>Inputs!$B$3&gt;=100</f>
        <v/>
      </c>
      <c r="D1564">
        <f>IF(Skills!C8=1,60+Inputs!$B$25+Inputs!$B$29,IF(Skills!C8=2,90+Inputs!$B$26+Inputs!$B$29,IF(Skills!C8=3,120+Inputs!$B$27+Inputs!$B$29,MAX(0,(Inputs!$B$3-100)*3)+Inputs!$B$28+Inputs!$B$29)))</f>
        <v/>
      </c>
      <c r="E1564">
        <f>INDEX(FactorTable!$B$2:$Y$301, MATCH(ROUND(MIN(300,MAX(1,D1564)),0), FactorTable!$A$2:$A$301,0), Skills!M8+1)</f>
        <v/>
      </c>
      <c r="F1564">
        <f>IF(Skills!N8=TRUE,(Skills!L8/10)*(E1564/1000),Skills!L8/10)+Skills!O8</f>
        <v/>
      </c>
      <c r="G1564" t="inlineStr"/>
      <c r="H1564" t="inlineStr"/>
      <c r="I1564" t="inlineStr">
        <is>
          <t>1</t>
        </is>
      </c>
      <c r="J1564" t="inlineStr"/>
      <c r="K1564" t="inlineStr"/>
      <c r="L1564" t="inlineStr"/>
      <c r="M1564" t="inlineStr"/>
      <c r="N1564" t="inlineStr"/>
      <c r="O1564" t="inlineStr"/>
      <c r="P1564" t="inlineStr"/>
      <c r="Q1564" t="inlineStr"/>
      <c r="R1564" t="inlineStr"/>
      <c r="S1564" t="inlineStr"/>
      <c r="T1564" t="inlineStr"/>
      <c r="V1564" t="inlineStr"/>
    </row>
    <row r="1565">
      <c r="A1565">
        <f>Skills!A9</f>
        <v/>
      </c>
      <c r="B1565">
        <f>Skills!B9</f>
        <v/>
      </c>
      <c r="C1565">
        <f>Inputs!$B$3&gt;=103</f>
        <v/>
      </c>
      <c r="D1565">
        <f>IF(Skills!C9=1,60+Inputs!$B$25+Inputs!$B$29,IF(Skills!C9=2,90+Inputs!$B$26+Inputs!$B$29,IF(Skills!C9=3,120+Inputs!$B$27+Inputs!$B$29,MAX(0,(Inputs!$B$3-100)*3)+Inputs!$B$28+Inputs!$B$29)))</f>
        <v/>
      </c>
      <c r="E1565">
        <f>INDEX(FactorTable!$B$2:$Y$301, MATCH(ROUND(MIN(300,MAX(1,D1565)),0), FactorTable!$A$2:$A$301,0), Skills!M9+1)</f>
        <v/>
      </c>
      <c r="F1565">
        <f>IF(Skills!N9=TRUE,(Skills!L9/10)*(E1565/1000),Skills!L9/10)+Skills!O9</f>
        <v/>
      </c>
      <c r="G1565">
        <f>Skills!G9*IF(Skills!H9&gt;0,Skills!I9/Skills!H9,1)</f>
        <v/>
      </c>
      <c r="H1565">
        <f>1-(1-Skills!J9/100)^Skills!K9</f>
        <v/>
      </c>
      <c r="I1565" t="inlineStr">
        <is>
          <t>1</t>
        </is>
      </c>
      <c r="J1565">
        <f>((Inputs!$B$6*(1+Inputs!$B$7/100))+(((Inputs!$B$12*(1+Inputs!$B$13/100))-(Inputs!$B$12*(1+Inputs!$B$13/100)))+0.25*(Inputs!$B$14-Inputs!$B$14))*(1+Inputs!$B$7/100))*(F1565/100)</f>
        <v/>
      </c>
      <c r="K1565">
        <f>J1565*(1+((Inputs!$B$12*(1+Inputs!$B$13/100))*0.01+Inputs!$B$14*0.0025)/100)*(1+Inputs!$B$15/100)*(1+Inputs!$B$16/100)*(5000/(6000+Inputs!$B$42*(1-(100*(1-(1-(Inputs!$B$19+0)/100)*(1-CHOOSE(ArtifactsInput!$N$40+1,5,6,7,8,9,10)/100)^(ArtifactsInput!$M$40-ArtifactsInput!$M$40)))/100)))*(1+(Inputs!$B$24+((C1580=TRUE)*(F1580-Calc!F24))+((C1581=TRUE)*(F1581-Calc!F25))+B1594)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EMPOWERED_PIERCING_ARROW",Inputs!$B$17+((C1578=TRUE)*(F1578-Calc!F22))+(((IF(AND(ArtifactsInput!$M$42,((Inputs!$B$9+((C1575=TRUE)*(F1575-Calc!F19))+B1588+(ArtifactsInput!$M$24-ArtifactsInput!$M$24)*CHOOSE(ArtifactsInput!$N$24+1,10,12,14,16,18,20)+IF(ArtifactsInput!$M$10,CHOOSE(ArtifactsInput!$N$10+1,15,18,21,24,27,30)*(IF(Inputs!$B$38="pvp",MIN(15,15)/15,IF(AND(Inputs!$B$38&lt;&gt;"pvp",Inputs!$B$43&gt;0),MIN(15,Inputs!$B$43)/(Inputs!$B$43),0))),0)))&gt;=100),MIN(100,((Inputs!$B$9+((C1575=TRUE)*(F1575-Calc!F19))+B1588+(ArtifactsInput!$M$24-ArtifactsInput!$M$24)*CHOOSE(ArtifactsInput!$N$24+1,10,12,14,16,18,20)+IF(ArtifactsInput!$M$10,CHOOSE(ArtifactsInput!$N$10+1,15,18,21,24,27,30)*(IF(Inputs!$B$38="pvp",MIN(15,15)/15,IF(AND(Inputs!$B$38&lt;&gt;"pvp",Inputs!$B$43&gt;0),MIN(15,Inputs!$B$43)/(Inputs!$B$43),0))),0)))-100),0))*CHOOSE(ArtifactsInput!$N$42+1,0.6,0.72,0.84,0.96,1.08,1.2))),Inputs!$B$18+((C1583=TRUE)*(F1583-Calc!F27))+(IF(AND(ArtifactsInput!$M$42,((Inputs!$B$9+((C1575=TRUE)*(F1575-Calc!F19))+B1588+(ArtifactsInput!$M$24-ArtifactsInput!$M$24)*CHOOSE(ArtifactsInput!$N$24+1,10,12,14,16,18,20)+IF(ArtifactsInput!$M$10,CHOOSE(ArtifactsInput!$N$10+1,15,18,21,24,27,30)*(IF(Inputs!$B$38="pvp",MIN(15,15)/15,IF(AND(Inputs!$B$38&lt;&gt;"pvp",Inputs!$B$43&gt;0),MIN(15,Inputs!$B$43)/(Inputs!$B$43),0))),0)))&gt;=100),CHOOSE(ArtifactsInput!$N$42+1,40,48,56,64,72,80),0))))/100)*((1+(((C1569=TRUE)*F1569)+((C1570=TRUE)*IF(Inputs!$B$38="pvp",F1570,(1-Summary!$B$11)*(F1570)+Summary!$B$11*(0)))+((C1571=TRUE)*F1571*IF(AND(Inputs!$B$38&lt;&gt;"pvp",Inputs!$B$43&gt;0),(((R1571-1)*(Skills!T15*(1+Inputs!$B$34/100))+MIN((Skills!T15*(1+Inputs!$B$34/100)),MAX(0,Inputs!$B$43-((R1571-1)*Skills!D15))))/Inputs!$B$43),IF(Inputs!$B$38="pvp",MIN((Skills!T15*(1+Inputs!$B$34/100)),15)/15,(Skills!T15*(1+Inputs!$B$34/100))/Skills!D15)))+((C1568=TRUE)*F1568)+((C1585=TRUE)*(F1585-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1565)</f>
        <v/>
      </c>
      <c r="L1565">
        <f>K1565*(MIN(Inputs!$B$22+((C1579=TRUE)*(F1579-Calc!F23)),(Inputs!$B$23+((C1584=TRUE)*(F1584-Calc!F28))+(IF(ArtifactsInput!$M$15,CHOOSE(ArtifactsInput!$N$15+1,25,30,35,40,45,50)/100*(Inputs!$B$11-Inputs!$B$11),0))))/100+(Inputs!$B$23+((C1584=TRUE)*(F1584-Calc!F28))+(IF(ArtifactsInput!$M$15,CHOOSE(ArtifactsInput!$N$15+1,25,30,35,40,45,50)/100*(Inputs!$B$11-Inputs!$B$11),0)))/100)/2</f>
        <v/>
      </c>
      <c r="M1565">
        <f>L1565*(1+(Inputs!$B$10+0+B1593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565">
        <f>L1565*(1-MIN((Inputs!$B$9+((C1575=TRUE)*(F1575-Calc!F19))+B1588+(ArtifactsInput!$M$24-ArtifactsInput!$M$24)*CHOOSE(ArtifactsInput!$N$24+1,10,12,14,16,18,20)+(IF(AND(ArtifactsInput!$M$42,((Inputs!$B$9+((C1575=TRUE)*(F1575-Calc!F19))+B1588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1565*(MIN((Inputs!$B$9+((C1575=TRUE)*(F1575-Calc!F19))+B1588+(ArtifactsInput!$M$24-ArtifactsInput!$M$24)*CHOOSE(ArtifactsInput!$N$24+1,10,12,14,16,18,20)+(IF(AND(ArtifactsInput!$M$42,((Inputs!$B$9+((C1575=TRUE)*(F1575-Calc!F19))+B1588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565">
        <f>(1-Summary!$B$11)*T1565+Summary!$B$11*V1565</f>
        <v/>
      </c>
      <c r="P1565">
        <f>IF(B1598=0,0,O1565/B1598)</f>
        <v/>
      </c>
      <c r="Q1565">
        <f>IFERROR(1/IF(Inputs!$B$38="pvp",15,MAX(0.1,Skills!D9-IF(Skills!E9=TRUE,Inputs!$B$32,0))),0)</f>
        <v/>
      </c>
      <c r="R1565">
        <f>IF(AND(Inputs!$B$38&lt;&gt;"pvp",Inputs!$B$43&gt;0),IF(MAX(0,Inputs!$B$43-B1595)&lt;=0,0,(INT(MAX(0,Inputs!$B$43-B1595)/IF(Inputs!$B$38="pvp",15,MAX(0.1,Skills!D9-IF(Skills!E9=TRUE,Inputs!$B$32,0))))+1)),0)</f>
        <v/>
      </c>
      <c r="S1565">
        <f>IFERROR((H1565*N1565*IF(AND(Inputs!$B$38&lt;&gt;"pvp",Inputs!$B$43&gt;0),((Skills!G9*((R1565-1)*IF(Skills!H9&gt;0,Skills!I9/Skills!H9,1)+IF(Skills!H9&gt;0,MIN(Skills!I9,MAX(0,MAX(0,Inputs!$B$43-B1595)-((R1565-1)*IF(Inputs!$B$38="pvp",15,MAX(0.1,Skills!D9-IF(Skills!E9=TRUE,Inputs!$B$32,0))))))/Skills!H9,1)))/Inputs!$B$43),G1565*Q1565))/N1565*IF(Inputs!$B$38="pvp",1,(1-Summary!$B$11)*1+Summary!$B$11*(MIN(Skills!R9,Inputs!$B$37))),0)</f>
        <v/>
      </c>
      <c r="T1565">
        <f>IF(C1565,(H1565*N1565*IF(AND(Inputs!$B$38&lt;&gt;"pvp",Inputs!$B$43&gt;0),((Skills!G9*((R1565-1)*IF(Skills!H9&gt;0,Skills!I9/Skills!H9,1)+IF(Skills!H9&gt;0,MIN(Skills!I9,MAX(0,MAX(0,Inputs!$B$43-B1595)-((R1565-1)*IF(Inputs!$B$38="pvp",15,MAX(0.1,Skills!D9-IF(Skills!E9=TRUE,Inputs!$B$32,0))))))/Skills!H9,1)))/Inputs!$B$43),G1565*Q1565))*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Hunt"),CHOOSE(ArtifactsInput!$N$35+1,15,18,21,24,27,30)*(1-EXP(-(0.2*B1590)*5)),0)+IF(AND(ArtifactsInput!$M$22,Inputs!$B$4&lt;&gt;"Chapter Hunt"),CHOOSE(ArtifactsInput!$N$22+1,10,12,14,16,18,20)*((0*(((0.15*B1590*5))^0/1)+1*(((0.15*B1590*5))^1/1)+2*(((0.15*B1590*5))^2/2)+3*(((0.15*B1590*5))^3/6)+4*(((0.15*B1590*5))^4/24)+5*(((0.15*B1590*5))^5/120))/((((0.15*B1590*5))^0/1)+(((0.15*B1590*5))^1/1)+(((0.15*B1590*5))^2/2)+(((0.15*B1590*5))^3/6)+(((0.15*B1590*5))^4/24)+(((0.15*B1590*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1565*(1-MIN(100,(Inputs!$B$9+((C1575=TRUE)*(F1575-Calc!F19))+B1588+(ArtifactsInput!$M$24-ArtifactsInput!$M$24)*CHOOSE(ArtifactsInput!$N$24+1,10,12,14,16,18,20)+(IF(AND(ArtifactsInput!$M$42,((Inputs!$B$9+((C1575=TRUE)*(F1575-Calc!F19))+B1588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1565*(MIN(100,(Inputs!$B$9+((C1575=TRUE)*(F1575-Calc!F19))+B1588+(ArtifactsInput!$M$24-ArtifactsInput!$M$24)*CHOOSE(ArtifactsInput!$N$24+1,10,12,14,16,18,20)+(IF(AND(ArtifactsInput!$M$42,((Inputs!$B$9+((C1575=TRUE)*(F1575-Calc!F19))+B1588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1565*(1-MIN(100,(Inputs!$B$9+((C1575=TRUE)*(F1575-Calc!F19))+B1588+(ArtifactsInput!$M$24-ArtifactsInput!$M$24)*CHOOSE(ArtifactsInput!$N$24+1,10,12,14,16,18,20)+(IF(AND(ArtifactsInput!$M$42,((Inputs!$B$9+((C1575=TRUE)*(F1575-Calc!F19))+B1588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1565*(MIN(100,(Inputs!$B$9+((C1575=TRUE)*(F1575-Calc!F19))+B1588+(ArtifactsInput!$M$24-ArtifactsInput!$M$24)*CHOOSE(ArtifactsInput!$N$24+1,10,12,14,16,18,20)+(IF(AND(ArtifactsInput!$M$42,((Inputs!$B$9+((C1575=TRUE)*(F1575-Calc!F19))+B1588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565">
        <f>IF(C1565,(H1565*N1565*IF(AND(Inputs!$B$38&lt;&gt;"pvp",Inputs!$B$43&gt;0),((Skills!G9*((R1565-1)*IF(Skills!H9&gt;0,Skills!I9/Skills!H9,1)+IF(Skills!H9&gt;0,MIN(Skills!I9,MAX(0,MAX(0,Inputs!$B$43-B1595)-((R1565-1)*IF(Inputs!$B$38="pvp",15,MAX(0.1,Skills!D9-IF(Skills!E9=TRUE,Inputs!$B$32,0))))))/Skills!H9,1)))/Inputs!$B$43),G1565*Q1565))*IF(Inputs!$B$38="pvp",1,(1+(Inputs!$B$21+Skills!Q9+(IF(ArtifactsInput!$M$33,CHOOSE(ArtifactsInput!$N$33+1,30,36,42,48,54,60),0))+(IF(AND(ArtifactsInput!$M$35,Inputs!$B$4&lt;&gt;"Chapter Hunt"),CHOOSE(ArtifactsInput!$N$35+1,15,18,21,24,27,30)*(1-EXP(-(0.2*B1590)*5)),0)+IF(AND(ArtifactsInput!$M$22,Inputs!$B$4&lt;&gt;"Chapter Hunt"),CHOOSE(ArtifactsInput!$N$22+1,10,12,14,16,18,20)*((0*(((0.15*B1590*5))^0/1)+1*(((0.15*B1590*5))^1/1)+2*(((0.15*B1590*5))^2/2)+3*(((0.15*B1590*5))^3/6)+4*(((0.15*B1590*5))^4/24)+5*(((0.15*B1590*5))^5/120))/((((0.15*B1590*5))^0/1)+(((0.15*B1590*5))^1/1)+(((0.15*B1590*5))^2/2)+(((0.15*B1590*5))^3/6)+(((0.15*B1590*5))^4/24)+(((0.15*B1590*5))^5/120)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566">
      <c r="A1566">
        <f>Skills!A10</f>
        <v/>
      </c>
      <c r="B1566">
        <f>Skills!B10</f>
        <v/>
      </c>
      <c r="C1566">
        <f>Inputs!$B$3&gt;=107</f>
        <v/>
      </c>
      <c r="D1566">
        <f>IF(Skills!C10=1,60+Inputs!$B$25+Inputs!$B$29,IF(Skills!C10=2,90+Inputs!$B$26+Inputs!$B$29,IF(Skills!C10=3,120+Inputs!$B$27+Inputs!$B$29,MAX(0,(Inputs!$B$3-100)*3)+Inputs!$B$28+Inputs!$B$29)))</f>
        <v/>
      </c>
      <c r="E1566">
        <f>INDEX(FactorTable!$B$2:$Y$301, MATCH(ROUND(MIN(300,MAX(1,D1566)),0), FactorTable!$A$2:$A$301,0), Skills!M10+1)</f>
        <v/>
      </c>
      <c r="F1566">
        <f>IF(Skills!N10=TRUE,(Skills!L10/10)*(E1566/1000),Skills!L10/10)+Skills!O10</f>
        <v/>
      </c>
      <c r="G1566">
        <f>Skills!G10*IF(Skills!H10&gt;0,Skills!I10/Skills!H10,1)</f>
        <v/>
      </c>
      <c r="H1566">
        <f>1-(1-Skills!J10/100)^Skills!K10</f>
        <v/>
      </c>
      <c r="I1566" t="inlineStr">
        <is>
          <t>1</t>
        </is>
      </c>
      <c r="J1566">
        <f>((Inputs!$B$6*(1+Inputs!$B$7/100))+(((Inputs!$B$12*(1+Inputs!$B$13/100))-(Inputs!$B$12*(1+Inputs!$B$13/100)))+0.25*(Inputs!$B$14-Inputs!$B$14))*(1+Inputs!$B$7/100))*(F1566/100)</f>
        <v/>
      </c>
      <c r="K1566">
        <f>J1566*(1+((Inputs!$B$12*(1+Inputs!$B$13/100))*0.01+Inputs!$B$14*0.0025)/100)*(1+Inputs!$B$15/100)*(1+Inputs!$B$16/100)*(5000/(6000+Inputs!$B$42*(1-(100*(1-(1-(Inputs!$B$19+0)/100)*(1-CHOOSE(ArtifactsInput!$N$40+1,5,6,7,8,9,10)/100)^(ArtifactsInput!$M$40-ArtifactsInput!$M$40)))/100)))*(1+(Inputs!$B$24+((C1580=TRUE)*(F1580-Calc!F24))+((C1581=TRUE)*(F1581-Calc!F25))+B1594)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EMPOWERED_PIERCING_ARROW",Inputs!$B$17+((C1578=TRUE)*(F1578-Calc!F22))+(((IF(AND(ArtifactsInput!$M$42,((Inputs!$B$9+((C1575=TRUE)*(F1575-Calc!F19))+B1588+(ArtifactsInput!$M$24-ArtifactsInput!$M$24)*CHOOSE(ArtifactsInput!$N$24+1,10,12,14,16,18,20)+IF(ArtifactsInput!$M$10,CHOOSE(ArtifactsInput!$N$10+1,15,18,21,24,27,30)*(IF(Inputs!$B$38="pvp",MIN(15,15)/15,IF(AND(Inputs!$B$38&lt;&gt;"pvp",Inputs!$B$43&gt;0),MIN(15,Inputs!$B$43)/(Inputs!$B$43),0))),0)))&gt;=100),MIN(100,((Inputs!$B$9+((C1575=TRUE)*(F1575-Calc!F19))+B1588+(ArtifactsInput!$M$24-ArtifactsInput!$M$24)*CHOOSE(ArtifactsInput!$N$24+1,10,12,14,16,18,20)+IF(ArtifactsInput!$M$10,CHOOSE(ArtifactsInput!$N$10+1,15,18,21,24,27,30)*(IF(Inputs!$B$38="pvp",MIN(15,15)/15,IF(AND(Inputs!$B$38&lt;&gt;"pvp",Inputs!$B$43&gt;0),MIN(15,Inputs!$B$43)/(Inputs!$B$43),0))),0)))-100),0))*CHOOSE(ArtifactsInput!$N$42+1,0.6,0.72,0.84,0.96,1.08,1.2))),Inputs!$B$18+((C1583=TRUE)*(F1583-Calc!F27))+(IF(AND(ArtifactsInput!$M$42,((Inputs!$B$9+((C1575=TRUE)*(F1575-Calc!F19))+B1588+(ArtifactsInput!$M$24-ArtifactsInput!$M$24)*CHOOSE(ArtifactsInput!$N$24+1,10,12,14,16,18,20)+IF(ArtifactsInput!$M$10,CHOOSE(ArtifactsInput!$N$10+1,15,18,21,24,27,30)*(IF(Inputs!$B$38="pvp",MIN(15,15)/15,IF(AND(Inputs!$B$38&lt;&gt;"pvp",Inputs!$B$43&gt;0),MIN(15,Inputs!$B$43)/(Inputs!$B$43),0))),0)))&gt;=100),CHOOSE(ArtifactsInput!$N$42+1,40,48,56,64,72,80),0))))/100)*((1+(((C1569=TRUE)*F1569)+((C1570=TRUE)*IF(Inputs!$B$38="pvp",F1570,(1-Summary!$B$11)*(F1570)+Summary!$B$11*(0)))+((C1571=TRUE)*F1571*IF(AND(Inputs!$B$38&lt;&gt;"pvp",Inputs!$B$43&gt;0),(((R1571-1)*(Skills!T15*(1+Inputs!$B$34/100))+MIN((Skills!T15*(1+Inputs!$B$34/100)),MAX(0,Inputs!$B$43-((R1571-1)*Skills!D15))))/Inputs!$B$43),IF(Inputs!$B$38="pvp",MIN((Skills!T15*(1+Inputs!$B$34/100)),15)/15,(Skills!T15*(1+Inputs!$B$34/100))/Skills!D15)))+((C1568=TRUE)*F1568)+((C1585=TRUE)*(F1585-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1566)</f>
        <v/>
      </c>
      <c r="L1566">
        <f>K1566*(MIN(Inputs!$B$22+((C1579=TRUE)*(F1579-Calc!F23)),(Inputs!$B$23+((C1584=TRUE)*(F1584-Calc!F28))+(IF(ArtifactsInput!$M$15,CHOOSE(ArtifactsInput!$N$15+1,25,30,35,40,45,50)/100*(Inputs!$B$11-Inputs!$B$11),0))))/100+(Inputs!$B$23+((C1584=TRUE)*(F1584-Calc!F28))+(IF(ArtifactsInput!$M$15,CHOOSE(ArtifactsInput!$N$15+1,25,30,35,40,45,50)/100*(Inputs!$B$11-Inputs!$B$11),0)))/100)/2</f>
        <v/>
      </c>
      <c r="M1566">
        <f>L1566*(1+(Inputs!$B$10+0+B1593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566">
        <f>L1566*(1-MIN((Inputs!$B$9+((C1575=TRUE)*(F1575-Calc!F19))+B1588+(ArtifactsInput!$M$24-ArtifactsInput!$M$24)*CHOOSE(ArtifactsInput!$N$24+1,10,12,14,16,18,20)+(IF(AND(ArtifactsInput!$M$42,((Inputs!$B$9+((C1575=TRUE)*(F1575-Calc!F19))+B1588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1566*(MIN((Inputs!$B$9+((C1575=TRUE)*(F1575-Calc!F19))+B1588+(ArtifactsInput!$M$24-ArtifactsInput!$M$24)*CHOOSE(ArtifactsInput!$N$24+1,10,12,14,16,18,20)+(IF(AND(ArtifactsInput!$M$42,((Inputs!$B$9+((C1575=TRUE)*(F1575-Calc!F19))+B1588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566">
        <f>(1-Summary!$B$11)*T1566+Summary!$B$11*V1566</f>
        <v/>
      </c>
      <c r="P1566">
        <f>IF(B1598=0,0,O1566/B1598)</f>
        <v/>
      </c>
      <c r="Q1566" t="n">
        <v>0</v>
      </c>
      <c r="R1566" t="n">
        <v>0</v>
      </c>
      <c r="S1566" t="n">
        <v>0</v>
      </c>
      <c r="T1566">
        <f>IF(C1566,(0.15*SUMPRODUCT((Skills!U2:U29=TRUE)*(C1558:C1585=TRUE)*S1558:S1585)*Skills!G10*N1566)*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Hunt"),CHOOSE(ArtifactsInput!$N$35+1,15,18,21,24,27,30)*(1-EXP(-(0.2*B1590)*5)),0)+IF(AND(ArtifactsInput!$M$22,Inputs!$B$4&lt;&gt;"Chapter Hunt"),CHOOSE(ArtifactsInput!$N$22+1,10,12,14,16,18,20)*((0*(((0.15*B1590*5))^0/1)+1*(((0.15*B1590*5))^1/1)+2*(((0.15*B1590*5))^2/2)+3*(((0.15*B1590*5))^3/6)+4*(((0.15*B1590*5))^4/24)+5*(((0.15*B1590*5))^5/120))/((((0.15*B1590*5))^0/1)+(((0.15*B1590*5))^1/1)+(((0.15*B1590*5))^2/2)+(((0.15*B1590*5))^3/6)+(((0.15*B1590*5))^4/24)+(((0.15*B1590*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1566*(1-MIN(100,(Inputs!$B$9+((C1575=TRUE)*(F1575-Calc!F19))+B1588+(ArtifactsInput!$M$24-ArtifactsInput!$M$24)*CHOOSE(ArtifactsInput!$N$24+1,10,12,14,16,18,20)+(IF(AND(ArtifactsInput!$M$42,((Inputs!$B$9+((C1575=TRUE)*(F1575-Calc!F19))+B1588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1566*(MIN(100,(Inputs!$B$9+((C1575=TRUE)*(F1575-Calc!F19))+B1588+(ArtifactsInput!$M$24-ArtifactsInput!$M$24)*CHOOSE(ArtifactsInput!$N$24+1,10,12,14,16,18,20)+(IF(AND(ArtifactsInput!$M$42,((Inputs!$B$9+((C1575=TRUE)*(F1575-Calc!F19))+B1588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1566*(1-MIN(100,(Inputs!$B$9+((C1575=TRUE)*(F1575-Calc!F19))+B1588+(ArtifactsInput!$M$24-ArtifactsInput!$M$24)*CHOOSE(ArtifactsInput!$N$24+1,10,12,14,16,18,20)+(IF(AND(ArtifactsInput!$M$42,((Inputs!$B$9+((C1575=TRUE)*(F1575-Calc!F19))+B1588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1566*(MIN(100,(Inputs!$B$9+((C1575=TRUE)*(F1575-Calc!F19))+B1588+(ArtifactsInput!$M$24-ArtifactsInput!$M$24)*CHOOSE(ArtifactsInput!$N$24+1,10,12,14,16,18,20)+(IF(AND(ArtifactsInput!$M$42,((Inputs!$B$9+((C1575=TRUE)*(F1575-Calc!F19))+B1588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566">
        <f>IF(C1566,(0.15*SUMPRODUCT((Skills!U2:U29=TRUE)*(C1558:C1585=TRUE)*S1558:S1585)*Skills!G10*N1566)*IF(Inputs!$B$38="pvp",1,(1+(Inputs!$B$21+Skills!Q10+(IF(ArtifactsInput!$M$33,CHOOSE(ArtifactsInput!$N$33+1,30,36,42,48,54,60),0))+(IF(AND(ArtifactsInput!$M$35,Inputs!$B$4&lt;&gt;"Chapter Hunt"),CHOOSE(ArtifactsInput!$N$35+1,15,18,21,24,27,30)*(1-EXP(-(0.2*B1590)*5)),0)+IF(AND(ArtifactsInput!$M$22,Inputs!$B$4&lt;&gt;"Chapter Hunt"),CHOOSE(ArtifactsInput!$N$22+1,10,12,14,16,18,20)*((0*(((0.15*B1590*5))^0/1)+1*(((0.15*B1590*5))^1/1)+2*(((0.15*B1590*5))^2/2)+3*(((0.15*B1590*5))^3/6)+4*(((0.15*B1590*5))^4/24)+5*(((0.15*B1590*5))^5/120))/((((0.15*B1590*5))^0/1)+(((0.15*B1590*5))^1/1)+(((0.15*B1590*5))^2/2)+(((0.15*B1590*5))^3/6)+(((0.15*B1590*5))^4/24)+(((0.15*B1590*5))^5/120)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567">
      <c r="A1567">
        <f>Skills!A11</f>
        <v/>
      </c>
      <c r="B1567">
        <f>Skills!B11</f>
        <v/>
      </c>
      <c r="C1567">
        <f>Inputs!$B$3&gt;=110</f>
        <v/>
      </c>
      <c r="D1567">
        <f>IF(Skills!C11=1,60+Inputs!$B$25+Inputs!$B$29,IF(Skills!C11=2,90+Inputs!$B$26+Inputs!$B$29,IF(Skills!C11=3,120+Inputs!$B$27+Inputs!$B$29,MAX(0,(Inputs!$B$3-100)*3)+Inputs!$B$28+Inputs!$B$29)))</f>
        <v/>
      </c>
      <c r="E1567">
        <f>INDEX(FactorTable!$B$2:$Y$301, MATCH(ROUND(MIN(300,MAX(1,D1567)),0), FactorTable!$A$2:$A$301,0), Skills!M11+1)</f>
        <v/>
      </c>
      <c r="F1567">
        <f>IF(Skills!N11=TRUE,(Skills!L11/10)*(E1567/1000),Skills!L11/10)+Skills!O11</f>
        <v/>
      </c>
      <c r="G1567">
        <f>Skills!G11*IF(Skills!H11&gt;0,Skills!I11/Skills!H11,1)</f>
        <v/>
      </c>
      <c r="H1567">
        <f>1-(1-Skills!J11/100)^Skills!K11</f>
        <v/>
      </c>
      <c r="I1567" t="inlineStr">
        <is>
          <t>1</t>
        </is>
      </c>
      <c r="J1567">
        <f>((Inputs!$B$6*(1+Inputs!$B$7/100))+(((Inputs!$B$12*(1+Inputs!$B$13/100))-(Inputs!$B$12*(1+Inputs!$B$13/100)))+0.25*(Inputs!$B$14-Inputs!$B$14))*(1+Inputs!$B$7/100))*(F1567/100)</f>
        <v/>
      </c>
      <c r="K1567">
        <f>J1567*(1+((Inputs!$B$12*(1+Inputs!$B$13/100))*0.01+Inputs!$B$14*0.0025)/100)*(1+Inputs!$B$15/100)*(1+Inputs!$B$16/100)*(5000/(6000+Inputs!$B$42*(1-(100*(1-(1-(Inputs!$B$19+0)/100)*(1-CHOOSE(ArtifactsInput!$N$40+1,5,6,7,8,9,10)/100)^(ArtifactsInput!$M$40-ArtifactsInput!$M$40)))/100)))*(1+(Inputs!$B$24+((C1580=TRUE)*(F1580-Calc!F24))+((C1581=TRUE)*(F1581-Calc!F25))+B1594)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11="EMPOWERED_PIERCING_ARROW",Inputs!$B$17+((C1578=TRUE)*(F1578-Calc!F22))+(((IF(AND(ArtifactsInput!$M$42,((Inputs!$B$9+((C1575=TRUE)*(F1575-Calc!F19))+B1588+(ArtifactsInput!$M$24-ArtifactsInput!$M$24)*CHOOSE(ArtifactsInput!$N$24+1,10,12,14,16,18,20)+IF(ArtifactsInput!$M$10,CHOOSE(ArtifactsInput!$N$10+1,15,18,21,24,27,30)*(IF(Inputs!$B$38="pvp",MIN(15,15)/15,IF(AND(Inputs!$B$38&lt;&gt;"pvp",Inputs!$B$43&gt;0),MIN(15,Inputs!$B$43)/(Inputs!$B$43),0))),0)))&gt;=100),MIN(100,((Inputs!$B$9+((C1575=TRUE)*(F1575-Calc!F19))+B1588+(ArtifactsInput!$M$24-ArtifactsInput!$M$24)*CHOOSE(ArtifactsInput!$N$24+1,10,12,14,16,18,20)+IF(ArtifactsInput!$M$10,CHOOSE(ArtifactsInput!$N$10+1,15,18,21,24,27,30)*(IF(Inputs!$B$38="pvp",MIN(15,15)/15,IF(AND(Inputs!$B$38&lt;&gt;"pvp",Inputs!$B$43&gt;0),MIN(15,Inputs!$B$43)/(Inputs!$B$43),0))),0)))-100),0))*CHOOSE(ArtifactsInput!$N$42+1,0.6,0.72,0.84,0.96,1.08,1.2))),Inputs!$B$18+((C1583=TRUE)*(F1583-Calc!F27))+(IF(AND(ArtifactsInput!$M$42,((Inputs!$B$9+((C1575=TRUE)*(F1575-Calc!F19))+B1588+(ArtifactsInput!$M$24-ArtifactsInput!$M$24)*CHOOSE(ArtifactsInput!$N$24+1,10,12,14,16,18,20)+IF(ArtifactsInput!$M$10,CHOOSE(ArtifactsInput!$N$10+1,15,18,21,24,27,30)*(IF(Inputs!$B$38="pvp",MIN(15,15)/15,IF(AND(Inputs!$B$38&lt;&gt;"pvp",Inputs!$B$43&gt;0),MIN(15,Inputs!$B$43)/(Inputs!$B$43),0))),0)))&gt;=100),CHOOSE(ArtifactsInput!$N$42+1,40,48,56,64,72,80),0))))/100)*((1+(((C1569=TRUE)*F1569)+((C1570=TRUE)*IF(Inputs!$B$38="pvp",F1570,(1-Summary!$B$11)*(F1570)+Summary!$B$11*(0)))+((C1571=TRUE)*F1571*IF(AND(Inputs!$B$38&lt;&gt;"pvp",Inputs!$B$43&gt;0),(((R1571-1)*(Skills!T15*(1+Inputs!$B$34/100))+MIN((Skills!T15*(1+Inputs!$B$34/100)),MAX(0,Inputs!$B$43-((R1571-1)*Skills!D15))))/Inputs!$B$43),IF(Inputs!$B$38="pvp",MIN((Skills!T15*(1+Inputs!$B$34/100)),15)/15,(Skills!T15*(1+Inputs!$B$34/100))/Skills!D15)))+((C1568=TRUE)*F1568)+((C1585=TRUE)*(F1585-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1567)</f>
        <v/>
      </c>
      <c r="L1567">
        <f>K1567*(MIN(Inputs!$B$22+((C1579=TRUE)*(F1579-Calc!F23)),(Inputs!$B$23+((C1584=TRUE)*(F1584-Calc!F28))+(IF(ArtifactsInput!$M$15,CHOOSE(ArtifactsInput!$N$15+1,25,30,35,40,45,50)/100*(Inputs!$B$11-Inputs!$B$11),0))))/100+(Inputs!$B$23+((C1584=TRUE)*(F1584-Calc!F28))+(IF(ArtifactsInput!$M$15,CHOOSE(ArtifactsInput!$N$15+1,25,30,35,40,45,50)/100*(Inputs!$B$11-Inputs!$B$11),0)))/100)/2</f>
        <v/>
      </c>
      <c r="M1567">
        <f>L1567*(1+(Inputs!$B$10+0+B1593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567">
        <f>L1567*(1-MIN((Inputs!$B$9+((C1575=TRUE)*(F1575-Calc!F19))+B1588+(ArtifactsInput!$M$24-ArtifactsInput!$M$24)*CHOOSE(ArtifactsInput!$N$24+1,10,12,14,16,18,20)+(IF(AND(ArtifactsInput!$M$42,((Inputs!$B$9+((C1575=TRUE)*(F1575-Calc!F19))+B1588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1567*(MIN((Inputs!$B$9+((C1575=TRUE)*(F1575-Calc!F19))+B1588+(ArtifactsInput!$M$24-ArtifactsInput!$M$24)*CHOOSE(ArtifactsInput!$N$24+1,10,12,14,16,18,20)+(IF(AND(ArtifactsInput!$M$42,((Inputs!$B$9+((C1575=TRUE)*(F1575-Calc!F19))+B1588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567">
        <f>(1-Summary!$B$11)*T1567+Summary!$B$11*V1567</f>
        <v/>
      </c>
      <c r="P1567">
        <f>IF(B1598=0,0,O1567/B1598)</f>
        <v/>
      </c>
      <c r="Q1567">
        <f>IFERROR(1/IF(Inputs!$B$38="pvp",15,MAX(0.1,Skills!D11-IF(Skills!E11=TRUE,Inputs!$B$32,0))),0)</f>
        <v/>
      </c>
      <c r="R1567">
        <f>IF(AND(Inputs!$B$38&lt;&gt;"pvp",Inputs!$B$43&gt;0),IF(MAX(0,Inputs!$B$43-B1595)&lt;=0,0,(INT(MAX(0,Inputs!$B$43-B1595)/IF(Inputs!$B$38="pvp",15,MAX(0.1,Skills!D11-IF(Skills!E11=TRUE,Inputs!$B$32,0))))+1)),0)</f>
        <v/>
      </c>
      <c r="S1567">
        <f>IFERROR((H1567*N1567*IF(AND(Inputs!$B$38&lt;&gt;"pvp",Inputs!$B$43&gt;0),((Skills!G11*((R1567-1)*IF(Skills!H11&gt;0,Skills!I11/Skills!H11,1)+IF(Skills!H11&gt;0,MIN(Skills!I11,MAX(0,MAX(0,Inputs!$B$43-B1595)-((R1567-1)*IF(Inputs!$B$38="pvp",15,MAX(0.1,Skills!D11-IF(Skills!E11=TRUE,Inputs!$B$32,0))))))/Skills!H11,1)))/Inputs!$B$43),G1567*Q1567))/N1567*IF(Inputs!$B$38="pvp",1,(1-Summary!$B$11)*1+Summary!$B$11*(MIN(Skills!R11,Inputs!$B$37))),0)</f>
        <v/>
      </c>
      <c r="T1567">
        <f>IF(C1567,(H1567*N1567*IF(AND(Inputs!$B$38&lt;&gt;"pvp",Inputs!$B$43&gt;0),((Skills!G11*((R1567-1)*IF(Skills!H11&gt;0,Skills!I11/Skills!H11,1)+IF(Skills!H11&gt;0,MIN(Skills!I11,MAX(0,MAX(0,Inputs!$B$43-B1595)-((R1567-1)*IF(Inputs!$B$38="pvp",15,MAX(0.1,Skills!D11-IF(Skills!E11=TRUE,Inputs!$B$32,0))))))/Skills!H11,1)))/Inputs!$B$43),G1567*Q1567))*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Hunt"),CHOOSE(ArtifactsInput!$N$35+1,15,18,21,24,27,30)*(1-EXP(-(0.2*B1590)*5)),0)+IF(AND(ArtifactsInput!$M$22,Inputs!$B$4&lt;&gt;"Chapter Hunt"),CHOOSE(ArtifactsInput!$N$22+1,10,12,14,16,18,20)*((0*(((0.15*B1590*5))^0/1)+1*(((0.15*B1590*5))^1/1)+2*(((0.15*B1590*5))^2/2)+3*(((0.15*B1590*5))^3/6)+4*(((0.15*B1590*5))^4/24)+5*(((0.15*B1590*5))^5/120))/((((0.15*B1590*5))^0/1)+(((0.15*B1590*5))^1/1)+(((0.15*B1590*5))^2/2)+(((0.15*B1590*5))^3/6)+(((0.15*B1590*5))^4/24)+(((0.15*B1590*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1567*(1-MIN(100,(Inputs!$B$9+((C1575=TRUE)*(F1575-Calc!F19))+B1588+(ArtifactsInput!$M$24-ArtifactsInput!$M$24)*CHOOSE(ArtifactsInput!$N$24+1,10,12,14,16,18,20)+(IF(AND(ArtifactsInput!$M$42,((Inputs!$B$9+((C1575=TRUE)*(F1575-Calc!F19))+B1588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1567*(MIN(100,(Inputs!$B$9+((C1575=TRUE)*(F1575-Calc!F19))+B1588+(ArtifactsInput!$M$24-ArtifactsInput!$M$24)*CHOOSE(ArtifactsInput!$N$24+1,10,12,14,16,18,20)+(IF(AND(ArtifactsInput!$M$42,((Inputs!$B$9+((C1575=TRUE)*(F1575-Calc!F19))+B1588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1567*(1-MIN(100,(Inputs!$B$9+((C1575=TRUE)*(F1575-Calc!F19))+B1588+(ArtifactsInput!$M$24-ArtifactsInput!$M$24)*CHOOSE(ArtifactsInput!$N$24+1,10,12,14,16,18,20)+(IF(AND(ArtifactsInput!$M$42,((Inputs!$B$9+((C1575=TRUE)*(F1575-Calc!F19))+B1588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1567*(MIN(100,(Inputs!$B$9+((C1575=TRUE)*(F1575-Calc!F19))+B1588+(ArtifactsInput!$M$24-ArtifactsInput!$M$24)*CHOOSE(ArtifactsInput!$N$24+1,10,12,14,16,18,20)+(IF(AND(ArtifactsInput!$M$42,((Inputs!$B$9+((C1575=TRUE)*(F1575-Calc!F19))+B1588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567">
        <f>IF(C1567,(H1567*N1567*IF(AND(Inputs!$B$38&lt;&gt;"pvp",Inputs!$B$43&gt;0),((Skills!G11*((R1567-1)*IF(Skills!H11&gt;0,Skills!I11/Skills!H11,1)+IF(Skills!H11&gt;0,MIN(Skills!I11,MAX(0,MAX(0,Inputs!$B$43-B1595)-((R1567-1)*IF(Inputs!$B$38="pvp",15,MAX(0.1,Skills!D11-IF(Skills!E11=TRUE,Inputs!$B$32,0))))))/Skills!H11,1)))/Inputs!$B$43),G1567*Q1567))*IF(Inputs!$B$38="pvp",1,(1+(Inputs!$B$21+Skills!Q11+(IF(ArtifactsInput!$M$33,CHOOSE(ArtifactsInput!$N$33+1,30,36,42,48,54,60),0))+(IF(AND(ArtifactsInput!$M$35,Inputs!$B$4&lt;&gt;"Chapter Hunt"),CHOOSE(ArtifactsInput!$N$35+1,15,18,21,24,27,30)*(1-EXP(-(0.2*B1590)*5)),0)+IF(AND(ArtifactsInput!$M$22,Inputs!$B$4&lt;&gt;"Chapter Hunt"),CHOOSE(ArtifactsInput!$N$22+1,10,12,14,16,18,20)*((0*(((0.15*B1590*5))^0/1)+1*(((0.15*B1590*5))^1/1)+2*(((0.15*B1590*5))^2/2)+3*(((0.15*B1590*5))^3/6)+4*(((0.15*B1590*5))^4/24)+5*(((0.15*B1590*5))^5/120))/((((0.15*B1590*5))^0/1)+(((0.15*B1590*5))^1/1)+(((0.15*B1590*5))^2/2)+(((0.15*B1590*5))^3/6)+(((0.15*B1590*5))^4/24)+(((0.15*B1590*5))^5/120))),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568">
      <c r="A1568">
        <f>Skills!A12</f>
        <v/>
      </c>
      <c r="B1568">
        <f>Skills!B12</f>
        <v/>
      </c>
      <c r="C1568">
        <f>Inputs!$B$3&gt;=60</f>
        <v/>
      </c>
      <c r="D1568">
        <f>IF(Skills!C12=1,60+Inputs!$B$25+Inputs!$B$29,IF(Skills!C12=2,90+Inputs!$B$26+Inputs!$B$29,IF(Skills!C12=3,120+Inputs!$B$27+Inputs!$B$29,MAX(0,(Inputs!$B$3-100)*3)+Inputs!$B$28+Inputs!$B$29)))</f>
        <v/>
      </c>
      <c r="E1568">
        <f>INDEX(FactorTable!$B$2:$Y$301, MATCH(ROUND(MIN(300,MAX(1,D1568)),0), FactorTable!$A$2:$A$301,0), Skills!M12+1)</f>
        <v/>
      </c>
      <c r="F1568">
        <f>IF(Skills!N12=TRUE,(Skills!L12/10)*(E1568/1000),Skills!L12/10)+Skills!O12</f>
        <v/>
      </c>
      <c r="G1568">
        <f>Skills!G12*IF(Skills!H12&gt;0,Skills!I12/Skills!H12,1)</f>
        <v/>
      </c>
      <c r="H1568">
        <f>1-(1-Skills!J12/100)^Skills!K12</f>
        <v/>
      </c>
      <c r="I1568" t="inlineStr">
        <is>
          <t>1</t>
        </is>
      </c>
      <c r="J1568" t="inlineStr"/>
      <c r="K1568" t="inlineStr"/>
      <c r="L1568" t="inlineStr"/>
      <c r="M1568" t="inlineStr"/>
      <c r="N1568" t="inlineStr"/>
      <c r="O1568">
        <f>(1-Summary!$B$11)*T1568+Summary!$B$11*V1568</f>
        <v/>
      </c>
      <c r="P1568">
        <f>IF(B1598=0,0,O1568/B1598)</f>
        <v/>
      </c>
      <c r="Q1568" t="n">
        <v>0</v>
      </c>
      <c r="R1568" t="n">
        <v>0</v>
      </c>
      <c r="S1568" t="n">
        <v>0</v>
      </c>
      <c r="T1568" t="n">
        <v>0</v>
      </c>
      <c r="V1568" t="n">
        <v>0</v>
      </c>
    </row>
    <row r="1569">
      <c r="A1569">
        <f>Skills!A13</f>
        <v/>
      </c>
      <c r="B1569">
        <f>Skills!B13</f>
        <v/>
      </c>
      <c r="C1569">
        <f>Inputs!$B$3&gt;=74</f>
        <v/>
      </c>
      <c r="D1569">
        <f>IF(Skills!C13=1,60+Inputs!$B$25+Inputs!$B$29,IF(Skills!C13=2,90+Inputs!$B$26+Inputs!$B$29,IF(Skills!C13=3,120+Inputs!$B$27+Inputs!$B$29,MAX(0,(Inputs!$B$3-100)*3)+Inputs!$B$28+Inputs!$B$29)))</f>
        <v/>
      </c>
      <c r="E1569">
        <f>INDEX(FactorTable!$B$2:$Y$301, MATCH(ROUND(MIN(300,MAX(1,D1569)),0), FactorTable!$A$2:$A$301,0), Skills!M13+1)</f>
        <v/>
      </c>
      <c r="F1569">
        <f>IF(Skills!N13=TRUE,(Skills!L13/10)*(E1569/1000),Skills!L13/10)+Skills!O13</f>
        <v/>
      </c>
      <c r="G1569">
        <f>Skills!G13*IF(Skills!H13&gt;0,Skills!I13/Skills!H13,1)</f>
        <v/>
      </c>
      <c r="H1569">
        <f>1-(1-Skills!J13/100)^Skills!K13</f>
        <v/>
      </c>
      <c r="I1569" t="inlineStr">
        <is>
          <t>1</t>
        </is>
      </c>
      <c r="J1569" t="inlineStr"/>
      <c r="K1569" t="inlineStr"/>
      <c r="L1569" t="inlineStr"/>
      <c r="M1569" t="inlineStr"/>
      <c r="N1569" t="inlineStr"/>
      <c r="O1569">
        <f>(1-Summary!$B$11)*T1569+Summary!$B$11*V1569</f>
        <v/>
      </c>
      <c r="P1569">
        <f>IF(B1598=0,0,O1569/B1598)</f>
        <v/>
      </c>
      <c r="Q1569" t="n">
        <v>0</v>
      </c>
      <c r="R1569" t="n">
        <v>0</v>
      </c>
      <c r="S1569" t="n">
        <v>0</v>
      </c>
      <c r="T1569" t="n">
        <v>0</v>
      </c>
      <c r="V1569" t="n">
        <v>0</v>
      </c>
    </row>
    <row r="1570">
      <c r="A1570">
        <f>Skills!A14</f>
        <v/>
      </c>
      <c r="B1570">
        <f>Skills!B14</f>
        <v/>
      </c>
      <c r="C1570">
        <f>Inputs!$B$3&gt;=74</f>
        <v/>
      </c>
      <c r="D1570">
        <f>IF(Skills!C14=1,60+Inputs!$B$25+Inputs!$B$29,IF(Skills!C14=2,90+Inputs!$B$26+Inputs!$B$29,IF(Skills!C14=3,120+Inputs!$B$27+Inputs!$B$29,MAX(0,(Inputs!$B$3-100)*3)+Inputs!$B$28+Inputs!$B$29)))</f>
        <v/>
      </c>
      <c r="E1570">
        <f>INDEX(FactorTable!$B$2:$Y$301, MATCH(ROUND(MIN(300,MAX(1,D1570)),0), FactorTable!$A$2:$A$301,0), Skills!M14+1)</f>
        <v/>
      </c>
      <c r="F1570">
        <f>IF(Skills!N14=TRUE,(Skills!L14/10)*(E1570/1000),Skills!L14/10)+Skills!O14</f>
        <v/>
      </c>
      <c r="G1570">
        <f>Skills!G14*IF(Skills!H14&gt;0,Skills!I14/Skills!H14,1)</f>
        <v/>
      </c>
      <c r="H1570">
        <f>1-(1-Skills!J14/100)^Skills!K14</f>
        <v/>
      </c>
      <c r="I1570" t="inlineStr">
        <is>
          <t>1</t>
        </is>
      </c>
      <c r="J1570" t="inlineStr"/>
      <c r="K1570" t="inlineStr"/>
      <c r="L1570" t="inlineStr"/>
      <c r="M1570" t="inlineStr"/>
      <c r="N1570" t="inlineStr"/>
      <c r="O1570">
        <f>(1-Summary!$B$11)*T1570+Summary!$B$11*V1570</f>
        <v/>
      </c>
      <c r="P1570">
        <f>IF(B1598=0,0,O1570/B1598)</f>
        <v/>
      </c>
      <c r="Q1570" t="n">
        <v>0</v>
      </c>
      <c r="R1570" t="n">
        <v>0</v>
      </c>
      <c r="S1570" t="n">
        <v>0</v>
      </c>
      <c r="T1570" t="n">
        <v>0</v>
      </c>
      <c r="V1570" t="n">
        <v>0</v>
      </c>
    </row>
    <row r="1571">
      <c r="A1571">
        <f>Skills!A15</f>
        <v/>
      </c>
      <c r="B1571">
        <f>Skills!B15</f>
        <v/>
      </c>
      <c r="C1571">
        <f>Inputs!$B$3&gt;=117</f>
        <v/>
      </c>
      <c r="D1571">
        <f>IF(Skills!C15=1,60+Inputs!$B$25+Inputs!$B$29,IF(Skills!C15=2,90+Inputs!$B$26+Inputs!$B$29,IF(Skills!C15=3,120+Inputs!$B$27+Inputs!$B$29,MAX(0,(Inputs!$B$3-100)*3)+Inputs!$B$28+Inputs!$B$29)))</f>
        <v/>
      </c>
      <c r="E1571">
        <f>INDEX(FactorTable!$B$2:$Y$301, MATCH(ROUND(MIN(300,MAX(1,D1571)),0), FactorTable!$A$2:$A$301,0), Skills!M15+1)</f>
        <v/>
      </c>
      <c r="F1571">
        <f>IF(Skills!N15=TRUE,(Skills!L15/10)*(E1571/1000),Skills!L15/10)+Skills!O15</f>
        <v/>
      </c>
      <c r="G1571">
        <f>Skills!G15*IF(Skills!H15&gt;0,Skills!I15/Skills!H15,1)</f>
        <v/>
      </c>
      <c r="H1571">
        <f>1-(1-Skills!J15/100)^Skills!K15</f>
        <v/>
      </c>
      <c r="I1571" t="inlineStr">
        <is>
          <t>1</t>
        </is>
      </c>
      <c r="J1571" t="inlineStr"/>
      <c r="K1571" t="inlineStr"/>
      <c r="L1571" t="inlineStr"/>
      <c r="M1571" t="inlineStr"/>
      <c r="N1571" t="inlineStr"/>
      <c r="O1571">
        <f>(1-Summary!$B$11)*T1571+Summary!$B$11*V1571</f>
        <v/>
      </c>
      <c r="P1571">
        <f>IF(B1598=0,0,O1571/B1598)</f>
        <v/>
      </c>
      <c r="Q1571">
        <f>IFERROR(1/IF(Inputs!$B$38="pvp",15,MAX(0.1,Skills!D15-IF(Skills!E15=TRUE,Inputs!$B$32,0))),0)</f>
        <v/>
      </c>
      <c r="R1571">
        <f>IF(AND(Inputs!$B$38&lt;&gt;"pvp",Inputs!$B$43&gt;0),IF(Inputs!$B$43&lt;=0,0,(INT(Inputs!$B$43/IF(Inputs!$B$38="pvp",15,MAX(0.1,Skills!D15-IF(Skills!E15=TRUE,Inputs!$B$32,0))))+1)),0)</f>
        <v/>
      </c>
      <c r="S1571" t="n">
        <v>0</v>
      </c>
      <c r="T1571" t="n">
        <v>0</v>
      </c>
      <c r="V1571" t="n">
        <v>0</v>
      </c>
    </row>
    <row r="1572">
      <c r="A1572">
        <f>Skills!A16</f>
        <v/>
      </c>
      <c r="B1572">
        <f>Skills!B16</f>
        <v/>
      </c>
      <c r="C1572">
        <f>Inputs!$B$3&gt;=115</f>
        <v/>
      </c>
      <c r="D1572">
        <f>IF(Skills!C16=1,60+Inputs!$B$25+Inputs!$B$29,IF(Skills!C16=2,90+Inputs!$B$26+Inputs!$B$29,IF(Skills!C16=3,120+Inputs!$B$27+Inputs!$B$29,MAX(0,(Inputs!$B$3-100)*3)+Inputs!$B$28+Inputs!$B$29)))</f>
        <v/>
      </c>
      <c r="E1572">
        <f>INDEX(FactorTable!$B$2:$Y$301, MATCH(ROUND(MIN(300,MAX(1,D1572)),0), FactorTable!$A$2:$A$301,0), Skills!M16+1)</f>
        <v/>
      </c>
      <c r="F1572">
        <f>IF(Skills!N16=TRUE,(Skills!L16/10)*(E1572/1000),Skills!L16/10)+Skills!O16</f>
        <v/>
      </c>
      <c r="G1572">
        <f>Skills!G16*IF(Skills!H16&gt;0,Skills!I16/Skills!H16,1)</f>
        <v/>
      </c>
      <c r="H1572">
        <f>1-(1-Skills!J16/100)^Skills!K16</f>
        <v/>
      </c>
      <c r="I1572" t="inlineStr">
        <is>
          <t>1</t>
        </is>
      </c>
      <c r="J1572" t="inlineStr"/>
      <c r="K1572" t="inlineStr"/>
      <c r="L1572" t="inlineStr"/>
      <c r="M1572" t="inlineStr"/>
      <c r="N1572" t="inlineStr"/>
      <c r="O1572">
        <f>(1-Summary!$B$11)*T1572+Summary!$B$11*V1572</f>
        <v/>
      </c>
      <c r="P1572">
        <f>IF(B1598=0,0,O1572/B1598)</f>
        <v/>
      </c>
      <c r="Q1572">
        <f>IFERROR(1/IF(Inputs!$B$38="pvp",15,MAX(0.1,Skills!D16-IF(Skills!E16=TRUE,Inputs!$B$32,0))),0)</f>
        <v/>
      </c>
      <c r="R1572">
        <f>IF(AND(Inputs!$B$38&lt;&gt;"pvp",Inputs!$B$43&gt;0),IF(Inputs!$B$43&lt;=0,0,(INT(Inputs!$B$43/IF(Inputs!$B$38="pvp",15,MAX(0.1,Skills!D16-IF(Skills!E16=TRUE,Inputs!$B$32,0))))+1)),0)</f>
        <v/>
      </c>
      <c r="S1572" t="n">
        <v>0</v>
      </c>
      <c r="T1572" t="n">
        <v>0</v>
      </c>
      <c r="V1572" t="n">
        <v>0</v>
      </c>
    </row>
    <row r="1573">
      <c r="A1573">
        <f>Skills!A17</f>
        <v/>
      </c>
      <c r="B1573">
        <f>Skills!B17</f>
        <v/>
      </c>
      <c r="C1573">
        <f>Inputs!$B$3&gt;=72</f>
        <v/>
      </c>
      <c r="D1573">
        <f>IF(Skills!C17=1,60+Inputs!$B$25+Inputs!$B$29,IF(Skills!C17=2,90+Inputs!$B$26+Inputs!$B$29,IF(Skills!C17=3,120+Inputs!$B$27+Inputs!$B$29,MAX(0,(Inputs!$B$3-100)*3)+Inputs!$B$28+Inputs!$B$29)))</f>
        <v/>
      </c>
      <c r="E1573">
        <f>INDEX(FactorTable!$B$2:$Y$301, MATCH(ROUND(MIN(300,MAX(1,D1573)),0), FactorTable!$A$2:$A$301,0), Skills!M17+1)</f>
        <v/>
      </c>
      <c r="F1573">
        <f>IF(Skills!N17=TRUE,(Skills!L17/10)*(E1573/1000),Skills!L17/10)+Skills!O17</f>
        <v/>
      </c>
      <c r="G1573">
        <f>Skills!G17*IF(Skills!H17&gt;0,Skills!I17/Skills!H17,1)</f>
        <v/>
      </c>
      <c r="H1573">
        <f>1-(1-Skills!J17/100)^Skills!K17</f>
        <v/>
      </c>
      <c r="I1573" t="inlineStr">
        <is>
          <t>1</t>
        </is>
      </c>
      <c r="J1573" t="inlineStr"/>
      <c r="K1573" t="inlineStr"/>
      <c r="L1573" t="inlineStr"/>
      <c r="M1573" t="inlineStr"/>
      <c r="N1573" t="inlineStr"/>
      <c r="O1573">
        <f>(1-Summary!$B$11)*T1573+Summary!$B$11*V1573</f>
        <v/>
      </c>
      <c r="P1573">
        <f>IF(B1598=0,0,O1573/B1598)</f>
        <v/>
      </c>
      <c r="Q1573" t="n">
        <v>0</v>
      </c>
      <c r="R1573" t="n">
        <v>0</v>
      </c>
      <c r="S1573" t="n">
        <v>0</v>
      </c>
      <c r="T1573" t="n">
        <v>0</v>
      </c>
      <c r="V1573" t="n">
        <v>0</v>
      </c>
    </row>
    <row r="1574">
      <c r="A1574">
        <f>Skills!A18</f>
        <v/>
      </c>
      <c r="B1574">
        <f>Skills!B18</f>
        <v/>
      </c>
      <c r="C1574">
        <f>TRUE</f>
        <v/>
      </c>
      <c r="D1574">
        <f>IF(Skills!C18=1,60+Inputs!$B$25+Inputs!$B$29,IF(Skills!C18=2,90+Inputs!$B$26+Inputs!$B$29,IF(Skills!C18=3,120+Inputs!$B$27+Inputs!$B$29,MAX(0,(Inputs!$B$3-100)*3)+Inputs!$B$28+Inputs!$B$29)))</f>
        <v/>
      </c>
      <c r="E1574">
        <f>INDEX(FactorTable!$B$2:$Y$301, MATCH(ROUND(MIN(300,MAX(1,D1574)),0), FactorTable!$A$2:$A$301,0), Skills!M18+1)</f>
        <v/>
      </c>
      <c r="F1574">
        <f>IF(Skills!N18=TRUE,(Skills!L18/10)*(E1574/1000),Skills!L18/10)+Skills!O18</f>
        <v/>
      </c>
      <c r="G1574">
        <f>Skills!G18*IF(Skills!H18&gt;0,Skills!I18/Skills!H18,1)</f>
        <v/>
      </c>
      <c r="H1574">
        <f>1-(1-Skills!J18/100)^Skills!K18</f>
        <v/>
      </c>
      <c r="I1574" t="inlineStr">
        <is>
          <t>1</t>
        </is>
      </c>
      <c r="J1574" t="inlineStr"/>
      <c r="K1574" t="inlineStr"/>
      <c r="L1574" t="inlineStr"/>
      <c r="M1574" t="inlineStr"/>
      <c r="N1574" t="inlineStr"/>
      <c r="O1574">
        <f>(1-Summary!$B$11)*T1574+Summary!$B$11*V1574</f>
        <v/>
      </c>
      <c r="P1574">
        <f>IF(B1598=0,0,O1574/B1598)</f>
        <v/>
      </c>
      <c r="Q1574">
        <f>IFERROR(1/IF(Inputs!$B$38="pvp",15,MAX(0.1,Skills!D18-IF(Skills!E18=TRUE,Inputs!$B$32,0))),0)</f>
        <v/>
      </c>
      <c r="R1574">
        <f>IF(AND(Inputs!$B$38&lt;&gt;"pvp",Inputs!$B$43&gt;0),IF(Inputs!$B$43&lt;=0,0,(INT(Inputs!$B$43/IF(Inputs!$B$38="pvp",15,MAX(0.1,Skills!D18-IF(Skills!E18=TRUE,Inputs!$B$32,0))))+1)),0)</f>
        <v/>
      </c>
      <c r="S1574" t="n">
        <v>0</v>
      </c>
      <c r="T1574" t="n">
        <v>0</v>
      </c>
      <c r="V1574" t="n">
        <v>0</v>
      </c>
    </row>
    <row r="1575">
      <c r="A1575">
        <f>Skills!A19</f>
        <v/>
      </c>
      <c r="B1575">
        <f>Skills!B19</f>
        <v/>
      </c>
      <c r="C1575">
        <f>Inputs!$B$3&gt;=15</f>
        <v/>
      </c>
      <c r="D1575">
        <f>IF(Skills!C19=1,60+Inputs!$B$25+Inputs!$B$29,IF(Skills!C19=2,90+Inputs!$B$26+Inputs!$B$29,IF(Skills!C19=3,120+Inputs!$B$27+Inputs!$B$29,MAX(0,(Inputs!$B$3-100)*3)+Inputs!$B$28+Inputs!$B$29)))</f>
        <v/>
      </c>
      <c r="E1575">
        <f>INDEX(FactorTable!$B$2:$Y$301, MATCH(ROUND(MIN(300,MAX(1,D1575)),0), FactorTable!$A$2:$A$301,0), Skills!M19+1)</f>
        <v/>
      </c>
      <c r="F1575">
        <f>IF(Skills!N19=TRUE,(Skills!L19/10)*(E1575/1000),Skills!L19/10)+Skills!O19</f>
        <v/>
      </c>
      <c r="G1575">
        <f>Skills!G19*IF(Skills!H19&gt;0,Skills!I19/Skills!H19,1)</f>
        <v/>
      </c>
      <c r="H1575">
        <f>1-(1-Skills!J19/100)^Skills!K19</f>
        <v/>
      </c>
      <c r="I1575" t="inlineStr">
        <is>
          <t>1</t>
        </is>
      </c>
      <c r="J1575" t="inlineStr"/>
      <c r="K1575" t="inlineStr"/>
      <c r="L1575" t="inlineStr"/>
      <c r="M1575" t="inlineStr"/>
      <c r="N1575" t="inlineStr"/>
      <c r="O1575">
        <f>(1-Summary!$B$11)*T1575+Summary!$B$11*V1575</f>
        <v/>
      </c>
      <c r="P1575">
        <f>IF(B1598=0,0,O1575/B1598)</f>
        <v/>
      </c>
      <c r="Q1575" t="n">
        <v>0</v>
      </c>
      <c r="R1575" t="n">
        <v>0</v>
      </c>
      <c r="S1575" t="n">
        <v>0</v>
      </c>
      <c r="T1575" t="n">
        <v>0</v>
      </c>
      <c r="V1575" t="n">
        <v>0</v>
      </c>
    </row>
    <row r="1576">
      <c r="A1576">
        <f>Skills!A20</f>
        <v/>
      </c>
      <c r="B1576">
        <f>Skills!B20</f>
        <v/>
      </c>
      <c r="C1576">
        <f>Inputs!$B$3&gt;=10</f>
        <v/>
      </c>
      <c r="D1576">
        <f>IF(Skills!C20=1,60+Inputs!$B$25+Inputs!$B$29,IF(Skills!C20=2,90+Inputs!$B$26+Inputs!$B$29,IF(Skills!C20=3,120+Inputs!$B$27+Inputs!$B$29,MAX(0,(Inputs!$B$3-100)*3)+Inputs!$B$28+Inputs!$B$29)))</f>
        <v/>
      </c>
      <c r="E1576">
        <f>INDEX(FactorTable!$B$2:$Y$301, MATCH(ROUND(MIN(300,MAX(1,D1576)),0), FactorTable!$A$2:$A$301,0), Skills!M20+1)</f>
        <v/>
      </c>
      <c r="F1576">
        <f>IF(Skills!N20=TRUE,(Skills!L20/10)*(E1576/1000),Skills!L20/10)+Skills!O20</f>
        <v/>
      </c>
      <c r="G1576">
        <f>Skills!G20*IF(Skills!H20&gt;0,Skills!I20/Skills!H20,1)</f>
        <v/>
      </c>
      <c r="H1576">
        <f>1-(1-Skills!J20/100)^Skills!K20</f>
        <v/>
      </c>
      <c r="I1576" t="inlineStr">
        <is>
          <t>1</t>
        </is>
      </c>
      <c r="J1576" t="inlineStr"/>
      <c r="K1576" t="inlineStr"/>
      <c r="L1576" t="inlineStr"/>
      <c r="M1576" t="inlineStr"/>
      <c r="N1576" t="inlineStr"/>
      <c r="O1576">
        <f>(1-Summary!$B$11)*T1576+Summary!$B$11*V1576</f>
        <v/>
      </c>
      <c r="P1576">
        <f>IF(B1598=0,0,O1576/B1598)</f>
        <v/>
      </c>
      <c r="Q1576" t="n">
        <v>0</v>
      </c>
      <c r="R1576" t="n">
        <v>0</v>
      </c>
      <c r="S1576" t="n">
        <v>0</v>
      </c>
      <c r="T1576" t="n">
        <v>0</v>
      </c>
      <c r="V1576" t="n">
        <v>0</v>
      </c>
    </row>
    <row r="1577">
      <c r="A1577">
        <f>Skills!A21</f>
        <v/>
      </c>
      <c r="B1577">
        <f>Skills!B21</f>
        <v/>
      </c>
      <c r="C1577">
        <f>Inputs!$B$3&gt;=33</f>
        <v/>
      </c>
      <c r="D1577">
        <f>IF(Skills!C21=1,60+Inputs!$B$25+Inputs!$B$29,IF(Skills!C21=2,90+Inputs!$B$26+Inputs!$B$29,IF(Skills!C21=3,120+Inputs!$B$27+Inputs!$B$29,MAX(0,(Inputs!$B$3-100)*3)+Inputs!$B$28+Inputs!$B$29)))</f>
        <v/>
      </c>
      <c r="E1577">
        <f>INDEX(FactorTable!$B$2:$Y$301, MATCH(ROUND(MIN(300,MAX(1,D1577)),0), FactorTable!$A$2:$A$301,0), Skills!M21+1)</f>
        <v/>
      </c>
      <c r="F1577">
        <f>IF(Skills!N21=TRUE,(Skills!L21/10)*(E1577/1000),Skills!L21/10)+Skills!O21</f>
        <v/>
      </c>
      <c r="G1577">
        <f>Skills!G21*IF(Skills!H21&gt;0,Skills!I21/Skills!H21,1)</f>
        <v/>
      </c>
      <c r="H1577">
        <f>1-(1-Skills!J21/100)^Skills!K21</f>
        <v/>
      </c>
      <c r="I1577" t="inlineStr">
        <is>
          <t>1</t>
        </is>
      </c>
      <c r="J1577" t="inlineStr"/>
      <c r="K1577" t="inlineStr"/>
      <c r="L1577" t="inlineStr"/>
      <c r="M1577" t="inlineStr"/>
      <c r="N1577" t="inlineStr"/>
      <c r="O1577">
        <f>(1-Summary!$B$11)*T1577+Summary!$B$11*V1577</f>
        <v/>
      </c>
      <c r="P1577">
        <f>IF(B1598=0,0,O1577/B1598)</f>
        <v/>
      </c>
      <c r="Q1577" t="n">
        <v>0</v>
      </c>
      <c r="R1577" t="n">
        <v>0</v>
      </c>
      <c r="S1577" t="n">
        <v>0</v>
      </c>
      <c r="T1577" t="n">
        <v>0</v>
      </c>
      <c r="V1577" t="n">
        <v>0</v>
      </c>
    </row>
    <row r="1578">
      <c r="A1578">
        <f>Skills!A22</f>
        <v/>
      </c>
      <c r="B1578">
        <f>Skills!B22</f>
        <v/>
      </c>
      <c r="C1578">
        <f>Inputs!$B$3&gt;=38</f>
        <v/>
      </c>
      <c r="D1578">
        <f>IF(Skills!C22=1,60+Inputs!$B$25+Inputs!$B$29,IF(Skills!C22=2,90+Inputs!$B$26+Inputs!$B$29,IF(Skills!C22=3,120+Inputs!$B$27+Inputs!$B$29,MAX(0,(Inputs!$B$3-100)*3)+Inputs!$B$28+Inputs!$B$29)))</f>
        <v/>
      </c>
      <c r="E1578">
        <f>INDEX(FactorTable!$B$2:$Y$301, MATCH(ROUND(MIN(300,MAX(1,D1578)),0), FactorTable!$A$2:$A$301,0), Skills!M22+1)</f>
        <v/>
      </c>
      <c r="F1578">
        <f>IF(Skills!N22=TRUE,(Skills!L22/10)*(E1578/1000),Skills!L22/10)+Skills!O22</f>
        <v/>
      </c>
      <c r="G1578">
        <f>Skills!G22*IF(Skills!H22&gt;0,Skills!I22/Skills!H22,1)</f>
        <v/>
      </c>
      <c r="H1578">
        <f>1-(1-Skills!J22/100)^Skills!K22</f>
        <v/>
      </c>
      <c r="I1578" t="inlineStr">
        <is>
          <t>1</t>
        </is>
      </c>
      <c r="J1578" t="inlineStr"/>
      <c r="K1578" t="inlineStr"/>
      <c r="L1578" t="inlineStr"/>
      <c r="M1578" t="inlineStr"/>
      <c r="N1578" t="inlineStr"/>
      <c r="O1578">
        <f>(1-Summary!$B$11)*T1578+Summary!$B$11*V1578</f>
        <v/>
      </c>
      <c r="P1578">
        <f>IF(B1598=0,0,O1578/B1598)</f>
        <v/>
      </c>
      <c r="Q1578" t="n">
        <v>0</v>
      </c>
      <c r="R1578" t="n">
        <v>0</v>
      </c>
      <c r="S1578" t="n">
        <v>0</v>
      </c>
      <c r="T1578" t="n">
        <v>0</v>
      </c>
      <c r="V1578" t="n">
        <v>0</v>
      </c>
    </row>
    <row r="1579">
      <c r="A1579">
        <f>Skills!A23</f>
        <v/>
      </c>
      <c r="B1579">
        <f>Skills!B23</f>
        <v/>
      </c>
      <c r="C1579">
        <f>Inputs!$B$3&gt;=43</f>
        <v/>
      </c>
      <c r="D1579">
        <f>IF(Skills!C23=1,60+Inputs!$B$25+Inputs!$B$29,IF(Skills!C23=2,90+Inputs!$B$26+Inputs!$B$29,IF(Skills!C23=3,120+Inputs!$B$27+Inputs!$B$29,MAX(0,(Inputs!$B$3-100)*3)+Inputs!$B$28+Inputs!$B$29)))</f>
        <v/>
      </c>
      <c r="E1579">
        <f>INDEX(FactorTable!$B$2:$Y$301, MATCH(ROUND(MIN(300,MAX(1,D1579)),0), FactorTable!$A$2:$A$301,0), Skills!M23+1)</f>
        <v/>
      </c>
      <c r="F1579">
        <f>IF(Skills!N23=TRUE,(Skills!L23/10)*(E1579/1000),Skills!L23/10)+Skills!O23</f>
        <v/>
      </c>
      <c r="G1579">
        <f>Skills!G23*IF(Skills!H23&gt;0,Skills!I23/Skills!H23,1)</f>
        <v/>
      </c>
      <c r="H1579">
        <f>1-(1-Skills!J23/100)^Skills!K23</f>
        <v/>
      </c>
      <c r="I1579" t="inlineStr">
        <is>
          <t>1</t>
        </is>
      </c>
      <c r="J1579" t="inlineStr"/>
      <c r="K1579" t="inlineStr"/>
      <c r="L1579" t="inlineStr"/>
      <c r="M1579" t="inlineStr"/>
      <c r="N1579" t="inlineStr"/>
      <c r="O1579">
        <f>(1-Summary!$B$11)*T1579+Summary!$B$11*V1579</f>
        <v/>
      </c>
      <c r="P1579">
        <f>IF(B1598=0,0,O1579/B1598)</f>
        <v/>
      </c>
      <c r="Q1579" t="n">
        <v>0</v>
      </c>
      <c r="R1579" t="n">
        <v>0</v>
      </c>
      <c r="S1579" t="n">
        <v>0</v>
      </c>
      <c r="T1579" t="n">
        <v>0</v>
      </c>
      <c r="V1579" t="n">
        <v>0</v>
      </c>
    </row>
    <row r="1580">
      <c r="A1580">
        <f>Skills!A24</f>
        <v/>
      </c>
      <c r="B1580">
        <f>Skills!B24</f>
        <v/>
      </c>
      <c r="C1580">
        <f>Inputs!$B$3&gt;=75</f>
        <v/>
      </c>
      <c r="D1580">
        <f>IF(Skills!C24=1,60+Inputs!$B$25+Inputs!$B$29,IF(Skills!C24=2,90+Inputs!$B$26+Inputs!$B$29,IF(Skills!C24=3,120+Inputs!$B$27+Inputs!$B$29,MAX(0,(Inputs!$B$3-100)*3)+Inputs!$B$28+Inputs!$B$29)))</f>
        <v/>
      </c>
      <c r="E1580">
        <f>INDEX(FactorTable!$B$2:$Y$301, MATCH(ROUND(MIN(300,MAX(1,D1580)),0), FactorTable!$A$2:$A$301,0), Skills!M24+1)</f>
        <v/>
      </c>
      <c r="F1580">
        <f>IF(Skills!N24=TRUE,(Skills!L24/10)*(E1580/1000),Skills!L24/10)+Skills!O24</f>
        <v/>
      </c>
      <c r="G1580">
        <f>Skills!G24*IF(Skills!H24&gt;0,Skills!I24/Skills!H24,1)</f>
        <v/>
      </c>
      <c r="H1580">
        <f>1-(1-Skills!J24/100)^Skills!K24</f>
        <v/>
      </c>
      <c r="I1580" t="inlineStr">
        <is>
          <t>1</t>
        </is>
      </c>
      <c r="J1580" t="inlineStr"/>
      <c r="K1580" t="inlineStr"/>
      <c r="L1580" t="inlineStr"/>
      <c r="M1580" t="inlineStr"/>
      <c r="N1580" t="inlineStr"/>
      <c r="O1580">
        <f>(1-Summary!$B$11)*T1580+Summary!$B$11*V1580</f>
        <v/>
      </c>
      <c r="P1580">
        <f>IF(B1598=0,0,O1580/B1598)</f>
        <v/>
      </c>
      <c r="Q1580" t="n">
        <v>0</v>
      </c>
      <c r="R1580" t="n">
        <v>0</v>
      </c>
      <c r="S1580" t="n">
        <v>0</v>
      </c>
      <c r="T1580" t="n">
        <v>0</v>
      </c>
      <c r="V1580" t="n">
        <v>0</v>
      </c>
    </row>
    <row r="1581">
      <c r="A1581">
        <f>Skills!A25</f>
        <v/>
      </c>
      <c r="B1581">
        <f>Skills!B25</f>
        <v/>
      </c>
      <c r="C1581">
        <f>Inputs!$B$3&gt;=125</f>
        <v/>
      </c>
      <c r="D1581">
        <f>IF(Skills!C25=1,60+Inputs!$B$25+Inputs!$B$29,IF(Skills!C25=2,90+Inputs!$B$26+Inputs!$B$29,IF(Skills!C25=3,120+Inputs!$B$27+Inputs!$B$29,MAX(0,(Inputs!$B$3-100)*3)+Inputs!$B$28+Inputs!$B$29)))</f>
        <v/>
      </c>
      <c r="E1581">
        <f>INDEX(FactorTable!$B$2:$Y$301, MATCH(ROUND(MIN(300,MAX(1,D1581)),0), FactorTable!$A$2:$A$301,0), Skills!M25+1)</f>
        <v/>
      </c>
      <c r="F1581">
        <f>IF(Skills!N25=TRUE,(Skills!L25/10)*(E1581/1000),Skills!L25/10)+Skills!O25</f>
        <v/>
      </c>
      <c r="G1581">
        <f>Skills!G25*IF(Skills!H25&gt;0,Skills!I25/Skills!H25,1)</f>
        <v/>
      </c>
      <c r="H1581">
        <f>1-(1-Skills!J25/100)^Skills!K25</f>
        <v/>
      </c>
      <c r="I1581" t="inlineStr">
        <is>
          <t>1</t>
        </is>
      </c>
      <c r="J1581" t="inlineStr"/>
      <c r="K1581" t="inlineStr"/>
      <c r="L1581" t="inlineStr"/>
      <c r="M1581" t="inlineStr"/>
      <c r="N1581" t="inlineStr"/>
      <c r="O1581">
        <f>(1-Summary!$B$11)*T1581+Summary!$B$11*V1581</f>
        <v/>
      </c>
      <c r="P1581">
        <f>IF(B1598=0,0,O1581/B1598)</f>
        <v/>
      </c>
      <c r="Q1581" t="n">
        <v>0</v>
      </c>
      <c r="R1581" t="n">
        <v>0</v>
      </c>
      <c r="S1581" t="n">
        <v>0</v>
      </c>
      <c r="T1581" t="n">
        <v>0</v>
      </c>
      <c r="V1581" t="n">
        <v>0</v>
      </c>
    </row>
    <row r="1582">
      <c r="A1582">
        <f>Skills!A26</f>
        <v/>
      </c>
      <c r="B1582">
        <f>Skills!B26</f>
        <v/>
      </c>
      <c r="C1582">
        <f>Inputs!$B$3&gt;=125</f>
        <v/>
      </c>
      <c r="D1582">
        <f>IF(Skills!C26=1,60+Inputs!$B$25+Inputs!$B$29,IF(Skills!C26=2,90+Inputs!$B$26+Inputs!$B$29,IF(Skills!C26=3,120+Inputs!$B$27+Inputs!$B$29,MAX(0,(Inputs!$B$3-100)*3)+Inputs!$B$28+Inputs!$B$29)))</f>
        <v/>
      </c>
      <c r="E1582">
        <f>INDEX(FactorTable!$B$2:$Y$301, MATCH(ROUND(MIN(300,MAX(1,D1582)),0), FactorTable!$A$2:$A$301,0), Skills!M26+1)</f>
        <v/>
      </c>
      <c r="F1582">
        <f>IF(Skills!N26=TRUE,(Skills!L26/10)*(E1582/1000),Skills!L26/10)+Skills!O26</f>
        <v/>
      </c>
      <c r="G1582">
        <f>Skills!G26*IF(Skills!H26&gt;0,Skills!I26/Skills!H26,1)</f>
        <v/>
      </c>
      <c r="H1582">
        <f>1-(1-Skills!J26/100)^Skills!K26</f>
        <v/>
      </c>
      <c r="I1582" t="inlineStr">
        <is>
          <t>1</t>
        </is>
      </c>
      <c r="J1582" t="inlineStr"/>
      <c r="K1582" t="inlineStr"/>
      <c r="L1582" t="inlineStr"/>
      <c r="M1582" t="inlineStr"/>
      <c r="N1582" t="inlineStr"/>
      <c r="O1582">
        <f>(1-Summary!$B$11)*T1582+Summary!$B$11*V1582</f>
        <v/>
      </c>
      <c r="P1582">
        <f>IF(B1598=0,0,O1582/B1598)</f>
        <v/>
      </c>
      <c r="Q1582" t="n">
        <v>0</v>
      </c>
      <c r="R1582" t="n">
        <v>0</v>
      </c>
      <c r="S1582" t="n">
        <v>0</v>
      </c>
      <c r="T1582" t="n">
        <v>0</v>
      </c>
      <c r="V1582" t="n">
        <v>0</v>
      </c>
    </row>
    <row r="1583">
      <c r="A1583">
        <f>Skills!A27</f>
        <v/>
      </c>
      <c r="B1583">
        <f>Skills!B27</f>
        <v/>
      </c>
      <c r="C1583">
        <f>Inputs!$B$3&gt;=120</f>
        <v/>
      </c>
      <c r="D1583">
        <f>IF(Skills!C27=1,60+Inputs!$B$25+Inputs!$B$29,IF(Skills!C27=2,90+Inputs!$B$26+Inputs!$B$29,IF(Skills!C27=3,120+Inputs!$B$27+Inputs!$B$29,MAX(0,(Inputs!$B$3-100)*3)+Inputs!$B$28+Inputs!$B$29)))</f>
        <v/>
      </c>
      <c r="E1583">
        <f>INDEX(FactorTable!$B$2:$Y$301, MATCH(ROUND(MIN(300,MAX(1,D1583)),0), FactorTable!$A$2:$A$301,0), Skills!M27+1)</f>
        <v/>
      </c>
      <c r="F1583">
        <f>IF(Skills!N27=TRUE,(Skills!L27/10)*(E1583/1000),Skills!L27/10)+Skills!O27</f>
        <v/>
      </c>
      <c r="G1583">
        <f>Skills!G27*IF(Skills!H27&gt;0,Skills!I27/Skills!H27,1)</f>
        <v/>
      </c>
      <c r="H1583">
        <f>1-(1-Skills!J27/100)^Skills!K27</f>
        <v/>
      </c>
      <c r="I1583" t="inlineStr">
        <is>
          <t>1</t>
        </is>
      </c>
      <c r="J1583" t="inlineStr"/>
      <c r="K1583" t="inlineStr"/>
      <c r="L1583" t="inlineStr"/>
      <c r="M1583" t="inlineStr"/>
      <c r="N1583" t="inlineStr"/>
      <c r="O1583">
        <f>(1-Summary!$B$11)*T1583+Summary!$B$11*V1583</f>
        <v/>
      </c>
      <c r="P1583">
        <f>IF(B1598=0,0,O1583/B1598)</f>
        <v/>
      </c>
      <c r="Q1583" t="n">
        <v>0</v>
      </c>
      <c r="R1583" t="n">
        <v>0</v>
      </c>
      <c r="S1583" t="n">
        <v>0</v>
      </c>
      <c r="T1583" t="n">
        <v>0</v>
      </c>
      <c r="V1583" t="n">
        <v>0</v>
      </c>
    </row>
    <row r="1584">
      <c r="A1584">
        <f>Skills!A28</f>
        <v/>
      </c>
      <c r="B1584">
        <f>Skills!B28</f>
        <v/>
      </c>
      <c r="C1584">
        <f>Inputs!$B$3&gt;=120</f>
        <v/>
      </c>
      <c r="D1584">
        <f>IF(Skills!C28=1,60+Inputs!$B$25+Inputs!$B$29,IF(Skills!C28=2,90+Inputs!$B$26+Inputs!$B$29,IF(Skills!C28=3,120+Inputs!$B$27+Inputs!$B$29,MAX(0,(Inputs!$B$3-100)*3)+Inputs!$B$28+Inputs!$B$29)))</f>
        <v/>
      </c>
      <c r="E1584">
        <f>INDEX(FactorTable!$B$2:$Y$301, MATCH(ROUND(MIN(300,MAX(1,D1584)),0), FactorTable!$A$2:$A$301,0), Skills!M28+1)</f>
        <v/>
      </c>
      <c r="F1584">
        <f>IF(Skills!N28=TRUE,(Skills!L28/10)*(E1584/1000),Skills!L28/10)+Skills!O28</f>
        <v/>
      </c>
      <c r="G1584">
        <f>Skills!G28*IF(Skills!H28&gt;0,Skills!I28/Skills!H28,1)</f>
        <v/>
      </c>
      <c r="H1584">
        <f>1-(1-Skills!J28/100)^Skills!K28</f>
        <v/>
      </c>
      <c r="I1584" t="inlineStr">
        <is>
          <t>1</t>
        </is>
      </c>
      <c r="J1584" t="inlineStr"/>
      <c r="K1584" t="inlineStr"/>
      <c r="L1584" t="inlineStr"/>
      <c r="M1584" t="inlineStr"/>
      <c r="N1584" t="inlineStr"/>
      <c r="O1584">
        <f>(1-Summary!$B$11)*T1584+Summary!$B$11*V1584</f>
        <v/>
      </c>
      <c r="P1584">
        <f>IF(B1598=0,0,O1584/B1598)</f>
        <v/>
      </c>
      <c r="Q1584" t="n">
        <v>0</v>
      </c>
      <c r="R1584" t="n">
        <v>0</v>
      </c>
      <c r="S1584" t="n">
        <v>0</v>
      </c>
      <c r="T1584" t="n">
        <v>0</v>
      </c>
      <c r="V1584" t="n">
        <v>0</v>
      </c>
    </row>
    <row r="1585">
      <c r="A1585">
        <f>Skills!A29</f>
        <v/>
      </c>
      <c r="B1585">
        <f>Skills!B29</f>
        <v/>
      </c>
      <c r="C1585">
        <f>Inputs!$B$3&gt;=45</f>
        <v/>
      </c>
      <c r="D1585">
        <f>IF(Skills!C29=1,60+Inputs!$B$25+Inputs!$B$29,IF(Skills!C29=2,90+Inputs!$B$26+Inputs!$B$29,IF(Skills!C29=3,120+Inputs!$B$27+Inputs!$B$29,MAX(0,(Inputs!$B$3-100)*3)+Inputs!$B$28+Inputs!$B$29)))</f>
        <v/>
      </c>
      <c r="E1585">
        <f>INDEX(FactorTable!$B$2:$Y$301, MATCH(ROUND(MIN(300,MAX(1,D1585)),0), FactorTable!$A$2:$A$301,0), Skills!M29+1)</f>
        <v/>
      </c>
      <c r="F1585">
        <f>IF(Skills!N29=TRUE,(Skills!L29/10)*(E1585/1000),Skills!L29/10)+Skills!O29</f>
        <v/>
      </c>
      <c r="G1585">
        <f>Skills!G29*IF(Skills!H29&gt;0,Skills!I29/Skills!H29,1)</f>
        <v/>
      </c>
      <c r="H1585">
        <f>1-(1-Skills!J29/100)^Skills!K29</f>
        <v/>
      </c>
      <c r="I1585" t="inlineStr">
        <is>
          <t>1</t>
        </is>
      </c>
      <c r="J1585" t="inlineStr"/>
      <c r="K1585" t="inlineStr"/>
      <c r="L1585" t="inlineStr"/>
      <c r="M1585" t="inlineStr"/>
      <c r="N1585" t="inlineStr"/>
      <c r="O1585">
        <f>(1-Summary!$B$11)*T1585+Summary!$B$11*V1585</f>
        <v/>
      </c>
      <c r="P1585">
        <f>IF(B1598=0,0,O1585/B1598)</f>
        <v/>
      </c>
      <c r="Q1585" t="n">
        <v>0</v>
      </c>
      <c r="R1585" t="n">
        <v>0</v>
      </c>
      <c r="S1585" t="n">
        <v>0</v>
      </c>
      <c r="T1585" t="n">
        <v>0</v>
      </c>
      <c r="V1585" t="n">
        <v>0</v>
      </c>
    </row>
    <row r="1587">
      <c r="A1587" t="inlineStr">
        <is>
          <t>Attack% Bucket Multiplier</t>
        </is>
      </c>
      <c r="B1587">
        <f>(1+(((C1569=TRUE)*F1569)+((C1570=TRUE)*IF(Inputs!$B$38="pvp",F1570,(1-Summary!$B$11)*(F1570)+Summary!$B$11*(0)))+((C1571=TRUE)*F1571*IF(AND(Inputs!$B$38&lt;&gt;"pvp",Inputs!$B$43&gt;0),(((R1571-1)*(Skills!T15*(1+Inputs!$B$34/100))+MIN((Skills!T15*(1+Inputs!$B$34/100)),MAX(0,Inputs!$B$43-((R1571-1)*Skills!D15))))/Inputs!$B$43),IF(Inputs!$B$38="pvp",MIN((Skills!T15*(1+Inputs!$B$34/100)),15)/15,(Skills!T15*(1+Inputs!$B$34/100))/Skills!D15)))+((C1568=TRUE)*F1568)+((C1585=TRUE)*(F1585-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1588">
      <c r="A1588" t="inlineStr">
        <is>
          <t>Global Crit Rate Bonus %</t>
        </is>
      </c>
      <c r="B1588">
        <f>(C1572=TRUE)*20*IF(AND(Inputs!$B$38&lt;&gt;"pvp",Inputs!$B$43&gt;0),(((R1572-1)*(Skills!T16*(1+Inputs!$B$34/100))+MIN((Skills!T16*(1+Inputs!$B$34/100)),MAX(0,Inputs!$B$43-((R1572-1)*Skills!D16))))/Inputs!$B$43),IF(Inputs!$B$38="pvp",MIN((Skills!T16*(1+Inputs!$B$34/100)),15)/15,(Skills!T16*(1+Inputs!$B$34/100))/Skills!D16))</f>
        <v/>
      </c>
    </row>
    <row r="1589">
      <c r="A1589" t="inlineStr">
        <is>
          <t>Attack Speed Buff Bonus %</t>
        </is>
      </c>
      <c r="B1589">
        <f>((C1574=TRUE)*F1574*IF(AND(Inputs!$B$38&lt;&gt;"pvp",Inputs!$B$43&gt;0),(((R1574-1)*(Skills!T18*(1+Inputs!$B$34/100))+MIN((Skills!T18*(1+Inputs!$B$34/100)),MAX(0,Inputs!$B$43-((R1574-1)*Skills!D18))))/Inputs!$B$43),IF(Inputs!$B$38="pvp",MIN((Skills!T18*(1+Inputs!$B$34/100)),15)/15,(Skills!T18*(1+Inputs!$B$34/100))/Skills!D18)))</f>
        <v/>
      </c>
    </row>
    <row r="1590">
      <c r="A1590" t="inlineStr">
        <is>
          <t>Actions Per Second</t>
        </is>
      </c>
      <c r="B1590">
        <f>1+MIN(150,150*(1-(1-(Inputs!$B$11+((C1576=TRUE)*(F1576-Calc!F20))+((C1577=TRUE)*(F1577-Calc!F21)))/150)*(1-B1589/150)))/100</f>
        <v/>
      </c>
    </row>
    <row r="1591">
      <c r="A1591" t="inlineStr">
        <is>
          <t>Skill + Buff Cast Rate</t>
        </is>
      </c>
      <c r="B1591">
        <f>IF(AND(Inputs!$B$38&lt;&gt;"pvp",Inputs!$B$43&gt;0),SUMPRODUCT((Skills!E2:E29=TRUE)*(C1558:C1585=TRUE)*R1558:R1585*Skills!F2:F29)/Inputs!$B$43,SUMPRODUCT((Skills!E2:E29=TRUE)*(C1558:C1585=TRUE)*Q1558:Q1585*Skills!F2:F29))</f>
        <v/>
      </c>
    </row>
    <row r="1592">
      <c r="A1592" t="inlineStr">
        <is>
          <t>Empowered Piercing Arrow Casts Per Second</t>
        </is>
      </c>
      <c r="B1592">
        <f>MAX(0,B1590-B1591)</f>
        <v/>
      </c>
    </row>
    <row r="1593">
      <c r="A1593" t="inlineStr">
        <is>
          <t>Global Critical Damage Bonus % (Sharp Eyes)</t>
        </is>
      </c>
      <c r="B1593">
        <f>(C1572=TRUE)*F1572*IF(AND(Inputs!$B$38&lt;&gt;"pvp",Inputs!$B$43&gt;0),(((R1572-1)*(Skills!T16*(1+Inputs!$B$34/100))+MIN((Skills!T16*(1+Inputs!$B$34/100)),MAX(0,Inputs!$B$43-((R1572-1)*Skills!D16))))/Inputs!$B$43),IF(Inputs!$B$38="pvp",MIN((Skills!T16*(1+Inputs!$B$34/100)),15)/15,(Skills!T16*(1+Inputs!$B$34/100))/Skills!D16))</f>
        <v/>
      </c>
    </row>
    <row r="1594">
      <c r="A1594" t="inlineStr">
        <is>
          <t>Global Final Damage Bonus % (Mortal Blow + Last Man Standing conditional half)</t>
        </is>
      </c>
      <c r="B1594">
        <f>(C1573=TRUE)*F1573+((C1582=TRUE)*IF(Inputs!$B$38="pvp",F1582,(1-Summary!$B$11)*(F1582)+Summary!$B$11*(0)))</f>
        <v/>
      </c>
    </row>
    <row r="1595">
      <c r="A1595" t="inlineStr">
        <is>
          <t>Buff-Casting Startup Delay (s, fixed-duration only)</t>
        </is>
      </c>
      <c r="B1595">
        <f>IF(AND(Inputs!$B$38&lt;&gt;"pvp",Inputs!$B$43&gt;0),SUMPRODUCT((Skills!T2:T29&gt;0)*(Skills!E2:E29=TRUE)*(C1558:C1585=TRUE))/B1590,0)</f>
        <v/>
      </c>
    </row>
    <row r="1596">
      <c r="A1596" t="inlineStr">
        <is>
          <t>Boss-Only Total DPS (this block's swept value)</t>
        </is>
      </c>
      <c r="B1596">
        <f>SUM(T1558:T1585)</f>
        <v/>
      </c>
    </row>
    <row r="1597">
      <c r="A1597" t="inlineStr">
        <is>
          <t>Normal-Only Total DPS (this block's swept value)</t>
        </is>
      </c>
      <c r="B1597">
        <f>SUM(V1558:V1585)</f>
        <v/>
      </c>
    </row>
    <row r="1598">
      <c r="A1598" s="6" t="inlineStr">
        <is>
          <t>TOTAL DPS</t>
        </is>
      </c>
      <c r="B1598" s="6">
        <f>SUM(O1558:O1585)</f>
        <v/>
      </c>
    </row>
    <row r="1601">
      <c r="A1601" s="6" t="inlineStr">
        <is>
          <t>Stat: Clear Spring Water (Equip)</t>
        </is>
      </c>
    </row>
    <row r="1602">
      <c r="A1602" s="5" t="inlineStr">
        <is>
          <t>Key</t>
        </is>
      </c>
      <c r="B1602" s="5" t="inlineStr">
        <is>
          <t>Name</t>
        </is>
      </c>
      <c r="C1602" s="5" t="inlineStr">
        <is>
          <t>Unlocked</t>
        </is>
      </c>
      <c r="D1602" s="5" t="inlineStr">
        <is>
          <t>InputLevel</t>
        </is>
      </c>
      <c r="E1602" s="5" t="inlineStr">
        <is>
          <t>Factor</t>
        </is>
      </c>
      <c r="F1602" s="5" t="inlineStr">
        <is>
          <t>CoefficientPercent</t>
        </is>
      </c>
      <c r="G1602" s="5" t="inlineStr">
        <is>
          <t>EffectiveHits</t>
        </is>
      </c>
      <c r="H1602" s="5" t="inlineStr">
        <is>
          <t>ProcProbability</t>
        </is>
      </c>
      <c r="I1602" s="5" t="inlineStr">
        <is>
          <t>MapleHeroMultiplier</t>
        </is>
      </c>
      <c r="J1602" s="5" t="inlineStr">
        <is>
          <t>BaseDamage</t>
        </is>
      </c>
      <c r="K1602" s="5" t="inlineStr">
        <is>
          <t>BaseHitDamage</t>
        </is>
      </c>
      <c r="L1602" s="5" t="inlineStr">
        <is>
          <t>NonCritAvg</t>
        </is>
      </c>
      <c r="M1602" s="5" t="inlineStr">
        <is>
          <t>CritAvg</t>
        </is>
      </c>
      <c r="N1602" s="5" t="inlineStr">
        <is>
          <t>ExpectedDamage(perHit)</t>
        </is>
      </c>
      <c r="O1602" s="5" t="inlineStr">
        <is>
          <t>DPS</t>
        </is>
      </c>
      <c r="P1602" s="5" t="inlineStr">
        <is>
          <t>% of Total</t>
        </is>
      </c>
      <c r="Q1602" s="5" t="inlineStr">
        <is>
          <t>InvCooldown</t>
        </is>
      </c>
      <c r="R1602" s="5" t="inlineStr">
        <is>
          <t>CastsInFight</t>
        </is>
      </c>
      <c r="S1602" s="5" t="inlineStr">
        <is>
          <t>HitRate(perSec)</t>
        </is>
      </c>
      <c r="U1602" t="inlineStr">
        <is>
          <t>helpers</t>
        </is>
      </c>
    </row>
    <row r="1603">
      <c r="A1603">
        <f>Skills!A2</f>
        <v/>
      </c>
      <c r="B1603">
        <f>Skills!B2</f>
        <v/>
      </c>
      <c r="C1603">
        <f>Inputs!$B$3&gt;=100</f>
        <v/>
      </c>
      <c r="D1603" t="inlineStr"/>
      <c r="E1603" t="inlineStr"/>
      <c r="F1603">
        <f>U1605+Skills!O2</f>
        <v/>
      </c>
      <c r="G1603">
        <f>Skills!G2*IF(Skills!H2&gt;0,Skills!I2/Skills!H2,1)</f>
        <v/>
      </c>
      <c r="H1603">
        <f>1-(1-Skills!J2/100)^Skills!K2</f>
        <v/>
      </c>
      <c r="I1603" t="inlineStr">
        <is>
          <t>1</t>
        </is>
      </c>
      <c r="J1603">
        <f>((Inputs!$B$6*(1+Inputs!$B$7/100))+(((Inputs!$B$12*(1+Inputs!$B$13/100))-(Inputs!$B$12*(1+Inputs!$B$13/100)))+0.25*(Inputs!$B$14-Inputs!$B$14))*(1+Inputs!$B$7/100))*(F1603/100)</f>
        <v/>
      </c>
      <c r="K1603">
        <f>J1603*(1+((Inputs!$B$12*(1+Inputs!$B$13/100))*0.01+Inputs!$B$14*0.0025)/100)*(1+Inputs!$B$15/100)*(1+Inputs!$B$16/100)*(5000/(6000+Inputs!$B$42*(1-(100*(1-(1-(Inputs!$B$19+0)/100)*(1-CHOOSE(ArtifactsInput!$N$40+1,5,6,7,8,9,10)/100)^(ArtifactsInput!$M$40-ArtifactsInput!$M$40)))/100)))*(1+(Inputs!$B$24+((C1625=TRUE)*(F1625-Calc!F24))+((C1626=TRUE)*(F1626-Calc!F25))+B1639)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Boss",2,1),0)/100)-1)*100+(IF(ArtifactsInput!$M$14,FALSE,TRUE)-ArtifactsInput!$M$14)*IF(OR(Inputs!$B$4="Weapon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EMPOWERED_PIERCING_ARROW",Inputs!$B$17+((C1623=TRUE)*(F1623-Calc!F22))+(((IF(AND(ArtifactsInput!$M$42,((Inputs!$B$9+((C1620=TRUE)*(F1620-Calc!F19))+B1633+(ArtifactsInput!$M$24-ArtifactsInput!$M$24)*CHOOSE(ArtifactsInput!$N$24+1,10,12,14,16,18,20)+IF(ArtifactsInput!$M$10,CHOOSE(ArtifactsInput!$N$10+1,15,18,21,24,27,30)*(IF(Inputs!$B$38="pvp",MIN(15,15)/15,IF(AND(Inputs!$B$38&lt;&gt;"pvp",Inputs!$B$43&gt;0),MIN(15,Inputs!$B$43)/(Inputs!$B$43),0))),0)))&gt;=100),MIN(100,((Inputs!$B$9+((C1620=TRUE)*(F1620-Calc!F19))+B1633+(ArtifactsInput!$M$24-ArtifactsInput!$M$24)*CHOOSE(ArtifactsInput!$N$24+1,10,12,14,16,18,20)+IF(ArtifactsInput!$M$10,CHOOSE(ArtifactsInput!$N$10+1,15,18,21,24,27,30)*(IF(Inputs!$B$38="pvp",MIN(15,15)/15,IF(AND(Inputs!$B$38&lt;&gt;"pvp",Inputs!$B$43&gt;0),MIN(15,Inputs!$B$43)/(Inputs!$B$43),0))),0)))-100),0))*CHOOSE(ArtifactsInput!$N$42+1,0.6,0.72,0.84,0.96,1.08,1.2))),Inputs!$B$18+((C1628=TRUE)*(F1628-Calc!F27))+(IF(AND(ArtifactsInput!$M$42,((Inputs!$B$9+((C1620=TRUE)*(F1620-Calc!F19))+B1633+(ArtifactsInput!$M$24-ArtifactsInput!$M$24)*CHOOSE(ArtifactsInput!$N$24+1,10,12,14,16,18,20)+IF(ArtifactsInput!$M$10,CHOOSE(ArtifactsInput!$N$10+1,15,18,21,24,27,30)*(IF(Inputs!$B$38="pvp",MIN(15,15)/15,IF(AND(Inputs!$B$38&lt;&gt;"pvp",Inputs!$B$43&gt;0),MIN(15,Inputs!$B$43)/(Inputs!$B$43),0))),0)))&gt;=100),CHOOSE(ArtifactsInput!$N$42+1,40,48,56,64,72,80),0))))/100)*((1+(((C1614=TRUE)*F1614)+((C1615=TRUE)*IF(Inputs!$B$38="pvp",F1615,(1-Summary!$B$11)*(F1615)+Summary!$B$11*(0)))+((C1616=TRUE)*F1616*IF(AND(Inputs!$B$38&lt;&gt;"pvp",Inputs!$B$43&gt;0),(((R1616-1)*(Skills!T15*(1+Inputs!$B$34/100))+MIN((Skills!T15*(1+Inputs!$B$34/100)),MAX(0,Inputs!$B$43-((R1616-1)*Skills!D15))))/Inputs!$B$43),IF(Inputs!$B$38="pvp",MIN((Skills!T15*(1+Inputs!$B$34/100)),15)/15,(Skills!T15*(1+Inputs!$B$34/100))/Skills!D15)))+((C1613=TRUE)*F1613)+((C1630=TRUE)*(F1630-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1603)</f>
        <v/>
      </c>
      <c r="L1603">
        <f>K1603*(MIN(Inputs!$B$22+((C1624=TRUE)*(F1624-Calc!F23)),(Inputs!$B$23+((C1629=TRUE)*(F1629-Calc!F28))+(IF(ArtifactsInput!$M$15,CHOOSE(ArtifactsInput!$N$15+1,25,30,35,40,45,50)/100*(Inputs!$B$11-Inputs!$B$11),0))))/100+(Inputs!$B$23+((C1629=TRUE)*(F1629-Calc!F28))+(IF(ArtifactsInput!$M$15,CHOOSE(ArtifactsInput!$N$15+1,25,30,35,40,45,50)/100*(Inputs!$B$11-Inputs!$B$11),0)))/100)/2</f>
        <v/>
      </c>
      <c r="M1603">
        <f>L1603*(1+(Inputs!$B$10+0+B1638+(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603">
        <f>L1603*(1-MIN((Inputs!$B$9+((C1620=TRUE)*(F1620-Calc!F19))+B1633+(ArtifactsInput!$M$24-ArtifactsInput!$M$24)*CHOOSE(ArtifactsInput!$N$24+1,10,12,14,16,18,20)+(IF(AND(ArtifactsInput!$M$42,((Inputs!$B$9+((C1620=TRUE)*(F1620-Calc!F19))+B1633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1603*(MIN((Inputs!$B$9+((C1620=TRUE)*(F1620-Calc!F19))+B1633+(ArtifactsInput!$M$24-ArtifactsInput!$M$24)*CHOOSE(ArtifactsInput!$N$24+1,10,12,14,16,18,20)+(IF(AND(ArtifactsInput!$M$42,((Inputs!$B$9+((C1620=TRUE)*(F1620-Calc!F19))+B1633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603">
        <f>(1-Summary!$B$11)*T1603+Summary!$B$11*V1603</f>
        <v/>
      </c>
      <c r="P1603">
        <f>IF(B1643=0,0,O1603/B1643)</f>
        <v/>
      </c>
      <c r="Q1603" t="n">
        <v>0</v>
      </c>
      <c r="R1603" t="n">
        <v>0</v>
      </c>
      <c r="S1603">
        <f>IFERROR((Skills!G2*N1603*B1637)/N1603*IF(Inputs!$B$38="pvp",1,(1-Summary!$B$11)*1+Summary!$B$11*(MIN((6+Inputs!$B$33),Inputs!$B$37))),0)</f>
        <v/>
      </c>
      <c r="T1603">
        <f>IF(C1603,(Skills!G2*N1603*B1637)*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Hunt"),CHOOSE(ArtifactsInput!$N$35+1,15,18,21,24,27,30)*(1-EXP(-(0.2*B1635)*5)),0)+IF(AND(ArtifactsInput!$M$22,Inputs!$B$4&lt;&gt;"Chapter Hunt"),CHOOSE(ArtifactsInput!$N$22+1,10,12,14,16,18,20)*((0*(((0.15*B1635*5))^0/1)+1*(((0.15*B1635*5))^1/1)+2*(((0.15*B1635*5))^2/2)+3*(((0.15*B1635*5))^3/6)+4*(((0.15*B1635*5))^4/24)+5*(((0.15*B1635*5))^5/120))/((((0.15*B1635*5))^0/1)+(((0.15*B1635*5))^1/1)+(((0.15*B1635*5))^2/2)+(((0.15*B1635*5))^3/6)+(((0.15*B1635*5))^4/24)+(((0.15*B1635*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1603*(1-MIN(100,(Inputs!$B$9+((C1620=TRUE)*(F1620-Calc!F19))+B1633+(ArtifactsInput!$M$24-ArtifactsInput!$M$24)*CHOOSE(ArtifactsInput!$N$24+1,10,12,14,16,18,20)+(IF(AND(ArtifactsInput!$M$42,((Inputs!$B$9+((C1620=TRUE)*(F1620-Calc!F19))+B1633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1603*(MIN(100,(Inputs!$B$9+((C1620=TRUE)*(F1620-Calc!F19))+B1633+(ArtifactsInput!$M$24-ArtifactsInput!$M$24)*CHOOSE(ArtifactsInput!$N$24+1,10,12,14,16,18,20)+(IF(AND(ArtifactsInput!$M$42,((Inputs!$B$9+((C1620=TRUE)*(F1620-Calc!F19))+B1633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1603*(1-MIN(100,(Inputs!$B$9+((C1620=TRUE)*(F1620-Calc!F19))+B1633+(ArtifactsInput!$M$24-ArtifactsInput!$M$24)*CHOOSE(ArtifactsInput!$N$24+1,10,12,14,16,18,20)+(IF(AND(ArtifactsInput!$M$42,((Inputs!$B$9+((C1620=TRUE)*(F1620-Calc!F19))+B1633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1603*(MIN(100,(Inputs!$B$9+((C1620=TRUE)*(F1620-Calc!F19))+B1633+(ArtifactsInput!$M$24-ArtifactsInput!$M$24)*CHOOSE(ArtifactsInput!$N$24+1,10,12,14,16,18,20)+(IF(AND(ArtifactsInput!$M$42,((Inputs!$B$9+((C1620=TRUE)*(F1620-Calc!F19))+B1633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603">
        <f>MAX(0,(Inputs!$B$3-100)*3)+Inputs!$B$28+Inputs!$B$29</f>
        <v/>
      </c>
      <c r="V1603">
        <f>IF(C1603,(Skills!G2*N1603*B1637)*IF(Inputs!$B$38="pvp",1,(1+(Inputs!$B$21+Skills!Q2+(IF(ArtifactsInput!$M$33,CHOOSE(ArtifactsInput!$N$33+1,30,36,42,48,54,60),0))+(IF(AND(ArtifactsInput!$M$35,Inputs!$B$4&lt;&gt;"Chapter Hunt"),CHOOSE(ArtifactsInput!$N$35+1,15,18,21,24,27,30)*(1-EXP(-(0.2*B1635)*5)),0)+IF(AND(ArtifactsInput!$M$22,Inputs!$B$4&lt;&gt;"Chapter Hunt"),CHOOSE(ArtifactsInput!$N$22+1,10,12,14,16,18,20)*((0*(((0.15*B1635*5))^0/1)+1*(((0.15*B1635*5))^1/1)+2*(((0.15*B1635*5))^2/2)+3*(((0.15*B1635*5))^3/6)+4*(((0.15*B1635*5))^4/24)+5*(((0.15*B1635*5))^5/120))/((((0.15*B1635*5))^0/1)+(((0.15*B1635*5))^1/1)+(((0.15*B1635*5))^2/2)+(((0.15*B1635*5))^3/6)+(((0.15*B1635*5))^4/24)+(((0.15*B1635*5))^5/120)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604">
      <c r="A1604">
        <f>Skills!A3</f>
        <v/>
      </c>
      <c r="B1604">
        <f>Skills!B3</f>
        <v/>
      </c>
      <c r="C1604">
        <f>Inputs!$B$3&gt;=50</f>
        <v/>
      </c>
      <c r="D1604">
        <f>IF(Skills!C3=1,60+Inputs!$B$25+Inputs!$B$29,IF(Skills!C3=2,90+Inputs!$B$26+Inputs!$B$29,IF(Skills!C3=3,120+Inputs!$B$27+Inputs!$B$29,MAX(0,(Inputs!$B$3-100)*3)+Inputs!$B$28+Inputs!$B$29)))</f>
        <v/>
      </c>
      <c r="E1604">
        <f>INDEX(FactorTable!$B$2:$Y$301, MATCH(ROUND(MIN(300,MAX(1,D1604)),0), FactorTable!$A$2:$A$301,0), Skills!M3+1)</f>
        <v/>
      </c>
      <c r="F1604">
        <f>IF(Skills!N3=TRUE,(Skills!L3/10)*(E1604/1000),Skills!L3/10)+Skills!O3</f>
        <v/>
      </c>
      <c r="G1604" t="inlineStr"/>
      <c r="H1604" t="inlineStr"/>
      <c r="I1604" t="inlineStr">
        <is>
          <t>1</t>
        </is>
      </c>
      <c r="J1604" t="inlineStr"/>
      <c r="K1604" t="inlineStr"/>
      <c r="L1604" t="inlineStr"/>
      <c r="M1604" t="inlineStr"/>
      <c r="N1604" t="inlineStr"/>
      <c r="O1604" t="inlineStr"/>
      <c r="P1604" t="inlineStr"/>
      <c r="Q1604" t="inlineStr"/>
      <c r="R1604" t="inlineStr"/>
      <c r="S1604" t="inlineStr"/>
      <c r="T1604" t="inlineStr"/>
      <c r="U1604">
        <f>INDEX(FactorTable!$B$2:$Y$301, MATCH(ROUND(MIN(300,MAX(1,U1603)),0), FactorTable!$A$2:$A$301,0), 22)</f>
        <v/>
      </c>
      <c r="V1604" t="inlineStr"/>
    </row>
    <row r="1605">
      <c r="A1605">
        <f>Skills!A4</f>
        <v/>
      </c>
      <c r="B1605">
        <f>Skills!B4</f>
        <v/>
      </c>
      <c r="C1605">
        <f>Inputs!$B$3&gt;=105</f>
        <v/>
      </c>
      <c r="D1605">
        <f>IF(Skills!C4=1,60+Inputs!$B$25+Inputs!$B$29,IF(Skills!C4=2,90+Inputs!$B$26+Inputs!$B$29,IF(Skills!C4=3,120+Inputs!$B$27+Inputs!$B$29,MAX(0,(Inputs!$B$3-100)*3)+Inputs!$B$28+Inputs!$B$29)))</f>
        <v/>
      </c>
      <c r="E1605">
        <f>INDEX(FactorTable!$B$2:$Y$301, MATCH(ROUND(MIN(300,MAX(1,D1605)),0), FactorTable!$A$2:$A$301,0), Skills!M4+1)</f>
        <v/>
      </c>
      <c r="F1605">
        <f>IF(Skills!N4=TRUE,(Skills!L4/10)*(E1605/1000),Skills!L4/10)+Skills!O4</f>
        <v/>
      </c>
      <c r="G1605" t="inlineStr"/>
      <c r="H1605" t="inlineStr"/>
      <c r="I1605" t="inlineStr">
        <is>
          <t>1</t>
        </is>
      </c>
      <c r="J1605" t="inlineStr"/>
      <c r="K1605" t="inlineStr"/>
      <c r="L1605" t="inlineStr"/>
      <c r="M1605" t="inlineStr"/>
      <c r="N1605" t="inlineStr"/>
      <c r="O1605" t="inlineStr"/>
      <c r="P1605" t="inlineStr"/>
      <c r="Q1605" t="inlineStr"/>
      <c r="R1605" t="inlineStr"/>
      <c r="S1605" t="inlineStr"/>
      <c r="T1605" t="inlineStr"/>
      <c r="U1605">
        <f>290*U1604/1000</f>
        <v/>
      </c>
      <c r="V1605" t="inlineStr"/>
    </row>
    <row r="1606">
      <c r="A1606">
        <f>Skills!A5</f>
        <v/>
      </c>
      <c r="B1606">
        <f>Skills!B5</f>
        <v/>
      </c>
      <c r="C1606">
        <f>Inputs!$B$3&gt;=35</f>
        <v/>
      </c>
      <c r="D1606">
        <f>IF(Skills!C5=1,60+Inputs!$B$25+Inputs!$B$29,IF(Skills!C5=2,90+Inputs!$B$26+Inputs!$B$29,IF(Skills!C5=3,120+Inputs!$B$27+Inputs!$B$29,MAX(0,(Inputs!$B$3-100)*3)+Inputs!$B$28+Inputs!$B$29)))</f>
        <v/>
      </c>
      <c r="E1606">
        <f>INDEX(FactorTable!$B$2:$Y$301, MATCH(ROUND(MIN(300,MAX(1,D1606)),0), FactorTable!$A$2:$A$301,0), Skills!M5+1)</f>
        <v/>
      </c>
      <c r="F1606">
        <f>IF(Skills!N5=TRUE,(Skills!L5/10)*(E1606/1000),Skills!L5/10)+Skills!O5</f>
        <v/>
      </c>
      <c r="G1606">
        <f>Skills!G5*IF(Skills!H5&gt;0,Skills!I5/Skills!H5,1)</f>
        <v/>
      </c>
      <c r="H1606">
        <f>1-(1-Skills!J5/100)^Skills!K5</f>
        <v/>
      </c>
      <c r="I1606" t="inlineStr">
        <is>
          <t>1</t>
        </is>
      </c>
      <c r="J1606">
        <f>((Inputs!$B$6*(1+Inputs!$B$7/100))+(((Inputs!$B$12*(1+Inputs!$B$13/100))-(Inputs!$B$12*(1+Inputs!$B$13/100)))+0.25*(Inputs!$B$14-Inputs!$B$14))*(1+Inputs!$B$7/100))*(F1606/100)</f>
        <v/>
      </c>
      <c r="K1606">
        <f>J1606*(1+((Inputs!$B$12*(1+Inputs!$B$13/100))*0.01+Inputs!$B$14*0.0025)/100)*(1+Inputs!$B$15/100)*(1+Inputs!$B$16/100)*(5000/(6000+Inputs!$B$42*(1-(100*(1-(1-(Inputs!$B$19+0)/100)*(1-CHOOSE(ArtifactsInput!$N$40+1,5,6,7,8,9,10)/100)^(ArtifactsInput!$M$40-ArtifactsInput!$M$40)))/100)))*(1+(Inputs!$B$24+((C1625=TRUE)*(F1625-Calc!F24))+((C1626=TRUE)*(F1626-Calc!F25))+B1639)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Boss",2,1),0)/100)-1)*100+(IF(ArtifactsInput!$M$14,FALSE,TRUE)-ArtifactsInput!$M$14)*IF(OR(Inputs!$B$4="Weapon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1609=TRUE,F1609,0)/100)*(1+(IF(Skills!A5="EMPOWERED_PIERCING_ARROW",Inputs!$B$17+((C1623=TRUE)*(F1623-Calc!F22))+(((IF(AND(ArtifactsInput!$M$42,((Inputs!$B$9+((C1620=TRUE)*(F1620-Calc!F19))+B1633+(ArtifactsInput!$M$24-ArtifactsInput!$M$24)*CHOOSE(ArtifactsInput!$N$24+1,10,12,14,16,18,20)+IF(ArtifactsInput!$M$10,CHOOSE(ArtifactsInput!$N$10+1,15,18,21,24,27,30)*(IF(Inputs!$B$38="pvp",MIN(15,15)/15,IF(AND(Inputs!$B$38&lt;&gt;"pvp",Inputs!$B$43&gt;0),MIN(15,Inputs!$B$43)/(Inputs!$B$43),0))),0)))&gt;=100),MIN(100,((Inputs!$B$9+((C1620=TRUE)*(F1620-Calc!F19))+B1633+(ArtifactsInput!$M$24-ArtifactsInput!$M$24)*CHOOSE(ArtifactsInput!$N$24+1,10,12,14,16,18,20)+IF(ArtifactsInput!$M$10,CHOOSE(ArtifactsInput!$N$10+1,15,18,21,24,27,30)*(IF(Inputs!$B$38="pvp",MIN(15,15)/15,IF(AND(Inputs!$B$38&lt;&gt;"pvp",Inputs!$B$43&gt;0),MIN(15,Inputs!$B$43)/(Inputs!$B$43),0))),0)))-100),0))*CHOOSE(ArtifactsInput!$N$42+1,0.6,0.72,0.84,0.96,1.08,1.2))),Inputs!$B$18+((C1628=TRUE)*(F1628-Calc!F27))+(IF(AND(ArtifactsInput!$M$42,((Inputs!$B$9+((C1620=TRUE)*(F1620-Calc!F19))+B1633+(ArtifactsInput!$M$24-ArtifactsInput!$M$24)*CHOOSE(ArtifactsInput!$N$24+1,10,12,14,16,18,20)+IF(ArtifactsInput!$M$10,CHOOSE(ArtifactsInput!$N$10+1,15,18,21,24,27,30)*(IF(Inputs!$B$38="pvp",MIN(15,15)/15,IF(AND(Inputs!$B$38&lt;&gt;"pvp",Inputs!$B$43&gt;0),MIN(15,Inputs!$B$43)/(Inputs!$B$43),0))),0)))&gt;=100),CHOOSE(ArtifactsInput!$N$42+1,40,48,56,64,72,80),0))))/100)*((1+(((C1614=TRUE)*F1614)+((C1615=TRUE)*IF(Inputs!$B$38="pvp",F1615,(1-Summary!$B$11)*(F1615)+Summary!$B$11*(0)))+((C1616=TRUE)*F1616*IF(AND(Inputs!$B$38&lt;&gt;"pvp",Inputs!$B$43&gt;0),(((R1616-1)*(Skills!T15*(1+Inputs!$B$34/100))+MIN((Skills!T15*(1+Inputs!$B$34/100)),MAX(0,Inputs!$B$43-((R1616-1)*Skills!D15))))/Inputs!$B$43),IF(Inputs!$B$38="pvp",MIN((Skills!T15*(1+Inputs!$B$34/100)),15)/15,(Skills!T15*(1+Inputs!$B$34/100))/Skills!D15)))+((C1613=TRUE)*F1613)+((C1630=TRUE)*(F1630-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1606)</f>
        <v/>
      </c>
      <c r="L1606">
        <f>K1606*(MIN(Inputs!$B$22+((C1624=TRUE)*(F1624-Calc!F23)),(Inputs!$B$23+((C1629=TRUE)*(F1629-Calc!F28))+(IF(ArtifactsInput!$M$15,CHOOSE(ArtifactsInput!$N$15+1,25,30,35,40,45,50)/100*(Inputs!$B$11-Inputs!$B$11),0))))/100+(Inputs!$B$23+((C1629=TRUE)*(F1629-Calc!F28))+(IF(ArtifactsInput!$M$15,CHOOSE(ArtifactsInput!$N$15+1,25,30,35,40,45,50)/100*(Inputs!$B$11-Inputs!$B$11),0)))/100)/2</f>
        <v/>
      </c>
      <c r="M1606">
        <f>L1606*(1+(Inputs!$B$10+0+B1638+(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606">
        <f>L1606*(1-MIN((Inputs!$B$9+((C1620=TRUE)*(F1620-Calc!F19))+B1633+(ArtifactsInput!$M$24-ArtifactsInput!$M$24)*CHOOSE(ArtifactsInput!$N$24+1,10,12,14,16,18,20)+(IF(AND(ArtifactsInput!$M$42,((Inputs!$B$9+((C1620=TRUE)*(F1620-Calc!F19))+B1633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1606*(MIN((Inputs!$B$9+((C1620=TRUE)*(F1620-Calc!F19))+B1633+(ArtifactsInput!$M$24-ArtifactsInput!$M$24)*CHOOSE(ArtifactsInput!$N$24+1,10,12,14,16,18,20)+(IF(AND(ArtifactsInput!$M$42,((Inputs!$B$9+((C1620=TRUE)*(F1620-Calc!F19))+B1633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606">
        <f>(1-Summary!$B$11)*T1606+Summary!$B$11*V1606</f>
        <v/>
      </c>
      <c r="P1606">
        <f>IF(B1643=0,0,O1606/B1643)</f>
        <v/>
      </c>
      <c r="Q1606">
        <f>IFERROR(1/IF(Inputs!$B$38="pvp",15,MAX(0.1,Skills!D5-IF(Skills!E5=TRUE,Inputs!$B$32,0))),0)</f>
        <v/>
      </c>
      <c r="R1606">
        <f>IF(AND(Inputs!$B$38&lt;&gt;"pvp",Inputs!$B$43&gt;0),IF(MAX(0,Inputs!$B$43-B1640)&lt;=0,0,(INT(MAX(0,Inputs!$B$43-B1640)/IF(Inputs!$B$38="pvp",15,MAX(0.1,Skills!D5-IF(Skills!E5=TRUE,Inputs!$B$32,0))))+1)),0)</f>
        <v/>
      </c>
      <c r="S1606">
        <f>IFERROR((H1606*N1606*IF(AND(Inputs!$B$38&lt;&gt;"pvp",Inputs!$B$43&gt;0),((Skills!G5*((R1606-1)*IF(Skills!H5&gt;0,Skills!I5/Skills!H5,1)+IF(Skills!H5&gt;0,MIN(Skills!I5,MAX(0,MAX(0,Inputs!$B$43-B1640)-((R1606-1)*IF(Inputs!$B$38="pvp",15,MAX(0.1,Skills!D5-IF(Skills!E5=TRUE,Inputs!$B$32,0))))))/Skills!H5,1)))/Inputs!$B$43),G1606*Q1606))/N1606*IF(Inputs!$B$38="pvp",1,(1-Summary!$B$11)*1+Summary!$B$11*(MIN(Skills!R5,Inputs!$B$37))),0)</f>
        <v/>
      </c>
      <c r="T1606">
        <f>IF(C1606,(H1606*N1606*IF(AND(Inputs!$B$38&lt;&gt;"pvp",Inputs!$B$43&gt;0),((Skills!G5*((R1606-1)*IF(Skills!H5&gt;0,Skills!I5/Skills!H5,1)+IF(Skills!H5&gt;0,MIN(Skills!I5,MAX(0,MAX(0,Inputs!$B$43-B1640)-((R1606-1)*IF(Inputs!$B$38="pvp",15,MAX(0.1,Skills!D5-IF(Skills!E5=TRUE,Inputs!$B$32,0))))))/Skills!H5,1)))/Inputs!$B$43),G1606*Q1606))*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Hunt"),CHOOSE(ArtifactsInput!$N$35+1,15,18,21,24,27,30)*(1-EXP(-(0.2*B1635)*5)),0)+IF(AND(ArtifactsInput!$M$22,Inputs!$B$4&lt;&gt;"Chapter Hunt"),CHOOSE(ArtifactsInput!$N$22+1,10,12,14,16,18,20)*((0*(((0.15*B1635*5))^0/1)+1*(((0.15*B1635*5))^1/1)+2*(((0.15*B1635*5))^2/2)+3*(((0.15*B1635*5))^3/6)+4*(((0.15*B1635*5))^4/24)+5*(((0.15*B1635*5))^5/120))/((((0.15*B1635*5))^0/1)+(((0.15*B1635*5))^1/1)+(((0.15*B1635*5))^2/2)+(((0.15*B1635*5))^3/6)+(((0.15*B1635*5))^4/24)+(((0.15*B1635*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1606*(1-MIN(100,(Inputs!$B$9+((C1620=TRUE)*(F1620-Calc!F19))+B1633+(ArtifactsInput!$M$24-ArtifactsInput!$M$24)*CHOOSE(ArtifactsInput!$N$24+1,10,12,14,16,18,20)+(IF(AND(ArtifactsInput!$M$42,((Inputs!$B$9+((C1620=TRUE)*(F1620-Calc!F19))+B1633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1606*(MIN(100,(Inputs!$B$9+((C1620=TRUE)*(F1620-Calc!F19))+B1633+(ArtifactsInput!$M$24-ArtifactsInput!$M$24)*CHOOSE(ArtifactsInput!$N$24+1,10,12,14,16,18,20)+(IF(AND(ArtifactsInput!$M$42,((Inputs!$B$9+((C1620=TRUE)*(F1620-Calc!F19))+B1633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1606*(1-MIN(100,(Inputs!$B$9+((C1620=TRUE)*(F1620-Calc!F19))+B1633+(ArtifactsInput!$M$24-ArtifactsInput!$M$24)*CHOOSE(ArtifactsInput!$N$24+1,10,12,14,16,18,20)+(IF(AND(ArtifactsInput!$M$42,((Inputs!$B$9+((C1620=TRUE)*(F1620-Calc!F19))+B1633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1606*(MIN(100,(Inputs!$B$9+((C1620=TRUE)*(F1620-Calc!F19))+B1633+(ArtifactsInput!$M$24-ArtifactsInput!$M$24)*CHOOSE(ArtifactsInput!$N$24+1,10,12,14,16,18,20)+(IF(AND(ArtifactsInput!$M$42,((Inputs!$B$9+((C1620=TRUE)*(F1620-Calc!F19))+B1633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606">
        <f>IF(C1606,(H1606*N1606*IF(AND(Inputs!$B$38&lt;&gt;"pvp",Inputs!$B$43&gt;0),((Skills!G5*((R1606-1)*IF(Skills!H5&gt;0,Skills!I5/Skills!H5,1)+IF(Skills!H5&gt;0,MIN(Skills!I5,MAX(0,MAX(0,Inputs!$B$43-B1640)-((R1606-1)*IF(Inputs!$B$38="pvp",15,MAX(0.1,Skills!D5-IF(Skills!E5=TRUE,Inputs!$B$32,0))))))/Skills!H5,1)))/Inputs!$B$43),G1606*Q1606))*IF(Inputs!$B$38="pvp",1,(1+(Inputs!$B$21+Skills!Q5+(IF(ArtifactsInput!$M$33,CHOOSE(ArtifactsInput!$N$33+1,30,36,42,48,54,60),0))+(IF(AND(ArtifactsInput!$M$35,Inputs!$B$4&lt;&gt;"Chapter Hunt"),CHOOSE(ArtifactsInput!$N$35+1,15,18,21,24,27,30)*(1-EXP(-(0.2*B1635)*5)),0)+IF(AND(ArtifactsInput!$M$22,Inputs!$B$4&lt;&gt;"Chapter Hunt"),CHOOSE(ArtifactsInput!$N$22+1,10,12,14,16,18,20)*((0*(((0.15*B1635*5))^0/1)+1*(((0.15*B1635*5))^1/1)+2*(((0.15*B1635*5))^2/2)+3*(((0.15*B1635*5))^3/6)+4*(((0.15*B1635*5))^4/24)+5*(((0.15*B1635*5))^5/120))/((((0.15*B1635*5))^0/1)+(((0.15*B1635*5))^1/1)+(((0.15*B1635*5))^2/2)+(((0.15*B1635*5))^3/6)+(((0.15*B1635*5))^4/24)+(((0.15*B1635*5))^5/120)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607">
      <c r="A1607">
        <f>Skills!A6</f>
        <v/>
      </c>
      <c r="B1607">
        <f>Skills!B6</f>
        <v/>
      </c>
      <c r="C1607">
        <f>Inputs!$B$3&gt;=63</f>
        <v/>
      </c>
      <c r="D1607">
        <f>IF(Skills!C6=1,60+Inputs!$B$25+Inputs!$B$29,IF(Skills!C6=2,90+Inputs!$B$26+Inputs!$B$29,IF(Skills!C6=3,120+Inputs!$B$27+Inputs!$B$29,MAX(0,(Inputs!$B$3-100)*3)+Inputs!$B$28+Inputs!$B$29)))</f>
        <v/>
      </c>
      <c r="E1607">
        <f>INDEX(FactorTable!$B$2:$Y$301, MATCH(ROUND(MIN(300,MAX(1,D1607)),0), FactorTable!$A$2:$A$301,0), Skills!M6+1)</f>
        <v/>
      </c>
      <c r="F1607">
        <f>IF(Skills!N6=TRUE,(Skills!L6/10)*(E1607/1000),Skills!L6/10)+Skills!O6</f>
        <v/>
      </c>
      <c r="G1607">
        <f>Skills!G6*IF(Skills!H6&gt;0,Skills!I6/Skills!H6,1)</f>
        <v/>
      </c>
      <c r="H1607">
        <f>1-(1-Skills!J6/100)^Skills!K6</f>
        <v/>
      </c>
      <c r="I1607" t="inlineStr">
        <is>
          <t>1</t>
        </is>
      </c>
      <c r="J1607">
        <f>((Inputs!$B$6*(1+Inputs!$B$7/100))+(((Inputs!$B$12*(1+Inputs!$B$13/100))-(Inputs!$B$12*(1+Inputs!$B$13/100)))+0.25*(Inputs!$B$14-Inputs!$B$14))*(1+Inputs!$B$7/100))*(F1607/100)</f>
        <v/>
      </c>
      <c r="K1607">
        <f>J1607*(1+((Inputs!$B$12*(1+Inputs!$B$13/100))*0.01+Inputs!$B$14*0.0025)/100)*(1+Inputs!$B$15/100)*(1+Inputs!$B$16/100)*(5000/(6000+Inputs!$B$42*(1-(100*(1-(1-(Inputs!$B$19+0)/100)*(1-CHOOSE(ArtifactsInput!$N$40+1,5,6,7,8,9,10)/100)^(ArtifactsInput!$M$40-ArtifactsInput!$M$40)))/100)))*(1+(Inputs!$B$24+((C1625=TRUE)*(F1625-Calc!F24))+((C1626=TRUE)*(F1626-Calc!F25))+B1639)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Boss",2,1),0)/100)-1)*100+(IF(ArtifactsInput!$M$14,FALSE,TRUE)-ArtifactsInput!$M$14)*IF(OR(Inputs!$B$4="Weapon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1609=TRUE,F1609,0)/100)*(1+(IF(Skills!A6="EMPOWERED_PIERCING_ARROW",Inputs!$B$17+((C1623=TRUE)*(F1623-Calc!F22))+(((IF(AND(ArtifactsInput!$M$42,((Inputs!$B$9+((C1620=TRUE)*(F1620-Calc!F19))+B1633+(ArtifactsInput!$M$24-ArtifactsInput!$M$24)*CHOOSE(ArtifactsInput!$N$24+1,10,12,14,16,18,20)+IF(ArtifactsInput!$M$10,CHOOSE(ArtifactsInput!$N$10+1,15,18,21,24,27,30)*(IF(Inputs!$B$38="pvp",MIN(15,15)/15,IF(AND(Inputs!$B$38&lt;&gt;"pvp",Inputs!$B$43&gt;0),MIN(15,Inputs!$B$43)/(Inputs!$B$43),0))),0)))&gt;=100),MIN(100,((Inputs!$B$9+((C1620=TRUE)*(F1620-Calc!F19))+B1633+(ArtifactsInput!$M$24-ArtifactsInput!$M$24)*CHOOSE(ArtifactsInput!$N$24+1,10,12,14,16,18,20)+IF(ArtifactsInput!$M$10,CHOOSE(ArtifactsInput!$N$10+1,15,18,21,24,27,30)*(IF(Inputs!$B$38="pvp",MIN(15,15)/15,IF(AND(Inputs!$B$38&lt;&gt;"pvp",Inputs!$B$43&gt;0),MIN(15,Inputs!$B$43)/(Inputs!$B$43),0))),0)))-100),0))*CHOOSE(ArtifactsInput!$N$42+1,0.6,0.72,0.84,0.96,1.08,1.2))),Inputs!$B$18+((C1628=TRUE)*(F1628-Calc!F27))+(IF(AND(ArtifactsInput!$M$42,((Inputs!$B$9+((C1620=TRUE)*(F1620-Calc!F19))+B1633+(ArtifactsInput!$M$24-ArtifactsInput!$M$24)*CHOOSE(ArtifactsInput!$N$24+1,10,12,14,16,18,20)+IF(ArtifactsInput!$M$10,CHOOSE(ArtifactsInput!$N$10+1,15,18,21,24,27,30)*(IF(Inputs!$B$38="pvp",MIN(15,15)/15,IF(AND(Inputs!$B$38&lt;&gt;"pvp",Inputs!$B$43&gt;0),MIN(15,Inputs!$B$43)/(Inputs!$B$43),0))),0)))&gt;=100),CHOOSE(ArtifactsInput!$N$42+1,40,48,56,64,72,80),0))))/100)*((1+(((C1614=TRUE)*F1614)+((C1615=TRUE)*IF(Inputs!$B$38="pvp",F1615,(1-Summary!$B$11)*(F1615)+Summary!$B$11*(0)))+((C1616=TRUE)*F1616*IF(AND(Inputs!$B$38&lt;&gt;"pvp",Inputs!$B$43&gt;0),(((R1616-1)*(Skills!T15*(1+Inputs!$B$34/100))+MIN((Skills!T15*(1+Inputs!$B$34/100)),MAX(0,Inputs!$B$43-((R1616-1)*Skills!D15))))/Inputs!$B$43),IF(Inputs!$B$38="pvp",MIN((Skills!T15*(1+Inputs!$B$34/100)),15)/15,(Skills!T15*(1+Inputs!$B$34/100))/Skills!D15)))+((C1613=TRUE)*F1613)+((C1630=TRUE)*(F1630-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1607)</f>
        <v/>
      </c>
      <c r="L1607">
        <f>K1607*(MIN(Inputs!$B$22+((C1624=TRUE)*(F1624-Calc!F23)),(Inputs!$B$23+((C1629=TRUE)*(F1629-Calc!F28))+(IF(ArtifactsInput!$M$15,CHOOSE(ArtifactsInput!$N$15+1,25,30,35,40,45,50)/100*(Inputs!$B$11-Inputs!$B$11),0))))/100+(Inputs!$B$23+((C1629=TRUE)*(F1629-Calc!F28))+(IF(ArtifactsInput!$M$15,CHOOSE(ArtifactsInput!$N$15+1,25,30,35,40,45,50)/100*(Inputs!$B$11-Inputs!$B$11),0)))/100)/2</f>
        <v/>
      </c>
      <c r="M1607">
        <f>L1607*(1+(Inputs!$B$10+0+B1638+(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607">
        <f>L1607*(1-MIN((Inputs!$B$9+((C1620=TRUE)*(F1620-Calc!F19))+B1633+(ArtifactsInput!$M$24-ArtifactsInput!$M$24)*CHOOSE(ArtifactsInput!$N$24+1,10,12,14,16,18,20)+(IF(AND(ArtifactsInput!$M$42,((Inputs!$B$9+((C1620=TRUE)*(F1620-Calc!F19))+B1633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1607*(MIN((Inputs!$B$9+((C1620=TRUE)*(F1620-Calc!F19))+B1633+(ArtifactsInput!$M$24-ArtifactsInput!$M$24)*CHOOSE(ArtifactsInput!$N$24+1,10,12,14,16,18,20)+(IF(AND(ArtifactsInput!$M$42,((Inputs!$B$9+((C1620=TRUE)*(F1620-Calc!F19))+B1633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607">
        <f>(1-Summary!$B$11)*T1607+Summary!$B$11*V1607</f>
        <v/>
      </c>
      <c r="P1607">
        <f>IF(B1643=0,0,O1607/B1643)</f>
        <v/>
      </c>
      <c r="Q1607">
        <f>IFERROR(1/IF(Inputs!$B$38="pvp",15,MAX(0.1,Skills!D6-IF(Skills!E6=TRUE,Inputs!$B$32,0))),0)</f>
        <v/>
      </c>
      <c r="R1607">
        <f>IF(AND(Inputs!$B$38&lt;&gt;"pvp",Inputs!$B$43&gt;0),IF(MAX(0,Inputs!$B$43-B1640)&lt;=0,0,(INT(MAX(0,Inputs!$B$43-B1640)/IF(Inputs!$B$38="pvp",15,MAX(0.1,Skills!D6-IF(Skills!E6=TRUE,Inputs!$B$32,0))))+1)),0)</f>
        <v/>
      </c>
      <c r="S1607">
        <f>IFERROR((H1607*N1607*IF(AND(Inputs!$B$38&lt;&gt;"pvp",Inputs!$B$43&gt;0),((Skills!G6*((R1607-1)*IF(Skills!H6&gt;0,Skills!I6/Skills!H6,1)+IF(Skills!H6&gt;0,MIN(Skills!I6,MAX(0,MAX(0,Inputs!$B$43-B1640)-((R1607-1)*IF(Inputs!$B$38="pvp",15,MAX(0.1,Skills!D6-IF(Skills!E6=TRUE,Inputs!$B$32,0))))))/Skills!H6,1)))/Inputs!$B$43),G1607*Q1607))/N1607*IF(Inputs!$B$38="pvp",1,(1-Summary!$B$11)*1+Summary!$B$11*(MIN(Skills!R6,Inputs!$B$37))),0)</f>
        <v/>
      </c>
      <c r="T1607">
        <f>IF(C1607,(H1607*N1607*IF(AND(Inputs!$B$38&lt;&gt;"pvp",Inputs!$B$43&gt;0),((Skills!G6*((R1607-1)*IF(Skills!H6&gt;0,Skills!I6/Skills!H6,1)+IF(Skills!H6&gt;0,MIN(Skills!I6,MAX(0,MAX(0,Inputs!$B$43-B1640)-((R1607-1)*IF(Inputs!$B$38="pvp",15,MAX(0.1,Skills!D6-IF(Skills!E6=TRUE,Inputs!$B$32,0))))))/Skills!H6,1)))/Inputs!$B$43),G1607*Q1607))*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Hunt"),CHOOSE(ArtifactsInput!$N$35+1,15,18,21,24,27,30)*(1-EXP(-(0.2*B1635)*5)),0)+IF(AND(ArtifactsInput!$M$22,Inputs!$B$4&lt;&gt;"Chapter Hunt"),CHOOSE(ArtifactsInput!$N$22+1,10,12,14,16,18,20)*((0*(((0.15*B1635*5))^0/1)+1*(((0.15*B1635*5))^1/1)+2*(((0.15*B1635*5))^2/2)+3*(((0.15*B1635*5))^3/6)+4*(((0.15*B1635*5))^4/24)+5*(((0.15*B1635*5))^5/120))/((((0.15*B1635*5))^0/1)+(((0.15*B1635*5))^1/1)+(((0.15*B1635*5))^2/2)+(((0.15*B1635*5))^3/6)+(((0.15*B1635*5))^4/24)+(((0.15*B1635*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1607*(1-MIN(100,(Inputs!$B$9+((C1620=TRUE)*(F1620-Calc!F19))+B1633+(ArtifactsInput!$M$24-ArtifactsInput!$M$24)*CHOOSE(ArtifactsInput!$N$24+1,10,12,14,16,18,20)+(IF(AND(ArtifactsInput!$M$42,((Inputs!$B$9+((C1620=TRUE)*(F1620-Calc!F19))+B1633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1607*(MIN(100,(Inputs!$B$9+((C1620=TRUE)*(F1620-Calc!F19))+B1633+(ArtifactsInput!$M$24-ArtifactsInput!$M$24)*CHOOSE(ArtifactsInput!$N$24+1,10,12,14,16,18,20)+(IF(AND(ArtifactsInput!$M$42,((Inputs!$B$9+((C1620=TRUE)*(F1620-Calc!F19))+B1633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1607*(1-MIN(100,(Inputs!$B$9+((C1620=TRUE)*(F1620-Calc!F19))+B1633+(ArtifactsInput!$M$24-ArtifactsInput!$M$24)*CHOOSE(ArtifactsInput!$N$24+1,10,12,14,16,18,20)+(IF(AND(ArtifactsInput!$M$42,((Inputs!$B$9+((C1620=TRUE)*(F1620-Calc!F19))+B1633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1607*(MIN(100,(Inputs!$B$9+((C1620=TRUE)*(F1620-Calc!F19))+B1633+(ArtifactsInput!$M$24-ArtifactsInput!$M$24)*CHOOSE(ArtifactsInput!$N$24+1,10,12,14,16,18,20)+(IF(AND(ArtifactsInput!$M$42,((Inputs!$B$9+((C1620=TRUE)*(F1620-Calc!F19))+B1633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607">
        <f>IF(C1607,(H1607*N1607*IF(AND(Inputs!$B$38&lt;&gt;"pvp",Inputs!$B$43&gt;0),((Skills!G6*((R1607-1)*IF(Skills!H6&gt;0,Skills!I6/Skills!H6,1)+IF(Skills!H6&gt;0,MIN(Skills!I6,MAX(0,MAX(0,Inputs!$B$43-B1640)-((R1607-1)*IF(Inputs!$B$38="pvp",15,MAX(0.1,Skills!D6-IF(Skills!E6=TRUE,Inputs!$B$32,0))))))/Skills!H6,1)))/Inputs!$B$43),G1607*Q1607))*IF(Inputs!$B$38="pvp",1,(1+(Inputs!$B$21+Skills!Q6+(IF(ArtifactsInput!$M$33,CHOOSE(ArtifactsInput!$N$33+1,30,36,42,48,54,60),0))+(IF(AND(ArtifactsInput!$M$35,Inputs!$B$4&lt;&gt;"Chapter Hunt"),CHOOSE(ArtifactsInput!$N$35+1,15,18,21,24,27,30)*(1-EXP(-(0.2*B1635)*5)),0)+IF(AND(ArtifactsInput!$M$22,Inputs!$B$4&lt;&gt;"Chapter Hunt"),CHOOSE(ArtifactsInput!$N$22+1,10,12,14,16,18,20)*((0*(((0.15*B1635*5))^0/1)+1*(((0.15*B1635*5))^1/1)+2*(((0.15*B1635*5))^2/2)+3*(((0.15*B1635*5))^3/6)+4*(((0.15*B1635*5))^4/24)+5*(((0.15*B1635*5))^5/120))/((((0.15*B1635*5))^0/1)+(((0.15*B1635*5))^1/1)+(((0.15*B1635*5))^2/2)+(((0.15*B1635*5))^3/6)+(((0.15*B1635*5))^4/24)+(((0.15*B1635*5))^5/120))),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608">
      <c r="A1608">
        <f>Skills!A7</f>
        <v/>
      </c>
      <c r="B1608">
        <f>Skills!B7</f>
        <v/>
      </c>
      <c r="C1608">
        <f>Inputs!$B$3&gt;=69</f>
        <v/>
      </c>
      <c r="D1608">
        <f>IF(Skills!C7=1,60+Inputs!$B$25+Inputs!$B$29,IF(Skills!C7=2,90+Inputs!$B$26+Inputs!$B$29,IF(Skills!C7=3,120+Inputs!$B$27+Inputs!$B$29,MAX(0,(Inputs!$B$3-100)*3)+Inputs!$B$28+Inputs!$B$29)))</f>
        <v/>
      </c>
      <c r="E1608">
        <f>INDEX(FactorTable!$B$2:$Y$301, MATCH(ROUND(MIN(300,MAX(1,D1608)),0), FactorTable!$A$2:$A$301,0), Skills!M7+1)</f>
        <v/>
      </c>
      <c r="F1608">
        <f>IF(Skills!N7=TRUE,(Skills!L7/10)*(E1608/1000),Skills!L7/10)+Skills!O7</f>
        <v/>
      </c>
      <c r="G1608">
        <f>Skills!G7*IF(Skills!H7&gt;0,Skills!I7/Skills!H7,1)</f>
        <v/>
      </c>
      <c r="H1608">
        <f>1-(1-Skills!J7/100)^Skills!K7</f>
        <v/>
      </c>
      <c r="I1608" t="inlineStr">
        <is>
          <t>1</t>
        </is>
      </c>
      <c r="J1608">
        <f>((Inputs!$B$6*(1+Inputs!$B$7/100))+(((Inputs!$B$12*(1+Inputs!$B$13/100))-(Inputs!$B$12*(1+Inputs!$B$13/100)))+0.25*(Inputs!$B$14-Inputs!$B$14))*(1+Inputs!$B$7/100))*(F1608/100)</f>
        <v/>
      </c>
      <c r="K1608">
        <f>J1608*(1+((Inputs!$B$12*(1+Inputs!$B$13/100))*0.01+Inputs!$B$14*0.0025)/100)*(1+Inputs!$B$15/100)*(1+Inputs!$B$16/100)*(5000/(6000+Inputs!$B$42*(1-(100*(1-(1-(Inputs!$B$19+0)/100)*(1-CHOOSE(ArtifactsInput!$N$40+1,5,6,7,8,9,10)/100)^(ArtifactsInput!$M$40-ArtifactsInput!$M$40)))/100)))*(1+(Inputs!$B$24+((C1625=TRUE)*(F1625-Calc!F24))+((C1626=TRUE)*(F1626-Calc!F25))+B1639)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Boss",2,1),0)/100)-1)*100+(IF(ArtifactsInput!$M$14,FALSE,TRUE)-ArtifactsInput!$M$14)*IF(OR(Inputs!$B$4="Weapon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+1.2*IF(C1609=TRUE,F1609,0)/100)*(1+(IF(Skills!A7="EMPOWERED_PIERCING_ARROW",Inputs!$B$17+((C1623=TRUE)*(F1623-Calc!F22))+(((IF(AND(ArtifactsInput!$M$42,((Inputs!$B$9+((C1620=TRUE)*(F1620-Calc!F19))+B1633+(ArtifactsInput!$M$24-ArtifactsInput!$M$24)*CHOOSE(ArtifactsInput!$N$24+1,10,12,14,16,18,20)+IF(ArtifactsInput!$M$10,CHOOSE(ArtifactsInput!$N$10+1,15,18,21,24,27,30)*(IF(Inputs!$B$38="pvp",MIN(15,15)/15,IF(AND(Inputs!$B$38&lt;&gt;"pvp",Inputs!$B$43&gt;0),MIN(15,Inputs!$B$43)/(Inputs!$B$43),0))),0)))&gt;=100),MIN(100,((Inputs!$B$9+((C1620=TRUE)*(F1620-Calc!F19))+B1633+(ArtifactsInput!$M$24-ArtifactsInput!$M$24)*CHOOSE(ArtifactsInput!$N$24+1,10,12,14,16,18,20)+IF(ArtifactsInput!$M$10,CHOOSE(ArtifactsInput!$N$10+1,15,18,21,24,27,30)*(IF(Inputs!$B$38="pvp",MIN(15,15)/15,IF(AND(Inputs!$B$38&lt;&gt;"pvp",Inputs!$B$43&gt;0),MIN(15,Inputs!$B$43)/(Inputs!$B$43),0))),0)))-100),0))*CHOOSE(ArtifactsInput!$N$42+1,0.6,0.72,0.84,0.96,1.08,1.2))),Inputs!$B$18+((C1628=TRUE)*(F1628-Calc!F27))+(IF(AND(ArtifactsInput!$M$42,((Inputs!$B$9+((C1620=TRUE)*(F1620-Calc!F19))+B1633+(ArtifactsInput!$M$24-ArtifactsInput!$M$24)*CHOOSE(ArtifactsInput!$N$24+1,10,12,14,16,18,20)+IF(ArtifactsInput!$M$10,CHOOSE(ArtifactsInput!$N$10+1,15,18,21,24,27,30)*(IF(Inputs!$B$38="pvp",MIN(15,15)/15,IF(AND(Inputs!$B$38&lt;&gt;"pvp",Inputs!$B$43&gt;0),MIN(15,Inputs!$B$43)/(Inputs!$B$43),0))),0)))&gt;=100),CHOOSE(ArtifactsInput!$N$42+1,40,48,56,64,72,80),0))))/100)*((1+(((C1614=TRUE)*F1614)+((C1615=TRUE)*IF(Inputs!$B$38="pvp",F1615,(1-Summary!$B$11)*(F1615)+Summary!$B$11*(0)))+((C1616=TRUE)*F1616*IF(AND(Inputs!$B$38&lt;&gt;"pvp",Inputs!$B$43&gt;0),(((R1616-1)*(Skills!T15*(1+Inputs!$B$34/100))+MIN((Skills!T15*(1+Inputs!$B$34/100)),MAX(0,Inputs!$B$43-((R1616-1)*Skills!D15))))/Inputs!$B$43),IF(Inputs!$B$38="pvp",MIN((Skills!T15*(1+Inputs!$B$34/100)),15)/15,(Skills!T15*(1+Inputs!$B$34/100))/Skills!D15)))+((C1613=TRUE)*F1613)+((C1630=TRUE)*(F1630-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1608)</f>
        <v/>
      </c>
      <c r="L1608">
        <f>K1608*(MIN(Inputs!$B$22+((C1624=TRUE)*(F1624-Calc!F23)),(Inputs!$B$23+((C1629=TRUE)*(F1629-Calc!F28))+(IF(ArtifactsInput!$M$15,CHOOSE(ArtifactsInput!$N$15+1,25,30,35,40,45,50)/100*(Inputs!$B$11-Inputs!$B$11),0))))/100+(Inputs!$B$23+((C1629=TRUE)*(F1629-Calc!F28))+(IF(ArtifactsInput!$M$15,CHOOSE(ArtifactsInput!$N$15+1,25,30,35,40,45,50)/100*(Inputs!$B$11-Inputs!$B$11),0)))/100)/2</f>
        <v/>
      </c>
      <c r="M1608">
        <f>L1608*(1+(Inputs!$B$10+0+B1638+(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608">
        <f>L1608*(1-MIN((Inputs!$B$9+((C1620=TRUE)*(F1620-Calc!F19))+B1633+(ArtifactsInput!$M$24-ArtifactsInput!$M$24)*CHOOSE(ArtifactsInput!$N$24+1,10,12,14,16,18,20)+(IF(AND(ArtifactsInput!$M$42,((Inputs!$B$9+((C1620=TRUE)*(F1620-Calc!F19))+B1633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1608*(MIN((Inputs!$B$9+((C1620=TRUE)*(F1620-Calc!F19))+B1633+(ArtifactsInput!$M$24-ArtifactsInput!$M$24)*CHOOSE(ArtifactsInput!$N$24+1,10,12,14,16,18,20)+(IF(AND(ArtifactsInput!$M$42,((Inputs!$B$9+((C1620=TRUE)*(F1620-Calc!F19))+B1633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608">
        <f>(1-Summary!$B$11)*T1608+Summary!$B$11*V1608</f>
        <v/>
      </c>
      <c r="P1608">
        <f>IF(B1643=0,0,O1608/B1643)</f>
        <v/>
      </c>
      <c r="Q1608">
        <f>IFERROR(1/IF(Inputs!$B$38="pvp",15,MAX(0.1,Skills!D7-IF(Skills!E7=TRUE,Inputs!$B$32,0))),0)</f>
        <v/>
      </c>
      <c r="R1608">
        <f>IF(AND(Inputs!$B$38&lt;&gt;"pvp",Inputs!$B$43&gt;0),IF(MAX(0,Inputs!$B$43-B1640)&lt;=0,0,(INT(MAX(0,Inputs!$B$43-B1640)/IF(Inputs!$B$38="pvp",15,MAX(0.1,Skills!D7-IF(Skills!E7=TRUE,Inputs!$B$32,0))))+1)),0)</f>
        <v/>
      </c>
      <c r="S1608">
        <f>IFERROR((H1608*N1608*IF(AND(Inputs!$B$38&lt;&gt;"pvp",Inputs!$B$43&gt;0),((Skills!G7*((R1608-1)*IF(Skills!H7&gt;0,Skills!I7/Skills!H7,1)+IF(Skills!H7&gt;0,MIN(Skills!I7,MAX(0,MAX(0,Inputs!$B$43-B1640)-((R1608-1)*IF(Inputs!$B$38="pvp",15,MAX(0.1,Skills!D7-IF(Skills!E7=TRUE,Inputs!$B$32,0))))))/Skills!H7,1)))/Inputs!$B$43),G1608*Q1608))/N1608*IF(Inputs!$B$38="pvp",1,(1-Summary!$B$11)*1+Summary!$B$11*(MIN(Skills!R7,Inputs!$B$37))),0)</f>
        <v/>
      </c>
      <c r="T1608">
        <f>IF(C1608,(H1608*N1608*IF(AND(Inputs!$B$38&lt;&gt;"pvp",Inputs!$B$43&gt;0),((Skills!G7*((R1608-1)*IF(Skills!H7&gt;0,Skills!I7/Skills!H7,1)+IF(Skills!H7&gt;0,MIN(Skills!I7,MAX(0,MAX(0,Inputs!$B$43-B1640)-((R1608-1)*IF(Inputs!$B$38="pvp",15,MAX(0.1,Skills!D7-IF(Skills!E7=TRUE,Inputs!$B$32,0))))))/Skills!H7,1)))/Inputs!$B$43),G1608*Q1608))*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Hunt"),CHOOSE(ArtifactsInput!$N$35+1,15,18,21,24,27,30)*(1-EXP(-(0.2*B1635)*5)),0)+IF(AND(ArtifactsInput!$M$22,Inputs!$B$4&lt;&gt;"Chapter Hunt"),CHOOSE(ArtifactsInput!$N$22+1,10,12,14,16,18,20)*((0*(((0.15*B1635*5))^0/1)+1*(((0.15*B1635*5))^1/1)+2*(((0.15*B1635*5))^2/2)+3*(((0.15*B1635*5))^3/6)+4*(((0.15*B1635*5))^4/24)+5*(((0.15*B1635*5))^5/120))/((((0.15*B1635*5))^0/1)+(((0.15*B1635*5))^1/1)+(((0.15*B1635*5))^2/2)+(((0.15*B1635*5))^3/6)+(((0.15*B1635*5))^4/24)+(((0.15*B1635*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1608*(1-MIN(100,(Inputs!$B$9+((C1620=TRUE)*(F1620-Calc!F19))+B1633+(ArtifactsInput!$M$24-ArtifactsInput!$M$24)*CHOOSE(ArtifactsInput!$N$24+1,10,12,14,16,18,20)+(IF(AND(ArtifactsInput!$M$42,((Inputs!$B$9+((C1620=TRUE)*(F1620-Calc!F19))+B1633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1608*(MIN(100,(Inputs!$B$9+((C1620=TRUE)*(F1620-Calc!F19))+B1633+(ArtifactsInput!$M$24-ArtifactsInput!$M$24)*CHOOSE(ArtifactsInput!$N$24+1,10,12,14,16,18,20)+(IF(AND(ArtifactsInput!$M$42,((Inputs!$B$9+((C1620=TRUE)*(F1620-Calc!F19))+B1633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1608*(1-MIN(100,(Inputs!$B$9+((C1620=TRUE)*(F1620-Calc!F19))+B1633+(ArtifactsInput!$M$24-ArtifactsInput!$M$24)*CHOOSE(ArtifactsInput!$N$24+1,10,12,14,16,18,20)+(IF(AND(ArtifactsInput!$M$42,((Inputs!$B$9+((C1620=TRUE)*(F1620-Calc!F19))+B1633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1608*(MIN(100,(Inputs!$B$9+((C1620=TRUE)*(F1620-Calc!F19))+B1633+(ArtifactsInput!$M$24-ArtifactsInput!$M$24)*CHOOSE(ArtifactsInput!$N$24+1,10,12,14,16,18,20)+(IF(AND(ArtifactsInput!$M$42,((Inputs!$B$9+((C1620=TRUE)*(F1620-Calc!F19))+B1633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608">
        <f>IF(C1608,(H1608*N1608*IF(AND(Inputs!$B$38&lt;&gt;"pvp",Inputs!$B$43&gt;0),((Skills!G7*((R1608-1)*IF(Skills!H7&gt;0,Skills!I7/Skills!H7,1)+IF(Skills!H7&gt;0,MIN(Skills!I7,MAX(0,MAX(0,Inputs!$B$43-B1640)-((R1608-1)*IF(Inputs!$B$38="pvp",15,MAX(0.1,Skills!D7-IF(Skills!E7=TRUE,Inputs!$B$32,0))))))/Skills!H7,1)))/Inputs!$B$43),G1608*Q1608))*IF(Inputs!$B$38="pvp",1,(1+(Inputs!$B$21+Skills!Q7+(IF(ArtifactsInput!$M$33,CHOOSE(ArtifactsInput!$N$33+1,30,36,42,48,54,60),0))+(IF(AND(ArtifactsInput!$M$35,Inputs!$B$4&lt;&gt;"Chapter Hunt"),CHOOSE(ArtifactsInput!$N$35+1,15,18,21,24,27,30)*(1-EXP(-(0.2*B1635)*5)),0)+IF(AND(ArtifactsInput!$M$22,Inputs!$B$4&lt;&gt;"Chapter Hunt"),CHOOSE(ArtifactsInput!$N$22+1,10,12,14,16,18,20)*((0*(((0.15*B1635*5))^0/1)+1*(((0.15*B1635*5))^1/1)+2*(((0.15*B1635*5))^2/2)+3*(((0.15*B1635*5))^3/6)+4*(((0.15*B1635*5))^4/24)+5*(((0.15*B1635*5))^5/120))/((((0.15*B1635*5))^0/1)+(((0.15*B1635*5))^1/1)+(((0.15*B1635*5))^2/2)+(((0.15*B1635*5))^3/6)+(((0.15*B1635*5))^4/24)+(((0.15*B1635*5))^5/120))),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609">
      <c r="A1609">
        <f>Skills!A8</f>
        <v/>
      </c>
      <c r="B1609">
        <f>Skills!B8</f>
        <v/>
      </c>
      <c r="C1609">
        <f>Inputs!$B$3&gt;=100</f>
        <v/>
      </c>
      <c r="D1609">
        <f>IF(Skills!C8=1,60+Inputs!$B$25+Inputs!$B$29,IF(Skills!C8=2,90+Inputs!$B$26+Inputs!$B$29,IF(Skills!C8=3,120+Inputs!$B$27+Inputs!$B$29,MAX(0,(Inputs!$B$3-100)*3)+Inputs!$B$28+Inputs!$B$29)))</f>
        <v/>
      </c>
      <c r="E1609">
        <f>INDEX(FactorTable!$B$2:$Y$301, MATCH(ROUND(MIN(300,MAX(1,D1609)),0), FactorTable!$A$2:$A$301,0), Skills!M8+1)</f>
        <v/>
      </c>
      <c r="F1609">
        <f>IF(Skills!N8=TRUE,(Skills!L8/10)*(E1609/1000),Skills!L8/10)+Skills!O8</f>
        <v/>
      </c>
      <c r="G1609" t="inlineStr"/>
      <c r="H1609" t="inlineStr"/>
      <c r="I1609" t="inlineStr">
        <is>
          <t>1</t>
        </is>
      </c>
      <c r="J1609" t="inlineStr"/>
      <c r="K1609" t="inlineStr"/>
      <c r="L1609" t="inlineStr"/>
      <c r="M1609" t="inlineStr"/>
      <c r="N1609" t="inlineStr"/>
      <c r="O1609" t="inlineStr"/>
      <c r="P1609" t="inlineStr"/>
      <c r="Q1609" t="inlineStr"/>
      <c r="R1609" t="inlineStr"/>
      <c r="S1609" t="inlineStr"/>
      <c r="T1609" t="inlineStr"/>
      <c r="V1609" t="inlineStr"/>
    </row>
    <row r="1610">
      <c r="A1610">
        <f>Skills!A9</f>
        <v/>
      </c>
      <c r="B1610">
        <f>Skills!B9</f>
        <v/>
      </c>
      <c r="C1610">
        <f>Inputs!$B$3&gt;=103</f>
        <v/>
      </c>
      <c r="D1610">
        <f>IF(Skills!C9=1,60+Inputs!$B$25+Inputs!$B$29,IF(Skills!C9=2,90+Inputs!$B$26+Inputs!$B$29,IF(Skills!C9=3,120+Inputs!$B$27+Inputs!$B$29,MAX(0,(Inputs!$B$3-100)*3)+Inputs!$B$28+Inputs!$B$29)))</f>
        <v/>
      </c>
      <c r="E1610">
        <f>INDEX(FactorTable!$B$2:$Y$301, MATCH(ROUND(MIN(300,MAX(1,D1610)),0), FactorTable!$A$2:$A$301,0), Skills!M9+1)</f>
        <v/>
      </c>
      <c r="F1610">
        <f>IF(Skills!N9=TRUE,(Skills!L9/10)*(E1610/1000),Skills!L9/10)+Skills!O9</f>
        <v/>
      </c>
      <c r="G1610">
        <f>Skills!G9*IF(Skills!H9&gt;0,Skills!I9/Skills!H9,1)</f>
        <v/>
      </c>
      <c r="H1610">
        <f>1-(1-Skills!J9/100)^Skills!K9</f>
        <v/>
      </c>
      <c r="I1610" t="inlineStr">
        <is>
          <t>1</t>
        </is>
      </c>
      <c r="J1610">
        <f>((Inputs!$B$6*(1+Inputs!$B$7/100))+(((Inputs!$B$12*(1+Inputs!$B$13/100))-(Inputs!$B$12*(1+Inputs!$B$13/100)))+0.25*(Inputs!$B$14-Inputs!$B$14))*(1+Inputs!$B$7/100))*(F1610/100)</f>
        <v/>
      </c>
      <c r="K1610">
        <f>J1610*(1+((Inputs!$B$12*(1+Inputs!$B$13/100))*0.01+Inputs!$B$14*0.0025)/100)*(1+Inputs!$B$15/100)*(1+Inputs!$B$16/100)*(5000/(6000+Inputs!$B$42*(1-(100*(1-(1-(Inputs!$B$19+0)/100)*(1-CHOOSE(ArtifactsInput!$N$40+1,5,6,7,8,9,10)/100)^(ArtifactsInput!$M$40-ArtifactsInput!$M$40)))/100)))*(1+(Inputs!$B$24+((C1625=TRUE)*(F1625-Calc!F24))+((C1626=TRUE)*(F1626-Calc!F25))+B1639)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Boss",2,1),0)/100)-1)*100+(IF(ArtifactsInput!$M$14,FALSE,TRUE)-ArtifactsInput!$M$14)*IF(OR(Inputs!$B$4="Weapon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EMPOWERED_PIERCING_ARROW",Inputs!$B$17+((C1623=TRUE)*(F1623-Calc!F22))+(((IF(AND(ArtifactsInput!$M$42,((Inputs!$B$9+((C1620=TRUE)*(F1620-Calc!F19))+B1633+(ArtifactsInput!$M$24-ArtifactsInput!$M$24)*CHOOSE(ArtifactsInput!$N$24+1,10,12,14,16,18,20)+IF(ArtifactsInput!$M$10,CHOOSE(ArtifactsInput!$N$10+1,15,18,21,24,27,30)*(IF(Inputs!$B$38="pvp",MIN(15,15)/15,IF(AND(Inputs!$B$38&lt;&gt;"pvp",Inputs!$B$43&gt;0),MIN(15,Inputs!$B$43)/(Inputs!$B$43),0))),0)))&gt;=100),MIN(100,((Inputs!$B$9+((C1620=TRUE)*(F1620-Calc!F19))+B1633+(ArtifactsInput!$M$24-ArtifactsInput!$M$24)*CHOOSE(ArtifactsInput!$N$24+1,10,12,14,16,18,20)+IF(ArtifactsInput!$M$10,CHOOSE(ArtifactsInput!$N$10+1,15,18,21,24,27,30)*(IF(Inputs!$B$38="pvp",MIN(15,15)/15,IF(AND(Inputs!$B$38&lt;&gt;"pvp",Inputs!$B$43&gt;0),MIN(15,Inputs!$B$43)/(Inputs!$B$43),0))),0)))-100),0))*CHOOSE(ArtifactsInput!$N$42+1,0.6,0.72,0.84,0.96,1.08,1.2))),Inputs!$B$18+((C1628=TRUE)*(F1628-Calc!F27))+(IF(AND(ArtifactsInput!$M$42,((Inputs!$B$9+((C1620=TRUE)*(F1620-Calc!F19))+B1633+(ArtifactsInput!$M$24-ArtifactsInput!$M$24)*CHOOSE(ArtifactsInput!$N$24+1,10,12,14,16,18,20)+IF(ArtifactsInput!$M$10,CHOOSE(ArtifactsInput!$N$10+1,15,18,21,24,27,30)*(IF(Inputs!$B$38="pvp",MIN(15,15)/15,IF(AND(Inputs!$B$38&lt;&gt;"pvp",Inputs!$B$43&gt;0),MIN(15,Inputs!$B$43)/(Inputs!$B$43),0))),0)))&gt;=100),CHOOSE(ArtifactsInput!$N$42+1,40,48,56,64,72,80),0))))/100)*((1+(((C1614=TRUE)*F1614)+((C1615=TRUE)*IF(Inputs!$B$38="pvp",F1615,(1-Summary!$B$11)*(F1615)+Summary!$B$11*(0)))+((C1616=TRUE)*F1616*IF(AND(Inputs!$B$38&lt;&gt;"pvp",Inputs!$B$43&gt;0),(((R1616-1)*(Skills!T15*(1+Inputs!$B$34/100))+MIN((Skills!T15*(1+Inputs!$B$34/100)),MAX(0,Inputs!$B$43-((R1616-1)*Skills!D15))))/Inputs!$B$43),IF(Inputs!$B$38="pvp",MIN((Skills!T15*(1+Inputs!$B$34/100)),15)/15,(Skills!T15*(1+Inputs!$B$34/100))/Skills!D15)))+((C1613=TRUE)*F1613)+((C1630=TRUE)*(F1630-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1610)</f>
        <v/>
      </c>
      <c r="L1610">
        <f>K1610*(MIN(Inputs!$B$22+((C1624=TRUE)*(F1624-Calc!F23)),(Inputs!$B$23+((C1629=TRUE)*(F1629-Calc!F28))+(IF(ArtifactsInput!$M$15,CHOOSE(ArtifactsInput!$N$15+1,25,30,35,40,45,50)/100*(Inputs!$B$11-Inputs!$B$11),0))))/100+(Inputs!$B$23+((C1629=TRUE)*(F1629-Calc!F28))+(IF(ArtifactsInput!$M$15,CHOOSE(ArtifactsInput!$N$15+1,25,30,35,40,45,50)/100*(Inputs!$B$11-Inputs!$B$11),0)))/100)/2</f>
        <v/>
      </c>
      <c r="M1610">
        <f>L1610*(1+(Inputs!$B$10+0+B1638+(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610">
        <f>L1610*(1-MIN((Inputs!$B$9+((C1620=TRUE)*(F1620-Calc!F19))+B1633+(ArtifactsInput!$M$24-ArtifactsInput!$M$24)*CHOOSE(ArtifactsInput!$N$24+1,10,12,14,16,18,20)+(IF(AND(ArtifactsInput!$M$42,((Inputs!$B$9+((C1620=TRUE)*(F1620-Calc!F19))+B1633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1610*(MIN((Inputs!$B$9+((C1620=TRUE)*(F1620-Calc!F19))+B1633+(ArtifactsInput!$M$24-ArtifactsInput!$M$24)*CHOOSE(ArtifactsInput!$N$24+1,10,12,14,16,18,20)+(IF(AND(ArtifactsInput!$M$42,((Inputs!$B$9+((C1620=TRUE)*(F1620-Calc!F19))+B1633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610">
        <f>(1-Summary!$B$11)*T1610+Summary!$B$11*V1610</f>
        <v/>
      </c>
      <c r="P1610">
        <f>IF(B1643=0,0,O1610/B1643)</f>
        <v/>
      </c>
      <c r="Q1610">
        <f>IFERROR(1/IF(Inputs!$B$38="pvp",15,MAX(0.1,Skills!D9-IF(Skills!E9=TRUE,Inputs!$B$32,0))),0)</f>
        <v/>
      </c>
      <c r="R1610">
        <f>IF(AND(Inputs!$B$38&lt;&gt;"pvp",Inputs!$B$43&gt;0),IF(MAX(0,Inputs!$B$43-B1640)&lt;=0,0,(INT(MAX(0,Inputs!$B$43-B1640)/IF(Inputs!$B$38="pvp",15,MAX(0.1,Skills!D9-IF(Skills!E9=TRUE,Inputs!$B$32,0))))+1)),0)</f>
        <v/>
      </c>
      <c r="S1610">
        <f>IFERROR((H1610*N1610*IF(AND(Inputs!$B$38&lt;&gt;"pvp",Inputs!$B$43&gt;0),((Skills!G9*((R1610-1)*IF(Skills!H9&gt;0,Skills!I9/Skills!H9,1)+IF(Skills!H9&gt;0,MIN(Skills!I9,MAX(0,MAX(0,Inputs!$B$43-B1640)-((R1610-1)*IF(Inputs!$B$38="pvp",15,MAX(0.1,Skills!D9-IF(Skills!E9=TRUE,Inputs!$B$32,0))))))/Skills!H9,1)))/Inputs!$B$43),G1610*Q1610))/N1610*IF(Inputs!$B$38="pvp",1,(1-Summary!$B$11)*1+Summary!$B$11*(MIN(Skills!R9,Inputs!$B$37))),0)</f>
        <v/>
      </c>
      <c r="T1610">
        <f>IF(C1610,(H1610*N1610*IF(AND(Inputs!$B$38&lt;&gt;"pvp",Inputs!$B$43&gt;0),((Skills!G9*((R1610-1)*IF(Skills!H9&gt;0,Skills!I9/Skills!H9,1)+IF(Skills!H9&gt;0,MIN(Skills!I9,MAX(0,MAX(0,Inputs!$B$43-B1640)-((R1610-1)*IF(Inputs!$B$38="pvp",15,MAX(0.1,Skills!D9-IF(Skills!E9=TRUE,Inputs!$B$32,0))))))/Skills!H9,1)))/Inputs!$B$43),G1610*Q1610))*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Hunt"),CHOOSE(ArtifactsInput!$N$35+1,15,18,21,24,27,30)*(1-EXP(-(0.2*B1635)*5)),0)+IF(AND(ArtifactsInput!$M$22,Inputs!$B$4&lt;&gt;"Chapter Hunt"),CHOOSE(ArtifactsInput!$N$22+1,10,12,14,16,18,20)*((0*(((0.15*B1635*5))^0/1)+1*(((0.15*B1635*5))^1/1)+2*(((0.15*B1635*5))^2/2)+3*(((0.15*B1635*5))^3/6)+4*(((0.15*B1635*5))^4/24)+5*(((0.15*B1635*5))^5/120))/((((0.15*B1635*5))^0/1)+(((0.15*B1635*5))^1/1)+(((0.15*B1635*5))^2/2)+(((0.15*B1635*5))^3/6)+(((0.15*B1635*5))^4/24)+(((0.15*B1635*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1610*(1-MIN(100,(Inputs!$B$9+((C1620=TRUE)*(F1620-Calc!F19))+B1633+(ArtifactsInput!$M$24-ArtifactsInput!$M$24)*CHOOSE(ArtifactsInput!$N$24+1,10,12,14,16,18,20)+(IF(AND(ArtifactsInput!$M$42,((Inputs!$B$9+((C1620=TRUE)*(F1620-Calc!F19))+B1633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1610*(MIN(100,(Inputs!$B$9+((C1620=TRUE)*(F1620-Calc!F19))+B1633+(ArtifactsInput!$M$24-ArtifactsInput!$M$24)*CHOOSE(ArtifactsInput!$N$24+1,10,12,14,16,18,20)+(IF(AND(ArtifactsInput!$M$42,((Inputs!$B$9+((C1620=TRUE)*(F1620-Calc!F19))+B1633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1610*(1-MIN(100,(Inputs!$B$9+((C1620=TRUE)*(F1620-Calc!F19))+B1633+(ArtifactsInput!$M$24-ArtifactsInput!$M$24)*CHOOSE(ArtifactsInput!$N$24+1,10,12,14,16,18,20)+(IF(AND(ArtifactsInput!$M$42,((Inputs!$B$9+((C1620=TRUE)*(F1620-Calc!F19))+B1633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1610*(MIN(100,(Inputs!$B$9+((C1620=TRUE)*(F1620-Calc!F19))+B1633+(ArtifactsInput!$M$24-ArtifactsInput!$M$24)*CHOOSE(ArtifactsInput!$N$24+1,10,12,14,16,18,20)+(IF(AND(ArtifactsInput!$M$42,((Inputs!$B$9+((C1620=TRUE)*(F1620-Calc!F19))+B1633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610">
        <f>IF(C1610,(H1610*N1610*IF(AND(Inputs!$B$38&lt;&gt;"pvp",Inputs!$B$43&gt;0),((Skills!G9*((R1610-1)*IF(Skills!H9&gt;0,Skills!I9/Skills!H9,1)+IF(Skills!H9&gt;0,MIN(Skills!I9,MAX(0,MAX(0,Inputs!$B$43-B1640)-((R1610-1)*IF(Inputs!$B$38="pvp",15,MAX(0.1,Skills!D9-IF(Skills!E9=TRUE,Inputs!$B$32,0))))))/Skills!H9,1)))/Inputs!$B$43),G1610*Q1610))*IF(Inputs!$B$38="pvp",1,(1+(Inputs!$B$21+Skills!Q9+(IF(ArtifactsInput!$M$33,CHOOSE(ArtifactsInput!$N$33+1,30,36,42,48,54,60),0))+(IF(AND(ArtifactsInput!$M$35,Inputs!$B$4&lt;&gt;"Chapter Hunt"),CHOOSE(ArtifactsInput!$N$35+1,15,18,21,24,27,30)*(1-EXP(-(0.2*B1635)*5)),0)+IF(AND(ArtifactsInput!$M$22,Inputs!$B$4&lt;&gt;"Chapter Hunt"),CHOOSE(ArtifactsInput!$N$22+1,10,12,14,16,18,20)*((0*(((0.15*B1635*5))^0/1)+1*(((0.15*B1635*5))^1/1)+2*(((0.15*B1635*5))^2/2)+3*(((0.15*B1635*5))^3/6)+4*(((0.15*B1635*5))^4/24)+5*(((0.15*B1635*5))^5/120))/((((0.15*B1635*5))^0/1)+(((0.15*B1635*5))^1/1)+(((0.15*B1635*5))^2/2)+(((0.15*B1635*5))^3/6)+(((0.15*B1635*5))^4/24)+(((0.15*B1635*5))^5/120)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611">
      <c r="A1611">
        <f>Skills!A10</f>
        <v/>
      </c>
      <c r="B1611">
        <f>Skills!B10</f>
        <v/>
      </c>
      <c r="C1611">
        <f>Inputs!$B$3&gt;=107</f>
        <v/>
      </c>
      <c r="D1611">
        <f>IF(Skills!C10=1,60+Inputs!$B$25+Inputs!$B$29,IF(Skills!C10=2,90+Inputs!$B$26+Inputs!$B$29,IF(Skills!C10=3,120+Inputs!$B$27+Inputs!$B$29,MAX(0,(Inputs!$B$3-100)*3)+Inputs!$B$28+Inputs!$B$29)))</f>
        <v/>
      </c>
      <c r="E1611">
        <f>INDEX(FactorTable!$B$2:$Y$301, MATCH(ROUND(MIN(300,MAX(1,D1611)),0), FactorTable!$A$2:$A$301,0), Skills!M10+1)</f>
        <v/>
      </c>
      <c r="F1611">
        <f>IF(Skills!N10=TRUE,(Skills!L10/10)*(E1611/1000),Skills!L10/10)+Skills!O10</f>
        <v/>
      </c>
      <c r="G1611">
        <f>Skills!G10*IF(Skills!H10&gt;0,Skills!I10/Skills!H10,1)</f>
        <v/>
      </c>
      <c r="H1611">
        <f>1-(1-Skills!J10/100)^Skills!K10</f>
        <v/>
      </c>
      <c r="I1611" t="inlineStr">
        <is>
          <t>1</t>
        </is>
      </c>
      <c r="J1611">
        <f>((Inputs!$B$6*(1+Inputs!$B$7/100))+(((Inputs!$B$12*(1+Inputs!$B$13/100))-(Inputs!$B$12*(1+Inputs!$B$13/100)))+0.25*(Inputs!$B$14-Inputs!$B$14))*(1+Inputs!$B$7/100))*(F1611/100)</f>
        <v/>
      </c>
      <c r="K1611">
        <f>J1611*(1+((Inputs!$B$12*(1+Inputs!$B$13/100))*0.01+Inputs!$B$14*0.0025)/100)*(1+Inputs!$B$15/100)*(1+Inputs!$B$16/100)*(5000/(6000+Inputs!$B$42*(1-(100*(1-(1-(Inputs!$B$19+0)/100)*(1-CHOOSE(ArtifactsInput!$N$40+1,5,6,7,8,9,10)/100)^(ArtifactsInput!$M$40-ArtifactsInput!$M$40)))/100)))*(1+(Inputs!$B$24+((C1625=TRUE)*(F1625-Calc!F24))+((C1626=TRUE)*(F1626-Calc!F25))+B1639)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Boss",2,1),0)/100)-1)*100+(IF(ArtifactsInput!$M$14,FALSE,TRUE)-ArtifactsInput!$M$14)*IF(OR(Inputs!$B$4="Weapon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EMPOWERED_PIERCING_ARROW",Inputs!$B$17+((C1623=TRUE)*(F1623-Calc!F22))+(((IF(AND(ArtifactsInput!$M$42,((Inputs!$B$9+((C1620=TRUE)*(F1620-Calc!F19))+B1633+(ArtifactsInput!$M$24-ArtifactsInput!$M$24)*CHOOSE(ArtifactsInput!$N$24+1,10,12,14,16,18,20)+IF(ArtifactsInput!$M$10,CHOOSE(ArtifactsInput!$N$10+1,15,18,21,24,27,30)*(IF(Inputs!$B$38="pvp",MIN(15,15)/15,IF(AND(Inputs!$B$38&lt;&gt;"pvp",Inputs!$B$43&gt;0),MIN(15,Inputs!$B$43)/(Inputs!$B$43),0))),0)))&gt;=100),MIN(100,((Inputs!$B$9+((C1620=TRUE)*(F1620-Calc!F19))+B1633+(ArtifactsInput!$M$24-ArtifactsInput!$M$24)*CHOOSE(ArtifactsInput!$N$24+1,10,12,14,16,18,20)+IF(ArtifactsInput!$M$10,CHOOSE(ArtifactsInput!$N$10+1,15,18,21,24,27,30)*(IF(Inputs!$B$38="pvp",MIN(15,15)/15,IF(AND(Inputs!$B$38&lt;&gt;"pvp",Inputs!$B$43&gt;0),MIN(15,Inputs!$B$43)/(Inputs!$B$43),0))),0)))-100),0))*CHOOSE(ArtifactsInput!$N$42+1,0.6,0.72,0.84,0.96,1.08,1.2))),Inputs!$B$18+((C1628=TRUE)*(F1628-Calc!F27))+(IF(AND(ArtifactsInput!$M$42,((Inputs!$B$9+((C1620=TRUE)*(F1620-Calc!F19))+B1633+(ArtifactsInput!$M$24-ArtifactsInput!$M$24)*CHOOSE(ArtifactsInput!$N$24+1,10,12,14,16,18,20)+IF(ArtifactsInput!$M$10,CHOOSE(ArtifactsInput!$N$10+1,15,18,21,24,27,30)*(IF(Inputs!$B$38="pvp",MIN(15,15)/15,IF(AND(Inputs!$B$38&lt;&gt;"pvp",Inputs!$B$43&gt;0),MIN(15,Inputs!$B$43)/(Inputs!$B$43),0))),0)))&gt;=100),CHOOSE(ArtifactsInput!$N$42+1,40,48,56,64,72,80),0))))/100)*((1+(((C1614=TRUE)*F1614)+((C1615=TRUE)*IF(Inputs!$B$38="pvp",F1615,(1-Summary!$B$11)*(F1615)+Summary!$B$11*(0)))+((C1616=TRUE)*F1616*IF(AND(Inputs!$B$38&lt;&gt;"pvp",Inputs!$B$43&gt;0),(((R1616-1)*(Skills!T15*(1+Inputs!$B$34/100))+MIN((Skills!T15*(1+Inputs!$B$34/100)),MAX(0,Inputs!$B$43-((R1616-1)*Skills!D15))))/Inputs!$B$43),IF(Inputs!$B$38="pvp",MIN((Skills!T15*(1+Inputs!$B$34/100)),15)/15,(Skills!T15*(1+Inputs!$B$34/100))/Skills!D15)))+((C1613=TRUE)*F1613)+((C1630=TRUE)*(F1630-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1611)</f>
        <v/>
      </c>
      <c r="L1611">
        <f>K1611*(MIN(Inputs!$B$22+((C1624=TRUE)*(F1624-Calc!F23)),(Inputs!$B$23+((C1629=TRUE)*(F1629-Calc!F28))+(IF(ArtifactsInput!$M$15,CHOOSE(ArtifactsInput!$N$15+1,25,30,35,40,45,50)/100*(Inputs!$B$11-Inputs!$B$11),0))))/100+(Inputs!$B$23+((C1629=TRUE)*(F1629-Calc!F28))+(IF(ArtifactsInput!$M$15,CHOOSE(ArtifactsInput!$N$15+1,25,30,35,40,45,50)/100*(Inputs!$B$11-Inputs!$B$11),0)))/100)/2</f>
        <v/>
      </c>
      <c r="M1611">
        <f>L1611*(1+(Inputs!$B$10+0+B1638+(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611">
        <f>L1611*(1-MIN((Inputs!$B$9+((C1620=TRUE)*(F1620-Calc!F19))+B1633+(ArtifactsInput!$M$24-ArtifactsInput!$M$24)*CHOOSE(ArtifactsInput!$N$24+1,10,12,14,16,18,20)+(IF(AND(ArtifactsInput!$M$42,((Inputs!$B$9+((C1620=TRUE)*(F1620-Calc!F19))+B1633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1611*(MIN((Inputs!$B$9+((C1620=TRUE)*(F1620-Calc!F19))+B1633+(ArtifactsInput!$M$24-ArtifactsInput!$M$24)*CHOOSE(ArtifactsInput!$N$24+1,10,12,14,16,18,20)+(IF(AND(ArtifactsInput!$M$42,((Inputs!$B$9+((C1620=TRUE)*(F1620-Calc!F19))+B1633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611">
        <f>(1-Summary!$B$11)*T1611+Summary!$B$11*V1611</f>
        <v/>
      </c>
      <c r="P1611">
        <f>IF(B1643=0,0,O1611/B1643)</f>
        <v/>
      </c>
      <c r="Q1611" t="n">
        <v>0</v>
      </c>
      <c r="R1611" t="n">
        <v>0</v>
      </c>
      <c r="S1611" t="n">
        <v>0</v>
      </c>
      <c r="T1611">
        <f>IF(C1611,(0.15*SUMPRODUCT((Skills!U2:U29=TRUE)*(C1603:C1630=TRUE)*S1603:S1630)*Skills!G10*N1611)*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Hunt"),CHOOSE(ArtifactsInput!$N$35+1,15,18,21,24,27,30)*(1-EXP(-(0.2*B1635)*5)),0)+IF(AND(ArtifactsInput!$M$22,Inputs!$B$4&lt;&gt;"Chapter Hunt"),CHOOSE(ArtifactsInput!$N$22+1,10,12,14,16,18,20)*((0*(((0.15*B1635*5))^0/1)+1*(((0.15*B1635*5))^1/1)+2*(((0.15*B1635*5))^2/2)+3*(((0.15*B1635*5))^3/6)+4*(((0.15*B1635*5))^4/24)+5*(((0.15*B1635*5))^5/120))/((((0.15*B1635*5))^0/1)+(((0.15*B1635*5))^1/1)+(((0.15*B1635*5))^2/2)+(((0.15*B1635*5))^3/6)+(((0.15*B1635*5))^4/24)+(((0.15*B1635*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1611*(1-MIN(100,(Inputs!$B$9+((C1620=TRUE)*(F1620-Calc!F19))+B1633+(ArtifactsInput!$M$24-ArtifactsInput!$M$24)*CHOOSE(ArtifactsInput!$N$24+1,10,12,14,16,18,20)+(IF(AND(ArtifactsInput!$M$42,((Inputs!$B$9+((C1620=TRUE)*(F1620-Calc!F19))+B1633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1611*(MIN(100,(Inputs!$B$9+((C1620=TRUE)*(F1620-Calc!F19))+B1633+(ArtifactsInput!$M$24-ArtifactsInput!$M$24)*CHOOSE(ArtifactsInput!$N$24+1,10,12,14,16,18,20)+(IF(AND(ArtifactsInput!$M$42,((Inputs!$B$9+((C1620=TRUE)*(F1620-Calc!F19))+B1633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1611*(1-MIN(100,(Inputs!$B$9+((C1620=TRUE)*(F1620-Calc!F19))+B1633+(ArtifactsInput!$M$24-ArtifactsInput!$M$24)*CHOOSE(ArtifactsInput!$N$24+1,10,12,14,16,18,20)+(IF(AND(ArtifactsInput!$M$42,((Inputs!$B$9+((C1620=TRUE)*(F1620-Calc!F19))+B1633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1611*(MIN(100,(Inputs!$B$9+((C1620=TRUE)*(F1620-Calc!F19))+B1633+(ArtifactsInput!$M$24-ArtifactsInput!$M$24)*CHOOSE(ArtifactsInput!$N$24+1,10,12,14,16,18,20)+(IF(AND(ArtifactsInput!$M$42,((Inputs!$B$9+((C1620=TRUE)*(F1620-Calc!F19))+B1633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611">
        <f>IF(C1611,(0.15*SUMPRODUCT((Skills!U2:U29=TRUE)*(C1603:C1630=TRUE)*S1603:S1630)*Skills!G10*N1611)*IF(Inputs!$B$38="pvp",1,(1+(Inputs!$B$21+Skills!Q10+(IF(ArtifactsInput!$M$33,CHOOSE(ArtifactsInput!$N$33+1,30,36,42,48,54,60),0))+(IF(AND(ArtifactsInput!$M$35,Inputs!$B$4&lt;&gt;"Chapter Hunt"),CHOOSE(ArtifactsInput!$N$35+1,15,18,21,24,27,30)*(1-EXP(-(0.2*B1635)*5)),0)+IF(AND(ArtifactsInput!$M$22,Inputs!$B$4&lt;&gt;"Chapter Hunt"),CHOOSE(ArtifactsInput!$N$22+1,10,12,14,16,18,20)*((0*(((0.15*B1635*5))^0/1)+1*(((0.15*B1635*5))^1/1)+2*(((0.15*B1635*5))^2/2)+3*(((0.15*B1635*5))^3/6)+4*(((0.15*B1635*5))^4/24)+5*(((0.15*B1635*5))^5/120))/((((0.15*B1635*5))^0/1)+(((0.15*B1635*5))^1/1)+(((0.15*B1635*5))^2/2)+(((0.15*B1635*5))^3/6)+(((0.15*B1635*5))^4/24)+(((0.15*B1635*5))^5/120)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612">
      <c r="A1612">
        <f>Skills!A11</f>
        <v/>
      </c>
      <c r="B1612">
        <f>Skills!B11</f>
        <v/>
      </c>
      <c r="C1612">
        <f>Inputs!$B$3&gt;=110</f>
        <v/>
      </c>
      <c r="D1612">
        <f>IF(Skills!C11=1,60+Inputs!$B$25+Inputs!$B$29,IF(Skills!C11=2,90+Inputs!$B$26+Inputs!$B$29,IF(Skills!C11=3,120+Inputs!$B$27+Inputs!$B$29,MAX(0,(Inputs!$B$3-100)*3)+Inputs!$B$28+Inputs!$B$29)))</f>
        <v/>
      </c>
      <c r="E1612">
        <f>INDEX(FactorTable!$B$2:$Y$301, MATCH(ROUND(MIN(300,MAX(1,D1612)),0), FactorTable!$A$2:$A$301,0), Skills!M11+1)</f>
        <v/>
      </c>
      <c r="F1612">
        <f>IF(Skills!N11=TRUE,(Skills!L11/10)*(E1612/1000),Skills!L11/10)+Skills!O11</f>
        <v/>
      </c>
      <c r="G1612">
        <f>Skills!G11*IF(Skills!H11&gt;0,Skills!I11/Skills!H11,1)</f>
        <v/>
      </c>
      <c r="H1612">
        <f>1-(1-Skills!J11/100)^Skills!K11</f>
        <v/>
      </c>
      <c r="I1612" t="inlineStr">
        <is>
          <t>1</t>
        </is>
      </c>
      <c r="J1612">
        <f>((Inputs!$B$6*(1+Inputs!$B$7/100))+(((Inputs!$B$12*(1+Inputs!$B$13/100))-(Inputs!$B$12*(1+Inputs!$B$13/100)))+0.25*(Inputs!$B$14-Inputs!$B$14))*(1+Inputs!$B$7/100))*(F1612/100)</f>
        <v/>
      </c>
      <c r="K1612">
        <f>J1612*(1+((Inputs!$B$12*(1+Inputs!$B$13/100))*0.01+Inputs!$B$14*0.0025)/100)*(1+Inputs!$B$15/100)*(1+Inputs!$B$16/100)*(5000/(6000+Inputs!$B$42*(1-(100*(1-(1-(Inputs!$B$19+0)/100)*(1-CHOOSE(ArtifactsInput!$N$40+1,5,6,7,8,9,10)/100)^(ArtifactsInput!$M$40-ArtifactsInput!$M$40)))/100)))*(1+(Inputs!$B$24+((C1625=TRUE)*(F1625-Calc!F24))+((C1626=TRUE)*(F1626-Calc!F25))+B1639)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Boss",2,1),0)/100)-1)*100+(IF(ArtifactsInput!$M$14,FALSE,TRUE)-ArtifactsInput!$M$14)*IF(OR(Inputs!$B$4="Weapon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11="EMPOWERED_PIERCING_ARROW",Inputs!$B$17+((C1623=TRUE)*(F1623-Calc!F22))+(((IF(AND(ArtifactsInput!$M$42,((Inputs!$B$9+((C1620=TRUE)*(F1620-Calc!F19))+B1633+(ArtifactsInput!$M$24-ArtifactsInput!$M$24)*CHOOSE(ArtifactsInput!$N$24+1,10,12,14,16,18,20)+IF(ArtifactsInput!$M$10,CHOOSE(ArtifactsInput!$N$10+1,15,18,21,24,27,30)*(IF(Inputs!$B$38="pvp",MIN(15,15)/15,IF(AND(Inputs!$B$38&lt;&gt;"pvp",Inputs!$B$43&gt;0),MIN(15,Inputs!$B$43)/(Inputs!$B$43),0))),0)))&gt;=100),MIN(100,((Inputs!$B$9+((C1620=TRUE)*(F1620-Calc!F19))+B1633+(ArtifactsInput!$M$24-ArtifactsInput!$M$24)*CHOOSE(ArtifactsInput!$N$24+1,10,12,14,16,18,20)+IF(ArtifactsInput!$M$10,CHOOSE(ArtifactsInput!$N$10+1,15,18,21,24,27,30)*(IF(Inputs!$B$38="pvp",MIN(15,15)/15,IF(AND(Inputs!$B$38&lt;&gt;"pvp",Inputs!$B$43&gt;0),MIN(15,Inputs!$B$43)/(Inputs!$B$43),0))),0)))-100),0))*CHOOSE(ArtifactsInput!$N$42+1,0.6,0.72,0.84,0.96,1.08,1.2))),Inputs!$B$18+((C1628=TRUE)*(F1628-Calc!F27))+(IF(AND(ArtifactsInput!$M$42,((Inputs!$B$9+((C1620=TRUE)*(F1620-Calc!F19))+B1633+(ArtifactsInput!$M$24-ArtifactsInput!$M$24)*CHOOSE(ArtifactsInput!$N$24+1,10,12,14,16,18,20)+IF(ArtifactsInput!$M$10,CHOOSE(ArtifactsInput!$N$10+1,15,18,21,24,27,30)*(IF(Inputs!$B$38="pvp",MIN(15,15)/15,IF(AND(Inputs!$B$38&lt;&gt;"pvp",Inputs!$B$43&gt;0),MIN(15,Inputs!$B$43)/(Inputs!$B$43),0))),0)))&gt;=100),CHOOSE(ArtifactsInput!$N$42+1,40,48,56,64,72,80),0))))/100)*((1+(((C1614=TRUE)*F1614)+((C1615=TRUE)*IF(Inputs!$B$38="pvp",F1615,(1-Summary!$B$11)*(F1615)+Summary!$B$11*(0)))+((C1616=TRUE)*F1616*IF(AND(Inputs!$B$38&lt;&gt;"pvp",Inputs!$B$43&gt;0),(((R1616-1)*(Skills!T15*(1+Inputs!$B$34/100))+MIN((Skills!T15*(1+Inputs!$B$34/100)),MAX(0,Inputs!$B$43-((R1616-1)*Skills!D15))))/Inputs!$B$43),IF(Inputs!$B$38="pvp",MIN((Skills!T15*(1+Inputs!$B$34/100)),15)/15,(Skills!T15*(1+Inputs!$B$34/100))/Skills!D15)))+((C1613=TRUE)*F1613)+((C1630=TRUE)*(F1630-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1612)</f>
        <v/>
      </c>
      <c r="L1612">
        <f>K1612*(MIN(Inputs!$B$22+((C1624=TRUE)*(F1624-Calc!F23)),(Inputs!$B$23+((C1629=TRUE)*(F1629-Calc!F28))+(IF(ArtifactsInput!$M$15,CHOOSE(ArtifactsInput!$N$15+1,25,30,35,40,45,50)/100*(Inputs!$B$11-Inputs!$B$11),0))))/100+(Inputs!$B$23+((C1629=TRUE)*(F1629-Calc!F28))+(IF(ArtifactsInput!$M$15,CHOOSE(ArtifactsInput!$N$15+1,25,30,35,40,45,50)/100*(Inputs!$B$11-Inputs!$B$11),0)))/100)/2</f>
        <v/>
      </c>
      <c r="M1612">
        <f>L1612*(1+(Inputs!$B$10+0+B1638+(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612">
        <f>L1612*(1-MIN((Inputs!$B$9+((C1620=TRUE)*(F1620-Calc!F19))+B1633+(ArtifactsInput!$M$24-ArtifactsInput!$M$24)*CHOOSE(ArtifactsInput!$N$24+1,10,12,14,16,18,20)+(IF(AND(ArtifactsInput!$M$42,((Inputs!$B$9+((C1620=TRUE)*(F1620-Calc!F19))+B1633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1612*(MIN((Inputs!$B$9+((C1620=TRUE)*(F1620-Calc!F19))+B1633+(ArtifactsInput!$M$24-ArtifactsInput!$M$24)*CHOOSE(ArtifactsInput!$N$24+1,10,12,14,16,18,20)+(IF(AND(ArtifactsInput!$M$42,((Inputs!$B$9+((C1620=TRUE)*(F1620-Calc!F19))+B1633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612">
        <f>(1-Summary!$B$11)*T1612+Summary!$B$11*V1612</f>
        <v/>
      </c>
      <c r="P1612">
        <f>IF(B1643=0,0,O1612/B1643)</f>
        <v/>
      </c>
      <c r="Q1612">
        <f>IFERROR(1/IF(Inputs!$B$38="pvp",15,MAX(0.1,Skills!D11-IF(Skills!E11=TRUE,Inputs!$B$32,0))),0)</f>
        <v/>
      </c>
      <c r="R1612">
        <f>IF(AND(Inputs!$B$38&lt;&gt;"pvp",Inputs!$B$43&gt;0),IF(MAX(0,Inputs!$B$43-B1640)&lt;=0,0,(INT(MAX(0,Inputs!$B$43-B1640)/IF(Inputs!$B$38="pvp",15,MAX(0.1,Skills!D11-IF(Skills!E11=TRUE,Inputs!$B$32,0))))+1)),0)</f>
        <v/>
      </c>
      <c r="S1612">
        <f>IFERROR((H1612*N1612*IF(AND(Inputs!$B$38&lt;&gt;"pvp",Inputs!$B$43&gt;0),((Skills!G11*((R1612-1)*IF(Skills!H11&gt;0,Skills!I11/Skills!H11,1)+IF(Skills!H11&gt;0,MIN(Skills!I11,MAX(0,MAX(0,Inputs!$B$43-B1640)-((R1612-1)*IF(Inputs!$B$38="pvp",15,MAX(0.1,Skills!D11-IF(Skills!E11=TRUE,Inputs!$B$32,0))))))/Skills!H11,1)))/Inputs!$B$43),G1612*Q1612))/N1612*IF(Inputs!$B$38="pvp",1,(1-Summary!$B$11)*1+Summary!$B$11*(MIN(Skills!R11,Inputs!$B$37))),0)</f>
        <v/>
      </c>
      <c r="T1612">
        <f>IF(C1612,(H1612*N1612*IF(AND(Inputs!$B$38&lt;&gt;"pvp",Inputs!$B$43&gt;0),((Skills!G11*((R1612-1)*IF(Skills!H11&gt;0,Skills!I11/Skills!H11,1)+IF(Skills!H11&gt;0,MIN(Skills!I11,MAX(0,MAX(0,Inputs!$B$43-B1640)-((R1612-1)*IF(Inputs!$B$38="pvp",15,MAX(0.1,Skills!D11-IF(Skills!E11=TRUE,Inputs!$B$32,0))))))/Skills!H11,1)))/Inputs!$B$43),G1612*Q1612))*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Hunt"),CHOOSE(ArtifactsInput!$N$35+1,15,18,21,24,27,30)*(1-EXP(-(0.2*B1635)*5)),0)+IF(AND(ArtifactsInput!$M$22,Inputs!$B$4&lt;&gt;"Chapter Hunt"),CHOOSE(ArtifactsInput!$N$22+1,10,12,14,16,18,20)*((0*(((0.15*B1635*5))^0/1)+1*(((0.15*B1635*5))^1/1)+2*(((0.15*B1635*5))^2/2)+3*(((0.15*B1635*5))^3/6)+4*(((0.15*B1635*5))^4/24)+5*(((0.15*B1635*5))^5/120))/((((0.15*B1635*5))^0/1)+(((0.15*B1635*5))^1/1)+(((0.15*B1635*5))^2/2)+(((0.15*B1635*5))^3/6)+(((0.15*B1635*5))^4/24)+(((0.15*B1635*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1612*(1-MIN(100,(Inputs!$B$9+((C1620=TRUE)*(F1620-Calc!F19))+B1633+(ArtifactsInput!$M$24-ArtifactsInput!$M$24)*CHOOSE(ArtifactsInput!$N$24+1,10,12,14,16,18,20)+(IF(AND(ArtifactsInput!$M$42,((Inputs!$B$9+((C1620=TRUE)*(F1620-Calc!F19))+B1633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1612*(MIN(100,(Inputs!$B$9+((C1620=TRUE)*(F1620-Calc!F19))+B1633+(ArtifactsInput!$M$24-ArtifactsInput!$M$24)*CHOOSE(ArtifactsInput!$N$24+1,10,12,14,16,18,20)+(IF(AND(ArtifactsInput!$M$42,((Inputs!$B$9+((C1620=TRUE)*(F1620-Calc!F19))+B1633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1612*(1-MIN(100,(Inputs!$B$9+((C1620=TRUE)*(F1620-Calc!F19))+B1633+(ArtifactsInput!$M$24-ArtifactsInput!$M$24)*CHOOSE(ArtifactsInput!$N$24+1,10,12,14,16,18,20)+(IF(AND(ArtifactsInput!$M$42,((Inputs!$B$9+((C1620=TRUE)*(F1620-Calc!F19))+B1633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1612*(MIN(100,(Inputs!$B$9+((C1620=TRUE)*(F1620-Calc!F19))+B1633+(ArtifactsInput!$M$24-ArtifactsInput!$M$24)*CHOOSE(ArtifactsInput!$N$24+1,10,12,14,16,18,20)+(IF(AND(ArtifactsInput!$M$42,((Inputs!$B$9+((C1620=TRUE)*(F1620-Calc!F19))+B1633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612">
        <f>IF(C1612,(H1612*N1612*IF(AND(Inputs!$B$38&lt;&gt;"pvp",Inputs!$B$43&gt;0),((Skills!G11*((R1612-1)*IF(Skills!H11&gt;0,Skills!I11/Skills!H11,1)+IF(Skills!H11&gt;0,MIN(Skills!I11,MAX(0,MAX(0,Inputs!$B$43-B1640)-((R1612-1)*IF(Inputs!$B$38="pvp",15,MAX(0.1,Skills!D11-IF(Skills!E11=TRUE,Inputs!$B$32,0))))))/Skills!H11,1)))/Inputs!$B$43),G1612*Q1612))*IF(Inputs!$B$38="pvp",1,(1+(Inputs!$B$21+Skills!Q11+(IF(ArtifactsInput!$M$33,CHOOSE(ArtifactsInput!$N$33+1,30,36,42,48,54,60),0))+(IF(AND(ArtifactsInput!$M$35,Inputs!$B$4&lt;&gt;"Chapter Hunt"),CHOOSE(ArtifactsInput!$N$35+1,15,18,21,24,27,30)*(1-EXP(-(0.2*B1635)*5)),0)+IF(AND(ArtifactsInput!$M$22,Inputs!$B$4&lt;&gt;"Chapter Hunt"),CHOOSE(ArtifactsInput!$N$22+1,10,12,14,16,18,20)*((0*(((0.15*B1635*5))^0/1)+1*(((0.15*B1635*5))^1/1)+2*(((0.15*B1635*5))^2/2)+3*(((0.15*B1635*5))^3/6)+4*(((0.15*B1635*5))^4/24)+5*(((0.15*B1635*5))^5/120))/((((0.15*B1635*5))^0/1)+(((0.15*B1635*5))^1/1)+(((0.15*B1635*5))^2/2)+(((0.15*B1635*5))^3/6)+(((0.15*B1635*5))^4/24)+(((0.15*B1635*5))^5/120))),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613">
      <c r="A1613">
        <f>Skills!A12</f>
        <v/>
      </c>
      <c r="B1613">
        <f>Skills!B12</f>
        <v/>
      </c>
      <c r="C1613">
        <f>Inputs!$B$3&gt;=60</f>
        <v/>
      </c>
      <c r="D1613">
        <f>IF(Skills!C12=1,60+Inputs!$B$25+Inputs!$B$29,IF(Skills!C12=2,90+Inputs!$B$26+Inputs!$B$29,IF(Skills!C12=3,120+Inputs!$B$27+Inputs!$B$29,MAX(0,(Inputs!$B$3-100)*3)+Inputs!$B$28+Inputs!$B$29)))</f>
        <v/>
      </c>
      <c r="E1613">
        <f>INDEX(FactorTable!$B$2:$Y$301, MATCH(ROUND(MIN(300,MAX(1,D1613)),0), FactorTable!$A$2:$A$301,0), Skills!M12+1)</f>
        <v/>
      </c>
      <c r="F1613">
        <f>IF(Skills!N12=TRUE,(Skills!L12/10)*(E1613/1000),Skills!L12/10)+Skills!O12</f>
        <v/>
      </c>
      <c r="G1613">
        <f>Skills!G12*IF(Skills!H12&gt;0,Skills!I12/Skills!H12,1)</f>
        <v/>
      </c>
      <c r="H1613">
        <f>1-(1-Skills!J12/100)^Skills!K12</f>
        <v/>
      </c>
      <c r="I1613" t="inlineStr">
        <is>
          <t>1</t>
        </is>
      </c>
      <c r="J1613" t="inlineStr"/>
      <c r="K1613" t="inlineStr"/>
      <c r="L1613" t="inlineStr"/>
      <c r="M1613" t="inlineStr"/>
      <c r="N1613" t="inlineStr"/>
      <c r="O1613">
        <f>(1-Summary!$B$11)*T1613+Summary!$B$11*V1613</f>
        <v/>
      </c>
      <c r="P1613">
        <f>IF(B1643=0,0,O1613/B1643)</f>
        <v/>
      </c>
      <c r="Q1613" t="n">
        <v>0</v>
      </c>
      <c r="R1613" t="n">
        <v>0</v>
      </c>
      <c r="S1613" t="n">
        <v>0</v>
      </c>
      <c r="T1613" t="n">
        <v>0</v>
      </c>
      <c r="V1613" t="n">
        <v>0</v>
      </c>
    </row>
    <row r="1614">
      <c r="A1614">
        <f>Skills!A13</f>
        <v/>
      </c>
      <c r="B1614">
        <f>Skills!B13</f>
        <v/>
      </c>
      <c r="C1614">
        <f>Inputs!$B$3&gt;=74</f>
        <v/>
      </c>
      <c r="D1614">
        <f>IF(Skills!C13=1,60+Inputs!$B$25+Inputs!$B$29,IF(Skills!C13=2,90+Inputs!$B$26+Inputs!$B$29,IF(Skills!C13=3,120+Inputs!$B$27+Inputs!$B$29,MAX(0,(Inputs!$B$3-100)*3)+Inputs!$B$28+Inputs!$B$29)))</f>
        <v/>
      </c>
      <c r="E1614">
        <f>INDEX(FactorTable!$B$2:$Y$301, MATCH(ROUND(MIN(300,MAX(1,D1614)),0), FactorTable!$A$2:$A$301,0), Skills!M13+1)</f>
        <v/>
      </c>
      <c r="F1614">
        <f>IF(Skills!N13=TRUE,(Skills!L13/10)*(E1614/1000),Skills!L13/10)+Skills!O13</f>
        <v/>
      </c>
      <c r="G1614">
        <f>Skills!G13*IF(Skills!H13&gt;0,Skills!I13/Skills!H13,1)</f>
        <v/>
      </c>
      <c r="H1614">
        <f>1-(1-Skills!J13/100)^Skills!K13</f>
        <v/>
      </c>
      <c r="I1614" t="inlineStr">
        <is>
          <t>1</t>
        </is>
      </c>
      <c r="J1614" t="inlineStr"/>
      <c r="K1614" t="inlineStr"/>
      <c r="L1614" t="inlineStr"/>
      <c r="M1614" t="inlineStr"/>
      <c r="N1614" t="inlineStr"/>
      <c r="O1614">
        <f>(1-Summary!$B$11)*T1614+Summary!$B$11*V1614</f>
        <v/>
      </c>
      <c r="P1614">
        <f>IF(B1643=0,0,O1614/B1643)</f>
        <v/>
      </c>
      <c r="Q1614" t="n">
        <v>0</v>
      </c>
      <c r="R1614" t="n">
        <v>0</v>
      </c>
      <c r="S1614" t="n">
        <v>0</v>
      </c>
      <c r="T1614" t="n">
        <v>0</v>
      </c>
      <c r="V1614" t="n">
        <v>0</v>
      </c>
    </row>
    <row r="1615">
      <c r="A1615">
        <f>Skills!A14</f>
        <v/>
      </c>
      <c r="B1615">
        <f>Skills!B14</f>
        <v/>
      </c>
      <c r="C1615">
        <f>Inputs!$B$3&gt;=74</f>
        <v/>
      </c>
      <c r="D1615">
        <f>IF(Skills!C14=1,60+Inputs!$B$25+Inputs!$B$29,IF(Skills!C14=2,90+Inputs!$B$26+Inputs!$B$29,IF(Skills!C14=3,120+Inputs!$B$27+Inputs!$B$29,MAX(0,(Inputs!$B$3-100)*3)+Inputs!$B$28+Inputs!$B$29)))</f>
        <v/>
      </c>
      <c r="E1615">
        <f>INDEX(FactorTable!$B$2:$Y$301, MATCH(ROUND(MIN(300,MAX(1,D1615)),0), FactorTable!$A$2:$A$301,0), Skills!M14+1)</f>
        <v/>
      </c>
      <c r="F1615">
        <f>IF(Skills!N14=TRUE,(Skills!L14/10)*(E1615/1000),Skills!L14/10)+Skills!O14</f>
        <v/>
      </c>
      <c r="G1615">
        <f>Skills!G14*IF(Skills!H14&gt;0,Skills!I14/Skills!H14,1)</f>
        <v/>
      </c>
      <c r="H1615">
        <f>1-(1-Skills!J14/100)^Skills!K14</f>
        <v/>
      </c>
      <c r="I1615" t="inlineStr">
        <is>
          <t>1</t>
        </is>
      </c>
      <c r="J1615" t="inlineStr"/>
      <c r="K1615" t="inlineStr"/>
      <c r="L1615" t="inlineStr"/>
      <c r="M1615" t="inlineStr"/>
      <c r="N1615" t="inlineStr"/>
      <c r="O1615">
        <f>(1-Summary!$B$11)*T1615+Summary!$B$11*V1615</f>
        <v/>
      </c>
      <c r="P1615">
        <f>IF(B1643=0,0,O1615/B1643)</f>
        <v/>
      </c>
      <c r="Q1615" t="n">
        <v>0</v>
      </c>
      <c r="R1615" t="n">
        <v>0</v>
      </c>
      <c r="S1615" t="n">
        <v>0</v>
      </c>
      <c r="T1615" t="n">
        <v>0</v>
      </c>
      <c r="V1615" t="n">
        <v>0</v>
      </c>
    </row>
    <row r="1616">
      <c r="A1616">
        <f>Skills!A15</f>
        <v/>
      </c>
      <c r="B1616">
        <f>Skills!B15</f>
        <v/>
      </c>
      <c r="C1616">
        <f>Inputs!$B$3&gt;=117</f>
        <v/>
      </c>
      <c r="D1616">
        <f>IF(Skills!C15=1,60+Inputs!$B$25+Inputs!$B$29,IF(Skills!C15=2,90+Inputs!$B$26+Inputs!$B$29,IF(Skills!C15=3,120+Inputs!$B$27+Inputs!$B$29,MAX(0,(Inputs!$B$3-100)*3)+Inputs!$B$28+Inputs!$B$29)))</f>
        <v/>
      </c>
      <c r="E1616">
        <f>INDEX(FactorTable!$B$2:$Y$301, MATCH(ROUND(MIN(300,MAX(1,D1616)),0), FactorTable!$A$2:$A$301,0), Skills!M15+1)</f>
        <v/>
      </c>
      <c r="F1616">
        <f>IF(Skills!N15=TRUE,(Skills!L15/10)*(E1616/1000),Skills!L15/10)+Skills!O15</f>
        <v/>
      </c>
      <c r="G1616">
        <f>Skills!G15*IF(Skills!H15&gt;0,Skills!I15/Skills!H15,1)</f>
        <v/>
      </c>
      <c r="H1616">
        <f>1-(1-Skills!J15/100)^Skills!K15</f>
        <v/>
      </c>
      <c r="I1616" t="inlineStr">
        <is>
          <t>1</t>
        </is>
      </c>
      <c r="J1616" t="inlineStr"/>
      <c r="K1616" t="inlineStr"/>
      <c r="L1616" t="inlineStr"/>
      <c r="M1616" t="inlineStr"/>
      <c r="N1616" t="inlineStr"/>
      <c r="O1616">
        <f>(1-Summary!$B$11)*T1616+Summary!$B$11*V1616</f>
        <v/>
      </c>
      <c r="P1616">
        <f>IF(B1643=0,0,O1616/B1643)</f>
        <v/>
      </c>
      <c r="Q1616">
        <f>IFERROR(1/IF(Inputs!$B$38="pvp",15,MAX(0.1,Skills!D15-IF(Skills!E15=TRUE,Inputs!$B$32,0))),0)</f>
        <v/>
      </c>
      <c r="R1616">
        <f>IF(AND(Inputs!$B$38&lt;&gt;"pvp",Inputs!$B$43&gt;0),IF(Inputs!$B$43&lt;=0,0,(INT(Inputs!$B$43/IF(Inputs!$B$38="pvp",15,MAX(0.1,Skills!D15-IF(Skills!E15=TRUE,Inputs!$B$32,0))))+1)),0)</f>
        <v/>
      </c>
      <c r="S1616" t="n">
        <v>0</v>
      </c>
      <c r="T1616" t="n">
        <v>0</v>
      </c>
      <c r="V1616" t="n">
        <v>0</v>
      </c>
    </row>
    <row r="1617">
      <c r="A1617">
        <f>Skills!A16</f>
        <v/>
      </c>
      <c r="B1617">
        <f>Skills!B16</f>
        <v/>
      </c>
      <c r="C1617">
        <f>Inputs!$B$3&gt;=115</f>
        <v/>
      </c>
      <c r="D1617">
        <f>IF(Skills!C16=1,60+Inputs!$B$25+Inputs!$B$29,IF(Skills!C16=2,90+Inputs!$B$26+Inputs!$B$29,IF(Skills!C16=3,120+Inputs!$B$27+Inputs!$B$29,MAX(0,(Inputs!$B$3-100)*3)+Inputs!$B$28+Inputs!$B$29)))</f>
        <v/>
      </c>
      <c r="E1617">
        <f>INDEX(FactorTable!$B$2:$Y$301, MATCH(ROUND(MIN(300,MAX(1,D1617)),0), FactorTable!$A$2:$A$301,0), Skills!M16+1)</f>
        <v/>
      </c>
      <c r="F1617">
        <f>IF(Skills!N16=TRUE,(Skills!L16/10)*(E1617/1000),Skills!L16/10)+Skills!O16</f>
        <v/>
      </c>
      <c r="G1617">
        <f>Skills!G16*IF(Skills!H16&gt;0,Skills!I16/Skills!H16,1)</f>
        <v/>
      </c>
      <c r="H1617">
        <f>1-(1-Skills!J16/100)^Skills!K16</f>
        <v/>
      </c>
      <c r="I1617" t="inlineStr">
        <is>
          <t>1</t>
        </is>
      </c>
      <c r="J1617" t="inlineStr"/>
      <c r="K1617" t="inlineStr"/>
      <c r="L1617" t="inlineStr"/>
      <c r="M1617" t="inlineStr"/>
      <c r="N1617" t="inlineStr"/>
      <c r="O1617">
        <f>(1-Summary!$B$11)*T1617+Summary!$B$11*V1617</f>
        <v/>
      </c>
      <c r="P1617">
        <f>IF(B1643=0,0,O1617/B1643)</f>
        <v/>
      </c>
      <c r="Q1617">
        <f>IFERROR(1/IF(Inputs!$B$38="pvp",15,MAX(0.1,Skills!D16-IF(Skills!E16=TRUE,Inputs!$B$32,0))),0)</f>
        <v/>
      </c>
      <c r="R1617">
        <f>IF(AND(Inputs!$B$38&lt;&gt;"pvp",Inputs!$B$43&gt;0),IF(Inputs!$B$43&lt;=0,0,(INT(Inputs!$B$43/IF(Inputs!$B$38="pvp",15,MAX(0.1,Skills!D16-IF(Skills!E16=TRUE,Inputs!$B$32,0))))+1)),0)</f>
        <v/>
      </c>
      <c r="S1617" t="n">
        <v>0</v>
      </c>
      <c r="T1617" t="n">
        <v>0</v>
      </c>
      <c r="V1617" t="n">
        <v>0</v>
      </c>
    </row>
    <row r="1618">
      <c r="A1618">
        <f>Skills!A17</f>
        <v/>
      </c>
      <c r="B1618">
        <f>Skills!B17</f>
        <v/>
      </c>
      <c r="C1618">
        <f>Inputs!$B$3&gt;=72</f>
        <v/>
      </c>
      <c r="D1618">
        <f>IF(Skills!C17=1,60+Inputs!$B$25+Inputs!$B$29,IF(Skills!C17=2,90+Inputs!$B$26+Inputs!$B$29,IF(Skills!C17=3,120+Inputs!$B$27+Inputs!$B$29,MAX(0,(Inputs!$B$3-100)*3)+Inputs!$B$28+Inputs!$B$29)))</f>
        <v/>
      </c>
      <c r="E1618">
        <f>INDEX(FactorTable!$B$2:$Y$301, MATCH(ROUND(MIN(300,MAX(1,D1618)),0), FactorTable!$A$2:$A$301,0), Skills!M17+1)</f>
        <v/>
      </c>
      <c r="F1618">
        <f>IF(Skills!N17=TRUE,(Skills!L17/10)*(E1618/1000),Skills!L17/10)+Skills!O17</f>
        <v/>
      </c>
      <c r="G1618">
        <f>Skills!G17*IF(Skills!H17&gt;0,Skills!I17/Skills!H17,1)</f>
        <v/>
      </c>
      <c r="H1618">
        <f>1-(1-Skills!J17/100)^Skills!K17</f>
        <v/>
      </c>
      <c r="I1618" t="inlineStr">
        <is>
          <t>1</t>
        </is>
      </c>
      <c r="J1618" t="inlineStr"/>
      <c r="K1618" t="inlineStr"/>
      <c r="L1618" t="inlineStr"/>
      <c r="M1618" t="inlineStr"/>
      <c r="N1618" t="inlineStr"/>
      <c r="O1618">
        <f>(1-Summary!$B$11)*T1618+Summary!$B$11*V1618</f>
        <v/>
      </c>
      <c r="P1618">
        <f>IF(B1643=0,0,O1618/B1643)</f>
        <v/>
      </c>
      <c r="Q1618" t="n">
        <v>0</v>
      </c>
      <c r="R1618" t="n">
        <v>0</v>
      </c>
      <c r="S1618" t="n">
        <v>0</v>
      </c>
      <c r="T1618" t="n">
        <v>0</v>
      </c>
      <c r="V1618" t="n">
        <v>0</v>
      </c>
    </row>
    <row r="1619">
      <c r="A1619">
        <f>Skills!A18</f>
        <v/>
      </c>
      <c r="B1619">
        <f>Skills!B18</f>
        <v/>
      </c>
      <c r="C1619">
        <f>TRUE</f>
        <v/>
      </c>
      <c r="D1619">
        <f>IF(Skills!C18=1,60+Inputs!$B$25+Inputs!$B$29,IF(Skills!C18=2,90+Inputs!$B$26+Inputs!$B$29,IF(Skills!C18=3,120+Inputs!$B$27+Inputs!$B$29,MAX(0,(Inputs!$B$3-100)*3)+Inputs!$B$28+Inputs!$B$29)))</f>
        <v/>
      </c>
      <c r="E1619">
        <f>INDEX(FactorTable!$B$2:$Y$301, MATCH(ROUND(MIN(300,MAX(1,D1619)),0), FactorTable!$A$2:$A$301,0), Skills!M18+1)</f>
        <v/>
      </c>
      <c r="F1619">
        <f>IF(Skills!N18=TRUE,(Skills!L18/10)*(E1619/1000),Skills!L18/10)+Skills!O18</f>
        <v/>
      </c>
      <c r="G1619">
        <f>Skills!G18*IF(Skills!H18&gt;0,Skills!I18/Skills!H18,1)</f>
        <v/>
      </c>
      <c r="H1619">
        <f>1-(1-Skills!J18/100)^Skills!K18</f>
        <v/>
      </c>
      <c r="I1619" t="inlineStr">
        <is>
          <t>1</t>
        </is>
      </c>
      <c r="J1619" t="inlineStr"/>
      <c r="K1619" t="inlineStr"/>
      <c r="L1619" t="inlineStr"/>
      <c r="M1619" t="inlineStr"/>
      <c r="N1619" t="inlineStr"/>
      <c r="O1619">
        <f>(1-Summary!$B$11)*T1619+Summary!$B$11*V1619</f>
        <v/>
      </c>
      <c r="P1619">
        <f>IF(B1643=0,0,O1619/B1643)</f>
        <v/>
      </c>
      <c r="Q1619">
        <f>IFERROR(1/IF(Inputs!$B$38="pvp",15,MAX(0.1,Skills!D18-IF(Skills!E18=TRUE,Inputs!$B$32,0))),0)</f>
        <v/>
      </c>
      <c r="R1619">
        <f>IF(AND(Inputs!$B$38&lt;&gt;"pvp",Inputs!$B$43&gt;0),IF(Inputs!$B$43&lt;=0,0,(INT(Inputs!$B$43/IF(Inputs!$B$38="pvp",15,MAX(0.1,Skills!D18-IF(Skills!E18=TRUE,Inputs!$B$32,0))))+1)),0)</f>
        <v/>
      </c>
      <c r="S1619" t="n">
        <v>0</v>
      </c>
      <c r="T1619" t="n">
        <v>0</v>
      </c>
      <c r="V1619" t="n">
        <v>0</v>
      </c>
    </row>
    <row r="1620">
      <c r="A1620">
        <f>Skills!A19</f>
        <v/>
      </c>
      <c r="B1620">
        <f>Skills!B19</f>
        <v/>
      </c>
      <c r="C1620">
        <f>Inputs!$B$3&gt;=15</f>
        <v/>
      </c>
      <c r="D1620">
        <f>IF(Skills!C19=1,60+Inputs!$B$25+Inputs!$B$29,IF(Skills!C19=2,90+Inputs!$B$26+Inputs!$B$29,IF(Skills!C19=3,120+Inputs!$B$27+Inputs!$B$29,MAX(0,(Inputs!$B$3-100)*3)+Inputs!$B$28+Inputs!$B$29)))</f>
        <v/>
      </c>
      <c r="E1620">
        <f>INDEX(FactorTable!$B$2:$Y$301, MATCH(ROUND(MIN(300,MAX(1,D1620)),0), FactorTable!$A$2:$A$301,0), Skills!M19+1)</f>
        <v/>
      </c>
      <c r="F1620">
        <f>IF(Skills!N19=TRUE,(Skills!L19/10)*(E1620/1000),Skills!L19/10)+Skills!O19</f>
        <v/>
      </c>
      <c r="G1620">
        <f>Skills!G19*IF(Skills!H19&gt;0,Skills!I19/Skills!H19,1)</f>
        <v/>
      </c>
      <c r="H1620">
        <f>1-(1-Skills!J19/100)^Skills!K19</f>
        <v/>
      </c>
      <c r="I1620" t="inlineStr">
        <is>
          <t>1</t>
        </is>
      </c>
      <c r="J1620" t="inlineStr"/>
      <c r="K1620" t="inlineStr"/>
      <c r="L1620" t="inlineStr"/>
      <c r="M1620" t="inlineStr"/>
      <c r="N1620" t="inlineStr"/>
      <c r="O1620">
        <f>(1-Summary!$B$11)*T1620+Summary!$B$11*V1620</f>
        <v/>
      </c>
      <c r="P1620">
        <f>IF(B1643=0,0,O1620/B1643)</f>
        <v/>
      </c>
      <c r="Q1620" t="n">
        <v>0</v>
      </c>
      <c r="R1620" t="n">
        <v>0</v>
      </c>
      <c r="S1620" t="n">
        <v>0</v>
      </c>
      <c r="T1620" t="n">
        <v>0</v>
      </c>
      <c r="V1620" t="n">
        <v>0</v>
      </c>
    </row>
    <row r="1621">
      <c r="A1621">
        <f>Skills!A20</f>
        <v/>
      </c>
      <c r="B1621">
        <f>Skills!B20</f>
        <v/>
      </c>
      <c r="C1621">
        <f>Inputs!$B$3&gt;=10</f>
        <v/>
      </c>
      <c r="D1621">
        <f>IF(Skills!C20=1,60+Inputs!$B$25+Inputs!$B$29,IF(Skills!C20=2,90+Inputs!$B$26+Inputs!$B$29,IF(Skills!C20=3,120+Inputs!$B$27+Inputs!$B$29,MAX(0,(Inputs!$B$3-100)*3)+Inputs!$B$28+Inputs!$B$29)))</f>
        <v/>
      </c>
      <c r="E1621">
        <f>INDEX(FactorTable!$B$2:$Y$301, MATCH(ROUND(MIN(300,MAX(1,D1621)),0), FactorTable!$A$2:$A$301,0), Skills!M20+1)</f>
        <v/>
      </c>
      <c r="F1621">
        <f>IF(Skills!N20=TRUE,(Skills!L20/10)*(E1621/1000),Skills!L20/10)+Skills!O20</f>
        <v/>
      </c>
      <c r="G1621">
        <f>Skills!G20*IF(Skills!H20&gt;0,Skills!I20/Skills!H20,1)</f>
        <v/>
      </c>
      <c r="H1621">
        <f>1-(1-Skills!J20/100)^Skills!K20</f>
        <v/>
      </c>
      <c r="I1621" t="inlineStr">
        <is>
          <t>1</t>
        </is>
      </c>
      <c r="J1621" t="inlineStr"/>
      <c r="K1621" t="inlineStr"/>
      <c r="L1621" t="inlineStr"/>
      <c r="M1621" t="inlineStr"/>
      <c r="N1621" t="inlineStr"/>
      <c r="O1621">
        <f>(1-Summary!$B$11)*T1621+Summary!$B$11*V1621</f>
        <v/>
      </c>
      <c r="P1621">
        <f>IF(B1643=0,0,O1621/B1643)</f>
        <v/>
      </c>
      <c r="Q1621" t="n">
        <v>0</v>
      </c>
      <c r="R1621" t="n">
        <v>0</v>
      </c>
      <c r="S1621" t="n">
        <v>0</v>
      </c>
      <c r="T1621" t="n">
        <v>0</v>
      </c>
      <c r="V1621" t="n">
        <v>0</v>
      </c>
    </row>
    <row r="1622">
      <c r="A1622">
        <f>Skills!A21</f>
        <v/>
      </c>
      <c r="B1622">
        <f>Skills!B21</f>
        <v/>
      </c>
      <c r="C1622">
        <f>Inputs!$B$3&gt;=33</f>
        <v/>
      </c>
      <c r="D1622">
        <f>IF(Skills!C21=1,60+Inputs!$B$25+Inputs!$B$29,IF(Skills!C21=2,90+Inputs!$B$26+Inputs!$B$29,IF(Skills!C21=3,120+Inputs!$B$27+Inputs!$B$29,MAX(0,(Inputs!$B$3-100)*3)+Inputs!$B$28+Inputs!$B$29)))</f>
        <v/>
      </c>
      <c r="E1622">
        <f>INDEX(FactorTable!$B$2:$Y$301, MATCH(ROUND(MIN(300,MAX(1,D1622)),0), FactorTable!$A$2:$A$301,0), Skills!M21+1)</f>
        <v/>
      </c>
      <c r="F1622">
        <f>IF(Skills!N21=TRUE,(Skills!L21/10)*(E1622/1000),Skills!L21/10)+Skills!O21</f>
        <v/>
      </c>
      <c r="G1622">
        <f>Skills!G21*IF(Skills!H21&gt;0,Skills!I21/Skills!H21,1)</f>
        <v/>
      </c>
      <c r="H1622">
        <f>1-(1-Skills!J21/100)^Skills!K21</f>
        <v/>
      </c>
      <c r="I1622" t="inlineStr">
        <is>
          <t>1</t>
        </is>
      </c>
      <c r="J1622" t="inlineStr"/>
      <c r="K1622" t="inlineStr"/>
      <c r="L1622" t="inlineStr"/>
      <c r="M1622" t="inlineStr"/>
      <c r="N1622" t="inlineStr"/>
      <c r="O1622">
        <f>(1-Summary!$B$11)*T1622+Summary!$B$11*V1622</f>
        <v/>
      </c>
      <c r="P1622">
        <f>IF(B1643=0,0,O1622/B1643)</f>
        <v/>
      </c>
      <c r="Q1622" t="n">
        <v>0</v>
      </c>
      <c r="R1622" t="n">
        <v>0</v>
      </c>
      <c r="S1622" t="n">
        <v>0</v>
      </c>
      <c r="T1622" t="n">
        <v>0</v>
      </c>
      <c r="V1622" t="n">
        <v>0</v>
      </c>
    </row>
    <row r="1623">
      <c r="A1623">
        <f>Skills!A22</f>
        <v/>
      </c>
      <c r="B1623">
        <f>Skills!B22</f>
        <v/>
      </c>
      <c r="C1623">
        <f>Inputs!$B$3&gt;=38</f>
        <v/>
      </c>
      <c r="D1623">
        <f>IF(Skills!C22=1,60+Inputs!$B$25+Inputs!$B$29,IF(Skills!C22=2,90+Inputs!$B$26+Inputs!$B$29,IF(Skills!C22=3,120+Inputs!$B$27+Inputs!$B$29,MAX(0,(Inputs!$B$3-100)*3)+Inputs!$B$28+Inputs!$B$29)))</f>
        <v/>
      </c>
      <c r="E1623">
        <f>INDEX(FactorTable!$B$2:$Y$301, MATCH(ROUND(MIN(300,MAX(1,D1623)),0), FactorTable!$A$2:$A$301,0), Skills!M22+1)</f>
        <v/>
      </c>
      <c r="F1623">
        <f>IF(Skills!N22=TRUE,(Skills!L22/10)*(E1623/1000),Skills!L22/10)+Skills!O22</f>
        <v/>
      </c>
      <c r="G1623">
        <f>Skills!G22*IF(Skills!H22&gt;0,Skills!I22/Skills!H22,1)</f>
        <v/>
      </c>
      <c r="H1623">
        <f>1-(1-Skills!J22/100)^Skills!K22</f>
        <v/>
      </c>
      <c r="I1623" t="inlineStr">
        <is>
          <t>1</t>
        </is>
      </c>
      <c r="J1623" t="inlineStr"/>
      <c r="K1623" t="inlineStr"/>
      <c r="L1623" t="inlineStr"/>
      <c r="M1623" t="inlineStr"/>
      <c r="N1623" t="inlineStr"/>
      <c r="O1623">
        <f>(1-Summary!$B$11)*T1623+Summary!$B$11*V1623</f>
        <v/>
      </c>
      <c r="P1623">
        <f>IF(B1643=0,0,O1623/B1643)</f>
        <v/>
      </c>
      <c r="Q1623" t="n">
        <v>0</v>
      </c>
      <c r="R1623" t="n">
        <v>0</v>
      </c>
      <c r="S1623" t="n">
        <v>0</v>
      </c>
      <c r="T1623" t="n">
        <v>0</v>
      </c>
      <c r="V1623" t="n">
        <v>0</v>
      </c>
    </row>
    <row r="1624">
      <c r="A1624">
        <f>Skills!A23</f>
        <v/>
      </c>
      <c r="B1624">
        <f>Skills!B23</f>
        <v/>
      </c>
      <c r="C1624">
        <f>Inputs!$B$3&gt;=43</f>
        <v/>
      </c>
      <c r="D1624">
        <f>IF(Skills!C23=1,60+Inputs!$B$25+Inputs!$B$29,IF(Skills!C23=2,90+Inputs!$B$26+Inputs!$B$29,IF(Skills!C23=3,120+Inputs!$B$27+Inputs!$B$29,MAX(0,(Inputs!$B$3-100)*3)+Inputs!$B$28+Inputs!$B$29)))</f>
        <v/>
      </c>
      <c r="E1624">
        <f>INDEX(FactorTable!$B$2:$Y$301, MATCH(ROUND(MIN(300,MAX(1,D1624)),0), FactorTable!$A$2:$A$301,0), Skills!M23+1)</f>
        <v/>
      </c>
      <c r="F1624">
        <f>IF(Skills!N23=TRUE,(Skills!L23/10)*(E1624/1000),Skills!L23/10)+Skills!O23</f>
        <v/>
      </c>
      <c r="G1624">
        <f>Skills!G23*IF(Skills!H23&gt;0,Skills!I23/Skills!H23,1)</f>
        <v/>
      </c>
      <c r="H1624">
        <f>1-(1-Skills!J23/100)^Skills!K23</f>
        <v/>
      </c>
      <c r="I1624" t="inlineStr">
        <is>
          <t>1</t>
        </is>
      </c>
      <c r="J1624" t="inlineStr"/>
      <c r="K1624" t="inlineStr"/>
      <c r="L1624" t="inlineStr"/>
      <c r="M1624" t="inlineStr"/>
      <c r="N1624" t="inlineStr"/>
      <c r="O1624">
        <f>(1-Summary!$B$11)*T1624+Summary!$B$11*V1624</f>
        <v/>
      </c>
      <c r="P1624">
        <f>IF(B1643=0,0,O1624/B1643)</f>
        <v/>
      </c>
      <c r="Q1624" t="n">
        <v>0</v>
      </c>
      <c r="R1624" t="n">
        <v>0</v>
      </c>
      <c r="S1624" t="n">
        <v>0</v>
      </c>
      <c r="T1624" t="n">
        <v>0</v>
      </c>
      <c r="V1624" t="n">
        <v>0</v>
      </c>
    </row>
    <row r="1625">
      <c r="A1625">
        <f>Skills!A24</f>
        <v/>
      </c>
      <c r="B1625">
        <f>Skills!B24</f>
        <v/>
      </c>
      <c r="C1625">
        <f>Inputs!$B$3&gt;=75</f>
        <v/>
      </c>
      <c r="D1625">
        <f>IF(Skills!C24=1,60+Inputs!$B$25+Inputs!$B$29,IF(Skills!C24=2,90+Inputs!$B$26+Inputs!$B$29,IF(Skills!C24=3,120+Inputs!$B$27+Inputs!$B$29,MAX(0,(Inputs!$B$3-100)*3)+Inputs!$B$28+Inputs!$B$29)))</f>
        <v/>
      </c>
      <c r="E1625">
        <f>INDEX(FactorTable!$B$2:$Y$301, MATCH(ROUND(MIN(300,MAX(1,D1625)),0), FactorTable!$A$2:$A$301,0), Skills!M24+1)</f>
        <v/>
      </c>
      <c r="F1625">
        <f>IF(Skills!N24=TRUE,(Skills!L24/10)*(E1625/1000),Skills!L24/10)+Skills!O24</f>
        <v/>
      </c>
      <c r="G1625">
        <f>Skills!G24*IF(Skills!H24&gt;0,Skills!I24/Skills!H24,1)</f>
        <v/>
      </c>
      <c r="H1625">
        <f>1-(1-Skills!J24/100)^Skills!K24</f>
        <v/>
      </c>
      <c r="I1625" t="inlineStr">
        <is>
          <t>1</t>
        </is>
      </c>
      <c r="J1625" t="inlineStr"/>
      <c r="K1625" t="inlineStr"/>
      <c r="L1625" t="inlineStr"/>
      <c r="M1625" t="inlineStr"/>
      <c r="N1625" t="inlineStr"/>
      <c r="O1625">
        <f>(1-Summary!$B$11)*T1625+Summary!$B$11*V1625</f>
        <v/>
      </c>
      <c r="P1625">
        <f>IF(B1643=0,0,O1625/B1643)</f>
        <v/>
      </c>
      <c r="Q1625" t="n">
        <v>0</v>
      </c>
      <c r="R1625" t="n">
        <v>0</v>
      </c>
      <c r="S1625" t="n">
        <v>0</v>
      </c>
      <c r="T1625" t="n">
        <v>0</v>
      </c>
      <c r="V1625" t="n">
        <v>0</v>
      </c>
    </row>
    <row r="1626">
      <c r="A1626">
        <f>Skills!A25</f>
        <v/>
      </c>
      <c r="B1626">
        <f>Skills!B25</f>
        <v/>
      </c>
      <c r="C1626">
        <f>Inputs!$B$3&gt;=125</f>
        <v/>
      </c>
      <c r="D1626">
        <f>IF(Skills!C25=1,60+Inputs!$B$25+Inputs!$B$29,IF(Skills!C25=2,90+Inputs!$B$26+Inputs!$B$29,IF(Skills!C25=3,120+Inputs!$B$27+Inputs!$B$29,MAX(0,(Inputs!$B$3-100)*3)+Inputs!$B$28+Inputs!$B$29)))</f>
        <v/>
      </c>
      <c r="E1626">
        <f>INDEX(FactorTable!$B$2:$Y$301, MATCH(ROUND(MIN(300,MAX(1,D1626)),0), FactorTable!$A$2:$A$301,0), Skills!M25+1)</f>
        <v/>
      </c>
      <c r="F1626">
        <f>IF(Skills!N25=TRUE,(Skills!L25/10)*(E1626/1000),Skills!L25/10)+Skills!O25</f>
        <v/>
      </c>
      <c r="G1626">
        <f>Skills!G25*IF(Skills!H25&gt;0,Skills!I25/Skills!H25,1)</f>
        <v/>
      </c>
      <c r="H1626">
        <f>1-(1-Skills!J25/100)^Skills!K25</f>
        <v/>
      </c>
      <c r="I1626" t="inlineStr">
        <is>
          <t>1</t>
        </is>
      </c>
      <c r="J1626" t="inlineStr"/>
      <c r="K1626" t="inlineStr"/>
      <c r="L1626" t="inlineStr"/>
      <c r="M1626" t="inlineStr"/>
      <c r="N1626" t="inlineStr"/>
      <c r="O1626">
        <f>(1-Summary!$B$11)*T1626+Summary!$B$11*V1626</f>
        <v/>
      </c>
      <c r="P1626">
        <f>IF(B1643=0,0,O1626/B1643)</f>
        <v/>
      </c>
      <c r="Q1626" t="n">
        <v>0</v>
      </c>
      <c r="R1626" t="n">
        <v>0</v>
      </c>
      <c r="S1626" t="n">
        <v>0</v>
      </c>
      <c r="T1626" t="n">
        <v>0</v>
      </c>
      <c r="V1626" t="n">
        <v>0</v>
      </c>
    </row>
    <row r="1627">
      <c r="A1627">
        <f>Skills!A26</f>
        <v/>
      </c>
      <c r="B1627">
        <f>Skills!B26</f>
        <v/>
      </c>
      <c r="C1627">
        <f>Inputs!$B$3&gt;=125</f>
        <v/>
      </c>
      <c r="D1627">
        <f>IF(Skills!C26=1,60+Inputs!$B$25+Inputs!$B$29,IF(Skills!C26=2,90+Inputs!$B$26+Inputs!$B$29,IF(Skills!C26=3,120+Inputs!$B$27+Inputs!$B$29,MAX(0,(Inputs!$B$3-100)*3)+Inputs!$B$28+Inputs!$B$29)))</f>
        <v/>
      </c>
      <c r="E1627">
        <f>INDEX(FactorTable!$B$2:$Y$301, MATCH(ROUND(MIN(300,MAX(1,D1627)),0), FactorTable!$A$2:$A$301,0), Skills!M26+1)</f>
        <v/>
      </c>
      <c r="F1627">
        <f>IF(Skills!N26=TRUE,(Skills!L26/10)*(E1627/1000),Skills!L26/10)+Skills!O26</f>
        <v/>
      </c>
      <c r="G1627">
        <f>Skills!G26*IF(Skills!H26&gt;0,Skills!I26/Skills!H26,1)</f>
        <v/>
      </c>
      <c r="H1627">
        <f>1-(1-Skills!J26/100)^Skills!K26</f>
        <v/>
      </c>
      <c r="I1627" t="inlineStr">
        <is>
          <t>1</t>
        </is>
      </c>
      <c r="J1627" t="inlineStr"/>
      <c r="K1627" t="inlineStr"/>
      <c r="L1627" t="inlineStr"/>
      <c r="M1627" t="inlineStr"/>
      <c r="N1627" t="inlineStr"/>
      <c r="O1627">
        <f>(1-Summary!$B$11)*T1627+Summary!$B$11*V1627</f>
        <v/>
      </c>
      <c r="P1627">
        <f>IF(B1643=0,0,O1627/B1643)</f>
        <v/>
      </c>
      <c r="Q1627" t="n">
        <v>0</v>
      </c>
      <c r="R1627" t="n">
        <v>0</v>
      </c>
      <c r="S1627" t="n">
        <v>0</v>
      </c>
      <c r="T1627" t="n">
        <v>0</v>
      </c>
      <c r="V1627" t="n">
        <v>0</v>
      </c>
    </row>
    <row r="1628">
      <c r="A1628">
        <f>Skills!A27</f>
        <v/>
      </c>
      <c r="B1628">
        <f>Skills!B27</f>
        <v/>
      </c>
      <c r="C1628">
        <f>Inputs!$B$3&gt;=120</f>
        <v/>
      </c>
      <c r="D1628">
        <f>IF(Skills!C27=1,60+Inputs!$B$25+Inputs!$B$29,IF(Skills!C27=2,90+Inputs!$B$26+Inputs!$B$29,IF(Skills!C27=3,120+Inputs!$B$27+Inputs!$B$29,MAX(0,(Inputs!$B$3-100)*3)+Inputs!$B$28+Inputs!$B$29)))</f>
        <v/>
      </c>
      <c r="E1628">
        <f>INDEX(FactorTable!$B$2:$Y$301, MATCH(ROUND(MIN(300,MAX(1,D1628)),0), FactorTable!$A$2:$A$301,0), Skills!M27+1)</f>
        <v/>
      </c>
      <c r="F1628">
        <f>IF(Skills!N27=TRUE,(Skills!L27/10)*(E1628/1000),Skills!L27/10)+Skills!O27</f>
        <v/>
      </c>
      <c r="G1628">
        <f>Skills!G27*IF(Skills!H27&gt;0,Skills!I27/Skills!H27,1)</f>
        <v/>
      </c>
      <c r="H1628">
        <f>1-(1-Skills!J27/100)^Skills!K27</f>
        <v/>
      </c>
      <c r="I1628" t="inlineStr">
        <is>
          <t>1</t>
        </is>
      </c>
      <c r="J1628" t="inlineStr"/>
      <c r="K1628" t="inlineStr"/>
      <c r="L1628" t="inlineStr"/>
      <c r="M1628" t="inlineStr"/>
      <c r="N1628" t="inlineStr"/>
      <c r="O1628">
        <f>(1-Summary!$B$11)*T1628+Summary!$B$11*V1628</f>
        <v/>
      </c>
      <c r="P1628">
        <f>IF(B1643=0,0,O1628/B1643)</f>
        <v/>
      </c>
      <c r="Q1628" t="n">
        <v>0</v>
      </c>
      <c r="R1628" t="n">
        <v>0</v>
      </c>
      <c r="S1628" t="n">
        <v>0</v>
      </c>
      <c r="T1628" t="n">
        <v>0</v>
      </c>
      <c r="V1628" t="n">
        <v>0</v>
      </c>
    </row>
    <row r="1629">
      <c r="A1629">
        <f>Skills!A28</f>
        <v/>
      </c>
      <c r="B1629">
        <f>Skills!B28</f>
        <v/>
      </c>
      <c r="C1629">
        <f>Inputs!$B$3&gt;=120</f>
        <v/>
      </c>
      <c r="D1629">
        <f>IF(Skills!C28=1,60+Inputs!$B$25+Inputs!$B$29,IF(Skills!C28=2,90+Inputs!$B$26+Inputs!$B$29,IF(Skills!C28=3,120+Inputs!$B$27+Inputs!$B$29,MAX(0,(Inputs!$B$3-100)*3)+Inputs!$B$28+Inputs!$B$29)))</f>
        <v/>
      </c>
      <c r="E1629">
        <f>INDEX(FactorTable!$B$2:$Y$301, MATCH(ROUND(MIN(300,MAX(1,D1629)),0), FactorTable!$A$2:$A$301,0), Skills!M28+1)</f>
        <v/>
      </c>
      <c r="F1629">
        <f>IF(Skills!N28=TRUE,(Skills!L28/10)*(E1629/1000),Skills!L28/10)+Skills!O28</f>
        <v/>
      </c>
      <c r="G1629">
        <f>Skills!G28*IF(Skills!H28&gt;0,Skills!I28/Skills!H28,1)</f>
        <v/>
      </c>
      <c r="H1629">
        <f>1-(1-Skills!J28/100)^Skills!K28</f>
        <v/>
      </c>
      <c r="I1629" t="inlineStr">
        <is>
          <t>1</t>
        </is>
      </c>
      <c r="J1629" t="inlineStr"/>
      <c r="K1629" t="inlineStr"/>
      <c r="L1629" t="inlineStr"/>
      <c r="M1629" t="inlineStr"/>
      <c r="N1629" t="inlineStr"/>
      <c r="O1629">
        <f>(1-Summary!$B$11)*T1629+Summary!$B$11*V1629</f>
        <v/>
      </c>
      <c r="P1629">
        <f>IF(B1643=0,0,O1629/B1643)</f>
        <v/>
      </c>
      <c r="Q1629" t="n">
        <v>0</v>
      </c>
      <c r="R1629" t="n">
        <v>0</v>
      </c>
      <c r="S1629" t="n">
        <v>0</v>
      </c>
      <c r="T1629" t="n">
        <v>0</v>
      </c>
      <c r="V1629" t="n">
        <v>0</v>
      </c>
    </row>
    <row r="1630">
      <c r="A1630">
        <f>Skills!A29</f>
        <v/>
      </c>
      <c r="B1630">
        <f>Skills!B29</f>
        <v/>
      </c>
      <c r="C1630">
        <f>Inputs!$B$3&gt;=45</f>
        <v/>
      </c>
      <c r="D1630">
        <f>IF(Skills!C29=1,60+Inputs!$B$25+Inputs!$B$29,IF(Skills!C29=2,90+Inputs!$B$26+Inputs!$B$29,IF(Skills!C29=3,120+Inputs!$B$27+Inputs!$B$29,MAX(0,(Inputs!$B$3-100)*3)+Inputs!$B$28+Inputs!$B$29)))</f>
        <v/>
      </c>
      <c r="E1630">
        <f>INDEX(FactorTable!$B$2:$Y$301, MATCH(ROUND(MIN(300,MAX(1,D1630)),0), FactorTable!$A$2:$A$301,0), Skills!M29+1)</f>
        <v/>
      </c>
      <c r="F1630">
        <f>IF(Skills!N29=TRUE,(Skills!L29/10)*(E1630/1000),Skills!L29/10)+Skills!O29</f>
        <v/>
      </c>
      <c r="G1630">
        <f>Skills!G29*IF(Skills!H29&gt;0,Skills!I29/Skills!H29,1)</f>
        <v/>
      </c>
      <c r="H1630">
        <f>1-(1-Skills!J29/100)^Skills!K29</f>
        <v/>
      </c>
      <c r="I1630" t="inlineStr">
        <is>
          <t>1</t>
        </is>
      </c>
      <c r="J1630" t="inlineStr"/>
      <c r="K1630" t="inlineStr"/>
      <c r="L1630" t="inlineStr"/>
      <c r="M1630" t="inlineStr"/>
      <c r="N1630" t="inlineStr"/>
      <c r="O1630">
        <f>(1-Summary!$B$11)*T1630+Summary!$B$11*V1630</f>
        <v/>
      </c>
      <c r="P1630">
        <f>IF(B1643=0,0,O1630/B1643)</f>
        <v/>
      </c>
      <c r="Q1630" t="n">
        <v>0</v>
      </c>
      <c r="R1630" t="n">
        <v>0</v>
      </c>
      <c r="S1630" t="n">
        <v>0</v>
      </c>
      <c r="T1630" t="n">
        <v>0</v>
      </c>
      <c r="V1630" t="n">
        <v>0</v>
      </c>
    </row>
    <row r="1632">
      <c r="A1632" t="inlineStr">
        <is>
          <t>Attack% Bucket Multiplier</t>
        </is>
      </c>
      <c r="B1632">
        <f>(1+(((C1614=TRUE)*F1614)+((C1615=TRUE)*IF(Inputs!$B$38="pvp",F1615,(1-Summary!$B$11)*(F1615)+Summary!$B$11*(0)))+((C1616=TRUE)*F1616*IF(AND(Inputs!$B$38&lt;&gt;"pvp",Inputs!$B$43&gt;0),(((R1616-1)*(Skills!T15*(1+Inputs!$B$34/100))+MIN((Skills!T15*(1+Inputs!$B$34/100)),MAX(0,Inputs!$B$43-((R1616-1)*Skills!D15))))/Inputs!$B$43),IF(Inputs!$B$38="pvp",MIN((Skills!T15*(1+Inputs!$B$34/100)),15)/15,(Skills!T15*(1+Inputs!$B$34/100))/Skills!D15)))+((C1613=TRUE)*F1613)+((C1630=TRUE)*(F1630-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1633">
      <c r="A1633" t="inlineStr">
        <is>
          <t>Global Crit Rate Bonus %</t>
        </is>
      </c>
      <c r="B1633">
        <f>(C1617=TRUE)*20*IF(AND(Inputs!$B$38&lt;&gt;"pvp",Inputs!$B$43&gt;0),(((R1617-1)*(Skills!T16*(1+Inputs!$B$34/100))+MIN((Skills!T16*(1+Inputs!$B$34/100)),MAX(0,Inputs!$B$43-((R1617-1)*Skills!D16))))/Inputs!$B$43),IF(Inputs!$B$38="pvp",MIN((Skills!T16*(1+Inputs!$B$34/100)),15)/15,(Skills!T16*(1+Inputs!$B$34/100))/Skills!D16))</f>
        <v/>
      </c>
    </row>
    <row r="1634">
      <c r="A1634" t="inlineStr">
        <is>
          <t>Attack Speed Buff Bonus %</t>
        </is>
      </c>
      <c r="B1634">
        <f>((C1619=TRUE)*F1619*IF(AND(Inputs!$B$38&lt;&gt;"pvp",Inputs!$B$43&gt;0),(((R1619-1)*(Skills!T18*(1+Inputs!$B$34/100))+MIN((Skills!T18*(1+Inputs!$B$34/100)),MAX(0,Inputs!$B$43-((R1619-1)*Skills!D18))))/Inputs!$B$43),IF(Inputs!$B$38="pvp",MIN((Skills!T18*(1+Inputs!$B$34/100)),15)/15,(Skills!T18*(1+Inputs!$B$34/100))/Skills!D18)))</f>
        <v/>
      </c>
    </row>
    <row r="1635">
      <c r="A1635" t="inlineStr">
        <is>
          <t>Actions Per Second</t>
        </is>
      </c>
      <c r="B1635">
        <f>1+MIN(150,150*(1-(1-(Inputs!$B$11+((C1621=TRUE)*(F1621-Calc!F20))+((C1622=TRUE)*(F1622-Calc!F21)))/150)*(1-B1634/150)))/100</f>
        <v/>
      </c>
    </row>
    <row r="1636">
      <c r="A1636" t="inlineStr">
        <is>
          <t>Skill + Buff Cast Rate</t>
        </is>
      </c>
      <c r="B1636">
        <f>IF(AND(Inputs!$B$38&lt;&gt;"pvp",Inputs!$B$43&gt;0),SUMPRODUCT((Skills!E2:E29=TRUE)*(C1603:C1630=TRUE)*R1603:R1630*Skills!F2:F29)/Inputs!$B$43,SUMPRODUCT((Skills!E2:E29=TRUE)*(C1603:C1630=TRUE)*Q1603:Q1630*Skills!F2:F29))</f>
        <v/>
      </c>
    </row>
    <row r="1637">
      <c r="A1637" t="inlineStr">
        <is>
          <t>Empowered Piercing Arrow Casts Per Second</t>
        </is>
      </c>
      <c r="B1637">
        <f>MAX(0,B1635-B1636)</f>
        <v/>
      </c>
    </row>
    <row r="1638">
      <c r="A1638" t="inlineStr">
        <is>
          <t>Global Critical Damage Bonus % (Sharp Eyes)</t>
        </is>
      </c>
      <c r="B1638">
        <f>(C1617=TRUE)*F1617*IF(AND(Inputs!$B$38&lt;&gt;"pvp",Inputs!$B$43&gt;0),(((R1617-1)*(Skills!T16*(1+Inputs!$B$34/100))+MIN((Skills!T16*(1+Inputs!$B$34/100)),MAX(0,Inputs!$B$43-((R1617-1)*Skills!D16))))/Inputs!$B$43),IF(Inputs!$B$38="pvp",MIN((Skills!T16*(1+Inputs!$B$34/100)),15)/15,(Skills!T16*(1+Inputs!$B$34/100))/Skills!D16))</f>
        <v/>
      </c>
    </row>
    <row r="1639">
      <c r="A1639" t="inlineStr">
        <is>
          <t>Global Final Damage Bonus % (Mortal Blow + Last Man Standing conditional half)</t>
        </is>
      </c>
      <c r="B1639">
        <f>(C1618=TRUE)*F1618+((C1627=TRUE)*IF(Inputs!$B$38="pvp",F1627,(1-Summary!$B$11)*(F1627)+Summary!$B$11*(0)))</f>
        <v/>
      </c>
    </row>
    <row r="1640">
      <c r="A1640" t="inlineStr">
        <is>
          <t>Buff-Casting Startup Delay (s, fixed-duration only)</t>
        </is>
      </c>
      <c r="B1640">
        <f>IF(AND(Inputs!$B$38&lt;&gt;"pvp",Inputs!$B$43&gt;0),SUMPRODUCT((Skills!T2:T29&gt;0)*(Skills!E2:E29=TRUE)*(C1603:C1630=TRUE))/B1635,0)</f>
        <v/>
      </c>
    </row>
    <row r="1641">
      <c r="A1641" t="inlineStr">
        <is>
          <t>Boss-Only Total DPS (this block's swept value)</t>
        </is>
      </c>
      <c r="B1641">
        <f>SUM(T1603:T1630)</f>
        <v/>
      </c>
    </row>
    <row r="1642">
      <c r="A1642" t="inlineStr">
        <is>
          <t>Normal-Only Total DPS (this block's swept value)</t>
        </is>
      </c>
      <c r="B1642">
        <f>SUM(V1603:V1630)</f>
        <v/>
      </c>
    </row>
    <row r="1643">
      <c r="A1643" s="6" t="inlineStr">
        <is>
          <t>TOTAL DPS</t>
        </is>
      </c>
      <c r="B1643" s="6">
        <f>SUM(O1603:O1630)</f>
        <v/>
      </c>
    </row>
    <row r="1646">
      <c r="A1646" s="6" t="inlineStr">
        <is>
          <t>Stat: Athena Pierce's Old Gloves (Equip)</t>
        </is>
      </c>
    </row>
    <row r="1647">
      <c r="A1647" s="5" t="inlineStr">
        <is>
          <t>Key</t>
        </is>
      </c>
      <c r="B1647" s="5" t="inlineStr">
        <is>
          <t>Name</t>
        </is>
      </c>
      <c r="C1647" s="5" t="inlineStr">
        <is>
          <t>Unlocked</t>
        </is>
      </c>
      <c r="D1647" s="5" t="inlineStr">
        <is>
          <t>InputLevel</t>
        </is>
      </c>
      <c r="E1647" s="5" t="inlineStr">
        <is>
          <t>Factor</t>
        </is>
      </c>
      <c r="F1647" s="5" t="inlineStr">
        <is>
          <t>CoefficientPercent</t>
        </is>
      </c>
      <c r="G1647" s="5" t="inlineStr">
        <is>
          <t>EffectiveHits</t>
        </is>
      </c>
      <c r="H1647" s="5" t="inlineStr">
        <is>
          <t>ProcProbability</t>
        </is>
      </c>
      <c r="I1647" s="5" t="inlineStr">
        <is>
          <t>MapleHeroMultiplier</t>
        </is>
      </c>
      <c r="J1647" s="5" t="inlineStr">
        <is>
          <t>BaseDamage</t>
        </is>
      </c>
      <c r="K1647" s="5" t="inlineStr">
        <is>
          <t>BaseHitDamage</t>
        </is>
      </c>
      <c r="L1647" s="5" t="inlineStr">
        <is>
          <t>NonCritAvg</t>
        </is>
      </c>
      <c r="M1647" s="5" t="inlineStr">
        <is>
          <t>CritAvg</t>
        </is>
      </c>
      <c r="N1647" s="5" t="inlineStr">
        <is>
          <t>ExpectedDamage(perHit)</t>
        </is>
      </c>
      <c r="O1647" s="5" t="inlineStr">
        <is>
          <t>DPS</t>
        </is>
      </c>
      <c r="P1647" s="5" t="inlineStr">
        <is>
          <t>% of Total</t>
        </is>
      </c>
      <c r="Q1647" s="5" t="inlineStr">
        <is>
          <t>InvCooldown</t>
        </is>
      </c>
      <c r="R1647" s="5" t="inlineStr">
        <is>
          <t>CastsInFight</t>
        </is>
      </c>
      <c r="S1647" s="5" t="inlineStr">
        <is>
          <t>HitRate(perSec)</t>
        </is>
      </c>
      <c r="U1647" t="inlineStr">
        <is>
          <t>helpers</t>
        </is>
      </c>
    </row>
    <row r="1648">
      <c r="A1648">
        <f>Skills!A2</f>
        <v/>
      </c>
      <c r="B1648">
        <f>Skills!B2</f>
        <v/>
      </c>
      <c r="C1648">
        <f>Inputs!$B$3&gt;=100</f>
        <v/>
      </c>
      <c r="D1648" t="inlineStr"/>
      <c r="E1648" t="inlineStr"/>
      <c r="F1648">
        <f>U1650+Skills!O2</f>
        <v/>
      </c>
      <c r="G1648">
        <f>Skills!G2*IF(Skills!H2&gt;0,Skills!I2/Skills!H2,1)</f>
        <v/>
      </c>
      <c r="H1648">
        <f>1-(1-Skills!J2/100)^Skills!K2</f>
        <v/>
      </c>
      <c r="I1648" t="inlineStr">
        <is>
          <t>1</t>
        </is>
      </c>
      <c r="J1648">
        <f>((Inputs!$B$6*(1+Inputs!$B$7/100))+(((Inputs!$B$12*(1+Inputs!$B$13/100))-(Inputs!$B$12*(1+Inputs!$B$13/100)))+0.25*(Inputs!$B$14-Inputs!$B$14))*(1+Inputs!$B$7/100))*(F1648/100)</f>
        <v/>
      </c>
      <c r="K1648">
        <f>J1648*(1+((Inputs!$B$12*(1+Inputs!$B$13/100))*0.01+Inputs!$B$14*0.0025)/100)*(1+Inputs!$B$15/100)*(1+Inputs!$B$16/100)*(5000/(6000+Inputs!$B$42*(1-(100*(1-(1-(Inputs!$B$19+0)/100)*(1-CHOOSE(ArtifactsInput!$N$40+1,5,6,7,8,9,10)/100)^(ArtifactsInput!$M$40-ArtifactsInput!$M$40)))/100)))*(1+(Inputs!$B$24+((C1670=TRUE)*(F1670-Calc!F24))+((C1671=TRUE)*(F1671-Calc!F25))+B1684)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EMPOWERED_PIERCING_ARROW",Inputs!$B$17+((C1668=TRUE)*(F1668-Calc!F22))+(((IF(AND(ArtifactsInput!$M$42,((Inputs!$B$9+((C1665=TRUE)*(F1665-Calc!F19))+B1678+(ArtifactsInput!$M$24-ArtifactsInput!$M$24)*CHOOSE(ArtifactsInput!$N$24+1,10,12,14,16,18,20)+IF(ArtifactsInput!$M$10,CHOOSE(ArtifactsInput!$N$10+1,15,18,21,24,27,30)*(IF(Inputs!$B$38="pvp",MIN(15,15)/15,IF(AND(Inputs!$B$38&lt;&gt;"pvp",Inputs!$B$43&gt;0),MIN(15,Inputs!$B$43)/(Inputs!$B$43),0))),0)))&gt;=100),MIN(100,((Inputs!$B$9+((C1665=TRUE)*(F1665-Calc!F19))+B1678+(ArtifactsInput!$M$24-ArtifactsInput!$M$24)*CHOOSE(ArtifactsInput!$N$24+1,10,12,14,16,18,20)+IF(ArtifactsInput!$M$10,CHOOSE(ArtifactsInput!$N$10+1,15,18,21,24,27,30)*(IF(Inputs!$B$38="pvp",MIN(15,15)/15,IF(AND(Inputs!$B$38&lt;&gt;"pvp",Inputs!$B$43&gt;0),MIN(15,Inputs!$B$43)/(Inputs!$B$43),0))),0)))-100),0))*CHOOSE(ArtifactsInput!$N$42+1,0.6,0.72,0.84,0.96,1.08,1.2))),Inputs!$B$18+((C1673=TRUE)*(F1673-Calc!F27))+(IF(AND(ArtifactsInput!$M$42,((Inputs!$B$9+((C1665=TRUE)*(F1665-Calc!F19))+B1678+(ArtifactsInput!$M$24-ArtifactsInput!$M$24)*CHOOSE(ArtifactsInput!$N$24+1,10,12,14,16,18,20)+IF(ArtifactsInput!$M$10,CHOOSE(ArtifactsInput!$N$10+1,15,18,21,24,27,30)*(IF(Inputs!$B$38="pvp",MIN(15,15)/15,IF(AND(Inputs!$B$38&lt;&gt;"pvp",Inputs!$B$43&gt;0),MIN(15,Inputs!$B$43)/(Inputs!$B$43),0))),0)))&gt;=100),CHOOSE(ArtifactsInput!$N$42+1,40,48,56,64,72,80),0))))/100)*((1+(((C1659=TRUE)*F1659)+((C1660=TRUE)*IF(Inputs!$B$38="pvp",F1660,(1-Summary!$B$11)*(F1660)+Summary!$B$11*(0)))+((C1661=TRUE)*F1661*IF(AND(Inputs!$B$38&lt;&gt;"pvp",Inputs!$B$43&gt;0),(((R1661-1)*(Skills!T15*(1+Inputs!$B$34/100))+MIN((Skills!T15*(1+Inputs!$B$34/100)),MAX(0,Inputs!$B$43-((R1661-1)*Skills!D15))))/Inputs!$B$43),IF(Inputs!$B$38="pvp",MIN((Skills!T15*(1+Inputs!$B$34/100)),15)/15,(Skills!T15*(1+Inputs!$B$34/100))/Skills!D15)))+((C1658=TRUE)*F1658)+((C1675=TRUE)*(F1675-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1648)</f>
        <v/>
      </c>
      <c r="L1648">
        <f>K1648*(MIN(Inputs!$B$22+((C1669=TRUE)*(F1669-Calc!F23)),(Inputs!$B$23+((C1674=TRUE)*(F1674-Calc!F28))+((IF(IF(ArtifactsInput!$M$15,FALSE,TRUE),1,-1)*CHOOSE(ArtifactsInput!$N$15+1,25,30,35,40,45,50)/100*IF(IF(ArtifactsInput!$M$15,FALSE,TRUE),(Inputs!$B$11+((C1666=TRUE)*(F1666-Calc!F20))+((C1667=TRUE)*(F1667-Calc!F21))+(IF(ArtifactsInput!$M$15,FALSE,TRUE)-ArtifactsInput!$M$15)*CHOOSE(ArtifactsInput!$N$15+1,8,9.6,11.2,12.8,14.4,16)),Inputs!$B$11)))))/100+(Inputs!$B$23+((C1674=TRUE)*(F1674-Calc!F28))+((IF(IF(ArtifactsInput!$M$15,FALSE,TRUE),1,-1)*CHOOSE(ArtifactsInput!$N$15+1,25,30,35,40,45,50)/100*IF(IF(ArtifactsInput!$M$15,FALSE,TRUE),(Inputs!$B$11+((C1666=TRUE)*(F1666-Calc!F20))+((C1667=TRUE)*(F1667-Calc!F21))+(IF(ArtifactsInput!$M$15,FALSE,TRUE)-ArtifactsInput!$M$15)*CHOOSE(ArtifactsInput!$N$15+1,8,9.6,11.2,12.8,14.4,16)),Inputs!$B$11))))/100)/2</f>
        <v/>
      </c>
      <c r="M1648">
        <f>L1648*(1+(Inputs!$B$10+0+B1683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648">
        <f>L1648*(1-MIN((Inputs!$B$9+((C1665=TRUE)*(F1665-Calc!F19))+B1678+(ArtifactsInput!$M$24-ArtifactsInput!$M$24)*CHOOSE(ArtifactsInput!$N$24+1,10,12,14,16,18,20)+(IF(AND(ArtifactsInput!$M$42,((Inputs!$B$9+((C1665=TRUE)*(F1665-Calc!F19))+B1678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1648*(MIN((Inputs!$B$9+((C1665=TRUE)*(F1665-Calc!F19))+B1678+(ArtifactsInput!$M$24-ArtifactsInput!$M$24)*CHOOSE(ArtifactsInput!$N$24+1,10,12,14,16,18,20)+(IF(AND(ArtifactsInput!$M$42,((Inputs!$B$9+((C1665=TRUE)*(F1665-Calc!F19))+B1678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648">
        <f>(1-Summary!$B$11)*T1648+Summary!$B$11*V1648</f>
        <v/>
      </c>
      <c r="P1648">
        <f>IF(B1688=0,0,O1648/B1688)</f>
        <v/>
      </c>
      <c r="Q1648" t="n">
        <v>0</v>
      </c>
      <c r="R1648" t="n">
        <v>0</v>
      </c>
      <c r="S1648">
        <f>IFERROR((Skills!G2*N1648*B1682)/N1648*IF(Inputs!$B$38="pvp",1,(1-Summary!$B$11)*1+Summary!$B$11*(MIN((6+Inputs!$B$33),Inputs!$B$37))),0)</f>
        <v/>
      </c>
      <c r="T1648">
        <f>IF(C1648,(Skills!G2*N1648*B1682)*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Hunt"),CHOOSE(ArtifactsInput!$N$35+1,15,18,21,24,27,30)*(1-EXP(-(0.2*B1680)*5)),0)+IF(AND(ArtifactsInput!$M$22,Inputs!$B$4&lt;&gt;"Chapter Hunt"),CHOOSE(ArtifactsInput!$N$22+1,10,12,14,16,18,20)*((0*(((0.15*B1680*5))^0/1)+1*(((0.15*B1680*5))^1/1)+2*(((0.15*B1680*5))^2/2)+3*(((0.15*B1680*5))^3/6)+4*(((0.15*B1680*5))^4/24)+5*(((0.15*B1680*5))^5/120))/((((0.15*B1680*5))^0/1)+(((0.15*B1680*5))^1/1)+(((0.15*B1680*5))^2/2)+(((0.15*B1680*5))^3/6)+(((0.15*B1680*5))^4/24)+(((0.15*B1680*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1648*(1-MIN(100,(Inputs!$B$9+((C1665=TRUE)*(F1665-Calc!F19))+B1678+(ArtifactsInput!$M$24-ArtifactsInput!$M$24)*CHOOSE(ArtifactsInput!$N$24+1,10,12,14,16,18,20)+(IF(AND(ArtifactsInput!$M$42,((Inputs!$B$9+((C1665=TRUE)*(F1665-Calc!F19))+B1678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1648*(MIN(100,(Inputs!$B$9+((C1665=TRUE)*(F1665-Calc!F19))+B1678+(ArtifactsInput!$M$24-ArtifactsInput!$M$24)*CHOOSE(ArtifactsInput!$N$24+1,10,12,14,16,18,20)+(IF(AND(ArtifactsInput!$M$42,((Inputs!$B$9+((C1665=TRUE)*(F1665-Calc!F19))+B1678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1648*(1-MIN(100,(Inputs!$B$9+((C1665=TRUE)*(F1665-Calc!F19))+B1678+(ArtifactsInput!$M$24-ArtifactsInput!$M$24)*CHOOSE(ArtifactsInput!$N$24+1,10,12,14,16,18,20)+(IF(AND(ArtifactsInput!$M$42,((Inputs!$B$9+((C1665=TRUE)*(F1665-Calc!F19))+B1678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1648*(MIN(100,(Inputs!$B$9+((C1665=TRUE)*(F1665-Calc!F19))+B1678+(ArtifactsInput!$M$24-ArtifactsInput!$M$24)*CHOOSE(ArtifactsInput!$N$24+1,10,12,14,16,18,20)+(IF(AND(ArtifactsInput!$M$42,((Inputs!$B$9+((C1665=TRUE)*(F1665-Calc!F19))+B1678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648">
        <f>MAX(0,(Inputs!$B$3-100)*3)+Inputs!$B$28+Inputs!$B$29</f>
        <v/>
      </c>
      <c r="V1648">
        <f>IF(C1648,(Skills!G2*N1648*B1682)*IF(Inputs!$B$38="pvp",1,(1+(Inputs!$B$21+Skills!Q2+(IF(ArtifactsInput!$M$33,CHOOSE(ArtifactsInput!$N$33+1,30,36,42,48,54,60),0))+(IF(AND(ArtifactsInput!$M$35,Inputs!$B$4&lt;&gt;"Chapter Hunt"),CHOOSE(ArtifactsInput!$N$35+1,15,18,21,24,27,30)*(1-EXP(-(0.2*B1680)*5)),0)+IF(AND(ArtifactsInput!$M$22,Inputs!$B$4&lt;&gt;"Chapter Hunt"),CHOOSE(ArtifactsInput!$N$22+1,10,12,14,16,18,20)*((0*(((0.15*B1680*5))^0/1)+1*(((0.15*B1680*5))^1/1)+2*(((0.15*B1680*5))^2/2)+3*(((0.15*B1680*5))^3/6)+4*(((0.15*B1680*5))^4/24)+5*(((0.15*B1680*5))^5/120))/((((0.15*B1680*5))^0/1)+(((0.15*B1680*5))^1/1)+(((0.15*B1680*5))^2/2)+(((0.15*B1680*5))^3/6)+(((0.15*B1680*5))^4/24)+(((0.15*B1680*5))^5/120)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649">
      <c r="A1649">
        <f>Skills!A3</f>
        <v/>
      </c>
      <c r="B1649">
        <f>Skills!B3</f>
        <v/>
      </c>
      <c r="C1649">
        <f>Inputs!$B$3&gt;=50</f>
        <v/>
      </c>
      <c r="D1649">
        <f>IF(Skills!C3=1,60+Inputs!$B$25+Inputs!$B$29,IF(Skills!C3=2,90+Inputs!$B$26+Inputs!$B$29,IF(Skills!C3=3,120+Inputs!$B$27+Inputs!$B$29,MAX(0,(Inputs!$B$3-100)*3)+Inputs!$B$28+Inputs!$B$29)))</f>
        <v/>
      </c>
      <c r="E1649">
        <f>INDEX(FactorTable!$B$2:$Y$301, MATCH(ROUND(MIN(300,MAX(1,D1649)),0), FactorTable!$A$2:$A$301,0), Skills!M3+1)</f>
        <v/>
      </c>
      <c r="F1649">
        <f>IF(Skills!N3=TRUE,(Skills!L3/10)*(E1649/1000),Skills!L3/10)+Skills!O3</f>
        <v/>
      </c>
      <c r="G1649" t="inlineStr"/>
      <c r="H1649" t="inlineStr"/>
      <c r="I1649" t="inlineStr">
        <is>
          <t>1</t>
        </is>
      </c>
      <c r="J1649" t="inlineStr"/>
      <c r="K1649" t="inlineStr"/>
      <c r="L1649" t="inlineStr"/>
      <c r="M1649" t="inlineStr"/>
      <c r="N1649" t="inlineStr"/>
      <c r="O1649" t="inlineStr"/>
      <c r="P1649" t="inlineStr"/>
      <c r="Q1649" t="inlineStr"/>
      <c r="R1649" t="inlineStr"/>
      <c r="S1649" t="inlineStr"/>
      <c r="T1649" t="inlineStr"/>
      <c r="U1649">
        <f>INDEX(FactorTable!$B$2:$Y$301, MATCH(ROUND(MIN(300,MAX(1,U1648)),0), FactorTable!$A$2:$A$301,0), 22)</f>
        <v/>
      </c>
      <c r="V1649" t="inlineStr"/>
    </row>
    <row r="1650">
      <c r="A1650">
        <f>Skills!A4</f>
        <v/>
      </c>
      <c r="B1650">
        <f>Skills!B4</f>
        <v/>
      </c>
      <c r="C1650">
        <f>Inputs!$B$3&gt;=105</f>
        <v/>
      </c>
      <c r="D1650">
        <f>IF(Skills!C4=1,60+Inputs!$B$25+Inputs!$B$29,IF(Skills!C4=2,90+Inputs!$B$26+Inputs!$B$29,IF(Skills!C4=3,120+Inputs!$B$27+Inputs!$B$29,MAX(0,(Inputs!$B$3-100)*3)+Inputs!$B$28+Inputs!$B$29)))</f>
        <v/>
      </c>
      <c r="E1650">
        <f>INDEX(FactorTable!$B$2:$Y$301, MATCH(ROUND(MIN(300,MAX(1,D1650)),0), FactorTable!$A$2:$A$301,0), Skills!M4+1)</f>
        <v/>
      </c>
      <c r="F1650">
        <f>IF(Skills!N4=TRUE,(Skills!L4/10)*(E1650/1000),Skills!L4/10)+Skills!O4</f>
        <v/>
      </c>
      <c r="G1650" t="inlineStr"/>
      <c r="H1650" t="inlineStr"/>
      <c r="I1650" t="inlineStr">
        <is>
          <t>1</t>
        </is>
      </c>
      <c r="J1650" t="inlineStr"/>
      <c r="K1650" t="inlineStr"/>
      <c r="L1650" t="inlineStr"/>
      <c r="M1650" t="inlineStr"/>
      <c r="N1650" t="inlineStr"/>
      <c r="O1650" t="inlineStr"/>
      <c r="P1650" t="inlineStr"/>
      <c r="Q1650" t="inlineStr"/>
      <c r="R1650" t="inlineStr"/>
      <c r="S1650" t="inlineStr"/>
      <c r="T1650" t="inlineStr"/>
      <c r="U1650">
        <f>290*U1649/1000</f>
        <v/>
      </c>
      <c r="V1650" t="inlineStr"/>
    </row>
    <row r="1651">
      <c r="A1651">
        <f>Skills!A5</f>
        <v/>
      </c>
      <c r="B1651">
        <f>Skills!B5</f>
        <v/>
      </c>
      <c r="C1651">
        <f>Inputs!$B$3&gt;=35</f>
        <v/>
      </c>
      <c r="D1651">
        <f>IF(Skills!C5=1,60+Inputs!$B$25+Inputs!$B$29,IF(Skills!C5=2,90+Inputs!$B$26+Inputs!$B$29,IF(Skills!C5=3,120+Inputs!$B$27+Inputs!$B$29,MAX(0,(Inputs!$B$3-100)*3)+Inputs!$B$28+Inputs!$B$29)))</f>
        <v/>
      </c>
      <c r="E1651">
        <f>INDEX(FactorTable!$B$2:$Y$301, MATCH(ROUND(MIN(300,MAX(1,D1651)),0), FactorTable!$A$2:$A$301,0), Skills!M5+1)</f>
        <v/>
      </c>
      <c r="F1651">
        <f>IF(Skills!N5=TRUE,(Skills!L5/10)*(E1651/1000),Skills!L5/10)+Skills!O5</f>
        <v/>
      </c>
      <c r="G1651">
        <f>Skills!G5*IF(Skills!H5&gt;0,Skills!I5/Skills!H5,1)</f>
        <v/>
      </c>
      <c r="H1651">
        <f>1-(1-Skills!J5/100)^Skills!K5</f>
        <v/>
      </c>
      <c r="I1651" t="inlineStr">
        <is>
          <t>1</t>
        </is>
      </c>
      <c r="J1651">
        <f>((Inputs!$B$6*(1+Inputs!$B$7/100))+(((Inputs!$B$12*(1+Inputs!$B$13/100))-(Inputs!$B$12*(1+Inputs!$B$13/100)))+0.25*(Inputs!$B$14-Inputs!$B$14))*(1+Inputs!$B$7/100))*(F1651/100)</f>
        <v/>
      </c>
      <c r="K1651">
        <f>J1651*(1+((Inputs!$B$12*(1+Inputs!$B$13/100))*0.01+Inputs!$B$14*0.0025)/100)*(1+Inputs!$B$15/100)*(1+Inputs!$B$16/100)*(5000/(6000+Inputs!$B$42*(1-(100*(1-(1-(Inputs!$B$19+0)/100)*(1-CHOOSE(ArtifactsInput!$N$40+1,5,6,7,8,9,10)/100)^(ArtifactsInput!$M$40-ArtifactsInput!$M$40)))/100)))*(1+(Inputs!$B$24+((C1670=TRUE)*(F1670-Calc!F24))+((C1671=TRUE)*(F1671-Calc!F25))+B1684)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1654=TRUE,F1654,0)/100)*(1+(IF(Skills!A5="EMPOWERED_PIERCING_ARROW",Inputs!$B$17+((C1668=TRUE)*(F1668-Calc!F22))+(((IF(AND(ArtifactsInput!$M$42,((Inputs!$B$9+((C1665=TRUE)*(F1665-Calc!F19))+B1678+(ArtifactsInput!$M$24-ArtifactsInput!$M$24)*CHOOSE(ArtifactsInput!$N$24+1,10,12,14,16,18,20)+IF(ArtifactsInput!$M$10,CHOOSE(ArtifactsInput!$N$10+1,15,18,21,24,27,30)*(IF(Inputs!$B$38="pvp",MIN(15,15)/15,IF(AND(Inputs!$B$38&lt;&gt;"pvp",Inputs!$B$43&gt;0),MIN(15,Inputs!$B$43)/(Inputs!$B$43),0))),0)))&gt;=100),MIN(100,((Inputs!$B$9+((C1665=TRUE)*(F1665-Calc!F19))+B1678+(ArtifactsInput!$M$24-ArtifactsInput!$M$24)*CHOOSE(ArtifactsInput!$N$24+1,10,12,14,16,18,20)+IF(ArtifactsInput!$M$10,CHOOSE(ArtifactsInput!$N$10+1,15,18,21,24,27,30)*(IF(Inputs!$B$38="pvp",MIN(15,15)/15,IF(AND(Inputs!$B$38&lt;&gt;"pvp",Inputs!$B$43&gt;0),MIN(15,Inputs!$B$43)/(Inputs!$B$43),0))),0)))-100),0))*CHOOSE(ArtifactsInput!$N$42+1,0.6,0.72,0.84,0.96,1.08,1.2))),Inputs!$B$18+((C1673=TRUE)*(F1673-Calc!F27))+(IF(AND(ArtifactsInput!$M$42,((Inputs!$B$9+((C1665=TRUE)*(F1665-Calc!F19))+B1678+(ArtifactsInput!$M$24-ArtifactsInput!$M$24)*CHOOSE(ArtifactsInput!$N$24+1,10,12,14,16,18,20)+IF(ArtifactsInput!$M$10,CHOOSE(ArtifactsInput!$N$10+1,15,18,21,24,27,30)*(IF(Inputs!$B$38="pvp",MIN(15,15)/15,IF(AND(Inputs!$B$38&lt;&gt;"pvp",Inputs!$B$43&gt;0),MIN(15,Inputs!$B$43)/(Inputs!$B$43),0))),0)))&gt;=100),CHOOSE(ArtifactsInput!$N$42+1,40,48,56,64,72,80),0))))/100)*((1+(((C1659=TRUE)*F1659)+((C1660=TRUE)*IF(Inputs!$B$38="pvp",F1660,(1-Summary!$B$11)*(F1660)+Summary!$B$11*(0)))+((C1661=TRUE)*F1661*IF(AND(Inputs!$B$38&lt;&gt;"pvp",Inputs!$B$43&gt;0),(((R1661-1)*(Skills!T15*(1+Inputs!$B$34/100))+MIN((Skills!T15*(1+Inputs!$B$34/100)),MAX(0,Inputs!$B$43-((R1661-1)*Skills!D15))))/Inputs!$B$43),IF(Inputs!$B$38="pvp",MIN((Skills!T15*(1+Inputs!$B$34/100)),15)/15,(Skills!T15*(1+Inputs!$B$34/100))/Skills!D15)))+((C1658=TRUE)*F1658)+((C1675=TRUE)*(F1675-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1651)</f>
        <v/>
      </c>
      <c r="L1651">
        <f>K1651*(MIN(Inputs!$B$22+((C1669=TRUE)*(F1669-Calc!F23)),(Inputs!$B$23+((C1674=TRUE)*(F1674-Calc!F28))+((IF(IF(ArtifactsInput!$M$15,FALSE,TRUE),1,-1)*CHOOSE(ArtifactsInput!$N$15+1,25,30,35,40,45,50)/100*IF(IF(ArtifactsInput!$M$15,FALSE,TRUE),(Inputs!$B$11+((C1666=TRUE)*(F1666-Calc!F20))+((C1667=TRUE)*(F1667-Calc!F21))+(IF(ArtifactsInput!$M$15,FALSE,TRUE)-ArtifactsInput!$M$15)*CHOOSE(ArtifactsInput!$N$15+1,8,9.6,11.2,12.8,14.4,16)),Inputs!$B$11)))))/100+(Inputs!$B$23+((C1674=TRUE)*(F1674-Calc!F28))+((IF(IF(ArtifactsInput!$M$15,FALSE,TRUE),1,-1)*CHOOSE(ArtifactsInput!$N$15+1,25,30,35,40,45,50)/100*IF(IF(ArtifactsInput!$M$15,FALSE,TRUE),(Inputs!$B$11+((C1666=TRUE)*(F1666-Calc!F20))+((C1667=TRUE)*(F1667-Calc!F21))+(IF(ArtifactsInput!$M$15,FALSE,TRUE)-ArtifactsInput!$M$15)*CHOOSE(ArtifactsInput!$N$15+1,8,9.6,11.2,12.8,14.4,16)),Inputs!$B$11))))/100)/2</f>
        <v/>
      </c>
      <c r="M1651">
        <f>L1651*(1+(Inputs!$B$10+0+B1683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651">
        <f>L1651*(1-MIN((Inputs!$B$9+((C1665=TRUE)*(F1665-Calc!F19))+B1678+(ArtifactsInput!$M$24-ArtifactsInput!$M$24)*CHOOSE(ArtifactsInput!$N$24+1,10,12,14,16,18,20)+(IF(AND(ArtifactsInput!$M$42,((Inputs!$B$9+((C1665=TRUE)*(F1665-Calc!F19))+B1678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1651*(MIN((Inputs!$B$9+((C1665=TRUE)*(F1665-Calc!F19))+B1678+(ArtifactsInput!$M$24-ArtifactsInput!$M$24)*CHOOSE(ArtifactsInput!$N$24+1,10,12,14,16,18,20)+(IF(AND(ArtifactsInput!$M$42,((Inputs!$B$9+((C1665=TRUE)*(F1665-Calc!F19))+B1678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651">
        <f>(1-Summary!$B$11)*T1651+Summary!$B$11*V1651</f>
        <v/>
      </c>
      <c r="P1651">
        <f>IF(B1688=0,0,O1651/B1688)</f>
        <v/>
      </c>
      <c r="Q1651">
        <f>IFERROR(1/IF(Inputs!$B$38="pvp",15,MAX(0.1,Skills!D5-IF(Skills!E5=TRUE,Inputs!$B$32,0))),0)</f>
        <v/>
      </c>
      <c r="R1651">
        <f>IF(AND(Inputs!$B$38&lt;&gt;"pvp",Inputs!$B$43&gt;0),IF(MAX(0,Inputs!$B$43-B1685)&lt;=0,0,(INT(MAX(0,Inputs!$B$43-B1685)/IF(Inputs!$B$38="pvp",15,MAX(0.1,Skills!D5-IF(Skills!E5=TRUE,Inputs!$B$32,0))))+1)),0)</f>
        <v/>
      </c>
      <c r="S1651">
        <f>IFERROR((H1651*N1651*IF(AND(Inputs!$B$38&lt;&gt;"pvp",Inputs!$B$43&gt;0),((Skills!G5*((R1651-1)*IF(Skills!H5&gt;0,Skills!I5/Skills!H5,1)+IF(Skills!H5&gt;0,MIN(Skills!I5,MAX(0,MAX(0,Inputs!$B$43-B1685)-((R1651-1)*IF(Inputs!$B$38="pvp",15,MAX(0.1,Skills!D5-IF(Skills!E5=TRUE,Inputs!$B$32,0))))))/Skills!H5,1)))/Inputs!$B$43),G1651*Q1651))/N1651*IF(Inputs!$B$38="pvp",1,(1-Summary!$B$11)*1+Summary!$B$11*(MIN(Skills!R5,Inputs!$B$37))),0)</f>
        <v/>
      </c>
      <c r="T1651">
        <f>IF(C1651,(H1651*N1651*IF(AND(Inputs!$B$38&lt;&gt;"pvp",Inputs!$B$43&gt;0),((Skills!G5*((R1651-1)*IF(Skills!H5&gt;0,Skills!I5/Skills!H5,1)+IF(Skills!H5&gt;0,MIN(Skills!I5,MAX(0,MAX(0,Inputs!$B$43-B1685)-((R1651-1)*IF(Inputs!$B$38="pvp",15,MAX(0.1,Skills!D5-IF(Skills!E5=TRUE,Inputs!$B$32,0))))))/Skills!H5,1)))/Inputs!$B$43),G1651*Q1651))*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Hunt"),CHOOSE(ArtifactsInput!$N$35+1,15,18,21,24,27,30)*(1-EXP(-(0.2*B1680)*5)),0)+IF(AND(ArtifactsInput!$M$22,Inputs!$B$4&lt;&gt;"Chapter Hunt"),CHOOSE(ArtifactsInput!$N$22+1,10,12,14,16,18,20)*((0*(((0.15*B1680*5))^0/1)+1*(((0.15*B1680*5))^1/1)+2*(((0.15*B1680*5))^2/2)+3*(((0.15*B1680*5))^3/6)+4*(((0.15*B1680*5))^4/24)+5*(((0.15*B1680*5))^5/120))/((((0.15*B1680*5))^0/1)+(((0.15*B1680*5))^1/1)+(((0.15*B1680*5))^2/2)+(((0.15*B1680*5))^3/6)+(((0.15*B1680*5))^4/24)+(((0.15*B1680*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1651*(1-MIN(100,(Inputs!$B$9+((C1665=TRUE)*(F1665-Calc!F19))+B1678+(ArtifactsInput!$M$24-ArtifactsInput!$M$24)*CHOOSE(ArtifactsInput!$N$24+1,10,12,14,16,18,20)+(IF(AND(ArtifactsInput!$M$42,((Inputs!$B$9+((C1665=TRUE)*(F1665-Calc!F19))+B1678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1651*(MIN(100,(Inputs!$B$9+((C1665=TRUE)*(F1665-Calc!F19))+B1678+(ArtifactsInput!$M$24-ArtifactsInput!$M$24)*CHOOSE(ArtifactsInput!$N$24+1,10,12,14,16,18,20)+(IF(AND(ArtifactsInput!$M$42,((Inputs!$B$9+((C1665=TRUE)*(F1665-Calc!F19))+B1678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1651*(1-MIN(100,(Inputs!$B$9+((C1665=TRUE)*(F1665-Calc!F19))+B1678+(ArtifactsInput!$M$24-ArtifactsInput!$M$24)*CHOOSE(ArtifactsInput!$N$24+1,10,12,14,16,18,20)+(IF(AND(ArtifactsInput!$M$42,((Inputs!$B$9+((C1665=TRUE)*(F1665-Calc!F19))+B1678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1651*(MIN(100,(Inputs!$B$9+((C1665=TRUE)*(F1665-Calc!F19))+B1678+(ArtifactsInput!$M$24-ArtifactsInput!$M$24)*CHOOSE(ArtifactsInput!$N$24+1,10,12,14,16,18,20)+(IF(AND(ArtifactsInput!$M$42,((Inputs!$B$9+((C1665=TRUE)*(F1665-Calc!F19))+B1678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651">
        <f>IF(C1651,(H1651*N1651*IF(AND(Inputs!$B$38&lt;&gt;"pvp",Inputs!$B$43&gt;0),((Skills!G5*((R1651-1)*IF(Skills!H5&gt;0,Skills!I5/Skills!H5,1)+IF(Skills!H5&gt;0,MIN(Skills!I5,MAX(0,MAX(0,Inputs!$B$43-B1685)-((R1651-1)*IF(Inputs!$B$38="pvp",15,MAX(0.1,Skills!D5-IF(Skills!E5=TRUE,Inputs!$B$32,0))))))/Skills!H5,1)))/Inputs!$B$43),G1651*Q1651))*IF(Inputs!$B$38="pvp",1,(1+(Inputs!$B$21+Skills!Q5+(IF(ArtifactsInput!$M$33,CHOOSE(ArtifactsInput!$N$33+1,30,36,42,48,54,60),0))+(IF(AND(ArtifactsInput!$M$35,Inputs!$B$4&lt;&gt;"Chapter Hunt"),CHOOSE(ArtifactsInput!$N$35+1,15,18,21,24,27,30)*(1-EXP(-(0.2*B1680)*5)),0)+IF(AND(ArtifactsInput!$M$22,Inputs!$B$4&lt;&gt;"Chapter Hunt"),CHOOSE(ArtifactsInput!$N$22+1,10,12,14,16,18,20)*((0*(((0.15*B1680*5))^0/1)+1*(((0.15*B1680*5))^1/1)+2*(((0.15*B1680*5))^2/2)+3*(((0.15*B1680*5))^3/6)+4*(((0.15*B1680*5))^4/24)+5*(((0.15*B1680*5))^5/120))/((((0.15*B1680*5))^0/1)+(((0.15*B1680*5))^1/1)+(((0.15*B1680*5))^2/2)+(((0.15*B1680*5))^3/6)+(((0.15*B1680*5))^4/24)+(((0.15*B1680*5))^5/120)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652">
      <c r="A1652">
        <f>Skills!A6</f>
        <v/>
      </c>
      <c r="B1652">
        <f>Skills!B6</f>
        <v/>
      </c>
      <c r="C1652">
        <f>Inputs!$B$3&gt;=63</f>
        <v/>
      </c>
      <c r="D1652">
        <f>IF(Skills!C6=1,60+Inputs!$B$25+Inputs!$B$29,IF(Skills!C6=2,90+Inputs!$B$26+Inputs!$B$29,IF(Skills!C6=3,120+Inputs!$B$27+Inputs!$B$29,MAX(0,(Inputs!$B$3-100)*3)+Inputs!$B$28+Inputs!$B$29)))</f>
        <v/>
      </c>
      <c r="E1652">
        <f>INDEX(FactorTable!$B$2:$Y$301, MATCH(ROUND(MIN(300,MAX(1,D1652)),0), FactorTable!$A$2:$A$301,0), Skills!M6+1)</f>
        <v/>
      </c>
      <c r="F1652">
        <f>IF(Skills!N6=TRUE,(Skills!L6/10)*(E1652/1000),Skills!L6/10)+Skills!O6</f>
        <v/>
      </c>
      <c r="G1652">
        <f>Skills!G6*IF(Skills!H6&gt;0,Skills!I6/Skills!H6,1)</f>
        <v/>
      </c>
      <c r="H1652">
        <f>1-(1-Skills!J6/100)^Skills!K6</f>
        <v/>
      </c>
      <c r="I1652" t="inlineStr">
        <is>
          <t>1</t>
        </is>
      </c>
      <c r="J1652">
        <f>((Inputs!$B$6*(1+Inputs!$B$7/100))+(((Inputs!$B$12*(1+Inputs!$B$13/100))-(Inputs!$B$12*(1+Inputs!$B$13/100)))+0.25*(Inputs!$B$14-Inputs!$B$14))*(1+Inputs!$B$7/100))*(F1652/100)</f>
        <v/>
      </c>
      <c r="K1652">
        <f>J1652*(1+((Inputs!$B$12*(1+Inputs!$B$13/100))*0.01+Inputs!$B$14*0.0025)/100)*(1+Inputs!$B$15/100)*(1+Inputs!$B$16/100)*(5000/(6000+Inputs!$B$42*(1-(100*(1-(1-(Inputs!$B$19+0)/100)*(1-CHOOSE(ArtifactsInput!$N$40+1,5,6,7,8,9,10)/100)^(ArtifactsInput!$M$40-ArtifactsInput!$M$40)))/100)))*(1+(Inputs!$B$24+((C1670=TRUE)*(F1670-Calc!F24))+((C1671=TRUE)*(F1671-Calc!F25))+B1684)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1654=TRUE,F1654,0)/100)*(1+(IF(Skills!A6="EMPOWERED_PIERCING_ARROW",Inputs!$B$17+((C1668=TRUE)*(F1668-Calc!F22))+(((IF(AND(ArtifactsInput!$M$42,((Inputs!$B$9+((C1665=TRUE)*(F1665-Calc!F19))+B1678+(ArtifactsInput!$M$24-ArtifactsInput!$M$24)*CHOOSE(ArtifactsInput!$N$24+1,10,12,14,16,18,20)+IF(ArtifactsInput!$M$10,CHOOSE(ArtifactsInput!$N$10+1,15,18,21,24,27,30)*(IF(Inputs!$B$38="pvp",MIN(15,15)/15,IF(AND(Inputs!$B$38&lt;&gt;"pvp",Inputs!$B$43&gt;0),MIN(15,Inputs!$B$43)/(Inputs!$B$43),0))),0)))&gt;=100),MIN(100,((Inputs!$B$9+((C1665=TRUE)*(F1665-Calc!F19))+B1678+(ArtifactsInput!$M$24-ArtifactsInput!$M$24)*CHOOSE(ArtifactsInput!$N$24+1,10,12,14,16,18,20)+IF(ArtifactsInput!$M$10,CHOOSE(ArtifactsInput!$N$10+1,15,18,21,24,27,30)*(IF(Inputs!$B$38="pvp",MIN(15,15)/15,IF(AND(Inputs!$B$38&lt;&gt;"pvp",Inputs!$B$43&gt;0),MIN(15,Inputs!$B$43)/(Inputs!$B$43),0))),0)))-100),0))*CHOOSE(ArtifactsInput!$N$42+1,0.6,0.72,0.84,0.96,1.08,1.2))),Inputs!$B$18+((C1673=TRUE)*(F1673-Calc!F27))+(IF(AND(ArtifactsInput!$M$42,((Inputs!$B$9+((C1665=TRUE)*(F1665-Calc!F19))+B1678+(ArtifactsInput!$M$24-ArtifactsInput!$M$24)*CHOOSE(ArtifactsInput!$N$24+1,10,12,14,16,18,20)+IF(ArtifactsInput!$M$10,CHOOSE(ArtifactsInput!$N$10+1,15,18,21,24,27,30)*(IF(Inputs!$B$38="pvp",MIN(15,15)/15,IF(AND(Inputs!$B$38&lt;&gt;"pvp",Inputs!$B$43&gt;0),MIN(15,Inputs!$B$43)/(Inputs!$B$43),0))),0)))&gt;=100),CHOOSE(ArtifactsInput!$N$42+1,40,48,56,64,72,80),0))))/100)*((1+(((C1659=TRUE)*F1659)+((C1660=TRUE)*IF(Inputs!$B$38="pvp",F1660,(1-Summary!$B$11)*(F1660)+Summary!$B$11*(0)))+((C1661=TRUE)*F1661*IF(AND(Inputs!$B$38&lt;&gt;"pvp",Inputs!$B$43&gt;0),(((R1661-1)*(Skills!T15*(1+Inputs!$B$34/100))+MIN((Skills!T15*(1+Inputs!$B$34/100)),MAX(0,Inputs!$B$43-((R1661-1)*Skills!D15))))/Inputs!$B$43),IF(Inputs!$B$38="pvp",MIN((Skills!T15*(1+Inputs!$B$34/100)),15)/15,(Skills!T15*(1+Inputs!$B$34/100))/Skills!D15)))+((C1658=TRUE)*F1658)+((C1675=TRUE)*(F1675-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1652)</f>
        <v/>
      </c>
      <c r="L1652">
        <f>K1652*(MIN(Inputs!$B$22+((C1669=TRUE)*(F1669-Calc!F23)),(Inputs!$B$23+((C1674=TRUE)*(F1674-Calc!F28))+((IF(IF(ArtifactsInput!$M$15,FALSE,TRUE),1,-1)*CHOOSE(ArtifactsInput!$N$15+1,25,30,35,40,45,50)/100*IF(IF(ArtifactsInput!$M$15,FALSE,TRUE),(Inputs!$B$11+((C1666=TRUE)*(F1666-Calc!F20))+((C1667=TRUE)*(F1667-Calc!F21))+(IF(ArtifactsInput!$M$15,FALSE,TRUE)-ArtifactsInput!$M$15)*CHOOSE(ArtifactsInput!$N$15+1,8,9.6,11.2,12.8,14.4,16)),Inputs!$B$11)))))/100+(Inputs!$B$23+((C1674=TRUE)*(F1674-Calc!F28))+((IF(IF(ArtifactsInput!$M$15,FALSE,TRUE),1,-1)*CHOOSE(ArtifactsInput!$N$15+1,25,30,35,40,45,50)/100*IF(IF(ArtifactsInput!$M$15,FALSE,TRUE),(Inputs!$B$11+((C1666=TRUE)*(F1666-Calc!F20))+((C1667=TRUE)*(F1667-Calc!F21))+(IF(ArtifactsInput!$M$15,FALSE,TRUE)-ArtifactsInput!$M$15)*CHOOSE(ArtifactsInput!$N$15+1,8,9.6,11.2,12.8,14.4,16)),Inputs!$B$11))))/100)/2</f>
        <v/>
      </c>
      <c r="M1652">
        <f>L1652*(1+(Inputs!$B$10+0+B1683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652">
        <f>L1652*(1-MIN((Inputs!$B$9+((C1665=TRUE)*(F1665-Calc!F19))+B1678+(ArtifactsInput!$M$24-ArtifactsInput!$M$24)*CHOOSE(ArtifactsInput!$N$24+1,10,12,14,16,18,20)+(IF(AND(ArtifactsInput!$M$42,((Inputs!$B$9+((C1665=TRUE)*(F1665-Calc!F19))+B1678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1652*(MIN((Inputs!$B$9+((C1665=TRUE)*(F1665-Calc!F19))+B1678+(ArtifactsInput!$M$24-ArtifactsInput!$M$24)*CHOOSE(ArtifactsInput!$N$24+1,10,12,14,16,18,20)+(IF(AND(ArtifactsInput!$M$42,((Inputs!$B$9+((C1665=TRUE)*(F1665-Calc!F19))+B1678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652">
        <f>(1-Summary!$B$11)*T1652+Summary!$B$11*V1652</f>
        <v/>
      </c>
      <c r="P1652">
        <f>IF(B1688=0,0,O1652/B1688)</f>
        <v/>
      </c>
      <c r="Q1652">
        <f>IFERROR(1/IF(Inputs!$B$38="pvp",15,MAX(0.1,Skills!D6-IF(Skills!E6=TRUE,Inputs!$B$32,0))),0)</f>
        <v/>
      </c>
      <c r="R1652">
        <f>IF(AND(Inputs!$B$38&lt;&gt;"pvp",Inputs!$B$43&gt;0),IF(MAX(0,Inputs!$B$43-B1685)&lt;=0,0,(INT(MAX(0,Inputs!$B$43-B1685)/IF(Inputs!$B$38="pvp",15,MAX(0.1,Skills!D6-IF(Skills!E6=TRUE,Inputs!$B$32,0))))+1)),0)</f>
        <v/>
      </c>
      <c r="S1652">
        <f>IFERROR((H1652*N1652*IF(AND(Inputs!$B$38&lt;&gt;"pvp",Inputs!$B$43&gt;0),((Skills!G6*((R1652-1)*IF(Skills!H6&gt;0,Skills!I6/Skills!H6,1)+IF(Skills!H6&gt;0,MIN(Skills!I6,MAX(0,MAX(0,Inputs!$B$43-B1685)-((R1652-1)*IF(Inputs!$B$38="pvp",15,MAX(0.1,Skills!D6-IF(Skills!E6=TRUE,Inputs!$B$32,0))))))/Skills!H6,1)))/Inputs!$B$43),G1652*Q1652))/N1652*IF(Inputs!$B$38="pvp",1,(1-Summary!$B$11)*1+Summary!$B$11*(MIN(Skills!R6,Inputs!$B$37))),0)</f>
        <v/>
      </c>
      <c r="T1652">
        <f>IF(C1652,(H1652*N1652*IF(AND(Inputs!$B$38&lt;&gt;"pvp",Inputs!$B$43&gt;0),((Skills!G6*((R1652-1)*IF(Skills!H6&gt;0,Skills!I6/Skills!H6,1)+IF(Skills!H6&gt;0,MIN(Skills!I6,MAX(0,MAX(0,Inputs!$B$43-B1685)-((R1652-1)*IF(Inputs!$B$38="pvp",15,MAX(0.1,Skills!D6-IF(Skills!E6=TRUE,Inputs!$B$32,0))))))/Skills!H6,1)))/Inputs!$B$43),G1652*Q1652))*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Hunt"),CHOOSE(ArtifactsInput!$N$35+1,15,18,21,24,27,30)*(1-EXP(-(0.2*B1680)*5)),0)+IF(AND(ArtifactsInput!$M$22,Inputs!$B$4&lt;&gt;"Chapter Hunt"),CHOOSE(ArtifactsInput!$N$22+1,10,12,14,16,18,20)*((0*(((0.15*B1680*5))^0/1)+1*(((0.15*B1680*5))^1/1)+2*(((0.15*B1680*5))^2/2)+3*(((0.15*B1680*5))^3/6)+4*(((0.15*B1680*5))^4/24)+5*(((0.15*B1680*5))^5/120))/((((0.15*B1680*5))^0/1)+(((0.15*B1680*5))^1/1)+(((0.15*B1680*5))^2/2)+(((0.15*B1680*5))^3/6)+(((0.15*B1680*5))^4/24)+(((0.15*B1680*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1652*(1-MIN(100,(Inputs!$B$9+((C1665=TRUE)*(F1665-Calc!F19))+B1678+(ArtifactsInput!$M$24-ArtifactsInput!$M$24)*CHOOSE(ArtifactsInput!$N$24+1,10,12,14,16,18,20)+(IF(AND(ArtifactsInput!$M$42,((Inputs!$B$9+((C1665=TRUE)*(F1665-Calc!F19))+B1678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1652*(MIN(100,(Inputs!$B$9+((C1665=TRUE)*(F1665-Calc!F19))+B1678+(ArtifactsInput!$M$24-ArtifactsInput!$M$24)*CHOOSE(ArtifactsInput!$N$24+1,10,12,14,16,18,20)+(IF(AND(ArtifactsInput!$M$42,((Inputs!$B$9+((C1665=TRUE)*(F1665-Calc!F19))+B1678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1652*(1-MIN(100,(Inputs!$B$9+((C1665=TRUE)*(F1665-Calc!F19))+B1678+(ArtifactsInput!$M$24-ArtifactsInput!$M$24)*CHOOSE(ArtifactsInput!$N$24+1,10,12,14,16,18,20)+(IF(AND(ArtifactsInput!$M$42,((Inputs!$B$9+((C1665=TRUE)*(F1665-Calc!F19))+B1678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1652*(MIN(100,(Inputs!$B$9+((C1665=TRUE)*(F1665-Calc!F19))+B1678+(ArtifactsInput!$M$24-ArtifactsInput!$M$24)*CHOOSE(ArtifactsInput!$N$24+1,10,12,14,16,18,20)+(IF(AND(ArtifactsInput!$M$42,((Inputs!$B$9+((C1665=TRUE)*(F1665-Calc!F19))+B1678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652">
        <f>IF(C1652,(H1652*N1652*IF(AND(Inputs!$B$38&lt;&gt;"pvp",Inputs!$B$43&gt;0),((Skills!G6*((R1652-1)*IF(Skills!H6&gt;0,Skills!I6/Skills!H6,1)+IF(Skills!H6&gt;0,MIN(Skills!I6,MAX(0,MAX(0,Inputs!$B$43-B1685)-((R1652-1)*IF(Inputs!$B$38="pvp",15,MAX(0.1,Skills!D6-IF(Skills!E6=TRUE,Inputs!$B$32,0))))))/Skills!H6,1)))/Inputs!$B$43),G1652*Q1652))*IF(Inputs!$B$38="pvp",1,(1+(Inputs!$B$21+Skills!Q6+(IF(ArtifactsInput!$M$33,CHOOSE(ArtifactsInput!$N$33+1,30,36,42,48,54,60),0))+(IF(AND(ArtifactsInput!$M$35,Inputs!$B$4&lt;&gt;"Chapter Hunt"),CHOOSE(ArtifactsInput!$N$35+1,15,18,21,24,27,30)*(1-EXP(-(0.2*B1680)*5)),0)+IF(AND(ArtifactsInput!$M$22,Inputs!$B$4&lt;&gt;"Chapter Hunt"),CHOOSE(ArtifactsInput!$N$22+1,10,12,14,16,18,20)*((0*(((0.15*B1680*5))^0/1)+1*(((0.15*B1680*5))^1/1)+2*(((0.15*B1680*5))^2/2)+3*(((0.15*B1680*5))^3/6)+4*(((0.15*B1680*5))^4/24)+5*(((0.15*B1680*5))^5/120))/((((0.15*B1680*5))^0/1)+(((0.15*B1680*5))^1/1)+(((0.15*B1680*5))^2/2)+(((0.15*B1680*5))^3/6)+(((0.15*B1680*5))^4/24)+(((0.15*B1680*5))^5/120))),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653">
      <c r="A1653">
        <f>Skills!A7</f>
        <v/>
      </c>
      <c r="B1653">
        <f>Skills!B7</f>
        <v/>
      </c>
      <c r="C1653">
        <f>Inputs!$B$3&gt;=69</f>
        <v/>
      </c>
      <c r="D1653">
        <f>IF(Skills!C7=1,60+Inputs!$B$25+Inputs!$B$29,IF(Skills!C7=2,90+Inputs!$B$26+Inputs!$B$29,IF(Skills!C7=3,120+Inputs!$B$27+Inputs!$B$29,MAX(0,(Inputs!$B$3-100)*3)+Inputs!$B$28+Inputs!$B$29)))</f>
        <v/>
      </c>
      <c r="E1653">
        <f>INDEX(FactorTable!$B$2:$Y$301, MATCH(ROUND(MIN(300,MAX(1,D1653)),0), FactorTable!$A$2:$A$301,0), Skills!M7+1)</f>
        <v/>
      </c>
      <c r="F1653">
        <f>IF(Skills!N7=TRUE,(Skills!L7/10)*(E1653/1000),Skills!L7/10)+Skills!O7</f>
        <v/>
      </c>
      <c r="G1653">
        <f>Skills!G7*IF(Skills!H7&gt;0,Skills!I7/Skills!H7,1)</f>
        <v/>
      </c>
      <c r="H1653">
        <f>1-(1-Skills!J7/100)^Skills!K7</f>
        <v/>
      </c>
      <c r="I1653" t="inlineStr">
        <is>
          <t>1</t>
        </is>
      </c>
      <c r="J1653">
        <f>((Inputs!$B$6*(1+Inputs!$B$7/100))+(((Inputs!$B$12*(1+Inputs!$B$13/100))-(Inputs!$B$12*(1+Inputs!$B$13/100)))+0.25*(Inputs!$B$14-Inputs!$B$14))*(1+Inputs!$B$7/100))*(F1653/100)</f>
        <v/>
      </c>
      <c r="K1653">
        <f>J1653*(1+((Inputs!$B$12*(1+Inputs!$B$13/100))*0.01+Inputs!$B$14*0.0025)/100)*(1+Inputs!$B$15/100)*(1+Inputs!$B$16/100)*(5000/(6000+Inputs!$B$42*(1-(100*(1-(1-(Inputs!$B$19+0)/100)*(1-CHOOSE(ArtifactsInput!$N$40+1,5,6,7,8,9,10)/100)^(ArtifactsInput!$M$40-ArtifactsInput!$M$40)))/100)))*(1+(Inputs!$B$24+((C1670=TRUE)*(F1670-Calc!F24))+((C1671=TRUE)*(F1671-Calc!F25))+B1684)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+1.2*IF(C1654=TRUE,F1654,0)/100)*(1+(IF(Skills!A7="EMPOWERED_PIERCING_ARROW",Inputs!$B$17+((C1668=TRUE)*(F1668-Calc!F22))+(((IF(AND(ArtifactsInput!$M$42,((Inputs!$B$9+((C1665=TRUE)*(F1665-Calc!F19))+B1678+(ArtifactsInput!$M$24-ArtifactsInput!$M$24)*CHOOSE(ArtifactsInput!$N$24+1,10,12,14,16,18,20)+IF(ArtifactsInput!$M$10,CHOOSE(ArtifactsInput!$N$10+1,15,18,21,24,27,30)*(IF(Inputs!$B$38="pvp",MIN(15,15)/15,IF(AND(Inputs!$B$38&lt;&gt;"pvp",Inputs!$B$43&gt;0),MIN(15,Inputs!$B$43)/(Inputs!$B$43),0))),0)))&gt;=100),MIN(100,((Inputs!$B$9+((C1665=TRUE)*(F1665-Calc!F19))+B1678+(ArtifactsInput!$M$24-ArtifactsInput!$M$24)*CHOOSE(ArtifactsInput!$N$24+1,10,12,14,16,18,20)+IF(ArtifactsInput!$M$10,CHOOSE(ArtifactsInput!$N$10+1,15,18,21,24,27,30)*(IF(Inputs!$B$38="pvp",MIN(15,15)/15,IF(AND(Inputs!$B$38&lt;&gt;"pvp",Inputs!$B$43&gt;0),MIN(15,Inputs!$B$43)/(Inputs!$B$43),0))),0)))-100),0))*CHOOSE(ArtifactsInput!$N$42+1,0.6,0.72,0.84,0.96,1.08,1.2))),Inputs!$B$18+((C1673=TRUE)*(F1673-Calc!F27))+(IF(AND(ArtifactsInput!$M$42,((Inputs!$B$9+((C1665=TRUE)*(F1665-Calc!F19))+B1678+(ArtifactsInput!$M$24-ArtifactsInput!$M$24)*CHOOSE(ArtifactsInput!$N$24+1,10,12,14,16,18,20)+IF(ArtifactsInput!$M$10,CHOOSE(ArtifactsInput!$N$10+1,15,18,21,24,27,30)*(IF(Inputs!$B$38="pvp",MIN(15,15)/15,IF(AND(Inputs!$B$38&lt;&gt;"pvp",Inputs!$B$43&gt;0),MIN(15,Inputs!$B$43)/(Inputs!$B$43),0))),0)))&gt;=100),CHOOSE(ArtifactsInput!$N$42+1,40,48,56,64,72,80),0))))/100)*((1+(((C1659=TRUE)*F1659)+((C1660=TRUE)*IF(Inputs!$B$38="pvp",F1660,(1-Summary!$B$11)*(F1660)+Summary!$B$11*(0)))+((C1661=TRUE)*F1661*IF(AND(Inputs!$B$38&lt;&gt;"pvp",Inputs!$B$43&gt;0),(((R1661-1)*(Skills!T15*(1+Inputs!$B$34/100))+MIN((Skills!T15*(1+Inputs!$B$34/100)),MAX(0,Inputs!$B$43-((R1661-1)*Skills!D15))))/Inputs!$B$43),IF(Inputs!$B$38="pvp",MIN((Skills!T15*(1+Inputs!$B$34/100)),15)/15,(Skills!T15*(1+Inputs!$B$34/100))/Skills!D15)))+((C1658=TRUE)*F1658)+((C1675=TRUE)*(F1675-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1653)</f>
        <v/>
      </c>
      <c r="L1653">
        <f>K1653*(MIN(Inputs!$B$22+((C1669=TRUE)*(F1669-Calc!F23)),(Inputs!$B$23+((C1674=TRUE)*(F1674-Calc!F28))+((IF(IF(ArtifactsInput!$M$15,FALSE,TRUE),1,-1)*CHOOSE(ArtifactsInput!$N$15+1,25,30,35,40,45,50)/100*IF(IF(ArtifactsInput!$M$15,FALSE,TRUE),(Inputs!$B$11+((C1666=TRUE)*(F1666-Calc!F20))+((C1667=TRUE)*(F1667-Calc!F21))+(IF(ArtifactsInput!$M$15,FALSE,TRUE)-ArtifactsInput!$M$15)*CHOOSE(ArtifactsInput!$N$15+1,8,9.6,11.2,12.8,14.4,16)),Inputs!$B$11)))))/100+(Inputs!$B$23+((C1674=TRUE)*(F1674-Calc!F28))+((IF(IF(ArtifactsInput!$M$15,FALSE,TRUE),1,-1)*CHOOSE(ArtifactsInput!$N$15+1,25,30,35,40,45,50)/100*IF(IF(ArtifactsInput!$M$15,FALSE,TRUE),(Inputs!$B$11+((C1666=TRUE)*(F1666-Calc!F20))+((C1667=TRUE)*(F1667-Calc!F21))+(IF(ArtifactsInput!$M$15,FALSE,TRUE)-ArtifactsInput!$M$15)*CHOOSE(ArtifactsInput!$N$15+1,8,9.6,11.2,12.8,14.4,16)),Inputs!$B$11))))/100)/2</f>
        <v/>
      </c>
      <c r="M1653">
        <f>L1653*(1+(Inputs!$B$10+0+B1683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653">
        <f>L1653*(1-MIN((Inputs!$B$9+((C1665=TRUE)*(F1665-Calc!F19))+B1678+(ArtifactsInput!$M$24-ArtifactsInput!$M$24)*CHOOSE(ArtifactsInput!$N$24+1,10,12,14,16,18,20)+(IF(AND(ArtifactsInput!$M$42,((Inputs!$B$9+((C1665=TRUE)*(F1665-Calc!F19))+B1678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1653*(MIN((Inputs!$B$9+((C1665=TRUE)*(F1665-Calc!F19))+B1678+(ArtifactsInput!$M$24-ArtifactsInput!$M$24)*CHOOSE(ArtifactsInput!$N$24+1,10,12,14,16,18,20)+(IF(AND(ArtifactsInput!$M$42,((Inputs!$B$9+((C1665=TRUE)*(F1665-Calc!F19))+B1678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653">
        <f>(1-Summary!$B$11)*T1653+Summary!$B$11*V1653</f>
        <v/>
      </c>
      <c r="P1653">
        <f>IF(B1688=0,0,O1653/B1688)</f>
        <v/>
      </c>
      <c r="Q1653">
        <f>IFERROR(1/IF(Inputs!$B$38="pvp",15,MAX(0.1,Skills!D7-IF(Skills!E7=TRUE,Inputs!$B$32,0))),0)</f>
        <v/>
      </c>
      <c r="R1653">
        <f>IF(AND(Inputs!$B$38&lt;&gt;"pvp",Inputs!$B$43&gt;0),IF(MAX(0,Inputs!$B$43-B1685)&lt;=0,0,(INT(MAX(0,Inputs!$B$43-B1685)/IF(Inputs!$B$38="pvp",15,MAX(0.1,Skills!D7-IF(Skills!E7=TRUE,Inputs!$B$32,0))))+1)),0)</f>
        <v/>
      </c>
      <c r="S1653">
        <f>IFERROR((H1653*N1653*IF(AND(Inputs!$B$38&lt;&gt;"pvp",Inputs!$B$43&gt;0),((Skills!G7*((R1653-1)*IF(Skills!H7&gt;0,Skills!I7/Skills!H7,1)+IF(Skills!H7&gt;0,MIN(Skills!I7,MAX(0,MAX(0,Inputs!$B$43-B1685)-((R1653-1)*IF(Inputs!$B$38="pvp",15,MAX(0.1,Skills!D7-IF(Skills!E7=TRUE,Inputs!$B$32,0))))))/Skills!H7,1)))/Inputs!$B$43),G1653*Q1653))/N1653*IF(Inputs!$B$38="pvp",1,(1-Summary!$B$11)*1+Summary!$B$11*(MIN(Skills!R7,Inputs!$B$37))),0)</f>
        <v/>
      </c>
      <c r="T1653">
        <f>IF(C1653,(H1653*N1653*IF(AND(Inputs!$B$38&lt;&gt;"pvp",Inputs!$B$43&gt;0),((Skills!G7*((R1653-1)*IF(Skills!H7&gt;0,Skills!I7/Skills!H7,1)+IF(Skills!H7&gt;0,MIN(Skills!I7,MAX(0,MAX(0,Inputs!$B$43-B1685)-((R1653-1)*IF(Inputs!$B$38="pvp",15,MAX(0.1,Skills!D7-IF(Skills!E7=TRUE,Inputs!$B$32,0))))))/Skills!H7,1)))/Inputs!$B$43),G1653*Q1653))*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Hunt"),CHOOSE(ArtifactsInput!$N$35+1,15,18,21,24,27,30)*(1-EXP(-(0.2*B1680)*5)),0)+IF(AND(ArtifactsInput!$M$22,Inputs!$B$4&lt;&gt;"Chapter Hunt"),CHOOSE(ArtifactsInput!$N$22+1,10,12,14,16,18,20)*((0*(((0.15*B1680*5))^0/1)+1*(((0.15*B1680*5))^1/1)+2*(((0.15*B1680*5))^2/2)+3*(((0.15*B1680*5))^3/6)+4*(((0.15*B1680*5))^4/24)+5*(((0.15*B1680*5))^5/120))/((((0.15*B1680*5))^0/1)+(((0.15*B1680*5))^1/1)+(((0.15*B1680*5))^2/2)+(((0.15*B1680*5))^3/6)+(((0.15*B1680*5))^4/24)+(((0.15*B1680*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1653*(1-MIN(100,(Inputs!$B$9+((C1665=TRUE)*(F1665-Calc!F19))+B1678+(ArtifactsInput!$M$24-ArtifactsInput!$M$24)*CHOOSE(ArtifactsInput!$N$24+1,10,12,14,16,18,20)+(IF(AND(ArtifactsInput!$M$42,((Inputs!$B$9+((C1665=TRUE)*(F1665-Calc!F19))+B1678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1653*(MIN(100,(Inputs!$B$9+((C1665=TRUE)*(F1665-Calc!F19))+B1678+(ArtifactsInput!$M$24-ArtifactsInput!$M$24)*CHOOSE(ArtifactsInput!$N$24+1,10,12,14,16,18,20)+(IF(AND(ArtifactsInput!$M$42,((Inputs!$B$9+((C1665=TRUE)*(F1665-Calc!F19))+B1678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1653*(1-MIN(100,(Inputs!$B$9+((C1665=TRUE)*(F1665-Calc!F19))+B1678+(ArtifactsInput!$M$24-ArtifactsInput!$M$24)*CHOOSE(ArtifactsInput!$N$24+1,10,12,14,16,18,20)+(IF(AND(ArtifactsInput!$M$42,((Inputs!$B$9+((C1665=TRUE)*(F1665-Calc!F19))+B1678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1653*(MIN(100,(Inputs!$B$9+((C1665=TRUE)*(F1665-Calc!F19))+B1678+(ArtifactsInput!$M$24-ArtifactsInput!$M$24)*CHOOSE(ArtifactsInput!$N$24+1,10,12,14,16,18,20)+(IF(AND(ArtifactsInput!$M$42,((Inputs!$B$9+((C1665=TRUE)*(F1665-Calc!F19))+B1678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653">
        <f>IF(C1653,(H1653*N1653*IF(AND(Inputs!$B$38&lt;&gt;"pvp",Inputs!$B$43&gt;0),((Skills!G7*((R1653-1)*IF(Skills!H7&gt;0,Skills!I7/Skills!H7,1)+IF(Skills!H7&gt;0,MIN(Skills!I7,MAX(0,MAX(0,Inputs!$B$43-B1685)-((R1653-1)*IF(Inputs!$B$38="pvp",15,MAX(0.1,Skills!D7-IF(Skills!E7=TRUE,Inputs!$B$32,0))))))/Skills!H7,1)))/Inputs!$B$43),G1653*Q1653))*IF(Inputs!$B$38="pvp",1,(1+(Inputs!$B$21+Skills!Q7+(IF(ArtifactsInput!$M$33,CHOOSE(ArtifactsInput!$N$33+1,30,36,42,48,54,60),0))+(IF(AND(ArtifactsInput!$M$35,Inputs!$B$4&lt;&gt;"Chapter Hunt"),CHOOSE(ArtifactsInput!$N$35+1,15,18,21,24,27,30)*(1-EXP(-(0.2*B1680)*5)),0)+IF(AND(ArtifactsInput!$M$22,Inputs!$B$4&lt;&gt;"Chapter Hunt"),CHOOSE(ArtifactsInput!$N$22+1,10,12,14,16,18,20)*((0*(((0.15*B1680*5))^0/1)+1*(((0.15*B1680*5))^1/1)+2*(((0.15*B1680*5))^2/2)+3*(((0.15*B1680*5))^3/6)+4*(((0.15*B1680*5))^4/24)+5*(((0.15*B1680*5))^5/120))/((((0.15*B1680*5))^0/1)+(((0.15*B1680*5))^1/1)+(((0.15*B1680*5))^2/2)+(((0.15*B1680*5))^3/6)+(((0.15*B1680*5))^4/24)+(((0.15*B1680*5))^5/120))),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654">
      <c r="A1654">
        <f>Skills!A8</f>
        <v/>
      </c>
      <c r="B1654">
        <f>Skills!B8</f>
        <v/>
      </c>
      <c r="C1654">
        <f>Inputs!$B$3&gt;=100</f>
        <v/>
      </c>
      <c r="D1654">
        <f>IF(Skills!C8=1,60+Inputs!$B$25+Inputs!$B$29,IF(Skills!C8=2,90+Inputs!$B$26+Inputs!$B$29,IF(Skills!C8=3,120+Inputs!$B$27+Inputs!$B$29,MAX(0,(Inputs!$B$3-100)*3)+Inputs!$B$28+Inputs!$B$29)))</f>
        <v/>
      </c>
      <c r="E1654">
        <f>INDEX(FactorTable!$B$2:$Y$301, MATCH(ROUND(MIN(300,MAX(1,D1654)),0), FactorTable!$A$2:$A$301,0), Skills!M8+1)</f>
        <v/>
      </c>
      <c r="F1654">
        <f>IF(Skills!N8=TRUE,(Skills!L8/10)*(E1654/1000),Skills!L8/10)+Skills!O8</f>
        <v/>
      </c>
      <c r="G1654" t="inlineStr"/>
      <c r="H1654" t="inlineStr"/>
      <c r="I1654" t="inlineStr">
        <is>
          <t>1</t>
        </is>
      </c>
      <c r="J1654" t="inlineStr"/>
      <c r="K1654" t="inlineStr"/>
      <c r="L1654" t="inlineStr"/>
      <c r="M1654" t="inlineStr"/>
      <c r="N1654" t="inlineStr"/>
      <c r="O1654" t="inlineStr"/>
      <c r="P1654" t="inlineStr"/>
      <c r="Q1654" t="inlineStr"/>
      <c r="R1654" t="inlineStr"/>
      <c r="S1654" t="inlineStr"/>
      <c r="T1654" t="inlineStr"/>
      <c r="V1654" t="inlineStr"/>
    </row>
    <row r="1655">
      <c r="A1655">
        <f>Skills!A9</f>
        <v/>
      </c>
      <c r="B1655">
        <f>Skills!B9</f>
        <v/>
      </c>
      <c r="C1655">
        <f>Inputs!$B$3&gt;=103</f>
        <v/>
      </c>
      <c r="D1655">
        <f>IF(Skills!C9=1,60+Inputs!$B$25+Inputs!$B$29,IF(Skills!C9=2,90+Inputs!$B$26+Inputs!$B$29,IF(Skills!C9=3,120+Inputs!$B$27+Inputs!$B$29,MAX(0,(Inputs!$B$3-100)*3)+Inputs!$B$28+Inputs!$B$29)))</f>
        <v/>
      </c>
      <c r="E1655">
        <f>INDEX(FactorTable!$B$2:$Y$301, MATCH(ROUND(MIN(300,MAX(1,D1655)),0), FactorTable!$A$2:$A$301,0), Skills!M9+1)</f>
        <v/>
      </c>
      <c r="F1655">
        <f>IF(Skills!N9=TRUE,(Skills!L9/10)*(E1655/1000),Skills!L9/10)+Skills!O9</f>
        <v/>
      </c>
      <c r="G1655">
        <f>Skills!G9*IF(Skills!H9&gt;0,Skills!I9/Skills!H9,1)</f>
        <v/>
      </c>
      <c r="H1655">
        <f>1-(1-Skills!J9/100)^Skills!K9</f>
        <v/>
      </c>
      <c r="I1655" t="inlineStr">
        <is>
          <t>1</t>
        </is>
      </c>
      <c r="J1655">
        <f>((Inputs!$B$6*(1+Inputs!$B$7/100))+(((Inputs!$B$12*(1+Inputs!$B$13/100))-(Inputs!$B$12*(1+Inputs!$B$13/100)))+0.25*(Inputs!$B$14-Inputs!$B$14))*(1+Inputs!$B$7/100))*(F1655/100)</f>
        <v/>
      </c>
      <c r="K1655">
        <f>J1655*(1+((Inputs!$B$12*(1+Inputs!$B$13/100))*0.01+Inputs!$B$14*0.0025)/100)*(1+Inputs!$B$15/100)*(1+Inputs!$B$16/100)*(5000/(6000+Inputs!$B$42*(1-(100*(1-(1-(Inputs!$B$19+0)/100)*(1-CHOOSE(ArtifactsInput!$N$40+1,5,6,7,8,9,10)/100)^(ArtifactsInput!$M$40-ArtifactsInput!$M$40)))/100)))*(1+(Inputs!$B$24+((C1670=TRUE)*(F1670-Calc!F24))+((C1671=TRUE)*(F1671-Calc!F25))+B1684)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EMPOWERED_PIERCING_ARROW",Inputs!$B$17+((C1668=TRUE)*(F1668-Calc!F22))+(((IF(AND(ArtifactsInput!$M$42,((Inputs!$B$9+((C1665=TRUE)*(F1665-Calc!F19))+B1678+(ArtifactsInput!$M$24-ArtifactsInput!$M$24)*CHOOSE(ArtifactsInput!$N$24+1,10,12,14,16,18,20)+IF(ArtifactsInput!$M$10,CHOOSE(ArtifactsInput!$N$10+1,15,18,21,24,27,30)*(IF(Inputs!$B$38="pvp",MIN(15,15)/15,IF(AND(Inputs!$B$38&lt;&gt;"pvp",Inputs!$B$43&gt;0),MIN(15,Inputs!$B$43)/(Inputs!$B$43),0))),0)))&gt;=100),MIN(100,((Inputs!$B$9+((C1665=TRUE)*(F1665-Calc!F19))+B1678+(ArtifactsInput!$M$24-ArtifactsInput!$M$24)*CHOOSE(ArtifactsInput!$N$24+1,10,12,14,16,18,20)+IF(ArtifactsInput!$M$10,CHOOSE(ArtifactsInput!$N$10+1,15,18,21,24,27,30)*(IF(Inputs!$B$38="pvp",MIN(15,15)/15,IF(AND(Inputs!$B$38&lt;&gt;"pvp",Inputs!$B$43&gt;0),MIN(15,Inputs!$B$43)/(Inputs!$B$43),0))),0)))-100),0))*CHOOSE(ArtifactsInput!$N$42+1,0.6,0.72,0.84,0.96,1.08,1.2))),Inputs!$B$18+((C1673=TRUE)*(F1673-Calc!F27))+(IF(AND(ArtifactsInput!$M$42,((Inputs!$B$9+((C1665=TRUE)*(F1665-Calc!F19))+B1678+(ArtifactsInput!$M$24-ArtifactsInput!$M$24)*CHOOSE(ArtifactsInput!$N$24+1,10,12,14,16,18,20)+IF(ArtifactsInput!$M$10,CHOOSE(ArtifactsInput!$N$10+1,15,18,21,24,27,30)*(IF(Inputs!$B$38="pvp",MIN(15,15)/15,IF(AND(Inputs!$B$38&lt;&gt;"pvp",Inputs!$B$43&gt;0),MIN(15,Inputs!$B$43)/(Inputs!$B$43),0))),0)))&gt;=100),CHOOSE(ArtifactsInput!$N$42+1,40,48,56,64,72,80),0))))/100)*((1+(((C1659=TRUE)*F1659)+((C1660=TRUE)*IF(Inputs!$B$38="pvp",F1660,(1-Summary!$B$11)*(F1660)+Summary!$B$11*(0)))+((C1661=TRUE)*F1661*IF(AND(Inputs!$B$38&lt;&gt;"pvp",Inputs!$B$43&gt;0),(((R1661-1)*(Skills!T15*(1+Inputs!$B$34/100))+MIN((Skills!T15*(1+Inputs!$B$34/100)),MAX(0,Inputs!$B$43-((R1661-1)*Skills!D15))))/Inputs!$B$43),IF(Inputs!$B$38="pvp",MIN((Skills!T15*(1+Inputs!$B$34/100)),15)/15,(Skills!T15*(1+Inputs!$B$34/100))/Skills!D15)))+((C1658=TRUE)*F1658)+((C1675=TRUE)*(F1675-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1655)</f>
        <v/>
      </c>
      <c r="L1655">
        <f>K1655*(MIN(Inputs!$B$22+((C1669=TRUE)*(F1669-Calc!F23)),(Inputs!$B$23+((C1674=TRUE)*(F1674-Calc!F28))+((IF(IF(ArtifactsInput!$M$15,FALSE,TRUE),1,-1)*CHOOSE(ArtifactsInput!$N$15+1,25,30,35,40,45,50)/100*IF(IF(ArtifactsInput!$M$15,FALSE,TRUE),(Inputs!$B$11+((C1666=TRUE)*(F1666-Calc!F20))+((C1667=TRUE)*(F1667-Calc!F21))+(IF(ArtifactsInput!$M$15,FALSE,TRUE)-ArtifactsInput!$M$15)*CHOOSE(ArtifactsInput!$N$15+1,8,9.6,11.2,12.8,14.4,16)),Inputs!$B$11)))))/100+(Inputs!$B$23+((C1674=TRUE)*(F1674-Calc!F28))+((IF(IF(ArtifactsInput!$M$15,FALSE,TRUE),1,-1)*CHOOSE(ArtifactsInput!$N$15+1,25,30,35,40,45,50)/100*IF(IF(ArtifactsInput!$M$15,FALSE,TRUE),(Inputs!$B$11+((C1666=TRUE)*(F1666-Calc!F20))+((C1667=TRUE)*(F1667-Calc!F21))+(IF(ArtifactsInput!$M$15,FALSE,TRUE)-ArtifactsInput!$M$15)*CHOOSE(ArtifactsInput!$N$15+1,8,9.6,11.2,12.8,14.4,16)),Inputs!$B$11))))/100)/2</f>
        <v/>
      </c>
      <c r="M1655">
        <f>L1655*(1+(Inputs!$B$10+0+B1683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655">
        <f>L1655*(1-MIN((Inputs!$B$9+((C1665=TRUE)*(F1665-Calc!F19))+B1678+(ArtifactsInput!$M$24-ArtifactsInput!$M$24)*CHOOSE(ArtifactsInput!$N$24+1,10,12,14,16,18,20)+(IF(AND(ArtifactsInput!$M$42,((Inputs!$B$9+((C1665=TRUE)*(F1665-Calc!F19))+B1678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1655*(MIN((Inputs!$B$9+((C1665=TRUE)*(F1665-Calc!F19))+B1678+(ArtifactsInput!$M$24-ArtifactsInput!$M$24)*CHOOSE(ArtifactsInput!$N$24+1,10,12,14,16,18,20)+(IF(AND(ArtifactsInput!$M$42,((Inputs!$B$9+((C1665=TRUE)*(F1665-Calc!F19))+B1678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655">
        <f>(1-Summary!$B$11)*T1655+Summary!$B$11*V1655</f>
        <v/>
      </c>
      <c r="P1655">
        <f>IF(B1688=0,0,O1655/B1688)</f>
        <v/>
      </c>
      <c r="Q1655">
        <f>IFERROR(1/IF(Inputs!$B$38="pvp",15,MAX(0.1,Skills!D9-IF(Skills!E9=TRUE,Inputs!$B$32,0))),0)</f>
        <v/>
      </c>
      <c r="R1655">
        <f>IF(AND(Inputs!$B$38&lt;&gt;"pvp",Inputs!$B$43&gt;0),IF(MAX(0,Inputs!$B$43-B1685)&lt;=0,0,(INT(MAX(0,Inputs!$B$43-B1685)/IF(Inputs!$B$38="pvp",15,MAX(0.1,Skills!D9-IF(Skills!E9=TRUE,Inputs!$B$32,0))))+1)),0)</f>
        <v/>
      </c>
      <c r="S1655">
        <f>IFERROR((H1655*N1655*IF(AND(Inputs!$B$38&lt;&gt;"pvp",Inputs!$B$43&gt;0),((Skills!G9*((R1655-1)*IF(Skills!H9&gt;0,Skills!I9/Skills!H9,1)+IF(Skills!H9&gt;0,MIN(Skills!I9,MAX(0,MAX(0,Inputs!$B$43-B1685)-((R1655-1)*IF(Inputs!$B$38="pvp",15,MAX(0.1,Skills!D9-IF(Skills!E9=TRUE,Inputs!$B$32,0))))))/Skills!H9,1)))/Inputs!$B$43),G1655*Q1655))/N1655*IF(Inputs!$B$38="pvp",1,(1-Summary!$B$11)*1+Summary!$B$11*(MIN(Skills!R9,Inputs!$B$37))),0)</f>
        <v/>
      </c>
      <c r="T1655">
        <f>IF(C1655,(H1655*N1655*IF(AND(Inputs!$B$38&lt;&gt;"pvp",Inputs!$B$43&gt;0),((Skills!G9*((R1655-1)*IF(Skills!H9&gt;0,Skills!I9/Skills!H9,1)+IF(Skills!H9&gt;0,MIN(Skills!I9,MAX(0,MAX(0,Inputs!$B$43-B1685)-((R1655-1)*IF(Inputs!$B$38="pvp",15,MAX(0.1,Skills!D9-IF(Skills!E9=TRUE,Inputs!$B$32,0))))))/Skills!H9,1)))/Inputs!$B$43),G1655*Q1655))*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Hunt"),CHOOSE(ArtifactsInput!$N$35+1,15,18,21,24,27,30)*(1-EXP(-(0.2*B1680)*5)),0)+IF(AND(ArtifactsInput!$M$22,Inputs!$B$4&lt;&gt;"Chapter Hunt"),CHOOSE(ArtifactsInput!$N$22+1,10,12,14,16,18,20)*((0*(((0.15*B1680*5))^0/1)+1*(((0.15*B1680*5))^1/1)+2*(((0.15*B1680*5))^2/2)+3*(((0.15*B1680*5))^3/6)+4*(((0.15*B1680*5))^4/24)+5*(((0.15*B1680*5))^5/120))/((((0.15*B1680*5))^0/1)+(((0.15*B1680*5))^1/1)+(((0.15*B1680*5))^2/2)+(((0.15*B1680*5))^3/6)+(((0.15*B1680*5))^4/24)+(((0.15*B1680*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1655*(1-MIN(100,(Inputs!$B$9+((C1665=TRUE)*(F1665-Calc!F19))+B1678+(ArtifactsInput!$M$24-ArtifactsInput!$M$24)*CHOOSE(ArtifactsInput!$N$24+1,10,12,14,16,18,20)+(IF(AND(ArtifactsInput!$M$42,((Inputs!$B$9+((C1665=TRUE)*(F1665-Calc!F19))+B1678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1655*(MIN(100,(Inputs!$B$9+((C1665=TRUE)*(F1665-Calc!F19))+B1678+(ArtifactsInput!$M$24-ArtifactsInput!$M$24)*CHOOSE(ArtifactsInput!$N$24+1,10,12,14,16,18,20)+(IF(AND(ArtifactsInput!$M$42,((Inputs!$B$9+((C1665=TRUE)*(F1665-Calc!F19))+B1678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1655*(1-MIN(100,(Inputs!$B$9+((C1665=TRUE)*(F1665-Calc!F19))+B1678+(ArtifactsInput!$M$24-ArtifactsInput!$M$24)*CHOOSE(ArtifactsInput!$N$24+1,10,12,14,16,18,20)+(IF(AND(ArtifactsInput!$M$42,((Inputs!$B$9+((C1665=TRUE)*(F1665-Calc!F19))+B1678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1655*(MIN(100,(Inputs!$B$9+((C1665=TRUE)*(F1665-Calc!F19))+B1678+(ArtifactsInput!$M$24-ArtifactsInput!$M$24)*CHOOSE(ArtifactsInput!$N$24+1,10,12,14,16,18,20)+(IF(AND(ArtifactsInput!$M$42,((Inputs!$B$9+((C1665=TRUE)*(F1665-Calc!F19))+B1678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655">
        <f>IF(C1655,(H1655*N1655*IF(AND(Inputs!$B$38&lt;&gt;"pvp",Inputs!$B$43&gt;0),((Skills!G9*((R1655-1)*IF(Skills!H9&gt;0,Skills!I9/Skills!H9,1)+IF(Skills!H9&gt;0,MIN(Skills!I9,MAX(0,MAX(0,Inputs!$B$43-B1685)-((R1655-1)*IF(Inputs!$B$38="pvp",15,MAX(0.1,Skills!D9-IF(Skills!E9=TRUE,Inputs!$B$32,0))))))/Skills!H9,1)))/Inputs!$B$43),G1655*Q1655))*IF(Inputs!$B$38="pvp",1,(1+(Inputs!$B$21+Skills!Q9+(IF(ArtifactsInput!$M$33,CHOOSE(ArtifactsInput!$N$33+1,30,36,42,48,54,60),0))+(IF(AND(ArtifactsInput!$M$35,Inputs!$B$4&lt;&gt;"Chapter Hunt"),CHOOSE(ArtifactsInput!$N$35+1,15,18,21,24,27,30)*(1-EXP(-(0.2*B1680)*5)),0)+IF(AND(ArtifactsInput!$M$22,Inputs!$B$4&lt;&gt;"Chapter Hunt"),CHOOSE(ArtifactsInput!$N$22+1,10,12,14,16,18,20)*((0*(((0.15*B1680*5))^0/1)+1*(((0.15*B1680*5))^1/1)+2*(((0.15*B1680*5))^2/2)+3*(((0.15*B1680*5))^3/6)+4*(((0.15*B1680*5))^4/24)+5*(((0.15*B1680*5))^5/120))/((((0.15*B1680*5))^0/1)+(((0.15*B1680*5))^1/1)+(((0.15*B1680*5))^2/2)+(((0.15*B1680*5))^3/6)+(((0.15*B1680*5))^4/24)+(((0.15*B1680*5))^5/120)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656">
      <c r="A1656">
        <f>Skills!A10</f>
        <v/>
      </c>
      <c r="B1656">
        <f>Skills!B10</f>
        <v/>
      </c>
      <c r="C1656">
        <f>Inputs!$B$3&gt;=107</f>
        <v/>
      </c>
      <c r="D1656">
        <f>IF(Skills!C10=1,60+Inputs!$B$25+Inputs!$B$29,IF(Skills!C10=2,90+Inputs!$B$26+Inputs!$B$29,IF(Skills!C10=3,120+Inputs!$B$27+Inputs!$B$29,MAX(0,(Inputs!$B$3-100)*3)+Inputs!$B$28+Inputs!$B$29)))</f>
        <v/>
      </c>
      <c r="E1656">
        <f>INDEX(FactorTable!$B$2:$Y$301, MATCH(ROUND(MIN(300,MAX(1,D1656)),0), FactorTable!$A$2:$A$301,0), Skills!M10+1)</f>
        <v/>
      </c>
      <c r="F1656">
        <f>IF(Skills!N10=TRUE,(Skills!L10/10)*(E1656/1000),Skills!L10/10)+Skills!O10</f>
        <v/>
      </c>
      <c r="G1656">
        <f>Skills!G10*IF(Skills!H10&gt;0,Skills!I10/Skills!H10,1)</f>
        <v/>
      </c>
      <c r="H1656">
        <f>1-(1-Skills!J10/100)^Skills!K10</f>
        <v/>
      </c>
      <c r="I1656" t="inlineStr">
        <is>
          <t>1</t>
        </is>
      </c>
      <c r="J1656">
        <f>((Inputs!$B$6*(1+Inputs!$B$7/100))+(((Inputs!$B$12*(1+Inputs!$B$13/100))-(Inputs!$B$12*(1+Inputs!$B$13/100)))+0.25*(Inputs!$B$14-Inputs!$B$14))*(1+Inputs!$B$7/100))*(F1656/100)</f>
        <v/>
      </c>
      <c r="K1656">
        <f>J1656*(1+((Inputs!$B$12*(1+Inputs!$B$13/100))*0.01+Inputs!$B$14*0.0025)/100)*(1+Inputs!$B$15/100)*(1+Inputs!$B$16/100)*(5000/(6000+Inputs!$B$42*(1-(100*(1-(1-(Inputs!$B$19+0)/100)*(1-CHOOSE(ArtifactsInput!$N$40+1,5,6,7,8,9,10)/100)^(ArtifactsInput!$M$40-ArtifactsInput!$M$40)))/100)))*(1+(Inputs!$B$24+((C1670=TRUE)*(F1670-Calc!F24))+((C1671=TRUE)*(F1671-Calc!F25))+B1684)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EMPOWERED_PIERCING_ARROW",Inputs!$B$17+((C1668=TRUE)*(F1668-Calc!F22))+(((IF(AND(ArtifactsInput!$M$42,((Inputs!$B$9+((C1665=TRUE)*(F1665-Calc!F19))+B1678+(ArtifactsInput!$M$24-ArtifactsInput!$M$24)*CHOOSE(ArtifactsInput!$N$24+1,10,12,14,16,18,20)+IF(ArtifactsInput!$M$10,CHOOSE(ArtifactsInput!$N$10+1,15,18,21,24,27,30)*(IF(Inputs!$B$38="pvp",MIN(15,15)/15,IF(AND(Inputs!$B$38&lt;&gt;"pvp",Inputs!$B$43&gt;0),MIN(15,Inputs!$B$43)/(Inputs!$B$43),0))),0)))&gt;=100),MIN(100,((Inputs!$B$9+((C1665=TRUE)*(F1665-Calc!F19))+B1678+(ArtifactsInput!$M$24-ArtifactsInput!$M$24)*CHOOSE(ArtifactsInput!$N$24+1,10,12,14,16,18,20)+IF(ArtifactsInput!$M$10,CHOOSE(ArtifactsInput!$N$10+1,15,18,21,24,27,30)*(IF(Inputs!$B$38="pvp",MIN(15,15)/15,IF(AND(Inputs!$B$38&lt;&gt;"pvp",Inputs!$B$43&gt;0),MIN(15,Inputs!$B$43)/(Inputs!$B$43),0))),0)))-100),0))*CHOOSE(ArtifactsInput!$N$42+1,0.6,0.72,0.84,0.96,1.08,1.2))),Inputs!$B$18+((C1673=TRUE)*(F1673-Calc!F27))+(IF(AND(ArtifactsInput!$M$42,((Inputs!$B$9+((C1665=TRUE)*(F1665-Calc!F19))+B1678+(ArtifactsInput!$M$24-ArtifactsInput!$M$24)*CHOOSE(ArtifactsInput!$N$24+1,10,12,14,16,18,20)+IF(ArtifactsInput!$M$10,CHOOSE(ArtifactsInput!$N$10+1,15,18,21,24,27,30)*(IF(Inputs!$B$38="pvp",MIN(15,15)/15,IF(AND(Inputs!$B$38&lt;&gt;"pvp",Inputs!$B$43&gt;0),MIN(15,Inputs!$B$43)/(Inputs!$B$43),0))),0)))&gt;=100),CHOOSE(ArtifactsInput!$N$42+1,40,48,56,64,72,80),0))))/100)*((1+(((C1659=TRUE)*F1659)+((C1660=TRUE)*IF(Inputs!$B$38="pvp",F1660,(1-Summary!$B$11)*(F1660)+Summary!$B$11*(0)))+((C1661=TRUE)*F1661*IF(AND(Inputs!$B$38&lt;&gt;"pvp",Inputs!$B$43&gt;0),(((R1661-1)*(Skills!T15*(1+Inputs!$B$34/100))+MIN((Skills!T15*(1+Inputs!$B$34/100)),MAX(0,Inputs!$B$43-((R1661-1)*Skills!D15))))/Inputs!$B$43),IF(Inputs!$B$38="pvp",MIN((Skills!T15*(1+Inputs!$B$34/100)),15)/15,(Skills!T15*(1+Inputs!$B$34/100))/Skills!D15)))+((C1658=TRUE)*F1658)+((C1675=TRUE)*(F1675-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1656)</f>
        <v/>
      </c>
      <c r="L1656">
        <f>K1656*(MIN(Inputs!$B$22+((C1669=TRUE)*(F1669-Calc!F23)),(Inputs!$B$23+((C1674=TRUE)*(F1674-Calc!F28))+((IF(IF(ArtifactsInput!$M$15,FALSE,TRUE),1,-1)*CHOOSE(ArtifactsInput!$N$15+1,25,30,35,40,45,50)/100*IF(IF(ArtifactsInput!$M$15,FALSE,TRUE),(Inputs!$B$11+((C1666=TRUE)*(F1666-Calc!F20))+((C1667=TRUE)*(F1667-Calc!F21))+(IF(ArtifactsInput!$M$15,FALSE,TRUE)-ArtifactsInput!$M$15)*CHOOSE(ArtifactsInput!$N$15+1,8,9.6,11.2,12.8,14.4,16)),Inputs!$B$11)))))/100+(Inputs!$B$23+((C1674=TRUE)*(F1674-Calc!F28))+((IF(IF(ArtifactsInput!$M$15,FALSE,TRUE),1,-1)*CHOOSE(ArtifactsInput!$N$15+1,25,30,35,40,45,50)/100*IF(IF(ArtifactsInput!$M$15,FALSE,TRUE),(Inputs!$B$11+((C1666=TRUE)*(F1666-Calc!F20))+((C1667=TRUE)*(F1667-Calc!F21))+(IF(ArtifactsInput!$M$15,FALSE,TRUE)-ArtifactsInput!$M$15)*CHOOSE(ArtifactsInput!$N$15+1,8,9.6,11.2,12.8,14.4,16)),Inputs!$B$11))))/100)/2</f>
        <v/>
      </c>
      <c r="M1656">
        <f>L1656*(1+(Inputs!$B$10+0+B1683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656">
        <f>L1656*(1-MIN((Inputs!$B$9+((C1665=TRUE)*(F1665-Calc!F19))+B1678+(ArtifactsInput!$M$24-ArtifactsInput!$M$24)*CHOOSE(ArtifactsInput!$N$24+1,10,12,14,16,18,20)+(IF(AND(ArtifactsInput!$M$42,((Inputs!$B$9+((C1665=TRUE)*(F1665-Calc!F19))+B1678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1656*(MIN((Inputs!$B$9+((C1665=TRUE)*(F1665-Calc!F19))+B1678+(ArtifactsInput!$M$24-ArtifactsInput!$M$24)*CHOOSE(ArtifactsInput!$N$24+1,10,12,14,16,18,20)+(IF(AND(ArtifactsInput!$M$42,((Inputs!$B$9+((C1665=TRUE)*(F1665-Calc!F19))+B1678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656">
        <f>(1-Summary!$B$11)*T1656+Summary!$B$11*V1656</f>
        <v/>
      </c>
      <c r="P1656">
        <f>IF(B1688=0,0,O1656/B1688)</f>
        <v/>
      </c>
      <c r="Q1656" t="n">
        <v>0</v>
      </c>
      <c r="R1656" t="n">
        <v>0</v>
      </c>
      <c r="S1656" t="n">
        <v>0</v>
      </c>
      <c r="T1656">
        <f>IF(C1656,(0.15*SUMPRODUCT((Skills!U2:U29=TRUE)*(C1648:C1675=TRUE)*S1648:S1675)*Skills!G10*N1656)*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Hunt"),CHOOSE(ArtifactsInput!$N$35+1,15,18,21,24,27,30)*(1-EXP(-(0.2*B1680)*5)),0)+IF(AND(ArtifactsInput!$M$22,Inputs!$B$4&lt;&gt;"Chapter Hunt"),CHOOSE(ArtifactsInput!$N$22+1,10,12,14,16,18,20)*((0*(((0.15*B1680*5))^0/1)+1*(((0.15*B1680*5))^1/1)+2*(((0.15*B1680*5))^2/2)+3*(((0.15*B1680*5))^3/6)+4*(((0.15*B1680*5))^4/24)+5*(((0.15*B1680*5))^5/120))/((((0.15*B1680*5))^0/1)+(((0.15*B1680*5))^1/1)+(((0.15*B1680*5))^2/2)+(((0.15*B1680*5))^3/6)+(((0.15*B1680*5))^4/24)+(((0.15*B1680*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1656*(1-MIN(100,(Inputs!$B$9+((C1665=TRUE)*(F1665-Calc!F19))+B1678+(ArtifactsInput!$M$24-ArtifactsInput!$M$24)*CHOOSE(ArtifactsInput!$N$24+1,10,12,14,16,18,20)+(IF(AND(ArtifactsInput!$M$42,((Inputs!$B$9+((C1665=TRUE)*(F1665-Calc!F19))+B1678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1656*(MIN(100,(Inputs!$B$9+((C1665=TRUE)*(F1665-Calc!F19))+B1678+(ArtifactsInput!$M$24-ArtifactsInput!$M$24)*CHOOSE(ArtifactsInput!$N$24+1,10,12,14,16,18,20)+(IF(AND(ArtifactsInput!$M$42,((Inputs!$B$9+((C1665=TRUE)*(F1665-Calc!F19))+B1678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1656*(1-MIN(100,(Inputs!$B$9+((C1665=TRUE)*(F1665-Calc!F19))+B1678+(ArtifactsInput!$M$24-ArtifactsInput!$M$24)*CHOOSE(ArtifactsInput!$N$24+1,10,12,14,16,18,20)+(IF(AND(ArtifactsInput!$M$42,((Inputs!$B$9+((C1665=TRUE)*(F1665-Calc!F19))+B1678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1656*(MIN(100,(Inputs!$B$9+((C1665=TRUE)*(F1665-Calc!F19))+B1678+(ArtifactsInput!$M$24-ArtifactsInput!$M$24)*CHOOSE(ArtifactsInput!$N$24+1,10,12,14,16,18,20)+(IF(AND(ArtifactsInput!$M$42,((Inputs!$B$9+((C1665=TRUE)*(F1665-Calc!F19))+B1678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656">
        <f>IF(C1656,(0.15*SUMPRODUCT((Skills!U2:U29=TRUE)*(C1648:C1675=TRUE)*S1648:S1675)*Skills!G10*N1656)*IF(Inputs!$B$38="pvp",1,(1+(Inputs!$B$21+Skills!Q10+(IF(ArtifactsInput!$M$33,CHOOSE(ArtifactsInput!$N$33+1,30,36,42,48,54,60),0))+(IF(AND(ArtifactsInput!$M$35,Inputs!$B$4&lt;&gt;"Chapter Hunt"),CHOOSE(ArtifactsInput!$N$35+1,15,18,21,24,27,30)*(1-EXP(-(0.2*B1680)*5)),0)+IF(AND(ArtifactsInput!$M$22,Inputs!$B$4&lt;&gt;"Chapter Hunt"),CHOOSE(ArtifactsInput!$N$22+1,10,12,14,16,18,20)*((0*(((0.15*B1680*5))^0/1)+1*(((0.15*B1680*5))^1/1)+2*(((0.15*B1680*5))^2/2)+3*(((0.15*B1680*5))^3/6)+4*(((0.15*B1680*5))^4/24)+5*(((0.15*B1680*5))^5/120))/((((0.15*B1680*5))^0/1)+(((0.15*B1680*5))^1/1)+(((0.15*B1680*5))^2/2)+(((0.15*B1680*5))^3/6)+(((0.15*B1680*5))^4/24)+(((0.15*B1680*5))^5/120)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657">
      <c r="A1657">
        <f>Skills!A11</f>
        <v/>
      </c>
      <c r="B1657">
        <f>Skills!B11</f>
        <v/>
      </c>
      <c r="C1657">
        <f>Inputs!$B$3&gt;=110</f>
        <v/>
      </c>
      <c r="D1657">
        <f>IF(Skills!C11=1,60+Inputs!$B$25+Inputs!$B$29,IF(Skills!C11=2,90+Inputs!$B$26+Inputs!$B$29,IF(Skills!C11=3,120+Inputs!$B$27+Inputs!$B$29,MAX(0,(Inputs!$B$3-100)*3)+Inputs!$B$28+Inputs!$B$29)))</f>
        <v/>
      </c>
      <c r="E1657">
        <f>INDEX(FactorTable!$B$2:$Y$301, MATCH(ROUND(MIN(300,MAX(1,D1657)),0), FactorTable!$A$2:$A$301,0), Skills!M11+1)</f>
        <v/>
      </c>
      <c r="F1657">
        <f>IF(Skills!N11=TRUE,(Skills!L11/10)*(E1657/1000),Skills!L11/10)+Skills!O11</f>
        <v/>
      </c>
      <c r="G1657">
        <f>Skills!G11*IF(Skills!H11&gt;0,Skills!I11/Skills!H11,1)</f>
        <v/>
      </c>
      <c r="H1657">
        <f>1-(1-Skills!J11/100)^Skills!K11</f>
        <v/>
      </c>
      <c r="I1657" t="inlineStr">
        <is>
          <t>1</t>
        </is>
      </c>
      <c r="J1657">
        <f>((Inputs!$B$6*(1+Inputs!$B$7/100))+(((Inputs!$B$12*(1+Inputs!$B$13/100))-(Inputs!$B$12*(1+Inputs!$B$13/100)))+0.25*(Inputs!$B$14-Inputs!$B$14))*(1+Inputs!$B$7/100))*(F1657/100)</f>
        <v/>
      </c>
      <c r="K1657">
        <f>J1657*(1+((Inputs!$B$12*(1+Inputs!$B$13/100))*0.01+Inputs!$B$14*0.0025)/100)*(1+Inputs!$B$15/100)*(1+Inputs!$B$16/100)*(5000/(6000+Inputs!$B$42*(1-(100*(1-(1-(Inputs!$B$19+0)/100)*(1-CHOOSE(ArtifactsInput!$N$40+1,5,6,7,8,9,10)/100)^(ArtifactsInput!$M$40-ArtifactsInput!$M$40)))/100)))*(1+(Inputs!$B$24+((C1670=TRUE)*(F1670-Calc!F24))+((C1671=TRUE)*(F1671-Calc!F25))+B1684)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11="EMPOWERED_PIERCING_ARROW",Inputs!$B$17+((C1668=TRUE)*(F1668-Calc!F22))+(((IF(AND(ArtifactsInput!$M$42,((Inputs!$B$9+((C1665=TRUE)*(F1665-Calc!F19))+B1678+(ArtifactsInput!$M$24-ArtifactsInput!$M$24)*CHOOSE(ArtifactsInput!$N$24+1,10,12,14,16,18,20)+IF(ArtifactsInput!$M$10,CHOOSE(ArtifactsInput!$N$10+1,15,18,21,24,27,30)*(IF(Inputs!$B$38="pvp",MIN(15,15)/15,IF(AND(Inputs!$B$38&lt;&gt;"pvp",Inputs!$B$43&gt;0),MIN(15,Inputs!$B$43)/(Inputs!$B$43),0))),0)))&gt;=100),MIN(100,((Inputs!$B$9+((C1665=TRUE)*(F1665-Calc!F19))+B1678+(ArtifactsInput!$M$24-ArtifactsInput!$M$24)*CHOOSE(ArtifactsInput!$N$24+1,10,12,14,16,18,20)+IF(ArtifactsInput!$M$10,CHOOSE(ArtifactsInput!$N$10+1,15,18,21,24,27,30)*(IF(Inputs!$B$38="pvp",MIN(15,15)/15,IF(AND(Inputs!$B$38&lt;&gt;"pvp",Inputs!$B$43&gt;0),MIN(15,Inputs!$B$43)/(Inputs!$B$43),0))),0)))-100),0))*CHOOSE(ArtifactsInput!$N$42+1,0.6,0.72,0.84,0.96,1.08,1.2))),Inputs!$B$18+((C1673=TRUE)*(F1673-Calc!F27))+(IF(AND(ArtifactsInput!$M$42,((Inputs!$B$9+((C1665=TRUE)*(F1665-Calc!F19))+B1678+(ArtifactsInput!$M$24-ArtifactsInput!$M$24)*CHOOSE(ArtifactsInput!$N$24+1,10,12,14,16,18,20)+IF(ArtifactsInput!$M$10,CHOOSE(ArtifactsInput!$N$10+1,15,18,21,24,27,30)*(IF(Inputs!$B$38="pvp",MIN(15,15)/15,IF(AND(Inputs!$B$38&lt;&gt;"pvp",Inputs!$B$43&gt;0),MIN(15,Inputs!$B$43)/(Inputs!$B$43),0))),0)))&gt;=100),CHOOSE(ArtifactsInput!$N$42+1,40,48,56,64,72,80),0))))/100)*((1+(((C1659=TRUE)*F1659)+((C1660=TRUE)*IF(Inputs!$B$38="pvp",F1660,(1-Summary!$B$11)*(F1660)+Summary!$B$11*(0)))+((C1661=TRUE)*F1661*IF(AND(Inputs!$B$38&lt;&gt;"pvp",Inputs!$B$43&gt;0),(((R1661-1)*(Skills!T15*(1+Inputs!$B$34/100))+MIN((Skills!T15*(1+Inputs!$B$34/100)),MAX(0,Inputs!$B$43-((R1661-1)*Skills!D15))))/Inputs!$B$43),IF(Inputs!$B$38="pvp",MIN((Skills!T15*(1+Inputs!$B$34/100)),15)/15,(Skills!T15*(1+Inputs!$B$34/100))/Skills!D15)))+((C1658=TRUE)*F1658)+((C1675=TRUE)*(F1675-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1657)</f>
        <v/>
      </c>
      <c r="L1657">
        <f>K1657*(MIN(Inputs!$B$22+((C1669=TRUE)*(F1669-Calc!F23)),(Inputs!$B$23+((C1674=TRUE)*(F1674-Calc!F28))+((IF(IF(ArtifactsInput!$M$15,FALSE,TRUE),1,-1)*CHOOSE(ArtifactsInput!$N$15+1,25,30,35,40,45,50)/100*IF(IF(ArtifactsInput!$M$15,FALSE,TRUE),(Inputs!$B$11+((C1666=TRUE)*(F1666-Calc!F20))+((C1667=TRUE)*(F1667-Calc!F21))+(IF(ArtifactsInput!$M$15,FALSE,TRUE)-ArtifactsInput!$M$15)*CHOOSE(ArtifactsInput!$N$15+1,8,9.6,11.2,12.8,14.4,16)),Inputs!$B$11)))))/100+(Inputs!$B$23+((C1674=TRUE)*(F1674-Calc!F28))+((IF(IF(ArtifactsInput!$M$15,FALSE,TRUE),1,-1)*CHOOSE(ArtifactsInput!$N$15+1,25,30,35,40,45,50)/100*IF(IF(ArtifactsInput!$M$15,FALSE,TRUE),(Inputs!$B$11+((C1666=TRUE)*(F1666-Calc!F20))+((C1667=TRUE)*(F1667-Calc!F21))+(IF(ArtifactsInput!$M$15,FALSE,TRUE)-ArtifactsInput!$M$15)*CHOOSE(ArtifactsInput!$N$15+1,8,9.6,11.2,12.8,14.4,16)),Inputs!$B$11))))/100)/2</f>
        <v/>
      </c>
      <c r="M1657">
        <f>L1657*(1+(Inputs!$B$10+0+B1683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657">
        <f>L1657*(1-MIN((Inputs!$B$9+((C1665=TRUE)*(F1665-Calc!F19))+B1678+(ArtifactsInput!$M$24-ArtifactsInput!$M$24)*CHOOSE(ArtifactsInput!$N$24+1,10,12,14,16,18,20)+(IF(AND(ArtifactsInput!$M$42,((Inputs!$B$9+((C1665=TRUE)*(F1665-Calc!F19))+B1678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1657*(MIN((Inputs!$B$9+((C1665=TRUE)*(F1665-Calc!F19))+B1678+(ArtifactsInput!$M$24-ArtifactsInput!$M$24)*CHOOSE(ArtifactsInput!$N$24+1,10,12,14,16,18,20)+(IF(AND(ArtifactsInput!$M$42,((Inputs!$B$9+((C1665=TRUE)*(F1665-Calc!F19))+B1678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657">
        <f>(1-Summary!$B$11)*T1657+Summary!$B$11*V1657</f>
        <v/>
      </c>
      <c r="P1657">
        <f>IF(B1688=0,0,O1657/B1688)</f>
        <v/>
      </c>
      <c r="Q1657">
        <f>IFERROR(1/IF(Inputs!$B$38="pvp",15,MAX(0.1,Skills!D11-IF(Skills!E11=TRUE,Inputs!$B$32,0))),0)</f>
        <v/>
      </c>
      <c r="R1657">
        <f>IF(AND(Inputs!$B$38&lt;&gt;"pvp",Inputs!$B$43&gt;0),IF(MAX(0,Inputs!$B$43-B1685)&lt;=0,0,(INT(MAX(0,Inputs!$B$43-B1685)/IF(Inputs!$B$38="pvp",15,MAX(0.1,Skills!D11-IF(Skills!E11=TRUE,Inputs!$B$32,0))))+1)),0)</f>
        <v/>
      </c>
      <c r="S1657">
        <f>IFERROR((H1657*N1657*IF(AND(Inputs!$B$38&lt;&gt;"pvp",Inputs!$B$43&gt;0),((Skills!G11*((R1657-1)*IF(Skills!H11&gt;0,Skills!I11/Skills!H11,1)+IF(Skills!H11&gt;0,MIN(Skills!I11,MAX(0,MAX(0,Inputs!$B$43-B1685)-((R1657-1)*IF(Inputs!$B$38="pvp",15,MAX(0.1,Skills!D11-IF(Skills!E11=TRUE,Inputs!$B$32,0))))))/Skills!H11,1)))/Inputs!$B$43),G1657*Q1657))/N1657*IF(Inputs!$B$38="pvp",1,(1-Summary!$B$11)*1+Summary!$B$11*(MIN(Skills!R11,Inputs!$B$37))),0)</f>
        <v/>
      </c>
      <c r="T1657">
        <f>IF(C1657,(H1657*N1657*IF(AND(Inputs!$B$38&lt;&gt;"pvp",Inputs!$B$43&gt;0),((Skills!G11*((R1657-1)*IF(Skills!H11&gt;0,Skills!I11/Skills!H11,1)+IF(Skills!H11&gt;0,MIN(Skills!I11,MAX(0,MAX(0,Inputs!$B$43-B1685)-((R1657-1)*IF(Inputs!$B$38="pvp",15,MAX(0.1,Skills!D11-IF(Skills!E11=TRUE,Inputs!$B$32,0))))))/Skills!H11,1)))/Inputs!$B$43),G1657*Q1657))*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Hunt"),CHOOSE(ArtifactsInput!$N$35+1,15,18,21,24,27,30)*(1-EXP(-(0.2*B1680)*5)),0)+IF(AND(ArtifactsInput!$M$22,Inputs!$B$4&lt;&gt;"Chapter Hunt"),CHOOSE(ArtifactsInput!$N$22+1,10,12,14,16,18,20)*((0*(((0.15*B1680*5))^0/1)+1*(((0.15*B1680*5))^1/1)+2*(((0.15*B1680*5))^2/2)+3*(((0.15*B1680*5))^3/6)+4*(((0.15*B1680*5))^4/24)+5*(((0.15*B1680*5))^5/120))/((((0.15*B1680*5))^0/1)+(((0.15*B1680*5))^1/1)+(((0.15*B1680*5))^2/2)+(((0.15*B1680*5))^3/6)+(((0.15*B1680*5))^4/24)+(((0.15*B1680*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1657*(1-MIN(100,(Inputs!$B$9+((C1665=TRUE)*(F1665-Calc!F19))+B1678+(ArtifactsInput!$M$24-ArtifactsInput!$M$24)*CHOOSE(ArtifactsInput!$N$24+1,10,12,14,16,18,20)+(IF(AND(ArtifactsInput!$M$42,((Inputs!$B$9+((C1665=TRUE)*(F1665-Calc!F19))+B1678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1657*(MIN(100,(Inputs!$B$9+((C1665=TRUE)*(F1665-Calc!F19))+B1678+(ArtifactsInput!$M$24-ArtifactsInput!$M$24)*CHOOSE(ArtifactsInput!$N$24+1,10,12,14,16,18,20)+(IF(AND(ArtifactsInput!$M$42,((Inputs!$B$9+((C1665=TRUE)*(F1665-Calc!F19))+B1678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1657*(1-MIN(100,(Inputs!$B$9+((C1665=TRUE)*(F1665-Calc!F19))+B1678+(ArtifactsInput!$M$24-ArtifactsInput!$M$24)*CHOOSE(ArtifactsInput!$N$24+1,10,12,14,16,18,20)+(IF(AND(ArtifactsInput!$M$42,((Inputs!$B$9+((C1665=TRUE)*(F1665-Calc!F19))+B1678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1657*(MIN(100,(Inputs!$B$9+((C1665=TRUE)*(F1665-Calc!F19))+B1678+(ArtifactsInput!$M$24-ArtifactsInput!$M$24)*CHOOSE(ArtifactsInput!$N$24+1,10,12,14,16,18,20)+(IF(AND(ArtifactsInput!$M$42,((Inputs!$B$9+((C1665=TRUE)*(F1665-Calc!F19))+B1678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657">
        <f>IF(C1657,(H1657*N1657*IF(AND(Inputs!$B$38&lt;&gt;"pvp",Inputs!$B$43&gt;0),((Skills!G11*((R1657-1)*IF(Skills!H11&gt;0,Skills!I11/Skills!H11,1)+IF(Skills!H11&gt;0,MIN(Skills!I11,MAX(0,MAX(0,Inputs!$B$43-B1685)-((R1657-1)*IF(Inputs!$B$38="pvp",15,MAX(0.1,Skills!D11-IF(Skills!E11=TRUE,Inputs!$B$32,0))))))/Skills!H11,1)))/Inputs!$B$43),G1657*Q1657))*IF(Inputs!$B$38="pvp",1,(1+(Inputs!$B$21+Skills!Q11+(IF(ArtifactsInput!$M$33,CHOOSE(ArtifactsInput!$N$33+1,30,36,42,48,54,60),0))+(IF(AND(ArtifactsInput!$M$35,Inputs!$B$4&lt;&gt;"Chapter Hunt"),CHOOSE(ArtifactsInput!$N$35+1,15,18,21,24,27,30)*(1-EXP(-(0.2*B1680)*5)),0)+IF(AND(ArtifactsInput!$M$22,Inputs!$B$4&lt;&gt;"Chapter Hunt"),CHOOSE(ArtifactsInput!$N$22+1,10,12,14,16,18,20)*((0*(((0.15*B1680*5))^0/1)+1*(((0.15*B1680*5))^1/1)+2*(((0.15*B1680*5))^2/2)+3*(((0.15*B1680*5))^3/6)+4*(((0.15*B1680*5))^4/24)+5*(((0.15*B1680*5))^5/120))/((((0.15*B1680*5))^0/1)+(((0.15*B1680*5))^1/1)+(((0.15*B1680*5))^2/2)+(((0.15*B1680*5))^3/6)+(((0.15*B1680*5))^4/24)+(((0.15*B1680*5))^5/120))),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658">
      <c r="A1658">
        <f>Skills!A12</f>
        <v/>
      </c>
      <c r="B1658">
        <f>Skills!B12</f>
        <v/>
      </c>
      <c r="C1658">
        <f>Inputs!$B$3&gt;=60</f>
        <v/>
      </c>
      <c r="D1658">
        <f>IF(Skills!C12=1,60+Inputs!$B$25+Inputs!$B$29,IF(Skills!C12=2,90+Inputs!$B$26+Inputs!$B$29,IF(Skills!C12=3,120+Inputs!$B$27+Inputs!$B$29,MAX(0,(Inputs!$B$3-100)*3)+Inputs!$B$28+Inputs!$B$29)))</f>
        <v/>
      </c>
      <c r="E1658">
        <f>INDEX(FactorTable!$B$2:$Y$301, MATCH(ROUND(MIN(300,MAX(1,D1658)),0), FactorTable!$A$2:$A$301,0), Skills!M12+1)</f>
        <v/>
      </c>
      <c r="F1658">
        <f>IF(Skills!N12=TRUE,(Skills!L12/10)*(E1658/1000),Skills!L12/10)+Skills!O12</f>
        <v/>
      </c>
      <c r="G1658">
        <f>Skills!G12*IF(Skills!H12&gt;0,Skills!I12/Skills!H12,1)</f>
        <v/>
      </c>
      <c r="H1658">
        <f>1-(1-Skills!J12/100)^Skills!K12</f>
        <v/>
      </c>
      <c r="I1658" t="inlineStr">
        <is>
          <t>1</t>
        </is>
      </c>
      <c r="J1658" t="inlineStr"/>
      <c r="K1658" t="inlineStr"/>
      <c r="L1658" t="inlineStr"/>
      <c r="M1658" t="inlineStr"/>
      <c r="N1658" t="inlineStr"/>
      <c r="O1658">
        <f>(1-Summary!$B$11)*T1658+Summary!$B$11*V1658</f>
        <v/>
      </c>
      <c r="P1658">
        <f>IF(B1688=0,0,O1658/B1688)</f>
        <v/>
      </c>
      <c r="Q1658" t="n">
        <v>0</v>
      </c>
      <c r="R1658" t="n">
        <v>0</v>
      </c>
      <c r="S1658" t="n">
        <v>0</v>
      </c>
      <c r="T1658" t="n">
        <v>0</v>
      </c>
      <c r="V1658" t="n">
        <v>0</v>
      </c>
    </row>
    <row r="1659">
      <c r="A1659">
        <f>Skills!A13</f>
        <v/>
      </c>
      <c r="B1659">
        <f>Skills!B13</f>
        <v/>
      </c>
      <c r="C1659">
        <f>Inputs!$B$3&gt;=74</f>
        <v/>
      </c>
      <c r="D1659">
        <f>IF(Skills!C13=1,60+Inputs!$B$25+Inputs!$B$29,IF(Skills!C13=2,90+Inputs!$B$26+Inputs!$B$29,IF(Skills!C13=3,120+Inputs!$B$27+Inputs!$B$29,MAX(0,(Inputs!$B$3-100)*3)+Inputs!$B$28+Inputs!$B$29)))</f>
        <v/>
      </c>
      <c r="E1659">
        <f>INDEX(FactorTable!$B$2:$Y$301, MATCH(ROUND(MIN(300,MAX(1,D1659)),0), FactorTable!$A$2:$A$301,0), Skills!M13+1)</f>
        <v/>
      </c>
      <c r="F1659">
        <f>IF(Skills!N13=TRUE,(Skills!L13/10)*(E1659/1000),Skills!L13/10)+Skills!O13</f>
        <v/>
      </c>
      <c r="G1659">
        <f>Skills!G13*IF(Skills!H13&gt;0,Skills!I13/Skills!H13,1)</f>
        <v/>
      </c>
      <c r="H1659">
        <f>1-(1-Skills!J13/100)^Skills!K13</f>
        <v/>
      </c>
      <c r="I1659" t="inlineStr">
        <is>
          <t>1</t>
        </is>
      </c>
      <c r="J1659" t="inlineStr"/>
      <c r="K1659" t="inlineStr"/>
      <c r="L1659" t="inlineStr"/>
      <c r="M1659" t="inlineStr"/>
      <c r="N1659" t="inlineStr"/>
      <c r="O1659">
        <f>(1-Summary!$B$11)*T1659+Summary!$B$11*V1659</f>
        <v/>
      </c>
      <c r="P1659">
        <f>IF(B1688=0,0,O1659/B1688)</f>
        <v/>
      </c>
      <c r="Q1659" t="n">
        <v>0</v>
      </c>
      <c r="R1659" t="n">
        <v>0</v>
      </c>
      <c r="S1659" t="n">
        <v>0</v>
      </c>
      <c r="T1659" t="n">
        <v>0</v>
      </c>
      <c r="V1659" t="n">
        <v>0</v>
      </c>
    </row>
    <row r="1660">
      <c r="A1660">
        <f>Skills!A14</f>
        <v/>
      </c>
      <c r="B1660">
        <f>Skills!B14</f>
        <v/>
      </c>
      <c r="C1660">
        <f>Inputs!$B$3&gt;=74</f>
        <v/>
      </c>
      <c r="D1660">
        <f>IF(Skills!C14=1,60+Inputs!$B$25+Inputs!$B$29,IF(Skills!C14=2,90+Inputs!$B$26+Inputs!$B$29,IF(Skills!C14=3,120+Inputs!$B$27+Inputs!$B$29,MAX(0,(Inputs!$B$3-100)*3)+Inputs!$B$28+Inputs!$B$29)))</f>
        <v/>
      </c>
      <c r="E1660">
        <f>INDEX(FactorTable!$B$2:$Y$301, MATCH(ROUND(MIN(300,MAX(1,D1660)),0), FactorTable!$A$2:$A$301,0), Skills!M14+1)</f>
        <v/>
      </c>
      <c r="F1660">
        <f>IF(Skills!N14=TRUE,(Skills!L14/10)*(E1660/1000),Skills!L14/10)+Skills!O14</f>
        <v/>
      </c>
      <c r="G1660">
        <f>Skills!G14*IF(Skills!H14&gt;0,Skills!I14/Skills!H14,1)</f>
        <v/>
      </c>
      <c r="H1660">
        <f>1-(1-Skills!J14/100)^Skills!K14</f>
        <v/>
      </c>
      <c r="I1660" t="inlineStr">
        <is>
          <t>1</t>
        </is>
      </c>
      <c r="J1660" t="inlineStr"/>
      <c r="K1660" t="inlineStr"/>
      <c r="L1660" t="inlineStr"/>
      <c r="M1660" t="inlineStr"/>
      <c r="N1660" t="inlineStr"/>
      <c r="O1660">
        <f>(1-Summary!$B$11)*T1660+Summary!$B$11*V1660</f>
        <v/>
      </c>
      <c r="P1660">
        <f>IF(B1688=0,0,O1660/B1688)</f>
        <v/>
      </c>
      <c r="Q1660" t="n">
        <v>0</v>
      </c>
      <c r="R1660" t="n">
        <v>0</v>
      </c>
      <c r="S1660" t="n">
        <v>0</v>
      </c>
      <c r="T1660" t="n">
        <v>0</v>
      </c>
      <c r="V1660" t="n">
        <v>0</v>
      </c>
    </row>
    <row r="1661">
      <c r="A1661">
        <f>Skills!A15</f>
        <v/>
      </c>
      <c r="B1661">
        <f>Skills!B15</f>
        <v/>
      </c>
      <c r="C1661">
        <f>Inputs!$B$3&gt;=117</f>
        <v/>
      </c>
      <c r="D1661">
        <f>IF(Skills!C15=1,60+Inputs!$B$25+Inputs!$B$29,IF(Skills!C15=2,90+Inputs!$B$26+Inputs!$B$29,IF(Skills!C15=3,120+Inputs!$B$27+Inputs!$B$29,MAX(0,(Inputs!$B$3-100)*3)+Inputs!$B$28+Inputs!$B$29)))</f>
        <v/>
      </c>
      <c r="E1661">
        <f>INDEX(FactorTable!$B$2:$Y$301, MATCH(ROUND(MIN(300,MAX(1,D1661)),0), FactorTable!$A$2:$A$301,0), Skills!M15+1)</f>
        <v/>
      </c>
      <c r="F1661">
        <f>IF(Skills!N15=TRUE,(Skills!L15/10)*(E1661/1000),Skills!L15/10)+Skills!O15</f>
        <v/>
      </c>
      <c r="G1661">
        <f>Skills!G15*IF(Skills!H15&gt;0,Skills!I15/Skills!H15,1)</f>
        <v/>
      </c>
      <c r="H1661">
        <f>1-(1-Skills!J15/100)^Skills!K15</f>
        <v/>
      </c>
      <c r="I1661" t="inlineStr">
        <is>
          <t>1</t>
        </is>
      </c>
      <c r="J1661" t="inlineStr"/>
      <c r="K1661" t="inlineStr"/>
      <c r="L1661" t="inlineStr"/>
      <c r="M1661" t="inlineStr"/>
      <c r="N1661" t="inlineStr"/>
      <c r="O1661">
        <f>(1-Summary!$B$11)*T1661+Summary!$B$11*V1661</f>
        <v/>
      </c>
      <c r="P1661">
        <f>IF(B1688=0,0,O1661/B1688)</f>
        <v/>
      </c>
      <c r="Q1661">
        <f>IFERROR(1/IF(Inputs!$B$38="pvp",15,MAX(0.1,Skills!D15-IF(Skills!E15=TRUE,Inputs!$B$32,0))),0)</f>
        <v/>
      </c>
      <c r="R1661">
        <f>IF(AND(Inputs!$B$38&lt;&gt;"pvp",Inputs!$B$43&gt;0),IF(Inputs!$B$43&lt;=0,0,(INT(Inputs!$B$43/IF(Inputs!$B$38="pvp",15,MAX(0.1,Skills!D15-IF(Skills!E15=TRUE,Inputs!$B$32,0))))+1)),0)</f>
        <v/>
      </c>
      <c r="S1661" t="n">
        <v>0</v>
      </c>
      <c r="T1661" t="n">
        <v>0</v>
      </c>
      <c r="V1661" t="n">
        <v>0</v>
      </c>
    </row>
    <row r="1662">
      <c r="A1662">
        <f>Skills!A16</f>
        <v/>
      </c>
      <c r="B1662">
        <f>Skills!B16</f>
        <v/>
      </c>
      <c r="C1662">
        <f>Inputs!$B$3&gt;=115</f>
        <v/>
      </c>
      <c r="D1662">
        <f>IF(Skills!C16=1,60+Inputs!$B$25+Inputs!$B$29,IF(Skills!C16=2,90+Inputs!$B$26+Inputs!$B$29,IF(Skills!C16=3,120+Inputs!$B$27+Inputs!$B$29,MAX(0,(Inputs!$B$3-100)*3)+Inputs!$B$28+Inputs!$B$29)))</f>
        <v/>
      </c>
      <c r="E1662">
        <f>INDEX(FactorTable!$B$2:$Y$301, MATCH(ROUND(MIN(300,MAX(1,D1662)),0), FactorTable!$A$2:$A$301,0), Skills!M16+1)</f>
        <v/>
      </c>
      <c r="F1662">
        <f>IF(Skills!N16=TRUE,(Skills!L16/10)*(E1662/1000),Skills!L16/10)+Skills!O16</f>
        <v/>
      </c>
      <c r="G1662">
        <f>Skills!G16*IF(Skills!H16&gt;0,Skills!I16/Skills!H16,1)</f>
        <v/>
      </c>
      <c r="H1662">
        <f>1-(1-Skills!J16/100)^Skills!K16</f>
        <v/>
      </c>
      <c r="I1662" t="inlineStr">
        <is>
          <t>1</t>
        </is>
      </c>
      <c r="J1662" t="inlineStr"/>
      <c r="K1662" t="inlineStr"/>
      <c r="L1662" t="inlineStr"/>
      <c r="M1662" t="inlineStr"/>
      <c r="N1662" t="inlineStr"/>
      <c r="O1662">
        <f>(1-Summary!$B$11)*T1662+Summary!$B$11*V1662</f>
        <v/>
      </c>
      <c r="P1662">
        <f>IF(B1688=0,0,O1662/B1688)</f>
        <v/>
      </c>
      <c r="Q1662">
        <f>IFERROR(1/IF(Inputs!$B$38="pvp",15,MAX(0.1,Skills!D16-IF(Skills!E16=TRUE,Inputs!$B$32,0))),0)</f>
        <v/>
      </c>
      <c r="R1662">
        <f>IF(AND(Inputs!$B$38&lt;&gt;"pvp",Inputs!$B$43&gt;0),IF(Inputs!$B$43&lt;=0,0,(INT(Inputs!$B$43/IF(Inputs!$B$38="pvp",15,MAX(0.1,Skills!D16-IF(Skills!E16=TRUE,Inputs!$B$32,0))))+1)),0)</f>
        <v/>
      </c>
      <c r="S1662" t="n">
        <v>0</v>
      </c>
      <c r="T1662" t="n">
        <v>0</v>
      </c>
      <c r="V1662" t="n">
        <v>0</v>
      </c>
    </row>
    <row r="1663">
      <c r="A1663">
        <f>Skills!A17</f>
        <v/>
      </c>
      <c r="B1663">
        <f>Skills!B17</f>
        <v/>
      </c>
      <c r="C1663">
        <f>Inputs!$B$3&gt;=72</f>
        <v/>
      </c>
      <c r="D1663">
        <f>IF(Skills!C17=1,60+Inputs!$B$25+Inputs!$B$29,IF(Skills!C17=2,90+Inputs!$B$26+Inputs!$B$29,IF(Skills!C17=3,120+Inputs!$B$27+Inputs!$B$29,MAX(0,(Inputs!$B$3-100)*3)+Inputs!$B$28+Inputs!$B$29)))</f>
        <v/>
      </c>
      <c r="E1663">
        <f>INDEX(FactorTable!$B$2:$Y$301, MATCH(ROUND(MIN(300,MAX(1,D1663)),0), FactorTable!$A$2:$A$301,0), Skills!M17+1)</f>
        <v/>
      </c>
      <c r="F1663">
        <f>IF(Skills!N17=TRUE,(Skills!L17/10)*(E1663/1000),Skills!L17/10)+Skills!O17</f>
        <v/>
      </c>
      <c r="G1663">
        <f>Skills!G17*IF(Skills!H17&gt;0,Skills!I17/Skills!H17,1)</f>
        <v/>
      </c>
      <c r="H1663">
        <f>1-(1-Skills!J17/100)^Skills!K17</f>
        <v/>
      </c>
      <c r="I1663" t="inlineStr">
        <is>
          <t>1</t>
        </is>
      </c>
      <c r="J1663" t="inlineStr"/>
      <c r="K1663" t="inlineStr"/>
      <c r="L1663" t="inlineStr"/>
      <c r="M1663" t="inlineStr"/>
      <c r="N1663" t="inlineStr"/>
      <c r="O1663">
        <f>(1-Summary!$B$11)*T1663+Summary!$B$11*V1663</f>
        <v/>
      </c>
      <c r="P1663">
        <f>IF(B1688=0,0,O1663/B1688)</f>
        <v/>
      </c>
      <c r="Q1663" t="n">
        <v>0</v>
      </c>
      <c r="R1663" t="n">
        <v>0</v>
      </c>
      <c r="S1663" t="n">
        <v>0</v>
      </c>
      <c r="T1663" t="n">
        <v>0</v>
      </c>
      <c r="V1663" t="n">
        <v>0</v>
      </c>
    </row>
    <row r="1664">
      <c r="A1664">
        <f>Skills!A18</f>
        <v/>
      </c>
      <c r="B1664">
        <f>Skills!B18</f>
        <v/>
      </c>
      <c r="C1664">
        <f>TRUE</f>
        <v/>
      </c>
      <c r="D1664">
        <f>IF(Skills!C18=1,60+Inputs!$B$25+Inputs!$B$29,IF(Skills!C18=2,90+Inputs!$B$26+Inputs!$B$29,IF(Skills!C18=3,120+Inputs!$B$27+Inputs!$B$29,MAX(0,(Inputs!$B$3-100)*3)+Inputs!$B$28+Inputs!$B$29)))</f>
        <v/>
      </c>
      <c r="E1664">
        <f>INDEX(FactorTable!$B$2:$Y$301, MATCH(ROUND(MIN(300,MAX(1,D1664)),0), FactorTable!$A$2:$A$301,0), Skills!M18+1)</f>
        <v/>
      </c>
      <c r="F1664">
        <f>IF(Skills!N18=TRUE,(Skills!L18/10)*(E1664/1000),Skills!L18/10)+Skills!O18</f>
        <v/>
      </c>
      <c r="G1664">
        <f>Skills!G18*IF(Skills!H18&gt;0,Skills!I18/Skills!H18,1)</f>
        <v/>
      </c>
      <c r="H1664">
        <f>1-(1-Skills!J18/100)^Skills!K18</f>
        <v/>
      </c>
      <c r="I1664" t="inlineStr">
        <is>
          <t>1</t>
        </is>
      </c>
      <c r="J1664" t="inlineStr"/>
      <c r="K1664" t="inlineStr"/>
      <c r="L1664" t="inlineStr"/>
      <c r="M1664" t="inlineStr"/>
      <c r="N1664" t="inlineStr"/>
      <c r="O1664">
        <f>(1-Summary!$B$11)*T1664+Summary!$B$11*V1664</f>
        <v/>
      </c>
      <c r="P1664">
        <f>IF(B1688=0,0,O1664/B1688)</f>
        <v/>
      </c>
      <c r="Q1664">
        <f>IFERROR(1/IF(Inputs!$B$38="pvp",15,MAX(0.1,Skills!D18-IF(Skills!E18=TRUE,Inputs!$B$32,0))),0)</f>
        <v/>
      </c>
      <c r="R1664">
        <f>IF(AND(Inputs!$B$38&lt;&gt;"pvp",Inputs!$B$43&gt;0),IF(Inputs!$B$43&lt;=0,0,(INT(Inputs!$B$43/IF(Inputs!$B$38="pvp",15,MAX(0.1,Skills!D18-IF(Skills!E18=TRUE,Inputs!$B$32,0))))+1)),0)</f>
        <v/>
      </c>
      <c r="S1664" t="n">
        <v>0</v>
      </c>
      <c r="T1664" t="n">
        <v>0</v>
      </c>
      <c r="V1664" t="n">
        <v>0</v>
      </c>
    </row>
    <row r="1665">
      <c r="A1665">
        <f>Skills!A19</f>
        <v/>
      </c>
      <c r="B1665">
        <f>Skills!B19</f>
        <v/>
      </c>
      <c r="C1665">
        <f>Inputs!$B$3&gt;=15</f>
        <v/>
      </c>
      <c r="D1665">
        <f>IF(Skills!C19=1,60+Inputs!$B$25+Inputs!$B$29,IF(Skills!C19=2,90+Inputs!$B$26+Inputs!$B$29,IF(Skills!C19=3,120+Inputs!$B$27+Inputs!$B$29,MAX(0,(Inputs!$B$3-100)*3)+Inputs!$B$28+Inputs!$B$29)))</f>
        <v/>
      </c>
      <c r="E1665">
        <f>INDEX(FactorTable!$B$2:$Y$301, MATCH(ROUND(MIN(300,MAX(1,D1665)),0), FactorTable!$A$2:$A$301,0), Skills!M19+1)</f>
        <v/>
      </c>
      <c r="F1665">
        <f>IF(Skills!N19=TRUE,(Skills!L19/10)*(E1665/1000),Skills!L19/10)+Skills!O19</f>
        <v/>
      </c>
      <c r="G1665">
        <f>Skills!G19*IF(Skills!H19&gt;0,Skills!I19/Skills!H19,1)</f>
        <v/>
      </c>
      <c r="H1665">
        <f>1-(1-Skills!J19/100)^Skills!K19</f>
        <v/>
      </c>
      <c r="I1665" t="inlineStr">
        <is>
          <t>1</t>
        </is>
      </c>
      <c r="J1665" t="inlineStr"/>
      <c r="K1665" t="inlineStr"/>
      <c r="L1665" t="inlineStr"/>
      <c r="M1665" t="inlineStr"/>
      <c r="N1665" t="inlineStr"/>
      <c r="O1665">
        <f>(1-Summary!$B$11)*T1665+Summary!$B$11*V1665</f>
        <v/>
      </c>
      <c r="P1665">
        <f>IF(B1688=0,0,O1665/B1688)</f>
        <v/>
      </c>
      <c r="Q1665" t="n">
        <v>0</v>
      </c>
      <c r="R1665" t="n">
        <v>0</v>
      </c>
      <c r="S1665" t="n">
        <v>0</v>
      </c>
      <c r="T1665" t="n">
        <v>0</v>
      </c>
      <c r="V1665" t="n">
        <v>0</v>
      </c>
    </row>
    <row r="1666">
      <c r="A1666">
        <f>Skills!A20</f>
        <v/>
      </c>
      <c r="B1666">
        <f>Skills!B20</f>
        <v/>
      </c>
      <c r="C1666">
        <f>Inputs!$B$3&gt;=10</f>
        <v/>
      </c>
      <c r="D1666">
        <f>IF(Skills!C20=1,60+Inputs!$B$25+Inputs!$B$29,IF(Skills!C20=2,90+Inputs!$B$26+Inputs!$B$29,IF(Skills!C20=3,120+Inputs!$B$27+Inputs!$B$29,MAX(0,(Inputs!$B$3-100)*3)+Inputs!$B$28+Inputs!$B$29)))</f>
        <v/>
      </c>
      <c r="E1666">
        <f>INDEX(FactorTable!$B$2:$Y$301, MATCH(ROUND(MIN(300,MAX(1,D1666)),0), FactorTable!$A$2:$A$301,0), Skills!M20+1)</f>
        <v/>
      </c>
      <c r="F1666">
        <f>IF(Skills!N20=TRUE,(Skills!L20/10)*(E1666/1000),Skills!L20/10)+Skills!O20</f>
        <v/>
      </c>
      <c r="G1666">
        <f>Skills!G20*IF(Skills!H20&gt;0,Skills!I20/Skills!H20,1)</f>
        <v/>
      </c>
      <c r="H1666">
        <f>1-(1-Skills!J20/100)^Skills!K20</f>
        <v/>
      </c>
      <c r="I1666" t="inlineStr">
        <is>
          <t>1</t>
        </is>
      </c>
      <c r="J1666" t="inlineStr"/>
      <c r="K1666" t="inlineStr"/>
      <c r="L1666" t="inlineStr"/>
      <c r="M1666" t="inlineStr"/>
      <c r="N1666" t="inlineStr"/>
      <c r="O1666">
        <f>(1-Summary!$B$11)*T1666+Summary!$B$11*V1666</f>
        <v/>
      </c>
      <c r="P1666">
        <f>IF(B1688=0,0,O1666/B1688)</f>
        <v/>
      </c>
      <c r="Q1666" t="n">
        <v>0</v>
      </c>
      <c r="R1666" t="n">
        <v>0</v>
      </c>
      <c r="S1666" t="n">
        <v>0</v>
      </c>
      <c r="T1666" t="n">
        <v>0</v>
      </c>
      <c r="V1666" t="n">
        <v>0</v>
      </c>
    </row>
    <row r="1667">
      <c r="A1667">
        <f>Skills!A21</f>
        <v/>
      </c>
      <c r="B1667">
        <f>Skills!B21</f>
        <v/>
      </c>
      <c r="C1667">
        <f>Inputs!$B$3&gt;=33</f>
        <v/>
      </c>
      <c r="D1667">
        <f>IF(Skills!C21=1,60+Inputs!$B$25+Inputs!$B$29,IF(Skills!C21=2,90+Inputs!$B$26+Inputs!$B$29,IF(Skills!C21=3,120+Inputs!$B$27+Inputs!$B$29,MAX(0,(Inputs!$B$3-100)*3)+Inputs!$B$28+Inputs!$B$29)))</f>
        <v/>
      </c>
      <c r="E1667">
        <f>INDEX(FactorTable!$B$2:$Y$301, MATCH(ROUND(MIN(300,MAX(1,D1667)),0), FactorTable!$A$2:$A$301,0), Skills!M21+1)</f>
        <v/>
      </c>
      <c r="F1667">
        <f>IF(Skills!N21=TRUE,(Skills!L21/10)*(E1667/1000),Skills!L21/10)+Skills!O21</f>
        <v/>
      </c>
      <c r="G1667">
        <f>Skills!G21*IF(Skills!H21&gt;0,Skills!I21/Skills!H21,1)</f>
        <v/>
      </c>
      <c r="H1667">
        <f>1-(1-Skills!J21/100)^Skills!K21</f>
        <v/>
      </c>
      <c r="I1667" t="inlineStr">
        <is>
          <t>1</t>
        </is>
      </c>
      <c r="J1667" t="inlineStr"/>
      <c r="K1667" t="inlineStr"/>
      <c r="L1667" t="inlineStr"/>
      <c r="M1667" t="inlineStr"/>
      <c r="N1667" t="inlineStr"/>
      <c r="O1667">
        <f>(1-Summary!$B$11)*T1667+Summary!$B$11*V1667</f>
        <v/>
      </c>
      <c r="P1667">
        <f>IF(B1688=0,0,O1667/B1688)</f>
        <v/>
      </c>
      <c r="Q1667" t="n">
        <v>0</v>
      </c>
      <c r="R1667" t="n">
        <v>0</v>
      </c>
      <c r="S1667" t="n">
        <v>0</v>
      </c>
      <c r="T1667" t="n">
        <v>0</v>
      </c>
      <c r="V1667" t="n">
        <v>0</v>
      </c>
    </row>
    <row r="1668">
      <c r="A1668">
        <f>Skills!A22</f>
        <v/>
      </c>
      <c r="B1668">
        <f>Skills!B22</f>
        <v/>
      </c>
      <c r="C1668">
        <f>Inputs!$B$3&gt;=38</f>
        <v/>
      </c>
      <c r="D1668">
        <f>IF(Skills!C22=1,60+Inputs!$B$25+Inputs!$B$29,IF(Skills!C22=2,90+Inputs!$B$26+Inputs!$B$29,IF(Skills!C22=3,120+Inputs!$B$27+Inputs!$B$29,MAX(0,(Inputs!$B$3-100)*3)+Inputs!$B$28+Inputs!$B$29)))</f>
        <v/>
      </c>
      <c r="E1668">
        <f>INDEX(FactorTable!$B$2:$Y$301, MATCH(ROUND(MIN(300,MAX(1,D1668)),0), FactorTable!$A$2:$A$301,0), Skills!M22+1)</f>
        <v/>
      </c>
      <c r="F1668">
        <f>IF(Skills!N22=TRUE,(Skills!L22/10)*(E1668/1000),Skills!L22/10)+Skills!O22</f>
        <v/>
      </c>
      <c r="G1668">
        <f>Skills!G22*IF(Skills!H22&gt;0,Skills!I22/Skills!H22,1)</f>
        <v/>
      </c>
      <c r="H1668">
        <f>1-(1-Skills!J22/100)^Skills!K22</f>
        <v/>
      </c>
      <c r="I1668" t="inlineStr">
        <is>
          <t>1</t>
        </is>
      </c>
      <c r="J1668" t="inlineStr"/>
      <c r="K1668" t="inlineStr"/>
      <c r="L1668" t="inlineStr"/>
      <c r="M1668" t="inlineStr"/>
      <c r="N1668" t="inlineStr"/>
      <c r="O1668">
        <f>(1-Summary!$B$11)*T1668+Summary!$B$11*V1668</f>
        <v/>
      </c>
      <c r="P1668">
        <f>IF(B1688=0,0,O1668/B1688)</f>
        <v/>
      </c>
      <c r="Q1668" t="n">
        <v>0</v>
      </c>
      <c r="R1668" t="n">
        <v>0</v>
      </c>
      <c r="S1668" t="n">
        <v>0</v>
      </c>
      <c r="T1668" t="n">
        <v>0</v>
      </c>
      <c r="V1668" t="n">
        <v>0</v>
      </c>
    </row>
    <row r="1669">
      <c r="A1669">
        <f>Skills!A23</f>
        <v/>
      </c>
      <c r="B1669">
        <f>Skills!B23</f>
        <v/>
      </c>
      <c r="C1669">
        <f>Inputs!$B$3&gt;=43</f>
        <v/>
      </c>
      <c r="D1669">
        <f>IF(Skills!C23=1,60+Inputs!$B$25+Inputs!$B$29,IF(Skills!C23=2,90+Inputs!$B$26+Inputs!$B$29,IF(Skills!C23=3,120+Inputs!$B$27+Inputs!$B$29,MAX(0,(Inputs!$B$3-100)*3)+Inputs!$B$28+Inputs!$B$29)))</f>
        <v/>
      </c>
      <c r="E1669">
        <f>INDEX(FactorTable!$B$2:$Y$301, MATCH(ROUND(MIN(300,MAX(1,D1669)),0), FactorTable!$A$2:$A$301,0), Skills!M23+1)</f>
        <v/>
      </c>
      <c r="F1669">
        <f>IF(Skills!N23=TRUE,(Skills!L23/10)*(E1669/1000),Skills!L23/10)+Skills!O23</f>
        <v/>
      </c>
      <c r="G1669">
        <f>Skills!G23*IF(Skills!H23&gt;0,Skills!I23/Skills!H23,1)</f>
        <v/>
      </c>
      <c r="H1669">
        <f>1-(1-Skills!J23/100)^Skills!K23</f>
        <v/>
      </c>
      <c r="I1669" t="inlineStr">
        <is>
          <t>1</t>
        </is>
      </c>
      <c r="J1669" t="inlineStr"/>
      <c r="K1669" t="inlineStr"/>
      <c r="L1669" t="inlineStr"/>
      <c r="M1669" t="inlineStr"/>
      <c r="N1669" t="inlineStr"/>
      <c r="O1669">
        <f>(1-Summary!$B$11)*T1669+Summary!$B$11*V1669</f>
        <v/>
      </c>
      <c r="P1669">
        <f>IF(B1688=0,0,O1669/B1688)</f>
        <v/>
      </c>
      <c r="Q1669" t="n">
        <v>0</v>
      </c>
      <c r="R1669" t="n">
        <v>0</v>
      </c>
      <c r="S1669" t="n">
        <v>0</v>
      </c>
      <c r="T1669" t="n">
        <v>0</v>
      </c>
      <c r="V1669" t="n">
        <v>0</v>
      </c>
    </row>
    <row r="1670">
      <c r="A1670">
        <f>Skills!A24</f>
        <v/>
      </c>
      <c r="B1670">
        <f>Skills!B24</f>
        <v/>
      </c>
      <c r="C1670">
        <f>Inputs!$B$3&gt;=75</f>
        <v/>
      </c>
      <c r="D1670">
        <f>IF(Skills!C24=1,60+Inputs!$B$25+Inputs!$B$29,IF(Skills!C24=2,90+Inputs!$B$26+Inputs!$B$29,IF(Skills!C24=3,120+Inputs!$B$27+Inputs!$B$29,MAX(0,(Inputs!$B$3-100)*3)+Inputs!$B$28+Inputs!$B$29)))</f>
        <v/>
      </c>
      <c r="E1670">
        <f>INDEX(FactorTable!$B$2:$Y$301, MATCH(ROUND(MIN(300,MAX(1,D1670)),0), FactorTable!$A$2:$A$301,0), Skills!M24+1)</f>
        <v/>
      </c>
      <c r="F1670">
        <f>IF(Skills!N24=TRUE,(Skills!L24/10)*(E1670/1000),Skills!L24/10)+Skills!O24</f>
        <v/>
      </c>
      <c r="G1670">
        <f>Skills!G24*IF(Skills!H24&gt;0,Skills!I24/Skills!H24,1)</f>
        <v/>
      </c>
      <c r="H1670">
        <f>1-(1-Skills!J24/100)^Skills!K24</f>
        <v/>
      </c>
      <c r="I1670" t="inlineStr">
        <is>
          <t>1</t>
        </is>
      </c>
      <c r="J1670" t="inlineStr"/>
      <c r="K1670" t="inlineStr"/>
      <c r="L1670" t="inlineStr"/>
      <c r="M1670" t="inlineStr"/>
      <c r="N1670" t="inlineStr"/>
      <c r="O1670">
        <f>(1-Summary!$B$11)*T1670+Summary!$B$11*V1670</f>
        <v/>
      </c>
      <c r="P1670">
        <f>IF(B1688=0,0,O1670/B1688)</f>
        <v/>
      </c>
      <c r="Q1670" t="n">
        <v>0</v>
      </c>
      <c r="R1670" t="n">
        <v>0</v>
      </c>
      <c r="S1670" t="n">
        <v>0</v>
      </c>
      <c r="T1670" t="n">
        <v>0</v>
      </c>
      <c r="V1670" t="n">
        <v>0</v>
      </c>
    </row>
    <row r="1671">
      <c r="A1671">
        <f>Skills!A25</f>
        <v/>
      </c>
      <c r="B1671">
        <f>Skills!B25</f>
        <v/>
      </c>
      <c r="C1671">
        <f>Inputs!$B$3&gt;=125</f>
        <v/>
      </c>
      <c r="D1671">
        <f>IF(Skills!C25=1,60+Inputs!$B$25+Inputs!$B$29,IF(Skills!C25=2,90+Inputs!$B$26+Inputs!$B$29,IF(Skills!C25=3,120+Inputs!$B$27+Inputs!$B$29,MAX(0,(Inputs!$B$3-100)*3)+Inputs!$B$28+Inputs!$B$29)))</f>
        <v/>
      </c>
      <c r="E1671">
        <f>INDEX(FactorTable!$B$2:$Y$301, MATCH(ROUND(MIN(300,MAX(1,D1671)),0), FactorTable!$A$2:$A$301,0), Skills!M25+1)</f>
        <v/>
      </c>
      <c r="F1671">
        <f>IF(Skills!N25=TRUE,(Skills!L25/10)*(E1671/1000),Skills!L25/10)+Skills!O25</f>
        <v/>
      </c>
      <c r="G1671">
        <f>Skills!G25*IF(Skills!H25&gt;0,Skills!I25/Skills!H25,1)</f>
        <v/>
      </c>
      <c r="H1671">
        <f>1-(1-Skills!J25/100)^Skills!K25</f>
        <v/>
      </c>
      <c r="I1671" t="inlineStr">
        <is>
          <t>1</t>
        </is>
      </c>
      <c r="J1671" t="inlineStr"/>
      <c r="K1671" t="inlineStr"/>
      <c r="L1671" t="inlineStr"/>
      <c r="M1671" t="inlineStr"/>
      <c r="N1671" t="inlineStr"/>
      <c r="O1671">
        <f>(1-Summary!$B$11)*T1671+Summary!$B$11*V1671</f>
        <v/>
      </c>
      <c r="P1671">
        <f>IF(B1688=0,0,O1671/B1688)</f>
        <v/>
      </c>
      <c r="Q1671" t="n">
        <v>0</v>
      </c>
      <c r="R1671" t="n">
        <v>0</v>
      </c>
      <c r="S1671" t="n">
        <v>0</v>
      </c>
      <c r="T1671" t="n">
        <v>0</v>
      </c>
      <c r="V1671" t="n">
        <v>0</v>
      </c>
    </row>
    <row r="1672">
      <c r="A1672">
        <f>Skills!A26</f>
        <v/>
      </c>
      <c r="B1672">
        <f>Skills!B26</f>
        <v/>
      </c>
      <c r="C1672">
        <f>Inputs!$B$3&gt;=125</f>
        <v/>
      </c>
      <c r="D1672">
        <f>IF(Skills!C26=1,60+Inputs!$B$25+Inputs!$B$29,IF(Skills!C26=2,90+Inputs!$B$26+Inputs!$B$29,IF(Skills!C26=3,120+Inputs!$B$27+Inputs!$B$29,MAX(0,(Inputs!$B$3-100)*3)+Inputs!$B$28+Inputs!$B$29)))</f>
        <v/>
      </c>
      <c r="E1672">
        <f>INDEX(FactorTable!$B$2:$Y$301, MATCH(ROUND(MIN(300,MAX(1,D1672)),0), FactorTable!$A$2:$A$301,0), Skills!M26+1)</f>
        <v/>
      </c>
      <c r="F1672">
        <f>IF(Skills!N26=TRUE,(Skills!L26/10)*(E1672/1000),Skills!L26/10)+Skills!O26</f>
        <v/>
      </c>
      <c r="G1672">
        <f>Skills!G26*IF(Skills!H26&gt;0,Skills!I26/Skills!H26,1)</f>
        <v/>
      </c>
      <c r="H1672">
        <f>1-(1-Skills!J26/100)^Skills!K26</f>
        <v/>
      </c>
      <c r="I1672" t="inlineStr">
        <is>
          <t>1</t>
        </is>
      </c>
      <c r="J1672" t="inlineStr"/>
      <c r="K1672" t="inlineStr"/>
      <c r="L1672" t="inlineStr"/>
      <c r="M1672" t="inlineStr"/>
      <c r="N1672" t="inlineStr"/>
      <c r="O1672">
        <f>(1-Summary!$B$11)*T1672+Summary!$B$11*V1672</f>
        <v/>
      </c>
      <c r="P1672">
        <f>IF(B1688=0,0,O1672/B1688)</f>
        <v/>
      </c>
      <c r="Q1672" t="n">
        <v>0</v>
      </c>
      <c r="R1672" t="n">
        <v>0</v>
      </c>
      <c r="S1672" t="n">
        <v>0</v>
      </c>
      <c r="T1672" t="n">
        <v>0</v>
      </c>
      <c r="V1672" t="n">
        <v>0</v>
      </c>
    </row>
    <row r="1673">
      <c r="A1673">
        <f>Skills!A27</f>
        <v/>
      </c>
      <c r="B1673">
        <f>Skills!B27</f>
        <v/>
      </c>
      <c r="C1673">
        <f>Inputs!$B$3&gt;=120</f>
        <v/>
      </c>
      <c r="D1673">
        <f>IF(Skills!C27=1,60+Inputs!$B$25+Inputs!$B$29,IF(Skills!C27=2,90+Inputs!$B$26+Inputs!$B$29,IF(Skills!C27=3,120+Inputs!$B$27+Inputs!$B$29,MAX(0,(Inputs!$B$3-100)*3)+Inputs!$B$28+Inputs!$B$29)))</f>
        <v/>
      </c>
      <c r="E1673">
        <f>INDEX(FactorTable!$B$2:$Y$301, MATCH(ROUND(MIN(300,MAX(1,D1673)),0), FactorTable!$A$2:$A$301,0), Skills!M27+1)</f>
        <v/>
      </c>
      <c r="F1673">
        <f>IF(Skills!N27=TRUE,(Skills!L27/10)*(E1673/1000),Skills!L27/10)+Skills!O27</f>
        <v/>
      </c>
      <c r="G1673">
        <f>Skills!G27*IF(Skills!H27&gt;0,Skills!I27/Skills!H27,1)</f>
        <v/>
      </c>
      <c r="H1673">
        <f>1-(1-Skills!J27/100)^Skills!K27</f>
        <v/>
      </c>
      <c r="I1673" t="inlineStr">
        <is>
          <t>1</t>
        </is>
      </c>
      <c r="J1673" t="inlineStr"/>
      <c r="K1673" t="inlineStr"/>
      <c r="L1673" t="inlineStr"/>
      <c r="M1673" t="inlineStr"/>
      <c r="N1673" t="inlineStr"/>
      <c r="O1673">
        <f>(1-Summary!$B$11)*T1673+Summary!$B$11*V1673</f>
        <v/>
      </c>
      <c r="P1673">
        <f>IF(B1688=0,0,O1673/B1688)</f>
        <v/>
      </c>
      <c r="Q1673" t="n">
        <v>0</v>
      </c>
      <c r="R1673" t="n">
        <v>0</v>
      </c>
      <c r="S1673" t="n">
        <v>0</v>
      </c>
      <c r="T1673" t="n">
        <v>0</v>
      </c>
      <c r="V1673" t="n">
        <v>0</v>
      </c>
    </row>
    <row r="1674">
      <c r="A1674">
        <f>Skills!A28</f>
        <v/>
      </c>
      <c r="B1674">
        <f>Skills!B28</f>
        <v/>
      </c>
      <c r="C1674">
        <f>Inputs!$B$3&gt;=120</f>
        <v/>
      </c>
      <c r="D1674">
        <f>IF(Skills!C28=1,60+Inputs!$B$25+Inputs!$B$29,IF(Skills!C28=2,90+Inputs!$B$26+Inputs!$B$29,IF(Skills!C28=3,120+Inputs!$B$27+Inputs!$B$29,MAX(0,(Inputs!$B$3-100)*3)+Inputs!$B$28+Inputs!$B$29)))</f>
        <v/>
      </c>
      <c r="E1674">
        <f>INDEX(FactorTable!$B$2:$Y$301, MATCH(ROUND(MIN(300,MAX(1,D1674)),0), FactorTable!$A$2:$A$301,0), Skills!M28+1)</f>
        <v/>
      </c>
      <c r="F1674">
        <f>IF(Skills!N28=TRUE,(Skills!L28/10)*(E1674/1000),Skills!L28/10)+Skills!O28</f>
        <v/>
      </c>
      <c r="G1674">
        <f>Skills!G28*IF(Skills!H28&gt;0,Skills!I28/Skills!H28,1)</f>
        <v/>
      </c>
      <c r="H1674">
        <f>1-(1-Skills!J28/100)^Skills!K28</f>
        <v/>
      </c>
      <c r="I1674" t="inlineStr">
        <is>
          <t>1</t>
        </is>
      </c>
      <c r="J1674" t="inlineStr"/>
      <c r="K1674" t="inlineStr"/>
      <c r="L1674" t="inlineStr"/>
      <c r="M1674" t="inlineStr"/>
      <c r="N1674" t="inlineStr"/>
      <c r="O1674">
        <f>(1-Summary!$B$11)*T1674+Summary!$B$11*V1674</f>
        <v/>
      </c>
      <c r="P1674">
        <f>IF(B1688=0,0,O1674/B1688)</f>
        <v/>
      </c>
      <c r="Q1674" t="n">
        <v>0</v>
      </c>
      <c r="R1674" t="n">
        <v>0</v>
      </c>
      <c r="S1674" t="n">
        <v>0</v>
      </c>
      <c r="T1674" t="n">
        <v>0</v>
      </c>
      <c r="V1674" t="n">
        <v>0</v>
      </c>
    </row>
    <row r="1675">
      <c r="A1675">
        <f>Skills!A29</f>
        <v/>
      </c>
      <c r="B1675">
        <f>Skills!B29</f>
        <v/>
      </c>
      <c r="C1675">
        <f>Inputs!$B$3&gt;=45</f>
        <v/>
      </c>
      <c r="D1675">
        <f>IF(Skills!C29=1,60+Inputs!$B$25+Inputs!$B$29,IF(Skills!C29=2,90+Inputs!$B$26+Inputs!$B$29,IF(Skills!C29=3,120+Inputs!$B$27+Inputs!$B$29,MAX(0,(Inputs!$B$3-100)*3)+Inputs!$B$28+Inputs!$B$29)))</f>
        <v/>
      </c>
      <c r="E1675">
        <f>INDEX(FactorTable!$B$2:$Y$301, MATCH(ROUND(MIN(300,MAX(1,D1675)),0), FactorTable!$A$2:$A$301,0), Skills!M29+1)</f>
        <v/>
      </c>
      <c r="F1675">
        <f>IF(Skills!N29=TRUE,(Skills!L29/10)*(E1675/1000),Skills!L29/10)+Skills!O29</f>
        <v/>
      </c>
      <c r="G1675">
        <f>Skills!G29*IF(Skills!H29&gt;0,Skills!I29/Skills!H29,1)</f>
        <v/>
      </c>
      <c r="H1675">
        <f>1-(1-Skills!J29/100)^Skills!K29</f>
        <v/>
      </c>
      <c r="I1675" t="inlineStr">
        <is>
          <t>1</t>
        </is>
      </c>
      <c r="J1675" t="inlineStr"/>
      <c r="K1675" t="inlineStr"/>
      <c r="L1675" t="inlineStr"/>
      <c r="M1675" t="inlineStr"/>
      <c r="N1675" t="inlineStr"/>
      <c r="O1675">
        <f>(1-Summary!$B$11)*T1675+Summary!$B$11*V1675</f>
        <v/>
      </c>
      <c r="P1675">
        <f>IF(B1688=0,0,O1675/B1688)</f>
        <v/>
      </c>
      <c r="Q1675" t="n">
        <v>0</v>
      </c>
      <c r="R1675" t="n">
        <v>0</v>
      </c>
      <c r="S1675" t="n">
        <v>0</v>
      </c>
      <c r="T1675" t="n">
        <v>0</v>
      </c>
      <c r="V1675" t="n">
        <v>0</v>
      </c>
    </row>
    <row r="1677">
      <c r="A1677" t="inlineStr">
        <is>
          <t>Attack% Bucket Multiplier</t>
        </is>
      </c>
      <c r="B1677">
        <f>(1+(((C1659=TRUE)*F1659)+((C1660=TRUE)*IF(Inputs!$B$38="pvp",F1660,(1-Summary!$B$11)*(F1660)+Summary!$B$11*(0)))+((C1661=TRUE)*F1661*IF(AND(Inputs!$B$38&lt;&gt;"pvp",Inputs!$B$43&gt;0),(((R1661-1)*(Skills!T15*(1+Inputs!$B$34/100))+MIN((Skills!T15*(1+Inputs!$B$34/100)),MAX(0,Inputs!$B$43-((R1661-1)*Skills!D15))))/Inputs!$B$43),IF(Inputs!$B$38="pvp",MIN((Skills!T15*(1+Inputs!$B$34/100)),15)/15,(Skills!T15*(1+Inputs!$B$34/100))/Skills!D15)))+((C1658=TRUE)*F1658)+((C1675=TRUE)*(F1675-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1678">
      <c r="A1678" t="inlineStr">
        <is>
          <t>Global Crit Rate Bonus %</t>
        </is>
      </c>
      <c r="B1678">
        <f>(C1662=TRUE)*20*IF(AND(Inputs!$B$38&lt;&gt;"pvp",Inputs!$B$43&gt;0),(((R1662-1)*(Skills!T16*(1+Inputs!$B$34/100))+MIN((Skills!T16*(1+Inputs!$B$34/100)),MAX(0,Inputs!$B$43-((R1662-1)*Skills!D16))))/Inputs!$B$43),IF(Inputs!$B$38="pvp",MIN((Skills!T16*(1+Inputs!$B$34/100)),15)/15,(Skills!T16*(1+Inputs!$B$34/100))/Skills!D16))</f>
        <v/>
      </c>
    </row>
    <row r="1679">
      <c r="A1679" t="inlineStr">
        <is>
          <t>Attack Speed Buff Bonus %</t>
        </is>
      </c>
      <c r="B1679">
        <f>((C1664=TRUE)*F1664*IF(AND(Inputs!$B$38&lt;&gt;"pvp",Inputs!$B$43&gt;0),(((R1664-1)*(Skills!T18*(1+Inputs!$B$34/100))+MIN((Skills!T18*(1+Inputs!$B$34/100)),MAX(0,Inputs!$B$43-((R1664-1)*Skills!D18))))/Inputs!$B$43),IF(Inputs!$B$38="pvp",MIN((Skills!T18*(1+Inputs!$B$34/100)),15)/15,(Skills!T18*(1+Inputs!$B$34/100))/Skills!D18)))</f>
        <v/>
      </c>
    </row>
    <row r="1680">
      <c r="A1680" t="inlineStr">
        <is>
          <t>Actions Per Second</t>
        </is>
      </c>
      <c r="B1680">
        <f>1+MIN(150,150*(1-(1-(Inputs!$B$11+((C1666=TRUE)*(F1666-Calc!F20))+((C1667=TRUE)*(F1667-Calc!F21)))/150)*(1-B1679/150)))/100</f>
        <v/>
      </c>
    </row>
    <row r="1681">
      <c r="A1681" t="inlineStr">
        <is>
          <t>Skill + Buff Cast Rate</t>
        </is>
      </c>
      <c r="B1681">
        <f>IF(AND(Inputs!$B$38&lt;&gt;"pvp",Inputs!$B$43&gt;0),SUMPRODUCT((Skills!E2:E29=TRUE)*(C1648:C1675=TRUE)*R1648:R1675*Skills!F2:F29)/Inputs!$B$43,SUMPRODUCT((Skills!E2:E29=TRUE)*(C1648:C1675=TRUE)*Q1648:Q1675*Skills!F2:F29))</f>
        <v/>
      </c>
    </row>
    <row r="1682">
      <c r="A1682" t="inlineStr">
        <is>
          <t>Empowered Piercing Arrow Casts Per Second</t>
        </is>
      </c>
      <c r="B1682">
        <f>MAX(0,B1680-B1681)</f>
        <v/>
      </c>
    </row>
    <row r="1683">
      <c r="A1683" t="inlineStr">
        <is>
          <t>Global Critical Damage Bonus % (Sharp Eyes)</t>
        </is>
      </c>
      <c r="B1683">
        <f>(C1662=TRUE)*F1662*IF(AND(Inputs!$B$38&lt;&gt;"pvp",Inputs!$B$43&gt;0),(((R1662-1)*(Skills!T16*(1+Inputs!$B$34/100))+MIN((Skills!T16*(1+Inputs!$B$34/100)),MAX(0,Inputs!$B$43-((R1662-1)*Skills!D16))))/Inputs!$B$43),IF(Inputs!$B$38="pvp",MIN((Skills!T16*(1+Inputs!$B$34/100)),15)/15,(Skills!T16*(1+Inputs!$B$34/100))/Skills!D16))</f>
        <v/>
      </c>
    </row>
    <row r="1684">
      <c r="A1684" t="inlineStr">
        <is>
          <t>Global Final Damage Bonus % (Mortal Blow + Last Man Standing conditional half)</t>
        </is>
      </c>
      <c r="B1684">
        <f>(C1663=TRUE)*F1663+((C1672=TRUE)*IF(Inputs!$B$38="pvp",F1672,(1-Summary!$B$11)*(F1672)+Summary!$B$11*(0)))</f>
        <v/>
      </c>
    </row>
    <row r="1685">
      <c r="A1685" t="inlineStr">
        <is>
          <t>Buff-Casting Startup Delay (s, fixed-duration only)</t>
        </is>
      </c>
      <c r="B1685">
        <f>IF(AND(Inputs!$B$38&lt;&gt;"pvp",Inputs!$B$43&gt;0),SUMPRODUCT((Skills!T2:T29&gt;0)*(Skills!E2:E29=TRUE)*(C1648:C1675=TRUE))/B1680,0)</f>
        <v/>
      </c>
    </row>
    <row r="1686">
      <c r="A1686" t="inlineStr">
        <is>
          <t>Boss-Only Total DPS (this block's swept value)</t>
        </is>
      </c>
      <c r="B1686">
        <f>SUM(T1648:T1675)</f>
        <v/>
      </c>
    </row>
    <row r="1687">
      <c r="A1687" t="inlineStr">
        <is>
          <t>Normal-Only Total DPS (this block's swept value)</t>
        </is>
      </c>
      <c r="B1687">
        <f>SUM(V1648:V1675)</f>
        <v/>
      </c>
    </row>
    <row r="1688">
      <c r="A1688" s="6" t="inlineStr">
        <is>
          <t>TOTAL DPS</t>
        </is>
      </c>
      <c r="B1688" s="6">
        <f>SUM(O1648:O1675)</f>
        <v/>
      </c>
    </row>
    <row r="1691">
      <c r="A1691" s="6" t="inlineStr">
        <is>
          <t>Stat: Zakum's Stone Piece (Equip)</t>
        </is>
      </c>
    </row>
    <row r="1692">
      <c r="A1692" s="5" t="inlineStr">
        <is>
          <t>Key</t>
        </is>
      </c>
      <c r="B1692" s="5" t="inlineStr">
        <is>
          <t>Name</t>
        </is>
      </c>
      <c r="C1692" s="5" t="inlineStr">
        <is>
          <t>Unlocked</t>
        </is>
      </c>
      <c r="D1692" s="5" t="inlineStr">
        <is>
          <t>InputLevel</t>
        </is>
      </c>
      <c r="E1692" s="5" t="inlineStr">
        <is>
          <t>Factor</t>
        </is>
      </c>
      <c r="F1692" s="5" t="inlineStr">
        <is>
          <t>CoefficientPercent</t>
        </is>
      </c>
      <c r="G1692" s="5" t="inlineStr">
        <is>
          <t>EffectiveHits</t>
        </is>
      </c>
      <c r="H1692" s="5" t="inlineStr">
        <is>
          <t>ProcProbability</t>
        </is>
      </c>
      <c r="I1692" s="5" t="inlineStr">
        <is>
          <t>MapleHeroMultiplier</t>
        </is>
      </c>
      <c r="J1692" s="5" t="inlineStr">
        <is>
          <t>BaseDamage</t>
        </is>
      </c>
      <c r="K1692" s="5" t="inlineStr">
        <is>
          <t>BaseHitDamage</t>
        </is>
      </c>
      <c r="L1692" s="5" t="inlineStr">
        <is>
          <t>NonCritAvg</t>
        </is>
      </c>
      <c r="M1692" s="5" t="inlineStr">
        <is>
          <t>CritAvg</t>
        </is>
      </c>
      <c r="N1692" s="5" t="inlineStr">
        <is>
          <t>ExpectedDamage(perHit)</t>
        </is>
      </c>
      <c r="O1692" s="5" t="inlineStr">
        <is>
          <t>DPS</t>
        </is>
      </c>
      <c r="P1692" s="5" t="inlineStr">
        <is>
          <t>% of Total</t>
        </is>
      </c>
      <c r="Q1692" s="5" t="inlineStr">
        <is>
          <t>InvCooldown</t>
        </is>
      </c>
      <c r="R1692" s="5" t="inlineStr">
        <is>
          <t>CastsInFight</t>
        </is>
      </c>
      <c r="S1692" s="5" t="inlineStr">
        <is>
          <t>HitRate(perSec)</t>
        </is>
      </c>
      <c r="U1692" t="inlineStr">
        <is>
          <t>helpers</t>
        </is>
      </c>
    </row>
    <row r="1693">
      <c r="A1693">
        <f>Skills!A2</f>
        <v/>
      </c>
      <c r="B1693">
        <f>Skills!B2</f>
        <v/>
      </c>
      <c r="C1693">
        <f>Inputs!$B$3&gt;=100</f>
        <v/>
      </c>
      <c r="D1693" t="inlineStr"/>
      <c r="E1693" t="inlineStr"/>
      <c r="F1693">
        <f>U1695+Skills!O2</f>
        <v/>
      </c>
      <c r="G1693">
        <f>Skills!G2*IF(Skills!H2&gt;0,Skills!I2/Skills!H2,1)</f>
        <v/>
      </c>
      <c r="H1693">
        <f>1-(1-Skills!J2/100)^Skills!K2</f>
        <v/>
      </c>
      <c r="I1693" t="inlineStr">
        <is>
          <t>1</t>
        </is>
      </c>
      <c r="J1693">
        <f>((Inputs!$B$6*(1+Inputs!$B$7/100))+(((Inputs!$B$12*(1+Inputs!$B$13/100))-(Inputs!$B$12*(1+Inputs!$B$13/100)))+0.25*(Inputs!$B$14-Inputs!$B$14))*(1+Inputs!$B$7/100))*(F1693/100)</f>
        <v/>
      </c>
      <c r="K1693">
        <f>J1693*(1+((Inputs!$B$12*(1+Inputs!$B$13/100))*0.01+Inputs!$B$14*0.0025)/100)*(1+Inputs!$B$15/100)*(1+Inputs!$B$16/100)*(5000/(6000+Inputs!$B$42*(1-(100*(1-(1-(Inputs!$B$19+0)/100)*(1-CHOOSE(ArtifactsInput!$N$40+1,5,6,7,8,9,10)/100)^(ArtifactsInput!$M$40-ArtifactsInput!$M$40)))/100)))*(1+(Inputs!$B$24+((C1715=TRUE)*(F1715-Calc!F24))+((C1716=TRUE)*(F1716-Calc!F25))+B1729)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EMPOWERED_PIERCING_ARROW",Inputs!$B$17+((C1713=TRUE)*(F1713-Calc!F22))+(((IF(AND(ArtifactsInput!$M$42,((Inputs!$B$9+((C1710=TRUE)*(F1710-Calc!F19))+B1723+(ArtifactsInput!$M$24-ArtifactsInput!$M$24)*CHOOSE(ArtifactsInput!$N$24+1,10,12,14,16,18,20)+IF(ArtifactsInput!$M$10,CHOOSE(ArtifactsInput!$N$10+1,15,18,21,24,27,30)*(IF(Inputs!$B$38="pvp",MIN(15,15)/15,IF(AND(Inputs!$B$38&lt;&gt;"pvp",Inputs!$B$43&gt;0),MIN(15,Inputs!$B$43)/(Inputs!$B$43),0))),0)))&gt;=100),MIN(100,((Inputs!$B$9+((C1710=TRUE)*(F1710-Calc!F19))+B1723+(ArtifactsInput!$M$24-ArtifactsInput!$M$24)*CHOOSE(ArtifactsInput!$N$24+1,10,12,14,16,18,20)+IF(ArtifactsInput!$M$10,CHOOSE(ArtifactsInput!$N$10+1,15,18,21,24,27,30)*(IF(Inputs!$B$38="pvp",MIN(15,15)/15,IF(AND(Inputs!$B$38&lt;&gt;"pvp",Inputs!$B$43&gt;0),MIN(15,Inputs!$B$43)/(Inputs!$B$43),0))),0)))-100),0))*CHOOSE(ArtifactsInput!$N$42+1,0.6,0.72,0.84,0.96,1.08,1.2))),Inputs!$B$18+((C1718=TRUE)*(F1718-Calc!F27))+(IF(AND(ArtifactsInput!$M$42,((Inputs!$B$9+((C1710=TRUE)*(F1710-Calc!F19))+B1723+(ArtifactsInput!$M$24-ArtifactsInput!$M$24)*CHOOSE(ArtifactsInput!$N$24+1,10,12,14,16,18,20)+IF(ArtifactsInput!$M$10,CHOOSE(ArtifactsInput!$N$10+1,15,18,21,24,27,30)*(IF(Inputs!$B$38="pvp",MIN(15,15)/15,IF(AND(Inputs!$B$38&lt;&gt;"pvp",Inputs!$B$43&gt;0),MIN(15,Inputs!$B$43)/(Inputs!$B$43),0))),0)))&gt;=100),CHOOSE(ArtifactsInput!$N$42+1,40,48,56,64,72,80),0))))/100)*((1+(((C1704=TRUE)*F1704)+((C1705=TRUE)*IF(Inputs!$B$38="pvp",F1705,(1-Summary!$B$11)*(F1705)+Summary!$B$11*(0)))+((C1706=TRUE)*F1706*IF(AND(Inputs!$B$38&lt;&gt;"pvp",Inputs!$B$43&gt;0),(((R1706-1)*(Skills!T15*(1+Inputs!$B$34/100))+MIN((Skills!T15*(1+Inputs!$B$34/100)),MAX(0,Inputs!$B$43-((R1706-1)*Skills!D15))))/Inputs!$B$43),IF(Inputs!$B$38="pvp",MIN((Skills!T15*(1+Inputs!$B$34/100)),15)/15,(Skills!T15*(1+Inputs!$B$34/100))/Skills!D15)))+((C1703=TRUE)*F1703)+((C1720=TRUE)*(F1720-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1693)</f>
        <v/>
      </c>
      <c r="L1693">
        <f>K1693*(MIN(Inputs!$B$22+((C1714=TRUE)*(F1714-Calc!F23)),(Inputs!$B$23+((C1719=TRUE)*(F1719-Calc!F28))+(IF(ArtifactsInput!$M$15,CHOOSE(ArtifactsInput!$N$15+1,25,30,35,40,45,50)/100*(Inputs!$B$11-Inputs!$B$11),0))))/100+(Inputs!$B$23+((C1719=TRUE)*(F1719-Calc!F28))+(IF(ArtifactsInput!$M$15,CHOOSE(ArtifactsInput!$N$15+1,25,30,35,40,45,50)/100*(Inputs!$B$11-Inputs!$B$11),0)))/100)/2</f>
        <v/>
      </c>
      <c r="M1693">
        <f>L1693*(1+(Inputs!$B$10+0+B1728+(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693">
        <f>L1693*(1-MIN((Inputs!$B$9+((C1710=TRUE)*(F1710-Calc!F19))+B1723+(ArtifactsInput!$M$24-ArtifactsInput!$M$24)*CHOOSE(ArtifactsInput!$N$24+1,10,12,14,16,18,20)+(IF(AND(ArtifactsInput!$M$42,((Inputs!$B$9+((C1710=TRUE)*(F1710-Calc!F19))+B1723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1693*(MIN((Inputs!$B$9+((C1710=TRUE)*(F1710-Calc!F19))+B1723+(ArtifactsInput!$M$24-ArtifactsInput!$M$24)*CHOOSE(ArtifactsInput!$N$24+1,10,12,14,16,18,20)+(IF(AND(ArtifactsInput!$M$42,((Inputs!$B$9+((C1710=TRUE)*(F1710-Calc!F19))+B1723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693">
        <f>(1-Summary!$B$11)*T1693+Summary!$B$11*V1693</f>
        <v/>
      </c>
      <c r="P1693">
        <f>IF(B1733=0,0,O1693/B1733)</f>
        <v/>
      </c>
      <c r="Q1693" t="n">
        <v>0</v>
      </c>
      <c r="R1693" t="n">
        <v>0</v>
      </c>
      <c r="S1693">
        <f>IFERROR((Skills!G2*N1693*B1727)/N1693*IF(Inputs!$B$38="pvp",1,(1-Summary!$B$11)*1+Summary!$B$11*(MIN((6+Inputs!$B$33),Inputs!$B$37))),0)</f>
        <v/>
      </c>
      <c r="T1693">
        <f>IF(C1693,(Skills!G2*N1693*B1727)*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Hunt"),CHOOSE(ArtifactsInput!$N$35+1,15,18,21,24,27,30)*(1-EXP(-(0.2*B1725)*5)),0)+IF(AND(ArtifactsInput!$M$22,Inputs!$B$4&lt;&gt;"Chapter Hunt"),CHOOSE(ArtifactsInput!$N$22+1,10,12,14,16,18,20)*((0*(((0.15*B1725*5))^0/1)+1*(((0.15*B1725*5))^1/1)+2*(((0.15*B1725*5))^2/2)+3*(((0.15*B1725*5))^3/6)+4*(((0.15*B1725*5))^4/24)+5*(((0.15*B1725*5))^5/120))/((((0.15*B1725*5))^0/1)+(((0.15*B1725*5))^1/1)+(((0.15*B1725*5))^2/2)+(((0.15*B1725*5))^3/6)+(((0.15*B1725*5))^4/24)+(((0.15*B1725*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1693*(1-MIN(100,(Inputs!$B$9+((C1710=TRUE)*(F1710-Calc!F19))+B1723+(ArtifactsInput!$M$24-ArtifactsInput!$M$24)*CHOOSE(ArtifactsInput!$N$24+1,10,12,14,16,18,20)+(IF(AND(ArtifactsInput!$M$42,((Inputs!$B$9+((C1710=TRUE)*(F1710-Calc!F19))+B1723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1693*(MIN(100,(Inputs!$B$9+((C1710=TRUE)*(F1710-Calc!F19))+B1723+(ArtifactsInput!$M$24-ArtifactsInput!$M$24)*CHOOSE(ArtifactsInput!$N$24+1,10,12,14,16,18,20)+(IF(AND(ArtifactsInput!$M$42,((Inputs!$B$9+((C1710=TRUE)*(F1710-Calc!F19))+B1723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1693*(1-MIN(100,(Inputs!$B$9+((C1710=TRUE)*(F1710-Calc!F19))+B1723+(ArtifactsInput!$M$24-ArtifactsInput!$M$24)*CHOOSE(ArtifactsInput!$N$24+1,10,12,14,16,18,20)+(IF(AND(ArtifactsInput!$M$42,((Inputs!$B$9+((C1710=TRUE)*(F1710-Calc!F19))+B1723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1693*(MIN(100,(Inputs!$B$9+((C1710=TRUE)*(F1710-Calc!F19))+B1723+(ArtifactsInput!$M$24-ArtifactsInput!$M$24)*CHOOSE(ArtifactsInput!$N$24+1,10,12,14,16,18,20)+(IF(AND(ArtifactsInput!$M$42,((Inputs!$B$9+((C1710=TRUE)*(F1710-Calc!F19))+B1723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693">
        <f>MAX(0,(Inputs!$B$3-100)*3)+Inputs!$B$28+Inputs!$B$29</f>
        <v/>
      </c>
      <c r="V1693">
        <f>IF(C1693,(Skills!G2*N1693*B1727)*IF(Inputs!$B$38="pvp",1,(1+(Inputs!$B$21+Skills!Q2+(IF(ArtifactsInput!$M$33,CHOOSE(ArtifactsInput!$N$33+1,30,36,42,48,54,60),0))+(IF(AND(ArtifactsInput!$M$35,Inputs!$B$4&lt;&gt;"Chapter Hunt"),CHOOSE(ArtifactsInput!$N$35+1,15,18,21,24,27,30)*(1-EXP(-(0.2*B1725)*5)),0)+IF(AND(ArtifactsInput!$M$22,Inputs!$B$4&lt;&gt;"Chapter Hunt"),CHOOSE(ArtifactsInput!$N$22+1,10,12,14,16,18,20)*((0*(((0.15*B1725*5))^0/1)+1*(((0.15*B1725*5))^1/1)+2*(((0.15*B1725*5))^2/2)+3*(((0.15*B1725*5))^3/6)+4*(((0.15*B1725*5))^4/24)+5*(((0.15*B1725*5))^5/120))/((((0.15*B1725*5))^0/1)+(((0.15*B1725*5))^1/1)+(((0.15*B1725*5))^2/2)+(((0.15*B1725*5))^3/6)+(((0.15*B1725*5))^4/24)+(((0.15*B1725*5))^5/120)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694">
      <c r="A1694">
        <f>Skills!A3</f>
        <v/>
      </c>
      <c r="B1694">
        <f>Skills!B3</f>
        <v/>
      </c>
      <c r="C1694">
        <f>Inputs!$B$3&gt;=50</f>
        <v/>
      </c>
      <c r="D1694">
        <f>IF(Skills!C3=1,60+Inputs!$B$25+Inputs!$B$29,IF(Skills!C3=2,90+Inputs!$B$26+Inputs!$B$29,IF(Skills!C3=3,120+Inputs!$B$27+Inputs!$B$29,MAX(0,(Inputs!$B$3-100)*3)+Inputs!$B$28+Inputs!$B$29)))</f>
        <v/>
      </c>
      <c r="E1694">
        <f>INDEX(FactorTable!$B$2:$Y$301, MATCH(ROUND(MIN(300,MAX(1,D1694)),0), FactorTable!$A$2:$A$301,0), Skills!M3+1)</f>
        <v/>
      </c>
      <c r="F1694">
        <f>IF(Skills!N3=TRUE,(Skills!L3/10)*(E1694/1000),Skills!L3/10)+Skills!O3</f>
        <v/>
      </c>
      <c r="G1694" t="inlineStr"/>
      <c r="H1694" t="inlineStr"/>
      <c r="I1694" t="inlineStr">
        <is>
          <t>1</t>
        </is>
      </c>
      <c r="J1694" t="inlineStr"/>
      <c r="K1694" t="inlineStr"/>
      <c r="L1694" t="inlineStr"/>
      <c r="M1694" t="inlineStr"/>
      <c r="N1694" t="inlineStr"/>
      <c r="O1694" t="inlineStr"/>
      <c r="P1694" t="inlineStr"/>
      <c r="Q1694" t="inlineStr"/>
      <c r="R1694" t="inlineStr"/>
      <c r="S1694" t="inlineStr"/>
      <c r="T1694" t="inlineStr"/>
      <c r="U1694">
        <f>INDEX(FactorTable!$B$2:$Y$301, MATCH(ROUND(MIN(300,MAX(1,U1693)),0), FactorTable!$A$2:$A$301,0), 22)</f>
        <v/>
      </c>
      <c r="V1694" t="inlineStr"/>
    </row>
    <row r="1695">
      <c r="A1695">
        <f>Skills!A4</f>
        <v/>
      </c>
      <c r="B1695">
        <f>Skills!B4</f>
        <v/>
      </c>
      <c r="C1695">
        <f>Inputs!$B$3&gt;=105</f>
        <v/>
      </c>
      <c r="D1695">
        <f>IF(Skills!C4=1,60+Inputs!$B$25+Inputs!$B$29,IF(Skills!C4=2,90+Inputs!$B$26+Inputs!$B$29,IF(Skills!C4=3,120+Inputs!$B$27+Inputs!$B$29,MAX(0,(Inputs!$B$3-100)*3)+Inputs!$B$28+Inputs!$B$29)))</f>
        <v/>
      </c>
      <c r="E1695">
        <f>INDEX(FactorTable!$B$2:$Y$301, MATCH(ROUND(MIN(300,MAX(1,D1695)),0), FactorTable!$A$2:$A$301,0), Skills!M4+1)</f>
        <v/>
      </c>
      <c r="F1695">
        <f>IF(Skills!N4=TRUE,(Skills!L4/10)*(E1695/1000),Skills!L4/10)+Skills!O4</f>
        <v/>
      </c>
      <c r="G1695" t="inlineStr"/>
      <c r="H1695" t="inlineStr"/>
      <c r="I1695" t="inlineStr">
        <is>
          <t>1</t>
        </is>
      </c>
      <c r="J1695" t="inlineStr"/>
      <c r="K1695" t="inlineStr"/>
      <c r="L1695" t="inlineStr"/>
      <c r="M1695" t="inlineStr"/>
      <c r="N1695" t="inlineStr"/>
      <c r="O1695" t="inlineStr"/>
      <c r="P1695" t="inlineStr"/>
      <c r="Q1695" t="inlineStr"/>
      <c r="R1695" t="inlineStr"/>
      <c r="S1695" t="inlineStr"/>
      <c r="T1695" t="inlineStr"/>
      <c r="U1695">
        <f>290*U1694/1000</f>
        <v/>
      </c>
      <c r="V1695" t="inlineStr"/>
    </row>
    <row r="1696">
      <c r="A1696">
        <f>Skills!A5</f>
        <v/>
      </c>
      <c r="B1696">
        <f>Skills!B5</f>
        <v/>
      </c>
      <c r="C1696">
        <f>Inputs!$B$3&gt;=35</f>
        <v/>
      </c>
      <c r="D1696">
        <f>IF(Skills!C5=1,60+Inputs!$B$25+Inputs!$B$29,IF(Skills!C5=2,90+Inputs!$B$26+Inputs!$B$29,IF(Skills!C5=3,120+Inputs!$B$27+Inputs!$B$29,MAX(0,(Inputs!$B$3-100)*3)+Inputs!$B$28+Inputs!$B$29)))</f>
        <v/>
      </c>
      <c r="E1696">
        <f>INDEX(FactorTable!$B$2:$Y$301, MATCH(ROUND(MIN(300,MAX(1,D1696)),0), FactorTable!$A$2:$A$301,0), Skills!M5+1)</f>
        <v/>
      </c>
      <c r="F1696">
        <f>IF(Skills!N5=TRUE,(Skills!L5/10)*(E1696/1000),Skills!L5/10)+Skills!O5</f>
        <v/>
      </c>
      <c r="G1696">
        <f>Skills!G5*IF(Skills!H5&gt;0,Skills!I5/Skills!H5,1)</f>
        <v/>
      </c>
      <c r="H1696">
        <f>1-(1-Skills!J5/100)^Skills!K5</f>
        <v/>
      </c>
      <c r="I1696" t="inlineStr">
        <is>
          <t>1</t>
        </is>
      </c>
      <c r="J1696">
        <f>((Inputs!$B$6*(1+Inputs!$B$7/100))+(((Inputs!$B$12*(1+Inputs!$B$13/100))-(Inputs!$B$12*(1+Inputs!$B$13/100)))+0.25*(Inputs!$B$14-Inputs!$B$14))*(1+Inputs!$B$7/100))*(F1696/100)</f>
        <v/>
      </c>
      <c r="K1696">
        <f>J1696*(1+((Inputs!$B$12*(1+Inputs!$B$13/100))*0.01+Inputs!$B$14*0.0025)/100)*(1+Inputs!$B$15/100)*(1+Inputs!$B$16/100)*(5000/(6000+Inputs!$B$42*(1-(100*(1-(1-(Inputs!$B$19+0)/100)*(1-CHOOSE(ArtifactsInput!$N$40+1,5,6,7,8,9,10)/100)^(ArtifactsInput!$M$40-ArtifactsInput!$M$40)))/100)))*(1+(Inputs!$B$24+((C1715=TRUE)*(F1715-Calc!F24))+((C1716=TRUE)*(F1716-Calc!F25))+B1729)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1699=TRUE,F1699,0)/100)*(1+(IF(Skills!A5="EMPOWERED_PIERCING_ARROW",Inputs!$B$17+((C1713=TRUE)*(F1713-Calc!F22))+(((IF(AND(ArtifactsInput!$M$42,((Inputs!$B$9+((C1710=TRUE)*(F1710-Calc!F19))+B1723+(ArtifactsInput!$M$24-ArtifactsInput!$M$24)*CHOOSE(ArtifactsInput!$N$24+1,10,12,14,16,18,20)+IF(ArtifactsInput!$M$10,CHOOSE(ArtifactsInput!$N$10+1,15,18,21,24,27,30)*(IF(Inputs!$B$38="pvp",MIN(15,15)/15,IF(AND(Inputs!$B$38&lt;&gt;"pvp",Inputs!$B$43&gt;0),MIN(15,Inputs!$B$43)/(Inputs!$B$43),0))),0)))&gt;=100),MIN(100,((Inputs!$B$9+((C1710=TRUE)*(F1710-Calc!F19))+B1723+(ArtifactsInput!$M$24-ArtifactsInput!$M$24)*CHOOSE(ArtifactsInput!$N$24+1,10,12,14,16,18,20)+IF(ArtifactsInput!$M$10,CHOOSE(ArtifactsInput!$N$10+1,15,18,21,24,27,30)*(IF(Inputs!$B$38="pvp",MIN(15,15)/15,IF(AND(Inputs!$B$38&lt;&gt;"pvp",Inputs!$B$43&gt;0),MIN(15,Inputs!$B$43)/(Inputs!$B$43),0))),0)))-100),0))*CHOOSE(ArtifactsInput!$N$42+1,0.6,0.72,0.84,0.96,1.08,1.2))),Inputs!$B$18+((C1718=TRUE)*(F1718-Calc!F27))+(IF(AND(ArtifactsInput!$M$42,((Inputs!$B$9+((C1710=TRUE)*(F1710-Calc!F19))+B1723+(ArtifactsInput!$M$24-ArtifactsInput!$M$24)*CHOOSE(ArtifactsInput!$N$24+1,10,12,14,16,18,20)+IF(ArtifactsInput!$M$10,CHOOSE(ArtifactsInput!$N$10+1,15,18,21,24,27,30)*(IF(Inputs!$B$38="pvp",MIN(15,15)/15,IF(AND(Inputs!$B$38&lt;&gt;"pvp",Inputs!$B$43&gt;0),MIN(15,Inputs!$B$43)/(Inputs!$B$43),0))),0)))&gt;=100),CHOOSE(ArtifactsInput!$N$42+1,40,48,56,64,72,80),0))))/100)*((1+(((C1704=TRUE)*F1704)+((C1705=TRUE)*IF(Inputs!$B$38="pvp",F1705,(1-Summary!$B$11)*(F1705)+Summary!$B$11*(0)))+((C1706=TRUE)*F1706*IF(AND(Inputs!$B$38&lt;&gt;"pvp",Inputs!$B$43&gt;0),(((R1706-1)*(Skills!T15*(1+Inputs!$B$34/100))+MIN((Skills!T15*(1+Inputs!$B$34/100)),MAX(0,Inputs!$B$43-((R1706-1)*Skills!D15))))/Inputs!$B$43),IF(Inputs!$B$38="pvp",MIN((Skills!T15*(1+Inputs!$B$34/100)),15)/15,(Skills!T15*(1+Inputs!$B$34/100))/Skills!D15)))+((C1703=TRUE)*F1703)+((C1720=TRUE)*(F1720-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1696)</f>
        <v/>
      </c>
      <c r="L1696">
        <f>K1696*(MIN(Inputs!$B$22+((C1714=TRUE)*(F1714-Calc!F23)),(Inputs!$B$23+((C1719=TRUE)*(F1719-Calc!F28))+(IF(ArtifactsInput!$M$15,CHOOSE(ArtifactsInput!$N$15+1,25,30,35,40,45,50)/100*(Inputs!$B$11-Inputs!$B$11),0))))/100+(Inputs!$B$23+((C1719=TRUE)*(F1719-Calc!F28))+(IF(ArtifactsInput!$M$15,CHOOSE(ArtifactsInput!$N$15+1,25,30,35,40,45,50)/100*(Inputs!$B$11-Inputs!$B$11),0)))/100)/2</f>
        <v/>
      </c>
      <c r="M1696">
        <f>L1696*(1+(Inputs!$B$10+0+B1728+(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696">
        <f>L1696*(1-MIN((Inputs!$B$9+((C1710=TRUE)*(F1710-Calc!F19))+B1723+(ArtifactsInput!$M$24-ArtifactsInput!$M$24)*CHOOSE(ArtifactsInput!$N$24+1,10,12,14,16,18,20)+(IF(AND(ArtifactsInput!$M$42,((Inputs!$B$9+((C1710=TRUE)*(F1710-Calc!F19))+B1723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1696*(MIN((Inputs!$B$9+((C1710=TRUE)*(F1710-Calc!F19))+B1723+(ArtifactsInput!$M$24-ArtifactsInput!$M$24)*CHOOSE(ArtifactsInput!$N$24+1,10,12,14,16,18,20)+(IF(AND(ArtifactsInput!$M$42,((Inputs!$B$9+((C1710=TRUE)*(F1710-Calc!F19))+B1723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696">
        <f>(1-Summary!$B$11)*T1696+Summary!$B$11*V1696</f>
        <v/>
      </c>
      <c r="P1696">
        <f>IF(B1733=0,0,O1696/B1733)</f>
        <v/>
      </c>
      <c r="Q1696">
        <f>IFERROR(1/IF(Inputs!$B$38="pvp",15,MAX(0.1,Skills!D5-IF(Skills!E5=TRUE,Inputs!$B$32,0))),0)</f>
        <v/>
      </c>
      <c r="R1696">
        <f>IF(AND(Inputs!$B$38&lt;&gt;"pvp",Inputs!$B$43&gt;0),IF(MAX(0,Inputs!$B$43-B1730)&lt;=0,0,(INT(MAX(0,Inputs!$B$43-B1730)/IF(Inputs!$B$38="pvp",15,MAX(0.1,Skills!D5-IF(Skills!E5=TRUE,Inputs!$B$32,0))))+1)),0)</f>
        <v/>
      </c>
      <c r="S1696">
        <f>IFERROR((H1696*N1696*IF(AND(Inputs!$B$38&lt;&gt;"pvp",Inputs!$B$43&gt;0),((Skills!G5*((R1696-1)*IF(Skills!H5&gt;0,Skills!I5/Skills!H5,1)+IF(Skills!H5&gt;0,MIN(Skills!I5,MAX(0,MAX(0,Inputs!$B$43-B1730)-((R1696-1)*IF(Inputs!$B$38="pvp",15,MAX(0.1,Skills!D5-IF(Skills!E5=TRUE,Inputs!$B$32,0))))))/Skills!H5,1)))/Inputs!$B$43),G1696*Q1696))/N1696*IF(Inputs!$B$38="pvp",1,(1-Summary!$B$11)*1+Summary!$B$11*(MIN(Skills!R5,Inputs!$B$37))),0)</f>
        <v/>
      </c>
      <c r="T1696">
        <f>IF(C1696,(H1696*N1696*IF(AND(Inputs!$B$38&lt;&gt;"pvp",Inputs!$B$43&gt;0),((Skills!G5*((R1696-1)*IF(Skills!H5&gt;0,Skills!I5/Skills!H5,1)+IF(Skills!H5&gt;0,MIN(Skills!I5,MAX(0,MAX(0,Inputs!$B$43-B1730)-((R1696-1)*IF(Inputs!$B$38="pvp",15,MAX(0.1,Skills!D5-IF(Skills!E5=TRUE,Inputs!$B$32,0))))))/Skills!H5,1)))/Inputs!$B$43),G1696*Q1696))*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Hunt"),CHOOSE(ArtifactsInput!$N$35+1,15,18,21,24,27,30)*(1-EXP(-(0.2*B1725)*5)),0)+IF(AND(ArtifactsInput!$M$22,Inputs!$B$4&lt;&gt;"Chapter Hunt"),CHOOSE(ArtifactsInput!$N$22+1,10,12,14,16,18,20)*((0*(((0.15*B1725*5))^0/1)+1*(((0.15*B1725*5))^1/1)+2*(((0.15*B1725*5))^2/2)+3*(((0.15*B1725*5))^3/6)+4*(((0.15*B1725*5))^4/24)+5*(((0.15*B1725*5))^5/120))/((((0.15*B1725*5))^0/1)+(((0.15*B1725*5))^1/1)+(((0.15*B1725*5))^2/2)+(((0.15*B1725*5))^3/6)+(((0.15*B1725*5))^4/24)+(((0.15*B1725*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1696*(1-MIN(100,(Inputs!$B$9+((C1710=TRUE)*(F1710-Calc!F19))+B1723+(ArtifactsInput!$M$24-ArtifactsInput!$M$24)*CHOOSE(ArtifactsInput!$N$24+1,10,12,14,16,18,20)+(IF(AND(ArtifactsInput!$M$42,((Inputs!$B$9+((C1710=TRUE)*(F1710-Calc!F19))+B1723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1696*(MIN(100,(Inputs!$B$9+((C1710=TRUE)*(F1710-Calc!F19))+B1723+(ArtifactsInput!$M$24-ArtifactsInput!$M$24)*CHOOSE(ArtifactsInput!$N$24+1,10,12,14,16,18,20)+(IF(AND(ArtifactsInput!$M$42,((Inputs!$B$9+((C1710=TRUE)*(F1710-Calc!F19))+B1723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1696*(1-MIN(100,(Inputs!$B$9+((C1710=TRUE)*(F1710-Calc!F19))+B1723+(ArtifactsInput!$M$24-ArtifactsInput!$M$24)*CHOOSE(ArtifactsInput!$N$24+1,10,12,14,16,18,20)+(IF(AND(ArtifactsInput!$M$42,((Inputs!$B$9+((C1710=TRUE)*(F1710-Calc!F19))+B1723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1696*(MIN(100,(Inputs!$B$9+((C1710=TRUE)*(F1710-Calc!F19))+B1723+(ArtifactsInput!$M$24-ArtifactsInput!$M$24)*CHOOSE(ArtifactsInput!$N$24+1,10,12,14,16,18,20)+(IF(AND(ArtifactsInput!$M$42,((Inputs!$B$9+((C1710=TRUE)*(F1710-Calc!F19))+B1723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696">
        <f>IF(C1696,(H1696*N1696*IF(AND(Inputs!$B$38&lt;&gt;"pvp",Inputs!$B$43&gt;0),((Skills!G5*((R1696-1)*IF(Skills!H5&gt;0,Skills!I5/Skills!H5,1)+IF(Skills!H5&gt;0,MIN(Skills!I5,MAX(0,MAX(0,Inputs!$B$43-B1730)-((R1696-1)*IF(Inputs!$B$38="pvp",15,MAX(0.1,Skills!D5-IF(Skills!E5=TRUE,Inputs!$B$32,0))))))/Skills!H5,1)))/Inputs!$B$43),G1696*Q1696))*IF(Inputs!$B$38="pvp",1,(1+(Inputs!$B$21+Skills!Q5+(IF(ArtifactsInput!$M$33,CHOOSE(ArtifactsInput!$N$33+1,30,36,42,48,54,60),0))+(IF(AND(ArtifactsInput!$M$35,Inputs!$B$4&lt;&gt;"Chapter Hunt"),CHOOSE(ArtifactsInput!$N$35+1,15,18,21,24,27,30)*(1-EXP(-(0.2*B1725)*5)),0)+IF(AND(ArtifactsInput!$M$22,Inputs!$B$4&lt;&gt;"Chapter Hunt"),CHOOSE(ArtifactsInput!$N$22+1,10,12,14,16,18,20)*((0*(((0.15*B1725*5))^0/1)+1*(((0.15*B1725*5))^1/1)+2*(((0.15*B1725*5))^2/2)+3*(((0.15*B1725*5))^3/6)+4*(((0.15*B1725*5))^4/24)+5*(((0.15*B1725*5))^5/120))/((((0.15*B1725*5))^0/1)+(((0.15*B1725*5))^1/1)+(((0.15*B1725*5))^2/2)+(((0.15*B1725*5))^3/6)+(((0.15*B1725*5))^4/24)+(((0.15*B1725*5))^5/120)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697">
      <c r="A1697">
        <f>Skills!A6</f>
        <v/>
      </c>
      <c r="B1697">
        <f>Skills!B6</f>
        <v/>
      </c>
      <c r="C1697">
        <f>Inputs!$B$3&gt;=63</f>
        <v/>
      </c>
      <c r="D1697">
        <f>IF(Skills!C6=1,60+Inputs!$B$25+Inputs!$B$29,IF(Skills!C6=2,90+Inputs!$B$26+Inputs!$B$29,IF(Skills!C6=3,120+Inputs!$B$27+Inputs!$B$29,MAX(0,(Inputs!$B$3-100)*3)+Inputs!$B$28+Inputs!$B$29)))</f>
        <v/>
      </c>
      <c r="E1697">
        <f>INDEX(FactorTable!$B$2:$Y$301, MATCH(ROUND(MIN(300,MAX(1,D1697)),0), FactorTable!$A$2:$A$301,0), Skills!M6+1)</f>
        <v/>
      </c>
      <c r="F1697">
        <f>IF(Skills!N6=TRUE,(Skills!L6/10)*(E1697/1000),Skills!L6/10)+Skills!O6</f>
        <v/>
      </c>
      <c r="G1697">
        <f>Skills!G6*IF(Skills!H6&gt;0,Skills!I6/Skills!H6,1)</f>
        <v/>
      </c>
      <c r="H1697">
        <f>1-(1-Skills!J6/100)^Skills!K6</f>
        <v/>
      </c>
      <c r="I1697" t="inlineStr">
        <is>
          <t>1</t>
        </is>
      </c>
      <c r="J1697">
        <f>((Inputs!$B$6*(1+Inputs!$B$7/100))+(((Inputs!$B$12*(1+Inputs!$B$13/100))-(Inputs!$B$12*(1+Inputs!$B$13/100)))+0.25*(Inputs!$B$14-Inputs!$B$14))*(1+Inputs!$B$7/100))*(F1697/100)</f>
        <v/>
      </c>
      <c r="K1697">
        <f>J1697*(1+((Inputs!$B$12*(1+Inputs!$B$13/100))*0.01+Inputs!$B$14*0.0025)/100)*(1+Inputs!$B$15/100)*(1+Inputs!$B$16/100)*(5000/(6000+Inputs!$B$42*(1-(100*(1-(1-(Inputs!$B$19+0)/100)*(1-CHOOSE(ArtifactsInput!$N$40+1,5,6,7,8,9,10)/100)^(ArtifactsInput!$M$40-ArtifactsInput!$M$40)))/100)))*(1+(Inputs!$B$24+((C1715=TRUE)*(F1715-Calc!F24))+((C1716=TRUE)*(F1716-Calc!F25))+B1729)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1699=TRUE,F1699,0)/100)*(1+(IF(Skills!A6="EMPOWERED_PIERCING_ARROW",Inputs!$B$17+((C1713=TRUE)*(F1713-Calc!F22))+(((IF(AND(ArtifactsInput!$M$42,((Inputs!$B$9+((C1710=TRUE)*(F1710-Calc!F19))+B1723+(ArtifactsInput!$M$24-ArtifactsInput!$M$24)*CHOOSE(ArtifactsInput!$N$24+1,10,12,14,16,18,20)+IF(ArtifactsInput!$M$10,CHOOSE(ArtifactsInput!$N$10+1,15,18,21,24,27,30)*(IF(Inputs!$B$38="pvp",MIN(15,15)/15,IF(AND(Inputs!$B$38&lt;&gt;"pvp",Inputs!$B$43&gt;0),MIN(15,Inputs!$B$43)/(Inputs!$B$43),0))),0)))&gt;=100),MIN(100,((Inputs!$B$9+((C1710=TRUE)*(F1710-Calc!F19))+B1723+(ArtifactsInput!$M$24-ArtifactsInput!$M$24)*CHOOSE(ArtifactsInput!$N$24+1,10,12,14,16,18,20)+IF(ArtifactsInput!$M$10,CHOOSE(ArtifactsInput!$N$10+1,15,18,21,24,27,30)*(IF(Inputs!$B$38="pvp",MIN(15,15)/15,IF(AND(Inputs!$B$38&lt;&gt;"pvp",Inputs!$B$43&gt;0),MIN(15,Inputs!$B$43)/(Inputs!$B$43),0))),0)))-100),0))*CHOOSE(ArtifactsInput!$N$42+1,0.6,0.72,0.84,0.96,1.08,1.2))),Inputs!$B$18+((C1718=TRUE)*(F1718-Calc!F27))+(IF(AND(ArtifactsInput!$M$42,((Inputs!$B$9+((C1710=TRUE)*(F1710-Calc!F19))+B1723+(ArtifactsInput!$M$24-ArtifactsInput!$M$24)*CHOOSE(ArtifactsInput!$N$24+1,10,12,14,16,18,20)+IF(ArtifactsInput!$M$10,CHOOSE(ArtifactsInput!$N$10+1,15,18,21,24,27,30)*(IF(Inputs!$B$38="pvp",MIN(15,15)/15,IF(AND(Inputs!$B$38&lt;&gt;"pvp",Inputs!$B$43&gt;0),MIN(15,Inputs!$B$43)/(Inputs!$B$43),0))),0)))&gt;=100),CHOOSE(ArtifactsInput!$N$42+1,40,48,56,64,72,80),0))))/100)*((1+(((C1704=TRUE)*F1704)+((C1705=TRUE)*IF(Inputs!$B$38="pvp",F1705,(1-Summary!$B$11)*(F1705)+Summary!$B$11*(0)))+((C1706=TRUE)*F1706*IF(AND(Inputs!$B$38&lt;&gt;"pvp",Inputs!$B$43&gt;0),(((R1706-1)*(Skills!T15*(1+Inputs!$B$34/100))+MIN((Skills!T15*(1+Inputs!$B$34/100)),MAX(0,Inputs!$B$43-((R1706-1)*Skills!D15))))/Inputs!$B$43),IF(Inputs!$B$38="pvp",MIN((Skills!T15*(1+Inputs!$B$34/100)),15)/15,(Skills!T15*(1+Inputs!$B$34/100))/Skills!D15)))+((C1703=TRUE)*F1703)+((C1720=TRUE)*(F1720-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1697)</f>
        <v/>
      </c>
      <c r="L1697">
        <f>K1697*(MIN(Inputs!$B$22+((C1714=TRUE)*(F1714-Calc!F23)),(Inputs!$B$23+((C1719=TRUE)*(F1719-Calc!F28))+(IF(ArtifactsInput!$M$15,CHOOSE(ArtifactsInput!$N$15+1,25,30,35,40,45,50)/100*(Inputs!$B$11-Inputs!$B$11),0))))/100+(Inputs!$B$23+((C1719=TRUE)*(F1719-Calc!F28))+(IF(ArtifactsInput!$M$15,CHOOSE(ArtifactsInput!$N$15+1,25,30,35,40,45,50)/100*(Inputs!$B$11-Inputs!$B$11),0)))/100)/2</f>
        <v/>
      </c>
      <c r="M1697">
        <f>L1697*(1+(Inputs!$B$10+0+B1728+(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697">
        <f>L1697*(1-MIN((Inputs!$B$9+((C1710=TRUE)*(F1710-Calc!F19))+B1723+(ArtifactsInput!$M$24-ArtifactsInput!$M$24)*CHOOSE(ArtifactsInput!$N$24+1,10,12,14,16,18,20)+(IF(AND(ArtifactsInput!$M$42,((Inputs!$B$9+((C1710=TRUE)*(F1710-Calc!F19))+B1723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1697*(MIN((Inputs!$B$9+((C1710=TRUE)*(F1710-Calc!F19))+B1723+(ArtifactsInput!$M$24-ArtifactsInput!$M$24)*CHOOSE(ArtifactsInput!$N$24+1,10,12,14,16,18,20)+(IF(AND(ArtifactsInput!$M$42,((Inputs!$B$9+((C1710=TRUE)*(F1710-Calc!F19))+B1723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697">
        <f>(1-Summary!$B$11)*T1697+Summary!$B$11*V1697</f>
        <v/>
      </c>
      <c r="P1697">
        <f>IF(B1733=0,0,O1697/B1733)</f>
        <v/>
      </c>
      <c r="Q1697">
        <f>IFERROR(1/IF(Inputs!$B$38="pvp",15,MAX(0.1,Skills!D6-IF(Skills!E6=TRUE,Inputs!$B$32,0))),0)</f>
        <v/>
      </c>
      <c r="R1697">
        <f>IF(AND(Inputs!$B$38&lt;&gt;"pvp",Inputs!$B$43&gt;0),IF(MAX(0,Inputs!$B$43-B1730)&lt;=0,0,(INT(MAX(0,Inputs!$B$43-B1730)/IF(Inputs!$B$38="pvp",15,MAX(0.1,Skills!D6-IF(Skills!E6=TRUE,Inputs!$B$32,0))))+1)),0)</f>
        <v/>
      </c>
      <c r="S1697">
        <f>IFERROR((H1697*N1697*IF(AND(Inputs!$B$38&lt;&gt;"pvp",Inputs!$B$43&gt;0),((Skills!G6*((R1697-1)*IF(Skills!H6&gt;0,Skills!I6/Skills!H6,1)+IF(Skills!H6&gt;0,MIN(Skills!I6,MAX(0,MAX(0,Inputs!$B$43-B1730)-((R1697-1)*IF(Inputs!$B$38="pvp",15,MAX(0.1,Skills!D6-IF(Skills!E6=TRUE,Inputs!$B$32,0))))))/Skills!H6,1)))/Inputs!$B$43),G1697*Q1697))/N1697*IF(Inputs!$B$38="pvp",1,(1-Summary!$B$11)*1+Summary!$B$11*(MIN(Skills!R6,Inputs!$B$37))),0)</f>
        <v/>
      </c>
      <c r="T1697">
        <f>IF(C1697,(H1697*N1697*IF(AND(Inputs!$B$38&lt;&gt;"pvp",Inputs!$B$43&gt;0),((Skills!G6*((R1697-1)*IF(Skills!H6&gt;0,Skills!I6/Skills!H6,1)+IF(Skills!H6&gt;0,MIN(Skills!I6,MAX(0,MAX(0,Inputs!$B$43-B1730)-((R1697-1)*IF(Inputs!$B$38="pvp",15,MAX(0.1,Skills!D6-IF(Skills!E6=TRUE,Inputs!$B$32,0))))))/Skills!H6,1)))/Inputs!$B$43),G1697*Q1697))*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Hunt"),CHOOSE(ArtifactsInput!$N$35+1,15,18,21,24,27,30)*(1-EXP(-(0.2*B1725)*5)),0)+IF(AND(ArtifactsInput!$M$22,Inputs!$B$4&lt;&gt;"Chapter Hunt"),CHOOSE(ArtifactsInput!$N$22+1,10,12,14,16,18,20)*((0*(((0.15*B1725*5))^0/1)+1*(((0.15*B1725*5))^1/1)+2*(((0.15*B1725*5))^2/2)+3*(((0.15*B1725*5))^3/6)+4*(((0.15*B1725*5))^4/24)+5*(((0.15*B1725*5))^5/120))/((((0.15*B1725*5))^0/1)+(((0.15*B1725*5))^1/1)+(((0.15*B1725*5))^2/2)+(((0.15*B1725*5))^3/6)+(((0.15*B1725*5))^4/24)+(((0.15*B1725*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1697*(1-MIN(100,(Inputs!$B$9+((C1710=TRUE)*(F1710-Calc!F19))+B1723+(ArtifactsInput!$M$24-ArtifactsInput!$M$24)*CHOOSE(ArtifactsInput!$N$24+1,10,12,14,16,18,20)+(IF(AND(ArtifactsInput!$M$42,((Inputs!$B$9+((C1710=TRUE)*(F1710-Calc!F19))+B1723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1697*(MIN(100,(Inputs!$B$9+((C1710=TRUE)*(F1710-Calc!F19))+B1723+(ArtifactsInput!$M$24-ArtifactsInput!$M$24)*CHOOSE(ArtifactsInput!$N$24+1,10,12,14,16,18,20)+(IF(AND(ArtifactsInput!$M$42,((Inputs!$B$9+((C1710=TRUE)*(F1710-Calc!F19))+B1723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1697*(1-MIN(100,(Inputs!$B$9+((C1710=TRUE)*(F1710-Calc!F19))+B1723+(ArtifactsInput!$M$24-ArtifactsInput!$M$24)*CHOOSE(ArtifactsInput!$N$24+1,10,12,14,16,18,20)+(IF(AND(ArtifactsInput!$M$42,((Inputs!$B$9+((C1710=TRUE)*(F1710-Calc!F19))+B1723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1697*(MIN(100,(Inputs!$B$9+((C1710=TRUE)*(F1710-Calc!F19))+B1723+(ArtifactsInput!$M$24-ArtifactsInput!$M$24)*CHOOSE(ArtifactsInput!$N$24+1,10,12,14,16,18,20)+(IF(AND(ArtifactsInput!$M$42,((Inputs!$B$9+((C1710=TRUE)*(F1710-Calc!F19))+B1723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697">
        <f>IF(C1697,(H1697*N1697*IF(AND(Inputs!$B$38&lt;&gt;"pvp",Inputs!$B$43&gt;0),((Skills!G6*((R1697-1)*IF(Skills!H6&gt;0,Skills!I6/Skills!H6,1)+IF(Skills!H6&gt;0,MIN(Skills!I6,MAX(0,MAX(0,Inputs!$B$43-B1730)-((R1697-1)*IF(Inputs!$B$38="pvp",15,MAX(0.1,Skills!D6-IF(Skills!E6=TRUE,Inputs!$B$32,0))))))/Skills!H6,1)))/Inputs!$B$43),G1697*Q1697))*IF(Inputs!$B$38="pvp",1,(1+(Inputs!$B$21+Skills!Q6+(IF(ArtifactsInput!$M$33,CHOOSE(ArtifactsInput!$N$33+1,30,36,42,48,54,60),0))+(IF(AND(ArtifactsInput!$M$35,Inputs!$B$4&lt;&gt;"Chapter Hunt"),CHOOSE(ArtifactsInput!$N$35+1,15,18,21,24,27,30)*(1-EXP(-(0.2*B1725)*5)),0)+IF(AND(ArtifactsInput!$M$22,Inputs!$B$4&lt;&gt;"Chapter Hunt"),CHOOSE(ArtifactsInput!$N$22+1,10,12,14,16,18,20)*((0*(((0.15*B1725*5))^0/1)+1*(((0.15*B1725*5))^1/1)+2*(((0.15*B1725*5))^2/2)+3*(((0.15*B1725*5))^3/6)+4*(((0.15*B1725*5))^4/24)+5*(((0.15*B1725*5))^5/120))/((((0.15*B1725*5))^0/1)+(((0.15*B1725*5))^1/1)+(((0.15*B1725*5))^2/2)+(((0.15*B1725*5))^3/6)+(((0.15*B1725*5))^4/24)+(((0.15*B1725*5))^5/120))),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698">
      <c r="A1698">
        <f>Skills!A7</f>
        <v/>
      </c>
      <c r="B1698">
        <f>Skills!B7</f>
        <v/>
      </c>
      <c r="C1698">
        <f>Inputs!$B$3&gt;=69</f>
        <v/>
      </c>
      <c r="D1698">
        <f>IF(Skills!C7=1,60+Inputs!$B$25+Inputs!$B$29,IF(Skills!C7=2,90+Inputs!$B$26+Inputs!$B$29,IF(Skills!C7=3,120+Inputs!$B$27+Inputs!$B$29,MAX(0,(Inputs!$B$3-100)*3)+Inputs!$B$28+Inputs!$B$29)))</f>
        <v/>
      </c>
      <c r="E1698">
        <f>INDEX(FactorTable!$B$2:$Y$301, MATCH(ROUND(MIN(300,MAX(1,D1698)),0), FactorTable!$A$2:$A$301,0), Skills!M7+1)</f>
        <v/>
      </c>
      <c r="F1698">
        <f>IF(Skills!N7=TRUE,(Skills!L7/10)*(E1698/1000),Skills!L7/10)+Skills!O7</f>
        <v/>
      </c>
      <c r="G1698">
        <f>Skills!G7*IF(Skills!H7&gt;0,Skills!I7/Skills!H7,1)</f>
        <v/>
      </c>
      <c r="H1698">
        <f>1-(1-Skills!J7/100)^Skills!K7</f>
        <v/>
      </c>
      <c r="I1698" t="inlineStr">
        <is>
          <t>1</t>
        </is>
      </c>
      <c r="J1698">
        <f>((Inputs!$B$6*(1+Inputs!$B$7/100))+(((Inputs!$B$12*(1+Inputs!$B$13/100))-(Inputs!$B$12*(1+Inputs!$B$13/100)))+0.25*(Inputs!$B$14-Inputs!$B$14))*(1+Inputs!$B$7/100))*(F1698/100)</f>
        <v/>
      </c>
      <c r="K1698">
        <f>J1698*(1+((Inputs!$B$12*(1+Inputs!$B$13/100))*0.01+Inputs!$B$14*0.0025)/100)*(1+Inputs!$B$15/100)*(1+Inputs!$B$16/100)*(5000/(6000+Inputs!$B$42*(1-(100*(1-(1-(Inputs!$B$19+0)/100)*(1-CHOOSE(ArtifactsInput!$N$40+1,5,6,7,8,9,10)/100)^(ArtifactsInput!$M$40-ArtifactsInput!$M$40)))/100)))*(1+(Inputs!$B$24+((C1715=TRUE)*(F1715-Calc!F24))+((C1716=TRUE)*(F1716-Calc!F25))+B1729)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+1.2*IF(C1699=TRUE,F1699,0)/100)*(1+(IF(Skills!A7="EMPOWERED_PIERCING_ARROW",Inputs!$B$17+((C1713=TRUE)*(F1713-Calc!F22))+(((IF(AND(ArtifactsInput!$M$42,((Inputs!$B$9+((C1710=TRUE)*(F1710-Calc!F19))+B1723+(ArtifactsInput!$M$24-ArtifactsInput!$M$24)*CHOOSE(ArtifactsInput!$N$24+1,10,12,14,16,18,20)+IF(ArtifactsInput!$M$10,CHOOSE(ArtifactsInput!$N$10+1,15,18,21,24,27,30)*(IF(Inputs!$B$38="pvp",MIN(15,15)/15,IF(AND(Inputs!$B$38&lt;&gt;"pvp",Inputs!$B$43&gt;0),MIN(15,Inputs!$B$43)/(Inputs!$B$43),0))),0)))&gt;=100),MIN(100,((Inputs!$B$9+((C1710=TRUE)*(F1710-Calc!F19))+B1723+(ArtifactsInput!$M$24-ArtifactsInput!$M$24)*CHOOSE(ArtifactsInput!$N$24+1,10,12,14,16,18,20)+IF(ArtifactsInput!$M$10,CHOOSE(ArtifactsInput!$N$10+1,15,18,21,24,27,30)*(IF(Inputs!$B$38="pvp",MIN(15,15)/15,IF(AND(Inputs!$B$38&lt;&gt;"pvp",Inputs!$B$43&gt;0),MIN(15,Inputs!$B$43)/(Inputs!$B$43),0))),0)))-100),0))*CHOOSE(ArtifactsInput!$N$42+1,0.6,0.72,0.84,0.96,1.08,1.2))),Inputs!$B$18+((C1718=TRUE)*(F1718-Calc!F27))+(IF(AND(ArtifactsInput!$M$42,((Inputs!$B$9+((C1710=TRUE)*(F1710-Calc!F19))+B1723+(ArtifactsInput!$M$24-ArtifactsInput!$M$24)*CHOOSE(ArtifactsInput!$N$24+1,10,12,14,16,18,20)+IF(ArtifactsInput!$M$10,CHOOSE(ArtifactsInput!$N$10+1,15,18,21,24,27,30)*(IF(Inputs!$B$38="pvp",MIN(15,15)/15,IF(AND(Inputs!$B$38&lt;&gt;"pvp",Inputs!$B$43&gt;0),MIN(15,Inputs!$B$43)/(Inputs!$B$43),0))),0)))&gt;=100),CHOOSE(ArtifactsInput!$N$42+1,40,48,56,64,72,80),0))))/100)*((1+(((C1704=TRUE)*F1704)+((C1705=TRUE)*IF(Inputs!$B$38="pvp",F1705,(1-Summary!$B$11)*(F1705)+Summary!$B$11*(0)))+((C1706=TRUE)*F1706*IF(AND(Inputs!$B$38&lt;&gt;"pvp",Inputs!$B$43&gt;0),(((R1706-1)*(Skills!T15*(1+Inputs!$B$34/100))+MIN((Skills!T15*(1+Inputs!$B$34/100)),MAX(0,Inputs!$B$43-((R1706-1)*Skills!D15))))/Inputs!$B$43),IF(Inputs!$B$38="pvp",MIN((Skills!T15*(1+Inputs!$B$34/100)),15)/15,(Skills!T15*(1+Inputs!$B$34/100))/Skills!D15)))+((C1703=TRUE)*F1703)+((C1720=TRUE)*(F1720-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1698)</f>
        <v/>
      </c>
      <c r="L1698">
        <f>K1698*(MIN(Inputs!$B$22+((C1714=TRUE)*(F1714-Calc!F23)),(Inputs!$B$23+((C1719=TRUE)*(F1719-Calc!F28))+(IF(ArtifactsInput!$M$15,CHOOSE(ArtifactsInput!$N$15+1,25,30,35,40,45,50)/100*(Inputs!$B$11-Inputs!$B$11),0))))/100+(Inputs!$B$23+((C1719=TRUE)*(F1719-Calc!F28))+(IF(ArtifactsInput!$M$15,CHOOSE(ArtifactsInput!$N$15+1,25,30,35,40,45,50)/100*(Inputs!$B$11-Inputs!$B$11),0)))/100)/2</f>
        <v/>
      </c>
      <c r="M1698">
        <f>L1698*(1+(Inputs!$B$10+0+B1728+(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698">
        <f>L1698*(1-MIN((Inputs!$B$9+((C1710=TRUE)*(F1710-Calc!F19))+B1723+(ArtifactsInput!$M$24-ArtifactsInput!$M$24)*CHOOSE(ArtifactsInput!$N$24+1,10,12,14,16,18,20)+(IF(AND(ArtifactsInput!$M$42,((Inputs!$B$9+((C1710=TRUE)*(F1710-Calc!F19))+B1723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1698*(MIN((Inputs!$B$9+((C1710=TRUE)*(F1710-Calc!F19))+B1723+(ArtifactsInput!$M$24-ArtifactsInput!$M$24)*CHOOSE(ArtifactsInput!$N$24+1,10,12,14,16,18,20)+(IF(AND(ArtifactsInput!$M$42,((Inputs!$B$9+((C1710=TRUE)*(F1710-Calc!F19))+B1723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698">
        <f>(1-Summary!$B$11)*T1698+Summary!$B$11*V1698</f>
        <v/>
      </c>
      <c r="P1698">
        <f>IF(B1733=0,0,O1698/B1733)</f>
        <v/>
      </c>
      <c r="Q1698">
        <f>IFERROR(1/IF(Inputs!$B$38="pvp",15,MAX(0.1,Skills!D7-IF(Skills!E7=TRUE,Inputs!$B$32,0))),0)</f>
        <v/>
      </c>
      <c r="R1698">
        <f>IF(AND(Inputs!$B$38&lt;&gt;"pvp",Inputs!$B$43&gt;0),IF(MAX(0,Inputs!$B$43-B1730)&lt;=0,0,(INT(MAX(0,Inputs!$B$43-B1730)/IF(Inputs!$B$38="pvp",15,MAX(0.1,Skills!D7-IF(Skills!E7=TRUE,Inputs!$B$32,0))))+1)),0)</f>
        <v/>
      </c>
      <c r="S1698">
        <f>IFERROR((H1698*N1698*IF(AND(Inputs!$B$38&lt;&gt;"pvp",Inputs!$B$43&gt;0),((Skills!G7*((R1698-1)*IF(Skills!H7&gt;0,Skills!I7/Skills!H7,1)+IF(Skills!H7&gt;0,MIN(Skills!I7,MAX(0,MAX(0,Inputs!$B$43-B1730)-((R1698-1)*IF(Inputs!$B$38="pvp",15,MAX(0.1,Skills!D7-IF(Skills!E7=TRUE,Inputs!$B$32,0))))))/Skills!H7,1)))/Inputs!$B$43),G1698*Q1698))/N1698*IF(Inputs!$B$38="pvp",1,(1-Summary!$B$11)*1+Summary!$B$11*(MIN(Skills!R7,Inputs!$B$37))),0)</f>
        <v/>
      </c>
      <c r="T1698">
        <f>IF(C1698,(H1698*N1698*IF(AND(Inputs!$B$38&lt;&gt;"pvp",Inputs!$B$43&gt;0),((Skills!G7*((R1698-1)*IF(Skills!H7&gt;0,Skills!I7/Skills!H7,1)+IF(Skills!H7&gt;0,MIN(Skills!I7,MAX(0,MAX(0,Inputs!$B$43-B1730)-((R1698-1)*IF(Inputs!$B$38="pvp",15,MAX(0.1,Skills!D7-IF(Skills!E7=TRUE,Inputs!$B$32,0))))))/Skills!H7,1)))/Inputs!$B$43),G1698*Q1698))*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Hunt"),CHOOSE(ArtifactsInput!$N$35+1,15,18,21,24,27,30)*(1-EXP(-(0.2*B1725)*5)),0)+IF(AND(ArtifactsInput!$M$22,Inputs!$B$4&lt;&gt;"Chapter Hunt"),CHOOSE(ArtifactsInput!$N$22+1,10,12,14,16,18,20)*((0*(((0.15*B1725*5))^0/1)+1*(((0.15*B1725*5))^1/1)+2*(((0.15*B1725*5))^2/2)+3*(((0.15*B1725*5))^3/6)+4*(((0.15*B1725*5))^4/24)+5*(((0.15*B1725*5))^5/120))/((((0.15*B1725*5))^0/1)+(((0.15*B1725*5))^1/1)+(((0.15*B1725*5))^2/2)+(((0.15*B1725*5))^3/6)+(((0.15*B1725*5))^4/24)+(((0.15*B1725*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1698*(1-MIN(100,(Inputs!$B$9+((C1710=TRUE)*(F1710-Calc!F19))+B1723+(ArtifactsInput!$M$24-ArtifactsInput!$M$24)*CHOOSE(ArtifactsInput!$N$24+1,10,12,14,16,18,20)+(IF(AND(ArtifactsInput!$M$42,((Inputs!$B$9+((C1710=TRUE)*(F1710-Calc!F19))+B1723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1698*(MIN(100,(Inputs!$B$9+((C1710=TRUE)*(F1710-Calc!F19))+B1723+(ArtifactsInput!$M$24-ArtifactsInput!$M$24)*CHOOSE(ArtifactsInput!$N$24+1,10,12,14,16,18,20)+(IF(AND(ArtifactsInput!$M$42,((Inputs!$B$9+((C1710=TRUE)*(F1710-Calc!F19))+B1723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1698*(1-MIN(100,(Inputs!$B$9+((C1710=TRUE)*(F1710-Calc!F19))+B1723+(ArtifactsInput!$M$24-ArtifactsInput!$M$24)*CHOOSE(ArtifactsInput!$N$24+1,10,12,14,16,18,20)+(IF(AND(ArtifactsInput!$M$42,((Inputs!$B$9+((C1710=TRUE)*(F1710-Calc!F19))+B1723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1698*(MIN(100,(Inputs!$B$9+((C1710=TRUE)*(F1710-Calc!F19))+B1723+(ArtifactsInput!$M$24-ArtifactsInput!$M$24)*CHOOSE(ArtifactsInput!$N$24+1,10,12,14,16,18,20)+(IF(AND(ArtifactsInput!$M$42,((Inputs!$B$9+((C1710=TRUE)*(F1710-Calc!F19))+B1723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698">
        <f>IF(C1698,(H1698*N1698*IF(AND(Inputs!$B$38&lt;&gt;"pvp",Inputs!$B$43&gt;0),((Skills!G7*((R1698-1)*IF(Skills!H7&gt;0,Skills!I7/Skills!H7,1)+IF(Skills!H7&gt;0,MIN(Skills!I7,MAX(0,MAX(0,Inputs!$B$43-B1730)-((R1698-1)*IF(Inputs!$B$38="pvp",15,MAX(0.1,Skills!D7-IF(Skills!E7=TRUE,Inputs!$B$32,0))))))/Skills!H7,1)))/Inputs!$B$43),G1698*Q1698))*IF(Inputs!$B$38="pvp",1,(1+(Inputs!$B$21+Skills!Q7+(IF(ArtifactsInput!$M$33,CHOOSE(ArtifactsInput!$N$33+1,30,36,42,48,54,60),0))+(IF(AND(ArtifactsInput!$M$35,Inputs!$B$4&lt;&gt;"Chapter Hunt"),CHOOSE(ArtifactsInput!$N$35+1,15,18,21,24,27,30)*(1-EXP(-(0.2*B1725)*5)),0)+IF(AND(ArtifactsInput!$M$22,Inputs!$B$4&lt;&gt;"Chapter Hunt"),CHOOSE(ArtifactsInput!$N$22+1,10,12,14,16,18,20)*((0*(((0.15*B1725*5))^0/1)+1*(((0.15*B1725*5))^1/1)+2*(((0.15*B1725*5))^2/2)+3*(((0.15*B1725*5))^3/6)+4*(((0.15*B1725*5))^4/24)+5*(((0.15*B1725*5))^5/120))/((((0.15*B1725*5))^0/1)+(((0.15*B1725*5))^1/1)+(((0.15*B1725*5))^2/2)+(((0.15*B1725*5))^3/6)+(((0.15*B1725*5))^4/24)+(((0.15*B1725*5))^5/120))),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699">
      <c r="A1699">
        <f>Skills!A8</f>
        <v/>
      </c>
      <c r="B1699">
        <f>Skills!B8</f>
        <v/>
      </c>
      <c r="C1699">
        <f>Inputs!$B$3&gt;=100</f>
        <v/>
      </c>
      <c r="D1699">
        <f>IF(Skills!C8=1,60+Inputs!$B$25+Inputs!$B$29,IF(Skills!C8=2,90+Inputs!$B$26+Inputs!$B$29,IF(Skills!C8=3,120+Inputs!$B$27+Inputs!$B$29,MAX(0,(Inputs!$B$3-100)*3)+Inputs!$B$28+Inputs!$B$29)))</f>
        <v/>
      </c>
      <c r="E1699">
        <f>INDEX(FactorTable!$B$2:$Y$301, MATCH(ROUND(MIN(300,MAX(1,D1699)),0), FactorTable!$A$2:$A$301,0), Skills!M8+1)</f>
        <v/>
      </c>
      <c r="F1699">
        <f>IF(Skills!N8=TRUE,(Skills!L8/10)*(E1699/1000),Skills!L8/10)+Skills!O8</f>
        <v/>
      </c>
      <c r="G1699" t="inlineStr"/>
      <c r="H1699" t="inlineStr"/>
      <c r="I1699" t="inlineStr">
        <is>
          <t>1</t>
        </is>
      </c>
      <c r="J1699" t="inlineStr"/>
      <c r="K1699" t="inlineStr"/>
      <c r="L1699" t="inlineStr"/>
      <c r="M1699" t="inlineStr"/>
      <c r="N1699" t="inlineStr"/>
      <c r="O1699" t="inlineStr"/>
      <c r="P1699" t="inlineStr"/>
      <c r="Q1699" t="inlineStr"/>
      <c r="R1699" t="inlineStr"/>
      <c r="S1699" t="inlineStr"/>
      <c r="T1699" t="inlineStr"/>
      <c r="V1699" t="inlineStr"/>
    </row>
    <row r="1700">
      <c r="A1700">
        <f>Skills!A9</f>
        <v/>
      </c>
      <c r="B1700">
        <f>Skills!B9</f>
        <v/>
      </c>
      <c r="C1700">
        <f>Inputs!$B$3&gt;=103</f>
        <v/>
      </c>
      <c r="D1700">
        <f>IF(Skills!C9=1,60+Inputs!$B$25+Inputs!$B$29,IF(Skills!C9=2,90+Inputs!$B$26+Inputs!$B$29,IF(Skills!C9=3,120+Inputs!$B$27+Inputs!$B$29,MAX(0,(Inputs!$B$3-100)*3)+Inputs!$B$28+Inputs!$B$29)))</f>
        <v/>
      </c>
      <c r="E1700">
        <f>INDEX(FactorTable!$B$2:$Y$301, MATCH(ROUND(MIN(300,MAX(1,D1700)),0), FactorTable!$A$2:$A$301,0), Skills!M9+1)</f>
        <v/>
      </c>
      <c r="F1700">
        <f>IF(Skills!N9=TRUE,(Skills!L9/10)*(E1700/1000),Skills!L9/10)+Skills!O9</f>
        <v/>
      </c>
      <c r="G1700">
        <f>Skills!G9*IF(Skills!H9&gt;0,Skills!I9/Skills!H9,1)</f>
        <v/>
      </c>
      <c r="H1700">
        <f>1-(1-Skills!J9/100)^Skills!K9</f>
        <v/>
      </c>
      <c r="I1700" t="inlineStr">
        <is>
          <t>1</t>
        </is>
      </c>
      <c r="J1700">
        <f>((Inputs!$B$6*(1+Inputs!$B$7/100))+(((Inputs!$B$12*(1+Inputs!$B$13/100))-(Inputs!$B$12*(1+Inputs!$B$13/100)))+0.25*(Inputs!$B$14-Inputs!$B$14))*(1+Inputs!$B$7/100))*(F1700/100)</f>
        <v/>
      </c>
      <c r="K1700">
        <f>J1700*(1+((Inputs!$B$12*(1+Inputs!$B$13/100))*0.01+Inputs!$B$14*0.0025)/100)*(1+Inputs!$B$15/100)*(1+Inputs!$B$16/100)*(5000/(6000+Inputs!$B$42*(1-(100*(1-(1-(Inputs!$B$19+0)/100)*(1-CHOOSE(ArtifactsInput!$N$40+1,5,6,7,8,9,10)/100)^(ArtifactsInput!$M$40-ArtifactsInput!$M$40)))/100)))*(1+(Inputs!$B$24+((C1715=TRUE)*(F1715-Calc!F24))+((C1716=TRUE)*(F1716-Calc!F25))+B1729)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EMPOWERED_PIERCING_ARROW",Inputs!$B$17+((C1713=TRUE)*(F1713-Calc!F22))+(((IF(AND(ArtifactsInput!$M$42,((Inputs!$B$9+((C1710=TRUE)*(F1710-Calc!F19))+B1723+(ArtifactsInput!$M$24-ArtifactsInput!$M$24)*CHOOSE(ArtifactsInput!$N$24+1,10,12,14,16,18,20)+IF(ArtifactsInput!$M$10,CHOOSE(ArtifactsInput!$N$10+1,15,18,21,24,27,30)*(IF(Inputs!$B$38="pvp",MIN(15,15)/15,IF(AND(Inputs!$B$38&lt;&gt;"pvp",Inputs!$B$43&gt;0),MIN(15,Inputs!$B$43)/(Inputs!$B$43),0))),0)))&gt;=100),MIN(100,((Inputs!$B$9+((C1710=TRUE)*(F1710-Calc!F19))+B1723+(ArtifactsInput!$M$24-ArtifactsInput!$M$24)*CHOOSE(ArtifactsInput!$N$24+1,10,12,14,16,18,20)+IF(ArtifactsInput!$M$10,CHOOSE(ArtifactsInput!$N$10+1,15,18,21,24,27,30)*(IF(Inputs!$B$38="pvp",MIN(15,15)/15,IF(AND(Inputs!$B$38&lt;&gt;"pvp",Inputs!$B$43&gt;0),MIN(15,Inputs!$B$43)/(Inputs!$B$43),0))),0)))-100),0))*CHOOSE(ArtifactsInput!$N$42+1,0.6,0.72,0.84,0.96,1.08,1.2))),Inputs!$B$18+((C1718=TRUE)*(F1718-Calc!F27))+(IF(AND(ArtifactsInput!$M$42,((Inputs!$B$9+((C1710=TRUE)*(F1710-Calc!F19))+B1723+(ArtifactsInput!$M$24-ArtifactsInput!$M$24)*CHOOSE(ArtifactsInput!$N$24+1,10,12,14,16,18,20)+IF(ArtifactsInput!$M$10,CHOOSE(ArtifactsInput!$N$10+1,15,18,21,24,27,30)*(IF(Inputs!$B$38="pvp",MIN(15,15)/15,IF(AND(Inputs!$B$38&lt;&gt;"pvp",Inputs!$B$43&gt;0),MIN(15,Inputs!$B$43)/(Inputs!$B$43),0))),0)))&gt;=100),CHOOSE(ArtifactsInput!$N$42+1,40,48,56,64,72,80),0))))/100)*((1+(((C1704=TRUE)*F1704)+((C1705=TRUE)*IF(Inputs!$B$38="pvp",F1705,(1-Summary!$B$11)*(F1705)+Summary!$B$11*(0)))+((C1706=TRUE)*F1706*IF(AND(Inputs!$B$38&lt;&gt;"pvp",Inputs!$B$43&gt;0),(((R1706-1)*(Skills!T15*(1+Inputs!$B$34/100))+MIN((Skills!T15*(1+Inputs!$B$34/100)),MAX(0,Inputs!$B$43-((R1706-1)*Skills!D15))))/Inputs!$B$43),IF(Inputs!$B$38="pvp",MIN((Skills!T15*(1+Inputs!$B$34/100)),15)/15,(Skills!T15*(1+Inputs!$B$34/100))/Skills!D15)))+((C1703=TRUE)*F1703)+((C1720=TRUE)*(F1720-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1700)</f>
        <v/>
      </c>
      <c r="L1700">
        <f>K1700*(MIN(Inputs!$B$22+((C1714=TRUE)*(F1714-Calc!F23)),(Inputs!$B$23+((C1719=TRUE)*(F1719-Calc!F28))+(IF(ArtifactsInput!$M$15,CHOOSE(ArtifactsInput!$N$15+1,25,30,35,40,45,50)/100*(Inputs!$B$11-Inputs!$B$11),0))))/100+(Inputs!$B$23+((C1719=TRUE)*(F1719-Calc!F28))+(IF(ArtifactsInput!$M$15,CHOOSE(ArtifactsInput!$N$15+1,25,30,35,40,45,50)/100*(Inputs!$B$11-Inputs!$B$11),0)))/100)/2</f>
        <v/>
      </c>
      <c r="M1700">
        <f>L1700*(1+(Inputs!$B$10+0+B1728+(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700">
        <f>L1700*(1-MIN((Inputs!$B$9+((C1710=TRUE)*(F1710-Calc!F19))+B1723+(ArtifactsInput!$M$24-ArtifactsInput!$M$24)*CHOOSE(ArtifactsInput!$N$24+1,10,12,14,16,18,20)+(IF(AND(ArtifactsInput!$M$42,((Inputs!$B$9+((C1710=TRUE)*(F1710-Calc!F19))+B1723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1700*(MIN((Inputs!$B$9+((C1710=TRUE)*(F1710-Calc!F19))+B1723+(ArtifactsInput!$M$24-ArtifactsInput!$M$24)*CHOOSE(ArtifactsInput!$N$24+1,10,12,14,16,18,20)+(IF(AND(ArtifactsInput!$M$42,((Inputs!$B$9+((C1710=TRUE)*(F1710-Calc!F19))+B1723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700">
        <f>(1-Summary!$B$11)*T1700+Summary!$B$11*V1700</f>
        <v/>
      </c>
      <c r="P1700">
        <f>IF(B1733=0,0,O1700/B1733)</f>
        <v/>
      </c>
      <c r="Q1700">
        <f>IFERROR(1/IF(Inputs!$B$38="pvp",15,MAX(0.1,Skills!D9-IF(Skills!E9=TRUE,Inputs!$B$32,0))),0)</f>
        <v/>
      </c>
      <c r="R1700">
        <f>IF(AND(Inputs!$B$38&lt;&gt;"pvp",Inputs!$B$43&gt;0),IF(MAX(0,Inputs!$B$43-B1730)&lt;=0,0,(INT(MAX(0,Inputs!$B$43-B1730)/IF(Inputs!$B$38="pvp",15,MAX(0.1,Skills!D9-IF(Skills!E9=TRUE,Inputs!$B$32,0))))+1)),0)</f>
        <v/>
      </c>
      <c r="S1700">
        <f>IFERROR((H1700*N1700*IF(AND(Inputs!$B$38&lt;&gt;"pvp",Inputs!$B$43&gt;0),((Skills!G9*((R1700-1)*IF(Skills!H9&gt;0,Skills!I9/Skills!H9,1)+IF(Skills!H9&gt;0,MIN(Skills!I9,MAX(0,MAX(0,Inputs!$B$43-B1730)-((R1700-1)*IF(Inputs!$B$38="pvp",15,MAX(0.1,Skills!D9-IF(Skills!E9=TRUE,Inputs!$B$32,0))))))/Skills!H9,1)))/Inputs!$B$43),G1700*Q1700))/N1700*IF(Inputs!$B$38="pvp",1,(1-Summary!$B$11)*1+Summary!$B$11*(MIN(Skills!R9,Inputs!$B$37))),0)</f>
        <v/>
      </c>
      <c r="T1700">
        <f>IF(C1700,(H1700*N1700*IF(AND(Inputs!$B$38&lt;&gt;"pvp",Inputs!$B$43&gt;0),((Skills!G9*((R1700-1)*IF(Skills!H9&gt;0,Skills!I9/Skills!H9,1)+IF(Skills!H9&gt;0,MIN(Skills!I9,MAX(0,MAX(0,Inputs!$B$43-B1730)-((R1700-1)*IF(Inputs!$B$38="pvp",15,MAX(0.1,Skills!D9-IF(Skills!E9=TRUE,Inputs!$B$32,0))))))/Skills!H9,1)))/Inputs!$B$43),G1700*Q1700))*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Hunt"),CHOOSE(ArtifactsInput!$N$35+1,15,18,21,24,27,30)*(1-EXP(-(0.2*B1725)*5)),0)+IF(AND(ArtifactsInput!$M$22,Inputs!$B$4&lt;&gt;"Chapter Hunt"),CHOOSE(ArtifactsInput!$N$22+1,10,12,14,16,18,20)*((0*(((0.15*B1725*5))^0/1)+1*(((0.15*B1725*5))^1/1)+2*(((0.15*B1725*5))^2/2)+3*(((0.15*B1725*5))^3/6)+4*(((0.15*B1725*5))^4/24)+5*(((0.15*B1725*5))^5/120))/((((0.15*B1725*5))^0/1)+(((0.15*B1725*5))^1/1)+(((0.15*B1725*5))^2/2)+(((0.15*B1725*5))^3/6)+(((0.15*B1725*5))^4/24)+(((0.15*B1725*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1700*(1-MIN(100,(Inputs!$B$9+((C1710=TRUE)*(F1710-Calc!F19))+B1723+(ArtifactsInput!$M$24-ArtifactsInput!$M$24)*CHOOSE(ArtifactsInput!$N$24+1,10,12,14,16,18,20)+(IF(AND(ArtifactsInput!$M$42,((Inputs!$B$9+((C1710=TRUE)*(F1710-Calc!F19))+B1723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1700*(MIN(100,(Inputs!$B$9+((C1710=TRUE)*(F1710-Calc!F19))+B1723+(ArtifactsInput!$M$24-ArtifactsInput!$M$24)*CHOOSE(ArtifactsInput!$N$24+1,10,12,14,16,18,20)+(IF(AND(ArtifactsInput!$M$42,((Inputs!$B$9+((C1710=TRUE)*(F1710-Calc!F19))+B1723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1700*(1-MIN(100,(Inputs!$B$9+((C1710=TRUE)*(F1710-Calc!F19))+B1723+(ArtifactsInput!$M$24-ArtifactsInput!$M$24)*CHOOSE(ArtifactsInput!$N$24+1,10,12,14,16,18,20)+(IF(AND(ArtifactsInput!$M$42,((Inputs!$B$9+((C1710=TRUE)*(F1710-Calc!F19))+B1723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1700*(MIN(100,(Inputs!$B$9+((C1710=TRUE)*(F1710-Calc!F19))+B1723+(ArtifactsInput!$M$24-ArtifactsInput!$M$24)*CHOOSE(ArtifactsInput!$N$24+1,10,12,14,16,18,20)+(IF(AND(ArtifactsInput!$M$42,((Inputs!$B$9+((C1710=TRUE)*(F1710-Calc!F19))+B1723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700">
        <f>IF(C1700,(H1700*N1700*IF(AND(Inputs!$B$38&lt;&gt;"pvp",Inputs!$B$43&gt;0),((Skills!G9*((R1700-1)*IF(Skills!H9&gt;0,Skills!I9/Skills!H9,1)+IF(Skills!H9&gt;0,MIN(Skills!I9,MAX(0,MAX(0,Inputs!$B$43-B1730)-((R1700-1)*IF(Inputs!$B$38="pvp",15,MAX(0.1,Skills!D9-IF(Skills!E9=TRUE,Inputs!$B$32,0))))))/Skills!H9,1)))/Inputs!$B$43),G1700*Q1700))*IF(Inputs!$B$38="pvp",1,(1+(Inputs!$B$21+Skills!Q9+(IF(ArtifactsInput!$M$33,CHOOSE(ArtifactsInput!$N$33+1,30,36,42,48,54,60),0))+(IF(AND(ArtifactsInput!$M$35,Inputs!$B$4&lt;&gt;"Chapter Hunt"),CHOOSE(ArtifactsInput!$N$35+1,15,18,21,24,27,30)*(1-EXP(-(0.2*B1725)*5)),0)+IF(AND(ArtifactsInput!$M$22,Inputs!$B$4&lt;&gt;"Chapter Hunt"),CHOOSE(ArtifactsInput!$N$22+1,10,12,14,16,18,20)*((0*(((0.15*B1725*5))^0/1)+1*(((0.15*B1725*5))^1/1)+2*(((0.15*B1725*5))^2/2)+3*(((0.15*B1725*5))^3/6)+4*(((0.15*B1725*5))^4/24)+5*(((0.15*B1725*5))^5/120))/((((0.15*B1725*5))^0/1)+(((0.15*B1725*5))^1/1)+(((0.15*B1725*5))^2/2)+(((0.15*B1725*5))^3/6)+(((0.15*B1725*5))^4/24)+(((0.15*B1725*5))^5/120)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701">
      <c r="A1701">
        <f>Skills!A10</f>
        <v/>
      </c>
      <c r="B1701">
        <f>Skills!B10</f>
        <v/>
      </c>
      <c r="C1701">
        <f>Inputs!$B$3&gt;=107</f>
        <v/>
      </c>
      <c r="D1701">
        <f>IF(Skills!C10=1,60+Inputs!$B$25+Inputs!$B$29,IF(Skills!C10=2,90+Inputs!$B$26+Inputs!$B$29,IF(Skills!C10=3,120+Inputs!$B$27+Inputs!$B$29,MAX(0,(Inputs!$B$3-100)*3)+Inputs!$B$28+Inputs!$B$29)))</f>
        <v/>
      </c>
      <c r="E1701">
        <f>INDEX(FactorTable!$B$2:$Y$301, MATCH(ROUND(MIN(300,MAX(1,D1701)),0), FactorTable!$A$2:$A$301,0), Skills!M10+1)</f>
        <v/>
      </c>
      <c r="F1701">
        <f>IF(Skills!N10=TRUE,(Skills!L10/10)*(E1701/1000),Skills!L10/10)+Skills!O10</f>
        <v/>
      </c>
      <c r="G1701">
        <f>Skills!G10*IF(Skills!H10&gt;0,Skills!I10/Skills!H10,1)</f>
        <v/>
      </c>
      <c r="H1701">
        <f>1-(1-Skills!J10/100)^Skills!K10</f>
        <v/>
      </c>
      <c r="I1701" t="inlineStr">
        <is>
          <t>1</t>
        </is>
      </c>
      <c r="J1701">
        <f>((Inputs!$B$6*(1+Inputs!$B$7/100))+(((Inputs!$B$12*(1+Inputs!$B$13/100))-(Inputs!$B$12*(1+Inputs!$B$13/100)))+0.25*(Inputs!$B$14-Inputs!$B$14))*(1+Inputs!$B$7/100))*(F1701/100)</f>
        <v/>
      </c>
      <c r="K1701">
        <f>J1701*(1+((Inputs!$B$12*(1+Inputs!$B$13/100))*0.01+Inputs!$B$14*0.0025)/100)*(1+Inputs!$B$15/100)*(1+Inputs!$B$16/100)*(5000/(6000+Inputs!$B$42*(1-(100*(1-(1-(Inputs!$B$19+0)/100)*(1-CHOOSE(ArtifactsInput!$N$40+1,5,6,7,8,9,10)/100)^(ArtifactsInput!$M$40-ArtifactsInput!$M$40)))/100)))*(1+(Inputs!$B$24+((C1715=TRUE)*(F1715-Calc!F24))+((C1716=TRUE)*(F1716-Calc!F25))+B1729)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EMPOWERED_PIERCING_ARROW",Inputs!$B$17+((C1713=TRUE)*(F1713-Calc!F22))+(((IF(AND(ArtifactsInput!$M$42,((Inputs!$B$9+((C1710=TRUE)*(F1710-Calc!F19))+B1723+(ArtifactsInput!$M$24-ArtifactsInput!$M$24)*CHOOSE(ArtifactsInput!$N$24+1,10,12,14,16,18,20)+IF(ArtifactsInput!$M$10,CHOOSE(ArtifactsInput!$N$10+1,15,18,21,24,27,30)*(IF(Inputs!$B$38="pvp",MIN(15,15)/15,IF(AND(Inputs!$B$38&lt;&gt;"pvp",Inputs!$B$43&gt;0),MIN(15,Inputs!$B$43)/(Inputs!$B$43),0))),0)))&gt;=100),MIN(100,((Inputs!$B$9+((C1710=TRUE)*(F1710-Calc!F19))+B1723+(ArtifactsInput!$M$24-ArtifactsInput!$M$24)*CHOOSE(ArtifactsInput!$N$24+1,10,12,14,16,18,20)+IF(ArtifactsInput!$M$10,CHOOSE(ArtifactsInput!$N$10+1,15,18,21,24,27,30)*(IF(Inputs!$B$38="pvp",MIN(15,15)/15,IF(AND(Inputs!$B$38&lt;&gt;"pvp",Inputs!$B$43&gt;0),MIN(15,Inputs!$B$43)/(Inputs!$B$43),0))),0)))-100),0))*CHOOSE(ArtifactsInput!$N$42+1,0.6,0.72,0.84,0.96,1.08,1.2))),Inputs!$B$18+((C1718=TRUE)*(F1718-Calc!F27))+(IF(AND(ArtifactsInput!$M$42,((Inputs!$B$9+((C1710=TRUE)*(F1710-Calc!F19))+B1723+(ArtifactsInput!$M$24-ArtifactsInput!$M$24)*CHOOSE(ArtifactsInput!$N$24+1,10,12,14,16,18,20)+IF(ArtifactsInput!$M$10,CHOOSE(ArtifactsInput!$N$10+1,15,18,21,24,27,30)*(IF(Inputs!$B$38="pvp",MIN(15,15)/15,IF(AND(Inputs!$B$38&lt;&gt;"pvp",Inputs!$B$43&gt;0),MIN(15,Inputs!$B$43)/(Inputs!$B$43),0))),0)))&gt;=100),CHOOSE(ArtifactsInput!$N$42+1,40,48,56,64,72,80),0))))/100)*((1+(((C1704=TRUE)*F1704)+((C1705=TRUE)*IF(Inputs!$B$38="pvp",F1705,(1-Summary!$B$11)*(F1705)+Summary!$B$11*(0)))+((C1706=TRUE)*F1706*IF(AND(Inputs!$B$38&lt;&gt;"pvp",Inputs!$B$43&gt;0),(((R1706-1)*(Skills!T15*(1+Inputs!$B$34/100))+MIN((Skills!T15*(1+Inputs!$B$34/100)),MAX(0,Inputs!$B$43-((R1706-1)*Skills!D15))))/Inputs!$B$43),IF(Inputs!$B$38="pvp",MIN((Skills!T15*(1+Inputs!$B$34/100)),15)/15,(Skills!T15*(1+Inputs!$B$34/100))/Skills!D15)))+((C1703=TRUE)*F1703)+((C1720=TRUE)*(F1720-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1701)</f>
        <v/>
      </c>
      <c r="L1701">
        <f>K1701*(MIN(Inputs!$B$22+((C1714=TRUE)*(F1714-Calc!F23)),(Inputs!$B$23+((C1719=TRUE)*(F1719-Calc!F28))+(IF(ArtifactsInput!$M$15,CHOOSE(ArtifactsInput!$N$15+1,25,30,35,40,45,50)/100*(Inputs!$B$11-Inputs!$B$11),0))))/100+(Inputs!$B$23+((C1719=TRUE)*(F1719-Calc!F28))+(IF(ArtifactsInput!$M$15,CHOOSE(ArtifactsInput!$N$15+1,25,30,35,40,45,50)/100*(Inputs!$B$11-Inputs!$B$11),0)))/100)/2</f>
        <v/>
      </c>
      <c r="M1701">
        <f>L1701*(1+(Inputs!$B$10+0+B1728+(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701">
        <f>L1701*(1-MIN((Inputs!$B$9+((C1710=TRUE)*(F1710-Calc!F19))+B1723+(ArtifactsInput!$M$24-ArtifactsInput!$M$24)*CHOOSE(ArtifactsInput!$N$24+1,10,12,14,16,18,20)+(IF(AND(ArtifactsInput!$M$42,((Inputs!$B$9+((C1710=TRUE)*(F1710-Calc!F19))+B1723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1701*(MIN((Inputs!$B$9+((C1710=TRUE)*(F1710-Calc!F19))+B1723+(ArtifactsInput!$M$24-ArtifactsInput!$M$24)*CHOOSE(ArtifactsInput!$N$24+1,10,12,14,16,18,20)+(IF(AND(ArtifactsInput!$M$42,((Inputs!$B$9+((C1710=TRUE)*(F1710-Calc!F19))+B1723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701">
        <f>(1-Summary!$B$11)*T1701+Summary!$B$11*V1701</f>
        <v/>
      </c>
      <c r="P1701">
        <f>IF(B1733=0,0,O1701/B1733)</f>
        <v/>
      </c>
      <c r="Q1701" t="n">
        <v>0</v>
      </c>
      <c r="R1701" t="n">
        <v>0</v>
      </c>
      <c r="S1701" t="n">
        <v>0</v>
      </c>
      <c r="T1701">
        <f>IF(C1701,(0.15*SUMPRODUCT((Skills!U2:U29=TRUE)*(C1693:C1720=TRUE)*S1693:S1720)*Skills!G10*N1701)*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Hunt"),CHOOSE(ArtifactsInput!$N$35+1,15,18,21,24,27,30)*(1-EXP(-(0.2*B1725)*5)),0)+IF(AND(ArtifactsInput!$M$22,Inputs!$B$4&lt;&gt;"Chapter Hunt"),CHOOSE(ArtifactsInput!$N$22+1,10,12,14,16,18,20)*((0*(((0.15*B1725*5))^0/1)+1*(((0.15*B1725*5))^1/1)+2*(((0.15*B1725*5))^2/2)+3*(((0.15*B1725*5))^3/6)+4*(((0.15*B1725*5))^4/24)+5*(((0.15*B1725*5))^5/120))/((((0.15*B1725*5))^0/1)+(((0.15*B1725*5))^1/1)+(((0.15*B1725*5))^2/2)+(((0.15*B1725*5))^3/6)+(((0.15*B1725*5))^4/24)+(((0.15*B1725*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1701*(1-MIN(100,(Inputs!$B$9+((C1710=TRUE)*(F1710-Calc!F19))+B1723+(ArtifactsInput!$M$24-ArtifactsInput!$M$24)*CHOOSE(ArtifactsInput!$N$24+1,10,12,14,16,18,20)+(IF(AND(ArtifactsInput!$M$42,((Inputs!$B$9+((C1710=TRUE)*(F1710-Calc!F19))+B1723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1701*(MIN(100,(Inputs!$B$9+((C1710=TRUE)*(F1710-Calc!F19))+B1723+(ArtifactsInput!$M$24-ArtifactsInput!$M$24)*CHOOSE(ArtifactsInput!$N$24+1,10,12,14,16,18,20)+(IF(AND(ArtifactsInput!$M$42,((Inputs!$B$9+((C1710=TRUE)*(F1710-Calc!F19))+B1723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1701*(1-MIN(100,(Inputs!$B$9+((C1710=TRUE)*(F1710-Calc!F19))+B1723+(ArtifactsInput!$M$24-ArtifactsInput!$M$24)*CHOOSE(ArtifactsInput!$N$24+1,10,12,14,16,18,20)+(IF(AND(ArtifactsInput!$M$42,((Inputs!$B$9+((C1710=TRUE)*(F1710-Calc!F19))+B1723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1701*(MIN(100,(Inputs!$B$9+((C1710=TRUE)*(F1710-Calc!F19))+B1723+(ArtifactsInput!$M$24-ArtifactsInput!$M$24)*CHOOSE(ArtifactsInput!$N$24+1,10,12,14,16,18,20)+(IF(AND(ArtifactsInput!$M$42,((Inputs!$B$9+((C1710=TRUE)*(F1710-Calc!F19))+B1723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701">
        <f>IF(C1701,(0.15*SUMPRODUCT((Skills!U2:U29=TRUE)*(C1693:C1720=TRUE)*S1693:S1720)*Skills!G10*N1701)*IF(Inputs!$B$38="pvp",1,(1+(Inputs!$B$21+Skills!Q10+(IF(ArtifactsInput!$M$33,CHOOSE(ArtifactsInput!$N$33+1,30,36,42,48,54,60),0))+(IF(AND(ArtifactsInput!$M$35,Inputs!$B$4&lt;&gt;"Chapter Hunt"),CHOOSE(ArtifactsInput!$N$35+1,15,18,21,24,27,30)*(1-EXP(-(0.2*B1725)*5)),0)+IF(AND(ArtifactsInput!$M$22,Inputs!$B$4&lt;&gt;"Chapter Hunt"),CHOOSE(ArtifactsInput!$N$22+1,10,12,14,16,18,20)*((0*(((0.15*B1725*5))^0/1)+1*(((0.15*B1725*5))^1/1)+2*(((0.15*B1725*5))^2/2)+3*(((0.15*B1725*5))^3/6)+4*(((0.15*B1725*5))^4/24)+5*(((0.15*B1725*5))^5/120))/((((0.15*B1725*5))^0/1)+(((0.15*B1725*5))^1/1)+(((0.15*B1725*5))^2/2)+(((0.15*B1725*5))^3/6)+(((0.15*B1725*5))^4/24)+(((0.15*B1725*5))^5/120)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702">
      <c r="A1702">
        <f>Skills!A11</f>
        <v/>
      </c>
      <c r="B1702">
        <f>Skills!B11</f>
        <v/>
      </c>
      <c r="C1702">
        <f>Inputs!$B$3&gt;=110</f>
        <v/>
      </c>
      <c r="D1702">
        <f>IF(Skills!C11=1,60+Inputs!$B$25+Inputs!$B$29,IF(Skills!C11=2,90+Inputs!$B$26+Inputs!$B$29,IF(Skills!C11=3,120+Inputs!$B$27+Inputs!$B$29,MAX(0,(Inputs!$B$3-100)*3)+Inputs!$B$28+Inputs!$B$29)))</f>
        <v/>
      </c>
      <c r="E1702">
        <f>INDEX(FactorTable!$B$2:$Y$301, MATCH(ROUND(MIN(300,MAX(1,D1702)),0), FactorTable!$A$2:$A$301,0), Skills!M11+1)</f>
        <v/>
      </c>
      <c r="F1702">
        <f>IF(Skills!N11=TRUE,(Skills!L11/10)*(E1702/1000),Skills!L11/10)+Skills!O11</f>
        <v/>
      </c>
      <c r="G1702">
        <f>Skills!G11*IF(Skills!H11&gt;0,Skills!I11/Skills!H11,1)</f>
        <v/>
      </c>
      <c r="H1702">
        <f>1-(1-Skills!J11/100)^Skills!K11</f>
        <v/>
      </c>
      <c r="I1702" t="inlineStr">
        <is>
          <t>1</t>
        </is>
      </c>
      <c r="J1702">
        <f>((Inputs!$B$6*(1+Inputs!$B$7/100))+(((Inputs!$B$12*(1+Inputs!$B$13/100))-(Inputs!$B$12*(1+Inputs!$B$13/100)))+0.25*(Inputs!$B$14-Inputs!$B$14))*(1+Inputs!$B$7/100))*(F1702/100)</f>
        <v/>
      </c>
      <c r="K1702">
        <f>J1702*(1+((Inputs!$B$12*(1+Inputs!$B$13/100))*0.01+Inputs!$B$14*0.0025)/100)*(1+Inputs!$B$15/100)*(1+Inputs!$B$16/100)*(5000/(6000+Inputs!$B$42*(1-(100*(1-(1-(Inputs!$B$19+0)/100)*(1-CHOOSE(ArtifactsInput!$N$40+1,5,6,7,8,9,10)/100)^(ArtifactsInput!$M$40-ArtifactsInput!$M$40)))/100)))*(1+(Inputs!$B$24+((C1715=TRUE)*(F1715-Calc!F24))+((C1716=TRUE)*(F1716-Calc!F25))+B1729)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11="EMPOWERED_PIERCING_ARROW",Inputs!$B$17+((C1713=TRUE)*(F1713-Calc!F22))+(((IF(AND(ArtifactsInput!$M$42,((Inputs!$B$9+((C1710=TRUE)*(F1710-Calc!F19))+B1723+(ArtifactsInput!$M$24-ArtifactsInput!$M$24)*CHOOSE(ArtifactsInput!$N$24+1,10,12,14,16,18,20)+IF(ArtifactsInput!$M$10,CHOOSE(ArtifactsInput!$N$10+1,15,18,21,24,27,30)*(IF(Inputs!$B$38="pvp",MIN(15,15)/15,IF(AND(Inputs!$B$38&lt;&gt;"pvp",Inputs!$B$43&gt;0),MIN(15,Inputs!$B$43)/(Inputs!$B$43),0))),0)))&gt;=100),MIN(100,((Inputs!$B$9+((C1710=TRUE)*(F1710-Calc!F19))+B1723+(ArtifactsInput!$M$24-ArtifactsInput!$M$24)*CHOOSE(ArtifactsInput!$N$24+1,10,12,14,16,18,20)+IF(ArtifactsInput!$M$10,CHOOSE(ArtifactsInput!$N$10+1,15,18,21,24,27,30)*(IF(Inputs!$B$38="pvp",MIN(15,15)/15,IF(AND(Inputs!$B$38&lt;&gt;"pvp",Inputs!$B$43&gt;0),MIN(15,Inputs!$B$43)/(Inputs!$B$43),0))),0)))-100),0))*CHOOSE(ArtifactsInput!$N$42+1,0.6,0.72,0.84,0.96,1.08,1.2))),Inputs!$B$18+((C1718=TRUE)*(F1718-Calc!F27))+(IF(AND(ArtifactsInput!$M$42,((Inputs!$B$9+((C1710=TRUE)*(F1710-Calc!F19))+B1723+(ArtifactsInput!$M$24-ArtifactsInput!$M$24)*CHOOSE(ArtifactsInput!$N$24+1,10,12,14,16,18,20)+IF(ArtifactsInput!$M$10,CHOOSE(ArtifactsInput!$N$10+1,15,18,21,24,27,30)*(IF(Inputs!$B$38="pvp",MIN(15,15)/15,IF(AND(Inputs!$B$38&lt;&gt;"pvp",Inputs!$B$43&gt;0),MIN(15,Inputs!$B$43)/(Inputs!$B$43),0))),0)))&gt;=100),CHOOSE(ArtifactsInput!$N$42+1,40,48,56,64,72,80),0))))/100)*((1+(((C1704=TRUE)*F1704)+((C1705=TRUE)*IF(Inputs!$B$38="pvp",F1705,(1-Summary!$B$11)*(F1705)+Summary!$B$11*(0)))+((C1706=TRUE)*F1706*IF(AND(Inputs!$B$38&lt;&gt;"pvp",Inputs!$B$43&gt;0),(((R1706-1)*(Skills!T15*(1+Inputs!$B$34/100))+MIN((Skills!T15*(1+Inputs!$B$34/100)),MAX(0,Inputs!$B$43-((R1706-1)*Skills!D15))))/Inputs!$B$43),IF(Inputs!$B$38="pvp",MIN((Skills!T15*(1+Inputs!$B$34/100)),15)/15,(Skills!T15*(1+Inputs!$B$34/100))/Skills!D15)))+((C1703=TRUE)*F1703)+((C1720=TRUE)*(F1720-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1702)</f>
        <v/>
      </c>
      <c r="L1702">
        <f>K1702*(MIN(Inputs!$B$22+((C1714=TRUE)*(F1714-Calc!F23)),(Inputs!$B$23+((C1719=TRUE)*(F1719-Calc!F28))+(IF(ArtifactsInput!$M$15,CHOOSE(ArtifactsInput!$N$15+1,25,30,35,40,45,50)/100*(Inputs!$B$11-Inputs!$B$11),0))))/100+(Inputs!$B$23+((C1719=TRUE)*(F1719-Calc!F28))+(IF(ArtifactsInput!$M$15,CHOOSE(ArtifactsInput!$N$15+1,25,30,35,40,45,50)/100*(Inputs!$B$11-Inputs!$B$11),0)))/100)/2</f>
        <v/>
      </c>
      <c r="M1702">
        <f>L1702*(1+(Inputs!$B$10+0+B1728+(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702">
        <f>L1702*(1-MIN((Inputs!$B$9+((C1710=TRUE)*(F1710-Calc!F19))+B1723+(ArtifactsInput!$M$24-ArtifactsInput!$M$24)*CHOOSE(ArtifactsInput!$N$24+1,10,12,14,16,18,20)+(IF(AND(ArtifactsInput!$M$42,((Inputs!$B$9+((C1710=TRUE)*(F1710-Calc!F19))+B1723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1702*(MIN((Inputs!$B$9+((C1710=TRUE)*(F1710-Calc!F19))+B1723+(ArtifactsInput!$M$24-ArtifactsInput!$M$24)*CHOOSE(ArtifactsInput!$N$24+1,10,12,14,16,18,20)+(IF(AND(ArtifactsInput!$M$42,((Inputs!$B$9+((C1710=TRUE)*(F1710-Calc!F19))+B1723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702">
        <f>(1-Summary!$B$11)*T1702+Summary!$B$11*V1702</f>
        <v/>
      </c>
      <c r="P1702">
        <f>IF(B1733=0,0,O1702/B1733)</f>
        <v/>
      </c>
      <c r="Q1702">
        <f>IFERROR(1/IF(Inputs!$B$38="pvp",15,MAX(0.1,Skills!D11-IF(Skills!E11=TRUE,Inputs!$B$32,0))),0)</f>
        <v/>
      </c>
      <c r="R1702">
        <f>IF(AND(Inputs!$B$38&lt;&gt;"pvp",Inputs!$B$43&gt;0),IF(MAX(0,Inputs!$B$43-B1730)&lt;=0,0,(INT(MAX(0,Inputs!$B$43-B1730)/IF(Inputs!$B$38="pvp",15,MAX(0.1,Skills!D11-IF(Skills!E11=TRUE,Inputs!$B$32,0))))+1)),0)</f>
        <v/>
      </c>
      <c r="S1702">
        <f>IFERROR((H1702*N1702*IF(AND(Inputs!$B$38&lt;&gt;"pvp",Inputs!$B$43&gt;0),((Skills!G11*((R1702-1)*IF(Skills!H11&gt;0,Skills!I11/Skills!H11,1)+IF(Skills!H11&gt;0,MIN(Skills!I11,MAX(0,MAX(0,Inputs!$B$43-B1730)-((R1702-1)*IF(Inputs!$B$38="pvp",15,MAX(0.1,Skills!D11-IF(Skills!E11=TRUE,Inputs!$B$32,0))))))/Skills!H11,1)))/Inputs!$B$43),G1702*Q1702))/N1702*IF(Inputs!$B$38="pvp",1,(1-Summary!$B$11)*1+Summary!$B$11*(MIN(Skills!R11,Inputs!$B$37))),0)</f>
        <v/>
      </c>
      <c r="T1702">
        <f>IF(C1702,(H1702*N1702*IF(AND(Inputs!$B$38&lt;&gt;"pvp",Inputs!$B$43&gt;0),((Skills!G11*((R1702-1)*IF(Skills!H11&gt;0,Skills!I11/Skills!H11,1)+IF(Skills!H11&gt;0,MIN(Skills!I11,MAX(0,MAX(0,Inputs!$B$43-B1730)-((R1702-1)*IF(Inputs!$B$38="pvp",15,MAX(0.1,Skills!D11-IF(Skills!E11=TRUE,Inputs!$B$32,0))))))/Skills!H11,1)))/Inputs!$B$43),G1702*Q1702))*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Hunt"),CHOOSE(ArtifactsInput!$N$35+1,15,18,21,24,27,30)*(1-EXP(-(0.2*B1725)*5)),0)+IF(AND(ArtifactsInput!$M$22,Inputs!$B$4&lt;&gt;"Chapter Hunt"),CHOOSE(ArtifactsInput!$N$22+1,10,12,14,16,18,20)*((0*(((0.15*B1725*5))^0/1)+1*(((0.15*B1725*5))^1/1)+2*(((0.15*B1725*5))^2/2)+3*(((0.15*B1725*5))^3/6)+4*(((0.15*B1725*5))^4/24)+5*(((0.15*B1725*5))^5/120))/((((0.15*B1725*5))^0/1)+(((0.15*B1725*5))^1/1)+(((0.15*B1725*5))^2/2)+(((0.15*B1725*5))^3/6)+(((0.15*B1725*5))^4/24)+(((0.15*B1725*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1702*(1-MIN(100,(Inputs!$B$9+((C1710=TRUE)*(F1710-Calc!F19))+B1723+(ArtifactsInput!$M$24-ArtifactsInput!$M$24)*CHOOSE(ArtifactsInput!$N$24+1,10,12,14,16,18,20)+(IF(AND(ArtifactsInput!$M$42,((Inputs!$B$9+((C1710=TRUE)*(F1710-Calc!F19))+B1723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1702*(MIN(100,(Inputs!$B$9+((C1710=TRUE)*(F1710-Calc!F19))+B1723+(ArtifactsInput!$M$24-ArtifactsInput!$M$24)*CHOOSE(ArtifactsInput!$N$24+1,10,12,14,16,18,20)+(IF(AND(ArtifactsInput!$M$42,((Inputs!$B$9+((C1710=TRUE)*(F1710-Calc!F19))+B1723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1702*(1-MIN(100,(Inputs!$B$9+((C1710=TRUE)*(F1710-Calc!F19))+B1723+(ArtifactsInput!$M$24-ArtifactsInput!$M$24)*CHOOSE(ArtifactsInput!$N$24+1,10,12,14,16,18,20)+(IF(AND(ArtifactsInput!$M$42,((Inputs!$B$9+((C1710=TRUE)*(F1710-Calc!F19))+B1723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1702*(MIN(100,(Inputs!$B$9+((C1710=TRUE)*(F1710-Calc!F19))+B1723+(ArtifactsInput!$M$24-ArtifactsInput!$M$24)*CHOOSE(ArtifactsInput!$N$24+1,10,12,14,16,18,20)+(IF(AND(ArtifactsInput!$M$42,((Inputs!$B$9+((C1710=TRUE)*(F1710-Calc!F19))+B1723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702">
        <f>IF(C1702,(H1702*N1702*IF(AND(Inputs!$B$38&lt;&gt;"pvp",Inputs!$B$43&gt;0),((Skills!G11*((R1702-1)*IF(Skills!H11&gt;0,Skills!I11/Skills!H11,1)+IF(Skills!H11&gt;0,MIN(Skills!I11,MAX(0,MAX(0,Inputs!$B$43-B1730)-((R1702-1)*IF(Inputs!$B$38="pvp",15,MAX(0.1,Skills!D11-IF(Skills!E11=TRUE,Inputs!$B$32,0))))))/Skills!H11,1)))/Inputs!$B$43),G1702*Q1702))*IF(Inputs!$B$38="pvp",1,(1+(Inputs!$B$21+Skills!Q11+(IF(ArtifactsInput!$M$33,CHOOSE(ArtifactsInput!$N$33+1,30,36,42,48,54,60),0))+(IF(AND(ArtifactsInput!$M$35,Inputs!$B$4&lt;&gt;"Chapter Hunt"),CHOOSE(ArtifactsInput!$N$35+1,15,18,21,24,27,30)*(1-EXP(-(0.2*B1725)*5)),0)+IF(AND(ArtifactsInput!$M$22,Inputs!$B$4&lt;&gt;"Chapter Hunt"),CHOOSE(ArtifactsInput!$N$22+1,10,12,14,16,18,20)*((0*(((0.15*B1725*5))^0/1)+1*(((0.15*B1725*5))^1/1)+2*(((0.15*B1725*5))^2/2)+3*(((0.15*B1725*5))^3/6)+4*(((0.15*B1725*5))^4/24)+5*(((0.15*B1725*5))^5/120))/((((0.15*B1725*5))^0/1)+(((0.15*B1725*5))^1/1)+(((0.15*B1725*5))^2/2)+(((0.15*B1725*5))^3/6)+(((0.15*B1725*5))^4/24)+(((0.15*B1725*5))^5/120))),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703">
      <c r="A1703">
        <f>Skills!A12</f>
        <v/>
      </c>
      <c r="B1703">
        <f>Skills!B12</f>
        <v/>
      </c>
      <c r="C1703">
        <f>Inputs!$B$3&gt;=60</f>
        <v/>
      </c>
      <c r="D1703">
        <f>IF(Skills!C12=1,60+Inputs!$B$25+Inputs!$B$29,IF(Skills!C12=2,90+Inputs!$B$26+Inputs!$B$29,IF(Skills!C12=3,120+Inputs!$B$27+Inputs!$B$29,MAX(0,(Inputs!$B$3-100)*3)+Inputs!$B$28+Inputs!$B$29)))</f>
        <v/>
      </c>
      <c r="E1703">
        <f>INDEX(FactorTable!$B$2:$Y$301, MATCH(ROUND(MIN(300,MAX(1,D1703)),0), FactorTable!$A$2:$A$301,0), Skills!M12+1)</f>
        <v/>
      </c>
      <c r="F1703">
        <f>IF(Skills!N12=TRUE,(Skills!L12/10)*(E1703/1000),Skills!L12/10)+Skills!O12</f>
        <v/>
      </c>
      <c r="G1703">
        <f>Skills!G12*IF(Skills!H12&gt;0,Skills!I12/Skills!H12,1)</f>
        <v/>
      </c>
      <c r="H1703">
        <f>1-(1-Skills!J12/100)^Skills!K12</f>
        <v/>
      </c>
      <c r="I1703" t="inlineStr">
        <is>
          <t>1</t>
        </is>
      </c>
      <c r="J1703" t="inlineStr"/>
      <c r="K1703" t="inlineStr"/>
      <c r="L1703" t="inlineStr"/>
      <c r="M1703" t="inlineStr"/>
      <c r="N1703" t="inlineStr"/>
      <c r="O1703">
        <f>(1-Summary!$B$11)*T1703+Summary!$B$11*V1703</f>
        <v/>
      </c>
      <c r="P1703">
        <f>IF(B1733=0,0,O1703/B1733)</f>
        <v/>
      </c>
      <c r="Q1703" t="n">
        <v>0</v>
      </c>
      <c r="R1703" t="n">
        <v>0</v>
      </c>
      <c r="S1703" t="n">
        <v>0</v>
      </c>
      <c r="T1703" t="n">
        <v>0</v>
      </c>
      <c r="V1703" t="n">
        <v>0</v>
      </c>
    </row>
    <row r="1704">
      <c r="A1704">
        <f>Skills!A13</f>
        <v/>
      </c>
      <c r="B1704">
        <f>Skills!B13</f>
        <v/>
      </c>
      <c r="C1704">
        <f>Inputs!$B$3&gt;=74</f>
        <v/>
      </c>
      <c r="D1704">
        <f>IF(Skills!C13=1,60+Inputs!$B$25+Inputs!$B$29,IF(Skills!C13=2,90+Inputs!$B$26+Inputs!$B$29,IF(Skills!C13=3,120+Inputs!$B$27+Inputs!$B$29,MAX(0,(Inputs!$B$3-100)*3)+Inputs!$B$28+Inputs!$B$29)))</f>
        <v/>
      </c>
      <c r="E1704">
        <f>INDEX(FactorTable!$B$2:$Y$301, MATCH(ROUND(MIN(300,MAX(1,D1704)),0), FactorTable!$A$2:$A$301,0), Skills!M13+1)</f>
        <v/>
      </c>
      <c r="F1704">
        <f>IF(Skills!N13=TRUE,(Skills!L13/10)*(E1704/1000),Skills!L13/10)+Skills!O13</f>
        <v/>
      </c>
      <c r="G1704">
        <f>Skills!G13*IF(Skills!H13&gt;0,Skills!I13/Skills!H13,1)</f>
        <v/>
      </c>
      <c r="H1704">
        <f>1-(1-Skills!J13/100)^Skills!K13</f>
        <v/>
      </c>
      <c r="I1704" t="inlineStr">
        <is>
          <t>1</t>
        </is>
      </c>
      <c r="J1704" t="inlineStr"/>
      <c r="K1704" t="inlineStr"/>
      <c r="L1704" t="inlineStr"/>
      <c r="M1704" t="inlineStr"/>
      <c r="N1704" t="inlineStr"/>
      <c r="O1704">
        <f>(1-Summary!$B$11)*T1704+Summary!$B$11*V1704</f>
        <v/>
      </c>
      <c r="P1704">
        <f>IF(B1733=0,0,O1704/B1733)</f>
        <v/>
      </c>
      <c r="Q1704" t="n">
        <v>0</v>
      </c>
      <c r="R1704" t="n">
        <v>0</v>
      </c>
      <c r="S1704" t="n">
        <v>0</v>
      </c>
      <c r="T1704" t="n">
        <v>0</v>
      </c>
      <c r="V1704" t="n">
        <v>0</v>
      </c>
    </row>
    <row r="1705">
      <c r="A1705">
        <f>Skills!A14</f>
        <v/>
      </c>
      <c r="B1705">
        <f>Skills!B14</f>
        <v/>
      </c>
      <c r="C1705">
        <f>Inputs!$B$3&gt;=74</f>
        <v/>
      </c>
      <c r="D1705">
        <f>IF(Skills!C14=1,60+Inputs!$B$25+Inputs!$B$29,IF(Skills!C14=2,90+Inputs!$B$26+Inputs!$B$29,IF(Skills!C14=3,120+Inputs!$B$27+Inputs!$B$29,MAX(0,(Inputs!$B$3-100)*3)+Inputs!$B$28+Inputs!$B$29)))</f>
        <v/>
      </c>
      <c r="E1705">
        <f>INDEX(FactorTable!$B$2:$Y$301, MATCH(ROUND(MIN(300,MAX(1,D1705)),0), FactorTable!$A$2:$A$301,0), Skills!M14+1)</f>
        <v/>
      </c>
      <c r="F1705">
        <f>IF(Skills!N14=TRUE,(Skills!L14/10)*(E1705/1000),Skills!L14/10)+Skills!O14</f>
        <v/>
      </c>
      <c r="G1705">
        <f>Skills!G14*IF(Skills!H14&gt;0,Skills!I14/Skills!H14,1)</f>
        <v/>
      </c>
      <c r="H1705">
        <f>1-(1-Skills!J14/100)^Skills!K14</f>
        <v/>
      </c>
      <c r="I1705" t="inlineStr">
        <is>
          <t>1</t>
        </is>
      </c>
      <c r="J1705" t="inlineStr"/>
      <c r="K1705" t="inlineStr"/>
      <c r="L1705" t="inlineStr"/>
      <c r="M1705" t="inlineStr"/>
      <c r="N1705" t="inlineStr"/>
      <c r="O1705">
        <f>(1-Summary!$B$11)*T1705+Summary!$B$11*V1705</f>
        <v/>
      </c>
      <c r="P1705">
        <f>IF(B1733=0,0,O1705/B1733)</f>
        <v/>
      </c>
      <c r="Q1705" t="n">
        <v>0</v>
      </c>
      <c r="R1705" t="n">
        <v>0</v>
      </c>
      <c r="S1705" t="n">
        <v>0</v>
      </c>
      <c r="T1705" t="n">
        <v>0</v>
      </c>
      <c r="V1705" t="n">
        <v>0</v>
      </c>
    </row>
    <row r="1706">
      <c r="A1706">
        <f>Skills!A15</f>
        <v/>
      </c>
      <c r="B1706">
        <f>Skills!B15</f>
        <v/>
      </c>
      <c r="C1706">
        <f>Inputs!$B$3&gt;=117</f>
        <v/>
      </c>
      <c r="D1706">
        <f>IF(Skills!C15=1,60+Inputs!$B$25+Inputs!$B$29,IF(Skills!C15=2,90+Inputs!$B$26+Inputs!$B$29,IF(Skills!C15=3,120+Inputs!$B$27+Inputs!$B$29,MAX(0,(Inputs!$B$3-100)*3)+Inputs!$B$28+Inputs!$B$29)))</f>
        <v/>
      </c>
      <c r="E1706">
        <f>INDEX(FactorTable!$B$2:$Y$301, MATCH(ROUND(MIN(300,MAX(1,D1706)),0), FactorTable!$A$2:$A$301,0), Skills!M15+1)</f>
        <v/>
      </c>
      <c r="F1706">
        <f>IF(Skills!N15=TRUE,(Skills!L15/10)*(E1706/1000),Skills!L15/10)+Skills!O15</f>
        <v/>
      </c>
      <c r="G1706">
        <f>Skills!G15*IF(Skills!H15&gt;0,Skills!I15/Skills!H15,1)</f>
        <v/>
      </c>
      <c r="H1706">
        <f>1-(1-Skills!J15/100)^Skills!K15</f>
        <v/>
      </c>
      <c r="I1706" t="inlineStr">
        <is>
          <t>1</t>
        </is>
      </c>
      <c r="J1706" t="inlineStr"/>
      <c r="K1706" t="inlineStr"/>
      <c r="L1706" t="inlineStr"/>
      <c r="M1706" t="inlineStr"/>
      <c r="N1706" t="inlineStr"/>
      <c r="O1706">
        <f>(1-Summary!$B$11)*T1706+Summary!$B$11*V1706</f>
        <v/>
      </c>
      <c r="P1706">
        <f>IF(B1733=0,0,O1706/B1733)</f>
        <v/>
      </c>
      <c r="Q1706">
        <f>IFERROR(1/IF(Inputs!$B$38="pvp",15,MAX(0.1,Skills!D15-IF(Skills!E15=TRUE,Inputs!$B$32,0))),0)</f>
        <v/>
      </c>
      <c r="R1706">
        <f>IF(AND(Inputs!$B$38&lt;&gt;"pvp",Inputs!$B$43&gt;0),IF(Inputs!$B$43&lt;=0,0,(INT(Inputs!$B$43/IF(Inputs!$B$38="pvp",15,MAX(0.1,Skills!D15-IF(Skills!E15=TRUE,Inputs!$B$32,0))))+1)),0)</f>
        <v/>
      </c>
      <c r="S1706" t="n">
        <v>0</v>
      </c>
      <c r="T1706" t="n">
        <v>0</v>
      </c>
      <c r="V1706" t="n">
        <v>0</v>
      </c>
    </row>
    <row r="1707">
      <c r="A1707">
        <f>Skills!A16</f>
        <v/>
      </c>
      <c r="B1707">
        <f>Skills!B16</f>
        <v/>
      </c>
      <c r="C1707">
        <f>Inputs!$B$3&gt;=115</f>
        <v/>
      </c>
      <c r="D1707">
        <f>IF(Skills!C16=1,60+Inputs!$B$25+Inputs!$B$29,IF(Skills!C16=2,90+Inputs!$B$26+Inputs!$B$29,IF(Skills!C16=3,120+Inputs!$B$27+Inputs!$B$29,MAX(0,(Inputs!$B$3-100)*3)+Inputs!$B$28+Inputs!$B$29)))</f>
        <v/>
      </c>
      <c r="E1707">
        <f>INDEX(FactorTable!$B$2:$Y$301, MATCH(ROUND(MIN(300,MAX(1,D1707)),0), FactorTable!$A$2:$A$301,0), Skills!M16+1)</f>
        <v/>
      </c>
      <c r="F1707">
        <f>IF(Skills!N16=TRUE,(Skills!L16/10)*(E1707/1000),Skills!L16/10)+Skills!O16</f>
        <v/>
      </c>
      <c r="G1707">
        <f>Skills!G16*IF(Skills!H16&gt;0,Skills!I16/Skills!H16,1)</f>
        <v/>
      </c>
      <c r="H1707">
        <f>1-(1-Skills!J16/100)^Skills!K16</f>
        <v/>
      </c>
      <c r="I1707" t="inlineStr">
        <is>
          <t>1</t>
        </is>
      </c>
      <c r="J1707" t="inlineStr"/>
      <c r="K1707" t="inlineStr"/>
      <c r="L1707" t="inlineStr"/>
      <c r="M1707" t="inlineStr"/>
      <c r="N1707" t="inlineStr"/>
      <c r="O1707">
        <f>(1-Summary!$B$11)*T1707+Summary!$B$11*V1707</f>
        <v/>
      </c>
      <c r="P1707">
        <f>IF(B1733=0,0,O1707/B1733)</f>
        <v/>
      </c>
      <c r="Q1707">
        <f>IFERROR(1/IF(Inputs!$B$38="pvp",15,MAX(0.1,Skills!D16-IF(Skills!E16=TRUE,Inputs!$B$32,0))),0)</f>
        <v/>
      </c>
      <c r="R1707">
        <f>IF(AND(Inputs!$B$38&lt;&gt;"pvp",Inputs!$B$43&gt;0),IF(Inputs!$B$43&lt;=0,0,(INT(Inputs!$B$43/IF(Inputs!$B$38="pvp",15,MAX(0.1,Skills!D16-IF(Skills!E16=TRUE,Inputs!$B$32,0))))+1)),0)</f>
        <v/>
      </c>
      <c r="S1707" t="n">
        <v>0</v>
      </c>
      <c r="T1707" t="n">
        <v>0</v>
      </c>
      <c r="V1707" t="n">
        <v>0</v>
      </c>
    </row>
    <row r="1708">
      <c r="A1708">
        <f>Skills!A17</f>
        <v/>
      </c>
      <c r="B1708">
        <f>Skills!B17</f>
        <v/>
      </c>
      <c r="C1708">
        <f>Inputs!$B$3&gt;=72</f>
        <v/>
      </c>
      <c r="D1708">
        <f>IF(Skills!C17=1,60+Inputs!$B$25+Inputs!$B$29,IF(Skills!C17=2,90+Inputs!$B$26+Inputs!$B$29,IF(Skills!C17=3,120+Inputs!$B$27+Inputs!$B$29,MAX(0,(Inputs!$B$3-100)*3)+Inputs!$B$28+Inputs!$B$29)))</f>
        <v/>
      </c>
      <c r="E1708">
        <f>INDEX(FactorTable!$B$2:$Y$301, MATCH(ROUND(MIN(300,MAX(1,D1708)),0), FactorTable!$A$2:$A$301,0), Skills!M17+1)</f>
        <v/>
      </c>
      <c r="F1708">
        <f>IF(Skills!N17=TRUE,(Skills!L17/10)*(E1708/1000),Skills!L17/10)+Skills!O17</f>
        <v/>
      </c>
      <c r="G1708">
        <f>Skills!G17*IF(Skills!H17&gt;0,Skills!I17/Skills!H17,1)</f>
        <v/>
      </c>
      <c r="H1708">
        <f>1-(1-Skills!J17/100)^Skills!K17</f>
        <v/>
      </c>
      <c r="I1708" t="inlineStr">
        <is>
          <t>1</t>
        </is>
      </c>
      <c r="J1708" t="inlineStr"/>
      <c r="K1708" t="inlineStr"/>
      <c r="L1708" t="inlineStr"/>
      <c r="M1708" t="inlineStr"/>
      <c r="N1708" t="inlineStr"/>
      <c r="O1708">
        <f>(1-Summary!$B$11)*T1708+Summary!$B$11*V1708</f>
        <v/>
      </c>
      <c r="P1708">
        <f>IF(B1733=0,0,O1708/B1733)</f>
        <v/>
      </c>
      <c r="Q1708" t="n">
        <v>0</v>
      </c>
      <c r="R1708" t="n">
        <v>0</v>
      </c>
      <c r="S1708" t="n">
        <v>0</v>
      </c>
      <c r="T1708" t="n">
        <v>0</v>
      </c>
      <c r="V1708" t="n">
        <v>0</v>
      </c>
    </row>
    <row r="1709">
      <c r="A1709">
        <f>Skills!A18</f>
        <v/>
      </c>
      <c r="B1709">
        <f>Skills!B18</f>
        <v/>
      </c>
      <c r="C1709">
        <f>TRUE</f>
        <v/>
      </c>
      <c r="D1709">
        <f>IF(Skills!C18=1,60+Inputs!$B$25+Inputs!$B$29,IF(Skills!C18=2,90+Inputs!$B$26+Inputs!$B$29,IF(Skills!C18=3,120+Inputs!$B$27+Inputs!$B$29,MAX(0,(Inputs!$B$3-100)*3)+Inputs!$B$28+Inputs!$B$29)))</f>
        <v/>
      </c>
      <c r="E1709">
        <f>INDEX(FactorTable!$B$2:$Y$301, MATCH(ROUND(MIN(300,MAX(1,D1709)),0), FactorTable!$A$2:$A$301,0), Skills!M18+1)</f>
        <v/>
      </c>
      <c r="F1709">
        <f>IF(Skills!N18=TRUE,(Skills!L18/10)*(E1709/1000),Skills!L18/10)+Skills!O18</f>
        <v/>
      </c>
      <c r="G1709">
        <f>Skills!G18*IF(Skills!H18&gt;0,Skills!I18/Skills!H18,1)</f>
        <v/>
      </c>
      <c r="H1709">
        <f>1-(1-Skills!J18/100)^Skills!K18</f>
        <v/>
      </c>
      <c r="I1709" t="inlineStr">
        <is>
          <t>1</t>
        </is>
      </c>
      <c r="J1709" t="inlineStr"/>
      <c r="K1709" t="inlineStr"/>
      <c r="L1709" t="inlineStr"/>
      <c r="M1709" t="inlineStr"/>
      <c r="N1709" t="inlineStr"/>
      <c r="O1709">
        <f>(1-Summary!$B$11)*T1709+Summary!$B$11*V1709</f>
        <v/>
      </c>
      <c r="P1709">
        <f>IF(B1733=0,0,O1709/B1733)</f>
        <v/>
      </c>
      <c r="Q1709">
        <f>IFERROR(1/IF(Inputs!$B$38="pvp",15,MAX(0.1,Skills!D18-IF(Skills!E18=TRUE,Inputs!$B$32,0))),0)</f>
        <v/>
      </c>
      <c r="R1709">
        <f>IF(AND(Inputs!$B$38&lt;&gt;"pvp",Inputs!$B$43&gt;0),IF(Inputs!$B$43&lt;=0,0,(INT(Inputs!$B$43/IF(Inputs!$B$38="pvp",15,MAX(0.1,Skills!D18-IF(Skills!E18=TRUE,Inputs!$B$32,0))))+1)),0)</f>
        <v/>
      </c>
      <c r="S1709" t="n">
        <v>0</v>
      </c>
      <c r="T1709" t="n">
        <v>0</v>
      </c>
      <c r="V1709" t="n">
        <v>0</v>
      </c>
    </row>
    <row r="1710">
      <c r="A1710">
        <f>Skills!A19</f>
        <v/>
      </c>
      <c r="B1710">
        <f>Skills!B19</f>
        <v/>
      </c>
      <c r="C1710">
        <f>Inputs!$B$3&gt;=15</f>
        <v/>
      </c>
      <c r="D1710">
        <f>IF(Skills!C19=1,60+Inputs!$B$25+Inputs!$B$29,IF(Skills!C19=2,90+Inputs!$B$26+Inputs!$B$29,IF(Skills!C19=3,120+Inputs!$B$27+Inputs!$B$29,MAX(0,(Inputs!$B$3-100)*3)+Inputs!$B$28+Inputs!$B$29)))</f>
        <v/>
      </c>
      <c r="E1710">
        <f>INDEX(FactorTable!$B$2:$Y$301, MATCH(ROUND(MIN(300,MAX(1,D1710)),0), FactorTable!$A$2:$A$301,0), Skills!M19+1)</f>
        <v/>
      </c>
      <c r="F1710">
        <f>IF(Skills!N19=TRUE,(Skills!L19/10)*(E1710/1000),Skills!L19/10)+Skills!O19</f>
        <v/>
      </c>
      <c r="G1710">
        <f>Skills!G19*IF(Skills!H19&gt;0,Skills!I19/Skills!H19,1)</f>
        <v/>
      </c>
      <c r="H1710">
        <f>1-(1-Skills!J19/100)^Skills!K19</f>
        <v/>
      </c>
      <c r="I1710" t="inlineStr">
        <is>
          <t>1</t>
        </is>
      </c>
      <c r="J1710" t="inlineStr"/>
      <c r="K1710" t="inlineStr"/>
      <c r="L1710" t="inlineStr"/>
      <c r="M1710" t="inlineStr"/>
      <c r="N1710" t="inlineStr"/>
      <c r="O1710">
        <f>(1-Summary!$B$11)*T1710+Summary!$B$11*V1710</f>
        <v/>
      </c>
      <c r="P1710">
        <f>IF(B1733=0,0,O1710/B1733)</f>
        <v/>
      </c>
      <c r="Q1710" t="n">
        <v>0</v>
      </c>
      <c r="R1710" t="n">
        <v>0</v>
      </c>
      <c r="S1710" t="n">
        <v>0</v>
      </c>
      <c r="T1710" t="n">
        <v>0</v>
      </c>
      <c r="V1710" t="n">
        <v>0</v>
      </c>
    </row>
    <row r="1711">
      <c r="A1711">
        <f>Skills!A20</f>
        <v/>
      </c>
      <c r="B1711">
        <f>Skills!B20</f>
        <v/>
      </c>
      <c r="C1711">
        <f>Inputs!$B$3&gt;=10</f>
        <v/>
      </c>
      <c r="D1711">
        <f>IF(Skills!C20=1,60+Inputs!$B$25+Inputs!$B$29,IF(Skills!C20=2,90+Inputs!$B$26+Inputs!$B$29,IF(Skills!C20=3,120+Inputs!$B$27+Inputs!$B$29,MAX(0,(Inputs!$B$3-100)*3)+Inputs!$B$28+Inputs!$B$29)))</f>
        <v/>
      </c>
      <c r="E1711">
        <f>INDEX(FactorTable!$B$2:$Y$301, MATCH(ROUND(MIN(300,MAX(1,D1711)),0), FactorTable!$A$2:$A$301,0), Skills!M20+1)</f>
        <v/>
      </c>
      <c r="F1711">
        <f>IF(Skills!N20=TRUE,(Skills!L20/10)*(E1711/1000),Skills!L20/10)+Skills!O20</f>
        <v/>
      </c>
      <c r="G1711">
        <f>Skills!G20*IF(Skills!H20&gt;0,Skills!I20/Skills!H20,1)</f>
        <v/>
      </c>
      <c r="H1711">
        <f>1-(1-Skills!J20/100)^Skills!K20</f>
        <v/>
      </c>
      <c r="I1711" t="inlineStr">
        <is>
          <t>1</t>
        </is>
      </c>
      <c r="J1711" t="inlineStr"/>
      <c r="K1711" t="inlineStr"/>
      <c r="L1711" t="inlineStr"/>
      <c r="M1711" t="inlineStr"/>
      <c r="N1711" t="inlineStr"/>
      <c r="O1711">
        <f>(1-Summary!$B$11)*T1711+Summary!$B$11*V1711</f>
        <v/>
      </c>
      <c r="P1711">
        <f>IF(B1733=0,0,O1711/B1733)</f>
        <v/>
      </c>
      <c r="Q1711" t="n">
        <v>0</v>
      </c>
      <c r="R1711" t="n">
        <v>0</v>
      </c>
      <c r="S1711" t="n">
        <v>0</v>
      </c>
      <c r="T1711" t="n">
        <v>0</v>
      </c>
      <c r="V1711" t="n">
        <v>0</v>
      </c>
    </row>
    <row r="1712">
      <c r="A1712">
        <f>Skills!A21</f>
        <v/>
      </c>
      <c r="B1712">
        <f>Skills!B21</f>
        <v/>
      </c>
      <c r="C1712">
        <f>Inputs!$B$3&gt;=33</f>
        <v/>
      </c>
      <c r="D1712">
        <f>IF(Skills!C21=1,60+Inputs!$B$25+Inputs!$B$29,IF(Skills!C21=2,90+Inputs!$B$26+Inputs!$B$29,IF(Skills!C21=3,120+Inputs!$B$27+Inputs!$B$29,MAX(0,(Inputs!$B$3-100)*3)+Inputs!$B$28+Inputs!$B$29)))</f>
        <v/>
      </c>
      <c r="E1712">
        <f>INDEX(FactorTable!$B$2:$Y$301, MATCH(ROUND(MIN(300,MAX(1,D1712)),0), FactorTable!$A$2:$A$301,0), Skills!M21+1)</f>
        <v/>
      </c>
      <c r="F1712">
        <f>IF(Skills!N21=TRUE,(Skills!L21/10)*(E1712/1000),Skills!L21/10)+Skills!O21</f>
        <v/>
      </c>
      <c r="G1712">
        <f>Skills!G21*IF(Skills!H21&gt;0,Skills!I21/Skills!H21,1)</f>
        <v/>
      </c>
      <c r="H1712">
        <f>1-(1-Skills!J21/100)^Skills!K21</f>
        <v/>
      </c>
      <c r="I1712" t="inlineStr">
        <is>
          <t>1</t>
        </is>
      </c>
      <c r="J1712" t="inlineStr"/>
      <c r="K1712" t="inlineStr"/>
      <c r="L1712" t="inlineStr"/>
      <c r="M1712" t="inlineStr"/>
      <c r="N1712" t="inlineStr"/>
      <c r="O1712">
        <f>(1-Summary!$B$11)*T1712+Summary!$B$11*V1712</f>
        <v/>
      </c>
      <c r="P1712">
        <f>IF(B1733=0,0,O1712/B1733)</f>
        <v/>
      </c>
      <c r="Q1712" t="n">
        <v>0</v>
      </c>
      <c r="R1712" t="n">
        <v>0</v>
      </c>
      <c r="S1712" t="n">
        <v>0</v>
      </c>
      <c r="T1712" t="n">
        <v>0</v>
      </c>
      <c r="V1712" t="n">
        <v>0</v>
      </c>
    </row>
    <row r="1713">
      <c r="A1713">
        <f>Skills!A22</f>
        <v/>
      </c>
      <c r="B1713">
        <f>Skills!B22</f>
        <v/>
      </c>
      <c r="C1713">
        <f>Inputs!$B$3&gt;=38</f>
        <v/>
      </c>
      <c r="D1713">
        <f>IF(Skills!C22=1,60+Inputs!$B$25+Inputs!$B$29,IF(Skills!C22=2,90+Inputs!$B$26+Inputs!$B$29,IF(Skills!C22=3,120+Inputs!$B$27+Inputs!$B$29,MAX(0,(Inputs!$B$3-100)*3)+Inputs!$B$28+Inputs!$B$29)))</f>
        <v/>
      </c>
      <c r="E1713">
        <f>INDEX(FactorTable!$B$2:$Y$301, MATCH(ROUND(MIN(300,MAX(1,D1713)),0), FactorTable!$A$2:$A$301,0), Skills!M22+1)</f>
        <v/>
      </c>
      <c r="F1713">
        <f>IF(Skills!N22=TRUE,(Skills!L22/10)*(E1713/1000),Skills!L22/10)+Skills!O22</f>
        <v/>
      </c>
      <c r="G1713">
        <f>Skills!G22*IF(Skills!H22&gt;0,Skills!I22/Skills!H22,1)</f>
        <v/>
      </c>
      <c r="H1713">
        <f>1-(1-Skills!J22/100)^Skills!K22</f>
        <v/>
      </c>
      <c r="I1713" t="inlineStr">
        <is>
          <t>1</t>
        </is>
      </c>
      <c r="J1713" t="inlineStr"/>
      <c r="K1713" t="inlineStr"/>
      <c r="L1713" t="inlineStr"/>
      <c r="M1713" t="inlineStr"/>
      <c r="N1713" t="inlineStr"/>
      <c r="O1713">
        <f>(1-Summary!$B$11)*T1713+Summary!$B$11*V1713</f>
        <v/>
      </c>
      <c r="P1713">
        <f>IF(B1733=0,0,O1713/B1733)</f>
        <v/>
      </c>
      <c r="Q1713" t="n">
        <v>0</v>
      </c>
      <c r="R1713" t="n">
        <v>0</v>
      </c>
      <c r="S1713" t="n">
        <v>0</v>
      </c>
      <c r="T1713" t="n">
        <v>0</v>
      </c>
      <c r="V1713" t="n">
        <v>0</v>
      </c>
    </row>
    <row r="1714">
      <c r="A1714">
        <f>Skills!A23</f>
        <v/>
      </c>
      <c r="B1714">
        <f>Skills!B23</f>
        <v/>
      </c>
      <c r="C1714">
        <f>Inputs!$B$3&gt;=43</f>
        <v/>
      </c>
      <c r="D1714">
        <f>IF(Skills!C23=1,60+Inputs!$B$25+Inputs!$B$29,IF(Skills!C23=2,90+Inputs!$B$26+Inputs!$B$29,IF(Skills!C23=3,120+Inputs!$B$27+Inputs!$B$29,MAX(0,(Inputs!$B$3-100)*3)+Inputs!$B$28+Inputs!$B$29)))</f>
        <v/>
      </c>
      <c r="E1714">
        <f>INDEX(FactorTable!$B$2:$Y$301, MATCH(ROUND(MIN(300,MAX(1,D1714)),0), FactorTable!$A$2:$A$301,0), Skills!M23+1)</f>
        <v/>
      </c>
      <c r="F1714">
        <f>IF(Skills!N23=TRUE,(Skills!L23/10)*(E1714/1000),Skills!L23/10)+Skills!O23</f>
        <v/>
      </c>
      <c r="G1714">
        <f>Skills!G23*IF(Skills!H23&gt;0,Skills!I23/Skills!H23,1)</f>
        <v/>
      </c>
      <c r="H1714">
        <f>1-(1-Skills!J23/100)^Skills!K23</f>
        <v/>
      </c>
      <c r="I1714" t="inlineStr">
        <is>
          <t>1</t>
        </is>
      </c>
      <c r="J1714" t="inlineStr"/>
      <c r="K1714" t="inlineStr"/>
      <c r="L1714" t="inlineStr"/>
      <c r="M1714" t="inlineStr"/>
      <c r="N1714" t="inlineStr"/>
      <c r="O1714">
        <f>(1-Summary!$B$11)*T1714+Summary!$B$11*V1714</f>
        <v/>
      </c>
      <c r="P1714">
        <f>IF(B1733=0,0,O1714/B1733)</f>
        <v/>
      </c>
      <c r="Q1714" t="n">
        <v>0</v>
      </c>
      <c r="R1714" t="n">
        <v>0</v>
      </c>
      <c r="S1714" t="n">
        <v>0</v>
      </c>
      <c r="T1714" t="n">
        <v>0</v>
      </c>
      <c r="V1714" t="n">
        <v>0</v>
      </c>
    </row>
    <row r="1715">
      <c r="A1715">
        <f>Skills!A24</f>
        <v/>
      </c>
      <c r="B1715">
        <f>Skills!B24</f>
        <v/>
      </c>
      <c r="C1715">
        <f>Inputs!$B$3&gt;=75</f>
        <v/>
      </c>
      <c r="D1715">
        <f>IF(Skills!C24=1,60+Inputs!$B$25+Inputs!$B$29,IF(Skills!C24=2,90+Inputs!$B$26+Inputs!$B$29,IF(Skills!C24=3,120+Inputs!$B$27+Inputs!$B$29,MAX(0,(Inputs!$B$3-100)*3)+Inputs!$B$28+Inputs!$B$29)))</f>
        <v/>
      </c>
      <c r="E1715">
        <f>INDEX(FactorTable!$B$2:$Y$301, MATCH(ROUND(MIN(300,MAX(1,D1715)),0), FactorTable!$A$2:$A$301,0), Skills!M24+1)</f>
        <v/>
      </c>
      <c r="F1715">
        <f>IF(Skills!N24=TRUE,(Skills!L24/10)*(E1715/1000),Skills!L24/10)+Skills!O24</f>
        <v/>
      </c>
      <c r="G1715">
        <f>Skills!G24*IF(Skills!H24&gt;0,Skills!I24/Skills!H24,1)</f>
        <v/>
      </c>
      <c r="H1715">
        <f>1-(1-Skills!J24/100)^Skills!K24</f>
        <v/>
      </c>
      <c r="I1715" t="inlineStr">
        <is>
          <t>1</t>
        </is>
      </c>
      <c r="J1715" t="inlineStr"/>
      <c r="K1715" t="inlineStr"/>
      <c r="L1715" t="inlineStr"/>
      <c r="M1715" t="inlineStr"/>
      <c r="N1715" t="inlineStr"/>
      <c r="O1715">
        <f>(1-Summary!$B$11)*T1715+Summary!$B$11*V1715</f>
        <v/>
      </c>
      <c r="P1715">
        <f>IF(B1733=0,0,O1715/B1733)</f>
        <v/>
      </c>
      <c r="Q1715" t="n">
        <v>0</v>
      </c>
      <c r="R1715" t="n">
        <v>0</v>
      </c>
      <c r="S1715" t="n">
        <v>0</v>
      </c>
      <c r="T1715" t="n">
        <v>0</v>
      </c>
      <c r="V1715" t="n">
        <v>0</v>
      </c>
    </row>
    <row r="1716">
      <c r="A1716">
        <f>Skills!A25</f>
        <v/>
      </c>
      <c r="B1716">
        <f>Skills!B25</f>
        <v/>
      </c>
      <c r="C1716">
        <f>Inputs!$B$3&gt;=125</f>
        <v/>
      </c>
      <c r="D1716">
        <f>IF(Skills!C25=1,60+Inputs!$B$25+Inputs!$B$29,IF(Skills!C25=2,90+Inputs!$B$26+Inputs!$B$29,IF(Skills!C25=3,120+Inputs!$B$27+Inputs!$B$29,MAX(0,(Inputs!$B$3-100)*3)+Inputs!$B$28+Inputs!$B$29)))</f>
        <v/>
      </c>
      <c r="E1716">
        <f>INDEX(FactorTable!$B$2:$Y$301, MATCH(ROUND(MIN(300,MAX(1,D1716)),0), FactorTable!$A$2:$A$301,0), Skills!M25+1)</f>
        <v/>
      </c>
      <c r="F1716">
        <f>IF(Skills!N25=TRUE,(Skills!L25/10)*(E1716/1000),Skills!L25/10)+Skills!O25</f>
        <v/>
      </c>
      <c r="G1716">
        <f>Skills!G25*IF(Skills!H25&gt;0,Skills!I25/Skills!H25,1)</f>
        <v/>
      </c>
      <c r="H1716">
        <f>1-(1-Skills!J25/100)^Skills!K25</f>
        <v/>
      </c>
      <c r="I1716" t="inlineStr">
        <is>
          <t>1</t>
        </is>
      </c>
      <c r="J1716" t="inlineStr"/>
      <c r="K1716" t="inlineStr"/>
      <c r="L1716" t="inlineStr"/>
      <c r="M1716" t="inlineStr"/>
      <c r="N1716" t="inlineStr"/>
      <c r="O1716">
        <f>(1-Summary!$B$11)*T1716+Summary!$B$11*V1716</f>
        <v/>
      </c>
      <c r="P1716">
        <f>IF(B1733=0,0,O1716/B1733)</f>
        <v/>
      </c>
      <c r="Q1716" t="n">
        <v>0</v>
      </c>
      <c r="R1716" t="n">
        <v>0</v>
      </c>
      <c r="S1716" t="n">
        <v>0</v>
      </c>
      <c r="T1716" t="n">
        <v>0</v>
      </c>
      <c r="V1716" t="n">
        <v>0</v>
      </c>
    </row>
    <row r="1717">
      <c r="A1717">
        <f>Skills!A26</f>
        <v/>
      </c>
      <c r="B1717">
        <f>Skills!B26</f>
        <v/>
      </c>
      <c r="C1717">
        <f>Inputs!$B$3&gt;=125</f>
        <v/>
      </c>
      <c r="D1717">
        <f>IF(Skills!C26=1,60+Inputs!$B$25+Inputs!$B$29,IF(Skills!C26=2,90+Inputs!$B$26+Inputs!$B$29,IF(Skills!C26=3,120+Inputs!$B$27+Inputs!$B$29,MAX(0,(Inputs!$B$3-100)*3)+Inputs!$B$28+Inputs!$B$29)))</f>
        <v/>
      </c>
      <c r="E1717">
        <f>INDEX(FactorTable!$B$2:$Y$301, MATCH(ROUND(MIN(300,MAX(1,D1717)),0), FactorTable!$A$2:$A$301,0), Skills!M26+1)</f>
        <v/>
      </c>
      <c r="F1717">
        <f>IF(Skills!N26=TRUE,(Skills!L26/10)*(E1717/1000),Skills!L26/10)+Skills!O26</f>
        <v/>
      </c>
      <c r="G1717">
        <f>Skills!G26*IF(Skills!H26&gt;0,Skills!I26/Skills!H26,1)</f>
        <v/>
      </c>
      <c r="H1717">
        <f>1-(1-Skills!J26/100)^Skills!K26</f>
        <v/>
      </c>
      <c r="I1717" t="inlineStr">
        <is>
          <t>1</t>
        </is>
      </c>
      <c r="J1717" t="inlineStr"/>
      <c r="K1717" t="inlineStr"/>
      <c r="L1717" t="inlineStr"/>
      <c r="M1717" t="inlineStr"/>
      <c r="N1717" t="inlineStr"/>
      <c r="O1717">
        <f>(1-Summary!$B$11)*T1717+Summary!$B$11*V1717</f>
        <v/>
      </c>
      <c r="P1717">
        <f>IF(B1733=0,0,O1717/B1733)</f>
        <v/>
      </c>
      <c r="Q1717" t="n">
        <v>0</v>
      </c>
      <c r="R1717" t="n">
        <v>0</v>
      </c>
      <c r="S1717" t="n">
        <v>0</v>
      </c>
      <c r="T1717" t="n">
        <v>0</v>
      </c>
      <c r="V1717" t="n">
        <v>0</v>
      </c>
    </row>
    <row r="1718">
      <c r="A1718">
        <f>Skills!A27</f>
        <v/>
      </c>
      <c r="B1718">
        <f>Skills!B27</f>
        <v/>
      </c>
      <c r="C1718">
        <f>Inputs!$B$3&gt;=120</f>
        <v/>
      </c>
      <c r="D1718">
        <f>IF(Skills!C27=1,60+Inputs!$B$25+Inputs!$B$29,IF(Skills!C27=2,90+Inputs!$B$26+Inputs!$B$29,IF(Skills!C27=3,120+Inputs!$B$27+Inputs!$B$29,MAX(0,(Inputs!$B$3-100)*3)+Inputs!$B$28+Inputs!$B$29)))</f>
        <v/>
      </c>
      <c r="E1718">
        <f>INDEX(FactorTable!$B$2:$Y$301, MATCH(ROUND(MIN(300,MAX(1,D1718)),0), FactorTable!$A$2:$A$301,0), Skills!M27+1)</f>
        <v/>
      </c>
      <c r="F1718">
        <f>IF(Skills!N27=TRUE,(Skills!L27/10)*(E1718/1000),Skills!L27/10)+Skills!O27</f>
        <v/>
      </c>
      <c r="G1718">
        <f>Skills!G27*IF(Skills!H27&gt;0,Skills!I27/Skills!H27,1)</f>
        <v/>
      </c>
      <c r="H1718">
        <f>1-(1-Skills!J27/100)^Skills!K27</f>
        <v/>
      </c>
      <c r="I1718" t="inlineStr">
        <is>
          <t>1</t>
        </is>
      </c>
      <c r="J1718" t="inlineStr"/>
      <c r="K1718" t="inlineStr"/>
      <c r="L1718" t="inlineStr"/>
      <c r="M1718" t="inlineStr"/>
      <c r="N1718" t="inlineStr"/>
      <c r="O1718">
        <f>(1-Summary!$B$11)*T1718+Summary!$B$11*V1718</f>
        <v/>
      </c>
      <c r="P1718">
        <f>IF(B1733=0,0,O1718/B1733)</f>
        <v/>
      </c>
      <c r="Q1718" t="n">
        <v>0</v>
      </c>
      <c r="R1718" t="n">
        <v>0</v>
      </c>
      <c r="S1718" t="n">
        <v>0</v>
      </c>
      <c r="T1718" t="n">
        <v>0</v>
      </c>
      <c r="V1718" t="n">
        <v>0</v>
      </c>
    </row>
    <row r="1719">
      <c r="A1719">
        <f>Skills!A28</f>
        <v/>
      </c>
      <c r="B1719">
        <f>Skills!B28</f>
        <v/>
      </c>
      <c r="C1719">
        <f>Inputs!$B$3&gt;=120</f>
        <v/>
      </c>
      <c r="D1719">
        <f>IF(Skills!C28=1,60+Inputs!$B$25+Inputs!$B$29,IF(Skills!C28=2,90+Inputs!$B$26+Inputs!$B$29,IF(Skills!C28=3,120+Inputs!$B$27+Inputs!$B$29,MAX(0,(Inputs!$B$3-100)*3)+Inputs!$B$28+Inputs!$B$29)))</f>
        <v/>
      </c>
      <c r="E1719">
        <f>INDEX(FactorTable!$B$2:$Y$301, MATCH(ROUND(MIN(300,MAX(1,D1719)),0), FactorTable!$A$2:$A$301,0), Skills!M28+1)</f>
        <v/>
      </c>
      <c r="F1719">
        <f>IF(Skills!N28=TRUE,(Skills!L28/10)*(E1719/1000),Skills!L28/10)+Skills!O28</f>
        <v/>
      </c>
      <c r="G1719">
        <f>Skills!G28*IF(Skills!H28&gt;0,Skills!I28/Skills!H28,1)</f>
        <v/>
      </c>
      <c r="H1719">
        <f>1-(1-Skills!J28/100)^Skills!K28</f>
        <v/>
      </c>
      <c r="I1719" t="inlineStr">
        <is>
          <t>1</t>
        </is>
      </c>
      <c r="J1719" t="inlineStr"/>
      <c r="K1719" t="inlineStr"/>
      <c r="L1719" t="inlineStr"/>
      <c r="M1719" t="inlineStr"/>
      <c r="N1719" t="inlineStr"/>
      <c r="O1719">
        <f>(1-Summary!$B$11)*T1719+Summary!$B$11*V1719</f>
        <v/>
      </c>
      <c r="P1719">
        <f>IF(B1733=0,0,O1719/B1733)</f>
        <v/>
      </c>
      <c r="Q1719" t="n">
        <v>0</v>
      </c>
      <c r="R1719" t="n">
        <v>0</v>
      </c>
      <c r="S1719" t="n">
        <v>0</v>
      </c>
      <c r="T1719" t="n">
        <v>0</v>
      </c>
      <c r="V1719" t="n">
        <v>0</v>
      </c>
    </row>
    <row r="1720">
      <c r="A1720">
        <f>Skills!A29</f>
        <v/>
      </c>
      <c r="B1720">
        <f>Skills!B29</f>
        <v/>
      </c>
      <c r="C1720">
        <f>Inputs!$B$3&gt;=45</f>
        <v/>
      </c>
      <c r="D1720">
        <f>IF(Skills!C29=1,60+Inputs!$B$25+Inputs!$B$29,IF(Skills!C29=2,90+Inputs!$B$26+Inputs!$B$29,IF(Skills!C29=3,120+Inputs!$B$27+Inputs!$B$29,MAX(0,(Inputs!$B$3-100)*3)+Inputs!$B$28+Inputs!$B$29)))</f>
        <v/>
      </c>
      <c r="E1720">
        <f>INDEX(FactorTable!$B$2:$Y$301, MATCH(ROUND(MIN(300,MAX(1,D1720)),0), FactorTable!$A$2:$A$301,0), Skills!M29+1)</f>
        <v/>
      </c>
      <c r="F1720">
        <f>IF(Skills!N29=TRUE,(Skills!L29/10)*(E1720/1000),Skills!L29/10)+Skills!O29</f>
        <v/>
      </c>
      <c r="G1720">
        <f>Skills!G29*IF(Skills!H29&gt;0,Skills!I29/Skills!H29,1)</f>
        <v/>
      </c>
      <c r="H1720">
        <f>1-(1-Skills!J29/100)^Skills!K29</f>
        <v/>
      </c>
      <c r="I1720" t="inlineStr">
        <is>
          <t>1</t>
        </is>
      </c>
      <c r="J1720" t="inlineStr"/>
      <c r="K1720" t="inlineStr"/>
      <c r="L1720" t="inlineStr"/>
      <c r="M1720" t="inlineStr"/>
      <c r="N1720" t="inlineStr"/>
      <c r="O1720">
        <f>(1-Summary!$B$11)*T1720+Summary!$B$11*V1720</f>
        <v/>
      </c>
      <c r="P1720">
        <f>IF(B1733=0,0,O1720/B1733)</f>
        <v/>
      </c>
      <c r="Q1720" t="n">
        <v>0</v>
      </c>
      <c r="R1720" t="n">
        <v>0</v>
      </c>
      <c r="S1720" t="n">
        <v>0</v>
      </c>
      <c r="T1720" t="n">
        <v>0</v>
      </c>
      <c r="V1720" t="n">
        <v>0</v>
      </c>
    </row>
    <row r="1722">
      <c r="A1722" t="inlineStr">
        <is>
          <t>Attack% Bucket Multiplier</t>
        </is>
      </c>
      <c r="B1722">
        <f>(1+(((C1704=TRUE)*F1704)+((C1705=TRUE)*IF(Inputs!$B$38="pvp",F1705,(1-Summary!$B$11)*(F1705)+Summary!$B$11*(0)))+((C1706=TRUE)*F1706*IF(AND(Inputs!$B$38&lt;&gt;"pvp",Inputs!$B$43&gt;0),(((R1706-1)*(Skills!T15*(1+Inputs!$B$34/100))+MIN((Skills!T15*(1+Inputs!$B$34/100)),MAX(0,Inputs!$B$43-((R1706-1)*Skills!D15))))/Inputs!$B$43),IF(Inputs!$B$38="pvp",MIN((Skills!T15*(1+Inputs!$B$34/100)),15)/15,(Skills!T15*(1+Inputs!$B$34/100))/Skills!D15)))+((C1703=TRUE)*F1703)+((C1720=TRUE)*(F1720-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1723">
      <c r="A1723" t="inlineStr">
        <is>
          <t>Global Crit Rate Bonus %</t>
        </is>
      </c>
      <c r="B1723">
        <f>(C1707=TRUE)*20*IF(AND(Inputs!$B$38&lt;&gt;"pvp",Inputs!$B$43&gt;0),(((R1707-1)*(Skills!T16*(1+Inputs!$B$34/100))+MIN((Skills!T16*(1+Inputs!$B$34/100)),MAX(0,Inputs!$B$43-((R1707-1)*Skills!D16))))/Inputs!$B$43),IF(Inputs!$B$38="pvp",MIN((Skills!T16*(1+Inputs!$B$34/100)),15)/15,(Skills!T16*(1+Inputs!$B$34/100))/Skills!D16))</f>
        <v/>
      </c>
    </row>
    <row r="1724">
      <c r="A1724" t="inlineStr">
        <is>
          <t>Attack Speed Buff Bonus %</t>
        </is>
      </c>
      <c r="B1724">
        <f>((C1709=TRUE)*F1709*IF(AND(Inputs!$B$38&lt;&gt;"pvp",Inputs!$B$43&gt;0),(((R1709-1)*(Skills!T18*(1+Inputs!$B$34/100))+MIN((Skills!T18*(1+Inputs!$B$34/100)),MAX(0,Inputs!$B$43-((R1709-1)*Skills!D18))))/Inputs!$B$43),IF(Inputs!$B$38="pvp",MIN((Skills!T18*(1+Inputs!$B$34/100)),15)/15,(Skills!T18*(1+Inputs!$B$34/100))/Skills!D18)))</f>
        <v/>
      </c>
    </row>
    <row r="1725">
      <c r="A1725" t="inlineStr">
        <is>
          <t>Actions Per Second</t>
        </is>
      </c>
      <c r="B1725">
        <f>1+MIN(150,150*(1-(1-(Inputs!$B$11+((C1711=TRUE)*(F1711-Calc!F20))+((C1712=TRUE)*(F1712-Calc!F21)))/150)*(1-B1724/150)))/100</f>
        <v/>
      </c>
    </row>
    <row r="1726">
      <c r="A1726" t="inlineStr">
        <is>
          <t>Skill + Buff Cast Rate</t>
        </is>
      </c>
      <c r="B1726">
        <f>IF(AND(Inputs!$B$38&lt;&gt;"pvp",Inputs!$B$43&gt;0),SUMPRODUCT((Skills!E2:E29=TRUE)*(C1693:C1720=TRUE)*R1693:R1720*Skills!F2:F29)/Inputs!$B$43,SUMPRODUCT((Skills!E2:E29=TRUE)*(C1693:C1720=TRUE)*Q1693:Q1720*Skills!F2:F29))</f>
        <v/>
      </c>
    </row>
    <row r="1727">
      <c r="A1727" t="inlineStr">
        <is>
          <t>Empowered Piercing Arrow Casts Per Second</t>
        </is>
      </c>
      <c r="B1727">
        <f>MAX(0,B1725-B1726)</f>
        <v/>
      </c>
    </row>
    <row r="1728">
      <c r="A1728" t="inlineStr">
        <is>
          <t>Global Critical Damage Bonus % (Sharp Eyes)</t>
        </is>
      </c>
      <c r="B1728">
        <f>(C1707=TRUE)*F1707*IF(AND(Inputs!$B$38&lt;&gt;"pvp",Inputs!$B$43&gt;0),(((R1707-1)*(Skills!T16*(1+Inputs!$B$34/100))+MIN((Skills!T16*(1+Inputs!$B$34/100)),MAX(0,Inputs!$B$43-((R1707-1)*Skills!D16))))/Inputs!$B$43),IF(Inputs!$B$38="pvp",MIN((Skills!T16*(1+Inputs!$B$34/100)),15)/15,(Skills!T16*(1+Inputs!$B$34/100))/Skills!D16))</f>
        <v/>
      </c>
    </row>
    <row r="1729">
      <c r="A1729" t="inlineStr">
        <is>
          <t>Global Final Damage Bonus % (Mortal Blow + Last Man Standing conditional half)</t>
        </is>
      </c>
      <c r="B1729">
        <f>(C1708=TRUE)*F1708+((C1717=TRUE)*IF(Inputs!$B$38="pvp",F1717,(1-Summary!$B$11)*(F1717)+Summary!$B$11*(0)))</f>
        <v/>
      </c>
    </row>
    <row r="1730">
      <c r="A1730" t="inlineStr">
        <is>
          <t>Buff-Casting Startup Delay (s, fixed-duration only)</t>
        </is>
      </c>
      <c r="B1730">
        <f>IF(AND(Inputs!$B$38&lt;&gt;"pvp",Inputs!$B$43&gt;0),SUMPRODUCT((Skills!T2:T29&gt;0)*(Skills!E2:E29=TRUE)*(C1693:C1720=TRUE))/B1725,0)</f>
        <v/>
      </c>
    </row>
    <row r="1731">
      <c r="A1731" t="inlineStr">
        <is>
          <t>Boss-Only Total DPS (this block's swept value)</t>
        </is>
      </c>
      <c r="B1731">
        <f>SUM(T1693:T1720)</f>
        <v/>
      </c>
    </row>
    <row r="1732">
      <c r="A1732" t="inlineStr">
        <is>
          <t>Normal-Only Total DPS (this block's swept value)</t>
        </is>
      </c>
      <c r="B1732">
        <f>SUM(V1693:V1720)</f>
        <v/>
      </c>
    </row>
    <row r="1733">
      <c r="A1733" s="6" t="inlineStr">
        <is>
          <t>TOTAL DPS</t>
        </is>
      </c>
      <c r="B1733" s="6">
        <f>SUM(O1693:O1720)</f>
        <v/>
      </c>
    </row>
    <row r="1736">
      <c r="A1736" s="6" t="inlineStr">
        <is>
          <t>Stat: Horntail's Scale (Equip)</t>
        </is>
      </c>
    </row>
    <row r="1737">
      <c r="A1737" s="5" t="inlineStr">
        <is>
          <t>Key</t>
        </is>
      </c>
      <c r="B1737" s="5" t="inlineStr">
        <is>
          <t>Name</t>
        </is>
      </c>
      <c r="C1737" s="5" t="inlineStr">
        <is>
          <t>Unlocked</t>
        </is>
      </c>
      <c r="D1737" s="5" t="inlineStr">
        <is>
          <t>InputLevel</t>
        </is>
      </c>
      <c r="E1737" s="5" t="inlineStr">
        <is>
          <t>Factor</t>
        </is>
      </c>
      <c r="F1737" s="5" t="inlineStr">
        <is>
          <t>CoefficientPercent</t>
        </is>
      </c>
      <c r="G1737" s="5" t="inlineStr">
        <is>
          <t>EffectiveHits</t>
        </is>
      </c>
      <c r="H1737" s="5" t="inlineStr">
        <is>
          <t>ProcProbability</t>
        </is>
      </c>
      <c r="I1737" s="5" t="inlineStr">
        <is>
          <t>MapleHeroMultiplier</t>
        </is>
      </c>
      <c r="J1737" s="5" t="inlineStr">
        <is>
          <t>BaseDamage</t>
        </is>
      </c>
      <c r="K1737" s="5" t="inlineStr">
        <is>
          <t>BaseHitDamage</t>
        </is>
      </c>
      <c r="L1737" s="5" t="inlineStr">
        <is>
          <t>NonCritAvg</t>
        </is>
      </c>
      <c r="M1737" s="5" t="inlineStr">
        <is>
          <t>CritAvg</t>
        </is>
      </c>
      <c r="N1737" s="5" t="inlineStr">
        <is>
          <t>ExpectedDamage(perHit)</t>
        </is>
      </c>
      <c r="O1737" s="5" t="inlineStr">
        <is>
          <t>DPS</t>
        </is>
      </c>
      <c r="P1737" s="5" t="inlineStr">
        <is>
          <t>% of Total</t>
        </is>
      </c>
      <c r="Q1737" s="5" t="inlineStr">
        <is>
          <t>InvCooldown</t>
        </is>
      </c>
      <c r="R1737" s="5" t="inlineStr">
        <is>
          <t>CastsInFight</t>
        </is>
      </c>
      <c r="S1737" s="5" t="inlineStr">
        <is>
          <t>HitRate(perSec)</t>
        </is>
      </c>
      <c r="U1737" t="inlineStr">
        <is>
          <t>helpers</t>
        </is>
      </c>
    </row>
    <row r="1738">
      <c r="A1738">
        <f>Skills!A2</f>
        <v/>
      </c>
      <c r="B1738">
        <f>Skills!B2</f>
        <v/>
      </c>
      <c r="C1738">
        <f>Inputs!$B$3&gt;=100</f>
        <v/>
      </c>
      <c r="D1738" t="inlineStr"/>
      <c r="E1738" t="inlineStr"/>
      <c r="F1738">
        <f>U1740+Skills!O2</f>
        <v/>
      </c>
      <c r="G1738">
        <f>Skills!G2*IF(Skills!H2&gt;0,Skills!I2/Skills!H2,1)</f>
        <v/>
      </c>
      <c r="H1738">
        <f>1-(1-Skills!J2/100)^Skills!K2</f>
        <v/>
      </c>
      <c r="I1738" t="inlineStr">
        <is>
          <t>1</t>
        </is>
      </c>
      <c r="J1738">
        <f>((Inputs!$B$6*(1+Inputs!$B$7/100))+(((Inputs!$B$12*(1+Inputs!$B$13/100))-(Inputs!$B$12*(1+Inputs!$B$13/100)))+0.25*(Inputs!$B$14-Inputs!$B$14))*(1+Inputs!$B$7/100))*(F1738/100)</f>
        <v/>
      </c>
      <c r="K1738">
        <f>J1738*(1+((Inputs!$B$12*(1+Inputs!$B$13/100))*0.01+Inputs!$B$14*0.0025)/100)*(1+Inputs!$B$15/100)*(1+Inputs!$B$16/100)*(5000/(6000+Inputs!$B$42*(1-(100*(1-(1-(Inputs!$B$19+0)/100)*(1-CHOOSE(ArtifactsInput!$N$40+1,5,6,7,8,9,10)/100)^(ArtifactsInput!$M$40-ArtifactsInput!$M$40)))/100)))*(1+(Inputs!$B$24+((C1760=TRUE)*(F1760-Calc!F24))+((C1761=TRUE)*(F1761-Calc!F25))+B1774)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EMPOWERED_PIERCING_ARROW",Inputs!$B$17+((C1758=TRUE)*(F1758-Calc!F22))+(((IF(AND(ArtifactsInput!$M$42,((Inputs!$B$9+((C1755=TRUE)*(F1755-Calc!F19))+B1768+(ArtifactsInput!$M$24-ArtifactsInput!$M$24)*CHOOSE(ArtifactsInput!$N$24+1,10,12,14,16,18,20)+IF(ArtifactsInput!$M$10,CHOOSE(ArtifactsInput!$N$10+1,15,18,21,24,27,30)*(IF(Inputs!$B$38="pvp",MIN(15,15)/15,IF(AND(Inputs!$B$38&lt;&gt;"pvp",Inputs!$B$43&gt;0),MIN(15,Inputs!$B$43)/(Inputs!$B$43),0))),0)))&gt;=100),MIN(100,((Inputs!$B$9+((C1755=TRUE)*(F1755-Calc!F19))+B1768+(ArtifactsInput!$M$24-ArtifactsInput!$M$24)*CHOOSE(ArtifactsInput!$N$24+1,10,12,14,16,18,20)+IF(ArtifactsInput!$M$10,CHOOSE(ArtifactsInput!$N$10+1,15,18,21,24,27,30)*(IF(Inputs!$B$38="pvp",MIN(15,15)/15,IF(AND(Inputs!$B$38&lt;&gt;"pvp",Inputs!$B$43&gt;0),MIN(15,Inputs!$B$43)/(Inputs!$B$43),0))),0)))-100),0))*CHOOSE(ArtifactsInput!$N$42+1,0.6,0.72,0.84,0.96,1.08,1.2))),Inputs!$B$18+((C1763=TRUE)*(F1763-Calc!F27))+(IF(AND(ArtifactsInput!$M$42,((Inputs!$B$9+((C1755=TRUE)*(F1755-Calc!F19))+B1768+(ArtifactsInput!$M$24-ArtifactsInput!$M$24)*CHOOSE(ArtifactsInput!$N$24+1,10,12,14,16,18,20)+IF(ArtifactsInput!$M$10,CHOOSE(ArtifactsInput!$N$10+1,15,18,21,24,27,30)*(IF(Inputs!$B$38="pvp",MIN(15,15)/15,IF(AND(Inputs!$B$38&lt;&gt;"pvp",Inputs!$B$43&gt;0),MIN(15,Inputs!$B$43)/(Inputs!$B$43),0))),0)))&gt;=100),CHOOSE(ArtifactsInput!$N$42+1,40,48,56,64,72,80),0))))/100)*((1+(((C1749=TRUE)*F1749)+((C1750=TRUE)*IF(Inputs!$B$38="pvp",F1750,(1-Summary!$B$11)*(F1750)+Summary!$B$11*(0)))+((C1751=TRUE)*F1751*IF(AND(Inputs!$B$38&lt;&gt;"pvp",Inputs!$B$43&gt;0),(((R1751-1)*(Skills!T15*(1+Inputs!$B$34/100))+MIN((Skills!T15*(1+Inputs!$B$34/100)),MAX(0,Inputs!$B$43-((R1751-1)*Skills!D15))))/Inputs!$B$43),IF(Inputs!$B$38="pvp",MIN((Skills!T15*(1+Inputs!$B$34/100)),15)/15,(Skills!T15*(1+Inputs!$B$34/100))/Skills!D15)))+((C1748=TRUE)*F1748)+((C1765=TRUE)*(F1765-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1738)</f>
        <v/>
      </c>
      <c r="L1738">
        <f>K1738*(MIN(Inputs!$B$22+((C1759=TRUE)*(F1759-Calc!F23)),(Inputs!$B$23+((C1764=TRUE)*(F1764-Calc!F28))+(IF(ArtifactsInput!$M$15,CHOOSE(ArtifactsInput!$N$15+1,25,30,35,40,45,50)/100*(Inputs!$B$11-Inputs!$B$11),0))))/100+(Inputs!$B$23+((C1764=TRUE)*(F1764-Calc!F28))+(IF(ArtifactsInput!$M$15,CHOOSE(ArtifactsInput!$N$15+1,25,30,35,40,45,50)/100*(Inputs!$B$11-Inputs!$B$11),0)))/100)/2</f>
        <v/>
      </c>
      <c r="M1738">
        <f>L1738*(1+(Inputs!$B$10+0+B1773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738">
        <f>L1738*(1-MIN((Inputs!$B$9+((C1755=TRUE)*(F1755-Calc!F19))+B1768+(ArtifactsInput!$M$24-ArtifactsInput!$M$24)*CHOOSE(ArtifactsInput!$N$24+1,10,12,14,16,18,20)+(IF(AND(ArtifactsInput!$M$42,((Inputs!$B$9+((C1755=TRUE)*(F1755-Calc!F19))+B1768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1738*(MIN((Inputs!$B$9+((C1755=TRUE)*(F1755-Calc!F19))+B1768+(ArtifactsInput!$M$24-ArtifactsInput!$M$24)*CHOOSE(ArtifactsInput!$N$24+1,10,12,14,16,18,20)+(IF(AND(ArtifactsInput!$M$42,((Inputs!$B$9+((C1755=TRUE)*(F1755-Calc!F19))+B1768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738">
        <f>(1-Summary!$B$11)*T1738+Summary!$B$11*V1738</f>
        <v/>
      </c>
      <c r="P1738">
        <f>IF(B1778=0,0,O1738/B1778)</f>
        <v/>
      </c>
      <c r="Q1738" t="n">
        <v>0</v>
      </c>
      <c r="R1738" t="n">
        <v>0</v>
      </c>
      <c r="S1738">
        <f>IFERROR((Skills!G2*N1738*B1772)/N1738*IF(Inputs!$B$38="pvp",1,(1-Summary!$B$11)*1+Summary!$B$11*(MIN((6+Inputs!$B$33),Inputs!$B$37))),0)</f>
        <v/>
      </c>
      <c r="T1738">
        <f>IF(C1738,(Skills!G2*N1738*B1772)*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Hunt"),CHOOSE(ArtifactsInput!$N$35+1,15,18,21,24,27,30)*(1-EXP(-(0.2*B1770)*5)),0)+IF(AND(ArtifactsInput!$M$22,Inputs!$B$4&lt;&gt;"Chapter Hunt"),CHOOSE(ArtifactsInput!$N$22+1,10,12,14,16,18,20)*((0*(((0.15*B1770*5))^0/1)+1*(((0.15*B1770*5))^1/1)+2*(((0.15*B1770*5))^2/2)+3*(((0.15*B1770*5))^3/6)+4*(((0.15*B1770*5))^4/24)+5*(((0.15*B1770*5))^5/120))/((((0.15*B1770*5))^0/1)+(((0.15*B1770*5))^1/1)+(((0.15*B1770*5))^2/2)+(((0.15*B1770*5))^3/6)+(((0.15*B1770*5))^4/24)+(((0.15*B1770*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1738*(1-MIN(100,(Inputs!$B$9+((C1755=TRUE)*(F1755-Calc!F19))+B1768+(ArtifactsInput!$M$24-ArtifactsInput!$M$24)*CHOOSE(ArtifactsInput!$N$24+1,10,12,14,16,18,20)+(IF(AND(ArtifactsInput!$M$42,((Inputs!$B$9+((C1755=TRUE)*(F1755-Calc!F19))+B1768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1738*(MIN(100,(Inputs!$B$9+((C1755=TRUE)*(F1755-Calc!F19))+B1768+(ArtifactsInput!$M$24-ArtifactsInput!$M$24)*CHOOSE(ArtifactsInput!$N$24+1,10,12,14,16,18,20)+(IF(AND(ArtifactsInput!$M$42,((Inputs!$B$9+((C1755=TRUE)*(F1755-Calc!F19))+B1768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1738*(1-MIN(100,(Inputs!$B$9+((C1755=TRUE)*(F1755-Calc!F19))+B1768+(ArtifactsInput!$M$24-ArtifactsInput!$M$24)*CHOOSE(ArtifactsInput!$N$24+1,10,12,14,16,18,20)+(IF(AND(ArtifactsInput!$M$42,((Inputs!$B$9+((C1755=TRUE)*(F1755-Calc!F19))+B1768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1738*(MIN(100,(Inputs!$B$9+((C1755=TRUE)*(F1755-Calc!F19))+B1768+(ArtifactsInput!$M$24-ArtifactsInput!$M$24)*CHOOSE(ArtifactsInput!$N$24+1,10,12,14,16,18,20)+(IF(AND(ArtifactsInput!$M$42,((Inputs!$B$9+((C1755=TRUE)*(F1755-Calc!F19))+B1768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738">
        <f>MAX(0,(Inputs!$B$3-100)*3)+Inputs!$B$28+Inputs!$B$29</f>
        <v/>
      </c>
      <c r="V1738">
        <f>IF(C1738,(Skills!G2*N1738*B1772)*IF(Inputs!$B$38="pvp",1,(1+(Inputs!$B$21+Skills!Q2+(IF(ArtifactsInput!$M$33,CHOOSE(ArtifactsInput!$N$33+1,30,36,42,48,54,60),0))+(IF(AND(ArtifactsInput!$M$35,Inputs!$B$4&lt;&gt;"Chapter Hunt"),CHOOSE(ArtifactsInput!$N$35+1,15,18,21,24,27,30)*(1-EXP(-(0.2*B1770)*5)),0)+IF(AND(ArtifactsInput!$M$22,Inputs!$B$4&lt;&gt;"Chapter Hunt"),CHOOSE(ArtifactsInput!$N$22+1,10,12,14,16,18,20)*((0*(((0.15*B1770*5))^0/1)+1*(((0.15*B1770*5))^1/1)+2*(((0.15*B1770*5))^2/2)+3*(((0.15*B1770*5))^3/6)+4*(((0.15*B1770*5))^4/24)+5*(((0.15*B1770*5))^5/120))/((((0.15*B1770*5))^0/1)+(((0.15*B1770*5))^1/1)+(((0.15*B1770*5))^2/2)+(((0.15*B1770*5))^3/6)+(((0.15*B1770*5))^4/24)+(((0.15*B1770*5))^5/120)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739">
      <c r="A1739">
        <f>Skills!A3</f>
        <v/>
      </c>
      <c r="B1739">
        <f>Skills!B3</f>
        <v/>
      </c>
      <c r="C1739">
        <f>Inputs!$B$3&gt;=50</f>
        <v/>
      </c>
      <c r="D1739">
        <f>IF(Skills!C3=1,60+Inputs!$B$25+Inputs!$B$29,IF(Skills!C3=2,90+Inputs!$B$26+Inputs!$B$29,IF(Skills!C3=3,120+Inputs!$B$27+Inputs!$B$29,MAX(0,(Inputs!$B$3-100)*3)+Inputs!$B$28+Inputs!$B$29)))</f>
        <v/>
      </c>
      <c r="E1739">
        <f>INDEX(FactorTable!$B$2:$Y$301, MATCH(ROUND(MIN(300,MAX(1,D1739)),0), FactorTable!$A$2:$A$301,0), Skills!M3+1)</f>
        <v/>
      </c>
      <c r="F1739">
        <f>IF(Skills!N3=TRUE,(Skills!L3/10)*(E1739/1000),Skills!L3/10)+Skills!O3</f>
        <v/>
      </c>
      <c r="G1739" t="inlineStr"/>
      <c r="H1739" t="inlineStr"/>
      <c r="I1739" t="inlineStr">
        <is>
          <t>1</t>
        </is>
      </c>
      <c r="J1739" t="inlineStr"/>
      <c r="K1739" t="inlineStr"/>
      <c r="L1739" t="inlineStr"/>
      <c r="M1739" t="inlineStr"/>
      <c r="N1739" t="inlineStr"/>
      <c r="O1739" t="inlineStr"/>
      <c r="P1739" t="inlineStr"/>
      <c r="Q1739" t="inlineStr"/>
      <c r="R1739" t="inlineStr"/>
      <c r="S1739" t="inlineStr"/>
      <c r="T1739" t="inlineStr"/>
      <c r="U1739">
        <f>INDEX(FactorTable!$B$2:$Y$301, MATCH(ROUND(MIN(300,MAX(1,U1738)),0), FactorTable!$A$2:$A$301,0), 22)</f>
        <v/>
      </c>
      <c r="V1739" t="inlineStr"/>
    </row>
    <row r="1740">
      <c r="A1740">
        <f>Skills!A4</f>
        <v/>
      </c>
      <c r="B1740">
        <f>Skills!B4</f>
        <v/>
      </c>
      <c r="C1740">
        <f>Inputs!$B$3&gt;=105</f>
        <v/>
      </c>
      <c r="D1740">
        <f>IF(Skills!C4=1,60+Inputs!$B$25+Inputs!$B$29,IF(Skills!C4=2,90+Inputs!$B$26+Inputs!$B$29,IF(Skills!C4=3,120+Inputs!$B$27+Inputs!$B$29,MAX(0,(Inputs!$B$3-100)*3)+Inputs!$B$28+Inputs!$B$29)))</f>
        <v/>
      </c>
      <c r="E1740">
        <f>INDEX(FactorTable!$B$2:$Y$301, MATCH(ROUND(MIN(300,MAX(1,D1740)),0), FactorTable!$A$2:$A$301,0), Skills!M4+1)</f>
        <v/>
      </c>
      <c r="F1740">
        <f>IF(Skills!N4=TRUE,(Skills!L4/10)*(E1740/1000),Skills!L4/10)+Skills!O4</f>
        <v/>
      </c>
      <c r="G1740" t="inlineStr"/>
      <c r="H1740" t="inlineStr"/>
      <c r="I1740" t="inlineStr">
        <is>
          <t>1</t>
        </is>
      </c>
      <c r="J1740" t="inlineStr"/>
      <c r="K1740" t="inlineStr"/>
      <c r="L1740" t="inlineStr"/>
      <c r="M1740" t="inlineStr"/>
      <c r="N1740" t="inlineStr"/>
      <c r="O1740" t="inlineStr"/>
      <c r="P1740" t="inlineStr"/>
      <c r="Q1740" t="inlineStr"/>
      <c r="R1740" t="inlineStr"/>
      <c r="S1740" t="inlineStr"/>
      <c r="T1740" t="inlineStr"/>
      <c r="U1740">
        <f>290*U1739/1000</f>
        <v/>
      </c>
      <c r="V1740" t="inlineStr"/>
    </row>
    <row r="1741">
      <c r="A1741">
        <f>Skills!A5</f>
        <v/>
      </c>
      <c r="B1741">
        <f>Skills!B5</f>
        <v/>
      </c>
      <c r="C1741">
        <f>Inputs!$B$3&gt;=35</f>
        <v/>
      </c>
      <c r="D1741">
        <f>IF(Skills!C5=1,60+Inputs!$B$25+Inputs!$B$29,IF(Skills!C5=2,90+Inputs!$B$26+Inputs!$B$29,IF(Skills!C5=3,120+Inputs!$B$27+Inputs!$B$29,MAX(0,(Inputs!$B$3-100)*3)+Inputs!$B$28+Inputs!$B$29)))</f>
        <v/>
      </c>
      <c r="E1741">
        <f>INDEX(FactorTable!$B$2:$Y$301, MATCH(ROUND(MIN(300,MAX(1,D1741)),0), FactorTable!$A$2:$A$301,0), Skills!M5+1)</f>
        <v/>
      </c>
      <c r="F1741">
        <f>IF(Skills!N5=TRUE,(Skills!L5/10)*(E1741/1000),Skills!L5/10)+Skills!O5</f>
        <v/>
      </c>
      <c r="G1741">
        <f>Skills!G5*IF(Skills!H5&gt;0,Skills!I5/Skills!H5,1)</f>
        <v/>
      </c>
      <c r="H1741">
        <f>1-(1-Skills!J5/100)^Skills!K5</f>
        <v/>
      </c>
      <c r="I1741" t="inlineStr">
        <is>
          <t>1</t>
        </is>
      </c>
      <c r="J1741">
        <f>((Inputs!$B$6*(1+Inputs!$B$7/100))+(((Inputs!$B$12*(1+Inputs!$B$13/100))-(Inputs!$B$12*(1+Inputs!$B$13/100)))+0.25*(Inputs!$B$14-Inputs!$B$14))*(1+Inputs!$B$7/100))*(F1741/100)</f>
        <v/>
      </c>
      <c r="K1741">
        <f>J1741*(1+((Inputs!$B$12*(1+Inputs!$B$13/100))*0.01+Inputs!$B$14*0.0025)/100)*(1+Inputs!$B$15/100)*(1+Inputs!$B$16/100)*(5000/(6000+Inputs!$B$42*(1-(100*(1-(1-(Inputs!$B$19+0)/100)*(1-CHOOSE(ArtifactsInput!$N$40+1,5,6,7,8,9,10)/100)^(ArtifactsInput!$M$40-ArtifactsInput!$M$40)))/100)))*(1+(Inputs!$B$24+((C1760=TRUE)*(F1760-Calc!F24))+((C1761=TRUE)*(F1761-Calc!F25))+B1774)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1744=TRUE,F1744,0)/100)*(1+(IF(Skills!A5="EMPOWERED_PIERCING_ARROW",Inputs!$B$17+((C1758=TRUE)*(F1758-Calc!F22))+(((IF(AND(ArtifactsInput!$M$42,((Inputs!$B$9+((C1755=TRUE)*(F1755-Calc!F19))+B1768+(ArtifactsInput!$M$24-ArtifactsInput!$M$24)*CHOOSE(ArtifactsInput!$N$24+1,10,12,14,16,18,20)+IF(ArtifactsInput!$M$10,CHOOSE(ArtifactsInput!$N$10+1,15,18,21,24,27,30)*(IF(Inputs!$B$38="pvp",MIN(15,15)/15,IF(AND(Inputs!$B$38&lt;&gt;"pvp",Inputs!$B$43&gt;0),MIN(15,Inputs!$B$43)/(Inputs!$B$43),0))),0)))&gt;=100),MIN(100,((Inputs!$B$9+((C1755=TRUE)*(F1755-Calc!F19))+B1768+(ArtifactsInput!$M$24-ArtifactsInput!$M$24)*CHOOSE(ArtifactsInput!$N$24+1,10,12,14,16,18,20)+IF(ArtifactsInput!$M$10,CHOOSE(ArtifactsInput!$N$10+1,15,18,21,24,27,30)*(IF(Inputs!$B$38="pvp",MIN(15,15)/15,IF(AND(Inputs!$B$38&lt;&gt;"pvp",Inputs!$B$43&gt;0),MIN(15,Inputs!$B$43)/(Inputs!$B$43),0))),0)))-100),0))*CHOOSE(ArtifactsInput!$N$42+1,0.6,0.72,0.84,0.96,1.08,1.2))),Inputs!$B$18+((C1763=TRUE)*(F1763-Calc!F27))+(IF(AND(ArtifactsInput!$M$42,((Inputs!$B$9+((C1755=TRUE)*(F1755-Calc!F19))+B1768+(ArtifactsInput!$M$24-ArtifactsInput!$M$24)*CHOOSE(ArtifactsInput!$N$24+1,10,12,14,16,18,20)+IF(ArtifactsInput!$M$10,CHOOSE(ArtifactsInput!$N$10+1,15,18,21,24,27,30)*(IF(Inputs!$B$38="pvp",MIN(15,15)/15,IF(AND(Inputs!$B$38&lt;&gt;"pvp",Inputs!$B$43&gt;0),MIN(15,Inputs!$B$43)/(Inputs!$B$43),0))),0)))&gt;=100),CHOOSE(ArtifactsInput!$N$42+1,40,48,56,64,72,80),0))))/100)*((1+(((C1749=TRUE)*F1749)+((C1750=TRUE)*IF(Inputs!$B$38="pvp",F1750,(1-Summary!$B$11)*(F1750)+Summary!$B$11*(0)))+((C1751=TRUE)*F1751*IF(AND(Inputs!$B$38&lt;&gt;"pvp",Inputs!$B$43&gt;0),(((R1751-1)*(Skills!T15*(1+Inputs!$B$34/100))+MIN((Skills!T15*(1+Inputs!$B$34/100)),MAX(0,Inputs!$B$43-((R1751-1)*Skills!D15))))/Inputs!$B$43),IF(Inputs!$B$38="pvp",MIN((Skills!T15*(1+Inputs!$B$34/100)),15)/15,(Skills!T15*(1+Inputs!$B$34/100))/Skills!D15)))+((C1748=TRUE)*F1748)+((C1765=TRUE)*(F1765-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1741)</f>
        <v/>
      </c>
      <c r="L1741">
        <f>K1741*(MIN(Inputs!$B$22+((C1759=TRUE)*(F1759-Calc!F23)),(Inputs!$B$23+((C1764=TRUE)*(F1764-Calc!F28))+(IF(ArtifactsInput!$M$15,CHOOSE(ArtifactsInput!$N$15+1,25,30,35,40,45,50)/100*(Inputs!$B$11-Inputs!$B$11),0))))/100+(Inputs!$B$23+((C1764=TRUE)*(F1764-Calc!F28))+(IF(ArtifactsInput!$M$15,CHOOSE(ArtifactsInput!$N$15+1,25,30,35,40,45,50)/100*(Inputs!$B$11-Inputs!$B$11),0)))/100)/2</f>
        <v/>
      </c>
      <c r="M1741">
        <f>L1741*(1+(Inputs!$B$10+0+B1773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741">
        <f>L1741*(1-MIN((Inputs!$B$9+((C1755=TRUE)*(F1755-Calc!F19))+B1768+(ArtifactsInput!$M$24-ArtifactsInput!$M$24)*CHOOSE(ArtifactsInput!$N$24+1,10,12,14,16,18,20)+(IF(AND(ArtifactsInput!$M$42,((Inputs!$B$9+((C1755=TRUE)*(F1755-Calc!F19))+B1768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1741*(MIN((Inputs!$B$9+((C1755=TRUE)*(F1755-Calc!F19))+B1768+(ArtifactsInput!$M$24-ArtifactsInput!$M$24)*CHOOSE(ArtifactsInput!$N$24+1,10,12,14,16,18,20)+(IF(AND(ArtifactsInput!$M$42,((Inputs!$B$9+((C1755=TRUE)*(F1755-Calc!F19))+B1768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741">
        <f>(1-Summary!$B$11)*T1741+Summary!$B$11*V1741</f>
        <v/>
      </c>
      <c r="P1741">
        <f>IF(B1778=0,0,O1741/B1778)</f>
        <v/>
      </c>
      <c r="Q1741">
        <f>IFERROR(1/IF(Inputs!$B$38="pvp",15,MAX(0.1,Skills!D5-IF(Skills!E5=TRUE,Inputs!$B$32,0))),0)</f>
        <v/>
      </c>
      <c r="R1741">
        <f>IF(AND(Inputs!$B$38&lt;&gt;"pvp",Inputs!$B$43&gt;0),IF(MAX(0,Inputs!$B$43-B1775)&lt;=0,0,(INT(MAX(0,Inputs!$B$43-B1775)/IF(Inputs!$B$38="pvp",15,MAX(0.1,Skills!D5-IF(Skills!E5=TRUE,Inputs!$B$32,0))))+1)),0)</f>
        <v/>
      </c>
      <c r="S1741">
        <f>IFERROR((H1741*N1741*IF(AND(Inputs!$B$38&lt;&gt;"pvp",Inputs!$B$43&gt;0),((Skills!G5*((R1741-1)*IF(Skills!H5&gt;0,Skills!I5/Skills!H5,1)+IF(Skills!H5&gt;0,MIN(Skills!I5,MAX(0,MAX(0,Inputs!$B$43-B1775)-((R1741-1)*IF(Inputs!$B$38="pvp",15,MAX(0.1,Skills!D5-IF(Skills!E5=TRUE,Inputs!$B$32,0))))))/Skills!H5,1)))/Inputs!$B$43),G1741*Q1741))/N1741*IF(Inputs!$B$38="pvp",1,(1-Summary!$B$11)*1+Summary!$B$11*(MIN(Skills!R5,Inputs!$B$37))),0)</f>
        <v/>
      </c>
      <c r="T1741">
        <f>IF(C1741,(H1741*N1741*IF(AND(Inputs!$B$38&lt;&gt;"pvp",Inputs!$B$43&gt;0),((Skills!G5*((R1741-1)*IF(Skills!H5&gt;0,Skills!I5/Skills!H5,1)+IF(Skills!H5&gt;0,MIN(Skills!I5,MAX(0,MAX(0,Inputs!$B$43-B1775)-((R1741-1)*IF(Inputs!$B$38="pvp",15,MAX(0.1,Skills!D5-IF(Skills!E5=TRUE,Inputs!$B$32,0))))))/Skills!H5,1)))/Inputs!$B$43),G1741*Q1741))*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Hunt"),CHOOSE(ArtifactsInput!$N$35+1,15,18,21,24,27,30)*(1-EXP(-(0.2*B1770)*5)),0)+IF(AND(ArtifactsInput!$M$22,Inputs!$B$4&lt;&gt;"Chapter Hunt"),CHOOSE(ArtifactsInput!$N$22+1,10,12,14,16,18,20)*((0*(((0.15*B1770*5))^0/1)+1*(((0.15*B1770*5))^1/1)+2*(((0.15*B1770*5))^2/2)+3*(((0.15*B1770*5))^3/6)+4*(((0.15*B1770*5))^4/24)+5*(((0.15*B1770*5))^5/120))/((((0.15*B1770*5))^0/1)+(((0.15*B1770*5))^1/1)+(((0.15*B1770*5))^2/2)+(((0.15*B1770*5))^3/6)+(((0.15*B1770*5))^4/24)+(((0.15*B1770*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1741*(1-MIN(100,(Inputs!$B$9+((C1755=TRUE)*(F1755-Calc!F19))+B1768+(ArtifactsInput!$M$24-ArtifactsInput!$M$24)*CHOOSE(ArtifactsInput!$N$24+1,10,12,14,16,18,20)+(IF(AND(ArtifactsInput!$M$42,((Inputs!$B$9+((C1755=TRUE)*(F1755-Calc!F19))+B1768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1741*(MIN(100,(Inputs!$B$9+((C1755=TRUE)*(F1755-Calc!F19))+B1768+(ArtifactsInput!$M$24-ArtifactsInput!$M$24)*CHOOSE(ArtifactsInput!$N$24+1,10,12,14,16,18,20)+(IF(AND(ArtifactsInput!$M$42,((Inputs!$B$9+((C1755=TRUE)*(F1755-Calc!F19))+B1768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1741*(1-MIN(100,(Inputs!$B$9+((C1755=TRUE)*(F1755-Calc!F19))+B1768+(ArtifactsInput!$M$24-ArtifactsInput!$M$24)*CHOOSE(ArtifactsInput!$N$24+1,10,12,14,16,18,20)+(IF(AND(ArtifactsInput!$M$42,((Inputs!$B$9+((C1755=TRUE)*(F1755-Calc!F19))+B1768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1741*(MIN(100,(Inputs!$B$9+((C1755=TRUE)*(F1755-Calc!F19))+B1768+(ArtifactsInput!$M$24-ArtifactsInput!$M$24)*CHOOSE(ArtifactsInput!$N$24+1,10,12,14,16,18,20)+(IF(AND(ArtifactsInput!$M$42,((Inputs!$B$9+((C1755=TRUE)*(F1755-Calc!F19))+B1768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741">
        <f>IF(C1741,(H1741*N1741*IF(AND(Inputs!$B$38&lt;&gt;"pvp",Inputs!$B$43&gt;0),((Skills!G5*((R1741-1)*IF(Skills!H5&gt;0,Skills!I5/Skills!H5,1)+IF(Skills!H5&gt;0,MIN(Skills!I5,MAX(0,MAX(0,Inputs!$B$43-B1775)-((R1741-1)*IF(Inputs!$B$38="pvp",15,MAX(0.1,Skills!D5-IF(Skills!E5=TRUE,Inputs!$B$32,0))))))/Skills!H5,1)))/Inputs!$B$43),G1741*Q1741))*IF(Inputs!$B$38="pvp",1,(1+(Inputs!$B$21+Skills!Q5+(IF(ArtifactsInput!$M$33,CHOOSE(ArtifactsInput!$N$33+1,30,36,42,48,54,60),0))+(IF(AND(ArtifactsInput!$M$35,Inputs!$B$4&lt;&gt;"Chapter Hunt"),CHOOSE(ArtifactsInput!$N$35+1,15,18,21,24,27,30)*(1-EXP(-(0.2*B1770)*5)),0)+IF(AND(ArtifactsInput!$M$22,Inputs!$B$4&lt;&gt;"Chapter Hunt"),CHOOSE(ArtifactsInput!$N$22+1,10,12,14,16,18,20)*((0*(((0.15*B1770*5))^0/1)+1*(((0.15*B1770*5))^1/1)+2*(((0.15*B1770*5))^2/2)+3*(((0.15*B1770*5))^3/6)+4*(((0.15*B1770*5))^4/24)+5*(((0.15*B1770*5))^5/120))/((((0.15*B1770*5))^0/1)+(((0.15*B1770*5))^1/1)+(((0.15*B1770*5))^2/2)+(((0.15*B1770*5))^3/6)+(((0.15*B1770*5))^4/24)+(((0.15*B1770*5))^5/120)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742">
      <c r="A1742">
        <f>Skills!A6</f>
        <v/>
      </c>
      <c r="B1742">
        <f>Skills!B6</f>
        <v/>
      </c>
      <c r="C1742">
        <f>Inputs!$B$3&gt;=63</f>
        <v/>
      </c>
      <c r="D1742">
        <f>IF(Skills!C6=1,60+Inputs!$B$25+Inputs!$B$29,IF(Skills!C6=2,90+Inputs!$B$26+Inputs!$B$29,IF(Skills!C6=3,120+Inputs!$B$27+Inputs!$B$29,MAX(0,(Inputs!$B$3-100)*3)+Inputs!$B$28+Inputs!$B$29)))</f>
        <v/>
      </c>
      <c r="E1742">
        <f>INDEX(FactorTable!$B$2:$Y$301, MATCH(ROUND(MIN(300,MAX(1,D1742)),0), FactorTable!$A$2:$A$301,0), Skills!M6+1)</f>
        <v/>
      </c>
      <c r="F1742">
        <f>IF(Skills!N6=TRUE,(Skills!L6/10)*(E1742/1000),Skills!L6/10)+Skills!O6</f>
        <v/>
      </c>
      <c r="G1742">
        <f>Skills!G6*IF(Skills!H6&gt;0,Skills!I6/Skills!H6,1)</f>
        <v/>
      </c>
      <c r="H1742">
        <f>1-(1-Skills!J6/100)^Skills!K6</f>
        <v/>
      </c>
      <c r="I1742" t="inlineStr">
        <is>
          <t>1</t>
        </is>
      </c>
      <c r="J1742">
        <f>((Inputs!$B$6*(1+Inputs!$B$7/100))+(((Inputs!$B$12*(1+Inputs!$B$13/100))-(Inputs!$B$12*(1+Inputs!$B$13/100)))+0.25*(Inputs!$B$14-Inputs!$B$14))*(1+Inputs!$B$7/100))*(F1742/100)</f>
        <v/>
      </c>
      <c r="K1742">
        <f>J1742*(1+((Inputs!$B$12*(1+Inputs!$B$13/100))*0.01+Inputs!$B$14*0.0025)/100)*(1+Inputs!$B$15/100)*(1+Inputs!$B$16/100)*(5000/(6000+Inputs!$B$42*(1-(100*(1-(1-(Inputs!$B$19+0)/100)*(1-CHOOSE(ArtifactsInput!$N$40+1,5,6,7,8,9,10)/100)^(ArtifactsInput!$M$40-ArtifactsInput!$M$40)))/100)))*(1+(Inputs!$B$24+((C1760=TRUE)*(F1760-Calc!F24))+((C1761=TRUE)*(F1761-Calc!F25))+B1774)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1744=TRUE,F1744,0)/100)*(1+(IF(Skills!A6="EMPOWERED_PIERCING_ARROW",Inputs!$B$17+((C1758=TRUE)*(F1758-Calc!F22))+(((IF(AND(ArtifactsInput!$M$42,((Inputs!$B$9+((C1755=TRUE)*(F1755-Calc!F19))+B1768+(ArtifactsInput!$M$24-ArtifactsInput!$M$24)*CHOOSE(ArtifactsInput!$N$24+1,10,12,14,16,18,20)+IF(ArtifactsInput!$M$10,CHOOSE(ArtifactsInput!$N$10+1,15,18,21,24,27,30)*(IF(Inputs!$B$38="pvp",MIN(15,15)/15,IF(AND(Inputs!$B$38&lt;&gt;"pvp",Inputs!$B$43&gt;0),MIN(15,Inputs!$B$43)/(Inputs!$B$43),0))),0)))&gt;=100),MIN(100,((Inputs!$B$9+((C1755=TRUE)*(F1755-Calc!F19))+B1768+(ArtifactsInput!$M$24-ArtifactsInput!$M$24)*CHOOSE(ArtifactsInput!$N$24+1,10,12,14,16,18,20)+IF(ArtifactsInput!$M$10,CHOOSE(ArtifactsInput!$N$10+1,15,18,21,24,27,30)*(IF(Inputs!$B$38="pvp",MIN(15,15)/15,IF(AND(Inputs!$B$38&lt;&gt;"pvp",Inputs!$B$43&gt;0),MIN(15,Inputs!$B$43)/(Inputs!$B$43),0))),0)))-100),0))*CHOOSE(ArtifactsInput!$N$42+1,0.6,0.72,0.84,0.96,1.08,1.2))),Inputs!$B$18+((C1763=TRUE)*(F1763-Calc!F27))+(IF(AND(ArtifactsInput!$M$42,((Inputs!$B$9+((C1755=TRUE)*(F1755-Calc!F19))+B1768+(ArtifactsInput!$M$24-ArtifactsInput!$M$24)*CHOOSE(ArtifactsInput!$N$24+1,10,12,14,16,18,20)+IF(ArtifactsInput!$M$10,CHOOSE(ArtifactsInput!$N$10+1,15,18,21,24,27,30)*(IF(Inputs!$B$38="pvp",MIN(15,15)/15,IF(AND(Inputs!$B$38&lt;&gt;"pvp",Inputs!$B$43&gt;0),MIN(15,Inputs!$B$43)/(Inputs!$B$43),0))),0)))&gt;=100),CHOOSE(ArtifactsInput!$N$42+1,40,48,56,64,72,80),0))))/100)*((1+(((C1749=TRUE)*F1749)+((C1750=TRUE)*IF(Inputs!$B$38="pvp",F1750,(1-Summary!$B$11)*(F1750)+Summary!$B$11*(0)))+((C1751=TRUE)*F1751*IF(AND(Inputs!$B$38&lt;&gt;"pvp",Inputs!$B$43&gt;0),(((R1751-1)*(Skills!T15*(1+Inputs!$B$34/100))+MIN((Skills!T15*(1+Inputs!$B$34/100)),MAX(0,Inputs!$B$43-((R1751-1)*Skills!D15))))/Inputs!$B$43),IF(Inputs!$B$38="pvp",MIN((Skills!T15*(1+Inputs!$B$34/100)),15)/15,(Skills!T15*(1+Inputs!$B$34/100))/Skills!D15)))+((C1748=TRUE)*F1748)+((C1765=TRUE)*(F1765-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1742)</f>
        <v/>
      </c>
      <c r="L1742">
        <f>K1742*(MIN(Inputs!$B$22+((C1759=TRUE)*(F1759-Calc!F23)),(Inputs!$B$23+((C1764=TRUE)*(F1764-Calc!F28))+(IF(ArtifactsInput!$M$15,CHOOSE(ArtifactsInput!$N$15+1,25,30,35,40,45,50)/100*(Inputs!$B$11-Inputs!$B$11),0))))/100+(Inputs!$B$23+((C1764=TRUE)*(F1764-Calc!F28))+(IF(ArtifactsInput!$M$15,CHOOSE(ArtifactsInput!$N$15+1,25,30,35,40,45,50)/100*(Inputs!$B$11-Inputs!$B$11),0)))/100)/2</f>
        <v/>
      </c>
      <c r="M1742">
        <f>L1742*(1+(Inputs!$B$10+0+B1773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742">
        <f>L1742*(1-MIN((Inputs!$B$9+((C1755=TRUE)*(F1755-Calc!F19))+B1768+(ArtifactsInput!$M$24-ArtifactsInput!$M$24)*CHOOSE(ArtifactsInput!$N$24+1,10,12,14,16,18,20)+(IF(AND(ArtifactsInput!$M$42,((Inputs!$B$9+((C1755=TRUE)*(F1755-Calc!F19))+B1768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1742*(MIN((Inputs!$B$9+((C1755=TRUE)*(F1755-Calc!F19))+B1768+(ArtifactsInput!$M$24-ArtifactsInput!$M$24)*CHOOSE(ArtifactsInput!$N$24+1,10,12,14,16,18,20)+(IF(AND(ArtifactsInput!$M$42,((Inputs!$B$9+((C1755=TRUE)*(F1755-Calc!F19))+B1768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742">
        <f>(1-Summary!$B$11)*T1742+Summary!$B$11*V1742</f>
        <v/>
      </c>
      <c r="P1742">
        <f>IF(B1778=0,0,O1742/B1778)</f>
        <v/>
      </c>
      <c r="Q1742">
        <f>IFERROR(1/IF(Inputs!$B$38="pvp",15,MAX(0.1,Skills!D6-IF(Skills!E6=TRUE,Inputs!$B$32,0))),0)</f>
        <v/>
      </c>
      <c r="R1742">
        <f>IF(AND(Inputs!$B$38&lt;&gt;"pvp",Inputs!$B$43&gt;0),IF(MAX(0,Inputs!$B$43-B1775)&lt;=0,0,(INT(MAX(0,Inputs!$B$43-B1775)/IF(Inputs!$B$38="pvp",15,MAX(0.1,Skills!D6-IF(Skills!E6=TRUE,Inputs!$B$32,0))))+1)),0)</f>
        <v/>
      </c>
      <c r="S1742">
        <f>IFERROR((H1742*N1742*IF(AND(Inputs!$B$38&lt;&gt;"pvp",Inputs!$B$43&gt;0),((Skills!G6*((R1742-1)*IF(Skills!H6&gt;0,Skills!I6/Skills!H6,1)+IF(Skills!H6&gt;0,MIN(Skills!I6,MAX(0,MAX(0,Inputs!$B$43-B1775)-((R1742-1)*IF(Inputs!$B$38="pvp",15,MAX(0.1,Skills!D6-IF(Skills!E6=TRUE,Inputs!$B$32,0))))))/Skills!H6,1)))/Inputs!$B$43),G1742*Q1742))/N1742*IF(Inputs!$B$38="pvp",1,(1-Summary!$B$11)*1+Summary!$B$11*(MIN(Skills!R6,Inputs!$B$37))),0)</f>
        <v/>
      </c>
      <c r="T1742">
        <f>IF(C1742,(H1742*N1742*IF(AND(Inputs!$B$38&lt;&gt;"pvp",Inputs!$B$43&gt;0),((Skills!G6*((R1742-1)*IF(Skills!H6&gt;0,Skills!I6/Skills!H6,1)+IF(Skills!H6&gt;0,MIN(Skills!I6,MAX(0,MAX(0,Inputs!$B$43-B1775)-((R1742-1)*IF(Inputs!$B$38="pvp",15,MAX(0.1,Skills!D6-IF(Skills!E6=TRUE,Inputs!$B$32,0))))))/Skills!H6,1)))/Inputs!$B$43),G1742*Q1742))*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Hunt"),CHOOSE(ArtifactsInput!$N$35+1,15,18,21,24,27,30)*(1-EXP(-(0.2*B1770)*5)),0)+IF(AND(ArtifactsInput!$M$22,Inputs!$B$4&lt;&gt;"Chapter Hunt"),CHOOSE(ArtifactsInput!$N$22+1,10,12,14,16,18,20)*((0*(((0.15*B1770*5))^0/1)+1*(((0.15*B1770*5))^1/1)+2*(((0.15*B1770*5))^2/2)+3*(((0.15*B1770*5))^3/6)+4*(((0.15*B1770*5))^4/24)+5*(((0.15*B1770*5))^5/120))/((((0.15*B1770*5))^0/1)+(((0.15*B1770*5))^1/1)+(((0.15*B1770*5))^2/2)+(((0.15*B1770*5))^3/6)+(((0.15*B1770*5))^4/24)+(((0.15*B1770*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1742*(1-MIN(100,(Inputs!$B$9+((C1755=TRUE)*(F1755-Calc!F19))+B1768+(ArtifactsInput!$M$24-ArtifactsInput!$M$24)*CHOOSE(ArtifactsInput!$N$24+1,10,12,14,16,18,20)+(IF(AND(ArtifactsInput!$M$42,((Inputs!$B$9+((C1755=TRUE)*(F1755-Calc!F19))+B1768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1742*(MIN(100,(Inputs!$B$9+((C1755=TRUE)*(F1755-Calc!F19))+B1768+(ArtifactsInput!$M$24-ArtifactsInput!$M$24)*CHOOSE(ArtifactsInput!$N$24+1,10,12,14,16,18,20)+(IF(AND(ArtifactsInput!$M$42,((Inputs!$B$9+((C1755=TRUE)*(F1755-Calc!F19))+B1768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1742*(1-MIN(100,(Inputs!$B$9+((C1755=TRUE)*(F1755-Calc!F19))+B1768+(ArtifactsInput!$M$24-ArtifactsInput!$M$24)*CHOOSE(ArtifactsInput!$N$24+1,10,12,14,16,18,20)+(IF(AND(ArtifactsInput!$M$42,((Inputs!$B$9+((C1755=TRUE)*(F1755-Calc!F19))+B1768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1742*(MIN(100,(Inputs!$B$9+((C1755=TRUE)*(F1755-Calc!F19))+B1768+(ArtifactsInput!$M$24-ArtifactsInput!$M$24)*CHOOSE(ArtifactsInput!$N$24+1,10,12,14,16,18,20)+(IF(AND(ArtifactsInput!$M$42,((Inputs!$B$9+((C1755=TRUE)*(F1755-Calc!F19))+B1768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742">
        <f>IF(C1742,(H1742*N1742*IF(AND(Inputs!$B$38&lt;&gt;"pvp",Inputs!$B$43&gt;0),((Skills!G6*((R1742-1)*IF(Skills!H6&gt;0,Skills!I6/Skills!H6,1)+IF(Skills!H6&gt;0,MIN(Skills!I6,MAX(0,MAX(0,Inputs!$B$43-B1775)-((R1742-1)*IF(Inputs!$B$38="pvp",15,MAX(0.1,Skills!D6-IF(Skills!E6=TRUE,Inputs!$B$32,0))))))/Skills!H6,1)))/Inputs!$B$43),G1742*Q1742))*IF(Inputs!$B$38="pvp",1,(1+(Inputs!$B$21+Skills!Q6+(IF(ArtifactsInput!$M$33,CHOOSE(ArtifactsInput!$N$33+1,30,36,42,48,54,60),0))+(IF(AND(ArtifactsInput!$M$35,Inputs!$B$4&lt;&gt;"Chapter Hunt"),CHOOSE(ArtifactsInput!$N$35+1,15,18,21,24,27,30)*(1-EXP(-(0.2*B1770)*5)),0)+IF(AND(ArtifactsInput!$M$22,Inputs!$B$4&lt;&gt;"Chapter Hunt"),CHOOSE(ArtifactsInput!$N$22+1,10,12,14,16,18,20)*((0*(((0.15*B1770*5))^0/1)+1*(((0.15*B1770*5))^1/1)+2*(((0.15*B1770*5))^2/2)+3*(((0.15*B1770*5))^3/6)+4*(((0.15*B1770*5))^4/24)+5*(((0.15*B1770*5))^5/120))/((((0.15*B1770*5))^0/1)+(((0.15*B1770*5))^1/1)+(((0.15*B1770*5))^2/2)+(((0.15*B1770*5))^3/6)+(((0.15*B1770*5))^4/24)+(((0.15*B1770*5))^5/120))),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743">
      <c r="A1743">
        <f>Skills!A7</f>
        <v/>
      </c>
      <c r="B1743">
        <f>Skills!B7</f>
        <v/>
      </c>
      <c r="C1743">
        <f>Inputs!$B$3&gt;=69</f>
        <v/>
      </c>
      <c r="D1743">
        <f>IF(Skills!C7=1,60+Inputs!$B$25+Inputs!$B$29,IF(Skills!C7=2,90+Inputs!$B$26+Inputs!$B$29,IF(Skills!C7=3,120+Inputs!$B$27+Inputs!$B$29,MAX(0,(Inputs!$B$3-100)*3)+Inputs!$B$28+Inputs!$B$29)))</f>
        <v/>
      </c>
      <c r="E1743">
        <f>INDEX(FactorTable!$B$2:$Y$301, MATCH(ROUND(MIN(300,MAX(1,D1743)),0), FactorTable!$A$2:$A$301,0), Skills!M7+1)</f>
        <v/>
      </c>
      <c r="F1743">
        <f>IF(Skills!N7=TRUE,(Skills!L7/10)*(E1743/1000),Skills!L7/10)+Skills!O7</f>
        <v/>
      </c>
      <c r="G1743">
        <f>Skills!G7*IF(Skills!H7&gt;0,Skills!I7/Skills!H7,1)</f>
        <v/>
      </c>
      <c r="H1743">
        <f>1-(1-Skills!J7/100)^Skills!K7</f>
        <v/>
      </c>
      <c r="I1743" t="inlineStr">
        <is>
          <t>1</t>
        </is>
      </c>
      <c r="J1743">
        <f>((Inputs!$B$6*(1+Inputs!$B$7/100))+(((Inputs!$B$12*(1+Inputs!$B$13/100))-(Inputs!$B$12*(1+Inputs!$B$13/100)))+0.25*(Inputs!$B$14-Inputs!$B$14))*(1+Inputs!$B$7/100))*(F1743/100)</f>
        <v/>
      </c>
      <c r="K1743">
        <f>J1743*(1+((Inputs!$B$12*(1+Inputs!$B$13/100))*0.01+Inputs!$B$14*0.0025)/100)*(1+Inputs!$B$15/100)*(1+Inputs!$B$16/100)*(5000/(6000+Inputs!$B$42*(1-(100*(1-(1-(Inputs!$B$19+0)/100)*(1-CHOOSE(ArtifactsInput!$N$40+1,5,6,7,8,9,10)/100)^(ArtifactsInput!$M$40-ArtifactsInput!$M$40)))/100)))*(1+(Inputs!$B$24+((C1760=TRUE)*(F1760-Calc!F24))+((C1761=TRUE)*(F1761-Calc!F25))+B1774)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+1.2*IF(C1744=TRUE,F1744,0)/100)*(1+(IF(Skills!A7="EMPOWERED_PIERCING_ARROW",Inputs!$B$17+((C1758=TRUE)*(F1758-Calc!F22))+(((IF(AND(ArtifactsInput!$M$42,((Inputs!$B$9+((C1755=TRUE)*(F1755-Calc!F19))+B1768+(ArtifactsInput!$M$24-ArtifactsInput!$M$24)*CHOOSE(ArtifactsInput!$N$24+1,10,12,14,16,18,20)+IF(ArtifactsInput!$M$10,CHOOSE(ArtifactsInput!$N$10+1,15,18,21,24,27,30)*(IF(Inputs!$B$38="pvp",MIN(15,15)/15,IF(AND(Inputs!$B$38&lt;&gt;"pvp",Inputs!$B$43&gt;0),MIN(15,Inputs!$B$43)/(Inputs!$B$43),0))),0)))&gt;=100),MIN(100,((Inputs!$B$9+((C1755=TRUE)*(F1755-Calc!F19))+B1768+(ArtifactsInput!$M$24-ArtifactsInput!$M$24)*CHOOSE(ArtifactsInput!$N$24+1,10,12,14,16,18,20)+IF(ArtifactsInput!$M$10,CHOOSE(ArtifactsInput!$N$10+1,15,18,21,24,27,30)*(IF(Inputs!$B$38="pvp",MIN(15,15)/15,IF(AND(Inputs!$B$38&lt;&gt;"pvp",Inputs!$B$43&gt;0),MIN(15,Inputs!$B$43)/(Inputs!$B$43),0))),0)))-100),0))*CHOOSE(ArtifactsInput!$N$42+1,0.6,0.72,0.84,0.96,1.08,1.2))),Inputs!$B$18+((C1763=TRUE)*(F1763-Calc!F27))+(IF(AND(ArtifactsInput!$M$42,((Inputs!$B$9+((C1755=TRUE)*(F1755-Calc!F19))+B1768+(ArtifactsInput!$M$24-ArtifactsInput!$M$24)*CHOOSE(ArtifactsInput!$N$24+1,10,12,14,16,18,20)+IF(ArtifactsInput!$M$10,CHOOSE(ArtifactsInput!$N$10+1,15,18,21,24,27,30)*(IF(Inputs!$B$38="pvp",MIN(15,15)/15,IF(AND(Inputs!$B$38&lt;&gt;"pvp",Inputs!$B$43&gt;0),MIN(15,Inputs!$B$43)/(Inputs!$B$43),0))),0)))&gt;=100),CHOOSE(ArtifactsInput!$N$42+1,40,48,56,64,72,80),0))))/100)*((1+(((C1749=TRUE)*F1749)+((C1750=TRUE)*IF(Inputs!$B$38="pvp",F1750,(1-Summary!$B$11)*(F1750)+Summary!$B$11*(0)))+((C1751=TRUE)*F1751*IF(AND(Inputs!$B$38&lt;&gt;"pvp",Inputs!$B$43&gt;0),(((R1751-1)*(Skills!T15*(1+Inputs!$B$34/100))+MIN((Skills!T15*(1+Inputs!$B$34/100)),MAX(0,Inputs!$B$43-((R1751-1)*Skills!D15))))/Inputs!$B$43),IF(Inputs!$B$38="pvp",MIN((Skills!T15*(1+Inputs!$B$34/100)),15)/15,(Skills!T15*(1+Inputs!$B$34/100))/Skills!D15)))+((C1748=TRUE)*F1748)+((C1765=TRUE)*(F1765-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1743)</f>
        <v/>
      </c>
      <c r="L1743">
        <f>K1743*(MIN(Inputs!$B$22+((C1759=TRUE)*(F1759-Calc!F23)),(Inputs!$B$23+((C1764=TRUE)*(F1764-Calc!F28))+(IF(ArtifactsInput!$M$15,CHOOSE(ArtifactsInput!$N$15+1,25,30,35,40,45,50)/100*(Inputs!$B$11-Inputs!$B$11),0))))/100+(Inputs!$B$23+((C1764=TRUE)*(F1764-Calc!F28))+(IF(ArtifactsInput!$M$15,CHOOSE(ArtifactsInput!$N$15+1,25,30,35,40,45,50)/100*(Inputs!$B$11-Inputs!$B$11),0)))/100)/2</f>
        <v/>
      </c>
      <c r="M1743">
        <f>L1743*(1+(Inputs!$B$10+0+B1773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743">
        <f>L1743*(1-MIN((Inputs!$B$9+((C1755=TRUE)*(F1755-Calc!F19))+B1768+(ArtifactsInput!$M$24-ArtifactsInput!$M$24)*CHOOSE(ArtifactsInput!$N$24+1,10,12,14,16,18,20)+(IF(AND(ArtifactsInput!$M$42,((Inputs!$B$9+((C1755=TRUE)*(F1755-Calc!F19))+B1768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1743*(MIN((Inputs!$B$9+((C1755=TRUE)*(F1755-Calc!F19))+B1768+(ArtifactsInput!$M$24-ArtifactsInput!$M$24)*CHOOSE(ArtifactsInput!$N$24+1,10,12,14,16,18,20)+(IF(AND(ArtifactsInput!$M$42,((Inputs!$B$9+((C1755=TRUE)*(F1755-Calc!F19))+B1768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743">
        <f>(1-Summary!$B$11)*T1743+Summary!$B$11*V1743</f>
        <v/>
      </c>
      <c r="P1743">
        <f>IF(B1778=0,0,O1743/B1778)</f>
        <v/>
      </c>
      <c r="Q1743">
        <f>IFERROR(1/IF(Inputs!$B$38="pvp",15,MAX(0.1,Skills!D7-IF(Skills!E7=TRUE,Inputs!$B$32,0))),0)</f>
        <v/>
      </c>
      <c r="R1743">
        <f>IF(AND(Inputs!$B$38&lt;&gt;"pvp",Inputs!$B$43&gt;0),IF(MAX(0,Inputs!$B$43-B1775)&lt;=0,0,(INT(MAX(0,Inputs!$B$43-B1775)/IF(Inputs!$B$38="pvp",15,MAX(0.1,Skills!D7-IF(Skills!E7=TRUE,Inputs!$B$32,0))))+1)),0)</f>
        <v/>
      </c>
      <c r="S1743">
        <f>IFERROR((H1743*N1743*IF(AND(Inputs!$B$38&lt;&gt;"pvp",Inputs!$B$43&gt;0),((Skills!G7*((R1743-1)*IF(Skills!H7&gt;0,Skills!I7/Skills!H7,1)+IF(Skills!H7&gt;0,MIN(Skills!I7,MAX(0,MAX(0,Inputs!$B$43-B1775)-((R1743-1)*IF(Inputs!$B$38="pvp",15,MAX(0.1,Skills!D7-IF(Skills!E7=TRUE,Inputs!$B$32,0))))))/Skills!H7,1)))/Inputs!$B$43),G1743*Q1743))/N1743*IF(Inputs!$B$38="pvp",1,(1-Summary!$B$11)*1+Summary!$B$11*(MIN(Skills!R7,Inputs!$B$37))),0)</f>
        <v/>
      </c>
      <c r="T1743">
        <f>IF(C1743,(H1743*N1743*IF(AND(Inputs!$B$38&lt;&gt;"pvp",Inputs!$B$43&gt;0),((Skills!G7*((R1743-1)*IF(Skills!H7&gt;0,Skills!I7/Skills!H7,1)+IF(Skills!H7&gt;0,MIN(Skills!I7,MAX(0,MAX(0,Inputs!$B$43-B1775)-((R1743-1)*IF(Inputs!$B$38="pvp",15,MAX(0.1,Skills!D7-IF(Skills!E7=TRUE,Inputs!$B$32,0))))))/Skills!H7,1)))/Inputs!$B$43),G1743*Q1743))*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Hunt"),CHOOSE(ArtifactsInput!$N$35+1,15,18,21,24,27,30)*(1-EXP(-(0.2*B1770)*5)),0)+IF(AND(ArtifactsInput!$M$22,Inputs!$B$4&lt;&gt;"Chapter Hunt"),CHOOSE(ArtifactsInput!$N$22+1,10,12,14,16,18,20)*((0*(((0.15*B1770*5))^0/1)+1*(((0.15*B1770*5))^1/1)+2*(((0.15*B1770*5))^2/2)+3*(((0.15*B1770*5))^3/6)+4*(((0.15*B1770*5))^4/24)+5*(((0.15*B1770*5))^5/120))/((((0.15*B1770*5))^0/1)+(((0.15*B1770*5))^1/1)+(((0.15*B1770*5))^2/2)+(((0.15*B1770*5))^3/6)+(((0.15*B1770*5))^4/24)+(((0.15*B1770*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1743*(1-MIN(100,(Inputs!$B$9+((C1755=TRUE)*(F1755-Calc!F19))+B1768+(ArtifactsInput!$M$24-ArtifactsInput!$M$24)*CHOOSE(ArtifactsInput!$N$24+1,10,12,14,16,18,20)+(IF(AND(ArtifactsInput!$M$42,((Inputs!$B$9+((C1755=TRUE)*(F1755-Calc!F19))+B1768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1743*(MIN(100,(Inputs!$B$9+((C1755=TRUE)*(F1755-Calc!F19))+B1768+(ArtifactsInput!$M$24-ArtifactsInput!$M$24)*CHOOSE(ArtifactsInput!$N$24+1,10,12,14,16,18,20)+(IF(AND(ArtifactsInput!$M$42,((Inputs!$B$9+((C1755=TRUE)*(F1755-Calc!F19))+B1768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1743*(1-MIN(100,(Inputs!$B$9+((C1755=TRUE)*(F1755-Calc!F19))+B1768+(ArtifactsInput!$M$24-ArtifactsInput!$M$24)*CHOOSE(ArtifactsInput!$N$24+1,10,12,14,16,18,20)+(IF(AND(ArtifactsInput!$M$42,((Inputs!$B$9+((C1755=TRUE)*(F1755-Calc!F19))+B1768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1743*(MIN(100,(Inputs!$B$9+((C1755=TRUE)*(F1755-Calc!F19))+B1768+(ArtifactsInput!$M$24-ArtifactsInput!$M$24)*CHOOSE(ArtifactsInput!$N$24+1,10,12,14,16,18,20)+(IF(AND(ArtifactsInput!$M$42,((Inputs!$B$9+((C1755=TRUE)*(F1755-Calc!F19))+B1768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743">
        <f>IF(C1743,(H1743*N1743*IF(AND(Inputs!$B$38&lt;&gt;"pvp",Inputs!$B$43&gt;0),((Skills!G7*((R1743-1)*IF(Skills!H7&gt;0,Skills!I7/Skills!H7,1)+IF(Skills!H7&gt;0,MIN(Skills!I7,MAX(0,MAX(0,Inputs!$B$43-B1775)-((R1743-1)*IF(Inputs!$B$38="pvp",15,MAX(0.1,Skills!D7-IF(Skills!E7=TRUE,Inputs!$B$32,0))))))/Skills!H7,1)))/Inputs!$B$43),G1743*Q1743))*IF(Inputs!$B$38="pvp",1,(1+(Inputs!$B$21+Skills!Q7+(IF(ArtifactsInput!$M$33,CHOOSE(ArtifactsInput!$N$33+1,30,36,42,48,54,60),0))+(IF(AND(ArtifactsInput!$M$35,Inputs!$B$4&lt;&gt;"Chapter Hunt"),CHOOSE(ArtifactsInput!$N$35+1,15,18,21,24,27,30)*(1-EXP(-(0.2*B1770)*5)),0)+IF(AND(ArtifactsInput!$M$22,Inputs!$B$4&lt;&gt;"Chapter Hunt"),CHOOSE(ArtifactsInput!$N$22+1,10,12,14,16,18,20)*((0*(((0.15*B1770*5))^0/1)+1*(((0.15*B1770*5))^1/1)+2*(((0.15*B1770*5))^2/2)+3*(((0.15*B1770*5))^3/6)+4*(((0.15*B1770*5))^4/24)+5*(((0.15*B1770*5))^5/120))/((((0.15*B1770*5))^0/1)+(((0.15*B1770*5))^1/1)+(((0.15*B1770*5))^2/2)+(((0.15*B1770*5))^3/6)+(((0.15*B1770*5))^4/24)+(((0.15*B1770*5))^5/120))),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744">
      <c r="A1744">
        <f>Skills!A8</f>
        <v/>
      </c>
      <c r="B1744">
        <f>Skills!B8</f>
        <v/>
      </c>
      <c r="C1744">
        <f>Inputs!$B$3&gt;=100</f>
        <v/>
      </c>
      <c r="D1744">
        <f>IF(Skills!C8=1,60+Inputs!$B$25+Inputs!$B$29,IF(Skills!C8=2,90+Inputs!$B$26+Inputs!$B$29,IF(Skills!C8=3,120+Inputs!$B$27+Inputs!$B$29,MAX(0,(Inputs!$B$3-100)*3)+Inputs!$B$28+Inputs!$B$29)))</f>
        <v/>
      </c>
      <c r="E1744">
        <f>INDEX(FactorTable!$B$2:$Y$301, MATCH(ROUND(MIN(300,MAX(1,D1744)),0), FactorTable!$A$2:$A$301,0), Skills!M8+1)</f>
        <v/>
      </c>
      <c r="F1744">
        <f>IF(Skills!N8=TRUE,(Skills!L8/10)*(E1744/1000),Skills!L8/10)+Skills!O8</f>
        <v/>
      </c>
      <c r="G1744" t="inlineStr"/>
      <c r="H1744" t="inlineStr"/>
      <c r="I1744" t="inlineStr">
        <is>
          <t>1</t>
        </is>
      </c>
      <c r="J1744" t="inlineStr"/>
      <c r="K1744" t="inlineStr"/>
      <c r="L1744" t="inlineStr"/>
      <c r="M1744" t="inlineStr"/>
      <c r="N1744" t="inlineStr"/>
      <c r="O1744" t="inlineStr"/>
      <c r="P1744" t="inlineStr"/>
      <c r="Q1744" t="inlineStr"/>
      <c r="R1744" t="inlineStr"/>
      <c r="S1744" t="inlineStr"/>
      <c r="T1744" t="inlineStr"/>
      <c r="V1744" t="inlineStr"/>
    </row>
    <row r="1745">
      <c r="A1745">
        <f>Skills!A9</f>
        <v/>
      </c>
      <c r="B1745">
        <f>Skills!B9</f>
        <v/>
      </c>
      <c r="C1745">
        <f>Inputs!$B$3&gt;=103</f>
        <v/>
      </c>
      <c r="D1745">
        <f>IF(Skills!C9=1,60+Inputs!$B$25+Inputs!$B$29,IF(Skills!C9=2,90+Inputs!$B$26+Inputs!$B$29,IF(Skills!C9=3,120+Inputs!$B$27+Inputs!$B$29,MAX(0,(Inputs!$B$3-100)*3)+Inputs!$B$28+Inputs!$B$29)))</f>
        <v/>
      </c>
      <c r="E1745">
        <f>INDEX(FactorTable!$B$2:$Y$301, MATCH(ROUND(MIN(300,MAX(1,D1745)),0), FactorTable!$A$2:$A$301,0), Skills!M9+1)</f>
        <v/>
      </c>
      <c r="F1745">
        <f>IF(Skills!N9=TRUE,(Skills!L9/10)*(E1745/1000),Skills!L9/10)+Skills!O9</f>
        <v/>
      </c>
      <c r="G1745">
        <f>Skills!G9*IF(Skills!H9&gt;0,Skills!I9/Skills!H9,1)</f>
        <v/>
      </c>
      <c r="H1745">
        <f>1-(1-Skills!J9/100)^Skills!K9</f>
        <v/>
      </c>
      <c r="I1745" t="inlineStr">
        <is>
          <t>1</t>
        </is>
      </c>
      <c r="J1745">
        <f>((Inputs!$B$6*(1+Inputs!$B$7/100))+(((Inputs!$B$12*(1+Inputs!$B$13/100))-(Inputs!$B$12*(1+Inputs!$B$13/100)))+0.25*(Inputs!$B$14-Inputs!$B$14))*(1+Inputs!$B$7/100))*(F1745/100)</f>
        <v/>
      </c>
      <c r="K1745">
        <f>J1745*(1+((Inputs!$B$12*(1+Inputs!$B$13/100))*0.01+Inputs!$B$14*0.0025)/100)*(1+Inputs!$B$15/100)*(1+Inputs!$B$16/100)*(5000/(6000+Inputs!$B$42*(1-(100*(1-(1-(Inputs!$B$19+0)/100)*(1-CHOOSE(ArtifactsInput!$N$40+1,5,6,7,8,9,10)/100)^(ArtifactsInput!$M$40-ArtifactsInput!$M$40)))/100)))*(1+(Inputs!$B$24+((C1760=TRUE)*(F1760-Calc!F24))+((C1761=TRUE)*(F1761-Calc!F25))+B1774)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EMPOWERED_PIERCING_ARROW",Inputs!$B$17+((C1758=TRUE)*(F1758-Calc!F22))+(((IF(AND(ArtifactsInput!$M$42,((Inputs!$B$9+((C1755=TRUE)*(F1755-Calc!F19))+B1768+(ArtifactsInput!$M$24-ArtifactsInput!$M$24)*CHOOSE(ArtifactsInput!$N$24+1,10,12,14,16,18,20)+IF(ArtifactsInput!$M$10,CHOOSE(ArtifactsInput!$N$10+1,15,18,21,24,27,30)*(IF(Inputs!$B$38="pvp",MIN(15,15)/15,IF(AND(Inputs!$B$38&lt;&gt;"pvp",Inputs!$B$43&gt;0),MIN(15,Inputs!$B$43)/(Inputs!$B$43),0))),0)))&gt;=100),MIN(100,((Inputs!$B$9+((C1755=TRUE)*(F1755-Calc!F19))+B1768+(ArtifactsInput!$M$24-ArtifactsInput!$M$24)*CHOOSE(ArtifactsInput!$N$24+1,10,12,14,16,18,20)+IF(ArtifactsInput!$M$10,CHOOSE(ArtifactsInput!$N$10+1,15,18,21,24,27,30)*(IF(Inputs!$B$38="pvp",MIN(15,15)/15,IF(AND(Inputs!$B$38&lt;&gt;"pvp",Inputs!$B$43&gt;0),MIN(15,Inputs!$B$43)/(Inputs!$B$43),0))),0)))-100),0))*CHOOSE(ArtifactsInput!$N$42+1,0.6,0.72,0.84,0.96,1.08,1.2))),Inputs!$B$18+((C1763=TRUE)*(F1763-Calc!F27))+(IF(AND(ArtifactsInput!$M$42,((Inputs!$B$9+((C1755=TRUE)*(F1755-Calc!F19))+B1768+(ArtifactsInput!$M$24-ArtifactsInput!$M$24)*CHOOSE(ArtifactsInput!$N$24+1,10,12,14,16,18,20)+IF(ArtifactsInput!$M$10,CHOOSE(ArtifactsInput!$N$10+1,15,18,21,24,27,30)*(IF(Inputs!$B$38="pvp",MIN(15,15)/15,IF(AND(Inputs!$B$38&lt;&gt;"pvp",Inputs!$B$43&gt;0),MIN(15,Inputs!$B$43)/(Inputs!$B$43),0))),0)))&gt;=100),CHOOSE(ArtifactsInput!$N$42+1,40,48,56,64,72,80),0))))/100)*((1+(((C1749=TRUE)*F1749)+((C1750=TRUE)*IF(Inputs!$B$38="pvp",F1750,(1-Summary!$B$11)*(F1750)+Summary!$B$11*(0)))+((C1751=TRUE)*F1751*IF(AND(Inputs!$B$38&lt;&gt;"pvp",Inputs!$B$43&gt;0),(((R1751-1)*(Skills!T15*(1+Inputs!$B$34/100))+MIN((Skills!T15*(1+Inputs!$B$34/100)),MAX(0,Inputs!$B$43-((R1751-1)*Skills!D15))))/Inputs!$B$43),IF(Inputs!$B$38="pvp",MIN((Skills!T15*(1+Inputs!$B$34/100)),15)/15,(Skills!T15*(1+Inputs!$B$34/100))/Skills!D15)))+((C1748=TRUE)*F1748)+((C1765=TRUE)*(F1765-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1745)</f>
        <v/>
      </c>
      <c r="L1745">
        <f>K1745*(MIN(Inputs!$B$22+((C1759=TRUE)*(F1759-Calc!F23)),(Inputs!$B$23+((C1764=TRUE)*(F1764-Calc!F28))+(IF(ArtifactsInput!$M$15,CHOOSE(ArtifactsInput!$N$15+1,25,30,35,40,45,50)/100*(Inputs!$B$11-Inputs!$B$11),0))))/100+(Inputs!$B$23+((C1764=TRUE)*(F1764-Calc!F28))+(IF(ArtifactsInput!$M$15,CHOOSE(ArtifactsInput!$N$15+1,25,30,35,40,45,50)/100*(Inputs!$B$11-Inputs!$B$11),0)))/100)/2</f>
        <v/>
      </c>
      <c r="M1745">
        <f>L1745*(1+(Inputs!$B$10+0+B1773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745">
        <f>L1745*(1-MIN((Inputs!$B$9+((C1755=TRUE)*(F1755-Calc!F19))+B1768+(ArtifactsInput!$M$24-ArtifactsInput!$M$24)*CHOOSE(ArtifactsInput!$N$24+1,10,12,14,16,18,20)+(IF(AND(ArtifactsInput!$M$42,((Inputs!$B$9+((C1755=TRUE)*(F1755-Calc!F19))+B1768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1745*(MIN((Inputs!$B$9+((C1755=TRUE)*(F1755-Calc!F19))+B1768+(ArtifactsInput!$M$24-ArtifactsInput!$M$24)*CHOOSE(ArtifactsInput!$N$24+1,10,12,14,16,18,20)+(IF(AND(ArtifactsInput!$M$42,((Inputs!$B$9+((C1755=TRUE)*(F1755-Calc!F19))+B1768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745">
        <f>(1-Summary!$B$11)*T1745+Summary!$B$11*V1745</f>
        <v/>
      </c>
      <c r="P1745">
        <f>IF(B1778=0,0,O1745/B1778)</f>
        <v/>
      </c>
      <c r="Q1745">
        <f>IFERROR(1/IF(Inputs!$B$38="pvp",15,MAX(0.1,Skills!D9-IF(Skills!E9=TRUE,Inputs!$B$32,0))),0)</f>
        <v/>
      </c>
      <c r="R1745">
        <f>IF(AND(Inputs!$B$38&lt;&gt;"pvp",Inputs!$B$43&gt;0),IF(MAX(0,Inputs!$B$43-B1775)&lt;=0,0,(INT(MAX(0,Inputs!$B$43-B1775)/IF(Inputs!$B$38="pvp",15,MAX(0.1,Skills!D9-IF(Skills!E9=TRUE,Inputs!$B$32,0))))+1)),0)</f>
        <v/>
      </c>
      <c r="S1745">
        <f>IFERROR((H1745*N1745*IF(AND(Inputs!$B$38&lt;&gt;"pvp",Inputs!$B$43&gt;0),((Skills!G9*((R1745-1)*IF(Skills!H9&gt;0,Skills!I9/Skills!H9,1)+IF(Skills!H9&gt;0,MIN(Skills!I9,MAX(0,MAX(0,Inputs!$B$43-B1775)-((R1745-1)*IF(Inputs!$B$38="pvp",15,MAX(0.1,Skills!D9-IF(Skills!E9=TRUE,Inputs!$B$32,0))))))/Skills!H9,1)))/Inputs!$B$43),G1745*Q1745))/N1745*IF(Inputs!$B$38="pvp",1,(1-Summary!$B$11)*1+Summary!$B$11*(MIN(Skills!R9,Inputs!$B$37))),0)</f>
        <v/>
      </c>
      <c r="T1745">
        <f>IF(C1745,(H1745*N1745*IF(AND(Inputs!$B$38&lt;&gt;"pvp",Inputs!$B$43&gt;0),((Skills!G9*((R1745-1)*IF(Skills!H9&gt;0,Skills!I9/Skills!H9,1)+IF(Skills!H9&gt;0,MIN(Skills!I9,MAX(0,MAX(0,Inputs!$B$43-B1775)-((R1745-1)*IF(Inputs!$B$38="pvp",15,MAX(0.1,Skills!D9-IF(Skills!E9=TRUE,Inputs!$B$32,0))))))/Skills!H9,1)))/Inputs!$B$43),G1745*Q1745))*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Hunt"),CHOOSE(ArtifactsInput!$N$35+1,15,18,21,24,27,30)*(1-EXP(-(0.2*B1770)*5)),0)+IF(AND(ArtifactsInput!$M$22,Inputs!$B$4&lt;&gt;"Chapter Hunt"),CHOOSE(ArtifactsInput!$N$22+1,10,12,14,16,18,20)*((0*(((0.15*B1770*5))^0/1)+1*(((0.15*B1770*5))^1/1)+2*(((0.15*B1770*5))^2/2)+3*(((0.15*B1770*5))^3/6)+4*(((0.15*B1770*5))^4/24)+5*(((0.15*B1770*5))^5/120))/((((0.15*B1770*5))^0/1)+(((0.15*B1770*5))^1/1)+(((0.15*B1770*5))^2/2)+(((0.15*B1770*5))^3/6)+(((0.15*B1770*5))^4/24)+(((0.15*B1770*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1745*(1-MIN(100,(Inputs!$B$9+((C1755=TRUE)*(F1755-Calc!F19))+B1768+(ArtifactsInput!$M$24-ArtifactsInput!$M$24)*CHOOSE(ArtifactsInput!$N$24+1,10,12,14,16,18,20)+(IF(AND(ArtifactsInput!$M$42,((Inputs!$B$9+((C1755=TRUE)*(F1755-Calc!F19))+B1768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1745*(MIN(100,(Inputs!$B$9+((C1755=TRUE)*(F1755-Calc!F19))+B1768+(ArtifactsInput!$M$24-ArtifactsInput!$M$24)*CHOOSE(ArtifactsInput!$N$24+1,10,12,14,16,18,20)+(IF(AND(ArtifactsInput!$M$42,((Inputs!$B$9+((C1755=TRUE)*(F1755-Calc!F19))+B1768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1745*(1-MIN(100,(Inputs!$B$9+((C1755=TRUE)*(F1755-Calc!F19))+B1768+(ArtifactsInput!$M$24-ArtifactsInput!$M$24)*CHOOSE(ArtifactsInput!$N$24+1,10,12,14,16,18,20)+(IF(AND(ArtifactsInput!$M$42,((Inputs!$B$9+((C1755=TRUE)*(F1755-Calc!F19))+B1768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1745*(MIN(100,(Inputs!$B$9+((C1755=TRUE)*(F1755-Calc!F19))+B1768+(ArtifactsInput!$M$24-ArtifactsInput!$M$24)*CHOOSE(ArtifactsInput!$N$24+1,10,12,14,16,18,20)+(IF(AND(ArtifactsInput!$M$42,((Inputs!$B$9+((C1755=TRUE)*(F1755-Calc!F19))+B1768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745">
        <f>IF(C1745,(H1745*N1745*IF(AND(Inputs!$B$38&lt;&gt;"pvp",Inputs!$B$43&gt;0),((Skills!G9*((R1745-1)*IF(Skills!H9&gt;0,Skills!I9/Skills!H9,1)+IF(Skills!H9&gt;0,MIN(Skills!I9,MAX(0,MAX(0,Inputs!$B$43-B1775)-((R1745-1)*IF(Inputs!$B$38="pvp",15,MAX(0.1,Skills!D9-IF(Skills!E9=TRUE,Inputs!$B$32,0))))))/Skills!H9,1)))/Inputs!$B$43),G1745*Q1745))*IF(Inputs!$B$38="pvp",1,(1+(Inputs!$B$21+Skills!Q9+(IF(ArtifactsInput!$M$33,CHOOSE(ArtifactsInput!$N$33+1,30,36,42,48,54,60),0))+(IF(AND(ArtifactsInput!$M$35,Inputs!$B$4&lt;&gt;"Chapter Hunt"),CHOOSE(ArtifactsInput!$N$35+1,15,18,21,24,27,30)*(1-EXP(-(0.2*B1770)*5)),0)+IF(AND(ArtifactsInput!$M$22,Inputs!$B$4&lt;&gt;"Chapter Hunt"),CHOOSE(ArtifactsInput!$N$22+1,10,12,14,16,18,20)*((0*(((0.15*B1770*5))^0/1)+1*(((0.15*B1770*5))^1/1)+2*(((0.15*B1770*5))^2/2)+3*(((0.15*B1770*5))^3/6)+4*(((0.15*B1770*5))^4/24)+5*(((0.15*B1770*5))^5/120))/((((0.15*B1770*5))^0/1)+(((0.15*B1770*5))^1/1)+(((0.15*B1770*5))^2/2)+(((0.15*B1770*5))^3/6)+(((0.15*B1770*5))^4/24)+(((0.15*B1770*5))^5/120)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746">
      <c r="A1746">
        <f>Skills!A10</f>
        <v/>
      </c>
      <c r="B1746">
        <f>Skills!B10</f>
        <v/>
      </c>
      <c r="C1746">
        <f>Inputs!$B$3&gt;=107</f>
        <v/>
      </c>
      <c r="D1746">
        <f>IF(Skills!C10=1,60+Inputs!$B$25+Inputs!$B$29,IF(Skills!C10=2,90+Inputs!$B$26+Inputs!$B$29,IF(Skills!C10=3,120+Inputs!$B$27+Inputs!$B$29,MAX(0,(Inputs!$B$3-100)*3)+Inputs!$B$28+Inputs!$B$29)))</f>
        <v/>
      </c>
      <c r="E1746">
        <f>INDEX(FactorTable!$B$2:$Y$301, MATCH(ROUND(MIN(300,MAX(1,D1746)),0), FactorTable!$A$2:$A$301,0), Skills!M10+1)</f>
        <v/>
      </c>
      <c r="F1746">
        <f>IF(Skills!N10=TRUE,(Skills!L10/10)*(E1746/1000),Skills!L10/10)+Skills!O10</f>
        <v/>
      </c>
      <c r="G1746">
        <f>Skills!G10*IF(Skills!H10&gt;0,Skills!I10/Skills!H10,1)</f>
        <v/>
      </c>
      <c r="H1746">
        <f>1-(1-Skills!J10/100)^Skills!K10</f>
        <v/>
      </c>
      <c r="I1746" t="inlineStr">
        <is>
          <t>1</t>
        </is>
      </c>
      <c r="J1746">
        <f>((Inputs!$B$6*(1+Inputs!$B$7/100))+(((Inputs!$B$12*(1+Inputs!$B$13/100))-(Inputs!$B$12*(1+Inputs!$B$13/100)))+0.25*(Inputs!$B$14-Inputs!$B$14))*(1+Inputs!$B$7/100))*(F1746/100)</f>
        <v/>
      </c>
      <c r="K1746">
        <f>J1746*(1+((Inputs!$B$12*(1+Inputs!$B$13/100))*0.01+Inputs!$B$14*0.0025)/100)*(1+Inputs!$B$15/100)*(1+Inputs!$B$16/100)*(5000/(6000+Inputs!$B$42*(1-(100*(1-(1-(Inputs!$B$19+0)/100)*(1-CHOOSE(ArtifactsInput!$N$40+1,5,6,7,8,9,10)/100)^(ArtifactsInput!$M$40-ArtifactsInput!$M$40)))/100)))*(1+(Inputs!$B$24+((C1760=TRUE)*(F1760-Calc!F24))+((C1761=TRUE)*(F1761-Calc!F25))+B1774)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EMPOWERED_PIERCING_ARROW",Inputs!$B$17+((C1758=TRUE)*(F1758-Calc!F22))+(((IF(AND(ArtifactsInput!$M$42,((Inputs!$B$9+((C1755=TRUE)*(F1755-Calc!F19))+B1768+(ArtifactsInput!$M$24-ArtifactsInput!$M$24)*CHOOSE(ArtifactsInput!$N$24+1,10,12,14,16,18,20)+IF(ArtifactsInput!$M$10,CHOOSE(ArtifactsInput!$N$10+1,15,18,21,24,27,30)*(IF(Inputs!$B$38="pvp",MIN(15,15)/15,IF(AND(Inputs!$B$38&lt;&gt;"pvp",Inputs!$B$43&gt;0),MIN(15,Inputs!$B$43)/(Inputs!$B$43),0))),0)))&gt;=100),MIN(100,((Inputs!$B$9+((C1755=TRUE)*(F1755-Calc!F19))+B1768+(ArtifactsInput!$M$24-ArtifactsInput!$M$24)*CHOOSE(ArtifactsInput!$N$24+1,10,12,14,16,18,20)+IF(ArtifactsInput!$M$10,CHOOSE(ArtifactsInput!$N$10+1,15,18,21,24,27,30)*(IF(Inputs!$B$38="pvp",MIN(15,15)/15,IF(AND(Inputs!$B$38&lt;&gt;"pvp",Inputs!$B$43&gt;0),MIN(15,Inputs!$B$43)/(Inputs!$B$43),0))),0)))-100),0))*CHOOSE(ArtifactsInput!$N$42+1,0.6,0.72,0.84,0.96,1.08,1.2))),Inputs!$B$18+((C1763=TRUE)*(F1763-Calc!F27))+(IF(AND(ArtifactsInput!$M$42,((Inputs!$B$9+((C1755=TRUE)*(F1755-Calc!F19))+B1768+(ArtifactsInput!$M$24-ArtifactsInput!$M$24)*CHOOSE(ArtifactsInput!$N$24+1,10,12,14,16,18,20)+IF(ArtifactsInput!$M$10,CHOOSE(ArtifactsInput!$N$10+1,15,18,21,24,27,30)*(IF(Inputs!$B$38="pvp",MIN(15,15)/15,IF(AND(Inputs!$B$38&lt;&gt;"pvp",Inputs!$B$43&gt;0),MIN(15,Inputs!$B$43)/(Inputs!$B$43),0))),0)))&gt;=100),CHOOSE(ArtifactsInput!$N$42+1,40,48,56,64,72,80),0))))/100)*((1+(((C1749=TRUE)*F1749)+((C1750=TRUE)*IF(Inputs!$B$38="pvp",F1750,(1-Summary!$B$11)*(F1750)+Summary!$B$11*(0)))+((C1751=TRUE)*F1751*IF(AND(Inputs!$B$38&lt;&gt;"pvp",Inputs!$B$43&gt;0),(((R1751-1)*(Skills!T15*(1+Inputs!$B$34/100))+MIN((Skills!T15*(1+Inputs!$B$34/100)),MAX(0,Inputs!$B$43-((R1751-1)*Skills!D15))))/Inputs!$B$43),IF(Inputs!$B$38="pvp",MIN((Skills!T15*(1+Inputs!$B$34/100)),15)/15,(Skills!T15*(1+Inputs!$B$34/100))/Skills!D15)))+((C1748=TRUE)*F1748)+((C1765=TRUE)*(F1765-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1746)</f>
        <v/>
      </c>
      <c r="L1746">
        <f>K1746*(MIN(Inputs!$B$22+((C1759=TRUE)*(F1759-Calc!F23)),(Inputs!$B$23+((C1764=TRUE)*(F1764-Calc!F28))+(IF(ArtifactsInput!$M$15,CHOOSE(ArtifactsInput!$N$15+1,25,30,35,40,45,50)/100*(Inputs!$B$11-Inputs!$B$11),0))))/100+(Inputs!$B$23+((C1764=TRUE)*(F1764-Calc!F28))+(IF(ArtifactsInput!$M$15,CHOOSE(ArtifactsInput!$N$15+1,25,30,35,40,45,50)/100*(Inputs!$B$11-Inputs!$B$11),0)))/100)/2</f>
        <v/>
      </c>
      <c r="M1746">
        <f>L1746*(1+(Inputs!$B$10+0+B1773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746">
        <f>L1746*(1-MIN((Inputs!$B$9+((C1755=TRUE)*(F1755-Calc!F19))+B1768+(ArtifactsInput!$M$24-ArtifactsInput!$M$24)*CHOOSE(ArtifactsInput!$N$24+1,10,12,14,16,18,20)+(IF(AND(ArtifactsInput!$M$42,((Inputs!$B$9+((C1755=TRUE)*(F1755-Calc!F19))+B1768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1746*(MIN((Inputs!$B$9+((C1755=TRUE)*(F1755-Calc!F19))+B1768+(ArtifactsInput!$M$24-ArtifactsInput!$M$24)*CHOOSE(ArtifactsInput!$N$24+1,10,12,14,16,18,20)+(IF(AND(ArtifactsInput!$M$42,((Inputs!$B$9+((C1755=TRUE)*(F1755-Calc!F19))+B1768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746">
        <f>(1-Summary!$B$11)*T1746+Summary!$B$11*V1746</f>
        <v/>
      </c>
      <c r="P1746">
        <f>IF(B1778=0,0,O1746/B1778)</f>
        <v/>
      </c>
      <c r="Q1746" t="n">
        <v>0</v>
      </c>
      <c r="R1746" t="n">
        <v>0</v>
      </c>
      <c r="S1746" t="n">
        <v>0</v>
      </c>
      <c r="T1746">
        <f>IF(C1746,(0.15*SUMPRODUCT((Skills!U2:U29=TRUE)*(C1738:C1765=TRUE)*S1738:S1765)*Skills!G10*N1746)*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Hunt"),CHOOSE(ArtifactsInput!$N$35+1,15,18,21,24,27,30)*(1-EXP(-(0.2*B1770)*5)),0)+IF(AND(ArtifactsInput!$M$22,Inputs!$B$4&lt;&gt;"Chapter Hunt"),CHOOSE(ArtifactsInput!$N$22+1,10,12,14,16,18,20)*((0*(((0.15*B1770*5))^0/1)+1*(((0.15*B1770*5))^1/1)+2*(((0.15*B1770*5))^2/2)+3*(((0.15*B1770*5))^3/6)+4*(((0.15*B1770*5))^4/24)+5*(((0.15*B1770*5))^5/120))/((((0.15*B1770*5))^0/1)+(((0.15*B1770*5))^1/1)+(((0.15*B1770*5))^2/2)+(((0.15*B1770*5))^3/6)+(((0.15*B1770*5))^4/24)+(((0.15*B1770*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1746*(1-MIN(100,(Inputs!$B$9+((C1755=TRUE)*(F1755-Calc!F19))+B1768+(ArtifactsInput!$M$24-ArtifactsInput!$M$24)*CHOOSE(ArtifactsInput!$N$24+1,10,12,14,16,18,20)+(IF(AND(ArtifactsInput!$M$42,((Inputs!$B$9+((C1755=TRUE)*(F1755-Calc!F19))+B1768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1746*(MIN(100,(Inputs!$B$9+((C1755=TRUE)*(F1755-Calc!F19))+B1768+(ArtifactsInput!$M$24-ArtifactsInput!$M$24)*CHOOSE(ArtifactsInput!$N$24+1,10,12,14,16,18,20)+(IF(AND(ArtifactsInput!$M$42,((Inputs!$B$9+((C1755=TRUE)*(F1755-Calc!F19))+B1768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1746*(1-MIN(100,(Inputs!$B$9+((C1755=TRUE)*(F1755-Calc!F19))+B1768+(ArtifactsInput!$M$24-ArtifactsInput!$M$24)*CHOOSE(ArtifactsInput!$N$24+1,10,12,14,16,18,20)+(IF(AND(ArtifactsInput!$M$42,((Inputs!$B$9+((C1755=TRUE)*(F1755-Calc!F19))+B1768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1746*(MIN(100,(Inputs!$B$9+((C1755=TRUE)*(F1755-Calc!F19))+B1768+(ArtifactsInput!$M$24-ArtifactsInput!$M$24)*CHOOSE(ArtifactsInput!$N$24+1,10,12,14,16,18,20)+(IF(AND(ArtifactsInput!$M$42,((Inputs!$B$9+((C1755=TRUE)*(F1755-Calc!F19))+B1768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746">
        <f>IF(C1746,(0.15*SUMPRODUCT((Skills!U2:U29=TRUE)*(C1738:C1765=TRUE)*S1738:S1765)*Skills!G10*N1746)*IF(Inputs!$B$38="pvp",1,(1+(Inputs!$B$21+Skills!Q10+(IF(ArtifactsInput!$M$33,CHOOSE(ArtifactsInput!$N$33+1,30,36,42,48,54,60),0))+(IF(AND(ArtifactsInput!$M$35,Inputs!$B$4&lt;&gt;"Chapter Hunt"),CHOOSE(ArtifactsInput!$N$35+1,15,18,21,24,27,30)*(1-EXP(-(0.2*B1770)*5)),0)+IF(AND(ArtifactsInput!$M$22,Inputs!$B$4&lt;&gt;"Chapter Hunt"),CHOOSE(ArtifactsInput!$N$22+1,10,12,14,16,18,20)*((0*(((0.15*B1770*5))^0/1)+1*(((0.15*B1770*5))^1/1)+2*(((0.15*B1770*5))^2/2)+3*(((0.15*B1770*5))^3/6)+4*(((0.15*B1770*5))^4/24)+5*(((0.15*B1770*5))^5/120))/((((0.15*B1770*5))^0/1)+(((0.15*B1770*5))^1/1)+(((0.15*B1770*5))^2/2)+(((0.15*B1770*5))^3/6)+(((0.15*B1770*5))^4/24)+(((0.15*B1770*5))^5/120)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747">
      <c r="A1747">
        <f>Skills!A11</f>
        <v/>
      </c>
      <c r="B1747">
        <f>Skills!B11</f>
        <v/>
      </c>
      <c r="C1747">
        <f>Inputs!$B$3&gt;=110</f>
        <v/>
      </c>
      <c r="D1747">
        <f>IF(Skills!C11=1,60+Inputs!$B$25+Inputs!$B$29,IF(Skills!C11=2,90+Inputs!$B$26+Inputs!$B$29,IF(Skills!C11=3,120+Inputs!$B$27+Inputs!$B$29,MAX(0,(Inputs!$B$3-100)*3)+Inputs!$B$28+Inputs!$B$29)))</f>
        <v/>
      </c>
      <c r="E1747">
        <f>INDEX(FactorTable!$B$2:$Y$301, MATCH(ROUND(MIN(300,MAX(1,D1747)),0), FactorTable!$A$2:$A$301,0), Skills!M11+1)</f>
        <v/>
      </c>
      <c r="F1747">
        <f>IF(Skills!N11=TRUE,(Skills!L11/10)*(E1747/1000),Skills!L11/10)+Skills!O11</f>
        <v/>
      </c>
      <c r="G1747">
        <f>Skills!G11*IF(Skills!H11&gt;0,Skills!I11/Skills!H11,1)</f>
        <v/>
      </c>
      <c r="H1747">
        <f>1-(1-Skills!J11/100)^Skills!K11</f>
        <v/>
      </c>
      <c r="I1747" t="inlineStr">
        <is>
          <t>1</t>
        </is>
      </c>
      <c r="J1747">
        <f>((Inputs!$B$6*(1+Inputs!$B$7/100))+(((Inputs!$B$12*(1+Inputs!$B$13/100))-(Inputs!$B$12*(1+Inputs!$B$13/100)))+0.25*(Inputs!$B$14-Inputs!$B$14))*(1+Inputs!$B$7/100))*(F1747/100)</f>
        <v/>
      </c>
      <c r="K1747">
        <f>J1747*(1+((Inputs!$B$12*(1+Inputs!$B$13/100))*0.01+Inputs!$B$14*0.0025)/100)*(1+Inputs!$B$15/100)*(1+Inputs!$B$16/100)*(5000/(6000+Inputs!$B$42*(1-(100*(1-(1-(Inputs!$B$19+0)/100)*(1-CHOOSE(ArtifactsInput!$N$40+1,5,6,7,8,9,10)/100)^(ArtifactsInput!$M$40-ArtifactsInput!$M$40)))/100)))*(1+(Inputs!$B$24+((C1760=TRUE)*(F1760-Calc!F24))+((C1761=TRUE)*(F1761-Calc!F25))+B1774)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11="EMPOWERED_PIERCING_ARROW",Inputs!$B$17+((C1758=TRUE)*(F1758-Calc!F22))+(((IF(AND(ArtifactsInput!$M$42,((Inputs!$B$9+((C1755=TRUE)*(F1755-Calc!F19))+B1768+(ArtifactsInput!$M$24-ArtifactsInput!$M$24)*CHOOSE(ArtifactsInput!$N$24+1,10,12,14,16,18,20)+IF(ArtifactsInput!$M$10,CHOOSE(ArtifactsInput!$N$10+1,15,18,21,24,27,30)*(IF(Inputs!$B$38="pvp",MIN(15,15)/15,IF(AND(Inputs!$B$38&lt;&gt;"pvp",Inputs!$B$43&gt;0),MIN(15,Inputs!$B$43)/(Inputs!$B$43),0))),0)))&gt;=100),MIN(100,((Inputs!$B$9+((C1755=TRUE)*(F1755-Calc!F19))+B1768+(ArtifactsInput!$M$24-ArtifactsInput!$M$24)*CHOOSE(ArtifactsInput!$N$24+1,10,12,14,16,18,20)+IF(ArtifactsInput!$M$10,CHOOSE(ArtifactsInput!$N$10+1,15,18,21,24,27,30)*(IF(Inputs!$B$38="pvp",MIN(15,15)/15,IF(AND(Inputs!$B$38&lt;&gt;"pvp",Inputs!$B$43&gt;0),MIN(15,Inputs!$B$43)/(Inputs!$B$43),0))),0)))-100),0))*CHOOSE(ArtifactsInput!$N$42+1,0.6,0.72,0.84,0.96,1.08,1.2))),Inputs!$B$18+((C1763=TRUE)*(F1763-Calc!F27))+(IF(AND(ArtifactsInput!$M$42,((Inputs!$B$9+((C1755=TRUE)*(F1755-Calc!F19))+B1768+(ArtifactsInput!$M$24-ArtifactsInput!$M$24)*CHOOSE(ArtifactsInput!$N$24+1,10,12,14,16,18,20)+IF(ArtifactsInput!$M$10,CHOOSE(ArtifactsInput!$N$10+1,15,18,21,24,27,30)*(IF(Inputs!$B$38="pvp",MIN(15,15)/15,IF(AND(Inputs!$B$38&lt;&gt;"pvp",Inputs!$B$43&gt;0),MIN(15,Inputs!$B$43)/(Inputs!$B$43),0))),0)))&gt;=100),CHOOSE(ArtifactsInput!$N$42+1,40,48,56,64,72,80),0))))/100)*((1+(((C1749=TRUE)*F1749)+((C1750=TRUE)*IF(Inputs!$B$38="pvp",F1750,(1-Summary!$B$11)*(F1750)+Summary!$B$11*(0)))+((C1751=TRUE)*F1751*IF(AND(Inputs!$B$38&lt;&gt;"pvp",Inputs!$B$43&gt;0),(((R1751-1)*(Skills!T15*(1+Inputs!$B$34/100))+MIN((Skills!T15*(1+Inputs!$B$34/100)),MAX(0,Inputs!$B$43-((R1751-1)*Skills!D15))))/Inputs!$B$43),IF(Inputs!$B$38="pvp",MIN((Skills!T15*(1+Inputs!$B$34/100)),15)/15,(Skills!T15*(1+Inputs!$B$34/100))/Skills!D15)))+((C1748=TRUE)*F1748)+((C1765=TRUE)*(F1765-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1747)</f>
        <v/>
      </c>
      <c r="L1747">
        <f>K1747*(MIN(Inputs!$B$22+((C1759=TRUE)*(F1759-Calc!F23)),(Inputs!$B$23+((C1764=TRUE)*(F1764-Calc!F28))+(IF(ArtifactsInput!$M$15,CHOOSE(ArtifactsInput!$N$15+1,25,30,35,40,45,50)/100*(Inputs!$B$11-Inputs!$B$11),0))))/100+(Inputs!$B$23+((C1764=TRUE)*(F1764-Calc!F28))+(IF(ArtifactsInput!$M$15,CHOOSE(ArtifactsInput!$N$15+1,25,30,35,40,45,50)/100*(Inputs!$B$11-Inputs!$B$11),0)))/100)/2</f>
        <v/>
      </c>
      <c r="M1747">
        <f>L1747*(1+(Inputs!$B$10+0+B1773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747">
        <f>L1747*(1-MIN((Inputs!$B$9+((C1755=TRUE)*(F1755-Calc!F19))+B1768+(ArtifactsInput!$M$24-ArtifactsInput!$M$24)*CHOOSE(ArtifactsInput!$N$24+1,10,12,14,16,18,20)+(IF(AND(ArtifactsInput!$M$42,((Inputs!$B$9+((C1755=TRUE)*(F1755-Calc!F19))+B1768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1747*(MIN((Inputs!$B$9+((C1755=TRUE)*(F1755-Calc!F19))+B1768+(ArtifactsInput!$M$24-ArtifactsInput!$M$24)*CHOOSE(ArtifactsInput!$N$24+1,10,12,14,16,18,20)+(IF(AND(ArtifactsInput!$M$42,((Inputs!$B$9+((C1755=TRUE)*(F1755-Calc!F19))+B1768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747">
        <f>(1-Summary!$B$11)*T1747+Summary!$B$11*V1747</f>
        <v/>
      </c>
      <c r="P1747">
        <f>IF(B1778=0,0,O1747/B1778)</f>
        <v/>
      </c>
      <c r="Q1747">
        <f>IFERROR(1/IF(Inputs!$B$38="pvp",15,MAX(0.1,Skills!D11-IF(Skills!E11=TRUE,Inputs!$B$32,0))),0)</f>
        <v/>
      </c>
      <c r="R1747">
        <f>IF(AND(Inputs!$B$38&lt;&gt;"pvp",Inputs!$B$43&gt;0),IF(MAX(0,Inputs!$B$43-B1775)&lt;=0,0,(INT(MAX(0,Inputs!$B$43-B1775)/IF(Inputs!$B$38="pvp",15,MAX(0.1,Skills!D11-IF(Skills!E11=TRUE,Inputs!$B$32,0))))+1)),0)</f>
        <v/>
      </c>
      <c r="S1747">
        <f>IFERROR((H1747*N1747*IF(AND(Inputs!$B$38&lt;&gt;"pvp",Inputs!$B$43&gt;0),((Skills!G11*((R1747-1)*IF(Skills!H11&gt;0,Skills!I11/Skills!H11,1)+IF(Skills!H11&gt;0,MIN(Skills!I11,MAX(0,MAX(0,Inputs!$B$43-B1775)-((R1747-1)*IF(Inputs!$B$38="pvp",15,MAX(0.1,Skills!D11-IF(Skills!E11=TRUE,Inputs!$B$32,0))))))/Skills!H11,1)))/Inputs!$B$43),G1747*Q1747))/N1747*IF(Inputs!$B$38="pvp",1,(1-Summary!$B$11)*1+Summary!$B$11*(MIN(Skills!R11,Inputs!$B$37))),0)</f>
        <v/>
      </c>
      <c r="T1747">
        <f>IF(C1747,(H1747*N1747*IF(AND(Inputs!$B$38&lt;&gt;"pvp",Inputs!$B$43&gt;0),((Skills!G11*((R1747-1)*IF(Skills!H11&gt;0,Skills!I11/Skills!H11,1)+IF(Skills!H11&gt;0,MIN(Skills!I11,MAX(0,MAX(0,Inputs!$B$43-B1775)-((R1747-1)*IF(Inputs!$B$38="pvp",15,MAX(0.1,Skills!D11-IF(Skills!E11=TRUE,Inputs!$B$32,0))))))/Skills!H11,1)))/Inputs!$B$43),G1747*Q1747))*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Hunt"),CHOOSE(ArtifactsInput!$N$35+1,15,18,21,24,27,30)*(1-EXP(-(0.2*B1770)*5)),0)+IF(AND(ArtifactsInput!$M$22,Inputs!$B$4&lt;&gt;"Chapter Hunt"),CHOOSE(ArtifactsInput!$N$22+1,10,12,14,16,18,20)*((0*(((0.15*B1770*5))^0/1)+1*(((0.15*B1770*5))^1/1)+2*(((0.15*B1770*5))^2/2)+3*(((0.15*B1770*5))^3/6)+4*(((0.15*B1770*5))^4/24)+5*(((0.15*B1770*5))^5/120))/((((0.15*B1770*5))^0/1)+(((0.15*B1770*5))^1/1)+(((0.15*B1770*5))^2/2)+(((0.15*B1770*5))^3/6)+(((0.15*B1770*5))^4/24)+(((0.15*B1770*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1747*(1-MIN(100,(Inputs!$B$9+((C1755=TRUE)*(F1755-Calc!F19))+B1768+(ArtifactsInput!$M$24-ArtifactsInput!$M$24)*CHOOSE(ArtifactsInput!$N$24+1,10,12,14,16,18,20)+(IF(AND(ArtifactsInput!$M$42,((Inputs!$B$9+((C1755=TRUE)*(F1755-Calc!F19))+B1768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1747*(MIN(100,(Inputs!$B$9+((C1755=TRUE)*(F1755-Calc!F19))+B1768+(ArtifactsInput!$M$24-ArtifactsInput!$M$24)*CHOOSE(ArtifactsInput!$N$24+1,10,12,14,16,18,20)+(IF(AND(ArtifactsInput!$M$42,((Inputs!$B$9+((C1755=TRUE)*(F1755-Calc!F19))+B1768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1747*(1-MIN(100,(Inputs!$B$9+((C1755=TRUE)*(F1755-Calc!F19))+B1768+(ArtifactsInput!$M$24-ArtifactsInput!$M$24)*CHOOSE(ArtifactsInput!$N$24+1,10,12,14,16,18,20)+(IF(AND(ArtifactsInput!$M$42,((Inputs!$B$9+((C1755=TRUE)*(F1755-Calc!F19))+B1768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1747*(MIN(100,(Inputs!$B$9+((C1755=TRUE)*(F1755-Calc!F19))+B1768+(ArtifactsInput!$M$24-ArtifactsInput!$M$24)*CHOOSE(ArtifactsInput!$N$24+1,10,12,14,16,18,20)+(IF(AND(ArtifactsInput!$M$42,((Inputs!$B$9+((C1755=TRUE)*(F1755-Calc!F19))+B1768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747">
        <f>IF(C1747,(H1747*N1747*IF(AND(Inputs!$B$38&lt;&gt;"pvp",Inputs!$B$43&gt;0),((Skills!G11*((R1747-1)*IF(Skills!H11&gt;0,Skills!I11/Skills!H11,1)+IF(Skills!H11&gt;0,MIN(Skills!I11,MAX(0,MAX(0,Inputs!$B$43-B1775)-((R1747-1)*IF(Inputs!$B$38="pvp",15,MAX(0.1,Skills!D11-IF(Skills!E11=TRUE,Inputs!$B$32,0))))))/Skills!H11,1)))/Inputs!$B$43),G1747*Q1747))*IF(Inputs!$B$38="pvp",1,(1+(Inputs!$B$21+Skills!Q11+(IF(ArtifactsInput!$M$33,CHOOSE(ArtifactsInput!$N$33+1,30,36,42,48,54,60),0))+(IF(AND(ArtifactsInput!$M$35,Inputs!$B$4&lt;&gt;"Chapter Hunt"),CHOOSE(ArtifactsInput!$N$35+1,15,18,21,24,27,30)*(1-EXP(-(0.2*B1770)*5)),0)+IF(AND(ArtifactsInput!$M$22,Inputs!$B$4&lt;&gt;"Chapter Hunt"),CHOOSE(ArtifactsInput!$N$22+1,10,12,14,16,18,20)*((0*(((0.15*B1770*5))^0/1)+1*(((0.15*B1770*5))^1/1)+2*(((0.15*B1770*5))^2/2)+3*(((0.15*B1770*5))^3/6)+4*(((0.15*B1770*5))^4/24)+5*(((0.15*B1770*5))^5/120))/((((0.15*B1770*5))^0/1)+(((0.15*B1770*5))^1/1)+(((0.15*B1770*5))^2/2)+(((0.15*B1770*5))^3/6)+(((0.15*B1770*5))^4/24)+(((0.15*B1770*5))^5/120))),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748">
      <c r="A1748">
        <f>Skills!A12</f>
        <v/>
      </c>
      <c r="B1748">
        <f>Skills!B12</f>
        <v/>
      </c>
      <c r="C1748">
        <f>Inputs!$B$3&gt;=60</f>
        <v/>
      </c>
      <c r="D1748">
        <f>IF(Skills!C12=1,60+Inputs!$B$25+Inputs!$B$29,IF(Skills!C12=2,90+Inputs!$B$26+Inputs!$B$29,IF(Skills!C12=3,120+Inputs!$B$27+Inputs!$B$29,MAX(0,(Inputs!$B$3-100)*3)+Inputs!$B$28+Inputs!$B$29)))</f>
        <v/>
      </c>
      <c r="E1748">
        <f>INDEX(FactorTable!$B$2:$Y$301, MATCH(ROUND(MIN(300,MAX(1,D1748)),0), FactorTable!$A$2:$A$301,0), Skills!M12+1)</f>
        <v/>
      </c>
      <c r="F1748">
        <f>IF(Skills!N12=TRUE,(Skills!L12/10)*(E1748/1000),Skills!L12/10)+Skills!O12</f>
        <v/>
      </c>
      <c r="G1748">
        <f>Skills!G12*IF(Skills!H12&gt;0,Skills!I12/Skills!H12,1)</f>
        <v/>
      </c>
      <c r="H1748">
        <f>1-(1-Skills!J12/100)^Skills!K12</f>
        <v/>
      </c>
      <c r="I1748" t="inlineStr">
        <is>
          <t>1</t>
        </is>
      </c>
      <c r="J1748" t="inlineStr"/>
      <c r="K1748" t="inlineStr"/>
      <c r="L1748" t="inlineStr"/>
      <c r="M1748" t="inlineStr"/>
      <c r="N1748" t="inlineStr"/>
      <c r="O1748">
        <f>(1-Summary!$B$11)*T1748+Summary!$B$11*V1748</f>
        <v/>
      </c>
      <c r="P1748">
        <f>IF(B1778=0,0,O1748/B1778)</f>
        <v/>
      </c>
      <c r="Q1748" t="n">
        <v>0</v>
      </c>
      <c r="R1748" t="n">
        <v>0</v>
      </c>
      <c r="S1748" t="n">
        <v>0</v>
      </c>
      <c r="T1748" t="n">
        <v>0</v>
      </c>
      <c r="V1748" t="n">
        <v>0</v>
      </c>
    </row>
    <row r="1749">
      <c r="A1749">
        <f>Skills!A13</f>
        <v/>
      </c>
      <c r="B1749">
        <f>Skills!B13</f>
        <v/>
      </c>
      <c r="C1749">
        <f>Inputs!$B$3&gt;=74</f>
        <v/>
      </c>
      <c r="D1749">
        <f>IF(Skills!C13=1,60+Inputs!$B$25+Inputs!$B$29,IF(Skills!C13=2,90+Inputs!$B$26+Inputs!$B$29,IF(Skills!C13=3,120+Inputs!$B$27+Inputs!$B$29,MAX(0,(Inputs!$B$3-100)*3)+Inputs!$B$28+Inputs!$B$29)))</f>
        <v/>
      </c>
      <c r="E1749">
        <f>INDEX(FactorTable!$B$2:$Y$301, MATCH(ROUND(MIN(300,MAX(1,D1749)),0), FactorTable!$A$2:$A$301,0), Skills!M13+1)</f>
        <v/>
      </c>
      <c r="F1749">
        <f>IF(Skills!N13=TRUE,(Skills!L13/10)*(E1749/1000),Skills!L13/10)+Skills!O13</f>
        <v/>
      </c>
      <c r="G1749">
        <f>Skills!G13*IF(Skills!H13&gt;0,Skills!I13/Skills!H13,1)</f>
        <v/>
      </c>
      <c r="H1749">
        <f>1-(1-Skills!J13/100)^Skills!K13</f>
        <v/>
      </c>
      <c r="I1749" t="inlineStr">
        <is>
          <t>1</t>
        </is>
      </c>
      <c r="J1749" t="inlineStr"/>
      <c r="K1749" t="inlineStr"/>
      <c r="L1749" t="inlineStr"/>
      <c r="M1749" t="inlineStr"/>
      <c r="N1749" t="inlineStr"/>
      <c r="O1749">
        <f>(1-Summary!$B$11)*T1749+Summary!$B$11*V1749</f>
        <v/>
      </c>
      <c r="P1749">
        <f>IF(B1778=0,0,O1749/B1778)</f>
        <v/>
      </c>
      <c r="Q1749" t="n">
        <v>0</v>
      </c>
      <c r="R1749" t="n">
        <v>0</v>
      </c>
      <c r="S1749" t="n">
        <v>0</v>
      </c>
      <c r="T1749" t="n">
        <v>0</v>
      </c>
      <c r="V1749" t="n">
        <v>0</v>
      </c>
    </row>
    <row r="1750">
      <c r="A1750">
        <f>Skills!A14</f>
        <v/>
      </c>
      <c r="B1750">
        <f>Skills!B14</f>
        <v/>
      </c>
      <c r="C1750">
        <f>Inputs!$B$3&gt;=74</f>
        <v/>
      </c>
      <c r="D1750">
        <f>IF(Skills!C14=1,60+Inputs!$B$25+Inputs!$B$29,IF(Skills!C14=2,90+Inputs!$B$26+Inputs!$B$29,IF(Skills!C14=3,120+Inputs!$B$27+Inputs!$B$29,MAX(0,(Inputs!$B$3-100)*3)+Inputs!$B$28+Inputs!$B$29)))</f>
        <v/>
      </c>
      <c r="E1750">
        <f>INDEX(FactorTable!$B$2:$Y$301, MATCH(ROUND(MIN(300,MAX(1,D1750)),0), FactorTable!$A$2:$A$301,0), Skills!M14+1)</f>
        <v/>
      </c>
      <c r="F1750">
        <f>IF(Skills!N14=TRUE,(Skills!L14/10)*(E1750/1000),Skills!L14/10)+Skills!O14</f>
        <v/>
      </c>
      <c r="G1750">
        <f>Skills!G14*IF(Skills!H14&gt;0,Skills!I14/Skills!H14,1)</f>
        <v/>
      </c>
      <c r="H1750">
        <f>1-(1-Skills!J14/100)^Skills!K14</f>
        <v/>
      </c>
      <c r="I1750" t="inlineStr">
        <is>
          <t>1</t>
        </is>
      </c>
      <c r="J1750" t="inlineStr"/>
      <c r="K1750" t="inlineStr"/>
      <c r="L1750" t="inlineStr"/>
      <c r="M1750" t="inlineStr"/>
      <c r="N1750" t="inlineStr"/>
      <c r="O1750">
        <f>(1-Summary!$B$11)*T1750+Summary!$B$11*V1750</f>
        <v/>
      </c>
      <c r="P1750">
        <f>IF(B1778=0,0,O1750/B1778)</f>
        <v/>
      </c>
      <c r="Q1750" t="n">
        <v>0</v>
      </c>
      <c r="R1750" t="n">
        <v>0</v>
      </c>
      <c r="S1750" t="n">
        <v>0</v>
      </c>
      <c r="T1750" t="n">
        <v>0</v>
      </c>
      <c r="V1750" t="n">
        <v>0</v>
      </c>
    </row>
    <row r="1751">
      <c r="A1751">
        <f>Skills!A15</f>
        <v/>
      </c>
      <c r="B1751">
        <f>Skills!B15</f>
        <v/>
      </c>
      <c r="C1751">
        <f>Inputs!$B$3&gt;=117</f>
        <v/>
      </c>
      <c r="D1751">
        <f>IF(Skills!C15=1,60+Inputs!$B$25+Inputs!$B$29,IF(Skills!C15=2,90+Inputs!$B$26+Inputs!$B$29,IF(Skills!C15=3,120+Inputs!$B$27+Inputs!$B$29,MAX(0,(Inputs!$B$3-100)*3)+Inputs!$B$28+Inputs!$B$29)))</f>
        <v/>
      </c>
      <c r="E1751">
        <f>INDEX(FactorTable!$B$2:$Y$301, MATCH(ROUND(MIN(300,MAX(1,D1751)),0), FactorTable!$A$2:$A$301,0), Skills!M15+1)</f>
        <v/>
      </c>
      <c r="F1751">
        <f>IF(Skills!N15=TRUE,(Skills!L15/10)*(E1751/1000),Skills!L15/10)+Skills!O15</f>
        <v/>
      </c>
      <c r="G1751">
        <f>Skills!G15*IF(Skills!H15&gt;0,Skills!I15/Skills!H15,1)</f>
        <v/>
      </c>
      <c r="H1751">
        <f>1-(1-Skills!J15/100)^Skills!K15</f>
        <v/>
      </c>
      <c r="I1751" t="inlineStr">
        <is>
          <t>1</t>
        </is>
      </c>
      <c r="J1751" t="inlineStr"/>
      <c r="K1751" t="inlineStr"/>
      <c r="L1751" t="inlineStr"/>
      <c r="M1751" t="inlineStr"/>
      <c r="N1751" t="inlineStr"/>
      <c r="O1751">
        <f>(1-Summary!$B$11)*T1751+Summary!$B$11*V1751</f>
        <v/>
      </c>
      <c r="P1751">
        <f>IF(B1778=0,0,O1751/B1778)</f>
        <v/>
      </c>
      <c r="Q1751">
        <f>IFERROR(1/IF(Inputs!$B$38="pvp",15,MAX(0.1,Skills!D15-IF(Skills!E15=TRUE,Inputs!$B$32,0))),0)</f>
        <v/>
      </c>
      <c r="R1751">
        <f>IF(AND(Inputs!$B$38&lt;&gt;"pvp",Inputs!$B$43&gt;0),IF(Inputs!$B$43&lt;=0,0,(INT(Inputs!$B$43/IF(Inputs!$B$38="pvp",15,MAX(0.1,Skills!D15-IF(Skills!E15=TRUE,Inputs!$B$32,0))))+1)),0)</f>
        <v/>
      </c>
      <c r="S1751" t="n">
        <v>0</v>
      </c>
      <c r="T1751" t="n">
        <v>0</v>
      </c>
      <c r="V1751" t="n">
        <v>0</v>
      </c>
    </row>
    <row r="1752">
      <c r="A1752">
        <f>Skills!A16</f>
        <v/>
      </c>
      <c r="B1752">
        <f>Skills!B16</f>
        <v/>
      </c>
      <c r="C1752">
        <f>Inputs!$B$3&gt;=115</f>
        <v/>
      </c>
      <c r="D1752">
        <f>IF(Skills!C16=1,60+Inputs!$B$25+Inputs!$B$29,IF(Skills!C16=2,90+Inputs!$B$26+Inputs!$B$29,IF(Skills!C16=3,120+Inputs!$B$27+Inputs!$B$29,MAX(0,(Inputs!$B$3-100)*3)+Inputs!$B$28+Inputs!$B$29)))</f>
        <v/>
      </c>
      <c r="E1752">
        <f>INDEX(FactorTable!$B$2:$Y$301, MATCH(ROUND(MIN(300,MAX(1,D1752)),0), FactorTable!$A$2:$A$301,0), Skills!M16+1)</f>
        <v/>
      </c>
      <c r="F1752">
        <f>IF(Skills!N16=TRUE,(Skills!L16/10)*(E1752/1000),Skills!L16/10)+Skills!O16</f>
        <v/>
      </c>
      <c r="G1752">
        <f>Skills!G16*IF(Skills!H16&gt;0,Skills!I16/Skills!H16,1)</f>
        <v/>
      </c>
      <c r="H1752">
        <f>1-(1-Skills!J16/100)^Skills!K16</f>
        <v/>
      </c>
      <c r="I1752" t="inlineStr">
        <is>
          <t>1</t>
        </is>
      </c>
      <c r="J1752" t="inlineStr"/>
      <c r="K1752" t="inlineStr"/>
      <c r="L1752" t="inlineStr"/>
      <c r="M1752" t="inlineStr"/>
      <c r="N1752" t="inlineStr"/>
      <c r="O1752">
        <f>(1-Summary!$B$11)*T1752+Summary!$B$11*V1752</f>
        <v/>
      </c>
      <c r="P1752">
        <f>IF(B1778=0,0,O1752/B1778)</f>
        <v/>
      </c>
      <c r="Q1752">
        <f>IFERROR(1/IF(Inputs!$B$38="pvp",15,MAX(0.1,Skills!D16-IF(Skills!E16=TRUE,Inputs!$B$32,0))),0)</f>
        <v/>
      </c>
      <c r="R1752">
        <f>IF(AND(Inputs!$B$38&lt;&gt;"pvp",Inputs!$B$43&gt;0),IF(Inputs!$B$43&lt;=0,0,(INT(Inputs!$B$43/IF(Inputs!$B$38="pvp",15,MAX(0.1,Skills!D16-IF(Skills!E16=TRUE,Inputs!$B$32,0))))+1)),0)</f>
        <v/>
      </c>
      <c r="S1752" t="n">
        <v>0</v>
      </c>
      <c r="T1752" t="n">
        <v>0</v>
      </c>
      <c r="V1752" t="n">
        <v>0</v>
      </c>
    </row>
    <row r="1753">
      <c r="A1753">
        <f>Skills!A17</f>
        <v/>
      </c>
      <c r="B1753">
        <f>Skills!B17</f>
        <v/>
      </c>
      <c r="C1753">
        <f>Inputs!$B$3&gt;=72</f>
        <v/>
      </c>
      <c r="D1753">
        <f>IF(Skills!C17=1,60+Inputs!$B$25+Inputs!$B$29,IF(Skills!C17=2,90+Inputs!$B$26+Inputs!$B$29,IF(Skills!C17=3,120+Inputs!$B$27+Inputs!$B$29,MAX(0,(Inputs!$B$3-100)*3)+Inputs!$B$28+Inputs!$B$29)))</f>
        <v/>
      </c>
      <c r="E1753">
        <f>INDEX(FactorTable!$B$2:$Y$301, MATCH(ROUND(MIN(300,MAX(1,D1753)),0), FactorTable!$A$2:$A$301,0), Skills!M17+1)</f>
        <v/>
      </c>
      <c r="F1753">
        <f>IF(Skills!N17=TRUE,(Skills!L17/10)*(E1753/1000),Skills!L17/10)+Skills!O17</f>
        <v/>
      </c>
      <c r="G1753">
        <f>Skills!G17*IF(Skills!H17&gt;0,Skills!I17/Skills!H17,1)</f>
        <v/>
      </c>
      <c r="H1753">
        <f>1-(1-Skills!J17/100)^Skills!K17</f>
        <v/>
      </c>
      <c r="I1753" t="inlineStr">
        <is>
          <t>1</t>
        </is>
      </c>
      <c r="J1753" t="inlineStr"/>
      <c r="K1753" t="inlineStr"/>
      <c r="L1753" t="inlineStr"/>
      <c r="M1753" t="inlineStr"/>
      <c r="N1753" t="inlineStr"/>
      <c r="O1753">
        <f>(1-Summary!$B$11)*T1753+Summary!$B$11*V1753</f>
        <v/>
      </c>
      <c r="P1753">
        <f>IF(B1778=0,0,O1753/B1778)</f>
        <v/>
      </c>
      <c r="Q1753" t="n">
        <v>0</v>
      </c>
      <c r="R1753" t="n">
        <v>0</v>
      </c>
      <c r="S1753" t="n">
        <v>0</v>
      </c>
      <c r="T1753" t="n">
        <v>0</v>
      </c>
      <c r="V1753" t="n">
        <v>0</v>
      </c>
    </row>
    <row r="1754">
      <c r="A1754">
        <f>Skills!A18</f>
        <v/>
      </c>
      <c r="B1754">
        <f>Skills!B18</f>
        <v/>
      </c>
      <c r="C1754">
        <f>TRUE</f>
        <v/>
      </c>
      <c r="D1754">
        <f>IF(Skills!C18=1,60+Inputs!$B$25+Inputs!$B$29,IF(Skills!C18=2,90+Inputs!$B$26+Inputs!$B$29,IF(Skills!C18=3,120+Inputs!$B$27+Inputs!$B$29,MAX(0,(Inputs!$B$3-100)*3)+Inputs!$B$28+Inputs!$B$29)))</f>
        <v/>
      </c>
      <c r="E1754">
        <f>INDEX(FactorTable!$B$2:$Y$301, MATCH(ROUND(MIN(300,MAX(1,D1754)),0), FactorTable!$A$2:$A$301,0), Skills!M18+1)</f>
        <v/>
      </c>
      <c r="F1754">
        <f>IF(Skills!N18=TRUE,(Skills!L18/10)*(E1754/1000),Skills!L18/10)+Skills!O18</f>
        <v/>
      </c>
      <c r="G1754">
        <f>Skills!G18*IF(Skills!H18&gt;0,Skills!I18/Skills!H18,1)</f>
        <v/>
      </c>
      <c r="H1754">
        <f>1-(1-Skills!J18/100)^Skills!K18</f>
        <v/>
      </c>
      <c r="I1754" t="inlineStr">
        <is>
          <t>1</t>
        </is>
      </c>
      <c r="J1754" t="inlineStr"/>
      <c r="K1754" t="inlineStr"/>
      <c r="L1754" t="inlineStr"/>
      <c r="M1754" t="inlineStr"/>
      <c r="N1754" t="inlineStr"/>
      <c r="O1754">
        <f>(1-Summary!$B$11)*T1754+Summary!$B$11*V1754</f>
        <v/>
      </c>
      <c r="P1754">
        <f>IF(B1778=0,0,O1754/B1778)</f>
        <v/>
      </c>
      <c r="Q1754">
        <f>IFERROR(1/IF(Inputs!$B$38="pvp",15,MAX(0.1,Skills!D18-IF(Skills!E18=TRUE,Inputs!$B$32,0))),0)</f>
        <v/>
      </c>
      <c r="R1754">
        <f>IF(AND(Inputs!$B$38&lt;&gt;"pvp",Inputs!$B$43&gt;0),IF(Inputs!$B$43&lt;=0,0,(INT(Inputs!$B$43/IF(Inputs!$B$38="pvp",15,MAX(0.1,Skills!D18-IF(Skills!E18=TRUE,Inputs!$B$32,0))))+1)),0)</f>
        <v/>
      </c>
      <c r="S1754" t="n">
        <v>0</v>
      </c>
      <c r="T1754" t="n">
        <v>0</v>
      </c>
      <c r="V1754" t="n">
        <v>0</v>
      </c>
    </row>
    <row r="1755">
      <c r="A1755">
        <f>Skills!A19</f>
        <v/>
      </c>
      <c r="B1755">
        <f>Skills!B19</f>
        <v/>
      </c>
      <c r="C1755">
        <f>Inputs!$B$3&gt;=15</f>
        <v/>
      </c>
      <c r="D1755">
        <f>IF(Skills!C19=1,60+Inputs!$B$25+Inputs!$B$29,IF(Skills!C19=2,90+Inputs!$B$26+Inputs!$B$29,IF(Skills!C19=3,120+Inputs!$B$27+Inputs!$B$29,MAX(0,(Inputs!$B$3-100)*3)+Inputs!$B$28+Inputs!$B$29)))</f>
        <v/>
      </c>
      <c r="E1755">
        <f>INDEX(FactorTable!$B$2:$Y$301, MATCH(ROUND(MIN(300,MAX(1,D1755)),0), FactorTable!$A$2:$A$301,0), Skills!M19+1)</f>
        <v/>
      </c>
      <c r="F1755">
        <f>IF(Skills!N19=TRUE,(Skills!L19/10)*(E1755/1000),Skills!L19/10)+Skills!O19</f>
        <v/>
      </c>
      <c r="G1755">
        <f>Skills!G19*IF(Skills!H19&gt;0,Skills!I19/Skills!H19,1)</f>
        <v/>
      </c>
      <c r="H1755">
        <f>1-(1-Skills!J19/100)^Skills!K19</f>
        <v/>
      </c>
      <c r="I1755" t="inlineStr">
        <is>
          <t>1</t>
        </is>
      </c>
      <c r="J1755" t="inlineStr"/>
      <c r="K1755" t="inlineStr"/>
      <c r="L1755" t="inlineStr"/>
      <c r="M1755" t="inlineStr"/>
      <c r="N1755" t="inlineStr"/>
      <c r="O1755">
        <f>(1-Summary!$B$11)*T1755+Summary!$B$11*V1755</f>
        <v/>
      </c>
      <c r="P1755">
        <f>IF(B1778=0,0,O1755/B1778)</f>
        <v/>
      </c>
      <c r="Q1755" t="n">
        <v>0</v>
      </c>
      <c r="R1755" t="n">
        <v>0</v>
      </c>
      <c r="S1755" t="n">
        <v>0</v>
      </c>
      <c r="T1755" t="n">
        <v>0</v>
      </c>
      <c r="V1755" t="n">
        <v>0</v>
      </c>
    </row>
    <row r="1756">
      <c r="A1756">
        <f>Skills!A20</f>
        <v/>
      </c>
      <c r="B1756">
        <f>Skills!B20</f>
        <v/>
      </c>
      <c r="C1756">
        <f>Inputs!$B$3&gt;=10</f>
        <v/>
      </c>
      <c r="D1756">
        <f>IF(Skills!C20=1,60+Inputs!$B$25+Inputs!$B$29,IF(Skills!C20=2,90+Inputs!$B$26+Inputs!$B$29,IF(Skills!C20=3,120+Inputs!$B$27+Inputs!$B$29,MAX(0,(Inputs!$B$3-100)*3)+Inputs!$B$28+Inputs!$B$29)))</f>
        <v/>
      </c>
      <c r="E1756">
        <f>INDEX(FactorTable!$B$2:$Y$301, MATCH(ROUND(MIN(300,MAX(1,D1756)),0), FactorTable!$A$2:$A$301,0), Skills!M20+1)</f>
        <v/>
      </c>
      <c r="F1756">
        <f>IF(Skills!N20=TRUE,(Skills!L20/10)*(E1756/1000),Skills!L20/10)+Skills!O20</f>
        <v/>
      </c>
      <c r="G1756">
        <f>Skills!G20*IF(Skills!H20&gt;0,Skills!I20/Skills!H20,1)</f>
        <v/>
      </c>
      <c r="H1756">
        <f>1-(1-Skills!J20/100)^Skills!K20</f>
        <v/>
      </c>
      <c r="I1756" t="inlineStr">
        <is>
          <t>1</t>
        </is>
      </c>
      <c r="J1756" t="inlineStr"/>
      <c r="K1756" t="inlineStr"/>
      <c r="L1756" t="inlineStr"/>
      <c r="M1756" t="inlineStr"/>
      <c r="N1756" t="inlineStr"/>
      <c r="O1756">
        <f>(1-Summary!$B$11)*T1756+Summary!$B$11*V1756</f>
        <v/>
      </c>
      <c r="P1756">
        <f>IF(B1778=0,0,O1756/B1778)</f>
        <v/>
      </c>
      <c r="Q1756" t="n">
        <v>0</v>
      </c>
      <c r="R1756" t="n">
        <v>0</v>
      </c>
      <c r="S1756" t="n">
        <v>0</v>
      </c>
      <c r="T1756" t="n">
        <v>0</v>
      </c>
      <c r="V1756" t="n">
        <v>0</v>
      </c>
    </row>
    <row r="1757">
      <c r="A1757">
        <f>Skills!A21</f>
        <v/>
      </c>
      <c r="B1757">
        <f>Skills!B21</f>
        <v/>
      </c>
      <c r="C1757">
        <f>Inputs!$B$3&gt;=33</f>
        <v/>
      </c>
      <c r="D1757">
        <f>IF(Skills!C21=1,60+Inputs!$B$25+Inputs!$B$29,IF(Skills!C21=2,90+Inputs!$B$26+Inputs!$B$29,IF(Skills!C21=3,120+Inputs!$B$27+Inputs!$B$29,MAX(0,(Inputs!$B$3-100)*3)+Inputs!$B$28+Inputs!$B$29)))</f>
        <v/>
      </c>
      <c r="E1757">
        <f>INDEX(FactorTable!$B$2:$Y$301, MATCH(ROUND(MIN(300,MAX(1,D1757)),0), FactorTable!$A$2:$A$301,0), Skills!M21+1)</f>
        <v/>
      </c>
      <c r="F1757">
        <f>IF(Skills!N21=TRUE,(Skills!L21/10)*(E1757/1000),Skills!L21/10)+Skills!O21</f>
        <v/>
      </c>
      <c r="G1757">
        <f>Skills!G21*IF(Skills!H21&gt;0,Skills!I21/Skills!H21,1)</f>
        <v/>
      </c>
      <c r="H1757">
        <f>1-(1-Skills!J21/100)^Skills!K21</f>
        <v/>
      </c>
      <c r="I1757" t="inlineStr">
        <is>
          <t>1</t>
        </is>
      </c>
      <c r="J1757" t="inlineStr"/>
      <c r="K1757" t="inlineStr"/>
      <c r="L1757" t="inlineStr"/>
      <c r="M1757" t="inlineStr"/>
      <c r="N1757" t="inlineStr"/>
      <c r="O1757">
        <f>(1-Summary!$B$11)*T1757+Summary!$B$11*V1757</f>
        <v/>
      </c>
      <c r="P1757">
        <f>IF(B1778=0,0,O1757/B1778)</f>
        <v/>
      </c>
      <c r="Q1757" t="n">
        <v>0</v>
      </c>
      <c r="R1757" t="n">
        <v>0</v>
      </c>
      <c r="S1757" t="n">
        <v>0</v>
      </c>
      <c r="T1757" t="n">
        <v>0</v>
      </c>
      <c r="V1757" t="n">
        <v>0</v>
      </c>
    </row>
    <row r="1758">
      <c r="A1758">
        <f>Skills!A22</f>
        <v/>
      </c>
      <c r="B1758">
        <f>Skills!B22</f>
        <v/>
      </c>
      <c r="C1758">
        <f>Inputs!$B$3&gt;=38</f>
        <v/>
      </c>
      <c r="D1758">
        <f>IF(Skills!C22=1,60+Inputs!$B$25+Inputs!$B$29,IF(Skills!C22=2,90+Inputs!$B$26+Inputs!$B$29,IF(Skills!C22=3,120+Inputs!$B$27+Inputs!$B$29,MAX(0,(Inputs!$B$3-100)*3)+Inputs!$B$28+Inputs!$B$29)))</f>
        <v/>
      </c>
      <c r="E1758">
        <f>INDEX(FactorTable!$B$2:$Y$301, MATCH(ROUND(MIN(300,MAX(1,D1758)),0), FactorTable!$A$2:$A$301,0), Skills!M22+1)</f>
        <v/>
      </c>
      <c r="F1758">
        <f>IF(Skills!N22=TRUE,(Skills!L22/10)*(E1758/1000),Skills!L22/10)+Skills!O22</f>
        <v/>
      </c>
      <c r="G1758">
        <f>Skills!G22*IF(Skills!H22&gt;0,Skills!I22/Skills!H22,1)</f>
        <v/>
      </c>
      <c r="H1758">
        <f>1-(1-Skills!J22/100)^Skills!K22</f>
        <v/>
      </c>
      <c r="I1758" t="inlineStr">
        <is>
          <t>1</t>
        </is>
      </c>
      <c r="J1758" t="inlineStr"/>
      <c r="K1758" t="inlineStr"/>
      <c r="L1758" t="inlineStr"/>
      <c r="M1758" t="inlineStr"/>
      <c r="N1758" t="inlineStr"/>
      <c r="O1758">
        <f>(1-Summary!$B$11)*T1758+Summary!$B$11*V1758</f>
        <v/>
      </c>
      <c r="P1758">
        <f>IF(B1778=0,0,O1758/B1778)</f>
        <v/>
      </c>
      <c r="Q1758" t="n">
        <v>0</v>
      </c>
      <c r="R1758" t="n">
        <v>0</v>
      </c>
      <c r="S1758" t="n">
        <v>0</v>
      </c>
      <c r="T1758" t="n">
        <v>0</v>
      </c>
      <c r="V1758" t="n">
        <v>0</v>
      </c>
    </row>
    <row r="1759">
      <c r="A1759">
        <f>Skills!A23</f>
        <v/>
      </c>
      <c r="B1759">
        <f>Skills!B23</f>
        <v/>
      </c>
      <c r="C1759">
        <f>Inputs!$B$3&gt;=43</f>
        <v/>
      </c>
      <c r="D1759">
        <f>IF(Skills!C23=1,60+Inputs!$B$25+Inputs!$B$29,IF(Skills!C23=2,90+Inputs!$B$26+Inputs!$B$29,IF(Skills!C23=3,120+Inputs!$B$27+Inputs!$B$29,MAX(0,(Inputs!$B$3-100)*3)+Inputs!$B$28+Inputs!$B$29)))</f>
        <v/>
      </c>
      <c r="E1759">
        <f>INDEX(FactorTable!$B$2:$Y$301, MATCH(ROUND(MIN(300,MAX(1,D1759)),0), FactorTable!$A$2:$A$301,0), Skills!M23+1)</f>
        <v/>
      </c>
      <c r="F1759">
        <f>IF(Skills!N23=TRUE,(Skills!L23/10)*(E1759/1000),Skills!L23/10)+Skills!O23</f>
        <v/>
      </c>
      <c r="G1759">
        <f>Skills!G23*IF(Skills!H23&gt;0,Skills!I23/Skills!H23,1)</f>
        <v/>
      </c>
      <c r="H1759">
        <f>1-(1-Skills!J23/100)^Skills!K23</f>
        <v/>
      </c>
      <c r="I1759" t="inlineStr">
        <is>
          <t>1</t>
        </is>
      </c>
      <c r="J1759" t="inlineStr"/>
      <c r="K1759" t="inlineStr"/>
      <c r="L1759" t="inlineStr"/>
      <c r="M1759" t="inlineStr"/>
      <c r="N1759" t="inlineStr"/>
      <c r="O1759">
        <f>(1-Summary!$B$11)*T1759+Summary!$B$11*V1759</f>
        <v/>
      </c>
      <c r="P1759">
        <f>IF(B1778=0,0,O1759/B1778)</f>
        <v/>
      </c>
      <c r="Q1759" t="n">
        <v>0</v>
      </c>
      <c r="R1759" t="n">
        <v>0</v>
      </c>
      <c r="S1759" t="n">
        <v>0</v>
      </c>
      <c r="T1759" t="n">
        <v>0</v>
      </c>
      <c r="V1759" t="n">
        <v>0</v>
      </c>
    </row>
    <row r="1760">
      <c r="A1760">
        <f>Skills!A24</f>
        <v/>
      </c>
      <c r="B1760">
        <f>Skills!B24</f>
        <v/>
      </c>
      <c r="C1760">
        <f>Inputs!$B$3&gt;=75</f>
        <v/>
      </c>
      <c r="D1760">
        <f>IF(Skills!C24=1,60+Inputs!$B$25+Inputs!$B$29,IF(Skills!C24=2,90+Inputs!$B$26+Inputs!$B$29,IF(Skills!C24=3,120+Inputs!$B$27+Inputs!$B$29,MAX(0,(Inputs!$B$3-100)*3)+Inputs!$B$28+Inputs!$B$29)))</f>
        <v/>
      </c>
      <c r="E1760">
        <f>INDEX(FactorTable!$B$2:$Y$301, MATCH(ROUND(MIN(300,MAX(1,D1760)),0), FactorTable!$A$2:$A$301,0), Skills!M24+1)</f>
        <v/>
      </c>
      <c r="F1760">
        <f>IF(Skills!N24=TRUE,(Skills!L24/10)*(E1760/1000),Skills!L24/10)+Skills!O24</f>
        <v/>
      </c>
      <c r="G1760">
        <f>Skills!G24*IF(Skills!H24&gt;0,Skills!I24/Skills!H24,1)</f>
        <v/>
      </c>
      <c r="H1760">
        <f>1-(1-Skills!J24/100)^Skills!K24</f>
        <v/>
      </c>
      <c r="I1760" t="inlineStr">
        <is>
          <t>1</t>
        </is>
      </c>
      <c r="J1760" t="inlineStr"/>
      <c r="K1760" t="inlineStr"/>
      <c r="L1760" t="inlineStr"/>
      <c r="M1760" t="inlineStr"/>
      <c r="N1760" t="inlineStr"/>
      <c r="O1760">
        <f>(1-Summary!$B$11)*T1760+Summary!$B$11*V1760</f>
        <v/>
      </c>
      <c r="P1760">
        <f>IF(B1778=0,0,O1760/B1778)</f>
        <v/>
      </c>
      <c r="Q1760" t="n">
        <v>0</v>
      </c>
      <c r="R1760" t="n">
        <v>0</v>
      </c>
      <c r="S1760" t="n">
        <v>0</v>
      </c>
      <c r="T1760" t="n">
        <v>0</v>
      </c>
      <c r="V1760" t="n">
        <v>0</v>
      </c>
    </row>
    <row r="1761">
      <c r="A1761">
        <f>Skills!A25</f>
        <v/>
      </c>
      <c r="B1761">
        <f>Skills!B25</f>
        <v/>
      </c>
      <c r="C1761">
        <f>Inputs!$B$3&gt;=125</f>
        <v/>
      </c>
      <c r="D1761">
        <f>IF(Skills!C25=1,60+Inputs!$B$25+Inputs!$B$29,IF(Skills!C25=2,90+Inputs!$B$26+Inputs!$B$29,IF(Skills!C25=3,120+Inputs!$B$27+Inputs!$B$29,MAX(0,(Inputs!$B$3-100)*3)+Inputs!$B$28+Inputs!$B$29)))</f>
        <v/>
      </c>
      <c r="E1761">
        <f>INDEX(FactorTable!$B$2:$Y$301, MATCH(ROUND(MIN(300,MAX(1,D1761)),0), FactorTable!$A$2:$A$301,0), Skills!M25+1)</f>
        <v/>
      </c>
      <c r="F1761">
        <f>IF(Skills!N25=TRUE,(Skills!L25/10)*(E1761/1000),Skills!L25/10)+Skills!O25</f>
        <v/>
      </c>
      <c r="G1761">
        <f>Skills!G25*IF(Skills!H25&gt;0,Skills!I25/Skills!H25,1)</f>
        <v/>
      </c>
      <c r="H1761">
        <f>1-(1-Skills!J25/100)^Skills!K25</f>
        <v/>
      </c>
      <c r="I1761" t="inlineStr">
        <is>
          <t>1</t>
        </is>
      </c>
      <c r="J1761" t="inlineStr"/>
      <c r="K1761" t="inlineStr"/>
      <c r="L1761" t="inlineStr"/>
      <c r="M1761" t="inlineStr"/>
      <c r="N1761" t="inlineStr"/>
      <c r="O1761">
        <f>(1-Summary!$B$11)*T1761+Summary!$B$11*V1761</f>
        <v/>
      </c>
      <c r="P1761">
        <f>IF(B1778=0,0,O1761/B1778)</f>
        <v/>
      </c>
      <c r="Q1761" t="n">
        <v>0</v>
      </c>
      <c r="R1761" t="n">
        <v>0</v>
      </c>
      <c r="S1761" t="n">
        <v>0</v>
      </c>
      <c r="T1761" t="n">
        <v>0</v>
      </c>
      <c r="V1761" t="n">
        <v>0</v>
      </c>
    </row>
    <row r="1762">
      <c r="A1762">
        <f>Skills!A26</f>
        <v/>
      </c>
      <c r="B1762">
        <f>Skills!B26</f>
        <v/>
      </c>
      <c r="C1762">
        <f>Inputs!$B$3&gt;=125</f>
        <v/>
      </c>
      <c r="D1762">
        <f>IF(Skills!C26=1,60+Inputs!$B$25+Inputs!$B$29,IF(Skills!C26=2,90+Inputs!$B$26+Inputs!$B$29,IF(Skills!C26=3,120+Inputs!$B$27+Inputs!$B$29,MAX(0,(Inputs!$B$3-100)*3)+Inputs!$B$28+Inputs!$B$29)))</f>
        <v/>
      </c>
      <c r="E1762">
        <f>INDEX(FactorTable!$B$2:$Y$301, MATCH(ROUND(MIN(300,MAX(1,D1762)),0), FactorTable!$A$2:$A$301,0), Skills!M26+1)</f>
        <v/>
      </c>
      <c r="F1762">
        <f>IF(Skills!N26=TRUE,(Skills!L26/10)*(E1762/1000),Skills!L26/10)+Skills!O26</f>
        <v/>
      </c>
      <c r="G1762">
        <f>Skills!G26*IF(Skills!H26&gt;0,Skills!I26/Skills!H26,1)</f>
        <v/>
      </c>
      <c r="H1762">
        <f>1-(1-Skills!J26/100)^Skills!K26</f>
        <v/>
      </c>
      <c r="I1762" t="inlineStr">
        <is>
          <t>1</t>
        </is>
      </c>
      <c r="J1762" t="inlineStr"/>
      <c r="K1762" t="inlineStr"/>
      <c r="L1762" t="inlineStr"/>
      <c r="M1762" t="inlineStr"/>
      <c r="N1762" t="inlineStr"/>
      <c r="O1762">
        <f>(1-Summary!$B$11)*T1762+Summary!$B$11*V1762</f>
        <v/>
      </c>
      <c r="P1762">
        <f>IF(B1778=0,0,O1762/B1778)</f>
        <v/>
      </c>
      <c r="Q1762" t="n">
        <v>0</v>
      </c>
      <c r="R1762" t="n">
        <v>0</v>
      </c>
      <c r="S1762" t="n">
        <v>0</v>
      </c>
      <c r="T1762" t="n">
        <v>0</v>
      </c>
      <c r="V1762" t="n">
        <v>0</v>
      </c>
    </row>
    <row r="1763">
      <c r="A1763">
        <f>Skills!A27</f>
        <v/>
      </c>
      <c r="B1763">
        <f>Skills!B27</f>
        <v/>
      </c>
      <c r="C1763">
        <f>Inputs!$B$3&gt;=120</f>
        <v/>
      </c>
      <c r="D1763">
        <f>IF(Skills!C27=1,60+Inputs!$B$25+Inputs!$B$29,IF(Skills!C27=2,90+Inputs!$B$26+Inputs!$B$29,IF(Skills!C27=3,120+Inputs!$B$27+Inputs!$B$29,MAX(0,(Inputs!$B$3-100)*3)+Inputs!$B$28+Inputs!$B$29)))</f>
        <v/>
      </c>
      <c r="E1763">
        <f>INDEX(FactorTable!$B$2:$Y$301, MATCH(ROUND(MIN(300,MAX(1,D1763)),0), FactorTable!$A$2:$A$301,0), Skills!M27+1)</f>
        <v/>
      </c>
      <c r="F1763">
        <f>IF(Skills!N27=TRUE,(Skills!L27/10)*(E1763/1000),Skills!L27/10)+Skills!O27</f>
        <v/>
      </c>
      <c r="G1763">
        <f>Skills!G27*IF(Skills!H27&gt;0,Skills!I27/Skills!H27,1)</f>
        <v/>
      </c>
      <c r="H1763">
        <f>1-(1-Skills!J27/100)^Skills!K27</f>
        <v/>
      </c>
      <c r="I1763" t="inlineStr">
        <is>
          <t>1</t>
        </is>
      </c>
      <c r="J1763" t="inlineStr"/>
      <c r="K1763" t="inlineStr"/>
      <c r="L1763" t="inlineStr"/>
      <c r="M1763" t="inlineStr"/>
      <c r="N1763" t="inlineStr"/>
      <c r="O1763">
        <f>(1-Summary!$B$11)*T1763+Summary!$B$11*V1763</f>
        <v/>
      </c>
      <c r="P1763">
        <f>IF(B1778=0,0,O1763/B1778)</f>
        <v/>
      </c>
      <c r="Q1763" t="n">
        <v>0</v>
      </c>
      <c r="R1763" t="n">
        <v>0</v>
      </c>
      <c r="S1763" t="n">
        <v>0</v>
      </c>
      <c r="T1763" t="n">
        <v>0</v>
      </c>
      <c r="V1763" t="n">
        <v>0</v>
      </c>
    </row>
    <row r="1764">
      <c r="A1764">
        <f>Skills!A28</f>
        <v/>
      </c>
      <c r="B1764">
        <f>Skills!B28</f>
        <v/>
      </c>
      <c r="C1764">
        <f>Inputs!$B$3&gt;=120</f>
        <v/>
      </c>
      <c r="D1764">
        <f>IF(Skills!C28=1,60+Inputs!$B$25+Inputs!$B$29,IF(Skills!C28=2,90+Inputs!$B$26+Inputs!$B$29,IF(Skills!C28=3,120+Inputs!$B$27+Inputs!$B$29,MAX(0,(Inputs!$B$3-100)*3)+Inputs!$B$28+Inputs!$B$29)))</f>
        <v/>
      </c>
      <c r="E1764">
        <f>INDEX(FactorTable!$B$2:$Y$301, MATCH(ROUND(MIN(300,MAX(1,D1764)),0), FactorTable!$A$2:$A$301,0), Skills!M28+1)</f>
        <v/>
      </c>
      <c r="F1764">
        <f>IF(Skills!N28=TRUE,(Skills!L28/10)*(E1764/1000),Skills!L28/10)+Skills!O28</f>
        <v/>
      </c>
      <c r="G1764">
        <f>Skills!G28*IF(Skills!H28&gt;0,Skills!I28/Skills!H28,1)</f>
        <v/>
      </c>
      <c r="H1764">
        <f>1-(1-Skills!J28/100)^Skills!K28</f>
        <v/>
      </c>
      <c r="I1764" t="inlineStr">
        <is>
          <t>1</t>
        </is>
      </c>
      <c r="J1764" t="inlineStr"/>
      <c r="K1764" t="inlineStr"/>
      <c r="L1764" t="inlineStr"/>
      <c r="M1764" t="inlineStr"/>
      <c r="N1764" t="inlineStr"/>
      <c r="O1764">
        <f>(1-Summary!$B$11)*T1764+Summary!$B$11*V1764</f>
        <v/>
      </c>
      <c r="P1764">
        <f>IF(B1778=0,0,O1764/B1778)</f>
        <v/>
      </c>
      <c r="Q1764" t="n">
        <v>0</v>
      </c>
      <c r="R1764" t="n">
        <v>0</v>
      </c>
      <c r="S1764" t="n">
        <v>0</v>
      </c>
      <c r="T1764" t="n">
        <v>0</v>
      </c>
      <c r="V1764" t="n">
        <v>0</v>
      </c>
    </row>
    <row r="1765">
      <c r="A1765">
        <f>Skills!A29</f>
        <v/>
      </c>
      <c r="B1765">
        <f>Skills!B29</f>
        <v/>
      </c>
      <c r="C1765">
        <f>Inputs!$B$3&gt;=45</f>
        <v/>
      </c>
      <c r="D1765">
        <f>IF(Skills!C29=1,60+Inputs!$B$25+Inputs!$B$29,IF(Skills!C29=2,90+Inputs!$B$26+Inputs!$B$29,IF(Skills!C29=3,120+Inputs!$B$27+Inputs!$B$29,MAX(0,(Inputs!$B$3-100)*3)+Inputs!$B$28+Inputs!$B$29)))</f>
        <v/>
      </c>
      <c r="E1765">
        <f>INDEX(FactorTable!$B$2:$Y$301, MATCH(ROUND(MIN(300,MAX(1,D1765)),0), FactorTable!$A$2:$A$301,0), Skills!M29+1)</f>
        <v/>
      </c>
      <c r="F1765">
        <f>IF(Skills!N29=TRUE,(Skills!L29/10)*(E1765/1000),Skills!L29/10)+Skills!O29</f>
        <v/>
      </c>
      <c r="G1765">
        <f>Skills!G29*IF(Skills!H29&gt;0,Skills!I29/Skills!H29,1)</f>
        <v/>
      </c>
      <c r="H1765">
        <f>1-(1-Skills!J29/100)^Skills!K29</f>
        <v/>
      </c>
      <c r="I1765" t="inlineStr">
        <is>
          <t>1</t>
        </is>
      </c>
      <c r="J1765" t="inlineStr"/>
      <c r="K1765" t="inlineStr"/>
      <c r="L1765" t="inlineStr"/>
      <c r="M1765" t="inlineStr"/>
      <c r="N1765" t="inlineStr"/>
      <c r="O1765">
        <f>(1-Summary!$B$11)*T1765+Summary!$B$11*V1765</f>
        <v/>
      </c>
      <c r="P1765">
        <f>IF(B1778=0,0,O1765/B1778)</f>
        <v/>
      </c>
      <c r="Q1765" t="n">
        <v>0</v>
      </c>
      <c r="R1765" t="n">
        <v>0</v>
      </c>
      <c r="S1765" t="n">
        <v>0</v>
      </c>
      <c r="T1765" t="n">
        <v>0</v>
      </c>
      <c r="V1765" t="n">
        <v>0</v>
      </c>
    </row>
    <row r="1767">
      <c r="A1767" t="inlineStr">
        <is>
          <t>Attack% Bucket Multiplier</t>
        </is>
      </c>
      <c r="B1767">
        <f>(1+(((C1749=TRUE)*F1749)+((C1750=TRUE)*IF(Inputs!$B$38="pvp",F1750,(1-Summary!$B$11)*(F1750)+Summary!$B$11*(0)))+((C1751=TRUE)*F1751*IF(AND(Inputs!$B$38&lt;&gt;"pvp",Inputs!$B$43&gt;0),(((R1751-1)*(Skills!T15*(1+Inputs!$B$34/100))+MIN((Skills!T15*(1+Inputs!$B$34/100)),MAX(0,Inputs!$B$43-((R1751-1)*Skills!D15))))/Inputs!$B$43),IF(Inputs!$B$38="pvp",MIN((Skills!T15*(1+Inputs!$B$34/100)),15)/15,(Skills!T15*(1+Inputs!$B$34/100))/Skills!D15)))+((C1748=TRUE)*F1748)+((C1765=TRUE)*(F1765-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1768">
      <c r="A1768" t="inlineStr">
        <is>
          <t>Global Crit Rate Bonus %</t>
        </is>
      </c>
      <c r="B1768">
        <f>(C1752=TRUE)*20*IF(AND(Inputs!$B$38&lt;&gt;"pvp",Inputs!$B$43&gt;0),(((R1752-1)*(Skills!T16*(1+Inputs!$B$34/100))+MIN((Skills!T16*(1+Inputs!$B$34/100)),MAX(0,Inputs!$B$43-((R1752-1)*Skills!D16))))/Inputs!$B$43),IF(Inputs!$B$38="pvp",MIN((Skills!T16*(1+Inputs!$B$34/100)),15)/15,(Skills!T16*(1+Inputs!$B$34/100))/Skills!D16))</f>
        <v/>
      </c>
    </row>
    <row r="1769">
      <c r="A1769" t="inlineStr">
        <is>
          <t>Attack Speed Buff Bonus %</t>
        </is>
      </c>
      <c r="B1769">
        <f>((C1754=TRUE)*F1754*IF(AND(Inputs!$B$38&lt;&gt;"pvp",Inputs!$B$43&gt;0),(((R1754-1)*(Skills!T18*(1+Inputs!$B$34/100))+MIN((Skills!T18*(1+Inputs!$B$34/100)),MAX(0,Inputs!$B$43-((R1754-1)*Skills!D18))))/Inputs!$B$43),IF(Inputs!$B$38="pvp",MIN((Skills!T18*(1+Inputs!$B$34/100)),15)/15,(Skills!T18*(1+Inputs!$B$34/100))/Skills!D18)))</f>
        <v/>
      </c>
    </row>
    <row r="1770">
      <c r="A1770" t="inlineStr">
        <is>
          <t>Actions Per Second</t>
        </is>
      </c>
      <c r="B1770">
        <f>1+MIN(150,150*(1-(1-(Inputs!$B$11+((C1756=TRUE)*(F1756-Calc!F20))+((C1757=TRUE)*(F1757-Calc!F21)))/150)*(1-B1769/150)))/100</f>
        <v/>
      </c>
    </row>
    <row r="1771">
      <c r="A1771" t="inlineStr">
        <is>
          <t>Skill + Buff Cast Rate</t>
        </is>
      </c>
      <c r="B1771">
        <f>IF(AND(Inputs!$B$38&lt;&gt;"pvp",Inputs!$B$43&gt;0),SUMPRODUCT((Skills!E2:E29=TRUE)*(C1738:C1765=TRUE)*R1738:R1765*Skills!F2:F29)/Inputs!$B$43,SUMPRODUCT((Skills!E2:E29=TRUE)*(C1738:C1765=TRUE)*Q1738:Q1765*Skills!F2:F29))</f>
        <v/>
      </c>
    </row>
    <row r="1772">
      <c r="A1772" t="inlineStr">
        <is>
          <t>Empowered Piercing Arrow Casts Per Second</t>
        </is>
      </c>
      <c r="B1772">
        <f>MAX(0,B1770-B1771)</f>
        <v/>
      </c>
    </row>
    <row r="1773">
      <c r="A1773" t="inlineStr">
        <is>
          <t>Global Critical Damage Bonus % (Sharp Eyes)</t>
        </is>
      </c>
      <c r="B1773">
        <f>(C1752=TRUE)*F1752*IF(AND(Inputs!$B$38&lt;&gt;"pvp",Inputs!$B$43&gt;0),(((R1752-1)*(Skills!T16*(1+Inputs!$B$34/100))+MIN((Skills!T16*(1+Inputs!$B$34/100)),MAX(0,Inputs!$B$43-((R1752-1)*Skills!D16))))/Inputs!$B$43),IF(Inputs!$B$38="pvp",MIN((Skills!T16*(1+Inputs!$B$34/100)),15)/15,(Skills!T16*(1+Inputs!$B$34/100))/Skills!D16))</f>
        <v/>
      </c>
    </row>
    <row r="1774">
      <c r="A1774" t="inlineStr">
        <is>
          <t>Global Final Damage Bonus % (Mortal Blow + Last Man Standing conditional half)</t>
        </is>
      </c>
      <c r="B1774">
        <f>(C1753=TRUE)*F1753+((C1762=TRUE)*IF(Inputs!$B$38="pvp",F1762,(1-Summary!$B$11)*(F1762)+Summary!$B$11*(0)))</f>
        <v/>
      </c>
    </row>
    <row r="1775">
      <c r="A1775" t="inlineStr">
        <is>
          <t>Buff-Casting Startup Delay (s, fixed-duration only)</t>
        </is>
      </c>
      <c r="B1775">
        <f>IF(AND(Inputs!$B$38&lt;&gt;"pvp",Inputs!$B$43&gt;0),SUMPRODUCT((Skills!T2:T29&gt;0)*(Skills!E2:E29=TRUE)*(C1738:C1765=TRUE))/B1770,0)</f>
        <v/>
      </c>
    </row>
    <row r="1776">
      <c r="A1776" t="inlineStr">
        <is>
          <t>Boss-Only Total DPS (this block's swept value)</t>
        </is>
      </c>
      <c r="B1776">
        <f>SUM(T1738:T1765)</f>
        <v/>
      </c>
    </row>
    <row r="1777">
      <c r="A1777" t="inlineStr">
        <is>
          <t>Normal-Only Total DPS (this block's swept value)</t>
        </is>
      </c>
      <c r="B1777">
        <f>SUM(V1738:V1765)</f>
        <v/>
      </c>
    </row>
    <row r="1778">
      <c r="A1778" s="6" t="inlineStr">
        <is>
          <t>TOTAL DPS</t>
        </is>
      </c>
      <c r="B1778" s="6">
        <f>SUM(O1738:O1765)</f>
        <v/>
      </c>
    </row>
    <row r="1781">
      <c r="A1781" s="6" t="inlineStr">
        <is>
          <t>Stat: Pink Bean's Giant Rib (Equip)</t>
        </is>
      </c>
    </row>
    <row r="1782">
      <c r="A1782" s="5" t="inlineStr">
        <is>
          <t>Key</t>
        </is>
      </c>
      <c r="B1782" s="5" t="inlineStr">
        <is>
          <t>Name</t>
        </is>
      </c>
      <c r="C1782" s="5" t="inlineStr">
        <is>
          <t>Unlocked</t>
        </is>
      </c>
      <c r="D1782" s="5" t="inlineStr">
        <is>
          <t>InputLevel</t>
        </is>
      </c>
      <c r="E1782" s="5" t="inlineStr">
        <is>
          <t>Factor</t>
        </is>
      </c>
      <c r="F1782" s="5" t="inlineStr">
        <is>
          <t>CoefficientPercent</t>
        </is>
      </c>
      <c r="G1782" s="5" t="inlineStr">
        <is>
          <t>EffectiveHits</t>
        </is>
      </c>
      <c r="H1782" s="5" t="inlineStr">
        <is>
          <t>ProcProbability</t>
        </is>
      </c>
      <c r="I1782" s="5" t="inlineStr">
        <is>
          <t>MapleHeroMultiplier</t>
        </is>
      </c>
      <c r="J1782" s="5" t="inlineStr">
        <is>
          <t>BaseDamage</t>
        </is>
      </c>
      <c r="K1782" s="5" t="inlineStr">
        <is>
          <t>BaseHitDamage</t>
        </is>
      </c>
      <c r="L1782" s="5" t="inlineStr">
        <is>
          <t>NonCritAvg</t>
        </is>
      </c>
      <c r="M1782" s="5" t="inlineStr">
        <is>
          <t>CritAvg</t>
        </is>
      </c>
      <c r="N1782" s="5" t="inlineStr">
        <is>
          <t>ExpectedDamage(perHit)</t>
        </is>
      </c>
      <c r="O1782" s="5" t="inlineStr">
        <is>
          <t>DPS</t>
        </is>
      </c>
      <c r="P1782" s="5" t="inlineStr">
        <is>
          <t>% of Total</t>
        </is>
      </c>
      <c r="Q1782" s="5" t="inlineStr">
        <is>
          <t>InvCooldown</t>
        </is>
      </c>
      <c r="R1782" s="5" t="inlineStr">
        <is>
          <t>CastsInFight</t>
        </is>
      </c>
      <c r="S1782" s="5" t="inlineStr">
        <is>
          <t>HitRate(perSec)</t>
        </is>
      </c>
      <c r="U1782" t="inlineStr">
        <is>
          <t>helpers</t>
        </is>
      </c>
    </row>
    <row r="1783">
      <c r="A1783">
        <f>Skills!A2</f>
        <v/>
      </c>
      <c r="B1783">
        <f>Skills!B2</f>
        <v/>
      </c>
      <c r="C1783">
        <f>Inputs!$B$3&gt;=100</f>
        <v/>
      </c>
      <c r="D1783" t="inlineStr"/>
      <c r="E1783" t="inlineStr"/>
      <c r="F1783">
        <f>U1785+Skills!O2</f>
        <v/>
      </c>
      <c r="G1783">
        <f>Skills!G2*IF(Skills!H2&gt;0,Skills!I2/Skills!H2,1)</f>
        <v/>
      </c>
      <c r="H1783">
        <f>1-(1-Skills!J2/100)^Skills!K2</f>
        <v/>
      </c>
      <c r="I1783" t="inlineStr">
        <is>
          <t>1</t>
        </is>
      </c>
      <c r="J1783">
        <f>((Inputs!$B$6*(1+Inputs!$B$7/100))+(((Inputs!$B$12*(1+Inputs!$B$13/100))-(Inputs!$B$12*(1+Inputs!$B$13/100)))+0.25*(Inputs!$B$14-Inputs!$B$14))*(1+Inputs!$B$7/100))*(F1783/100)</f>
        <v/>
      </c>
      <c r="K1783">
        <f>J1783*(1+((Inputs!$B$12*(1+Inputs!$B$13/100))*0.01+Inputs!$B$14*0.0025)/100)*(1+Inputs!$B$15/100)*(1+Inputs!$B$16/100)*(5000/(6000+Inputs!$B$42*(1-(100*(1-(1-(Inputs!$B$19+0)/100)*(1-CHOOSE(ArtifactsInput!$N$40+1,5,6,7,8,9,10)/100)^(ArtifactsInput!$M$40-ArtifactsInput!$M$40)))/100)))*(1+(Inputs!$B$24+((C1805=TRUE)*(F1805-Calc!F24))+((C1806=TRUE)*(F1806-Calc!F25))+B1819)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EMPOWERED_PIERCING_ARROW",Inputs!$B$17+((C1803=TRUE)*(F1803-Calc!F22))+(((IF(AND(ArtifactsInput!$M$42,((Inputs!$B$9+((C1800=TRUE)*(F1800-Calc!F19))+B1813+(ArtifactsInput!$M$24-ArtifactsInput!$M$24)*CHOOSE(ArtifactsInput!$N$24+1,10,12,14,16,18,20)+IF(ArtifactsInput!$M$10,CHOOSE(ArtifactsInput!$N$10+1,15,18,21,24,27,30)*(IF(Inputs!$B$38="pvp",MIN(15,15)/15,IF(AND(Inputs!$B$38&lt;&gt;"pvp",Inputs!$B$43&gt;0),MIN(15,Inputs!$B$43)/(Inputs!$B$43),0))),0)))&gt;=100),MIN(100,((Inputs!$B$9+((C1800=TRUE)*(F1800-Calc!F19))+B1813+(ArtifactsInput!$M$24-ArtifactsInput!$M$24)*CHOOSE(ArtifactsInput!$N$24+1,10,12,14,16,18,20)+IF(ArtifactsInput!$M$10,CHOOSE(ArtifactsInput!$N$10+1,15,18,21,24,27,30)*(IF(Inputs!$B$38="pvp",MIN(15,15)/15,IF(AND(Inputs!$B$38&lt;&gt;"pvp",Inputs!$B$43&gt;0),MIN(15,Inputs!$B$43)/(Inputs!$B$43),0))),0)))-100),0))*CHOOSE(ArtifactsInput!$N$42+1,0.6,0.72,0.84,0.96,1.08,1.2))),Inputs!$B$18+((C1808=TRUE)*(F1808-Calc!F27))+(IF(AND(ArtifactsInput!$M$42,((Inputs!$B$9+((C1800=TRUE)*(F1800-Calc!F19))+B1813+(ArtifactsInput!$M$24-ArtifactsInput!$M$24)*CHOOSE(ArtifactsInput!$N$24+1,10,12,14,16,18,20)+IF(ArtifactsInput!$M$10,CHOOSE(ArtifactsInput!$N$10+1,15,18,21,24,27,30)*(IF(Inputs!$B$38="pvp",MIN(15,15)/15,IF(AND(Inputs!$B$38&lt;&gt;"pvp",Inputs!$B$43&gt;0),MIN(15,Inputs!$B$43)/(Inputs!$B$43),0))),0)))&gt;=100),CHOOSE(ArtifactsInput!$N$42+1,40,48,56,64,72,80),0))))/100)*((1+(((C1794=TRUE)*F1794)+((C1795=TRUE)*IF(Inputs!$B$38="pvp",F1795,(1-Summary!$B$11)*(F1795)+Summary!$B$11*(0)))+((C1796=TRUE)*F1796*IF(AND(Inputs!$B$38&lt;&gt;"pvp",Inputs!$B$43&gt;0),(((R1796-1)*(Skills!T15*(1+Inputs!$B$34/100))+MIN((Skills!T15*(1+Inputs!$B$34/100)),MAX(0,Inputs!$B$43-((R1796-1)*Skills!D15))))/Inputs!$B$43),IF(Inputs!$B$38="pvp",MIN((Skills!T15*(1+Inputs!$B$34/100)),15)/15,(Skills!T15*(1+Inputs!$B$34/100))/Skills!D15)))+((C1793=TRUE)*F1793)+((C1810=TRUE)*(F1810-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1783)</f>
        <v/>
      </c>
      <c r="L1783">
        <f>K1783*(MIN(Inputs!$B$22+((C1804=TRUE)*(F1804-Calc!F23)),(Inputs!$B$23+((C1809=TRUE)*(F1809-Calc!F28))+(IF(ArtifactsInput!$M$15,CHOOSE(ArtifactsInput!$N$15+1,25,30,35,40,45,50)/100*(Inputs!$B$11-Inputs!$B$11),0))))/100+(Inputs!$B$23+((C1809=TRUE)*(F1809-Calc!F28))+(IF(ArtifactsInput!$M$15,CHOOSE(ArtifactsInput!$N$15+1,25,30,35,40,45,50)/100*(Inputs!$B$11-Inputs!$B$11),0)))/100)/2</f>
        <v/>
      </c>
      <c r="M1783">
        <f>L1783*(1+(Inputs!$B$10+0+B1818+(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783">
        <f>L1783*(1-MIN((Inputs!$B$9+((C1800=TRUE)*(F1800-Calc!F19))+B1813+(ArtifactsInput!$M$24-ArtifactsInput!$M$24)*CHOOSE(ArtifactsInput!$N$24+1,10,12,14,16,18,20)+(IF(AND(ArtifactsInput!$M$42,((Inputs!$B$9+((C1800=TRUE)*(F1800-Calc!F19))+B1813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1783*(MIN((Inputs!$B$9+((C1800=TRUE)*(F1800-Calc!F19))+B1813+(ArtifactsInput!$M$24-ArtifactsInput!$M$24)*CHOOSE(ArtifactsInput!$N$24+1,10,12,14,16,18,20)+(IF(AND(ArtifactsInput!$M$42,((Inputs!$B$9+((C1800=TRUE)*(F1800-Calc!F19))+B1813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783">
        <f>(1-Summary!$B$11)*T1783+Summary!$B$11*V1783</f>
        <v/>
      </c>
      <c r="P1783">
        <f>IF(B1823=0,0,O1783/B1823)</f>
        <v/>
      </c>
      <c r="Q1783" t="n">
        <v>0</v>
      </c>
      <c r="R1783" t="n">
        <v>0</v>
      </c>
      <c r="S1783">
        <f>IFERROR((Skills!G2*N1783*B1817)/N1783*IF(Inputs!$B$38="pvp",1,(1-Summary!$B$11)*1+Summary!$B$11*(MIN((6+Inputs!$B$33),Inputs!$B$37))),0)</f>
        <v/>
      </c>
      <c r="T1783">
        <f>IF(C1783,(Skills!G2*N1783*B1817)*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Hunt"),CHOOSE(ArtifactsInput!$N$35+1,15,18,21,24,27,30)*(1-EXP(-(0.2*B1815)*5)),0)+IF(AND(ArtifactsInput!$M$22,Inputs!$B$4&lt;&gt;"Chapter Hunt"),CHOOSE(ArtifactsInput!$N$22+1,10,12,14,16,18,20)*((0*(((0.15*B1815*5))^0/1)+1*(((0.15*B1815*5))^1/1)+2*(((0.15*B1815*5))^2/2)+3*(((0.15*B1815*5))^3/6)+4*(((0.15*B1815*5))^4/24)+5*(((0.15*B1815*5))^5/120))/((((0.15*B1815*5))^0/1)+(((0.15*B1815*5))^1/1)+(((0.15*B1815*5))^2/2)+(((0.15*B1815*5))^3/6)+(((0.15*B1815*5))^4/24)+(((0.15*B1815*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1783*(1-MIN(100,(Inputs!$B$9+((C1800=TRUE)*(F1800-Calc!F19))+B1813+(ArtifactsInput!$M$24-ArtifactsInput!$M$24)*CHOOSE(ArtifactsInput!$N$24+1,10,12,14,16,18,20)+(IF(AND(ArtifactsInput!$M$42,((Inputs!$B$9+((C1800=TRUE)*(F1800-Calc!F19))+B1813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1783*(MIN(100,(Inputs!$B$9+((C1800=TRUE)*(F1800-Calc!F19))+B1813+(ArtifactsInput!$M$24-ArtifactsInput!$M$24)*CHOOSE(ArtifactsInput!$N$24+1,10,12,14,16,18,20)+(IF(AND(ArtifactsInput!$M$42,((Inputs!$B$9+((C1800=TRUE)*(F1800-Calc!F19))+B1813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1783*(1-MIN(100,(Inputs!$B$9+((C1800=TRUE)*(F1800-Calc!F19))+B1813+(ArtifactsInput!$M$24-ArtifactsInput!$M$24)*CHOOSE(ArtifactsInput!$N$24+1,10,12,14,16,18,20)+(IF(AND(ArtifactsInput!$M$42,((Inputs!$B$9+((C1800=TRUE)*(F1800-Calc!F19))+B1813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1783*(MIN(100,(Inputs!$B$9+((C1800=TRUE)*(F1800-Calc!F19))+B1813+(ArtifactsInput!$M$24-ArtifactsInput!$M$24)*CHOOSE(ArtifactsInput!$N$24+1,10,12,14,16,18,20)+(IF(AND(ArtifactsInput!$M$42,((Inputs!$B$9+((C1800=TRUE)*(F1800-Calc!F19))+B1813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783">
        <f>MAX(0,(Inputs!$B$3-100)*3)+Inputs!$B$28+Inputs!$B$29</f>
        <v/>
      </c>
      <c r="V1783">
        <f>IF(C1783,(Skills!G2*N1783*B1817)*IF(Inputs!$B$38="pvp",1,(1+(Inputs!$B$21+Skills!Q2+(IF(ArtifactsInput!$M$33,CHOOSE(ArtifactsInput!$N$33+1,30,36,42,48,54,60),0))+(IF(AND(ArtifactsInput!$M$35,Inputs!$B$4&lt;&gt;"Chapter Hunt"),CHOOSE(ArtifactsInput!$N$35+1,15,18,21,24,27,30)*(1-EXP(-(0.2*B1815)*5)),0)+IF(AND(ArtifactsInput!$M$22,Inputs!$B$4&lt;&gt;"Chapter Hunt"),CHOOSE(ArtifactsInput!$N$22+1,10,12,14,16,18,20)*((0*(((0.15*B1815*5))^0/1)+1*(((0.15*B1815*5))^1/1)+2*(((0.15*B1815*5))^2/2)+3*(((0.15*B1815*5))^3/6)+4*(((0.15*B1815*5))^4/24)+5*(((0.15*B1815*5))^5/120))/((((0.15*B1815*5))^0/1)+(((0.15*B1815*5))^1/1)+(((0.15*B1815*5))^2/2)+(((0.15*B1815*5))^3/6)+(((0.15*B1815*5))^4/24)+(((0.15*B1815*5))^5/120)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784">
      <c r="A1784">
        <f>Skills!A3</f>
        <v/>
      </c>
      <c r="B1784">
        <f>Skills!B3</f>
        <v/>
      </c>
      <c r="C1784">
        <f>Inputs!$B$3&gt;=50</f>
        <v/>
      </c>
      <c r="D1784">
        <f>IF(Skills!C3=1,60+Inputs!$B$25+Inputs!$B$29,IF(Skills!C3=2,90+Inputs!$B$26+Inputs!$B$29,IF(Skills!C3=3,120+Inputs!$B$27+Inputs!$B$29,MAX(0,(Inputs!$B$3-100)*3)+Inputs!$B$28+Inputs!$B$29)))</f>
        <v/>
      </c>
      <c r="E1784">
        <f>INDEX(FactorTable!$B$2:$Y$301, MATCH(ROUND(MIN(300,MAX(1,D1784)),0), FactorTable!$A$2:$A$301,0), Skills!M3+1)</f>
        <v/>
      </c>
      <c r="F1784">
        <f>IF(Skills!N3=TRUE,(Skills!L3/10)*(E1784/1000),Skills!L3/10)+Skills!O3</f>
        <v/>
      </c>
      <c r="G1784" t="inlineStr"/>
      <c r="H1784" t="inlineStr"/>
      <c r="I1784" t="inlineStr">
        <is>
          <t>1</t>
        </is>
      </c>
      <c r="J1784" t="inlineStr"/>
      <c r="K1784" t="inlineStr"/>
      <c r="L1784" t="inlineStr"/>
      <c r="M1784" t="inlineStr"/>
      <c r="N1784" t="inlineStr"/>
      <c r="O1784" t="inlineStr"/>
      <c r="P1784" t="inlineStr"/>
      <c r="Q1784" t="inlineStr"/>
      <c r="R1784" t="inlineStr"/>
      <c r="S1784" t="inlineStr"/>
      <c r="T1784" t="inlineStr"/>
      <c r="U1784">
        <f>INDEX(FactorTable!$B$2:$Y$301, MATCH(ROUND(MIN(300,MAX(1,U1783)),0), FactorTable!$A$2:$A$301,0), 22)</f>
        <v/>
      </c>
      <c r="V1784" t="inlineStr"/>
    </row>
    <row r="1785">
      <c r="A1785">
        <f>Skills!A4</f>
        <v/>
      </c>
      <c r="B1785">
        <f>Skills!B4</f>
        <v/>
      </c>
      <c r="C1785">
        <f>Inputs!$B$3&gt;=105</f>
        <v/>
      </c>
      <c r="D1785">
        <f>IF(Skills!C4=1,60+Inputs!$B$25+Inputs!$B$29,IF(Skills!C4=2,90+Inputs!$B$26+Inputs!$B$29,IF(Skills!C4=3,120+Inputs!$B$27+Inputs!$B$29,MAX(0,(Inputs!$B$3-100)*3)+Inputs!$B$28+Inputs!$B$29)))</f>
        <v/>
      </c>
      <c r="E1785">
        <f>INDEX(FactorTable!$B$2:$Y$301, MATCH(ROUND(MIN(300,MAX(1,D1785)),0), FactorTable!$A$2:$A$301,0), Skills!M4+1)</f>
        <v/>
      </c>
      <c r="F1785">
        <f>IF(Skills!N4=TRUE,(Skills!L4/10)*(E1785/1000),Skills!L4/10)+Skills!O4</f>
        <v/>
      </c>
      <c r="G1785" t="inlineStr"/>
      <c r="H1785" t="inlineStr"/>
      <c r="I1785" t="inlineStr">
        <is>
          <t>1</t>
        </is>
      </c>
      <c r="J1785" t="inlineStr"/>
      <c r="K1785" t="inlineStr"/>
      <c r="L1785" t="inlineStr"/>
      <c r="M1785" t="inlineStr"/>
      <c r="N1785" t="inlineStr"/>
      <c r="O1785" t="inlineStr"/>
      <c r="P1785" t="inlineStr"/>
      <c r="Q1785" t="inlineStr"/>
      <c r="R1785" t="inlineStr"/>
      <c r="S1785" t="inlineStr"/>
      <c r="T1785" t="inlineStr"/>
      <c r="U1785">
        <f>290*U1784/1000</f>
        <v/>
      </c>
      <c r="V1785" t="inlineStr"/>
    </row>
    <row r="1786">
      <c r="A1786">
        <f>Skills!A5</f>
        <v/>
      </c>
      <c r="B1786">
        <f>Skills!B5</f>
        <v/>
      </c>
      <c r="C1786">
        <f>Inputs!$B$3&gt;=35</f>
        <v/>
      </c>
      <c r="D1786">
        <f>IF(Skills!C5=1,60+Inputs!$B$25+Inputs!$B$29,IF(Skills!C5=2,90+Inputs!$B$26+Inputs!$B$29,IF(Skills!C5=3,120+Inputs!$B$27+Inputs!$B$29,MAX(0,(Inputs!$B$3-100)*3)+Inputs!$B$28+Inputs!$B$29)))</f>
        <v/>
      </c>
      <c r="E1786">
        <f>INDEX(FactorTable!$B$2:$Y$301, MATCH(ROUND(MIN(300,MAX(1,D1786)),0), FactorTable!$A$2:$A$301,0), Skills!M5+1)</f>
        <v/>
      </c>
      <c r="F1786">
        <f>IF(Skills!N5=TRUE,(Skills!L5/10)*(E1786/1000),Skills!L5/10)+Skills!O5</f>
        <v/>
      </c>
      <c r="G1786">
        <f>Skills!G5*IF(Skills!H5&gt;0,Skills!I5/Skills!H5,1)</f>
        <v/>
      </c>
      <c r="H1786">
        <f>1-(1-Skills!J5/100)^Skills!K5</f>
        <v/>
      </c>
      <c r="I1786" t="inlineStr">
        <is>
          <t>1</t>
        </is>
      </c>
      <c r="J1786">
        <f>((Inputs!$B$6*(1+Inputs!$B$7/100))+(((Inputs!$B$12*(1+Inputs!$B$13/100))-(Inputs!$B$12*(1+Inputs!$B$13/100)))+0.25*(Inputs!$B$14-Inputs!$B$14))*(1+Inputs!$B$7/100))*(F1786/100)</f>
        <v/>
      </c>
      <c r="K1786">
        <f>J1786*(1+((Inputs!$B$12*(1+Inputs!$B$13/100))*0.01+Inputs!$B$14*0.0025)/100)*(1+Inputs!$B$15/100)*(1+Inputs!$B$16/100)*(5000/(6000+Inputs!$B$42*(1-(100*(1-(1-(Inputs!$B$19+0)/100)*(1-CHOOSE(ArtifactsInput!$N$40+1,5,6,7,8,9,10)/100)^(ArtifactsInput!$M$40-ArtifactsInput!$M$40)))/100)))*(1+(Inputs!$B$24+((C1805=TRUE)*(F1805-Calc!F24))+((C1806=TRUE)*(F1806-Calc!F25))+B1819)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1789=TRUE,F1789,0)/100)*(1+(IF(Skills!A5="EMPOWERED_PIERCING_ARROW",Inputs!$B$17+((C1803=TRUE)*(F1803-Calc!F22))+(((IF(AND(ArtifactsInput!$M$42,((Inputs!$B$9+((C1800=TRUE)*(F1800-Calc!F19))+B1813+(ArtifactsInput!$M$24-ArtifactsInput!$M$24)*CHOOSE(ArtifactsInput!$N$24+1,10,12,14,16,18,20)+IF(ArtifactsInput!$M$10,CHOOSE(ArtifactsInput!$N$10+1,15,18,21,24,27,30)*(IF(Inputs!$B$38="pvp",MIN(15,15)/15,IF(AND(Inputs!$B$38&lt;&gt;"pvp",Inputs!$B$43&gt;0),MIN(15,Inputs!$B$43)/(Inputs!$B$43),0))),0)))&gt;=100),MIN(100,((Inputs!$B$9+((C1800=TRUE)*(F1800-Calc!F19))+B1813+(ArtifactsInput!$M$24-ArtifactsInput!$M$24)*CHOOSE(ArtifactsInput!$N$24+1,10,12,14,16,18,20)+IF(ArtifactsInput!$M$10,CHOOSE(ArtifactsInput!$N$10+1,15,18,21,24,27,30)*(IF(Inputs!$B$38="pvp",MIN(15,15)/15,IF(AND(Inputs!$B$38&lt;&gt;"pvp",Inputs!$B$43&gt;0),MIN(15,Inputs!$B$43)/(Inputs!$B$43),0))),0)))-100),0))*CHOOSE(ArtifactsInput!$N$42+1,0.6,0.72,0.84,0.96,1.08,1.2))),Inputs!$B$18+((C1808=TRUE)*(F1808-Calc!F27))+(IF(AND(ArtifactsInput!$M$42,((Inputs!$B$9+((C1800=TRUE)*(F1800-Calc!F19))+B1813+(ArtifactsInput!$M$24-ArtifactsInput!$M$24)*CHOOSE(ArtifactsInput!$N$24+1,10,12,14,16,18,20)+IF(ArtifactsInput!$M$10,CHOOSE(ArtifactsInput!$N$10+1,15,18,21,24,27,30)*(IF(Inputs!$B$38="pvp",MIN(15,15)/15,IF(AND(Inputs!$B$38&lt;&gt;"pvp",Inputs!$B$43&gt;0),MIN(15,Inputs!$B$43)/(Inputs!$B$43),0))),0)))&gt;=100),CHOOSE(ArtifactsInput!$N$42+1,40,48,56,64,72,80),0))))/100)*((1+(((C1794=TRUE)*F1794)+((C1795=TRUE)*IF(Inputs!$B$38="pvp",F1795,(1-Summary!$B$11)*(F1795)+Summary!$B$11*(0)))+((C1796=TRUE)*F1796*IF(AND(Inputs!$B$38&lt;&gt;"pvp",Inputs!$B$43&gt;0),(((R1796-1)*(Skills!T15*(1+Inputs!$B$34/100))+MIN((Skills!T15*(1+Inputs!$B$34/100)),MAX(0,Inputs!$B$43-((R1796-1)*Skills!D15))))/Inputs!$B$43),IF(Inputs!$B$38="pvp",MIN((Skills!T15*(1+Inputs!$B$34/100)),15)/15,(Skills!T15*(1+Inputs!$B$34/100))/Skills!D15)))+((C1793=TRUE)*F1793)+((C1810=TRUE)*(F1810-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1786)</f>
        <v/>
      </c>
      <c r="L1786">
        <f>K1786*(MIN(Inputs!$B$22+((C1804=TRUE)*(F1804-Calc!F23)),(Inputs!$B$23+((C1809=TRUE)*(F1809-Calc!F28))+(IF(ArtifactsInput!$M$15,CHOOSE(ArtifactsInput!$N$15+1,25,30,35,40,45,50)/100*(Inputs!$B$11-Inputs!$B$11),0))))/100+(Inputs!$B$23+((C1809=TRUE)*(F1809-Calc!F28))+(IF(ArtifactsInput!$M$15,CHOOSE(ArtifactsInput!$N$15+1,25,30,35,40,45,50)/100*(Inputs!$B$11-Inputs!$B$11),0)))/100)/2</f>
        <v/>
      </c>
      <c r="M1786">
        <f>L1786*(1+(Inputs!$B$10+0+B1818+(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786">
        <f>L1786*(1-MIN((Inputs!$B$9+((C1800=TRUE)*(F1800-Calc!F19))+B1813+(ArtifactsInput!$M$24-ArtifactsInput!$M$24)*CHOOSE(ArtifactsInput!$N$24+1,10,12,14,16,18,20)+(IF(AND(ArtifactsInput!$M$42,((Inputs!$B$9+((C1800=TRUE)*(F1800-Calc!F19))+B1813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1786*(MIN((Inputs!$B$9+((C1800=TRUE)*(F1800-Calc!F19))+B1813+(ArtifactsInput!$M$24-ArtifactsInput!$M$24)*CHOOSE(ArtifactsInput!$N$24+1,10,12,14,16,18,20)+(IF(AND(ArtifactsInput!$M$42,((Inputs!$B$9+((C1800=TRUE)*(F1800-Calc!F19))+B1813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786">
        <f>(1-Summary!$B$11)*T1786+Summary!$B$11*V1786</f>
        <v/>
      </c>
      <c r="P1786">
        <f>IF(B1823=0,0,O1786/B1823)</f>
        <v/>
      </c>
      <c r="Q1786">
        <f>IFERROR(1/IF(Inputs!$B$38="pvp",15,MAX(0.1,Skills!D5-IF(Skills!E5=TRUE,Inputs!$B$32,0))),0)</f>
        <v/>
      </c>
      <c r="R1786">
        <f>IF(AND(Inputs!$B$38&lt;&gt;"pvp",Inputs!$B$43&gt;0),IF(MAX(0,Inputs!$B$43-B1820)&lt;=0,0,(INT(MAX(0,Inputs!$B$43-B1820)/IF(Inputs!$B$38="pvp",15,MAX(0.1,Skills!D5-IF(Skills!E5=TRUE,Inputs!$B$32,0))))+1)),0)</f>
        <v/>
      </c>
      <c r="S1786">
        <f>IFERROR((H1786*N1786*IF(AND(Inputs!$B$38&lt;&gt;"pvp",Inputs!$B$43&gt;0),((Skills!G5*((R1786-1)*IF(Skills!H5&gt;0,Skills!I5/Skills!H5,1)+IF(Skills!H5&gt;0,MIN(Skills!I5,MAX(0,MAX(0,Inputs!$B$43-B1820)-((R1786-1)*IF(Inputs!$B$38="pvp",15,MAX(0.1,Skills!D5-IF(Skills!E5=TRUE,Inputs!$B$32,0))))))/Skills!H5,1)))/Inputs!$B$43),G1786*Q1786))/N1786*IF(Inputs!$B$38="pvp",1,(1-Summary!$B$11)*1+Summary!$B$11*(MIN(Skills!R5,Inputs!$B$37))),0)</f>
        <v/>
      </c>
      <c r="T1786">
        <f>IF(C1786,(H1786*N1786*IF(AND(Inputs!$B$38&lt;&gt;"pvp",Inputs!$B$43&gt;0),((Skills!G5*((R1786-1)*IF(Skills!H5&gt;0,Skills!I5/Skills!H5,1)+IF(Skills!H5&gt;0,MIN(Skills!I5,MAX(0,MAX(0,Inputs!$B$43-B1820)-((R1786-1)*IF(Inputs!$B$38="pvp",15,MAX(0.1,Skills!D5-IF(Skills!E5=TRUE,Inputs!$B$32,0))))))/Skills!H5,1)))/Inputs!$B$43),G1786*Q1786))*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Hunt"),CHOOSE(ArtifactsInput!$N$35+1,15,18,21,24,27,30)*(1-EXP(-(0.2*B1815)*5)),0)+IF(AND(ArtifactsInput!$M$22,Inputs!$B$4&lt;&gt;"Chapter Hunt"),CHOOSE(ArtifactsInput!$N$22+1,10,12,14,16,18,20)*((0*(((0.15*B1815*5))^0/1)+1*(((0.15*B1815*5))^1/1)+2*(((0.15*B1815*5))^2/2)+3*(((0.15*B1815*5))^3/6)+4*(((0.15*B1815*5))^4/24)+5*(((0.15*B1815*5))^5/120))/((((0.15*B1815*5))^0/1)+(((0.15*B1815*5))^1/1)+(((0.15*B1815*5))^2/2)+(((0.15*B1815*5))^3/6)+(((0.15*B1815*5))^4/24)+(((0.15*B1815*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1786*(1-MIN(100,(Inputs!$B$9+((C1800=TRUE)*(F1800-Calc!F19))+B1813+(ArtifactsInput!$M$24-ArtifactsInput!$M$24)*CHOOSE(ArtifactsInput!$N$24+1,10,12,14,16,18,20)+(IF(AND(ArtifactsInput!$M$42,((Inputs!$B$9+((C1800=TRUE)*(F1800-Calc!F19))+B1813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1786*(MIN(100,(Inputs!$B$9+((C1800=TRUE)*(F1800-Calc!F19))+B1813+(ArtifactsInput!$M$24-ArtifactsInput!$M$24)*CHOOSE(ArtifactsInput!$N$24+1,10,12,14,16,18,20)+(IF(AND(ArtifactsInput!$M$42,((Inputs!$B$9+((C1800=TRUE)*(F1800-Calc!F19))+B1813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1786*(1-MIN(100,(Inputs!$B$9+((C1800=TRUE)*(F1800-Calc!F19))+B1813+(ArtifactsInput!$M$24-ArtifactsInput!$M$24)*CHOOSE(ArtifactsInput!$N$24+1,10,12,14,16,18,20)+(IF(AND(ArtifactsInput!$M$42,((Inputs!$B$9+((C1800=TRUE)*(F1800-Calc!F19))+B1813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1786*(MIN(100,(Inputs!$B$9+((C1800=TRUE)*(F1800-Calc!F19))+B1813+(ArtifactsInput!$M$24-ArtifactsInput!$M$24)*CHOOSE(ArtifactsInput!$N$24+1,10,12,14,16,18,20)+(IF(AND(ArtifactsInput!$M$42,((Inputs!$B$9+((C1800=TRUE)*(F1800-Calc!F19))+B1813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786">
        <f>IF(C1786,(H1786*N1786*IF(AND(Inputs!$B$38&lt;&gt;"pvp",Inputs!$B$43&gt;0),((Skills!G5*((R1786-1)*IF(Skills!H5&gt;0,Skills!I5/Skills!H5,1)+IF(Skills!H5&gt;0,MIN(Skills!I5,MAX(0,MAX(0,Inputs!$B$43-B1820)-((R1786-1)*IF(Inputs!$B$38="pvp",15,MAX(0.1,Skills!D5-IF(Skills!E5=TRUE,Inputs!$B$32,0))))))/Skills!H5,1)))/Inputs!$B$43),G1786*Q1786))*IF(Inputs!$B$38="pvp",1,(1+(Inputs!$B$21+Skills!Q5+(IF(ArtifactsInput!$M$33,CHOOSE(ArtifactsInput!$N$33+1,30,36,42,48,54,60),0))+(IF(AND(ArtifactsInput!$M$35,Inputs!$B$4&lt;&gt;"Chapter Hunt"),CHOOSE(ArtifactsInput!$N$35+1,15,18,21,24,27,30)*(1-EXP(-(0.2*B1815)*5)),0)+IF(AND(ArtifactsInput!$M$22,Inputs!$B$4&lt;&gt;"Chapter Hunt"),CHOOSE(ArtifactsInput!$N$22+1,10,12,14,16,18,20)*((0*(((0.15*B1815*5))^0/1)+1*(((0.15*B1815*5))^1/1)+2*(((0.15*B1815*5))^2/2)+3*(((0.15*B1815*5))^3/6)+4*(((0.15*B1815*5))^4/24)+5*(((0.15*B1815*5))^5/120))/((((0.15*B1815*5))^0/1)+(((0.15*B1815*5))^1/1)+(((0.15*B1815*5))^2/2)+(((0.15*B1815*5))^3/6)+(((0.15*B1815*5))^4/24)+(((0.15*B1815*5))^5/120)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787">
      <c r="A1787">
        <f>Skills!A6</f>
        <v/>
      </c>
      <c r="B1787">
        <f>Skills!B6</f>
        <v/>
      </c>
      <c r="C1787">
        <f>Inputs!$B$3&gt;=63</f>
        <v/>
      </c>
      <c r="D1787">
        <f>IF(Skills!C6=1,60+Inputs!$B$25+Inputs!$B$29,IF(Skills!C6=2,90+Inputs!$B$26+Inputs!$B$29,IF(Skills!C6=3,120+Inputs!$B$27+Inputs!$B$29,MAX(0,(Inputs!$B$3-100)*3)+Inputs!$B$28+Inputs!$B$29)))</f>
        <v/>
      </c>
      <c r="E1787">
        <f>INDEX(FactorTable!$B$2:$Y$301, MATCH(ROUND(MIN(300,MAX(1,D1787)),0), FactorTable!$A$2:$A$301,0), Skills!M6+1)</f>
        <v/>
      </c>
      <c r="F1787">
        <f>IF(Skills!N6=TRUE,(Skills!L6/10)*(E1787/1000),Skills!L6/10)+Skills!O6</f>
        <v/>
      </c>
      <c r="G1787">
        <f>Skills!G6*IF(Skills!H6&gt;0,Skills!I6/Skills!H6,1)</f>
        <v/>
      </c>
      <c r="H1787">
        <f>1-(1-Skills!J6/100)^Skills!K6</f>
        <v/>
      </c>
      <c r="I1787" t="inlineStr">
        <is>
          <t>1</t>
        </is>
      </c>
      <c r="J1787">
        <f>((Inputs!$B$6*(1+Inputs!$B$7/100))+(((Inputs!$B$12*(1+Inputs!$B$13/100))-(Inputs!$B$12*(1+Inputs!$B$13/100)))+0.25*(Inputs!$B$14-Inputs!$B$14))*(1+Inputs!$B$7/100))*(F1787/100)</f>
        <v/>
      </c>
      <c r="K1787">
        <f>J1787*(1+((Inputs!$B$12*(1+Inputs!$B$13/100))*0.01+Inputs!$B$14*0.0025)/100)*(1+Inputs!$B$15/100)*(1+Inputs!$B$16/100)*(5000/(6000+Inputs!$B$42*(1-(100*(1-(1-(Inputs!$B$19+0)/100)*(1-CHOOSE(ArtifactsInput!$N$40+1,5,6,7,8,9,10)/100)^(ArtifactsInput!$M$40-ArtifactsInput!$M$40)))/100)))*(1+(Inputs!$B$24+((C1805=TRUE)*(F1805-Calc!F24))+((C1806=TRUE)*(F1806-Calc!F25))+B1819)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1789=TRUE,F1789,0)/100)*(1+(IF(Skills!A6="EMPOWERED_PIERCING_ARROW",Inputs!$B$17+((C1803=TRUE)*(F1803-Calc!F22))+(((IF(AND(ArtifactsInput!$M$42,((Inputs!$B$9+((C1800=TRUE)*(F1800-Calc!F19))+B1813+(ArtifactsInput!$M$24-ArtifactsInput!$M$24)*CHOOSE(ArtifactsInput!$N$24+1,10,12,14,16,18,20)+IF(ArtifactsInput!$M$10,CHOOSE(ArtifactsInput!$N$10+1,15,18,21,24,27,30)*(IF(Inputs!$B$38="pvp",MIN(15,15)/15,IF(AND(Inputs!$B$38&lt;&gt;"pvp",Inputs!$B$43&gt;0),MIN(15,Inputs!$B$43)/(Inputs!$B$43),0))),0)))&gt;=100),MIN(100,((Inputs!$B$9+((C1800=TRUE)*(F1800-Calc!F19))+B1813+(ArtifactsInput!$M$24-ArtifactsInput!$M$24)*CHOOSE(ArtifactsInput!$N$24+1,10,12,14,16,18,20)+IF(ArtifactsInput!$M$10,CHOOSE(ArtifactsInput!$N$10+1,15,18,21,24,27,30)*(IF(Inputs!$B$38="pvp",MIN(15,15)/15,IF(AND(Inputs!$B$38&lt;&gt;"pvp",Inputs!$B$43&gt;0),MIN(15,Inputs!$B$43)/(Inputs!$B$43),0))),0)))-100),0))*CHOOSE(ArtifactsInput!$N$42+1,0.6,0.72,0.84,0.96,1.08,1.2))),Inputs!$B$18+((C1808=TRUE)*(F1808-Calc!F27))+(IF(AND(ArtifactsInput!$M$42,((Inputs!$B$9+((C1800=TRUE)*(F1800-Calc!F19))+B1813+(ArtifactsInput!$M$24-ArtifactsInput!$M$24)*CHOOSE(ArtifactsInput!$N$24+1,10,12,14,16,18,20)+IF(ArtifactsInput!$M$10,CHOOSE(ArtifactsInput!$N$10+1,15,18,21,24,27,30)*(IF(Inputs!$B$38="pvp",MIN(15,15)/15,IF(AND(Inputs!$B$38&lt;&gt;"pvp",Inputs!$B$43&gt;0),MIN(15,Inputs!$B$43)/(Inputs!$B$43),0))),0)))&gt;=100),CHOOSE(ArtifactsInput!$N$42+1,40,48,56,64,72,80),0))))/100)*((1+(((C1794=TRUE)*F1794)+((C1795=TRUE)*IF(Inputs!$B$38="pvp",F1795,(1-Summary!$B$11)*(F1795)+Summary!$B$11*(0)))+((C1796=TRUE)*F1796*IF(AND(Inputs!$B$38&lt;&gt;"pvp",Inputs!$B$43&gt;0),(((R1796-1)*(Skills!T15*(1+Inputs!$B$34/100))+MIN((Skills!T15*(1+Inputs!$B$34/100)),MAX(0,Inputs!$B$43-((R1796-1)*Skills!D15))))/Inputs!$B$43),IF(Inputs!$B$38="pvp",MIN((Skills!T15*(1+Inputs!$B$34/100)),15)/15,(Skills!T15*(1+Inputs!$B$34/100))/Skills!D15)))+((C1793=TRUE)*F1793)+((C1810=TRUE)*(F1810-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1787)</f>
        <v/>
      </c>
      <c r="L1787">
        <f>K1787*(MIN(Inputs!$B$22+((C1804=TRUE)*(F1804-Calc!F23)),(Inputs!$B$23+((C1809=TRUE)*(F1809-Calc!F28))+(IF(ArtifactsInput!$M$15,CHOOSE(ArtifactsInput!$N$15+1,25,30,35,40,45,50)/100*(Inputs!$B$11-Inputs!$B$11),0))))/100+(Inputs!$B$23+((C1809=TRUE)*(F1809-Calc!F28))+(IF(ArtifactsInput!$M$15,CHOOSE(ArtifactsInput!$N$15+1,25,30,35,40,45,50)/100*(Inputs!$B$11-Inputs!$B$11),0)))/100)/2</f>
        <v/>
      </c>
      <c r="M1787">
        <f>L1787*(1+(Inputs!$B$10+0+B1818+(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787">
        <f>L1787*(1-MIN((Inputs!$B$9+((C1800=TRUE)*(F1800-Calc!F19))+B1813+(ArtifactsInput!$M$24-ArtifactsInput!$M$24)*CHOOSE(ArtifactsInput!$N$24+1,10,12,14,16,18,20)+(IF(AND(ArtifactsInput!$M$42,((Inputs!$B$9+((C1800=TRUE)*(F1800-Calc!F19))+B1813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1787*(MIN((Inputs!$B$9+((C1800=TRUE)*(F1800-Calc!F19))+B1813+(ArtifactsInput!$M$24-ArtifactsInput!$M$24)*CHOOSE(ArtifactsInput!$N$24+1,10,12,14,16,18,20)+(IF(AND(ArtifactsInput!$M$42,((Inputs!$B$9+((C1800=TRUE)*(F1800-Calc!F19))+B1813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787">
        <f>(1-Summary!$B$11)*T1787+Summary!$B$11*V1787</f>
        <v/>
      </c>
      <c r="P1787">
        <f>IF(B1823=0,0,O1787/B1823)</f>
        <v/>
      </c>
      <c r="Q1787">
        <f>IFERROR(1/IF(Inputs!$B$38="pvp",15,MAX(0.1,Skills!D6-IF(Skills!E6=TRUE,Inputs!$B$32,0))),0)</f>
        <v/>
      </c>
      <c r="R1787">
        <f>IF(AND(Inputs!$B$38&lt;&gt;"pvp",Inputs!$B$43&gt;0),IF(MAX(0,Inputs!$B$43-B1820)&lt;=0,0,(INT(MAX(0,Inputs!$B$43-B1820)/IF(Inputs!$B$38="pvp",15,MAX(0.1,Skills!D6-IF(Skills!E6=TRUE,Inputs!$B$32,0))))+1)),0)</f>
        <v/>
      </c>
      <c r="S1787">
        <f>IFERROR((H1787*N1787*IF(AND(Inputs!$B$38&lt;&gt;"pvp",Inputs!$B$43&gt;0),((Skills!G6*((R1787-1)*IF(Skills!H6&gt;0,Skills!I6/Skills!H6,1)+IF(Skills!H6&gt;0,MIN(Skills!I6,MAX(0,MAX(0,Inputs!$B$43-B1820)-((R1787-1)*IF(Inputs!$B$38="pvp",15,MAX(0.1,Skills!D6-IF(Skills!E6=TRUE,Inputs!$B$32,0))))))/Skills!H6,1)))/Inputs!$B$43),G1787*Q1787))/N1787*IF(Inputs!$B$38="pvp",1,(1-Summary!$B$11)*1+Summary!$B$11*(MIN(Skills!R6,Inputs!$B$37))),0)</f>
        <v/>
      </c>
      <c r="T1787">
        <f>IF(C1787,(H1787*N1787*IF(AND(Inputs!$B$38&lt;&gt;"pvp",Inputs!$B$43&gt;0),((Skills!G6*((R1787-1)*IF(Skills!H6&gt;0,Skills!I6/Skills!H6,1)+IF(Skills!H6&gt;0,MIN(Skills!I6,MAX(0,MAX(0,Inputs!$B$43-B1820)-((R1787-1)*IF(Inputs!$B$38="pvp",15,MAX(0.1,Skills!D6-IF(Skills!E6=TRUE,Inputs!$B$32,0))))))/Skills!H6,1)))/Inputs!$B$43),G1787*Q1787))*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Hunt"),CHOOSE(ArtifactsInput!$N$35+1,15,18,21,24,27,30)*(1-EXP(-(0.2*B1815)*5)),0)+IF(AND(ArtifactsInput!$M$22,Inputs!$B$4&lt;&gt;"Chapter Hunt"),CHOOSE(ArtifactsInput!$N$22+1,10,12,14,16,18,20)*((0*(((0.15*B1815*5))^0/1)+1*(((0.15*B1815*5))^1/1)+2*(((0.15*B1815*5))^2/2)+3*(((0.15*B1815*5))^3/6)+4*(((0.15*B1815*5))^4/24)+5*(((0.15*B1815*5))^5/120))/((((0.15*B1815*5))^0/1)+(((0.15*B1815*5))^1/1)+(((0.15*B1815*5))^2/2)+(((0.15*B1815*5))^3/6)+(((0.15*B1815*5))^4/24)+(((0.15*B1815*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1787*(1-MIN(100,(Inputs!$B$9+((C1800=TRUE)*(F1800-Calc!F19))+B1813+(ArtifactsInput!$M$24-ArtifactsInput!$M$24)*CHOOSE(ArtifactsInput!$N$24+1,10,12,14,16,18,20)+(IF(AND(ArtifactsInput!$M$42,((Inputs!$B$9+((C1800=TRUE)*(F1800-Calc!F19))+B1813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1787*(MIN(100,(Inputs!$B$9+((C1800=TRUE)*(F1800-Calc!F19))+B1813+(ArtifactsInput!$M$24-ArtifactsInput!$M$24)*CHOOSE(ArtifactsInput!$N$24+1,10,12,14,16,18,20)+(IF(AND(ArtifactsInput!$M$42,((Inputs!$B$9+((C1800=TRUE)*(F1800-Calc!F19))+B1813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1787*(1-MIN(100,(Inputs!$B$9+((C1800=TRUE)*(F1800-Calc!F19))+B1813+(ArtifactsInput!$M$24-ArtifactsInput!$M$24)*CHOOSE(ArtifactsInput!$N$24+1,10,12,14,16,18,20)+(IF(AND(ArtifactsInput!$M$42,((Inputs!$B$9+((C1800=TRUE)*(F1800-Calc!F19))+B1813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1787*(MIN(100,(Inputs!$B$9+((C1800=TRUE)*(F1800-Calc!F19))+B1813+(ArtifactsInput!$M$24-ArtifactsInput!$M$24)*CHOOSE(ArtifactsInput!$N$24+1,10,12,14,16,18,20)+(IF(AND(ArtifactsInput!$M$42,((Inputs!$B$9+((C1800=TRUE)*(F1800-Calc!F19))+B1813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787">
        <f>IF(C1787,(H1787*N1787*IF(AND(Inputs!$B$38&lt;&gt;"pvp",Inputs!$B$43&gt;0),((Skills!G6*((R1787-1)*IF(Skills!H6&gt;0,Skills!I6/Skills!H6,1)+IF(Skills!H6&gt;0,MIN(Skills!I6,MAX(0,MAX(0,Inputs!$B$43-B1820)-((R1787-1)*IF(Inputs!$B$38="pvp",15,MAX(0.1,Skills!D6-IF(Skills!E6=TRUE,Inputs!$B$32,0))))))/Skills!H6,1)))/Inputs!$B$43),G1787*Q1787))*IF(Inputs!$B$38="pvp",1,(1+(Inputs!$B$21+Skills!Q6+(IF(ArtifactsInput!$M$33,CHOOSE(ArtifactsInput!$N$33+1,30,36,42,48,54,60),0))+(IF(AND(ArtifactsInput!$M$35,Inputs!$B$4&lt;&gt;"Chapter Hunt"),CHOOSE(ArtifactsInput!$N$35+1,15,18,21,24,27,30)*(1-EXP(-(0.2*B1815)*5)),0)+IF(AND(ArtifactsInput!$M$22,Inputs!$B$4&lt;&gt;"Chapter Hunt"),CHOOSE(ArtifactsInput!$N$22+1,10,12,14,16,18,20)*((0*(((0.15*B1815*5))^0/1)+1*(((0.15*B1815*5))^1/1)+2*(((0.15*B1815*5))^2/2)+3*(((0.15*B1815*5))^3/6)+4*(((0.15*B1815*5))^4/24)+5*(((0.15*B1815*5))^5/120))/((((0.15*B1815*5))^0/1)+(((0.15*B1815*5))^1/1)+(((0.15*B1815*5))^2/2)+(((0.15*B1815*5))^3/6)+(((0.15*B1815*5))^4/24)+(((0.15*B1815*5))^5/120))),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788">
      <c r="A1788">
        <f>Skills!A7</f>
        <v/>
      </c>
      <c r="B1788">
        <f>Skills!B7</f>
        <v/>
      </c>
      <c r="C1788">
        <f>Inputs!$B$3&gt;=69</f>
        <v/>
      </c>
      <c r="D1788">
        <f>IF(Skills!C7=1,60+Inputs!$B$25+Inputs!$B$29,IF(Skills!C7=2,90+Inputs!$B$26+Inputs!$B$29,IF(Skills!C7=3,120+Inputs!$B$27+Inputs!$B$29,MAX(0,(Inputs!$B$3-100)*3)+Inputs!$B$28+Inputs!$B$29)))</f>
        <v/>
      </c>
      <c r="E1788">
        <f>INDEX(FactorTable!$B$2:$Y$301, MATCH(ROUND(MIN(300,MAX(1,D1788)),0), FactorTable!$A$2:$A$301,0), Skills!M7+1)</f>
        <v/>
      </c>
      <c r="F1788">
        <f>IF(Skills!N7=TRUE,(Skills!L7/10)*(E1788/1000),Skills!L7/10)+Skills!O7</f>
        <v/>
      </c>
      <c r="G1788">
        <f>Skills!G7*IF(Skills!H7&gt;0,Skills!I7/Skills!H7,1)</f>
        <v/>
      </c>
      <c r="H1788">
        <f>1-(1-Skills!J7/100)^Skills!K7</f>
        <v/>
      </c>
      <c r="I1788" t="inlineStr">
        <is>
          <t>1</t>
        </is>
      </c>
      <c r="J1788">
        <f>((Inputs!$B$6*(1+Inputs!$B$7/100))+(((Inputs!$B$12*(1+Inputs!$B$13/100))-(Inputs!$B$12*(1+Inputs!$B$13/100)))+0.25*(Inputs!$B$14-Inputs!$B$14))*(1+Inputs!$B$7/100))*(F1788/100)</f>
        <v/>
      </c>
      <c r="K1788">
        <f>J1788*(1+((Inputs!$B$12*(1+Inputs!$B$13/100))*0.01+Inputs!$B$14*0.0025)/100)*(1+Inputs!$B$15/100)*(1+Inputs!$B$16/100)*(5000/(6000+Inputs!$B$42*(1-(100*(1-(1-(Inputs!$B$19+0)/100)*(1-CHOOSE(ArtifactsInput!$N$40+1,5,6,7,8,9,10)/100)^(ArtifactsInput!$M$40-ArtifactsInput!$M$40)))/100)))*(1+(Inputs!$B$24+((C1805=TRUE)*(F1805-Calc!F24))+((C1806=TRUE)*(F1806-Calc!F25))+B1819)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+1.2*IF(C1789=TRUE,F1789,0)/100)*(1+(IF(Skills!A7="EMPOWERED_PIERCING_ARROW",Inputs!$B$17+((C1803=TRUE)*(F1803-Calc!F22))+(((IF(AND(ArtifactsInput!$M$42,((Inputs!$B$9+((C1800=TRUE)*(F1800-Calc!F19))+B1813+(ArtifactsInput!$M$24-ArtifactsInput!$M$24)*CHOOSE(ArtifactsInput!$N$24+1,10,12,14,16,18,20)+IF(ArtifactsInput!$M$10,CHOOSE(ArtifactsInput!$N$10+1,15,18,21,24,27,30)*(IF(Inputs!$B$38="pvp",MIN(15,15)/15,IF(AND(Inputs!$B$38&lt;&gt;"pvp",Inputs!$B$43&gt;0),MIN(15,Inputs!$B$43)/(Inputs!$B$43),0))),0)))&gt;=100),MIN(100,((Inputs!$B$9+((C1800=TRUE)*(F1800-Calc!F19))+B1813+(ArtifactsInput!$M$24-ArtifactsInput!$M$24)*CHOOSE(ArtifactsInput!$N$24+1,10,12,14,16,18,20)+IF(ArtifactsInput!$M$10,CHOOSE(ArtifactsInput!$N$10+1,15,18,21,24,27,30)*(IF(Inputs!$B$38="pvp",MIN(15,15)/15,IF(AND(Inputs!$B$38&lt;&gt;"pvp",Inputs!$B$43&gt;0),MIN(15,Inputs!$B$43)/(Inputs!$B$43),0))),0)))-100),0))*CHOOSE(ArtifactsInput!$N$42+1,0.6,0.72,0.84,0.96,1.08,1.2))),Inputs!$B$18+((C1808=TRUE)*(F1808-Calc!F27))+(IF(AND(ArtifactsInput!$M$42,((Inputs!$B$9+((C1800=TRUE)*(F1800-Calc!F19))+B1813+(ArtifactsInput!$M$24-ArtifactsInput!$M$24)*CHOOSE(ArtifactsInput!$N$24+1,10,12,14,16,18,20)+IF(ArtifactsInput!$M$10,CHOOSE(ArtifactsInput!$N$10+1,15,18,21,24,27,30)*(IF(Inputs!$B$38="pvp",MIN(15,15)/15,IF(AND(Inputs!$B$38&lt;&gt;"pvp",Inputs!$B$43&gt;0),MIN(15,Inputs!$B$43)/(Inputs!$B$43),0))),0)))&gt;=100),CHOOSE(ArtifactsInput!$N$42+1,40,48,56,64,72,80),0))))/100)*((1+(((C1794=TRUE)*F1794)+((C1795=TRUE)*IF(Inputs!$B$38="pvp",F1795,(1-Summary!$B$11)*(F1795)+Summary!$B$11*(0)))+((C1796=TRUE)*F1796*IF(AND(Inputs!$B$38&lt;&gt;"pvp",Inputs!$B$43&gt;0),(((R1796-1)*(Skills!T15*(1+Inputs!$B$34/100))+MIN((Skills!T15*(1+Inputs!$B$34/100)),MAX(0,Inputs!$B$43-((R1796-1)*Skills!D15))))/Inputs!$B$43),IF(Inputs!$B$38="pvp",MIN((Skills!T15*(1+Inputs!$B$34/100)),15)/15,(Skills!T15*(1+Inputs!$B$34/100))/Skills!D15)))+((C1793=TRUE)*F1793)+((C1810=TRUE)*(F1810-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1788)</f>
        <v/>
      </c>
      <c r="L1788">
        <f>K1788*(MIN(Inputs!$B$22+((C1804=TRUE)*(F1804-Calc!F23)),(Inputs!$B$23+((C1809=TRUE)*(F1809-Calc!F28))+(IF(ArtifactsInput!$M$15,CHOOSE(ArtifactsInput!$N$15+1,25,30,35,40,45,50)/100*(Inputs!$B$11-Inputs!$B$11),0))))/100+(Inputs!$B$23+((C1809=TRUE)*(F1809-Calc!F28))+(IF(ArtifactsInput!$M$15,CHOOSE(ArtifactsInput!$N$15+1,25,30,35,40,45,50)/100*(Inputs!$B$11-Inputs!$B$11),0)))/100)/2</f>
        <v/>
      </c>
      <c r="M1788">
        <f>L1788*(1+(Inputs!$B$10+0+B1818+(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788">
        <f>L1788*(1-MIN((Inputs!$B$9+((C1800=TRUE)*(F1800-Calc!F19))+B1813+(ArtifactsInput!$M$24-ArtifactsInput!$M$24)*CHOOSE(ArtifactsInput!$N$24+1,10,12,14,16,18,20)+(IF(AND(ArtifactsInput!$M$42,((Inputs!$B$9+((C1800=TRUE)*(F1800-Calc!F19))+B1813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1788*(MIN((Inputs!$B$9+((C1800=TRUE)*(F1800-Calc!F19))+B1813+(ArtifactsInput!$M$24-ArtifactsInput!$M$24)*CHOOSE(ArtifactsInput!$N$24+1,10,12,14,16,18,20)+(IF(AND(ArtifactsInput!$M$42,((Inputs!$B$9+((C1800=TRUE)*(F1800-Calc!F19))+B1813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788">
        <f>(1-Summary!$B$11)*T1788+Summary!$B$11*V1788</f>
        <v/>
      </c>
      <c r="P1788">
        <f>IF(B1823=0,0,O1788/B1823)</f>
        <v/>
      </c>
      <c r="Q1788">
        <f>IFERROR(1/IF(Inputs!$B$38="pvp",15,MAX(0.1,Skills!D7-IF(Skills!E7=TRUE,Inputs!$B$32,0))),0)</f>
        <v/>
      </c>
      <c r="R1788">
        <f>IF(AND(Inputs!$B$38&lt;&gt;"pvp",Inputs!$B$43&gt;0),IF(MAX(0,Inputs!$B$43-B1820)&lt;=0,0,(INT(MAX(0,Inputs!$B$43-B1820)/IF(Inputs!$B$38="pvp",15,MAX(0.1,Skills!D7-IF(Skills!E7=TRUE,Inputs!$B$32,0))))+1)),0)</f>
        <v/>
      </c>
      <c r="S1788">
        <f>IFERROR((H1788*N1788*IF(AND(Inputs!$B$38&lt;&gt;"pvp",Inputs!$B$43&gt;0),((Skills!G7*((R1788-1)*IF(Skills!H7&gt;0,Skills!I7/Skills!H7,1)+IF(Skills!H7&gt;0,MIN(Skills!I7,MAX(0,MAX(0,Inputs!$B$43-B1820)-((R1788-1)*IF(Inputs!$B$38="pvp",15,MAX(0.1,Skills!D7-IF(Skills!E7=TRUE,Inputs!$B$32,0))))))/Skills!H7,1)))/Inputs!$B$43),G1788*Q1788))/N1788*IF(Inputs!$B$38="pvp",1,(1-Summary!$B$11)*1+Summary!$B$11*(MIN(Skills!R7,Inputs!$B$37))),0)</f>
        <v/>
      </c>
      <c r="T1788">
        <f>IF(C1788,(H1788*N1788*IF(AND(Inputs!$B$38&lt;&gt;"pvp",Inputs!$B$43&gt;0),((Skills!G7*((R1788-1)*IF(Skills!H7&gt;0,Skills!I7/Skills!H7,1)+IF(Skills!H7&gt;0,MIN(Skills!I7,MAX(0,MAX(0,Inputs!$B$43-B1820)-((R1788-1)*IF(Inputs!$B$38="pvp",15,MAX(0.1,Skills!D7-IF(Skills!E7=TRUE,Inputs!$B$32,0))))))/Skills!H7,1)))/Inputs!$B$43),G1788*Q1788))*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Hunt"),CHOOSE(ArtifactsInput!$N$35+1,15,18,21,24,27,30)*(1-EXP(-(0.2*B1815)*5)),0)+IF(AND(ArtifactsInput!$M$22,Inputs!$B$4&lt;&gt;"Chapter Hunt"),CHOOSE(ArtifactsInput!$N$22+1,10,12,14,16,18,20)*((0*(((0.15*B1815*5))^0/1)+1*(((0.15*B1815*5))^1/1)+2*(((0.15*B1815*5))^2/2)+3*(((0.15*B1815*5))^3/6)+4*(((0.15*B1815*5))^4/24)+5*(((0.15*B1815*5))^5/120))/((((0.15*B1815*5))^0/1)+(((0.15*B1815*5))^1/1)+(((0.15*B1815*5))^2/2)+(((0.15*B1815*5))^3/6)+(((0.15*B1815*5))^4/24)+(((0.15*B1815*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1788*(1-MIN(100,(Inputs!$B$9+((C1800=TRUE)*(F1800-Calc!F19))+B1813+(ArtifactsInput!$M$24-ArtifactsInput!$M$24)*CHOOSE(ArtifactsInput!$N$24+1,10,12,14,16,18,20)+(IF(AND(ArtifactsInput!$M$42,((Inputs!$B$9+((C1800=TRUE)*(F1800-Calc!F19))+B1813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1788*(MIN(100,(Inputs!$B$9+((C1800=TRUE)*(F1800-Calc!F19))+B1813+(ArtifactsInput!$M$24-ArtifactsInput!$M$24)*CHOOSE(ArtifactsInput!$N$24+1,10,12,14,16,18,20)+(IF(AND(ArtifactsInput!$M$42,((Inputs!$B$9+((C1800=TRUE)*(F1800-Calc!F19))+B1813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1788*(1-MIN(100,(Inputs!$B$9+((C1800=TRUE)*(F1800-Calc!F19))+B1813+(ArtifactsInput!$M$24-ArtifactsInput!$M$24)*CHOOSE(ArtifactsInput!$N$24+1,10,12,14,16,18,20)+(IF(AND(ArtifactsInput!$M$42,((Inputs!$B$9+((C1800=TRUE)*(F1800-Calc!F19))+B1813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1788*(MIN(100,(Inputs!$B$9+((C1800=TRUE)*(F1800-Calc!F19))+B1813+(ArtifactsInput!$M$24-ArtifactsInput!$M$24)*CHOOSE(ArtifactsInput!$N$24+1,10,12,14,16,18,20)+(IF(AND(ArtifactsInput!$M$42,((Inputs!$B$9+((C1800=TRUE)*(F1800-Calc!F19))+B1813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788">
        <f>IF(C1788,(H1788*N1788*IF(AND(Inputs!$B$38&lt;&gt;"pvp",Inputs!$B$43&gt;0),((Skills!G7*((R1788-1)*IF(Skills!H7&gt;0,Skills!I7/Skills!H7,1)+IF(Skills!H7&gt;0,MIN(Skills!I7,MAX(0,MAX(0,Inputs!$B$43-B1820)-((R1788-1)*IF(Inputs!$B$38="pvp",15,MAX(0.1,Skills!D7-IF(Skills!E7=TRUE,Inputs!$B$32,0))))))/Skills!H7,1)))/Inputs!$B$43),G1788*Q1788))*IF(Inputs!$B$38="pvp",1,(1+(Inputs!$B$21+Skills!Q7+(IF(ArtifactsInput!$M$33,CHOOSE(ArtifactsInput!$N$33+1,30,36,42,48,54,60),0))+(IF(AND(ArtifactsInput!$M$35,Inputs!$B$4&lt;&gt;"Chapter Hunt"),CHOOSE(ArtifactsInput!$N$35+1,15,18,21,24,27,30)*(1-EXP(-(0.2*B1815)*5)),0)+IF(AND(ArtifactsInput!$M$22,Inputs!$B$4&lt;&gt;"Chapter Hunt"),CHOOSE(ArtifactsInput!$N$22+1,10,12,14,16,18,20)*((0*(((0.15*B1815*5))^0/1)+1*(((0.15*B1815*5))^1/1)+2*(((0.15*B1815*5))^2/2)+3*(((0.15*B1815*5))^3/6)+4*(((0.15*B1815*5))^4/24)+5*(((0.15*B1815*5))^5/120))/((((0.15*B1815*5))^0/1)+(((0.15*B1815*5))^1/1)+(((0.15*B1815*5))^2/2)+(((0.15*B1815*5))^3/6)+(((0.15*B1815*5))^4/24)+(((0.15*B1815*5))^5/120))),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789">
      <c r="A1789">
        <f>Skills!A8</f>
        <v/>
      </c>
      <c r="B1789">
        <f>Skills!B8</f>
        <v/>
      </c>
      <c r="C1789">
        <f>Inputs!$B$3&gt;=100</f>
        <v/>
      </c>
      <c r="D1789">
        <f>IF(Skills!C8=1,60+Inputs!$B$25+Inputs!$B$29,IF(Skills!C8=2,90+Inputs!$B$26+Inputs!$B$29,IF(Skills!C8=3,120+Inputs!$B$27+Inputs!$B$29,MAX(0,(Inputs!$B$3-100)*3)+Inputs!$B$28+Inputs!$B$29)))</f>
        <v/>
      </c>
      <c r="E1789">
        <f>INDEX(FactorTable!$B$2:$Y$301, MATCH(ROUND(MIN(300,MAX(1,D1789)),0), FactorTable!$A$2:$A$301,0), Skills!M8+1)</f>
        <v/>
      </c>
      <c r="F1789">
        <f>IF(Skills!N8=TRUE,(Skills!L8/10)*(E1789/1000),Skills!L8/10)+Skills!O8</f>
        <v/>
      </c>
      <c r="G1789" t="inlineStr"/>
      <c r="H1789" t="inlineStr"/>
      <c r="I1789" t="inlineStr">
        <is>
          <t>1</t>
        </is>
      </c>
      <c r="J1789" t="inlineStr"/>
      <c r="K1789" t="inlineStr"/>
      <c r="L1789" t="inlineStr"/>
      <c r="M1789" t="inlineStr"/>
      <c r="N1789" t="inlineStr"/>
      <c r="O1789" t="inlineStr"/>
      <c r="P1789" t="inlineStr"/>
      <c r="Q1789" t="inlineStr"/>
      <c r="R1789" t="inlineStr"/>
      <c r="S1789" t="inlineStr"/>
      <c r="T1789" t="inlineStr"/>
      <c r="V1789" t="inlineStr"/>
    </row>
    <row r="1790">
      <c r="A1790">
        <f>Skills!A9</f>
        <v/>
      </c>
      <c r="B1790">
        <f>Skills!B9</f>
        <v/>
      </c>
      <c r="C1790">
        <f>Inputs!$B$3&gt;=103</f>
        <v/>
      </c>
      <c r="D1790">
        <f>IF(Skills!C9=1,60+Inputs!$B$25+Inputs!$B$29,IF(Skills!C9=2,90+Inputs!$B$26+Inputs!$B$29,IF(Skills!C9=3,120+Inputs!$B$27+Inputs!$B$29,MAX(0,(Inputs!$B$3-100)*3)+Inputs!$B$28+Inputs!$B$29)))</f>
        <v/>
      </c>
      <c r="E1790">
        <f>INDEX(FactorTable!$B$2:$Y$301, MATCH(ROUND(MIN(300,MAX(1,D1790)),0), FactorTable!$A$2:$A$301,0), Skills!M9+1)</f>
        <v/>
      </c>
      <c r="F1790">
        <f>IF(Skills!N9=TRUE,(Skills!L9/10)*(E1790/1000),Skills!L9/10)+Skills!O9</f>
        <v/>
      </c>
      <c r="G1790">
        <f>Skills!G9*IF(Skills!H9&gt;0,Skills!I9/Skills!H9,1)</f>
        <v/>
      </c>
      <c r="H1790">
        <f>1-(1-Skills!J9/100)^Skills!K9</f>
        <v/>
      </c>
      <c r="I1790" t="inlineStr">
        <is>
          <t>1</t>
        </is>
      </c>
      <c r="J1790">
        <f>((Inputs!$B$6*(1+Inputs!$B$7/100))+(((Inputs!$B$12*(1+Inputs!$B$13/100))-(Inputs!$B$12*(1+Inputs!$B$13/100)))+0.25*(Inputs!$B$14-Inputs!$B$14))*(1+Inputs!$B$7/100))*(F1790/100)</f>
        <v/>
      </c>
      <c r="K1790">
        <f>J1790*(1+((Inputs!$B$12*(1+Inputs!$B$13/100))*0.01+Inputs!$B$14*0.0025)/100)*(1+Inputs!$B$15/100)*(1+Inputs!$B$16/100)*(5000/(6000+Inputs!$B$42*(1-(100*(1-(1-(Inputs!$B$19+0)/100)*(1-CHOOSE(ArtifactsInput!$N$40+1,5,6,7,8,9,10)/100)^(ArtifactsInput!$M$40-ArtifactsInput!$M$40)))/100)))*(1+(Inputs!$B$24+((C1805=TRUE)*(F1805-Calc!F24))+((C1806=TRUE)*(F1806-Calc!F25))+B1819)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EMPOWERED_PIERCING_ARROW",Inputs!$B$17+((C1803=TRUE)*(F1803-Calc!F22))+(((IF(AND(ArtifactsInput!$M$42,((Inputs!$B$9+((C1800=TRUE)*(F1800-Calc!F19))+B1813+(ArtifactsInput!$M$24-ArtifactsInput!$M$24)*CHOOSE(ArtifactsInput!$N$24+1,10,12,14,16,18,20)+IF(ArtifactsInput!$M$10,CHOOSE(ArtifactsInput!$N$10+1,15,18,21,24,27,30)*(IF(Inputs!$B$38="pvp",MIN(15,15)/15,IF(AND(Inputs!$B$38&lt;&gt;"pvp",Inputs!$B$43&gt;0),MIN(15,Inputs!$B$43)/(Inputs!$B$43),0))),0)))&gt;=100),MIN(100,((Inputs!$B$9+((C1800=TRUE)*(F1800-Calc!F19))+B1813+(ArtifactsInput!$M$24-ArtifactsInput!$M$24)*CHOOSE(ArtifactsInput!$N$24+1,10,12,14,16,18,20)+IF(ArtifactsInput!$M$10,CHOOSE(ArtifactsInput!$N$10+1,15,18,21,24,27,30)*(IF(Inputs!$B$38="pvp",MIN(15,15)/15,IF(AND(Inputs!$B$38&lt;&gt;"pvp",Inputs!$B$43&gt;0),MIN(15,Inputs!$B$43)/(Inputs!$B$43),0))),0)))-100),0))*CHOOSE(ArtifactsInput!$N$42+1,0.6,0.72,0.84,0.96,1.08,1.2))),Inputs!$B$18+((C1808=TRUE)*(F1808-Calc!F27))+(IF(AND(ArtifactsInput!$M$42,((Inputs!$B$9+((C1800=TRUE)*(F1800-Calc!F19))+B1813+(ArtifactsInput!$M$24-ArtifactsInput!$M$24)*CHOOSE(ArtifactsInput!$N$24+1,10,12,14,16,18,20)+IF(ArtifactsInput!$M$10,CHOOSE(ArtifactsInput!$N$10+1,15,18,21,24,27,30)*(IF(Inputs!$B$38="pvp",MIN(15,15)/15,IF(AND(Inputs!$B$38&lt;&gt;"pvp",Inputs!$B$43&gt;0),MIN(15,Inputs!$B$43)/(Inputs!$B$43),0))),0)))&gt;=100),CHOOSE(ArtifactsInput!$N$42+1,40,48,56,64,72,80),0))))/100)*((1+(((C1794=TRUE)*F1794)+((C1795=TRUE)*IF(Inputs!$B$38="pvp",F1795,(1-Summary!$B$11)*(F1795)+Summary!$B$11*(0)))+((C1796=TRUE)*F1796*IF(AND(Inputs!$B$38&lt;&gt;"pvp",Inputs!$B$43&gt;0),(((R1796-1)*(Skills!T15*(1+Inputs!$B$34/100))+MIN((Skills!T15*(1+Inputs!$B$34/100)),MAX(0,Inputs!$B$43-((R1796-1)*Skills!D15))))/Inputs!$B$43),IF(Inputs!$B$38="pvp",MIN((Skills!T15*(1+Inputs!$B$34/100)),15)/15,(Skills!T15*(1+Inputs!$B$34/100))/Skills!D15)))+((C1793=TRUE)*F1793)+((C1810=TRUE)*(F1810-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1790)</f>
        <v/>
      </c>
      <c r="L1790">
        <f>K1790*(MIN(Inputs!$B$22+((C1804=TRUE)*(F1804-Calc!F23)),(Inputs!$B$23+((C1809=TRUE)*(F1809-Calc!F28))+(IF(ArtifactsInput!$M$15,CHOOSE(ArtifactsInput!$N$15+1,25,30,35,40,45,50)/100*(Inputs!$B$11-Inputs!$B$11),0))))/100+(Inputs!$B$23+((C1809=TRUE)*(F1809-Calc!F28))+(IF(ArtifactsInput!$M$15,CHOOSE(ArtifactsInput!$N$15+1,25,30,35,40,45,50)/100*(Inputs!$B$11-Inputs!$B$11),0)))/100)/2</f>
        <v/>
      </c>
      <c r="M1790">
        <f>L1790*(1+(Inputs!$B$10+0+B1818+(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790">
        <f>L1790*(1-MIN((Inputs!$B$9+((C1800=TRUE)*(F1800-Calc!F19))+B1813+(ArtifactsInput!$M$24-ArtifactsInput!$M$24)*CHOOSE(ArtifactsInput!$N$24+1,10,12,14,16,18,20)+(IF(AND(ArtifactsInput!$M$42,((Inputs!$B$9+((C1800=TRUE)*(F1800-Calc!F19))+B1813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1790*(MIN((Inputs!$B$9+((C1800=TRUE)*(F1800-Calc!F19))+B1813+(ArtifactsInput!$M$24-ArtifactsInput!$M$24)*CHOOSE(ArtifactsInput!$N$24+1,10,12,14,16,18,20)+(IF(AND(ArtifactsInput!$M$42,((Inputs!$B$9+((C1800=TRUE)*(F1800-Calc!F19))+B1813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790">
        <f>(1-Summary!$B$11)*T1790+Summary!$B$11*V1790</f>
        <v/>
      </c>
      <c r="P1790">
        <f>IF(B1823=0,0,O1790/B1823)</f>
        <v/>
      </c>
      <c r="Q1790">
        <f>IFERROR(1/IF(Inputs!$B$38="pvp",15,MAX(0.1,Skills!D9-IF(Skills!E9=TRUE,Inputs!$B$32,0))),0)</f>
        <v/>
      </c>
      <c r="R1790">
        <f>IF(AND(Inputs!$B$38&lt;&gt;"pvp",Inputs!$B$43&gt;0),IF(MAX(0,Inputs!$B$43-B1820)&lt;=0,0,(INT(MAX(0,Inputs!$B$43-B1820)/IF(Inputs!$B$38="pvp",15,MAX(0.1,Skills!D9-IF(Skills!E9=TRUE,Inputs!$B$32,0))))+1)),0)</f>
        <v/>
      </c>
      <c r="S1790">
        <f>IFERROR((H1790*N1790*IF(AND(Inputs!$B$38&lt;&gt;"pvp",Inputs!$B$43&gt;0),((Skills!G9*((R1790-1)*IF(Skills!H9&gt;0,Skills!I9/Skills!H9,1)+IF(Skills!H9&gt;0,MIN(Skills!I9,MAX(0,MAX(0,Inputs!$B$43-B1820)-((R1790-1)*IF(Inputs!$B$38="pvp",15,MAX(0.1,Skills!D9-IF(Skills!E9=TRUE,Inputs!$B$32,0))))))/Skills!H9,1)))/Inputs!$B$43),G1790*Q1790))/N1790*IF(Inputs!$B$38="pvp",1,(1-Summary!$B$11)*1+Summary!$B$11*(MIN(Skills!R9,Inputs!$B$37))),0)</f>
        <v/>
      </c>
      <c r="T1790">
        <f>IF(C1790,(H1790*N1790*IF(AND(Inputs!$B$38&lt;&gt;"pvp",Inputs!$B$43&gt;0),((Skills!G9*((R1790-1)*IF(Skills!H9&gt;0,Skills!I9/Skills!H9,1)+IF(Skills!H9&gt;0,MIN(Skills!I9,MAX(0,MAX(0,Inputs!$B$43-B1820)-((R1790-1)*IF(Inputs!$B$38="pvp",15,MAX(0.1,Skills!D9-IF(Skills!E9=TRUE,Inputs!$B$32,0))))))/Skills!H9,1)))/Inputs!$B$43),G1790*Q1790))*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Hunt"),CHOOSE(ArtifactsInput!$N$35+1,15,18,21,24,27,30)*(1-EXP(-(0.2*B1815)*5)),0)+IF(AND(ArtifactsInput!$M$22,Inputs!$B$4&lt;&gt;"Chapter Hunt"),CHOOSE(ArtifactsInput!$N$22+1,10,12,14,16,18,20)*((0*(((0.15*B1815*5))^0/1)+1*(((0.15*B1815*5))^1/1)+2*(((0.15*B1815*5))^2/2)+3*(((0.15*B1815*5))^3/6)+4*(((0.15*B1815*5))^4/24)+5*(((0.15*B1815*5))^5/120))/((((0.15*B1815*5))^0/1)+(((0.15*B1815*5))^1/1)+(((0.15*B1815*5))^2/2)+(((0.15*B1815*5))^3/6)+(((0.15*B1815*5))^4/24)+(((0.15*B1815*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1790*(1-MIN(100,(Inputs!$B$9+((C1800=TRUE)*(F1800-Calc!F19))+B1813+(ArtifactsInput!$M$24-ArtifactsInput!$M$24)*CHOOSE(ArtifactsInput!$N$24+1,10,12,14,16,18,20)+(IF(AND(ArtifactsInput!$M$42,((Inputs!$B$9+((C1800=TRUE)*(F1800-Calc!F19))+B1813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1790*(MIN(100,(Inputs!$B$9+((C1800=TRUE)*(F1800-Calc!F19))+B1813+(ArtifactsInput!$M$24-ArtifactsInput!$M$24)*CHOOSE(ArtifactsInput!$N$24+1,10,12,14,16,18,20)+(IF(AND(ArtifactsInput!$M$42,((Inputs!$B$9+((C1800=TRUE)*(F1800-Calc!F19))+B1813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1790*(1-MIN(100,(Inputs!$B$9+((C1800=TRUE)*(F1800-Calc!F19))+B1813+(ArtifactsInput!$M$24-ArtifactsInput!$M$24)*CHOOSE(ArtifactsInput!$N$24+1,10,12,14,16,18,20)+(IF(AND(ArtifactsInput!$M$42,((Inputs!$B$9+((C1800=TRUE)*(F1800-Calc!F19))+B1813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1790*(MIN(100,(Inputs!$B$9+((C1800=TRUE)*(F1800-Calc!F19))+B1813+(ArtifactsInput!$M$24-ArtifactsInput!$M$24)*CHOOSE(ArtifactsInput!$N$24+1,10,12,14,16,18,20)+(IF(AND(ArtifactsInput!$M$42,((Inputs!$B$9+((C1800=TRUE)*(F1800-Calc!F19))+B1813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790">
        <f>IF(C1790,(H1790*N1790*IF(AND(Inputs!$B$38&lt;&gt;"pvp",Inputs!$B$43&gt;0),((Skills!G9*((R1790-1)*IF(Skills!H9&gt;0,Skills!I9/Skills!H9,1)+IF(Skills!H9&gt;0,MIN(Skills!I9,MAX(0,MAX(0,Inputs!$B$43-B1820)-((R1790-1)*IF(Inputs!$B$38="pvp",15,MAX(0.1,Skills!D9-IF(Skills!E9=TRUE,Inputs!$B$32,0))))))/Skills!H9,1)))/Inputs!$B$43),G1790*Q1790))*IF(Inputs!$B$38="pvp",1,(1+(Inputs!$B$21+Skills!Q9+(IF(ArtifactsInput!$M$33,CHOOSE(ArtifactsInput!$N$33+1,30,36,42,48,54,60),0))+(IF(AND(ArtifactsInput!$M$35,Inputs!$B$4&lt;&gt;"Chapter Hunt"),CHOOSE(ArtifactsInput!$N$35+1,15,18,21,24,27,30)*(1-EXP(-(0.2*B1815)*5)),0)+IF(AND(ArtifactsInput!$M$22,Inputs!$B$4&lt;&gt;"Chapter Hunt"),CHOOSE(ArtifactsInput!$N$22+1,10,12,14,16,18,20)*((0*(((0.15*B1815*5))^0/1)+1*(((0.15*B1815*5))^1/1)+2*(((0.15*B1815*5))^2/2)+3*(((0.15*B1815*5))^3/6)+4*(((0.15*B1815*5))^4/24)+5*(((0.15*B1815*5))^5/120))/((((0.15*B1815*5))^0/1)+(((0.15*B1815*5))^1/1)+(((0.15*B1815*5))^2/2)+(((0.15*B1815*5))^3/6)+(((0.15*B1815*5))^4/24)+(((0.15*B1815*5))^5/120)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791">
      <c r="A1791">
        <f>Skills!A10</f>
        <v/>
      </c>
      <c r="B1791">
        <f>Skills!B10</f>
        <v/>
      </c>
      <c r="C1791">
        <f>Inputs!$B$3&gt;=107</f>
        <v/>
      </c>
      <c r="D1791">
        <f>IF(Skills!C10=1,60+Inputs!$B$25+Inputs!$B$29,IF(Skills!C10=2,90+Inputs!$B$26+Inputs!$B$29,IF(Skills!C10=3,120+Inputs!$B$27+Inputs!$B$29,MAX(0,(Inputs!$B$3-100)*3)+Inputs!$B$28+Inputs!$B$29)))</f>
        <v/>
      </c>
      <c r="E1791">
        <f>INDEX(FactorTable!$B$2:$Y$301, MATCH(ROUND(MIN(300,MAX(1,D1791)),0), FactorTable!$A$2:$A$301,0), Skills!M10+1)</f>
        <v/>
      </c>
      <c r="F1791">
        <f>IF(Skills!N10=TRUE,(Skills!L10/10)*(E1791/1000),Skills!L10/10)+Skills!O10</f>
        <v/>
      </c>
      <c r="G1791">
        <f>Skills!G10*IF(Skills!H10&gt;0,Skills!I10/Skills!H10,1)</f>
        <v/>
      </c>
      <c r="H1791">
        <f>1-(1-Skills!J10/100)^Skills!K10</f>
        <v/>
      </c>
      <c r="I1791" t="inlineStr">
        <is>
          <t>1</t>
        </is>
      </c>
      <c r="J1791">
        <f>((Inputs!$B$6*(1+Inputs!$B$7/100))+(((Inputs!$B$12*(1+Inputs!$B$13/100))-(Inputs!$B$12*(1+Inputs!$B$13/100)))+0.25*(Inputs!$B$14-Inputs!$B$14))*(1+Inputs!$B$7/100))*(F1791/100)</f>
        <v/>
      </c>
      <c r="K1791">
        <f>J1791*(1+((Inputs!$B$12*(1+Inputs!$B$13/100))*0.01+Inputs!$B$14*0.0025)/100)*(1+Inputs!$B$15/100)*(1+Inputs!$B$16/100)*(5000/(6000+Inputs!$B$42*(1-(100*(1-(1-(Inputs!$B$19+0)/100)*(1-CHOOSE(ArtifactsInput!$N$40+1,5,6,7,8,9,10)/100)^(ArtifactsInput!$M$40-ArtifactsInput!$M$40)))/100)))*(1+(Inputs!$B$24+((C1805=TRUE)*(F1805-Calc!F24))+((C1806=TRUE)*(F1806-Calc!F25))+B1819)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EMPOWERED_PIERCING_ARROW",Inputs!$B$17+((C1803=TRUE)*(F1803-Calc!F22))+(((IF(AND(ArtifactsInput!$M$42,((Inputs!$B$9+((C1800=TRUE)*(F1800-Calc!F19))+B1813+(ArtifactsInput!$M$24-ArtifactsInput!$M$24)*CHOOSE(ArtifactsInput!$N$24+1,10,12,14,16,18,20)+IF(ArtifactsInput!$M$10,CHOOSE(ArtifactsInput!$N$10+1,15,18,21,24,27,30)*(IF(Inputs!$B$38="pvp",MIN(15,15)/15,IF(AND(Inputs!$B$38&lt;&gt;"pvp",Inputs!$B$43&gt;0),MIN(15,Inputs!$B$43)/(Inputs!$B$43),0))),0)))&gt;=100),MIN(100,((Inputs!$B$9+((C1800=TRUE)*(F1800-Calc!F19))+B1813+(ArtifactsInput!$M$24-ArtifactsInput!$M$24)*CHOOSE(ArtifactsInput!$N$24+1,10,12,14,16,18,20)+IF(ArtifactsInput!$M$10,CHOOSE(ArtifactsInput!$N$10+1,15,18,21,24,27,30)*(IF(Inputs!$B$38="pvp",MIN(15,15)/15,IF(AND(Inputs!$B$38&lt;&gt;"pvp",Inputs!$B$43&gt;0),MIN(15,Inputs!$B$43)/(Inputs!$B$43),0))),0)))-100),0))*CHOOSE(ArtifactsInput!$N$42+1,0.6,0.72,0.84,0.96,1.08,1.2))),Inputs!$B$18+((C1808=TRUE)*(F1808-Calc!F27))+(IF(AND(ArtifactsInput!$M$42,((Inputs!$B$9+((C1800=TRUE)*(F1800-Calc!F19))+B1813+(ArtifactsInput!$M$24-ArtifactsInput!$M$24)*CHOOSE(ArtifactsInput!$N$24+1,10,12,14,16,18,20)+IF(ArtifactsInput!$M$10,CHOOSE(ArtifactsInput!$N$10+1,15,18,21,24,27,30)*(IF(Inputs!$B$38="pvp",MIN(15,15)/15,IF(AND(Inputs!$B$38&lt;&gt;"pvp",Inputs!$B$43&gt;0),MIN(15,Inputs!$B$43)/(Inputs!$B$43),0))),0)))&gt;=100),CHOOSE(ArtifactsInput!$N$42+1,40,48,56,64,72,80),0))))/100)*((1+(((C1794=TRUE)*F1794)+((C1795=TRUE)*IF(Inputs!$B$38="pvp",F1795,(1-Summary!$B$11)*(F1795)+Summary!$B$11*(0)))+((C1796=TRUE)*F1796*IF(AND(Inputs!$B$38&lt;&gt;"pvp",Inputs!$B$43&gt;0),(((R1796-1)*(Skills!T15*(1+Inputs!$B$34/100))+MIN((Skills!T15*(1+Inputs!$B$34/100)),MAX(0,Inputs!$B$43-((R1796-1)*Skills!D15))))/Inputs!$B$43),IF(Inputs!$B$38="pvp",MIN((Skills!T15*(1+Inputs!$B$34/100)),15)/15,(Skills!T15*(1+Inputs!$B$34/100))/Skills!D15)))+((C1793=TRUE)*F1793)+((C1810=TRUE)*(F1810-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1791)</f>
        <v/>
      </c>
      <c r="L1791">
        <f>K1791*(MIN(Inputs!$B$22+((C1804=TRUE)*(F1804-Calc!F23)),(Inputs!$B$23+((C1809=TRUE)*(F1809-Calc!F28))+(IF(ArtifactsInput!$M$15,CHOOSE(ArtifactsInput!$N$15+1,25,30,35,40,45,50)/100*(Inputs!$B$11-Inputs!$B$11),0))))/100+(Inputs!$B$23+((C1809=TRUE)*(F1809-Calc!F28))+(IF(ArtifactsInput!$M$15,CHOOSE(ArtifactsInput!$N$15+1,25,30,35,40,45,50)/100*(Inputs!$B$11-Inputs!$B$11),0)))/100)/2</f>
        <v/>
      </c>
      <c r="M1791">
        <f>L1791*(1+(Inputs!$B$10+0+B1818+(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791">
        <f>L1791*(1-MIN((Inputs!$B$9+((C1800=TRUE)*(F1800-Calc!F19))+B1813+(ArtifactsInput!$M$24-ArtifactsInput!$M$24)*CHOOSE(ArtifactsInput!$N$24+1,10,12,14,16,18,20)+(IF(AND(ArtifactsInput!$M$42,((Inputs!$B$9+((C1800=TRUE)*(F1800-Calc!F19))+B1813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1791*(MIN((Inputs!$B$9+((C1800=TRUE)*(F1800-Calc!F19))+B1813+(ArtifactsInput!$M$24-ArtifactsInput!$M$24)*CHOOSE(ArtifactsInput!$N$24+1,10,12,14,16,18,20)+(IF(AND(ArtifactsInput!$M$42,((Inputs!$B$9+((C1800=TRUE)*(F1800-Calc!F19))+B1813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791">
        <f>(1-Summary!$B$11)*T1791+Summary!$B$11*V1791</f>
        <v/>
      </c>
      <c r="P1791">
        <f>IF(B1823=0,0,O1791/B1823)</f>
        <v/>
      </c>
      <c r="Q1791" t="n">
        <v>0</v>
      </c>
      <c r="R1791" t="n">
        <v>0</v>
      </c>
      <c r="S1791" t="n">
        <v>0</v>
      </c>
      <c r="T1791">
        <f>IF(C1791,(0.15*SUMPRODUCT((Skills!U2:U29=TRUE)*(C1783:C1810=TRUE)*S1783:S1810)*Skills!G10*N1791)*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Hunt"),CHOOSE(ArtifactsInput!$N$35+1,15,18,21,24,27,30)*(1-EXP(-(0.2*B1815)*5)),0)+IF(AND(ArtifactsInput!$M$22,Inputs!$B$4&lt;&gt;"Chapter Hunt"),CHOOSE(ArtifactsInput!$N$22+1,10,12,14,16,18,20)*((0*(((0.15*B1815*5))^0/1)+1*(((0.15*B1815*5))^1/1)+2*(((0.15*B1815*5))^2/2)+3*(((0.15*B1815*5))^3/6)+4*(((0.15*B1815*5))^4/24)+5*(((0.15*B1815*5))^5/120))/((((0.15*B1815*5))^0/1)+(((0.15*B1815*5))^1/1)+(((0.15*B1815*5))^2/2)+(((0.15*B1815*5))^3/6)+(((0.15*B1815*5))^4/24)+(((0.15*B1815*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1791*(1-MIN(100,(Inputs!$B$9+((C1800=TRUE)*(F1800-Calc!F19))+B1813+(ArtifactsInput!$M$24-ArtifactsInput!$M$24)*CHOOSE(ArtifactsInput!$N$24+1,10,12,14,16,18,20)+(IF(AND(ArtifactsInput!$M$42,((Inputs!$B$9+((C1800=TRUE)*(F1800-Calc!F19))+B1813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1791*(MIN(100,(Inputs!$B$9+((C1800=TRUE)*(F1800-Calc!F19))+B1813+(ArtifactsInput!$M$24-ArtifactsInput!$M$24)*CHOOSE(ArtifactsInput!$N$24+1,10,12,14,16,18,20)+(IF(AND(ArtifactsInput!$M$42,((Inputs!$B$9+((C1800=TRUE)*(F1800-Calc!F19))+B1813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1791*(1-MIN(100,(Inputs!$B$9+((C1800=TRUE)*(F1800-Calc!F19))+B1813+(ArtifactsInput!$M$24-ArtifactsInput!$M$24)*CHOOSE(ArtifactsInput!$N$24+1,10,12,14,16,18,20)+(IF(AND(ArtifactsInput!$M$42,((Inputs!$B$9+((C1800=TRUE)*(F1800-Calc!F19))+B1813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1791*(MIN(100,(Inputs!$B$9+((C1800=TRUE)*(F1800-Calc!F19))+B1813+(ArtifactsInput!$M$24-ArtifactsInput!$M$24)*CHOOSE(ArtifactsInput!$N$24+1,10,12,14,16,18,20)+(IF(AND(ArtifactsInput!$M$42,((Inputs!$B$9+((C1800=TRUE)*(F1800-Calc!F19))+B1813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791">
        <f>IF(C1791,(0.15*SUMPRODUCT((Skills!U2:U29=TRUE)*(C1783:C1810=TRUE)*S1783:S1810)*Skills!G10*N1791)*IF(Inputs!$B$38="pvp",1,(1+(Inputs!$B$21+Skills!Q10+(IF(ArtifactsInput!$M$33,CHOOSE(ArtifactsInput!$N$33+1,30,36,42,48,54,60),0))+(IF(AND(ArtifactsInput!$M$35,Inputs!$B$4&lt;&gt;"Chapter Hunt"),CHOOSE(ArtifactsInput!$N$35+1,15,18,21,24,27,30)*(1-EXP(-(0.2*B1815)*5)),0)+IF(AND(ArtifactsInput!$M$22,Inputs!$B$4&lt;&gt;"Chapter Hunt"),CHOOSE(ArtifactsInput!$N$22+1,10,12,14,16,18,20)*((0*(((0.15*B1815*5))^0/1)+1*(((0.15*B1815*5))^1/1)+2*(((0.15*B1815*5))^2/2)+3*(((0.15*B1815*5))^3/6)+4*(((0.15*B1815*5))^4/24)+5*(((0.15*B1815*5))^5/120))/((((0.15*B1815*5))^0/1)+(((0.15*B1815*5))^1/1)+(((0.15*B1815*5))^2/2)+(((0.15*B1815*5))^3/6)+(((0.15*B1815*5))^4/24)+(((0.15*B1815*5))^5/120)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792">
      <c r="A1792">
        <f>Skills!A11</f>
        <v/>
      </c>
      <c r="B1792">
        <f>Skills!B11</f>
        <v/>
      </c>
      <c r="C1792">
        <f>Inputs!$B$3&gt;=110</f>
        <v/>
      </c>
      <c r="D1792">
        <f>IF(Skills!C11=1,60+Inputs!$B$25+Inputs!$B$29,IF(Skills!C11=2,90+Inputs!$B$26+Inputs!$B$29,IF(Skills!C11=3,120+Inputs!$B$27+Inputs!$B$29,MAX(0,(Inputs!$B$3-100)*3)+Inputs!$B$28+Inputs!$B$29)))</f>
        <v/>
      </c>
      <c r="E1792">
        <f>INDEX(FactorTable!$B$2:$Y$301, MATCH(ROUND(MIN(300,MAX(1,D1792)),0), FactorTable!$A$2:$A$301,0), Skills!M11+1)</f>
        <v/>
      </c>
      <c r="F1792">
        <f>IF(Skills!N11=TRUE,(Skills!L11/10)*(E1792/1000),Skills!L11/10)+Skills!O11</f>
        <v/>
      </c>
      <c r="G1792">
        <f>Skills!G11*IF(Skills!H11&gt;0,Skills!I11/Skills!H11,1)</f>
        <v/>
      </c>
      <c r="H1792">
        <f>1-(1-Skills!J11/100)^Skills!K11</f>
        <v/>
      </c>
      <c r="I1792" t="inlineStr">
        <is>
          <t>1</t>
        </is>
      </c>
      <c r="J1792">
        <f>((Inputs!$B$6*(1+Inputs!$B$7/100))+(((Inputs!$B$12*(1+Inputs!$B$13/100))-(Inputs!$B$12*(1+Inputs!$B$13/100)))+0.25*(Inputs!$B$14-Inputs!$B$14))*(1+Inputs!$B$7/100))*(F1792/100)</f>
        <v/>
      </c>
      <c r="K1792">
        <f>J1792*(1+((Inputs!$B$12*(1+Inputs!$B$13/100))*0.01+Inputs!$B$14*0.0025)/100)*(1+Inputs!$B$15/100)*(1+Inputs!$B$16/100)*(5000/(6000+Inputs!$B$42*(1-(100*(1-(1-(Inputs!$B$19+0)/100)*(1-CHOOSE(ArtifactsInput!$N$40+1,5,6,7,8,9,10)/100)^(ArtifactsInput!$M$40-ArtifactsInput!$M$40)))/100)))*(1+(Inputs!$B$24+((C1805=TRUE)*(F1805-Calc!F24))+((C1806=TRUE)*(F1806-Calc!F25))+B1819)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11="EMPOWERED_PIERCING_ARROW",Inputs!$B$17+((C1803=TRUE)*(F1803-Calc!F22))+(((IF(AND(ArtifactsInput!$M$42,((Inputs!$B$9+((C1800=TRUE)*(F1800-Calc!F19))+B1813+(ArtifactsInput!$M$24-ArtifactsInput!$M$24)*CHOOSE(ArtifactsInput!$N$24+1,10,12,14,16,18,20)+IF(ArtifactsInput!$M$10,CHOOSE(ArtifactsInput!$N$10+1,15,18,21,24,27,30)*(IF(Inputs!$B$38="pvp",MIN(15,15)/15,IF(AND(Inputs!$B$38&lt;&gt;"pvp",Inputs!$B$43&gt;0),MIN(15,Inputs!$B$43)/(Inputs!$B$43),0))),0)))&gt;=100),MIN(100,((Inputs!$B$9+((C1800=TRUE)*(F1800-Calc!F19))+B1813+(ArtifactsInput!$M$24-ArtifactsInput!$M$24)*CHOOSE(ArtifactsInput!$N$24+1,10,12,14,16,18,20)+IF(ArtifactsInput!$M$10,CHOOSE(ArtifactsInput!$N$10+1,15,18,21,24,27,30)*(IF(Inputs!$B$38="pvp",MIN(15,15)/15,IF(AND(Inputs!$B$38&lt;&gt;"pvp",Inputs!$B$43&gt;0),MIN(15,Inputs!$B$43)/(Inputs!$B$43),0))),0)))-100),0))*CHOOSE(ArtifactsInput!$N$42+1,0.6,0.72,0.84,0.96,1.08,1.2))),Inputs!$B$18+((C1808=TRUE)*(F1808-Calc!F27))+(IF(AND(ArtifactsInput!$M$42,((Inputs!$B$9+((C1800=TRUE)*(F1800-Calc!F19))+B1813+(ArtifactsInput!$M$24-ArtifactsInput!$M$24)*CHOOSE(ArtifactsInput!$N$24+1,10,12,14,16,18,20)+IF(ArtifactsInput!$M$10,CHOOSE(ArtifactsInput!$N$10+1,15,18,21,24,27,30)*(IF(Inputs!$B$38="pvp",MIN(15,15)/15,IF(AND(Inputs!$B$38&lt;&gt;"pvp",Inputs!$B$43&gt;0),MIN(15,Inputs!$B$43)/(Inputs!$B$43),0))),0)))&gt;=100),CHOOSE(ArtifactsInput!$N$42+1,40,48,56,64,72,80),0))))/100)*((1+(((C1794=TRUE)*F1794)+((C1795=TRUE)*IF(Inputs!$B$38="pvp",F1795,(1-Summary!$B$11)*(F1795)+Summary!$B$11*(0)))+((C1796=TRUE)*F1796*IF(AND(Inputs!$B$38&lt;&gt;"pvp",Inputs!$B$43&gt;0),(((R1796-1)*(Skills!T15*(1+Inputs!$B$34/100))+MIN((Skills!T15*(1+Inputs!$B$34/100)),MAX(0,Inputs!$B$43-((R1796-1)*Skills!D15))))/Inputs!$B$43),IF(Inputs!$B$38="pvp",MIN((Skills!T15*(1+Inputs!$B$34/100)),15)/15,(Skills!T15*(1+Inputs!$B$34/100))/Skills!D15)))+((C1793=TRUE)*F1793)+((C1810=TRUE)*(F1810-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1792)</f>
        <v/>
      </c>
      <c r="L1792">
        <f>K1792*(MIN(Inputs!$B$22+((C1804=TRUE)*(F1804-Calc!F23)),(Inputs!$B$23+((C1809=TRUE)*(F1809-Calc!F28))+(IF(ArtifactsInput!$M$15,CHOOSE(ArtifactsInput!$N$15+1,25,30,35,40,45,50)/100*(Inputs!$B$11-Inputs!$B$11),0))))/100+(Inputs!$B$23+((C1809=TRUE)*(F1809-Calc!F28))+(IF(ArtifactsInput!$M$15,CHOOSE(ArtifactsInput!$N$15+1,25,30,35,40,45,50)/100*(Inputs!$B$11-Inputs!$B$11),0)))/100)/2</f>
        <v/>
      </c>
      <c r="M1792">
        <f>L1792*(1+(Inputs!$B$10+0+B1818+(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792">
        <f>L1792*(1-MIN((Inputs!$B$9+((C1800=TRUE)*(F1800-Calc!F19))+B1813+(ArtifactsInput!$M$24-ArtifactsInput!$M$24)*CHOOSE(ArtifactsInput!$N$24+1,10,12,14,16,18,20)+(IF(AND(ArtifactsInput!$M$42,((Inputs!$B$9+((C1800=TRUE)*(F1800-Calc!F19))+B1813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1792*(MIN((Inputs!$B$9+((C1800=TRUE)*(F1800-Calc!F19))+B1813+(ArtifactsInput!$M$24-ArtifactsInput!$M$24)*CHOOSE(ArtifactsInput!$N$24+1,10,12,14,16,18,20)+(IF(AND(ArtifactsInput!$M$42,((Inputs!$B$9+((C1800=TRUE)*(F1800-Calc!F19))+B1813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792">
        <f>(1-Summary!$B$11)*T1792+Summary!$B$11*V1792</f>
        <v/>
      </c>
      <c r="P1792">
        <f>IF(B1823=0,0,O1792/B1823)</f>
        <v/>
      </c>
      <c r="Q1792">
        <f>IFERROR(1/IF(Inputs!$B$38="pvp",15,MAX(0.1,Skills!D11-IF(Skills!E11=TRUE,Inputs!$B$32,0))),0)</f>
        <v/>
      </c>
      <c r="R1792">
        <f>IF(AND(Inputs!$B$38&lt;&gt;"pvp",Inputs!$B$43&gt;0),IF(MAX(0,Inputs!$B$43-B1820)&lt;=0,0,(INT(MAX(0,Inputs!$B$43-B1820)/IF(Inputs!$B$38="pvp",15,MAX(0.1,Skills!D11-IF(Skills!E11=TRUE,Inputs!$B$32,0))))+1)),0)</f>
        <v/>
      </c>
      <c r="S1792">
        <f>IFERROR((H1792*N1792*IF(AND(Inputs!$B$38&lt;&gt;"pvp",Inputs!$B$43&gt;0),((Skills!G11*((R1792-1)*IF(Skills!H11&gt;0,Skills!I11/Skills!H11,1)+IF(Skills!H11&gt;0,MIN(Skills!I11,MAX(0,MAX(0,Inputs!$B$43-B1820)-((R1792-1)*IF(Inputs!$B$38="pvp",15,MAX(0.1,Skills!D11-IF(Skills!E11=TRUE,Inputs!$B$32,0))))))/Skills!H11,1)))/Inputs!$B$43),G1792*Q1792))/N1792*IF(Inputs!$B$38="pvp",1,(1-Summary!$B$11)*1+Summary!$B$11*(MIN(Skills!R11,Inputs!$B$37))),0)</f>
        <v/>
      </c>
      <c r="T1792">
        <f>IF(C1792,(H1792*N1792*IF(AND(Inputs!$B$38&lt;&gt;"pvp",Inputs!$B$43&gt;0),((Skills!G11*((R1792-1)*IF(Skills!H11&gt;0,Skills!I11/Skills!H11,1)+IF(Skills!H11&gt;0,MIN(Skills!I11,MAX(0,MAX(0,Inputs!$B$43-B1820)-((R1792-1)*IF(Inputs!$B$38="pvp",15,MAX(0.1,Skills!D11-IF(Skills!E11=TRUE,Inputs!$B$32,0))))))/Skills!H11,1)))/Inputs!$B$43),G1792*Q1792))*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Hunt"),CHOOSE(ArtifactsInput!$N$35+1,15,18,21,24,27,30)*(1-EXP(-(0.2*B1815)*5)),0)+IF(AND(ArtifactsInput!$M$22,Inputs!$B$4&lt;&gt;"Chapter Hunt"),CHOOSE(ArtifactsInput!$N$22+1,10,12,14,16,18,20)*((0*(((0.15*B1815*5))^0/1)+1*(((0.15*B1815*5))^1/1)+2*(((0.15*B1815*5))^2/2)+3*(((0.15*B1815*5))^3/6)+4*(((0.15*B1815*5))^4/24)+5*(((0.15*B1815*5))^5/120))/((((0.15*B1815*5))^0/1)+(((0.15*B1815*5))^1/1)+(((0.15*B1815*5))^2/2)+(((0.15*B1815*5))^3/6)+(((0.15*B1815*5))^4/24)+(((0.15*B1815*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1792*(1-MIN(100,(Inputs!$B$9+((C1800=TRUE)*(F1800-Calc!F19))+B1813+(ArtifactsInput!$M$24-ArtifactsInput!$M$24)*CHOOSE(ArtifactsInput!$N$24+1,10,12,14,16,18,20)+(IF(AND(ArtifactsInput!$M$42,((Inputs!$B$9+((C1800=TRUE)*(F1800-Calc!F19))+B1813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1792*(MIN(100,(Inputs!$B$9+((C1800=TRUE)*(F1800-Calc!F19))+B1813+(ArtifactsInput!$M$24-ArtifactsInput!$M$24)*CHOOSE(ArtifactsInput!$N$24+1,10,12,14,16,18,20)+(IF(AND(ArtifactsInput!$M$42,((Inputs!$B$9+((C1800=TRUE)*(F1800-Calc!F19))+B1813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1792*(1-MIN(100,(Inputs!$B$9+((C1800=TRUE)*(F1800-Calc!F19))+B1813+(ArtifactsInput!$M$24-ArtifactsInput!$M$24)*CHOOSE(ArtifactsInput!$N$24+1,10,12,14,16,18,20)+(IF(AND(ArtifactsInput!$M$42,((Inputs!$B$9+((C1800=TRUE)*(F1800-Calc!F19))+B1813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1792*(MIN(100,(Inputs!$B$9+((C1800=TRUE)*(F1800-Calc!F19))+B1813+(ArtifactsInput!$M$24-ArtifactsInput!$M$24)*CHOOSE(ArtifactsInput!$N$24+1,10,12,14,16,18,20)+(IF(AND(ArtifactsInput!$M$42,((Inputs!$B$9+((C1800=TRUE)*(F1800-Calc!F19))+B1813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792">
        <f>IF(C1792,(H1792*N1792*IF(AND(Inputs!$B$38&lt;&gt;"pvp",Inputs!$B$43&gt;0),((Skills!G11*((R1792-1)*IF(Skills!H11&gt;0,Skills!I11/Skills!H11,1)+IF(Skills!H11&gt;0,MIN(Skills!I11,MAX(0,MAX(0,Inputs!$B$43-B1820)-((R1792-1)*IF(Inputs!$B$38="pvp",15,MAX(0.1,Skills!D11-IF(Skills!E11=TRUE,Inputs!$B$32,0))))))/Skills!H11,1)))/Inputs!$B$43),G1792*Q1792))*IF(Inputs!$B$38="pvp",1,(1+(Inputs!$B$21+Skills!Q11+(IF(ArtifactsInput!$M$33,CHOOSE(ArtifactsInput!$N$33+1,30,36,42,48,54,60),0))+(IF(AND(ArtifactsInput!$M$35,Inputs!$B$4&lt;&gt;"Chapter Hunt"),CHOOSE(ArtifactsInput!$N$35+1,15,18,21,24,27,30)*(1-EXP(-(0.2*B1815)*5)),0)+IF(AND(ArtifactsInput!$M$22,Inputs!$B$4&lt;&gt;"Chapter Hunt"),CHOOSE(ArtifactsInput!$N$22+1,10,12,14,16,18,20)*((0*(((0.15*B1815*5))^0/1)+1*(((0.15*B1815*5))^1/1)+2*(((0.15*B1815*5))^2/2)+3*(((0.15*B1815*5))^3/6)+4*(((0.15*B1815*5))^4/24)+5*(((0.15*B1815*5))^5/120))/((((0.15*B1815*5))^0/1)+(((0.15*B1815*5))^1/1)+(((0.15*B1815*5))^2/2)+(((0.15*B1815*5))^3/6)+(((0.15*B1815*5))^4/24)+(((0.15*B1815*5))^5/120))),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793">
      <c r="A1793">
        <f>Skills!A12</f>
        <v/>
      </c>
      <c r="B1793">
        <f>Skills!B12</f>
        <v/>
      </c>
      <c r="C1793">
        <f>Inputs!$B$3&gt;=60</f>
        <v/>
      </c>
      <c r="D1793">
        <f>IF(Skills!C12=1,60+Inputs!$B$25+Inputs!$B$29,IF(Skills!C12=2,90+Inputs!$B$26+Inputs!$B$29,IF(Skills!C12=3,120+Inputs!$B$27+Inputs!$B$29,MAX(0,(Inputs!$B$3-100)*3)+Inputs!$B$28+Inputs!$B$29)))</f>
        <v/>
      </c>
      <c r="E1793">
        <f>INDEX(FactorTable!$B$2:$Y$301, MATCH(ROUND(MIN(300,MAX(1,D1793)),0), FactorTable!$A$2:$A$301,0), Skills!M12+1)</f>
        <v/>
      </c>
      <c r="F1793">
        <f>IF(Skills!N12=TRUE,(Skills!L12/10)*(E1793/1000),Skills!L12/10)+Skills!O12</f>
        <v/>
      </c>
      <c r="G1793">
        <f>Skills!G12*IF(Skills!H12&gt;0,Skills!I12/Skills!H12,1)</f>
        <v/>
      </c>
      <c r="H1793">
        <f>1-(1-Skills!J12/100)^Skills!K12</f>
        <v/>
      </c>
      <c r="I1793" t="inlineStr">
        <is>
          <t>1</t>
        </is>
      </c>
      <c r="J1793" t="inlineStr"/>
      <c r="K1793" t="inlineStr"/>
      <c r="L1793" t="inlineStr"/>
      <c r="M1793" t="inlineStr"/>
      <c r="N1793" t="inlineStr"/>
      <c r="O1793">
        <f>(1-Summary!$B$11)*T1793+Summary!$B$11*V1793</f>
        <v/>
      </c>
      <c r="P1793">
        <f>IF(B1823=0,0,O1793/B1823)</f>
        <v/>
      </c>
      <c r="Q1793" t="n">
        <v>0</v>
      </c>
      <c r="R1793" t="n">
        <v>0</v>
      </c>
      <c r="S1793" t="n">
        <v>0</v>
      </c>
      <c r="T1793" t="n">
        <v>0</v>
      </c>
      <c r="V1793" t="n">
        <v>0</v>
      </c>
    </row>
    <row r="1794">
      <c r="A1794">
        <f>Skills!A13</f>
        <v/>
      </c>
      <c r="B1794">
        <f>Skills!B13</f>
        <v/>
      </c>
      <c r="C1794">
        <f>Inputs!$B$3&gt;=74</f>
        <v/>
      </c>
      <c r="D1794">
        <f>IF(Skills!C13=1,60+Inputs!$B$25+Inputs!$B$29,IF(Skills!C13=2,90+Inputs!$B$26+Inputs!$B$29,IF(Skills!C13=3,120+Inputs!$B$27+Inputs!$B$29,MAX(0,(Inputs!$B$3-100)*3)+Inputs!$B$28+Inputs!$B$29)))</f>
        <v/>
      </c>
      <c r="E1794">
        <f>INDEX(FactorTable!$B$2:$Y$301, MATCH(ROUND(MIN(300,MAX(1,D1794)),0), FactorTable!$A$2:$A$301,0), Skills!M13+1)</f>
        <v/>
      </c>
      <c r="F1794">
        <f>IF(Skills!N13=TRUE,(Skills!L13/10)*(E1794/1000),Skills!L13/10)+Skills!O13</f>
        <v/>
      </c>
      <c r="G1794">
        <f>Skills!G13*IF(Skills!H13&gt;0,Skills!I13/Skills!H13,1)</f>
        <v/>
      </c>
      <c r="H1794">
        <f>1-(1-Skills!J13/100)^Skills!K13</f>
        <v/>
      </c>
      <c r="I1794" t="inlineStr">
        <is>
          <t>1</t>
        </is>
      </c>
      <c r="J1794" t="inlineStr"/>
      <c r="K1794" t="inlineStr"/>
      <c r="L1794" t="inlineStr"/>
      <c r="M1794" t="inlineStr"/>
      <c r="N1794" t="inlineStr"/>
      <c r="O1794">
        <f>(1-Summary!$B$11)*T1794+Summary!$B$11*V1794</f>
        <v/>
      </c>
      <c r="P1794">
        <f>IF(B1823=0,0,O1794/B1823)</f>
        <v/>
      </c>
      <c r="Q1794" t="n">
        <v>0</v>
      </c>
      <c r="R1794" t="n">
        <v>0</v>
      </c>
      <c r="S1794" t="n">
        <v>0</v>
      </c>
      <c r="T1794" t="n">
        <v>0</v>
      </c>
      <c r="V1794" t="n">
        <v>0</v>
      </c>
    </row>
    <row r="1795">
      <c r="A1795">
        <f>Skills!A14</f>
        <v/>
      </c>
      <c r="B1795">
        <f>Skills!B14</f>
        <v/>
      </c>
      <c r="C1795">
        <f>Inputs!$B$3&gt;=74</f>
        <v/>
      </c>
      <c r="D1795">
        <f>IF(Skills!C14=1,60+Inputs!$B$25+Inputs!$B$29,IF(Skills!C14=2,90+Inputs!$B$26+Inputs!$B$29,IF(Skills!C14=3,120+Inputs!$B$27+Inputs!$B$29,MAX(0,(Inputs!$B$3-100)*3)+Inputs!$B$28+Inputs!$B$29)))</f>
        <v/>
      </c>
      <c r="E1795">
        <f>INDEX(FactorTable!$B$2:$Y$301, MATCH(ROUND(MIN(300,MAX(1,D1795)),0), FactorTable!$A$2:$A$301,0), Skills!M14+1)</f>
        <v/>
      </c>
      <c r="F1795">
        <f>IF(Skills!N14=TRUE,(Skills!L14/10)*(E1795/1000),Skills!L14/10)+Skills!O14</f>
        <v/>
      </c>
      <c r="G1795">
        <f>Skills!G14*IF(Skills!H14&gt;0,Skills!I14/Skills!H14,1)</f>
        <v/>
      </c>
      <c r="H1795">
        <f>1-(1-Skills!J14/100)^Skills!K14</f>
        <v/>
      </c>
      <c r="I1795" t="inlineStr">
        <is>
          <t>1</t>
        </is>
      </c>
      <c r="J1795" t="inlineStr"/>
      <c r="K1795" t="inlineStr"/>
      <c r="L1795" t="inlineStr"/>
      <c r="M1795" t="inlineStr"/>
      <c r="N1795" t="inlineStr"/>
      <c r="O1795">
        <f>(1-Summary!$B$11)*T1795+Summary!$B$11*V1795</f>
        <v/>
      </c>
      <c r="P1795">
        <f>IF(B1823=0,0,O1795/B1823)</f>
        <v/>
      </c>
      <c r="Q1795" t="n">
        <v>0</v>
      </c>
      <c r="R1795" t="n">
        <v>0</v>
      </c>
      <c r="S1795" t="n">
        <v>0</v>
      </c>
      <c r="T1795" t="n">
        <v>0</v>
      </c>
      <c r="V1795" t="n">
        <v>0</v>
      </c>
    </row>
    <row r="1796">
      <c r="A1796">
        <f>Skills!A15</f>
        <v/>
      </c>
      <c r="B1796">
        <f>Skills!B15</f>
        <v/>
      </c>
      <c r="C1796">
        <f>Inputs!$B$3&gt;=117</f>
        <v/>
      </c>
      <c r="D1796">
        <f>IF(Skills!C15=1,60+Inputs!$B$25+Inputs!$B$29,IF(Skills!C15=2,90+Inputs!$B$26+Inputs!$B$29,IF(Skills!C15=3,120+Inputs!$B$27+Inputs!$B$29,MAX(0,(Inputs!$B$3-100)*3)+Inputs!$B$28+Inputs!$B$29)))</f>
        <v/>
      </c>
      <c r="E1796">
        <f>INDEX(FactorTable!$B$2:$Y$301, MATCH(ROUND(MIN(300,MAX(1,D1796)),0), FactorTable!$A$2:$A$301,0), Skills!M15+1)</f>
        <v/>
      </c>
      <c r="F1796">
        <f>IF(Skills!N15=TRUE,(Skills!L15/10)*(E1796/1000),Skills!L15/10)+Skills!O15</f>
        <v/>
      </c>
      <c r="G1796">
        <f>Skills!G15*IF(Skills!H15&gt;0,Skills!I15/Skills!H15,1)</f>
        <v/>
      </c>
      <c r="H1796">
        <f>1-(1-Skills!J15/100)^Skills!K15</f>
        <v/>
      </c>
      <c r="I1796" t="inlineStr">
        <is>
          <t>1</t>
        </is>
      </c>
      <c r="J1796" t="inlineStr"/>
      <c r="K1796" t="inlineStr"/>
      <c r="L1796" t="inlineStr"/>
      <c r="M1796" t="inlineStr"/>
      <c r="N1796" t="inlineStr"/>
      <c r="O1796">
        <f>(1-Summary!$B$11)*T1796+Summary!$B$11*V1796</f>
        <v/>
      </c>
      <c r="P1796">
        <f>IF(B1823=0,0,O1796/B1823)</f>
        <v/>
      </c>
      <c r="Q1796">
        <f>IFERROR(1/IF(Inputs!$B$38="pvp",15,MAX(0.1,Skills!D15-IF(Skills!E15=TRUE,Inputs!$B$32,0))),0)</f>
        <v/>
      </c>
      <c r="R1796">
        <f>IF(AND(Inputs!$B$38&lt;&gt;"pvp",Inputs!$B$43&gt;0),IF(Inputs!$B$43&lt;=0,0,(INT(Inputs!$B$43/IF(Inputs!$B$38="pvp",15,MAX(0.1,Skills!D15-IF(Skills!E15=TRUE,Inputs!$B$32,0))))+1)),0)</f>
        <v/>
      </c>
      <c r="S1796" t="n">
        <v>0</v>
      </c>
      <c r="T1796" t="n">
        <v>0</v>
      </c>
      <c r="V1796" t="n">
        <v>0</v>
      </c>
    </row>
    <row r="1797">
      <c r="A1797">
        <f>Skills!A16</f>
        <v/>
      </c>
      <c r="B1797">
        <f>Skills!B16</f>
        <v/>
      </c>
      <c r="C1797">
        <f>Inputs!$B$3&gt;=115</f>
        <v/>
      </c>
      <c r="D1797">
        <f>IF(Skills!C16=1,60+Inputs!$B$25+Inputs!$B$29,IF(Skills!C16=2,90+Inputs!$B$26+Inputs!$B$29,IF(Skills!C16=3,120+Inputs!$B$27+Inputs!$B$29,MAX(0,(Inputs!$B$3-100)*3)+Inputs!$B$28+Inputs!$B$29)))</f>
        <v/>
      </c>
      <c r="E1797">
        <f>INDEX(FactorTable!$B$2:$Y$301, MATCH(ROUND(MIN(300,MAX(1,D1797)),0), FactorTable!$A$2:$A$301,0), Skills!M16+1)</f>
        <v/>
      </c>
      <c r="F1797">
        <f>IF(Skills!N16=TRUE,(Skills!L16/10)*(E1797/1000),Skills!L16/10)+Skills!O16</f>
        <v/>
      </c>
      <c r="G1797">
        <f>Skills!G16*IF(Skills!H16&gt;0,Skills!I16/Skills!H16,1)</f>
        <v/>
      </c>
      <c r="H1797">
        <f>1-(1-Skills!J16/100)^Skills!K16</f>
        <v/>
      </c>
      <c r="I1797" t="inlineStr">
        <is>
          <t>1</t>
        </is>
      </c>
      <c r="J1797" t="inlineStr"/>
      <c r="K1797" t="inlineStr"/>
      <c r="L1797" t="inlineStr"/>
      <c r="M1797" t="inlineStr"/>
      <c r="N1797" t="inlineStr"/>
      <c r="O1797">
        <f>(1-Summary!$B$11)*T1797+Summary!$B$11*V1797</f>
        <v/>
      </c>
      <c r="P1797">
        <f>IF(B1823=0,0,O1797/B1823)</f>
        <v/>
      </c>
      <c r="Q1797">
        <f>IFERROR(1/IF(Inputs!$B$38="pvp",15,MAX(0.1,Skills!D16-IF(Skills!E16=TRUE,Inputs!$B$32,0))),0)</f>
        <v/>
      </c>
      <c r="R1797">
        <f>IF(AND(Inputs!$B$38&lt;&gt;"pvp",Inputs!$B$43&gt;0),IF(Inputs!$B$43&lt;=0,0,(INT(Inputs!$B$43/IF(Inputs!$B$38="pvp",15,MAX(0.1,Skills!D16-IF(Skills!E16=TRUE,Inputs!$B$32,0))))+1)),0)</f>
        <v/>
      </c>
      <c r="S1797" t="n">
        <v>0</v>
      </c>
      <c r="T1797" t="n">
        <v>0</v>
      </c>
      <c r="V1797" t="n">
        <v>0</v>
      </c>
    </row>
    <row r="1798">
      <c r="A1798">
        <f>Skills!A17</f>
        <v/>
      </c>
      <c r="B1798">
        <f>Skills!B17</f>
        <v/>
      </c>
      <c r="C1798">
        <f>Inputs!$B$3&gt;=72</f>
        <v/>
      </c>
      <c r="D1798">
        <f>IF(Skills!C17=1,60+Inputs!$B$25+Inputs!$B$29,IF(Skills!C17=2,90+Inputs!$B$26+Inputs!$B$29,IF(Skills!C17=3,120+Inputs!$B$27+Inputs!$B$29,MAX(0,(Inputs!$B$3-100)*3)+Inputs!$B$28+Inputs!$B$29)))</f>
        <v/>
      </c>
      <c r="E1798">
        <f>INDEX(FactorTable!$B$2:$Y$301, MATCH(ROUND(MIN(300,MAX(1,D1798)),0), FactorTable!$A$2:$A$301,0), Skills!M17+1)</f>
        <v/>
      </c>
      <c r="F1798">
        <f>IF(Skills!N17=TRUE,(Skills!L17/10)*(E1798/1000),Skills!L17/10)+Skills!O17</f>
        <v/>
      </c>
      <c r="G1798">
        <f>Skills!G17*IF(Skills!H17&gt;0,Skills!I17/Skills!H17,1)</f>
        <v/>
      </c>
      <c r="H1798">
        <f>1-(1-Skills!J17/100)^Skills!K17</f>
        <v/>
      </c>
      <c r="I1798" t="inlineStr">
        <is>
          <t>1</t>
        </is>
      </c>
      <c r="J1798" t="inlineStr"/>
      <c r="K1798" t="inlineStr"/>
      <c r="L1798" t="inlineStr"/>
      <c r="M1798" t="inlineStr"/>
      <c r="N1798" t="inlineStr"/>
      <c r="O1798">
        <f>(1-Summary!$B$11)*T1798+Summary!$B$11*V1798</f>
        <v/>
      </c>
      <c r="P1798">
        <f>IF(B1823=0,0,O1798/B1823)</f>
        <v/>
      </c>
      <c r="Q1798" t="n">
        <v>0</v>
      </c>
      <c r="R1798" t="n">
        <v>0</v>
      </c>
      <c r="S1798" t="n">
        <v>0</v>
      </c>
      <c r="T1798" t="n">
        <v>0</v>
      </c>
      <c r="V1798" t="n">
        <v>0</v>
      </c>
    </row>
    <row r="1799">
      <c r="A1799">
        <f>Skills!A18</f>
        <v/>
      </c>
      <c r="B1799">
        <f>Skills!B18</f>
        <v/>
      </c>
      <c r="C1799">
        <f>TRUE</f>
        <v/>
      </c>
      <c r="D1799">
        <f>IF(Skills!C18=1,60+Inputs!$B$25+Inputs!$B$29,IF(Skills!C18=2,90+Inputs!$B$26+Inputs!$B$29,IF(Skills!C18=3,120+Inputs!$B$27+Inputs!$B$29,MAX(0,(Inputs!$B$3-100)*3)+Inputs!$B$28+Inputs!$B$29)))</f>
        <v/>
      </c>
      <c r="E1799">
        <f>INDEX(FactorTable!$B$2:$Y$301, MATCH(ROUND(MIN(300,MAX(1,D1799)),0), FactorTable!$A$2:$A$301,0), Skills!M18+1)</f>
        <v/>
      </c>
      <c r="F1799">
        <f>IF(Skills!N18=TRUE,(Skills!L18/10)*(E1799/1000),Skills!L18/10)+Skills!O18</f>
        <v/>
      </c>
      <c r="G1799">
        <f>Skills!G18*IF(Skills!H18&gt;0,Skills!I18/Skills!H18,1)</f>
        <v/>
      </c>
      <c r="H1799">
        <f>1-(1-Skills!J18/100)^Skills!K18</f>
        <v/>
      </c>
      <c r="I1799" t="inlineStr">
        <is>
          <t>1</t>
        </is>
      </c>
      <c r="J1799" t="inlineStr"/>
      <c r="K1799" t="inlineStr"/>
      <c r="L1799" t="inlineStr"/>
      <c r="M1799" t="inlineStr"/>
      <c r="N1799" t="inlineStr"/>
      <c r="O1799">
        <f>(1-Summary!$B$11)*T1799+Summary!$B$11*V1799</f>
        <v/>
      </c>
      <c r="P1799">
        <f>IF(B1823=0,0,O1799/B1823)</f>
        <v/>
      </c>
      <c r="Q1799">
        <f>IFERROR(1/IF(Inputs!$B$38="pvp",15,MAX(0.1,Skills!D18-IF(Skills!E18=TRUE,Inputs!$B$32,0))),0)</f>
        <v/>
      </c>
      <c r="R1799">
        <f>IF(AND(Inputs!$B$38&lt;&gt;"pvp",Inputs!$B$43&gt;0),IF(Inputs!$B$43&lt;=0,0,(INT(Inputs!$B$43/IF(Inputs!$B$38="pvp",15,MAX(0.1,Skills!D18-IF(Skills!E18=TRUE,Inputs!$B$32,0))))+1)),0)</f>
        <v/>
      </c>
      <c r="S1799" t="n">
        <v>0</v>
      </c>
      <c r="T1799" t="n">
        <v>0</v>
      </c>
      <c r="V1799" t="n">
        <v>0</v>
      </c>
    </row>
    <row r="1800">
      <c r="A1800">
        <f>Skills!A19</f>
        <v/>
      </c>
      <c r="B1800">
        <f>Skills!B19</f>
        <v/>
      </c>
      <c r="C1800">
        <f>Inputs!$B$3&gt;=15</f>
        <v/>
      </c>
      <c r="D1800">
        <f>IF(Skills!C19=1,60+Inputs!$B$25+Inputs!$B$29,IF(Skills!C19=2,90+Inputs!$B$26+Inputs!$B$29,IF(Skills!C19=3,120+Inputs!$B$27+Inputs!$B$29,MAX(0,(Inputs!$B$3-100)*3)+Inputs!$B$28+Inputs!$B$29)))</f>
        <v/>
      </c>
      <c r="E1800">
        <f>INDEX(FactorTable!$B$2:$Y$301, MATCH(ROUND(MIN(300,MAX(1,D1800)),0), FactorTable!$A$2:$A$301,0), Skills!M19+1)</f>
        <v/>
      </c>
      <c r="F1800">
        <f>IF(Skills!N19=TRUE,(Skills!L19/10)*(E1800/1000),Skills!L19/10)+Skills!O19</f>
        <v/>
      </c>
      <c r="G1800">
        <f>Skills!G19*IF(Skills!H19&gt;0,Skills!I19/Skills!H19,1)</f>
        <v/>
      </c>
      <c r="H1800">
        <f>1-(1-Skills!J19/100)^Skills!K19</f>
        <v/>
      </c>
      <c r="I1800" t="inlineStr">
        <is>
          <t>1</t>
        </is>
      </c>
      <c r="J1800" t="inlineStr"/>
      <c r="K1800" t="inlineStr"/>
      <c r="L1800" t="inlineStr"/>
      <c r="M1800" t="inlineStr"/>
      <c r="N1800" t="inlineStr"/>
      <c r="O1800">
        <f>(1-Summary!$B$11)*T1800+Summary!$B$11*V1800</f>
        <v/>
      </c>
      <c r="P1800">
        <f>IF(B1823=0,0,O1800/B1823)</f>
        <v/>
      </c>
      <c r="Q1800" t="n">
        <v>0</v>
      </c>
      <c r="R1800" t="n">
        <v>0</v>
      </c>
      <c r="S1800" t="n">
        <v>0</v>
      </c>
      <c r="T1800" t="n">
        <v>0</v>
      </c>
      <c r="V1800" t="n">
        <v>0</v>
      </c>
    </row>
    <row r="1801">
      <c r="A1801">
        <f>Skills!A20</f>
        <v/>
      </c>
      <c r="B1801">
        <f>Skills!B20</f>
        <v/>
      </c>
      <c r="C1801">
        <f>Inputs!$B$3&gt;=10</f>
        <v/>
      </c>
      <c r="D1801">
        <f>IF(Skills!C20=1,60+Inputs!$B$25+Inputs!$B$29,IF(Skills!C20=2,90+Inputs!$B$26+Inputs!$B$29,IF(Skills!C20=3,120+Inputs!$B$27+Inputs!$B$29,MAX(0,(Inputs!$B$3-100)*3)+Inputs!$B$28+Inputs!$B$29)))</f>
        <v/>
      </c>
      <c r="E1801">
        <f>INDEX(FactorTable!$B$2:$Y$301, MATCH(ROUND(MIN(300,MAX(1,D1801)),0), FactorTable!$A$2:$A$301,0), Skills!M20+1)</f>
        <v/>
      </c>
      <c r="F1801">
        <f>IF(Skills!N20=TRUE,(Skills!L20/10)*(E1801/1000),Skills!L20/10)+Skills!O20</f>
        <v/>
      </c>
      <c r="G1801">
        <f>Skills!G20*IF(Skills!H20&gt;0,Skills!I20/Skills!H20,1)</f>
        <v/>
      </c>
      <c r="H1801">
        <f>1-(1-Skills!J20/100)^Skills!K20</f>
        <v/>
      </c>
      <c r="I1801" t="inlineStr">
        <is>
          <t>1</t>
        </is>
      </c>
      <c r="J1801" t="inlineStr"/>
      <c r="K1801" t="inlineStr"/>
      <c r="L1801" t="inlineStr"/>
      <c r="M1801" t="inlineStr"/>
      <c r="N1801" t="inlineStr"/>
      <c r="O1801">
        <f>(1-Summary!$B$11)*T1801+Summary!$B$11*V1801</f>
        <v/>
      </c>
      <c r="P1801">
        <f>IF(B1823=0,0,O1801/B1823)</f>
        <v/>
      </c>
      <c r="Q1801" t="n">
        <v>0</v>
      </c>
      <c r="R1801" t="n">
        <v>0</v>
      </c>
      <c r="S1801" t="n">
        <v>0</v>
      </c>
      <c r="T1801" t="n">
        <v>0</v>
      </c>
      <c r="V1801" t="n">
        <v>0</v>
      </c>
    </row>
    <row r="1802">
      <c r="A1802">
        <f>Skills!A21</f>
        <v/>
      </c>
      <c r="B1802">
        <f>Skills!B21</f>
        <v/>
      </c>
      <c r="C1802">
        <f>Inputs!$B$3&gt;=33</f>
        <v/>
      </c>
      <c r="D1802">
        <f>IF(Skills!C21=1,60+Inputs!$B$25+Inputs!$B$29,IF(Skills!C21=2,90+Inputs!$B$26+Inputs!$B$29,IF(Skills!C21=3,120+Inputs!$B$27+Inputs!$B$29,MAX(0,(Inputs!$B$3-100)*3)+Inputs!$B$28+Inputs!$B$29)))</f>
        <v/>
      </c>
      <c r="E1802">
        <f>INDEX(FactorTable!$B$2:$Y$301, MATCH(ROUND(MIN(300,MAX(1,D1802)),0), FactorTable!$A$2:$A$301,0), Skills!M21+1)</f>
        <v/>
      </c>
      <c r="F1802">
        <f>IF(Skills!N21=TRUE,(Skills!L21/10)*(E1802/1000),Skills!L21/10)+Skills!O21</f>
        <v/>
      </c>
      <c r="G1802">
        <f>Skills!G21*IF(Skills!H21&gt;0,Skills!I21/Skills!H21,1)</f>
        <v/>
      </c>
      <c r="H1802">
        <f>1-(1-Skills!J21/100)^Skills!K21</f>
        <v/>
      </c>
      <c r="I1802" t="inlineStr">
        <is>
          <t>1</t>
        </is>
      </c>
      <c r="J1802" t="inlineStr"/>
      <c r="K1802" t="inlineStr"/>
      <c r="L1802" t="inlineStr"/>
      <c r="M1802" t="inlineStr"/>
      <c r="N1802" t="inlineStr"/>
      <c r="O1802">
        <f>(1-Summary!$B$11)*T1802+Summary!$B$11*V1802</f>
        <v/>
      </c>
      <c r="P1802">
        <f>IF(B1823=0,0,O1802/B1823)</f>
        <v/>
      </c>
      <c r="Q1802" t="n">
        <v>0</v>
      </c>
      <c r="R1802" t="n">
        <v>0</v>
      </c>
      <c r="S1802" t="n">
        <v>0</v>
      </c>
      <c r="T1802" t="n">
        <v>0</v>
      </c>
      <c r="V1802" t="n">
        <v>0</v>
      </c>
    </row>
    <row r="1803">
      <c r="A1803">
        <f>Skills!A22</f>
        <v/>
      </c>
      <c r="B1803">
        <f>Skills!B22</f>
        <v/>
      </c>
      <c r="C1803">
        <f>Inputs!$B$3&gt;=38</f>
        <v/>
      </c>
      <c r="D1803">
        <f>IF(Skills!C22=1,60+Inputs!$B$25+Inputs!$B$29,IF(Skills!C22=2,90+Inputs!$B$26+Inputs!$B$29,IF(Skills!C22=3,120+Inputs!$B$27+Inputs!$B$29,MAX(0,(Inputs!$B$3-100)*3)+Inputs!$B$28+Inputs!$B$29)))</f>
        <v/>
      </c>
      <c r="E1803">
        <f>INDEX(FactorTable!$B$2:$Y$301, MATCH(ROUND(MIN(300,MAX(1,D1803)),0), FactorTable!$A$2:$A$301,0), Skills!M22+1)</f>
        <v/>
      </c>
      <c r="F1803">
        <f>IF(Skills!N22=TRUE,(Skills!L22/10)*(E1803/1000),Skills!L22/10)+Skills!O22</f>
        <v/>
      </c>
      <c r="G1803">
        <f>Skills!G22*IF(Skills!H22&gt;0,Skills!I22/Skills!H22,1)</f>
        <v/>
      </c>
      <c r="H1803">
        <f>1-(1-Skills!J22/100)^Skills!K22</f>
        <v/>
      </c>
      <c r="I1803" t="inlineStr">
        <is>
          <t>1</t>
        </is>
      </c>
      <c r="J1803" t="inlineStr"/>
      <c r="K1803" t="inlineStr"/>
      <c r="L1803" t="inlineStr"/>
      <c r="M1803" t="inlineStr"/>
      <c r="N1803" t="inlineStr"/>
      <c r="O1803">
        <f>(1-Summary!$B$11)*T1803+Summary!$B$11*V1803</f>
        <v/>
      </c>
      <c r="P1803">
        <f>IF(B1823=0,0,O1803/B1823)</f>
        <v/>
      </c>
      <c r="Q1803" t="n">
        <v>0</v>
      </c>
      <c r="R1803" t="n">
        <v>0</v>
      </c>
      <c r="S1803" t="n">
        <v>0</v>
      </c>
      <c r="T1803" t="n">
        <v>0</v>
      </c>
      <c r="V1803" t="n">
        <v>0</v>
      </c>
    </row>
    <row r="1804">
      <c r="A1804">
        <f>Skills!A23</f>
        <v/>
      </c>
      <c r="B1804">
        <f>Skills!B23</f>
        <v/>
      </c>
      <c r="C1804">
        <f>Inputs!$B$3&gt;=43</f>
        <v/>
      </c>
      <c r="D1804">
        <f>IF(Skills!C23=1,60+Inputs!$B$25+Inputs!$B$29,IF(Skills!C23=2,90+Inputs!$B$26+Inputs!$B$29,IF(Skills!C23=3,120+Inputs!$B$27+Inputs!$B$29,MAX(0,(Inputs!$B$3-100)*3)+Inputs!$B$28+Inputs!$B$29)))</f>
        <v/>
      </c>
      <c r="E1804">
        <f>INDEX(FactorTable!$B$2:$Y$301, MATCH(ROUND(MIN(300,MAX(1,D1804)),0), FactorTable!$A$2:$A$301,0), Skills!M23+1)</f>
        <v/>
      </c>
      <c r="F1804">
        <f>IF(Skills!N23=TRUE,(Skills!L23/10)*(E1804/1000),Skills!L23/10)+Skills!O23</f>
        <v/>
      </c>
      <c r="G1804">
        <f>Skills!G23*IF(Skills!H23&gt;0,Skills!I23/Skills!H23,1)</f>
        <v/>
      </c>
      <c r="H1804">
        <f>1-(1-Skills!J23/100)^Skills!K23</f>
        <v/>
      </c>
      <c r="I1804" t="inlineStr">
        <is>
          <t>1</t>
        </is>
      </c>
      <c r="J1804" t="inlineStr"/>
      <c r="K1804" t="inlineStr"/>
      <c r="L1804" t="inlineStr"/>
      <c r="M1804" t="inlineStr"/>
      <c r="N1804" t="inlineStr"/>
      <c r="O1804">
        <f>(1-Summary!$B$11)*T1804+Summary!$B$11*V1804</f>
        <v/>
      </c>
      <c r="P1804">
        <f>IF(B1823=0,0,O1804/B1823)</f>
        <v/>
      </c>
      <c r="Q1804" t="n">
        <v>0</v>
      </c>
      <c r="R1804" t="n">
        <v>0</v>
      </c>
      <c r="S1804" t="n">
        <v>0</v>
      </c>
      <c r="T1804" t="n">
        <v>0</v>
      </c>
      <c r="V1804" t="n">
        <v>0</v>
      </c>
    </row>
    <row r="1805">
      <c r="A1805">
        <f>Skills!A24</f>
        <v/>
      </c>
      <c r="B1805">
        <f>Skills!B24</f>
        <v/>
      </c>
      <c r="C1805">
        <f>Inputs!$B$3&gt;=75</f>
        <v/>
      </c>
      <c r="D1805">
        <f>IF(Skills!C24=1,60+Inputs!$B$25+Inputs!$B$29,IF(Skills!C24=2,90+Inputs!$B$26+Inputs!$B$29,IF(Skills!C24=3,120+Inputs!$B$27+Inputs!$B$29,MAX(0,(Inputs!$B$3-100)*3)+Inputs!$B$28+Inputs!$B$29)))</f>
        <v/>
      </c>
      <c r="E1805">
        <f>INDEX(FactorTable!$B$2:$Y$301, MATCH(ROUND(MIN(300,MAX(1,D1805)),0), FactorTable!$A$2:$A$301,0), Skills!M24+1)</f>
        <v/>
      </c>
      <c r="F1805">
        <f>IF(Skills!N24=TRUE,(Skills!L24/10)*(E1805/1000),Skills!L24/10)+Skills!O24</f>
        <v/>
      </c>
      <c r="G1805">
        <f>Skills!G24*IF(Skills!H24&gt;0,Skills!I24/Skills!H24,1)</f>
        <v/>
      </c>
      <c r="H1805">
        <f>1-(1-Skills!J24/100)^Skills!K24</f>
        <v/>
      </c>
      <c r="I1805" t="inlineStr">
        <is>
          <t>1</t>
        </is>
      </c>
      <c r="J1805" t="inlineStr"/>
      <c r="K1805" t="inlineStr"/>
      <c r="L1805" t="inlineStr"/>
      <c r="M1805" t="inlineStr"/>
      <c r="N1805" t="inlineStr"/>
      <c r="O1805">
        <f>(1-Summary!$B$11)*T1805+Summary!$B$11*V1805</f>
        <v/>
      </c>
      <c r="P1805">
        <f>IF(B1823=0,0,O1805/B1823)</f>
        <v/>
      </c>
      <c r="Q1805" t="n">
        <v>0</v>
      </c>
      <c r="R1805" t="n">
        <v>0</v>
      </c>
      <c r="S1805" t="n">
        <v>0</v>
      </c>
      <c r="T1805" t="n">
        <v>0</v>
      </c>
      <c r="V1805" t="n">
        <v>0</v>
      </c>
    </row>
    <row r="1806">
      <c r="A1806">
        <f>Skills!A25</f>
        <v/>
      </c>
      <c r="B1806">
        <f>Skills!B25</f>
        <v/>
      </c>
      <c r="C1806">
        <f>Inputs!$B$3&gt;=125</f>
        <v/>
      </c>
      <c r="D1806">
        <f>IF(Skills!C25=1,60+Inputs!$B$25+Inputs!$B$29,IF(Skills!C25=2,90+Inputs!$B$26+Inputs!$B$29,IF(Skills!C25=3,120+Inputs!$B$27+Inputs!$B$29,MAX(0,(Inputs!$B$3-100)*3)+Inputs!$B$28+Inputs!$B$29)))</f>
        <v/>
      </c>
      <c r="E1806">
        <f>INDEX(FactorTable!$B$2:$Y$301, MATCH(ROUND(MIN(300,MAX(1,D1806)),0), FactorTable!$A$2:$A$301,0), Skills!M25+1)</f>
        <v/>
      </c>
      <c r="F1806">
        <f>IF(Skills!N25=TRUE,(Skills!L25/10)*(E1806/1000),Skills!L25/10)+Skills!O25</f>
        <v/>
      </c>
      <c r="G1806">
        <f>Skills!G25*IF(Skills!H25&gt;0,Skills!I25/Skills!H25,1)</f>
        <v/>
      </c>
      <c r="H1806">
        <f>1-(1-Skills!J25/100)^Skills!K25</f>
        <v/>
      </c>
      <c r="I1806" t="inlineStr">
        <is>
          <t>1</t>
        </is>
      </c>
      <c r="J1806" t="inlineStr"/>
      <c r="K1806" t="inlineStr"/>
      <c r="L1806" t="inlineStr"/>
      <c r="M1806" t="inlineStr"/>
      <c r="N1806" t="inlineStr"/>
      <c r="O1806">
        <f>(1-Summary!$B$11)*T1806+Summary!$B$11*V1806</f>
        <v/>
      </c>
      <c r="P1806">
        <f>IF(B1823=0,0,O1806/B1823)</f>
        <v/>
      </c>
      <c r="Q1806" t="n">
        <v>0</v>
      </c>
      <c r="R1806" t="n">
        <v>0</v>
      </c>
      <c r="S1806" t="n">
        <v>0</v>
      </c>
      <c r="T1806" t="n">
        <v>0</v>
      </c>
      <c r="V1806" t="n">
        <v>0</v>
      </c>
    </row>
    <row r="1807">
      <c r="A1807">
        <f>Skills!A26</f>
        <v/>
      </c>
      <c r="B1807">
        <f>Skills!B26</f>
        <v/>
      </c>
      <c r="C1807">
        <f>Inputs!$B$3&gt;=125</f>
        <v/>
      </c>
      <c r="D1807">
        <f>IF(Skills!C26=1,60+Inputs!$B$25+Inputs!$B$29,IF(Skills!C26=2,90+Inputs!$B$26+Inputs!$B$29,IF(Skills!C26=3,120+Inputs!$B$27+Inputs!$B$29,MAX(0,(Inputs!$B$3-100)*3)+Inputs!$B$28+Inputs!$B$29)))</f>
        <v/>
      </c>
      <c r="E1807">
        <f>INDEX(FactorTable!$B$2:$Y$301, MATCH(ROUND(MIN(300,MAX(1,D1807)),0), FactorTable!$A$2:$A$301,0), Skills!M26+1)</f>
        <v/>
      </c>
      <c r="F1807">
        <f>IF(Skills!N26=TRUE,(Skills!L26/10)*(E1807/1000),Skills!L26/10)+Skills!O26</f>
        <v/>
      </c>
      <c r="G1807">
        <f>Skills!G26*IF(Skills!H26&gt;0,Skills!I26/Skills!H26,1)</f>
        <v/>
      </c>
      <c r="H1807">
        <f>1-(1-Skills!J26/100)^Skills!K26</f>
        <v/>
      </c>
      <c r="I1807" t="inlineStr">
        <is>
          <t>1</t>
        </is>
      </c>
      <c r="J1807" t="inlineStr"/>
      <c r="K1807" t="inlineStr"/>
      <c r="L1807" t="inlineStr"/>
      <c r="M1807" t="inlineStr"/>
      <c r="N1807" t="inlineStr"/>
      <c r="O1807">
        <f>(1-Summary!$B$11)*T1807+Summary!$B$11*V1807</f>
        <v/>
      </c>
      <c r="P1807">
        <f>IF(B1823=0,0,O1807/B1823)</f>
        <v/>
      </c>
      <c r="Q1807" t="n">
        <v>0</v>
      </c>
      <c r="R1807" t="n">
        <v>0</v>
      </c>
      <c r="S1807" t="n">
        <v>0</v>
      </c>
      <c r="T1807" t="n">
        <v>0</v>
      </c>
      <c r="V1807" t="n">
        <v>0</v>
      </c>
    </row>
    <row r="1808">
      <c r="A1808">
        <f>Skills!A27</f>
        <v/>
      </c>
      <c r="B1808">
        <f>Skills!B27</f>
        <v/>
      </c>
      <c r="C1808">
        <f>Inputs!$B$3&gt;=120</f>
        <v/>
      </c>
      <c r="D1808">
        <f>IF(Skills!C27=1,60+Inputs!$B$25+Inputs!$B$29,IF(Skills!C27=2,90+Inputs!$B$26+Inputs!$B$29,IF(Skills!C27=3,120+Inputs!$B$27+Inputs!$B$29,MAX(0,(Inputs!$B$3-100)*3)+Inputs!$B$28+Inputs!$B$29)))</f>
        <v/>
      </c>
      <c r="E1808">
        <f>INDEX(FactorTable!$B$2:$Y$301, MATCH(ROUND(MIN(300,MAX(1,D1808)),0), FactorTable!$A$2:$A$301,0), Skills!M27+1)</f>
        <v/>
      </c>
      <c r="F1808">
        <f>IF(Skills!N27=TRUE,(Skills!L27/10)*(E1808/1000),Skills!L27/10)+Skills!O27</f>
        <v/>
      </c>
      <c r="G1808">
        <f>Skills!G27*IF(Skills!H27&gt;0,Skills!I27/Skills!H27,1)</f>
        <v/>
      </c>
      <c r="H1808">
        <f>1-(1-Skills!J27/100)^Skills!K27</f>
        <v/>
      </c>
      <c r="I1808" t="inlineStr">
        <is>
          <t>1</t>
        </is>
      </c>
      <c r="J1808" t="inlineStr"/>
      <c r="K1808" t="inlineStr"/>
      <c r="L1808" t="inlineStr"/>
      <c r="M1808" t="inlineStr"/>
      <c r="N1808" t="inlineStr"/>
      <c r="O1808">
        <f>(1-Summary!$B$11)*T1808+Summary!$B$11*V1808</f>
        <v/>
      </c>
      <c r="P1808">
        <f>IF(B1823=0,0,O1808/B1823)</f>
        <v/>
      </c>
      <c r="Q1808" t="n">
        <v>0</v>
      </c>
      <c r="R1808" t="n">
        <v>0</v>
      </c>
      <c r="S1808" t="n">
        <v>0</v>
      </c>
      <c r="T1808" t="n">
        <v>0</v>
      </c>
      <c r="V1808" t="n">
        <v>0</v>
      </c>
    </row>
    <row r="1809">
      <c r="A1809">
        <f>Skills!A28</f>
        <v/>
      </c>
      <c r="B1809">
        <f>Skills!B28</f>
        <v/>
      </c>
      <c r="C1809">
        <f>Inputs!$B$3&gt;=120</f>
        <v/>
      </c>
      <c r="D1809">
        <f>IF(Skills!C28=1,60+Inputs!$B$25+Inputs!$B$29,IF(Skills!C28=2,90+Inputs!$B$26+Inputs!$B$29,IF(Skills!C28=3,120+Inputs!$B$27+Inputs!$B$29,MAX(0,(Inputs!$B$3-100)*3)+Inputs!$B$28+Inputs!$B$29)))</f>
        <v/>
      </c>
      <c r="E1809">
        <f>INDEX(FactorTable!$B$2:$Y$301, MATCH(ROUND(MIN(300,MAX(1,D1809)),0), FactorTable!$A$2:$A$301,0), Skills!M28+1)</f>
        <v/>
      </c>
      <c r="F1809">
        <f>IF(Skills!N28=TRUE,(Skills!L28/10)*(E1809/1000),Skills!L28/10)+Skills!O28</f>
        <v/>
      </c>
      <c r="G1809">
        <f>Skills!G28*IF(Skills!H28&gt;0,Skills!I28/Skills!H28,1)</f>
        <v/>
      </c>
      <c r="H1809">
        <f>1-(1-Skills!J28/100)^Skills!K28</f>
        <v/>
      </c>
      <c r="I1809" t="inlineStr">
        <is>
          <t>1</t>
        </is>
      </c>
      <c r="J1809" t="inlineStr"/>
      <c r="K1809" t="inlineStr"/>
      <c r="L1809" t="inlineStr"/>
      <c r="M1809" t="inlineStr"/>
      <c r="N1809" t="inlineStr"/>
      <c r="O1809">
        <f>(1-Summary!$B$11)*T1809+Summary!$B$11*V1809</f>
        <v/>
      </c>
      <c r="P1809">
        <f>IF(B1823=0,0,O1809/B1823)</f>
        <v/>
      </c>
      <c r="Q1809" t="n">
        <v>0</v>
      </c>
      <c r="R1809" t="n">
        <v>0</v>
      </c>
      <c r="S1809" t="n">
        <v>0</v>
      </c>
      <c r="T1809" t="n">
        <v>0</v>
      </c>
      <c r="V1809" t="n">
        <v>0</v>
      </c>
    </row>
    <row r="1810">
      <c r="A1810">
        <f>Skills!A29</f>
        <v/>
      </c>
      <c r="B1810">
        <f>Skills!B29</f>
        <v/>
      </c>
      <c r="C1810">
        <f>Inputs!$B$3&gt;=45</f>
        <v/>
      </c>
      <c r="D1810">
        <f>IF(Skills!C29=1,60+Inputs!$B$25+Inputs!$B$29,IF(Skills!C29=2,90+Inputs!$B$26+Inputs!$B$29,IF(Skills!C29=3,120+Inputs!$B$27+Inputs!$B$29,MAX(0,(Inputs!$B$3-100)*3)+Inputs!$B$28+Inputs!$B$29)))</f>
        <v/>
      </c>
      <c r="E1810">
        <f>INDEX(FactorTable!$B$2:$Y$301, MATCH(ROUND(MIN(300,MAX(1,D1810)),0), FactorTable!$A$2:$A$301,0), Skills!M29+1)</f>
        <v/>
      </c>
      <c r="F1810">
        <f>IF(Skills!N29=TRUE,(Skills!L29/10)*(E1810/1000),Skills!L29/10)+Skills!O29</f>
        <v/>
      </c>
      <c r="G1810">
        <f>Skills!G29*IF(Skills!H29&gt;0,Skills!I29/Skills!H29,1)</f>
        <v/>
      </c>
      <c r="H1810">
        <f>1-(1-Skills!J29/100)^Skills!K29</f>
        <v/>
      </c>
      <c r="I1810" t="inlineStr">
        <is>
          <t>1</t>
        </is>
      </c>
      <c r="J1810" t="inlineStr"/>
      <c r="K1810" t="inlineStr"/>
      <c r="L1810" t="inlineStr"/>
      <c r="M1810" t="inlineStr"/>
      <c r="N1810" t="inlineStr"/>
      <c r="O1810">
        <f>(1-Summary!$B$11)*T1810+Summary!$B$11*V1810</f>
        <v/>
      </c>
      <c r="P1810">
        <f>IF(B1823=0,0,O1810/B1823)</f>
        <v/>
      </c>
      <c r="Q1810" t="n">
        <v>0</v>
      </c>
      <c r="R1810" t="n">
        <v>0</v>
      </c>
      <c r="S1810" t="n">
        <v>0</v>
      </c>
      <c r="T1810" t="n">
        <v>0</v>
      </c>
      <c r="V1810" t="n">
        <v>0</v>
      </c>
    </row>
    <row r="1812">
      <c r="A1812" t="inlineStr">
        <is>
          <t>Attack% Bucket Multiplier</t>
        </is>
      </c>
      <c r="B1812">
        <f>(1+(((C1794=TRUE)*F1794)+((C1795=TRUE)*IF(Inputs!$B$38="pvp",F1795,(1-Summary!$B$11)*(F1795)+Summary!$B$11*(0)))+((C1796=TRUE)*F1796*IF(AND(Inputs!$B$38&lt;&gt;"pvp",Inputs!$B$43&gt;0),(((R1796-1)*(Skills!T15*(1+Inputs!$B$34/100))+MIN((Skills!T15*(1+Inputs!$B$34/100)),MAX(0,Inputs!$B$43-((R1796-1)*Skills!D15))))/Inputs!$B$43),IF(Inputs!$B$38="pvp",MIN((Skills!T15*(1+Inputs!$B$34/100)),15)/15,(Skills!T15*(1+Inputs!$B$34/100))/Skills!D15)))+((C1793=TRUE)*F1793)+((C1810=TRUE)*(F1810-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1813">
      <c r="A1813" t="inlineStr">
        <is>
          <t>Global Crit Rate Bonus %</t>
        </is>
      </c>
      <c r="B1813">
        <f>(C1797=TRUE)*20*IF(AND(Inputs!$B$38&lt;&gt;"pvp",Inputs!$B$43&gt;0),(((R1797-1)*(Skills!T16*(1+Inputs!$B$34/100))+MIN((Skills!T16*(1+Inputs!$B$34/100)),MAX(0,Inputs!$B$43-((R1797-1)*Skills!D16))))/Inputs!$B$43),IF(Inputs!$B$38="pvp",MIN((Skills!T16*(1+Inputs!$B$34/100)),15)/15,(Skills!T16*(1+Inputs!$B$34/100))/Skills!D16))</f>
        <v/>
      </c>
    </row>
    <row r="1814">
      <c r="A1814" t="inlineStr">
        <is>
          <t>Attack Speed Buff Bonus %</t>
        </is>
      </c>
      <c r="B1814">
        <f>((C1799=TRUE)*F1799*IF(AND(Inputs!$B$38&lt;&gt;"pvp",Inputs!$B$43&gt;0),(((R1799-1)*(Skills!T18*(1+Inputs!$B$34/100))+MIN((Skills!T18*(1+Inputs!$B$34/100)),MAX(0,Inputs!$B$43-((R1799-1)*Skills!D18))))/Inputs!$B$43),IF(Inputs!$B$38="pvp",MIN((Skills!T18*(1+Inputs!$B$34/100)),15)/15,(Skills!T18*(1+Inputs!$B$34/100))/Skills!D18)))</f>
        <v/>
      </c>
    </row>
    <row r="1815">
      <c r="A1815" t="inlineStr">
        <is>
          <t>Actions Per Second</t>
        </is>
      </c>
      <c r="B1815">
        <f>1+MIN(150,150*(1-(1-(Inputs!$B$11+((C1801=TRUE)*(F1801-Calc!F20))+((C1802=TRUE)*(F1802-Calc!F21)))/150)*(1-B1814/150)))/100</f>
        <v/>
      </c>
    </row>
    <row r="1816">
      <c r="A1816" t="inlineStr">
        <is>
          <t>Skill + Buff Cast Rate</t>
        </is>
      </c>
      <c r="B1816">
        <f>IF(AND(Inputs!$B$38&lt;&gt;"pvp",Inputs!$B$43&gt;0),SUMPRODUCT((Skills!E2:E29=TRUE)*(C1783:C1810=TRUE)*R1783:R1810*Skills!F2:F29)/Inputs!$B$43,SUMPRODUCT((Skills!E2:E29=TRUE)*(C1783:C1810=TRUE)*Q1783:Q1810*Skills!F2:F29))</f>
        <v/>
      </c>
    </row>
    <row r="1817">
      <c r="A1817" t="inlineStr">
        <is>
          <t>Empowered Piercing Arrow Casts Per Second</t>
        </is>
      </c>
      <c r="B1817">
        <f>MAX(0,B1815-B1816)</f>
        <v/>
      </c>
    </row>
    <row r="1818">
      <c r="A1818" t="inlineStr">
        <is>
          <t>Global Critical Damage Bonus % (Sharp Eyes)</t>
        </is>
      </c>
      <c r="B1818">
        <f>(C1797=TRUE)*F1797*IF(AND(Inputs!$B$38&lt;&gt;"pvp",Inputs!$B$43&gt;0),(((R1797-1)*(Skills!T16*(1+Inputs!$B$34/100))+MIN((Skills!T16*(1+Inputs!$B$34/100)),MAX(0,Inputs!$B$43-((R1797-1)*Skills!D16))))/Inputs!$B$43),IF(Inputs!$B$38="pvp",MIN((Skills!T16*(1+Inputs!$B$34/100)),15)/15,(Skills!T16*(1+Inputs!$B$34/100))/Skills!D16))</f>
        <v/>
      </c>
    </row>
    <row r="1819">
      <c r="A1819" t="inlineStr">
        <is>
          <t>Global Final Damage Bonus % (Mortal Blow + Last Man Standing conditional half)</t>
        </is>
      </c>
      <c r="B1819">
        <f>(C1798=TRUE)*F1798+((C1807=TRUE)*IF(Inputs!$B$38="pvp",F1807,(1-Summary!$B$11)*(F1807)+Summary!$B$11*(0)))</f>
        <v/>
      </c>
    </row>
    <row r="1820">
      <c r="A1820" t="inlineStr">
        <is>
          <t>Buff-Casting Startup Delay (s, fixed-duration only)</t>
        </is>
      </c>
      <c r="B1820">
        <f>IF(AND(Inputs!$B$38&lt;&gt;"pvp",Inputs!$B$43&gt;0),SUMPRODUCT((Skills!T2:T29&gt;0)*(Skills!E2:E29=TRUE)*(C1783:C1810=TRUE))/B1815,0)</f>
        <v/>
      </c>
    </row>
    <row r="1821">
      <c r="A1821" t="inlineStr">
        <is>
          <t>Boss-Only Total DPS (this block's swept value)</t>
        </is>
      </c>
      <c r="B1821">
        <f>SUM(T1783:T1810)</f>
        <v/>
      </c>
    </row>
    <row r="1822">
      <c r="A1822" t="inlineStr">
        <is>
          <t>Normal-Only Total DPS (this block's swept value)</t>
        </is>
      </c>
      <c r="B1822">
        <f>SUM(V1783:V1810)</f>
        <v/>
      </c>
    </row>
    <row r="1823">
      <c r="A1823" s="6" t="inlineStr">
        <is>
          <t>TOTAL DPS</t>
        </is>
      </c>
      <c r="B1823" s="6">
        <f>SUM(O1783:O1810)</f>
        <v/>
      </c>
    </row>
    <row r="1826">
      <c r="A1826" s="6" t="inlineStr">
        <is>
          <t>Stat: Chalice (Equip)</t>
        </is>
      </c>
    </row>
    <row r="1827">
      <c r="A1827" s="5" t="inlineStr">
        <is>
          <t>Key</t>
        </is>
      </c>
      <c r="B1827" s="5" t="inlineStr">
        <is>
          <t>Name</t>
        </is>
      </c>
      <c r="C1827" s="5" t="inlineStr">
        <is>
          <t>Unlocked</t>
        </is>
      </c>
      <c r="D1827" s="5" t="inlineStr">
        <is>
          <t>InputLevel</t>
        </is>
      </c>
      <c r="E1827" s="5" t="inlineStr">
        <is>
          <t>Factor</t>
        </is>
      </c>
      <c r="F1827" s="5" t="inlineStr">
        <is>
          <t>CoefficientPercent</t>
        </is>
      </c>
      <c r="G1827" s="5" t="inlineStr">
        <is>
          <t>EffectiveHits</t>
        </is>
      </c>
      <c r="H1827" s="5" t="inlineStr">
        <is>
          <t>ProcProbability</t>
        </is>
      </c>
      <c r="I1827" s="5" t="inlineStr">
        <is>
          <t>MapleHeroMultiplier</t>
        </is>
      </c>
      <c r="J1827" s="5" t="inlineStr">
        <is>
          <t>BaseDamage</t>
        </is>
      </c>
      <c r="K1827" s="5" t="inlineStr">
        <is>
          <t>BaseHitDamage</t>
        </is>
      </c>
      <c r="L1827" s="5" t="inlineStr">
        <is>
          <t>NonCritAvg</t>
        </is>
      </c>
      <c r="M1827" s="5" t="inlineStr">
        <is>
          <t>CritAvg</t>
        </is>
      </c>
      <c r="N1827" s="5" t="inlineStr">
        <is>
          <t>ExpectedDamage(perHit)</t>
        </is>
      </c>
      <c r="O1827" s="5" t="inlineStr">
        <is>
          <t>DPS</t>
        </is>
      </c>
      <c r="P1827" s="5" t="inlineStr">
        <is>
          <t>% of Total</t>
        </is>
      </c>
      <c r="Q1827" s="5" t="inlineStr">
        <is>
          <t>InvCooldown</t>
        </is>
      </c>
      <c r="R1827" s="5" t="inlineStr">
        <is>
          <t>CastsInFight</t>
        </is>
      </c>
      <c r="S1827" s="5" t="inlineStr">
        <is>
          <t>HitRate(perSec)</t>
        </is>
      </c>
      <c r="U1827" t="inlineStr">
        <is>
          <t>helpers</t>
        </is>
      </c>
    </row>
    <row r="1828">
      <c r="A1828">
        <f>Skills!A2</f>
        <v/>
      </c>
      <c r="B1828">
        <f>Skills!B2</f>
        <v/>
      </c>
      <c r="C1828">
        <f>Inputs!$B$3&gt;=100</f>
        <v/>
      </c>
      <c r="D1828" t="inlineStr"/>
      <c r="E1828" t="inlineStr"/>
      <c r="F1828">
        <f>U1830+Skills!O2</f>
        <v/>
      </c>
      <c r="G1828">
        <f>Skills!G2*IF(Skills!H2&gt;0,Skills!I2/Skills!H2,1)</f>
        <v/>
      </c>
      <c r="H1828">
        <f>1-(1-Skills!J2/100)^Skills!K2</f>
        <v/>
      </c>
      <c r="I1828" t="inlineStr">
        <is>
          <t>1</t>
        </is>
      </c>
      <c r="J1828">
        <f>((Inputs!$B$6*(1+Inputs!$B$7/100))+(((Inputs!$B$12*(1+Inputs!$B$13/100))-(Inputs!$B$12*(1+Inputs!$B$13/100)))+0.25*(Inputs!$B$14-Inputs!$B$14))*(1+Inputs!$B$7/100))*(F1828/100)</f>
        <v/>
      </c>
      <c r="K1828">
        <f>J1828*(1+((Inputs!$B$12*(1+Inputs!$B$13/100))*0.01+Inputs!$B$14*0.0025)/100)*(1+Inputs!$B$15/100)*(1+Inputs!$B$16/100)*(5000/(6000+Inputs!$B$42*(1-(100*(1-(1-(Inputs!$B$19+0)/100)*(1-CHOOSE(ArtifactsInput!$N$40+1,5,6,7,8,9,10)/100)^(ArtifactsInput!$M$40-ArtifactsInput!$M$40)))/100)))*(1+(Inputs!$B$24+((C1850=TRUE)*(F1850-Calc!F24))+((C1851=TRUE)*(F1851-Calc!F25))+B1864)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EMPOWERED_PIERCING_ARROW",Inputs!$B$17+((C1848=TRUE)*(F1848-Calc!F22))+(((IF(AND(ArtifactsInput!$M$42,((Inputs!$B$9+((C1845=TRUE)*(F1845-Calc!F19))+B1858+(ArtifactsInput!$M$24-ArtifactsInput!$M$24)*CHOOSE(ArtifactsInput!$N$24+1,10,12,14,16,18,20)+IF(ArtifactsInput!$M$10,CHOOSE(ArtifactsInput!$N$10+1,15,18,21,24,27,30)*(IF(Inputs!$B$38="pvp",MIN(15,15)/15,IF(AND(Inputs!$B$38&lt;&gt;"pvp",Inputs!$B$43&gt;0),MIN(15,Inputs!$B$43)/(Inputs!$B$43),0))),0)))&gt;=100),MIN(100,((Inputs!$B$9+((C1845=TRUE)*(F1845-Calc!F19))+B1858+(ArtifactsInput!$M$24-ArtifactsInput!$M$24)*CHOOSE(ArtifactsInput!$N$24+1,10,12,14,16,18,20)+IF(ArtifactsInput!$M$10,CHOOSE(ArtifactsInput!$N$10+1,15,18,21,24,27,30)*(IF(Inputs!$B$38="pvp",MIN(15,15)/15,IF(AND(Inputs!$B$38&lt;&gt;"pvp",Inputs!$B$43&gt;0),MIN(15,Inputs!$B$43)/(Inputs!$B$43),0))),0)))-100),0))*CHOOSE(ArtifactsInput!$N$42+1,0.6,0.72,0.84,0.96,1.08,1.2))),Inputs!$B$18+((C1853=TRUE)*(F1853-Calc!F27))+(IF(AND(ArtifactsInput!$M$42,((Inputs!$B$9+((C1845=TRUE)*(F1845-Calc!F19))+B1858+(ArtifactsInput!$M$24-ArtifactsInput!$M$24)*CHOOSE(ArtifactsInput!$N$24+1,10,12,14,16,18,20)+IF(ArtifactsInput!$M$10,CHOOSE(ArtifactsInput!$N$10+1,15,18,21,24,27,30)*(IF(Inputs!$B$38="pvp",MIN(15,15)/15,IF(AND(Inputs!$B$38&lt;&gt;"pvp",Inputs!$B$43&gt;0),MIN(15,Inputs!$B$43)/(Inputs!$B$43),0))),0)))&gt;=100),CHOOSE(ArtifactsInput!$N$42+1,40,48,56,64,72,80),0))))/100)*((1+(((C1839=TRUE)*F1839)+((C1840=TRUE)*IF(Inputs!$B$38="pvp",F1840,(1-Summary!$B$11)*(F1840)+Summary!$B$11*(0)))+((C1841=TRUE)*F1841*IF(AND(Inputs!$B$38&lt;&gt;"pvp",Inputs!$B$43&gt;0),(((R1841-1)*(Skills!T15*(1+Inputs!$B$34/100))+MIN((Skills!T15*(1+Inputs!$B$34/100)),MAX(0,Inputs!$B$43-((R1841-1)*Skills!D15))))/Inputs!$B$43),IF(Inputs!$B$38="pvp",MIN((Skills!T15*(1+Inputs!$B$34/100)),15)/15,(Skills!T15*(1+Inputs!$B$34/100))/Skills!D15)))+((C1838=TRUE)*F1838)+((C1855=TRUE)*(F1855-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1828)</f>
        <v/>
      </c>
      <c r="L1828">
        <f>K1828*(MIN(Inputs!$B$22+((C1849=TRUE)*(F1849-Calc!F23)),(Inputs!$B$23+((C1854=TRUE)*(F1854-Calc!F28))+(IF(ArtifactsInput!$M$15,CHOOSE(ArtifactsInput!$N$15+1,25,30,35,40,45,50)/100*(Inputs!$B$11-Inputs!$B$11),0))))/100+(Inputs!$B$23+((C1854=TRUE)*(F1854-Calc!F28))+(IF(ArtifactsInput!$M$15,CHOOSE(ArtifactsInput!$N$15+1,25,30,35,40,45,50)/100*(Inputs!$B$11-Inputs!$B$11),0)))/100)/2</f>
        <v/>
      </c>
      <c r="M1828">
        <f>L1828*(1+(Inputs!$B$10+0+B1863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828">
        <f>L1828*(1-MIN((Inputs!$B$9+((C1845=TRUE)*(F1845-Calc!F19))+B1858+(ArtifactsInput!$M$24-ArtifactsInput!$M$24)*CHOOSE(ArtifactsInput!$N$24+1,10,12,14,16,18,20)+(IF(AND(ArtifactsInput!$M$42,((Inputs!$B$9+((C1845=TRUE)*(F1845-Calc!F19))+B1858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1828*(MIN((Inputs!$B$9+((C1845=TRUE)*(F1845-Calc!F19))+B1858+(ArtifactsInput!$M$24-ArtifactsInput!$M$24)*CHOOSE(ArtifactsInput!$N$24+1,10,12,14,16,18,20)+(IF(AND(ArtifactsInput!$M$42,((Inputs!$B$9+((C1845=TRUE)*(F1845-Calc!F19))+B1858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828">
        <f>(1-Summary!$B$11)*T1828+Summary!$B$11*V1828</f>
        <v/>
      </c>
      <c r="P1828">
        <f>IF(B1868=0,0,O1828/B1868)</f>
        <v/>
      </c>
      <c r="Q1828" t="n">
        <v>0</v>
      </c>
      <c r="R1828" t="n">
        <v>0</v>
      </c>
      <c r="S1828">
        <f>IFERROR((Skills!G2*N1828*B1862)/N1828*IF(Inputs!$B$38="pvp",1,(1-Summary!$B$11)*1+Summary!$B$11*(MIN((6+Inputs!$B$33),Inputs!$B$37))),0)</f>
        <v/>
      </c>
      <c r="T1828">
        <f>IF(C1828,(Skills!G2*N1828*B1862)*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Hunt"),CHOOSE(ArtifactsInput!$N$35+1,15,18,21,24,27,30)*(1-EXP(-(0.2*B1860)*5)),0)+IF(AND(ArtifactsInput!$M$22,Inputs!$B$4&lt;&gt;"Chapter Hunt"),CHOOSE(ArtifactsInput!$N$22+1,10,12,14,16,18,20)*((0*(((0.15*B1860*5))^0/1)+1*(((0.15*B1860*5))^1/1)+2*(((0.15*B1860*5))^2/2)+3*(((0.15*B1860*5))^3/6)+4*(((0.15*B1860*5))^4/24)+5*(((0.15*B1860*5))^5/120))/((((0.15*B1860*5))^0/1)+(((0.15*B1860*5))^1/1)+(((0.15*B1860*5))^2/2)+(((0.15*B1860*5))^3/6)+(((0.15*B1860*5))^4/24)+(((0.15*B1860*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1828*(1-MIN(100,(Inputs!$B$9+((C1845=TRUE)*(F1845-Calc!F19))+B1858+(ArtifactsInput!$M$24-ArtifactsInput!$M$24)*CHOOSE(ArtifactsInput!$N$24+1,10,12,14,16,18,20)+(IF(AND(ArtifactsInput!$M$42,((Inputs!$B$9+((C1845=TRUE)*(F1845-Calc!F19))+B1858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1828*(MIN(100,(Inputs!$B$9+((C1845=TRUE)*(F1845-Calc!F19))+B1858+(ArtifactsInput!$M$24-ArtifactsInput!$M$24)*CHOOSE(ArtifactsInput!$N$24+1,10,12,14,16,18,20)+(IF(AND(ArtifactsInput!$M$42,((Inputs!$B$9+((C1845=TRUE)*(F1845-Calc!F19))+B1858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1828*(1-MIN(100,(Inputs!$B$9+((C1845=TRUE)*(F1845-Calc!F19))+B1858+(ArtifactsInput!$M$24-ArtifactsInput!$M$24)*CHOOSE(ArtifactsInput!$N$24+1,10,12,14,16,18,20)+(IF(AND(ArtifactsInput!$M$42,((Inputs!$B$9+((C1845=TRUE)*(F1845-Calc!F19))+B1858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1828*(MIN(100,(Inputs!$B$9+((C1845=TRUE)*(F1845-Calc!F19))+B1858+(ArtifactsInput!$M$24-ArtifactsInput!$M$24)*CHOOSE(ArtifactsInput!$N$24+1,10,12,14,16,18,20)+(IF(AND(ArtifactsInput!$M$42,((Inputs!$B$9+((C1845=TRUE)*(F1845-Calc!F19))+B1858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IF(ArtifactsInput!$M$20,FALSE,TRUE),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828">
        <f>MAX(0,(Inputs!$B$3-100)*3)+Inputs!$B$28+Inputs!$B$29</f>
        <v/>
      </c>
      <c r="V1828">
        <f>IF(C1828,(Skills!G2*N1828*B1862)*IF(Inputs!$B$38="pvp",1,(1+(Inputs!$B$21+Skills!Q2+(IF(ArtifactsInput!$M$33,CHOOSE(ArtifactsInput!$N$33+1,30,36,42,48,54,60),0))+(IF(AND(ArtifactsInput!$M$35,Inputs!$B$4&lt;&gt;"Chapter Hunt"),CHOOSE(ArtifactsInput!$N$35+1,15,18,21,24,27,30)*(1-EXP(-(0.2*B1860)*5)),0)+IF(AND(ArtifactsInput!$M$22,Inputs!$B$4&lt;&gt;"Chapter Hunt"),CHOOSE(ArtifactsInput!$N$22+1,10,12,14,16,18,20)*((0*(((0.15*B1860*5))^0/1)+1*(((0.15*B1860*5))^1/1)+2*(((0.15*B1860*5))^2/2)+3*(((0.15*B1860*5))^3/6)+4*(((0.15*B1860*5))^4/24)+5*(((0.15*B1860*5))^5/120))/((((0.15*B1860*5))^0/1)+(((0.15*B1860*5))^1/1)+(((0.15*B1860*5))^2/2)+(((0.15*B1860*5))^3/6)+(((0.15*B1860*5))^4/24)+(((0.15*B1860*5))^5/120))),0)))/100)*(MIN((6+Inputs!$B$33),Inputs!$B$37)))*((1+(IF(AND(ArtifactsInput!$M$41,Inputs!$B$38&lt;&gt;"pvp"),CHOOSE(ArtifactsInput!$N$41+1,5,6,7,8,9,10)*IF(OR(Inputs!$B$4="Weapon Dungeon",Inputs!$B$4="Equipment Dungeon",Inputs!$B$4="Enhancement Dungeon",Inputs!$B$4="EXP Dungeon",Inputs!$B$4="Hero Dungeon"),3,1),0)+IF(ArtifactsInput!$M$26,10*CHOOSE(ArtifactsInput!$N$26+1,1,1.2,1.4,1.6,1.8,2),0)+IF(AND(IF(ArtifactsInput!$M$20,FALSE,TRUE),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829">
      <c r="A1829">
        <f>Skills!A3</f>
        <v/>
      </c>
      <c r="B1829">
        <f>Skills!B3</f>
        <v/>
      </c>
      <c r="C1829">
        <f>Inputs!$B$3&gt;=50</f>
        <v/>
      </c>
      <c r="D1829">
        <f>IF(Skills!C3=1,60+Inputs!$B$25+Inputs!$B$29,IF(Skills!C3=2,90+Inputs!$B$26+Inputs!$B$29,IF(Skills!C3=3,120+Inputs!$B$27+Inputs!$B$29,MAX(0,(Inputs!$B$3-100)*3)+Inputs!$B$28+Inputs!$B$29)))</f>
        <v/>
      </c>
      <c r="E1829">
        <f>INDEX(FactorTable!$B$2:$Y$301, MATCH(ROUND(MIN(300,MAX(1,D1829)),0), FactorTable!$A$2:$A$301,0), Skills!M3+1)</f>
        <v/>
      </c>
      <c r="F1829">
        <f>IF(Skills!N3=TRUE,(Skills!L3/10)*(E1829/1000),Skills!L3/10)+Skills!O3</f>
        <v/>
      </c>
      <c r="G1829" t="inlineStr"/>
      <c r="H1829" t="inlineStr"/>
      <c r="I1829" t="inlineStr">
        <is>
          <t>1</t>
        </is>
      </c>
      <c r="J1829" t="inlineStr"/>
      <c r="K1829" t="inlineStr"/>
      <c r="L1829" t="inlineStr"/>
      <c r="M1829" t="inlineStr"/>
      <c r="N1829" t="inlineStr"/>
      <c r="O1829" t="inlineStr"/>
      <c r="P1829" t="inlineStr"/>
      <c r="Q1829" t="inlineStr"/>
      <c r="R1829" t="inlineStr"/>
      <c r="S1829" t="inlineStr"/>
      <c r="T1829" t="inlineStr"/>
      <c r="U1829">
        <f>INDEX(FactorTable!$B$2:$Y$301, MATCH(ROUND(MIN(300,MAX(1,U1828)),0), FactorTable!$A$2:$A$301,0), 22)</f>
        <v/>
      </c>
      <c r="V1829" t="inlineStr"/>
    </row>
    <row r="1830">
      <c r="A1830">
        <f>Skills!A4</f>
        <v/>
      </c>
      <c r="B1830">
        <f>Skills!B4</f>
        <v/>
      </c>
      <c r="C1830">
        <f>Inputs!$B$3&gt;=105</f>
        <v/>
      </c>
      <c r="D1830">
        <f>IF(Skills!C4=1,60+Inputs!$B$25+Inputs!$B$29,IF(Skills!C4=2,90+Inputs!$B$26+Inputs!$B$29,IF(Skills!C4=3,120+Inputs!$B$27+Inputs!$B$29,MAX(0,(Inputs!$B$3-100)*3)+Inputs!$B$28+Inputs!$B$29)))</f>
        <v/>
      </c>
      <c r="E1830">
        <f>INDEX(FactorTable!$B$2:$Y$301, MATCH(ROUND(MIN(300,MAX(1,D1830)),0), FactorTable!$A$2:$A$301,0), Skills!M4+1)</f>
        <v/>
      </c>
      <c r="F1830">
        <f>IF(Skills!N4=TRUE,(Skills!L4/10)*(E1830/1000),Skills!L4/10)+Skills!O4</f>
        <v/>
      </c>
      <c r="G1830" t="inlineStr"/>
      <c r="H1830" t="inlineStr"/>
      <c r="I1830" t="inlineStr">
        <is>
          <t>1</t>
        </is>
      </c>
      <c r="J1830" t="inlineStr"/>
      <c r="K1830" t="inlineStr"/>
      <c r="L1830" t="inlineStr"/>
      <c r="M1830" t="inlineStr"/>
      <c r="N1830" t="inlineStr"/>
      <c r="O1830" t="inlineStr"/>
      <c r="P1830" t="inlineStr"/>
      <c r="Q1830" t="inlineStr"/>
      <c r="R1830" t="inlineStr"/>
      <c r="S1830" t="inlineStr"/>
      <c r="T1830" t="inlineStr"/>
      <c r="U1830">
        <f>290*U1829/1000</f>
        <v/>
      </c>
      <c r="V1830" t="inlineStr"/>
    </row>
    <row r="1831">
      <c r="A1831">
        <f>Skills!A5</f>
        <v/>
      </c>
      <c r="B1831">
        <f>Skills!B5</f>
        <v/>
      </c>
      <c r="C1831">
        <f>Inputs!$B$3&gt;=35</f>
        <v/>
      </c>
      <c r="D1831">
        <f>IF(Skills!C5=1,60+Inputs!$B$25+Inputs!$B$29,IF(Skills!C5=2,90+Inputs!$B$26+Inputs!$B$29,IF(Skills!C5=3,120+Inputs!$B$27+Inputs!$B$29,MAX(0,(Inputs!$B$3-100)*3)+Inputs!$B$28+Inputs!$B$29)))</f>
        <v/>
      </c>
      <c r="E1831">
        <f>INDEX(FactorTable!$B$2:$Y$301, MATCH(ROUND(MIN(300,MAX(1,D1831)),0), FactorTable!$A$2:$A$301,0), Skills!M5+1)</f>
        <v/>
      </c>
      <c r="F1831">
        <f>IF(Skills!N5=TRUE,(Skills!L5/10)*(E1831/1000),Skills!L5/10)+Skills!O5</f>
        <v/>
      </c>
      <c r="G1831">
        <f>Skills!G5*IF(Skills!H5&gt;0,Skills!I5/Skills!H5,1)</f>
        <v/>
      </c>
      <c r="H1831">
        <f>1-(1-Skills!J5/100)^Skills!K5</f>
        <v/>
      </c>
      <c r="I1831" t="inlineStr">
        <is>
          <t>1</t>
        </is>
      </c>
      <c r="J1831">
        <f>((Inputs!$B$6*(1+Inputs!$B$7/100))+(((Inputs!$B$12*(1+Inputs!$B$13/100))-(Inputs!$B$12*(1+Inputs!$B$13/100)))+0.25*(Inputs!$B$14-Inputs!$B$14))*(1+Inputs!$B$7/100))*(F1831/100)</f>
        <v/>
      </c>
      <c r="K1831">
        <f>J1831*(1+((Inputs!$B$12*(1+Inputs!$B$13/100))*0.01+Inputs!$B$14*0.0025)/100)*(1+Inputs!$B$15/100)*(1+Inputs!$B$16/100)*(5000/(6000+Inputs!$B$42*(1-(100*(1-(1-(Inputs!$B$19+0)/100)*(1-CHOOSE(ArtifactsInput!$N$40+1,5,6,7,8,9,10)/100)^(ArtifactsInput!$M$40-ArtifactsInput!$M$40)))/100)))*(1+(Inputs!$B$24+((C1850=TRUE)*(F1850-Calc!F24))+((C1851=TRUE)*(F1851-Calc!F25))+B1864)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1834=TRUE,F1834,0)/100)*(1+(IF(Skills!A5="EMPOWERED_PIERCING_ARROW",Inputs!$B$17+((C1848=TRUE)*(F1848-Calc!F22))+(((IF(AND(ArtifactsInput!$M$42,((Inputs!$B$9+((C1845=TRUE)*(F1845-Calc!F19))+B1858+(ArtifactsInput!$M$24-ArtifactsInput!$M$24)*CHOOSE(ArtifactsInput!$N$24+1,10,12,14,16,18,20)+IF(ArtifactsInput!$M$10,CHOOSE(ArtifactsInput!$N$10+1,15,18,21,24,27,30)*(IF(Inputs!$B$38="pvp",MIN(15,15)/15,IF(AND(Inputs!$B$38&lt;&gt;"pvp",Inputs!$B$43&gt;0),MIN(15,Inputs!$B$43)/(Inputs!$B$43),0))),0)))&gt;=100),MIN(100,((Inputs!$B$9+((C1845=TRUE)*(F1845-Calc!F19))+B1858+(ArtifactsInput!$M$24-ArtifactsInput!$M$24)*CHOOSE(ArtifactsInput!$N$24+1,10,12,14,16,18,20)+IF(ArtifactsInput!$M$10,CHOOSE(ArtifactsInput!$N$10+1,15,18,21,24,27,30)*(IF(Inputs!$B$38="pvp",MIN(15,15)/15,IF(AND(Inputs!$B$38&lt;&gt;"pvp",Inputs!$B$43&gt;0),MIN(15,Inputs!$B$43)/(Inputs!$B$43),0))),0)))-100),0))*CHOOSE(ArtifactsInput!$N$42+1,0.6,0.72,0.84,0.96,1.08,1.2))),Inputs!$B$18+((C1853=TRUE)*(F1853-Calc!F27))+(IF(AND(ArtifactsInput!$M$42,((Inputs!$B$9+((C1845=TRUE)*(F1845-Calc!F19))+B1858+(ArtifactsInput!$M$24-ArtifactsInput!$M$24)*CHOOSE(ArtifactsInput!$N$24+1,10,12,14,16,18,20)+IF(ArtifactsInput!$M$10,CHOOSE(ArtifactsInput!$N$10+1,15,18,21,24,27,30)*(IF(Inputs!$B$38="pvp",MIN(15,15)/15,IF(AND(Inputs!$B$38&lt;&gt;"pvp",Inputs!$B$43&gt;0),MIN(15,Inputs!$B$43)/(Inputs!$B$43),0))),0)))&gt;=100),CHOOSE(ArtifactsInput!$N$42+1,40,48,56,64,72,80),0))))/100)*((1+(((C1839=TRUE)*F1839)+((C1840=TRUE)*IF(Inputs!$B$38="pvp",F1840,(1-Summary!$B$11)*(F1840)+Summary!$B$11*(0)))+((C1841=TRUE)*F1841*IF(AND(Inputs!$B$38&lt;&gt;"pvp",Inputs!$B$43&gt;0),(((R1841-1)*(Skills!T15*(1+Inputs!$B$34/100))+MIN((Skills!T15*(1+Inputs!$B$34/100)),MAX(0,Inputs!$B$43-((R1841-1)*Skills!D15))))/Inputs!$B$43),IF(Inputs!$B$38="pvp",MIN((Skills!T15*(1+Inputs!$B$34/100)),15)/15,(Skills!T15*(1+Inputs!$B$34/100))/Skills!D15)))+((C1838=TRUE)*F1838)+((C1855=TRUE)*(F1855-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1831)</f>
        <v/>
      </c>
      <c r="L1831">
        <f>K1831*(MIN(Inputs!$B$22+((C1849=TRUE)*(F1849-Calc!F23)),(Inputs!$B$23+((C1854=TRUE)*(F1854-Calc!F28))+(IF(ArtifactsInput!$M$15,CHOOSE(ArtifactsInput!$N$15+1,25,30,35,40,45,50)/100*(Inputs!$B$11-Inputs!$B$11),0))))/100+(Inputs!$B$23+((C1854=TRUE)*(F1854-Calc!F28))+(IF(ArtifactsInput!$M$15,CHOOSE(ArtifactsInput!$N$15+1,25,30,35,40,45,50)/100*(Inputs!$B$11-Inputs!$B$11),0)))/100)/2</f>
        <v/>
      </c>
      <c r="M1831">
        <f>L1831*(1+(Inputs!$B$10+0+B1863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831">
        <f>L1831*(1-MIN((Inputs!$B$9+((C1845=TRUE)*(F1845-Calc!F19))+B1858+(ArtifactsInput!$M$24-ArtifactsInput!$M$24)*CHOOSE(ArtifactsInput!$N$24+1,10,12,14,16,18,20)+(IF(AND(ArtifactsInput!$M$42,((Inputs!$B$9+((C1845=TRUE)*(F1845-Calc!F19))+B1858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1831*(MIN((Inputs!$B$9+((C1845=TRUE)*(F1845-Calc!F19))+B1858+(ArtifactsInput!$M$24-ArtifactsInput!$M$24)*CHOOSE(ArtifactsInput!$N$24+1,10,12,14,16,18,20)+(IF(AND(ArtifactsInput!$M$42,((Inputs!$B$9+((C1845=TRUE)*(F1845-Calc!F19))+B1858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831">
        <f>(1-Summary!$B$11)*T1831+Summary!$B$11*V1831</f>
        <v/>
      </c>
      <c r="P1831">
        <f>IF(B1868=0,0,O1831/B1868)</f>
        <v/>
      </c>
      <c r="Q1831">
        <f>IFERROR(1/IF(Inputs!$B$38="pvp",15,MAX(0.1,Skills!D5-IF(Skills!E5=TRUE,Inputs!$B$32,0))),0)</f>
        <v/>
      </c>
      <c r="R1831">
        <f>IF(AND(Inputs!$B$38&lt;&gt;"pvp",Inputs!$B$43&gt;0),IF(MAX(0,Inputs!$B$43-B1865)&lt;=0,0,(INT(MAX(0,Inputs!$B$43-B1865)/IF(Inputs!$B$38="pvp",15,MAX(0.1,Skills!D5-IF(Skills!E5=TRUE,Inputs!$B$32,0))))+1)),0)</f>
        <v/>
      </c>
      <c r="S1831">
        <f>IFERROR((H1831*N1831*IF(AND(Inputs!$B$38&lt;&gt;"pvp",Inputs!$B$43&gt;0),((Skills!G5*((R1831-1)*IF(Skills!H5&gt;0,Skills!I5/Skills!H5,1)+IF(Skills!H5&gt;0,MIN(Skills!I5,MAX(0,MAX(0,Inputs!$B$43-B1865)-((R1831-1)*IF(Inputs!$B$38="pvp",15,MAX(0.1,Skills!D5-IF(Skills!E5=TRUE,Inputs!$B$32,0))))))/Skills!H5,1)))/Inputs!$B$43),G1831*Q1831))/N1831*IF(Inputs!$B$38="pvp",1,(1-Summary!$B$11)*1+Summary!$B$11*(MIN(Skills!R5,Inputs!$B$37))),0)</f>
        <v/>
      </c>
      <c r="T1831">
        <f>IF(C1831,(H1831*N1831*IF(AND(Inputs!$B$38&lt;&gt;"pvp",Inputs!$B$43&gt;0),((Skills!G5*((R1831-1)*IF(Skills!H5&gt;0,Skills!I5/Skills!H5,1)+IF(Skills!H5&gt;0,MIN(Skills!I5,MAX(0,MAX(0,Inputs!$B$43-B1865)-((R1831-1)*IF(Inputs!$B$38="pvp",15,MAX(0.1,Skills!D5-IF(Skills!E5=TRUE,Inputs!$B$32,0))))))/Skills!H5,1)))/Inputs!$B$43),G1831*Q1831))*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Hunt"),CHOOSE(ArtifactsInput!$N$35+1,15,18,21,24,27,30)*(1-EXP(-(0.2*B1860)*5)),0)+IF(AND(ArtifactsInput!$M$22,Inputs!$B$4&lt;&gt;"Chapter Hunt"),CHOOSE(ArtifactsInput!$N$22+1,10,12,14,16,18,20)*((0*(((0.15*B1860*5))^0/1)+1*(((0.15*B1860*5))^1/1)+2*(((0.15*B1860*5))^2/2)+3*(((0.15*B1860*5))^3/6)+4*(((0.15*B1860*5))^4/24)+5*(((0.15*B1860*5))^5/120))/((((0.15*B1860*5))^0/1)+(((0.15*B1860*5))^1/1)+(((0.15*B1860*5))^2/2)+(((0.15*B1860*5))^3/6)+(((0.15*B1860*5))^4/24)+(((0.15*B1860*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1831*(1-MIN(100,(Inputs!$B$9+((C1845=TRUE)*(F1845-Calc!F19))+B1858+(ArtifactsInput!$M$24-ArtifactsInput!$M$24)*CHOOSE(ArtifactsInput!$N$24+1,10,12,14,16,18,20)+(IF(AND(ArtifactsInput!$M$42,((Inputs!$B$9+((C1845=TRUE)*(F1845-Calc!F19))+B1858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1831*(MIN(100,(Inputs!$B$9+((C1845=TRUE)*(F1845-Calc!F19))+B1858+(ArtifactsInput!$M$24-ArtifactsInput!$M$24)*CHOOSE(ArtifactsInput!$N$24+1,10,12,14,16,18,20)+(IF(AND(ArtifactsInput!$M$42,((Inputs!$B$9+((C1845=TRUE)*(F1845-Calc!F19))+B1858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1831*(1-MIN(100,(Inputs!$B$9+((C1845=TRUE)*(F1845-Calc!F19))+B1858+(ArtifactsInput!$M$24-ArtifactsInput!$M$24)*CHOOSE(ArtifactsInput!$N$24+1,10,12,14,16,18,20)+(IF(AND(ArtifactsInput!$M$42,((Inputs!$B$9+((C1845=TRUE)*(F1845-Calc!F19))+B1858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1831*(MIN(100,(Inputs!$B$9+((C1845=TRUE)*(F1845-Calc!F19))+B1858+(ArtifactsInput!$M$24-ArtifactsInput!$M$24)*CHOOSE(ArtifactsInput!$N$24+1,10,12,14,16,18,20)+(IF(AND(ArtifactsInput!$M$42,((Inputs!$B$9+((C1845=TRUE)*(F1845-Calc!F19))+B1858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IF(ArtifactsInput!$M$20,FALSE,TRUE),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831">
        <f>IF(C1831,(H1831*N1831*IF(AND(Inputs!$B$38&lt;&gt;"pvp",Inputs!$B$43&gt;0),((Skills!G5*((R1831-1)*IF(Skills!H5&gt;0,Skills!I5/Skills!H5,1)+IF(Skills!H5&gt;0,MIN(Skills!I5,MAX(0,MAX(0,Inputs!$B$43-B1865)-((R1831-1)*IF(Inputs!$B$38="pvp",15,MAX(0.1,Skills!D5-IF(Skills!E5=TRUE,Inputs!$B$32,0))))))/Skills!H5,1)))/Inputs!$B$43),G1831*Q1831))*IF(Inputs!$B$38="pvp",1,(1+(Inputs!$B$21+Skills!Q5+(IF(ArtifactsInput!$M$33,CHOOSE(ArtifactsInput!$N$33+1,30,36,42,48,54,60),0))+(IF(AND(ArtifactsInput!$M$35,Inputs!$B$4&lt;&gt;"Chapter Hunt"),CHOOSE(ArtifactsInput!$N$35+1,15,18,21,24,27,30)*(1-EXP(-(0.2*B1860)*5)),0)+IF(AND(ArtifactsInput!$M$22,Inputs!$B$4&lt;&gt;"Chapter Hunt"),CHOOSE(ArtifactsInput!$N$22+1,10,12,14,16,18,20)*((0*(((0.15*B1860*5))^0/1)+1*(((0.15*B1860*5))^1/1)+2*(((0.15*B1860*5))^2/2)+3*(((0.15*B1860*5))^3/6)+4*(((0.15*B1860*5))^4/24)+5*(((0.15*B1860*5))^5/120))/((((0.15*B1860*5))^0/1)+(((0.15*B1860*5))^1/1)+(((0.15*B1860*5))^2/2)+(((0.15*B1860*5))^3/6)+(((0.15*B1860*5))^4/24)+(((0.15*B1860*5))^5/120))),0)))/100)*(MIN(Skills!R5,Inputs!$B$37)))*((1+(IF(AND(ArtifactsInput!$M$41,Inputs!$B$38&lt;&gt;"pvp"),CHOOSE(ArtifactsInput!$N$41+1,5,6,7,8,9,10)*IF(OR(Inputs!$B$4="Weapon Dungeon",Inputs!$B$4="Equipment Dungeon",Inputs!$B$4="Enhancement Dungeon",Inputs!$B$4="EXP Dungeon",Inputs!$B$4="Hero Dungeon"),3,1),0)+IF(ArtifactsInput!$M$26,10*CHOOSE(ArtifactsInput!$N$26+1,1,1.2,1.4,1.6,1.8,2),0)+IF(AND(IF(ArtifactsInput!$M$20,FALSE,TRUE),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832">
      <c r="A1832">
        <f>Skills!A6</f>
        <v/>
      </c>
      <c r="B1832">
        <f>Skills!B6</f>
        <v/>
      </c>
      <c r="C1832">
        <f>Inputs!$B$3&gt;=63</f>
        <v/>
      </c>
      <c r="D1832">
        <f>IF(Skills!C6=1,60+Inputs!$B$25+Inputs!$B$29,IF(Skills!C6=2,90+Inputs!$B$26+Inputs!$B$29,IF(Skills!C6=3,120+Inputs!$B$27+Inputs!$B$29,MAX(0,(Inputs!$B$3-100)*3)+Inputs!$B$28+Inputs!$B$29)))</f>
        <v/>
      </c>
      <c r="E1832">
        <f>INDEX(FactorTable!$B$2:$Y$301, MATCH(ROUND(MIN(300,MAX(1,D1832)),0), FactorTable!$A$2:$A$301,0), Skills!M6+1)</f>
        <v/>
      </c>
      <c r="F1832">
        <f>IF(Skills!N6=TRUE,(Skills!L6/10)*(E1832/1000),Skills!L6/10)+Skills!O6</f>
        <v/>
      </c>
      <c r="G1832">
        <f>Skills!G6*IF(Skills!H6&gt;0,Skills!I6/Skills!H6,1)</f>
        <v/>
      </c>
      <c r="H1832">
        <f>1-(1-Skills!J6/100)^Skills!K6</f>
        <v/>
      </c>
      <c r="I1832" t="inlineStr">
        <is>
          <t>1</t>
        </is>
      </c>
      <c r="J1832">
        <f>((Inputs!$B$6*(1+Inputs!$B$7/100))+(((Inputs!$B$12*(1+Inputs!$B$13/100))-(Inputs!$B$12*(1+Inputs!$B$13/100)))+0.25*(Inputs!$B$14-Inputs!$B$14))*(1+Inputs!$B$7/100))*(F1832/100)</f>
        <v/>
      </c>
      <c r="K1832">
        <f>J1832*(1+((Inputs!$B$12*(1+Inputs!$B$13/100))*0.01+Inputs!$B$14*0.0025)/100)*(1+Inputs!$B$15/100)*(1+Inputs!$B$16/100)*(5000/(6000+Inputs!$B$42*(1-(100*(1-(1-(Inputs!$B$19+0)/100)*(1-CHOOSE(ArtifactsInput!$N$40+1,5,6,7,8,9,10)/100)^(ArtifactsInput!$M$40-ArtifactsInput!$M$40)))/100)))*(1+(Inputs!$B$24+((C1850=TRUE)*(F1850-Calc!F24))+((C1851=TRUE)*(F1851-Calc!F25))+B1864)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1834=TRUE,F1834,0)/100)*(1+(IF(Skills!A6="EMPOWERED_PIERCING_ARROW",Inputs!$B$17+((C1848=TRUE)*(F1848-Calc!F22))+(((IF(AND(ArtifactsInput!$M$42,((Inputs!$B$9+((C1845=TRUE)*(F1845-Calc!F19))+B1858+(ArtifactsInput!$M$24-ArtifactsInput!$M$24)*CHOOSE(ArtifactsInput!$N$24+1,10,12,14,16,18,20)+IF(ArtifactsInput!$M$10,CHOOSE(ArtifactsInput!$N$10+1,15,18,21,24,27,30)*(IF(Inputs!$B$38="pvp",MIN(15,15)/15,IF(AND(Inputs!$B$38&lt;&gt;"pvp",Inputs!$B$43&gt;0),MIN(15,Inputs!$B$43)/(Inputs!$B$43),0))),0)))&gt;=100),MIN(100,((Inputs!$B$9+((C1845=TRUE)*(F1845-Calc!F19))+B1858+(ArtifactsInput!$M$24-ArtifactsInput!$M$24)*CHOOSE(ArtifactsInput!$N$24+1,10,12,14,16,18,20)+IF(ArtifactsInput!$M$10,CHOOSE(ArtifactsInput!$N$10+1,15,18,21,24,27,30)*(IF(Inputs!$B$38="pvp",MIN(15,15)/15,IF(AND(Inputs!$B$38&lt;&gt;"pvp",Inputs!$B$43&gt;0),MIN(15,Inputs!$B$43)/(Inputs!$B$43),0))),0)))-100),0))*CHOOSE(ArtifactsInput!$N$42+1,0.6,0.72,0.84,0.96,1.08,1.2))),Inputs!$B$18+((C1853=TRUE)*(F1853-Calc!F27))+(IF(AND(ArtifactsInput!$M$42,((Inputs!$B$9+((C1845=TRUE)*(F1845-Calc!F19))+B1858+(ArtifactsInput!$M$24-ArtifactsInput!$M$24)*CHOOSE(ArtifactsInput!$N$24+1,10,12,14,16,18,20)+IF(ArtifactsInput!$M$10,CHOOSE(ArtifactsInput!$N$10+1,15,18,21,24,27,30)*(IF(Inputs!$B$38="pvp",MIN(15,15)/15,IF(AND(Inputs!$B$38&lt;&gt;"pvp",Inputs!$B$43&gt;0),MIN(15,Inputs!$B$43)/(Inputs!$B$43),0))),0)))&gt;=100),CHOOSE(ArtifactsInput!$N$42+1,40,48,56,64,72,80),0))))/100)*((1+(((C1839=TRUE)*F1839)+((C1840=TRUE)*IF(Inputs!$B$38="pvp",F1840,(1-Summary!$B$11)*(F1840)+Summary!$B$11*(0)))+((C1841=TRUE)*F1841*IF(AND(Inputs!$B$38&lt;&gt;"pvp",Inputs!$B$43&gt;0),(((R1841-1)*(Skills!T15*(1+Inputs!$B$34/100))+MIN((Skills!T15*(1+Inputs!$B$34/100)),MAX(0,Inputs!$B$43-((R1841-1)*Skills!D15))))/Inputs!$B$43),IF(Inputs!$B$38="pvp",MIN((Skills!T15*(1+Inputs!$B$34/100)),15)/15,(Skills!T15*(1+Inputs!$B$34/100))/Skills!D15)))+((C1838=TRUE)*F1838)+((C1855=TRUE)*(F1855-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1832)</f>
        <v/>
      </c>
      <c r="L1832">
        <f>K1832*(MIN(Inputs!$B$22+((C1849=TRUE)*(F1849-Calc!F23)),(Inputs!$B$23+((C1854=TRUE)*(F1854-Calc!F28))+(IF(ArtifactsInput!$M$15,CHOOSE(ArtifactsInput!$N$15+1,25,30,35,40,45,50)/100*(Inputs!$B$11-Inputs!$B$11),0))))/100+(Inputs!$B$23+((C1854=TRUE)*(F1854-Calc!F28))+(IF(ArtifactsInput!$M$15,CHOOSE(ArtifactsInput!$N$15+1,25,30,35,40,45,50)/100*(Inputs!$B$11-Inputs!$B$11),0)))/100)/2</f>
        <v/>
      </c>
      <c r="M1832">
        <f>L1832*(1+(Inputs!$B$10+0+B1863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832">
        <f>L1832*(1-MIN((Inputs!$B$9+((C1845=TRUE)*(F1845-Calc!F19))+B1858+(ArtifactsInput!$M$24-ArtifactsInput!$M$24)*CHOOSE(ArtifactsInput!$N$24+1,10,12,14,16,18,20)+(IF(AND(ArtifactsInput!$M$42,((Inputs!$B$9+((C1845=TRUE)*(F1845-Calc!F19))+B1858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1832*(MIN((Inputs!$B$9+((C1845=TRUE)*(F1845-Calc!F19))+B1858+(ArtifactsInput!$M$24-ArtifactsInput!$M$24)*CHOOSE(ArtifactsInput!$N$24+1,10,12,14,16,18,20)+(IF(AND(ArtifactsInput!$M$42,((Inputs!$B$9+((C1845=TRUE)*(F1845-Calc!F19))+B1858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832">
        <f>(1-Summary!$B$11)*T1832+Summary!$B$11*V1832</f>
        <v/>
      </c>
      <c r="P1832">
        <f>IF(B1868=0,0,O1832/B1868)</f>
        <v/>
      </c>
      <c r="Q1832">
        <f>IFERROR(1/IF(Inputs!$B$38="pvp",15,MAX(0.1,Skills!D6-IF(Skills!E6=TRUE,Inputs!$B$32,0))),0)</f>
        <v/>
      </c>
      <c r="R1832">
        <f>IF(AND(Inputs!$B$38&lt;&gt;"pvp",Inputs!$B$43&gt;0),IF(MAX(0,Inputs!$B$43-B1865)&lt;=0,0,(INT(MAX(0,Inputs!$B$43-B1865)/IF(Inputs!$B$38="pvp",15,MAX(0.1,Skills!D6-IF(Skills!E6=TRUE,Inputs!$B$32,0))))+1)),0)</f>
        <v/>
      </c>
      <c r="S1832">
        <f>IFERROR((H1832*N1832*IF(AND(Inputs!$B$38&lt;&gt;"pvp",Inputs!$B$43&gt;0),((Skills!G6*((R1832-1)*IF(Skills!H6&gt;0,Skills!I6/Skills!H6,1)+IF(Skills!H6&gt;0,MIN(Skills!I6,MAX(0,MAX(0,Inputs!$B$43-B1865)-((R1832-1)*IF(Inputs!$B$38="pvp",15,MAX(0.1,Skills!D6-IF(Skills!E6=TRUE,Inputs!$B$32,0))))))/Skills!H6,1)))/Inputs!$B$43),G1832*Q1832))/N1832*IF(Inputs!$B$38="pvp",1,(1-Summary!$B$11)*1+Summary!$B$11*(MIN(Skills!R6,Inputs!$B$37))),0)</f>
        <v/>
      </c>
      <c r="T1832">
        <f>IF(C1832,(H1832*N1832*IF(AND(Inputs!$B$38&lt;&gt;"pvp",Inputs!$B$43&gt;0),((Skills!G6*((R1832-1)*IF(Skills!H6&gt;0,Skills!I6/Skills!H6,1)+IF(Skills!H6&gt;0,MIN(Skills!I6,MAX(0,MAX(0,Inputs!$B$43-B1865)-((R1832-1)*IF(Inputs!$B$38="pvp",15,MAX(0.1,Skills!D6-IF(Skills!E6=TRUE,Inputs!$B$32,0))))))/Skills!H6,1)))/Inputs!$B$43),G1832*Q1832))*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Hunt"),CHOOSE(ArtifactsInput!$N$35+1,15,18,21,24,27,30)*(1-EXP(-(0.2*B1860)*5)),0)+IF(AND(ArtifactsInput!$M$22,Inputs!$B$4&lt;&gt;"Chapter Hunt"),CHOOSE(ArtifactsInput!$N$22+1,10,12,14,16,18,20)*((0*(((0.15*B1860*5))^0/1)+1*(((0.15*B1860*5))^1/1)+2*(((0.15*B1860*5))^2/2)+3*(((0.15*B1860*5))^3/6)+4*(((0.15*B1860*5))^4/24)+5*(((0.15*B1860*5))^5/120))/((((0.15*B1860*5))^0/1)+(((0.15*B1860*5))^1/1)+(((0.15*B1860*5))^2/2)+(((0.15*B1860*5))^3/6)+(((0.15*B1860*5))^4/24)+(((0.15*B1860*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1832*(1-MIN(100,(Inputs!$B$9+((C1845=TRUE)*(F1845-Calc!F19))+B1858+(ArtifactsInput!$M$24-ArtifactsInput!$M$24)*CHOOSE(ArtifactsInput!$N$24+1,10,12,14,16,18,20)+(IF(AND(ArtifactsInput!$M$42,((Inputs!$B$9+((C1845=TRUE)*(F1845-Calc!F19))+B1858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1832*(MIN(100,(Inputs!$B$9+((C1845=TRUE)*(F1845-Calc!F19))+B1858+(ArtifactsInput!$M$24-ArtifactsInput!$M$24)*CHOOSE(ArtifactsInput!$N$24+1,10,12,14,16,18,20)+(IF(AND(ArtifactsInput!$M$42,((Inputs!$B$9+((C1845=TRUE)*(F1845-Calc!F19))+B1858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1832*(1-MIN(100,(Inputs!$B$9+((C1845=TRUE)*(F1845-Calc!F19))+B1858+(ArtifactsInput!$M$24-ArtifactsInput!$M$24)*CHOOSE(ArtifactsInput!$N$24+1,10,12,14,16,18,20)+(IF(AND(ArtifactsInput!$M$42,((Inputs!$B$9+((C1845=TRUE)*(F1845-Calc!F19))+B1858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1832*(MIN(100,(Inputs!$B$9+((C1845=TRUE)*(F1845-Calc!F19))+B1858+(ArtifactsInput!$M$24-ArtifactsInput!$M$24)*CHOOSE(ArtifactsInput!$N$24+1,10,12,14,16,18,20)+(IF(AND(ArtifactsInput!$M$42,((Inputs!$B$9+((C1845=TRUE)*(F1845-Calc!F19))+B1858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IF(ArtifactsInput!$M$20,FALSE,TRUE),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832">
        <f>IF(C1832,(H1832*N1832*IF(AND(Inputs!$B$38&lt;&gt;"pvp",Inputs!$B$43&gt;0),((Skills!G6*((R1832-1)*IF(Skills!H6&gt;0,Skills!I6/Skills!H6,1)+IF(Skills!H6&gt;0,MIN(Skills!I6,MAX(0,MAX(0,Inputs!$B$43-B1865)-((R1832-1)*IF(Inputs!$B$38="pvp",15,MAX(0.1,Skills!D6-IF(Skills!E6=TRUE,Inputs!$B$32,0))))))/Skills!H6,1)))/Inputs!$B$43),G1832*Q1832))*IF(Inputs!$B$38="pvp",1,(1+(Inputs!$B$21+Skills!Q6+(IF(ArtifactsInput!$M$33,CHOOSE(ArtifactsInput!$N$33+1,30,36,42,48,54,60),0))+(IF(AND(ArtifactsInput!$M$35,Inputs!$B$4&lt;&gt;"Chapter Hunt"),CHOOSE(ArtifactsInput!$N$35+1,15,18,21,24,27,30)*(1-EXP(-(0.2*B1860)*5)),0)+IF(AND(ArtifactsInput!$M$22,Inputs!$B$4&lt;&gt;"Chapter Hunt"),CHOOSE(ArtifactsInput!$N$22+1,10,12,14,16,18,20)*((0*(((0.15*B1860*5))^0/1)+1*(((0.15*B1860*5))^1/1)+2*(((0.15*B1860*5))^2/2)+3*(((0.15*B1860*5))^3/6)+4*(((0.15*B1860*5))^4/24)+5*(((0.15*B1860*5))^5/120))/((((0.15*B1860*5))^0/1)+(((0.15*B1860*5))^1/1)+(((0.15*B1860*5))^2/2)+(((0.15*B1860*5))^3/6)+(((0.15*B1860*5))^4/24)+(((0.15*B1860*5))^5/120))),0)))/100)*(MIN(Skills!R6,Inputs!$B$37)))*((1+(IF(AND(ArtifactsInput!$M$41,Inputs!$B$38&lt;&gt;"pvp"),CHOOSE(ArtifactsInput!$N$41+1,5,6,7,8,9,10)*IF(OR(Inputs!$B$4="Weapon Dungeon",Inputs!$B$4="Equipment Dungeon",Inputs!$B$4="Enhancement Dungeon",Inputs!$B$4="EXP Dungeon",Inputs!$B$4="Hero Dungeon"),3,1),0)+IF(ArtifactsInput!$M$26,10*CHOOSE(ArtifactsInput!$N$26+1,1,1.2,1.4,1.6,1.8,2),0)+IF(AND(IF(ArtifactsInput!$M$20,FALSE,TRUE),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833">
      <c r="A1833">
        <f>Skills!A7</f>
        <v/>
      </c>
      <c r="B1833">
        <f>Skills!B7</f>
        <v/>
      </c>
      <c r="C1833">
        <f>Inputs!$B$3&gt;=69</f>
        <v/>
      </c>
      <c r="D1833">
        <f>IF(Skills!C7=1,60+Inputs!$B$25+Inputs!$B$29,IF(Skills!C7=2,90+Inputs!$B$26+Inputs!$B$29,IF(Skills!C7=3,120+Inputs!$B$27+Inputs!$B$29,MAX(0,(Inputs!$B$3-100)*3)+Inputs!$B$28+Inputs!$B$29)))</f>
        <v/>
      </c>
      <c r="E1833">
        <f>INDEX(FactorTable!$B$2:$Y$301, MATCH(ROUND(MIN(300,MAX(1,D1833)),0), FactorTable!$A$2:$A$301,0), Skills!M7+1)</f>
        <v/>
      </c>
      <c r="F1833">
        <f>IF(Skills!N7=TRUE,(Skills!L7/10)*(E1833/1000),Skills!L7/10)+Skills!O7</f>
        <v/>
      </c>
      <c r="G1833">
        <f>Skills!G7*IF(Skills!H7&gt;0,Skills!I7/Skills!H7,1)</f>
        <v/>
      </c>
      <c r="H1833">
        <f>1-(1-Skills!J7/100)^Skills!K7</f>
        <v/>
      </c>
      <c r="I1833" t="inlineStr">
        <is>
          <t>1</t>
        </is>
      </c>
      <c r="J1833">
        <f>((Inputs!$B$6*(1+Inputs!$B$7/100))+(((Inputs!$B$12*(1+Inputs!$B$13/100))-(Inputs!$B$12*(1+Inputs!$B$13/100)))+0.25*(Inputs!$B$14-Inputs!$B$14))*(1+Inputs!$B$7/100))*(F1833/100)</f>
        <v/>
      </c>
      <c r="K1833">
        <f>J1833*(1+((Inputs!$B$12*(1+Inputs!$B$13/100))*0.01+Inputs!$B$14*0.0025)/100)*(1+Inputs!$B$15/100)*(1+Inputs!$B$16/100)*(5000/(6000+Inputs!$B$42*(1-(100*(1-(1-(Inputs!$B$19+0)/100)*(1-CHOOSE(ArtifactsInput!$N$40+1,5,6,7,8,9,10)/100)^(ArtifactsInput!$M$40-ArtifactsInput!$M$40)))/100)))*(1+(Inputs!$B$24+((C1850=TRUE)*(F1850-Calc!F24))+((C1851=TRUE)*(F1851-Calc!F25))+B1864)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+1.2*IF(C1834=TRUE,F1834,0)/100)*(1+(IF(Skills!A7="EMPOWERED_PIERCING_ARROW",Inputs!$B$17+((C1848=TRUE)*(F1848-Calc!F22))+(((IF(AND(ArtifactsInput!$M$42,((Inputs!$B$9+((C1845=TRUE)*(F1845-Calc!F19))+B1858+(ArtifactsInput!$M$24-ArtifactsInput!$M$24)*CHOOSE(ArtifactsInput!$N$24+1,10,12,14,16,18,20)+IF(ArtifactsInput!$M$10,CHOOSE(ArtifactsInput!$N$10+1,15,18,21,24,27,30)*(IF(Inputs!$B$38="pvp",MIN(15,15)/15,IF(AND(Inputs!$B$38&lt;&gt;"pvp",Inputs!$B$43&gt;0),MIN(15,Inputs!$B$43)/(Inputs!$B$43),0))),0)))&gt;=100),MIN(100,((Inputs!$B$9+((C1845=TRUE)*(F1845-Calc!F19))+B1858+(ArtifactsInput!$M$24-ArtifactsInput!$M$24)*CHOOSE(ArtifactsInput!$N$24+1,10,12,14,16,18,20)+IF(ArtifactsInput!$M$10,CHOOSE(ArtifactsInput!$N$10+1,15,18,21,24,27,30)*(IF(Inputs!$B$38="pvp",MIN(15,15)/15,IF(AND(Inputs!$B$38&lt;&gt;"pvp",Inputs!$B$43&gt;0),MIN(15,Inputs!$B$43)/(Inputs!$B$43),0))),0)))-100),0))*CHOOSE(ArtifactsInput!$N$42+1,0.6,0.72,0.84,0.96,1.08,1.2))),Inputs!$B$18+((C1853=TRUE)*(F1853-Calc!F27))+(IF(AND(ArtifactsInput!$M$42,((Inputs!$B$9+((C1845=TRUE)*(F1845-Calc!F19))+B1858+(ArtifactsInput!$M$24-ArtifactsInput!$M$24)*CHOOSE(ArtifactsInput!$N$24+1,10,12,14,16,18,20)+IF(ArtifactsInput!$M$10,CHOOSE(ArtifactsInput!$N$10+1,15,18,21,24,27,30)*(IF(Inputs!$B$38="pvp",MIN(15,15)/15,IF(AND(Inputs!$B$38&lt;&gt;"pvp",Inputs!$B$43&gt;0),MIN(15,Inputs!$B$43)/(Inputs!$B$43),0))),0)))&gt;=100),CHOOSE(ArtifactsInput!$N$42+1,40,48,56,64,72,80),0))))/100)*((1+(((C1839=TRUE)*F1839)+((C1840=TRUE)*IF(Inputs!$B$38="pvp",F1840,(1-Summary!$B$11)*(F1840)+Summary!$B$11*(0)))+((C1841=TRUE)*F1841*IF(AND(Inputs!$B$38&lt;&gt;"pvp",Inputs!$B$43&gt;0),(((R1841-1)*(Skills!T15*(1+Inputs!$B$34/100))+MIN((Skills!T15*(1+Inputs!$B$34/100)),MAX(0,Inputs!$B$43-((R1841-1)*Skills!D15))))/Inputs!$B$43),IF(Inputs!$B$38="pvp",MIN((Skills!T15*(1+Inputs!$B$34/100)),15)/15,(Skills!T15*(1+Inputs!$B$34/100))/Skills!D15)))+((C1838=TRUE)*F1838)+((C1855=TRUE)*(F1855-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1833)</f>
        <v/>
      </c>
      <c r="L1833">
        <f>K1833*(MIN(Inputs!$B$22+((C1849=TRUE)*(F1849-Calc!F23)),(Inputs!$B$23+((C1854=TRUE)*(F1854-Calc!F28))+(IF(ArtifactsInput!$M$15,CHOOSE(ArtifactsInput!$N$15+1,25,30,35,40,45,50)/100*(Inputs!$B$11-Inputs!$B$11),0))))/100+(Inputs!$B$23+((C1854=TRUE)*(F1854-Calc!F28))+(IF(ArtifactsInput!$M$15,CHOOSE(ArtifactsInput!$N$15+1,25,30,35,40,45,50)/100*(Inputs!$B$11-Inputs!$B$11),0)))/100)/2</f>
        <v/>
      </c>
      <c r="M1833">
        <f>L1833*(1+(Inputs!$B$10+0+B1863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833">
        <f>L1833*(1-MIN((Inputs!$B$9+((C1845=TRUE)*(F1845-Calc!F19))+B1858+(ArtifactsInput!$M$24-ArtifactsInput!$M$24)*CHOOSE(ArtifactsInput!$N$24+1,10,12,14,16,18,20)+(IF(AND(ArtifactsInput!$M$42,((Inputs!$B$9+((C1845=TRUE)*(F1845-Calc!F19))+B1858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1833*(MIN((Inputs!$B$9+((C1845=TRUE)*(F1845-Calc!F19))+B1858+(ArtifactsInput!$M$24-ArtifactsInput!$M$24)*CHOOSE(ArtifactsInput!$N$24+1,10,12,14,16,18,20)+(IF(AND(ArtifactsInput!$M$42,((Inputs!$B$9+((C1845=TRUE)*(F1845-Calc!F19))+B1858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833">
        <f>(1-Summary!$B$11)*T1833+Summary!$B$11*V1833</f>
        <v/>
      </c>
      <c r="P1833">
        <f>IF(B1868=0,0,O1833/B1868)</f>
        <v/>
      </c>
      <c r="Q1833">
        <f>IFERROR(1/IF(Inputs!$B$38="pvp",15,MAX(0.1,Skills!D7-IF(Skills!E7=TRUE,Inputs!$B$32,0))),0)</f>
        <v/>
      </c>
      <c r="R1833">
        <f>IF(AND(Inputs!$B$38&lt;&gt;"pvp",Inputs!$B$43&gt;0),IF(MAX(0,Inputs!$B$43-B1865)&lt;=0,0,(INT(MAX(0,Inputs!$B$43-B1865)/IF(Inputs!$B$38="pvp",15,MAX(0.1,Skills!D7-IF(Skills!E7=TRUE,Inputs!$B$32,0))))+1)),0)</f>
        <v/>
      </c>
      <c r="S1833">
        <f>IFERROR((H1833*N1833*IF(AND(Inputs!$B$38&lt;&gt;"pvp",Inputs!$B$43&gt;0),((Skills!G7*((R1833-1)*IF(Skills!H7&gt;0,Skills!I7/Skills!H7,1)+IF(Skills!H7&gt;0,MIN(Skills!I7,MAX(0,MAX(0,Inputs!$B$43-B1865)-((R1833-1)*IF(Inputs!$B$38="pvp",15,MAX(0.1,Skills!D7-IF(Skills!E7=TRUE,Inputs!$B$32,0))))))/Skills!H7,1)))/Inputs!$B$43),G1833*Q1833))/N1833*IF(Inputs!$B$38="pvp",1,(1-Summary!$B$11)*1+Summary!$B$11*(MIN(Skills!R7,Inputs!$B$37))),0)</f>
        <v/>
      </c>
      <c r="T1833">
        <f>IF(C1833,(H1833*N1833*IF(AND(Inputs!$B$38&lt;&gt;"pvp",Inputs!$B$43&gt;0),((Skills!G7*((R1833-1)*IF(Skills!H7&gt;0,Skills!I7/Skills!H7,1)+IF(Skills!H7&gt;0,MIN(Skills!I7,MAX(0,MAX(0,Inputs!$B$43-B1865)-((R1833-1)*IF(Inputs!$B$38="pvp",15,MAX(0.1,Skills!D7-IF(Skills!E7=TRUE,Inputs!$B$32,0))))))/Skills!H7,1)))/Inputs!$B$43),G1833*Q1833))*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Hunt"),CHOOSE(ArtifactsInput!$N$35+1,15,18,21,24,27,30)*(1-EXP(-(0.2*B1860)*5)),0)+IF(AND(ArtifactsInput!$M$22,Inputs!$B$4&lt;&gt;"Chapter Hunt"),CHOOSE(ArtifactsInput!$N$22+1,10,12,14,16,18,20)*((0*(((0.15*B1860*5))^0/1)+1*(((0.15*B1860*5))^1/1)+2*(((0.15*B1860*5))^2/2)+3*(((0.15*B1860*5))^3/6)+4*(((0.15*B1860*5))^4/24)+5*(((0.15*B1860*5))^5/120))/((((0.15*B1860*5))^0/1)+(((0.15*B1860*5))^1/1)+(((0.15*B1860*5))^2/2)+(((0.15*B1860*5))^3/6)+(((0.15*B1860*5))^4/24)+(((0.15*B1860*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1833*(1-MIN(100,(Inputs!$B$9+((C1845=TRUE)*(F1845-Calc!F19))+B1858+(ArtifactsInput!$M$24-ArtifactsInput!$M$24)*CHOOSE(ArtifactsInput!$N$24+1,10,12,14,16,18,20)+(IF(AND(ArtifactsInput!$M$42,((Inputs!$B$9+((C1845=TRUE)*(F1845-Calc!F19))+B1858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1833*(MIN(100,(Inputs!$B$9+((C1845=TRUE)*(F1845-Calc!F19))+B1858+(ArtifactsInput!$M$24-ArtifactsInput!$M$24)*CHOOSE(ArtifactsInput!$N$24+1,10,12,14,16,18,20)+(IF(AND(ArtifactsInput!$M$42,((Inputs!$B$9+((C1845=TRUE)*(F1845-Calc!F19))+B1858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1833*(1-MIN(100,(Inputs!$B$9+((C1845=TRUE)*(F1845-Calc!F19))+B1858+(ArtifactsInput!$M$24-ArtifactsInput!$M$24)*CHOOSE(ArtifactsInput!$N$24+1,10,12,14,16,18,20)+(IF(AND(ArtifactsInput!$M$42,((Inputs!$B$9+((C1845=TRUE)*(F1845-Calc!F19))+B1858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1833*(MIN(100,(Inputs!$B$9+((C1845=TRUE)*(F1845-Calc!F19))+B1858+(ArtifactsInput!$M$24-ArtifactsInput!$M$24)*CHOOSE(ArtifactsInput!$N$24+1,10,12,14,16,18,20)+(IF(AND(ArtifactsInput!$M$42,((Inputs!$B$9+((C1845=TRUE)*(F1845-Calc!F19))+B1858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IF(ArtifactsInput!$M$20,FALSE,TRUE),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833">
        <f>IF(C1833,(H1833*N1833*IF(AND(Inputs!$B$38&lt;&gt;"pvp",Inputs!$B$43&gt;0),((Skills!G7*((R1833-1)*IF(Skills!H7&gt;0,Skills!I7/Skills!H7,1)+IF(Skills!H7&gt;0,MIN(Skills!I7,MAX(0,MAX(0,Inputs!$B$43-B1865)-((R1833-1)*IF(Inputs!$B$38="pvp",15,MAX(0.1,Skills!D7-IF(Skills!E7=TRUE,Inputs!$B$32,0))))))/Skills!H7,1)))/Inputs!$B$43),G1833*Q1833))*IF(Inputs!$B$38="pvp",1,(1+(Inputs!$B$21+Skills!Q7+(IF(ArtifactsInput!$M$33,CHOOSE(ArtifactsInput!$N$33+1,30,36,42,48,54,60),0))+(IF(AND(ArtifactsInput!$M$35,Inputs!$B$4&lt;&gt;"Chapter Hunt"),CHOOSE(ArtifactsInput!$N$35+1,15,18,21,24,27,30)*(1-EXP(-(0.2*B1860)*5)),0)+IF(AND(ArtifactsInput!$M$22,Inputs!$B$4&lt;&gt;"Chapter Hunt"),CHOOSE(ArtifactsInput!$N$22+1,10,12,14,16,18,20)*((0*(((0.15*B1860*5))^0/1)+1*(((0.15*B1860*5))^1/1)+2*(((0.15*B1860*5))^2/2)+3*(((0.15*B1860*5))^3/6)+4*(((0.15*B1860*5))^4/24)+5*(((0.15*B1860*5))^5/120))/((((0.15*B1860*5))^0/1)+(((0.15*B1860*5))^1/1)+(((0.15*B1860*5))^2/2)+(((0.15*B1860*5))^3/6)+(((0.15*B1860*5))^4/24)+(((0.15*B1860*5))^5/120))),0)))/100)*(MIN(Skills!R7,Inputs!$B$37)))*((1+(IF(AND(ArtifactsInput!$M$41,Inputs!$B$38&lt;&gt;"pvp"),CHOOSE(ArtifactsInput!$N$41+1,5,6,7,8,9,10)*IF(OR(Inputs!$B$4="Weapon Dungeon",Inputs!$B$4="Equipment Dungeon",Inputs!$B$4="Enhancement Dungeon",Inputs!$B$4="EXP Dungeon",Inputs!$B$4="Hero Dungeon"),3,1),0)+IF(ArtifactsInput!$M$26,10*CHOOSE(ArtifactsInput!$N$26+1,1,1.2,1.4,1.6,1.8,2),0)+IF(AND(IF(ArtifactsInput!$M$20,FALSE,TRUE),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834">
      <c r="A1834">
        <f>Skills!A8</f>
        <v/>
      </c>
      <c r="B1834">
        <f>Skills!B8</f>
        <v/>
      </c>
      <c r="C1834">
        <f>Inputs!$B$3&gt;=100</f>
        <v/>
      </c>
      <c r="D1834">
        <f>IF(Skills!C8=1,60+Inputs!$B$25+Inputs!$B$29,IF(Skills!C8=2,90+Inputs!$B$26+Inputs!$B$29,IF(Skills!C8=3,120+Inputs!$B$27+Inputs!$B$29,MAX(0,(Inputs!$B$3-100)*3)+Inputs!$B$28+Inputs!$B$29)))</f>
        <v/>
      </c>
      <c r="E1834">
        <f>INDEX(FactorTable!$B$2:$Y$301, MATCH(ROUND(MIN(300,MAX(1,D1834)),0), FactorTable!$A$2:$A$301,0), Skills!M8+1)</f>
        <v/>
      </c>
      <c r="F1834">
        <f>IF(Skills!N8=TRUE,(Skills!L8/10)*(E1834/1000),Skills!L8/10)+Skills!O8</f>
        <v/>
      </c>
      <c r="G1834" t="inlineStr"/>
      <c r="H1834" t="inlineStr"/>
      <c r="I1834" t="inlineStr">
        <is>
          <t>1</t>
        </is>
      </c>
      <c r="J1834" t="inlineStr"/>
      <c r="K1834" t="inlineStr"/>
      <c r="L1834" t="inlineStr"/>
      <c r="M1834" t="inlineStr"/>
      <c r="N1834" t="inlineStr"/>
      <c r="O1834" t="inlineStr"/>
      <c r="P1834" t="inlineStr"/>
      <c r="Q1834" t="inlineStr"/>
      <c r="R1834" t="inlineStr"/>
      <c r="S1834" t="inlineStr"/>
      <c r="T1834" t="inlineStr"/>
      <c r="V1834" t="inlineStr"/>
    </row>
    <row r="1835">
      <c r="A1835">
        <f>Skills!A9</f>
        <v/>
      </c>
      <c r="B1835">
        <f>Skills!B9</f>
        <v/>
      </c>
      <c r="C1835">
        <f>Inputs!$B$3&gt;=103</f>
        <v/>
      </c>
      <c r="D1835">
        <f>IF(Skills!C9=1,60+Inputs!$B$25+Inputs!$B$29,IF(Skills!C9=2,90+Inputs!$B$26+Inputs!$B$29,IF(Skills!C9=3,120+Inputs!$B$27+Inputs!$B$29,MAX(0,(Inputs!$B$3-100)*3)+Inputs!$B$28+Inputs!$B$29)))</f>
        <v/>
      </c>
      <c r="E1835">
        <f>INDEX(FactorTable!$B$2:$Y$301, MATCH(ROUND(MIN(300,MAX(1,D1835)),0), FactorTable!$A$2:$A$301,0), Skills!M9+1)</f>
        <v/>
      </c>
      <c r="F1835">
        <f>IF(Skills!N9=TRUE,(Skills!L9/10)*(E1835/1000),Skills!L9/10)+Skills!O9</f>
        <v/>
      </c>
      <c r="G1835">
        <f>Skills!G9*IF(Skills!H9&gt;0,Skills!I9/Skills!H9,1)</f>
        <v/>
      </c>
      <c r="H1835">
        <f>1-(1-Skills!J9/100)^Skills!K9</f>
        <v/>
      </c>
      <c r="I1835" t="inlineStr">
        <is>
          <t>1</t>
        </is>
      </c>
      <c r="J1835">
        <f>((Inputs!$B$6*(1+Inputs!$B$7/100))+(((Inputs!$B$12*(1+Inputs!$B$13/100))-(Inputs!$B$12*(1+Inputs!$B$13/100)))+0.25*(Inputs!$B$14-Inputs!$B$14))*(1+Inputs!$B$7/100))*(F1835/100)</f>
        <v/>
      </c>
      <c r="K1835">
        <f>J1835*(1+((Inputs!$B$12*(1+Inputs!$B$13/100))*0.01+Inputs!$B$14*0.0025)/100)*(1+Inputs!$B$15/100)*(1+Inputs!$B$16/100)*(5000/(6000+Inputs!$B$42*(1-(100*(1-(1-(Inputs!$B$19+0)/100)*(1-CHOOSE(ArtifactsInput!$N$40+1,5,6,7,8,9,10)/100)^(ArtifactsInput!$M$40-ArtifactsInput!$M$40)))/100)))*(1+(Inputs!$B$24+((C1850=TRUE)*(F1850-Calc!F24))+((C1851=TRUE)*(F1851-Calc!F25))+B1864)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EMPOWERED_PIERCING_ARROW",Inputs!$B$17+((C1848=TRUE)*(F1848-Calc!F22))+(((IF(AND(ArtifactsInput!$M$42,((Inputs!$B$9+((C1845=TRUE)*(F1845-Calc!F19))+B1858+(ArtifactsInput!$M$24-ArtifactsInput!$M$24)*CHOOSE(ArtifactsInput!$N$24+1,10,12,14,16,18,20)+IF(ArtifactsInput!$M$10,CHOOSE(ArtifactsInput!$N$10+1,15,18,21,24,27,30)*(IF(Inputs!$B$38="pvp",MIN(15,15)/15,IF(AND(Inputs!$B$38&lt;&gt;"pvp",Inputs!$B$43&gt;0),MIN(15,Inputs!$B$43)/(Inputs!$B$43),0))),0)))&gt;=100),MIN(100,((Inputs!$B$9+((C1845=TRUE)*(F1845-Calc!F19))+B1858+(ArtifactsInput!$M$24-ArtifactsInput!$M$24)*CHOOSE(ArtifactsInput!$N$24+1,10,12,14,16,18,20)+IF(ArtifactsInput!$M$10,CHOOSE(ArtifactsInput!$N$10+1,15,18,21,24,27,30)*(IF(Inputs!$B$38="pvp",MIN(15,15)/15,IF(AND(Inputs!$B$38&lt;&gt;"pvp",Inputs!$B$43&gt;0),MIN(15,Inputs!$B$43)/(Inputs!$B$43),0))),0)))-100),0))*CHOOSE(ArtifactsInput!$N$42+1,0.6,0.72,0.84,0.96,1.08,1.2))),Inputs!$B$18+((C1853=TRUE)*(F1853-Calc!F27))+(IF(AND(ArtifactsInput!$M$42,((Inputs!$B$9+((C1845=TRUE)*(F1845-Calc!F19))+B1858+(ArtifactsInput!$M$24-ArtifactsInput!$M$24)*CHOOSE(ArtifactsInput!$N$24+1,10,12,14,16,18,20)+IF(ArtifactsInput!$M$10,CHOOSE(ArtifactsInput!$N$10+1,15,18,21,24,27,30)*(IF(Inputs!$B$38="pvp",MIN(15,15)/15,IF(AND(Inputs!$B$38&lt;&gt;"pvp",Inputs!$B$43&gt;0),MIN(15,Inputs!$B$43)/(Inputs!$B$43),0))),0)))&gt;=100),CHOOSE(ArtifactsInput!$N$42+1,40,48,56,64,72,80),0))))/100)*((1+(((C1839=TRUE)*F1839)+((C1840=TRUE)*IF(Inputs!$B$38="pvp",F1840,(1-Summary!$B$11)*(F1840)+Summary!$B$11*(0)))+((C1841=TRUE)*F1841*IF(AND(Inputs!$B$38&lt;&gt;"pvp",Inputs!$B$43&gt;0),(((R1841-1)*(Skills!T15*(1+Inputs!$B$34/100))+MIN((Skills!T15*(1+Inputs!$B$34/100)),MAX(0,Inputs!$B$43-((R1841-1)*Skills!D15))))/Inputs!$B$43),IF(Inputs!$B$38="pvp",MIN((Skills!T15*(1+Inputs!$B$34/100)),15)/15,(Skills!T15*(1+Inputs!$B$34/100))/Skills!D15)))+((C1838=TRUE)*F1838)+((C1855=TRUE)*(F1855-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1835)</f>
        <v/>
      </c>
      <c r="L1835">
        <f>K1835*(MIN(Inputs!$B$22+((C1849=TRUE)*(F1849-Calc!F23)),(Inputs!$B$23+((C1854=TRUE)*(F1854-Calc!F28))+(IF(ArtifactsInput!$M$15,CHOOSE(ArtifactsInput!$N$15+1,25,30,35,40,45,50)/100*(Inputs!$B$11-Inputs!$B$11),0))))/100+(Inputs!$B$23+((C1854=TRUE)*(F1854-Calc!F28))+(IF(ArtifactsInput!$M$15,CHOOSE(ArtifactsInput!$N$15+1,25,30,35,40,45,50)/100*(Inputs!$B$11-Inputs!$B$11),0)))/100)/2</f>
        <v/>
      </c>
      <c r="M1835">
        <f>L1835*(1+(Inputs!$B$10+0+B1863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835">
        <f>L1835*(1-MIN((Inputs!$B$9+((C1845=TRUE)*(F1845-Calc!F19))+B1858+(ArtifactsInput!$M$24-ArtifactsInput!$M$24)*CHOOSE(ArtifactsInput!$N$24+1,10,12,14,16,18,20)+(IF(AND(ArtifactsInput!$M$42,((Inputs!$B$9+((C1845=TRUE)*(F1845-Calc!F19))+B1858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1835*(MIN((Inputs!$B$9+((C1845=TRUE)*(F1845-Calc!F19))+B1858+(ArtifactsInput!$M$24-ArtifactsInput!$M$24)*CHOOSE(ArtifactsInput!$N$24+1,10,12,14,16,18,20)+(IF(AND(ArtifactsInput!$M$42,((Inputs!$B$9+((C1845=TRUE)*(F1845-Calc!F19))+B1858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835">
        <f>(1-Summary!$B$11)*T1835+Summary!$B$11*V1835</f>
        <v/>
      </c>
      <c r="P1835">
        <f>IF(B1868=0,0,O1835/B1868)</f>
        <v/>
      </c>
      <c r="Q1835">
        <f>IFERROR(1/IF(Inputs!$B$38="pvp",15,MAX(0.1,Skills!D9-IF(Skills!E9=TRUE,Inputs!$B$32,0))),0)</f>
        <v/>
      </c>
      <c r="R1835">
        <f>IF(AND(Inputs!$B$38&lt;&gt;"pvp",Inputs!$B$43&gt;0),IF(MAX(0,Inputs!$B$43-B1865)&lt;=0,0,(INT(MAX(0,Inputs!$B$43-B1865)/IF(Inputs!$B$38="pvp",15,MAX(0.1,Skills!D9-IF(Skills!E9=TRUE,Inputs!$B$32,0))))+1)),0)</f>
        <v/>
      </c>
      <c r="S1835">
        <f>IFERROR((H1835*N1835*IF(AND(Inputs!$B$38&lt;&gt;"pvp",Inputs!$B$43&gt;0),((Skills!G9*((R1835-1)*IF(Skills!H9&gt;0,Skills!I9/Skills!H9,1)+IF(Skills!H9&gt;0,MIN(Skills!I9,MAX(0,MAX(0,Inputs!$B$43-B1865)-((R1835-1)*IF(Inputs!$B$38="pvp",15,MAX(0.1,Skills!D9-IF(Skills!E9=TRUE,Inputs!$B$32,0))))))/Skills!H9,1)))/Inputs!$B$43),G1835*Q1835))/N1835*IF(Inputs!$B$38="pvp",1,(1-Summary!$B$11)*1+Summary!$B$11*(MIN(Skills!R9,Inputs!$B$37))),0)</f>
        <v/>
      </c>
      <c r="T1835">
        <f>IF(C1835,(H1835*N1835*IF(AND(Inputs!$B$38&lt;&gt;"pvp",Inputs!$B$43&gt;0),((Skills!G9*((R1835-1)*IF(Skills!H9&gt;0,Skills!I9/Skills!H9,1)+IF(Skills!H9&gt;0,MIN(Skills!I9,MAX(0,MAX(0,Inputs!$B$43-B1865)-((R1835-1)*IF(Inputs!$B$38="pvp",15,MAX(0.1,Skills!D9-IF(Skills!E9=TRUE,Inputs!$B$32,0))))))/Skills!H9,1)))/Inputs!$B$43),G1835*Q1835))*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Hunt"),CHOOSE(ArtifactsInput!$N$35+1,15,18,21,24,27,30)*(1-EXP(-(0.2*B1860)*5)),0)+IF(AND(ArtifactsInput!$M$22,Inputs!$B$4&lt;&gt;"Chapter Hunt"),CHOOSE(ArtifactsInput!$N$22+1,10,12,14,16,18,20)*((0*(((0.15*B1860*5))^0/1)+1*(((0.15*B1860*5))^1/1)+2*(((0.15*B1860*5))^2/2)+3*(((0.15*B1860*5))^3/6)+4*(((0.15*B1860*5))^4/24)+5*(((0.15*B1860*5))^5/120))/((((0.15*B1860*5))^0/1)+(((0.15*B1860*5))^1/1)+(((0.15*B1860*5))^2/2)+(((0.15*B1860*5))^3/6)+(((0.15*B1860*5))^4/24)+(((0.15*B1860*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1835*(1-MIN(100,(Inputs!$B$9+((C1845=TRUE)*(F1845-Calc!F19))+B1858+(ArtifactsInput!$M$24-ArtifactsInput!$M$24)*CHOOSE(ArtifactsInput!$N$24+1,10,12,14,16,18,20)+(IF(AND(ArtifactsInput!$M$42,((Inputs!$B$9+((C1845=TRUE)*(F1845-Calc!F19))+B1858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1835*(MIN(100,(Inputs!$B$9+((C1845=TRUE)*(F1845-Calc!F19))+B1858+(ArtifactsInput!$M$24-ArtifactsInput!$M$24)*CHOOSE(ArtifactsInput!$N$24+1,10,12,14,16,18,20)+(IF(AND(ArtifactsInput!$M$42,((Inputs!$B$9+((C1845=TRUE)*(F1845-Calc!F19))+B1858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1835*(1-MIN(100,(Inputs!$B$9+((C1845=TRUE)*(F1845-Calc!F19))+B1858+(ArtifactsInput!$M$24-ArtifactsInput!$M$24)*CHOOSE(ArtifactsInput!$N$24+1,10,12,14,16,18,20)+(IF(AND(ArtifactsInput!$M$42,((Inputs!$B$9+((C1845=TRUE)*(F1845-Calc!F19))+B1858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1835*(MIN(100,(Inputs!$B$9+((C1845=TRUE)*(F1845-Calc!F19))+B1858+(ArtifactsInput!$M$24-ArtifactsInput!$M$24)*CHOOSE(ArtifactsInput!$N$24+1,10,12,14,16,18,20)+(IF(AND(ArtifactsInput!$M$42,((Inputs!$B$9+((C1845=TRUE)*(F1845-Calc!F19))+B1858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IF(ArtifactsInput!$M$20,FALSE,TRUE),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835">
        <f>IF(C1835,(H1835*N1835*IF(AND(Inputs!$B$38&lt;&gt;"pvp",Inputs!$B$43&gt;0),((Skills!G9*((R1835-1)*IF(Skills!H9&gt;0,Skills!I9/Skills!H9,1)+IF(Skills!H9&gt;0,MIN(Skills!I9,MAX(0,MAX(0,Inputs!$B$43-B1865)-((R1835-1)*IF(Inputs!$B$38="pvp",15,MAX(0.1,Skills!D9-IF(Skills!E9=TRUE,Inputs!$B$32,0))))))/Skills!H9,1)))/Inputs!$B$43),G1835*Q1835))*IF(Inputs!$B$38="pvp",1,(1+(Inputs!$B$21+Skills!Q9+(IF(ArtifactsInput!$M$33,CHOOSE(ArtifactsInput!$N$33+1,30,36,42,48,54,60),0))+(IF(AND(ArtifactsInput!$M$35,Inputs!$B$4&lt;&gt;"Chapter Hunt"),CHOOSE(ArtifactsInput!$N$35+1,15,18,21,24,27,30)*(1-EXP(-(0.2*B1860)*5)),0)+IF(AND(ArtifactsInput!$M$22,Inputs!$B$4&lt;&gt;"Chapter Hunt"),CHOOSE(ArtifactsInput!$N$22+1,10,12,14,16,18,20)*((0*(((0.15*B1860*5))^0/1)+1*(((0.15*B1860*5))^1/1)+2*(((0.15*B1860*5))^2/2)+3*(((0.15*B1860*5))^3/6)+4*(((0.15*B1860*5))^4/24)+5*(((0.15*B1860*5))^5/120))/((((0.15*B1860*5))^0/1)+(((0.15*B1860*5))^1/1)+(((0.15*B1860*5))^2/2)+(((0.15*B1860*5))^3/6)+(((0.15*B1860*5))^4/24)+(((0.15*B1860*5))^5/120))),0)))/100)*(MIN(Skills!R9,Inputs!$B$37)))*((1+(IF(AND(ArtifactsInput!$M$41,Inputs!$B$38&lt;&gt;"pvp"),CHOOSE(ArtifactsInput!$N$41+1,5,6,7,8,9,10)*IF(OR(Inputs!$B$4="Weapon Dungeon",Inputs!$B$4="Equipment Dungeon",Inputs!$B$4="Enhancement Dungeon",Inputs!$B$4="EXP Dungeon",Inputs!$B$4="Hero Dungeon"),3,1),0)+IF(ArtifactsInput!$M$26,10*CHOOSE(ArtifactsInput!$N$26+1,1,1.2,1.4,1.6,1.8,2),0)+IF(AND(IF(ArtifactsInput!$M$20,FALSE,TRUE),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836">
      <c r="A1836">
        <f>Skills!A10</f>
        <v/>
      </c>
      <c r="B1836">
        <f>Skills!B10</f>
        <v/>
      </c>
      <c r="C1836">
        <f>Inputs!$B$3&gt;=107</f>
        <v/>
      </c>
      <c r="D1836">
        <f>IF(Skills!C10=1,60+Inputs!$B$25+Inputs!$B$29,IF(Skills!C10=2,90+Inputs!$B$26+Inputs!$B$29,IF(Skills!C10=3,120+Inputs!$B$27+Inputs!$B$29,MAX(0,(Inputs!$B$3-100)*3)+Inputs!$B$28+Inputs!$B$29)))</f>
        <v/>
      </c>
      <c r="E1836">
        <f>INDEX(FactorTable!$B$2:$Y$301, MATCH(ROUND(MIN(300,MAX(1,D1836)),0), FactorTable!$A$2:$A$301,0), Skills!M10+1)</f>
        <v/>
      </c>
      <c r="F1836">
        <f>IF(Skills!N10=TRUE,(Skills!L10/10)*(E1836/1000),Skills!L10/10)+Skills!O10</f>
        <v/>
      </c>
      <c r="G1836">
        <f>Skills!G10*IF(Skills!H10&gt;0,Skills!I10/Skills!H10,1)</f>
        <v/>
      </c>
      <c r="H1836">
        <f>1-(1-Skills!J10/100)^Skills!K10</f>
        <v/>
      </c>
      <c r="I1836" t="inlineStr">
        <is>
          <t>1</t>
        </is>
      </c>
      <c r="J1836">
        <f>((Inputs!$B$6*(1+Inputs!$B$7/100))+(((Inputs!$B$12*(1+Inputs!$B$13/100))-(Inputs!$B$12*(1+Inputs!$B$13/100)))+0.25*(Inputs!$B$14-Inputs!$B$14))*(1+Inputs!$B$7/100))*(F1836/100)</f>
        <v/>
      </c>
      <c r="K1836">
        <f>J1836*(1+((Inputs!$B$12*(1+Inputs!$B$13/100))*0.01+Inputs!$B$14*0.0025)/100)*(1+Inputs!$B$15/100)*(1+Inputs!$B$16/100)*(5000/(6000+Inputs!$B$42*(1-(100*(1-(1-(Inputs!$B$19+0)/100)*(1-CHOOSE(ArtifactsInput!$N$40+1,5,6,7,8,9,10)/100)^(ArtifactsInput!$M$40-ArtifactsInput!$M$40)))/100)))*(1+(Inputs!$B$24+((C1850=TRUE)*(F1850-Calc!F24))+((C1851=TRUE)*(F1851-Calc!F25))+B1864)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EMPOWERED_PIERCING_ARROW",Inputs!$B$17+((C1848=TRUE)*(F1848-Calc!F22))+(((IF(AND(ArtifactsInput!$M$42,((Inputs!$B$9+((C1845=TRUE)*(F1845-Calc!F19))+B1858+(ArtifactsInput!$M$24-ArtifactsInput!$M$24)*CHOOSE(ArtifactsInput!$N$24+1,10,12,14,16,18,20)+IF(ArtifactsInput!$M$10,CHOOSE(ArtifactsInput!$N$10+1,15,18,21,24,27,30)*(IF(Inputs!$B$38="pvp",MIN(15,15)/15,IF(AND(Inputs!$B$38&lt;&gt;"pvp",Inputs!$B$43&gt;0),MIN(15,Inputs!$B$43)/(Inputs!$B$43),0))),0)))&gt;=100),MIN(100,((Inputs!$B$9+((C1845=TRUE)*(F1845-Calc!F19))+B1858+(ArtifactsInput!$M$24-ArtifactsInput!$M$24)*CHOOSE(ArtifactsInput!$N$24+1,10,12,14,16,18,20)+IF(ArtifactsInput!$M$10,CHOOSE(ArtifactsInput!$N$10+1,15,18,21,24,27,30)*(IF(Inputs!$B$38="pvp",MIN(15,15)/15,IF(AND(Inputs!$B$38&lt;&gt;"pvp",Inputs!$B$43&gt;0),MIN(15,Inputs!$B$43)/(Inputs!$B$43),0))),0)))-100),0))*CHOOSE(ArtifactsInput!$N$42+1,0.6,0.72,0.84,0.96,1.08,1.2))),Inputs!$B$18+((C1853=TRUE)*(F1853-Calc!F27))+(IF(AND(ArtifactsInput!$M$42,((Inputs!$B$9+((C1845=TRUE)*(F1845-Calc!F19))+B1858+(ArtifactsInput!$M$24-ArtifactsInput!$M$24)*CHOOSE(ArtifactsInput!$N$24+1,10,12,14,16,18,20)+IF(ArtifactsInput!$M$10,CHOOSE(ArtifactsInput!$N$10+1,15,18,21,24,27,30)*(IF(Inputs!$B$38="pvp",MIN(15,15)/15,IF(AND(Inputs!$B$38&lt;&gt;"pvp",Inputs!$B$43&gt;0),MIN(15,Inputs!$B$43)/(Inputs!$B$43),0))),0)))&gt;=100),CHOOSE(ArtifactsInput!$N$42+1,40,48,56,64,72,80),0))))/100)*((1+(((C1839=TRUE)*F1839)+((C1840=TRUE)*IF(Inputs!$B$38="pvp",F1840,(1-Summary!$B$11)*(F1840)+Summary!$B$11*(0)))+((C1841=TRUE)*F1841*IF(AND(Inputs!$B$38&lt;&gt;"pvp",Inputs!$B$43&gt;0),(((R1841-1)*(Skills!T15*(1+Inputs!$B$34/100))+MIN((Skills!T15*(1+Inputs!$B$34/100)),MAX(0,Inputs!$B$43-((R1841-1)*Skills!D15))))/Inputs!$B$43),IF(Inputs!$B$38="pvp",MIN((Skills!T15*(1+Inputs!$B$34/100)),15)/15,(Skills!T15*(1+Inputs!$B$34/100))/Skills!D15)))+((C1838=TRUE)*F1838)+((C1855=TRUE)*(F1855-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1836)</f>
        <v/>
      </c>
      <c r="L1836">
        <f>K1836*(MIN(Inputs!$B$22+((C1849=TRUE)*(F1849-Calc!F23)),(Inputs!$B$23+((C1854=TRUE)*(F1854-Calc!F28))+(IF(ArtifactsInput!$M$15,CHOOSE(ArtifactsInput!$N$15+1,25,30,35,40,45,50)/100*(Inputs!$B$11-Inputs!$B$11),0))))/100+(Inputs!$B$23+((C1854=TRUE)*(F1854-Calc!F28))+(IF(ArtifactsInput!$M$15,CHOOSE(ArtifactsInput!$N$15+1,25,30,35,40,45,50)/100*(Inputs!$B$11-Inputs!$B$11),0)))/100)/2</f>
        <v/>
      </c>
      <c r="M1836">
        <f>L1836*(1+(Inputs!$B$10+0+B1863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836">
        <f>L1836*(1-MIN((Inputs!$B$9+((C1845=TRUE)*(F1845-Calc!F19))+B1858+(ArtifactsInput!$M$24-ArtifactsInput!$M$24)*CHOOSE(ArtifactsInput!$N$24+1,10,12,14,16,18,20)+(IF(AND(ArtifactsInput!$M$42,((Inputs!$B$9+((C1845=TRUE)*(F1845-Calc!F19))+B1858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1836*(MIN((Inputs!$B$9+((C1845=TRUE)*(F1845-Calc!F19))+B1858+(ArtifactsInput!$M$24-ArtifactsInput!$M$24)*CHOOSE(ArtifactsInput!$N$24+1,10,12,14,16,18,20)+(IF(AND(ArtifactsInput!$M$42,((Inputs!$B$9+((C1845=TRUE)*(F1845-Calc!F19))+B1858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836">
        <f>(1-Summary!$B$11)*T1836+Summary!$B$11*V1836</f>
        <v/>
      </c>
      <c r="P1836">
        <f>IF(B1868=0,0,O1836/B1868)</f>
        <v/>
      </c>
      <c r="Q1836" t="n">
        <v>0</v>
      </c>
      <c r="R1836" t="n">
        <v>0</v>
      </c>
      <c r="S1836" t="n">
        <v>0</v>
      </c>
      <c r="T1836">
        <f>IF(C1836,(0.15*SUMPRODUCT((Skills!U2:U29=TRUE)*(C1828:C1855=TRUE)*S1828:S1855)*Skills!G10*N1836)*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Hunt"),CHOOSE(ArtifactsInput!$N$35+1,15,18,21,24,27,30)*(1-EXP(-(0.2*B1860)*5)),0)+IF(AND(ArtifactsInput!$M$22,Inputs!$B$4&lt;&gt;"Chapter Hunt"),CHOOSE(ArtifactsInput!$N$22+1,10,12,14,16,18,20)*((0*(((0.15*B1860*5))^0/1)+1*(((0.15*B1860*5))^1/1)+2*(((0.15*B1860*5))^2/2)+3*(((0.15*B1860*5))^3/6)+4*(((0.15*B1860*5))^4/24)+5*(((0.15*B1860*5))^5/120))/((((0.15*B1860*5))^0/1)+(((0.15*B1860*5))^1/1)+(((0.15*B1860*5))^2/2)+(((0.15*B1860*5))^3/6)+(((0.15*B1860*5))^4/24)+(((0.15*B1860*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1836*(1-MIN(100,(Inputs!$B$9+((C1845=TRUE)*(F1845-Calc!F19))+B1858+(ArtifactsInput!$M$24-ArtifactsInput!$M$24)*CHOOSE(ArtifactsInput!$N$24+1,10,12,14,16,18,20)+(IF(AND(ArtifactsInput!$M$42,((Inputs!$B$9+((C1845=TRUE)*(F1845-Calc!F19))+B1858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1836*(MIN(100,(Inputs!$B$9+((C1845=TRUE)*(F1845-Calc!F19))+B1858+(ArtifactsInput!$M$24-ArtifactsInput!$M$24)*CHOOSE(ArtifactsInput!$N$24+1,10,12,14,16,18,20)+(IF(AND(ArtifactsInput!$M$42,((Inputs!$B$9+((C1845=TRUE)*(F1845-Calc!F19))+B1858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1836*(1-MIN(100,(Inputs!$B$9+((C1845=TRUE)*(F1845-Calc!F19))+B1858+(ArtifactsInput!$M$24-ArtifactsInput!$M$24)*CHOOSE(ArtifactsInput!$N$24+1,10,12,14,16,18,20)+(IF(AND(ArtifactsInput!$M$42,((Inputs!$B$9+((C1845=TRUE)*(F1845-Calc!F19))+B1858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1836*(MIN(100,(Inputs!$B$9+((C1845=TRUE)*(F1845-Calc!F19))+B1858+(ArtifactsInput!$M$24-ArtifactsInput!$M$24)*CHOOSE(ArtifactsInput!$N$24+1,10,12,14,16,18,20)+(IF(AND(ArtifactsInput!$M$42,((Inputs!$B$9+((C1845=TRUE)*(F1845-Calc!F19))+B1858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IF(ArtifactsInput!$M$20,FALSE,TRUE),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836">
        <f>IF(C1836,(0.15*SUMPRODUCT((Skills!U2:U29=TRUE)*(C1828:C1855=TRUE)*S1828:S1855)*Skills!G10*N1836)*IF(Inputs!$B$38="pvp",1,(1+(Inputs!$B$21+Skills!Q10+(IF(ArtifactsInput!$M$33,CHOOSE(ArtifactsInput!$N$33+1,30,36,42,48,54,60),0))+(IF(AND(ArtifactsInput!$M$35,Inputs!$B$4&lt;&gt;"Chapter Hunt"),CHOOSE(ArtifactsInput!$N$35+1,15,18,21,24,27,30)*(1-EXP(-(0.2*B1860)*5)),0)+IF(AND(ArtifactsInput!$M$22,Inputs!$B$4&lt;&gt;"Chapter Hunt"),CHOOSE(ArtifactsInput!$N$22+1,10,12,14,16,18,20)*((0*(((0.15*B1860*5))^0/1)+1*(((0.15*B1860*5))^1/1)+2*(((0.15*B1860*5))^2/2)+3*(((0.15*B1860*5))^3/6)+4*(((0.15*B1860*5))^4/24)+5*(((0.15*B1860*5))^5/120))/((((0.15*B1860*5))^0/1)+(((0.15*B1860*5))^1/1)+(((0.15*B1860*5))^2/2)+(((0.15*B1860*5))^3/6)+(((0.15*B1860*5))^4/24)+(((0.15*B1860*5))^5/120))),0)))/100)*(MIN(Skills!R10,Inputs!$B$37)))*((1+(IF(AND(ArtifactsInput!$M$41,Inputs!$B$38&lt;&gt;"pvp"),CHOOSE(ArtifactsInput!$N$41+1,5,6,7,8,9,10)*IF(OR(Inputs!$B$4="Weapon Dungeon",Inputs!$B$4="Equipment Dungeon",Inputs!$B$4="Enhancement Dungeon",Inputs!$B$4="EXP Dungeon",Inputs!$B$4="Hero Dungeon"),3,1),0)+IF(ArtifactsInput!$M$26,10*CHOOSE(ArtifactsInput!$N$26+1,1,1.2,1.4,1.6,1.8,2),0)+IF(AND(IF(ArtifactsInput!$M$20,FALSE,TRUE),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837">
      <c r="A1837">
        <f>Skills!A11</f>
        <v/>
      </c>
      <c r="B1837">
        <f>Skills!B11</f>
        <v/>
      </c>
      <c r="C1837">
        <f>Inputs!$B$3&gt;=110</f>
        <v/>
      </c>
      <c r="D1837">
        <f>IF(Skills!C11=1,60+Inputs!$B$25+Inputs!$B$29,IF(Skills!C11=2,90+Inputs!$B$26+Inputs!$B$29,IF(Skills!C11=3,120+Inputs!$B$27+Inputs!$B$29,MAX(0,(Inputs!$B$3-100)*3)+Inputs!$B$28+Inputs!$B$29)))</f>
        <v/>
      </c>
      <c r="E1837">
        <f>INDEX(FactorTable!$B$2:$Y$301, MATCH(ROUND(MIN(300,MAX(1,D1837)),0), FactorTable!$A$2:$A$301,0), Skills!M11+1)</f>
        <v/>
      </c>
      <c r="F1837">
        <f>IF(Skills!N11=TRUE,(Skills!L11/10)*(E1837/1000),Skills!L11/10)+Skills!O11</f>
        <v/>
      </c>
      <c r="G1837">
        <f>Skills!G11*IF(Skills!H11&gt;0,Skills!I11/Skills!H11,1)</f>
        <v/>
      </c>
      <c r="H1837">
        <f>1-(1-Skills!J11/100)^Skills!K11</f>
        <v/>
      </c>
      <c r="I1837" t="inlineStr">
        <is>
          <t>1</t>
        </is>
      </c>
      <c r="J1837">
        <f>((Inputs!$B$6*(1+Inputs!$B$7/100))+(((Inputs!$B$12*(1+Inputs!$B$13/100))-(Inputs!$B$12*(1+Inputs!$B$13/100)))+0.25*(Inputs!$B$14-Inputs!$B$14))*(1+Inputs!$B$7/100))*(F1837/100)</f>
        <v/>
      </c>
      <c r="K1837">
        <f>J1837*(1+((Inputs!$B$12*(1+Inputs!$B$13/100))*0.01+Inputs!$B$14*0.0025)/100)*(1+Inputs!$B$15/100)*(1+Inputs!$B$16/100)*(5000/(6000+Inputs!$B$42*(1-(100*(1-(1-(Inputs!$B$19+0)/100)*(1-CHOOSE(ArtifactsInput!$N$40+1,5,6,7,8,9,10)/100)^(ArtifactsInput!$M$40-ArtifactsInput!$M$40)))/100)))*(1+(Inputs!$B$24+((C1850=TRUE)*(F1850-Calc!F24))+((C1851=TRUE)*(F1851-Calc!F25))+B1864)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11="EMPOWERED_PIERCING_ARROW",Inputs!$B$17+((C1848=TRUE)*(F1848-Calc!F22))+(((IF(AND(ArtifactsInput!$M$42,((Inputs!$B$9+((C1845=TRUE)*(F1845-Calc!F19))+B1858+(ArtifactsInput!$M$24-ArtifactsInput!$M$24)*CHOOSE(ArtifactsInput!$N$24+1,10,12,14,16,18,20)+IF(ArtifactsInput!$M$10,CHOOSE(ArtifactsInput!$N$10+1,15,18,21,24,27,30)*(IF(Inputs!$B$38="pvp",MIN(15,15)/15,IF(AND(Inputs!$B$38&lt;&gt;"pvp",Inputs!$B$43&gt;0),MIN(15,Inputs!$B$43)/(Inputs!$B$43),0))),0)))&gt;=100),MIN(100,((Inputs!$B$9+((C1845=TRUE)*(F1845-Calc!F19))+B1858+(ArtifactsInput!$M$24-ArtifactsInput!$M$24)*CHOOSE(ArtifactsInput!$N$24+1,10,12,14,16,18,20)+IF(ArtifactsInput!$M$10,CHOOSE(ArtifactsInput!$N$10+1,15,18,21,24,27,30)*(IF(Inputs!$B$38="pvp",MIN(15,15)/15,IF(AND(Inputs!$B$38&lt;&gt;"pvp",Inputs!$B$43&gt;0),MIN(15,Inputs!$B$43)/(Inputs!$B$43),0))),0)))-100),0))*CHOOSE(ArtifactsInput!$N$42+1,0.6,0.72,0.84,0.96,1.08,1.2))),Inputs!$B$18+((C1853=TRUE)*(F1853-Calc!F27))+(IF(AND(ArtifactsInput!$M$42,((Inputs!$B$9+((C1845=TRUE)*(F1845-Calc!F19))+B1858+(ArtifactsInput!$M$24-ArtifactsInput!$M$24)*CHOOSE(ArtifactsInput!$N$24+1,10,12,14,16,18,20)+IF(ArtifactsInput!$M$10,CHOOSE(ArtifactsInput!$N$10+1,15,18,21,24,27,30)*(IF(Inputs!$B$38="pvp",MIN(15,15)/15,IF(AND(Inputs!$B$38&lt;&gt;"pvp",Inputs!$B$43&gt;0),MIN(15,Inputs!$B$43)/(Inputs!$B$43),0))),0)))&gt;=100),CHOOSE(ArtifactsInput!$N$42+1,40,48,56,64,72,80),0))))/100)*((1+(((C1839=TRUE)*F1839)+((C1840=TRUE)*IF(Inputs!$B$38="pvp",F1840,(1-Summary!$B$11)*(F1840)+Summary!$B$11*(0)))+((C1841=TRUE)*F1841*IF(AND(Inputs!$B$38&lt;&gt;"pvp",Inputs!$B$43&gt;0),(((R1841-1)*(Skills!T15*(1+Inputs!$B$34/100))+MIN((Skills!T15*(1+Inputs!$B$34/100)),MAX(0,Inputs!$B$43-((R1841-1)*Skills!D15))))/Inputs!$B$43),IF(Inputs!$B$38="pvp",MIN((Skills!T15*(1+Inputs!$B$34/100)),15)/15,(Skills!T15*(1+Inputs!$B$34/100))/Skills!D15)))+((C1838=TRUE)*F1838)+((C1855=TRUE)*(F1855-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1837)</f>
        <v/>
      </c>
      <c r="L1837">
        <f>K1837*(MIN(Inputs!$B$22+((C1849=TRUE)*(F1849-Calc!F23)),(Inputs!$B$23+((C1854=TRUE)*(F1854-Calc!F28))+(IF(ArtifactsInput!$M$15,CHOOSE(ArtifactsInput!$N$15+1,25,30,35,40,45,50)/100*(Inputs!$B$11-Inputs!$B$11),0))))/100+(Inputs!$B$23+((C1854=TRUE)*(F1854-Calc!F28))+(IF(ArtifactsInput!$M$15,CHOOSE(ArtifactsInput!$N$15+1,25,30,35,40,45,50)/100*(Inputs!$B$11-Inputs!$B$11),0)))/100)/2</f>
        <v/>
      </c>
      <c r="M1837">
        <f>L1837*(1+(Inputs!$B$10+0+B1863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837">
        <f>L1837*(1-MIN((Inputs!$B$9+((C1845=TRUE)*(F1845-Calc!F19))+B1858+(ArtifactsInput!$M$24-ArtifactsInput!$M$24)*CHOOSE(ArtifactsInput!$N$24+1,10,12,14,16,18,20)+(IF(AND(ArtifactsInput!$M$42,((Inputs!$B$9+((C1845=TRUE)*(F1845-Calc!F19))+B1858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1837*(MIN((Inputs!$B$9+((C1845=TRUE)*(F1845-Calc!F19))+B1858+(ArtifactsInput!$M$24-ArtifactsInput!$M$24)*CHOOSE(ArtifactsInput!$N$24+1,10,12,14,16,18,20)+(IF(AND(ArtifactsInput!$M$42,((Inputs!$B$9+((C1845=TRUE)*(F1845-Calc!F19))+B1858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837">
        <f>(1-Summary!$B$11)*T1837+Summary!$B$11*V1837</f>
        <v/>
      </c>
      <c r="P1837">
        <f>IF(B1868=0,0,O1837/B1868)</f>
        <v/>
      </c>
      <c r="Q1837">
        <f>IFERROR(1/IF(Inputs!$B$38="pvp",15,MAX(0.1,Skills!D11-IF(Skills!E11=TRUE,Inputs!$B$32,0))),0)</f>
        <v/>
      </c>
      <c r="R1837">
        <f>IF(AND(Inputs!$B$38&lt;&gt;"pvp",Inputs!$B$43&gt;0),IF(MAX(0,Inputs!$B$43-B1865)&lt;=0,0,(INT(MAX(0,Inputs!$B$43-B1865)/IF(Inputs!$B$38="pvp",15,MAX(0.1,Skills!D11-IF(Skills!E11=TRUE,Inputs!$B$32,0))))+1)),0)</f>
        <v/>
      </c>
      <c r="S1837">
        <f>IFERROR((H1837*N1837*IF(AND(Inputs!$B$38&lt;&gt;"pvp",Inputs!$B$43&gt;0),((Skills!G11*((R1837-1)*IF(Skills!H11&gt;0,Skills!I11/Skills!H11,1)+IF(Skills!H11&gt;0,MIN(Skills!I11,MAX(0,MAX(0,Inputs!$B$43-B1865)-((R1837-1)*IF(Inputs!$B$38="pvp",15,MAX(0.1,Skills!D11-IF(Skills!E11=TRUE,Inputs!$B$32,0))))))/Skills!H11,1)))/Inputs!$B$43),G1837*Q1837))/N1837*IF(Inputs!$B$38="pvp",1,(1-Summary!$B$11)*1+Summary!$B$11*(MIN(Skills!R11,Inputs!$B$37))),0)</f>
        <v/>
      </c>
      <c r="T1837">
        <f>IF(C1837,(H1837*N1837*IF(AND(Inputs!$B$38&lt;&gt;"pvp",Inputs!$B$43&gt;0),((Skills!G11*((R1837-1)*IF(Skills!H11&gt;0,Skills!I11/Skills!H11,1)+IF(Skills!H11&gt;0,MIN(Skills!I11,MAX(0,MAX(0,Inputs!$B$43-B1865)-((R1837-1)*IF(Inputs!$B$38="pvp",15,MAX(0.1,Skills!D11-IF(Skills!E11=TRUE,Inputs!$B$32,0))))))/Skills!H11,1)))/Inputs!$B$43),G1837*Q1837))*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Hunt"),CHOOSE(ArtifactsInput!$N$35+1,15,18,21,24,27,30)*(1-EXP(-(0.2*B1860)*5)),0)+IF(AND(ArtifactsInput!$M$22,Inputs!$B$4&lt;&gt;"Chapter Hunt"),CHOOSE(ArtifactsInput!$N$22+1,10,12,14,16,18,20)*((0*(((0.15*B1860*5))^0/1)+1*(((0.15*B1860*5))^1/1)+2*(((0.15*B1860*5))^2/2)+3*(((0.15*B1860*5))^3/6)+4*(((0.15*B1860*5))^4/24)+5*(((0.15*B1860*5))^5/120))/((((0.15*B1860*5))^0/1)+(((0.15*B1860*5))^1/1)+(((0.15*B1860*5))^2/2)+(((0.15*B1860*5))^3/6)+(((0.15*B1860*5))^4/24)+(((0.15*B1860*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1837*(1-MIN(100,(Inputs!$B$9+((C1845=TRUE)*(F1845-Calc!F19))+B1858+(ArtifactsInput!$M$24-ArtifactsInput!$M$24)*CHOOSE(ArtifactsInput!$N$24+1,10,12,14,16,18,20)+(IF(AND(ArtifactsInput!$M$42,((Inputs!$B$9+((C1845=TRUE)*(F1845-Calc!F19))+B1858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1837*(MIN(100,(Inputs!$B$9+((C1845=TRUE)*(F1845-Calc!F19))+B1858+(ArtifactsInput!$M$24-ArtifactsInput!$M$24)*CHOOSE(ArtifactsInput!$N$24+1,10,12,14,16,18,20)+(IF(AND(ArtifactsInput!$M$42,((Inputs!$B$9+((C1845=TRUE)*(F1845-Calc!F19))+B1858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1837*(1-MIN(100,(Inputs!$B$9+((C1845=TRUE)*(F1845-Calc!F19))+B1858+(ArtifactsInput!$M$24-ArtifactsInput!$M$24)*CHOOSE(ArtifactsInput!$N$24+1,10,12,14,16,18,20)+(IF(AND(ArtifactsInput!$M$42,((Inputs!$B$9+((C1845=TRUE)*(F1845-Calc!F19))+B1858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1837*(MIN(100,(Inputs!$B$9+((C1845=TRUE)*(F1845-Calc!F19))+B1858+(ArtifactsInput!$M$24-ArtifactsInput!$M$24)*CHOOSE(ArtifactsInput!$N$24+1,10,12,14,16,18,20)+(IF(AND(ArtifactsInput!$M$42,((Inputs!$B$9+((C1845=TRUE)*(F1845-Calc!F19))+B1858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IF(ArtifactsInput!$M$20,FALSE,TRUE),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837">
        <f>IF(C1837,(H1837*N1837*IF(AND(Inputs!$B$38&lt;&gt;"pvp",Inputs!$B$43&gt;0),((Skills!G11*((R1837-1)*IF(Skills!H11&gt;0,Skills!I11/Skills!H11,1)+IF(Skills!H11&gt;0,MIN(Skills!I11,MAX(0,MAX(0,Inputs!$B$43-B1865)-((R1837-1)*IF(Inputs!$B$38="pvp",15,MAX(0.1,Skills!D11-IF(Skills!E11=TRUE,Inputs!$B$32,0))))))/Skills!H11,1)))/Inputs!$B$43),G1837*Q1837))*IF(Inputs!$B$38="pvp",1,(1+(Inputs!$B$21+Skills!Q11+(IF(ArtifactsInput!$M$33,CHOOSE(ArtifactsInput!$N$33+1,30,36,42,48,54,60),0))+(IF(AND(ArtifactsInput!$M$35,Inputs!$B$4&lt;&gt;"Chapter Hunt"),CHOOSE(ArtifactsInput!$N$35+1,15,18,21,24,27,30)*(1-EXP(-(0.2*B1860)*5)),0)+IF(AND(ArtifactsInput!$M$22,Inputs!$B$4&lt;&gt;"Chapter Hunt"),CHOOSE(ArtifactsInput!$N$22+1,10,12,14,16,18,20)*((0*(((0.15*B1860*5))^0/1)+1*(((0.15*B1860*5))^1/1)+2*(((0.15*B1860*5))^2/2)+3*(((0.15*B1860*5))^3/6)+4*(((0.15*B1860*5))^4/24)+5*(((0.15*B1860*5))^5/120))/((((0.15*B1860*5))^0/1)+(((0.15*B1860*5))^1/1)+(((0.15*B1860*5))^2/2)+(((0.15*B1860*5))^3/6)+(((0.15*B1860*5))^4/24)+(((0.15*B1860*5))^5/120))),0)))/100)*(MIN(Skills!R11,Inputs!$B$37)))*((1+(IF(AND(ArtifactsInput!$M$41,Inputs!$B$38&lt;&gt;"pvp"),CHOOSE(ArtifactsInput!$N$41+1,5,6,7,8,9,10)*IF(OR(Inputs!$B$4="Weapon Dungeon",Inputs!$B$4="Equipment Dungeon",Inputs!$B$4="Enhancement Dungeon",Inputs!$B$4="EXP Dungeon",Inputs!$B$4="Hero Dungeon"),3,1),0)+IF(ArtifactsInput!$M$26,10*CHOOSE(ArtifactsInput!$N$26+1,1,1.2,1.4,1.6,1.8,2),0)+IF(AND(IF(ArtifactsInput!$M$20,FALSE,TRUE),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838">
      <c r="A1838">
        <f>Skills!A12</f>
        <v/>
      </c>
      <c r="B1838">
        <f>Skills!B12</f>
        <v/>
      </c>
      <c r="C1838">
        <f>Inputs!$B$3&gt;=60</f>
        <v/>
      </c>
      <c r="D1838">
        <f>IF(Skills!C12=1,60+Inputs!$B$25+Inputs!$B$29,IF(Skills!C12=2,90+Inputs!$B$26+Inputs!$B$29,IF(Skills!C12=3,120+Inputs!$B$27+Inputs!$B$29,MAX(0,(Inputs!$B$3-100)*3)+Inputs!$B$28+Inputs!$B$29)))</f>
        <v/>
      </c>
      <c r="E1838">
        <f>INDEX(FactorTable!$B$2:$Y$301, MATCH(ROUND(MIN(300,MAX(1,D1838)),0), FactorTable!$A$2:$A$301,0), Skills!M12+1)</f>
        <v/>
      </c>
      <c r="F1838">
        <f>IF(Skills!N12=TRUE,(Skills!L12/10)*(E1838/1000),Skills!L12/10)+Skills!O12</f>
        <v/>
      </c>
      <c r="G1838">
        <f>Skills!G12*IF(Skills!H12&gt;0,Skills!I12/Skills!H12,1)</f>
        <v/>
      </c>
      <c r="H1838">
        <f>1-(1-Skills!J12/100)^Skills!K12</f>
        <v/>
      </c>
      <c r="I1838" t="inlineStr">
        <is>
          <t>1</t>
        </is>
      </c>
      <c r="J1838" t="inlineStr"/>
      <c r="K1838" t="inlineStr"/>
      <c r="L1838" t="inlineStr"/>
      <c r="M1838" t="inlineStr"/>
      <c r="N1838" t="inlineStr"/>
      <c r="O1838">
        <f>(1-Summary!$B$11)*T1838+Summary!$B$11*V1838</f>
        <v/>
      </c>
      <c r="P1838">
        <f>IF(B1868=0,0,O1838/B1868)</f>
        <v/>
      </c>
      <c r="Q1838" t="n">
        <v>0</v>
      </c>
      <c r="R1838" t="n">
        <v>0</v>
      </c>
      <c r="S1838" t="n">
        <v>0</v>
      </c>
      <c r="T1838" t="n">
        <v>0</v>
      </c>
      <c r="V1838" t="n">
        <v>0</v>
      </c>
    </row>
    <row r="1839">
      <c r="A1839">
        <f>Skills!A13</f>
        <v/>
      </c>
      <c r="B1839">
        <f>Skills!B13</f>
        <v/>
      </c>
      <c r="C1839">
        <f>Inputs!$B$3&gt;=74</f>
        <v/>
      </c>
      <c r="D1839">
        <f>IF(Skills!C13=1,60+Inputs!$B$25+Inputs!$B$29,IF(Skills!C13=2,90+Inputs!$B$26+Inputs!$B$29,IF(Skills!C13=3,120+Inputs!$B$27+Inputs!$B$29,MAX(0,(Inputs!$B$3-100)*3)+Inputs!$B$28+Inputs!$B$29)))</f>
        <v/>
      </c>
      <c r="E1839">
        <f>INDEX(FactorTable!$B$2:$Y$301, MATCH(ROUND(MIN(300,MAX(1,D1839)),0), FactorTable!$A$2:$A$301,0), Skills!M13+1)</f>
        <v/>
      </c>
      <c r="F1839">
        <f>IF(Skills!N13=TRUE,(Skills!L13/10)*(E1839/1000),Skills!L13/10)+Skills!O13</f>
        <v/>
      </c>
      <c r="G1839">
        <f>Skills!G13*IF(Skills!H13&gt;0,Skills!I13/Skills!H13,1)</f>
        <v/>
      </c>
      <c r="H1839">
        <f>1-(1-Skills!J13/100)^Skills!K13</f>
        <v/>
      </c>
      <c r="I1839" t="inlineStr">
        <is>
          <t>1</t>
        </is>
      </c>
      <c r="J1839" t="inlineStr"/>
      <c r="K1839" t="inlineStr"/>
      <c r="L1839" t="inlineStr"/>
      <c r="M1839" t="inlineStr"/>
      <c r="N1839" t="inlineStr"/>
      <c r="O1839">
        <f>(1-Summary!$B$11)*T1839+Summary!$B$11*V1839</f>
        <v/>
      </c>
      <c r="P1839">
        <f>IF(B1868=0,0,O1839/B1868)</f>
        <v/>
      </c>
      <c r="Q1839" t="n">
        <v>0</v>
      </c>
      <c r="R1839" t="n">
        <v>0</v>
      </c>
      <c r="S1839" t="n">
        <v>0</v>
      </c>
      <c r="T1839" t="n">
        <v>0</v>
      </c>
      <c r="V1839" t="n">
        <v>0</v>
      </c>
    </row>
    <row r="1840">
      <c r="A1840">
        <f>Skills!A14</f>
        <v/>
      </c>
      <c r="B1840">
        <f>Skills!B14</f>
        <v/>
      </c>
      <c r="C1840">
        <f>Inputs!$B$3&gt;=74</f>
        <v/>
      </c>
      <c r="D1840">
        <f>IF(Skills!C14=1,60+Inputs!$B$25+Inputs!$B$29,IF(Skills!C14=2,90+Inputs!$B$26+Inputs!$B$29,IF(Skills!C14=3,120+Inputs!$B$27+Inputs!$B$29,MAX(0,(Inputs!$B$3-100)*3)+Inputs!$B$28+Inputs!$B$29)))</f>
        <v/>
      </c>
      <c r="E1840">
        <f>INDEX(FactorTable!$B$2:$Y$301, MATCH(ROUND(MIN(300,MAX(1,D1840)),0), FactorTable!$A$2:$A$301,0), Skills!M14+1)</f>
        <v/>
      </c>
      <c r="F1840">
        <f>IF(Skills!N14=TRUE,(Skills!L14/10)*(E1840/1000),Skills!L14/10)+Skills!O14</f>
        <v/>
      </c>
      <c r="G1840">
        <f>Skills!G14*IF(Skills!H14&gt;0,Skills!I14/Skills!H14,1)</f>
        <v/>
      </c>
      <c r="H1840">
        <f>1-(1-Skills!J14/100)^Skills!K14</f>
        <v/>
      </c>
      <c r="I1840" t="inlineStr">
        <is>
          <t>1</t>
        </is>
      </c>
      <c r="J1840" t="inlineStr"/>
      <c r="K1840" t="inlineStr"/>
      <c r="L1840" t="inlineStr"/>
      <c r="M1840" t="inlineStr"/>
      <c r="N1840" t="inlineStr"/>
      <c r="O1840">
        <f>(1-Summary!$B$11)*T1840+Summary!$B$11*V1840</f>
        <v/>
      </c>
      <c r="P1840">
        <f>IF(B1868=0,0,O1840/B1868)</f>
        <v/>
      </c>
      <c r="Q1840" t="n">
        <v>0</v>
      </c>
      <c r="R1840" t="n">
        <v>0</v>
      </c>
      <c r="S1840" t="n">
        <v>0</v>
      </c>
      <c r="T1840" t="n">
        <v>0</v>
      </c>
      <c r="V1840" t="n">
        <v>0</v>
      </c>
    </row>
    <row r="1841">
      <c r="A1841">
        <f>Skills!A15</f>
        <v/>
      </c>
      <c r="B1841">
        <f>Skills!B15</f>
        <v/>
      </c>
      <c r="C1841">
        <f>Inputs!$B$3&gt;=117</f>
        <v/>
      </c>
      <c r="D1841">
        <f>IF(Skills!C15=1,60+Inputs!$B$25+Inputs!$B$29,IF(Skills!C15=2,90+Inputs!$B$26+Inputs!$B$29,IF(Skills!C15=3,120+Inputs!$B$27+Inputs!$B$29,MAX(0,(Inputs!$B$3-100)*3)+Inputs!$B$28+Inputs!$B$29)))</f>
        <v/>
      </c>
      <c r="E1841">
        <f>INDEX(FactorTable!$B$2:$Y$301, MATCH(ROUND(MIN(300,MAX(1,D1841)),0), FactorTable!$A$2:$A$301,0), Skills!M15+1)</f>
        <v/>
      </c>
      <c r="F1841">
        <f>IF(Skills!N15=TRUE,(Skills!L15/10)*(E1841/1000),Skills!L15/10)+Skills!O15</f>
        <v/>
      </c>
      <c r="G1841">
        <f>Skills!G15*IF(Skills!H15&gt;0,Skills!I15/Skills!H15,1)</f>
        <v/>
      </c>
      <c r="H1841">
        <f>1-(1-Skills!J15/100)^Skills!K15</f>
        <v/>
      </c>
      <c r="I1841" t="inlineStr">
        <is>
          <t>1</t>
        </is>
      </c>
      <c r="J1841" t="inlineStr"/>
      <c r="K1841" t="inlineStr"/>
      <c r="L1841" t="inlineStr"/>
      <c r="M1841" t="inlineStr"/>
      <c r="N1841" t="inlineStr"/>
      <c r="O1841">
        <f>(1-Summary!$B$11)*T1841+Summary!$B$11*V1841</f>
        <v/>
      </c>
      <c r="P1841">
        <f>IF(B1868=0,0,O1841/B1868)</f>
        <v/>
      </c>
      <c r="Q1841">
        <f>IFERROR(1/IF(Inputs!$B$38="pvp",15,MAX(0.1,Skills!D15-IF(Skills!E15=TRUE,Inputs!$B$32,0))),0)</f>
        <v/>
      </c>
      <c r="R1841">
        <f>IF(AND(Inputs!$B$38&lt;&gt;"pvp",Inputs!$B$43&gt;0),IF(Inputs!$B$43&lt;=0,0,(INT(Inputs!$B$43/IF(Inputs!$B$38="pvp",15,MAX(0.1,Skills!D15-IF(Skills!E15=TRUE,Inputs!$B$32,0))))+1)),0)</f>
        <v/>
      </c>
      <c r="S1841" t="n">
        <v>0</v>
      </c>
      <c r="T1841" t="n">
        <v>0</v>
      </c>
      <c r="V1841" t="n">
        <v>0</v>
      </c>
    </row>
    <row r="1842">
      <c r="A1842">
        <f>Skills!A16</f>
        <v/>
      </c>
      <c r="B1842">
        <f>Skills!B16</f>
        <v/>
      </c>
      <c r="C1842">
        <f>Inputs!$B$3&gt;=115</f>
        <v/>
      </c>
      <c r="D1842">
        <f>IF(Skills!C16=1,60+Inputs!$B$25+Inputs!$B$29,IF(Skills!C16=2,90+Inputs!$B$26+Inputs!$B$29,IF(Skills!C16=3,120+Inputs!$B$27+Inputs!$B$29,MAX(0,(Inputs!$B$3-100)*3)+Inputs!$B$28+Inputs!$B$29)))</f>
        <v/>
      </c>
      <c r="E1842">
        <f>INDEX(FactorTable!$B$2:$Y$301, MATCH(ROUND(MIN(300,MAX(1,D1842)),0), FactorTable!$A$2:$A$301,0), Skills!M16+1)</f>
        <v/>
      </c>
      <c r="F1842">
        <f>IF(Skills!N16=TRUE,(Skills!L16/10)*(E1842/1000),Skills!L16/10)+Skills!O16</f>
        <v/>
      </c>
      <c r="G1842">
        <f>Skills!G16*IF(Skills!H16&gt;0,Skills!I16/Skills!H16,1)</f>
        <v/>
      </c>
      <c r="H1842">
        <f>1-(1-Skills!J16/100)^Skills!K16</f>
        <v/>
      </c>
      <c r="I1842" t="inlineStr">
        <is>
          <t>1</t>
        </is>
      </c>
      <c r="J1842" t="inlineStr"/>
      <c r="K1842" t="inlineStr"/>
      <c r="L1842" t="inlineStr"/>
      <c r="M1842" t="inlineStr"/>
      <c r="N1842" t="inlineStr"/>
      <c r="O1842">
        <f>(1-Summary!$B$11)*T1842+Summary!$B$11*V1842</f>
        <v/>
      </c>
      <c r="P1842">
        <f>IF(B1868=0,0,O1842/B1868)</f>
        <v/>
      </c>
      <c r="Q1842">
        <f>IFERROR(1/IF(Inputs!$B$38="pvp",15,MAX(0.1,Skills!D16-IF(Skills!E16=TRUE,Inputs!$B$32,0))),0)</f>
        <v/>
      </c>
      <c r="R1842">
        <f>IF(AND(Inputs!$B$38&lt;&gt;"pvp",Inputs!$B$43&gt;0),IF(Inputs!$B$43&lt;=0,0,(INT(Inputs!$B$43/IF(Inputs!$B$38="pvp",15,MAX(0.1,Skills!D16-IF(Skills!E16=TRUE,Inputs!$B$32,0))))+1)),0)</f>
        <v/>
      </c>
      <c r="S1842" t="n">
        <v>0</v>
      </c>
      <c r="T1842" t="n">
        <v>0</v>
      </c>
      <c r="V1842" t="n">
        <v>0</v>
      </c>
    </row>
    <row r="1843">
      <c r="A1843">
        <f>Skills!A17</f>
        <v/>
      </c>
      <c r="B1843">
        <f>Skills!B17</f>
        <v/>
      </c>
      <c r="C1843">
        <f>Inputs!$B$3&gt;=72</f>
        <v/>
      </c>
      <c r="D1843">
        <f>IF(Skills!C17=1,60+Inputs!$B$25+Inputs!$B$29,IF(Skills!C17=2,90+Inputs!$B$26+Inputs!$B$29,IF(Skills!C17=3,120+Inputs!$B$27+Inputs!$B$29,MAX(0,(Inputs!$B$3-100)*3)+Inputs!$B$28+Inputs!$B$29)))</f>
        <v/>
      </c>
      <c r="E1843">
        <f>INDEX(FactorTable!$B$2:$Y$301, MATCH(ROUND(MIN(300,MAX(1,D1843)),0), FactorTable!$A$2:$A$301,0), Skills!M17+1)</f>
        <v/>
      </c>
      <c r="F1843">
        <f>IF(Skills!N17=TRUE,(Skills!L17/10)*(E1843/1000),Skills!L17/10)+Skills!O17</f>
        <v/>
      </c>
      <c r="G1843">
        <f>Skills!G17*IF(Skills!H17&gt;0,Skills!I17/Skills!H17,1)</f>
        <v/>
      </c>
      <c r="H1843">
        <f>1-(1-Skills!J17/100)^Skills!K17</f>
        <v/>
      </c>
      <c r="I1843" t="inlineStr">
        <is>
          <t>1</t>
        </is>
      </c>
      <c r="J1843" t="inlineStr"/>
      <c r="K1843" t="inlineStr"/>
      <c r="L1843" t="inlineStr"/>
      <c r="M1843" t="inlineStr"/>
      <c r="N1843" t="inlineStr"/>
      <c r="O1843">
        <f>(1-Summary!$B$11)*T1843+Summary!$B$11*V1843</f>
        <v/>
      </c>
      <c r="P1843">
        <f>IF(B1868=0,0,O1843/B1868)</f>
        <v/>
      </c>
      <c r="Q1843" t="n">
        <v>0</v>
      </c>
      <c r="R1843" t="n">
        <v>0</v>
      </c>
      <c r="S1843" t="n">
        <v>0</v>
      </c>
      <c r="T1843" t="n">
        <v>0</v>
      </c>
      <c r="V1843" t="n">
        <v>0</v>
      </c>
    </row>
    <row r="1844">
      <c r="A1844">
        <f>Skills!A18</f>
        <v/>
      </c>
      <c r="B1844">
        <f>Skills!B18</f>
        <v/>
      </c>
      <c r="C1844">
        <f>TRUE</f>
        <v/>
      </c>
      <c r="D1844">
        <f>IF(Skills!C18=1,60+Inputs!$B$25+Inputs!$B$29,IF(Skills!C18=2,90+Inputs!$B$26+Inputs!$B$29,IF(Skills!C18=3,120+Inputs!$B$27+Inputs!$B$29,MAX(0,(Inputs!$B$3-100)*3)+Inputs!$B$28+Inputs!$B$29)))</f>
        <v/>
      </c>
      <c r="E1844">
        <f>INDEX(FactorTable!$B$2:$Y$301, MATCH(ROUND(MIN(300,MAX(1,D1844)),0), FactorTable!$A$2:$A$301,0), Skills!M18+1)</f>
        <v/>
      </c>
      <c r="F1844">
        <f>IF(Skills!N18=TRUE,(Skills!L18/10)*(E1844/1000),Skills!L18/10)+Skills!O18</f>
        <v/>
      </c>
      <c r="G1844">
        <f>Skills!G18*IF(Skills!H18&gt;0,Skills!I18/Skills!H18,1)</f>
        <v/>
      </c>
      <c r="H1844">
        <f>1-(1-Skills!J18/100)^Skills!K18</f>
        <v/>
      </c>
      <c r="I1844" t="inlineStr">
        <is>
          <t>1</t>
        </is>
      </c>
      <c r="J1844" t="inlineStr"/>
      <c r="K1844" t="inlineStr"/>
      <c r="L1844" t="inlineStr"/>
      <c r="M1844" t="inlineStr"/>
      <c r="N1844" t="inlineStr"/>
      <c r="O1844">
        <f>(1-Summary!$B$11)*T1844+Summary!$B$11*V1844</f>
        <v/>
      </c>
      <c r="P1844">
        <f>IF(B1868=0,0,O1844/B1868)</f>
        <v/>
      </c>
      <c r="Q1844">
        <f>IFERROR(1/IF(Inputs!$B$38="pvp",15,MAX(0.1,Skills!D18-IF(Skills!E18=TRUE,Inputs!$B$32,0))),0)</f>
        <v/>
      </c>
      <c r="R1844">
        <f>IF(AND(Inputs!$B$38&lt;&gt;"pvp",Inputs!$B$43&gt;0),IF(Inputs!$B$43&lt;=0,0,(INT(Inputs!$B$43/IF(Inputs!$B$38="pvp",15,MAX(0.1,Skills!D18-IF(Skills!E18=TRUE,Inputs!$B$32,0))))+1)),0)</f>
        <v/>
      </c>
      <c r="S1844" t="n">
        <v>0</v>
      </c>
      <c r="T1844" t="n">
        <v>0</v>
      </c>
      <c r="V1844" t="n">
        <v>0</v>
      </c>
    </row>
    <row r="1845">
      <c r="A1845">
        <f>Skills!A19</f>
        <v/>
      </c>
      <c r="B1845">
        <f>Skills!B19</f>
        <v/>
      </c>
      <c r="C1845">
        <f>Inputs!$B$3&gt;=15</f>
        <v/>
      </c>
      <c r="D1845">
        <f>IF(Skills!C19=1,60+Inputs!$B$25+Inputs!$B$29,IF(Skills!C19=2,90+Inputs!$B$26+Inputs!$B$29,IF(Skills!C19=3,120+Inputs!$B$27+Inputs!$B$29,MAX(0,(Inputs!$B$3-100)*3)+Inputs!$B$28+Inputs!$B$29)))</f>
        <v/>
      </c>
      <c r="E1845">
        <f>INDEX(FactorTable!$B$2:$Y$301, MATCH(ROUND(MIN(300,MAX(1,D1845)),0), FactorTable!$A$2:$A$301,0), Skills!M19+1)</f>
        <v/>
      </c>
      <c r="F1845">
        <f>IF(Skills!N19=TRUE,(Skills!L19/10)*(E1845/1000),Skills!L19/10)+Skills!O19</f>
        <v/>
      </c>
      <c r="G1845">
        <f>Skills!G19*IF(Skills!H19&gt;0,Skills!I19/Skills!H19,1)</f>
        <v/>
      </c>
      <c r="H1845">
        <f>1-(1-Skills!J19/100)^Skills!K19</f>
        <v/>
      </c>
      <c r="I1845" t="inlineStr">
        <is>
          <t>1</t>
        </is>
      </c>
      <c r="J1845" t="inlineStr"/>
      <c r="K1845" t="inlineStr"/>
      <c r="L1845" t="inlineStr"/>
      <c r="M1845" t="inlineStr"/>
      <c r="N1845" t="inlineStr"/>
      <c r="O1845">
        <f>(1-Summary!$B$11)*T1845+Summary!$B$11*V1845</f>
        <v/>
      </c>
      <c r="P1845">
        <f>IF(B1868=0,0,O1845/B1868)</f>
        <v/>
      </c>
      <c r="Q1845" t="n">
        <v>0</v>
      </c>
      <c r="R1845" t="n">
        <v>0</v>
      </c>
      <c r="S1845" t="n">
        <v>0</v>
      </c>
      <c r="T1845" t="n">
        <v>0</v>
      </c>
      <c r="V1845" t="n">
        <v>0</v>
      </c>
    </row>
    <row r="1846">
      <c r="A1846">
        <f>Skills!A20</f>
        <v/>
      </c>
      <c r="B1846">
        <f>Skills!B20</f>
        <v/>
      </c>
      <c r="C1846">
        <f>Inputs!$B$3&gt;=10</f>
        <v/>
      </c>
      <c r="D1846">
        <f>IF(Skills!C20=1,60+Inputs!$B$25+Inputs!$B$29,IF(Skills!C20=2,90+Inputs!$B$26+Inputs!$B$29,IF(Skills!C20=3,120+Inputs!$B$27+Inputs!$B$29,MAX(0,(Inputs!$B$3-100)*3)+Inputs!$B$28+Inputs!$B$29)))</f>
        <v/>
      </c>
      <c r="E1846">
        <f>INDEX(FactorTable!$B$2:$Y$301, MATCH(ROUND(MIN(300,MAX(1,D1846)),0), FactorTable!$A$2:$A$301,0), Skills!M20+1)</f>
        <v/>
      </c>
      <c r="F1846">
        <f>IF(Skills!N20=TRUE,(Skills!L20/10)*(E1846/1000),Skills!L20/10)+Skills!O20</f>
        <v/>
      </c>
      <c r="G1846">
        <f>Skills!G20*IF(Skills!H20&gt;0,Skills!I20/Skills!H20,1)</f>
        <v/>
      </c>
      <c r="H1846">
        <f>1-(1-Skills!J20/100)^Skills!K20</f>
        <v/>
      </c>
      <c r="I1846" t="inlineStr">
        <is>
          <t>1</t>
        </is>
      </c>
      <c r="J1846" t="inlineStr"/>
      <c r="K1846" t="inlineStr"/>
      <c r="L1846" t="inlineStr"/>
      <c r="M1846" t="inlineStr"/>
      <c r="N1846" t="inlineStr"/>
      <c r="O1846">
        <f>(1-Summary!$B$11)*T1846+Summary!$B$11*V1846</f>
        <v/>
      </c>
      <c r="P1846">
        <f>IF(B1868=0,0,O1846/B1868)</f>
        <v/>
      </c>
      <c r="Q1846" t="n">
        <v>0</v>
      </c>
      <c r="R1846" t="n">
        <v>0</v>
      </c>
      <c r="S1846" t="n">
        <v>0</v>
      </c>
      <c r="T1846" t="n">
        <v>0</v>
      </c>
      <c r="V1846" t="n">
        <v>0</v>
      </c>
    </row>
    <row r="1847">
      <c r="A1847">
        <f>Skills!A21</f>
        <v/>
      </c>
      <c r="B1847">
        <f>Skills!B21</f>
        <v/>
      </c>
      <c r="C1847">
        <f>Inputs!$B$3&gt;=33</f>
        <v/>
      </c>
      <c r="D1847">
        <f>IF(Skills!C21=1,60+Inputs!$B$25+Inputs!$B$29,IF(Skills!C21=2,90+Inputs!$B$26+Inputs!$B$29,IF(Skills!C21=3,120+Inputs!$B$27+Inputs!$B$29,MAX(0,(Inputs!$B$3-100)*3)+Inputs!$B$28+Inputs!$B$29)))</f>
        <v/>
      </c>
      <c r="E1847">
        <f>INDEX(FactorTable!$B$2:$Y$301, MATCH(ROUND(MIN(300,MAX(1,D1847)),0), FactorTable!$A$2:$A$301,0), Skills!M21+1)</f>
        <v/>
      </c>
      <c r="F1847">
        <f>IF(Skills!N21=TRUE,(Skills!L21/10)*(E1847/1000),Skills!L21/10)+Skills!O21</f>
        <v/>
      </c>
      <c r="G1847">
        <f>Skills!G21*IF(Skills!H21&gt;0,Skills!I21/Skills!H21,1)</f>
        <v/>
      </c>
      <c r="H1847">
        <f>1-(1-Skills!J21/100)^Skills!K21</f>
        <v/>
      </c>
      <c r="I1847" t="inlineStr">
        <is>
          <t>1</t>
        </is>
      </c>
      <c r="J1847" t="inlineStr"/>
      <c r="K1847" t="inlineStr"/>
      <c r="L1847" t="inlineStr"/>
      <c r="M1847" t="inlineStr"/>
      <c r="N1847" t="inlineStr"/>
      <c r="O1847">
        <f>(1-Summary!$B$11)*T1847+Summary!$B$11*V1847</f>
        <v/>
      </c>
      <c r="P1847">
        <f>IF(B1868=0,0,O1847/B1868)</f>
        <v/>
      </c>
      <c r="Q1847" t="n">
        <v>0</v>
      </c>
      <c r="R1847" t="n">
        <v>0</v>
      </c>
      <c r="S1847" t="n">
        <v>0</v>
      </c>
      <c r="T1847" t="n">
        <v>0</v>
      </c>
      <c r="V1847" t="n">
        <v>0</v>
      </c>
    </row>
    <row r="1848">
      <c r="A1848">
        <f>Skills!A22</f>
        <v/>
      </c>
      <c r="B1848">
        <f>Skills!B22</f>
        <v/>
      </c>
      <c r="C1848">
        <f>Inputs!$B$3&gt;=38</f>
        <v/>
      </c>
      <c r="D1848">
        <f>IF(Skills!C22=1,60+Inputs!$B$25+Inputs!$B$29,IF(Skills!C22=2,90+Inputs!$B$26+Inputs!$B$29,IF(Skills!C22=3,120+Inputs!$B$27+Inputs!$B$29,MAX(0,(Inputs!$B$3-100)*3)+Inputs!$B$28+Inputs!$B$29)))</f>
        <v/>
      </c>
      <c r="E1848">
        <f>INDEX(FactorTable!$B$2:$Y$301, MATCH(ROUND(MIN(300,MAX(1,D1848)),0), FactorTable!$A$2:$A$301,0), Skills!M22+1)</f>
        <v/>
      </c>
      <c r="F1848">
        <f>IF(Skills!N22=TRUE,(Skills!L22/10)*(E1848/1000),Skills!L22/10)+Skills!O22</f>
        <v/>
      </c>
      <c r="G1848">
        <f>Skills!G22*IF(Skills!H22&gt;0,Skills!I22/Skills!H22,1)</f>
        <v/>
      </c>
      <c r="H1848">
        <f>1-(1-Skills!J22/100)^Skills!K22</f>
        <v/>
      </c>
      <c r="I1848" t="inlineStr">
        <is>
          <t>1</t>
        </is>
      </c>
      <c r="J1848" t="inlineStr"/>
      <c r="K1848" t="inlineStr"/>
      <c r="L1848" t="inlineStr"/>
      <c r="M1848" t="inlineStr"/>
      <c r="N1848" t="inlineStr"/>
      <c r="O1848">
        <f>(1-Summary!$B$11)*T1848+Summary!$B$11*V1848</f>
        <v/>
      </c>
      <c r="P1848">
        <f>IF(B1868=0,0,O1848/B1868)</f>
        <v/>
      </c>
      <c r="Q1848" t="n">
        <v>0</v>
      </c>
      <c r="R1848" t="n">
        <v>0</v>
      </c>
      <c r="S1848" t="n">
        <v>0</v>
      </c>
      <c r="T1848" t="n">
        <v>0</v>
      </c>
      <c r="V1848" t="n">
        <v>0</v>
      </c>
    </row>
    <row r="1849">
      <c r="A1849">
        <f>Skills!A23</f>
        <v/>
      </c>
      <c r="B1849">
        <f>Skills!B23</f>
        <v/>
      </c>
      <c r="C1849">
        <f>Inputs!$B$3&gt;=43</f>
        <v/>
      </c>
      <c r="D1849">
        <f>IF(Skills!C23=1,60+Inputs!$B$25+Inputs!$B$29,IF(Skills!C23=2,90+Inputs!$B$26+Inputs!$B$29,IF(Skills!C23=3,120+Inputs!$B$27+Inputs!$B$29,MAX(0,(Inputs!$B$3-100)*3)+Inputs!$B$28+Inputs!$B$29)))</f>
        <v/>
      </c>
      <c r="E1849">
        <f>INDEX(FactorTable!$B$2:$Y$301, MATCH(ROUND(MIN(300,MAX(1,D1849)),0), FactorTable!$A$2:$A$301,0), Skills!M23+1)</f>
        <v/>
      </c>
      <c r="F1849">
        <f>IF(Skills!N23=TRUE,(Skills!L23/10)*(E1849/1000),Skills!L23/10)+Skills!O23</f>
        <v/>
      </c>
      <c r="G1849">
        <f>Skills!G23*IF(Skills!H23&gt;0,Skills!I23/Skills!H23,1)</f>
        <v/>
      </c>
      <c r="H1849">
        <f>1-(1-Skills!J23/100)^Skills!K23</f>
        <v/>
      </c>
      <c r="I1849" t="inlineStr">
        <is>
          <t>1</t>
        </is>
      </c>
      <c r="J1849" t="inlineStr"/>
      <c r="K1849" t="inlineStr"/>
      <c r="L1849" t="inlineStr"/>
      <c r="M1849" t="inlineStr"/>
      <c r="N1849" t="inlineStr"/>
      <c r="O1849">
        <f>(1-Summary!$B$11)*T1849+Summary!$B$11*V1849</f>
        <v/>
      </c>
      <c r="P1849">
        <f>IF(B1868=0,0,O1849/B1868)</f>
        <v/>
      </c>
      <c r="Q1849" t="n">
        <v>0</v>
      </c>
      <c r="R1849" t="n">
        <v>0</v>
      </c>
      <c r="S1849" t="n">
        <v>0</v>
      </c>
      <c r="T1849" t="n">
        <v>0</v>
      </c>
      <c r="V1849" t="n">
        <v>0</v>
      </c>
    </row>
    <row r="1850">
      <c r="A1850">
        <f>Skills!A24</f>
        <v/>
      </c>
      <c r="B1850">
        <f>Skills!B24</f>
        <v/>
      </c>
      <c r="C1850">
        <f>Inputs!$B$3&gt;=75</f>
        <v/>
      </c>
      <c r="D1850">
        <f>IF(Skills!C24=1,60+Inputs!$B$25+Inputs!$B$29,IF(Skills!C24=2,90+Inputs!$B$26+Inputs!$B$29,IF(Skills!C24=3,120+Inputs!$B$27+Inputs!$B$29,MAX(0,(Inputs!$B$3-100)*3)+Inputs!$B$28+Inputs!$B$29)))</f>
        <v/>
      </c>
      <c r="E1850">
        <f>INDEX(FactorTable!$B$2:$Y$301, MATCH(ROUND(MIN(300,MAX(1,D1850)),0), FactorTable!$A$2:$A$301,0), Skills!M24+1)</f>
        <v/>
      </c>
      <c r="F1850">
        <f>IF(Skills!N24=TRUE,(Skills!L24/10)*(E1850/1000),Skills!L24/10)+Skills!O24</f>
        <v/>
      </c>
      <c r="G1850">
        <f>Skills!G24*IF(Skills!H24&gt;0,Skills!I24/Skills!H24,1)</f>
        <v/>
      </c>
      <c r="H1850">
        <f>1-(1-Skills!J24/100)^Skills!K24</f>
        <v/>
      </c>
      <c r="I1850" t="inlineStr">
        <is>
          <t>1</t>
        </is>
      </c>
      <c r="J1850" t="inlineStr"/>
      <c r="K1850" t="inlineStr"/>
      <c r="L1850" t="inlineStr"/>
      <c r="M1850" t="inlineStr"/>
      <c r="N1850" t="inlineStr"/>
      <c r="O1850">
        <f>(1-Summary!$B$11)*T1850+Summary!$B$11*V1850</f>
        <v/>
      </c>
      <c r="P1850">
        <f>IF(B1868=0,0,O1850/B1868)</f>
        <v/>
      </c>
      <c r="Q1850" t="n">
        <v>0</v>
      </c>
      <c r="R1850" t="n">
        <v>0</v>
      </c>
      <c r="S1850" t="n">
        <v>0</v>
      </c>
      <c r="T1850" t="n">
        <v>0</v>
      </c>
      <c r="V1850" t="n">
        <v>0</v>
      </c>
    </row>
    <row r="1851">
      <c r="A1851">
        <f>Skills!A25</f>
        <v/>
      </c>
      <c r="B1851">
        <f>Skills!B25</f>
        <v/>
      </c>
      <c r="C1851">
        <f>Inputs!$B$3&gt;=125</f>
        <v/>
      </c>
      <c r="D1851">
        <f>IF(Skills!C25=1,60+Inputs!$B$25+Inputs!$B$29,IF(Skills!C25=2,90+Inputs!$B$26+Inputs!$B$29,IF(Skills!C25=3,120+Inputs!$B$27+Inputs!$B$29,MAX(0,(Inputs!$B$3-100)*3)+Inputs!$B$28+Inputs!$B$29)))</f>
        <v/>
      </c>
      <c r="E1851">
        <f>INDEX(FactorTable!$B$2:$Y$301, MATCH(ROUND(MIN(300,MAX(1,D1851)),0), FactorTable!$A$2:$A$301,0), Skills!M25+1)</f>
        <v/>
      </c>
      <c r="F1851">
        <f>IF(Skills!N25=TRUE,(Skills!L25/10)*(E1851/1000),Skills!L25/10)+Skills!O25</f>
        <v/>
      </c>
      <c r="G1851">
        <f>Skills!G25*IF(Skills!H25&gt;0,Skills!I25/Skills!H25,1)</f>
        <v/>
      </c>
      <c r="H1851">
        <f>1-(1-Skills!J25/100)^Skills!K25</f>
        <v/>
      </c>
      <c r="I1851" t="inlineStr">
        <is>
          <t>1</t>
        </is>
      </c>
      <c r="J1851" t="inlineStr"/>
      <c r="K1851" t="inlineStr"/>
      <c r="L1851" t="inlineStr"/>
      <c r="M1851" t="inlineStr"/>
      <c r="N1851" t="inlineStr"/>
      <c r="O1851">
        <f>(1-Summary!$B$11)*T1851+Summary!$B$11*V1851</f>
        <v/>
      </c>
      <c r="P1851">
        <f>IF(B1868=0,0,O1851/B1868)</f>
        <v/>
      </c>
      <c r="Q1851" t="n">
        <v>0</v>
      </c>
      <c r="R1851" t="n">
        <v>0</v>
      </c>
      <c r="S1851" t="n">
        <v>0</v>
      </c>
      <c r="T1851" t="n">
        <v>0</v>
      </c>
      <c r="V1851" t="n">
        <v>0</v>
      </c>
    </row>
    <row r="1852">
      <c r="A1852">
        <f>Skills!A26</f>
        <v/>
      </c>
      <c r="B1852">
        <f>Skills!B26</f>
        <v/>
      </c>
      <c r="C1852">
        <f>Inputs!$B$3&gt;=125</f>
        <v/>
      </c>
      <c r="D1852">
        <f>IF(Skills!C26=1,60+Inputs!$B$25+Inputs!$B$29,IF(Skills!C26=2,90+Inputs!$B$26+Inputs!$B$29,IF(Skills!C26=3,120+Inputs!$B$27+Inputs!$B$29,MAX(0,(Inputs!$B$3-100)*3)+Inputs!$B$28+Inputs!$B$29)))</f>
        <v/>
      </c>
      <c r="E1852">
        <f>INDEX(FactorTable!$B$2:$Y$301, MATCH(ROUND(MIN(300,MAX(1,D1852)),0), FactorTable!$A$2:$A$301,0), Skills!M26+1)</f>
        <v/>
      </c>
      <c r="F1852">
        <f>IF(Skills!N26=TRUE,(Skills!L26/10)*(E1852/1000),Skills!L26/10)+Skills!O26</f>
        <v/>
      </c>
      <c r="G1852">
        <f>Skills!G26*IF(Skills!H26&gt;0,Skills!I26/Skills!H26,1)</f>
        <v/>
      </c>
      <c r="H1852">
        <f>1-(1-Skills!J26/100)^Skills!K26</f>
        <v/>
      </c>
      <c r="I1852" t="inlineStr">
        <is>
          <t>1</t>
        </is>
      </c>
      <c r="J1852" t="inlineStr"/>
      <c r="K1852" t="inlineStr"/>
      <c r="L1852" t="inlineStr"/>
      <c r="M1852" t="inlineStr"/>
      <c r="N1852" t="inlineStr"/>
      <c r="O1852">
        <f>(1-Summary!$B$11)*T1852+Summary!$B$11*V1852</f>
        <v/>
      </c>
      <c r="P1852">
        <f>IF(B1868=0,0,O1852/B1868)</f>
        <v/>
      </c>
      <c r="Q1852" t="n">
        <v>0</v>
      </c>
      <c r="R1852" t="n">
        <v>0</v>
      </c>
      <c r="S1852" t="n">
        <v>0</v>
      </c>
      <c r="T1852" t="n">
        <v>0</v>
      </c>
      <c r="V1852" t="n">
        <v>0</v>
      </c>
    </row>
    <row r="1853">
      <c r="A1853">
        <f>Skills!A27</f>
        <v/>
      </c>
      <c r="B1853">
        <f>Skills!B27</f>
        <v/>
      </c>
      <c r="C1853">
        <f>Inputs!$B$3&gt;=120</f>
        <v/>
      </c>
      <c r="D1853">
        <f>IF(Skills!C27=1,60+Inputs!$B$25+Inputs!$B$29,IF(Skills!C27=2,90+Inputs!$B$26+Inputs!$B$29,IF(Skills!C27=3,120+Inputs!$B$27+Inputs!$B$29,MAX(0,(Inputs!$B$3-100)*3)+Inputs!$B$28+Inputs!$B$29)))</f>
        <v/>
      </c>
      <c r="E1853">
        <f>INDEX(FactorTable!$B$2:$Y$301, MATCH(ROUND(MIN(300,MAX(1,D1853)),0), FactorTable!$A$2:$A$301,0), Skills!M27+1)</f>
        <v/>
      </c>
      <c r="F1853">
        <f>IF(Skills!N27=TRUE,(Skills!L27/10)*(E1853/1000),Skills!L27/10)+Skills!O27</f>
        <v/>
      </c>
      <c r="G1853">
        <f>Skills!G27*IF(Skills!H27&gt;0,Skills!I27/Skills!H27,1)</f>
        <v/>
      </c>
      <c r="H1853">
        <f>1-(1-Skills!J27/100)^Skills!K27</f>
        <v/>
      </c>
      <c r="I1853" t="inlineStr">
        <is>
          <t>1</t>
        </is>
      </c>
      <c r="J1853" t="inlineStr"/>
      <c r="K1853" t="inlineStr"/>
      <c r="L1853" t="inlineStr"/>
      <c r="M1853" t="inlineStr"/>
      <c r="N1853" t="inlineStr"/>
      <c r="O1853">
        <f>(1-Summary!$B$11)*T1853+Summary!$B$11*V1853</f>
        <v/>
      </c>
      <c r="P1853">
        <f>IF(B1868=0,0,O1853/B1868)</f>
        <v/>
      </c>
      <c r="Q1853" t="n">
        <v>0</v>
      </c>
      <c r="R1853" t="n">
        <v>0</v>
      </c>
      <c r="S1853" t="n">
        <v>0</v>
      </c>
      <c r="T1853" t="n">
        <v>0</v>
      </c>
      <c r="V1853" t="n">
        <v>0</v>
      </c>
    </row>
    <row r="1854">
      <c r="A1854">
        <f>Skills!A28</f>
        <v/>
      </c>
      <c r="B1854">
        <f>Skills!B28</f>
        <v/>
      </c>
      <c r="C1854">
        <f>Inputs!$B$3&gt;=120</f>
        <v/>
      </c>
      <c r="D1854">
        <f>IF(Skills!C28=1,60+Inputs!$B$25+Inputs!$B$29,IF(Skills!C28=2,90+Inputs!$B$26+Inputs!$B$29,IF(Skills!C28=3,120+Inputs!$B$27+Inputs!$B$29,MAX(0,(Inputs!$B$3-100)*3)+Inputs!$B$28+Inputs!$B$29)))</f>
        <v/>
      </c>
      <c r="E1854">
        <f>INDEX(FactorTable!$B$2:$Y$301, MATCH(ROUND(MIN(300,MAX(1,D1854)),0), FactorTable!$A$2:$A$301,0), Skills!M28+1)</f>
        <v/>
      </c>
      <c r="F1854">
        <f>IF(Skills!N28=TRUE,(Skills!L28/10)*(E1854/1000),Skills!L28/10)+Skills!O28</f>
        <v/>
      </c>
      <c r="G1854">
        <f>Skills!G28*IF(Skills!H28&gt;0,Skills!I28/Skills!H28,1)</f>
        <v/>
      </c>
      <c r="H1854">
        <f>1-(1-Skills!J28/100)^Skills!K28</f>
        <v/>
      </c>
      <c r="I1854" t="inlineStr">
        <is>
          <t>1</t>
        </is>
      </c>
      <c r="J1854" t="inlineStr"/>
      <c r="K1854" t="inlineStr"/>
      <c r="L1854" t="inlineStr"/>
      <c r="M1854" t="inlineStr"/>
      <c r="N1854" t="inlineStr"/>
      <c r="O1854">
        <f>(1-Summary!$B$11)*T1854+Summary!$B$11*V1854</f>
        <v/>
      </c>
      <c r="P1854">
        <f>IF(B1868=0,0,O1854/B1868)</f>
        <v/>
      </c>
      <c r="Q1854" t="n">
        <v>0</v>
      </c>
      <c r="R1854" t="n">
        <v>0</v>
      </c>
      <c r="S1854" t="n">
        <v>0</v>
      </c>
      <c r="T1854" t="n">
        <v>0</v>
      </c>
      <c r="V1854" t="n">
        <v>0</v>
      </c>
    </row>
    <row r="1855">
      <c r="A1855">
        <f>Skills!A29</f>
        <v/>
      </c>
      <c r="B1855">
        <f>Skills!B29</f>
        <v/>
      </c>
      <c r="C1855">
        <f>Inputs!$B$3&gt;=45</f>
        <v/>
      </c>
      <c r="D1855">
        <f>IF(Skills!C29=1,60+Inputs!$B$25+Inputs!$B$29,IF(Skills!C29=2,90+Inputs!$B$26+Inputs!$B$29,IF(Skills!C29=3,120+Inputs!$B$27+Inputs!$B$29,MAX(0,(Inputs!$B$3-100)*3)+Inputs!$B$28+Inputs!$B$29)))</f>
        <v/>
      </c>
      <c r="E1855">
        <f>INDEX(FactorTable!$B$2:$Y$301, MATCH(ROUND(MIN(300,MAX(1,D1855)),0), FactorTable!$A$2:$A$301,0), Skills!M29+1)</f>
        <v/>
      </c>
      <c r="F1855">
        <f>IF(Skills!N29=TRUE,(Skills!L29/10)*(E1855/1000),Skills!L29/10)+Skills!O29</f>
        <v/>
      </c>
      <c r="G1855">
        <f>Skills!G29*IF(Skills!H29&gt;0,Skills!I29/Skills!H29,1)</f>
        <v/>
      </c>
      <c r="H1855">
        <f>1-(1-Skills!J29/100)^Skills!K29</f>
        <v/>
      </c>
      <c r="I1855" t="inlineStr">
        <is>
          <t>1</t>
        </is>
      </c>
      <c r="J1855" t="inlineStr"/>
      <c r="K1855" t="inlineStr"/>
      <c r="L1855" t="inlineStr"/>
      <c r="M1855" t="inlineStr"/>
      <c r="N1855" t="inlineStr"/>
      <c r="O1855">
        <f>(1-Summary!$B$11)*T1855+Summary!$B$11*V1855</f>
        <v/>
      </c>
      <c r="P1855">
        <f>IF(B1868=0,0,O1855/B1868)</f>
        <v/>
      </c>
      <c r="Q1855" t="n">
        <v>0</v>
      </c>
      <c r="R1855" t="n">
        <v>0</v>
      </c>
      <c r="S1855" t="n">
        <v>0</v>
      </c>
      <c r="T1855" t="n">
        <v>0</v>
      </c>
      <c r="V1855" t="n">
        <v>0</v>
      </c>
    </row>
    <row r="1857">
      <c r="A1857" t="inlineStr">
        <is>
          <t>Attack% Bucket Multiplier</t>
        </is>
      </c>
      <c r="B1857">
        <f>(1+(((C1839=TRUE)*F1839)+((C1840=TRUE)*IF(Inputs!$B$38="pvp",F1840,(1-Summary!$B$11)*(F1840)+Summary!$B$11*(0)))+((C1841=TRUE)*F1841*IF(AND(Inputs!$B$38&lt;&gt;"pvp",Inputs!$B$43&gt;0),(((R1841-1)*(Skills!T15*(1+Inputs!$B$34/100))+MIN((Skills!T15*(1+Inputs!$B$34/100)),MAX(0,Inputs!$B$43-((R1841-1)*Skills!D15))))/Inputs!$B$43),IF(Inputs!$B$38="pvp",MIN((Skills!T15*(1+Inputs!$B$34/100)),15)/15,(Skills!T15*(1+Inputs!$B$34/100))/Skills!D15)))+((C1838=TRUE)*F1838)+((C1855=TRUE)*(F1855-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1858">
      <c r="A1858" t="inlineStr">
        <is>
          <t>Global Crit Rate Bonus %</t>
        </is>
      </c>
      <c r="B1858">
        <f>(C1842=TRUE)*20*IF(AND(Inputs!$B$38&lt;&gt;"pvp",Inputs!$B$43&gt;0),(((R1842-1)*(Skills!T16*(1+Inputs!$B$34/100))+MIN((Skills!T16*(1+Inputs!$B$34/100)),MAX(0,Inputs!$B$43-((R1842-1)*Skills!D16))))/Inputs!$B$43),IF(Inputs!$B$38="pvp",MIN((Skills!T16*(1+Inputs!$B$34/100)),15)/15,(Skills!T16*(1+Inputs!$B$34/100))/Skills!D16))</f>
        <v/>
      </c>
    </row>
    <row r="1859">
      <c r="A1859" t="inlineStr">
        <is>
          <t>Attack Speed Buff Bonus %</t>
        </is>
      </c>
      <c r="B1859">
        <f>((C1844=TRUE)*F1844*IF(AND(Inputs!$B$38&lt;&gt;"pvp",Inputs!$B$43&gt;0),(((R1844-1)*(Skills!T18*(1+Inputs!$B$34/100))+MIN((Skills!T18*(1+Inputs!$B$34/100)),MAX(0,Inputs!$B$43-((R1844-1)*Skills!D18))))/Inputs!$B$43),IF(Inputs!$B$38="pvp",MIN((Skills!T18*(1+Inputs!$B$34/100)),15)/15,(Skills!T18*(1+Inputs!$B$34/100))/Skills!D18)))</f>
        <v/>
      </c>
    </row>
    <row r="1860">
      <c r="A1860" t="inlineStr">
        <is>
          <t>Actions Per Second</t>
        </is>
      </c>
      <c r="B1860">
        <f>1+MIN(150,150*(1-(1-(Inputs!$B$11+((C1846=TRUE)*(F1846-Calc!F20))+((C1847=TRUE)*(F1847-Calc!F21)))/150)*(1-B1859/150)))/100</f>
        <v/>
      </c>
    </row>
    <row r="1861">
      <c r="A1861" t="inlineStr">
        <is>
          <t>Skill + Buff Cast Rate</t>
        </is>
      </c>
      <c r="B1861">
        <f>IF(AND(Inputs!$B$38&lt;&gt;"pvp",Inputs!$B$43&gt;0),SUMPRODUCT((Skills!E2:E29=TRUE)*(C1828:C1855=TRUE)*R1828:R1855*Skills!F2:F29)/Inputs!$B$43,SUMPRODUCT((Skills!E2:E29=TRUE)*(C1828:C1855=TRUE)*Q1828:Q1855*Skills!F2:F29))</f>
        <v/>
      </c>
    </row>
    <row r="1862">
      <c r="A1862" t="inlineStr">
        <is>
          <t>Empowered Piercing Arrow Casts Per Second</t>
        </is>
      </c>
      <c r="B1862">
        <f>MAX(0,B1860-B1861)</f>
        <v/>
      </c>
    </row>
    <row r="1863">
      <c r="A1863" t="inlineStr">
        <is>
          <t>Global Critical Damage Bonus % (Sharp Eyes)</t>
        </is>
      </c>
      <c r="B1863">
        <f>(C1842=TRUE)*F1842*IF(AND(Inputs!$B$38&lt;&gt;"pvp",Inputs!$B$43&gt;0),(((R1842-1)*(Skills!T16*(1+Inputs!$B$34/100))+MIN((Skills!T16*(1+Inputs!$B$34/100)),MAX(0,Inputs!$B$43-((R1842-1)*Skills!D16))))/Inputs!$B$43),IF(Inputs!$B$38="pvp",MIN((Skills!T16*(1+Inputs!$B$34/100)),15)/15,(Skills!T16*(1+Inputs!$B$34/100))/Skills!D16))</f>
        <v/>
      </c>
    </row>
    <row r="1864">
      <c r="A1864" t="inlineStr">
        <is>
          <t>Global Final Damage Bonus % (Mortal Blow + Last Man Standing conditional half)</t>
        </is>
      </c>
      <c r="B1864">
        <f>(C1843=TRUE)*F1843+((C1852=TRUE)*IF(Inputs!$B$38="pvp",F1852,(1-Summary!$B$11)*(F1852)+Summary!$B$11*(0)))</f>
        <v/>
      </c>
    </row>
    <row r="1865">
      <c r="A1865" t="inlineStr">
        <is>
          <t>Buff-Casting Startup Delay (s, fixed-duration only)</t>
        </is>
      </c>
      <c r="B1865">
        <f>IF(AND(Inputs!$B$38&lt;&gt;"pvp",Inputs!$B$43&gt;0),SUMPRODUCT((Skills!T2:T29&gt;0)*(Skills!E2:E29=TRUE)*(C1828:C1855=TRUE))/B1860,0)</f>
        <v/>
      </c>
    </row>
    <row r="1866">
      <c r="A1866" t="inlineStr">
        <is>
          <t>Boss-Only Total DPS (this block's swept value)</t>
        </is>
      </c>
      <c r="B1866">
        <f>SUM(T1828:T1855)</f>
        <v/>
      </c>
    </row>
    <row r="1867">
      <c r="A1867" t="inlineStr">
        <is>
          <t>Normal-Only Total DPS (this block's swept value)</t>
        </is>
      </c>
      <c r="B1867">
        <f>SUM(V1828:V1855)</f>
        <v/>
      </c>
    </row>
    <row r="1868">
      <c r="A1868" s="6" t="inlineStr">
        <is>
          <t>TOTAL DPS</t>
        </is>
      </c>
      <c r="B1868" s="6">
        <f>SUM(O1828:O1855)</f>
        <v/>
      </c>
    </row>
    <row r="1871">
      <c r="A1871" s="6" t="inlineStr">
        <is>
          <t>Stat: Old Music Box (Equip)</t>
        </is>
      </c>
    </row>
    <row r="1872">
      <c r="A1872" s="5" t="inlineStr">
        <is>
          <t>Key</t>
        </is>
      </c>
      <c r="B1872" s="5" t="inlineStr">
        <is>
          <t>Name</t>
        </is>
      </c>
      <c r="C1872" s="5" t="inlineStr">
        <is>
          <t>Unlocked</t>
        </is>
      </c>
      <c r="D1872" s="5" t="inlineStr">
        <is>
          <t>InputLevel</t>
        </is>
      </c>
      <c r="E1872" s="5" t="inlineStr">
        <is>
          <t>Factor</t>
        </is>
      </c>
      <c r="F1872" s="5" t="inlineStr">
        <is>
          <t>CoefficientPercent</t>
        </is>
      </c>
      <c r="G1872" s="5" t="inlineStr">
        <is>
          <t>EffectiveHits</t>
        </is>
      </c>
      <c r="H1872" s="5" t="inlineStr">
        <is>
          <t>ProcProbability</t>
        </is>
      </c>
      <c r="I1872" s="5" t="inlineStr">
        <is>
          <t>MapleHeroMultiplier</t>
        </is>
      </c>
      <c r="J1872" s="5" t="inlineStr">
        <is>
          <t>BaseDamage</t>
        </is>
      </c>
      <c r="K1872" s="5" t="inlineStr">
        <is>
          <t>BaseHitDamage</t>
        </is>
      </c>
      <c r="L1872" s="5" t="inlineStr">
        <is>
          <t>NonCritAvg</t>
        </is>
      </c>
      <c r="M1872" s="5" t="inlineStr">
        <is>
          <t>CritAvg</t>
        </is>
      </c>
      <c r="N1872" s="5" t="inlineStr">
        <is>
          <t>ExpectedDamage(perHit)</t>
        </is>
      </c>
      <c r="O1872" s="5" t="inlineStr">
        <is>
          <t>DPS</t>
        </is>
      </c>
      <c r="P1872" s="5" t="inlineStr">
        <is>
          <t>% of Total</t>
        </is>
      </c>
      <c r="Q1872" s="5" t="inlineStr">
        <is>
          <t>InvCooldown</t>
        </is>
      </c>
      <c r="R1872" s="5" t="inlineStr">
        <is>
          <t>CastsInFight</t>
        </is>
      </c>
      <c r="S1872" s="5" t="inlineStr">
        <is>
          <t>HitRate(perSec)</t>
        </is>
      </c>
      <c r="U1872" t="inlineStr">
        <is>
          <t>helpers</t>
        </is>
      </c>
    </row>
    <row r="1873">
      <c r="A1873">
        <f>Skills!A2</f>
        <v/>
      </c>
      <c r="B1873">
        <f>Skills!B2</f>
        <v/>
      </c>
      <c r="C1873">
        <f>Inputs!$B$3&gt;=100</f>
        <v/>
      </c>
      <c r="D1873" t="inlineStr"/>
      <c r="E1873" t="inlineStr"/>
      <c r="F1873">
        <f>U1875+Skills!O2</f>
        <v/>
      </c>
      <c r="G1873">
        <f>Skills!G2*IF(Skills!H2&gt;0,Skills!I2/Skills!H2,1)</f>
        <v/>
      </c>
      <c r="H1873">
        <f>1-(1-Skills!J2/100)^Skills!K2</f>
        <v/>
      </c>
      <c r="I1873" t="inlineStr">
        <is>
          <t>1</t>
        </is>
      </c>
      <c r="J1873">
        <f>((Inputs!$B$6*(1+Inputs!$B$7/100))+(((Inputs!$B$12*(1+Inputs!$B$13/100))-(Inputs!$B$12*(1+Inputs!$B$13/100)))+0.25*(Inputs!$B$14-Inputs!$B$14))*(1+Inputs!$B$7/100))*(F1873/100)</f>
        <v/>
      </c>
      <c r="K1873">
        <f>J1873*(1+((Inputs!$B$12*(1+Inputs!$B$13/100))*0.01+Inputs!$B$14*0.0025)/100)*(1+Inputs!$B$15/100)*(1+Inputs!$B$16/100)*(5000/(6000+Inputs!$B$42*(1-(100*(1-(1-(Inputs!$B$19+0)/100)*(1-CHOOSE(ArtifactsInput!$N$40+1,5,6,7,8,9,10)/100)^(ArtifactsInput!$M$40-ArtifactsInput!$M$40)))/100)))*(1+(Inputs!$B$24+((C1895=TRUE)*(F1895-Calc!F24))+((C1896=TRUE)*(F1896-Calc!F25))+B1909)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EMPOWERED_PIERCING_ARROW",Inputs!$B$17+((C1893=TRUE)*(F1893-Calc!F22))+(((IF(AND(ArtifactsInput!$M$42,((Inputs!$B$9+((C1890=TRUE)*(F1890-Calc!F19))+B1903+(ArtifactsInput!$M$24-ArtifactsInput!$M$24)*CHOOSE(ArtifactsInput!$N$24+1,10,12,14,16,18,20)+IF(ArtifactsInput!$M$10,CHOOSE(ArtifactsInput!$N$10+1,15,18,21,24,27,30)*(IF(Inputs!$B$38="pvp",MIN(15,15)/15,IF(AND(Inputs!$B$38&lt;&gt;"pvp",Inputs!$B$43&gt;0),MIN(15,Inputs!$B$43)/(Inputs!$B$43),0))),0)))&gt;=100),MIN(100,((Inputs!$B$9+((C1890=TRUE)*(F1890-Calc!F19))+B1903+(ArtifactsInput!$M$24-ArtifactsInput!$M$24)*CHOOSE(ArtifactsInput!$N$24+1,10,12,14,16,18,20)+IF(ArtifactsInput!$M$10,CHOOSE(ArtifactsInput!$N$10+1,15,18,21,24,27,30)*(IF(Inputs!$B$38="pvp",MIN(15,15)/15,IF(AND(Inputs!$B$38&lt;&gt;"pvp",Inputs!$B$43&gt;0),MIN(15,Inputs!$B$43)/(Inputs!$B$43),0))),0)))-100),0))*CHOOSE(ArtifactsInput!$N$42+1,0.6,0.72,0.84,0.96,1.08,1.2))),Inputs!$B$18+((C1898=TRUE)*(F1898-Calc!F27))+(IF(AND(ArtifactsInput!$M$42,((Inputs!$B$9+((C1890=TRUE)*(F1890-Calc!F19))+B1903+(ArtifactsInput!$M$24-ArtifactsInput!$M$24)*CHOOSE(ArtifactsInput!$N$24+1,10,12,14,16,18,20)+IF(ArtifactsInput!$M$10,CHOOSE(ArtifactsInput!$N$10+1,15,18,21,24,27,30)*(IF(Inputs!$B$38="pvp",MIN(15,15)/15,IF(AND(Inputs!$B$38&lt;&gt;"pvp",Inputs!$B$43&gt;0),MIN(15,Inputs!$B$43)/(Inputs!$B$43),0))),0)))&gt;=100),CHOOSE(ArtifactsInput!$N$42+1,40,48,56,64,72,80),0))))/100)*((1+(((C1884=TRUE)*F1884)+((C1885=TRUE)*IF(Inputs!$B$38="pvp",F1885,(1-Summary!$B$11)*(F1885)+Summary!$B$11*(0)))+((C1886=TRUE)*F1886*IF(AND(Inputs!$B$38&lt;&gt;"pvp",Inputs!$B$43&gt;0),(((R1886-1)*(Skills!T15*(1+Inputs!$B$34/100))+MIN((Skills!T15*(1+Inputs!$B$34/100)),MAX(0,Inputs!$B$43-((R1886-1)*Skills!D15))))/Inputs!$B$43),IF(Inputs!$B$38="pvp",MIN((Skills!T15*(1+Inputs!$B$34/100)),15)/15,(Skills!T15*(1+Inputs!$B$34/100))/Skills!D15)))+((C1883=TRUE)*F1883)+((C1900=TRUE)*(F1900-Calc!F29))+(IF(IF(ArtifactsInput!$M$21,FALSE,TRUE),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1873)</f>
        <v/>
      </c>
      <c r="L1873">
        <f>K1873*(MIN(Inputs!$B$22+((C1894=TRUE)*(F1894-Calc!F23)),(Inputs!$B$23+((C1899=TRUE)*(F1899-Calc!F28))+(IF(ArtifactsInput!$M$15,CHOOSE(ArtifactsInput!$N$15+1,25,30,35,40,45,50)/100*(Inputs!$B$11-Inputs!$B$11),0))))/100+(Inputs!$B$23+((C1899=TRUE)*(F1899-Calc!F28))+(IF(ArtifactsInput!$M$15,CHOOSE(ArtifactsInput!$N$15+1,25,30,35,40,45,50)/100*(Inputs!$B$11-Inputs!$B$11),0)))/100)/2</f>
        <v/>
      </c>
      <c r="M1873">
        <f>L1873*(1+(Inputs!$B$10+0+B1908+(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873">
        <f>L1873*(1-MIN((Inputs!$B$9+((C1890=TRUE)*(F1890-Calc!F19))+B1903+(ArtifactsInput!$M$24-ArtifactsInput!$M$24)*CHOOSE(ArtifactsInput!$N$24+1,10,12,14,16,18,20)+(IF(AND(ArtifactsInput!$M$42,((Inputs!$B$9+((C1890=TRUE)*(F1890-Calc!F19))+B1903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1873*(MIN((Inputs!$B$9+((C1890=TRUE)*(F1890-Calc!F19))+B1903+(ArtifactsInput!$M$24-ArtifactsInput!$M$24)*CHOOSE(ArtifactsInput!$N$24+1,10,12,14,16,18,20)+(IF(AND(ArtifactsInput!$M$42,((Inputs!$B$9+((C1890=TRUE)*(F1890-Calc!F19))+B1903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873">
        <f>(1-Summary!$B$11)*T1873+Summary!$B$11*V1873</f>
        <v/>
      </c>
      <c r="P1873">
        <f>IF(B1913=0,0,O1873/B1913)</f>
        <v/>
      </c>
      <c r="Q1873" t="n">
        <v>0</v>
      </c>
      <c r="R1873" t="n">
        <v>0</v>
      </c>
      <c r="S1873">
        <f>IFERROR((Skills!G2*N1873*B1907)/N1873*IF(Inputs!$B$38="pvp",1,(1-Summary!$B$11)*1+Summary!$B$11*(MIN((6+Inputs!$B$33),Inputs!$B$37))),0)</f>
        <v/>
      </c>
      <c r="T1873">
        <f>IF(C1873,(Skills!G2*N1873*B1907)*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Hunt"),CHOOSE(ArtifactsInput!$N$35+1,15,18,21,24,27,30)*(1-EXP(-(0.2*B1905)*5)),0)+IF(AND(ArtifactsInput!$M$22,Inputs!$B$4&lt;&gt;"Chapter Hunt"),CHOOSE(ArtifactsInput!$N$22+1,10,12,14,16,18,20)*((0*(((0.15*B1905*5))^0/1)+1*(((0.15*B1905*5))^1/1)+2*(((0.15*B1905*5))^2/2)+3*(((0.15*B1905*5))^3/6)+4*(((0.15*B1905*5))^4/24)+5*(((0.15*B1905*5))^5/120))/((((0.15*B1905*5))^0/1)+(((0.15*B1905*5))^1/1)+(((0.15*B1905*5))^2/2)+(((0.15*B1905*5))^3/6)+(((0.15*B1905*5))^4/24)+(((0.15*B1905*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1873*(1-MIN(100,(Inputs!$B$9+((C1890=TRUE)*(F1890-Calc!F19))+B1903+(ArtifactsInput!$M$24-ArtifactsInput!$M$24)*CHOOSE(ArtifactsInput!$N$24+1,10,12,14,16,18,20)+(IF(AND(ArtifactsInput!$M$42,((Inputs!$B$9+((C1890=TRUE)*(F1890-Calc!F19))+B1903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1873*(MIN(100,(Inputs!$B$9+((C1890=TRUE)*(F1890-Calc!F19))+B1903+(ArtifactsInput!$M$24-ArtifactsInput!$M$24)*CHOOSE(ArtifactsInput!$N$24+1,10,12,14,16,18,20)+(IF(AND(ArtifactsInput!$M$42,((Inputs!$B$9+((C1890=TRUE)*(F1890-Calc!F19))+B1903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1873*(1-MIN(100,(Inputs!$B$9+((C1890=TRUE)*(F1890-Calc!F19))+B1903+(ArtifactsInput!$M$24-ArtifactsInput!$M$24)*CHOOSE(ArtifactsInput!$N$24+1,10,12,14,16,18,20)+(IF(AND(ArtifactsInput!$M$42,((Inputs!$B$9+((C1890=TRUE)*(F1890-Calc!F19))+B1903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1873*(MIN(100,(Inputs!$B$9+((C1890=TRUE)*(F1890-Calc!F19))+B1903+(ArtifactsInput!$M$24-ArtifactsInput!$M$24)*CHOOSE(ArtifactsInput!$N$24+1,10,12,14,16,18,20)+(IF(AND(ArtifactsInput!$M$42,((Inputs!$B$9+((C1890=TRUE)*(F1890-Calc!F19))+B1903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873">
        <f>MAX(0,(Inputs!$B$3-100)*3)+Inputs!$B$28+Inputs!$B$29</f>
        <v/>
      </c>
      <c r="V1873">
        <f>IF(C1873,(Skills!G2*N1873*B1907)*IF(Inputs!$B$38="pvp",1,(1+(Inputs!$B$21+Skills!Q2+(IF(ArtifactsInput!$M$33,CHOOSE(ArtifactsInput!$N$33+1,30,36,42,48,54,60),0))+(IF(AND(ArtifactsInput!$M$35,Inputs!$B$4&lt;&gt;"Chapter Hunt"),CHOOSE(ArtifactsInput!$N$35+1,15,18,21,24,27,30)*(1-EXP(-(0.2*B1905)*5)),0)+IF(AND(ArtifactsInput!$M$22,Inputs!$B$4&lt;&gt;"Chapter Hunt"),CHOOSE(ArtifactsInput!$N$22+1,10,12,14,16,18,20)*((0*(((0.15*B1905*5))^0/1)+1*(((0.15*B1905*5))^1/1)+2*(((0.15*B1905*5))^2/2)+3*(((0.15*B1905*5))^3/6)+4*(((0.15*B1905*5))^4/24)+5*(((0.15*B1905*5))^5/120))/((((0.15*B1905*5))^0/1)+(((0.15*B1905*5))^1/1)+(((0.15*B1905*5))^2/2)+(((0.15*B1905*5))^3/6)+(((0.15*B1905*5))^4/24)+(((0.15*B1905*5))^5/120)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874">
      <c r="A1874">
        <f>Skills!A3</f>
        <v/>
      </c>
      <c r="B1874">
        <f>Skills!B3</f>
        <v/>
      </c>
      <c r="C1874">
        <f>Inputs!$B$3&gt;=50</f>
        <v/>
      </c>
      <c r="D1874">
        <f>IF(Skills!C3=1,60+Inputs!$B$25+Inputs!$B$29,IF(Skills!C3=2,90+Inputs!$B$26+Inputs!$B$29,IF(Skills!C3=3,120+Inputs!$B$27+Inputs!$B$29,MAX(0,(Inputs!$B$3-100)*3)+Inputs!$B$28+Inputs!$B$29)))</f>
        <v/>
      </c>
      <c r="E1874">
        <f>INDEX(FactorTable!$B$2:$Y$301, MATCH(ROUND(MIN(300,MAX(1,D1874)),0), FactorTable!$A$2:$A$301,0), Skills!M3+1)</f>
        <v/>
      </c>
      <c r="F1874">
        <f>IF(Skills!N3=TRUE,(Skills!L3/10)*(E1874/1000),Skills!L3/10)+Skills!O3</f>
        <v/>
      </c>
      <c r="G1874" t="inlineStr"/>
      <c r="H1874" t="inlineStr"/>
      <c r="I1874" t="inlineStr">
        <is>
          <t>1</t>
        </is>
      </c>
      <c r="J1874" t="inlineStr"/>
      <c r="K1874" t="inlineStr"/>
      <c r="L1874" t="inlineStr"/>
      <c r="M1874" t="inlineStr"/>
      <c r="N1874" t="inlineStr"/>
      <c r="O1874" t="inlineStr"/>
      <c r="P1874" t="inlineStr"/>
      <c r="Q1874" t="inlineStr"/>
      <c r="R1874" t="inlineStr"/>
      <c r="S1874" t="inlineStr"/>
      <c r="T1874" t="inlineStr"/>
      <c r="U1874">
        <f>INDEX(FactorTable!$B$2:$Y$301, MATCH(ROUND(MIN(300,MAX(1,U1873)),0), FactorTable!$A$2:$A$301,0), 22)</f>
        <v/>
      </c>
      <c r="V1874" t="inlineStr"/>
    </row>
    <row r="1875">
      <c r="A1875">
        <f>Skills!A4</f>
        <v/>
      </c>
      <c r="B1875">
        <f>Skills!B4</f>
        <v/>
      </c>
      <c r="C1875">
        <f>Inputs!$B$3&gt;=105</f>
        <v/>
      </c>
      <c r="D1875">
        <f>IF(Skills!C4=1,60+Inputs!$B$25+Inputs!$B$29,IF(Skills!C4=2,90+Inputs!$B$26+Inputs!$B$29,IF(Skills!C4=3,120+Inputs!$B$27+Inputs!$B$29,MAX(0,(Inputs!$B$3-100)*3)+Inputs!$B$28+Inputs!$B$29)))</f>
        <v/>
      </c>
      <c r="E1875">
        <f>INDEX(FactorTable!$B$2:$Y$301, MATCH(ROUND(MIN(300,MAX(1,D1875)),0), FactorTable!$A$2:$A$301,0), Skills!M4+1)</f>
        <v/>
      </c>
      <c r="F1875">
        <f>IF(Skills!N4=TRUE,(Skills!L4/10)*(E1875/1000),Skills!L4/10)+Skills!O4</f>
        <v/>
      </c>
      <c r="G1875" t="inlineStr"/>
      <c r="H1875" t="inlineStr"/>
      <c r="I1875" t="inlineStr">
        <is>
          <t>1</t>
        </is>
      </c>
      <c r="J1875" t="inlineStr"/>
      <c r="K1875" t="inlineStr"/>
      <c r="L1875" t="inlineStr"/>
      <c r="M1875" t="inlineStr"/>
      <c r="N1875" t="inlineStr"/>
      <c r="O1875" t="inlineStr"/>
      <c r="P1875" t="inlineStr"/>
      <c r="Q1875" t="inlineStr"/>
      <c r="R1875" t="inlineStr"/>
      <c r="S1875" t="inlineStr"/>
      <c r="T1875" t="inlineStr"/>
      <c r="U1875">
        <f>290*U1874/1000</f>
        <v/>
      </c>
      <c r="V1875" t="inlineStr"/>
    </row>
    <row r="1876">
      <c r="A1876">
        <f>Skills!A5</f>
        <v/>
      </c>
      <c r="B1876">
        <f>Skills!B5</f>
        <v/>
      </c>
      <c r="C1876">
        <f>Inputs!$B$3&gt;=35</f>
        <v/>
      </c>
      <c r="D1876">
        <f>IF(Skills!C5=1,60+Inputs!$B$25+Inputs!$B$29,IF(Skills!C5=2,90+Inputs!$B$26+Inputs!$B$29,IF(Skills!C5=3,120+Inputs!$B$27+Inputs!$B$29,MAX(0,(Inputs!$B$3-100)*3)+Inputs!$B$28+Inputs!$B$29)))</f>
        <v/>
      </c>
      <c r="E1876">
        <f>INDEX(FactorTable!$B$2:$Y$301, MATCH(ROUND(MIN(300,MAX(1,D1876)),0), FactorTable!$A$2:$A$301,0), Skills!M5+1)</f>
        <v/>
      </c>
      <c r="F1876">
        <f>IF(Skills!N5=TRUE,(Skills!L5/10)*(E1876/1000),Skills!L5/10)+Skills!O5</f>
        <v/>
      </c>
      <c r="G1876">
        <f>Skills!G5*IF(Skills!H5&gt;0,Skills!I5/Skills!H5,1)</f>
        <v/>
      </c>
      <c r="H1876">
        <f>1-(1-Skills!J5/100)^Skills!K5</f>
        <v/>
      </c>
      <c r="I1876" t="inlineStr">
        <is>
          <t>1</t>
        </is>
      </c>
      <c r="J1876">
        <f>((Inputs!$B$6*(1+Inputs!$B$7/100))+(((Inputs!$B$12*(1+Inputs!$B$13/100))-(Inputs!$B$12*(1+Inputs!$B$13/100)))+0.25*(Inputs!$B$14-Inputs!$B$14))*(1+Inputs!$B$7/100))*(F1876/100)</f>
        <v/>
      </c>
      <c r="K1876">
        <f>J1876*(1+((Inputs!$B$12*(1+Inputs!$B$13/100))*0.01+Inputs!$B$14*0.0025)/100)*(1+Inputs!$B$15/100)*(1+Inputs!$B$16/100)*(5000/(6000+Inputs!$B$42*(1-(100*(1-(1-(Inputs!$B$19+0)/100)*(1-CHOOSE(ArtifactsInput!$N$40+1,5,6,7,8,9,10)/100)^(ArtifactsInput!$M$40-ArtifactsInput!$M$40)))/100)))*(1+(Inputs!$B$24+((C1895=TRUE)*(F1895-Calc!F24))+((C1896=TRUE)*(F1896-Calc!F25))+B1909)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1879=TRUE,F1879,0)/100)*(1+(IF(Skills!A5="EMPOWERED_PIERCING_ARROW",Inputs!$B$17+((C1893=TRUE)*(F1893-Calc!F22))+(((IF(AND(ArtifactsInput!$M$42,((Inputs!$B$9+((C1890=TRUE)*(F1890-Calc!F19))+B1903+(ArtifactsInput!$M$24-ArtifactsInput!$M$24)*CHOOSE(ArtifactsInput!$N$24+1,10,12,14,16,18,20)+IF(ArtifactsInput!$M$10,CHOOSE(ArtifactsInput!$N$10+1,15,18,21,24,27,30)*(IF(Inputs!$B$38="pvp",MIN(15,15)/15,IF(AND(Inputs!$B$38&lt;&gt;"pvp",Inputs!$B$43&gt;0),MIN(15,Inputs!$B$43)/(Inputs!$B$43),0))),0)))&gt;=100),MIN(100,((Inputs!$B$9+((C1890=TRUE)*(F1890-Calc!F19))+B1903+(ArtifactsInput!$M$24-ArtifactsInput!$M$24)*CHOOSE(ArtifactsInput!$N$24+1,10,12,14,16,18,20)+IF(ArtifactsInput!$M$10,CHOOSE(ArtifactsInput!$N$10+1,15,18,21,24,27,30)*(IF(Inputs!$B$38="pvp",MIN(15,15)/15,IF(AND(Inputs!$B$38&lt;&gt;"pvp",Inputs!$B$43&gt;0),MIN(15,Inputs!$B$43)/(Inputs!$B$43),0))),0)))-100),0))*CHOOSE(ArtifactsInput!$N$42+1,0.6,0.72,0.84,0.96,1.08,1.2))),Inputs!$B$18+((C1898=TRUE)*(F1898-Calc!F27))+(IF(AND(ArtifactsInput!$M$42,((Inputs!$B$9+((C1890=TRUE)*(F1890-Calc!F19))+B1903+(ArtifactsInput!$M$24-ArtifactsInput!$M$24)*CHOOSE(ArtifactsInput!$N$24+1,10,12,14,16,18,20)+IF(ArtifactsInput!$M$10,CHOOSE(ArtifactsInput!$N$10+1,15,18,21,24,27,30)*(IF(Inputs!$B$38="pvp",MIN(15,15)/15,IF(AND(Inputs!$B$38&lt;&gt;"pvp",Inputs!$B$43&gt;0),MIN(15,Inputs!$B$43)/(Inputs!$B$43),0))),0)))&gt;=100),CHOOSE(ArtifactsInput!$N$42+1,40,48,56,64,72,80),0))))/100)*((1+(((C1884=TRUE)*F1884)+((C1885=TRUE)*IF(Inputs!$B$38="pvp",F1885,(1-Summary!$B$11)*(F1885)+Summary!$B$11*(0)))+((C1886=TRUE)*F1886*IF(AND(Inputs!$B$38&lt;&gt;"pvp",Inputs!$B$43&gt;0),(((R1886-1)*(Skills!T15*(1+Inputs!$B$34/100))+MIN((Skills!T15*(1+Inputs!$B$34/100)),MAX(0,Inputs!$B$43-((R1886-1)*Skills!D15))))/Inputs!$B$43),IF(Inputs!$B$38="pvp",MIN((Skills!T15*(1+Inputs!$B$34/100)),15)/15,(Skills!T15*(1+Inputs!$B$34/100))/Skills!D15)))+((C1883=TRUE)*F1883)+((C1900=TRUE)*(F1900-Calc!F29))+(IF(IF(ArtifactsInput!$M$21,FALSE,TRUE),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1876)</f>
        <v/>
      </c>
      <c r="L1876">
        <f>K1876*(MIN(Inputs!$B$22+((C1894=TRUE)*(F1894-Calc!F23)),(Inputs!$B$23+((C1899=TRUE)*(F1899-Calc!F28))+(IF(ArtifactsInput!$M$15,CHOOSE(ArtifactsInput!$N$15+1,25,30,35,40,45,50)/100*(Inputs!$B$11-Inputs!$B$11),0))))/100+(Inputs!$B$23+((C1899=TRUE)*(F1899-Calc!F28))+(IF(ArtifactsInput!$M$15,CHOOSE(ArtifactsInput!$N$15+1,25,30,35,40,45,50)/100*(Inputs!$B$11-Inputs!$B$11),0)))/100)/2</f>
        <v/>
      </c>
      <c r="M1876">
        <f>L1876*(1+(Inputs!$B$10+0+B1908+(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876">
        <f>L1876*(1-MIN((Inputs!$B$9+((C1890=TRUE)*(F1890-Calc!F19))+B1903+(ArtifactsInput!$M$24-ArtifactsInput!$M$24)*CHOOSE(ArtifactsInput!$N$24+1,10,12,14,16,18,20)+(IF(AND(ArtifactsInput!$M$42,((Inputs!$B$9+((C1890=TRUE)*(F1890-Calc!F19))+B1903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1876*(MIN((Inputs!$B$9+((C1890=TRUE)*(F1890-Calc!F19))+B1903+(ArtifactsInput!$M$24-ArtifactsInput!$M$24)*CHOOSE(ArtifactsInput!$N$24+1,10,12,14,16,18,20)+(IF(AND(ArtifactsInput!$M$42,((Inputs!$B$9+((C1890=TRUE)*(F1890-Calc!F19))+B1903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876">
        <f>(1-Summary!$B$11)*T1876+Summary!$B$11*V1876</f>
        <v/>
      </c>
      <c r="P1876">
        <f>IF(B1913=0,0,O1876/B1913)</f>
        <v/>
      </c>
      <c r="Q1876">
        <f>IFERROR(1/IF(Inputs!$B$38="pvp",15,MAX(0.1,Skills!D5-IF(Skills!E5=TRUE,Inputs!$B$32,0))),0)</f>
        <v/>
      </c>
      <c r="R1876">
        <f>IF(AND(Inputs!$B$38&lt;&gt;"pvp",Inputs!$B$43&gt;0),IF(MAX(0,Inputs!$B$43-B1910)&lt;=0,0,(INT(MAX(0,Inputs!$B$43-B1910)/IF(Inputs!$B$38="pvp",15,MAX(0.1,Skills!D5-IF(Skills!E5=TRUE,Inputs!$B$32,0))))+1)),0)</f>
        <v/>
      </c>
      <c r="S1876">
        <f>IFERROR((H1876*N1876*IF(AND(Inputs!$B$38&lt;&gt;"pvp",Inputs!$B$43&gt;0),((Skills!G5*((R1876-1)*IF(Skills!H5&gt;0,Skills!I5/Skills!H5,1)+IF(Skills!H5&gt;0,MIN(Skills!I5,MAX(0,MAX(0,Inputs!$B$43-B1910)-((R1876-1)*IF(Inputs!$B$38="pvp",15,MAX(0.1,Skills!D5-IF(Skills!E5=TRUE,Inputs!$B$32,0))))))/Skills!H5,1)))/Inputs!$B$43),G1876*Q1876))/N1876*IF(Inputs!$B$38="pvp",1,(1-Summary!$B$11)*1+Summary!$B$11*(MIN(Skills!R5,Inputs!$B$37))),0)</f>
        <v/>
      </c>
      <c r="T1876">
        <f>IF(C1876,(H1876*N1876*IF(AND(Inputs!$B$38&lt;&gt;"pvp",Inputs!$B$43&gt;0),((Skills!G5*((R1876-1)*IF(Skills!H5&gt;0,Skills!I5/Skills!H5,1)+IF(Skills!H5&gt;0,MIN(Skills!I5,MAX(0,MAX(0,Inputs!$B$43-B1910)-((R1876-1)*IF(Inputs!$B$38="pvp",15,MAX(0.1,Skills!D5-IF(Skills!E5=TRUE,Inputs!$B$32,0))))))/Skills!H5,1)))/Inputs!$B$43),G1876*Q1876))*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Hunt"),CHOOSE(ArtifactsInput!$N$35+1,15,18,21,24,27,30)*(1-EXP(-(0.2*B1905)*5)),0)+IF(AND(ArtifactsInput!$M$22,Inputs!$B$4&lt;&gt;"Chapter Hunt"),CHOOSE(ArtifactsInput!$N$22+1,10,12,14,16,18,20)*((0*(((0.15*B1905*5))^0/1)+1*(((0.15*B1905*5))^1/1)+2*(((0.15*B1905*5))^2/2)+3*(((0.15*B1905*5))^3/6)+4*(((0.15*B1905*5))^4/24)+5*(((0.15*B1905*5))^5/120))/((((0.15*B1905*5))^0/1)+(((0.15*B1905*5))^1/1)+(((0.15*B1905*5))^2/2)+(((0.15*B1905*5))^3/6)+(((0.15*B1905*5))^4/24)+(((0.15*B1905*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1876*(1-MIN(100,(Inputs!$B$9+((C1890=TRUE)*(F1890-Calc!F19))+B1903+(ArtifactsInput!$M$24-ArtifactsInput!$M$24)*CHOOSE(ArtifactsInput!$N$24+1,10,12,14,16,18,20)+(IF(AND(ArtifactsInput!$M$42,((Inputs!$B$9+((C1890=TRUE)*(F1890-Calc!F19))+B1903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1876*(MIN(100,(Inputs!$B$9+((C1890=TRUE)*(F1890-Calc!F19))+B1903+(ArtifactsInput!$M$24-ArtifactsInput!$M$24)*CHOOSE(ArtifactsInput!$N$24+1,10,12,14,16,18,20)+(IF(AND(ArtifactsInput!$M$42,((Inputs!$B$9+((C1890=TRUE)*(F1890-Calc!F19))+B1903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1876*(1-MIN(100,(Inputs!$B$9+((C1890=TRUE)*(F1890-Calc!F19))+B1903+(ArtifactsInput!$M$24-ArtifactsInput!$M$24)*CHOOSE(ArtifactsInput!$N$24+1,10,12,14,16,18,20)+(IF(AND(ArtifactsInput!$M$42,((Inputs!$B$9+((C1890=TRUE)*(F1890-Calc!F19))+B1903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1876*(MIN(100,(Inputs!$B$9+((C1890=TRUE)*(F1890-Calc!F19))+B1903+(ArtifactsInput!$M$24-ArtifactsInput!$M$24)*CHOOSE(ArtifactsInput!$N$24+1,10,12,14,16,18,20)+(IF(AND(ArtifactsInput!$M$42,((Inputs!$B$9+((C1890=TRUE)*(F1890-Calc!F19))+B1903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876">
        <f>IF(C1876,(H1876*N1876*IF(AND(Inputs!$B$38&lt;&gt;"pvp",Inputs!$B$43&gt;0),((Skills!G5*((R1876-1)*IF(Skills!H5&gt;0,Skills!I5/Skills!H5,1)+IF(Skills!H5&gt;0,MIN(Skills!I5,MAX(0,MAX(0,Inputs!$B$43-B1910)-((R1876-1)*IF(Inputs!$B$38="pvp",15,MAX(0.1,Skills!D5-IF(Skills!E5=TRUE,Inputs!$B$32,0))))))/Skills!H5,1)))/Inputs!$B$43),G1876*Q1876))*IF(Inputs!$B$38="pvp",1,(1+(Inputs!$B$21+Skills!Q5+(IF(ArtifactsInput!$M$33,CHOOSE(ArtifactsInput!$N$33+1,30,36,42,48,54,60),0))+(IF(AND(ArtifactsInput!$M$35,Inputs!$B$4&lt;&gt;"Chapter Hunt"),CHOOSE(ArtifactsInput!$N$35+1,15,18,21,24,27,30)*(1-EXP(-(0.2*B1905)*5)),0)+IF(AND(ArtifactsInput!$M$22,Inputs!$B$4&lt;&gt;"Chapter Hunt"),CHOOSE(ArtifactsInput!$N$22+1,10,12,14,16,18,20)*((0*(((0.15*B1905*5))^0/1)+1*(((0.15*B1905*5))^1/1)+2*(((0.15*B1905*5))^2/2)+3*(((0.15*B1905*5))^3/6)+4*(((0.15*B1905*5))^4/24)+5*(((0.15*B1905*5))^5/120))/((((0.15*B1905*5))^0/1)+(((0.15*B1905*5))^1/1)+(((0.15*B1905*5))^2/2)+(((0.15*B1905*5))^3/6)+(((0.15*B1905*5))^4/24)+(((0.15*B1905*5))^5/120)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877">
      <c r="A1877">
        <f>Skills!A6</f>
        <v/>
      </c>
      <c r="B1877">
        <f>Skills!B6</f>
        <v/>
      </c>
      <c r="C1877">
        <f>Inputs!$B$3&gt;=63</f>
        <v/>
      </c>
      <c r="D1877">
        <f>IF(Skills!C6=1,60+Inputs!$B$25+Inputs!$B$29,IF(Skills!C6=2,90+Inputs!$B$26+Inputs!$B$29,IF(Skills!C6=3,120+Inputs!$B$27+Inputs!$B$29,MAX(0,(Inputs!$B$3-100)*3)+Inputs!$B$28+Inputs!$B$29)))</f>
        <v/>
      </c>
      <c r="E1877">
        <f>INDEX(FactorTable!$B$2:$Y$301, MATCH(ROUND(MIN(300,MAX(1,D1877)),0), FactorTable!$A$2:$A$301,0), Skills!M6+1)</f>
        <v/>
      </c>
      <c r="F1877">
        <f>IF(Skills!N6=TRUE,(Skills!L6/10)*(E1877/1000),Skills!L6/10)+Skills!O6</f>
        <v/>
      </c>
      <c r="G1877">
        <f>Skills!G6*IF(Skills!H6&gt;0,Skills!I6/Skills!H6,1)</f>
        <v/>
      </c>
      <c r="H1877">
        <f>1-(1-Skills!J6/100)^Skills!K6</f>
        <v/>
      </c>
      <c r="I1877" t="inlineStr">
        <is>
          <t>1</t>
        </is>
      </c>
      <c r="J1877">
        <f>((Inputs!$B$6*(1+Inputs!$B$7/100))+(((Inputs!$B$12*(1+Inputs!$B$13/100))-(Inputs!$B$12*(1+Inputs!$B$13/100)))+0.25*(Inputs!$B$14-Inputs!$B$14))*(1+Inputs!$B$7/100))*(F1877/100)</f>
        <v/>
      </c>
      <c r="K1877">
        <f>J1877*(1+((Inputs!$B$12*(1+Inputs!$B$13/100))*0.01+Inputs!$B$14*0.0025)/100)*(1+Inputs!$B$15/100)*(1+Inputs!$B$16/100)*(5000/(6000+Inputs!$B$42*(1-(100*(1-(1-(Inputs!$B$19+0)/100)*(1-CHOOSE(ArtifactsInput!$N$40+1,5,6,7,8,9,10)/100)^(ArtifactsInput!$M$40-ArtifactsInput!$M$40)))/100)))*(1+(Inputs!$B$24+((C1895=TRUE)*(F1895-Calc!F24))+((C1896=TRUE)*(F1896-Calc!F25))+B1909)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1879=TRUE,F1879,0)/100)*(1+(IF(Skills!A6="EMPOWERED_PIERCING_ARROW",Inputs!$B$17+((C1893=TRUE)*(F1893-Calc!F22))+(((IF(AND(ArtifactsInput!$M$42,((Inputs!$B$9+((C1890=TRUE)*(F1890-Calc!F19))+B1903+(ArtifactsInput!$M$24-ArtifactsInput!$M$24)*CHOOSE(ArtifactsInput!$N$24+1,10,12,14,16,18,20)+IF(ArtifactsInput!$M$10,CHOOSE(ArtifactsInput!$N$10+1,15,18,21,24,27,30)*(IF(Inputs!$B$38="pvp",MIN(15,15)/15,IF(AND(Inputs!$B$38&lt;&gt;"pvp",Inputs!$B$43&gt;0),MIN(15,Inputs!$B$43)/(Inputs!$B$43),0))),0)))&gt;=100),MIN(100,((Inputs!$B$9+((C1890=TRUE)*(F1890-Calc!F19))+B1903+(ArtifactsInput!$M$24-ArtifactsInput!$M$24)*CHOOSE(ArtifactsInput!$N$24+1,10,12,14,16,18,20)+IF(ArtifactsInput!$M$10,CHOOSE(ArtifactsInput!$N$10+1,15,18,21,24,27,30)*(IF(Inputs!$B$38="pvp",MIN(15,15)/15,IF(AND(Inputs!$B$38&lt;&gt;"pvp",Inputs!$B$43&gt;0),MIN(15,Inputs!$B$43)/(Inputs!$B$43),0))),0)))-100),0))*CHOOSE(ArtifactsInput!$N$42+1,0.6,0.72,0.84,0.96,1.08,1.2))),Inputs!$B$18+((C1898=TRUE)*(F1898-Calc!F27))+(IF(AND(ArtifactsInput!$M$42,((Inputs!$B$9+((C1890=TRUE)*(F1890-Calc!F19))+B1903+(ArtifactsInput!$M$24-ArtifactsInput!$M$24)*CHOOSE(ArtifactsInput!$N$24+1,10,12,14,16,18,20)+IF(ArtifactsInput!$M$10,CHOOSE(ArtifactsInput!$N$10+1,15,18,21,24,27,30)*(IF(Inputs!$B$38="pvp",MIN(15,15)/15,IF(AND(Inputs!$B$38&lt;&gt;"pvp",Inputs!$B$43&gt;0),MIN(15,Inputs!$B$43)/(Inputs!$B$43),0))),0)))&gt;=100),CHOOSE(ArtifactsInput!$N$42+1,40,48,56,64,72,80),0))))/100)*((1+(((C1884=TRUE)*F1884)+((C1885=TRUE)*IF(Inputs!$B$38="pvp",F1885,(1-Summary!$B$11)*(F1885)+Summary!$B$11*(0)))+((C1886=TRUE)*F1886*IF(AND(Inputs!$B$38&lt;&gt;"pvp",Inputs!$B$43&gt;0),(((R1886-1)*(Skills!T15*(1+Inputs!$B$34/100))+MIN((Skills!T15*(1+Inputs!$B$34/100)),MAX(0,Inputs!$B$43-((R1886-1)*Skills!D15))))/Inputs!$B$43),IF(Inputs!$B$38="pvp",MIN((Skills!T15*(1+Inputs!$B$34/100)),15)/15,(Skills!T15*(1+Inputs!$B$34/100))/Skills!D15)))+((C1883=TRUE)*F1883)+((C1900=TRUE)*(F1900-Calc!F29))+(IF(IF(ArtifactsInput!$M$21,FALSE,TRUE),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1877)</f>
        <v/>
      </c>
      <c r="L1877">
        <f>K1877*(MIN(Inputs!$B$22+((C1894=TRUE)*(F1894-Calc!F23)),(Inputs!$B$23+((C1899=TRUE)*(F1899-Calc!F28))+(IF(ArtifactsInput!$M$15,CHOOSE(ArtifactsInput!$N$15+1,25,30,35,40,45,50)/100*(Inputs!$B$11-Inputs!$B$11),0))))/100+(Inputs!$B$23+((C1899=TRUE)*(F1899-Calc!F28))+(IF(ArtifactsInput!$M$15,CHOOSE(ArtifactsInput!$N$15+1,25,30,35,40,45,50)/100*(Inputs!$B$11-Inputs!$B$11),0)))/100)/2</f>
        <v/>
      </c>
      <c r="M1877">
        <f>L1877*(1+(Inputs!$B$10+0+B1908+(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877">
        <f>L1877*(1-MIN((Inputs!$B$9+((C1890=TRUE)*(F1890-Calc!F19))+B1903+(ArtifactsInput!$M$24-ArtifactsInput!$M$24)*CHOOSE(ArtifactsInput!$N$24+1,10,12,14,16,18,20)+(IF(AND(ArtifactsInput!$M$42,((Inputs!$B$9+((C1890=TRUE)*(F1890-Calc!F19))+B1903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1877*(MIN((Inputs!$B$9+((C1890=TRUE)*(F1890-Calc!F19))+B1903+(ArtifactsInput!$M$24-ArtifactsInput!$M$24)*CHOOSE(ArtifactsInput!$N$24+1,10,12,14,16,18,20)+(IF(AND(ArtifactsInput!$M$42,((Inputs!$B$9+((C1890=TRUE)*(F1890-Calc!F19))+B1903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877">
        <f>(1-Summary!$B$11)*T1877+Summary!$B$11*V1877</f>
        <v/>
      </c>
      <c r="P1877">
        <f>IF(B1913=0,0,O1877/B1913)</f>
        <v/>
      </c>
      <c r="Q1877">
        <f>IFERROR(1/IF(Inputs!$B$38="pvp",15,MAX(0.1,Skills!D6-IF(Skills!E6=TRUE,Inputs!$B$32,0))),0)</f>
        <v/>
      </c>
      <c r="R1877">
        <f>IF(AND(Inputs!$B$38&lt;&gt;"pvp",Inputs!$B$43&gt;0),IF(MAX(0,Inputs!$B$43-B1910)&lt;=0,0,(INT(MAX(0,Inputs!$B$43-B1910)/IF(Inputs!$B$38="pvp",15,MAX(0.1,Skills!D6-IF(Skills!E6=TRUE,Inputs!$B$32,0))))+1)),0)</f>
        <v/>
      </c>
      <c r="S1877">
        <f>IFERROR((H1877*N1877*IF(AND(Inputs!$B$38&lt;&gt;"pvp",Inputs!$B$43&gt;0),((Skills!G6*((R1877-1)*IF(Skills!H6&gt;0,Skills!I6/Skills!H6,1)+IF(Skills!H6&gt;0,MIN(Skills!I6,MAX(0,MAX(0,Inputs!$B$43-B1910)-((R1877-1)*IF(Inputs!$B$38="pvp",15,MAX(0.1,Skills!D6-IF(Skills!E6=TRUE,Inputs!$B$32,0))))))/Skills!H6,1)))/Inputs!$B$43),G1877*Q1877))/N1877*IF(Inputs!$B$38="pvp",1,(1-Summary!$B$11)*1+Summary!$B$11*(MIN(Skills!R6,Inputs!$B$37))),0)</f>
        <v/>
      </c>
      <c r="T1877">
        <f>IF(C1877,(H1877*N1877*IF(AND(Inputs!$B$38&lt;&gt;"pvp",Inputs!$B$43&gt;0),((Skills!G6*((R1877-1)*IF(Skills!H6&gt;0,Skills!I6/Skills!H6,1)+IF(Skills!H6&gt;0,MIN(Skills!I6,MAX(0,MAX(0,Inputs!$B$43-B1910)-((R1877-1)*IF(Inputs!$B$38="pvp",15,MAX(0.1,Skills!D6-IF(Skills!E6=TRUE,Inputs!$B$32,0))))))/Skills!H6,1)))/Inputs!$B$43),G1877*Q1877))*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Hunt"),CHOOSE(ArtifactsInput!$N$35+1,15,18,21,24,27,30)*(1-EXP(-(0.2*B1905)*5)),0)+IF(AND(ArtifactsInput!$M$22,Inputs!$B$4&lt;&gt;"Chapter Hunt"),CHOOSE(ArtifactsInput!$N$22+1,10,12,14,16,18,20)*((0*(((0.15*B1905*5))^0/1)+1*(((0.15*B1905*5))^1/1)+2*(((0.15*B1905*5))^2/2)+3*(((0.15*B1905*5))^3/6)+4*(((0.15*B1905*5))^4/24)+5*(((0.15*B1905*5))^5/120))/((((0.15*B1905*5))^0/1)+(((0.15*B1905*5))^1/1)+(((0.15*B1905*5))^2/2)+(((0.15*B1905*5))^3/6)+(((0.15*B1905*5))^4/24)+(((0.15*B1905*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1877*(1-MIN(100,(Inputs!$B$9+((C1890=TRUE)*(F1890-Calc!F19))+B1903+(ArtifactsInput!$M$24-ArtifactsInput!$M$24)*CHOOSE(ArtifactsInput!$N$24+1,10,12,14,16,18,20)+(IF(AND(ArtifactsInput!$M$42,((Inputs!$B$9+((C1890=TRUE)*(F1890-Calc!F19))+B1903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1877*(MIN(100,(Inputs!$B$9+((C1890=TRUE)*(F1890-Calc!F19))+B1903+(ArtifactsInput!$M$24-ArtifactsInput!$M$24)*CHOOSE(ArtifactsInput!$N$24+1,10,12,14,16,18,20)+(IF(AND(ArtifactsInput!$M$42,((Inputs!$B$9+((C1890=TRUE)*(F1890-Calc!F19))+B1903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1877*(1-MIN(100,(Inputs!$B$9+((C1890=TRUE)*(F1890-Calc!F19))+B1903+(ArtifactsInput!$M$24-ArtifactsInput!$M$24)*CHOOSE(ArtifactsInput!$N$24+1,10,12,14,16,18,20)+(IF(AND(ArtifactsInput!$M$42,((Inputs!$B$9+((C1890=TRUE)*(F1890-Calc!F19))+B1903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1877*(MIN(100,(Inputs!$B$9+((C1890=TRUE)*(F1890-Calc!F19))+B1903+(ArtifactsInput!$M$24-ArtifactsInput!$M$24)*CHOOSE(ArtifactsInput!$N$24+1,10,12,14,16,18,20)+(IF(AND(ArtifactsInput!$M$42,((Inputs!$B$9+((C1890=TRUE)*(F1890-Calc!F19))+B1903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877">
        <f>IF(C1877,(H1877*N1877*IF(AND(Inputs!$B$38&lt;&gt;"pvp",Inputs!$B$43&gt;0),((Skills!G6*((R1877-1)*IF(Skills!H6&gt;0,Skills!I6/Skills!H6,1)+IF(Skills!H6&gt;0,MIN(Skills!I6,MAX(0,MAX(0,Inputs!$B$43-B1910)-((R1877-1)*IF(Inputs!$B$38="pvp",15,MAX(0.1,Skills!D6-IF(Skills!E6=TRUE,Inputs!$B$32,0))))))/Skills!H6,1)))/Inputs!$B$43),G1877*Q1877))*IF(Inputs!$B$38="pvp",1,(1+(Inputs!$B$21+Skills!Q6+(IF(ArtifactsInput!$M$33,CHOOSE(ArtifactsInput!$N$33+1,30,36,42,48,54,60),0))+(IF(AND(ArtifactsInput!$M$35,Inputs!$B$4&lt;&gt;"Chapter Hunt"),CHOOSE(ArtifactsInput!$N$35+1,15,18,21,24,27,30)*(1-EXP(-(0.2*B1905)*5)),0)+IF(AND(ArtifactsInput!$M$22,Inputs!$B$4&lt;&gt;"Chapter Hunt"),CHOOSE(ArtifactsInput!$N$22+1,10,12,14,16,18,20)*((0*(((0.15*B1905*5))^0/1)+1*(((0.15*B1905*5))^1/1)+2*(((0.15*B1905*5))^2/2)+3*(((0.15*B1905*5))^3/6)+4*(((0.15*B1905*5))^4/24)+5*(((0.15*B1905*5))^5/120))/((((0.15*B1905*5))^0/1)+(((0.15*B1905*5))^1/1)+(((0.15*B1905*5))^2/2)+(((0.15*B1905*5))^3/6)+(((0.15*B1905*5))^4/24)+(((0.15*B1905*5))^5/120))),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878">
      <c r="A1878">
        <f>Skills!A7</f>
        <v/>
      </c>
      <c r="B1878">
        <f>Skills!B7</f>
        <v/>
      </c>
      <c r="C1878">
        <f>Inputs!$B$3&gt;=69</f>
        <v/>
      </c>
      <c r="D1878">
        <f>IF(Skills!C7=1,60+Inputs!$B$25+Inputs!$B$29,IF(Skills!C7=2,90+Inputs!$B$26+Inputs!$B$29,IF(Skills!C7=3,120+Inputs!$B$27+Inputs!$B$29,MAX(0,(Inputs!$B$3-100)*3)+Inputs!$B$28+Inputs!$B$29)))</f>
        <v/>
      </c>
      <c r="E1878">
        <f>INDEX(FactorTable!$B$2:$Y$301, MATCH(ROUND(MIN(300,MAX(1,D1878)),0), FactorTable!$A$2:$A$301,0), Skills!M7+1)</f>
        <v/>
      </c>
      <c r="F1878">
        <f>IF(Skills!N7=TRUE,(Skills!L7/10)*(E1878/1000),Skills!L7/10)+Skills!O7</f>
        <v/>
      </c>
      <c r="G1878">
        <f>Skills!G7*IF(Skills!H7&gt;0,Skills!I7/Skills!H7,1)</f>
        <v/>
      </c>
      <c r="H1878">
        <f>1-(1-Skills!J7/100)^Skills!K7</f>
        <v/>
      </c>
      <c r="I1878" t="inlineStr">
        <is>
          <t>1</t>
        </is>
      </c>
      <c r="J1878">
        <f>((Inputs!$B$6*(1+Inputs!$B$7/100))+(((Inputs!$B$12*(1+Inputs!$B$13/100))-(Inputs!$B$12*(1+Inputs!$B$13/100)))+0.25*(Inputs!$B$14-Inputs!$B$14))*(1+Inputs!$B$7/100))*(F1878/100)</f>
        <v/>
      </c>
      <c r="K1878">
        <f>J1878*(1+((Inputs!$B$12*(1+Inputs!$B$13/100))*0.01+Inputs!$B$14*0.0025)/100)*(1+Inputs!$B$15/100)*(1+Inputs!$B$16/100)*(5000/(6000+Inputs!$B$42*(1-(100*(1-(1-(Inputs!$B$19+0)/100)*(1-CHOOSE(ArtifactsInput!$N$40+1,5,6,7,8,9,10)/100)^(ArtifactsInput!$M$40-ArtifactsInput!$M$40)))/100)))*(1+(Inputs!$B$24+((C1895=TRUE)*(F1895-Calc!F24))+((C1896=TRUE)*(F1896-Calc!F25))+B1909)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+1.2*IF(C1879=TRUE,F1879,0)/100)*(1+(IF(Skills!A7="EMPOWERED_PIERCING_ARROW",Inputs!$B$17+((C1893=TRUE)*(F1893-Calc!F22))+(((IF(AND(ArtifactsInput!$M$42,((Inputs!$B$9+((C1890=TRUE)*(F1890-Calc!F19))+B1903+(ArtifactsInput!$M$24-ArtifactsInput!$M$24)*CHOOSE(ArtifactsInput!$N$24+1,10,12,14,16,18,20)+IF(ArtifactsInput!$M$10,CHOOSE(ArtifactsInput!$N$10+1,15,18,21,24,27,30)*(IF(Inputs!$B$38="pvp",MIN(15,15)/15,IF(AND(Inputs!$B$38&lt;&gt;"pvp",Inputs!$B$43&gt;0),MIN(15,Inputs!$B$43)/(Inputs!$B$43),0))),0)))&gt;=100),MIN(100,((Inputs!$B$9+((C1890=TRUE)*(F1890-Calc!F19))+B1903+(ArtifactsInput!$M$24-ArtifactsInput!$M$24)*CHOOSE(ArtifactsInput!$N$24+1,10,12,14,16,18,20)+IF(ArtifactsInput!$M$10,CHOOSE(ArtifactsInput!$N$10+1,15,18,21,24,27,30)*(IF(Inputs!$B$38="pvp",MIN(15,15)/15,IF(AND(Inputs!$B$38&lt;&gt;"pvp",Inputs!$B$43&gt;0),MIN(15,Inputs!$B$43)/(Inputs!$B$43),0))),0)))-100),0))*CHOOSE(ArtifactsInput!$N$42+1,0.6,0.72,0.84,0.96,1.08,1.2))),Inputs!$B$18+((C1898=TRUE)*(F1898-Calc!F27))+(IF(AND(ArtifactsInput!$M$42,((Inputs!$B$9+((C1890=TRUE)*(F1890-Calc!F19))+B1903+(ArtifactsInput!$M$24-ArtifactsInput!$M$24)*CHOOSE(ArtifactsInput!$N$24+1,10,12,14,16,18,20)+IF(ArtifactsInput!$M$10,CHOOSE(ArtifactsInput!$N$10+1,15,18,21,24,27,30)*(IF(Inputs!$B$38="pvp",MIN(15,15)/15,IF(AND(Inputs!$B$38&lt;&gt;"pvp",Inputs!$B$43&gt;0),MIN(15,Inputs!$B$43)/(Inputs!$B$43),0))),0)))&gt;=100),CHOOSE(ArtifactsInput!$N$42+1,40,48,56,64,72,80),0))))/100)*((1+(((C1884=TRUE)*F1884)+((C1885=TRUE)*IF(Inputs!$B$38="pvp",F1885,(1-Summary!$B$11)*(F1885)+Summary!$B$11*(0)))+((C1886=TRUE)*F1886*IF(AND(Inputs!$B$38&lt;&gt;"pvp",Inputs!$B$43&gt;0),(((R1886-1)*(Skills!T15*(1+Inputs!$B$34/100))+MIN((Skills!T15*(1+Inputs!$B$34/100)),MAX(0,Inputs!$B$43-((R1886-1)*Skills!D15))))/Inputs!$B$43),IF(Inputs!$B$38="pvp",MIN((Skills!T15*(1+Inputs!$B$34/100)),15)/15,(Skills!T15*(1+Inputs!$B$34/100))/Skills!D15)))+((C1883=TRUE)*F1883)+((C1900=TRUE)*(F1900-Calc!F29))+(IF(IF(ArtifactsInput!$M$21,FALSE,TRUE),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1878)</f>
        <v/>
      </c>
      <c r="L1878">
        <f>K1878*(MIN(Inputs!$B$22+((C1894=TRUE)*(F1894-Calc!F23)),(Inputs!$B$23+((C1899=TRUE)*(F1899-Calc!F28))+(IF(ArtifactsInput!$M$15,CHOOSE(ArtifactsInput!$N$15+1,25,30,35,40,45,50)/100*(Inputs!$B$11-Inputs!$B$11),0))))/100+(Inputs!$B$23+((C1899=TRUE)*(F1899-Calc!F28))+(IF(ArtifactsInput!$M$15,CHOOSE(ArtifactsInput!$N$15+1,25,30,35,40,45,50)/100*(Inputs!$B$11-Inputs!$B$11),0)))/100)/2</f>
        <v/>
      </c>
      <c r="M1878">
        <f>L1878*(1+(Inputs!$B$10+0+B1908+(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878">
        <f>L1878*(1-MIN((Inputs!$B$9+((C1890=TRUE)*(F1890-Calc!F19))+B1903+(ArtifactsInput!$M$24-ArtifactsInput!$M$24)*CHOOSE(ArtifactsInput!$N$24+1,10,12,14,16,18,20)+(IF(AND(ArtifactsInput!$M$42,((Inputs!$B$9+((C1890=TRUE)*(F1890-Calc!F19))+B1903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1878*(MIN((Inputs!$B$9+((C1890=TRUE)*(F1890-Calc!F19))+B1903+(ArtifactsInput!$M$24-ArtifactsInput!$M$24)*CHOOSE(ArtifactsInput!$N$24+1,10,12,14,16,18,20)+(IF(AND(ArtifactsInput!$M$42,((Inputs!$B$9+((C1890=TRUE)*(F1890-Calc!F19))+B1903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878">
        <f>(1-Summary!$B$11)*T1878+Summary!$B$11*V1878</f>
        <v/>
      </c>
      <c r="P1878">
        <f>IF(B1913=0,0,O1878/B1913)</f>
        <v/>
      </c>
      <c r="Q1878">
        <f>IFERROR(1/IF(Inputs!$B$38="pvp",15,MAX(0.1,Skills!D7-IF(Skills!E7=TRUE,Inputs!$B$32,0))),0)</f>
        <v/>
      </c>
      <c r="R1878">
        <f>IF(AND(Inputs!$B$38&lt;&gt;"pvp",Inputs!$B$43&gt;0),IF(MAX(0,Inputs!$B$43-B1910)&lt;=0,0,(INT(MAX(0,Inputs!$B$43-B1910)/IF(Inputs!$B$38="pvp",15,MAX(0.1,Skills!D7-IF(Skills!E7=TRUE,Inputs!$B$32,0))))+1)),0)</f>
        <v/>
      </c>
      <c r="S1878">
        <f>IFERROR((H1878*N1878*IF(AND(Inputs!$B$38&lt;&gt;"pvp",Inputs!$B$43&gt;0),((Skills!G7*((R1878-1)*IF(Skills!H7&gt;0,Skills!I7/Skills!H7,1)+IF(Skills!H7&gt;0,MIN(Skills!I7,MAX(0,MAX(0,Inputs!$B$43-B1910)-((R1878-1)*IF(Inputs!$B$38="pvp",15,MAX(0.1,Skills!D7-IF(Skills!E7=TRUE,Inputs!$B$32,0))))))/Skills!H7,1)))/Inputs!$B$43),G1878*Q1878))/N1878*IF(Inputs!$B$38="pvp",1,(1-Summary!$B$11)*1+Summary!$B$11*(MIN(Skills!R7,Inputs!$B$37))),0)</f>
        <v/>
      </c>
      <c r="T1878">
        <f>IF(C1878,(H1878*N1878*IF(AND(Inputs!$B$38&lt;&gt;"pvp",Inputs!$B$43&gt;0),((Skills!G7*((R1878-1)*IF(Skills!H7&gt;0,Skills!I7/Skills!H7,1)+IF(Skills!H7&gt;0,MIN(Skills!I7,MAX(0,MAX(0,Inputs!$B$43-B1910)-((R1878-1)*IF(Inputs!$B$38="pvp",15,MAX(0.1,Skills!D7-IF(Skills!E7=TRUE,Inputs!$B$32,0))))))/Skills!H7,1)))/Inputs!$B$43),G1878*Q1878))*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Hunt"),CHOOSE(ArtifactsInput!$N$35+1,15,18,21,24,27,30)*(1-EXP(-(0.2*B1905)*5)),0)+IF(AND(ArtifactsInput!$M$22,Inputs!$B$4&lt;&gt;"Chapter Hunt"),CHOOSE(ArtifactsInput!$N$22+1,10,12,14,16,18,20)*((0*(((0.15*B1905*5))^0/1)+1*(((0.15*B1905*5))^1/1)+2*(((0.15*B1905*5))^2/2)+3*(((0.15*B1905*5))^3/6)+4*(((0.15*B1905*5))^4/24)+5*(((0.15*B1905*5))^5/120))/((((0.15*B1905*5))^0/1)+(((0.15*B1905*5))^1/1)+(((0.15*B1905*5))^2/2)+(((0.15*B1905*5))^3/6)+(((0.15*B1905*5))^4/24)+(((0.15*B1905*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1878*(1-MIN(100,(Inputs!$B$9+((C1890=TRUE)*(F1890-Calc!F19))+B1903+(ArtifactsInput!$M$24-ArtifactsInput!$M$24)*CHOOSE(ArtifactsInput!$N$24+1,10,12,14,16,18,20)+(IF(AND(ArtifactsInput!$M$42,((Inputs!$B$9+((C1890=TRUE)*(F1890-Calc!F19))+B1903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1878*(MIN(100,(Inputs!$B$9+((C1890=TRUE)*(F1890-Calc!F19))+B1903+(ArtifactsInput!$M$24-ArtifactsInput!$M$24)*CHOOSE(ArtifactsInput!$N$24+1,10,12,14,16,18,20)+(IF(AND(ArtifactsInput!$M$42,((Inputs!$B$9+((C1890=TRUE)*(F1890-Calc!F19))+B1903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1878*(1-MIN(100,(Inputs!$B$9+((C1890=TRUE)*(F1890-Calc!F19))+B1903+(ArtifactsInput!$M$24-ArtifactsInput!$M$24)*CHOOSE(ArtifactsInput!$N$24+1,10,12,14,16,18,20)+(IF(AND(ArtifactsInput!$M$42,((Inputs!$B$9+((C1890=TRUE)*(F1890-Calc!F19))+B1903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1878*(MIN(100,(Inputs!$B$9+((C1890=TRUE)*(F1890-Calc!F19))+B1903+(ArtifactsInput!$M$24-ArtifactsInput!$M$24)*CHOOSE(ArtifactsInput!$N$24+1,10,12,14,16,18,20)+(IF(AND(ArtifactsInput!$M$42,((Inputs!$B$9+((C1890=TRUE)*(F1890-Calc!F19))+B1903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878">
        <f>IF(C1878,(H1878*N1878*IF(AND(Inputs!$B$38&lt;&gt;"pvp",Inputs!$B$43&gt;0),((Skills!G7*((R1878-1)*IF(Skills!H7&gt;0,Skills!I7/Skills!H7,1)+IF(Skills!H7&gt;0,MIN(Skills!I7,MAX(0,MAX(0,Inputs!$B$43-B1910)-((R1878-1)*IF(Inputs!$B$38="pvp",15,MAX(0.1,Skills!D7-IF(Skills!E7=TRUE,Inputs!$B$32,0))))))/Skills!H7,1)))/Inputs!$B$43),G1878*Q1878))*IF(Inputs!$B$38="pvp",1,(1+(Inputs!$B$21+Skills!Q7+(IF(ArtifactsInput!$M$33,CHOOSE(ArtifactsInput!$N$33+1,30,36,42,48,54,60),0))+(IF(AND(ArtifactsInput!$M$35,Inputs!$B$4&lt;&gt;"Chapter Hunt"),CHOOSE(ArtifactsInput!$N$35+1,15,18,21,24,27,30)*(1-EXP(-(0.2*B1905)*5)),0)+IF(AND(ArtifactsInput!$M$22,Inputs!$B$4&lt;&gt;"Chapter Hunt"),CHOOSE(ArtifactsInput!$N$22+1,10,12,14,16,18,20)*((0*(((0.15*B1905*5))^0/1)+1*(((0.15*B1905*5))^1/1)+2*(((0.15*B1905*5))^2/2)+3*(((0.15*B1905*5))^3/6)+4*(((0.15*B1905*5))^4/24)+5*(((0.15*B1905*5))^5/120))/((((0.15*B1905*5))^0/1)+(((0.15*B1905*5))^1/1)+(((0.15*B1905*5))^2/2)+(((0.15*B1905*5))^3/6)+(((0.15*B1905*5))^4/24)+(((0.15*B1905*5))^5/120))),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879">
      <c r="A1879">
        <f>Skills!A8</f>
        <v/>
      </c>
      <c r="B1879">
        <f>Skills!B8</f>
        <v/>
      </c>
      <c r="C1879">
        <f>Inputs!$B$3&gt;=100</f>
        <v/>
      </c>
      <c r="D1879">
        <f>IF(Skills!C8=1,60+Inputs!$B$25+Inputs!$B$29,IF(Skills!C8=2,90+Inputs!$B$26+Inputs!$B$29,IF(Skills!C8=3,120+Inputs!$B$27+Inputs!$B$29,MAX(0,(Inputs!$B$3-100)*3)+Inputs!$B$28+Inputs!$B$29)))</f>
        <v/>
      </c>
      <c r="E1879">
        <f>INDEX(FactorTable!$B$2:$Y$301, MATCH(ROUND(MIN(300,MAX(1,D1879)),0), FactorTable!$A$2:$A$301,0), Skills!M8+1)</f>
        <v/>
      </c>
      <c r="F1879">
        <f>IF(Skills!N8=TRUE,(Skills!L8/10)*(E1879/1000),Skills!L8/10)+Skills!O8</f>
        <v/>
      </c>
      <c r="G1879" t="inlineStr"/>
      <c r="H1879" t="inlineStr"/>
      <c r="I1879" t="inlineStr">
        <is>
          <t>1</t>
        </is>
      </c>
      <c r="J1879" t="inlineStr"/>
      <c r="K1879" t="inlineStr"/>
      <c r="L1879" t="inlineStr"/>
      <c r="M1879" t="inlineStr"/>
      <c r="N1879" t="inlineStr"/>
      <c r="O1879" t="inlineStr"/>
      <c r="P1879" t="inlineStr"/>
      <c r="Q1879" t="inlineStr"/>
      <c r="R1879" t="inlineStr"/>
      <c r="S1879" t="inlineStr"/>
      <c r="T1879" t="inlineStr"/>
      <c r="V1879" t="inlineStr"/>
    </row>
    <row r="1880">
      <c r="A1880">
        <f>Skills!A9</f>
        <v/>
      </c>
      <c r="B1880">
        <f>Skills!B9</f>
        <v/>
      </c>
      <c r="C1880">
        <f>Inputs!$B$3&gt;=103</f>
        <v/>
      </c>
      <c r="D1880">
        <f>IF(Skills!C9=1,60+Inputs!$B$25+Inputs!$B$29,IF(Skills!C9=2,90+Inputs!$B$26+Inputs!$B$29,IF(Skills!C9=3,120+Inputs!$B$27+Inputs!$B$29,MAX(0,(Inputs!$B$3-100)*3)+Inputs!$B$28+Inputs!$B$29)))</f>
        <v/>
      </c>
      <c r="E1880">
        <f>INDEX(FactorTable!$B$2:$Y$301, MATCH(ROUND(MIN(300,MAX(1,D1880)),0), FactorTable!$A$2:$A$301,0), Skills!M9+1)</f>
        <v/>
      </c>
      <c r="F1880">
        <f>IF(Skills!N9=TRUE,(Skills!L9/10)*(E1880/1000),Skills!L9/10)+Skills!O9</f>
        <v/>
      </c>
      <c r="G1880">
        <f>Skills!G9*IF(Skills!H9&gt;0,Skills!I9/Skills!H9,1)</f>
        <v/>
      </c>
      <c r="H1880">
        <f>1-(1-Skills!J9/100)^Skills!K9</f>
        <v/>
      </c>
      <c r="I1880" t="inlineStr">
        <is>
          <t>1</t>
        </is>
      </c>
      <c r="J1880">
        <f>((Inputs!$B$6*(1+Inputs!$B$7/100))+(((Inputs!$B$12*(1+Inputs!$B$13/100))-(Inputs!$B$12*(1+Inputs!$B$13/100)))+0.25*(Inputs!$B$14-Inputs!$B$14))*(1+Inputs!$B$7/100))*(F1880/100)</f>
        <v/>
      </c>
      <c r="K1880">
        <f>J1880*(1+((Inputs!$B$12*(1+Inputs!$B$13/100))*0.01+Inputs!$B$14*0.0025)/100)*(1+Inputs!$B$15/100)*(1+Inputs!$B$16/100)*(5000/(6000+Inputs!$B$42*(1-(100*(1-(1-(Inputs!$B$19+0)/100)*(1-CHOOSE(ArtifactsInput!$N$40+1,5,6,7,8,9,10)/100)^(ArtifactsInput!$M$40-ArtifactsInput!$M$40)))/100)))*(1+(Inputs!$B$24+((C1895=TRUE)*(F1895-Calc!F24))+((C1896=TRUE)*(F1896-Calc!F25))+B1909)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EMPOWERED_PIERCING_ARROW",Inputs!$B$17+((C1893=TRUE)*(F1893-Calc!F22))+(((IF(AND(ArtifactsInput!$M$42,((Inputs!$B$9+((C1890=TRUE)*(F1890-Calc!F19))+B1903+(ArtifactsInput!$M$24-ArtifactsInput!$M$24)*CHOOSE(ArtifactsInput!$N$24+1,10,12,14,16,18,20)+IF(ArtifactsInput!$M$10,CHOOSE(ArtifactsInput!$N$10+1,15,18,21,24,27,30)*(IF(Inputs!$B$38="pvp",MIN(15,15)/15,IF(AND(Inputs!$B$38&lt;&gt;"pvp",Inputs!$B$43&gt;0),MIN(15,Inputs!$B$43)/(Inputs!$B$43),0))),0)))&gt;=100),MIN(100,((Inputs!$B$9+((C1890=TRUE)*(F1890-Calc!F19))+B1903+(ArtifactsInput!$M$24-ArtifactsInput!$M$24)*CHOOSE(ArtifactsInput!$N$24+1,10,12,14,16,18,20)+IF(ArtifactsInput!$M$10,CHOOSE(ArtifactsInput!$N$10+1,15,18,21,24,27,30)*(IF(Inputs!$B$38="pvp",MIN(15,15)/15,IF(AND(Inputs!$B$38&lt;&gt;"pvp",Inputs!$B$43&gt;0),MIN(15,Inputs!$B$43)/(Inputs!$B$43),0))),0)))-100),0))*CHOOSE(ArtifactsInput!$N$42+1,0.6,0.72,0.84,0.96,1.08,1.2))),Inputs!$B$18+((C1898=TRUE)*(F1898-Calc!F27))+(IF(AND(ArtifactsInput!$M$42,((Inputs!$B$9+((C1890=TRUE)*(F1890-Calc!F19))+B1903+(ArtifactsInput!$M$24-ArtifactsInput!$M$24)*CHOOSE(ArtifactsInput!$N$24+1,10,12,14,16,18,20)+IF(ArtifactsInput!$M$10,CHOOSE(ArtifactsInput!$N$10+1,15,18,21,24,27,30)*(IF(Inputs!$B$38="pvp",MIN(15,15)/15,IF(AND(Inputs!$B$38&lt;&gt;"pvp",Inputs!$B$43&gt;0),MIN(15,Inputs!$B$43)/(Inputs!$B$43),0))),0)))&gt;=100),CHOOSE(ArtifactsInput!$N$42+1,40,48,56,64,72,80),0))))/100)*((1+(((C1884=TRUE)*F1884)+((C1885=TRUE)*IF(Inputs!$B$38="pvp",F1885,(1-Summary!$B$11)*(F1885)+Summary!$B$11*(0)))+((C1886=TRUE)*F1886*IF(AND(Inputs!$B$38&lt;&gt;"pvp",Inputs!$B$43&gt;0),(((R1886-1)*(Skills!T15*(1+Inputs!$B$34/100))+MIN((Skills!T15*(1+Inputs!$B$34/100)),MAX(0,Inputs!$B$43-((R1886-1)*Skills!D15))))/Inputs!$B$43),IF(Inputs!$B$38="pvp",MIN((Skills!T15*(1+Inputs!$B$34/100)),15)/15,(Skills!T15*(1+Inputs!$B$34/100))/Skills!D15)))+((C1883=TRUE)*F1883)+((C1900=TRUE)*(F1900-Calc!F29))+(IF(IF(ArtifactsInput!$M$21,FALSE,TRUE),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1880)</f>
        <v/>
      </c>
      <c r="L1880">
        <f>K1880*(MIN(Inputs!$B$22+((C1894=TRUE)*(F1894-Calc!F23)),(Inputs!$B$23+((C1899=TRUE)*(F1899-Calc!F28))+(IF(ArtifactsInput!$M$15,CHOOSE(ArtifactsInput!$N$15+1,25,30,35,40,45,50)/100*(Inputs!$B$11-Inputs!$B$11),0))))/100+(Inputs!$B$23+((C1899=TRUE)*(F1899-Calc!F28))+(IF(ArtifactsInput!$M$15,CHOOSE(ArtifactsInput!$N$15+1,25,30,35,40,45,50)/100*(Inputs!$B$11-Inputs!$B$11),0)))/100)/2</f>
        <v/>
      </c>
      <c r="M1880">
        <f>L1880*(1+(Inputs!$B$10+0+B1908+(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880">
        <f>L1880*(1-MIN((Inputs!$B$9+((C1890=TRUE)*(F1890-Calc!F19))+B1903+(ArtifactsInput!$M$24-ArtifactsInput!$M$24)*CHOOSE(ArtifactsInput!$N$24+1,10,12,14,16,18,20)+(IF(AND(ArtifactsInput!$M$42,((Inputs!$B$9+((C1890=TRUE)*(F1890-Calc!F19))+B1903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1880*(MIN((Inputs!$B$9+((C1890=TRUE)*(F1890-Calc!F19))+B1903+(ArtifactsInput!$M$24-ArtifactsInput!$M$24)*CHOOSE(ArtifactsInput!$N$24+1,10,12,14,16,18,20)+(IF(AND(ArtifactsInput!$M$42,((Inputs!$B$9+((C1890=TRUE)*(F1890-Calc!F19))+B1903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880">
        <f>(1-Summary!$B$11)*T1880+Summary!$B$11*V1880</f>
        <v/>
      </c>
      <c r="P1880">
        <f>IF(B1913=0,0,O1880/B1913)</f>
        <v/>
      </c>
      <c r="Q1880">
        <f>IFERROR(1/IF(Inputs!$B$38="pvp",15,MAX(0.1,Skills!D9-IF(Skills!E9=TRUE,Inputs!$B$32,0))),0)</f>
        <v/>
      </c>
      <c r="R1880">
        <f>IF(AND(Inputs!$B$38&lt;&gt;"pvp",Inputs!$B$43&gt;0),IF(MAX(0,Inputs!$B$43-B1910)&lt;=0,0,(INT(MAX(0,Inputs!$B$43-B1910)/IF(Inputs!$B$38="pvp",15,MAX(0.1,Skills!D9-IF(Skills!E9=TRUE,Inputs!$B$32,0))))+1)),0)</f>
        <v/>
      </c>
      <c r="S1880">
        <f>IFERROR((H1880*N1880*IF(AND(Inputs!$B$38&lt;&gt;"pvp",Inputs!$B$43&gt;0),((Skills!G9*((R1880-1)*IF(Skills!H9&gt;0,Skills!I9/Skills!H9,1)+IF(Skills!H9&gt;0,MIN(Skills!I9,MAX(0,MAX(0,Inputs!$B$43-B1910)-((R1880-1)*IF(Inputs!$B$38="pvp",15,MAX(0.1,Skills!D9-IF(Skills!E9=TRUE,Inputs!$B$32,0))))))/Skills!H9,1)))/Inputs!$B$43),G1880*Q1880))/N1880*IF(Inputs!$B$38="pvp",1,(1-Summary!$B$11)*1+Summary!$B$11*(MIN(Skills!R9,Inputs!$B$37))),0)</f>
        <v/>
      </c>
      <c r="T1880">
        <f>IF(C1880,(H1880*N1880*IF(AND(Inputs!$B$38&lt;&gt;"pvp",Inputs!$B$43&gt;0),((Skills!G9*((R1880-1)*IF(Skills!H9&gt;0,Skills!I9/Skills!H9,1)+IF(Skills!H9&gt;0,MIN(Skills!I9,MAX(0,MAX(0,Inputs!$B$43-B1910)-((R1880-1)*IF(Inputs!$B$38="pvp",15,MAX(0.1,Skills!D9-IF(Skills!E9=TRUE,Inputs!$B$32,0))))))/Skills!H9,1)))/Inputs!$B$43),G1880*Q1880))*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Hunt"),CHOOSE(ArtifactsInput!$N$35+1,15,18,21,24,27,30)*(1-EXP(-(0.2*B1905)*5)),0)+IF(AND(ArtifactsInput!$M$22,Inputs!$B$4&lt;&gt;"Chapter Hunt"),CHOOSE(ArtifactsInput!$N$22+1,10,12,14,16,18,20)*((0*(((0.15*B1905*5))^0/1)+1*(((0.15*B1905*5))^1/1)+2*(((0.15*B1905*5))^2/2)+3*(((0.15*B1905*5))^3/6)+4*(((0.15*B1905*5))^4/24)+5*(((0.15*B1905*5))^5/120))/((((0.15*B1905*5))^0/1)+(((0.15*B1905*5))^1/1)+(((0.15*B1905*5))^2/2)+(((0.15*B1905*5))^3/6)+(((0.15*B1905*5))^4/24)+(((0.15*B1905*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1880*(1-MIN(100,(Inputs!$B$9+((C1890=TRUE)*(F1890-Calc!F19))+B1903+(ArtifactsInput!$M$24-ArtifactsInput!$M$24)*CHOOSE(ArtifactsInput!$N$24+1,10,12,14,16,18,20)+(IF(AND(ArtifactsInput!$M$42,((Inputs!$B$9+((C1890=TRUE)*(F1890-Calc!F19))+B1903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1880*(MIN(100,(Inputs!$B$9+((C1890=TRUE)*(F1890-Calc!F19))+B1903+(ArtifactsInput!$M$24-ArtifactsInput!$M$24)*CHOOSE(ArtifactsInput!$N$24+1,10,12,14,16,18,20)+(IF(AND(ArtifactsInput!$M$42,((Inputs!$B$9+((C1890=TRUE)*(F1890-Calc!F19))+B1903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1880*(1-MIN(100,(Inputs!$B$9+((C1890=TRUE)*(F1890-Calc!F19))+B1903+(ArtifactsInput!$M$24-ArtifactsInput!$M$24)*CHOOSE(ArtifactsInput!$N$24+1,10,12,14,16,18,20)+(IF(AND(ArtifactsInput!$M$42,((Inputs!$B$9+((C1890=TRUE)*(F1890-Calc!F19))+B1903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1880*(MIN(100,(Inputs!$B$9+((C1890=TRUE)*(F1890-Calc!F19))+B1903+(ArtifactsInput!$M$24-ArtifactsInput!$M$24)*CHOOSE(ArtifactsInput!$N$24+1,10,12,14,16,18,20)+(IF(AND(ArtifactsInput!$M$42,((Inputs!$B$9+((C1890=TRUE)*(F1890-Calc!F19))+B1903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880">
        <f>IF(C1880,(H1880*N1880*IF(AND(Inputs!$B$38&lt;&gt;"pvp",Inputs!$B$43&gt;0),((Skills!G9*((R1880-1)*IF(Skills!H9&gt;0,Skills!I9/Skills!H9,1)+IF(Skills!H9&gt;0,MIN(Skills!I9,MAX(0,MAX(0,Inputs!$B$43-B1910)-((R1880-1)*IF(Inputs!$B$38="pvp",15,MAX(0.1,Skills!D9-IF(Skills!E9=TRUE,Inputs!$B$32,0))))))/Skills!H9,1)))/Inputs!$B$43),G1880*Q1880))*IF(Inputs!$B$38="pvp",1,(1+(Inputs!$B$21+Skills!Q9+(IF(ArtifactsInput!$M$33,CHOOSE(ArtifactsInput!$N$33+1,30,36,42,48,54,60),0))+(IF(AND(ArtifactsInput!$M$35,Inputs!$B$4&lt;&gt;"Chapter Hunt"),CHOOSE(ArtifactsInput!$N$35+1,15,18,21,24,27,30)*(1-EXP(-(0.2*B1905)*5)),0)+IF(AND(ArtifactsInput!$M$22,Inputs!$B$4&lt;&gt;"Chapter Hunt"),CHOOSE(ArtifactsInput!$N$22+1,10,12,14,16,18,20)*((0*(((0.15*B1905*5))^0/1)+1*(((0.15*B1905*5))^1/1)+2*(((0.15*B1905*5))^2/2)+3*(((0.15*B1905*5))^3/6)+4*(((0.15*B1905*5))^4/24)+5*(((0.15*B1905*5))^5/120))/((((0.15*B1905*5))^0/1)+(((0.15*B1905*5))^1/1)+(((0.15*B1905*5))^2/2)+(((0.15*B1905*5))^3/6)+(((0.15*B1905*5))^4/24)+(((0.15*B1905*5))^5/120)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881">
      <c r="A1881">
        <f>Skills!A10</f>
        <v/>
      </c>
      <c r="B1881">
        <f>Skills!B10</f>
        <v/>
      </c>
      <c r="C1881">
        <f>Inputs!$B$3&gt;=107</f>
        <v/>
      </c>
      <c r="D1881">
        <f>IF(Skills!C10=1,60+Inputs!$B$25+Inputs!$B$29,IF(Skills!C10=2,90+Inputs!$B$26+Inputs!$B$29,IF(Skills!C10=3,120+Inputs!$B$27+Inputs!$B$29,MAX(0,(Inputs!$B$3-100)*3)+Inputs!$B$28+Inputs!$B$29)))</f>
        <v/>
      </c>
      <c r="E1881">
        <f>INDEX(FactorTable!$B$2:$Y$301, MATCH(ROUND(MIN(300,MAX(1,D1881)),0), FactorTable!$A$2:$A$301,0), Skills!M10+1)</f>
        <v/>
      </c>
      <c r="F1881">
        <f>IF(Skills!N10=TRUE,(Skills!L10/10)*(E1881/1000),Skills!L10/10)+Skills!O10</f>
        <v/>
      </c>
      <c r="G1881">
        <f>Skills!G10*IF(Skills!H10&gt;0,Skills!I10/Skills!H10,1)</f>
        <v/>
      </c>
      <c r="H1881">
        <f>1-(1-Skills!J10/100)^Skills!K10</f>
        <v/>
      </c>
      <c r="I1881" t="inlineStr">
        <is>
          <t>1</t>
        </is>
      </c>
      <c r="J1881">
        <f>((Inputs!$B$6*(1+Inputs!$B$7/100))+(((Inputs!$B$12*(1+Inputs!$B$13/100))-(Inputs!$B$12*(1+Inputs!$B$13/100)))+0.25*(Inputs!$B$14-Inputs!$B$14))*(1+Inputs!$B$7/100))*(F1881/100)</f>
        <v/>
      </c>
      <c r="K1881">
        <f>J1881*(1+((Inputs!$B$12*(1+Inputs!$B$13/100))*0.01+Inputs!$B$14*0.0025)/100)*(1+Inputs!$B$15/100)*(1+Inputs!$B$16/100)*(5000/(6000+Inputs!$B$42*(1-(100*(1-(1-(Inputs!$B$19+0)/100)*(1-CHOOSE(ArtifactsInput!$N$40+1,5,6,7,8,9,10)/100)^(ArtifactsInput!$M$40-ArtifactsInput!$M$40)))/100)))*(1+(Inputs!$B$24+((C1895=TRUE)*(F1895-Calc!F24))+((C1896=TRUE)*(F1896-Calc!F25))+B1909)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EMPOWERED_PIERCING_ARROW",Inputs!$B$17+((C1893=TRUE)*(F1893-Calc!F22))+(((IF(AND(ArtifactsInput!$M$42,((Inputs!$B$9+((C1890=TRUE)*(F1890-Calc!F19))+B1903+(ArtifactsInput!$M$24-ArtifactsInput!$M$24)*CHOOSE(ArtifactsInput!$N$24+1,10,12,14,16,18,20)+IF(ArtifactsInput!$M$10,CHOOSE(ArtifactsInput!$N$10+1,15,18,21,24,27,30)*(IF(Inputs!$B$38="pvp",MIN(15,15)/15,IF(AND(Inputs!$B$38&lt;&gt;"pvp",Inputs!$B$43&gt;0),MIN(15,Inputs!$B$43)/(Inputs!$B$43),0))),0)))&gt;=100),MIN(100,((Inputs!$B$9+((C1890=TRUE)*(F1890-Calc!F19))+B1903+(ArtifactsInput!$M$24-ArtifactsInput!$M$24)*CHOOSE(ArtifactsInput!$N$24+1,10,12,14,16,18,20)+IF(ArtifactsInput!$M$10,CHOOSE(ArtifactsInput!$N$10+1,15,18,21,24,27,30)*(IF(Inputs!$B$38="pvp",MIN(15,15)/15,IF(AND(Inputs!$B$38&lt;&gt;"pvp",Inputs!$B$43&gt;0),MIN(15,Inputs!$B$43)/(Inputs!$B$43),0))),0)))-100),0))*CHOOSE(ArtifactsInput!$N$42+1,0.6,0.72,0.84,0.96,1.08,1.2))),Inputs!$B$18+((C1898=TRUE)*(F1898-Calc!F27))+(IF(AND(ArtifactsInput!$M$42,((Inputs!$B$9+((C1890=TRUE)*(F1890-Calc!F19))+B1903+(ArtifactsInput!$M$24-ArtifactsInput!$M$24)*CHOOSE(ArtifactsInput!$N$24+1,10,12,14,16,18,20)+IF(ArtifactsInput!$M$10,CHOOSE(ArtifactsInput!$N$10+1,15,18,21,24,27,30)*(IF(Inputs!$B$38="pvp",MIN(15,15)/15,IF(AND(Inputs!$B$38&lt;&gt;"pvp",Inputs!$B$43&gt;0),MIN(15,Inputs!$B$43)/(Inputs!$B$43),0))),0)))&gt;=100),CHOOSE(ArtifactsInput!$N$42+1,40,48,56,64,72,80),0))))/100)*((1+(((C1884=TRUE)*F1884)+((C1885=TRUE)*IF(Inputs!$B$38="pvp",F1885,(1-Summary!$B$11)*(F1885)+Summary!$B$11*(0)))+((C1886=TRUE)*F1886*IF(AND(Inputs!$B$38&lt;&gt;"pvp",Inputs!$B$43&gt;0),(((R1886-1)*(Skills!T15*(1+Inputs!$B$34/100))+MIN((Skills!T15*(1+Inputs!$B$34/100)),MAX(0,Inputs!$B$43-((R1886-1)*Skills!D15))))/Inputs!$B$43),IF(Inputs!$B$38="pvp",MIN((Skills!T15*(1+Inputs!$B$34/100)),15)/15,(Skills!T15*(1+Inputs!$B$34/100))/Skills!D15)))+((C1883=TRUE)*F1883)+((C1900=TRUE)*(F1900-Calc!F29))+(IF(IF(ArtifactsInput!$M$21,FALSE,TRUE),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1881)</f>
        <v/>
      </c>
      <c r="L1881">
        <f>K1881*(MIN(Inputs!$B$22+((C1894=TRUE)*(F1894-Calc!F23)),(Inputs!$B$23+((C1899=TRUE)*(F1899-Calc!F28))+(IF(ArtifactsInput!$M$15,CHOOSE(ArtifactsInput!$N$15+1,25,30,35,40,45,50)/100*(Inputs!$B$11-Inputs!$B$11),0))))/100+(Inputs!$B$23+((C1899=TRUE)*(F1899-Calc!F28))+(IF(ArtifactsInput!$M$15,CHOOSE(ArtifactsInput!$N$15+1,25,30,35,40,45,50)/100*(Inputs!$B$11-Inputs!$B$11),0)))/100)/2</f>
        <v/>
      </c>
      <c r="M1881">
        <f>L1881*(1+(Inputs!$B$10+0+B1908+(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881">
        <f>L1881*(1-MIN((Inputs!$B$9+((C1890=TRUE)*(F1890-Calc!F19))+B1903+(ArtifactsInput!$M$24-ArtifactsInput!$M$24)*CHOOSE(ArtifactsInput!$N$24+1,10,12,14,16,18,20)+(IF(AND(ArtifactsInput!$M$42,((Inputs!$B$9+((C1890=TRUE)*(F1890-Calc!F19))+B1903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1881*(MIN((Inputs!$B$9+((C1890=TRUE)*(F1890-Calc!F19))+B1903+(ArtifactsInput!$M$24-ArtifactsInput!$M$24)*CHOOSE(ArtifactsInput!$N$24+1,10,12,14,16,18,20)+(IF(AND(ArtifactsInput!$M$42,((Inputs!$B$9+((C1890=TRUE)*(F1890-Calc!F19))+B1903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881">
        <f>(1-Summary!$B$11)*T1881+Summary!$B$11*V1881</f>
        <v/>
      </c>
      <c r="P1881">
        <f>IF(B1913=0,0,O1881/B1913)</f>
        <v/>
      </c>
      <c r="Q1881" t="n">
        <v>0</v>
      </c>
      <c r="R1881" t="n">
        <v>0</v>
      </c>
      <c r="S1881" t="n">
        <v>0</v>
      </c>
      <c r="T1881">
        <f>IF(C1881,(0.15*SUMPRODUCT((Skills!U2:U29=TRUE)*(C1873:C1900=TRUE)*S1873:S1900)*Skills!G10*N1881)*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Hunt"),CHOOSE(ArtifactsInput!$N$35+1,15,18,21,24,27,30)*(1-EXP(-(0.2*B1905)*5)),0)+IF(AND(ArtifactsInput!$M$22,Inputs!$B$4&lt;&gt;"Chapter Hunt"),CHOOSE(ArtifactsInput!$N$22+1,10,12,14,16,18,20)*((0*(((0.15*B1905*5))^0/1)+1*(((0.15*B1905*5))^1/1)+2*(((0.15*B1905*5))^2/2)+3*(((0.15*B1905*5))^3/6)+4*(((0.15*B1905*5))^4/24)+5*(((0.15*B1905*5))^5/120))/((((0.15*B1905*5))^0/1)+(((0.15*B1905*5))^1/1)+(((0.15*B1905*5))^2/2)+(((0.15*B1905*5))^3/6)+(((0.15*B1905*5))^4/24)+(((0.15*B1905*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1881*(1-MIN(100,(Inputs!$B$9+((C1890=TRUE)*(F1890-Calc!F19))+B1903+(ArtifactsInput!$M$24-ArtifactsInput!$M$24)*CHOOSE(ArtifactsInput!$N$24+1,10,12,14,16,18,20)+(IF(AND(ArtifactsInput!$M$42,((Inputs!$B$9+((C1890=TRUE)*(F1890-Calc!F19))+B1903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1881*(MIN(100,(Inputs!$B$9+((C1890=TRUE)*(F1890-Calc!F19))+B1903+(ArtifactsInput!$M$24-ArtifactsInput!$M$24)*CHOOSE(ArtifactsInput!$N$24+1,10,12,14,16,18,20)+(IF(AND(ArtifactsInput!$M$42,((Inputs!$B$9+((C1890=TRUE)*(F1890-Calc!F19))+B1903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1881*(1-MIN(100,(Inputs!$B$9+((C1890=TRUE)*(F1890-Calc!F19))+B1903+(ArtifactsInput!$M$24-ArtifactsInput!$M$24)*CHOOSE(ArtifactsInput!$N$24+1,10,12,14,16,18,20)+(IF(AND(ArtifactsInput!$M$42,((Inputs!$B$9+((C1890=TRUE)*(F1890-Calc!F19))+B1903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1881*(MIN(100,(Inputs!$B$9+((C1890=TRUE)*(F1890-Calc!F19))+B1903+(ArtifactsInput!$M$24-ArtifactsInput!$M$24)*CHOOSE(ArtifactsInput!$N$24+1,10,12,14,16,18,20)+(IF(AND(ArtifactsInput!$M$42,((Inputs!$B$9+((C1890=TRUE)*(F1890-Calc!F19))+B1903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881">
        <f>IF(C1881,(0.15*SUMPRODUCT((Skills!U2:U29=TRUE)*(C1873:C1900=TRUE)*S1873:S1900)*Skills!G10*N1881)*IF(Inputs!$B$38="pvp",1,(1+(Inputs!$B$21+Skills!Q10+(IF(ArtifactsInput!$M$33,CHOOSE(ArtifactsInput!$N$33+1,30,36,42,48,54,60),0))+(IF(AND(ArtifactsInput!$M$35,Inputs!$B$4&lt;&gt;"Chapter Hunt"),CHOOSE(ArtifactsInput!$N$35+1,15,18,21,24,27,30)*(1-EXP(-(0.2*B1905)*5)),0)+IF(AND(ArtifactsInput!$M$22,Inputs!$B$4&lt;&gt;"Chapter Hunt"),CHOOSE(ArtifactsInput!$N$22+1,10,12,14,16,18,20)*((0*(((0.15*B1905*5))^0/1)+1*(((0.15*B1905*5))^1/1)+2*(((0.15*B1905*5))^2/2)+3*(((0.15*B1905*5))^3/6)+4*(((0.15*B1905*5))^4/24)+5*(((0.15*B1905*5))^5/120))/((((0.15*B1905*5))^0/1)+(((0.15*B1905*5))^1/1)+(((0.15*B1905*5))^2/2)+(((0.15*B1905*5))^3/6)+(((0.15*B1905*5))^4/24)+(((0.15*B1905*5))^5/120)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882">
      <c r="A1882">
        <f>Skills!A11</f>
        <v/>
      </c>
      <c r="B1882">
        <f>Skills!B11</f>
        <v/>
      </c>
      <c r="C1882">
        <f>Inputs!$B$3&gt;=110</f>
        <v/>
      </c>
      <c r="D1882">
        <f>IF(Skills!C11=1,60+Inputs!$B$25+Inputs!$B$29,IF(Skills!C11=2,90+Inputs!$B$26+Inputs!$B$29,IF(Skills!C11=3,120+Inputs!$B$27+Inputs!$B$29,MAX(0,(Inputs!$B$3-100)*3)+Inputs!$B$28+Inputs!$B$29)))</f>
        <v/>
      </c>
      <c r="E1882">
        <f>INDEX(FactorTable!$B$2:$Y$301, MATCH(ROUND(MIN(300,MAX(1,D1882)),0), FactorTable!$A$2:$A$301,0), Skills!M11+1)</f>
        <v/>
      </c>
      <c r="F1882">
        <f>IF(Skills!N11=TRUE,(Skills!L11/10)*(E1882/1000),Skills!L11/10)+Skills!O11</f>
        <v/>
      </c>
      <c r="G1882">
        <f>Skills!G11*IF(Skills!H11&gt;0,Skills!I11/Skills!H11,1)</f>
        <v/>
      </c>
      <c r="H1882">
        <f>1-(1-Skills!J11/100)^Skills!K11</f>
        <v/>
      </c>
      <c r="I1882" t="inlineStr">
        <is>
          <t>1</t>
        </is>
      </c>
      <c r="J1882">
        <f>((Inputs!$B$6*(1+Inputs!$B$7/100))+(((Inputs!$B$12*(1+Inputs!$B$13/100))-(Inputs!$B$12*(1+Inputs!$B$13/100)))+0.25*(Inputs!$B$14-Inputs!$B$14))*(1+Inputs!$B$7/100))*(F1882/100)</f>
        <v/>
      </c>
      <c r="K1882">
        <f>J1882*(1+((Inputs!$B$12*(1+Inputs!$B$13/100))*0.01+Inputs!$B$14*0.0025)/100)*(1+Inputs!$B$15/100)*(1+Inputs!$B$16/100)*(5000/(6000+Inputs!$B$42*(1-(100*(1-(1-(Inputs!$B$19+0)/100)*(1-CHOOSE(ArtifactsInput!$N$40+1,5,6,7,8,9,10)/100)^(ArtifactsInput!$M$40-ArtifactsInput!$M$40)))/100)))*(1+(Inputs!$B$24+((C1895=TRUE)*(F1895-Calc!F24))+((C1896=TRUE)*(F1896-Calc!F25))+B1909)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11="EMPOWERED_PIERCING_ARROW",Inputs!$B$17+((C1893=TRUE)*(F1893-Calc!F22))+(((IF(AND(ArtifactsInput!$M$42,((Inputs!$B$9+((C1890=TRUE)*(F1890-Calc!F19))+B1903+(ArtifactsInput!$M$24-ArtifactsInput!$M$24)*CHOOSE(ArtifactsInput!$N$24+1,10,12,14,16,18,20)+IF(ArtifactsInput!$M$10,CHOOSE(ArtifactsInput!$N$10+1,15,18,21,24,27,30)*(IF(Inputs!$B$38="pvp",MIN(15,15)/15,IF(AND(Inputs!$B$38&lt;&gt;"pvp",Inputs!$B$43&gt;0),MIN(15,Inputs!$B$43)/(Inputs!$B$43),0))),0)))&gt;=100),MIN(100,((Inputs!$B$9+((C1890=TRUE)*(F1890-Calc!F19))+B1903+(ArtifactsInput!$M$24-ArtifactsInput!$M$24)*CHOOSE(ArtifactsInput!$N$24+1,10,12,14,16,18,20)+IF(ArtifactsInput!$M$10,CHOOSE(ArtifactsInput!$N$10+1,15,18,21,24,27,30)*(IF(Inputs!$B$38="pvp",MIN(15,15)/15,IF(AND(Inputs!$B$38&lt;&gt;"pvp",Inputs!$B$43&gt;0),MIN(15,Inputs!$B$43)/(Inputs!$B$43),0))),0)))-100),0))*CHOOSE(ArtifactsInput!$N$42+1,0.6,0.72,0.84,0.96,1.08,1.2))),Inputs!$B$18+((C1898=TRUE)*(F1898-Calc!F27))+(IF(AND(ArtifactsInput!$M$42,((Inputs!$B$9+((C1890=TRUE)*(F1890-Calc!F19))+B1903+(ArtifactsInput!$M$24-ArtifactsInput!$M$24)*CHOOSE(ArtifactsInput!$N$24+1,10,12,14,16,18,20)+IF(ArtifactsInput!$M$10,CHOOSE(ArtifactsInput!$N$10+1,15,18,21,24,27,30)*(IF(Inputs!$B$38="pvp",MIN(15,15)/15,IF(AND(Inputs!$B$38&lt;&gt;"pvp",Inputs!$B$43&gt;0),MIN(15,Inputs!$B$43)/(Inputs!$B$43),0))),0)))&gt;=100),CHOOSE(ArtifactsInput!$N$42+1,40,48,56,64,72,80),0))))/100)*((1+(((C1884=TRUE)*F1884)+((C1885=TRUE)*IF(Inputs!$B$38="pvp",F1885,(1-Summary!$B$11)*(F1885)+Summary!$B$11*(0)))+((C1886=TRUE)*F1886*IF(AND(Inputs!$B$38&lt;&gt;"pvp",Inputs!$B$43&gt;0),(((R1886-1)*(Skills!T15*(1+Inputs!$B$34/100))+MIN((Skills!T15*(1+Inputs!$B$34/100)),MAX(0,Inputs!$B$43-((R1886-1)*Skills!D15))))/Inputs!$B$43),IF(Inputs!$B$38="pvp",MIN((Skills!T15*(1+Inputs!$B$34/100)),15)/15,(Skills!T15*(1+Inputs!$B$34/100))/Skills!D15)))+((C1883=TRUE)*F1883)+((C1900=TRUE)*(F1900-Calc!F29))+(IF(IF(ArtifactsInput!$M$21,FALSE,TRUE),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1882)</f>
        <v/>
      </c>
      <c r="L1882">
        <f>K1882*(MIN(Inputs!$B$22+((C1894=TRUE)*(F1894-Calc!F23)),(Inputs!$B$23+((C1899=TRUE)*(F1899-Calc!F28))+(IF(ArtifactsInput!$M$15,CHOOSE(ArtifactsInput!$N$15+1,25,30,35,40,45,50)/100*(Inputs!$B$11-Inputs!$B$11),0))))/100+(Inputs!$B$23+((C1899=TRUE)*(F1899-Calc!F28))+(IF(ArtifactsInput!$M$15,CHOOSE(ArtifactsInput!$N$15+1,25,30,35,40,45,50)/100*(Inputs!$B$11-Inputs!$B$11),0)))/100)/2</f>
        <v/>
      </c>
      <c r="M1882">
        <f>L1882*(1+(Inputs!$B$10+0+B1908+(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882">
        <f>L1882*(1-MIN((Inputs!$B$9+((C1890=TRUE)*(F1890-Calc!F19))+B1903+(ArtifactsInput!$M$24-ArtifactsInput!$M$24)*CHOOSE(ArtifactsInput!$N$24+1,10,12,14,16,18,20)+(IF(AND(ArtifactsInput!$M$42,((Inputs!$B$9+((C1890=TRUE)*(F1890-Calc!F19))+B1903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1882*(MIN((Inputs!$B$9+((C1890=TRUE)*(F1890-Calc!F19))+B1903+(ArtifactsInput!$M$24-ArtifactsInput!$M$24)*CHOOSE(ArtifactsInput!$N$24+1,10,12,14,16,18,20)+(IF(AND(ArtifactsInput!$M$42,((Inputs!$B$9+((C1890=TRUE)*(F1890-Calc!F19))+B1903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882">
        <f>(1-Summary!$B$11)*T1882+Summary!$B$11*V1882</f>
        <v/>
      </c>
      <c r="P1882">
        <f>IF(B1913=0,0,O1882/B1913)</f>
        <v/>
      </c>
      <c r="Q1882">
        <f>IFERROR(1/IF(Inputs!$B$38="pvp",15,MAX(0.1,Skills!D11-IF(Skills!E11=TRUE,Inputs!$B$32,0))),0)</f>
        <v/>
      </c>
      <c r="R1882">
        <f>IF(AND(Inputs!$B$38&lt;&gt;"pvp",Inputs!$B$43&gt;0),IF(MAX(0,Inputs!$B$43-B1910)&lt;=0,0,(INT(MAX(0,Inputs!$B$43-B1910)/IF(Inputs!$B$38="pvp",15,MAX(0.1,Skills!D11-IF(Skills!E11=TRUE,Inputs!$B$32,0))))+1)),0)</f>
        <v/>
      </c>
      <c r="S1882">
        <f>IFERROR((H1882*N1882*IF(AND(Inputs!$B$38&lt;&gt;"pvp",Inputs!$B$43&gt;0),((Skills!G11*((R1882-1)*IF(Skills!H11&gt;0,Skills!I11/Skills!H11,1)+IF(Skills!H11&gt;0,MIN(Skills!I11,MAX(0,MAX(0,Inputs!$B$43-B1910)-((R1882-1)*IF(Inputs!$B$38="pvp",15,MAX(0.1,Skills!D11-IF(Skills!E11=TRUE,Inputs!$B$32,0))))))/Skills!H11,1)))/Inputs!$B$43),G1882*Q1882))/N1882*IF(Inputs!$B$38="pvp",1,(1-Summary!$B$11)*1+Summary!$B$11*(MIN(Skills!R11,Inputs!$B$37))),0)</f>
        <v/>
      </c>
      <c r="T1882">
        <f>IF(C1882,(H1882*N1882*IF(AND(Inputs!$B$38&lt;&gt;"pvp",Inputs!$B$43&gt;0),((Skills!G11*((R1882-1)*IF(Skills!H11&gt;0,Skills!I11/Skills!H11,1)+IF(Skills!H11&gt;0,MIN(Skills!I11,MAX(0,MAX(0,Inputs!$B$43-B1910)-((R1882-1)*IF(Inputs!$B$38="pvp",15,MAX(0.1,Skills!D11-IF(Skills!E11=TRUE,Inputs!$B$32,0))))))/Skills!H11,1)))/Inputs!$B$43),G1882*Q1882))*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Hunt"),CHOOSE(ArtifactsInput!$N$35+1,15,18,21,24,27,30)*(1-EXP(-(0.2*B1905)*5)),0)+IF(AND(ArtifactsInput!$M$22,Inputs!$B$4&lt;&gt;"Chapter Hunt"),CHOOSE(ArtifactsInput!$N$22+1,10,12,14,16,18,20)*((0*(((0.15*B1905*5))^0/1)+1*(((0.15*B1905*5))^1/1)+2*(((0.15*B1905*5))^2/2)+3*(((0.15*B1905*5))^3/6)+4*(((0.15*B1905*5))^4/24)+5*(((0.15*B1905*5))^5/120))/((((0.15*B1905*5))^0/1)+(((0.15*B1905*5))^1/1)+(((0.15*B1905*5))^2/2)+(((0.15*B1905*5))^3/6)+(((0.15*B1905*5))^4/24)+(((0.15*B1905*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1882*(1-MIN(100,(Inputs!$B$9+((C1890=TRUE)*(F1890-Calc!F19))+B1903+(ArtifactsInput!$M$24-ArtifactsInput!$M$24)*CHOOSE(ArtifactsInput!$N$24+1,10,12,14,16,18,20)+(IF(AND(ArtifactsInput!$M$42,((Inputs!$B$9+((C1890=TRUE)*(F1890-Calc!F19))+B1903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1882*(MIN(100,(Inputs!$B$9+((C1890=TRUE)*(F1890-Calc!F19))+B1903+(ArtifactsInput!$M$24-ArtifactsInput!$M$24)*CHOOSE(ArtifactsInput!$N$24+1,10,12,14,16,18,20)+(IF(AND(ArtifactsInput!$M$42,((Inputs!$B$9+((C1890=TRUE)*(F1890-Calc!F19))+B1903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1882*(1-MIN(100,(Inputs!$B$9+((C1890=TRUE)*(F1890-Calc!F19))+B1903+(ArtifactsInput!$M$24-ArtifactsInput!$M$24)*CHOOSE(ArtifactsInput!$N$24+1,10,12,14,16,18,20)+(IF(AND(ArtifactsInput!$M$42,((Inputs!$B$9+((C1890=TRUE)*(F1890-Calc!F19))+B1903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1882*(MIN(100,(Inputs!$B$9+((C1890=TRUE)*(F1890-Calc!F19))+B1903+(ArtifactsInput!$M$24-ArtifactsInput!$M$24)*CHOOSE(ArtifactsInput!$N$24+1,10,12,14,16,18,20)+(IF(AND(ArtifactsInput!$M$42,((Inputs!$B$9+((C1890=TRUE)*(F1890-Calc!F19))+B1903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882">
        <f>IF(C1882,(H1882*N1882*IF(AND(Inputs!$B$38&lt;&gt;"pvp",Inputs!$B$43&gt;0),((Skills!G11*((R1882-1)*IF(Skills!H11&gt;0,Skills!I11/Skills!H11,1)+IF(Skills!H11&gt;0,MIN(Skills!I11,MAX(0,MAX(0,Inputs!$B$43-B1910)-((R1882-1)*IF(Inputs!$B$38="pvp",15,MAX(0.1,Skills!D11-IF(Skills!E11=TRUE,Inputs!$B$32,0))))))/Skills!H11,1)))/Inputs!$B$43),G1882*Q1882))*IF(Inputs!$B$38="pvp",1,(1+(Inputs!$B$21+Skills!Q11+(IF(ArtifactsInput!$M$33,CHOOSE(ArtifactsInput!$N$33+1,30,36,42,48,54,60),0))+(IF(AND(ArtifactsInput!$M$35,Inputs!$B$4&lt;&gt;"Chapter Hunt"),CHOOSE(ArtifactsInput!$N$35+1,15,18,21,24,27,30)*(1-EXP(-(0.2*B1905)*5)),0)+IF(AND(ArtifactsInput!$M$22,Inputs!$B$4&lt;&gt;"Chapter Hunt"),CHOOSE(ArtifactsInput!$N$22+1,10,12,14,16,18,20)*((0*(((0.15*B1905*5))^0/1)+1*(((0.15*B1905*5))^1/1)+2*(((0.15*B1905*5))^2/2)+3*(((0.15*B1905*5))^3/6)+4*(((0.15*B1905*5))^4/24)+5*(((0.15*B1905*5))^5/120))/((((0.15*B1905*5))^0/1)+(((0.15*B1905*5))^1/1)+(((0.15*B1905*5))^2/2)+(((0.15*B1905*5))^3/6)+(((0.15*B1905*5))^4/24)+(((0.15*B1905*5))^5/120))),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883">
      <c r="A1883">
        <f>Skills!A12</f>
        <v/>
      </c>
      <c r="B1883">
        <f>Skills!B12</f>
        <v/>
      </c>
      <c r="C1883">
        <f>Inputs!$B$3&gt;=60</f>
        <v/>
      </c>
      <c r="D1883">
        <f>IF(Skills!C12=1,60+Inputs!$B$25+Inputs!$B$29,IF(Skills!C12=2,90+Inputs!$B$26+Inputs!$B$29,IF(Skills!C12=3,120+Inputs!$B$27+Inputs!$B$29,MAX(0,(Inputs!$B$3-100)*3)+Inputs!$B$28+Inputs!$B$29)))</f>
        <v/>
      </c>
      <c r="E1883">
        <f>INDEX(FactorTable!$B$2:$Y$301, MATCH(ROUND(MIN(300,MAX(1,D1883)),0), FactorTable!$A$2:$A$301,0), Skills!M12+1)</f>
        <v/>
      </c>
      <c r="F1883">
        <f>IF(Skills!N12=TRUE,(Skills!L12/10)*(E1883/1000),Skills!L12/10)+Skills!O12</f>
        <v/>
      </c>
      <c r="G1883">
        <f>Skills!G12*IF(Skills!H12&gt;0,Skills!I12/Skills!H12,1)</f>
        <v/>
      </c>
      <c r="H1883">
        <f>1-(1-Skills!J12/100)^Skills!K12</f>
        <v/>
      </c>
      <c r="I1883" t="inlineStr">
        <is>
          <t>1</t>
        </is>
      </c>
      <c r="J1883" t="inlineStr"/>
      <c r="K1883" t="inlineStr"/>
      <c r="L1883" t="inlineStr"/>
      <c r="M1883" t="inlineStr"/>
      <c r="N1883" t="inlineStr"/>
      <c r="O1883">
        <f>(1-Summary!$B$11)*T1883+Summary!$B$11*V1883</f>
        <v/>
      </c>
      <c r="P1883">
        <f>IF(B1913=0,0,O1883/B1913)</f>
        <v/>
      </c>
      <c r="Q1883" t="n">
        <v>0</v>
      </c>
      <c r="R1883" t="n">
        <v>0</v>
      </c>
      <c r="S1883" t="n">
        <v>0</v>
      </c>
      <c r="T1883" t="n">
        <v>0</v>
      </c>
      <c r="V1883" t="n">
        <v>0</v>
      </c>
    </row>
    <row r="1884">
      <c r="A1884">
        <f>Skills!A13</f>
        <v/>
      </c>
      <c r="B1884">
        <f>Skills!B13</f>
        <v/>
      </c>
      <c r="C1884">
        <f>Inputs!$B$3&gt;=74</f>
        <v/>
      </c>
      <c r="D1884">
        <f>IF(Skills!C13=1,60+Inputs!$B$25+Inputs!$B$29,IF(Skills!C13=2,90+Inputs!$B$26+Inputs!$B$29,IF(Skills!C13=3,120+Inputs!$B$27+Inputs!$B$29,MAX(0,(Inputs!$B$3-100)*3)+Inputs!$B$28+Inputs!$B$29)))</f>
        <v/>
      </c>
      <c r="E1884">
        <f>INDEX(FactorTable!$B$2:$Y$301, MATCH(ROUND(MIN(300,MAX(1,D1884)),0), FactorTable!$A$2:$A$301,0), Skills!M13+1)</f>
        <v/>
      </c>
      <c r="F1884">
        <f>IF(Skills!N13=TRUE,(Skills!L13/10)*(E1884/1000),Skills!L13/10)+Skills!O13</f>
        <v/>
      </c>
      <c r="G1884">
        <f>Skills!G13*IF(Skills!H13&gt;0,Skills!I13/Skills!H13,1)</f>
        <v/>
      </c>
      <c r="H1884">
        <f>1-(1-Skills!J13/100)^Skills!K13</f>
        <v/>
      </c>
      <c r="I1884" t="inlineStr">
        <is>
          <t>1</t>
        </is>
      </c>
      <c r="J1884" t="inlineStr"/>
      <c r="K1884" t="inlineStr"/>
      <c r="L1884" t="inlineStr"/>
      <c r="M1884" t="inlineStr"/>
      <c r="N1884" t="inlineStr"/>
      <c r="O1884">
        <f>(1-Summary!$B$11)*T1884+Summary!$B$11*V1884</f>
        <v/>
      </c>
      <c r="P1884">
        <f>IF(B1913=0,0,O1884/B1913)</f>
        <v/>
      </c>
      <c r="Q1884" t="n">
        <v>0</v>
      </c>
      <c r="R1884" t="n">
        <v>0</v>
      </c>
      <c r="S1884" t="n">
        <v>0</v>
      </c>
      <c r="T1884" t="n">
        <v>0</v>
      </c>
      <c r="V1884" t="n">
        <v>0</v>
      </c>
    </row>
    <row r="1885">
      <c r="A1885">
        <f>Skills!A14</f>
        <v/>
      </c>
      <c r="B1885">
        <f>Skills!B14</f>
        <v/>
      </c>
      <c r="C1885">
        <f>Inputs!$B$3&gt;=74</f>
        <v/>
      </c>
      <c r="D1885">
        <f>IF(Skills!C14=1,60+Inputs!$B$25+Inputs!$B$29,IF(Skills!C14=2,90+Inputs!$B$26+Inputs!$B$29,IF(Skills!C14=3,120+Inputs!$B$27+Inputs!$B$29,MAX(0,(Inputs!$B$3-100)*3)+Inputs!$B$28+Inputs!$B$29)))</f>
        <v/>
      </c>
      <c r="E1885">
        <f>INDEX(FactorTable!$B$2:$Y$301, MATCH(ROUND(MIN(300,MAX(1,D1885)),0), FactorTable!$A$2:$A$301,0), Skills!M14+1)</f>
        <v/>
      </c>
      <c r="F1885">
        <f>IF(Skills!N14=TRUE,(Skills!L14/10)*(E1885/1000),Skills!L14/10)+Skills!O14</f>
        <v/>
      </c>
      <c r="G1885">
        <f>Skills!G14*IF(Skills!H14&gt;0,Skills!I14/Skills!H14,1)</f>
        <v/>
      </c>
      <c r="H1885">
        <f>1-(1-Skills!J14/100)^Skills!K14</f>
        <v/>
      </c>
      <c r="I1885" t="inlineStr">
        <is>
          <t>1</t>
        </is>
      </c>
      <c r="J1885" t="inlineStr"/>
      <c r="K1885" t="inlineStr"/>
      <c r="L1885" t="inlineStr"/>
      <c r="M1885" t="inlineStr"/>
      <c r="N1885" t="inlineStr"/>
      <c r="O1885">
        <f>(1-Summary!$B$11)*T1885+Summary!$B$11*V1885</f>
        <v/>
      </c>
      <c r="P1885">
        <f>IF(B1913=0,0,O1885/B1913)</f>
        <v/>
      </c>
      <c r="Q1885" t="n">
        <v>0</v>
      </c>
      <c r="R1885" t="n">
        <v>0</v>
      </c>
      <c r="S1885" t="n">
        <v>0</v>
      </c>
      <c r="T1885" t="n">
        <v>0</v>
      </c>
      <c r="V1885" t="n">
        <v>0</v>
      </c>
    </row>
    <row r="1886">
      <c r="A1886">
        <f>Skills!A15</f>
        <v/>
      </c>
      <c r="B1886">
        <f>Skills!B15</f>
        <v/>
      </c>
      <c r="C1886">
        <f>Inputs!$B$3&gt;=117</f>
        <v/>
      </c>
      <c r="D1886">
        <f>IF(Skills!C15=1,60+Inputs!$B$25+Inputs!$B$29,IF(Skills!C15=2,90+Inputs!$B$26+Inputs!$B$29,IF(Skills!C15=3,120+Inputs!$B$27+Inputs!$B$29,MAX(0,(Inputs!$B$3-100)*3)+Inputs!$B$28+Inputs!$B$29)))</f>
        <v/>
      </c>
      <c r="E1886">
        <f>INDEX(FactorTable!$B$2:$Y$301, MATCH(ROUND(MIN(300,MAX(1,D1886)),0), FactorTable!$A$2:$A$301,0), Skills!M15+1)</f>
        <v/>
      </c>
      <c r="F1886">
        <f>IF(Skills!N15=TRUE,(Skills!L15/10)*(E1886/1000),Skills!L15/10)+Skills!O15</f>
        <v/>
      </c>
      <c r="G1886">
        <f>Skills!G15*IF(Skills!H15&gt;0,Skills!I15/Skills!H15,1)</f>
        <v/>
      </c>
      <c r="H1886">
        <f>1-(1-Skills!J15/100)^Skills!K15</f>
        <v/>
      </c>
      <c r="I1886" t="inlineStr">
        <is>
          <t>1</t>
        </is>
      </c>
      <c r="J1886" t="inlineStr"/>
      <c r="K1886" t="inlineStr"/>
      <c r="L1886" t="inlineStr"/>
      <c r="M1886" t="inlineStr"/>
      <c r="N1886" t="inlineStr"/>
      <c r="O1886">
        <f>(1-Summary!$B$11)*T1886+Summary!$B$11*V1886</f>
        <v/>
      </c>
      <c r="P1886">
        <f>IF(B1913=0,0,O1886/B1913)</f>
        <v/>
      </c>
      <c r="Q1886">
        <f>IFERROR(1/IF(Inputs!$B$38="pvp",15,MAX(0.1,Skills!D15-IF(Skills!E15=TRUE,Inputs!$B$32,0))),0)</f>
        <v/>
      </c>
      <c r="R1886">
        <f>IF(AND(Inputs!$B$38&lt;&gt;"pvp",Inputs!$B$43&gt;0),IF(Inputs!$B$43&lt;=0,0,(INT(Inputs!$B$43/IF(Inputs!$B$38="pvp",15,MAX(0.1,Skills!D15-IF(Skills!E15=TRUE,Inputs!$B$32,0))))+1)),0)</f>
        <v/>
      </c>
      <c r="S1886" t="n">
        <v>0</v>
      </c>
      <c r="T1886" t="n">
        <v>0</v>
      </c>
      <c r="V1886" t="n">
        <v>0</v>
      </c>
    </row>
    <row r="1887">
      <c r="A1887">
        <f>Skills!A16</f>
        <v/>
      </c>
      <c r="B1887">
        <f>Skills!B16</f>
        <v/>
      </c>
      <c r="C1887">
        <f>Inputs!$B$3&gt;=115</f>
        <v/>
      </c>
      <c r="D1887">
        <f>IF(Skills!C16=1,60+Inputs!$B$25+Inputs!$B$29,IF(Skills!C16=2,90+Inputs!$B$26+Inputs!$B$29,IF(Skills!C16=3,120+Inputs!$B$27+Inputs!$B$29,MAX(0,(Inputs!$B$3-100)*3)+Inputs!$B$28+Inputs!$B$29)))</f>
        <v/>
      </c>
      <c r="E1887">
        <f>INDEX(FactorTable!$B$2:$Y$301, MATCH(ROUND(MIN(300,MAX(1,D1887)),0), FactorTable!$A$2:$A$301,0), Skills!M16+1)</f>
        <v/>
      </c>
      <c r="F1887">
        <f>IF(Skills!N16=TRUE,(Skills!L16/10)*(E1887/1000),Skills!L16/10)+Skills!O16</f>
        <v/>
      </c>
      <c r="G1887">
        <f>Skills!G16*IF(Skills!H16&gt;0,Skills!I16/Skills!H16,1)</f>
        <v/>
      </c>
      <c r="H1887">
        <f>1-(1-Skills!J16/100)^Skills!K16</f>
        <v/>
      </c>
      <c r="I1887" t="inlineStr">
        <is>
          <t>1</t>
        </is>
      </c>
      <c r="J1887" t="inlineStr"/>
      <c r="K1887" t="inlineStr"/>
      <c r="L1887" t="inlineStr"/>
      <c r="M1887" t="inlineStr"/>
      <c r="N1887" t="inlineStr"/>
      <c r="O1887">
        <f>(1-Summary!$B$11)*T1887+Summary!$B$11*V1887</f>
        <v/>
      </c>
      <c r="P1887">
        <f>IF(B1913=0,0,O1887/B1913)</f>
        <v/>
      </c>
      <c r="Q1887">
        <f>IFERROR(1/IF(Inputs!$B$38="pvp",15,MAX(0.1,Skills!D16-IF(Skills!E16=TRUE,Inputs!$B$32,0))),0)</f>
        <v/>
      </c>
      <c r="R1887">
        <f>IF(AND(Inputs!$B$38&lt;&gt;"pvp",Inputs!$B$43&gt;0),IF(Inputs!$B$43&lt;=0,0,(INT(Inputs!$B$43/IF(Inputs!$B$38="pvp",15,MAX(0.1,Skills!D16-IF(Skills!E16=TRUE,Inputs!$B$32,0))))+1)),0)</f>
        <v/>
      </c>
      <c r="S1887" t="n">
        <v>0</v>
      </c>
      <c r="T1887" t="n">
        <v>0</v>
      </c>
      <c r="V1887" t="n">
        <v>0</v>
      </c>
    </row>
    <row r="1888">
      <c r="A1888">
        <f>Skills!A17</f>
        <v/>
      </c>
      <c r="B1888">
        <f>Skills!B17</f>
        <v/>
      </c>
      <c r="C1888">
        <f>Inputs!$B$3&gt;=72</f>
        <v/>
      </c>
      <c r="D1888">
        <f>IF(Skills!C17=1,60+Inputs!$B$25+Inputs!$B$29,IF(Skills!C17=2,90+Inputs!$B$26+Inputs!$B$29,IF(Skills!C17=3,120+Inputs!$B$27+Inputs!$B$29,MAX(0,(Inputs!$B$3-100)*3)+Inputs!$B$28+Inputs!$B$29)))</f>
        <v/>
      </c>
      <c r="E1888">
        <f>INDEX(FactorTable!$B$2:$Y$301, MATCH(ROUND(MIN(300,MAX(1,D1888)),0), FactorTable!$A$2:$A$301,0), Skills!M17+1)</f>
        <v/>
      </c>
      <c r="F1888">
        <f>IF(Skills!N17=TRUE,(Skills!L17/10)*(E1888/1000),Skills!L17/10)+Skills!O17</f>
        <v/>
      </c>
      <c r="G1888">
        <f>Skills!G17*IF(Skills!H17&gt;0,Skills!I17/Skills!H17,1)</f>
        <v/>
      </c>
      <c r="H1888">
        <f>1-(1-Skills!J17/100)^Skills!K17</f>
        <v/>
      </c>
      <c r="I1888" t="inlineStr">
        <is>
          <t>1</t>
        </is>
      </c>
      <c r="J1888" t="inlineStr"/>
      <c r="K1888" t="inlineStr"/>
      <c r="L1888" t="inlineStr"/>
      <c r="M1888" t="inlineStr"/>
      <c r="N1888" t="inlineStr"/>
      <c r="O1888">
        <f>(1-Summary!$B$11)*T1888+Summary!$B$11*V1888</f>
        <v/>
      </c>
      <c r="P1888">
        <f>IF(B1913=0,0,O1888/B1913)</f>
        <v/>
      </c>
      <c r="Q1888" t="n">
        <v>0</v>
      </c>
      <c r="R1888" t="n">
        <v>0</v>
      </c>
      <c r="S1888" t="n">
        <v>0</v>
      </c>
      <c r="T1888" t="n">
        <v>0</v>
      </c>
      <c r="V1888" t="n">
        <v>0</v>
      </c>
    </row>
    <row r="1889">
      <c r="A1889">
        <f>Skills!A18</f>
        <v/>
      </c>
      <c r="B1889">
        <f>Skills!B18</f>
        <v/>
      </c>
      <c r="C1889">
        <f>TRUE</f>
        <v/>
      </c>
      <c r="D1889">
        <f>IF(Skills!C18=1,60+Inputs!$B$25+Inputs!$B$29,IF(Skills!C18=2,90+Inputs!$B$26+Inputs!$B$29,IF(Skills!C18=3,120+Inputs!$B$27+Inputs!$B$29,MAX(0,(Inputs!$B$3-100)*3)+Inputs!$B$28+Inputs!$B$29)))</f>
        <v/>
      </c>
      <c r="E1889">
        <f>INDEX(FactorTable!$B$2:$Y$301, MATCH(ROUND(MIN(300,MAX(1,D1889)),0), FactorTable!$A$2:$A$301,0), Skills!M18+1)</f>
        <v/>
      </c>
      <c r="F1889">
        <f>IF(Skills!N18=TRUE,(Skills!L18/10)*(E1889/1000),Skills!L18/10)+Skills!O18</f>
        <v/>
      </c>
      <c r="G1889">
        <f>Skills!G18*IF(Skills!H18&gt;0,Skills!I18/Skills!H18,1)</f>
        <v/>
      </c>
      <c r="H1889">
        <f>1-(1-Skills!J18/100)^Skills!K18</f>
        <v/>
      </c>
      <c r="I1889" t="inlineStr">
        <is>
          <t>1</t>
        </is>
      </c>
      <c r="J1889" t="inlineStr"/>
      <c r="K1889" t="inlineStr"/>
      <c r="L1889" t="inlineStr"/>
      <c r="M1889" t="inlineStr"/>
      <c r="N1889" t="inlineStr"/>
      <c r="O1889">
        <f>(1-Summary!$B$11)*T1889+Summary!$B$11*V1889</f>
        <v/>
      </c>
      <c r="P1889">
        <f>IF(B1913=0,0,O1889/B1913)</f>
        <v/>
      </c>
      <c r="Q1889">
        <f>IFERROR(1/IF(Inputs!$B$38="pvp",15,MAX(0.1,Skills!D18-IF(Skills!E18=TRUE,Inputs!$B$32,0))),0)</f>
        <v/>
      </c>
      <c r="R1889">
        <f>IF(AND(Inputs!$B$38&lt;&gt;"pvp",Inputs!$B$43&gt;0),IF(Inputs!$B$43&lt;=0,0,(INT(Inputs!$B$43/IF(Inputs!$B$38="pvp",15,MAX(0.1,Skills!D18-IF(Skills!E18=TRUE,Inputs!$B$32,0))))+1)),0)</f>
        <v/>
      </c>
      <c r="S1889" t="n">
        <v>0</v>
      </c>
      <c r="T1889" t="n">
        <v>0</v>
      </c>
      <c r="V1889" t="n">
        <v>0</v>
      </c>
    </row>
    <row r="1890">
      <c r="A1890">
        <f>Skills!A19</f>
        <v/>
      </c>
      <c r="B1890">
        <f>Skills!B19</f>
        <v/>
      </c>
      <c r="C1890">
        <f>Inputs!$B$3&gt;=15</f>
        <v/>
      </c>
      <c r="D1890">
        <f>IF(Skills!C19=1,60+Inputs!$B$25+Inputs!$B$29,IF(Skills!C19=2,90+Inputs!$B$26+Inputs!$B$29,IF(Skills!C19=3,120+Inputs!$B$27+Inputs!$B$29,MAX(0,(Inputs!$B$3-100)*3)+Inputs!$B$28+Inputs!$B$29)))</f>
        <v/>
      </c>
      <c r="E1890">
        <f>INDEX(FactorTable!$B$2:$Y$301, MATCH(ROUND(MIN(300,MAX(1,D1890)),0), FactorTable!$A$2:$A$301,0), Skills!M19+1)</f>
        <v/>
      </c>
      <c r="F1890">
        <f>IF(Skills!N19=TRUE,(Skills!L19/10)*(E1890/1000),Skills!L19/10)+Skills!O19</f>
        <v/>
      </c>
      <c r="G1890">
        <f>Skills!G19*IF(Skills!H19&gt;0,Skills!I19/Skills!H19,1)</f>
        <v/>
      </c>
      <c r="H1890">
        <f>1-(1-Skills!J19/100)^Skills!K19</f>
        <v/>
      </c>
      <c r="I1890" t="inlineStr">
        <is>
          <t>1</t>
        </is>
      </c>
      <c r="J1890" t="inlineStr"/>
      <c r="K1890" t="inlineStr"/>
      <c r="L1890" t="inlineStr"/>
      <c r="M1890" t="inlineStr"/>
      <c r="N1890" t="inlineStr"/>
      <c r="O1890">
        <f>(1-Summary!$B$11)*T1890+Summary!$B$11*V1890</f>
        <v/>
      </c>
      <c r="P1890">
        <f>IF(B1913=0,0,O1890/B1913)</f>
        <v/>
      </c>
      <c r="Q1890" t="n">
        <v>0</v>
      </c>
      <c r="R1890" t="n">
        <v>0</v>
      </c>
      <c r="S1890" t="n">
        <v>0</v>
      </c>
      <c r="T1890" t="n">
        <v>0</v>
      </c>
      <c r="V1890" t="n">
        <v>0</v>
      </c>
    </row>
    <row r="1891">
      <c r="A1891">
        <f>Skills!A20</f>
        <v/>
      </c>
      <c r="B1891">
        <f>Skills!B20</f>
        <v/>
      </c>
      <c r="C1891">
        <f>Inputs!$B$3&gt;=10</f>
        <v/>
      </c>
      <c r="D1891">
        <f>IF(Skills!C20=1,60+Inputs!$B$25+Inputs!$B$29,IF(Skills!C20=2,90+Inputs!$B$26+Inputs!$B$29,IF(Skills!C20=3,120+Inputs!$B$27+Inputs!$B$29,MAX(0,(Inputs!$B$3-100)*3)+Inputs!$B$28+Inputs!$B$29)))</f>
        <v/>
      </c>
      <c r="E1891">
        <f>INDEX(FactorTable!$B$2:$Y$301, MATCH(ROUND(MIN(300,MAX(1,D1891)),0), FactorTable!$A$2:$A$301,0), Skills!M20+1)</f>
        <v/>
      </c>
      <c r="F1891">
        <f>IF(Skills!N20=TRUE,(Skills!L20/10)*(E1891/1000),Skills!L20/10)+Skills!O20</f>
        <v/>
      </c>
      <c r="G1891">
        <f>Skills!G20*IF(Skills!H20&gt;0,Skills!I20/Skills!H20,1)</f>
        <v/>
      </c>
      <c r="H1891">
        <f>1-(1-Skills!J20/100)^Skills!K20</f>
        <v/>
      </c>
      <c r="I1891" t="inlineStr">
        <is>
          <t>1</t>
        </is>
      </c>
      <c r="J1891" t="inlineStr"/>
      <c r="K1891" t="inlineStr"/>
      <c r="L1891" t="inlineStr"/>
      <c r="M1891" t="inlineStr"/>
      <c r="N1891" t="inlineStr"/>
      <c r="O1891">
        <f>(1-Summary!$B$11)*T1891+Summary!$B$11*V1891</f>
        <v/>
      </c>
      <c r="P1891">
        <f>IF(B1913=0,0,O1891/B1913)</f>
        <v/>
      </c>
      <c r="Q1891" t="n">
        <v>0</v>
      </c>
      <c r="R1891" t="n">
        <v>0</v>
      </c>
      <c r="S1891" t="n">
        <v>0</v>
      </c>
      <c r="T1891" t="n">
        <v>0</v>
      </c>
      <c r="V1891" t="n">
        <v>0</v>
      </c>
    </row>
    <row r="1892">
      <c r="A1892">
        <f>Skills!A21</f>
        <v/>
      </c>
      <c r="B1892">
        <f>Skills!B21</f>
        <v/>
      </c>
      <c r="C1892">
        <f>Inputs!$B$3&gt;=33</f>
        <v/>
      </c>
      <c r="D1892">
        <f>IF(Skills!C21=1,60+Inputs!$B$25+Inputs!$B$29,IF(Skills!C21=2,90+Inputs!$B$26+Inputs!$B$29,IF(Skills!C21=3,120+Inputs!$B$27+Inputs!$B$29,MAX(0,(Inputs!$B$3-100)*3)+Inputs!$B$28+Inputs!$B$29)))</f>
        <v/>
      </c>
      <c r="E1892">
        <f>INDEX(FactorTable!$B$2:$Y$301, MATCH(ROUND(MIN(300,MAX(1,D1892)),0), FactorTable!$A$2:$A$301,0), Skills!M21+1)</f>
        <v/>
      </c>
      <c r="F1892">
        <f>IF(Skills!N21=TRUE,(Skills!L21/10)*(E1892/1000),Skills!L21/10)+Skills!O21</f>
        <v/>
      </c>
      <c r="G1892">
        <f>Skills!G21*IF(Skills!H21&gt;0,Skills!I21/Skills!H21,1)</f>
        <v/>
      </c>
      <c r="H1892">
        <f>1-(1-Skills!J21/100)^Skills!K21</f>
        <v/>
      </c>
      <c r="I1892" t="inlineStr">
        <is>
          <t>1</t>
        </is>
      </c>
      <c r="J1892" t="inlineStr"/>
      <c r="K1892" t="inlineStr"/>
      <c r="L1892" t="inlineStr"/>
      <c r="M1892" t="inlineStr"/>
      <c r="N1892" t="inlineStr"/>
      <c r="O1892">
        <f>(1-Summary!$B$11)*T1892+Summary!$B$11*V1892</f>
        <v/>
      </c>
      <c r="P1892">
        <f>IF(B1913=0,0,O1892/B1913)</f>
        <v/>
      </c>
      <c r="Q1892" t="n">
        <v>0</v>
      </c>
      <c r="R1892" t="n">
        <v>0</v>
      </c>
      <c r="S1892" t="n">
        <v>0</v>
      </c>
      <c r="T1892" t="n">
        <v>0</v>
      </c>
      <c r="V1892" t="n">
        <v>0</v>
      </c>
    </row>
    <row r="1893">
      <c r="A1893">
        <f>Skills!A22</f>
        <v/>
      </c>
      <c r="B1893">
        <f>Skills!B22</f>
        <v/>
      </c>
      <c r="C1893">
        <f>Inputs!$B$3&gt;=38</f>
        <v/>
      </c>
      <c r="D1893">
        <f>IF(Skills!C22=1,60+Inputs!$B$25+Inputs!$B$29,IF(Skills!C22=2,90+Inputs!$B$26+Inputs!$B$29,IF(Skills!C22=3,120+Inputs!$B$27+Inputs!$B$29,MAX(0,(Inputs!$B$3-100)*3)+Inputs!$B$28+Inputs!$B$29)))</f>
        <v/>
      </c>
      <c r="E1893">
        <f>INDEX(FactorTable!$B$2:$Y$301, MATCH(ROUND(MIN(300,MAX(1,D1893)),0), FactorTable!$A$2:$A$301,0), Skills!M22+1)</f>
        <v/>
      </c>
      <c r="F1893">
        <f>IF(Skills!N22=TRUE,(Skills!L22/10)*(E1893/1000),Skills!L22/10)+Skills!O22</f>
        <v/>
      </c>
      <c r="G1893">
        <f>Skills!G22*IF(Skills!H22&gt;0,Skills!I22/Skills!H22,1)</f>
        <v/>
      </c>
      <c r="H1893">
        <f>1-(1-Skills!J22/100)^Skills!K22</f>
        <v/>
      </c>
      <c r="I1893" t="inlineStr">
        <is>
          <t>1</t>
        </is>
      </c>
      <c r="J1893" t="inlineStr"/>
      <c r="K1893" t="inlineStr"/>
      <c r="L1893" t="inlineStr"/>
      <c r="M1893" t="inlineStr"/>
      <c r="N1893" t="inlineStr"/>
      <c r="O1893">
        <f>(1-Summary!$B$11)*T1893+Summary!$B$11*V1893</f>
        <v/>
      </c>
      <c r="P1893">
        <f>IF(B1913=0,0,O1893/B1913)</f>
        <v/>
      </c>
      <c r="Q1893" t="n">
        <v>0</v>
      </c>
      <c r="R1893" t="n">
        <v>0</v>
      </c>
      <c r="S1893" t="n">
        <v>0</v>
      </c>
      <c r="T1893" t="n">
        <v>0</v>
      </c>
      <c r="V1893" t="n">
        <v>0</v>
      </c>
    </row>
    <row r="1894">
      <c r="A1894">
        <f>Skills!A23</f>
        <v/>
      </c>
      <c r="B1894">
        <f>Skills!B23</f>
        <v/>
      </c>
      <c r="C1894">
        <f>Inputs!$B$3&gt;=43</f>
        <v/>
      </c>
      <c r="D1894">
        <f>IF(Skills!C23=1,60+Inputs!$B$25+Inputs!$B$29,IF(Skills!C23=2,90+Inputs!$B$26+Inputs!$B$29,IF(Skills!C23=3,120+Inputs!$B$27+Inputs!$B$29,MAX(0,(Inputs!$B$3-100)*3)+Inputs!$B$28+Inputs!$B$29)))</f>
        <v/>
      </c>
      <c r="E1894">
        <f>INDEX(FactorTable!$B$2:$Y$301, MATCH(ROUND(MIN(300,MAX(1,D1894)),0), FactorTable!$A$2:$A$301,0), Skills!M23+1)</f>
        <v/>
      </c>
      <c r="F1894">
        <f>IF(Skills!N23=TRUE,(Skills!L23/10)*(E1894/1000),Skills!L23/10)+Skills!O23</f>
        <v/>
      </c>
      <c r="G1894">
        <f>Skills!G23*IF(Skills!H23&gt;0,Skills!I23/Skills!H23,1)</f>
        <v/>
      </c>
      <c r="H1894">
        <f>1-(1-Skills!J23/100)^Skills!K23</f>
        <v/>
      </c>
      <c r="I1894" t="inlineStr">
        <is>
          <t>1</t>
        </is>
      </c>
      <c r="J1894" t="inlineStr"/>
      <c r="K1894" t="inlineStr"/>
      <c r="L1894" t="inlineStr"/>
      <c r="M1894" t="inlineStr"/>
      <c r="N1894" t="inlineStr"/>
      <c r="O1894">
        <f>(1-Summary!$B$11)*T1894+Summary!$B$11*V1894</f>
        <v/>
      </c>
      <c r="P1894">
        <f>IF(B1913=0,0,O1894/B1913)</f>
        <v/>
      </c>
      <c r="Q1894" t="n">
        <v>0</v>
      </c>
      <c r="R1894" t="n">
        <v>0</v>
      </c>
      <c r="S1894" t="n">
        <v>0</v>
      </c>
      <c r="T1894" t="n">
        <v>0</v>
      </c>
      <c r="V1894" t="n">
        <v>0</v>
      </c>
    </row>
    <row r="1895">
      <c r="A1895">
        <f>Skills!A24</f>
        <v/>
      </c>
      <c r="B1895">
        <f>Skills!B24</f>
        <v/>
      </c>
      <c r="C1895">
        <f>Inputs!$B$3&gt;=75</f>
        <v/>
      </c>
      <c r="D1895">
        <f>IF(Skills!C24=1,60+Inputs!$B$25+Inputs!$B$29,IF(Skills!C24=2,90+Inputs!$B$26+Inputs!$B$29,IF(Skills!C24=3,120+Inputs!$B$27+Inputs!$B$29,MAX(0,(Inputs!$B$3-100)*3)+Inputs!$B$28+Inputs!$B$29)))</f>
        <v/>
      </c>
      <c r="E1895">
        <f>INDEX(FactorTable!$B$2:$Y$301, MATCH(ROUND(MIN(300,MAX(1,D1895)),0), FactorTable!$A$2:$A$301,0), Skills!M24+1)</f>
        <v/>
      </c>
      <c r="F1895">
        <f>IF(Skills!N24=TRUE,(Skills!L24/10)*(E1895/1000),Skills!L24/10)+Skills!O24</f>
        <v/>
      </c>
      <c r="G1895">
        <f>Skills!G24*IF(Skills!H24&gt;0,Skills!I24/Skills!H24,1)</f>
        <v/>
      </c>
      <c r="H1895">
        <f>1-(1-Skills!J24/100)^Skills!K24</f>
        <v/>
      </c>
      <c r="I1895" t="inlineStr">
        <is>
          <t>1</t>
        </is>
      </c>
      <c r="J1895" t="inlineStr"/>
      <c r="K1895" t="inlineStr"/>
      <c r="L1895" t="inlineStr"/>
      <c r="M1895" t="inlineStr"/>
      <c r="N1895" t="inlineStr"/>
      <c r="O1895">
        <f>(1-Summary!$B$11)*T1895+Summary!$B$11*V1895</f>
        <v/>
      </c>
      <c r="P1895">
        <f>IF(B1913=0,0,O1895/B1913)</f>
        <v/>
      </c>
      <c r="Q1895" t="n">
        <v>0</v>
      </c>
      <c r="R1895" t="n">
        <v>0</v>
      </c>
      <c r="S1895" t="n">
        <v>0</v>
      </c>
      <c r="T1895" t="n">
        <v>0</v>
      </c>
      <c r="V1895" t="n">
        <v>0</v>
      </c>
    </row>
    <row r="1896">
      <c r="A1896">
        <f>Skills!A25</f>
        <v/>
      </c>
      <c r="B1896">
        <f>Skills!B25</f>
        <v/>
      </c>
      <c r="C1896">
        <f>Inputs!$B$3&gt;=125</f>
        <v/>
      </c>
      <c r="D1896">
        <f>IF(Skills!C25=1,60+Inputs!$B$25+Inputs!$B$29,IF(Skills!C25=2,90+Inputs!$B$26+Inputs!$B$29,IF(Skills!C25=3,120+Inputs!$B$27+Inputs!$B$29,MAX(0,(Inputs!$B$3-100)*3)+Inputs!$B$28+Inputs!$B$29)))</f>
        <v/>
      </c>
      <c r="E1896">
        <f>INDEX(FactorTable!$B$2:$Y$301, MATCH(ROUND(MIN(300,MAX(1,D1896)),0), FactorTable!$A$2:$A$301,0), Skills!M25+1)</f>
        <v/>
      </c>
      <c r="F1896">
        <f>IF(Skills!N25=TRUE,(Skills!L25/10)*(E1896/1000),Skills!L25/10)+Skills!O25</f>
        <v/>
      </c>
      <c r="G1896">
        <f>Skills!G25*IF(Skills!H25&gt;0,Skills!I25/Skills!H25,1)</f>
        <v/>
      </c>
      <c r="H1896">
        <f>1-(1-Skills!J25/100)^Skills!K25</f>
        <v/>
      </c>
      <c r="I1896" t="inlineStr">
        <is>
          <t>1</t>
        </is>
      </c>
      <c r="J1896" t="inlineStr"/>
      <c r="K1896" t="inlineStr"/>
      <c r="L1896" t="inlineStr"/>
      <c r="M1896" t="inlineStr"/>
      <c r="N1896" t="inlineStr"/>
      <c r="O1896">
        <f>(1-Summary!$B$11)*T1896+Summary!$B$11*V1896</f>
        <v/>
      </c>
      <c r="P1896">
        <f>IF(B1913=0,0,O1896/B1913)</f>
        <v/>
      </c>
      <c r="Q1896" t="n">
        <v>0</v>
      </c>
      <c r="R1896" t="n">
        <v>0</v>
      </c>
      <c r="S1896" t="n">
        <v>0</v>
      </c>
      <c r="T1896" t="n">
        <v>0</v>
      </c>
      <c r="V1896" t="n">
        <v>0</v>
      </c>
    </row>
    <row r="1897">
      <c r="A1897">
        <f>Skills!A26</f>
        <v/>
      </c>
      <c r="B1897">
        <f>Skills!B26</f>
        <v/>
      </c>
      <c r="C1897">
        <f>Inputs!$B$3&gt;=125</f>
        <v/>
      </c>
      <c r="D1897">
        <f>IF(Skills!C26=1,60+Inputs!$B$25+Inputs!$B$29,IF(Skills!C26=2,90+Inputs!$B$26+Inputs!$B$29,IF(Skills!C26=3,120+Inputs!$B$27+Inputs!$B$29,MAX(0,(Inputs!$B$3-100)*3)+Inputs!$B$28+Inputs!$B$29)))</f>
        <v/>
      </c>
      <c r="E1897">
        <f>INDEX(FactorTable!$B$2:$Y$301, MATCH(ROUND(MIN(300,MAX(1,D1897)),0), FactorTable!$A$2:$A$301,0), Skills!M26+1)</f>
        <v/>
      </c>
      <c r="F1897">
        <f>IF(Skills!N26=TRUE,(Skills!L26/10)*(E1897/1000),Skills!L26/10)+Skills!O26</f>
        <v/>
      </c>
      <c r="G1897">
        <f>Skills!G26*IF(Skills!H26&gt;0,Skills!I26/Skills!H26,1)</f>
        <v/>
      </c>
      <c r="H1897">
        <f>1-(1-Skills!J26/100)^Skills!K26</f>
        <v/>
      </c>
      <c r="I1897" t="inlineStr">
        <is>
          <t>1</t>
        </is>
      </c>
      <c r="J1897" t="inlineStr"/>
      <c r="K1897" t="inlineStr"/>
      <c r="L1897" t="inlineStr"/>
      <c r="M1897" t="inlineStr"/>
      <c r="N1897" t="inlineStr"/>
      <c r="O1897">
        <f>(1-Summary!$B$11)*T1897+Summary!$B$11*V1897</f>
        <v/>
      </c>
      <c r="P1897">
        <f>IF(B1913=0,0,O1897/B1913)</f>
        <v/>
      </c>
      <c r="Q1897" t="n">
        <v>0</v>
      </c>
      <c r="R1897" t="n">
        <v>0</v>
      </c>
      <c r="S1897" t="n">
        <v>0</v>
      </c>
      <c r="T1897" t="n">
        <v>0</v>
      </c>
      <c r="V1897" t="n">
        <v>0</v>
      </c>
    </row>
    <row r="1898">
      <c r="A1898">
        <f>Skills!A27</f>
        <v/>
      </c>
      <c r="B1898">
        <f>Skills!B27</f>
        <v/>
      </c>
      <c r="C1898">
        <f>Inputs!$B$3&gt;=120</f>
        <v/>
      </c>
      <c r="D1898">
        <f>IF(Skills!C27=1,60+Inputs!$B$25+Inputs!$B$29,IF(Skills!C27=2,90+Inputs!$B$26+Inputs!$B$29,IF(Skills!C27=3,120+Inputs!$B$27+Inputs!$B$29,MAX(0,(Inputs!$B$3-100)*3)+Inputs!$B$28+Inputs!$B$29)))</f>
        <v/>
      </c>
      <c r="E1898">
        <f>INDEX(FactorTable!$B$2:$Y$301, MATCH(ROUND(MIN(300,MAX(1,D1898)),0), FactorTable!$A$2:$A$301,0), Skills!M27+1)</f>
        <v/>
      </c>
      <c r="F1898">
        <f>IF(Skills!N27=TRUE,(Skills!L27/10)*(E1898/1000),Skills!L27/10)+Skills!O27</f>
        <v/>
      </c>
      <c r="G1898">
        <f>Skills!G27*IF(Skills!H27&gt;0,Skills!I27/Skills!H27,1)</f>
        <v/>
      </c>
      <c r="H1898">
        <f>1-(1-Skills!J27/100)^Skills!K27</f>
        <v/>
      </c>
      <c r="I1898" t="inlineStr">
        <is>
          <t>1</t>
        </is>
      </c>
      <c r="J1898" t="inlineStr"/>
      <c r="K1898" t="inlineStr"/>
      <c r="L1898" t="inlineStr"/>
      <c r="M1898" t="inlineStr"/>
      <c r="N1898" t="inlineStr"/>
      <c r="O1898">
        <f>(1-Summary!$B$11)*T1898+Summary!$B$11*V1898</f>
        <v/>
      </c>
      <c r="P1898">
        <f>IF(B1913=0,0,O1898/B1913)</f>
        <v/>
      </c>
      <c r="Q1898" t="n">
        <v>0</v>
      </c>
      <c r="R1898" t="n">
        <v>0</v>
      </c>
      <c r="S1898" t="n">
        <v>0</v>
      </c>
      <c r="T1898" t="n">
        <v>0</v>
      </c>
      <c r="V1898" t="n">
        <v>0</v>
      </c>
    </row>
    <row r="1899">
      <c r="A1899">
        <f>Skills!A28</f>
        <v/>
      </c>
      <c r="B1899">
        <f>Skills!B28</f>
        <v/>
      </c>
      <c r="C1899">
        <f>Inputs!$B$3&gt;=120</f>
        <v/>
      </c>
      <c r="D1899">
        <f>IF(Skills!C28=1,60+Inputs!$B$25+Inputs!$B$29,IF(Skills!C28=2,90+Inputs!$B$26+Inputs!$B$29,IF(Skills!C28=3,120+Inputs!$B$27+Inputs!$B$29,MAX(0,(Inputs!$B$3-100)*3)+Inputs!$B$28+Inputs!$B$29)))</f>
        <v/>
      </c>
      <c r="E1899">
        <f>INDEX(FactorTable!$B$2:$Y$301, MATCH(ROUND(MIN(300,MAX(1,D1899)),0), FactorTable!$A$2:$A$301,0), Skills!M28+1)</f>
        <v/>
      </c>
      <c r="F1899">
        <f>IF(Skills!N28=TRUE,(Skills!L28/10)*(E1899/1000),Skills!L28/10)+Skills!O28</f>
        <v/>
      </c>
      <c r="G1899">
        <f>Skills!G28*IF(Skills!H28&gt;0,Skills!I28/Skills!H28,1)</f>
        <v/>
      </c>
      <c r="H1899">
        <f>1-(1-Skills!J28/100)^Skills!K28</f>
        <v/>
      </c>
      <c r="I1899" t="inlineStr">
        <is>
          <t>1</t>
        </is>
      </c>
      <c r="J1899" t="inlineStr"/>
      <c r="K1899" t="inlineStr"/>
      <c r="L1899" t="inlineStr"/>
      <c r="M1899" t="inlineStr"/>
      <c r="N1899" t="inlineStr"/>
      <c r="O1899">
        <f>(1-Summary!$B$11)*T1899+Summary!$B$11*V1899</f>
        <v/>
      </c>
      <c r="P1899">
        <f>IF(B1913=0,0,O1899/B1913)</f>
        <v/>
      </c>
      <c r="Q1899" t="n">
        <v>0</v>
      </c>
      <c r="R1899" t="n">
        <v>0</v>
      </c>
      <c r="S1899" t="n">
        <v>0</v>
      </c>
      <c r="T1899" t="n">
        <v>0</v>
      </c>
      <c r="V1899" t="n">
        <v>0</v>
      </c>
    </row>
    <row r="1900">
      <c r="A1900">
        <f>Skills!A29</f>
        <v/>
      </c>
      <c r="B1900">
        <f>Skills!B29</f>
        <v/>
      </c>
      <c r="C1900">
        <f>Inputs!$B$3&gt;=45</f>
        <v/>
      </c>
      <c r="D1900">
        <f>IF(Skills!C29=1,60+Inputs!$B$25+Inputs!$B$29,IF(Skills!C29=2,90+Inputs!$B$26+Inputs!$B$29,IF(Skills!C29=3,120+Inputs!$B$27+Inputs!$B$29,MAX(0,(Inputs!$B$3-100)*3)+Inputs!$B$28+Inputs!$B$29)))</f>
        <v/>
      </c>
      <c r="E1900">
        <f>INDEX(FactorTable!$B$2:$Y$301, MATCH(ROUND(MIN(300,MAX(1,D1900)),0), FactorTable!$A$2:$A$301,0), Skills!M29+1)</f>
        <v/>
      </c>
      <c r="F1900">
        <f>IF(Skills!N29=TRUE,(Skills!L29/10)*(E1900/1000),Skills!L29/10)+Skills!O29</f>
        <v/>
      </c>
      <c r="G1900">
        <f>Skills!G29*IF(Skills!H29&gt;0,Skills!I29/Skills!H29,1)</f>
        <v/>
      </c>
      <c r="H1900">
        <f>1-(1-Skills!J29/100)^Skills!K29</f>
        <v/>
      </c>
      <c r="I1900" t="inlineStr">
        <is>
          <t>1</t>
        </is>
      </c>
      <c r="J1900" t="inlineStr"/>
      <c r="K1900" t="inlineStr"/>
      <c r="L1900" t="inlineStr"/>
      <c r="M1900" t="inlineStr"/>
      <c r="N1900" t="inlineStr"/>
      <c r="O1900">
        <f>(1-Summary!$B$11)*T1900+Summary!$B$11*V1900</f>
        <v/>
      </c>
      <c r="P1900">
        <f>IF(B1913=0,0,O1900/B1913)</f>
        <v/>
      </c>
      <c r="Q1900" t="n">
        <v>0</v>
      </c>
      <c r="R1900" t="n">
        <v>0</v>
      </c>
      <c r="S1900" t="n">
        <v>0</v>
      </c>
      <c r="T1900" t="n">
        <v>0</v>
      </c>
      <c r="V1900" t="n">
        <v>0</v>
      </c>
    </row>
    <row r="1902">
      <c r="A1902" t="inlineStr">
        <is>
          <t>Attack% Bucket Multiplier</t>
        </is>
      </c>
      <c r="B1902">
        <f>(1+(((C1884=TRUE)*F1884)+((C1885=TRUE)*IF(Inputs!$B$38="pvp",F1885,(1-Summary!$B$11)*(F1885)+Summary!$B$11*(0)))+((C1886=TRUE)*F1886*IF(AND(Inputs!$B$38&lt;&gt;"pvp",Inputs!$B$43&gt;0),(((R1886-1)*(Skills!T15*(1+Inputs!$B$34/100))+MIN((Skills!T15*(1+Inputs!$B$34/100)),MAX(0,Inputs!$B$43-((R1886-1)*Skills!D15))))/Inputs!$B$43),IF(Inputs!$B$38="pvp",MIN((Skills!T15*(1+Inputs!$B$34/100)),15)/15,(Skills!T15*(1+Inputs!$B$34/100))/Skills!D15)))+((C1883=TRUE)*F1883)+((C1900=TRUE)*(F1900-Calc!F29))+(IF(IF(ArtifactsInput!$M$21,FALSE,TRUE),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1903">
      <c r="A1903" t="inlineStr">
        <is>
          <t>Global Crit Rate Bonus %</t>
        </is>
      </c>
      <c r="B1903">
        <f>(C1887=TRUE)*20*IF(AND(Inputs!$B$38&lt;&gt;"pvp",Inputs!$B$43&gt;0),(((R1887-1)*(Skills!T16*(1+Inputs!$B$34/100))+MIN((Skills!T16*(1+Inputs!$B$34/100)),MAX(0,Inputs!$B$43-((R1887-1)*Skills!D16))))/Inputs!$B$43),IF(Inputs!$B$38="pvp",MIN((Skills!T16*(1+Inputs!$B$34/100)),15)/15,(Skills!T16*(1+Inputs!$B$34/100))/Skills!D16))</f>
        <v/>
      </c>
    </row>
    <row r="1904">
      <c r="A1904" t="inlineStr">
        <is>
          <t>Attack Speed Buff Bonus %</t>
        </is>
      </c>
      <c r="B1904">
        <f>((C1889=TRUE)*F1889*IF(AND(Inputs!$B$38&lt;&gt;"pvp",Inputs!$B$43&gt;0),(((R1889-1)*(Skills!T18*(1+Inputs!$B$34/100))+MIN((Skills!T18*(1+Inputs!$B$34/100)),MAX(0,Inputs!$B$43-((R1889-1)*Skills!D18))))/Inputs!$B$43),IF(Inputs!$B$38="pvp",MIN((Skills!T18*(1+Inputs!$B$34/100)),15)/15,(Skills!T18*(1+Inputs!$B$34/100))/Skills!D18)))</f>
        <v/>
      </c>
    </row>
    <row r="1905">
      <c r="A1905" t="inlineStr">
        <is>
          <t>Actions Per Second</t>
        </is>
      </c>
      <c r="B1905">
        <f>1+MIN(150,150*(1-(1-(Inputs!$B$11+((C1891=TRUE)*(F1891-Calc!F20))+((C1892=TRUE)*(F1892-Calc!F21)))/150)*(1-B1904/150)))/100</f>
        <v/>
      </c>
    </row>
    <row r="1906">
      <c r="A1906" t="inlineStr">
        <is>
          <t>Skill + Buff Cast Rate</t>
        </is>
      </c>
      <c r="B1906">
        <f>IF(AND(Inputs!$B$38&lt;&gt;"pvp",Inputs!$B$43&gt;0),SUMPRODUCT((Skills!E2:E29=TRUE)*(C1873:C1900=TRUE)*R1873:R1900*Skills!F2:F29)/Inputs!$B$43,SUMPRODUCT((Skills!E2:E29=TRUE)*(C1873:C1900=TRUE)*Q1873:Q1900*Skills!F2:F29))</f>
        <v/>
      </c>
    </row>
    <row r="1907">
      <c r="A1907" t="inlineStr">
        <is>
          <t>Empowered Piercing Arrow Casts Per Second</t>
        </is>
      </c>
      <c r="B1907">
        <f>MAX(0,B1905-B1906)</f>
        <v/>
      </c>
    </row>
    <row r="1908">
      <c r="A1908" t="inlineStr">
        <is>
          <t>Global Critical Damage Bonus % (Sharp Eyes)</t>
        </is>
      </c>
      <c r="B1908">
        <f>(C1887=TRUE)*F1887*IF(AND(Inputs!$B$38&lt;&gt;"pvp",Inputs!$B$43&gt;0),(((R1887-1)*(Skills!T16*(1+Inputs!$B$34/100))+MIN((Skills!T16*(1+Inputs!$B$34/100)),MAX(0,Inputs!$B$43-((R1887-1)*Skills!D16))))/Inputs!$B$43),IF(Inputs!$B$38="pvp",MIN((Skills!T16*(1+Inputs!$B$34/100)),15)/15,(Skills!T16*(1+Inputs!$B$34/100))/Skills!D16))</f>
        <v/>
      </c>
    </row>
    <row r="1909">
      <c r="A1909" t="inlineStr">
        <is>
          <t>Global Final Damage Bonus % (Mortal Blow + Last Man Standing conditional half)</t>
        </is>
      </c>
      <c r="B1909">
        <f>(C1888=TRUE)*F1888+((C1897=TRUE)*IF(Inputs!$B$38="pvp",F1897,(1-Summary!$B$11)*(F1897)+Summary!$B$11*(0)))</f>
        <v/>
      </c>
    </row>
    <row r="1910">
      <c r="A1910" t="inlineStr">
        <is>
          <t>Buff-Casting Startup Delay (s, fixed-duration only)</t>
        </is>
      </c>
      <c r="B1910">
        <f>IF(AND(Inputs!$B$38&lt;&gt;"pvp",Inputs!$B$43&gt;0),SUMPRODUCT((Skills!T2:T29&gt;0)*(Skills!E2:E29=TRUE)*(C1873:C1900=TRUE))/B1905,0)</f>
        <v/>
      </c>
    </row>
    <row r="1911">
      <c r="A1911" t="inlineStr">
        <is>
          <t>Boss-Only Total DPS (this block's swept value)</t>
        </is>
      </c>
      <c r="B1911">
        <f>SUM(T1873:T1900)</f>
        <v/>
      </c>
    </row>
    <row r="1912">
      <c r="A1912" t="inlineStr">
        <is>
          <t>Normal-Only Total DPS (this block's swept value)</t>
        </is>
      </c>
      <c r="B1912">
        <f>SUM(V1873:V1900)</f>
        <v/>
      </c>
    </row>
    <row r="1913">
      <c r="A1913" s="6" t="inlineStr">
        <is>
          <t>TOTAL DPS</t>
        </is>
      </c>
      <c r="B1913" s="6">
        <f>SUM(O1873:O1900)</f>
        <v/>
      </c>
    </row>
    <row r="1916">
      <c r="A1916" s="6" t="inlineStr">
        <is>
          <t>Stat: Silver Pendant (Equip)</t>
        </is>
      </c>
    </row>
    <row r="1917">
      <c r="A1917" s="5" t="inlineStr">
        <is>
          <t>Key</t>
        </is>
      </c>
      <c r="B1917" s="5" t="inlineStr">
        <is>
          <t>Name</t>
        </is>
      </c>
      <c r="C1917" s="5" t="inlineStr">
        <is>
          <t>Unlocked</t>
        </is>
      </c>
      <c r="D1917" s="5" t="inlineStr">
        <is>
          <t>InputLevel</t>
        </is>
      </c>
      <c r="E1917" s="5" t="inlineStr">
        <is>
          <t>Factor</t>
        </is>
      </c>
      <c r="F1917" s="5" t="inlineStr">
        <is>
          <t>CoefficientPercent</t>
        </is>
      </c>
      <c r="G1917" s="5" t="inlineStr">
        <is>
          <t>EffectiveHits</t>
        </is>
      </c>
      <c r="H1917" s="5" t="inlineStr">
        <is>
          <t>ProcProbability</t>
        </is>
      </c>
      <c r="I1917" s="5" t="inlineStr">
        <is>
          <t>MapleHeroMultiplier</t>
        </is>
      </c>
      <c r="J1917" s="5" t="inlineStr">
        <is>
          <t>BaseDamage</t>
        </is>
      </c>
      <c r="K1917" s="5" t="inlineStr">
        <is>
          <t>BaseHitDamage</t>
        </is>
      </c>
      <c r="L1917" s="5" t="inlineStr">
        <is>
          <t>NonCritAvg</t>
        </is>
      </c>
      <c r="M1917" s="5" t="inlineStr">
        <is>
          <t>CritAvg</t>
        </is>
      </c>
      <c r="N1917" s="5" t="inlineStr">
        <is>
          <t>ExpectedDamage(perHit)</t>
        </is>
      </c>
      <c r="O1917" s="5" t="inlineStr">
        <is>
          <t>DPS</t>
        </is>
      </c>
      <c r="P1917" s="5" t="inlineStr">
        <is>
          <t>% of Total</t>
        </is>
      </c>
      <c r="Q1917" s="5" t="inlineStr">
        <is>
          <t>InvCooldown</t>
        </is>
      </c>
      <c r="R1917" s="5" t="inlineStr">
        <is>
          <t>CastsInFight</t>
        </is>
      </c>
      <c r="S1917" s="5" t="inlineStr">
        <is>
          <t>HitRate(perSec)</t>
        </is>
      </c>
      <c r="U1917" t="inlineStr">
        <is>
          <t>helpers</t>
        </is>
      </c>
    </row>
    <row r="1918">
      <c r="A1918">
        <f>Skills!A2</f>
        <v/>
      </c>
      <c r="B1918">
        <f>Skills!B2</f>
        <v/>
      </c>
      <c r="C1918">
        <f>Inputs!$B$3&gt;=100</f>
        <v/>
      </c>
      <c r="D1918" t="inlineStr"/>
      <c r="E1918" t="inlineStr"/>
      <c r="F1918">
        <f>U1920+Skills!O2</f>
        <v/>
      </c>
      <c r="G1918">
        <f>Skills!G2*IF(Skills!H2&gt;0,Skills!I2/Skills!H2,1)</f>
        <v/>
      </c>
      <c r="H1918">
        <f>1-(1-Skills!J2/100)^Skills!K2</f>
        <v/>
      </c>
      <c r="I1918" t="inlineStr">
        <is>
          <t>1</t>
        </is>
      </c>
      <c r="J1918">
        <f>((Inputs!$B$6*(1+Inputs!$B$7/100))+(((Inputs!$B$12*(1+Inputs!$B$13/100))-(Inputs!$B$12*(1+Inputs!$B$13/100)))+0.25*(Inputs!$B$14-Inputs!$B$14))*(1+Inputs!$B$7/100))*(F1918/100)</f>
        <v/>
      </c>
      <c r="K1918">
        <f>J1918*(1+((Inputs!$B$12*(1+Inputs!$B$13/100))*0.01+Inputs!$B$14*0.0025)/100)*(1+Inputs!$B$15/100)*(1+Inputs!$B$16/100)*(5000/(6000+Inputs!$B$42*(1-(100*(1-(1-(Inputs!$B$19+0)/100)*(1-CHOOSE(ArtifactsInput!$N$40+1,5,6,7,8,9,10)/100)^(ArtifactsInput!$M$40-ArtifactsInput!$M$40)))/100)))*(1+(Inputs!$B$24+((C1940=TRUE)*(F1940-Calc!F24))+((C1941=TRUE)*(F1941-Calc!F25))+B1954)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EMPOWERED_PIERCING_ARROW",Inputs!$B$17+((C1938=TRUE)*(F1938-Calc!F22))+(((IF(AND(ArtifactsInput!$M$42,((Inputs!$B$9+((C1935=TRUE)*(F1935-Calc!F19))+B1948+(ArtifactsInput!$M$24-ArtifactsInput!$M$24)*CHOOSE(ArtifactsInput!$N$24+1,10,12,14,16,18,20)+IF(ArtifactsInput!$M$10,CHOOSE(ArtifactsInput!$N$10+1,15,18,21,24,27,30)*(IF(Inputs!$B$38="pvp",MIN(15,15)/15,IF(AND(Inputs!$B$38&lt;&gt;"pvp",Inputs!$B$43&gt;0),MIN(15,Inputs!$B$43)/(Inputs!$B$43),0))),0)))&gt;=100),MIN(100,((Inputs!$B$9+((C1935=TRUE)*(F1935-Calc!F19))+B1948+(ArtifactsInput!$M$24-ArtifactsInput!$M$24)*CHOOSE(ArtifactsInput!$N$24+1,10,12,14,16,18,20)+IF(ArtifactsInput!$M$10,CHOOSE(ArtifactsInput!$N$10+1,15,18,21,24,27,30)*(IF(Inputs!$B$38="pvp",MIN(15,15)/15,IF(AND(Inputs!$B$38&lt;&gt;"pvp",Inputs!$B$43&gt;0),MIN(15,Inputs!$B$43)/(Inputs!$B$43),0))),0)))-100),0))*CHOOSE(ArtifactsInput!$N$42+1,0.6,0.72,0.84,0.96,1.08,1.2))),Inputs!$B$18+((C1943=TRUE)*(F1943-Calc!F27))+(IF(AND(ArtifactsInput!$M$42,((Inputs!$B$9+((C1935=TRUE)*(F1935-Calc!F19))+B1948+(ArtifactsInput!$M$24-ArtifactsInput!$M$24)*CHOOSE(ArtifactsInput!$N$24+1,10,12,14,16,18,20)+IF(ArtifactsInput!$M$10,CHOOSE(ArtifactsInput!$N$10+1,15,18,21,24,27,30)*(IF(Inputs!$B$38="pvp",MIN(15,15)/15,IF(AND(Inputs!$B$38&lt;&gt;"pvp",Inputs!$B$43&gt;0),MIN(15,Inputs!$B$43)/(Inputs!$B$43),0))),0)))&gt;=100),CHOOSE(ArtifactsInput!$N$42+1,40,48,56,64,72,80),0))))/100)*((1+(((C1929=TRUE)*F1929)+((C1930=TRUE)*IF(Inputs!$B$38="pvp",F1930,(1-Summary!$B$11)*(F1930)+Summary!$B$11*(0)))+((C1931=TRUE)*F1931*IF(AND(Inputs!$B$38&lt;&gt;"pvp",Inputs!$B$43&gt;0),(((R1931-1)*(Skills!T15*(1+Inputs!$B$34/100))+MIN((Skills!T15*(1+Inputs!$B$34/100)),MAX(0,Inputs!$B$43-((R1931-1)*Skills!D15))))/Inputs!$B$43),IF(Inputs!$B$38="pvp",MIN((Skills!T15*(1+Inputs!$B$34/100)),15)/15,(Skills!T15*(1+Inputs!$B$34/100))/Skills!D15)))+((C1928=TRUE)*F1928)+((C1945=TRUE)*(F1945-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1918)</f>
        <v/>
      </c>
      <c r="L1918">
        <f>K1918*(MIN(Inputs!$B$22+((C1939=TRUE)*(F1939-Calc!F23)),(Inputs!$B$23+((C1944=TRUE)*(F1944-Calc!F28))+(IF(ArtifactsInput!$M$15,CHOOSE(ArtifactsInput!$N$15+1,25,30,35,40,45,50)/100*(Inputs!$B$11-Inputs!$B$11),0))))/100+(Inputs!$B$23+((C1944=TRUE)*(F1944-Calc!F28))+(IF(ArtifactsInput!$M$15,CHOOSE(ArtifactsInput!$N$15+1,25,30,35,40,45,50)/100*(Inputs!$B$11-Inputs!$B$11),0)))/100)/2</f>
        <v/>
      </c>
      <c r="M1918">
        <f>L1918*(1+(Inputs!$B$10+0+B1953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918">
        <f>L1918*(1-MIN((Inputs!$B$9+((C1935=TRUE)*(F1935-Calc!F19))+B1948+(ArtifactsInput!$M$24-ArtifactsInput!$M$24)*CHOOSE(ArtifactsInput!$N$24+1,10,12,14,16,18,20)+(IF(AND(ArtifactsInput!$M$42,((Inputs!$B$9+((C1935=TRUE)*(F1935-Calc!F19))+B1948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1918*(MIN((Inputs!$B$9+((C1935=TRUE)*(F1935-Calc!F19))+B1948+(ArtifactsInput!$M$24-ArtifactsInput!$M$24)*CHOOSE(ArtifactsInput!$N$24+1,10,12,14,16,18,20)+(IF(AND(ArtifactsInput!$M$42,((Inputs!$B$9+((C1935=TRUE)*(F1935-Calc!F19))+B1948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918">
        <f>(1-Summary!$B$11)*T1918+Summary!$B$11*V1918</f>
        <v/>
      </c>
      <c r="P1918">
        <f>IF(B1958=0,0,O1918/B1958)</f>
        <v/>
      </c>
      <c r="Q1918" t="n">
        <v>0</v>
      </c>
      <c r="R1918" t="n">
        <v>0</v>
      </c>
      <c r="S1918">
        <f>IFERROR((Skills!G2*N1918*B1952)/N1918*IF(Inputs!$B$38="pvp",1,(1-Summary!$B$11)*1+Summary!$B$11*(MIN((6+Inputs!$B$33),Inputs!$B$37))),0)</f>
        <v/>
      </c>
      <c r="T1918">
        <f>IF(C1918,(Skills!G2*N1918*B1952)*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Hunt"),CHOOSE(ArtifactsInput!$N$35+1,15,18,21,24,27,30)*(1-EXP(-(0.2*B1950)*5)),0)+IF(AND(IF(ArtifactsInput!$M$22,FALSE,TRUE),Inputs!$B$4&lt;&gt;"Chapter Hunt"),CHOOSE(ArtifactsInput!$N$22+1,10,12,14,16,18,20)*((0*(((0.15*B1950*5))^0/1)+1*(((0.15*B1950*5))^1/1)+2*(((0.15*B1950*5))^2/2)+3*(((0.15*B1950*5))^3/6)+4*(((0.15*B1950*5))^4/24)+5*(((0.15*B1950*5))^5/120))/((((0.15*B1950*5))^0/1)+(((0.15*B1950*5))^1/1)+(((0.15*B1950*5))^2/2)+(((0.15*B1950*5))^3/6)+(((0.15*B1950*5))^4/24)+(((0.15*B1950*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1918*(1-MIN(100,(Inputs!$B$9+((C1935=TRUE)*(F1935-Calc!F19))+B1948+(ArtifactsInput!$M$24-ArtifactsInput!$M$24)*CHOOSE(ArtifactsInput!$N$24+1,10,12,14,16,18,20)+(IF(AND(ArtifactsInput!$M$42,((Inputs!$B$9+((C1935=TRUE)*(F1935-Calc!F19))+B1948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1918*(MIN(100,(Inputs!$B$9+((C1935=TRUE)*(F1935-Calc!F19))+B1948+(ArtifactsInput!$M$24-ArtifactsInput!$M$24)*CHOOSE(ArtifactsInput!$N$24+1,10,12,14,16,18,20)+(IF(AND(ArtifactsInput!$M$42,((Inputs!$B$9+((C1935=TRUE)*(F1935-Calc!F19))+B1948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1918*(1-MIN(100,(Inputs!$B$9+((C1935=TRUE)*(F1935-Calc!F19))+B1948+(ArtifactsInput!$M$24-ArtifactsInput!$M$24)*CHOOSE(ArtifactsInput!$N$24+1,10,12,14,16,18,20)+(IF(AND(ArtifactsInput!$M$42,((Inputs!$B$9+((C1935=TRUE)*(F1935-Calc!F19))+B1948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1918*(MIN(100,(Inputs!$B$9+((C1935=TRUE)*(F1935-Calc!F19))+B1948+(ArtifactsInput!$M$24-ArtifactsInput!$M$24)*CHOOSE(ArtifactsInput!$N$24+1,10,12,14,16,18,20)+(IF(AND(ArtifactsInput!$M$42,((Inputs!$B$9+((C1935=TRUE)*(F1935-Calc!F19))+B1948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918">
        <f>MAX(0,(Inputs!$B$3-100)*3)+Inputs!$B$28+Inputs!$B$29</f>
        <v/>
      </c>
      <c r="V1918">
        <f>IF(C1918,(Skills!G2*N1918*B1952)*IF(Inputs!$B$38="pvp",1,(1+(Inputs!$B$21+Skills!Q2+(IF(ArtifactsInput!$M$33,CHOOSE(ArtifactsInput!$N$33+1,30,36,42,48,54,60),0))+(IF(AND(ArtifactsInput!$M$35,Inputs!$B$4&lt;&gt;"Chapter Hunt"),CHOOSE(ArtifactsInput!$N$35+1,15,18,21,24,27,30)*(1-EXP(-(0.2*B1950)*5)),0)+IF(AND(IF(ArtifactsInput!$M$22,FALSE,TRUE),Inputs!$B$4&lt;&gt;"Chapter Hunt"),CHOOSE(ArtifactsInput!$N$22+1,10,12,14,16,18,20)*((0*(((0.15*B1950*5))^0/1)+1*(((0.15*B1950*5))^1/1)+2*(((0.15*B1950*5))^2/2)+3*(((0.15*B1950*5))^3/6)+4*(((0.15*B1950*5))^4/24)+5*(((0.15*B1950*5))^5/120))/((((0.15*B1950*5))^0/1)+(((0.15*B1950*5))^1/1)+(((0.15*B1950*5))^2/2)+(((0.15*B1950*5))^3/6)+(((0.15*B1950*5))^4/24)+(((0.15*B1950*5))^5/120)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919">
      <c r="A1919">
        <f>Skills!A3</f>
        <v/>
      </c>
      <c r="B1919">
        <f>Skills!B3</f>
        <v/>
      </c>
      <c r="C1919">
        <f>Inputs!$B$3&gt;=50</f>
        <v/>
      </c>
      <c r="D1919">
        <f>IF(Skills!C3=1,60+Inputs!$B$25+Inputs!$B$29,IF(Skills!C3=2,90+Inputs!$B$26+Inputs!$B$29,IF(Skills!C3=3,120+Inputs!$B$27+Inputs!$B$29,MAX(0,(Inputs!$B$3-100)*3)+Inputs!$B$28+Inputs!$B$29)))</f>
        <v/>
      </c>
      <c r="E1919">
        <f>INDEX(FactorTable!$B$2:$Y$301, MATCH(ROUND(MIN(300,MAX(1,D1919)),0), FactorTable!$A$2:$A$301,0), Skills!M3+1)</f>
        <v/>
      </c>
      <c r="F1919">
        <f>IF(Skills!N3=TRUE,(Skills!L3/10)*(E1919/1000),Skills!L3/10)+Skills!O3</f>
        <v/>
      </c>
      <c r="G1919" t="inlineStr"/>
      <c r="H1919" t="inlineStr"/>
      <c r="I1919" t="inlineStr">
        <is>
          <t>1</t>
        </is>
      </c>
      <c r="J1919" t="inlineStr"/>
      <c r="K1919" t="inlineStr"/>
      <c r="L1919" t="inlineStr"/>
      <c r="M1919" t="inlineStr"/>
      <c r="N1919" t="inlineStr"/>
      <c r="O1919" t="inlineStr"/>
      <c r="P1919" t="inlineStr"/>
      <c r="Q1919" t="inlineStr"/>
      <c r="R1919" t="inlineStr"/>
      <c r="S1919" t="inlineStr"/>
      <c r="T1919" t="inlineStr"/>
      <c r="U1919">
        <f>INDEX(FactorTable!$B$2:$Y$301, MATCH(ROUND(MIN(300,MAX(1,U1918)),0), FactorTable!$A$2:$A$301,0), 22)</f>
        <v/>
      </c>
      <c r="V1919" t="inlineStr"/>
    </row>
    <row r="1920">
      <c r="A1920">
        <f>Skills!A4</f>
        <v/>
      </c>
      <c r="B1920">
        <f>Skills!B4</f>
        <v/>
      </c>
      <c r="C1920">
        <f>Inputs!$B$3&gt;=105</f>
        <v/>
      </c>
      <c r="D1920">
        <f>IF(Skills!C4=1,60+Inputs!$B$25+Inputs!$B$29,IF(Skills!C4=2,90+Inputs!$B$26+Inputs!$B$29,IF(Skills!C4=3,120+Inputs!$B$27+Inputs!$B$29,MAX(0,(Inputs!$B$3-100)*3)+Inputs!$B$28+Inputs!$B$29)))</f>
        <v/>
      </c>
      <c r="E1920">
        <f>INDEX(FactorTable!$B$2:$Y$301, MATCH(ROUND(MIN(300,MAX(1,D1920)),0), FactorTable!$A$2:$A$301,0), Skills!M4+1)</f>
        <v/>
      </c>
      <c r="F1920">
        <f>IF(Skills!N4=TRUE,(Skills!L4/10)*(E1920/1000),Skills!L4/10)+Skills!O4</f>
        <v/>
      </c>
      <c r="G1920" t="inlineStr"/>
      <c r="H1920" t="inlineStr"/>
      <c r="I1920" t="inlineStr">
        <is>
          <t>1</t>
        </is>
      </c>
      <c r="J1920" t="inlineStr"/>
      <c r="K1920" t="inlineStr"/>
      <c r="L1920" t="inlineStr"/>
      <c r="M1920" t="inlineStr"/>
      <c r="N1920" t="inlineStr"/>
      <c r="O1920" t="inlineStr"/>
      <c r="P1920" t="inlineStr"/>
      <c r="Q1920" t="inlineStr"/>
      <c r="R1920" t="inlineStr"/>
      <c r="S1920" t="inlineStr"/>
      <c r="T1920" t="inlineStr"/>
      <c r="U1920">
        <f>290*U1919/1000</f>
        <v/>
      </c>
      <c r="V1920" t="inlineStr"/>
    </row>
    <row r="1921">
      <c r="A1921">
        <f>Skills!A5</f>
        <v/>
      </c>
      <c r="B1921">
        <f>Skills!B5</f>
        <v/>
      </c>
      <c r="C1921">
        <f>Inputs!$B$3&gt;=35</f>
        <v/>
      </c>
      <c r="D1921">
        <f>IF(Skills!C5=1,60+Inputs!$B$25+Inputs!$B$29,IF(Skills!C5=2,90+Inputs!$B$26+Inputs!$B$29,IF(Skills!C5=3,120+Inputs!$B$27+Inputs!$B$29,MAX(0,(Inputs!$B$3-100)*3)+Inputs!$B$28+Inputs!$B$29)))</f>
        <v/>
      </c>
      <c r="E1921">
        <f>INDEX(FactorTable!$B$2:$Y$301, MATCH(ROUND(MIN(300,MAX(1,D1921)),0), FactorTable!$A$2:$A$301,0), Skills!M5+1)</f>
        <v/>
      </c>
      <c r="F1921">
        <f>IF(Skills!N5=TRUE,(Skills!L5/10)*(E1921/1000),Skills!L5/10)+Skills!O5</f>
        <v/>
      </c>
      <c r="G1921">
        <f>Skills!G5*IF(Skills!H5&gt;0,Skills!I5/Skills!H5,1)</f>
        <v/>
      </c>
      <c r="H1921">
        <f>1-(1-Skills!J5/100)^Skills!K5</f>
        <v/>
      </c>
      <c r="I1921" t="inlineStr">
        <is>
          <t>1</t>
        </is>
      </c>
      <c r="J1921">
        <f>((Inputs!$B$6*(1+Inputs!$B$7/100))+(((Inputs!$B$12*(1+Inputs!$B$13/100))-(Inputs!$B$12*(1+Inputs!$B$13/100)))+0.25*(Inputs!$B$14-Inputs!$B$14))*(1+Inputs!$B$7/100))*(F1921/100)</f>
        <v/>
      </c>
      <c r="K1921">
        <f>J1921*(1+((Inputs!$B$12*(1+Inputs!$B$13/100))*0.01+Inputs!$B$14*0.0025)/100)*(1+Inputs!$B$15/100)*(1+Inputs!$B$16/100)*(5000/(6000+Inputs!$B$42*(1-(100*(1-(1-(Inputs!$B$19+0)/100)*(1-CHOOSE(ArtifactsInput!$N$40+1,5,6,7,8,9,10)/100)^(ArtifactsInput!$M$40-ArtifactsInput!$M$40)))/100)))*(1+(Inputs!$B$24+((C1940=TRUE)*(F1940-Calc!F24))+((C1941=TRUE)*(F1941-Calc!F25))+B1954)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1924=TRUE,F1924,0)/100)*(1+(IF(Skills!A5="EMPOWERED_PIERCING_ARROW",Inputs!$B$17+((C1938=TRUE)*(F1938-Calc!F22))+(((IF(AND(ArtifactsInput!$M$42,((Inputs!$B$9+((C1935=TRUE)*(F1935-Calc!F19))+B1948+(ArtifactsInput!$M$24-ArtifactsInput!$M$24)*CHOOSE(ArtifactsInput!$N$24+1,10,12,14,16,18,20)+IF(ArtifactsInput!$M$10,CHOOSE(ArtifactsInput!$N$10+1,15,18,21,24,27,30)*(IF(Inputs!$B$38="pvp",MIN(15,15)/15,IF(AND(Inputs!$B$38&lt;&gt;"pvp",Inputs!$B$43&gt;0),MIN(15,Inputs!$B$43)/(Inputs!$B$43),0))),0)))&gt;=100),MIN(100,((Inputs!$B$9+((C1935=TRUE)*(F1935-Calc!F19))+B1948+(ArtifactsInput!$M$24-ArtifactsInput!$M$24)*CHOOSE(ArtifactsInput!$N$24+1,10,12,14,16,18,20)+IF(ArtifactsInput!$M$10,CHOOSE(ArtifactsInput!$N$10+1,15,18,21,24,27,30)*(IF(Inputs!$B$38="pvp",MIN(15,15)/15,IF(AND(Inputs!$B$38&lt;&gt;"pvp",Inputs!$B$43&gt;0),MIN(15,Inputs!$B$43)/(Inputs!$B$43),0))),0)))-100),0))*CHOOSE(ArtifactsInput!$N$42+1,0.6,0.72,0.84,0.96,1.08,1.2))),Inputs!$B$18+((C1943=TRUE)*(F1943-Calc!F27))+(IF(AND(ArtifactsInput!$M$42,((Inputs!$B$9+((C1935=TRUE)*(F1935-Calc!F19))+B1948+(ArtifactsInput!$M$24-ArtifactsInput!$M$24)*CHOOSE(ArtifactsInput!$N$24+1,10,12,14,16,18,20)+IF(ArtifactsInput!$M$10,CHOOSE(ArtifactsInput!$N$10+1,15,18,21,24,27,30)*(IF(Inputs!$B$38="pvp",MIN(15,15)/15,IF(AND(Inputs!$B$38&lt;&gt;"pvp",Inputs!$B$43&gt;0),MIN(15,Inputs!$B$43)/(Inputs!$B$43),0))),0)))&gt;=100),CHOOSE(ArtifactsInput!$N$42+1,40,48,56,64,72,80),0))))/100)*((1+(((C1929=TRUE)*F1929)+((C1930=TRUE)*IF(Inputs!$B$38="pvp",F1930,(1-Summary!$B$11)*(F1930)+Summary!$B$11*(0)))+((C1931=TRUE)*F1931*IF(AND(Inputs!$B$38&lt;&gt;"pvp",Inputs!$B$43&gt;0),(((R1931-1)*(Skills!T15*(1+Inputs!$B$34/100))+MIN((Skills!T15*(1+Inputs!$B$34/100)),MAX(0,Inputs!$B$43-((R1931-1)*Skills!D15))))/Inputs!$B$43),IF(Inputs!$B$38="pvp",MIN((Skills!T15*(1+Inputs!$B$34/100)),15)/15,(Skills!T15*(1+Inputs!$B$34/100))/Skills!D15)))+((C1928=TRUE)*F1928)+((C1945=TRUE)*(F1945-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1921)</f>
        <v/>
      </c>
      <c r="L1921">
        <f>K1921*(MIN(Inputs!$B$22+((C1939=TRUE)*(F1939-Calc!F23)),(Inputs!$B$23+((C1944=TRUE)*(F1944-Calc!F28))+(IF(ArtifactsInput!$M$15,CHOOSE(ArtifactsInput!$N$15+1,25,30,35,40,45,50)/100*(Inputs!$B$11-Inputs!$B$11),0))))/100+(Inputs!$B$23+((C1944=TRUE)*(F1944-Calc!F28))+(IF(ArtifactsInput!$M$15,CHOOSE(ArtifactsInput!$N$15+1,25,30,35,40,45,50)/100*(Inputs!$B$11-Inputs!$B$11),0)))/100)/2</f>
        <v/>
      </c>
      <c r="M1921">
        <f>L1921*(1+(Inputs!$B$10+0+B1953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921">
        <f>L1921*(1-MIN((Inputs!$B$9+((C1935=TRUE)*(F1935-Calc!F19))+B1948+(ArtifactsInput!$M$24-ArtifactsInput!$M$24)*CHOOSE(ArtifactsInput!$N$24+1,10,12,14,16,18,20)+(IF(AND(ArtifactsInput!$M$42,((Inputs!$B$9+((C1935=TRUE)*(F1935-Calc!F19))+B1948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1921*(MIN((Inputs!$B$9+((C1935=TRUE)*(F1935-Calc!F19))+B1948+(ArtifactsInput!$M$24-ArtifactsInput!$M$24)*CHOOSE(ArtifactsInput!$N$24+1,10,12,14,16,18,20)+(IF(AND(ArtifactsInput!$M$42,((Inputs!$B$9+((C1935=TRUE)*(F1935-Calc!F19))+B1948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921">
        <f>(1-Summary!$B$11)*T1921+Summary!$B$11*V1921</f>
        <v/>
      </c>
      <c r="P1921">
        <f>IF(B1958=0,0,O1921/B1958)</f>
        <v/>
      </c>
      <c r="Q1921">
        <f>IFERROR(1/IF(Inputs!$B$38="pvp",15,MAX(0.1,Skills!D5-IF(Skills!E5=TRUE,Inputs!$B$32,0))),0)</f>
        <v/>
      </c>
      <c r="R1921">
        <f>IF(AND(Inputs!$B$38&lt;&gt;"pvp",Inputs!$B$43&gt;0),IF(MAX(0,Inputs!$B$43-B1955)&lt;=0,0,(INT(MAX(0,Inputs!$B$43-B1955)/IF(Inputs!$B$38="pvp",15,MAX(0.1,Skills!D5-IF(Skills!E5=TRUE,Inputs!$B$32,0))))+1)),0)</f>
        <v/>
      </c>
      <c r="S1921">
        <f>IFERROR((H1921*N1921*IF(AND(Inputs!$B$38&lt;&gt;"pvp",Inputs!$B$43&gt;0),((Skills!G5*((R1921-1)*IF(Skills!H5&gt;0,Skills!I5/Skills!H5,1)+IF(Skills!H5&gt;0,MIN(Skills!I5,MAX(0,MAX(0,Inputs!$B$43-B1955)-((R1921-1)*IF(Inputs!$B$38="pvp",15,MAX(0.1,Skills!D5-IF(Skills!E5=TRUE,Inputs!$B$32,0))))))/Skills!H5,1)))/Inputs!$B$43),G1921*Q1921))/N1921*IF(Inputs!$B$38="pvp",1,(1-Summary!$B$11)*1+Summary!$B$11*(MIN(Skills!R5,Inputs!$B$37))),0)</f>
        <v/>
      </c>
      <c r="T1921">
        <f>IF(C1921,(H1921*N1921*IF(AND(Inputs!$B$38&lt;&gt;"pvp",Inputs!$B$43&gt;0),((Skills!G5*((R1921-1)*IF(Skills!H5&gt;0,Skills!I5/Skills!H5,1)+IF(Skills!H5&gt;0,MIN(Skills!I5,MAX(0,MAX(0,Inputs!$B$43-B1955)-((R1921-1)*IF(Inputs!$B$38="pvp",15,MAX(0.1,Skills!D5-IF(Skills!E5=TRUE,Inputs!$B$32,0))))))/Skills!H5,1)))/Inputs!$B$43),G1921*Q1921))*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Hunt"),CHOOSE(ArtifactsInput!$N$35+1,15,18,21,24,27,30)*(1-EXP(-(0.2*B1950)*5)),0)+IF(AND(IF(ArtifactsInput!$M$22,FALSE,TRUE),Inputs!$B$4&lt;&gt;"Chapter Hunt"),CHOOSE(ArtifactsInput!$N$22+1,10,12,14,16,18,20)*((0*(((0.15*B1950*5))^0/1)+1*(((0.15*B1950*5))^1/1)+2*(((0.15*B1950*5))^2/2)+3*(((0.15*B1950*5))^3/6)+4*(((0.15*B1950*5))^4/24)+5*(((0.15*B1950*5))^5/120))/((((0.15*B1950*5))^0/1)+(((0.15*B1950*5))^1/1)+(((0.15*B1950*5))^2/2)+(((0.15*B1950*5))^3/6)+(((0.15*B1950*5))^4/24)+(((0.15*B1950*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1921*(1-MIN(100,(Inputs!$B$9+((C1935=TRUE)*(F1935-Calc!F19))+B1948+(ArtifactsInput!$M$24-ArtifactsInput!$M$24)*CHOOSE(ArtifactsInput!$N$24+1,10,12,14,16,18,20)+(IF(AND(ArtifactsInput!$M$42,((Inputs!$B$9+((C1935=TRUE)*(F1935-Calc!F19))+B1948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1921*(MIN(100,(Inputs!$B$9+((C1935=TRUE)*(F1935-Calc!F19))+B1948+(ArtifactsInput!$M$24-ArtifactsInput!$M$24)*CHOOSE(ArtifactsInput!$N$24+1,10,12,14,16,18,20)+(IF(AND(ArtifactsInput!$M$42,((Inputs!$B$9+((C1935=TRUE)*(F1935-Calc!F19))+B1948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1921*(1-MIN(100,(Inputs!$B$9+((C1935=TRUE)*(F1935-Calc!F19))+B1948+(ArtifactsInput!$M$24-ArtifactsInput!$M$24)*CHOOSE(ArtifactsInput!$N$24+1,10,12,14,16,18,20)+(IF(AND(ArtifactsInput!$M$42,((Inputs!$B$9+((C1935=TRUE)*(F1935-Calc!F19))+B1948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1921*(MIN(100,(Inputs!$B$9+((C1935=TRUE)*(F1935-Calc!F19))+B1948+(ArtifactsInput!$M$24-ArtifactsInput!$M$24)*CHOOSE(ArtifactsInput!$N$24+1,10,12,14,16,18,20)+(IF(AND(ArtifactsInput!$M$42,((Inputs!$B$9+((C1935=TRUE)*(F1935-Calc!F19))+B1948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921">
        <f>IF(C1921,(H1921*N1921*IF(AND(Inputs!$B$38&lt;&gt;"pvp",Inputs!$B$43&gt;0),((Skills!G5*((R1921-1)*IF(Skills!H5&gt;0,Skills!I5/Skills!H5,1)+IF(Skills!H5&gt;0,MIN(Skills!I5,MAX(0,MAX(0,Inputs!$B$43-B1955)-((R1921-1)*IF(Inputs!$B$38="pvp",15,MAX(0.1,Skills!D5-IF(Skills!E5=TRUE,Inputs!$B$32,0))))))/Skills!H5,1)))/Inputs!$B$43),G1921*Q1921))*IF(Inputs!$B$38="pvp",1,(1+(Inputs!$B$21+Skills!Q5+(IF(ArtifactsInput!$M$33,CHOOSE(ArtifactsInput!$N$33+1,30,36,42,48,54,60),0))+(IF(AND(ArtifactsInput!$M$35,Inputs!$B$4&lt;&gt;"Chapter Hunt"),CHOOSE(ArtifactsInput!$N$35+1,15,18,21,24,27,30)*(1-EXP(-(0.2*B1950)*5)),0)+IF(AND(IF(ArtifactsInput!$M$22,FALSE,TRUE),Inputs!$B$4&lt;&gt;"Chapter Hunt"),CHOOSE(ArtifactsInput!$N$22+1,10,12,14,16,18,20)*((0*(((0.15*B1950*5))^0/1)+1*(((0.15*B1950*5))^1/1)+2*(((0.15*B1950*5))^2/2)+3*(((0.15*B1950*5))^3/6)+4*(((0.15*B1950*5))^4/24)+5*(((0.15*B1950*5))^5/120))/((((0.15*B1950*5))^0/1)+(((0.15*B1950*5))^1/1)+(((0.15*B1950*5))^2/2)+(((0.15*B1950*5))^3/6)+(((0.15*B1950*5))^4/24)+(((0.15*B1950*5))^5/120)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922">
      <c r="A1922">
        <f>Skills!A6</f>
        <v/>
      </c>
      <c r="B1922">
        <f>Skills!B6</f>
        <v/>
      </c>
      <c r="C1922">
        <f>Inputs!$B$3&gt;=63</f>
        <v/>
      </c>
      <c r="D1922">
        <f>IF(Skills!C6=1,60+Inputs!$B$25+Inputs!$B$29,IF(Skills!C6=2,90+Inputs!$B$26+Inputs!$B$29,IF(Skills!C6=3,120+Inputs!$B$27+Inputs!$B$29,MAX(0,(Inputs!$B$3-100)*3)+Inputs!$B$28+Inputs!$B$29)))</f>
        <v/>
      </c>
      <c r="E1922">
        <f>INDEX(FactorTable!$B$2:$Y$301, MATCH(ROUND(MIN(300,MAX(1,D1922)),0), FactorTable!$A$2:$A$301,0), Skills!M6+1)</f>
        <v/>
      </c>
      <c r="F1922">
        <f>IF(Skills!N6=TRUE,(Skills!L6/10)*(E1922/1000),Skills!L6/10)+Skills!O6</f>
        <v/>
      </c>
      <c r="G1922">
        <f>Skills!G6*IF(Skills!H6&gt;0,Skills!I6/Skills!H6,1)</f>
        <v/>
      </c>
      <c r="H1922">
        <f>1-(1-Skills!J6/100)^Skills!K6</f>
        <v/>
      </c>
      <c r="I1922" t="inlineStr">
        <is>
          <t>1</t>
        </is>
      </c>
      <c r="J1922">
        <f>((Inputs!$B$6*(1+Inputs!$B$7/100))+(((Inputs!$B$12*(1+Inputs!$B$13/100))-(Inputs!$B$12*(1+Inputs!$B$13/100)))+0.25*(Inputs!$B$14-Inputs!$B$14))*(1+Inputs!$B$7/100))*(F1922/100)</f>
        <v/>
      </c>
      <c r="K1922">
        <f>J1922*(1+((Inputs!$B$12*(1+Inputs!$B$13/100))*0.01+Inputs!$B$14*0.0025)/100)*(1+Inputs!$B$15/100)*(1+Inputs!$B$16/100)*(5000/(6000+Inputs!$B$42*(1-(100*(1-(1-(Inputs!$B$19+0)/100)*(1-CHOOSE(ArtifactsInput!$N$40+1,5,6,7,8,9,10)/100)^(ArtifactsInput!$M$40-ArtifactsInput!$M$40)))/100)))*(1+(Inputs!$B$24+((C1940=TRUE)*(F1940-Calc!F24))+((C1941=TRUE)*(F1941-Calc!F25))+B1954)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1924=TRUE,F1924,0)/100)*(1+(IF(Skills!A6="EMPOWERED_PIERCING_ARROW",Inputs!$B$17+((C1938=TRUE)*(F1938-Calc!F22))+(((IF(AND(ArtifactsInput!$M$42,((Inputs!$B$9+((C1935=TRUE)*(F1935-Calc!F19))+B1948+(ArtifactsInput!$M$24-ArtifactsInput!$M$24)*CHOOSE(ArtifactsInput!$N$24+1,10,12,14,16,18,20)+IF(ArtifactsInput!$M$10,CHOOSE(ArtifactsInput!$N$10+1,15,18,21,24,27,30)*(IF(Inputs!$B$38="pvp",MIN(15,15)/15,IF(AND(Inputs!$B$38&lt;&gt;"pvp",Inputs!$B$43&gt;0),MIN(15,Inputs!$B$43)/(Inputs!$B$43),0))),0)))&gt;=100),MIN(100,((Inputs!$B$9+((C1935=TRUE)*(F1935-Calc!F19))+B1948+(ArtifactsInput!$M$24-ArtifactsInput!$M$24)*CHOOSE(ArtifactsInput!$N$24+1,10,12,14,16,18,20)+IF(ArtifactsInput!$M$10,CHOOSE(ArtifactsInput!$N$10+1,15,18,21,24,27,30)*(IF(Inputs!$B$38="pvp",MIN(15,15)/15,IF(AND(Inputs!$B$38&lt;&gt;"pvp",Inputs!$B$43&gt;0),MIN(15,Inputs!$B$43)/(Inputs!$B$43),0))),0)))-100),0))*CHOOSE(ArtifactsInput!$N$42+1,0.6,0.72,0.84,0.96,1.08,1.2))),Inputs!$B$18+((C1943=TRUE)*(F1943-Calc!F27))+(IF(AND(ArtifactsInput!$M$42,((Inputs!$B$9+((C1935=TRUE)*(F1935-Calc!F19))+B1948+(ArtifactsInput!$M$24-ArtifactsInput!$M$24)*CHOOSE(ArtifactsInput!$N$24+1,10,12,14,16,18,20)+IF(ArtifactsInput!$M$10,CHOOSE(ArtifactsInput!$N$10+1,15,18,21,24,27,30)*(IF(Inputs!$B$38="pvp",MIN(15,15)/15,IF(AND(Inputs!$B$38&lt;&gt;"pvp",Inputs!$B$43&gt;0),MIN(15,Inputs!$B$43)/(Inputs!$B$43),0))),0)))&gt;=100),CHOOSE(ArtifactsInput!$N$42+1,40,48,56,64,72,80),0))))/100)*((1+(((C1929=TRUE)*F1929)+((C1930=TRUE)*IF(Inputs!$B$38="pvp",F1930,(1-Summary!$B$11)*(F1930)+Summary!$B$11*(0)))+((C1931=TRUE)*F1931*IF(AND(Inputs!$B$38&lt;&gt;"pvp",Inputs!$B$43&gt;0),(((R1931-1)*(Skills!T15*(1+Inputs!$B$34/100))+MIN((Skills!T15*(1+Inputs!$B$34/100)),MAX(0,Inputs!$B$43-((R1931-1)*Skills!D15))))/Inputs!$B$43),IF(Inputs!$B$38="pvp",MIN((Skills!T15*(1+Inputs!$B$34/100)),15)/15,(Skills!T15*(1+Inputs!$B$34/100))/Skills!D15)))+((C1928=TRUE)*F1928)+((C1945=TRUE)*(F1945-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1922)</f>
        <v/>
      </c>
      <c r="L1922">
        <f>K1922*(MIN(Inputs!$B$22+((C1939=TRUE)*(F1939-Calc!F23)),(Inputs!$B$23+((C1944=TRUE)*(F1944-Calc!F28))+(IF(ArtifactsInput!$M$15,CHOOSE(ArtifactsInput!$N$15+1,25,30,35,40,45,50)/100*(Inputs!$B$11-Inputs!$B$11),0))))/100+(Inputs!$B$23+((C1944=TRUE)*(F1944-Calc!F28))+(IF(ArtifactsInput!$M$15,CHOOSE(ArtifactsInput!$N$15+1,25,30,35,40,45,50)/100*(Inputs!$B$11-Inputs!$B$11),0)))/100)/2</f>
        <v/>
      </c>
      <c r="M1922">
        <f>L1922*(1+(Inputs!$B$10+0+B1953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922">
        <f>L1922*(1-MIN((Inputs!$B$9+((C1935=TRUE)*(F1935-Calc!F19))+B1948+(ArtifactsInput!$M$24-ArtifactsInput!$M$24)*CHOOSE(ArtifactsInput!$N$24+1,10,12,14,16,18,20)+(IF(AND(ArtifactsInput!$M$42,((Inputs!$B$9+((C1935=TRUE)*(F1935-Calc!F19))+B1948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1922*(MIN((Inputs!$B$9+((C1935=TRUE)*(F1935-Calc!F19))+B1948+(ArtifactsInput!$M$24-ArtifactsInput!$M$24)*CHOOSE(ArtifactsInput!$N$24+1,10,12,14,16,18,20)+(IF(AND(ArtifactsInput!$M$42,((Inputs!$B$9+((C1935=TRUE)*(F1935-Calc!F19))+B1948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922">
        <f>(1-Summary!$B$11)*T1922+Summary!$B$11*V1922</f>
        <v/>
      </c>
      <c r="P1922">
        <f>IF(B1958=0,0,O1922/B1958)</f>
        <v/>
      </c>
      <c r="Q1922">
        <f>IFERROR(1/IF(Inputs!$B$38="pvp",15,MAX(0.1,Skills!D6-IF(Skills!E6=TRUE,Inputs!$B$32,0))),0)</f>
        <v/>
      </c>
      <c r="R1922">
        <f>IF(AND(Inputs!$B$38&lt;&gt;"pvp",Inputs!$B$43&gt;0),IF(MAX(0,Inputs!$B$43-B1955)&lt;=0,0,(INT(MAX(0,Inputs!$B$43-B1955)/IF(Inputs!$B$38="pvp",15,MAX(0.1,Skills!D6-IF(Skills!E6=TRUE,Inputs!$B$32,0))))+1)),0)</f>
        <v/>
      </c>
      <c r="S1922">
        <f>IFERROR((H1922*N1922*IF(AND(Inputs!$B$38&lt;&gt;"pvp",Inputs!$B$43&gt;0),((Skills!G6*((R1922-1)*IF(Skills!H6&gt;0,Skills!I6/Skills!H6,1)+IF(Skills!H6&gt;0,MIN(Skills!I6,MAX(0,MAX(0,Inputs!$B$43-B1955)-((R1922-1)*IF(Inputs!$B$38="pvp",15,MAX(0.1,Skills!D6-IF(Skills!E6=TRUE,Inputs!$B$32,0))))))/Skills!H6,1)))/Inputs!$B$43),G1922*Q1922))/N1922*IF(Inputs!$B$38="pvp",1,(1-Summary!$B$11)*1+Summary!$B$11*(MIN(Skills!R6,Inputs!$B$37))),0)</f>
        <v/>
      </c>
      <c r="T1922">
        <f>IF(C1922,(H1922*N1922*IF(AND(Inputs!$B$38&lt;&gt;"pvp",Inputs!$B$43&gt;0),((Skills!G6*((R1922-1)*IF(Skills!H6&gt;0,Skills!I6/Skills!H6,1)+IF(Skills!H6&gt;0,MIN(Skills!I6,MAX(0,MAX(0,Inputs!$B$43-B1955)-((R1922-1)*IF(Inputs!$B$38="pvp",15,MAX(0.1,Skills!D6-IF(Skills!E6=TRUE,Inputs!$B$32,0))))))/Skills!H6,1)))/Inputs!$B$43),G1922*Q1922))*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Hunt"),CHOOSE(ArtifactsInput!$N$35+1,15,18,21,24,27,30)*(1-EXP(-(0.2*B1950)*5)),0)+IF(AND(IF(ArtifactsInput!$M$22,FALSE,TRUE),Inputs!$B$4&lt;&gt;"Chapter Hunt"),CHOOSE(ArtifactsInput!$N$22+1,10,12,14,16,18,20)*((0*(((0.15*B1950*5))^0/1)+1*(((0.15*B1950*5))^1/1)+2*(((0.15*B1950*5))^2/2)+3*(((0.15*B1950*5))^3/6)+4*(((0.15*B1950*5))^4/24)+5*(((0.15*B1950*5))^5/120))/((((0.15*B1950*5))^0/1)+(((0.15*B1950*5))^1/1)+(((0.15*B1950*5))^2/2)+(((0.15*B1950*5))^3/6)+(((0.15*B1950*5))^4/24)+(((0.15*B1950*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1922*(1-MIN(100,(Inputs!$B$9+((C1935=TRUE)*(F1935-Calc!F19))+B1948+(ArtifactsInput!$M$24-ArtifactsInput!$M$24)*CHOOSE(ArtifactsInput!$N$24+1,10,12,14,16,18,20)+(IF(AND(ArtifactsInput!$M$42,((Inputs!$B$9+((C1935=TRUE)*(F1935-Calc!F19))+B1948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1922*(MIN(100,(Inputs!$B$9+((C1935=TRUE)*(F1935-Calc!F19))+B1948+(ArtifactsInput!$M$24-ArtifactsInput!$M$24)*CHOOSE(ArtifactsInput!$N$24+1,10,12,14,16,18,20)+(IF(AND(ArtifactsInput!$M$42,((Inputs!$B$9+((C1935=TRUE)*(F1935-Calc!F19))+B1948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1922*(1-MIN(100,(Inputs!$B$9+((C1935=TRUE)*(F1935-Calc!F19))+B1948+(ArtifactsInput!$M$24-ArtifactsInput!$M$24)*CHOOSE(ArtifactsInput!$N$24+1,10,12,14,16,18,20)+(IF(AND(ArtifactsInput!$M$42,((Inputs!$B$9+((C1935=TRUE)*(F1935-Calc!F19))+B1948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1922*(MIN(100,(Inputs!$B$9+((C1935=TRUE)*(F1935-Calc!F19))+B1948+(ArtifactsInput!$M$24-ArtifactsInput!$M$24)*CHOOSE(ArtifactsInput!$N$24+1,10,12,14,16,18,20)+(IF(AND(ArtifactsInput!$M$42,((Inputs!$B$9+((C1935=TRUE)*(F1935-Calc!F19))+B1948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922">
        <f>IF(C1922,(H1922*N1922*IF(AND(Inputs!$B$38&lt;&gt;"pvp",Inputs!$B$43&gt;0),((Skills!G6*((R1922-1)*IF(Skills!H6&gt;0,Skills!I6/Skills!H6,1)+IF(Skills!H6&gt;0,MIN(Skills!I6,MAX(0,MAX(0,Inputs!$B$43-B1955)-((R1922-1)*IF(Inputs!$B$38="pvp",15,MAX(0.1,Skills!D6-IF(Skills!E6=TRUE,Inputs!$B$32,0))))))/Skills!H6,1)))/Inputs!$B$43),G1922*Q1922))*IF(Inputs!$B$38="pvp",1,(1+(Inputs!$B$21+Skills!Q6+(IF(ArtifactsInput!$M$33,CHOOSE(ArtifactsInput!$N$33+1,30,36,42,48,54,60),0))+(IF(AND(ArtifactsInput!$M$35,Inputs!$B$4&lt;&gt;"Chapter Hunt"),CHOOSE(ArtifactsInput!$N$35+1,15,18,21,24,27,30)*(1-EXP(-(0.2*B1950)*5)),0)+IF(AND(IF(ArtifactsInput!$M$22,FALSE,TRUE),Inputs!$B$4&lt;&gt;"Chapter Hunt"),CHOOSE(ArtifactsInput!$N$22+1,10,12,14,16,18,20)*((0*(((0.15*B1950*5))^0/1)+1*(((0.15*B1950*5))^1/1)+2*(((0.15*B1950*5))^2/2)+3*(((0.15*B1950*5))^3/6)+4*(((0.15*B1950*5))^4/24)+5*(((0.15*B1950*5))^5/120))/((((0.15*B1950*5))^0/1)+(((0.15*B1950*5))^1/1)+(((0.15*B1950*5))^2/2)+(((0.15*B1950*5))^3/6)+(((0.15*B1950*5))^4/24)+(((0.15*B1950*5))^5/120))),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923">
      <c r="A1923">
        <f>Skills!A7</f>
        <v/>
      </c>
      <c r="B1923">
        <f>Skills!B7</f>
        <v/>
      </c>
      <c r="C1923">
        <f>Inputs!$B$3&gt;=69</f>
        <v/>
      </c>
      <c r="D1923">
        <f>IF(Skills!C7=1,60+Inputs!$B$25+Inputs!$B$29,IF(Skills!C7=2,90+Inputs!$B$26+Inputs!$B$29,IF(Skills!C7=3,120+Inputs!$B$27+Inputs!$B$29,MAX(0,(Inputs!$B$3-100)*3)+Inputs!$B$28+Inputs!$B$29)))</f>
        <v/>
      </c>
      <c r="E1923">
        <f>INDEX(FactorTable!$B$2:$Y$301, MATCH(ROUND(MIN(300,MAX(1,D1923)),0), FactorTable!$A$2:$A$301,0), Skills!M7+1)</f>
        <v/>
      </c>
      <c r="F1923">
        <f>IF(Skills!N7=TRUE,(Skills!L7/10)*(E1923/1000),Skills!L7/10)+Skills!O7</f>
        <v/>
      </c>
      <c r="G1923">
        <f>Skills!G7*IF(Skills!H7&gt;0,Skills!I7/Skills!H7,1)</f>
        <v/>
      </c>
      <c r="H1923">
        <f>1-(1-Skills!J7/100)^Skills!K7</f>
        <v/>
      </c>
      <c r="I1923" t="inlineStr">
        <is>
          <t>1</t>
        </is>
      </c>
      <c r="J1923">
        <f>((Inputs!$B$6*(1+Inputs!$B$7/100))+(((Inputs!$B$12*(1+Inputs!$B$13/100))-(Inputs!$B$12*(1+Inputs!$B$13/100)))+0.25*(Inputs!$B$14-Inputs!$B$14))*(1+Inputs!$B$7/100))*(F1923/100)</f>
        <v/>
      </c>
      <c r="K1923">
        <f>J1923*(1+((Inputs!$B$12*(1+Inputs!$B$13/100))*0.01+Inputs!$B$14*0.0025)/100)*(1+Inputs!$B$15/100)*(1+Inputs!$B$16/100)*(5000/(6000+Inputs!$B$42*(1-(100*(1-(1-(Inputs!$B$19+0)/100)*(1-CHOOSE(ArtifactsInput!$N$40+1,5,6,7,8,9,10)/100)^(ArtifactsInput!$M$40-ArtifactsInput!$M$40)))/100)))*(1+(Inputs!$B$24+((C1940=TRUE)*(F1940-Calc!F24))+((C1941=TRUE)*(F1941-Calc!F25))+B1954)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+1.2*IF(C1924=TRUE,F1924,0)/100)*(1+(IF(Skills!A7="EMPOWERED_PIERCING_ARROW",Inputs!$B$17+((C1938=TRUE)*(F1938-Calc!F22))+(((IF(AND(ArtifactsInput!$M$42,((Inputs!$B$9+((C1935=TRUE)*(F1935-Calc!F19))+B1948+(ArtifactsInput!$M$24-ArtifactsInput!$M$24)*CHOOSE(ArtifactsInput!$N$24+1,10,12,14,16,18,20)+IF(ArtifactsInput!$M$10,CHOOSE(ArtifactsInput!$N$10+1,15,18,21,24,27,30)*(IF(Inputs!$B$38="pvp",MIN(15,15)/15,IF(AND(Inputs!$B$38&lt;&gt;"pvp",Inputs!$B$43&gt;0),MIN(15,Inputs!$B$43)/(Inputs!$B$43),0))),0)))&gt;=100),MIN(100,((Inputs!$B$9+((C1935=TRUE)*(F1935-Calc!F19))+B1948+(ArtifactsInput!$M$24-ArtifactsInput!$M$24)*CHOOSE(ArtifactsInput!$N$24+1,10,12,14,16,18,20)+IF(ArtifactsInput!$M$10,CHOOSE(ArtifactsInput!$N$10+1,15,18,21,24,27,30)*(IF(Inputs!$B$38="pvp",MIN(15,15)/15,IF(AND(Inputs!$B$38&lt;&gt;"pvp",Inputs!$B$43&gt;0),MIN(15,Inputs!$B$43)/(Inputs!$B$43),0))),0)))-100),0))*CHOOSE(ArtifactsInput!$N$42+1,0.6,0.72,0.84,0.96,1.08,1.2))),Inputs!$B$18+((C1943=TRUE)*(F1943-Calc!F27))+(IF(AND(ArtifactsInput!$M$42,((Inputs!$B$9+((C1935=TRUE)*(F1935-Calc!F19))+B1948+(ArtifactsInput!$M$24-ArtifactsInput!$M$24)*CHOOSE(ArtifactsInput!$N$24+1,10,12,14,16,18,20)+IF(ArtifactsInput!$M$10,CHOOSE(ArtifactsInput!$N$10+1,15,18,21,24,27,30)*(IF(Inputs!$B$38="pvp",MIN(15,15)/15,IF(AND(Inputs!$B$38&lt;&gt;"pvp",Inputs!$B$43&gt;0),MIN(15,Inputs!$B$43)/(Inputs!$B$43),0))),0)))&gt;=100),CHOOSE(ArtifactsInput!$N$42+1,40,48,56,64,72,80),0))))/100)*((1+(((C1929=TRUE)*F1929)+((C1930=TRUE)*IF(Inputs!$B$38="pvp",F1930,(1-Summary!$B$11)*(F1930)+Summary!$B$11*(0)))+((C1931=TRUE)*F1931*IF(AND(Inputs!$B$38&lt;&gt;"pvp",Inputs!$B$43&gt;0),(((R1931-1)*(Skills!T15*(1+Inputs!$B$34/100))+MIN((Skills!T15*(1+Inputs!$B$34/100)),MAX(0,Inputs!$B$43-((R1931-1)*Skills!D15))))/Inputs!$B$43),IF(Inputs!$B$38="pvp",MIN((Skills!T15*(1+Inputs!$B$34/100)),15)/15,(Skills!T15*(1+Inputs!$B$34/100))/Skills!D15)))+((C1928=TRUE)*F1928)+((C1945=TRUE)*(F1945-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1923)</f>
        <v/>
      </c>
      <c r="L1923">
        <f>K1923*(MIN(Inputs!$B$22+((C1939=TRUE)*(F1939-Calc!F23)),(Inputs!$B$23+((C1944=TRUE)*(F1944-Calc!F28))+(IF(ArtifactsInput!$M$15,CHOOSE(ArtifactsInput!$N$15+1,25,30,35,40,45,50)/100*(Inputs!$B$11-Inputs!$B$11),0))))/100+(Inputs!$B$23+((C1944=TRUE)*(F1944-Calc!F28))+(IF(ArtifactsInput!$M$15,CHOOSE(ArtifactsInput!$N$15+1,25,30,35,40,45,50)/100*(Inputs!$B$11-Inputs!$B$11),0)))/100)/2</f>
        <v/>
      </c>
      <c r="M1923">
        <f>L1923*(1+(Inputs!$B$10+0+B1953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923">
        <f>L1923*(1-MIN((Inputs!$B$9+((C1935=TRUE)*(F1935-Calc!F19))+B1948+(ArtifactsInput!$M$24-ArtifactsInput!$M$24)*CHOOSE(ArtifactsInput!$N$24+1,10,12,14,16,18,20)+(IF(AND(ArtifactsInput!$M$42,((Inputs!$B$9+((C1935=TRUE)*(F1935-Calc!F19))+B1948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1923*(MIN((Inputs!$B$9+((C1935=TRUE)*(F1935-Calc!F19))+B1948+(ArtifactsInput!$M$24-ArtifactsInput!$M$24)*CHOOSE(ArtifactsInput!$N$24+1,10,12,14,16,18,20)+(IF(AND(ArtifactsInput!$M$42,((Inputs!$B$9+((C1935=TRUE)*(F1935-Calc!F19))+B1948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923">
        <f>(1-Summary!$B$11)*T1923+Summary!$B$11*V1923</f>
        <v/>
      </c>
      <c r="P1923">
        <f>IF(B1958=0,0,O1923/B1958)</f>
        <v/>
      </c>
      <c r="Q1923">
        <f>IFERROR(1/IF(Inputs!$B$38="pvp",15,MAX(0.1,Skills!D7-IF(Skills!E7=TRUE,Inputs!$B$32,0))),0)</f>
        <v/>
      </c>
      <c r="R1923">
        <f>IF(AND(Inputs!$B$38&lt;&gt;"pvp",Inputs!$B$43&gt;0),IF(MAX(0,Inputs!$B$43-B1955)&lt;=0,0,(INT(MAX(0,Inputs!$B$43-B1955)/IF(Inputs!$B$38="pvp",15,MAX(0.1,Skills!D7-IF(Skills!E7=TRUE,Inputs!$B$32,0))))+1)),0)</f>
        <v/>
      </c>
      <c r="S1923">
        <f>IFERROR((H1923*N1923*IF(AND(Inputs!$B$38&lt;&gt;"pvp",Inputs!$B$43&gt;0),((Skills!G7*((R1923-1)*IF(Skills!H7&gt;0,Skills!I7/Skills!H7,1)+IF(Skills!H7&gt;0,MIN(Skills!I7,MAX(0,MAX(0,Inputs!$B$43-B1955)-((R1923-1)*IF(Inputs!$B$38="pvp",15,MAX(0.1,Skills!D7-IF(Skills!E7=TRUE,Inputs!$B$32,0))))))/Skills!H7,1)))/Inputs!$B$43),G1923*Q1923))/N1923*IF(Inputs!$B$38="pvp",1,(1-Summary!$B$11)*1+Summary!$B$11*(MIN(Skills!R7,Inputs!$B$37))),0)</f>
        <v/>
      </c>
      <c r="T1923">
        <f>IF(C1923,(H1923*N1923*IF(AND(Inputs!$B$38&lt;&gt;"pvp",Inputs!$B$43&gt;0),((Skills!G7*((R1923-1)*IF(Skills!H7&gt;0,Skills!I7/Skills!H7,1)+IF(Skills!H7&gt;0,MIN(Skills!I7,MAX(0,MAX(0,Inputs!$B$43-B1955)-((R1923-1)*IF(Inputs!$B$38="pvp",15,MAX(0.1,Skills!D7-IF(Skills!E7=TRUE,Inputs!$B$32,0))))))/Skills!H7,1)))/Inputs!$B$43),G1923*Q1923))*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Hunt"),CHOOSE(ArtifactsInput!$N$35+1,15,18,21,24,27,30)*(1-EXP(-(0.2*B1950)*5)),0)+IF(AND(IF(ArtifactsInput!$M$22,FALSE,TRUE),Inputs!$B$4&lt;&gt;"Chapter Hunt"),CHOOSE(ArtifactsInput!$N$22+1,10,12,14,16,18,20)*((0*(((0.15*B1950*5))^0/1)+1*(((0.15*B1950*5))^1/1)+2*(((0.15*B1950*5))^2/2)+3*(((0.15*B1950*5))^3/6)+4*(((0.15*B1950*5))^4/24)+5*(((0.15*B1950*5))^5/120))/((((0.15*B1950*5))^0/1)+(((0.15*B1950*5))^1/1)+(((0.15*B1950*5))^2/2)+(((0.15*B1950*5))^3/6)+(((0.15*B1950*5))^4/24)+(((0.15*B1950*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1923*(1-MIN(100,(Inputs!$B$9+((C1935=TRUE)*(F1935-Calc!F19))+B1948+(ArtifactsInput!$M$24-ArtifactsInput!$M$24)*CHOOSE(ArtifactsInput!$N$24+1,10,12,14,16,18,20)+(IF(AND(ArtifactsInput!$M$42,((Inputs!$B$9+((C1935=TRUE)*(F1935-Calc!F19))+B1948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1923*(MIN(100,(Inputs!$B$9+((C1935=TRUE)*(F1935-Calc!F19))+B1948+(ArtifactsInput!$M$24-ArtifactsInput!$M$24)*CHOOSE(ArtifactsInput!$N$24+1,10,12,14,16,18,20)+(IF(AND(ArtifactsInput!$M$42,((Inputs!$B$9+((C1935=TRUE)*(F1935-Calc!F19))+B1948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1923*(1-MIN(100,(Inputs!$B$9+((C1935=TRUE)*(F1935-Calc!F19))+B1948+(ArtifactsInput!$M$24-ArtifactsInput!$M$24)*CHOOSE(ArtifactsInput!$N$24+1,10,12,14,16,18,20)+(IF(AND(ArtifactsInput!$M$42,((Inputs!$B$9+((C1935=TRUE)*(F1935-Calc!F19))+B1948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1923*(MIN(100,(Inputs!$B$9+((C1935=TRUE)*(F1935-Calc!F19))+B1948+(ArtifactsInput!$M$24-ArtifactsInput!$M$24)*CHOOSE(ArtifactsInput!$N$24+1,10,12,14,16,18,20)+(IF(AND(ArtifactsInput!$M$42,((Inputs!$B$9+((C1935=TRUE)*(F1935-Calc!F19))+B1948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923">
        <f>IF(C1923,(H1923*N1923*IF(AND(Inputs!$B$38&lt;&gt;"pvp",Inputs!$B$43&gt;0),((Skills!G7*((R1923-1)*IF(Skills!H7&gt;0,Skills!I7/Skills!H7,1)+IF(Skills!H7&gt;0,MIN(Skills!I7,MAX(0,MAX(0,Inputs!$B$43-B1955)-((R1923-1)*IF(Inputs!$B$38="pvp",15,MAX(0.1,Skills!D7-IF(Skills!E7=TRUE,Inputs!$B$32,0))))))/Skills!H7,1)))/Inputs!$B$43),G1923*Q1923))*IF(Inputs!$B$38="pvp",1,(1+(Inputs!$B$21+Skills!Q7+(IF(ArtifactsInput!$M$33,CHOOSE(ArtifactsInput!$N$33+1,30,36,42,48,54,60),0))+(IF(AND(ArtifactsInput!$M$35,Inputs!$B$4&lt;&gt;"Chapter Hunt"),CHOOSE(ArtifactsInput!$N$35+1,15,18,21,24,27,30)*(1-EXP(-(0.2*B1950)*5)),0)+IF(AND(IF(ArtifactsInput!$M$22,FALSE,TRUE),Inputs!$B$4&lt;&gt;"Chapter Hunt"),CHOOSE(ArtifactsInput!$N$22+1,10,12,14,16,18,20)*((0*(((0.15*B1950*5))^0/1)+1*(((0.15*B1950*5))^1/1)+2*(((0.15*B1950*5))^2/2)+3*(((0.15*B1950*5))^3/6)+4*(((0.15*B1950*5))^4/24)+5*(((0.15*B1950*5))^5/120))/((((0.15*B1950*5))^0/1)+(((0.15*B1950*5))^1/1)+(((0.15*B1950*5))^2/2)+(((0.15*B1950*5))^3/6)+(((0.15*B1950*5))^4/24)+(((0.15*B1950*5))^5/120))),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924">
      <c r="A1924">
        <f>Skills!A8</f>
        <v/>
      </c>
      <c r="B1924">
        <f>Skills!B8</f>
        <v/>
      </c>
      <c r="C1924">
        <f>Inputs!$B$3&gt;=100</f>
        <v/>
      </c>
      <c r="D1924">
        <f>IF(Skills!C8=1,60+Inputs!$B$25+Inputs!$B$29,IF(Skills!C8=2,90+Inputs!$B$26+Inputs!$B$29,IF(Skills!C8=3,120+Inputs!$B$27+Inputs!$B$29,MAX(0,(Inputs!$B$3-100)*3)+Inputs!$B$28+Inputs!$B$29)))</f>
        <v/>
      </c>
      <c r="E1924">
        <f>INDEX(FactorTable!$B$2:$Y$301, MATCH(ROUND(MIN(300,MAX(1,D1924)),0), FactorTable!$A$2:$A$301,0), Skills!M8+1)</f>
        <v/>
      </c>
      <c r="F1924">
        <f>IF(Skills!N8=TRUE,(Skills!L8/10)*(E1924/1000),Skills!L8/10)+Skills!O8</f>
        <v/>
      </c>
      <c r="G1924" t="inlineStr"/>
      <c r="H1924" t="inlineStr"/>
      <c r="I1924" t="inlineStr">
        <is>
          <t>1</t>
        </is>
      </c>
      <c r="J1924" t="inlineStr"/>
      <c r="K1924" t="inlineStr"/>
      <c r="L1924" t="inlineStr"/>
      <c r="M1924" t="inlineStr"/>
      <c r="N1924" t="inlineStr"/>
      <c r="O1924" t="inlineStr"/>
      <c r="P1924" t="inlineStr"/>
      <c r="Q1924" t="inlineStr"/>
      <c r="R1924" t="inlineStr"/>
      <c r="S1924" t="inlineStr"/>
      <c r="T1924" t="inlineStr"/>
      <c r="V1924" t="inlineStr"/>
    </row>
    <row r="1925">
      <c r="A1925">
        <f>Skills!A9</f>
        <v/>
      </c>
      <c r="B1925">
        <f>Skills!B9</f>
        <v/>
      </c>
      <c r="C1925">
        <f>Inputs!$B$3&gt;=103</f>
        <v/>
      </c>
      <c r="D1925">
        <f>IF(Skills!C9=1,60+Inputs!$B$25+Inputs!$B$29,IF(Skills!C9=2,90+Inputs!$B$26+Inputs!$B$29,IF(Skills!C9=3,120+Inputs!$B$27+Inputs!$B$29,MAX(0,(Inputs!$B$3-100)*3)+Inputs!$B$28+Inputs!$B$29)))</f>
        <v/>
      </c>
      <c r="E1925">
        <f>INDEX(FactorTable!$B$2:$Y$301, MATCH(ROUND(MIN(300,MAX(1,D1925)),0), FactorTable!$A$2:$A$301,0), Skills!M9+1)</f>
        <v/>
      </c>
      <c r="F1925">
        <f>IF(Skills!N9=TRUE,(Skills!L9/10)*(E1925/1000),Skills!L9/10)+Skills!O9</f>
        <v/>
      </c>
      <c r="G1925">
        <f>Skills!G9*IF(Skills!H9&gt;0,Skills!I9/Skills!H9,1)</f>
        <v/>
      </c>
      <c r="H1925">
        <f>1-(1-Skills!J9/100)^Skills!K9</f>
        <v/>
      </c>
      <c r="I1925" t="inlineStr">
        <is>
          <t>1</t>
        </is>
      </c>
      <c r="J1925">
        <f>((Inputs!$B$6*(1+Inputs!$B$7/100))+(((Inputs!$B$12*(1+Inputs!$B$13/100))-(Inputs!$B$12*(1+Inputs!$B$13/100)))+0.25*(Inputs!$B$14-Inputs!$B$14))*(1+Inputs!$B$7/100))*(F1925/100)</f>
        <v/>
      </c>
      <c r="K1925">
        <f>J1925*(1+((Inputs!$B$12*(1+Inputs!$B$13/100))*0.01+Inputs!$B$14*0.0025)/100)*(1+Inputs!$B$15/100)*(1+Inputs!$B$16/100)*(5000/(6000+Inputs!$B$42*(1-(100*(1-(1-(Inputs!$B$19+0)/100)*(1-CHOOSE(ArtifactsInput!$N$40+1,5,6,7,8,9,10)/100)^(ArtifactsInput!$M$40-ArtifactsInput!$M$40)))/100)))*(1+(Inputs!$B$24+((C1940=TRUE)*(F1940-Calc!F24))+((C1941=TRUE)*(F1941-Calc!F25))+B1954)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EMPOWERED_PIERCING_ARROW",Inputs!$B$17+((C1938=TRUE)*(F1938-Calc!F22))+(((IF(AND(ArtifactsInput!$M$42,((Inputs!$B$9+((C1935=TRUE)*(F1935-Calc!F19))+B1948+(ArtifactsInput!$M$24-ArtifactsInput!$M$24)*CHOOSE(ArtifactsInput!$N$24+1,10,12,14,16,18,20)+IF(ArtifactsInput!$M$10,CHOOSE(ArtifactsInput!$N$10+1,15,18,21,24,27,30)*(IF(Inputs!$B$38="pvp",MIN(15,15)/15,IF(AND(Inputs!$B$38&lt;&gt;"pvp",Inputs!$B$43&gt;0),MIN(15,Inputs!$B$43)/(Inputs!$B$43),0))),0)))&gt;=100),MIN(100,((Inputs!$B$9+((C1935=TRUE)*(F1935-Calc!F19))+B1948+(ArtifactsInput!$M$24-ArtifactsInput!$M$24)*CHOOSE(ArtifactsInput!$N$24+1,10,12,14,16,18,20)+IF(ArtifactsInput!$M$10,CHOOSE(ArtifactsInput!$N$10+1,15,18,21,24,27,30)*(IF(Inputs!$B$38="pvp",MIN(15,15)/15,IF(AND(Inputs!$B$38&lt;&gt;"pvp",Inputs!$B$43&gt;0),MIN(15,Inputs!$B$43)/(Inputs!$B$43),0))),0)))-100),0))*CHOOSE(ArtifactsInput!$N$42+1,0.6,0.72,0.84,0.96,1.08,1.2))),Inputs!$B$18+((C1943=TRUE)*(F1943-Calc!F27))+(IF(AND(ArtifactsInput!$M$42,((Inputs!$B$9+((C1935=TRUE)*(F1935-Calc!F19))+B1948+(ArtifactsInput!$M$24-ArtifactsInput!$M$24)*CHOOSE(ArtifactsInput!$N$24+1,10,12,14,16,18,20)+IF(ArtifactsInput!$M$10,CHOOSE(ArtifactsInput!$N$10+1,15,18,21,24,27,30)*(IF(Inputs!$B$38="pvp",MIN(15,15)/15,IF(AND(Inputs!$B$38&lt;&gt;"pvp",Inputs!$B$43&gt;0),MIN(15,Inputs!$B$43)/(Inputs!$B$43),0))),0)))&gt;=100),CHOOSE(ArtifactsInput!$N$42+1,40,48,56,64,72,80),0))))/100)*((1+(((C1929=TRUE)*F1929)+((C1930=TRUE)*IF(Inputs!$B$38="pvp",F1930,(1-Summary!$B$11)*(F1930)+Summary!$B$11*(0)))+((C1931=TRUE)*F1931*IF(AND(Inputs!$B$38&lt;&gt;"pvp",Inputs!$B$43&gt;0),(((R1931-1)*(Skills!T15*(1+Inputs!$B$34/100))+MIN((Skills!T15*(1+Inputs!$B$34/100)),MAX(0,Inputs!$B$43-((R1931-1)*Skills!D15))))/Inputs!$B$43),IF(Inputs!$B$38="pvp",MIN((Skills!T15*(1+Inputs!$B$34/100)),15)/15,(Skills!T15*(1+Inputs!$B$34/100))/Skills!D15)))+((C1928=TRUE)*F1928)+((C1945=TRUE)*(F1945-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1925)</f>
        <v/>
      </c>
      <c r="L1925">
        <f>K1925*(MIN(Inputs!$B$22+((C1939=TRUE)*(F1939-Calc!F23)),(Inputs!$B$23+((C1944=TRUE)*(F1944-Calc!F28))+(IF(ArtifactsInput!$M$15,CHOOSE(ArtifactsInput!$N$15+1,25,30,35,40,45,50)/100*(Inputs!$B$11-Inputs!$B$11),0))))/100+(Inputs!$B$23+((C1944=TRUE)*(F1944-Calc!F28))+(IF(ArtifactsInput!$M$15,CHOOSE(ArtifactsInput!$N$15+1,25,30,35,40,45,50)/100*(Inputs!$B$11-Inputs!$B$11),0)))/100)/2</f>
        <v/>
      </c>
      <c r="M1925">
        <f>L1925*(1+(Inputs!$B$10+0+B1953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925">
        <f>L1925*(1-MIN((Inputs!$B$9+((C1935=TRUE)*(F1935-Calc!F19))+B1948+(ArtifactsInput!$M$24-ArtifactsInput!$M$24)*CHOOSE(ArtifactsInput!$N$24+1,10,12,14,16,18,20)+(IF(AND(ArtifactsInput!$M$42,((Inputs!$B$9+((C1935=TRUE)*(F1935-Calc!F19))+B1948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1925*(MIN((Inputs!$B$9+((C1935=TRUE)*(F1935-Calc!F19))+B1948+(ArtifactsInput!$M$24-ArtifactsInput!$M$24)*CHOOSE(ArtifactsInput!$N$24+1,10,12,14,16,18,20)+(IF(AND(ArtifactsInput!$M$42,((Inputs!$B$9+((C1935=TRUE)*(F1935-Calc!F19))+B1948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925">
        <f>(1-Summary!$B$11)*T1925+Summary!$B$11*V1925</f>
        <v/>
      </c>
      <c r="P1925">
        <f>IF(B1958=0,0,O1925/B1958)</f>
        <v/>
      </c>
      <c r="Q1925">
        <f>IFERROR(1/IF(Inputs!$B$38="pvp",15,MAX(0.1,Skills!D9-IF(Skills!E9=TRUE,Inputs!$B$32,0))),0)</f>
        <v/>
      </c>
      <c r="R1925">
        <f>IF(AND(Inputs!$B$38&lt;&gt;"pvp",Inputs!$B$43&gt;0),IF(MAX(0,Inputs!$B$43-B1955)&lt;=0,0,(INT(MAX(0,Inputs!$B$43-B1955)/IF(Inputs!$B$38="pvp",15,MAX(0.1,Skills!D9-IF(Skills!E9=TRUE,Inputs!$B$32,0))))+1)),0)</f>
        <v/>
      </c>
      <c r="S1925">
        <f>IFERROR((H1925*N1925*IF(AND(Inputs!$B$38&lt;&gt;"pvp",Inputs!$B$43&gt;0),((Skills!G9*((R1925-1)*IF(Skills!H9&gt;0,Skills!I9/Skills!H9,1)+IF(Skills!H9&gt;0,MIN(Skills!I9,MAX(0,MAX(0,Inputs!$B$43-B1955)-((R1925-1)*IF(Inputs!$B$38="pvp",15,MAX(0.1,Skills!D9-IF(Skills!E9=TRUE,Inputs!$B$32,0))))))/Skills!H9,1)))/Inputs!$B$43),G1925*Q1925))/N1925*IF(Inputs!$B$38="pvp",1,(1-Summary!$B$11)*1+Summary!$B$11*(MIN(Skills!R9,Inputs!$B$37))),0)</f>
        <v/>
      </c>
      <c r="T1925">
        <f>IF(C1925,(H1925*N1925*IF(AND(Inputs!$B$38&lt;&gt;"pvp",Inputs!$B$43&gt;0),((Skills!G9*((R1925-1)*IF(Skills!H9&gt;0,Skills!I9/Skills!H9,1)+IF(Skills!H9&gt;0,MIN(Skills!I9,MAX(0,MAX(0,Inputs!$B$43-B1955)-((R1925-1)*IF(Inputs!$B$38="pvp",15,MAX(0.1,Skills!D9-IF(Skills!E9=TRUE,Inputs!$B$32,0))))))/Skills!H9,1)))/Inputs!$B$43),G1925*Q1925))*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Hunt"),CHOOSE(ArtifactsInput!$N$35+1,15,18,21,24,27,30)*(1-EXP(-(0.2*B1950)*5)),0)+IF(AND(IF(ArtifactsInput!$M$22,FALSE,TRUE),Inputs!$B$4&lt;&gt;"Chapter Hunt"),CHOOSE(ArtifactsInput!$N$22+1,10,12,14,16,18,20)*((0*(((0.15*B1950*5))^0/1)+1*(((0.15*B1950*5))^1/1)+2*(((0.15*B1950*5))^2/2)+3*(((0.15*B1950*5))^3/6)+4*(((0.15*B1950*5))^4/24)+5*(((0.15*B1950*5))^5/120))/((((0.15*B1950*5))^0/1)+(((0.15*B1950*5))^1/1)+(((0.15*B1950*5))^2/2)+(((0.15*B1950*5))^3/6)+(((0.15*B1950*5))^4/24)+(((0.15*B1950*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1925*(1-MIN(100,(Inputs!$B$9+((C1935=TRUE)*(F1935-Calc!F19))+B1948+(ArtifactsInput!$M$24-ArtifactsInput!$M$24)*CHOOSE(ArtifactsInput!$N$24+1,10,12,14,16,18,20)+(IF(AND(ArtifactsInput!$M$42,((Inputs!$B$9+((C1935=TRUE)*(F1935-Calc!F19))+B1948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1925*(MIN(100,(Inputs!$B$9+((C1935=TRUE)*(F1935-Calc!F19))+B1948+(ArtifactsInput!$M$24-ArtifactsInput!$M$24)*CHOOSE(ArtifactsInput!$N$24+1,10,12,14,16,18,20)+(IF(AND(ArtifactsInput!$M$42,((Inputs!$B$9+((C1935=TRUE)*(F1935-Calc!F19))+B1948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1925*(1-MIN(100,(Inputs!$B$9+((C1935=TRUE)*(F1935-Calc!F19))+B1948+(ArtifactsInput!$M$24-ArtifactsInput!$M$24)*CHOOSE(ArtifactsInput!$N$24+1,10,12,14,16,18,20)+(IF(AND(ArtifactsInput!$M$42,((Inputs!$B$9+((C1935=TRUE)*(F1935-Calc!F19))+B1948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1925*(MIN(100,(Inputs!$B$9+((C1935=TRUE)*(F1935-Calc!F19))+B1948+(ArtifactsInput!$M$24-ArtifactsInput!$M$24)*CHOOSE(ArtifactsInput!$N$24+1,10,12,14,16,18,20)+(IF(AND(ArtifactsInput!$M$42,((Inputs!$B$9+((C1935=TRUE)*(F1935-Calc!F19))+B1948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925">
        <f>IF(C1925,(H1925*N1925*IF(AND(Inputs!$B$38&lt;&gt;"pvp",Inputs!$B$43&gt;0),((Skills!G9*((R1925-1)*IF(Skills!H9&gt;0,Skills!I9/Skills!H9,1)+IF(Skills!H9&gt;0,MIN(Skills!I9,MAX(0,MAX(0,Inputs!$B$43-B1955)-((R1925-1)*IF(Inputs!$B$38="pvp",15,MAX(0.1,Skills!D9-IF(Skills!E9=TRUE,Inputs!$B$32,0))))))/Skills!H9,1)))/Inputs!$B$43),G1925*Q1925))*IF(Inputs!$B$38="pvp",1,(1+(Inputs!$B$21+Skills!Q9+(IF(ArtifactsInput!$M$33,CHOOSE(ArtifactsInput!$N$33+1,30,36,42,48,54,60),0))+(IF(AND(ArtifactsInput!$M$35,Inputs!$B$4&lt;&gt;"Chapter Hunt"),CHOOSE(ArtifactsInput!$N$35+1,15,18,21,24,27,30)*(1-EXP(-(0.2*B1950)*5)),0)+IF(AND(IF(ArtifactsInput!$M$22,FALSE,TRUE),Inputs!$B$4&lt;&gt;"Chapter Hunt"),CHOOSE(ArtifactsInput!$N$22+1,10,12,14,16,18,20)*((0*(((0.15*B1950*5))^0/1)+1*(((0.15*B1950*5))^1/1)+2*(((0.15*B1950*5))^2/2)+3*(((0.15*B1950*5))^3/6)+4*(((0.15*B1950*5))^4/24)+5*(((0.15*B1950*5))^5/120))/((((0.15*B1950*5))^0/1)+(((0.15*B1950*5))^1/1)+(((0.15*B1950*5))^2/2)+(((0.15*B1950*5))^3/6)+(((0.15*B1950*5))^4/24)+(((0.15*B1950*5))^5/120)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926">
      <c r="A1926">
        <f>Skills!A10</f>
        <v/>
      </c>
      <c r="B1926">
        <f>Skills!B10</f>
        <v/>
      </c>
      <c r="C1926">
        <f>Inputs!$B$3&gt;=107</f>
        <v/>
      </c>
      <c r="D1926">
        <f>IF(Skills!C10=1,60+Inputs!$B$25+Inputs!$B$29,IF(Skills!C10=2,90+Inputs!$B$26+Inputs!$B$29,IF(Skills!C10=3,120+Inputs!$B$27+Inputs!$B$29,MAX(0,(Inputs!$B$3-100)*3)+Inputs!$B$28+Inputs!$B$29)))</f>
        <v/>
      </c>
      <c r="E1926">
        <f>INDEX(FactorTable!$B$2:$Y$301, MATCH(ROUND(MIN(300,MAX(1,D1926)),0), FactorTable!$A$2:$A$301,0), Skills!M10+1)</f>
        <v/>
      </c>
      <c r="F1926">
        <f>IF(Skills!N10=TRUE,(Skills!L10/10)*(E1926/1000),Skills!L10/10)+Skills!O10</f>
        <v/>
      </c>
      <c r="G1926">
        <f>Skills!G10*IF(Skills!H10&gt;0,Skills!I10/Skills!H10,1)</f>
        <v/>
      </c>
      <c r="H1926">
        <f>1-(1-Skills!J10/100)^Skills!K10</f>
        <v/>
      </c>
      <c r="I1926" t="inlineStr">
        <is>
          <t>1</t>
        </is>
      </c>
      <c r="J1926">
        <f>((Inputs!$B$6*(1+Inputs!$B$7/100))+(((Inputs!$B$12*(1+Inputs!$B$13/100))-(Inputs!$B$12*(1+Inputs!$B$13/100)))+0.25*(Inputs!$B$14-Inputs!$B$14))*(1+Inputs!$B$7/100))*(F1926/100)</f>
        <v/>
      </c>
      <c r="K1926">
        <f>J1926*(1+((Inputs!$B$12*(1+Inputs!$B$13/100))*0.01+Inputs!$B$14*0.0025)/100)*(1+Inputs!$B$15/100)*(1+Inputs!$B$16/100)*(5000/(6000+Inputs!$B$42*(1-(100*(1-(1-(Inputs!$B$19+0)/100)*(1-CHOOSE(ArtifactsInput!$N$40+1,5,6,7,8,9,10)/100)^(ArtifactsInput!$M$40-ArtifactsInput!$M$40)))/100)))*(1+(Inputs!$B$24+((C1940=TRUE)*(F1940-Calc!F24))+((C1941=TRUE)*(F1941-Calc!F25))+B1954)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EMPOWERED_PIERCING_ARROW",Inputs!$B$17+((C1938=TRUE)*(F1938-Calc!F22))+(((IF(AND(ArtifactsInput!$M$42,((Inputs!$B$9+((C1935=TRUE)*(F1935-Calc!F19))+B1948+(ArtifactsInput!$M$24-ArtifactsInput!$M$24)*CHOOSE(ArtifactsInput!$N$24+1,10,12,14,16,18,20)+IF(ArtifactsInput!$M$10,CHOOSE(ArtifactsInput!$N$10+1,15,18,21,24,27,30)*(IF(Inputs!$B$38="pvp",MIN(15,15)/15,IF(AND(Inputs!$B$38&lt;&gt;"pvp",Inputs!$B$43&gt;0),MIN(15,Inputs!$B$43)/(Inputs!$B$43),0))),0)))&gt;=100),MIN(100,((Inputs!$B$9+((C1935=TRUE)*(F1935-Calc!F19))+B1948+(ArtifactsInput!$M$24-ArtifactsInput!$M$24)*CHOOSE(ArtifactsInput!$N$24+1,10,12,14,16,18,20)+IF(ArtifactsInput!$M$10,CHOOSE(ArtifactsInput!$N$10+1,15,18,21,24,27,30)*(IF(Inputs!$B$38="pvp",MIN(15,15)/15,IF(AND(Inputs!$B$38&lt;&gt;"pvp",Inputs!$B$43&gt;0),MIN(15,Inputs!$B$43)/(Inputs!$B$43),0))),0)))-100),0))*CHOOSE(ArtifactsInput!$N$42+1,0.6,0.72,0.84,0.96,1.08,1.2))),Inputs!$B$18+((C1943=TRUE)*(F1943-Calc!F27))+(IF(AND(ArtifactsInput!$M$42,((Inputs!$B$9+((C1935=TRUE)*(F1935-Calc!F19))+B1948+(ArtifactsInput!$M$24-ArtifactsInput!$M$24)*CHOOSE(ArtifactsInput!$N$24+1,10,12,14,16,18,20)+IF(ArtifactsInput!$M$10,CHOOSE(ArtifactsInput!$N$10+1,15,18,21,24,27,30)*(IF(Inputs!$B$38="pvp",MIN(15,15)/15,IF(AND(Inputs!$B$38&lt;&gt;"pvp",Inputs!$B$43&gt;0),MIN(15,Inputs!$B$43)/(Inputs!$B$43),0))),0)))&gt;=100),CHOOSE(ArtifactsInput!$N$42+1,40,48,56,64,72,80),0))))/100)*((1+(((C1929=TRUE)*F1929)+((C1930=TRUE)*IF(Inputs!$B$38="pvp",F1930,(1-Summary!$B$11)*(F1930)+Summary!$B$11*(0)))+((C1931=TRUE)*F1931*IF(AND(Inputs!$B$38&lt;&gt;"pvp",Inputs!$B$43&gt;0),(((R1931-1)*(Skills!T15*(1+Inputs!$B$34/100))+MIN((Skills!T15*(1+Inputs!$B$34/100)),MAX(0,Inputs!$B$43-((R1931-1)*Skills!D15))))/Inputs!$B$43),IF(Inputs!$B$38="pvp",MIN((Skills!T15*(1+Inputs!$B$34/100)),15)/15,(Skills!T15*(1+Inputs!$B$34/100))/Skills!D15)))+((C1928=TRUE)*F1928)+((C1945=TRUE)*(F1945-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1926)</f>
        <v/>
      </c>
      <c r="L1926">
        <f>K1926*(MIN(Inputs!$B$22+((C1939=TRUE)*(F1939-Calc!F23)),(Inputs!$B$23+((C1944=TRUE)*(F1944-Calc!F28))+(IF(ArtifactsInput!$M$15,CHOOSE(ArtifactsInput!$N$15+1,25,30,35,40,45,50)/100*(Inputs!$B$11-Inputs!$B$11),0))))/100+(Inputs!$B$23+((C1944=TRUE)*(F1944-Calc!F28))+(IF(ArtifactsInput!$M$15,CHOOSE(ArtifactsInput!$N$15+1,25,30,35,40,45,50)/100*(Inputs!$B$11-Inputs!$B$11),0)))/100)/2</f>
        <v/>
      </c>
      <c r="M1926">
        <f>L1926*(1+(Inputs!$B$10+0+B1953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926">
        <f>L1926*(1-MIN((Inputs!$B$9+((C1935=TRUE)*(F1935-Calc!F19))+B1948+(ArtifactsInput!$M$24-ArtifactsInput!$M$24)*CHOOSE(ArtifactsInput!$N$24+1,10,12,14,16,18,20)+(IF(AND(ArtifactsInput!$M$42,((Inputs!$B$9+((C1935=TRUE)*(F1935-Calc!F19))+B1948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1926*(MIN((Inputs!$B$9+((C1935=TRUE)*(F1935-Calc!F19))+B1948+(ArtifactsInput!$M$24-ArtifactsInput!$M$24)*CHOOSE(ArtifactsInput!$N$24+1,10,12,14,16,18,20)+(IF(AND(ArtifactsInput!$M$42,((Inputs!$B$9+((C1935=TRUE)*(F1935-Calc!F19))+B1948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926">
        <f>(1-Summary!$B$11)*T1926+Summary!$B$11*V1926</f>
        <v/>
      </c>
      <c r="P1926">
        <f>IF(B1958=0,0,O1926/B1958)</f>
        <v/>
      </c>
      <c r="Q1926" t="n">
        <v>0</v>
      </c>
      <c r="R1926" t="n">
        <v>0</v>
      </c>
      <c r="S1926" t="n">
        <v>0</v>
      </c>
      <c r="T1926">
        <f>IF(C1926,(0.15*SUMPRODUCT((Skills!U2:U29=TRUE)*(C1918:C1945=TRUE)*S1918:S1945)*Skills!G10*N1926)*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Hunt"),CHOOSE(ArtifactsInput!$N$35+1,15,18,21,24,27,30)*(1-EXP(-(0.2*B1950)*5)),0)+IF(AND(IF(ArtifactsInput!$M$22,FALSE,TRUE),Inputs!$B$4&lt;&gt;"Chapter Hunt"),CHOOSE(ArtifactsInput!$N$22+1,10,12,14,16,18,20)*((0*(((0.15*B1950*5))^0/1)+1*(((0.15*B1950*5))^1/1)+2*(((0.15*B1950*5))^2/2)+3*(((0.15*B1950*5))^3/6)+4*(((0.15*B1950*5))^4/24)+5*(((0.15*B1950*5))^5/120))/((((0.15*B1950*5))^0/1)+(((0.15*B1950*5))^1/1)+(((0.15*B1950*5))^2/2)+(((0.15*B1950*5))^3/6)+(((0.15*B1950*5))^4/24)+(((0.15*B1950*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1926*(1-MIN(100,(Inputs!$B$9+((C1935=TRUE)*(F1935-Calc!F19))+B1948+(ArtifactsInput!$M$24-ArtifactsInput!$M$24)*CHOOSE(ArtifactsInput!$N$24+1,10,12,14,16,18,20)+(IF(AND(ArtifactsInput!$M$42,((Inputs!$B$9+((C1935=TRUE)*(F1935-Calc!F19))+B1948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1926*(MIN(100,(Inputs!$B$9+((C1935=TRUE)*(F1935-Calc!F19))+B1948+(ArtifactsInput!$M$24-ArtifactsInput!$M$24)*CHOOSE(ArtifactsInput!$N$24+1,10,12,14,16,18,20)+(IF(AND(ArtifactsInput!$M$42,((Inputs!$B$9+((C1935=TRUE)*(F1935-Calc!F19))+B1948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1926*(1-MIN(100,(Inputs!$B$9+((C1935=TRUE)*(F1935-Calc!F19))+B1948+(ArtifactsInput!$M$24-ArtifactsInput!$M$24)*CHOOSE(ArtifactsInput!$N$24+1,10,12,14,16,18,20)+(IF(AND(ArtifactsInput!$M$42,((Inputs!$B$9+((C1935=TRUE)*(F1935-Calc!F19))+B1948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1926*(MIN(100,(Inputs!$B$9+((C1935=TRUE)*(F1935-Calc!F19))+B1948+(ArtifactsInput!$M$24-ArtifactsInput!$M$24)*CHOOSE(ArtifactsInput!$N$24+1,10,12,14,16,18,20)+(IF(AND(ArtifactsInput!$M$42,((Inputs!$B$9+((C1935=TRUE)*(F1935-Calc!F19))+B1948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926">
        <f>IF(C1926,(0.15*SUMPRODUCT((Skills!U2:U29=TRUE)*(C1918:C1945=TRUE)*S1918:S1945)*Skills!G10*N1926)*IF(Inputs!$B$38="pvp",1,(1+(Inputs!$B$21+Skills!Q10+(IF(ArtifactsInput!$M$33,CHOOSE(ArtifactsInput!$N$33+1,30,36,42,48,54,60),0))+(IF(AND(ArtifactsInput!$M$35,Inputs!$B$4&lt;&gt;"Chapter Hunt"),CHOOSE(ArtifactsInput!$N$35+1,15,18,21,24,27,30)*(1-EXP(-(0.2*B1950)*5)),0)+IF(AND(IF(ArtifactsInput!$M$22,FALSE,TRUE),Inputs!$B$4&lt;&gt;"Chapter Hunt"),CHOOSE(ArtifactsInput!$N$22+1,10,12,14,16,18,20)*((0*(((0.15*B1950*5))^0/1)+1*(((0.15*B1950*5))^1/1)+2*(((0.15*B1950*5))^2/2)+3*(((0.15*B1950*5))^3/6)+4*(((0.15*B1950*5))^4/24)+5*(((0.15*B1950*5))^5/120))/((((0.15*B1950*5))^0/1)+(((0.15*B1950*5))^1/1)+(((0.15*B1950*5))^2/2)+(((0.15*B1950*5))^3/6)+(((0.15*B1950*5))^4/24)+(((0.15*B1950*5))^5/120)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927">
      <c r="A1927">
        <f>Skills!A11</f>
        <v/>
      </c>
      <c r="B1927">
        <f>Skills!B11</f>
        <v/>
      </c>
      <c r="C1927">
        <f>Inputs!$B$3&gt;=110</f>
        <v/>
      </c>
      <c r="D1927">
        <f>IF(Skills!C11=1,60+Inputs!$B$25+Inputs!$B$29,IF(Skills!C11=2,90+Inputs!$B$26+Inputs!$B$29,IF(Skills!C11=3,120+Inputs!$B$27+Inputs!$B$29,MAX(0,(Inputs!$B$3-100)*3)+Inputs!$B$28+Inputs!$B$29)))</f>
        <v/>
      </c>
      <c r="E1927">
        <f>INDEX(FactorTable!$B$2:$Y$301, MATCH(ROUND(MIN(300,MAX(1,D1927)),0), FactorTable!$A$2:$A$301,0), Skills!M11+1)</f>
        <v/>
      </c>
      <c r="F1927">
        <f>IF(Skills!N11=TRUE,(Skills!L11/10)*(E1927/1000),Skills!L11/10)+Skills!O11</f>
        <v/>
      </c>
      <c r="G1927">
        <f>Skills!G11*IF(Skills!H11&gt;0,Skills!I11/Skills!H11,1)</f>
        <v/>
      </c>
      <c r="H1927">
        <f>1-(1-Skills!J11/100)^Skills!K11</f>
        <v/>
      </c>
      <c r="I1927" t="inlineStr">
        <is>
          <t>1</t>
        </is>
      </c>
      <c r="J1927">
        <f>((Inputs!$B$6*(1+Inputs!$B$7/100))+(((Inputs!$B$12*(1+Inputs!$B$13/100))-(Inputs!$B$12*(1+Inputs!$B$13/100)))+0.25*(Inputs!$B$14-Inputs!$B$14))*(1+Inputs!$B$7/100))*(F1927/100)</f>
        <v/>
      </c>
      <c r="K1927">
        <f>J1927*(1+((Inputs!$B$12*(1+Inputs!$B$13/100))*0.01+Inputs!$B$14*0.0025)/100)*(1+Inputs!$B$15/100)*(1+Inputs!$B$16/100)*(5000/(6000+Inputs!$B$42*(1-(100*(1-(1-(Inputs!$B$19+0)/100)*(1-CHOOSE(ArtifactsInput!$N$40+1,5,6,7,8,9,10)/100)^(ArtifactsInput!$M$40-ArtifactsInput!$M$40)))/100)))*(1+(Inputs!$B$24+((C1940=TRUE)*(F1940-Calc!F24))+((C1941=TRUE)*(F1941-Calc!F25))+B1954)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11="EMPOWERED_PIERCING_ARROW",Inputs!$B$17+((C1938=TRUE)*(F1938-Calc!F22))+(((IF(AND(ArtifactsInput!$M$42,((Inputs!$B$9+((C1935=TRUE)*(F1935-Calc!F19))+B1948+(ArtifactsInput!$M$24-ArtifactsInput!$M$24)*CHOOSE(ArtifactsInput!$N$24+1,10,12,14,16,18,20)+IF(ArtifactsInput!$M$10,CHOOSE(ArtifactsInput!$N$10+1,15,18,21,24,27,30)*(IF(Inputs!$B$38="pvp",MIN(15,15)/15,IF(AND(Inputs!$B$38&lt;&gt;"pvp",Inputs!$B$43&gt;0),MIN(15,Inputs!$B$43)/(Inputs!$B$43),0))),0)))&gt;=100),MIN(100,((Inputs!$B$9+((C1935=TRUE)*(F1935-Calc!F19))+B1948+(ArtifactsInput!$M$24-ArtifactsInput!$M$24)*CHOOSE(ArtifactsInput!$N$24+1,10,12,14,16,18,20)+IF(ArtifactsInput!$M$10,CHOOSE(ArtifactsInput!$N$10+1,15,18,21,24,27,30)*(IF(Inputs!$B$38="pvp",MIN(15,15)/15,IF(AND(Inputs!$B$38&lt;&gt;"pvp",Inputs!$B$43&gt;0),MIN(15,Inputs!$B$43)/(Inputs!$B$43),0))),0)))-100),0))*CHOOSE(ArtifactsInput!$N$42+1,0.6,0.72,0.84,0.96,1.08,1.2))),Inputs!$B$18+((C1943=TRUE)*(F1943-Calc!F27))+(IF(AND(ArtifactsInput!$M$42,((Inputs!$B$9+((C1935=TRUE)*(F1935-Calc!F19))+B1948+(ArtifactsInput!$M$24-ArtifactsInput!$M$24)*CHOOSE(ArtifactsInput!$N$24+1,10,12,14,16,18,20)+IF(ArtifactsInput!$M$10,CHOOSE(ArtifactsInput!$N$10+1,15,18,21,24,27,30)*(IF(Inputs!$B$38="pvp",MIN(15,15)/15,IF(AND(Inputs!$B$38&lt;&gt;"pvp",Inputs!$B$43&gt;0),MIN(15,Inputs!$B$43)/(Inputs!$B$43),0))),0)))&gt;=100),CHOOSE(ArtifactsInput!$N$42+1,40,48,56,64,72,80),0))))/100)*((1+(((C1929=TRUE)*F1929)+((C1930=TRUE)*IF(Inputs!$B$38="pvp",F1930,(1-Summary!$B$11)*(F1930)+Summary!$B$11*(0)))+((C1931=TRUE)*F1931*IF(AND(Inputs!$B$38&lt;&gt;"pvp",Inputs!$B$43&gt;0),(((R1931-1)*(Skills!T15*(1+Inputs!$B$34/100))+MIN((Skills!T15*(1+Inputs!$B$34/100)),MAX(0,Inputs!$B$43-((R1931-1)*Skills!D15))))/Inputs!$B$43),IF(Inputs!$B$38="pvp",MIN((Skills!T15*(1+Inputs!$B$34/100)),15)/15,(Skills!T15*(1+Inputs!$B$34/100))/Skills!D15)))+((C1928=TRUE)*F1928)+((C1945=TRUE)*(F1945-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1927)</f>
        <v/>
      </c>
      <c r="L1927">
        <f>K1927*(MIN(Inputs!$B$22+((C1939=TRUE)*(F1939-Calc!F23)),(Inputs!$B$23+((C1944=TRUE)*(F1944-Calc!F28))+(IF(ArtifactsInput!$M$15,CHOOSE(ArtifactsInput!$N$15+1,25,30,35,40,45,50)/100*(Inputs!$B$11-Inputs!$B$11),0))))/100+(Inputs!$B$23+((C1944=TRUE)*(F1944-Calc!F28))+(IF(ArtifactsInput!$M$15,CHOOSE(ArtifactsInput!$N$15+1,25,30,35,40,45,50)/100*(Inputs!$B$11-Inputs!$B$11),0)))/100)/2</f>
        <v/>
      </c>
      <c r="M1927">
        <f>L1927*(1+(Inputs!$B$10+0+B1953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927">
        <f>L1927*(1-MIN((Inputs!$B$9+((C1935=TRUE)*(F1935-Calc!F19))+B1948+(ArtifactsInput!$M$24-ArtifactsInput!$M$24)*CHOOSE(ArtifactsInput!$N$24+1,10,12,14,16,18,20)+(IF(AND(ArtifactsInput!$M$42,((Inputs!$B$9+((C1935=TRUE)*(F1935-Calc!F19))+B1948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1927*(MIN((Inputs!$B$9+((C1935=TRUE)*(F1935-Calc!F19))+B1948+(ArtifactsInput!$M$24-ArtifactsInput!$M$24)*CHOOSE(ArtifactsInput!$N$24+1,10,12,14,16,18,20)+(IF(AND(ArtifactsInput!$M$42,((Inputs!$B$9+((C1935=TRUE)*(F1935-Calc!F19))+B1948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927">
        <f>(1-Summary!$B$11)*T1927+Summary!$B$11*V1927</f>
        <v/>
      </c>
      <c r="P1927">
        <f>IF(B1958=0,0,O1927/B1958)</f>
        <v/>
      </c>
      <c r="Q1927">
        <f>IFERROR(1/IF(Inputs!$B$38="pvp",15,MAX(0.1,Skills!D11-IF(Skills!E11=TRUE,Inputs!$B$32,0))),0)</f>
        <v/>
      </c>
      <c r="R1927">
        <f>IF(AND(Inputs!$B$38&lt;&gt;"pvp",Inputs!$B$43&gt;0),IF(MAX(0,Inputs!$B$43-B1955)&lt;=0,0,(INT(MAX(0,Inputs!$B$43-B1955)/IF(Inputs!$B$38="pvp",15,MAX(0.1,Skills!D11-IF(Skills!E11=TRUE,Inputs!$B$32,0))))+1)),0)</f>
        <v/>
      </c>
      <c r="S1927">
        <f>IFERROR((H1927*N1927*IF(AND(Inputs!$B$38&lt;&gt;"pvp",Inputs!$B$43&gt;0),((Skills!G11*((R1927-1)*IF(Skills!H11&gt;0,Skills!I11/Skills!H11,1)+IF(Skills!H11&gt;0,MIN(Skills!I11,MAX(0,MAX(0,Inputs!$B$43-B1955)-((R1927-1)*IF(Inputs!$B$38="pvp",15,MAX(0.1,Skills!D11-IF(Skills!E11=TRUE,Inputs!$B$32,0))))))/Skills!H11,1)))/Inputs!$B$43),G1927*Q1927))/N1927*IF(Inputs!$B$38="pvp",1,(1-Summary!$B$11)*1+Summary!$B$11*(MIN(Skills!R11,Inputs!$B$37))),0)</f>
        <v/>
      </c>
      <c r="T1927">
        <f>IF(C1927,(H1927*N1927*IF(AND(Inputs!$B$38&lt;&gt;"pvp",Inputs!$B$43&gt;0),((Skills!G11*((R1927-1)*IF(Skills!H11&gt;0,Skills!I11/Skills!H11,1)+IF(Skills!H11&gt;0,MIN(Skills!I11,MAX(0,MAX(0,Inputs!$B$43-B1955)-((R1927-1)*IF(Inputs!$B$38="pvp",15,MAX(0.1,Skills!D11-IF(Skills!E11=TRUE,Inputs!$B$32,0))))))/Skills!H11,1)))/Inputs!$B$43),G1927*Q1927))*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Hunt"),CHOOSE(ArtifactsInput!$N$35+1,15,18,21,24,27,30)*(1-EXP(-(0.2*B1950)*5)),0)+IF(AND(IF(ArtifactsInput!$M$22,FALSE,TRUE),Inputs!$B$4&lt;&gt;"Chapter Hunt"),CHOOSE(ArtifactsInput!$N$22+1,10,12,14,16,18,20)*((0*(((0.15*B1950*5))^0/1)+1*(((0.15*B1950*5))^1/1)+2*(((0.15*B1950*5))^2/2)+3*(((0.15*B1950*5))^3/6)+4*(((0.15*B1950*5))^4/24)+5*(((0.15*B1950*5))^5/120))/((((0.15*B1950*5))^0/1)+(((0.15*B1950*5))^1/1)+(((0.15*B1950*5))^2/2)+(((0.15*B1950*5))^3/6)+(((0.15*B1950*5))^4/24)+(((0.15*B1950*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1927*(1-MIN(100,(Inputs!$B$9+((C1935=TRUE)*(F1935-Calc!F19))+B1948+(ArtifactsInput!$M$24-ArtifactsInput!$M$24)*CHOOSE(ArtifactsInput!$N$24+1,10,12,14,16,18,20)+(IF(AND(ArtifactsInput!$M$42,((Inputs!$B$9+((C1935=TRUE)*(F1935-Calc!F19))+B1948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1927*(MIN(100,(Inputs!$B$9+((C1935=TRUE)*(F1935-Calc!F19))+B1948+(ArtifactsInput!$M$24-ArtifactsInput!$M$24)*CHOOSE(ArtifactsInput!$N$24+1,10,12,14,16,18,20)+(IF(AND(ArtifactsInput!$M$42,((Inputs!$B$9+((C1935=TRUE)*(F1935-Calc!F19))+B1948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1927*(1-MIN(100,(Inputs!$B$9+((C1935=TRUE)*(F1935-Calc!F19))+B1948+(ArtifactsInput!$M$24-ArtifactsInput!$M$24)*CHOOSE(ArtifactsInput!$N$24+1,10,12,14,16,18,20)+(IF(AND(ArtifactsInput!$M$42,((Inputs!$B$9+((C1935=TRUE)*(F1935-Calc!F19))+B1948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1927*(MIN(100,(Inputs!$B$9+((C1935=TRUE)*(F1935-Calc!F19))+B1948+(ArtifactsInput!$M$24-ArtifactsInput!$M$24)*CHOOSE(ArtifactsInput!$N$24+1,10,12,14,16,18,20)+(IF(AND(ArtifactsInput!$M$42,((Inputs!$B$9+((C1935=TRUE)*(F1935-Calc!F19))+B1948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927">
        <f>IF(C1927,(H1927*N1927*IF(AND(Inputs!$B$38&lt;&gt;"pvp",Inputs!$B$43&gt;0),((Skills!G11*((R1927-1)*IF(Skills!H11&gt;0,Skills!I11/Skills!H11,1)+IF(Skills!H11&gt;0,MIN(Skills!I11,MAX(0,MAX(0,Inputs!$B$43-B1955)-((R1927-1)*IF(Inputs!$B$38="pvp",15,MAX(0.1,Skills!D11-IF(Skills!E11=TRUE,Inputs!$B$32,0))))))/Skills!H11,1)))/Inputs!$B$43),G1927*Q1927))*IF(Inputs!$B$38="pvp",1,(1+(Inputs!$B$21+Skills!Q11+(IF(ArtifactsInput!$M$33,CHOOSE(ArtifactsInput!$N$33+1,30,36,42,48,54,60),0))+(IF(AND(ArtifactsInput!$M$35,Inputs!$B$4&lt;&gt;"Chapter Hunt"),CHOOSE(ArtifactsInput!$N$35+1,15,18,21,24,27,30)*(1-EXP(-(0.2*B1950)*5)),0)+IF(AND(IF(ArtifactsInput!$M$22,FALSE,TRUE),Inputs!$B$4&lt;&gt;"Chapter Hunt"),CHOOSE(ArtifactsInput!$N$22+1,10,12,14,16,18,20)*((0*(((0.15*B1950*5))^0/1)+1*(((0.15*B1950*5))^1/1)+2*(((0.15*B1950*5))^2/2)+3*(((0.15*B1950*5))^3/6)+4*(((0.15*B1950*5))^4/24)+5*(((0.15*B1950*5))^5/120))/((((0.15*B1950*5))^0/1)+(((0.15*B1950*5))^1/1)+(((0.15*B1950*5))^2/2)+(((0.15*B1950*5))^3/6)+(((0.15*B1950*5))^4/24)+(((0.15*B1950*5))^5/120))),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928">
      <c r="A1928">
        <f>Skills!A12</f>
        <v/>
      </c>
      <c r="B1928">
        <f>Skills!B12</f>
        <v/>
      </c>
      <c r="C1928">
        <f>Inputs!$B$3&gt;=60</f>
        <v/>
      </c>
      <c r="D1928">
        <f>IF(Skills!C12=1,60+Inputs!$B$25+Inputs!$B$29,IF(Skills!C12=2,90+Inputs!$B$26+Inputs!$B$29,IF(Skills!C12=3,120+Inputs!$B$27+Inputs!$B$29,MAX(0,(Inputs!$B$3-100)*3)+Inputs!$B$28+Inputs!$B$29)))</f>
        <v/>
      </c>
      <c r="E1928">
        <f>INDEX(FactorTable!$B$2:$Y$301, MATCH(ROUND(MIN(300,MAX(1,D1928)),0), FactorTable!$A$2:$A$301,0), Skills!M12+1)</f>
        <v/>
      </c>
      <c r="F1928">
        <f>IF(Skills!N12=TRUE,(Skills!L12/10)*(E1928/1000),Skills!L12/10)+Skills!O12</f>
        <v/>
      </c>
      <c r="G1928">
        <f>Skills!G12*IF(Skills!H12&gt;0,Skills!I12/Skills!H12,1)</f>
        <v/>
      </c>
      <c r="H1928">
        <f>1-(1-Skills!J12/100)^Skills!K12</f>
        <v/>
      </c>
      <c r="I1928" t="inlineStr">
        <is>
          <t>1</t>
        </is>
      </c>
      <c r="J1928" t="inlineStr"/>
      <c r="K1928" t="inlineStr"/>
      <c r="L1928" t="inlineStr"/>
      <c r="M1928" t="inlineStr"/>
      <c r="N1928" t="inlineStr"/>
      <c r="O1928">
        <f>(1-Summary!$B$11)*T1928+Summary!$B$11*V1928</f>
        <v/>
      </c>
      <c r="P1928">
        <f>IF(B1958=0,0,O1928/B1958)</f>
        <v/>
      </c>
      <c r="Q1928" t="n">
        <v>0</v>
      </c>
      <c r="R1928" t="n">
        <v>0</v>
      </c>
      <c r="S1928" t="n">
        <v>0</v>
      </c>
      <c r="T1928" t="n">
        <v>0</v>
      </c>
      <c r="V1928" t="n">
        <v>0</v>
      </c>
    </row>
    <row r="1929">
      <c r="A1929">
        <f>Skills!A13</f>
        <v/>
      </c>
      <c r="B1929">
        <f>Skills!B13</f>
        <v/>
      </c>
      <c r="C1929">
        <f>Inputs!$B$3&gt;=74</f>
        <v/>
      </c>
      <c r="D1929">
        <f>IF(Skills!C13=1,60+Inputs!$B$25+Inputs!$B$29,IF(Skills!C13=2,90+Inputs!$B$26+Inputs!$B$29,IF(Skills!C13=3,120+Inputs!$B$27+Inputs!$B$29,MAX(0,(Inputs!$B$3-100)*3)+Inputs!$B$28+Inputs!$B$29)))</f>
        <v/>
      </c>
      <c r="E1929">
        <f>INDEX(FactorTable!$B$2:$Y$301, MATCH(ROUND(MIN(300,MAX(1,D1929)),0), FactorTable!$A$2:$A$301,0), Skills!M13+1)</f>
        <v/>
      </c>
      <c r="F1929">
        <f>IF(Skills!N13=TRUE,(Skills!L13/10)*(E1929/1000),Skills!L13/10)+Skills!O13</f>
        <v/>
      </c>
      <c r="G1929">
        <f>Skills!G13*IF(Skills!H13&gt;0,Skills!I13/Skills!H13,1)</f>
        <v/>
      </c>
      <c r="H1929">
        <f>1-(1-Skills!J13/100)^Skills!K13</f>
        <v/>
      </c>
      <c r="I1929" t="inlineStr">
        <is>
          <t>1</t>
        </is>
      </c>
      <c r="J1929" t="inlineStr"/>
      <c r="K1929" t="inlineStr"/>
      <c r="L1929" t="inlineStr"/>
      <c r="M1929" t="inlineStr"/>
      <c r="N1929" t="inlineStr"/>
      <c r="O1929">
        <f>(1-Summary!$B$11)*T1929+Summary!$B$11*V1929</f>
        <v/>
      </c>
      <c r="P1929">
        <f>IF(B1958=0,0,O1929/B1958)</f>
        <v/>
      </c>
      <c r="Q1929" t="n">
        <v>0</v>
      </c>
      <c r="R1929" t="n">
        <v>0</v>
      </c>
      <c r="S1929" t="n">
        <v>0</v>
      </c>
      <c r="T1929" t="n">
        <v>0</v>
      </c>
      <c r="V1929" t="n">
        <v>0</v>
      </c>
    </row>
    <row r="1930">
      <c r="A1930">
        <f>Skills!A14</f>
        <v/>
      </c>
      <c r="B1930">
        <f>Skills!B14</f>
        <v/>
      </c>
      <c r="C1930">
        <f>Inputs!$B$3&gt;=74</f>
        <v/>
      </c>
      <c r="D1930">
        <f>IF(Skills!C14=1,60+Inputs!$B$25+Inputs!$B$29,IF(Skills!C14=2,90+Inputs!$B$26+Inputs!$B$29,IF(Skills!C14=3,120+Inputs!$B$27+Inputs!$B$29,MAX(0,(Inputs!$B$3-100)*3)+Inputs!$B$28+Inputs!$B$29)))</f>
        <v/>
      </c>
      <c r="E1930">
        <f>INDEX(FactorTable!$B$2:$Y$301, MATCH(ROUND(MIN(300,MAX(1,D1930)),0), FactorTable!$A$2:$A$301,0), Skills!M14+1)</f>
        <v/>
      </c>
      <c r="F1930">
        <f>IF(Skills!N14=TRUE,(Skills!L14/10)*(E1930/1000),Skills!L14/10)+Skills!O14</f>
        <v/>
      </c>
      <c r="G1930">
        <f>Skills!G14*IF(Skills!H14&gt;0,Skills!I14/Skills!H14,1)</f>
        <v/>
      </c>
      <c r="H1930">
        <f>1-(1-Skills!J14/100)^Skills!K14</f>
        <v/>
      </c>
      <c r="I1930" t="inlineStr">
        <is>
          <t>1</t>
        </is>
      </c>
      <c r="J1930" t="inlineStr"/>
      <c r="K1930" t="inlineStr"/>
      <c r="L1930" t="inlineStr"/>
      <c r="M1930" t="inlineStr"/>
      <c r="N1930" t="inlineStr"/>
      <c r="O1930">
        <f>(1-Summary!$B$11)*T1930+Summary!$B$11*V1930</f>
        <v/>
      </c>
      <c r="P1930">
        <f>IF(B1958=0,0,O1930/B1958)</f>
        <v/>
      </c>
      <c r="Q1930" t="n">
        <v>0</v>
      </c>
      <c r="R1930" t="n">
        <v>0</v>
      </c>
      <c r="S1930" t="n">
        <v>0</v>
      </c>
      <c r="T1930" t="n">
        <v>0</v>
      </c>
      <c r="V1930" t="n">
        <v>0</v>
      </c>
    </row>
    <row r="1931">
      <c r="A1931">
        <f>Skills!A15</f>
        <v/>
      </c>
      <c r="B1931">
        <f>Skills!B15</f>
        <v/>
      </c>
      <c r="C1931">
        <f>Inputs!$B$3&gt;=117</f>
        <v/>
      </c>
      <c r="D1931">
        <f>IF(Skills!C15=1,60+Inputs!$B$25+Inputs!$B$29,IF(Skills!C15=2,90+Inputs!$B$26+Inputs!$B$29,IF(Skills!C15=3,120+Inputs!$B$27+Inputs!$B$29,MAX(0,(Inputs!$B$3-100)*3)+Inputs!$B$28+Inputs!$B$29)))</f>
        <v/>
      </c>
      <c r="E1931">
        <f>INDEX(FactorTable!$B$2:$Y$301, MATCH(ROUND(MIN(300,MAX(1,D1931)),0), FactorTable!$A$2:$A$301,0), Skills!M15+1)</f>
        <v/>
      </c>
      <c r="F1931">
        <f>IF(Skills!N15=TRUE,(Skills!L15/10)*(E1931/1000),Skills!L15/10)+Skills!O15</f>
        <v/>
      </c>
      <c r="G1931">
        <f>Skills!G15*IF(Skills!H15&gt;0,Skills!I15/Skills!H15,1)</f>
        <v/>
      </c>
      <c r="H1931">
        <f>1-(1-Skills!J15/100)^Skills!K15</f>
        <v/>
      </c>
      <c r="I1931" t="inlineStr">
        <is>
          <t>1</t>
        </is>
      </c>
      <c r="J1931" t="inlineStr"/>
      <c r="K1931" t="inlineStr"/>
      <c r="L1931" t="inlineStr"/>
      <c r="M1931" t="inlineStr"/>
      <c r="N1931" t="inlineStr"/>
      <c r="O1931">
        <f>(1-Summary!$B$11)*T1931+Summary!$B$11*V1931</f>
        <v/>
      </c>
      <c r="P1931">
        <f>IF(B1958=0,0,O1931/B1958)</f>
        <v/>
      </c>
      <c r="Q1931">
        <f>IFERROR(1/IF(Inputs!$B$38="pvp",15,MAX(0.1,Skills!D15-IF(Skills!E15=TRUE,Inputs!$B$32,0))),0)</f>
        <v/>
      </c>
      <c r="R1931">
        <f>IF(AND(Inputs!$B$38&lt;&gt;"pvp",Inputs!$B$43&gt;0),IF(Inputs!$B$43&lt;=0,0,(INT(Inputs!$B$43/IF(Inputs!$B$38="pvp",15,MAX(0.1,Skills!D15-IF(Skills!E15=TRUE,Inputs!$B$32,0))))+1)),0)</f>
        <v/>
      </c>
      <c r="S1931" t="n">
        <v>0</v>
      </c>
      <c r="T1931" t="n">
        <v>0</v>
      </c>
      <c r="V1931" t="n">
        <v>0</v>
      </c>
    </row>
    <row r="1932">
      <c r="A1932">
        <f>Skills!A16</f>
        <v/>
      </c>
      <c r="B1932">
        <f>Skills!B16</f>
        <v/>
      </c>
      <c r="C1932">
        <f>Inputs!$B$3&gt;=115</f>
        <v/>
      </c>
      <c r="D1932">
        <f>IF(Skills!C16=1,60+Inputs!$B$25+Inputs!$B$29,IF(Skills!C16=2,90+Inputs!$B$26+Inputs!$B$29,IF(Skills!C16=3,120+Inputs!$B$27+Inputs!$B$29,MAX(0,(Inputs!$B$3-100)*3)+Inputs!$B$28+Inputs!$B$29)))</f>
        <v/>
      </c>
      <c r="E1932">
        <f>INDEX(FactorTable!$B$2:$Y$301, MATCH(ROUND(MIN(300,MAX(1,D1932)),0), FactorTable!$A$2:$A$301,0), Skills!M16+1)</f>
        <v/>
      </c>
      <c r="F1932">
        <f>IF(Skills!N16=TRUE,(Skills!L16/10)*(E1932/1000),Skills!L16/10)+Skills!O16</f>
        <v/>
      </c>
      <c r="G1932">
        <f>Skills!G16*IF(Skills!H16&gt;0,Skills!I16/Skills!H16,1)</f>
        <v/>
      </c>
      <c r="H1932">
        <f>1-(1-Skills!J16/100)^Skills!K16</f>
        <v/>
      </c>
      <c r="I1932" t="inlineStr">
        <is>
          <t>1</t>
        </is>
      </c>
      <c r="J1932" t="inlineStr"/>
      <c r="K1932" t="inlineStr"/>
      <c r="L1932" t="inlineStr"/>
      <c r="M1932" t="inlineStr"/>
      <c r="N1932" t="inlineStr"/>
      <c r="O1932">
        <f>(1-Summary!$B$11)*T1932+Summary!$B$11*V1932</f>
        <v/>
      </c>
      <c r="P1932">
        <f>IF(B1958=0,0,O1932/B1958)</f>
        <v/>
      </c>
      <c r="Q1932">
        <f>IFERROR(1/IF(Inputs!$B$38="pvp",15,MAX(0.1,Skills!D16-IF(Skills!E16=TRUE,Inputs!$B$32,0))),0)</f>
        <v/>
      </c>
      <c r="R1932">
        <f>IF(AND(Inputs!$B$38&lt;&gt;"pvp",Inputs!$B$43&gt;0),IF(Inputs!$B$43&lt;=0,0,(INT(Inputs!$B$43/IF(Inputs!$B$38="pvp",15,MAX(0.1,Skills!D16-IF(Skills!E16=TRUE,Inputs!$B$32,0))))+1)),0)</f>
        <v/>
      </c>
      <c r="S1932" t="n">
        <v>0</v>
      </c>
      <c r="T1932" t="n">
        <v>0</v>
      </c>
      <c r="V1932" t="n">
        <v>0</v>
      </c>
    </row>
    <row r="1933">
      <c r="A1933">
        <f>Skills!A17</f>
        <v/>
      </c>
      <c r="B1933">
        <f>Skills!B17</f>
        <v/>
      </c>
      <c r="C1933">
        <f>Inputs!$B$3&gt;=72</f>
        <v/>
      </c>
      <c r="D1933">
        <f>IF(Skills!C17=1,60+Inputs!$B$25+Inputs!$B$29,IF(Skills!C17=2,90+Inputs!$B$26+Inputs!$B$29,IF(Skills!C17=3,120+Inputs!$B$27+Inputs!$B$29,MAX(0,(Inputs!$B$3-100)*3)+Inputs!$B$28+Inputs!$B$29)))</f>
        <v/>
      </c>
      <c r="E1933">
        <f>INDEX(FactorTable!$B$2:$Y$301, MATCH(ROUND(MIN(300,MAX(1,D1933)),0), FactorTable!$A$2:$A$301,0), Skills!M17+1)</f>
        <v/>
      </c>
      <c r="F1933">
        <f>IF(Skills!N17=TRUE,(Skills!L17/10)*(E1933/1000),Skills!L17/10)+Skills!O17</f>
        <v/>
      </c>
      <c r="G1933">
        <f>Skills!G17*IF(Skills!H17&gt;0,Skills!I17/Skills!H17,1)</f>
        <v/>
      </c>
      <c r="H1933">
        <f>1-(1-Skills!J17/100)^Skills!K17</f>
        <v/>
      </c>
      <c r="I1933" t="inlineStr">
        <is>
          <t>1</t>
        </is>
      </c>
      <c r="J1933" t="inlineStr"/>
      <c r="K1933" t="inlineStr"/>
      <c r="L1933" t="inlineStr"/>
      <c r="M1933" t="inlineStr"/>
      <c r="N1933" t="inlineStr"/>
      <c r="O1933">
        <f>(1-Summary!$B$11)*T1933+Summary!$B$11*V1933</f>
        <v/>
      </c>
      <c r="P1933">
        <f>IF(B1958=0,0,O1933/B1958)</f>
        <v/>
      </c>
      <c r="Q1933" t="n">
        <v>0</v>
      </c>
      <c r="R1933" t="n">
        <v>0</v>
      </c>
      <c r="S1933" t="n">
        <v>0</v>
      </c>
      <c r="T1933" t="n">
        <v>0</v>
      </c>
      <c r="V1933" t="n">
        <v>0</v>
      </c>
    </row>
    <row r="1934">
      <c r="A1934">
        <f>Skills!A18</f>
        <v/>
      </c>
      <c r="B1934">
        <f>Skills!B18</f>
        <v/>
      </c>
      <c r="C1934">
        <f>TRUE</f>
        <v/>
      </c>
      <c r="D1934">
        <f>IF(Skills!C18=1,60+Inputs!$B$25+Inputs!$B$29,IF(Skills!C18=2,90+Inputs!$B$26+Inputs!$B$29,IF(Skills!C18=3,120+Inputs!$B$27+Inputs!$B$29,MAX(0,(Inputs!$B$3-100)*3)+Inputs!$B$28+Inputs!$B$29)))</f>
        <v/>
      </c>
      <c r="E1934">
        <f>INDEX(FactorTable!$B$2:$Y$301, MATCH(ROUND(MIN(300,MAX(1,D1934)),0), FactorTable!$A$2:$A$301,0), Skills!M18+1)</f>
        <v/>
      </c>
      <c r="F1934">
        <f>IF(Skills!N18=TRUE,(Skills!L18/10)*(E1934/1000),Skills!L18/10)+Skills!O18</f>
        <v/>
      </c>
      <c r="G1934">
        <f>Skills!G18*IF(Skills!H18&gt;0,Skills!I18/Skills!H18,1)</f>
        <v/>
      </c>
      <c r="H1934">
        <f>1-(1-Skills!J18/100)^Skills!K18</f>
        <v/>
      </c>
      <c r="I1934" t="inlineStr">
        <is>
          <t>1</t>
        </is>
      </c>
      <c r="J1934" t="inlineStr"/>
      <c r="K1934" t="inlineStr"/>
      <c r="L1934" t="inlineStr"/>
      <c r="M1934" t="inlineStr"/>
      <c r="N1934" t="inlineStr"/>
      <c r="O1934">
        <f>(1-Summary!$B$11)*T1934+Summary!$B$11*V1934</f>
        <v/>
      </c>
      <c r="P1934">
        <f>IF(B1958=0,0,O1934/B1958)</f>
        <v/>
      </c>
      <c r="Q1934">
        <f>IFERROR(1/IF(Inputs!$B$38="pvp",15,MAX(0.1,Skills!D18-IF(Skills!E18=TRUE,Inputs!$B$32,0))),0)</f>
        <v/>
      </c>
      <c r="R1934">
        <f>IF(AND(Inputs!$B$38&lt;&gt;"pvp",Inputs!$B$43&gt;0),IF(Inputs!$B$43&lt;=0,0,(INT(Inputs!$B$43/IF(Inputs!$B$38="pvp",15,MAX(0.1,Skills!D18-IF(Skills!E18=TRUE,Inputs!$B$32,0))))+1)),0)</f>
        <v/>
      </c>
      <c r="S1934" t="n">
        <v>0</v>
      </c>
      <c r="T1934" t="n">
        <v>0</v>
      </c>
      <c r="V1934" t="n">
        <v>0</v>
      </c>
    </row>
    <row r="1935">
      <c r="A1935">
        <f>Skills!A19</f>
        <v/>
      </c>
      <c r="B1935">
        <f>Skills!B19</f>
        <v/>
      </c>
      <c r="C1935">
        <f>Inputs!$B$3&gt;=15</f>
        <v/>
      </c>
      <c r="D1935">
        <f>IF(Skills!C19=1,60+Inputs!$B$25+Inputs!$B$29,IF(Skills!C19=2,90+Inputs!$B$26+Inputs!$B$29,IF(Skills!C19=3,120+Inputs!$B$27+Inputs!$B$29,MAX(0,(Inputs!$B$3-100)*3)+Inputs!$B$28+Inputs!$B$29)))</f>
        <v/>
      </c>
      <c r="E1935">
        <f>INDEX(FactorTable!$B$2:$Y$301, MATCH(ROUND(MIN(300,MAX(1,D1935)),0), FactorTable!$A$2:$A$301,0), Skills!M19+1)</f>
        <v/>
      </c>
      <c r="F1935">
        <f>IF(Skills!N19=TRUE,(Skills!L19/10)*(E1935/1000),Skills!L19/10)+Skills!O19</f>
        <v/>
      </c>
      <c r="G1935">
        <f>Skills!G19*IF(Skills!H19&gt;0,Skills!I19/Skills!H19,1)</f>
        <v/>
      </c>
      <c r="H1935">
        <f>1-(1-Skills!J19/100)^Skills!K19</f>
        <v/>
      </c>
      <c r="I1935" t="inlineStr">
        <is>
          <t>1</t>
        </is>
      </c>
      <c r="J1935" t="inlineStr"/>
      <c r="K1935" t="inlineStr"/>
      <c r="L1935" t="inlineStr"/>
      <c r="M1935" t="inlineStr"/>
      <c r="N1935" t="inlineStr"/>
      <c r="O1935">
        <f>(1-Summary!$B$11)*T1935+Summary!$B$11*V1935</f>
        <v/>
      </c>
      <c r="P1935">
        <f>IF(B1958=0,0,O1935/B1958)</f>
        <v/>
      </c>
      <c r="Q1935" t="n">
        <v>0</v>
      </c>
      <c r="R1935" t="n">
        <v>0</v>
      </c>
      <c r="S1935" t="n">
        <v>0</v>
      </c>
      <c r="T1935" t="n">
        <v>0</v>
      </c>
      <c r="V1935" t="n">
        <v>0</v>
      </c>
    </row>
    <row r="1936">
      <c r="A1936">
        <f>Skills!A20</f>
        <v/>
      </c>
      <c r="B1936">
        <f>Skills!B20</f>
        <v/>
      </c>
      <c r="C1936">
        <f>Inputs!$B$3&gt;=10</f>
        <v/>
      </c>
      <c r="D1936">
        <f>IF(Skills!C20=1,60+Inputs!$B$25+Inputs!$B$29,IF(Skills!C20=2,90+Inputs!$B$26+Inputs!$B$29,IF(Skills!C20=3,120+Inputs!$B$27+Inputs!$B$29,MAX(0,(Inputs!$B$3-100)*3)+Inputs!$B$28+Inputs!$B$29)))</f>
        <v/>
      </c>
      <c r="E1936">
        <f>INDEX(FactorTable!$B$2:$Y$301, MATCH(ROUND(MIN(300,MAX(1,D1936)),0), FactorTable!$A$2:$A$301,0), Skills!M20+1)</f>
        <v/>
      </c>
      <c r="F1936">
        <f>IF(Skills!N20=TRUE,(Skills!L20/10)*(E1936/1000),Skills!L20/10)+Skills!O20</f>
        <v/>
      </c>
      <c r="G1936">
        <f>Skills!G20*IF(Skills!H20&gt;0,Skills!I20/Skills!H20,1)</f>
        <v/>
      </c>
      <c r="H1936">
        <f>1-(1-Skills!J20/100)^Skills!K20</f>
        <v/>
      </c>
      <c r="I1936" t="inlineStr">
        <is>
          <t>1</t>
        </is>
      </c>
      <c r="J1936" t="inlineStr"/>
      <c r="K1936" t="inlineStr"/>
      <c r="L1936" t="inlineStr"/>
      <c r="M1936" t="inlineStr"/>
      <c r="N1936" t="inlineStr"/>
      <c r="O1936">
        <f>(1-Summary!$B$11)*T1936+Summary!$B$11*V1936</f>
        <v/>
      </c>
      <c r="P1936">
        <f>IF(B1958=0,0,O1936/B1958)</f>
        <v/>
      </c>
      <c r="Q1936" t="n">
        <v>0</v>
      </c>
      <c r="R1936" t="n">
        <v>0</v>
      </c>
      <c r="S1936" t="n">
        <v>0</v>
      </c>
      <c r="T1936" t="n">
        <v>0</v>
      </c>
      <c r="V1936" t="n">
        <v>0</v>
      </c>
    </row>
    <row r="1937">
      <c r="A1937">
        <f>Skills!A21</f>
        <v/>
      </c>
      <c r="B1937">
        <f>Skills!B21</f>
        <v/>
      </c>
      <c r="C1937">
        <f>Inputs!$B$3&gt;=33</f>
        <v/>
      </c>
      <c r="D1937">
        <f>IF(Skills!C21=1,60+Inputs!$B$25+Inputs!$B$29,IF(Skills!C21=2,90+Inputs!$B$26+Inputs!$B$29,IF(Skills!C21=3,120+Inputs!$B$27+Inputs!$B$29,MAX(0,(Inputs!$B$3-100)*3)+Inputs!$B$28+Inputs!$B$29)))</f>
        <v/>
      </c>
      <c r="E1937">
        <f>INDEX(FactorTable!$B$2:$Y$301, MATCH(ROUND(MIN(300,MAX(1,D1937)),0), FactorTable!$A$2:$A$301,0), Skills!M21+1)</f>
        <v/>
      </c>
      <c r="F1937">
        <f>IF(Skills!N21=TRUE,(Skills!L21/10)*(E1937/1000),Skills!L21/10)+Skills!O21</f>
        <v/>
      </c>
      <c r="G1937">
        <f>Skills!G21*IF(Skills!H21&gt;0,Skills!I21/Skills!H21,1)</f>
        <v/>
      </c>
      <c r="H1937">
        <f>1-(1-Skills!J21/100)^Skills!K21</f>
        <v/>
      </c>
      <c r="I1937" t="inlineStr">
        <is>
          <t>1</t>
        </is>
      </c>
      <c r="J1937" t="inlineStr"/>
      <c r="K1937" t="inlineStr"/>
      <c r="L1937" t="inlineStr"/>
      <c r="M1937" t="inlineStr"/>
      <c r="N1937" t="inlineStr"/>
      <c r="O1937">
        <f>(1-Summary!$B$11)*T1937+Summary!$B$11*V1937</f>
        <v/>
      </c>
      <c r="P1937">
        <f>IF(B1958=0,0,O1937/B1958)</f>
        <v/>
      </c>
      <c r="Q1937" t="n">
        <v>0</v>
      </c>
      <c r="R1937" t="n">
        <v>0</v>
      </c>
      <c r="S1937" t="n">
        <v>0</v>
      </c>
      <c r="T1937" t="n">
        <v>0</v>
      </c>
      <c r="V1937" t="n">
        <v>0</v>
      </c>
    </row>
    <row r="1938">
      <c r="A1938">
        <f>Skills!A22</f>
        <v/>
      </c>
      <c r="B1938">
        <f>Skills!B22</f>
        <v/>
      </c>
      <c r="C1938">
        <f>Inputs!$B$3&gt;=38</f>
        <v/>
      </c>
      <c r="D1938">
        <f>IF(Skills!C22=1,60+Inputs!$B$25+Inputs!$B$29,IF(Skills!C22=2,90+Inputs!$B$26+Inputs!$B$29,IF(Skills!C22=3,120+Inputs!$B$27+Inputs!$B$29,MAX(0,(Inputs!$B$3-100)*3)+Inputs!$B$28+Inputs!$B$29)))</f>
        <v/>
      </c>
      <c r="E1938">
        <f>INDEX(FactorTable!$B$2:$Y$301, MATCH(ROUND(MIN(300,MAX(1,D1938)),0), FactorTable!$A$2:$A$301,0), Skills!M22+1)</f>
        <v/>
      </c>
      <c r="F1938">
        <f>IF(Skills!N22=TRUE,(Skills!L22/10)*(E1938/1000),Skills!L22/10)+Skills!O22</f>
        <v/>
      </c>
      <c r="G1938">
        <f>Skills!G22*IF(Skills!H22&gt;0,Skills!I22/Skills!H22,1)</f>
        <v/>
      </c>
      <c r="H1938">
        <f>1-(1-Skills!J22/100)^Skills!K22</f>
        <v/>
      </c>
      <c r="I1938" t="inlineStr">
        <is>
          <t>1</t>
        </is>
      </c>
      <c r="J1938" t="inlineStr"/>
      <c r="K1938" t="inlineStr"/>
      <c r="L1938" t="inlineStr"/>
      <c r="M1938" t="inlineStr"/>
      <c r="N1938" t="inlineStr"/>
      <c r="O1938">
        <f>(1-Summary!$B$11)*T1938+Summary!$B$11*V1938</f>
        <v/>
      </c>
      <c r="P1938">
        <f>IF(B1958=0,0,O1938/B1958)</f>
        <v/>
      </c>
      <c r="Q1938" t="n">
        <v>0</v>
      </c>
      <c r="R1938" t="n">
        <v>0</v>
      </c>
      <c r="S1938" t="n">
        <v>0</v>
      </c>
      <c r="T1938" t="n">
        <v>0</v>
      </c>
      <c r="V1938" t="n">
        <v>0</v>
      </c>
    </row>
    <row r="1939">
      <c r="A1939">
        <f>Skills!A23</f>
        <v/>
      </c>
      <c r="B1939">
        <f>Skills!B23</f>
        <v/>
      </c>
      <c r="C1939">
        <f>Inputs!$B$3&gt;=43</f>
        <v/>
      </c>
      <c r="D1939">
        <f>IF(Skills!C23=1,60+Inputs!$B$25+Inputs!$B$29,IF(Skills!C23=2,90+Inputs!$B$26+Inputs!$B$29,IF(Skills!C23=3,120+Inputs!$B$27+Inputs!$B$29,MAX(0,(Inputs!$B$3-100)*3)+Inputs!$B$28+Inputs!$B$29)))</f>
        <v/>
      </c>
      <c r="E1939">
        <f>INDEX(FactorTable!$B$2:$Y$301, MATCH(ROUND(MIN(300,MAX(1,D1939)),0), FactorTable!$A$2:$A$301,0), Skills!M23+1)</f>
        <v/>
      </c>
      <c r="F1939">
        <f>IF(Skills!N23=TRUE,(Skills!L23/10)*(E1939/1000),Skills!L23/10)+Skills!O23</f>
        <v/>
      </c>
      <c r="G1939">
        <f>Skills!G23*IF(Skills!H23&gt;0,Skills!I23/Skills!H23,1)</f>
        <v/>
      </c>
      <c r="H1939">
        <f>1-(1-Skills!J23/100)^Skills!K23</f>
        <v/>
      </c>
      <c r="I1939" t="inlineStr">
        <is>
          <t>1</t>
        </is>
      </c>
      <c r="J1939" t="inlineStr"/>
      <c r="K1939" t="inlineStr"/>
      <c r="L1939" t="inlineStr"/>
      <c r="M1939" t="inlineStr"/>
      <c r="N1939" t="inlineStr"/>
      <c r="O1939">
        <f>(1-Summary!$B$11)*T1939+Summary!$B$11*V1939</f>
        <v/>
      </c>
      <c r="P1939">
        <f>IF(B1958=0,0,O1939/B1958)</f>
        <v/>
      </c>
      <c r="Q1939" t="n">
        <v>0</v>
      </c>
      <c r="R1939" t="n">
        <v>0</v>
      </c>
      <c r="S1939" t="n">
        <v>0</v>
      </c>
      <c r="T1939" t="n">
        <v>0</v>
      </c>
      <c r="V1939" t="n">
        <v>0</v>
      </c>
    </row>
    <row r="1940">
      <c r="A1940">
        <f>Skills!A24</f>
        <v/>
      </c>
      <c r="B1940">
        <f>Skills!B24</f>
        <v/>
      </c>
      <c r="C1940">
        <f>Inputs!$B$3&gt;=75</f>
        <v/>
      </c>
      <c r="D1940">
        <f>IF(Skills!C24=1,60+Inputs!$B$25+Inputs!$B$29,IF(Skills!C24=2,90+Inputs!$B$26+Inputs!$B$29,IF(Skills!C24=3,120+Inputs!$B$27+Inputs!$B$29,MAX(0,(Inputs!$B$3-100)*3)+Inputs!$B$28+Inputs!$B$29)))</f>
        <v/>
      </c>
      <c r="E1940">
        <f>INDEX(FactorTable!$B$2:$Y$301, MATCH(ROUND(MIN(300,MAX(1,D1940)),0), FactorTable!$A$2:$A$301,0), Skills!M24+1)</f>
        <v/>
      </c>
      <c r="F1940">
        <f>IF(Skills!N24=TRUE,(Skills!L24/10)*(E1940/1000),Skills!L24/10)+Skills!O24</f>
        <v/>
      </c>
      <c r="G1940">
        <f>Skills!G24*IF(Skills!H24&gt;0,Skills!I24/Skills!H24,1)</f>
        <v/>
      </c>
      <c r="H1940">
        <f>1-(1-Skills!J24/100)^Skills!K24</f>
        <v/>
      </c>
      <c r="I1940" t="inlineStr">
        <is>
          <t>1</t>
        </is>
      </c>
      <c r="J1940" t="inlineStr"/>
      <c r="K1940" t="inlineStr"/>
      <c r="L1940" t="inlineStr"/>
      <c r="M1940" t="inlineStr"/>
      <c r="N1940" t="inlineStr"/>
      <c r="O1940">
        <f>(1-Summary!$B$11)*T1940+Summary!$B$11*V1940</f>
        <v/>
      </c>
      <c r="P1940">
        <f>IF(B1958=0,0,O1940/B1958)</f>
        <v/>
      </c>
      <c r="Q1940" t="n">
        <v>0</v>
      </c>
      <c r="R1940" t="n">
        <v>0</v>
      </c>
      <c r="S1940" t="n">
        <v>0</v>
      </c>
      <c r="T1940" t="n">
        <v>0</v>
      </c>
      <c r="V1940" t="n">
        <v>0</v>
      </c>
    </row>
    <row r="1941">
      <c r="A1941">
        <f>Skills!A25</f>
        <v/>
      </c>
      <c r="B1941">
        <f>Skills!B25</f>
        <v/>
      </c>
      <c r="C1941">
        <f>Inputs!$B$3&gt;=125</f>
        <v/>
      </c>
      <c r="D1941">
        <f>IF(Skills!C25=1,60+Inputs!$B$25+Inputs!$B$29,IF(Skills!C25=2,90+Inputs!$B$26+Inputs!$B$29,IF(Skills!C25=3,120+Inputs!$B$27+Inputs!$B$29,MAX(0,(Inputs!$B$3-100)*3)+Inputs!$B$28+Inputs!$B$29)))</f>
        <v/>
      </c>
      <c r="E1941">
        <f>INDEX(FactorTable!$B$2:$Y$301, MATCH(ROUND(MIN(300,MAX(1,D1941)),0), FactorTable!$A$2:$A$301,0), Skills!M25+1)</f>
        <v/>
      </c>
      <c r="F1941">
        <f>IF(Skills!N25=TRUE,(Skills!L25/10)*(E1941/1000),Skills!L25/10)+Skills!O25</f>
        <v/>
      </c>
      <c r="G1941">
        <f>Skills!G25*IF(Skills!H25&gt;0,Skills!I25/Skills!H25,1)</f>
        <v/>
      </c>
      <c r="H1941">
        <f>1-(1-Skills!J25/100)^Skills!K25</f>
        <v/>
      </c>
      <c r="I1941" t="inlineStr">
        <is>
          <t>1</t>
        </is>
      </c>
      <c r="J1941" t="inlineStr"/>
      <c r="K1941" t="inlineStr"/>
      <c r="L1941" t="inlineStr"/>
      <c r="M1941" t="inlineStr"/>
      <c r="N1941" t="inlineStr"/>
      <c r="O1941">
        <f>(1-Summary!$B$11)*T1941+Summary!$B$11*V1941</f>
        <v/>
      </c>
      <c r="P1941">
        <f>IF(B1958=0,0,O1941/B1958)</f>
        <v/>
      </c>
      <c r="Q1941" t="n">
        <v>0</v>
      </c>
      <c r="R1941" t="n">
        <v>0</v>
      </c>
      <c r="S1941" t="n">
        <v>0</v>
      </c>
      <c r="T1941" t="n">
        <v>0</v>
      </c>
      <c r="V1941" t="n">
        <v>0</v>
      </c>
    </row>
    <row r="1942">
      <c r="A1942">
        <f>Skills!A26</f>
        <v/>
      </c>
      <c r="B1942">
        <f>Skills!B26</f>
        <v/>
      </c>
      <c r="C1942">
        <f>Inputs!$B$3&gt;=125</f>
        <v/>
      </c>
      <c r="D1942">
        <f>IF(Skills!C26=1,60+Inputs!$B$25+Inputs!$B$29,IF(Skills!C26=2,90+Inputs!$B$26+Inputs!$B$29,IF(Skills!C26=3,120+Inputs!$B$27+Inputs!$B$29,MAX(0,(Inputs!$B$3-100)*3)+Inputs!$B$28+Inputs!$B$29)))</f>
        <v/>
      </c>
      <c r="E1942">
        <f>INDEX(FactorTable!$B$2:$Y$301, MATCH(ROUND(MIN(300,MAX(1,D1942)),0), FactorTable!$A$2:$A$301,0), Skills!M26+1)</f>
        <v/>
      </c>
      <c r="F1942">
        <f>IF(Skills!N26=TRUE,(Skills!L26/10)*(E1942/1000),Skills!L26/10)+Skills!O26</f>
        <v/>
      </c>
      <c r="G1942">
        <f>Skills!G26*IF(Skills!H26&gt;0,Skills!I26/Skills!H26,1)</f>
        <v/>
      </c>
      <c r="H1942">
        <f>1-(1-Skills!J26/100)^Skills!K26</f>
        <v/>
      </c>
      <c r="I1942" t="inlineStr">
        <is>
          <t>1</t>
        </is>
      </c>
      <c r="J1942" t="inlineStr"/>
      <c r="K1942" t="inlineStr"/>
      <c r="L1942" t="inlineStr"/>
      <c r="M1942" t="inlineStr"/>
      <c r="N1942" t="inlineStr"/>
      <c r="O1942">
        <f>(1-Summary!$B$11)*T1942+Summary!$B$11*V1942</f>
        <v/>
      </c>
      <c r="P1942">
        <f>IF(B1958=0,0,O1942/B1958)</f>
        <v/>
      </c>
      <c r="Q1942" t="n">
        <v>0</v>
      </c>
      <c r="R1942" t="n">
        <v>0</v>
      </c>
      <c r="S1942" t="n">
        <v>0</v>
      </c>
      <c r="T1942" t="n">
        <v>0</v>
      </c>
      <c r="V1942" t="n">
        <v>0</v>
      </c>
    </row>
    <row r="1943">
      <c r="A1943">
        <f>Skills!A27</f>
        <v/>
      </c>
      <c r="B1943">
        <f>Skills!B27</f>
        <v/>
      </c>
      <c r="C1943">
        <f>Inputs!$B$3&gt;=120</f>
        <v/>
      </c>
      <c r="D1943">
        <f>IF(Skills!C27=1,60+Inputs!$B$25+Inputs!$B$29,IF(Skills!C27=2,90+Inputs!$B$26+Inputs!$B$29,IF(Skills!C27=3,120+Inputs!$B$27+Inputs!$B$29,MAX(0,(Inputs!$B$3-100)*3)+Inputs!$B$28+Inputs!$B$29)))</f>
        <v/>
      </c>
      <c r="E1943">
        <f>INDEX(FactorTable!$B$2:$Y$301, MATCH(ROUND(MIN(300,MAX(1,D1943)),0), FactorTable!$A$2:$A$301,0), Skills!M27+1)</f>
        <v/>
      </c>
      <c r="F1943">
        <f>IF(Skills!N27=TRUE,(Skills!L27/10)*(E1943/1000),Skills!L27/10)+Skills!O27</f>
        <v/>
      </c>
      <c r="G1943">
        <f>Skills!G27*IF(Skills!H27&gt;0,Skills!I27/Skills!H27,1)</f>
        <v/>
      </c>
      <c r="H1943">
        <f>1-(1-Skills!J27/100)^Skills!K27</f>
        <v/>
      </c>
      <c r="I1943" t="inlineStr">
        <is>
          <t>1</t>
        </is>
      </c>
      <c r="J1943" t="inlineStr"/>
      <c r="K1943" t="inlineStr"/>
      <c r="L1943" t="inlineStr"/>
      <c r="M1943" t="inlineStr"/>
      <c r="N1943" t="inlineStr"/>
      <c r="O1943">
        <f>(1-Summary!$B$11)*T1943+Summary!$B$11*V1943</f>
        <v/>
      </c>
      <c r="P1943">
        <f>IF(B1958=0,0,O1943/B1958)</f>
        <v/>
      </c>
      <c r="Q1943" t="n">
        <v>0</v>
      </c>
      <c r="R1943" t="n">
        <v>0</v>
      </c>
      <c r="S1943" t="n">
        <v>0</v>
      </c>
      <c r="T1943" t="n">
        <v>0</v>
      </c>
      <c r="V1943" t="n">
        <v>0</v>
      </c>
    </row>
    <row r="1944">
      <c r="A1944">
        <f>Skills!A28</f>
        <v/>
      </c>
      <c r="B1944">
        <f>Skills!B28</f>
        <v/>
      </c>
      <c r="C1944">
        <f>Inputs!$B$3&gt;=120</f>
        <v/>
      </c>
      <c r="D1944">
        <f>IF(Skills!C28=1,60+Inputs!$B$25+Inputs!$B$29,IF(Skills!C28=2,90+Inputs!$B$26+Inputs!$B$29,IF(Skills!C28=3,120+Inputs!$B$27+Inputs!$B$29,MAX(0,(Inputs!$B$3-100)*3)+Inputs!$B$28+Inputs!$B$29)))</f>
        <v/>
      </c>
      <c r="E1944">
        <f>INDEX(FactorTable!$B$2:$Y$301, MATCH(ROUND(MIN(300,MAX(1,D1944)),0), FactorTable!$A$2:$A$301,0), Skills!M28+1)</f>
        <v/>
      </c>
      <c r="F1944">
        <f>IF(Skills!N28=TRUE,(Skills!L28/10)*(E1944/1000),Skills!L28/10)+Skills!O28</f>
        <v/>
      </c>
      <c r="G1944">
        <f>Skills!G28*IF(Skills!H28&gt;0,Skills!I28/Skills!H28,1)</f>
        <v/>
      </c>
      <c r="H1944">
        <f>1-(1-Skills!J28/100)^Skills!K28</f>
        <v/>
      </c>
      <c r="I1944" t="inlineStr">
        <is>
          <t>1</t>
        </is>
      </c>
      <c r="J1944" t="inlineStr"/>
      <c r="K1944" t="inlineStr"/>
      <c r="L1944" t="inlineStr"/>
      <c r="M1944" t="inlineStr"/>
      <c r="N1944" t="inlineStr"/>
      <c r="O1944">
        <f>(1-Summary!$B$11)*T1944+Summary!$B$11*V1944</f>
        <v/>
      </c>
      <c r="P1944">
        <f>IF(B1958=0,0,O1944/B1958)</f>
        <v/>
      </c>
      <c r="Q1944" t="n">
        <v>0</v>
      </c>
      <c r="R1944" t="n">
        <v>0</v>
      </c>
      <c r="S1944" t="n">
        <v>0</v>
      </c>
      <c r="T1944" t="n">
        <v>0</v>
      </c>
      <c r="V1944" t="n">
        <v>0</v>
      </c>
    </row>
    <row r="1945">
      <c r="A1945">
        <f>Skills!A29</f>
        <v/>
      </c>
      <c r="B1945">
        <f>Skills!B29</f>
        <v/>
      </c>
      <c r="C1945">
        <f>Inputs!$B$3&gt;=45</f>
        <v/>
      </c>
      <c r="D1945">
        <f>IF(Skills!C29=1,60+Inputs!$B$25+Inputs!$B$29,IF(Skills!C29=2,90+Inputs!$B$26+Inputs!$B$29,IF(Skills!C29=3,120+Inputs!$B$27+Inputs!$B$29,MAX(0,(Inputs!$B$3-100)*3)+Inputs!$B$28+Inputs!$B$29)))</f>
        <v/>
      </c>
      <c r="E1945">
        <f>INDEX(FactorTable!$B$2:$Y$301, MATCH(ROUND(MIN(300,MAX(1,D1945)),0), FactorTable!$A$2:$A$301,0), Skills!M29+1)</f>
        <v/>
      </c>
      <c r="F1945">
        <f>IF(Skills!N29=TRUE,(Skills!L29/10)*(E1945/1000),Skills!L29/10)+Skills!O29</f>
        <v/>
      </c>
      <c r="G1945">
        <f>Skills!G29*IF(Skills!H29&gt;0,Skills!I29/Skills!H29,1)</f>
        <v/>
      </c>
      <c r="H1945">
        <f>1-(1-Skills!J29/100)^Skills!K29</f>
        <v/>
      </c>
      <c r="I1945" t="inlineStr">
        <is>
          <t>1</t>
        </is>
      </c>
      <c r="J1945" t="inlineStr"/>
      <c r="K1945" t="inlineStr"/>
      <c r="L1945" t="inlineStr"/>
      <c r="M1945" t="inlineStr"/>
      <c r="N1945" t="inlineStr"/>
      <c r="O1945">
        <f>(1-Summary!$B$11)*T1945+Summary!$B$11*V1945</f>
        <v/>
      </c>
      <c r="P1945">
        <f>IF(B1958=0,0,O1945/B1958)</f>
        <v/>
      </c>
      <c r="Q1945" t="n">
        <v>0</v>
      </c>
      <c r="R1945" t="n">
        <v>0</v>
      </c>
      <c r="S1945" t="n">
        <v>0</v>
      </c>
      <c r="T1945" t="n">
        <v>0</v>
      </c>
      <c r="V1945" t="n">
        <v>0</v>
      </c>
    </row>
    <row r="1947">
      <c r="A1947" t="inlineStr">
        <is>
          <t>Attack% Bucket Multiplier</t>
        </is>
      </c>
      <c r="B1947">
        <f>(1+(((C1929=TRUE)*F1929)+((C1930=TRUE)*IF(Inputs!$B$38="pvp",F1930,(1-Summary!$B$11)*(F1930)+Summary!$B$11*(0)))+((C1931=TRUE)*F1931*IF(AND(Inputs!$B$38&lt;&gt;"pvp",Inputs!$B$43&gt;0),(((R1931-1)*(Skills!T15*(1+Inputs!$B$34/100))+MIN((Skills!T15*(1+Inputs!$B$34/100)),MAX(0,Inputs!$B$43-((R1931-1)*Skills!D15))))/Inputs!$B$43),IF(Inputs!$B$38="pvp",MIN((Skills!T15*(1+Inputs!$B$34/100)),15)/15,(Skills!T15*(1+Inputs!$B$34/100))/Skills!D15)))+((C1928=TRUE)*F1928)+((C1945=TRUE)*(F1945-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1948">
      <c r="A1948" t="inlineStr">
        <is>
          <t>Global Crit Rate Bonus %</t>
        </is>
      </c>
      <c r="B1948">
        <f>(C1932=TRUE)*20*IF(AND(Inputs!$B$38&lt;&gt;"pvp",Inputs!$B$43&gt;0),(((R1932-1)*(Skills!T16*(1+Inputs!$B$34/100))+MIN((Skills!T16*(1+Inputs!$B$34/100)),MAX(0,Inputs!$B$43-((R1932-1)*Skills!D16))))/Inputs!$B$43),IF(Inputs!$B$38="pvp",MIN((Skills!T16*(1+Inputs!$B$34/100)),15)/15,(Skills!T16*(1+Inputs!$B$34/100))/Skills!D16))</f>
        <v/>
      </c>
    </row>
    <row r="1949">
      <c r="A1949" t="inlineStr">
        <is>
          <t>Attack Speed Buff Bonus %</t>
        </is>
      </c>
      <c r="B1949">
        <f>((C1934=TRUE)*F1934*IF(AND(Inputs!$B$38&lt;&gt;"pvp",Inputs!$B$43&gt;0),(((R1934-1)*(Skills!T18*(1+Inputs!$B$34/100))+MIN((Skills!T18*(1+Inputs!$B$34/100)),MAX(0,Inputs!$B$43-((R1934-1)*Skills!D18))))/Inputs!$B$43),IF(Inputs!$B$38="pvp",MIN((Skills!T18*(1+Inputs!$B$34/100)),15)/15,(Skills!T18*(1+Inputs!$B$34/100))/Skills!D18)))</f>
        <v/>
      </c>
    </row>
    <row r="1950">
      <c r="A1950" t="inlineStr">
        <is>
          <t>Actions Per Second</t>
        </is>
      </c>
      <c r="B1950">
        <f>1+MIN(150,150*(1-(1-(Inputs!$B$11+((C1936=TRUE)*(F1936-Calc!F20))+((C1937=TRUE)*(F1937-Calc!F21)))/150)*(1-B1949/150)))/100</f>
        <v/>
      </c>
    </row>
    <row r="1951">
      <c r="A1951" t="inlineStr">
        <is>
          <t>Skill + Buff Cast Rate</t>
        </is>
      </c>
      <c r="B1951">
        <f>IF(AND(Inputs!$B$38&lt;&gt;"pvp",Inputs!$B$43&gt;0),SUMPRODUCT((Skills!E2:E29=TRUE)*(C1918:C1945=TRUE)*R1918:R1945*Skills!F2:F29)/Inputs!$B$43,SUMPRODUCT((Skills!E2:E29=TRUE)*(C1918:C1945=TRUE)*Q1918:Q1945*Skills!F2:F29))</f>
        <v/>
      </c>
    </row>
    <row r="1952">
      <c r="A1952" t="inlineStr">
        <is>
          <t>Empowered Piercing Arrow Casts Per Second</t>
        </is>
      </c>
      <c r="B1952">
        <f>MAX(0,B1950-B1951)</f>
        <v/>
      </c>
    </row>
    <row r="1953">
      <c r="A1953" t="inlineStr">
        <is>
          <t>Global Critical Damage Bonus % (Sharp Eyes)</t>
        </is>
      </c>
      <c r="B1953">
        <f>(C1932=TRUE)*F1932*IF(AND(Inputs!$B$38&lt;&gt;"pvp",Inputs!$B$43&gt;0),(((R1932-1)*(Skills!T16*(1+Inputs!$B$34/100))+MIN((Skills!T16*(1+Inputs!$B$34/100)),MAX(0,Inputs!$B$43-((R1932-1)*Skills!D16))))/Inputs!$B$43),IF(Inputs!$B$38="pvp",MIN((Skills!T16*(1+Inputs!$B$34/100)),15)/15,(Skills!T16*(1+Inputs!$B$34/100))/Skills!D16))</f>
        <v/>
      </c>
    </row>
    <row r="1954">
      <c r="A1954" t="inlineStr">
        <is>
          <t>Global Final Damage Bonus % (Mortal Blow + Last Man Standing conditional half)</t>
        </is>
      </c>
      <c r="B1954">
        <f>(C1933=TRUE)*F1933+((C1942=TRUE)*IF(Inputs!$B$38="pvp",F1942,(1-Summary!$B$11)*(F1942)+Summary!$B$11*(0)))</f>
        <v/>
      </c>
    </row>
    <row r="1955">
      <c r="A1955" t="inlineStr">
        <is>
          <t>Buff-Casting Startup Delay (s, fixed-duration only)</t>
        </is>
      </c>
      <c r="B1955">
        <f>IF(AND(Inputs!$B$38&lt;&gt;"pvp",Inputs!$B$43&gt;0),SUMPRODUCT((Skills!T2:T29&gt;0)*(Skills!E2:E29=TRUE)*(C1918:C1945=TRUE))/B1950,0)</f>
        <v/>
      </c>
    </row>
    <row r="1956">
      <c r="A1956" t="inlineStr">
        <is>
          <t>Boss-Only Total DPS (this block's swept value)</t>
        </is>
      </c>
      <c r="B1956">
        <f>SUM(T1918:T1945)</f>
        <v/>
      </c>
    </row>
    <row r="1957">
      <c r="A1957" t="inlineStr">
        <is>
          <t>Normal-Only Total DPS (this block's swept value)</t>
        </is>
      </c>
      <c r="B1957">
        <f>SUM(V1918:V1945)</f>
        <v/>
      </c>
    </row>
    <row r="1958">
      <c r="A1958" s="6" t="inlineStr">
        <is>
          <t>TOTAL DPS</t>
        </is>
      </c>
      <c r="B1958" s="6">
        <f>SUM(O1918:O1945)</f>
        <v/>
      </c>
    </row>
    <row r="1961">
      <c r="A1961" s="6" t="inlineStr">
        <is>
          <t>Stat: Star Rock (Equip)</t>
        </is>
      </c>
    </row>
    <row r="1962">
      <c r="A1962" s="5" t="inlineStr">
        <is>
          <t>Key</t>
        </is>
      </c>
      <c r="B1962" s="5" t="inlineStr">
        <is>
          <t>Name</t>
        </is>
      </c>
      <c r="C1962" s="5" t="inlineStr">
        <is>
          <t>Unlocked</t>
        </is>
      </c>
      <c r="D1962" s="5" t="inlineStr">
        <is>
          <t>InputLevel</t>
        </is>
      </c>
      <c r="E1962" s="5" t="inlineStr">
        <is>
          <t>Factor</t>
        </is>
      </c>
      <c r="F1962" s="5" t="inlineStr">
        <is>
          <t>CoefficientPercent</t>
        </is>
      </c>
      <c r="G1962" s="5" t="inlineStr">
        <is>
          <t>EffectiveHits</t>
        </is>
      </c>
      <c r="H1962" s="5" t="inlineStr">
        <is>
          <t>ProcProbability</t>
        </is>
      </c>
      <c r="I1962" s="5" t="inlineStr">
        <is>
          <t>MapleHeroMultiplier</t>
        </is>
      </c>
      <c r="J1962" s="5" t="inlineStr">
        <is>
          <t>BaseDamage</t>
        </is>
      </c>
      <c r="K1962" s="5" t="inlineStr">
        <is>
          <t>BaseHitDamage</t>
        </is>
      </c>
      <c r="L1962" s="5" t="inlineStr">
        <is>
          <t>NonCritAvg</t>
        </is>
      </c>
      <c r="M1962" s="5" t="inlineStr">
        <is>
          <t>CritAvg</t>
        </is>
      </c>
      <c r="N1962" s="5" t="inlineStr">
        <is>
          <t>ExpectedDamage(perHit)</t>
        </is>
      </c>
      <c r="O1962" s="5" t="inlineStr">
        <is>
          <t>DPS</t>
        </is>
      </c>
      <c r="P1962" s="5" t="inlineStr">
        <is>
          <t>% of Total</t>
        </is>
      </c>
      <c r="Q1962" s="5" t="inlineStr">
        <is>
          <t>InvCooldown</t>
        </is>
      </c>
      <c r="R1962" s="5" t="inlineStr">
        <is>
          <t>CastsInFight</t>
        </is>
      </c>
      <c r="S1962" s="5" t="inlineStr">
        <is>
          <t>HitRate(perSec)</t>
        </is>
      </c>
      <c r="U1962" t="inlineStr">
        <is>
          <t>helpers</t>
        </is>
      </c>
    </row>
    <row r="1963">
      <c r="A1963">
        <f>Skills!A2</f>
        <v/>
      </c>
      <c r="B1963">
        <f>Skills!B2</f>
        <v/>
      </c>
      <c r="C1963">
        <f>Inputs!$B$3&gt;=100</f>
        <v/>
      </c>
      <c r="D1963" t="inlineStr"/>
      <c r="E1963" t="inlineStr"/>
      <c r="F1963">
        <f>U1965+Skills!O2</f>
        <v/>
      </c>
      <c r="G1963">
        <f>Skills!G2*IF(Skills!H2&gt;0,Skills!I2/Skills!H2,1)</f>
        <v/>
      </c>
      <c r="H1963">
        <f>1-(1-Skills!J2/100)^Skills!K2</f>
        <v/>
      </c>
      <c r="I1963" t="inlineStr">
        <is>
          <t>1</t>
        </is>
      </c>
      <c r="J1963">
        <f>((Inputs!$B$6*(1+Inputs!$B$7/100))+(((Inputs!$B$12*(1+Inputs!$B$13/100))-(Inputs!$B$12*(1+Inputs!$B$13/100)))+0.25*(Inputs!$B$14-Inputs!$B$14))*(1+Inputs!$B$7/100))*(F1963/100)</f>
        <v/>
      </c>
      <c r="K1963">
        <f>J1963*(1+((Inputs!$B$12*(1+Inputs!$B$13/100))*0.01+Inputs!$B$14*0.0025)/100)*(1+Inputs!$B$15/100)*(1+Inputs!$B$16/100)*(5000/(6000+Inputs!$B$42*(1-(100*(1-(1-(Inputs!$B$19+0)/100)*(1-CHOOSE(ArtifactsInput!$N$40+1,5,6,7,8,9,10)/100)^(ArtifactsInput!$M$40-ArtifactsInput!$M$40)))/100)))*(1+(Inputs!$B$24+((C1985=TRUE)*(F1985-Calc!F24))+((C1986=TRUE)*(F1986-Calc!F25))+B1999)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EMPOWERED_PIERCING_ARROW",Inputs!$B$17+((C1983=TRUE)*(F1983-Calc!F22))+(((IF(AND(ArtifactsInput!$M$42,((Inputs!$B$9+((C1980=TRUE)*(F1980-Calc!F19))+B1993+(ArtifactsInput!$M$24-ArtifactsInput!$M$24)*CHOOSE(ArtifactsInput!$N$24+1,10,12,14,16,18,20)+IF(ArtifactsInput!$M$10,CHOOSE(ArtifactsInput!$N$10+1,15,18,21,24,27,30)*(IF(Inputs!$B$38="pvp",MIN(15,15)/15,IF(AND(Inputs!$B$38&lt;&gt;"pvp",Inputs!$B$43&gt;0),MIN(15,Inputs!$B$43)/(Inputs!$B$43),0))),0)))&gt;=100),MIN(100,((Inputs!$B$9+((C1980=TRUE)*(F1980-Calc!F19))+B1993+(ArtifactsInput!$M$24-ArtifactsInput!$M$24)*CHOOSE(ArtifactsInput!$N$24+1,10,12,14,16,18,20)+IF(ArtifactsInput!$M$10,CHOOSE(ArtifactsInput!$N$10+1,15,18,21,24,27,30)*(IF(Inputs!$B$38="pvp",MIN(15,15)/15,IF(AND(Inputs!$B$38&lt;&gt;"pvp",Inputs!$B$43&gt;0),MIN(15,Inputs!$B$43)/(Inputs!$B$43),0))),0)))-100),0))*CHOOSE(ArtifactsInput!$N$42+1,0.6,0.72,0.84,0.96,1.08,1.2))),Inputs!$B$18+((C1988=TRUE)*(F1988-Calc!F27))+(IF(AND(ArtifactsInput!$M$42,((Inputs!$B$9+((C1980=TRUE)*(F1980-Calc!F19))+B1993+(ArtifactsInput!$M$24-ArtifactsInput!$M$24)*CHOOSE(ArtifactsInput!$N$24+1,10,12,14,16,18,20)+IF(ArtifactsInput!$M$10,CHOOSE(ArtifactsInput!$N$10+1,15,18,21,24,27,30)*(IF(Inputs!$B$38="pvp",MIN(15,15)/15,IF(AND(Inputs!$B$38&lt;&gt;"pvp",Inputs!$B$43&gt;0),MIN(15,Inputs!$B$43)/(Inputs!$B$43),0))),0)))&gt;=100),CHOOSE(ArtifactsInput!$N$42+1,40,48,56,64,72,80),0))))/100)*((1+(((C1974=TRUE)*F1974)+((C1975=TRUE)*IF(Inputs!$B$38="pvp",F1975,(1-Summary!$B$11)*(F1975)+Summary!$B$11*(0)))+((C1976=TRUE)*F1976*IF(AND(Inputs!$B$38&lt;&gt;"pvp",Inputs!$B$43&gt;0),(((R1976-1)*(Skills!T15*(1+Inputs!$B$34/100))+MIN((Skills!T15*(1+Inputs!$B$34/100)),MAX(0,Inputs!$B$43-((R1976-1)*Skills!D15))))/Inputs!$B$43),IF(Inputs!$B$38="pvp",MIN((Skills!T15*(1+Inputs!$B$34/100)),15)/15,(Skills!T15*(1+Inputs!$B$34/100))/Skills!D15)))+((C1973=TRUE)*F1973)+((C1990=TRUE)*(F1990-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1963)</f>
        <v/>
      </c>
      <c r="L1963">
        <f>K1963*(MIN(Inputs!$B$22+((C1984=TRUE)*(F1984-Calc!F23)),(Inputs!$B$23+((C1989=TRUE)*(F1989-Calc!F28))+(IF(ArtifactsInput!$M$15,CHOOSE(ArtifactsInput!$N$15+1,25,30,35,40,45,50)/100*(Inputs!$B$11-Inputs!$B$11),0))))/100+(Inputs!$B$23+((C1989=TRUE)*(F1989-Calc!F28))+(IF(ArtifactsInput!$M$15,CHOOSE(ArtifactsInput!$N$15+1,25,30,35,40,45,50)/100*(Inputs!$B$11-Inputs!$B$11),0)))/100)/2</f>
        <v/>
      </c>
      <c r="M1963">
        <f>L1963*(1+(Inputs!$B$10+0+B1998+(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963">
        <f>L1963*(1-MIN((Inputs!$B$9+((C1980=TRUE)*(F1980-Calc!F19))+B1993+(ArtifactsInput!$M$24-ArtifactsInput!$M$24)*CHOOSE(ArtifactsInput!$N$24+1,10,12,14,16,18,20)+(IF(AND(ArtifactsInput!$M$42,((Inputs!$B$9+((C1980=TRUE)*(F1980-Calc!F19))+B1993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1963*(MIN((Inputs!$B$9+((C1980=TRUE)*(F1980-Calc!F19))+B1993+(ArtifactsInput!$M$24-ArtifactsInput!$M$24)*CHOOSE(ArtifactsInput!$N$24+1,10,12,14,16,18,20)+(IF(AND(ArtifactsInput!$M$42,((Inputs!$B$9+((C1980=TRUE)*(F1980-Calc!F19))+B1993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963">
        <f>(1-Summary!$B$11)*T1963+Summary!$B$11*V1963</f>
        <v/>
      </c>
      <c r="P1963">
        <f>IF(B2003=0,0,O1963/B2003)</f>
        <v/>
      </c>
      <c r="Q1963" t="n">
        <v>0</v>
      </c>
      <c r="R1963" t="n">
        <v>0</v>
      </c>
      <c r="S1963">
        <f>IFERROR((Skills!G2*N1963*B1997)/N1963*IF(Inputs!$B$38="pvp",1,(1-Summary!$B$11)*1+Summary!$B$11*(MIN((6+Inputs!$B$33),Inputs!$B$37))),0)</f>
        <v/>
      </c>
      <c r="T1963">
        <f>IF(C1963,(Skills!G2*N1963*B1997)*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IF(ArtifactsInput!$M$23,FALSE,TRUE)-ArtifactsInput!$M$23)*CHOOSE(ArtifactsInput!$N$23+1,50,60,70,80,90,100))+(IF(AND(ArtifactsInput!$M$35,Inputs!$B$4&lt;&gt;"Chapter Hunt"),CHOOSE(ArtifactsInput!$N$35+1,15,18,21,24,27,30)*(1-EXP(-(0.2*B1995)*5)),0)+IF(AND(ArtifactsInput!$M$22,Inputs!$B$4&lt;&gt;"Chapter Hunt"),CHOOSE(ArtifactsInput!$N$22+1,10,12,14,16,18,20)*((0*(((0.15*B1995*5))^0/1)+1*(((0.15*B1995*5))^1/1)+2*(((0.15*B1995*5))^2/2)+3*(((0.15*B1995*5))^3/6)+4*(((0.15*B1995*5))^4/24)+5*(((0.15*B1995*5))^5/120))/((((0.15*B1995*5))^0/1)+(((0.15*B1995*5))^1/1)+(((0.15*B1995*5))^2/2)+(((0.15*B1995*5))^3/6)+(((0.15*B1995*5))^4/24)+(((0.15*B1995*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1963*(1-MIN(100,(Inputs!$B$9+((C1980=TRUE)*(F1980-Calc!F19))+B1993+(ArtifactsInput!$M$24-ArtifactsInput!$M$24)*CHOOSE(ArtifactsInput!$N$24+1,10,12,14,16,18,20)+(IF(AND(ArtifactsInput!$M$42,((Inputs!$B$9+((C1980=TRUE)*(F1980-Calc!F19))+B1993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1963*(MIN(100,(Inputs!$B$9+((C1980=TRUE)*(F1980-Calc!F19))+B1993+(ArtifactsInput!$M$24-ArtifactsInput!$M$24)*CHOOSE(ArtifactsInput!$N$24+1,10,12,14,16,18,20)+(IF(AND(ArtifactsInput!$M$42,((Inputs!$B$9+((C1980=TRUE)*(F1980-Calc!F19))+B1993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1963*(1-MIN(100,(Inputs!$B$9+((C1980=TRUE)*(F1980-Calc!F19))+B1993+(ArtifactsInput!$M$24-ArtifactsInput!$M$24)*CHOOSE(ArtifactsInput!$N$24+1,10,12,14,16,18,20)+(IF(AND(ArtifactsInput!$M$42,((Inputs!$B$9+((C1980=TRUE)*(F1980-Calc!F19))+B1993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1963*(MIN(100,(Inputs!$B$9+((C1980=TRUE)*(F1980-Calc!F19))+B1993+(ArtifactsInput!$M$24-ArtifactsInput!$M$24)*CHOOSE(ArtifactsInput!$N$24+1,10,12,14,16,18,20)+(IF(AND(ArtifactsInput!$M$42,((Inputs!$B$9+((C1980=TRUE)*(F1980-Calc!F19))+B1993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1963">
        <f>MAX(0,(Inputs!$B$3-100)*3)+Inputs!$B$28+Inputs!$B$29</f>
        <v/>
      </c>
      <c r="V1963">
        <f>IF(C1963,(Skills!G2*N1963*B1997)*IF(Inputs!$B$38="pvp",1,(1+(Inputs!$B$21+Skills!Q2+(IF(ArtifactsInput!$M$33,CHOOSE(ArtifactsInput!$N$33+1,30,36,42,48,54,60),0))+(IF(AND(ArtifactsInput!$M$35,Inputs!$B$4&lt;&gt;"Chapter Hunt"),CHOOSE(ArtifactsInput!$N$35+1,15,18,21,24,27,30)*(1-EXP(-(0.2*B1995)*5)),0)+IF(AND(ArtifactsInput!$M$22,Inputs!$B$4&lt;&gt;"Chapter Hunt"),CHOOSE(ArtifactsInput!$N$22+1,10,12,14,16,18,20)*((0*(((0.15*B1995*5))^0/1)+1*(((0.15*B1995*5))^1/1)+2*(((0.15*B1995*5))^2/2)+3*(((0.15*B1995*5))^3/6)+4*(((0.15*B1995*5))^4/24)+5*(((0.15*B1995*5))^5/120))/((((0.15*B1995*5))^0/1)+(((0.15*B1995*5))^1/1)+(((0.15*B1995*5))^2/2)+(((0.15*B1995*5))^3/6)+(((0.15*B1995*5))^4/24)+(((0.15*B1995*5))^5/120)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964">
      <c r="A1964">
        <f>Skills!A3</f>
        <v/>
      </c>
      <c r="B1964">
        <f>Skills!B3</f>
        <v/>
      </c>
      <c r="C1964">
        <f>Inputs!$B$3&gt;=50</f>
        <v/>
      </c>
      <c r="D1964">
        <f>IF(Skills!C3=1,60+Inputs!$B$25+Inputs!$B$29,IF(Skills!C3=2,90+Inputs!$B$26+Inputs!$B$29,IF(Skills!C3=3,120+Inputs!$B$27+Inputs!$B$29,MAX(0,(Inputs!$B$3-100)*3)+Inputs!$B$28+Inputs!$B$29)))</f>
        <v/>
      </c>
      <c r="E1964">
        <f>INDEX(FactorTable!$B$2:$Y$301, MATCH(ROUND(MIN(300,MAX(1,D1964)),0), FactorTable!$A$2:$A$301,0), Skills!M3+1)</f>
        <v/>
      </c>
      <c r="F1964">
        <f>IF(Skills!N3=TRUE,(Skills!L3/10)*(E1964/1000),Skills!L3/10)+Skills!O3</f>
        <v/>
      </c>
      <c r="G1964" t="inlineStr"/>
      <c r="H1964" t="inlineStr"/>
      <c r="I1964" t="inlineStr">
        <is>
          <t>1</t>
        </is>
      </c>
      <c r="J1964" t="inlineStr"/>
      <c r="K1964" t="inlineStr"/>
      <c r="L1964" t="inlineStr"/>
      <c r="M1964" t="inlineStr"/>
      <c r="N1964" t="inlineStr"/>
      <c r="O1964" t="inlineStr"/>
      <c r="P1964" t="inlineStr"/>
      <c r="Q1964" t="inlineStr"/>
      <c r="R1964" t="inlineStr"/>
      <c r="S1964" t="inlineStr"/>
      <c r="T1964" t="inlineStr"/>
      <c r="U1964">
        <f>INDEX(FactorTable!$B$2:$Y$301, MATCH(ROUND(MIN(300,MAX(1,U1963)),0), FactorTable!$A$2:$A$301,0), 22)</f>
        <v/>
      </c>
      <c r="V1964" t="inlineStr"/>
    </row>
    <row r="1965">
      <c r="A1965">
        <f>Skills!A4</f>
        <v/>
      </c>
      <c r="B1965">
        <f>Skills!B4</f>
        <v/>
      </c>
      <c r="C1965">
        <f>Inputs!$B$3&gt;=105</f>
        <v/>
      </c>
      <c r="D1965">
        <f>IF(Skills!C4=1,60+Inputs!$B$25+Inputs!$B$29,IF(Skills!C4=2,90+Inputs!$B$26+Inputs!$B$29,IF(Skills!C4=3,120+Inputs!$B$27+Inputs!$B$29,MAX(0,(Inputs!$B$3-100)*3)+Inputs!$B$28+Inputs!$B$29)))</f>
        <v/>
      </c>
      <c r="E1965">
        <f>INDEX(FactorTable!$B$2:$Y$301, MATCH(ROUND(MIN(300,MAX(1,D1965)),0), FactorTable!$A$2:$A$301,0), Skills!M4+1)</f>
        <v/>
      </c>
      <c r="F1965">
        <f>IF(Skills!N4=TRUE,(Skills!L4/10)*(E1965/1000),Skills!L4/10)+Skills!O4</f>
        <v/>
      </c>
      <c r="G1965" t="inlineStr"/>
      <c r="H1965" t="inlineStr"/>
      <c r="I1965" t="inlineStr">
        <is>
          <t>1</t>
        </is>
      </c>
      <c r="J1965" t="inlineStr"/>
      <c r="K1965" t="inlineStr"/>
      <c r="L1965" t="inlineStr"/>
      <c r="M1965" t="inlineStr"/>
      <c r="N1965" t="inlineStr"/>
      <c r="O1965" t="inlineStr"/>
      <c r="P1965" t="inlineStr"/>
      <c r="Q1965" t="inlineStr"/>
      <c r="R1965" t="inlineStr"/>
      <c r="S1965" t="inlineStr"/>
      <c r="T1965" t="inlineStr"/>
      <c r="U1965">
        <f>290*U1964/1000</f>
        <v/>
      </c>
      <c r="V1965" t="inlineStr"/>
    </row>
    <row r="1966">
      <c r="A1966">
        <f>Skills!A5</f>
        <v/>
      </c>
      <c r="B1966">
        <f>Skills!B5</f>
        <v/>
      </c>
      <c r="C1966">
        <f>Inputs!$B$3&gt;=35</f>
        <v/>
      </c>
      <c r="D1966">
        <f>IF(Skills!C5=1,60+Inputs!$B$25+Inputs!$B$29,IF(Skills!C5=2,90+Inputs!$B$26+Inputs!$B$29,IF(Skills!C5=3,120+Inputs!$B$27+Inputs!$B$29,MAX(0,(Inputs!$B$3-100)*3)+Inputs!$B$28+Inputs!$B$29)))</f>
        <v/>
      </c>
      <c r="E1966">
        <f>INDEX(FactorTable!$B$2:$Y$301, MATCH(ROUND(MIN(300,MAX(1,D1966)),0), FactorTable!$A$2:$A$301,0), Skills!M5+1)</f>
        <v/>
      </c>
      <c r="F1966">
        <f>IF(Skills!N5=TRUE,(Skills!L5/10)*(E1966/1000),Skills!L5/10)+Skills!O5</f>
        <v/>
      </c>
      <c r="G1966">
        <f>Skills!G5*IF(Skills!H5&gt;0,Skills!I5/Skills!H5,1)</f>
        <v/>
      </c>
      <c r="H1966">
        <f>1-(1-Skills!J5/100)^Skills!K5</f>
        <v/>
      </c>
      <c r="I1966" t="inlineStr">
        <is>
          <t>1</t>
        </is>
      </c>
      <c r="J1966">
        <f>((Inputs!$B$6*(1+Inputs!$B$7/100))+(((Inputs!$B$12*(1+Inputs!$B$13/100))-(Inputs!$B$12*(1+Inputs!$B$13/100)))+0.25*(Inputs!$B$14-Inputs!$B$14))*(1+Inputs!$B$7/100))*(F1966/100)</f>
        <v/>
      </c>
      <c r="K1966">
        <f>J1966*(1+((Inputs!$B$12*(1+Inputs!$B$13/100))*0.01+Inputs!$B$14*0.0025)/100)*(1+Inputs!$B$15/100)*(1+Inputs!$B$16/100)*(5000/(6000+Inputs!$B$42*(1-(100*(1-(1-(Inputs!$B$19+0)/100)*(1-CHOOSE(ArtifactsInput!$N$40+1,5,6,7,8,9,10)/100)^(ArtifactsInput!$M$40-ArtifactsInput!$M$40)))/100)))*(1+(Inputs!$B$24+((C1985=TRUE)*(F1985-Calc!F24))+((C1986=TRUE)*(F1986-Calc!F25))+B1999)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1969=TRUE,F1969,0)/100)*(1+(IF(Skills!A5="EMPOWERED_PIERCING_ARROW",Inputs!$B$17+((C1983=TRUE)*(F1983-Calc!F22))+(((IF(AND(ArtifactsInput!$M$42,((Inputs!$B$9+((C1980=TRUE)*(F1980-Calc!F19))+B1993+(ArtifactsInput!$M$24-ArtifactsInput!$M$24)*CHOOSE(ArtifactsInput!$N$24+1,10,12,14,16,18,20)+IF(ArtifactsInput!$M$10,CHOOSE(ArtifactsInput!$N$10+1,15,18,21,24,27,30)*(IF(Inputs!$B$38="pvp",MIN(15,15)/15,IF(AND(Inputs!$B$38&lt;&gt;"pvp",Inputs!$B$43&gt;0),MIN(15,Inputs!$B$43)/(Inputs!$B$43),0))),0)))&gt;=100),MIN(100,((Inputs!$B$9+((C1980=TRUE)*(F1980-Calc!F19))+B1993+(ArtifactsInput!$M$24-ArtifactsInput!$M$24)*CHOOSE(ArtifactsInput!$N$24+1,10,12,14,16,18,20)+IF(ArtifactsInput!$M$10,CHOOSE(ArtifactsInput!$N$10+1,15,18,21,24,27,30)*(IF(Inputs!$B$38="pvp",MIN(15,15)/15,IF(AND(Inputs!$B$38&lt;&gt;"pvp",Inputs!$B$43&gt;0),MIN(15,Inputs!$B$43)/(Inputs!$B$43),0))),0)))-100),0))*CHOOSE(ArtifactsInput!$N$42+1,0.6,0.72,0.84,0.96,1.08,1.2))),Inputs!$B$18+((C1988=TRUE)*(F1988-Calc!F27))+(IF(AND(ArtifactsInput!$M$42,((Inputs!$B$9+((C1980=TRUE)*(F1980-Calc!F19))+B1993+(ArtifactsInput!$M$24-ArtifactsInput!$M$24)*CHOOSE(ArtifactsInput!$N$24+1,10,12,14,16,18,20)+IF(ArtifactsInput!$M$10,CHOOSE(ArtifactsInput!$N$10+1,15,18,21,24,27,30)*(IF(Inputs!$B$38="pvp",MIN(15,15)/15,IF(AND(Inputs!$B$38&lt;&gt;"pvp",Inputs!$B$43&gt;0),MIN(15,Inputs!$B$43)/(Inputs!$B$43),0))),0)))&gt;=100),CHOOSE(ArtifactsInput!$N$42+1,40,48,56,64,72,80),0))))/100)*((1+(((C1974=TRUE)*F1974)+((C1975=TRUE)*IF(Inputs!$B$38="pvp",F1975,(1-Summary!$B$11)*(F1975)+Summary!$B$11*(0)))+((C1976=TRUE)*F1976*IF(AND(Inputs!$B$38&lt;&gt;"pvp",Inputs!$B$43&gt;0),(((R1976-1)*(Skills!T15*(1+Inputs!$B$34/100))+MIN((Skills!T15*(1+Inputs!$B$34/100)),MAX(0,Inputs!$B$43-((R1976-1)*Skills!D15))))/Inputs!$B$43),IF(Inputs!$B$38="pvp",MIN((Skills!T15*(1+Inputs!$B$34/100)),15)/15,(Skills!T15*(1+Inputs!$B$34/100))/Skills!D15)))+((C1973=TRUE)*F1973)+((C1990=TRUE)*(F1990-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1966)</f>
        <v/>
      </c>
      <c r="L1966">
        <f>K1966*(MIN(Inputs!$B$22+((C1984=TRUE)*(F1984-Calc!F23)),(Inputs!$B$23+((C1989=TRUE)*(F1989-Calc!F28))+(IF(ArtifactsInput!$M$15,CHOOSE(ArtifactsInput!$N$15+1,25,30,35,40,45,50)/100*(Inputs!$B$11-Inputs!$B$11),0))))/100+(Inputs!$B$23+((C1989=TRUE)*(F1989-Calc!F28))+(IF(ArtifactsInput!$M$15,CHOOSE(ArtifactsInput!$N$15+1,25,30,35,40,45,50)/100*(Inputs!$B$11-Inputs!$B$11),0)))/100)/2</f>
        <v/>
      </c>
      <c r="M1966">
        <f>L1966*(1+(Inputs!$B$10+0+B1998+(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966">
        <f>L1966*(1-MIN((Inputs!$B$9+((C1980=TRUE)*(F1980-Calc!F19))+B1993+(ArtifactsInput!$M$24-ArtifactsInput!$M$24)*CHOOSE(ArtifactsInput!$N$24+1,10,12,14,16,18,20)+(IF(AND(ArtifactsInput!$M$42,((Inputs!$B$9+((C1980=TRUE)*(F1980-Calc!F19))+B1993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1966*(MIN((Inputs!$B$9+((C1980=TRUE)*(F1980-Calc!F19))+B1993+(ArtifactsInput!$M$24-ArtifactsInput!$M$24)*CHOOSE(ArtifactsInput!$N$24+1,10,12,14,16,18,20)+(IF(AND(ArtifactsInput!$M$42,((Inputs!$B$9+((C1980=TRUE)*(F1980-Calc!F19))+B1993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966">
        <f>(1-Summary!$B$11)*T1966+Summary!$B$11*V1966</f>
        <v/>
      </c>
      <c r="P1966">
        <f>IF(B2003=0,0,O1966/B2003)</f>
        <v/>
      </c>
      <c r="Q1966">
        <f>IFERROR(1/IF(Inputs!$B$38="pvp",15,MAX(0.1,Skills!D5-IF(Skills!E5=TRUE,Inputs!$B$32,0))),0)</f>
        <v/>
      </c>
      <c r="R1966">
        <f>IF(AND(Inputs!$B$38&lt;&gt;"pvp",Inputs!$B$43&gt;0),IF(MAX(0,Inputs!$B$43-B2000)&lt;=0,0,(INT(MAX(0,Inputs!$B$43-B2000)/IF(Inputs!$B$38="pvp",15,MAX(0.1,Skills!D5-IF(Skills!E5=TRUE,Inputs!$B$32,0))))+1)),0)</f>
        <v/>
      </c>
      <c r="S1966">
        <f>IFERROR((H1966*N1966*IF(AND(Inputs!$B$38&lt;&gt;"pvp",Inputs!$B$43&gt;0),((Skills!G5*((R1966-1)*IF(Skills!H5&gt;0,Skills!I5/Skills!H5,1)+IF(Skills!H5&gt;0,MIN(Skills!I5,MAX(0,MAX(0,Inputs!$B$43-B2000)-((R1966-1)*IF(Inputs!$B$38="pvp",15,MAX(0.1,Skills!D5-IF(Skills!E5=TRUE,Inputs!$B$32,0))))))/Skills!H5,1)))/Inputs!$B$43),G1966*Q1966))/N1966*IF(Inputs!$B$38="pvp",1,(1-Summary!$B$11)*1+Summary!$B$11*(MIN(Skills!R5,Inputs!$B$37))),0)</f>
        <v/>
      </c>
      <c r="T1966">
        <f>IF(C1966,(H1966*N1966*IF(AND(Inputs!$B$38&lt;&gt;"pvp",Inputs!$B$43&gt;0),((Skills!G5*((R1966-1)*IF(Skills!H5&gt;0,Skills!I5/Skills!H5,1)+IF(Skills!H5&gt;0,MIN(Skills!I5,MAX(0,MAX(0,Inputs!$B$43-B2000)-((R1966-1)*IF(Inputs!$B$38="pvp",15,MAX(0.1,Skills!D5-IF(Skills!E5=TRUE,Inputs!$B$32,0))))))/Skills!H5,1)))/Inputs!$B$43),G1966*Q1966))*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IF(ArtifactsInput!$M$23,FALSE,TRUE)-ArtifactsInput!$M$23)*CHOOSE(ArtifactsInput!$N$23+1,50,60,70,80,90,100))+(IF(AND(ArtifactsInput!$M$35,Inputs!$B$4&lt;&gt;"Chapter Hunt"),CHOOSE(ArtifactsInput!$N$35+1,15,18,21,24,27,30)*(1-EXP(-(0.2*B1995)*5)),0)+IF(AND(ArtifactsInput!$M$22,Inputs!$B$4&lt;&gt;"Chapter Hunt"),CHOOSE(ArtifactsInput!$N$22+1,10,12,14,16,18,20)*((0*(((0.15*B1995*5))^0/1)+1*(((0.15*B1995*5))^1/1)+2*(((0.15*B1995*5))^2/2)+3*(((0.15*B1995*5))^3/6)+4*(((0.15*B1995*5))^4/24)+5*(((0.15*B1995*5))^5/120))/((((0.15*B1995*5))^0/1)+(((0.15*B1995*5))^1/1)+(((0.15*B1995*5))^2/2)+(((0.15*B1995*5))^3/6)+(((0.15*B1995*5))^4/24)+(((0.15*B1995*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1966*(1-MIN(100,(Inputs!$B$9+((C1980=TRUE)*(F1980-Calc!F19))+B1993+(ArtifactsInput!$M$24-ArtifactsInput!$M$24)*CHOOSE(ArtifactsInput!$N$24+1,10,12,14,16,18,20)+(IF(AND(ArtifactsInput!$M$42,((Inputs!$B$9+((C1980=TRUE)*(F1980-Calc!F19))+B1993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1966*(MIN(100,(Inputs!$B$9+((C1980=TRUE)*(F1980-Calc!F19))+B1993+(ArtifactsInput!$M$24-ArtifactsInput!$M$24)*CHOOSE(ArtifactsInput!$N$24+1,10,12,14,16,18,20)+(IF(AND(ArtifactsInput!$M$42,((Inputs!$B$9+((C1980=TRUE)*(F1980-Calc!F19))+B1993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1966*(1-MIN(100,(Inputs!$B$9+((C1980=TRUE)*(F1980-Calc!F19))+B1993+(ArtifactsInput!$M$24-ArtifactsInput!$M$24)*CHOOSE(ArtifactsInput!$N$24+1,10,12,14,16,18,20)+(IF(AND(ArtifactsInput!$M$42,((Inputs!$B$9+((C1980=TRUE)*(F1980-Calc!F19))+B1993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1966*(MIN(100,(Inputs!$B$9+((C1980=TRUE)*(F1980-Calc!F19))+B1993+(ArtifactsInput!$M$24-ArtifactsInput!$M$24)*CHOOSE(ArtifactsInput!$N$24+1,10,12,14,16,18,20)+(IF(AND(ArtifactsInput!$M$42,((Inputs!$B$9+((C1980=TRUE)*(F1980-Calc!F19))+B1993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966">
        <f>IF(C1966,(H1966*N1966*IF(AND(Inputs!$B$38&lt;&gt;"pvp",Inputs!$B$43&gt;0),((Skills!G5*((R1966-1)*IF(Skills!H5&gt;0,Skills!I5/Skills!H5,1)+IF(Skills!H5&gt;0,MIN(Skills!I5,MAX(0,MAX(0,Inputs!$B$43-B2000)-((R1966-1)*IF(Inputs!$B$38="pvp",15,MAX(0.1,Skills!D5-IF(Skills!E5=TRUE,Inputs!$B$32,0))))))/Skills!H5,1)))/Inputs!$B$43),G1966*Q1966))*IF(Inputs!$B$38="pvp",1,(1+(Inputs!$B$21+Skills!Q5+(IF(ArtifactsInput!$M$33,CHOOSE(ArtifactsInput!$N$33+1,30,36,42,48,54,60),0))+(IF(AND(ArtifactsInput!$M$35,Inputs!$B$4&lt;&gt;"Chapter Hunt"),CHOOSE(ArtifactsInput!$N$35+1,15,18,21,24,27,30)*(1-EXP(-(0.2*B1995)*5)),0)+IF(AND(ArtifactsInput!$M$22,Inputs!$B$4&lt;&gt;"Chapter Hunt"),CHOOSE(ArtifactsInput!$N$22+1,10,12,14,16,18,20)*((0*(((0.15*B1995*5))^0/1)+1*(((0.15*B1995*5))^1/1)+2*(((0.15*B1995*5))^2/2)+3*(((0.15*B1995*5))^3/6)+4*(((0.15*B1995*5))^4/24)+5*(((0.15*B1995*5))^5/120))/((((0.15*B1995*5))^0/1)+(((0.15*B1995*5))^1/1)+(((0.15*B1995*5))^2/2)+(((0.15*B1995*5))^3/6)+(((0.15*B1995*5))^4/24)+(((0.15*B1995*5))^5/120)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967">
      <c r="A1967">
        <f>Skills!A6</f>
        <v/>
      </c>
      <c r="B1967">
        <f>Skills!B6</f>
        <v/>
      </c>
      <c r="C1967">
        <f>Inputs!$B$3&gt;=63</f>
        <v/>
      </c>
      <c r="D1967">
        <f>IF(Skills!C6=1,60+Inputs!$B$25+Inputs!$B$29,IF(Skills!C6=2,90+Inputs!$B$26+Inputs!$B$29,IF(Skills!C6=3,120+Inputs!$B$27+Inputs!$B$29,MAX(0,(Inputs!$B$3-100)*3)+Inputs!$B$28+Inputs!$B$29)))</f>
        <v/>
      </c>
      <c r="E1967">
        <f>INDEX(FactorTable!$B$2:$Y$301, MATCH(ROUND(MIN(300,MAX(1,D1967)),0), FactorTable!$A$2:$A$301,0), Skills!M6+1)</f>
        <v/>
      </c>
      <c r="F1967">
        <f>IF(Skills!N6=TRUE,(Skills!L6/10)*(E1967/1000),Skills!L6/10)+Skills!O6</f>
        <v/>
      </c>
      <c r="G1967">
        <f>Skills!G6*IF(Skills!H6&gt;0,Skills!I6/Skills!H6,1)</f>
        <v/>
      </c>
      <c r="H1967">
        <f>1-(1-Skills!J6/100)^Skills!K6</f>
        <v/>
      </c>
      <c r="I1967" t="inlineStr">
        <is>
          <t>1</t>
        </is>
      </c>
      <c r="J1967">
        <f>((Inputs!$B$6*(1+Inputs!$B$7/100))+(((Inputs!$B$12*(1+Inputs!$B$13/100))-(Inputs!$B$12*(1+Inputs!$B$13/100)))+0.25*(Inputs!$B$14-Inputs!$B$14))*(1+Inputs!$B$7/100))*(F1967/100)</f>
        <v/>
      </c>
      <c r="K1967">
        <f>J1967*(1+((Inputs!$B$12*(1+Inputs!$B$13/100))*0.01+Inputs!$B$14*0.0025)/100)*(1+Inputs!$B$15/100)*(1+Inputs!$B$16/100)*(5000/(6000+Inputs!$B$42*(1-(100*(1-(1-(Inputs!$B$19+0)/100)*(1-CHOOSE(ArtifactsInput!$N$40+1,5,6,7,8,9,10)/100)^(ArtifactsInput!$M$40-ArtifactsInput!$M$40)))/100)))*(1+(Inputs!$B$24+((C1985=TRUE)*(F1985-Calc!F24))+((C1986=TRUE)*(F1986-Calc!F25))+B1999)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1969=TRUE,F1969,0)/100)*(1+(IF(Skills!A6="EMPOWERED_PIERCING_ARROW",Inputs!$B$17+((C1983=TRUE)*(F1983-Calc!F22))+(((IF(AND(ArtifactsInput!$M$42,((Inputs!$B$9+((C1980=TRUE)*(F1980-Calc!F19))+B1993+(ArtifactsInput!$M$24-ArtifactsInput!$M$24)*CHOOSE(ArtifactsInput!$N$24+1,10,12,14,16,18,20)+IF(ArtifactsInput!$M$10,CHOOSE(ArtifactsInput!$N$10+1,15,18,21,24,27,30)*(IF(Inputs!$B$38="pvp",MIN(15,15)/15,IF(AND(Inputs!$B$38&lt;&gt;"pvp",Inputs!$B$43&gt;0),MIN(15,Inputs!$B$43)/(Inputs!$B$43),0))),0)))&gt;=100),MIN(100,((Inputs!$B$9+((C1980=TRUE)*(F1980-Calc!F19))+B1993+(ArtifactsInput!$M$24-ArtifactsInput!$M$24)*CHOOSE(ArtifactsInput!$N$24+1,10,12,14,16,18,20)+IF(ArtifactsInput!$M$10,CHOOSE(ArtifactsInput!$N$10+1,15,18,21,24,27,30)*(IF(Inputs!$B$38="pvp",MIN(15,15)/15,IF(AND(Inputs!$B$38&lt;&gt;"pvp",Inputs!$B$43&gt;0),MIN(15,Inputs!$B$43)/(Inputs!$B$43),0))),0)))-100),0))*CHOOSE(ArtifactsInput!$N$42+1,0.6,0.72,0.84,0.96,1.08,1.2))),Inputs!$B$18+((C1988=TRUE)*(F1988-Calc!F27))+(IF(AND(ArtifactsInput!$M$42,((Inputs!$B$9+((C1980=TRUE)*(F1980-Calc!F19))+B1993+(ArtifactsInput!$M$24-ArtifactsInput!$M$24)*CHOOSE(ArtifactsInput!$N$24+1,10,12,14,16,18,20)+IF(ArtifactsInput!$M$10,CHOOSE(ArtifactsInput!$N$10+1,15,18,21,24,27,30)*(IF(Inputs!$B$38="pvp",MIN(15,15)/15,IF(AND(Inputs!$B$38&lt;&gt;"pvp",Inputs!$B$43&gt;0),MIN(15,Inputs!$B$43)/(Inputs!$B$43),0))),0)))&gt;=100),CHOOSE(ArtifactsInput!$N$42+1,40,48,56,64,72,80),0))))/100)*((1+(((C1974=TRUE)*F1974)+((C1975=TRUE)*IF(Inputs!$B$38="pvp",F1975,(1-Summary!$B$11)*(F1975)+Summary!$B$11*(0)))+((C1976=TRUE)*F1976*IF(AND(Inputs!$B$38&lt;&gt;"pvp",Inputs!$B$43&gt;0),(((R1976-1)*(Skills!T15*(1+Inputs!$B$34/100))+MIN((Skills!T15*(1+Inputs!$B$34/100)),MAX(0,Inputs!$B$43-((R1976-1)*Skills!D15))))/Inputs!$B$43),IF(Inputs!$B$38="pvp",MIN((Skills!T15*(1+Inputs!$B$34/100)),15)/15,(Skills!T15*(1+Inputs!$B$34/100))/Skills!D15)))+((C1973=TRUE)*F1973)+((C1990=TRUE)*(F1990-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1967)</f>
        <v/>
      </c>
      <c r="L1967">
        <f>K1967*(MIN(Inputs!$B$22+((C1984=TRUE)*(F1984-Calc!F23)),(Inputs!$B$23+((C1989=TRUE)*(F1989-Calc!F28))+(IF(ArtifactsInput!$M$15,CHOOSE(ArtifactsInput!$N$15+1,25,30,35,40,45,50)/100*(Inputs!$B$11-Inputs!$B$11),0))))/100+(Inputs!$B$23+((C1989=TRUE)*(F1989-Calc!F28))+(IF(ArtifactsInput!$M$15,CHOOSE(ArtifactsInput!$N$15+1,25,30,35,40,45,50)/100*(Inputs!$B$11-Inputs!$B$11),0)))/100)/2</f>
        <v/>
      </c>
      <c r="M1967">
        <f>L1967*(1+(Inputs!$B$10+0+B1998+(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967">
        <f>L1967*(1-MIN((Inputs!$B$9+((C1980=TRUE)*(F1980-Calc!F19))+B1993+(ArtifactsInput!$M$24-ArtifactsInput!$M$24)*CHOOSE(ArtifactsInput!$N$24+1,10,12,14,16,18,20)+(IF(AND(ArtifactsInput!$M$42,((Inputs!$B$9+((C1980=TRUE)*(F1980-Calc!F19))+B1993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1967*(MIN((Inputs!$B$9+((C1980=TRUE)*(F1980-Calc!F19))+B1993+(ArtifactsInput!$M$24-ArtifactsInput!$M$24)*CHOOSE(ArtifactsInput!$N$24+1,10,12,14,16,18,20)+(IF(AND(ArtifactsInput!$M$42,((Inputs!$B$9+((C1980=TRUE)*(F1980-Calc!F19))+B1993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967">
        <f>(1-Summary!$B$11)*T1967+Summary!$B$11*V1967</f>
        <v/>
      </c>
      <c r="P1967">
        <f>IF(B2003=0,0,O1967/B2003)</f>
        <v/>
      </c>
      <c r="Q1967">
        <f>IFERROR(1/IF(Inputs!$B$38="pvp",15,MAX(0.1,Skills!D6-IF(Skills!E6=TRUE,Inputs!$B$32,0))),0)</f>
        <v/>
      </c>
      <c r="R1967">
        <f>IF(AND(Inputs!$B$38&lt;&gt;"pvp",Inputs!$B$43&gt;0),IF(MAX(0,Inputs!$B$43-B2000)&lt;=0,0,(INT(MAX(0,Inputs!$B$43-B2000)/IF(Inputs!$B$38="pvp",15,MAX(0.1,Skills!D6-IF(Skills!E6=TRUE,Inputs!$B$32,0))))+1)),0)</f>
        <v/>
      </c>
      <c r="S1967">
        <f>IFERROR((H1967*N1967*IF(AND(Inputs!$B$38&lt;&gt;"pvp",Inputs!$B$43&gt;0),((Skills!G6*((R1967-1)*IF(Skills!H6&gt;0,Skills!I6/Skills!H6,1)+IF(Skills!H6&gt;0,MIN(Skills!I6,MAX(0,MAX(0,Inputs!$B$43-B2000)-((R1967-1)*IF(Inputs!$B$38="pvp",15,MAX(0.1,Skills!D6-IF(Skills!E6=TRUE,Inputs!$B$32,0))))))/Skills!H6,1)))/Inputs!$B$43),G1967*Q1967))/N1967*IF(Inputs!$B$38="pvp",1,(1-Summary!$B$11)*1+Summary!$B$11*(MIN(Skills!R6,Inputs!$B$37))),0)</f>
        <v/>
      </c>
      <c r="T1967">
        <f>IF(C1967,(H1967*N1967*IF(AND(Inputs!$B$38&lt;&gt;"pvp",Inputs!$B$43&gt;0),((Skills!G6*((R1967-1)*IF(Skills!H6&gt;0,Skills!I6/Skills!H6,1)+IF(Skills!H6&gt;0,MIN(Skills!I6,MAX(0,MAX(0,Inputs!$B$43-B2000)-((R1967-1)*IF(Inputs!$B$38="pvp",15,MAX(0.1,Skills!D6-IF(Skills!E6=TRUE,Inputs!$B$32,0))))))/Skills!H6,1)))/Inputs!$B$43),G1967*Q1967))*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IF(ArtifactsInput!$M$23,FALSE,TRUE)-ArtifactsInput!$M$23)*CHOOSE(ArtifactsInput!$N$23+1,50,60,70,80,90,100))+(IF(AND(ArtifactsInput!$M$35,Inputs!$B$4&lt;&gt;"Chapter Hunt"),CHOOSE(ArtifactsInput!$N$35+1,15,18,21,24,27,30)*(1-EXP(-(0.2*B1995)*5)),0)+IF(AND(ArtifactsInput!$M$22,Inputs!$B$4&lt;&gt;"Chapter Hunt"),CHOOSE(ArtifactsInput!$N$22+1,10,12,14,16,18,20)*((0*(((0.15*B1995*5))^0/1)+1*(((0.15*B1995*5))^1/1)+2*(((0.15*B1995*5))^2/2)+3*(((0.15*B1995*5))^3/6)+4*(((0.15*B1995*5))^4/24)+5*(((0.15*B1995*5))^5/120))/((((0.15*B1995*5))^0/1)+(((0.15*B1995*5))^1/1)+(((0.15*B1995*5))^2/2)+(((0.15*B1995*5))^3/6)+(((0.15*B1995*5))^4/24)+(((0.15*B1995*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1967*(1-MIN(100,(Inputs!$B$9+((C1980=TRUE)*(F1980-Calc!F19))+B1993+(ArtifactsInput!$M$24-ArtifactsInput!$M$24)*CHOOSE(ArtifactsInput!$N$24+1,10,12,14,16,18,20)+(IF(AND(ArtifactsInput!$M$42,((Inputs!$B$9+((C1980=TRUE)*(F1980-Calc!F19))+B1993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1967*(MIN(100,(Inputs!$B$9+((C1980=TRUE)*(F1980-Calc!F19))+B1993+(ArtifactsInput!$M$24-ArtifactsInput!$M$24)*CHOOSE(ArtifactsInput!$N$24+1,10,12,14,16,18,20)+(IF(AND(ArtifactsInput!$M$42,((Inputs!$B$9+((C1980=TRUE)*(F1980-Calc!F19))+B1993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1967*(1-MIN(100,(Inputs!$B$9+((C1980=TRUE)*(F1980-Calc!F19))+B1993+(ArtifactsInput!$M$24-ArtifactsInput!$M$24)*CHOOSE(ArtifactsInput!$N$24+1,10,12,14,16,18,20)+(IF(AND(ArtifactsInput!$M$42,((Inputs!$B$9+((C1980=TRUE)*(F1980-Calc!F19))+B1993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1967*(MIN(100,(Inputs!$B$9+((C1980=TRUE)*(F1980-Calc!F19))+B1993+(ArtifactsInput!$M$24-ArtifactsInput!$M$24)*CHOOSE(ArtifactsInput!$N$24+1,10,12,14,16,18,20)+(IF(AND(ArtifactsInput!$M$42,((Inputs!$B$9+((C1980=TRUE)*(F1980-Calc!F19))+B1993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967">
        <f>IF(C1967,(H1967*N1967*IF(AND(Inputs!$B$38&lt;&gt;"pvp",Inputs!$B$43&gt;0),((Skills!G6*((R1967-1)*IF(Skills!H6&gt;0,Skills!I6/Skills!H6,1)+IF(Skills!H6&gt;0,MIN(Skills!I6,MAX(0,MAX(0,Inputs!$B$43-B2000)-((R1967-1)*IF(Inputs!$B$38="pvp",15,MAX(0.1,Skills!D6-IF(Skills!E6=TRUE,Inputs!$B$32,0))))))/Skills!H6,1)))/Inputs!$B$43),G1967*Q1967))*IF(Inputs!$B$38="pvp",1,(1+(Inputs!$B$21+Skills!Q6+(IF(ArtifactsInput!$M$33,CHOOSE(ArtifactsInput!$N$33+1,30,36,42,48,54,60),0))+(IF(AND(ArtifactsInput!$M$35,Inputs!$B$4&lt;&gt;"Chapter Hunt"),CHOOSE(ArtifactsInput!$N$35+1,15,18,21,24,27,30)*(1-EXP(-(0.2*B1995)*5)),0)+IF(AND(ArtifactsInput!$M$22,Inputs!$B$4&lt;&gt;"Chapter Hunt"),CHOOSE(ArtifactsInput!$N$22+1,10,12,14,16,18,20)*((0*(((0.15*B1995*5))^0/1)+1*(((0.15*B1995*5))^1/1)+2*(((0.15*B1995*5))^2/2)+3*(((0.15*B1995*5))^3/6)+4*(((0.15*B1995*5))^4/24)+5*(((0.15*B1995*5))^5/120))/((((0.15*B1995*5))^0/1)+(((0.15*B1995*5))^1/1)+(((0.15*B1995*5))^2/2)+(((0.15*B1995*5))^3/6)+(((0.15*B1995*5))^4/24)+(((0.15*B1995*5))^5/120))),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968">
      <c r="A1968">
        <f>Skills!A7</f>
        <v/>
      </c>
      <c r="B1968">
        <f>Skills!B7</f>
        <v/>
      </c>
      <c r="C1968">
        <f>Inputs!$B$3&gt;=69</f>
        <v/>
      </c>
      <c r="D1968">
        <f>IF(Skills!C7=1,60+Inputs!$B$25+Inputs!$B$29,IF(Skills!C7=2,90+Inputs!$B$26+Inputs!$B$29,IF(Skills!C7=3,120+Inputs!$B$27+Inputs!$B$29,MAX(0,(Inputs!$B$3-100)*3)+Inputs!$B$28+Inputs!$B$29)))</f>
        <v/>
      </c>
      <c r="E1968">
        <f>INDEX(FactorTable!$B$2:$Y$301, MATCH(ROUND(MIN(300,MAX(1,D1968)),0), FactorTable!$A$2:$A$301,0), Skills!M7+1)</f>
        <v/>
      </c>
      <c r="F1968">
        <f>IF(Skills!N7=TRUE,(Skills!L7/10)*(E1968/1000),Skills!L7/10)+Skills!O7</f>
        <v/>
      </c>
      <c r="G1968">
        <f>Skills!G7*IF(Skills!H7&gt;0,Skills!I7/Skills!H7,1)</f>
        <v/>
      </c>
      <c r="H1968">
        <f>1-(1-Skills!J7/100)^Skills!K7</f>
        <v/>
      </c>
      <c r="I1968" t="inlineStr">
        <is>
          <t>1</t>
        </is>
      </c>
      <c r="J1968">
        <f>((Inputs!$B$6*(1+Inputs!$B$7/100))+(((Inputs!$B$12*(1+Inputs!$B$13/100))-(Inputs!$B$12*(1+Inputs!$B$13/100)))+0.25*(Inputs!$B$14-Inputs!$B$14))*(1+Inputs!$B$7/100))*(F1968/100)</f>
        <v/>
      </c>
      <c r="K1968">
        <f>J1968*(1+((Inputs!$B$12*(1+Inputs!$B$13/100))*0.01+Inputs!$B$14*0.0025)/100)*(1+Inputs!$B$15/100)*(1+Inputs!$B$16/100)*(5000/(6000+Inputs!$B$42*(1-(100*(1-(1-(Inputs!$B$19+0)/100)*(1-CHOOSE(ArtifactsInput!$N$40+1,5,6,7,8,9,10)/100)^(ArtifactsInput!$M$40-ArtifactsInput!$M$40)))/100)))*(1+(Inputs!$B$24+((C1985=TRUE)*(F1985-Calc!F24))+((C1986=TRUE)*(F1986-Calc!F25))+B1999)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+1.2*IF(C1969=TRUE,F1969,0)/100)*(1+(IF(Skills!A7="EMPOWERED_PIERCING_ARROW",Inputs!$B$17+((C1983=TRUE)*(F1983-Calc!F22))+(((IF(AND(ArtifactsInput!$M$42,((Inputs!$B$9+((C1980=TRUE)*(F1980-Calc!F19))+B1993+(ArtifactsInput!$M$24-ArtifactsInput!$M$24)*CHOOSE(ArtifactsInput!$N$24+1,10,12,14,16,18,20)+IF(ArtifactsInput!$M$10,CHOOSE(ArtifactsInput!$N$10+1,15,18,21,24,27,30)*(IF(Inputs!$B$38="pvp",MIN(15,15)/15,IF(AND(Inputs!$B$38&lt;&gt;"pvp",Inputs!$B$43&gt;0),MIN(15,Inputs!$B$43)/(Inputs!$B$43),0))),0)))&gt;=100),MIN(100,((Inputs!$B$9+((C1980=TRUE)*(F1980-Calc!F19))+B1993+(ArtifactsInput!$M$24-ArtifactsInput!$M$24)*CHOOSE(ArtifactsInput!$N$24+1,10,12,14,16,18,20)+IF(ArtifactsInput!$M$10,CHOOSE(ArtifactsInput!$N$10+1,15,18,21,24,27,30)*(IF(Inputs!$B$38="pvp",MIN(15,15)/15,IF(AND(Inputs!$B$38&lt;&gt;"pvp",Inputs!$B$43&gt;0),MIN(15,Inputs!$B$43)/(Inputs!$B$43),0))),0)))-100),0))*CHOOSE(ArtifactsInput!$N$42+1,0.6,0.72,0.84,0.96,1.08,1.2))),Inputs!$B$18+((C1988=TRUE)*(F1988-Calc!F27))+(IF(AND(ArtifactsInput!$M$42,((Inputs!$B$9+((C1980=TRUE)*(F1980-Calc!F19))+B1993+(ArtifactsInput!$M$24-ArtifactsInput!$M$24)*CHOOSE(ArtifactsInput!$N$24+1,10,12,14,16,18,20)+IF(ArtifactsInput!$M$10,CHOOSE(ArtifactsInput!$N$10+1,15,18,21,24,27,30)*(IF(Inputs!$B$38="pvp",MIN(15,15)/15,IF(AND(Inputs!$B$38&lt;&gt;"pvp",Inputs!$B$43&gt;0),MIN(15,Inputs!$B$43)/(Inputs!$B$43),0))),0)))&gt;=100),CHOOSE(ArtifactsInput!$N$42+1,40,48,56,64,72,80),0))))/100)*((1+(((C1974=TRUE)*F1974)+((C1975=TRUE)*IF(Inputs!$B$38="pvp",F1975,(1-Summary!$B$11)*(F1975)+Summary!$B$11*(0)))+((C1976=TRUE)*F1976*IF(AND(Inputs!$B$38&lt;&gt;"pvp",Inputs!$B$43&gt;0),(((R1976-1)*(Skills!T15*(1+Inputs!$B$34/100))+MIN((Skills!T15*(1+Inputs!$B$34/100)),MAX(0,Inputs!$B$43-((R1976-1)*Skills!D15))))/Inputs!$B$43),IF(Inputs!$B$38="pvp",MIN((Skills!T15*(1+Inputs!$B$34/100)),15)/15,(Skills!T15*(1+Inputs!$B$34/100))/Skills!D15)))+((C1973=TRUE)*F1973)+((C1990=TRUE)*(F1990-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1968)</f>
        <v/>
      </c>
      <c r="L1968">
        <f>K1968*(MIN(Inputs!$B$22+((C1984=TRUE)*(F1984-Calc!F23)),(Inputs!$B$23+((C1989=TRUE)*(F1989-Calc!F28))+(IF(ArtifactsInput!$M$15,CHOOSE(ArtifactsInput!$N$15+1,25,30,35,40,45,50)/100*(Inputs!$B$11-Inputs!$B$11),0))))/100+(Inputs!$B$23+((C1989=TRUE)*(F1989-Calc!F28))+(IF(ArtifactsInput!$M$15,CHOOSE(ArtifactsInput!$N$15+1,25,30,35,40,45,50)/100*(Inputs!$B$11-Inputs!$B$11),0)))/100)/2</f>
        <v/>
      </c>
      <c r="M1968">
        <f>L1968*(1+(Inputs!$B$10+0+B1998+(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968">
        <f>L1968*(1-MIN((Inputs!$B$9+((C1980=TRUE)*(F1980-Calc!F19))+B1993+(ArtifactsInput!$M$24-ArtifactsInput!$M$24)*CHOOSE(ArtifactsInput!$N$24+1,10,12,14,16,18,20)+(IF(AND(ArtifactsInput!$M$42,((Inputs!$B$9+((C1980=TRUE)*(F1980-Calc!F19))+B1993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1968*(MIN((Inputs!$B$9+((C1980=TRUE)*(F1980-Calc!F19))+B1993+(ArtifactsInput!$M$24-ArtifactsInput!$M$24)*CHOOSE(ArtifactsInput!$N$24+1,10,12,14,16,18,20)+(IF(AND(ArtifactsInput!$M$42,((Inputs!$B$9+((C1980=TRUE)*(F1980-Calc!F19))+B1993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968">
        <f>(1-Summary!$B$11)*T1968+Summary!$B$11*V1968</f>
        <v/>
      </c>
      <c r="P1968">
        <f>IF(B2003=0,0,O1968/B2003)</f>
        <v/>
      </c>
      <c r="Q1968">
        <f>IFERROR(1/IF(Inputs!$B$38="pvp",15,MAX(0.1,Skills!D7-IF(Skills!E7=TRUE,Inputs!$B$32,0))),0)</f>
        <v/>
      </c>
      <c r="R1968">
        <f>IF(AND(Inputs!$B$38&lt;&gt;"pvp",Inputs!$B$43&gt;0),IF(MAX(0,Inputs!$B$43-B2000)&lt;=0,0,(INT(MAX(0,Inputs!$B$43-B2000)/IF(Inputs!$B$38="pvp",15,MAX(0.1,Skills!D7-IF(Skills!E7=TRUE,Inputs!$B$32,0))))+1)),0)</f>
        <v/>
      </c>
      <c r="S1968">
        <f>IFERROR((H1968*N1968*IF(AND(Inputs!$B$38&lt;&gt;"pvp",Inputs!$B$43&gt;0),((Skills!G7*((R1968-1)*IF(Skills!H7&gt;0,Skills!I7/Skills!H7,1)+IF(Skills!H7&gt;0,MIN(Skills!I7,MAX(0,MAX(0,Inputs!$B$43-B2000)-((R1968-1)*IF(Inputs!$B$38="pvp",15,MAX(0.1,Skills!D7-IF(Skills!E7=TRUE,Inputs!$B$32,0))))))/Skills!H7,1)))/Inputs!$B$43),G1968*Q1968))/N1968*IF(Inputs!$B$38="pvp",1,(1-Summary!$B$11)*1+Summary!$B$11*(MIN(Skills!R7,Inputs!$B$37))),0)</f>
        <v/>
      </c>
      <c r="T1968">
        <f>IF(C1968,(H1968*N1968*IF(AND(Inputs!$B$38&lt;&gt;"pvp",Inputs!$B$43&gt;0),((Skills!G7*((R1968-1)*IF(Skills!H7&gt;0,Skills!I7/Skills!H7,1)+IF(Skills!H7&gt;0,MIN(Skills!I7,MAX(0,MAX(0,Inputs!$B$43-B2000)-((R1968-1)*IF(Inputs!$B$38="pvp",15,MAX(0.1,Skills!D7-IF(Skills!E7=TRUE,Inputs!$B$32,0))))))/Skills!H7,1)))/Inputs!$B$43),G1968*Q1968))*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IF(ArtifactsInput!$M$23,FALSE,TRUE)-ArtifactsInput!$M$23)*CHOOSE(ArtifactsInput!$N$23+1,50,60,70,80,90,100))+(IF(AND(ArtifactsInput!$M$35,Inputs!$B$4&lt;&gt;"Chapter Hunt"),CHOOSE(ArtifactsInput!$N$35+1,15,18,21,24,27,30)*(1-EXP(-(0.2*B1995)*5)),0)+IF(AND(ArtifactsInput!$M$22,Inputs!$B$4&lt;&gt;"Chapter Hunt"),CHOOSE(ArtifactsInput!$N$22+1,10,12,14,16,18,20)*((0*(((0.15*B1995*5))^0/1)+1*(((0.15*B1995*5))^1/1)+2*(((0.15*B1995*5))^2/2)+3*(((0.15*B1995*5))^3/6)+4*(((0.15*B1995*5))^4/24)+5*(((0.15*B1995*5))^5/120))/((((0.15*B1995*5))^0/1)+(((0.15*B1995*5))^1/1)+(((0.15*B1995*5))^2/2)+(((0.15*B1995*5))^3/6)+(((0.15*B1995*5))^4/24)+(((0.15*B1995*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1968*(1-MIN(100,(Inputs!$B$9+((C1980=TRUE)*(F1980-Calc!F19))+B1993+(ArtifactsInput!$M$24-ArtifactsInput!$M$24)*CHOOSE(ArtifactsInput!$N$24+1,10,12,14,16,18,20)+(IF(AND(ArtifactsInput!$M$42,((Inputs!$B$9+((C1980=TRUE)*(F1980-Calc!F19))+B1993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1968*(MIN(100,(Inputs!$B$9+((C1980=TRUE)*(F1980-Calc!F19))+B1993+(ArtifactsInput!$M$24-ArtifactsInput!$M$24)*CHOOSE(ArtifactsInput!$N$24+1,10,12,14,16,18,20)+(IF(AND(ArtifactsInput!$M$42,((Inputs!$B$9+((C1980=TRUE)*(F1980-Calc!F19))+B1993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1968*(1-MIN(100,(Inputs!$B$9+((C1980=TRUE)*(F1980-Calc!F19))+B1993+(ArtifactsInput!$M$24-ArtifactsInput!$M$24)*CHOOSE(ArtifactsInput!$N$24+1,10,12,14,16,18,20)+(IF(AND(ArtifactsInput!$M$42,((Inputs!$B$9+((C1980=TRUE)*(F1980-Calc!F19))+B1993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1968*(MIN(100,(Inputs!$B$9+((C1980=TRUE)*(F1980-Calc!F19))+B1993+(ArtifactsInput!$M$24-ArtifactsInput!$M$24)*CHOOSE(ArtifactsInput!$N$24+1,10,12,14,16,18,20)+(IF(AND(ArtifactsInput!$M$42,((Inputs!$B$9+((C1980=TRUE)*(F1980-Calc!F19))+B1993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968">
        <f>IF(C1968,(H1968*N1968*IF(AND(Inputs!$B$38&lt;&gt;"pvp",Inputs!$B$43&gt;0),((Skills!G7*((R1968-1)*IF(Skills!H7&gt;0,Skills!I7/Skills!H7,1)+IF(Skills!H7&gt;0,MIN(Skills!I7,MAX(0,MAX(0,Inputs!$B$43-B2000)-((R1968-1)*IF(Inputs!$B$38="pvp",15,MAX(0.1,Skills!D7-IF(Skills!E7=TRUE,Inputs!$B$32,0))))))/Skills!H7,1)))/Inputs!$B$43),G1968*Q1968))*IF(Inputs!$B$38="pvp",1,(1+(Inputs!$B$21+Skills!Q7+(IF(ArtifactsInput!$M$33,CHOOSE(ArtifactsInput!$N$33+1,30,36,42,48,54,60),0))+(IF(AND(ArtifactsInput!$M$35,Inputs!$B$4&lt;&gt;"Chapter Hunt"),CHOOSE(ArtifactsInput!$N$35+1,15,18,21,24,27,30)*(1-EXP(-(0.2*B1995)*5)),0)+IF(AND(ArtifactsInput!$M$22,Inputs!$B$4&lt;&gt;"Chapter Hunt"),CHOOSE(ArtifactsInput!$N$22+1,10,12,14,16,18,20)*((0*(((0.15*B1995*5))^0/1)+1*(((0.15*B1995*5))^1/1)+2*(((0.15*B1995*5))^2/2)+3*(((0.15*B1995*5))^3/6)+4*(((0.15*B1995*5))^4/24)+5*(((0.15*B1995*5))^5/120))/((((0.15*B1995*5))^0/1)+(((0.15*B1995*5))^1/1)+(((0.15*B1995*5))^2/2)+(((0.15*B1995*5))^3/6)+(((0.15*B1995*5))^4/24)+(((0.15*B1995*5))^5/120))),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969">
      <c r="A1969">
        <f>Skills!A8</f>
        <v/>
      </c>
      <c r="B1969">
        <f>Skills!B8</f>
        <v/>
      </c>
      <c r="C1969">
        <f>Inputs!$B$3&gt;=100</f>
        <v/>
      </c>
      <c r="D1969">
        <f>IF(Skills!C8=1,60+Inputs!$B$25+Inputs!$B$29,IF(Skills!C8=2,90+Inputs!$B$26+Inputs!$B$29,IF(Skills!C8=3,120+Inputs!$B$27+Inputs!$B$29,MAX(0,(Inputs!$B$3-100)*3)+Inputs!$B$28+Inputs!$B$29)))</f>
        <v/>
      </c>
      <c r="E1969">
        <f>INDEX(FactorTable!$B$2:$Y$301, MATCH(ROUND(MIN(300,MAX(1,D1969)),0), FactorTable!$A$2:$A$301,0), Skills!M8+1)</f>
        <v/>
      </c>
      <c r="F1969">
        <f>IF(Skills!N8=TRUE,(Skills!L8/10)*(E1969/1000),Skills!L8/10)+Skills!O8</f>
        <v/>
      </c>
      <c r="G1969" t="inlineStr"/>
      <c r="H1969" t="inlineStr"/>
      <c r="I1969" t="inlineStr">
        <is>
          <t>1</t>
        </is>
      </c>
      <c r="J1969" t="inlineStr"/>
      <c r="K1969" t="inlineStr"/>
      <c r="L1969" t="inlineStr"/>
      <c r="M1969" t="inlineStr"/>
      <c r="N1969" t="inlineStr"/>
      <c r="O1969" t="inlineStr"/>
      <c r="P1969" t="inlineStr"/>
      <c r="Q1969" t="inlineStr"/>
      <c r="R1969" t="inlineStr"/>
      <c r="S1969" t="inlineStr"/>
      <c r="T1969" t="inlineStr"/>
      <c r="V1969" t="inlineStr"/>
    </row>
    <row r="1970">
      <c r="A1970">
        <f>Skills!A9</f>
        <v/>
      </c>
      <c r="B1970">
        <f>Skills!B9</f>
        <v/>
      </c>
      <c r="C1970">
        <f>Inputs!$B$3&gt;=103</f>
        <v/>
      </c>
      <c r="D1970">
        <f>IF(Skills!C9=1,60+Inputs!$B$25+Inputs!$B$29,IF(Skills!C9=2,90+Inputs!$B$26+Inputs!$B$29,IF(Skills!C9=3,120+Inputs!$B$27+Inputs!$B$29,MAX(0,(Inputs!$B$3-100)*3)+Inputs!$B$28+Inputs!$B$29)))</f>
        <v/>
      </c>
      <c r="E1970">
        <f>INDEX(FactorTable!$B$2:$Y$301, MATCH(ROUND(MIN(300,MAX(1,D1970)),0), FactorTable!$A$2:$A$301,0), Skills!M9+1)</f>
        <v/>
      </c>
      <c r="F1970">
        <f>IF(Skills!N9=TRUE,(Skills!L9/10)*(E1970/1000),Skills!L9/10)+Skills!O9</f>
        <v/>
      </c>
      <c r="G1970">
        <f>Skills!G9*IF(Skills!H9&gt;0,Skills!I9/Skills!H9,1)</f>
        <v/>
      </c>
      <c r="H1970">
        <f>1-(1-Skills!J9/100)^Skills!K9</f>
        <v/>
      </c>
      <c r="I1970" t="inlineStr">
        <is>
          <t>1</t>
        </is>
      </c>
      <c r="J1970">
        <f>((Inputs!$B$6*(1+Inputs!$B$7/100))+(((Inputs!$B$12*(1+Inputs!$B$13/100))-(Inputs!$B$12*(1+Inputs!$B$13/100)))+0.25*(Inputs!$B$14-Inputs!$B$14))*(1+Inputs!$B$7/100))*(F1970/100)</f>
        <v/>
      </c>
      <c r="K1970">
        <f>J1970*(1+((Inputs!$B$12*(1+Inputs!$B$13/100))*0.01+Inputs!$B$14*0.0025)/100)*(1+Inputs!$B$15/100)*(1+Inputs!$B$16/100)*(5000/(6000+Inputs!$B$42*(1-(100*(1-(1-(Inputs!$B$19+0)/100)*(1-CHOOSE(ArtifactsInput!$N$40+1,5,6,7,8,9,10)/100)^(ArtifactsInput!$M$40-ArtifactsInput!$M$40)))/100)))*(1+(Inputs!$B$24+((C1985=TRUE)*(F1985-Calc!F24))+((C1986=TRUE)*(F1986-Calc!F25))+B1999)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EMPOWERED_PIERCING_ARROW",Inputs!$B$17+((C1983=TRUE)*(F1983-Calc!F22))+(((IF(AND(ArtifactsInput!$M$42,((Inputs!$B$9+((C1980=TRUE)*(F1980-Calc!F19))+B1993+(ArtifactsInput!$M$24-ArtifactsInput!$M$24)*CHOOSE(ArtifactsInput!$N$24+1,10,12,14,16,18,20)+IF(ArtifactsInput!$M$10,CHOOSE(ArtifactsInput!$N$10+1,15,18,21,24,27,30)*(IF(Inputs!$B$38="pvp",MIN(15,15)/15,IF(AND(Inputs!$B$38&lt;&gt;"pvp",Inputs!$B$43&gt;0),MIN(15,Inputs!$B$43)/(Inputs!$B$43),0))),0)))&gt;=100),MIN(100,((Inputs!$B$9+((C1980=TRUE)*(F1980-Calc!F19))+B1993+(ArtifactsInput!$M$24-ArtifactsInput!$M$24)*CHOOSE(ArtifactsInput!$N$24+1,10,12,14,16,18,20)+IF(ArtifactsInput!$M$10,CHOOSE(ArtifactsInput!$N$10+1,15,18,21,24,27,30)*(IF(Inputs!$B$38="pvp",MIN(15,15)/15,IF(AND(Inputs!$B$38&lt;&gt;"pvp",Inputs!$B$43&gt;0),MIN(15,Inputs!$B$43)/(Inputs!$B$43),0))),0)))-100),0))*CHOOSE(ArtifactsInput!$N$42+1,0.6,0.72,0.84,0.96,1.08,1.2))),Inputs!$B$18+((C1988=TRUE)*(F1988-Calc!F27))+(IF(AND(ArtifactsInput!$M$42,((Inputs!$B$9+((C1980=TRUE)*(F1980-Calc!F19))+B1993+(ArtifactsInput!$M$24-ArtifactsInput!$M$24)*CHOOSE(ArtifactsInput!$N$24+1,10,12,14,16,18,20)+IF(ArtifactsInput!$M$10,CHOOSE(ArtifactsInput!$N$10+1,15,18,21,24,27,30)*(IF(Inputs!$B$38="pvp",MIN(15,15)/15,IF(AND(Inputs!$B$38&lt;&gt;"pvp",Inputs!$B$43&gt;0),MIN(15,Inputs!$B$43)/(Inputs!$B$43),0))),0)))&gt;=100),CHOOSE(ArtifactsInput!$N$42+1,40,48,56,64,72,80),0))))/100)*((1+(((C1974=TRUE)*F1974)+((C1975=TRUE)*IF(Inputs!$B$38="pvp",F1975,(1-Summary!$B$11)*(F1975)+Summary!$B$11*(0)))+((C1976=TRUE)*F1976*IF(AND(Inputs!$B$38&lt;&gt;"pvp",Inputs!$B$43&gt;0),(((R1976-1)*(Skills!T15*(1+Inputs!$B$34/100))+MIN((Skills!T15*(1+Inputs!$B$34/100)),MAX(0,Inputs!$B$43-((R1976-1)*Skills!D15))))/Inputs!$B$43),IF(Inputs!$B$38="pvp",MIN((Skills!T15*(1+Inputs!$B$34/100)),15)/15,(Skills!T15*(1+Inputs!$B$34/100))/Skills!D15)))+((C1973=TRUE)*F1973)+((C1990=TRUE)*(F1990-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1970)</f>
        <v/>
      </c>
      <c r="L1970">
        <f>K1970*(MIN(Inputs!$B$22+((C1984=TRUE)*(F1984-Calc!F23)),(Inputs!$B$23+((C1989=TRUE)*(F1989-Calc!F28))+(IF(ArtifactsInput!$M$15,CHOOSE(ArtifactsInput!$N$15+1,25,30,35,40,45,50)/100*(Inputs!$B$11-Inputs!$B$11),0))))/100+(Inputs!$B$23+((C1989=TRUE)*(F1989-Calc!F28))+(IF(ArtifactsInput!$M$15,CHOOSE(ArtifactsInput!$N$15+1,25,30,35,40,45,50)/100*(Inputs!$B$11-Inputs!$B$11),0)))/100)/2</f>
        <v/>
      </c>
      <c r="M1970">
        <f>L1970*(1+(Inputs!$B$10+0+B1998+(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970">
        <f>L1970*(1-MIN((Inputs!$B$9+((C1980=TRUE)*(F1980-Calc!F19))+B1993+(ArtifactsInput!$M$24-ArtifactsInput!$M$24)*CHOOSE(ArtifactsInput!$N$24+1,10,12,14,16,18,20)+(IF(AND(ArtifactsInput!$M$42,((Inputs!$B$9+((C1980=TRUE)*(F1980-Calc!F19))+B1993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1970*(MIN((Inputs!$B$9+((C1980=TRUE)*(F1980-Calc!F19))+B1993+(ArtifactsInput!$M$24-ArtifactsInput!$M$24)*CHOOSE(ArtifactsInput!$N$24+1,10,12,14,16,18,20)+(IF(AND(ArtifactsInput!$M$42,((Inputs!$B$9+((C1980=TRUE)*(F1980-Calc!F19))+B1993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970">
        <f>(1-Summary!$B$11)*T1970+Summary!$B$11*V1970</f>
        <v/>
      </c>
      <c r="P1970">
        <f>IF(B2003=0,0,O1970/B2003)</f>
        <v/>
      </c>
      <c r="Q1970">
        <f>IFERROR(1/IF(Inputs!$B$38="pvp",15,MAX(0.1,Skills!D9-IF(Skills!E9=TRUE,Inputs!$B$32,0))),0)</f>
        <v/>
      </c>
      <c r="R1970">
        <f>IF(AND(Inputs!$B$38&lt;&gt;"pvp",Inputs!$B$43&gt;0),IF(MAX(0,Inputs!$B$43-B2000)&lt;=0,0,(INT(MAX(0,Inputs!$B$43-B2000)/IF(Inputs!$B$38="pvp",15,MAX(0.1,Skills!D9-IF(Skills!E9=TRUE,Inputs!$B$32,0))))+1)),0)</f>
        <v/>
      </c>
      <c r="S1970">
        <f>IFERROR((H1970*N1970*IF(AND(Inputs!$B$38&lt;&gt;"pvp",Inputs!$B$43&gt;0),((Skills!G9*((R1970-1)*IF(Skills!H9&gt;0,Skills!I9/Skills!H9,1)+IF(Skills!H9&gt;0,MIN(Skills!I9,MAX(0,MAX(0,Inputs!$B$43-B2000)-((R1970-1)*IF(Inputs!$B$38="pvp",15,MAX(0.1,Skills!D9-IF(Skills!E9=TRUE,Inputs!$B$32,0))))))/Skills!H9,1)))/Inputs!$B$43),G1970*Q1970))/N1970*IF(Inputs!$B$38="pvp",1,(1-Summary!$B$11)*1+Summary!$B$11*(MIN(Skills!R9,Inputs!$B$37))),0)</f>
        <v/>
      </c>
      <c r="T1970">
        <f>IF(C1970,(H1970*N1970*IF(AND(Inputs!$B$38&lt;&gt;"pvp",Inputs!$B$43&gt;0),((Skills!G9*((R1970-1)*IF(Skills!H9&gt;0,Skills!I9/Skills!H9,1)+IF(Skills!H9&gt;0,MIN(Skills!I9,MAX(0,MAX(0,Inputs!$B$43-B2000)-((R1970-1)*IF(Inputs!$B$38="pvp",15,MAX(0.1,Skills!D9-IF(Skills!E9=TRUE,Inputs!$B$32,0))))))/Skills!H9,1)))/Inputs!$B$43),G1970*Q1970))*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IF(ArtifactsInput!$M$23,FALSE,TRUE)-ArtifactsInput!$M$23)*CHOOSE(ArtifactsInput!$N$23+1,50,60,70,80,90,100))+(IF(AND(ArtifactsInput!$M$35,Inputs!$B$4&lt;&gt;"Chapter Hunt"),CHOOSE(ArtifactsInput!$N$35+1,15,18,21,24,27,30)*(1-EXP(-(0.2*B1995)*5)),0)+IF(AND(ArtifactsInput!$M$22,Inputs!$B$4&lt;&gt;"Chapter Hunt"),CHOOSE(ArtifactsInput!$N$22+1,10,12,14,16,18,20)*((0*(((0.15*B1995*5))^0/1)+1*(((0.15*B1995*5))^1/1)+2*(((0.15*B1995*5))^2/2)+3*(((0.15*B1995*5))^3/6)+4*(((0.15*B1995*5))^4/24)+5*(((0.15*B1995*5))^5/120))/((((0.15*B1995*5))^0/1)+(((0.15*B1995*5))^1/1)+(((0.15*B1995*5))^2/2)+(((0.15*B1995*5))^3/6)+(((0.15*B1995*5))^4/24)+(((0.15*B1995*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1970*(1-MIN(100,(Inputs!$B$9+((C1980=TRUE)*(F1980-Calc!F19))+B1993+(ArtifactsInput!$M$24-ArtifactsInput!$M$24)*CHOOSE(ArtifactsInput!$N$24+1,10,12,14,16,18,20)+(IF(AND(ArtifactsInput!$M$42,((Inputs!$B$9+((C1980=TRUE)*(F1980-Calc!F19))+B1993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1970*(MIN(100,(Inputs!$B$9+((C1980=TRUE)*(F1980-Calc!F19))+B1993+(ArtifactsInput!$M$24-ArtifactsInput!$M$24)*CHOOSE(ArtifactsInput!$N$24+1,10,12,14,16,18,20)+(IF(AND(ArtifactsInput!$M$42,((Inputs!$B$9+((C1980=TRUE)*(F1980-Calc!F19))+B1993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1970*(1-MIN(100,(Inputs!$B$9+((C1980=TRUE)*(F1980-Calc!F19))+B1993+(ArtifactsInput!$M$24-ArtifactsInput!$M$24)*CHOOSE(ArtifactsInput!$N$24+1,10,12,14,16,18,20)+(IF(AND(ArtifactsInput!$M$42,((Inputs!$B$9+((C1980=TRUE)*(F1980-Calc!F19))+B1993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1970*(MIN(100,(Inputs!$B$9+((C1980=TRUE)*(F1980-Calc!F19))+B1993+(ArtifactsInput!$M$24-ArtifactsInput!$M$24)*CHOOSE(ArtifactsInput!$N$24+1,10,12,14,16,18,20)+(IF(AND(ArtifactsInput!$M$42,((Inputs!$B$9+((C1980=TRUE)*(F1980-Calc!F19))+B1993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970">
        <f>IF(C1970,(H1970*N1970*IF(AND(Inputs!$B$38&lt;&gt;"pvp",Inputs!$B$43&gt;0),((Skills!G9*((R1970-1)*IF(Skills!H9&gt;0,Skills!I9/Skills!H9,1)+IF(Skills!H9&gt;0,MIN(Skills!I9,MAX(0,MAX(0,Inputs!$B$43-B2000)-((R1970-1)*IF(Inputs!$B$38="pvp",15,MAX(0.1,Skills!D9-IF(Skills!E9=TRUE,Inputs!$B$32,0))))))/Skills!H9,1)))/Inputs!$B$43),G1970*Q1970))*IF(Inputs!$B$38="pvp",1,(1+(Inputs!$B$21+Skills!Q9+(IF(ArtifactsInput!$M$33,CHOOSE(ArtifactsInput!$N$33+1,30,36,42,48,54,60),0))+(IF(AND(ArtifactsInput!$M$35,Inputs!$B$4&lt;&gt;"Chapter Hunt"),CHOOSE(ArtifactsInput!$N$35+1,15,18,21,24,27,30)*(1-EXP(-(0.2*B1995)*5)),0)+IF(AND(ArtifactsInput!$M$22,Inputs!$B$4&lt;&gt;"Chapter Hunt"),CHOOSE(ArtifactsInput!$N$22+1,10,12,14,16,18,20)*((0*(((0.15*B1995*5))^0/1)+1*(((0.15*B1995*5))^1/1)+2*(((0.15*B1995*5))^2/2)+3*(((0.15*B1995*5))^3/6)+4*(((0.15*B1995*5))^4/24)+5*(((0.15*B1995*5))^5/120))/((((0.15*B1995*5))^0/1)+(((0.15*B1995*5))^1/1)+(((0.15*B1995*5))^2/2)+(((0.15*B1995*5))^3/6)+(((0.15*B1995*5))^4/24)+(((0.15*B1995*5))^5/120)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971">
      <c r="A1971">
        <f>Skills!A10</f>
        <v/>
      </c>
      <c r="B1971">
        <f>Skills!B10</f>
        <v/>
      </c>
      <c r="C1971">
        <f>Inputs!$B$3&gt;=107</f>
        <v/>
      </c>
      <c r="D1971">
        <f>IF(Skills!C10=1,60+Inputs!$B$25+Inputs!$B$29,IF(Skills!C10=2,90+Inputs!$B$26+Inputs!$B$29,IF(Skills!C10=3,120+Inputs!$B$27+Inputs!$B$29,MAX(0,(Inputs!$B$3-100)*3)+Inputs!$B$28+Inputs!$B$29)))</f>
        <v/>
      </c>
      <c r="E1971">
        <f>INDEX(FactorTable!$B$2:$Y$301, MATCH(ROUND(MIN(300,MAX(1,D1971)),0), FactorTable!$A$2:$A$301,0), Skills!M10+1)</f>
        <v/>
      </c>
      <c r="F1971">
        <f>IF(Skills!N10=TRUE,(Skills!L10/10)*(E1971/1000),Skills!L10/10)+Skills!O10</f>
        <v/>
      </c>
      <c r="G1971">
        <f>Skills!G10*IF(Skills!H10&gt;0,Skills!I10/Skills!H10,1)</f>
        <v/>
      </c>
      <c r="H1971">
        <f>1-(1-Skills!J10/100)^Skills!K10</f>
        <v/>
      </c>
      <c r="I1971" t="inlineStr">
        <is>
          <t>1</t>
        </is>
      </c>
      <c r="J1971">
        <f>((Inputs!$B$6*(1+Inputs!$B$7/100))+(((Inputs!$B$12*(1+Inputs!$B$13/100))-(Inputs!$B$12*(1+Inputs!$B$13/100)))+0.25*(Inputs!$B$14-Inputs!$B$14))*(1+Inputs!$B$7/100))*(F1971/100)</f>
        <v/>
      </c>
      <c r="K1971">
        <f>J1971*(1+((Inputs!$B$12*(1+Inputs!$B$13/100))*0.01+Inputs!$B$14*0.0025)/100)*(1+Inputs!$B$15/100)*(1+Inputs!$B$16/100)*(5000/(6000+Inputs!$B$42*(1-(100*(1-(1-(Inputs!$B$19+0)/100)*(1-CHOOSE(ArtifactsInput!$N$40+1,5,6,7,8,9,10)/100)^(ArtifactsInput!$M$40-ArtifactsInput!$M$40)))/100)))*(1+(Inputs!$B$24+((C1985=TRUE)*(F1985-Calc!F24))+((C1986=TRUE)*(F1986-Calc!F25))+B1999)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EMPOWERED_PIERCING_ARROW",Inputs!$B$17+((C1983=TRUE)*(F1983-Calc!F22))+(((IF(AND(ArtifactsInput!$M$42,((Inputs!$B$9+((C1980=TRUE)*(F1980-Calc!F19))+B1993+(ArtifactsInput!$M$24-ArtifactsInput!$M$24)*CHOOSE(ArtifactsInput!$N$24+1,10,12,14,16,18,20)+IF(ArtifactsInput!$M$10,CHOOSE(ArtifactsInput!$N$10+1,15,18,21,24,27,30)*(IF(Inputs!$B$38="pvp",MIN(15,15)/15,IF(AND(Inputs!$B$38&lt;&gt;"pvp",Inputs!$B$43&gt;0),MIN(15,Inputs!$B$43)/(Inputs!$B$43),0))),0)))&gt;=100),MIN(100,((Inputs!$B$9+((C1980=TRUE)*(F1980-Calc!F19))+B1993+(ArtifactsInput!$M$24-ArtifactsInput!$M$24)*CHOOSE(ArtifactsInput!$N$24+1,10,12,14,16,18,20)+IF(ArtifactsInput!$M$10,CHOOSE(ArtifactsInput!$N$10+1,15,18,21,24,27,30)*(IF(Inputs!$B$38="pvp",MIN(15,15)/15,IF(AND(Inputs!$B$38&lt;&gt;"pvp",Inputs!$B$43&gt;0),MIN(15,Inputs!$B$43)/(Inputs!$B$43),0))),0)))-100),0))*CHOOSE(ArtifactsInput!$N$42+1,0.6,0.72,0.84,0.96,1.08,1.2))),Inputs!$B$18+((C1988=TRUE)*(F1988-Calc!F27))+(IF(AND(ArtifactsInput!$M$42,((Inputs!$B$9+((C1980=TRUE)*(F1980-Calc!F19))+B1993+(ArtifactsInput!$M$24-ArtifactsInput!$M$24)*CHOOSE(ArtifactsInput!$N$24+1,10,12,14,16,18,20)+IF(ArtifactsInput!$M$10,CHOOSE(ArtifactsInput!$N$10+1,15,18,21,24,27,30)*(IF(Inputs!$B$38="pvp",MIN(15,15)/15,IF(AND(Inputs!$B$38&lt;&gt;"pvp",Inputs!$B$43&gt;0),MIN(15,Inputs!$B$43)/(Inputs!$B$43),0))),0)))&gt;=100),CHOOSE(ArtifactsInput!$N$42+1,40,48,56,64,72,80),0))))/100)*((1+(((C1974=TRUE)*F1974)+((C1975=TRUE)*IF(Inputs!$B$38="pvp",F1975,(1-Summary!$B$11)*(F1975)+Summary!$B$11*(0)))+((C1976=TRUE)*F1976*IF(AND(Inputs!$B$38&lt;&gt;"pvp",Inputs!$B$43&gt;0),(((R1976-1)*(Skills!T15*(1+Inputs!$B$34/100))+MIN((Skills!T15*(1+Inputs!$B$34/100)),MAX(0,Inputs!$B$43-((R1976-1)*Skills!D15))))/Inputs!$B$43),IF(Inputs!$B$38="pvp",MIN((Skills!T15*(1+Inputs!$B$34/100)),15)/15,(Skills!T15*(1+Inputs!$B$34/100))/Skills!D15)))+((C1973=TRUE)*F1973)+((C1990=TRUE)*(F1990-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1971)</f>
        <v/>
      </c>
      <c r="L1971">
        <f>K1971*(MIN(Inputs!$B$22+((C1984=TRUE)*(F1984-Calc!F23)),(Inputs!$B$23+((C1989=TRUE)*(F1989-Calc!F28))+(IF(ArtifactsInput!$M$15,CHOOSE(ArtifactsInput!$N$15+1,25,30,35,40,45,50)/100*(Inputs!$B$11-Inputs!$B$11),0))))/100+(Inputs!$B$23+((C1989=TRUE)*(F1989-Calc!F28))+(IF(ArtifactsInput!$M$15,CHOOSE(ArtifactsInput!$N$15+1,25,30,35,40,45,50)/100*(Inputs!$B$11-Inputs!$B$11),0)))/100)/2</f>
        <v/>
      </c>
      <c r="M1971">
        <f>L1971*(1+(Inputs!$B$10+0+B1998+(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971">
        <f>L1971*(1-MIN((Inputs!$B$9+((C1980=TRUE)*(F1980-Calc!F19))+B1993+(ArtifactsInput!$M$24-ArtifactsInput!$M$24)*CHOOSE(ArtifactsInput!$N$24+1,10,12,14,16,18,20)+(IF(AND(ArtifactsInput!$M$42,((Inputs!$B$9+((C1980=TRUE)*(F1980-Calc!F19))+B1993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1971*(MIN((Inputs!$B$9+((C1980=TRUE)*(F1980-Calc!F19))+B1993+(ArtifactsInput!$M$24-ArtifactsInput!$M$24)*CHOOSE(ArtifactsInput!$N$24+1,10,12,14,16,18,20)+(IF(AND(ArtifactsInput!$M$42,((Inputs!$B$9+((C1980=TRUE)*(F1980-Calc!F19))+B1993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971">
        <f>(1-Summary!$B$11)*T1971+Summary!$B$11*V1971</f>
        <v/>
      </c>
      <c r="P1971">
        <f>IF(B2003=0,0,O1971/B2003)</f>
        <v/>
      </c>
      <c r="Q1971" t="n">
        <v>0</v>
      </c>
      <c r="R1971" t="n">
        <v>0</v>
      </c>
      <c r="S1971" t="n">
        <v>0</v>
      </c>
      <c r="T1971">
        <f>IF(C1971,(0.15*SUMPRODUCT((Skills!U2:U29=TRUE)*(C1963:C1990=TRUE)*S1963:S1990)*Skills!G10*N1971)*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IF(ArtifactsInput!$M$23,FALSE,TRUE)-ArtifactsInput!$M$23)*CHOOSE(ArtifactsInput!$N$23+1,50,60,70,80,90,100))+(IF(AND(ArtifactsInput!$M$35,Inputs!$B$4&lt;&gt;"Chapter Hunt"),CHOOSE(ArtifactsInput!$N$35+1,15,18,21,24,27,30)*(1-EXP(-(0.2*B1995)*5)),0)+IF(AND(ArtifactsInput!$M$22,Inputs!$B$4&lt;&gt;"Chapter Hunt"),CHOOSE(ArtifactsInput!$N$22+1,10,12,14,16,18,20)*((0*(((0.15*B1995*5))^0/1)+1*(((0.15*B1995*5))^1/1)+2*(((0.15*B1995*5))^2/2)+3*(((0.15*B1995*5))^3/6)+4*(((0.15*B1995*5))^4/24)+5*(((0.15*B1995*5))^5/120))/((((0.15*B1995*5))^0/1)+(((0.15*B1995*5))^1/1)+(((0.15*B1995*5))^2/2)+(((0.15*B1995*5))^3/6)+(((0.15*B1995*5))^4/24)+(((0.15*B1995*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1971*(1-MIN(100,(Inputs!$B$9+((C1980=TRUE)*(F1980-Calc!F19))+B1993+(ArtifactsInput!$M$24-ArtifactsInput!$M$24)*CHOOSE(ArtifactsInput!$N$24+1,10,12,14,16,18,20)+(IF(AND(ArtifactsInput!$M$42,((Inputs!$B$9+((C1980=TRUE)*(F1980-Calc!F19))+B1993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1971*(MIN(100,(Inputs!$B$9+((C1980=TRUE)*(F1980-Calc!F19))+B1993+(ArtifactsInput!$M$24-ArtifactsInput!$M$24)*CHOOSE(ArtifactsInput!$N$24+1,10,12,14,16,18,20)+(IF(AND(ArtifactsInput!$M$42,((Inputs!$B$9+((C1980=TRUE)*(F1980-Calc!F19))+B1993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1971*(1-MIN(100,(Inputs!$B$9+((C1980=TRUE)*(F1980-Calc!F19))+B1993+(ArtifactsInput!$M$24-ArtifactsInput!$M$24)*CHOOSE(ArtifactsInput!$N$24+1,10,12,14,16,18,20)+(IF(AND(ArtifactsInput!$M$42,((Inputs!$B$9+((C1980=TRUE)*(F1980-Calc!F19))+B1993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1971*(MIN(100,(Inputs!$B$9+((C1980=TRUE)*(F1980-Calc!F19))+B1993+(ArtifactsInput!$M$24-ArtifactsInput!$M$24)*CHOOSE(ArtifactsInput!$N$24+1,10,12,14,16,18,20)+(IF(AND(ArtifactsInput!$M$42,((Inputs!$B$9+((C1980=TRUE)*(F1980-Calc!F19))+B1993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971">
        <f>IF(C1971,(0.15*SUMPRODUCT((Skills!U2:U29=TRUE)*(C1963:C1990=TRUE)*S1963:S1990)*Skills!G10*N1971)*IF(Inputs!$B$38="pvp",1,(1+(Inputs!$B$21+Skills!Q10+(IF(ArtifactsInput!$M$33,CHOOSE(ArtifactsInput!$N$33+1,30,36,42,48,54,60),0))+(IF(AND(ArtifactsInput!$M$35,Inputs!$B$4&lt;&gt;"Chapter Hunt"),CHOOSE(ArtifactsInput!$N$35+1,15,18,21,24,27,30)*(1-EXP(-(0.2*B1995)*5)),0)+IF(AND(ArtifactsInput!$M$22,Inputs!$B$4&lt;&gt;"Chapter Hunt"),CHOOSE(ArtifactsInput!$N$22+1,10,12,14,16,18,20)*((0*(((0.15*B1995*5))^0/1)+1*(((0.15*B1995*5))^1/1)+2*(((0.15*B1995*5))^2/2)+3*(((0.15*B1995*5))^3/6)+4*(((0.15*B1995*5))^4/24)+5*(((0.15*B1995*5))^5/120))/((((0.15*B1995*5))^0/1)+(((0.15*B1995*5))^1/1)+(((0.15*B1995*5))^2/2)+(((0.15*B1995*5))^3/6)+(((0.15*B1995*5))^4/24)+(((0.15*B1995*5))^5/120)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972">
      <c r="A1972">
        <f>Skills!A11</f>
        <v/>
      </c>
      <c r="B1972">
        <f>Skills!B11</f>
        <v/>
      </c>
      <c r="C1972">
        <f>Inputs!$B$3&gt;=110</f>
        <v/>
      </c>
      <c r="D1972">
        <f>IF(Skills!C11=1,60+Inputs!$B$25+Inputs!$B$29,IF(Skills!C11=2,90+Inputs!$B$26+Inputs!$B$29,IF(Skills!C11=3,120+Inputs!$B$27+Inputs!$B$29,MAX(0,(Inputs!$B$3-100)*3)+Inputs!$B$28+Inputs!$B$29)))</f>
        <v/>
      </c>
      <c r="E1972">
        <f>INDEX(FactorTable!$B$2:$Y$301, MATCH(ROUND(MIN(300,MAX(1,D1972)),0), FactorTable!$A$2:$A$301,0), Skills!M11+1)</f>
        <v/>
      </c>
      <c r="F1972">
        <f>IF(Skills!N11=TRUE,(Skills!L11/10)*(E1972/1000),Skills!L11/10)+Skills!O11</f>
        <v/>
      </c>
      <c r="G1972">
        <f>Skills!G11*IF(Skills!H11&gt;0,Skills!I11/Skills!H11,1)</f>
        <v/>
      </c>
      <c r="H1972">
        <f>1-(1-Skills!J11/100)^Skills!K11</f>
        <v/>
      </c>
      <c r="I1972" t="inlineStr">
        <is>
          <t>1</t>
        </is>
      </c>
      <c r="J1972">
        <f>((Inputs!$B$6*(1+Inputs!$B$7/100))+(((Inputs!$B$12*(1+Inputs!$B$13/100))-(Inputs!$B$12*(1+Inputs!$B$13/100)))+0.25*(Inputs!$B$14-Inputs!$B$14))*(1+Inputs!$B$7/100))*(F1972/100)</f>
        <v/>
      </c>
      <c r="K1972">
        <f>J1972*(1+((Inputs!$B$12*(1+Inputs!$B$13/100))*0.01+Inputs!$B$14*0.0025)/100)*(1+Inputs!$B$15/100)*(1+Inputs!$B$16/100)*(5000/(6000+Inputs!$B$42*(1-(100*(1-(1-(Inputs!$B$19+0)/100)*(1-CHOOSE(ArtifactsInput!$N$40+1,5,6,7,8,9,10)/100)^(ArtifactsInput!$M$40-ArtifactsInput!$M$40)))/100)))*(1+(Inputs!$B$24+((C1985=TRUE)*(F1985-Calc!F24))+((C1986=TRUE)*(F1986-Calc!F25))+B1999)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11="EMPOWERED_PIERCING_ARROW",Inputs!$B$17+((C1983=TRUE)*(F1983-Calc!F22))+(((IF(AND(ArtifactsInput!$M$42,((Inputs!$B$9+((C1980=TRUE)*(F1980-Calc!F19))+B1993+(ArtifactsInput!$M$24-ArtifactsInput!$M$24)*CHOOSE(ArtifactsInput!$N$24+1,10,12,14,16,18,20)+IF(ArtifactsInput!$M$10,CHOOSE(ArtifactsInput!$N$10+1,15,18,21,24,27,30)*(IF(Inputs!$B$38="pvp",MIN(15,15)/15,IF(AND(Inputs!$B$38&lt;&gt;"pvp",Inputs!$B$43&gt;0),MIN(15,Inputs!$B$43)/(Inputs!$B$43),0))),0)))&gt;=100),MIN(100,((Inputs!$B$9+((C1980=TRUE)*(F1980-Calc!F19))+B1993+(ArtifactsInput!$M$24-ArtifactsInput!$M$24)*CHOOSE(ArtifactsInput!$N$24+1,10,12,14,16,18,20)+IF(ArtifactsInput!$M$10,CHOOSE(ArtifactsInput!$N$10+1,15,18,21,24,27,30)*(IF(Inputs!$B$38="pvp",MIN(15,15)/15,IF(AND(Inputs!$B$38&lt;&gt;"pvp",Inputs!$B$43&gt;0),MIN(15,Inputs!$B$43)/(Inputs!$B$43),0))),0)))-100),0))*CHOOSE(ArtifactsInput!$N$42+1,0.6,0.72,0.84,0.96,1.08,1.2))),Inputs!$B$18+((C1988=TRUE)*(F1988-Calc!F27))+(IF(AND(ArtifactsInput!$M$42,((Inputs!$B$9+((C1980=TRUE)*(F1980-Calc!F19))+B1993+(ArtifactsInput!$M$24-ArtifactsInput!$M$24)*CHOOSE(ArtifactsInput!$N$24+1,10,12,14,16,18,20)+IF(ArtifactsInput!$M$10,CHOOSE(ArtifactsInput!$N$10+1,15,18,21,24,27,30)*(IF(Inputs!$B$38="pvp",MIN(15,15)/15,IF(AND(Inputs!$B$38&lt;&gt;"pvp",Inputs!$B$43&gt;0),MIN(15,Inputs!$B$43)/(Inputs!$B$43),0))),0)))&gt;=100),CHOOSE(ArtifactsInput!$N$42+1,40,48,56,64,72,80),0))))/100)*((1+(((C1974=TRUE)*F1974)+((C1975=TRUE)*IF(Inputs!$B$38="pvp",F1975,(1-Summary!$B$11)*(F1975)+Summary!$B$11*(0)))+((C1976=TRUE)*F1976*IF(AND(Inputs!$B$38&lt;&gt;"pvp",Inputs!$B$43&gt;0),(((R1976-1)*(Skills!T15*(1+Inputs!$B$34/100))+MIN((Skills!T15*(1+Inputs!$B$34/100)),MAX(0,Inputs!$B$43-((R1976-1)*Skills!D15))))/Inputs!$B$43),IF(Inputs!$B$38="pvp",MIN((Skills!T15*(1+Inputs!$B$34/100)),15)/15,(Skills!T15*(1+Inputs!$B$34/100))/Skills!D15)))+((C1973=TRUE)*F1973)+((C1990=TRUE)*(F1990-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1972)</f>
        <v/>
      </c>
      <c r="L1972">
        <f>K1972*(MIN(Inputs!$B$22+((C1984=TRUE)*(F1984-Calc!F23)),(Inputs!$B$23+((C1989=TRUE)*(F1989-Calc!F28))+(IF(ArtifactsInput!$M$15,CHOOSE(ArtifactsInput!$N$15+1,25,30,35,40,45,50)/100*(Inputs!$B$11-Inputs!$B$11),0))))/100+(Inputs!$B$23+((C1989=TRUE)*(F1989-Calc!F28))+(IF(ArtifactsInput!$M$15,CHOOSE(ArtifactsInput!$N$15+1,25,30,35,40,45,50)/100*(Inputs!$B$11-Inputs!$B$11),0)))/100)/2</f>
        <v/>
      </c>
      <c r="M1972">
        <f>L1972*(1+(Inputs!$B$10+0+B1998+(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1972">
        <f>L1972*(1-MIN((Inputs!$B$9+((C1980=TRUE)*(F1980-Calc!F19))+B1993+(ArtifactsInput!$M$24-ArtifactsInput!$M$24)*CHOOSE(ArtifactsInput!$N$24+1,10,12,14,16,18,20)+(IF(AND(ArtifactsInput!$M$42,((Inputs!$B$9+((C1980=TRUE)*(F1980-Calc!F19))+B1993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1972*(MIN((Inputs!$B$9+((C1980=TRUE)*(F1980-Calc!F19))+B1993+(ArtifactsInput!$M$24-ArtifactsInput!$M$24)*CHOOSE(ArtifactsInput!$N$24+1,10,12,14,16,18,20)+(IF(AND(ArtifactsInput!$M$42,((Inputs!$B$9+((C1980=TRUE)*(F1980-Calc!F19))+B1993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1972">
        <f>(1-Summary!$B$11)*T1972+Summary!$B$11*V1972</f>
        <v/>
      </c>
      <c r="P1972">
        <f>IF(B2003=0,0,O1972/B2003)</f>
        <v/>
      </c>
      <c r="Q1972">
        <f>IFERROR(1/IF(Inputs!$B$38="pvp",15,MAX(0.1,Skills!D11-IF(Skills!E11=TRUE,Inputs!$B$32,0))),0)</f>
        <v/>
      </c>
      <c r="R1972">
        <f>IF(AND(Inputs!$B$38&lt;&gt;"pvp",Inputs!$B$43&gt;0),IF(MAX(0,Inputs!$B$43-B2000)&lt;=0,0,(INT(MAX(0,Inputs!$B$43-B2000)/IF(Inputs!$B$38="pvp",15,MAX(0.1,Skills!D11-IF(Skills!E11=TRUE,Inputs!$B$32,0))))+1)),0)</f>
        <v/>
      </c>
      <c r="S1972">
        <f>IFERROR((H1972*N1972*IF(AND(Inputs!$B$38&lt;&gt;"pvp",Inputs!$B$43&gt;0),((Skills!G11*((R1972-1)*IF(Skills!H11&gt;0,Skills!I11/Skills!H11,1)+IF(Skills!H11&gt;0,MIN(Skills!I11,MAX(0,MAX(0,Inputs!$B$43-B2000)-((R1972-1)*IF(Inputs!$B$38="pvp",15,MAX(0.1,Skills!D11-IF(Skills!E11=TRUE,Inputs!$B$32,0))))))/Skills!H11,1)))/Inputs!$B$43),G1972*Q1972))/N1972*IF(Inputs!$B$38="pvp",1,(1-Summary!$B$11)*1+Summary!$B$11*(MIN(Skills!R11,Inputs!$B$37))),0)</f>
        <v/>
      </c>
      <c r="T1972">
        <f>IF(C1972,(H1972*N1972*IF(AND(Inputs!$B$38&lt;&gt;"pvp",Inputs!$B$43&gt;0),((Skills!G11*((R1972-1)*IF(Skills!H11&gt;0,Skills!I11/Skills!H11,1)+IF(Skills!H11&gt;0,MIN(Skills!I11,MAX(0,MAX(0,Inputs!$B$43-B2000)-((R1972-1)*IF(Inputs!$B$38="pvp",15,MAX(0.1,Skills!D11-IF(Skills!E11=TRUE,Inputs!$B$32,0))))))/Skills!H11,1)))/Inputs!$B$43),G1972*Q1972))*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IF(ArtifactsInput!$M$23,FALSE,TRUE)-ArtifactsInput!$M$23)*CHOOSE(ArtifactsInput!$N$23+1,50,60,70,80,90,100))+(IF(AND(ArtifactsInput!$M$35,Inputs!$B$4&lt;&gt;"Chapter Hunt"),CHOOSE(ArtifactsInput!$N$35+1,15,18,21,24,27,30)*(1-EXP(-(0.2*B1995)*5)),0)+IF(AND(ArtifactsInput!$M$22,Inputs!$B$4&lt;&gt;"Chapter Hunt"),CHOOSE(ArtifactsInput!$N$22+1,10,12,14,16,18,20)*((0*(((0.15*B1995*5))^0/1)+1*(((0.15*B1995*5))^1/1)+2*(((0.15*B1995*5))^2/2)+3*(((0.15*B1995*5))^3/6)+4*(((0.15*B1995*5))^4/24)+5*(((0.15*B1995*5))^5/120))/((((0.15*B1995*5))^0/1)+(((0.15*B1995*5))^1/1)+(((0.15*B1995*5))^2/2)+(((0.15*B1995*5))^3/6)+(((0.15*B1995*5))^4/24)+(((0.15*B1995*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1972*(1-MIN(100,(Inputs!$B$9+((C1980=TRUE)*(F1980-Calc!F19))+B1993+(ArtifactsInput!$M$24-ArtifactsInput!$M$24)*CHOOSE(ArtifactsInput!$N$24+1,10,12,14,16,18,20)+(IF(AND(ArtifactsInput!$M$42,((Inputs!$B$9+((C1980=TRUE)*(F1980-Calc!F19))+B1993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1972*(MIN(100,(Inputs!$B$9+((C1980=TRUE)*(F1980-Calc!F19))+B1993+(ArtifactsInput!$M$24-ArtifactsInput!$M$24)*CHOOSE(ArtifactsInput!$N$24+1,10,12,14,16,18,20)+(IF(AND(ArtifactsInput!$M$42,((Inputs!$B$9+((C1980=TRUE)*(F1980-Calc!F19))+B1993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1972*(1-MIN(100,(Inputs!$B$9+((C1980=TRUE)*(F1980-Calc!F19))+B1993+(ArtifactsInput!$M$24-ArtifactsInput!$M$24)*CHOOSE(ArtifactsInput!$N$24+1,10,12,14,16,18,20)+(IF(AND(ArtifactsInput!$M$42,((Inputs!$B$9+((C1980=TRUE)*(F1980-Calc!F19))+B1993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1972*(MIN(100,(Inputs!$B$9+((C1980=TRUE)*(F1980-Calc!F19))+B1993+(ArtifactsInput!$M$24-ArtifactsInput!$M$24)*CHOOSE(ArtifactsInput!$N$24+1,10,12,14,16,18,20)+(IF(AND(ArtifactsInput!$M$42,((Inputs!$B$9+((C1980=TRUE)*(F1980-Calc!F19))+B1993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1972">
        <f>IF(C1972,(H1972*N1972*IF(AND(Inputs!$B$38&lt;&gt;"pvp",Inputs!$B$43&gt;0),((Skills!G11*((R1972-1)*IF(Skills!H11&gt;0,Skills!I11/Skills!H11,1)+IF(Skills!H11&gt;0,MIN(Skills!I11,MAX(0,MAX(0,Inputs!$B$43-B2000)-((R1972-1)*IF(Inputs!$B$38="pvp",15,MAX(0.1,Skills!D11-IF(Skills!E11=TRUE,Inputs!$B$32,0))))))/Skills!H11,1)))/Inputs!$B$43),G1972*Q1972))*IF(Inputs!$B$38="pvp",1,(1+(Inputs!$B$21+Skills!Q11+(IF(ArtifactsInput!$M$33,CHOOSE(ArtifactsInput!$N$33+1,30,36,42,48,54,60),0))+(IF(AND(ArtifactsInput!$M$35,Inputs!$B$4&lt;&gt;"Chapter Hunt"),CHOOSE(ArtifactsInput!$N$35+1,15,18,21,24,27,30)*(1-EXP(-(0.2*B1995)*5)),0)+IF(AND(ArtifactsInput!$M$22,Inputs!$B$4&lt;&gt;"Chapter Hunt"),CHOOSE(ArtifactsInput!$N$22+1,10,12,14,16,18,20)*((0*(((0.15*B1995*5))^0/1)+1*(((0.15*B1995*5))^1/1)+2*(((0.15*B1995*5))^2/2)+3*(((0.15*B1995*5))^3/6)+4*(((0.15*B1995*5))^4/24)+5*(((0.15*B1995*5))^5/120))/((((0.15*B1995*5))^0/1)+(((0.15*B1995*5))^1/1)+(((0.15*B1995*5))^2/2)+(((0.15*B1995*5))^3/6)+(((0.15*B1995*5))^4/24)+(((0.15*B1995*5))^5/120))),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1973">
      <c r="A1973">
        <f>Skills!A12</f>
        <v/>
      </c>
      <c r="B1973">
        <f>Skills!B12</f>
        <v/>
      </c>
      <c r="C1973">
        <f>Inputs!$B$3&gt;=60</f>
        <v/>
      </c>
      <c r="D1973">
        <f>IF(Skills!C12=1,60+Inputs!$B$25+Inputs!$B$29,IF(Skills!C12=2,90+Inputs!$B$26+Inputs!$B$29,IF(Skills!C12=3,120+Inputs!$B$27+Inputs!$B$29,MAX(0,(Inputs!$B$3-100)*3)+Inputs!$B$28+Inputs!$B$29)))</f>
        <v/>
      </c>
      <c r="E1973">
        <f>INDEX(FactorTable!$B$2:$Y$301, MATCH(ROUND(MIN(300,MAX(1,D1973)),0), FactorTable!$A$2:$A$301,0), Skills!M12+1)</f>
        <v/>
      </c>
      <c r="F1973">
        <f>IF(Skills!N12=TRUE,(Skills!L12/10)*(E1973/1000),Skills!L12/10)+Skills!O12</f>
        <v/>
      </c>
      <c r="G1973">
        <f>Skills!G12*IF(Skills!H12&gt;0,Skills!I12/Skills!H12,1)</f>
        <v/>
      </c>
      <c r="H1973">
        <f>1-(1-Skills!J12/100)^Skills!K12</f>
        <v/>
      </c>
      <c r="I1973" t="inlineStr">
        <is>
          <t>1</t>
        </is>
      </c>
      <c r="J1973" t="inlineStr"/>
      <c r="K1973" t="inlineStr"/>
      <c r="L1973" t="inlineStr"/>
      <c r="M1973" t="inlineStr"/>
      <c r="N1973" t="inlineStr"/>
      <c r="O1973">
        <f>(1-Summary!$B$11)*T1973+Summary!$B$11*V1973</f>
        <v/>
      </c>
      <c r="P1973">
        <f>IF(B2003=0,0,O1973/B2003)</f>
        <v/>
      </c>
      <c r="Q1973" t="n">
        <v>0</v>
      </c>
      <c r="R1973" t="n">
        <v>0</v>
      </c>
      <c r="S1973" t="n">
        <v>0</v>
      </c>
      <c r="T1973" t="n">
        <v>0</v>
      </c>
      <c r="V1973" t="n">
        <v>0</v>
      </c>
    </row>
    <row r="1974">
      <c r="A1974">
        <f>Skills!A13</f>
        <v/>
      </c>
      <c r="B1974">
        <f>Skills!B13</f>
        <v/>
      </c>
      <c r="C1974">
        <f>Inputs!$B$3&gt;=74</f>
        <v/>
      </c>
      <c r="D1974">
        <f>IF(Skills!C13=1,60+Inputs!$B$25+Inputs!$B$29,IF(Skills!C13=2,90+Inputs!$B$26+Inputs!$B$29,IF(Skills!C13=3,120+Inputs!$B$27+Inputs!$B$29,MAX(0,(Inputs!$B$3-100)*3)+Inputs!$B$28+Inputs!$B$29)))</f>
        <v/>
      </c>
      <c r="E1974">
        <f>INDEX(FactorTable!$B$2:$Y$301, MATCH(ROUND(MIN(300,MAX(1,D1974)),0), FactorTable!$A$2:$A$301,0), Skills!M13+1)</f>
        <v/>
      </c>
      <c r="F1974">
        <f>IF(Skills!N13=TRUE,(Skills!L13/10)*(E1974/1000),Skills!L13/10)+Skills!O13</f>
        <v/>
      </c>
      <c r="G1974">
        <f>Skills!G13*IF(Skills!H13&gt;0,Skills!I13/Skills!H13,1)</f>
        <v/>
      </c>
      <c r="H1974">
        <f>1-(1-Skills!J13/100)^Skills!K13</f>
        <v/>
      </c>
      <c r="I1974" t="inlineStr">
        <is>
          <t>1</t>
        </is>
      </c>
      <c r="J1974" t="inlineStr"/>
      <c r="K1974" t="inlineStr"/>
      <c r="L1974" t="inlineStr"/>
      <c r="M1974" t="inlineStr"/>
      <c r="N1974" t="inlineStr"/>
      <c r="O1974">
        <f>(1-Summary!$B$11)*T1974+Summary!$B$11*V1974</f>
        <v/>
      </c>
      <c r="P1974">
        <f>IF(B2003=0,0,O1974/B2003)</f>
        <v/>
      </c>
      <c r="Q1974" t="n">
        <v>0</v>
      </c>
      <c r="R1974" t="n">
        <v>0</v>
      </c>
      <c r="S1974" t="n">
        <v>0</v>
      </c>
      <c r="T1974" t="n">
        <v>0</v>
      </c>
      <c r="V1974" t="n">
        <v>0</v>
      </c>
    </row>
    <row r="1975">
      <c r="A1975">
        <f>Skills!A14</f>
        <v/>
      </c>
      <c r="B1975">
        <f>Skills!B14</f>
        <v/>
      </c>
      <c r="C1975">
        <f>Inputs!$B$3&gt;=74</f>
        <v/>
      </c>
      <c r="D1975">
        <f>IF(Skills!C14=1,60+Inputs!$B$25+Inputs!$B$29,IF(Skills!C14=2,90+Inputs!$B$26+Inputs!$B$29,IF(Skills!C14=3,120+Inputs!$B$27+Inputs!$B$29,MAX(0,(Inputs!$B$3-100)*3)+Inputs!$B$28+Inputs!$B$29)))</f>
        <v/>
      </c>
      <c r="E1975">
        <f>INDEX(FactorTable!$B$2:$Y$301, MATCH(ROUND(MIN(300,MAX(1,D1975)),0), FactorTable!$A$2:$A$301,0), Skills!M14+1)</f>
        <v/>
      </c>
      <c r="F1975">
        <f>IF(Skills!N14=TRUE,(Skills!L14/10)*(E1975/1000),Skills!L14/10)+Skills!O14</f>
        <v/>
      </c>
      <c r="G1975">
        <f>Skills!G14*IF(Skills!H14&gt;0,Skills!I14/Skills!H14,1)</f>
        <v/>
      </c>
      <c r="H1975">
        <f>1-(1-Skills!J14/100)^Skills!K14</f>
        <v/>
      </c>
      <c r="I1975" t="inlineStr">
        <is>
          <t>1</t>
        </is>
      </c>
      <c r="J1975" t="inlineStr"/>
      <c r="K1975" t="inlineStr"/>
      <c r="L1975" t="inlineStr"/>
      <c r="M1975" t="inlineStr"/>
      <c r="N1975" t="inlineStr"/>
      <c r="O1975">
        <f>(1-Summary!$B$11)*T1975+Summary!$B$11*V1975</f>
        <v/>
      </c>
      <c r="P1975">
        <f>IF(B2003=0,0,O1975/B2003)</f>
        <v/>
      </c>
      <c r="Q1975" t="n">
        <v>0</v>
      </c>
      <c r="R1975" t="n">
        <v>0</v>
      </c>
      <c r="S1975" t="n">
        <v>0</v>
      </c>
      <c r="T1975" t="n">
        <v>0</v>
      </c>
      <c r="V1975" t="n">
        <v>0</v>
      </c>
    </row>
    <row r="1976">
      <c r="A1976">
        <f>Skills!A15</f>
        <v/>
      </c>
      <c r="B1976">
        <f>Skills!B15</f>
        <v/>
      </c>
      <c r="C1976">
        <f>Inputs!$B$3&gt;=117</f>
        <v/>
      </c>
      <c r="D1976">
        <f>IF(Skills!C15=1,60+Inputs!$B$25+Inputs!$B$29,IF(Skills!C15=2,90+Inputs!$B$26+Inputs!$B$29,IF(Skills!C15=3,120+Inputs!$B$27+Inputs!$B$29,MAX(0,(Inputs!$B$3-100)*3)+Inputs!$B$28+Inputs!$B$29)))</f>
        <v/>
      </c>
      <c r="E1976">
        <f>INDEX(FactorTable!$B$2:$Y$301, MATCH(ROUND(MIN(300,MAX(1,D1976)),0), FactorTable!$A$2:$A$301,0), Skills!M15+1)</f>
        <v/>
      </c>
      <c r="F1976">
        <f>IF(Skills!N15=TRUE,(Skills!L15/10)*(E1976/1000),Skills!L15/10)+Skills!O15</f>
        <v/>
      </c>
      <c r="G1976">
        <f>Skills!G15*IF(Skills!H15&gt;0,Skills!I15/Skills!H15,1)</f>
        <v/>
      </c>
      <c r="H1976">
        <f>1-(1-Skills!J15/100)^Skills!K15</f>
        <v/>
      </c>
      <c r="I1976" t="inlineStr">
        <is>
          <t>1</t>
        </is>
      </c>
      <c r="J1976" t="inlineStr"/>
      <c r="K1976" t="inlineStr"/>
      <c r="L1976" t="inlineStr"/>
      <c r="M1976" t="inlineStr"/>
      <c r="N1976" t="inlineStr"/>
      <c r="O1976">
        <f>(1-Summary!$B$11)*T1976+Summary!$B$11*V1976</f>
        <v/>
      </c>
      <c r="P1976">
        <f>IF(B2003=0,0,O1976/B2003)</f>
        <v/>
      </c>
      <c r="Q1976">
        <f>IFERROR(1/IF(Inputs!$B$38="pvp",15,MAX(0.1,Skills!D15-IF(Skills!E15=TRUE,Inputs!$B$32,0))),0)</f>
        <v/>
      </c>
      <c r="R1976">
        <f>IF(AND(Inputs!$B$38&lt;&gt;"pvp",Inputs!$B$43&gt;0),IF(Inputs!$B$43&lt;=0,0,(INT(Inputs!$B$43/IF(Inputs!$B$38="pvp",15,MAX(0.1,Skills!D15-IF(Skills!E15=TRUE,Inputs!$B$32,0))))+1)),0)</f>
        <v/>
      </c>
      <c r="S1976" t="n">
        <v>0</v>
      </c>
      <c r="T1976" t="n">
        <v>0</v>
      </c>
      <c r="V1976" t="n">
        <v>0</v>
      </c>
    </row>
    <row r="1977">
      <c r="A1977">
        <f>Skills!A16</f>
        <v/>
      </c>
      <c r="B1977">
        <f>Skills!B16</f>
        <v/>
      </c>
      <c r="C1977">
        <f>Inputs!$B$3&gt;=115</f>
        <v/>
      </c>
      <c r="D1977">
        <f>IF(Skills!C16=1,60+Inputs!$B$25+Inputs!$B$29,IF(Skills!C16=2,90+Inputs!$B$26+Inputs!$B$29,IF(Skills!C16=3,120+Inputs!$B$27+Inputs!$B$29,MAX(0,(Inputs!$B$3-100)*3)+Inputs!$B$28+Inputs!$B$29)))</f>
        <v/>
      </c>
      <c r="E1977">
        <f>INDEX(FactorTable!$B$2:$Y$301, MATCH(ROUND(MIN(300,MAX(1,D1977)),0), FactorTable!$A$2:$A$301,0), Skills!M16+1)</f>
        <v/>
      </c>
      <c r="F1977">
        <f>IF(Skills!N16=TRUE,(Skills!L16/10)*(E1977/1000),Skills!L16/10)+Skills!O16</f>
        <v/>
      </c>
      <c r="G1977">
        <f>Skills!G16*IF(Skills!H16&gt;0,Skills!I16/Skills!H16,1)</f>
        <v/>
      </c>
      <c r="H1977">
        <f>1-(1-Skills!J16/100)^Skills!K16</f>
        <v/>
      </c>
      <c r="I1977" t="inlineStr">
        <is>
          <t>1</t>
        </is>
      </c>
      <c r="J1977" t="inlineStr"/>
      <c r="K1977" t="inlineStr"/>
      <c r="L1977" t="inlineStr"/>
      <c r="M1977" t="inlineStr"/>
      <c r="N1977" t="inlineStr"/>
      <c r="O1977">
        <f>(1-Summary!$B$11)*T1977+Summary!$B$11*V1977</f>
        <v/>
      </c>
      <c r="P1977">
        <f>IF(B2003=0,0,O1977/B2003)</f>
        <v/>
      </c>
      <c r="Q1977">
        <f>IFERROR(1/IF(Inputs!$B$38="pvp",15,MAX(0.1,Skills!D16-IF(Skills!E16=TRUE,Inputs!$B$32,0))),0)</f>
        <v/>
      </c>
      <c r="R1977">
        <f>IF(AND(Inputs!$B$38&lt;&gt;"pvp",Inputs!$B$43&gt;0),IF(Inputs!$B$43&lt;=0,0,(INT(Inputs!$B$43/IF(Inputs!$B$38="pvp",15,MAX(0.1,Skills!D16-IF(Skills!E16=TRUE,Inputs!$B$32,0))))+1)),0)</f>
        <v/>
      </c>
      <c r="S1977" t="n">
        <v>0</v>
      </c>
      <c r="T1977" t="n">
        <v>0</v>
      </c>
      <c r="V1977" t="n">
        <v>0</v>
      </c>
    </row>
    <row r="1978">
      <c r="A1978">
        <f>Skills!A17</f>
        <v/>
      </c>
      <c r="B1978">
        <f>Skills!B17</f>
        <v/>
      </c>
      <c r="C1978">
        <f>Inputs!$B$3&gt;=72</f>
        <v/>
      </c>
      <c r="D1978">
        <f>IF(Skills!C17=1,60+Inputs!$B$25+Inputs!$B$29,IF(Skills!C17=2,90+Inputs!$B$26+Inputs!$B$29,IF(Skills!C17=3,120+Inputs!$B$27+Inputs!$B$29,MAX(0,(Inputs!$B$3-100)*3)+Inputs!$B$28+Inputs!$B$29)))</f>
        <v/>
      </c>
      <c r="E1978">
        <f>INDEX(FactorTable!$B$2:$Y$301, MATCH(ROUND(MIN(300,MAX(1,D1978)),0), FactorTable!$A$2:$A$301,0), Skills!M17+1)</f>
        <v/>
      </c>
      <c r="F1978">
        <f>IF(Skills!N17=TRUE,(Skills!L17/10)*(E1978/1000),Skills!L17/10)+Skills!O17</f>
        <v/>
      </c>
      <c r="G1978">
        <f>Skills!G17*IF(Skills!H17&gt;0,Skills!I17/Skills!H17,1)</f>
        <v/>
      </c>
      <c r="H1978">
        <f>1-(1-Skills!J17/100)^Skills!K17</f>
        <v/>
      </c>
      <c r="I1978" t="inlineStr">
        <is>
          <t>1</t>
        </is>
      </c>
      <c r="J1978" t="inlineStr"/>
      <c r="K1978" t="inlineStr"/>
      <c r="L1978" t="inlineStr"/>
      <c r="M1978" t="inlineStr"/>
      <c r="N1978" t="inlineStr"/>
      <c r="O1978">
        <f>(1-Summary!$B$11)*T1978+Summary!$B$11*V1978</f>
        <v/>
      </c>
      <c r="P1978">
        <f>IF(B2003=0,0,O1978/B2003)</f>
        <v/>
      </c>
      <c r="Q1978" t="n">
        <v>0</v>
      </c>
      <c r="R1978" t="n">
        <v>0</v>
      </c>
      <c r="S1978" t="n">
        <v>0</v>
      </c>
      <c r="T1978" t="n">
        <v>0</v>
      </c>
      <c r="V1978" t="n">
        <v>0</v>
      </c>
    </row>
    <row r="1979">
      <c r="A1979">
        <f>Skills!A18</f>
        <v/>
      </c>
      <c r="B1979">
        <f>Skills!B18</f>
        <v/>
      </c>
      <c r="C1979">
        <f>TRUE</f>
        <v/>
      </c>
      <c r="D1979">
        <f>IF(Skills!C18=1,60+Inputs!$B$25+Inputs!$B$29,IF(Skills!C18=2,90+Inputs!$B$26+Inputs!$B$29,IF(Skills!C18=3,120+Inputs!$B$27+Inputs!$B$29,MAX(0,(Inputs!$B$3-100)*3)+Inputs!$B$28+Inputs!$B$29)))</f>
        <v/>
      </c>
      <c r="E1979">
        <f>INDEX(FactorTable!$B$2:$Y$301, MATCH(ROUND(MIN(300,MAX(1,D1979)),0), FactorTable!$A$2:$A$301,0), Skills!M18+1)</f>
        <v/>
      </c>
      <c r="F1979">
        <f>IF(Skills!N18=TRUE,(Skills!L18/10)*(E1979/1000),Skills!L18/10)+Skills!O18</f>
        <v/>
      </c>
      <c r="G1979">
        <f>Skills!G18*IF(Skills!H18&gt;0,Skills!I18/Skills!H18,1)</f>
        <v/>
      </c>
      <c r="H1979">
        <f>1-(1-Skills!J18/100)^Skills!K18</f>
        <v/>
      </c>
      <c r="I1979" t="inlineStr">
        <is>
          <t>1</t>
        </is>
      </c>
      <c r="J1979" t="inlineStr"/>
      <c r="K1979" t="inlineStr"/>
      <c r="L1979" t="inlineStr"/>
      <c r="M1979" t="inlineStr"/>
      <c r="N1979" t="inlineStr"/>
      <c r="O1979">
        <f>(1-Summary!$B$11)*T1979+Summary!$B$11*V1979</f>
        <v/>
      </c>
      <c r="P1979">
        <f>IF(B2003=0,0,O1979/B2003)</f>
        <v/>
      </c>
      <c r="Q1979">
        <f>IFERROR(1/IF(Inputs!$B$38="pvp",15,MAX(0.1,Skills!D18-IF(Skills!E18=TRUE,Inputs!$B$32,0))),0)</f>
        <v/>
      </c>
      <c r="R1979">
        <f>IF(AND(Inputs!$B$38&lt;&gt;"pvp",Inputs!$B$43&gt;0),IF(Inputs!$B$43&lt;=0,0,(INT(Inputs!$B$43/IF(Inputs!$B$38="pvp",15,MAX(0.1,Skills!D18-IF(Skills!E18=TRUE,Inputs!$B$32,0))))+1)),0)</f>
        <v/>
      </c>
      <c r="S1979" t="n">
        <v>0</v>
      </c>
      <c r="T1979" t="n">
        <v>0</v>
      </c>
      <c r="V1979" t="n">
        <v>0</v>
      </c>
    </row>
    <row r="1980">
      <c r="A1980">
        <f>Skills!A19</f>
        <v/>
      </c>
      <c r="B1980">
        <f>Skills!B19</f>
        <v/>
      </c>
      <c r="C1980">
        <f>Inputs!$B$3&gt;=15</f>
        <v/>
      </c>
      <c r="D1980">
        <f>IF(Skills!C19=1,60+Inputs!$B$25+Inputs!$B$29,IF(Skills!C19=2,90+Inputs!$B$26+Inputs!$B$29,IF(Skills!C19=3,120+Inputs!$B$27+Inputs!$B$29,MAX(0,(Inputs!$B$3-100)*3)+Inputs!$B$28+Inputs!$B$29)))</f>
        <v/>
      </c>
      <c r="E1980">
        <f>INDEX(FactorTable!$B$2:$Y$301, MATCH(ROUND(MIN(300,MAX(1,D1980)),0), FactorTable!$A$2:$A$301,0), Skills!M19+1)</f>
        <v/>
      </c>
      <c r="F1980">
        <f>IF(Skills!N19=TRUE,(Skills!L19/10)*(E1980/1000),Skills!L19/10)+Skills!O19</f>
        <v/>
      </c>
      <c r="G1980">
        <f>Skills!G19*IF(Skills!H19&gt;0,Skills!I19/Skills!H19,1)</f>
        <v/>
      </c>
      <c r="H1980">
        <f>1-(1-Skills!J19/100)^Skills!K19</f>
        <v/>
      </c>
      <c r="I1980" t="inlineStr">
        <is>
          <t>1</t>
        </is>
      </c>
      <c r="J1980" t="inlineStr"/>
      <c r="K1980" t="inlineStr"/>
      <c r="L1980" t="inlineStr"/>
      <c r="M1980" t="inlineStr"/>
      <c r="N1980" t="inlineStr"/>
      <c r="O1980">
        <f>(1-Summary!$B$11)*T1980+Summary!$B$11*V1980</f>
        <v/>
      </c>
      <c r="P1980">
        <f>IF(B2003=0,0,O1980/B2003)</f>
        <v/>
      </c>
      <c r="Q1980" t="n">
        <v>0</v>
      </c>
      <c r="R1980" t="n">
        <v>0</v>
      </c>
      <c r="S1980" t="n">
        <v>0</v>
      </c>
      <c r="T1980" t="n">
        <v>0</v>
      </c>
      <c r="V1980" t="n">
        <v>0</v>
      </c>
    </row>
    <row r="1981">
      <c r="A1981">
        <f>Skills!A20</f>
        <v/>
      </c>
      <c r="B1981">
        <f>Skills!B20</f>
        <v/>
      </c>
      <c r="C1981">
        <f>Inputs!$B$3&gt;=10</f>
        <v/>
      </c>
      <c r="D1981">
        <f>IF(Skills!C20=1,60+Inputs!$B$25+Inputs!$B$29,IF(Skills!C20=2,90+Inputs!$B$26+Inputs!$B$29,IF(Skills!C20=3,120+Inputs!$B$27+Inputs!$B$29,MAX(0,(Inputs!$B$3-100)*3)+Inputs!$B$28+Inputs!$B$29)))</f>
        <v/>
      </c>
      <c r="E1981">
        <f>INDEX(FactorTable!$B$2:$Y$301, MATCH(ROUND(MIN(300,MAX(1,D1981)),0), FactorTable!$A$2:$A$301,0), Skills!M20+1)</f>
        <v/>
      </c>
      <c r="F1981">
        <f>IF(Skills!N20=TRUE,(Skills!L20/10)*(E1981/1000),Skills!L20/10)+Skills!O20</f>
        <v/>
      </c>
      <c r="G1981">
        <f>Skills!G20*IF(Skills!H20&gt;0,Skills!I20/Skills!H20,1)</f>
        <v/>
      </c>
      <c r="H1981">
        <f>1-(1-Skills!J20/100)^Skills!K20</f>
        <v/>
      </c>
      <c r="I1981" t="inlineStr">
        <is>
          <t>1</t>
        </is>
      </c>
      <c r="J1981" t="inlineStr"/>
      <c r="K1981" t="inlineStr"/>
      <c r="L1981" t="inlineStr"/>
      <c r="M1981" t="inlineStr"/>
      <c r="N1981" t="inlineStr"/>
      <c r="O1981">
        <f>(1-Summary!$B$11)*T1981+Summary!$B$11*V1981</f>
        <v/>
      </c>
      <c r="P1981">
        <f>IF(B2003=0,0,O1981/B2003)</f>
        <v/>
      </c>
      <c r="Q1981" t="n">
        <v>0</v>
      </c>
      <c r="R1981" t="n">
        <v>0</v>
      </c>
      <c r="S1981" t="n">
        <v>0</v>
      </c>
      <c r="T1981" t="n">
        <v>0</v>
      </c>
      <c r="V1981" t="n">
        <v>0</v>
      </c>
    </row>
    <row r="1982">
      <c r="A1982">
        <f>Skills!A21</f>
        <v/>
      </c>
      <c r="B1982">
        <f>Skills!B21</f>
        <v/>
      </c>
      <c r="C1982">
        <f>Inputs!$B$3&gt;=33</f>
        <v/>
      </c>
      <c r="D1982">
        <f>IF(Skills!C21=1,60+Inputs!$B$25+Inputs!$B$29,IF(Skills!C21=2,90+Inputs!$B$26+Inputs!$B$29,IF(Skills!C21=3,120+Inputs!$B$27+Inputs!$B$29,MAX(0,(Inputs!$B$3-100)*3)+Inputs!$B$28+Inputs!$B$29)))</f>
        <v/>
      </c>
      <c r="E1982">
        <f>INDEX(FactorTable!$B$2:$Y$301, MATCH(ROUND(MIN(300,MAX(1,D1982)),0), FactorTable!$A$2:$A$301,0), Skills!M21+1)</f>
        <v/>
      </c>
      <c r="F1982">
        <f>IF(Skills!N21=TRUE,(Skills!L21/10)*(E1982/1000),Skills!L21/10)+Skills!O21</f>
        <v/>
      </c>
      <c r="G1982">
        <f>Skills!G21*IF(Skills!H21&gt;0,Skills!I21/Skills!H21,1)</f>
        <v/>
      </c>
      <c r="H1982">
        <f>1-(1-Skills!J21/100)^Skills!K21</f>
        <v/>
      </c>
      <c r="I1982" t="inlineStr">
        <is>
          <t>1</t>
        </is>
      </c>
      <c r="J1982" t="inlineStr"/>
      <c r="K1982" t="inlineStr"/>
      <c r="L1982" t="inlineStr"/>
      <c r="M1982" t="inlineStr"/>
      <c r="N1982" t="inlineStr"/>
      <c r="O1982">
        <f>(1-Summary!$B$11)*T1982+Summary!$B$11*V1982</f>
        <v/>
      </c>
      <c r="P1982">
        <f>IF(B2003=0,0,O1982/B2003)</f>
        <v/>
      </c>
      <c r="Q1982" t="n">
        <v>0</v>
      </c>
      <c r="R1982" t="n">
        <v>0</v>
      </c>
      <c r="S1982" t="n">
        <v>0</v>
      </c>
      <c r="T1982" t="n">
        <v>0</v>
      </c>
      <c r="V1982" t="n">
        <v>0</v>
      </c>
    </row>
    <row r="1983">
      <c r="A1983">
        <f>Skills!A22</f>
        <v/>
      </c>
      <c r="B1983">
        <f>Skills!B22</f>
        <v/>
      </c>
      <c r="C1983">
        <f>Inputs!$B$3&gt;=38</f>
        <v/>
      </c>
      <c r="D1983">
        <f>IF(Skills!C22=1,60+Inputs!$B$25+Inputs!$B$29,IF(Skills!C22=2,90+Inputs!$B$26+Inputs!$B$29,IF(Skills!C22=3,120+Inputs!$B$27+Inputs!$B$29,MAX(0,(Inputs!$B$3-100)*3)+Inputs!$B$28+Inputs!$B$29)))</f>
        <v/>
      </c>
      <c r="E1983">
        <f>INDEX(FactorTable!$B$2:$Y$301, MATCH(ROUND(MIN(300,MAX(1,D1983)),0), FactorTable!$A$2:$A$301,0), Skills!M22+1)</f>
        <v/>
      </c>
      <c r="F1983">
        <f>IF(Skills!N22=TRUE,(Skills!L22/10)*(E1983/1000),Skills!L22/10)+Skills!O22</f>
        <v/>
      </c>
      <c r="G1983">
        <f>Skills!G22*IF(Skills!H22&gt;0,Skills!I22/Skills!H22,1)</f>
        <v/>
      </c>
      <c r="H1983">
        <f>1-(1-Skills!J22/100)^Skills!K22</f>
        <v/>
      </c>
      <c r="I1983" t="inlineStr">
        <is>
          <t>1</t>
        </is>
      </c>
      <c r="J1983" t="inlineStr"/>
      <c r="K1983" t="inlineStr"/>
      <c r="L1983" t="inlineStr"/>
      <c r="M1983" t="inlineStr"/>
      <c r="N1983" t="inlineStr"/>
      <c r="O1983">
        <f>(1-Summary!$B$11)*T1983+Summary!$B$11*V1983</f>
        <v/>
      </c>
      <c r="P1983">
        <f>IF(B2003=0,0,O1983/B2003)</f>
        <v/>
      </c>
      <c r="Q1983" t="n">
        <v>0</v>
      </c>
      <c r="R1983" t="n">
        <v>0</v>
      </c>
      <c r="S1983" t="n">
        <v>0</v>
      </c>
      <c r="T1983" t="n">
        <v>0</v>
      </c>
      <c r="V1983" t="n">
        <v>0</v>
      </c>
    </row>
    <row r="1984">
      <c r="A1984">
        <f>Skills!A23</f>
        <v/>
      </c>
      <c r="B1984">
        <f>Skills!B23</f>
        <v/>
      </c>
      <c r="C1984">
        <f>Inputs!$B$3&gt;=43</f>
        <v/>
      </c>
      <c r="D1984">
        <f>IF(Skills!C23=1,60+Inputs!$B$25+Inputs!$B$29,IF(Skills!C23=2,90+Inputs!$B$26+Inputs!$B$29,IF(Skills!C23=3,120+Inputs!$B$27+Inputs!$B$29,MAX(0,(Inputs!$B$3-100)*3)+Inputs!$B$28+Inputs!$B$29)))</f>
        <v/>
      </c>
      <c r="E1984">
        <f>INDEX(FactorTable!$B$2:$Y$301, MATCH(ROUND(MIN(300,MAX(1,D1984)),0), FactorTable!$A$2:$A$301,0), Skills!M23+1)</f>
        <v/>
      </c>
      <c r="F1984">
        <f>IF(Skills!N23=TRUE,(Skills!L23/10)*(E1984/1000),Skills!L23/10)+Skills!O23</f>
        <v/>
      </c>
      <c r="G1984">
        <f>Skills!G23*IF(Skills!H23&gt;0,Skills!I23/Skills!H23,1)</f>
        <v/>
      </c>
      <c r="H1984">
        <f>1-(1-Skills!J23/100)^Skills!K23</f>
        <v/>
      </c>
      <c r="I1984" t="inlineStr">
        <is>
          <t>1</t>
        </is>
      </c>
      <c r="J1984" t="inlineStr"/>
      <c r="K1984" t="inlineStr"/>
      <c r="L1984" t="inlineStr"/>
      <c r="M1984" t="inlineStr"/>
      <c r="N1984" t="inlineStr"/>
      <c r="O1984">
        <f>(1-Summary!$B$11)*T1984+Summary!$B$11*V1984</f>
        <v/>
      </c>
      <c r="P1984">
        <f>IF(B2003=0,0,O1984/B2003)</f>
        <v/>
      </c>
      <c r="Q1984" t="n">
        <v>0</v>
      </c>
      <c r="R1984" t="n">
        <v>0</v>
      </c>
      <c r="S1984" t="n">
        <v>0</v>
      </c>
      <c r="T1984" t="n">
        <v>0</v>
      </c>
      <c r="V1984" t="n">
        <v>0</v>
      </c>
    </row>
    <row r="1985">
      <c r="A1985">
        <f>Skills!A24</f>
        <v/>
      </c>
      <c r="B1985">
        <f>Skills!B24</f>
        <v/>
      </c>
      <c r="C1985">
        <f>Inputs!$B$3&gt;=75</f>
        <v/>
      </c>
      <c r="D1985">
        <f>IF(Skills!C24=1,60+Inputs!$B$25+Inputs!$B$29,IF(Skills!C24=2,90+Inputs!$B$26+Inputs!$B$29,IF(Skills!C24=3,120+Inputs!$B$27+Inputs!$B$29,MAX(0,(Inputs!$B$3-100)*3)+Inputs!$B$28+Inputs!$B$29)))</f>
        <v/>
      </c>
      <c r="E1985">
        <f>INDEX(FactorTable!$B$2:$Y$301, MATCH(ROUND(MIN(300,MAX(1,D1985)),0), FactorTable!$A$2:$A$301,0), Skills!M24+1)</f>
        <v/>
      </c>
      <c r="F1985">
        <f>IF(Skills!N24=TRUE,(Skills!L24/10)*(E1985/1000),Skills!L24/10)+Skills!O24</f>
        <v/>
      </c>
      <c r="G1985">
        <f>Skills!G24*IF(Skills!H24&gt;0,Skills!I24/Skills!H24,1)</f>
        <v/>
      </c>
      <c r="H1985">
        <f>1-(1-Skills!J24/100)^Skills!K24</f>
        <v/>
      </c>
      <c r="I1985" t="inlineStr">
        <is>
          <t>1</t>
        </is>
      </c>
      <c r="J1985" t="inlineStr"/>
      <c r="K1985" t="inlineStr"/>
      <c r="L1985" t="inlineStr"/>
      <c r="M1985" t="inlineStr"/>
      <c r="N1985" t="inlineStr"/>
      <c r="O1985">
        <f>(1-Summary!$B$11)*T1985+Summary!$B$11*V1985</f>
        <v/>
      </c>
      <c r="P1985">
        <f>IF(B2003=0,0,O1985/B2003)</f>
        <v/>
      </c>
      <c r="Q1985" t="n">
        <v>0</v>
      </c>
      <c r="R1985" t="n">
        <v>0</v>
      </c>
      <c r="S1985" t="n">
        <v>0</v>
      </c>
      <c r="T1985" t="n">
        <v>0</v>
      </c>
      <c r="V1985" t="n">
        <v>0</v>
      </c>
    </row>
    <row r="1986">
      <c r="A1986">
        <f>Skills!A25</f>
        <v/>
      </c>
      <c r="B1986">
        <f>Skills!B25</f>
        <v/>
      </c>
      <c r="C1986">
        <f>Inputs!$B$3&gt;=125</f>
        <v/>
      </c>
      <c r="D1986">
        <f>IF(Skills!C25=1,60+Inputs!$B$25+Inputs!$B$29,IF(Skills!C25=2,90+Inputs!$B$26+Inputs!$B$29,IF(Skills!C25=3,120+Inputs!$B$27+Inputs!$B$29,MAX(0,(Inputs!$B$3-100)*3)+Inputs!$B$28+Inputs!$B$29)))</f>
        <v/>
      </c>
      <c r="E1986">
        <f>INDEX(FactorTable!$B$2:$Y$301, MATCH(ROUND(MIN(300,MAX(1,D1986)),0), FactorTable!$A$2:$A$301,0), Skills!M25+1)</f>
        <v/>
      </c>
      <c r="F1986">
        <f>IF(Skills!N25=TRUE,(Skills!L25/10)*(E1986/1000),Skills!L25/10)+Skills!O25</f>
        <v/>
      </c>
      <c r="G1986">
        <f>Skills!G25*IF(Skills!H25&gt;0,Skills!I25/Skills!H25,1)</f>
        <v/>
      </c>
      <c r="H1986">
        <f>1-(1-Skills!J25/100)^Skills!K25</f>
        <v/>
      </c>
      <c r="I1986" t="inlineStr">
        <is>
          <t>1</t>
        </is>
      </c>
      <c r="J1986" t="inlineStr"/>
      <c r="K1986" t="inlineStr"/>
      <c r="L1986" t="inlineStr"/>
      <c r="M1986" t="inlineStr"/>
      <c r="N1986" t="inlineStr"/>
      <c r="O1986">
        <f>(1-Summary!$B$11)*T1986+Summary!$B$11*V1986</f>
        <v/>
      </c>
      <c r="P1986">
        <f>IF(B2003=0,0,O1986/B2003)</f>
        <v/>
      </c>
      <c r="Q1986" t="n">
        <v>0</v>
      </c>
      <c r="R1986" t="n">
        <v>0</v>
      </c>
      <c r="S1986" t="n">
        <v>0</v>
      </c>
      <c r="T1986" t="n">
        <v>0</v>
      </c>
      <c r="V1986" t="n">
        <v>0</v>
      </c>
    </row>
    <row r="1987">
      <c r="A1987">
        <f>Skills!A26</f>
        <v/>
      </c>
      <c r="B1987">
        <f>Skills!B26</f>
        <v/>
      </c>
      <c r="C1987">
        <f>Inputs!$B$3&gt;=125</f>
        <v/>
      </c>
      <c r="D1987">
        <f>IF(Skills!C26=1,60+Inputs!$B$25+Inputs!$B$29,IF(Skills!C26=2,90+Inputs!$B$26+Inputs!$B$29,IF(Skills!C26=3,120+Inputs!$B$27+Inputs!$B$29,MAX(0,(Inputs!$B$3-100)*3)+Inputs!$B$28+Inputs!$B$29)))</f>
        <v/>
      </c>
      <c r="E1987">
        <f>INDEX(FactorTable!$B$2:$Y$301, MATCH(ROUND(MIN(300,MAX(1,D1987)),0), FactorTable!$A$2:$A$301,0), Skills!M26+1)</f>
        <v/>
      </c>
      <c r="F1987">
        <f>IF(Skills!N26=TRUE,(Skills!L26/10)*(E1987/1000),Skills!L26/10)+Skills!O26</f>
        <v/>
      </c>
      <c r="G1987">
        <f>Skills!G26*IF(Skills!H26&gt;0,Skills!I26/Skills!H26,1)</f>
        <v/>
      </c>
      <c r="H1987">
        <f>1-(1-Skills!J26/100)^Skills!K26</f>
        <v/>
      </c>
      <c r="I1987" t="inlineStr">
        <is>
          <t>1</t>
        </is>
      </c>
      <c r="J1987" t="inlineStr"/>
      <c r="K1987" t="inlineStr"/>
      <c r="L1987" t="inlineStr"/>
      <c r="M1987" t="inlineStr"/>
      <c r="N1987" t="inlineStr"/>
      <c r="O1987">
        <f>(1-Summary!$B$11)*T1987+Summary!$B$11*V1987</f>
        <v/>
      </c>
      <c r="P1987">
        <f>IF(B2003=0,0,O1987/B2003)</f>
        <v/>
      </c>
      <c r="Q1987" t="n">
        <v>0</v>
      </c>
      <c r="R1987" t="n">
        <v>0</v>
      </c>
      <c r="S1987" t="n">
        <v>0</v>
      </c>
      <c r="T1987" t="n">
        <v>0</v>
      </c>
      <c r="V1987" t="n">
        <v>0</v>
      </c>
    </row>
    <row r="1988">
      <c r="A1988">
        <f>Skills!A27</f>
        <v/>
      </c>
      <c r="B1988">
        <f>Skills!B27</f>
        <v/>
      </c>
      <c r="C1988">
        <f>Inputs!$B$3&gt;=120</f>
        <v/>
      </c>
      <c r="D1988">
        <f>IF(Skills!C27=1,60+Inputs!$B$25+Inputs!$B$29,IF(Skills!C27=2,90+Inputs!$B$26+Inputs!$B$29,IF(Skills!C27=3,120+Inputs!$B$27+Inputs!$B$29,MAX(0,(Inputs!$B$3-100)*3)+Inputs!$B$28+Inputs!$B$29)))</f>
        <v/>
      </c>
      <c r="E1988">
        <f>INDEX(FactorTable!$B$2:$Y$301, MATCH(ROUND(MIN(300,MAX(1,D1988)),0), FactorTable!$A$2:$A$301,0), Skills!M27+1)</f>
        <v/>
      </c>
      <c r="F1988">
        <f>IF(Skills!N27=TRUE,(Skills!L27/10)*(E1988/1000),Skills!L27/10)+Skills!O27</f>
        <v/>
      </c>
      <c r="G1988">
        <f>Skills!G27*IF(Skills!H27&gt;0,Skills!I27/Skills!H27,1)</f>
        <v/>
      </c>
      <c r="H1988">
        <f>1-(1-Skills!J27/100)^Skills!K27</f>
        <v/>
      </c>
      <c r="I1988" t="inlineStr">
        <is>
          <t>1</t>
        </is>
      </c>
      <c r="J1988" t="inlineStr"/>
      <c r="K1988" t="inlineStr"/>
      <c r="L1988" t="inlineStr"/>
      <c r="M1988" t="inlineStr"/>
      <c r="N1988" t="inlineStr"/>
      <c r="O1988">
        <f>(1-Summary!$B$11)*T1988+Summary!$B$11*V1988</f>
        <v/>
      </c>
      <c r="P1988">
        <f>IF(B2003=0,0,O1988/B2003)</f>
        <v/>
      </c>
      <c r="Q1988" t="n">
        <v>0</v>
      </c>
      <c r="R1988" t="n">
        <v>0</v>
      </c>
      <c r="S1988" t="n">
        <v>0</v>
      </c>
      <c r="T1988" t="n">
        <v>0</v>
      </c>
      <c r="V1988" t="n">
        <v>0</v>
      </c>
    </row>
    <row r="1989">
      <c r="A1989">
        <f>Skills!A28</f>
        <v/>
      </c>
      <c r="B1989">
        <f>Skills!B28</f>
        <v/>
      </c>
      <c r="C1989">
        <f>Inputs!$B$3&gt;=120</f>
        <v/>
      </c>
      <c r="D1989">
        <f>IF(Skills!C28=1,60+Inputs!$B$25+Inputs!$B$29,IF(Skills!C28=2,90+Inputs!$B$26+Inputs!$B$29,IF(Skills!C28=3,120+Inputs!$B$27+Inputs!$B$29,MAX(0,(Inputs!$B$3-100)*3)+Inputs!$B$28+Inputs!$B$29)))</f>
        <v/>
      </c>
      <c r="E1989">
        <f>INDEX(FactorTable!$B$2:$Y$301, MATCH(ROUND(MIN(300,MAX(1,D1989)),0), FactorTable!$A$2:$A$301,0), Skills!M28+1)</f>
        <v/>
      </c>
      <c r="F1989">
        <f>IF(Skills!N28=TRUE,(Skills!L28/10)*(E1989/1000),Skills!L28/10)+Skills!O28</f>
        <v/>
      </c>
      <c r="G1989">
        <f>Skills!G28*IF(Skills!H28&gt;0,Skills!I28/Skills!H28,1)</f>
        <v/>
      </c>
      <c r="H1989">
        <f>1-(1-Skills!J28/100)^Skills!K28</f>
        <v/>
      </c>
      <c r="I1989" t="inlineStr">
        <is>
          <t>1</t>
        </is>
      </c>
      <c r="J1989" t="inlineStr"/>
      <c r="K1989" t="inlineStr"/>
      <c r="L1989" t="inlineStr"/>
      <c r="M1989" t="inlineStr"/>
      <c r="N1989" t="inlineStr"/>
      <c r="O1989">
        <f>(1-Summary!$B$11)*T1989+Summary!$B$11*V1989</f>
        <v/>
      </c>
      <c r="P1989">
        <f>IF(B2003=0,0,O1989/B2003)</f>
        <v/>
      </c>
      <c r="Q1989" t="n">
        <v>0</v>
      </c>
      <c r="R1989" t="n">
        <v>0</v>
      </c>
      <c r="S1989" t="n">
        <v>0</v>
      </c>
      <c r="T1989" t="n">
        <v>0</v>
      </c>
      <c r="V1989" t="n">
        <v>0</v>
      </c>
    </row>
    <row r="1990">
      <c r="A1990">
        <f>Skills!A29</f>
        <v/>
      </c>
      <c r="B1990">
        <f>Skills!B29</f>
        <v/>
      </c>
      <c r="C1990">
        <f>Inputs!$B$3&gt;=45</f>
        <v/>
      </c>
      <c r="D1990">
        <f>IF(Skills!C29=1,60+Inputs!$B$25+Inputs!$B$29,IF(Skills!C29=2,90+Inputs!$B$26+Inputs!$B$29,IF(Skills!C29=3,120+Inputs!$B$27+Inputs!$B$29,MAX(0,(Inputs!$B$3-100)*3)+Inputs!$B$28+Inputs!$B$29)))</f>
        <v/>
      </c>
      <c r="E1990">
        <f>INDEX(FactorTable!$B$2:$Y$301, MATCH(ROUND(MIN(300,MAX(1,D1990)),0), FactorTable!$A$2:$A$301,0), Skills!M29+1)</f>
        <v/>
      </c>
      <c r="F1990">
        <f>IF(Skills!N29=TRUE,(Skills!L29/10)*(E1990/1000),Skills!L29/10)+Skills!O29</f>
        <v/>
      </c>
      <c r="G1990">
        <f>Skills!G29*IF(Skills!H29&gt;0,Skills!I29/Skills!H29,1)</f>
        <v/>
      </c>
      <c r="H1990">
        <f>1-(1-Skills!J29/100)^Skills!K29</f>
        <v/>
      </c>
      <c r="I1990" t="inlineStr">
        <is>
          <t>1</t>
        </is>
      </c>
      <c r="J1990" t="inlineStr"/>
      <c r="K1990" t="inlineStr"/>
      <c r="L1990" t="inlineStr"/>
      <c r="M1990" t="inlineStr"/>
      <c r="N1990" t="inlineStr"/>
      <c r="O1990">
        <f>(1-Summary!$B$11)*T1990+Summary!$B$11*V1990</f>
        <v/>
      </c>
      <c r="P1990">
        <f>IF(B2003=0,0,O1990/B2003)</f>
        <v/>
      </c>
      <c r="Q1990" t="n">
        <v>0</v>
      </c>
      <c r="R1990" t="n">
        <v>0</v>
      </c>
      <c r="S1990" t="n">
        <v>0</v>
      </c>
      <c r="T1990" t="n">
        <v>0</v>
      </c>
      <c r="V1990" t="n">
        <v>0</v>
      </c>
    </row>
    <row r="1992">
      <c r="A1992" t="inlineStr">
        <is>
          <t>Attack% Bucket Multiplier</t>
        </is>
      </c>
      <c r="B1992">
        <f>(1+(((C1974=TRUE)*F1974)+((C1975=TRUE)*IF(Inputs!$B$38="pvp",F1975,(1-Summary!$B$11)*(F1975)+Summary!$B$11*(0)))+((C1976=TRUE)*F1976*IF(AND(Inputs!$B$38&lt;&gt;"pvp",Inputs!$B$43&gt;0),(((R1976-1)*(Skills!T15*(1+Inputs!$B$34/100))+MIN((Skills!T15*(1+Inputs!$B$34/100)),MAX(0,Inputs!$B$43-((R1976-1)*Skills!D15))))/Inputs!$B$43),IF(Inputs!$B$38="pvp",MIN((Skills!T15*(1+Inputs!$B$34/100)),15)/15,(Skills!T15*(1+Inputs!$B$34/100))/Skills!D15)))+((C1973=TRUE)*F1973)+((C1990=TRUE)*(F1990-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1993">
      <c r="A1993" t="inlineStr">
        <is>
          <t>Global Crit Rate Bonus %</t>
        </is>
      </c>
      <c r="B1993">
        <f>(C1977=TRUE)*20*IF(AND(Inputs!$B$38&lt;&gt;"pvp",Inputs!$B$43&gt;0),(((R1977-1)*(Skills!T16*(1+Inputs!$B$34/100))+MIN((Skills!T16*(1+Inputs!$B$34/100)),MAX(0,Inputs!$B$43-((R1977-1)*Skills!D16))))/Inputs!$B$43),IF(Inputs!$B$38="pvp",MIN((Skills!T16*(1+Inputs!$B$34/100)),15)/15,(Skills!T16*(1+Inputs!$B$34/100))/Skills!D16))</f>
        <v/>
      </c>
    </row>
    <row r="1994">
      <c r="A1994" t="inlineStr">
        <is>
          <t>Attack Speed Buff Bonus %</t>
        </is>
      </c>
      <c r="B1994">
        <f>((C1979=TRUE)*F1979*IF(AND(Inputs!$B$38&lt;&gt;"pvp",Inputs!$B$43&gt;0),(((R1979-1)*(Skills!T18*(1+Inputs!$B$34/100))+MIN((Skills!T18*(1+Inputs!$B$34/100)),MAX(0,Inputs!$B$43-((R1979-1)*Skills!D18))))/Inputs!$B$43),IF(Inputs!$B$38="pvp",MIN((Skills!T18*(1+Inputs!$B$34/100)),15)/15,(Skills!T18*(1+Inputs!$B$34/100))/Skills!D18)))</f>
        <v/>
      </c>
    </row>
    <row r="1995">
      <c r="A1995" t="inlineStr">
        <is>
          <t>Actions Per Second</t>
        </is>
      </c>
      <c r="B1995">
        <f>1+MIN(150,150*(1-(1-(Inputs!$B$11+((C1981=TRUE)*(F1981-Calc!F20))+((C1982=TRUE)*(F1982-Calc!F21)))/150)*(1-B1994/150)))/100</f>
        <v/>
      </c>
    </row>
    <row r="1996">
      <c r="A1996" t="inlineStr">
        <is>
          <t>Skill + Buff Cast Rate</t>
        </is>
      </c>
      <c r="B1996">
        <f>IF(AND(Inputs!$B$38&lt;&gt;"pvp",Inputs!$B$43&gt;0),SUMPRODUCT((Skills!E2:E29=TRUE)*(C1963:C1990=TRUE)*R1963:R1990*Skills!F2:F29)/Inputs!$B$43,SUMPRODUCT((Skills!E2:E29=TRUE)*(C1963:C1990=TRUE)*Q1963:Q1990*Skills!F2:F29))</f>
        <v/>
      </c>
    </row>
    <row r="1997">
      <c r="A1997" t="inlineStr">
        <is>
          <t>Empowered Piercing Arrow Casts Per Second</t>
        </is>
      </c>
      <c r="B1997">
        <f>MAX(0,B1995-B1996)</f>
        <v/>
      </c>
    </row>
    <row r="1998">
      <c r="A1998" t="inlineStr">
        <is>
          <t>Global Critical Damage Bonus % (Sharp Eyes)</t>
        </is>
      </c>
      <c r="B1998">
        <f>(C1977=TRUE)*F1977*IF(AND(Inputs!$B$38&lt;&gt;"pvp",Inputs!$B$43&gt;0),(((R1977-1)*(Skills!T16*(1+Inputs!$B$34/100))+MIN((Skills!T16*(1+Inputs!$B$34/100)),MAX(0,Inputs!$B$43-((R1977-1)*Skills!D16))))/Inputs!$B$43),IF(Inputs!$B$38="pvp",MIN((Skills!T16*(1+Inputs!$B$34/100)),15)/15,(Skills!T16*(1+Inputs!$B$34/100))/Skills!D16))</f>
        <v/>
      </c>
    </row>
    <row r="1999">
      <c r="A1999" t="inlineStr">
        <is>
          <t>Global Final Damage Bonus % (Mortal Blow + Last Man Standing conditional half)</t>
        </is>
      </c>
      <c r="B1999">
        <f>(C1978=TRUE)*F1978+((C1987=TRUE)*IF(Inputs!$B$38="pvp",F1987,(1-Summary!$B$11)*(F1987)+Summary!$B$11*(0)))</f>
        <v/>
      </c>
    </row>
    <row r="2000">
      <c r="A2000" t="inlineStr">
        <is>
          <t>Buff-Casting Startup Delay (s, fixed-duration only)</t>
        </is>
      </c>
      <c r="B2000">
        <f>IF(AND(Inputs!$B$38&lt;&gt;"pvp",Inputs!$B$43&gt;0),SUMPRODUCT((Skills!T2:T29&gt;0)*(Skills!E2:E29=TRUE)*(C1963:C1990=TRUE))/B1995,0)</f>
        <v/>
      </c>
    </row>
    <row r="2001">
      <c r="A2001" t="inlineStr">
        <is>
          <t>Boss-Only Total DPS (this block's swept value)</t>
        </is>
      </c>
      <c r="B2001">
        <f>SUM(T1963:T1990)</f>
        <v/>
      </c>
    </row>
    <row r="2002">
      <c r="A2002" t="inlineStr">
        <is>
          <t>Normal-Only Total DPS (this block's swept value)</t>
        </is>
      </c>
      <c r="B2002">
        <f>SUM(V1963:V1990)</f>
        <v/>
      </c>
    </row>
    <row r="2003">
      <c r="A2003" s="6" t="inlineStr">
        <is>
          <t>TOTAL DPS</t>
        </is>
      </c>
      <c r="B2003" s="6">
        <f>SUM(O1963:O1990)</f>
        <v/>
      </c>
    </row>
    <row r="2006">
      <c r="A2006" s="6" t="inlineStr">
        <is>
          <t>Stat: Book of Ancient (Equip)</t>
        </is>
      </c>
    </row>
    <row r="2007">
      <c r="A2007" s="5" t="inlineStr">
        <is>
          <t>Key</t>
        </is>
      </c>
      <c r="B2007" s="5" t="inlineStr">
        <is>
          <t>Name</t>
        </is>
      </c>
      <c r="C2007" s="5" t="inlineStr">
        <is>
          <t>Unlocked</t>
        </is>
      </c>
      <c r="D2007" s="5" t="inlineStr">
        <is>
          <t>InputLevel</t>
        </is>
      </c>
      <c r="E2007" s="5" t="inlineStr">
        <is>
          <t>Factor</t>
        </is>
      </c>
      <c r="F2007" s="5" t="inlineStr">
        <is>
          <t>CoefficientPercent</t>
        </is>
      </c>
      <c r="G2007" s="5" t="inlineStr">
        <is>
          <t>EffectiveHits</t>
        </is>
      </c>
      <c r="H2007" s="5" t="inlineStr">
        <is>
          <t>ProcProbability</t>
        </is>
      </c>
      <c r="I2007" s="5" t="inlineStr">
        <is>
          <t>MapleHeroMultiplier</t>
        </is>
      </c>
      <c r="J2007" s="5" t="inlineStr">
        <is>
          <t>BaseDamage</t>
        </is>
      </c>
      <c r="K2007" s="5" t="inlineStr">
        <is>
          <t>BaseHitDamage</t>
        </is>
      </c>
      <c r="L2007" s="5" t="inlineStr">
        <is>
          <t>NonCritAvg</t>
        </is>
      </c>
      <c r="M2007" s="5" t="inlineStr">
        <is>
          <t>CritAvg</t>
        </is>
      </c>
      <c r="N2007" s="5" t="inlineStr">
        <is>
          <t>ExpectedDamage(perHit)</t>
        </is>
      </c>
      <c r="O2007" s="5" t="inlineStr">
        <is>
          <t>DPS</t>
        </is>
      </c>
      <c r="P2007" s="5" t="inlineStr">
        <is>
          <t>% of Total</t>
        </is>
      </c>
      <c r="Q2007" s="5" t="inlineStr">
        <is>
          <t>InvCooldown</t>
        </is>
      </c>
      <c r="R2007" s="5" t="inlineStr">
        <is>
          <t>CastsInFight</t>
        </is>
      </c>
      <c r="S2007" s="5" t="inlineStr">
        <is>
          <t>HitRate(perSec)</t>
        </is>
      </c>
      <c r="U2007" t="inlineStr">
        <is>
          <t>helpers</t>
        </is>
      </c>
    </row>
    <row r="2008">
      <c r="A2008">
        <f>Skills!A2</f>
        <v/>
      </c>
      <c r="B2008">
        <f>Skills!B2</f>
        <v/>
      </c>
      <c r="C2008">
        <f>Inputs!$B$3&gt;=100</f>
        <v/>
      </c>
      <c r="D2008" t="inlineStr"/>
      <c r="E2008" t="inlineStr"/>
      <c r="F2008">
        <f>U2010+Skills!O2</f>
        <v/>
      </c>
      <c r="G2008">
        <f>Skills!G2*IF(Skills!H2&gt;0,Skills!I2/Skills!H2,1)</f>
        <v/>
      </c>
      <c r="H2008">
        <f>1-(1-Skills!J2/100)^Skills!K2</f>
        <v/>
      </c>
      <c r="I2008" t="inlineStr">
        <is>
          <t>1</t>
        </is>
      </c>
      <c r="J2008">
        <f>((Inputs!$B$6*(1+Inputs!$B$7/100))+(((Inputs!$B$12*(1+Inputs!$B$13/100))-(Inputs!$B$12*(1+Inputs!$B$13/100)))+0.25*(Inputs!$B$14-Inputs!$B$14))*(1+Inputs!$B$7/100))*(F2008/100)</f>
        <v/>
      </c>
      <c r="K2008">
        <f>J2008*(1+((Inputs!$B$12*(1+Inputs!$B$13/100))*0.01+Inputs!$B$14*0.0025)/100)*(1+Inputs!$B$15/100)*(1+Inputs!$B$16/100)*(5000/(6000+Inputs!$B$42*(1-(100*(1-(1-(Inputs!$B$19+0)/100)*(1-CHOOSE(ArtifactsInput!$N$40+1,5,6,7,8,9,10)/100)^(ArtifactsInput!$M$40-ArtifactsInput!$M$40)))/100)))*(1+(Inputs!$B$24+((C2030=TRUE)*(F2030-Calc!F24))+((C2031=TRUE)*(F2031-Calc!F25))+B2044)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EMPOWERED_PIERCING_ARROW",Inputs!$B$17+((C2028=TRUE)*(F2028-Calc!F22))+(((IF(AND(ArtifactsInput!$M$42,((Inputs!$B$9+((C2025=TRUE)*(F2025-Calc!F19))+B2038+(IF(ArtifactsInput!$M$24,FALSE,TRUE)-ArtifactsInput!$M$24)*CHOOSE(ArtifactsInput!$N$24+1,10,12,14,16,18,20)+IF(ArtifactsInput!$M$10,CHOOSE(ArtifactsInput!$N$10+1,15,18,21,24,27,30)*(IF(Inputs!$B$38="pvp",MIN(15,15)/15,IF(AND(Inputs!$B$38&lt;&gt;"pvp",Inputs!$B$43&gt;0),MIN(15,Inputs!$B$43)/(Inputs!$B$43),0))),0)))&gt;=100),MIN(100,((Inputs!$B$9+((C2025=TRUE)*(F2025-Calc!F19))+B2038+(IF(ArtifactsInput!$M$24,FALSE,TRUE)-ArtifactsInput!$M$24)*CHOOSE(ArtifactsInput!$N$24+1,10,12,14,16,18,20)+IF(ArtifactsInput!$M$10,CHOOSE(ArtifactsInput!$N$10+1,15,18,21,24,27,30)*(IF(Inputs!$B$38="pvp",MIN(15,15)/15,IF(AND(Inputs!$B$38&lt;&gt;"pvp",Inputs!$B$43&gt;0),MIN(15,Inputs!$B$43)/(Inputs!$B$43),0))),0)))-100),0))*CHOOSE(ArtifactsInput!$N$42+1,0.6,0.72,0.84,0.96,1.08,1.2))),Inputs!$B$18+((C2033=TRUE)*(F2033-Calc!F27))+(IF(AND(ArtifactsInput!$M$42,((Inputs!$B$9+((C2025=TRUE)*(F2025-Calc!F19))+B2038+(IF(ArtifactsInput!$M$24,FALSE,TRUE)-ArtifactsInput!$M$24)*CHOOSE(ArtifactsInput!$N$24+1,10,12,14,16,18,20)+IF(ArtifactsInput!$M$10,CHOOSE(ArtifactsInput!$N$10+1,15,18,21,24,27,30)*(IF(Inputs!$B$38="pvp",MIN(15,15)/15,IF(AND(Inputs!$B$38&lt;&gt;"pvp",Inputs!$B$43&gt;0),MIN(15,Inputs!$B$43)/(Inputs!$B$43),0))),0)))&gt;=100),CHOOSE(ArtifactsInput!$N$42+1,40,48,56,64,72,80),0))))/100)*((1+(((C2019=TRUE)*F2019)+((C2020=TRUE)*IF(Inputs!$B$38="pvp",F2020,(1-Summary!$B$11)*(F2020)+Summary!$B$11*(0)))+((C2021=TRUE)*F2021*IF(AND(Inputs!$B$38&lt;&gt;"pvp",Inputs!$B$43&gt;0),(((R2021-1)*(Skills!T15*(1+Inputs!$B$34/100))+MIN((Skills!T15*(1+Inputs!$B$34/100)),MAX(0,Inputs!$B$43-((R2021-1)*Skills!D15))))/Inputs!$B$43),IF(Inputs!$B$38="pvp",MIN((Skills!T15*(1+Inputs!$B$34/100)),15)/15,(Skills!T15*(1+Inputs!$B$34/100))/Skills!D15)))+((C2018=TRUE)*F2018)+((C2035=TRUE)*(F2035-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2008)</f>
        <v/>
      </c>
      <c r="L2008">
        <f>K2008*(MIN(Inputs!$B$22+((C2029=TRUE)*(F2029-Calc!F23)),(Inputs!$B$23+((C2034=TRUE)*(F2034-Calc!F28))+(IF(ArtifactsInput!$M$15,CHOOSE(ArtifactsInput!$N$15+1,25,30,35,40,45,50)/100*(Inputs!$B$11-Inputs!$B$11),0))))/100+(Inputs!$B$23+((C2034=TRUE)*(F2034-Calc!F28))+(IF(ArtifactsInput!$M$15,CHOOSE(ArtifactsInput!$N$15+1,25,30,35,40,45,50)/100*(Inputs!$B$11-Inputs!$B$11),0)))/100)/2</f>
        <v/>
      </c>
      <c r="M2008">
        <f>L2008*(1+(Inputs!$B$10+0+B2043+((IF(IF(ArtifactsInput!$M$24,FALSE,TRUE),1,-1)*CHOOSE(ArtifactsInput!$N$24+1,30,36,42,48,54,60)/100*IF(IF(ArtifactsInput!$M$24,FALSE,TRUE),(Inputs!$B$9+((C2025=TRUE)*(F2025-Calc!F19))+B2038+(IF(ArtifactsInput!$M$24,FALSE,TRUE)-ArtifactsInput!$M$24)*CHOOSE(ArtifactsInput!$N$24+1,10,12,14,16,18,20)+IF(AND(ArtifactsInput!$M$42,((Inputs!$B$9+((C2025=TRUE)*(F2025-Calc!F19))+B2038+(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nputs!$B$9+Summary!$B$14+Artifacts!$B$5+Artifacts!$B$29)))+IF(ArtifactsInput!$M$10,CHOOSE(ArtifactsInput!$N$10+1,20,24,28,32,36,40)*(IF(Inputs!$B$38="pvp",MIN(15,15)/15,IF(AND(Inputs!$B$38&lt;&gt;"pvp",Inputs!$B$43&gt;0),MIN(15,Inputs!$B$43)/(Inputs!$B$43),0))),0)+IF(ArtifactsInput!$M$31,1.5*CHOOSE(ArtifactsInput!$N$31+1,20,24,28,32,36,40),0)))/100)</f>
        <v/>
      </c>
      <c r="N2008">
        <f>L2008*(1-MIN((Inputs!$B$9+((C2025=TRUE)*(F2025-Calc!F19))+B2038+(IF(ArtifactsInput!$M$24,FALSE,TRUE)-ArtifactsInput!$M$24)*CHOOSE(ArtifactsInput!$N$24+1,10,12,14,16,18,20)+(IF(AND(ArtifactsInput!$M$42,((Inputs!$B$9+((C2025=TRUE)*(F2025-Calc!F19))+B2038+(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2008*(MIN((Inputs!$B$9+((C2025=TRUE)*(F2025-Calc!F19))+B2038+(IF(ArtifactsInput!$M$24,FALSE,TRUE)-ArtifactsInput!$M$24)*CHOOSE(ArtifactsInput!$N$24+1,10,12,14,16,18,20)+(IF(AND(ArtifactsInput!$M$42,((Inputs!$B$9+((C2025=TRUE)*(F2025-Calc!F19))+B2038+(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008">
        <f>(1-Summary!$B$11)*T2008+Summary!$B$11*V2008</f>
        <v/>
      </c>
      <c r="P2008">
        <f>IF(B2048=0,0,O2008/B2048)</f>
        <v/>
      </c>
      <c r="Q2008" t="n">
        <v>0</v>
      </c>
      <c r="R2008" t="n">
        <v>0</v>
      </c>
      <c r="S2008">
        <f>IFERROR((Skills!G2*N2008*B2042)/N2008*IF(Inputs!$B$38="pvp",1,(1-Summary!$B$11)*1+Summary!$B$11*(MIN((6+Inputs!$B$33),Inputs!$B$37))),0)</f>
        <v/>
      </c>
      <c r="T2008">
        <f>IF(C2008,(Skills!G2*N2008*B2042)*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Hunt"),CHOOSE(ArtifactsInput!$N$35+1,15,18,21,24,27,30)*(1-EXP(-(0.2*B2040)*5)),0)+IF(AND(ArtifactsInput!$M$22,Inputs!$B$4&lt;&gt;"Chapter Hunt"),CHOOSE(ArtifactsInput!$N$22+1,10,12,14,16,18,20)*((0*(((0.15*B2040*5))^0/1)+1*(((0.15*B2040*5))^1/1)+2*(((0.15*B2040*5))^2/2)+3*(((0.15*B2040*5))^3/6)+4*(((0.15*B2040*5))^4/24)+5*(((0.15*B2040*5))^5/120))/((((0.15*B2040*5))^0/1)+(((0.15*B2040*5))^1/1)+(((0.15*B2040*5))^2/2)+(((0.15*B2040*5))^3/6)+(((0.15*B2040*5))^4/24)+(((0.15*B2040*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2008*(1-MIN(100,(Inputs!$B$9+((C2025=TRUE)*(F2025-Calc!F19))+B2038+(IF(ArtifactsInput!$M$24,FALSE,TRUE)-ArtifactsInput!$M$24)*CHOOSE(ArtifactsInput!$N$24+1,10,12,14,16,18,20)+(IF(AND(ArtifactsInput!$M$42,((Inputs!$B$9+((C2025=TRUE)*(F2025-Calc!F19))+B2038+(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2008*(MIN(100,(Inputs!$B$9+((C2025=TRUE)*(F2025-Calc!F19))+B2038+(IF(ArtifactsInput!$M$24,FALSE,TRUE)-ArtifactsInput!$M$24)*CHOOSE(ArtifactsInput!$N$24+1,10,12,14,16,18,20)+(IF(AND(ArtifactsInput!$M$42,((Inputs!$B$9+((C2025=TRUE)*(F2025-Calc!F19))+B2038+(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2008*(1-MIN(100,(Inputs!$B$9+((C2025=TRUE)*(F2025-Calc!F19))+B2038+(IF(ArtifactsInput!$M$24,FALSE,TRUE)-ArtifactsInput!$M$24)*CHOOSE(ArtifactsInput!$N$24+1,10,12,14,16,18,20)+(IF(AND(ArtifactsInput!$M$42,((Inputs!$B$9+((C2025=TRUE)*(F2025-Calc!F19))+B2038+(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2008*(MIN(100,(Inputs!$B$9+((C2025=TRUE)*(F2025-Calc!F19))+B2038+(IF(ArtifactsInput!$M$24,FALSE,TRUE)-ArtifactsInput!$M$24)*CHOOSE(ArtifactsInput!$N$24+1,10,12,14,16,18,20)+(IF(AND(ArtifactsInput!$M$42,((Inputs!$B$9+((C2025=TRUE)*(F2025-Calc!F19))+B2038+(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008">
        <f>MAX(0,(Inputs!$B$3-100)*3)+Inputs!$B$28+Inputs!$B$29</f>
        <v/>
      </c>
      <c r="V2008">
        <f>IF(C2008,(Skills!G2*N2008*B2042)*IF(Inputs!$B$38="pvp",1,(1+(Inputs!$B$21+Skills!Q2+(IF(ArtifactsInput!$M$33,CHOOSE(ArtifactsInput!$N$33+1,30,36,42,48,54,60),0))+(IF(AND(ArtifactsInput!$M$35,Inputs!$B$4&lt;&gt;"Chapter Hunt"),CHOOSE(ArtifactsInput!$N$35+1,15,18,21,24,27,30)*(1-EXP(-(0.2*B2040)*5)),0)+IF(AND(ArtifactsInput!$M$22,Inputs!$B$4&lt;&gt;"Chapter Hunt"),CHOOSE(ArtifactsInput!$N$22+1,10,12,14,16,18,20)*((0*(((0.15*B2040*5))^0/1)+1*(((0.15*B2040*5))^1/1)+2*(((0.15*B2040*5))^2/2)+3*(((0.15*B2040*5))^3/6)+4*(((0.15*B2040*5))^4/24)+5*(((0.15*B2040*5))^5/120))/((((0.15*B2040*5))^0/1)+(((0.15*B2040*5))^1/1)+(((0.15*B2040*5))^2/2)+(((0.15*B2040*5))^3/6)+(((0.15*B2040*5))^4/24)+(((0.15*B2040*5))^5/120)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009">
      <c r="A2009">
        <f>Skills!A3</f>
        <v/>
      </c>
      <c r="B2009">
        <f>Skills!B3</f>
        <v/>
      </c>
      <c r="C2009">
        <f>Inputs!$B$3&gt;=50</f>
        <v/>
      </c>
      <c r="D2009">
        <f>IF(Skills!C3=1,60+Inputs!$B$25+Inputs!$B$29,IF(Skills!C3=2,90+Inputs!$B$26+Inputs!$B$29,IF(Skills!C3=3,120+Inputs!$B$27+Inputs!$B$29,MAX(0,(Inputs!$B$3-100)*3)+Inputs!$B$28+Inputs!$B$29)))</f>
        <v/>
      </c>
      <c r="E2009">
        <f>INDEX(FactorTable!$B$2:$Y$301, MATCH(ROUND(MIN(300,MAX(1,D2009)),0), FactorTable!$A$2:$A$301,0), Skills!M3+1)</f>
        <v/>
      </c>
      <c r="F2009">
        <f>IF(Skills!N3=TRUE,(Skills!L3/10)*(E2009/1000),Skills!L3/10)+Skills!O3</f>
        <v/>
      </c>
      <c r="G2009" t="inlineStr"/>
      <c r="H2009" t="inlineStr"/>
      <c r="I2009" t="inlineStr">
        <is>
          <t>1</t>
        </is>
      </c>
      <c r="J2009" t="inlineStr"/>
      <c r="K2009" t="inlineStr"/>
      <c r="L2009" t="inlineStr"/>
      <c r="M2009" t="inlineStr"/>
      <c r="N2009" t="inlineStr"/>
      <c r="O2009" t="inlineStr"/>
      <c r="P2009" t="inlineStr"/>
      <c r="Q2009" t="inlineStr"/>
      <c r="R2009" t="inlineStr"/>
      <c r="S2009" t="inlineStr"/>
      <c r="T2009" t="inlineStr"/>
      <c r="U2009">
        <f>INDEX(FactorTable!$B$2:$Y$301, MATCH(ROUND(MIN(300,MAX(1,U2008)),0), FactorTable!$A$2:$A$301,0), 22)</f>
        <v/>
      </c>
      <c r="V2009" t="inlineStr"/>
    </row>
    <row r="2010">
      <c r="A2010">
        <f>Skills!A4</f>
        <v/>
      </c>
      <c r="B2010">
        <f>Skills!B4</f>
        <v/>
      </c>
      <c r="C2010">
        <f>Inputs!$B$3&gt;=105</f>
        <v/>
      </c>
      <c r="D2010">
        <f>IF(Skills!C4=1,60+Inputs!$B$25+Inputs!$B$29,IF(Skills!C4=2,90+Inputs!$B$26+Inputs!$B$29,IF(Skills!C4=3,120+Inputs!$B$27+Inputs!$B$29,MAX(0,(Inputs!$B$3-100)*3)+Inputs!$B$28+Inputs!$B$29)))</f>
        <v/>
      </c>
      <c r="E2010">
        <f>INDEX(FactorTable!$B$2:$Y$301, MATCH(ROUND(MIN(300,MAX(1,D2010)),0), FactorTable!$A$2:$A$301,0), Skills!M4+1)</f>
        <v/>
      </c>
      <c r="F2010">
        <f>IF(Skills!N4=TRUE,(Skills!L4/10)*(E2010/1000),Skills!L4/10)+Skills!O4</f>
        <v/>
      </c>
      <c r="G2010" t="inlineStr"/>
      <c r="H2010" t="inlineStr"/>
      <c r="I2010" t="inlineStr">
        <is>
          <t>1</t>
        </is>
      </c>
      <c r="J2010" t="inlineStr"/>
      <c r="K2010" t="inlineStr"/>
      <c r="L2010" t="inlineStr"/>
      <c r="M2010" t="inlineStr"/>
      <c r="N2010" t="inlineStr"/>
      <c r="O2010" t="inlineStr"/>
      <c r="P2010" t="inlineStr"/>
      <c r="Q2010" t="inlineStr"/>
      <c r="R2010" t="inlineStr"/>
      <c r="S2010" t="inlineStr"/>
      <c r="T2010" t="inlineStr"/>
      <c r="U2010">
        <f>290*U2009/1000</f>
        <v/>
      </c>
      <c r="V2010" t="inlineStr"/>
    </row>
    <row r="2011">
      <c r="A2011">
        <f>Skills!A5</f>
        <v/>
      </c>
      <c r="B2011">
        <f>Skills!B5</f>
        <v/>
      </c>
      <c r="C2011">
        <f>Inputs!$B$3&gt;=35</f>
        <v/>
      </c>
      <c r="D2011">
        <f>IF(Skills!C5=1,60+Inputs!$B$25+Inputs!$B$29,IF(Skills!C5=2,90+Inputs!$B$26+Inputs!$B$29,IF(Skills!C5=3,120+Inputs!$B$27+Inputs!$B$29,MAX(0,(Inputs!$B$3-100)*3)+Inputs!$B$28+Inputs!$B$29)))</f>
        <v/>
      </c>
      <c r="E2011">
        <f>INDEX(FactorTable!$B$2:$Y$301, MATCH(ROUND(MIN(300,MAX(1,D2011)),0), FactorTable!$A$2:$A$301,0), Skills!M5+1)</f>
        <v/>
      </c>
      <c r="F2011">
        <f>IF(Skills!N5=TRUE,(Skills!L5/10)*(E2011/1000),Skills!L5/10)+Skills!O5</f>
        <v/>
      </c>
      <c r="G2011">
        <f>Skills!G5*IF(Skills!H5&gt;0,Skills!I5/Skills!H5,1)</f>
        <v/>
      </c>
      <c r="H2011">
        <f>1-(1-Skills!J5/100)^Skills!K5</f>
        <v/>
      </c>
      <c r="I2011" t="inlineStr">
        <is>
          <t>1</t>
        </is>
      </c>
      <c r="J2011">
        <f>((Inputs!$B$6*(1+Inputs!$B$7/100))+(((Inputs!$B$12*(1+Inputs!$B$13/100))-(Inputs!$B$12*(1+Inputs!$B$13/100)))+0.25*(Inputs!$B$14-Inputs!$B$14))*(1+Inputs!$B$7/100))*(F2011/100)</f>
        <v/>
      </c>
      <c r="K2011">
        <f>J2011*(1+((Inputs!$B$12*(1+Inputs!$B$13/100))*0.01+Inputs!$B$14*0.0025)/100)*(1+Inputs!$B$15/100)*(1+Inputs!$B$16/100)*(5000/(6000+Inputs!$B$42*(1-(100*(1-(1-(Inputs!$B$19+0)/100)*(1-CHOOSE(ArtifactsInput!$N$40+1,5,6,7,8,9,10)/100)^(ArtifactsInput!$M$40-ArtifactsInput!$M$40)))/100)))*(1+(Inputs!$B$24+((C2030=TRUE)*(F2030-Calc!F24))+((C2031=TRUE)*(F2031-Calc!F25))+B2044)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2014=TRUE,F2014,0)/100)*(1+(IF(Skills!A5="EMPOWERED_PIERCING_ARROW",Inputs!$B$17+((C2028=TRUE)*(F2028-Calc!F22))+(((IF(AND(ArtifactsInput!$M$42,((Inputs!$B$9+((C2025=TRUE)*(F2025-Calc!F19))+B2038+(IF(ArtifactsInput!$M$24,FALSE,TRUE)-ArtifactsInput!$M$24)*CHOOSE(ArtifactsInput!$N$24+1,10,12,14,16,18,20)+IF(ArtifactsInput!$M$10,CHOOSE(ArtifactsInput!$N$10+1,15,18,21,24,27,30)*(IF(Inputs!$B$38="pvp",MIN(15,15)/15,IF(AND(Inputs!$B$38&lt;&gt;"pvp",Inputs!$B$43&gt;0),MIN(15,Inputs!$B$43)/(Inputs!$B$43),0))),0)))&gt;=100),MIN(100,((Inputs!$B$9+((C2025=TRUE)*(F2025-Calc!F19))+B2038+(IF(ArtifactsInput!$M$24,FALSE,TRUE)-ArtifactsInput!$M$24)*CHOOSE(ArtifactsInput!$N$24+1,10,12,14,16,18,20)+IF(ArtifactsInput!$M$10,CHOOSE(ArtifactsInput!$N$10+1,15,18,21,24,27,30)*(IF(Inputs!$B$38="pvp",MIN(15,15)/15,IF(AND(Inputs!$B$38&lt;&gt;"pvp",Inputs!$B$43&gt;0),MIN(15,Inputs!$B$43)/(Inputs!$B$43),0))),0)))-100),0))*CHOOSE(ArtifactsInput!$N$42+1,0.6,0.72,0.84,0.96,1.08,1.2))),Inputs!$B$18+((C2033=TRUE)*(F2033-Calc!F27))+(IF(AND(ArtifactsInput!$M$42,((Inputs!$B$9+((C2025=TRUE)*(F2025-Calc!F19))+B2038+(IF(ArtifactsInput!$M$24,FALSE,TRUE)-ArtifactsInput!$M$24)*CHOOSE(ArtifactsInput!$N$24+1,10,12,14,16,18,20)+IF(ArtifactsInput!$M$10,CHOOSE(ArtifactsInput!$N$10+1,15,18,21,24,27,30)*(IF(Inputs!$B$38="pvp",MIN(15,15)/15,IF(AND(Inputs!$B$38&lt;&gt;"pvp",Inputs!$B$43&gt;0),MIN(15,Inputs!$B$43)/(Inputs!$B$43),0))),0)))&gt;=100),CHOOSE(ArtifactsInput!$N$42+1,40,48,56,64,72,80),0))))/100)*((1+(((C2019=TRUE)*F2019)+((C2020=TRUE)*IF(Inputs!$B$38="pvp",F2020,(1-Summary!$B$11)*(F2020)+Summary!$B$11*(0)))+((C2021=TRUE)*F2021*IF(AND(Inputs!$B$38&lt;&gt;"pvp",Inputs!$B$43&gt;0),(((R2021-1)*(Skills!T15*(1+Inputs!$B$34/100))+MIN((Skills!T15*(1+Inputs!$B$34/100)),MAX(0,Inputs!$B$43-((R2021-1)*Skills!D15))))/Inputs!$B$43),IF(Inputs!$B$38="pvp",MIN((Skills!T15*(1+Inputs!$B$34/100)),15)/15,(Skills!T15*(1+Inputs!$B$34/100))/Skills!D15)))+((C2018=TRUE)*F2018)+((C2035=TRUE)*(F2035-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2011)</f>
        <v/>
      </c>
      <c r="L2011">
        <f>K2011*(MIN(Inputs!$B$22+((C2029=TRUE)*(F2029-Calc!F23)),(Inputs!$B$23+((C2034=TRUE)*(F2034-Calc!F28))+(IF(ArtifactsInput!$M$15,CHOOSE(ArtifactsInput!$N$15+1,25,30,35,40,45,50)/100*(Inputs!$B$11-Inputs!$B$11),0))))/100+(Inputs!$B$23+((C2034=TRUE)*(F2034-Calc!F28))+(IF(ArtifactsInput!$M$15,CHOOSE(ArtifactsInput!$N$15+1,25,30,35,40,45,50)/100*(Inputs!$B$11-Inputs!$B$11),0)))/100)/2</f>
        <v/>
      </c>
      <c r="M2011">
        <f>L2011*(1+(Inputs!$B$10+0+B2043+((IF(IF(ArtifactsInput!$M$24,FALSE,TRUE),1,-1)*CHOOSE(ArtifactsInput!$N$24+1,30,36,42,48,54,60)/100*IF(IF(ArtifactsInput!$M$24,FALSE,TRUE),(Inputs!$B$9+((C2025=TRUE)*(F2025-Calc!F19))+B2038+(IF(ArtifactsInput!$M$24,FALSE,TRUE)-ArtifactsInput!$M$24)*CHOOSE(ArtifactsInput!$N$24+1,10,12,14,16,18,20)+IF(AND(ArtifactsInput!$M$42,((Inputs!$B$9+((C2025=TRUE)*(F2025-Calc!F19))+B2038+(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nputs!$B$9+Summary!$B$14+Artifacts!$B$5+Artifacts!$B$29)))+IF(ArtifactsInput!$M$10,CHOOSE(ArtifactsInput!$N$10+1,20,24,28,32,36,40)*(IF(Inputs!$B$38="pvp",MIN(15,15)/15,IF(AND(Inputs!$B$38&lt;&gt;"pvp",Inputs!$B$43&gt;0),MIN(15,Inputs!$B$43)/(Inputs!$B$43),0))),0)+IF(ArtifactsInput!$M$31,1.5*CHOOSE(ArtifactsInput!$N$31+1,20,24,28,32,36,40),0)))/100)</f>
        <v/>
      </c>
      <c r="N2011">
        <f>L2011*(1-MIN((Inputs!$B$9+((C2025=TRUE)*(F2025-Calc!F19))+B2038+(IF(ArtifactsInput!$M$24,FALSE,TRUE)-ArtifactsInput!$M$24)*CHOOSE(ArtifactsInput!$N$24+1,10,12,14,16,18,20)+(IF(AND(ArtifactsInput!$M$42,((Inputs!$B$9+((C2025=TRUE)*(F2025-Calc!F19))+B2038+(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2011*(MIN((Inputs!$B$9+((C2025=TRUE)*(F2025-Calc!F19))+B2038+(IF(ArtifactsInput!$M$24,FALSE,TRUE)-ArtifactsInput!$M$24)*CHOOSE(ArtifactsInput!$N$24+1,10,12,14,16,18,20)+(IF(AND(ArtifactsInput!$M$42,((Inputs!$B$9+((C2025=TRUE)*(F2025-Calc!F19))+B2038+(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011">
        <f>(1-Summary!$B$11)*T2011+Summary!$B$11*V2011</f>
        <v/>
      </c>
      <c r="P2011">
        <f>IF(B2048=0,0,O2011/B2048)</f>
        <v/>
      </c>
      <c r="Q2011">
        <f>IFERROR(1/IF(Inputs!$B$38="pvp",15,MAX(0.1,Skills!D5-IF(Skills!E5=TRUE,Inputs!$B$32,0))),0)</f>
        <v/>
      </c>
      <c r="R2011">
        <f>IF(AND(Inputs!$B$38&lt;&gt;"pvp",Inputs!$B$43&gt;0),IF(MAX(0,Inputs!$B$43-B2045)&lt;=0,0,(INT(MAX(0,Inputs!$B$43-B2045)/IF(Inputs!$B$38="pvp",15,MAX(0.1,Skills!D5-IF(Skills!E5=TRUE,Inputs!$B$32,0))))+1)),0)</f>
        <v/>
      </c>
      <c r="S2011">
        <f>IFERROR((H2011*N2011*IF(AND(Inputs!$B$38&lt;&gt;"pvp",Inputs!$B$43&gt;0),((Skills!G5*((R2011-1)*IF(Skills!H5&gt;0,Skills!I5/Skills!H5,1)+IF(Skills!H5&gt;0,MIN(Skills!I5,MAX(0,MAX(0,Inputs!$B$43-B2045)-((R2011-1)*IF(Inputs!$B$38="pvp",15,MAX(0.1,Skills!D5-IF(Skills!E5=TRUE,Inputs!$B$32,0))))))/Skills!H5,1)))/Inputs!$B$43),G2011*Q2011))/N2011*IF(Inputs!$B$38="pvp",1,(1-Summary!$B$11)*1+Summary!$B$11*(MIN(Skills!R5,Inputs!$B$37))),0)</f>
        <v/>
      </c>
      <c r="T2011">
        <f>IF(C2011,(H2011*N2011*IF(AND(Inputs!$B$38&lt;&gt;"pvp",Inputs!$B$43&gt;0),((Skills!G5*((R2011-1)*IF(Skills!H5&gt;0,Skills!I5/Skills!H5,1)+IF(Skills!H5&gt;0,MIN(Skills!I5,MAX(0,MAX(0,Inputs!$B$43-B2045)-((R2011-1)*IF(Inputs!$B$38="pvp",15,MAX(0.1,Skills!D5-IF(Skills!E5=TRUE,Inputs!$B$32,0))))))/Skills!H5,1)))/Inputs!$B$43),G2011*Q2011))*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Hunt"),CHOOSE(ArtifactsInput!$N$35+1,15,18,21,24,27,30)*(1-EXP(-(0.2*B2040)*5)),0)+IF(AND(ArtifactsInput!$M$22,Inputs!$B$4&lt;&gt;"Chapter Hunt"),CHOOSE(ArtifactsInput!$N$22+1,10,12,14,16,18,20)*((0*(((0.15*B2040*5))^0/1)+1*(((0.15*B2040*5))^1/1)+2*(((0.15*B2040*5))^2/2)+3*(((0.15*B2040*5))^3/6)+4*(((0.15*B2040*5))^4/24)+5*(((0.15*B2040*5))^5/120))/((((0.15*B2040*5))^0/1)+(((0.15*B2040*5))^1/1)+(((0.15*B2040*5))^2/2)+(((0.15*B2040*5))^3/6)+(((0.15*B2040*5))^4/24)+(((0.15*B2040*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2011*(1-MIN(100,(Inputs!$B$9+((C2025=TRUE)*(F2025-Calc!F19))+B2038+(IF(ArtifactsInput!$M$24,FALSE,TRUE)-ArtifactsInput!$M$24)*CHOOSE(ArtifactsInput!$N$24+1,10,12,14,16,18,20)+(IF(AND(ArtifactsInput!$M$42,((Inputs!$B$9+((C2025=TRUE)*(F2025-Calc!F19))+B2038+(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2011*(MIN(100,(Inputs!$B$9+((C2025=TRUE)*(F2025-Calc!F19))+B2038+(IF(ArtifactsInput!$M$24,FALSE,TRUE)-ArtifactsInput!$M$24)*CHOOSE(ArtifactsInput!$N$24+1,10,12,14,16,18,20)+(IF(AND(ArtifactsInput!$M$42,((Inputs!$B$9+((C2025=TRUE)*(F2025-Calc!F19))+B2038+(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2011*(1-MIN(100,(Inputs!$B$9+((C2025=TRUE)*(F2025-Calc!F19))+B2038+(IF(ArtifactsInput!$M$24,FALSE,TRUE)-ArtifactsInput!$M$24)*CHOOSE(ArtifactsInput!$N$24+1,10,12,14,16,18,20)+(IF(AND(ArtifactsInput!$M$42,((Inputs!$B$9+((C2025=TRUE)*(F2025-Calc!F19))+B2038+(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2011*(MIN(100,(Inputs!$B$9+((C2025=TRUE)*(F2025-Calc!F19))+B2038+(IF(ArtifactsInput!$M$24,FALSE,TRUE)-ArtifactsInput!$M$24)*CHOOSE(ArtifactsInput!$N$24+1,10,12,14,16,18,20)+(IF(AND(ArtifactsInput!$M$42,((Inputs!$B$9+((C2025=TRUE)*(F2025-Calc!F19))+B2038+(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011">
        <f>IF(C2011,(H2011*N2011*IF(AND(Inputs!$B$38&lt;&gt;"pvp",Inputs!$B$43&gt;0),((Skills!G5*((R2011-1)*IF(Skills!H5&gt;0,Skills!I5/Skills!H5,1)+IF(Skills!H5&gt;0,MIN(Skills!I5,MAX(0,MAX(0,Inputs!$B$43-B2045)-((R2011-1)*IF(Inputs!$B$38="pvp",15,MAX(0.1,Skills!D5-IF(Skills!E5=TRUE,Inputs!$B$32,0))))))/Skills!H5,1)))/Inputs!$B$43),G2011*Q2011))*IF(Inputs!$B$38="pvp",1,(1+(Inputs!$B$21+Skills!Q5+(IF(ArtifactsInput!$M$33,CHOOSE(ArtifactsInput!$N$33+1,30,36,42,48,54,60),0))+(IF(AND(ArtifactsInput!$M$35,Inputs!$B$4&lt;&gt;"Chapter Hunt"),CHOOSE(ArtifactsInput!$N$35+1,15,18,21,24,27,30)*(1-EXP(-(0.2*B2040)*5)),0)+IF(AND(ArtifactsInput!$M$22,Inputs!$B$4&lt;&gt;"Chapter Hunt"),CHOOSE(ArtifactsInput!$N$22+1,10,12,14,16,18,20)*((0*(((0.15*B2040*5))^0/1)+1*(((0.15*B2040*5))^1/1)+2*(((0.15*B2040*5))^2/2)+3*(((0.15*B2040*5))^3/6)+4*(((0.15*B2040*5))^4/24)+5*(((0.15*B2040*5))^5/120))/((((0.15*B2040*5))^0/1)+(((0.15*B2040*5))^1/1)+(((0.15*B2040*5))^2/2)+(((0.15*B2040*5))^3/6)+(((0.15*B2040*5))^4/24)+(((0.15*B2040*5))^5/120)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012">
      <c r="A2012">
        <f>Skills!A6</f>
        <v/>
      </c>
      <c r="B2012">
        <f>Skills!B6</f>
        <v/>
      </c>
      <c r="C2012">
        <f>Inputs!$B$3&gt;=63</f>
        <v/>
      </c>
      <c r="D2012">
        <f>IF(Skills!C6=1,60+Inputs!$B$25+Inputs!$B$29,IF(Skills!C6=2,90+Inputs!$B$26+Inputs!$B$29,IF(Skills!C6=3,120+Inputs!$B$27+Inputs!$B$29,MAX(0,(Inputs!$B$3-100)*3)+Inputs!$B$28+Inputs!$B$29)))</f>
        <v/>
      </c>
      <c r="E2012">
        <f>INDEX(FactorTable!$B$2:$Y$301, MATCH(ROUND(MIN(300,MAX(1,D2012)),0), FactorTable!$A$2:$A$301,0), Skills!M6+1)</f>
        <v/>
      </c>
      <c r="F2012">
        <f>IF(Skills!N6=TRUE,(Skills!L6/10)*(E2012/1000),Skills!L6/10)+Skills!O6</f>
        <v/>
      </c>
      <c r="G2012">
        <f>Skills!G6*IF(Skills!H6&gt;0,Skills!I6/Skills!H6,1)</f>
        <v/>
      </c>
      <c r="H2012">
        <f>1-(1-Skills!J6/100)^Skills!K6</f>
        <v/>
      </c>
      <c r="I2012" t="inlineStr">
        <is>
          <t>1</t>
        </is>
      </c>
      <c r="J2012">
        <f>((Inputs!$B$6*(1+Inputs!$B$7/100))+(((Inputs!$B$12*(1+Inputs!$B$13/100))-(Inputs!$B$12*(1+Inputs!$B$13/100)))+0.25*(Inputs!$B$14-Inputs!$B$14))*(1+Inputs!$B$7/100))*(F2012/100)</f>
        <v/>
      </c>
      <c r="K2012">
        <f>J2012*(1+((Inputs!$B$12*(1+Inputs!$B$13/100))*0.01+Inputs!$B$14*0.0025)/100)*(1+Inputs!$B$15/100)*(1+Inputs!$B$16/100)*(5000/(6000+Inputs!$B$42*(1-(100*(1-(1-(Inputs!$B$19+0)/100)*(1-CHOOSE(ArtifactsInput!$N$40+1,5,6,7,8,9,10)/100)^(ArtifactsInput!$M$40-ArtifactsInput!$M$40)))/100)))*(1+(Inputs!$B$24+((C2030=TRUE)*(F2030-Calc!F24))+((C2031=TRUE)*(F2031-Calc!F25))+B2044)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2014=TRUE,F2014,0)/100)*(1+(IF(Skills!A6="EMPOWERED_PIERCING_ARROW",Inputs!$B$17+((C2028=TRUE)*(F2028-Calc!F22))+(((IF(AND(ArtifactsInput!$M$42,((Inputs!$B$9+((C2025=TRUE)*(F2025-Calc!F19))+B2038+(IF(ArtifactsInput!$M$24,FALSE,TRUE)-ArtifactsInput!$M$24)*CHOOSE(ArtifactsInput!$N$24+1,10,12,14,16,18,20)+IF(ArtifactsInput!$M$10,CHOOSE(ArtifactsInput!$N$10+1,15,18,21,24,27,30)*(IF(Inputs!$B$38="pvp",MIN(15,15)/15,IF(AND(Inputs!$B$38&lt;&gt;"pvp",Inputs!$B$43&gt;0),MIN(15,Inputs!$B$43)/(Inputs!$B$43),0))),0)))&gt;=100),MIN(100,((Inputs!$B$9+((C2025=TRUE)*(F2025-Calc!F19))+B2038+(IF(ArtifactsInput!$M$24,FALSE,TRUE)-ArtifactsInput!$M$24)*CHOOSE(ArtifactsInput!$N$24+1,10,12,14,16,18,20)+IF(ArtifactsInput!$M$10,CHOOSE(ArtifactsInput!$N$10+1,15,18,21,24,27,30)*(IF(Inputs!$B$38="pvp",MIN(15,15)/15,IF(AND(Inputs!$B$38&lt;&gt;"pvp",Inputs!$B$43&gt;0),MIN(15,Inputs!$B$43)/(Inputs!$B$43),0))),0)))-100),0))*CHOOSE(ArtifactsInput!$N$42+1,0.6,0.72,0.84,0.96,1.08,1.2))),Inputs!$B$18+((C2033=TRUE)*(F2033-Calc!F27))+(IF(AND(ArtifactsInput!$M$42,((Inputs!$B$9+((C2025=TRUE)*(F2025-Calc!F19))+B2038+(IF(ArtifactsInput!$M$24,FALSE,TRUE)-ArtifactsInput!$M$24)*CHOOSE(ArtifactsInput!$N$24+1,10,12,14,16,18,20)+IF(ArtifactsInput!$M$10,CHOOSE(ArtifactsInput!$N$10+1,15,18,21,24,27,30)*(IF(Inputs!$B$38="pvp",MIN(15,15)/15,IF(AND(Inputs!$B$38&lt;&gt;"pvp",Inputs!$B$43&gt;0),MIN(15,Inputs!$B$43)/(Inputs!$B$43),0))),0)))&gt;=100),CHOOSE(ArtifactsInput!$N$42+1,40,48,56,64,72,80),0))))/100)*((1+(((C2019=TRUE)*F2019)+((C2020=TRUE)*IF(Inputs!$B$38="pvp",F2020,(1-Summary!$B$11)*(F2020)+Summary!$B$11*(0)))+((C2021=TRUE)*F2021*IF(AND(Inputs!$B$38&lt;&gt;"pvp",Inputs!$B$43&gt;0),(((R2021-1)*(Skills!T15*(1+Inputs!$B$34/100))+MIN((Skills!T15*(1+Inputs!$B$34/100)),MAX(0,Inputs!$B$43-((R2021-1)*Skills!D15))))/Inputs!$B$43),IF(Inputs!$B$38="pvp",MIN((Skills!T15*(1+Inputs!$B$34/100)),15)/15,(Skills!T15*(1+Inputs!$B$34/100))/Skills!D15)))+((C2018=TRUE)*F2018)+((C2035=TRUE)*(F2035-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2012)</f>
        <v/>
      </c>
      <c r="L2012">
        <f>K2012*(MIN(Inputs!$B$22+((C2029=TRUE)*(F2029-Calc!F23)),(Inputs!$B$23+((C2034=TRUE)*(F2034-Calc!F28))+(IF(ArtifactsInput!$M$15,CHOOSE(ArtifactsInput!$N$15+1,25,30,35,40,45,50)/100*(Inputs!$B$11-Inputs!$B$11),0))))/100+(Inputs!$B$23+((C2034=TRUE)*(F2034-Calc!F28))+(IF(ArtifactsInput!$M$15,CHOOSE(ArtifactsInput!$N$15+1,25,30,35,40,45,50)/100*(Inputs!$B$11-Inputs!$B$11),0)))/100)/2</f>
        <v/>
      </c>
      <c r="M2012">
        <f>L2012*(1+(Inputs!$B$10+0+B2043+((IF(IF(ArtifactsInput!$M$24,FALSE,TRUE),1,-1)*CHOOSE(ArtifactsInput!$N$24+1,30,36,42,48,54,60)/100*IF(IF(ArtifactsInput!$M$24,FALSE,TRUE),(Inputs!$B$9+((C2025=TRUE)*(F2025-Calc!F19))+B2038+(IF(ArtifactsInput!$M$24,FALSE,TRUE)-ArtifactsInput!$M$24)*CHOOSE(ArtifactsInput!$N$24+1,10,12,14,16,18,20)+IF(AND(ArtifactsInput!$M$42,((Inputs!$B$9+((C2025=TRUE)*(F2025-Calc!F19))+B2038+(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nputs!$B$9+Summary!$B$14+Artifacts!$B$5+Artifacts!$B$29)))+IF(ArtifactsInput!$M$10,CHOOSE(ArtifactsInput!$N$10+1,20,24,28,32,36,40)*(IF(Inputs!$B$38="pvp",MIN(15,15)/15,IF(AND(Inputs!$B$38&lt;&gt;"pvp",Inputs!$B$43&gt;0),MIN(15,Inputs!$B$43)/(Inputs!$B$43),0))),0)+IF(ArtifactsInput!$M$31,1.5*CHOOSE(ArtifactsInput!$N$31+1,20,24,28,32,36,40),0)))/100)</f>
        <v/>
      </c>
      <c r="N2012">
        <f>L2012*(1-MIN((Inputs!$B$9+((C2025=TRUE)*(F2025-Calc!F19))+B2038+(IF(ArtifactsInput!$M$24,FALSE,TRUE)-ArtifactsInput!$M$24)*CHOOSE(ArtifactsInput!$N$24+1,10,12,14,16,18,20)+(IF(AND(ArtifactsInput!$M$42,((Inputs!$B$9+((C2025=TRUE)*(F2025-Calc!F19))+B2038+(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2012*(MIN((Inputs!$B$9+((C2025=TRUE)*(F2025-Calc!F19))+B2038+(IF(ArtifactsInput!$M$24,FALSE,TRUE)-ArtifactsInput!$M$24)*CHOOSE(ArtifactsInput!$N$24+1,10,12,14,16,18,20)+(IF(AND(ArtifactsInput!$M$42,((Inputs!$B$9+((C2025=TRUE)*(F2025-Calc!F19))+B2038+(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012">
        <f>(1-Summary!$B$11)*T2012+Summary!$B$11*V2012</f>
        <v/>
      </c>
      <c r="P2012">
        <f>IF(B2048=0,0,O2012/B2048)</f>
        <v/>
      </c>
      <c r="Q2012">
        <f>IFERROR(1/IF(Inputs!$B$38="pvp",15,MAX(0.1,Skills!D6-IF(Skills!E6=TRUE,Inputs!$B$32,0))),0)</f>
        <v/>
      </c>
      <c r="R2012">
        <f>IF(AND(Inputs!$B$38&lt;&gt;"pvp",Inputs!$B$43&gt;0),IF(MAX(0,Inputs!$B$43-B2045)&lt;=0,0,(INT(MAX(0,Inputs!$B$43-B2045)/IF(Inputs!$B$38="pvp",15,MAX(0.1,Skills!D6-IF(Skills!E6=TRUE,Inputs!$B$32,0))))+1)),0)</f>
        <v/>
      </c>
      <c r="S2012">
        <f>IFERROR((H2012*N2012*IF(AND(Inputs!$B$38&lt;&gt;"pvp",Inputs!$B$43&gt;0),((Skills!G6*((R2012-1)*IF(Skills!H6&gt;0,Skills!I6/Skills!H6,1)+IF(Skills!H6&gt;0,MIN(Skills!I6,MAX(0,MAX(0,Inputs!$B$43-B2045)-((R2012-1)*IF(Inputs!$B$38="pvp",15,MAX(0.1,Skills!D6-IF(Skills!E6=TRUE,Inputs!$B$32,0))))))/Skills!H6,1)))/Inputs!$B$43),G2012*Q2012))/N2012*IF(Inputs!$B$38="pvp",1,(1-Summary!$B$11)*1+Summary!$B$11*(MIN(Skills!R6,Inputs!$B$37))),0)</f>
        <v/>
      </c>
      <c r="T2012">
        <f>IF(C2012,(H2012*N2012*IF(AND(Inputs!$B$38&lt;&gt;"pvp",Inputs!$B$43&gt;0),((Skills!G6*((R2012-1)*IF(Skills!H6&gt;0,Skills!I6/Skills!H6,1)+IF(Skills!H6&gt;0,MIN(Skills!I6,MAX(0,MAX(0,Inputs!$B$43-B2045)-((R2012-1)*IF(Inputs!$B$38="pvp",15,MAX(0.1,Skills!D6-IF(Skills!E6=TRUE,Inputs!$B$32,0))))))/Skills!H6,1)))/Inputs!$B$43),G2012*Q2012))*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Hunt"),CHOOSE(ArtifactsInput!$N$35+1,15,18,21,24,27,30)*(1-EXP(-(0.2*B2040)*5)),0)+IF(AND(ArtifactsInput!$M$22,Inputs!$B$4&lt;&gt;"Chapter Hunt"),CHOOSE(ArtifactsInput!$N$22+1,10,12,14,16,18,20)*((0*(((0.15*B2040*5))^0/1)+1*(((0.15*B2040*5))^1/1)+2*(((0.15*B2040*5))^2/2)+3*(((0.15*B2040*5))^3/6)+4*(((0.15*B2040*5))^4/24)+5*(((0.15*B2040*5))^5/120))/((((0.15*B2040*5))^0/1)+(((0.15*B2040*5))^1/1)+(((0.15*B2040*5))^2/2)+(((0.15*B2040*5))^3/6)+(((0.15*B2040*5))^4/24)+(((0.15*B2040*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2012*(1-MIN(100,(Inputs!$B$9+((C2025=TRUE)*(F2025-Calc!F19))+B2038+(IF(ArtifactsInput!$M$24,FALSE,TRUE)-ArtifactsInput!$M$24)*CHOOSE(ArtifactsInput!$N$24+1,10,12,14,16,18,20)+(IF(AND(ArtifactsInput!$M$42,((Inputs!$B$9+((C2025=TRUE)*(F2025-Calc!F19))+B2038+(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2012*(MIN(100,(Inputs!$B$9+((C2025=TRUE)*(F2025-Calc!F19))+B2038+(IF(ArtifactsInput!$M$24,FALSE,TRUE)-ArtifactsInput!$M$24)*CHOOSE(ArtifactsInput!$N$24+1,10,12,14,16,18,20)+(IF(AND(ArtifactsInput!$M$42,((Inputs!$B$9+((C2025=TRUE)*(F2025-Calc!F19))+B2038+(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2012*(1-MIN(100,(Inputs!$B$9+((C2025=TRUE)*(F2025-Calc!F19))+B2038+(IF(ArtifactsInput!$M$24,FALSE,TRUE)-ArtifactsInput!$M$24)*CHOOSE(ArtifactsInput!$N$24+1,10,12,14,16,18,20)+(IF(AND(ArtifactsInput!$M$42,((Inputs!$B$9+((C2025=TRUE)*(F2025-Calc!F19))+B2038+(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2012*(MIN(100,(Inputs!$B$9+((C2025=TRUE)*(F2025-Calc!F19))+B2038+(IF(ArtifactsInput!$M$24,FALSE,TRUE)-ArtifactsInput!$M$24)*CHOOSE(ArtifactsInput!$N$24+1,10,12,14,16,18,20)+(IF(AND(ArtifactsInput!$M$42,((Inputs!$B$9+((C2025=TRUE)*(F2025-Calc!F19))+B2038+(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012">
        <f>IF(C2012,(H2012*N2012*IF(AND(Inputs!$B$38&lt;&gt;"pvp",Inputs!$B$43&gt;0),((Skills!G6*((R2012-1)*IF(Skills!H6&gt;0,Skills!I6/Skills!H6,1)+IF(Skills!H6&gt;0,MIN(Skills!I6,MAX(0,MAX(0,Inputs!$B$43-B2045)-((R2012-1)*IF(Inputs!$B$38="pvp",15,MAX(0.1,Skills!D6-IF(Skills!E6=TRUE,Inputs!$B$32,0))))))/Skills!H6,1)))/Inputs!$B$43),G2012*Q2012))*IF(Inputs!$B$38="pvp",1,(1+(Inputs!$B$21+Skills!Q6+(IF(ArtifactsInput!$M$33,CHOOSE(ArtifactsInput!$N$33+1,30,36,42,48,54,60),0))+(IF(AND(ArtifactsInput!$M$35,Inputs!$B$4&lt;&gt;"Chapter Hunt"),CHOOSE(ArtifactsInput!$N$35+1,15,18,21,24,27,30)*(1-EXP(-(0.2*B2040)*5)),0)+IF(AND(ArtifactsInput!$M$22,Inputs!$B$4&lt;&gt;"Chapter Hunt"),CHOOSE(ArtifactsInput!$N$22+1,10,12,14,16,18,20)*((0*(((0.15*B2040*5))^0/1)+1*(((0.15*B2040*5))^1/1)+2*(((0.15*B2040*5))^2/2)+3*(((0.15*B2040*5))^3/6)+4*(((0.15*B2040*5))^4/24)+5*(((0.15*B2040*5))^5/120))/((((0.15*B2040*5))^0/1)+(((0.15*B2040*5))^1/1)+(((0.15*B2040*5))^2/2)+(((0.15*B2040*5))^3/6)+(((0.15*B2040*5))^4/24)+(((0.15*B2040*5))^5/120))),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013">
      <c r="A2013">
        <f>Skills!A7</f>
        <v/>
      </c>
      <c r="B2013">
        <f>Skills!B7</f>
        <v/>
      </c>
      <c r="C2013">
        <f>Inputs!$B$3&gt;=69</f>
        <v/>
      </c>
      <c r="D2013">
        <f>IF(Skills!C7=1,60+Inputs!$B$25+Inputs!$B$29,IF(Skills!C7=2,90+Inputs!$B$26+Inputs!$B$29,IF(Skills!C7=3,120+Inputs!$B$27+Inputs!$B$29,MAX(0,(Inputs!$B$3-100)*3)+Inputs!$B$28+Inputs!$B$29)))</f>
        <v/>
      </c>
      <c r="E2013">
        <f>INDEX(FactorTable!$B$2:$Y$301, MATCH(ROUND(MIN(300,MAX(1,D2013)),0), FactorTable!$A$2:$A$301,0), Skills!M7+1)</f>
        <v/>
      </c>
      <c r="F2013">
        <f>IF(Skills!N7=TRUE,(Skills!L7/10)*(E2013/1000),Skills!L7/10)+Skills!O7</f>
        <v/>
      </c>
      <c r="G2013">
        <f>Skills!G7*IF(Skills!H7&gt;0,Skills!I7/Skills!H7,1)</f>
        <v/>
      </c>
      <c r="H2013">
        <f>1-(1-Skills!J7/100)^Skills!K7</f>
        <v/>
      </c>
      <c r="I2013" t="inlineStr">
        <is>
          <t>1</t>
        </is>
      </c>
      <c r="J2013">
        <f>((Inputs!$B$6*(1+Inputs!$B$7/100))+(((Inputs!$B$12*(1+Inputs!$B$13/100))-(Inputs!$B$12*(1+Inputs!$B$13/100)))+0.25*(Inputs!$B$14-Inputs!$B$14))*(1+Inputs!$B$7/100))*(F2013/100)</f>
        <v/>
      </c>
      <c r="K2013">
        <f>J2013*(1+((Inputs!$B$12*(1+Inputs!$B$13/100))*0.01+Inputs!$B$14*0.0025)/100)*(1+Inputs!$B$15/100)*(1+Inputs!$B$16/100)*(5000/(6000+Inputs!$B$42*(1-(100*(1-(1-(Inputs!$B$19+0)/100)*(1-CHOOSE(ArtifactsInput!$N$40+1,5,6,7,8,9,10)/100)^(ArtifactsInput!$M$40-ArtifactsInput!$M$40)))/100)))*(1+(Inputs!$B$24+((C2030=TRUE)*(F2030-Calc!F24))+((C2031=TRUE)*(F2031-Calc!F25))+B2044)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+1.2*IF(C2014=TRUE,F2014,0)/100)*(1+(IF(Skills!A7="EMPOWERED_PIERCING_ARROW",Inputs!$B$17+((C2028=TRUE)*(F2028-Calc!F22))+(((IF(AND(ArtifactsInput!$M$42,((Inputs!$B$9+((C2025=TRUE)*(F2025-Calc!F19))+B2038+(IF(ArtifactsInput!$M$24,FALSE,TRUE)-ArtifactsInput!$M$24)*CHOOSE(ArtifactsInput!$N$24+1,10,12,14,16,18,20)+IF(ArtifactsInput!$M$10,CHOOSE(ArtifactsInput!$N$10+1,15,18,21,24,27,30)*(IF(Inputs!$B$38="pvp",MIN(15,15)/15,IF(AND(Inputs!$B$38&lt;&gt;"pvp",Inputs!$B$43&gt;0),MIN(15,Inputs!$B$43)/(Inputs!$B$43),0))),0)))&gt;=100),MIN(100,((Inputs!$B$9+((C2025=TRUE)*(F2025-Calc!F19))+B2038+(IF(ArtifactsInput!$M$24,FALSE,TRUE)-ArtifactsInput!$M$24)*CHOOSE(ArtifactsInput!$N$24+1,10,12,14,16,18,20)+IF(ArtifactsInput!$M$10,CHOOSE(ArtifactsInput!$N$10+1,15,18,21,24,27,30)*(IF(Inputs!$B$38="pvp",MIN(15,15)/15,IF(AND(Inputs!$B$38&lt;&gt;"pvp",Inputs!$B$43&gt;0),MIN(15,Inputs!$B$43)/(Inputs!$B$43),0))),0)))-100),0))*CHOOSE(ArtifactsInput!$N$42+1,0.6,0.72,0.84,0.96,1.08,1.2))),Inputs!$B$18+((C2033=TRUE)*(F2033-Calc!F27))+(IF(AND(ArtifactsInput!$M$42,((Inputs!$B$9+((C2025=TRUE)*(F2025-Calc!F19))+B2038+(IF(ArtifactsInput!$M$24,FALSE,TRUE)-ArtifactsInput!$M$24)*CHOOSE(ArtifactsInput!$N$24+1,10,12,14,16,18,20)+IF(ArtifactsInput!$M$10,CHOOSE(ArtifactsInput!$N$10+1,15,18,21,24,27,30)*(IF(Inputs!$B$38="pvp",MIN(15,15)/15,IF(AND(Inputs!$B$38&lt;&gt;"pvp",Inputs!$B$43&gt;0),MIN(15,Inputs!$B$43)/(Inputs!$B$43),0))),0)))&gt;=100),CHOOSE(ArtifactsInput!$N$42+1,40,48,56,64,72,80),0))))/100)*((1+(((C2019=TRUE)*F2019)+((C2020=TRUE)*IF(Inputs!$B$38="pvp",F2020,(1-Summary!$B$11)*(F2020)+Summary!$B$11*(0)))+((C2021=TRUE)*F2021*IF(AND(Inputs!$B$38&lt;&gt;"pvp",Inputs!$B$43&gt;0),(((R2021-1)*(Skills!T15*(1+Inputs!$B$34/100))+MIN((Skills!T15*(1+Inputs!$B$34/100)),MAX(0,Inputs!$B$43-((R2021-1)*Skills!D15))))/Inputs!$B$43),IF(Inputs!$B$38="pvp",MIN((Skills!T15*(1+Inputs!$B$34/100)),15)/15,(Skills!T15*(1+Inputs!$B$34/100))/Skills!D15)))+((C2018=TRUE)*F2018)+((C2035=TRUE)*(F2035-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2013)</f>
        <v/>
      </c>
      <c r="L2013">
        <f>K2013*(MIN(Inputs!$B$22+((C2029=TRUE)*(F2029-Calc!F23)),(Inputs!$B$23+((C2034=TRUE)*(F2034-Calc!F28))+(IF(ArtifactsInput!$M$15,CHOOSE(ArtifactsInput!$N$15+1,25,30,35,40,45,50)/100*(Inputs!$B$11-Inputs!$B$11),0))))/100+(Inputs!$B$23+((C2034=TRUE)*(F2034-Calc!F28))+(IF(ArtifactsInput!$M$15,CHOOSE(ArtifactsInput!$N$15+1,25,30,35,40,45,50)/100*(Inputs!$B$11-Inputs!$B$11),0)))/100)/2</f>
        <v/>
      </c>
      <c r="M2013">
        <f>L2013*(1+(Inputs!$B$10+0+B2043+((IF(IF(ArtifactsInput!$M$24,FALSE,TRUE),1,-1)*CHOOSE(ArtifactsInput!$N$24+1,30,36,42,48,54,60)/100*IF(IF(ArtifactsInput!$M$24,FALSE,TRUE),(Inputs!$B$9+((C2025=TRUE)*(F2025-Calc!F19))+B2038+(IF(ArtifactsInput!$M$24,FALSE,TRUE)-ArtifactsInput!$M$24)*CHOOSE(ArtifactsInput!$N$24+1,10,12,14,16,18,20)+IF(AND(ArtifactsInput!$M$42,((Inputs!$B$9+((C2025=TRUE)*(F2025-Calc!F19))+B2038+(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nputs!$B$9+Summary!$B$14+Artifacts!$B$5+Artifacts!$B$29)))+IF(ArtifactsInput!$M$10,CHOOSE(ArtifactsInput!$N$10+1,20,24,28,32,36,40)*(IF(Inputs!$B$38="pvp",MIN(15,15)/15,IF(AND(Inputs!$B$38&lt;&gt;"pvp",Inputs!$B$43&gt;0),MIN(15,Inputs!$B$43)/(Inputs!$B$43),0))),0)+IF(ArtifactsInput!$M$31,1.5*CHOOSE(ArtifactsInput!$N$31+1,20,24,28,32,36,40),0)))/100)</f>
        <v/>
      </c>
      <c r="N2013">
        <f>L2013*(1-MIN((Inputs!$B$9+((C2025=TRUE)*(F2025-Calc!F19))+B2038+(IF(ArtifactsInput!$M$24,FALSE,TRUE)-ArtifactsInput!$M$24)*CHOOSE(ArtifactsInput!$N$24+1,10,12,14,16,18,20)+(IF(AND(ArtifactsInput!$M$42,((Inputs!$B$9+((C2025=TRUE)*(F2025-Calc!F19))+B2038+(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2013*(MIN((Inputs!$B$9+((C2025=TRUE)*(F2025-Calc!F19))+B2038+(IF(ArtifactsInput!$M$24,FALSE,TRUE)-ArtifactsInput!$M$24)*CHOOSE(ArtifactsInput!$N$24+1,10,12,14,16,18,20)+(IF(AND(ArtifactsInput!$M$42,((Inputs!$B$9+((C2025=TRUE)*(F2025-Calc!F19))+B2038+(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013">
        <f>(1-Summary!$B$11)*T2013+Summary!$B$11*V2013</f>
        <v/>
      </c>
      <c r="P2013">
        <f>IF(B2048=0,0,O2013/B2048)</f>
        <v/>
      </c>
      <c r="Q2013">
        <f>IFERROR(1/IF(Inputs!$B$38="pvp",15,MAX(0.1,Skills!D7-IF(Skills!E7=TRUE,Inputs!$B$32,0))),0)</f>
        <v/>
      </c>
      <c r="R2013">
        <f>IF(AND(Inputs!$B$38&lt;&gt;"pvp",Inputs!$B$43&gt;0),IF(MAX(0,Inputs!$B$43-B2045)&lt;=0,0,(INT(MAX(0,Inputs!$B$43-B2045)/IF(Inputs!$B$38="pvp",15,MAX(0.1,Skills!D7-IF(Skills!E7=TRUE,Inputs!$B$32,0))))+1)),0)</f>
        <v/>
      </c>
      <c r="S2013">
        <f>IFERROR((H2013*N2013*IF(AND(Inputs!$B$38&lt;&gt;"pvp",Inputs!$B$43&gt;0),((Skills!G7*((R2013-1)*IF(Skills!H7&gt;0,Skills!I7/Skills!H7,1)+IF(Skills!H7&gt;0,MIN(Skills!I7,MAX(0,MAX(0,Inputs!$B$43-B2045)-((R2013-1)*IF(Inputs!$B$38="pvp",15,MAX(0.1,Skills!D7-IF(Skills!E7=TRUE,Inputs!$B$32,0))))))/Skills!H7,1)))/Inputs!$B$43),G2013*Q2013))/N2013*IF(Inputs!$B$38="pvp",1,(1-Summary!$B$11)*1+Summary!$B$11*(MIN(Skills!R7,Inputs!$B$37))),0)</f>
        <v/>
      </c>
      <c r="T2013">
        <f>IF(C2013,(H2013*N2013*IF(AND(Inputs!$B$38&lt;&gt;"pvp",Inputs!$B$43&gt;0),((Skills!G7*((R2013-1)*IF(Skills!H7&gt;0,Skills!I7/Skills!H7,1)+IF(Skills!H7&gt;0,MIN(Skills!I7,MAX(0,MAX(0,Inputs!$B$43-B2045)-((R2013-1)*IF(Inputs!$B$38="pvp",15,MAX(0.1,Skills!D7-IF(Skills!E7=TRUE,Inputs!$B$32,0))))))/Skills!H7,1)))/Inputs!$B$43),G2013*Q2013))*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Hunt"),CHOOSE(ArtifactsInput!$N$35+1,15,18,21,24,27,30)*(1-EXP(-(0.2*B2040)*5)),0)+IF(AND(ArtifactsInput!$M$22,Inputs!$B$4&lt;&gt;"Chapter Hunt"),CHOOSE(ArtifactsInput!$N$22+1,10,12,14,16,18,20)*((0*(((0.15*B2040*5))^0/1)+1*(((0.15*B2040*5))^1/1)+2*(((0.15*B2040*5))^2/2)+3*(((0.15*B2040*5))^3/6)+4*(((0.15*B2040*5))^4/24)+5*(((0.15*B2040*5))^5/120))/((((0.15*B2040*5))^0/1)+(((0.15*B2040*5))^1/1)+(((0.15*B2040*5))^2/2)+(((0.15*B2040*5))^3/6)+(((0.15*B2040*5))^4/24)+(((0.15*B2040*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2013*(1-MIN(100,(Inputs!$B$9+((C2025=TRUE)*(F2025-Calc!F19))+B2038+(IF(ArtifactsInput!$M$24,FALSE,TRUE)-ArtifactsInput!$M$24)*CHOOSE(ArtifactsInput!$N$24+1,10,12,14,16,18,20)+(IF(AND(ArtifactsInput!$M$42,((Inputs!$B$9+((C2025=TRUE)*(F2025-Calc!F19))+B2038+(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2013*(MIN(100,(Inputs!$B$9+((C2025=TRUE)*(F2025-Calc!F19))+B2038+(IF(ArtifactsInput!$M$24,FALSE,TRUE)-ArtifactsInput!$M$24)*CHOOSE(ArtifactsInput!$N$24+1,10,12,14,16,18,20)+(IF(AND(ArtifactsInput!$M$42,((Inputs!$B$9+((C2025=TRUE)*(F2025-Calc!F19))+B2038+(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2013*(1-MIN(100,(Inputs!$B$9+((C2025=TRUE)*(F2025-Calc!F19))+B2038+(IF(ArtifactsInput!$M$24,FALSE,TRUE)-ArtifactsInput!$M$24)*CHOOSE(ArtifactsInput!$N$24+1,10,12,14,16,18,20)+(IF(AND(ArtifactsInput!$M$42,((Inputs!$B$9+((C2025=TRUE)*(F2025-Calc!F19))+B2038+(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2013*(MIN(100,(Inputs!$B$9+((C2025=TRUE)*(F2025-Calc!F19))+B2038+(IF(ArtifactsInput!$M$24,FALSE,TRUE)-ArtifactsInput!$M$24)*CHOOSE(ArtifactsInput!$N$24+1,10,12,14,16,18,20)+(IF(AND(ArtifactsInput!$M$42,((Inputs!$B$9+((C2025=TRUE)*(F2025-Calc!F19))+B2038+(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013">
        <f>IF(C2013,(H2013*N2013*IF(AND(Inputs!$B$38&lt;&gt;"pvp",Inputs!$B$43&gt;0),((Skills!G7*((R2013-1)*IF(Skills!H7&gt;0,Skills!I7/Skills!H7,1)+IF(Skills!H7&gt;0,MIN(Skills!I7,MAX(0,MAX(0,Inputs!$B$43-B2045)-((R2013-1)*IF(Inputs!$B$38="pvp",15,MAX(0.1,Skills!D7-IF(Skills!E7=TRUE,Inputs!$B$32,0))))))/Skills!H7,1)))/Inputs!$B$43),G2013*Q2013))*IF(Inputs!$B$38="pvp",1,(1+(Inputs!$B$21+Skills!Q7+(IF(ArtifactsInput!$M$33,CHOOSE(ArtifactsInput!$N$33+1,30,36,42,48,54,60),0))+(IF(AND(ArtifactsInput!$M$35,Inputs!$B$4&lt;&gt;"Chapter Hunt"),CHOOSE(ArtifactsInput!$N$35+1,15,18,21,24,27,30)*(1-EXP(-(0.2*B2040)*5)),0)+IF(AND(ArtifactsInput!$M$22,Inputs!$B$4&lt;&gt;"Chapter Hunt"),CHOOSE(ArtifactsInput!$N$22+1,10,12,14,16,18,20)*((0*(((0.15*B2040*5))^0/1)+1*(((0.15*B2040*5))^1/1)+2*(((0.15*B2040*5))^2/2)+3*(((0.15*B2040*5))^3/6)+4*(((0.15*B2040*5))^4/24)+5*(((0.15*B2040*5))^5/120))/((((0.15*B2040*5))^0/1)+(((0.15*B2040*5))^1/1)+(((0.15*B2040*5))^2/2)+(((0.15*B2040*5))^3/6)+(((0.15*B2040*5))^4/24)+(((0.15*B2040*5))^5/120))),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014">
      <c r="A2014">
        <f>Skills!A8</f>
        <v/>
      </c>
      <c r="B2014">
        <f>Skills!B8</f>
        <v/>
      </c>
      <c r="C2014">
        <f>Inputs!$B$3&gt;=100</f>
        <v/>
      </c>
      <c r="D2014">
        <f>IF(Skills!C8=1,60+Inputs!$B$25+Inputs!$B$29,IF(Skills!C8=2,90+Inputs!$B$26+Inputs!$B$29,IF(Skills!C8=3,120+Inputs!$B$27+Inputs!$B$29,MAX(0,(Inputs!$B$3-100)*3)+Inputs!$B$28+Inputs!$B$29)))</f>
        <v/>
      </c>
      <c r="E2014">
        <f>INDEX(FactorTable!$B$2:$Y$301, MATCH(ROUND(MIN(300,MAX(1,D2014)),0), FactorTable!$A$2:$A$301,0), Skills!M8+1)</f>
        <v/>
      </c>
      <c r="F2014">
        <f>IF(Skills!N8=TRUE,(Skills!L8/10)*(E2014/1000),Skills!L8/10)+Skills!O8</f>
        <v/>
      </c>
      <c r="G2014" t="inlineStr"/>
      <c r="H2014" t="inlineStr"/>
      <c r="I2014" t="inlineStr">
        <is>
          <t>1</t>
        </is>
      </c>
      <c r="J2014" t="inlineStr"/>
      <c r="K2014" t="inlineStr"/>
      <c r="L2014" t="inlineStr"/>
      <c r="M2014" t="inlineStr"/>
      <c r="N2014" t="inlineStr"/>
      <c r="O2014" t="inlineStr"/>
      <c r="P2014" t="inlineStr"/>
      <c r="Q2014" t="inlineStr"/>
      <c r="R2014" t="inlineStr"/>
      <c r="S2014" t="inlineStr"/>
      <c r="T2014" t="inlineStr"/>
      <c r="V2014" t="inlineStr"/>
    </row>
    <row r="2015">
      <c r="A2015">
        <f>Skills!A9</f>
        <v/>
      </c>
      <c r="B2015">
        <f>Skills!B9</f>
        <v/>
      </c>
      <c r="C2015">
        <f>Inputs!$B$3&gt;=103</f>
        <v/>
      </c>
      <c r="D2015">
        <f>IF(Skills!C9=1,60+Inputs!$B$25+Inputs!$B$29,IF(Skills!C9=2,90+Inputs!$B$26+Inputs!$B$29,IF(Skills!C9=3,120+Inputs!$B$27+Inputs!$B$29,MAX(0,(Inputs!$B$3-100)*3)+Inputs!$B$28+Inputs!$B$29)))</f>
        <v/>
      </c>
      <c r="E2015">
        <f>INDEX(FactorTable!$B$2:$Y$301, MATCH(ROUND(MIN(300,MAX(1,D2015)),0), FactorTable!$A$2:$A$301,0), Skills!M9+1)</f>
        <v/>
      </c>
      <c r="F2015">
        <f>IF(Skills!N9=TRUE,(Skills!L9/10)*(E2015/1000),Skills!L9/10)+Skills!O9</f>
        <v/>
      </c>
      <c r="G2015">
        <f>Skills!G9*IF(Skills!H9&gt;0,Skills!I9/Skills!H9,1)</f>
        <v/>
      </c>
      <c r="H2015">
        <f>1-(1-Skills!J9/100)^Skills!K9</f>
        <v/>
      </c>
      <c r="I2015" t="inlineStr">
        <is>
          <t>1</t>
        </is>
      </c>
      <c r="J2015">
        <f>((Inputs!$B$6*(1+Inputs!$B$7/100))+(((Inputs!$B$12*(1+Inputs!$B$13/100))-(Inputs!$B$12*(1+Inputs!$B$13/100)))+0.25*(Inputs!$B$14-Inputs!$B$14))*(1+Inputs!$B$7/100))*(F2015/100)</f>
        <v/>
      </c>
      <c r="K2015">
        <f>J2015*(1+((Inputs!$B$12*(1+Inputs!$B$13/100))*0.01+Inputs!$B$14*0.0025)/100)*(1+Inputs!$B$15/100)*(1+Inputs!$B$16/100)*(5000/(6000+Inputs!$B$42*(1-(100*(1-(1-(Inputs!$B$19+0)/100)*(1-CHOOSE(ArtifactsInput!$N$40+1,5,6,7,8,9,10)/100)^(ArtifactsInput!$M$40-ArtifactsInput!$M$40)))/100)))*(1+(Inputs!$B$24+((C2030=TRUE)*(F2030-Calc!F24))+((C2031=TRUE)*(F2031-Calc!F25))+B2044)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EMPOWERED_PIERCING_ARROW",Inputs!$B$17+((C2028=TRUE)*(F2028-Calc!F22))+(((IF(AND(ArtifactsInput!$M$42,((Inputs!$B$9+((C2025=TRUE)*(F2025-Calc!F19))+B2038+(IF(ArtifactsInput!$M$24,FALSE,TRUE)-ArtifactsInput!$M$24)*CHOOSE(ArtifactsInput!$N$24+1,10,12,14,16,18,20)+IF(ArtifactsInput!$M$10,CHOOSE(ArtifactsInput!$N$10+1,15,18,21,24,27,30)*(IF(Inputs!$B$38="pvp",MIN(15,15)/15,IF(AND(Inputs!$B$38&lt;&gt;"pvp",Inputs!$B$43&gt;0),MIN(15,Inputs!$B$43)/(Inputs!$B$43),0))),0)))&gt;=100),MIN(100,((Inputs!$B$9+((C2025=TRUE)*(F2025-Calc!F19))+B2038+(IF(ArtifactsInput!$M$24,FALSE,TRUE)-ArtifactsInput!$M$24)*CHOOSE(ArtifactsInput!$N$24+1,10,12,14,16,18,20)+IF(ArtifactsInput!$M$10,CHOOSE(ArtifactsInput!$N$10+1,15,18,21,24,27,30)*(IF(Inputs!$B$38="pvp",MIN(15,15)/15,IF(AND(Inputs!$B$38&lt;&gt;"pvp",Inputs!$B$43&gt;0),MIN(15,Inputs!$B$43)/(Inputs!$B$43),0))),0)))-100),0))*CHOOSE(ArtifactsInput!$N$42+1,0.6,0.72,0.84,0.96,1.08,1.2))),Inputs!$B$18+((C2033=TRUE)*(F2033-Calc!F27))+(IF(AND(ArtifactsInput!$M$42,((Inputs!$B$9+((C2025=TRUE)*(F2025-Calc!F19))+B2038+(IF(ArtifactsInput!$M$24,FALSE,TRUE)-ArtifactsInput!$M$24)*CHOOSE(ArtifactsInput!$N$24+1,10,12,14,16,18,20)+IF(ArtifactsInput!$M$10,CHOOSE(ArtifactsInput!$N$10+1,15,18,21,24,27,30)*(IF(Inputs!$B$38="pvp",MIN(15,15)/15,IF(AND(Inputs!$B$38&lt;&gt;"pvp",Inputs!$B$43&gt;0),MIN(15,Inputs!$B$43)/(Inputs!$B$43),0))),0)))&gt;=100),CHOOSE(ArtifactsInput!$N$42+1,40,48,56,64,72,80),0))))/100)*((1+(((C2019=TRUE)*F2019)+((C2020=TRUE)*IF(Inputs!$B$38="pvp",F2020,(1-Summary!$B$11)*(F2020)+Summary!$B$11*(0)))+((C2021=TRUE)*F2021*IF(AND(Inputs!$B$38&lt;&gt;"pvp",Inputs!$B$43&gt;0),(((R2021-1)*(Skills!T15*(1+Inputs!$B$34/100))+MIN((Skills!T15*(1+Inputs!$B$34/100)),MAX(0,Inputs!$B$43-((R2021-1)*Skills!D15))))/Inputs!$B$43),IF(Inputs!$B$38="pvp",MIN((Skills!T15*(1+Inputs!$B$34/100)),15)/15,(Skills!T15*(1+Inputs!$B$34/100))/Skills!D15)))+((C2018=TRUE)*F2018)+((C2035=TRUE)*(F2035-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2015)</f>
        <v/>
      </c>
      <c r="L2015">
        <f>K2015*(MIN(Inputs!$B$22+((C2029=TRUE)*(F2029-Calc!F23)),(Inputs!$B$23+((C2034=TRUE)*(F2034-Calc!F28))+(IF(ArtifactsInput!$M$15,CHOOSE(ArtifactsInput!$N$15+1,25,30,35,40,45,50)/100*(Inputs!$B$11-Inputs!$B$11),0))))/100+(Inputs!$B$23+((C2034=TRUE)*(F2034-Calc!F28))+(IF(ArtifactsInput!$M$15,CHOOSE(ArtifactsInput!$N$15+1,25,30,35,40,45,50)/100*(Inputs!$B$11-Inputs!$B$11),0)))/100)/2</f>
        <v/>
      </c>
      <c r="M2015">
        <f>L2015*(1+(Inputs!$B$10+0+B2043+((IF(IF(ArtifactsInput!$M$24,FALSE,TRUE),1,-1)*CHOOSE(ArtifactsInput!$N$24+1,30,36,42,48,54,60)/100*IF(IF(ArtifactsInput!$M$24,FALSE,TRUE),(Inputs!$B$9+((C2025=TRUE)*(F2025-Calc!F19))+B2038+(IF(ArtifactsInput!$M$24,FALSE,TRUE)-ArtifactsInput!$M$24)*CHOOSE(ArtifactsInput!$N$24+1,10,12,14,16,18,20)+IF(AND(ArtifactsInput!$M$42,((Inputs!$B$9+((C2025=TRUE)*(F2025-Calc!F19))+B2038+(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nputs!$B$9+Summary!$B$14+Artifacts!$B$5+Artifacts!$B$29)))+IF(ArtifactsInput!$M$10,CHOOSE(ArtifactsInput!$N$10+1,20,24,28,32,36,40)*(IF(Inputs!$B$38="pvp",MIN(15,15)/15,IF(AND(Inputs!$B$38&lt;&gt;"pvp",Inputs!$B$43&gt;0),MIN(15,Inputs!$B$43)/(Inputs!$B$43),0))),0)+IF(ArtifactsInput!$M$31,1.5*CHOOSE(ArtifactsInput!$N$31+1,20,24,28,32,36,40),0)))/100)</f>
        <v/>
      </c>
      <c r="N2015">
        <f>L2015*(1-MIN((Inputs!$B$9+((C2025=TRUE)*(F2025-Calc!F19))+B2038+(IF(ArtifactsInput!$M$24,FALSE,TRUE)-ArtifactsInput!$M$24)*CHOOSE(ArtifactsInput!$N$24+1,10,12,14,16,18,20)+(IF(AND(ArtifactsInput!$M$42,((Inputs!$B$9+((C2025=TRUE)*(F2025-Calc!F19))+B2038+(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2015*(MIN((Inputs!$B$9+((C2025=TRUE)*(F2025-Calc!F19))+B2038+(IF(ArtifactsInput!$M$24,FALSE,TRUE)-ArtifactsInput!$M$24)*CHOOSE(ArtifactsInput!$N$24+1,10,12,14,16,18,20)+(IF(AND(ArtifactsInput!$M$42,((Inputs!$B$9+((C2025=TRUE)*(F2025-Calc!F19))+B2038+(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015">
        <f>(1-Summary!$B$11)*T2015+Summary!$B$11*V2015</f>
        <v/>
      </c>
      <c r="P2015">
        <f>IF(B2048=0,0,O2015/B2048)</f>
        <v/>
      </c>
      <c r="Q2015">
        <f>IFERROR(1/IF(Inputs!$B$38="pvp",15,MAX(0.1,Skills!D9-IF(Skills!E9=TRUE,Inputs!$B$32,0))),0)</f>
        <v/>
      </c>
      <c r="R2015">
        <f>IF(AND(Inputs!$B$38&lt;&gt;"pvp",Inputs!$B$43&gt;0),IF(MAX(0,Inputs!$B$43-B2045)&lt;=0,0,(INT(MAX(0,Inputs!$B$43-B2045)/IF(Inputs!$B$38="pvp",15,MAX(0.1,Skills!D9-IF(Skills!E9=TRUE,Inputs!$B$32,0))))+1)),0)</f>
        <v/>
      </c>
      <c r="S2015">
        <f>IFERROR((H2015*N2015*IF(AND(Inputs!$B$38&lt;&gt;"pvp",Inputs!$B$43&gt;0),((Skills!G9*((R2015-1)*IF(Skills!H9&gt;0,Skills!I9/Skills!H9,1)+IF(Skills!H9&gt;0,MIN(Skills!I9,MAX(0,MAX(0,Inputs!$B$43-B2045)-((R2015-1)*IF(Inputs!$B$38="pvp",15,MAX(0.1,Skills!D9-IF(Skills!E9=TRUE,Inputs!$B$32,0))))))/Skills!H9,1)))/Inputs!$B$43),G2015*Q2015))/N2015*IF(Inputs!$B$38="pvp",1,(1-Summary!$B$11)*1+Summary!$B$11*(MIN(Skills!R9,Inputs!$B$37))),0)</f>
        <v/>
      </c>
      <c r="T2015">
        <f>IF(C2015,(H2015*N2015*IF(AND(Inputs!$B$38&lt;&gt;"pvp",Inputs!$B$43&gt;0),((Skills!G9*((R2015-1)*IF(Skills!H9&gt;0,Skills!I9/Skills!H9,1)+IF(Skills!H9&gt;0,MIN(Skills!I9,MAX(0,MAX(0,Inputs!$B$43-B2045)-((R2015-1)*IF(Inputs!$B$38="pvp",15,MAX(0.1,Skills!D9-IF(Skills!E9=TRUE,Inputs!$B$32,0))))))/Skills!H9,1)))/Inputs!$B$43),G2015*Q2015))*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Hunt"),CHOOSE(ArtifactsInput!$N$35+1,15,18,21,24,27,30)*(1-EXP(-(0.2*B2040)*5)),0)+IF(AND(ArtifactsInput!$M$22,Inputs!$B$4&lt;&gt;"Chapter Hunt"),CHOOSE(ArtifactsInput!$N$22+1,10,12,14,16,18,20)*((0*(((0.15*B2040*5))^0/1)+1*(((0.15*B2040*5))^1/1)+2*(((0.15*B2040*5))^2/2)+3*(((0.15*B2040*5))^3/6)+4*(((0.15*B2040*5))^4/24)+5*(((0.15*B2040*5))^5/120))/((((0.15*B2040*5))^0/1)+(((0.15*B2040*5))^1/1)+(((0.15*B2040*5))^2/2)+(((0.15*B2040*5))^3/6)+(((0.15*B2040*5))^4/24)+(((0.15*B2040*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2015*(1-MIN(100,(Inputs!$B$9+((C2025=TRUE)*(F2025-Calc!F19))+B2038+(IF(ArtifactsInput!$M$24,FALSE,TRUE)-ArtifactsInput!$M$24)*CHOOSE(ArtifactsInput!$N$24+1,10,12,14,16,18,20)+(IF(AND(ArtifactsInput!$M$42,((Inputs!$B$9+((C2025=TRUE)*(F2025-Calc!F19))+B2038+(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2015*(MIN(100,(Inputs!$B$9+((C2025=TRUE)*(F2025-Calc!F19))+B2038+(IF(ArtifactsInput!$M$24,FALSE,TRUE)-ArtifactsInput!$M$24)*CHOOSE(ArtifactsInput!$N$24+1,10,12,14,16,18,20)+(IF(AND(ArtifactsInput!$M$42,((Inputs!$B$9+((C2025=TRUE)*(F2025-Calc!F19))+B2038+(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2015*(1-MIN(100,(Inputs!$B$9+((C2025=TRUE)*(F2025-Calc!F19))+B2038+(IF(ArtifactsInput!$M$24,FALSE,TRUE)-ArtifactsInput!$M$24)*CHOOSE(ArtifactsInput!$N$24+1,10,12,14,16,18,20)+(IF(AND(ArtifactsInput!$M$42,((Inputs!$B$9+((C2025=TRUE)*(F2025-Calc!F19))+B2038+(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2015*(MIN(100,(Inputs!$B$9+((C2025=TRUE)*(F2025-Calc!F19))+B2038+(IF(ArtifactsInput!$M$24,FALSE,TRUE)-ArtifactsInput!$M$24)*CHOOSE(ArtifactsInput!$N$24+1,10,12,14,16,18,20)+(IF(AND(ArtifactsInput!$M$42,((Inputs!$B$9+((C2025=TRUE)*(F2025-Calc!F19))+B2038+(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015">
        <f>IF(C2015,(H2015*N2015*IF(AND(Inputs!$B$38&lt;&gt;"pvp",Inputs!$B$43&gt;0),((Skills!G9*((R2015-1)*IF(Skills!H9&gt;0,Skills!I9/Skills!H9,1)+IF(Skills!H9&gt;0,MIN(Skills!I9,MAX(0,MAX(0,Inputs!$B$43-B2045)-((R2015-1)*IF(Inputs!$B$38="pvp",15,MAX(0.1,Skills!D9-IF(Skills!E9=TRUE,Inputs!$B$32,0))))))/Skills!H9,1)))/Inputs!$B$43),G2015*Q2015))*IF(Inputs!$B$38="pvp",1,(1+(Inputs!$B$21+Skills!Q9+(IF(ArtifactsInput!$M$33,CHOOSE(ArtifactsInput!$N$33+1,30,36,42,48,54,60),0))+(IF(AND(ArtifactsInput!$M$35,Inputs!$B$4&lt;&gt;"Chapter Hunt"),CHOOSE(ArtifactsInput!$N$35+1,15,18,21,24,27,30)*(1-EXP(-(0.2*B2040)*5)),0)+IF(AND(ArtifactsInput!$M$22,Inputs!$B$4&lt;&gt;"Chapter Hunt"),CHOOSE(ArtifactsInput!$N$22+1,10,12,14,16,18,20)*((0*(((0.15*B2040*5))^0/1)+1*(((0.15*B2040*5))^1/1)+2*(((0.15*B2040*5))^2/2)+3*(((0.15*B2040*5))^3/6)+4*(((0.15*B2040*5))^4/24)+5*(((0.15*B2040*5))^5/120))/((((0.15*B2040*5))^0/1)+(((0.15*B2040*5))^1/1)+(((0.15*B2040*5))^2/2)+(((0.15*B2040*5))^3/6)+(((0.15*B2040*5))^4/24)+(((0.15*B2040*5))^5/120)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016">
      <c r="A2016">
        <f>Skills!A10</f>
        <v/>
      </c>
      <c r="B2016">
        <f>Skills!B10</f>
        <v/>
      </c>
      <c r="C2016">
        <f>Inputs!$B$3&gt;=107</f>
        <v/>
      </c>
      <c r="D2016">
        <f>IF(Skills!C10=1,60+Inputs!$B$25+Inputs!$B$29,IF(Skills!C10=2,90+Inputs!$B$26+Inputs!$B$29,IF(Skills!C10=3,120+Inputs!$B$27+Inputs!$B$29,MAX(0,(Inputs!$B$3-100)*3)+Inputs!$B$28+Inputs!$B$29)))</f>
        <v/>
      </c>
      <c r="E2016">
        <f>INDEX(FactorTable!$B$2:$Y$301, MATCH(ROUND(MIN(300,MAX(1,D2016)),0), FactorTable!$A$2:$A$301,0), Skills!M10+1)</f>
        <v/>
      </c>
      <c r="F2016">
        <f>IF(Skills!N10=TRUE,(Skills!L10/10)*(E2016/1000),Skills!L10/10)+Skills!O10</f>
        <v/>
      </c>
      <c r="G2016">
        <f>Skills!G10*IF(Skills!H10&gt;0,Skills!I10/Skills!H10,1)</f>
        <v/>
      </c>
      <c r="H2016">
        <f>1-(1-Skills!J10/100)^Skills!K10</f>
        <v/>
      </c>
      <c r="I2016" t="inlineStr">
        <is>
          <t>1</t>
        </is>
      </c>
      <c r="J2016">
        <f>((Inputs!$B$6*(1+Inputs!$B$7/100))+(((Inputs!$B$12*(1+Inputs!$B$13/100))-(Inputs!$B$12*(1+Inputs!$B$13/100)))+0.25*(Inputs!$B$14-Inputs!$B$14))*(1+Inputs!$B$7/100))*(F2016/100)</f>
        <v/>
      </c>
      <c r="K2016">
        <f>J2016*(1+((Inputs!$B$12*(1+Inputs!$B$13/100))*0.01+Inputs!$B$14*0.0025)/100)*(1+Inputs!$B$15/100)*(1+Inputs!$B$16/100)*(5000/(6000+Inputs!$B$42*(1-(100*(1-(1-(Inputs!$B$19+0)/100)*(1-CHOOSE(ArtifactsInput!$N$40+1,5,6,7,8,9,10)/100)^(ArtifactsInput!$M$40-ArtifactsInput!$M$40)))/100)))*(1+(Inputs!$B$24+((C2030=TRUE)*(F2030-Calc!F24))+((C2031=TRUE)*(F2031-Calc!F25))+B2044)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EMPOWERED_PIERCING_ARROW",Inputs!$B$17+((C2028=TRUE)*(F2028-Calc!F22))+(((IF(AND(ArtifactsInput!$M$42,((Inputs!$B$9+((C2025=TRUE)*(F2025-Calc!F19))+B2038+(IF(ArtifactsInput!$M$24,FALSE,TRUE)-ArtifactsInput!$M$24)*CHOOSE(ArtifactsInput!$N$24+1,10,12,14,16,18,20)+IF(ArtifactsInput!$M$10,CHOOSE(ArtifactsInput!$N$10+1,15,18,21,24,27,30)*(IF(Inputs!$B$38="pvp",MIN(15,15)/15,IF(AND(Inputs!$B$38&lt;&gt;"pvp",Inputs!$B$43&gt;0),MIN(15,Inputs!$B$43)/(Inputs!$B$43),0))),0)))&gt;=100),MIN(100,((Inputs!$B$9+((C2025=TRUE)*(F2025-Calc!F19))+B2038+(IF(ArtifactsInput!$M$24,FALSE,TRUE)-ArtifactsInput!$M$24)*CHOOSE(ArtifactsInput!$N$24+1,10,12,14,16,18,20)+IF(ArtifactsInput!$M$10,CHOOSE(ArtifactsInput!$N$10+1,15,18,21,24,27,30)*(IF(Inputs!$B$38="pvp",MIN(15,15)/15,IF(AND(Inputs!$B$38&lt;&gt;"pvp",Inputs!$B$43&gt;0),MIN(15,Inputs!$B$43)/(Inputs!$B$43),0))),0)))-100),0))*CHOOSE(ArtifactsInput!$N$42+1,0.6,0.72,0.84,0.96,1.08,1.2))),Inputs!$B$18+((C2033=TRUE)*(F2033-Calc!F27))+(IF(AND(ArtifactsInput!$M$42,((Inputs!$B$9+((C2025=TRUE)*(F2025-Calc!F19))+B2038+(IF(ArtifactsInput!$M$24,FALSE,TRUE)-ArtifactsInput!$M$24)*CHOOSE(ArtifactsInput!$N$24+1,10,12,14,16,18,20)+IF(ArtifactsInput!$M$10,CHOOSE(ArtifactsInput!$N$10+1,15,18,21,24,27,30)*(IF(Inputs!$B$38="pvp",MIN(15,15)/15,IF(AND(Inputs!$B$38&lt;&gt;"pvp",Inputs!$B$43&gt;0),MIN(15,Inputs!$B$43)/(Inputs!$B$43),0))),0)))&gt;=100),CHOOSE(ArtifactsInput!$N$42+1,40,48,56,64,72,80),0))))/100)*((1+(((C2019=TRUE)*F2019)+((C2020=TRUE)*IF(Inputs!$B$38="pvp",F2020,(1-Summary!$B$11)*(F2020)+Summary!$B$11*(0)))+((C2021=TRUE)*F2021*IF(AND(Inputs!$B$38&lt;&gt;"pvp",Inputs!$B$43&gt;0),(((R2021-1)*(Skills!T15*(1+Inputs!$B$34/100))+MIN((Skills!T15*(1+Inputs!$B$34/100)),MAX(0,Inputs!$B$43-((R2021-1)*Skills!D15))))/Inputs!$B$43),IF(Inputs!$B$38="pvp",MIN((Skills!T15*(1+Inputs!$B$34/100)),15)/15,(Skills!T15*(1+Inputs!$B$34/100))/Skills!D15)))+((C2018=TRUE)*F2018)+((C2035=TRUE)*(F2035-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2016)</f>
        <v/>
      </c>
      <c r="L2016">
        <f>K2016*(MIN(Inputs!$B$22+((C2029=TRUE)*(F2029-Calc!F23)),(Inputs!$B$23+((C2034=TRUE)*(F2034-Calc!F28))+(IF(ArtifactsInput!$M$15,CHOOSE(ArtifactsInput!$N$15+1,25,30,35,40,45,50)/100*(Inputs!$B$11-Inputs!$B$11),0))))/100+(Inputs!$B$23+((C2034=TRUE)*(F2034-Calc!F28))+(IF(ArtifactsInput!$M$15,CHOOSE(ArtifactsInput!$N$15+1,25,30,35,40,45,50)/100*(Inputs!$B$11-Inputs!$B$11),0)))/100)/2</f>
        <v/>
      </c>
      <c r="M2016">
        <f>L2016*(1+(Inputs!$B$10+0+B2043+((IF(IF(ArtifactsInput!$M$24,FALSE,TRUE),1,-1)*CHOOSE(ArtifactsInput!$N$24+1,30,36,42,48,54,60)/100*IF(IF(ArtifactsInput!$M$24,FALSE,TRUE),(Inputs!$B$9+((C2025=TRUE)*(F2025-Calc!F19))+B2038+(IF(ArtifactsInput!$M$24,FALSE,TRUE)-ArtifactsInput!$M$24)*CHOOSE(ArtifactsInput!$N$24+1,10,12,14,16,18,20)+IF(AND(ArtifactsInput!$M$42,((Inputs!$B$9+((C2025=TRUE)*(F2025-Calc!F19))+B2038+(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nputs!$B$9+Summary!$B$14+Artifacts!$B$5+Artifacts!$B$29)))+IF(ArtifactsInput!$M$10,CHOOSE(ArtifactsInput!$N$10+1,20,24,28,32,36,40)*(IF(Inputs!$B$38="pvp",MIN(15,15)/15,IF(AND(Inputs!$B$38&lt;&gt;"pvp",Inputs!$B$43&gt;0),MIN(15,Inputs!$B$43)/(Inputs!$B$43),0))),0)+IF(ArtifactsInput!$M$31,1.5*CHOOSE(ArtifactsInput!$N$31+1,20,24,28,32,36,40),0)))/100)</f>
        <v/>
      </c>
      <c r="N2016">
        <f>L2016*(1-MIN((Inputs!$B$9+((C2025=TRUE)*(F2025-Calc!F19))+B2038+(IF(ArtifactsInput!$M$24,FALSE,TRUE)-ArtifactsInput!$M$24)*CHOOSE(ArtifactsInput!$N$24+1,10,12,14,16,18,20)+(IF(AND(ArtifactsInput!$M$42,((Inputs!$B$9+((C2025=TRUE)*(F2025-Calc!F19))+B2038+(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2016*(MIN((Inputs!$B$9+((C2025=TRUE)*(F2025-Calc!F19))+B2038+(IF(ArtifactsInput!$M$24,FALSE,TRUE)-ArtifactsInput!$M$24)*CHOOSE(ArtifactsInput!$N$24+1,10,12,14,16,18,20)+(IF(AND(ArtifactsInput!$M$42,((Inputs!$B$9+((C2025=TRUE)*(F2025-Calc!F19))+B2038+(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016">
        <f>(1-Summary!$B$11)*T2016+Summary!$B$11*V2016</f>
        <v/>
      </c>
      <c r="P2016">
        <f>IF(B2048=0,0,O2016/B2048)</f>
        <v/>
      </c>
      <c r="Q2016" t="n">
        <v>0</v>
      </c>
      <c r="R2016" t="n">
        <v>0</v>
      </c>
      <c r="S2016" t="n">
        <v>0</v>
      </c>
      <c r="T2016">
        <f>IF(C2016,(0.15*SUMPRODUCT((Skills!U2:U29=TRUE)*(C2008:C2035=TRUE)*S2008:S2035)*Skills!G10*N2016)*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Hunt"),CHOOSE(ArtifactsInput!$N$35+1,15,18,21,24,27,30)*(1-EXP(-(0.2*B2040)*5)),0)+IF(AND(ArtifactsInput!$M$22,Inputs!$B$4&lt;&gt;"Chapter Hunt"),CHOOSE(ArtifactsInput!$N$22+1,10,12,14,16,18,20)*((0*(((0.15*B2040*5))^0/1)+1*(((0.15*B2040*5))^1/1)+2*(((0.15*B2040*5))^2/2)+3*(((0.15*B2040*5))^3/6)+4*(((0.15*B2040*5))^4/24)+5*(((0.15*B2040*5))^5/120))/((((0.15*B2040*5))^0/1)+(((0.15*B2040*5))^1/1)+(((0.15*B2040*5))^2/2)+(((0.15*B2040*5))^3/6)+(((0.15*B2040*5))^4/24)+(((0.15*B2040*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2016*(1-MIN(100,(Inputs!$B$9+((C2025=TRUE)*(F2025-Calc!F19))+B2038+(IF(ArtifactsInput!$M$24,FALSE,TRUE)-ArtifactsInput!$M$24)*CHOOSE(ArtifactsInput!$N$24+1,10,12,14,16,18,20)+(IF(AND(ArtifactsInput!$M$42,((Inputs!$B$9+((C2025=TRUE)*(F2025-Calc!F19))+B2038+(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2016*(MIN(100,(Inputs!$B$9+((C2025=TRUE)*(F2025-Calc!F19))+B2038+(IF(ArtifactsInput!$M$24,FALSE,TRUE)-ArtifactsInput!$M$24)*CHOOSE(ArtifactsInput!$N$24+1,10,12,14,16,18,20)+(IF(AND(ArtifactsInput!$M$42,((Inputs!$B$9+((C2025=TRUE)*(F2025-Calc!F19))+B2038+(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2016*(1-MIN(100,(Inputs!$B$9+((C2025=TRUE)*(F2025-Calc!F19))+B2038+(IF(ArtifactsInput!$M$24,FALSE,TRUE)-ArtifactsInput!$M$24)*CHOOSE(ArtifactsInput!$N$24+1,10,12,14,16,18,20)+(IF(AND(ArtifactsInput!$M$42,((Inputs!$B$9+((C2025=TRUE)*(F2025-Calc!F19))+B2038+(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2016*(MIN(100,(Inputs!$B$9+((C2025=TRUE)*(F2025-Calc!F19))+B2038+(IF(ArtifactsInput!$M$24,FALSE,TRUE)-ArtifactsInput!$M$24)*CHOOSE(ArtifactsInput!$N$24+1,10,12,14,16,18,20)+(IF(AND(ArtifactsInput!$M$42,((Inputs!$B$9+((C2025=TRUE)*(F2025-Calc!F19))+B2038+(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016">
        <f>IF(C2016,(0.15*SUMPRODUCT((Skills!U2:U29=TRUE)*(C2008:C2035=TRUE)*S2008:S2035)*Skills!G10*N2016)*IF(Inputs!$B$38="pvp",1,(1+(Inputs!$B$21+Skills!Q10+(IF(ArtifactsInput!$M$33,CHOOSE(ArtifactsInput!$N$33+1,30,36,42,48,54,60),0))+(IF(AND(ArtifactsInput!$M$35,Inputs!$B$4&lt;&gt;"Chapter Hunt"),CHOOSE(ArtifactsInput!$N$35+1,15,18,21,24,27,30)*(1-EXP(-(0.2*B2040)*5)),0)+IF(AND(ArtifactsInput!$M$22,Inputs!$B$4&lt;&gt;"Chapter Hunt"),CHOOSE(ArtifactsInput!$N$22+1,10,12,14,16,18,20)*((0*(((0.15*B2040*5))^0/1)+1*(((0.15*B2040*5))^1/1)+2*(((0.15*B2040*5))^2/2)+3*(((0.15*B2040*5))^3/6)+4*(((0.15*B2040*5))^4/24)+5*(((0.15*B2040*5))^5/120))/((((0.15*B2040*5))^0/1)+(((0.15*B2040*5))^1/1)+(((0.15*B2040*5))^2/2)+(((0.15*B2040*5))^3/6)+(((0.15*B2040*5))^4/24)+(((0.15*B2040*5))^5/120)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017">
      <c r="A2017">
        <f>Skills!A11</f>
        <v/>
      </c>
      <c r="B2017">
        <f>Skills!B11</f>
        <v/>
      </c>
      <c r="C2017">
        <f>Inputs!$B$3&gt;=110</f>
        <v/>
      </c>
      <c r="D2017">
        <f>IF(Skills!C11=1,60+Inputs!$B$25+Inputs!$B$29,IF(Skills!C11=2,90+Inputs!$B$26+Inputs!$B$29,IF(Skills!C11=3,120+Inputs!$B$27+Inputs!$B$29,MAX(0,(Inputs!$B$3-100)*3)+Inputs!$B$28+Inputs!$B$29)))</f>
        <v/>
      </c>
      <c r="E2017">
        <f>INDEX(FactorTable!$B$2:$Y$301, MATCH(ROUND(MIN(300,MAX(1,D2017)),0), FactorTable!$A$2:$A$301,0), Skills!M11+1)</f>
        <v/>
      </c>
      <c r="F2017">
        <f>IF(Skills!N11=TRUE,(Skills!L11/10)*(E2017/1000),Skills!L11/10)+Skills!O11</f>
        <v/>
      </c>
      <c r="G2017">
        <f>Skills!G11*IF(Skills!H11&gt;0,Skills!I11/Skills!H11,1)</f>
        <v/>
      </c>
      <c r="H2017">
        <f>1-(1-Skills!J11/100)^Skills!K11</f>
        <v/>
      </c>
      <c r="I2017" t="inlineStr">
        <is>
          <t>1</t>
        </is>
      </c>
      <c r="J2017">
        <f>((Inputs!$B$6*(1+Inputs!$B$7/100))+(((Inputs!$B$12*(1+Inputs!$B$13/100))-(Inputs!$B$12*(1+Inputs!$B$13/100)))+0.25*(Inputs!$B$14-Inputs!$B$14))*(1+Inputs!$B$7/100))*(F2017/100)</f>
        <v/>
      </c>
      <c r="K2017">
        <f>J2017*(1+((Inputs!$B$12*(1+Inputs!$B$13/100))*0.01+Inputs!$B$14*0.0025)/100)*(1+Inputs!$B$15/100)*(1+Inputs!$B$16/100)*(5000/(6000+Inputs!$B$42*(1-(100*(1-(1-(Inputs!$B$19+0)/100)*(1-CHOOSE(ArtifactsInput!$N$40+1,5,6,7,8,9,10)/100)^(ArtifactsInput!$M$40-ArtifactsInput!$M$40)))/100)))*(1+(Inputs!$B$24+((C2030=TRUE)*(F2030-Calc!F24))+((C2031=TRUE)*(F2031-Calc!F25))+B2044)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11="EMPOWERED_PIERCING_ARROW",Inputs!$B$17+((C2028=TRUE)*(F2028-Calc!F22))+(((IF(AND(ArtifactsInput!$M$42,((Inputs!$B$9+((C2025=TRUE)*(F2025-Calc!F19))+B2038+(IF(ArtifactsInput!$M$24,FALSE,TRUE)-ArtifactsInput!$M$24)*CHOOSE(ArtifactsInput!$N$24+1,10,12,14,16,18,20)+IF(ArtifactsInput!$M$10,CHOOSE(ArtifactsInput!$N$10+1,15,18,21,24,27,30)*(IF(Inputs!$B$38="pvp",MIN(15,15)/15,IF(AND(Inputs!$B$38&lt;&gt;"pvp",Inputs!$B$43&gt;0),MIN(15,Inputs!$B$43)/(Inputs!$B$43),0))),0)))&gt;=100),MIN(100,((Inputs!$B$9+((C2025=TRUE)*(F2025-Calc!F19))+B2038+(IF(ArtifactsInput!$M$24,FALSE,TRUE)-ArtifactsInput!$M$24)*CHOOSE(ArtifactsInput!$N$24+1,10,12,14,16,18,20)+IF(ArtifactsInput!$M$10,CHOOSE(ArtifactsInput!$N$10+1,15,18,21,24,27,30)*(IF(Inputs!$B$38="pvp",MIN(15,15)/15,IF(AND(Inputs!$B$38&lt;&gt;"pvp",Inputs!$B$43&gt;0),MIN(15,Inputs!$B$43)/(Inputs!$B$43),0))),0)))-100),0))*CHOOSE(ArtifactsInput!$N$42+1,0.6,0.72,0.84,0.96,1.08,1.2))),Inputs!$B$18+((C2033=TRUE)*(F2033-Calc!F27))+(IF(AND(ArtifactsInput!$M$42,((Inputs!$B$9+((C2025=TRUE)*(F2025-Calc!F19))+B2038+(IF(ArtifactsInput!$M$24,FALSE,TRUE)-ArtifactsInput!$M$24)*CHOOSE(ArtifactsInput!$N$24+1,10,12,14,16,18,20)+IF(ArtifactsInput!$M$10,CHOOSE(ArtifactsInput!$N$10+1,15,18,21,24,27,30)*(IF(Inputs!$B$38="pvp",MIN(15,15)/15,IF(AND(Inputs!$B$38&lt;&gt;"pvp",Inputs!$B$43&gt;0),MIN(15,Inputs!$B$43)/(Inputs!$B$43),0))),0)))&gt;=100),CHOOSE(ArtifactsInput!$N$42+1,40,48,56,64,72,80),0))))/100)*((1+(((C2019=TRUE)*F2019)+((C2020=TRUE)*IF(Inputs!$B$38="pvp",F2020,(1-Summary!$B$11)*(F2020)+Summary!$B$11*(0)))+((C2021=TRUE)*F2021*IF(AND(Inputs!$B$38&lt;&gt;"pvp",Inputs!$B$43&gt;0),(((R2021-1)*(Skills!T15*(1+Inputs!$B$34/100))+MIN((Skills!T15*(1+Inputs!$B$34/100)),MAX(0,Inputs!$B$43-((R2021-1)*Skills!D15))))/Inputs!$B$43),IF(Inputs!$B$38="pvp",MIN((Skills!T15*(1+Inputs!$B$34/100)),15)/15,(Skills!T15*(1+Inputs!$B$34/100))/Skills!D15)))+((C2018=TRUE)*F2018)+((C2035=TRUE)*(F2035-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2017)</f>
        <v/>
      </c>
      <c r="L2017">
        <f>K2017*(MIN(Inputs!$B$22+((C2029=TRUE)*(F2029-Calc!F23)),(Inputs!$B$23+((C2034=TRUE)*(F2034-Calc!F28))+(IF(ArtifactsInput!$M$15,CHOOSE(ArtifactsInput!$N$15+1,25,30,35,40,45,50)/100*(Inputs!$B$11-Inputs!$B$11),0))))/100+(Inputs!$B$23+((C2034=TRUE)*(F2034-Calc!F28))+(IF(ArtifactsInput!$M$15,CHOOSE(ArtifactsInput!$N$15+1,25,30,35,40,45,50)/100*(Inputs!$B$11-Inputs!$B$11),0)))/100)/2</f>
        <v/>
      </c>
      <c r="M2017">
        <f>L2017*(1+(Inputs!$B$10+0+B2043+((IF(IF(ArtifactsInput!$M$24,FALSE,TRUE),1,-1)*CHOOSE(ArtifactsInput!$N$24+1,30,36,42,48,54,60)/100*IF(IF(ArtifactsInput!$M$24,FALSE,TRUE),(Inputs!$B$9+((C2025=TRUE)*(F2025-Calc!F19))+B2038+(IF(ArtifactsInput!$M$24,FALSE,TRUE)-ArtifactsInput!$M$24)*CHOOSE(ArtifactsInput!$N$24+1,10,12,14,16,18,20)+IF(AND(ArtifactsInput!$M$42,((Inputs!$B$9+((C2025=TRUE)*(F2025-Calc!F19))+B2038+(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nputs!$B$9+Summary!$B$14+Artifacts!$B$5+Artifacts!$B$29)))+IF(ArtifactsInput!$M$10,CHOOSE(ArtifactsInput!$N$10+1,20,24,28,32,36,40)*(IF(Inputs!$B$38="pvp",MIN(15,15)/15,IF(AND(Inputs!$B$38&lt;&gt;"pvp",Inputs!$B$43&gt;0),MIN(15,Inputs!$B$43)/(Inputs!$B$43),0))),0)+IF(ArtifactsInput!$M$31,1.5*CHOOSE(ArtifactsInput!$N$31+1,20,24,28,32,36,40),0)))/100)</f>
        <v/>
      </c>
      <c r="N2017">
        <f>L2017*(1-MIN((Inputs!$B$9+((C2025=TRUE)*(F2025-Calc!F19))+B2038+(IF(ArtifactsInput!$M$24,FALSE,TRUE)-ArtifactsInput!$M$24)*CHOOSE(ArtifactsInput!$N$24+1,10,12,14,16,18,20)+(IF(AND(ArtifactsInput!$M$42,((Inputs!$B$9+((C2025=TRUE)*(F2025-Calc!F19))+B2038+(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2017*(MIN((Inputs!$B$9+((C2025=TRUE)*(F2025-Calc!F19))+B2038+(IF(ArtifactsInput!$M$24,FALSE,TRUE)-ArtifactsInput!$M$24)*CHOOSE(ArtifactsInput!$N$24+1,10,12,14,16,18,20)+(IF(AND(ArtifactsInput!$M$42,((Inputs!$B$9+((C2025=TRUE)*(F2025-Calc!F19))+B2038+(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017">
        <f>(1-Summary!$B$11)*T2017+Summary!$B$11*V2017</f>
        <v/>
      </c>
      <c r="P2017">
        <f>IF(B2048=0,0,O2017/B2048)</f>
        <v/>
      </c>
      <c r="Q2017">
        <f>IFERROR(1/IF(Inputs!$B$38="pvp",15,MAX(0.1,Skills!D11-IF(Skills!E11=TRUE,Inputs!$B$32,0))),0)</f>
        <v/>
      </c>
      <c r="R2017">
        <f>IF(AND(Inputs!$B$38&lt;&gt;"pvp",Inputs!$B$43&gt;0),IF(MAX(0,Inputs!$B$43-B2045)&lt;=0,0,(INT(MAX(0,Inputs!$B$43-B2045)/IF(Inputs!$B$38="pvp",15,MAX(0.1,Skills!D11-IF(Skills!E11=TRUE,Inputs!$B$32,0))))+1)),0)</f>
        <v/>
      </c>
      <c r="S2017">
        <f>IFERROR((H2017*N2017*IF(AND(Inputs!$B$38&lt;&gt;"pvp",Inputs!$B$43&gt;0),((Skills!G11*((R2017-1)*IF(Skills!H11&gt;0,Skills!I11/Skills!H11,1)+IF(Skills!H11&gt;0,MIN(Skills!I11,MAX(0,MAX(0,Inputs!$B$43-B2045)-((R2017-1)*IF(Inputs!$B$38="pvp",15,MAX(0.1,Skills!D11-IF(Skills!E11=TRUE,Inputs!$B$32,0))))))/Skills!H11,1)))/Inputs!$B$43),G2017*Q2017))/N2017*IF(Inputs!$B$38="pvp",1,(1-Summary!$B$11)*1+Summary!$B$11*(MIN(Skills!R11,Inputs!$B$37))),0)</f>
        <v/>
      </c>
      <c r="T2017">
        <f>IF(C2017,(H2017*N2017*IF(AND(Inputs!$B$38&lt;&gt;"pvp",Inputs!$B$43&gt;0),((Skills!G11*((R2017-1)*IF(Skills!H11&gt;0,Skills!I11/Skills!H11,1)+IF(Skills!H11&gt;0,MIN(Skills!I11,MAX(0,MAX(0,Inputs!$B$43-B2045)-((R2017-1)*IF(Inputs!$B$38="pvp",15,MAX(0.1,Skills!D11-IF(Skills!E11=TRUE,Inputs!$B$32,0))))))/Skills!H11,1)))/Inputs!$B$43),G2017*Q2017))*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Hunt"),CHOOSE(ArtifactsInput!$N$35+1,15,18,21,24,27,30)*(1-EXP(-(0.2*B2040)*5)),0)+IF(AND(ArtifactsInput!$M$22,Inputs!$B$4&lt;&gt;"Chapter Hunt"),CHOOSE(ArtifactsInput!$N$22+1,10,12,14,16,18,20)*((0*(((0.15*B2040*5))^0/1)+1*(((0.15*B2040*5))^1/1)+2*(((0.15*B2040*5))^2/2)+3*(((0.15*B2040*5))^3/6)+4*(((0.15*B2040*5))^4/24)+5*(((0.15*B2040*5))^5/120))/((((0.15*B2040*5))^0/1)+(((0.15*B2040*5))^1/1)+(((0.15*B2040*5))^2/2)+(((0.15*B2040*5))^3/6)+(((0.15*B2040*5))^4/24)+(((0.15*B2040*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2017*(1-MIN(100,(Inputs!$B$9+((C2025=TRUE)*(F2025-Calc!F19))+B2038+(IF(ArtifactsInput!$M$24,FALSE,TRUE)-ArtifactsInput!$M$24)*CHOOSE(ArtifactsInput!$N$24+1,10,12,14,16,18,20)+(IF(AND(ArtifactsInput!$M$42,((Inputs!$B$9+((C2025=TRUE)*(F2025-Calc!F19))+B2038+(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2017*(MIN(100,(Inputs!$B$9+((C2025=TRUE)*(F2025-Calc!F19))+B2038+(IF(ArtifactsInput!$M$24,FALSE,TRUE)-ArtifactsInput!$M$24)*CHOOSE(ArtifactsInput!$N$24+1,10,12,14,16,18,20)+(IF(AND(ArtifactsInput!$M$42,((Inputs!$B$9+((C2025=TRUE)*(F2025-Calc!F19))+B2038+(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2017*(1-MIN(100,(Inputs!$B$9+((C2025=TRUE)*(F2025-Calc!F19))+B2038+(IF(ArtifactsInput!$M$24,FALSE,TRUE)-ArtifactsInput!$M$24)*CHOOSE(ArtifactsInput!$N$24+1,10,12,14,16,18,20)+(IF(AND(ArtifactsInput!$M$42,((Inputs!$B$9+((C2025=TRUE)*(F2025-Calc!F19))+B2038+(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2017*(MIN(100,(Inputs!$B$9+((C2025=TRUE)*(F2025-Calc!F19))+B2038+(IF(ArtifactsInput!$M$24,FALSE,TRUE)-ArtifactsInput!$M$24)*CHOOSE(ArtifactsInput!$N$24+1,10,12,14,16,18,20)+(IF(AND(ArtifactsInput!$M$42,((Inputs!$B$9+((C2025=TRUE)*(F2025-Calc!F19))+B2038+(IF(ArtifactsInput!$M$24,FALSE,TRUE)-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017">
        <f>IF(C2017,(H2017*N2017*IF(AND(Inputs!$B$38&lt;&gt;"pvp",Inputs!$B$43&gt;0),((Skills!G11*((R2017-1)*IF(Skills!H11&gt;0,Skills!I11/Skills!H11,1)+IF(Skills!H11&gt;0,MIN(Skills!I11,MAX(0,MAX(0,Inputs!$B$43-B2045)-((R2017-1)*IF(Inputs!$B$38="pvp",15,MAX(0.1,Skills!D11-IF(Skills!E11=TRUE,Inputs!$B$32,0))))))/Skills!H11,1)))/Inputs!$B$43),G2017*Q2017))*IF(Inputs!$B$38="pvp",1,(1+(Inputs!$B$21+Skills!Q11+(IF(ArtifactsInput!$M$33,CHOOSE(ArtifactsInput!$N$33+1,30,36,42,48,54,60),0))+(IF(AND(ArtifactsInput!$M$35,Inputs!$B$4&lt;&gt;"Chapter Hunt"),CHOOSE(ArtifactsInput!$N$35+1,15,18,21,24,27,30)*(1-EXP(-(0.2*B2040)*5)),0)+IF(AND(ArtifactsInput!$M$22,Inputs!$B$4&lt;&gt;"Chapter Hunt"),CHOOSE(ArtifactsInput!$N$22+1,10,12,14,16,18,20)*((0*(((0.15*B2040*5))^0/1)+1*(((0.15*B2040*5))^1/1)+2*(((0.15*B2040*5))^2/2)+3*(((0.15*B2040*5))^3/6)+4*(((0.15*B2040*5))^4/24)+5*(((0.15*B2040*5))^5/120))/((((0.15*B2040*5))^0/1)+(((0.15*B2040*5))^1/1)+(((0.15*B2040*5))^2/2)+(((0.15*B2040*5))^3/6)+(((0.15*B2040*5))^4/24)+(((0.15*B2040*5))^5/120))),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018">
      <c r="A2018">
        <f>Skills!A12</f>
        <v/>
      </c>
      <c r="B2018">
        <f>Skills!B12</f>
        <v/>
      </c>
      <c r="C2018">
        <f>Inputs!$B$3&gt;=60</f>
        <v/>
      </c>
      <c r="D2018">
        <f>IF(Skills!C12=1,60+Inputs!$B$25+Inputs!$B$29,IF(Skills!C12=2,90+Inputs!$B$26+Inputs!$B$29,IF(Skills!C12=3,120+Inputs!$B$27+Inputs!$B$29,MAX(0,(Inputs!$B$3-100)*3)+Inputs!$B$28+Inputs!$B$29)))</f>
        <v/>
      </c>
      <c r="E2018">
        <f>INDEX(FactorTable!$B$2:$Y$301, MATCH(ROUND(MIN(300,MAX(1,D2018)),0), FactorTable!$A$2:$A$301,0), Skills!M12+1)</f>
        <v/>
      </c>
      <c r="F2018">
        <f>IF(Skills!N12=TRUE,(Skills!L12/10)*(E2018/1000),Skills!L12/10)+Skills!O12</f>
        <v/>
      </c>
      <c r="G2018">
        <f>Skills!G12*IF(Skills!H12&gt;0,Skills!I12/Skills!H12,1)</f>
        <v/>
      </c>
      <c r="H2018">
        <f>1-(1-Skills!J12/100)^Skills!K12</f>
        <v/>
      </c>
      <c r="I2018" t="inlineStr">
        <is>
          <t>1</t>
        </is>
      </c>
      <c r="J2018" t="inlineStr"/>
      <c r="K2018" t="inlineStr"/>
      <c r="L2018" t="inlineStr"/>
      <c r="M2018" t="inlineStr"/>
      <c r="N2018" t="inlineStr"/>
      <c r="O2018">
        <f>(1-Summary!$B$11)*T2018+Summary!$B$11*V2018</f>
        <v/>
      </c>
      <c r="P2018">
        <f>IF(B2048=0,0,O2018/B2048)</f>
        <v/>
      </c>
      <c r="Q2018" t="n">
        <v>0</v>
      </c>
      <c r="R2018" t="n">
        <v>0</v>
      </c>
      <c r="S2018" t="n">
        <v>0</v>
      </c>
      <c r="T2018" t="n">
        <v>0</v>
      </c>
      <c r="V2018" t="n">
        <v>0</v>
      </c>
    </row>
    <row r="2019">
      <c r="A2019">
        <f>Skills!A13</f>
        <v/>
      </c>
      <c r="B2019">
        <f>Skills!B13</f>
        <v/>
      </c>
      <c r="C2019">
        <f>Inputs!$B$3&gt;=74</f>
        <v/>
      </c>
      <c r="D2019">
        <f>IF(Skills!C13=1,60+Inputs!$B$25+Inputs!$B$29,IF(Skills!C13=2,90+Inputs!$B$26+Inputs!$B$29,IF(Skills!C13=3,120+Inputs!$B$27+Inputs!$B$29,MAX(0,(Inputs!$B$3-100)*3)+Inputs!$B$28+Inputs!$B$29)))</f>
        <v/>
      </c>
      <c r="E2019">
        <f>INDEX(FactorTable!$B$2:$Y$301, MATCH(ROUND(MIN(300,MAX(1,D2019)),0), FactorTable!$A$2:$A$301,0), Skills!M13+1)</f>
        <v/>
      </c>
      <c r="F2019">
        <f>IF(Skills!N13=TRUE,(Skills!L13/10)*(E2019/1000),Skills!L13/10)+Skills!O13</f>
        <v/>
      </c>
      <c r="G2019">
        <f>Skills!G13*IF(Skills!H13&gt;0,Skills!I13/Skills!H13,1)</f>
        <v/>
      </c>
      <c r="H2019">
        <f>1-(1-Skills!J13/100)^Skills!K13</f>
        <v/>
      </c>
      <c r="I2019" t="inlineStr">
        <is>
          <t>1</t>
        </is>
      </c>
      <c r="J2019" t="inlineStr"/>
      <c r="K2019" t="inlineStr"/>
      <c r="L2019" t="inlineStr"/>
      <c r="M2019" t="inlineStr"/>
      <c r="N2019" t="inlineStr"/>
      <c r="O2019">
        <f>(1-Summary!$B$11)*T2019+Summary!$B$11*V2019</f>
        <v/>
      </c>
      <c r="P2019">
        <f>IF(B2048=0,0,O2019/B2048)</f>
        <v/>
      </c>
      <c r="Q2019" t="n">
        <v>0</v>
      </c>
      <c r="R2019" t="n">
        <v>0</v>
      </c>
      <c r="S2019" t="n">
        <v>0</v>
      </c>
      <c r="T2019" t="n">
        <v>0</v>
      </c>
      <c r="V2019" t="n">
        <v>0</v>
      </c>
    </row>
    <row r="2020">
      <c r="A2020">
        <f>Skills!A14</f>
        <v/>
      </c>
      <c r="B2020">
        <f>Skills!B14</f>
        <v/>
      </c>
      <c r="C2020">
        <f>Inputs!$B$3&gt;=74</f>
        <v/>
      </c>
      <c r="D2020">
        <f>IF(Skills!C14=1,60+Inputs!$B$25+Inputs!$B$29,IF(Skills!C14=2,90+Inputs!$B$26+Inputs!$B$29,IF(Skills!C14=3,120+Inputs!$B$27+Inputs!$B$29,MAX(0,(Inputs!$B$3-100)*3)+Inputs!$B$28+Inputs!$B$29)))</f>
        <v/>
      </c>
      <c r="E2020">
        <f>INDEX(FactorTable!$B$2:$Y$301, MATCH(ROUND(MIN(300,MAX(1,D2020)),0), FactorTable!$A$2:$A$301,0), Skills!M14+1)</f>
        <v/>
      </c>
      <c r="F2020">
        <f>IF(Skills!N14=TRUE,(Skills!L14/10)*(E2020/1000),Skills!L14/10)+Skills!O14</f>
        <v/>
      </c>
      <c r="G2020">
        <f>Skills!G14*IF(Skills!H14&gt;0,Skills!I14/Skills!H14,1)</f>
        <v/>
      </c>
      <c r="H2020">
        <f>1-(1-Skills!J14/100)^Skills!K14</f>
        <v/>
      </c>
      <c r="I2020" t="inlineStr">
        <is>
          <t>1</t>
        </is>
      </c>
      <c r="J2020" t="inlineStr"/>
      <c r="K2020" t="inlineStr"/>
      <c r="L2020" t="inlineStr"/>
      <c r="M2020" t="inlineStr"/>
      <c r="N2020" t="inlineStr"/>
      <c r="O2020">
        <f>(1-Summary!$B$11)*T2020+Summary!$B$11*V2020</f>
        <v/>
      </c>
      <c r="P2020">
        <f>IF(B2048=0,0,O2020/B2048)</f>
        <v/>
      </c>
      <c r="Q2020" t="n">
        <v>0</v>
      </c>
      <c r="R2020" t="n">
        <v>0</v>
      </c>
      <c r="S2020" t="n">
        <v>0</v>
      </c>
      <c r="T2020" t="n">
        <v>0</v>
      </c>
      <c r="V2020" t="n">
        <v>0</v>
      </c>
    </row>
    <row r="2021">
      <c r="A2021">
        <f>Skills!A15</f>
        <v/>
      </c>
      <c r="B2021">
        <f>Skills!B15</f>
        <v/>
      </c>
      <c r="C2021">
        <f>Inputs!$B$3&gt;=117</f>
        <v/>
      </c>
      <c r="D2021">
        <f>IF(Skills!C15=1,60+Inputs!$B$25+Inputs!$B$29,IF(Skills!C15=2,90+Inputs!$B$26+Inputs!$B$29,IF(Skills!C15=3,120+Inputs!$B$27+Inputs!$B$29,MAX(0,(Inputs!$B$3-100)*3)+Inputs!$B$28+Inputs!$B$29)))</f>
        <v/>
      </c>
      <c r="E2021">
        <f>INDEX(FactorTable!$B$2:$Y$301, MATCH(ROUND(MIN(300,MAX(1,D2021)),0), FactorTable!$A$2:$A$301,0), Skills!M15+1)</f>
        <v/>
      </c>
      <c r="F2021">
        <f>IF(Skills!N15=TRUE,(Skills!L15/10)*(E2021/1000),Skills!L15/10)+Skills!O15</f>
        <v/>
      </c>
      <c r="G2021">
        <f>Skills!G15*IF(Skills!H15&gt;0,Skills!I15/Skills!H15,1)</f>
        <v/>
      </c>
      <c r="H2021">
        <f>1-(1-Skills!J15/100)^Skills!K15</f>
        <v/>
      </c>
      <c r="I2021" t="inlineStr">
        <is>
          <t>1</t>
        </is>
      </c>
      <c r="J2021" t="inlineStr"/>
      <c r="K2021" t="inlineStr"/>
      <c r="L2021" t="inlineStr"/>
      <c r="M2021" t="inlineStr"/>
      <c r="N2021" t="inlineStr"/>
      <c r="O2021">
        <f>(1-Summary!$B$11)*T2021+Summary!$B$11*V2021</f>
        <v/>
      </c>
      <c r="P2021">
        <f>IF(B2048=0,0,O2021/B2048)</f>
        <v/>
      </c>
      <c r="Q2021">
        <f>IFERROR(1/IF(Inputs!$B$38="pvp",15,MAX(0.1,Skills!D15-IF(Skills!E15=TRUE,Inputs!$B$32,0))),0)</f>
        <v/>
      </c>
      <c r="R2021">
        <f>IF(AND(Inputs!$B$38&lt;&gt;"pvp",Inputs!$B$43&gt;0),IF(Inputs!$B$43&lt;=0,0,(INT(Inputs!$B$43/IF(Inputs!$B$38="pvp",15,MAX(0.1,Skills!D15-IF(Skills!E15=TRUE,Inputs!$B$32,0))))+1)),0)</f>
        <v/>
      </c>
      <c r="S2021" t="n">
        <v>0</v>
      </c>
      <c r="T2021" t="n">
        <v>0</v>
      </c>
      <c r="V2021" t="n">
        <v>0</v>
      </c>
    </row>
    <row r="2022">
      <c r="A2022">
        <f>Skills!A16</f>
        <v/>
      </c>
      <c r="B2022">
        <f>Skills!B16</f>
        <v/>
      </c>
      <c r="C2022">
        <f>Inputs!$B$3&gt;=115</f>
        <v/>
      </c>
      <c r="D2022">
        <f>IF(Skills!C16=1,60+Inputs!$B$25+Inputs!$B$29,IF(Skills!C16=2,90+Inputs!$B$26+Inputs!$B$29,IF(Skills!C16=3,120+Inputs!$B$27+Inputs!$B$29,MAX(0,(Inputs!$B$3-100)*3)+Inputs!$B$28+Inputs!$B$29)))</f>
        <v/>
      </c>
      <c r="E2022">
        <f>INDEX(FactorTable!$B$2:$Y$301, MATCH(ROUND(MIN(300,MAX(1,D2022)),0), FactorTable!$A$2:$A$301,0), Skills!M16+1)</f>
        <v/>
      </c>
      <c r="F2022">
        <f>IF(Skills!N16=TRUE,(Skills!L16/10)*(E2022/1000),Skills!L16/10)+Skills!O16</f>
        <v/>
      </c>
      <c r="G2022">
        <f>Skills!G16*IF(Skills!H16&gt;0,Skills!I16/Skills!H16,1)</f>
        <v/>
      </c>
      <c r="H2022">
        <f>1-(1-Skills!J16/100)^Skills!K16</f>
        <v/>
      </c>
      <c r="I2022" t="inlineStr">
        <is>
          <t>1</t>
        </is>
      </c>
      <c r="J2022" t="inlineStr"/>
      <c r="K2022" t="inlineStr"/>
      <c r="L2022" t="inlineStr"/>
      <c r="M2022" t="inlineStr"/>
      <c r="N2022" t="inlineStr"/>
      <c r="O2022">
        <f>(1-Summary!$B$11)*T2022+Summary!$B$11*V2022</f>
        <v/>
      </c>
      <c r="P2022">
        <f>IF(B2048=0,0,O2022/B2048)</f>
        <v/>
      </c>
      <c r="Q2022">
        <f>IFERROR(1/IF(Inputs!$B$38="pvp",15,MAX(0.1,Skills!D16-IF(Skills!E16=TRUE,Inputs!$B$32,0))),0)</f>
        <v/>
      </c>
      <c r="R2022">
        <f>IF(AND(Inputs!$B$38&lt;&gt;"pvp",Inputs!$B$43&gt;0),IF(Inputs!$B$43&lt;=0,0,(INT(Inputs!$B$43/IF(Inputs!$B$38="pvp",15,MAX(0.1,Skills!D16-IF(Skills!E16=TRUE,Inputs!$B$32,0))))+1)),0)</f>
        <v/>
      </c>
      <c r="S2022" t="n">
        <v>0</v>
      </c>
      <c r="T2022" t="n">
        <v>0</v>
      </c>
      <c r="V2022" t="n">
        <v>0</v>
      </c>
    </row>
    <row r="2023">
      <c r="A2023">
        <f>Skills!A17</f>
        <v/>
      </c>
      <c r="B2023">
        <f>Skills!B17</f>
        <v/>
      </c>
      <c r="C2023">
        <f>Inputs!$B$3&gt;=72</f>
        <v/>
      </c>
      <c r="D2023">
        <f>IF(Skills!C17=1,60+Inputs!$B$25+Inputs!$B$29,IF(Skills!C17=2,90+Inputs!$B$26+Inputs!$B$29,IF(Skills!C17=3,120+Inputs!$B$27+Inputs!$B$29,MAX(0,(Inputs!$B$3-100)*3)+Inputs!$B$28+Inputs!$B$29)))</f>
        <v/>
      </c>
      <c r="E2023">
        <f>INDEX(FactorTable!$B$2:$Y$301, MATCH(ROUND(MIN(300,MAX(1,D2023)),0), FactorTable!$A$2:$A$301,0), Skills!M17+1)</f>
        <v/>
      </c>
      <c r="F2023">
        <f>IF(Skills!N17=TRUE,(Skills!L17/10)*(E2023/1000),Skills!L17/10)+Skills!O17</f>
        <v/>
      </c>
      <c r="G2023">
        <f>Skills!G17*IF(Skills!H17&gt;0,Skills!I17/Skills!H17,1)</f>
        <v/>
      </c>
      <c r="H2023">
        <f>1-(1-Skills!J17/100)^Skills!K17</f>
        <v/>
      </c>
      <c r="I2023" t="inlineStr">
        <is>
          <t>1</t>
        </is>
      </c>
      <c r="J2023" t="inlineStr"/>
      <c r="K2023" t="inlineStr"/>
      <c r="L2023" t="inlineStr"/>
      <c r="M2023" t="inlineStr"/>
      <c r="N2023" t="inlineStr"/>
      <c r="O2023">
        <f>(1-Summary!$B$11)*T2023+Summary!$B$11*V2023</f>
        <v/>
      </c>
      <c r="P2023">
        <f>IF(B2048=0,0,O2023/B2048)</f>
        <v/>
      </c>
      <c r="Q2023" t="n">
        <v>0</v>
      </c>
      <c r="R2023" t="n">
        <v>0</v>
      </c>
      <c r="S2023" t="n">
        <v>0</v>
      </c>
      <c r="T2023" t="n">
        <v>0</v>
      </c>
      <c r="V2023" t="n">
        <v>0</v>
      </c>
    </row>
    <row r="2024">
      <c r="A2024">
        <f>Skills!A18</f>
        <v/>
      </c>
      <c r="B2024">
        <f>Skills!B18</f>
        <v/>
      </c>
      <c r="C2024">
        <f>TRUE</f>
        <v/>
      </c>
      <c r="D2024">
        <f>IF(Skills!C18=1,60+Inputs!$B$25+Inputs!$B$29,IF(Skills!C18=2,90+Inputs!$B$26+Inputs!$B$29,IF(Skills!C18=3,120+Inputs!$B$27+Inputs!$B$29,MAX(0,(Inputs!$B$3-100)*3)+Inputs!$B$28+Inputs!$B$29)))</f>
        <v/>
      </c>
      <c r="E2024">
        <f>INDEX(FactorTable!$B$2:$Y$301, MATCH(ROUND(MIN(300,MAX(1,D2024)),0), FactorTable!$A$2:$A$301,0), Skills!M18+1)</f>
        <v/>
      </c>
      <c r="F2024">
        <f>IF(Skills!N18=TRUE,(Skills!L18/10)*(E2024/1000),Skills!L18/10)+Skills!O18</f>
        <v/>
      </c>
      <c r="G2024">
        <f>Skills!G18*IF(Skills!H18&gt;0,Skills!I18/Skills!H18,1)</f>
        <v/>
      </c>
      <c r="H2024">
        <f>1-(1-Skills!J18/100)^Skills!K18</f>
        <v/>
      </c>
      <c r="I2024" t="inlineStr">
        <is>
          <t>1</t>
        </is>
      </c>
      <c r="J2024" t="inlineStr"/>
      <c r="K2024" t="inlineStr"/>
      <c r="L2024" t="inlineStr"/>
      <c r="M2024" t="inlineStr"/>
      <c r="N2024" t="inlineStr"/>
      <c r="O2024">
        <f>(1-Summary!$B$11)*T2024+Summary!$B$11*V2024</f>
        <v/>
      </c>
      <c r="P2024">
        <f>IF(B2048=0,0,O2024/B2048)</f>
        <v/>
      </c>
      <c r="Q2024">
        <f>IFERROR(1/IF(Inputs!$B$38="pvp",15,MAX(0.1,Skills!D18-IF(Skills!E18=TRUE,Inputs!$B$32,0))),0)</f>
        <v/>
      </c>
      <c r="R2024">
        <f>IF(AND(Inputs!$B$38&lt;&gt;"pvp",Inputs!$B$43&gt;0),IF(Inputs!$B$43&lt;=0,0,(INT(Inputs!$B$43/IF(Inputs!$B$38="pvp",15,MAX(0.1,Skills!D18-IF(Skills!E18=TRUE,Inputs!$B$32,0))))+1)),0)</f>
        <v/>
      </c>
      <c r="S2024" t="n">
        <v>0</v>
      </c>
      <c r="T2024" t="n">
        <v>0</v>
      </c>
      <c r="V2024" t="n">
        <v>0</v>
      </c>
    </row>
    <row r="2025">
      <c r="A2025">
        <f>Skills!A19</f>
        <v/>
      </c>
      <c r="B2025">
        <f>Skills!B19</f>
        <v/>
      </c>
      <c r="C2025">
        <f>Inputs!$B$3&gt;=15</f>
        <v/>
      </c>
      <c r="D2025">
        <f>IF(Skills!C19=1,60+Inputs!$B$25+Inputs!$B$29,IF(Skills!C19=2,90+Inputs!$B$26+Inputs!$B$29,IF(Skills!C19=3,120+Inputs!$B$27+Inputs!$B$29,MAX(0,(Inputs!$B$3-100)*3)+Inputs!$B$28+Inputs!$B$29)))</f>
        <v/>
      </c>
      <c r="E2025">
        <f>INDEX(FactorTable!$B$2:$Y$301, MATCH(ROUND(MIN(300,MAX(1,D2025)),0), FactorTable!$A$2:$A$301,0), Skills!M19+1)</f>
        <v/>
      </c>
      <c r="F2025">
        <f>IF(Skills!N19=TRUE,(Skills!L19/10)*(E2025/1000),Skills!L19/10)+Skills!O19</f>
        <v/>
      </c>
      <c r="G2025">
        <f>Skills!G19*IF(Skills!H19&gt;0,Skills!I19/Skills!H19,1)</f>
        <v/>
      </c>
      <c r="H2025">
        <f>1-(1-Skills!J19/100)^Skills!K19</f>
        <v/>
      </c>
      <c r="I2025" t="inlineStr">
        <is>
          <t>1</t>
        </is>
      </c>
      <c r="J2025" t="inlineStr"/>
      <c r="K2025" t="inlineStr"/>
      <c r="L2025" t="inlineStr"/>
      <c r="M2025" t="inlineStr"/>
      <c r="N2025" t="inlineStr"/>
      <c r="O2025">
        <f>(1-Summary!$B$11)*T2025+Summary!$B$11*V2025</f>
        <v/>
      </c>
      <c r="P2025">
        <f>IF(B2048=0,0,O2025/B2048)</f>
        <v/>
      </c>
      <c r="Q2025" t="n">
        <v>0</v>
      </c>
      <c r="R2025" t="n">
        <v>0</v>
      </c>
      <c r="S2025" t="n">
        <v>0</v>
      </c>
      <c r="T2025" t="n">
        <v>0</v>
      </c>
      <c r="V2025" t="n">
        <v>0</v>
      </c>
    </row>
    <row r="2026">
      <c r="A2026">
        <f>Skills!A20</f>
        <v/>
      </c>
      <c r="B2026">
        <f>Skills!B20</f>
        <v/>
      </c>
      <c r="C2026">
        <f>Inputs!$B$3&gt;=10</f>
        <v/>
      </c>
      <c r="D2026">
        <f>IF(Skills!C20=1,60+Inputs!$B$25+Inputs!$B$29,IF(Skills!C20=2,90+Inputs!$B$26+Inputs!$B$29,IF(Skills!C20=3,120+Inputs!$B$27+Inputs!$B$29,MAX(0,(Inputs!$B$3-100)*3)+Inputs!$B$28+Inputs!$B$29)))</f>
        <v/>
      </c>
      <c r="E2026">
        <f>INDEX(FactorTable!$B$2:$Y$301, MATCH(ROUND(MIN(300,MAX(1,D2026)),0), FactorTable!$A$2:$A$301,0), Skills!M20+1)</f>
        <v/>
      </c>
      <c r="F2026">
        <f>IF(Skills!N20=TRUE,(Skills!L20/10)*(E2026/1000),Skills!L20/10)+Skills!O20</f>
        <v/>
      </c>
      <c r="G2026">
        <f>Skills!G20*IF(Skills!H20&gt;0,Skills!I20/Skills!H20,1)</f>
        <v/>
      </c>
      <c r="H2026">
        <f>1-(1-Skills!J20/100)^Skills!K20</f>
        <v/>
      </c>
      <c r="I2026" t="inlineStr">
        <is>
          <t>1</t>
        </is>
      </c>
      <c r="J2026" t="inlineStr"/>
      <c r="K2026" t="inlineStr"/>
      <c r="L2026" t="inlineStr"/>
      <c r="M2026" t="inlineStr"/>
      <c r="N2026" t="inlineStr"/>
      <c r="O2026">
        <f>(1-Summary!$B$11)*T2026+Summary!$B$11*V2026</f>
        <v/>
      </c>
      <c r="P2026">
        <f>IF(B2048=0,0,O2026/B2048)</f>
        <v/>
      </c>
      <c r="Q2026" t="n">
        <v>0</v>
      </c>
      <c r="R2026" t="n">
        <v>0</v>
      </c>
      <c r="S2026" t="n">
        <v>0</v>
      </c>
      <c r="T2026" t="n">
        <v>0</v>
      </c>
      <c r="V2026" t="n">
        <v>0</v>
      </c>
    </row>
    <row r="2027">
      <c r="A2027">
        <f>Skills!A21</f>
        <v/>
      </c>
      <c r="B2027">
        <f>Skills!B21</f>
        <v/>
      </c>
      <c r="C2027">
        <f>Inputs!$B$3&gt;=33</f>
        <v/>
      </c>
      <c r="D2027">
        <f>IF(Skills!C21=1,60+Inputs!$B$25+Inputs!$B$29,IF(Skills!C21=2,90+Inputs!$B$26+Inputs!$B$29,IF(Skills!C21=3,120+Inputs!$B$27+Inputs!$B$29,MAX(0,(Inputs!$B$3-100)*3)+Inputs!$B$28+Inputs!$B$29)))</f>
        <v/>
      </c>
      <c r="E2027">
        <f>INDEX(FactorTable!$B$2:$Y$301, MATCH(ROUND(MIN(300,MAX(1,D2027)),0), FactorTable!$A$2:$A$301,0), Skills!M21+1)</f>
        <v/>
      </c>
      <c r="F2027">
        <f>IF(Skills!N21=TRUE,(Skills!L21/10)*(E2027/1000),Skills!L21/10)+Skills!O21</f>
        <v/>
      </c>
      <c r="G2027">
        <f>Skills!G21*IF(Skills!H21&gt;0,Skills!I21/Skills!H21,1)</f>
        <v/>
      </c>
      <c r="H2027">
        <f>1-(1-Skills!J21/100)^Skills!K21</f>
        <v/>
      </c>
      <c r="I2027" t="inlineStr">
        <is>
          <t>1</t>
        </is>
      </c>
      <c r="J2027" t="inlineStr"/>
      <c r="K2027" t="inlineStr"/>
      <c r="L2027" t="inlineStr"/>
      <c r="M2027" t="inlineStr"/>
      <c r="N2027" t="inlineStr"/>
      <c r="O2027">
        <f>(1-Summary!$B$11)*T2027+Summary!$B$11*V2027</f>
        <v/>
      </c>
      <c r="P2027">
        <f>IF(B2048=0,0,O2027/B2048)</f>
        <v/>
      </c>
      <c r="Q2027" t="n">
        <v>0</v>
      </c>
      <c r="R2027" t="n">
        <v>0</v>
      </c>
      <c r="S2027" t="n">
        <v>0</v>
      </c>
      <c r="T2027" t="n">
        <v>0</v>
      </c>
      <c r="V2027" t="n">
        <v>0</v>
      </c>
    </row>
    <row r="2028">
      <c r="A2028">
        <f>Skills!A22</f>
        <v/>
      </c>
      <c r="B2028">
        <f>Skills!B22</f>
        <v/>
      </c>
      <c r="C2028">
        <f>Inputs!$B$3&gt;=38</f>
        <v/>
      </c>
      <c r="D2028">
        <f>IF(Skills!C22=1,60+Inputs!$B$25+Inputs!$B$29,IF(Skills!C22=2,90+Inputs!$B$26+Inputs!$B$29,IF(Skills!C22=3,120+Inputs!$B$27+Inputs!$B$29,MAX(0,(Inputs!$B$3-100)*3)+Inputs!$B$28+Inputs!$B$29)))</f>
        <v/>
      </c>
      <c r="E2028">
        <f>INDEX(FactorTable!$B$2:$Y$301, MATCH(ROUND(MIN(300,MAX(1,D2028)),0), FactorTable!$A$2:$A$301,0), Skills!M22+1)</f>
        <v/>
      </c>
      <c r="F2028">
        <f>IF(Skills!N22=TRUE,(Skills!L22/10)*(E2028/1000),Skills!L22/10)+Skills!O22</f>
        <v/>
      </c>
      <c r="G2028">
        <f>Skills!G22*IF(Skills!H22&gt;0,Skills!I22/Skills!H22,1)</f>
        <v/>
      </c>
      <c r="H2028">
        <f>1-(1-Skills!J22/100)^Skills!K22</f>
        <v/>
      </c>
      <c r="I2028" t="inlineStr">
        <is>
          <t>1</t>
        </is>
      </c>
      <c r="J2028" t="inlineStr"/>
      <c r="K2028" t="inlineStr"/>
      <c r="L2028" t="inlineStr"/>
      <c r="M2028" t="inlineStr"/>
      <c r="N2028" t="inlineStr"/>
      <c r="O2028">
        <f>(1-Summary!$B$11)*T2028+Summary!$B$11*V2028</f>
        <v/>
      </c>
      <c r="P2028">
        <f>IF(B2048=0,0,O2028/B2048)</f>
        <v/>
      </c>
      <c r="Q2028" t="n">
        <v>0</v>
      </c>
      <c r="R2028" t="n">
        <v>0</v>
      </c>
      <c r="S2028" t="n">
        <v>0</v>
      </c>
      <c r="T2028" t="n">
        <v>0</v>
      </c>
      <c r="V2028" t="n">
        <v>0</v>
      </c>
    </row>
    <row r="2029">
      <c r="A2029">
        <f>Skills!A23</f>
        <v/>
      </c>
      <c r="B2029">
        <f>Skills!B23</f>
        <v/>
      </c>
      <c r="C2029">
        <f>Inputs!$B$3&gt;=43</f>
        <v/>
      </c>
      <c r="D2029">
        <f>IF(Skills!C23=1,60+Inputs!$B$25+Inputs!$B$29,IF(Skills!C23=2,90+Inputs!$B$26+Inputs!$B$29,IF(Skills!C23=3,120+Inputs!$B$27+Inputs!$B$29,MAX(0,(Inputs!$B$3-100)*3)+Inputs!$B$28+Inputs!$B$29)))</f>
        <v/>
      </c>
      <c r="E2029">
        <f>INDEX(FactorTable!$B$2:$Y$301, MATCH(ROUND(MIN(300,MAX(1,D2029)),0), FactorTable!$A$2:$A$301,0), Skills!M23+1)</f>
        <v/>
      </c>
      <c r="F2029">
        <f>IF(Skills!N23=TRUE,(Skills!L23/10)*(E2029/1000),Skills!L23/10)+Skills!O23</f>
        <v/>
      </c>
      <c r="G2029">
        <f>Skills!G23*IF(Skills!H23&gt;0,Skills!I23/Skills!H23,1)</f>
        <v/>
      </c>
      <c r="H2029">
        <f>1-(1-Skills!J23/100)^Skills!K23</f>
        <v/>
      </c>
      <c r="I2029" t="inlineStr">
        <is>
          <t>1</t>
        </is>
      </c>
      <c r="J2029" t="inlineStr"/>
      <c r="K2029" t="inlineStr"/>
      <c r="L2029" t="inlineStr"/>
      <c r="M2029" t="inlineStr"/>
      <c r="N2029" t="inlineStr"/>
      <c r="O2029">
        <f>(1-Summary!$B$11)*T2029+Summary!$B$11*V2029</f>
        <v/>
      </c>
      <c r="P2029">
        <f>IF(B2048=0,0,O2029/B2048)</f>
        <v/>
      </c>
      <c r="Q2029" t="n">
        <v>0</v>
      </c>
      <c r="R2029" t="n">
        <v>0</v>
      </c>
      <c r="S2029" t="n">
        <v>0</v>
      </c>
      <c r="T2029" t="n">
        <v>0</v>
      </c>
      <c r="V2029" t="n">
        <v>0</v>
      </c>
    </row>
    <row r="2030">
      <c r="A2030">
        <f>Skills!A24</f>
        <v/>
      </c>
      <c r="B2030">
        <f>Skills!B24</f>
        <v/>
      </c>
      <c r="C2030">
        <f>Inputs!$B$3&gt;=75</f>
        <v/>
      </c>
      <c r="D2030">
        <f>IF(Skills!C24=1,60+Inputs!$B$25+Inputs!$B$29,IF(Skills!C24=2,90+Inputs!$B$26+Inputs!$B$29,IF(Skills!C24=3,120+Inputs!$B$27+Inputs!$B$29,MAX(0,(Inputs!$B$3-100)*3)+Inputs!$B$28+Inputs!$B$29)))</f>
        <v/>
      </c>
      <c r="E2030">
        <f>INDEX(FactorTable!$B$2:$Y$301, MATCH(ROUND(MIN(300,MAX(1,D2030)),0), FactorTable!$A$2:$A$301,0), Skills!M24+1)</f>
        <v/>
      </c>
      <c r="F2030">
        <f>IF(Skills!N24=TRUE,(Skills!L24/10)*(E2030/1000),Skills!L24/10)+Skills!O24</f>
        <v/>
      </c>
      <c r="G2030">
        <f>Skills!G24*IF(Skills!H24&gt;0,Skills!I24/Skills!H24,1)</f>
        <v/>
      </c>
      <c r="H2030">
        <f>1-(1-Skills!J24/100)^Skills!K24</f>
        <v/>
      </c>
      <c r="I2030" t="inlineStr">
        <is>
          <t>1</t>
        </is>
      </c>
      <c r="J2030" t="inlineStr"/>
      <c r="K2030" t="inlineStr"/>
      <c r="L2030" t="inlineStr"/>
      <c r="M2030" t="inlineStr"/>
      <c r="N2030" t="inlineStr"/>
      <c r="O2030">
        <f>(1-Summary!$B$11)*T2030+Summary!$B$11*V2030</f>
        <v/>
      </c>
      <c r="P2030">
        <f>IF(B2048=0,0,O2030/B2048)</f>
        <v/>
      </c>
      <c r="Q2030" t="n">
        <v>0</v>
      </c>
      <c r="R2030" t="n">
        <v>0</v>
      </c>
      <c r="S2030" t="n">
        <v>0</v>
      </c>
      <c r="T2030" t="n">
        <v>0</v>
      </c>
      <c r="V2030" t="n">
        <v>0</v>
      </c>
    </row>
    <row r="2031">
      <c r="A2031">
        <f>Skills!A25</f>
        <v/>
      </c>
      <c r="B2031">
        <f>Skills!B25</f>
        <v/>
      </c>
      <c r="C2031">
        <f>Inputs!$B$3&gt;=125</f>
        <v/>
      </c>
      <c r="D2031">
        <f>IF(Skills!C25=1,60+Inputs!$B$25+Inputs!$B$29,IF(Skills!C25=2,90+Inputs!$B$26+Inputs!$B$29,IF(Skills!C25=3,120+Inputs!$B$27+Inputs!$B$29,MAX(0,(Inputs!$B$3-100)*3)+Inputs!$B$28+Inputs!$B$29)))</f>
        <v/>
      </c>
      <c r="E2031">
        <f>INDEX(FactorTable!$B$2:$Y$301, MATCH(ROUND(MIN(300,MAX(1,D2031)),0), FactorTable!$A$2:$A$301,0), Skills!M25+1)</f>
        <v/>
      </c>
      <c r="F2031">
        <f>IF(Skills!N25=TRUE,(Skills!L25/10)*(E2031/1000),Skills!L25/10)+Skills!O25</f>
        <v/>
      </c>
      <c r="G2031">
        <f>Skills!G25*IF(Skills!H25&gt;0,Skills!I25/Skills!H25,1)</f>
        <v/>
      </c>
      <c r="H2031">
        <f>1-(1-Skills!J25/100)^Skills!K25</f>
        <v/>
      </c>
      <c r="I2031" t="inlineStr">
        <is>
          <t>1</t>
        </is>
      </c>
      <c r="J2031" t="inlineStr"/>
      <c r="K2031" t="inlineStr"/>
      <c r="L2031" t="inlineStr"/>
      <c r="M2031" t="inlineStr"/>
      <c r="N2031" t="inlineStr"/>
      <c r="O2031">
        <f>(1-Summary!$B$11)*T2031+Summary!$B$11*V2031</f>
        <v/>
      </c>
      <c r="P2031">
        <f>IF(B2048=0,0,O2031/B2048)</f>
        <v/>
      </c>
      <c r="Q2031" t="n">
        <v>0</v>
      </c>
      <c r="R2031" t="n">
        <v>0</v>
      </c>
      <c r="S2031" t="n">
        <v>0</v>
      </c>
      <c r="T2031" t="n">
        <v>0</v>
      </c>
      <c r="V2031" t="n">
        <v>0</v>
      </c>
    </row>
    <row r="2032">
      <c r="A2032">
        <f>Skills!A26</f>
        <v/>
      </c>
      <c r="B2032">
        <f>Skills!B26</f>
        <v/>
      </c>
      <c r="C2032">
        <f>Inputs!$B$3&gt;=125</f>
        <v/>
      </c>
      <c r="D2032">
        <f>IF(Skills!C26=1,60+Inputs!$B$25+Inputs!$B$29,IF(Skills!C26=2,90+Inputs!$B$26+Inputs!$B$29,IF(Skills!C26=3,120+Inputs!$B$27+Inputs!$B$29,MAX(0,(Inputs!$B$3-100)*3)+Inputs!$B$28+Inputs!$B$29)))</f>
        <v/>
      </c>
      <c r="E2032">
        <f>INDEX(FactorTable!$B$2:$Y$301, MATCH(ROUND(MIN(300,MAX(1,D2032)),0), FactorTable!$A$2:$A$301,0), Skills!M26+1)</f>
        <v/>
      </c>
      <c r="F2032">
        <f>IF(Skills!N26=TRUE,(Skills!L26/10)*(E2032/1000),Skills!L26/10)+Skills!O26</f>
        <v/>
      </c>
      <c r="G2032">
        <f>Skills!G26*IF(Skills!H26&gt;0,Skills!I26/Skills!H26,1)</f>
        <v/>
      </c>
      <c r="H2032">
        <f>1-(1-Skills!J26/100)^Skills!K26</f>
        <v/>
      </c>
      <c r="I2032" t="inlineStr">
        <is>
          <t>1</t>
        </is>
      </c>
      <c r="J2032" t="inlineStr"/>
      <c r="K2032" t="inlineStr"/>
      <c r="L2032" t="inlineStr"/>
      <c r="M2032" t="inlineStr"/>
      <c r="N2032" t="inlineStr"/>
      <c r="O2032">
        <f>(1-Summary!$B$11)*T2032+Summary!$B$11*V2032</f>
        <v/>
      </c>
      <c r="P2032">
        <f>IF(B2048=0,0,O2032/B2048)</f>
        <v/>
      </c>
      <c r="Q2032" t="n">
        <v>0</v>
      </c>
      <c r="R2032" t="n">
        <v>0</v>
      </c>
      <c r="S2032" t="n">
        <v>0</v>
      </c>
      <c r="T2032" t="n">
        <v>0</v>
      </c>
      <c r="V2032" t="n">
        <v>0</v>
      </c>
    </row>
    <row r="2033">
      <c r="A2033">
        <f>Skills!A27</f>
        <v/>
      </c>
      <c r="B2033">
        <f>Skills!B27</f>
        <v/>
      </c>
      <c r="C2033">
        <f>Inputs!$B$3&gt;=120</f>
        <v/>
      </c>
      <c r="D2033">
        <f>IF(Skills!C27=1,60+Inputs!$B$25+Inputs!$B$29,IF(Skills!C27=2,90+Inputs!$B$26+Inputs!$B$29,IF(Skills!C27=3,120+Inputs!$B$27+Inputs!$B$29,MAX(0,(Inputs!$B$3-100)*3)+Inputs!$B$28+Inputs!$B$29)))</f>
        <v/>
      </c>
      <c r="E2033">
        <f>INDEX(FactorTable!$B$2:$Y$301, MATCH(ROUND(MIN(300,MAX(1,D2033)),0), FactorTable!$A$2:$A$301,0), Skills!M27+1)</f>
        <v/>
      </c>
      <c r="F2033">
        <f>IF(Skills!N27=TRUE,(Skills!L27/10)*(E2033/1000),Skills!L27/10)+Skills!O27</f>
        <v/>
      </c>
      <c r="G2033">
        <f>Skills!G27*IF(Skills!H27&gt;0,Skills!I27/Skills!H27,1)</f>
        <v/>
      </c>
      <c r="H2033">
        <f>1-(1-Skills!J27/100)^Skills!K27</f>
        <v/>
      </c>
      <c r="I2033" t="inlineStr">
        <is>
          <t>1</t>
        </is>
      </c>
      <c r="J2033" t="inlineStr"/>
      <c r="K2033" t="inlineStr"/>
      <c r="L2033" t="inlineStr"/>
      <c r="M2033" t="inlineStr"/>
      <c r="N2033" t="inlineStr"/>
      <c r="O2033">
        <f>(1-Summary!$B$11)*T2033+Summary!$B$11*V2033</f>
        <v/>
      </c>
      <c r="P2033">
        <f>IF(B2048=0,0,O2033/B2048)</f>
        <v/>
      </c>
      <c r="Q2033" t="n">
        <v>0</v>
      </c>
      <c r="R2033" t="n">
        <v>0</v>
      </c>
      <c r="S2033" t="n">
        <v>0</v>
      </c>
      <c r="T2033" t="n">
        <v>0</v>
      </c>
      <c r="V2033" t="n">
        <v>0</v>
      </c>
    </row>
    <row r="2034">
      <c r="A2034">
        <f>Skills!A28</f>
        <v/>
      </c>
      <c r="B2034">
        <f>Skills!B28</f>
        <v/>
      </c>
      <c r="C2034">
        <f>Inputs!$B$3&gt;=120</f>
        <v/>
      </c>
      <c r="D2034">
        <f>IF(Skills!C28=1,60+Inputs!$B$25+Inputs!$B$29,IF(Skills!C28=2,90+Inputs!$B$26+Inputs!$B$29,IF(Skills!C28=3,120+Inputs!$B$27+Inputs!$B$29,MAX(0,(Inputs!$B$3-100)*3)+Inputs!$B$28+Inputs!$B$29)))</f>
        <v/>
      </c>
      <c r="E2034">
        <f>INDEX(FactorTable!$B$2:$Y$301, MATCH(ROUND(MIN(300,MAX(1,D2034)),0), FactorTable!$A$2:$A$301,0), Skills!M28+1)</f>
        <v/>
      </c>
      <c r="F2034">
        <f>IF(Skills!N28=TRUE,(Skills!L28/10)*(E2034/1000),Skills!L28/10)+Skills!O28</f>
        <v/>
      </c>
      <c r="G2034">
        <f>Skills!G28*IF(Skills!H28&gt;0,Skills!I28/Skills!H28,1)</f>
        <v/>
      </c>
      <c r="H2034">
        <f>1-(1-Skills!J28/100)^Skills!K28</f>
        <v/>
      </c>
      <c r="I2034" t="inlineStr">
        <is>
          <t>1</t>
        </is>
      </c>
      <c r="J2034" t="inlineStr"/>
      <c r="K2034" t="inlineStr"/>
      <c r="L2034" t="inlineStr"/>
      <c r="M2034" t="inlineStr"/>
      <c r="N2034" t="inlineStr"/>
      <c r="O2034">
        <f>(1-Summary!$B$11)*T2034+Summary!$B$11*V2034</f>
        <v/>
      </c>
      <c r="P2034">
        <f>IF(B2048=0,0,O2034/B2048)</f>
        <v/>
      </c>
      <c r="Q2034" t="n">
        <v>0</v>
      </c>
      <c r="R2034" t="n">
        <v>0</v>
      </c>
      <c r="S2034" t="n">
        <v>0</v>
      </c>
      <c r="T2034" t="n">
        <v>0</v>
      </c>
      <c r="V2034" t="n">
        <v>0</v>
      </c>
    </row>
    <row r="2035">
      <c r="A2035">
        <f>Skills!A29</f>
        <v/>
      </c>
      <c r="B2035">
        <f>Skills!B29</f>
        <v/>
      </c>
      <c r="C2035">
        <f>Inputs!$B$3&gt;=45</f>
        <v/>
      </c>
      <c r="D2035">
        <f>IF(Skills!C29=1,60+Inputs!$B$25+Inputs!$B$29,IF(Skills!C29=2,90+Inputs!$B$26+Inputs!$B$29,IF(Skills!C29=3,120+Inputs!$B$27+Inputs!$B$29,MAX(0,(Inputs!$B$3-100)*3)+Inputs!$B$28+Inputs!$B$29)))</f>
        <v/>
      </c>
      <c r="E2035">
        <f>INDEX(FactorTable!$B$2:$Y$301, MATCH(ROUND(MIN(300,MAX(1,D2035)),0), FactorTable!$A$2:$A$301,0), Skills!M29+1)</f>
        <v/>
      </c>
      <c r="F2035">
        <f>IF(Skills!N29=TRUE,(Skills!L29/10)*(E2035/1000),Skills!L29/10)+Skills!O29</f>
        <v/>
      </c>
      <c r="G2035">
        <f>Skills!G29*IF(Skills!H29&gt;0,Skills!I29/Skills!H29,1)</f>
        <v/>
      </c>
      <c r="H2035">
        <f>1-(1-Skills!J29/100)^Skills!K29</f>
        <v/>
      </c>
      <c r="I2035" t="inlineStr">
        <is>
          <t>1</t>
        </is>
      </c>
      <c r="J2035" t="inlineStr"/>
      <c r="K2035" t="inlineStr"/>
      <c r="L2035" t="inlineStr"/>
      <c r="M2035" t="inlineStr"/>
      <c r="N2035" t="inlineStr"/>
      <c r="O2035">
        <f>(1-Summary!$B$11)*T2035+Summary!$B$11*V2035</f>
        <v/>
      </c>
      <c r="P2035">
        <f>IF(B2048=0,0,O2035/B2048)</f>
        <v/>
      </c>
      <c r="Q2035" t="n">
        <v>0</v>
      </c>
      <c r="R2035" t="n">
        <v>0</v>
      </c>
      <c r="S2035" t="n">
        <v>0</v>
      </c>
      <c r="T2035" t="n">
        <v>0</v>
      </c>
      <c r="V2035" t="n">
        <v>0</v>
      </c>
    </row>
    <row r="2037">
      <c r="A2037" t="inlineStr">
        <is>
          <t>Attack% Bucket Multiplier</t>
        </is>
      </c>
      <c r="B2037">
        <f>(1+(((C2019=TRUE)*F2019)+((C2020=TRUE)*IF(Inputs!$B$38="pvp",F2020,(1-Summary!$B$11)*(F2020)+Summary!$B$11*(0)))+((C2021=TRUE)*F2021*IF(AND(Inputs!$B$38&lt;&gt;"pvp",Inputs!$B$43&gt;0),(((R2021-1)*(Skills!T15*(1+Inputs!$B$34/100))+MIN((Skills!T15*(1+Inputs!$B$34/100)),MAX(0,Inputs!$B$43-((R2021-1)*Skills!D15))))/Inputs!$B$43),IF(Inputs!$B$38="pvp",MIN((Skills!T15*(1+Inputs!$B$34/100)),15)/15,(Skills!T15*(1+Inputs!$B$34/100))/Skills!D15)))+((C2018=TRUE)*F2018)+((C2035=TRUE)*(F2035-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2038">
      <c r="A2038" t="inlineStr">
        <is>
          <t>Global Crit Rate Bonus %</t>
        </is>
      </c>
      <c r="B2038">
        <f>(C2022=TRUE)*20*IF(AND(Inputs!$B$38&lt;&gt;"pvp",Inputs!$B$43&gt;0),(((R2022-1)*(Skills!T16*(1+Inputs!$B$34/100))+MIN((Skills!T16*(1+Inputs!$B$34/100)),MAX(0,Inputs!$B$43-((R2022-1)*Skills!D16))))/Inputs!$B$43),IF(Inputs!$B$38="pvp",MIN((Skills!T16*(1+Inputs!$B$34/100)),15)/15,(Skills!T16*(1+Inputs!$B$34/100))/Skills!D16))</f>
        <v/>
      </c>
    </row>
    <row r="2039">
      <c r="A2039" t="inlineStr">
        <is>
          <t>Attack Speed Buff Bonus %</t>
        </is>
      </c>
      <c r="B2039">
        <f>((C2024=TRUE)*F2024*IF(AND(Inputs!$B$38&lt;&gt;"pvp",Inputs!$B$43&gt;0),(((R2024-1)*(Skills!T18*(1+Inputs!$B$34/100))+MIN((Skills!T18*(1+Inputs!$B$34/100)),MAX(0,Inputs!$B$43-((R2024-1)*Skills!D18))))/Inputs!$B$43),IF(Inputs!$B$38="pvp",MIN((Skills!T18*(1+Inputs!$B$34/100)),15)/15,(Skills!T18*(1+Inputs!$B$34/100))/Skills!D18)))</f>
        <v/>
      </c>
    </row>
    <row r="2040">
      <c r="A2040" t="inlineStr">
        <is>
          <t>Actions Per Second</t>
        </is>
      </c>
      <c r="B2040">
        <f>1+MIN(150,150*(1-(1-(Inputs!$B$11+((C2026=TRUE)*(F2026-Calc!F20))+((C2027=TRUE)*(F2027-Calc!F21)))/150)*(1-B2039/150)))/100</f>
        <v/>
      </c>
    </row>
    <row r="2041">
      <c r="A2041" t="inlineStr">
        <is>
          <t>Skill + Buff Cast Rate</t>
        </is>
      </c>
      <c r="B2041">
        <f>IF(AND(Inputs!$B$38&lt;&gt;"pvp",Inputs!$B$43&gt;0),SUMPRODUCT((Skills!E2:E29=TRUE)*(C2008:C2035=TRUE)*R2008:R2035*Skills!F2:F29)/Inputs!$B$43,SUMPRODUCT((Skills!E2:E29=TRUE)*(C2008:C2035=TRUE)*Q2008:Q2035*Skills!F2:F29))</f>
        <v/>
      </c>
    </row>
    <row r="2042">
      <c r="A2042" t="inlineStr">
        <is>
          <t>Empowered Piercing Arrow Casts Per Second</t>
        </is>
      </c>
      <c r="B2042">
        <f>MAX(0,B2040-B2041)</f>
        <v/>
      </c>
    </row>
    <row r="2043">
      <c r="A2043" t="inlineStr">
        <is>
          <t>Global Critical Damage Bonus % (Sharp Eyes)</t>
        </is>
      </c>
      <c r="B2043">
        <f>(C2022=TRUE)*F2022*IF(AND(Inputs!$B$38&lt;&gt;"pvp",Inputs!$B$43&gt;0),(((R2022-1)*(Skills!T16*(1+Inputs!$B$34/100))+MIN((Skills!T16*(1+Inputs!$B$34/100)),MAX(0,Inputs!$B$43-((R2022-1)*Skills!D16))))/Inputs!$B$43),IF(Inputs!$B$38="pvp",MIN((Skills!T16*(1+Inputs!$B$34/100)),15)/15,(Skills!T16*(1+Inputs!$B$34/100))/Skills!D16))</f>
        <v/>
      </c>
    </row>
    <row r="2044">
      <c r="A2044" t="inlineStr">
        <is>
          <t>Global Final Damage Bonus % (Mortal Blow + Last Man Standing conditional half)</t>
        </is>
      </c>
      <c r="B2044">
        <f>(C2023=TRUE)*F2023+((C2032=TRUE)*IF(Inputs!$B$38="pvp",F2032,(1-Summary!$B$11)*(F2032)+Summary!$B$11*(0)))</f>
        <v/>
      </c>
    </row>
    <row r="2045">
      <c r="A2045" t="inlineStr">
        <is>
          <t>Buff-Casting Startup Delay (s, fixed-duration only)</t>
        </is>
      </c>
      <c r="B2045">
        <f>IF(AND(Inputs!$B$38&lt;&gt;"pvp",Inputs!$B$43&gt;0),SUMPRODUCT((Skills!T2:T29&gt;0)*(Skills!E2:E29=TRUE)*(C2008:C2035=TRUE))/B2040,0)</f>
        <v/>
      </c>
    </row>
    <row r="2046">
      <c r="A2046" t="inlineStr">
        <is>
          <t>Boss-Only Total DPS (this block's swept value)</t>
        </is>
      </c>
      <c r="B2046">
        <f>SUM(T2008:T2035)</f>
        <v/>
      </c>
    </row>
    <row r="2047">
      <c r="A2047" t="inlineStr">
        <is>
          <t>Normal-Only Total DPS (this block's swept value)</t>
        </is>
      </c>
      <c r="B2047">
        <f>SUM(V2008:V2035)</f>
        <v/>
      </c>
    </row>
    <row r="2048">
      <c r="A2048" s="6" t="inlineStr">
        <is>
          <t>TOTAL DPS</t>
        </is>
      </c>
      <c r="B2048" s="6">
        <f>SUM(O2008:O2035)</f>
        <v/>
      </c>
    </row>
    <row r="2051">
      <c r="A2051" s="6" t="inlineStr">
        <is>
          <t>Stat: Lunar Dew (Equip)</t>
        </is>
      </c>
    </row>
    <row r="2052">
      <c r="A2052" s="5" t="inlineStr">
        <is>
          <t>Key</t>
        </is>
      </c>
      <c r="B2052" s="5" t="inlineStr">
        <is>
          <t>Name</t>
        </is>
      </c>
      <c r="C2052" s="5" t="inlineStr">
        <is>
          <t>Unlocked</t>
        </is>
      </c>
      <c r="D2052" s="5" t="inlineStr">
        <is>
          <t>InputLevel</t>
        </is>
      </c>
      <c r="E2052" s="5" t="inlineStr">
        <is>
          <t>Factor</t>
        </is>
      </c>
      <c r="F2052" s="5" t="inlineStr">
        <is>
          <t>CoefficientPercent</t>
        </is>
      </c>
      <c r="G2052" s="5" t="inlineStr">
        <is>
          <t>EffectiveHits</t>
        </is>
      </c>
      <c r="H2052" s="5" t="inlineStr">
        <is>
          <t>ProcProbability</t>
        </is>
      </c>
      <c r="I2052" s="5" t="inlineStr">
        <is>
          <t>MapleHeroMultiplier</t>
        </is>
      </c>
      <c r="J2052" s="5" t="inlineStr">
        <is>
          <t>BaseDamage</t>
        </is>
      </c>
      <c r="K2052" s="5" t="inlineStr">
        <is>
          <t>BaseHitDamage</t>
        </is>
      </c>
      <c r="L2052" s="5" t="inlineStr">
        <is>
          <t>NonCritAvg</t>
        </is>
      </c>
      <c r="M2052" s="5" t="inlineStr">
        <is>
          <t>CritAvg</t>
        </is>
      </c>
      <c r="N2052" s="5" t="inlineStr">
        <is>
          <t>ExpectedDamage(perHit)</t>
        </is>
      </c>
      <c r="O2052" s="5" t="inlineStr">
        <is>
          <t>DPS</t>
        </is>
      </c>
      <c r="P2052" s="5" t="inlineStr">
        <is>
          <t>% of Total</t>
        </is>
      </c>
      <c r="Q2052" s="5" t="inlineStr">
        <is>
          <t>InvCooldown</t>
        </is>
      </c>
      <c r="R2052" s="5" t="inlineStr">
        <is>
          <t>CastsInFight</t>
        </is>
      </c>
      <c r="S2052" s="5" t="inlineStr">
        <is>
          <t>HitRate(perSec)</t>
        </is>
      </c>
      <c r="U2052" t="inlineStr">
        <is>
          <t>helpers</t>
        </is>
      </c>
    </row>
    <row r="2053">
      <c r="A2053">
        <f>Skills!A2</f>
        <v/>
      </c>
      <c r="B2053">
        <f>Skills!B2</f>
        <v/>
      </c>
      <c r="C2053">
        <f>Inputs!$B$3&gt;=100</f>
        <v/>
      </c>
      <c r="D2053" t="inlineStr"/>
      <c r="E2053" t="inlineStr"/>
      <c r="F2053">
        <f>U2055+Skills!O2</f>
        <v/>
      </c>
      <c r="G2053">
        <f>Skills!G2*IF(Skills!H2&gt;0,Skills!I2/Skills!H2,1)</f>
        <v/>
      </c>
      <c r="H2053">
        <f>1-(1-Skills!J2/100)^Skills!K2</f>
        <v/>
      </c>
      <c r="I2053" t="inlineStr">
        <is>
          <t>1</t>
        </is>
      </c>
      <c r="J2053">
        <f>((Inputs!$B$6*(1+Inputs!$B$7/100))+(((Inputs!$B$12*(1+Inputs!$B$13/100))-(Inputs!$B$12*(1+Inputs!$B$13/100)))+0.25*(Inputs!$B$14-Inputs!$B$14))*(1+Inputs!$B$7/100))*(F2053/100)</f>
        <v/>
      </c>
      <c r="K2053">
        <f>J2053*(1+((Inputs!$B$12*(1+Inputs!$B$13/100))*0.01+Inputs!$B$14*0.0025)/100)*(1+Inputs!$B$15/100)*(1+Inputs!$B$16/100)*(5000/(6000+Inputs!$B$42*(1-(100*(1-(1-(Inputs!$B$19+0)/100)*(1-CHOOSE(ArtifactsInput!$N$40+1,5,6,7,8,9,10)/100)^(ArtifactsInput!$M$40-ArtifactsInput!$M$40)))/100)))*(1+(Inputs!$B$24+((C2075=TRUE)*(F2075-Calc!F24))+((C2076=TRUE)*(F2076-Calc!F25))+B2089)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EMPOWERED_PIERCING_ARROW",Inputs!$B$17+((C2073=TRUE)*(F2073-Calc!F22))+(((IF(AND(ArtifactsInput!$M$42,((Inputs!$B$9+((C2070=TRUE)*(F2070-Calc!F19))+B2083+(ArtifactsInput!$M$24-ArtifactsInput!$M$24)*CHOOSE(ArtifactsInput!$N$24+1,10,12,14,16,18,20)+IF(ArtifactsInput!$M$10,CHOOSE(ArtifactsInput!$N$10+1,15,18,21,24,27,30)*(IF(Inputs!$B$38="pvp",MIN(15,15)/15,IF(AND(Inputs!$B$38&lt;&gt;"pvp",Inputs!$B$43&gt;0),MIN(15,Inputs!$B$43)/(Inputs!$B$43),0))),0)))&gt;=100),MIN(100,((Inputs!$B$9+((C2070=TRUE)*(F2070-Calc!F19))+B2083+(ArtifactsInput!$M$24-ArtifactsInput!$M$24)*CHOOSE(ArtifactsInput!$N$24+1,10,12,14,16,18,20)+IF(ArtifactsInput!$M$10,CHOOSE(ArtifactsInput!$N$10+1,15,18,21,24,27,30)*(IF(Inputs!$B$38="pvp",MIN(15,15)/15,IF(AND(Inputs!$B$38&lt;&gt;"pvp",Inputs!$B$43&gt;0),MIN(15,Inputs!$B$43)/(Inputs!$B$43),0))),0)))-100),0))*CHOOSE(ArtifactsInput!$N$42+1,0.6,0.72,0.84,0.96,1.08,1.2))),Inputs!$B$18+((C2078=TRUE)*(F2078-Calc!F27))+(IF(AND(ArtifactsInput!$M$42,((Inputs!$B$9+((C2070=TRUE)*(F2070-Calc!F19))+B2083+(ArtifactsInput!$M$24-ArtifactsInput!$M$24)*CHOOSE(ArtifactsInput!$N$24+1,10,12,14,16,18,20)+IF(ArtifactsInput!$M$10,CHOOSE(ArtifactsInput!$N$10+1,15,18,21,24,27,30)*(IF(Inputs!$B$38="pvp",MIN(15,15)/15,IF(AND(Inputs!$B$38&lt;&gt;"pvp",Inputs!$B$43&gt;0),MIN(15,Inputs!$B$43)/(Inputs!$B$43),0))),0)))&gt;=100),CHOOSE(ArtifactsInput!$N$42+1,40,48,56,64,72,80),0))))/100)*((1+(((C2064=TRUE)*F2064)+((C2065=TRUE)*IF(Inputs!$B$38="pvp",F2065,(1-Summary!$B$11)*(F2065)+Summary!$B$11*(0)))+((C2066=TRUE)*F2066*IF(AND(Inputs!$B$38&lt;&gt;"pvp",Inputs!$B$43&gt;0),(((R2066-1)*(Skills!T15*(1+Inputs!$B$34/100))+MIN((Skills!T15*(1+Inputs!$B$34/100)),MAX(0,Inputs!$B$43-((R2066-1)*Skills!D15))))/Inputs!$B$43),IF(Inputs!$B$38="pvp",MIN((Skills!T15*(1+Inputs!$B$34/100)),15)/15,(Skills!T15*(1+Inputs!$B$34/100))/Skills!D15)))+((C2063=TRUE)*F2063)+((C2080=TRUE)*(F2080-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2053)</f>
        <v/>
      </c>
      <c r="L2053">
        <f>K2053*(MIN(Inputs!$B$22+((C2074=TRUE)*(F2074-Calc!F23)),(Inputs!$B$23+((C2079=TRUE)*(F2079-Calc!F28))+(IF(ArtifactsInput!$M$15,CHOOSE(ArtifactsInput!$N$15+1,25,30,35,40,45,50)/100*(Inputs!$B$11-Inputs!$B$11),0))))/100+(Inputs!$B$23+((C2079=TRUE)*(F2079-Calc!F28))+(IF(ArtifactsInput!$M$15,CHOOSE(ArtifactsInput!$N$15+1,25,30,35,40,45,50)/100*(Inputs!$B$11-Inputs!$B$11),0)))/100)/2</f>
        <v/>
      </c>
      <c r="M2053">
        <f>L2053*(1+(Inputs!$B$10+0+B2088+(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053">
        <f>L2053*(1-MIN((Inputs!$B$9+((C2070=TRUE)*(F2070-Calc!F19))+B2083+(ArtifactsInput!$M$24-ArtifactsInput!$M$24)*CHOOSE(ArtifactsInput!$N$24+1,10,12,14,16,18,20)+(IF(AND(ArtifactsInput!$M$42,((Inputs!$B$9+((C2070=TRUE)*(F2070-Calc!F19))+B2083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2053*(MIN((Inputs!$B$9+((C2070=TRUE)*(F2070-Calc!F19))+B2083+(ArtifactsInput!$M$24-ArtifactsInput!$M$24)*CHOOSE(ArtifactsInput!$N$24+1,10,12,14,16,18,20)+(IF(AND(ArtifactsInput!$M$42,((Inputs!$B$9+((C2070=TRUE)*(F2070-Calc!F19))+B2083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053">
        <f>(1-Summary!$B$11)*T2053+Summary!$B$11*V2053</f>
        <v/>
      </c>
      <c r="P2053">
        <f>IF(B2093=0,0,O2053/B2093)</f>
        <v/>
      </c>
      <c r="Q2053" t="n">
        <v>0</v>
      </c>
      <c r="R2053" t="n">
        <v>0</v>
      </c>
      <c r="S2053">
        <f>IFERROR((Skills!G2*N2053*B2087)/N2053*IF(Inputs!$B$38="pvp",1,(1-Summary!$B$11)*1+Summary!$B$11*(MIN((6+Inputs!$B$33),Inputs!$B$37))),0)</f>
        <v/>
      </c>
      <c r="T2053">
        <f>IF(C2053,(Skills!G2*N2053*B2087)*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Hunt"),CHOOSE(ArtifactsInput!$N$35+1,15,18,21,24,27,30)*(1-EXP(-(0.2*B2085)*5)),0)+IF(AND(ArtifactsInput!$M$22,Inputs!$B$4&lt;&gt;"Chapter Hunt"),CHOOSE(ArtifactsInput!$N$22+1,10,12,14,16,18,20)*((0*(((0.15*B2085*5))^0/1)+1*(((0.15*B2085*5))^1/1)+2*(((0.15*B2085*5))^2/2)+3*(((0.15*B2085*5))^3/6)+4*(((0.15*B2085*5))^4/24)+5*(((0.15*B2085*5))^5/120))/((((0.15*B2085*5))^0/1)+(((0.15*B2085*5))^1/1)+(((0.15*B2085*5))^2/2)+(((0.15*B2085*5))^3/6)+(((0.15*B2085*5))^4/24)+(((0.15*B2085*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2053*(1-MIN(100,(Inputs!$B$9+((C2070=TRUE)*(F2070-Calc!F19))+B2083+(ArtifactsInput!$M$24-ArtifactsInput!$M$24)*CHOOSE(ArtifactsInput!$N$24+1,10,12,14,16,18,20)+(IF(AND(ArtifactsInput!$M$42,((Inputs!$B$9+((C2070=TRUE)*(F2070-Calc!F19))+B2083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2053*(MIN(100,(Inputs!$B$9+((C2070=TRUE)*(F2070-Calc!F19))+B2083+(ArtifactsInput!$M$24-ArtifactsInput!$M$24)*CHOOSE(ArtifactsInput!$N$24+1,10,12,14,16,18,20)+(IF(AND(ArtifactsInput!$M$42,((Inputs!$B$9+((C2070=TRUE)*(F2070-Calc!F19))+B2083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2053*(1-MIN(100,(Inputs!$B$9+((C2070=TRUE)*(F2070-Calc!F19))+B2083+(ArtifactsInput!$M$24-ArtifactsInput!$M$24)*CHOOSE(ArtifactsInput!$N$24+1,10,12,14,16,18,20)+(IF(AND(ArtifactsInput!$M$42,((Inputs!$B$9+((C2070=TRUE)*(F2070-Calc!F19))+B2083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2053*(MIN(100,(Inputs!$B$9+((C2070=TRUE)*(F2070-Calc!F19))+B2083+(ArtifactsInput!$M$24-ArtifactsInput!$M$24)*CHOOSE(ArtifactsInput!$N$24+1,10,12,14,16,18,20)+(IF(AND(ArtifactsInput!$M$42,((Inputs!$B$9+((C2070=TRUE)*(F2070-Calc!F19))+B2083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053">
        <f>MAX(0,(Inputs!$B$3-100)*3)+Inputs!$B$28+Inputs!$B$29</f>
        <v/>
      </c>
      <c r="V2053">
        <f>IF(C2053,(Skills!G2*N2053*B2087)*IF(Inputs!$B$38="pvp",1,(1+(Inputs!$B$21+Skills!Q2+(IF(ArtifactsInput!$M$33,CHOOSE(ArtifactsInput!$N$33+1,30,36,42,48,54,60),0))+(IF(AND(ArtifactsInput!$M$35,Inputs!$B$4&lt;&gt;"Chapter Hunt"),CHOOSE(ArtifactsInput!$N$35+1,15,18,21,24,27,30)*(1-EXP(-(0.2*B2085)*5)),0)+IF(AND(ArtifactsInput!$M$22,Inputs!$B$4&lt;&gt;"Chapter Hunt"),CHOOSE(ArtifactsInput!$N$22+1,10,12,14,16,18,20)*((0*(((0.15*B2085*5))^0/1)+1*(((0.15*B2085*5))^1/1)+2*(((0.15*B2085*5))^2/2)+3*(((0.15*B2085*5))^3/6)+4*(((0.15*B2085*5))^4/24)+5*(((0.15*B2085*5))^5/120))/((((0.15*B2085*5))^0/1)+(((0.15*B2085*5))^1/1)+(((0.15*B2085*5))^2/2)+(((0.15*B2085*5))^3/6)+(((0.15*B2085*5))^4/24)+(((0.15*B2085*5))^5/120)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054">
      <c r="A2054">
        <f>Skills!A3</f>
        <v/>
      </c>
      <c r="B2054">
        <f>Skills!B3</f>
        <v/>
      </c>
      <c r="C2054">
        <f>Inputs!$B$3&gt;=50</f>
        <v/>
      </c>
      <c r="D2054">
        <f>IF(Skills!C3=1,60+Inputs!$B$25+Inputs!$B$29,IF(Skills!C3=2,90+Inputs!$B$26+Inputs!$B$29,IF(Skills!C3=3,120+Inputs!$B$27+Inputs!$B$29,MAX(0,(Inputs!$B$3-100)*3)+Inputs!$B$28+Inputs!$B$29)))</f>
        <v/>
      </c>
      <c r="E2054">
        <f>INDEX(FactorTable!$B$2:$Y$301, MATCH(ROUND(MIN(300,MAX(1,D2054)),0), FactorTable!$A$2:$A$301,0), Skills!M3+1)</f>
        <v/>
      </c>
      <c r="F2054">
        <f>IF(Skills!N3=TRUE,(Skills!L3/10)*(E2054/1000),Skills!L3/10)+Skills!O3</f>
        <v/>
      </c>
      <c r="G2054" t="inlineStr"/>
      <c r="H2054" t="inlineStr"/>
      <c r="I2054" t="inlineStr">
        <is>
          <t>1</t>
        </is>
      </c>
      <c r="J2054" t="inlineStr"/>
      <c r="K2054" t="inlineStr"/>
      <c r="L2054" t="inlineStr"/>
      <c r="M2054" t="inlineStr"/>
      <c r="N2054" t="inlineStr"/>
      <c r="O2054" t="inlineStr"/>
      <c r="P2054" t="inlineStr"/>
      <c r="Q2054" t="inlineStr"/>
      <c r="R2054" t="inlineStr"/>
      <c r="S2054" t="inlineStr"/>
      <c r="T2054" t="inlineStr"/>
      <c r="U2054">
        <f>INDEX(FactorTable!$B$2:$Y$301, MATCH(ROUND(MIN(300,MAX(1,U2053)),0), FactorTable!$A$2:$A$301,0), 22)</f>
        <v/>
      </c>
      <c r="V2054" t="inlineStr"/>
    </row>
    <row r="2055">
      <c r="A2055">
        <f>Skills!A4</f>
        <v/>
      </c>
      <c r="B2055">
        <f>Skills!B4</f>
        <v/>
      </c>
      <c r="C2055">
        <f>Inputs!$B$3&gt;=105</f>
        <v/>
      </c>
      <c r="D2055">
        <f>IF(Skills!C4=1,60+Inputs!$B$25+Inputs!$B$29,IF(Skills!C4=2,90+Inputs!$B$26+Inputs!$B$29,IF(Skills!C4=3,120+Inputs!$B$27+Inputs!$B$29,MAX(0,(Inputs!$B$3-100)*3)+Inputs!$B$28+Inputs!$B$29)))</f>
        <v/>
      </c>
      <c r="E2055">
        <f>INDEX(FactorTable!$B$2:$Y$301, MATCH(ROUND(MIN(300,MAX(1,D2055)),0), FactorTable!$A$2:$A$301,0), Skills!M4+1)</f>
        <v/>
      </c>
      <c r="F2055">
        <f>IF(Skills!N4=TRUE,(Skills!L4/10)*(E2055/1000),Skills!L4/10)+Skills!O4</f>
        <v/>
      </c>
      <c r="G2055" t="inlineStr"/>
      <c r="H2055" t="inlineStr"/>
      <c r="I2055" t="inlineStr">
        <is>
          <t>1</t>
        </is>
      </c>
      <c r="J2055" t="inlineStr"/>
      <c r="K2055" t="inlineStr"/>
      <c r="L2055" t="inlineStr"/>
      <c r="M2055" t="inlineStr"/>
      <c r="N2055" t="inlineStr"/>
      <c r="O2055" t="inlineStr"/>
      <c r="P2055" t="inlineStr"/>
      <c r="Q2055" t="inlineStr"/>
      <c r="R2055" t="inlineStr"/>
      <c r="S2055" t="inlineStr"/>
      <c r="T2055" t="inlineStr"/>
      <c r="U2055">
        <f>290*U2054/1000</f>
        <v/>
      </c>
      <c r="V2055" t="inlineStr"/>
    </row>
    <row r="2056">
      <c r="A2056">
        <f>Skills!A5</f>
        <v/>
      </c>
      <c r="B2056">
        <f>Skills!B5</f>
        <v/>
      </c>
      <c r="C2056">
        <f>Inputs!$B$3&gt;=35</f>
        <v/>
      </c>
      <c r="D2056">
        <f>IF(Skills!C5=1,60+Inputs!$B$25+Inputs!$B$29,IF(Skills!C5=2,90+Inputs!$B$26+Inputs!$B$29,IF(Skills!C5=3,120+Inputs!$B$27+Inputs!$B$29,MAX(0,(Inputs!$B$3-100)*3)+Inputs!$B$28+Inputs!$B$29)))</f>
        <v/>
      </c>
      <c r="E2056">
        <f>INDEX(FactorTable!$B$2:$Y$301, MATCH(ROUND(MIN(300,MAX(1,D2056)),0), FactorTable!$A$2:$A$301,0), Skills!M5+1)</f>
        <v/>
      </c>
      <c r="F2056">
        <f>IF(Skills!N5=TRUE,(Skills!L5/10)*(E2056/1000),Skills!L5/10)+Skills!O5</f>
        <v/>
      </c>
      <c r="G2056">
        <f>Skills!G5*IF(Skills!H5&gt;0,Skills!I5/Skills!H5,1)</f>
        <v/>
      </c>
      <c r="H2056">
        <f>1-(1-Skills!J5/100)^Skills!K5</f>
        <v/>
      </c>
      <c r="I2056" t="inlineStr">
        <is>
          <t>1</t>
        </is>
      </c>
      <c r="J2056">
        <f>((Inputs!$B$6*(1+Inputs!$B$7/100))+(((Inputs!$B$12*(1+Inputs!$B$13/100))-(Inputs!$B$12*(1+Inputs!$B$13/100)))+0.25*(Inputs!$B$14-Inputs!$B$14))*(1+Inputs!$B$7/100))*(F2056/100)</f>
        <v/>
      </c>
      <c r="K2056">
        <f>J2056*(1+((Inputs!$B$12*(1+Inputs!$B$13/100))*0.01+Inputs!$B$14*0.0025)/100)*(1+Inputs!$B$15/100)*(1+Inputs!$B$16/100)*(5000/(6000+Inputs!$B$42*(1-(100*(1-(1-(Inputs!$B$19+0)/100)*(1-CHOOSE(ArtifactsInput!$N$40+1,5,6,7,8,9,10)/100)^(ArtifactsInput!$M$40-ArtifactsInput!$M$40)))/100)))*(1+(Inputs!$B$24+((C2075=TRUE)*(F2075-Calc!F24))+((C2076=TRUE)*(F2076-Calc!F25))+B2089)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2059=TRUE,F2059,0)/100)*(1+(IF(Skills!A5="EMPOWERED_PIERCING_ARROW",Inputs!$B$17+((C2073=TRUE)*(F2073-Calc!F22))+(((IF(AND(ArtifactsInput!$M$42,((Inputs!$B$9+((C2070=TRUE)*(F2070-Calc!F19))+B2083+(ArtifactsInput!$M$24-ArtifactsInput!$M$24)*CHOOSE(ArtifactsInput!$N$24+1,10,12,14,16,18,20)+IF(ArtifactsInput!$M$10,CHOOSE(ArtifactsInput!$N$10+1,15,18,21,24,27,30)*(IF(Inputs!$B$38="pvp",MIN(15,15)/15,IF(AND(Inputs!$B$38&lt;&gt;"pvp",Inputs!$B$43&gt;0),MIN(15,Inputs!$B$43)/(Inputs!$B$43),0))),0)))&gt;=100),MIN(100,((Inputs!$B$9+((C2070=TRUE)*(F2070-Calc!F19))+B2083+(ArtifactsInput!$M$24-ArtifactsInput!$M$24)*CHOOSE(ArtifactsInput!$N$24+1,10,12,14,16,18,20)+IF(ArtifactsInput!$M$10,CHOOSE(ArtifactsInput!$N$10+1,15,18,21,24,27,30)*(IF(Inputs!$B$38="pvp",MIN(15,15)/15,IF(AND(Inputs!$B$38&lt;&gt;"pvp",Inputs!$B$43&gt;0),MIN(15,Inputs!$B$43)/(Inputs!$B$43),0))),0)))-100),0))*CHOOSE(ArtifactsInput!$N$42+1,0.6,0.72,0.84,0.96,1.08,1.2))),Inputs!$B$18+((C2078=TRUE)*(F2078-Calc!F27))+(IF(AND(ArtifactsInput!$M$42,((Inputs!$B$9+((C2070=TRUE)*(F2070-Calc!F19))+B2083+(ArtifactsInput!$M$24-ArtifactsInput!$M$24)*CHOOSE(ArtifactsInput!$N$24+1,10,12,14,16,18,20)+IF(ArtifactsInput!$M$10,CHOOSE(ArtifactsInput!$N$10+1,15,18,21,24,27,30)*(IF(Inputs!$B$38="pvp",MIN(15,15)/15,IF(AND(Inputs!$B$38&lt;&gt;"pvp",Inputs!$B$43&gt;0),MIN(15,Inputs!$B$43)/(Inputs!$B$43),0))),0)))&gt;=100),CHOOSE(ArtifactsInput!$N$42+1,40,48,56,64,72,80),0))))/100)*((1+(((C2064=TRUE)*F2064)+((C2065=TRUE)*IF(Inputs!$B$38="pvp",F2065,(1-Summary!$B$11)*(F2065)+Summary!$B$11*(0)))+((C2066=TRUE)*F2066*IF(AND(Inputs!$B$38&lt;&gt;"pvp",Inputs!$B$43&gt;0),(((R2066-1)*(Skills!T15*(1+Inputs!$B$34/100))+MIN((Skills!T15*(1+Inputs!$B$34/100)),MAX(0,Inputs!$B$43-((R2066-1)*Skills!D15))))/Inputs!$B$43),IF(Inputs!$B$38="pvp",MIN((Skills!T15*(1+Inputs!$B$34/100)),15)/15,(Skills!T15*(1+Inputs!$B$34/100))/Skills!D15)))+((C2063=TRUE)*F2063)+((C2080=TRUE)*(F2080-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2056)</f>
        <v/>
      </c>
      <c r="L2056">
        <f>K2056*(MIN(Inputs!$B$22+((C2074=TRUE)*(F2074-Calc!F23)),(Inputs!$B$23+((C2079=TRUE)*(F2079-Calc!F28))+(IF(ArtifactsInput!$M$15,CHOOSE(ArtifactsInput!$N$15+1,25,30,35,40,45,50)/100*(Inputs!$B$11-Inputs!$B$11),0))))/100+(Inputs!$B$23+((C2079=TRUE)*(F2079-Calc!F28))+(IF(ArtifactsInput!$M$15,CHOOSE(ArtifactsInput!$N$15+1,25,30,35,40,45,50)/100*(Inputs!$B$11-Inputs!$B$11),0)))/100)/2</f>
        <v/>
      </c>
      <c r="M2056">
        <f>L2056*(1+(Inputs!$B$10+0+B2088+(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056">
        <f>L2056*(1-MIN((Inputs!$B$9+((C2070=TRUE)*(F2070-Calc!F19))+B2083+(ArtifactsInput!$M$24-ArtifactsInput!$M$24)*CHOOSE(ArtifactsInput!$N$24+1,10,12,14,16,18,20)+(IF(AND(ArtifactsInput!$M$42,((Inputs!$B$9+((C2070=TRUE)*(F2070-Calc!F19))+B2083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2056*(MIN((Inputs!$B$9+((C2070=TRUE)*(F2070-Calc!F19))+B2083+(ArtifactsInput!$M$24-ArtifactsInput!$M$24)*CHOOSE(ArtifactsInput!$N$24+1,10,12,14,16,18,20)+(IF(AND(ArtifactsInput!$M$42,((Inputs!$B$9+((C2070=TRUE)*(F2070-Calc!F19))+B2083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056">
        <f>(1-Summary!$B$11)*T2056+Summary!$B$11*V2056</f>
        <v/>
      </c>
      <c r="P2056">
        <f>IF(B2093=0,0,O2056/B2093)</f>
        <v/>
      </c>
      <c r="Q2056">
        <f>IFERROR(1/IF(Inputs!$B$38="pvp",15,MAX(0.1,Skills!D5-IF(Skills!E5=TRUE,Inputs!$B$32,0))),0)</f>
        <v/>
      </c>
      <c r="R2056">
        <f>IF(AND(Inputs!$B$38&lt;&gt;"pvp",Inputs!$B$43&gt;0),IF(MAX(0,Inputs!$B$43-B2090)&lt;=0,0,(INT(MAX(0,Inputs!$B$43-B2090)/IF(Inputs!$B$38="pvp",15,MAX(0.1,Skills!D5-IF(Skills!E5=TRUE,Inputs!$B$32,0))))+1)),0)</f>
        <v/>
      </c>
      <c r="S2056">
        <f>IFERROR((H2056*N2056*IF(AND(Inputs!$B$38&lt;&gt;"pvp",Inputs!$B$43&gt;0),((Skills!G5*((R2056-1)*IF(Skills!H5&gt;0,Skills!I5/Skills!H5,1)+IF(Skills!H5&gt;0,MIN(Skills!I5,MAX(0,MAX(0,Inputs!$B$43-B2090)-((R2056-1)*IF(Inputs!$B$38="pvp",15,MAX(0.1,Skills!D5-IF(Skills!E5=TRUE,Inputs!$B$32,0))))))/Skills!H5,1)))/Inputs!$B$43),G2056*Q2056))/N2056*IF(Inputs!$B$38="pvp",1,(1-Summary!$B$11)*1+Summary!$B$11*(MIN(Skills!R5,Inputs!$B$37))),0)</f>
        <v/>
      </c>
      <c r="T2056">
        <f>IF(C2056,(H2056*N2056*IF(AND(Inputs!$B$38&lt;&gt;"pvp",Inputs!$B$43&gt;0),((Skills!G5*((R2056-1)*IF(Skills!H5&gt;0,Skills!I5/Skills!H5,1)+IF(Skills!H5&gt;0,MIN(Skills!I5,MAX(0,MAX(0,Inputs!$B$43-B2090)-((R2056-1)*IF(Inputs!$B$38="pvp",15,MAX(0.1,Skills!D5-IF(Skills!E5=TRUE,Inputs!$B$32,0))))))/Skills!H5,1)))/Inputs!$B$43),G2056*Q2056))*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Hunt"),CHOOSE(ArtifactsInput!$N$35+1,15,18,21,24,27,30)*(1-EXP(-(0.2*B2085)*5)),0)+IF(AND(ArtifactsInput!$M$22,Inputs!$B$4&lt;&gt;"Chapter Hunt"),CHOOSE(ArtifactsInput!$N$22+1,10,12,14,16,18,20)*((0*(((0.15*B2085*5))^0/1)+1*(((0.15*B2085*5))^1/1)+2*(((0.15*B2085*5))^2/2)+3*(((0.15*B2085*5))^3/6)+4*(((0.15*B2085*5))^4/24)+5*(((0.15*B2085*5))^5/120))/((((0.15*B2085*5))^0/1)+(((0.15*B2085*5))^1/1)+(((0.15*B2085*5))^2/2)+(((0.15*B2085*5))^3/6)+(((0.15*B2085*5))^4/24)+(((0.15*B2085*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2056*(1-MIN(100,(Inputs!$B$9+((C2070=TRUE)*(F2070-Calc!F19))+B2083+(ArtifactsInput!$M$24-ArtifactsInput!$M$24)*CHOOSE(ArtifactsInput!$N$24+1,10,12,14,16,18,20)+(IF(AND(ArtifactsInput!$M$42,((Inputs!$B$9+((C2070=TRUE)*(F2070-Calc!F19))+B2083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2056*(MIN(100,(Inputs!$B$9+((C2070=TRUE)*(F2070-Calc!F19))+B2083+(ArtifactsInput!$M$24-ArtifactsInput!$M$24)*CHOOSE(ArtifactsInput!$N$24+1,10,12,14,16,18,20)+(IF(AND(ArtifactsInput!$M$42,((Inputs!$B$9+((C2070=TRUE)*(F2070-Calc!F19))+B2083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2056*(1-MIN(100,(Inputs!$B$9+((C2070=TRUE)*(F2070-Calc!F19))+B2083+(ArtifactsInput!$M$24-ArtifactsInput!$M$24)*CHOOSE(ArtifactsInput!$N$24+1,10,12,14,16,18,20)+(IF(AND(ArtifactsInput!$M$42,((Inputs!$B$9+((C2070=TRUE)*(F2070-Calc!F19))+B2083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2056*(MIN(100,(Inputs!$B$9+((C2070=TRUE)*(F2070-Calc!F19))+B2083+(ArtifactsInput!$M$24-ArtifactsInput!$M$24)*CHOOSE(ArtifactsInput!$N$24+1,10,12,14,16,18,20)+(IF(AND(ArtifactsInput!$M$42,((Inputs!$B$9+((C2070=TRUE)*(F2070-Calc!F19))+B2083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056">
        <f>IF(C2056,(H2056*N2056*IF(AND(Inputs!$B$38&lt;&gt;"pvp",Inputs!$B$43&gt;0),((Skills!G5*((R2056-1)*IF(Skills!H5&gt;0,Skills!I5/Skills!H5,1)+IF(Skills!H5&gt;0,MIN(Skills!I5,MAX(0,MAX(0,Inputs!$B$43-B2090)-((R2056-1)*IF(Inputs!$B$38="pvp",15,MAX(0.1,Skills!D5-IF(Skills!E5=TRUE,Inputs!$B$32,0))))))/Skills!H5,1)))/Inputs!$B$43),G2056*Q2056))*IF(Inputs!$B$38="pvp",1,(1+(Inputs!$B$21+Skills!Q5+(IF(ArtifactsInput!$M$33,CHOOSE(ArtifactsInput!$N$33+1,30,36,42,48,54,60),0))+(IF(AND(ArtifactsInput!$M$35,Inputs!$B$4&lt;&gt;"Chapter Hunt"),CHOOSE(ArtifactsInput!$N$35+1,15,18,21,24,27,30)*(1-EXP(-(0.2*B2085)*5)),0)+IF(AND(ArtifactsInput!$M$22,Inputs!$B$4&lt;&gt;"Chapter Hunt"),CHOOSE(ArtifactsInput!$N$22+1,10,12,14,16,18,20)*((0*(((0.15*B2085*5))^0/1)+1*(((0.15*B2085*5))^1/1)+2*(((0.15*B2085*5))^2/2)+3*(((0.15*B2085*5))^3/6)+4*(((0.15*B2085*5))^4/24)+5*(((0.15*B2085*5))^5/120))/((((0.15*B2085*5))^0/1)+(((0.15*B2085*5))^1/1)+(((0.15*B2085*5))^2/2)+(((0.15*B2085*5))^3/6)+(((0.15*B2085*5))^4/24)+(((0.15*B2085*5))^5/120)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057">
      <c r="A2057">
        <f>Skills!A6</f>
        <v/>
      </c>
      <c r="B2057">
        <f>Skills!B6</f>
        <v/>
      </c>
      <c r="C2057">
        <f>Inputs!$B$3&gt;=63</f>
        <v/>
      </c>
      <c r="D2057">
        <f>IF(Skills!C6=1,60+Inputs!$B$25+Inputs!$B$29,IF(Skills!C6=2,90+Inputs!$B$26+Inputs!$B$29,IF(Skills!C6=3,120+Inputs!$B$27+Inputs!$B$29,MAX(0,(Inputs!$B$3-100)*3)+Inputs!$B$28+Inputs!$B$29)))</f>
        <v/>
      </c>
      <c r="E2057">
        <f>INDEX(FactorTable!$B$2:$Y$301, MATCH(ROUND(MIN(300,MAX(1,D2057)),0), FactorTable!$A$2:$A$301,0), Skills!M6+1)</f>
        <v/>
      </c>
      <c r="F2057">
        <f>IF(Skills!N6=TRUE,(Skills!L6/10)*(E2057/1000),Skills!L6/10)+Skills!O6</f>
        <v/>
      </c>
      <c r="G2057">
        <f>Skills!G6*IF(Skills!H6&gt;0,Skills!I6/Skills!H6,1)</f>
        <v/>
      </c>
      <c r="H2057">
        <f>1-(1-Skills!J6/100)^Skills!K6</f>
        <v/>
      </c>
      <c r="I2057" t="inlineStr">
        <is>
          <t>1</t>
        </is>
      </c>
      <c r="J2057">
        <f>((Inputs!$B$6*(1+Inputs!$B$7/100))+(((Inputs!$B$12*(1+Inputs!$B$13/100))-(Inputs!$B$12*(1+Inputs!$B$13/100)))+0.25*(Inputs!$B$14-Inputs!$B$14))*(1+Inputs!$B$7/100))*(F2057/100)</f>
        <v/>
      </c>
      <c r="K2057">
        <f>J2057*(1+((Inputs!$B$12*(1+Inputs!$B$13/100))*0.01+Inputs!$B$14*0.0025)/100)*(1+Inputs!$B$15/100)*(1+Inputs!$B$16/100)*(5000/(6000+Inputs!$B$42*(1-(100*(1-(1-(Inputs!$B$19+0)/100)*(1-CHOOSE(ArtifactsInput!$N$40+1,5,6,7,8,9,10)/100)^(ArtifactsInput!$M$40-ArtifactsInput!$M$40)))/100)))*(1+(Inputs!$B$24+((C2075=TRUE)*(F2075-Calc!F24))+((C2076=TRUE)*(F2076-Calc!F25))+B2089)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2059=TRUE,F2059,0)/100)*(1+(IF(Skills!A6="EMPOWERED_PIERCING_ARROW",Inputs!$B$17+((C2073=TRUE)*(F2073-Calc!F22))+(((IF(AND(ArtifactsInput!$M$42,((Inputs!$B$9+((C2070=TRUE)*(F2070-Calc!F19))+B2083+(ArtifactsInput!$M$24-ArtifactsInput!$M$24)*CHOOSE(ArtifactsInput!$N$24+1,10,12,14,16,18,20)+IF(ArtifactsInput!$M$10,CHOOSE(ArtifactsInput!$N$10+1,15,18,21,24,27,30)*(IF(Inputs!$B$38="pvp",MIN(15,15)/15,IF(AND(Inputs!$B$38&lt;&gt;"pvp",Inputs!$B$43&gt;0),MIN(15,Inputs!$B$43)/(Inputs!$B$43),0))),0)))&gt;=100),MIN(100,((Inputs!$B$9+((C2070=TRUE)*(F2070-Calc!F19))+B2083+(ArtifactsInput!$M$24-ArtifactsInput!$M$24)*CHOOSE(ArtifactsInput!$N$24+1,10,12,14,16,18,20)+IF(ArtifactsInput!$M$10,CHOOSE(ArtifactsInput!$N$10+1,15,18,21,24,27,30)*(IF(Inputs!$B$38="pvp",MIN(15,15)/15,IF(AND(Inputs!$B$38&lt;&gt;"pvp",Inputs!$B$43&gt;0),MIN(15,Inputs!$B$43)/(Inputs!$B$43),0))),0)))-100),0))*CHOOSE(ArtifactsInput!$N$42+1,0.6,0.72,0.84,0.96,1.08,1.2))),Inputs!$B$18+((C2078=TRUE)*(F2078-Calc!F27))+(IF(AND(ArtifactsInput!$M$42,((Inputs!$B$9+((C2070=TRUE)*(F2070-Calc!F19))+B2083+(ArtifactsInput!$M$24-ArtifactsInput!$M$24)*CHOOSE(ArtifactsInput!$N$24+1,10,12,14,16,18,20)+IF(ArtifactsInput!$M$10,CHOOSE(ArtifactsInput!$N$10+1,15,18,21,24,27,30)*(IF(Inputs!$B$38="pvp",MIN(15,15)/15,IF(AND(Inputs!$B$38&lt;&gt;"pvp",Inputs!$B$43&gt;0),MIN(15,Inputs!$B$43)/(Inputs!$B$43),0))),0)))&gt;=100),CHOOSE(ArtifactsInput!$N$42+1,40,48,56,64,72,80),0))))/100)*((1+(((C2064=TRUE)*F2064)+((C2065=TRUE)*IF(Inputs!$B$38="pvp",F2065,(1-Summary!$B$11)*(F2065)+Summary!$B$11*(0)))+((C2066=TRUE)*F2066*IF(AND(Inputs!$B$38&lt;&gt;"pvp",Inputs!$B$43&gt;0),(((R2066-1)*(Skills!T15*(1+Inputs!$B$34/100))+MIN((Skills!T15*(1+Inputs!$B$34/100)),MAX(0,Inputs!$B$43-((R2066-1)*Skills!D15))))/Inputs!$B$43),IF(Inputs!$B$38="pvp",MIN((Skills!T15*(1+Inputs!$B$34/100)),15)/15,(Skills!T15*(1+Inputs!$B$34/100))/Skills!D15)))+((C2063=TRUE)*F2063)+((C2080=TRUE)*(F2080-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2057)</f>
        <v/>
      </c>
      <c r="L2057">
        <f>K2057*(MIN(Inputs!$B$22+((C2074=TRUE)*(F2074-Calc!F23)),(Inputs!$B$23+((C2079=TRUE)*(F2079-Calc!F28))+(IF(ArtifactsInput!$M$15,CHOOSE(ArtifactsInput!$N$15+1,25,30,35,40,45,50)/100*(Inputs!$B$11-Inputs!$B$11),0))))/100+(Inputs!$B$23+((C2079=TRUE)*(F2079-Calc!F28))+(IF(ArtifactsInput!$M$15,CHOOSE(ArtifactsInput!$N$15+1,25,30,35,40,45,50)/100*(Inputs!$B$11-Inputs!$B$11),0)))/100)/2</f>
        <v/>
      </c>
      <c r="M2057">
        <f>L2057*(1+(Inputs!$B$10+0+B2088+(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057">
        <f>L2057*(1-MIN((Inputs!$B$9+((C2070=TRUE)*(F2070-Calc!F19))+B2083+(ArtifactsInput!$M$24-ArtifactsInput!$M$24)*CHOOSE(ArtifactsInput!$N$24+1,10,12,14,16,18,20)+(IF(AND(ArtifactsInput!$M$42,((Inputs!$B$9+((C2070=TRUE)*(F2070-Calc!F19))+B2083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2057*(MIN((Inputs!$B$9+((C2070=TRUE)*(F2070-Calc!F19))+B2083+(ArtifactsInput!$M$24-ArtifactsInput!$M$24)*CHOOSE(ArtifactsInput!$N$24+1,10,12,14,16,18,20)+(IF(AND(ArtifactsInput!$M$42,((Inputs!$B$9+((C2070=TRUE)*(F2070-Calc!F19))+B2083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057">
        <f>(1-Summary!$B$11)*T2057+Summary!$B$11*V2057</f>
        <v/>
      </c>
      <c r="P2057">
        <f>IF(B2093=0,0,O2057/B2093)</f>
        <v/>
      </c>
      <c r="Q2057">
        <f>IFERROR(1/IF(Inputs!$B$38="pvp",15,MAX(0.1,Skills!D6-IF(Skills!E6=TRUE,Inputs!$B$32,0))),0)</f>
        <v/>
      </c>
      <c r="R2057">
        <f>IF(AND(Inputs!$B$38&lt;&gt;"pvp",Inputs!$B$43&gt;0),IF(MAX(0,Inputs!$B$43-B2090)&lt;=0,0,(INT(MAX(0,Inputs!$B$43-B2090)/IF(Inputs!$B$38="pvp",15,MAX(0.1,Skills!D6-IF(Skills!E6=TRUE,Inputs!$B$32,0))))+1)),0)</f>
        <v/>
      </c>
      <c r="S2057">
        <f>IFERROR((H2057*N2057*IF(AND(Inputs!$B$38&lt;&gt;"pvp",Inputs!$B$43&gt;0),((Skills!G6*((R2057-1)*IF(Skills!H6&gt;0,Skills!I6/Skills!H6,1)+IF(Skills!H6&gt;0,MIN(Skills!I6,MAX(0,MAX(0,Inputs!$B$43-B2090)-((R2057-1)*IF(Inputs!$B$38="pvp",15,MAX(0.1,Skills!D6-IF(Skills!E6=TRUE,Inputs!$B$32,0))))))/Skills!H6,1)))/Inputs!$B$43),G2057*Q2057))/N2057*IF(Inputs!$B$38="pvp",1,(1-Summary!$B$11)*1+Summary!$B$11*(MIN(Skills!R6,Inputs!$B$37))),0)</f>
        <v/>
      </c>
      <c r="T2057">
        <f>IF(C2057,(H2057*N2057*IF(AND(Inputs!$B$38&lt;&gt;"pvp",Inputs!$B$43&gt;0),((Skills!G6*((R2057-1)*IF(Skills!H6&gt;0,Skills!I6/Skills!H6,1)+IF(Skills!H6&gt;0,MIN(Skills!I6,MAX(0,MAX(0,Inputs!$B$43-B2090)-((R2057-1)*IF(Inputs!$B$38="pvp",15,MAX(0.1,Skills!D6-IF(Skills!E6=TRUE,Inputs!$B$32,0))))))/Skills!H6,1)))/Inputs!$B$43),G2057*Q2057))*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Hunt"),CHOOSE(ArtifactsInput!$N$35+1,15,18,21,24,27,30)*(1-EXP(-(0.2*B2085)*5)),0)+IF(AND(ArtifactsInput!$M$22,Inputs!$B$4&lt;&gt;"Chapter Hunt"),CHOOSE(ArtifactsInput!$N$22+1,10,12,14,16,18,20)*((0*(((0.15*B2085*5))^0/1)+1*(((0.15*B2085*5))^1/1)+2*(((0.15*B2085*5))^2/2)+3*(((0.15*B2085*5))^3/6)+4*(((0.15*B2085*5))^4/24)+5*(((0.15*B2085*5))^5/120))/((((0.15*B2085*5))^0/1)+(((0.15*B2085*5))^1/1)+(((0.15*B2085*5))^2/2)+(((0.15*B2085*5))^3/6)+(((0.15*B2085*5))^4/24)+(((0.15*B2085*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2057*(1-MIN(100,(Inputs!$B$9+((C2070=TRUE)*(F2070-Calc!F19))+B2083+(ArtifactsInput!$M$24-ArtifactsInput!$M$24)*CHOOSE(ArtifactsInput!$N$24+1,10,12,14,16,18,20)+(IF(AND(ArtifactsInput!$M$42,((Inputs!$B$9+((C2070=TRUE)*(F2070-Calc!F19))+B2083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2057*(MIN(100,(Inputs!$B$9+((C2070=TRUE)*(F2070-Calc!F19))+B2083+(ArtifactsInput!$M$24-ArtifactsInput!$M$24)*CHOOSE(ArtifactsInput!$N$24+1,10,12,14,16,18,20)+(IF(AND(ArtifactsInput!$M$42,((Inputs!$B$9+((C2070=TRUE)*(F2070-Calc!F19))+B2083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2057*(1-MIN(100,(Inputs!$B$9+((C2070=TRUE)*(F2070-Calc!F19))+B2083+(ArtifactsInput!$M$24-ArtifactsInput!$M$24)*CHOOSE(ArtifactsInput!$N$24+1,10,12,14,16,18,20)+(IF(AND(ArtifactsInput!$M$42,((Inputs!$B$9+((C2070=TRUE)*(F2070-Calc!F19))+B2083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2057*(MIN(100,(Inputs!$B$9+((C2070=TRUE)*(F2070-Calc!F19))+B2083+(ArtifactsInput!$M$24-ArtifactsInput!$M$24)*CHOOSE(ArtifactsInput!$N$24+1,10,12,14,16,18,20)+(IF(AND(ArtifactsInput!$M$42,((Inputs!$B$9+((C2070=TRUE)*(F2070-Calc!F19))+B2083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057">
        <f>IF(C2057,(H2057*N2057*IF(AND(Inputs!$B$38&lt;&gt;"pvp",Inputs!$B$43&gt;0),((Skills!G6*((R2057-1)*IF(Skills!H6&gt;0,Skills!I6/Skills!H6,1)+IF(Skills!H6&gt;0,MIN(Skills!I6,MAX(0,MAX(0,Inputs!$B$43-B2090)-((R2057-1)*IF(Inputs!$B$38="pvp",15,MAX(0.1,Skills!D6-IF(Skills!E6=TRUE,Inputs!$B$32,0))))))/Skills!H6,1)))/Inputs!$B$43),G2057*Q2057))*IF(Inputs!$B$38="pvp",1,(1+(Inputs!$B$21+Skills!Q6+(IF(ArtifactsInput!$M$33,CHOOSE(ArtifactsInput!$N$33+1,30,36,42,48,54,60),0))+(IF(AND(ArtifactsInput!$M$35,Inputs!$B$4&lt;&gt;"Chapter Hunt"),CHOOSE(ArtifactsInput!$N$35+1,15,18,21,24,27,30)*(1-EXP(-(0.2*B2085)*5)),0)+IF(AND(ArtifactsInput!$M$22,Inputs!$B$4&lt;&gt;"Chapter Hunt"),CHOOSE(ArtifactsInput!$N$22+1,10,12,14,16,18,20)*((0*(((0.15*B2085*5))^0/1)+1*(((0.15*B2085*5))^1/1)+2*(((0.15*B2085*5))^2/2)+3*(((0.15*B2085*5))^3/6)+4*(((0.15*B2085*5))^4/24)+5*(((0.15*B2085*5))^5/120))/((((0.15*B2085*5))^0/1)+(((0.15*B2085*5))^1/1)+(((0.15*B2085*5))^2/2)+(((0.15*B2085*5))^3/6)+(((0.15*B2085*5))^4/24)+(((0.15*B2085*5))^5/120))),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058">
      <c r="A2058">
        <f>Skills!A7</f>
        <v/>
      </c>
      <c r="B2058">
        <f>Skills!B7</f>
        <v/>
      </c>
      <c r="C2058">
        <f>Inputs!$B$3&gt;=69</f>
        <v/>
      </c>
      <c r="D2058">
        <f>IF(Skills!C7=1,60+Inputs!$B$25+Inputs!$B$29,IF(Skills!C7=2,90+Inputs!$B$26+Inputs!$B$29,IF(Skills!C7=3,120+Inputs!$B$27+Inputs!$B$29,MAX(0,(Inputs!$B$3-100)*3)+Inputs!$B$28+Inputs!$B$29)))</f>
        <v/>
      </c>
      <c r="E2058">
        <f>INDEX(FactorTable!$B$2:$Y$301, MATCH(ROUND(MIN(300,MAX(1,D2058)),0), FactorTable!$A$2:$A$301,0), Skills!M7+1)</f>
        <v/>
      </c>
      <c r="F2058">
        <f>IF(Skills!N7=TRUE,(Skills!L7/10)*(E2058/1000),Skills!L7/10)+Skills!O7</f>
        <v/>
      </c>
      <c r="G2058">
        <f>Skills!G7*IF(Skills!H7&gt;0,Skills!I7/Skills!H7,1)</f>
        <v/>
      </c>
      <c r="H2058">
        <f>1-(1-Skills!J7/100)^Skills!K7</f>
        <v/>
      </c>
      <c r="I2058" t="inlineStr">
        <is>
          <t>1</t>
        </is>
      </c>
      <c r="J2058">
        <f>((Inputs!$B$6*(1+Inputs!$B$7/100))+(((Inputs!$B$12*(1+Inputs!$B$13/100))-(Inputs!$B$12*(1+Inputs!$B$13/100)))+0.25*(Inputs!$B$14-Inputs!$B$14))*(1+Inputs!$B$7/100))*(F2058/100)</f>
        <v/>
      </c>
      <c r="K2058">
        <f>J2058*(1+((Inputs!$B$12*(1+Inputs!$B$13/100))*0.01+Inputs!$B$14*0.0025)/100)*(1+Inputs!$B$15/100)*(1+Inputs!$B$16/100)*(5000/(6000+Inputs!$B$42*(1-(100*(1-(1-(Inputs!$B$19+0)/100)*(1-CHOOSE(ArtifactsInput!$N$40+1,5,6,7,8,9,10)/100)^(ArtifactsInput!$M$40-ArtifactsInput!$M$40)))/100)))*(1+(Inputs!$B$24+((C2075=TRUE)*(F2075-Calc!F24))+((C2076=TRUE)*(F2076-Calc!F25))+B2089)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+1.2*IF(C2059=TRUE,F2059,0)/100)*(1+(IF(Skills!A7="EMPOWERED_PIERCING_ARROW",Inputs!$B$17+((C2073=TRUE)*(F2073-Calc!F22))+(((IF(AND(ArtifactsInput!$M$42,((Inputs!$B$9+((C2070=TRUE)*(F2070-Calc!F19))+B2083+(ArtifactsInput!$M$24-ArtifactsInput!$M$24)*CHOOSE(ArtifactsInput!$N$24+1,10,12,14,16,18,20)+IF(ArtifactsInput!$M$10,CHOOSE(ArtifactsInput!$N$10+1,15,18,21,24,27,30)*(IF(Inputs!$B$38="pvp",MIN(15,15)/15,IF(AND(Inputs!$B$38&lt;&gt;"pvp",Inputs!$B$43&gt;0),MIN(15,Inputs!$B$43)/(Inputs!$B$43),0))),0)))&gt;=100),MIN(100,((Inputs!$B$9+((C2070=TRUE)*(F2070-Calc!F19))+B2083+(ArtifactsInput!$M$24-ArtifactsInput!$M$24)*CHOOSE(ArtifactsInput!$N$24+1,10,12,14,16,18,20)+IF(ArtifactsInput!$M$10,CHOOSE(ArtifactsInput!$N$10+1,15,18,21,24,27,30)*(IF(Inputs!$B$38="pvp",MIN(15,15)/15,IF(AND(Inputs!$B$38&lt;&gt;"pvp",Inputs!$B$43&gt;0),MIN(15,Inputs!$B$43)/(Inputs!$B$43),0))),0)))-100),0))*CHOOSE(ArtifactsInput!$N$42+1,0.6,0.72,0.84,0.96,1.08,1.2))),Inputs!$B$18+((C2078=TRUE)*(F2078-Calc!F27))+(IF(AND(ArtifactsInput!$M$42,((Inputs!$B$9+((C2070=TRUE)*(F2070-Calc!F19))+B2083+(ArtifactsInput!$M$24-ArtifactsInput!$M$24)*CHOOSE(ArtifactsInput!$N$24+1,10,12,14,16,18,20)+IF(ArtifactsInput!$M$10,CHOOSE(ArtifactsInput!$N$10+1,15,18,21,24,27,30)*(IF(Inputs!$B$38="pvp",MIN(15,15)/15,IF(AND(Inputs!$B$38&lt;&gt;"pvp",Inputs!$B$43&gt;0),MIN(15,Inputs!$B$43)/(Inputs!$B$43),0))),0)))&gt;=100),CHOOSE(ArtifactsInput!$N$42+1,40,48,56,64,72,80),0))))/100)*((1+(((C2064=TRUE)*F2064)+((C2065=TRUE)*IF(Inputs!$B$38="pvp",F2065,(1-Summary!$B$11)*(F2065)+Summary!$B$11*(0)))+((C2066=TRUE)*F2066*IF(AND(Inputs!$B$38&lt;&gt;"pvp",Inputs!$B$43&gt;0),(((R2066-1)*(Skills!T15*(1+Inputs!$B$34/100))+MIN((Skills!T15*(1+Inputs!$B$34/100)),MAX(0,Inputs!$B$43-((R2066-1)*Skills!D15))))/Inputs!$B$43),IF(Inputs!$B$38="pvp",MIN((Skills!T15*(1+Inputs!$B$34/100)),15)/15,(Skills!T15*(1+Inputs!$B$34/100))/Skills!D15)))+((C2063=TRUE)*F2063)+((C2080=TRUE)*(F2080-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2058)</f>
        <v/>
      </c>
      <c r="L2058">
        <f>K2058*(MIN(Inputs!$B$22+((C2074=TRUE)*(F2074-Calc!F23)),(Inputs!$B$23+((C2079=TRUE)*(F2079-Calc!F28))+(IF(ArtifactsInput!$M$15,CHOOSE(ArtifactsInput!$N$15+1,25,30,35,40,45,50)/100*(Inputs!$B$11-Inputs!$B$11),0))))/100+(Inputs!$B$23+((C2079=TRUE)*(F2079-Calc!F28))+(IF(ArtifactsInput!$M$15,CHOOSE(ArtifactsInput!$N$15+1,25,30,35,40,45,50)/100*(Inputs!$B$11-Inputs!$B$11),0)))/100)/2</f>
        <v/>
      </c>
      <c r="M2058">
        <f>L2058*(1+(Inputs!$B$10+0+B2088+(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058">
        <f>L2058*(1-MIN((Inputs!$B$9+((C2070=TRUE)*(F2070-Calc!F19))+B2083+(ArtifactsInput!$M$24-ArtifactsInput!$M$24)*CHOOSE(ArtifactsInput!$N$24+1,10,12,14,16,18,20)+(IF(AND(ArtifactsInput!$M$42,((Inputs!$B$9+((C2070=TRUE)*(F2070-Calc!F19))+B2083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2058*(MIN((Inputs!$B$9+((C2070=TRUE)*(F2070-Calc!F19))+B2083+(ArtifactsInput!$M$24-ArtifactsInput!$M$24)*CHOOSE(ArtifactsInput!$N$24+1,10,12,14,16,18,20)+(IF(AND(ArtifactsInput!$M$42,((Inputs!$B$9+((C2070=TRUE)*(F2070-Calc!F19))+B2083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058">
        <f>(1-Summary!$B$11)*T2058+Summary!$B$11*V2058</f>
        <v/>
      </c>
      <c r="P2058">
        <f>IF(B2093=0,0,O2058/B2093)</f>
        <v/>
      </c>
      <c r="Q2058">
        <f>IFERROR(1/IF(Inputs!$B$38="pvp",15,MAX(0.1,Skills!D7-IF(Skills!E7=TRUE,Inputs!$B$32,0))),0)</f>
        <v/>
      </c>
      <c r="R2058">
        <f>IF(AND(Inputs!$B$38&lt;&gt;"pvp",Inputs!$B$43&gt;0),IF(MAX(0,Inputs!$B$43-B2090)&lt;=0,0,(INT(MAX(0,Inputs!$B$43-B2090)/IF(Inputs!$B$38="pvp",15,MAX(0.1,Skills!D7-IF(Skills!E7=TRUE,Inputs!$B$32,0))))+1)),0)</f>
        <v/>
      </c>
      <c r="S2058">
        <f>IFERROR((H2058*N2058*IF(AND(Inputs!$B$38&lt;&gt;"pvp",Inputs!$B$43&gt;0),((Skills!G7*((R2058-1)*IF(Skills!H7&gt;0,Skills!I7/Skills!H7,1)+IF(Skills!H7&gt;0,MIN(Skills!I7,MAX(0,MAX(0,Inputs!$B$43-B2090)-((R2058-1)*IF(Inputs!$B$38="pvp",15,MAX(0.1,Skills!D7-IF(Skills!E7=TRUE,Inputs!$B$32,0))))))/Skills!H7,1)))/Inputs!$B$43),G2058*Q2058))/N2058*IF(Inputs!$B$38="pvp",1,(1-Summary!$B$11)*1+Summary!$B$11*(MIN(Skills!R7,Inputs!$B$37))),0)</f>
        <v/>
      </c>
      <c r="T2058">
        <f>IF(C2058,(H2058*N2058*IF(AND(Inputs!$B$38&lt;&gt;"pvp",Inputs!$B$43&gt;0),((Skills!G7*((R2058-1)*IF(Skills!H7&gt;0,Skills!I7/Skills!H7,1)+IF(Skills!H7&gt;0,MIN(Skills!I7,MAX(0,MAX(0,Inputs!$B$43-B2090)-((R2058-1)*IF(Inputs!$B$38="pvp",15,MAX(0.1,Skills!D7-IF(Skills!E7=TRUE,Inputs!$B$32,0))))))/Skills!H7,1)))/Inputs!$B$43),G2058*Q2058))*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Hunt"),CHOOSE(ArtifactsInput!$N$35+1,15,18,21,24,27,30)*(1-EXP(-(0.2*B2085)*5)),0)+IF(AND(ArtifactsInput!$M$22,Inputs!$B$4&lt;&gt;"Chapter Hunt"),CHOOSE(ArtifactsInput!$N$22+1,10,12,14,16,18,20)*((0*(((0.15*B2085*5))^0/1)+1*(((0.15*B2085*5))^1/1)+2*(((0.15*B2085*5))^2/2)+3*(((0.15*B2085*5))^3/6)+4*(((0.15*B2085*5))^4/24)+5*(((0.15*B2085*5))^5/120))/((((0.15*B2085*5))^0/1)+(((0.15*B2085*5))^1/1)+(((0.15*B2085*5))^2/2)+(((0.15*B2085*5))^3/6)+(((0.15*B2085*5))^4/24)+(((0.15*B2085*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2058*(1-MIN(100,(Inputs!$B$9+((C2070=TRUE)*(F2070-Calc!F19))+B2083+(ArtifactsInput!$M$24-ArtifactsInput!$M$24)*CHOOSE(ArtifactsInput!$N$24+1,10,12,14,16,18,20)+(IF(AND(ArtifactsInput!$M$42,((Inputs!$B$9+((C2070=TRUE)*(F2070-Calc!F19))+B2083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2058*(MIN(100,(Inputs!$B$9+((C2070=TRUE)*(F2070-Calc!F19))+B2083+(ArtifactsInput!$M$24-ArtifactsInput!$M$24)*CHOOSE(ArtifactsInput!$N$24+1,10,12,14,16,18,20)+(IF(AND(ArtifactsInput!$M$42,((Inputs!$B$9+((C2070=TRUE)*(F2070-Calc!F19))+B2083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2058*(1-MIN(100,(Inputs!$B$9+((C2070=TRUE)*(F2070-Calc!F19))+B2083+(ArtifactsInput!$M$24-ArtifactsInput!$M$24)*CHOOSE(ArtifactsInput!$N$24+1,10,12,14,16,18,20)+(IF(AND(ArtifactsInput!$M$42,((Inputs!$B$9+((C2070=TRUE)*(F2070-Calc!F19))+B2083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2058*(MIN(100,(Inputs!$B$9+((C2070=TRUE)*(F2070-Calc!F19))+B2083+(ArtifactsInput!$M$24-ArtifactsInput!$M$24)*CHOOSE(ArtifactsInput!$N$24+1,10,12,14,16,18,20)+(IF(AND(ArtifactsInput!$M$42,((Inputs!$B$9+((C2070=TRUE)*(F2070-Calc!F19))+B2083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058">
        <f>IF(C2058,(H2058*N2058*IF(AND(Inputs!$B$38&lt;&gt;"pvp",Inputs!$B$43&gt;0),((Skills!G7*((R2058-1)*IF(Skills!H7&gt;0,Skills!I7/Skills!H7,1)+IF(Skills!H7&gt;0,MIN(Skills!I7,MAX(0,MAX(0,Inputs!$B$43-B2090)-((R2058-1)*IF(Inputs!$B$38="pvp",15,MAX(0.1,Skills!D7-IF(Skills!E7=TRUE,Inputs!$B$32,0))))))/Skills!H7,1)))/Inputs!$B$43),G2058*Q2058))*IF(Inputs!$B$38="pvp",1,(1+(Inputs!$B$21+Skills!Q7+(IF(ArtifactsInput!$M$33,CHOOSE(ArtifactsInput!$N$33+1,30,36,42,48,54,60),0))+(IF(AND(ArtifactsInput!$M$35,Inputs!$B$4&lt;&gt;"Chapter Hunt"),CHOOSE(ArtifactsInput!$N$35+1,15,18,21,24,27,30)*(1-EXP(-(0.2*B2085)*5)),0)+IF(AND(ArtifactsInput!$M$22,Inputs!$B$4&lt;&gt;"Chapter Hunt"),CHOOSE(ArtifactsInput!$N$22+1,10,12,14,16,18,20)*((0*(((0.15*B2085*5))^0/1)+1*(((0.15*B2085*5))^1/1)+2*(((0.15*B2085*5))^2/2)+3*(((0.15*B2085*5))^3/6)+4*(((0.15*B2085*5))^4/24)+5*(((0.15*B2085*5))^5/120))/((((0.15*B2085*5))^0/1)+(((0.15*B2085*5))^1/1)+(((0.15*B2085*5))^2/2)+(((0.15*B2085*5))^3/6)+(((0.15*B2085*5))^4/24)+(((0.15*B2085*5))^5/120))),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059">
      <c r="A2059">
        <f>Skills!A8</f>
        <v/>
      </c>
      <c r="B2059">
        <f>Skills!B8</f>
        <v/>
      </c>
      <c r="C2059">
        <f>Inputs!$B$3&gt;=100</f>
        <v/>
      </c>
      <c r="D2059">
        <f>IF(Skills!C8=1,60+Inputs!$B$25+Inputs!$B$29,IF(Skills!C8=2,90+Inputs!$B$26+Inputs!$B$29,IF(Skills!C8=3,120+Inputs!$B$27+Inputs!$B$29,MAX(0,(Inputs!$B$3-100)*3)+Inputs!$B$28+Inputs!$B$29)))</f>
        <v/>
      </c>
      <c r="E2059">
        <f>INDEX(FactorTable!$B$2:$Y$301, MATCH(ROUND(MIN(300,MAX(1,D2059)),0), FactorTable!$A$2:$A$301,0), Skills!M8+1)</f>
        <v/>
      </c>
      <c r="F2059">
        <f>IF(Skills!N8=TRUE,(Skills!L8/10)*(E2059/1000),Skills!L8/10)+Skills!O8</f>
        <v/>
      </c>
      <c r="G2059" t="inlineStr"/>
      <c r="H2059" t="inlineStr"/>
      <c r="I2059" t="inlineStr">
        <is>
          <t>1</t>
        </is>
      </c>
      <c r="J2059" t="inlineStr"/>
      <c r="K2059" t="inlineStr"/>
      <c r="L2059" t="inlineStr"/>
      <c r="M2059" t="inlineStr"/>
      <c r="N2059" t="inlineStr"/>
      <c r="O2059" t="inlineStr"/>
      <c r="P2059" t="inlineStr"/>
      <c r="Q2059" t="inlineStr"/>
      <c r="R2059" t="inlineStr"/>
      <c r="S2059" t="inlineStr"/>
      <c r="T2059" t="inlineStr"/>
      <c r="V2059" t="inlineStr"/>
    </row>
    <row r="2060">
      <c r="A2060">
        <f>Skills!A9</f>
        <v/>
      </c>
      <c r="B2060">
        <f>Skills!B9</f>
        <v/>
      </c>
      <c r="C2060">
        <f>Inputs!$B$3&gt;=103</f>
        <v/>
      </c>
      <c r="D2060">
        <f>IF(Skills!C9=1,60+Inputs!$B$25+Inputs!$B$29,IF(Skills!C9=2,90+Inputs!$B$26+Inputs!$B$29,IF(Skills!C9=3,120+Inputs!$B$27+Inputs!$B$29,MAX(0,(Inputs!$B$3-100)*3)+Inputs!$B$28+Inputs!$B$29)))</f>
        <v/>
      </c>
      <c r="E2060">
        <f>INDEX(FactorTable!$B$2:$Y$301, MATCH(ROUND(MIN(300,MAX(1,D2060)),0), FactorTable!$A$2:$A$301,0), Skills!M9+1)</f>
        <v/>
      </c>
      <c r="F2060">
        <f>IF(Skills!N9=TRUE,(Skills!L9/10)*(E2060/1000),Skills!L9/10)+Skills!O9</f>
        <v/>
      </c>
      <c r="G2060">
        <f>Skills!G9*IF(Skills!H9&gt;0,Skills!I9/Skills!H9,1)</f>
        <v/>
      </c>
      <c r="H2060">
        <f>1-(1-Skills!J9/100)^Skills!K9</f>
        <v/>
      </c>
      <c r="I2060" t="inlineStr">
        <is>
          <t>1</t>
        </is>
      </c>
      <c r="J2060">
        <f>((Inputs!$B$6*(1+Inputs!$B$7/100))+(((Inputs!$B$12*(1+Inputs!$B$13/100))-(Inputs!$B$12*(1+Inputs!$B$13/100)))+0.25*(Inputs!$B$14-Inputs!$B$14))*(1+Inputs!$B$7/100))*(F2060/100)</f>
        <v/>
      </c>
      <c r="K2060">
        <f>J2060*(1+((Inputs!$B$12*(1+Inputs!$B$13/100))*0.01+Inputs!$B$14*0.0025)/100)*(1+Inputs!$B$15/100)*(1+Inputs!$B$16/100)*(5000/(6000+Inputs!$B$42*(1-(100*(1-(1-(Inputs!$B$19+0)/100)*(1-CHOOSE(ArtifactsInput!$N$40+1,5,6,7,8,9,10)/100)^(ArtifactsInput!$M$40-ArtifactsInput!$M$40)))/100)))*(1+(Inputs!$B$24+((C2075=TRUE)*(F2075-Calc!F24))+((C2076=TRUE)*(F2076-Calc!F25))+B2089)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EMPOWERED_PIERCING_ARROW",Inputs!$B$17+((C2073=TRUE)*(F2073-Calc!F22))+(((IF(AND(ArtifactsInput!$M$42,((Inputs!$B$9+((C2070=TRUE)*(F2070-Calc!F19))+B2083+(ArtifactsInput!$M$24-ArtifactsInput!$M$24)*CHOOSE(ArtifactsInput!$N$24+1,10,12,14,16,18,20)+IF(ArtifactsInput!$M$10,CHOOSE(ArtifactsInput!$N$10+1,15,18,21,24,27,30)*(IF(Inputs!$B$38="pvp",MIN(15,15)/15,IF(AND(Inputs!$B$38&lt;&gt;"pvp",Inputs!$B$43&gt;0),MIN(15,Inputs!$B$43)/(Inputs!$B$43),0))),0)))&gt;=100),MIN(100,((Inputs!$B$9+((C2070=TRUE)*(F2070-Calc!F19))+B2083+(ArtifactsInput!$M$24-ArtifactsInput!$M$24)*CHOOSE(ArtifactsInput!$N$24+1,10,12,14,16,18,20)+IF(ArtifactsInput!$M$10,CHOOSE(ArtifactsInput!$N$10+1,15,18,21,24,27,30)*(IF(Inputs!$B$38="pvp",MIN(15,15)/15,IF(AND(Inputs!$B$38&lt;&gt;"pvp",Inputs!$B$43&gt;0),MIN(15,Inputs!$B$43)/(Inputs!$B$43),0))),0)))-100),0))*CHOOSE(ArtifactsInput!$N$42+1,0.6,0.72,0.84,0.96,1.08,1.2))),Inputs!$B$18+((C2078=TRUE)*(F2078-Calc!F27))+(IF(AND(ArtifactsInput!$M$42,((Inputs!$B$9+((C2070=TRUE)*(F2070-Calc!F19))+B2083+(ArtifactsInput!$M$24-ArtifactsInput!$M$24)*CHOOSE(ArtifactsInput!$N$24+1,10,12,14,16,18,20)+IF(ArtifactsInput!$M$10,CHOOSE(ArtifactsInput!$N$10+1,15,18,21,24,27,30)*(IF(Inputs!$B$38="pvp",MIN(15,15)/15,IF(AND(Inputs!$B$38&lt;&gt;"pvp",Inputs!$B$43&gt;0),MIN(15,Inputs!$B$43)/(Inputs!$B$43),0))),0)))&gt;=100),CHOOSE(ArtifactsInput!$N$42+1,40,48,56,64,72,80),0))))/100)*((1+(((C2064=TRUE)*F2064)+((C2065=TRUE)*IF(Inputs!$B$38="pvp",F2065,(1-Summary!$B$11)*(F2065)+Summary!$B$11*(0)))+((C2066=TRUE)*F2066*IF(AND(Inputs!$B$38&lt;&gt;"pvp",Inputs!$B$43&gt;0),(((R2066-1)*(Skills!T15*(1+Inputs!$B$34/100))+MIN((Skills!T15*(1+Inputs!$B$34/100)),MAX(0,Inputs!$B$43-((R2066-1)*Skills!D15))))/Inputs!$B$43),IF(Inputs!$B$38="pvp",MIN((Skills!T15*(1+Inputs!$B$34/100)),15)/15,(Skills!T15*(1+Inputs!$B$34/100))/Skills!D15)))+((C2063=TRUE)*F2063)+((C2080=TRUE)*(F2080-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2060)</f>
        <v/>
      </c>
      <c r="L2060">
        <f>K2060*(MIN(Inputs!$B$22+((C2074=TRUE)*(F2074-Calc!F23)),(Inputs!$B$23+((C2079=TRUE)*(F2079-Calc!F28))+(IF(ArtifactsInput!$M$15,CHOOSE(ArtifactsInput!$N$15+1,25,30,35,40,45,50)/100*(Inputs!$B$11-Inputs!$B$11),0))))/100+(Inputs!$B$23+((C2079=TRUE)*(F2079-Calc!F28))+(IF(ArtifactsInput!$M$15,CHOOSE(ArtifactsInput!$N$15+1,25,30,35,40,45,50)/100*(Inputs!$B$11-Inputs!$B$11),0)))/100)/2</f>
        <v/>
      </c>
      <c r="M2060">
        <f>L2060*(1+(Inputs!$B$10+0+B2088+(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060">
        <f>L2060*(1-MIN((Inputs!$B$9+((C2070=TRUE)*(F2070-Calc!F19))+B2083+(ArtifactsInput!$M$24-ArtifactsInput!$M$24)*CHOOSE(ArtifactsInput!$N$24+1,10,12,14,16,18,20)+(IF(AND(ArtifactsInput!$M$42,((Inputs!$B$9+((C2070=TRUE)*(F2070-Calc!F19))+B2083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2060*(MIN((Inputs!$B$9+((C2070=TRUE)*(F2070-Calc!F19))+B2083+(ArtifactsInput!$M$24-ArtifactsInput!$M$24)*CHOOSE(ArtifactsInput!$N$24+1,10,12,14,16,18,20)+(IF(AND(ArtifactsInput!$M$42,((Inputs!$B$9+((C2070=TRUE)*(F2070-Calc!F19))+B2083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060">
        <f>(1-Summary!$B$11)*T2060+Summary!$B$11*V2060</f>
        <v/>
      </c>
      <c r="P2060">
        <f>IF(B2093=0,0,O2060/B2093)</f>
        <v/>
      </c>
      <c r="Q2060">
        <f>IFERROR(1/IF(Inputs!$B$38="pvp",15,MAX(0.1,Skills!D9-IF(Skills!E9=TRUE,Inputs!$B$32,0))),0)</f>
        <v/>
      </c>
      <c r="R2060">
        <f>IF(AND(Inputs!$B$38&lt;&gt;"pvp",Inputs!$B$43&gt;0),IF(MAX(0,Inputs!$B$43-B2090)&lt;=0,0,(INT(MAX(0,Inputs!$B$43-B2090)/IF(Inputs!$B$38="pvp",15,MAX(0.1,Skills!D9-IF(Skills!E9=TRUE,Inputs!$B$32,0))))+1)),0)</f>
        <v/>
      </c>
      <c r="S2060">
        <f>IFERROR((H2060*N2060*IF(AND(Inputs!$B$38&lt;&gt;"pvp",Inputs!$B$43&gt;0),((Skills!G9*((R2060-1)*IF(Skills!H9&gt;0,Skills!I9/Skills!H9,1)+IF(Skills!H9&gt;0,MIN(Skills!I9,MAX(0,MAX(0,Inputs!$B$43-B2090)-((R2060-1)*IF(Inputs!$B$38="pvp",15,MAX(0.1,Skills!D9-IF(Skills!E9=TRUE,Inputs!$B$32,0))))))/Skills!H9,1)))/Inputs!$B$43),G2060*Q2060))/N2060*IF(Inputs!$B$38="pvp",1,(1-Summary!$B$11)*1+Summary!$B$11*(MIN(Skills!R9,Inputs!$B$37))),0)</f>
        <v/>
      </c>
      <c r="T2060">
        <f>IF(C2060,(H2060*N2060*IF(AND(Inputs!$B$38&lt;&gt;"pvp",Inputs!$B$43&gt;0),((Skills!G9*((R2060-1)*IF(Skills!H9&gt;0,Skills!I9/Skills!H9,1)+IF(Skills!H9&gt;0,MIN(Skills!I9,MAX(0,MAX(0,Inputs!$B$43-B2090)-((R2060-1)*IF(Inputs!$B$38="pvp",15,MAX(0.1,Skills!D9-IF(Skills!E9=TRUE,Inputs!$B$32,0))))))/Skills!H9,1)))/Inputs!$B$43),G2060*Q2060))*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Hunt"),CHOOSE(ArtifactsInput!$N$35+1,15,18,21,24,27,30)*(1-EXP(-(0.2*B2085)*5)),0)+IF(AND(ArtifactsInput!$M$22,Inputs!$B$4&lt;&gt;"Chapter Hunt"),CHOOSE(ArtifactsInput!$N$22+1,10,12,14,16,18,20)*((0*(((0.15*B2085*5))^0/1)+1*(((0.15*B2085*5))^1/1)+2*(((0.15*B2085*5))^2/2)+3*(((0.15*B2085*5))^3/6)+4*(((0.15*B2085*5))^4/24)+5*(((0.15*B2085*5))^5/120))/((((0.15*B2085*5))^0/1)+(((0.15*B2085*5))^1/1)+(((0.15*B2085*5))^2/2)+(((0.15*B2085*5))^3/6)+(((0.15*B2085*5))^4/24)+(((0.15*B2085*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2060*(1-MIN(100,(Inputs!$B$9+((C2070=TRUE)*(F2070-Calc!F19))+B2083+(ArtifactsInput!$M$24-ArtifactsInput!$M$24)*CHOOSE(ArtifactsInput!$N$24+1,10,12,14,16,18,20)+(IF(AND(ArtifactsInput!$M$42,((Inputs!$B$9+((C2070=TRUE)*(F2070-Calc!F19))+B2083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2060*(MIN(100,(Inputs!$B$9+((C2070=TRUE)*(F2070-Calc!F19))+B2083+(ArtifactsInput!$M$24-ArtifactsInput!$M$24)*CHOOSE(ArtifactsInput!$N$24+1,10,12,14,16,18,20)+(IF(AND(ArtifactsInput!$M$42,((Inputs!$B$9+((C2070=TRUE)*(F2070-Calc!F19))+B2083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2060*(1-MIN(100,(Inputs!$B$9+((C2070=TRUE)*(F2070-Calc!F19))+B2083+(ArtifactsInput!$M$24-ArtifactsInput!$M$24)*CHOOSE(ArtifactsInput!$N$24+1,10,12,14,16,18,20)+(IF(AND(ArtifactsInput!$M$42,((Inputs!$B$9+((C2070=TRUE)*(F2070-Calc!F19))+B2083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2060*(MIN(100,(Inputs!$B$9+((C2070=TRUE)*(F2070-Calc!F19))+B2083+(ArtifactsInput!$M$24-ArtifactsInput!$M$24)*CHOOSE(ArtifactsInput!$N$24+1,10,12,14,16,18,20)+(IF(AND(ArtifactsInput!$M$42,((Inputs!$B$9+((C2070=TRUE)*(F2070-Calc!F19))+B2083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060">
        <f>IF(C2060,(H2060*N2060*IF(AND(Inputs!$B$38&lt;&gt;"pvp",Inputs!$B$43&gt;0),((Skills!G9*((R2060-1)*IF(Skills!H9&gt;0,Skills!I9/Skills!H9,1)+IF(Skills!H9&gt;0,MIN(Skills!I9,MAX(0,MAX(0,Inputs!$B$43-B2090)-((R2060-1)*IF(Inputs!$B$38="pvp",15,MAX(0.1,Skills!D9-IF(Skills!E9=TRUE,Inputs!$B$32,0))))))/Skills!H9,1)))/Inputs!$B$43),G2060*Q2060))*IF(Inputs!$B$38="pvp",1,(1+(Inputs!$B$21+Skills!Q9+(IF(ArtifactsInput!$M$33,CHOOSE(ArtifactsInput!$N$33+1,30,36,42,48,54,60),0))+(IF(AND(ArtifactsInput!$M$35,Inputs!$B$4&lt;&gt;"Chapter Hunt"),CHOOSE(ArtifactsInput!$N$35+1,15,18,21,24,27,30)*(1-EXP(-(0.2*B2085)*5)),0)+IF(AND(ArtifactsInput!$M$22,Inputs!$B$4&lt;&gt;"Chapter Hunt"),CHOOSE(ArtifactsInput!$N$22+1,10,12,14,16,18,20)*((0*(((0.15*B2085*5))^0/1)+1*(((0.15*B2085*5))^1/1)+2*(((0.15*B2085*5))^2/2)+3*(((0.15*B2085*5))^3/6)+4*(((0.15*B2085*5))^4/24)+5*(((0.15*B2085*5))^5/120))/((((0.15*B2085*5))^0/1)+(((0.15*B2085*5))^1/1)+(((0.15*B2085*5))^2/2)+(((0.15*B2085*5))^3/6)+(((0.15*B2085*5))^4/24)+(((0.15*B2085*5))^5/120)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061">
      <c r="A2061">
        <f>Skills!A10</f>
        <v/>
      </c>
      <c r="B2061">
        <f>Skills!B10</f>
        <v/>
      </c>
      <c r="C2061">
        <f>Inputs!$B$3&gt;=107</f>
        <v/>
      </c>
      <c r="D2061">
        <f>IF(Skills!C10=1,60+Inputs!$B$25+Inputs!$B$29,IF(Skills!C10=2,90+Inputs!$B$26+Inputs!$B$29,IF(Skills!C10=3,120+Inputs!$B$27+Inputs!$B$29,MAX(0,(Inputs!$B$3-100)*3)+Inputs!$B$28+Inputs!$B$29)))</f>
        <v/>
      </c>
      <c r="E2061">
        <f>INDEX(FactorTable!$B$2:$Y$301, MATCH(ROUND(MIN(300,MAX(1,D2061)),0), FactorTable!$A$2:$A$301,0), Skills!M10+1)</f>
        <v/>
      </c>
      <c r="F2061">
        <f>IF(Skills!N10=TRUE,(Skills!L10/10)*(E2061/1000),Skills!L10/10)+Skills!O10</f>
        <v/>
      </c>
      <c r="G2061">
        <f>Skills!G10*IF(Skills!H10&gt;0,Skills!I10/Skills!H10,1)</f>
        <v/>
      </c>
      <c r="H2061">
        <f>1-(1-Skills!J10/100)^Skills!K10</f>
        <v/>
      </c>
      <c r="I2061" t="inlineStr">
        <is>
          <t>1</t>
        </is>
      </c>
      <c r="J2061">
        <f>((Inputs!$B$6*(1+Inputs!$B$7/100))+(((Inputs!$B$12*(1+Inputs!$B$13/100))-(Inputs!$B$12*(1+Inputs!$B$13/100)))+0.25*(Inputs!$B$14-Inputs!$B$14))*(1+Inputs!$B$7/100))*(F2061/100)</f>
        <v/>
      </c>
      <c r="K2061">
        <f>J2061*(1+((Inputs!$B$12*(1+Inputs!$B$13/100))*0.01+Inputs!$B$14*0.0025)/100)*(1+Inputs!$B$15/100)*(1+Inputs!$B$16/100)*(5000/(6000+Inputs!$B$42*(1-(100*(1-(1-(Inputs!$B$19+0)/100)*(1-CHOOSE(ArtifactsInput!$N$40+1,5,6,7,8,9,10)/100)^(ArtifactsInput!$M$40-ArtifactsInput!$M$40)))/100)))*(1+(Inputs!$B$24+((C2075=TRUE)*(F2075-Calc!F24))+((C2076=TRUE)*(F2076-Calc!F25))+B2089)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EMPOWERED_PIERCING_ARROW",Inputs!$B$17+((C2073=TRUE)*(F2073-Calc!F22))+(((IF(AND(ArtifactsInput!$M$42,((Inputs!$B$9+((C2070=TRUE)*(F2070-Calc!F19))+B2083+(ArtifactsInput!$M$24-ArtifactsInput!$M$24)*CHOOSE(ArtifactsInput!$N$24+1,10,12,14,16,18,20)+IF(ArtifactsInput!$M$10,CHOOSE(ArtifactsInput!$N$10+1,15,18,21,24,27,30)*(IF(Inputs!$B$38="pvp",MIN(15,15)/15,IF(AND(Inputs!$B$38&lt;&gt;"pvp",Inputs!$B$43&gt;0),MIN(15,Inputs!$B$43)/(Inputs!$B$43),0))),0)))&gt;=100),MIN(100,((Inputs!$B$9+((C2070=TRUE)*(F2070-Calc!F19))+B2083+(ArtifactsInput!$M$24-ArtifactsInput!$M$24)*CHOOSE(ArtifactsInput!$N$24+1,10,12,14,16,18,20)+IF(ArtifactsInput!$M$10,CHOOSE(ArtifactsInput!$N$10+1,15,18,21,24,27,30)*(IF(Inputs!$B$38="pvp",MIN(15,15)/15,IF(AND(Inputs!$B$38&lt;&gt;"pvp",Inputs!$B$43&gt;0),MIN(15,Inputs!$B$43)/(Inputs!$B$43),0))),0)))-100),0))*CHOOSE(ArtifactsInput!$N$42+1,0.6,0.72,0.84,0.96,1.08,1.2))),Inputs!$B$18+((C2078=TRUE)*(F2078-Calc!F27))+(IF(AND(ArtifactsInput!$M$42,((Inputs!$B$9+((C2070=TRUE)*(F2070-Calc!F19))+B2083+(ArtifactsInput!$M$24-ArtifactsInput!$M$24)*CHOOSE(ArtifactsInput!$N$24+1,10,12,14,16,18,20)+IF(ArtifactsInput!$M$10,CHOOSE(ArtifactsInput!$N$10+1,15,18,21,24,27,30)*(IF(Inputs!$B$38="pvp",MIN(15,15)/15,IF(AND(Inputs!$B$38&lt;&gt;"pvp",Inputs!$B$43&gt;0),MIN(15,Inputs!$B$43)/(Inputs!$B$43),0))),0)))&gt;=100),CHOOSE(ArtifactsInput!$N$42+1,40,48,56,64,72,80),0))))/100)*((1+(((C2064=TRUE)*F2064)+((C2065=TRUE)*IF(Inputs!$B$38="pvp",F2065,(1-Summary!$B$11)*(F2065)+Summary!$B$11*(0)))+((C2066=TRUE)*F2066*IF(AND(Inputs!$B$38&lt;&gt;"pvp",Inputs!$B$43&gt;0),(((R2066-1)*(Skills!T15*(1+Inputs!$B$34/100))+MIN((Skills!T15*(1+Inputs!$B$34/100)),MAX(0,Inputs!$B$43-((R2066-1)*Skills!D15))))/Inputs!$B$43),IF(Inputs!$B$38="pvp",MIN((Skills!T15*(1+Inputs!$B$34/100)),15)/15,(Skills!T15*(1+Inputs!$B$34/100))/Skills!D15)))+((C2063=TRUE)*F2063)+((C2080=TRUE)*(F2080-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2061)</f>
        <v/>
      </c>
      <c r="L2061">
        <f>K2061*(MIN(Inputs!$B$22+((C2074=TRUE)*(F2074-Calc!F23)),(Inputs!$B$23+((C2079=TRUE)*(F2079-Calc!F28))+(IF(ArtifactsInput!$M$15,CHOOSE(ArtifactsInput!$N$15+1,25,30,35,40,45,50)/100*(Inputs!$B$11-Inputs!$B$11),0))))/100+(Inputs!$B$23+((C2079=TRUE)*(F2079-Calc!F28))+(IF(ArtifactsInput!$M$15,CHOOSE(ArtifactsInput!$N$15+1,25,30,35,40,45,50)/100*(Inputs!$B$11-Inputs!$B$11),0)))/100)/2</f>
        <v/>
      </c>
      <c r="M2061">
        <f>L2061*(1+(Inputs!$B$10+0+B2088+(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061">
        <f>L2061*(1-MIN((Inputs!$B$9+((C2070=TRUE)*(F2070-Calc!F19))+B2083+(ArtifactsInput!$M$24-ArtifactsInput!$M$24)*CHOOSE(ArtifactsInput!$N$24+1,10,12,14,16,18,20)+(IF(AND(ArtifactsInput!$M$42,((Inputs!$B$9+((C2070=TRUE)*(F2070-Calc!F19))+B2083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2061*(MIN((Inputs!$B$9+((C2070=TRUE)*(F2070-Calc!F19))+B2083+(ArtifactsInput!$M$24-ArtifactsInput!$M$24)*CHOOSE(ArtifactsInput!$N$24+1,10,12,14,16,18,20)+(IF(AND(ArtifactsInput!$M$42,((Inputs!$B$9+((C2070=TRUE)*(F2070-Calc!F19))+B2083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061">
        <f>(1-Summary!$B$11)*T2061+Summary!$B$11*V2061</f>
        <v/>
      </c>
      <c r="P2061">
        <f>IF(B2093=0,0,O2061/B2093)</f>
        <v/>
      </c>
      <c r="Q2061" t="n">
        <v>0</v>
      </c>
      <c r="R2061" t="n">
        <v>0</v>
      </c>
      <c r="S2061" t="n">
        <v>0</v>
      </c>
      <c r="T2061">
        <f>IF(C2061,(0.15*SUMPRODUCT((Skills!U2:U29=TRUE)*(C2053:C2080=TRUE)*S2053:S2080)*Skills!G10*N2061)*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Hunt"),CHOOSE(ArtifactsInput!$N$35+1,15,18,21,24,27,30)*(1-EXP(-(0.2*B2085)*5)),0)+IF(AND(ArtifactsInput!$M$22,Inputs!$B$4&lt;&gt;"Chapter Hunt"),CHOOSE(ArtifactsInput!$N$22+1,10,12,14,16,18,20)*((0*(((0.15*B2085*5))^0/1)+1*(((0.15*B2085*5))^1/1)+2*(((0.15*B2085*5))^2/2)+3*(((0.15*B2085*5))^3/6)+4*(((0.15*B2085*5))^4/24)+5*(((0.15*B2085*5))^5/120))/((((0.15*B2085*5))^0/1)+(((0.15*B2085*5))^1/1)+(((0.15*B2085*5))^2/2)+(((0.15*B2085*5))^3/6)+(((0.15*B2085*5))^4/24)+(((0.15*B2085*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2061*(1-MIN(100,(Inputs!$B$9+((C2070=TRUE)*(F2070-Calc!F19))+B2083+(ArtifactsInput!$M$24-ArtifactsInput!$M$24)*CHOOSE(ArtifactsInput!$N$24+1,10,12,14,16,18,20)+(IF(AND(ArtifactsInput!$M$42,((Inputs!$B$9+((C2070=TRUE)*(F2070-Calc!F19))+B2083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2061*(MIN(100,(Inputs!$B$9+((C2070=TRUE)*(F2070-Calc!F19))+B2083+(ArtifactsInput!$M$24-ArtifactsInput!$M$24)*CHOOSE(ArtifactsInput!$N$24+1,10,12,14,16,18,20)+(IF(AND(ArtifactsInput!$M$42,((Inputs!$B$9+((C2070=TRUE)*(F2070-Calc!F19))+B2083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2061*(1-MIN(100,(Inputs!$B$9+((C2070=TRUE)*(F2070-Calc!F19))+B2083+(ArtifactsInput!$M$24-ArtifactsInput!$M$24)*CHOOSE(ArtifactsInput!$N$24+1,10,12,14,16,18,20)+(IF(AND(ArtifactsInput!$M$42,((Inputs!$B$9+((C2070=TRUE)*(F2070-Calc!F19))+B2083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2061*(MIN(100,(Inputs!$B$9+((C2070=TRUE)*(F2070-Calc!F19))+B2083+(ArtifactsInput!$M$24-ArtifactsInput!$M$24)*CHOOSE(ArtifactsInput!$N$24+1,10,12,14,16,18,20)+(IF(AND(ArtifactsInput!$M$42,((Inputs!$B$9+((C2070=TRUE)*(F2070-Calc!F19))+B2083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061">
        <f>IF(C2061,(0.15*SUMPRODUCT((Skills!U2:U29=TRUE)*(C2053:C2080=TRUE)*S2053:S2080)*Skills!G10*N2061)*IF(Inputs!$B$38="pvp",1,(1+(Inputs!$B$21+Skills!Q10+(IF(ArtifactsInput!$M$33,CHOOSE(ArtifactsInput!$N$33+1,30,36,42,48,54,60),0))+(IF(AND(ArtifactsInput!$M$35,Inputs!$B$4&lt;&gt;"Chapter Hunt"),CHOOSE(ArtifactsInput!$N$35+1,15,18,21,24,27,30)*(1-EXP(-(0.2*B2085)*5)),0)+IF(AND(ArtifactsInput!$M$22,Inputs!$B$4&lt;&gt;"Chapter Hunt"),CHOOSE(ArtifactsInput!$N$22+1,10,12,14,16,18,20)*((0*(((0.15*B2085*5))^0/1)+1*(((0.15*B2085*5))^1/1)+2*(((0.15*B2085*5))^2/2)+3*(((0.15*B2085*5))^3/6)+4*(((0.15*B2085*5))^4/24)+5*(((0.15*B2085*5))^5/120))/((((0.15*B2085*5))^0/1)+(((0.15*B2085*5))^1/1)+(((0.15*B2085*5))^2/2)+(((0.15*B2085*5))^3/6)+(((0.15*B2085*5))^4/24)+(((0.15*B2085*5))^5/120)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062">
      <c r="A2062">
        <f>Skills!A11</f>
        <v/>
      </c>
      <c r="B2062">
        <f>Skills!B11</f>
        <v/>
      </c>
      <c r="C2062">
        <f>Inputs!$B$3&gt;=110</f>
        <v/>
      </c>
      <c r="D2062">
        <f>IF(Skills!C11=1,60+Inputs!$B$25+Inputs!$B$29,IF(Skills!C11=2,90+Inputs!$B$26+Inputs!$B$29,IF(Skills!C11=3,120+Inputs!$B$27+Inputs!$B$29,MAX(0,(Inputs!$B$3-100)*3)+Inputs!$B$28+Inputs!$B$29)))</f>
        <v/>
      </c>
      <c r="E2062">
        <f>INDEX(FactorTable!$B$2:$Y$301, MATCH(ROUND(MIN(300,MAX(1,D2062)),0), FactorTable!$A$2:$A$301,0), Skills!M11+1)</f>
        <v/>
      </c>
      <c r="F2062">
        <f>IF(Skills!N11=TRUE,(Skills!L11/10)*(E2062/1000),Skills!L11/10)+Skills!O11</f>
        <v/>
      </c>
      <c r="G2062">
        <f>Skills!G11*IF(Skills!H11&gt;0,Skills!I11/Skills!H11,1)</f>
        <v/>
      </c>
      <c r="H2062">
        <f>1-(1-Skills!J11/100)^Skills!K11</f>
        <v/>
      </c>
      <c r="I2062" t="inlineStr">
        <is>
          <t>1</t>
        </is>
      </c>
      <c r="J2062">
        <f>((Inputs!$B$6*(1+Inputs!$B$7/100))+(((Inputs!$B$12*(1+Inputs!$B$13/100))-(Inputs!$B$12*(1+Inputs!$B$13/100)))+0.25*(Inputs!$B$14-Inputs!$B$14))*(1+Inputs!$B$7/100))*(F2062/100)</f>
        <v/>
      </c>
      <c r="K2062">
        <f>J2062*(1+((Inputs!$B$12*(1+Inputs!$B$13/100))*0.01+Inputs!$B$14*0.0025)/100)*(1+Inputs!$B$15/100)*(1+Inputs!$B$16/100)*(5000/(6000+Inputs!$B$42*(1-(100*(1-(1-(Inputs!$B$19+0)/100)*(1-CHOOSE(ArtifactsInput!$N$40+1,5,6,7,8,9,10)/100)^(ArtifactsInput!$M$40-ArtifactsInput!$M$40)))/100)))*(1+(Inputs!$B$24+((C2075=TRUE)*(F2075-Calc!F24))+((C2076=TRUE)*(F2076-Calc!F25))+B2089)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11="EMPOWERED_PIERCING_ARROW",Inputs!$B$17+((C2073=TRUE)*(F2073-Calc!F22))+(((IF(AND(ArtifactsInput!$M$42,((Inputs!$B$9+((C2070=TRUE)*(F2070-Calc!F19))+B2083+(ArtifactsInput!$M$24-ArtifactsInput!$M$24)*CHOOSE(ArtifactsInput!$N$24+1,10,12,14,16,18,20)+IF(ArtifactsInput!$M$10,CHOOSE(ArtifactsInput!$N$10+1,15,18,21,24,27,30)*(IF(Inputs!$B$38="pvp",MIN(15,15)/15,IF(AND(Inputs!$B$38&lt;&gt;"pvp",Inputs!$B$43&gt;0),MIN(15,Inputs!$B$43)/(Inputs!$B$43),0))),0)))&gt;=100),MIN(100,((Inputs!$B$9+((C2070=TRUE)*(F2070-Calc!F19))+B2083+(ArtifactsInput!$M$24-ArtifactsInput!$M$24)*CHOOSE(ArtifactsInput!$N$24+1,10,12,14,16,18,20)+IF(ArtifactsInput!$M$10,CHOOSE(ArtifactsInput!$N$10+1,15,18,21,24,27,30)*(IF(Inputs!$B$38="pvp",MIN(15,15)/15,IF(AND(Inputs!$B$38&lt;&gt;"pvp",Inputs!$B$43&gt;0),MIN(15,Inputs!$B$43)/(Inputs!$B$43),0))),0)))-100),0))*CHOOSE(ArtifactsInput!$N$42+1,0.6,0.72,0.84,0.96,1.08,1.2))),Inputs!$B$18+((C2078=TRUE)*(F2078-Calc!F27))+(IF(AND(ArtifactsInput!$M$42,((Inputs!$B$9+((C2070=TRUE)*(F2070-Calc!F19))+B2083+(ArtifactsInput!$M$24-ArtifactsInput!$M$24)*CHOOSE(ArtifactsInput!$N$24+1,10,12,14,16,18,20)+IF(ArtifactsInput!$M$10,CHOOSE(ArtifactsInput!$N$10+1,15,18,21,24,27,30)*(IF(Inputs!$B$38="pvp",MIN(15,15)/15,IF(AND(Inputs!$B$38&lt;&gt;"pvp",Inputs!$B$43&gt;0),MIN(15,Inputs!$B$43)/(Inputs!$B$43),0))),0)))&gt;=100),CHOOSE(ArtifactsInput!$N$42+1,40,48,56,64,72,80),0))))/100)*((1+(((C2064=TRUE)*F2064)+((C2065=TRUE)*IF(Inputs!$B$38="pvp",F2065,(1-Summary!$B$11)*(F2065)+Summary!$B$11*(0)))+((C2066=TRUE)*F2066*IF(AND(Inputs!$B$38&lt;&gt;"pvp",Inputs!$B$43&gt;0),(((R2066-1)*(Skills!T15*(1+Inputs!$B$34/100))+MIN((Skills!T15*(1+Inputs!$B$34/100)),MAX(0,Inputs!$B$43-((R2066-1)*Skills!D15))))/Inputs!$B$43),IF(Inputs!$B$38="pvp",MIN((Skills!T15*(1+Inputs!$B$34/100)),15)/15,(Skills!T15*(1+Inputs!$B$34/100))/Skills!D15)))+((C2063=TRUE)*F2063)+((C2080=TRUE)*(F2080-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2062)</f>
        <v/>
      </c>
      <c r="L2062">
        <f>K2062*(MIN(Inputs!$B$22+((C2074=TRUE)*(F2074-Calc!F23)),(Inputs!$B$23+((C2079=TRUE)*(F2079-Calc!F28))+(IF(ArtifactsInput!$M$15,CHOOSE(ArtifactsInput!$N$15+1,25,30,35,40,45,50)/100*(Inputs!$B$11-Inputs!$B$11),0))))/100+(Inputs!$B$23+((C2079=TRUE)*(F2079-Calc!F28))+(IF(ArtifactsInput!$M$15,CHOOSE(ArtifactsInput!$N$15+1,25,30,35,40,45,50)/100*(Inputs!$B$11-Inputs!$B$11),0)))/100)/2</f>
        <v/>
      </c>
      <c r="M2062">
        <f>L2062*(1+(Inputs!$B$10+0+B2088+(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062">
        <f>L2062*(1-MIN((Inputs!$B$9+((C2070=TRUE)*(F2070-Calc!F19))+B2083+(ArtifactsInput!$M$24-ArtifactsInput!$M$24)*CHOOSE(ArtifactsInput!$N$24+1,10,12,14,16,18,20)+(IF(AND(ArtifactsInput!$M$42,((Inputs!$B$9+((C2070=TRUE)*(F2070-Calc!F19))+B2083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2062*(MIN((Inputs!$B$9+((C2070=TRUE)*(F2070-Calc!F19))+B2083+(ArtifactsInput!$M$24-ArtifactsInput!$M$24)*CHOOSE(ArtifactsInput!$N$24+1,10,12,14,16,18,20)+(IF(AND(ArtifactsInput!$M$42,((Inputs!$B$9+((C2070=TRUE)*(F2070-Calc!F19))+B2083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062">
        <f>(1-Summary!$B$11)*T2062+Summary!$B$11*V2062</f>
        <v/>
      </c>
      <c r="P2062">
        <f>IF(B2093=0,0,O2062/B2093)</f>
        <v/>
      </c>
      <c r="Q2062">
        <f>IFERROR(1/IF(Inputs!$B$38="pvp",15,MAX(0.1,Skills!D11-IF(Skills!E11=TRUE,Inputs!$B$32,0))),0)</f>
        <v/>
      </c>
      <c r="R2062">
        <f>IF(AND(Inputs!$B$38&lt;&gt;"pvp",Inputs!$B$43&gt;0),IF(MAX(0,Inputs!$B$43-B2090)&lt;=0,0,(INT(MAX(0,Inputs!$B$43-B2090)/IF(Inputs!$B$38="pvp",15,MAX(0.1,Skills!D11-IF(Skills!E11=TRUE,Inputs!$B$32,0))))+1)),0)</f>
        <v/>
      </c>
      <c r="S2062">
        <f>IFERROR((H2062*N2062*IF(AND(Inputs!$B$38&lt;&gt;"pvp",Inputs!$B$43&gt;0),((Skills!G11*((R2062-1)*IF(Skills!H11&gt;0,Skills!I11/Skills!H11,1)+IF(Skills!H11&gt;0,MIN(Skills!I11,MAX(0,MAX(0,Inputs!$B$43-B2090)-((R2062-1)*IF(Inputs!$B$38="pvp",15,MAX(0.1,Skills!D11-IF(Skills!E11=TRUE,Inputs!$B$32,0))))))/Skills!H11,1)))/Inputs!$B$43),G2062*Q2062))/N2062*IF(Inputs!$B$38="pvp",1,(1-Summary!$B$11)*1+Summary!$B$11*(MIN(Skills!R11,Inputs!$B$37))),0)</f>
        <v/>
      </c>
      <c r="T2062">
        <f>IF(C2062,(H2062*N2062*IF(AND(Inputs!$B$38&lt;&gt;"pvp",Inputs!$B$43&gt;0),((Skills!G11*((R2062-1)*IF(Skills!H11&gt;0,Skills!I11/Skills!H11,1)+IF(Skills!H11&gt;0,MIN(Skills!I11,MAX(0,MAX(0,Inputs!$B$43-B2090)-((R2062-1)*IF(Inputs!$B$38="pvp",15,MAX(0.1,Skills!D11-IF(Skills!E11=TRUE,Inputs!$B$32,0))))))/Skills!H11,1)))/Inputs!$B$43),G2062*Q2062))*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Hunt"),CHOOSE(ArtifactsInput!$N$35+1,15,18,21,24,27,30)*(1-EXP(-(0.2*B2085)*5)),0)+IF(AND(ArtifactsInput!$M$22,Inputs!$B$4&lt;&gt;"Chapter Hunt"),CHOOSE(ArtifactsInput!$N$22+1,10,12,14,16,18,20)*((0*(((0.15*B2085*5))^0/1)+1*(((0.15*B2085*5))^1/1)+2*(((0.15*B2085*5))^2/2)+3*(((0.15*B2085*5))^3/6)+4*(((0.15*B2085*5))^4/24)+5*(((0.15*B2085*5))^5/120))/((((0.15*B2085*5))^0/1)+(((0.15*B2085*5))^1/1)+(((0.15*B2085*5))^2/2)+(((0.15*B2085*5))^3/6)+(((0.15*B2085*5))^4/24)+(((0.15*B2085*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2062*(1-MIN(100,(Inputs!$B$9+((C2070=TRUE)*(F2070-Calc!F19))+B2083+(ArtifactsInput!$M$24-ArtifactsInput!$M$24)*CHOOSE(ArtifactsInput!$N$24+1,10,12,14,16,18,20)+(IF(AND(ArtifactsInput!$M$42,((Inputs!$B$9+((C2070=TRUE)*(F2070-Calc!F19))+B2083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2062*(MIN(100,(Inputs!$B$9+((C2070=TRUE)*(F2070-Calc!F19))+B2083+(ArtifactsInput!$M$24-ArtifactsInput!$M$24)*CHOOSE(ArtifactsInput!$N$24+1,10,12,14,16,18,20)+(IF(AND(ArtifactsInput!$M$42,((Inputs!$B$9+((C2070=TRUE)*(F2070-Calc!F19))+B2083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2062*(1-MIN(100,(Inputs!$B$9+((C2070=TRUE)*(F2070-Calc!F19))+B2083+(ArtifactsInput!$M$24-ArtifactsInput!$M$24)*CHOOSE(ArtifactsInput!$N$24+1,10,12,14,16,18,20)+(IF(AND(ArtifactsInput!$M$42,((Inputs!$B$9+((C2070=TRUE)*(F2070-Calc!F19))+B2083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2062*(MIN(100,(Inputs!$B$9+((C2070=TRUE)*(F2070-Calc!F19))+B2083+(ArtifactsInput!$M$24-ArtifactsInput!$M$24)*CHOOSE(ArtifactsInput!$N$24+1,10,12,14,16,18,20)+(IF(AND(ArtifactsInput!$M$42,((Inputs!$B$9+((C2070=TRUE)*(F2070-Calc!F19))+B2083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062">
        <f>IF(C2062,(H2062*N2062*IF(AND(Inputs!$B$38&lt;&gt;"pvp",Inputs!$B$43&gt;0),((Skills!G11*((R2062-1)*IF(Skills!H11&gt;0,Skills!I11/Skills!H11,1)+IF(Skills!H11&gt;0,MIN(Skills!I11,MAX(0,MAX(0,Inputs!$B$43-B2090)-((R2062-1)*IF(Inputs!$B$38="pvp",15,MAX(0.1,Skills!D11-IF(Skills!E11=TRUE,Inputs!$B$32,0))))))/Skills!H11,1)))/Inputs!$B$43),G2062*Q2062))*IF(Inputs!$B$38="pvp",1,(1+(Inputs!$B$21+Skills!Q11+(IF(ArtifactsInput!$M$33,CHOOSE(ArtifactsInput!$N$33+1,30,36,42,48,54,60),0))+(IF(AND(ArtifactsInput!$M$35,Inputs!$B$4&lt;&gt;"Chapter Hunt"),CHOOSE(ArtifactsInput!$N$35+1,15,18,21,24,27,30)*(1-EXP(-(0.2*B2085)*5)),0)+IF(AND(ArtifactsInput!$M$22,Inputs!$B$4&lt;&gt;"Chapter Hunt"),CHOOSE(ArtifactsInput!$N$22+1,10,12,14,16,18,20)*((0*(((0.15*B2085*5))^0/1)+1*(((0.15*B2085*5))^1/1)+2*(((0.15*B2085*5))^2/2)+3*(((0.15*B2085*5))^3/6)+4*(((0.15*B2085*5))^4/24)+5*(((0.15*B2085*5))^5/120))/((((0.15*B2085*5))^0/1)+(((0.15*B2085*5))^1/1)+(((0.15*B2085*5))^2/2)+(((0.15*B2085*5))^3/6)+(((0.15*B2085*5))^4/24)+(((0.15*B2085*5))^5/120))),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063">
      <c r="A2063">
        <f>Skills!A12</f>
        <v/>
      </c>
      <c r="B2063">
        <f>Skills!B12</f>
        <v/>
      </c>
      <c r="C2063">
        <f>Inputs!$B$3&gt;=60</f>
        <v/>
      </c>
      <c r="D2063">
        <f>IF(Skills!C12=1,60+Inputs!$B$25+Inputs!$B$29,IF(Skills!C12=2,90+Inputs!$B$26+Inputs!$B$29,IF(Skills!C12=3,120+Inputs!$B$27+Inputs!$B$29,MAX(0,(Inputs!$B$3-100)*3)+Inputs!$B$28+Inputs!$B$29)))</f>
        <v/>
      </c>
      <c r="E2063">
        <f>INDEX(FactorTable!$B$2:$Y$301, MATCH(ROUND(MIN(300,MAX(1,D2063)),0), FactorTable!$A$2:$A$301,0), Skills!M12+1)</f>
        <v/>
      </c>
      <c r="F2063">
        <f>IF(Skills!N12=TRUE,(Skills!L12/10)*(E2063/1000),Skills!L12/10)+Skills!O12</f>
        <v/>
      </c>
      <c r="G2063">
        <f>Skills!G12*IF(Skills!H12&gt;0,Skills!I12/Skills!H12,1)</f>
        <v/>
      </c>
      <c r="H2063">
        <f>1-(1-Skills!J12/100)^Skills!K12</f>
        <v/>
      </c>
      <c r="I2063" t="inlineStr">
        <is>
          <t>1</t>
        </is>
      </c>
      <c r="J2063" t="inlineStr"/>
      <c r="K2063" t="inlineStr"/>
      <c r="L2063" t="inlineStr"/>
      <c r="M2063" t="inlineStr"/>
      <c r="N2063" t="inlineStr"/>
      <c r="O2063">
        <f>(1-Summary!$B$11)*T2063+Summary!$B$11*V2063</f>
        <v/>
      </c>
      <c r="P2063">
        <f>IF(B2093=0,0,O2063/B2093)</f>
        <v/>
      </c>
      <c r="Q2063" t="n">
        <v>0</v>
      </c>
      <c r="R2063" t="n">
        <v>0</v>
      </c>
      <c r="S2063" t="n">
        <v>0</v>
      </c>
      <c r="T2063" t="n">
        <v>0</v>
      </c>
      <c r="V2063" t="n">
        <v>0</v>
      </c>
    </row>
    <row r="2064">
      <c r="A2064">
        <f>Skills!A13</f>
        <v/>
      </c>
      <c r="B2064">
        <f>Skills!B13</f>
        <v/>
      </c>
      <c r="C2064">
        <f>Inputs!$B$3&gt;=74</f>
        <v/>
      </c>
      <c r="D2064">
        <f>IF(Skills!C13=1,60+Inputs!$B$25+Inputs!$B$29,IF(Skills!C13=2,90+Inputs!$B$26+Inputs!$B$29,IF(Skills!C13=3,120+Inputs!$B$27+Inputs!$B$29,MAX(0,(Inputs!$B$3-100)*3)+Inputs!$B$28+Inputs!$B$29)))</f>
        <v/>
      </c>
      <c r="E2064">
        <f>INDEX(FactorTable!$B$2:$Y$301, MATCH(ROUND(MIN(300,MAX(1,D2064)),0), FactorTable!$A$2:$A$301,0), Skills!M13+1)</f>
        <v/>
      </c>
      <c r="F2064">
        <f>IF(Skills!N13=TRUE,(Skills!L13/10)*(E2064/1000),Skills!L13/10)+Skills!O13</f>
        <v/>
      </c>
      <c r="G2064">
        <f>Skills!G13*IF(Skills!H13&gt;0,Skills!I13/Skills!H13,1)</f>
        <v/>
      </c>
      <c r="H2064">
        <f>1-(1-Skills!J13/100)^Skills!K13</f>
        <v/>
      </c>
      <c r="I2064" t="inlineStr">
        <is>
          <t>1</t>
        </is>
      </c>
      <c r="J2064" t="inlineStr"/>
      <c r="K2064" t="inlineStr"/>
      <c r="L2064" t="inlineStr"/>
      <c r="M2064" t="inlineStr"/>
      <c r="N2064" t="inlineStr"/>
      <c r="O2064">
        <f>(1-Summary!$B$11)*T2064+Summary!$B$11*V2064</f>
        <v/>
      </c>
      <c r="P2064">
        <f>IF(B2093=0,0,O2064/B2093)</f>
        <v/>
      </c>
      <c r="Q2064" t="n">
        <v>0</v>
      </c>
      <c r="R2064" t="n">
        <v>0</v>
      </c>
      <c r="S2064" t="n">
        <v>0</v>
      </c>
      <c r="T2064" t="n">
        <v>0</v>
      </c>
      <c r="V2064" t="n">
        <v>0</v>
      </c>
    </row>
    <row r="2065">
      <c r="A2065">
        <f>Skills!A14</f>
        <v/>
      </c>
      <c r="B2065">
        <f>Skills!B14</f>
        <v/>
      </c>
      <c r="C2065">
        <f>Inputs!$B$3&gt;=74</f>
        <v/>
      </c>
      <c r="D2065">
        <f>IF(Skills!C14=1,60+Inputs!$B$25+Inputs!$B$29,IF(Skills!C14=2,90+Inputs!$B$26+Inputs!$B$29,IF(Skills!C14=3,120+Inputs!$B$27+Inputs!$B$29,MAX(0,(Inputs!$B$3-100)*3)+Inputs!$B$28+Inputs!$B$29)))</f>
        <v/>
      </c>
      <c r="E2065">
        <f>INDEX(FactorTable!$B$2:$Y$301, MATCH(ROUND(MIN(300,MAX(1,D2065)),0), FactorTable!$A$2:$A$301,0), Skills!M14+1)</f>
        <v/>
      </c>
      <c r="F2065">
        <f>IF(Skills!N14=TRUE,(Skills!L14/10)*(E2065/1000),Skills!L14/10)+Skills!O14</f>
        <v/>
      </c>
      <c r="G2065">
        <f>Skills!G14*IF(Skills!H14&gt;0,Skills!I14/Skills!H14,1)</f>
        <v/>
      </c>
      <c r="H2065">
        <f>1-(1-Skills!J14/100)^Skills!K14</f>
        <v/>
      </c>
      <c r="I2065" t="inlineStr">
        <is>
          <t>1</t>
        </is>
      </c>
      <c r="J2065" t="inlineStr"/>
      <c r="K2065" t="inlineStr"/>
      <c r="L2065" t="inlineStr"/>
      <c r="M2065" t="inlineStr"/>
      <c r="N2065" t="inlineStr"/>
      <c r="O2065">
        <f>(1-Summary!$B$11)*T2065+Summary!$B$11*V2065</f>
        <v/>
      </c>
      <c r="P2065">
        <f>IF(B2093=0,0,O2065/B2093)</f>
        <v/>
      </c>
      <c r="Q2065" t="n">
        <v>0</v>
      </c>
      <c r="R2065" t="n">
        <v>0</v>
      </c>
      <c r="S2065" t="n">
        <v>0</v>
      </c>
      <c r="T2065" t="n">
        <v>0</v>
      </c>
      <c r="V2065" t="n">
        <v>0</v>
      </c>
    </row>
    <row r="2066">
      <c r="A2066">
        <f>Skills!A15</f>
        <v/>
      </c>
      <c r="B2066">
        <f>Skills!B15</f>
        <v/>
      </c>
      <c r="C2066">
        <f>Inputs!$B$3&gt;=117</f>
        <v/>
      </c>
      <c r="D2066">
        <f>IF(Skills!C15=1,60+Inputs!$B$25+Inputs!$B$29,IF(Skills!C15=2,90+Inputs!$B$26+Inputs!$B$29,IF(Skills!C15=3,120+Inputs!$B$27+Inputs!$B$29,MAX(0,(Inputs!$B$3-100)*3)+Inputs!$B$28+Inputs!$B$29)))</f>
        <v/>
      </c>
      <c r="E2066">
        <f>INDEX(FactorTable!$B$2:$Y$301, MATCH(ROUND(MIN(300,MAX(1,D2066)),0), FactorTable!$A$2:$A$301,0), Skills!M15+1)</f>
        <v/>
      </c>
      <c r="F2066">
        <f>IF(Skills!N15=TRUE,(Skills!L15/10)*(E2066/1000),Skills!L15/10)+Skills!O15</f>
        <v/>
      </c>
      <c r="G2066">
        <f>Skills!G15*IF(Skills!H15&gt;0,Skills!I15/Skills!H15,1)</f>
        <v/>
      </c>
      <c r="H2066">
        <f>1-(1-Skills!J15/100)^Skills!K15</f>
        <v/>
      </c>
      <c r="I2066" t="inlineStr">
        <is>
          <t>1</t>
        </is>
      </c>
      <c r="J2066" t="inlineStr"/>
      <c r="K2066" t="inlineStr"/>
      <c r="L2066" t="inlineStr"/>
      <c r="M2066" t="inlineStr"/>
      <c r="N2066" t="inlineStr"/>
      <c r="O2066">
        <f>(1-Summary!$B$11)*T2066+Summary!$B$11*V2066</f>
        <v/>
      </c>
      <c r="P2066">
        <f>IF(B2093=0,0,O2066/B2093)</f>
        <v/>
      </c>
      <c r="Q2066">
        <f>IFERROR(1/IF(Inputs!$B$38="pvp",15,MAX(0.1,Skills!D15-IF(Skills!E15=TRUE,Inputs!$B$32,0))),0)</f>
        <v/>
      </c>
      <c r="R2066">
        <f>IF(AND(Inputs!$B$38&lt;&gt;"pvp",Inputs!$B$43&gt;0),IF(Inputs!$B$43&lt;=0,0,(INT(Inputs!$B$43/IF(Inputs!$B$38="pvp",15,MAX(0.1,Skills!D15-IF(Skills!E15=TRUE,Inputs!$B$32,0))))+1)),0)</f>
        <v/>
      </c>
      <c r="S2066" t="n">
        <v>0</v>
      </c>
      <c r="T2066" t="n">
        <v>0</v>
      </c>
      <c r="V2066" t="n">
        <v>0</v>
      </c>
    </row>
    <row r="2067">
      <c r="A2067">
        <f>Skills!A16</f>
        <v/>
      </c>
      <c r="B2067">
        <f>Skills!B16</f>
        <v/>
      </c>
      <c r="C2067">
        <f>Inputs!$B$3&gt;=115</f>
        <v/>
      </c>
      <c r="D2067">
        <f>IF(Skills!C16=1,60+Inputs!$B$25+Inputs!$B$29,IF(Skills!C16=2,90+Inputs!$B$26+Inputs!$B$29,IF(Skills!C16=3,120+Inputs!$B$27+Inputs!$B$29,MAX(0,(Inputs!$B$3-100)*3)+Inputs!$B$28+Inputs!$B$29)))</f>
        <v/>
      </c>
      <c r="E2067">
        <f>INDEX(FactorTable!$B$2:$Y$301, MATCH(ROUND(MIN(300,MAX(1,D2067)),0), FactorTable!$A$2:$A$301,0), Skills!M16+1)</f>
        <v/>
      </c>
      <c r="F2067">
        <f>IF(Skills!N16=TRUE,(Skills!L16/10)*(E2067/1000),Skills!L16/10)+Skills!O16</f>
        <v/>
      </c>
      <c r="G2067">
        <f>Skills!G16*IF(Skills!H16&gt;0,Skills!I16/Skills!H16,1)</f>
        <v/>
      </c>
      <c r="H2067">
        <f>1-(1-Skills!J16/100)^Skills!K16</f>
        <v/>
      </c>
      <c r="I2067" t="inlineStr">
        <is>
          <t>1</t>
        </is>
      </c>
      <c r="J2067" t="inlineStr"/>
      <c r="K2067" t="inlineStr"/>
      <c r="L2067" t="inlineStr"/>
      <c r="M2067" t="inlineStr"/>
      <c r="N2067" t="inlineStr"/>
      <c r="O2067">
        <f>(1-Summary!$B$11)*T2067+Summary!$B$11*V2067</f>
        <v/>
      </c>
      <c r="P2067">
        <f>IF(B2093=0,0,O2067/B2093)</f>
        <v/>
      </c>
      <c r="Q2067">
        <f>IFERROR(1/IF(Inputs!$B$38="pvp",15,MAX(0.1,Skills!D16-IF(Skills!E16=TRUE,Inputs!$B$32,0))),0)</f>
        <v/>
      </c>
      <c r="R2067">
        <f>IF(AND(Inputs!$B$38&lt;&gt;"pvp",Inputs!$B$43&gt;0),IF(Inputs!$B$43&lt;=0,0,(INT(Inputs!$B$43/IF(Inputs!$B$38="pvp",15,MAX(0.1,Skills!D16-IF(Skills!E16=TRUE,Inputs!$B$32,0))))+1)),0)</f>
        <v/>
      </c>
      <c r="S2067" t="n">
        <v>0</v>
      </c>
      <c r="T2067" t="n">
        <v>0</v>
      </c>
      <c r="V2067" t="n">
        <v>0</v>
      </c>
    </row>
    <row r="2068">
      <c r="A2068">
        <f>Skills!A17</f>
        <v/>
      </c>
      <c r="B2068">
        <f>Skills!B17</f>
        <v/>
      </c>
      <c r="C2068">
        <f>Inputs!$B$3&gt;=72</f>
        <v/>
      </c>
      <c r="D2068">
        <f>IF(Skills!C17=1,60+Inputs!$B$25+Inputs!$B$29,IF(Skills!C17=2,90+Inputs!$B$26+Inputs!$B$29,IF(Skills!C17=3,120+Inputs!$B$27+Inputs!$B$29,MAX(0,(Inputs!$B$3-100)*3)+Inputs!$B$28+Inputs!$B$29)))</f>
        <v/>
      </c>
      <c r="E2068">
        <f>INDEX(FactorTable!$B$2:$Y$301, MATCH(ROUND(MIN(300,MAX(1,D2068)),0), FactorTable!$A$2:$A$301,0), Skills!M17+1)</f>
        <v/>
      </c>
      <c r="F2068">
        <f>IF(Skills!N17=TRUE,(Skills!L17/10)*(E2068/1000),Skills!L17/10)+Skills!O17</f>
        <v/>
      </c>
      <c r="G2068">
        <f>Skills!G17*IF(Skills!H17&gt;0,Skills!I17/Skills!H17,1)</f>
        <v/>
      </c>
      <c r="H2068">
        <f>1-(1-Skills!J17/100)^Skills!K17</f>
        <v/>
      </c>
      <c r="I2068" t="inlineStr">
        <is>
          <t>1</t>
        </is>
      </c>
      <c r="J2068" t="inlineStr"/>
      <c r="K2068" t="inlineStr"/>
      <c r="L2068" t="inlineStr"/>
      <c r="M2068" t="inlineStr"/>
      <c r="N2068" t="inlineStr"/>
      <c r="O2068">
        <f>(1-Summary!$B$11)*T2068+Summary!$B$11*V2068</f>
        <v/>
      </c>
      <c r="P2068">
        <f>IF(B2093=0,0,O2068/B2093)</f>
        <v/>
      </c>
      <c r="Q2068" t="n">
        <v>0</v>
      </c>
      <c r="R2068" t="n">
        <v>0</v>
      </c>
      <c r="S2068" t="n">
        <v>0</v>
      </c>
      <c r="T2068" t="n">
        <v>0</v>
      </c>
      <c r="V2068" t="n">
        <v>0</v>
      </c>
    </row>
    <row r="2069">
      <c r="A2069">
        <f>Skills!A18</f>
        <v/>
      </c>
      <c r="B2069">
        <f>Skills!B18</f>
        <v/>
      </c>
      <c r="C2069">
        <f>TRUE</f>
        <v/>
      </c>
      <c r="D2069">
        <f>IF(Skills!C18=1,60+Inputs!$B$25+Inputs!$B$29,IF(Skills!C18=2,90+Inputs!$B$26+Inputs!$B$29,IF(Skills!C18=3,120+Inputs!$B$27+Inputs!$B$29,MAX(0,(Inputs!$B$3-100)*3)+Inputs!$B$28+Inputs!$B$29)))</f>
        <v/>
      </c>
      <c r="E2069">
        <f>INDEX(FactorTable!$B$2:$Y$301, MATCH(ROUND(MIN(300,MAX(1,D2069)),0), FactorTable!$A$2:$A$301,0), Skills!M18+1)</f>
        <v/>
      </c>
      <c r="F2069">
        <f>IF(Skills!N18=TRUE,(Skills!L18/10)*(E2069/1000),Skills!L18/10)+Skills!O18</f>
        <v/>
      </c>
      <c r="G2069">
        <f>Skills!G18*IF(Skills!H18&gt;0,Skills!I18/Skills!H18,1)</f>
        <v/>
      </c>
      <c r="H2069">
        <f>1-(1-Skills!J18/100)^Skills!K18</f>
        <v/>
      </c>
      <c r="I2069" t="inlineStr">
        <is>
          <t>1</t>
        </is>
      </c>
      <c r="J2069" t="inlineStr"/>
      <c r="K2069" t="inlineStr"/>
      <c r="L2069" t="inlineStr"/>
      <c r="M2069" t="inlineStr"/>
      <c r="N2069" t="inlineStr"/>
      <c r="O2069">
        <f>(1-Summary!$B$11)*T2069+Summary!$B$11*V2069</f>
        <v/>
      </c>
      <c r="P2069">
        <f>IF(B2093=0,0,O2069/B2093)</f>
        <v/>
      </c>
      <c r="Q2069">
        <f>IFERROR(1/IF(Inputs!$B$38="pvp",15,MAX(0.1,Skills!D18-IF(Skills!E18=TRUE,Inputs!$B$32,0))),0)</f>
        <v/>
      </c>
      <c r="R2069">
        <f>IF(AND(Inputs!$B$38&lt;&gt;"pvp",Inputs!$B$43&gt;0),IF(Inputs!$B$43&lt;=0,0,(INT(Inputs!$B$43/IF(Inputs!$B$38="pvp",15,MAX(0.1,Skills!D18-IF(Skills!E18=TRUE,Inputs!$B$32,0))))+1)),0)</f>
        <v/>
      </c>
      <c r="S2069" t="n">
        <v>0</v>
      </c>
      <c r="T2069" t="n">
        <v>0</v>
      </c>
      <c r="V2069" t="n">
        <v>0</v>
      </c>
    </row>
    <row r="2070">
      <c r="A2070">
        <f>Skills!A19</f>
        <v/>
      </c>
      <c r="B2070">
        <f>Skills!B19</f>
        <v/>
      </c>
      <c r="C2070">
        <f>Inputs!$B$3&gt;=15</f>
        <v/>
      </c>
      <c r="D2070">
        <f>IF(Skills!C19=1,60+Inputs!$B$25+Inputs!$B$29,IF(Skills!C19=2,90+Inputs!$B$26+Inputs!$B$29,IF(Skills!C19=3,120+Inputs!$B$27+Inputs!$B$29,MAX(0,(Inputs!$B$3-100)*3)+Inputs!$B$28+Inputs!$B$29)))</f>
        <v/>
      </c>
      <c r="E2070">
        <f>INDEX(FactorTable!$B$2:$Y$301, MATCH(ROUND(MIN(300,MAX(1,D2070)),0), FactorTable!$A$2:$A$301,0), Skills!M19+1)</f>
        <v/>
      </c>
      <c r="F2070">
        <f>IF(Skills!N19=TRUE,(Skills!L19/10)*(E2070/1000),Skills!L19/10)+Skills!O19</f>
        <v/>
      </c>
      <c r="G2070">
        <f>Skills!G19*IF(Skills!H19&gt;0,Skills!I19/Skills!H19,1)</f>
        <v/>
      </c>
      <c r="H2070">
        <f>1-(1-Skills!J19/100)^Skills!K19</f>
        <v/>
      </c>
      <c r="I2070" t="inlineStr">
        <is>
          <t>1</t>
        </is>
      </c>
      <c r="J2070" t="inlineStr"/>
      <c r="K2070" t="inlineStr"/>
      <c r="L2070" t="inlineStr"/>
      <c r="M2070" t="inlineStr"/>
      <c r="N2070" t="inlineStr"/>
      <c r="O2070">
        <f>(1-Summary!$B$11)*T2070+Summary!$B$11*V2070</f>
        <v/>
      </c>
      <c r="P2070">
        <f>IF(B2093=0,0,O2070/B2093)</f>
        <v/>
      </c>
      <c r="Q2070" t="n">
        <v>0</v>
      </c>
      <c r="R2070" t="n">
        <v>0</v>
      </c>
      <c r="S2070" t="n">
        <v>0</v>
      </c>
      <c r="T2070" t="n">
        <v>0</v>
      </c>
      <c r="V2070" t="n">
        <v>0</v>
      </c>
    </row>
    <row r="2071">
      <c r="A2071">
        <f>Skills!A20</f>
        <v/>
      </c>
      <c r="B2071">
        <f>Skills!B20</f>
        <v/>
      </c>
      <c r="C2071">
        <f>Inputs!$B$3&gt;=10</f>
        <v/>
      </c>
      <c r="D2071">
        <f>IF(Skills!C20=1,60+Inputs!$B$25+Inputs!$B$29,IF(Skills!C20=2,90+Inputs!$B$26+Inputs!$B$29,IF(Skills!C20=3,120+Inputs!$B$27+Inputs!$B$29,MAX(0,(Inputs!$B$3-100)*3)+Inputs!$B$28+Inputs!$B$29)))</f>
        <v/>
      </c>
      <c r="E2071">
        <f>INDEX(FactorTable!$B$2:$Y$301, MATCH(ROUND(MIN(300,MAX(1,D2071)),0), FactorTable!$A$2:$A$301,0), Skills!M20+1)</f>
        <v/>
      </c>
      <c r="F2071">
        <f>IF(Skills!N20=TRUE,(Skills!L20/10)*(E2071/1000),Skills!L20/10)+Skills!O20</f>
        <v/>
      </c>
      <c r="G2071">
        <f>Skills!G20*IF(Skills!H20&gt;0,Skills!I20/Skills!H20,1)</f>
        <v/>
      </c>
      <c r="H2071">
        <f>1-(1-Skills!J20/100)^Skills!K20</f>
        <v/>
      </c>
      <c r="I2071" t="inlineStr">
        <is>
          <t>1</t>
        </is>
      </c>
      <c r="J2071" t="inlineStr"/>
      <c r="K2071" t="inlineStr"/>
      <c r="L2071" t="inlineStr"/>
      <c r="M2071" t="inlineStr"/>
      <c r="N2071" t="inlineStr"/>
      <c r="O2071">
        <f>(1-Summary!$B$11)*T2071+Summary!$B$11*V2071</f>
        <v/>
      </c>
      <c r="P2071">
        <f>IF(B2093=0,0,O2071/B2093)</f>
        <v/>
      </c>
      <c r="Q2071" t="n">
        <v>0</v>
      </c>
      <c r="R2071" t="n">
        <v>0</v>
      </c>
      <c r="S2071" t="n">
        <v>0</v>
      </c>
      <c r="T2071" t="n">
        <v>0</v>
      </c>
      <c r="V2071" t="n">
        <v>0</v>
      </c>
    </row>
    <row r="2072">
      <c r="A2072">
        <f>Skills!A21</f>
        <v/>
      </c>
      <c r="B2072">
        <f>Skills!B21</f>
        <v/>
      </c>
      <c r="C2072">
        <f>Inputs!$B$3&gt;=33</f>
        <v/>
      </c>
      <c r="D2072">
        <f>IF(Skills!C21=1,60+Inputs!$B$25+Inputs!$B$29,IF(Skills!C21=2,90+Inputs!$B$26+Inputs!$B$29,IF(Skills!C21=3,120+Inputs!$B$27+Inputs!$B$29,MAX(0,(Inputs!$B$3-100)*3)+Inputs!$B$28+Inputs!$B$29)))</f>
        <v/>
      </c>
      <c r="E2072">
        <f>INDEX(FactorTable!$B$2:$Y$301, MATCH(ROUND(MIN(300,MAX(1,D2072)),0), FactorTable!$A$2:$A$301,0), Skills!M21+1)</f>
        <v/>
      </c>
      <c r="F2072">
        <f>IF(Skills!N21=TRUE,(Skills!L21/10)*(E2072/1000),Skills!L21/10)+Skills!O21</f>
        <v/>
      </c>
      <c r="G2072">
        <f>Skills!G21*IF(Skills!H21&gt;0,Skills!I21/Skills!H21,1)</f>
        <v/>
      </c>
      <c r="H2072">
        <f>1-(1-Skills!J21/100)^Skills!K21</f>
        <v/>
      </c>
      <c r="I2072" t="inlineStr">
        <is>
          <t>1</t>
        </is>
      </c>
      <c r="J2072" t="inlineStr"/>
      <c r="K2072" t="inlineStr"/>
      <c r="L2072" t="inlineStr"/>
      <c r="M2072" t="inlineStr"/>
      <c r="N2072" t="inlineStr"/>
      <c r="O2072">
        <f>(1-Summary!$B$11)*T2072+Summary!$B$11*V2072</f>
        <v/>
      </c>
      <c r="P2072">
        <f>IF(B2093=0,0,O2072/B2093)</f>
        <v/>
      </c>
      <c r="Q2072" t="n">
        <v>0</v>
      </c>
      <c r="R2072" t="n">
        <v>0</v>
      </c>
      <c r="S2072" t="n">
        <v>0</v>
      </c>
      <c r="T2072" t="n">
        <v>0</v>
      </c>
      <c r="V2072" t="n">
        <v>0</v>
      </c>
    </row>
    <row r="2073">
      <c r="A2073">
        <f>Skills!A22</f>
        <v/>
      </c>
      <c r="B2073">
        <f>Skills!B22</f>
        <v/>
      </c>
      <c r="C2073">
        <f>Inputs!$B$3&gt;=38</f>
        <v/>
      </c>
      <c r="D2073">
        <f>IF(Skills!C22=1,60+Inputs!$B$25+Inputs!$B$29,IF(Skills!C22=2,90+Inputs!$B$26+Inputs!$B$29,IF(Skills!C22=3,120+Inputs!$B$27+Inputs!$B$29,MAX(0,(Inputs!$B$3-100)*3)+Inputs!$B$28+Inputs!$B$29)))</f>
        <v/>
      </c>
      <c r="E2073">
        <f>INDEX(FactorTable!$B$2:$Y$301, MATCH(ROUND(MIN(300,MAX(1,D2073)),0), FactorTable!$A$2:$A$301,0), Skills!M22+1)</f>
        <v/>
      </c>
      <c r="F2073">
        <f>IF(Skills!N22=TRUE,(Skills!L22/10)*(E2073/1000),Skills!L22/10)+Skills!O22</f>
        <v/>
      </c>
      <c r="G2073">
        <f>Skills!G22*IF(Skills!H22&gt;0,Skills!I22/Skills!H22,1)</f>
        <v/>
      </c>
      <c r="H2073">
        <f>1-(1-Skills!J22/100)^Skills!K22</f>
        <v/>
      </c>
      <c r="I2073" t="inlineStr">
        <is>
          <t>1</t>
        </is>
      </c>
      <c r="J2073" t="inlineStr"/>
      <c r="K2073" t="inlineStr"/>
      <c r="L2073" t="inlineStr"/>
      <c r="M2073" t="inlineStr"/>
      <c r="N2073" t="inlineStr"/>
      <c r="O2073">
        <f>(1-Summary!$B$11)*T2073+Summary!$B$11*V2073</f>
        <v/>
      </c>
      <c r="P2073">
        <f>IF(B2093=0,0,O2073/B2093)</f>
        <v/>
      </c>
      <c r="Q2073" t="n">
        <v>0</v>
      </c>
      <c r="R2073" t="n">
        <v>0</v>
      </c>
      <c r="S2073" t="n">
        <v>0</v>
      </c>
      <c r="T2073" t="n">
        <v>0</v>
      </c>
      <c r="V2073" t="n">
        <v>0</v>
      </c>
    </row>
    <row r="2074">
      <c r="A2074">
        <f>Skills!A23</f>
        <v/>
      </c>
      <c r="B2074">
        <f>Skills!B23</f>
        <v/>
      </c>
      <c r="C2074">
        <f>Inputs!$B$3&gt;=43</f>
        <v/>
      </c>
      <c r="D2074">
        <f>IF(Skills!C23=1,60+Inputs!$B$25+Inputs!$B$29,IF(Skills!C23=2,90+Inputs!$B$26+Inputs!$B$29,IF(Skills!C23=3,120+Inputs!$B$27+Inputs!$B$29,MAX(0,(Inputs!$B$3-100)*3)+Inputs!$B$28+Inputs!$B$29)))</f>
        <v/>
      </c>
      <c r="E2074">
        <f>INDEX(FactorTable!$B$2:$Y$301, MATCH(ROUND(MIN(300,MAX(1,D2074)),0), FactorTable!$A$2:$A$301,0), Skills!M23+1)</f>
        <v/>
      </c>
      <c r="F2074">
        <f>IF(Skills!N23=TRUE,(Skills!L23/10)*(E2074/1000),Skills!L23/10)+Skills!O23</f>
        <v/>
      </c>
      <c r="G2074">
        <f>Skills!G23*IF(Skills!H23&gt;0,Skills!I23/Skills!H23,1)</f>
        <v/>
      </c>
      <c r="H2074">
        <f>1-(1-Skills!J23/100)^Skills!K23</f>
        <v/>
      </c>
      <c r="I2074" t="inlineStr">
        <is>
          <t>1</t>
        </is>
      </c>
      <c r="J2074" t="inlineStr"/>
      <c r="K2074" t="inlineStr"/>
      <c r="L2074" t="inlineStr"/>
      <c r="M2074" t="inlineStr"/>
      <c r="N2074" t="inlineStr"/>
      <c r="O2074">
        <f>(1-Summary!$B$11)*T2074+Summary!$B$11*V2074</f>
        <v/>
      </c>
      <c r="P2074">
        <f>IF(B2093=0,0,O2074/B2093)</f>
        <v/>
      </c>
      <c r="Q2074" t="n">
        <v>0</v>
      </c>
      <c r="R2074" t="n">
        <v>0</v>
      </c>
      <c r="S2074" t="n">
        <v>0</v>
      </c>
      <c r="T2074" t="n">
        <v>0</v>
      </c>
      <c r="V2074" t="n">
        <v>0</v>
      </c>
    </row>
    <row r="2075">
      <c r="A2075">
        <f>Skills!A24</f>
        <v/>
      </c>
      <c r="B2075">
        <f>Skills!B24</f>
        <v/>
      </c>
      <c r="C2075">
        <f>Inputs!$B$3&gt;=75</f>
        <v/>
      </c>
      <c r="D2075">
        <f>IF(Skills!C24=1,60+Inputs!$B$25+Inputs!$B$29,IF(Skills!C24=2,90+Inputs!$B$26+Inputs!$B$29,IF(Skills!C24=3,120+Inputs!$B$27+Inputs!$B$29,MAX(0,(Inputs!$B$3-100)*3)+Inputs!$B$28+Inputs!$B$29)))</f>
        <v/>
      </c>
      <c r="E2075">
        <f>INDEX(FactorTable!$B$2:$Y$301, MATCH(ROUND(MIN(300,MAX(1,D2075)),0), FactorTable!$A$2:$A$301,0), Skills!M24+1)</f>
        <v/>
      </c>
      <c r="F2075">
        <f>IF(Skills!N24=TRUE,(Skills!L24/10)*(E2075/1000),Skills!L24/10)+Skills!O24</f>
        <v/>
      </c>
      <c r="G2075">
        <f>Skills!G24*IF(Skills!H24&gt;0,Skills!I24/Skills!H24,1)</f>
        <v/>
      </c>
      <c r="H2075">
        <f>1-(1-Skills!J24/100)^Skills!K24</f>
        <v/>
      </c>
      <c r="I2075" t="inlineStr">
        <is>
          <t>1</t>
        </is>
      </c>
      <c r="J2075" t="inlineStr"/>
      <c r="K2075" t="inlineStr"/>
      <c r="L2075" t="inlineStr"/>
      <c r="M2075" t="inlineStr"/>
      <c r="N2075" t="inlineStr"/>
      <c r="O2075">
        <f>(1-Summary!$B$11)*T2075+Summary!$B$11*V2075</f>
        <v/>
      </c>
      <c r="P2075">
        <f>IF(B2093=0,0,O2075/B2093)</f>
        <v/>
      </c>
      <c r="Q2075" t="n">
        <v>0</v>
      </c>
      <c r="R2075" t="n">
        <v>0</v>
      </c>
      <c r="S2075" t="n">
        <v>0</v>
      </c>
      <c r="T2075" t="n">
        <v>0</v>
      </c>
      <c r="V2075" t="n">
        <v>0</v>
      </c>
    </row>
    <row r="2076">
      <c r="A2076">
        <f>Skills!A25</f>
        <v/>
      </c>
      <c r="B2076">
        <f>Skills!B25</f>
        <v/>
      </c>
      <c r="C2076">
        <f>Inputs!$B$3&gt;=125</f>
        <v/>
      </c>
      <c r="D2076">
        <f>IF(Skills!C25=1,60+Inputs!$B$25+Inputs!$B$29,IF(Skills!C25=2,90+Inputs!$B$26+Inputs!$B$29,IF(Skills!C25=3,120+Inputs!$B$27+Inputs!$B$29,MAX(0,(Inputs!$B$3-100)*3)+Inputs!$B$28+Inputs!$B$29)))</f>
        <v/>
      </c>
      <c r="E2076">
        <f>INDEX(FactorTable!$B$2:$Y$301, MATCH(ROUND(MIN(300,MAX(1,D2076)),0), FactorTable!$A$2:$A$301,0), Skills!M25+1)</f>
        <v/>
      </c>
      <c r="F2076">
        <f>IF(Skills!N25=TRUE,(Skills!L25/10)*(E2076/1000),Skills!L25/10)+Skills!O25</f>
        <v/>
      </c>
      <c r="G2076">
        <f>Skills!G25*IF(Skills!H25&gt;0,Skills!I25/Skills!H25,1)</f>
        <v/>
      </c>
      <c r="H2076">
        <f>1-(1-Skills!J25/100)^Skills!K25</f>
        <v/>
      </c>
      <c r="I2076" t="inlineStr">
        <is>
          <t>1</t>
        </is>
      </c>
      <c r="J2076" t="inlineStr"/>
      <c r="K2076" t="inlineStr"/>
      <c r="L2076" t="inlineStr"/>
      <c r="M2076" t="inlineStr"/>
      <c r="N2076" t="inlineStr"/>
      <c r="O2076">
        <f>(1-Summary!$B$11)*T2076+Summary!$B$11*V2076</f>
        <v/>
      </c>
      <c r="P2076">
        <f>IF(B2093=0,0,O2076/B2093)</f>
        <v/>
      </c>
      <c r="Q2076" t="n">
        <v>0</v>
      </c>
      <c r="R2076" t="n">
        <v>0</v>
      </c>
      <c r="S2076" t="n">
        <v>0</v>
      </c>
      <c r="T2076" t="n">
        <v>0</v>
      </c>
      <c r="V2076" t="n">
        <v>0</v>
      </c>
    </row>
    <row r="2077">
      <c r="A2077">
        <f>Skills!A26</f>
        <v/>
      </c>
      <c r="B2077">
        <f>Skills!B26</f>
        <v/>
      </c>
      <c r="C2077">
        <f>Inputs!$B$3&gt;=125</f>
        <v/>
      </c>
      <c r="D2077">
        <f>IF(Skills!C26=1,60+Inputs!$B$25+Inputs!$B$29,IF(Skills!C26=2,90+Inputs!$B$26+Inputs!$B$29,IF(Skills!C26=3,120+Inputs!$B$27+Inputs!$B$29,MAX(0,(Inputs!$B$3-100)*3)+Inputs!$B$28+Inputs!$B$29)))</f>
        <v/>
      </c>
      <c r="E2077">
        <f>INDEX(FactorTable!$B$2:$Y$301, MATCH(ROUND(MIN(300,MAX(1,D2077)),0), FactorTable!$A$2:$A$301,0), Skills!M26+1)</f>
        <v/>
      </c>
      <c r="F2077">
        <f>IF(Skills!N26=TRUE,(Skills!L26/10)*(E2077/1000),Skills!L26/10)+Skills!O26</f>
        <v/>
      </c>
      <c r="G2077">
        <f>Skills!G26*IF(Skills!H26&gt;0,Skills!I26/Skills!H26,1)</f>
        <v/>
      </c>
      <c r="H2077">
        <f>1-(1-Skills!J26/100)^Skills!K26</f>
        <v/>
      </c>
      <c r="I2077" t="inlineStr">
        <is>
          <t>1</t>
        </is>
      </c>
      <c r="J2077" t="inlineStr"/>
      <c r="K2077" t="inlineStr"/>
      <c r="L2077" t="inlineStr"/>
      <c r="M2077" t="inlineStr"/>
      <c r="N2077" t="inlineStr"/>
      <c r="O2077">
        <f>(1-Summary!$B$11)*T2077+Summary!$B$11*V2077</f>
        <v/>
      </c>
      <c r="P2077">
        <f>IF(B2093=0,0,O2077/B2093)</f>
        <v/>
      </c>
      <c r="Q2077" t="n">
        <v>0</v>
      </c>
      <c r="R2077" t="n">
        <v>0</v>
      </c>
      <c r="S2077" t="n">
        <v>0</v>
      </c>
      <c r="T2077" t="n">
        <v>0</v>
      </c>
      <c r="V2077" t="n">
        <v>0</v>
      </c>
    </row>
    <row r="2078">
      <c r="A2078">
        <f>Skills!A27</f>
        <v/>
      </c>
      <c r="B2078">
        <f>Skills!B27</f>
        <v/>
      </c>
      <c r="C2078">
        <f>Inputs!$B$3&gt;=120</f>
        <v/>
      </c>
      <c r="D2078">
        <f>IF(Skills!C27=1,60+Inputs!$B$25+Inputs!$B$29,IF(Skills!C27=2,90+Inputs!$B$26+Inputs!$B$29,IF(Skills!C27=3,120+Inputs!$B$27+Inputs!$B$29,MAX(0,(Inputs!$B$3-100)*3)+Inputs!$B$28+Inputs!$B$29)))</f>
        <v/>
      </c>
      <c r="E2078">
        <f>INDEX(FactorTable!$B$2:$Y$301, MATCH(ROUND(MIN(300,MAX(1,D2078)),0), FactorTable!$A$2:$A$301,0), Skills!M27+1)</f>
        <v/>
      </c>
      <c r="F2078">
        <f>IF(Skills!N27=TRUE,(Skills!L27/10)*(E2078/1000),Skills!L27/10)+Skills!O27</f>
        <v/>
      </c>
      <c r="G2078">
        <f>Skills!G27*IF(Skills!H27&gt;0,Skills!I27/Skills!H27,1)</f>
        <v/>
      </c>
      <c r="H2078">
        <f>1-(1-Skills!J27/100)^Skills!K27</f>
        <v/>
      </c>
      <c r="I2078" t="inlineStr">
        <is>
          <t>1</t>
        </is>
      </c>
      <c r="J2078" t="inlineStr"/>
      <c r="K2078" t="inlineStr"/>
      <c r="L2078" t="inlineStr"/>
      <c r="M2078" t="inlineStr"/>
      <c r="N2078" t="inlineStr"/>
      <c r="O2078">
        <f>(1-Summary!$B$11)*T2078+Summary!$B$11*V2078</f>
        <v/>
      </c>
      <c r="P2078">
        <f>IF(B2093=0,0,O2078/B2093)</f>
        <v/>
      </c>
      <c r="Q2078" t="n">
        <v>0</v>
      </c>
      <c r="R2078" t="n">
        <v>0</v>
      </c>
      <c r="S2078" t="n">
        <v>0</v>
      </c>
      <c r="T2078" t="n">
        <v>0</v>
      </c>
      <c r="V2078" t="n">
        <v>0</v>
      </c>
    </row>
    <row r="2079">
      <c r="A2079">
        <f>Skills!A28</f>
        <v/>
      </c>
      <c r="B2079">
        <f>Skills!B28</f>
        <v/>
      </c>
      <c r="C2079">
        <f>Inputs!$B$3&gt;=120</f>
        <v/>
      </c>
      <c r="D2079">
        <f>IF(Skills!C28=1,60+Inputs!$B$25+Inputs!$B$29,IF(Skills!C28=2,90+Inputs!$B$26+Inputs!$B$29,IF(Skills!C28=3,120+Inputs!$B$27+Inputs!$B$29,MAX(0,(Inputs!$B$3-100)*3)+Inputs!$B$28+Inputs!$B$29)))</f>
        <v/>
      </c>
      <c r="E2079">
        <f>INDEX(FactorTable!$B$2:$Y$301, MATCH(ROUND(MIN(300,MAX(1,D2079)),0), FactorTable!$A$2:$A$301,0), Skills!M28+1)</f>
        <v/>
      </c>
      <c r="F2079">
        <f>IF(Skills!N28=TRUE,(Skills!L28/10)*(E2079/1000),Skills!L28/10)+Skills!O28</f>
        <v/>
      </c>
      <c r="G2079">
        <f>Skills!G28*IF(Skills!H28&gt;0,Skills!I28/Skills!H28,1)</f>
        <v/>
      </c>
      <c r="H2079">
        <f>1-(1-Skills!J28/100)^Skills!K28</f>
        <v/>
      </c>
      <c r="I2079" t="inlineStr">
        <is>
          <t>1</t>
        </is>
      </c>
      <c r="J2079" t="inlineStr"/>
      <c r="K2079" t="inlineStr"/>
      <c r="L2079" t="inlineStr"/>
      <c r="M2079" t="inlineStr"/>
      <c r="N2079" t="inlineStr"/>
      <c r="O2079">
        <f>(1-Summary!$B$11)*T2079+Summary!$B$11*V2079</f>
        <v/>
      </c>
      <c r="P2079">
        <f>IF(B2093=0,0,O2079/B2093)</f>
        <v/>
      </c>
      <c r="Q2079" t="n">
        <v>0</v>
      </c>
      <c r="R2079" t="n">
        <v>0</v>
      </c>
      <c r="S2079" t="n">
        <v>0</v>
      </c>
      <c r="T2079" t="n">
        <v>0</v>
      </c>
      <c r="V2079" t="n">
        <v>0</v>
      </c>
    </row>
    <row r="2080">
      <c r="A2080">
        <f>Skills!A29</f>
        <v/>
      </c>
      <c r="B2080">
        <f>Skills!B29</f>
        <v/>
      </c>
      <c r="C2080">
        <f>Inputs!$B$3&gt;=45</f>
        <v/>
      </c>
      <c r="D2080">
        <f>IF(Skills!C29=1,60+Inputs!$B$25+Inputs!$B$29,IF(Skills!C29=2,90+Inputs!$B$26+Inputs!$B$29,IF(Skills!C29=3,120+Inputs!$B$27+Inputs!$B$29,MAX(0,(Inputs!$B$3-100)*3)+Inputs!$B$28+Inputs!$B$29)))</f>
        <v/>
      </c>
      <c r="E2080">
        <f>INDEX(FactorTable!$B$2:$Y$301, MATCH(ROUND(MIN(300,MAX(1,D2080)),0), FactorTable!$A$2:$A$301,0), Skills!M29+1)</f>
        <v/>
      </c>
      <c r="F2080">
        <f>IF(Skills!N29=TRUE,(Skills!L29/10)*(E2080/1000),Skills!L29/10)+Skills!O29</f>
        <v/>
      </c>
      <c r="G2080">
        <f>Skills!G29*IF(Skills!H29&gt;0,Skills!I29/Skills!H29,1)</f>
        <v/>
      </c>
      <c r="H2080">
        <f>1-(1-Skills!J29/100)^Skills!K29</f>
        <v/>
      </c>
      <c r="I2080" t="inlineStr">
        <is>
          <t>1</t>
        </is>
      </c>
      <c r="J2080" t="inlineStr"/>
      <c r="K2080" t="inlineStr"/>
      <c r="L2080" t="inlineStr"/>
      <c r="M2080" t="inlineStr"/>
      <c r="N2080" t="inlineStr"/>
      <c r="O2080">
        <f>(1-Summary!$B$11)*T2080+Summary!$B$11*V2080</f>
        <v/>
      </c>
      <c r="P2080">
        <f>IF(B2093=0,0,O2080/B2093)</f>
        <v/>
      </c>
      <c r="Q2080" t="n">
        <v>0</v>
      </c>
      <c r="R2080" t="n">
        <v>0</v>
      </c>
      <c r="S2080" t="n">
        <v>0</v>
      </c>
      <c r="T2080" t="n">
        <v>0</v>
      </c>
      <c r="V2080" t="n">
        <v>0</v>
      </c>
    </row>
    <row r="2082">
      <c r="A2082" t="inlineStr">
        <is>
          <t>Attack% Bucket Multiplier</t>
        </is>
      </c>
      <c r="B2082">
        <f>(1+(((C2064=TRUE)*F2064)+((C2065=TRUE)*IF(Inputs!$B$38="pvp",F2065,(1-Summary!$B$11)*(F2065)+Summary!$B$11*(0)))+((C2066=TRUE)*F2066*IF(AND(Inputs!$B$38&lt;&gt;"pvp",Inputs!$B$43&gt;0),(((R2066-1)*(Skills!T15*(1+Inputs!$B$34/100))+MIN((Skills!T15*(1+Inputs!$B$34/100)),MAX(0,Inputs!$B$43-((R2066-1)*Skills!D15))))/Inputs!$B$43),IF(Inputs!$B$38="pvp",MIN((Skills!T15*(1+Inputs!$B$34/100)),15)/15,(Skills!T15*(1+Inputs!$B$34/100))/Skills!D15)))+((C2063=TRUE)*F2063)+((C2080=TRUE)*(F2080-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2083">
      <c r="A2083" t="inlineStr">
        <is>
          <t>Global Crit Rate Bonus %</t>
        </is>
      </c>
      <c r="B2083">
        <f>(C2067=TRUE)*20*IF(AND(Inputs!$B$38&lt;&gt;"pvp",Inputs!$B$43&gt;0),(((R2067-1)*(Skills!T16*(1+Inputs!$B$34/100))+MIN((Skills!T16*(1+Inputs!$B$34/100)),MAX(0,Inputs!$B$43-((R2067-1)*Skills!D16))))/Inputs!$B$43),IF(Inputs!$B$38="pvp",MIN((Skills!T16*(1+Inputs!$B$34/100)),15)/15,(Skills!T16*(1+Inputs!$B$34/100))/Skills!D16))</f>
        <v/>
      </c>
    </row>
    <row r="2084">
      <c r="A2084" t="inlineStr">
        <is>
          <t>Attack Speed Buff Bonus %</t>
        </is>
      </c>
      <c r="B2084">
        <f>((C2069=TRUE)*F2069*IF(AND(Inputs!$B$38&lt;&gt;"pvp",Inputs!$B$43&gt;0),(((R2069-1)*(Skills!T18*(1+Inputs!$B$34/100))+MIN((Skills!T18*(1+Inputs!$B$34/100)),MAX(0,Inputs!$B$43-((R2069-1)*Skills!D18))))/Inputs!$B$43),IF(Inputs!$B$38="pvp",MIN((Skills!T18*(1+Inputs!$B$34/100)),15)/15,(Skills!T18*(1+Inputs!$B$34/100))/Skills!D18)))</f>
        <v/>
      </c>
    </row>
    <row r="2085">
      <c r="A2085" t="inlineStr">
        <is>
          <t>Actions Per Second</t>
        </is>
      </c>
      <c r="B2085">
        <f>1+MIN(150,150*(1-(1-(Inputs!$B$11+((C2071=TRUE)*(F2071-Calc!F20))+((C2072=TRUE)*(F2072-Calc!F21)))/150)*(1-B2084/150)))/100</f>
        <v/>
      </c>
    </row>
    <row r="2086">
      <c r="A2086" t="inlineStr">
        <is>
          <t>Skill + Buff Cast Rate</t>
        </is>
      </c>
      <c r="B2086">
        <f>IF(AND(Inputs!$B$38&lt;&gt;"pvp",Inputs!$B$43&gt;0),SUMPRODUCT((Skills!E2:E29=TRUE)*(C2053:C2080=TRUE)*R2053:R2080*Skills!F2:F29)/Inputs!$B$43,SUMPRODUCT((Skills!E2:E29=TRUE)*(C2053:C2080=TRUE)*Q2053:Q2080*Skills!F2:F29))</f>
        <v/>
      </c>
    </row>
    <row r="2087">
      <c r="A2087" t="inlineStr">
        <is>
          <t>Empowered Piercing Arrow Casts Per Second</t>
        </is>
      </c>
      <c r="B2087">
        <f>MAX(0,B2085-B2086)</f>
        <v/>
      </c>
    </row>
    <row r="2088">
      <c r="A2088" t="inlineStr">
        <is>
          <t>Global Critical Damage Bonus % (Sharp Eyes)</t>
        </is>
      </c>
      <c r="B2088">
        <f>(C2067=TRUE)*F2067*IF(AND(Inputs!$B$38&lt;&gt;"pvp",Inputs!$B$43&gt;0),(((R2067-1)*(Skills!T16*(1+Inputs!$B$34/100))+MIN((Skills!T16*(1+Inputs!$B$34/100)),MAX(0,Inputs!$B$43-((R2067-1)*Skills!D16))))/Inputs!$B$43),IF(Inputs!$B$38="pvp",MIN((Skills!T16*(1+Inputs!$B$34/100)),15)/15,(Skills!T16*(1+Inputs!$B$34/100))/Skills!D16))</f>
        <v/>
      </c>
    </row>
    <row r="2089">
      <c r="A2089" t="inlineStr">
        <is>
          <t>Global Final Damage Bonus % (Mortal Blow + Last Man Standing conditional half)</t>
        </is>
      </c>
      <c r="B2089">
        <f>(C2068=TRUE)*F2068+((C2077=TRUE)*IF(Inputs!$B$38="pvp",F2077,(1-Summary!$B$11)*(F2077)+Summary!$B$11*(0)))</f>
        <v/>
      </c>
    </row>
    <row r="2090">
      <c r="A2090" t="inlineStr">
        <is>
          <t>Buff-Casting Startup Delay (s, fixed-duration only)</t>
        </is>
      </c>
      <c r="B2090">
        <f>IF(AND(Inputs!$B$38&lt;&gt;"pvp",Inputs!$B$43&gt;0),SUMPRODUCT((Skills!T2:T29&gt;0)*(Skills!E2:E29=TRUE)*(C2053:C2080=TRUE))/B2085,0)</f>
        <v/>
      </c>
    </row>
    <row r="2091">
      <c r="A2091" t="inlineStr">
        <is>
          <t>Boss-Only Total DPS (this block's swept value)</t>
        </is>
      </c>
      <c r="B2091">
        <f>SUM(T2053:T2080)</f>
        <v/>
      </c>
    </row>
    <row r="2092">
      <c r="A2092" t="inlineStr">
        <is>
          <t>Normal-Only Total DPS (this block's swept value)</t>
        </is>
      </c>
      <c r="B2092">
        <f>SUM(V2053:V2080)</f>
        <v/>
      </c>
    </row>
    <row r="2093">
      <c r="A2093" s="6" t="inlineStr">
        <is>
          <t>TOTAL DPS</t>
        </is>
      </c>
      <c r="B2093" s="6">
        <f>SUM(O2053:O2080)</f>
        <v/>
      </c>
    </row>
    <row r="2096">
      <c r="A2096" s="6" t="inlineStr">
        <is>
          <t>Stat: Fire Flower (Equip)</t>
        </is>
      </c>
    </row>
    <row r="2097">
      <c r="A2097" s="5" t="inlineStr">
        <is>
          <t>Key</t>
        </is>
      </c>
      <c r="B2097" s="5" t="inlineStr">
        <is>
          <t>Name</t>
        </is>
      </c>
      <c r="C2097" s="5" t="inlineStr">
        <is>
          <t>Unlocked</t>
        </is>
      </c>
      <c r="D2097" s="5" t="inlineStr">
        <is>
          <t>InputLevel</t>
        </is>
      </c>
      <c r="E2097" s="5" t="inlineStr">
        <is>
          <t>Factor</t>
        </is>
      </c>
      <c r="F2097" s="5" t="inlineStr">
        <is>
          <t>CoefficientPercent</t>
        </is>
      </c>
      <c r="G2097" s="5" t="inlineStr">
        <is>
          <t>EffectiveHits</t>
        </is>
      </c>
      <c r="H2097" s="5" t="inlineStr">
        <is>
          <t>ProcProbability</t>
        </is>
      </c>
      <c r="I2097" s="5" t="inlineStr">
        <is>
          <t>MapleHeroMultiplier</t>
        </is>
      </c>
      <c r="J2097" s="5" t="inlineStr">
        <is>
          <t>BaseDamage</t>
        </is>
      </c>
      <c r="K2097" s="5" t="inlineStr">
        <is>
          <t>BaseHitDamage</t>
        </is>
      </c>
      <c r="L2097" s="5" t="inlineStr">
        <is>
          <t>NonCritAvg</t>
        </is>
      </c>
      <c r="M2097" s="5" t="inlineStr">
        <is>
          <t>CritAvg</t>
        </is>
      </c>
      <c r="N2097" s="5" t="inlineStr">
        <is>
          <t>ExpectedDamage(perHit)</t>
        </is>
      </c>
      <c r="O2097" s="5" t="inlineStr">
        <is>
          <t>DPS</t>
        </is>
      </c>
      <c r="P2097" s="5" t="inlineStr">
        <is>
          <t>% of Total</t>
        </is>
      </c>
      <c r="Q2097" s="5" t="inlineStr">
        <is>
          <t>InvCooldown</t>
        </is>
      </c>
      <c r="R2097" s="5" t="inlineStr">
        <is>
          <t>CastsInFight</t>
        </is>
      </c>
      <c r="S2097" s="5" t="inlineStr">
        <is>
          <t>HitRate(perSec)</t>
        </is>
      </c>
      <c r="U2097" t="inlineStr">
        <is>
          <t>helpers</t>
        </is>
      </c>
    </row>
    <row r="2098">
      <c r="A2098">
        <f>Skills!A2</f>
        <v/>
      </c>
      <c r="B2098">
        <f>Skills!B2</f>
        <v/>
      </c>
      <c r="C2098">
        <f>Inputs!$B$3&gt;=100</f>
        <v/>
      </c>
      <c r="D2098" t="inlineStr"/>
      <c r="E2098" t="inlineStr"/>
      <c r="F2098">
        <f>U2100+Skills!O2</f>
        <v/>
      </c>
      <c r="G2098">
        <f>Skills!G2*IF(Skills!H2&gt;0,Skills!I2/Skills!H2,1)</f>
        <v/>
      </c>
      <c r="H2098">
        <f>1-(1-Skills!J2/100)^Skills!K2</f>
        <v/>
      </c>
      <c r="I2098" t="inlineStr">
        <is>
          <t>1</t>
        </is>
      </c>
      <c r="J2098">
        <f>((Inputs!$B$6*(1+Inputs!$B$7/100))+(((Inputs!$B$12*(1+Inputs!$B$13/100))-(Inputs!$B$12*(1+Inputs!$B$13/100)))+0.25*(Inputs!$B$14-Inputs!$B$14))*(1+Inputs!$B$7/100))*(F2098/100)</f>
        <v/>
      </c>
      <c r="K2098">
        <f>J2098*(1+((Inputs!$B$12*(1+Inputs!$B$13/100))*0.01+Inputs!$B$14*0.0025)/100)*(1+Inputs!$B$15/100)*(1+Inputs!$B$16/100)*(5000/(6000+Inputs!$B$42*(1-(100*(1-(1-(Inputs!$B$19+0)/100)*(1-CHOOSE(ArtifactsInput!$N$40+1,5,6,7,8,9,10)/100)^(ArtifactsInput!$M$40-ArtifactsInput!$M$40)))/100)))*(1+(Inputs!$B$24+((C2120=TRUE)*(F2120-Calc!F24))+((C2121=TRUE)*(F2121-Calc!F25))+B2134)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EMPOWERED_PIERCING_ARROW",Inputs!$B$17+((C2118=TRUE)*(F2118-Calc!F22))+(((IF(AND(ArtifactsInput!$M$42,((Inputs!$B$9+((C2115=TRUE)*(F2115-Calc!F19))+B2128+(ArtifactsInput!$M$24-ArtifactsInput!$M$24)*CHOOSE(ArtifactsInput!$N$24+1,10,12,14,16,18,20)+IF(ArtifactsInput!$M$10,CHOOSE(ArtifactsInput!$N$10+1,15,18,21,24,27,30)*(IF(Inputs!$B$38="pvp",MIN(15,15)/15,IF(AND(Inputs!$B$38&lt;&gt;"pvp",Inputs!$B$43&gt;0),MIN(15,Inputs!$B$43)/(Inputs!$B$43),0))),0)))&gt;=100),MIN(100,((Inputs!$B$9+((C2115=TRUE)*(F2115-Calc!F19))+B2128+(ArtifactsInput!$M$24-ArtifactsInput!$M$24)*CHOOSE(ArtifactsInput!$N$24+1,10,12,14,16,18,20)+IF(ArtifactsInput!$M$10,CHOOSE(ArtifactsInput!$N$10+1,15,18,21,24,27,30)*(IF(Inputs!$B$38="pvp",MIN(15,15)/15,IF(AND(Inputs!$B$38&lt;&gt;"pvp",Inputs!$B$43&gt;0),MIN(15,Inputs!$B$43)/(Inputs!$B$43),0))),0)))-100),0))*CHOOSE(ArtifactsInput!$N$42+1,0.6,0.72,0.84,0.96,1.08,1.2))),Inputs!$B$18+((C2123=TRUE)*(F2123-Calc!F27))+(IF(AND(ArtifactsInput!$M$42,((Inputs!$B$9+((C2115=TRUE)*(F2115-Calc!F19))+B2128+(ArtifactsInput!$M$24-ArtifactsInput!$M$24)*CHOOSE(ArtifactsInput!$N$24+1,10,12,14,16,18,20)+IF(ArtifactsInput!$M$10,CHOOSE(ArtifactsInput!$N$10+1,15,18,21,24,27,30)*(IF(Inputs!$B$38="pvp",MIN(15,15)/15,IF(AND(Inputs!$B$38&lt;&gt;"pvp",Inputs!$B$43&gt;0),MIN(15,Inputs!$B$43)/(Inputs!$B$43),0))),0)))&gt;=100),CHOOSE(ArtifactsInput!$N$42+1,40,48,56,64,72,80),0))))/100)*((1+(((C2109=TRUE)*F2109)+((C2110=TRUE)*IF(Inputs!$B$38="pvp",F2110,(1-Summary!$B$11)*(F2110)+Summary!$B$11*(0)))+((C2111=TRUE)*F2111*IF(AND(Inputs!$B$38&lt;&gt;"pvp",Inputs!$B$43&gt;0),(((R2111-1)*(Skills!T15*(1+Inputs!$B$34/100))+MIN((Skills!T15*(1+Inputs!$B$34/100)),MAX(0,Inputs!$B$43-((R2111-1)*Skills!D15))))/Inputs!$B$43),IF(Inputs!$B$38="pvp",MIN((Skills!T15*(1+Inputs!$B$34/100)),15)/15,(Skills!T15*(1+Inputs!$B$34/100))/Skills!D15)))+((C2108=TRUE)*F2108)+((C2125=TRUE)*(F2125-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2098)</f>
        <v/>
      </c>
      <c r="L2098">
        <f>K2098*(MIN(Inputs!$B$22+((C2119=TRUE)*(F2119-Calc!F23)),(Inputs!$B$23+((C2124=TRUE)*(F2124-Calc!F28))+(IF(ArtifactsInput!$M$15,CHOOSE(ArtifactsInput!$N$15+1,25,30,35,40,45,50)/100*(Inputs!$B$11-Inputs!$B$11),0))))/100+(Inputs!$B$23+((C2124=TRUE)*(F2124-Calc!F28))+(IF(ArtifactsInput!$M$15,CHOOSE(ArtifactsInput!$N$15+1,25,30,35,40,45,50)/100*(Inputs!$B$11-Inputs!$B$11),0)))/100)/2</f>
        <v/>
      </c>
      <c r="M2098">
        <f>L2098*(1+(Inputs!$B$10+0+B2133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098">
        <f>L2098*(1-MIN((Inputs!$B$9+((C2115=TRUE)*(F2115-Calc!F19))+B2128+(ArtifactsInput!$M$24-ArtifactsInput!$M$24)*CHOOSE(ArtifactsInput!$N$24+1,10,12,14,16,18,20)+(IF(AND(ArtifactsInput!$M$42,((Inputs!$B$9+((C2115=TRUE)*(F2115-Calc!F19))+B2128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2098*(MIN((Inputs!$B$9+((C2115=TRUE)*(F2115-Calc!F19))+B2128+(ArtifactsInput!$M$24-ArtifactsInput!$M$24)*CHOOSE(ArtifactsInput!$N$24+1,10,12,14,16,18,20)+(IF(AND(ArtifactsInput!$M$42,((Inputs!$B$9+((C2115=TRUE)*(F2115-Calc!F19))+B2128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098">
        <f>(1-Summary!$B$11)*T2098+Summary!$B$11*V2098</f>
        <v/>
      </c>
      <c r="P2098">
        <f>IF(B2138=0,0,O2098/B2138)</f>
        <v/>
      </c>
      <c r="Q2098" t="n">
        <v>0</v>
      </c>
      <c r="R2098" t="n">
        <v>0</v>
      </c>
      <c r="S2098">
        <f>IFERROR((Skills!G2*N2098*B2132)/N2098*IF(Inputs!$B$38="pvp",1,(1-Summary!$B$11)*1+Summary!$B$11*(MIN((6+Inputs!$B$33),Inputs!$B$37))),0)</f>
        <v/>
      </c>
      <c r="T2098">
        <f>IF(C2098,(Skills!G2*N2098*B2132)*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Hunt"),CHOOSE(ArtifactsInput!$N$35+1,15,18,21,24,27,30)*(1-EXP(-(0.2*B2130)*5)),0)+IF(AND(ArtifactsInput!$M$22,Inputs!$B$4&lt;&gt;"Chapter Hunt"),CHOOSE(ArtifactsInput!$N$22+1,10,12,14,16,18,20)*((0*(((0.15*B2130*5))^0/1)+1*(((0.15*B2130*5))^1/1)+2*(((0.15*B2130*5))^2/2)+3*(((0.15*B2130*5))^3/6)+4*(((0.15*B2130*5))^4/24)+5*(((0.15*B2130*5))^5/120))/((((0.15*B2130*5))^0/1)+(((0.15*B2130*5))^1/1)+(((0.15*B2130*5))^2/2)+(((0.15*B2130*5))^3/6)+(((0.15*B2130*5))^4/24)+(((0.15*B2130*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2098*(1-MIN(100,(Inputs!$B$9+((C2115=TRUE)*(F2115-Calc!F19))+B2128+(ArtifactsInput!$M$24-ArtifactsInput!$M$24)*CHOOSE(ArtifactsInput!$N$24+1,10,12,14,16,18,20)+(IF(AND(ArtifactsInput!$M$42,((Inputs!$B$9+((C2115=TRUE)*(F2115-Calc!F19))+B2128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2098*(MIN(100,(Inputs!$B$9+((C2115=TRUE)*(F2115-Calc!F19))+B2128+(ArtifactsInput!$M$24-ArtifactsInput!$M$24)*CHOOSE(ArtifactsInput!$N$24+1,10,12,14,16,18,20)+(IF(AND(ArtifactsInput!$M$42,((Inputs!$B$9+((C2115=TRUE)*(F2115-Calc!F19))+B2128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2098*(1-MIN(100,(Inputs!$B$9+((C2115=TRUE)*(F2115-Calc!F19))+B2128+(ArtifactsInput!$M$24-ArtifactsInput!$M$24)*CHOOSE(ArtifactsInput!$N$24+1,10,12,14,16,18,20)+(IF(AND(ArtifactsInput!$M$42,((Inputs!$B$9+((C2115=TRUE)*(F2115-Calc!F19))+B2128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2098*(MIN(100,(Inputs!$B$9+((C2115=TRUE)*(F2115-Calc!F19))+B2128+(ArtifactsInput!$M$24-ArtifactsInput!$M$24)*CHOOSE(ArtifactsInput!$N$24+1,10,12,14,16,18,20)+(IF(AND(ArtifactsInput!$M$42,((Inputs!$B$9+((C2115=TRUE)*(F2115-Calc!F19))+B2128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IF(ArtifactsInput!$M$26,FALSE,TRUE),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098">
        <f>MAX(0,(Inputs!$B$3-100)*3)+Inputs!$B$28+Inputs!$B$29</f>
        <v/>
      </c>
      <c r="V2098">
        <f>IF(C2098,(Skills!G2*N2098*B2132)*IF(Inputs!$B$38="pvp",1,(1+(Inputs!$B$21+Skills!Q2+(IF(ArtifactsInput!$M$33,CHOOSE(ArtifactsInput!$N$33+1,30,36,42,48,54,60),0))+(IF(AND(ArtifactsInput!$M$35,Inputs!$B$4&lt;&gt;"Chapter Hunt"),CHOOSE(ArtifactsInput!$N$35+1,15,18,21,24,27,30)*(1-EXP(-(0.2*B2130)*5)),0)+IF(AND(ArtifactsInput!$M$22,Inputs!$B$4&lt;&gt;"Chapter Hunt"),CHOOSE(ArtifactsInput!$N$22+1,10,12,14,16,18,20)*((0*(((0.15*B2130*5))^0/1)+1*(((0.15*B2130*5))^1/1)+2*(((0.15*B2130*5))^2/2)+3*(((0.15*B2130*5))^3/6)+4*(((0.15*B2130*5))^4/24)+5*(((0.15*B2130*5))^5/120))/((((0.15*B2130*5))^0/1)+(((0.15*B2130*5))^1/1)+(((0.15*B2130*5))^2/2)+(((0.15*B2130*5))^3/6)+(((0.15*B2130*5))^4/24)+(((0.15*B2130*5))^5/120))),0)))/100)*(MIN((6+Inputs!$B$33),Inputs!$B$37)))*((1+(IF(AND(ArtifactsInput!$M$41,Inputs!$B$38&lt;&gt;"pvp"),CHOOSE(ArtifactsInput!$N$41+1,5,6,7,8,9,10)*IF(OR(Inputs!$B$4="Weapon Dungeon",Inputs!$B$4="Equipment Dungeon",Inputs!$B$4="Enhancement Dungeon",Inputs!$B$4="EXP Dungeon",Inputs!$B$4="Hero Dungeon"),3,1),0)+IF(IF(ArtifactsInput!$M$26,FALSE,TRUE),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099">
      <c r="A2099">
        <f>Skills!A3</f>
        <v/>
      </c>
      <c r="B2099">
        <f>Skills!B3</f>
        <v/>
      </c>
      <c r="C2099">
        <f>Inputs!$B$3&gt;=50</f>
        <v/>
      </c>
      <c r="D2099">
        <f>IF(Skills!C3=1,60+Inputs!$B$25+Inputs!$B$29,IF(Skills!C3=2,90+Inputs!$B$26+Inputs!$B$29,IF(Skills!C3=3,120+Inputs!$B$27+Inputs!$B$29,MAX(0,(Inputs!$B$3-100)*3)+Inputs!$B$28+Inputs!$B$29)))</f>
        <v/>
      </c>
      <c r="E2099">
        <f>INDEX(FactorTable!$B$2:$Y$301, MATCH(ROUND(MIN(300,MAX(1,D2099)),0), FactorTable!$A$2:$A$301,0), Skills!M3+1)</f>
        <v/>
      </c>
      <c r="F2099">
        <f>IF(Skills!N3=TRUE,(Skills!L3/10)*(E2099/1000),Skills!L3/10)+Skills!O3</f>
        <v/>
      </c>
      <c r="G2099" t="inlineStr"/>
      <c r="H2099" t="inlineStr"/>
      <c r="I2099" t="inlineStr">
        <is>
          <t>1</t>
        </is>
      </c>
      <c r="J2099" t="inlineStr"/>
      <c r="K2099" t="inlineStr"/>
      <c r="L2099" t="inlineStr"/>
      <c r="M2099" t="inlineStr"/>
      <c r="N2099" t="inlineStr"/>
      <c r="O2099" t="inlineStr"/>
      <c r="P2099" t="inlineStr"/>
      <c r="Q2099" t="inlineStr"/>
      <c r="R2099" t="inlineStr"/>
      <c r="S2099" t="inlineStr"/>
      <c r="T2099" t="inlineStr"/>
      <c r="U2099">
        <f>INDEX(FactorTable!$B$2:$Y$301, MATCH(ROUND(MIN(300,MAX(1,U2098)),0), FactorTable!$A$2:$A$301,0), 22)</f>
        <v/>
      </c>
      <c r="V2099" t="inlineStr"/>
    </row>
    <row r="2100">
      <c r="A2100">
        <f>Skills!A4</f>
        <v/>
      </c>
      <c r="B2100">
        <f>Skills!B4</f>
        <v/>
      </c>
      <c r="C2100">
        <f>Inputs!$B$3&gt;=105</f>
        <v/>
      </c>
      <c r="D2100">
        <f>IF(Skills!C4=1,60+Inputs!$B$25+Inputs!$B$29,IF(Skills!C4=2,90+Inputs!$B$26+Inputs!$B$29,IF(Skills!C4=3,120+Inputs!$B$27+Inputs!$B$29,MAX(0,(Inputs!$B$3-100)*3)+Inputs!$B$28+Inputs!$B$29)))</f>
        <v/>
      </c>
      <c r="E2100">
        <f>INDEX(FactorTable!$B$2:$Y$301, MATCH(ROUND(MIN(300,MAX(1,D2100)),0), FactorTable!$A$2:$A$301,0), Skills!M4+1)</f>
        <v/>
      </c>
      <c r="F2100">
        <f>IF(Skills!N4=TRUE,(Skills!L4/10)*(E2100/1000),Skills!L4/10)+Skills!O4</f>
        <v/>
      </c>
      <c r="G2100" t="inlineStr"/>
      <c r="H2100" t="inlineStr"/>
      <c r="I2100" t="inlineStr">
        <is>
          <t>1</t>
        </is>
      </c>
      <c r="J2100" t="inlineStr"/>
      <c r="K2100" t="inlineStr"/>
      <c r="L2100" t="inlineStr"/>
      <c r="M2100" t="inlineStr"/>
      <c r="N2100" t="inlineStr"/>
      <c r="O2100" t="inlineStr"/>
      <c r="P2100" t="inlineStr"/>
      <c r="Q2100" t="inlineStr"/>
      <c r="R2100" t="inlineStr"/>
      <c r="S2100" t="inlineStr"/>
      <c r="T2100" t="inlineStr"/>
      <c r="U2100">
        <f>290*U2099/1000</f>
        <v/>
      </c>
      <c r="V2100" t="inlineStr"/>
    </row>
    <row r="2101">
      <c r="A2101">
        <f>Skills!A5</f>
        <v/>
      </c>
      <c r="B2101">
        <f>Skills!B5</f>
        <v/>
      </c>
      <c r="C2101">
        <f>Inputs!$B$3&gt;=35</f>
        <v/>
      </c>
      <c r="D2101">
        <f>IF(Skills!C5=1,60+Inputs!$B$25+Inputs!$B$29,IF(Skills!C5=2,90+Inputs!$B$26+Inputs!$B$29,IF(Skills!C5=3,120+Inputs!$B$27+Inputs!$B$29,MAX(0,(Inputs!$B$3-100)*3)+Inputs!$B$28+Inputs!$B$29)))</f>
        <v/>
      </c>
      <c r="E2101">
        <f>INDEX(FactorTable!$B$2:$Y$301, MATCH(ROUND(MIN(300,MAX(1,D2101)),0), FactorTable!$A$2:$A$301,0), Skills!M5+1)</f>
        <v/>
      </c>
      <c r="F2101">
        <f>IF(Skills!N5=TRUE,(Skills!L5/10)*(E2101/1000),Skills!L5/10)+Skills!O5</f>
        <v/>
      </c>
      <c r="G2101">
        <f>Skills!G5*IF(Skills!H5&gt;0,Skills!I5/Skills!H5,1)</f>
        <v/>
      </c>
      <c r="H2101">
        <f>1-(1-Skills!J5/100)^Skills!K5</f>
        <v/>
      </c>
      <c r="I2101" t="inlineStr">
        <is>
          <t>1</t>
        </is>
      </c>
      <c r="J2101">
        <f>((Inputs!$B$6*(1+Inputs!$B$7/100))+(((Inputs!$B$12*(1+Inputs!$B$13/100))-(Inputs!$B$12*(1+Inputs!$B$13/100)))+0.25*(Inputs!$B$14-Inputs!$B$14))*(1+Inputs!$B$7/100))*(F2101/100)</f>
        <v/>
      </c>
      <c r="K2101">
        <f>J2101*(1+((Inputs!$B$12*(1+Inputs!$B$13/100))*0.01+Inputs!$B$14*0.0025)/100)*(1+Inputs!$B$15/100)*(1+Inputs!$B$16/100)*(5000/(6000+Inputs!$B$42*(1-(100*(1-(1-(Inputs!$B$19+0)/100)*(1-CHOOSE(ArtifactsInput!$N$40+1,5,6,7,8,9,10)/100)^(ArtifactsInput!$M$40-ArtifactsInput!$M$40)))/100)))*(1+(Inputs!$B$24+((C2120=TRUE)*(F2120-Calc!F24))+((C2121=TRUE)*(F2121-Calc!F25))+B2134)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2104=TRUE,F2104,0)/100)*(1+(IF(Skills!A5="EMPOWERED_PIERCING_ARROW",Inputs!$B$17+((C2118=TRUE)*(F2118-Calc!F22))+(((IF(AND(ArtifactsInput!$M$42,((Inputs!$B$9+((C2115=TRUE)*(F2115-Calc!F19))+B2128+(ArtifactsInput!$M$24-ArtifactsInput!$M$24)*CHOOSE(ArtifactsInput!$N$24+1,10,12,14,16,18,20)+IF(ArtifactsInput!$M$10,CHOOSE(ArtifactsInput!$N$10+1,15,18,21,24,27,30)*(IF(Inputs!$B$38="pvp",MIN(15,15)/15,IF(AND(Inputs!$B$38&lt;&gt;"pvp",Inputs!$B$43&gt;0),MIN(15,Inputs!$B$43)/(Inputs!$B$43),0))),0)))&gt;=100),MIN(100,((Inputs!$B$9+((C2115=TRUE)*(F2115-Calc!F19))+B2128+(ArtifactsInput!$M$24-ArtifactsInput!$M$24)*CHOOSE(ArtifactsInput!$N$24+1,10,12,14,16,18,20)+IF(ArtifactsInput!$M$10,CHOOSE(ArtifactsInput!$N$10+1,15,18,21,24,27,30)*(IF(Inputs!$B$38="pvp",MIN(15,15)/15,IF(AND(Inputs!$B$38&lt;&gt;"pvp",Inputs!$B$43&gt;0),MIN(15,Inputs!$B$43)/(Inputs!$B$43),0))),0)))-100),0))*CHOOSE(ArtifactsInput!$N$42+1,0.6,0.72,0.84,0.96,1.08,1.2))),Inputs!$B$18+((C2123=TRUE)*(F2123-Calc!F27))+(IF(AND(ArtifactsInput!$M$42,((Inputs!$B$9+((C2115=TRUE)*(F2115-Calc!F19))+B2128+(ArtifactsInput!$M$24-ArtifactsInput!$M$24)*CHOOSE(ArtifactsInput!$N$24+1,10,12,14,16,18,20)+IF(ArtifactsInput!$M$10,CHOOSE(ArtifactsInput!$N$10+1,15,18,21,24,27,30)*(IF(Inputs!$B$38="pvp",MIN(15,15)/15,IF(AND(Inputs!$B$38&lt;&gt;"pvp",Inputs!$B$43&gt;0),MIN(15,Inputs!$B$43)/(Inputs!$B$43),0))),0)))&gt;=100),CHOOSE(ArtifactsInput!$N$42+1,40,48,56,64,72,80),0))))/100)*((1+(((C2109=TRUE)*F2109)+((C2110=TRUE)*IF(Inputs!$B$38="pvp",F2110,(1-Summary!$B$11)*(F2110)+Summary!$B$11*(0)))+((C2111=TRUE)*F2111*IF(AND(Inputs!$B$38&lt;&gt;"pvp",Inputs!$B$43&gt;0),(((R2111-1)*(Skills!T15*(1+Inputs!$B$34/100))+MIN((Skills!T15*(1+Inputs!$B$34/100)),MAX(0,Inputs!$B$43-((R2111-1)*Skills!D15))))/Inputs!$B$43),IF(Inputs!$B$38="pvp",MIN((Skills!T15*(1+Inputs!$B$34/100)),15)/15,(Skills!T15*(1+Inputs!$B$34/100))/Skills!D15)))+((C2108=TRUE)*F2108)+((C2125=TRUE)*(F2125-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2101)</f>
        <v/>
      </c>
      <c r="L2101">
        <f>K2101*(MIN(Inputs!$B$22+((C2119=TRUE)*(F2119-Calc!F23)),(Inputs!$B$23+((C2124=TRUE)*(F2124-Calc!F28))+(IF(ArtifactsInput!$M$15,CHOOSE(ArtifactsInput!$N$15+1,25,30,35,40,45,50)/100*(Inputs!$B$11-Inputs!$B$11),0))))/100+(Inputs!$B$23+((C2124=TRUE)*(F2124-Calc!F28))+(IF(ArtifactsInput!$M$15,CHOOSE(ArtifactsInput!$N$15+1,25,30,35,40,45,50)/100*(Inputs!$B$11-Inputs!$B$11),0)))/100)/2</f>
        <v/>
      </c>
      <c r="M2101">
        <f>L2101*(1+(Inputs!$B$10+0+B2133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101">
        <f>L2101*(1-MIN((Inputs!$B$9+((C2115=TRUE)*(F2115-Calc!F19))+B2128+(ArtifactsInput!$M$24-ArtifactsInput!$M$24)*CHOOSE(ArtifactsInput!$N$24+1,10,12,14,16,18,20)+(IF(AND(ArtifactsInput!$M$42,((Inputs!$B$9+((C2115=TRUE)*(F2115-Calc!F19))+B2128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2101*(MIN((Inputs!$B$9+((C2115=TRUE)*(F2115-Calc!F19))+B2128+(ArtifactsInput!$M$24-ArtifactsInput!$M$24)*CHOOSE(ArtifactsInput!$N$24+1,10,12,14,16,18,20)+(IF(AND(ArtifactsInput!$M$42,((Inputs!$B$9+((C2115=TRUE)*(F2115-Calc!F19))+B2128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101">
        <f>(1-Summary!$B$11)*T2101+Summary!$B$11*V2101</f>
        <v/>
      </c>
      <c r="P2101">
        <f>IF(B2138=0,0,O2101/B2138)</f>
        <v/>
      </c>
      <c r="Q2101">
        <f>IFERROR(1/IF(Inputs!$B$38="pvp",15,MAX(0.1,Skills!D5-IF(Skills!E5=TRUE,Inputs!$B$32,0))),0)</f>
        <v/>
      </c>
      <c r="R2101">
        <f>IF(AND(Inputs!$B$38&lt;&gt;"pvp",Inputs!$B$43&gt;0),IF(MAX(0,Inputs!$B$43-B2135)&lt;=0,0,(INT(MAX(0,Inputs!$B$43-B2135)/IF(Inputs!$B$38="pvp",15,MAX(0.1,Skills!D5-IF(Skills!E5=TRUE,Inputs!$B$32,0))))+1)),0)</f>
        <v/>
      </c>
      <c r="S2101">
        <f>IFERROR((H2101*N2101*IF(AND(Inputs!$B$38&lt;&gt;"pvp",Inputs!$B$43&gt;0),((Skills!G5*((R2101-1)*IF(Skills!H5&gt;0,Skills!I5/Skills!H5,1)+IF(Skills!H5&gt;0,MIN(Skills!I5,MAX(0,MAX(0,Inputs!$B$43-B2135)-((R2101-1)*IF(Inputs!$B$38="pvp",15,MAX(0.1,Skills!D5-IF(Skills!E5=TRUE,Inputs!$B$32,0))))))/Skills!H5,1)))/Inputs!$B$43),G2101*Q2101))/N2101*IF(Inputs!$B$38="pvp",1,(1-Summary!$B$11)*1+Summary!$B$11*(MIN(Skills!R5,Inputs!$B$37))),0)</f>
        <v/>
      </c>
      <c r="T2101">
        <f>IF(C2101,(H2101*N2101*IF(AND(Inputs!$B$38&lt;&gt;"pvp",Inputs!$B$43&gt;0),((Skills!G5*((R2101-1)*IF(Skills!H5&gt;0,Skills!I5/Skills!H5,1)+IF(Skills!H5&gt;0,MIN(Skills!I5,MAX(0,MAX(0,Inputs!$B$43-B2135)-((R2101-1)*IF(Inputs!$B$38="pvp",15,MAX(0.1,Skills!D5-IF(Skills!E5=TRUE,Inputs!$B$32,0))))))/Skills!H5,1)))/Inputs!$B$43),G2101*Q2101))*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Hunt"),CHOOSE(ArtifactsInput!$N$35+1,15,18,21,24,27,30)*(1-EXP(-(0.2*B2130)*5)),0)+IF(AND(ArtifactsInput!$M$22,Inputs!$B$4&lt;&gt;"Chapter Hunt"),CHOOSE(ArtifactsInput!$N$22+1,10,12,14,16,18,20)*((0*(((0.15*B2130*5))^0/1)+1*(((0.15*B2130*5))^1/1)+2*(((0.15*B2130*5))^2/2)+3*(((0.15*B2130*5))^3/6)+4*(((0.15*B2130*5))^4/24)+5*(((0.15*B2130*5))^5/120))/((((0.15*B2130*5))^0/1)+(((0.15*B2130*5))^1/1)+(((0.15*B2130*5))^2/2)+(((0.15*B2130*5))^3/6)+(((0.15*B2130*5))^4/24)+(((0.15*B2130*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2101*(1-MIN(100,(Inputs!$B$9+((C2115=TRUE)*(F2115-Calc!F19))+B2128+(ArtifactsInput!$M$24-ArtifactsInput!$M$24)*CHOOSE(ArtifactsInput!$N$24+1,10,12,14,16,18,20)+(IF(AND(ArtifactsInput!$M$42,((Inputs!$B$9+((C2115=TRUE)*(F2115-Calc!F19))+B2128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2101*(MIN(100,(Inputs!$B$9+((C2115=TRUE)*(F2115-Calc!F19))+B2128+(ArtifactsInput!$M$24-ArtifactsInput!$M$24)*CHOOSE(ArtifactsInput!$N$24+1,10,12,14,16,18,20)+(IF(AND(ArtifactsInput!$M$42,((Inputs!$B$9+((C2115=TRUE)*(F2115-Calc!F19))+B2128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2101*(1-MIN(100,(Inputs!$B$9+((C2115=TRUE)*(F2115-Calc!F19))+B2128+(ArtifactsInput!$M$24-ArtifactsInput!$M$24)*CHOOSE(ArtifactsInput!$N$24+1,10,12,14,16,18,20)+(IF(AND(ArtifactsInput!$M$42,((Inputs!$B$9+((C2115=TRUE)*(F2115-Calc!F19))+B2128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2101*(MIN(100,(Inputs!$B$9+((C2115=TRUE)*(F2115-Calc!F19))+B2128+(ArtifactsInput!$M$24-ArtifactsInput!$M$24)*CHOOSE(ArtifactsInput!$N$24+1,10,12,14,16,18,20)+(IF(AND(ArtifactsInput!$M$42,((Inputs!$B$9+((C2115=TRUE)*(F2115-Calc!F19))+B2128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IF(ArtifactsInput!$M$26,FALSE,TRUE),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101">
        <f>IF(C2101,(H2101*N2101*IF(AND(Inputs!$B$38&lt;&gt;"pvp",Inputs!$B$43&gt;0),((Skills!G5*((R2101-1)*IF(Skills!H5&gt;0,Skills!I5/Skills!H5,1)+IF(Skills!H5&gt;0,MIN(Skills!I5,MAX(0,MAX(0,Inputs!$B$43-B2135)-((R2101-1)*IF(Inputs!$B$38="pvp",15,MAX(0.1,Skills!D5-IF(Skills!E5=TRUE,Inputs!$B$32,0))))))/Skills!H5,1)))/Inputs!$B$43),G2101*Q2101))*IF(Inputs!$B$38="pvp",1,(1+(Inputs!$B$21+Skills!Q5+(IF(ArtifactsInput!$M$33,CHOOSE(ArtifactsInput!$N$33+1,30,36,42,48,54,60),0))+(IF(AND(ArtifactsInput!$M$35,Inputs!$B$4&lt;&gt;"Chapter Hunt"),CHOOSE(ArtifactsInput!$N$35+1,15,18,21,24,27,30)*(1-EXP(-(0.2*B2130)*5)),0)+IF(AND(ArtifactsInput!$M$22,Inputs!$B$4&lt;&gt;"Chapter Hunt"),CHOOSE(ArtifactsInput!$N$22+1,10,12,14,16,18,20)*((0*(((0.15*B2130*5))^0/1)+1*(((0.15*B2130*5))^1/1)+2*(((0.15*B2130*5))^2/2)+3*(((0.15*B2130*5))^3/6)+4*(((0.15*B2130*5))^4/24)+5*(((0.15*B2130*5))^5/120))/((((0.15*B2130*5))^0/1)+(((0.15*B2130*5))^1/1)+(((0.15*B2130*5))^2/2)+(((0.15*B2130*5))^3/6)+(((0.15*B2130*5))^4/24)+(((0.15*B2130*5))^5/120))),0)))/100)*(MIN(Skills!R5,Inputs!$B$37)))*((1+(IF(AND(ArtifactsInput!$M$41,Inputs!$B$38&lt;&gt;"pvp"),CHOOSE(ArtifactsInput!$N$41+1,5,6,7,8,9,10)*IF(OR(Inputs!$B$4="Weapon Dungeon",Inputs!$B$4="Equipment Dungeon",Inputs!$B$4="Enhancement Dungeon",Inputs!$B$4="EXP Dungeon",Inputs!$B$4="Hero Dungeon"),3,1),0)+IF(IF(ArtifactsInput!$M$26,FALSE,TRUE),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102">
      <c r="A2102">
        <f>Skills!A6</f>
        <v/>
      </c>
      <c r="B2102">
        <f>Skills!B6</f>
        <v/>
      </c>
      <c r="C2102">
        <f>Inputs!$B$3&gt;=63</f>
        <v/>
      </c>
      <c r="D2102">
        <f>IF(Skills!C6=1,60+Inputs!$B$25+Inputs!$B$29,IF(Skills!C6=2,90+Inputs!$B$26+Inputs!$B$29,IF(Skills!C6=3,120+Inputs!$B$27+Inputs!$B$29,MAX(0,(Inputs!$B$3-100)*3)+Inputs!$B$28+Inputs!$B$29)))</f>
        <v/>
      </c>
      <c r="E2102">
        <f>INDEX(FactorTable!$B$2:$Y$301, MATCH(ROUND(MIN(300,MAX(1,D2102)),0), FactorTable!$A$2:$A$301,0), Skills!M6+1)</f>
        <v/>
      </c>
      <c r="F2102">
        <f>IF(Skills!N6=TRUE,(Skills!L6/10)*(E2102/1000),Skills!L6/10)+Skills!O6</f>
        <v/>
      </c>
      <c r="G2102">
        <f>Skills!G6*IF(Skills!H6&gt;0,Skills!I6/Skills!H6,1)</f>
        <v/>
      </c>
      <c r="H2102">
        <f>1-(1-Skills!J6/100)^Skills!K6</f>
        <v/>
      </c>
      <c r="I2102" t="inlineStr">
        <is>
          <t>1</t>
        </is>
      </c>
      <c r="J2102">
        <f>((Inputs!$B$6*(1+Inputs!$B$7/100))+(((Inputs!$B$12*(1+Inputs!$B$13/100))-(Inputs!$B$12*(1+Inputs!$B$13/100)))+0.25*(Inputs!$B$14-Inputs!$B$14))*(1+Inputs!$B$7/100))*(F2102/100)</f>
        <v/>
      </c>
      <c r="K2102">
        <f>J2102*(1+((Inputs!$B$12*(1+Inputs!$B$13/100))*0.01+Inputs!$B$14*0.0025)/100)*(1+Inputs!$B$15/100)*(1+Inputs!$B$16/100)*(5000/(6000+Inputs!$B$42*(1-(100*(1-(1-(Inputs!$B$19+0)/100)*(1-CHOOSE(ArtifactsInput!$N$40+1,5,6,7,8,9,10)/100)^(ArtifactsInput!$M$40-ArtifactsInput!$M$40)))/100)))*(1+(Inputs!$B$24+((C2120=TRUE)*(F2120-Calc!F24))+((C2121=TRUE)*(F2121-Calc!F25))+B2134)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2104=TRUE,F2104,0)/100)*(1+(IF(Skills!A6="EMPOWERED_PIERCING_ARROW",Inputs!$B$17+((C2118=TRUE)*(F2118-Calc!F22))+(((IF(AND(ArtifactsInput!$M$42,((Inputs!$B$9+((C2115=TRUE)*(F2115-Calc!F19))+B2128+(ArtifactsInput!$M$24-ArtifactsInput!$M$24)*CHOOSE(ArtifactsInput!$N$24+1,10,12,14,16,18,20)+IF(ArtifactsInput!$M$10,CHOOSE(ArtifactsInput!$N$10+1,15,18,21,24,27,30)*(IF(Inputs!$B$38="pvp",MIN(15,15)/15,IF(AND(Inputs!$B$38&lt;&gt;"pvp",Inputs!$B$43&gt;0),MIN(15,Inputs!$B$43)/(Inputs!$B$43),0))),0)))&gt;=100),MIN(100,((Inputs!$B$9+((C2115=TRUE)*(F2115-Calc!F19))+B2128+(ArtifactsInput!$M$24-ArtifactsInput!$M$24)*CHOOSE(ArtifactsInput!$N$24+1,10,12,14,16,18,20)+IF(ArtifactsInput!$M$10,CHOOSE(ArtifactsInput!$N$10+1,15,18,21,24,27,30)*(IF(Inputs!$B$38="pvp",MIN(15,15)/15,IF(AND(Inputs!$B$38&lt;&gt;"pvp",Inputs!$B$43&gt;0),MIN(15,Inputs!$B$43)/(Inputs!$B$43),0))),0)))-100),0))*CHOOSE(ArtifactsInput!$N$42+1,0.6,0.72,0.84,0.96,1.08,1.2))),Inputs!$B$18+((C2123=TRUE)*(F2123-Calc!F27))+(IF(AND(ArtifactsInput!$M$42,((Inputs!$B$9+((C2115=TRUE)*(F2115-Calc!F19))+B2128+(ArtifactsInput!$M$24-ArtifactsInput!$M$24)*CHOOSE(ArtifactsInput!$N$24+1,10,12,14,16,18,20)+IF(ArtifactsInput!$M$10,CHOOSE(ArtifactsInput!$N$10+1,15,18,21,24,27,30)*(IF(Inputs!$B$38="pvp",MIN(15,15)/15,IF(AND(Inputs!$B$38&lt;&gt;"pvp",Inputs!$B$43&gt;0),MIN(15,Inputs!$B$43)/(Inputs!$B$43),0))),0)))&gt;=100),CHOOSE(ArtifactsInput!$N$42+1,40,48,56,64,72,80),0))))/100)*((1+(((C2109=TRUE)*F2109)+((C2110=TRUE)*IF(Inputs!$B$38="pvp",F2110,(1-Summary!$B$11)*(F2110)+Summary!$B$11*(0)))+((C2111=TRUE)*F2111*IF(AND(Inputs!$B$38&lt;&gt;"pvp",Inputs!$B$43&gt;0),(((R2111-1)*(Skills!T15*(1+Inputs!$B$34/100))+MIN((Skills!T15*(1+Inputs!$B$34/100)),MAX(0,Inputs!$B$43-((R2111-1)*Skills!D15))))/Inputs!$B$43),IF(Inputs!$B$38="pvp",MIN((Skills!T15*(1+Inputs!$B$34/100)),15)/15,(Skills!T15*(1+Inputs!$B$34/100))/Skills!D15)))+((C2108=TRUE)*F2108)+((C2125=TRUE)*(F2125-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2102)</f>
        <v/>
      </c>
      <c r="L2102">
        <f>K2102*(MIN(Inputs!$B$22+((C2119=TRUE)*(F2119-Calc!F23)),(Inputs!$B$23+((C2124=TRUE)*(F2124-Calc!F28))+(IF(ArtifactsInput!$M$15,CHOOSE(ArtifactsInput!$N$15+1,25,30,35,40,45,50)/100*(Inputs!$B$11-Inputs!$B$11),0))))/100+(Inputs!$B$23+((C2124=TRUE)*(F2124-Calc!F28))+(IF(ArtifactsInput!$M$15,CHOOSE(ArtifactsInput!$N$15+1,25,30,35,40,45,50)/100*(Inputs!$B$11-Inputs!$B$11),0)))/100)/2</f>
        <v/>
      </c>
      <c r="M2102">
        <f>L2102*(1+(Inputs!$B$10+0+B2133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102">
        <f>L2102*(1-MIN((Inputs!$B$9+((C2115=TRUE)*(F2115-Calc!F19))+B2128+(ArtifactsInput!$M$24-ArtifactsInput!$M$24)*CHOOSE(ArtifactsInput!$N$24+1,10,12,14,16,18,20)+(IF(AND(ArtifactsInput!$M$42,((Inputs!$B$9+((C2115=TRUE)*(F2115-Calc!F19))+B2128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2102*(MIN((Inputs!$B$9+((C2115=TRUE)*(F2115-Calc!F19))+B2128+(ArtifactsInput!$M$24-ArtifactsInput!$M$24)*CHOOSE(ArtifactsInput!$N$24+1,10,12,14,16,18,20)+(IF(AND(ArtifactsInput!$M$42,((Inputs!$B$9+((C2115=TRUE)*(F2115-Calc!F19))+B2128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102">
        <f>(1-Summary!$B$11)*T2102+Summary!$B$11*V2102</f>
        <v/>
      </c>
      <c r="P2102">
        <f>IF(B2138=0,0,O2102/B2138)</f>
        <v/>
      </c>
      <c r="Q2102">
        <f>IFERROR(1/IF(Inputs!$B$38="pvp",15,MAX(0.1,Skills!D6-IF(Skills!E6=TRUE,Inputs!$B$32,0))),0)</f>
        <v/>
      </c>
      <c r="R2102">
        <f>IF(AND(Inputs!$B$38&lt;&gt;"pvp",Inputs!$B$43&gt;0),IF(MAX(0,Inputs!$B$43-B2135)&lt;=0,0,(INT(MAX(0,Inputs!$B$43-B2135)/IF(Inputs!$B$38="pvp",15,MAX(0.1,Skills!D6-IF(Skills!E6=TRUE,Inputs!$B$32,0))))+1)),0)</f>
        <v/>
      </c>
      <c r="S2102">
        <f>IFERROR((H2102*N2102*IF(AND(Inputs!$B$38&lt;&gt;"pvp",Inputs!$B$43&gt;0),((Skills!G6*((R2102-1)*IF(Skills!H6&gt;0,Skills!I6/Skills!H6,1)+IF(Skills!H6&gt;0,MIN(Skills!I6,MAX(0,MAX(0,Inputs!$B$43-B2135)-((R2102-1)*IF(Inputs!$B$38="pvp",15,MAX(0.1,Skills!D6-IF(Skills!E6=TRUE,Inputs!$B$32,0))))))/Skills!H6,1)))/Inputs!$B$43),G2102*Q2102))/N2102*IF(Inputs!$B$38="pvp",1,(1-Summary!$B$11)*1+Summary!$B$11*(MIN(Skills!R6,Inputs!$B$37))),0)</f>
        <v/>
      </c>
      <c r="T2102">
        <f>IF(C2102,(H2102*N2102*IF(AND(Inputs!$B$38&lt;&gt;"pvp",Inputs!$B$43&gt;0),((Skills!G6*((R2102-1)*IF(Skills!H6&gt;0,Skills!I6/Skills!H6,1)+IF(Skills!H6&gt;0,MIN(Skills!I6,MAX(0,MAX(0,Inputs!$B$43-B2135)-((R2102-1)*IF(Inputs!$B$38="pvp",15,MAX(0.1,Skills!D6-IF(Skills!E6=TRUE,Inputs!$B$32,0))))))/Skills!H6,1)))/Inputs!$B$43),G2102*Q2102))*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Hunt"),CHOOSE(ArtifactsInput!$N$35+1,15,18,21,24,27,30)*(1-EXP(-(0.2*B2130)*5)),0)+IF(AND(ArtifactsInput!$M$22,Inputs!$B$4&lt;&gt;"Chapter Hunt"),CHOOSE(ArtifactsInput!$N$22+1,10,12,14,16,18,20)*((0*(((0.15*B2130*5))^0/1)+1*(((0.15*B2130*5))^1/1)+2*(((0.15*B2130*5))^2/2)+3*(((0.15*B2130*5))^3/6)+4*(((0.15*B2130*5))^4/24)+5*(((0.15*B2130*5))^5/120))/((((0.15*B2130*5))^0/1)+(((0.15*B2130*5))^1/1)+(((0.15*B2130*5))^2/2)+(((0.15*B2130*5))^3/6)+(((0.15*B2130*5))^4/24)+(((0.15*B2130*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2102*(1-MIN(100,(Inputs!$B$9+((C2115=TRUE)*(F2115-Calc!F19))+B2128+(ArtifactsInput!$M$24-ArtifactsInput!$M$24)*CHOOSE(ArtifactsInput!$N$24+1,10,12,14,16,18,20)+(IF(AND(ArtifactsInput!$M$42,((Inputs!$B$9+((C2115=TRUE)*(F2115-Calc!F19))+B2128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2102*(MIN(100,(Inputs!$B$9+((C2115=TRUE)*(F2115-Calc!F19))+B2128+(ArtifactsInput!$M$24-ArtifactsInput!$M$24)*CHOOSE(ArtifactsInput!$N$24+1,10,12,14,16,18,20)+(IF(AND(ArtifactsInput!$M$42,((Inputs!$B$9+((C2115=TRUE)*(F2115-Calc!F19))+B2128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2102*(1-MIN(100,(Inputs!$B$9+((C2115=TRUE)*(F2115-Calc!F19))+B2128+(ArtifactsInput!$M$24-ArtifactsInput!$M$24)*CHOOSE(ArtifactsInput!$N$24+1,10,12,14,16,18,20)+(IF(AND(ArtifactsInput!$M$42,((Inputs!$B$9+((C2115=TRUE)*(F2115-Calc!F19))+B2128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2102*(MIN(100,(Inputs!$B$9+((C2115=TRUE)*(F2115-Calc!F19))+B2128+(ArtifactsInput!$M$24-ArtifactsInput!$M$24)*CHOOSE(ArtifactsInput!$N$24+1,10,12,14,16,18,20)+(IF(AND(ArtifactsInput!$M$42,((Inputs!$B$9+((C2115=TRUE)*(F2115-Calc!F19))+B2128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IF(ArtifactsInput!$M$26,FALSE,TRUE),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102">
        <f>IF(C2102,(H2102*N2102*IF(AND(Inputs!$B$38&lt;&gt;"pvp",Inputs!$B$43&gt;0),((Skills!G6*((R2102-1)*IF(Skills!H6&gt;0,Skills!I6/Skills!H6,1)+IF(Skills!H6&gt;0,MIN(Skills!I6,MAX(0,MAX(0,Inputs!$B$43-B2135)-((R2102-1)*IF(Inputs!$B$38="pvp",15,MAX(0.1,Skills!D6-IF(Skills!E6=TRUE,Inputs!$B$32,0))))))/Skills!H6,1)))/Inputs!$B$43),G2102*Q2102))*IF(Inputs!$B$38="pvp",1,(1+(Inputs!$B$21+Skills!Q6+(IF(ArtifactsInput!$M$33,CHOOSE(ArtifactsInput!$N$33+1,30,36,42,48,54,60),0))+(IF(AND(ArtifactsInput!$M$35,Inputs!$B$4&lt;&gt;"Chapter Hunt"),CHOOSE(ArtifactsInput!$N$35+1,15,18,21,24,27,30)*(1-EXP(-(0.2*B2130)*5)),0)+IF(AND(ArtifactsInput!$M$22,Inputs!$B$4&lt;&gt;"Chapter Hunt"),CHOOSE(ArtifactsInput!$N$22+1,10,12,14,16,18,20)*((0*(((0.15*B2130*5))^0/1)+1*(((0.15*B2130*5))^1/1)+2*(((0.15*B2130*5))^2/2)+3*(((0.15*B2130*5))^3/6)+4*(((0.15*B2130*5))^4/24)+5*(((0.15*B2130*5))^5/120))/((((0.15*B2130*5))^0/1)+(((0.15*B2130*5))^1/1)+(((0.15*B2130*5))^2/2)+(((0.15*B2130*5))^3/6)+(((0.15*B2130*5))^4/24)+(((0.15*B2130*5))^5/120))),0)))/100)*(MIN(Skills!R6,Inputs!$B$37)))*((1+(IF(AND(ArtifactsInput!$M$41,Inputs!$B$38&lt;&gt;"pvp"),CHOOSE(ArtifactsInput!$N$41+1,5,6,7,8,9,10)*IF(OR(Inputs!$B$4="Weapon Dungeon",Inputs!$B$4="Equipment Dungeon",Inputs!$B$4="Enhancement Dungeon",Inputs!$B$4="EXP Dungeon",Inputs!$B$4="Hero Dungeon"),3,1),0)+IF(IF(ArtifactsInput!$M$26,FALSE,TRUE),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103">
      <c r="A2103">
        <f>Skills!A7</f>
        <v/>
      </c>
      <c r="B2103">
        <f>Skills!B7</f>
        <v/>
      </c>
      <c r="C2103">
        <f>Inputs!$B$3&gt;=69</f>
        <v/>
      </c>
      <c r="D2103">
        <f>IF(Skills!C7=1,60+Inputs!$B$25+Inputs!$B$29,IF(Skills!C7=2,90+Inputs!$B$26+Inputs!$B$29,IF(Skills!C7=3,120+Inputs!$B$27+Inputs!$B$29,MAX(0,(Inputs!$B$3-100)*3)+Inputs!$B$28+Inputs!$B$29)))</f>
        <v/>
      </c>
      <c r="E2103">
        <f>INDEX(FactorTable!$B$2:$Y$301, MATCH(ROUND(MIN(300,MAX(1,D2103)),0), FactorTable!$A$2:$A$301,0), Skills!M7+1)</f>
        <v/>
      </c>
      <c r="F2103">
        <f>IF(Skills!N7=TRUE,(Skills!L7/10)*(E2103/1000),Skills!L7/10)+Skills!O7</f>
        <v/>
      </c>
      <c r="G2103">
        <f>Skills!G7*IF(Skills!H7&gt;0,Skills!I7/Skills!H7,1)</f>
        <v/>
      </c>
      <c r="H2103">
        <f>1-(1-Skills!J7/100)^Skills!K7</f>
        <v/>
      </c>
      <c r="I2103" t="inlineStr">
        <is>
          <t>1</t>
        </is>
      </c>
      <c r="J2103">
        <f>((Inputs!$B$6*(1+Inputs!$B$7/100))+(((Inputs!$B$12*(1+Inputs!$B$13/100))-(Inputs!$B$12*(1+Inputs!$B$13/100)))+0.25*(Inputs!$B$14-Inputs!$B$14))*(1+Inputs!$B$7/100))*(F2103/100)</f>
        <v/>
      </c>
      <c r="K2103">
        <f>J2103*(1+((Inputs!$B$12*(1+Inputs!$B$13/100))*0.01+Inputs!$B$14*0.0025)/100)*(1+Inputs!$B$15/100)*(1+Inputs!$B$16/100)*(5000/(6000+Inputs!$B$42*(1-(100*(1-(1-(Inputs!$B$19+0)/100)*(1-CHOOSE(ArtifactsInput!$N$40+1,5,6,7,8,9,10)/100)^(ArtifactsInput!$M$40-ArtifactsInput!$M$40)))/100)))*(1+(Inputs!$B$24+((C2120=TRUE)*(F2120-Calc!F24))+((C2121=TRUE)*(F2121-Calc!F25))+B2134)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+1.2*IF(C2104=TRUE,F2104,0)/100)*(1+(IF(Skills!A7="EMPOWERED_PIERCING_ARROW",Inputs!$B$17+((C2118=TRUE)*(F2118-Calc!F22))+(((IF(AND(ArtifactsInput!$M$42,((Inputs!$B$9+((C2115=TRUE)*(F2115-Calc!F19))+B2128+(ArtifactsInput!$M$24-ArtifactsInput!$M$24)*CHOOSE(ArtifactsInput!$N$24+1,10,12,14,16,18,20)+IF(ArtifactsInput!$M$10,CHOOSE(ArtifactsInput!$N$10+1,15,18,21,24,27,30)*(IF(Inputs!$B$38="pvp",MIN(15,15)/15,IF(AND(Inputs!$B$38&lt;&gt;"pvp",Inputs!$B$43&gt;0),MIN(15,Inputs!$B$43)/(Inputs!$B$43),0))),0)))&gt;=100),MIN(100,((Inputs!$B$9+((C2115=TRUE)*(F2115-Calc!F19))+B2128+(ArtifactsInput!$M$24-ArtifactsInput!$M$24)*CHOOSE(ArtifactsInput!$N$24+1,10,12,14,16,18,20)+IF(ArtifactsInput!$M$10,CHOOSE(ArtifactsInput!$N$10+1,15,18,21,24,27,30)*(IF(Inputs!$B$38="pvp",MIN(15,15)/15,IF(AND(Inputs!$B$38&lt;&gt;"pvp",Inputs!$B$43&gt;0),MIN(15,Inputs!$B$43)/(Inputs!$B$43),0))),0)))-100),0))*CHOOSE(ArtifactsInput!$N$42+1,0.6,0.72,0.84,0.96,1.08,1.2))),Inputs!$B$18+((C2123=TRUE)*(F2123-Calc!F27))+(IF(AND(ArtifactsInput!$M$42,((Inputs!$B$9+((C2115=TRUE)*(F2115-Calc!F19))+B2128+(ArtifactsInput!$M$24-ArtifactsInput!$M$24)*CHOOSE(ArtifactsInput!$N$24+1,10,12,14,16,18,20)+IF(ArtifactsInput!$M$10,CHOOSE(ArtifactsInput!$N$10+1,15,18,21,24,27,30)*(IF(Inputs!$B$38="pvp",MIN(15,15)/15,IF(AND(Inputs!$B$38&lt;&gt;"pvp",Inputs!$B$43&gt;0),MIN(15,Inputs!$B$43)/(Inputs!$B$43),0))),0)))&gt;=100),CHOOSE(ArtifactsInput!$N$42+1,40,48,56,64,72,80),0))))/100)*((1+(((C2109=TRUE)*F2109)+((C2110=TRUE)*IF(Inputs!$B$38="pvp",F2110,(1-Summary!$B$11)*(F2110)+Summary!$B$11*(0)))+((C2111=TRUE)*F2111*IF(AND(Inputs!$B$38&lt;&gt;"pvp",Inputs!$B$43&gt;0),(((R2111-1)*(Skills!T15*(1+Inputs!$B$34/100))+MIN((Skills!T15*(1+Inputs!$B$34/100)),MAX(0,Inputs!$B$43-((R2111-1)*Skills!D15))))/Inputs!$B$43),IF(Inputs!$B$38="pvp",MIN((Skills!T15*(1+Inputs!$B$34/100)),15)/15,(Skills!T15*(1+Inputs!$B$34/100))/Skills!D15)))+((C2108=TRUE)*F2108)+((C2125=TRUE)*(F2125-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2103)</f>
        <v/>
      </c>
      <c r="L2103">
        <f>K2103*(MIN(Inputs!$B$22+((C2119=TRUE)*(F2119-Calc!F23)),(Inputs!$B$23+((C2124=TRUE)*(F2124-Calc!F28))+(IF(ArtifactsInput!$M$15,CHOOSE(ArtifactsInput!$N$15+1,25,30,35,40,45,50)/100*(Inputs!$B$11-Inputs!$B$11),0))))/100+(Inputs!$B$23+((C2124=TRUE)*(F2124-Calc!F28))+(IF(ArtifactsInput!$M$15,CHOOSE(ArtifactsInput!$N$15+1,25,30,35,40,45,50)/100*(Inputs!$B$11-Inputs!$B$11),0)))/100)/2</f>
        <v/>
      </c>
      <c r="M2103">
        <f>L2103*(1+(Inputs!$B$10+0+B2133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103">
        <f>L2103*(1-MIN((Inputs!$B$9+((C2115=TRUE)*(F2115-Calc!F19))+B2128+(ArtifactsInput!$M$24-ArtifactsInput!$M$24)*CHOOSE(ArtifactsInput!$N$24+1,10,12,14,16,18,20)+(IF(AND(ArtifactsInput!$M$42,((Inputs!$B$9+((C2115=TRUE)*(F2115-Calc!F19))+B2128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2103*(MIN((Inputs!$B$9+((C2115=TRUE)*(F2115-Calc!F19))+B2128+(ArtifactsInput!$M$24-ArtifactsInput!$M$24)*CHOOSE(ArtifactsInput!$N$24+1,10,12,14,16,18,20)+(IF(AND(ArtifactsInput!$M$42,((Inputs!$B$9+((C2115=TRUE)*(F2115-Calc!F19))+B2128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103">
        <f>(1-Summary!$B$11)*T2103+Summary!$B$11*V2103</f>
        <v/>
      </c>
      <c r="P2103">
        <f>IF(B2138=0,0,O2103/B2138)</f>
        <v/>
      </c>
      <c r="Q2103">
        <f>IFERROR(1/IF(Inputs!$B$38="pvp",15,MAX(0.1,Skills!D7-IF(Skills!E7=TRUE,Inputs!$B$32,0))),0)</f>
        <v/>
      </c>
      <c r="R2103">
        <f>IF(AND(Inputs!$B$38&lt;&gt;"pvp",Inputs!$B$43&gt;0),IF(MAX(0,Inputs!$B$43-B2135)&lt;=0,0,(INT(MAX(0,Inputs!$B$43-B2135)/IF(Inputs!$B$38="pvp",15,MAX(0.1,Skills!D7-IF(Skills!E7=TRUE,Inputs!$B$32,0))))+1)),0)</f>
        <v/>
      </c>
      <c r="S2103">
        <f>IFERROR((H2103*N2103*IF(AND(Inputs!$B$38&lt;&gt;"pvp",Inputs!$B$43&gt;0),((Skills!G7*((R2103-1)*IF(Skills!H7&gt;0,Skills!I7/Skills!H7,1)+IF(Skills!H7&gt;0,MIN(Skills!I7,MAX(0,MAX(0,Inputs!$B$43-B2135)-((R2103-1)*IF(Inputs!$B$38="pvp",15,MAX(0.1,Skills!D7-IF(Skills!E7=TRUE,Inputs!$B$32,0))))))/Skills!H7,1)))/Inputs!$B$43),G2103*Q2103))/N2103*IF(Inputs!$B$38="pvp",1,(1-Summary!$B$11)*1+Summary!$B$11*(MIN(Skills!R7,Inputs!$B$37))),0)</f>
        <v/>
      </c>
      <c r="T2103">
        <f>IF(C2103,(H2103*N2103*IF(AND(Inputs!$B$38&lt;&gt;"pvp",Inputs!$B$43&gt;0),((Skills!G7*((R2103-1)*IF(Skills!H7&gt;0,Skills!I7/Skills!H7,1)+IF(Skills!H7&gt;0,MIN(Skills!I7,MAX(0,MAX(0,Inputs!$B$43-B2135)-((R2103-1)*IF(Inputs!$B$38="pvp",15,MAX(0.1,Skills!D7-IF(Skills!E7=TRUE,Inputs!$B$32,0))))))/Skills!H7,1)))/Inputs!$B$43),G2103*Q2103))*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Hunt"),CHOOSE(ArtifactsInput!$N$35+1,15,18,21,24,27,30)*(1-EXP(-(0.2*B2130)*5)),0)+IF(AND(ArtifactsInput!$M$22,Inputs!$B$4&lt;&gt;"Chapter Hunt"),CHOOSE(ArtifactsInput!$N$22+1,10,12,14,16,18,20)*((0*(((0.15*B2130*5))^0/1)+1*(((0.15*B2130*5))^1/1)+2*(((0.15*B2130*5))^2/2)+3*(((0.15*B2130*5))^3/6)+4*(((0.15*B2130*5))^4/24)+5*(((0.15*B2130*5))^5/120))/((((0.15*B2130*5))^0/1)+(((0.15*B2130*5))^1/1)+(((0.15*B2130*5))^2/2)+(((0.15*B2130*5))^3/6)+(((0.15*B2130*5))^4/24)+(((0.15*B2130*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2103*(1-MIN(100,(Inputs!$B$9+((C2115=TRUE)*(F2115-Calc!F19))+B2128+(ArtifactsInput!$M$24-ArtifactsInput!$M$24)*CHOOSE(ArtifactsInput!$N$24+1,10,12,14,16,18,20)+(IF(AND(ArtifactsInput!$M$42,((Inputs!$B$9+((C2115=TRUE)*(F2115-Calc!F19))+B2128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2103*(MIN(100,(Inputs!$B$9+((C2115=TRUE)*(F2115-Calc!F19))+B2128+(ArtifactsInput!$M$24-ArtifactsInput!$M$24)*CHOOSE(ArtifactsInput!$N$24+1,10,12,14,16,18,20)+(IF(AND(ArtifactsInput!$M$42,((Inputs!$B$9+((C2115=TRUE)*(F2115-Calc!F19))+B2128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2103*(1-MIN(100,(Inputs!$B$9+((C2115=TRUE)*(F2115-Calc!F19))+B2128+(ArtifactsInput!$M$24-ArtifactsInput!$M$24)*CHOOSE(ArtifactsInput!$N$24+1,10,12,14,16,18,20)+(IF(AND(ArtifactsInput!$M$42,((Inputs!$B$9+((C2115=TRUE)*(F2115-Calc!F19))+B2128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2103*(MIN(100,(Inputs!$B$9+((C2115=TRUE)*(F2115-Calc!F19))+B2128+(ArtifactsInput!$M$24-ArtifactsInput!$M$24)*CHOOSE(ArtifactsInput!$N$24+1,10,12,14,16,18,20)+(IF(AND(ArtifactsInput!$M$42,((Inputs!$B$9+((C2115=TRUE)*(F2115-Calc!F19))+B2128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IF(ArtifactsInput!$M$26,FALSE,TRUE),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103">
        <f>IF(C2103,(H2103*N2103*IF(AND(Inputs!$B$38&lt;&gt;"pvp",Inputs!$B$43&gt;0),((Skills!G7*((R2103-1)*IF(Skills!H7&gt;0,Skills!I7/Skills!H7,1)+IF(Skills!H7&gt;0,MIN(Skills!I7,MAX(0,MAX(0,Inputs!$B$43-B2135)-((R2103-1)*IF(Inputs!$B$38="pvp",15,MAX(0.1,Skills!D7-IF(Skills!E7=TRUE,Inputs!$B$32,0))))))/Skills!H7,1)))/Inputs!$B$43),G2103*Q2103))*IF(Inputs!$B$38="pvp",1,(1+(Inputs!$B$21+Skills!Q7+(IF(ArtifactsInput!$M$33,CHOOSE(ArtifactsInput!$N$33+1,30,36,42,48,54,60),0))+(IF(AND(ArtifactsInput!$M$35,Inputs!$B$4&lt;&gt;"Chapter Hunt"),CHOOSE(ArtifactsInput!$N$35+1,15,18,21,24,27,30)*(1-EXP(-(0.2*B2130)*5)),0)+IF(AND(ArtifactsInput!$M$22,Inputs!$B$4&lt;&gt;"Chapter Hunt"),CHOOSE(ArtifactsInput!$N$22+1,10,12,14,16,18,20)*((0*(((0.15*B2130*5))^0/1)+1*(((0.15*B2130*5))^1/1)+2*(((0.15*B2130*5))^2/2)+3*(((0.15*B2130*5))^3/6)+4*(((0.15*B2130*5))^4/24)+5*(((0.15*B2130*5))^5/120))/((((0.15*B2130*5))^0/1)+(((0.15*B2130*5))^1/1)+(((0.15*B2130*5))^2/2)+(((0.15*B2130*5))^3/6)+(((0.15*B2130*5))^4/24)+(((0.15*B2130*5))^5/120))),0)))/100)*(MIN(Skills!R7,Inputs!$B$37)))*((1+(IF(AND(ArtifactsInput!$M$41,Inputs!$B$38&lt;&gt;"pvp"),CHOOSE(ArtifactsInput!$N$41+1,5,6,7,8,9,10)*IF(OR(Inputs!$B$4="Weapon Dungeon",Inputs!$B$4="Equipment Dungeon",Inputs!$B$4="Enhancement Dungeon",Inputs!$B$4="EXP Dungeon",Inputs!$B$4="Hero Dungeon"),3,1),0)+IF(IF(ArtifactsInput!$M$26,FALSE,TRUE),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104">
      <c r="A2104">
        <f>Skills!A8</f>
        <v/>
      </c>
      <c r="B2104">
        <f>Skills!B8</f>
        <v/>
      </c>
      <c r="C2104">
        <f>Inputs!$B$3&gt;=100</f>
        <v/>
      </c>
      <c r="D2104">
        <f>IF(Skills!C8=1,60+Inputs!$B$25+Inputs!$B$29,IF(Skills!C8=2,90+Inputs!$B$26+Inputs!$B$29,IF(Skills!C8=3,120+Inputs!$B$27+Inputs!$B$29,MAX(0,(Inputs!$B$3-100)*3)+Inputs!$B$28+Inputs!$B$29)))</f>
        <v/>
      </c>
      <c r="E2104">
        <f>INDEX(FactorTable!$B$2:$Y$301, MATCH(ROUND(MIN(300,MAX(1,D2104)),0), FactorTable!$A$2:$A$301,0), Skills!M8+1)</f>
        <v/>
      </c>
      <c r="F2104">
        <f>IF(Skills!N8=TRUE,(Skills!L8/10)*(E2104/1000),Skills!L8/10)+Skills!O8</f>
        <v/>
      </c>
      <c r="G2104" t="inlineStr"/>
      <c r="H2104" t="inlineStr"/>
      <c r="I2104" t="inlineStr">
        <is>
          <t>1</t>
        </is>
      </c>
      <c r="J2104" t="inlineStr"/>
      <c r="K2104" t="inlineStr"/>
      <c r="L2104" t="inlineStr"/>
      <c r="M2104" t="inlineStr"/>
      <c r="N2104" t="inlineStr"/>
      <c r="O2104" t="inlineStr"/>
      <c r="P2104" t="inlineStr"/>
      <c r="Q2104" t="inlineStr"/>
      <c r="R2104" t="inlineStr"/>
      <c r="S2104" t="inlineStr"/>
      <c r="T2104" t="inlineStr"/>
      <c r="V2104" t="inlineStr"/>
    </row>
    <row r="2105">
      <c r="A2105">
        <f>Skills!A9</f>
        <v/>
      </c>
      <c r="B2105">
        <f>Skills!B9</f>
        <v/>
      </c>
      <c r="C2105">
        <f>Inputs!$B$3&gt;=103</f>
        <v/>
      </c>
      <c r="D2105">
        <f>IF(Skills!C9=1,60+Inputs!$B$25+Inputs!$B$29,IF(Skills!C9=2,90+Inputs!$B$26+Inputs!$B$29,IF(Skills!C9=3,120+Inputs!$B$27+Inputs!$B$29,MAX(0,(Inputs!$B$3-100)*3)+Inputs!$B$28+Inputs!$B$29)))</f>
        <v/>
      </c>
      <c r="E2105">
        <f>INDEX(FactorTable!$B$2:$Y$301, MATCH(ROUND(MIN(300,MAX(1,D2105)),0), FactorTable!$A$2:$A$301,0), Skills!M9+1)</f>
        <v/>
      </c>
      <c r="F2105">
        <f>IF(Skills!N9=TRUE,(Skills!L9/10)*(E2105/1000),Skills!L9/10)+Skills!O9</f>
        <v/>
      </c>
      <c r="G2105">
        <f>Skills!G9*IF(Skills!H9&gt;0,Skills!I9/Skills!H9,1)</f>
        <v/>
      </c>
      <c r="H2105">
        <f>1-(1-Skills!J9/100)^Skills!K9</f>
        <v/>
      </c>
      <c r="I2105" t="inlineStr">
        <is>
          <t>1</t>
        </is>
      </c>
      <c r="J2105">
        <f>((Inputs!$B$6*(1+Inputs!$B$7/100))+(((Inputs!$B$12*(1+Inputs!$B$13/100))-(Inputs!$B$12*(1+Inputs!$B$13/100)))+0.25*(Inputs!$B$14-Inputs!$B$14))*(1+Inputs!$B$7/100))*(F2105/100)</f>
        <v/>
      </c>
      <c r="K2105">
        <f>J2105*(1+((Inputs!$B$12*(1+Inputs!$B$13/100))*0.01+Inputs!$B$14*0.0025)/100)*(1+Inputs!$B$15/100)*(1+Inputs!$B$16/100)*(5000/(6000+Inputs!$B$42*(1-(100*(1-(1-(Inputs!$B$19+0)/100)*(1-CHOOSE(ArtifactsInput!$N$40+1,5,6,7,8,9,10)/100)^(ArtifactsInput!$M$40-ArtifactsInput!$M$40)))/100)))*(1+(Inputs!$B$24+((C2120=TRUE)*(F2120-Calc!F24))+((C2121=TRUE)*(F2121-Calc!F25))+B2134)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EMPOWERED_PIERCING_ARROW",Inputs!$B$17+((C2118=TRUE)*(F2118-Calc!F22))+(((IF(AND(ArtifactsInput!$M$42,((Inputs!$B$9+((C2115=TRUE)*(F2115-Calc!F19))+B2128+(ArtifactsInput!$M$24-ArtifactsInput!$M$24)*CHOOSE(ArtifactsInput!$N$24+1,10,12,14,16,18,20)+IF(ArtifactsInput!$M$10,CHOOSE(ArtifactsInput!$N$10+1,15,18,21,24,27,30)*(IF(Inputs!$B$38="pvp",MIN(15,15)/15,IF(AND(Inputs!$B$38&lt;&gt;"pvp",Inputs!$B$43&gt;0),MIN(15,Inputs!$B$43)/(Inputs!$B$43),0))),0)))&gt;=100),MIN(100,((Inputs!$B$9+((C2115=TRUE)*(F2115-Calc!F19))+B2128+(ArtifactsInput!$M$24-ArtifactsInput!$M$24)*CHOOSE(ArtifactsInput!$N$24+1,10,12,14,16,18,20)+IF(ArtifactsInput!$M$10,CHOOSE(ArtifactsInput!$N$10+1,15,18,21,24,27,30)*(IF(Inputs!$B$38="pvp",MIN(15,15)/15,IF(AND(Inputs!$B$38&lt;&gt;"pvp",Inputs!$B$43&gt;0),MIN(15,Inputs!$B$43)/(Inputs!$B$43),0))),0)))-100),0))*CHOOSE(ArtifactsInput!$N$42+1,0.6,0.72,0.84,0.96,1.08,1.2))),Inputs!$B$18+((C2123=TRUE)*(F2123-Calc!F27))+(IF(AND(ArtifactsInput!$M$42,((Inputs!$B$9+((C2115=TRUE)*(F2115-Calc!F19))+B2128+(ArtifactsInput!$M$24-ArtifactsInput!$M$24)*CHOOSE(ArtifactsInput!$N$24+1,10,12,14,16,18,20)+IF(ArtifactsInput!$M$10,CHOOSE(ArtifactsInput!$N$10+1,15,18,21,24,27,30)*(IF(Inputs!$B$38="pvp",MIN(15,15)/15,IF(AND(Inputs!$B$38&lt;&gt;"pvp",Inputs!$B$43&gt;0),MIN(15,Inputs!$B$43)/(Inputs!$B$43),0))),0)))&gt;=100),CHOOSE(ArtifactsInput!$N$42+1,40,48,56,64,72,80),0))))/100)*((1+(((C2109=TRUE)*F2109)+((C2110=TRUE)*IF(Inputs!$B$38="pvp",F2110,(1-Summary!$B$11)*(F2110)+Summary!$B$11*(0)))+((C2111=TRUE)*F2111*IF(AND(Inputs!$B$38&lt;&gt;"pvp",Inputs!$B$43&gt;0),(((R2111-1)*(Skills!T15*(1+Inputs!$B$34/100))+MIN((Skills!T15*(1+Inputs!$B$34/100)),MAX(0,Inputs!$B$43-((R2111-1)*Skills!D15))))/Inputs!$B$43),IF(Inputs!$B$38="pvp",MIN((Skills!T15*(1+Inputs!$B$34/100)),15)/15,(Skills!T15*(1+Inputs!$B$34/100))/Skills!D15)))+((C2108=TRUE)*F2108)+((C2125=TRUE)*(F2125-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2105)</f>
        <v/>
      </c>
      <c r="L2105">
        <f>K2105*(MIN(Inputs!$B$22+((C2119=TRUE)*(F2119-Calc!F23)),(Inputs!$B$23+((C2124=TRUE)*(F2124-Calc!F28))+(IF(ArtifactsInput!$M$15,CHOOSE(ArtifactsInput!$N$15+1,25,30,35,40,45,50)/100*(Inputs!$B$11-Inputs!$B$11),0))))/100+(Inputs!$B$23+((C2124=TRUE)*(F2124-Calc!F28))+(IF(ArtifactsInput!$M$15,CHOOSE(ArtifactsInput!$N$15+1,25,30,35,40,45,50)/100*(Inputs!$B$11-Inputs!$B$11),0)))/100)/2</f>
        <v/>
      </c>
      <c r="M2105">
        <f>L2105*(1+(Inputs!$B$10+0+B2133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105">
        <f>L2105*(1-MIN((Inputs!$B$9+((C2115=TRUE)*(F2115-Calc!F19))+B2128+(ArtifactsInput!$M$24-ArtifactsInput!$M$24)*CHOOSE(ArtifactsInput!$N$24+1,10,12,14,16,18,20)+(IF(AND(ArtifactsInput!$M$42,((Inputs!$B$9+((C2115=TRUE)*(F2115-Calc!F19))+B2128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2105*(MIN((Inputs!$B$9+((C2115=TRUE)*(F2115-Calc!F19))+B2128+(ArtifactsInput!$M$24-ArtifactsInput!$M$24)*CHOOSE(ArtifactsInput!$N$24+1,10,12,14,16,18,20)+(IF(AND(ArtifactsInput!$M$42,((Inputs!$B$9+((C2115=TRUE)*(F2115-Calc!F19))+B2128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105">
        <f>(1-Summary!$B$11)*T2105+Summary!$B$11*V2105</f>
        <v/>
      </c>
      <c r="P2105">
        <f>IF(B2138=0,0,O2105/B2138)</f>
        <v/>
      </c>
      <c r="Q2105">
        <f>IFERROR(1/IF(Inputs!$B$38="pvp",15,MAX(0.1,Skills!D9-IF(Skills!E9=TRUE,Inputs!$B$32,0))),0)</f>
        <v/>
      </c>
      <c r="R2105">
        <f>IF(AND(Inputs!$B$38&lt;&gt;"pvp",Inputs!$B$43&gt;0),IF(MAX(0,Inputs!$B$43-B2135)&lt;=0,0,(INT(MAX(0,Inputs!$B$43-B2135)/IF(Inputs!$B$38="pvp",15,MAX(0.1,Skills!D9-IF(Skills!E9=TRUE,Inputs!$B$32,0))))+1)),0)</f>
        <v/>
      </c>
      <c r="S2105">
        <f>IFERROR((H2105*N2105*IF(AND(Inputs!$B$38&lt;&gt;"pvp",Inputs!$B$43&gt;0),((Skills!G9*((R2105-1)*IF(Skills!H9&gt;0,Skills!I9/Skills!H9,1)+IF(Skills!H9&gt;0,MIN(Skills!I9,MAX(0,MAX(0,Inputs!$B$43-B2135)-((R2105-1)*IF(Inputs!$B$38="pvp",15,MAX(0.1,Skills!D9-IF(Skills!E9=TRUE,Inputs!$B$32,0))))))/Skills!H9,1)))/Inputs!$B$43),G2105*Q2105))/N2105*IF(Inputs!$B$38="pvp",1,(1-Summary!$B$11)*1+Summary!$B$11*(MIN(Skills!R9,Inputs!$B$37))),0)</f>
        <v/>
      </c>
      <c r="T2105">
        <f>IF(C2105,(H2105*N2105*IF(AND(Inputs!$B$38&lt;&gt;"pvp",Inputs!$B$43&gt;0),((Skills!G9*((R2105-1)*IF(Skills!H9&gt;0,Skills!I9/Skills!H9,1)+IF(Skills!H9&gt;0,MIN(Skills!I9,MAX(0,MAX(0,Inputs!$B$43-B2135)-((R2105-1)*IF(Inputs!$B$38="pvp",15,MAX(0.1,Skills!D9-IF(Skills!E9=TRUE,Inputs!$B$32,0))))))/Skills!H9,1)))/Inputs!$B$43),G2105*Q2105))*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Hunt"),CHOOSE(ArtifactsInput!$N$35+1,15,18,21,24,27,30)*(1-EXP(-(0.2*B2130)*5)),0)+IF(AND(ArtifactsInput!$M$22,Inputs!$B$4&lt;&gt;"Chapter Hunt"),CHOOSE(ArtifactsInput!$N$22+1,10,12,14,16,18,20)*((0*(((0.15*B2130*5))^0/1)+1*(((0.15*B2130*5))^1/1)+2*(((0.15*B2130*5))^2/2)+3*(((0.15*B2130*5))^3/6)+4*(((0.15*B2130*5))^4/24)+5*(((0.15*B2130*5))^5/120))/((((0.15*B2130*5))^0/1)+(((0.15*B2130*5))^1/1)+(((0.15*B2130*5))^2/2)+(((0.15*B2130*5))^3/6)+(((0.15*B2130*5))^4/24)+(((0.15*B2130*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2105*(1-MIN(100,(Inputs!$B$9+((C2115=TRUE)*(F2115-Calc!F19))+B2128+(ArtifactsInput!$M$24-ArtifactsInput!$M$24)*CHOOSE(ArtifactsInput!$N$24+1,10,12,14,16,18,20)+(IF(AND(ArtifactsInput!$M$42,((Inputs!$B$9+((C2115=TRUE)*(F2115-Calc!F19))+B2128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2105*(MIN(100,(Inputs!$B$9+((C2115=TRUE)*(F2115-Calc!F19))+B2128+(ArtifactsInput!$M$24-ArtifactsInput!$M$24)*CHOOSE(ArtifactsInput!$N$24+1,10,12,14,16,18,20)+(IF(AND(ArtifactsInput!$M$42,((Inputs!$B$9+((C2115=TRUE)*(F2115-Calc!F19))+B2128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2105*(1-MIN(100,(Inputs!$B$9+((C2115=TRUE)*(F2115-Calc!F19))+B2128+(ArtifactsInput!$M$24-ArtifactsInput!$M$24)*CHOOSE(ArtifactsInput!$N$24+1,10,12,14,16,18,20)+(IF(AND(ArtifactsInput!$M$42,((Inputs!$B$9+((C2115=TRUE)*(F2115-Calc!F19))+B2128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2105*(MIN(100,(Inputs!$B$9+((C2115=TRUE)*(F2115-Calc!F19))+B2128+(ArtifactsInput!$M$24-ArtifactsInput!$M$24)*CHOOSE(ArtifactsInput!$N$24+1,10,12,14,16,18,20)+(IF(AND(ArtifactsInput!$M$42,((Inputs!$B$9+((C2115=TRUE)*(F2115-Calc!F19))+B2128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IF(ArtifactsInput!$M$26,FALSE,TRUE),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105">
        <f>IF(C2105,(H2105*N2105*IF(AND(Inputs!$B$38&lt;&gt;"pvp",Inputs!$B$43&gt;0),((Skills!G9*((R2105-1)*IF(Skills!H9&gt;0,Skills!I9/Skills!H9,1)+IF(Skills!H9&gt;0,MIN(Skills!I9,MAX(0,MAX(0,Inputs!$B$43-B2135)-((R2105-1)*IF(Inputs!$B$38="pvp",15,MAX(0.1,Skills!D9-IF(Skills!E9=TRUE,Inputs!$B$32,0))))))/Skills!H9,1)))/Inputs!$B$43),G2105*Q2105))*IF(Inputs!$B$38="pvp",1,(1+(Inputs!$B$21+Skills!Q9+(IF(ArtifactsInput!$M$33,CHOOSE(ArtifactsInput!$N$33+1,30,36,42,48,54,60),0))+(IF(AND(ArtifactsInput!$M$35,Inputs!$B$4&lt;&gt;"Chapter Hunt"),CHOOSE(ArtifactsInput!$N$35+1,15,18,21,24,27,30)*(1-EXP(-(0.2*B2130)*5)),0)+IF(AND(ArtifactsInput!$M$22,Inputs!$B$4&lt;&gt;"Chapter Hunt"),CHOOSE(ArtifactsInput!$N$22+1,10,12,14,16,18,20)*((0*(((0.15*B2130*5))^0/1)+1*(((0.15*B2130*5))^1/1)+2*(((0.15*B2130*5))^2/2)+3*(((0.15*B2130*5))^3/6)+4*(((0.15*B2130*5))^4/24)+5*(((0.15*B2130*5))^5/120))/((((0.15*B2130*5))^0/1)+(((0.15*B2130*5))^1/1)+(((0.15*B2130*5))^2/2)+(((0.15*B2130*5))^3/6)+(((0.15*B2130*5))^4/24)+(((0.15*B2130*5))^5/120))),0)))/100)*(MIN(Skills!R9,Inputs!$B$37)))*((1+(IF(AND(ArtifactsInput!$M$41,Inputs!$B$38&lt;&gt;"pvp"),CHOOSE(ArtifactsInput!$N$41+1,5,6,7,8,9,10)*IF(OR(Inputs!$B$4="Weapon Dungeon",Inputs!$B$4="Equipment Dungeon",Inputs!$B$4="Enhancement Dungeon",Inputs!$B$4="EXP Dungeon",Inputs!$B$4="Hero Dungeon"),3,1),0)+IF(IF(ArtifactsInput!$M$26,FALSE,TRUE),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106">
      <c r="A2106">
        <f>Skills!A10</f>
        <v/>
      </c>
      <c r="B2106">
        <f>Skills!B10</f>
        <v/>
      </c>
      <c r="C2106">
        <f>Inputs!$B$3&gt;=107</f>
        <v/>
      </c>
      <c r="D2106">
        <f>IF(Skills!C10=1,60+Inputs!$B$25+Inputs!$B$29,IF(Skills!C10=2,90+Inputs!$B$26+Inputs!$B$29,IF(Skills!C10=3,120+Inputs!$B$27+Inputs!$B$29,MAX(0,(Inputs!$B$3-100)*3)+Inputs!$B$28+Inputs!$B$29)))</f>
        <v/>
      </c>
      <c r="E2106">
        <f>INDEX(FactorTable!$B$2:$Y$301, MATCH(ROUND(MIN(300,MAX(1,D2106)),0), FactorTable!$A$2:$A$301,0), Skills!M10+1)</f>
        <v/>
      </c>
      <c r="F2106">
        <f>IF(Skills!N10=TRUE,(Skills!L10/10)*(E2106/1000),Skills!L10/10)+Skills!O10</f>
        <v/>
      </c>
      <c r="G2106">
        <f>Skills!G10*IF(Skills!H10&gt;0,Skills!I10/Skills!H10,1)</f>
        <v/>
      </c>
      <c r="H2106">
        <f>1-(1-Skills!J10/100)^Skills!K10</f>
        <v/>
      </c>
      <c r="I2106" t="inlineStr">
        <is>
          <t>1</t>
        </is>
      </c>
      <c r="J2106">
        <f>((Inputs!$B$6*(1+Inputs!$B$7/100))+(((Inputs!$B$12*(1+Inputs!$B$13/100))-(Inputs!$B$12*(1+Inputs!$B$13/100)))+0.25*(Inputs!$B$14-Inputs!$B$14))*(1+Inputs!$B$7/100))*(F2106/100)</f>
        <v/>
      </c>
      <c r="K2106">
        <f>J2106*(1+((Inputs!$B$12*(1+Inputs!$B$13/100))*0.01+Inputs!$B$14*0.0025)/100)*(1+Inputs!$B$15/100)*(1+Inputs!$B$16/100)*(5000/(6000+Inputs!$B$42*(1-(100*(1-(1-(Inputs!$B$19+0)/100)*(1-CHOOSE(ArtifactsInput!$N$40+1,5,6,7,8,9,10)/100)^(ArtifactsInput!$M$40-ArtifactsInput!$M$40)))/100)))*(1+(Inputs!$B$24+((C2120=TRUE)*(F2120-Calc!F24))+((C2121=TRUE)*(F2121-Calc!F25))+B2134)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EMPOWERED_PIERCING_ARROW",Inputs!$B$17+((C2118=TRUE)*(F2118-Calc!F22))+(((IF(AND(ArtifactsInput!$M$42,((Inputs!$B$9+((C2115=TRUE)*(F2115-Calc!F19))+B2128+(ArtifactsInput!$M$24-ArtifactsInput!$M$24)*CHOOSE(ArtifactsInput!$N$24+1,10,12,14,16,18,20)+IF(ArtifactsInput!$M$10,CHOOSE(ArtifactsInput!$N$10+1,15,18,21,24,27,30)*(IF(Inputs!$B$38="pvp",MIN(15,15)/15,IF(AND(Inputs!$B$38&lt;&gt;"pvp",Inputs!$B$43&gt;0),MIN(15,Inputs!$B$43)/(Inputs!$B$43),0))),0)))&gt;=100),MIN(100,((Inputs!$B$9+((C2115=TRUE)*(F2115-Calc!F19))+B2128+(ArtifactsInput!$M$24-ArtifactsInput!$M$24)*CHOOSE(ArtifactsInput!$N$24+1,10,12,14,16,18,20)+IF(ArtifactsInput!$M$10,CHOOSE(ArtifactsInput!$N$10+1,15,18,21,24,27,30)*(IF(Inputs!$B$38="pvp",MIN(15,15)/15,IF(AND(Inputs!$B$38&lt;&gt;"pvp",Inputs!$B$43&gt;0),MIN(15,Inputs!$B$43)/(Inputs!$B$43),0))),0)))-100),0))*CHOOSE(ArtifactsInput!$N$42+1,0.6,0.72,0.84,0.96,1.08,1.2))),Inputs!$B$18+((C2123=TRUE)*(F2123-Calc!F27))+(IF(AND(ArtifactsInput!$M$42,((Inputs!$B$9+((C2115=TRUE)*(F2115-Calc!F19))+B2128+(ArtifactsInput!$M$24-ArtifactsInput!$M$24)*CHOOSE(ArtifactsInput!$N$24+1,10,12,14,16,18,20)+IF(ArtifactsInput!$M$10,CHOOSE(ArtifactsInput!$N$10+1,15,18,21,24,27,30)*(IF(Inputs!$B$38="pvp",MIN(15,15)/15,IF(AND(Inputs!$B$38&lt;&gt;"pvp",Inputs!$B$43&gt;0),MIN(15,Inputs!$B$43)/(Inputs!$B$43),0))),0)))&gt;=100),CHOOSE(ArtifactsInput!$N$42+1,40,48,56,64,72,80),0))))/100)*((1+(((C2109=TRUE)*F2109)+((C2110=TRUE)*IF(Inputs!$B$38="pvp",F2110,(1-Summary!$B$11)*(F2110)+Summary!$B$11*(0)))+((C2111=TRUE)*F2111*IF(AND(Inputs!$B$38&lt;&gt;"pvp",Inputs!$B$43&gt;0),(((R2111-1)*(Skills!T15*(1+Inputs!$B$34/100))+MIN((Skills!T15*(1+Inputs!$B$34/100)),MAX(0,Inputs!$B$43-((R2111-1)*Skills!D15))))/Inputs!$B$43),IF(Inputs!$B$38="pvp",MIN((Skills!T15*(1+Inputs!$B$34/100)),15)/15,(Skills!T15*(1+Inputs!$B$34/100))/Skills!D15)))+((C2108=TRUE)*F2108)+((C2125=TRUE)*(F2125-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2106)</f>
        <v/>
      </c>
      <c r="L2106">
        <f>K2106*(MIN(Inputs!$B$22+((C2119=TRUE)*(F2119-Calc!F23)),(Inputs!$B$23+((C2124=TRUE)*(F2124-Calc!F28))+(IF(ArtifactsInput!$M$15,CHOOSE(ArtifactsInput!$N$15+1,25,30,35,40,45,50)/100*(Inputs!$B$11-Inputs!$B$11),0))))/100+(Inputs!$B$23+((C2124=TRUE)*(F2124-Calc!F28))+(IF(ArtifactsInput!$M$15,CHOOSE(ArtifactsInput!$N$15+1,25,30,35,40,45,50)/100*(Inputs!$B$11-Inputs!$B$11),0)))/100)/2</f>
        <v/>
      </c>
      <c r="M2106">
        <f>L2106*(1+(Inputs!$B$10+0+B2133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106">
        <f>L2106*(1-MIN((Inputs!$B$9+((C2115=TRUE)*(F2115-Calc!F19))+B2128+(ArtifactsInput!$M$24-ArtifactsInput!$M$24)*CHOOSE(ArtifactsInput!$N$24+1,10,12,14,16,18,20)+(IF(AND(ArtifactsInput!$M$42,((Inputs!$B$9+((C2115=TRUE)*(F2115-Calc!F19))+B2128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2106*(MIN((Inputs!$B$9+((C2115=TRUE)*(F2115-Calc!F19))+B2128+(ArtifactsInput!$M$24-ArtifactsInput!$M$24)*CHOOSE(ArtifactsInput!$N$24+1,10,12,14,16,18,20)+(IF(AND(ArtifactsInput!$M$42,((Inputs!$B$9+((C2115=TRUE)*(F2115-Calc!F19))+B2128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106">
        <f>(1-Summary!$B$11)*T2106+Summary!$B$11*V2106</f>
        <v/>
      </c>
      <c r="P2106">
        <f>IF(B2138=0,0,O2106/B2138)</f>
        <v/>
      </c>
      <c r="Q2106" t="n">
        <v>0</v>
      </c>
      <c r="R2106" t="n">
        <v>0</v>
      </c>
      <c r="S2106" t="n">
        <v>0</v>
      </c>
      <c r="T2106">
        <f>IF(C2106,(0.15*SUMPRODUCT((Skills!U2:U29=TRUE)*(C2098:C2125=TRUE)*S2098:S2125)*Skills!G10*N2106)*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Hunt"),CHOOSE(ArtifactsInput!$N$35+1,15,18,21,24,27,30)*(1-EXP(-(0.2*B2130)*5)),0)+IF(AND(ArtifactsInput!$M$22,Inputs!$B$4&lt;&gt;"Chapter Hunt"),CHOOSE(ArtifactsInput!$N$22+1,10,12,14,16,18,20)*((0*(((0.15*B2130*5))^0/1)+1*(((0.15*B2130*5))^1/1)+2*(((0.15*B2130*5))^2/2)+3*(((0.15*B2130*5))^3/6)+4*(((0.15*B2130*5))^4/24)+5*(((0.15*B2130*5))^5/120))/((((0.15*B2130*5))^0/1)+(((0.15*B2130*5))^1/1)+(((0.15*B2130*5))^2/2)+(((0.15*B2130*5))^3/6)+(((0.15*B2130*5))^4/24)+(((0.15*B2130*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2106*(1-MIN(100,(Inputs!$B$9+((C2115=TRUE)*(F2115-Calc!F19))+B2128+(ArtifactsInput!$M$24-ArtifactsInput!$M$24)*CHOOSE(ArtifactsInput!$N$24+1,10,12,14,16,18,20)+(IF(AND(ArtifactsInput!$M$42,((Inputs!$B$9+((C2115=TRUE)*(F2115-Calc!F19))+B2128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2106*(MIN(100,(Inputs!$B$9+((C2115=TRUE)*(F2115-Calc!F19))+B2128+(ArtifactsInput!$M$24-ArtifactsInput!$M$24)*CHOOSE(ArtifactsInput!$N$24+1,10,12,14,16,18,20)+(IF(AND(ArtifactsInput!$M$42,((Inputs!$B$9+((C2115=TRUE)*(F2115-Calc!F19))+B2128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2106*(1-MIN(100,(Inputs!$B$9+((C2115=TRUE)*(F2115-Calc!F19))+B2128+(ArtifactsInput!$M$24-ArtifactsInput!$M$24)*CHOOSE(ArtifactsInput!$N$24+1,10,12,14,16,18,20)+(IF(AND(ArtifactsInput!$M$42,((Inputs!$B$9+((C2115=TRUE)*(F2115-Calc!F19))+B2128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2106*(MIN(100,(Inputs!$B$9+((C2115=TRUE)*(F2115-Calc!F19))+B2128+(ArtifactsInput!$M$24-ArtifactsInput!$M$24)*CHOOSE(ArtifactsInput!$N$24+1,10,12,14,16,18,20)+(IF(AND(ArtifactsInput!$M$42,((Inputs!$B$9+((C2115=TRUE)*(F2115-Calc!F19))+B2128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IF(ArtifactsInput!$M$26,FALSE,TRUE),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106">
        <f>IF(C2106,(0.15*SUMPRODUCT((Skills!U2:U29=TRUE)*(C2098:C2125=TRUE)*S2098:S2125)*Skills!G10*N2106)*IF(Inputs!$B$38="pvp",1,(1+(Inputs!$B$21+Skills!Q10+(IF(ArtifactsInput!$M$33,CHOOSE(ArtifactsInput!$N$33+1,30,36,42,48,54,60),0))+(IF(AND(ArtifactsInput!$M$35,Inputs!$B$4&lt;&gt;"Chapter Hunt"),CHOOSE(ArtifactsInput!$N$35+1,15,18,21,24,27,30)*(1-EXP(-(0.2*B2130)*5)),0)+IF(AND(ArtifactsInput!$M$22,Inputs!$B$4&lt;&gt;"Chapter Hunt"),CHOOSE(ArtifactsInput!$N$22+1,10,12,14,16,18,20)*((0*(((0.15*B2130*5))^0/1)+1*(((0.15*B2130*5))^1/1)+2*(((0.15*B2130*5))^2/2)+3*(((0.15*B2130*5))^3/6)+4*(((0.15*B2130*5))^4/24)+5*(((0.15*B2130*5))^5/120))/((((0.15*B2130*5))^0/1)+(((0.15*B2130*5))^1/1)+(((0.15*B2130*5))^2/2)+(((0.15*B2130*5))^3/6)+(((0.15*B2130*5))^4/24)+(((0.15*B2130*5))^5/120))),0)))/100)*(MIN(Skills!R10,Inputs!$B$37)))*((1+(IF(AND(ArtifactsInput!$M$41,Inputs!$B$38&lt;&gt;"pvp"),CHOOSE(ArtifactsInput!$N$41+1,5,6,7,8,9,10)*IF(OR(Inputs!$B$4="Weapon Dungeon",Inputs!$B$4="Equipment Dungeon",Inputs!$B$4="Enhancement Dungeon",Inputs!$B$4="EXP Dungeon",Inputs!$B$4="Hero Dungeon"),3,1),0)+IF(IF(ArtifactsInput!$M$26,FALSE,TRUE),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107">
      <c r="A2107">
        <f>Skills!A11</f>
        <v/>
      </c>
      <c r="B2107">
        <f>Skills!B11</f>
        <v/>
      </c>
      <c r="C2107">
        <f>Inputs!$B$3&gt;=110</f>
        <v/>
      </c>
      <c r="D2107">
        <f>IF(Skills!C11=1,60+Inputs!$B$25+Inputs!$B$29,IF(Skills!C11=2,90+Inputs!$B$26+Inputs!$B$29,IF(Skills!C11=3,120+Inputs!$B$27+Inputs!$B$29,MAX(0,(Inputs!$B$3-100)*3)+Inputs!$B$28+Inputs!$B$29)))</f>
        <v/>
      </c>
      <c r="E2107">
        <f>INDEX(FactorTable!$B$2:$Y$301, MATCH(ROUND(MIN(300,MAX(1,D2107)),0), FactorTable!$A$2:$A$301,0), Skills!M11+1)</f>
        <v/>
      </c>
      <c r="F2107">
        <f>IF(Skills!N11=TRUE,(Skills!L11/10)*(E2107/1000),Skills!L11/10)+Skills!O11</f>
        <v/>
      </c>
      <c r="G2107">
        <f>Skills!G11*IF(Skills!H11&gt;0,Skills!I11/Skills!H11,1)</f>
        <v/>
      </c>
      <c r="H2107">
        <f>1-(1-Skills!J11/100)^Skills!K11</f>
        <v/>
      </c>
      <c r="I2107" t="inlineStr">
        <is>
          <t>1</t>
        </is>
      </c>
      <c r="J2107">
        <f>((Inputs!$B$6*(1+Inputs!$B$7/100))+(((Inputs!$B$12*(1+Inputs!$B$13/100))-(Inputs!$B$12*(1+Inputs!$B$13/100)))+0.25*(Inputs!$B$14-Inputs!$B$14))*(1+Inputs!$B$7/100))*(F2107/100)</f>
        <v/>
      </c>
      <c r="K2107">
        <f>J2107*(1+((Inputs!$B$12*(1+Inputs!$B$13/100))*0.01+Inputs!$B$14*0.0025)/100)*(1+Inputs!$B$15/100)*(1+Inputs!$B$16/100)*(5000/(6000+Inputs!$B$42*(1-(100*(1-(1-(Inputs!$B$19+0)/100)*(1-CHOOSE(ArtifactsInput!$N$40+1,5,6,7,8,9,10)/100)^(ArtifactsInput!$M$40-ArtifactsInput!$M$40)))/100)))*(1+(Inputs!$B$24+((C2120=TRUE)*(F2120-Calc!F24))+((C2121=TRUE)*(F2121-Calc!F25))+B2134)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11="EMPOWERED_PIERCING_ARROW",Inputs!$B$17+((C2118=TRUE)*(F2118-Calc!F22))+(((IF(AND(ArtifactsInput!$M$42,((Inputs!$B$9+((C2115=TRUE)*(F2115-Calc!F19))+B2128+(ArtifactsInput!$M$24-ArtifactsInput!$M$24)*CHOOSE(ArtifactsInput!$N$24+1,10,12,14,16,18,20)+IF(ArtifactsInput!$M$10,CHOOSE(ArtifactsInput!$N$10+1,15,18,21,24,27,30)*(IF(Inputs!$B$38="pvp",MIN(15,15)/15,IF(AND(Inputs!$B$38&lt;&gt;"pvp",Inputs!$B$43&gt;0),MIN(15,Inputs!$B$43)/(Inputs!$B$43),0))),0)))&gt;=100),MIN(100,((Inputs!$B$9+((C2115=TRUE)*(F2115-Calc!F19))+B2128+(ArtifactsInput!$M$24-ArtifactsInput!$M$24)*CHOOSE(ArtifactsInput!$N$24+1,10,12,14,16,18,20)+IF(ArtifactsInput!$M$10,CHOOSE(ArtifactsInput!$N$10+1,15,18,21,24,27,30)*(IF(Inputs!$B$38="pvp",MIN(15,15)/15,IF(AND(Inputs!$B$38&lt;&gt;"pvp",Inputs!$B$43&gt;0),MIN(15,Inputs!$B$43)/(Inputs!$B$43),0))),0)))-100),0))*CHOOSE(ArtifactsInput!$N$42+1,0.6,0.72,0.84,0.96,1.08,1.2))),Inputs!$B$18+((C2123=TRUE)*(F2123-Calc!F27))+(IF(AND(ArtifactsInput!$M$42,((Inputs!$B$9+((C2115=TRUE)*(F2115-Calc!F19))+B2128+(ArtifactsInput!$M$24-ArtifactsInput!$M$24)*CHOOSE(ArtifactsInput!$N$24+1,10,12,14,16,18,20)+IF(ArtifactsInput!$M$10,CHOOSE(ArtifactsInput!$N$10+1,15,18,21,24,27,30)*(IF(Inputs!$B$38="pvp",MIN(15,15)/15,IF(AND(Inputs!$B$38&lt;&gt;"pvp",Inputs!$B$43&gt;0),MIN(15,Inputs!$B$43)/(Inputs!$B$43),0))),0)))&gt;=100),CHOOSE(ArtifactsInput!$N$42+1,40,48,56,64,72,80),0))))/100)*((1+(((C2109=TRUE)*F2109)+((C2110=TRUE)*IF(Inputs!$B$38="pvp",F2110,(1-Summary!$B$11)*(F2110)+Summary!$B$11*(0)))+((C2111=TRUE)*F2111*IF(AND(Inputs!$B$38&lt;&gt;"pvp",Inputs!$B$43&gt;0),(((R2111-1)*(Skills!T15*(1+Inputs!$B$34/100))+MIN((Skills!T15*(1+Inputs!$B$34/100)),MAX(0,Inputs!$B$43-((R2111-1)*Skills!D15))))/Inputs!$B$43),IF(Inputs!$B$38="pvp",MIN((Skills!T15*(1+Inputs!$B$34/100)),15)/15,(Skills!T15*(1+Inputs!$B$34/100))/Skills!D15)))+((C2108=TRUE)*F2108)+((C2125=TRUE)*(F2125-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2107)</f>
        <v/>
      </c>
      <c r="L2107">
        <f>K2107*(MIN(Inputs!$B$22+((C2119=TRUE)*(F2119-Calc!F23)),(Inputs!$B$23+((C2124=TRUE)*(F2124-Calc!F28))+(IF(ArtifactsInput!$M$15,CHOOSE(ArtifactsInput!$N$15+1,25,30,35,40,45,50)/100*(Inputs!$B$11-Inputs!$B$11),0))))/100+(Inputs!$B$23+((C2124=TRUE)*(F2124-Calc!F28))+(IF(ArtifactsInput!$M$15,CHOOSE(ArtifactsInput!$N$15+1,25,30,35,40,45,50)/100*(Inputs!$B$11-Inputs!$B$11),0)))/100)/2</f>
        <v/>
      </c>
      <c r="M2107">
        <f>L2107*(1+(Inputs!$B$10+0+B2133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107">
        <f>L2107*(1-MIN((Inputs!$B$9+((C2115=TRUE)*(F2115-Calc!F19))+B2128+(ArtifactsInput!$M$24-ArtifactsInput!$M$24)*CHOOSE(ArtifactsInput!$N$24+1,10,12,14,16,18,20)+(IF(AND(ArtifactsInput!$M$42,((Inputs!$B$9+((C2115=TRUE)*(F2115-Calc!F19))+B2128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2107*(MIN((Inputs!$B$9+((C2115=TRUE)*(F2115-Calc!F19))+B2128+(ArtifactsInput!$M$24-ArtifactsInput!$M$24)*CHOOSE(ArtifactsInput!$N$24+1,10,12,14,16,18,20)+(IF(AND(ArtifactsInput!$M$42,((Inputs!$B$9+((C2115=TRUE)*(F2115-Calc!F19))+B2128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107">
        <f>(1-Summary!$B$11)*T2107+Summary!$B$11*V2107</f>
        <v/>
      </c>
      <c r="P2107">
        <f>IF(B2138=0,0,O2107/B2138)</f>
        <v/>
      </c>
      <c r="Q2107">
        <f>IFERROR(1/IF(Inputs!$B$38="pvp",15,MAX(0.1,Skills!D11-IF(Skills!E11=TRUE,Inputs!$B$32,0))),0)</f>
        <v/>
      </c>
      <c r="R2107">
        <f>IF(AND(Inputs!$B$38&lt;&gt;"pvp",Inputs!$B$43&gt;0),IF(MAX(0,Inputs!$B$43-B2135)&lt;=0,0,(INT(MAX(0,Inputs!$B$43-B2135)/IF(Inputs!$B$38="pvp",15,MAX(0.1,Skills!D11-IF(Skills!E11=TRUE,Inputs!$B$32,0))))+1)),0)</f>
        <v/>
      </c>
      <c r="S2107">
        <f>IFERROR((H2107*N2107*IF(AND(Inputs!$B$38&lt;&gt;"pvp",Inputs!$B$43&gt;0),((Skills!G11*((R2107-1)*IF(Skills!H11&gt;0,Skills!I11/Skills!H11,1)+IF(Skills!H11&gt;0,MIN(Skills!I11,MAX(0,MAX(0,Inputs!$B$43-B2135)-((R2107-1)*IF(Inputs!$B$38="pvp",15,MAX(0.1,Skills!D11-IF(Skills!E11=TRUE,Inputs!$B$32,0))))))/Skills!H11,1)))/Inputs!$B$43),G2107*Q2107))/N2107*IF(Inputs!$B$38="pvp",1,(1-Summary!$B$11)*1+Summary!$B$11*(MIN(Skills!R11,Inputs!$B$37))),0)</f>
        <v/>
      </c>
      <c r="T2107">
        <f>IF(C2107,(H2107*N2107*IF(AND(Inputs!$B$38&lt;&gt;"pvp",Inputs!$B$43&gt;0),((Skills!G11*((R2107-1)*IF(Skills!H11&gt;0,Skills!I11/Skills!H11,1)+IF(Skills!H11&gt;0,MIN(Skills!I11,MAX(0,MAX(0,Inputs!$B$43-B2135)-((R2107-1)*IF(Inputs!$B$38="pvp",15,MAX(0.1,Skills!D11-IF(Skills!E11=TRUE,Inputs!$B$32,0))))))/Skills!H11,1)))/Inputs!$B$43),G2107*Q2107))*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Hunt"),CHOOSE(ArtifactsInput!$N$35+1,15,18,21,24,27,30)*(1-EXP(-(0.2*B2130)*5)),0)+IF(AND(ArtifactsInput!$M$22,Inputs!$B$4&lt;&gt;"Chapter Hunt"),CHOOSE(ArtifactsInput!$N$22+1,10,12,14,16,18,20)*((0*(((0.15*B2130*5))^0/1)+1*(((0.15*B2130*5))^1/1)+2*(((0.15*B2130*5))^2/2)+3*(((0.15*B2130*5))^3/6)+4*(((0.15*B2130*5))^4/24)+5*(((0.15*B2130*5))^5/120))/((((0.15*B2130*5))^0/1)+(((0.15*B2130*5))^1/1)+(((0.15*B2130*5))^2/2)+(((0.15*B2130*5))^3/6)+(((0.15*B2130*5))^4/24)+(((0.15*B2130*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2107*(1-MIN(100,(Inputs!$B$9+((C2115=TRUE)*(F2115-Calc!F19))+B2128+(ArtifactsInput!$M$24-ArtifactsInput!$M$24)*CHOOSE(ArtifactsInput!$N$24+1,10,12,14,16,18,20)+(IF(AND(ArtifactsInput!$M$42,((Inputs!$B$9+((C2115=TRUE)*(F2115-Calc!F19))+B2128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2107*(MIN(100,(Inputs!$B$9+((C2115=TRUE)*(F2115-Calc!F19))+B2128+(ArtifactsInput!$M$24-ArtifactsInput!$M$24)*CHOOSE(ArtifactsInput!$N$24+1,10,12,14,16,18,20)+(IF(AND(ArtifactsInput!$M$42,((Inputs!$B$9+((C2115=TRUE)*(F2115-Calc!F19))+B2128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2107*(1-MIN(100,(Inputs!$B$9+((C2115=TRUE)*(F2115-Calc!F19))+B2128+(ArtifactsInput!$M$24-ArtifactsInput!$M$24)*CHOOSE(ArtifactsInput!$N$24+1,10,12,14,16,18,20)+(IF(AND(ArtifactsInput!$M$42,((Inputs!$B$9+((C2115=TRUE)*(F2115-Calc!F19))+B2128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2107*(MIN(100,(Inputs!$B$9+((C2115=TRUE)*(F2115-Calc!F19))+B2128+(ArtifactsInput!$M$24-ArtifactsInput!$M$24)*CHOOSE(ArtifactsInput!$N$24+1,10,12,14,16,18,20)+(IF(AND(ArtifactsInput!$M$42,((Inputs!$B$9+((C2115=TRUE)*(F2115-Calc!F19))+B2128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IF(ArtifactsInput!$M$26,FALSE,TRUE),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107">
        <f>IF(C2107,(H2107*N2107*IF(AND(Inputs!$B$38&lt;&gt;"pvp",Inputs!$B$43&gt;0),((Skills!G11*((R2107-1)*IF(Skills!H11&gt;0,Skills!I11/Skills!H11,1)+IF(Skills!H11&gt;0,MIN(Skills!I11,MAX(0,MAX(0,Inputs!$B$43-B2135)-((R2107-1)*IF(Inputs!$B$38="pvp",15,MAX(0.1,Skills!D11-IF(Skills!E11=TRUE,Inputs!$B$32,0))))))/Skills!H11,1)))/Inputs!$B$43),G2107*Q2107))*IF(Inputs!$B$38="pvp",1,(1+(Inputs!$B$21+Skills!Q11+(IF(ArtifactsInput!$M$33,CHOOSE(ArtifactsInput!$N$33+1,30,36,42,48,54,60),0))+(IF(AND(ArtifactsInput!$M$35,Inputs!$B$4&lt;&gt;"Chapter Hunt"),CHOOSE(ArtifactsInput!$N$35+1,15,18,21,24,27,30)*(1-EXP(-(0.2*B2130)*5)),0)+IF(AND(ArtifactsInput!$M$22,Inputs!$B$4&lt;&gt;"Chapter Hunt"),CHOOSE(ArtifactsInput!$N$22+1,10,12,14,16,18,20)*((0*(((0.15*B2130*5))^0/1)+1*(((0.15*B2130*5))^1/1)+2*(((0.15*B2130*5))^2/2)+3*(((0.15*B2130*5))^3/6)+4*(((0.15*B2130*5))^4/24)+5*(((0.15*B2130*5))^5/120))/((((0.15*B2130*5))^0/1)+(((0.15*B2130*5))^1/1)+(((0.15*B2130*5))^2/2)+(((0.15*B2130*5))^3/6)+(((0.15*B2130*5))^4/24)+(((0.15*B2130*5))^5/120))),0)))/100)*(MIN(Skills!R11,Inputs!$B$37)))*((1+(IF(AND(ArtifactsInput!$M$41,Inputs!$B$38&lt;&gt;"pvp"),CHOOSE(ArtifactsInput!$N$41+1,5,6,7,8,9,10)*IF(OR(Inputs!$B$4="Weapon Dungeon",Inputs!$B$4="Equipment Dungeon",Inputs!$B$4="Enhancement Dungeon",Inputs!$B$4="EXP Dungeon",Inputs!$B$4="Hero Dungeon"),3,1),0)+IF(IF(ArtifactsInput!$M$26,FALSE,TRUE),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108">
      <c r="A2108">
        <f>Skills!A12</f>
        <v/>
      </c>
      <c r="B2108">
        <f>Skills!B12</f>
        <v/>
      </c>
      <c r="C2108">
        <f>Inputs!$B$3&gt;=60</f>
        <v/>
      </c>
      <c r="D2108">
        <f>IF(Skills!C12=1,60+Inputs!$B$25+Inputs!$B$29,IF(Skills!C12=2,90+Inputs!$B$26+Inputs!$B$29,IF(Skills!C12=3,120+Inputs!$B$27+Inputs!$B$29,MAX(0,(Inputs!$B$3-100)*3)+Inputs!$B$28+Inputs!$B$29)))</f>
        <v/>
      </c>
      <c r="E2108">
        <f>INDEX(FactorTable!$B$2:$Y$301, MATCH(ROUND(MIN(300,MAX(1,D2108)),0), FactorTable!$A$2:$A$301,0), Skills!M12+1)</f>
        <v/>
      </c>
      <c r="F2108">
        <f>IF(Skills!N12=TRUE,(Skills!L12/10)*(E2108/1000),Skills!L12/10)+Skills!O12</f>
        <v/>
      </c>
      <c r="G2108">
        <f>Skills!G12*IF(Skills!H12&gt;0,Skills!I12/Skills!H12,1)</f>
        <v/>
      </c>
      <c r="H2108">
        <f>1-(1-Skills!J12/100)^Skills!K12</f>
        <v/>
      </c>
      <c r="I2108" t="inlineStr">
        <is>
          <t>1</t>
        </is>
      </c>
      <c r="J2108" t="inlineStr"/>
      <c r="K2108" t="inlineStr"/>
      <c r="L2108" t="inlineStr"/>
      <c r="M2108" t="inlineStr"/>
      <c r="N2108" t="inlineStr"/>
      <c r="O2108">
        <f>(1-Summary!$B$11)*T2108+Summary!$B$11*V2108</f>
        <v/>
      </c>
      <c r="P2108">
        <f>IF(B2138=0,0,O2108/B2138)</f>
        <v/>
      </c>
      <c r="Q2108" t="n">
        <v>0</v>
      </c>
      <c r="R2108" t="n">
        <v>0</v>
      </c>
      <c r="S2108" t="n">
        <v>0</v>
      </c>
      <c r="T2108" t="n">
        <v>0</v>
      </c>
      <c r="V2108" t="n">
        <v>0</v>
      </c>
    </row>
    <row r="2109">
      <c r="A2109">
        <f>Skills!A13</f>
        <v/>
      </c>
      <c r="B2109">
        <f>Skills!B13</f>
        <v/>
      </c>
      <c r="C2109">
        <f>Inputs!$B$3&gt;=74</f>
        <v/>
      </c>
      <c r="D2109">
        <f>IF(Skills!C13=1,60+Inputs!$B$25+Inputs!$B$29,IF(Skills!C13=2,90+Inputs!$B$26+Inputs!$B$29,IF(Skills!C13=3,120+Inputs!$B$27+Inputs!$B$29,MAX(0,(Inputs!$B$3-100)*3)+Inputs!$B$28+Inputs!$B$29)))</f>
        <v/>
      </c>
      <c r="E2109">
        <f>INDEX(FactorTable!$B$2:$Y$301, MATCH(ROUND(MIN(300,MAX(1,D2109)),0), FactorTable!$A$2:$A$301,0), Skills!M13+1)</f>
        <v/>
      </c>
      <c r="F2109">
        <f>IF(Skills!N13=TRUE,(Skills!L13/10)*(E2109/1000),Skills!L13/10)+Skills!O13</f>
        <v/>
      </c>
      <c r="G2109">
        <f>Skills!G13*IF(Skills!H13&gt;0,Skills!I13/Skills!H13,1)</f>
        <v/>
      </c>
      <c r="H2109">
        <f>1-(1-Skills!J13/100)^Skills!K13</f>
        <v/>
      </c>
      <c r="I2109" t="inlineStr">
        <is>
          <t>1</t>
        </is>
      </c>
      <c r="J2109" t="inlineStr"/>
      <c r="K2109" t="inlineStr"/>
      <c r="L2109" t="inlineStr"/>
      <c r="M2109" t="inlineStr"/>
      <c r="N2109" t="inlineStr"/>
      <c r="O2109">
        <f>(1-Summary!$B$11)*T2109+Summary!$B$11*V2109</f>
        <v/>
      </c>
      <c r="P2109">
        <f>IF(B2138=0,0,O2109/B2138)</f>
        <v/>
      </c>
      <c r="Q2109" t="n">
        <v>0</v>
      </c>
      <c r="R2109" t="n">
        <v>0</v>
      </c>
      <c r="S2109" t="n">
        <v>0</v>
      </c>
      <c r="T2109" t="n">
        <v>0</v>
      </c>
      <c r="V2109" t="n">
        <v>0</v>
      </c>
    </row>
    <row r="2110">
      <c r="A2110">
        <f>Skills!A14</f>
        <v/>
      </c>
      <c r="B2110">
        <f>Skills!B14</f>
        <v/>
      </c>
      <c r="C2110">
        <f>Inputs!$B$3&gt;=74</f>
        <v/>
      </c>
      <c r="D2110">
        <f>IF(Skills!C14=1,60+Inputs!$B$25+Inputs!$B$29,IF(Skills!C14=2,90+Inputs!$B$26+Inputs!$B$29,IF(Skills!C14=3,120+Inputs!$B$27+Inputs!$B$29,MAX(0,(Inputs!$B$3-100)*3)+Inputs!$B$28+Inputs!$B$29)))</f>
        <v/>
      </c>
      <c r="E2110">
        <f>INDEX(FactorTable!$B$2:$Y$301, MATCH(ROUND(MIN(300,MAX(1,D2110)),0), FactorTable!$A$2:$A$301,0), Skills!M14+1)</f>
        <v/>
      </c>
      <c r="F2110">
        <f>IF(Skills!N14=TRUE,(Skills!L14/10)*(E2110/1000),Skills!L14/10)+Skills!O14</f>
        <v/>
      </c>
      <c r="G2110">
        <f>Skills!G14*IF(Skills!H14&gt;0,Skills!I14/Skills!H14,1)</f>
        <v/>
      </c>
      <c r="H2110">
        <f>1-(1-Skills!J14/100)^Skills!K14</f>
        <v/>
      </c>
      <c r="I2110" t="inlineStr">
        <is>
          <t>1</t>
        </is>
      </c>
      <c r="J2110" t="inlineStr"/>
      <c r="K2110" t="inlineStr"/>
      <c r="L2110" t="inlineStr"/>
      <c r="M2110" t="inlineStr"/>
      <c r="N2110" t="inlineStr"/>
      <c r="O2110">
        <f>(1-Summary!$B$11)*T2110+Summary!$B$11*V2110</f>
        <v/>
      </c>
      <c r="P2110">
        <f>IF(B2138=0,0,O2110/B2138)</f>
        <v/>
      </c>
      <c r="Q2110" t="n">
        <v>0</v>
      </c>
      <c r="R2110" t="n">
        <v>0</v>
      </c>
      <c r="S2110" t="n">
        <v>0</v>
      </c>
      <c r="T2110" t="n">
        <v>0</v>
      </c>
      <c r="V2110" t="n">
        <v>0</v>
      </c>
    </row>
    <row r="2111">
      <c r="A2111">
        <f>Skills!A15</f>
        <v/>
      </c>
      <c r="B2111">
        <f>Skills!B15</f>
        <v/>
      </c>
      <c r="C2111">
        <f>Inputs!$B$3&gt;=117</f>
        <v/>
      </c>
      <c r="D2111">
        <f>IF(Skills!C15=1,60+Inputs!$B$25+Inputs!$B$29,IF(Skills!C15=2,90+Inputs!$B$26+Inputs!$B$29,IF(Skills!C15=3,120+Inputs!$B$27+Inputs!$B$29,MAX(0,(Inputs!$B$3-100)*3)+Inputs!$B$28+Inputs!$B$29)))</f>
        <v/>
      </c>
      <c r="E2111">
        <f>INDEX(FactorTable!$B$2:$Y$301, MATCH(ROUND(MIN(300,MAX(1,D2111)),0), FactorTable!$A$2:$A$301,0), Skills!M15+1)</f>
        <v/>
      </c>
      <c r="F2111">
        <f>IF(Skills!N15=TRUE,(Skills!L15/10)*(E2111/1000),Skills!L15/10)+Skills!O15</f>
        <v/>
      </c>
      <c r="G2111">
        <f>Skills!G15*IF(Skills!H15&gt;0,Skills!I15/Skills!H15,1)</f>
        <v/>
      </c>
      <c r="H2111">
        <f>1-(1-Skills!J15/100)^Skills!K15</f>
        <v/>
      </c>
      <c r="I2111" t="inlineStr">
        <is>
          <t>1</t>
        </is>
      </c>
      <c r="J2111" t="inlineStr"/>
      <c r="K2111" t="inlineStr"/>
      <c r="L2111" t="inlineStr"/>
      <c r="M2111" t="inlineStr"/>
      <c r="N2111" t="inlineStr"/>
      <c r="O2111">
        <f>(1-Summary!$B$11)*T2111+Summary!$B$11*V2111</f>
        <v/>
      </c>
      <c r="P2111">
        <f>IF(B2138=0,0,O2111/B2138)</f>
        <v/>
      </c>
      <c r="Q2111">
        <f>IFERROR(1/IF(Inputs!$B$38="pvp",15,MAX(0.1,Skills!D15-IF(Skills!E15=TRUE,Inputs!$B$32,0))),0)</f>
        <v/>
      </c>
      <c r="R2111">
        <f>IF(AND(Inputs!$B$38&lt;&gt;"pvp",Inputs!$B$43&gt;0),IF(Inputs!$B$43&lt;=0,0,(INT(Inputs!$B$43/IF(Inputs!$B$38="pvp",15,MAX(0.1,Skills!D15-IF(Skills!E15=TRUE,Inputs!$B$32,0))))+1)),0)</f>
        <v/>
      </c>
      <c r="S2111" t="n">
        <v>0</v>
      </c>
      <c r="T2111" t="n">
        <v>0</v>
      </c>
      <c r="V2111" t="n">
        <v>0</v>
      </c>
    </row>
    <row r="2112">
      <c r="A2112">
        <f>Skills!A16</f>
        <v/>
      </c>
      <c r="B2112">
        <f>Skills!B16</f>
        <v/>
      </c>
      <c r="C2112">
        <f>Inputs!$B$3&gt;=115</f>
        <v/>
      </c>
      <c r="D2112">
        <f>IF(Skills!C16=1,60+Inputs!$B$25+Inputs!$B$29,IF(Skills!C16=2,90+Inputs!$B$26+Inputs!$B$29,IF(Skills!C16=3,120+Inputs!$B$27+Inputs!$B$29,MAX(0,(Inputs!$B$3-100)*3)+Inputs!$B$28+Inputs!$B$29)))</f>
        <v/>
      </c>
      <c r="E2112">
        <f>INDEX(FactorTable!$B$2:$Y$301, MATCH(ROUND(MIN(300,MAX(1,D2112)),0), FactorTable!$A$2:$A$301,0), Skills!M16+1)</f>
        <v/>
      </c>
      <c r="F2112">
        <f>IF(Skills!N16=TRUE,(Skills!L16/10)*(E2112/1000),Skills!L16/10)+Skills!O16</f>
        <v/>
      </c>
      <c r="G2112">
        <f>Skills!G16*IF(Skills!H16&gt;0,Skills!I16/Skills!H16,1)</f>
        <v/>
      </c>
      <c r="H2112">
        <f>1-(1-Skills!J16/100)^Skills!K16</f>
        <v/>
      </c>
      <c r="I2112" t="inlineStr">
        <is>
          <t>1</t>
        </is>
      </c>
      <c r="J2112" t="inlineStr"/>
      <c r="K2112" t="inlineStr"/>
      <c r="L2112" t="inlineStr"/>
      <c r="M2112" t="inlineStr"/>
      <c r="N2112" t="inlineStr"/>
      <c r="O2112">
        <f>(1-Summary!$B$11)*T2112+Summary!$B$11*V2112</f>
        <v/>
      </c>
      <c r="P2112">
        <f>IF(B2138=0,0,O2112/B2138)</f>
        <v/>
      </c>
      <c r="Q2112">
        <f>IFERROR(1/IF(Inputs!$B$38="pvp",15,MAX(0.1,Skills!D16-IF(Skills!E16=TRUE,Inputs!$B$32,0))),0)</f>
        <v/>
      </c>
      <c r="R2112">
        <f>IF(AND(Inputs!$B$38&lt;&gt;"pvp",Inputs!$B$43&gt;0),IF(Inputs!$B$43&lt;=0,0,(INT(Inputs!$B$43/IF(Inputs!$B$38="pvp",15,MAX(0.1,Skills!D16-IF(Skills!E16=TRUE,Inputs!$B$32,0))))+1)),0)</f>
        <v/>
      </c>
      <c r="S2112" t="n">
        <v>0</v>
      </c>
      <c r="T2112" t="n">
        <v>0</v>
      </c>
      <c r="V2112" t="n">
        <v>0</v>
      </c>
    </row>
    <row r="2113">
      <c r="A2113">
        <f>Skills!A17</f>
        <v/>
      </c>
      <c r="B2113">
        <f>Skills!B17</f>
        <v/>
      </c>
      <c r="C2113">
        <f>Inputs!$B$3&gt;=72</f>
        <v/>
      </c>
      <c r="D2113">
        <f>IF(Skills!C17=1,60+Inputs!$B$25+Inputs!$B$29,IF(Skills!C17=2,90+Inputs!$B$26+Inputs!$B$29,IF(Skills!C17=3,120+Inputs!$B$27+Inputs!$B$29,MAX(0,(Inputs!$B$3-100)*3)+Inputs!$B$28+Inputs!$B$29)))</f>
        <v/>
      </c>
      <c r="E2113">
        <f>INDEX(FactorTable!$B$2:$Y$301, MATCH(ROUND(MIN(300,MAX(1,D2113)),0), FactorTable!$A$2:$A$301,0), Skills!M17+1)</f>
        <v/>
      </c>
      <c r="F2113">
        <f>IF(Skills!N17=TRUE,(Skills!L17/10)*(E2113/1000),Skills!L17/10)+Skills!O17</f>
        <v/>
      </c>
      <c r="G2113">
        <f>Skills!G17*IF(Skills!H17&gt;0,Skills!I17/Skills!H17,1)</f>
        <v/>
      </c>
      <c r="H2113">
        <f>1-(1-Skills!J17/100)^Skills!K17</f>
        <v/>
      </c>
      <c r="I2113" t="inlineStr">
        <is>
          <t>1</t>
        </is>
      </c>
      <c r="J2113" t="inlineStr"/>
      <c r="K2113" t="inlineStr"/>
      <c r="L2113" t="inlineStr"/>
      <c r="M2113" t="inlineStr"/>
      <c r="N2113" t="inlineStr"/>
      <c r="O2113">
        <f>(1-Summary!$B$11)*T2113+Summary!$B$11*V2113</f>
        <v/>
      </c>
      <c r="P2113">
        <f>IF(B2138=0,0,O2113/B2138)</f>
        <v/>
      </c>
      <c r="Q2113" t="n">
        <v>0</v>
      </c>
      <c r="R2113" t="n">
        <v>0</v>
      </c>
      <c r="S2113" t="n">
        <v>0</v>
      </c>
      <c r="T2113" t="n">
        <v>0</v>
      </c>
      <c r="V2113" t="n">
        <v>0</v>
      </c>
    </row>
    <row r="2114">
      <c r="A2114">
        <f>Skills!A18</f>
        <v/>
      </c>
      <c r="B2114">
        <f>Skills!B18</f>
        <v/>
      </c>
      <c r="C2114">
        <f>TRUE</f>
        <v/>
      </c>
      <c r="D2114">
        <f>IF(Skills!C18=1,60+Inputs!$B$25+Inputs!$B$29,IF(Skills!C18=2,90+Inputs!$B$26+Inputs!$B$29,IF(Skills!C18=3,120+Inputs!$B$27+Inputs!$B$29,MAX(0,(Inputs!$B$3-100)*3)+Inputs!$B$28+Inputs!$B$29)))</f>
        <v/>
      </c>
      <c r="E2114">
        <f>INDEX(FactorTable!$B$2:$Y$301, MATCH(ROUND(MIN(300,MAX(1,D2114)),0), FactorTable!$A$2:$A$301,0), Skills!M18+1)</f>
        <v/>
      </c>
      <c r="F2114">
        <f>IF(Skills!N18=TRUE,(Skills!L18/10)*(E2114/1000),Skills!L18/10)+Skills!O18</f>
        <v/>
      </c>
      <c r="G2114">
        <f>Skills!G18*IF(Skills!H18&gt;0,Skills!I18/Skills!H18,1)</f>
        <v/>
      </c>
      <c r="H2114">
        <f>1-(1-Skills!J18/100)^Skills!K18</f>
        <v/>
      </c>
      <c r="I2114" t="inlineStr">
        <is>
          <t>1</t>
        </is>
      </c>
      <c r="J2114" t="inlineStr"/>
      <c r="K2114" t="inlineStr"/>
      <c r="L2114" t="inlineStr"/>
      <c r="M2114" t="inlineStr"/>
      <c r="N2114" t="inlineStr"/>
      <c r="O2114">
        <f>(1-Summary!$B$11)*T2114+Summary!$B$11*V2114</f>
        <v/>
      </c>
      <c r="P2114">
        <f>IF(B2138=0,0,O2114/B2138)</f>
        <v/>
      </c>
      <c r="Q2114">
        <f>IFERROR(1/IF(Inputs!$B$38="pvp",15,MAX(0.1,Skills!D18-IF(Skills!E18=TRUE,Inputs!$B$32,0))),0)</f>
        <v/>
      </c>
      <c r="R2114">
        <f>IF(AND(Inputs!$B$38&lt;&gt;"pvp",Inputs!$B$43&gt;0),IF(Inputs!$B$43&lt;=0,0,(INT(Inputs!$B$43/IF(Inputs!$B$38="pvp",15,MAX(0.1,Skills!D18-IF(Skills!E18=TRUE,Inputs!$B$32,0))))+1)),0)</f>
        <v/>
      </c>
      <c r="S2114" t="n">
        <v>0</v>
      </c>
      <c r="T2114" t="n">
        <v>0</v>
      </c>
      <c r="V2114" t="n">
        <v>0</v>
      </c>
    </row>
    <row r="2115">
      <c r="A2115">
        <f>Skills!A19</f>
        <v/>
      </c>
      <c r="B2115">
        <f>Skills!B19</f>
        <v/>
      </c>
      <c r="C2115">
        <f>Inputs!$B$3&gt;=15</f>
        <v/>
      </c>
      <c r="D2115">
        <f>IF(Skills!C19=1,60+Inputs!$B$25+Inputs!$B$29,IF(Skills!C19=2,90+Inputs!$B$26+Inputs!$B$29,IF(Skills!C19=3,120+Inputs!$B$27+Inputs!$B$29,MAX(0,(Inputs!$B$3-100)*3)+Inputs!$B$28+Inputs!$B$29)))</f>
        <v/>
      </c>
      <c r="E2115">
        <f>INDEX(FactorTable!$B$2:$Y$301, MATCH(ROUND(MIN(300,MAX(1,D2115)),0), FactorTable!$A$2:$A$301,0), Skills!M19+1)</f>
        <v/>
      </c>
      <c r="F2115">
        <f>IF(Skills!N19=TRUE,(Skills!L19/10)*(E2115/1000),Skills!L19/10)+Skills!O19</f>
        <v/>
      </c>
      <c r="G2115">
        <f>Skills!G19*IF(Skills!H19&gt;0,Skills!I19/Skills!H19,1)</f>
        <v/>
      </c>
      <c r="H2115">
        <f>1-(1-Skills!J19/100)^Skills!K19</f>
        <v/>
      </c>
      <c r="I2115" t="inlineStr">
        <is>
          <t>1</t>
        </is>
      </c>
      <c r="J2115" t="inlineStr"/>
      <c r="K2115" t="inlineStr"/>
      <c r="L2115" t="inlineStr"/>
      <c r="M2115" t="inlineStr"/>
      <c r="N2115" t="inlineStr"/>
      <c r="O2115">
        <f>(1-Summary!$B$11)*T2115+Summary!$B$11*V2115</f>
        <v/>
      </c>
      <c r="P2115">
        <f>IF(B2138=0,0,O2115/B2138)</f>
        <v/>
      </c>
      <c r="Q2115" t="n">
        <v>0</v>
      </c>
      <c r="R2115" t="n">
        <v>0</v>
      </c>
      <c r="S2115" t="n">
        <v>0</v>
      </c>
      <c r="T2115" t="n">
        <v>0</v>
      </c>
      <c r="V2115" t="n">
        <v>0</v>
      </c>
    </row>
    <row r="2116">
      <c r="A2116">
        <f>Skills!A20</f>
        <v/>
      </c>
      <c r="B2116">
        <f>Skills!B20</f>
        <v/>
      </c>
      <c r="C2116">
        <f>Inputs!$B$3&gt;=10</f>
        <v/>
      </c>
      <c r="D2116">
        <f>IF(Skills!C20=1,60+Inputs!$B$25+Inputs!$B$29,IF(Skills!C20=2,90+Inputs!$B$26+Inputs!$B$29,IF(Skills!C20=3,120+Inputs!$B$27+Inputs!$B$29,MAX(0,(Inputs!$B$3-100)*3)+Inputs!$B$28+Inputs!$B$29)))</f>
        <v/>
      </c>
      <c r="E2116">
        <f>INDEX(FactorTable!$B$2:$Y$301, MATCH(ROUND(MIN(300,MAX(1,D2116)),0), FactorTable!$A$2:$A$301,0), Skills!M20+1)</f>
        <v/>
      </c>
      <c r="F2116">
        <f>IF(Skills!N20=TRUE,(Skills!L20/10)*(E2116/1000),Skills!L20/10)+Skills!O20</f>
        <v/>
      </c>
      <c r="G2116">
        <f>Skills!G20*IF(Skills!H20&gt;0,Skills!I20/Skills!H20,1)</f>
        <v/>
      </c>
      <c r="H2116">
        <f>1-(1-Skills!J20/100)^Skills!K20</f>
        <v/>
      </c>
      <c r="I2116" t="inlineStr">
        <is>
          <t>1</t>
        </is>
      </c>
      <c r="J2116" t="inlineStr"/>
      <c r="K2116" t="inlineStr"/>
      <c r="L2116" t="inlineStr"/>
      <c r="M2116" t="inlineStr"/>
      <c r="N2116" t="inlineStr"/>
      <c r="O2116">
        <f>(1-Summary!$B$11)*T2116+Summary!$B$11*V2116</f>
        <v/>
      </c>
      <c r="P2116">
        <f>IF(B2138=0,0,O2116/B2138)</f>
        <v/>
      </c>
      <c r="Q2116" t="n">
        <v>0</v>
      </c>
      <c r="R2116" t="n">
        <v>0</v>
      </c>
      <c r="S2116" t="n">
        <v>0</v>
      </c>
      <c r="T2116" t="n">
        <v>0</v>
      </c>
      <c r="V2116" t="n">
        <v>0</v>
      </c>
    </row>
    <row r="2117">
      <c r="A2117">
        <f>Skills!A21</f>
        <v/>
      </c>
      <c r="B2117">
        <f>Skills!B21</f>
        <v/>
      </c>
      <c r="C2117">
        <f>Inputs!$B$3&gt;=33</f>
        <v/>
      </c>
      <c r="D2117">
        <f>IF(Skills!C21=1,60+Inputs!$B$25+Inputs!$B$29,IF(Skills!C21=2,90+Inputs!$B$26+Inputs!$B$29,IF(Skills!C21=3,120+Inputs!$B$27+Inputs!$B$29,MAX(0,(Inputs!$B$3-100)*3)+Inputs!$B$28+Inputs!$B$29)))</f>
        <v/>
      </c>
      <c r="E2117">
        <f>INDEX(FactorTable!$B$2:$Y$301, MATCH(ROUND(MIN(300,MAX(1,D2117)),0), FactorTable!$A$2:$A$301,0), Skills!M21+1)</f>
        <v/>
      </c>
      <c r="F2117">
        <f>IF(Skills!N21=TRUE,(Skills!L21/10)*(E2117/1000),Skills!L21/10)+Skills!O21</f>
        <v/>
      </c>
      <c r="G2117">
        <f>Skills!G21*IF(Skills!H21&gt;0,Skills!I21/Skills!H21,1)</f>
        <v/>
      </c>
      <c r="H2117">
        <f>1-(1-Skills!J21/100)^Skills!K21</f>
        <v/>
      </c>
      <c r="I2117" t="inlineStr">
        <is>
          <t>1</t>
        </is>
      </c>
      <c r="J2117" t="inlineStr"/>
      <c r="K2117" t="inlineStr"/>
      <c r="L2117" t="inlineStr"/>
      <c r="M2117" t="inlineStr"/>
      <c r="N2117" t="inlineStr"/>
      <c r="O2117">
        <f>(1-Summary!$B$11)*T2117+Summary!$B$11*V2117</f>
        <v/>
      </c>
      <c r="P2117">
        <f>IF(B2138=0,0,O2117/B2138)</f>
        <v/>
      </c>
      <c r="Q2117" t="n">
        <v>0</v>
      </c>
      <c r="R2117" t="n">
        <v>0</v>
      </c>
      <c r="S2117" t="n">
        <v>0</v>
      </c>
      <c r="T2117" t="n">
        <v>0</v>
      </c>
      <c r="V2117" t="n">
        <v>0</v>
      </c>
    </row>
    <row r="2118">
      <c r="A2118">
        <f>Skills!A22</f>
        <v/>
      </c>
      <c r="B2118">
        <f>Skills!B22</f>
        <v/>
      </c>
      <c r="C2118">
        <f>Inputs!$B$3&gt;=38</f>
        <v/>
      </c>
      <c r="D2118">
        <f>IF(Skills!C22=1,60+Inputs!$B$25+Inputs!$B$29,IF(Skills!C22=2,90+Inputs!$B$26+Inputs!$B$29,IF(Skills!C22=3,120+Inputs!$B$27+Inputs!$B$29,MAX(0,(Inputs!$B$3-100)*3)+Inputs!$B$28+Inputs!$B$29)))</f>
        <v/>
      </c>
      <c r="E2118">
        <f>INDEX(FactorTable!$B$2:$Y$301, MATCH(ROUND(MIN(300,MAX(1,D2118)),0), FactorTable!$A$2:$A$301,0), Skills!M22+1)</f>
        <v/>
      </c>
      <c r="F2118">
        <f>IF(Skills!N22=TRUE,(Skills!L22/10)*(E2118/1000),Skills!L22/10)+Skills!O22</f>
        <v/>
      </c>
      <c r="G2118">
        <f>Skills!G22*IF(Skills!H22&gt;0,Skills!I22/Skills!H22,1)</f>
        <v/>
      </c>
      <c r="H2118">
        <f>1-(1-Skills!J22/100)^Skills!K22</f>
        <v/>
      </c>
      <c r="I2118" t="inlineStr">
        <is>
          <t>1</t>
        </is>
      </c>
      <c r="J2118" t="inlineStr"/>
      <c r="K2118" t="inlineStr"/>
      <c r="L2118" t="inlineStr"/>
      <c r="M2118" t="inlineStr"/>
      <c r="N2118" t="inlineStr"/>
      <c r="O2118">
        <f>(1-Summary!$B$11)*T2118+Summary!$B$11*V2118</f>
        <v/>
      </c>
      <c r="P2118">
        <f>IF(B2138=0,0,O2118/B2138)</f>
        <v/>
      </c>
      <c r="Q2118" t="n">
        <v>0</v>
      </c>
      <c r="R2118" t="n">
        <v>0</v>
      </c>
      <c r="S2118" t="n">
        <v>0</v>
      </c>
      <c r="T2118" t="n">
        <v>0</v>
      </c>
      <c r="V2118" t="n">
        <v>0</v>
      </c>
    </row>
    <row r="2119">
      <c r="A2119">
        <f>Skills!A23</f>
        <v/>
      </c>
      <c r="B2119">
        <f>Skills!B23</f>
        <v/>
      </c>
      <c r="C2119">
        <f>Inputs!$B$3&gt;=43</f>
        <v/>
      </c>
      <c r="D2119">
        <f>IF(Skills!C23=1,60+Inputs!$B$25+Inputs!$B$29,IF(Skills!C23=2,90+Inputs!$B$26+Inputs!$B$29,IF(Skills!C23=3,120+Inputs!$B$27+Inputs!$B$29,MAX(0,(Inputs!$B$3-100)*3)+Inputs!$B$28+Inputs!$B$29)))</f>
        <v/>
      </c>
      <c r="E2119">
        <f>INDEX(FactorTable!$B$2:$Y$301, MATCH(ROUND(MIN(300,MAX(1,D2119)),0), FactorTable!$A$2:$A$301,0), Skills!M23+1)</f>
        <v/>
      </c>
      <c r="F2119">
        <f>IF(Skills!N23=TRUE,(Skills!L23/10)*(E2119/1000),Skills!L23/10)+Skills!O23</f>
        <v/>
      </c>
      <c r="G2119">
        <f>Skills!G23*IF(Skills!H23&gt;0,Skills!I23/Skills!H23,1)</f>
        <v/>
      </c>
      <c r="H2119">
        <f>1-(1-Skills!J23/100)^Skills!K23</f>
        <v/>
      </c>
      <c r="I2119" t="inlineStr">
        <is>
          <t>1</t>
        </is>
      </c>
      <c r="J2119" t="inlineStr"/>
      <c r="K2119" t="inlineStr"/>
      <c r="L2119" t="inlineStr"/>
      <c r="M2119" t="inlineStr"/>
      <c r="N2119" t="inlineStr"/>
      <c r="O2119">
        <f>(1-Summary!$B$11)*T2119+Summary!$B$11*V2119</f>
        <v/>
      </c>
      <c r="P2119">
        <f>IF(B2138=0,0,O2119/B2138)</f>
        <v/>
      </c>
      <c r="Q2119" t="n">
        <v>0</v>
      </c>
      <c r="R2119" t="n">
        <v>0</v>
      </c>
      <c r="S2119" t="n">
        <v>0</v>
      </c>
      <c r="T2119" t="n">
        <v>0</v>
      </c>
      <c r="V2119" t="n">
        <v>0</v>
      </c>
    </row>
    <row r="2120">
      <c r="A2120">
        <f>Skills!A24</f>
        <v/>
      </c>
      <c r="B2120">
        <f>Skills!B24</f>
        <v/>
      </c>
      <c r="C2120">
        <f>Inputs!$B$3&gt;=75</f>
        <v/>
      </c>
      <c r="D2120">
        <f>IF(Skills!C24=1,60+Inputs!$B$25+Inputs!$B$29,IF(Skills!C24=2,90+Inputs!$B$26+Inputs!$B$29,IF(Skills!C24=3,120+Inputs!$B$27+Inputs!$B$29,MAX(0,(Inputs!$B$3-100)*3)+Inputs!$B$28+Inputs!$B$29)))</f>
        <v/>
      </c>
      <c r="E2120">
        <f>INDEX(FactorTable!$B$2:$Y$301, MATCH(ROUND(MIN(300,MAX(1,D2120)),0), FactorTable!$A$2:$A$301,0), Skills!M24+1)</f>
        <v/>
      </c>
      <c r="F2120">
        <f>IF(Skills!N24=TRUE,(Skills!L24/10)*(E2120/1000),Skills!L24/10)+Skills!O24</f>
        <v/>
      </c>
      <c r="G2120">
        <f>Skills!G24*IF(Skills!H24&gt;0,Skills!I24/Skills!H24,1)</f>
        <v/>
      </c>
      <c r="H2120">
        <f>1-(1-Skills!J24/100)^Skills!K24</f>
        <v/>
      </c>
      <c r="I2120" t="inlineStr">
        <is>
          <t>1</t>
        </is>
      </c>
      <c r="J2120" t="inlineStr"/>
      <c r="K2120" t="inlineStr"/>
      <c r="L2120" t="inlineStr"/>
      <c r="M2120" t="inlineStr"/>
      <c r="N2120" t="inlineStr"/>
      <c r="O2120">
        <f>(1-Summary!$B$11)*T2120+Summary!$B$11*V2120</f>
        <v/>
      </c>
      <c r="P2120">
        <f>IF(B2138=0,0,O2120/B2138)</f>
        <v/>
      </c>
      <c r="Q2120" t="n">
        <v>0</v>
      </c>
      <c r="R2120" t="n">
        <v>0</v>
      </c>
      <c r="S2120" t="n">
        <v>0</v>
      </c>
      <c r="T2120" t="n">
        <v>0</v>
      </c>
      <c r="V2120" t="n">
        <v>0</v>
      </c>
    </row>
    <row r="2121">
      <c r="A2121">
        <f>Skills!A25</f>
        <v/>
      </c>
      <c r="B2121">
        <f>Skills!B25</f>
        <v/>
      </c>
      <c r="C2121">
        <f>Inputs!$B$3&gt;=125</f>
        <v/>
      </c>
      <c r="D2121">
        <f>IF(Skills!C25=1,60+Inputs!$B$25+Inputs!$B$29,IF(Skills!C25=2,90+Inputs!$B$26+Inputs!$B$29,IF(Skills!C25=3,120+Inputs!$B$27+Inputs!$B$29,MAX(0,(Inputs!$B$3-100)*3)+Inputs!$B$28+Inputs!$B$29)))</f>
        <v/>
      </c>
      <c r="E2121">
        <f>INDEX(FactorTable!$B$2:$Y$301, MATCH(ROUND(MIN(300,MAX(1,D2121)),0), FactorTable!$A$2:$A$301,0), Skills!M25+1)</f>
        <v/>
      </c>
      <c r="F2121">
        <f>IF(Skills!N25=TRUE,(Skills!L25/10)*(E2121/1000),Skills!L25/10)+Skills!O25</f>
        <v/>
      </c>
      <c r="G2121">
        <f>Skills!G25*IF(Skills!H25&gt;0,Skills!I25/Skills!H25,1)</f>
        <v/>
      </c>
      <c r="H2121">
        <f>1-(1-Skills!J25/100)^Skills!K25</f>
        <v/>
      </c>
      <c r="I2121" t="inlineStr">
        <is>
          <t>1</t>
        </is>
      </c>
      <c r="J2121" t="inlineStr"/>
      <c r="K2121" t="inlineStr"/>
      <c r="L2121" t="inlineStr"/>
      <c r="M2121" t="inlineStr"/>
      <c r="N2121" t="inlineStr"/>
      <c r="O2121">
        <f>(1-Summary!$B$11)*T2121+Summary!$B$11*V2121</f>
        <v/>
      </c>
      <c r="P2121">
        <f>IF(B2138=0,0,O2121/B2138)</f>
        <v/>
      </c>
      <c r="Q2121" t="n">
        <v>0</v>
      </c>
      <c r="R2121" t="n">
        <v>0</v>
      </c>
      <c r="S2121" t="n">
        <v>0</v>
      </c>
      <c r="T2121" t="n">
        <v>0</v>
      </c>
      <c r="V2121" t="n">
        <v>0</v>
      </c>
    </row>
    <row r="2122">
      <c r="A2122">
        <f>Skills!A26</f>
        <v/>
      </c>
      <c r="B2122">
        <f>Skills!B26</f>
        <v/>
      </c>
      <c r="C2122">
        <f>Inputs!$B$3&gt;=125</f>
        <v/>
      </c>
      <c r="D2122">
        <f>IF(Skills!C26=1,60+Inputs!$B$25+Inputs!$B$29,IF(Skills!C26=2,90+Inputs!$B$26+Inputs!$B$29,IF(Skills!C26=3,120+Inputs!$B$27+Inputs!$B$29,MAX(0,(Inputs!$B$3-100)*3)+Inputs!$B$28+Inputs!$B$29)))</f>
        <v/>
      </c>
      <c r="E2122">
        <f>INDEX(FactorTable!$B$2:$Y$301, MATCH(ROUND(MIN(300,MAX(1,D2122)),0), FactorTable!$A$2:$A$301,0), Skills!M26+1)</f>
        <v/>
      </c>
      <c r="F2122">
        <f>IF(Skills!N26=TRUE,(Skills!L26/10)*(E2122/1000),Skills!L26/10)+Skills!O26</f>
        <v/>
      </c>
      <c r="G2122">
        <f>Skills!G26*IF(Skills!H26&gt;0,Skills!I26/Skills!H26,1)</f>
        <v/>
      </c>
      <c r="H2122">
        <f>1-(1-Skills!J26/100)^Skills!K26</f>
        <v/>
      </c>
      <c r="I2122" t="inlineStr">
        <is>
          <t>1</t>
        </is>
      </c>
      <c r="J2122" t="inlineStr"/>
      <c r="K2122" t="inlineStr"/>
      <c r="L2122" t="inlineStr"/>
      <c r="M2122" t="inlineStr"/>
      <c r="N2122" t="inlineStr"/>
      <c r="O2122">
        <f>(1-Summary!$B$11)*T2122+Summary!$B$11*V2122</f>
        <v/>
      </c>
      <c r="P2122">
        <f>IF(B2138=0,0,O2122/B2138)</f>
        <v/>
      </c>
      <c r="Q2122" t="n">
        <v>0</v>
      </c>
      <c r="R2122" t="n">
        <v>0</v>
      </c>
      <c r="S2122" t="n">
        <v>0</v>
      </c>
      <c r="T2122" t="n">
        <v>0</v>
      </c>
      <c r="V2122" t="n">
        <v>0</v>
      </c>
    </row>
    <row r="2123">
      <c r="A2123">
        <f>Skills!A27</f>
        <v/>
      </c>
      <c r="B2123">
        <f>Skills!B27</f>
        <v/>
      </c>
      <c r="C2123">
        <f>Inputs!$B$3&gt;=120</f>
        <v/>
      </c>
      <c r="D2123">
        <f>IF(Skills!C27=1,60+Inputs!$B$25+Inputs!$B$29,IF(Skills!C27=2,90+Inputs!$B$26+Inputs!$B$29,IF(Skills!C27=3,120+Inputs!$B$27+Inputs!$B$29,MAX(0,(Inputs!$B$3-100)*3)+Inputs!$B$28+Inputs!$B$29)))</f>
        <v/>
      </c>
      <c r="E2123">
        <f>INDEX(FactorTable!$B$2:$Y$301, MATCH(ROUND(MIN(300,MAX(1,D2123)),0), FactorTable!$A$2:$A$301,0), Skills!M27+1)</f>
        <v/>
      </c>
      <c r="F2123">
        <f>IF(Skills!N27=TRUE,(Skills!L27/10)*(E2123/1000),Skills!L27/10)+Skills!O27</f>
        <v/>
      </c>
      <c r="G2123">
        <f>Skills!G27*IF(Skills!H27&gt;0,Skills!I27/Skills!H27,1)</f>
        <v/>
      </c>
      <c r="H2123">
        <f>1-(1-Skills!J27/100)^Skills!K27</f>
        <v/>
      </c>
      <c r="I2123" t="inlineStr">
        <is>
          <t>1</t>
        </is>
      </c>
      <c r="J2123" t="inlineStr"/>
      <c r="K2123" t="inlineStr"/>
      <c r="L2123" t="inlineStr"/>
      <c r="M2123" t="inlineStr"/>
      <c r="N2123" t="inlineStr"/>
      <c r="O2123">
        <f>(1-Summary!$B$11)*T2123+Summary!$B$11*V2123</f>
        <v/>
      </c>
      <c r="P2123">
        <f>IF(B2138=0,0,O2123/B2138)</f>
        <v/>
      </c>
      <c r="Q2123" t="n">
        <v>0</v>
      </c>
      <c r="R2123" t="n">
        <v>0</v>
      </c>
      <c r="S2123" t="n">
        <v>0</v>
      </c>
      <c r="T2123" t="n">
        <v>0</v>
      </c>
      <c r="V2123" t="n">
        <v>0</v>
      </c>
    </row>
    <row r="2124">
      <c r="A2124">
        <f>Skills!A28</f>
        <v/>
      </c>
      <c r="B2124">
        <f>Skills!B28</f>
        <v/>
      </c>
      <c r="C2124">
        <f>Inputs!$B$3&gt;=120</f>
        <v/>
      </c>
      <c r="D2124">
        <f>IF(Skills!C28=1,60+Inputs!$B$25+Inputs!$B$29,IF(Skills!C28=2,90+Inputs!$B$26+Inputs!$B$29,IF(Skills!C28=3,120+Inputs!$B$27+Inputs!$B$29,MAX(0,(Inputs!$B$3-100)*3)+Inputs!$B$28+Inputs!$B$29)))</f>
        <v/>
      </c>
      <c r="E2124">
        <f>INDEX(FactorTable!$B$2:$Y$301, MATCH(ROUND(MIN(300,MAX(1,D2124)),0), FactorTable!$A$2:$A$301,0), Skills!M28+1)</f>
        <v/>
      </c>
      <c r="F2124">
        <f>IF(Skills!N28=TRUE,(Skills!L28/10)*(E2124/1000),Skills!L28/10)+Skills!O28</f>
        <v/>
      </c>
      <c r="G2124">
        <f>Skills!G28*IF(Skills!H28&gt;0,Skills!I28/Skills!H28,1)</f>
        <v/>
      </c>
      <c r="H2124">
        <f>1-(1-Skills!J28/100)^Skills!K28</f>
        <v/>
      </c>
      <c r="I2124" t="inlineStr">
        <is>
          <t>1</t>
        </is>
      </c>
      <c r="J2124" t="inlineStr"/>
      <c r="K2124" t="inlineStr"/>
      <c r="L2124" t="inlineStr"/>
      <c r="M2124" t="inlineStr"/>
      <c r="N2124" t="inlineStr"/>
      <c r="O2124">
        <f>(1-Summary!$B$11)*T2124+Summary!$B$11*V2124</f>
        <v/>
      </c>
      <c r="P2124">
        <f>IF(B2138=0,0,O2124/B2138)</f>
        <v/>
      </c>
      <c r="Q2124" t="n">
        <v>0</v>
      </c>
      <c r="R2124" t="n">
        <v>0</v>
      </c>
      <c r="S2124" t="n">
        <v>0</v>
      </c>
      <c r="T2124" t="n">
        <v>0</v>
      </c>
      <c r="V2124" t="n">
        <v>0</v>
      </c>
    </row>
    <row r="2125">
      <c r="A2125">
        <f>Skills!A29</f>
        <v/>
      </c>
      <c r="B2125">
        <f>Skills!B29</f>
        <v/>
      </c>
      <c r="C2125">
        <f>Inputs!$B$3&gt;=45</f>
        <v/>
      </c>
      <c r="D2125">
        <f>IF(Skills!C29=1,60+Inputs!$B$25+Inputs!$B$29,IF(Skills!C29=2,90+Inputs!$B$26+Inputs!$B$29,IF(Skills!C29=3,120+Inputs!$B$27+Inputs!$B$29,MAX(0,(Inputs!$B$3-100)*3)+Inputs!$B$28+Inputs!$B$29)))</f>
        <v/>
      </c>
      <c r="E2125">
        <f>INDEX(FactorTable!$B$2:$Y$301, MATCH(ROUND(MIN(300,MAX(1,D2125)),0), FactorTable!$A$2:$A$301,0), Skills!M29+1)</f>
        <v/>
      </c>
      <c r="F2125">
        <f>IF(Skills!N29=TRUE,(Skills!L29/10)*(E2125/1000),Skills!L29/10)+Skills!O29</f>
        <v/>
      </c>
      <c r="G2125">
        <f>Skills!G29*IF(Skills!H29&gt;0,Skills!I29/Skills!H29,1)</f>
        <v/>
      </c>
      <c r="H2125">
        <f>1-(1-Skills!J29/100)^Skills!K29</f>
        <v/>
      </c>
      <c r="I2125" t="inlineStr">
        <is>
          <t>1</t>
        </is>
      </c>
      <c r="J2125" t="inlineStr"/>
      <c r="K2125" t="inlineStr"/>
      <c r="L2125" t="inlineStr"/>
      <c r="M2125" t="inlineStr"/>
      <c r="N2125" t="inlineStr"/>
      <c r="O2125">
        <f>(1-Summary!$B$11)*T2125+Summary!$B$11*V2125</f>
        <v/>
      </c>
      <c r="P2125">
        <f>IF(B2138=0,0,O2125/B2138)</f>
        <v/>
      </c>
      <c r="Q2125" t="n">
        <v>0</v>
      </c>
      <c r="R2125" t="n">
        <v>0</v>
      </c>
      <c r="S2125" t="n">
        <v>0</v>
      </c>
      <c r="T2125" t="n">
        <v>0</v>
      </c>
      <c r="V2125" t="n">
        <v>0</v>
      </c>
    </row>
    <row r="2127">
      <c r="A2127" t="inlineStr">
        <is>
          <t>Attack% Bucket Multiplier</t>
        </is>
      </c>
      <c r="B2127">
        <f>(1+(((C2109=TRUE)*F2109)+((C2110=TRUE)*IF(Inputs!$B$38="pvp",F2110,(1-Summary!$B$11)*(F2110)+Summary!$B$11*(0)))+((C2111=TRUE)*F2111*IF(AND(Inputs!$B$38&lt;&gt;"pvp",Inputs!$B$43&gt;0),(((R2111-1)*(Skills!T15*(1+Inputs!$B$34/100))+MIN((Skills!T15*(1+Inputs!$B$34/100)),MAX(0,Inputs!$B$43-((R2111-1)*Skills!D15))))/Inputs!$B$43),IF(Inputs!$B$38="pvp",MIN((Skills!T15*(1+Inputs!$B$34/100)),15)/15,(Skills!T15*(1+Inputs!$B$34/100))/Skills!D15)))+((C2108=TRUE)*F2108)+((C2125=TRUE)*(F2125-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2128">
      <c r="A2128" t="inlineStr">
        <is>
          <t>Global Crit Rate Bonus %</t>
        </is>
      </c>
      <c r="B2128">
        <f>(C2112=TRUE)*20*IF(AND(Inputs!$B$38&lt;&gt;"pvp",Inputs!$B$43&gt;0),(((R2112-1)*(Skills!T16*(1+Inputs!$B$34/100))+MIN((Skills!T16*(1+Inputs!$B$34/100)),MAX(0,Inputs!$B$43-((R2112-1)*Skills!D16))))/Inputs!$B$43),IF(Inputs!$B$38="pvp",MIN((Skills!T16*(1+Inputs!$B$34/100)),15)/15,(Skills!T16*(1+Inputs!$B$34/100))/Skills!D16))</f>
        <v/>
      </c>
    </row>
    <row r="2129">
      <c r="A2129" t="inlineStr">
        <is>
          <t>Attack Speed Buff Bonus %</t>
        </is>
      </c>
      <c r="B2129">
        <f>((C2114=TRUE)*F2114*IF(AND(Inputs!$B$38&lt;&gt;"pvp",Inputs!$B$43&gt;0),(((R2114-1)*(Skills!T18*(1+Inputs!$B$34/100))+MIN((Skills!T18*(1+Inputs!$B$34/100)),MAX(0,Inputs!$B$43-((R2114-1)*Skills!D18))))/Inputs!$B$43),IF(Inputs!$B$38="pvp",MIN((Skills!T18*(1+Inputs!$B$34/100)),15)/15,(Skills!T18*(1+Inputs!$B$34/100))/Skills!D18)))</f>
        <v/>
      </c>
    </row>
    <row r="2130">
      <c r="A2130" t="inlineStr">
        <is>
          <t>Actions Per Second</t>
        </is>
      </c>
      <c r="B2130">
        <f>1+MIN(150,150*(1-(1-(Inputs!$B$11+((C2116=TRUE)*(F2116-Calc!F20))+((C2117=TRUE)*(F2117-Calc!F21)))/150)*(1-B2129/150)))/100</f>
        <v/>
      </c>
    </row>
    <row r="2131">
      <c r="A2131" t="inlineStr">
        <is>
          <t>Skill + Buff Cast Rate</t>
        </is>
      </c>
      <c r="B2131">
        <f>IF(AND(Inputs!$B$38&lt;&gt;"pvp",Inputs!$B$43&gt;0),SUMPRODUCT((Skills!E2:E29=TRUE)*(C2098:C2125=TRUE)*R2098:R2125*Skills!F2:F29)/Inputs!$B$43,SUMPRODUCT((Skills!E2:E29=TRUE)*(C2098:C2125=TRUE)*Q2098:Q2125*Skills!F2:F29))</f>
        <v/>
      </c>
    </row>
    <row r="2132">
      <c r="A2132" t="inlineStr">
        <is>
          <t>Empowered Piercing Arrow Casts Per Second</t>
        </is>
      </c>
      <c r="B2132">
        <f>MAX(0,B2130-B2131)</f>
        <v/>
      </c>
    </row>
    <row r="2133">
      <c r="A2133" t="inlineStr">
        <is>
          <t>Global Critical Damage Bonus % (Sharp Eyes)</t>
        </is>
      </c>
      <c r="B2133">
        <f>(C2112=TRUE)*F2112*IF(AND(Inputs!$B$38&lt;&gt;"pvp",Inputs!$B$43&gt;0),(((R2112-1)*(Skills!T16*(1+Inputs!$B$34/100))+MIN((Skills!T16*(1+Inputs!$B$34/100)),MAX(0,Inputs!$B$43-((R2112-1)*Skills!D16))))/Inputs!$B$43),IF(Inputs!$B$38="pvp",MIN((Skills!T16*(1+Inputs!$B$34/100)),15)/15,(Skills!T16*(1+Inputs!$B$34/100))/Skills!D16))</f>
        <v/>
      </c>
    </row>
    <row r="2134">
      <c r="A2134" t="inlineStr">
        <is>
          <t>Global Final Damage Bonus % (Mortal Blow + Last Man Standing conditional half)</t>
        </is>
      </c>
      <c r="B2134">
        <f>(C2113=TRUE)*F2113+((C2122=TRUE)*IF(Inputs!$B$38="pvp",F2122,(1-Summary!$B$11)*(F2122)+Summary!$B$11*(0)))</f>
        <v/>
      </c>
    </row>
    <row r="2135">
      <c r="A2135" t="inlineStr">
        <is>
          <t>Buff-Casting Startup Delay (s, fixed-duration only)</t>
        </is>
      </c>
      <c r="B2135">
        <f>IF(AND(Inputs!$B$38&lt;&gt;"pvp",Inputs!$B$43&gt;0),SUMPRODUCT((Skills!T2:T29&gt;0)*(Skills!E2:E29=TRUE)*(C2098:C2125=TRUE))/B2130,0)</f>
        <v/>
      </c>
    </row>
    <row r="2136">
      <c r="A2136" t="inlineStr">
        <is>
          <t>Boss-Only Total DPS (this block's swept value)</t>
        </is>
      </c>
      <c r="B2136">
        <f>SUM(T2098:T2125)</f>
        <v/>
      </c>
    </row>
    <row r="2137">
      <c r="A2137" t="inlineStr">
        <is>
          <t>Normal-Only Total DPS (this block's swept value)</t>
        </is>
      </c>
      <c r="B2137">
        <f>SUM(V2098:V2125)</f>
        <v/>
      </c>
    </row>
    <row r="2138">
      <c r="A2138" s="6" t="inlineStr">
        <is>
          <t>TOTAL DPS</t>
        </is>
      </c>
      <c r="B2138" s="6">
        <f>SUM(O2098:O2125)</f>
        <v/>
      </c>
    </row>
    <row r="2141">
      <c r="A2141" s="6" t="inlineStr">
        <is>
          <t>Stat: Soul Contract (Equip)</t>
        </is>
      </c>
    </row>
    <row r="2142">
      <c r="A2142" s="5" t="inlineStr">
        <is>
          <t>Key</t>
        </is>
      </c>
      <c r="B2142" s="5" t="inlineStr">
        <is>
          <t>Name</t>
        </is>
      </c>
      <c r="C2142" s="5" t="inlineStr">
        <is>
          <t>Unlocked</t>
        </is>
      </c>
      <c r="D2142" s="5" t="inlineStr">
        <is>
          <t>InputLevel</t>
        </is>
      </c>
      <c r="E2142" s="5" t="inlineStr">
        <is>
          <t>Factor</t>
        </is>
      </c>
      <c r="F2142" s="5" t="inlineStr">
        <is>
          <t>CoefficientPercent</t>
        </is>
      </c>
      <c r="G2142" s="5" t="inlineStr">
        <is>
          <t>EffectiveHits</t>
        </is>
      </c>
      <c r="H2142" s="5" t="inlineStr">
        <is>
          <t>ProcProbability</t>
        </is>
      </c>
      <c r="I2142" s="5" t="inlineStr">
        <is>
          <t>MapleHeroMultiplier</t>
        </is>
      </c>
      <c r="J2142" s="5" t="inlineStr">
        <is>
          <t>BaseDamage</t>
        </is>
      </c>
      <c r="K2142" s="5" t="inlineStr">
        <is>
          <t>BaseHitDamage</t>
        </is>
      </c>
      <c r="L2142" s="5" t="inlineStr">
        <is>
          <t>NonCritAvg</t>
        </is>
      </c>
      <c r="M2142" s="5" t="inlineStr">
        <is>
          <t>CritAvg</t>
        </is>
      </c>
      <c r="N2142" s="5" t="inlineStr">
        <is>
          <t>ExpectedDamage(perHit)</t>
        </is>
      </c>
      <c r="O2142" s="5" t="inlineStr">
        <is>
          <t>DPS</t>
        </is>
      </c>
      <c r="P2142" s="5" t="inlineStr">
        <is>
          <t>% of Total</t>
        </is>
      </c>
      <c r="Q2142" s="5" t="inlineStr">
        <is>
          <t>InvCooldown</t>
        </is>
      </c>
      <c r="R2142" s="5" t="inlineStr">
        <is>
          <t>CastsInFight</t>
        </is>
      </c>
      <c r="S2142" s="5" t="inlineStr">
        <is>
          <t>HitRate(perSec)</t>
        </is>
      </c>
      <c r="U2142" t="inlineStr">
        <is>
          <t>helpers</t>
        </is>
      </c>
    </row>
    <row r="2143">
      <c r="A2143">
        <f>Skills!A2</f>
        <v/>
      </c>
      <c r="B2143">
        <f>Skills!B2</f>
        <v/>
      </c>
      <c r="C2143">
        <f>Inputs!$B$3&gt;=100</f>
        <v/>
      </c>
      <c r="D2143" t="inlineStr"/>
      <c r="E2143" t="inlineStr"/>
      <c r="F2143">
        <f>U2145+Skills!O2</f>
        <v/>
      </c>
      <c r="G2143">
        <f>Skills!G2*IF(Skills!H2&gt;0,Skills!I2/Skills!H2,1)</f>
        <v/>
      </c>
      <c r="H2143">
        <f>1-(1-Skills!J2/100)^Skills!K2</f>
        <v/>
      </c>
      <c r="I2143" t="inlineStr">
        <is>
          <t>1</t>
        </is>
      </c>
      <c r="J2143">
        <f>((Inputs!$B$6*(1+Inputs!$B$7/100))+(((Inputs!$B$12*(1+Inputs!$B$13/100))-(Inputs!$B$12*(1+Inputs!$B$13/100)))+0.25*(Inputs!$B$14-Inputs!$B$14))*(1+Inputs!$B$7/100))*(F2143/100)</f>
        <v/>
      </c>
      <c r="K2143">
        <f>J2143*(1+((Inputs!$B$12*(1+Inputs!$B$13/100))*0.01+Inputs!$B$14*0.0025)/100)*(1+Inputs!$B$15/100)*(1+Inputs!$B$16/100)*(5000/(6000+Inputs!$B$42*(1-(100*(1-(1-(Inputs!$B$19+0)/100)*(1-CHOOSE(ArtifactsInput!$N$40+1,5,6,7,8,9,10)/100)^(ArtifactsInput!$M$40-ArtifactsInput!$M$40)))/100)))*(1+(Inputs!$B$24+((C2165=TRUE)*(F2165-Calc!F24))+((C2166=TRUE)*(F2166-Calc!F25))+B2179)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EMPOWERED_PIERCING_ARROW",Inputs!$B$17+((C2163=TRUE)*(F2163-Calc!F22))+(((IF(AND(ArtifactsInput!$M$42,((Inputs!$B$9+((C2160=TRUE)*(F2160-Calc!F19))+B2173+(ArtifactsInput!$M$24-ArtifactsInput!$M$24)*CHOOSE(ArtifactsInput!$N$24+1,10,12,14,16,18,20)+IF(ArtifactsInput!$M$10,CHOOSE(ArtifactsInput!$N$10+1,15,18,21,24,27,30)*(IF(Inputs!$B$38="pvp",MIN(15,15)/15,IF(AND(Inputs!$B$38&lt;&gt;"pvp",Inputs!$B$43&gt;0),MIN(15,Inputs!$B$43)/(Inputs!$B$43),0))),0)))&gt;=100),MIN(100,((Inputs!$B$9+((C2160=TRUE)*(F2160-Calc!F19))+B2173+(ArtifactsInput!$M$24-ArtifactsInput!$M$24)*CHOOSE(ArtifactsInput!$N$24+1,10,12,14,16,18,20)+IF(ArtifactsInput!$M$10,CHOOSE(ArtifactsInput!$N$10+1,15,18,21,24,27,30)*(IF(Inputs!$B$38="pvp",MIN(15,15)/15,IF(AND(Inputs!$B$38&lt;&gt;"pvp",Inputs!$B$43&gt;0),MIN(15,Inputs!$B$43)/(Inputs!$B$43),0))),0)))-100),0))*CHOOSE(ArtifactsInput!$N$42+1,0.6,0.72,0.84,0.96,1.08,1.2))),Inputs!$B$18+((C2168=TRUE)*(F2168-Calc!F27))+(IF(AND(ArtifactsInput!$M$42,((Inputs!$B$9+((C2160=TRUE)*(F2160-Calc!F19))+B2173+(ArtifactsInput!$M$24-ArtifactsInput!$M$24)*CHOOSE(ArtifactsInput!$N$24+1,10,12,14,16,18,20)+IF(ArtifactsInput!$M$10,CHOOSE(ArtifactsInput!$N$10+1,15,18,21,24,27,30)*(IF(Inputs!$B$38="pvp",MIN(15,15)/15,IF(AND(Inputs!$B$38&lt;&gt;"pvp",Inputs!$B$43&gt;0),MIN(15,Inputs!$B$43)/(Inputs!$B$43),0))),0)))&gt;=100),CHOOSE(ArtifactsInput!$N$42+1,40,48,56,64,72,80),0))))/100)*((1+(((C2154=TRUE)*F2154)+((C2155=TRUE)*IF(Inputs!$B$38="pvp",F2155,(1-Summary!$B$11)*(F2155)+Summary!$B$11*(0)))+((C2156=TRUE)*F2156*IF(AND(Inputs!$B$38&lt;&gt;"pvp",Inputs!$B$43&gt;0),(((R2156-1)*(Skills!T15*(1+Inputs!$B$34/100))+MIN((Skills!T15*(1+Inputs!$B$34/100)),MAX(0,Inputs!$B$43-((R2156-1)*Skills!D15))))/Inputs!$B$43),IF(Inputs!$B$38="pvp",MIN((Skills!T15*(1+Inputs!$B$34/100)),15)/15,(Skills!T15*(1+Inputs!$B$34/100))/Skills!D15)))+((C2153=TRUE)*F2153)+((C2170=TRUE)*(F2170-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2143)</f>
        <v/>
      </c>
      <c r="L2143">
        <f>K2143*(MIN(Inputs!$B$22+((C2164=TRUE)*(F2164-Calc!F23)),(Inputs!$B$23+((C2169=TRUE)*(F2169-Calc!F28))+(IF(ArtifactsInput!$M$15,CHOOSE(ArtifactsInput!$N$15+1,25,30,35,40,45,50)/100*(Inputs!$B$11-Inputs!$B$11),0))))/100+(Inputs!$B$23+((C2169=TRUE)*(F2169-Calc!F28))+(IF(ArtifactsInput!$M$15,CHOOSE(ArtifactsInput!$N$15+1,25,30,35,40,45,50)/100*(Inputs!$B$11-Inputs!$B$11),0)))/100)/2</f>
        <v/>
      </c>
      <c r="M2143">
        <f>L2143*(1+(Inputs!$B$10+0+B2178+(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143">
        <f>L2143*(1-MIN((Inputs!$B$9+((C2160=TRUE)*(F2160-Calc!F19))+B2173+(ArtifactsInput!$M$24-ArtifactsInput!$M$24)*CHOOSE(ArtifactsInput!$N$24+1,10,12,14,16,18,20)+(IF(AND(ArtifactsInput!$M$42,((Inputs!$B$9+((C2160=TRUE)*(F2160-Calc!F19))+B2173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2143*(MIN((Inputs!$B$9+((C2160=TRUE)*(F2160-Calc!F19))+B2173+(ArtifactsInput!$M$24-ArtifactsInput!$M$24)*CHOOSE(ArtifactsInput!$N$24+1,10,12,14,16,18,20)+(IF(AND(ArtifactsInput!$M$42,((Inputs!$B$9+((C2160=TRUE)*(F2160-Calc!F19))+B2173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143">
        <f>(1-Summary!$B$11)*T2143+Summary!$B$11*V2143</f>
        <v/>
      </c>
      <c r="P2143">
        <f>IF(B2183=0,0,O2143/B2183)</f>
        <v/>
      </c>
      <c r="Q2143" t="n">
        <v>0</v>
      </c>
      <c r="R2143" t="n">
        <v>0</v>
      </c>
      <c r="S2143">
        <f>IFERROR((Skills!G2*N2143*B2177)/N2143*IF(Inputs!$B$38="pvp",1,(1-Summary!$B$11)*1+Summary!$B$11*(MIN((6+Inputs!$B$33),Inputs!$B$37))),0)</f>
        <v/>
      </c>
      <c r="T2143">
        <f>IF(C2143,(Skills!G2*N2143*B2177)*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Hunt"),CHOOSE(ArtifactsInput!$N$35+1,15,18,21,24,27,30)*(1-EXP(-(0.2*B2175)*5)),0)+IF(AND(ArtifactsInput!$M$22,Inputs!$B$4&lt;&gt;"Chapter Hunt"),CHOOSE(ArtifactsInput!$N$22+1,10,12,14,16,18,20)*((0*(((0.15*B2175*5))^0/1)+1*(((0.15*B2175*5))^1/1)+2*(((0.15*B2175*5))^2/2)+3*(((0.15*B2175*5))^3/6)+4*(((0.15*B2175*5))^4/24)+5*(((0.15*B2175*5))^5/120))/((((0.15*B2175*5))^0/1)+(((0.15*B2175*5))^1/1)+(((0.15*B2175*5))^2/2)+(((0.15*B2175*5))^3/6)+(((0.15*B2175*5))^4/24)+(((0.15*B2175*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2143*(1-MIN(100,(Inputs!$B$9+((C2160=TRUE)*(F2160-Calc!F19))+B2173+(ArtifactsInput!$M$24-ArtifactsInput!$M$24)*CHOOSE(ArtifactsInput!$N$24+1,10,12,14,16,18,20)+(IF(AND(ArtifactsInput!$M$42,((Inputs!$B$9+((C2160=TRUE)*(F2160-Calc!F19))+B2173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2143*(MIN(100,(Inputs!$B$9+((C2160=TRUE)*(F2160-Calc!F19))+B2173+(ArtifactsInput!$M$24-ArtifactsInput!$M$24)*CHOOSE(ArtifactsInput!$N$24+1,10,12,14,16,18,20)+(IF(AND(ArtifactsInput!$M$42,((Inputs!$B$9+((C2160=TRUE)*(F2160-Calc!F19))+B2173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2143*(1-MIN(100,(Inputs!$B$9+((C2160=TRUE)*(F2160-Calc!F19))+B2173+(ArtifactsInput!$M$24-ArtifactsInput!$M$24)*CHOOSE(ArtifactsInput!$N$24+1,10,12,14,16,18,20)+(IF(AND(ArtifactsInput!$M$42,((Inputs!$B$9+((C2160=TRUE)*(F2160-Calc!F19))+B2173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2143*(MIN(100,(Inputs!$B$9+((C2160=TRUE)*(F2160-Calc!F19))+B2173+(ArtifactsInput!$M$24-ArtifactsInput!$M$24)*CHOOSE(ArtifactsInput!$N$24+1,10,12,14,16,18,20)+(IF(AND(ArtifactsInput!$M$42,((Inputs!$B$9+((C2160=TRUE)*(F2160-Calc!F19))+B2173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143">
        <f>MAX(0,(Inputs!$B$3-100)*3)+Inputs!$B$28+Inputs!$B$29</f>
        <v/>
      </c>
      <c r="V2143">
        <f>IF(C2143,(Skills!G2*N2143*B2177)*IF(Inputs!$B$38="pvp",1,(1+(Inputs!$B$21+Skills!Q2+(IF(ArtifactsInput!$M$33,CHOOSE(ArtifactsInput!$N$33+1,30,36,42,48,54,60),0))+(IF(AND(ArtifactsInput!$M$35,Inputs!$B$4&lt;&gt;"Chapter Hunt"),CHOOSE(ArtifactsInput!$N$35+1,15,18,21,24,27,30)*(1-EXP(-(0.2*B2175)*5)),0)+IF(AND(ArtifactsInput!$M$22,Inputs!$B$4&lt;&gt;"Chapter Hunt"),CHOOSE(ArtifactsInput!$N$22+1,10,12,14,16,18,20)*((0*(((0.15*B2175*5))^0/1)+1*(((0.15*B2175*5))^1/1)+2*(((0.15*B2175*5))^2/2)+3*(((0.15*B2175*5))^3/6)+4*(((0.15*B2175*5))^4/24)+5*(((0.15*B2175*5))^5/120))/((((0.15*B2175*5))^0/1)+(((0.15*B2175*5))^1/1)+(((0.15*B2175*5))^2/2)+(((0.15*B2175*5))^3/6)+(((0.15*B2175*5))^4/24)+(((0.15*B2175*5))^5/120)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144">
      <c r="A2144">
        <f>Skills!A3</f>
        <v/>
      </c>
      <c r="B2144">
        <f>Skills!B3</f>
        <v/>
      </c>
      <c r="C2144">
        <f>Inputs!$B$3&gt;=50</f>
        <v/>
      </c>
      <c r="D2144">
        <f>IF(Skills!C3=1,60+Inputs!$B$25+Inputs!$B$29,IF(Skills!C3=2,90+Inputs!$B$26+Inputs!$B$29,IF(Skills!C3=3,120+Inputs!$B$27+Inputs!$B$29,MAX(0,(Inputs!$B$3-100)*3)+Inputs!$B$28+Inputs!$B$29)))</f>
        <v/>
      </c>
      <c r="E2144">
        <f>INDEX(FactorTable!$B$2:$Y$301, MATCH(ROUND(MIN(300,MAX(1,D2144)),0), FactorTable!$A$2:$A$301,0), Skills!M3+1)</f>
        <v/>
      </c>
      <c r="F2144">
        <f>IF(Skills!N3=TRUE,(Skills!L3/10)*(E2144/1000),Skills!L3/10)+Skills!O3</f>
        <v/>
      </c>
      <c r="G2144" t="inlineStr"/>
      <c r="H2144" t="inlineStr"/>
      <c r="I2144" t="inlineStr">
        <is>
          <t>1</t>
        </is>
      </c>
      <c r="J2144" t="inlineStr"/>
      <c r="K2144" t="inlineStr"/>
      <c r="L2144" t="inlineStr"/>
      <c r="M2144" t="inlineStr"/>
      <c r="N2144" t="inlineStr"/>
      <c r="O2144" t="inlineStr"/>
      <c r="P2144" t="inlineStr"/>
      <c r="Q2144" t="inlineStr"/>
      <c r="R2144" t="inlineStr"/>
      <c r="S2144" t="inlineStr"/>
      <c r="T2144" t="inlineStr"/>
      <c r="U2144">
        <f>INDEX(FactorTable!$B$2:$Y$301, MATCH(ROUND(MIN(300,MAX(1,U2143)),0), FactorTable!$A$2:$A$301,0), 22)</f>
        <v/>
      </c>
      <c r="V2144" t="inlineStr"/>
    </row>
    <row r="2145">
      <c r="A2145">
        <f>Skills!A4</f>
        <v/>
      </c>
      <c r="B2145">
        <f>Skills!B4</f>
        <v/>
      </c>
      <c r="C2145">
        <f>Inputs!$B$3&gt;=105</f>
        <v/>
      </c>
      <c r="D2145">
        <f>IF(Skills!C4=1,60+Inputs!$B$25+Inputs!$B$29,IF(Skills!C4=2,90+Inputs!$B$26+Inputs!$B$29,IF(Skills!C4=3,120+Inputs!$B$27+Inputs!$B$29,MAX(0,(Inputs!$B$3-100)*3)+Inputs!$B$28+Inputs!$B$29)))</f>
        <v/>
      </c>
      <c r="E2145">
        <f>INDEX(FactorTable!$B$2:$Y$301, MATCH(ROUND(MIN(300,MAX(1,D2145)),0), FactorTable!$A$2:$A$301,0), Skills!M4+1)</f>
        <v/>
      </c>
      <c r="F2145">
        <f>IF(Skills!N4=TRUE,(Skills!L4/10)*(E2145/1000),Skills!L4/10)+Skills!O4</f>
        <v/>
      </c>
      <c r="G2145" t="inlineStr"/>
      <c r="H2145" t="inlineStr"/>
      <c r="I2145" t="inlineStr">
        <is>
          <t>1</t>
        </is>
      </c>
      <c r="J2145" t="inlineStr"/>
      <c r="K2145" t="inlineStr"/>
      <c r="L2145" t="inlineStr"/>
      <c r="M2145" t="inlineStr"/>
      <c r="N2145" t="inlineStr"/>
      <c r="O2145" t="inlineStr"/>
      <c r="P2145" t="inlineStr"/>
      <c r="Q2145" t="inlineStr"/>
      <c r="R2145" t="inlineStr"/>
      <c r="S2145" t="inlineStr"/>
      <c r="T2145" t="inlineStr"/>
      <c r="U2145">
        <f>290*U2144/1000</f>
        <v/>
      </c>
      <c r="V2145" t="inlineStr"/>
    </row>
    <row r="2146">
      <c r="A2146">
        <f>Skills!A5</f>
        <v/>
      </c>
      <c r="B2146">
        <f>Skills!B5</f>
        <v/>
      </c>
      <c r="C2146">
        <f>Inputs!$B$3&gt;=35</f>
        <v/>
      </c>
      <c r="D2146">
        <f>IF(Skills!C5=1,60+Inputs!$B$25+Inputs!$B$29,IF(Skills!C5=2,90+Inputs!$B$26+Inputs!$B$29,IF(Skills!C5=3,120+Inputs!$B$27+Inputs!$B$29,MAX(0,(Inputs!$B$3-100)*3)+Inputs!$B$28+Inputs!$B$29)))</f>
        <v/>
      </c>
      <c r="E2146">
        <f>INDEX(FactorTable!$B$2:$Y$301, MATCH(ROUND(MIN(300,MAX(1,D2146)),0), FactorTable!$A$2:$A$301,0), Skills!M5+1)</f>
        <v/>
      </c>
      <c r="F2146">
        <f>IF(Skills!N5=TRUE,(Skills!L5/10)*(E2146/1000),Skills!L5/10)+Skills!O5</f>
        <v/>
      </c>
      <c r="G2146">
        <f>Skills!G5*IF(Skills!H5&gt;0,Skills!I5/Skills!H5,1)</f>
        <v/>
      </c>
      <c r="H2146">
        <f>1-(1-Skills!J5/100)^Skills!K5</f>
        <v/>
      </c>
      <c r="I2146" t="inlineStr">
        <is>
          <t>1</t>
        </is>
      </c>
      <c r="J2146">
        <f>((Inputs!$B$6*(1+Inputs!$B$7/100))+(((Inputs!$B$12*(1+Inputs!$B$13/100))-(Inputs!$B$12*(1+Inputs!$B$13/100)))+0.25*(Inputs!$B$14-Inputs!$B$14))*(1+Inputs!$B$7/100))*(F2146/100)</f>
        <v/>
      </c>
      <c r="K2146">
        <f>J2146*(1+((Inputs!$B$12*(1+Inputs!$B$13/100))*0.01+Inputs!$B$14*0.0025)/100)*(1+Inputs!$B$15/100)*(1+Inputs!$B$16/100)*(5000/(6000+Inputs!$B$42*(1-(100*(1-(1-(Inputs!$B$19+0)/100)*(1-CHOOSE(ArtifactsInput!$N$40+1,5,6,7,8,9,10)/100)^(ArtifactsInput!$M$40-ArtifactsInput!$M$40)))/100)))*(1+(Inputs!$B$24+((C2165=TRUE)*(F2165-Calc!F24))+((C2166=TRUE)*(F2166-Calc!F25))+B2179)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2149=TRUE,F2149,0)/100)*(1+(IF(Skills!A5="EMPOWERED_PIERCING_ARROW",Inputs!$B$17+((C2163=TRUE)*(F2163-Calc!F22))+(((IF(AND(ArtifactsInput!$M$42,((Inputs!$B$9+((C2160=TRUE)*(F2160-Calc!F19))+B2173+(ArtifactsInput!$M$24-ArtifactsInput!$M$24)*CHOOSE(ArtifactsInput!$N$24+1,10,12,14,16,18,20)+IF(ArtifactsInput!$M$10,CHOOSE(ArtifactsInput!$N$10+1,15,18,21,24,27,30)*(IF(Inputs!$B$38="pvp",MIN(15,15)/15,IF(AND(Inputs!$B$38&lt;&gt;"pvp",Inputs!$B$43&gt;0),MIN(15,Inputs!$B$43)/(Inputs!$B$43),0))),0)))&gt;=100),MIN(100,((Inputs!$B$9+((C2160=TRUE)*(F2160-Calc!F19))+B2173+(ArtifactsInput!$M$24-ArtifactsInput!$M$24)*CHOOSE(ArtifactsInput!$N$24+1,10,12,14,16,18,20)+IF(ArtifactsInput!$M$10,CHOOSE(ArtifactsInput!$N$10+1,15,18,21,24,27,30)*(IF(Inputs!$B$38="pvp",MIN(15,15)/15,IF(AND(Inputs!$B$38&lt;&gt;"pvp",Inputs!$B$43&gt;0),MIN(15,Inputs!$B$43)/(Inputs!$B$43),0))),0)))-100),0))*CHOOSE(ArtifactsInput!$N$42+1,0.6,0.72,0.84,0.96,1.08,1.2))),Inputs!$B$18+((C2168=TRUE)*(F2168-Calc!F27))+(IF(AND(ArtifactsInput!$M$42,((Inputs!$B$9+((C2160=TRUE)*(F2160-Calc!F19))+B2173+(ArtifactsInput!$M$24-ArtifactsInput!$M$24)*CHOOSE(ArtifactsInput!$N$24+1,10,12,14,16,18,20)+IF(ArtifactsInput!$M$10,CHOOSE(ArtifactsInput!$N$10+1,15,18,21,24,27,30)*(IF(Inputs!$B$38="pvp",MIN(15,15)/15,IF(AND(Inputs!$B$38&lt;&gt;"pvp",Inputs!$B$43&gt;0),MIN(15,Inputs!$B$43)/(Inputs!$B$43),0))),0)))&gt;=100),CHOOSE(ArtifactsInput!$N$42+1,40,48,56,64,72,80),0))))/100)*((1+(((C2154=TRUE)*F2154)+((C2155=TRUE)*IF(Inputs!$B$38="pvp",F2155,(1-Summary!$B$11)*(F2155)+Summary!$B$11*(0)))+((C2156=TRUE)*F2156*IF(AND(Inputs!$B$38&lt;&gt;"pvp",Inputs!$B$43&gt;0),(((R2156-1)*(Skills!T15*(1+Inputs!$B$34/100))+MIN((Skills!T15*(1+Inputs!$B$34/100)),MAX(0,Inputs!$B$43-((R2156-1)*Skills!D15))))/Inputs!$B$43),IF(Inputs!$B$38="pvp",MIN((Skills!T15*(1+Inputs!$B$34/100)),15)/15,(Skills!T15*(1+Inputs!$B$34/100))/Skills!D15)))+((C2153=TRUE)*F2153)+((C2170=TRUE)*(F2170-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2146)</f>
        <v/>
      </c>
      <c r="L2146">
        <f>K2146*(MIN(Inputs!$B$22+((C2164=TRUE)*(F2164-Calc!F23)),(Inputs!$B$23+((C2169=TRUE)*(F2169-Calc!F28))+(IF(ArtifactsInput!$M$15,CHOOSE(ArtifactsInput!$N$15+1,25,30,35,40,45,50)/100*(Inputs!$B$11-Inputs!$B$11),0))))/100+(Inputs!$B$23+((C2169=TRUE)*(F2169-Calc!F28))+(IF(ArtifactsInput!$M$15,CHOOSE(ArtifactsInput!$N$15+1,25,30,35,40,45,50)/100*(Inputs!$B$11-Inputs!$B$11),0)))/100)/2</f>
        <v/>
      </c>
      <c r="M2146">
        <f>L2146*(1+(Inputs!$B$10+0+B2178+(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146">
        <f>L2146*(1-MIN((Inputs!$B$9+((C2160=TRUE)*(F2160-Calc!F19))+B2173+(ArtifactsInput!$M$24-ArtifactsInput!$M$24)*CHOOSE(ArtifactsInput!$N$24+1,10,12,14,16,18,20)+(IF(AND(ArtifactsInput!$M$42,((Inputs!$B$9+((C2160=TRUE)*(F2160-Calc!F19))+B2173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2146*(MIN((Inputs!$B$9+((C2160=TRUE)*(F2160-Calc!F19))+B2173+(ArtifactsInput!$M$24-ArtifactsInput!$M$24)*CHOOSE(ArtifactsInput!$N$24+1,10,12,14,16,18,20)+(IF(AND(ArtifactsInput!$M$42,((Inputs!$B$9+((C2160=TRUE)*(F2160-Calc!F19))+B2173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146">
        <f>(1-Summary!$B$11)*T2146+Summary!$B$11*V2146</f>
        <v/>
      </c>
      <c r="P2146">
        <f>IF(B2183=0,0,O2146/B2183)</f>
        <v/>
      </c>
      <c r="Q2146">
        <f>IFERROR(1/IF(Inputs!$B$38="pvp",15,MAX(0.1,Skills!D5-IF(Skills!E5=TRUE,Inputs!$B$32,0))),0)</f>
        <v/>
      </c>
      <c r="R2146">
        <f>IF(AND(Inputs!$B$38&lt;&gt;"pvp",Inputs!$B$43&gt;0),IF(MAX(0,Inputs!$B$43-B2180)&lt;=0,0,(INT(MAX(0,Inputs!$B$43-B2180)/IF(Inputs!$B$38="pvp",15,MAX(0.1,Skills!D5-IF(Skills!E5=TRUE,Inputs!$B$32,0))))+1)),0)</f>
        <v/>
      </c>
      <c r="S2146">
        <f>IFERROR((H2146*N2146*IF(AND(Inputs!$B$38&lt;&gt;"pvp",Inputs!$B$43&gt;0),((Skills!G5*((R2146-1)*IF(Skills!H5&gt;0,Skills!I5/Skills!H5,1)+IF(Skills!H5&gt;0,MIN(Skills!I5,MAX(0,MAX(0,Inputs!$B$43-B2180)-((R2146-1)*IF(Inputs!$B$38="pvp",15,MAX(0.1,Skills!D5-IF(Skills!E5=TRUE,Inputs!$B$32,0))))))/Skills!H5,1)))/Inputs!$B$43),G2146*Q2146))/N2146*IF(Inputs!$B$38="pvp",1,(1-Summary!$B$11)*1+Summary!$B$11*(MIN(Skills!R5,Inputs!$B$37))),0)</f>
        <v/>
      </c>
      <c r="T2146">
        <f>IF(C2146,(H2146*N2146*IF(AND(Inputs!$B$38&lt;&gt;"pvp",Inputs!$B$43&gt;0),((Skills!G5*((R2146-1)*IF(Skills!H5&gt;0,Skills!I5/Skills!H5,1)+IF(Skills!H5&gt;0,MIN(Skills!I5,MAX(0,MAX(0,Inputs!$B$43-B2180)-((R2146-1)*IF(Inputs!$B$38="pvp",15,MAX(0.1,Skills!D5-IF(Skills!E5=TRUE,Inputs!$B$32,0))))))/Skills!H5,1)))/Inputs!$B$43),G2146*Q2146))*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Hunt"),CHOOSE(ArtifactsInput!$N$35+1,15,18,21,24,27,30)*(1-EXP(-(0.2*B2175)*5)),0)+IF(AND(ArtifactsInput!$M$22,Inputs!$B$4&lt;&gt;"Chapter Hunt"),CHOOSE(ArtifactsInput!$N$22+1,10,12,14,16,18,20)*((0*(((0.15*B2175*5))^0/1)+1*(((0.15*B2175*5))^1/1)+2*(((0.15*B2175*5))^2/2)+3*(((0.15*B2175*5))^3/6)+4*(((0.15*B2175*5))^4/24)+5*(((0.15*B2175*5))^5/120))/((((0.15*B2175*5))^0/1)+(((0.15*B2175*5))^1/1)+(((0.15*B2175*5))^2/2)+(((0.15*B2175*5))^3/6)+(((0.15*B2175*5))^4/24)+(((0.15*B2175*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2146*(1-MIN(100,(Inputs!$B$9+((C2160=TRUE)*(F2160-Calc!F19))+B2173+(ArtifactsInput!$M$24-ArtifactsInput!$M$24)*CHOOSE(ArtifactsInput!$N$24+1,10,12,14,16,18,20)+(IF(AND(ArtifactsInput!$M$42,((Inputs!$B$9+((C2160=TRUE)*(F2160-Calc!F19))+B2173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2146*(MIN(100,(Inputs!$B$9+((C2160=TRUE)*(F2160-Calc!F19))+B2173+(ArtifactsInput!$M$24-ArtifactsInput!$M$24)*CHOOSE(ArtifactsInput!$N$24+1,10,12,14,16,18,20)+(IF(AND(ArtifactsInput!$M$42,((Inputs!$B$9+((C2160=TRUE)*(F2160-Calc!F19))+B2173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2146*(1-MIN(100,(Inputs!$B$9+((C2160=TRUE)*(F2160-Calc!F19))+B2173+(ArtifactsInput!$M$24-ArtifactsInput!$M$24)*CHOOSE(ArtifactsInput!$N$24+1,10,12,14,16,18,20)+(IF(AND(ArtifactsInput!$M$42,((Inputs!$B$9+((C2160=TRUE)*(F2160-Calc!F19))+B2173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2146*(MIN(100,(Inputs!$B$9+((C2160=TRUE)*(F2160-Calc!F19))+B2173+(ArtifactsInput!$M$24-ArtifactsInput!$M$24)*CHOOSE(ArtifactsInput!$N$24+1,10,12,14,16,18,20)+(IF(AND(ArtifactsInput!$M$42,((Inputs!$B$9+((C2160=TRUE)*(F2160-Calc!F19))+B2173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146">
        <f>IF(C2146,(H2146*N2146*IF(AND(Inputs!$B$38&lt;&gt;"pvp",Inputs!$B$43&gt;0),((Skills!G5*((R2146-1)*IF(Skills!H5&gt;0,Skills!I5/Skills!H5,1)+IF(Skills!H5&gt;0,MIN(Skills!I5,MAX(0,MAX(0,Inputs!$B$43-B2180)-((R2146-1)*IF(Inputs!$B$38="pvp",15,MAX(0.1,Skills!D5-IF(Skills!E5=TRUE,Inputs!$B$32,0))))))/Skills!H5,1)))/Inputs!$B$43),G2146*Q2146))*IF(Inputs!$B$38="pvp",1,(1+(Inputs!$B$21+Skills!Q5+(IF(ArtifactsInput!$M$33,CHOOSE(ArtifactsInput!$N$33+1,30,36,42,48,54,60),0))+(IF(AND(ArtifactsInput!$M$35,Inputs!$B$4&lt;&gt;"Chapter Hunt"),CHOOSE(ArtifactsInput!$N$35+1,15,18,21,24,27,30)*(1-EXP(-(0.2*B2175)*5)),0)+IF(AND(ArtifactsInput!$M$22,Inputs!$B$4&lt;&gt;"Chapter Hunt"),CHOOSE(ArtifactsInput!$N$22+1,10,12,14,16,18,20)*((0*(((0.15*B2175*5))^0/1)+1*(((0.15*B2175*5))^1/1)+2*(((0.15*B2175*5))^2/2)+3*(((0.15*B2175*5))^3/6)+4*(((0.15*B2175*5))^4/24)+5*(((0.15*B2175*5))^5/120))/((((0.15*B2175*5))^0/1)+(((0.15*B2175*5))^1/1)+(((0.15*B2175*5))^2/2)+(((0.15*B2175*5))^3/6)+(((0.15*B2175*5))^4/24)+(((0.15*B2175*5))^5/120)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147">
      <c r="A2147">
        <f>Skills!A6</f>
        <v/>
      </c>
      <c r="B2147">
        <f>Skills!B6</f>
        <v/>
      </c>
      <c r="C2147">
        <f>Inputs!$B$3&gt;=63</f>
        <v/>
      </c>
      <c r="D2147">
        <f>IF(Skills!C6=1,60+Inputs!$B$25+Inputs!$B$29,IF(Skills!C6=2,90+Inputs!$B$26+Inputs!$B$29,IF(Skills!C6=3,120+Inputs!$B$27+Inputs!$B$29,MAX(0,(Inputs!$B$3-100)*3)+Inputs!$B$28+Inputs!$B$29)))</f>
        <v/>
      </c>
      <c r="E2147">
        <f>INDEX(FactorTable!$B$2:$Y$301, MATCH(ROUND(MIN(300,MAX(1,D2147)),0), FactorTable!$A$2:$A$301,0), Skills!M6+1)</f>
        <v/>
      </c>
      <c r="F2147">
        <f>IF(Skills!N6=TRUE,(Skills!L6/10)*(E2147/1000),Skills!L6/10)+Skills!O6</f>
        <v/>
      </c>
      <c r="G2147">
        <f>Skills!G6*IF(Skills!H6&gt;0,Skills!I6/Skills!H6,1)</f>
        <v/>
      </c>
      <c r="H2147">
        <f>1-(1-Skills!J6/100)^Skills!K6</f>
        <v/>
      </c>
      <c r="I2147" t="inlineStr">
        <is>
          <t>1</t>
        </is>
      </c>
      <c r="J2147">
        <f>((Inputs!$B$6*(1+Inputs!$B$7/100))+(((Inputs!$B$12*(1+Inputs!$B$13/100))-(Inputs!$B$12*(1+Inputs!$B$13/100)))+0.25*(Inputs!$B$14-Inputs!$B$14))*(1+Inputs!$B$7/100))*(F2147/100)</f>
        <v/>
      </c>
      <c r="K2147">
        <f>J2147*(1+((Inputs!$B$12*(1+Inputs!$B$13/100))*0.01+Inputs!$B$14*0.0025)/100)*(1+Inputs!$B$15/100)*(1+Inputs!$B$16/100)*(5000/(6000+Inputs!$B$42*(1-(100*(1-(1-(Inputs!$B$19+0)/100)*(1-CHOOSE(ArtifactsInput!$N$40+1,5,6,7,8,9,10)/100)^(ArtifactsInput!$M$40-ArtifactsInput!$M$40)))/100)))*(1+(Inputs!$B$24+((C2165=TRUE)*(F2165-Calc!F24))+((C2166=TRUE)*(F2166-Calc!F25))+B2179)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2149=TRUE,F2149,0)/100)*(1+(IF(Skills!A6="EMPOWERED_PIERCING_ARROW",Inputs!$B$17+((C2163=TRUE)*(F2163-Calc!F22))+(((IF(AND(ArtifactsInput!$M$42,((Inputs!$B$9+((C2160=TRUE)*(F2160-Calc!F19))+B2173+(ArtifactsInput!$M$24-ArtifactsInput!$M$24)*CHOOSE(ArtifactsInput!$N$24+1,10,12,14,16,18,20)+IF(ArtifactsInput!$M$10,CHOOSE(ArtifactsInput!$N$10+1,15,18,21,24,27,30)*(IF(Inputs!$B$38="pvp",MIN(15,15)/15,IF(AND(Inputs!$B$38&lt;&gt;"pvp",Inputs!$B$43&gt;0),MIN(15,Inputs!$B$43)/(Inputs!$B$43),0))),0)))&gt;=100),MIN(100,((Inputs!$B$9+((C2160=TRUE)*(F2160-Calc!F19))+B2173+(ArtifactsInput!$M$24-ArtifactsInput!$M$24)*CHOOSE(ArtifactsInput!$N$24+1,10,12,14,16,18,20)+IF(ArtifactsInput!$M$10,CHOOSE(ArtifactsInput!$N$10+1,15,18,21,24,27,30)*(IF(Inputs!$B$38="pvp",MIN(15,15)/15,IF(AND(Inputs!$B$38&lt;&gt;"pvp",Inputs!$B$43&gt;0),MIN(15,Inputs!$B$43)/(Inputs!$B$43),0))),0)))-100),0))*CHOOSE(ArtifactsInput!$N$42+1,0.6,0.72,0.84,0.96,1.08,1.2))),Inputs!$B$18+((C2168=TRUE)*(F2168-Calc!F27))+(IF(AND(ArtifactsInput!$M$42,((Inputs!$B$9+((C2160=TRUE)*(F2160-Calc!F19))+B2173+(ArtifactsInput!$M$24-ArtifactsInput!$M$24)*CHOOSE(ArtifactsInput!$N$24+1,10,12,14,16,18,20)+IF(ArtifactsInput!$M$10,CHOOSE(ArtifactsInput!$N$10+1,15,18,21,24,27,30)*(IF(Inputs!$B$38="pvp",MIN(15,15)/15,IF(AND(Inputs!$B$38&lt;&gt;"pvp",Inputs!$B$43&gt;0),MIN(15,Inputs!$B$43)/(Inputs!$B$43),0))),0)))&gt;=100),CHOOSE(ArtifactsInput!$N$42+1,40,48,56,64,72,80),0))))/100)*((1+(((C2154=TRUE)*F2154)+((C2155=TRUE)*IF(Inputs!$B$38="pvp",F2155,(1-Summary!$B$11)*(F2155)+Summary!$B$11*(0)))+((C2156=TRUE)*F2156*IF(AND(Inputs!$B$38&lt;&gt;"pvp",Inputs!$B$43&gt;0),(((R2156-1)*(Skills!T15*(1+Inputs!$B$34/100))+MIN((Skills!T15*(1+Inputs!$B$34/100)),MAX(0,Inputs!$B$43-((R2156-1)*Skills!D15))))/Inputs!$B$43),IF(Inputs!$B$38="pvp",MIN((Skills!T15*(1+Inputs!$B$34/100)),15)/15,(Skills!T15*(1+Inputs!$B$34/100))/Skills!D15)))+((C2153=TRUE)*F2153)+((C2170=TRUE)*(F2170-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2147)</f>
        <v/>
      </c>
      <c r="L2147">
        <f>K2147*(MIN(Inputs!$B$22+((C2164=TRUE)*(F2164-Calc!F23)),(Inputs!$B$23+((C2169=TRUE)*(F2169-Calc!F28))+(IF(ArtifactsInput!$M$15,CHOOSE(ArtifactsInput!$N$15+1,25,30,35,40,45,50)/100*(Inputs!$B$11-Inputs!$B$11),0))))/100+(Inputs!$B$23+((C2169=TRUE)*(F2169-Calc!F28))+(IF(ArtifactsInput!$M$15,CHOOSE(ArtifactsInput!$N$15+1,25,30,35,40,45,50)/100*(Inputs!$B$11-Inputs!$B$11),0)))/100)/2</f>
        <v/>
      </c>
      <c r="M2147">
        <f>L2147*(1+(Inputs!$B$10+0+B2178+(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147">
        <f>L2147*(1-MIN((Inputs!$B$9+((C2160=TRUE)*(F2160-Calc!F19))+B2173+(ArtifactsInput!$M$24-ArtifactsInput!$M$24)*CHOOSE(ArtifactsInput!$N$24+1,10,12,14,16,18,20)+(IF(AND(ArtifactsInput!$M$42,((Inputs!$B$9+((C2160=TRUE)*(F2160-Calc!F19))+B2173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2147*(MIN((Inputs!$B$9+((C2160=TRUE)*(F2160-Calc!F19))+B2173+(ArtifactsInput!$M$24-ArtifactsInput!$M$24)*CHOOSE(ArtifactsInput!$N$24+1,10,12,14,16,18,20)+(IF(AND(ArtifactsInput!$M$42,((Inputs!$B$9+((C2160=TRUE)*(F2160-Calc!F19))+B2173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147">
        <f>(1-Summary!$B$11)*T2147+Summary!$B$11*V2147</f>
        <v/>
      </c>
      <c r="P2147">
        <f>IF(B2183=0,0,O2147/B2183)</f>
        <v/>
      </c>
      <c r="Q2147">
        <f>IFERROR(1/IF(Inputs!$B$38="pvp",15,MAX(0.1,Skills!D6-IF(Skills!E6=TRUE,Inputs!$B$32,0))),0)</f>
        <v/>
      </c>
      <c r="R2147">
        <f>IF(AND(Inputs!$B$38&lt;&gt;"pvp",Inputs!$B$43&gt;0),IF(MAX(0,Inputs!$B$43-B2180)&lt;=0,0,(INT(MAX(0,Inputs!$B$43-B2180)/IF(Inputs!$B$38="pvp",15,MAX(0.1,Skills!D6-IF(Skills!E6=TRUE,Inputs!$B$32,0))))+1)),0)</f>
        <v/>
      </c>
      <c r="S2147">
        <f>IFERROR((H2147*N2147*IF(AND(Inputs!$B$38&lt;&gt;"pvp",Inputs!$B$43&gt;0),((Skills!G6*((R2147-1)*IF(Skills!H6&gt;0,Skills!I6/Skills!H6,1)+IF(Skills!H6&gt;0,MIN(Skills!I6,MAX(0,MAX(0,Inputs!$B$43-B2180)-((R2147-1)*IF(Inputs!$B$38="pvp",15,MAX(0.1,Skills!D6-IF(Skills!E6=TRUE,Inputs!$B$32,0))))))/Skills!H6,1)))/Inputs!$B$43),G2147*Q2147))/N2147*IF(Inputs!$B$38="pvp",1,(1-Summary!$B$11)*1+Summary!$B$11*(MIN(Skills!R6,Inputs!$B$37))),0)</f>
        <v/>
      </c>
      <c r="T2147">
        <f>IF(C2147,(H2147*N2147*IF(AND(Inputs!$B$38&lt;&gt;"pvp",Inputs!$B$43&gt;0),((Skills!G6*((R2147-1)*IF(Skills!H6&gt;0,Skills!I6/Skills!H6,1)+IF(Skills!H6&gt;0,MIN(Skills!I6,MAX(0,MAX(0,Inputs!$B$43-B2180)-((R2147-1)*IF(Inputs!$B$38="pvp",15,MAX(0.1,Skills!D6-IF(Skills!E6=TRUE,Inputs!$B$32,0))))))/Skills!H6,1)))/Inputs!$B$43),G2147*Q2147))*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Hunt"),CHOOSE(ArtifactsInput!$N$35+1,15,18,21,24,27,30)*(1-EXP(-(0.2*B2175)*5)),0)+IF(AND(ArtifactsInput!$M$22,Inputs!$B$4&lt;&gt;"Chapter Hunt"),CHOOSE(ArtifactsInput!$N$22+1,10,12,14,16,18,20)*((0*(((0.15*B2175*5))^0/1)+1*(((0.15*B2175*5))^1/1)+2*(((0.15*B2175*5))^2/2)+3*(((0.15*B2175*5))^3/6)+4*(((0.15*B2175*5))^4/24)+5*(((0.15*B2175*5))^5/120))/((((0.15*B2175*5))^0/1)+(((0.15*B2175*5))^1/1)+(((0.15*B2175*5))^2/2)+(((0.15*B2175*5))^3/6)+(((0.15*B2175*5))^4/24)+(((0.15*B2175*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2147*(1-MIN(100,(Inputs!$B$9+((C2160=TRUE)*(F2160-Calc!F19))+B2173+(ArtifactsInput!$M$24-ArtifactsInput!$M$24)*CHOOSE(ArtifactsInput!$N$24+1,10,12,14,16,18,20)+(IF(AND(ArtifactsInput!$M$42,((Inputs!$B$9+((C2160=TRUE)*(F2160-Calc!F19))+B2173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2147*(MIN(100,(Inputs!$B$9+((C2160=TRUE)*(F2160-Calc!F19))+B2173+(ArtifactsInput!$M$24-ArtifactsInput!$M$24)*CHOOSE(ArtifactsInput!$N$24+1,10,12,14,16,18,20)+(IF(AND(ArtifactsInput!$M$42,((Inputs!$B$9+((C2160=TRUE)*(F2160-Calc!F19))+B2173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2147*(1-MIN(100,(Inputs!$B$9+((C2160=TRUE)*(F2160-Calc!F19))+B2173+(ArtifactsInput!$M$24-ArtifactsInput!$M$24)*CHOOSE(ArtifactsInput!$N$24+1,10,12,14,16,18,20)+(IF(AND(ArtifactsInput!$M$42,((Inputs!$B$9+((C2160=TRUE)*(F2160-Calc!F19))+B2173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2147*(MIN(100,(Inputs!$B$9+((C2160=TRUE)*(F2160-Calc!F19))+B2173+(ArtifactsInput!$M$24-ArtifactsInput!$M$24)*CHOOSE(ArtifactsInput!$N$24+1,10,12,14,16,18,20)+(IF(AND(ArtifactsInput!$M$42,((Inputs!$B$9+((C2160=TRUE)*(F2160-Calc!F19))+B2173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147">
        <f>IF(C2147,(H2147*N2147*IF(AND(Inputs!$B$38&lt;&gt;"pvp",Inputs!$B$43&gt;0),((Skills!G6*((R2147-1)*IF(Skills!H6&gt;0,Skills!I6/Skills!H6,1)+IF(Skills!H6&gt;0,MIN(Skills!I6,MAX(0,MAX(0,Inputs!$B$43-B2180)-((R2147-1)*IF(Inputs!$B$38="pvp",15,MAX(0.1,Skills!D6-IF(Skills!E6=TRUE,Inputs!$B$32,0))))))/Skills!H6,1)))/Inputs!$B$43),G2147*Q2147))*IF(Inputs!$B$38="pvp",1,(1+(Inputs!$B$21+Skills!Q6+(IF(ArtifactsInput!$M$33,CHOOSE(ArtifactsInput!$N$33+1,30,36,42,48,54,60),0))+(IF(AND(ArtifactsInput!$M$35,Inputs!$B$4&lt;&gt;"Chapter Hunt"),CHOOSE(ArtifactsInput!$N$35+1,15,18,21,24,27,30)*(1-EXP(-(0.2*B2175)*5)),0)+IF(AND(ArtifactsInput!$M$22,Inputs!$B$4&lt;&gt;"Chapter Hunt"),CHOOSE(ArtifactsInput!$N$22+1,10,12,14,16,18,20)*((0*(((0.15*B2175*5))^0/1)+1*(((0.15*B2175*5))^1/1)+2*(((0.15*B2175*5))^2/2)+3*(((0.15*B2175*5))^3/6)+4*(((0.15*B2175*5))^4/24)+5*(((0.15*B2175*5))^5/120))/((((0.15*B2175*5))^0/1)+(((0.15*B2175*5))^1/1)+(((0.15*B2175*5))^2/2)+(((0.15*B2175*5))^3/6)+(((0.15*B2175*5))^4/24)+(((0.15*B2175*5))^5/120))),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148">
      <c r="A2148">
        <f>Skills!A7</f>
        <v/>
      </c>
      <c r="B2148">
        <f>Skills!B7</f>
        <v/>
      </c>
      <c r="C2148">
        <f>Inputs!$B$3&gt;=69</f>
        <v/>
      </c>
      <c r="D2148">
        <f>IF(Skills!C7=1,60+Inputs!$B$25+Inputs!$B$29,IF(Skills!C7=2,90+Inputs!$B$26+Inputs!$B$29,IF(Skills!C7=3,120+Inputs!$B$27+Inputs!$B$29,MAX(0,(Inputs!$B$3-100)*3)+Inputs!$B$28+Inputs!$B$29)))</f>
        <v/>
      </c>
      <c r="E2148">
        <f>INDEX(FactorTable!$B$2:$Y$301, MATCH(ROUND(MIN(300,MAX(1,D2148)),0), FactorTable!$A$2:$A$301,0), Skills!M7+1)</f>
        <v/>
      </c>
      <c r="F2148">
        <f>IF(Skills!N7=TRUE,(Skills!L7/10)*(E2148/1000),Skills!L7/10)+Skills!O7</f>
        <v/>
      </c>
      <c r="G2148">
        <f>Skills!G7*IF(Skills!H7&gt;0,Skills!I7/Skills!H7,1)</f>
        <v/>
      </c>
      <c r="H2148">
        <f>1-(1-Skills!J7/100)^Skills!K7</f>
        <v/>
      </c>
      <c r="I2148" t="inlineStr">
        <is>
          <t>1</t>
        </is>
      </c>
      <c r="J2148">
        <f>((Inputs!$B$6*(1+Inputs!$B$7/100))+(((Inputs!$B$12*(1+Inputs!$B$13/100))-(Inputs!$B$12*(1+Inputs!$B$13/100)))+0.25*(Inputs!$B$14-Inputs!$B$14))*(1+Inputs!$B$7/100))*(F2148/100)</f>
        <v/>
      </c>
      <c r="K2148">
        <f>J2148*(1+((Inputs!$B$12*(1+Inputs!$B$13/100))*0.01+Inputs!$B$14*0.0025)/100)*(1+Inputs!$B$15/100)*(1+Inputs!$B$16/100)*(5000/(6000+Inputs!$B$42*(1-(100*(1-(1-(Inputs!$B$19+0)/100)*(1-CHOOSE(ArtifactsInput!$N$40+1,5,6,7,8,9,10)/100)^(ArtifactsInput!$M$40-ArtifactsInput!$M$40)))/100)))*(1+(Inputs!$B$24+((C2165=TRUE)*(F2165-Calc!F24))+((C2166=TRUE)*(F2166-Calc!F25))+B2179)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+1.2*IF(C2149=TRUE,F2149,0)/100)*(1+(IF(Skills!A7="EMPOWERED_PIERCING_ARROW",Inputs!$B$17+((C2163=TRUE)*(F2163-Calc!F22))+(((IF(AND(ArtifactsInput!$M$42,((Inputs!$B$9+((C2160=TRUE)*(F2160-Calc!F19))+B2173+(ArtifactsInput!$M$24-ArtifactsInput!$M$24)*CHOOSE(ArtifactsInput!$N$24+1,10,12,14,16,18,20)+IF(ArtifactsInput!$M$10,CHOOSE(ArtifactsInput!$N$10+1,15,18,21,24,27,30)*(IF(Inputs!$B$38="pvp",MIN(15,15)/15,IF(AND(Inputs!$B$38&lt;&gt;"pvp",Inputs!$B$43&gt;0),MIN(15,Inputs!$B$43)/(Inputs!$B$43),0))),0)))&gt;=100),MIN(100,((Inputs!$B$9+((C2160=TRUE)*(F2160-Calc!F19))+B2173+(ArtifactsInput!$M$24-ArtifactsInput!$M$24)*CHOOSE(ArtifactsInput!$N$24+1,10,12,14,16,18,20)+IF(ArtifactsInput!$M$10,CHOOSE(ArtifactsInput!$N$10+1,15,18,21,24,27,30)*(IF(Inputs!$B$38="pvp",MIN(15,15)/15,IF(AND(Inputs!$B$38&lt;&gt;"pvp",Inputs!$B$43&gt;0),MIN(15,Inputs!$B$43)/(Inputs!$B$43),0))),0)))-100),0))*CHOOSE(ArtifactsInput!$N$42+1,0.6,0.72,0.84,0.96,1.08,1.2))),Inputs!$B$18+((C2168=TRUE)*(F2168-Calc!F27))+(IF(AND(ArtifactsInput!$M$42,((Inputs!$B$9+((C2160=TRUE)*(F2160-Calc!F19))+B2173+(ArtifactsInput!$M$24-ArtifactsInput!$M$24)*CHOOSE(ArtifactsInput!$N$24+1,10,12,14,16,18,20)+IF(ArtifactsInput!$M$10,CHOOSE(ArtifactsInput!$N$10+1,15,18,21,24,27,30)*(IF(Inputs!$B$38="pvp",MIN(15,15)/15,IF(AND(Inputs!$B$38&lt;&gt;"pvp",Inputs!$B$43&gt;0),MIN(15,Inputs!$B$43)/(Inputs!$B$43),0))),0)))&gt;=100),CHOOSE(ArtifactsInput!$N$42+1,40,48,56,64,72,80),0))))/100)*((1+(((C2154=TRUE)*F2154)+((C2155=TRUE)*IF(Inputs!$B$38="pvp",F2155,(1-Summary!$B$11)*(F2155)+Summary!$B$11*(0)))+((C2156=TRUE)*F2156*IF(AND(Inputs!$B$38&lt;&gt;"pvp",Inputs!$B$43&gt;0),(((R2156-1)*(Skills!T15*(1+Inputs!$B$34/100))+MIN((Skills!T15*(1+Inputs!$B$34/100)),MAX(0,Inputs!$B$43-((R2156-1)*Skills!D15))))/Inputs!$B$43),IF(Inputs!$B$38="pvp",MIN((Skills!T15*(1+Inputs!$B$34/100)),15)/15,(Skills!T15*(1+Inputs!$B$34/100))/Skills!D15)))+((C2153=TRUE)*F2153)+((C2170=TRUE)*(F2170-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2148)</f>
        <v/>
      </c>
      <c r="L2148">
        <f>K2148*(MIN(Inputs!$B$22+((C2164=TRUE)*(F2164-Calc!F23)),(Inputs!$B$23+((C2169=TRUE)*(F2169-Calc!F28))+(IF(ArtifactsInput!$M$15,CHOOSE(ArtifactsInput!$N$15+1,25,30,35,40,45,50)/100*(Inputs!$B$11-Inputs!$B$11),0))))/100+(Inputs!$B$23+((C2169=TRUE)*(F2169-Calc!F28))+(IF(ArtifactsInput!$M$15,CHOOSE(ArtifactsInput!$N$15+1,25,30,35,40,45,50)/100*(Inputs!$B$11-Inputs!$B$11),0)))/100)/2</f>
        <v/>
      </c>
      <c r="M2148">
        <f>L2148*(1+(Inputs!$B$10+0+B2178+(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148">
        <f>L2148*(1-MIN((Inputs!$B$9+((C2160=TRUE)*(F2160-Calc!F19))+B2173+(ArtifactsInput!$M$24-ArtifactsInput!$M$24)*CHOOSE(ArtifactsInput!$N$24+1,10,12,14,16,18,20)+(IF(AND(ArtifactsInput!$M$42,((Inputs!$B$9+((C2160=TRUE)*(F2160-Calc!F19))+B2173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2148*(MIN((Inputs!$B$9+((C2160=TRUE)*(F2160-Calc!F19))+B2173+(ArtifactsInput!$M$24-ArtifactsInput!$M$24)*CHOOSE(ArtifactsInput!$N$24+1,10,12,14,16,18,20)+(IF(AND(ArtifactsInput!$M$42,((Inputs!$B$9+((C2160=TRUE)*(F2160-Calc!F19))+B2173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148">
        <f>(1-Summary!$B$11)*T2148+Summary!$B$11*V2148</f>
        <v/>
      </c>
      <c r="P2148">
        <f>IF(B2183=0,0,O2148/B2183)</f>
        <v/>
      </c>
      <c r="Q2148">
        <f>IFERROR(1/IF(Inputs!$B$38="pvp",15,MAX(0.1,Skills!D7-IF(Skills!E7=TRUE,Inputs!$B$32,0))),0)</f>
        <v/>
      </c>
      <c r="R2148">
        <f>IF(AND(Inputs!$B$38&lt;&gt;"pvp",Inputs!$B$43&gt;0),IF(MAX(0,Inputs!$B$43-B2180)&lt;=0,0,(INT(MAX(0,Inputs!$B$43-B2180)/IF(Inputs!$B$38="pvp",15,MAX(0.1,Skills!D7-IF(Skills!E7=TRUE,Inputs!$B$32,0))))+1)),0)</f>
        <v/>
      </c>
      <c r="S2148">
        <f>IFERROR((H2148*N2148*IF(AND(Inputs!$B$38&lt;&gt;"pvp",Inputs!$B$43&gt;0),((Skills!G7*((R2148-1)*IF(Skills!H7&gt;0,Skills!I7/Skills!H7,1)+IF(Skills!H7&gt;0,MIN(Skills!I7,MAX(0,MAX(0,Inputs!$B$43-B2180)-((R2148-1)*IF(Inputs!$B$38="pvp",15,MAX(0.1,Skills!D7-IF(Skills!E7=TRUE,Inputs!$B$32,0))))))/Skills!H7,1)))/Inputs!$B$43),G2148*Q2148))/N2148*IF(Inputs!$B$38="pvp",1,(1-Summary!$B$11)*1+Summary!$B$11*(MIN(Skills!R7,Inputs!$B$37))),0)</f>
        <v/>
      </c>
      <c r="T2148">
        <f>IF(C2148,(H2148*N2148*IF(AND(Inputs!$B$38&lt;&gt;"pvp",Inputs!$B$43&gt;0),((Skills!G7*((R2148-1)*IF(Skills!H7&gt;0,Skills!I7/Skills!H7,1)+IF(Skills!H7&gt;0,MIN(Skills!I7,MAX(0,MAX(0,Inputs!$B$43-B2180)-((R2148-1)*IF(Inputs!$B$38="pvp",15,MAX(0.1,Skills!D7-IF(Skills!E7=TRUE,Inputs!$B$32,0))))))/Skills!H7,1)))/Inputs!$B$43),G2148*Q2148))*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Hunt"),CHOOSE(ArtifactsInput!$N$35+1,15,18,21,24,27,30)*(1-EXP(-(0.2*B2175)*5)),0)+IF(AND(ArtifactsInput!$M$22,Inputs!$B$4&lt;&gt;"Chapter Hunt"),CHOOSE(ArtifactsInput!$N$22+1,10,12,14,16,18,20)*((0*(((0.15*B2175*5))^0/1)+1*(((0.15*B2175*5))^1/1)+2*(((0.15*B2175*5))^2/2)+3*(((0.15*B2175*5))^3/6)+4*(((0.15*B2175*5))^4/24)+5*(((0.15*B2175*5))^5/120))/((((0.15*B2175*5))^0/1)+(((0.15*B2175*5))^1/1)+(((0.15*B2175*5))^2/2)+(((0.15*B2175*5))^3/6)+(((0.15*B2175*5))^4/24)+(((0.15*B2175*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2148*(1-MIN(100,(Inputs!$B$9+((C2160=TRUE)*(F2160-Calc!F19))+B2173+(ArtifactsInput!$M$24-ArtifactsInput!$M$24)*CHOOSE(ArtifactsInput!$N$24+1,10,12,14,16,18,20)+(IF(AND(ArtifactsInput!$M$42,((Inputs!$B$9+((C2160=TRUE)*(F2160-Calc!F19))+B2173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2148*(MIN(100,(Inputs!$B$9+((C2160=TRUE)*(F2160-Calc!F19))+B2173+(ArtifactsInput!$M$24-ArtifactsInput!$M$24)*CHOOSE(ArtifactsInput!$N$24+1,10,12,14,16,18,20)+(IF(AND(ArtifactsInput!$M$42,((Inputs!$B$9+((C2160=TRUE)*(F2160-Calc!F19))+B2173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2148*(1-MIN(100,(Inputs!$B$9+((C2160=TRUE)*(F2160-Calc!F19))+B2173+(ArtifactsInput!$M$24-ArtifactsInput!$M$24)*CHOOSE(ArtifactsInput!$N$24+1,10,12,14,16,18,20)+(IF(AND(ArtifactsInput!$M$42,((Inputs!$B$9+((C2160=TRUE)*(F2160-Calc!F19))+B2173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2148*(MIN(100,(Inputs!$B$9+((C2160=TRUE)*(F2160-Calc!F19))+B2173+(ArtifactsInput!$M$24-ArtifactsInput!$M$24)*CHOOSE(ArtifactsInput!$N$24+1,10,12,14,16,18,20)+(IF(AND(ArtifactsInput!$M$42,((Inputs!$B$9+((C2160=TRUE)*(F2160-Calc!F19))+B2173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148">
        <f>IF(C2148,(H2148*N2148*IF(AND(Inputs!$B$38&lt;&gt;"pvp",Inputs!$B$43&gt;0),((Skills!G7*((R2148-1)*IF(Skills!H7&gt;0,Skills!I7/Skills!H7,1)+IF(Skills!H7&gt;0,MIN(Skills!I7,MAX(0,MAX(0,Inputs!$B$43-B2180)-((R2148-1)*IF(Inputs!$B$38="pvp",15,MAX(0.1,Skills!D7-IF(Skills!E7=TRUE,Inputs!$B$32,0))))))/Skills!H7,1)))/Inputs!$B$43),G2148*Q2148))*IF(Inputs!$B$38="pvp",1,(1+(Inputs!$B$21+Skills!Q7+(IF(ArtifactsInput!$M$33,CHOOSE(ArtifactsInput!$N$33+1,30,36,42,48,54,60),0))+(IF(AND(ArtifactsInput!$M$35,Inputs!$B$4&lt;&gt;"Chapter Hunt"),CHOOSE(ArtifactsInput!$N$35+1,15,18,21,24,27,30)*(1-EXP(-(0.2*B2175)*5)),0)+IF(AND(ArtifactsInput!$M$22,Inputs!$B$4&lt;&gt;"Chapter Hunt"),CHOOSE(ArtifactsInput!$N$22+1,10,12,14,16,18,20)*((0*(((0.15*B2175*5))^0/1)+1*(((0.15*B2175*5))^1/1)+2*(((0.15*B2175*5))^2/2)+3*(((0.15*B2175*5))^3/6)+4*(((0.15*B2175*5))^4/24)+5*(((0.15*B2175*5))^5/120))/((((0.15*B2175*5))^0/1)+(((0.15*B2175*5))^1/1)+(((0.15*B2175*5))^2/2)+(((0.15*B2175*5))^3/6)+(((0.15*B2175*5))^4/24)+(((0.15*B2175*5))^5/120))),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149">
      <c r="A2149">
        <f>Skills!A8</f>
        <v/>
      </c>
      <c r="B2149">
        <f>Skills!B8</f>
        <v/>
      </c>
      <c r="C2149">
        <f>Inputs!$B$3&gt;=100</f>
        <v/>
      </c>
      <c r="D2149">
        <f>IF(Skills!C8=1,60+Inputs!$B$25+Inputs!$B$29,IF(Skills!C8=2,90+Inputs!$B$26+Inputs!$B$29,IF(Skills!C8=3,120+Inputs!$B$27+Inputs!$B$29,MAX(0,(Inputs!$B$3-100)*3)+Inputs!$B$28+Inputs!$B$29)))</f>
        <v/>
      </c>
      <c r="E2149">
        <f>INDEX(FactorTable!$B$2:$Y$301, MATCH(ROUND(MIN(300,MAX(1,D2149)),0), FactorTable!$A$2:$A$301,0), Skills!M8+1)</f>
        <v/>
      </c>
      <c r="F2149">
        <f>IF(Skills!N8=TRUE,(Skills!L8/10)*(E2149/1000),Skills!L8/10)+Skills!O8</f>
        <v/>
      </c>
      <c r="G2149" t="inlineStr"/>
      <c r="H2149" t="inlineStr"/>
      <c r="I2149" t="inlineStr">
        <is>
          <t>1</t>
        </is>
      </c>
      <c r="J2149" t="inlineStr"/>
      <c r="K2149" t="inlineStr"/>
      <c r="L2149" t="inlineStr"/>
      <c r="M2149" t="inlineStr"/>
      <c r="N2149" t="inlineStr"/>
      <c r="O2149" t="inlineStr"/>
      <c r="P2149" t="inlineStr"/>
      <c r="Q2149" t="inlineStr"/>
      <c r="R2149" t="inlineStr"/>
      <c r="S2149" t="inlineStr"/>
      <c r="T2149" t="inlineStr"/>
      <c r="V2149" t="inlineStr"/>
    </row>
    <row r="2150">
      <c r="A2150">
        <f>Skills!A9</f>
        <v/>
      </c>
      <c r="B2150">
        <f>Skills!B9</f>
        <v/>
      </c>
      <c r="C2150">
        <f>Inputs!$B$3&gt;=103</f>
        <v/>
      </c>
      <c r="D2150">
        <f>IF(Skills!C9=1,60+Inputs!$B$25+Inputs!$B$29,IF(Skills!C9=2,90+Inputs!$B$26+Inputs!$B$29,IF(Skills!C9=3,120+Inputs!$B$27+Inputs!$B$29,MAX(0,(Inputs!$B$3-100)*3)+Inputs!$B$28+Inputs!$B$29)))</f>
        <v/>
      </c>
      <c r="E2150">
        <f>INDEX(FactorTable!$B$2:$Y$301, MATCH(ROUND(MIN(300,MAX(1,D2150)),0), FactorTable!$A$2:$A$301,0), Skills!M9+1)</f>
        <v/>
      </c>
      <c r="F2150">
        <f>IF(Skills!N9=TRUE,(Skills!L9/10)*(E2150/1000),Skills!L9/10)+Skills!O9</f>
        <v/>
      </c>
      <c r="G2150">
        <f>Skills!G9*IF(Skills!H9&gt;0,Skills!I9/Skills!H9,1)</f>
        <v/>
      </c>
      <c r="H2150">
        <f>1-(1-Skills!J9/100)^Skills!K9</f>
        <v/>
      </c>
      <c r="I2150" t="inlineStr">
        <is>
          <t>1</t>
        </is>
      </c>
      <c r="J2150">
        <f>((Inputs!$B$6*(1+Inputs!$B$7/100))+(((Inputs!$B$12*(1+Inputs!$B$13/100))-(Inputs!$B$12*(1+Inputs!$B$13/100)))+0.25*(Inputs!$B$14-Inputs!$B$14))*(1+Inputs!$B$7/100))*(F2150/100)</f>
        <v/>
      </c>
      <c r="K2150">
        <f>J2150*(1+((Inputs!$B$12*(1+Inputs!$B$13/100))*0.01+Inputs!$B$14*0.0025)/100)*(1+Inputs!$B$15/100)*(1+Inputs!$B$16/100)*(5000/(6000+Inputs!$B$42*(1-(100*(1-(1-(Inputs!$B$19+0)/100)*(1-CHOOSE(ArtifactsInput!$N$40+1,5,6,7,8,9,10)/100)^(ArtifactsInput!$M$40-ArtifactsInput!$M$40)))/100)))*(1+(Inputs!$B$24+((C2165=TRUE)*(F2165-Calc!F24))+((C2166=TRUE)*(F2166-Calc!F25))+B2179)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EMPOWERED_PIERCING_ARROW",Inputs!$B$17+((C2163=TRUE)*(F2163-Calc!F22))+(((IF(AND(ArtifactsInput!$M$42,((Inputs!$B$9+((C2160=TRUE)*(F2160-Calc!F19))+B2173+(ArtifactsInput!$M$24-ArtifactsInput!$M$24)*CHOOSE(ArtifactsInput!$N$24+1,10,12,14,16,18,20)+IF(ArtifactsInput!$M$10,CHOOSE(ArtifactsInput!$N$10+1,15,18,21,24,27,30)*(IF(Inputs!$B$38="pvp",MIN(15,15)/15,IF(AND(Inputs!$B$38&lt;&gt;"pvp",Inputs!$B$43&gt;0),MIN(15,Inputs!$B$43)/(Inputs!$B$43),0))),0)))&gt;=100),MIN(100,((Inputs!$B$9+((C2160=TRUE)*(F2160-Calc!F19))+B2173+(ArtifactsInput!$M$24-ArtifactsInput!$M$24)*CHOOSE(ArtifactsInput!$N$24+1,10,12,14,16,18,20)+IF(ArtifactsInput!$M$10,CHOOSE(ArtifactsInput!$N$10+1,15,18,21,24,27,30)*(IF(Inputs!$B$38="pvp",MIN(15,15)/15,IF(AND(Inputs!$B$38&lt;&gt;"pvp",Inputs!$B$43&gt;0),MIN(15,Inputs!$B$43)/(Inputs!$B$43),0))),0)))-100),0))*CHOOSE(ArtifactsInput!$N$42+1,0.6,0.72,0.84,0.96,1.08,1.2))),Inputs!$B$18+((C2168=TRUE)*(F2168-Calc!F27))+(IF(AND(ArtifactsInput!$M$42,((Inputs!$B$9+((C2160=TRUE)*(F2160-Calc!F19))+B2173+(ArtifactsInput!$M$24-ArtifactsInput!$M$24)*CHOOSE(ArtifactsInput!$N$24+1,10,12,14,16,18,20)+IF(ArtifactsInput!$M$10,CHOOSE(ArtifactsInput!$N$10+1,15,18,21,24,27,30)*(IF(Inputs!$B$38="pvp",MIN(15,15)/15,IF(AND(Inputs!$B$38&lt;&gt;"pvp",Inputs!$B$43&gt;0),MIN(15,Inputs!$B$43)/(Inputs!$B$43),0))),0)))&gt;=100),CHOOSE(ArtifactsInput!$N$42+1,40,48,56,64,72,80),0))))/100)*((1+(((C2154=TRUE)*F2154)+((C2155=TRUE)*IF(Inputs!$B$38="pvp",F2155,(1-Summary!$B$11)*(F2155)+Summary!$B$11*(0)))+((C2156=TRUE)*F2156*IF(AND(Inputs!$B$38&lt;&gt;"pvp",Inputs!$B$43&gt;0),(((R2156-1)*(Skills!T15*(1+Inputs!$B$34/100))+MIN((Skills!T15*(1+Inputs!$B$34/100)),MAX(0,Inputs!$B$43-((R2156-1)*Skills!D15))))/Inputs!$B$43),IF(Inputs!$B$38="pvp",MIN((Skills!T15*(1+Inputs!$B$34/100)),15)/15,(Skills!T15*(1+Inputs!$B$34/100))/Skills!D15)))+((C2153=TRUE)*F2153)+((C2170=TRUE)*(F2170-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2150)</f>
        <v/>
      </c>
      <c r="L2150">
        <f>K2150*(MIN(Inputs!$B$22+((C2164=TRUE)*(F2164-Calc!F23)),(Inputs!$B$23+((C2169=TRUE)*(F2169-Calc!F28))+(IF(ArtifactsInput!$M$15,CHOOSE(ArtifactsInput!$N$15+1,25,30,35,40,45,50)/100*(Inputs!$B$11-Inputs!$B$11),0))))/100+(Inputs!$B$23+((C2169=TRUE)*(F2169-Calc!F28))+(IF(ArtifactsInput!$M$15,CHOOSE(ArtifactsInput!$N$15+1,25,30,35,40,45,50)/100*(Inputs!$B$11-Inputs!$B$11),0)))/100)/2</f>
        <v/>
      </c>
      <c r="M2150">
        <f>L2150*(1+(Inputs!$B$10+0+B2178+(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150">
        <f>L2150*(1-MIN((Inputs!$B$9+((C2160=TRUE)*(F2160-Calc!F19))+B2173+(ArtifactsInput!$M$24-ArtifactsInput!$M$24)*CHOOSE(ArtifactsInput!$N$24+1,10,12,14,16,18,20)+(IF(AND(ArtifactsInput!$M$42,((Inputs!$B$9+((C2160=TRUE)*(F2160-Calc!F19))+B2173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2150*(MIN((Inputs!$B$9+((C2160=TRUE)*(F2160-Calc!F19))+B2173+(ArtifactsInput!$M$24-ArtifactsInput!$M$24)*CHOOSE(ArtifactsInput!$N$24+1,10,12,14,16,18,20)+(IF(AND(ArtifactsInput!$M$42,((Inputs!$B$9+((C2160=TRUE)*(F2160-Calc!F19))+B2173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150">
        <f>(1-Summary!$B$11)*T2150+Summary!$B$11*V2150</f>
        <v/>
      </c>
      <c r="P2150">
        <f>IF(B2183=0,0,O2150/B2183)</f>
        <v/>
      </c>
      <c r="Q2150">
        <f>IFERROR(1/IF(Inputs!$B$38="pvp",15,MAX(0.1,Skills!D9-IF(Skills!E9=TRUE,Inputs!$B$32,0))),0)</f>
        <v/>
      </c>
      <c r="R2150">
        <f>IF(AND(Inputs!$B$38&lt;&gt;"pvp",Inputs!$B$43&gt;0),IF(MAX(0,Inputs!$B$43-B2180)&lt;=0,0,(INT(MAX(0,Inputs!$B$43-B2180)/IF(Inputs!$B$38="pvp",15,MAX(0.1,Skills!D9-IF(Skills!E9=TRUE,Inputs!$B$32,0))))+1)),0)</f>
        <v/>
      </c>
      <c r="S2150">
        <f>IFERROR((H2150*N2150*IF(AND(Inputs!$B$38&lt;&gt;"pvp",Inputs!$B$43&gt;0),((Skills!G9*((R2150-1)*IF(Skills!H9&gt;0,Skills!I9/Skills!H9,1)+IF(Skills!H9&gt;0,MIN(Skills!I9,MAX(0,MAX(0,Inputs!$B$43-B2180)-((R2150-1)*IF(Inputs!$B$38="pvp",15,MAX(0.1,Skills!D9-IF(Skills!E9=TRUE,Inputs!$B$32,0))))))/Skills!H9,1)))/Inputs!$B$43),G2150*Q2150))/N2150*IF(Inputs!$B$38="pvp",1,(1-Summary!$B$11)*1+Summary!$B$11*(MIN(Skills!R9,Inputs!$B$37))),0)</f>
        <v/>
      </c>
      <c r="T2150">
        <f>IF(C2150,(H2150*N2150*IF(AND(Inputs!$B$38&lt;&gt;"pvp",Inputs!$B$43&gt;0),((Skills!G9*((R2150-1)*IF(Skills!H9&gt;0,Skills!I9/Skills!H9,1)+IF(Skills!H9&gt;0,MIN(Skills!I9,MAX(0,MAX(0,Inputs!$B$43-B2180)-((R2150-1)*IF(Inputs!$B$38="pvp",15,MAX(0.1,Skills!D9-IF(Skills!E9=TRUE,Inputs!$B$32,0))))))/Skills!H9,1)))/Inputs!$B$43),G2150*Q2150))*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Hunt"),CHOOSE(ArtifactsInput!$N$35+1,15,18,21,24,27,30)*(1-EXP(-(0.2*B2175)*5)),0)+IF(AND(ArtifactsInput!$M$22,Inputs!$B$4&lt;&gt;"Chapter Hunt"),CHOOSE(ArtifactsInput!$N$22+1,10,12,14,16,18,20)*((0*(((0.15*B2175*5))^0/1)+1*(((0.15*B2175*5))^1/1)+2*(((0.15*B2175*5))^2/2)+3*(((0.15*B2175*5))^3/6)+4*(((0.15*B2175*5))^4/24)+5*(((0.15*B2175*5))^5/120))/((((0.15*B2175*5))^0/1)+(((0.15*B2175*5))^1/1)+(((0.15*B2175*5))^2/2)+(((0.15*B2175*5))^3/6)+(((0.15*B2175*5))^4/24)+(((0.15*B2175*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2150*(1-MIN(100,(Inputs!$B$9+((C2160=TRUE)*(F2160-Calc!F19))+B2173+(ArtifactsInput!$M$24-ArtifactsInput!$M$24)*CHOOSE(ArtifactsInput!$N$24+1,10,12,14,16,18,20)+(IF(AND(ArtifactsInput!$M$42,((Inputs!$B$9+((C2160=TRUE)*(F2160-Calc!F19))+B2173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2150*(MIN(100,(Inputs!$B$9+((C2160=TRUE)*(F2160-Calc!F19))+B2173+(ArtifactsInput!$M$24-ArtifactsInput!$M$24)*CHOOSE(ArtifactsInput!$N$24+1,10,12,14,16,18,20)+(IF(AND(ArtifactsInput!$M$42,((Inputs!$B$9+((C2160=TRUE)*(F2160-Calc!F19))+B2173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2150*(1-MIN(100,(Inputs!$B$9+((C2160=TRUE)*(F2160-Calc!F19))+B2173+(ArtifactsInput!$M$24-ArtifactsInput!$M$24)*CHOOSE(ArtifactsInput!$N$24+1,10,12,14,16,18,20)+(IF(AND(ArtifactsInput!$M$42,((Inputs!$B$9+((C2160=TRUE)*(F2160-Calc!F19))+B2173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2150*(MIN(100,(Inputs!$B$9+((C2160=TRUE)*(F2160-Calc!F19))+B2173+(ArtifactsInput!$M$24-ArtifactsInput!$M$24)*CHOOSE(ArtifactsInput!$N$24+1,10,12,14,16,18,20)+(IF(AND(ArtifactsInput!$M$42,((Inputs!$B$9+((C2160=TRUE)*(F2160-Calc!F19))+B2173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150">
        <f>IF(C2150,(H2150*N2150*IF(AND(Inputs!$B$38&lt;&gt;"pvp",Inputs!$B$43&gt;0),((Skills!G9*((R2150-1)*IF(Skills!H9&gt;0,Skills!I9/Skills!H9,1)+IF(Skills!H9&gt;0,MIN(Skills!I9,MAX(0,MAX(0,Inputs!$B$43-B2180)-((R2150-1)*IF(Inputs!$B$38="pvp",15,MAX(0.1,Skills!D9-IF(Skills!E9=TRUE,Inputs!$B$32,0))))))/Skills!H9,1)))/Inputs!$B$43),G2150*Q2150))*IF(Inputs!$B$38="pvp",1,(1+(Inputs!$B$21+Skills!Q9+(IF(ArtifactsInput!$M$33,CHOOSE(ArtifactsInput!$N$33+1,30,36,42,48,54,60),0))+(IF(AND(ArtifactsInput!$M$35,Inputs!$B$4&lt;&gt;"Chapter Hunt"),CHOOSE(ArtifactsInput!$N$35+1,15,18,21,24,27,30)*(1-EXP(-(0.2*B2175)*5)),0)+IF(AND(ArtifactsInput!$M$22,Inputs!$B$4&lt;&gt;"Chapter Hunt"),CHOOSE(ArtifactsInput!$N$22+1,10,12,14,16,18,20)*((0*(((0.15*B2175*5))^0/1)+1*(((0.15*B2175*5))^1/1)+2*(((0.15*B2175*5))^2/2)+3*(((0.15*B2175*5))^3/6)+4*(((0.15*B2175*5))^4/24)+5*(((0.15*B2175*5))^5/120))/((((0.15*B2175*5))^0/1)+(((0.15*B2175*5))^1/1)+(((0.15*B2175*5))^2/2)+(((0.15*B2175*5))^3/6)+(((0.15*B2175*5))^4/24)+(((0.15*B2175*5))^5/120)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151">
      <c r="A2151">
        <f>Skills!A10</f>
        <v/>
      </c>
      <c r="B2151">
        <f>Skills!B10</f>
        <v/>
      </c>
      <c r="C2151">
        <f>Inputs!$B$3&gt;=107</f>
        <v/>
      </c>
      <c r="D2151">
        <f>IF(Skills!C10=1,60+Inputs!$B$25+Inputs!$B$29,IF(Skills!C10=2,90+Inputs!$B$26+Inputs!$B$29,IF(Skills!C10=3,120+Inputs!$B$27+Inputs!$B$29,MAX(0,(Inputs!$B$3-100)*3)+Inputs!$B$28+Inputs!$B$29)))</f>
        <v/>
      </c>
      <c r="E2151">
        <f>INDEX(FactorTable!$B$2:$Y$301, MATCH(ROUND(MIN(300,MAX(1,D2151)),0), FactorTable!$A$2:$A$301,0), Skills!M10+1)</f>
        <v/>
      </c>
      <c r="F2151">
        <f>IF(Skills!N10=TRUE,(Skills!L10/10)*(E2151/1000),Skills!L10/10)+Skills!O10</f>
        <v/>
      </c>
      <c r="G2151">
        <f>Skills!G10*IF(Skills!H10&gt;0,Skills!I10/Skills!H10,1)</f>
        <v/>
      </c>
      <c r="H2151">
        <f>1-(1-Skills!J10/100)^Skills!K10</f>
        <v/>
      </c>
      <c r="I2151" t="inlineStr">
        <is>
          <t>1</t>
        </is>
      </c>
      <c r="J2151">
        <f>((Inputs!$B$6*(1+Inputs!$B$7/100))+(((Inputs!$B$12*(1+Inputs!$B$13/100))-(Inputs!$B$12*(1+Inputs!$B$13/100)))+0.25*(Inputs!$B$14-Inputs!$B$14))*(1+Inputs!$B$7/100))*(F2151/100)</f>
        <v/>
      </c>
      <c r="K2151">
        <f>J2151*(1+((Inputs!$B$12*(1+Inputs!$B$13/100))*0.01+Inputs!$B$14*0.0025)/100)*(1+Inputs!$B$15/100)*(1+Inputs!$B$16/100)*(5000/(6000+Inputs!$B$42*(1-(100*(1-(1-(Inputs!$B$19+0)/100)*(1-CHOOSE(ArtifactsInput!$N$40+1,5,6,7,8,9,10)/100)^(ArtifactsInput!$M$40-ArtifactsInput!$M$40)))/100)))*(1+(Inputs!$B$24+((C2165=TRUE)*(F2165-Calc!F24))+((C2166=TRUE)*(F2166-Calc!F25))+B2179)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EMPOWERED_PIERCING_ARROW",Inputs!$B$17+((C2163=TRUE)*(F2163-Calc!F22))+(((IF(AND(ArtifactsInput!$M$42,((Inputs!$B$9+((C2160=TRUE)*(F2160-Calc!F19))+B2173+(ArtifactsInput!$M$24-ArtifactsInput!$M$24)*CHOOSE(ArtifactsInput!$N$24+1,10,12,14,16,18,20)+IF(ArtifactsInput!$M$10,CHOOSE(ArtifactsInput!$N$10+1,15,18,21,24,27,30)*(IF(Inputs!$B$38="pvp",MIN(15,15)/15,IF(AND(Inputs!$B$38&lt;&gt;"pvp",Inputs!$B$43&gt;0),MIN(15,Inputs!$B$43)/(Inputs!$B$43),0))),0)))&gt;=100),MIN(100,((Inputs!$B$9+((C2160=TRUE)*(F2160-Calc!F19))+B2173+(ArtifactsInput!$M$24-ArtifactsInput!$M$24)*CHOOSE(ArtifactsInput!$N$24+1,10,12,14,16,18,20)+IF(ArtifactsInput!$M$10,CHOOSE(ArtifactsInput!$N$10+1,15,18,21,24,27,30)*(IF(Inputs!$B$38="pvp",MIN(15,15)/15,IF(AND(Inputs!$B$38&lt;&gt;"pvp",Inputs!$B$43&gt;0),MIN(15,Inputs!$B$43)/(Inputs!$B$43),0))),0)))-100),0))*CHOOSE(ArtifactsInput!$N$42+1,0.6,0.72,0.84,0.96,1.08,1.2))),Inputs!$B$18+((C2168=TRUE)*(F2168-Calc!F27))+(IF(AND(ArtifactsInput!$M$42,((Inputs!$B$9+((C2160=TRUE)*(F2160-Calc!F19))+B2173+(ArtifactsInput!$M$24-ArtifactsInput!$M$24)*CHOOSE(ArtifactsInput!$N$24+1,10,12,14,16,18,20)+IF(ArtifactsInput!$M$10,CHOOSE(ArtifactsInput!$N$10+1,15,18,21,24,27,30)*(IF(Inputs!$B$38="pvp",MIN(15,15)/15,IF(AND(Inputs!$B$38&lt;&gt;"pvp",Inputs!$B$43&gt;0),MIN(15,Inputs!$B$43)/(Inputs!$B$43),0))),0)))&gt;=100),CHOOSE(ArtifactsInput!$N$42+1,40,48,56,64,72,80),0))))/100)*((1+(((C2154=TRUE)*F2154)+((C2155=TRUE)*IF(Inputs!$B$38="pvp",F2155,(1-Summary!$B$11)*(F2155)+Summary!$B$11*(0)))+((C2156=TRUE)*F2156*IF(AND(Inputs!$B$38&lt;&gt;"pvp",Inputs!$B$43&gt;0),(((R2156-1)*(Skills!T15*(1+Inputs!$B$34/100))+MIN((Skills!T15*(1+Inputs!$B$34/100)),MAX(0,Inputs!$B$43-((R2156-1)*Skills!D15))))/Inputs!$B$43),IF(Inputs!$B$38="pvp",MIN((Skills!T15*(1+Inputs!$B$34/100)),15)/15,(Skills!T15*(1+Inputs!$B$34/100))/Skills!D15)))+((C2153=TRUE)*F2153)+((C2170=TRUE)*(F2170-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2151)</f>
        <v/>
      </c>
      <c r="L2151">
        <f>K2151*(MIN(Inputs!$B$22+((C2164=TRUE)*(F2164-Calc!F23)),(Inputs!$B$23+((C2169=TRUE)*(F2169-Calc!F28))+(IF(ArtifactsInput!$M$15,CHOOSE(ArtifactsInput!$N$15+1,25,30,35,40,45,50)/100*(Inputs!$B$11-Inputs!$B$11),0))))/100+(Inputs!$B$23+((C2169=TRUE)*(F2169-Calc!F28))+(IF(ArtifactsInput!$M$15,CHOOSE(ArtifactsInput!$N$15+1,25,30,35,40,45,50)/100*(Inputs!$B$11-Inputs!$B$11),0)))/100)/2</f>
        <v/>
      </c>
      <c r="M2151">
        <f>L2151*(1+(Inputs!$B$10+0+B2178+(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151">
        <f>L2151*(1-MIN((Inputs!$B$9+((C2160=TRUE)*(F2160-Calc!F19))+B2173+(ArtifactsInput!$M$24-ArtifactsInput!$M$24)*CHOOSE(ArtifactsInput!$N$24+1,10,12,14,16,18,20)+(IF(AND(ArtifactsInput!$M$42,((Inputs!$B$9+((C2160=TRUE)*(F2160-Calc!F19))+B2173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2151*(MIN((Inputs!$B$9+((C2160=TRUE)*(F2160-Calc!F19))+B2173+(ArtifactsInput!$M$24-ArtifactsInput!$M$24)*CHOOSE(ArtifactsInput!$N$24+1,10,12,14,16,18,20)+(IF(AND(ArtifactsInput!$M$42,((Inputs!$B$9+((C2160=TRUE)*(F2160-Calc!F19))+B2173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151">
        <f>(1-Summary!$B$11)*T2151+Summary!$B$11*V2151</f>
        <v/>
      </c>
      <c r="P2151">
        <f>IF(B2183=0,0,O2151/B2183)</f>
        <v/>
      </c>
      <c r="Q2151" t="n">
        <v>0</v>
      </c>
      <c r="R2151" t="n">
        <v>0</v>
      </c>
      <c r="S2151" t="n">
        <v>0</v>
      </c>
      <c r="T2151">
        <f>IF(C2151,(0.15*SUMPRODUCT((Skills!U2:U29=TRUE)*(C2143:C2170=TRUE)*S2143:S2170)*Skills!G10*N2151)*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Hunt"),CHOOSE(ArtifactsInput!$N$35+1,15,18,21,24,27,30)*(1-EXP(-(0.2*B2175)*5)),0)+IF(AND(ArtifactsInput!$M$22,Inputs!$B$4&lt;&gt;"Chapter Hunt"),CHOOSE(ArtifactsInput!$N$22+1,10,12,14,16,18,20)*((0*(((0.15*B2175*5))^0/1)+1*(((0.15*B2175*5))^1/1)+2*(((0.15*B2175*5))^2/2)+3*(((0.15*B2175*5))^3/6)+4*(((0.15*B2175*5))^4/24)+5*(((0.15*B2175*5))^5/120))/((((0.15*B2175*5))^0/1)+(((0.15*B2175*5))^1/1)+(((0.15*B2175*5))^2/2)+(((0.15*B2175*5))^3/6)+(((0.15*B2175*5))^4/24)+(((0.15*B2175*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2151*(1-MIN(100,(Inputs!$B$9+((C2160=TRUE)*(F2160-Calc!F19))+B2173+(ArtifactsInput!$M$24-ArtifactsInput!$M$24)*CHOOSE(ArtifactsInput!$N$24+1,10,12,14,16,18,20)+(IF(AND(ArtifactsInput!$M$42,((Inputs!$B$9+((C2160=TRUE)*(F2160-Calc!F19))+B2173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2151*(MIN(100,(Inputs!$B$9+((C2160=TRUE)*(F2160-Calc!F19))+B2173+(ArtifactsInput!$M$24-ArtifactsInput!$M$24)*CHOOSE(ArtifactsInput!$N$24+1,10,12,14,16,18,20)+(IF(AND(ArtifactsInput!$M$42,((Inputs!$B$9+((C2160=TRUE)*(F2160-Calc!F19))+B2173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2151*(1-MIN(100,(Inputs!$B$9+((C2160=TRUE)*(F2160-Calc!F19))+B2173+(ArtifactsInput!$M$24-ArtifactsInput!$M$24)*CHOOSE(ArtifactsInput!$N$24+1,10,12,14,16,18,20)+(IF(AND(ArtifactsInput!$M$42,((Inputs!$B$9+((C2160=TRUE)*(F2160-Calc!F19))+B2173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2151*(MIN(100,(Inputs!$B$9+((C2160=TRUE)*(F2160-Calc!F19))+B2173+(ArtifactsInput!$M$24-ArtifactsInput!$M$24)*CHOOSE(ArtifactsInput!$N$24+1,10,12,14,16,18,20)+(IF(AND(ArtifactsInput!$M$42,((Inputs!$B$9+((C2160=TRUE)*(F2160-Calc!F19))+B2173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151">
        <f>IF(C2151,(0.15*SUMPRODUCT((Skills!U2:U29=TRUE)*(C2143:C2170=TRUE)*S2143:S2170)*Skills!G10*N2151)*IF(Inputs!$B$38="pvp",1,(1+(Inputs!$B$21+Skills!Q10+(IF(ArtifactsInput!$M$33,CHOOSE(ArtifactsInput!$N$33+1,30,36,42,48,54,60),0))+(IF(AND(ArtifactsInput!$M$35,Inputs!$B$4&lt;&gt;"Chapter Hunt"),CHOOSE(ArtifactsInput!$N$35+1,15,18,21,24,27,30)*(1-EXP(-(0.2*B2175)*5)),0)+IF(AND(ArtifactsInput!$M$22,Inputs!$B$4&lt;&gt;"Chapter Hunt"),CHOOSE(ArtifactsInput!$N$22+1,10,12,14,16,18,20)*((0*(((0.15*B2175*5))^0/1)+1*(((0.15*B2175*5))^1/1)+2*(((0.15*B2175*5))^2/2)+3*(((0.15*B2175*5))^3/6)+4*(((0.15*B2175*5))^4/24)+5*(((0.15*B2175*5))^5/120))/((((0.15*B2175*5))^0/1)+(((0.15*B2175*5))^1/1)+(((0.15*B2175*5))^2/2)+(((0.15*B2175*5))^3/6)+(((0.15*B2175*5))^4/24)+(((0.15*B2175*5))^5/120)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152">
      <c r="A2152">
        <f>Skills!A11</f>
        <v/>
      </c>
      <c r="B2152">
        <f>Skills!B11</f>
        <v/>
      </c>
      <c r="C2152">
        <f>Inputs!$B$3&gt;=110</f>
        <v/>
      </c>
      <c r="D2152">
        <f>IF(Skills!C11=1,60+Inputs!$B$25+Inputs!$B$29,IF(Skills!C11=2,90+Inputs!$B$26+Inputs!$B$29,IF(Skills!C11=3,120+Inputs!$B$27+Inputs!$B$29,MAX(0,(Inputs!$B$3-100)*3)+Inputs!$B$28+Inputs!$B$29)))</f>
        <v/>
      </c>
      <c r="E2152">
        <f>INDEX(FactorTable!$B$2:$Y$301, MATCH(ROUND(MIN(300,MAX(1,D2152)),0), FactorTable!$A$2:$A$301,0), Skills!M11+1)</f>
        <v/>
      </c>
      <c r="F2152">
        <f>IF(Skills!N11=TRUE,(Skills!L11/10)*(E2152/1000),Skills!L11/10)+Skills!O11</f>
        <v/>
      </c>
      <c r="G2152">
        <f>Skills!G11*IF(Skills!H11&gt;0,Skills!I11/Skills!H11,1)</f>
        <v/>
      </c>
      <c r="H2152">
        <f>1-(1-Skills!J11/100)^Skills!K11</f>
        <v/>
      </c>
      <c r="I2152" t="inlineStr">
        <is>
          <t>1</t>
        </is>
      </c>
      <c r="J2152">
        <f>((Inputs!$B$6*(1+Inputs!$B$7/100))+(((Inputs!$B$12*(1+Inputs!$B$13/100))-(Inputs!$B$12*(1+Inputs!$B$13/100)))+0.25*(Inputs!$B$14-Inputs!$B$14))*(1+Inputs!$B$7/100))*(F2152/100)</f>
        <v/>
      </c>
      <c r="K2152">
        <f>J2152*(1+((Inputs!$B$12*(1+Inputs!$B$13/100))*0.01+Inputs!$B$14*0.0025)/100)*(1+Inputs!$B$15/100)*(1+Inputs!$B$16/100)*(5000/(6000+Inputs!$B$42*(1-(100*(1-(1-(Inputs!$B$19+0)/100)*(1-CHOOSE(ArtifactsInput!$N$40+1,5,6,7,8,9,10)/100)^(ArtifactsInput!$M$40-ArtifactsInput!$M$40)))/100)))*(1+(Inputs!$B$24+((C2165=TRUE)*(F2165-Calc!F24))+((C2166=TRUE)*(F2166-Calc!F25))+B2179)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11="EMPOWERED_PIERCING_ARROW",Inputs!$B$17+((C2163=TRUE)*(F2163-Calc!F22))+(((IF(AND(ArtifactsInput!$M$42,((Inputs!$B$9+((C2160=TRUE)*(F2160-Calc!F19))+B2173+(ArtifactsInput!$M$24-ArtifactsInput!$M$24)*CHOOSE(ArtifactsInput!$N$24+1,10,12,14,16,18,20)+IF(ArtifactsInput!$M$10,CHOOSE(ArtifactsInput!$N$10+1,15,18,21,24,27,30)*(IF(Inputs!$B$38="pvp",MIN(15,15)/15,IF(AND(Inputs!$B$38&lt;&gt;"pvp",Inputs!$B$43&gt;0),MIN(15,Inputs!$B$43)/(Inputs!$B$43),0))),0)))&gt;=100),MIN(100,((Inputs!$B$9+((C2160=TRUE)*(F2160-Calc!F19))+B2173+(ArtifactsInput!$M$24-ArtifactsInput!$M$24)*CHOOSE(ArtifactsInput!$N$24+1,10,12,14,16,18,20)+IF(ArtifactsInput!$M$10,CHOOSE(ArtifactsInput!$N$10+1,15,18,21,24,27,30)*(IF(Inputs!$B$38="pvp",MIN(15,15)/15,IF(AND(Inputs!$B$38&lt;&gt;"pvp",Inputs!$B$43&gt;0),MIN(15,Inputs!$B$43)/(Inputs!$B$43),0))),0)))-100),0))*CHOOSE(ArtifactsInput!$N$42+1,0.6,0.72,0.84,0.96,1.08,1.2))),Inputs!$B$18+((C2168=TRUE)*(F2168-Calc!F27))+(IF(AND(ArtifactsInput!$M$42,((Inputs!$B$9+((C2160=TRUE)*(F2160-Calc!F19))+B2173+(ArtifactsInput!$M$24-ArtifactsInput!$M$24)*CHOOSE(ArtifactsInput!$N$24+1,10,12,14,16,18,20)+IF(ArtifactsInput!$M$10,CHOOSE(ArtifactsInput!$N$10+1,15,18,21,24,27,30)*(IF(Inputs!$B$38="pvp",MIN(15,15)/15,IF(AND(Inputs!$B$38&lt;&gt;"pvp",Inputs!$B$43&gt;0),MIN(15,Inputs!$B$43)/(Inputs!$B$43),0))),0)))&gt;=100),CHOOSE(ArtifactsInput!$N$42+1,40,48,56,64,72,80),0))))/100)*((1+(((C2154=TRUE)*F2154)+((C2155=TRUE)*IF(Inputs!$B$38="pvp",F2155,(1-Summary!$B$11)*(F2155)+Summary!$B$11*(0)))+((C2156=TRUE)*F2156*IF(AND(Inputs!$B$38&lt;&gt;"pvp",Inputs!$B$43&gt;0),(((R2156-1)*(Skills!T15*(1+Inputs!$B$34/100))+MIN((Skills!T15*(1+Inputs!$B$34/100)),MAX(0,Inputs!$B$43-((R2156-1)*Skills!D15))))/Inputs!$B$43),IF(Inputs!$B$38="pvp",MIN((Skills!T15*(1+Inputs!$B$34/100)),15)/15,(Skills!T15*(1+Inputs!$B$34/100))/Skills!D15)))+((C2153=TRUE)*F2153)+((C2170=TRUE)*(F2170-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2152)</f>
        <v/>
      </c>
      <c r="L2152">
        <f>K2152*(MIN(Inputs!$B$22+((C2164=TRUE)*(F2164-Calc!F23)),(Inputs!$B$23+((C2169=TRUE)*(F2169-Calc!F28))+(IF(ArtifactsInput!$M$15,CHOOSE(ArtifactsInput!$N$15+1,25,30,35,40,45,50)/100*(Inputs!$B$11-Inputs!$B$11),0))))/100+(Inputs!$B$23+((C2169=TRUE)*(F2169-Calc!F28))+(IF(ArtifactsInput!$M$15,CHOOSE(ArtifactsInput!$N$15+1,25,30,35,40,45,50)/100*(Inputs!$B$11-Inputs!$B$11),0)))/100)/2</f>
        <v/>
      </c>
      <c r="M2152">
        <f>L2152*(1+(Inputs!$B$10+0+B2178+(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152">
        <f>L2152*(1-MIN((Inputs!$B$9+((C2160=TRUE)*(F2160-Calc!F19))+B2173+(ArtifactsInput!$M$24-ArtifactsInput!$M$24)*CHOOSE(ArtifactsInput!$N$24+1,10,12,14,16,18,20)+(IF(AND(ArtifactsInput!$M$42,((Inputs!$B$9+((C2160=TRUE)*(F2160-Calc!F19))+B2173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2152*(MIN((Inputs!$B$9+((C2160=TRUE)*(F2160-Calc!F19))+B2173+(ArtifactsInput!$M$24-ArtifactsInput!$M$24)*CHOOSE(ArtifactsInput!$N$24+1,10,12,14,16,18,20)+(IF(AND(ArtifactsInput!$M$42,((Inputs!$B$9+((C2160=TRUE)*(F2160-Calc!F19))+B2173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152">
        <f>(1-Summary!$B$11)*T2152+Summary!$B$11*V2152</f>
        <v/>
      </c>
      <c r="P2152">
        <f>IF(B2183=0,0,O2152/B2183)</f>
        <v/>
      </c>
      <c r="Q2152">
        <f>IFERROR(1/IF(Inputs!$B$38="pvp",15,MAX(0.1,Skills!D11-IF(Skills!E11=TRUE,Inputs!$B$32,0))),0)</f>
        <v/>
      </c>
      <c r="R2152">
        <f>IF(AND(Inputs!$B$38&lt;&gt;"pvp",Inputs!$B$43&gt;0),IF(MAX(0,Inputs!$B$43-B2180)&lt;=0,0,(INT(MAX(0,Inputs!$B$43-B2180)/IF(Inputs!$B$38="pvp",15,MAX(0.1,Skills!D11-IF(Skills!E11=TRUE,Inputs!$B$32,0))))+1)),0)</f>
        <v/>
      </c>
      <c r="S2152">
        <f>IFERROR((H2152*N2152*IF(AND(Inputs!$B$38&lt;&gt;"pvp",Inputs!$B$43&gt;0),((Skills!G11*((R2152-1)*IF(Skills!H11&gt;0,Skills!I11/Skills!H11,1)+IF(Skills!H11&gt;0,MIN(Skills!I11,MAX(0,MAX(0,Inputs!$B$43-B2180)-((R2152-1)*IF(Inputs!$B$38="pvp",15,MAX(0.1,Skills!D11-IF(Skills!E11=TRUE,Inputs!$B$32,0))))))/Skills!H11,1)))/Inputs!$B$43),G2152*Q2152))/N2152*IF(Inputs!$B$38="pvp",1,(1-Summary!$B$11)*1+Summary!$B$11*(MIN(Skills!R11,Inputs!$B$37))),0)</f>
        <v/>
      </c>
      <c r="T2152">
        <f>IF(C2152,(H2152*N2152*IF(AND(Inputs!$B$38&lt;&gt;"pvp",Inputs!$B$43&gt;0),((Skills!G11*((R2152-1)*IF(Skills!H11&gt;0,Skills!I11/Skills!H11,1)+IF(Skills!H11&gt;0,MIN(Skills!I11,MAX(0,MAX(0,Inputs!$B$43-B2180)-((R2152-1)*IF(Inputs!$B$38="pvp",15,MAX(0.1,Skills!D11-IF(Skills!E11=TRUE,Inputs!$B$32,0))))))/Skills!H11,1)))/Inputs!$B$43),G2152*Q2152))*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Hunt"),CHOOSE(ArtifactsInput!$N$35+1,15,18,21,24,27,30)*(1-EXP(-(0.2*B2175)*5)),0)+IF(AND(ArtifactsInput!$M$22,Inputs!$B$4&lt;&gt;"Chapter Hunt"),CHOOSE(ArtifactsInput!$N$22+1,10,12,14,16,18,20)*((0*(((0.15*B2175*5))^0/1)+1*(((0.15*B2175*5))^1/1)+2*(((0.15*B2175*5))^2/2)+3*(((0.15*B2175*5))^3/6)+4*(((0.15*B2175*5))^4/24)+5*(((0.15*B2175*5))^5/120))/((((0.15*B2175*5))^0/1)+(((0.15*B2175*5))^1/1)+(((0.15*B2175*5))^2/2)+(((0.15*B2175*5))^3/6)+(((0.15*B2175*5))^4/24)+(((0.15*B2175*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2152*(1-MIN(100,(Inputs!$B$9+((C2160=TRUE)*(F2160-Calc!F19))+B2173+(ArtifactsInput!$M$24-ArtifactsInput!$M$24)*CHOOSE(ArtifactsInput!$N$24+1,10,12,14,16,18,20)+(IF(AND(ArtifactsInput!$M$42,((Inputs!$B$9+((C2160=TRUE)*(F2160-Calc!F19))+B2173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2152*(MIN(100,(Inputs!$B$9+((C2160=TRUE)*(F2160-Calc!F19))+B2173+(ArtifactsInput!$M$24-ArtifactsInput!$M$24)*CHOOSE(ArtifactsInput!$N$24+1,10,12,14,16,18,20)+(IF(AND(ArtifactsInput!$M$42,((Inputs!$B$9+((C2160=TRUE)*(F2160-Calc!F19))+B2173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2152*(1-MIN(100,(Inputs!$B$9+((C2160=TRUE)*(F2160-Calc!F19))+B2173+(ArtifactsInput!$M$24-ArtifactsInput!$M$24)*CHOOSE(ArtifactsInput!$N$24+1,10,12,14,16,18,20)+(IF(AND(ArtifactsInput!$M$42,((Inputs!$B$9+((C2160=TRUE)*(F2160-Calc!F19))+B2173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2152*(MIN(100,(Inputs!$B$9+((C2160=TRUE)*(F2160-Calc!F19))+B2173+(ArtifactsInput!$M$24-ArtifactsInput!$M$24)*CHOOSE(ArtifactsInput!$N$24+1,10,12,14,16,18,20)+(IF(AND(ArtifactsInput!$M$42,((Inputs!$B$9+((C2160=TRUE)*(F2160-Calc!F19))+B2173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152">
        <f>IF(C2152,(H2152*N2152*IF(AND(Inputs!$B$38&lt;&gt;"pvp",Inputs!$B$43&gt;0),((Skills!G11*((R2152-1)*IF(Skills!H11&gt;0,Skills!I11/Skills!H11,1)+IF(Skills!H11&gt;0,MIN(Skills!I11,MAX(0,MAX(0,Inputs!$B$43-B2180)-((R2152-1)*IF(Inputs!$B$38="pvp",15,MAX(0.1,Skills!D11-IF(Skills!E11=TRUE,Inputs!$B$32,0))))))/Skills!H11,1)))/Inputs!$B$43),G2152*Q2152))*IF(Inputs!$B$38="pvp",1,(1+(Inputs!$B$21+Skills!Q11+(IF(ArtifactsInput!$M$33,CHOOSE(ArtifactsInput!$N$33+1,30,36,42,48,54,60),0))+(IF(AND(ArtifactsInput!$M$35,Inputs!$B$4&lt;&gt;"Chapter Hunt"),CHOOSE(ArtifactsInput!$N$35+1,15,18,21,24,27,30)*(1-EXP(-(0.2*B2175)*5)),0)+IF(AND(ArtifactsInput!$M$22,Inputs!$B$4&lt;&gt;"Chapter Hunt"),CHOOSE(ArtifactsInput!$N$22+1,10,12,14,16,18,20)*((0*(((0.15*B2175*5))^0/1)+1*(((0.15*B2175*5))^1/1)+2*(((0.15*B2175*5))^2/2)+3*(((0.15*B2175*5))^3/6)+4*(((0.15*B2175*5))^4/24)+5*(((0.15*B2175*5))^5/120))/((((0.15*B2175*5))^0/1)+(((0.15*B2175*5))^1/1)+(((0.15*B2175*5))^2/2)+(((0.15*B2175*5))^3/6)+(((0.15*B2175*5))^4/24)+(((0.15*B2175*5))^5/120))),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153">
      <c r="A2153">
        <f>Skills!A12</f>
        <v/>
      </c>
      <c r="B2153">
        <f>Skills!B12</f>
        <v/>
      </c>
      <c r="C2153">
        <f>Inputs!$B$3&gt;=60</f>
        <v/>
      </c>
      <c r="D2153">
        <f>IF(Skills!C12=1,60+Inputs!$B$25+Inputs!$B$29,IF(Skills!C12=2,90+Inputs!$B$26+Inputs!$B$29,IF(Skills!C12=3,120+Inputs!$B$27+Inputs!$B$29,MAX(0,(Inputs!$B$3-100)*3)+Inputs!$B$28+Inputs!$B$29)))</f>
        <v/>
      </c>
      <c r="E2153">
        <f>INDEX(FactorTable!$B$2:$Y$301, MATCH(ROUND(MIN(300,MAX(1,D2153)),0), FactorTable!$A$2:$A$301,0), Skills!M12+1)</f>
        <v/>
      </c>
      <c r="F2153">
        <f>IF(Skills!N12=TRUE,(Skills!L12/10)*(E2153/1000),Skills!L12/10)+Skills!O12</f>
        <v/>
      </c>
      <c r="G2153">
        <f>Skills!G12*IF(Skills!H12&gt;0,Skills!I12/Skills!H12,1)</f>
        <v/>
      </c>
      <c r="H2153">
        <f>1-(1-Skills!J12/100)^Skills!K12</f>
        <v/>
      </c>
      <c r="I2153" t="inlineStr">
        <is>
          <t>1</t>
        </is>
      </c>
      <c r="J2153" t="inlineStr"/>
      <c r="K2153" t="inlineStr"/>
      <c r="L2153" t="inlineStr"/>
      <c r="M2153" t="inlineStr"/>
      <c r="N2153" t="inlineStr"/>
      <c r="O2153">
        <f>(1-Summary!$B$11)*T2153+Summary!$B$11*V2153</f>
        <v/>
      </c>
      <c r="P2153">
        <f>IF(B2183=0,0,O2153/B2183)</f>
        <v/>
      </c>
      <c r="Q2153" t="n">
        <v>0</v>
      </c>
      <c r="R2153" t="n">
        <v>0</v>
      </c>
      <c r="S2153" t="n">
        <v>0</v>
      </c>
      <c r="T2153" t="n">
        <v>0</v>
      </c>
      <c r="V2153" t="n">
        <v>0</v>
      </c>
    </row>
    <row r="2154">
      <c r="A2154">
        <f>Skills!A13</f>
        <v/>
      </c>
      <c r="B2154">
        <f>Skills!B13</f>
        <v/>
      </c>
      <c r="C2154">
        <f>Inputs!$B$3&gt;=74</f>
        <v/>
      </c>
      <c r="D2154">
        <f>IF(Skills!C13=1,60+Inputs!$B$25+Inputs!$B$29,IF(Skills!C13=2,90+Inputs!$B$26+Inputs!$B$29,IF(Skills!C13=3,120+Inputs!$B$27+Inputs!$B$29,MAX(0,(Inputs!$B$3-100)*3)+Inputs!$B$28+Inputs!$B$29)))</f>
        <v/>
      </c>
      <c r="E2154">
        <f>INDEX(FactorTable!$B$2:$Y$301, MATCH(ROUND(MIN(300,MAX(1,D2154)),0), FactorTable!$A$2:$A$301,0), Skills!M13+1)</f>
        <v/>
      </c>
      <c r="F2154">
        <f>IF(Skills!N13=TRUE,(Skills!L13/10)*(E2154/1000),Skills!L13/10)+Skills!O13</f>
        <v/>
      </c>
      <c r="G2154">
        <f>Skills!G13*IF(Skills!H13&gt;0,Skills!I13/Skills!H13,1)</f>
        <v/>
      </c>
      <c r="H2154">
        <f>1-(1-Skills!J13/100)^Skills!K13</f>
        <v/>
      </c>
      <c r="I2154" t="inlineStr">
        <is>
          <t>1</t>
        </is>
      </c>
      <c r="J2154" t="inlineStr"/>
      <c r="K2154" t="inlineStr"/>
      <c r="L2154" t="inlineStr"/>
      <c r="M2154" t="inlineStr"/>
      <c r="N2154" t="inlineStr"/>
      <c r="O2154">
        <f>(1-Summary!$B$11)*T2154+Summary!$B$11*V2154</f>
        <v/>
      </c>
      <c r="P2154">
        <f>IF(B2183=0,0,O2154/B2183)</f>
        <v/>
      </c>
      <c r="Q2154" t="n">
        <v>0</v>
      </c>
      <c r="R2154" t="n">
        <v>0</v>
      </c>
      <c r="S2154" t="n">
        <v>0</v>
      </c>
      <c r="T2154" t="n">
        <v>0</v>
      </c>
      <c r="V2154" t="n">
        <v>0</v>
      </c>
    </row>
    <row r="2155">
      <c r="A2155">
        <f>Skills!A14</f>
        <v/>
      </c>
      <c r="B2155">
        <f>Skills!B14</f>
        <v/>
      </c>
      <c r="C2155">
        <f>Inputs!$B$3&gt;=74</f>
        <v/>
      </c>
      <c r="D2155">
        <f>IF(Skills!C14=1,60+Inputs!$B$25+Inputs!$B$29,IF(Skills!C14=2,90+Inputs!$B$26+Inputs!$B$29,IF(Skills!C14=3,120+Inputs!$B$27+Inputs!$B$29,MAX(0,(Inputs!$B$3-100)*3)+Inputs!$B$28+Inputs!$B$29)))</f>
        <v/>
      </c>
      <c r="E2155">
        <f>INDEX(FactorTable!$B$2:$Y$301, MATCH(ROUND(MIN(300,MAX(1,D2155)),0), FactorTable!$A$2:$A$301,0), Skills!M14+1)</f>
        <v/>
      </c>
      <c r="F2155">
        <f>IF(Skills!N14=TRUE,(Skills!L14/10)*(E2155/1000),Skills!L14/10)+Skills!O14</f>
        <v/>
      </c>
      <c r="G2155">
        <f>Skills!G14*IF(Skills!H14&gt;0,Skills!I14/Skills!H14,1)</f>
        <v/>
      </c>
      <c r="H2155">
        <f>1-(1-Skills!J14/100)^Skills!K14</f>
        <v/>
      </c>
      <c r="I2155" t="inlineStr">
        <is>
          <t>1</t>
        </is>
      </c>
      <c r="J2155" t="inlineStr"/>
      <c r="K2155" t="inlineStr"/>
      <c r="L2155" t="inlineStr"/>
      <c r="M2155" t="inlineStr"/>
      <c r="N2155" t="inlineStr"/>
      <c r="O2155">
        <f>(1-Summary!$B$11)*T2155+Summary!$B$11*V2155</f>
        <v/>
      </c>
      <c r="P2155">
        <f>IF(B2183=0,0,O2155/B2183)</f>
        <v/>
      </c>
      <c r="Q2155" t="n">
        <v>0</v>
      </c>
      <c r="R2155" t="n">
        <v>0</v>
      </c>
      <c r="S2155" t="n">
        <v>0</v>
      </c>
      <c r="T2155" t="n">
        <v>0</v>
      </c>
      <c r="V2155" t="n">
        <v>0</v>
      </c>
    </row>
    <row r="2156">
      <c r="A2156">
        <f>Skills!A15</f>
        <v/>
      </c>
      <c r="B2156">
        <f>Skills!B15</f>
        <v/>
      </c>
      <c r="C2156">
        <f>Inputs!$B$3&gt;=117</f>
        <v/>
      </c>
      <c r="D2156">
        <f>IF(Skills!C15=1,60+Inputs!$B$25+Inputs!$B$29,IF(Skills!C15=2,90+Inputs!$B$26+Inputs!$B$29,IF(Skills!C15=3,120+Inputs!$B$27+Inputs!$B$29,MAX(0,(Inputs!$B$3-100)*3)+Inputs!$B$28+Inputs!$B$29)))</f>
        <v/>
      </c>
      <c r="E2156">
        <f>INDEX(FactorTable!$B$2:$Y$301, MATCH(ROUND(MIN(300,MAX(1,D2156)),0), FactorTable!$A$2:$A$301,0), Skills!M15+1)</f>
        <v/>
      </c>
      <c r="F2156">
        <f>IF(Skills!N15=TRUE,(Skills!L15/10)*(E2156/1000),Skills!L15/10)+Skills!O15</f>
        <v/>
      </c>
      <c r="G2156">
        <f>Skills!G15*IF(Skills!H15&gt;0,Skills!I15/Skills!H15,1)</f>
        <v/>
      </c>
      <c r="H2156">
        <f>1-(1-Skills!J15/100)^Skills!K15</f>
        <v/>
      </c>
      <c r="I2156" t="inlineStr">
        <is>
          <t>1</t>
        </is>
      </c>
      <c r="J2156" t="inlineStr"/>
      <c r="K2156" t="inlineStr"/>
      <c r="L2156" t="inlineStr"/>
      <c r="M2156" t="inlineStr"/>
      <c r="N2156" t="inlineStr"/>
      <c r="O2156">
        <f>(1-Summary!$B$11)*T2156+Summary!$B$11*V2156</f>
        <v/>
      </c>
      <c r="P2156">
        <f>IF(B2183=0,0,O2156/B2183)</f>
        <v/>
      </c>
      <c r="Q2156">
        <f>IFERROR(1/IF(Inputs!$B$38="pvp",15,MAX(0.1,Skills!D15-IF(Skills!E15=TRUE,Inputs!$B$32,0))),0)</f>
        <v/>
      </c>
      <c r="R2156">
        <f>IF(AND(Inputs!$B$38&lt;&gt;"pvp",Inputs!$B$43&gt;0),IF(Inputs!$B$43&lt;=0,0,(INT(Inputs!$B$43/IF(Inputs!$B$38="pvp",15,MAX(0.1,Skills!D15-IF(Skills!E15=TRUE,Inputs!$B$32,0))))+1)),0)</f>
        <v/>
      </c>
      <c r="S2156" t="n">
        <v>0</v>
      </c>
      <c r="T2156" t="n">
        <v>0</v>
      </c>
      <c r="V2156" t="n">
        <v>0</v>
      </c>
    </row>
    <row r="2157">
      <c r="A2157">
        <f>Skills!A16</f>
        <v/>
      </c>
      <c r="B2157">
        <f>Skills!B16</f>
        <v/>
      </c>
      <c r="C2157">
        <f>Inputs!$B$3&gt;=115</f>
        <v/>
      </c>
      <c r="D2157">
        <f>IF(Skills!C16=1,60+Inputs!$B$25+Inputs!$B$29,IF(Skills!C16=2,90+Inputs!$B$26+Inputs!$B$29,IF(Skills!C16=3,120+Inputs!$B$27+Inputs!$B$29,MAX(0,(Inputs!$B$3-100)*3)+Inputs!$B$28+Inputs!$B$29)))</f>
        <v/>
      </c>
      <c r="E2157">
        <f>INDEX(FactorTable!$B$2:$Y$301, MATCH(ROUND(MIN(300,MAX(1,D2157)),0), FactorTable!$A$2:$A$301,0), Skills!M16+1)</f>
        <v/>
      </c>
      <c r="F2157">
        <f>IF(Skills!N16=TRUE,(Skills!L16/10)*(E2157/1000),Skills!L16/10)+Skills!O16</f>
        <v/>
      </c>
      <c r="G2157">
        <f>Skills!G16*IF(Skills!H16&gt;0,Skills!I16/Skills!H16,1)</f>
        <v/>
      </c>
      <c r="H2157">
        <f>1-(1-Skills!J16/100)^Skills!K16</f>
        <v/>
      </c>
      <c r="I2157" t="inlineStr">
        <is>
          <t>1</t>
        </is>
      </c>
      <c r="J2157" t="inlineStr"/>
      <c r="K2157" t="inlineStr"/>
      <c r="L2157" t="inlineStr"/>
      <c r="M2157" t="inlineStr"/>
      <c r="N2157" t="inlineStr"/>
      <c r="O2157">
        <f>(1-Summary!$B$11)*T2157+Summary!$B$11*V2157</f>
        <v/>
      </c>
      <c r="P2157">
        <f>IF(B2183=0,0,O2157/B2183)</f>
        <v/>
      </c>
      <c r="Q2157">
        <f>IFERROR(1/IF(Inputs!$B$38="pvp",15,MAX(0.1,Skills!D16-IF(Skills!E16=TRUE,Inputs!$B$32,0))),0)</f>
        <v/>
      </c>
      <c r="R2157">
        <f>IF(AND(Inputs!$B$38&lt;&gt;"pvp",Inputs!$B$43&gt;0),IF(Inputs!$B$43&lt;=0,0,(INT(Inputs!$B$43/IF(Inputs!$B$38="pvp",15,MAX(0.1,Skills!D16-IF(Skills!E16=TRUE,Inputs!$B$32,0))))+1)),0)</f>
        <v/>
      </c>
      <c r="S2157" t="n">
        <v>0</v>
      </c>
      <c r="T2157" t="n">
        <v>0</v>
      </c>
      <c r="V2157" t="n">
        <v>0</v>
      </c>
    </row>
    <row r="2158">
      <c r="A2158">
        <f>Skills!A17</f>
        <v/>
      </c>
      <c r="B2158">
        <f>Skills!B17</f>
        <v/>
      </c>
      <c r="C2158">
        <f>Inputs!$B$3&gt;=72</f>
        <v/>
      </c>
      <c r="D2158">
        <f>IF(Skills!C17=1,60+Inputs!$B$25+Inputs!$B$29,IF(Skills!C17=2,90+Inputs!$B$26+Inputs!$B$29,IF(Skills!C17=3,120+Inputs!$B$27+Inputs!$B$29,MAX(0,(Inputs!$B$3-100)*3)+Inputs!$B$28+Inputs!$B$29)))</f>
        <v/>
      </c>
      <c r="E2158">
        <f>INDEX(FactorTable!$B$2:$Y$301, MATCH(ROUND(MIN(300,MAX(1,D2158)),0), FactorTable!$A$2:$A$301,0), Skills!M17+1)</f>
        <v/>
      </c>
      <c r="F2158">
        <f>IF(Skills!N17=TRUE,(Skills!L17/10)*(E2158/1000),Skills!L17/10)+Skills!O17</f>
        <v/>
      </c>
      <c r="G2158">
        <f>Skills!G17*IF(Skills!H17&gt;0,Skills!I17/Skills!H17,1)</f>
        <v/>
      </c>
      <c r="H2158">
        <f>1-(1-Skills!J17/100)^Skills!K17</f>
        <v/>
      </c>
      <c r="I2158" t="inlineStr">
        <is>
          <t>1</t>
        </is>
      </c>
      <c r="J2158" t="inlineStr"/>
      <c r="K2158" t="inlineStr"/>
      <c r="L2158" t="inlineStr"/>
      <c r="M2158" t="inlineStr"/>
      <c r="N2158" t="inlineStr"/>
      <c r="O2158">
        <f>(1-Summary!$B$11)*T2158+Summary!$B$11*V2158</f>
        <v/>
      </c>
      <c r="P2158">
        <f>IF(B2183=0,0,O2158/B2183)</f>
        <v/>
      </c>
      <c r="Q2158" t="n">
        <v>0</v>
      </c>
      <c r="R2158" t="n">
        <v>0</v>
      </c>
      <c r="S2158" t="n">
        <v>0</v>
      </c>
      <c r="T2158" t="n">
        <v>0</v>
      </c>
      <c r="V2158" t="n">
        <v>0</v>
      </c>
    </row>
    <row r="2159">
      <c r="A2159">
        <f>Skills!A18</f>
        <v/>
      </c>
      <c r="B2159">
        <f>Skills!B18</f>
        <v/>
      </c>
      <c r="C2159">
        <f>TRUE</f>
        <v/>
      </c>
      <c r="D2159">
        <f>IF(Skills!C18=1,60+Inputs!$B$25+Inputs!$B$29,IF(Skills!C18=2,90+Inputs!$B$26+Inputs!$B$29,IF(Skills!C18=3,120+Inputs!$B$27+Inputs!$B$29,MAX(0,(Inputs!$B$3-100)*3)+Inputs!$B$28+Inputs!$B$29)))</f>
        <v/>
      </c>
      <c r="E2159">
        <f>INDEX(FactorTable!$B$2:$Y$301, MATCH(ROUND(MIN(300,MAX(1,D2159)),0), FactorTable!$A$2:$A$301,0), Skills!M18+1)</f>
        <v/>
      </c>
      <c r="F2159">
        <f>IF(Skills!N18=TRUE,(Skills!L18/10)*(E2159/1000),Skills!L18/10)+Skills!O18</f>
        <v/>
      </c>
      <c r="G2159">
        <f>Skills!G18*IF(Skills!H18&gt;0,Skills!I18/Skills!H18,1)</f>
        <v/>
      </c>
      <c r="H2159">
        <f>1-(1-Skills!J18/100)^Skills!K18</f>
        <v/>
      </c>
      <c r="I2159" t="inlineStr">
        <is>
          <t>1</t>
        </is>
      </c>
      <c r="J2159" t="inlineStr"/>
      <c r="K2159" t="inlineStr"/>
      <c r="L2159" t="inlineStr"/>
      <c r="M2159" t="inlineStr"/>
      <c r="N2159" t="inlineStr"/>
      <c r="O2159">
        <f>(1-Summary!$B$11)*T2159+Summary!$B$11*V2159</f>
        <v/>
      </c>
      <c r="P2159">
        <f>IF(B2183=0,0,O2159/B2183)</f>
        <v/>
      </c>
      <c r="Q2159">
        <f>IFERROR(1/IF(Inputs!$B$38="pvp",15,MAX(0.1,Skills!D18-IF(Skills!E18=TRUE,Inputs!$B$32,0))),0)</f>
        <v/>
      </c>
      <c r="R2159">
        <f>IF(AND(Inputs!$B$38&lt;&gt;"pvp",Inputs!$B$43&gt;0),IF(Inputs!$B$43&lt;=0,0,(INT(Inputs!$B$43/IF(Inputs!$B$38="pvp",15,MAX(0.1,Skills!D18-IF(Skills!E18=TRUE,Inputs!$B$32,0))))+1)),0)</f>
        <v/>
      </c>
      <c r="S2159" t="n">
        <v>0</v>
      </c>
      <c r="T2159" t="n">
        <v>0</v>
      </c>
      <c r="V2159" t="n">
        <v>0</v>
      </c>
    </row>
    <row r="2160">
      <c r="A2160">
        <f>Skills!A19</f>
        <v/>
      </c>
      <c r="B2160">
        <f>Skills!B19</f>
        <v/>
      </c>
      <c r="C2160">
        <f>Inputs!$B$3&gt;=15</f>
        <v/>
      </c>
      <c r="D2160">
        <f>IF(Skills!C19=1,60+Inputs!$B$25+Inputs!$B$29,IF(Skills!C19=2,90+Inputs!$B$26+Inputs!$B$29,IF(Skills!C19=3,120+Inputs!$B$27+Inputs!$B$29,MAX(0,(Inputs!$B$3-100)*3)+Inputs!$B$28+Inputs!$B$29)))</f>
        <v/>
      </c>
      <c r="E2160">
        <f>INDEX(FactorTable!$B$2:$Y$301, MATCH(ROUND(MIN(300,MAX(1,D2160)),0), FactorTable!$A$2:$A$301,0), Skills!M19+1)</f>
        <v/>
      </c>
      <c r="F2160">
        <f>IF(Skills!N19=TRUE,(Skills!L19/10)*(E2160/1000),Skills!L19/10)+Skills!O19</f>
        <v/>
      </c>
      <c r="G2160">
        <f>Skills!G19*IF(Skills!H19&gt;0,Skills!I19/Skills!H19,1)</f>
        <v/>
      </c>
      <c r="H2160">
        <f>1-(1-Skills!J19/100)^Skills!K19</f>
        <v/>
      </c>
      <c r="I2160" t="inlineStr">
        <is>
          <t>1</t>
        </is>
      </c>
      <c r="J2160" t="inlineStr"/>
      <c r="K2160" t="inlineStr"/>
      <c r="L2160" t="inlineStr"/>
      <c r="M2160" t="inlineStr"/>
      <c r="N2160" t="inlineStr"/>
      <c r="O2160">
        <f>(1-Summary!$B$11)*T2160+Summary!$B$11*V2160</f>
        <v/>
      </c>
      <c r="P2160">
        <f>IF(B2183=0,0,O2160/B2183)</f>
        <v/>
      </c>
      <c r="Q2160" t="n">
        <v>0</v>
      </c>
      <c r="R2160" t="n">
        <v>0</v>
      </c>
      <c r="S2160" t="n">
        <v>0</v>
      </c>
      <c r="T2160" t="n">
        <v>0</v>
      </c>
      <c r="V2160" t="n">
        <v>0</v>
      </c>
    </row>
    <row r="2161">
      <c r="A2161">
        <f>Skills!A20</f>
        <v/>
      </c>
      <c r="B2161">
        <f>Skills!B20</f>
        <v/>
      </c>
      <c r="C2161">
        <f>Inputs!$B$3&gt;=10</f>
        <v/>
      </c>
      <c r="D2161">
        <f>IF(Skills!C20=1,60+Inputs!$B$25+Inputs!$B$29,IF(Skills!C20=2,90+Inputs!$B$26+Inputs!$B$29,IF(Skills!C20=3,120+Inputs!$B$27+Inputs!$B$29,MAX(0,(Inputs!$B$3-100)*3)+Inputs!$B$28+Inputs!$B$29)))</f>
        <v/>
      </c>
      <c r="E2161">
        <f>INDEX(FactorTable!$B$2:$Y$301, MATCH(ROUND(MIN(300,MAX(1,D2161)),0), FactorTable!$A$2:$A$301,0), Skills!M20+1)</f>
        <v/>
      </c>
      <c r="F2161">
        <f>IF(Skills!N20=TRUE,(Skills!L20/10)*(E2161/1000),Skills!L20/10)+Skills!O20</f>
        <v/>
      </c>
      <c r="G2161">
        <f>Skills!G20*IF(Skills!H20&gt;0,Skills!I20/Skills!H20,1)</f>
        <v/>
      </c>
      <c r="H2161">
        <f>1-(1-Skills!J20/100)^Skills!K20</f>
        <v/>
      </c>
      <c r="I2161" t="inlineStr">
        <is>
          <t>1</t>
        </is>
      </c>
      <c r="J2161" t="inlineStr"/>
      <c r="K2161" t="inlineStr"/>
      <c r="L2161" t="inlineStr"/>
      <c r="M2161" t="inlineStr"/>
      <c r="N2161" t="inlineStr"/>
      <c r="O2161">
        <f>(1-Summary!$B$11)*T2161+Summary!$B$11*V2161</f>
        <v/>
      </c>
      <c r="P2161">
        <f>IF(B2183=0,0,O2161/B2183)</f>
        <v/>
      </c>
      <c r="Q2161" t="n">
        <v>0</v>
      </c>
      <c r="R2161" t="n">
        <v>0</v>
      </c>
      <c r="S2161" t="n">
        <v>0</v>
      </c>
      <c r="T2161" t="n">
        <v>0</v>
      </c>
      <c r="V2161" t="n">
        <v>0</v>
      </c>
    </row>
    <row r="2162">
      <c r="A2162">
        <f>Skills!A21</f>
        <v/>
      </c>
      <c r="B2162">
        <f>Skills!B21</f>
        <v/>
      </c>
      <c r="C2162">
        <f>Inputs!$B$3&gt;=33</f>
        <v/>
      </c>
      <c r="D2162">
        <f>IF(Skills!C21=1,60+Inputs!$B$25+Inputs!$B$29,IF(Skills!C21=2,90+Inputs!$B$26+Inputs!$B$29,IF(Skills!C21=3,120+Inputs!$B$27+Inputs!$B$29,MAX(0,(Inputs!$B$3-100)*3)+Inputs!$B$28+Inputs!$B$29)))</f>
        <v/>
      </c>
      <c r="E2162">
        <f>INDEX(FactorTable!$B$2:$Y$301, MATCH(ROUND(MIN(300,MAX(1,D2162)),0), FactorTable!$A$2:$A$301,0), Skills!M21+1)</f>
        <v/>
      </c>
      <c r="F2162">
        <f>IF(Skills!N21=TRUE,(Skills!L21/10)*(E2162/1000),Skills!L21/10)+Skills!O21</f>
        <v/>
      </c>
      <c r="G2162">
        <f>Skills!G21*IF(Skills!H21&gt;0,Skills!I21/Skills!H21,1)</f>
        <v/>
      </c>
      <c r="H2162">
        <f>1-(1-Skills!J21/100)^Skills!K21</f>
        <v/>
      </c>
      <c r="I2162" t="inlineStr">
        <is>
          <t>1</t>
        </is>
      </c>
      <c r="J2162" t="inlineStr"/>
      <c r="K2162" t="inlineStr"/>
      <c r="L2162" t="inlineStr"/>
      <c r="M2162" t="inlineStr"/>
      <c r="N2162" t="inlineStr"/>
      <c r="O2162">
        <f>(1-Summary!$B$11)*T2162+Summary!$B$11*V2162</f>
        <v/>
      </c>
      <c r="P2162">
        <f>IF(B2183=0,0,O2162/B2183)</f>
        <v/>
      </c>
      <c r="Q2162" t="n">
        <v>0</v>
      </c>
      <c r="R2162" t="n">
        <v>0</v>
      </c>
      <c r="S2162" t="n">
        <v>0</v>
      </c>
      <c r="T2162" t="n">
        <v>0</v>
      </c>
      <c r="V2162" t="n">
        <v>0</v>
      </c>
    </row>
    <row r="2163">
      <c r="A2163">
        <f>Skills!A22</f>
        <v/>
      </c>
      <c r="B2163">
        <f>Skills!B22</f>
        <v/>
      </c>
      <c r="C2163">
        <f>Inputs!$B$3&gt;=38</f>
        <v/>
      </c>
      <c r="D2163">
        <f>IF(Skills!C22=1,60+Inputs!$B$25+Inputs!$B$29,IF(Skills!C22=2,90+Inputs!$B$26+Inputs!$B$29,IF(Skills!C22=3,120+Inputs!$B$27+Inputs!$B$29,MAX(0,(Inputs!$B$3-100)*3)+Inputs!$B$28+Inputs!$B$29)))</f>
        <v/>
      </c>
      <c r="E2163">
        <f>INDEX(FactorTable!$B$2:$Y$301, MATCH(ROUND(MIN(300,MAX(1,D2163)),0), FactorTable!$A$2:$A$301,0), Skills!M22+1)</f>
        <v/>
      </c>
      <c r="F2163">
        <f>IF(Skills!N22=TRUE,(Skills!L22/10)*(E2163/1000),Skills!L22/10)+Skills!O22</f>
        <v/>
      </c>
      <c r="G2163">
        <f>Skills!G22*IF(Skills!H22&gt;0,Skills!I22/Skills!H22,1)</f>
        <v/>
      </c>
      <c r="H2163">
        <f>1-(1-Skills!J22/100)^Skills!K22</f>
        <v/>
      </c>
      <c r="I2163" t="inlineStr">
        <is>
          <t>1</t>
        </is>
      </c>
      <c r="J2163" t="inlineStr"/>
      <c r="K2163" t="inlineStr"/>
      <c r="L2163" t="inlineStr"/>
      <c r="M2163" t="inlineStr"/>
      <c r="N2163" t="inlineStr"/>
      <c r="O2163">
        <f>(1-Summary!$B$11)*T2163+Summary!$B$11*V2163</f>
        <v/>
      </c>
      <c r="P2163">
        <f>IF(B2183=0,0,O2163/B2183)</f>
        <v/>
      </c>
      <c r="Q2163" t="n">
        <v>0</v>
      </c>
      <c r="R2163" t="n">
        <v>0</v>
      </c>
      <c r="S2163" t="n">
        <v>0</v>
      </c>
      <c r="T2163" t="n">
        <v>0</v>
      </c>
      <c r="V2163" t="n">
        <v>0</v>
      </c>
    </row>
    <row r="2164">
      <c r="A2164">
        <f>Skills!A23</f>
        <v/>
      </c>
      <c r="B2164">
        <f>Skills!B23</f>
        <v/>
      </c>
      <c r="C2164">
        <f>Inputs!$B$3&gt;=43</f>
        <v/>
      </c>
      <c r="D2164">
        <f>IF(Skills!C23=1,60+Inputs!$B$25+Inputs!$B$29,IF(Skills!C23=2,90+Inputs!$B$26+Inputs!$B$29,IF(Skills!C23=3,120+Inputs!$B$27+Inputs!$B$29,MAX(0,(Inputs!$B$3-100)*3)+Inputs!$B$28+Inputs!$B$29)))</f>
        <v/>
      </c>
      <c r="E2164">
        <f>INDEX(FactorTable!$B$2:$Y$301, MATCH(ROUND(MIN(300,MAX(1,D2164)),0), FactorTable!$A$2:$A$301,0), Skills!M23+1)</f>
        <v/>
      </c>
      <c r="F2164">
        <f>IF(Skills!N23=TRUE,(Skills!L23/10)*(E2164/1000),Skills!L23/10)+Skills!O23</f>
        <v/>
      </c>
      <c r="G2164">
        <f>Skills!G23*IF(Skills!H23&gt;0,Skills!I23/Skills!H23,1)</f>
        <v/>
      </c>
      <c r="H2164">
        <f>1-(1-Skills!J23/100)^Skills!K23</f>
        <v/>
      </c>
      <c r="I2164" t="inlineStr">
        <is>
          <t>1</t>
        </is>
      </c>
      <c r="J2164" t="inlineStr"/>
      <c r="K2164" t="inlineStr"/>
      <c r="L2164" t="inlineStr"/>
      <c r="M2164" t="inlineStr"/>
      <c r="N2164" t="inlineStr"/>
      <c r="O2164">
        <f>(1-Summary!$B$11)*T2164+Summary!$B$11*V2164</f>
        <v/>
      </c>
      <c r="P2164">
        <f>IF(B2183=0,0,O2164/B2183)</f>
        <v/>
      </c>
      <c r="Q2164" t="n">
        <v>0</v>
      </c>
      <c r="R2164" t="n">
        <v>0</v>
      </c>
      <c r="S2164" t="n">
        <v>0</v>
      </c>
      <c r="T2164" t="n">
        <v>0</v>
      </c>
      <c r="V2164" t="n">
        <v>0</v>
      </c>
    </row>
    <row r="2165">
      <c r="A2165">
        <f>Skills!A24</f>
        <v/>
      </c>
      <c r="B2165">
        <f>Skills!B24</f>
        <v/>
      </c>
      <c r="C2165">
        <f>Inputs!$B$3&gt;=75</f>
        <v/>
      </c>
      <c r="D2165">
        <f>IF(Skills!C24=1,60+Inputs!$B$25+Inputs!$B$29,IF(Skills!C24=2,90+Inputs!$B$26+Inputs!$B$29,IF(Skills!C24=3,120+Inputs!$B$27+Inputs!$B$29,MAX(0,(Inputs!$B$3-100)*3)+Inputs!$B$28+Inputs!$B$29)))</f>
        <v/>
      </c>
      <c r="E2165">
        <f>INDEX(FactorTable!$B$2:$Y$301, MATCH(ROUND(MIN(300,MAX(1,D2165)),0), FactorTable!$A$2:$A$301,0), Skills!M24+1)</f>
        <v/>
      </c>
      <c r="F2165">
        <f>IF(Skills!N24=TRUE,(Skills!L24/10)*(E2165/1000),Skills!L24/10)+Skills!O24</f>
        <v/>
      </c>
      <c r="G2165">
        <f>Skills!G24*IF(Skills!H24&gt;0,Skills!I24/Skills!H24,1)</f>
        <v/>
      </c>
      <c r="H2165">
        <f>1-(1-Skills!J24/100)^Skills!K24</f>
        <v/>
      </c>
      <c r="I2165" t="inlineStr">
        <is>
          <t>1</t>
        </is>
      </c>
      <c r="J2165" t="inlineStr"/>
      <c r="K2165" t="inlineStr"/>
      <c r="L2165" t="inlineStr"/>
      <c r="M2165" t="inlineStr"/>
      <c r="N2165" t="inlineStr"/>
      <c r="O2165">
        <f>(1-Summary!$B$11)*T2165+Summary!$B$11*V2165</f>
        <v/>
      </c>
      <c r="P2165">
        <f>IF(B2183=0,0,O2165/B2183)</f>
        <v/>
      </c>
      <c r="Q2165" t="n">
        <v>0</v>
      </c>
      <c r="R2165" t="n">
        <v>0</v>
      </c>
      <c r="S2165" t="n">
        <v>0</v>
      </c>
      <c r="T2165" t="n">
        <v>0</v>
      </c>
      <c r="V2165" t="n">
        <v>0</v>
      </c>
    </row>
    <row r="2166">
      <c r="A2166">
        <f>Skills!A25</f>
        <v/>
      </c>
      <c r="B2166">
        <f>Skills!B25</f>
        <v/>
      </c>
      <c r="C2166">
        <f>Inputs!$B$3&gt;=125</f>
        <v/>
      </c>
      <c r="D2166">
        <f>IF(Skills!C25=1,60+Inputs!$B$25+Inputs!$B$29,IF(Skills!C25=2,90+Inputs!$B$26+Inputs!$B$29,IF(Skills!C25=3,120+Inputs!$B$27+Inputs!$B$29,MAX(0,(Inputs!$B$3-100)*3)+Inputs!$B$28+Inputs!$B$29)))</f>
        <v/>
      </c>
      <c r="E2166">
        <f>INDEX(FactorTable!$B$2:$Y$301, MATCH(ROUND(MIN(300,MAX(1,D2166)),0), FactorTable!$A$2:$A$301,0), Skills!M25+1)</f>
        <v/>
      </c>
      <c r="F2166">
        <f>IF(Skills!N25=TRUE,(Skills!L25/10)*(E2166/1000),Skills!L25/10)+Skills!O25</f>
        <v/>
      </c>
      <c r="G2166">
        <f>Skills!G25*IF(Skills!H25&gt;0,Skills!I25/Skills!H25,1)</f>
        <v/>
      </c>
      <c r="H2166">
        <f>1-(1-Skills!J25/100)^Skills!K25</f>
        <v/>
      </c>
      <c r="I2166" t="inlineStr">
        <is>
          <t>1</t>
        </is>
      </c>
      <c r="J2166" t="inlineStr"/>
      <c r="K2166" t="inlineStr"/>
      <c r="L2166" t="inlineStr"/>
      <c r="M2166" t="inlineStr"/>
      <c r="N2166" t="inlineStr"/>
      <c r="O2166">
        <f>(1-Summary!$B$11)*T2166+Summary!$B$11*V2166</f>
        <v/>
      </c>
      <c r="P2166">
        <f>IF(B2183=0,0,O2166/B2183)</f>
        <v/>
      </c>
      <c r="Q2166" t="n">
        <v>0</v>
      </c>
      <c r="R2166" t="n">
        <v>0</v>
      </c>
      <c r="S2166" t="n">
        <v>0</v>
      </c>
      <c r="T2166" t="n">
        <v>0</v>
      </c>
      <c r="V2166" t="n">
        <v>0</v>
      </c>
    </row>
    <row r="2167">
      <c r="A2167">
        <f>Skills!A26</f>
        <v/>
      </c>
      <c r="B2167">
        <f>Skills!B26</f>
        <v/>
      </c>
      <c r="C2167">
        <f>Inputs!$B$3&gt;=125</f>
        <v/>
      </c>
      <c r="D2167">
        <f>IF(Skills!C26=1,60+Inputs!$B$25+Inputs!$B$29,IF(Skills!C26=2,90+Inputs!$B$26+Inputs!$B$29,IF(Skills!C26=3,120+Inputs!$B$27+Inputs!$B$29,MAX(0,(Inputs!$B$3-100)*3)+Inputs!$B$28+Inputs!$B$29)))</f>
        <v/>
      </c>
      <c r="E2167">
        <f>INDEX(FactorTable!$B$2:$Y$301, MATCH(ROUND(MIN(300,MAX(1,D2167)),0), FactorTable!$A$2:$A$301,0), Skills!M26+1)</f>
        <v/>
      </c>
      <c r="F2167">
        <f>IF(Skills!N26=TRUE,(Skills!L26/10)*(E2167/1000),Skills!L26/10)+Skills!O26</f>
        <v/>
      </c>
      <c r="G2167">
        <f>Skills!G26*IF(Skills!H26&gt;0,Skills!I26/Skills!H26,1)</f>
        <v/>
      </c>
      <c r="H2167">
        <f>1-(1-Skills!J26/100)^Skills!K26</f>
        <v/>
      </c>
      <c r="I2167" t="inlineStr">
        <is>
          <t>1</t>
        </is>
      </c>
      <c r="J2167" t="inlineStr"/>
      <c r="K2167" t="inlineStr"/>
      <c r="L2167" t="inlineStr"/>
      <c r="M2167" t="inlineStr"/>
      <c r="N2167" t="inlineStr"/>
      <c r="O2167">
        <f>(1-Summary!$B$11)*T2167+Summary!$B$11*V2167</f>
        <v/>
      </c>
      <c r="P2167">
        <f>IF(B2183=0,0,O2167/B2183)</f>
        <v/>
      </c>
      <c r="Q2167" t="n">
        <v>0</v>
      </c>
      <c r="R2167" t="n">
        <v>0</v>
      </c>
      <c r="S2167" t="n">
        <v>0</v>
      </c>
      <c r="T2167" t="n">
        <v>0</v>
      </c>
      <c r="V2167" t="n">
        <v>0</v>
      </c>
    </row>
    <row r="2168">
      <c r="A2168">
        <f>Skills!A27</f>
        <v/>
      </c>
      <c r="B2168">
        <f>Skills!B27</f>
        <v/>
      </c>
      <c r="C2168">
        <f>Inputs!$B$3&gt;=120</f>
        <v/>
      </c>
      <c r="D2168">
        <f>IF(Skills!C27=1,60+Inputs!$B$25+Inputs!$B$29,IF(Skills!C27=2,90+Inputs!$B$26+Inputs!$B$29,IF(Skills!C27=3,120+Inputs!$B$27+Inputs!$B$29,MAX(0,(Inputs!$B$3-100)*3)+Inputs!$B$28+Inputs!$B$29)))</f>
        <v/>
      </c>
      <c r="E2168">
        <f>INDEX(FactorTable!$B$2:$Y$301, MATCH(ROUND(MIN(300,MAX(1,D2168)),0), FactorTable!$A$2:$A$301,0), Skills!M27+1)</f>
        <v/>
      </c>
      <c r="F2168">
        <f>IF(Skills!N27=TRUE,(Skills!L27/10)*(E2168/1000),Skills!L27/10)+Skills!O27</f>
        <v/>
      </c>
      <c r="G2168">
        <f>Skills!G27*IF(Skills!H27&gt;0,Skills!I27/Skills!H27,1)</f>
        <v/>
      </c>
      <c r="H2168">
        <f>1-(1-Skills!J27/100)^Skills!K27</f>
        <v/>
      </c>
      <c r="I2168" t="inlineStr">
        <is>
          <t>1</t>
        </is>
      </c>
      <c r="J2168" t="inlineStr"/>
      <c r="K2168" t="inlineStr"/>
      <c r="L2168" t="inlineStr"/>
      <c r="M2168" t="inlineStr"/>
      <c r="N2168" t="inlineStr"/>
      <c r="O2168">
        <f>(1-Summary!$B$11)*T2168+Summary!$B$11*V2168</f>
        <v/>
      </c>
      <c r="P2168">
        <f>IF(B2183=0,0,O2168/B2183)</f>
        <v/>
      </c>
      <c r="Q2168" t="n">
        <v>0</v>
      </c>
      <c r="R2168" t="n">
        <v>0</v>
      </c>
      <c r="S2168" t="n">
        <v>0</v>
      </c>
      <c r="T2168" t="n">
        <v>0</v>
      </c>
      <c r="V2168" t="n">
        <v>0</v>
      </c>
    </row>
    <row r="2169">
      <c r="A2169">
        <f>Skills!A28</f>
        <v/>
      </c>
      <c r="B2169">
        <f>Skills!B28</f>
        <v/>
      </c>
      <c r="C2169">
        <f>Inputs!$B$3&gt;=120</f>
        <v/>
      </c>
      <c r="D2169">
        <f>IF(Skills!C28=1,60+Inputs!$B$25+Inputs!$B$29,IF(Skills!C28=2,90+Inputs!$B$26+Inputs!$B$29,IF(Skills!C28=3,120+Inputs!$B$27+Inputs!$B$29,MAX(0,(Inputs!$B$3-100)*3)+Inputs!$B$28+Inputs!$B$29)))</f>
        <v/>
      </c>
      <c r="E2169">
        <f>INDEX(FactorTable!$B$2:$Y$301, MATCH(ROUND(MIN(300,MAX(1,D2169)),0), FactorTable!$A$2:$A$301,0), Skills!M28+1)</f>
        <v/>
      </c>
      <c r="F2169">
        <f>IF(Skills!N28=TRUE,(Skills!L28/10)*(E2169/1000),Skills!L28/10)+Skills!O28</f>
        <v/>
      </c>
      <c r="G2169">
        <f>Skills!G28*IF(Skills!H28&gt;0,Skills!I28/Skills!H28,1)</f>
        <v/>
      </c>
      <c r="H2169">
        <f>1-(1-Skills!J28/100)^Skills!K28</f>
        <v/>
      </c>
      <c r="I2169" t="inlineStr">
        <is>
          <t>1</t>
        </is>
      </c>
      <c r="J2169" t="inlineStr"/>
      <c r="K2169" t="inlineStr"/>
      <c r="L2169" t="inlineStr"/>
      <c r="M2169" t="inlineStr"/>
      <c r="N2169" t="inlineStr"/>
      <c r="O2169">
        <f>(1-Summary!$B$11)*T2169+Summary!$B$11*V2169</f>
        <v/>
      </c>
      <c r="P2169">
        <f>IF(B2183=0,0,O2169/B2183)</f>
        <v/>
      </c>
      <c r="Q2169" t="n">
        <v>0</v>
      </c>
      <c r="R2169" t="n">
        <v>0</v>
      </c>
      <c r="S2169" t="n">
        <v>0</v>
      </c>
      <c r="T2169" t="n">
        <v>0</v>
      </c>
      <c r="V2169" t="n">
        <v>0</v>
      </c>
    </row>
    <row r="2170">
      <c r="A2170">
        <f>Skills!A29</f>
        <v/>
      </c>
      <c r="B2170">
        <f>Skills!B29</f>
        <v/>
      </c>
      <c r="C2170">
        <f>Inputs!$B$3&gt;=45</f>
        <v/>
      </c>
      <c r="D2170">
        <f>IF(Skills!C29=1,60+Inputs!$B$25+Inputs!$B$29,IF(Skills!C29=2,90+Inputs!$B$26+Inputs!$B$29,IF(Skills!C29=3,120+Inputs!$B$27+Inputs!$B$29,MAX(0,(Inputs!$B$3-100)*3)+Inputs!$B$28+Inputs!$B$29)))</f>
        <v/>
      </c>
      <c r="E2170">
        <f>INDEX(FactorTable!$B$2:$Y$301, MATCH(ROUND(MIN(300,MAX(1,D2170)),0), FactorTable!$A$2:$A$301,0), Skills!M29+1)</f>
        <v/>
      </c>
      <c r="F2170">
        <f>IF(Skills!N29=TRUE,(Skills!L29/10)*(E2170/1000),Skills!L29/10)+Skills!O29</f>
        <v/>
      </c>
      <c r="G2170">
        <f>Skills!G29*IF(Skills!H29&gt;0,Skills!I29/Skills!H29,1)</f>
        <v/>
      </c>
      <c r="H2170">
        <f>1-(1-Skills!J29/100)^Skills!K29</f>
        <v/>
      </c>
      <c r="I2170" t="inlineStr">
        <is>
          <t>1</t>
        </is>
      </c>
      <c r="J2170" t="inlineStr"/>
      <c r="K2170" t="inlineStr"/>
      <c r="L2170" t="inlineStr"/>
      <c r="M2170" t="inlineStr"/>
      <c r="N2170" t="inlineStr"/>
      <c r="O2170">
        <f>(1-Summary!$B$11)*T2170+Summary!$B$11*V2170</f>
        <v/>
      </c>
      <c r="P2170">
        <f>IF(B2183=0,0,O2170/B2183)</f>
        <v/>
      </c>
      <c r="Q2170" t="n">
        <v>0</v>
      </c>
      <c r="R2170" t="n">
        <v>0</v>
      </c>
      <c r="S2170" t="n">
        <v>0</v>
      </c>
      <c r="T2170" t="n">
        <v>0</v>
      </c>
      <c r="V2170" t="n">
        <v>0</v>
      </c>
    </row>
    <row r="2172">
      <c r="A2172" t="inlineStr">
        <is>
          <t>Attack% Bucket Multiplier</t>
        </is>
      </c>
      <c r="B2172">
        <f>(1+(((C2154=TRUE)*F2154)+((C2155=TRUE)*IF(Inputs!$B$38="pvp",F2155,(1-Summary!$B$11)*(F2155)+Summary!$B$11*(0)))+((C2156=TRUE)*F2156*IF(AND(Inputs!$B$38&lt;&gt;"pvp",Inputs!$B$43&gt;0),(((R2156-1)*(Skills!T15*(1+Inputs!$B$34/100))+MIN((Skills!T15*(1+Inputs!$B$34/100)),MAX(0,Inputs!$B$43-((R2156-1)*Skills!D15))))/Inputs!$B$43),IF(Inputs!$B$38="pvp",MIN((Skills!T15*(1+Inputs!$B$34/100)),15)/15,(Skills!T15*(1+Inputs!$B$34/100))/Skills!D15)))+((C2153=TRUE)*F2153)+((C2170=TRUE)*(F2170-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2173">
      <c r="A2173" t="inlineStr">
        <is>
          <t>Global Crit Rate Bonus %</t>
        </is>
      </c>
      <c r="B2173">
        <f>(C2157=TRUE)*20*IF(AND(Inputs!$B$38&lt;&gt;"pvp",Inputs!$B$43&gt;0),(((R2157-1)*(Skills!T16*(1+Inputs!$B$34/100))+MIN((Skills!T16*(1+Inputs!$B$34/100)),MAX(0,Inputs!$B$43-((R2157-1)*Skills!D16))))/Inputs!$B$43),IF(Inputs!$B$38="pvp",MIN((Skills!T16*(1+Inputs!$B$34/100)),15)/15,(Skills!T16*(1+Inputs!$B$34/100))/Skills!D16))</f>
        <v/>
      </c>
    </row>
    <row r="2174">
      <c r="A2174" t="inlineStr">
        <is>
          <t>Attack Speed Buff Bonus %</t>
        </is>
      </c>
      <c r="B2174">
        <f>((C2159=TRUE)*F2159*IF(AND(Inputs!$B$38&lt;&gt;"pvp",Inputs!$B$43&gt;0),(((R2159-1)*(Skills!T18*(1+Inputs!$B$34/100))+MIN((Skills!T18*(1+Inputs!$B$34/100)),MAX(0,Inputs!$B$43-((R2159-1)*Skills!D18))))/Inputs!$B$43),IF(Inputs!$B$38="pvp",MIN((Skills!T18*(1+Inputs!$B$34/100)),15)/15,(Skills!T18*(1+Inputs!$B$34/100))/Skills!D18)))</f>
        <v/>
      </c>
    </row>
    <row r="2175">
      <c r="A2175" t="inlineStr">
        <is>
          <t>Actions Per Second</t>
        </is>
      </c>
      <c r="B2175">
        <f>1+MIN(150,150*(1-(1-(Inputs!$B$11+((C2161=TRUE)*(F2161-Calc!F20))+((C2162=TRUE)*(F2162-Calc!F21)))/150)*(1-B2174/150)))/100</f>
        <v/>
      </c>
    </row>
    <row r="2176">
      <c r="A2176" t="inlineStr">
        <is>
          <t>Skill + Buff Cast Rate</t>
        </is>
      </c>
      <c r="B2176">
        <f>IF(AND(Inputs!$B$38&lt;&gt;"pvp",Inputs!$B$43&gt;0),SUMPRODUCT((Skills!E2:E29=TRUE)*(C2143:C2170=TRUE)*R2143:R2170*Skills!F2:F29)/Inputs!$B$43,SUMPRODUCT((Skills!E2:E29=TRUE)*(C2143:C2170=TRUE)*Q2143:Q2170*Skills!F2:F29))</f>
        <v/>
      </c>
    </row>
    <row r="2177">
      <c r="A2177" t="inlineStr">
        <is>
          <t>Empowered Piercing Arrow Casts Per Second</t>
        </is>
      </c>
      <c r="B2177">
        <f>MAX(0,B2175-B2176)</f>
        <v/>
      </c>
    </row>
    <row r="2178">
      <c r="A2178" t="inlineStr">
        <is>
          <t>Global Critical Damage Bonus % (Sharp Eyes)</t>
        </is>
      </c>
      <c r="B2178">
        <f>(C2157=TRUE)*F2157*IF(AND(Inputs!$B$38&lt;&gt;"pvp",Inputs!$B$43&gt;0),(((R2157-1)*(Skills!T16*(1+Inputs!$B$34/100))+MIN((Skills!T16*(1+Inputs!$B$34/100)),MAX(0,Inputs!$B$43-((R2157-1)*Skills!D16))))/Inputs!$B$43),IF(Inputs!$B$38="pvp",MIN((Skills!T16*(1+Inputs!$B$34/100)),15)/15,(Skills!T16*(1+Inputs!$B$34/100))/Skills!D16))</f>
        <v/>
      </c>
    </row>
    <row r="2179">
      <c r="A2179" t="inlineStr">
        <is>
          <t>Global Final Damage Bonus % (Mortal Blow + Last Man Standing conditional half)</t>
        </is>
      </c>
      <c r="B2179">
        <f>(C2158=TRUE)*F2158+((C2167=TRUE)*IF(Inputs!$B$38="pvp",F2167,(1-Summary!$B$11)*(F2167)+Summary!$B$11*(0)))</f>
        <v/>
      </c>
    </row>
    <row r="2180">
      <c r="A2180" t="inlineStr">
        <is>
          <t>Buff-Casting Startup Delay (s, fixed-duration only)</t>
        </is>
      </c>
      <c r="B2180">
        <f>IF(AND(Inputs!$B$38&lt;&gt;"pvp",Inputs!$B$43&gt;0),SUMPRODUCT((Skills!T2:T29&gt;0)*(Skills!E2:E29=TRUE)*(C2143:C2170=TRUE))/B2175,0)</f>
        <v/>
      </c>
    </row>
    <row r="2181">
      <c r="A2181" t="inlineStr">
        <is>
          <t>Boss-Only Total DPS (this block's swept value)</t>
        </is>
      </c>
      <c r="B2181">
        <f>SUM(T2143:T2170)</f>
        <v/>
      </c>
    </row>
    <row r="2182">
      <c r="A2182" t="inlineStr">
        <is>
          <t>Normal-Only Total DPS (this block's swept value)</t>
        </is>
      </c>
      <c r="B2182">
        <f>SUM(V2143:V2170)</f>
        <v/>
      </c>
    </row>
    <row r="2183">
      <c r="A2183" s="6" t="inlineStr">
        <is>
          <t>TOTAL DPS</t>
        </is>
      </c>
      <c r="B2183" s="6">
        <f>SUM(O2143:O2170)</f>
        <v/>
      </c>
    </row>
    <row r="2186">
      <c r="A2186" s="6" t="inlineStr">
        <is>
          <t>Stat: Lit Lamp (Equip)</t>
        </is>
      </c>
    </row>
    <row r="2187">
      <c r="A2187" s="5" t="inlineStr">
        <is>
          <t>Key</t>
        </is>
      </c>
      <c r="B2187" s="5" t="inlineStr">
        <is>
          <t>Name</t>
        </is>
      </c>
      <c r="C2187" s="5" t="inlineStr">
        <is>
          <t>Unlocked</t>
        </is>
      </c>
      <c r="D2187" s="5" t="inlineStr">
        <is>
          <t>InputLevel</t>
        </is>
      </c>
      <c r="E2187" s="5" t="inlineStr">
        <is>
          <t>Factor</t>
        </is>
      </c>
      <c r="F2187" s="5" t="inlineStr">
        <is>
          <t>CoefficientPercent</t>
        </is>
      </c>
      <c r="G2187" s="5" t="inlineStr">
        <is>
          <t>EffectiveHits</t>
        </is>
      </c>
      <c r="H2187" s="5" t="inlineStr">
        <is>
          <t>ProcProbability</t>
        </is>
      </c>
      <c r="I2187" s="5" t="inlineStr">
        <is>
          <t>MapleHeroMultiplier</t>
        </is>
      </c>
      <c r="J2187" s="5" t="inlineStr">
        <is>
          <t>BaseDamage</t>
        </is>
      </c>
      <c r="K2187" s="5" t="inlineStr">
        <is>
          <t>BaseHitDamage</t>
        </is>
      </c>
      <c r="L2187" s="5" t="inlineStr">
        <is>
          <t>NonCritAvg</t>
        </is>
      </c>
      <c r="M2187" s="5" t="inlineStr">
        <is>
          <t>CritAvg</t>
        </is>
      </c>
      <c r="N2187" s="5" t="inlineStr">
        <is>
          <t>ExpectedDamage(perHit)</t>
        </is>
      </c>
      <c r="O2187" s="5" t="inlineStr">
        <is>
          <t>DPS</t>
        </is>
      </c>
      <c r="P2187" s="5" t="inlineStr">
        <is>
          <t>% of Total</t>
        </is>
      </c>
      <c r="Q2187" s="5" t="inlineStr">
        <is>
          <t>InvCooldown</t>
        </is>
      </c>
      <c r="R2187" s="5" t="inlineStr">
        <is>
          <t>CastsInFight</t>
        </is>
      </c>
      <c r="S2187" s="5" t="inlineStr">
        <is>
          <t>HitRate(perSec)</t>
        </is>
      </c>
      <c r="U2187" t="inlineStr">
        <is>
          <t>helpers</t>
        </is>
      </c>
    </row>
    <row r="2188">
      <c r="A2188">
        <f>Skills!A2</f>
        <v/>
      </c>
      <c r="B2188">
        <f>Skills!B2</f>
        <v/>
      </c>
      <c r="C2188">
        <f>Inputs!$B$3&gt;=100</f>
        <v/>
      </c>
      <c r="D2188" t="inlineStr"/>
      <c r="E2188" t="inlineStr"/>
      <c r="F2188">
        <f>U2190+Skills!O2</f>
        <v/>
      </c>
      <c r="G2188">
        <f>Skills!G2*IF(Skills!H2&gt;0,Skills!I2/Skills!H2,1)</f>
        <v/>
      </c>
      <c r="H2188">
        <f>1-(1-Skills!J2/100)^Skills!K2</f>
        <v/>
      </c>
      <c r="I2188" t="inlineStr">
        <is>
          <t>1</t>
        </is>
      </c>
      <c r="J2188">
        <f>((Inputs!$B$6*(1+Inputs!$B$7/100))+(((Inputs!$B$12*(1+Inputs!$B$13/100))-(Inputs!$B$12*(1+Inputs!$B$13/100)))+0.25*(Inputs!$B$14-Inputs!$B$14))*(1+Inputs!$B$7/100))*(F2188/100)</f>
        <v/>
      </c>
      <c r="K2188">
        <f>J2188*(1+((Inputs!$B$12*(1+Inputs!$B$13/100))*0.01+Inputs!$B$14*0.0025)/100)*(1+Inputs!$B$15/100)*(1+Inputs!$B$16/100)*(5000/(6000+Inputs!$B$42*(1-(100*(1-(1-(Inputs!$B$19+0)/100)*(1-CHOOSE(ArtifactsInput!$N$40+1,5,6,7,8,9,10)/100)^(ArtifactsInput!$M$40-ArtifactsInput!$M$40)))/100)))*(1+(Inputs!$B$24+((C2210=TRUE)*(F2210-Calc!F24))+((C2211=TRUE)*(F2211-Calc!F25))+B2224)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IF(ArtifactsInput!$M$28,FALSE,TRUE)-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EMPOWERED_PIERCING_ARROW",Inputs!$B$17+((C2208=TRUE)*(F2208-Calc!F22))+(((IF(AND(ArtifactsInput!$M$42,((Inputs!$B$9+((C2205=TRUE)*(F2205-Calc!F19))+B2218+(ArtifactsInput!$M$24-ArtifactsInput!$M$24)*CHOOSE(ArtifactsInput!$N$24+1,10,12,14,16,18,20)+IF(ArtifactsInput!$M$10,CHOOSE(ArtifactsInput!$N$10+1,15,18,21,24,27,30)*(IF(Inputs!$B$38="pvp",MIN(15,15)/15,IF(AND(Inputs!$B$38&lt;&gt;"pvp",Inputs!$B$43&gt;0),MIN(15,Inputs!$B$43)/(Inputs!$B$43),0))),0)))&gt;=100),MIN(100,((Inputs!$B$9+((C2205=TRUE)*(F2205-Calc!F19))+B2218+(ArtifactsInput!$M$24-ArtifactsInput!$M$24)*CHOOSE(ArtifactsInput!$N$24+1,10,12,14,16,18,20)+IF(ArtifactsInput!$M$10,CHOOSE(ArtifactsInput!$N$10+1,15,18,21,24,27,30)*(IF(Inputs!$B$38="pvp",MIN(15,15)/15,IF(AND(Inputs!$B$38&lt;&gt;"pvp",Inputs!$B$43&gt;0),MIN(15,Inputs!$B$43)/(Inputs!$B$43),0))),0)))-100),0))*CHOOSE(ArtifactsInput!$N$42+1,0.6,0.72,0.84,0.96,1.08,1.2))),Inputs!$B$18+((C2213=TRUE)*(F2213-Calc!F27))+(IF(AND(ArtifactsInput!$M$42,((Inputs!$B$9+((C2205=TRUE)*(F2205-Calc!F19))+B2218+(ArtifactsInput!$M$24-ArtifactsInput!$M$24)*CHOOSE(ArtifactsInput!$N$24+1,10,12,14,16,18,20)+IF(ArtifactsInput!$M$10,CHOOSE(ArtifactsInput!$N$10+1,15,18,21,24,27,30)*(IF(Inputs!$B$38="pvp",MIN(15,15)/15,IF(AND(Inputs!$B$38&lt;&gt;"pvp",Inputs!$B$43&gt;0),MIN(15,Inputs!$B$43)/(Inputs!$B$43),0))),0)))&gt;=100),CHOOSE(ArtifactsInput!$N$42+1,40,48,56,64,72,80),0))))/100)*((1+(((C2199=TRUE)*F2199)+((C2200=TRUE)*IF(Inputs!$B$38="pvp",F2200,(1-Summary!$B$11)*(F2200)+Summary!$B$11*(0)))+((C2201=TRUE)*F2201*IF(AND(Inputs!$B$38&lt;&gt;"pvp",Inputs!$B$43&gt;0),(((R2201-1)*(Skills!T15*(1+Inputs!$B$34/100))+MIN((Skills!T15*(1+Inputs!$B$34/100)),MAX(0,Inputs!$B$43-((R2201-1)*Skills!D15))))/Inputs!$B$43),IF(Inputs!$B$38="pvp",MIN((Skills!T15*(1+Inputs!$B$34/100)),15)/15,(Skills!T15*(1+Inputs!$B$34/100))/Skills!D15)))+((C2198=TRUE)*F2198)+((C2215=TRUE)*(F2215-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2188)</f>
        <v/>
      </c>
      <c r="L2188">
        <f>K2188*(MIN(Inputs!$B$22+((C2209=TRUE)*(F2209-Calc!F23)),(Inputs!$B$23+((C2214=TRUE)*(F2214-Calc!F28))+(IF(ArtifactsInput!$M$15,CHOOSE(ArtifactsInput!$N$15+1,25,30,35,40,45,50)/100*(Inputs!$B$11-Inputs!$B$11),0))))/100+(Inputs!$B$23+((C2214=TRUE)*(F2214-Calc!F28))+(IF(ArtifactsInput!$M$15,CHOOSE(ArtifactsInput!$N$15+1,25,30,35,40,45,50)/100*(Inputs!$B$11-Inputs!$B$11),0)))/100)/2</f>
        <v/>
      </c>
      <c r="M2188">
        <f>L2188*(1+(Inputs!$B$10+0+B2223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188">
        <f>L2188*(1-MIN((Inputs!$B$9+((C2205=TRUE)*(F2205-Calc!F19))+B2218+(ArtifactsInput!$M$24-ArtifactsInput!$M$24)*CHOOSE(ArtifactsInput!$N$24+1,10,12,14,16,18,20)+(IF(AND(ArtifactsInput!$M$42,((Inputs!$B$9+((C2205=TRUE)*(F2205-Calc!F19))+B2218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2188*(MIN((Inputs!$B$9+((C2205=TRUE)*(F2205-Calc!F19))+B2218+(ArtifactsInput!$M$24-ArtifactsInput!$M$24)*CHOOSE(ArtifactsInput!$N$24+1,10,12,14,16,18,20)+(IF(AND(ArtifactsInput!$M$42,((Inputs!$B$9+((C2205=TRUE)*(F2205-Calc!F19))+B2218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188">
        <f>(1-Summary!$B$11)*T2188+Summary!$B$11*V2188</f>
        <v/>
      </c>
      <c r="P2188">
        <f>IF(B2228=0,0,O2188/B2228)</f>
        <v/>
      </c>
      <c r="Q2188" t="n">
        <v>0</v>
      </c>
      <c r="R2188" t="n">
        <v>0</v>
      </c>
      <c r="S2188">
        <f>IFERROR((Skills!G2*N2188*B2222)/N2188*IF(Inputs!$B$38="pvp",1,(1-Summary!$B$11)*1+Summary!$B$11*(MIN((6+Inputs!$B$33),Inputs!$B$37))),0)</f>
        <v/>
      </c>
      <c r="T2188">
        <f>IF(C2188,(Skills!G2*N2188*B2222)*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Hunt"),CHOOSE(ArtifactsInput!$N$35+1,15,18,21,24,27,30)*(1-EXP(-(0.2*B2220)*5)),0)+IF(AND(ArtifactsInput!$M$22,Inputs!$B$4&lt;&gt;"Chapter Hunt"),CHOOSE(ArtifactsInput!$N$22+1,10,12,14,16,18,20)*((0*(((0.15*B2220*5))^0/1)+1*(((0.15*B2220*5))^1/1)+2*(((0.15*B2220*5))^2/2)+3*(((0.15*B2220*5))^3/6)+4*(((0.15*B2220*5))^4/24)+5*(((0.15*B2220*5))^5/120))/((((0.15*B2220*5))^0/1)+(((0.15*B2220*5))^1/1)+(((0.15*B2220*5))^2/2)+(((0.15*B2220*5))^3/6)+(((0.15*B2220*5))^4/24)+(((0.15*B2220*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2188*(1-MIN(100,(Inputs!$B$9+((C2205=TRUE)*(F2205-Calc!F19))+B2218+(ArtifactsInput!$M$24-ArtifactsInput!$M$24)*CHOOSE(ArtifactsInput!$N$24+1,10,12,14,16,18,20)+(IF(AND(ArtifactsInput!$M$42,((Inputs!$B$9+((C2205=TRUE)*(F2205-Calc!F19))+B2218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2188*(MIN(100,(Inputs!$B$9+((C2205=TRUE)*(F2205-Calc!F19))+B2218+(ArtifactsInput!$M$24-ArtifactsInput!$M$24)*CHOOSE(ArtifactsInput!$N$24+1,10,12,14,16,18,20)+(IF(AND(ArtifactsInput!$M$42,((Inputs!$B$9+((C2205=TRUE)*(F2205-Calc!F19))+B2218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2188*(1-MIN(100,(Inputs!$B$9+((C2205=TRUE)*(F2205-Calc!F19))+B2218+(ArtifactsInput!$M$24-ArtifactsInput!$M$24)*CHOOSE(ArtifactsInput!$N$24+1,10,12,14,16,18,20)+(IF(AND(ArtifactsInput!$M$42,((Inputs!$B$9+((C2205=TRUE)*(F2205-Calc!F19))+B2218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2188*(MIN(100,(Inputs!$B$9+((C2205=TRUE)*(F2205-Calc!F19))+B2218+(ArtifactsInput!$M$24-ArtifactsInput!$M$24)*CHOOSE(ArtifactsInput!$N$24+1,10,12,14,16,18,20)+(IF(AND(ArtifactsInput!$M$42,((Inputs!$B$9+((C2205=TRUE)*(F2205-Calc!F19))+B2218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188">
        <f>MAX(0,(Inputs!$B$3-100)*3)+Inputs!$B$28+Inputs!$B$29</f>
        <v/>
      </c>
      <c r="V2188">
        <f>IF(C2188,(Skills!G2*N2188*B2222)*IF(Inputs!$B$38="pvp",1,(1+(Inputs!$B$21+Skills!Q2+(IF(ArtifactsInput!$M$33,CHOOSE(ArtifactsInput!$N$33+1,30,36,42,48,54,60),0))+(IF(AND(ArtifactsInput!$M$35,Inputs!$B$4&lt;&gt;"Chapter Hunt"),CHOOSE(ArtifactsInput!$N$35+1,15,18,21,24,27,30)*(1-EXP(-(0.2*B2220)*5)),0)+IF(AND(ArtifactsInput!$M$22,Inputs!$B$4&lt;&gt;"Chapter Hunt"),CHOOSE(ArtifactsInput!$N$22+1,10,12,14,16,18,20)*((0*(((0.15*B2220*5))^0/1)+1*(((0.15*B2220*5))^1/1)+2*(((0.15*B2220*5))^2/2)+3*(((0.15*B2220*5))^3/6)+4*(((0.15*B2220*5))^4/24)+5*(((0.15*B2220*5))^5/120))/((((0.15*B2220*5))^0/1)+(((0.15*B2220*5))^1/1)+(((0.15*B2220*5))^2/2)+(((0.15*B2220*5))^3/6)+(((0.15*B2220*5))^4/24)+(((0.15*B2220*5))^5/120)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189">
      <c r="A2189">
        <f>Skills!A3</f>
        <v/>
      </c>
      <c r="B2189">
        <f>Skills!B3</f>
        <v/>
      </c>
      <c r="C2189">
        <f>Inputs!$B$3&gt;=50</f>
        <v/>
      </c>
      <c r="D2189">
        <f>IF(Skills!C3=1,60+Inputs!$B$25+Inputs!$B$29,IF(Skills!C3=2,90+Inputs!$B$26+Inputs!$B$29,IF(Skills!C3=3,120+Inputs!$B$27+Inputs!$B$29,MAX(0,(Inputs!$B$3-100)*3)+Inputs!$B$28+Inputs!$B$29)))</f>
        <v/>
      </c>
      <c r="E2189">
        <f>INDEX(FactorTable!$B$2:$Y$301, MATCH(ROUND(MIN(300,MAX(1,D2189)),0), FactorTable!$A$2:$A$301,0), Skills!M3+1)</f>
        <v/>
      </c>
      <c r="F2189">
        <f>IF(Skills!N3=TRUE,(Skills!L3/10)*(E2189/1000),Skills!L3/10)+Skills!O3</f>
        <v/>
      </c>
      <c r="G2189" t="inlineStr"/>
      <c r="H2189" t="inlineStr"/>
      <c r="I2189" t="inlineStr">
        <is>
          <t>1</t>
        </is>
      </c>
      <c r="J2189" t="inlineStr"/>
      <c r="K2189" t="inlineStr"/>
      <c r="L2189" t="inlineStr"/>
      <c r="M2189" t="inlineStr"/>
      <c r="N2189" t="inlineStr"/>
      <c r="O2189" t="inlineStr"/>
      <c r="P2189" t="inlineStr"/>
      <c r="Q2189" t="inlineStr"/>
      <c r="R2189" t="inlineStr"/>
      <c r="S2189" t="inlineStr"/>
      <c r="T2189" t="inlineStr"/>
      <c r="U2189">
        <f>INDEX(FactorTable!$B$2:$Y$301, MATCH(ROUND(MIN(300,MAX(1,U2188)),0), FactorTable!$A$2:$A$301,0), 22)</f>
        <v/>
      </c>
      <c r="V2189" t="inlineStr"/>
    </row>
    <row r="2190">
      <c r="A2190">
        <f>Skills!A4</f>
        <v/>
      </c>
      <c r="B2190">
        <f>Skills!B4</f>
        <v/>
      </c>
      <c r="C2190">
        <f>Inputs!$B$3&gt;=105</f>
        <v/>
      </c>
      <c r="D2190">
        <f>IF(Skills!C4=1,60+Inputs!$B$25+Inputs!$B$29,IF(Skills!C4=2,90+Inputs!$B$26+Inputs!$B$29,IF(Skills!C4=3,120+Inputs!$B$27+Inputs!$B$29,MAX(0,(Inputs!$B$3-100)*3)+Inputs!$B$28+Inputs!$B$29)))</f>
        <v/>
      </c>
      <c r="E2190">
        <f>INDEX(FactorTable!$B$2:$Y$301, MATCH(ROUND(MIN(300,MAX(1,D2190)),0), FactorTable!$A$2:$A$301,0), Skills!M4+1)</f>
        <v/>
      </c>
      <c r="F2190">
        <f>IF(Skills!N4=TRUE,(Skills!L4/10)*(E2190/1000),Skills!L4/10)+Skills!O4</f>
        <v/>
      </c>
      <c r="G2190" t="inlineStr"/>
      <c r="H2190" t="inlineStr"/>
      <c r="I2190" t="inlineStr">
        <is>
          <t>1</t>
        </is>
      </c>
      <c r="J2190" t="inlineStr"/>
      <c r="K2190" t="inlineStr"/>
      <c r="L2190" t="inlineStr"/>
      <c r="M2190" t="inlineStr"/>
      <c r="N2190" t="inlineStr"/>
      <c r="O2190" t="inlineStr"/>
      <c r="P2190" t="inlineStr"/>
      <c r="Q2190" t="inlineStr"/>
      <c r="R2190" t="inlineStr"/>
      <c r="S2190" t="inlineStr"/>
      <c r="T2190" t="inlineStr"/>
      <c r="U2190">
        <f>290*U2189/1000</f>
        <v/>
      </c>
      <c r="V2190" t="inlineStr"/>
    </row>
    <row r="2191">
      <c r="A2191">
        <f>Skills!A5</f>
        <v/>
      </c>
      <c r="B2191">
        <f>Skills!B5</f>
        <v/>
      </c>
      <c r="C2191">
        <f>Inputs!$B$3&gt;=35</f>
        <v/>
      </c>
      <c r="D2191">
        <f>IF(Skills!C5=1,60+Inputs!$B$25+Inputs!$B$29,IF(Skills!C5=2,90+Inputs!$B$26+Inputs!$B$29,IF(Skills!C5=3,120+Inputs!$B$27+Inputs!$B$29,MAX(0,(Inputs!$B$3-100)*3)+Inputs!$B$28+Inputs!$B$29)))</f>
        <v/>
      </c>
      <c r="E2191">
        <f>INDEX(FactorTable!$B$2:$Y$301, MATCH(ROUND(MIN(300,MAX(1,D2191)),0), FactorTable!$A$2:$A$301,0), Skills!M5+1)</f>
        <v/>
      </c>
      <c r="F2191">
        <f>IF(Skills!N5=TRUE,(Skills!L5/10)*(E2191/1000),Skills!L5/10)+Skills!O5</f>
        <v/>
      </c>
      <c r="G2191">
        <f>Skills!G5*IF(Skills!H5&gt;0,Skills!I5/Skills!H5,1)</f>
        <v/>
      </c>
      <c r="H2191">
        <f>1-(1-Skills!J5/100)^Skills!K5</f>
        <v/>
      </c>
      <c r="I2191" t="inlineStr">
        <is>
          <t>1</t>
        </is>
      </c>
      <c r="J2191">
        <f>((Inputs!$B$6*(1+Inputs!$B$7/100))+(((Inputs!$B$12*(1+Inputs!$B$13/100))-(Inputs!$B$12*(1+Inputs!$B$13/100)))+0.25*(Inputs!$B$14-Inputs!$B$14))*(1+Inputs!$B$7/100))*(F2191/100)</f>
        <v/>
      </c>
      <c r="K2191">
        <f>J2191*(1+((Inputs!$B$12*(1+Inputs!$B$13/100))*0.01+Inputs!$B$14*0.0025)/100)*(1+Inputs!$B$15/100)*(1+Inputs!$B$16/100)*(5000/(6000+Inputs!$B$42*(1-(100*(1-(1-(Inputs!$B$19+0)/100)*(1-CHOOSE(ArtifactsInput!$N$40+1,5,6,7,8,9,10)/100)^(ArtifactsInput!$M$40-ArtifactsInput!$M$40)))/100)))*(1+(Inputs!$B$24+((C2210=TRUE)*(F2210-Calc!F24))+((C2211=TRUE)*(F2211-Calc!F25))+B2224)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IF(ArtifactsInput!$M$28,FALSE,TRUE)-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2194=TRUE,F2194,0)/100)*(1+(IF(Skills!A5="EMPOWERED_PIERCING_ARROW",Inputs!$B$17+((C2208=TRUE)*(F2208-Calc!F22))+(((IF(AND(ArtifactsInput!$M$42,((Inputs!$B$9+((C2205=TRUE)*(F2205-Calc!F19))+B2218+(ArtifactsInput!$M$24-ArtifactsInput!$M$24)*CHOOSE(ArtifactsInput!$N$24+1,10,12,14,16,18,20)+IF(ArtifactsInput!$M$10,CHOOSE(ArtifactsInput!$N$10+1,15,18,21,24,27,30)*(IF(Inputs!$B$38="pvp",MIN(15,15)/15,IF(AND(Inputs!$B$38&lt;&gt;"pvp",Inputs!$B$43&gt;0),MIN(15,Inputs!$B$43)/(Inputs!$B$43),0))),0)))&gt;=100),MIN(100,((Inputs!$B$9+((C2205=TRUE)*(F2205-Calc!F19))+B2218+(ArtifactsInput!$M$24-ArtifactsInput!$M$24)*CHOOSE(ArtifactsInput!$N$24+1,10,12,14,16,18,20)+IF(ArtifactsInput!$M$10,CHOOSE(ArtifactsInput!$N$10+1,15,18,21,24,27,30)*(IF(Inputs!$B$38="pvp",MIN(15,15)/15,IF(AND(Inputs!$B$38&lt;&gt;"pvp",Inputs!$B$43&gt;0),MIN(15,Inputs!$B$43)/(Inputs!$B$43),0))),0)))-100),0))*CHOOSE(ArtifactsInput!$N$42+1,0.6,0.72,0.84,0.96,1.08,1.2))),Inputs!$B$18+((C2213=TRUE)*(F2213-Calc!F27))+(IF(AND(ArtifactsInput!$M$42,((Inputs!$B$9+((C2205=TRUE)*(F2205-Calc!F19))+B2218+(ArtifactsInput!$M$24-ArtifactsInput!$M$24)*CHOOSE(ArtifactsInput!$N$24+1,10,12,14,16,18,20)+IF(ArtifactsInput!$M$10,CHOOSE(ArtifactsInput!$N$10+1,15,18,21,24,27,30)*(IF(Inputs!$B$38="pvp",MIN(15,15)/15,IF(AND(Inputs!$B$38&lt;&gt;"pvp",Inputs!$B$43&gt;0),MIN(15,Inputs!$B$43)/(Inputs!$B$43),0))),0)))&gt;=100),CHOOSE(ArtifactsInput!$N$42+1,40,48,56,64,72,80),0))))/100)*((1+(((C2199=TRUE)*F2199)+((C2200=TRUE)*IF(Inputs!$B$38="pvp",F2200,(1-Summary!$B$11)*(F2200)+Summary!$B$11*(0)))+((C2201=TRUE)*F2201*IF(AND(Inputs!$B$38&lt;&gt;"pvp",Inputs!$B$43&gt;0),(((R2201-1)*(Skills!T15*(1+Inputs!$B$34/100))+MIN((Skills!T15*(1+Inputs!$B$34/100)),MAX(0,Inputs!$B$43-((R2201-1)*Skills!D15))))/Inputs!$B$43),IF(Inputs!$B$38="pvp",MIN((Skills!T15*(1+Inputs!$B$34/100)),15)/15,(Skills!T15*(1+Inputs!$B$34/100))/Skills!D15)))+((C2198=TRUE)*F2198)+((C2215=TRUE)*(F2215-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2191)</f>
        <v/>
      </c>
      <c r="L2191">
        <f>K2191*(MIN(Inputs!$B$22+((C2209=TRUE)*(F2209-Calc!F23)),(Inputs!$B$23+((C2214=TRUE)*(F2214-Calc!F28))+(IF(ArtifactsInput!$M$15,CHOOSE(ArtifactsInput!$N$15+1,25,30,35,40,45,50)/100*(Inputs!$B$11-Inputs!$B$11),0))))/100+(Inputs!$B$23+((C2214=TRUE)*(F2214-Calc!F28))+(IF(ArtifactsInput!$M$15,CHOOSE(ArtifactsInput!$N$15+1,25,30,35,40,45,50)/100*(Inputs!$B$11-Inputs!$B$11),0)))/100)/2</f>
        <v/>
      </c>
      <c r="M2191">
        <f>L2191*(1+(Inputs!$B$10+0+B2223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191">
        <f>L2191*(1-MIN((Inputs!$B$9+((C2205=TRUE)*(F2205-Calc!F19))+B2218+(ArtifactsInput!$M$24-ArtifactsInput!$M$24)*CHOOSE(ArtifactsInput!$N$24+1,10,12,14,16,18,20)+(IF(AND(ArtifactsInput!$M$42,((Inputs!$B$9+((C2205=TRUE)*(F2205-Calc!F19))+B2218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2191*(MIN((Inputs!$B$9+((C2205=TRUE)*(F2205-Calc!F19))+B2218+(ArtifactsInput!$M$24-ArtifactsInput!$M$24)*CHOOSE(ArtifactsInput!$N$24+1,10,12,14,16,18,20)+(IF(AND(ArtifactsInput!$M$42,((Inputs!$B$9+((C2205=TRUE)*(F2205-Calc!F19))+B2218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191">
        <f>(1-Summary!$B$11)*T2191+Summary!$B$11*V2191</f>
        <v/>
      </c>
      <c r="P2191">
        <f>IF(B2228=0,0,O2191/B2228)</f>
        <v/>
      </c>
      <c r="Q2191">
        <f>IFERROR(1/IF(Inputs!$B$38="pvp",15,MAX(0.1,Skills!D5-IF(Skills!E5=TRUE,Inputs!$B$32,0))),0)</f>
        <v/>
      </c>
      <c r="R2191">
        <f>IF(AND(Inputs!$B$38&lt;&gt;"pvp",Inputs!$B$43&gt;0),IF(MAX(0,Inputs!$B$43-B2225)&lt;=0,0,(INT(MAX(0,Inputs!$B$43-B2225)/IF(Inputs!$B$38="pvp",15,MAX(0.1,Skills!D5-IF(Skills!E5=TRUE,Inputs!$B$32,0))))+1)),0)</f>
        <v/>
      </c>
      <c r="S2191">
        <f>IFERROR((H2191*N2191*IF(AND(Inputs!$B$38&lt;&gt;"pvp",Inputs!$B$43&gt;0),((Skills!G5*((R2191-1)*IF(Skills!H5&gt;0,Skills!I5/Skills!H5,1)+IF(Skills!H5&gt;0,MIN(Skills!I5,MAX(0,MAX(0,Inputs!$B$43-B2225)-((R2191-1)*IF(Inputs!$B$38="pvp",15,MAX(0.1,Skills!D5-IF(Skills!E5=TRUE,Inputs!$B$32,0))))))/Skills!H5,1)))/Inputs!$B$43),G2191*Q2191))/N2191*IF(Inputs!$B$38="pvp",1,(1-Summary!$B$11)*1+Summary!$B$11*(MIN(Skills!R5,Inputs!$B$37))),0)</f>
        <v/>
      </c>
      <c r="T2191">
        <f>IF(C2191,(H2191*N2191*IF(AND(Inputs!$B$38&lt;&gt;"pvp",Inputs!$B$43&gt;0),((Skills!G5*((R2191-1)*IF(Skills!H5&gt;0,Skills!I5/Skills!H5,1)+IF(Skills!H5&gt;0,MIN(Skills!I5,MAX(0,MAX(0,Inputs!$B$43-B2225)-((R2191-1)*IF(Inputs!$B$38="pvp",15,MAX(0.1,Skills!D5-IF(Skills!E5=TRUE,Inputs!$B$32,0))))))/Skills!H5,1)))/Inputs!$B$43),G2191*Q2191))*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Hunt"),CHOOSE(ArtifactsInput!$N$35+1,15,18,21,24,27,30)*(1-EXP(-(0.2*B2220)*5)),0)+IF(AND(ArtifactsInput!$M$22,Inputs!$B$4&lt;&gt;"Chapter Hunt"),CHOOSE(ArtifactsInput!$N$22+1,10,12,14,16,18,20)*((0*(((0.15*B2220*5))^0/1)+1*(((0.15*B2220*5))^1/1)+2*(((0.15*B2220*5))^2/2)+3*(((0.15*B2220*5))^3/6)+4*(((0.15*B2220*5))^4/24)+5*(((0.15*B2220*5))^5/120))/((((0.15*B2220*5))^0/1)+(((0.15*B2220*5))^1/1)+(((0.15*B2220*5))^2/2)+(((0.15*B2220*5))^3/6)+(((0.15*B2220*5))^4/24)+(((0.15*B2220*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2191*(1-MIN(100,(Inputs!$B$9+((C2205=TRUE)*(F2205-Calc!F19))+B2218+(ArtifactsInput!$M$24-ArtifactsInput!$M$24)*CHOOSE(ArtifactsInput!$N$24+1,10,12,14,16,18,20)+(IF(AND(ArtifactsInput!$M$42,((Inputs!$B$9+((C2205=TRUE)*(F2205-Calc!F19))+B2218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2191*(MIN(100,(Inputs!$B$9+((C2205=TRUE)*(F2205-Calc!F19))+B2218+(ArtifactsInput!$M$24-ArtifactsInput!$M$24)*CHOOSE(ArtifactsInput!$N$24+1,10,12,14,16,18,20)+(IF(AND(ArtifactsInput!$M$42,((Inputs!$B$9+((C2205=TRUE)*(F2205-Calc!F19))+B2218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2191*(1-MIN(100,(Inputs!$B$9+((C2205=TRUE)*(F2205-Calc!F19))+B2218+(ArtifactsInput!$M$24-ArtifactsInput!$M$24)*CHOOSE(ArtifactsInput!$N$24+1,10,12,14,16,18,20)+(IF(AND(ArtifactsInput!$M$42,((Inputs!$B$9+((C2205=TRUE)*(F2205-Calc!F19))+B2218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2191*(MIN(100,(Inputs!$B$9+((C2205=TRUE)*(F2205-Calc!F19))+B2218+(ArtifactsInput!$M$24-ArtifactsInput!$M$24)*CHOOSE(ArtifactsInput!$N$24+1,10,12,14,16,18,20)+(IF(AND(ArtifactsInput!$M$42,((Inputs!$B$9+((C2205=TRUE)*(F2205-Calc!F19))+B2218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191">
        <f>IF(C2191,(H2191*N2191*IF(AND(Inputs!$B$38&lt;&gt;"pvp",Inputs!$B$43&gt;0),((Skills!G5*((R2191-1)*IF(Skills!H5&gt;0,Skills!I5/Skills!H5,1)+IF(Skills!H5&gt;0,MIN(Skills!I5,MAX(0,MAX(0,Inputs!$B$43-B2225)-((R2191-1)*IF(Inputs!$B$38="pvp",15,MAX(0.1,Skills!D5-IF(Skills!E5=TRUE,Inputs!$B$32,0))))))/Skills!H5,1)))/Inputs!$B$43),G2191*Q2191))*IF(Inputs!$B$38="pvp",1,(1+(Inputs!$B$21+Skills!Q5+(IF(ArtifactsInput!$M$33,CHOOSE(ArtifactsInput!$N$33+1,30,36,42,48,54,60),0))+(IF(AND(ArtifactsInput!$M$35,Inputs!$B$4&lt;&gt;"Chapter Hunt"),CHOOSE(ArtifactsInput!$N$35+1,15,18,21,24,27,30)*(1-EXP(-(0.2*B2220)*5)),0)+IF(AND(ArtifactsInput!$M$22,Inputs!$B$4&lt;&gt;"Chapter Hunt"),CHOOSE(ArtifactsInput!$N$22+1,10,12,14,16,18,20)*((0*(((0.15*B2220*5))^0/1)+1*(((0.15*B2220*5))^1/1)+2*(((0.15*B2220*5))^2/2)+3*(((0.15*B2220*5))^3/6)+4*(((0.15*B2220*5))^4/24)+5*(((0.15*B2220*5))^5/120))/((((0.15*B2220*5))^0/1)+(((0.15*B2220*5))^1/1)+(((0.15*B2220*5))^2/2)+(((0.15*B2220*5))^3/6)+(((0.15*B2220*5))^4/24)+(((0.15*B2220*5))^5/120)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192">
      <c r="A2192">
        <f>Skills!A6</f>
        <v/>
      </c>
      <c r="B2192">
        <f>Skills!B6</f>
        <v/>
      </c>
      <c r="C2192">
        <f>Inputs!$B$3&gt;=63</f>
        <v/>
      </c>
      <c r="D2192">
        <f>IF(Skills!C6=1,60+Inputs!$B$25+Inputs!$B$29,IF(Skills!C6=2,90+Inputs!$B$26+Inputs!$B$29,IF(Skills!C6=3,120+Inputs!$B$27+Inputs!$B$29,MAX(0,(Inputs!$B$3-100)*3)+Inputs!$B$28+Inputs!$B$29)))</f>
        <v/>
      </c>
      <c r="E2192">
        <f>INDEX(FactorTable!$B$2:$Y$301, MATCH(ROUND(MIN(300,MAX(1,D2192)),0), FactorTable!$A$2:$A$301,0), Skills!M6+1)</f>
        <v/>
      </c>
      <c r="F2192">
        <f>IF(Skills!N6=TRUE,(Skills!L6/10)*(E2192/1000),Skills!L6/10)+Skills!O6</f>
        <v/>
      </c>
      <c r="G2192">
        <f>Skills!G6*IF(Skills!H6&gt;0,Skills!I6/Skills!H6,1)</f>
        <v/>
      </c>
      <c r="H2192">
        <f>1-(1-Skills!J6/100)^Skills!K6</f>
        <v/>
      </c>
      <c r="I2192" t="inlineStr">
        <is>
          <t>1</t>
        </is>
      </c>
      <c r="J2192">
        <f>((Inputs!$B$6*(1+Inputs!$B$7/100))+(((Inputs!$B$12*(1+Inputs!$B$13/100))-(Inputs!$B$12*(1+Inputs!$B$13/100)))+0.25*(Inputs!$B$14-Inputs!$B$14))*(1+Inputs!$B$7/100))*(F2192/100)</f>
        <v/>
      </c>
      <c r="K2192">
        <f>J2192*(1+((Inputs!$B$12*(1+Inputs!$B$13/100))*0.01+Inputs!$B$14*0.0025)/100)*(1+Inputs!$B$15/100)*(1+Inputs!$B$16/100)*(5000/(6000+Inputs!$B$42*(1-(100*(1-(1-(Inputs!$B$19+0)/100)*(1-CHOOSE(ArtifactsInput!$N$40+1,5,6,7,8,9,10)/100)^(ArtifactsInput!$M$40-ArtifactsInput!$M$40)))/100)))*(1+(Inputs!$B$24+((C2210=TRUE)*(F2210-Calc!F24))+((C2211=TRUE)*(F2211-Calc!F25))+B2224)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IF(ArtifactsInput!$M$28,FALSE,TRUE)-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2194=TRUE,F2194,0)/100)*(1+(IF(Skills!A6="EMPOWERED_PIERCING_ARROW",Inputs!$B$17+((C2208=TRUE)*(F2208-Calc!F22))+(((IF(AND(ArtifactsInput!$M$42,((Inputs!$B$9+((C2205=TRUE)*(F2205-Calc!F19))+B2218+(ArtifactsInput!$M$24-ArtifactsInput!$M$24)*CHOOSE(ArtifactsInput!$N$24+1,10,12,14,16,18,20)+IF(ArtifactsInput!$M$10,CHOOSE(ArtifactsInput!$N$10+1,15,18,21,24,27,30)*(IF(Inputs!$B$38="pvp",MIN(15,15)/15,IF(AND(Inputs!$B$38&lt;&gt;"pvp",Inputs!$B$43&gt;0),MIN(15,Inputs!$B$43)/(Inputs!$B$43),0))),0)))&gt;=100),MIN(100,((Inputs!$B$9+((C2205=TRUE)*(F2205-Calc!F19))+B2218+(ArtifactsInput!$M$24-ArtifactsInput!$M$24)*CHOOSE(ArtifactsInput!$N$24+1,10,12,14,16,18,20)+IF(ArtifactsInput!$M$10,CHOOSE(ArtifactsInput!$N$10+1,15,18,21,24,27,30)*(IF(Inputs!$B$38="pvp",MIN(15,15)/15,IF(AND(Inputs!$B$38&lt;&gt;"pvp",Inputs!$B$43&gt;0),MIN(15,Inputs!$B$43)/(Inputs!$B$43),0))),0)))-100),0))*CHOOSE(ArtifactsInput!$N$42+1,0.6,0.72,0.84,0.96,1.08,1.2))),Inputs!$B$18+((C2213=TRUE)*(F2213-Calc!F27))+(IF(AND(ArtifactsInput!$M$42,((Inputs!$B$9+((C2205=TRUE)*(F2205-Calc!F19))+B2218+(ArtifactsInput!$M$24-ArtifactsInput!$M$24)*CHOOSE(ArtifactsInput!$N$24+1,10,12,14,16,18,20)+IF(ArtifactsInput!$M$10,CHOOSE(ArtifactsInput!$N$10+1,15,18,21,24,27,30)*(IF(Inputs!$B$38="pvp",MIN(15,15)/15,IF(AND(Inputs!$B$38&lt;&gt;"pvp",Inputs!$B$43&gt;0),MIN(15,Inputs!$B$43)/(Inputs!$B$43),0))),0)))&gt;=100),CHOOSE(ArtifactsInput!$N$42+1,40,48,56,64,72,80),0))))/100)*((1+(((C2199=TRUE)*F2199)+((C2200=TRUE)*IF(Inputs!$B$38="pvp",F2200,(1-Summary!$B$11)*(F2200)+Summary!$B$11*(0)))+((C2201=TRUE)*F2201*IF(AND(Inputs!$B$38&lt;&gt;"pvp",Inputs!$B$43&gt;0),(((R2201-1)*(Skills!T15*(1+Inputs!$B$34/100))+MIN((Skills!T15*(1+Inputs!$B$34/100)),MAX(0,Inputs!$B$43-((R2201-1)*Skills!D15))))/Inputs!$B$43),IF(Inputs!$B$38="pvp",MIN((Skills!T15*(1+Inputs!$B$34/100)),15)/15,(Skills!T15*(1+Inputs!$B$34/100))/Skills!D15)))+((C2198=TRUE)*F2198)+((C2215=TRUE)*(F2215-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2192)</f>
        <v/>
      </c>
      <c r="L2192">
        <f>K2192*(MIN(Inputs!$B$22+((C2209=TRUE)*(F2209-Calc!F23)),(Inputs!$B$23+((C2214=TRUE)*(F2214-Calc!F28))+(IF(ArtifactsInput!$M$15,CHOOSE(ArtifactsInput!$N$15+1,25,30,35,40,45,50)/100*(Inputs!$B$11-Inputs!$B$11),0))))/100+(Inputs!$B$23+((C2214=TRUE)*(F2214-Calc!F28))+(IF(ArtifactsInput!$M$15,CHOOSE(ArtifactsInput!$N$15+1,25,30,35,40,45,50)/100*(Inputs!$B$11-Inputs!$B$11),0)))/100)/2</f>
        <v/>
      </c>
      <c r="M2192">
        <f>L2192*(1+(Inputs!$B$10+0+B2223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192">
        <f>L2192*(1-MIN((Inputs!$B$9+((C2205=TRUE)*(F2205-Calc!F19))+B2218+(ArtifactsInput!$M$24-ArtifactsInput!$M$24)*CHOOSE(ArtifactsInput!$N$24+1,10,12,14,16,18,20)+(IF(AND(ArtifactsInput!$M$42,((Inputs!$B$9+((C2205=TRUE)*(F2205-Calc!F19))+B2218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2192*(MIN((Inputs!$B$9+((C2205=TRUE)*(F2205-Calc!F19))+B2218+(ArtifactsInput!$M$24-ArtifactsInput!$M$24)*CHOOSE(ArtifactsInput!$N$24+1,10,12,14,16,18,20)+(IF(AND(ArtifactsInput!$M$42,((Inputs!$B$9+((C2205=TRUE)*(F2205-Calc!F19))+B2218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192">
        <f>(1-Summary!$B$11)*T2192+Summary!$B$11*V2192</f>
        <v/>
      </c>
      <c r="P2192">
        <f>IF(B2228=0,0,O2192/B2228)</f>
        <v/>
      </c>
      <c r="Q2192">
        <f>IFERROR(1/IF(Inputs!$B$38="pvp",15,MAX(0.1,Skills!D6-IF(Skills!E6=TRUE,Inputs!$B$32,0))),0)</f>
        <v/>
      </c>
      <c r="R2192">
        <f>IF(AND(Inputs!$B$38&lt;&gt;"pvp",Inputs!$B$43&gt;0),IF(MAX(0,Inputs!$B$43-B2225)&lt;=0,0,(INT(MAX(0,Inputs!$B$43-B2225)/IF(Inputs!$B$38="pvp",15,MAX(0.1,Skills!D6-IF(Skills!E6=TRUE,Inputs!$B$32,0))))+1)),0)</f>
        <v/>
      </c>
      <c r="S2192">
        <f>IFERROR((H2192*N2192*IF(AND(Inputs!$B$38&lt;&gt;"pvp",Inputs!$B$43&gt;0),((Skills!G6*((R2192-1)*IF(Skills!H6&gt;0,Skills!I6/Skills!H6,1)+IF(Skills!H6&gt;0,MIN(Skills!I6,MAX(0,MAX(0,Inputs!$B$43-B2225)-((R2192-1)*IF(Inputs!$B$38="pvp",15,MAX(0.1,Skills!D6-IF(Skills!E6=TRUE,Inputs!$B$32,0))))))/Skills!H6,1)))/Inputs!$B$43),G2192*Q2192))/N2192*IF(Inputs!$B$38="pvp",1,(1-Summary!$B$11)*1+Summary!$B$11*(MIN(Skills!R6,Inputs!$B$37))),0)</f>
        <v/>
      </c>
      <c r="T2192">
        <f>IF(C2192,(H2192*N2192*IF(AND(Inputs!$B$38&lt;&gt;"pvp",Inputs!$B$43&gt;0),((Skills!G6*((R2192-1)*IF(Skills!H6&gt;0,Skills!I6/Skills!H6,1)+IF(Skills!H6&gt;0,MIN(Skills!I6,MAX(0,MAX(0,Inputs!$B$43-B2225)-((R2192-1)*IF(Inputs!$B$38="pvp",15,MAX(0.1,Skills!D6-IF(Skills!E6=TRUE,Inputs!$B$32,0))))))/Skills!H6,1)))/Inputs!$B$43),G2192*Q2192))*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Hunt"),CHOOSE(ArtifactsInput!$N$35+1,15,18,21,24,27,30)*(1-EXP(-(0.2*B2220)*5)),0)+IF(AND(ArtifactsInput!$M$22,Inputs!$B$4&lt;&gt;"Chapter Hunt"),CHOOSE(ArtifactsInput!$N$22+1,10,12,14,16,18,20)*((0*(((0.15*B2220*5))^0/1)+1*(((0.15*B2220*5))^1/1)+2*(((0.15*B2220*5))^2/2)+3*(((0.15*B2220*5))^3/6)+4*(((0.15*B2220*5))^4/24)+5*(((0.15*B2220*5))^5/120))/((((0.15*B2220*5))^0/1)+(((0.15*B2220*5))^1/1)+(((0.15*B2220*5))^2/2)+(((0.15*B2220*5))^3/6)+(((0.15*B2220*5))^4/24)+(((0.15*B2220*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2192*(1-MIN(100,(Inputs!$B$9+((C2205=TRUE)*(F2205-Calc!F19))+B2218+(ArtifactsInput!$M$24-ArtifactsInput!$M$24)*CHOOSE(ArtifactsInput!$N$24+1,10,12,14,16,18,20)+(IF(AND(ArtifactsInput!$M$42,((Inputs!$B$9+((C2205=TRUE)*(F2205-Calc!F19))+B2218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2192*(MIN(100,(Inputs!$B$9+((C2205=TRUE)*(F2205-Calc!F19))+B2218+(ArtifactsInput!$M$24-ArtifactsInput!$M$24)*CHOOSE(ArtifactsInput!$N$24+1,10,12,14,16,18,20)+(IF(AND(ArtifactsInput!$M$42,((Inputs!$B$9+((C2205=TRUE)*(F2205-Calc!F19))+B2218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2192*(1-MIN(100,(Inputs!$B$9+((C2205=TRUE)*(F2205-Calc!F19))+B2218+(ArtifactsInput!$M$24-ArtifactsInput!$M$24)*CHOOSE(ArtifactsInput!$N$24+1,10,12,14,16,18,20)+(IF(AND(ArtifactsInput!$M$42,((Inputs!$B$9+((C2205=TRUE)*(F2205-Calc!F19))+B2218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2192*(MIN(100,(Inputs!$B$9+((C2205=TRUE)*(F2205-Calc!F19))+B2218+(ArtifactsInput!$M$24-ArtifactsInput!$M$24)*CHOOSE(ArtifactsInput!$N$24+1,10,12,14,16,18,20)+(IF(AND(ArtifactsInput!$M$42,((Inputs!$B$9+((C2205=TRUE)*(F2205-Calc!F19))+B2218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192">
        <f>IF(C2192,(H2192*N2192*IF(AND(Inputs!$B$38&lt;&gt;"pvp",Inputs!$B$43&gt;0),((Skills!G6*((R2192-1)*IF(Skills!H6&gt;0,Skills!I6/Skills!H6,1)+IF(Skills!H6&gt;0,MIN(Skills!I6,MAX(0,MAX(0,Inputs!$B$43-B2225)-((R2192-1)*IF(Inputs!$B$38="pvp",15,MAX(0.1,Skills!D6-IF(Skills!E6=TRUE,Inputs!$B$32,0))))))/Skills!H6,1)))/Inputs!$B$43),G2192*Q2192))*IF(Inputs!$B$38="pvp",1,(1+(Inputs!$B$21+Skills!Q6+(IF(ArtifactsInput!$M$33,CHOOSE(ArtifactsInput!$N$33+1,30,36,42,48,54,60),0))+(IF(AND(ArtifactsInput!$M$35,Inputs!$B$4&lt;&gt;"Chapter Hunt"),CHOOSE(ArtifactsInput!$N$35+1,15,18,21,24,27,30)*(1-EXP(-(0.2*B2220)*5)),0)+IF(AND(ArtifactsInput!$M$22,Inputs!$B$4&lt;&gt;"Chapter Hunt"),CHOOSE(ArtifactsInput!$N$22+1,10,12,14,16,18,20)*((0*(((0.15*B2220*5))^0/1)+1*(((0.15*B2220*5))^1/1)+2*(((0.15*B2220*5))^2/2)+3*(((0.15*B2220*5))^3/6)+4*(((0.15*B2220*5))^4/24)+5*(((0.15*B2220*5))^5/120))/((((0.15*B2220*5))^0/1)+(((0.15*B2220*5))^1/1)+(((0.15*B2220*5))^2/2)+(((0.15*B2220*5))^3/6)+(((0.15*B2220*5))^4/24)+(((0.15*B2220*5))^5/120))),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193">
      <c r="A2193">
        <f>Skills!A7</f>
        <v/>
      </c>
      <c r="B2193">
        <f>Skills!B7</f>
        <v/>
      </c>
      <c r="C2193">
        <f>Inputs!$B$3&gt;=69</f>
        <v/>
      </c>
      <c r="D2193">
        <f>IF(Skills!C7=1,60+Inputs!$B$25+Inputs!$B$29,IF(Skills!C7=2,90+Inputs!$B$26+Inputs!$B$29,IF(Skills!C7=3,120+Inputs!$B$27+Inputs!$B$29,MAX(0,(Inputs!$B$3-100)*3)+Inputs!$B$28+Inputs!$B$29)))</f>
        <v/>
      </c>
      <c r="E2193">
        <f>INDEX(FactorTable!$B$2:$Y$301, MATCH(ROUND(MIN(300,MAX(1,D2193)),0), FactorTable!$A$2:$A$301,0), Skills!M7+1)</f>
        <v/>
      </c>
      <c r="F2193">
        <f>IF(Skills!N7=TRUE,(Skills!L7/10)*(E2193/1000),Skills!L7/10)+Skills!O7</f>
        <v/>
      </c>
      <c r="G2193">
        <f>Skills!G7*IF(Skills!H7&gt;0,Skills!I7/Skills!H7,1)</f>
        <v/>
      </c>
      <c r="H2193">
        <f>1-(1-Skills!J7/100)^Skills!K7</f>
        <v/>
      </c>
      <c r="I2193" t="inlineStr">
        <is>
          <t>1</t>
        </is>
      </c>
      <c r="J2193">
        <f>((Inputs!$B$6*(1+Inputs!$B$7/100))+(((Inputs!$B$12*(1+Inputs!$B$13/100))-(Inputs!$B$12*(1+Inputs!$B$13/100)))+0.25*(Inputs!$B$14-Inputs!$B$14))*(1+Inputs!$B$7/100))*(F2193/100)</f>
        <v/>
      </c>
      <c r="K2193">
        <f>J2193*(1+((Inputs!$B$12*(1+Inputs!$B$13/100))*0.01+Inputs!$B$14*0.0025)/100)*(1+Inputs!$B$15/100)*(1+Inputs!$B$16/100)*(5000/(6000+Inputs!$B$42*(1-(100*(1-(1-(Inputs!$B$19+0)/100)*(1-CHOOSE(ArtifactsInput!$N$40+1,5,6,7,8,9,10)/100)^(ArtifactsInput!$M$40-ArtifactsInput!$M$40)))/100)))*(1+(Inputs!$B$24+((C2210=TRUE)*(F2210-Calc!F24))+((C2211=TRUE)*(F2211-Calc!F25))+B2224)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IF(ArtifactsInput!$M$28,FALSE,TRUE)-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+1.2*IF(C2194=TRUE,F2194,0)/100)*(1+(IF(Skills!A7="EMPOWERED_PIERCING_ARROW",Inputs!$B$17+((C2208=TRUE)*(F2208-Calc!F22))+(((IF(AND(ArtifactsInput!$M$42,((Inputs!$B$9+((C2205=TRUE)*(F2205-Calc!F19))+B2218+(ArtifactsInput!$M$24-ArtifactsInput!$M$24)*CHOOSE(ArtifactsInput!$N$24+1,10,12,14,16,18,20)+IF(ArtifactsInput!$M$10,CHOOSE(ArtifactsInput!$N$10+1,15,18,21,24,27,30)*(IF(Inputs!$B$38="pvp",MIN(15,15)/15,IF(AND(Inputs!$B$38&lt;&gt;"pvp",Inputs!$B$43&gt;0),MIN(15,Inputs!$B$43)/(Inputs!$B$43),0))),0)))&gt;=100),MIN(100,((Inputs!$B$9+((C2205=TRUE)*(F2205-Calc!F19))+B2218+(ArtifactsInput!$M$24-ArtifactsInput!$M$24)*CHOOSE(ArtifactsInput!$N$24+1,10,12,14,16,18,20)+IF(ArtifactsInput!$M$10,CHOOSE(ArtifactsInput!$N$10+1,15,18,21,24,27,30)*(IF(Inputs!$B$38="pvp",MIN(15,15)/15,IF(AND(Inputs!$B$38&lt;&gt;"pvp",Inputs!$B$43&gt;0),MIN(15,Inputs!$B$43)/(Inputs!$B$43),0))),0)))-100),0))*CHOOSE(ArtifactsInput!$N$42+1,0.6,0.72,0.84,0.96,1.08,1.2))),Inputs!$B$18+((C2213=TRUE)*(F2213-Calc!F27))+(IF(AND(ArtifactsInput!$M$42,((Inputs!$B$9+((C2205=TRUE)*(F2205-Calc!F19))+B2218+(ArtifactsInput!$M$24-ArtifactsInput!$M$24)*CHOOSE(ArtifactsInput!$N$24+1,10,12,14,16,18,20)+IF(ArtifactsInput!$M$10,CHOOSE(ArtifactsInput!$N$10+1,15,18,21,24,27,30)*(IF(Inputs!$B$38="pvp",MIN(15,15)/15,IF(AND(Inputs!$B$38&lt;&gt;"pvp",Inputs!$B$43&gt;0),MIN(15,Inputs!$B$43)/(Inputs!$B$43),0))),0)))&gt;=100),CHOOSE(ArtifactsInput!$N$42+1,40,48,56,64,72,80),0))))/100)*((1+(((C2199=TRUE)*F2199)+((C2200=TRUE)*IF(Inputs!$B$38="pvp",F2200,(1-Summary!$B$11)*(F2200)+Summary!$B$11*(0)))+((C2201=TRUE)*F2201*IF(AND(Inputs!$B$38&lt;&gt;"pvp",Inputs!$B$43&gt;0),(((R2201-1)*(Skills!T15*(1+Inputs!$B$34/100))+MIN((Skills!T15*(1+Inputs!$B$34/100)),MAX(0,Inputs!$B$43-((R2201-1)*Skills!D15))))/Inputs!$B$43),IF(Inputs!$B$38="pvp",MIN((Skills!T15*(1+Inputs!$B$34/100)),15)/15,(Skills!T15*(1+Inputs!$B$34/100))/Skills!D15)))+((C2198=TRUE)*F2198)+((C2215=TRUE)*(F2215-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2193)</f>
        <v/>
      </c>
      <c r="L2193">
        <f>K2193*(MIN(Inputs!$B$22+((C2209=TRUE)*(F2209-Calc!F23)),(Inputs!$B$23+((C2214=TRUE)*(F2214-Calc!F28))+(IF(ArtifactsInput!$M$15,CHOOSE(ArtifactsInput!$N$15+1,25,30,35,40,45,50)/100*(Inputs!$B$11-Inputs!$B$11),0))))/100+(Inputs!$B$23+((C2214=TRUE)*(F2214-Calc!F28))+(IF(ArtifactsInput!$M$15,CHOOSE(ArtifactsInput!$N$15+1,25,30,35,40,45,50)/100*(Inputs!$B$11-Inputs!$B$11),0)))/100)/2</f>
        <v/>
      </c>
      <c r="M2193">
        <f>L2193*(1+(Inputs!$B$10+0+B2223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193">
        <f>L2193*(1-MIN((Inputs!$B$9+((C2205=TRUE)*(F2205-Calc!F19))+B2218+(ArtifactsInput!$M$24-ArtifactsInput!$M$24)*CHOOSE(ArtifactsInput!$N$24+1,10,12,14,16,18,20)+(IF(AND(ArtifactsInput!$M$42,((Inputs!$B$9+((C2205=TRUE)*(F2205-Calc!F19))+B2218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2193*(MIN((Inputs!$B$9+((C2205=TRUE)*(F2205-Calc!F19))+B2218+(ArtifactsInput!$M$24-ArtifactsInput!$M$24)*CHOOSE(ArtifactsInput!$N$24+1,10,12,14,16,18,20)+(IF(AND(ArtifactsInput!$M$42,((Inputs!$B$9+((C2205=TRUE)*(F2205-Calc!F19))+B2218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193">
        <f>(1-Summary!$B$11)*T2193+Summary!$B$11*V2193</f>
        <v/>
      </c>
      <c r="P2193">
        <f>IF(B2228=0,0,O2193/B2228)</f>
        <v/>
      </c>
      <c r="Q2193">
        <f>IFERROR(1/IF(Inputs!$B$38="pvp",15,MAX(0.1,Skills!D7-IF(Skills!E7=TRUE,Inputs!$B$32,0))),0)</f>
        <v/>
      </c>
      <c r="R2193">
        <f>IF(AND(Inputs!$B$38&lt;&gt;"pvp",Inputs!$B$43&gt;0),IF(MAX(0,Inputs!$B$43-B2225)&lt;=0,0,(INT(MAX(0,Inputs!$B$43-B2225)/IF(Inputs!$B$38="pvp",15,MAX(0.1,Skills!D7-IF(Skills!E7=TRUE,Inputs!$B$32,0))))+1)),0)</f>
        <v/>
      </c>
      <c r="S2193">
        <f>IFERROR((H2193*N2193*IF(AND(Inputs!$B$38&lt;&gt;"pvp",Inputs!$B$43&gt;0),((Skills!G7*((R2193-1)*IF(Skills!H7&gt;0,Skills!I7/Skills!H7,1)+IF(Skills!H7&gt;0,MIN(Skills!I7,MAX(0,MAX(0,Inputs!$B$43-B2225)-((R2193-1)*IF(Inputs!$B$38="pvp",15,MAX(0.1,Skills!D7-IF(Skills!E7=TRUE,Inputs!$B$32,0))))))/Skills!H7,1)))/Inputs!$B$43),G2193*Q2193))/N2193*IF(Inputs!$B$38="pvp",1,(1-Summary!$B$11)*1+Summary!$B$11*(MIN(Skills!R7,Inputs!$B$37))),0)</f>
        <v/>
      </c>
      <c r="T2193">
        <f>IF(C2193,(H2193*N2193*IF(AND(Inputs!$B$38&lt;&gt;"pvp",Inputs!$B$43&gt;0),((Skills!G7*((R2193-1)*IF(Skills!H7&gt;0,Skills!I7/Skills!H7,1)+IF(Skills!H7&gt;0,MIN(Skills!I7,MAX(0,MAX(0,Inputs!$B$43-B2225)-((R2193-1)*IF(Inputs!$B$38="pvp",15,MAX(0.1,Skills!D7-IF(Skills!E7=TRUE,Inputs!$B$32,0))))))/Skills!H7,1)))/Inputs!$B$43),G2193*Q2193))*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Hunt"),CHOOSE(ArtifactsInput!$N$35+1,15,18,21,24,27,30)*(1-EXP(-(0.2*B2220)*5)),0)+IF(AND(ArtifactsInput!$M$22,Inputs!$B$4&lt;&gt;"Chapter Hunt"),CHOOSE(ArtifactsInput!$N$22+1,10,12,14,16,18,20)*((0*(((0.15*B2220*5))^0/1)+1*(((0.15*B2220*5))^1/1)+2*(((0.15*B2220*5))^2/2)+3*(((0.15*B2220*5))^3/6)+4*(((0.15*B2220*5))^4/24)+5*(((0.15*B2220*5))^5/120))/((((0.15*B2220*5))^0/1)+(((0.15*B2220*5))^1/1)+(((0.15*B2220*5))^2/2)+(((0.15*B2220*5))^3/6)+(((0.15*B2220*5))^4/24)+(((0.15*B2220*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2193*(1-MIN(100,(Inputs!$B$9+((C2205=TRUE)*(F2205-Calc!F19))+B2218+(ArtifactsInput!$M$24-ArtifactsInput!$M$24)*CHOOSE(ArtifactsInput!$N$24+1,10,12,14,16,18,20)+(IF(AND(ArtifactsInput!$M$42,((Inputs!$B$9+((C2205=TRUE)*(F2205-Calc!F19))+B2218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2193*(MIN(100,(Inputs!$B$9+((C2205=TRUE)*(F2205-Calc!F19))+B2218+(ArtifactsInput!$M$24-ArtifactsInput!$M$24)*CHOOSE(ArtifactsInput!$N$24+1,10,12,14,16,18,20)+(IF(AND(ArtifactsInput!$M$42,((Inputs!$B$9+((C2205=TRUE)*(F2205-Calc!F19))+B2218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2193*(1-MIN(100,(Inputs!$B$9+((C2205=TRUE)*(F2205-Calc!F19))+B2218+(ArtifactsInput!$M$24-ArtifactsInput!$M$24)*CHOOSE(ArtifactsInput!$N$24+1,10,12,14,16,18,20)+(IF(AND(ArtifactsInput!$M$42,((Inputs!$B$9+((C2205=TRUE)*(F2205-Calc!F19))+B2218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2193*(MIN(100,(Inputs!$B$9+((C2205=TRUE)*(F2205-Calc!F19))+B2218+(ArtifactsInput!$M$24-ArtifactsInput!$M$24)*CHOOSE(ArtifactsInput!$N$24+1,10,12,14,16,18,20)+(IF(AND(ArtifactsInput!$M$42,((Inputs!$B$9+((C2205=TRUE)*(F2205-Calc!F19))+B2218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193">
        <f>IF(C2193,(H2193*N2193*IF(AND(Inputs!$B$38&lt;&gt;"pvp",Inputs!$B$43&gt;0),((Skills!G7*((R2193-1)*IF(Skills!H7&gt;0,Skills!I7/Skills!H7,1)+IF(Skills!H7&gt;0,MIN(Skills!I7,MAX(0,MAX(0,Inputs!$B$43-B2225)-((R2193-1)*IF(Inputs!$B$38="pvp",15,MAX(0.1,Skills!D7-IF(Skills!E7=TRUE,Inputs!$B$32,0))))))/Skills!H7,1)))/Inputs!$B$43),G2193*Q2193))*IF(Inputs!$B$38="pvp",1,(1+(Inputs!$B$21+Skills!Q7+(IF(ArtifactsInput!$M$33,CHOOSE(ArtifactsInput!$N$33+1,30,36,42,48,54,60),0))+(IF(AND(ArtifactsInput!$M$35,Inputs!$B$4&lt;&gt;"Chapter Hunt"),CHOOSE(ArtifactsInput!$N$35+1,15,18,21,24,27,30)*(1-EXP(-(0.2*B2220)*5)),0)+IF(AND(ArtifactsInput!$M$22,Inputs!$B$4&lt;&gt;"Chapter Hunt"),CHOOSE(ArtifactsInput!$N$22+1,10,12,14,16,18,20)*((0*(((0.15*B2220*5))^0/1)+1*(((0.15*B2220*5))^1/1)+2*(((0.15*B2220*5))^2/2)+3*(((0.15*B2220*5))^3/6)+4*(((0.15*B2220*5))^4/24)+5*(((0.15*B2220*5))^5/120))/((((0.15*B2220*5))^0/1)+(((0.15*B2220*5))^1/1)+(((0.15*B2220*5))^2/2)+(((0.15*B2220*5))^3/6)+(((0.15*B2220*5))^4/24)+(((0.15*B2220*5))^5/120))),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194">
      <c r="A2194">
        <f>Skills!A8</f>
        <v/>
      </c>
      <c r="B2194">
        <f>Skills!B8</f>
        <v/>
      </c>
      <c r="C2194">
        <f>Inputs!$B$3&gt;=100</f>
        <v/>
      </c>
      <c r="D2194">
        <f>IF(Skills!C8=1,60+Inputs!$B$25+Inputs!$B$29,IF(Skills!C8=2,90+Inputs!$B$26+Inputs!$B$29,IF(Skills!C8=3,120+Inputs!$B$27+Inputs!$B$29,MAX(0,(Inputs!$B$3-100)*3)+Inputs!$B$28+Inputs!$B$29)))</f>
        <v/>
      </c>
      <c r="E2194">
        <f>INDEX(FactorTable!$B$2:$Y$301, MATCH(ROUND(MIN(300,MAX(1,D2194)),0), FactorTable!$A$2:$A$301,0), Skills!M8+1)</f>
        <v/>
      </c>
      <c r="F2194">
        <f>IF(Skills!N8=TRUE,(Skills!L8/10)*(E2194/1000),Skills!L8/10)+Skills!O8</f>
        <v/>
      </c>
      <c r="G2194" t="inlineStr"/>
      <c r="H2194" t="inlineStr"/>
      <c r="I2194" t="inlineStr">
        <is>
          <t>1</t>
        </is>
      </c>
      <c r="J2194" t="inlineStr"/>
      <c r="K2194" t="inlineStr"/>
      <c r="L2194" t="inlineStr"/>
      <c r="M2194" t="inlineStr"/>
      <c r="N2194" t="inlineStr"/>
      <c r="O2194" t="inlineStr"/>
      <c r="P2194" t="inlineStr"/>
      <c r="Q2194" t="inlineStr"/>
      <c r="R2194" t="inlineStr"/>
      <c r="S2194" t="inlineStr"/>
      <c r="T2194" t="inlineStr"/>
      <c r="V2194" t="inlineStr"/>
    </row>
    <row r="2195">
      <c r="A2195">
        <f>Skills!A9</f>
        <v/>
      </c>
      <c r="B2195">
        <f>Skills!B9</f>
        <v/>
      </c>
      <c r="C2195">
        <f>Inputs!$B$3&gt;=103</f>
        <v/>
      </c>
      <c r="D2195">
        <f>IF(Skills!C9=1,60+Inputs!$B$25+Inputs!$B$29,IF(Skills!C9=2,90+Inputs!$B$26+Inputs!$B$29,IF(Skills!C9=3,120+Inputs!$B$27+Inputs!$B$29,MAX(0,(Inputs!$B$3-100)*3)+Inputs!$B$28+Inputs!$B$29)))</f>
        <v/>
      </c>
      <c r="E2195">
        <f>INDEX(FactorTable!$B$2:$Y$301, MATCH(ROUND(MIN(300,MAX(1,D2195)),0), FactorTable!$A$2:$A$301,0), Skills!M9+1)</f>
        <v/>
      </c>
      <c r="F2195">
        <f>IF(Skills!N9=TRUE,(Skills!L9/10)*(E2195/1000),Skills!L9/10)+Skills!O9</f>
        <v/>
      </c>
      <c r="G2195">
        <f>Skills!G9*IF(Skills!H9&gt;0,Skills!I9/Skills!H9,1)</f>
        <v/>
      </c>
      <c r="H2195">
        <f>1-(1-Skills!J9/100)^Skills!K9</f>
        <v/>
      </c>
      <c r="I2195" t="inlineStr">
        <is>
          <t>1</t>
        </is>
      </c>
      <c r="J2195">
        <f>((Inputs!$B$6*(1+Inputs!$B$7/100))+(((Inputs!$B$12*(1+Inputs!$B$13/100))-(Inputs!$B$12*(1+Inputs!$B$13/100)))+0.25*(Inputs!$B$14-Inputs!$B$14))*(1+Inputs!$B$7/100))*(F2195/100)</f>
        <v/>
      </c>
      <c r="K2195">
        <f>J2195*(1+((Inputs!$B$12*(1+Inputs!$B$13/100))*0.01+Inputs!$B$14*0.0025)/100)*(1+Inputs!$B$15/100)*(1+Inputs!$B$16/100)*(5000/(6000+Inputs!$B$42*(1-(100*(1-(1-(Inputs!$B$19+0)/100)*(1-CHOOSE(ArtifactsInput!$N$40+1,5,6,7,8,9,10)/100)^(ArtifactsInput!$M$40-ArtifactsInput!$M$40)))/100)))*(1+(Inputs!$B$24+((C2210=TRUE)*(F2210-Calc!F24))+((C2211=TRUE)*(F2211-Calc!F25))+B2224)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IF(ArtifactsInput!$M$28,FALSE,TRUE)-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EMPOWERED_PIERCING_ARROW",Inputs!$B$17+((C2208=TRUE)*(F2208-Calc!F22))+(((IF(AND(ArtifactsInput!$M$42,((Inputs!$B$9+((C2205=TRUE)*(F2205-Calc!F19))+B2218+(ArtifactsInput!$M$24-ArtifactsInput!$M$24)*CHOOSE(ArtifactsInput!$N$24+1,10,12,14,16,18,20)+IF(ArtifactsInput!$M$10,CHOOSE(ArtifactsInput!$N$10+1,15,18,21,24,27,30)*(IF(Inputs!$B$38="pvp",MIN(15,15)/15,IF(AND(Inputs!$B$38&lt;&gt;"pvp",Inputs!$B$43&gt;0),MIN(15,Inputs!$B$43)/(Inputs!$B$43),0))),0)))&gt;=100),MIN(100,((Inputs!$B$9+((C2205=TRUE)*(F2205-Calc!F19))+B2218+(ArtifactsInput!$M$24-ArtifactsInput!$M$24)*CHOOSE(ArtifactsInput!$N$24+1,10,12,14,16,18,20)+IF(ArtifactsInput!$M$10,CHOOSE(ArtifactsInput!$N$10+1,15,18,21,24,27,30)*(IF(Inputs!$B$38="pvp",MIN(15,15)/15,IF(AND(Inputs!$B$38&lt;&gt;"pvp",Inputs!$B$43&gt;0),MIN(15,Inputs!$B$43)/(Inputs!$B$43),0))),0)))-100),0))*CHOOSE(ArtifactsInput!$N$42+1,0.6,0.72,0.84,0.96,1.08,1.2))),Inputs!$B$18+((C2213=TRUE)*(F2213-Calc!F27))+(IF(AND(ArtifactsInput!$M$42,((Inputs!$B$9+((C2205=TRUE)*(F2205-Calc!F19))+B2218+(ArtifactsInput!$M$24-ArtifactsInput!$M$24)*CHOOSE(ArtifactsInput!$N$24+1,10,12,14,16,18,20)+IF(ArtifactsInput!$M$10,CHOOSE(ArtifactsInput!$N$10+1,15,18,21,24,27,30)*(IF(Inputs!$B$38="pvp",MIN(15,15)/15,IF(AND(Inputs!$B$38&lt;&gt;"pvp",Inputs!$B$43&gt;0),MIN(15,Inputs!$B$43)/(Inputs!$B$43),0))),0)))&gt;=100),CHOOSE(ArtifactsInput!$N$42+1,40,48,56,64,72,80),0))))/100)*((1+(((C2199=TRUE)*F2199)+((C2200=TRUE)*IF(Inputs!$B$38="pvp",F2200,(1-Summary!$B$11)*(F2200)+Summary!$B$11*(0)))+((C2201=TRUE)*F2201*IF(AND(Inputs!$B$38&lt;&gt;"pvp",Inputs!$B$43&gt;0),(((R2201-1)*(Skills!T15*(1+Inputs!$B$34/100))+MIN((Skills!T15*(1+Inputs!$B$34/100)),MAX(0,Inputs!$B$43-((R2201-1)*Skills!D15))))/Inputs!$B$43),IF(Inputs!$B$38="pvp",MIN((Skills!T15*(1+Inputs!$B$34/100)),15)/15,(Skills!T15*(1+Inputs!$B$34/100))/Skills!D15)))+((C2198=TRUE)*F2198)+((C2215=TRUE)*(F2215-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2195)</f>
        <v/>
      </c>
      <c r="L2195">
        <f>K2195*(MIN(Inputs!$B$22+((C2209=TRUE)*(F2209-Calc!F23)),(Inputs!$B$23+((C2214=TRUE)*(F2214-Calc!F28))+(IF(ArtifactsInput!$M$15,CHOOSE(ArtifactsInput!$N$15+1,25,30,35,40,45,50)/100*(Inputs!$B$11-Inputs!$B$11),0))))/100+(Inputs!$B$23+((C2214=TRUE)*(F2214-Calc!F28))+(IF(ArtifactsInput!$M$15,CHOOSE(ArtifactsInput!$N$15+1,25,30,35,40,45,50)/100*(Inputs!$B$11-Inputs!$B$11),0)))/100)/2</f>
        <v/>
      </c>
      <c r="M2195">
        <f>L2195*(1+(Inputs!$B$10+0+B2223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195">
        <f>L2195*(1-MIN((Inputs!$B$9+((C2205=TRUE)*(F2205-Calc!F19))+B2218+(ArtifactsInput!$M$24-ArtifactsInput!$M$24)*CHOOSE(ArtifactsInput!$N$24+1,10,12,14,16,18,20)+(IF(AND(ArtifactsInput!$M$42,((Inputs!$B$9+((C2205=TRUE)*(F2205-Calc!F19))+B2218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2195*(MIN((Inputs!$B$9+((C2205=TRUE)*(F2205-Calc!F19))+B2218+(ArtifactsInput!$M$24-ArtifactsInput!$M$24)*CHOOSE(ArtifactsInput!$N$24+1,10,12,14,16,18,20)+(IF(AND(ArtifactsInput!$M$42,((Inputs!$B$9+((C2205=TRUE)*(F2205-Calc!F19))+B2218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195">
        <f>(1-Summary!$B$11)*T2195+Summary!$B$11*V2195</f>
        <v/>
      </c>
      <c r="P2195">
        <f>IF(B2228=0,0,O2195/B2228)</f>
        <v/>
      </c>
      <c r="Q2195">
        <f>IFERROR(1/IF(Inputs!$B$38="pvp",15,MAX(0.1,Skills!D9-IF(Skills!E9=TRUE,Inputs!$B$32,0))),0)</f>
        <v/>
      </c>
      <c r="R2195">
        <f>IF(AND(Inputs!$B$38&lt;&gt;"pvp",Inputs!$B$43&gt;0),IF(MAX(0,Inputs!$B$43-B2225)&lt;=0,0,(INT(MAX(0,Inputs!$B$43-B2225)/IF(Inputs!$B$38="pvp",15,MAX(0.1,Skills!D9-IF(Skills!E9=TRUE,Inputs!$B$32,0))))+1)),0)</f>
        <v/>
      </c>
      <c r="S2195">
        <f>IFERROR((H2195*N2195*IF(AND(Inputs!$B$38&lt;&gt;"pvp",Inputs!$B$43&gt;0),((Skills!G9*((R2195-1)*IF(Skills!H9&gt;0,Skills!I9/Skills!H9,1)+IF(Skills!H9&gt;0,MIN(Skills!I9,MAX(0,MAX(0,Inputs!$B$43-B2225)-((R2195-1)*IF(Inputs!$B$38="pvp",15,MAX(0.1,Skills!D9-IF(Skills!E9=TRUE,Inputs!$B$32,0))))))/Skills!H9,1)))/Inputs!$B$43),G2195*Q2195))/N2195*IF(Inputs!$B$38="pvp",1,(1-Summary!$B$11)*1+Summary!$B$11*(MIN(Skills!R9,Inputs!$B$37))),0)</f>
        <v/>
      </c>
      <c r="T2195">
        <f>IF(C2195,(H2195*N2195*IF(AND(Inputs!$B$38&lt;&gt;"pvp",Inputs!$B$43&gt;0),((Skills!G9*((R2195-1)*IF(Skills!H9&gt;0,Skills!I9/Skills!H9,1)+IF(Skills!H9&gt;0,MIN(Skills!I9,MAX(0,MAX(0,Inputs!$B$43-B2225)-((R2195-1)*IF(Inputs!$B$38="pvp",15,MAX(0.1,Skills!D9-IF(Skills!E9=TRUE,Inputs!$B$32,0))))))/Skills!H9,1)))/Inputs!$B$43),G2195*Q2195))*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Hunt"),CHOOSE(ArtifactsInput!$N$35+1,15,18,21,24,27,30)*(1-EXP(-(0.2*B2220)*5)),0)+IF(AND(ArtifactsInput!$M$22,Inputs!$B$4&lt;&gt;"Chapter Hunt"),CHOOSE(ArtifactsInput!$N$22+1,10,12,14,16,18,20)*((0*(((0.15*B2220*5))^0/1)+1*(((0.15*B2220*5))^1/1)+2*(((0.15*B2220*5))^2/2)+3*(((0.15*B2220*5))^3/6)+4*(((0.15*B2220*5))^4/24)+5*(((0.15*B2220*5))^5/120))/((((0.15*B2220*5))^0/1)+(((0.15*B2220*5))^1/1)+(((0.15*B2220*5))^2/2)+(((0.15*B2220*5))^3/6)+(((0.15*B2220*5))^4/24)+(((0.15*B2220*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2195*(1-MIN(100,(Inputs!$B$9+((C2205=TRUE)*(F2205-Calc!F19))+B2218+(ArtifactsInput!$M$24-ArtifactsInput!$M$24)*CHOOSE(ArtifactsInput!$N$24+1,10,12,14,16,18,20)+(IF(AND(ArtifactsInput!$M$42,((Inputs!$B$9+((C2205=TRUE)*(F2205-Calc!F19))+B2218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2195*(MIN(100,(Inputs!$B$9+((C2205=TRUE)*(F2205-Calc!F19))+B2218+(ArtifactsInput!$M$24-ArtifactsInput!$M$24)*CHOOSE(ArtifactsInput!$N$24+1,10,12,14,16,18,20)+(IF(AND(ArtifactsInput!$M$42,((Inputs!$B$9+((C2205=TRUE)*(F2205-Calc!F19))+B2218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2195*(1-MIN(100,(Inputs!$B$9+((C2205=TRUE)*(F2205-Calc!F19))+B2218+(ArtifactsInput!$M$24-ArtifactsInput!$M$24)*CHOOSE(ArtifactsInput!$N$24+1,10,12,14,16,18,20)+(IF(AND(ArtifactsInput!$M$42,((Inputs!$B$9+((C2205=TRUE)*(F2205-Calc!F19))+B2218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2195*(MIN(100,(Inputs!$B$9+((C2205=TRUE)*(F2205-Calc!F19))+B2218+(ArtifactsInput!$M$24-ArtifactsInput!$M$24)*CHOOSE(ArtifactsInput!$N$24+1,10,12,14,16,18,20)+(IF(AND(ArtifactsInput!$M$42,((Inputs!$B$9+((C2205=TRUE)*(F2205-Calc!F19))+B2218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195">
        <f>IF(C2195,(H2195*N2195*IF(AND(Inputs!$B$38&lt;&gt;"pvp",Inputs!$B$43&gt;0),((Skills!G9*((R2195-1)*IF(Skills!H9&gt;0,Skills!I9/Skills!H9,1)+IF(Skills!H9&gt;0,MIN(Skills!I9,MAX(0,MAX(0,Inputs!$B$43-B2225)-((R2195-1)*IF(Inputs!$B$38="pvp",15,MAX(0.1,Skills!D9-IF(Skills!E9=TRUE,Inputs!$B$32,0))))))/Skills!H9,1)))/Inputs!$B$43),G2195*Q2195))*IF(Inputs!$B$38="pvp",1,(1+(Inputs!$B$21+Skills!Q9+(IF(ArtifactsInput!$M$33,CHOOSE(ArtifactsInput!$N$33+1,30,36,42,48,54,60),0))+(IF(AND(ArtifactsInput!$M$35,Inputs!$B$4&lt;&gt;"Chapter Hunt"),CHOOSE(ArtifactsInput!$N$35+1,15,18,21,24,27,30)*(1-EXP(-(0.2*B2220)*5)),0)+IF(AND(ArtifactsInput!$M$22,Inputs!$B$4&lt;&gt;"Chapter Hunt"),CHOOSE(ArtifactsInput!$N$22+1,10,12,14,16,18,20)*((0*(((0.15*B2220*5))^0/1)+1*(((0.15*B2220*5))^1/1)+2*(((0.15*B2220*5))^2/2)+3*(((0.15*B2220*5))^3/6)+4*(((0.15*B2220*5))^4/24)+5*(((0.15*B2220*5))^5/120))/((((0.15*B2220*5))^0/1)+(((0.15*B2220*5))^1/1)+(((0.15*B2220*5))^2/2)+(((0.15*B2220*5))^3/6)+(((0.15*B2220*5))^4/24)+(((0.15*B2220*5))^5/120)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196">
      <c r="A2196">
        <f>Skills!A10</f>
        <v/>
      </c>
      <c r="B2196">
        <f>Skills!B10</f>
        <v/>
      </c>
      <c r="C2196">
        <f>Inputs!$B$3&gt;=107</f>
        <v/>
      </c>
      <c r="D2196">
        <f>IF(Skills!C10=1,60+Inputs!$B$25+Inputs!$B$29,IF(Skills!C10=2,90+Inputs!$B$26+Inputs!$B$29,IF(Skills!C10=3,120+Inputs!$B$27+Inputs!$B$29,MAX(0,(Inputs!$B$3-100)*3)+Inputs!$B$28+Inputs!$B$29)))</f>
        <v/>
      </c>
      <c r="E2196">
        <f>INDEX(FactorTable!$B$2:$Y$301, MATCH(ROUND(MIN(300,MAX(1,D2196)),0), FactorTable!$A$2:$A$301,0), Skills!M10+1)</f>
        <v/>
      </c>
      <c r="F2196">
        <f>IF(Skills!N10=TRUE,(Skills!L10/10)*(E2196/1000),Skills!L10/10)+Skills!O10</f>
        <v/>
      </c>
      <c r="G2196">
        <f>Skills!G10*IF(Skills!H10&gt;0,Skills!I10/Skills!H10,1)</f>
        <v/>
      </c>
      <c r="H2196">
        <f>1-(1-Skills!J10/100)^Skills!K10</f>
        <v/>
      </c>
      <c r="I2196" t="inlineStr">
        <is>
          <t>1</t>
        </is>
      </c>
      <c r="J2196">
        <f>((Inputs!$B$6*(1+Inputs!$B$7/100))+(((Inputs!$B$12*(1+Inputs!$B$13/100))-(Inputs!$B$12*(1+Inputs!$B$13/100)))+0.25*(Inputs!$B$14-Inputs!$B$14))*(1+Inputs!$B$7/100))*(F2196/100)</f>
        <v/>
      </c>
      <c r="K2196">
        <f>J2196*(1+((Inputs!$B$12*(1+Inputs!$B$13/100))*0.01+Inputs!$B$14*0.0025)/100)*(1+Inputs!$B$15/100)*(1+Inputs!$B$16/100)*(5000/(6000+Inputs!$B$42*(1-(100*(1-(1-(Inputs!$B$19+0)/100)*(1-CHOOSE(ArtifactsInput!$N$40+1,5,6,7,8,9,10)/100)^(ArtifactsInput!$M$40-ArtifactsInput!$M$40)))/100)))*(1+(Inputs!$B$24+((C2210=TRUE)*(F2210-Calc!F24))+((C2211=TRUE)*(F2211-Calc!F25))+B2224)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IF(ArtifactsInput!$M$28,FALSE,TRUE)-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EMPOWERED_PIERCING_ARROW",Inputs!$B$17+((C2208=TRUE)*(F2208-Calc!F22))+(((IF(AND(ArtifactsInput!$M$42,((Inputs!$B$9+((C2205=TRUE)*(F2205-Calc!F19))+B2218+(ArtifactsInput!$M$24-ArtifactsInput!$M$24)*CHOOSE(ArtifactsInput!$N$24+1,10,12,14,16,18,20)+IF(ArtifactsInput!$M$10,CHOOSE(ArtifactsInput!$N$10+1,15,18,21,24,27,30)*(IF(Inputs!$B$38="pvp",MIN(15,15)/15,IF(AND(Inputs!$B$38&lt;&gt;"pvp",Inputs!$B$43&gt;0),MIN(15,Inputs!$B$43)/(Inputs!$B$43),0))),0)))&gt;=100),MIN(100,((Inputs!$B$9+((C2205=TRUE)*(F2205-Calc!F19))+B2218+(ArtifactsInput!$M$24-ArtifactsInput!$M$24)*CHOOSE(ArtifactsInput!$N$24+1,10,12,14,16,18,20)+IF(ArtifactsInput!$M$10,CHOOSE(ArtifactsInput!$N$10+1,15,18,21,24,27,30)*(IF(Inputs!$B$38="pvp",MIN(15,15)/15,IF(AND(Inputs!$B$38&lt;&gt;"pvp",Inputs!$B$43&gt;0),MIN(15,Inputs!$B$43)/(Inputs!$B$43),0))),0)))-100),0))*CHOOSE(ArtifactsInput!$N$42+1,0.6,0.72,0.84,0.96,1.08,1.2))),Inputs!$B$18+((C2213=TRUE)*(F2213-Calc!F27))+(IF(AND(ArtifactsInput!$M$42,((Inputs!$B$9+((C2205=TRUE)*(F2205-Calc!F19))+B2218+(ArtifactsInput!$M$24-ArtifactsInput!$M$24)*CHOOSE(ArtifactsInput!$N$24+1,10,12,14,16,18,20)+IF(ArtifactsInput!$M$10,CHOOSE(ArtifactsInput!$N$10+1,15,18,21,24,27,30)*(IF(Inputs!$B$38="pvp",MIN(15,15)/15,IF(AND(Inputs!$B$38&lt;&gt;"pvp",Inputs!$B$43&gt;0),MIN(15,Inputs!$B$43)/(Inputs!$B$43),0))),0)))&gt;=100),CHOOSE(ArtifactsInput!$N$42+1,40,48,56,64,72,80),0))))/100)*((1+(((C2199=TRUE)*F2199)+((C2200=TRUE)*IF(Inputs!$B$38="pvp",F2200,(1-Summary!$B$11)*(F2200)+Summary!$B$11*(0)))+((C2201=TRUE)*F2201*IF(AND(Inputs!$B$38&lt;&gt;"pvp",Inputs!$B$43&gt;0),(((R2201-1)*(Skills!T15*(1+Inputs!$B$34/100))+MIN((Skills!T15*(1+Inputs!$B$34/100)),MAX(0,Inputs!$B$43-((R2201-1)*Skills!D15))))/Inputs!$B$43),IF(Inputs!$B$38="pvp",MIN((Skills!T15*(1+Inputs!$B$34/100)),15)/15,(Skills!T15*(1+Inputs!$B$34/100))/Skills!D15)))+((C2198=TRUE)*F2198)+((C2215=TRUE)*(F2215-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2196)</f>
        <v/>
      </c>
      <c r="L2196">
        <f>K2196*(MIN(Inputs!$B$22+((C2209=TRUE)*(F2209-Calc!F23)),(Inputs!$B$23+((C2214=TRUE)*(F2214-Calc!F28))+(IF(ArtifactsInput!$M$15,CHOOSE(ArtifactsInput!$N$15+1,25,30,35,40,45,50)/100*(Inputs!$B$11-Inputs!$B$11),0))))/100+(Inputs!$B$23+((C2214=TRUE)*(F2214-Calc!F28))+(IF(ArtifactsInput!$M$15,CHOOSE(ArtifactsInput!$N$15+1,25,30,35,40,45,50)/100*(Inputs!$B$11-Inputs!$B$11),0)))/100)/2</f>
        <v/>
      </c>
      <c r="M2196">
        <f>L2196*(1+(Inputs!$B$10+0+B2223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196">
        <f>L2196*(1-MIN((Inputs!$B$9+((C2205=TRUE)*(F2205-Calc!F19))+B2218+(ArtifactsInput!$M$24-ArtifactsInput!$M$24)*CHOOSE(ArtifactsInput!$N$24+1,10,12,14,16,18,20)+(IF(AND(ArtifactsInput!$M$42,((Inputs!$B$9+((C2205=TRUE)*(F2205-Calc!F19))+B2218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2196*(MIN((Inputs!$B$9+((C2205=TRUE)*(F2205-Calc!F19))+B2218+(ArtifactsInput!$M$24-ArtifactsInput!$M$24)*CHOOSE(ArtifactsInput!$N$24+1,10,12,14,16,18,20)+(IF(AND(ArtifactsInput!$M$42,((Inputs!$B$9+((C2205=TRUE)*(F2205-Calc!F19))+B2218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196">
        <f>(1-Summary!$B$11)*T2196+Summary!$B$11*V2196</f>
        <v/>
      </c>
      <c r="P2196">
        <f>IF(B2228=0,0,O2196/B2228)</f>
        <v/>
      </c>
      <c r="Q2196" t="n">
        <v>0</v>
      </c>
      <c r="R2196" t="n">
        <v>0</v>
      </c>
      <c r="S2196" t="n">
        <v>0</v>
      </c>
      <c r="T2196">
        <f>IF(C2196,(0.15*SUMPRODUCT((Skills!U2:U29=TRUE)*(C2188:C2215=TRUE)*S2188:S2215)*Skills!G10*N2196)*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Hunt"),CHOOSE(ArtifactsInput!$N$35+1,15,18,21,24,27,30)*(1-EXP(-(0.2*B2220)*5)),0)+IF(AND(ArtifactsInput!$M$22,Inputs!$B$4&lt;&gt;"Chapter Hunt"),CHOOSE(ArtifactsInput!$N$22+1,10,12,14,16,18,20)*((0*(((0.15*B2220*5))^0/1)+1*(((0.15*B2220*5))^1/1)+2*(((0.15*B2220*5))^2/2)+3*(((0.15*B2220*5))^3/6)+4*(((0.15*B2220*5))^4/24)+5*(((0.15*B2220*5))^5/120))/((((0.15*B2220*5))^0/1)+(((0.15*B2220*5))^1/1)+(((0.15*B2220*5))^2/2)+(((0.15*B2220*5))^3/6)+(((0.15*B2220*5))^4/24)+(((0.15*B2220*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2196*(1-MIN(100,(Inputs!$B$9+((C2205=TRUE)*(F2205-Calc!F19))+B2218+(ArtifactsInput!$M$24-ArtifactsInput!$M$24)*CHOOSE(ArtifactsInput!$N$24+1,10,12,14,16,18,20)+(IF(AND(ArtifactsInput!$M$42,((Inputs!$B$9+((C2205=TRUE)*(F2205-Calc!F19))+B2218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2196*(MIN(100,(Inputs!$B$9+((C2205=TRUE)*(F2205-Calc!F19))+B2218+(ArtifactsInput!$M$24-ArtifactsInput!$M$24)*CHOOSE(ArtifactsInput!$N$24+1,10,12,14,16,18,20)+(IF(AND(ArtifactsInput!$M$42,((Inputs!$B$9+((C2205=TRUE)*(F2205-Calc!F19))+B2218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2196*(1-MIN(100,(Inputs!$B$9+((C2205=TRUE)*(F2205-Calc!F19))+B2218+(ArtifactsInput!$M$24-ArtifactsInput!$M$24)*CHOOSE(ArtifactsInput!$N$24+1,10,12,14,16,18,20)+(IF(AND(ArtifactsInput!$M$42,((Inputs!$B$9+((C2205=TRUE)*(F2205-Calc!F19))+B2218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2196*(MIN(100,(Inputs!$B$9+((C2205=TRUE)*(F2205-Calc!F19))+B2218+(ArtifactsInput!$M$24-ArtifactsInput!$M$24)*CHOOSE(ArtifactsInput!$N$24+1,10,12,14,16,18,20)+(IF(AND(ArtifactsInput!$M$42,((Inputs!$B$9+((C2205=TRUE)*(F2205-Calc!F19))+B2218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196">
        <f>IF(C2196,(0.15*SUMPRODUCT((Skills!U2:U29=TRUE)*(C2188:C2215=TRUE)*S2188:S2215)*Skills!G10*N2196)*IF(Inputs!$B$38="pvp",1,(1+(Inputs!$B$21+Skills!Q10+(IF(ArtifactsInput!$M$33,CHOOSE(ArtifactsInput!$N$33+1,30,36,42,48,54,60),0))+(IF(AND(ArtifactsInput!$M$35,Inputs!$B$4&lt;&gt;"Chapter Hunt"),CHOOSE(ArtifactsInput!$N$35+1,15,18,21,24,27,30)*(1-EXP(-(0.2*B2220)*5)),0)+IF(AND(ArtifactsInput!$M$22,Inputs!$B$4&lt;&gt;"Chapter Hunt"),CHOOSE(ArtifactsInput!$N$22+1,10,12,14,16,18,20)*((0*(((0.15*B2220*5))^0/1)+1*(((0.15*B2220*5))^1/1)+2*(((0.15*B2220*5))^2/2)+3*(((0.15*B2220*5))^3/6)+4*(((0.15*B2220*5))^4/24)+5*(((0.15*B2220*5))^5/120))/((((0.15*B2220*5))^0/1)+(((0.15*B2220*5))^1/1)+(((0.15*B2220*5))^2/2)+(((0.15*B2220*5))^3/6)+(((0.15*B2220*5))^4/24)+(((0.15*B2220*5))^5/120)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197">
      <c r="A2197">
        <f>Skills!A11</f>
        <v/>
      </c>
      <c r="B2197">
        <f>Skills!B11</f>
        <v/>
      </c>
      <c r="C2197">
        <f>Inputs!$B$3&gt;=110</f>
        <v/>
      </c>
      <c r="D2197">
        <f>IF(Skills!C11=1,60+Inputs!$B$25+Inputs!$B$29,IF(Skills!C11=2,90+Inputs!$B$26+Inputs!$B$29,IF(Skills!C11=3,120+Inputs!$B$27+Inputs!$B$29,MAX(0,(Inputs!$B$3-100)*3)+Inputs!$B$28+Inputs!$B$29)))</f>
        <v/>
      </c>
      <c r="E2197">
        <f>INDEX(FactorTable!$B$2:$Y$301, MATCH(ROUND(MIN(300,MAX(1,D2197)),0), FactorTable!$A$2:$A$301,0), Skills!M11+1)</f>
        <v/>
      </c>
      <c r="F2197">
        <f>IF(Skills!N11=TRUE,(Skills!L11/10)*(E2197/1000),Skills!L11/10)+Skills!O11</f>
        <v/>
      </c>
      <c r="G2197">
        <f>Skills!G11*IF(Skills!H11&gt;0,Skills!I11/Skills!H11,1)</f>
        <v/>
      </c>
      <c r="H2197">
        <f>1-(1-Skills!J11/100)^Skills!K11</f>
        <v/>
      </c>
      <c r="I2197" t="inlineStr">
        <is>
          <t>1</t>
        </is>
      </c>
      <c r="J2197">
        <f>((Inputs!$B$6*(1+Inputs!$B$7/100))+(((Inputs!$B$12*(1+Inputs!$B$13/100))-(Inputs!$B$12*(1+Inputs!$B$13/100)))+0.25*(Inputs!$B$14-Inputs!$B$14))*(1+Inputs!$B$7/100))*(F2197/100)</f>
        <v/>
      </c>
      <c r="K2197">
        <f>J2197*(1+((Inputs!$B$12*(1+Inputs!$B$13/100))*0.01+Inputs!$B$14*0.0025)/100)*(1+Inputs!$B$15/100)*(1+Inputs!$B$16/100)*(5000/(6000+Inputs!$B$42*(1-(100*(1-(1-(Inputs!$B$19+0)/100)*(1-CHOOSE(ArtifactsInput!$N$40+1,5,6,7,8,9,10)/100)^(ArtifactsInput!$M$40-ArtifactsInput!$M$40)))/100)))*(1+(Inputs!$B$24+((C2210=TRUE)*(F2210-Calc!F24))+((C2211=TRUE)*(F2211-Calc!F25))+B2224)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IF(ArtifactsInput!$M$28,FALSE,TRUE)-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11="EMPOWERED_PIERCING_ARROW",Inputs!$B$17+((C2208=TRUE)*(F2208-Calc!F22))+(((IF(AND(ArtifactsInput!$M$42,((Inputs!$B$9+((C2205=TRUE)*(F2205-Calc!F19))+B2218+(ArtifactsInput!$M$24-ArtifactsInput!$M$24)*CHOOSE(ArtifactsInput!$N$24+1,10,12,14,16,18,20)+IF(ArtifactsInput!$M$10,CHOOSE(ArtifactsInput!$N$10+1,15,18,21,24,27,30)*(IF(Inputs!$B$38="pvp",MIN(15,15)/15,IF(AND(Inputs!$B$38&lt;&gt;"pvp",Inputs!$B$43&gt;0),MIN(15,Inputs!$B$43)/(Inputs!$B$43),0))),0)))&gt;=100),MIN(100,((Inputs!$B$9+((C2205=TRUE)*(F2205-Calc!F19))+B2218+(ArtifactsInput!$M$24-ArtifactsInput!$M$24)*CHOOSE(ArtifactsInput!$N$24+1,10,12,14,16,18,20)+IF(ArtifactsInput!$M$10,CHOOSE(ArtifactsInput!$N$10+1,15,18,21,24,27,30)*(IF(Inputs!$B$38="pvp",MIN(15,15)/15,IF(AND(Inputs!$B$38&lt;&gt;"pvp",Inputs!$B$43&gt;0),MIN(15,Inputs!$B$43)/(Inputs!$B$43),0))),0)))-100),0))*CHOOSE(ArtifactsInput!$N$42+1,0.6,0.72,0.84,0.96,1.08,1.2))),Inputs!$B$18+((C2213=TRUE)*(F2213-Calc!F27))+(IF(AND(ArtifactsInput!$M$42,((Inputs!$B$9+((C2205=TRUE)*(F2205-Calc!F19))+B2218+(ArtifactsInput!$M$24-ArtifactsInput!$M$24)*CHOOSE(ArtifactsInput!$N$24+1,10,12,14,16,18,20)+IF(ArtifactsInput!$M$10,CHOOSE(ArtifactsInput!$N$10+1,15,18,21,24,27,30)*(IF(Inputs!$B$38="pvp",MIN(15,15)/15,IF(AND(Inputs!$B$38&lt;&gt;"pvp",Inputs!$B$43&gt;0),MIN(15,Inputs!$B$43)/(Inputs!$B$43),0))),0)))&gt;=100),CHOOSE(ArtifactsInput!$N$42+1,40,48,56,64,72,80),0))))/100)*((1+(((C2199=TRUE)*F2199)+((C2200=TRUE)*IF(Inputs!$B$38="pvp",F2200,(1-Summary!$B$11)*(F2200)+Summary!$B$11*(0)))+((C2201=TRUE)*F2201*IF(AND(Inputs!$B$38&lt;&gt;"pvp",Inputs!$B$43&gt;0),(((R2201-1)*(Skills!T15*(1+Inputs!$B$34/100))+MIN((Skills!T15*(1+Inputs!$B$34/100)),MAX(0,Inputs!$B$43-((R2201-1)*Skills!D15))))/Inputs!$B$43),IF(Inputs!$B$38="pvp",MIN((Skills!T15*(1+Inputs!$B$34/100)),15)/15,(Skills!T15*(1+Inputs!$B$34/100))/Skills!D15)))+((C2198=TRUE)*F2198)+((C2215=TRUE)*(F2215-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2197)</f>
        <v/>
      </c>
      <c r="L2197">
        <f>K2197*(MIN(Inputs!$B$22+((C2209=TRUE)*(F2209-Calc!F23)),(Inputs!$B$23+((C2214=TRUE)*(F2214-Calc!F28))+(IF(ArtifactsInput!$M$15,CHOOSE(ArtifactsInput!$N$15+1,25,30,35,40,45,50)/100*(Inputs!$B$11-Inputs!$B$11),0))))/100+(Inputs!$B$23+((C2214=TRUE)*(F2214-Calc!F28))+(IF(ArtifactsInput!$M$15,CHOOSE(ArtifactsInput!$N$15+1,25,30,35,40,45,50)/100*(Inputs!$B$11-Inputs!$B$11),0)))/100)/2</f>
        <v/>
      </c>
      <c r="M2197">
        <f>L2197*(1+(Inputs!$B$10+0+B2223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197">
        <f>L2197*(1-MIN((Inputs!$B$9+((C2205=TRUE)*(F2205-Calc!F19))+B2218+(ArtifactsInput!$M$24-ArtifactsInput!$M$24)*CHOOSE(ArtifactsInput!$N$24+1,10,12,14,16,18,20)+(IF(AND(ArtifactsInput!$M$42,((Inputs!$B$9+((C2205=TRUE)*(F2205-Calc!F19))+B2218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2197*(MIN((Inputs!$B$9+((C2205=TRUE)*(F2205-Calc!F19))+B2218+(ArtifactsInput!$M$24-ArtifactsInput!$M$24)*CHOOSE(ArtifactsInput!$N$24+1,10,12,14,16,18,20)+(IF(AND(ArtifactsInput!$M$42,((Inputs!$B$9+((C2205=TRUE)*(F2205-Calc!F19))+B2218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197">
        <f>(1-Summary!$B$11)*T2197+Summary!$B$11*V2197</f>
        <v/>
      </c>
      <c r="P2197">
        <f>IF(B2228=0,0,O2197/B2228)</f>
        <v/>
      </c>
      <c r="Q2197">
        <f>IFERROR(1/IF(Inputs!$B$38="pvp",15,MAX(0.1,Skills!D11-IF(Skills!E11=TRUE,Inputs!$B$32,0))),0)</f>
        <v/>
      </c>
      <c r="R2197">
        <f>IF(AND(Inputs!$B$38&lt;&gt;"pvp",Inputs!$B$43&gt;0),IF(MAX(0,Inputs!$B$43-B2225)&lt;=0,0,(INT(MAX(0,Inputs!$B$43-B2225)/IF(Inputs!$B$38="pvp",15,MAX(0.1,Skills!D11-IF(Skills!E11=TRUE,Inputs!$B$32,0))))+1)),0)</f>
        <v/>
      </c>
      <c r="S2197">
        <f>IFERROR((H2197*N2197*IF(AND(Inputs!$B$38&lt;&gt;"pvp",Inputs!$B$43&gt;0),((Skills!G11*((R2197-1)*IF(Skills!H11&gt;0,Skills!I11/Skills!H11,1)+IF(Skills!H11&gt;0,MIN(Skills!I11,MAX(0,MAX(0,Inputs!$B$43-B2225)-((R2197-1)*IF(Inputs!$B$38="pvp",15,MAX(0.1,Skills!D11-IF(Skills!E11=TRUE,Inputs!$B$32,0))))))/Skills!H11,1)))/Inputs!$B$43),G2197*Q2197))/N2197*IF(Inputs!$B$38="pvp",1,(1-Summary!$B$11)*1+Summary!$B$11*(MIN(Skills!R11,Inputs!$B$37))),0)</f>
        <v/>
      </c>
      <c r="T2197">
        <f>IF(C2197,(H2197*N2197*IF(AND(Inputs!$B$38&lt;&gt;"pvp",Inputs!$B$43&gt;0),((Skills!G11*((R2197-1)*IF(Skills!H11&gt;0,Skills!I11/Skills!H11,1)+IF(Skills!H11&gt;0,MIN(Skills!I11,MAX(0,MAX(0,Inputs!$B$43-B2225)-((R2197-1)*IF(Inputs!$B$38="pvp",15,MAX(0.1,Skills!D11-IF(Skills!E11=TRUE,Inputs!$B$32,0))))))/Skills!H11,1)))/Inputs!$B$43),G2197*Q2197))*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Hunt"),CHOOSE(ArtifactsInput!$N$35+1,15,18,21,24,27,30)*(1-EXP(-(0.2*B2220)*5)),0)+IF(AND(ArtifactsInput!$M$22,Inputs!$B$4&lt;&gt;"Chapter Hunt"),CHOOSE(ArtifactsInput!$N$22+1,10,12,14,16,18,20)*((0*(((0.15*B2220*5))^0/1)+1*(((0.15*B2220*5))^1/1)+2*(((0.15*B2220*5))^2/2)+3*(((0.15*B2220*5))^3/6)+4*(((0.15*B2220*5))^4/24)+5*(((0.15*B2220*5))^5/120))/((((0.15*B2220*5))^0/1)+(((0.15*B2220*5))^1/1)+(((0.15*B2220*5))^2/2)+(((0.15*B2220*5))^3/6)+(((0.15*B2220*5))^4/24)+(((0.15*B2220*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2197*(1-MIN(100,(Inputs!$B$9+((C2205=TRUE)*(F2205-Calc!F19))+B2218+(ArtifactsInput!$M$24-ArtifactsInput!$M$24)*CHOOSE(ArtifactsInput!$N$24+1,10,12,14,16,18,20)+(IF(AND(ArtifactsInput!$M$42,((Inputs!$B$9+((C2205=TRUE)*(F2205-Calc!F19))+B2218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2197*(MIN(100,(Inputs!$B$9+((C2205=TRUE)*(F2205-Calc!F19))+B2218+(ArtifactsInput!$M$24-ArtifactsInput!$M$24)*CHOOSE(ArtifactsInput!$N$24+1,10,12,14,16,18,20)+(IF(AND(ArtifactsInput!$M$42,((Inputs!$B$9+((C2205=TRUE)*(F2205-Calc!F19))+B2218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2197*(1-MIN(100,(Inputs!$B$9+((C2205=TRUE)*(F2205-Calc!F19))+B2218+(ArtifactsInput!$M$24-ArtifactsInput!$M$24)*CHOOSE(ArtifactsInput!$N$24+1,10,12,14,16,18,20)+(IF(AND(ArtifactsInput!$M$42,((Inputs!$B$9+((C2205=TRUE)*(F2205-Calc!F19))+B2218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2197*(MIN(100,(Inputs!$B$9+((C2205=TRUE)*(F2205-Calc!F19))+B2218+(ArtifactsInput!$M$24-ArtifactsInput!$M$24)*CHOOSE(ArtifactsInput!$N$24+1,10,12,14,16,18,20)+(IF(AND(ArtifactsInput!$M$42,((Inputs!$B$9+((C2205=TRUE)*(F2205-Calc!F19))+B2218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197">
        <f>IF(C2197,(H2197*N2197*IF(AND(Inputs!$B$38&lt;&gt;"pvp",Inputs!$B$43&gt;0),((Skills!G11*((R2197-1)*IF(Skills!H11&gt;0,Skills!I11/Skills!H11,1)+IF(Skills!H11&gt;0,MIN(Skills!I11,MAX(0,MAX(0,Inputs!$B$43-B2225)-((R2197-1)*IF(Inputs!$B$38="pvp",15,MAX(0.1,Skills!D11-IF(Skills!E11=TRUE,Inputs!$B$32,0))))))/Skills!H11,1)))/Inputs!$B$43),G2197*Q2197))*IF(Inputs!$B$38="pvp",1,(1+(Inputs!$B$21+Skills!Q11+(IF(ArtifactsInput!$M$33,CHOOSE(ArtifactsInput!$N$33+1,30,36,42,48,54,60),0))+(IF(AND(ArtifactsInput!$M$35,Inputs!$B$4&lt;&gt;"Chapter Hunt"),CHOOSE(ArtifactsInput!$N$35+1,15,18,21,24,27,30)*(1-EXP(-(0.2*B2220)*5)),0)+IF(AND(ArtifactsInput!$M$22,Inputs!$B$4&lt;&gt;"Chapter Hunt"),CHOOSE(ArtifactsInput!$N$22+1,10,12,14,16,18,20)*((0*(((0.15*B2220*5))^0/1)+1*(((0.15*B2220*5))^1/1)+2*(((0.15*B2220*5))^2/2)+3*(((0.15*B2220*5))^3/6)+4*(((0.15*B2220*5))^4/24)+5*(((0.15*B2220*5))^5/120))/((((0.15*B2220*5))^0/1)+(((0.15*B2220*5))^1/1)+(((0.15*B2220*5))^2/2)+(((0.15*B2220*5))^3/6)+(((0.15*B2220*5))^4/24)+(((0.15*B2220*5))^5/120))),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198">
      <c r="A2198">
        <f>Skills!A12</f>
        <v/>
      </c>
      <c r="B2198">
        <f>Skills!B12</f>
        <v/>
      </c>
      <c r="C2198">
        <f>Inputs!$B$3&gt;=60</f>
        <v/>
      </c>
      <c r="D2198">
        <f>IF(Skills!C12=1,60+Inputs!$B$25+Inputs!$B$29,IF(Skills!C12=2,90+Inputs!$B$26+Inputs!$B$29,IF(Skills!C12=3,120+Inputs!$B$27+Inputs!$B$29,MAX(0,(Inputs!$B$3-100)*3)+Inputs!$B$28+Inputs!$B$29)))</f>
        <v/>
      </c>
      <c r="E2198">
        <f>INDEX(FactorTable!$B$2:$Y$301, MATCH(ROUND(MIN(300,MAX(1,D2198)),0), FactorTable!$A$2:$A$301,0), Skills!M12+1)</f>
        <v/>
      </c>
      <c r="F2198">
        <f>IF(Skills!N12=TRUE,(Skills!L12/10)*(E2198/1000),Skills!L12/10)+Skills!O12</f>
        <v/>
      </c>
      <c r="G2198">
        <f>Skills!G12*IF(Skills!H12&gt;0,Skills!I12/Skills!H12,1)</f>
        <v/>
      </c>
      <c r="H2198">
        <f>1-(1-Skills!J12/100)^Skills!K12</f>
        <v/>
      </c>
      <c r="I2198" t="inlineStr">
        <is>
          <t>1</t>
        </is>
      </c>
      <c r="J2198" t="inlineStr"/>
      <c r="K2198" t="inlineStr"/>
      <c r="L2198" t="inlineStr"/>
      <c r="M2198" t="inlineStr"/>
      <c r="N2198" t="inlineStr"/>
      <c r="O2198">
        <f>(1-Summary!$B$11)*T2198+Summary!$B$11*V2198</f>
        <v/>
      </c>
      <c r="P2198">
        <f>IF(B2228=0,0,O2198/B2228)</f>
        <v/>
      </c>
      <c r="Q2198" t="n">
        <v>0</v>
      </c>
      <c r="R2198" t="n">
        <v>0</v>
      </c>
      <c r="S2198" t="n">
        <v>0</v>
      </c>
      <c r="T2198" t="n">
        <v>0</v>
      </c>
      <c r="V2198" t="n">
        <v>0</v>
      </c>
    </row>
    <row r="2199">
      <c r="A2199">
        <f>Skills!A13</f>
        <v/>
      </c>
      <c r="B2199">
        <f>Skills!B13</f>
        <v/>
      </c>
      <c r="C2199">
        <f>Inputs!$B$3&gt;=74</f>
        <v/>
      </c>
      <c r="D2199">
        <f>IF(Skills!C13=1,60+Inputs!$B$25+Inputs!$B$29,IF(Skills!C13=2,90+Inputs!$B$26+Inputs!$B$29,IF(Skills!C13=3,120+Inputs!$B$27+Inputs!$B$29,MAX(0,(Inputs!$B$3-100)*3)+Inputs!$B$28+Inputs!$B$29)))</f>
        <v/>
      </c>
      <c r="E2199">
        <f>INDEX(FactorTable!$B$2:$Y$301, MATCH(ROUND(MIN(300,MAX(1,D2199)),0), FactorTable!$A$2:$A$301,0), Skills!M13+1)</f>
        <v/>
      </c>
      <c r="F2199">
        <f>IF(Skills!N13=TRUE,(Skills!L13/10)*(E2199/1000),Skills!L13/10)+Skills!O13</f>
        <v/>
      </c>
      <c r="G2199">
        <f>Skills!G13*IF(Skills!H13&gt;0,Skills!I13/Skills!H13,1)</f>
        <v/>
      </c>
      <c r="H2199">
        <f>1-(1-Skills!J13/100)^Skills!K13</f>
        <v/>
      </c>
      <c r="I2199" t="inlineStr">
        <is>
          <t>1</t>
        </is>
      </c>
      <c r="J2199" t="inlineStr"/>
      <c r="K2199" t="inlineStr"/>
      <c r="L2199" t="inlineStr"/>
      <c r="M2199" t="inlineStr"/>
      <c r="N2199" t="inlineStr"/>
      <c r="O2199">
        <f>(1-Summary!$B$11)*T2199+Summary!$B$11*V2199</f>
        <v/>
      </c>
      <c r="P2199">
        <f>IF(B2228=0,0,O2199/B2228)</f>
        <v/>
      </c>
      <c r="Q2199" t="n">
        <v>0</v>
      </c>
      <c r="R2199" t="n">
        <v>0</v>
      </c>
      <c r="S2199" t="n">
        <v>0</v>
      </c>
      <c r="T2199" t="n">
        <v>0</v>
      </c>
      <c r="V2199" t="n">
        <v>0</v>
      </c>
    </row>
    <row r="2200">
      <c r="A2200">
        <f>Skills!A14</f>
        <v/>
      </c>
      <c r="B2200">
        <f>Skills!B14</f>
        <v/>
      </c>
      <c r="C2200">
        <f>Inputs!$B$3&gt;=74</f>
        <v/>
      </c>
      <c r="D2200">
        <f>IF(Skills!C14=1,60+Inputs!$B$25+Inputs!$B$29,IF(Skills!C14=2,90+Inputs!$B$26+Inputs!$B$29,IF(Skills!C14=3,120+Inputs!$B$27+Inputs!$B$29,MAX(0,(Inputs!$B$3-100)*3)+Inputs!$B$28+Inputs!$B$29)))</f>
        <v/>
      </c>
      <c r="E2200">
        <f>INDEX(FactorTable!$B$2:$Y$301, MATCH(ROUND(MIN(300,MAX(1,D2200)),0), FactorTable!$A$2:$A$301,0), Skills!M14+1)</f>
        <v/>
      </c>
      <c r="F2200">
        <f>IF(Skills!N14=TRUE,(Skills!L14/10)*(E2200/1000),Skills!L14/10)+Skills!O14</f>
        <v/>
      </c>
      <c r="G2200">
        <f>Skills!G14*IF(Skills!H14&gt;0,Skills!I14/Skills!H14,1)</f>
        <v/>
      </c>
      <c r="H2200">
        <f>1-(1-Skills!J14/100)^Skills!K14</f>
        <v/>
      </c>
      <c r="I2200" t="inlineStr">
        <is>
          <t>1</t>
        </is>
      </c>
      <c r="J2200" t="inlineStr"/>
      <c r="K2200" t="inlineStr"/>
      <c r="L2200" t="inlineStr"/>
      <c r="M2200" t="inlineStr"/>
      <c r="N2200" t="inlineStr"/>
      <c r="O2200">
        <f>(1-Summary!$B$11)*T2200+Summary!$B$11*V2200</f>
        <v/>
      </c>
      <c r="P2200">
        <f>IF(B2228=0,0,O2200/B2228)</f>
        <v/>
      </c>
      <c r="Q2200" t="n">
        <v>0</v>
      </c>
      <c r="R2200" t="n">
        <v>0</v>
      </c>
      <c r="S2200" t="n">
        <v>0</v>
      </c>
      <c r="T2200" t="n">
        <v>0</v>
      </c>
      <c r="V2200" t="n">
        <v>0</v>
      </c>
    </row>
    <row r="2201">
      <c r="A2201">
        <f>Skills!A15</f>
        <v/>
      </c>
      <c r="B2201">
        <f>Skills!B15</f>
        <v/>
      </c>
      <c r="C2201">
        <f>Inputs!$B$3&gt;=117</f>
        <v/>
      </c>
      <c r="D2201">
        <f>IF(Skills!C15=1,60+Inputs!$B$25+Inputs!$B$29,IF(Skills!C15=2,90+Inputs!$B$26+Inputs!$B$29,IF(Skills!C15=3,120+Inputs!$B$27+Inputs!$B$29,MAX(0,(Inputs!$B$3-100)*3)+Inputs!$B$28+Inputs!$B$29)))</f>
        <v/>
      </c>
      <c r="E2201">
        <f>INDEX(FactorTable!$B$2:$Y$301, MATCH(ROUND(MIN(300,MAX(1,D2201)),0), FactorTable!$A$2:$A$301,0), Skills!M15+1)</f>
        <v/>
      </c>
      <c r="F2201">
        <f>IF(Skills!N15=TRUE,(Skills!L15/10)*(E2201/1000),Skills!L15/10)+Skills!O15</f>
        <v/>
      </c>
      <c r="G2201">
        <f>Skills!G15*IF(Skills!H15&gt;0,Skills!I15/Skills!H15,1)</f>
        <v/>
      </c>
      <c r="H2201">
        <f>1-(1-Skills!J15/100)^Skills!K15</f>
        <v/>
      </c>
      <c r="I2201" t="inlineStr">
        <is>
          <t>1</t>
        </is>
      </c>
      <c r="J2201" t="inlineStr"/>
      <c r="K2201" t="inlineStr"/>
      <c r="L2201" t="inlineStr"/>
      <c r="M2201" t="inlineStr"/>
      <c r="N2201" t="inlineStr"/>
      <c r="O2201">
        <f>(1-Summary!$B$11)*T2201+Summary!$B$11*V2201</f>
        <v/>
      </c>
      <c r="P2201">
        <f>IF(B2228=0,0,O2201/B2228)</f>
        <v/>
      </c>
      <c r="Q2201">
        <f>IFERROR(1/IF(Inputs!$B$38="pvp",15,MAX(0.1,Skills!D15-IF(Skills!E15=TRUE,Inputs!$B$32,0))),0)</f>
        <v/>
      </c>
      <c r="R2201">
        <f>IF(AND(Inputs!$B$38&lt;&gt;"pvp",Inputs!$B$43&gt;0),IF(Inputs!$B$43&lt;=0,0,(INT(Inputs!$B$43/IF(Inputs!$B$38="pvp",15,MAX(0.1,Skills!D15-IF(Skills!E15=TRUE,Inputs!$B$32,0))))+1)),0)</f>
        <v/>
      </c>
      <c r="S2201" t="n">
        <v>0</v>
      </c>
      <c r="T2201" t="n">
        <v>0</v>
      </c>
      <c r="V2201" t="n">
        <v>0</v>
      </c>
    </row>
    <row r="2202">
      <c r="A2202">
        <f>Skills!A16</f>
        <v/>
      </c>
      <c r="B2202">
        <f>Skills!B16</f>
        <v/>
      </c>
      <c r="C2202">
        <f>Inputs!$B$3&gt;=115</f>
        <v/>
      </c>
      <c r="D2202">
        <f>IF(Skills!C16=1,60+Inputs!$B$25+Inputs!$B$29,IF(Skills!C16=2,90+Inputs!$B$26+Inputs!$B$29,IF(Skills!C16=3,120+Inputs!$B$27+Inputs!$B$29,MAX(0,(Inputs!$B$3-100)*3)+Inputs!$B$28+Inputs!$B$29)))</f>
        <v/>
      </c>
      <c r="E2202">
        <f>INDEX(FactorTable!$B$2:$Y$301, MATCH(ROUND(MIN(300,MAX(1,D2202)),0), FactorTable!$A$2:$A$301,0), Skills!M16+1)</f>
        <v/>
      </c>
      <c r="F2202">
        <f>IF(Skills!N16=TRUE,(Skills!L16/10)*(E2202/1000),Skills!L16/10)+Skills!O16</f>
        <v/>
      </c>
      <c r="G2202">
        <f>Skills!G16*IF(Skills!H16&gt;0,Skills!I16/Skills!H16,1)</f>
        <v/>
      </c>
      <c r="H2202">
        <f>1-(1-Skills!J16/100)^Skills!K16</f>
        <v/>
      </c>
      <c r="I2202" t="inlineStr">
        <is>
          <t>1</t>
        </is>
      </c>
      <c r="J2202" t="inlineStr"/>
      <c r="K2202" t="inlineStr"/>
      <c r="L2202" t="inlineStr"/>
      <c r="M2202" t="inlineStr"/>
      <c r="N2202" t="inlineStr"/>
      <c r="O2202">
        <f>(1-Summary!$B$11)*T2202+Summary!$B$11*V2202</f>
        <v/>
      </c>
      <c r="P2202">
        <f>IF(B2228=0,0,O2202/B2228)</f>
        <v/>
      </c>
      <c r="Q2202">
        <f>IFERROR(1/IF(Inputs!$B$38="pvp",15,MAX(0.1,Skills!D16-IF(Skills!E16=TRUE,Inputs!$B$32,0))),0)</f>
        <v/>
      </c>
      <c r="R2202">
        <f>IF(AND(Inputs!$B$38&lt;&gt;"pvp",Inputs!$B$43&gt;0),IF(Inputs!$B$43&lt;=0,0,(INT(Inputs!$B$43/IF(Inputs!$B$38="pvp",15,MAX(0.1,Skills!D16-IF(Skills!E16=TRUE,Inputs!$B$32,0))))+1)),0)</f>
        <v/>
      </c>
      <c r="S2202" t="n">
        <v>0</v>
      </c>
      <c r="T2202" t="n">
        <v>0</v>
      </c>
      <c r="V2202" t="n">
        <v>0</v>
      </c>
    </row>
    <row r="2203">
      <c r="A2203">
        <f>Skills!A17</f>
        <v/>
      </c>
      <c r="B2203">
        <f>Skills!B17</f>
        <v/>
      </c>
      <c r="C2203">
        <f>Inputs!$B$3&gt;=72</f>
        <v/>
      </c>
      <c r="D2203">
        <f>IF(Skills!C17=1,60+Inputs!$B$25+Inputs!$B$29,IF(Skills!C17=2,90+Inputs!$B$26+Inputs!$B$29,IF(Skills!C17=3,120+Inputs!$B$27+Inputs!$B$29,MAX(0,(Inputs!$B$3-100)*3)+Inputs!$B$28+Inputs!$B$29)))</f>
        <v/>
      </c>
      <c r="E2203">
        <f>INDEX(FactorTable!$B$2:$Y$301, MATCH(ROUND(MIN(300,MAX(1,D2203)),0), FactorTable!$A$2:$A$301,0), Skills!M17+1)</f>
        <v/>
      </c>
      <c r="F2203">
        <f>IF(Skills!N17=TRUE,(Skills!L17/10)*(E2203/1000),Skills!L17/10)+Skills!O17</f>
        <v/>
      </c>
      <c r="G2203">
        <f>Skills!G17*IF(Skills!H17&gt;0,Skills!I17/Skills!H17,1)</f>
        <v/>
      </c>
      <c r="H2203">
        <f>1-(1-Skills!J17/100)^Skills!K17</f>
        <v/>
      </c>
      <c r="I2203" t="inlineStr">
        <is>
          <t>1</t>
        </is>
      </c>
      <c r="J2203" t="inlineStr"/>
      <c r="K2203" t="inlineStr"/>
      <c r="L2203" t="inlineStr"/>
      <c r="M2203" t="inlineStr"/>
      <c r="N2203" t="inlineStr"/>
      <c r="O2203">
        <f>(1-Summary!$B$11)*T2203+Summary!$B$11*V2203</f>
        <v/>
      </c>
      <c r="P2203">
        <f>IF(B2228=0,0,O2203/B2228)</f>
        <v/>
      </c>
      <c r="Q2203" t="n">
        <v>0</v>
      </c>
      <c r="R2203" t="n">
        <v>0</v>
      </c>
      <c r="S2203" t="n">
        <v>0</v>
      </c>
      <c r="T2203" t="n">
        <v>0</v>
      </c>
      <c r="V2203" t="n">
        <v>0</v>
      </c>
    </row>
    <row r="2204">
      <c r="A2204">
        <f>Skills!A18</f>
        <v/>
      </c>
      <c r="B2204">
        <f>Skills!B18</f>
        <v/>
      </c>
      <c r="C2204">
        <f>TRUE</f>
        <v/>
      </c>
      <c r="D2204">
        <f>IF(Skills!C18=1,60+Inputs!$B$25+Inputs!$B$29,IF(Skills!C18=2,90+Inputs!$B$26+Inputs!$B$29,IF(Skills!C18=3,120+Inputs!$B$27+Inputs!$B$29,MAX(0,(Inputs!$B$3-100)*3)+Inputs!$B$28+Inputs!$B$29)))</f>
        <v/>
      </c>
      <c r="E2204">
        <f>INDEX(FactorTable!$B$2:$Y$301, MATCH(ROUND(MIN(300,MAX(1,D2204)),0), FactorTable!$A$2:$A$301,0), Skills!M18+1)</f>
        <v/>
      </c>
      <c r="F2204">
        <f>IF(Skills!N18=TRUE,(Skills!L18/10)*(E2204/1000),Skills!L18/10)+Skills!O18</f>
        <v/>
      </c>
      <c r="G2204">
        <f>Skills!G18*IF(Skills!H18&gt;0,Skills!I18/Skills!H18,1)</f>
        <v/>
      </c>
      <c r="H2204">
        <f>1-(1-Skills!J18/100)^Skills!K18</f>
        <v/>
      </c>
      <c r="I2204" t="inlineStr">
        <is>
          <t>1</t>
        </is>
      </c>
      <c r="J2204" t="inlineStr"/>
      <c r="K2204" t="inlineStr"/>
      <c r="L2204" t="inlineStr"/>
      <c r="M2204" t="inlineStr"/>
      <c r="N2204" t="inlineStr"/>
      <c r="O2204">
        <f>(1-Summary!$B$11)*T2204+Summary!$B$11*V2204</f>
        <v/>
      </c>
      <c r="P2204">
        <f>IF(B2228=0,0,O2204/B2228)</f>
        <v/>
      </c>
      <c r="Q2204">
        <f>IFERROR(1/IF(Inputs!$B$38="pvp",15,MAX(0.1,Skills!D18-IF(Skills!E18=TRUE,Inputs!$B$32,0))),0)</f>
        <v/>
      </c>
      <c r="R2204">
        <f>IF(AND(Inputs!$B$38&lt;&gt;"pvp",Inputs!$B$43&gt;0),IF(Inputs!$B$43&lt;=0,0,(INT(Inputs!$B$43/IF(Inputs!$B$38="pvp",15,MAX(0.1,Skills!D18-IF(Skills!E18=TRUE,Inputs!$B$32,0))))+1)),0)</f>
        <v/>
      </c>
      <c r="S2204" t="n">
        <v>0</v>
      </c>
      <c r="T2204" t="n">
        <v>0</v>
      </c>
      <c r="V2204" t="n">
        <v>0</v>
      </c>
    </row>
    <row r="2205">
      <c r="A2205">
        <f>Skills!A19</f>
        <v/>
      </c>
      <c r="B2205">
        <f>Skills!B19</f>
        <v/>
      </c>
      <c r="C2205">
        <f>Inputs!$B$3&gt;=15</f>
        <v/>
      </c>
      <c r="D2205">
        <f>IF(Skills!C19=1,60+Inputs!$B$25+Inputs!$B$29,IF(Skills!C19=2,90+Inputs!$B$26+Inputs!$B$29,IF(Skills!C19=3,120+Inputs!$B$27+Inputs!$B$29,MAX(0,(Inputs!$B$3-100)*3)+Inputs!$B$28+Inputs!$B$29)))</f>
        <v/>
      </c>
      <c r="E2205">
        <f>INDEX(FactorTable!$B$2:$Y$301, MATCH(ROUND(MIN(300,MAX(1,D2205)),0), FactorTable!$A$2:$A$301,0), Skills!M19+1)</f>
        <v/>
      </c>
      <c r="F2205">
        <f>IF(Skills!N19=TRUE,(Skills!L19/10)*(E2205/1000),Skills!L19/10)+Skills!O19</f>
        <v/>
      </c>
      <c r="G2205">
        <f>Skills!G19*IF(Skills!H19&gt;0,Skills!I19/Skills!H19,1)</f>
        <v/>
      </c>
      <c r="H2205">
        <f>1-(1-Skills!J19/100)^Skills!K19</f>
        <v/>
      </c>
      <c r="I2205" t="inlineStr">
        <is>
          <t>1</t>
        </is>
      </c>
      <c r="J2205" t="inlineStr"/>
      <c r="K2205" t="inlineStr"/>
      <c r="L2205" t="inlineStr"/>
      <c r="M2205" t="inlineStr"/>
      <c r="N2205" t="inlineStr"/>
      <c r="O2205">
        <f>(1-Summary!$B$11)*T2205+Summary!$B$11*V2205</f>
        <v/>
      </c>
      <c r="P2205">
        <f>IF(B2228=0,0,O2205/B2228)</f>
        <v/>
      </c>
      <c r="Q2205" t="n">
        <v>0</v>
      </c>
      <c r="R2205" t="n">
        <v>0</v>
      </c>
      <c r="S2205" t="n">
        <v>0</v>
      </c>
      <c r="T2205" t="n">
        <v>0</v>
      </c>
      <c r="V2205" t="n">
        <v>0</v>
      </c>
    </row>
    <row r="2206">
      <c r="A2206">
        <f>Skills!A20</f>
        <v/>
      </c>
      <c r="B2206">
        <f>Skills!B20</f>
        <v/>
      </c>
      <c r="C2206">
        <f>Inputs!$B$3&gt;=10</f>
        <v/>
      </c>
      <c r="D2206">
        <f>IF(Skills!C20=1,60+Inputs!$B$25+Inputs!$B$29,IF(Skills!C20=2,90+Inputs!$B$26+Inputs!$B$29,IF(Skills!C20=3,120+Inputs!$B$27+Inputs!$B$29,MAX(0,(Inputs!$B$3-100)*3)+Inputs!$B$28+Inputs!$B$29)))</f>
        <v/>
      </c>
      <c r="E2206">
        <f>INDEX(FactorTable!$B$2:$Y$301, MATCH(ROUND(MIN(300,MAX(1,D2206)),0), FactorTable!$A$2:$A$301,0), Skills!M20+1)</f>
        <v/>
      </c>
      <c r="F2206">
        <f>IF(Skills!N20=TRUE,(Skills!L20/10)*(E2206/1000),Skills!L20/10)+Skills!O20</f>
        <v/>
      </c>
      <c r="G2206">
        <f>Skills!G20*IF(Skills!H20&gt;0,Skills!I20/Skills!H20,1)</f>
        <v/>
      </c>
      <c r="H2206">
        <f>1-(1-Skills!J20/100)^Skills!K20</f>
        <v/>
      </c>
      <c r="I2206" t="inlineStr">
        <is>
          <t>1</t>
        </is>
      </c>
      <c r="J2206" t="inlineStr"/>
      <c r="K2206" t="inlineStr"/>
      <c r="L2206" t="inlineStr"/>
      <c r="M2206" t="inlineStr"/>
      <c r="N2206" t="inlineStr"/>
      <c r="O2206">
        <f>(1-Summary!$B$11)*T2206+Summary!$B$11*V2206</f>
        <v/>
      </c>
      <c r="P2206">
        <f>IF(B2228=0,0,O2206/B2228)</f>
        <v/>
      </c>
      <c r="Q2206" t="n">
        <v>0</v>
      </c>
      <c r="R2206" t="n">
        <v>0</v>
      </c>
      <c r="S2206" t="n">
        <v>0</v>
      </c>
      <c r="T2206" t="n">
        <v>0</v>
      </c>
      <c r="V2206" t="n">
        <v>0</v>
      </c>
    </row>
    <row r="2207">
      <c r="A2207">
        <f>Skills!A21</f>
        <v/>
      </c>
      <c r="B2207">
        <f>Skills!B21</f>
        <v/>
      </c>
      <c r="C2207">
        <f>Inputs!$B$3&gt;=33</f>
        <v/>
      </c>
      <c r="D2207">
        <f>IF(Skills!C21=1,60+Inputs!$B$25+Inputs!$B$29,IF(Skills!C21=2,90+Inputs!$B$26+Inputs!$B$29,IF(Skills!C21=3,120+Inputs!$B$27+Inputs!$B$29,MAX(0,(Inputs!$B$3-100)*3)+Inputs!$B$28+Inputs!$B$29)))</f>
        <v/>
      </c>
      <c r="E2207">
        <f>INDEX(FactorTable!$B$2:$Y$301, MATCH(ROUND(MIN(300,MAX(1,D2207)),0), FactorTable!$A$2:$A$301,0), Skills!M21+1)</f>
        <v/>
      </c>
      <c r="F2207">
        <f>IF(Skills!N21=TRUE,(Skills!L21/10)*(E2207/1000),Skills!L21/10)+Skills!O21</f>
        <v/>
      </c>
      <c r="G2207">
        <f>Skills!G21*IF(Skills!H21&gt;0,Skills!I21/Skills!H21,1)</f>
        <v/>
      </c>
      <c r="H2207">
        <f>1-(1-Skills!J21/100)^Skills!K21</f>
        <v/>
      </c>
      <c r="I2207" t="inlineStr">
        <is>
          <t>1</t>
        </is>
      </c>
      <c r="J2207" t="inlineStr"/>
      <c r="K2207" t="inlineStr"/>
      <c r="L2207" t="inlineStr"/>
      <c r="M2207" t="inlineStr"/>
      <c r="N2207" t="inlineStr"/>
      <c r="O2207">
        <f>(1-Summary!$B$11)*T2207+Summary!$B$11*V2207</f>
        <v/>
      </c>
      <c r="P2207">
        <f>IF(B2228=0,0,O2207/B2228)</f>
        <v/>
      </c>
      <c r="Q2207" t="n">
        <v>0</v>
      </c>
      <c r="R2207" t="n">
        <v>0</v>
      </c>
      <c r="S2207" t="n">
        <v>0</v>
      </c>
      <c r="T2207" t="n">
        <v>0</v>
      </c>
      <c r="V2207" t="n">
        <v>0</v>
      </c>
    </row>
    <row r="2208">
      <c r="A2208">
        <f>Skills!A22</f>
        <v/>
      </c>
      <c r="B2208">
        <f>Skills!B22</f>
        <v/>
      </c>
      <c r="C2208">
        <f>Inputs!$B$3&gt;=38</f>
        <v/>
      </c>
      <c r="D2208">
        <f>IF(Skills!C22=1,60+Inputs!$B$25+Inputs!$B$29,IF(Skills!C22=2,90+Inputs!$B$26+Inputs!$B$29,IF(Skills!C22=3,120+Inputs!$B$27+Inputs!$B$29,MAX(0,(Inputs!$B$3-100)*3)+Inputs!$B$28+Inputs!$B$29)))</f>
        <v/>
      </c>
      <c r="E2208">
        <f>INDEX(FactorTable!$B$2:$Y$301, MATCH(ROUND(MIN(300,MAX(1,D2208)),0), FactorTable!$A$2:$A$301,0), Skills!M22+1)</f>
        <v/>
      </c>
      <c r="F2208">
        <f>IF(Skills!N22=TRUE,(Skills!L22/10)*(E2208/1000),Skills!L22/10)+Skills!O22</f>
        <v/>
      </c>
      <c r="G2208">
        <f>Skills!G22*IF(Skills!H22&gt;0,Skills!I22/Skills!H22,1)</f>
        <v/>
      </c>
      <c r="H2208">
        <f>1-(1-Skills!J22/100)^Skills!K22</f>
        <v/>
      </c>
      <c r="I2208" t="inlineStr">
        <is>
          <t>1</t>
        </is>
      </c>
      <c r="J2208" t="inlineStr"/>
      <c r="K2208" t="inlineStr"/>
      <c r="L2208" t="inlineStr"/>
      <c r="M2208" t="inlineStr"/>
      <c r="N2208" t="inlineStr"/>
      <c r="O2208">
        <f>(1-Summary!$B$11)*T2208+Summary!$B$11*V2208</f>
        <v/>
      </c>
      <c r="P2208">
        <f>IF(B2228=0,0,O2208/B2228)</f>
        <v/>
      </c>
      <c r="Q2208" t="n">
        <v>0</v>
      </c>
      <c r="R2208" t="n">
        <v>0</v>
      </c>
      <c r="S2208" t="n">
        <v>0</v>
      </c>
      <c r="T2208" t="n">
        <v>0</v>
      </c>
      <c r="V2208" t="n">
        <v>0</v>
      </c>
    </row>
    <row r="2209">
      <c r="A2209">
        <f>Skills!A23</f>
        <v/>
      </c>
      <c r="B2209">
        <f>Skills!B23</f>
        <v/>
      </c>
      <c r="C2209">
        <f>Inputs!$B$3&gt;=43</f>
        <v/>
      </c>
      <c r="D2209">
        <f>IF(Skills!C23=1,60+Inputs!$B$25+Inputs!$B$29,IF(Skills!C23=2,90+Inputs!$B$26+Inputs!$B$29,IF(Skills!C23=3,120+Inputs!$B$27+Inputs!$B$29,MAX(0,(Inputs!$B$3-100)*3)+Inputs!$B$28+Inputs!$B$29)))</f>
        <v/>
      </c>
      <c r="E2209">
        <f>INDEX(FactorTable!$B$2:$Y$301, MATCH(ROUND(MIN(300,MAX(1,D2209)),0), FactorTable!$A$2:$A$301,0), Skills!M23+1)</f>
        <v/>
      </c>
      <c r="F2209">
        <f>IF(Skills!N23=TRUE,(Skills!L23/10)*(E2209/1000),Skills!L23/10)+Skills!O23</f>
        <v/>
      </c>
      <c r="G2209">
        <f>Skills!G23*IF(Skills!H23&gt;0,Skills!I23/Skills!H23,1)</f>
        <v/>
      </c>
      <c r="H2209">
        <f>1-(1-Skills!J23/100)^Skills!K23</f>
        <v/>
      </c>
      <c r="I2209" t="inlineStr">
        <is>
          <t>1</t>
        </is>
      </c>
      <c r="J2209" t="inlineStr"/>
      <c r="K2209" t="inlineStr"/>
      <c r="L2209" t="inlineStr"/>
      <c r="M2209" t="inlineStr"/>
      <c r="N2209" t="inlineStr"/>
      <c r="O2209">
        <f>(1-Summary!$B$11)*T2209+Summary!$B$11*V2209</f>
        <v/>
      </c>
      <c r="P2209">
        <f>IF(B2228=0,0,O2209/B2228)</f>
        <v/>
      </c>
      <c r="Q2209" t="n">
        <v>0</v>
      </c>
      <c r="R2209" t="n">
        <v>0</v>
      </c>
      <c r="S2209" t="n">
        <v>0</v>
      </c>
      <c r="T2209" t="n">
        <v>0</v>
      </c>
      <c r="V2209" t="n">
        <v>0</v>
      </c>
    </row>
    <row r="2210">
      <c r="A2210">
        <f>Skills!A24</f>
        <v/>
      </c>
      <c r="B2210">
        <f>Skills!B24</f>
        <v/>
      </c>
      <c r="C2210">
        <f>Inputs!$B$3&gt;=75</f>
        <v/>
      </c>
      <c r="D2210">
        <f>IF(Skills!C24=1,60+Inputs!$B$25+Inputs!$B$29,IF(Skills!C24=2,90+Inputs!$B$26+Inputs!$B$29,IF(Skills!C24=3,120+Inputs!$B$27+Inputs!$B$29,MAX(0,(Inputs!$B$3-100)*3)+Inputs!$B$28+Inputs!$B$29)))</f>
        <v/>
      </c>
      <c r="E2210">
        <f>INDEX(FactorTable!$B$2:$Y$301, MATCH(ROUND(MIN(300,MAX(1,D2210)),0), FactorTable!$A$2:$A$301,0), Skills!M24+1)</f>
        <v/>
      </c>
      <c r="F2210">
        <f>IF(Skills!N24=TRUE,(Skills!L24/10)*(E2210/1000),Skills!L24/10)+Skills!O24</f>
        <v/>
      </c>
      <c r="G2210">
        <f>Skills!G24*IF(Skills!H24&gt;0,Skills!I24/Skills!H24,1)</f>
        <v/>
      </c>
      <c r="H2210">
        <f>1-(1-Skills!J24/100)^Skills!K24</f>
        <v/>
      </c>
      <c r="I2210" t="inlineStr">
        <is>
          <t>1</t>
        </is>
      </c>
      <c r="J2210" t="inlineStr"/>
      <c r="K2210" t="inlineStr"/>
      <c r="L2210" t="inlineStr"/>
      <c r="M2210" t="inlineStr"/>
      <c r="N2210" t="inlineStr"/>
      <c r="O2210">
        <f>(1-Summary!$B$11)*T2210+Summary!$B$11*V2210</f>
        <v/>
      </c>
      <c r="P2210">
        <f>IF(B2228=0,0,O2210/B2228)</f>
        <v/>
      </c>
      <c r="Q2210" t="n">
        <v>0</v>
      </c>
      <c r="R2210" t="n">
        <v>0</v>
      </c>
      <c r="S2210" t="n">
        <v>0</v>
      </c>
      <c r="T2210" t="n">
        <v>0</v>
      </c>
      <c r="V2210" t="n">
        <v>0</v>
      </c>
    </row>
    <row r="2211">
      <c r="A2211">
        <f>Skills!A25</f>
        <v/>
      </c>
      <c r="B2211">
        <f>Skills!B25</f>
        <v/>
      </c>
      <c r="C2211">
        <f>Inputs!$B$3&gt;=125</f>
        <v/>
      </c>
      <c r="D2211">
        <f>IF(Skills!C25=1,60+Inputs!$B$25+Inputs!$B$29,IF(Skills!C25=2,90+Inputs!$B$26+Inputs!$B$29,IF(Skills!C25=3,120+Inputs!$B$27+Inputs!$B$29,MAX(0,(Inputs!$B$3-100)*3)+Inputs!$B$28+Inputs!$B$29)))</f>
        <v/>
      </c>
      <c r="E2211">
        <f>INDEX(FactorTable!$B$2:$Y$301, MATCH(ROUND(MIN(300,MAX(1,D2211)),0), FactorTable!$A$2:$A$301,0), Skills!M25+1)</f>
        <v/>
      </c>
      <c r="F2211">
        <f>IF(Skills!N25=TRUE,(Skills!L25/10)*(E2211/1000),Skills!L25/10)+Skills!O25</f>
        <v/>
      </c>
      <c r="G2211">
        <f>Skills!G25*IF(Skills!H25&gt;0,Skills!I25/Skills!H25,1)</f>
        <v/>
      </c>
      <c r="H2211">
        <f>1-(1-Skills!J25/100)^Skills!K25</f>
        <v/>
      </c>
      <c r="I2211" t="inlineStr">
        <is>
          <t>1</t>
        </is>
      </c>
      <c r="J2211" t="inlineStr"/>
      <c r="K2211" t="inlineStr"/>
      <c r="L2211" t="inlineStr"/>
      <c r="M2211" t="inlineStr"/>
      <c r="N2211" t="inlineStr"/>
      <c r="O2211">
        <f>(1-Summary!$B$11)*T2211+Summary!$B$11*V2211</f>
        <v/>
      </c>
      <c r="P2211">
        <f>IF(B2228=0,0,O2211/B2228)</f>
        <v/>
      </c>
      <c r="Q2211" t="n">
        <v>0</v>
      </c>
      <c r="R2211" t="n">
        <v>0</v>
      </c>
      <c r="S2211" t="n">
        <v>0</v>
      </c>
      <c r="T2211" t="n">
        <v>0</v>
      </c>
      <c r="V2211" t="n">
        <v>0</v>
      </c>
    </row>
    <row r="2212">
      <c r="A2212">
        <f>Skills!A26</f>
        <v/>
      </c>
      <c r="B2212">
        <f>Skills!B26</f>
        <v/>
      </c>
      <c r="C2212">
        <f>Inputs!$B$3&gt;=125</f>
        <v/>
      </c>
      <c r="D2212">
        <f>IF(Skills!C26=1,60+Inputs!$B$25+Inputs!$B$29,IF(Skills!C26=2,90+Inputs!$B$26+Inputs!$B$29,IF(Skills!C26=3,120+Inputs!$B$27+Inputs!$B$29,MAX(0,(Inputs!$B$3-100)*3)+Inputs!$B$28+Inputs!$B$29)))</f>
        <v/>
      </c>
      <c r="E2212">
        <f>INDEX(FactorTable!$B$2:$Y$301, MATCH(ROUND(MIN(300,MAX(1,D2212)),0), FactorTable!$A$2:$A$301,0), Skills!M26+1)</f>
        <v/>
      </c>
      <c r="F2212">
        <f>IF(Skills!N26=TRUE,(Skills!L26/10)*(E2212/1000),Skills!L26/10)+Skills!O26</f>
        <v/>
      </c>
      <c r="G2212">
        <f>Skills!G26*IF(Skills!H26&gt;0,Skills!I26/Skills!H26,1)</f>
        <v/>
      </c>
      <c r="H2212">
        <f>1-(1-Skills!J26/100)^Skills!K26</f>
        <v/>
      </c>
      <c r="I2212" t="inlineStr">
        <is>
          <t>1</t>
        </is>
      </c>
      <c r="J2212" t="inlineStr"/>
      <c r="K2212" t="inlineStr"/>
      <c r="L2212" t="inlineStr"/>
      <c r="M2212" t="inlineStr"/>
      <c r="N2212" t="inlineStr"/>
      <c r="O2212">
        <f>(1-Summary!$B$11)*T2212+Summary!$B$11*V2212</f>
        <v/>
      </c>
      <c r="P2212">
        <f>IF(B2228=0,0,O2212/B2228)</f>
        <v/>
      </c>
      <c r="Q2212" t="n">
        <v>0</v>
      </c>
      <c r="R2212" t="n">
        <v>0</v>
      </c>
      <c r="S2212" t="n">
        <v>0</v>
      </c>
      <c r="T2212" t="n">
        <v>0</v>
      </c>
      <c r="V2212" t="n">
        <v>0</v>
      </c>
    </row>
    <row r="2213">
      <c r="A2213">
        <f>Skills!A27</f>
        <v/>
      </c>
      <c r="B2213">
        <f>Skills!B27</f>
        <v/>
      </c>
      <c r="C2213">
        <f>Inputs!$B$3&gt;=120</f>
        <v/>
      </c>
      <c r="D2213">
        <f>IF(Skills!C27=1,60+Inputs!$B$25+Inputs!$B$29,IF(Skills!C27=2,90+Inputs!$B$26+Inputs!$B$29,IF(Skills!C27=3,120+Inputs!$B$27+Inputs!$B$29,MAX(0,(Inputs!$B$3-100)*3)+Inputs!$B$28+Inputs!$B$29)))</f>
        <v/>
      </c>
      <c r="E2213">
        <f>INDEX(FactorTable!$B$2:$Y$301, MATCH(ROUND(MIN(300,MAX(1,D2213)),0), FactorTable!$A$2:$A$301,0), Skills!M27+1)</f>
        <v/>
      </c>
      <c r="F2213">
        <f>IF(Skills!N27=TRUE,(Skills!L27/10)*(E2213/1000),Skills!L27/10)+Skills!O27</f>
        <v/>
      </c>
      <c r="G2213">
        <f>Skills!G27*IF(Skills!H27&gt;0,Skills!I27/Skills!H27,1)</f>
        <v/>
      </c>
      <c r="H2213">
        <f>1-(1-Skills!J27/100)^Skills!K27</f>
        <v/>
      </c>
      <c r="I2213" t="inlineStr">
        <is>
          <t>1</t>
        </is>
      </c>
      <c r="J2213" t="inlineStr"/>
      <c r="K2213" t="inlineStr"/>
      <c r="L2213" t="inlineStr"/>
      <c r="M2213" t="inlineStr"/>
      <c r="N2213" t="inlineStr"/>
      <c r="O2213">
        <f>(1-Summary!$B$11)*T2213+Summary!$B$11*V2213</f>
        <v/>
      </c>
      <c r="P2213">
        <f>IF(B2228=0,0,O2213/B2228)</f>
        <v/>
      </c>
      <c r="Q2213" t="n">
        <v>0</v>
      </c>
      <c r="R2213" t="n">
        <v>0</v>
      </c>
      <c r="S2213" t="n">
        <v>0</v>
      </c>
      <c r="T2213" t="n">
        <v>0</v>
      </c>
      <c r="V2213" t="n">
        <v>0</v>
      </c>
    </row>
    <row r="2214">
      <c r="A2214">
        <f>Skills!A28</f>
        <v/>
      </c>
      <c r="B2214">
        <f>Skills!B28</f>
        <v/>
      </c>
      <c r="C2214">
        <f>Inputs!$B$3&gt;=120</f>
        <v/>
      </c>
      <c r="D2214">
        <f>IF(Skills!C28=1,60+Inputs!$B$25+Inputs!$B$29,IF(Skills!C28=2,90+Inputs!$B$26+Inputs!$B$29,IF(Skills!C28=3,120+Inputs!$B$27+Inputs!$B$29,MAX(0,(Inputs!$B$3-100)*3)+Inputs!$B$28+Inputs!$B$29)))</f>
        <v/>
      </c>
      <c r="E2214">
        <f>INDEX(FactorTable!$B$2:$Y$301, MATCH(ROUND(MIN(300,MAX(1,D2214)),0), FactorTable!$A$2:$A$301,0), Skills!M28+1)</f>
        <v/>
      </c>
      <c r="F2214">
        <f>IF(Skills!N28=TRUE,(Skills!L28/10)*(E2214/1000),Skills!L28/10)+Skills!O28</f>
        <v/>
      </c>
      <c r="G2214">
        <f>Skills!G28*IF(Skills!H28&gt;0,Skills!I28/Skills!H28,1)</f>
        <v/>
      </c>
      <c r="H2214">
        <f>1-(1-Skills!J28/100)^Skills!K28</f>
        <v/>
      </c>
      <c r="I2214" t="inlineStr">
        <is>
          <t>1</t>
        </is>
      </c>
      <c r="J2214" t="inlineStr"/>
      <c r="K2214" t="inlineStr"/>
      <c r="L2214" t="inlineStr"/>
      <c r="M2214" t="inlineStr"/>
      <c r="N2214" t="inlineStr"/>
      <c r="O2214">
        <f>(1-Summary!$B$11)*T2214+Summary!$B$11*V2214</f>
        <v/>
      </c>
      <c r="P2214">
        <f>IF(B2228=0,0,O2214/B2228)</f>
        <v/>
      </c>
      <c r="Q2214" t="n">
        <v>0</v>
      </c>
      <c r="R2214" t="n">
        <v>0</v>
      </c>
      <c r="S2214" t="n">
        <v>0</v>
      </c>
      <c r="T2214" t="n">
        <v>0</v>
      </c>
      <c r="V2214" t="n">
        <v>0</v>
      </c>
    </row>
    <row r="2215">
      <c r="A2215">
        <f>Skills!A29</f>
        <v/>
      </c>
      <c r="B2215">
        <f>Skills!B29</f>
        <v/>
      </c>
      <c r="C2215">
        <f>Inputs!$B$3&gt;=45</f>
        <v/>
      </c>
      <c r="D2215">
        <f>IF(Skills!C29=1,60+Inputs!$B$25+Inputs!$B$29,IF(Skills!C29=2,90+Inputs!$B$26+Inputs!$B$29,IF(Skills!C29=3,120+Inputs!$B$27+Inputs!$B$29,MAX(0,(Inputs!$B$3-100)*3)+Inputs!$B$28+Inputs!$B$29)))</f>
        <v/>
      </c>
      <c r="E2215">
        <f>INDEX(FactorTable!$B$2:$Y$301, MATCH(ROUND(MIN(300,MAX(1,D2215)),0), FactorTable!$A$2:$A$301,0), Skills!M29+1)</f>
        <v/>
      </c>
      <c r="F2215">
        <f>IF(Skills!N29=TRUE,(Skills!L29/10)*(E2215/1000),Skills!L29/10)+Skills!O29</f>
        <v/>
      </c>
      <c r="G2215">
        <f>Skills!G29*IF(Skills!H29&gt;0,Skills!I29/Skills!H29,1)</f>
        <v/>
      </c>
      <c r="H2215">
        <f>1-(1-Skills!J29/100)^Skills!K29</f>
        <v/>
      </c>
      <c r="I2215" t="inlineStr">
        <is>
          <t>1</t>
        </is>
      </c>
      <c r="J2215" t="inlineStr"/>
      <c r="K2215" t="inlineStr"/>
      <c r="L2215" t="inlineStr"/>
      <c r="M2215" t="inlineStr"/>
      <c r="N2215" t="inlineStr"/>
      <c r="O2215">
        <f>(1-Summary!$B$11)*T2215+Summary!$B$11*V2215</f>
        <v/>
      </c>
      <c r="P2215">
        <f>IF(B2228=0,0,O2215/B2228)</f>
        <v/>
      </c>
      <c r="Q2215" t="n">
        <v>0</v>
      </c>
      <c r="R2215" t="n">
        <v>0</v>
      </c>
      <c r="S2215" t="n">
        <v>0</v>
      </c>
      <c r="T2215" t="n">
        <v>0</v>
      </c>
      <c r="V2215" t="n">
        <v>0</v>
      </c>
    </row>
    <row r="2217">
      <c r="A2217" t="inlineStr">
        <is>
          <t>Attack% Bucket Multiplier</t>
        </is>
      </c>
      <c r="B2217">
        <f>(1+(((C2199=TRUE)*F2199)+((C2200=TRUE)*IF(Inputs!$B$38="pvp",F2200,(1-Summary!$B$11)*(F2200)+Summary!$B$11*(0)))+((C2201=TRUE)*F2201*IF(AND(Inputs!$B$38&lt;&gt;"pvp",Inputs!$B$43&gt;0),(((R2201-1)*(Skills!T15*(1+Inputs!$B$34/100))+MIN((Skills!T15*(1+Inputs!$B$34/100)),MAX(0,Inputs!$B$43-((R2201-1)*Skills!D15))))/Inputs!$B$43),IF(Inputs!$B$38="pvp",MIN((Skills!T15*(1+Inputs!$B$34/100)),15)/15,(Skills!T15*(1+Inputs!$B$34/100))/Skills!D15)))+((C2198=TRUE)*F2198)+((C2215=TRUE)*(F2215-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2218">
      <c r="A2218" t="inlineStr">
        <is>
          <t>Global Crit Rate Bonus %</t>
        </is>
      </c>
      <c r="B2218">
        <f>(C2202=TRUE)*20*IF(AND(Inputs!$B$38&lt;&gt;"pvp",Inputs!$B$43&gt;0),(((R2202-1)*(Skills!T16*(1+Inputs!$B$34/100))+MIN((Skills!T16*(1+Inputs!$B$34/100)),MAX(0,Inputs!$B$43-((R2202-1)*Skills!D16))))/Inputs!$B$43),IF(Inputs!$B$38="pvp",MIN((Skills!T16*(1+Inputs!$B$34/100)),15)/15,(Skills!T16*(1+Inputs!$B$34/100))/Skills!D16))</f>
        <v/>
      </c>
    </row>
    <row r="2219">
      <c r="A2219" t="inlineStr">
        <is>
          <t>Attack Speed Buff Bonus %</t>
        </is>
      </c>
      <c r="B2219">
        <f>((C2204=TRUE)*F2204*IF(AND(Inputs!$B$38&lt;&gt;"pvp",Inputs!$B$43&gt;0),(((R2204-1)*(Skills!T18*(1+Inputs!$B$34/100))+MIN((Skills!T18*(1+Inputs!$B$34/100)),MAX(0,Inputs!$B$43-((R2204-1)*Skills!D18))))/Inputs!$B$43),IF(Inputs!$B$38="pvp",MIN((Skills!T18*(1+Inputs!$B$34/100)),15)/15,(Skills!T18*(1+Inputs!$B$34/100))/Skills!D18)))</f>
        <v/>
      </c>
    </row>
    <row r="2220">
      <c r="A2220" t="inlineStr">
        <is>
          <t>Actions Per Second</t>
        </is>
      </c>
      <c r="B2220">
        <f>1+MIN(150,150*(1-(1-(Inputs!$B$11+((C2206=TRUE)*(F2206-Calc!F20))+((C2207=TRUE)*(F2207-Calc!F21)))/150)*(1-B2219/150)))/100</f>
        <v/>
      </c>
    </row>
    <row r="2221">
      <c r="A2221" t="inlineStr">
        <is>
          <t>Skill + Buff Cast Rate</t>
        </is>
      </c>
      <c r="B2221">
        <f>IF(AND(Inputs!$B$38&lt;&gt;"pvp",Inputs!$B$43&gt;0),SUMPRODUCT((Skills!E2:E29=TRUE)*(C2188:C2215=TRUE)*R2188:R2215*Skills!F2:F29)/Inputs!$B$43,SUMPRODUCT((Skills!E2:E29=TRUE)*(C2188:C2215=TRUE)*Q2188:Q2215*Skills!F2:F29))</f>
        <v/>
      </c>
    </row>
    <row r="2222">
      <c r="A2222" t="inlineStr">
        <is>
          <t>Empowered Piercing Arrow Casts Per Second</t>
        </is>
      </c>
      <c r="B2222">
        <f>MAX(0,B2220-B2221)</f>
        <v/>
      </c>
    </row>
    <row r="2223">
      <c r="A2223" t="inlineStr">
        <is>
          <t>Global Critical Damage Bonus % (Sharp Eyes)</t>
        </is>
      </c>
      <c r="B2223">
        <f>(C2202=TRUE)*F2202*IF(AND(Inputs!$B$38&lt;&gt;"pvp",Inputs!$B$43&gt;0),(((R2202-1)*(Skills!T16*(1+Inputs!$B$34/100))+MIN((Skills!T16*(1+Inputs!$B$34/100)),MAX(0,Inputs!$B$43-((R2202-1)*Skills!D16))))/Inputs!$B$43),IF(Inputs!$B$38="pvp",MIN((Skills!T16*(1+Inputs!$B$34/100)),15)/15,(Skills!T16*(1+Inputs!$B$34/100))/Skills!D16))</f>
        <v/>
      </c>
    </row>
    <row r="2224">
      <c r="A2224" t="inlineStr">
        <is>
          <t>Global Final Damage Bonus % (Mortal Blow + Last Man Standing conditional half)</t>
        </is>
      </c>
      <c r="B2224">
        <f>(C2203=TRUE)*F2203+((C2212=TRUE)*IF(Inputs!$B$38="pvp",F2212,(1-Summary!$B$11)*(F2212)+Summary!$B$11*(0)))</f>
        <v/>
      </c>
    </row>
    <row r="2225">
      <c r="A2225" t="inlineStr">
        <is>
          <t>Buff-Casting Startup Delay (s, fixed-duration only)</t>
        </is>
      </c>
      <c r="B2225">
        <f>IF(AND(Inputs!$B$38&lt;&gt;"pvp",Inputs!$B$43&gt;0),SUMPRODUCT((Skills!T2:T29&gt;0)*(Skills!E2:E29=TRUE)*(C2188:C2215=TRUE))/B2220,0)</f>
        <v/>
      </c>
    </row>
    <row r="2226">
      <c r="A2226" t="inlineStr">
        <is>
          <t>Boss-Only Total DPS (this block's swept value)</t>
        </is>
      </c>
      <c r="B2226">
        <f>SUM(T2188:T2215)</f>
        <v/>
      </c>
    </row>
    <row r="2227">
      <c r="A2227" t="inlineStr">
        <is>
          <t>Normal-Only Total DPS (this block's swept value)</t>
        </is>
      </c>
      <c r="B2227">
        <f>SUM(V2188:V2215)</f>
        <v/>
      </c>
    </row>
    <row r="2228">
      <c r="A2228" s="6" t="inlineStr">
        <is>
          <t>TOTAL DPS</t>
        </is>
      </c>
      <c r="B2228" s="6">
        <f>SUM(O2188:O2215)</f>
        <v/>
      </c>
    </row>
    <row r="2231">
      <c r="A2231" s="6" t="inlineStr">
        <is>
          <t>Stat: Soul Pouch (Equip)</t>
        </is>
      </c>
    </row>
    <row r="2232">
      <c r="A2232" s="5" t="inlineStr">
        <is>
          <t>Key</t>
        </is>
      </c>
      <c r="B2232" s="5" t="inlineStr">
        <is>
          <t>Name</t>
        </is>
      </c>
      <c r="C2232" s="5" t="inlineStr">
        <is>
          <t>Unlocked</t>
        </is>
      </c>
      <c r="D2232" s="5" t="inlineStr">
        <is>
          <t>InputLevel</t>
        </is>
      </c>
      <c r="E2232" s="5" t="inlineStr">
        <is>
          <t>Factor</t>
        </is>
      </c>
      <c r="F2232" s="5" t="inlineStr">
        <is>
          <t>CoefficientPercent</t>
        </is>
      </c>
      <c r="G2232" s="5" t="inlineStr">
        <is>
          <t>EffectiveHits</t>
        </is>
      </c>
      <c r="H2232" s="5" t="inlineStr">
        <is>
          <t>ProcProbability</t>
        </is>
      </c>
      <c r="I2232" s="5" t="inlineStr">
        <is>
          <t>MapleHeroMultiplier</t>
        </is>
      </c>
      <c r="J2232" s="5" t="inlineStr">
        <is>
          <t>BaseDamage</t>
        </is>
      </c>
      <c r="K2232" s="5" t="inlineStr">
        <is>
          <t>BaseHitDamage</t>
        </is>
      </c>
      <c r="L2232" s="5" t="inlineStr">
        <is>
          <t>NonCritAvg</t>
        </is>
      </c>
      <c r="M2232" s="5" t="inlineStr">
        <is>
          <t>CritAvg</t>
        </is>
      </c>
      <c r="N2232" s="5" t="inlineStr">
        <is>
          <t>ExpectedDamage(perHit)</t>
        </is>
      </c>
      <c r="O2232" s="5" t="inlineStr">
        <is>
          <t>DPS</t>
        </is>
      </c>
      <c r="P2232" s="5" t="inlineStr">
        <is>
          <t>% of Total</t>
        </is>
      </c>
      <c r="Q2232" s="5" t="inlineStr">
        <is>
          <t>InvCooldown</t>
        </is>
      </c>
      <c r="R2232" s="5" t="inlineStr">
        <is>
          <t>CastsInFight</t>
        </is>
      </c>
      <c r="S2232" s="5" t="inlineStr">
        <is>
          <t>HitRate(perSec)</t>
        </is>
      </c>
      <c r="U2232" t="inlineStr">
        <is>
          <t>helpers</t>
        </is>
      </c>
    </row>
    <row r="2233">
      <c r="A2233">
        <f>Skills!A2</f>
        <v/>
      </c>
      <c r="B2233">
        <f>Skills!B2</f>
        <v/>
      </c>
      <c r="C2233">
        <f>Inputs!$B$3&gt;=100</f>
        <v/>
      </c>
      <c r="D2233" t="inlineStr"/>
      <c r="E2233" t="inlineStr"/>
      <c r="F2233">
        <f>U2235+Skills!O2</f>
        <v/>
      </c>
      <c r="G2233">
        <f>Skills!G2*IF(Skills!H2&gt;0,Skills!I2/Skills!H2,1)</f>
        <v/>
      </c>
      <c r="H2233">
        <f>1-(1-Skills!J2/100)^Skills!K2</f>
        <v/>
      </c>
      <c r="I2233" t="inlineStr">
        <is>
          <t>1</t>
        </is>
      </c>
      <c r="J2233">
        <f>((Inputs!$B$6*(1+Inputs!$B$7/100))+(((Inputs!$B$12*(1+Inputs!$B$13/100))-(Inputs!$B$12*(1+Inputs!$B$13/100)))+0.25*(Inputs!$B$14-Inputs!$B$14))*(1+Inputs!$B$7/100))*(F2233/100)</f>
        <v/>
      </c>
      <c r="K2233">
        <f>J2233*(1+((Inputs!$B$12*(1+Inputs!$B$13/100))*0.01+Inputs!$B$14*0.0025)/100)*(1+Inputs!$B$15/100)*(1+Inputs!$B$16/100)*(5000/(6000+Inputs!$B$42*(1-(100*(1-(1-(Inputs!$B$19+0)/100)*(1-CHOOSE(ArtifactsInput!$N$40+1,5,6,7,8,9,10)/100)^(ArtifactsInput!$M$40-ArtifactsInput!$M$40)))/100)))*(1+(Inputs!$B$24+((C2255=TRUE)*(F2255-Calc!F24))+((C2256=TRUE)*(F2256-Calc!F25))+B2269)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IF(ArtifactsInput!$M$29,FALSE,TRUE)-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EMPOWERED_PIERCING_ARROW",Inputs!$B$17+((C2253=TRUE)*(F2253-Calc!F22))+(((IF(AND(ArtifactsInput!$M$42,((Inputs!$B$9+((C2250=TRUE)*(F2250-Calc!F19))+B2263+(ArtifactsInput!$M$24-ArtifactsInput!$M$24)*CHOOSE(ArtifactsInput!$N$24+1,10,12,14,16,18,20)+IF(ArtifactsInput!$M$10,CHOOSE(ArtifactsInput!$N$10+1,15,18,21,24,27,30)*(IF(Inputs!$B$38="pvp",MIN(15,15)/15,IF(AND(Inputs!$B$38&lt;&gt;"pvp",Inputs!$B$43&gt;0),MIN(15,Inputs!$B$43)/(Inputs!$B$43),0))),0)))&gt;=100),MIN(100,((Inputs!$B$9+((C2250=TRUE)*(F2250-Calc!F19))+B2263+(ArtifactsInput!$M$24-ArtifactsInput!$M$24)*CHOOSE(ArtifactsInput!$N$24+1,10,12,14,16,18,20)+IF(ArtifactsInput!$M$10,CHOOSE(ArtifactsInput!$N$10+1,15,18,21,24,27,30)*(IF(Inputs!$B$38="pvp",MIN(15,15)/15,IF(AND(Inputs!$B$38&lt;&gt;"pvp",Inputs!$B$43&gt;0),MIN(15,Inputs!$B$43)/(Inputs!$B$43),0))),0)))-100),0))*CHOOSE(ArtifactsInput!$N$42+1,0.6,0.72,0.84,0.96,1.08,1.2))),Inputs!$B$18+((C2258=TRUE)*(F2258-Calc!F27))+(IF(AND(ArtifactsInput!$M$42,((Inputs!$B$9+((C2250=TRUE)*(F2250-Calc!F19))+B2263+(ArtifactsInput!$M$24-ArtifactsInput!$M$24)*CHOOSE(ArtifactsInput!$N$24+1,10,12,14,16,18,20)+IF(ArtifactsInput!$M$10,CHOOSE(ArtifactsInput!$N$10+1,15,18,21,24,27,30)*(IF(Inputs!$B$38="pvp",MIN(15,15)/15,IF(AND(Inputs!$B$38&lt;&gt;"pvp",Inputs!$B$43&gt;0),MIN(15,Inputs!$B$43)/(Inputs!$B$43),0))),0)))&gt;=100),CHOOSE(ArtifactsInput!$N$42+1,40,48,56,64,72,80),0))))/100)*((1+(((C2244=TRUE)*F2244)+((C2245=TRUE)*IF(Inputs!$B$38="pvp",F2245,(1-Summary!$B$11)*(F2245)+Summary!$B$11*(0)))+((C2246=TRUE)*F2246*IF(AND(Inputs!$B$38&lt;&gt;"pvp",Inputs!$B$43&gt;0),(((R2246-1)*(Skills!T15*(1+Inputs!$B$34/100))+MIN((Skills!T15*(1+Inputs!$B$34/100)),MAX(0,Inputs!$B$43-((R2246-1)*Skills!D15))))/Inputs!$B$43),IF(Inputs!$B$38="pvp",MIN((Skills!T15*(1+Inputs!$B$34/100)),15)/15,(Skills!T15*(1+Inputs!$B$34/100))/Skills!D15)))+((C2243=TRUE)*F2243)+((C2260=TRUE)*(F2260-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2233)</f>
        <v/>
      </c>
      <c r="L2233">
        <f>K2233*(MIN(Inputs!$B$22+((C2254=TRUE)*(F2254-Calc!F23)),(Inputs!$B$23+((C2259=TRUE)*(F2259-Calc!F28))+(IF(ArtifactsInput!$M$15,CHOOSE(ArtifactsInput!$N$15+1,25,30,35,40,45,50)/100*(Inputs!$B$11-Inputs!$B$11),0))))/100+(Inputs!$B$23+((C2259=TRUE)*(F2259-Calc!F28))+(IF(ArtifactsInput!$M$15,CHOOSE(ArtifactsInput!$N$15+1,25,30,35,40,45,50)/100*(Inputs!$B$11-Inputs!$B$11),0)))/100)/2</f>
        <v/>
      </c>
      <c r="M2233">
        <f>L2233*(1+(Inputs!$B$10+0+B2268+(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233">
        <f>L2233*(1-MIN((Inputs!$B$9+((C2250=TRUE)*(F2250-Calc!F19))+B2263+(ArtifactsInput!$M$24-ArtifactsInput!$M$24)*CHOOSE(ArtifactsInput!$N$24+1,10,12,14,16,18,20)+(IF(AND(ArtifactsInput!$M$42,((Inputs!$B$9+((C2250=TRUE)*(F2250-Calc!F19))+B2263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2233*(MIN((Inputs!$B$9+((C2250=TRUE)*(F2250-Calc!F19))+B2263+(ArtifactsInput!$M$24-ArtifactsInput!$M$24)*CHOOSE(ArtifactsInput!$N$24+1,10,12,14,16,18,20)+(IF(AND(ArtifactsInput!$M$42,((Inputs!$B$9+((C2250=TRUE)*(F2250-Calc!F19))+B2263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233">
        <f>(1-Summary!$B$11)*T2233+Summary!$B$11*V2233</f>
        <v/>
      </c>
      <c r="P2233">
        <f>IF(B2273=0,0,O2233/B2273)</f>
        <v/>
      </c>
      <c r="Q2233" t="n">
        <v>0</v>
      </c>
      <c r="R2233" t="n">
        <v>0</v>
      </c>
      <c r="S2233">
        <f>IFERROR((Skills!G2*N2233*B2267)/N2233*IF(Inputs!$B$38="pvp",1,(1-Summary!$B$11)*1+Summary!$B$11*(MIN((6+Inputs!$B$33),Inputs!$B$37))),0)</f>
        <v/>
      </c>
      <c r="T2233">
        <f>IF(C2233,(Skills!G2*N2233*B2267)*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Hunt"),CHOOSE(ArtifactsInput!$N$35+1,15,18,21,24,27,30)*(1-EXP(-(0.2*B2265)*5)),0)+IF(AND(ArtifactsInput!$M$22,Inputs!$B$4&lt;&gt;"Chapter Hunt"),CHOOSE(ArtifactsInput!$N$22+1,10,12,14,16,18,20)*((0*(((0.15*B2265*5))^0/1)+1*(((0.15*B2265*5))^1/1)+2*(((0.15*B2265*5))^2/2)+3*(((0.15*B2265*5))^3/6)+4*(((0.15*B2265*5))^4/24)+5*(((0.15*B2265*5))^5/120))/((((0.15*B2265*5))^0/1)+(((0.15*B2265*5))^1/1)+(((0.15*B2265*5))^2/2)+(((0.15*B2265*5))^3/6)+(((0.15*B2265*5))^4/24)+(((0.15*B2265*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2233*(1-MIN(100,(Inputs!$B$9+((C2250=TRUE)*(F2250-Calc!F19))+B2263+(ArtifactsInput!$M$24-ArtifactsInput!$M$24)*CHOOSE(ArtifactsInput!$N$24+1,10,12,14,16,18,20)+(IF(AND(ArtifactsInput!$M$42,((Inputs!$B$9+((C2250=TRUE)*(F2250-Calc!F19))+B2263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2233*(MIN(100,(Inputs!$B$9+((C2250=TRUE)*(F2250-Calc!F19))+B2263+(ArtifactsInput!$M$24-ArtifactsInput!$M$24)*CHOOSE(ArtifactsInput!$N$24+1,10,12,14,16,18,20)+(IF(AND(ArtifactsInput!$M$42,((Inputs!$B$9+((C2250=TRUE)*(F2250-Calc!F19))+B2263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2233*(1-MIN(100,(Inputs!$B$9+((C2250=TRUE)*(F2250-Calc!F19))+B2263+(ArtifactsInput!$M$24-ArtifactsInput!$M$24)*CHOOSE(ArtifactsInput!$N$24+1,10,12,14,16,18,20)+(IF(AND(ArtifactsInput!$M$42,((Inputs!$B$9+((C2250=TRUE)*(F2250-Calc!F19))+B2263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2233*(MIN(100,(Inputs!$B$9+((C2250=TRUE)*(F2250-Calc!F19))+B2263+(ArtifactsInput!$M$24-ArtifactsInput!$M$24)*CHOOSE(ArtifactsInput!$N$24+1,10,12,14,16,18,20)+(IF(AND(ArtifactsInput!$M$42,((Inputs!$B$9+((C2250=TRUE)*(F2250-Calc!F19))+B2263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233">
        <f>MAX(0,(Inputs!$B$3-100)*3)+Inputs!$B$28+Inputs!$B$29</f>
        <v/>
      </c>
      <c r="V2233">
        <f>IF(C2233,(Skills!G2*N2233*B2267)*IF(Inputs!$B$38="pvp",1,(1+(Inputs!$B$21+Skills!Q2+(IF(ArtifactsInput!$M$33,CHOOSE(ArtifactsInput!$N$33+1,30,36,42,48,54,60),0))+(IF(AND(ArtifactsInput!$M$35,Inputs!$B$4&lt;&gt;"Chapter Hunt"),CHOOSE(ArtifactsInput!$N$35+1,15,18,21,24,27,30)*(1-EXP(-(0.2*B2265)*5)),0)+IF(AND(ArtifactsInput!$M$22,Inputs!$B$4&lt;&gt;"Chapter Hunt"),CHOOSE(ArtifactsInput!$N$22+1,10,12,14,16,18,20)*((0*(((0.15*B2265*5))^0/1)+1*(((0.15*B2265*5))^1/1)+2*(((0.15*B2265*5))^2/2)+3*(((0.15*B2265*5))^3/6)+4*(((0.15*B2265*5))^4/24)+5*(((0.15*B2265*5))^5/120))/((((0.15*B2265*5))^0/1)+(((0.15*B2265*5))^1/1)+(((0.15*B2265*5))^2/2)+(((0.15*B2265*5))^3/6)+(((0.15*B2265*5))^4/24)+(((0.15*B2265*5))^5/120)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234">
      <c r="A2234">
        <f>Skills!A3</f>
        <v/>
      </c>
      <c r="B2234">
        <f>Skills!B3</f>
        <v/>
      </c>
      <c r="C2234">
        <f>Inputs!$B$3&gt;=50</f>
        <v/>
      </c>
      <c r="D2234">
        <f>IF(Skills!C3=1,60+Inputs!$B$25+Inputs!$B$29,IF(Skills!C3=2,90+Inputs!$B$26+Inputs!$B$29,IF(Skills!C3=3,120+Inputs!$B$27+Inputs!$B$29,MAX(0,(Inputs!$B$3-100)*3)+Inputs!$B$28+Inputs!$B$29)))</f>
        <v/>
      </c>
      <c r="E2234">
        <f>INDEX(FactorTable!$B$2:$Y$301, MATCH(ROUND(MIN(300,MAX(1,D2234)),0), FactorTable!$A$2:$A$301,0), Skills!M3+1)</f>
        <v/>
      </c>
      <c r="F2234">
        <f>IF(Skills!N3=TRUE,(Skills!L3/10)*(E2234/1000),Skills!L3/10)+Skills!O3</f>
        <v/>
      </c>
      <c r="G2234" t="inlineStr"/>
      <c r="H2234" t="inlineStr"/>
      <c r="I2234" t="inlineStr">
        <is>
          <t>1</t>
        </is>
      </c>
      <c r="J2234" t="inlineStr"/>
      <c r="K2234" t="inlineStr"/>
      <c r="L2234" t="inlineStr"/>
      <c r="M2234" t="inlineStr"/>
      <c r="N2234" t="inlineStr"/>
      <c r="O2234" t="inlineStr"/>
      <c r="P2234" t="inlineStr"/>
      <c r="Q2234" t="inlineStr"/>
      <c r="R2234" t="inlineStr"/>
      <c r="S2234" t="inlineStr"/>
      <c r="T2234" t="inlineStr"/>
      <c r="U2234">
        <f>INDEX(FactorTable!$B$2:$Y$301, MATCH(ROUND(MIN(300,MAX(1,U2233)),0), FactorTable!$A$2:$A$301,0), 22)</f>
        <v/>
      </c>
      <c r="V2234" t="inlineStr"/>
    </row>
    <row r="2235">
      <c r="A2235">
        <f>Skills!A4</f>
        <v/>
      </c>
      <c r="B2235">
        <f>Skills!B4</f>
        <v/>
      </c>
      <c r="C2235">
        <f>Inputs!$B$3&gt;=105</f>
        <v/>
      </c>
      <c r="D2235">
        <f>IF(Skills!C4=1,60+Inputs!$B$25+Inputs!$B$29,IF(Skills!C4=2,90+Inputs!$B$26+Inputs!$B$29,IF(Skills!C4=3,120+Inputs!$B$27+Inputs!$B$29,MAX(0,(Inputs!$B$3-100)*3)+Inputs!$B$28+Inputs!$B$29)))</f>
        <v/>
      </c>
      <c r="E2235">
        <f>INDEX(FactorTable!$B$2:$Y$301, MATCH(ROUND(MIN(300,MAX(1,D2235)),0), FactorTable!$A$2:$A$301,0), Skills!M4+1)</f>
        <v/>
      </c>
      <c r="F2235">
        <f>IF(Skills!N4=TRUE,(Skills!L4/10)*(E2235/1000),Skills!L4/10)+Skills!O4</f>
        <v/>
      </c>
      <c r="G2235" t="inlineStr"/>
      <c r="H2235" t="inlineStr"/>
      <c r="I2235" t="inlineStr">
        <is>
          <t>1</t>
        </is>
      </c>
      <c r="J2235" t="inlineStr"/>
      <c r="K2235" t="inlineStr"/>
      <c r="L2235" t="inlineStr"/>
      <c r="M2235" t="inlineStr"/>
      <c r="N2235" t="inlineStr"/>
      <c r="O2235" t="inlineStr"/>
      <c r="P2235" t="inlineStr"/>
      <c r="Q2235" t="inlineStr"/>
      <c r="R2235" t="inlineStr"/>
      <c r="S2235" t="inlineStr"/>
      <c r="T2235" t="inlineStr"/>
      <c r="U2235">
        <f>290*U2234/1000</f>
        <v/>
      </c>
      <c r="V2235" t="inlineStr"/>
    </row>
    <row r="2236">
      <c r="A2236">
        <f>Skills!A5</f>
        <v/>
      </c>
      <c r="B2236">
        <f>Skills!B5</f>
        <v/>
      </c>
      <c r="C2236">
        <f>Inputs!$B$3&gt;=35</f>
        <v/>
      </c>
      <c r="D2236">
        <f>IF(Skills!C5=1,60+Inputs!$B$25+Inputs!$B$29,IF(Skills!C5=2,90+Inputs!$B$26+Inputs!$B$29,IF(Skills!C5=3,120+Inputs!$B$27+Inputs!$B$29,MAX(0,(Inputs!$B$3-100)*3)+Inputs!$B$28+Inputs!$B$29)))</f>
        <v/>
      </c>
      <c r="E2236">
        <f>INDEX(FactorTable!$B$2:$Y$301, MATCH(ROUND(MIN(300,MAX(1,D2236)),0), FactorTable!$A$2:$A$301,0), Skills!M5+1)</f>
        <v/>
      </c>
      <c r="F2236">
        <f>IF(Skills!N5=TRUE,(Skills!L5/10)*(E2236/1000),Skills!L5/10)+Skills!O5</f>
        <v/>
      </c>
      <c r="G2236">
        <f>Skills!G5*IF(Skills!H5&gt;0,Skills!I5/Skills!H5,1)</f>
        <v/>
      </c>
      <c r="H2236">
        <f>1-(1-Skills!J5/100)^Skills!K5</f>
        <v/>
      </c>
      <c r="I2236" t="inlineStr">
        <is>
          <t>1</t>
        </is>
      </c>
      <c r="J2236">
        <f>((Inputs!$B$6*(1+Inputs!$B$7/100))+(((Inputs!$B$12*(1+Inputs!$B$13/100))-(Inputs!$B$12*(1+Inputs!$B$13/100)))+0.25*(Inputs!$B$14-Inputs!$B$14))*(1+Inputs!$B$7/100))*(F2236/100)</f>
        <v/>
      </c>
      <c r="K2236">
        <f>J2236*(1+((Inputs!$B$12*(1+Inputs!$B$13/100))*0.01+Inputs!$B$14*0.0025)/100)*(1+Inputs!$B$15/100)*(1+Inputs!$B$16/100)*(5000/(6000+Inputs!$B$42*(1-(100*(1-(1-(Inputs!$B$19+0)/100)*(1-CHOOSE(ArtifactsInput!$N$40+1,5,6,7,8,9,10)/100)^(ArtifactsInput!$M$40-ArtifactsInput!$M$40)))/100)))*(1+(Inputs!$B$24+((C2255=TRUE)*(F2255-Calc!F24))+((C2256=TRUE)*(F2256-Calc!F25))+B2269)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IF(ArtifactsInput!$M$29,FALSE,TRUE)-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2239=TRUE,F2239,0)/100)*(1+(IF(Skills!A5="EMPOWERED_PIERCING_ARROW",Inputs!$B$17+((C2253=TRUE)*(F2253-Calc!F22))+(((IF(AND(ArtifactsInput!$M$42,((Inputs!$B$9+((C2250=TRUE)*(F2250-Calc!F19))+B2263+(ArtifactsInput!$M$24-ArtifactsInput!$M$24)*CHOOSE(ArtifactsInput!$N$24+1,10,12,14,16,18,20)+IF(ArtifactsInput!$M$10,CHOOSE(ArtifactsInput!$N$10+1,15,18,21,24,27,30)*(IF(Inputs!$B$38="pvp",MIN(15,15)/15,IF(AND(Inputs!$B$38&lt;&gt;"pvp",Inputs!$B$43&gt;0),MIN(15,Inputs!$B$43)/(Inputs!$B$43),0))),0)))&gt;=100),MIN(100,((Inputs!$B$9+((C2250=TRUE)*(F2250-Calc!F19))+B2263+(ArtifactsInput!$M$24-ArtifactsInput!$M$24)*CHOOSE(ArtifactsInput!$N$24+1,10,12,14,16,18,20)+IF(ArtifactsInput!$M$10,CHOOSE(ArtifactsInput!$N$10+1,15,18,21,24,27,30)*(IF(Inputs!$B$38="pvp",MIN(15,15)/15,IF(AND(Inputs!$B$38&lt;&gt;"pvp",Inputs!$B$43&gt;0),MIN(15,Inputs!$B$43)/(Inputs!$B$43),0))),0)))-100),0))*CHOOSE(ArtifactsInput!$N$42+1,0.6,0.72,0.84,0.96,1.08,1.2))),Inputs!$B$18+((C2258=TRUE)*(F2258-Calc!F27))+(IF(AND(ArtifactsInput!$M$42,((Inputs!$B$9+((C2250=TRUE)*(F2250-Calc!F19))+B2263+(ArtifactsInput!$M$24-ArtifactsInput!$M$24)*CHOOSE(ArtifactsInput!$N$24+1,10,12,14,16,18,20)+IF(ArtifactsInput!$M$10,CHOOSE(ArtifactsInput!$N$10+1,15,18,21,24,27,30)*(IF(Inputs!$B$38="pvp",MIN(15,15)/15,IF(AND(Inputs!$B$38&lt;&gt;"pvp",Inputs!$B$43&gt;0),MIN(15,Inputs!$B$43)/(Inputs!$B$43),0))),0)))&gt;=100),CHOOSE(ArtifactsInput!$N$42+1,40,48,56,64,72,80),0))))/100)*((1+(((C2244=TRUE)*F2244)+((C2245=TRUE)*IF(Inputs!$B$38="pvp",F2245,(1-Summary!$B$11)*(F2245)+Summary!$B$11*(0)))+((C2246=TRUE)*F2246*IF(AND(Inputs!$B$38&lt;&gt;"pvp",Inputs!$B$43&gt;0),(((R2246-1)*(Skills!T15*(1+Inputs!$B$34/100))+MIN((Skills!T15*(1+Inputs!$B$34/100)),MAX(0,Inputs!$B$43-((R2246-1)*Skills!D15))))/Inputs!$B$43),IF(Inputs!$B$38="pvp",MIN((Skills!T15*(1+Inputs!$B$34/100)),15)/15,(Skills!T15*(1+Inputs!$B$34/100))/Skills!D15)))+((C2243=TRUE)*F2243)+((C2260=TRUE)*(F2260-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2236)</f>
        <v/>
      </c>
      <c r="L2236">
        <f>K2236*(MIN(Inputs!$B$22+((C2254=TRUE)*(F2254-Calc!F23)),(Inputs!$B$23+((C2259=TRUE)*(F2259-Calc!F28))+(IF(ArtifactsInput!$M$15,CHOOSE(ArtifactsInput!$N$15+1,25,30,35,40,45,50)/100*(Inputs!$B$11-Inputs!$B$11),0))))/100+(Inputs!$B$23+((C2259=TRUE)*(F2259-Calc!F28))+(IF(ArtifactsInput!$M$15,CHOOSE(ArtifactsInput!$N$15+1,25,30,35,40,45,50)/100*(Inputs!$B$11-Inputs!$B$11),0)))/100)/2</f>
        <v/>
      </c>
      <c r="M2236">
        <f>L2236*(1+(Inputs!$B$10+0+B2268+(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236">
        <f>L2236*(1-MIN((Inputs!$B$9+((C2250=TRUE)*(F2250-Calc!F19))+B2263+(ArtifactsInput!$M$24-ArtifactsInput!$M$24)*CHOOSE(ArtifactsInput!$N$24+1,10,12,14,16,18,20)+(IF(AND(ArtifactsInput!$M$42,((Inputs!$B$9+((C2250=TRUE)*(F2250-Calc!F19))+B2263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2236*(MIN((Inputs!$B$9+((C2250=TRUE)*(F2250-Calc!F19))+B2263+(ArtifactsInput!$M$24-ArtifactsInput!$M$24)*CHOOSE(ArtifactsInput!$N$24+1,10,12,14,16,18,20)+(IF(AND(ArtifactsInput!$M$42,((Inputs!$B$9+((C2250=TRUE)*(F2250-Calc!F19))+B2263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236">
        <f>(1-Summary!$B$11)*T2236+Summary!$B$11*V2236</f>
        <v/>
      </c>
      <c r="P2236">
        <f>IF(B2273=0,0,O2236/B2273)</f>
        <v/>
      </c>
      <c r="Q2236">
        <f>IFERROR(1/IF(Inputs!$B$38="pvp",15,MAX(0.1,Skills!D5-IF(Skills!E5=TRUE,Inputs!$B$32,0))),0)</f>
        <v/>
      </c>
      <c r="R2236">
        <f>IF(AND(Inputs!$B$38&lt;&gt;"pvp",Inputs!$B$43&gt;0),IF(MAX(0,Inputs!$B$43-B2270)&lt;=0,0,(INT(MAX(0,Inputs!$B$43-B2270)/IF(Inputs!$B$38="pvp",15,MAX(0.1,Skills!D5-IF(Skills!E5=TRUE,Inputs!$B$32,0))))+1)),0)</f>
        <v/>
      </c>
      <c r="S2236">
        <f>IFERROR((H2236*N2236*IF(AND(Inputs!$B$38&lt;&gt;"pvp",Inputs!$B$43&gt;0),((Skills!G5*((R2236-1)*IF(Skills!H5&gt;0,Skills!I5/Skills!H5,1)+IF(Skills!H5&gt;0,MIN(Skills!I5,MAX(0,MAX(0,Inputs!$B$43-B2270)-((R2236-1)*IF(Inputs!$B$38="pvp",15,MAX(0.1,Skills!D5-IF(Skills!E5=TRUE,Inputs!$B$32,0))))))/Skills!H5,1)))/Inputs!$B$43),G2236*Q2236))/N2236*IF(Inputs!$B$38="pvp",1,(1-Summary!$B$11)*1+Summary!$B$11*(MIN(Skills!R5,Inputs!$B$37))),0)</f>
        <v/>
      </c>
      <c r="T2236">
        <f>IF(C2236,(H2236*N2236*IF(AND(Inputs!$B$38&lt;&gt;"pvp",Inputs!$B$43&gt;0),((Skills!G5*((R2236-1)*IF(Skills!H5&gt;0,Skills!I5/Skills!H5,1)+IF(Skills!H5&gt;0,MIN(Skills!I5,MAX(0,MAX(0,Inputs!$B$43-B2270)-((R2236-1)*IF(Inputs!$B$38="pvp",15,MAX(0.1,Skills!D5-IF(Skills!E5=TRUE,Inputs!$B$32,0))))))/Skills!H5,1)))/Inputs!$B$43),G2236*Q2236))*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Hunt"),CHOOSE(ArtifactsInput!$N$35+1,15,18,21,24,27,30)*(1-EXP(-(0.2*B2265)*5)),0)+IF(AND(ArtifactsInput!$M$22,Inputs!$B$4&lt;&gt;"Chapter Hunt"),CHOOSE(ArtifactsInput!$N$22+1,10,12,14,16,18,20)*((0*(((0.15*B2265*5))^0/1)+1*(((0.15*B2265*5))^1/1)+2*(((0.15*B2265*5))^2/2)+3*(((0.15*B2265*5))^3/6)+4*(((0.15*B2265*5))^4/24)+5*(((0.15*B2265*5))^5/120))/((((0.15*B2265*5))^0/1)+(((0.15*B2265*5))^1/1)+(((0.15*B2265*5))^2/2)+(((0.15*B2265*5))^3/6)+(((0.15*B2265*5))^4/24)+(((0.15*B2265*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2236*(1-MIN(100,(Inputs!$B$9+((C2250=TRUE)*(F2250-Calc!F19))+B2263+(ArtifactsInput!$M$24-ArtifactsInput!$M$24)*CHOOSE(ArtifactsInput!$N$24+1,10,12,14,16,18,20)+(IF(AND(ArtifactsInput!$M$42,((Inputs!$B$9+((C2250=TRUE)*(F2250-Calc!F19))+B2263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2236*(MIN(100,(Inputs!$B$9+((C2250=TRUE)*(F2250-Calc!F19))+B2263+(ArtifactsInput!$M$24-ArtifactsInput!$M$24)*CHOOSE(ArtifactsInput!$N$24+1,10,12,14,16,18,20)+(IF(AND(ArtifactsInput!$M$42,((Inputs!$B$9+((C2250=TRUE)*(F2250-Calc!F19))+B2263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2236*(1-MIN(100,(Inputs!$B$9+((C2250=TRUE)*(F2250-Calc!F19))+B2263+(ArtifactsInput!$M$24-ArtifactsInput!$M$24)*CHOOSE(ArtifactsInput!$N$24+1,10,12,14,16,18,20)+(IF(AND(ArtifactsInput!$M$42,((Inputs!$B$9+((C2250=TRUE)*(F2250-Calc!F19))+B2263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2236*(MIN(100,(Inputs!$B$9+((C2250=TRUE)*(F2250-Calc!F19))+B2263+(ArtifactsInput!$M$24-ArtifactsInput!$M$24)*CHOOSE(ArtifactsInput!$N$24+1,10,12,14,16,18,20)+(IF(AND(ArtifactsInput!$M$42,((Inputs!$B$9+((C2250=TRUE)*(F2250-Calc!F19))+B2263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236">
        <f>IF(C2236,(H2236*N2236*IF(AND(Inputs!$B$38&lt;&gt;"pvp",Inputs!$B$43&gt;0),((Skills!G5*((R2236-1)*IF(Skills!H5&gt;0,Skills!I5/Skills!H5,1)+IF(Skills!H5&gt;0,MIN(Skills!I5,MAX(0,MAX(0,Inputs!$B$43-B2270)-((R2236-1)*IF(Inputs!$B$38="pvp",15,MAX(0.1,Skills!D5-IF(Skills!E5=TRUE,Inputs!$B$32,0))))))/Skills!H5,1)))/Inputs!$B$43),G2236*Q2236))*IF(Inputs!$B$38="pvp",1,(1+(Inputs!$B$21+Skills!Q5+(IF(ArtifactsInput!$M$33,CHOOSE(ArtifactsInput!$N$33+1,30,36,42,48,54,60),0))+(IF(AND(ArtifactsInput!$M$35,Inputs!$B$4&lt;&gt;"Chapter Hunt"),CHOOSE(ArtifactsInput!$N$35+1,15,18,21,24,27,30)*(1-EXP(-(0.2*B2265)*5)),0)+IF(AND(ArtifactsInput!$M$22,Inputs!$B$4&lt;&gt;"Chapter Hunt"),CHOOSE(ArtifactsInput!$N$22+1,10,12,14,16,18,20)*((0*(((0.15*B2265*5))^0/1)+1*(((0.15*B2265*5))^1/1)+2*(((0.15*B2265*5))^2/2)+3*(((0.15*B2265*5))^3/6)+4*(((0.15*B2265*5))^4/24)+5*(((0.15*B2265*5))^5/120))/((((0.15*B2265*5))^0/1)+(((0.15*B2265*5))^1/1)+(((0.15*B2265*5))^2/2)+(((0.15*B2265*5))^3/6)+(((0.15*B2265*5))^4/24)+(((0.15*B2265*5))^5/120)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237">
      <c r="A2237">
        <f>Skills!A6</f>
        <v/>
      </c>
      <c r="B2237">
        <f>Skills!B6</f>
        <v/>
      </c>
      <c r="C2237">
        <f>Inputs!$B$3&gt;=63</f>
        <v/>
      </c>
      <c r="D2237">
        <f>IF(Skills!C6=1,60+Inputs!$B$25+Inputs!$B$29,IF(Skills!C6=2,90+Inputs!$B$26+Inputs!$B$29,IF(Skills!C6=3,120+Inputs!$B$27+Inputs!$B$29,MAX(0,(Inputs!$B$3-100)*3)+Inputs!$B$28+Inputs!$B$29)))</f>
        <v/>
      </c>
      <c r="E2237">
        <f>INDEX(FactorTable!$B$2:$Y$301, MATCH(ROUND(MIN(300,MAX(1,D2237)),0), FactorTable!$A$2:$A$301,0), Skills!M6+1)</f>
        <v/>
      </c>
      <c r="F2237">
        <f>IF(Skills!N6=TRUE,(Skills!L6/10)*(E2237/1000),Skills!L6/10)+Skills!O6</f>
        <v/>
      </c>
      <c r="G2237">
        <f>Skills!G6*IF(Skills!H6&gt;0,Skills!I6/Skills!H6,1)</f>
        <v/>
      </c>
      <c r="H2237">
        <f>1-(1-Skills!J6/100)^Skills!K6</f>
        <v/>
      </c>
      <c r="I2237" t="inlineStr">
        <is>
          <t>1</t>
        </is>
      </c>
      <c r="J2237">
        <f>((Inputs!$B$6*(1+Inputs!$B$7/100))+(((Inputs!$B$12*(1+Inputs!$B$13/100))-(Inputs!$B$12*(1+Inputs!$B$13/100)))+0.25*(Inputs!$B$14-Inputs!$B$14))*(1+Inputs!$B$7/100))*(F2237/100)</f>
        <v/>
      </c>
      <c r="K2237">
        <f>J2237*(1+((Inputs!$B$12*(1+Inputs!$B$13/100))*0.01+Inputs!$B$14*0.0025)/100)*(1+Inputs!$B$15/100)*(1+Inputs!$B$16/100)*(5000/(6000+Inputs!$B$42*(1-(100*(1-(1-(Inputs!$B$19+0)/100)*(1-CHOOSE(ArtifactsInput!$N$40+1,5,6,7,8,9,10)/100)^(ArtifactsInput!$M$40-ArtifactsInput!$M$40)))/100)))*(1+(Inputs!$B$24+((C2255=TRUE)*(F2255-Calc!F24))+((C2256=TRUE)*(F2256-Calc!F25))+B2269)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IF(ArtifactsInput!$M$29,FALSE,TRUE)-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2239=TRUE,F2239,0)/100)*(1+(IF(Skills!A6="EMPOWERED_PIERCING_ARROW",Inputs!$B$17+((C2253=TRUE)*(F2253-Calc!F22))+(((IF(AND(ArtifactsInput!$M$42,((Inputs!$B$9+((C2250=TRUE)*(F2250-Calc!F19))+B2263+(ArtifactsInput!$M$24-ArtifactsInput!$M$24)*CHOOSE(ArtifactsInput!$N$24+1,10,12,14,16,18,20)+IF(ArtifactsInput!$M$10,CHOOSE(ArtifactsInput!$N$10+1,15,18,21,24,27,30)*(IF(Inputs!$B$38="pvp",MIN(15,15)/15,IF(AND(Inputs!$B$38&lt;&gt;"pvp",Inputs!$B$43&gt;0),MIN(15,Inputs!$B$43)/(Inputs!$B$43),0))),0)))&gt;=100),MIN(100,((Inputs!$B$9+((C2250=TRUE)*(F2250-Calc!F19))+B2263+(ArtifactsInput!$M$24-ArtifactsInput!$M$24)*CHOOSE(ArtifactsInput!$N$24+1,10,12,14,16,18,20)+IF(ArtifactsInput!$M$10,CHOOSE(ArtifactsInput!$N$10+1,15,18,21,24,27,30)*(IF(Inputs!$B$38="pvp",MIN(15,15)/15,IF(AND(Inputs!$B$38&lt;&gt;"pvp",Inputs!$B$43&gt;0),MIN(15,Inputs!$B$43)/(Inputs!$B$43),0))),0)))-100),0))*CHOOSE(ArtifactsInput!$N$42+1,0.6,0.72,0.84,0.96,1.08,1.2))),Inputs!$B$18+((C2258=TRUE)*(F2258-Calc!F27))+(IF(AND(ArtifactsInput!$M$42,((Inputs!$B$9+((C2250=TRUE)*(F2250-Calc!F19))+B2263+(ArtifactsInput!$M$24-ArtifactsInput!$M$24)*CHOOSE(ArtifactsInput!$N$24+1,10,12,14,16,18,20)+IF(ArtifactsInput!$M$10,CHOOSE(ArtifactsInput!$N$10+1,15,18,21,24,27,30)*(IF(Inputs!$B$38="pvp",MIN(15,15)/15,IF(AND(Inputs!$B$38&lt;&gt;"pvp",Inputs!$B$43&gt;0),MIN(15,Inputs!$B$43)/(Inputs!$B$43),0))),0)))&gt;=100),CHOOSE(ArtifactsInput!$N$42+1,40,48,56,64,72,80),0))))/100)*((1+(((C2244=TRUE)*F2244)+((C2245=TRUE)*IF(Inputs!$B$38="pvp",F2245,(1-Summary!$B$11)*(F2245)+Summary!$B$11*(0)))+((C2246=TRUE)*F2246*IF(AND(Inputs!$B$38&lt;&gt;"pvp",Inputs!$B$43&gt;0),(((R2246-1)*(Skills!T15*(1+Inputs!$B$34/100))+MIN((Skills!T15*(1+Inputs!$B$34/100)),MAX(0,Inputs!$B$43-((R2246-1)*Skills!D15))))/Inputs!$B$43),IF(Inputs!$B$38="pvp",MIN((Skills!T15*(1+Inputs!$B$34/100)),15)/15,(Skills!T15*(1+Inputs!$B$34/100))/Skills!D15)))+((C2243=TRUE)*F2243)+((C2260=TRUE)*(F2260-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2237)</f>
        <v/>
      </c>
      <c r="L2237">
        <f>K2237*(MIN(Inputs!$B$22+((C2254=TRUE)*(F2254-Calc!F23)),(Inputs!$B$23+((C2259=TRUE)*(F2259-Calc!F28))+(IF(ArtifactsInput!$M$15,CHOOSE(ArtifactsInput!$N$15+1,25,30,35,40,45,50)/100*(Inputs!$B$11-Inputs!$B$11),0))))/100+(Inputs!$B$23+((C2259=TRUE)*(F2259-Calc!F28))+(IF(ArtifactsInput!$M$15,CHOOSE(ArtifactsInput!$N$15+1,25,30,35,40,45,50)/100*(Inputs!$B$11-Inputs!$B$11),0)))/100)/2</f>
        <v/>
      </c>
      <c r="M2237">
        <f>L2237*(1+(Inputs!$B$10+0+B2268+(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237">
        <f>L2237*(1-MIN((Inputs!$B$9+((C2250=TRUE)*(F2250-Calc!F19))+B2263+(ArtifactsInput!$M$24-ArtifactsInput!$M$24)*CHOOSE(ArtifactsInput!$N$24+1,10,12,14,16,18,20)+(IF(AND(ArtifactsInput!$M$42,((Inputs!$B$9+((C2250=TRUE)*(F2250-Calc!F19))+B2263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2237*(MIN((Inputs!$B$9+((C2250=TRUE)*(F2250-Calc!F19))+B2263+(ArtifactsInput!$M$24-ArtifactsInput!$M$24)*CHOOSE(ArtifactsInput!$N$24+1,10,12,14,16,18,20)+(IF(AND(ArtifactsInput!$M$42,((Inputs!$B$9+((C2250=TRUE)*(F2250-Calc!F19))+B2263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237">
        <f>(1-Summary!$B$11)*T2237+Summary!$B$11*V2237</f>
        <v/>
      </c>
      <c r="P2237">
        <f>IF(B2273=0,0,O2237/B2273)</f>
        <v/>
      </c>
      <c r="Q2237">
        <f>IFERROR(1/IF(Inputs!$B$38="pvp",15,MAX(0.1,Skills!D6-IF(Skills!E6=TRUE,Inputs!$B$32,0))),0)</f>
        <v/>
      </c>
      <c r="R2237">
        <f>IF(AND(Inputs!$B$38&lt;&gt;"pvp",Inputs!$B$43&gt;0),IF(MAX(0,Inputs!$B$43-B2270)&lt;=0,0,(INT(MAX(0,Inputs!$B$43-B2270)/IF(Inputs!$B$38="pvp",15,MAX(0.1,Skills!D6-IF(Skills!E6=TRUE,Inputs!$B$32,0))))+1)),0)</f>
        <v/>
      </c>
      <c r="S2237">
        <f>IFERROR((H2237*N2237*IF(AND(Inputs!$B$38&lt;&gt;"pvp",Inputs!$B$43&gt;0),((Skills!G6*((R2237-1)*IF(Skills!H6&gt;0,Skills!I6/Skills!H6,1)+IF(Skills!H6&gt;0,MIN(Skills!I6,MAX(0,MAX(0,Inputs!$B$43-B2270)-((R2237-1)*IF(Inputs!$B$38="pvp",15,MAX(0.1,Skills!D6-IF(Skills!E6=TRUE,Inputs!$B$32,0))))))/Skills!H6,1)))/Inputs!$B$43),G2237*Q2237))/N2237*IF(Inputs!$B$38="pvp",1,(1-Summary!$B$11)*1+Summary!$B$11*(MIN(Skills!R6,Inputs!$B$37))),0)</f>
        <v/>
      </c>
      <c r="T2237">
        <f>IF(C2237,(H2237*N2237*IF(AND(Inputs!$B$38&lt;&gt;"pvp",Inputs!$B$43&gt;0),((Skills!G6*((R2237-1)*IF(Skills!H6&gt;0,Skills!I6/Skills!H6,1)+IF(Skills!H6&gt;0,MIN(Skills!I6,MAX(0,MAX(0,Inputs!$B$43-B2270)-((R2237-1)*IF(Inputs!$B$38="pvp",15,MAX(0.1,Skills!D6-IF(Skills!E6=TRUE,Inputs!$B$32,0))))))/Skills!H6,1)))/Inputs!$B$43),G2237*Q2237))*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Hunt"),CHOOSE(ArtifactsInput!$N$35+1,15,18,21,24,27,30)*(1-EXP(-(0.2*B2265)*5)),0)+IF(AND(ArtifactsInput!$M$22,Inputs!$B$4&lt;&gt;"Chapter Hunt"),CHOOSE(ArtifactsInput!$N$22+1,10,12,14,16,18,20)*((0*(((0.15*B2265*5))^0/1)+1*(((0.15*B2265*5))^1/1)+2*(((0.15*B2265*5))^2/2)+3*(((0.15*B2265*5))^3/6)+4*(((0.15*B2265*5))^4/24)+5*(((0.15*B2265*5))^5/120))/((((0.15*B2265*5))^0/1)+(((0.15*B2265*5))^1/1)+(((0.15*B2265*5))^2/2)+(((0.15*B2265*5))^3/6)+(((0.15*B2265*5))^4/24)+(((0.15*B2265*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2237*(1-MIN(100,(Inputs!$B$9+((C2250=TRUE)*(F2250-Calc!F19))+B2263+(ArtifactsInput!$M$24-ArtifactsInput!$M$24)*CHOOSE(ArtifactsInput!$N$24+1,10,12,14,16,18,20)+(IF(AND(ArtifactsInput!$M$42,((Inputs!$B$9+((C2250=TRUE)*(F2250-Calc!F19))+B2263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2237*(MIN(100,(Inputs!$B$9+((C2250=TRUE)*(F2250-Calc!F19))+B2263+(ArtifactsInput!$M$24-ArtifactsInput!$M$24)*CHOOSE(ArtifactsInput!$N$24+1,10,12,14,16,18,20)+(IF(AND(ArtifactsInput!$M$42,((Inputs!$B$9+((C2250=TRUE)*(F2250-Calc!F19))+B2263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2237*(1-MIN(100,(Inputs!$B$9+((C2250=TRUE)*(F2250-Calc!F19))+B2263+(ArtifactsInput!$M$24-ArtifactsInput!$M$24)*CHOOSE(ArtifactsInput!$N$24+1,10,12,14,16,18,20)+(IF(AND(ArtifactsInput!$M$42,((Inputs!$B$9+((C2250=TRUE)*(F2250-Calc!F19))+B2263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2237*(MIN(100,(Inputs!$B$9+((C2250=TRUE)*(F2250-Calc!F19))+B2263+(ArtifactsInput!$M$24-ArtifactsInput!$M$24)*CHOOSE(ArtifactsInput!$N$24+1,10,12,14,16,18,20)+(IF(AND(ArtifactsInput!$M$42,((Inputs!$B$9+((C2250=TRUE)*(F2250-Calc!F19))+B2263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237">
        <f>IF(C2237,(H2237*N2237*IF(AND(Inputs!$B$38&lt;&gt;"pvp",Inputs!$B$43&gt;0),((Skills!G6*((R2237-1)*IF(Skills!H6&gt;0,Skills!I6/Skills!H6,1)+IF(Skills!H6&gt;0,MIN(Skills!I6,MAX(0,MAX(0,Inputs!$B$43-B2270)-((R2237-1)*IF(Inputs!$B$38="pvp",15,MAX(0.1,Skills!D6-IF(Skills!E6=TRUE,Inputs!$B$32,0))))))/Skills!H6,1)))/Inputs!$B$43),G2237*Q2237))*IF(Inputs!$B$38="pvp",1,(1+(Inputs!$B$21+Skills!Q6+(IF(ArtifactsInput!$M$33,CHOOSE(ArtifactsInput!$N$33+1,30,36,42,48,54,60),0))+(IF(AND(ArtifactsInput!$M$35,Inputs!$B$4&lt;&gt;"Chapter Hunt"),CHOOSE(ArtifactsInput!$N$35+1,15,18,21,24,27,30)*(1-EXP(-(0.2*B2265)*5)),0)+IF(AND(ArtifactsInput!$M$22,Inputs!$B$4&lt;&gt;"Chapter Hunt"),CHOOSE(ArtifactsInput!$N$22+1,10,12,14,16,18,20)*((0*(((0.15*B2265*5))^0/1)+1*(((0.15*B2265*5))^1/1)+2*(((0.15*B2265*5))^2/2)+3*(((0.15*B2265*5))^3/6)+4*(((0.15*B2265*5))^4/24)+5*(((0.15*B2265*5))^5/120))/((((0.15*B2265*5))^0/1)+(((0.15*B2265*5))^1/1)+(((0.15*B2265*5))^2/2)+(((0.15*B2265*5))^3/6)+(((0.15*B2265*5))^4/24)+(((0.15*B2265*5))^5/120))),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238">
      <c r="A2238">
        <f>Skills!A7</f>
        <v/>
      </c>
      <c r="B2238">
        <f>Skills!B7</f>
        <v/>
      </c>
      <c r="C2238">
        <f>Inputs!$B$3&gt;=69</f>
        <v/>
      </c>
      <c r="D2238">
        <f>IF(Skills!C7=1,60+Inputs!$B$25+Inputs!$B$29,IF(Skills!C7=2,90+Inputs!$B$26+Inputs!$B$29,IF(Skills!C7=3,120+Inputs!$B$27+Inputs!$B$29,MAX(0,(Inputs!$B$3-100)*3)+Inputs!$B$28+Inputs!$B$29)))</f>
        <v/>
      </c>
      <c r="E2238">
        <f>INDEX(FactorTable!$B$2:$Y$301, MATCH(ROUND(MIN(300,MAX(1,D2238)),0), FactorTable!$A$2:$A$301,0), Skills!M7+1)</f>
        <v/>
      </c>
      <c r="F2238">
        <f>IF(Skills!N7=TRUE,(Skills!L7/10)*(E2238/1000),Skills!L7/10)+Skills!O7</f>
        <v/>
      </c>
      <c r="G2238">
        <f>Skills!G7*IF(Skills!H7&gt;0,Skills!I7/Skills!H7,1)</f>
        <v/>
      </c>
      <c r="H2238">
        <f>1-(1-Skills!J7/100)^Skills!K7</f>
        <v/>
      </c>
      <c r="I2238" t="inlineStr">
        <is>
          <t>1</t>
        </is>
      </c>
      <c r="J2238">
        <f>((Inputs!$B$6*(1+Inputs!$B$7/100))+(((Inputs!$B$12*(1+Inputs!$B$13/100))-(Inputs!$B$12*(1+Inputs!$B$13/100)))+0.25*(Inputs!$B$14-Inputs!$B$14))*(1+Inputs!$B$7/100))*(F2238/100)</f>
        <v/>
      </c>
      <c r="K2238">
        <f>J2238*(1+((Inputs!$B$12*(1+Inputs!$B$13/100))*0.01+Inputs!$B$14*0.0025)/100)*(1+Inputs!$B$15/100)*(1+Inputs!$B$16/100)*(5000/(6000+Inputs!$B$42*(1-(100*(1-(1-(Inputs!$B$19+0)/100)*(1-CHOOSE(ArtifactsInput!$N$40+1,5,6,7,8,9,10)/100)^(ArtifactsInput!$M$40-ArtifactsInput!$M$40)))/100)))*(1+(Inputs!$B$24+((C2255=TRUE)*(F2255-Calc!F24))+((C2256=TRUE)*(F2256-Calc!F25))+B2269)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IF(ArtifactsInput!$M$29,FALSE,TRUE)-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+1.2*IF(C2239=TRUE,F2239,0)/100)*(1+(IF(Skills!A7="EMPOWERED_PIERCING_ARROW",Inputs!$B$17+((C2253=TRUE)*(F2253-Calc!F22))+(((IF(AND(ArtifactsInput!$M$42,((Inputs!$B$9+((C2250=TRUE)*(F2250-Calc!F19))+B2263+(ArtifactsInput!$M$24-ArtifactsInput!$M$24)*CHOOSE(ArtifactsInput!$N$24+1,10,12,14,16,18,20)+IF(ArtifactsInput!$M$10,CHOOSE(ArtifactsInput!$N$10+1,15,18,21,24,27,30)*(IF(Inputs!$B$38="pvp",MIN(15,15)/15,IF(AND(Inputs!$B$38&lt;&gt;"pvp",Inputs!$B$43&gt;0),MIN(15,Inputs!$B$43)/(Inputs!$B$43),0))),0)))&gt;=100),MIN(100,((Inputs!$B$9+((C2250=TRUE)*(F2250-Calc!F19))+B2263+(ArtifactsInput!$M$24-ArtifactsInput!$M$24)*CHOOSE(ArtifactsInput!$N$24+1,10,12,14,16,18,20)+IF(ArtifactsInput!$M$10,CHOOSE(ArtifactsInput!$N$10+1,15,18,21,24,27,30)*(IF(Inputs!$B$38="pvp",MIN(15,15)/15,IF(AND(Inputs!$B$38&lt;&gt;"pvp",Inputs!$B$43&gt;0),MIN(15,Inputs!$B$43)/(Inputs!$B$43),0))),0)))-100),0))*CHOOSE(ArtifactsInput!$N$42+1,0.6,0.72,0.84,0.96,1.08,1.2))),Inputs!$B$18+((C2258=TRUE)*(F2258-Calc!F27))+(IF(AND(ArtifactsInput!$M$42,((Inputs!$B$9+((C2250=TRUE)*(F2250-Calc!F19))+B2263+(ArtifactsInput!$M$24-ArtifactsInput!$M$24)*CHOOSE(ArtifactsInput!$N$24+1,10,12,14,16,18,20)+IF(ArtifactsInput!$M$10,CHOOSE(ArtifactsInput!$N$10+1,15,18,21,24,27,30)*(IF(Inputs!$B$38="pvp",MIN(15,15)/15,IF(AND(Inputs!$B$38&lt;&gt;"pvp",Inputs!$B$43&gt;0),MIN(15,Inputs!$B$43)/(Inputs!$B$43),0))),0)))&gt;=100),CHOOSE(ArtifactsInput!$N$42+1,40,48,56,64,72,80),0))))/100)*((1+(((C2244=TRUE)*F2244)+((C2245=TRUE)*IF(Inputs!$B$38="pvp",F2245,(1-Summary!$B$11)*(F2245)+Summary!$B$11*(0)))+((C2246=TRUE)*F2246*IF(AND(Inputs!$B$38&lt;&gt;"pvp",Inputs!$B$43&gt;0),(((R2246-1)*(Skills!T15*(1+Inputs!$B$34/100))+MIN((Skills!T15*(1+Inputs!$B$34/100)),MAX(0,Inputs!$B$43-((R2246-1)*Skills!D15))))/Inputs!$B$43),IF(Inputs!$B$38="pvp",MIN((Skills!T15*(1+Inputs!$B$34/100)),15)/15,(Skills!T15*(1+Inputs!$B$34/100))/Skills!D15)))+((C2243=TRUE)*F2243)+((C2260=TRUE)*(F2260-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2238)</f>
        <v/>
      </c>
      <c r="L2238">
        <f>K2238*(MIN(Inputs!$B$22+((C2254=TRUE)*(F2254-Calc!F23)),(Inputs!$B$23+((C2259=TRUE)*(F2259-Calc!F28))+(IF(ArtifactsInput!$M$15,CHOOSE(ArtifactsInput!$N$15+1,25,30,35,40,45,50)/100*(Inputs!$B$11-Inputs!$B$11),0))))/100+(Inputs!$B$23+((C2259=TRUE)*(F2259-Calc!F28))+(IF(ArtifactsInput!$M$15,CHOOSE(ArtifactsInput!$N$15+1,25,30,35,40,45,50)/100*(Inputs!$B$11-Inputs!$B$11),0)))/100)/2</f>
        <v/>
      </c>
      <c r="M2238">
        <f>L2238*(1+(Inputs!$B$10+0+B2268+(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238">
        <f>L2238*(1-MIN((Inputs!$B$9+((C2250=TRUE)*(F2250-Calc!F19))+B2263+(ArtifactsInput!$M$24-ArtifactsInput!$M$24)*CHOOSE(ArtifactsInput!$N$24+1,10,12,14,16,18,20)+(IF(AND(ArtifactsInput!$M$42,((Inputs!$B$9+((C2250=TRUE)*(F2250-Calc!F19))+B2263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2238*(MIN((Inputs!$B$9+((C2250=TRUE)*(F2250-Calc!F19))+B2263+(ArtifactsInput!$M$24-ArtifactsInput!$M$24)*CHOOSE(ArtifactsInput!$N$24+1,10,12,14,16,18,20)+(IF(AND(ArtifactsInput!$M$42,((Inputs!$B$9+((C2250=TRUE)*(F2250-Calc!F19))+B2263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238">
        <f>(1-Summary!$B$11)*T2238+Summary!$B$11*V2238</f>
        <v/>
      </c>
      <c r="P2238">
        <f>IF(B2273=0,0,O2238/B2273)</f>
        <v/>
      </c>
      <c r="Q2238">
        <f>IFERROR(1/IF(Inputs!$B$38="pvp",15,MAX(0.1,Skills!D7-IF(Skills!E7=TRUE,Inputs!$B$32,0))),0)</f>
        <v/>
      </c>
      <c r="R2238">
        <f>IF(AND(Inputs!$B$38&lt;&gt;"pvp",Inputs!$B$43&gt;0),IF(MAX(0,Inputs!$B$43-B2270)&lt;=0,0,(INT(MAX(0,Inputs!$B$43-B2270)/IF(Inputs!$B$38="pvp",15,MAX(0.1,Skills!D7-IF(Skills!E7=TRUE,Inputs!$B$32,0))))+1)),0)</f>
        <v/>
      </c>
      <c r="S2238">
        <f>IFERROR((H2238*N2238*IF(AND(Inputs!$B$38&lt;&gt;"pvp",Inputs!$B$43&gt;0),((Skills!G7*((R2238-1)*IF(Skills!H7&gt;0,Skills!I7/Skills!H7,1)+IF(Skills!H7&gt;0,MIN(Skills!I7,MAX(0,MAX(0,Inputs!$B$43-B2270)-((R2238-1)*IF(Inputs!$B$38="pvp",15,MAX(0.1,Skills!D7-IF(Skills!E7=TRUE,Inputs!$B$32,0))))))/Skills!H7,1)))/Inputs!$B$43),G2238*Q2238))/N2238*IF(Inputs!$B$38="pvp",1,(1-Summary!$B$11)*1+Summary!$B$11*(MIN(Skills!R7,Inputs!$B$37))),0)</f>
        <v/>
      </c>
      <c r="T2238">
        <f>IF(C2238,(H2238*N2238*IF(AND(Inputs!$B$38&lt;&gt;"pvp",Inputs!$B$43&gt;0),((Skills!G7*((R2238-1)*IF(Skills!H7&gt;0,Skills!I7/Skills!H7,1)+IF(Skills!H7&gt;0,MIN(Skills!I7,MAX(0,MAX(0,Inputs!$B$43-B2270)-((R2238-1)*IF(Inputs!$B$38="pvp",15,MAX(0.1,Skills!D7-IF(Skills!E7=TRUE,Inputs!$B$32,0))))))/Skills!H7,1)))/Inputs!$B$43),G2238*Q2238))*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Hunt"),CHOOSE(ArtifactsInput!$N$35+1,15,18,21,24,27,30)*(1-EXP(-(0.2*B2265)*5)),0)+IF(AND(ArtifactsInput!$M$22,Inputs!$B$4&lt;&gt;"Chapter Hunt"),CHOOSE(ArtifactsInput!$N$22+1,10,12,14,16,18,20)*((0*(((0.15*B2265*5))^0/1)+1*(((0.15*B2265*5))^1/1)+2*(((0.15*B2265*5))^2/2)+3*(((0.15*B2265*5))^3/6)+4*(((0.15*B2265*5))^4/24)+5*(((0.15*B2265*5))^5/120))/((((0.15*B2265*5))^0/1)+(((0.15*B2265*5))^1/1)+(((0.15*B2265*5))^2/2)+(((0.15*B2265*5))^3/6)+(((0.15*B2265*5))^4/24)+(((0.15*B2265*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2238*(1-MIN(100,(Inputs!$B$9+((C2250=TRUE)*(F2250-Calc!F19))+B2263+(ArtifactsInput!$M$24-ArtifactsInput!$M$24)*CHOOSE(ArtifactsInput!$N$24+1,10,12,14,16,18,20)+(IF(AND(ArtifactsInput!$M$42,((Inputs!$B$9+((C2250=TRUE)*(F2250-Calc!F19))+B2263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2238*(MIN(100,(Inputs!$B$9+((C2250=TRUE)*(F2250-Calc!F19))+B2263+(ArtifactsInput!$M$24-ArtifactsInput!$M$24)*CHOOSE(ArtifactsInput!$N$24+1,10,12,14,16,18,20)+(IF(AND(ArtifactsInput!$M$42,((Inputs!$B$9+((C2250=TRUE)*(F2250-Calc!F19))+B2263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2238*(1-MIN(100,(Inputs!$B$9+((C2250=TRUE)*(F2250-Calc!F19))+B2263+(ArtifactsInput!$M$24-ArtifactsInput!$M$24)*CHOOSE(ArtifactsInput!$N$24+1,10,12,14,16,18,20)+(IF(AND(ArtifactsInput!$M$42,((Inputs!$B$9+((C2250=TRUE)*(F2250-Calc!F19))+B2263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2238*(MIN(100,(Inputs!$B$9+((C2250=TRUE)*(F2250-Calc!F19))+B2263+(ArtifactsInput!$M$24-ArtifactsInput!$M$24)*CHOOSE(ArtifactsInput!$N$24+1,10,12,14,16,18,20)+(IF(AND(ArtifactsInput!$M$42,((Inputs!$B$9+((C2250=TRUE)*(F2250-Calc!F19))+B2263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238">
        <f>IF(C2238,(H2238*N2238*IF(AND(Inputs!$B$38&lt;&gt;"pvp",Inputs!$B$43&gt;0),((Skills!G7*((R2238-1)*IF(Skills!H7&gt;0,Skills!I7/Skills!H7,1)+IF(Skills!H7&gt;0,MIN(Skills!I7,MAX(0,MAX(0,Inputs!$B$43-B2270)-((R2238-1)*IF(Inputs!$B$38="pvp",15,MAX(0.1,Skills!D7-IF(Skills!E7=TRUE,Inputs!$B$32,0))))))/Skills!H7,1)))/Inputs!$B$43),G2238*Q2238))*IF(Inputs!$B$38="pvp",1,(1+(Inputs!$B$21+Skills!Q7+(IF(ArtifactsInput!$M$33,CHOOSE(ArtifactsInput!$N$33+1,30,36,42,48,54,60),0))+(IF(AND(ArtifactsInput!$M$35,Inputs!$B$4&lt;&gt;"Chapter Hunt"),CHOOSE(ArtifactsInput!$N$35+1,15,18,21,24,27,30)*(1-EXP(-(0.2*B2265)*5)),0)+IF(AND(ArtifactsInput!$M$22,Inputs!$B$4&lt;&gt;"Chapter Hunt"),CHOOSE(ArtifactsInput!$N$22+1,10,12,14,16,18,20)*((0*(((0.15*B2265*5))^0/1)+1*(((0.15*B2265*5))^1/1)+2*(((0.15*B2265*5))^2/2)+3*(((0.15*B2265*5))^3/6)+4*(((0.15*B2265*5))^4/24)+5*(((0.15*B2265*5))^5/120))/((((0.15*B2265*5))^0/1)+(((0.15*B2265*5))^1/1)+(((0.15*B2265*5))^2/2)+(((0.15*B2265*5))^3/6)+(((0.15*B2265*5))^4/24)+(((0.15*B2265*5))^5/120))),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239">
      <c r="A2239">
        <f>Skills!A8</f>
        <v/>
      </c>
      <c r="B2239">
        <f>Skills!B8</f>
        <v/>
      </c>
      <c r="C2239">
        <f>Inputs!$B$3&gt;=100</f>
        <v/>
      </c>
      <c r="D2239">
        <f>IF(Skills!C8=1,60+Inputs!$B$25+Inputs!$B$29,IF(Skills!C8=2,90+Inputs!$B$26+Inputs!$B$29,IF(Skills!C8=3,120+Inputs!$B$27+Inputs!$B$29,MAX(0,(Inputs!$B$3-100)*3)+Inputs!$B$28+Inputs!$B$29)))</f>
        <v/>
      </c>
      <c r="E2239">
        <f>INDEX(FactorTable!$B$2:$Y$301, MATCH(ROUND(MIN(300,MAX(1,D2239)),0), FactorTable!$A$2:$A$301,0), Skills!M8+1)</f>
        <v/>
      </c>
      <c r="F2239">
        <f>IF(Skills!N8=TRUE,(Skills!L8/10)*(E2239/1000),Skills!L8/10)+Skills!O8</f>
        <v/>
      </c>
      <c r="G2239" t="inlineStr"/>
      <c r="H2239" t="inlineStr"/>
      <c r="I2239" t="inlineStr">
        <is>
          <t>1</t>
        </is>
      </c>
      <c r="J2239" t="inlineStr"/>
      <c r="K2239" t="inlineStr"/>
      <c r="L2239" t="inlineStr"/>
      <c r="M2239" t="inlineStr"/>
      <c r="N2239" t="inlineStr"/>
      <c r="O2239" t="inlineStr"/>
      <c r="P2239" t="inlineStr"/>
      <c r="Q2239" t="inlineStr"/>
      <c r="R2239" t="inlineStr"/>
      <c r="S2239" t="inlineStr"/>
      <c r="T2239" t="inlineStr"/>
      <c r="V2239" t="inlineStr"/>
    </row>
    <row r="2240">
      <c r="A2240">
        <f>Skills!A9</f>
        <v/>
      </c>
      <c r="B2240">
        <f>Skills!B9</f>
        <v/>
      </c>
      <c r="C2240">
        <f>Inputs!$B$3&gt;=103</f>
        <v/>
      </c>
      <c r="D2240">
        <f>IF(Skills!C9=1,60+Inputs!$B$25+Inputs!$B$29,IF(Skills!C9=2,90+Inputs!$B$26+Inputs!$B$29,IF(Skills!C9=3,120+Inputs!$B$27+Inputs!$B$29,MAX(0,(Inputs!$B$3-100)*3)+Inputs!$B$28+Inputs!$B$29)))</f>
        <v/>
      </c>
      <c r="E2240">
        <f>INDEX(FactorTable!$B$2:$Y$301, MATCH(ROUND(MIN(300,MAX(1,D2240)),0), FactorTable!$A$2:$A$301,0), Skills!M9+1)</f>
        <v/>
      </c>
      <c r="F2240">
        <f>IF(Skills!N9=TRUE,(Skills!L9/10)*(E2240/1000),Skills!L9/10)+Skills!O9</f>
        <v/>
      </c>
      <c r="G2240">
        <f>Skills!G9*IF(Skills!H9&gt;0,Skills!I9/Skills!H9,1)</f>
        <v/>
      </c>
      <c r="H2240">
        <f>1-(1-Skills!J9/100)^Skills!K9</f>
        <v/>
      </c>
      <c r="I2240" t="inlineStr">
        <is>
          <t>1</t>
        </is>
      </c>
      <c r="J2240">
        <f>((Inputs!$B$6*(1+Inputs!$B$7/100))+(((Inputs!$B$12*(1+Inputs!$B$13/100))-(Inputs!$B$12*(1+Inputs!$B$13/100)))+0.25*(Inputs!$B$14-Inputs!$B$14))*(1+Inputs!$B$7/100))*(F2240/100)</f>
        <v/>
      </c>
      <c r="K2240">
        <f>J2240*(1+((Inputs!$B$12*(1+Inputs!$B$13/100))*0.01+Inputs!$B$14*0.0025)/100)*(1+Inputs!$B$15/100)*(1+Inputs!$B$16/100)*(5000/(6000+Inputs!$B$42*(1-(100*(1-(1-(Inputs!$B$19+0)/100)*(1-CHOOSE(ArtifactsInput!$N$40+1,5,6,7,8,9,10)/100)^(ArtifactsInput!$M$40-ArtifactsInput!$M$40)))/100)))*(1+(Inputs!$B$24+((C2255=TRUE)*(F2255-Calc!F24))+((C2256=TRUE)*(F2256-Calc!F25))+B2269)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IF(ArtifactsInput!$M$29,FALSE,TRUE)-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EMPOWERED_PIERCING_ARROW",Inputs!$B$17+((C2253=TRUE)*(F2253-Calc!F22))+(((IF(AND(ArtifactsInput!$M$42,((Inputs!$B$9+((C2250=TRUE)*(F2250-Calc!F19))+B2263+(ArtifactsInput!$M$24-ArtifactsInput!$M$24)*CHOOSE(ArtifactsInput!$N$24+1,10,12,14,16,18,20)+IF(ArtifactsInput!$M$10,CHOOSE(ArtifactsInput!$N$10+1,15,18,21,24,27,30)*(IF(Inputs!$B$38="pvp",MIN(15,15)/15,IF(AND(Inputs!$B$38&lt;&gt;"pvp",Inputs!$B$43&gt;0),MIN(15,Inputs!$B$43)/(Inputs!$B$43),0))),0)))&gt;=100),MIN(100,((Inputs!$B$9+((C2250=TRUE)*(F2250-Calc!F19))+B2263+(ArtifactsInput!$M$24-ArtifactsInput!$M$24)*CHOOSE(ArtifactsInput!$N$24+1,10,12,14,16,18,20)+IF(ArtifactsInput!$M$10,CHOOSE(ArtifactsInput!$N$10+1,15,18,21,24,27,30)*(IF(Inputs!$B$38="pvp",MIN(15,15)/15,IF(AND(Inputs!$B$38&lt;&gt;"pvp",Inputs!$B$43&gt;0),MIN(15,Inputs!$B$43)/(Inputs!$B$43),0))),0)))-100),0))*CHOOSE(ArtifactsInput!$N$42+1,0.6,0.72,0.84,0.96,1.08,1.2))),Inputs!$B$18+((C2258=TRUE)*(F2258-Calc!F27))+(IF(AND(ArtifactsInput!$M$42,((Inputs!$B$9+((C2250=TRUE)*(F2250-Calc!F19))+B2263+(ArtifactsInput!$M$24-ArtifactsInput!$M$24)*CHOOSE(ArtifactsInput!$N$24+1,10,12,14,16,18,20)+IF(ArtifactsInput!$M$10,CHOOSE(ArtifactsInput!$N$10+1,15,18,21,24,27,30)*(IF(Inputs!$B$38="pvp",MIN(15,15)/15,IF(AND(Inputs!$B$38&lt;&gt;"pvp",Inputs!$B$43&gt;0),MIN(15,Inputs!$B$43)/(Inputs!$B$43),0))),0)))&gt;=100),CHOOSE(ArtifactsInput!$N$42+1,40,48,56,64,72,80),0))))/100)*((1+(((C2244=TRUE)*F2244)+((C2245=TRUE)*IF(Inputs!$B$38="pvp",F2245,(1-Summary!$B$11)*(F2245)+Summary!$B$11*(0)))+((C2246=TRUE)*F2246*IF(AND(Inputs!$B$38&lt;&gt;"pvp",Inputs!$B$43&gt;0),(((R2246-1)*(Skills!T15*(1+Inputs!$B$34/100))+MIN((Skills!T15*(1+Inputs!$B$34/100)),MAX(0,Inputs!$B$43-((R2246-1)*Skills!D15))))/Inputs!$B$43),IF(Inputs!$B$38="pvp",MIN((Skills!T15*(1+Inputs!$B$34/100)),15)/15,(Skills!T15*(1+Inputs!$B$34/100))/Skills!D15)))+((C2243=TRUE)*F2243)+((C2260=TRUE)*(F2260-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2240)</f>
        <v/>
      </c>
      <c r="L2240">
        <f>K2240*(MIN(Inputs!$B$22+((C2254=TRUE)*(F2254-Calc!F23)),(Inputs!$B$23+((C2259=TRUE)*(F2259-Calc!F28))+(IF(ArtifactsInput!$M$15,CHOOSE(ArtifactsInput!$N$15+1,25,30,35,40,45,50)/100*(Inputs!$B$11-Inputs!$B$11),0))))/100+(Inputs!$B$23+((C2259=TRUE)*(F2259-Calc!F28))+(IF(ArtifactsInput!$M$15,CHOOSE(ArtifactsInput!$N$15+1,25,30,35,40,45,50)/100*(Inputs!$B$11-Inputs!$B$11),0)))/100)/2</f>
        <v/>
      </c>
      <c r="M2240">
        <f>L2240*(1+(Inputs!$B$10+0+B2268+(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240">
        <f>L2240*(1-MIN((Inputs!$B$9+((C2250=TRUE)*(F2250-Calc!F19))+B2263+(ArtifactsInput!$M$24-ArtifactsInput!$M$24)*CHOOSE(ArtifactsInput!$N$24+1,10,12,14,16,18,20)+(IF(AND(ArtifactsInput!$M$42,((Inputs!$B$9+((C2250=TRUE)*(F2250-Calc!F19))+B2263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2240*(MIN((Inputs!$B$9+((C2250=TRUE)*(F2250-Calc!F19))+B2263+(ArtifactsInput!$M$24-ArtifactsInput!$M$24)*CHOOSE(ArtifactsInput!$N$24+1,10,12,14,16,18,20)+(IF(AND(ArtifactsInput!$M$42,((Inputs!$B$9+((C2250=TRUE)*(F2250-Calc!F19))+B2263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240">
        <f>(1-Summary!$B$11)*T2240+Summary!$B$11*V2240</f>
        <v/>
      </c>
      <c r="P2240">
        <f>IF(B2273=0,0,O2240/B2273)</f>
        <v/>
      </c>
      <c r="Q2240">
        <f>IFERROR(1/IF(Inputs!$B$38="pvp",15,MAX(0.1,Skills!D9-IF(Skills!E9=TRUE,Inputs!$B$32,0))),0)</f>
        <v/>
      </c>
      <c r="R2240">
        <f>IF(AND(Inputs!$B$38&lt;&gt;"pvp",Inputs!$B$43&gt;0),IF(MAX(0,Inputs!$B$43-B2270)&lt;=0,0,(INT(MAX(0,Inputs!$B$43-B2270)/IF(Inputs!$B$38="pvp",15,MAX(0.1,Skills!D9-IF(Skills!E9=TRUE,Inputs!$B$32,0))))+1)),0)</f>
        <v/>
      </c>
      <c r="S2240">
        <f>IFERROR((H2240*N2240*IF(AND(Inputs!$B$38&lt;&gt;"pvp",Inputs!$B$43&gt;0),((Skills!G9*((R2240-1)*IF(Skills!H9&gt;0,Skills!I9/Skills!H9,1)+IF(Skills!H9&gt;0,MIN(Skills!I9,MAX(0,MAX(0,Inputs!$B$43-B2270)-((R2240-1)*IF(Inputs!$B$38="pvp",15,MAX(0.1,Skills!D9-IF(Skills!E9=TRUE,Inputs!$B$32,0))))))/Skills!H9,1)))/Inputs!$B$43),G2240*Q2240))/N2240*IF(Inputs!$B$38="pvp",1,(1-Summary!$B$11)*1+Summary!$B$11*(MIN(Skills!R9,Inputs!$B$37))),0)</f>
        <v/>
      </c>
      <c r="T2240">
        <f>IF(C2240,(H2240*N2240*IF(AND(Inputs!$B$38&lt;&gt;"pvp",Inputs!$B$43&gt;0),((Skills!G9*((R2240-1)*IF(Skills!H9&gt;0,Skills!I9/Skills!H9,1)+IF(Skills!H9&gt;0,MIN(Skills!I9,MAX(0,MAX(0,Inputs!$B$43-B2270)-((R2240-1)*IF(Inputs!$B$38="pvp",15,MAX(0.1,Skills!D9-IF(Skills!E9=TRUE,Inputs!$B$32,0))))))/Skills!H9,1)))/Inputs!$B$43),G2240*Q2240))*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Hunt"),CHOOSE(ArtifactsInput!$N$35+1,15,18,21,24,27,30)*(1-EXP(-(0.2*B2265)*5)),0)+IF(AND(ArtifactsInput!$M$22,Inputs!$B$4&lt;&gt;"Chapter Hunt"),CHOOSE(ArtifactsInput!$N$22+1,10,12,14,16,18,20)*((0*(((0.15*B2265*5))^0/1)+1*(((0.15*B2265*5))^1/1)+2*(((0.15*B2265*5))^2/2)+3*(((0.15*B2265*5))^3/6)+4*(((0.15*B2265*5))^4/24)+5*(((0.15*B2265*5))^5/120))/((((0.15*B2265*5))^0/1)+(((0.15*B2265*5))^1/1)+(((0.15*B2265*5))^2/2)+(((0.15*B2265*5))^3/6)+(((0.15*B2265*5))^4/24)+(((0.15*B2265*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2240*(1-MIN(100,(Inputs!$B$9+((C2250=TRUE)*(F2250-Calc!F19))+B2263+(ArtifactsInput!$M$24-ArtifactsInput!$M$24)*CHOOSE(ArtifactsInput!$N$24+1,10,12,14,16,18,20)+(IF(AND(ArtifactsInput!$M$42,((Inputs!$B$9+((C2250=TRUE)*(F2250-Calc!F19))+B2263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2240*(MIN(100,(Inputs!$B$9+((C2250=TRUE)*(F2250-Calc!F19))+B2263+(ArtifactsInput!$M$24-ArtifactsInput!$M$24)*CHOOSE(ArtifactsInput!$N$24+1,10,12,14,16,18,20)+(IF(AND(ArtifactsInput!$M$42,((Inputs!$B$9+((C2250=TRUE)*(F2250-Calc!F19))+B2263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2240*(1-MIN(100,(Inputs!$B$9+((C2250=TRUE)*(F2250-Calc!F19))+B2263+(ArtifactsInput!$M$24-ArtifactsInput!$M$24)*CHOOSE(ArtifactsInput!$N$24+1,10,12,14,16,18,20)+(IF(AND(ArtifactsInput!$M$42,((Inputs!$B$9+((C2250=TRUE)*(F2250-Calc!F19))+B2263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2240*(MIN(100,(Inputs!$B$9+((C2250=TRUE)*(F2250-Calc!F19))+B2263+(ArtifactsInput!$M$24-ArtifactsInput!$M$24)*CHOOSE(ArtifactsInput!$N$24+1,10,12,14,16,18,20)+(IF(AND(ArtifactsInput!$M$42,((Inputs!$B$9+((C2250=TRUE)*(F2250-Calc!F19))+B2263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240">
        <f>IF(C2240,(H2240*N2240*IF(AND(Inputs!$B$38&lt;&gt;"pvp",Inputs!$B$43&gt;0),((Skills!G9*((R2240-1)*IF(Skills!H9&gt;0,Skills!I9/Skills!H9,1)+IF(Skills!H9&gt;0,MIN(Skills!I9,MAX(0,MAX(0,Inputs!$B$43-B2270)-((R2240-1)*IF(Inputs!$B$38="pvp",15,MAX(0.1,Skills!D9-IF(Skills!E9=TRUE,Inputs!$B$32,0))))))/Skills!H9,1)))/Inputs!$B$43),G2240*Q2240))*IF(Inputs!$B$38="pvp",1,(1+(Inputs!$B$21+Skills!Q9+(IF(ArtifactsInput!$M$33,CHOOSE(ArtifactsInput!$N$33+1,30,36,42,48,54,60),0))+(IF(AND(ArtifactsInput!$M$35,Inputs!$B$4&lt;&gt;"Chapter Hunt"),CHOOSE(ArtifactsInput!$N$35+1,15,18,21,24,27,30)*(1-EXP(-(0.2*B2265)*5)),0)+IF(AND(ArtifactsInput!$M$22,Inputs!$B$4&lt;&gt;"Chapter Hunt"),CHOOSE(ArtifactsInput!$N$22+1,10,12,14,16,18,20)*((0*(((0.15*B2265*5))^0/1)+1*(((0.15*B2265*5))^1/1)+2*(((0.15*B2265*5))^2/2)+3*(((0.15*B2265*5))^3/6)+4*(((0.15*B2265*5))^4/24)+5*(((0.15*B2265*5))^5/120))/((((0.15*B2265*5))^0/1)+(((0.15*B2265*5))^1/1)+(((0.15*B2265*5))^2/2)+(((0.15*B2265*5))^3/6)+(((0.15*B2265*5))^4/24)+(((0.15*B2265*5))^5/120)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241">
      <c r="A2241">
        <f>Skills!A10</f>
        <v/>
      </c>
      <c r="B2241">
        <f>Skills!B10</f>
        <v/>
      </c>
      <c r="C2241">
        <f>Inputs!$B$3&gt;=107</f>
        <v/>
      </c>
      <c r="D2241">
        <f>IF(Skills!C10=1,60+Inputs!$B$25+Inputs!$B$29,IF(Skills!C10=2,90+Inputs!$B$26+Inputs!$B$29,IF(Skills!C10=3,120+Inputs!$B$27+Inputs!$B$29,MAX(0,(Inputs!$B$3-100)*3)+Inputs!$B$28+Inputs!$B$29)))</f>
        <v/>
      </c>
      <c r="E2241">
        <f>INDEX(FactorTable!$B$2:$Y$301, MATCH(ROUND(MIN(300,MAX(1,D2241)),0), FactorTable!$A$2:$A$301,0), Skills!M10+1)</f>
        <v/>
      </c>
      <c r="F2241">
        <f>IF(Skills!N10=TRUE,(Skills!L10/10)*(E2241/1000),Skills!L10/10)+Skills!O10</f>
        <v/>
      </c>
      <c r="G2241">
        <f>Skills!G10*IF(Skills!H10&gt;0,Skills!I10/Skills!H10,1)</f>
        <v/>
      </c>
      <c r="H2241">
        <f>1-(1-Skills!J10/100)^Skills!K10</f>
        <v/>
      </c>
      <c r="I2241" t="inlineStr">
        <is>
          <t>1</t>
        </is>
      </c>
      <c r="J2241">
        <f>((Inputs!$B$6*(1+Inputs!$B$7/100))+(((Inputs!$B$12*(1+Inputs!$B$13/100))-(Inputs!$B$12*(1+Inputs!$B$13/100)))+0.25*(Inputs!$B$14-Inputs!$B$14))*(1+Inputs!$B$7/100))*(F2241/100)</f>
        <v/>
      </c>
      <c r="K2241">
        <f>J2241*(1+((Inputs!$B$12*(1+Inputs!$B$13/100))*0.01+Inputs!$B$14*0.0025)/100)*(1+Inputs!$B$15/100)*(1+Inputs!$B$16/100)*(5000/(6000+Inputs!$B$42*(1-(100*(1-(1-(Inputs!$B$19+0)/100)*(1-CHOOSE(ArtifactsInput!$N$40+1,5,6,7,8,9,10)/100)^(ArtifactsInput!$M$40-ArtifactsInput!$M$40)))/100)))*(1+(Inputs!$B$24+((C2255=TRUE)*(F2255-Calc!F24))+((C2256=TRUE)*(F2256-Calc!F25))+B2269)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IF(ArtifactsInput!$M$29,FALSE,TRUE)-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EMPOWERED_PIERCING_ARROW",Inputs!$B$17+((C2253=TRUE)*(F2253-Calc!F22))+(((IF(AND(ArtifactsInput!$M$42,((Inputs!$B$9+((C2250=TRUE)*(F2250-Calc!F19))+B2263+(ArtifactsInput!$M$24-ArtifactsInput!$M$24)*CHOOSE(ArtifactsInput!$N$24+1,10,12,14,16,18,20)+IF(ArtifactsInput!$M$10,CHOOSE(ArtifactsInput!$N$10+1,15,18,21,24,27,30)*(IF(Inputs!$B$38="pvp",MIN(15,15)/15,IF(AND(Inputs!$B$38&lt;&gt;"pvp",Inputs!$B$43&gt;0),MIN(15,Inputs!$B$43)/(Inputs!$B$43),0))),0)))&gt;=100),MIN(100,((Inputs!$B$9+((C2250=TRUE)*(F2250-Calc!F19))+B2263+(ArtifactsInput!$M$24-ArtifactsInput!$M$24)*CHOOSE(ArtifactsInput!$N$24+1,10,12,14,16,18,20)+IF(ArtifactsInput!$M$10,CHOOSE(ArtifactsInput!$N$10+1,15,18,21,24,27,30)*(IF(Inputs!$B$38="pvp",MIN(15,15)/15,IF(AND(Inputs!$B$38&lt;&gt;"pvp",Inputs!$B$43&gt;0),MIN(15,Inputs!$B$43)/(Inputs!$B$43),0))),0)))-100),0))*CHOOSE(ArtifactsInput!$N$42+1,0.6,0.72,0.84,0.96,1.08,1.2))),Inputs!$B$18+((C2258=TRUE)*(F2258-Calc!F27))+(IF(AND(ArtifactsInput!$M$42,((Inputs!$B$9+((C2250=TRUE)*(F2250-Calc!F19))+B2263+(ArtifactsInput!$M$24-ArtifactsInput!$M$24)*CHOOSE(ArtifactsInput!$N$24+1,10,12,14,16,18,20)+IF(ArtifactsInput!$M$10,CHOOSE(ArtifactsInput!$N$10+1,15,18,21,24,27,30)*(IF(Inputs!$B$38="pvp",MIN(15,15)/15,IF(AND(Inputs!$B$38&lt;&gt;"pvp",Inputs!$B$43&gt;0),MIN(15,Inputs!$B$43)/(Inputs!$B$43),0))),0)))&gt;=100),CHOOSE(ArtifactsInput!$N$42+1,40,48,56,64,72,80),0))))/100)*((1+(((C2244=TRUE)*F2244)+((C2245=TRUE)*IF(Inputs!$B$38="pvp",F2245,(1-Summary!$B$11)*(F2245)+Summary!$B$11*(0)))+((C2246=TRUE)*F2246*IF(AND(Inputs!$B$38&lt;&gt;"pvp",Inputs!$B$43&gt;0),(((R2246-1)*(Skills!T15*(1+Inputs!$B$34/100))+MIN((Skills!T15*(1+Inputs!$B$34/100)),MAX(0,Inputs!$B$43-((R2246-1)*Skills!D15))))/Inputs!$B$43),IF(Inputs!$B$38="pvp",MIN((Skills!T15*(1+Inputs!$B$34/100)),15)/15,(Skills!T15*(1+Inputs!$B$34/100))/Skills!D15)))+((C2243=TRUE)*F2243)+((C2260=TRUE)*(F2260-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2241)</f>
        <v/>
      </c>
      <c r="L2241">
        <f>K2241*(MIN(Inputs!$B$22+((C2254=TRUE)*(F2254-Calc!F23)),(Inputs!$B$23+((C2259=TRUE)*(F2259-Calc!F28))+(IF(ArtifactsInput!$M$15,CHOOSE(ArtifactsInput!$N$15+1,25,30,35,40,45,50)/100*(Inputs!$B$11-Inputs!$B$11),0))))/100+(Inputs!$B$23+((C2259=TRUE)*(F2259-Calc!F28))+(IF(ArtifactsInput!$M$15,CHOOSE(ArtifactsInput!$N$15+1,25,30,35,40,45,50)/100*(Inputs!$B$11-Inputs!$B$11),0)))/100)/2</f>
        <v/>
      </c>
      <c r="M2241">
        <f>L2241*(1+(Inputs!$B$10+0+B2268+(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241">
        <f>L2241*(1-MIN((Inputs!$B$9+((C2250=TRUE)*(F2250-Calc!F19))+B2263+(ArtifactsInput!$M$24-ArtifactsInput!$M$24)*CHOOSE(ArtifactsInput!$N$24+1,10,12,14,16,18,20)+(IF(AND(ArtifactsInput!$M$42,((Inputs!$B$9+((C2250=TRUE)*(F2250-Calc!F19))+B2263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2241*(MIN((Inputs!$B$9+((C2250=TRUE)*(F2250-Calc!F19))+B2263+(ArtifactsInput!$M$24-ArtifactsInput!$M$24)*CHOOSE(ArtifactsInput!$N$24+1,10,12,14,16,18,20)+(IF(AND(ArtifactsInput!$M$42,((Inputs!$B$9+((C2250=TRUE)*(F2250-Calc!F19))+B2263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241">
        <f>(1-Summary!$B$11)*T2241+Summary!$B$11*V2241</f>
        <v/>
      </c>
      <c r="P2241">
        <f>IF(B2273=0,0,O2241/B2273)</f>
        <v/>
      </c>
      <c r="Q2241" t="n">
        <v>0</v>
      </c>
      <c r="R2241" t="n">
        <v>0</v>
      </c>
      <c r="S2241" t="n">
        <v>0</v>
      </c>
      <c r="T2241">
        <f>IF(C2241,(0.15*SUMPRODUCT((Skills!U2:U29=TRUE)*(C2233:C2260=TRUE)*S2233:S2260)*Skills!G10*N2241)*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Hunt"),CHOOSE(ArtifactsInput!$N$35+1,15,18,21,24,27,30)*(1-EXP(-(0.2*B2265)*5)),0)+IF(AND(ArtifactsInput!$M$22,Inputs!$B$4&lt;&gt;"Chapter Hunt"),CHOOSE(ArtifactsInput!$N$22+1,10,12,14,16,18,20)*((0*(((0.15*B2265*5))^0/1)+1*(((0.15*B2265*5))^1/1)+2*(((0.15*B2265*5))^2/2)+3*(((0.15*B2265*5))^3/6)+4*(((0.15*B2265*5))^4/24)+5*(((0.15*B2265*5))^5/120))/((((0.15*B2265*5))^0/1)+(((0.15*B2265*5))^1/1)+(((0.15*B2265*5))^2/2)+(((0.15*B2265*5))^3/6)+(((0.15*B2265*5))^4/24)+(((0.15*B2265*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2241*(1-MIN(100,(Inputs!$B$9+((C2250=TRUE)*(F2250-Calc!F19))+B2263+(ArtifactsInput!$M$24-ArtifactsInput!$M$24)*CHOOSE(ArtifactsInput!$N$24+1,10,12,14,16,18,20)+(IF(AND(ArtifactsInput!$M$42,((Inputs!$B$9+((C2250=TRUE)*(F2250-Calc!F19))+B2263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2241*(MIN(100,(Inputs!$B$9+((C2250=TRUE)*(F2250-Calc!F19))+B2263+(ArtifactsInput!$M$24-ArtifactsInput!$M$24)*CHOOSE(ArtifactsInput!$N$24+1,10,12,14,16,18,20)+(IF(AND(ArtifactsInput!$M$42,((Inputs!$B$9+((C2250=TRUE)*(F2250-Calc!F19))+B2263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2241*(1-MIN(100,(Inputs!$B$9+((C2250=TRUE)*(F2250-Calc!F19))+B2263+(ArtifactsInput!$M$24-ArtifactsInput!$M$24)*CHOOSE(ArtifactsInput!$N$24+1,10,12,14,16,18,20)+(IF(AND(ArtifactsInput!$M$42,((Inputs!$B$9+((C2250=TRUE)*(F2250-Calc!F19))+B2263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2241*(MIN(100,(Inputs!$B$9+((C2250=TRUE)*(F2250-Calc!F19))+B2263+(ArtifactsInput!$M$24-ArtifactsInput!$M$24)*CHOOSE(ArtifactsInput!$N$24+1,10,12,14,16,18,20)+(IF(AND(ArtifactsInput!$M$42,((Inputs!$B$9+((C2250=TRUE)*(F2250-Calc!F19))+B2263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241">
        <f>IF(C2241,(0.15*SUMPRODUCT((Skills!U2:U29=TRUE)*(C2233:C2260=TRUE)*S2233:S2260)*Skills!G10*N2241)*IF(Inputs!$B$38="pvp",1,(1+(Inputs!$B$21+Skills!Q10+(IF(ArtifactsInput!$M$33,CHOOSE(ArtifactsInput!$N$33+1,30,36,42,48,54,60),0))+(IF(AND(ArtifactsInput!$M$35,Inputs!$B$4&lt;&gt;"Chapter Hunt"),CHOOSE(ArtifactsInput!$N$35+1,15,18,21,24,27,30)*(1-EXP(-(0.2*B2265)*5)),0)+IF(AND(ArtifactsInput!$M$22,Inputs!$B$4&lt;&gt;"Chapter Hunt"),CHOOSE(ArtifactsInput!$N$22+1,10,12,14,16,18,20)*((0*(((0.15*B2265*5))^0/1)+1*(((0.15*B2265*5))^1/1)+2*(((0.15*B2265*5))^2/2)+3*(((0.15*B2265*5))^3/6)+4*(((0.15*B2265*5))^4/24)+5*(((0.15*B2265*5))^5/120))/((((0.15*B2265*5))^0/1)+(((0.15*B2265*5))^1/1)+(((0.15*B2265*5))^2/2)+(((0.15*B2265*5))^3/6)+(((0.15*B2265*5))^4/24)+(((0.15*B2265*5))^5/120)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242">
      <c r="A2242">
        <f>Skills!A11</f>
        <v/>
      </c>
      <c r="B2242">
        <f>Skills!B11</f>
        <v/>
      </c>
      <c r="C2242">
        <f>Inputs!$B$3&gt;=110</f>
        <v/>
      </c>
      <c r="D2242">
        <f>IF(Skills!C11=1,60+Inputs!$B$25+Inputs!$B$29,IF(Skills!C11=2,90+Inputs!$B$26+Inputs!$B$29,IF(Skills!C11=3,120+Inputs!$B$27+Inputs!$B$29,MAX(0,(Inputs!$B$3-100)*3)+Inputs!$B$28+Inputs!$B$29)))</f>
        <v/>
      </c>
      <c r="E2242">
        <f>INDEX(FactorTable!$B$2:$Y$301, MATCH(ROUND(MIN(300,MAX(1,D2242)),0), FactorTable!$A$2:$A$301,0), Skills!M11+1)</f>
        <v/>
      </c>
      <c r="F2242">
        <f>IF(Skills!N11=TRUE,(Skills!L11/10)*(E2242/1000),Skills!L11/10)+Skills!O11</f>
        <v/>
      </c>
      <c r="G2242">
        <f>Skills!G11*IF(Skills!H11&gt;0,Skills!I11/Skills!H11,1)</f>
        <v/>
      </c>
      <c r="H2242">
        <f>1-(1-Skills!J11/100)^Skills!K11</f>
        <v/>
      </c>
      <c r="I2242" t="inlineStr">
        <is>
          <t>1</t>
        </is>
      </c>
      <c r="J2242">
        <f>((Inputs!$B$6*(1+Inputs!$B$7/100))+(((Inputs!$B$12*(1+Inputs!$B$13/100))-(Inputs!$B$12*(1+Inputs!$B$13/100)))+0.25*(Inputs!$B$14-Inputs!$B$14))*(1+Inputs!$B$7/100))*(F2242/100)</f>
        <v/>
      </c>
      <c r="K2242">
        <f>J2242*(1+((Inputs!$B$12*(1+Inputs!$B$13/100))*0.01+Inputs!$B$14*0.0025)/100)*(1+Inputs!$B$15/100)*(1+Inputs!$B$16/100)*(5000/(6000+Inputs!$B$42*(1-(100*(1-(1-(Inputs!$B$19+0)/100)*(1-CHOOSE(ArtifactsInput!$N$40+1,5,6,7,8,9,10)/100)^(ArtifactsInput!$M$40-ArtifactsInput!$M$40)))/100)))*(1+(Inputs!$B$24+((C2255=TRUE)*(F2255-Calc!F24))+((C2256=TRUE)*(F2256-Calc!F25))+B2269)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IF(ArtifactsInput!$M$29,FALSE,TRUE)-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11="EMPOWERED_PIERCING_ARROW",Inputs!$B$17+((C2253=TRUE)*(F2253-Calc!F22))+(((IF(AND(ArtifactsInput!$M$42,((Inputs!$B$9+((C2250=TRUE)*(F2250-Calc!F19))+B2263+(ArtifactsInput!$M$24-ArtifactsInput!$M$24)*CHOOSE(ArtifactsInput!$N$24+1,10,12,14,16,18,20)+IF(ArtifactsInput!$M$10,CHOOSE(ArtifactsInput!$N$10+1,15,18,21,24,27,30)*(IF(Inputs!$B$38="pvp",MIN(15,15)/15,IF(AND(Inputs!$B$38&lt;&gt;"pvp",Inputs!$B$43&gt;0),MIN(15,Inputs!$B$43)/(Inputs!$B$43),0))),0)))&gt;=100),MIN(100,((Inputs!$B$9+((C2250=TRUE)*(F2250-Calc!F19))+B2263+(ArtifactsInput!$M$24-ArtifactsInput!$M$24)*CHOOSE(ArtifactsInput!$N$24+1,10,12,14,16,18,20)+IF(ArtifactsInput!$M$10,CHOOSE(ArtifactsInput!$N$10+1,15,18,21,24,27,30)*(IF(Inputs!$B$38="pvp",MIN(15,15)/15,IF(AND(Inputs!$B$38&lt;&gt;"pvp",Inputs!$B$43&gt;0),MIN(15,Inputs!$B$43)/(Inputs!$B$43),0))),0)))-100),0))*CHOOSE(ArtifactsInput!$N$42+1,0.6,0.72,0.84,0.96,1.08,1.2))),Inputs!$B$18+((C2258=TRUE)*(F2258-Calc!F27))+(IF(AND(ArtifactsInput!$M$42,((Inputs!$B$9+((C2250=TRUE)*(F2250-Calc!F19))+B2263+(ArtifactsInput!$M$24-ArtifactsInput!$M$24)*CHOOSE(ArtifactsInput!$N$24+1,10,12,14,16,18,20)+IF(ArtifactsInput!$M$10,CHOOSE(ArtifactsInput!$N$10+1,15,18,21,24,27,30)*(IF(Inputs!$B$38="pvp",MIN(15,15)/15,IF(AND(Inputs!$B$38&lt;&gt;"pvp",Inputs!$B$43&gt;0),MIN(15,Inputs!$B$43)/(Inputs!$B$43),0))),0)))&gt;=100),CHOOSE(ArtifactsInput!$N$42+1,40,48,56,64,72,80),0))))/100)*((1+(((C2244=TRUE)*F2244)+((C2245=TRUE)*IF(Inputs!$B$38="pvp",F2245,(1-Summary!$B$11)*(F2245)+Summary!$B$11*(0)))+((C2246=TRUE)*F2246*IF(AND(Inputs!$B$38&lt;&gt;"pvp",Inputs!$B$43&gt;0),(((R2246-1)*(Skills!T15*(1+Inputs!$B$34/100))+MIN((Skills!T15*(1+Inputs!$B$34/100)),MAX(0,Inputs!$B$43-((R2246-1)*Skills!D15))))/Inputs!$B$43),IF(Inputs!$B$38="pvp",MIN((Skills!T15*(1+Inputs!$B$34/100)),15)/15,(Skills!T15*(1+Inputs!$B$34/100))/Skills!D15)))+((C2243=TRUE)*F2243)+((C2260=TRUE)*(F2260-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2242)</f>
        <v/>
      </c>
      <c r="L2242">
        <f>K2242*(MIN(Inputs!$B$22+((C2254=TRUE)*(F2254-Calc!F23)),(Inputs!$B$23+((C2259=TRUE)*(F2259-Calc!F28))+(IF(ArtifactsInput!$M$15,CHOOSE(ArtifactsInput!$N$15+1,25,30,35,40,45,50)/100*(Inputs!$B$11-Inputs!$B$11),0))))/100+(Inputs!$B$23+((C2259=TRUE)*(F2259-Calc!F28))+(IF(ArtifactsInput!$M$15,CHOOSE(ArtifactsInput!$N$15+1,25,30,35,40,45,50)/100*(Inputs!$B$11-Inputs!$B$11),0)))/100)/2</f>
        <v/>
      </c>
      <c r="M2242">
        <f>L2242*(1+(Inputs!$B$10+0+B2268+(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242">
        <f>L2242*(1-MIN((Inputs!$B$9+((C2250=TRUE)*(F2250-Calc!F19))+B2263+(ArtifactsInput!$M$24-ArtifactsInput!$M$24)*CHOOSE(ArtifactsInput!$N$24+1,10,12,14,16,18,20)+(IF(AND(ArtifactsInput!$M$42,((Inputs!$B$9+((C2250=TRUE)*(F2250-Calc!F19))+B2263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2242*(MIN((Inputs!$B$9+((C2250=TRUE)*(F2250-Calc!F19))+B2263+(ArtifactsInput!$M$24-ArtifactsInput!$M$24)*CHOOSE(ArtifactsInput!$N$24+1,10,12,14,16,18,20)+(IF(AND(ArtifactsInput!$M$42,((Inputs!$B$9+((C2250=TRUE)*(F2250-Calc!F19))+B2263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242">
        <f>(1-Summary!$B$11)*T2242+Summary!$B$11*V2242</f>
        <v/>
      </c>
      <c r="P2242">
        <f>IF(B2273=0,0,O2242/B2273)</f>
        <v/>
      </c>
      <c r="Q2242">
        <f>IFERROR(1/IF(Inputs!$B$38="pvp",15,MAX(0.1,Skills!D11-IF(Skills!E11=TRUE,Inputs!$B$32,0))),0)</f>
        <v/>
      </c>
      <c r="R2242">
        <f>IF(AND(Inputs!$B$38&lt;&gt;"pvp",Inputs!$B$43&gt;0),IF(MAX(0,Inputs!$B$43-B2270)&lt;=0,0,(INT(MAX(0,Inputs!$B$43-B2270)/IF(Inputs!$B$38="pvp",15,MAX(0.1,Skills!D11-IF(Skills!E11=TRUE,Inputs!$B$32,0))))+1)),0)</f>
        <v/>
      </c>
      <c r="S2242">
        <f>IFERROR((H2242*N2242*IF(AND(Inputs!$B$38&lt;&gt;"pvp",Inputs!$B$43&gt;0),((Skills!G11*((R2242-1)*IF(Skills!H11&gt;0,Skills!I11/Skills!H11,1)+IF(Skills!H11&gt;0,MIN(Skills!I11,MAX(0,MAX(0,Inputs!$B$43-B2270)-((R2242-1)*IF(Inputs!$B$38="pvp",15,MAX(0.1,Skills!D11-IF(Skills!E11=TRUE,Inputs!$B$32,0))))))/Skills!H11,1)))/Inputs!$B$43),G2242*Q2242))/N2242*IF(Inputs!$B$38="pvp",1,(1-Summary!$B$11)*1+Summary!$B$11*(MIN(Skills!R11,Inputs!$B$37))),0)</f>
        <v/>
      </c>
      <c r="T2242">
        <f>IF(C2242,(H2242*N2242*IF(AND(Inputs!$B$38&lt;&gt;"pvp",Inputs!$B$43&gt;0),((Skills!G11*((R2242-1)*IF(Skills!H11&gt;0,Skills!I11/Skills!H11,1)+IF(Skills!H11&gt;0,MIN(Skills!I11,MAX(0,MAX(0,Inputs!$B$43-B2270)-((R2242-1)*IF(Inputs!$B$38="pvp",15,MAX(0.1,Skills!D11-IF(Skills!E11=TRUE,Inputs!$B$32,0))))))/Skills!H11,1)))/Inputs!$B$43),G2242*Q2242))*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Hunt"),CHOOSE(ArtifactsInput!$N$35+1,15,18,21,24,27,30)*(1-EXP(-(0.2*B2265)*5)),0)+IF(AND(ArtifactsInput!$M$22,Inputs!$B$4&lt;&gt;"Chapter Hunt"),CHOOSE(ArtifactsInput!$N$22+1,10,12,14,16,18,20)*((0*(((0.15*B2265*5))^0/1)+1*(((0.15*B2265*5))^1/1)+2*(((0.15*B2265*5))^2/2)+3*(((0.15*B2265*5))^3/6)+4*(((0.15*B2265*5))^4/24)+5*(((0.15*B2265*5))^5/120))/((((0.15*B2265*5))^0/1)+(((0.15*B2265*5))^1/1)+(((0.15*B2265*5))^2/2)+(((0.15*B2265*5))^3/6)+(((0.15*B2265*5))^4/24)+(((0.15*B2265*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2242*(1-MIN(100,(Inputs!$B$9+((C2250=TRUE)*(F2250-Calc!F19))+B2263+(ArtifactsInput!$M$24-ArtifactsInput!$M$24)*CHOOSE(ArtifactsInput!$N$24+1,10,12,14,16,18,20)+(IF(AND(ArtifactsInput!$M$42,((Inputs!$B$9+((C2250=TRUE)*(F2250-Calc!F19))+B2263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2242*(MIN(100,(Inputs!$B$9+((C2250=TRUE)*(F2250-Calc!F19))+B2263+(ArtifactsInput!$M$24-ArtifactsInput!$M$24)*CHOOSE(ArtifactsInput!$N$24+1,10,12,14,16,18,20)+(IF(AND(ArtifactsInput!$M$42,((Inputs!$B$9+((C2250=TRUE)*(F2250-Calc!F19))+B2263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2242*(1-MIN(100,(Inputs!$B$9+((C2250=TRUE)*(F2250-Calc!F19))+B2263+(ArtifactsInput!$M$24-ArtifactsInput!$M$24)*CHOOSE(ArtifactsInput!$N$24+1,10,12,14,16,18,20)+(IF(AND(ArtifactsInput!$M$42,((Inputs!$B$9+((C2250=TRUE)*(F2250-Calc!F19))+B2263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2242*(MIN(100,(Inputs!$B$9+((C2250=TRUE)*(F2250-Calc!F19))+B2263+(ArtifactsInput!$M$24-ArtifactsInput!$M$24)*CHOOSE(ArtifactsInput!$N$24+1,10,12,14,16,18,20)+(IF(AND(ArtifactsInput!$M$42,((Inputs!$B$9+((C2250=TRUE)*(F2250-Calc!F19))+B2263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242">
        <f>IF(C2242,(H2242*N2242*IF(AND(Inputs!$B$38&lt;&gt;"pvp",Inputs!$B$43&gt;0),((Skills!G11*((R2242-1)*IF(Skills!H11&gt;0,Skills!I11/Skills!H11,1)+IF(Skills!H11&gt;0,MIN(Skills!I11,MAX(0,MAX(0,Inputs!$B$43-B2270)-((R2242-1)*IF(Inputs!$B$38="pvp",15,MAX(0.1,Skills!D11-IF(Skills!E11=TRUE,Inputs!$B$32,0))))))/Skills!H11,1)))/Inputs!$B$43),G2242*Q2242))*IF(Inputs!$B$38="pvp",1,(1+(Inputs!$B$21+Skills!Q11+(IF(ArtifactsInput!$M$33,CHOOSE(ArtifactsInput!$N$33+1,30,36,42,48,54,60),0))+(IF(AND(ArtifactsInput!$M$35,Inputs!$B$4&lt;&gt;"Chapter Hunt"),CHOOSE(ArtifactsInput!$N$35+1,15,18,21,24,27,30)*(1-EXP(-(0.2*B2265)*5)),0)+IF(AND(ArtifactsInput!$M$22,Inputs!$B$4&lt;&gt;"Chapter Hunt"),CHOOSE(ArtifactsInput!$N$22+1,10,12,14,16,18,20)*((0*(((0.15*B2265*5))^0/1)+1*(((0.15*B2265*5))^1/1)+2*(((0.15*B2265*5))^2/2)+3*(((0.15*B2265*5))^3/6)+4*(((0.15*B2265*5))^4/24)+5*(((0.15*B2265*5))^5/120))/((((0.15*B2265*5))^0/1)+(((0.15*B2265*5))^1/1)+(((0.15*B2265*5))^2/2)+(((0.15*B2265*5))^3/6)+(((0.15*B2265*5))^4/24)+(((0.15*B2265*5))^5/120))),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243">
      <c r="A2243">
        <f>Skills!A12</f>
        <v/>
      </c>
      <c r="B2243">
        <f>Skills!B12</f>
        <v/>
      </c>
      <c r="C2243">
        <f>Inputs!$B$3&gt;=60</f>
        <v/>
      </c>
      <c r="D2243">
        <f>IF(Skills!C12=1,60+Inputs!$B$25+Inputs!$B$29,IF(Skills!C12=2,90+Inputs!$B$26+Inputs!$B$29,IF(Skills!C12=3,120+Inputs!$B$27+Inputs!$B$29,MAX(0,(Inputs!$B$3-100)*3)+Inputs!$B$28+Inputs!$B$29)))</f>
        <v/>
      </c>
      <c r="E2243">
        <f>INDEX(FactorTable!$B$2:$Y$301, MATCH(ROUND(MIN(300,MAX(1,D2243)),0), FactorTable!$A$2:$A$301,0), Skills!M12+1)</f>
        <v/>
      </c>
      <c r="F2243">
        <f>IF(Skills!N12=TRUE,(Skills!L12/10)*(E2243/1000),Skills!L12/10)+Skills!O12</f>
        <v/>
      </c>
      <c r="G2243">
        <f>Skills!G12*IF(Skills!H12&gt;0,Skills!I12/Skills!H12,1)</f>
        <v/>
      </c>
      <c r="H2243">
        <f>1-(1-Skills!J12/100)^Skills!K12</f>
        <v/>
      </c>
      <c r="I2243" t="inlineStr">
        <is>
          <t>1</t>
        </is>
      </c>
      <c r="J2243" t="inlineStr"/>
      <c r="K2243" t="inlineStr"/>
      <c r="L2243" t="inlineStr"/>
      <c r="M2243" t="inlineStr"/>
      <c r="N2243" t="inlineStr"/>
      <c r="O2243">
        <f>(1-Summary!$B$11)*T2243+Summary!$B$11*V2243</f>
        <v/>
      </c>
      <c r="P2243">
        <f>IF(B2273=0,0,O2243/B2273)</f>
        <v/>
      </c>
      <c r="Q2243" t="n">
        <v>0</v>
      </c>
      <c r="R2243" t="n">
        <v>0</v>
      </c>
      <c r="S2243" t="n">
        <v>0</v>
      </c>
      <c r="T2243" t="n">
        <v>0</v>
      </c>
      <c r="V2243" t="n">
        <v>0</v>
      </c>
    </row>
    <row r="2244">
      <c r="A2244">
        <f>Skills!A13</f>
        <v/>
      </c>
      <c r="B2244">
        <f>Skills!B13</f>
        <v/>
      </c>
      <c r="C2244">
        <f>Inputs!$B$3&gt;=74</f>
        <v/>
      </c>
      <c r="D2244">
        <f>IF(Skills!C13=1,60+Inputs!$B$25+Inputs!$B$29,IF(Skills!C13=2,90+Inputs!$B$26+Inputs!$B$29,IF(Skills!C13=3,120+Inputs!$B$27+Inputs!$B$29,MAX(0,(Inputs!$B$3-100)*3)+Inputs!$B$28+Inputs!$B$29)))</f>
        <v/>
      </c>
      <c r="E2244">
        <f>INDEX(FactorTable!$B$2:$Y$301, MATCH(ROUND(MIN(300,MAX(1,D2244)),0), FactorTable!$A$2:$A$301,0), Skills!M13+1)</f>
        <v/>
      </c>
      <c r="F2244">
        <f>IF(Skills!N13=TRUE,(Skills!L13/10)*(E2244/1000),Skills!L13/10)+Skills!O13</f>
        <v/>
      </c>
      <c r="G2244">
        <f>Skills!G13*IF(Skills!H13&gt;0,Skills!I13/Skills!H13,1)</f>
        <v/>
      </c>
      <c r="H2244">
        <f>1-(1-Skills!J13/100)^Skills!K13</f>
        <v/>
      </c>
      <c r="I2244" t="inlineStr">
        <is>
          <t>1</t>
        </is>
      </c>
      <c r="J2244" t="inlineStr"/>
      <c r="K2244" t="inlineStr"/>
      <c r="L2244" t="inlineStr"/>
      <c r="M2244" t="inlineStr"/>
      <c r="N2244" t="inlineStr"/>
      <c r="O2244">
        <f>(1-Summary!$B$11)*T2244+Summary!$B$11*V2244</f>
        <v/>
      </c>
      <c r="P2244">
        <f>IF(B2273=0,0,O2244/B2273)</f>
        <v/>
      </c>
      <c r="Q2244" t="n">
        <v>0</v>
      </c>
      <c r="R2244" t="n">
        <v>0</v>
      </c>
      <c r="S2244" t="n">
        <v>0</v>
      </c>
      <c r="T2244" t="n">
        <v>0</v>
      </c>
      <c r="V2244" t="n">
        <v>0</v>
      </c>
    </row>
    <row r="2245">
      <c r="A2245">
        <f>Skills!A14</f>
        <v/>
      </c>
      <c r="B2245">
        <f>Skills!B14</f>
        <v/>
      </c>
      <c r="C2245">
        <f>Inputs!$B$3&gt;=74</f>
        <v/>
      </c>
      <c r="D2245">
        <f>IF(Skills!C14=1,60+Inputs!$B$25+Inputs!$B$29,IF(Skills!C14=2,90+Inputs!$B$26+Inputs!$B$29,IF(Skills!C14=3,120+Inputs!$B$27+Inputs!$B$29,MAX(0,(Inputs!$B$3-100)*3)+Inputs!$B$28+Inputs!$B$29)))</f>
        <v/>
      </c>
      <c r="E2245">
        <f>INDEX(FactorTable!$B$2:$Y$301, MATCH(ROUND(MIN(300,MAX(1,D2245)),0), FactorTable!$A$2:$A$301,0), Skills!M14+1)</f>
        <v/>
      </c>
      <c r="F2245">
        <f>IF(Skills!N14=TRUE,(Skills!L14/10)*(E2245/1000),Skills!L14/10)+Skills!O14</f>
        <v/>
      </c>
      <c r="G2245">
        <f>Skills!G14*IF(Skills!H14&gt;0,Skills!I14/Skills!H14,1)</f>
        <v/>
      </c>
      <c r="H2245">
        <f>1-(1-Skills!J14/100)^Skills!K14</f>
        <v/>
      </c>
      <c r="I2245" t="inlineStr">
        <is>
          <t>1</t>
        </is>
      </c>
      <c r="J2245" t="inlineStr"/>
      <c r="K2245" t="inlineStr"/>
      <c r="L2245" t="inlineStr"/>
      <c r="M2245" t="inlineStr"/>
      <c r="N2245" t="inlineStr"/>
      <c r="O2245">
        <f>(1-Summary!$B$11)*T2245+Summary!$B$11*V2245</f>
        <v/>
      </c>
      <c r="P2245">
        <f>IF(B2273=0,0,O2245/B2273)</f>
        <v/>
      </c>
      <c r="Q2245" t="n">
        <v>0</v>
      </c>
      <c r="R2245" t="n">
        <v>0</v>
      </c>
      <c r="S2245" t="n">
        <v>0</v>
      </c>
      <c r="T2245" t="n">
        <v>0</v>
      </c>
      <c r="V2245" t="n">
        <v>0</v>
      </c>
    </row>
    <row r="2246">
      <c r="A2246">
        <f>Skills!A15</f>
        <v/>
      </c>
      <c r="B2246">
        <f>Skills!B15</f>
        <v/>
      </c>
      <c r="C2246">
        <f>Inputs!$B$3&gt;=117</f>
        <v/>
      </c>
      <c r="D2246">
        <f>IF(Skills!C15=1,60+Inputs!$B$25+Inputs!$B$29,IF(Skills!C15=2,90+Inputs!$B$26+Inputs!$B$29,IF(Skills!C15=3,120+Inputs!$B$27+Inputs!$B$29,MAX(0,(Inputs!$B$3-100)*3)+Inputs!$B$28+Inputs!$B$29)))</f>
        <v/>
      </c>
      <c r="E2246">
        <f>INDEX(FactorTable!$B$2:$Y$301, MATCH(ROUND(MIN(300,MAX(1,D2246)),0), FactorTable!$A$2:$A$301,0), Skills!M15+1)</f>
        <v/>
      </c>
      <c r="F2246">
        <f>IF(Skills!N15=TRUE,(Skills!L15/10)*(E2246/1000),Skills!L15/10)+Skills!O15</f>
        <v/>
      </c>
      <c r="G2246">
        <f>Skills!G15*IF(Skills!H15&gt;0,Skills!I15/Skills!H15,1)</f>
        <v/>
      </c>
      <c r="H2246">
        <f>1-(1-Skills!J15/100)^Skills!K15</f>
        <v/>
      </c>
      <c r="I2246" t="inlineStr">
        <is>
          <t>1</t>
        </is>
      </c>
      <c r="J2246" t="inlineStr"/>
      <c r="K2246" t="inlineStr"/>
      <c r="L2246" t="inlineStr"/>
      <c r="M2246" t="inlineStr"/>
      <c r="N2246" t="inlineStr"/>
      <c r="O2246">
        <f>(1-Summary!$B$11)*T2246+Summary!$B$11*V2246</f>
        <v/>
      </c>
      <c r="P2246">
        <f>IF(B2273=0,0,O2246/B2273)</f>
        <v/>
      </c>
      <c r="Q2246">
        <f>IFERROR(1/IF(Inputs!$B$38="pvp",15,MAX(0.1,Skills!D15-IF(Skills!E15=TRUE,Inputs!$B$32,0))),0)</f>
        <v/>
      </c>
      <c r="R2246">
        <f>IF(AND(Inputs!$B$38&lt;&gt;"pvp",Inputs!$B$43&gt;0),IF(Inputs!$B$43&lt;=0,0,(INT(Inputs!$B$43/IF(Inputs!$B$38="pvp",15,MAX(0.1,Skills!D15-IF(Skills!E15=TRUE,Inputs!$B$32,0))))+1)),0)</f>
        <v/>
      </c>
      <c r="S2246" t="n">
        <v>0</v>
      </c>
      <c r="T2246" t="n">
        <v>0</v>
      </c>
      <c r="V2246" t="n">
        <v>0</v>
      </c>
    </row>
    <row r="2247">
      <c r="A2247">
        <f>Skills!A16</f>
        <v/>
      </c>
      <c r="B2247">
        <f>Skills!B16</f>
        <v/>
      </c>
      <c r="C2247">
        <f>Inputs!$B$3&gt;=115</f>
        <v/>
      </c>
      <c r="D2247">
        <f>IF(Skills!C16=1,60+Inputs!$B$25+Inputs!$B$29,IF(Skills!C16=2,90+Inputs!$B$26+Inputs!$B$29,IF(Skills!C16=3,120+Inputs!$B$27+Inputs!$B$29,MAX(0,(Inputs!$B$3-100)*3)+Inputs!$B$28+Inputs!$B$29)))</f>
        <v/>
      </c>
      <c r="E2247">
        <f>INDEX(FactorTable!$B$2:$Y$301, MATCH(ROUND(MIN(300,MAX(1,D2247)),0), FactorTable!$A$2:$A$301,0), Skills!M16+1)</f>
        <v/>
      </c>
      <c r="F2247">
        <f>IF(Skills!N16=TRUE,(Skills!L16/10)*(E2247/1000),Skills!L16/10)+Skills!O16</f>
        <v/>
      </c>
      <c r="G2247">
        <f>Skills!G16*IF(Skills!H16&gt;0,Skills!I16/Skills!H16,1)</f>
        <v/>
      </c>
      <c r="H2247">
        <f>1-(1-Skills!J16/100)^Skills!K16</f>
        <v/>
      </c>
      <c r="I2247" t="inlineStr">
        <is>
          <t>1</t>
        </is>
      </c>
      <c r="J2247" t="inlineStr"/>
      <c r="K2247" t="inlineStr"/>
      <c r="L2247" t="inlineStr"/>
      <c r="M2247" t="inlineStr"/>
      <c r="N2247" t="inlineStr"/>
      <c r="O2247">
        <f>(1-Summary!$B$11)*T2247+Summary!$B$11*V2247</f>
        <v/>
      </c>
      <c r="P2247">
        <f>IF(B2273=0,0,O2247/B2273)</f>
        <v/>
      </c>
      <c r="Q2247">
        <f>IFERROR(1/IF(Inputs!$B$38="pvp",15,MAX(0.1,Skills!D16-IF(Skills!E16=TRUE,Inputs!$B$32,0))),0)</f>
        <v/>
      </c>
      <c r="R2247">
        <f>IF(AND(Inputs!$B$38&lt;&gt;"pvp",Inputs!$B$43&gt;0),IF(Inputs!$B$43&lt;=0,0,(INT(Inputs!$B$43/IF(Inputs!$B$38="pvp",15,MAX(0.1,Skills!D16-IF(Skills!E16=TRUE,Inputs!$B$32,0))))+1)),0)</f>
        <v/>
      </c>
      <c r="S2247" t="n">
        <v>0</v>
      </c>
      <c r="T2247" t="n">
        <v>0</v>
      </c>
      <c r="V2247" t="n">
        <v>0</v>
      </c>
    </row>
    <row r="2248">
      <c r="A2248">
        <f>Skills!A17</f>
        <v/>
      </c>
      <c r="B2248">
        <f>Skills!B17</f>
        <v/>
      </c>
      <c r="C2248">
        <f>Inputs!$B$3&gt;=72</f>
        <v/>
      </c>
      <c r="D2248">
        <f>IF(Skills!C17=1,60+Inputs!$B$25+Inputs!$B$29,IF(Skills!C17=2,90+Inputs!$B$26+Inputs!$B$29,IF(Skills!C17=3,120+Inputs!$B$27+Inputs!$B$29,MAX(0,(Inputs!$B$3-100)*3)+Inputs!$B$28+Inputs!$B$29)))</f>
        <v/>
      </c>
      <c r="E2248">
        <f>INDEX(FactorTable!$B$2:$Y$301, MATCH(ROUND(MIN(300,MAX(1,D2248)),0), FactorTable!$A$2:$A$301,0), Skills!M17+1)</f>
        <v/>
      </c>
      <c r="F2248">
        <f>IF(Skills!N17=TRUE,(Skills!L17/10)*(E2248/1000),Skills!L17/10)+Skills!O17</f>
        <v/>
      </c>
      <c r="G2248">
        <f>Skills!G17*IF(Skills!H17&gt;0,Skills!I17/Skills!H17,1)</f>
        <v/>
      </c>
      <c r="H2248">
        <f>1-(1-Skills!J17/100)^Skills!K17</f>
        <v/>
      </c>
      <c r="I2248" t="inlineStr">
        <is>
          <t>1</t>
        </is>
      </c>
      <c r="J2248" t="inlineStr"/>
      <c r="K2248" t="inlineStr"/>
      <c r="L2248" t="inlineStr"/>
      <c r="M2248" t="inlineStr"/>
      <c r="N2248" t="inlineStr"/>
      <c r="O2248">
        <f>(1-Summary!$B$11)*T2248+Summary!$B$11*V2248</f>
        <v/>
      </c>
      <c r="P2248">
        <f>IF(B2273=0,0,O2248/B2273)</f>
        <v/>
      </c>
      <c r="Q2248" t="n">
        <v>0</v>
      </c>
      <c r="R2248" t="n">
        <v>0</v>
      </c>
      <c r="S2248" t="n">
        <v>0</v>
      </c>
      <c r="T2248" t="n">
        <v>0</v>
      </c>
      <c r="V2248" t="n">
        <v>0</v>
      </c>
    </row>
    <row r="2249">
      <c r="A2249">
        <f>Skills!A18</f>
        <v/>
      </c>
      <c r="B2249">
        <f>Skills!B18</f>
        <v/>
      </c>
      <c r="C2249">
        <f>TRUE</f>
        <v/>
      </c>
      <c r="D2249">
        <f>IF(Skills!C18=1,60+Inputs!$B$25+Inputs!$B$29,IF(Skills!C18=2,90+Inputs!$B$26+Inputs!$B$29,IF(Skills!C18=3,120+Inputs!$B$27+Inputs!$B$29,MAX(0,(Inputs!$B$3-100)*3)+Inputs!$B$28+Inputs!$B$29)))</f>
        <v/>
      </c>
      <c r="E2249">
        <f>INDEX(FactorTable!$B$2:$Y$301, MATCH(ROUND(MIN(300,MAX(1,D2249)),0), FactorTable!$A$2:$A$301,0), Skills!M18+1)</f>
        <v/>
      </c>
      <c r="F2249">
        <f>IF(Skills!N18=TRUE,(Skills!L18/10)*(E2249/1000),Skills!L18/10)+Skills!O18</f>
        <v/>
      </c>
      <c r="G2249">
        <f>Skills!G18*IF(Skills!H18&gt;0,Skills!I18/Skills!H18,1)</f>
        <v/>
      </c>
      <c r="H2249">
        <f>1-(1-Skills!J18/100)^Skills!K18</f>
        <v/>
      </c>
      <c r="I2249" t="inlineStr">
        <is>
          <t>1</t>
        </is>
      </c>
      <c r="J2249" t="inlineStr"/>
      <c r="K2249" t="inlineStr"/>
      <c r="L2249" t="inlineStr"/>
      <c r="M2249" t="inlineStr"/>
      <c r="N2249" t="inlineStr"/>
      <c r="O2249">
        <f>(1-Summary!$B$11)*T2249+Summary!$B$11*V2249</f>
        <v/>
      </c>
      <c r="P2249">
        <f>IF(B2273=0,0,O2249/B2273)</f>
        <v/>
      </c>
      <c r="Q2249">
        <f>IFERROR(1/IF(Inputs!$B$38="pvp",15,MAX(0.1,Skills!D18-IF(Skills!E18=TRUE,Inputs!$B$32,0))),0)</f>
        <v/>
      </c>
      <c r="R2249">
        <f>IF(AND(Inputs!$B$38&lt;&gt;"pvp",Inputs!$B$43&gt;0),IF(Inputs!$B$43&lt;=0,0,(INT(Inputs!$B$43/IF(Inputs!$B$38="pvp",15,MAX(0.1,Skills!D18-IF(Skills!E18=TRUE,Inputs!$B$32,0))))+1)),0)</f>
        <v/>
      </c>
      <c r="S2249" t="n">
        <v>0</v>
      </c>
      <c r="T2249" t="n">
        <v>0</v>
      </c>
      <c r="V2249" t="n">
        <v>0</v>
      </c>
    </row>
    <row r="2250">
      <c r="A2250">
        <f>Skills!A19</f>
        <v/>
      </c>
      <c r="B2250">
        <f>Skills!B19</f>
        <v/>
      </c>
      <c r="C2250">
        <f>Inputs!$B$3&gt;=15</f>
        <v/>
      </c>
      <c r="D2250">
        <f>IF(Skills!C19=1,60+Inputs!$B$25+Inputs!$B$29,IF(Skills!C19=2,90+Inputs!$B$26+Inputs!$B$29,IF(Skills!C19=3,120+Inputs!$B$27+Inputs!$B$29,MAX(0,(Inputs!$B$3-100)*3)+Inputs!$B$28+Inputs!$B$29)))</f>
        <v/>
      </c>
      <c r="E2250">
        <f>INDEX(FactorTable!$B$2:$Y$301, MATCH(ROUND(MIN(300,MAX(1,D2250)),0), FactorTable!$A$2:$A$301,0), Skills!M19+1)</f>
        <v/>
      </c>
      <c r="F2250">
        <f>IF(Skills!N19=TRUE,(Skills!L19/10)*(E2250/1000),Skills!L19/10)+Skills!O19</f>
        <v/>
      </c>
      <c r="G2250">
        <f>Skills!G19*IF(Skills!H19&gt;0,Skills!I19/Skills!H19,1)</f>
        <v/>
      </c>
      <c r="H2250">
        <f>1-(1-Skills!J19/100)^Skills!K19</f>
        <v/>
      </c>
      <c r="I2250" t="inlineStr">
        <is>
          <t>1</t>
        </is>
      </c>
      <c r="J2250" t="inlineStr"/>
      <c r="K2250" t="inlineStr"/>
      <c r="L2250" t="inlineStr"/>
      <c r="M2250" t="inlineStr"/>
      <c r="N2250" t="inlineStr"/>
      <c r="O2250">
        <f>(1-Summary!$B$11)*T2250+Summary!$B$11*V2250</f>
        <v/>
      </c>
      <c r="P2250">
        <f>IF(B2273=0,0,O2250/B2273)</f>
        <v/>
      </c>
      <c r="Q2250" t="n">
        <v>0</v>
      </c>
      <c r="R2250" t="n">
        <v>0</v>
      </c>
      <c r="S2250" t="n">
        <v>0</v>
      </c>
      <c r="T2250" t="n">
        <v>0</v>
      </c>
      <c r="V2250" t="n">
        <v>0</v>
      </c>
    </row>
    <row r="2251">
      <c r="A2251">
        <f>Skills!A20</f>
        <v/>
      </c>
      <c r="B2251">
        <f>Skills!B20</f>
        <v/>
      </c>
      <c r="C2251">
        <f>Inputs!$B$3&gt;=10</f>
        <v/>
      </c>
      <c r="D2251">
        <f>IF(Skills!C20=1,60+Inputs!$B$25+Inputs!$B$29,IF(Skills!C20=2,90+Inputs!$B$26+Inputs!$B$29,IF(Skills!C20=3,120+Inputs!$B$27+Inputs!$B$29,MAX(0,(Inputs!$B$3-100)*3)+Inputs!$B$28+Inputs!$B$29)))</f>
        <v/>
      </c>
      <c r="E2251">
        <f>INDEX(FactorTable!$B$2:$Y$301, MATCH(ROUND(MIN(300,MAX(1,D2251)),0), FactorTable!$A$2:$A$301,0), Skills!M20+1)</f>
        <v/>
      </c>
      <c r="F2251">
        <f>IF(Skills!N20=TRUE,(Skills!L20/10)*(E2251/1000),Skills!L20/10)+Skills!O20</f>
        <v/>
      </c>
      <c r="G2251">
        <f>Skills!G20*IF(Skills!H20&gt;0,Skills!I20/Skills!H20,1)</f>
        <v/>
      </c>
      <c r="H2251">
        <f>1-(1-Skills!J20/100)^Skills!K20</f>
        <v/>
      </c>
      <c r="I2251" t="inlineStr">
        <is>
          <t>1</t>
        </is>
      </c>
      <c r="J2251" t="inlineStr"/>
      <c r="K2251" t="inlineStr"/>
      <c r="L2251" t="inlineStr"/>
      <c r="M2251" t="inlineStr"/>
      <c r="N2251" t="inlineStr"/>
      <c r="O2251">
        <f>(1-Summary!$B$11)*T2251+Summary!$B$11*V2251</f>
        <v/>
      </c>
      <c r="P2251">
        <f>IF(B2273=0,0,O2251/B2273)</f>
        <v/>
      </c>
      <c r="Q2251" t="n">
        <v>0</v>
      </c>
      <c r="R2251" t="n">
        <v>0</v>
      </c>
      <c r="S2251" t="n">
        <v>0</v>
      </c>
      <c r="T2251" t="n">
        <v>0</v>
      </c>
      <c r="V2251" t="n">
        <v>0</v>
      </c>
    </row>
    <row r="2252">
      <c r="A2252">
        <f>Skills!A21</f>
        <v/>
      </c>
      <c r="B2252">
        <f>Skills!B21</f>
        <v/>
      </c>
      <c r="C2252">
        <f>Inputs!$B$3&gt;=33</f>
        <v/>
      </c>
      <c r="D2252">
        <f>IF(Skills!C21=1,60+Inputs!$B$25+Inputs!$B$29,IF(Skills!C21=2,90+Inputs!$B$26+Inputs!$B$29,IF(Skills!C21=3,120+Inputs!$B$27+Inputs!$B$29,MAX(0,(Inputs!$B$3-100)*3)+Inputs!$B$28+Inputs!$B$29)))</f>
        <v/>
      </c>
      <c r="E2252">
        <f>INDEX(FactorTable!$B$2:$Y$301, MATCH(ROUND(MIN(300,MAX(1,D2252)),0), FactorTable!$A$2:$A$301,0), Skills!M21+1)</f>
        <v/>
      </c>
      <c r="F2252">
        <f>IF(Skills!N21=TRUE,(Skills!L21/10)*(E2252/1000),Skills!L21/10)+Skills!O21</f>
        <v/>
      </c>
      <c r="G2252">
        <f>Skills!G21*IF(Skills!H21&gt;0,Skills!I21/Skills!H21,1)</f>
        <v/>
      </c>
      <c r="H2252">
        <f>1-(1-Skills!J21/100)^Skills!K21</f>
        <v/>
      </c>
      <c r="I2252" t="inlineStr">
        <is>
          <t>1</t>
        </is>
      </c>
      <c r="J2252" t="inlineStr"/>
      <c r="K2252" t="inlineStr"/>
      <c r="L2252" t="inlineStr"/>
      <c r="M2252" t="inlineStr"/>
      <c r="N2252" t="inlineStr"/>
      <c r="O2252">
        <f>(1-Summary!$B$11)*T2252+Summary!$B$11*V2252</f>
        <v/>
      </c>
      <c r="P2252">
        <f>IF(B2273=0,0,O2252/B2273)</f>
        <v/>
      </c>
      <c r="Q2252" t="n">
        <v>0</v>
      </c>
      <c r="R2252" t="n">
        <v>0</v>
      </c>
      <c r="S2252" t="n">
        <v>0</v>
      </c>
      <c r="T2252" t="n">
        <v>0</v>
      </c>
      <c r="V2252" t="n">
        <v>0</v>
      </c>
    </row>
    <row r="2253">
      <c r="A2253">
        <f>Skills!A22</f>
        <v/>
      </c>
      <c r="B2253">
        <f>Skills!B22</f>
        <v/>
      </c>
      <c r="C2253">
        <f>Inputs!$B$3&gt;=38</f>
        <v/>
      </c>
      <c r="D2253">
        <f>IF(Skills!C22=1,60+Inputs!$B$25+Inputs!$B$29,IF(Skills!C22=2,90+Inputs!$B$26+Inputs!$B$29,IF(Skills!C22=3,120+Inputs!$B$27+Inputs!$B$29,MAX(0,(Inputs!$B$3-100)*3)+Inputs!$B$28+Inputs!$B$29)))</f>
        <v/>
      </c>
      <c r="E2253">
        <f>INDEX(FactorTable!$B$2:$Y$301, MATCH(ROUND(MIN(300,MAX(1,D2253)),0), FactorTable!$A$2:$A$301,0), Skills!M22+1)</f>
        <v/>
      </c>
      <c r="F2253">
        <f>IF(Skills!N22=TRUE,(Skills!L22/10)*(E2253/1000),Skills!L22/10)+Skills!O22</f>
        <v/>
      </c>
      <c r="G2253">
        <f>Skills!G22*IF(Skills!H22&gt;0,Skills!I22/Skills!H22,1)</f>
        <v/>
      </c>
      <c r="H2253">
        <f>1-(1-Skills!J22/100)^Skills!K22</f>
        <v/>
      </c>
      <c r="I2253" t="inlineStr">
        <is>
          <t>1</t>
        </is>
      </c>
      <c r="J2253" t="inlineStr"/>
      <c r="K2253" t="inlineStr"/>
      <c r="L2253" t="inlineStr"/>
      <c r="M2253" t="inlineStr"/>
      <c r="N2253" t="inlineStr"/>
      <c r="O2253">
        <f>(1-Summary!$B$11)*T2253+Summary!$B$11*V2253</f>
        <v/>
      </c>
      <c r="P2253">
        <f>IF(B2273=0,0,O2253/B2273)</f>
        <v/>
      </c>
      <c r="Q2253" t="n">
        <v>0</v>
      </c>
      <c r="R2253" t="n">
        <v>0</v>
      </c>
      <c r="S2253" t="n">
        <v>0</v>
      </c>
      <c r="T2253" t="n">
        <v>0</v>
      </c>
      <c r="V2253" t="n">
        <v>0</v>
      </c>
    </row>
    <row r="2254">
      <c r="A2254">
        <f>Skills!A23</f>
        <v/>
      </c>
      <c r="B2254">
        <f>Skills!B23</f>
        <v/>
      </c>
      <c r="C2254">
        <f>Inputs!$B$3&gt;=43</f>
        <v/>
      </c>
      <c r="D2254">
        <f>IF(Skills!C23=1,60+Inputs!$B$25+Inputs!$B$29,IF(Skills!C23=2,90+Inputs!$B$26+Inputs!$B$29,IF(Skills!C23=3,120+Inputs!$B$27+Inputs!$B$29,MAX(0,(Inputs!$B$3-100)*3)+Inputs!$B$28+Inputs!$B$29)))</f>
        <v/>
      </c>
      <c r="E2254">
        <f>INDEX(FactorTable!$B$2:$Y$301, MATCH(ROUND(MIN(300,MAX(1,D2254)),0), FactorTable!$A$2:$A$301,0), Skills!M23+1)</f>
        <v/>
      </c>
      <c r="F2254">
        <f>IF(Skills!N23=TRUE,(Skills!L23/10)*(E2254/1000),Skills!L23/10)+Skills!O23</f>
        <v/>
      </c>
      <c r="G2254">
        <f>Skills!G23*IF(Skills!H23&gt;0,Skills!I23/Skills!H23,1)</f>
        <v/>
      </c>
      <c r="H2254">
        <f>1-(1-Skills!J23/100)^Skills!K23</f>
        <v/>
      </c>
      <c r="I2254" t="inlineStr">
        <is>
          <t>1</t>
        </is>
      </c>
      <c r="J2254" t="inlineStr"/>
      <c r="K2254" t="inlineStr"/>
      <c r="L2254" t="inlineStr"/>
      <c r="M2254" t="inlineStr"/>
      <c r="N2254" t="inlineStr"/>
      <c r="O2254">
        <f>(1-Summary!$B$11)*T2254+Summary!$B$11*V2254</f>
        <v/>
      </c>
      <c r="P2254">
        <f>IF(B2273=0,0,O2254/B2273)</f>
        <v/>
      </c>
      <c r="Q2254" t="n">
        <v>0</v>
      </c>
      <c r="R2254" t="n">
        <v>0</v>
      </c>
      <c r="S2254" t="n">
        <v>0</v>
      </c>
      <c r="T2254" t="n">
        <v>0</v>
      </c>
      <c r="V2254" t="n">
        <v>0</v>
      </c>
    </row>
    <row r="2255">
      <c r="A2255">
        <f>Skills!A24</f>
        <v/>
      </c>
      <c r="B2255">
        <f>Skills!B24</f>
        <v/>
      </c>
      <c r="C2255">
        <f>Inputs!$B$3&gt;=75</f>
        <v/>
      </c>
      <c r="D2255">
        <f>IF(Skills!C24=1,60+Inputs!$B$25+Inputs!$B$29,IF(Skills!C24=2,90+Inputs!$B$26+Inputs!$B$29,IF(Skills!C24=3,120+Inputs!$B$27+Inputs!$B$29,MAX(0,(Inputs!$B$3-100)*3)+Inputs!$B$28+Inputs!$B$29)))</f>
        <v/>
      </c>
      <c r="E2255">
        <f>INDEX(FactorTable!$B$2:$Y$301, MATCH(ROUND(MIN(300,MAX(1,D2255)),0), FactorTable!$A$2:$A$301,0), Skills!M24+1)</f>
        <v/>
      </c>
      <c r="F2255">
        <f>IF(Skills!N24=TRUE,(Skills!L24/10)*(E2255/1000),Skills!L24/10)+Skills!O24</f>
        <v/>
      </c>
      <c r="G2255">
        <f>Skills!G24*IF(Skills!H24&gt;0,Skills!I24/Skills!H24,1)</f>
        <v/>
      </c>
      <c r="H2255">
        <f>1-(1-Skills!J24/100)^Skills!K24</f>
        <v/>
      </c>
      <c r="I2255" t="inlineStr">
        <is>
          <t>1</t>
        </is>
      </c>
      <c r="J2255" t="inlineStr"/>
      <c r="K2255" t="inlineStr"/>
      <c r="L2255" t="inlineStr"/>
      <c r="M2255" t="inlineStr"/>
      <c r="N2255" t="inlineStr"/>
      <c r="O2255">
        <f>(1-Summary!$B$11)*T2255+Summary!$B$11*V2255</f>
        <v/>
      </c>
      <c r="P2255">
        <f>IF(B2273=0,0,O2255/B2273)</f>
        <v/>
      </c>
      <c r="Q2255" t="n">
        <v>0</v>
      </c>
      <c r="R2255" t="n">
        <v>0</v>
      </c>
      <c r="S2255" t="n">
        <v>0</v>
      </c>
      <c r="T2255" t="n">
        <v>0</v>
      </c>
      <c r="V2255" t="n">
        <v>0</v>
      </c>
    </row>
    <row r="2256">
      <c r="A2256">
        <f>Skills!A25</f>
        <v/>
      </c>
      <c r="B2256">
        <f>Skills!B25</f>
        <v/>
      </c>
      <c r="C2256">
        <f>Inputs!$B$3&gt;=125</f>
        <v/>
      </c>
      <c r="D2256">
        <f>IF(Skills!C25=1,60+Inputs!$B$25+Inputs!$B$29,IF(Skills!C25=2,90+Inputs!$B$26+Inputs!$B$29,IF(Skills!C25=3,120+Inputs!$B$27+Inputs!$B$29,MAX(0,(Inputs!$B$3-100)*3)+Inputs!$B$28+Inputs!$B$29)))</f>
        <v/>
      </c>
      <c r="E2256">
        <f>INDEX(FactorTable!$B$2:$Y$301, MATCH(ROUND(MIN(300,MAX(1,D2256)),0), FactorTable!$A$2:$A$301,0), Skills!M25+1)</f>
        <v/>
      </c>
      <c r="F2256">
        <f>IF(Skills!N25=TRUE,(Skills!L25/10)*(E2256/1000),Skills!L25/10)+Skills!O25</f>
        <v/>
      </c>
      <c r="G2256">
        <f>Skills!G25*IF(Skills!H25&gt;0,Skills!I25/Skills!H25,1)</f>
        <v/>
      </c>
      <c r="H2256">
        <f>1-(1-Skills!J25/100)^Skills!K25</f>
        <v/>
      </c>
      <c r="I2256" t="inlineStr">
        <is>
          <t>1</t>
        </is>
      </c>
      <c r="J2256" t="inlineStr"/>
      <c r="K2256" t="inlineStr"/>
      <c r="L2256" t="inlineStr"/>
      <c r="M2256" t="inlineStr"/>
      <c r="N2256" t="inlineStr"/>
      <c r="O2256">
        <f>(1-Summary!$B$11)*T2256+Summary!$B$11*V2256</f>
        <v/>
      </c>
      <c r="P2256">
        <f>IF(B2273=0,0,O2256/B2273)</f>
        <v/>
      </c>
      <c r="Q2256" t="n">
        <v>0</v>
      </c>
      <c r="R2256" t="n">
        <v>0</v>
      </c>
      <c r="S2256" t="n">
        <v>0</v>
      </c>
      <c r="T2256" t="n">
        <v>0</v>
      </c>
      <c r="V2256" t="n">
        <v>0</v>
      </c>
    </row>
    <row r="2257">
      <c r="A2257">
        <f>Skills!A26</f>
        <v/>
      </c>
      <c r="B2257">
        <f>Skills!B26</f>
        <v/>
      </c>
      <c r="C2257">
        <f>Inputs!$B$3&gt;=125</f>
        <v/>
      </c>
      <c r="D2257">
        <f>IF(Skills!C26=1,60+Inputs!$B$25+Inputs!$B$29,IF(Skills!C26=2,90+Inputs!$B$26+Inputs!$B$29,IF(Skills!C26=3,120+Inputs!$B$27+Inputs!$B$29,MAX(0,(Inputs!$B$3-100)*3)+Inputs!$B$28+Inputs!$B$29)))</f>
        <v/>
      </c>
      <c r="E2257">
        <f>INDEX(FactorTable!$B$2:$Y$301, MATCH(ROUND(MIN(300,MAX(1,D2257)),0), FactorTable!$A$2:$A$301,0), Skills!M26+1)</f>
        <v/>
      </c>
      <c r="F2257">
        <f>IF(Skills!N26=TRUE,(Skills!L26/10)*(E2257/1000),Skills!L26/10)+Skills!O26</f>
        <v/>
      </c>
      <c r="G2257">
        <f>Skills!G26*IF(Skills!H26&gt;0,Skills!I26/Skills!H26,1)</f>
        <v/>
      </c>
      <c r="H2257">
        <f>1-(1-Skills!J26/100)^Skills!K26</f>
        <v/>
      </c>
      <c r="I2257" t="inlineStr">
        <is>
          <t>1</t>
        </is>
      </c>
      <c r="J2257" t="inlineStr"/>
      <c r="K2257" t="inlineStr"/>
      <c r="L2257" t="inlineStr"/>
      <c r="M2257" t="inlineStr"/>
      <c r="N2257" t="inlineStr"/>
      <c r="O2257">
        <f>(1-Summary!$B$11)*T2257+Summary!$B$11*V2257</f>
        <v/>
      </c>
      <c r="P2257">
        <f>IF(B2273=0,0,O2257/B2273)</f>
        <v/>
      </c>
      <c r="Q2257" t="n">
        <v>0</v>
      </c>
      <c r="R2257" t="n">
        <v>0</v>
      </c>
      <c r="S2257" t="n">
        <v>0</v>
      </c>
      <c r="T2257" t="n">
        <v>0</v>
      </c>
      <c r="V2257" t="n">
        <v>0</v>
      </c>
    </row>
    <row r="2258">
      <c r="A2258">
        <f>Skills!A27</f>
        <v/>
      </c>
      <c r="B2258">
        <f>Skills!B27</f>
        <v/>
      </c>
      <c r="C2258">
        <f>Inputs!$B$3&gt;=120</f>
        <v/>
      </c>
      <c r="D2258">
        <f>IF(Skills!C27=1,60+Inputs!$B$25+Inputs!$B$29,IF(Skills!C27=2,90+Inputs!$B$26+Inputs!$B$29,IF(Skills!C27=3,120+Inputs!$B$27+Inputs!$B$29,MAX(0,(Inputs!$B$3-100)*3)+Inputs!$B$28+Inputs!$B$29)))</f>
        <v/>
      </c>
      <c r="E2258">
        <f>INDEX(FactorTable!$B$2:$Y$301, MATCH(ROUND(MIN(300,MAX(1,D2258)),0), FactorTable!$A$2:$A$301,0), Skills!M27+1)</f>
        <v/>
      </c>
      <c r="F2258">
        <f>IF(Skills!N27=TRUE,(Skills!L27/10)*(E2258/1000),Skills!L27/10)+Skills!O27</f>
        <v/>
      </c>
      <c r="G2258">
        <f>Skills!G27*IF(Skills!H27&gt;0,Skills!I27/Skills!H27,1)</f>
        <v/>
      </c>
      <c r="H2258">
        <f>1-(1-Skills!J27/100)^Skills!K27</f>
        <v/>
      </c>
      <c r="I2258" t="inlineStr">
        <is>
          <t>1</t>
        </is>
      </c>
      <c r="J2258" t="inlineStr"/>
      <c r="K2258" t="inlineStr"/>
      <c r="L2258" t="inlineStr"/>
      <c r="M2258" t="inlineStr"/>
      <c r="N2258" t="inlineStr"/>
      <c r="O2258">
        <f>(1-Summary!$B$11)*T2258+Summary!$B$11*V2258</f>
        <v/>
      </c>
      <c r="P2258">
        <f>IF(B2273=0,0,O2258/B2273)</f>
        <v/>
      </c>
      <c r="Q2258" t="n">
        <v>0</v>
      </c>
      <c r="R2258" t="n">
        <v>0</v>
      </c>
      <c r="S2258" t="n">
        <v>0</v>
      </c>
      <c r="T2258" t="n">
        <v>0</v>
      </c>
      <c r="V2258" t="n">
        <v>0</v>
      </c>
    </row>
    <row r="2259">
      <c r="A2259">
        <f>Skills!A28</f>
        <v/>
      </c>
      <c r="B2259">
        <f>Skills!B28</f>
        <v/>
      </c>
      <c r="C2259">
        <f>Inputs!$B$3&gt;=120</f>
        <v/>
      </c>
      <c r="D2259">
        <f>IF(Skills!C28=1,60+Inputs!$B$25+Inputs!$B$29,IF(Skills!C28=2,90+Inputs!$B$26+Inputs!$B$29,IF(Skills!C28=3,120+Inputs!$B$27+Inputs!$B$29,MAX(0,(Inputs!$B$3-100)*3)+Inputs!$B$28+Inputs!$B$29)))</f>
        <v/>
      </c>
      <c r="E2259">
        <f>INDEX(FactorTable!$B$2:$Y$301, MATCH(ROUND(MIN(300,MAX(1,D2259)),0), FactorTable!$A$2:$A$301,0), Skills!M28+1)</f>
        <v/>
      </c>
      <c r="F2259">
        <f>IF(Skills!N28=TRUE,(Skills!L28/10)*(E2259/1000),Skills!L28/10)+Skills!O28</f>
        <v/>
      </c>
      <c r="G2259">
        <f>Skills!G28*IF(Skills!H28&gt;0,Skills!I28/Skills!H28,1)</f>
        <v/>
      </c>
      <c r="H2259">
        <f>1-(1-Skills!J28/100)^Skills!K28</f>
        <v/>
      </c>
      <c r="I2259" t="inlineStr">
        <is>
          <t>1</t>
        </is>
      </c>
      <c r="J2259" t="inlineStr"/>
      <c r="K2259" t="inlineStr"/>
      <c r="L2259" t="inlineStr"/>
      <c r="M2259" t="inlineStr"/>
      <c r="N2259" t="inlineStr"/>
      <c r="O2259">
        <f>(1-Summary!$B$11)*T2259+Summary!$B$11*V2259</f>
        <v/>
      </c>
      <c r="P2259">
        <f>IF(B2273=0,0,O2259/B2273)</f>
        <v/>
      </c>
      <c r="Q2259" t="n">
        <v>0</v>
      </c>
      <c r="R2259" t="n">
        <v>0</v>
      </c>
      <c r="S2259" t="n">
        <v>0</v>
      </c>
      <c r="T2259" t="n">
        <v>0</v>
      </c>
      <c r="V2259" t="n">
        <v>0</v>
      </c>
    </row>
    <row r="2260">
      <c r="A2260">
        <f>Skills!A29</f>
        <v/>
      </c>
      <c r="B2260">
        <f>Skills!B29</f>
        <v/>
      </c>
      <c r="C2260">
        <f>Inputs!$B$3&gt;=45</f>
        <v/>
      </c>
      <c r="D2260">
        <f>IF(Skills!C29=1,60+Inputs!$B$25+Inputs!$B$29,IF(Skills!C29=2,90+Inputs!$B$26+Inputs!$B$29,IF(Skills!C29=3,120+Inputs!$B$27+Inputs!$B$29,MAX(0,(Inputs!$B$3-100)*3)+Inputs!$B$28+Inputs!$B$29)))</f>
        <v/>
      </c>
      <c r="E2260">
        <f>INDEX(FactorTable!$B$2:$Y$301, MATCH(ROUND(MIN(300,MAX(1,D2260)),0), FactorTable!$A$2:$A$301,0), Skills!M29+1)</f>
        <v/>
      </c>
      <c r="F2260">
        <f>IF(Skills!N29=TRUE,(Skills!L29/10)*(E2260/1000),Skills!L29/10)+Skills!O29</f>
        <v/>
      </c>
      <c r="G2260">
        <f>Skills!G29*IF(Skills!H29&gt;0,Skills!I29/Skills!H29,1)</f>
        <v/>
      </c>
      <c r="H2260">
        <f>1-(1-Skills!J29/100)^Skills!K29</f>
        <v/>
      </c>
      <c r="I2260" t="inlineStr">
        <is>
          <t>1</t>
        </is>
      </c>
      <c r="J2260" t="inlineStr"/>
      <c r="K2260" t="inlineStr"/>
      <c r="L2260" t="inlineStr"/>
      <c r="M2260" t="inlineStr"/>
      <c r="N2260" t="inlineStr"/>
      <c r="O2260">
        <f>(1-Summary!$B$11)*T2260+Summary!$B$11*V2260</f>
        <v/>
      </c>
      <c r="P2260">
        <f>IF(B2273=0,0,O2260/B2273)</f>
        <v/>
      </c>
      <c r="Q2260" t="n">
        <v>0</v>
      </c>
      <c r="R2260" t="n">
        <v>0</v>
      </c>
      <c r="S2260" t="n">
        <v>0</v>
      </c>
      <c r="T2260" t="n">
        <v>0</v>
      </c>
      <c r="V2260" t="n">
        <v>0</v>
      </c>
    </row>
    <row r="2262">
      <c r="A2262" t="inlineStr">
        <is>
          <t>Attack% Bucket Multiplier</t>
        </is>
      </c>
      <c r="B2262">
        <f>(1+(((C2244=TRUE)*F2244)+((C2245=TRUE)*IF(Inputs!$B$38="pvp",F2245,(1-Summary!$B$11)*(F2245)+Summary!$B$11*(0)))+((C2246=TRUE)*F2246*IF(AND(Inputs!$B$38&lt;&gt;"pvp",Inputs!$B$43&gt;0),(((R2246-1)*(Skills!T15*(1+Inputs!$B$34/100))+MIN((Skills!T15*(1+Inputs!$B$34/100)),MAX(0,Inputs!$B$43-((R2246-1)*Skills!D15))))/Inputs!$B$43),IF(Inputs!$B$38="pvp",MIN((Skills!T15*(1+Inputs!$B$34/100)),15)/15,(Skills!T15*(1+Inputs!$B$34/100))/Skills!D15)))+((C2243=TRUE)*F2243)+((C2260=TRUE)*(F2260-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2263">
      <c r="A2263" t="inlineStr">
        <is>
          <t>Global Crit Rate Bonus %</t>
        </is>
      </c>
      <c r="B2263">
        <f>(C2247=TRUE)*20*IF(AND(Inputs!$B$38&lt;&gt;"pvp",Inputs!$B$43&gt;0),(((R2247-1)*(Skills!T16*(1+Inputs!$B$34/100))+MIN((Skills!T16*(1+Inputs!$B$34/100)),MAX(0,Inputs!$B$43-((R2247-1)*Skills!D16))))/Inputs!$B$43),IF(Inputs!$B$38="pvp",MIN((Skills!T16*(1+Inputs!$B$34/100)),15)/15,(Skills!T16*(1+Inputs!$B$34/100))/Skills!D16))</f>
        <v/>
      </c>
    </row>
    <row r="2264">
      <c r="A2264" t="inlineStr">
        <is>
          <t>Attack Speed Buff Bonus %</t>
        </is>
      </c>
      <c r="B2264">
        <f>((C2249=TRUE)*F2249*IF(AND(Inputs!$B$38&lt;&gt;"pvp",Inputs!$B$43&gt;0),(((R2249-1)*(Skills!T18*(1+Inputs!$B$34/100))+MIN((Skills!T18*(1+Inputs!$B$34/100)),MAX(0,Inputs!$B$43-((R2249-1)*Skills!D18))))/Inputs!$B$43),IF(Inputs!$B$38="pvp",MIN((Skills!T18*(1+Inputs!$B$34/100)),15)/15,(Skills!T18*(1+Inputs!$B$34/100))/Skills!D18)))</f>
        <v/>
      </c>
    </row>
    <row r="2265">
      <c r="A2265" t="inlineStr">
        <is>
          <t>Actions Per Second</t>
        </is>
      </c>
      <c r="B2265">
        <f>1+MIN(150,150*(1-(1-(Inputs!$B$11+((C2251=TRUE)*(F2251-Calc!F20))+((C2252=TRUE)*(F2252-Calc!F21)))/150)*(1-B2264/150)))/100</f>
        <v/>
      </c>
    </row>
    <row r="2266">
      <c r="A2266" t="inlineStr">
        <is>
          <t>Skill + Buff Cast Rate</t>
        </is>
      </c>
      <c r="B2266">
        <f>IF(AND(Inputs!$B$38&lt;&gt;"pvp",Inputs!$B$43&gt;0),SUMPRODUCT((Skills!E2:E29=TRUE)*(C2233:C2260=TRUE)*R2233:R2260*Skills!F2:F29)/Inputs!$B$43,SUMPRODUCT((Skills!E2:E29=TRUE)*(C2233:C2260=TRUE)*Q2233:Q2260*Skills!F2:F29))</f>
        <v/>
      </c>
    </row>
    <row r="2267">
      <c r="A2267" t="inlineStr">
        <is>
          <t>Empowered Piercing Arrow Casts Per Second</t>
        </is>
      </c>
      <c r="B2267">
        <f>MAX(0,B2265-B2266)</f>
        <v/>
      </c>
    </row>
    <row r="2268">
      <c r="A2268" t="inlineStr">
        <is>
          <t>Global Critical Damage Bonus % (Sharp Eyes)</t>
        </is>
      </c>
      <c r="B2268">
        <f>(C2247=TRUE)*F2247*IF(AND(Inputs!$B$38&lt;&gt;"pvp",Inputs!$B$43&gt;0),(((R2247-1)*(Skills!T16*(1+Inputs!$B$34/100))+MIN((Skills!T16*(1+Inputs!$B$34/100)),MAX(0,Inputs!$B$43-((R2247-1)*Skills!D16))))/Inputs!$B$43),IF(Inputs!$B$38="pvp",MIN((Skills!T16*(1+Inputs!$B$34/100)),15)/15,(Skills!T16*(1+Inputs!$B$34/100))/Skills!D16))</f>
        <v/>
      </c>
    </row>
    <row r="2269">
      <c r="A2269" t="inlineStr">
        <is>
          <t>Global Final Damage Bonus % (Mortal Blow + Last Man Standing conditional half)</t>
        </is>
      </c>
      <c r="B2269">
        <f>(C2248=TRUE)*F2248+((C2257=TRUE)*IF(Inputs!$B$38="pvp",F2257,(1-Summary!$B$11)*(F2257)+Summary!$B$11*(0)))</f>
        <v/>
      </c>
    </row>
    <row r="2270">
      <c r="A2270" t="inlineStr">
        <is>
          <t>Buff-Casting Startup Delay (s, fixed-duration only)</t>
        </is>
      </c>
      <c r="B2270">
        <f>IF(AND(Inputs!$B$38&lt;&gt;"pvp",Inputs!$B$43&gt;0),SUMPRODUCT((Skills!T2:T29&gt;0)*(Skills!E2:E29=TRUE)*(C2233:C2260=TRUE))/B2265,0)</f>
        <v/>
      </c>
    </row>
    <row r="2271">
      <c r="A2271" t="inlineStr">
        <is>
          <t>Boss-Only Total DPS (this block's swept value)</t>
        </is>
      </c>
      <c r="B2271">
        <f>SUM(T2233:T2260)</f>
        <v/>
      </c>
    </row>
    <row r="2272">
      <c r="A2272" t="inlineStr">
        <is>
          <t>Normal-Only Total DPS (this block's swept value)</t>
        </is>
      </c>
      <c r="B2272">
        <f>SUM(V2233:V2260)</f>
        <v/>
      </c>
    </row>
    <row r="2273">
      <c r="A2273" s="6" t="inlineStr">
        <is>
          <t>TOTAL DPS</t>
        </is>
      </c>
      <c r="B2273" s="6">
        <f>SUM(O2233:O2260)</f>
        <v/>
      </c>
    </row>
    <row r="2276">
      <c r="A2276" s="6" t="inlineStr">
        <is>
          <t>Stat: Ancient Text Piece (Equip)</t>
        </is>
      </c>
    </row>
    <row r="2277">
      <c r="A2277" s="5" t="inlineStr">
        <is>
          <t>Key</t>
        </is>
      </c>
      <c r="B2277" s="5" t="inlineStr">
        <is>
          <t>Name</t>
        </is>
      </c>
      <c r="C2277" s="5" t="inlineStr">
        <is>
          <t>Unlocked</t>
        </is>
      </c>
      <c r="D2277" s="5" t="inlineStr">
        <is>
          <t>InputLevel</t>
        </is>
      </c>
      <c r="E2277" s="5" t="inlineStr">
        <is>
          <t>Factor</t>
        </is>
      </c>
      <c r="F2277" s="5" t="inlineStr">
        <is>
          <t>CoefficientPercent</t>
        </is>
      </c>
      <c r="G2277" s="5" t="inlineStr">
        <is>
          <t>EffectiveHits</t>
        </is>
      </c>
      <c r="H2277" s="5" t="inlineStr">
        <is>
          <t>ProcProbability</t>
        </is>
      </c>
      <c r="I2277" s="5" t="inlineStr">
        <is>
          <t>MapleHeroMultiplier</t>
        </is>
      </c>
      <c r="J2277" s="5" t="inlineStr">
        <is>
          <t>BaseDamage</t>
        </is>
      </c>
      <c r="K2277" s="5" t="inlineStr">
        <is>
          <t>BaseHitDamage</t>
        </is>
      </c>
      <c r="L2277" s="5" t="inlineStr">
        <is>
          <t>NonCritAvg</t>
        </is>
      </c>
      <c r="M2277" s="5" t="inlineStr">
        <is>
          <t>CritAvg</t>
        </is>
      </c>
      <c r="N2277" s="5" t="inlineStr">
        <is>
          <t>ExpectedDamage(perHit)</t>
        </is>
      </c>
      <c r="O2277" s="5" t="inlineStr">
        <is>
          <t>DPS</t>
        </is>
      </c>
      <c r="P2277" s="5" t="inlineStr">
        <is>
          <t>% of Total</t>
        </is>
      </c>
      <c r="Q2277" s="5" t="inlineStr">
        <is>
          <t>InvCooldown</t>
        </is>
      </c>
      <c r="R2277" s="5" t="inlineStr">
        <is>
          <t>CastsInFight</t>
        </is>
      </c>
      <c r="S2277" s="5" t="inlineStr">
        <is>
          <t>HitRate(perSec)</t>
        </is>
      </c>
      <c r="U2277" t="inlineStr">
        <is>
          <t>helpers</t>
        </is>
      </c>
    </row>
    <row r="2278">
      <c r="A2278">
        <f>Skills!A2</f>
        <v/>
      </c>
      <c r="B2278">
        <f>Skills!B2</f>
        <v/>
      </c>
      <c r="C2278">
        <f>Inputs!$B$3&gt;=100</f>
        <v/>
      </c>
      <c r="D2278" t="inlineStr"/>
      <c r="E2278" t="inlineStr"/>
      <c r="F2278">
        <f>U2280+Skills!O2</f>
        <v/>
      </c>
      <c r="G2278">
        <f>Skills!G2*IF(Skills!H2&gt;0,Skills!I2/Skills!H2,1)</f>
        <v/>
      </c>
      <c r="H2278">
        <f>1-(1-Skills!J2/100)^Skills!K2</f>
        <v/>
      </c>
      <c r="I2278" t="inlineStr">
        <is>
          <t>1</t>
        </is>
      </c>
      <c r="J2278">
        <f>((Inputs!$B$6*(1+Inputs!$B$7/100))+(((Inputs!$B$12*(1+Inputs!$B$13/100))-(Inputs!$B$12*(1+Inputs!$B$13/100)))+0.25*(Inputs!$B$14-Inputs!$B$14))*(1+Inputs!$B$7/100))*(F2278/100)</f>
        <v/>
      </c>
      <c r="K2278">
        <f>J2278*(1+((Inputs!$B$12*(1+Inputs!$B$13/100))*0.01+Inputs!$B$14*0.0025)/100)*(1+Inputs!$B$15/100)*(1+Inputs!$B$16/100)*(5000/(6000+Inputs!$B$42*(1-(100*(1-(1-(Inputs!$B$19+0)/100)*(1-CHOOSE(ArtifactsInput!$N$40+1,5,6,7,8,9,10)/100)^(ArtifactsInput!$M$40-ArtifactsInput!$M$40)))/100)))*(1+(Inputs!$B$24+((C2300=TRUE)*(F2300-Calc!F24))+((C2301=TRUE)*(F2301-Calc!F25))+B2314)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EMPOWERED_PIERCING_ARROW",Inputs!$B$17+((C2298=TRUE)*(F2298-Calc!F22))+(((IF(AND(ArtifactsInput!$M$42,((Inputs!$B$9+((C2295=TRUE)*(F2295-Calc!F19))+B2308+(ArtifactsInput!$M$24-ArtifactsInput!$M$24)*CHOOSE(ArtifactsInput!$N$24+1,10,12,14,16,18,20)+IF(ArtifactsInput!$M$10,CHOOSE(ArtifactsInput!$N$10+1,15,18,21,24,27,30)*(IF(Inputs!$B$38="pvp",MIN(15,15)/15,IF(AND(Inputs!$B$38&lt;&gt;"pvp",Inputs!$B$43&gt;0),MIN(15,Inputs!$B$43)/(Inputs!$B$43),0))),0)))&gt;=100),MIN(100,((Inputs!$B$9+((C2295=TRUE)*(F2295-Calc!F19))+B2308+(ArtifactsInput!$M$24-ArtifactsInput!$M$24)*CHOOSE(ArtifactsInput!$N$24+1,10,12,14,16,18,20)+IF(ArtifactsInput!$M$10,CHOOSE(ArtifactsInput!$N$10+1,15,18,21,24,27,30)*(IF(Inputs!$B$38="pvp",MIN(15,15)/15,IF(AND(Inputs!$B$38&lt;&gt;"pvp",Inputs!$B$43&gt;0),MIN(15,Inputs!$B$43)/(Inputs!$B$43),0))),0)))-100),0))*CHOOSE(ArtifactsInput!$N$42+1,0.6,0.72,0.84,0.96,1.08,1.2))),Inputs!$B$18+((C2303=TRUE)*(F2303-Calc!F27))+(IF(AND(ArtifactsInput!$M$42,((Inputs!$B$9+((C2295=TRUE)*(F2295-Calc!F19))+B2308+(ArtifactsInput!$M$24-ArtifactsInput!$M$24)*CHOOSE(ArtifactsInput!$N$24+1,10,12,14,16,18,20)+IF(ArtifactsInput!$M$10,CHOOSE(ArtifactsInput!$N$10+1,15,18,21,24,27,30)*(IF(Inputs!$B$38="pvp",MIN(15,15)/15,IF(AND(Inputs!$B$38&lt;&gt;"pvp",Inputs!$B$43&gt;0),MIN(15,Inputs!$B$43)/(Inputs!$B$43),0))),0)))&gt;=100),CHOOSE(ArtifactsInput!$N$42+1,40,48,56,64,72,80),0))))/100)*((1+(((C2289=TRUE)*F2289)+((C2290=TRUE)*IF(Inputs!$B$38="pvp",F2290,(1-Summary!$B$11)*(F2290)+Summary!$B$11*(0)))+((C2291=TRUE)*F2291*IF(AND(Inputs!$B$38&lt;&gt;"pvp",Inputs!$B$43&gt;0),(((R2291-1)*(Skills!T15*(1+Inputs!$B$34/100))+MIN((Skills!T15*(1+Inputs!$B$34/100)),MAX(0,Inputs!$B$43-((R2291-1)*Skills!D15))))/Inputs!$B$43),IF(Inputs!$B$38="pvp",MIN((Skills!T15*(1+Inputs!$B$34/100)),15)/15,(Skills!T15*(1+Inputs!$B$34/100))/Skills!D15)))+((C2288=TRUE)*F2288)+((C2305=TRUE)*(F2305-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2278)</f>
        <v/>
      </c>
      <c r="L2278">
        <f>K2278*(MIN(Inputs!$B$22+((C2299=TRUE)*(F2299-Calc!F23)),(Inputs!$B$23+((C2304=TRUE)*(F2304-Calc!F28))+(IF(ArtifactsInput!$M$15,CHOOSE(ArtifactsInput!$N$15+1,25,30,35,40,45,50)/100*(Inputs!$B$11-Inputs!$B$11),0))))/100+(Inputs!$B$23+((C2304=TRUE)*(F2304-Calc!F28))+(IF(ArtifactsInput!$M$15,CHOOSE(ArtifactsInput!$N$15+1,25,30,35,40,45,50)/100*(Inputs!$B$11-Inputs!$B$11),0)))/100)/2</f>
        <v/>
      </c>
      <c r="M2278">
        <f>L2278*(1+(Inputs!$B$10+0+B2313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278">
        <f>L2278*(1-MIN((Inputs!$B$9+((C2295=TRUE)*(F2295-Calc!F19))+B2308+(ArtifactsInput!$M$24-ArtifactsInput!$M$24)*CHOOSE(ArtifactsInput!$N$24+1,10,12,14,16,18,20)+(IF(AND(ArtifactsInput!$M$42,((Inputs!$B$9+((C2295=TRUE)*(F2295-Calc!F19))+B2308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2278*(MIN((Inputs!$B$9+((C2295=TRUE)*(F2295-Calc!F19))+B2308+(ArtifactsInput!$M$24-ArtifactsInput!$M$24)*CHOOSE(ArtifactsInput!$N$24+1,10,12,14,16,18,20)+(IF(AND(ArtifactsInput!$M$42,((Inputs!$B$9+((C2295=TRUE)*(F2295-Calc!F19))+B2308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278">
        <f>(1-Summary!$B$11)*T2278+Summary!$B$11*V2278</f>
        <v/>
      </c>
      <c r="P2278">
        <f>IF(B2318=0,0,O2278/B2318)</f>
        <v/>
      </c>
      <c r="Q2278" t="n">
        <v>0</v>
      </c>
      <c r="R2278" t="n">
        <v>0</v>
      </c>
      <c r="S2278">
        <f>IFERROR((Skills!G2*N2278*B2312)/N2278*IF(Inputs!$B$38="pvp",1,(1-Summary!$B$11)*1+Summary!$B$11*(MIN((6+Inputs!$B$33),Inputs!$B$37))),0)</f>
        <v/>
      </c>
      <c r="T2278">
        <f>IF(C2278,(Skills!G2*N2278*B2312)*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Hunt"),CHOOSE(ArtifactsInput!$N$35+1,15,18,21,24,27,30)*(1-EXP(-(0.2*B2310)*5)),0)+IF(AND(ArtifactsInput!$M$22,Inputs!$B$4&lt;&gt;"Chapter Hunt"),CHOOSE(ArtifactsInput!$N$22+1,10,12,14,16,18,20)*((0*(((0.15*B2310*5))^0/1)+1*(((0.15*B2310*5))^1/1)+2*(((0.15*B2310*5))^2/2)+3*(((0.15*B2310*5))^3/6)+4*(((0.15*B2310*5))^4/24)+5*(((0.15*B2310*5))^5/120))/((((0.15*B2310*5))^0/1)+(((0.15*B2310*5))^1/1)+(((0.15*B2310*5))^2/2)+(((0.15*B2310*5))^3/6)+(((0.15*B2310*5))^4/24)+(((0.15*B2310*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2278*(1-MIN(100,(Inputs!$B$9+((C2295=TRUE)*(F2295-Calc!F19))+B2308+(ArtifactsInput!$M$24-ArtifactsInput!$M$24)*CHOOSE(ArtifactsInput!$N$24+1,10,12,14,16,18,20)+(IF(AND(ArtifactsInput!$M$42,((Inputs!$B$9+((C2295=TRUE)*(F2295-Calc!F19))+B2308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2278*(MIN(100,(Inputs!$B$9+((C2295=TRUE)*(F2295-Calc!F19))+B2308+(ArtifactsInput!$M$24-ArtifactsInput!$M$24)*CHOOSE(ArtifactsInput!$N$24+1,10,12,14,16,18,20)+(IF(AND(ArtifactsInput!$M$42,((Inputs!$B$9+((C2295=TRUE)*(F2295-Calc!F19))+B2308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2278*(1-MIN(100,(Inputs!$B$9+((C2295=TRUE)*(F2295-Calc!F19))+B2308+(ArtifactsInput!$M$24-ArtifactsInput!$M$24)*CHOOSE(ArtifactsInput!$N$24+1,10,12,14,16,18,20)+(IF(AND(ArtifactsInput!$M$42,((Inputs!$B$9+((C2295=TRUE)*(F2295-Calc!F19))+B2308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2278*(MIN(100,(Inputs!$B$9+((C2295=TRUE)*(F2295-Calc!F19))+B2308+(ArtifactsInput!$M$24-ArtifactsInput!$M$24)*CHOOSE(ArtifactsInput!$N$24+1,10,12,14,16,18,20)+(IF(AND(ArtifactsInput!$M$42,((Inputs!$B$9+((C2295=TRUE)*(F2295-Calc!F19))+B2308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278">
        <f>MAX(0,(Inputs!$B$3-100)*3)+Inputs!$B$28+Inputs!$B$29</f>
        <v/>
      </c>
      <c r="V2278">
        <f>IF(C2278,(Skills!G2*N2278*B2312)*IF(Inputs!$B$38="pvp",1,(1+(Inputs!$B$21+Skills!Q2+(IF(ArtifactsInput!$M$33,CHOOSE(ArtifactsInput!$N$33+1,30,36,42,48,54,60),0))+(IF(AND(ArtifactsInput!$M$35,Inputs!$B$4&lt;&gt;"Chapter Hunt"),CHOOSE(ArtifactsInput!$N$35+1,15,18,21,24,27,30)*(1-EXP(-(0.2*B2310)*5)),0)+IF(AND(ArtifactsInput!$M$22,Inputs!$B$4&lt;&gt;"Chapter Hunt"),CHOOSE(ArtifactsInput!$N$22+1,10,12,14,16,18,20)*((0*(((0.15*B2310*5))^0/1)+1*(((0.15*B2310*5))^1/1)+2*(((0.15*B2310*5))^2/2)+3*(((0.15*B2310*5))^3/6)+4*(((0.15*B2310*5))^4/24)+5*(((0.15*B2310*5))^5/120))/((((0.15*B2310*5))^0/1)+(((0.15*B2310*5))^1/1)+(((0.15*B2310*5))^2/2)+(((0.15*B2310*5))^3/6)+(((0.15*B2310*5))^4/24)+(((0.15*B2310*5))^5/120)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279">
      <c r="A2279">
        <f>Skills!A3</f>
        <v/>
      </c>
      <c r="B2279">
        <f>Skills!B3</f>
        <v/>
      </c>
      <c r="C2279">
        <f>Inputs!$B$3&gt;=50</f>
        <v/>
      </c>
      <c r="D2279">
        <f>IF(Skills!C3=1,60+Inputs!$B$25+Inputs!$B$29,IF(Skills!C3=2,90+Inputs!$B$26+Inputs!$B$29,IF(Skills!C3=3,120+Inputs!$B$27+Inputs!$B$29,MAX(0,(Inputs!$B$3-100)*3)+Inputs!$B$28+Inputs!$B$29)))</f>
        <v/>
      </c>
      <c r="E2279">
        <f>INDEX(FactorTable!$B$2:$Y$301, MATCH(ROUND(MIN(300,MAX(1,D2279)),0), FactorTable!$A$2:$A$301,0), Skills!M3+1)</f>
        <v/>
      </c>
      <c r="F2279">
        <f>IF(Skills!N3=TRUE,(Skills!L3/10)*(E2279/1000),Skills!L3/10)+Skills!O3</f>
        <v/>
      </c>
      <c r="G2279" t="inlineStr"/>
      <c r="H2279" t="inlineStr"/>
      <c r="I2279" t="inlineStr">
        <is>
          <t>1</t>
        </is>
      </c>
      <c r="J2279" t="inlineStr"/>
      <c r="K2279" t="inlineStr"/>
      <c r="L2279" t="inlineStr"/>
      <c r="M2279" t="inlineStr"/>
      <c r="N2279" t="inlineStr"/>
      <c r="O2279" t="inlineStr"/>
      <c r="P2279" t="inlineStr"/>
      <c r="Q2279" t="inlineStr"/>
      <c r="R2279" t="inlineStr"/>
      <c r="S2279" t="inlineStr"/>
      <c r="T2279" t="inlineStr"/>
      <c r="U2279">
        <f>INDEX(FactorTable!$B$2:$Y$301, MATCH(ROUND(MIN(300,MAX(1,U2278)),0), FactorTable!$A$2:$A$301,0), 22)</f>
        <v/>
      </c>
      <c r="V2279" t="inlineStr"/>
    </row>
    <row r="2280">
      <c r="A2280">
        <f>Skills!A4</f>
        <v/>
      </c>
      <c r="B2280">
        <f>Skills!B4</f>
        <v/>
      </c>
      <c r="C2280">
        <f>Inputs!$B$3&gt;=105</f>
        <v/>
      </c>
      <c r="D2280">
        <f>IF(Skills!C4=1,60+Inputs!$B$25+Inputs!$B$29,IF(Skills!C4=2,90+Inputs!$B$26+Inputs!$B$29,IF(Skills!C4=3,120+Inputs!$B$27+Inputs!$B$29,MAX(0,(Inputs!$B$3-100)*3)+Inputs!$B$28+Inputs!$B$29)))</f>
        <v/>
      </c>
      <c r="E2280">
        <f>INDEX(FactorTable!$B$2:$Y$301, MATCH(ROUND(MIN(300,MAX(1,D2280)),0), FactorTable!$A$2:$A$301,0), Skills!M4+1)</f>
        <v/>
      </c>
      <c r="F2280">
        <f>IF(Skills!N4=TRUE,(Skills!L4/10)*(E2280/1000),Skills!L4/10)+Skills!O4</f>
        <v/>
      </c>
      <c r="G2280" t="inlineStr"/>
      <c r="H2280" t="inlineStr"/>
      <c r="I2280" t="inlineStr">
        <is>
          <t>1</t>
        </is>
      </c>
      <c r="J2280" t="inlineStr"/>
      <c r="K2280" t="inlineStr"/>
      <c r="L2280" t="inlineStr"/>
      <c r="M2280" t="inlineStr"/>
      <c r="N2280" t="inlineStr"/>
      <c r="O2280" t="inlineStr"/>
      <c r="P2280" t="inlineStr"/>
      <c r="Q2280" t="inlineStr"/>
      <c r="R2280" t="inlineStr"/>
      <c r="S2280" t="inlineStr"/>
      <c r="T2280" t="inlineStr"/>
      <c r="U2280">
        <f>290*U2279/1000</f>
        <v/>
      </c>
      <c r="V2280" t="inlineStr"/>
    </row>
    <row r="2281">
      <c r="A2281">
        <f>Skills!A5</f>
        <v/>
      </c>
      <c r="B2281">
        <f>Skills!B5</f>
        <v/>
      </c>
      <c r="C2281">
        <f>Inputs!$B$3&gt;=35</f>
        <v/>
      </c>
      <c r="D2281">
        <f>IF(Skills!C5=1,60+Inputs!$B$25+Inputs!$B$29,IF(Skills!C5=2,90+Inputs!$B$26+Inputs!$B$29,IF(Skills!C5=3,120+Inputs!$B$27+Inputs!$B$29,MAX(0,(Inputs!$B$3-100)*3)+Inputs!$B$28+Inputs!$B$29)))</f>
        <v/>
      </c>
      <c r="E2281">
        <f>INDEX(FactorTable!$B$2:$Y$301, MATCH(ROUND(MIN(300,MAX(1,D2281)),0), FactorTable!$A$2:$A$301,0), Skills!M5+1)</f>
        <v/>
      </c>
      <c r="F2281">
        <f>IF(Skills!N5=TRUE,(Skills!L5/10)*(E2281/1000),Skills!L5/10)+Skills!O5</f>
        <v/>
      </c>
      <c r="G2281">
        <f>Skills!G5*IF(Skills!H5&gt;0,Skills!I5/Skills!H5,1)</f>
        <v/>
      </c>
      <c r="H2281">
        <f>1-(1-Skills!J5/100)^Skills!K5</f>
        <v/>
      </c>
      <c r="I2281" t="inlineStr">
        <is>
          <t>1</t>
        </is>
      </c>
      <c r="J2281">
        <f>((Inputs!$B$6*(1+Inputs!$B$7/100))+(((Inputs!$B$12*(1+Inputs!$B$13/100))-(Inputs!$B$12*(1+Inputs!$B$13/100)))+0.25*(Inputs!$B$14-Inputs!$B$14))*(1+Inputs!$B$7/100))*(F2281/100)</f>
        <v/>
      </c>
      <c r="K2281">
        <f>J2281*(1+((Inputs!$B$12*(1+Inputs!$B$13/100))*0.01+Inputs!$B$14*0.0025)/100)*(1+Inputs!$B$15/100)*(1+Inputs!$B$16/100)*(5000/(6000+Inputs!$B$42*(1-(100*(1-(1-(Inputs!$B$19+0)/100)*(1-CHOOSE(ArtifactsInput!$N$40+1,5,6,7,8,9,10)/100)^(ArtifactsInput!$M$40-ArtifactsInput!$M$40)))/100)))*(1+(Inputs!$B$24+((C2300=TRUE)*(F2300-Calc!F24))+((C2301=TRUE)*(F2301-Calc!F25))+B2314)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2284=TRUE,F2284,0)/100)*(1+(IF(Skills!A5="EMPOWERED_PIERCING_ARROW",Inputs!$B$17+((C2298=TRUE)*(F2298-Calc!F22))+(((IF(AND(ArtifactsInput!$M$42,((Inputs!$B$9+((C2295=TRUE)*(F2295-Calc!F19))+B2308+(ArtifactsInput!$M$24-ArtifactsInput!$M$24)*CHOOSE(ArtifactsInput!$N$24+1,10,12,14,16,18,20)+IF(ArtifactsInput!$M$10,CHOOSE(ArtifactsInput!$N$10+1,15,18,21,24,27,30)*(IF(Inputs!$B$38="pvp",MIN(15,15)/15,IF(AND(Inputs!$B$38&lt;&gt;"pvp",Inputs!$B$43&gt;0),MIN(15,Inputs!$B$43)/(Inputs!$B$43),0))),0)))&gt;=100),MIN(100,((Inputs!$B$9+((C2295=TRUE)*(F2295-Calc!F19))+B2308+(ArtifactsInput!$M$24-ArtifactsInput!$M$24)*CHOOSE(ArtifactsInput!$N$24+1,10,12,14,16,18,20)+IF(ArtifactsInput!$M$10,CHOOSE(ArtifactsInput!$N$10+1,15,18,21,24,27,30)*(IF(Inputs!$B$38="pvp",MIN(15,15)/15,IF(AND(Inputs!$B$38&lt;&gt;"pvp",Inputs!$B$43&gt;0),MIN(15,Inputs!$B$43)/(Inputs!$B$43),0))),0)))-100),0))*CHOOSE(ArtifactsInput!$N$42+1,0.6,0.72,0.84,0.96,1.08,1.2))),Inputs!$B$18+((C2303=TRUE)*(F2303-Calc!F27))+(IF(AND(ArtifactsInput!$M$42,((Inputs!$B$9+((C2295=TRUE)*(F2295-Calc!F19))+B2308+(ArtifactsInput!$M$24-ArtifactsInput!$M$24)*CHOOSE(ArtifactsInput!$N$24+1,10,12,14,16,18,20)+IF(ArtifactsInput!$M$10,CHOOSE(ArtifactsInput!$N$10+1,15,18,21,24,27,30)*(IF(Inputs!$B$38="pvp",MIN(15,15)/15,IF(AND(Inputs!$B$38&lt;&gt;"pvp",Inputs!$B$43&gt;0),MIN(15,Inputs!$B$43)/(Inputs!$B$43),0))),0)))&gt;=100),CHOOSE(ArtifactsInput!$N$42+1,40,48,56,64,72,80),0))))/100)*((1+(((C2289=TRUE)*F2289)+((C2290=TRUE)*IF(Inputs!$B$38="pvp",F2290,(1-Summary!$B$11)*(F2290)+Summary!$B$11*(0)))+((C2291=TRUE)*F2291*IF(AND(Inputs!$B$38&lt;&gt;"pvp",Inputs!$B$43&gt;0),(((R2291-1)*(Skills!T15*(1+Inputs!$B$34/100))+MIN((Skills!T15*(1+Inputs!$B$34/100)),MAX(0,Inputs!$B$43-((R2291-1)*Skills!D15))))/Inputs!$B$43),IF(Inputs!$B$38="pvp",MIN((Skills!T15*(1+Inputs!$B$34/100)),15)/15,(Skills!T15*(1+Inputs!$B$34/100))/Skills!D15)))+((C2288=TRUE)*F2288)+((C2305=TRUE)*(F2305-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2281)</f>
        <v/>
      </c>
      <c r="L2281">
        <f>K2281*(MIN(Inputs!$B$22+((C2299=TRUE)*(F2299-Calc!F23)),(Inputs!$B$23+((C2304=TRUE)*(F2304-Calc!F28))+(IF(ArtifactsInput!$M$15,CHOOSE(ArtifactsInput!$N$15+1,25,30,35,40,45,50)/100*(Inputs!$B$11-Inputs!$B$11),0))))/100+(Inputs!$B$23+((C2304=TRUE)*(F2304-Calc!F28))+(IF(ArtifactsInput!$M$15,CHOOSE(ArtifactsInput!$N$15+1,25,30,35,40,45,50)/100*(Inputs!$B$11-Inputs!$B$11),0)))/100)/2</f>
        <v/>
      </c>
      <c r="M2281">
        <f>L2281*(1+(Inputs!$B$10+0+B2313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281">
        <f>L2281*(1-MIN((Inputs!$B$9+((C2295=TRUE)*(F2295-Calc!F19))+B2308+(ArtifactsInput!$M$24-ArtifactsInput!$M$24)*CHOOSE(ArtifactsInput!$N$24+1,10,12,14,16,18,20)+(IF(AND(ArtifactsInput!$M$42,((Inputs!$B$9+((C2295=TRUE)*(F2295-Calc!F19))+B2308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2281*(MIN((Inputs!$B$9+((C2295=TRUE)*(F2295-Calc!F19))+B2308+(ArtifactsInput!$M$24-ArtifactsInput!$M$24)*CHOOSE(ArtifactsInput!$N$24+1,10,12,14,16,18,20)+(IF(AND(ArtifactsInput!$M$42,((Inputs!$B$9+((C2295=TRUE)*(F2295-Calc!F19))+B2308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281">
        <f>(1-Summary!$B$11)*T2281+Summary!$B$11*V2281</f>
        <v/>
      </c>
      <c r="P2281">
        <f>IF(B2318=0,0,O2281/B2318)</f>
        <v/>
      </c>
      <c r="Q2281">
        <f>IFERROR(1/IF(Inputs!$B$38="pvp",15,MAX(0.1,Skills!D5-IF(Skills!E5=TRUE,Inputs!$B$32,0))),0)</f>
        <v/>
      </c>
      <c r="R2281">
        <f>IF(AND(Inputs!$B$38&lt;&gt;"pvp",Inputs!$B$43&gt;0),IF(MAX(0,Inputs!$B$43-B2315)&lt;=0,0,(INT(MAX(0,Inputs!$B$43-B2315)/IF(Inputs!$B$38="pvp",15,MAX(0.1,Skills!D5-IF(Skills!E5=TRUE,Inputs!$B$32,0))))+1)),0)</f>
        <v/>
      </c>
      <c r="S2281">
        <f>IFERROR((H2281*N2281*IF(AND(Inputs!$B$38&lt;&gt;"pvp",Inputs!$B$43&gt;0),((Skills!G5*((R2281-1)*IF(Skills!H5&gt;0,Skills!I5/Skills!H5,1)+IF(Skills!H5&gt;0,MIN(Skills!I5,MAX(0,MAX(0,Inputs!$B$43-B2315)-((R2281-1)*IF(Inputs!$B$38="pvp",15,MAX(0.1,Skills!D5-IF(Skills!E5=TRUE,Inputs!$B$32,0))))))/Skills!H5,1)))/Inputs!$B$43),G2281*Q2281))/N2281*IF(Inputs!$B$38="pvp",1,(1-Summary!$B$11)*1+Summary!$B$11*(MIN(Skills!R5,Inputs!$B$37))),0)</f>
        <v/>
      </c>
      <c r="T2281">
        <f>IF(C2281,(H2281*N2281*IF(AND(Inputs!$B$38&lt;&gt;"pvp",Inputs!$B$43&gt;0),((Skills!G5*((R2281-1)*IF(Skills!H5&gt;0,Skills!I5/Skills!H5,1)+IF(Skills!H5&gt;0,MIN(Skills!I5,MAX(0,MAX(0,Inputs!$B$43-B2315)-((R2281-1)*IF(Inputs!$B$38="pvp",15,MAX(0.1,Skills!D5-IF(Skills!E5=TRUE,Inputs!$B$32,0))))))/Skills!H5,1)))/Inputs!$B$43),G2281*Q2281))*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Hunt"),CHOOSE(ArtifactsInput!$N$35+1,15,18,21,24,27,30)*(1-EXP(-(0.2*B2310)*5)),0)+IF(AND(ArtifactsInput!$M$22,Inputs!$B$4&lt;&gt;"Chapter Hunt"),CHOOSE(ArtifactsInput!$N$22+1,10,12,14,16,18,20)*((0*(((0.15*B2310*5))^0/1)+1*(((0.15*B2310*5))^1/1)+2*(((0.15*B2310*5))^2/2)+3*(((0.15*B2310*5))^3/6)+4*(((0.15*B2310*5))^4/24)+5*(((0.15*B2310*5))^5/120))/((((0.15*B2310*5))^0/1)+(((0.15*B2310*5))^1/1)+(((0.15*B2310*5))^2/2)+(((0.15*B2310*5))^3/6)+(((0.15*B2310*5))^4/24)+(((0.15*B2310*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2281*(1-MIN(100,(Inputs!$B$9+((C2295=TRUE)*(F2295-Calc!F19))+B2308+(ArtifactsInput!$M$24-ArtifactsInput!$M$24)*CHOOSE(ArtifactsInput!$N$24+1,10,12,14,16,18,20)+(IF(AND(ArtifactsInput!$M$42,((Inputs!$B$9+((C2295=TRUE)*(F2295-Calc!F19))+B2308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2281*(MIN(100,(Inputs!$B$9+((C2295=TRUE)*(F2295-Calc!F19))+B2308+(ArtifactsInput!$M$24-ArtifactsInput!$M$24)*CHOOSE(ArtifactsInput!$N$24+1,10,12,14,16,18,20)+(IF(AND(ArtifactsInput!$M$42,((Inputs!$B$9+((C2295=TRUE)*(F2295-Calc!F19))+B2308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2281*(1-MIN(100,(Inputs!$B$9+((C2295=TRUE)*(F2295-Calc!F19))+B2308+(ArtifactsInput!$M$24-ArtifactsInput!$M$24)*CHOOSE(ArtifactsInput!$N$24+1,10,12,14,16,18,20)+(IF(AND(ArtifactsInput!$M$42,((Inputs!$B$9+((C2295=TRUE)*(F2295-Calc!F19))+B2308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2281*(MIN(100,(Inputs!$B$9+((C2295=TRUE)*(F2295-Calc!F19))+B2308+(ArtifactsInput!$M$24-ArtifactsInput!$M$24)*CHOOSE(ArtifactsInput!$N$24+1,10,12,14,16,18,20)+(IF(AND(ArtifactsInput!$M$42,((Inputs!$B$9+((C2295=TRUE)*(F2295-Calc!F19))+B2308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281">
        <f>IF(C2281,(H2281*N2281*IF(AND(Inputs!$B$38&lt;&gt;"pvp",Inputs!$B$43&gt;0),((Skills!G5*((R2281-1)*IF(Skills!H5&gt;0,Skills!I5/Skills!H5,1)+IF(Skills!H5&gt;0,MIN(Skills!I5,MAX(0,MAX(0,Inputs!$B$43-B2315)-((R2281-1)*IF(Inputs!$B$38="pvp",15,MAX(0.1,Skills!D5-IF(Skills!E5=TRUE,Inputs!$B$32,0))))))/Skills!H5,1)))/Inputs!$B$43),G2281*Q2281))*IF(Inputs!$B$38="pvp",1,(1+(Inputs!$B$21+Skills!Q5+(IF(ArtifactsInput!$M$33,CHOOSE(ArtifactsInput!$N$33+1,30,36,42,48,54,60),0))+(IF(AND(ArtifactsInput!$M$35,Inputs!$B$4&lt;&gt;"Chapter Hunt"),CHOOSE(ArtifactsInput!$N$35+1,15,18,21,24,27,30)*(1-EXP(-(0.2*B2310)*5)),0)+IF(AND(ArtifactsInput!$M$22,Inputs!$B$4&lt;&gt;"Chapter Hunt"),CHOOSE(ArtifactsInput!$N$22+1,10,12,14,16,18,20)*((0*(((0.15*B2310*5))^0/1)+1*(((0.15*B2310*5))^1/1)+2*(((0.15*B2310*5))^2/2)+3*(((0.15*B2310*5))^3/6)+4*(((0.15*B2310*5))^4/24)+5*(((0.15*B2310*5))^5/120))/((((0.15*B2310*5))^0/1)+(((0.15*B2310*5))^1/1)+(((0.15*B2310*5))^2/2)+(((0.15*B2310*5))^3/6)+(((0.15*B2310*5))^4/24)+(((0.15*B2310*5))^5/120)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282">
      <c r="A2282">
        <f>Skills!A6</f>
        <v/>
      </c>
      <c r="B2282">
        <f>Skills!B6</f>
        <v/>
      </c>
      <c r="C2282">
        <f>Inputs!$B$3&gt;=63</f>
        <v/>
      </c>
      <c r="D2282">
        <f>IF(Skills!C6=1,60+Inputs!$B$25+Inputs!$B$29,IF(Skills!C6=2,90+Inputs!$B$26+Inputs!$B$29,IF(Skills!C6=3,120+Inputs!$B$27+Inputs!$B$29,MAX(0,(Inputs!$B$3-100)*3)+Inputs!$B$28+Inputs!$B$29)))</f>
        <v/>
      </c>
      <c r="E2282">
        <f>INDEX(FactorTable!$B$2:$Y$301, MATCH(ROUND(MIN(300,MAX(1,D2282)),0), FactorTable!$A$2:$A$301,0), Skills!M6+1)</f>
        <v/>
      </c>
      <c r="F2282">
        <f>IF(Skills!N6=TRUE,(Skills!L6/10)*(E2282/1000),Skills!L6/10)+Skills!O6</f>
        <v/>
      </c>
      <c r="G2282">
        <f>Skills!G6*IF(Skills!H6&gt;0,Skills!I6/Skills!H6,1)</f>
        <v/>
      </c>
      <c r="H2282">
        <f>1-(1-Skills!J6/100)^Skills!K6</f>
        <v/>
      </c>
      <c r="I2282" t="inlineStr">
        <is>
          <t>1</t>
        </is>
      </c>
      <c r="J2282">
        <f>((Inputs!$B$6*(1+Inputs!$B$7/100))+(((Inputs!$B$12*(1+Inputs!$B$13/100))-(Inputs!$B$12*(1+Inputs!$B$13/100)))+0.25*(Inputs!$B$14-Inputs!$B$14))*(1+Inputs!$B$7/100))*(F2282/100)</f>
        <v/>
      </c>
      <c r="K2282">
        <f>J2282*(1+((Inputs!$B$12*(1+Inputs!$B$13/100))*0.01+Inputs!$B$14*0.0025)/100)*(1+Inputs!$B$15/100)*(1+Inputs!$B$16/100)*(5000/(6000+Inputs!$B$42*(1-(100*(1-(1-(Inputs!$B$19+0)/100)*(1-CHOOSE(ArtifactsInput!$N$40+1,5,6,7,8,9,10)/100)^(ArtifactsInput!$M$40-ArtifactsInput!$M$40)))/100)))*(1+(Inputs!$B$24+((C2300=TRUE)*(F2300-Calc!F24))+((C2301=TRUE)*(F2301-Calc!F25))+B2314)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2284=TRUE,F2284,0)/100)*(1+(IF(Skills!A6="EMPOWERED_PIERCING_ARROW",Inputs!$B$17+((C2298=TRUE)*(F2298-Calc!F22))+(((IF(AND(ArtifactsInput!$M$42,((Inputs!$B$9+((C2295=TRUE)*(F2295-Calc!F19))+B2308+(ArtifactsInput!$M$24-ArtifactsInput!$M$24)*CHOOSE(ArtifactsInput!$N$24+1,10,12,14,16,18,20)+IF(ArtifactsInput!$M$10,CHOOSE(ArtifactsInput!$N$10+1,15,18,21,24,27,30)*(IF(Inputs!$B$38="pvp",MIN(15,15)/15,IF(AND(Inputs!$B$38&lt;&gt;"pvp",Inputs!$B$43&gt;0),MIN(15,Inputs!$B$43)/(Inputs!$B$43),0))),0)))&gt;=100),MIN(100,((Inputs!$B$9+((C2295=TRUE)*(F2295-Calc!F19))+B2308+(ArtifactsInput!$M$24-ArtifactsInput!$M$24)*CHOOSE(ArtifactsInput!$N$24+1,10,12,14,16,18,20)+IF(ArtifactsInput!$M$10,CHOOSE(ArtifactsInput!$N$10+1,15,18,21,24,27,30)*(IF(Inputs!$B$38="pvp",MIN(15,15)/15,IF(AND(Inputs!$B$38&lt;&gt;"pvp",Inputs!$B$43&gt;0),MIN(15,Inputs!$B$43)/(Inputs!$B$43),0))),0)))-100),0))*CHOOSE(ArtifactsInput!$N$42+1,0.6,0.72,0.84,0.96,1.08,1.2))),Inputs!$B$18+((C2303=TRUE)*(F2303-Calc!F27))+(IF(AND(ArtifactsInput!$M$42,((Inputs!$B$9+((C2295=TRUE)*(F2295-Calc!F19))+B2308+(ArtifactsInput!$M$24-ArtifactsInput!$M$24)*CHOOSE(ArtifactsInput!$N$24+1,10,12,14,16,18,20)+IF(ArtifactsInput!$M$10,CHOOSE(ArtifactsInput!$N$10+1,15,18,21,24,27,30)*(IF(Inputs!$B$38="pvp",MIN(15,15)/15,IF(AND(Inputs!$B$38&lt;&gt;"pvp",Inputs!$B$43&gt;0),MIN(15,Inputs!$B$43)/(Inputs!$B$43),0))),0)))&gt;=100),CHOOSE(ArtifactsInput!$N$42+1,40,48,56,64,72,80),0))))/100)*((1+(((C2289=TRUE)*F2289)+((C2290=TRUE)*IF(Inputs!$B$38="pvp",F2290,(1-Summary!$B$11)*(F2290)+Summary!$B$11*(0)))+((C2291=TRUE)*F2291*IF(AND(Inputs!$B$38&lt;&gt;"pvp",Inputs!$B$43&gt;0),(((R2291-1)*(Skills!T15*(1+Inputs!$B$34/100))+MIN((Skills!T15*(1+Inputs!$B$34/100)),MAX(0,Inputs!$B$43-((R2291-1)*Skills!D15))))/Inputs!$B$43),IF(Inputs!$B$38="pvp",MIN((Skills!T15*(1+Inputs!$B$34/100)),15)/15,(Skills!T15*(1+Inputs!$B$34/100))/Skills!D15)))+((C2288=TRUE)*F2288)+((C2305=TRUE)*(F2305-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2282)</f>
        <v/>
      </c>
      <c r="L2282">
        <f>K2282*(MIN(Inputs!$B$22+((C2299=TRUE)*(F2299-Calc!F23)),(Inputs!$B$23+((C2304=TRUE)*(F2304-Calc!F28))+(IF(ArtifactsInput!$M$15,CHOOSE(ArtifactsInput!$N$15+1,25,30,35,40,45,50)/100*(Inputs!$B$11-Inputs!$B$11),0))))/100+(Inputs!$B$23+((C2304=TRUE)*(F2304-Calc!F28))+(IF(ArtifactsInput!$M$15,CHOOSE(ArtifactsInput!$N$15+1,25,30,35,40,45,50)/100*(Inputs!$B$11-Inputs!$B$11),0)))/100)/2</f>
        <v/>
      </c>
      <c r="M2282">
        <f>L2282*(1+(Inputs!$B$10+0+B2313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282">
        <f>L2282*(1-MIN((Inputs!$B$9+((C2295=TRUE)*(F2295-Calc!F19))+B2308+(ArtifactsInput!$M$24-ArtifactsInput!$M$24)*CHOOSE(ArtifactsInput!$N$24+1,10,12,14,16,18,20)+(IF(AND(ArtifactsInput!$M$42,((Inputs!$B$9+((C2295=TRUE)*(F2295-Calc!F19))+B2308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2282*(MIN((Inputs!$B$9+((C2295=TRUE)*(F2295-Calc!F19))+B2308+(ArtifactsInput!$M$24-ArtifactsInput!$M$24)*CHOOSE(ArtifactsInput!$N$24+1,10,12,14,16,18,20)+(IF(AND(ArtifactsInput!$M$42,((Inputs!$B$9+((C2295=TRUE)*(F2295-Calc!F19))+B2308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282">
        <f>(1-Summary!$B$11)*T2282+Summary!$B$11*V2282</f>
        <v/>
      </c>
      <c r="P2282">
        <f>IF(B2318=0,0,O2282/B2318)</f>
        <v/>
      </c>
      <c r="Q2282">
        <f>IFERROR(1/IF(Inputs!$B$38="pvp",15,MAX(0.1,Skills!D6-IF(Skills!E6=TRUE,Inputs!$B$32,0))),0)</f>
        <v/>
      </c>
      <c r="R2282">
        <f>IF(AND(Inputs!$B$38&lt;&gt;"pvp",Inputs!$B$43&gt;0),IF(MAX(0,Inputs!$B$43-B2315)&lt;=0,0,(INT(MAX(0,Inputs!$B$43-B2315)/IF(Inputs!$B$38="pvp",15,MAX(0.1,Skills!D6-IF(Skills!E6=TRUE,Inputs!$B$32,0))))+1)),0)</f>
        <v/>
      </c>
      <c r="S2282">
        <f>IFERROR((H2282*N2282*IF(AND(Inputs!$B$38&lt;&gt;"pvp",Inputs!$B$43&gt;0),((Skills!G6*((R2282-1)*IF(Skills!H6&gt;0,Skills!I6/Skills!H6,1)+IF(Skills!H6&gt;0,MIN(Skills!I6,MAX(0,MAX(0,Inputs!$B$43-B2315)-((R2282-1)*IF(Inputs!$B$38="pvp",15,MAX(0.1,Skills!D6-IF(Skills!E6=TRUE,Inputs!$B$32,0))))))/Skills!H6,1)))/Inputs!$B$43),G2282*Q2282))/N2282*IF(Inputs!$B$38="pvp",1,(1-Summary!$B$11)*1+Summary!$B$11*(MIN(Skills!R6,Inputs!$B$37))),0)</f>
        <v/>
      </c>
      <c r="T2282">
        <f>IF(C2282,(H2282*N2282*IF(AND(Inputs!$B$38&lt;&gt;"pvp",Inputs!$B$43&gt;0),((Skills!G6*((R2282-1)*IF(Skills!H6&gt;0,Skills!I6/Skills!H6,1)+IF(Skills!H6&gt;0,MIN(Skills!I6,MAX(0,MAX(0,Inputs!$B$43-B2315)-((R2282-1)*IF(Inputs!$B$38="pvp",15,MAX(0.1,Skills!D6-IF(Skills!E6=TRUE,Inputs!$B$32,0))))))/Skills!H6,1)))/Inputs!$B$43),G2282*Q2282))*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Hunt"),CHOOSE(ArtifactsInput!$N$35+1,15,18,21,24,27,30)*(1-EXP(-(0.2*B2310)*5)),0)+IF(AND(ArtifactsInput!$M$22,Inputs!$B$4&lt;&gt;"Chapter Hunt"),CHOOSE(ArtifactsInput!$N$22+1,10,12,14,16,18,20)*((0*(((0.15*B2310*5))^0/1)+1*(((0.15*B2310*5))^1/1)+2*(((0.15*B2310*5))^2/2)+3*(((0.15*B2310*5))^3/6)+4*(((0.15*B2310*5))^4/24)+5*(((0.15*B2310*5))^5/120))/((((0.15*B2310*5))^0/1)+(((0.15*B2310*5))^1/1)+(((0.15*B2310*5))^2/2)+(((0.15*B2310*5))^3/6)+(((0.15*B2310*5))^4/24)+(((0.15*B2310*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2282*(1-MIN(100,(Inputs!$B$9+((C2295=TRUE)*(F2295-Calc!F19))+B2308+(ArtifactsInput!$M$24-ArtifactsInput!$M$24)*CHOOSE(ArtifactsInput!$N$24+1,10,12,14,16,18,20)+(IF(AND(ArtifactsInput!$M$42,((Inputs!$B$9+((C2295=TRUE)*(F2295-Calc!F19))+B2308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2282*(MIN(100,(Inputs!$B$9+((C2295=TRUE)*(F2295-Calc!F19))+B2308+(ArtifactsInput!$M$24-ArtifactsInput!$M$24)*CHOOSE(ArtifactsInput!$N$24+1,10,12,14,16,18,20)+(IF(AND(ArtifactsInput!$M$42,((Inputs!$B$9+((C2295=TRUE)*(F2295-Calc!F19))+B2308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2282*(1-MIN(100,(Inputs!$B$9+((C2295=TRUE)*(F2295-Calc!F19))+B2308+(ArtifactsInput!$M$24-ArtifactsInput!$M$24)*CHOOSE(ArtifactsInput!$N$24+1,10,12,14,16,18,20)+(IF(AND(ArtifactsInput!$M$42,((Inputs!$B$9+((C2295=TRUE)*(F2295-Calc!F19))+B2308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2282*(MIN(100,(Inputs!$B$9+((C2295=TRUE)*(F2295-Calc!F19))+B2308+(ArtifactsInput!$M$24-ArtifactsInput!$M$24)*CHOOSE(ArtifactsInput!$N$24+1,10,12,14,16,18,20)+(IF(AND(ArtifactsInput!$M$42,((Inputs!$B$9+((C2295=TRUE)*(F2295-Calc!F19))+B2308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282">
        <f>IF(C2282,(H2282*N2282*IF(AND(Inputs!$B$38&lt;&gt;"pvp",Inputs!$B$43&gt;0),((Skills!G6*((R2282-1)*IF(Skills!H6&gt;0,Skills!I6/Skills!H6,1)+IF(Skills!H6&gt;0,MIN(Skills!I6,MAX(0,MAX(0,Inputs!$B$43-B2315)-((R2282-1)*IF(Inputs!$B$38="pvp",15,MAX(0.1,Skills!D6-IF(Skills!E6=TRUE,Inputs!$B$32,0))))))/Skills!H6,1)))/Inputs!$B$43),G2282*Q2282))*IF(Inputs!$B$38="pvp",1,(1+(Inputs!$B$21+Skills!Q6+(IF(ArtifactsInput!$M$33,CHOOSE(ArtifactsInput!$N$33+1,30,36,42,48,54,60),0))+(IF(AND(ArtifactsInput!$M$35,Inputs!$B$4&lt;&gt;"Chapter Hunt"),CHOOSE(ArtifactsInput!$N$35+1,15,18,21,24,27,30)*(1-EXP(-(0.2*B2310)*5)),0)+IF(AND(ArtifactsInput!$M$22,Inputs!$B$4&lt;&gt;"Chapter Hunt"),CHOOSE(ArtifactsInput!$N$22+1,10,12,14,16,18,20)*((0*(((0.15*B2310*5))^0/1)+1*(((0.15*B2310*5))^1/1)+2*(((0.15*B2310*5))^2/2)+3*(((0.15*B2310*5))^3/6)+4*(((0.15*B2310*5))^4/24)+5*(((0.15*B2310*5))^5/120))/((((0.15*B2310*5))^0/1)+(((0.15*B2310*5))^1/1)+(((0.15*B2310*5))^2/2)+(((0.15*B2310*5))^3/6)+(((0.15*B2310*5))^4/24)+(((0.15*B2310*5))^5/120))),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283">
      <c r="A2283">
        <f>Skills!A7</f>
        <v/>
      </c>
      <c r="B2283">
        <f>Skills!B7</f>
        <v/>
      </c>
      <c r="C2283">
        <f>Inputs!$B$3&gt;=69</f>
        <v/>
      </c>
      <c r="D2283">
        <f>IF(Skills!C7=1,60+Inputs!$B$25+Inputs!$B$29,IF(Skills!C7=2,90+Inputs!$B$26+Inputs!$B$29,IF(Skills!C7=3,120+Inputs!$B$27+Inputs!$B$29,MAX(0,(Inputs!$B$3-100)*3)+Inputs!$B$28+Inputs!$B$29)))</f>
        <v/>
      </c>
      <c r="E2283">
        <f>INDEX(FactorTable!$B$2:$Y$301, MATCH(ROUND(MIN(300,MAX(1,D2283)),0), FactorTable!$A$2:$A$301,0), Skills!M7+1)</f>
        <v/>
      </c>
      <c r="F2283">
        <f>IF(Skills!N7=TRUE,(Skills!L7/10)*(E2283/1000),Skills!L7/10)+Skills!O7</f>
        <v/>
      </c>
      <c r="G2283">
        <f>Skills!G7*IF(Skills!H7&gt;0,Skills!I7/Skills!H7,1)</f>
        <v/>
      </c>
      <c r="H2283">
        <f>1-(1-Skills!J7/100)^Skills!K7</f>
        <v/>
      </c>
      <c r="I2283" t="inlineStr">
        <is>
          <t>1</t>
        </is>
      </c>
      <c r="J2283">
        <f>((Inputs!$B$6*(1+Inputs!$B$7/100))+(((Inputs!$B$12*(1+Inputs!$B$13/100))-(Inputs!$B$12*(1+Inputs!$B$13/100)))+0.25*(Inputs!$B$14-Inputs!$B$14))*(1+Inputs!$B$7/100))*(F2283/100)</f>
        <v/>
      </c>
      <c r="K2283">
        <f>J2283*(1+((Inputs!$B$12*(1+Inputs!$B$13/100))*0.01+Inputs!$B$14*0.0025)/100)*(1+Inputs!$B$15/100)*(1+Inputs!$B$16/100)*(5000/(6000+Inputs!$B$42*(1-(100*(1-(1-(Inputs!$B$19+0)/100)*(1-CHOOSE(ArtifactsInput!$N$40+1,5,6,7,8,9,10)/100)^(ArtifactsInput!$M$40-ArtifactsInput!$M$40)))/100)))*(1+(Inputs!$B$24+((C2300=TRUE)*(F2300-Calc!F24))+((C2301=TRUE)*(F2301-Calc!F25))+B2314)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+1.2*IF(C2284=TRUE,F2284,0)/100)*(1+(IF(Skills!A7="EMPOWERED_PIERCING_ARROW",Inputs!$B$17+((C2298=TRUE)*(F2298-Calc!F22))+(((IF(AND(ArtifactsInput!$M$42,((Inputs!$B$9+((C2295=TRUE)*(F2295-Calc!F19))+B2308+(ArtifactsInput!$M$24-ArtifactsInput!$M$24)*CHOOSE(ArtifactsInput!$N$24+1,10,12,14,16,18,20)+IF(ArtifactsInput!$M$10,CHOOSE(ArtifactsInput!$N$10+1,15,18,21,24,27,30)*(IF(Inputs!$B$38="pvp",MIN(15,15)/15,IF(AND(Inputs!$B$38&lt;&gt;"pvp",Inputs!$B$43&gt;0),MIN(15,Inputs!$B$43)/(Inputs!$B$43),0))),0)))&gt;=100),MIN(100,((Inputs!$B$9+((C2295=TRUE)*(F2295-Calc!F19))+B2308+(ArtifactsInput!$M$24-ArtifactsInput!$M$24)*CHOOSE(ArtifactsInput!$N$24+1,10,12,14,16,18,20)+IF(ArtifactsInput!$M$10,CHOOSE(ArtifactsInput!$N$10+1,15,18,21,24,27,30)*(IF(Inputs!$B$38="pvp",MIN(15,15)/15,IF(AND(Inputs!$B$38&lt;&gt;"pvp",Inputs!$B$43&gt;0),MIN(15,Inputs!$B$43)/(Inputs!$B$43),0))),0)))-100),0))*CHOOSE(ArtifactsInput!$N$42+1,0.6,0.72,0.84,0.96,1.08,1.2))),Inputs!$B$18+((C2303=TRUE)*(F2303-Calc!F27))+(IF(AND(ArtifactsInput!$M$42,((Inputs!$B$9+((C2295=TRUE)*(F2295-Calc!F19))+B2308+(ArtifactsInput!$M$24-ArtifactsInput!$M$24)*CHOOSE(ArtifactsInput!$N$24+1,10,12,14,16,18,20)+IF(ArtifactsInput!$M$10,CHOOSE(ArtifactsInput!$N$10+1,15,18,21,24,27,30)*(IF(Inputs!$B$38="pvp",MIN(15,15)/15,IF(AND(Inputs!$B$38&lt;&gt;"pvp",Inputs!$B$43&gt;0),MIN(15,Inputs!$B$43)/(Inputs!$B$43),0))),0)))&gt;=100),CHOOSE(ArtifactsInput!$N$42+1,40,48,56,64,72,80),0))))/100)*((1+(((C2289=TRUE)*F2289)+((C2290=TRUE)*IF(Inputs!$B$38="pvp",F2290,(1-Summary!$B$11)*(F2290)+Summary!$B$11*(0)))+((C2291=TRUE)*F2291*IF(AND(Inputs!$B$38&lt;&gt;"pvp",Inputs!$B$43&gt;0),(((R2291-1)*(Skills!T15*(1+Inputs!$B$34/100))+MIN((Skills!T15*(1+Inputs!$B$34/100)),MAX(0,Inputs!$B$43-((R2291-1)*Skills!D15))))/Inputs!$B$43),IF(Inputs!$B$38="pvp",MIN((Skills!T15*(1+Inputs!$B$34/100)),15)/15,(Skills!T15*(1+Inputs!$B$34/100))/Skills!D15)))+((C2288=TRUE)*F2288)+((C2305=TRUE)*(F2305-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2283)</f>
        <v/>
      </c>
      <c r="L2283">
        <f>K2283*(MIN(Inputs!$B$22+((C2299=TRUE)*(F2299-Calc!F23)),(Inputs!$B$23+((C2304=TRUE)*(F2304-Calc!F28))+(IF(ArtifactsInput!$M$15,CHOOSE(ArtifactsInput!$N$15+1,25,30,35,40,45,50)/100*(Inputs!$B$11-Inputs!$B$11),0))))/100+(Inputs!$B$23+((C2304=TRUE)*(F2304-Calc!F28))+(IF(ArtifactsInput!$M$15,CHOOSE(ArtifactsInput!$N$15+1,25,30,35,40,45,50)/100*(Inputs!$B$11-Inputs!$B$11),0)))/100)/2</f>
        <v/>
      </c>
      <c r="M2283">
        <f>L2283*(1+(Inputs!$B$10+0+B2313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283">
        <f>L2283*(1-MIN((Inputs!$B$9+((C2295=TRUE)*(F2295-Calc!F19))+B2308+(ArtifactsInput!$M$24-ArtifactsInput!$M$24)*CHOOSE(ArtifactsInput!$N$24+1,10,12,14,16,18,20)+(IF(AND(ArtifactsInput!$M$42,((Inputs!$B$9+((C2295=TRUE)*(F2295-Calc!F19))+B2308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2283*(MIN((Inputs!$B$9+((C2295=TRUE)*(F2295-Calc!F19))+B2308+(ArtifactsInput!$M$24-ArtifactsInput!$M$24)*CHOOSE(ArtifactsInput!$N$24+1,10,12,14,16,18,20)+(IF(AND(ArtifactsInput!$M$42,((Inputs!$B$9+((C2295=TRUE)*(F2295-Calc!F19))+B2308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283">
        <f>(1-Summary!$B$11)*T2283+Summary!$B$11*V2283</f>
        <v/>
      </c>
      <c r="P2283">
        <f>IF(B2318=0,0,O2283/B2318)</f>
        <v/>
      </c>
      <c r="Q2283">
        <f>IFERROR(1/IF(Inputs!$B$38="pvp",15,MAX(0.1,Skills!D7-IF(Skills!E7=TRUE,Inputs!$B$32,0))),0)</f>
        <v/>
      </c>
      <c r="R2283">
        <f>IF(AND(Inputs!$B$38&lt;&gt;"pvp",Inputs!$B$43&gt;0),IF(MAX(0,Inputs!$B$43-B2315)&lt;=0,0,(INT(MAX(0,Inputs!$B$43-B2315)/IF(Inputs!$B$38="pvp",15,MAX(0.1,Skills!D7-IF(Skills!E7=TRUE,Inputs!$B$32,0))))+1)),0)</f>
        <v/>
      </c>
      <c r="S2283">
        <f>IFERROR((H2283*N2283*IF(AND(Inputs!$B$38&lt;&gt;"pvp",Inputs!$B$43&gt;0),((Skills!G7*((R2283-1)*IF(Skills!H7&gt;0,Skills!I7/Skills!H7,1)+IF(Skills!H7&gt;0,MIN(Skills!I7,MAX(0,MAX(0,Inputs!$B$43-B2315)-((R2283-1)*IF(Inputs!$B$38="pvp",15,MAX(0.1,Skills!D7-IF(Skills!E7=TRUE,Inputs!$B$32,0))))))/Skills!H7,1)))/Inputs!$B$43),G2283*Q2283))/N2283*IF(Inputs!$B$38="pvp",1,(1-Summary!$B$11)*1+Summary!$B$11*(MIN(Skills!R7,Inputs!$B$37))),0)</f>
        <v/>
      </c>
      <c r="T2283">
        <f>IF(C2283,(H2283*N2283*IF(AND(Inputs!$B$38&lt;&gt;"pvp",Inputs!$B$43&gt;0),((Skills!G7*((R2283-1)*IF(Skills!H7&gt;0,Skills!I7/Skills!H7,1)+IF(Skills!H7&gt;0,MIN(Skills!I7,MAX(0,MAX(0,Inputs!$B$43-B2315)-((R2283-1)*IF(Inputs!$B$38="pvp",15,MAX(0.1,Skills!D7-IF(Skills!E7=TRUE,Inputs!$B$32,0))))))/Skills!H7,1)))/Inputs!$B$43),G2283*Q2283))*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Hunt"),CHOOSE(ArtifactsInput!$N$35+1,15,18,21,24,27,30)*(1-EXP(-(0.2*B2310)*5)),0)+IF(AND(ArtifactsInput!$M$22,Inputs!$B$4&lt;&gt;"Chapter Hunt"),CHOOSE(ArtifactsInput!$N$22+1,10,12,14,16,18,20)*((0*(((0.15*B2310*5))^0/1)+1*(((0.15*B2310*5))^1/1)+2*(((0.15*B2310*5))^2/2)+3*(((0.15*B2310*5))^3/6)+4*(((0.15*B2310*5))^4/24)+5*(((0.15*B2310*5))^5/120))/((((0.15*B2310*5))^0/1)+(((0.15*B2310*5))^1/1)+(((0.15*B2310*5))^2/2)+(((0.15*B2310*5))^3/6)+(((0.15*B2310*5))^4/24)+(((0.15*B2310*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2283*(1-MIN(100,(Inputs!$B$9+((C2295=TRUE)*(F2295-Calc!F19))+B2308+(ArtifactsInput!$M$24-ArtifactsInput!$M$24)*CHOOSE(ArtifactsInput!$N$24+1,10,12,14,16,18,20)+(IF(AND(ArtifactsInput!$M$42,((Inputs!$B$9+((C2295=TRUE)*(F2295-Calc!F19))+B2308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2283*(MIN(100,(Inputs!$B$9+((C2295=TRUE)*(F2295-Calc!F19))+B2308+(ArtifactsInput!$M$24-ArtifactsInput!$M$24)*CHOOSE(ArtifactsInput!$N$24+1,10,12,14,16,18,20)+(IF(AND(ArtifactsInput!$M$42,((Inputs!$B$9+((C2295=TRUE)*(F2295-Calc!F19))+B2308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2283*(1-MIN(100,(Inputs!$B$9+((C2295=TRUE)*(F2295-Calc!F19))+B2308+(ArtifactsInput!$M$24-ArtifactsInput!$M$24)*CHOOSE(ArtifactsInput!$N$24+1,10,12,14,16,18,20)+(IF(AND(ArtifactsInput!$M$42,((Inputs!$B$9+((C2295=TRUE)*(F2295-Calc!F19))+B2308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2283*(MIN(100,(Inputs!$B$9+((C2295=TRUE)*(F2295-Calc!F19))+B2308+(ArtifactsInput!$M$24-ArtifactsInput!$M$24)*CHOOSE(ArtifactsInput!$N$24+1,10,12,14,16,18,20)+(IF(AND(ArtifactsInput!$M$42,((Inputs!$B$9+((C2295=TRUE)*(F2295-Calc!F19))+B2308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283">
        <f>IF(C2283,(H2283*N2283*IF(AND(Inputs!$B$38&lt;&gt;"pvp",Inputs!$B$43&gt;0),((Skills!G7*((R2283-1)*IF(Skills!H7&gt;0,Skills!I7/Skills!H7,1)+IF(Skills!H7&gt;0,MIN(Skills!I7,MAX(0,MAX(0,Inputs!$B$43-B2315)-((R2283-1)*IF(Inputs!$B$38="pvp",15,MAX(0.1,Skills!D7-IF(Skills!E7=TRUE,Inputs!$B$32,0))))))/Skills!H7,1)))/Inputs!$B$43),G2283*Q2283))*IF(Inputs!$B$38="pvp",1,(1+(Inputs!$B$21+Skills!Q7+(IF(ArtifactsInput!$M$33,CHOOSE(ArtifactsInput!$N$33+1,30,36,42,48,54,60),0))+(IF(AND(ArtifactsInput!$M$35,Inputs!$B$4&lt;&gt;"Chapter Hunt"),CHOOSE(ArtifactsInput!$N$35+1,15,18,21,24,27,30)*(1-EXP(-(0.2*B2310)*5)),0)+IF(AND(ArtifactsInput!$M$22,Inputs!$B$4&lt;&gt;"Chapter Hunt"),CHOOSE(ArtifactsInput!$N$22+1,10,12,14,16,18,20)*((0*(((0.15*B2310*5))^0/1)+1*(((0.15*B2310*5))^1/1)+2*(((0.15*B2310*5))^2/2)+3*(((0.15*B2310*5))^3/6)+4*(((0.15*B2310*5))^4/24)+5*(((0.15*B2310*5))^5/120))/((((0.15*B2310*5))^0/1)+(((0.15*B2310*5))^1/1)+(((0.15*B2310*5))^2/2)+(((0.15*B2310*5))^3/6)+(((0.15*B2310*5))^4/24)+(((0.15*B2310*5))^5/120))),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284">
      <c r="A2284">
        <f>Skills!A8</f>
        <v/>
      </c>
      <c r="B2284">
        <f>Skills!B8</f>
        <v/>
      </c>
      <c r="C2284">
        <f>Inputs!$B$3&gt;=100</f>
        <v/>
      </c>
      <c r="D2284">
        <f>IF(Skills!C8=1,60+Inputs!$B$25+Inputs!$B$29,IF(Skills!C8=2,90+Inputs!$B$26+Inputs!$B$29,IF(Skills!C8=3,120+Inputs!$B$27+Inputs!$B$29,MAX(0,(Inputs!$B$3-100)*3)+Inputs!$B$28+Inputs!$B$29)))</f>
        <v/>
      </c>
      <c r="E2284">
        <f>INDEX(FactorTable!$B$2:$Y$301, MATCH(ROUND(MIN(300,MAX(1,D2284)),0), FactorTable!$A$2:$A$301,0), Skills!M8+1)</f>
        <v/>
      </c>
      <c r="F2284">
        <f>IF(Skills!N8=TRUE,(Skills!L8/10)*(E2284/1000),Skills!L8/10)+Skills!O8</f>
        <v/>
      </c>
      <c r="G2284" t="inlineStr"/>
      <c r="H2284" t="inlineStr"/>
      <c r="I2284" t="inlineStr">
        <is>
          <t>1</t>
        </is>
      </c>
      <c r="J2284" t="inlineStr"/>
      <c r="K2284" t="inlineStr"/>
      <c r="L2284" t="inlineStr"/>
      <c r="M2284" t="inlineStr"/>
      <c r="N2284" t="inlineStr"/>
      <c r="O2284" t="inlineStr"/>
      <c r="P2284" t="inlineStr"/>
      <c r="Q2284" t="inlineStr"/>
      <c r="R2284" t="inlineStr"/>
      <c r="S2284" t="inlineStr"/>
      <c r="T2284" t="inlineStr"/>
      <c r="V2284" t="inlineStr"/>
    </row>
    <row r="2285">
      <c r="A2285">
        <f>Skills!A9</f>
        <v/>
      </c>
      <c r="B2285">
        <f>Skills!B9</f>
        <v/>
      </c>
      <c r="C2285">
        <f>Inputs!$B$3&gt;=103</f>
        <v/>
      </c>
      <c r="D2285">
        <f>IF(Skills!C9=1,60+Inputs!$B$25+Inputs!$B$29,IF(Skills!C9=2,90+Inputs!$B$26+Inputs!$B$29,IF(Skills!C9=3,120+Inputs!$B$27+Inputs!$B$29,MAX(0,(Inputs!$B$3-100)*3)+Inputs!$B$28+Inputs!$B$29)))</f>
        <v/>
      </c>
      <c r="E2285">
        <f>INDEX(FactorTable!$B$2:$Y$301, MATCH(ROUND(MIN(300,MAX(1,D2285)),0), FactorTable!$A$2:$A$301,0), Skills!M9+1)</f>
        <v/>
      </c>
      <c r="F2285">
        <f>IF(Skills!N9=TRUE,(Skills!L9/10)*(E2285/1000),Skills!L9/10)+Skills!O9</f>
        <v/>
      </c>
      <c r="G2285">
        <f>Skills!G9*IF(Skills!H9&gt;0,Skills!I9/Skills!H9,1)</f>
        <v/>
      </c>
      <c r="H2285">
        <f>1-(1-Skills!J9/100)^Skills!K9</f>
        <v/>
      </c>
      <c r="I2285" t="inlineStr">
        <is>
          <t>1</t>
        </is>
      </c>
      <c r="J2285">
        <f>((Inputs!$B$6*(1+Inputs!$B$7/100))+(((Inputs!$B$12*(1+Inputs!$B$13/100))-(Inputs!$B$12*(1+Inputs!$B$13/100)))+0.25*(Inputs!$B$14-Inputs!$B$14))*(1+Inputs!$B$7/100))*(F2285/100)</f>
        <v/>
      </c>
      <c r="K2285">
        <f>J2285*(1+((Inputs!$B$12*(1+Inputs!$B$13/100))*0.01+Inputs!$B$14*0.0025)/100)*(1+Inputs!$B$15/100)*(1+Inputs!$B$16/100)*(5000/(6000+Inputs!$B$42*(1-(100*(1-(1-(Inputs!$B$19+0)/100)*(1-CHOOSE(ArtifactsInput!$N$40+1,5,6,7,8,9,10)/100)^(ArtifactsInput!$M$40-ArtifactsInput!$M$40)))/100)))*(1+(Inputs!$B$24+((C2300=TRUE)*(F2300-Calc!F24))+((C2301=TRUE)*(F2301-Calc!F25))+B2314)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EMPOWERED_PIERCING_ARROW",Inputs!$B$17+((C2298=TRUE)*(F2298-Calc!F22))+(((IF(AND(ArtifactsInput!$M$42,((Inputs!$B$9+((C2295=TRUE)*(F2295-Calc!F19))+B2308+(ArtifactsInput!$M$24-ArtifactsInput!$M$24)*CHOOSE(ArtifactsInput!$N$24+1,10,12,14,16,18,20)+IF(ArtifactsInput!$M$10,CHOOSE(ArtifactsInput!$N$10+1,15,18,21,24,27,30)*(IF(Inputs!$B$38="pvp",MIN(15,15)/15,IF(AND(Inputs!$B$38&lt;&gt;"pvp",Inputs!$B$43&gt;0),MIN(15,Inputs!$B$43)/(Inputs!$B$43),0))),0)))&gt;=100),MIN(100,((Inputs!$B$9+((C2295=TRUE)*(F2295-Calc!F19))+B2308+(ArtifactsInput!$M$24-ArtifactsInput!$M$24)*CHOOSE(ArtifactsInput!$N$24+1,10,12,14,16,18,20)+IF(ArtifactsInput!$M$10,CHOOSE(ArtifactsInput!$N$10+1,15,18,21,24,27,30)*(IF(Inputs!$B$38="pvp",MIN(15,15)/15,IF(AND(Inputs!$B$38&lt;&gt;"pvp",Inputs!$B$43&gt;0),MIN(15,Inputs!$B$43)/(Inputs!$B$43),0))),0)))-100),0))*CHOOSE(ArtifactsInput!$N$42+1,0.6,0.72,0.84,0.96,1.08,1.2))),Inputs!$B$18+((C2303=TRUE)*(F2303-Calc!F27))+(IF(AND(ArtifactsInput!$M$42,((Inputs!$B$9+((C2295=TRUE)*(F2295-Calc!F19))+B2308+(ArtifactsInput!$M$24-ArtifactsInput!$M$24)*CHOOSE(ArtifactsInput!$N$24+1,10,12,14,16,18,20)+IF(ArtifactsInput!$M$10,CHOOSE(ArtifactsInput!$N$10+1,15,18,21,24,27,30)*(IF(Inputs!$B$38="pvp",MIN(15,15)/15,IF(AND(Inputs!$B$38&lt;&gt;"pvp",Inputs!$B$43&gt;0),MIN(15,Inputs!$B$43)/(Inputs!$B$43),0))),0)))&gt;=100),CHOOSE(ArtifactsInput!$N$42+1,40,48,56,64,72,80),0))))/100)*((1+(((C2289=TRUE)*F2289)+((C2290=TRUE)*IF(Inputs!$B$38="pvp",F2290,(1-Summary!$B$11)*(F2290)+Summary!$B$11*(0)))+((C2291=TRUE)*F2291*IF(AND(Inputs!$B$38&lt;&gt;"pvp",Inputs!$B$43&gt;0),(((R2291-1)*(Skills!T15*(1+Inputs!$B$34/100))+MIN((Skills!T15*(1+Inputs!$B$34/100)),MAX(0,Inputs!$B$43-((R2291-1)*Skills!D15))))/Inputs!$B$43),IF(Inputs!$B$38="pvp",MIN((Skills!T15*(1+Inputs!$B$34/100)),15)/15,(Skills!T15*(1+Inputs!$B$34/100))/Skills!D15)))+((C2288=TRUE)*F2288)+((C2305=TRUE)*(F2305-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2285)</f>
        <v/>
      </c>
      <c r="L2285">
        <f>K2285*(MIN(Inputs!$B$22+((C2299=TRUE)*(F2299-Calc!F23)),(Inputs!$B$23+((C2304=TRUE)*(F2304-Calc!F28))+(IF(ArtifactsInput!$M$15,CHOOSE(ArtifactsInput!$N$15+1,25,30,35,40,45,50)/100*(Inputs!$B$11-Inputs!$B$11),0))))/100+(Inputs!$B$23+((C2304=TRUE)*(F2304-Calc!F28))+(IF(ArtifactsInput!$M$15,CHOOSE(ArtifactsInput!$N$15+1,25,30,35,40,45,50)/100*(Inputs!$B$11-Inputs!$B$11),0)))/100)/2</f>
        <v/>
      </c>
      <c r="M2285">
        <f>L2285*(1+(Inputs!$B$10+0+B2313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285">
        <f>L2285*(1-MIN((Inputs!$B$9+((C2295=TRUE)*(F2295-Calc!F19))+B2308+(ArtifactsInput!$M$24-ArtifactsInput!$M$24)*CHOOSE(ArtifactsInput!$N$24+1,10,12,14,16,18,20)+(IF(AND(ArtifactsInput!$M$42,((Inputs!$B$9+((C2295=TRUE)*(F2295-Calc!F19))+B2308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2285*(MIN((Inputs!$B$9+((C2295=TRUE)*(F2295-Calc!F19))+B2308+(ArtifactsInput!$M$24-ArtifactsInput!$M$24)*CHOOSE(ArtifactsInput!$N$24+1,10,12,14,16,18,20)+(IF(AND(ArtifactsInput!$M$42,((Inputs!$B$9+((C2295=TRUE)*(F2295-Calc!F19))+B2308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285">
        <f>(1-Summary!$B$11)*T2285+Summary!$B$11*V2285</f>
        <v/>
      </c>
      <c r="P2285">
        <f>IF(B2318=0,0,O2285/B2318)</f>
        <v/>
      </c>
      <c r="Q2285">
        <f>IFERROR(1/IF(Inputs!$B$38="pvp",15,MAX(0.1,Skills!D9-IF(Skills!E9=TRUE,Inputs!$B$32,0))),0)</f>
        <v/>
      </c>
      <c r="R2285">
        <f>IF(AND(Inputs!$B$38&lt;&gt;"pvp",Inputs!$B$43&gt;0),IF(MAX(0,Inputs!$B$43-B2315)&lt;=0,0,(INT(MAX(0,Inputs!$B$43-B2315)/IF(Inputs!$B$38="pvp",15,MAX(0.1,Skills!D9-IF(Skills!E9=TRUE,Inputs!$B$32,0))))+1)),0)</f>
        <v/>
      </c>
      <c r="S2285">
        <f>IFERROR((H2285*N2285*IF(AND(Inputs!$B$38&lt;&gt;"pvp",Inputs!$B$43&gt;0),((Skills!G9*((R2285-1)*IF(Skills!H9&gt;0,Skills!I9/Skills!H9,1)+IF(Skills!H9&gt;0,MIN(Skills!I9,MAX(0,MAX(0,Inputs!$B$43-B2315)-((R2285-1)*IF(Inputs!$B$38="pvp",15,MAX(0.1,Skills!D9-IF(Skills!E9=TRUE,Inputs!$B$32,0))))))/Skills!H9,1)))/Inputs!$B$43),G2285*Q2285))/N2285*IF(Inputs!$B$38="pvp",1,(1-Summary!$B$11)*1+Summary!$B$11*(MIN(Skills!R9,Inputs!$B$37))),0)</f>
        <v/>
      </c>
      <c r="T2285">
        <f>IF(C2285,(H2285*N2285*IF(AND(Inputs!$B$38&lt;&gt;"pvp",Inputs!$B$43&gt;0),((Skills!G9*((R2285-1)*IF(Skills!H9&gt;0,Skills!I9/Skills!H9,1)+IF(Skills!H9&gt;0,MIN(Skills!I9,MAX(0,MAX(0,Inputs!$B$43-B2315)-((R2285-1)*IF(Inputs!$B$38="pvp",15,MAX(0.1,Skills!D9-IF(Skills!E9=TRUE,Inputs!$B$32,0))))))/Skills!H9,1)))/Inputs!$B$43),G2285*Q2285))*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Hunt"),CHOOSE(ArtifactsInput!$N$35+1,15,18,21,24,27,30)*(1-EXP(-(0.2*B2310)*5)),0)+IF(AND(ArtifactsInput!$M$22,Inputs!$B$4&lt;&gt;"Chapter Hunt"),CHOOSE(ArtifactsInput!$N$22+1,10,12,14,16,18,20)*((0*(((0.15*B2310*5))^0/1)+1*(((0.15*B2310*5))^1/1)+2*(((0.15*B2310*5))^2/2)+3*(((0.15*B2310*5))^3/6)+4*(((0.15*B2310*5))^4/24)+5*(((0.15*B2310*5))^5/120))/((((0.15*B2310*5))^0/1)+(((0.15*B2310*5))^1/1)+(((0.15*B2310*5))^2/2)+(((0.15*B2310*5))^3/6)+(((0.15*B2310*5))^4/24)+(((0.15*B2310*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2285*(1-MIN(100,(Inputs!$B$9+((C2295=TRUE)*(F2295-Calc!F19))+B2308+(ArtifactsInput!$M$24-ArtifactsInput!$M$24)*CHOOSE(ArtifactsInput!$N$24+1,10,12,14,16,18,20)+(IF(AND(ArtifactsInput!$M$42,((Inputs!$B$9+((C2295=TRUE)*(F2295-Calc!F19))+B2308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2285*(MIN(100,(Inputs!$B$9+((C2295=TRUE)*(F2295-Calc!F19))+B2308+(ArtifactsInput!$M$24-ArtifactsInput!$M$24)*CHOOSE(ArtifactsInput!$N$24+1,10,12,14,16,18,20)+(IF(AND(ArtifactsInput!$M$42,((Inputs!$B$9+((C2295=TRUE)*(F2295-Calc!F19))+B2308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2285*(1-MIN(100,(Inputs!$B$9+((C2295=TRUE)*(F2295-Calc!F19))+B2308+(ArtifactsInput!$M$24-ArtifactsInput!$M$24)*CHOOSE(ArtifactsInput!$N$24+1,10,12,14,16,18,20)+(IF(AND(ArtifactsInput!$M$42,((Inputs!$B$9+((C2295=TRUE)*(F2295-Calc!F19))+B2308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2285*(MIN(100,(Inputs!$B$9+((C2295=TRUE)*(F2295-Calc!F19))+B2308+(ArtifactsInput!$M$24-ArtifactsInput!$M$24)*CHOOSE(ArtifactsInput!$N$24+1,10,12,14,16,18,20)+(IF(AND(ArtifactsInput!$M$42,((Inputs!$B$9+((C2295=TRUE)*(F2295-Calc!F19))+B2308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285">
        <f>IF(C2285,(H2285*N2285*IF(AND(Inputs!$B$38&lt;&gt;"pvp",Inputs!$B$43&gt;0),((Skills!G9*((R2285-1)*IF(Skills!H9&gt;0,Skills!I9/Skills!H9,1)+IF(Skills!H9&gt;0,MIN(Skills!I9,MAX(0,MAX(0,Inputs!$B$43-B2315)-((R2285-1)*IF(Inputs!$B$38="pvp",15,MAX(0.1,Skills!D9-IF(Skills!E9=TRUE,Inputs!$B$32,0))))))/Skills!H9,1)))/Inputs!$B$43),G2285*Q2285))*IF(Inputs!$B$38="pvp",1,(1+(Inputs!$B$21+Skills!Q9+(IF(ArtifactsInput!$M$33,CHOOSE(ArtifactsInput!$N$33+1,30,36,42,48,54,60),0))+(IF(AND(ArtifactsInput!$M$35,Inputs!$B$4&lt;&gt;"Chapter Hunt"),CHOOSE(ArtifactsInput!$N$35+1,15,18,21,24,27,30)*(1-EXP(-(0.2*B2310)*5)),0)+IF(AND(ArtifactsInput!$M$22,Inputs!$B$4&lt;&gt;"Chapter Hunt"),CHOOSE(ArtifactsInput!$N$22+1,10,12,14,16,18,20)*((0*(((0.15*B2310*5))^0/1)+1*(((0.15*B2310*5))^1/1)+2*(((0.15*B2310*5))^2/2)+3*(((0.15*B2310*5))^3/6)+4*(((0.15*B2310*5))^4/24)+5*(((0.15*B2310*5))^5/120))/((((0.15*B2310*5))^0/1)+(((0.15*B2310*5))^1/1)+(((0.15*B2310*5))^2/2)+(((0.15*B2310*5))^3/6)+(((0.15*B2310*5))^4/24)+(((0.15*B2310*5))^5/120)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286">
      <c r="A2286">
        <f>Skills!A10</f>
        <v/>
      </c>
      <c r="B2286">
        <f>Skills!B10</f>
        <v/>
      </c>
      <c r="C2286">
        <f>Inputs!$B$3&gt;=107</f>
        <v/>
      </c>
      <c r="D2286">
        <f>IF(Skills!C10=1,60+Inputs!$B$25+Inputs!$B$29,IF(Skills!C10=2,90+Inputs!$B$26+Inputs!$B$29,IF(Skills!C10=3,120+Inputs!$B$27+Inputs!$B$29,MAX(0,(Inputs!$B$3-100)*3)+Inputs!$B$28+Inputs!$B$29)))</f>
        <v/>
      </c>
      <c r="E2286">
        <f>INDEX(FactorTable!$B$2:$Y$301, MATCH(ROUND(MIN(300,MAX(1,D2286)),0), FactorTable!$A$2:$A$301,0), Skills!M10+1)</f>
        <v/>
      </c>
      <c r="F2286">
        <f>IF(Skills!N10=TRUE,(Skills!L10/10)*(E2286/1000),Skills!L10/10)+Skills!O10</f>
        <v/>
      </c>
      <c r="G2286">
        <f>Skills!G10*IF(Skills!H10&gt;0,Skills!I10/Skills!H10,1)</f>
        <v/>
      </c>
      <c r="H2286">
        <f>1-(1-Skills!J10/100)^Skills!K10</f>
        <v/>
      </c>
      <c r="I2286" t="inlineStr">
        <is>
          <t>1</t>
        </is>
      </c>
      <c r="J2286">
        <f>((Inputs!$B$6*(1+Inputs!$B$7/100))+(((Inputs!$B$12*(1+Inputs!$B$13/100))-(Inputs!$B$12*(1+Inputs!$B$13/100)))+0.25*(Inputs!$B$14-Inputs!$B$14))*(1+Inputs!$B$7/100))*(F2286/100)</f>
        <v/>
      </c>
      <c r="K2286">
        <f>J2286*(1+((Inputs!$B$12*(1+Inputs!$B$13/100))*0.01+Inputs!$B$14*0.0025)/100)*(1+Inputs!$B$15/100)*(1+Inputs!$B$16/100)*(5000/(6000+Inputs!$B$42*(1-(100*(1-(1-(Inputs!$B$19+0)/100)*(1-CHOOSE(ArtifactsInput!$N$40+1,5,6,7,8,9,10)/100)^(ArtifactsInput!$M$40-ArtifactsInput!$M$40)))/100)))*(1+(Inputs!$B$24+((C2300=TRUE)*(F2300-Calc!F24))+((C2301=TRUE)*(F2301-Calc!F25))+B2314)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EMPOWERED_PIERCING_ARROW",Inputs!$B$17+((C2298=TRUE)*(F2298-Calc!F22))+(((IF(AND(ArtifactsInput!$M$42,((Inputs!$B$9+((C2295=TRUE)*(F2295-Calc!F19))+B2308+(ArtifactsInput!$M$24-ArtifactsInput!$M$24)*CHOOSE(ArtifactsInput!$N$24+1,10,12,14,16,18,20)+IF(ArtifactsInput!$M$10,CHOOSE(ArtifactsInput!$N$10+1,15,18,21,24,27,30)*(IF(Inputs!$B$38="pvp",MIN(15,15)/15,IF(AND(Inputs!$B$38&lt;&gt;"pvp",Inputs!$B$43&gt;0),MIN(15,Inputs!$B$43)/(Inputs!$B$43),0))),0)))&gt;=100),MIN(100,((Inputs!$B$9+((C2295=TRUE)*(F2295-Calc!F19))+B2308+(ArtifactsInput!$M$24-ArtifactsInput!$M$24)*CHOOSE(ArtifactsInput!$N$24+1,10,12,14,16,18,20)+IF(ArtifactsInput!$M$10,CHOOSE(ArtifactsInput!$N$10+1,15,18,21,24,27,30)*(IF(Inputs!$B$38="pvp",MIN(15,15)/15,IF(AND(Inputs!$B$38&lt;&gt;"pvp",Inputs!$B$43&gt;0),MIN(15,Inputs!$B$43)/(Inputs!$B$43),0))),0)))-100),0))*CHOOSE(ArtifactsInput!$N$42+1,0.6,0.72,0.84,0.96,1.08,1.2))),Inputs!$B$18+((C2303=TRUE)*(F2303-Calc!F27))+(IF(AND(ArtifactsInput!$M$42,((Inputs!$B$9+((C2295=TRUE)*(F2295-Calc!F19))+B2308+(ArtifactsInput!$M$24-ArtifactsInput!$M$24)*CHOOSE(ArtifactsInput!$N$24+1,10,12,14,16,18,20)+IF(ArtifactsInput!$M$10,CHOOSE(ArtifactsInput!$N$10+1,15,18,21,24,27,30)*(IF(Inputs!$B$38="pvp",MIN(15,15)/15,IF(AND(Inputs!$B$38&lt;&gt;"pvp",Inputs!$B$43&gt;0),MIN(15,Inputs!$B$43)/(Inputs!$B$43),0))),0)))&gt;=100),CHOOSE(ArtifactsInput!$N$42+1,40,48,56,64,72,80),0))))/100)*((1+(((C2289=TRUE)*F2289)+((C2290=TRUE)*IF(Inputs!$B$38="pvp",F2290,(1-Summary!$B$11)*(F2290)+Summary!$B$11*(0)))+((C2291=TRUE)*F2291*IF(AND(Inputs!$B$38&lt;&gt;"pvp",Inputs!$B$43&gt;0),(((R2291-1)*(Skills!T15*(1+Inputs!$B$34/100))+MIN((Skills!T15*(1+Inputs!$B$34/100)),MAX(0,Inputs!$B$43-((R2291-1)*Skills!D15))))/Inputs!$B$43),IF(Inputs!$B$38="pvp",MIN((Skills!T15*(1+Inputs!$B$34/100)),15)/15,(Skills!T15*(1+Inputs!$B$34/100))/Skills!D15)))+((C2288=TRUE)*F2288)+((C2305=TRUE)*(F2305-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2286)</f>
        <v/>
      </c>
      <c r="L2286">
        <f>K2286*(MIN(Inputs!$B$22+((C2299=TRUE)*(F2299-Calc!F23)),(Inputs!$B$23+((C2304=TRUE)*(F2304-Calc!F28))+(IF(ArtifactsInput!$M$15,CHOOSE(ArtifactsInput!$N$15+1,25,30,35,40,45,50)/100*(Inputs!$B$11-Inputs!$B$11),0))))/100+(Inputs!$B$23+((C2304=TRUE)*(F2304-Calc!F28))+(IF(ArtifactsInput!$M$15,CHOOSE(ArtifactsInput!$N$15+1,25,30,35,40,45,50)/100*(Inputs!$B$11-Inputs!$B$11),0)))/100)/2</f>
        <v/>
      </c>
      <c r="M2286">
        <f>L2286*(1+(Inputs!$B$10+0+B2313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286">
        <f>L2286*(1-MIN((Inputs!$B$9+((C2295=TRUE)*(F2295-Calc!F19))+B2308+(ArtifactsInput!$M$24-ArtifactsInput!$M$24)*CHOOSE(ArtifactsInput!$N$24+1,10,12,14,16,18,20)+(IF(AND(ArtifactsInput!$M$42,((Inputs!$B$9+((C2295=TRUE)*(F2295-Calc!F19))+B2308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2286*(MIN((Inputs!$B$9+((C2295=TRUE)*(F2295-Calc!F19))+B2308+(ArtifactsInput!$M$24-ArtifactsInput!$M$24)*CHOOSE(ArtifactsInput!$N$24+1,10,12,14,16,18,20)+(IF(AND(ArtifactsInput!$M$42,((Inputs!$B$9+((C2295=TRUE)*(F2295-Calc!F19))+B2308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286">
        <f>(1-Summary!$B$11)*T2286+Summary!$B$11*V2286</f>
        <v/>
      </c>
      <c r="P2286">
        <f>IF(B2318=0,0,O2286/B2318)</f>
        <v/>
      </c>
      <c r="Q2286" t="n">
        <v>0</v>
      </c>
      <c r="R2286" t="n">
        <v>0</v>
      </c>
      <c r="S2286" t="n">
        <v>0</v>
      </c>
      <c r="T2286">
        <f>IF(C2286,(0.15*SUMPRODUCT((Skills!U2:U29=TRUE)*(C2278:C2305=TRUE)*S2278:S2305)*Skills!G10*N2286)*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Hunt"),CHOOSE(ArtifactsInput!$N$35+1,15,18,21,24,27,30)*(1-EXP(-(0.2*B2310)*5)),0)+IF(AND(ArtifactsInput!$M$22,Inputs!$B$4&lt;&gt;"Chapter Hunt"),CHOOSE(ArtifactsInput!$N$22+1,10,12,14,16,18,20)*((0*(((0.15*B2310*5))^0/1)+1*(((0.15*B2310*5))^1/1)+2*(((0.15*B2310*5))^2/2)+3*(((0.15*B2310*5))^3/6)+4*(((0.15*B2310*5))^4/24)+5*(((0.15*B2310*5))^5/120))/((((0.15*B2310*5))^0/1)+(((0.15*B2310*5))^1/1)+(((0.15*B2310*5))^2/2)+(((0.15*B2310*5))^3/6)+(((0.15*B2310*5))^4/24)+(((0.15*B2310*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2286*(1-MIN(100,(Inputs!$B$9+((C2295=TRUE)*(F2295-Calc!F19))+B2308+(ArtifactsInput!$M$24-ArtifactsInput!$M$24)*CHOOSE(ArtifactsInput!$N$24+1,10,12,14,16,18,20)+(IF(AND(ArtifactsInput!$M$42,((Inputs!$B$9+((C2295=TRUE)*(F2295-Calc!F19))+B2308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2286*(MIN(100,(Inputs!$B$9+((C2295=TRUE)*(F2295-Calc!F19))+B2308+(ArtifactsInput!$M$24-ArtifactsInput!$M$24)*CHOOSE(ArtifactsInput!$N$24+1,10,12,14,16,18,20)+(IF(AND(ArtifactsInput!$M$42,((Inputs!$B$9+((C2295=TRUE)*(F2295-Calc!F19))+B2308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2286*(1-MIN(100,(Inputs!$B$9+((C2295=TRUE)*(F2295-Calc!F19))+B2308+(ArtifactsInput!$M$24-ArtifactsInput!$M$24)*CHOOSE(ArtifactsInput!$N$24+1,10,12,14,16,18,20)+(IF(AND(ArtifactsInput!$M$42,((Inputs!$B$9+((C2295=TRUE)*(F2295-Calc!F19))+B2308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2286*(MIN(100,(Inputs!$B$9+((C2295=TRUE)*(F2295-Calc!F19))+B2308+(ArtifactsInput!$M$24-ArtifactsInput!$M$24)*CHOOSE(ArtifactsInput!$N$24+1,10,12,14,16,18,20)+(IF(AND(ArtifactsInput!$M$42,((Inputs!$B$9+((C2295=TRUE)*(F2295-Calc!F19))+B2308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286">
        <f>IF(C2286,(0.15*SUMPRODUCT((Skills!U2:U29=TRUE)*(C2278:C2305=TRUE)*S2278:S2305)*Skills!G10*N2286)*IF(Inputs!$B$38="pvp",1,(1+(Inputs!$B$21+Skills!Q10+(IF(ArtifactsInput!$M$33,CHOOSE(ArtifactsInput!$N$33+1,30,36,42,48,54,60),0))+(IF(AND(ArtifactsInput!$M$35,Inputs!$B$4&lt;&gt;"Chapter Hunt"),CHOOSE(ArtifactsInput!$N$35+1,15,18,21,24,27,30)*(1-EXP(-(0.2*B2310)*5)),0)+IF(AND(ArtifactsInput!$M$22,Inputs!$B$4&lt;&gt;"Chapter Hunt"),CHOOSE(ArtifactsInput!$N$22+1,10,12,14,16,18,20)*((0*(((0.15*B2310*5))^0/1)+1*(((0.15*B2310*5))^1/1)+2*(((0.15*B2310*5))^2/2)+3*(((0.15*B2310*5))^3/6)+4*(((0.15*B2310*5))^4/24)+5*(((0.15*B2310*5))^5/120))/((((0.15*B2310*5))^0/1)+(((0.15*B2310*5))^1/1)+(((0.15*B2310*5))^2/2)+(((0.15*B2310*5))^3/6)+(((0.15*B2310*5))^4/24)+(((0.15*B2310*5))^5/120)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287">
      <c r="A2287">
        <f>Skills!A11</f>
        <v/>
      </c>
      <c r="B2287">
        <f>Skills!B11</f>
        <v/>
      </c>
      <c r="C2287">
        <f>Inputs!$B$3&gt;=110</f>
        <v/>
      </c>
      <c r="D2287">
        <f>IF(Skills!C11=1,60+Inputs!$B$25+Inputs!$B$29,IF(Skills!C11=2,90+Inputs!$B$26+Inputs!$B$29,IF(Skills!C11=3,120+Inputs!$B$27+Inputs!$B$29,MAX(0,(Inputs!$B$3-100)*3)+Inputs!$B$28+Inputs!$B$29)))</f>
        <v/>
      </c>
      <c r="E2287">
        <f>INDEX(FactorTable!$B$2:$Y$301, MATCH(ROUND(MIN(300,MAX(1,D2287)),0), FactorTable!$A$2:$A$301,0), Skills!M11+1)</f>
        <v/>
      </c>
      <c r="F2287">
        <f>IF(Skills!N11=TRUE,(Skills!L11/10)*(E2287/1000),Skills!L11/10)+Skills!O11</f>
        <v/>
      </c>
      <c r="G2287">
        <f>Skills!G11*IF(Skills!H11&gt;0,Skills!I11/Skills!H11,1)</f>
        <v/>
      </c>
      <c r="H2287">
        <f>1-(1-Skills!J11/100)^Skills!K11</f>
        <v/>
      </c>
      <c r="I2287" t="inlineStr">
        <is>
          <t>1</t>
        </is>
      </c>
      <c r="J2287">
        <f>((Inputs!$B$6*(1+Inputs!$B$7/100))+(((Inputs!$B$12*(1+Inputs!$B$13/100))-(Inputs!$B$12*(1+Inputs!$B$13/100)))+0.25*(Inputs!$B$14-Inputs!$B$14))*(1+Inputs!$B$7/100))*(F2287/100)</f>
        <v/>
      </c>
      <c r="K2287">
        <f>J2287*(1+((Inputs!$B$12*(1+Inputs!$B$13/100))*0.01+Inputs!$B$14*0.0025)/100)*(1+Inputs!$B$15/100)*(1+Inputs!$B$16/100)*(5000/(6000+Inputs!$B$42*(1-(100*(1-(1-(Inputs!$B$19+0)/100)*(1-CHOOSE(ArtifactsInput!$N$40+1,5,6,7,8,9,10)/100)^(ArtifactsInput!$M$40-ArtifactsInput!$M$40)))/100)))*(1+(Inputs!$B$24+((C2300=TRUE)*(F2300-Calc!F24))+((C2301=TRUE)*(F2301-Calc!F25))+B2314)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11="EMPOWERED_PIERCING_ARROW",Inputs!$B$17+((C2298=TRUE)*(F2298-Calc!F22))+(((IF(AND(ArtifactsInput!$M$42,((Inputs!$B$9+((C2295=TRUE)*(F2295-Calc!F19))+B2308+(ArtifactsInput!$M$24-ArtifactsInput!$M$24)*CHOOSE(ArtifactsInput!$N$24+1,10,12,14,16,18,20)+IF(ArtifactsInput!$M$10,CHOOSE(ArtifactsInput!$N$10+1,15,18,21,24,27,30)*(IF(Inputs!$B$38="pvp",MIN(15,15)/15,IF(AND(Inputs!$B$38&lt;&gt;"pvp",Inputs!$B$43&gt;0),MIN(15,Inputs!$B$43)/(Inputs!$B$43),0))),0)))&gt;=100),MIN(100,((Inputs!$B$9+((C2295=TRUE)*(F2295-Calc!F19))+B2308+(ArtifactsInput!$M$24-ArtifactsInput!$M$24)*CHOOSE(ArtifactsInput!$N$24+1,10,12,14,16,18,20)+IF(ArtifactsInput!$M$10,CHOOSE(ArtifactsInput!$N$10+1,15,18,21,24,27,30)*(IF(Inputs!$B$38="pvp",MIN(15,15)/15,IF(AND(Inputs!$B$38&lt;&gt;"pvp",Inputs!$B$43&gt;0),MIN(15,Inputs!$B$43)/(Inputs!$B$43),0))),0)))-100),0))*CHOOSE(ArtifactsInput!$N$42+1,0.6,0.72,0.84,0.96,1.08,1.2))),Inputs!$B$18+((C2303=TRUE)*(F2303-Calc!F27))+(IF(AND(ArtifactsInput!$M$42,((Inputs!$B$9+((C2295=TRUE)*(F2295-Calc!F19))+B2308+(ArtifactsInput!$M$24-ArtifactsInput!$M$24)*CHOOSE(ArtifactsInput!$N$24+1,10,12,14,16,18,20)+IF(ArtifactsInput!$M$10,CHOOSE(ArtifactsInput!$N$10+1,15,18,21,24,27,30)*(IF(Inputs!$B$38="pvp",MIN(15,15)/15,IF(AND(Inputs!$B$38&lt;&gt;"pvp",Inputs!$B$43&gt;0),MIN(15,Inputs!$B$43)/(Inputs!$B$43),0))),0)))&gt;=100),CHOOSE(ArtifactsInput!$N$42+1,40,48,56,64,72,80),0))))/100)*((1+(((C2289=TRUE)*F2289)+((C2290=TRUE)*IF(Inputs!$B$38="pvp",F2290,(1-Summary!$B$11)*(F2290)+Summary!$B$11*(0)))+((C2291=TRUE)*F2291*IF(AND(Inputs!$B$38&lt;&gt;"pvp",Inputs!$B$43&gt;0),(((R2291-1)*(Skills!T15*(1+Inputs!$B$34/100))+MIN((Skills!T15*(1+Inputs!$B$34/100)),MAX(0,Inputs!$B$43-((R2291-1)*Skills!D15))))/Inputs!$B$43),IF(Inputs!$B$38="pvp",MIN((Skills!T15*(1+Inputs!$B$34/100)),15)/15,(Skills!T15*(1+Inputs!$B$34/100))/Skills!D15)))+((C2288=TRUE)*F2288)+((C2305=TRUE)*(F2305-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2287)</f>
        <v/>
      </c>
      <c r="L2287">
        <f>K2287*(MIN(Inputs!$B$22+((C2299=TRUE)*(F2299-Calc!F23)),(Inputs!$B$23+((C2304=TRUE)*(F2304-Calc!F28))+(IF(ArtifactsInput!$M$15,CHOOSE(ArtifactsInput!$N$15+1,25,30,35,40,45,50)/100*(Inputs!$B$11-Inputs!$B$11),0))))/100+(Inputs!$B$23+((C2304=TRUE)*(F2304-Calc!F28))+(IF(ArtifactsInput!$M$15,CHOOSE(ArtifactsInput!$N$15+1,25,30,35,40,45,50)/100*(Inputs!$B$11-Inputs!$B$11),0)))/100)/2</f>
        <v/>
      </c>
      <c r="M2287">
        <f>L2287*(1+(Inputs!$B$10+0+B2313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287">
        <f>L2287*(1-MIN((Inputs!$B$9+((C2295=TRUE)*(F2295-Calc!F19))+B2308+(ArtifactsInput!$M$24-ArtifactsInput!$M$24)*CHOOSE(ArtifactsInput!$N$24+1,10,12,14,16,18,20)+(IF(AND(ArtifactsInput!$M$42,((Inputs!$B$9+((C2295=TRUE)*(F2295-Calc!F19))+B2308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2287*(MIN((Inputs!$B$9+((C2295=TRUE)*(F2295-Calc!F19))+B2308+(ArtifactsInput!$M$24-ArtifactsInput!$M$24)*CHOOSE(ArtifactsInput!$N$24+1,10,12,14,16,18,20)+(IF(AND(ArtifactsInput!$M$42,((Inputs!$B$9+((C2295=TRUE)*(F2295-Calc!F19))+B2308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287">
        <f>(1-Summary!$B$11)*T2287+Summary!$B$11*V2287</f>
        <v/>
      </c>
      <c r="P2287">
        <f>IF(B2318=0,0,O2287/B2318)</f>
        <v/>
      </c>
      <c r="Q2287">
        <f>IFERROR(1/IF(Inputs!$B$38="pvp",15,MAX(0.1,Skills!D11-IF(Skills!E11=TRUE,Inputs!$B$32,0))),0)</f>
        <v/>
      </c>
      <c r="R2287">
        <f>IF(AND(Inputs!$B$38&lt;&gt;"pvp",Inputs!$B$43&gt;0),IF(MAX(0,Inputs!$B$43-B2315)&lt;=0,0,(INT(MAX(0,Inputs!$B$43-B2315)/IF(Inputs!$B$38="pvp",15,MAX(0.1,Skills!D11-IF(Skills!E11=TRUE,Inputs!$B$32,0))))+1)),0)</f>
        <v/>
      </c>
      <c r="S2287">
        <f>IFERROR((H2287*N2287*IF(AND(Inputs!$B$38&lt;&gt;"pvp",Inputs!$B$43&gt;0),((Skills!G11*((R2287-1)*IF(Skills!H11&gt;0,Skills!I11/Skills!H11,1)+IF(Skills!H11&gt;0,MIN(Skills!I11,MAX(0,MAX(0,Inputs!$B$43-B2315)-((R2287-1)*IF(Inputs!$B$38="pvp",15,MAX(0.1,Skills!D11-IF(Skills!E11=TRUE,Inputs!$B$32,0))))))/Skills!H11,1)))/Inputs!$B$43),G2287*Q2287))/N2287*IF(Inputs!$B$38="pvp",1,(1-Summary!$B$11)*1+Summary!$B$11*(MIN(Skills!R11,Inputs!$B$37))),0)</f>
        <v/>
      </c>
      <c r="T2287">
        <f>IF(C2287,(H2287*N2287*IF(AND(Inputs!$B$38&lt;&gt;"pvp",Inputs!$B$43&gt;0),((Skills!G11*((R2287-1)*IF(Skills!H11&gt;0,Skills!I11/Skills!H11,1)+IF(Skills!H11&gt;0,MIN(Skills!I11,MAX(0,MAX(0,Inputs!$B$43-B2315)-((R2287-1)*IF(Inputs!$B$38="pvp",15,MAX(0.1,Skills!D11-IF(Skills!E11=TRUE,Inputs!$B$32,0))))))/Skills!H11,1)))/Inputs!$B$43),G2287*Q2287))*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Hunt"),CHOOSE(ArtifactsInput!$N$35+1,15,18,21,24,27,30)*(1-EXP(-(0.2*B2310)*5)),0)+IF(AND(ArtifactsInput!$M$22,Inputs!$B$4&lt;&gt;"Chapter Hunt"),CHOOSE(ArtifactsInput!$N$22+1,10,12,14,16,18,20)*((0*(((0.15*B2310*5))^0/1)+1*(((0.15*B2310*5))^1/1)+2*(((0.15*B2310*5))^2/2)+3*(((0.15*B2310*5))^3/6)+4*(((0.15*B2310*5))^4/24)+5*(((0.15*B2310*5))^5/120))/((((0.15*B2310*5))^0/1)+(((0.15*B2310*5))^1/1)+(((0.15*B2310*5))^2/2)+(((0.15*B2310*5))^3/6)+(((0.15*B2310*5))^4/24)+(((0.15*B2310*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2287*(1-MIN(100,(Inputs!$B$9+((C2295=TRUE)*(F2295-Calc!F19))+B2308+(ArtifactsInput!$M$24-ArtifactsInput!$M$24)*CHOOSE(ArtifactsInput!$N$24+1,10,12,14,16,18,20)+(IF(AND(ArtifactsInput!$M$42,((Inputs!$B$9+((C2295=TRUE)*(F2295-Calc!F19))+B2308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2287*(MIN(100,(Inputs!$B$9+((C2295=TRUE)*(F2295-Calc!F19))+B2308+(ArtifactsInput!$M$24-ArtifactsInput!$M$24)*CHOOSE(ArtifactsInput!$N$24+1,10,12,14,16,18,20)+(IF(AND(ArtifactsInput!$M$42,((Inputs!$B$9+((C2295=TRUE)*(F2295-Calc!F19))+B2308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2287*(1-MIN(100,(Inputs!$B$9+((C2295=TRUE)*(F2295-Calc!F19))+B2308+(ArtifactsInput!$M$24-ArtifactsInput!$M$24)*CHOOSE(ArtifactsInput!$N$24+1,10,12,14,16,18,20)+(IF(AND(ArtifactsInput!$M$42,((Inputs!$B$9+((C2295=TRUE)*(F2295-Calc!F19))+B2308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2287*(MIN(100,(Inputs!$B$9+((C2295=TRUE)*(F2295-Calc!F19))+B2308+(ArtifactsInput!$M$24-ArtifactsInput!$M$24)*CHOOSE(ArtifactsInput!$N$24+1,10,12,14,16,18,20)+(IF(AND(ArtifactsInput!$M$42,((Inputs!$B$9+((C2295=TRUE)*(F2295-Calc!F19))+B2308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287">
        <f>IF(C2287,(H2287*N2287*IF(AND(Inputs!$B$38&lt;&gt;"pvp",Inputs!$B$43&gt;0),((Skills!G11*((R2287-1)*IF(Skills!H11&gt;0,Skills!I11/Skills!H11,1)+IF(Skills!H11&gt;0,MIN(Skills!I11,MAX(0,MAX(0,Inputs!$B$43-B2315)-((R2287-1)*IF(Inputs!$B$38="pvp",15,MAX(0.1,Skills!D11-IF(Skills!E11=TRUE,Inputs!$B$32,0))))))/Skills!H11,1)))/Inputs!$B$43),G2287*Q2287))*IF(Inputs!$B$38="pvp",1,(1+(Inputs!$B$21+Skills!Q11+(IF(ArtifactsInput!$M$33,CHOOSE(ArtifactsInput!$N$33+1,30,36,42,48,54,60),0))+(IF(AND(ArtifactsInput!$M$35,Inputs!$B$4&lt;&gt;"Chapter Hunt"),CHOOSE(ArtifactsInput!$N$35+1,15,18,21,24,27,30)*(1-EXP(-(0.2*B2310)*5)),0)+IF(AND(ArtifactsInput!$M$22,Inputs!$B$4&lt;&gt;"Chapter Hunt"),CHOOSE(ArtifactsInput!$N$22+1,10,12,14,16,18,20)*((0*(((0.15*B2310*5))^0/1)+1*(((0.15*B2310*5))^1/1)+2*(((0.15*B2310*5))^2/2)+3*(((0.15*B2310*5))^3/6)+4*(((0.15*B2310*5))^4/24)+5*(((0.15*B2310*5))^5/120))/((((0.15*B2310*5))^0/1)+(((0.15*B2310*5))^1/1)+(((0.15*B2310*5))^2/2)+(((0.15*B2310*5))^3/6)+(((0.15*B2310*5))^4/24)+(((0.15*B2310*5))^5/120))),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288">
      <c r="A2288">
        <f>Skills!A12</f>
        <v/>
      </c>
      <c r="B2288">
        <f>Skills!B12</f>
        <v/>
      </c>
      <c r="C2288">
        <f>Inputs!$B$3&gt;=60</f>
        <v/>
      </c>
      <c r="D2288">
        <f>IF(Skills!C12=1,60+Inputs!$B$25+Inputs!$B$29,IF(Skills!C12=2,90+Inputs!$B$26+Inputs!$B$29,IF(Skills!C12=3,120+Inputs!$B$27+Inputs!$B$29,MAX(0,(Inputs!$B$3-100)*3)+Inputs!$B$28+Inputs!$B$29)))</f>
        <v/>
      </c>
      <c r="E2288">
        <f>INDEX(FactorTable!$B$2:$Y$301, MATCH(ROUND(MIN(300,MAX(1,D2288)),0), FactorTable!$A$2:$A$301,0), Skills!M12+1)</f>
        <v/>
      </c>
      <c r="F2288">
        <f>IF(Skills!N12=TRUE,(Skills!L12/10)*(E2288/1000),Skills!L12/10)+Skills!O12</f>
        <v/>
      </c>
      <c r="G2288">
        <f>Skills!G12*IF(Skills!H12&gt;0,Skills!I12/Skills!H12,1)</f>
        <v/>
      </c>
      <c r="H2288">
        <f>1-(1-Skills!J12/100)^Skills!K12</f>
        <v/>
      </c>
      <c r="I2288" t="inlineStr">
        <is>
          <t>1</t>
        </is>
      </c>
      <c r="J2288" t="inlineStr"/>
      <c r="K2288" t="inlineStr"/>
      <c r="L2288" t="inlineStr"/>
      <c r="M2288" t="inlineStr"/>
      <c r="N2288" t="inlineStr"/>
      <c r="O2288">
        <f>(1-Summary!$B$11)*T2288+Summary!$B$11*V2288</f>
        <v/>
      </c>
      <c r="P2288">
        <f>IF(B2318=0,0,O2288/B2318)</f>
        <v/>
      </c>
      <c r="Q2288" t="n">
        <v>0</v>
      </c>
      <c r="R2288" t="n">
        <v>0</v>
      </c>
      <c r="S2288" t="n">
        <v>0</v>
      </c>
      <c r="T2288" t="n">
        <v>0</v>
      </c>
      <c r="V2288" t="n">
        <v>0</v>
      </c>
    </row>
    <row r="2289">
      <c r="A2289">
        <f>Skills!A13</f>
        <v/>
      </c>
      <c r="B2289">
        <f>Skills!B13</f>
        <v/>
      </c>
      <c r="C2289">
        <f>Inputs!$B$3&gt;=74</f>
        <v/>
      </c>
      <c r="D2289">
        <f>IF(Skills!C13=1,60+Inputs!$B$25+Inputs!$B$29,IF(Skills!C13=2,90+Inputs!$B$26+Inputs!$B$29,IF(Skills!C13=3,120+Inputs!$B$27+Inputs!$B$29,MAX(0,(Inputs!$B$3-100)*3)+Inputs!$B$28+Inputs!$B$29)))</f>
        <v/>
      </c>
      <c r="E2289">
        <f>INDEX(FactorTable!$B$2:$Y$301, MATCH(ROUND(MIN(300,MAX(1,D2289)),0), FactorTable!$A$2:$A$301,0), Skills!M13+1)</f>
        <v/>
      </c>
      <c r="F2289">
        <f>IF(Skills!N13=TRUE,(Skills!L13/10)*(E2289/1000),Skills!L13/10)+Skills!O13</f>
        <v/>
      </c>
      <c r="G2289">
        <f>Skills!G13*IF(Skills!H13&gt;0,Skills!I13/Skills!H13,1)</f>
        <v/>
      </c>
      <c r="H2289">
        <f>1-(1-Skills!J13/100)^Skills!K13</f>
        <v/>
      </c>
      <c r="I2289" t="inlineStr">
        <is>
          <t>1</t>
        </is>
      </c>
      <c r="J2289" t="inlineStr"/>
      <c r="K2289" t="inlineStr"/>
      <c r="L2289" t="inlineStr"/>
      <c r="M2289" t="inlineStr"/>
      <c r="N2289" t="inlineStr"/>
      <c r="O2289">
        <f>(1-Summary!$B$11)*T2289+Summary!$B$11*V2289</f>
        <v/>
      </c>
      <c r="P2289">
        <f>IF(B2318=0,0,O2289/B2318)</f>
        <v/>
      </c>
      <c r="Q2289" t="n">
        <v>0</v>
      </c>
      <c r="R2289" t="n">
        <v>0</v>
      </c>
      <c r="S2289" t="n">
        <v>0</v>
      </c>
      <c r="T2289" t="n">
        <v>0</v>
      </c>
      <c r="V2289" t="n">
        <v>0</v>
      </c>
    </row>
    <row r="2290">
      <c r="A2290">
        <f>Skills!A14</f>
        <v/>
      </c>
      <c r="B2290">
        <f>Skills!B14</f>
        <v/>
      </c>
      <c r="C2290">
        <f>Inputs!$B$3&gt;=74</f>
        <v/>
      </c>
      <c r="D2290">
        <f>IF(Skills!C14=1,60+Inputs!$B$25+Inputs!$B$29,IF(Skills!C14=2,90+Inputs!$B$26+Inputs!$B$29,IF(Skills!C14=3,120+Inputs!$B$27+Inputs!$B$29,MAX(0,(Inputs!$B$3-100)*3)+Inputs!$B$28+Inputs!$B$29)))</f>
        <v/>
      </c>
      <c r="E2290">
        <f>INDEX(FactorTable!$B$2:$Y$301, MATCH(ROUND(MIN(300,MAX(1,D2290)),0), FactorTable!$A$2:$A$301,0), Skills!M14+1)</f>
        <v/>
      </c>
      <c r="F2290">
        <f>IF(Skills!N14=TRUE,(Skills!L14/10)*(E2290/1000),Skills!L14/10)+Skills!O14</f>
        <v/>
      </c>
      <c r="G2290">
        <f>Skills!G14*IF(Skills!H14&gt;0,Skills!I14/Skills!H14,1)</f>
        <v/>
      </c>
      <c r="H2290">
        <f>1-(1-Skills!J14/100)^Skills!K14</f>
        <v/>
      </c>
      <c r="I2290" t="inlineStr">
        <is>
          <t>1</t>
        </is>
      </c>
      <c r="J2290" t="inlineStr"/>
      <c r="K2290" t="inlineStr"/>
      <c r="L2290" t="inlineStr"/>
      <c r="M2290" t="inlineStr"/>
      <c r="N2290" t="inlineStr"/>
      <c r="O2290">
        <f>(1-Summary!$B$11)*T2290+Summary!$B$11*V2290</f>
        <v/>
      </c>
      <c r="P2290">
        <f>IF(B2318=0,0,O2290/B2318)</f>
        <v/>
      </c>
      <c r="Q2290" t="n">
        <v>0</v>
      </c>
      <c r="R2290" t="n">
        <v>0</v>
      </c>
      <c r="S2290" t="n">
        <v>0</v>
      </c>
      <c r="T2290" t="n">
        <v>0</v>
      </c>
      <c r="V2290" t="n">
        <v>0</v>
      </c>
    </row>
    <row r="2291">
      <c r="A2291">
        <f>Skills!A15</f>
        <v/>
      </c>
      <c r="B2291">
        <f>Skills!B15</f>
        <v/>
      </c>
      <c r="C2291">
        <f>Inputs!$B$3&gt;=117</f>
        <v/>
      </c>
      <c r="D2291">
        <f>IF(Skills!C15=1,60+Inputs!$B$25+Inputs!$B$29,IF(Skills!C15=2,90+Inputs!$B$26+Inputs!$B$29,IF(Skills!C15=3,120+Inputs!$B$27+Inputs!$B$29,MAX(0,(Inputs!$B$3-100)*3)+Inputs!$B$28+Inputs!$B$29)))</f>
        <v/>
      </c>
      <c r="E2291">
        <f>INDEX(FactorTable!$B$2:$Y$301, MATCH(ROUND(MIN(300,MAX(1,D2291)),0), FactorTable!$A$2:$A$301,0), Skills!M15+1)</f>
        <v/>
      </c>
      <c r="F2291">
        <f>IF(Skills!N15=TRUE,(Skills!L15/10)*(E2291/1000),Skills!L15/10)+Skills!O15</f>
        <v/>
      </c>
      <c r="G2291">
        <f>Skills!G15*IF(Skills!H15&gt;0,Skills!I15/Skills!H15,1)</f>
        <v/>
      </c>
      <c r="H2291">
        <f>1-(1-Skills!J15/100)^Skills!K15</f>
        <v/>
      </c>
      <c r="I2291" t="inlineStr">
        <is>
          <t>1</t>
        </is>
      </c>
      <c r="J2291" t="inlineStr"/>
      <c r="K2291" t="inlineStr"/>
      <c r="L2291" t="inlineStr"/>
      <c r="M2291" t="inlineStr"/>
      <c r="N2291" t="inlineStr"/>
      <c r="O2291">
        <f>(1-Summary!$B$11)*T2291+Summary!$B$11*V2291</f>
        <v/>
      </c>
      <c r="P2291">
        <f>IF(B2318=0,0,O2291/B2318)</f>
        <v/>
      </c>
      <c r="Q2291">
        <f>IFERROR(1/IF(Inputs!$B$38="pvp",15,MAX(0.1,Skills!D15-IF(Skills!E15=TRUE,Inputs!$B$32,0))),0)</f>
        <v/>
      </c>
      <c r="R2291">
        <f>IF(AND(Inputs!$B$38&lt;&gt;"pvp",Inputs!$B$43&gt;0),IF(Inputs!$B$43&lt;=0,0,(INT(Inputs!$B$43/IF(Inputs!$B$38="pvp",15,MAX(0.1,Skills!D15-IF(Skills!E15=TRUE,Inputs!$B$32,0))))+1)),0)</f>
        <v/>
      </c>
      <c r="S2291" t="n">
        <v>0</v>
      </c>
      <c r="T2291" t="n">
        <v>0</v>
      </c>
      <c r="V2291" t="n">
        <v>0</v>
      </c>
    </row>
    <row r="2292">
      <c r="A2292">
        <f>Skills!A16</f>
        <v/>
      </c>
      <c r="B2292">
        <f>Skills!B16</f>
        <v/>
      </c>
      <c r="C2292">
        <f>Inputs!$B$3&gt;=115</f>
        <v/>
      </c>
      <c r="D2292">
        <f>IF(Skills!C16=1,60+Inputs!$B$25+Inputs!$B$29,IF(Skills!C16=2,90+Inputs!$B$26+Inputs!$B$29,IF(Skills!C16=3,120+Inputs!$B$27+Inputs!$B$29,MAX(0,(Inputs!$B$3-100)*3)+Inputs!$B$28+Inputs!$B$29)))</f>
        <v/>
      </c>
      <c r="E2292">
        <f>INDEX(FactorTable!$B$2:$Y$301, MATCH(ROUND(MIN(300,MAX(1,D2292)),0), FactorTable!$A$2:$A$301,0), Skills!M16+1)</f>
        <v/>
      </c>
      <c r="F2292">
        <f>IF(Skills!N16=TRUE,(Skills!L16/10)*(E2292/1000),Skills!L16/10)+Skills!O16</f>
        <v/>
      </c>
      <c r="G2292">
        <f>Skills!G16*IF(Skills!H16&gt;0,Skills!I16/Skills!H16,1)</f>
        <v/>
      </c>
      <c r="H2292">
        <f>1-(1-Skills!J16/100)^Skills!K16</f>
        <v/>
      </c>
      <c r="I2292" t="inlineStr">
        <is>
          <t>1</t>
        </is>
      </c>
      <c r="J2292" t="inlineStr"/>
      <c r="K2292" t="inlineStr"/>
      <c r="L2292" t="inlineStr"/>
      <c r="M2292" t="inlineStr"/>
      <c r="N2292" t="inlineStr"/>
      <c r="O2292">
        <f>(1-Summary!$B$11)*T2292+Summary!$B$11*V2292</f>
        <v/>
      </c>
      <c r="P2292">
        <f>IF(B2318=0,0,O2292/B2318)</f>
        <v/>
      </c>
      <c r="Q2292">
        <f>IFERROR(1/IF(Inputs!$B$38="pvp",15,MAX(0.1,Skills!D16-IF(Skills!E16=TRUE,Inputs!$B$32,0))),0)</f>
        <v/>
      </c>
      <c r="R2292">
        <f>IF(AND(Inputs!$B$38&lt;&gt;"pvp",Inputs!$B$43&gt;0),IF(Inputs!$B$43&lt;=0,0,(INT(Inputs!$B$43/IF(Inputs!$B$38="pvp",15,MAX(0.1,Skills!D16-IF(Skills!E16=TRUE,Inputs!$B$32,0))))+1)),0)</f>
        <v/>
      </c>
      <c r="S2292" t="n">
        <v>0</v>
      </c>
      <c r="T2292" t="n">
        <v>0</v>
      </c>
      <c r="V2292" t="n">
        <v>0</v>
      </c>
    </row>
    <row r="2293">
      <c r="A2293">
        <f>Skills!A17</f>
        <v/>
      </c>
      <c r="B2293">
        <f>Skills!B17</f>
        <v/>
      </c>
      <c r="C2293">
        <f>Inputs!$B$3&gt;=72</f>
        <v/>
      </c>
      <c r="D2293">
        <f>IF(Skills!C17=1,60+Inputs!$B$25+Inputs!$B$29,IF(Skills!C17=2,90+Inputs!$B$26+Inputs!$B$29,IF(Skills!C17=3,120+Inputs!$B$27+Inputs!$B$29,MAX(0,(Inputs!$B$3-100)*3)+Inputs!$B$28+Inputs!$B$29)))</f>
        <v/>
      </c>
      <c r="E2293">
        <f>INDEX(FactorTable!$B$2:$Y$301, MATCH(ROUND(MIN(300,MAX(1,D2293)),0), FactorTable!$A$2:$A$301,0), Skills!M17+1)</f>
        <v/>
      </c>
      <c r="F2293">
        <f>IF(Skills!N17=TRUE,(Skills!L17/10)*(E2293/1000),Skills!L17/10)+Skills!O17</f>
        <v/>
      </c>
      <c r="G2293">
        <f>Skills!G17*IF(Skills!H17&gt;0,Skills!I17/Skills!H17,1)</f>
        <v/>
      </c>
      <c r="H2293">
        <f>1-(1-Skills!J17/100)^Skills!K17</f>
        <v/>
      </c>
      <c r="I2293" t="inlineStr">
        <is>
          <t>1</t>
        </is>
      </c>
      <c r="J2293" t="inlineStr"/>
      <c r="K2293" t="inlineStr"/>
      <c r="L2293" t="inlineStr"/>
      <c r="M2293" t="inlineStr"/>
      <c r="N2293" t="inlineStr"/>
      <c r="O2293">
        <f>(1-Summary!$B$11)*T2293+Summary!$B$11*V2293</f>
        <v/>
      </c>
      <c r="P2293">
        <f>IF(B2318=0,0,O2293/B2318)</f>
        <v/>
      </c>
      <c r="Q2293" t="n">
        <v>0</v>
      </c>
      <c r="R2293" t="n">
        <v>0</v>
      </c>
      <c r="S2293" t="n">
        <v>0</v>
      </c>
      <c r="T2293" t="n">
        <v>0</v>
      </c>
      <c r="V2293" t="n">
        <v>0</v>
      </c>
    </row>
    <row r="2294">
      <c r="A2294">
        <f>Skills!A18</f>
        <v/>
      </c>
      <c r="B2294">
        <f>Skills!B18</f>
        <v/>
      </c>
      <c r="C2294">
        <f>TRUE</f>
        <v/>
      </c>
      <c r="D2294">
        <f>IF(Skills!C18=1,60+Inputs!$B$25+Inputs!$B$29,IF(Skills!C18=2,90+Inputs!$B$26+Inputs!$B$29,IF(Skills!C18=3,120+Inputs!$B$27+Inputs!$B$29,MAX(0,(Inputs!$B$3-100)*3)+Inputs!$B$28+Inputs!$B$29)))</f>
        <v/>
      </c>
      <c r="E2294">
        <f>INDEX(FactorTable!$B$2:$Y$301, MATCH(ROUND(MIN(300,MAX(1,D2294)),0), FactorTable!$A$2:$A$301,0), Skills!M18+1)</f>
        <v/>
      </c>
      <c r="F2294">
        <f>IF(Skills!N18=TRUE,(Skills!L18/10)*(E2294/1000),Skills!L18/10)+Skills!O18</f>
        <v/>
      </c>
      <c r="G2294">
        <f>Skills!G18*IF(Skills!H18&gt;0,Skills!I18/Skills!H18,1)</f>
        <v/>
      </c>
      <c r="H2294">
        <f>1-(1-Skills!J18/100)^Skills!K18</f>
        <v/>
      </c>
      <c r="I2294" t="inlineStr">
        <is>
          <t>1</t>
        </is>
      </c>
      <c r="J2294" t="inlineStr"/>
      <c r="K2294" t="inlineStr"/>
      <c r="L2294" t="inlineStr"/>
      <c r="M2294" t="inlineStr"/>
      <c r="N2294" t="inlineStr"/>
      <c r="O2294">
        <f>(1-Summary!$B$11)*T2294+Summary!$B$11*V2294</f>
        <v/>
      </c>
      <c r="P2294">
        <f>IF(B2318=0,0,O2294/B2318)</f>
        <v/>
      </c>
      <c r="Q2294">
        <f>IFERROR(1/IF(Inputs!$B$38="pvp",15,MAX(0.1,Skills!D18-IF(Skills!E18=TRUE,Inputs!$B$32,0))),0)</f>
        <v/>
      </c>
      <c r="R2294">
        <f>IF(AND(Inputs!$B$38&lt;&gt;"pvp",Inputs!$B$43&gt;0),IF(Inputs!$B$43&lt;=0,0,(INT(Inputs!$B$43/IF(Inputs!$B$38="pvp",15,MAX(0.1,Skills!D18-IF(Skills!E18=TRUE,Inputs!$B$32,0))))+1)),0)</f>
        <v/>
      </c>
      <c r="S2294" t="n">
        <v>0</v>
      </c>
      <c r="T2294" t="n">
        <v>0</v>
      </c>
      <c r="V2294" t="n">
        <v>0</v>
      </c>
    </row>
    <row r="2295">
      <c r="A2295">
        <f>Skills!A19</f>
        <v/>
      </c>
      <c r="B2295">
        <f>Skills!B19</f>
        <v/>
      </c>
      <c r="C2295">
        <f>Inputs!$B$3&gt;=15</f>
        <v/>
      </c>
      <c r="D2295">
        <f>IF(Skills!C19=1,60+Inputs!$B$25+Inputs!$B$29,IF(Skills!C19=2,90+Inputs!$B$26+Inputs!$B$29,IF(Skills!C19=3,120+Inputs!$B$27+Inputs!$B$29,MAX(0,(Inputs!$B$3-100)*3)+Inputs!$B$28+Inputs!$B$29)))</f>
        <v/>
      </c>
      <c r="E2295">
        <f>INDEX(FactorTable!$B$2:$Y$301, MATCH(ROUND(MIN(300,MAX(1,D2295)),0), FactorTable!$A$2:$A$301,0), Skills!M19+1)</f>
        <v/>
      </c>
      <c r="F2295">
        <f>IF(Skills!N19=TRUE,(Skills!L19/10)*(E2295/1000),Skills!L19/10)+Skills!O19</f>
        <v/>
      </c>
      <c r="G2295">
        <f>Skills!G19*IF(Skills!H19&gt;0,Skills!I19/Skills!H19,1)</f>
        <v/>
      </c>
      <c r="H2295">
        <f>1-(1-Skills!J19/100)^Skills!K19</f>
        <v/>
      </c>
      <c r="I2295" t="inlineStr">
        <is>
          <t>1</t>
        </is>
      </c>
      <c r="J2295" t="inlineStr"/>
      <c r="K2295" t="inlineStr"/>
      <c r="L2295" t="inlineStr"/>
      <c r="M2295" t="inlineStr"/>
      <c r="N2295" t="inlineStr"/>
      <c r="O2295">
        <f>(1-Summary!$B$11)*T2295+Summary!$B$11*V2295</f>
        <v/>
      </c>
      <c r="P2295">
        <f>IF(B2318=0,0,O2295/B2318)</f>
        <v/>
      </c>
      <c r="Q2295" t="n">
        <v>0</v>
      </c>
      <c r="R2295" t="n">
        <v>0</v>
      </c>
      <c r="S2295" t="n">
        <v>0</v>
      </c>
      <c r="T2295" t="n">
        <v>0</v>
      </c>
      <c r="V2295" t="n">
        <v>0</v>
      </c>
    </row>
    <row r="2296">
      <c r="A2296">
        <f>Skills!A20</f>
        <v/>
      </c>
      <c r="B2296">
        <f>Skills!B20</f>
        <v/>
      </c>
      <c r="C2296">
        <f>Inputs!$B$3&gt;=10</f>
        <v/>
      </c>
      <c r="D2296">
        <f>IF(Skills!C20=1,60+Inputs!$B$25+Inputs!$B$29,IF(Skills!C20=2,90+Inputs!$B$26+Inputs!$B$29,IF(Skills!C20=3,120+Inputs!$B$27+Inputs!$B$29,MAX(0,(Inputs!$B$3-100)*3)+Inputs!$B$28+Inputs!$B$29)))</f>
        <v/>
      </c>
      <c r="E2296">
        <f>INDEX(FactorTable!$B$2:$Y$301, MATCH(ROUND(MIN(300,MAX(1,D2296)),0), FactorTable!$A$2:$A$301,0), Skills!M20+1)</f>
        <v/>
      </c>
      <c r="F2296">
        <f>IF(Skills!N20=TRUE,(Skills!L20/10)*(E2296/1000),Skills!L20/10)+Skills!O20</f>
        <v/>
      </c>
      <c r="G2296">
        <f>Skills!G20*IF(Skills!H20&gt;0,Skills!I20/Skills!H20,1)</f>
        <v/>
      </c>
      <c r="H2296">
        <f>1-(1-Skills!J20/100)^Skills!K20</f>
        <v/>
      </c>
      <c r="I2296" t="inlineStr">
        <is>
          <t>1</t>
        </is>
      </c>
      <c r="J2296" t="inlineStr"/>
      <c r="K2296" t="inlineStr"/>
      <c r="L2296" t="inlineStr"/>
      <c r="M2296" t="inlineStr"/>
      <c r="N2296" t="inlineStr"/>
      <c r="O2296">
        <f>(1-Summary!$B$11)*T2296+Summary!$B$11*V2296</f>
        <v/>
      </c>
      <c r="P2296">
        <f>IF(B2318=0,0,O2296/B2318)</f>
        <v/>
      </c>
      <c r="Q2296" t="n">
        <v>0</v>
      </c>
      <c r="R2296" t="n">
        <v>0</v>
      </c>
      <c r="S2296" t="n">
        <v>0</v>
      </c>
      <c r="T2296" t="n">
        <v>0</v>
      </c>
      <c r="V2296" t="n">
        <v>0</v>
      </c>
    </row>
    <row r="2297">
      <c r="A2297">
        <f>Skills!A21</f>
        <v/>
      </c>
      <c r="B2297">
        <f>Skills!B21</f>
        <v/>
      </c>
      <c r="C2297">
        <f>Inputs!$B$3&gt;=33</f>
        <v/>
      </c>
      <c r="D2297">
        <f>IF(Skills!C21=1,60+Inputs!$B$25+Inputs!$B$29,IF(Skills!C21=2,90+Inputs!$B$26+Inputs!$B$29,IF(Skills!C21=3,120+Inputs!$B$27+Inputs!$B$29,MAX(0,(Inputs!$B$3-100)*3)+Inputs!$B$28+Inputs!$B$29)))</f>
        <v/>
      </c>
      <c r="E2297">
        <f>INDEX(FactorTable!$B$2:$Y$301, MATCH(ROUND(MIN(300,MAX(1,D2297)),0), FactorTable!$A$2:$A$301,0), Skills!M21+1)</f>
        <v/>
      </c>
      <c r="F2297">
        <f>IF(Skills!N21=TRUE,(Skills!L21/10)*(E2297/1000),Skills!L21/10)+Skills!O21</f>
        <v/>
      </c>
      <c r="G2297">
        <f>Skills!G21*IF(Skills!H21&gt;0,Skills!I21/Skills!H21,1)</f>
        <v/>
      </c>
      <c r="H2297">
        <f>1-(1-Skills!J21/100)^Skills!K21</f>
        <v/>
      </c>
      <c r="I2297" t="inlineStr">
        <is>
          <t>1</t>
        </is>
      </c>
      <c r="J2297" t="inlineStr"/>
      <c r="K2297" t="inlineStr"/>
      <c r="L2297" t="inlineStr"/>
      <c r="M2297" t="inlineStr"/>
      <c r="N2297" t="inlineStr"/>
      <c r="O2297">
        <f>(1-Summary!$B$11)*T2297+Summary!$B$11*V2297</f>
        <v/>
      </c>
      <c r="P2297">
        <f>IF(B2318=0,0,O2297/B2318)</f>
        <v/>
      </c>
      <c r="Q2297" t="n">
        <v>0</v>
      </c>
      <c r="R2297" t="n">
        <v>0</v>
      </c>
      <c r="S2297" t="n">
        <v>0</v>
      </c>
      <c r="T2297" t="n">
        <v>0</v>
      </c>
      <c r="V2297" t="n">
        <v>0</v>
      </c>
    </row>
    <row r="2298">
      <c r="A2298">
        <f>Skills!A22</f>
        <v/>
      </c>
      <c r="B2298">
        <f>Skills!B22</f>
        <v/>
      </c>
      <c r="C2298">
        <f>Inputs!$B$3&gt;=38</f>
        <v/>
      </c>
      <c r="D2298">
        <f>IF(Skills!C22=1,60+Inputs!$B$25+Inputs!$B$29,IF(Skills!C22=2,90+Inputs!$B$26+Inputs!$B$29,IF(Skills!C22=3,120+Inputs!$B$27+Inputs!$B$29,MAX(0,(Inputs!$B$3-100)*3)+Inputs!$B$28+Inputs!$B$29)))</f>
        <v/>
      </c>
      <c r="E2298">
        <f>INDEX(FactorTable!$B$2:$Y$301, MATCH(ROUND(MIN(300,MAX(1,D2298)),0), FactorTable!$A$2:$A$301,0), Skills!M22+1)</f>
        <v/>
      </c>
      <c r="F2298">
        <f>IF(Skills!N22=TRUE,(Skills!L22/10)*(E2298/1000),Skills!L22/10)+Skills!O22</f>
        <v/>
      </c>
      <c r="G2298">
        <f>Skills!G22*IF(Skills!H22&gt;0,Skills!I22/Skills!H22,1)</f>
        <v/>
      </c>
      <c r="H2298">
        <f>1-(1-Skills!J22/100)^Skills!K22</f>
        <v/>
      </c>
      <c r="I2298" t="inlineStr">
        <is>
          <t>1</t>
        </is>
      </c>
      <c r="J2298" t="inlineStr"/>
      <c r="K2298" t="inlineStr"/>
      <c r="L2298" t="inlineStr"/>
      <c r="M2298" t="inlineStr"/>
      <c r="N2298" t="inlineStr"/>
      <c r="O2298">
        <f>(1-Summary!$B$11)*T2298+Summary!$B$11*V2298</f>
        <v/>
      </c>
      <c r="P2298">
        <f>IF(B2318=0,0,O2298/B2318)</f>
        <v/>
      </c>
      <c r="Q2298" t="n">
        <v>0</v>
      </c>
      <c r="R2298" t="n">
        <v>0</v>
      </c>
      <c r="S2298" t="n">
        <v>0</v>
      </c>
      <c r="T2298" t="n">
        <v>0</v>
      </c>
      <c r="V2298" t="n">
        <v>0</v>
      </c>
    </row>
    <row r="2299">
      <c r="A2299">
        <f>Skills!A23</f>
        <v/>
      </c>
      <c r="B2299">
        <f>Skills!B23</f>
        <v/>
      </c>
      <c r="C2299">
        <f>Inputs!$B$3&gt;=43</f>
        <v/>
      </c>
      <c r="D2299">
        <f>IF(Skills!C23=1,60+Inputs!$B$25+Inputs!$B$29,IF(Skills!C23=2,90+Inputs!$B$26+Inputs!$B$29,IF(Skills!C23=3,120+Inputs!$B$27+Inputs!$B$29,MAX(0,(Inputs!$B$3-100)*3)+Inputs!$B$28+Inputs!$B$29)))</f>
        <v/>
      </c>
      <c r="E2299">
        <f>INDEX(FactorTable!$B$2:$Y$301, MATCH(ROUND(MIN(300,MAX(1,D2299)),0), FactorTable!$A$2:$A$301,0), Skills!M23+1)</f>
        <v/>
      </c>
      <c r="F2299">
        <f>IF(Skills!N23=TRUE,(Skills!L23/10)*(E2299/1000),Skills!L23/10)+Skills!O23</f>
        <v/>
      </c>
      <c r="G2299">
        <f>Skills!G23*IF(Skills!H23&gt;0,Skills!I23/Skills!H23,1)</f>
        <v/>
      </c>
      <c r="H2299">
        <f>1-(1-Skills!J23/100)^Skills!K23</f>
        <v/>
      </c>
      <c r="I2299" t="inlineStr">
        <is>
          <t>1</t>
        </is>
      </c>
      <c r="J2299" t="inlineStr"/>
      <c r="K2299" t="inlineStr"/>
      <c r="L2299" t="inlineStr"/>
      <c r="M2299" t="inlineStr"/>
      <c r="N2299" t="inlineStr"/>
      <c r="O2299">
        <f>(1-Summary!$B$11)*T2299+Summary!$B$11*V2299</f>
        <v/>
      </c>
      <c r="P2299">
        <f>IF(B2318=0,0,O2299/B2318)</f>
        <v/>
      </c>
      <c r="Q2299" t="n">
        <v>0</v>
      </c>
      <c r="R2299" t="n">
        <v>0</v>
      </c>
      <c r="S2299" t="n">
        <v>0</v>
      </c>
      <c r="T2299" t="n">
        <v>0</v>
      </c>
      <c r="V2299" t="n">
        <v>0</v>
      </c>
    </row>
    <row r="2300">
      <c r="A2300">
        <f>Skills!A24</f>
        <v/>
      </c>
      <c r="B2300">
        <f>Skills!B24</f>
        <v/>
      </c>
      <c r="C2300">
        <f>Inputs!$B$3&gt;=75</f>
        <v/>
      </c>
      <c r="D2300">
        <f>IF(Skills!C24=1,60+Inputs!$B$25+Inputs!$B$29,IF(Skills!C24=2,90+Inputs!$B$26+Inputs!$B$29,IF(Skills!C24=3,120+Inputs!$B$27+Inputs!$B$29,MAX(0,(Inputs!$B$3-100)*3)+Inputs!$B$28+Inputs!$B$29)))</f>
        <v/>
      </c>
      <c r="E2300">
        <f>INDEX(FactorTable!$B$2:$Y$301, MATCH(ROUND(MIN(300,MAX(1,D2300)),0), FactorTable!$A$2:$A$301,0), Skills!M24+1)</f>
        <v/>
      </c>
      <c r="F2300">
        <f>IF(Skills!N24=TRUE,(Skills!L24/10)*(E2300/1000),Skills!L24/10)+Skills!O24</f>
        <v/>
      </c>
      <c r="G2300">
        <f>Skills!G24*IF(Skills!H24&gt;0,Skills!I24/Skills!H24,1)</f>
        <v/>
      </c>
      <c r="H2300">
        <f>1-(1-Skills!J24/100)^Skills!K24</f>
        <v/>
      </c>
      <c r="I2300" t="inlineStr">
        <is>
          <t>1</t>
        </is>
      </c>
      <c r="J2300" t="inlineStr"/>
      <c r="K2300" t="inlineStr"/>
      <c r="L2300" t="inlineStr"/>
      <c r="M2300" t="inlineStr"/>
      <c r="N2300" t="inlineStr"/>
      <c r="O2300">
        <f>(1-Summary!$B$11)*T2300+Summary!$B$11*V2300</f>
        <v/>
      </c>
      <c r="P2300">
        <f>IF(B2318=0,0,O2300/B2318)</f>
        <v/>
      </c>
      <c r="Q2300" t="n">
        <v>0</v>
      </c>
      <c r="R2300" t="n">
        <v>0</v>
      </c>
      <c r="S2300" t="n">
        <v>0</v>
      </c>
      <c r="T2300" t="n">
        <v>0</v>
      </c>
      <c r="V2300" t="n">
        <v>0</v>
      </c>
    </row>
    <row r="2301">
      <c r="A2301">
        <f>Skills!A25</f>
        <v/>
      </c>
      <c r="B2301">
        <f>Skills!B25</f>
        <v/>
      </c>
      <c r="C2301">
        <f>Inputs!$B$3&gt;=125</f>
        <v/>
      </c>
      <c r="D2301">
        <f>IF(Skills!C25=1,60+Inputs!$B$25+Inputs!$B$29,IF(Skills!C25=2,90+Inputs!$B$26+Inputs!$B$29,IF(Skills!C25=3,120+Inputs!$B$27+Inputs!$B$29,MAX(0,(Inputs!$B$3-100)*3)+Inputs!$B$28+Inputs!$B$29)))</f>
        <v/>
      </c>
      <c r="E2301">
        <f>INDEX(FactorTable!$B$2:$Y$301, MATCH(ROUND(MIN(300,MAX(1,D2301)),0), FactorTable!$A$2:$A$301,0), Skills!M25+1)</f>
        <v/>
      </c>
      <c r="F2301">
        <f>IF(Skills!N25=TRUE,(Skills!L25/10)*(E2301/1000),Skills!L25/10)+Skills!O25</f>
        <v/>
      </c>
      <c r="G2301">
        <f>Skills!G25*IF(Skills!H25&gt;0,Skills!I25/Skills!H25,1)</f>
        <v/>
      </c>
      <c r="H2301">
        <f>1-(1-Skills!J25/100)^Skills!K25</f>
        <v/>
      </c>
      <c r="I2301" t="inlineStr">
        <is>
          <t>1</t>
        </is>
      </c>
      <c r="J2301" t="inlineStr"/>
      <c r="K2301" t="inlineStr"/>
      <c r="L2301" t="inlineStr"/>
      <c r="M2301" t="inlineStr"/>
      <c r="N2301" t="inlineStr"/>
      <c r="O2301">
        <f>(1-Summary!$B$11)*T2301+Summary!$B$11*V2301</f>
        <v/>
      </c>
      <c r="P2301">
        <f>IF(B2318=0,0,O2301/B2318)</f>
        <v/>
      </c>
      <c r="Q2301" t="n">
        <v>0</v>
      </c>
      <c r="R2301" t="n">
        <v>0</v>
      </c>
      <c r="S2301" t="n">
        <v>0</v>
      </c>
      <c r="T2301" t="n">
        <v>0</v>
      </c>
      <c r="V2301" t="n">
        <v>0</v>
      </c>
    </row>
    <row r="2302">
      <c r="A2302">
        <f>Skills!A26</f>
        <v/>
      </c>
      <c r="B2302">
        <f>Skills!B26</f>
        <v/>
      </c>
      <c r="C2302">
        <f>Inputs!$B$3&gt;=125</f>
        <v/>
      </c>
      <c r="D2302">
        <f>IF(Skills!C26=1,60+Inputs!$B$25+Inputs!$B$29,IF(Skills!C26=2,90+Inputs!$B$26+Inputs!$B$29,IF(Skills!C26=3,120+Inputs!$B$27+Inputs!$B$29,MAX(0,(Inputs!$B$3-100)*3)+Inputs!$B$28+Inputs!$B$29)))</f>
        <v/>
      </c>
      <c r="E2302">
        <f>INDEX(FactorTable!$B$2:$Y$301, MATCH(ROUND(MIN(300,MAX(1,D2302)),0), FactorTable!$A$2:$A$301,0), Skills!M26+1)</f>
        <v/>
      </c>
      <c r="F2302">
        <f>IF(Skills!N26=TRUE,(Skills!L26/10)*(E2302/1000),Skills!L26/10)+Skills!O26</f>
        <v/>
      </c>
      <c r="G2302">
        <f>Skills!G26*IF(Skills!H26&gt;0,Skills!I26/Skills!H26,1)</f>
        <v/>
      </c>
      <c r="H2302">
        <f>1-(1-Skills!J26/100)^Skills!K26</f>
        <v/>
      </c>
      <c r="I2302" t="inlineStr">
        <is>
          <t>1</t>
        </is>
      </c>
      <c r="J2302" t="inlineStr"/>
      <c r="K2302" t="inlineStr"/>
      <c r="L2302" t="inlineStr"/>
      <c r="M2302" t="inlineStr"/>
      <c r="N2302" t="inlineStr"/>
      <c r="O2302">
        <f>(1-Summary!$B$11)*T2302+Summary!$B$11*V2302</f>
        <v/>
      </c>
      <c r="P2302">
        <f>IF(B2318=0,0,O2302/B2318)</f>
        <v/>
      </c>
      <c r="Q2302" t="n">
        <v>0</v>
      </c>
      <c r="R2302" t="n">
        <v>0</v>
      </c>
      <c r="S2302" t="n">
        <v>0</v>
      </c>
      <c r="T2302" t="n">
        <v>0</v>
      </c>
      <c r="V2302" t="n">
        <v>0</v>
      </c>
    </row>
    <row r="2303">
      <c r="A2303">
        <f>Skills!A27</f>
        <v/>
      </c>
      <c r="B2303">
        <f>Skills!B27</f>
        <v/>
      </c>
      <c r="C2303">
        <f>Inputs!$B$3&gt;=120</f>
        <v/>
      </c>
      <c r="D2303">
        <f>IF(Skills!C27=1,60+Inputs!$B$25+Inputs!$B$29,IF(Skills!C27=2,90+Inputs!$B$26+Inputs!$B$29,IF(Skills!C27=3,120+Inputs!$B$27+Inputs!$B$29,MAX(0,(Inputs!$B$3-100)*3)+Inputs!$B$28+Inputs!$B$29)))</f>
        <v/>
      </c>
      <c r="E2303">
        <f>INDEX(FactorTable!$B$2:$Y$301, MATCH(ROUND(MIN(300,MAX(1,D2303)),0), FactorTable!$A$2:$A$301,0), Skills!M27+1)</f>
        <v/>
      </c>
      <c r="F2303">
        <f>IF(Skills!N27=TRUE,(Skills!L27/10)*(E2303/1000),Skills!L27/10)+Skills!O27</f>
        <v/>
      </c>
      <c r="G2303">
        <f>Skills!G27*IF(Skills!H27&gt;0,Skills!I27/Skills!H27,1)</f>
        <v/>
      </c>
      <c r="H2303">
        <f>1-(1-Skills!J27/100)^Skills!K27</f>
        <v/>
      </c>
      <c r="I2303" t="inlineStr">
        <is>
          <t>1</t>
        </is>
      </c>
      <c r="J2303" t="inlineStr"/>
      <c r="K2303" t="inlineStr"/>
      <c r="L2303" t="inlineStr"/>
      <c r="M2303" t="inlineStr"/>
      <c r="N2303" t="inlineStr"/>
      <c r="O2303">
        <f>(1-Summary!$B$11)*T2303+Summary!$B$11*V2303</f>
        <v/>
      </c>
      <c r="P2303">
        <f>IF(B2318=0,0,O2303/B2318)</f>
        <v/>
      </c>
      <c r="Q2303" t="n">
        <v>0</v>
      </c>
      <c r="R2303" t="n">
        <v>0</v>
      </c>
      <c r="S2303" t="n">
        <v>0</v>
      </c>
      <c r="T2303" t="n">
        <v>0</v>
      </c>
      <c r="V2303" t="n">
        <v>0</v>
      </c>
    </row>
    <row r="2304">
      <c r="A2304">
        <f>Skills!A28</f>
        <v/>
      </c>
      <c r="B2304">
        <f>Skills!B28</f>
        <v/>
      </c>
      <c r="C2304">
        <f>Inputs!$B$3&gt;=120</f>
        <v/>
      </c>
      <c r="D2304">
        <f>IF(Skills!C28=1,60+Inputs!$B$25+Inputs!$B$29,IF(Skills!C28=2,90+Inputs!$B$26+Inputs!$B$29,IF(Skills!C28=3,120+Inputs!$B$27+Inputs!$B$29,MAX(0,(Inputs!$B$3-100)*3)+Inputs!$B$28+Inputs!$B$29)))</f>
        <v/>
      </c>
      <c r="E2304">
        <f>INDEX(FactorTable!$B$2:$Y$301, MATCH(ROUND(MIN(300,MAX(1,D2304)),0), FactorTable!$A$2:$A$301,0), Skills!M28+1)</f>
        <v/>
      </c>
      <c r="F2304">
        <f>IF(Skills!N28=TRUE,(Skills!L28/10)*(E2304/1000),Skills!L28/10)+Skills!O28</f>
        <v/>
      </c>
      <c r="G2304">
        <f>Skills!G28*IF(Skills!H28&gt;0,Skills!I28/Skills!H28,1)</f>
        <v/>
      </c>
      <c r="H2304">
        <f>1-(1-Skills!J28/100)^Skills!K28</f>
        <v/>
      </c>
      <c r="I2304" t="inlineStr">
        <is>
          <t>1</t>
        </is>
      </c>
      <c r="J2304" t="inlineStr"/>
      <c r="K2304" t="inlineStr"/>
      <c r="L2304" t="inlineStr"/>
      <c r="M2304" t="inlineStr"/>
      <c r="N2304" t="inlineStr"/>
      <c r="O2304">
        <f>(1-Summary!$B$11)*T2304+Summary!$B$11*V2304</f>
        <v/>
      </c>
      <c r="P2304">
        <f>IF(B2318=0,0,O2304/B2318)</f>
        <v/>
      </c>
      <c r="Q2304" t="n">
        <v>0</v>
      </c>
      <c r="R2304" t="n">
        <v>0</v>
      </c>
      <c r="S2304" t="n">
        <v>0</v>
      </c>
      <c r="T2304" t="n">
        <v>0</v>
      </c>
      <c r="V2304" t="n">
        <v>0</v>
      </c>
    </row>
    <row r="2305">
      <c r="A2305">
        <f>Skills!A29</f>
        <v/>
      </c>
      <c r="B2305">
        <f>Skills!B29</f>
        <v/>
      </c>
      <c r="C2305">
        <f>Inputs!$B$3&gt;=45</f>
        <v/>
      </c>
      <c r="D2305">
        <f>IF(Skills!C29=1,60+Inputs!$B$25+Inputs!$B$29,IF(Skills!C29=2,90+Inputs!$B$26+Inputs!$B$29,IF(Skills!C29=3,120+Inputs!$B$27+Inputs!$B$29,MAX(0,(Inputs!$B$3-100)*3)+Inputs!$B$28+Inputs!$B$29)))</f>
        <v/>
      </c>
      <c r="E2305">
        <f>INDEX(FactorTable!$B$2:$Y$301, MATCH(ROUND(MIN(300,MAX(1,D2305)),0), FactorTable!$A$2:$A$301,0), Skills!M29+1)</f>
        <v/>
      </c>
      <c r="F2305">
        <f>IF(Skills!N29=TRUE,(Skills!L29/10)*(E2305/1000),Skills!L29/10)+Skills!O29</f>
        <v/>
      </c>
      <c r="G2305">
        <f>Skills!G29*IF(Skills!H29&gt;0,Skills!I29/Skills!H29,1)</f>
        <v/>
      </c>
      <c r="H2305">
        <f>1-(1-Skills!J29/100)^Skills!K29</f>
        <v/>
      </c>
      <c r="I2305" t="inlineStr">
        <is>
          <t>1</t>
        </is>
      </c>
      <c r="J2305" t="inlineStr"/>
      <c r="K2305" t="inlineStr"/>
      <c r="L2305" t="inlineStr"/>
      <c r="M2305" t="inlineStr"/>
      <c r="N2305" t="inlineStr"/>
      <c r="O2305">
        <f>(1-Summary!$B$11)*T2305+Summary!$B$11*V2305</f>
        <v/>
      </c>
      <c r="P2305">
        <f>IF(B2318=0,0,O2305/B2318)</f>
        <v/>
      </c>
      <c r="Q2305" t="n">
        <v>0</v>
      </c>
      <c r="R2305" t="n">
        <v>0</v>
      </c>
      <c r="S2305" t="n">
        <v>0</v>
      </c>
      <c r="T2305" t="n">
        <v>0</v>
      </c>
      <c r="V2305" t="n">
        <v>0</v>
      </c>
    </row>
    <row r="2307">
      <c r="A2307" t="inlineStr">
        <is>
          <t>Attack% Bucket Multiplier</t>
        </is>
      </c>
      <c r="B2307">
        <f>(1+(((C2289=TRUE)*F2289)+((C2290=TRUE)*IF(Inputs!$B$38="pvp",F2290,(1-Summary!$B$11)*(F2290)+Summary!$B$11*(0)))+((C2291=TRUE)*F2291*IF(AND(Inputs!$B$38&lt;&gt;"pvp",Inputs!$B$43&gt;0),(((R2291-1)*(Skills!T15*(1+Inputs!$B$34/100))+MIN((Skills!T15*(1+Inputs!$B$34/100)),MAX(0,Inputs!$B$43-((R2291-1)*Skills!D15))))/Inputs!$B$43),IF(Inputs!$B$38="pvp",MIN((Skills!T15*(1+Inputs!$B$34/100)),15)/15,(Skills!T15*(1+Inputs!$B$34/100))/Skills!D15)))+((C2288=TRUE)*F2288)+((C2305=TRUE)*(F2305-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2308">
      <c r="A2308" t="inlineStr">
        <is>
          <t>Global Crit Rate Bonus %</t>
        </is>
      </c>
      <c r="B2308">
        <f>(C2292=TRUE)*20*IF(AND(Inputs!$B$38&lt;&gt;"pvp",Inputs!$B$43&gt;0),(((R2292-1)*(Skills!T16*(1+Inputs!$B$34/100))+MIN((Skills!T16*(1+Inputs!$B$34/100)),MAX(0,Inputs!$B$43-((R2292-1)*Skills!D16))))/Inputs!$B$43),IF(Inputs!$B$38="pvp",MIN((Skills!T16*(1+Inputs!$B$34/100)),15)/15,(Skills!T16*(1+Inputs!$B$34/100))/Skills!D16))</f>
        <v/>
      </c>
    </row>
    <row r="2309">
      <c r="A2309" t="inlineStr">
        <is>
          <t>Attack Speed Buff Bonus %</t>
        </is>
      </c>
      <c r="B2309">
        <f>((C2294=TRUE)*F2294*IF(AND(Inputs!$B$38&lt;&gt;"pvp",Inputs!$B$43&gt;0),(((R2294-1)*(Skills!T18*(1+Inputs!$B$34/100))+MIN((Skills!T18*(1+Inputs!$B$34/100)),MAX(0,Inputs!$B$43-((R2294-1)*Skills!D18))))/Inputs!$B$43),IF(Inputs!$B$38="pvp",MIN((Skills!T18*(1+Inputs!$B$34/100)),15)/15,(Skills!T18*(1+Inputs!$B$34/100))/Skills!D18)))</f>
        <v/>
      </c>
    </row>
    <row r="2310">
      <c r="A2310" t="inlineStr">
        <is>
          <t>Actions Per Second</t>
        </is>
      </c>
      <c r="B2310">
        <f>1+MIN(150,150*(1-(1-(Inputs!$B$11+((C2296=TRUE)*(F2296-Calc!F20))+((C2297=TRUE)*(F2297-Calc!F21)))/150)*(1-B2309/150)))/100</f>
        <v/>
      </c>
    </row>
    <row r="2311">
      <c r="A2311" t="inlineStr">
        <is>
          <t>Skill + Buff Cast Rate</t>
        </is>
      </c>
      <c r="B2311">
        <f>IF(AND(Inputs!$B$38&lt;&gt;"pvp",Inputs!$B$43&gt;0),SUMPRODUCT((Skills!E2:E29=TRUE)*(C2278:C2305=TRUE)*R2278:R2305*Skills!F2:F29)/Inputs!$B$43,SUMPRODUCT((Skills!E2:E29=TRUE)*(C2278:C2305=TRUE)*Q2278:Q2305*Skills!F2:F29))</f>
        <v/>
      </c>
    </row>
    <row r="2312">
      <c r="A2312" t="inlineStr">
        <is>
          <t>Empowered Piercing Arrow Casts Per Second</t>
        </is>
      </c>
      <c r="B2312">
        <f>MAX(0,B2310-B2311)</f>
        <v/>
      </c>
    </row>
    <row r="2313">
      <c r="A2313" t="inlineStr">
        <is>
          <t>Global Critical Damage Bonus % (Sharp Eyes)</t>
        </is>
      </c>
      <c r="B2313">
        <f>(C2292=TRUE)*F2292*IF(AND(Inputs!$B$38&lt;&gt;"pvp",Inputs!$B$43&gt;0),(((R2292-1)*(Skills!T16*(1+Inputs!$B$34/100))+MIN((Skills!T16*(1+Inputs!$B$34/100)),MAX(0,Inputs!$B$43-((R2292-1)*Skills!D16))))/Inputs!$B$43),IF(Inputs!$B$38="pvp",MIN((Skills!T16*(1+Inputs!$B$34/100)),15)/15,(Skills!T16*(1+Inputs!$B$34/100))/Skills!D16))</f>
        <v/>
      </c>
    </row>
    <row r="2314">
      <c r="A2314" t="inlineStr">
        <is>
          <t>Global Final Damage Bonus % (Mortal Blow + Last Man Standing conditional half)</t>
        </is>
      </c>
      <c r="B2314">
        <f>(C2293=TRUE)*F2293+((C2302=TRUE)*IF(Inputs!$B$38="pvp",F2302,(1-Summary!$B$11)*(F2302)+Summary!$B$11*(0)))</f>
        <v/>
      </c>
    </row>
    <row r="2315">
      <c r="A2315" t="inlineStr">
        <is>
          <t>Buff-Casting Startup Delay (s, fixed-duration only)</t>
        </is>
      </c>
      <c r="B2315">
        <f>IF(AND(Inputs!$B$38&lt;&gt;"pvp",Inputs!$B$43&gt;0),SUMPRODUCT((Skills!T2:T29&gt;0)*(Skills!E2:E29=TRUE)*(C2278:C2305=TRUE))/B2310,0)</f>
        <v/>
      </c>
    </row>
    <row r="2316">
      <c r="A2316" t="inlineStr">
        <is>
          <t>Boss-Only Total DPS (this block's swept value)</t>
        </is>
      </c>
      <c r="B2316">
        <f>SUM(T2278:T2305)</f>
        <v/>
      </c>
    </row>
    <row r="2317">
      <c r="A2317" t="inlineStr">
        <is>
          <t>Normal-Only Total DPS (this block's swept value)</t>
        </is>
      </c>
      <c r="B2317">
        <f>SUM(V2278:V2305)</f>
        <v/>
      </c>
    </row>
    <row r="2318">
      <c r="A2318" s="6" t="inlineStr">
        <is>
          <t>TOTAL DPS</t>
        </is>
      </c>
      <c r="B2318" s="6">
        <f>SUM(O2278:O2305)</f>
        <v/>
      </c>
    </row>
    <row r="2321">
      <c r="A2321" s="6" t="inlineStr">
        <is>
          <t>Stat: Icy Soul Rock (Equip)</t>
        </is>
      </c>
    </row>
    <row r="2322">
      <c r="A2322" s="5" t="inlineStr">
        <is>
          <t>Key</t>
        </is>
      </c>
      <c r="B2322" s="5" t="inlineStr">
        <is>
          <t>Name</t>
        </is>
      </c>
      <c r="C2322" s="5" t="inlineStr">
        <is>
          <t>Unlocked</t>
        </is>
      </c>
      <c r="D2322" s="5" t="inlineStr">
        <is>
          <t>InputLevel</t>
        </is>
      </c>
      <c r="E2322" s="5" t="inlineStr">
        <is>
          <t>Factor</t>
        </is>
      </c>
      <c r="F2322" s="5" t="inlineStr">
        <is>
          <t>CoefficientPercent</t>
        </is>
      </c>
      <c r="G2322" s="5" t="inlineStr">
        <is>
          <t>EffectiveHits</t>
        </is>
      </c>
      <c r="H2322" s="5" t="inlineStr">
        <is>
          <t>ProcProbability</t>
        </is>
      </c>
      <c r="I2322" s="5" t="inlineStr">
        <is>
          <t>MapleHeroMultiplier</t>
        </is>
      </c>
      <c r="J2322" s="5" t="inlineStr">
        <is>
          <t>BaseDamage</t>
        </is>
      </c>
      <c r="K2322" s="5" t="inlineStr">
        <is>
          <t>BaseHitDamage</t>
        </is>
      </c>
      <c r="L2322" s="5" t="inlineStr">
        <is>
          <t>NonCritAvg</t>
        </is>
      </c>
      <c r="M2322" s="5" t="inlineStr">
        <is>
          <t>CritAvg</t>
        </is>
      </c>
      <c r="N2322" s="5" t="inlineStr">
        <is>
          <t>ExpectedDamage(perHit)</t>
        </is>
      </c>
      <c r="O2322" s="5" t="inlineStr">
        <is>
          <t>DPS</t>
        </is>
      </c>
      <c r="P2322" s="5" t="inlineStr">
        <is>
          <t>% of Total</t>
        </is>
      </c>
      <c r="Q2322" s="5" t="inlineStr">
        <is>
          <t>InvCooldown</t>
        </is>
      </c>
      <c r="R2322" s="5" t="inlineStr">
        <is>
          <t>CastsInFight</t>
        </is>
      </c>
      <c r="S2322" s="5" t="inlineStr">
        <is>
          <t>HitRate(perSec)</t>
        </is>
      </c>
      <c r="U2322" t="inlineStr">
        <is>
          <t>helpers</t>
        </is>
      </c>
    </row>
    <row r="2323">
      <c r="A2323">
        <f>Skills!A2</f>
        <v/>
      </c>
      <c r="B2323">
        <f>Skills!B2</f>
        <v/>
      </c>
      <c r="C2323">
        <f>Inputs!$B$3&gt;=100</f>
        <v/>
      </c>
      <c r="D2323" t="inlineStr"/>
      <c r="E2323" t="inlineStr"/>
      <c r="F2323">
        <f>U2325+Skills!O2</f>
        <v/>
      </c>
      <c r="G2323">
        <f>Skills!G2*IF(Skills!H2&gt;0,Skills!I2/Skills!H2,1)</f>
        <v/>
      </c>
      <c r="H2323">
        <f>1-(1-Skills!J2/100)^Skills!K2</f>
        <v/>
      </c>
      <c r="I2323" t="inlineStr">
        <is>
          <t>1</t>
        </is>
      </c>
      <c r="J2323">
        <f>((Inputs!$B$6*(1+Inputs!$B$7/100))+(((Inputs!$B$12*(1+Inputs!$B$13/100))-(Inputs!$B$12*(1+Inputs!$B$13/100)))+0.25*(Inputs!$B$14-Inputs!$B$14))*(1+Inputs!$B$7/100))*(F2323/100)</f>
        <v/>
      </c>
      <c r="K2323">
        <f>J2323*(1+((Inputs!$B$12*(1+Inputs!$B$13/100))*0.01+Inputs!$B$14*0.0025)/100)*(1+Inputs!$B$15/100)*(1+Inputs!$B$16/100)*(5000/(6000+Inputs!$B$42*(1-(100*(1-(1-(Inputs!$B$19+0)/100)*(1-CHOOSE(ArtifactsInput!$N$40+1,5,6,7,8,9,10)/100)^(ArtifactsInput!$M$40-ArtifactsInput!$M$40)))/100)))*(1+(Inputs!$B$24+((C2345=TRUE)*(F2345-Calc!F24))+((C2346=TRUE)*(F2346-Calc!F25))+B2359)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EMPOWERED_PIERCING_ARROW",Inputs!$B$17+((C2343=TRUE)*(F2343-Calc!F22))+(((IF(AND(ArtifactsInput!$M$42,((Inputs!$B$9+((C2340=TRUE)*(F2340-Calc!F19))+B2353+(ArtifactsInput!$M$24-ArtifactsInput!$M$24)*CHOOSE(ArtifactsInput!$N$24+1,10,12,14,16,18,20)+IF(ArtifactsInput!$M$10,CHOOSE(ArtifactsInput!$N$10+1,15,18,21,24,27,30)*(IF(Inputs!$B$38="pvp",MIN(15,15)/15,IF(AND(Inputs!$B$38&lt;&gt;"pvp",Inputs!$B$43&gt;0),MIN(15,Inputs!$B$43)/(Inputs!$B$43),0))),0)))&gt;=100),MIN(100,((Inputs!$B$9+((C2340=TRUE)*(F2340-Calc!F19))+B2353+(ArtifactsInput!$M$24-ArtifactsInput!$M$24)*CHOOSE(ArtifactsInput!$N$24+1,10,12,14,16,18,20)+IF(ArtifactsInput!$M$10,CHOOSE(ArtifactsInput!$N$10+1,15,18,21,24,27,30)*(IF(Inputs!$B$38="pvp",MIN(15,15)/15,IF(AND(Inputs!$B$38&lt;&gt;"pvp",Inputs!$B$43&gt;0),MIN(15,Inputs!$B$43)/(Inputs!$B$43),0))),0)))-100),0))*CHOOSE(ArtifactsInput!$N$42+1,0.6,0.72,0.84,0.96,1.08,1.2))),Inputs!$B$18+((C2348=TRUE)*(F2348-Calc!F27))+(IF(AND(ArtifactsInput!$M$42,((Inputs!$B$9+((C2340=TRUE)*(F2340-Calc!F19))+B2353+(ArtifactsInput!$M$24-ArtifactsInput!$M$24)*CHOOSE(ArtifactsInput!$N$24+1,10,12,14,16,18,20)+IF(ArtifactsInput!$M$10,CHOOSE(ArtifactsInput!$N$10+1,15,18,21,24,27,30)*(IF(Inputs!$B$38="pvp",MIN(15,15)/15,IF(AND(Inputs!$B$38&lt;&gt;"pvp",Inputs!$B$43&gt;0),MIN(15,Inputs!$B$43)/(Inputs!$B$43),0))),0)))&gt;=100),CHOOSE(ArtifactsInput!$N$42+1,40,48,56,64,72,80),0))))/100)*((1+(((C2334=TRUE)*F2334)+((C2335=TRUE)*IF(Inputs!$B$38="pvp",F2335,(1-Summary!$B$11)*(F2335)+Summary!$B$11*(0)))+((C2336=TRUE)*F2336*IF(AND(Inputs!$B$38&lt;&gt;"pvp",Inputs!$B$43&gt;0),(((R2336-1)*(Skills!T15*(1+Inputs!$B$34/100))+MIN((Skills!T15*(1+Inputs!$B$34/100)),MAX(0,Inputs!$B$43-((R2336-1)*Skills!D15))))/Inputs!$B$43),IF(Inputs!$B$38="pvp",MIN((Skills!T15*(1+Inputs!$B$34/100)),15)/15,(Skills!T15*(1+Inputs!$B$34/100))/Skills!D15)))+((C2333=TRUE)*F2333)+((C2350=TRUE)*(F2350-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2323)</f>
        <v/>
      </c>
      <c r="L2323">
        <f>K2323*(MIN(Inputs!$B$22+((C2344=TRUE)*(F2344-Calc!F23)),(Inputs!$B$23+((C2349=TRUE)*(F2349-Calc!F28))+(IF(ArtifactsInput!$M$15,CHOOSE(ArtifactsInput!$N$15+1,25,30,35,40,45,50)/100*(Inputs!$B$11-Inputs!$B$11),0))))/100+(Inputs!$B$23+((C2349=TRUE)*(F2349-Calc!F28))+(IF(ArtifactsInput!$M$15,CHOOSE(ArtifactsInput!$N$15+1,25,30,35,40,45,50)/100*(Inputs!$B$11-Inputs!$B$11),0)))/100)/2</f>
        <v/>
      </c>
      <c r="M2323">
        <f>L2323*(1+(Inputs!$B$10+0+B2358+(IF(ArtifactsInput!$M$24,CHOOSE(ArtifactsInput!$N$24+1,30,36,42,48,54,60)/100*(Inputs!$B$9-Inputs!$B$9),0)+IF(ArtifactsInput!$M$10,CHOOSE(ArtifactsInput!$N$10+1,20,24,28,32,36,40)*(IF(Inputs!$B$38="pvp",MIN(15,15)/15,IF(AND(Inputs!$B$38&lt;&gt;"pvp",Inputs!$B$43&gt;0),MIN(15,Inputs!$B$43)/(Inputs!$B$43),0))),0)+IF(IF(ArtifactsInput!$M$31,FALSE,TRUE),1.5*CHOOSE(ArtifactsInput!$N$31+1,20,24,28,32,36,40),0)))/100)</f>
        <v/>
      </c>
      <c r="N2323">
        <f>L2323*(1-MIN((Inputs!$B$9+((C2340=TRUE)*(F2340-Calc!F19))+B2353+(ArtifactsInput!$M$24-ArtifactsInput!$M$24)*CHOOSE(ArtifactsInput!$N$24+1,10,12,14,16,18,20)+(IF(AND(ArtifactsInput!$M$42,((Inputs!$B$9+((C2340=TRUE)*(F2340-Calc!F19))+B2353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2323*(MIN((Inputs!$B$9+((C2340=TRUE)*(F2340-Calc!F19))+B2353+(ArtifactsInput!$M$24-ArtifactsInput!$M$24)*CHOOSE(ArtifactsInput!$N$24+1,10,12,14,16,18,20)+(IF(AND(ArtifactsInput!$M$42,((Inputs!$B$9+((C2340=TRUE)*(F2340-Calc!F19))+B2353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323">
        <f>(1-Summary!$B$11)*T2323+Summary!$B$11*V2323</f>
        <v/>
      </c>
      <c r="P2323">
        <f>IF(B2363=0,0,O2323/B2363)</f>
        <v/>
      </c>
      <c r="Q2323" t="n">
        <v>0</v>
      </c>
      <c r="R2323" t="n">
        <v>0</v>
      </c>
      <c r="S2323">
        <f>IFERROR((Skills!G2*N2323*B2357)/N2323*IF(Inputs!$B$38="pvp",1,(1-Summary!$B$11)*1+Summary!$B$11*(MIN((6+Inputs!$B$33),Inputs!$B$37))),0)</f>
        <v/>
      </c>
      <c r="T2323">
        <f>IF(C2323,(Skills!G2*N2323*B2357)*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Hunt"),CHOOSE(ArtifactsInput!$N$35+1,15,18,21,24,27,30)*(1-EXP(-(0.2*B2355)*5)),0)+IF(AND(ArtifactsInput!$M$22,Inputs!$B$4&lt;&gt;"Chapter Hunt"),CHOOSE(ArtifactsInput!$N$22+1,10,12,14,16,18,20)*((0*(((0.15*B2355*5))^0/1)+1*(((0.15*B2355*5))^1/1)+2*(((0.15*B2355*5))^2/2)+3*(((0.15*B2355*5))^3/6)+4*(((0.15*B2355*5))^4/24)+5*(((0.15*B2355*5))^5/120))/((((0.15*B2355*5))^0/1)+(((0.15*B2355*5))^1/1)+(((0.15*B2355*5))^2/2)+(((0.15*B2355*5))^3/6)+(((0.15*B2355*5))^4/24)+(((0.15*B2355*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2323*(1-MIN(100,(Inputs!$B$9+((C2340=TRUE)*(F2340-Calc!F19))+B2353+(ArtifactsInput!$M$24-ArtifactsInput!$M$24)*CHOOSE(ArtifactsInput!$N$24+1,10,12,14,16,18,20)+(IF(AND(ArtifactsInput!$M$42,((Inputs!$B$9+((C2340=TRUE)*(F2340-Calc!F19))+B2353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2323*(MIN(100,(Inputs!$B$9+((C2340=TRUE)*(F2340-Calc!F19))+B2353+(ArtifactsInput!$M$24-ArtifactsInput!$M$24)*CHOOSE(ArtifactsInput!$N$24+1,10,12,14,16,18,20)+(IF(AND(ArtifactsInput!$M$42,((Inputs!$B$9+((C2340=TRUE)*(F2340-Calc!F19))+B2353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2323*(1-MIN(100,(Inputs!$B$9+((C2340=TRUE)*(F2340-Calc!F19))+B2353+(ArtifactsInput!$M$24-ArtifactsInput!$M$24)*CHOOSE(ArtifactsInput!$N$24+1,10,12,14,16,18,20)+(IF(AND(ArtifactsInput!$M$42,((Inputs!$B$9+((C2340=TRUE)*(F2340-Calc!F19))+B2353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2323*(MIN(100,(Inputs!$B$9+((C2340=TRUE)*(F2340-Calc!F19))+B2353+(ArtifactsInput!$M$24-ArtifactsInput!$M$24)*CHOOSE(ArtifactsInput!$N$24+1,10,12,14,16,18,20)+(IF(AND(ArtifactsInput!$M$42,((Inputs!$B$9+((C2340=TRUE)*(F2340-Calc!F19))+B2353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323">
        <f>MAX(0,(Inputs!$B$3-100)*3)+Inputs!$B$28+Inputs!$B$29</f>
        <v/>
      </c>
      <c r="V2323">
        <f>IF(C2323,(Skills!G2*N2323*B2357)*IF(Inputs!$B$38="pvp",1,(1+(Inputs!$B$21+Skills!Q2+(IF(ArtifactsInput!$M$33,CHOOSE(ArtifactsInput!$N$33+1,30,36,42,48,54,60),0))+(IF(AND(ArtifactsInput!$M$35,Inputs!$B$4&lt;&gt;"Chapter Hunt"),CHOOSE(ArtifactsInput!$N$35+1,15,18,21,24,27,30)*(1-EXP(-(0.2*B2355)*5)),0)+IF(AND(ArtifactsInput!$M$22,Inputs!$B$4&lt;&gt;"Chapter Hunt"),CHOOSE(ArtifactsInput!$N$22+1,10,12,14,16,18,20)*((0*(((0.15*B2355*5))^0/1)+1*(((0.15*B2355*5))^1/1)+2*(((0.15*B2355*5))^2/2)+3*(((0.15*B2355*5))^3/6)+4*(((0.15*B2355*5))^4/24)+5*(((0.15*B2355*5))^5/120))/((((0.15*B2355*5))^0/1)+(((0.15*B2355*5))^1/1)+(((0.15*B2355*5))^2/2)+(((0.15*B2355*5))^3/6)+(((0.15*B2355*5))^4/24)+(((0.15*B2355*5))^5/120)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324">
      <c r="A2324">
        <f>Skills!A3</f>
        <v/>
      </c>
      <c r="B2324">
        <f>Skills!B3</f>
        <v/>
      </c>
      <c r="C2324">
        <f>Inputs!$B$3&gt;=50</f>
        <v/>
      </c>
      <c r="D2324">
        <f>IF(Skills!C3=1,60+Inputs!$B$25+Inputs!$B$29,IF(Skills!C3=2,90+Inputs!$B$26+Inputs!$B$29,IF(Skills!C3=3,120+Inputs!$B$27+Inputs!$B$29,MAX(0,(Inputs!$B$3-100)*3)+Inputs!$B$28+Inputs!$B$29)))</f>
        <v/>
      </c>
      <c r="E2324">
        <f>INDEX(FactorTable!$B$2:$Y$301, MATCH(ROUND(MIN(300,MAX(1,D2324)),0), FactorTable!$A$2:$A$301,0), Skills!M3+1)</f>
        <v/>
      </c>
      <c r="F2324">
        <f>IF(Skills!N3=TRUE,(Skills!L3/10)*(E2324/1000),Skills!L3/10)+Skills!O3</f>
        <v/>
      </c>
      <c r="G2324" t="inlineStr"/>
      <c r="H2324" t="inlineStr"/>
      <c r="I2324" t="inlineStr">
        <is>
          <t>1</t>
        </is>
      </c>
      <c r="J2324" t="inlineStr"/>
      <c r="K2324" t="inlineStr"/>
      <c r="L2324" t="inlineStr"/>
      <c r="M2324" t="inlineStr"/>
      <c r="N2324" t="inlineStr"/>
      <c r="O2324" t="inlineStr"/>
      <c r="P2324" t="inlineStr"/>
      <c r="Q2324" t="inlineStr"/>
      <c r="R2324" t="inlineStr"/>
      <c r="S2324" t="inlineStr"/>
      <c r="T2324" t="inlineStr"/>
      <c r="U2324">
        <f>INDEX(FactorTable!$B$2:$Y$301, MATCH(ROUND(MIN(300,MAX(1,U2323)),0), FactorTable!$A$2:$A$301,0), 22)</f>
        <v/>
      </c>
      <c r="V2324" t="inlineStr"/>
    </row>
    <row r="2325">
      <c r="A2325">
        <f>Skills!A4</f>
        <v/>
      </c>
      <c r="B2325">
        <f>Skills!B4</f>
        <v/>
      </c>
      <c r="C2325">
        <f>Inputs!$B$3&gt;=105</f>
        <v/>
      </c>
      <c r="D2325">
        <f>IF(Skills!C4=1,60+Inputs!$B$25+Inputs!$B$29,IF(Skills!C4=2,90+Inputs!$B$26+Inputs!$B$29,IF(Skills!C4=3,120+Inputs!$B$27+Inputs!$B$29,MAX(0,(Inputs!$B$3-100)*3)+Inputs!$B$28+Inputs!$B$29)))</f>
        <v/>
      </c>
      <c r="E2325">
        <f>INDEX(FactorTable!$B$2:$Y$301, MATCH(ROUND(MIN(300,MAX(1,D2325)),0), FactorTable!$A$2:$A$301,0), Skills!M4+1)</f>
        <v/>
      </c>
      <c r="F2325">
        <f>IF(Skills!N4=TRUE,(Skills!L4/10)*(E2325/1000),Skills!L4/10)+Skills!O4</f>
        <v/>
      </c>
      <c r="G2325" t="inlineStr"/>
      <c r="H2325" t="inlineStr"/>
      <c r="I2325" t="inlineStr">
        <is>
          <t>1</t>
        </is>
      </c>
      <c r="J2325" t="inlineStr"/>
      <c r="K2325" t="inlineStr"/>
      <c r="L2325" t="inlineStr"/>
      <c r="M2325" t="inlineStr"/>
      <c r="N2325" t="inlineStr"/>
      <c r="O2325" t="inlineStr"/>
      <c r="P2325" t="inlineStr"/>
      <c r="Q2325" t="inlineStr"/>
      <c r="R2325" t="inlineStr"/>
      <c r="S2325" t="inlineStr"/>
      <c r="T2325" t="inlineStr"/>
      <c r="U2325">
        <f>290*U2324/1000</f>
        <v/>
      </c>
      <c r="V2325" t="inlineStr"/>
    </row>
    <row r="2326">
      <c r="A2326">
        <f>Skills!A5</f>
        <v/>
      </c>
      <c r="B2326">
        <f>Skills!B5</f>
        <v/>
      </c>
      <c r="C2326">
        <f>Inputs!$B$3&gt;=35</f>
        <v/>
      </c>
      <c r="D2326">
        <f>IF(Skills!C5=1,60+Inputs!$B$25+Inputs!$B$29,IF(Skills!C5=2,90+Inputs!$B$26+Inputs!$B$29,IF(Skills!C5=3,120+Inputs!$B$27+Inputs!$B$29,MAX(0,(Inputs!$B$3-100)*3)+Inputs!$B$28+Inputs!$B$29)))</f>
        <v/>
      </c>
      <c r="E2326">
        <f>INDEX(FactorTable!$B$2:$Y$301, MATCH(ROUND(MIN(300,MAX(1,D2326)),0), FactorTable!$A$2:$A$301,0), Skills!M5+1)</f>
        <v/>
      </c>
      <c r="F2326">
        <f>IF(Skills!N5=TRUE,(Skills!L5/10)*(E2326/1000),Skills!L5/10)+Skills!O5</f>
        <v/>
      </c>
      <c r="G2326">
        <f>Skills!G5*IF(Skills!H5&gt;0,Skills!I5/Skills!H5,1)</f>
        <v/>
      </c>
      <c r="H2326">
        <f>1-(1-Skills!J5/100)^Skills!K5</f>
        <v/>
      </c>
      <c r="I2326" t="inlineStr">
        <is>
          <t>1</t>
        </is>
      </c>
      <c r="J2326">
        <f>((Inputs!$B$6*(1+Inputs!$B$7/100))+(((Inputs!$B$12*(1+Inputs!$B$13/100))-(Inputs!$B$12*(1+Inputs!$B$13/100)))+0.25*(Inputs!$B$14-Inputs!$B$14))*(1+Inputs!$B$7/100))*(F2326/100)</f>
        <v/>
      </c>
      <c r="K2326">
        <f>J2326*(1+((Inputs!$B$12*(1+Inputs!$B$13/100))*0.01+Inputs!$B$14*0.0025)/100)*(1+Inputs!$B$15/100)*(1+Inputs!$B$16/100)*(5000/(6000+Inputs!$B$42*(1-(100*(1-(1-(Inputs!$B$19+0)/100)*(1-CHOOSE(ArtifactsInput!$N$40+1,5,6,7,8,9,10)/100)^(ArtifactsInput!$M$40-ArtifactsInput!$M$40)))/100)))*(1+(Inputs!$B$24+((C2345=TRUE)*(F2345-Calc!F24))+((C2346=TRUE)*(F2346-Calc!F25))+B2359)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2329=TRUE,F2329,0)/100)*(1+(IF(Skills!A5="EMPOWERED_PIERCING_ARROW",Inputs!$B$17+((C2343=TRUE)*(F2343-Calc!F22))+(((IF(AND(ArtifactsInput!$M$42,((Inputs!$B$9+((C2340=TRUE)*(F2340-Calc!F19))+B2353+(ArtifactsInput!$M$24-ArtifactsInput!$M$24)*CHOOSE(ArtifactsInput!$N$24+1,10,12,14,16,18,20)+IF(ArtifactsInput!$M$10,CHOOSE(ArtifactsInput!$N$10+1,15,18,21,24,27,30)*(IF(Inputs!$B$38="pvp",MIN(15,15)/15,IF(AND(Inputs!$B$38&lt;&gt;"pvp",Inputs!$B$43&gt;0),MIN(15,Inputs!$B$43)/(Inputs!$B$43),0))),0)))&gt;=100),MIN(100,((Inputs!$B$9+((C2340=TRUE)*(F2340-Calc!F19))+B2353+(ArtifactsInput!$M$24-ArtifactsInput!$M$24)*CHOOSE(ArtifactsInput!$N$24+1,10,12,14,16,18,20)+IF(ArtifactsInput!$M$10,CHOOSE(ArtifactsInput!$N$10+1,15,18,21,24,27,30)*(IF(Inputs!$B$38="pvp",MIN(15,15)/15,IF(AND(Inputs!$B$38&lt;&gt;"pvp",Inputs!$B$43&gt;0),MIN(15,Inputs!$B$43)/(Inputs!$B$43),0))),0)))-100),0))*CHOOSE(ArtifactsInput!$N$42+1,0.6,0.72,0.84,0.96,1.08,1.2))),Inputs!$B$18+((C2348=TRUE)*(F2348-Calc!F27))+(IF(AND(ArtifactsInput!$M$42,((Inputs!$B$9+((C2340=TRUE)*(F2340-Calc!F19))+B2353+(ArtifactsInput!$M$24-ArtifactsInput!$M$24)*CHOOSE(ArtifactsInput!$N$24+1,10,12,14,16,18,20)+IF(ArtifactsInput!$M$10,CHOOSE(ArtifactsInput!$N$10+1,15,18,21,24,27,30)*(IF(Inputs!$B$38="pvp",MIN(15,15)/15,IF(AND(Inputs!$B$38&lt;&gt;"pvp",Inputs!$B$43&gt;0),MIN(15,Inputs!$B$43)/(Inputs!$B$43),0))),0)))&gt;=100),CHOOSE(ArtifactsInput!$N$42+1,40,48,56,64,72,80),0))))/100)*((1+(((C2334=TRUE)*F2334)+((C2335=TRUE)*IF(Inputs!$B$38="pvp",F2335,(1-Summary!$B$11)*(F2335)+Summary!$B$11*(0)))+((C2336=TRUE)*F2336*IF(AND(Inputs!$B$38&lt;&gt;"pvp",Inputs!$B$43&gt;0),(((R2336-1)*(Skills!T15*(1+Inputs!$B$34/100))+MIN((Skills!T15*(1+Inputs!$B$34/100)),MAX(0,Inputs!$B$43-((R2336-1)*Skills!D15))))/Inputs!$B$43),IF(Inputs!$B$38="pvp",MIN((Skills!T15*(1+Inputs!$B$34/100)),15)/15,(Skills!T15*(1+Inputs!$B$34/100))/Skills!D15)))+((C2333=TRUE)*F2333)+((C2350=TRUE)*(F2350-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2326)</f>
        <v/>
      </c>
      <c r="L2326">
        <f>K2326*(MIN(Inputs!$B$22+((C2344=TRUE)*(F2344-Calc!F23)),(Inputs!$B$23+((C2349=TRUE)*(F2349-Calc!F28))+(IF(ArtifactsInput!$M$15,CHOOSE(ArtifactsInput!$N$15+1,25,30,35,40,45,50)/100*(Inputs!$B$11-Inputs!$B$11),0))))/100+(Inputs!$B$23+((C2349=TRUE)*(F2349-Calc!F28))+(IF(ArtifactsInput!$M$15,CHOOSE(ArtifactsInput!$N$15+1,25,30,35,40,45,50)/100*(Inputs!$B$11-Inputs!$B$11),0)))/100)/2</f>
        <v/>
      </c>
      <c r="M2326">
        <f>L2326*(1+(Inputs!$B$10+0+B2358+(IF(ArtifactsInput!$M$24,CHOOSE(ArtifactsInput!$N$24+1,30,36,42,48,54,60)/100*(Inputs!$B$9-Inputs!$B$9),0)+IF(ArtifactsInput!$M$10,CHOOSE(ArtifactsInput!$N$10+1,20,24,28,32,36,40)*(IF(Inputs!$B$38="pvp",MIN(15,15)/15,IF(AND(Inputs!$B$38&lt;&gt;"pvp",Inputs!$B$43&gt;0),MIN(15,Inputs!$B$43)/(Inputs!$B$43),0))),0)+IF(IF(ArtifactsInput!$M$31,FALSE,TRUE),1.5*CHOOSE(ArtifactsInput!$N$31+1,20,24,28,32,36,40),0)))/100)</f>
        <v/>
      </c>
      <c r="N2326">
        <f>L2326*(1-MIN((Inputs!$B$9+((C2340=TRUE)*(F2340-Calc!F19))+B2353+(ArtifactsInput!$M$24-ArtifactsInput!$M$24)*CHOOSE(ArtifactsInput!$N$24+1,10,12,14,16,18,20)+(IF(AND(ArtifactsInput!$M$42,((Inputs!$B$9+((C2340=TRUE)*(F2340-Calc!F19))+B2353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2326*(MIN((Inputs!$B$9+((C2340=TRUE)*(F2340-Calc!F19))+B2353+(ArtifactsInput!$M$24-ArtifactsInput!$M$24)*CHOOSE(ArtifactsInput!$N$24+1,10,12,14,16,18,20)+(IF(AND(ArtifactsInput!$M$42,((Inputs!$B$9+((C2340=TRUE)*(F2340-Calc!F19))+B2353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326">
        <f>(1-Summary!$B$11)*T2326+Summary!$B$11*V2326</f>
        <v/>
      </c>
      <c r="P2326">
        <f>IF(B2363=0,0,O2326/B2363)</f>
        <v/>
      </c>
      <c r="Q2326">
        <f>IFERROR(1/IF(Inputs!$B$38="pvp",15,MAX(0.1,Skills!D5-IF(Skills!E5=TRUE,Inputs!$B$32,0))),0)</f>
        <v/>
      </c>
      <c r="R2326">
        <f>IF(AND(Inputs!$B$38&lt;&gt;"pvp",Inputs!$B$43&gt;0),IF(MAX(0,Inputs!$B$43-B2360)&lt;=0,0,(INT(MAX(0,Inputs!$B$43-B2360)/IF(Inputs!$B$38="pvp",15,MAX(0.1,Skills!D5-IF(Skills!E5=TRUE,Inputs!$B$32,0))))+1)),0)</f>
        <v/>
      </c>
      <c r="S2326">
        <f>IFERROR((H2326*N2326*IF(AND(Inputs!$B$38&lt;&gt;"pvp",Inputs!$B$43&gt;0),((Skills!G5*((R2326-1)*IF(Skills!H5&gt;0,Skills!I5/Skills!H5,1)+IF(Skills!H5&gt;0,MIN(Skills!I5,MAX(0,MAX(0,Inputs!$B$43-B2360)-((R2326-1)*IF(Inputs!$B$38="pvp",15,MAX(0.1,Skills!D5-IF(Skills!E5=TRUE,Inputs!$B$32,0))))))/Skills!H5,1)))/Inputs!$B$43),G2326*Q2326))/N2326*IF(Inputs!$B$38="pvp",1,(1-Summary!$B$11)*1+Summary!$B$11*(MIN(Skills!R5,Inputs!$B$37))),0)</f>
        <v/>
      </c>
      <c r="T2326">
        <f>IF(C2326,(H2326*N2326*IF(AND(Inputs!$B$38&lt;&gt;"pvp",Inputs!$B$43&gt;0),((Skills!G5*((R2326-1)*IF(Skills!H5&gt;0,Skills!I5/Skills!H5,1)+IF(Skills!H5&gt;0,MIN(Skills!I5,MAX(0,MAX(0,Inputs!$B$43-B2360)-((R2326-1)*IF(Inputs!$B$38="pvp",15,MAX(0.1,Skills!D5-IF(Skills!E5=TRUE,Inputs!$B$32,0))))))/Skills!H5,1)))/Inputs!$B$43),G2326*Q2326))*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Hunt"),CHOOSE(ArtifactsInput!$N$35+1,15,18,21,24,27,30)*(1-EXP(-(0.2*B2355)*5)),0)+IF(AND(ArtifactsInput!$M$22,Inputs!$B$4&lt;&gt;"Chapter Hunt"),CHOOSE(ArtifactsInput!$N$22+1,10,12,14,16,18,20)*((0*(((0.15*B2355*5))^0/1)+1*(((0.15*B2355*5))^1/1)+2*(((0.15*B2355*5))^2/2)+3*(((0.15*B2355*5))^3/6)+4*(((0.15*B2355*5))^4/24)+5*(((0.15*B2355*5))^5/120))/((((0.15*B2355*5))^0/1)+(((0.15*B2355*5))^1/1)+(((0.15*B2355*5))^2/2)+(((0.15*B2355*5))^3/6)+(((0.15*B2355*5))^4/24)+(((0.15*B2355*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2326*(1-MIN(100,(Inputs!$B$9+((C2340=TRUE)*(F2340-Calc!F19))+B2353+(ArtifactsInput!$M$24-ArtifactsInput!$M$24)*CHOOSE(ArtifactsInput!$N$24+1,10,12,14,16,18,20)+(IF(AND(ArtifactsInput!$M$42,((Inputs!$B$9+((C2340=TRUE)*(F2340-Calc!F19))+B2353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2326*(MIN(100,(Inputs!$B$9+((C2340=TRUE)*(F2340-Calc!F19))+B2353+(ArtifactsInput!$M$24-ArtifactsInput!$M$24)*CHOOSE(ArtifactsInput!$N$24+1,10,12,14,16,18,20)+(IF(AND(ArtifactsInput!$M$42,((Inputs!$B$9+((C2340=TRUE)*(F2340-Calc!F19))+B2353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2326*(1-MIN(100,(Inputs!$B$9+((C2340=TRUE)*(F2340-Calc!F19))+B2353+(ArtifactsInput!$M$24-ArtifactsInput!$M$24)*CHOOSE(ArtifactsInput!$N$24+1,10,12,14,16,18,20)+(IF(AND(ArtifactsInput!$M$42,((Inputs!$B$9+((C2340=TRUE)*(F2340-Calc!F19))+B2353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2326*(MIN(100,(Inputs!$B$9+((C2340=TRUE)*(F2340-Calc!F19))+B2353+(ArtifactsInput!$M$24-ArtifactsInput!$M$24)*CHOOSE(ArtifactsInput!$N$24+1,10,12,14,16,18,20)+(IF(AND(ArtifactsInput!$M$42,((Inputs!$B$9+((C2340=TRUE)*(F2340-Calc!F19))+B2353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326">
        <f>IF(C2326,(H2326*N2326*IF(AND(Inputs!$B$38&lt;&gt;"pvp",Inputs!$B$43&gt;0),((Skills!G5*((R2326-1)*IF(Skills!H5&gt;0,Skills!I5/Skills!H5,1)+IF(Skills!H5&gt;0,MIN(Skills!I5,MAX(0,MAX(0,Inputs!$B$43-B2360)-((R2326-1)*IF(Inputs!$B$38="pvp",15,MAX(0.1,Skills!D5-IF(Skills!E5=TRUE,Inputs!$B$32,0))))))/Skills!H5,1)))/Inputs!$B$43),G2326*Q2326))*IF(Inputs!$B$38="pvp",1,(1+(Inputs!$B$21+Skills!Q5+(IF(ArtifactsInput!$M$33,CHOOSE(ArtifactsInput!$N$33+1,30,36,42,48,54,60),0))+(IF(AND(ArtifactsInput!$M$35,Inputs!$B$4&lt;&gt;"Chapter Hunt"),CHOOSE(ArtifactsInput!$N$35+1,15,18,21,24,27,30)*(1-EXP(-(0.2*B2355)*5)),0)+IF(AND(ArtifactsInput!$M$22,Inputs!$B$4&lt;&gt;"Chapter Hunt"),CHOOSE(ArtifactsInput!$N$22+1,10,12,14,16,18,20)*((0*(((0.15*B2355*5))^0/1)+1*(((0.15*B2355*5))^1/1)+2*(((0.15*B2355*5))^2/2)+3*(((0.15*B2355*5))^3/6)+4*(((0.15*B2355*5))^4/24)+5*(((0.15*B2355*5))^5/120))/((((0.15*B2355*5))^0/1)+(((0.15*B2355*5))^1/1)+(((0.15*B2355*5))^2/2)+(((0.15*B2355*5))^3/6)+(((0.15*B2355*5))^4/24)+(((0.15*B2355*5))^5/120)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327">
      <c r="A2327">
        <f>Skills!A6</f>
        <v/>
      </c>
      <c r="B2327">
        <f>Skills!B6</f>
        <v/>
      </c>
      <c r="C2327">
        <f>Inputs!$B$3&gt;=63</f>
        <v/>
      </c>
      <c r="D2327">
        <f>IF(Skills!C6=1,60+Inputs!$B$25+Inputs!$B$29,IF(Skills!C6=2,90+Inputs!$B$26+Inputs!$B$29,IF(Skills!C6=3,120+Inputs!$B$27+Inputs!$B$29,MAX(0,(Inputs!$B$3-100)*3)+Inputs!$B$28+Inputs!$B$29)))</f>
        <v/>
      </c>
      <c r="E2327">
        <f>INDEX(FactorTable!$B$2:$Y$301, MATCH(ROUND(MIN(300,MAX(1,D2327)),0), FactorTable!$A$2:$A$301,0), Skills!M6+1)</f>
        <v/>
      </c>
      <c r="F2327">
        <f>IF(Skills!N6=TRUE,(Skills!L6/10)*(E2327/1000),Skills!L6/10)+Skills!O6</f>
        <v/>
      </c>
      <c r="G2327">
        <f>Skills!G6*IF(Skills!H6&gt;0,Skills!I6/Skills!H6,1)</f>
        <v/>
      </c>
      <c r="H2327">
        <f>1-(1-Skills!J6/100)^Skills!K6</f>
        <v/>
      </c>
      <c r="I2327" t="inlineStr">
        <is>
          <t>1</t>
        </is>
      </c>
      <c r="J2327">
        <f>((Inputs!$B$6*(1+Inputs!$B$7/100))+(((Inputs!$B$12*(1+Inputs!$B$13/100))-(Inputs!$B$12*(1+Inputs!$B$13/100)))+0.25*(Inputs!$B$14-Inputs!$B$14))*(1+Inputs!$B$7/100))*(F2327/100)</f>
        <v/>
      </c>
      <c r="K2327">
        <f>J2327*(1+((Inputs!$B$12*(1+Inputs!$B$13/100))*0.01+Inputs!$B$14*0.0025)/100)*(1+Inputs!$B$15/100)*(1+Inputs!$B$16/100)*(5000/(6000+Inputs!$B$42*(1-(100*(1-(1-(Inputs!$B$19+0)/100)*(1-CHOOSE(ArtifactsInput!$N$40+1,5,6,7,8,9,10)/100)^(ArtifactsInput!$M$40-ArtifactsInput!$M$40)))/100)))*(1+(Inputs!$B$24+((C2345=TRUE)*(F2345-Calc!F24))+((C2346=TRUE)*(F2346-Calc!F25))+B2359)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2329=TRUE,F2329,0)/100)*(1+(IF(Skills!A6="EMPOWERED_PIERCING_ARROW",Inputs!$B$17+((C2343=TRUE)*(F2343-Calc!F22))+(((IF(AND(ArtifactsInput!$M$42,((Inputs!$B$9+((C2340=TRUE)*(F2340-Calc!F19))+B2353+(ArtifactsInput!$M$24-ArtifactsInput!$M$24)*CHOOSE(ArtifactsInput!$N$24+1,10,12,14,16,18,20)+IF(ArtifactsInput!$M$10,CHOOSE(ArtifactsInput!$N$10+1,15,18,21,24,27,30)*(IF(Inputs!$B$38="pvp",MIN(15,15)/15,IF(AND(Inputs!$B$38&lt;&gt;"pvp",Inputs!$B$43&gt;0),MIN(15,Inputs!$B$43)/(Inputs!$B$43),0))),0)))&gt;=100),MIN(100,((Inputs!$B$9+((C2340=TRUE)*(F2340-Calc!F19))+B2353+(ArtifactsInput!$M$24-ArtifactsInput!$M$24)*CHOOSE(ArtifactsInput!$N$24+1,10,12,14,16,18,20)+IF(ArtifactsInput!$M$10,CHOOSE(ArtifactsInput!$N$10+1,15,18,21,24,27,30)*(IF(Inputs!$B$38="pvp",MIN(15,15)/15,IF(AND(Inputs!$B$38&lt;&gt;"pvp",Inputs!$B$43&gt;0),MIN(15,Inputs!$B$43)/(Inputs!$B$43),0))),0)))-100),0))*CHOOSE(ArtifactsInput!$N$42+1,0.6,0.72,0.84,0.96,1.08,1.2))),Inputs!$B$18+((C2348=TRUE)*(F2348-Calc!F27))+(IF(AND(ArtifactsInput!$M$42,((Inputs!$B$9+((C2340=TRUE)*(F2340-Calc!F19))+B2353+(ArtifactsInput!$M$24-ArtifactsInput!$M$24)*CHOOSE(ArtifactsInput!$N$24+1,10,12,14,16,18,20)+IF(ArtifactsInput!$M$10,CHOOSE(ArtifactsInput!$N$10+1,15,18,21,24,27,30)*(IF(Inputs!$B$38="pvp",MIN(15,15)/15,IF(AND(Inputs!$B$38&lt;&gt;"pvp",Inputs!$B$43&gt;0),MIN(15,Inputs!$B$43)/(Inputs!$B$43),0))),0)))&gt;=100),CHOOSE(ArtifactsInput!$N$42+1,40,48,56,64,72,80),0))))/100)*((1+(((C2334=TRUE)*F2334)+((C2335=TRUE)*IF(Inputs!$B$38="pvp",F2335,(1-Summary!$B$11)*(F2335)+Summary!$B$11*(0)))+((C2336=TRUE)*F2336*IF(AND(Inputs!$B$38&lt;&gt;"pvp",Inputs!$B$43&gt;0),(((R2336-1)*(Skills!T15*(1+Inputs!$B$34/100))+MIN((Skills!T15*(1+Inputs!$B$34/100)),MAX(0,Inputs!$B$43-((R2336-1)*Skills!D15))))/Inputs!$B$43),IF(Inputs!$B$38="pvp",MIN((Skills!T15*(1+Inputs!$B$34/100)),15)/15,(Skills!T15*(1+Inputs!$B$34/100))/Skills!D15)))+((C2333=TRUE)*F2333)+((C2350=TRUE)*(F2350-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2327)</f>
        <v/>
      </c>
      <c r="L2327">
        <f>K2327*(MIN(Inputs!$B$22+((C2344=TRUE)*(F2344-Calc!F23)),(Inputs!$B$23+((C2349=TRUE)*(F2349-Calc!F28))+(IF(ArtifactsInput!$M$15,CHOOSE(ArtifactsInput!$N$15+1,25,30,35,40,45,50)/100*(Inputs!$B$11-Inputs!$B$11),0))))/100+(Inputs!$B$23+((C2349=TRUE)*(F2349-Calc!F28))+(IF(ArtifactsInput!$M$15,CHOOSE(ArtifactsInput!$N$15+1,25,30,35,40,45,50)/100*(Inputs!$B$11-Inputs!$B$11),0)))/100)/2</f>
        <v/>
      </c>
      <c r="M2327">
        <f>L2327*(1+(Inputs!$B$10+0+B2358+(IF(ArtifactsInput!$M$24,CHOOSE(ArtifactsInput!$N$24+1,30,36,42,48,54,60)/100*(Inputs!$B$9-Inputs!$B$9),0)+IF(ArtifactsInput!$M$10,CHOOSE(ArtifactsInput!$N$10+1,20,24,28,32,36,40)*(IF(Inputs!$B$38="pvp",MIN(15,15)/15,IF(AND(Inputs!$B$38&lt;&gt;"pvp",Inputs!$B$43&gt;0),MIN(15,Inputs!$B$43)/(Inputs!$B$43),0))),0)+IF(IF(ArtifactsInput!$M$31,FALSE,TRUE),1.5*CHOOSE(ArtifactsInput!$N$31+1,20,24,28,32,36,40),0)))/100)</f>
        <v/>
      </c>
      <c r="N2327">
        <f>L2327*(1-MIN((Inputs!$B$9+((C2340=TRUE)*(F2340-Calc!F19))+B2353+(ArtifactsInput!$M$24-ArtifactsInput!$M$24)*CHOOSE(ArtifactsInput!$N$24+1,10,12,14,16,18,20)+(IF(AND(ArtifactsInput!$M$42,((Inputs!$B$9+((C2340=TRUE)*(F2340-Calc!F19))+B2353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2327*(MIN((Inputs!$B$9+((C2340=TRUE)*(F2340-Calc!F19))+B2353+(ArtifactsInput!$M$24-ArtifactsInput!$M$24)*CHOOSE(ArtifactsInput!$N$24+1,10,12,14,16,18,20)+(IF(AND(ArtifactsInput!$M$42,((Inputs!$B$9+((C2340=TRUE)*(F2340-Calc!F19))+B2353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327">
        <f>(1-Summary!$B$11)*T2327+Summary!$B$11*V2327</f>
        <v/>
      </c>
      <c r="P2327">
        <f>IF(B2363=0,0,O2327/B2363)</f>
        <v/>
      </c>
      <c r="Q2327">
        <f>IFERROR(1/IF(Inputs!$B$38="pvp",15,MAX(0.1,Skills!D6-IF(Skills!E6=TRUE,Inputs!$B$32,0))),0)</f>
        <v/>
      </c>
      <c r="R2327">
        <f>IF(AND(Inputs!$B$38&lt;&gt;"pvp",Inputs!$B$43&gt;0),IF(MAX(0,Inputs!$B$43-B2360)&lt;=0,0,(INT(MAX(0,Inputs!$B$43-B2360)/IF(Inputs!$B$38="pvp",15,MAX(0.1,Skills!D6-IF(Skills!E6=TRUE,Inputs!$B$32,0))))+1)),0)</f>
        <v/>
      </c>
      <c r="S2327">
        <f>IFERROR((H2327*N2327*IF(AND(Inputs!$B$38&lt;&gt;"pvp",Inputs!$B$43&gt;0),((Skills!G6*((R2327-1)*IF(Skills!H6&gt;0,Skills!I6/Skills!H6,1)+IF(Skills!H6&gt;0,MIN(Skills!I6,MAX(0,MAX(0,Inputs!$B$43-B2360)-((R2327-1)*IF(Inputs!$B$38="pvp",15,MAX(0.1,Skills!D6-IF(Skills!E6=TRUE,Inputs!$B$32,0))))))/Skills!H6,1)))/Inputs!$B$43),G2327*Q2327))/N2327*IF(Inputs!$B$38="pvp",1,(1-Summary!$B$11)*1+Summary!$B$11*(MIN(Skills!R6,Inputs!$B$37))),0)</f>
        <v/>
      </c>
      <c r="T2327">
        <f>IF(C2327,(H2327*N2327*IF(AND(Inputs!$B$38&lt;&gt;"pvp",Inputs!$B$43&gt;0),((Skills!G6*((R2327-1)*IF(Skills!H6&gt;0,Skills!I6/Skills!H6,1)+IF(Skills!H6&gt;0,MIN(Skills!I6,MAX(0,MAX(0,Inputs!$B$43-B2360)-((R2327-1)*IF(Inputs!$B$38="pvp",15,MAX(0.1,Skills!D6-IF(Skills!E6=TRUE,Inputs!$B$32,0))))))/Skills!H6,1)))/Inputs!$B$43),G2327*Q2327))*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Hunt"),CHOOSE(ArtifactsInput!$N$35+1,15,18,21,24,27,30)*(1-EXP(-(0.2*B2355)*5)),0)+IF(AND(ArtifactsInput!$M$22,Inputs!$B$4&lt;&gt;"Chapter Hunt"),CHOOSE(ArtifactsInput!$N$22+1,10,12,14,16,18,20)*((0*(((0.15*B2355*5))^0/1)+1*(((0.15*B2355*5))^1/1)+2*(((0.15*B2355*5))^2/2)+3*(((0.15*B2355*5))^3/6)+4*(((0.15*B2355*5))^4/24)+5*(((0.15*B2355*5))^5/120))/((((0.15*B2355*5))^0/1)+(((0.15*B2355*5))^1/1)+(((0.15*B2355*5))^2/2)+(((0.15*B2355*5))^3/6)+(((0.15*B2355*5))^4/24)+(((0.15*B2355*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2327*(1-MIN(100,(Inputs!$B$9+((C2340=TRUE)*(F2340-Calc!F19))+B2353+(ArtifactsInput!$M$24-ArtifactsInput!$M$24)*CHOOSE(ArtifactsInput!$N$24+1,10,12,14,16,18,20)+(IF(AND(ArtifactsInput!$M$42,((Inputs!$B$9+((C2340=TRUE)*(F2340-Calc!F19))+B2353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2327*(MIN(100,(Inputs!$B$9+((C2340=TRUE)*(F2340-Calc!F19))+B2353+(ArtifactsInput!$M$24-ArtifactsInput!$M$24)*CHOOSE(ArtifactsInput!$N$24+1,10,12,14,16,18,20)+(IF(AND(ArtifactsInput!$M$42,((Inputs!$B$9+((C2340=TRUE)*(F2340-Calc!F19))+B2353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2327*(1-MIN(100,(Inputs!$B$9+((C2340=TRUE)*(F2340-Calc!F19))+B2353+(ArtifactsInput!$M$24-ArtifactsInput!$M$24)*CHOOSE(ArtifactsInput!$N$24+1,10,12,14,16,18,20)+(IF(AND(ArtifactsInput!$M$42,((Inputs!$B$9+((C2340=TRUE)*(F2340-Calc!F19))+B2353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2327*(MIN(100,(Inputs!$B$9+((C2340=TRUE)*(F2340-Calc!F19))+B2353+(ArtifactsInput!$M$24-ArtifactsInput!$M$24)*CHOOSE(ArtifactsInput!$N$24+1,10,12,14,16,18,20)+(IF(AND(ArtifactsInput!$M$42,((Inputs!$B$9+((C2340=TRUE)*(F2340-Calc!F19))+B2353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327">
        <f>IF(C2327,(H2327*N2327*IF(AND(Inputs!$B$38&lt;&gt;"pvp",Inputs!$B$43&gt;0),((Skills!G6*((R2327-1)*IF(Skills!H6&gt;0,Skills!I6/Skills!H6,1)+IF(Skills!H6&gt;0,MIN(Skills!I6,MAX(0,MAX(0,Inputs!$B$43-B2360)-((R2327-1)*IF(Inputs!$B$38="pvp",15,MAX(0.1,Skills!D6-IF(Skills!E6=TRUE,Inputs!$B$32,0))))))/Skills!H6,1)))/Inputs!$B$43),G2327*Q2327))*IF(Inputs!$B$38="pvp",1,(1+(Inputs!$B$21+Skills!Q6+(IF(ArtifactsInput!$M$33,CHOOSE(ArtifactsInput!$N$33+1,30,36,42,48,54,60),0))+(IF(AND(ArtifactsInput!$M$35,Inputs!$B$4&lt;&gt;"Chapter Hunt"),CHOOSE(ArtifactsInput!$N$35+1,15,18,21,24,27,30)*(1-EXP(-(0.2*B2355)*5)),0)+IF(AND(ArtifactsInput!$M$22,Inputs!$B$4&lt;&gt;"Chapter Hunt"),CHOOSE(ArtifactsInput!$N$22+1,10,12,14,16,18,20)*((0*(((0.15*B2355*5))^0/1)+1*(((0.15*B2355*5))^1/1)+2*(((0.15*B2355*5))^2/2)+3*(((0.15*B2355*5))^3/6)+4*(((0.15*B2355*5))^4/24)+5*(((0.15*B2355*5))^5/120))/((((0.15*B2355*5))^0/1)+(((0.15*B2355*5))^1/1)+(((0.15*B2355*5))^2/2)+(((0.15*B2355*5))^3/6)+(((0.15*B2355*5))^4/24)+(((0.15*B2355*5))^5/120))),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328">
      <c r="A2328">
        <f>Skills!A7</f>
        <v/>
      </c>
      <c r="B2328">
        <f>Skills!B7</f>
        <v/>
      </c>
      <c r="C2328">
        <f>Inputs!$B$3&gt;=69</f>
        <v/>
      </c>
      <c r="D2328">
        <f>IF(Skills!C7=1,60+Inputs!$B$25+Inputs!$B$29,IF(Skills!C7=2,90+Inputs!$B$26+Inputs!$B$29,IF(Skills!C7=3,120+Inputs!$B$27+Inputs!$B$29,MAX(0,(Inputs!$B$3-100)*3)+Inputs!$B$28+Inputs!$B$29)))</f>
        <v/>
      </c>
      <c r="E2328">
        <f>INDEX(FactorTable!$B$2:$Y$301, MATCH(ROUND(MIN(300,MAX(1,D2328)),0), FactorTable!$A$2:$A$301,0), Skills!M7+1)</f>
        <v/>
      </c>
      <c r="F2328">
        <f>IF(Skills!N7=TRUE,(Skills!L7/10)*(E2328/1000),Skills!L7/10)+Skills!O7</f>
        <v/>
      </c>
      <c r="G2328">
        <f>Skills!G7*IF(Skills!H7&gt;0,Skills!I7/Skills!H7,1)</f>
        <v/>
      </c>
      <c r="H2328">
        <f>1-(1-Skills!J7/100)^Skills!K7</f>
        <v/>
      </c>
      <c r="I2328" t="inlineStr">
        <is>
          <t>1</t>
        </is>
      </c>
      <c r="J2328">
        <f>((Inputs!$B$6*(1+Inputs!$B$7/100))+(((Inputs!$B$12*(1+Inputs!$B$13/100))-(Inputs!$B$12*(1+Inputs!$B$13/100)))+0.25*(Inputs!$B$14-Inputs!$B$14))*(1+Inputs!$B$7/100))*(F2328/100)</f>
        <v/>
      </c>
      <c r="K2328">
        <f>J2328*(1+((Inputs!$B$12*(1+Inputs!$B$13/100))*0.01+Inputs!$B$14*0.0025)/100)*(1+Inputs!$B$15/100)*(1+Inputs!$B$16/100)*(5000/(6000+Inputs!$B$42*(1-(100*(1-(1-(Inputs!$B$19+0)/100)*(1-CHOOSE(ArtifactsInput!$N$40+1,5,6,7,8,9,10)/100)^(ArtifactsInput!$M$40-ArtifactsInput!$M$40)))/100)))*(1+(Inputs!$B$24+((C2345=TRUE)*(F2345-Calc!F24))+((C2346=TRUE)*(F2346-Calc!F25))+B2359)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+1.2*IF(C2329=TRUE,F2329,0)/100)*(1+(IF(Skills!A7="EMPOWERED_PIERCING_ARROW",Inputs!$B$17+((C2343=TRUE)*(F2343-Calc!F22))+(((IF(AND(ArtifactsInput!$M$42,((Inputs!$B$9+((C2340=TRUE)*(F2340-Calc!F19))+B2353+(ArtifactsInput!$M$24-ArtifactsInput!$M$24)*CHOOSE(ArtifactsInput!$N$24+1,10,12,14,16,18,20)+IF(ArtifactsInput!$M$10,CHOOSE(ArtifactsInput!$N$10+1,15,18,21,24,27,30)*(IF(Inputs!$B$38="pvp",MIN(15,15)/15,IF(AND(Inputs!$B$38&lt;&gt;"pvp",Inputs!$B$43&gt;0),MIN(15,Inputs!$B$43)/(Inputs!$B$43),0))),0)))&gt;=100),MIN(100,((Inputs!$B$9+((C2340=TRUE)*(F2340-Calc!F19))+B2353+(ArtifactsInput!$M$24-ArtifactsInput!$M$24)*CHOOSE(ArtifactsInput!$N$24+1,10,12,14,16,18,20)+IF(ArtifactsInput!$M$10,CHOOSE(ArtifactsInput!$N$10+1,15,18,21,24,27,30)*(IF(Inputs!$B$38="pvp",MIN(15,15)/15,IF(AND(Inputs!$B$38&lt;&gt;"pvp",Inputs!$B$43&gt;0),MIN(15,Inputs!$B$43)/(Inputs!$B$43),0))),0)))-100),0))*CHOOSE(ArtifactsInput!$N$42+1,0.6,0.72,0.84,0.96,1.08,1.2))),Inputs!$B$18+((C2348=TRUE)*(F2348-Calc!F27))+(IF(AND(ArtifactsInput!$M$42,((Inputs!$B$9+((C2340=TRUE)*(F2340-Calc!F19))+B2353+(ArtifactsInput!$M$24-ArtifactsInput!$M$24)*CHOOSE(ArtifactsInput!$N$24+1,10,12,14,16,18,20)+IF(ArtifactsInput!$M$10,CHOOSE(ArtifactsInput!$N$10+1,15,18,21,24,27,30)*(IF(Inputs!$B$38="pvp",MIN(15,15)/15,IF(AND(Inputs!$B$38&lt;&gt;"pvp",Inputs!$B$43&gt;0),MIN(15,Inputs!$B$43)/(Inputs!$B$43),0))),0)))&gt;=100),CHOOSE(ArtifactsInput!$N$42+1,40,48,56,64,72,80),0))))/100)*((1+(((C2334=TRUE)*F2334)+((C2335=TRUE)*IF(Inputs!$B$38="pvp",F2335,(1-Summary!$B$11)*(F2335)+Summary!$B$11*(0)))+((C2336=TRUE)*F2336*IF(AND(Inputs!$B$38&lt;&gt;"pvp",Inputs!$B$43&gt;0),(((R2336-1)*(Skills!T15*(1+Inputs!$B$34/100))+MIN((Skills!T15*(1+Inputs!$B$34/100)),MAX(0,Inputs!$B$43-((R2336-1)*Skills!D15))))/Inputs!$B$43),IF(Inputs!$B$38="pvp",MIN((Skills!T15*(1+Inputs!$B$34/100)),15)/15,(Skills!T15*(1+Inputs!$B$34/100))/Skills!D15)))+((C2333=TRUE)*F2333)+((C2350=TRUE)*(F2350-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2328)</f>
        <v/>
      </c>
      <c r="L2328">
        <f>K2328*(MIN(Inputs!$B$22+((C2344=TRUE)*(F2344-Calc!F23)),(Inputs!$B$23+((C2349=TRUE)*(F2349-Calc!F28))+(IF(ArtifactsInput!$M$15,CHOOSE(ArtifactsInput!$N$15+1,25,30,35,40,45,50)/100*(Inputs!$B$11-Inputs!$B$11),0))))/100+(Inputs!$B$23+((C2349=TRUE)*(F2349-Calc!F28))+(IF(ArtifactsInput!$M$15,CHOOSE(ArtifactsInput!$N$15+1,25,30,35,40,45,50)/100*(Inputs!$B$11-Inputs!$B$11),0)))/100)/2</f>
        <v/>
      </c>
      <c r="M2328">
        <f>L2328*(1+(Inputs!$B$10+0+B2358+(IF(ArtifactsInput!$M$24,CHOOSE(ArtifactsInput!$N$24+1,30,36,42,48,54,60)/100*(Inputs!$B$9-Inputs!$B$9),0)+IF(ArtifactsInput!$M$10,CHOOSE(ArtifactsInput!$N$10+1,20,24,28,32,36,40)*(IF(Inputs!$B$38="pvp",MIN(15,15)/15,IF(AND(Inputs!$B$38&lt;&gt;"pvp",Inputs!$B$43&gt;0),MIN(15,Inputs!$B$43)/(Inputs!$B$43),0))),0)+IF(IF(ArtifactsInput!$M$31,FALSE,TRUE),1.5*CHOOSE(ArtifactsInput!$N$31+1,20,24,28,32,36,40),0)))/100)</f>
        <v/>
      </c>
      <c r="N2328">
        <f>L2328*(1-MIN((Inputs!$B$9+((C2340=TRUE)*(F2340-Calc!F19))+B2353+(ArtifactsInput!$M$24-ArtifactsInput!$M$24)*CHOOSE(ArtifactsInput!$N$24+1,10,12,14,16,18,20)+(IF(AND(ArtifactsInput!$M$42,((Inputs!$B$9+((C2340=TRUE)*(F2340-Calc!F19))+B2353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2328*(MIN((Inputs!$B$9+((C2340=TRUE)*(F2340-Calc!F19))+B2353+(ArtifactsInput!$M$24-ArtifactsInput!$M$24)*CHOOSE(ArtifactsInput!$N$24+1,10,12,14,16,18,20)+(IF(AND(ArtifactsInput!$M$42,((Inputs!$B$9+((C2340=TRUE)*(F2340-Calc!F19))+B2353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328">
        <f>(1-Summary!$B$11)*T2328+Summary!$B$11*V2328</f>
        <v/>
      </c>
      <c r="P2328">
        <f>IF(B2363=0,0,O2328/B2363)</f>
        <v/>
      </c>
      <c r="Q2328">
        <f>IFERROR(1/IF(Inputs!$B$38="pvp",15,MAX(0.1,Skills!D7-IF(Skills!E7=TRUE,Inputs!$B$32,0))),0)</f>
        <v/>
      </c>
      <c r="R2328">
        <f>IF(AND(Inputs!$B$38&lt;&gt;"pvp",Inputs!$B$43&gt;0),IF(MAX(0,Inputs!$B$43-B2360)&lt;=0,0,(INT(MAX(0,Inputs!$B$43-B2360)/IF(Inputs!$B$38="pvp",15,MAX(0.1,Skills!D7-IF(Skills!E7=TRUE,Inputs!$B$32,0))))+1)),0)</f>
        <v/>
      </c>
      <c r="S2328">
        <f>IFERROR((H2328*N2328*IF(AND(Inputs!$B$38&lt;&gt;"pvp",Inputs!$B$43&gt;0),((Skills!G7*((R2328-1)*IF(Skills!H7&gt;0,Skills!I7/Skills!H7,1)+IF(Skills!H7&gt;0,MIN(Skills!I7,MAX(0,MAX(0,Inputs!$B$43-B2360)-((R2328-1)*IF(Inputs!$B$38="pvp",15,MAX(0.1,Skills!D7-IF(Skills!E7=TRUE,Inputs!$B$32,0))))))/Skills!H7,1)))/Inputs!$B$43),G2328*Q2328))/N2328*IF(Inputs!$B$38="pvp",1,(1-Summary!$B$11)*1+Summary!$B$11*(MIN(Skills!R7,Inputs!$B$37))),0)</f>
        <v/>
      </c>
      <c r="T2328">
        <f>IF(C2328,(H2328*N2328*IF(AND(Inputs!$B$38&lt;&gt;"pvp",Inputs!$B$43&gt;0),((Skills!G7*((R2328-1)*IF(Skills!H7&gt;0,Skills!I7/Skills!H7,1)+IF(Skills!H7&gt;0,MIN(Skills!I7,MAX(0,MAX(0,Inputs!$B$43-B2360)-((R2328-1)*IF(Inputs!$B$38="pvp",15,MAX(0.1,Skills!D7-IF(Skills!E7=TRUE,Inputs!$B$32,0))))))/Skills!H7,1)))/Inputs!$B$43),G2328*Q2328))*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Hunt"),CHOOSE(ArtifactsInput!$N$35+1,15,18,21,24,27,30)*(1-EXP(-(0.2*B2355)*5)),0)+IF(AND(ArtifactsInput!$M$22,Inputs!$B$4&lt;&gt;"Chapter Hunt"),CHOOSE(ArtifactsInput!$N$22+1,10,12,14,16,18,20)*((0*(((0.15*B2355*5))^0/1)+1*(((0.15*B2355*5))^1/1)+2*(((0.15*B2355*5))^2/2)+3*(((0.15*B2355*5))^3/6)+4*(((0.15*B2355*5))^4/24)+5*(((0.15*B2355*5))^5/120))/((((0.15*B2355*5))^0/1)+(((0.15*B2355*5))^1/1)+(((0.15*B2355*5))^2/2)+(((0.15*B2355*5))^3/6)+(((0.15*B2355*5))^4/24)+(((0.15*B2355*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2328*(1-MIN(100,(Inputs!$B$9+((C2340=TRUE)*(F2340-Calc!F19))+B2353+(ArtifactsInput!$M$24-ArtifactsInput!$M$24)*CHOOSE(ArtifactsInput!$N$24+1,10,12,14,16,18,20)+(IF(AND(ArtifactsInput!$M$42,((Inputs!$B$9+((C2340=TRUE)*(F2340-Calc!F19))+B2353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2328*(MIN(100,(Inputs!$B$9+((C2340=TRUE)*(F2340-Calc!F19))+B2353+(ArtifactsInput!$M$24-ArtifactsInput!$M$24)*CHOOSE(ArtifactsInput!$N$24+1,10,12,14,16,18,20)+(IF(AND(ArtifactsInput!$M$42,((Inputs!$B$9+((C2340=TRUE)*(F2340-Calc!F19))+B2353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2328*(1-MIN(100,(Inputs!$B$9+((C2340=TRUE)*(F2340-Calc!F19))+B2353+(ArtifactsInput!$M$24-ArtifactsInput!$M$24)*CHOOSE(ArtifactsInput!$N$24+1,10,12,14,16,18,20)+(IF(AND(ArtifactsInput!$M$42,((Inputs!$B$9+((C2340=TRUE)*(F2340-Calc!F19))+B2353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2328*(MIN(100,(Inputs!$B$9+((C2340=TRUE)*(F2340-Calc!F19))+B2353+(ArtifactsInput!$M$24-ArtifactsInput!$M$24)*CHOOSE(ArtifactsInput!$N$24+1,10,12,14,16,18,20)+(IF(AND(ArtifactsInput!$M$42,((Inputs!$B$9+((C2340=TRUE)*(F2340-Calc!F19))+B2353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328">
        <f>IF(C2328,(H2328*N2328*IF(AND(Inputs!$B$38&lt;&gt;"pvp",Inputs!$B$43&gt;0),((Skills!G7*((R2328-1)*IF(Skills!H7&gt;0,Skills!I7/Skills!H7,1)+IF(Skills!H7&gt;0,MIN(Skills!I7,MAX(0,MAX(0,Inputs!$B$43-B2360)-((R2328-1)*IF(Inputs!$B$38="pvp",15,MAX(0.1,Skills!D7-IF(Skills!E7=TRUE,Inputs!$B$32,0))))))/Skills!H7,1)))/Inputs!$B$43),G2328*Q2328))*IF(Inputs!$B$38="pvp",1,(1+(Inputs!$B$21+Skills!Q7+(IF(ArtifactsInput!$M$33,CHOOSE(ArtifactsInput!$N$33+1,30,36,42,48,54,60),0))+(IF(AND(ArtifactsInput!$M$35,Inputs!$B$4&lt;&gt;"Chapter Hunt"),CHOOSE(ArtifactsInput!$N$35+1,15,18,21,24,27,30)*(1-EXP(-(0.2*B2355)*5)),0)+IF(AND(ArtifactsInput!$M$22,Inputs!$B$4&lt;&gt;"Chapter Hunt"),CHOOSE(ArtifactsInput!$N$22+1,10,12,14,16,18,20)*((0*(((0.15*B2355*5))^0/1)+1*(((0.15*B2355*5))^1/1)+2*(((0.15*B2355*5))^2/2)+3*(((0.15*B2355*5))^3/6)+4*(((0.15*B2355*5))^4/24)+5*(((0.15*B2355*5))^5/120))/((((0.15*B2355*5))^0/1)+(((0.15*B2355*5))^1/1)+(((0.15*B2355*5))^2/2)+(((0.15*B2355*5))^3/6)+(((0.15*B2355*5))^4/24)+(((0.15*B2355*5))^5/120))),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329">
      <c r="A2329">
        <f>Skills!A8</f>
        <v/>
      </c>
      <c r="B2329">
        <f>Skills!B8</f>
        <v/>
      </c>
      <c r="C2329">
        <f>Inputs!$B$3&gt;=100</f>
        <v/>
      </c>
      <c r="D2329">
        <f>IF(Skills!C8=1,60+Inputs!$B$25+Inputs!$B$29,IF(Skills!C8=2,90+Inputs!$B$26+Inputs!$B$29,IF(Skills!C8=3,120+Inputs!$B$27+Inputs!$B$29,MAX(0,(Inputs!$B$3-100)*3)+Inputs!$B$28+Inputs!$B$29)))</f>
        <v/>
      </c>
      <c r="E2329">
        <f>INDEX(FactorTable!$B$2:$Y$301, MATCH(ROUND(MIN(300,MAX(1,D2329)),0), FactorTable!$A$2:$A$301,0), Skills!M8+1)</f>
        <v/>
      </c>
      <c r="F2329">
        <f>IF(Skills!N8=TRUE,(Skills!L8/10)*(E2329/1000),Skills!L8/10)+Skills!O8</f>
        <v/>
      </c>
      <c r="G2329" t="inlineStr"/>
      <c r="H2329" t="inlineStr"/>
      <c r="I2329" t="inlineStr">
        <is>
          <t>1</t>
        </is>
      </c>
      <c r="J2329" t="inlineStr"/>
      <c r="K2329" t="inlineStr"/>
      <c r="L2329" t="inlineStr"/>
      <c r="M2329" t="inlineStr"/>
      <c r="N2329" t="inlineStr"/>
      <c r="O2329" t="inlineStr"/>
      <c r="P2329" t="inlineStr"/>
      <c r="Q2329" t="inlineStr"/>
      <c r="R2329" t="inlineStr"/>
      <c r="S2329" t="inlineStr"/>
      <c r="T2329" t="inlineStr"/>
      <c r="V2329" t="inlineStr"/>
    </row>
    <row r="2330">
      <c r="A2330">
        <f>Skills!A9</f>
        <v/>
      </c>
      <c r="B2330">
        <f>Skills!B9</f>
        <v/>
      </c>
      <c r="C2330">
        <f>Inputs!$B$3&gt;=103</f>
        <v/>
      </c>
      <c r="D2330">
        <f>IF(Skills!C9=1,60+Inputs!$B$25+Inputs!$B$29,IF(Skills!C9=2,90+Inputs!$B$26+Inputs!$B$29,IF(Skills!C9=3,120+Inputs!$B$27+Inputs!$B$29,MAX(0,(Inputs!$B$3-100)*3)+Inputs!$B$28+Inputs!$B$29)))</f>
        <v/>
      </c>
      <c r="E2330">
        <f>INDEX(FactorTable!$B$2:$Y$301, MATCH(ROUND(MIN(300,MAX(1,D2330)),0), FactorTable!$A$2:$A$301,0), Skills!M9+1)</f>
        <v/>
      </c>
      <c r="F2330">
        <f>IF(Skills!N9=TRUE,(Skills!L9/10)*(E2330/1000),Skills!L9/10)+Skills!O9</f>
        <v/>
      </c>
      <c r="G2330">
        <f>Skills!G9*IF(Skills!H9&gt;0,Skills!I9/Skills!H9,1)</f>
        <v/>
      </c>
      <c r="H2330">
        <f>1-(1-Skills!J9/100)^Skills!K9</f>
        <v/>
      </c>
      <c r="I2330" t="inlineStr">
        <is>
          <t>1</t>
        </is>
      </c>
      <c r="J2330">
        <f>((Inputs!$B$6*(1+Inputs!$B$7/100))+(((Inputs!$B$12*(1+Inputs!$B$13/100))-(Inputs!$B$12*(1+Inputs!$B$13/100)))+0.25*(Inputs!$B$14-Inputs!$B$14))*(1+Inputs!$B$7/100))*(F2330/100)</f>
        <v/>
      </c>
      <c r="K2330">
        <f>J2330*(1+((Inputs!$B$12*(1+Inputs!$B$13/100))*0.01+Inputs!$B$14*0.0025)/100)*(1+Inputs!$B$15/100)*(1+Inputs!$B$16/100)*(5000/(6000+Inputs!$B$42*(1-(100*(1-(1-(Inputs!$B$19+0)/100)*(1-CHOOSE(ArtifactsInput!$N$40+1,5,6,7,8,9,10)/100)^(ArtifactsInput!$M$40-ArtifactsInput!$M$40)))/100)))*(1+(Inputs!$B$24+((C2345=TRUE)*(F2345-Calc!F24))+((C2346=TRUE)*(F2346-Calc!F25))+B2359)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EMPOWERED_PIERCING_ARROW",Inputs!$B$17+((C2343=TRUE)*(F2343-Calc!F22))+(((IF(AND(ArtifactsInput!$M$42,((Inputs!$B$9+((C2340=TRUE)*(F2340-Calc!F19))+B2353+(ArtifactsInput!$M$24-ArtifactsInput!$M$24)*CHOOSE(ArtifactsInput!$N$24+1,10,12,14,16,18,20)+IF(ArtifactsInput!$M$10,CHOOSE(ArtifactsInput!$N$10+1,15,18,21,24,27,30)*(IF(Inputs!$B$38="pvp",MIN(15,15)/15,IF(AND(Inputs!$B$38&lt;&gt;"pvp",Inputs!$B$43&gt;0),MIN(15,Inputs!$B$43)/(Inputs!$B$43),0))),0)))&gt;=100),MIN(100,((Inputs!$B$9+((C2340=TRUE)*(F2340-Calc!F19))+B2353+(ArtifactsInput!$M$24-ArtifactsInput!$M$24)*CHOOSE(ArtifactsInput!$N$24+1,10,12,14,16,18,20)+IF(ArtifactsInput!$M$10,CHOOSE(ArtifactsInput!$N$10+1,15,18,21,24,27,30)*(IF(Inputs!$B$38="pvp",MIN(15,15)/15,IF(AND(Inputs!$B$38&lt;&gt;"pvp",Inputs!$B$43&gt;0),MIN(15,Inputs!$B$43)/(Inputs!$B$43),0))),0)))-100),0))*CHOOSE(ArtifactsInput!$N$42+1,0.6,0.72,0.84,0.96,1.08,1.2))),Inputs!$B$18+((C2348=TRUE)*(F2348-Calc!F27))+(IF(AND(ArtifactsInput!$M$42,((Inputs!$B$9+((C2340=TRUE)*(F2340-Calc!F19))+B2353+(ArtifactsInput!$M$24-ArtifactsInput!$M$24)*CHOOSE(ArtifactsInput!$N$24+1,10,12,14,16,18,20)+IF(ArtifactsInput!$M$10,CHOOSE(ArtifactsInput!$N$10+1,15,18,21,24,27,30)*(IF(Inputs!$B$38="pvp",MIN(15,15)/15,IF(AND(Inputs!$B$38&lt;&gt;"pvp",Inputs!$B$43&gt;0),MIN(15,Inputs!$B$43)/(Inputs!$B$43),0))),0)))&gt;=100),CHOOSE(ArtifactsInput!$N$42+1,40,48,56,64,72,80),0))))/100)*((1+(((C2334=TRUE)*F2334)+((C2335=TRUE)*IF(Inputs!$B$38="pvp",F2335,(1-Summary!$B$11)*(F2335)+Summary!$B$11*(0)))+((C2336=TRUE)*F2336*IF(AND(Inputs!$B$38&lt;&gt;"pvp",Inputs!$B$43&gt;0),(((R2336-1)*(Skills!T15*(1+Inputs!$B$34/100))+MIN((Skills!T15*(1+Inputs!$B$34/100)),MAX(0,Inputs!$B$43-((R2336-1)*Skills!D15))))/Inputs!$B$43),IF(Inputs!$B$38="pvp",MIN((Skills!T15*(1+Inputs!$B$34/100)),15)/15,(Skills!T15*(1+Inputs!$B$34/100))/Skills!D15)))+((C2333=TRUE)*F2333)+((C2350=TRUE)*(F2350-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2330)</f>
        <v/>
      </c>
      <c r="L2330">
        <f>K2330*(MIN(Inputs!$B$22+((C2344=TRUE)*(F2344-Calc!F23)),(Inputs!$B$23+((C2349=TRUE)*(F2349-Calc!F28))+(IF(ArtifactsInput!$M$15,CHOOSE(ArtifactsInput!$N$15+1,25,30,35,40,45,50)/100*(Inputs!$B$11-Inputs!$B$11),0))))/100+(Inputs!$B$23+((C2349=TRUE)*(F2349-Calc!F28))+(IF(ArtifactsInput!$M$15,CHOOSE(ArtifactsInput!$N$15+1,25,30,35,40,45,50)/100*(Inputs!$B$11-Inputs!$B$11),0)))/100)/2</f>
        <v/>
      </c>
      <c r="M2330">
        <f>L2330*(1+(Inputs!$B$10+0+B2358+(IF(ArtifactsInput!$M$24,CHOOSE(ArtifactsInput!$N$24+1,30,36,42,48,54,60)/100*(Inputs!$B$9-Inputs!$B$9),0)+IF(ArtifactsInput!$M$10,CHOOSE(ArtifactsInput!$N$10+1,20,24,28,32,36,40)*(IF(Inputs!$B$38="pvp",MIN(15,15)/15,IF(AND(Inputs!$B$38&lt;&gt;"pvp",Inputs!$B$43&gt;0),MIN(15,Inputs!$B$43)/(Inputs!$B$43),0))),0)+IF(IF(ArtifactsInput!$M$31,FALSE,TRUE),1.5*CHOOSE(ArtifactsInput!$N$31+1,20,24,28,32,36,40),0)))/100)</f>
        <v/>
      </c>
      <c r="N2330">
        <f>L2330*(1-MIN((Inputs!$B$9+((C2340=TRUE)*(F2340-Calc!F19))+B2353+(ArtifactsInput!$M$24-ArtifactsInput!$M$24)*CHOOSE(ArtifactsInput!$N$24+1,10,12,14,16,18,20)+(IF(AND(ArtifactsInput!$M$42,((Inputs!$B$9+((C2340=TRUE)*(F2340-Calc!F19))+B2353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2330*(MIN((Inputs!$B$9+((C2340=TRUE)*(F2340-Calc!F19))+B2353+(ArtifactsInput!$M$24-ArtifactsInput!$M$24)*CHOOSE(ArtifactsInput!$N$24+1,10,12,14,16,18,20)+(IF(AND(ArtifactsInput!$M$42,((Inputs!$B$9+((C2340=TRUE)*(F2340-Calc!F19))+B2353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330">
        <f>(1-Summary!$B$11)*T2330+Summary!$B$11*V2330</f>
        <v/>
      </c>
      <c r="P2330">
        <f>IF(B2363=0,0,O2330/B2363)</f>
        <v/>
      </c>
      <c r="Q2330">
        <f>IFERROR(1/IF(Inputs!$B$38="pvp",15,MAX(0.1,Skills!D9-IF(Skills!E9=TRUE,Inputs!$B$32,0))),0)</f>
        <v/>
      </c>
      <c r="R2330">
        <f>IF(AND(Inputs!$B$38&lt;&gt;"pvp",Inputs!$B$43&gt;0),IF(MAX(0,Inputs!$B$43-B2360)&lt;=0,0,(INT(MAX(0,Inputs!$B$43-B2360)/IF(Inputs!$B$38="pvp",15,MAX(0.1,Skills!D9-IF(Skills!E9=TRUE,Inputs!$B$32,0))))+1)),0)</f>
        <v/>
      </c>
      <c r="S2330">
        <f>IFERROR((H2330*N2330*IF(AND(Inputs!$B$38&lt;&gt;"pvp",Inputs!$B$43&gt;0),((Skills!G9*((R2330-1)*IF(Skills!H9&gt;0,Skills!I9/Skills!H9,1)+IF(Skills!H9&gt;0,MIN(Skills!I9,MAX(0,MAX(0,Inputs!$B$43-B2360)-((R2330-1)*IF(Inputs!$B$38="pvp",15,MAX(0.1,Skills!D9-IF(Skills!E9=TRUE,Inputs!$B$32,0))))))/Skills!H9,1)))/Inputs!$B$43),G2330*Q2330))/N2330*IF(Inputs!$B$38="pvp",1,(1-Summary!$B$11)*1+Summary!$B$11*(MIN(Skills!R9,Inputs!$B$37))),0)</f>
        <v/>
      </c>
      <c r="T2330">
        <f>IF(C2330,(H2330*N2330*IF(AND(Inputs!$B$38&lt;&gt;"pvp",Inputs!$B$43&gt;0),((Skills!G9*((R2330-1)*IF(Skills!H9&gt;0,Skills!I9/Skills!H9,1)+IF(Skills!H9&gt;0,MIN(Skills!I9,MAX(0,MAX(0,Inputs!$B$43-B2360)-((R2330-1)*IF(Inputs!$B$38="pvp",15,MAX(0.1,Skills!D9-IF(Skills!E9=TRUE,Inputs!$B$32,0))))))/Skills!H9,1)))/Inputs!$B$43),G2330*Q2330))*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Hunt"),CHOOSE(ArtifactsInput!$N$35+1,15,18,21,24,27,30)*(1-EXP(-(0.2*B2355)*5)),0)+IF(AND(ArtifactsInput!$M$22,Inputs!$B$4&lt;&gt;"Chapter Hunt"),CHOOSE(ArtifactsInput!$N$22+1,10,12,14,16,18,20)*((0*(((0.15*B2355*5))^0/1)+1*(((0.15*B2355*5))^1/1)+2*(((0.15*B2355*5))^2/2)+3*(((0.15*B2355*5))^3/6)+4*(((0.15*B2355*5))^4/24)+5*(((0.15*B2355*5))^5/120))/((((0.15*B2355*5))^0/1)+(((0.15*B2355*5))^1/1)+(((0.15*B2355*5))^2/2)+(((0.15*B2355*5))^3/6)+(((0.15*B2355*5))^4/24)+(((0.15*B2355*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2330*(1-MIN(100,(Inputs!$B$9+((C2340=TRUE)*(F2340-Calc!F19))+B2353+(ArtifactsInput!$M$24-ArtifactsInput!$M$24)*CHOOSE(ArtifactsInput!$N$24+1,10,12,14,16,18,20)+(IF(AND(ArtifactsInput!$M$42,((Inputs!$B$9+((C2340=TRUE)*(F2340-Calc!F19))+B2353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2330*(MIN(100,(Inputs!$B$9+((C2340=TRUE)*(F2340-Calc!F19))+B2353+(ArtifactsInput!$M$24-ArtifactsInput!$M$24)*CHOOSE(ArtifactsInput!$N$24+1,10,12,14,16,18,20)+(IF(AND(ArtifactsInput!$M$42,((Inputs!$B$9+((C2340=TRUE)*(F2340-Calc!F19))+B2353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2330*(1-MIN(100,(Inputs!$B$9+((C2340=TRUE)*(F2340-Calc!F19))+B2353+(ArtifactsInput!$M$24-ArtifactsInput!$M$24)*CHOOSE(ArtifactsInput!$N$24+1,10,12,14,16,18,20)+(IF(AND(ArtifactsInput!$M$42,((Inputs!$B$9+((C2340=TRUE)*(F2340-Calc!F19))+B2353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2330*(MIN(100,(Inputs!$B$9+((C2340=TRUE)*(F2340-Calc!F19))+B2353+(ArtifactsInput!$M$24-ArtifactsInput!$M$24)*CHOOSE(ArtifactsInput!$N$24+1,10,12,14,16,18,20)+(IF(AND(ArtifactsInput!$M$42,((Inputs!$B$9+((C2340=TRUE)*(F2340-Calc!F19))+B2353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330">
        <f>IF(C2330,(H2330*N2330*IF(AND(Inputs!$B$38&lt;&gt;"pvp",Inputs!$B$43&gt;0),((Skills!G9*((R2330-1)*IF(Skills!H9&gt;0,Skills!I9/Skills!H9,1)+IF(Skills!H9&gt;0,MIN(Skills!I9,MAX(0,MAX(0,Inputs!$B$43-B2360)-((R2330-1)*IF(Inputs!$B$38="pvp",15,MAX(0.1,Skills!D9-IF(Skills!E9=TRUE,Inputs!$B$32,0))))))/Skills!H9,1)))/Inputs!$B$43),G2330*Q2330))*IF(Inputs!$B$38="pvp",1,(1+(Inputs!$B$21+Skills!Q9+(IF(ArtifactsInput!$M$33,CHOOSE(ArtifactsInput!$N$33+1,30,36,42,48,54,60),0))+(IF(AND(ArtifactsInput!$M$35,Inputs!$B$4&lt;&gt;"Chapter Hunt"),CHOOSE(ArtifactsInput!$N$35+1,15,18,21,24,27,30)*(1-EXP(-(0.2*B2355)*5)),0)+IF(AND(ArtifactsInput!$M$22,Inputs!$B$4&lt;&gt;"Chapter Hunt"),CHOOSE(ArtifactsInput!$N$22+1,10,12,14,16,18,20)*((0*(((0.15*B2355*5))^0/1)+1*(((0.15*B2355*5))^1/1)+2*(((0.15*B2355*5))^2/2)+3*(((0.15*B2355*5))^3/6)+4*(((0.15*B2355*5))^4/24)+5*(((0.15*B2355*5))^5/120))/((((0.15*B2355*5))^0/1)+(((0.15*B2355*5))^1/1)+(((0.15*B2355*5))^2/2)+(((0.15*B2355*5))^3/6)+(((0.15*B2355*5))^4/24)+(((0.15*B2355*5))^5/120)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331">
      <c r="A2331">
        <f>Skills!A10</f>
        <v/>
      </c>
      <c r="B2331">
        <f>Skills!B10</f>
        <v/>
      </c>
      <c r="C2331">
        <f>Inputs!$B$3&gt;=107</f>
        <v/>
      </c>
      <c r="D2331">
        <f>IF(Skills!C10=1,60+Inputs!$B$25+Inputs!$B$29,IF(Skills!C10=2,90+Inputs!$B$26+Inputs!$B$29,IF(Skills!C10=3,120+Inputs!$B$27+Inputs!$B$29,MAX(0,(Inputs!$B$3-100)*3)+Inputs!$B$28+Inputs!$B$29)))</f>
        <v/>
      </c>
      <c r="E2331">
        <f>INDEX(FactorTable!$B$2:$Y$301, MATCH(ROUND(MIN(300,MAX(1,D2331)),0), FactorTable!$A$2:$A$301,0), Skills!M10+1)</f>
        <v/>
      </c>
      <c r="F2331">
        <f>IF(Skills!N10=TRUE,(Skills!L10/10)*(E2331/1000),Skills!L10/10)+Skills!O10</f>
        <v/>
      </c>
      <c r="G2331">
        <f>Skills!G10*IF(Skills!H10&gt;0,Skills!I10/Skills!H10,1)</f>
        <v/>
      </c>
      <c r="H2331">
        <f>1-(1-Skills!J10/100)^Skills!K10</f>
        <v/>
      </c>
      <c r="I2331" t="inlineStr">
        <is>
          <t>1</t>
        </is>
      </c>
      <c r="J2331">
        <f>((Inputs!$B$6*(1+Inputs!$B$7/100))+(((Inputs!$B$12*(1+Inputs!$B$13/100))-(Inputs!$B$12*(1+Inputs!$B$13/100)))+0.25*(Inputs!$B$14-Inputs!$B$14))*(1+Inputs!$B$7/100))*(F2331/100)</f>
        <v/>
      </c>
      <c r="K2331">
        <f>J2331*(1+((Inputs!$B$12*(1+Inputs!$B$13/100))*0.01+Inputs!$B$14*0.0025)/100)*(1+Inputs!$B$15/100)*(1+Inputs!$B$16/100)*(5000/(6000+Inputs!$B$42*(1-(100*(1-(1-(Inputs!$B$19+0)/100)*(1-CHOOSE(ArtifactsInput!$N$40+1,5,6,7,8,9,10)/100)^(ArtifactsInput!$M$40-ArtifactsInput!$M$40)))/100)))*(1+(Inputs!$B$24+((C2345=TRUE)*(F2345-Calc!F24))+((C2346=TRUE)*(F2346-Calc!F25))+B2359)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EMPOWERED_PIERCING_ARROW",Inputs!$B$17+((C2343=TRUE)*(F2343-Calc!F22))+(((IF(AND(ArtifactsInput!$M$42,((Inputs!$B$9+((C2340=TRUE)*(F2340-Calc!F19))+B2353+(ArtifactsInput!$M$24-ArtifactsInput!$M$24)*CHOOSE(ArtifactsInput!$N$24+1,10,12,14,16,18,20)+IF(ArtifactsInput!$M$10,CHOOSE(ArtifactsInput!$N$10+1,15,18,21,24,27,30)*(IF(Inputs!$B$38="pvp",MIN(15,15)/15,IF(AND(Inputs!$B$38&lt;&gt;"pvp",Inputs!$B$43&gt;0),MIN(15,Inputs!$B$43)/(Inputs!$B$43),0))),0)))&gt;=100),MIN(100,((Inputs!$B$9+((C2340=TRUE)*(F2340-Calc!F19))+B2353+(ArtifactsInput!$M$24-ArtifactsInput!$M$24)*CHOOSE(ArtifactsInput!$N$24+1,10,12,14,16,18,20)+IF(ArtifactsInput!$M$10,CHOOSE(ArtifactsInput!$N$10+1,15,18,21,24,27,30)*(IF(Inputs!$B$38="pvp",MIN(15,15)/15,IF(AND(Inputs!$B$38&lt;&gt;"pvp",Inputs!$B$43&gt;0),MIN(15,Inputs!$B$43)/(Inputs!$B$43),0))),0)))-100),0))*CHOOSE(ArtifactsInput!$N$42+1,0.6,0.72,0.84,0.96,1.08,1.2))),Inputs!$B$18+((C2348=TRUE)*(F2348-Calc!F27))+(IF(AND(ArtifactsInput!$M$42,((Inputs!$B$9+((C2340=TRUE)*(F2340-Calc!F19))+B2353+(ArtifactsInput!$M$24-ArtifactsInput!$M$24)*CHOOSE(ArtifactsInput!$N$24+1,10,12,14,16,18,20)+IF(ArtifactsInput!$M$10,CHOOSE(ArtifactsInput!$N$10+1,15,18,21,24,27,30)*(IF(Inputs!$B$38="pvp",MIN(15,15)/15,IF(AND(Inputs!$B$38&lt;&gt;"pvp",Inputs!$B$43&gt;0),MIN(15,Inputs!$B$43)/(Inputs!$B$43),0))),0)))&gt;=100),CHOOSE(ArtifactsInput!$N$42+1,40,48,56,64,72,80),0))))/100)*((1+(((C2334=TRUE)*F2334)+((C2335=TRUE)*IF(Inputs!$B$38="pvp",F2335,(1-Summary!$B$11)*(F2335)+Summary!$B$11*(0)))+((C2336=TRUE)*F2336*IF(AND(Inputs!$B$38&lt;&gt;"pvp",Inputs!$B$43&gt;0),(((R2336-1)*(Skills!T15*(1+Inputs!$B$34/100))+MIN((Skills!T15*(1+Inputs!$B$34/100)),MAX(0,Inputs!$B$43-((R2336-1)*Skills!D15))))/Inputs!$B$43),IF(Inputs!$B$38="pvp",MIN((Skills!T15*(1+Inputs!$B$34/100)),15)/15,(Skills!T15*(1+Inputs!$B$34/100))/Skills!D15)))+((C2333=TRUE)*F2333)+((C2350=TRUE)*(F2350-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2331)</f>
        <v/>
      </c>
      <c r="L2331">
        <f>K2331*(MIN(Inputs!$B$22+((C2344=TRUE)*(F2344-Calc!F23)),(Inputs!$B$23+((C2349=TRUE)*(F2349-Calc!F28))+(IF(ArtifactsInput!$M$15,CHOOSE(ArtifactsInput!$N$15+1,25,30,35,40,45,50)/100*(Inputs!$B$11-Inputs!$B$11),0))))/100+(Inputs!$B$23+((C2349=TRUE)*(F2349-Calc!F28))+(IF(ArtifactsInput!$M$15,CHOOSE(ArtifactsInput!$N$15+1,25,30,35,40,45,50)/100*(Inputs!$B$11-Inputs!$B$11),0)))/100)/2</f>
        <v/>
      </c>
      <c r="M2331">
        <f>L2331*(1+(Inputs!$B$10+0+B2358+(IF(ArtifactsInput!$M$24,CHOOSE(ArtifactsInput!$N$24+1,30,36,42,48,54,60)/100*(Inputs!$B$9-Inputs!$B$9),0)+IF(ArtifactsInput!$M$10,CHOOSE(ArtifactsInput!$N$10+1,20,24,28,32,36,40)*(IF(Inputs!$B$38="pvp",MIN(15,15)/15,IF(AND(Inputs!$B$38&lt;&gt;"pvp",Inputs!$B$43&gt;0),MIN(15,Inputs!$B$43)/(Inputs!$B$43),0))),0)+IF(IF(ArtifactsInput!$M$31,FALSE,TRUE),1.5*CHOOSE(ArtifactsInput!$N$31+1,20,24,28,32,36,40),0)))/100)</f>
        <v/>
      </c>
      <c r="N2331">
        <f>L2331*(1-MIN((Inputs!$B$9+((C2340=TRUE)*(F2340-Calc!F19))+B2353+(ArtifactsInput!$M$24-ArtifactsInput!$M$24)*CHOOSE(ArtifactsInput!$N$24+1,10,12,14,16,18,20)+(IF(AND(ArtifactsInput!$M$42,((Inputs!$B$9+((C2340=TRUE)*(F2340-Calc!F19))+B2353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2331*(MIN((Inputs!$B$9+((C2340=TRUE)*(F2340-Calc!F19))+B2353+(ArtifactsInput!$M$24-ArtifactsInput!$M$24)*CHOOSE(ArtifactsInput!$N$24+1,10,12,14,16,18,20)+(IF(AND(ArtifactsInput!$M$42,((Inputs!$B$9+((C2340=TRUE)*(F2340-Calc!F19))+B2353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331">
        <f>(1-Summary!$B$11)*T2331+Summary!$B$11*V2331</f>
        <v/>
      </c>
      <c r="P2331">
        <f>IF(B2363=0,0,O2331/B2363)</f>
        <v/>
      </c>
      <c r="Q2331" t="n">
        <v>0</v>
      </c>
      <c r="R2331" t="n">
        <v>0</v>
      </c>
      <c r="S2331" t="n">
        <v>0</v>
      </c>
      <c r="T2331">
        <f>IF(C2331,(0.15*SUMPRODUCT((Skills!U2:U29=TRUE)*(C2323:C2350=TRUE)*S2323:S2350)*Skills!G10*N2331)*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Hunt"),CHOOSE(ArtifactsInput!$N$35+1,15,18,21,24,27,30)*(1-EXP(-(0.2*B2355)*5)),0)+IF(AND(ArtifactsInput!$M$22,Inputs!$B$4&lt;&gt;"Chapter Hunt"),CHOOSE(ArtifactsInput!$N$22+1,10,12,14,16,18,20)*((0*(((0.15*B2355*5))^0/1)+1*(((0.15*B2355*5))^1/1)+2*(((0.15*B2355*5))^2/2)+3*(((0.15*B2355*5))^3/6)+4*(((0.15*B2355*5))^4/24)+5*(((0.15*B2355*5))^5/120))/((((0.15*B2355*5))^0/1)+(((0.15*B2355*5))^1/1)+(((0.15*B2355*5))^2/2)+(((0.15*B2355*5))^3/6)+(((0.15*B2355*5))^4/24)+(((0.15*B2355*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2331*(1-MIN(100,(Inputs!$B$9+((C2340=TRUE)*(F2340-Calc!F19))+B2353+(ArtifactsInput!$M$24-ArtifactsInput!$M$24)*CHOOSE(ArtifactsInput!$N$24+1,10,12,14,16,18,20)+(IF(AND(ArtifactsInput!$M$42,((Inputs!$B$9+((C2340=TRUE)*(F2340-Calc!F19))+B2353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2331*(MIN(100,(Inputs!$B$9+((C2340=TRUE)*(F2340-Calc!F19))+B2353+(ArtifactsInput!$M$24-ArtifactsInput!$M$24)*CHOOSE(ArtifactsInput!$N$24+1,10,12,14,16,18,20)+(IF(AND(ArtifactsInput!$M$42,((Inputs!$B$9+((C2340=TRUE)*(F2340-Calc!F19))+B2353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2331*(1-MIN(100,(Inputs!$B$9+((C2340=TRUE)*(F2340-Calc!F19))+B2353+(ArtifactsInput!$M$24-ArtifactsInput!$M$24)*CHOOSE(ArtifactsInput!$N$24+1,10,12,14,16,18,20)+(IF(AND(ArtifactsInput!$M$42,((Inputs!$B$9+((C2340=TRUE)*(F2340-Calc!F19))+B2353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2331*(MIN(100,(Inputs!$B$9+((C2340=TRUE)*(F2340-Calc!F19))+B2353+(ArtifactsInput!$M$24-ArtifactsInput!$M$24)*CHOOSE(ArtifactsInput!$N$24+1,10,12,14,16,18,20)+(IF(AND(ArtifactsInput!$M$42,((Inputs!$B$9+((C2340=TRUE)*(F2340-Calc!F19))+B2353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331">
        <f>IF(C2331,(0.15*SUMPRODUCT((Skills!U2:U29=TRUE)*(C2323:C2350=TRUE)*S2323:S2350)*Skills!G10*N2331)*IF(Inputs!$B$38="pvp",1,(1+(Inputs!$B$21+Skills!Q10+(IF(ArtifactsInput!$M$33,CHOOSE(ArtifactsInput!$N$33+1,30,36,42,48,54,60),0))+(IF(AND(ArtifactsInput!$M$35,Inputs!$B$4&lt;&gt;"Chapter Hunt"),CHOOSE(ArtifactsInput!$N$35+1,15,18,21,24,27,30)*(1-EXP(-(0.2*B2355)*5)),0)+IF(AND(ArtifactsInput!$M$22,Inputs!$B$4&lt;&gt;"Chapter Hunt"),CHOOSE(ArtifactsInput!$N$22+1,10,12,14,16,18,20)*((0*(((0.15*B2355*5))^0/1)+1*(((0.15*B2355*5))^1/1)+2*(((0.15*B2355*5))^2/2)+3*(((0.15*B2355*5))^3/6)+4*(((0.15*B2355*5))^4/24)+5*(((0.15*B2355*5))^5/120))/((((0.15*B2355*5))^0/1)+(((0.15*B2355*5))^1/1)+(((0.15*B2355*5))^2/2)+(((0.15*B2355*5))^3/6)+(((0.15*B2355*5))^4/24)+(((0.15*B2355*5))^5/120)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332">
      <c r="A2332">
        <f>Skills!A11</f>
        <v/>
      </c>
      <c r="B2332">
        <f>Skills!B11</f>
        <v/>
      </c>
      <c r="C2332">
        <f>Inputs!$B$3&gt;=110</f>
        <v/>
      </c>
      <c r="D2332">
        <f>IF(Skills!C11=1,60+Inputs!$B$25+Inputs!$B$29,IF(Skills!C11=2,90+Inputs!$B$26+Inputs!$B$29,IF(Skills!C11=3,120+Inputs!$B$27+Inputs!$B$29,MAX(0,(Inputs!$B$3-100)*3)+Inputs!$B$28+Inputs!$B$29)))</f>
        <v/>
      </c>
      <c r="E2332">
        <f>INDEX(FactorTable!$B$2:$Y$301, MATCH(ROUND(MIN(300,MAX(1,D2332)),0), FactorTable!$A$2:$A$301,0), Skills!M11+1)</f>
        <v/>
      </c>
      <c r="F2332">
        <f>IF(Skills!N11=TRUE,(Skills!L11/10)*(E2332/1000),Skills!L11/10)+Skills!O11</f>
        <v/>
      </c>
      <c r="G2332">
        <f>Skills!G11*IF(Skills!H11&gt;0,Skills!I11/Skills!H11,1)</f>
        <v/>
      </c>
      <c r="H2332">
        <f>1-(1-Skills!J11/100)^Skills!K11</f>
        <v/>
      </c>
      <c r="I2332" t="inlineStr">
        <is>
          <t>1</t>
        </is>
      </c>
      <c r="J2332">
        <f>((Inputs!$B$6*(1+Inputs!$B$7/100))+(((Inputs!$B$12*(1+Inputs!$B$13/100))-(Inputs!$B$12*(1+Inputs!$B$13/100)))+0.25*(Inputs!$B$14-Inputs!$B$14))*(1+Inputs!$B$7/100))*(F2332/100)</f>
        <v/>
      </c>
      <c r="K2332">
        <f>J2332*(1+((Inputs!$B$12*(1+Inputs!$B$13/100))*0.01+Inputs!$B$14*0.0025)/100)*(1+Inputs!$B$15/100)*(1+Inputs!$B$16/100)*(5000/(6000+Inputs!$B$42*(1-(100*(1-(1-(Inputs!$B$19+0)/100)*(1-CHOOSE(ArtifactsInput!$N$40+1,5,6,7,8,9,10)/100)^(ArtifactsInput!$M$40-ArtifactsInput!$M$40)))/100)))*(1+(Inputs!$B$24+((C2345=TRUE)*(F2345-Calc!F24))+((C2346=TRUE)*(F2346-Calc!F25))+B2359)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11="EMPOWERED_PIERCING_ARROW",Inputs!$B$17+((C2343=TRUE)*(F2343-Calc!F22))+(((IF(AND(ArtifactsInput!$M$42,((Inputs!$B$9+((C2340=TRUE)*(F2340-Calc!F19))+B2353+(ArtifactsInput!$M$24-ArtifactsInput!$M$24)*CHOOSE(ArtifactsInput!$N$24+1,10,12,14,16,18,20)+IF(ArtifactsInput!$M$10,CHOOSE(ArtifactsInput!$N$10+1,15,18,21,24,27,30)*(IF(Inputs!$B$38="pvp",MIN(15,15)/15,IF(AND(Inputs!$B$38&lt;&gt;"pvp",Inputs!$B$43&gt;0),MIN(15,Inputs!$B$43)/(Inputs!$B$43),0))),0)))&gt;=100),MIN(100,((Inputs!$B$9+((C2340=TRUE)*(F2340-Calc!F19))+B2353+(ArtifactsInput!$M$24-ArtifactsInput!$M$24)*CHOOSE(ArtifactsInput!$N$24+1,10,12,14,16,18,20)+IF(ArtifactsInput!$M$10,CHOOSE(ArtifactsInput!$N$10+1,15,18,21,24,27,30)*(IF(Inputs!$B$38="pvp",MIN(15,15)/15,IF(AND(Inputs!$B$38&lt;&gt;"pvp",Inputs!$B$43&gt;0),MIN(15,Inputs!$B$43)/(Inputs!$B$43),0))),0)))-100),0))*CHOOSE(ArtifactsInput!$N$42+1,0.6,0.72,0.84,0.96,1.08,1.2))),Inputs!$B$18+((C2348=TRUE)*(F2348-Calc!F27))+(IF(AND(ArtifactsInput!$M$42,((Inputs!$B$9+((C2340=TRUE)*(F2340-Calc!F19))+B2353+(ArtifactsInput!$M$24-ArtifactsInput!$M$24)*CHOOSE(ArtifactsInput!$N$24+1,10,12,14,16,18,20)+IF(ArtifactsInput!$M$10,CHOOSE(ArtifactsInput!$N$10+1,15,18,21,24,27,30)*(IF(Inputs!$B$38="pvp",MIN(15,15)/15,IF(AND(Inputs!$B$38&lt;&gt;"pvp",Inputs!$B$43&gt;0),MIN(15,Inputs!$B$43)/(Inputs!$B$43),0))),0)))&gt;=100),CHOOSE(ArtifactsInput!$N$42+1,40,48,56,64,72,80),0))))/100)*((1+(((C2334=TRUE)*F2334)+((C2335=TRUE)*IF(Inputs!$B$38="pvp",F2335,(1-Summary!$B$11)*(F2335)+Summary!$B$11*(0)))+((C2336=TRUE)*F2336*IF(AND(Inputs!$B$38&lt;&gt;"pvp",Inputs!$B$43&gt;0),(((R2336-1)*(Skills!T15*(1+Inputs!$B$34/100))+MIN((Skills!T15*(1+Inputs!$B$34/100)),MAX(0,Inputs!$B$43-((R2336-1)*Skills!D15))))/Inputs!$B$43),IF(Inputs!$B$38="pvp",MIN((Skills!T15*(1+Inputs!$B$34/100)),15)/15,(Skills!T15*(1+Inputs!$B$34/100))/Skills!D15)))+((C2333=TRUE)*F2333)+((C2350=TRUE)*(F2350-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2332)</f>
        <v/>
      </c>
      <c r="L2332">
        <f>K2332*(MIN(Inputs!$B$22+((C2344=TRUE)*(F2344-Calc!F23)),(Inputs!$B$23+((C2349=TRUE)*(F2349-Calc!F28))+(IF(ArtifactsInput!$M$15,CHOOSE(ArtifactsInput!$N$15+1,25,30,35,40,45,50)/100*(Inputs!$B$11-Inputs!$B$11),0))))/100+(Inputs!$B$23+((C2349=TRUE)*(F2349-Calc!F28))+(IF(ArtifactsInput!$M$15,CHOOSE(ArtifactsInput!$N$15+1,25,30,35,40,45,50)/100*(Inputs!$B$11-Inputs!$B$11),0)))/100)/2</f>
        <v/>
      </c>
      <c r="M2332">
        <f>L2332*(1+(Inputs!$B$10+0+B2358+(IF(ArtifactsInput!$M$24,CHOOSE(ArtifactsInput!$N$24+1,30,36,42,48,54,60)/100*(Inputs!$B$9-Inputs!$B$9),0)+IF(ArtifactsInput!$M$10,CHOOSE(ArtifactsInput!$N$10+1,20,24,28,32,36,40)*(IF(Inputs!$B$38="pvp",MIN(15,15)/15,IF(AND(Inputs!$B$38&lt;&gt;"pvp",Inputs!$B$43&gt;0),MIN(15,Inputs!$B$43)/(Inputs!$B$43),0))),0)+IF(IF(ArtifactsInput!$M$31,FALSE,TRUE),1.5*CHOOSE(ArtifactsInput!$N$31+1,20,24,28,32,36,40),0)))/100)</f>
        <v/>
      </c>
      <c r="N2332">
        <f>L2332*(1-MIN((Inputs!$B$9+((C2340=TRUE)*(F2340-Calc!F19))+B2353+(ArtifactsInput!$M$24-ArtifactsInput!$M$24)*CHOOSE(ArtifactsInput!$N$24+1,10,12,14,16,18,20)+(IF(AND(ArtifactsInput!$M$42,((Inputs!$B$9+((C2340=TRUE)*(F2340-Calc!F19))+B2353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2332*(MIN((Inputs!$B$9+((C2340=TRUE)*(F2340-Calc!F19))+B2353+(ArtifactsInput!$M$24-ArtifactsInput!$M$24)*CHOOSE(ArtifactsInput!$N$24+1,10,12,14,16,18,20)+(IF(AND(ArtifactsInput!$M$42,((Inputs!$B$9+((C2340=TRUE)*(F2340-Calc!F19))+B2353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332">
        <f>(1-Summary!$B$11)*T2332+Summary!$B$11*V2332</f>
        <v/>
      </c>
      <c r="P2332">
        <f>IF(B2363=0,0,O2332/B2363)</f>
        <v/>
      </c>
      <c r="Q2332">
        <f>IFERROR(1/IF(Inputs!$B$38="pvp",15,MAX(0.1,Skills!D11-IF(Skills!E11=TRUE,Inputs!$B$32,0))),0)</f>
        <v/>
      </c>
      <c r="R2332">
        <f>IF(AND(Inputs!$B$38&lt;&gt;"pvp",Inputs!$B$43&gt;0),IF(MAX(0,Inputs!$B$43-B2360)&lt;=0,0,(INT(MAX(0,Inputs!$B$43-B2360)/IF(Inputs!$B$38="pvp",15,MAX(0.1,Skills!D11-IF(Skills!E11=TRUE,Inputs!$B$32,0))))+1)),0)</f>
        <v/>
      </c>
      <c r="S2332">
        <f>IFERROR((H2332*N2332*IF(AND(Inputs!$B$38&lt;&gt;"pvp",Inputs!$B$43&gt;0),((Skills!G11*((R2332-1)*IF(Skills!H11&gt;0,Skills!I11/Skills!H11,1)+IF(Skills!H11&gt;0,MIN(Skills!I11,MAX(0,MAX(0,Inputs!$B$43-B2360)-((R2332-1)*IF(Inputs!$B$38="pvp",15,MAX(0.1,Skills!D11-IF(Skills!E11=TRUE,Inputs!$B$32,0))))))/Skills!H11,1)))/Inputs!$B$43),G2332*Q2332))/N2332*IF(Inputs!$B$38="pvp",1,(1-Summary!$B$11)*1+Summary!$B$11*(MIN(Skills!R11,Inputs!$B$37))),0)</f>
        <v/>
      </c>
      <c r="T2332">
        <f>IF(C2332,(H2332*N2332*IF(AND(Inputs!$B$38&lt;&gt;"pvp",Inputs!$B$43&gt;0),((Skills!G11*((R2332-1)*IF(Skills!H11&gt;0,Skills!I11/Skills!H11,1)+IF(Skills!H11&gt;0,MIN(Skills!I11,MAX(0,MAX(0,Inputs!$B$43-B2360)-((R2332-1)*IF(Inputs!$B$38="pvp",15,MAX(0.1,Skills!D11-IF(Skills!E11=TRUE,Inputs!$B$32,0))))))/Skills!H11,1)))/Inputs!$B$43),G2332*Q2332))*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Hunt"),CHOOSE(ArtifactsInput!$N$35+1,15,18,21,24,27,30)*(1-EXP(-(0.2*B2355)*5)),0)+IF(AND(ArtifactsInput!$M$22,Inputs!$B$4&lt;&gt;"Chapter Hunt"),CHOOSE(ArtifactsInput!$N$22+1,10,12,14,16,18,20)*((0*(((0.15*B2355*5))^0/1)+1*(((0.15*B2355*5))^1/1)+2*(((0.15*B2355*5))^2/2)+3*(((0.15*B2355*5))^3/6)+4*(((0.15*B2355*5))^4/24)+5*(((0.15*B2355*5))^5/120))/((((0.15*B2355*5))^0/1)+(((0.15*B2355*5))^1/1)+(((0.15*B2355*5))^2/2)+(((0.15*B2355*5))^3/6)+(((0.15*B2355*5))^4/24)+(((0.15*B2355*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2332*(1-MIN(100,(Inputs!$B$9+((C2340=TRUE)*(F2340-Calc!F19))+B2353+(ArtifactsInput!$M$24-ArtifactsInput!$M$24)*CHOOSE(ArtifactsInput!$N$24+1,10,12,14,16,18,20)+(IF(AND(ArtifactsInput!$M$42,((Inputs!$B$9+((C2340=TRUE)*(F2340-Calc!F19))+B2353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2332*(MIN(100,(Inputs!$B$9+((C2340=TRUE)*(F2340-Calc!F19))+B2353+(ArtifactsInput!$M$24-ArtifactsInput!$M$24)*CHOOSE(ArtifactsInput!$N$24+1,10,12,14,16,18,20)+(IF(AND(ArtifactsInput!$M$42,((Inputs!$B$9+((C2340=TRUE)*(F2340-Calc!F19))+B2353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2332*(1-MIN(100,(Inputs!$B$9+((C2340=TRUE)*(F2340-Calc!F19))+B2353+(ArtifactsInput!$M$24-ArtifactsInput!$M$24)*CHOOSE(ArtifactsInput!$N$24+1,10,12,14,16,18,20)+(IF(AND(ArtifactsInput!$M$42,((Inputs!$B$9+((C2340=TRUE)*(F2340-Calc!F19))+B2353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2332*(MIN(100,(Inputs!$B$9+((C2340=TRUE)*(F2340-Calc!F19))+B2353+(ArtifactsInput!$M$24-ArtifactsInput!$M$24)*CHOOSE(ArtifactsInput!$N$24+1,10,12,14,16,18,20)+(IF(AND(ArtifactsInput!$M$42,((Inputs!$B$9+((C2340=TRUE)*(F2340-Calc!F19))+B2353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332">
        <f>IF(C2332,(H2332*N2332*IF(AND(Inputs!$B$38&lt;&gt;"pvp",Inputs!$B$43&gt;0),((Skills!G11*((R2332-1)*IF(Skills!H11&gt;0,Skills!I11/Skills!H11,1)+IF(Skills!H11&gt;0,MIN(Skills!I11,MAX(0,MAX(0,Inputs!$B$43-B2360)-((R2332-1)*IF(Inputs!$B$38="pvp",15,MAX(0.1,Skills!D11-IF(Skills!E11=TRUE,Inputs!$B$32,0))))))/Skills!H11,1)))/Inputs!$B$43),G2332*Q2332))*IF(Inputs!$B$38="pvp",1,(1+(Inputs!$B$21+Skills!Q11+(IF(ArtifactsInput!$M$33,CHOOSE(ArtifactsInput!$N$33+1,30,36,42,48,54,60),0))+(IF(AND(ArtifactsInput!$M$35,Inputs!$B$4&lt;&gt;"Chapter Hunt"),CHOOSE(ArtifactsInput!$N$35+1,15,18,21,24,27,30)*(1-EXP(-(0.2*B2355)*5)),0)+IF(AND(ArtifactsInput!$M$22,Inputs!$B$4&lt;&gt;"Chapter Hunt"),CHOOSE(ArtifactsInput!$N$22+1,10,12,14,16,18,20)*((0*(((0.15*B2355*5))^0/1)+1*(((0.15*B2355*5))^1/1)+2*(((0.15*B2355*5))^2/2)+3*(((0.15*B2355*5))^3/6)+4*(((0.15*B2355*5))^4/24)+5*(((0.15*B2355*5))^5/120))/((((0.15*B2355*5))^0/1)+(((0.15*B2355*5))^1/1)+(((0.15*B2355*5))^2/2)+(((0.15*B2355*5))^3/6)+(((0.15*B2355*5))^4/24)+(((0.15*B2355*5))^5/120))),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333">
      <c r="A2333">
        <f>Skills!A12</f>
        <v/>
      </c>
      <c r="B2333">
        <f>Skills!B12</f>
        <v/>
      </c>
      <c r="C2333">
        <f>Inputs!$B$3&gt;=60</f>
        <v/>
      </c>
      <c r="D2333">
        <f>IF(Skills!C12=1,60+Inputs!$B$25+Inputs!$B$29,IF(Skills!C12=2,90+Inputs!$B$26+Inputs!$B$29,IF(Skills!C12=3,120+Inputs!$B$27+Inputs!$B$29,MAX(0,(Inputs!$B$3-100)*3)+Inputs!$B$28+Inputs!$B$29)))</f>
        <v/>
      </c>
      <c r="E2333">
        <f>INDEX(FactorTable!$B$2:$Y$301, MATCH(ROUND(MIN(300,MAX(1,D2333)),0), FactorTable!$A$2:$A$301,0), Skills!M12+1)</f>
        <v/>
      </c>
      <c r="F2333">
        <f>IF(Skills!N12=TRUE,(Skills!L12/10)*(E2333/1000),Skills!L12/10)+Skills!O12</f>
        <v/>
      </c>
      <c r="G2333">
        <f>Skills!G12*IF(Skills!H12&gt;0,Skills!I12/Skills!H12,1)</f>
        <v/>
      </c>
      <c r="H2333">
        <f>1-(1-Skills!J12/100)^Skills!K12</f>
        <v/>
      </c>
      <c r="I2333" t="inlineStr">
        <is>
          <t>1</t>
        </is>
      </c>
      <c r="J2333" t="inlineStr"/>
      <c r="K2333" t="inlineStr"/>
      <c r="L2333" t="inlineStr"/>
      <c r="M2333" t="inlineStr"/>
      <c r="N2333" t="inlineStr"/>
      <c r="O2333">
        <f>(1-Summary!$B$11)*T2333+Summary!$B$11*V2333</f>
        <v/>
      </c>
      <c r="P2333">
        <f>IF(B2363=0,0,O2333/B2363)</f>
        <v/>
      </c>
      <c r="Q2333" t="n">
        <v>0</v>
      </c>
      <c r="R2333" t="n">
        <v>0</v>
      </c>
      <c r="S2333" t="n">
        <v>0</v>
      </c>
      <c r="T2333" t="n">
        <v>0</v>
      </c>
      <c r="V2333" t="n">
        <v>0</v>
      </c>
    </row>
    <row r="2334">
      <c r="A2334">
        <f>Skills!A13</f>
        <v/>
      </c>
      <c r="B2334">
        <f>Skills!B13</f>
        <v/>
      </c>
      <c r="C2334">
        <f>Inputs!$B$3&gt;=74</f>
        <v/>
      </c>
      <c r="D2334">
        <f>IF(Skills!C13=1,60+Inputs!$B$25+Inputs!$B$29,IF(Skills!C13=2,90+Inputs!$B$26+Inputs!$B$29,IF(Skills!C13=3,120+Inputs!$B$27+Inputs!$B$29,MAX(0,(Inputs!$B$3-100)*3)+Inputs!$B$28+Inputs!$B$29)))</f>
        <v/>
      </c>
      <c r="E2334">
        <f>INDEX(FactorTable!$B$2:$Y$301, MATCH(ROUND(MIN(300,MAX(1,D2334)),0), FactorTable!$A$2:$A$301,0), Skills!M13+1)</f>
        <v/>
      </c>
      <c r="F2334">
        <f>IF(Skills!N13=TRUE,(Skills!L13/10)*(E2334/1000),Skills!L13/10)+Skills!O13</f>
        <v/>
      </c>
      <c r="G2334">
        <f>Skills!G13*IF(Skills!H13&gt;0,Skills!I13/Skills!H13,1)</f>
        <v/>
      </c>
      <c r="H2334">
        <f>1-(1-Skills!J13/100)^Skills!K13</f>
        <v/>
      </c>
      <c r="I2334" t="inlineStr">
        <is>
          <t>1</t>
        </is>
      </c>
      <c r="J2334" t="inlineStr"/>
      <c r="K2334" t="inlineStr"/>
      <c r="L2334" t="inlineStr"/>
      <c r="M2334" t="inlineStr"/>
      <c r="N2334" t="inlineStr"/>
      <c r="O2334">
        <f>(1-Summary!$B$11)*T2334+Summary!$B$11*V2334</f>
        <v/>
      </c>
      <c r="P2334">
        <f>IF(B2363=0,0,O2334/B2363)</f>
        <v/>
      </c>
      <c r="Q2334" t="n">
        <v>0</v>
      </c>
      <c r="R2334" t="n">
        <v>0</v>
      </c>
      <c r="S2334" t="n">
        <v>0</v>
      </c>
      <c r="T2334" t="n">
        <v>0</v>
      </c>
      <c r="V2334" t="n">
        <v>0</v>
      </c>
    </row>
    <row r="2335">
      <c r="A2335">
        <f>Skills!A14</f>
        <v/>
      </c>
      <c r="B2335">
        <f>Skills!B14</f>
        <v/>
      </c>
      <c r="C2335">
        <f>Inputs!$B$3&gt;=74</f>
        <v/>
      </c>
      <c r="D2335">
        <f>IF(Skills!C14=1,60+Inputs!$B$25+Inputs!$B$29,IF(Skills!C14=2,90+Inputs!$B$26+Inputs!$B$29,IF(Skills!C14=3,120+Inputs!$B$27+Inputs!$B$29,MAX(0,(Inputs!$B$3-100)*3)+Inputs!$B$28+Inputs!$B$29)))</f>
        <v/>
      </c>
      <c r="E2335">
        <f>INDEX(FactorTable!$B$2:$Y$301, MATCH(ROUND(MIN(300,MAX(1,D2335)),0), FactorTable!$A$2:$A$301,0), Skills!M14+1)</f>
        <v/>
      </c>
      <c r="F2335">
        <f>IF(Skills!N14=TRUE,(Skills!L14/10)*(E2335/1000),Skills!L14/10)+Skills!O14</f>
        <v/>
      </c>
      <c r="G2335">
        <f>Skills!G14*IF(Skills!H14&gt;0,Skills!I14/Skills!H14,1)</f>
        <v/>
      </c>
      <c r="H2335">
        <f>1-(1-Skills!J14/100)^Skills!K14</f>
        <v/>
      </c>
      <c r="I2335" t="inlineStr">
        <is>
          <t>1</t>
        </is>
      </c>
      <c r="J2335" t="inlineStr"/>
      <c r="K2335" t="inlineStr"/>
      <c r="L2335" t="inlineStr"/>
      <c r="M2335" t="inlineStr"/>
      <c r="N2335" t="inlineStr"/>
      <c r="O2335">
        <f>(1-Summary!$B$11)*T2335+Summary!$B$11*V2335</f>
        <v/>
      </c>
      <c r="P2335">
        <f>IF(B2363=0,0,O2335/B2363)</f>
        <v/>
      </c>
      <c r="Q2335" t="n">
        <v>0</v>
      </c>
      <c r="R2335" t="n">
        <v>0</v>
      </c>
      <c r="S2335" t="n">
        <v>0</v>
      </c>
      <c r="T2335" t="n">
        <v>0</v>
      </c>
      <c r="V2335" t="n">
        <v>0</v>
      </c>
    </row>
    <row r="2336">
      <c r="A2336">
        <f>Skills!A15</f>
        <v/>
      </c>
      <c r="B2336">
        <f>Skills!B15</f>
        <v/>
      </c>
      <c r="C2336">
        <f>Inputs!$B$3&gt;=117</f>
        <v/>
      </c>
      <c r="D2336">
        <f>IF(Skills!C15=1,60+Inputs!$B$25+Inputs!$B$29,IF(Skills!C15=2,90+Inputs!$B$26+Inputs!$B$29,IF(Skills!C15=3,120+Inputs!$B$27+Inputs!$B$29,MAX(0,(Inputs!$B$3-100)*3)+Inputs!$B$28+Inputs!$B$29)))</f>
        <v/>
      </c>
      <c r="E2336">
        <f>INDEX(FactorTable!$B$2:$Y$301, MATCH(ROUND(MIN(300,MAX(1,D2336)),0), FactorTable!$A$2:$A$301,0), Skills!M15+1)</f>
        <v/>
      </c>
      <c r="F2336">
        <f>IF(Skills!N15=TRUE,(Skills!L15/10)*(E2336/1000),Skills!L15/10)+Skills!O15</f>
        <v/>
      </c>
      <c r="G2336">
        <f>Skills!G15*IF(Skills!H15&gt;0,Skills!I15/Skills!H15,1)</f>
        <v/>
      </c>
      <c r="H2336">
        <f>1-(1-Skills!J15/100)^Skills!K15</f>
        <v/>
      </c>
      <c r="I2336" t="inlineStr">
        <is>
          <t>1</t>
        </is>
      </c>
      <c r="J2336" t="inlineStr"/>
      <c r="K2336" t="inlineStr"/>
      <c r="L2336" t="inlineStr"/>
      <c r="M2336" t="inlineStr"/>
      <c r="N2336" t="inlineStr"/>
      <c r="O2336">
        <f>(1-Summary!$B$11)*T2336+Summary!$B$11*V2336</f>
        <v/>
      </c>
      <c r="P2336">
        <f>IF(B2363=0,0,O2336/B2363)</f>
        <v/>
      </c>
      <c r="Q2336">
        <f>IFERROR(1/IF(Inputs!$B$38="pvp",15,MAX(0.1,Skills!D15-IF(Skills!E15=TRUE,Inputs!$B$32,0))),0)</f>
        <v/>
      </c>
      <c r="R2336">
        <f>IF(AND(Inputs!$B$38&lt;&gt;"pvp",Inputs!$B$43&gt;0),IF(Inputs!$B$43&lt;=0,0,(INT(Inputs!$B$43/IF(Inputs!$B$38="pvp",15,MAX(0.1,Skills!D15-IF(Skills!E15=TRUE,Inputs!$B$32,0))))+1)),0)</f>
        <v/>
      </c>
      <c r="S2336" t="n">
        <v>0</v>
      </c>
      <c r="T2336" t="n">
        <v>0</v>
      </c>
      <c r="V2336" t="n">
        <v>0</v>
      </c>
    </row>
    <row r="2337">
      <c r="A2337">
        <f>Skills!A16</f>
        <v/>
      </c>
      <c r="B2337">
        <f>Skills!B16</f>
        <v/>
      </c>
      <c r="C2337">
        <f>Inputs!$B$3&gt;=115</f>
        <v/>
      </c>
      <c r="D2337">
        <f>IF(Skills!C16=1,60+Inputs!$B$25+Inputs!$B$29,IF(Skills!C16=2,90+Inputs!$B$26+Inputs!$B$29,IF(Skills!C16=3,120+Inputs!$B$27+Inputs!$B$29,MAX(0,(Inputs!$B$3-100)*3)+Inputs!$B$28+Inputs!$B$29)))</f>
        <v/>
      </c>
      <c r="E2337">
        <f>INDEX(FactorTable!$B$2:$Y$301, MATCH(ROUND(MIN(300,MAX(1,D2337)),0), FactorTable!$A$2:$A$301,0), Skills!M16+1)</f>
        <v/>
      </c>
      <c r="F2337">
        <f>IF(Skills!N16=TRUE,(Skills!L16/10)*(E2337/1000),Skills!L16/10)+Skills!O16</f>
        <v/>
      </c>
      <c r="G2337">
        <f>Skills!G16*IF(Skills!H16&gt;0,Skills!I16/Skills!H16,1)</f>
        <v/>
      </c>
      <c r="H2337">
        <f>1-(1-Skills!J16/100)^Skills!K16</f>
        <v/>
      </c>
      <c r="I2337" t="inlineStr">
        <is>
          <t>1</t>
        </is>
      </c>
      <c r="J2337" t="inlineStr"/>
      <c r="K2337" t="inlineStr"/>
      <c r="L2337" t="inlineStr"/>
      <c r="M2337" t="inlineStr"/>
      <c r="N2337" t="inlineStr"/>
      <c r="O2337">
        <f>(1-Summary!$B$11)*T2337+Summary!$B$11*V2337</f>
        <v/>
      </c>
      <c r="P2337">
        <f>IF(B2363=0,0,O2337/B2363)</f>
        <v/>
      </c>
      <c r="Q2337">
        <f>IFERROR(1/IF(Inputs!$B$38="pvp",15,MAX(0.1,Skills!D16-IF(Skills!E16=TRUE,Inputs!$B$32,0))),0)</f>
        <v/>
      </c>
      <c r="R2337">
        <f>IF(AND(Inputs!$B$38&lt;&gt;"pvp",Inputs!$B$43&gt;0),IF(Inputs!$B$43&lt;=0,0,(INT(Inputs!$B$43/IF(Inputs!$B$38="pvp",15,MAX(0.1,Skills!D16-IF(Skills!E16=TRUE,Inputs!$B$32,0))))+1)),0)</f>
        <v/>
      </c>
      <c r="S2337" t="n">
        <v>0</v>
      </c>
      <c r="T2337" t="n">
        <v>0</v>
      </c>
      <c r="V2337" t="n">
        <v>0</v>
      </c>
    </row>
    <row r="2338">
      <c r="A2338">
        <f>Skills!A17</f>
        <v/>
      </c>
      <c r="B2338">
        <f>Skills!B17</f>
        <v/>
      </c>
      <c r="C2338">
        <f>Inputs!$B$3&gt;=72</f>
        <v/>
      </c>
      <c r="D2338">
        <f>IF(Skills!C17=1,60+Inputs!$B$25+Inputs!$B$29,IF(Skills!C17=2,90+Inputs!$B$26+Inputs!$B$29,IF(Skills!C17=3,120+Inputs!$B$27+Inputs!$B$29,MAX(0,(Inputs!$B$3-100)*3)+Inputs!$B$28+Inputs!$B$29)))</f>
        <v/>
      </c>
      <c r="E2338">
        <f>INDEX(FactorTable!$B$2:$Y$301, MATCH(ROUND(MIN(300,MAX(1,D2338)),0), FactorTable!$A$2:$A$301,0), Skills!M17+1)</f>
        <v/>
      </c>
      <c r="F2338">
        <f>IF(Skills!N17=TRUE,(Skills!L17/10)*(E2338/1000),Skills!L17/10)+Skills!O17</f>
        <v/>
      </c>
      <c r="G2338">
        <f>Skills!G17*IF(Skills!H17&gt;0,Skills!I17/Skills!H17,1)</f>
        <v/>
      </c>
      <c r="H2338">
        <f>1-(1-Skills!J17/100)^Skills!K17</f>
        <v/>
      </c>
      <c r="I2338" t="inlineStr">
        <is>
          <t>1</t>
        </is>
      </c>
      <c r="J2338" t="inlineStr"/>
      <c r="K2338" t="inlineStr"/>
      <c r="L2338" t="inlineStr"/>
      <c r="M2338" t="inlineStr"/>
      <c r="N2338" t="inlineStr"/>
      <c r="O2338">
        <f>(1-Summary!$B$11)*T2338+Summary!$B$11*V2338</f>
        <v/>
      </c>
      <c r="P2338">
        <f>IF(B2363=0,0,O2338/B2363)</f>
        <v/>
      </c>
      <c r="Q2338" t="n">
        <v>0</v>
      </c>
      <c r="R2338" t="n">
        <v>0</v>
      </c>
      <c r="S2338" t="n">
        <v>0</v>
      </c>
      <c r="T2338" t="n">
        <v>0</v>
      </c>
      <c r="V2338" t="n">
        <v>0</v>
      </c>
    </row>
    <row r="2339">
      <c r="A2339">
        <f>Skills!A18</f>
        <v/>
      </c>
      <c r="B2339">
        <f>Skills!B18</f>
        <v/>
      </c>
      <c r="C2339">
        <f>TRUE</f>
        <v/>
      </c>
      <c r="D2339">
        <f>IF(Skills!C18=1,60+Inputs!$B$25+Inputs!$B$29,IF(Skills!C18=2,90+Inputs!$B$26+Inputs!$B$29,IF(Skills!C18=3,120+Inputs!$B$27+Inputs!$B$29,MAX(0,(Inputs!$B$3-100)*3)+Inputs!$B$28+Inputs!$B$29)))</f>
        <v/>
      </c>
      <c r="E2339">
        <f>INDEX(FactorTable!$B$2:$Y$301, MATCH(ROUND(MIN(300,MAX(1,D2339)),0), FactorTable!$A$2:$A$301,0), Skills!M18+1)</f>
        <v/>
      </c>
      <c r="F2339">
        <f>IF(Skills!N18=TRUE,(Skills!L18/10)*(E2339/1000),Skills!L18/10)+Skills!O18</f>
        <v/>
      </c>
      <c r="G2339">
        <f>Skills!G18*IF(Skills!H18&gt;0,Skills!I18/Skills!H18,1)</f>
        <v/>
      </c>
      <c r="H2339">
        <f>1-(1-Skills!J18/100)^Skills!K18</f>
        <v/>
      </c>
      <c r="I2339" t="inlineStr">
        <is>
          <t>1</t>
        </is>
      </c>
      <c r="J2339" t="inlineStr"/>
      <c r="K2339" t="inlineStr"/>
      <c r="L2339" t="inlineStr"/>
      <c r="M2339" t="inlineStr"/>
      <c r="N2339" t="inlineStr"/>
      <c r="O2339">
        <f>(1-Summary!$B$11)*T2339+Summary!$B$11*V2339</f>
        <v/>
      </c>
      <c r="P2339">
        <f>IF(B2363=0,0,O2339/B2363)</f>
        <v/>
      </c>
      <c r="Q2339">
        <f>IFERROR(1/IF(Inputs!$B$38="pvp",15,MAX(0.1,Skills!D18-IF(Skills!E18=TRUE,Inputs!$B$32,0))),0)</f>
        <v/>
      </c>
      <c r="R2339">
        <f>IF(AND(Inputs!$B$38&lt;&gt;"pvp",Inputs!$B$43&gt;0),IF(Inputs!$B$43&lt;=0,0,(INT(Inputs!$B$43/IF(Inputs!$B$38="pvp",15,MAX(0.1,Skills!D18-IF(Skills!E18=TRUE,Inputs!$B$32,0))))+1)),0)</f>
        <v/>
      </c>
      <c r="S2339" t="n">
        <v>0</v>
      </c>
      <c r="T2339" t="n">
        <v>0</v>
      </c>
      <c r="V2339" t="n">
        <v>0</v>
      </c>
    </row>
    <row r="2340">
      <c r="A2340">
        <f>Skills!A19</f>
        <v/>
      </c>
      <c r="B2340">
        <f>Skills!B19</f>
        <v/>
      </c>
      <c r="C2340">
        <f>Inputs!$B$3&gt;=15</f>
        <v/>
      </c>
      <c r="D2340">
        <f>IF(Skills!C19=1,60+Inputs!$B$25+Inputs!$B$29,IF(Skills!C19=2,90+Inputs!$B$26+Inputs!$B$29,IF(Skills!C19=3,120+Inputs!$B$27+Inputs!$B$29,MAX(0,(Inputs!$B$3-100)*3)+Inputs!$B$28+Inputs!$B$29)))</f>
        <v/>
      </c>
      <c r="E2340">
        <f>INDEX(FactorTable!$B$2:$Y$301, MATCH(ROUND(MIN(300,MAX(1,D2340)),0), FactorTable!$A$2:$A$301,0), Skills!M19+1)</f>
        <v/>
      </c>
      <c r="F2340">
        <f>IF(Skills!N19=TRUE,(Skills!L19/10)*(E2340/1000),Skills!L19/10)+Skills!O19</f>
        <v/>
      </c>
      <c r="G2340">
        <f>Skills!G19*IF(Skills!H19&gt;0,Skills!I19/Skills!H19,1)</f>
        <v/>
      </c>
      <c r="H2340">
        <f>1-(1-Skills!J19/100)^Skills!K19</f>
        <v/>
      </c>
      <c r="I2340" t="inlineStr">
        <is>
          <t>1</t>
        </is>
      </c>
      <c r="J2340" t="inlineStr"/>
      <c r="K2340" t="inlineStr"/>
      <c r="L2340" t="inlineStr"/>
      <c r="M2340" t="inlineStr"/>
      <c r="N2340" t="inlineStr"/>
      <c r="O2340">
        <f>(1-Summary!$B$11)*T2340+Summary!$B$11*V2340</f>
        <v/>
      </c>
      <c r="P2340">
        <f>IF(B2363=0,0,O2340/B2363)</f>
        <v/>
      </c>
      <c r="Q2340" t="n">
        <v>0</v>
      </c>
      <c r="R2340" t="n">
        <v>0</v>
      </c>
      <c r="S2340" t="n">
        <v>0</v>
      </c>
      <c r="T2340" t="n">
        <v>0</v>
      </c>
      <c r="V2340" t="n">
        <v>0</v>
      </c>
    </row>
    <row r="2341">
      <c r="A2341">
        <f>Skills!A20</f>
        <v/>
      </c>
      <c r="B2341">
        <f>Skills!B20</f>
        <v/>
      </c>
      <c r="C2341">
        <f>Inputs!$B$3&gt;=10</f>
        <v/>
      </c>
      <c r="D2341">
        <f>IF(Skills!C20=1,60+Inputs!$B$25+Inputs!$B$29,IF(Skills!C20=2,90+Inputs!$B$26+Inputs!$B$29,IF(Skills!C20=3,120+Inputs!$B$27+Inputs!$B$29,MAX(0,(Inputs!$B$3-100)*3)+Inputs!$B$28+Inputs!$B$29)))</f>
        <v/>
      </c>
      <c r="E2341">
        <f>INDEX(FactorTable!$B$2:$Y$301, MATCH(ROUND(MIN(300,MAX(1,D2341)),0), FactorTable!$A$2:$A$301,0), Skills!M20+1)</f>
        <v/>
      </c>
      <c r="F2341">
        <f>IF(Skills!N20=TRUE,(Skills!L20/10)*(E2341/1000),Skills!L20/10)+Skills!O20</f>
        <v/>
      </c>
      <c r="G2341">
        <f>Skills!G20*IF(Skills!H20&gt;0,Skills!I20/Skills!H20,1)</f>
        <v/>
      </c>
      <c r="H2341">
        <f>1-(1-Skills!J20/100)^Skills!K20</f>
        <v/>
      </c>
      <c r="I2341" t="inlineStr">
        <is>
          <t>1</t>
        </is>
      </c>
      <c r="J2341" t="inlineStr"/>
      <c r="K2341" t="inlineStr"/>
      <c r="L2341" t="inlineStr"/>
      <c r="M2341" t="inlineStr"/>
      <c r="N2341" t="inlineStr"/>
      <c r="O2341">
        <f>(1-Summary!$B$11)*T2341+Summary!$B$11*V2341</f>
        <v/>
      </c>
      <c r="P2341">
        <f>IF(B2363=0,0,O2341/B2363)</f>
        <v/>
      </c>
      <c r="Q2341" t="n">
        <v>0</v>
      </c>
      <c r="R2341" t="n">
        <v>0</v>
      </c>
      <c r="S2341" t="n">
        <v>0</v>
      </c>
      <c r="T2341" t="n">
        <v>0</v>
      </c>
      <c r="V2341" t="n">
        <v>0</v>
      </c>
    </row>
    <row r="2342">
      <c r="A2342">
        <f>Skills!A21</f>
        <v/>
      </c>
      <c r="B2342">
        <f>Skills!B21</f>
        <v/>
      </c>
      <c r="C2342">
        <f>Inputs!$B$3&gt;=33</f>
        <v/>
      </c>
      <c r="D2342">
        <f>IF(Skills!C21=1,60+Inputs!$B$25+Inputs!$B$29,IF(Skills!C21=2,90+Inputs!$B$26+Inputs!$B$29,IF(Skills!C21=3,120+Inputs!$B$27+Inputs!$B$29,MAX(0,(Inputs!$B$3-100)*3)+Inputs!$B$28+Inputs!$B$29)))</f>
        <v/>
      </c>
      <c r="E2342">
        <f>INDEX(FactorTable!$B$2:$Y$301, MATCH(ROUND(MIN(300,MAX(1,D2342)),0), FactorTable!$A$2:$A$301,0), Skills!M21+1)</f>
        <v/>
      </c>
      <c r="F2342">
        <f>IF(Skills!N21=TRUE,(Skills!L21/10)*(E2342/1000),Skills!L21/10)+Skills!O21</f>
        <v/>
      </c>
      <c r="G2342">
        <f>Skills!G21*IF(Skills!H21&gt;0,Skills!I21/Skills!H21,1)</f>
        <v/>
      </c>
      <c r="H2342">
        <f>1-(1-Skills!J21/100)^Skills!K21</f>
        <v/>
      </c>
      <c r="I2342" t="inlineStr">
        <is>
          <t>1</t>
        </is>
      </c>
      <c r="J2342" t="inlineStr"/>
      <c r="K2342" t="inlineStr"/>
      <c r="L2342" t="inlineStr"/>
      <c r="M2342" t="inlineStr"/>
      <c r="N2342" t="inlineStr"/>
      <c r="O2342">
        <f>(1-Summary!$B$11)*T2342+Summary!$B$11*V2342</f>
        <v/>
      </c>
      <c r="P2342">
        <f>IF(B2363=0,0,O2342/B2363)</f>
        <v/>
      </c>
      <c r="Q2342" t="n">
        <v>0</v>
      </c>
      <c r="R2342" t="n">
        <v>0</v>
      </c>
      <c r="S2342" t="n">
        <v>0</v>
      </c>
      <c r="T2342" t="n">
        <v>0</v>
      </c>
      <c r="V2342" t="n">
        <v>0</v>
      </c>
    </row>
    <row r="2343">
      <c r="A2343">
        <f>Skills!A22</f>
        <v/>
      </c>
      <c r="B2343">
        <f>Skills!B22</f>
        <v/>
      </c>
      <c r="C2343">
        <f>Inputs!$B$3&gt;=38</f>
        <v/>
      </c>
      <c r="D2343">
        <f>IF(Skills!C22=1,60+Inputs!$B$25+Inputs!$B$29,IF(Skills!C22=2,90+Inputs!$B$26+Inputs!$B$29,IF(Skills!C22=3,120+Inputs!$B$27+Inputs!$B$29,MAX(0,(Inputs!$B$3-100)*3)+Inputs!$B$28+Inputs!$B$29)))</f>
        <v/>
      </c>
      <c r="E2343">
        <f>INDEX(FactorTable!$B$2:$Y$301, MATCH(ROUND(MIN(300,MAX(1,D2343)),0), FactorTable!$A$2:$A$301,0), Skills!M22+1)</f>
        <v/>
      </c>
      <c r="F2343">
        <f>IF(Skills!N22=TRUE,(Skills!L22/10)*(E2343/1000),Skills!L22/10)+Skills!O22</f>
        <v/>
      </c>
      <c r="G2343">
        <f>Skills!G22*IF(Skills!H22&gt;0,Skills!I22/Skills!H22,1)</f>
        <v/>
      </c>
      <c r="H2343">
        <f>1-(1-Skills!J22/100)^Skills!K22</f>
        <v/>
      </c>
      <c r="I2343" t="inlineStr">
        <is>
          <t>1</t>
        </is>
      </c>
      <c r="J2343" t="inlineStr"/>
      <c r="K2343" t="inlineStr"/>
      <c r="L2343" t="inlineStr"/>
      <c r="M2343" t="inlineStr"/>
      <c r="N2343" t="inlineStr"/>
      <c r="O2343">
        <f>(1-Summary!$B$11)*T2343+Summary!$B$11*V2343</f>
        <v/>
      </c>
      <c r="P2343">
        <f>IF(B2363=0,0,O2343/B2363)</f>
        <v/>
      </c>
      <c r="Q2343" t="n">
        <v>0</v>
      </c>
      <c r="R2343" t="n">
        <v>0</v>
      </c>
      <c r="S2343" t="n">
        <v>0</v>
      </c>
      <c r="T2343" t="n">
        <v>0</v>
      </c>
      <c r="V2343" t="n">
        <v>0</v>
      </c>
    </row>
    <row r="2344">
      <c r="A2344">
        <f>Skills!A23</f>
        <v/>
      </c>
      <c r="B2344">
        <f>Skills!B23</f>
        <v/>
      </c>
      <c r="C2344">
        <f>Inputs!$B$3&gt;=43</f>
        <v/>
      </c>
      <c r="D2344">
        <f>IF(Skills!C23=1,60+Inputs!$B$25+Inputs!$B$29,IF(Skills!C23=2,90+Inputs!$B$26+Inputs!$B$29,IF(Skills!C23=3,120+Inputs!$B$27+Inputs!$B$29,MAX(0,(Inputs!$B$3-100)*3)+Inputs!$B$28+Inputs!$B$29)))</f>
        <v/>
      </c>
      <c r="E2344">
        <f>INDEX(FactorTable!$B$2:$Y$301, MATCH(ROUND(MIN(300,MAX(1,D2344)),0), FactorTable!$A$2:$A$301,0), Skills!M23+1)</f>
        <v/>
      </c>
      <c r="F2344">
        <f>IF(Skills!N23=TRUE,(Skills!L23/10)*(E2344/1000),Skills!L23/10)+Skills!O23</f>
        <v/>
      </c>
      <c r="G2344">
        <f>Skills!G23*IF(Skills!H23&gt;0,Skills!I23/Skills!H23,1)</f>
        <v/>
      </c>
      <c r="H2344">
        <f>1-(1-Skills!J23/100)^Skills!K23</f>
        <v/>
      </c>
      <c r="I2344" t="inlineStr">
        <is>
          <t>1</t>
        </is>
      </c>
      <c r="J2344" t="inlineStr"/>
      <c r="K2344" t="inlineStr"/>
      <c r="L2344" t="inlineStr"/>
      <c r="M2344" t="inlineStr"/>
      <c r="N2344" t="inlineStr"/>
      <c r="O2344">
        <f>(1-Summary!$B$11)*T2344+Summary!$B$11*V2344</f>
        <v/>
      </c>
      <c r="P2344">
        <f>IF(B2363=0,0,O2344/B2363)</f>
        <v/>
      </c>
      <c r="Q2344" t="n">
        <v>0</v>
      </c>
      <c r="R2344" t="n">
        <v>0</v>
      </c>
      <c r="S2344" t="n">
        <v>0</v>
      </c>
      <c r="T2344" t="n">
        <v>0</v>
      </c>
      <c r="V2344" t="n">
        <v>0</v>
      </c>
    </row>
    <row r="2345">
      <c r="A2345">
        <f>Skills!A24</f>
        <v/>
      </c>
      <c r="B2345">
        <f>Skills!B24</f>
        <v/>
      </c>
      <c r="C2345">
        <f>Inputs!$B$3&gt;=75</f>
        <v/>
      </c>
      <c r="D2345">
        <f>IF(Skills!C24=1,60+Inputs!$B$25+Inputs!$B$29,IF(Skills!C24=2,90+Inputs!$B$26+Inputs!$B$29,IF(Skills!C24=3,120+Inputs!$B$27+Inputs!$B$29,MAX(0,(Inputs!$B$3-100)*3)+Inputs!$B$28+Inputs!$B$29)))</f>
        <v/>
      </c>
      <c r="E2345">
        <f>INDEX(FactorTable!$B$2:$Y$301, MATCH(ROUND(MIN(300,MAX(1,D2345)),0), FactorTable!$A$2:$A$301,0), Skills!M24+1)</f>
        <v/>
      </c>
      <c r="F2345">
        <f>IF(Skills!N24=TRUE,(Skills!L24/10)*(E2345/1000),Skills!L24/10)+Skills!O24</f>
        <v/>
      </c>
      <c r="G2345">
        <f>Skills!G24*IF(Skills!H24&gt;0,Skills!I24/Skills!H24,1)</f>
        <v/>
      </c>
      <c r="H2345">
        <f>1-(1-Skills!J24/100)^Skills!K24</f>
        <v/>
      </c>
      <c r="I2345" t="inlineStr">
        <is>
          <t>1</t>
        </is>
      </c>
      <c r="J2345" t="inlineStr"/>
      <c r="K2345" t="inlineStr"/>
      <c r="L2345" t="inlineStr"/>
      <c r="M2345" t="inlineStr"/>
      <c r="N2345" t="inlineStr"/>
      <c r="O2345">
        <f>(1-Summary!$B$11)*T2345+Summary!$B$11*V2345</f>
        <v/>
      </c>
      <c r="P2345">
        <f>IF(B2363=0,0,O2345/B2363)</f>
        <v/>
      </c>
      <c r="Q2345" t="n">
        <v>0</v>
      </c>
      <c r="R2345" t="n">
        <v>0</v>
      </c>
      <c r="S2345" t="n">
        <v>0</v>
      </c>
      <c r="T2345" t="n">
        <v>0</v>
      </c>
      <c r="V2345" t="n">
        <v>0</v>
      </c>
    </row>
    <row r="2346">
      <c r="A2346">
        <f>Skills!A25</f>
        <v/>
      </c>
      <c r="B2346">
        <f>Skills!B25</f>
        <v/>
      </c>
      <c r="C2346">
        <f>Inputs!$B$3&gt;=125</f>
        <v/>
      </c>
      <c r="D2346">
        <f>IF(Skills!C25=1,60+Inputs!$B$25+Inputs!$B$29,IF(Skills!C25=2,90+Inputs!$B$26+Inputs!$B$29,IF(Skills!C25=3,120+Inputs!$B$27+Inputs!$B$29,MAX(0,(Inputs!$B$3-100)*3)+Inputs!$B$28+Inputs!$B$29)))</f>
        <v/>
      </c>
      <c r="E2346">
        <f>INDEX(FactorTable!$B$2:$Y$301, MATCH(ROUND(MIN(300,MAX(1,D2346)),0), FactorTable!$A$2:$A$301,0), Skills!M25+1)</f>
        <v/>
      </c>
      <c r="F2346">
        <f>IF(Skills!N25=TRUE,(Skills!L25/10)*(E2346/1000),Skills!L25/10)+Skills!O25</f>
        <v/>
      </c>
      <c r="G2346">
        <f>Skills!G25*IF(Skills!H25&gt;0,Skills!I25/Skills!H25,1)</f>
        <v/>
      </c>
      <c r="H2346">
        <f>1-(1-Skills!J25/100)^Skills!K25</f>
        <v/>
      </c>
      <c r="I2346" t="inlineStr">
        <is>
          <t>1</t>
        </is>
      </c>
      <c r="J2346" t="inlineStr"/>
      <c r="K2346" t="inlineStr"/>
      <c r="L2346" t="inlineStr"/>
      <c r="M2346" t="inlineStr"/>
      <c r="N2346" t="inlineStr"/>
      <c r="O2346">
        <f>(1-Summary!$B$11)*T2346+Summary!$B$11*V2346</f>
        <v/>
      </c>
      <c r="P2346">
        <f>IF(B2363=0,0,O2346/B2363)</f>
        <v/>
      </c>
      <c r="Q2346" t="n">
        <v>0</v>
      </c>
      <c r="R2346" t="n">
        <v>0</v>
      </c>
      <c r="S2346" t="n">
        <v>0</v>
      </c>
      <c r="T2346" t="n">
        <v>0</v>
      </c>
      <c r="V2346" t="n">
        <v>0</v>
      </c>
    </row>
    <row r="2347">
      <c r="A2347">
        <f>Skills!A26</f>
        <v/>
      </c>
      <c r="B2347">
        <f>Skills!B26</f>
        <v/>
      </c>
      <c r="C2347">
        <f>Inputs!$B$3&gt;=125</f>
        <v/>
      </c>
      <c r="D2347">
        <f>IF(Skills!C26=1,60+Inputs!$B$25+Inputs!$B$29,IF(Skills!C26=2,90+Inputs!$B$26+Inputs!$B$29,IF(Skills!C26=3,120+Inputs!$B$27+Inputs!$B$29,MAX(0,(Inputs!$B$3-100)*3)+Inputs!$B$28+Inputs!$B$29)))</f>
        <v/>
      </c>
      <c r="E2347">
        <f>INDEX(FactorTable!$B$2:$Y$301, MATCH(ROUND(MIN(300,MAX(1,D2347)),0), FactorTable!$A$2:$A$301,0), Skills!M26+1)</f>
        <v/>
      </c>
      <c r="F2347">
        <f>IF(Skills!N26=TRUE,(Skills!L26/10)*(E2347/1000),Skills!L26/10)+Skills!O26</f>
        <v/>
      </c>
      <c r="G2347">
        <f>Skills!G26*IF(Skills!H26&gt;0,Skills!I26/Skills!H26,1)</f>
        <v/>
      </c>
      <c r="H2347">
        <f>1-(1-Skills!J26/100)^Skills!K26</f>
        <v/>
      </c>
      <c r="I2347" t="inlineStr">
        <is>
          <t>1</t>
        </is>
      </c>
      <c r="J2347" t="inlineStr"/>
      <c r="K2347" t="inlineStr"/>
      <c r="L2347" t="inlineStr"/>
      <c r="M2347" t="inlineStr"/>
      <c r="N2347" t="inlineStr"/>
      <c r="O2347">
        <f>(1-Summary!$B$11)*T2347+Summary!$B$11*V2347</f>
        <v/>
      </c>
      <c r="P2347">
        <f>IF(B2363=0,0,O2347/B2363)</f>
        <v/>
      </c>
      <c r="Q2347" t="n">
        <v>0</v>
      </c>
      <c r="R2347" t="n">
        <v>0</v>
      </c>
      <c r="S2347" t="n">
        <v>0</v>
      </c>
      <c r="T2347" t="n">
        <v>0</v>
      </c>
      <c r="V2347" t="n">
        <v>0</v>
      </c>
    </row>
    <row r="2348">
      <c r="A2348">
        <f>Skills!A27</f>
        <v/>
      </c>
      <c r="B2348">
        <f>Skills!B27</f>
        <v/>
      </c>
      <c r="C2348">
        <f>Inputs!$B$3&gt;=120</f>
        <v/>
      </c>
      <c r="D2348">
        <f>IF(Skills!C27=1,60+Inputs!$B$25+Inputs!$B$29,IF(Skills!C27=2,90+Inputs!$B$26+Inputs!$B$29,IF(Skills!C27=3,120+Inputs!$B$27+Inputs!$B$29,MAX(0,(Inputs!$B$3-100)*3)+Inputs!$B$28+Inputs!$B$29)))</f>
        <v/>
      </c>
      <c r="E2348">
        <f>INDEX(FactorTable!$B$2:$Y$301, MATCH(ROUND(MIN(300,MAX(1,D2348)),0), FactorTable!$A$2:$A$301,0), Skills!M27+1)</f>
        <v/>
      </c>
      <c r="F2348">
        <f>IF(Skills!N27=TRUE,(Skills!L27/10)*(E2348/1000),Skills!L27/10)+Skills!O27</f>
        <v/>
      </c>
      <c r="G2348">
        <f>Skills!G27*IF(Skills!H27&gt;0,Skills!I27/Skills!H27,1)</f>
        <v/>
      </c>
      <c r="H2348">
        <f>1-(1-Skills!J27/100)^Skills!K27</f>
        <v/>
      </c>
      <c r="I2348" t="inlineStr">
        <is>
          <t>1</t>
        </is>
      </c>
      <c r="J2348" t="inlineStr"/>
      <c r="K2348" t="inlineStr"/>
      <c r="L2348" t="inlineStr"/>
      <c r="M2348" t="inlineStr"/>
      <c r="N2348" t="inlineStr"/>
      <c r="O2348">
        <f>(1-Summary!$B$11)*T2348+Summary!$B$11*V2348</f>
        <v/>
      </c>
      <c r="P2348">
        <f>IF(B2363=0,0,O2348/B2363)</f>
        <v/>
      </c>
      <c r="Q2348" t="n">
        <v>0</v>
      </c>
      <c r="R2348" t="n">
        <v>0</v>
      </c>
      <c r="S2348" t="n">
        <v>0</v>
      </c>
      <c r="T2348" t="n">
        <v>0</v>
      </c>
      <c r="V2348" t="n">
        <v>0</v>
      </c>
    </row>
    <row r="2349">
      <c r="A2349">
        <f>Skills!A28</f>
        <v/>
      </c>
      <c r="B2349">
        <f>Skills!B28</f>
        <v/>
      </c>
      <c r="C2349">
        <f>Inputs!$B$3&gt;=120</f>
        <v/>
      </c>
      <c r="D2349">
        <f>IF(Skills!C28=1,60+Inputs!$B$25+Inputs!$B$29,IF(Skills!C28=2,90+Inputs!$B$26+Inputs!$B$29,IF(Skills!C28=3,120+Inputs!$B$27+Inputs!$B$29,MAX(0,(Inputs!$B$3-100)*3)+Inputs!$B$28+Inputs!$B$29)))</f>
        <v/>
      </c>
      <c r="E2349">
        <f>INDEX(FactorTable!$B$2:$Y$301, MATCH(ROUND(MIN(300,MAX(1,D2349)),0), FactorTable!$A$2:$A$301,0), Skills!M28+1)</f>
        <v/>
      </c>
      <c r="F2349">
        <f>IF(Skills!N28=TRUE,(Skills!L28/10)*(E2349/1000),Skills!L28/10)+Skills!O28</f>
        <v/>
      </c>
      <c r="G2349">
        <f>Skills!G28*IF(Skills!H28&gt;0,Skills!I28/Skills!H28,1)</f>
        <v/>
      </c>
      <c r="H2349">
        <f>1-(1-Skills!J28/100)^Skills!K28</f>
        <v/>
      </c>
      <c r="I2349" t="inlineStr">
        <is>
          <t>1</t>
        </is>
      </c>
      <c r="J2349" t="inlineStr"/>
      <c r="K2349" t="inlineStr"/>
      <c r="L2349" t="inlineStr"/>
      <c r="M2349" t="inlineStr"/>
      <c r="N2349" t="inlineStr"/>
      <c r="O2349">
        <f>(1-Summary!$B$11)*T2349+Summary!$B$11*V2349</f>
        <v/>
      </c>
      <c r="P2349">
        <f>IF(B2363=0,0,O2349/B2363)</f>
        <v/>
      </c>
      <c r="Q2349" t="n">
        <v>0</v>
      </c>
      <c r="R2349" t="n">
        <v>0</v>
      </c>
      <c r="S2349" t="n">
        <v>0</v>
      </c>
      <c r="T2349" t="n">
        <v>0</v>
      </c>
      <c r="V2349" t="n">
        <v>0</v>
      </c>
    </row>
    <row r="2350">
      <c r="A2350">
        <f>Skills!A29</f>
        <v/>
      </c>
      <c r="B2350">
        <f>Skills!B29</f>
        <v/>
      </c>
      <c r="C2350">
        <f>Inputs!$B$3&gt;=45</f>
        <v/>
      </c>
      <c r="D2350">
        <f>IF(Skills!C29=1,60+Inputs!$B$25+Inputs!$B$29,IF(Skills!C29=2,90+Inputs!$B$26+Inputs!$B$29,IF(Skills!C29=3,120+Inputs!$B$27+Inputs!$B$29,MAX(0,(Inputs!$B$3-100)*3)+Inputs!$B$28+Inputs!$B$29)))</f>
        <v/>
      </c>
      <c r="E2350">
        <f>INDEX(FactorTable!$B$2:$Y$301, MATCH(ROUND(MIN(300,MAX(1,D2350)),0), FactorTable!$A$2:$A$301,0), Skills!M29+1)</f>
        <v/>
      </c>
      <c r="F2350">
        <f>IF(Skills!N29=TRUE,(Skills!L29/10)*(E2350/1000),Skills!L29/10)+Skills!O29</f>
        <v/>
      </c>
      <c r="G2350">
        <f>Skills!G29*IF(Skills!H29&gt;0,Skills!I29/Skills!H29,1)</f>
        <v/>
      </c>
      <c r="H2350">
        <f>1-(1-Skills!J29/100)^Skills!K29</f>
        <v/>
      </c>
      <c r="I2350" t="inlineStr">
        <is>
          <t>1</t>
        </is>
      </c>
      <c r="J2350" t="inlineStr"/>
      <c r="K2350" t="inlineStr"/>
      <c r="L2350" t="inlineStr"/>
      <c r="M2350" t="inlineStr"/>
      <c r="N2350" t="inlineStr"/>
      <c r="O2350">
        <f>(1-Summary!$B$11)*T2350+Summary!$B$11*V2350</f>
        <v/>
      </c>
      <c r="P2350">
        <f>IF(B2363=0,0,O2350/B2363)</f>
        <v/>
      </c>
      <c r="Q2350" t="n">
        <v>0</v>
      </c>
      <c r="R2350" t="n">
        <v>0</v>
      </c>
      <c r="S2350" t="n">
        <v>0</v>
      </c>
      <c r="T2350" t="n">
        <v>0</v>
      </c>
      <c r="V2350" t="n">
        <v>0</v>
      </c>
    </row>
    <row r="2352">
      <c r="A2352" t="inlineStr">
        <is>
          <t>Attack% Bucket Multiplier</t>
        </is>
      </c>
      <c r="B2352">
        <f>(1+(((C2334=TRUE)*F2334)+((C2335=TRUE)*IF(Inputs!$B$38="pvp",F2335,(1-Summary!$B$11)*(F2335)+Summary!$B$11*(0)))+((C2336=TRUE)*F2336*IF(AND(Inputs!$B$38&lt;&gt;"pvp",Inputs!$B$43&gt;0),(((R2336-1)*(Skills!T15*(1+Inputs!$B$34/100))+MIN((Skills!T15*(1+Inputs!$B$34/100)),MAX(0,Inputs!$B$43-((R2336-1)*Skills!D15))))/Inputs!$B$43),IF(Inputs!$B$38="pvp",MIN((Skills!T15*(1+Inputs!$B$34/100)),15)/15,(Skills!T15*(1+Inputs!$B$34/100))/Skills!D15)))+((C2333=TRUE)*F2333)+((C2350=TRUE)*(F2350-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2353">
      <c r="A2353" t="inlineStr">
        <is>
          <t>Global Crit Rate Bonus %</t>
        </is>
      </c>
      <c r="B2353">
        <f>(C2337=TRUE)*20*IF(AND(Inputs!$B$38&lt;&gt;"pvp",Inputs!$B$43&gt;0),(((R2337-1)*(Skills!T16*(1+Inputs!$B$34/100))+MIN((Skills!T16*(1+Inputs!$B$34/100)),MAX(0,Inputs!$B$43-((R2337-1)*Skills!D16))))/Inputs!$B$43),IF(Inputs!$B$38="pvp",MIN((Skills!T16*(1+Inputs!$B$34/100)),15)/15,(Skills!T16*(1+Inputs!$B$34/100))/Skills!D16))</f>
        <v/>
      </c>
    </row>
    <row r="2354">
      <c r="A2354" t="inlineStr">
        <is>
          <t>Attack Speed Buff Bonus %</t>
        </is>
      </c>
      <c r="B2354">
        <f>((C2339=TRUE)*F2339*IF(AND(Inputs!$B$38&lt;&gt;"pvp",Inputs!$B$43&gt;0),(((R2339-1)*(Skills!T18*(1+Inputs!$B$34/100))+MIN((Skills!T18*(1+Inputs!$B$34/100)),MAX(0,Inputs!$B$43-((R2339-1)*Skills!D18))))/Inputs!$B$43),IF(Inputs!$B$38="pvp",MIN((Skills!T18*(1+Inputs!$B$34/100)),15)/15,(Skills!T18*(1+Inputs!$B$34/100))/Skills!D18)))</f>
        <v/>
      </c>
    </row>
    <row r="2355">
      <c r="A2355" t="inlineStr">
        <is>
          <t>Actions Per Second</t>
        </is>
      </c>
      <c r="B2355">
        <f>1+MIN(150,150*(1-(1-(Inputs!$B$11+((C2341=TRUE)*(F2341-Calc!F20))+((C2342=TRUE)*(F2342-Calc!F21)))/150)*(1-B2354/150)))/100</f>
        <v/>
      </c>
    </row>
    <row r="2356">
      <c r="A2356" t="inlineStr">
        <is>
          <t>Skill + Buff Cast Rate</t>
        </is>
      </c>
      <c r="B2356">
        <f>IF(AND(Inputs!$B$38&lt;&gt;"pvp",Inputs!$B$43&gt;0),SUMPRODUCT((Skills!E2:E29=TRUE)*(C2323:C2350=TRUE)*R2323:R2350*Skills!F2:F29)/Inputs!$B$43,SUMPRODUCT((Skills!E2:E29=TRUE)*(C2323:C2350=TRUE)*Q2323:Q2350*Skills!F2:F29))</f>
        <v/>
      </c>
    </row>
    <row r="2357">
      <c r="A2357" t="inlineStr">
        <is>
          <t>Empowered Piercing Arrow Casts Per Second</t>
        </is>
      </c>
      <c r="B2357">
        <f>MAX(0,B2355-B2356)</f>
        <v/>
      </c>
    </row>
    <row r="2358">
      <c r="A2358" t="inlineStr">
        <is>
          <t>Global Critical Damage Bonus % (Sharp Eyes)</t>
        </is>
      </c>
      <c r="B2358">
        <f>(C2337=TRUE)*F2337*IF(AND(Inputs!$B$38&lt;&gt;"pvp",Inputs!$B$43&gt;0),(((R2337-1)*(Skills!T16*(1+Inputs!$B$34/100))+MIN((Skills!T16*(1+Inputs!$B$34/100)),MAX(0,Inputs!$B$43-((R2337-1)*Skills!D16))))/Inputs!$B$43),IF(Inputs!$B$38="pvp",MIN((Skills!T16*(1+Inputs!$B$34/100)),15)/15,(Skills!T16*(1+Inputs!$B$34/100))/Skills!D16))</f>
        <v/>
      </c>
    </row>
    <row r="2359">
      <c r="A2359" t="inlineStr">
        <is>
          <t>Global Final Damage Bonus % (Mortal Blow + Last Man Standing conditional half)</t>
        </is>
      </c>
      <c r="B2359">
        <f>(C2338=TRUE)*F2338+((C2347=TRUE)*IF(Inputs!$B$38="pvp",F2347,(1-Summary!$B$11)*(F2347)+Summary!$B$11*(0)))</f>
        <v/>
      </c>
    </row>
    <row r="2360">
      <c r="A2360" t="inlineStr">
        <is>
          <t>Buff-Casting Startup Delay (s, fixed-duration only)</t>
        </is>
      </c>
      <c r="B2360">
        <f>IF(AND(Inputs!$B$38&lt;&gt;"pvp",Inputs!$B$43&gt;0),SUMPRODUCT((Skills!T2:T29&gt;0)*(Skills!E2:E29=TRUE)*(C2323:C2350=TRUE))/B2355,0)</f>
        <v/>
      </c>
    </row>
    <row r="2361">
      <c r="A2361" t="inlineStr">
        <is>
          <t>Boss-Only Total DPS (this block's swept value)</t>
        </is>
      </c>
      <c r="B2361">
        <f>SUM(T2323:T2350)</f>
        <v/>
      </c>
    </row>
    <row r="2362">
      <c r="A2362" t="inlineStr">
        <is>
          <t>Normal-Only Total DPS (this block's swept value)</t>
        </is>
      </c>
      <c r="B2362">
        <f>SUM(V2323:V2350)</f>
        <v/>
      </c>
    </row>
    <row r="2363">
      <c r="A2363" s="6" t="inlineStr">
        <is>
          <t>TOTAL DPS</t>
        </is>
      </c>
      <c r="B2363" s="6">
        <f>SUM(O2323:O2350)</f>
        <v/>
      </c>
    </row>
    <row r="2366">
      <c r="A2366" s="6" t="inlineStr">
        <is>
          <t>Stat: Flaming Lava (Equip)</t>
        </is>
      </c>
    </row>
    <row r="2367">
      <c r="A2367" s="5" t="inlineStr">
        <is>
          <t>Key</t>
        </is>
      </c>
      <c r="B2367" s="5" t="inlineStr">
        <is>
          <t>Name</t>
        </is>
      </c>
      <c r="C2367" s="5" t="inlineStr">
        <is>
          <t>Unlocked</t>
        </is>
      </c>
      <c r="D2367" s="5" t="inlineStr">
        <is>
          <t>InputLevel</t>
        </is>
      </c>
      <c r="E2367" s="5" t="inlineStr">
        <is>
          <t>Factor</t>
        </is>
      </c>
      <c r="F2367" s="5" t="inlineStr">
        <is>
          <t>CoefficientPercent</t>
        </is>
      </c>
      <c r="G2367" s="5" t="inlineStr">
        <is>
          <t>EffectiveHits</t>
        </is>
      </c>
      <c r="H2367" s="5" t="inlineStr">
        <is>
          <t>ProcProbability</t>
        </is>
      </c>
      <c r="I2367" s="5" t="inlineStr">
        <is>
          <t>MapleHeroMultiplier</t>
        </is>
      </c>
      <c r="J2367" s="5" t="inlineStr">
        <is>
          <t>BaseDamage</t>
        </is>
      </c>
      <c r="K2367" s="5" t="inlineStr">
        <is>
          <t>BaseHitDamage</t>
        </is>
      </c>
      <c r="L2367" s="5" t="inlineStr">
        <is>
          <t>NonCritAvg</t>
        </is>
      </c>
      <c r="M2367" s="5" t="inlineStr">
        <is>
          <t>CritAvg</t>
        </is>
      </c>
      <c r="N2367" s="5" t="inlineStr">
        <is>
          <t>ExpectedDamage(perHit)</t>
        </is>
      </c>
      <c r="O2367" s="5" t="inlineStr">
        <is>
          <t>DPS</t>
        </is>
      </c>
      <c r="P2367" s="5" t="inlineStr">
        <is>
          <t>% of Total</t>
        </is>
      </c>
      <c r="Q2367" s="5" t="inlineStr">
        <is>
          <t>InvCooldown</t>
        </is>
      </c>
      <c r="R2367" s="5" t="inlineStr">
        <is>
          <t>CastsInFight</t>
        </is>
      </c>
      <c r="S2367" s="5" t="inlineStr">
        <is>
          <t>HitRate(perSec)</t>
        </is>
      </c>
      <c r="U2367" t="inlineStr">
        <is>
          <t>helpers</t>
        </is>
      </c>
    </row>
    <row r="2368">
      <c r="A2368">
        <f>Skills!A2</f>
        <v/>
      </c>
      <c r="B2368">
        <f>Skills!B2</f>
        <v/>
      </c>
      <c r="C2368">
        <f>Inputs!$B$3&gt;=100</f>
        <v/>
      </c>
      <c r="D2368" t="inlineStr"/>
      <c r="E2368" t="inlineStr"/>
      <c r="F2368">
        <f>U2370+Skills!O2</f>
        <v/>
      </c>
      <c r="G2368">
        <f>Skills!G2*IF(Skills!H2&gt;0,Skills!I2/Skills!H2,1)</f>
        <v/>
      </c>
      <c r="H2368">
        <f>1-(1-Skills!J2/100)^Skills!K2</f>
        <v/>
      </c>
      <c r="I2368" t="inlineStr">
        <is>
          <t>1</t>
        </is>
      </c>
      <c r="J2368">
        <f>((Inputs!$B$6*(1+Inputs!$B$7/100))+(((Inputs!$B$12*(1+Inputs!$B$13/100))-(Inputs!$B$12*(1+Inputs!$B$13/100)))+0.25*(Inputs!$B$14-Inputs!$B$14))*(1+Inputs!$B$7/100))*(F2368/100)</f>
        <v/>
      </c>
      <c r="K2368">
        <f>J2368*(1+((Inputs!$B$12*(1+Inputs!$B$13/100))*0.01+Inputs!$B$14*0.0025)/100)*(1+Inputs!$B$15/100)*(1+Inputs!$B$16/100)*(5000/(6000+Inputs!$B$42*(1-(100*(1-(1-(Inputs!$B$19+0)/100)*(1-CHOOSE(ArtifactsInput!$N$40+1,5,6,7,8,9,10)/100)^(ArtifactsInput!$M$40-ArtifactsInput!$M$40)))/100)))*(1+(Inputs!$B$24+((C2390=TRUE)*(F2390-Calc!F24))+((C2391=TRUE)*(F2391-Calc!F25))+B2404)/100)*(1+(((1+IF(AND(ArtifactsInput!$M$36,IF(Inputs!$B$38="pvp",TRUE,AND(Inputs!$B$38&lt;&gt;"pvp",Inputs!$B$43&gt;0))),CHOOSE(ArtifactsInput!$N$36+1,8,9.6,11.2,12.8,14.4,16),0)/100)*(1+IF(AND(IF(ArtifactsInput!$M$32,FALSE,TRUE),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EMPOWERED_PIERCING_ARROW",Inputs!$B$17+((C2388=TRUE)*(F2388-Calc!F22))+(((IF(AND(ArtifactsInput!$M$42,((Inputs!$B$9+((C2385=TRUE)*(F2385-Calc!F19))+B2398+(ArtifactsInput!$M$24-ArtifactsInput!$M$24)*CHOOSE(ArtifactsInput!$N$24+1,10,12,14,16,18,20)+IF(ArtifactsInput!$M$10,CHOOSE(ArtifactsInput!$N$10+1,15,18,21,24,27,30)*(IF(Inputs!$B$38="pvp",MIN(15,15)/15,IF(AND(Inputs!$B$38&lt;&gt;"pvp",Inputs!$B$43&gt;0),MIN(15,Inputs!$B$43)/(Inputs!$B$43),0))),0)))&gt;=100),MIN(100,((Inputs!$B$9+((C2385=TRUE)*(F2385-Calc!F19))+B2398+(ArtifactsInput!$M$24-ArtifactsInput!$M$24)*CHOOSE(ArtifactsInput!$N$24+1,10,12,14,16,18,20)+IF(ArtifactsInput!$M$10,CHOOSE(ArtifactsInput!$N$10+1,15,18,21,24,27,30)*(IF(Inputs!$B$38="pvp",MIN(15,15)/15,IF(AND(Inputs!$B$38&lt;&gt;"pvp",Inputs!$B$43&gt;0),MIN(15,Inputs!$B$43)/(Inputs!$B$43),0))),0)))-100),0))*CHOOSE(ArtifactsInput!$N$42+1,0.6,0.72,0.84,0.96,1.08,1.2))),Inputs!$B$18+((C2393=TRUE)*(F2393-Calc!F27))+(IF(AND(ArtifactsInput!$M$42,((Inputs!$B$9+((C2385=TRUE)*(F2385-Calc!F19))+B2398+(ArtifactsInput!$M$24-ArtifactsInput!$M$24)*CHOOSE(ArtifactsInput!$N$24+1,10,12,14,16,18,20)+IF(ArtifactsInput!$M$10,CHOOSE(ArtifactsInput!$N$10+1,15,18,21,24,27,30)*(IF(Inputs!$B$38="pvp",MIN(15,15)/15,IF(AND(Inputs!$B$38&lt;&gt;"pvp",Inputs!$B$43&gt;0),MIN(15,Inputs!$B$43)/(Inputs!$B$43),0))),0)))&gt;=100),CHOOSE(ArtifactsInput!$N$42+1,40,48,56,64,72,80),0))))/100)*((1+(((C2379=TRUE)*F2379)+((C2380=TRUE)*IF(Inputs!$B$38="pvp",F2380,(1-Summary!$B$11)*(F2380)+Summary!$B$11*(0)))+((C2381=TRUE)*F2381*IF(AND(Inputs!$B$38&lt;&gt;"pvp",Inputs!$B$43&gt;0),(((R2381-1)*(Skills!T15*(1+Inputs!$B$34/100))+MIN((Skills!T15*(1+Inputs!$B$34/100)),MAX(0,Inputs!$B$43-((R2381-1)*Skills!D15))))/Inputs!$B$43),IF(Inputs!$B$38="pvp",MIN((Skills!T15*(1+Inputs!$B$34/100)),15)/15,(Skills!T15*(1+Inputs!$B$34/100))/Skills!D15)))+((C2378=TRUE)*F2378)+((C2395=TRUE)*(F2395-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2368)</f>
        <v/>
      </c>
      <c r="L2368">
        <f>K2368*(MIN(Inputs!$B$22+((C2389=TRUE)*(F2389-Calc!F23)),(Inputs!$B$23+((C2394=TRUE)*(F2394-Calc!F28))+(IF(ArtifactsInput!$M$15,CHOOSE(ArtifactsInput!$N$15+1,25,30,35,40,45,50)/100*(Inputs!$B$11-Inputs!$B$11),0))))/100+(Inputs!$B$23+((C2394=TRUE)*(F2394-Calc!F28))+(IF(ArtifactsInput!$M$15,CHOOSE(ArtifactsInput!$N$15+1,25,30,35,40,45,50)/100*(Inputs!$B$11-Inputs!$B$11),0)))/100)/2</f>
        <v/>
      </c>
      <c r="M2368">
        <f>L2368*(1+(Inputs!$B$10+0+B2403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368">
        <f>L2368*(1-MIN((Inputs!$B$9+((C2385=TRUE)*(F2385-Calc!F19))+B2398+(ArtifactsInput!$M$24-ArtifactsInput!$M$24)*CHOOSE(ArtifactsInput!$N$24+1,10,12,14,16,18,20)+(IF(AND(ArtifactsInput!$M$42,((Inputs!$B$9+((C2385=TRUE)*(F2385-Calc!F19))+B2398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2368*(MIN((Inputs!$B$9+((C2385=TRUE)*(F2385-Calc!F19))+B2398+(ArtifactsInput!$M$24-ArtifactsInput!$M$24)*CHOOSE(ArtifactsInput!$N$24+1,10,12,14,16,18,20)+(IF(AND(ArtifactsInput!$M$42,((Inputs!$B$9+((C2385=TRUE)*(F2385-Calc!F19))+B2398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368">
        <f>(1-Summary!$B$11)*T2368+Summary!$B$11*V2368</f>
        <v/>
      </c>
      <c r="P2368">
        <f>IF(B2408=0,0,O2368/B2408)</f>
        <v/>
      </c>
      <c r="Q2368" t="n">
        <v>0</v>
      </c>
      <c r="R2368" t="n">
        <v>0</v>
      </c>
      <c r="S2368">
        <f>IFERROR((Skills!G2*N2368*B2402)/N2368*IF(Inputs!$B$38="pvp",1,(1-Summary!$B$11)*1+Summary!$B$11*(MIN((6+Inputs!$B$33),Inputs!$B$37))),0)</f>
        <v/>
      </c>
      <c r="T2368">
        <f>IF(C2368,(Skills!G2*N2368*B2402)*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Hunt"),CHOOSE(ArtifactsInput!$N$35+1,15,18,21,24,27,30)*(1-EXP(-(0.2*B2400)*5)),0)+IF(AND(ArtifactsInput!$M$22,Inputs!$B$4&lt;&gt;"Chapter Hunt"),CHOOSE(ArtifactsInput!$N$22+1,10,12,14,16,18,20)*((0*(((0.15*B2400*5))^0/1)+1*(((0.15*B2400*5))^1/1)+2*(((0.15*B2400*5))^2/2)+3*(((0.15*B2400*5))^3/6)+4*(((0.15*B2400*5))^4/24)+5*(((0.15*B2400*5))^5/120))/((((0.15*B2400*5))^0/1)+(((0.15*B2400*5))^1/1)+(((0.15*B2400*5))^2/2)+(((0.15*B2400*5))^3/6)+(((0.15*B2400*5))^4/24)+(((0.15*B2400*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2368*(1-MIN(100,(Inputs!$B$9+((C2385=TRUE)*(F2385-Calc!F19))+B2398+(ArtifactsInput!$M$24-ArtifactsInput!$M$24)*CHOOSE(ArtifactsInput!$N$24+1,10,12,14,16,18,20)+(IF(AND(ArtifactsInput!$M$42,((Inputs!$B$9+((C2385=TRUE)*(F2385-Calc!F19))+B2398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2368*(MIN(100,(Inputs!$B$9+((C2385=TRUE)*(F2385-Calc!F19))+B2398+(ArtifactsInput!$M$24-ArtifactsInput!$M$24)*CHOOSE(ArtifactsInput!$N$24+1,10,12,14,16,18,20)+(IF(AND(ArtifactsInput!$M$42,((Inputs!$B$9+((C2385=TRUE)*(F2385-Calc!F19))+B2398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2368*(1-MIN(100,(Inputs!$B$9+((C2385=TRUE)*(F2385-Calc!F19))+B2398+(ArtifactsInput!$M$24-ArtifactsInput!$M$24)*CHOOSE(ArtifactsInput!$N$24+1,10,12,14,16,18,20)+(IF(AND(ArtifactsInput!$M$42,((Inputs!$B$9+((C2385=TRUE)*(F2385-Calc!F19))+B2398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2368*(MIN(100,(Inputs!$B$9+((C2385=TRUE)*(F2385-Calc!F19))+B2398+(ArtifactsInput!$M$24-ArtifactsInput!$M$24)*CHOOSE(ArtifactsInput!$N$24+1,10,12,14,16,18,20)+(IF(AND(ArtifactsInput!$M$42,((Inputs!$B$9+((C2385=TRUE)*(F2385-Calc!F19))+B2398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368">
        <f>MAX(0,(Inputs!$B$3-100)*3)+Inputs!$B$28+Inputs!$B$29</f>
        <v/>
      </c>
      <c r="V2368">
        <f>IF(C2368,(Skills!G2*N2368*B2402)*IF(Inputs!$B$38="pvp",1,(1+(Inputs!$B$21+Skills!Q2+(IF(ArtifactsInput!$M$33,CHOOSE(ArtifactsInput!$N$33+1,30,36,42,48,54,60),0))+(IF(AND(ArtifactsInput!$M$35,Inputs!$B$4&lt;&gt;"Chapter Hunt"),CHOOSE(ArtifactsInput!$N$35+1,15,18,21,24,27,30)*(1-EXP(-(0.2*B2400)*5)),0)+IF(AND(ArtifactsInput!$M$22,Inputs!$B$4&lt;&gt;"Chapter Hunt"),CHOOSE(ArtifactsInput!$N$22+1,10,12,14,16,18,20)*((0*(((0.15*B2400*5))^0/1)+1*(((0.15*B2400*5))^1/1)+2*(((0.15*B2400*5))^2/2)+3*(((0.15*B2400*5))^3/6)+4*(((0.15*B2400*5))^4/24)+5*(((0.15*B2400*5))^5/120))/((((0.15*B2400*5))^0/1)+(((0.15*B2400*5))^1/1)+(((0.15*B2400*5))^2/2)+(((0.15*B2400*5))^3/6)+(((0.15*B2400*5))^4/24)+(((0.15*B2400*5))^5/120)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369">
      <c r="A2369">
        <f>Skills!A3</f>
        <v/>
      </c>
      <c r="B2369">
        <f>Skills!B3</f>
        <v/>
      </c>
      <c r="C2369">
        <f>Inputs!$B$3&gt;=50</f>
        <v/>
      </c>
      <c r="D2369">
        <f>IF(Skills!C3=1,60+Inputs!$B$25+Inputs!$B$29,IF(Skills!C3=2,90+Inputs!$B$26+Inputs!$B$29,IF(Skills!C3=3,120+Inputs!$B$27+Inputs!$B$29,MAX(0,(Inputs!$B$3-100)*3)+Inputs!$B$28+Inputs!$B$29)))</f>
        <v/>
      </c>
      <c r="E2369">
        <f>INDEX(FactorTable!$B$2:$Y$301, MATCH(ROUND(MIN(300,MAX(1,D2369)),0), FactorTable!$A$2:$A$301,0), Skills!M3+1)</f>
        <v/>
      </c>
      <c r="F2369">
        <f>IF(Skills!N3=TRUE,(Skills!L3/10)*(E2369/1000),Skills!L3/10)+Skills!O3</f>
        <v/>
      </c>
      <c r="G2369" t="inlineStr"/>
      <c r="H2369" t="inlineStr"/>
      <c r="I2369" t="inlineStr">
        <is>
          <t>1</t>
        </is>
      </c>
      <c r="J2369" t="inlineStr"/>
      <c r="K2369" t="inlineStr"/>
      <c r="L2369" t="inlineStr"/>
      <c r="M2369" t="inlineStr"/>
      <c r="N2369" t="inlineStr"/>
      <c r="O2369" t="inlineStr"/>
      <c r="P2369" t="inlineStr"/>
      <c r="Q2369" t="inlineStr"/>
      <c r="R2369" t="inlineStr"/>
      <c r="S2369" t="inlineStr"/>
      <c r="T2369" t="inlineStr"/>
      <c r="U2369">
        <f>INDEX(FactorTable!$B$2:$Y$301, MATCH(ROUND(MIN(300,MAX(1,U2368)),0), FactorTable!$A$2:$A$301,0), 22)</f>
        <v/>
      </c>
      <c r="V2369" t="inlineStr"/>
    </row>
    <row r="2370">
      <c r="A2370">
        <f>Skills!A4</f>
        <v/>
      </c>
      <c r="B2370">
        <f>Skills!B4</f>
        <v/>
      </c>
      <c r="C2370">
        <f>Inputs!$B$3&gt;=105</f>
        <v/>
      </c>
      <c r="D2370">
        <f>IF(Skills!C4=1,60+Inputs!$B$25+Inputs!$B$29,IF(Skills!C4=2,90+Inputs!$B$26+Inputs!$B$29,IF(Skills!C4=3,120+Inputs!$B$27+Inputs!$B$29,MAX(0,(Inputs!$B$3-100)*3)+Inputs!$B$28+Inputs!$B$29)))</f>
        <v/>
      </c>
      <c r="E2370">
        <f>INDEX(FactorTable!$B$2:$Y$301, MATCH(ROUND(MIN(300,MAX(1,D2370)),0), FactorTable!$A$2:$A$301,0), Skills!M4+1)</f>
        <v/>
      </c>
      <c r="F2370">
        <f>IF(Skills!N4=TRUE,(Skills!L4/10)*(E2370/1000),Skills!L4/10)+Skills!O4</f>
        <v/>
      </c>
      <c r="G2370" t="inlineStr"/>
      <c r="H2370" t="inlineStr"/>
      <c r="I2370" t="inlineStr">
        <is>
          <t>1</t>
        </is>
      </c>
      <c r="J2370" t="inlineStr"/>
      <c r="K2370" t="inlineStr"/>
      <c r="L2370" t="inlineStr"/>
      <c r="M2370" t="inlineStr"/>
      <c r="N2370" t="inlineStr"/>
      <c r="O2370" t="inlineStr"/>
      <c r="P2370" t="inlineStr"/>
      <c r="Q2370" t="inlineStr"/>
      <c r="R2370" t="inlineStr"/>
      <c r="S2370" t="inlineStr"/>
      <c r="T2370" t="inlineStr"/>
      <c r="U2370">
        <f>290*U2369/1000</f>
        <v/>
      </c>
      <c r="V2370" t="inlineStr"/>
    </row>
    <row r="2371">
      <c r="A2371">
        <f>Skills!A5</f>
        <v/>
      </c>
      <c r="B2371">
        <f>Skills!B5</f>
        <v/>
      </c>
      <c r="C2371">
        <f>Inputs!$B$3&gt;=35</f>
        <v/>
      </c>
      <c r="D2371">
        <f>IF(Skills!C5=1,60+Inputs!$B$25+Inputs!$B$29,IF(Skills!C5=2,90+Inputs!$B$26+Inputs!$B$29,IF(Skills!C5=3,120+Inputs!$B$27+Inputs!$B$29,MAX(0,(Inputs!$B$3-100)*3)+Inputs!$B$28+Inputs!$B$29)))</f>
        <v/>
      </c>
      <c r="E2371">
        <f>INDEX(FactorTable!$B$2:$Y$301, MATCH(ROUND(MIN(300,MAX(1,D2371)),0), FactorTable!$A$2:$A$301,0), Skills!M5+1)</f>
        <v/>
      </c>
      <c r="F2371">
        <f>IF(Skills!N5=TRUE,(Skills!L5/10)*(E2371/1000),Skills!L5/10)+Skills!O5</f>
        <v/>
      </c>
      <c r="G2371">
        <f>Skills!G5*IF(Skills!H5&gt;0,Skills!I5/Skills!H5,1)</f>
        <v/>
      </c>
      <c r="H2371">
        <f>1-(1-Skills!J5/100)^Skills!K5</f>
        <v/>
      </c>
      <c r="I2371" t="inlineStr">
        <is>
          <t>1</t>
        </is>
      </c>
      <c r="J2371">
        <f>((Inputs!$B$6*(1+Inputs!$B$7/100))+(((Inputs!$B$12*(1+Inputs!$B$13/100))-(Inputs!$B$12*(1+Inputs!$B$13/100)))+0.25*(Inputs!$B$14-Inputs!$B$14))*(1+Inputs!$B$7/100))*(F2371/100)</f>
        <v/>
      </c>
      <c r="K2371">
        <f>J2371*(1+((Inputs!$B$12*(1+Inputs!$B$13/100))*0.01+Inputs!$B$14*0.0025)/100)*(1+Inputs!$B$15/100)*(1+Inputs!$B$16/100)*(5000/(6000+Inputs!$B$42*(1-(100*(1-(1-(Inputs!$B$19+0)/100)*(1-CHOOSE(ArtifactsInput!$N$40+1,5,6,7,8,9,10)/100)^(ArtifactsInput!$M$40-ArtifactsInput!$M$40)))/100)))*(1+(Inputs!$B$24+((C2390=TRUE)*(F2390-Calc!F24))+((C2391=TRUE)*(F2391-Calc!F25))+B2404)/100)*(1+(((1+IF(AND(ArtifactsInput!$M$36,IF(Inputs!$B$38="pvp",TRUE,AND(Inputs!$B$38&lt;&gt;"pvp",Inputs!$B$43&gt;0))),CHOOSE(ArtifactsInput!$N$36+1,8,9.6,11.2,12.8,14.4,16),0)/100)*(1+IF(AND(IF(ArtifactsInput!$M$32,FALSE,TRUE),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2374=TRUE,F2374,0)/100)*(1+(IF(Skills!A5="EMPOWERED_PIERCING_ARROW",Inputs!$B$17+((C2388=TRUE)*(F2388-Calc!F22))+(((IF(AND(ArtifactsInput!$M$42,((Inputs!$B$9+((C2385=TRUE)*(F2385-Calc!F19))+B2398+(ArtifactsInput!$M$24-ArtifactsInput!$M$24)*CHOOSE(ArtifactsInput!$N$24+1,10,12,14,16,18,20)+IF(ArtifactsInput!$M$10,CHOOSE(ArtifactsInput!$N$10+1,15,18,21,24,27,30)*(IF(Inputs!$B$38="pvp",MIN(15,15)/15,IF(AND(Inputs!$B$38&lt;&gt;"pvp",Inputs!$B$43&gt;0),MIN(15,Inputs!$B$43)/(Inputs!$B$43),0))),0)))&gt;=100),MIN(100,((Inputs!$B$9+((C2385=TRUE)*(F2385-Calc!F19))+B2398+(ArtifactsInput!$M$24-ArtifactsInput!$M$24)*CHOOSE(ArtifactsInput!$N$24+1,10,12,14,16,18,20)+IF(ArtifactsInput!$M$10,CHOOSE(ArtifactsInput!$N$10+1,15,18,21,24,27,30)*(IF(Inputs!$B$38="pvp",MIN(15,15)/15,IF(AND(Inputs!$B$38&lt;&gt;"pvp",Inputs!$B$43&gt;0),MIN(15,Inputs!$B$43)/(Inputs!$B$43),0))),0)))-100),0))*CHOOSE(ArtifactsInput!$N$42+1,0.6,0.72,0.84,0.96,1.08,1.2))),Inputs!$B$18+((C2393=TRUE)*(F2393-Calc!F27))+(IF(AND(ArtifactsInput!$M$42,((Inputs!$B$9+((C2385=TRUE)*(F2385-Calc!F19))+B2398+(ArtifactsInput!$M$24-ArtifactsInput!$M$24)*CHOOSE(ArtifactsInput!$N$24+1,10,12,14,16,18,20)+IF(ArtifactsInput!$M$10,CHOOSE(ArtifactsInput!$N$10+1,15,18,21,24,27,30)*(IF(Inputs!$B$38="pvp",MIN(15,15)/15,IF(AND(Inputs!$B$38&lt;&gt;"pvp",Inputs!$B$43&gt;0),MIN(15,Inputs!$B$43)/(Inputs!$B$43),0))),0)))&gt;=100),CHOOSE(ArtifactsInput!$N$42+1,40,48,56,64,72,80),0))))/100)*((1+(((C2379=TRUE)*F2379)+((C2380=TRUE)*IF(Inputs!$B$38="pvp",F2380,(1-Summary!$B$11)*(F2380)+Summary!$B$11*(0)))+((C2381=TRUE)*F2381*IF(AND(Inputs!$B$38&lt;&gt;"pvp",Inputs!$B$43&gt;0),(((R2381-1)*(Skills!T15*(1+Inputs!$B$34/100))+MIN((Skills!T15*(1+Inputs!$B$34/100)),MAX(0,Inputs!$B$43-((R2381-1)*Skills!D15))))/Inputs!$B$43),IF(Inputs!$B$38="pvp",MIN((Skills!T15*(1+Inputs!$B$34/100)),15)/15,(Skills!T15*(1+Inputs!$B$34/100))/Skills!D15)))+((C2378=TRUE)*F2378)+((C2395=TRUE)*(F2395-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2371)</f>
        <v/>
      </c>
      <c r="L2371">
        <f>K2371*(MIN(Inputs!$B$22+((C2389=TRUE)*(F2389-Calc!F23)),(Inputs!$B$23+((C2394=TRUE)*(F2394-Calc!F28))+(IF(ArtifactsInput!$M$15,CHOOSE(ArtifactsInput!$N$15+1,25,30,35,40,45,50)/100*(Inputs!$B$11-Inputs!$B$11),0))))/100+(Inputs!$B$23+((C2394=TRUE)*(F2394-Calc!F28))+(IF(ArtifactsInput!$M$15,CHOOSE(ArtifactsInput!$N$15+1,25,30,35,40,45,50)/100*(Inputs!$B$11-Inputs!$B$11),0)))/100)/2</f>
        <v/>
      </c>
      <c r="M2371">
        <f>L2371*(1+(Inputs!$B$10+0+B2403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371">
        <f>L2371*(1-MIN((Inputs!$B$9+((C2385=TRUE)*(F2385-Calc!F19))+B2398+(ArtifactsInput!$M$24-ArtifactsInput!$M$24)*CHOOSE(ArtifactsInput!$N$24+1,10,12,14,16,18,20)+(IF(AND(ArtifactsInput!$M$42,((Inputs!$B$9+((C2385=TRUE)*(F2385-Calc!F19))+B2398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2371*(MIN((Inputs!$B$9+((C2385=TRUE)*(F2385-Calc!F19))+B2398+(ArtifactsInput!$M$24-ArtifactsInput!$M$24)*CHOOSE(ArtifactsInput!$N$24+1,10,12,14,16,18,20)+(IF(AND(ArtifactsInput!$M$42,((Inputs!$B$9+((C2385=TRUE)*(F2385-Calc!F19))+B2398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371">
        <f>(1-Summary!$B$11)*T2371+Summary!$B$11*V2371</f>
        <v/>
      </c>
      <c r="P2371">
        <f>IF(B2408=0,0,O2371/B2408)</f>
        <v/>
      </c>
      <c r="Q2371">
        <f>IFERROR(1/IF(Inputs!$B$38="pvp",15,MAX(0.1,Skills!D5-IF(Skills!E5=TRUE,Inputs!$B$32,0))),0)</f>
        <v/>
      </c>
      <c r="R2371">
        <f>IF(AND(Inputs!$B$38&lt;&gt;"pvp",Inputs!$B$43&gt;0),IF(MAX(0,Inputs!$B$43-B2405)&lt;=0,0,(INT(MAX(0,Inputs!$B$43-B2405)/IF(Inputs!$B$38="pvp",15,MAX(0.1,Skills!D5-IF(Skills!E5=TRUE,Inputs!$B$32,0))))+1)),0)</f>
        <v/>
      </c>
      <c r="S2371">
        <f>IFERROR((H2371*N2371*IF(AND(Inputs!$B$38&lt;&gt;"pvp",Inputs!$B$43&gt;0),((Skills!G5*((R2371-1)*IF(Skills!H5&gt;0,Skills!I5/Skills!H5,1)+IF(Skills!H5&gt;0,MIN(Skills!I5,MAX(0,MAX(0,Inputs!$B$43-B2405)-((R2371-1)*IF(Inputs!$B$38="pvp",15,MAX(0.1,Skills!D5-IF(Skills!E5=TRUE,Inputs!$B$32,0))))))/Skills!H5,1)))/Inputs!$B$43),G2371*Q2371))/N2371*IF(Inputs!$B$38="pvp",1,(1-Summary!$B$11)*1+Summary!$B$11*(MIN(Skills!R5,Inputs!$B$37))),0)</f>
        <v/>
      </c>
      <c r="T2371">
        <f>IF(C2371,(H2371*N2371*IF(AND(Inputs!$B$38&lt;&gt;"pvp",Inputs!$B$43&gt;0),((Skills!G5*((R2371-1)*IF(Skills!H5&gt;0,Skills!I5/Skills!H5,1)+IF(Skills!H5&gt;0,MIN(Skills!I5,MAX(0,MAX(0,Inputs!$B$43-B2405)-((R2371-1)*IF(Inputs!$B$38="pvp",15,MAX(0.1,Skills!D5-IF(Skills!E5=TRUE,Inputs!$B$32,0))))))/Skills!H5,1)))/Inputs!$B$43),G2371*Q2371))*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Hunt"),CHOOSE(ArtifactsInput!$N$35+1,15,18,21,24,27,30)*(1-EXP(-(0.2*B2400)*5)),0)+IF(AND(ArtifactsInput!$M$22,Inputs!$B$4&lt;&gt;"Chapter Hunt"),CHOOSE(ArtifactsInput!$N$22+1,10,12,14,16,18,20)*((0*(((0.15*B2400*5))^0/1)+1*(((0.15*B2400*5))^1/1)+2*(((0.15*B2400*5))^2/2)+3*(((0.15*B2400*5))^3/6)+4*(((0.15*B2400*5))^4/24)+5*(((0.15*B2400*5))^5/120))/((((0.15*B2400*5))^0/1)+(((0.15*B2400*5))^1/1)+(((0.15*B2400*5))^2/2)+(((0.15*B2400*5))^3/6)+(((0.15*B2400*5))^4/24)+(((0.15*B2400*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2371*(1-MIN(100,(Inputs!$B$9+((C2385=TRUE)*(F2385-Calc!F19))+B2398+(ArtifactsInput!$M$24-ArtifactsInput!$M$24)*CHOOSE(ArtifactsInput!$N$24+1,10,12,14,16,18,20)+(IF(AND(ArtifactsInput!$M$42,((Inputs!$B$9+((C2385=TRUE)*(F2385-Calc!F19))+B2398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2371*(MIN(100,(Inputs!$B$9+((C2385=TRUE)*(F2385-Calc!F19))+B2398+(ArtifactsInput!$M$24-ArtifactsInput!$M$24)*CHOOSE(ArtifactsInput!$N$24+1,10,12,14,16,18,20)+(IF(AND(ArtifactsInput!$M$42,((Inputs!$B$9+((C2385=TRUE)*(F2385-Calc!F19))+B2398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2371*(1-MIN(100,(Inputs!$B$9+((C2385=TRUE)*(F2385-Calc!F19))+B2398+(ArtifactsInput!$M$24-ArtifactsInput!$M$24)*CHOOSE(ArtifactsInput!$N$24+1,10,12,14,16,18,20)+(IF(AND(ArtifactsInput!$M$42,((Inputs!$B$9+((C2385=TRUE)*(F2385-Calc!F19))+B2398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2371*(MIN(100,(Inputs!$B$9+((C2385=TRUE)*(F2385-Calc!F19))+B2398+(ArtifactsInput!$M$24-ArtifactsInput!$M$24)*CHOOSE(ArtifactsInput!$N$24+1,10,12,14,16,18,20)+(IF(AND(ArtifactsInput!$M$42,((Inputs!$B$9+((C2385=TRUE)*(F2385-Calc!F19))+B2398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371">
        <f>IF(C2371,(H2371*N2371*IF(AND(Inputs!$B$38&lt;&gt;"pvp",Inputs!$B$43&gt;0),((Skills!G5*((R2371-1)*IF(Skills!H5&gt;0,Skills!I5/Skills!H5,1)+IF(Skills!H5&gt;0,MIN(Skills!I5,MAX(0,MAX(0,Inputs!$B$43-B2405)-((R2371-1)*IF(Inputs!$B$38="pvp",15,MAX(0.1,Skills!D5-IF(Skills!E5=TRUE,Inputs!$B$32,0))))))/Skills!H5,1)))/Inputs!$B$43),G2371*Q2371))*IF(Inputs!$B$38="pvp",1,(1+(Inputs!$B$21+Skills!Q5+(IF(ArtifactsInput!$M$33,CHOOSE(ArtifactsInput!$N$33+1,30,36,42,48,54,60),0))+(IF(AND(ArtifactsInput!$M$35,Inputs!$B$4&lt;&gt;"Chapter Hunt"),CHOOSE(ArtifactsInput!$N$35+1,15,18,21,24,27,30)*(1-EXP(-(0.2*B2400)*5)),0)+IF(AND(ArtifactsInput!$M$22,Inputs!$B$4&lt;&gt;"Chapter Hunt"),CHOOSE(ArtifactsInput!$N$22+1,10,12,14,16,18,20)*((0*(((0.15*B2400*5))^0/1)+1*(((0.15*B2400*5))^1/1)+2*(((0.15*B2400*5))^2/2)+3*(((0.15*B2400*5))^3/6)+4*(((0.15*B2400*5))^4/24)+5*(((0.15*B2400*5))^5/120))/((((0.15*B2400*5))^0/1)+(((0.15*B2400*5))^1/1)+(((0.15*B2400*5))^2/2)+(((0.15*B2400*5))^3/6)+(((0.15*B2400*5))^4/24)+(((0.15*B2400*5))^5/120)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372">
      <c r="A2372">
        <f>Skills!A6</f>
        <v/>
      </c>
      <c r="B2372">
        <f>Skills!B6</f>
        <v/>
      </c>
      <c r="C2372">
        <f>Inputs!$B$3&gt;=63</f>
        <v/>
      </c>
      <c r="D2372">
        <f>IF(Skills!C6=1,60+Inputs!$B$25+Inputs!$B$29,IF(Skills!C6=2,90+Inputs!$B$26+Inputs!$B$29,IF(Skills!C6=3,120+Inputs!$B$27+Inputs!$B$29,MAX(0,(Inputs!$B$3-100)*3)+Inputs!$B$28+Inputs!$B$29)))</f>
        <v/>
      </c>
      <c r="E2372">
        <f>INDEX(FactorTable!$B$2:$Y$301, MATCH(ROUND(MIN(300,MAX(1,D2372)),0), FactorTable!$A$2:$A$301,0), Skills!M6+1)</f>
        <v/>
      </c>
      <c r="F2372">
        <f>IF(Skills!N6=TRUE,(Skills!L6/10)*(E2372/1000),Skills!L6/10)+Skills!O6</f>
        <v/>
      </c>
      <c r="G2372">
        <f>Skills!G6*IF(Skills!H6&gt;0,Skills!I6/Skills!H6,1)</f>
        <v/>
      </c>
      <c r="H2372">
        <f>1-(1-Skills!J6/100)^Skills!K6</f>
        <v/>
      </c>
      <c r="I2372" t="inlineStr">
        <is>
          <t>1</t>
        </is>
      </c>
      <c r="J2372">
        <f>((Inputs!$B$6*(1+Inputs!$B$7/100))+(((Inputs!$B$12*(1+Inputs!$B$13/100))-(Inputs!$B$12*(1+Inputs!$B$13/100)))+0.25*(Inputs!$B$14-Inputs!$B$14))*(1+Inputs!$B$7/100))*(F2372/100)</f>
        <v/>
      </c>
      <c r="K2372">
        <f>J2372*(1+((Inputs!$B$12*(1+Inputs!$B$13/100))*0.01+Inputs!$B$14*0.0025)/100)*(1+Inputs!$B$15/100)*(1+Inputs!$B$16/100)*(5000/(6000+Inputs!$B$42*(1-(100*(1-(1-(Inputs!$B$19+0)/100)*(1-CHOOSE(ArtifactsInput!$N$40+1,5,6,7,8,9,10)/100)^(ArtifactsInput!$M$40-ArtifactsInput!$M$40)))/100)))*(1+(Inputs!$B$24+((C2390=TRUE)*(F2390-Calc!F24))+((C2391=TRUE)*(F2391-Calc!F25))+B2404)/100)*(1+(((1+IF(AND(ArtifactsInput!$M$36,IF(Inputs!$B$38="pvp",TRUE,AND(Inputs!$B$38&lt;&gt;"pvp",Inputs!$B$43&gt;0))),CHOOSE(ArtifactsInput!$N$36+1,8,9.6,11.2,12.8,14.4,16),0)/100)*(1+IF(AND(IF(ArtifactsInput!$M$32,FALSE,TRUE),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2374=TRUE,F2374,0)/100)*(1+(IF(Skills!A6="EMPOWERED_PIERCING_ARROW",Inputs!$B$17+((C2388=TRUE)*(F2388-Calc!F22))+(((IF(AND(ArtifactsInput!$M$42,((Inputs!$B$9+((C2385=TRUE)*(F2385-Calc!F19))+B2398+(ArtifactsInput!$M$24-ArtifactsInput!$M$24)*CHOOSE(ArtifactsInput!$N$24+1,10,12,14,16,18,20)+IF(ArtifactsInput!$M$10,CHOOSE(ArtifactsInput!$N$10+1,15,18,21,24,27,30)*(IF(Inputs!$B$38="pvp",MIN(15,15)/15,IF(AND(Inputs!$B$38&lt;&gt;"pvp",Inputs!$B$43&gt;0),MIN(15,Inputs!$B$43)/(Inputs!$B$43),0))),0)))&gt;=100),MIN(100,((Inputs!$B$9+((C2385=TRUE)*(F2385-Calc!F19))+B2398+(ArtifactsInput!$M$24-ArtifactsInput!$M$24)*CHOOSE(ArtifactsInput!$N$24+1,10,12,14,16,18,20)+IF(ArtifactsInput!$M$10,CHOOSE(ArtifactsInput!$N$10+1,15,18,21,24,27,30)*(IF(Inputs!$B$38="pvp",MIN(15,15)/15,IF(AND(Inputs!$B$38&lt;&gt;"pvp",Inputs!$B$43&gt;0),MIN(15,Inputs!$B$43)/(Inputs!$B$43),0))),0)))-100),0))*CHOOSE(ArtifactsInput!$N$42+1,0.6,0.72,0.84,0.96,1.08,1.2))),Inputs!$B$18+((C2393=TRUE)*(F2393-Calc!F27))+(IF(AND(ArtifactsInput!$M$42,((Inputs!$B$9+((C2385=TRUE)*(F2385-Calc!F19))+B2398+(ArtifactsInput!$M$24-ArtifactsInput!$M$24)*CHOOSE(ArtifactsInput!$N$24+1,10,12,14,16,18,20)+IF(ArtifactsInput!$M$10,CHOOSE(ArtifactsInput!$N$10+1,15,18,21,24,27,30)*(IF(Inputs!$B$38="pvp",MIN(15,15)/15,IF(AND(Inputs!$B$38&lt;&gt;"pvp",Inputs!$B$43&gt;0),MIN(15,Inputs!$B$43)/(Inputs!$B$43),0))),0)))&gt;=100),CHOOSE(ArtifactsInput!$N$42+1,40,48,56,64,72,80),0))))/100)*((1+(((C2379=TRUE)*F2379)+((C2380=TRUE)*IF(Inputs!$B$38="pvp",F2380,(1-Summary!$B$11)*(F2380)+Summary!$B$11*(0)))+((C2381=TRUE)*F2381*IF(AND(Inputs!$B$38&lt;&gt;"pvp",Inputs!$B$43&gt;0),(((R2381-1)*(Skills!T15*(1+Inputs!$B$34/100))+MIN((Skills!T15*(1+Inputs!$B$34/100)),MAX(0,Inputs!$B$43-((R2381-1)*Skills!D15))))/Inputs!$B$43),IF(Inputs!$B$38="pvp",MIN((Skills!T15*(1+Inputs!$B$34/100)),15)/15,(Skills!T15*(1+Inputs!$B$34/100))/Skills!D15)))+((C2378=TRUE)*F2378)+((C2395=TRUE)*(F2395-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2372)</f>
        <v/>
      </c>
      <c r="L2372">
        <f>K2372*(MIN(Inputs!$B$22+((C2389=TRUE)*(F2389-Calc!F23)),(Inputs!$B$23+((C2394=TRUE)*(F2394-Calc!F28))+(IF(ArtifactsInput!$M$15,CHOOSE(ArtifactsInput!$N$15+1,25,30,35,40,45,50)/100*(Inputs!$B$11-Inputs!$B$11),0))))/100+(Inputs!$B$23+((C2394=TRUE)*(F2394-Calc!F28))+(IF(ArtifactsInput!$M$15,CHOOSE(ArtifactsInput!$N$15+1,25,30,35,40,45,50)/100*(Inputs!$B$11-Inputs!$B$11),0)))/100)/2</f>
        <v/>
      </c>
      <c r="M2372">
        <f>L2372*(1+(Inputs!$B$10+0+B2403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372">
        <f>L2372*(1-MIN((Inputs!$B$9+((C2385=TRUE)*(F2385-Calc!F19))+B2398+(ArtifactsInput!$M$24-ArtifactsInput!$M$24)*CHOOSE(ArtifactsInput!$N$24+1,10,12,14,16,18,20)+(IF(AND(ArtifactsInput!$M$42,((Inputs!$B$9+((C2385=TRUE)*(F2385-Calc!F19))+B2398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2372*(MIN((Inputs!$B$9+((C2385=TRUE)*(F2385-Calc!F19))+B2398+(ArtifactsInput!$M$24-ArtifactsInput!$M$24)*CHOOSE(ArtifactsInput!$N$24+1,10,12,14,16,18,20)+(IF(AND(ArtifactsInput!$M$42,((Inputs!$B$9+((C2385=TRUE)*(F2385-Calc!F19))+B2398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372">
        <f>(1-Summary!$B$11)*T2372+Summary!$B$11*V2372</f>
        <v/>
      </c>
      <c r="P2372">
        <f>IF(B2408=0,0,O2372/B2408)</f>
        <v/>
      </c>
      <c r="Q2372">
        <f>IFERROR(1/IF(Inputs!$B$38="pvp",15,MAX(0.1,Skills!D6-IF(Skills!E6=TRUE,Inputs!$B$32,0))),0)</f>
        <v/>
      </c>
      <c r="R2372">
        <f>IF(AND(Inputs!$B$38&lt;&gt;"pvp",Inputs!$B$43&gt;0),IF(MAX(0,Inputs!$B$43-B2405)&lt;=0,0,(INT(MAX(0,Inputs!$B$43-B2405)/IF(Inputs!$B$38="pvp",15,MAX(0.1,Skills!D6-IF(Skills!E6=TRUE,Inputs!$B$32,0))))+1)),0)</f>
        <v/>
      </c>
      <c r="S2372">
        <f>IFERROR((H2372*N2372*IF(AND(Inputs!$B$38&lt;&gt;"pvp",Inputs!$B$43&gt;0),((Skills!G6*((R2372-1)*IF(Skills!H6&gt;0,Skills!I6/Skills!H6,1)+IF(Skills!H6&gt;0,MIN(Skills!I6,MAX(0,MAX(0,Inputs!$B$43-B2405)-((R2372-1)*IF(Inputs!$B$38="pvp",15,MAX(0.1,Skills!D6-IF(Skills!E6=TRUE,Inputs!$B$32,0))))))/Skills!H6,1)))/Inputs!$B$43),G2372*Q2372))/N2372*IF(Inputs!$B$38="pvp",1,(1-Summary!$B$11)*1+Summary!$B$11*(MIN(Skills!R6,Inputs!$B$37))),0)</f>
        <v/>
      </c>
      <c r="T2372">
        <f>IF(C2372,(H2372*N2372*IF(AND(Inputs!$B$38&lt;&gt;"pvp",Inputs!$B$43&gt;0),((Skills!G6*((R2372-1)*IF(Skills!H6&gt;0,Skills!I6/Skills!H6,1)+IF(Skills!H6&gt;0,MIN(Skills!I6,MAX(0,MAX(0,Inputs!$B$43-B2405)-((R2372-1)*IF(Inputs!$B$38="pvp",15,MAX(0.1,Skills!D6-IF(Skills!E6=TRUE,Inputs!$B$32,0))))))/Skills!H6,1)))/Inputs!$B$43),G2372*Q2372))*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Hunt"),CHOOSE(ArtifactsInput!$N$35+1,15,18,21,24,27,30)*(1-EXP(-(0.2*B2400)*5)),0)+IF(AND(ArtifactsInput!$M$22,Inputs!$B$4&lt;&gt;"Chapter Hunt"),CHOOSE(ArtifactsInput!$N$22+1,10,12,14,16,18,20)*((0*(((0.15*B2400*5))^0/1)+1*(((0.15*B2400*5))^1/1)+2*(((0.15*B2400*5))^2/2)+3*(((0.15*B2400*5))^3/6)+4*(((0.15*B2400*5))^4/24)+5*(((0.15*B2400*5))^5/120))/((((0.15*B2400*5))^0/1)+(((0.15*B2400*5))^1/1)+(((0.15*B2400*5))^2/2)+(((0.15*B2400*5))^3/6)+(((0.15*B2400*5))^4/24)+(((0.15*B2400*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2372*(1-MIN(100,(Inputs!$B$9+((C2385=TRUE)*(F2385-Calc!F19))+B2398+(ArtifactsInput!$M$24-ArtifactsInput!$M$24)*CHOOSE(ArtifactsInput!$N$24+1,10,12,14,16,18,20)+(IF(AND(ArtifactsInput!$M$42,((Inputs!$B$9+((C2385=TRUE)*(F2385-Calc!F19))+B2398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2372*(MIN(100,(Inputs!$B$9+((C2385=TRUE)*(F2385-Calc!F19))+B2398+(ArtifactsInput!$M$24-ArtifactsInput!$M$24)*CHOOSE(ArtifactsInput!$N$24+1,10,12,14,16,18,20)+(IF(AND(ArtifactsInput!$M$42,((Inputs!$B$9+((C2385=TRUE)*(F2385-Calc!F19))+B2398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2372*(1-MIN(100,(Inputs!$B$9+((C2385=TRUE)*(F2385-Calc!F19))+B2398+(ArtifactsInput!$M$24-ArtifactsInput!$M$24)*CHOOSE(ArtifactsInput!$N$24+1,10,12,14,16,18,20)+(IF(AND(ArtifactsInput!$M$42,((Inputs!$B$9+((C2385=TRUE)*(F2385-Calc!F19))+B2398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2372*(MIN(100,(Inputs!$B$9+((C2385=TRUE)*(F2385-Calc!F19))+B2398+(ArtifactsInput!$M$24-ArtifactsInput!$M$24)*CHOOSE(ArtifactsInput!$N$24+1,10,12,14,16,18,20)+(IF(AND(ArtifactsInput!$M$42,((Inputs!$B$9+((C2385=TRUE)*(F2385-Calc!F19))+B2398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372">
        <f>IF(C2372,(H2372*N2372*IF(AND(Inputs!$B$38&lt;&gt;"pvp",Inputs!$B$43&gt;0),((Skills!G6*((R2372-1)*IF(Skills!H6&gt;0,Skills!I6/Skills!H6,1)+IF(Skills!H6&gt;0,MIN(Skills!I6,MAX(0,MAX(0,Inputs!$B$43-B2405)-((R2372-1)*IF(Inputs!$B$38="pvp",15,MAX(0.1,Skills!D6-IF(Skills!E6=TRUE,Inputs!$B$32,0))))))/Skills!H6,1)))/Inputs!$B$43),G2372*Q2372))*IF(Inputs!$B$38="pvp",1,(1+(Inputs!$B$21+Skills!Q6+(IF(ArtifactsInput!$M$33,CHOOSE(ArtifactsInput!$N$33+1,30,36,42,48,54,60),0))+(IF(AND(ArtifactsInput!$M$35,Inputs!$B$4&lt;&gt;"Chapter Hunt"),CHOOSE(ArtifactsInput!$N$35+1,15,18,21,24,27,30)*(1-EXP(-(0.2*B2400)*5)),0)+IF(AND(ArtifactsInput!$M$22,Inputs!$B$4&lt;&gt;"Chapter Hunt"),CHOOSE(ArtifactsInput!$N$22+1,10,12,14,16,18,20)*((0*(((0.15*B2400*5))^0/1)+1*(((0.15*B2400*5))^1/1)+2*(((0.15*B2400*5))^2/2)+3*(((0.15*B2400*5))^3/6)+4*(((0.15*B2400*5))^4/24)+5*(((0.15*B2400*5))^5/120))/((((0.15*B2400*5))^0/1)+(((0.15*B2400*5))^1/1)+(((0.15*B2400*5))^2/2)+(((0.15*B2400*5))^3/6)+(((0.15*B2400*5))^4/24)+(((0.15*B2400*5))^5/120))),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373">
      <c r="A2373">
        <f>Skills!A7</f>
        <v/>
      </c>
      <c r="B2373">
        <f>Skills!B7</f>
        <v/>
      </c>
      <c r="C2373">
        <f>Inputs!$B$3&gt;=69</f>
        <v/>
      </c>
      <c r="D2373">
        <f>IF(Skills!C7=1,60+Inputs!$B$25+Inputs!$B$29,IF(Skills!C7=2,90+Inputs!$B$26+Inputs!$B$29,IF(Skills!C7=3,120+Inputs!$B$27+Inputs!$B$29,MAX(0,(Inputs!$B$3-100)*3)+Inputs!$B$28+Inputs!$B$29)))</f>
        <v/>
      </c>
      <c r="E2373">
        <f>INDEX(FactorTable!$B$2:$Y$301, MATCH(ROUND(MIN(300,MAX(1,D2373)),0), FactorTable!$A$2:$A$301,0), Skills!M7+1)</f>
        <v/>
      </c>
      <c r="F2373">
        <f>IF(Skills!N7=TRUE,(Skills!L7/10)*(E2373/1000),Skills!L7/10)+Skills!O7</f>
        <v/>
      </c>
      <c r="G2373">
        <f>Skills!G7*IF(Skills!H7&gt;0,Skills!I7/Skills!H7,1)</f>
        <v/>
      </c>
      <c r="H2373">
        <f>1-(1-Skills!J7/100)^Skills!K7</f>
        <v/>
      </c>
      <c r="I2373" t="inlineStr">
        <is>
          <t>1</t>
        </is>
      </c>
      <c r="J2373">
        <f>((Inputs!$B$6*(1+Inputs!$B$7/100))+(((Inputs!$B$12*(1+Inputs!$B$13/100))-(Inputs!$B$12*(1+Inputs!$B$13/100)))+0.25*(Inputs!$B$14-Inputs!$B$14))*(1+Inputs!$B$7/100))*(F2373/100)</f>
        <v/>
      </c>
      <c r="K2373">
        <f>J2373*(1+((Inputs!$B$12*(1+Inputs!$B$13/100))*0.01+Inputs!$B$14*0.0025)/100)*(1+Inputs!$B$15/100)*(1+Inputs!$B$16/100)*(5000/(6000+Inputs!$B$42*(1-(100*(1-(1-(Inputs!$B$19+0)/100)*(1-CHOOSE(ArtifactsInput!$N$40+1,5,6,7,8,9,10)/100)^(ArtifactsInput!$M$40-ArtifactsInput!$M$40)))/100)))*(1+(Inputs!$B$24+((C2390=TRUE)*(F2390-Calc!F24))+((C2391=TRUE)*(F2391-Calc!F25))+B2404)/100)*(1+(((1+IF(AND(ArtifactsInput!$M$36,IF(Inputs!$B$38="pvp",TRUE,AND(Inputs!$B$38&lt;&gt;"pvp",Inputs!$B$43&gt;0))),CHOOSE(ArtifactsInput!$N$36+1,8,9.6,11.2,12.8,14.4,16),0)/100)*(1+IF(AND(IF(ArtifactsInput!$M$32,FALSE,TRUE),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+1.2*IF(C2374=TRUE,F2374,0)/100)*(1+(IF(Skills!A7="EMPOWERED_PIERCING_ARROW",Inputs!$B$17+((C2388=TRUE)*(F2388-Calc!F22))+(((IF(AND(ArtifactsInput!$M$42,((Inputs!$B$9+((C2385=TRUE)*(F2385-Calc!F19))+B2398+(ArtifactsInput!$M$24-ArtifactsInput!$M$24)*CHOOSE(ArtifactsInput!$N$24+1,10,12,14,16,18,20)+IF(ArtifactsInput!$M$10,CHOOSE(ArtifactsInput!$N$10+1,15,18,21,24,27,30)*(IF(Inputs!$B$38="pvp",MIN(15,15)/15,IF(AND(Inputs!$B$38&lt;&gt;"pvp",Inputs!$B$43&gt;0),MIN(15,Inputs!$B$43)/(Inputs!$B$43),0))),0)))&gt;=100),MIN(100,((Inputs!$B$9+((C2385=TRUE)*(F2385-Calc!F19))+B2398+(ArtifactsInput!$M$24-ArtifactsInput!$M$24)*CHOOSE(ArtifactsInput!$N$24+1,10,12,14,16,18,20)+IF(ArtifactsInput!$M$10,CHOOSE(ArtifactsInput!$N$10+1,15,18,21,24,27,30)*(IF(Inputs!$B$38="pvp",MIN(15,15)/15,IF(AND(Inputs!$B$38&lt;&gt;"pvp",Inputs!$B$43&gt;0),MIN(15,Inputs!$B$43)/(Inputs!$B$43),0))),0)))-100),0))*CHOOSE(ArtifactsInput!$N$42+1,0.6,0.72,0.84,0.96,1.08,1.2))),Inputs!$B$18+((C2393=TRUE)*(F2393-Calc!F27))+(IF(AND(ArtifactsInput!$M$42,((Inputs!$B$9+((C2385=TRUE)*(F2385-Calc!F19))+B2398+(ArtifactsInput!$M$24-ArtifactsInput!$M$24)*CHOOSE(ArtifactsInput!$N$24+1,10,12,14,16,18,20)+IF(ArtifactsInput!$M$10,CHOOSE(ArtifactsInput!$N$10+1,15,18,21,24,27,30)*(IF(Inputs!$B$38="pvp",MIN(15,15)/15,IF(AND(Inputs!$B$38&lt;&gt;"pvp",Inputs!$B$43&gt;0),MIN(15,Inputs!$B$43)/(Inputs!$B$43),0))),0)))&gt;=100),CHOOSE(ArtifactsInput!$N$42+1,40,48,56,64,72,80),0))))/100)*((1+(((C2379=TRUE)*F2379)+((C2380=TRUE)*IF(Inputs!$B$38="pvp",F2380,(1-Summary!$B$11)*(F2380)+Summary!$B$11*(0)))+((C2381=TRUE)*F2381*IF(AND(Inputs!$B$38&lt;&gt;"pvp",Inputs!$B$43&gt;0),(((R2381-1)*(Skills!T15*(1+Inputs!$B$34/100))+MIN((Skills!T15*(1+Inputs!$B$34/100)),MAX(0,Inputs!$B$43-((R2381-1)*Skills!D15))))/Inputs!$B$43),IF(Inputs!$B$38="pvp",MIN((Skills!T15*(1+Inputs!$B$34/100)),15)/15,(Skills!T15*(1+Inputs!$B$34/100))/Skills!D15)))+((C2378=TRUE)*F2378)+((C2395=TRUE)*(F2395-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2373)</f>
        <v/>
      </c>
      <c r="L2373">
        <f>K2373*(MIN(Inputs!$B$22+((C2389=TRUE)*(F2389-Calc!F23)),(Inputs!$B$23+((C2394=TRUE)*(F2394-Calc!F28))+(IF(ArtifactsInput!$M$15,CHOOSE(ArtifactsInput!$N$15+1,25,30,35,40,45,50)/100*(Inputs!$B$11-Inputs!$B$11),0))))/100+(Inputs!$B$23+((C2394=TRUE)*(F2394-Calc!F28))+(IF(ArtifactsInput!$M$15,CHOOSE(ArtifactsInput!$N$15+1,25,30,35,40,45,50)/100*(Inputs!$B$11-Inputs!$B$11),0)))/100)/2</f>
        <v/>
      </c>
      <c r="M2373">
        <f>L2373*(1+(Inputs!$B$10+0+B2403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373">
        <f>L2373*(1-MIN((Inputs!$B$9+((C2385=TRUE)*(F2385-Calc!F19))+B2398+(ArtifactsInput!$M$24-ArtifactsInput!$M$24)*CHOOSE(ArtifactsInput!$N$24+1,10,12,14,16,18,20)+(IF(AND(ArtifactsInput!$M$42,((Inputs!$B$9+((C2385=TRUE)*(F2385-Calc!F19))+B2398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2373*(MIN((Inputs!$B$9+((C2385=TRUE)*(F2385-Calc!F19))+B2398+(ArtifactsInput!$M$24-ArtifactsInput!$M$24)*CHOOSE(ArtifactsInput!$N$24+1,10,12,14,16,18,20)+(IF(AND(ArtifactsInput!$M$42,((Inputs!$B$9+((C2385=TRUE)*(F2385-Calc!F19))+B2398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373">
        <f>(1-Summary!$B$11)*T2373+Summary!$B$11*V2373</f>
        <v/>
      </c>
      <c r="P2373">
        <f>IF(B2408=0,0,O2373/B2408)</f>
        <v/>
      </c>
      <c r="Q2373">
        <f>IFERROR(1/IF(Inputs!$B$38="pvp",15,MAX(0.1,Skills!D7-IF(Skills!E7=TRUE,Inputs!$B$32,0))),0)</f>
        <v/>
      </c>
      <c r="R2373">
        <f>IF(AND(Inputs!$B$38&lt;&gt;"pvp",Inputs!$B$43&gt;0),IF(MAX(0,Inputs!$B$43-B2405)&lt;=0,0,(INT(MAX(0,Inputs!$B$43-B2405)/IF(Inputs!$B$38="pvp",15,MAX(0.1,Skills!D7-IF(Skills!E7=TRUE,Inputs!$B$32,0))))+1)),0)</f>
        <v/>
      </c>
      <c r="S2373">
        <f>IFERROR((H2373*N2373*IF(AND(Inputs!$B$38&lt;&gt;"pvp",Inputs!$B$43&gt;0),((Skills!G7*((R2373-1)*IF(Skills!H7&gt;0,Skills!I7/Skills!H7,1)+IF(Skills!H7&gt;0,MIN(Skills!I7,MAX(0,MAX(0,Inputs!$B$43-B2405)-((R2373-1)*IF(Inputs!$B$38="pvp",15,MAX(0.1,Skills!D7-IF(Skills!E7=TRUE,Inputs!$B$32,0))))))/Skills!H7,1)))/Inputs!$B$43),G2373*Q2373))/N2373*IF(Inputs!$B$38="pvp",1,(1-Summary!$B$11)*1+Summary!$B$11*(MIN(Skills!R7,Inputs!$B$37))),0)</f>
        <v/>
      </c>
      <c r="T2373">
        <f>IF(C2373,(H2373*N2373*IF(AND(Inputs!$B$38&lt;&gt;"pvp",Inputs!$B$43&gt;0),((Skills!G7*((R2373-1)*IF(Skills!H7&gt;0,Skills!I7/Skills!H7,1)+IF(Skills!H7&gt;0,MIN(Skills!I7,MAX(0,MAX(0,Inputs!$B$43-B2405)-((R2373-1)*IF(Inputs!$B$38="pvp",15,MAX(0.1,Skills!D7-IF(Skills!E7=TRUE,Inputs!$B$32,0))))))/Skills!H7,1)))/Inputs!$B$43),G2373*Q2373))*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Hunt"),CHOOSE(ArtifactsInput!$N$35+1,15,18,21,24,27,30)*(1-EXP(-(0.2*B2400)*5)),0)+IF(AND(ArtifactsInput!$M$22,Inputs!$B$4&lt;&gt;"Chapter Hunt"),CHOOSE(ArtifactsInput!$N$22+1,10,12,14,16,18,20)*((0*(((0.15*B2400*5))^0/1)+1*(((0.15*B2400*5))^1/1)+2*(((0.15*B2400*5))^2/2)+3*(((0.15*B2400*5))^3/6)+4*(((0.15*B2400*5))^4/24)+5*(((0.15*B2400*5))^5/120))/((((0.15*B2400*5))^0/1)+(((0.15*B2400*5))^1/1)+(((0.15*B2400*5))^2/2)+(((0.15*B2400*5))^3/6)+(((0.15*B2400*5))^4/24)+(((0.15*B2400*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2373*(1-MIN(100,(Inputs!$B$9+((C2385=TRUE)*(F2385-Calc!F19))+B2398+(ArtifactsInput!$M$24-ArtifactsInput!$M$24)*CHOOSE(ArtifactsInput!$N$24+1,10,12,14,16,18,20)+(IF(AND(ArtifactsInput!$M$42,((Inputs!$B$9+((C2385=TRUE)*(F2385-Calc!F19))+B2398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2373*(MIN(100,(Inputs!$B$9+((C2385=TRUE)*(F2385-Calc!F19))+B2398+(ArtifactsInput!$M$24-ArtifactsInput!$M$24)*CHOOSE(ArtifactsInput!$N$24+1,10,12,14,16,18,20)+(IF(AND(ArtifactsInput!$M$42,((Inputs!$B$9+((C2385=TRUE)*(F2385-Calc!F19))+B2398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2373*(1-MIN(100,(Inputs!$B$9+((C2385=TRUE)*(F2385-Calc!F19))+B2398+(ArtifactsInput!$M$24-ArtifactsInput!$M$24)*CHOOSE(ArtifactsInput!$N$24+1,10,12,14,16,18,20)+(IF(AND(ArtifactsInput!$M$42,((Inputs!$B$9+((C2385=TRUE)*(F2385-Calc!F19))+B2398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2373*(MIN(100,(Inputs!$B$9+((C2385=TRUE)*(F2385-Calc!F19))+B2398+(ArtifactsInput!$M$24-ArtifactsInput!$M$24)*CHOOSE(ArtifactsInput!$N$24+1,10,12,14,16,18,20)+(IF(AND(ArtifactsInput!$M$42,((Inputs!$B$9+((C2385=TRUE)*(F2385-Calc!F19))+B2398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373">
        <f>IF(C2373,(H2373*N2373*IF(AND(Inputs!$B$38&lt;&gt;"pvp",Inputs!$B$43&gt;0),((Skills!G7*((R2373-1)*IF(Skills!H7&gt;0,Skills!I7/Skills!H7,1)+IF(Skills!H7&gt;0,MIN(Skills!I7,MAX(0,MAX(0,Inputs!$B$43-B2405)-((R2373-1)*IF(Inputs!$B$38="pvp",15,MAX(0.1,Skills!D7-IF(Skills!E7=TRUE,Inputs!$B$32,0))))))/Skills!H7,1)))/Inputs!$B$43),G2373*Q2373))*IF(Inputs!$B$38="pvp",1,(1+(Inputs!$B$21+Skills!Q7+(IF(ArtifactsInput!$M$33,CHOOSE(ArtifactsInput!$N$33+1,30,36,42,48,54,60),0))+(IF(AND(ArtifactsInput!$M$35,Inputs!$B$4&lt;&gt;"Chapter Hunt"),CHOOSE(ArtifactsInput!$N$35+1,15,18,21,24,27,30)*(1-EXP(-(0.2*B2400)*5)),0)+IF(AND(ArtifactsInput!$M$22,Inputs!$B$4&lt;&gt;"Chapter Hunt"),CHOOSE(ArtifactsInput!$N$22+1,10,12,14,16,18,20)*((0*(((0.15*B2400*5))^0/1)+1*(((0.15*B2400*5))^1/1)+2*(((0.15*B2400*5))^2/2)+3*(((0.15*B2400*5))^3/6)+4*(((0.15*B2400*5))^4/24)+5*(((0.15*B2400*5))^5/120))/((((0.15*B2400*5))^0/1)+(((0.15*B2400*5))^1/1)+(((0.15*B2400*5))^2/2)+(((0.15*B2400*5))^3/6)+(((0.15*B2400*5))^4/24)+(((0.15*B2400*5))^5/120))),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374">
      <c r="A2374">
        <f>Skills!A8</f>
        <v/>
      </c>
      <c r="B2374">
        <f>Skills!B8</f>
        <v/>
      </c>
      <c r="C2374">
        <f>Inputs!$B$3&gt;=100</f>
        <v/>
      </c>
      <c r="D2374">
        <f>IF(Skills!C8=1,60+Inputs!$B$25+Inputs!$B$29,IF(Skills!C8=2,90+Inputs!$B$26+Inputs!$B$29,IF(Skills!C8=3,120+Inputs!$B$27+Inputs!$B$29,MAX(0,(Inputs!$B$3-100)*3)+Inputs!$B$28+Inputs!$B$29)))</f>
        <v/>
      </c>
      <c r="E2374">
        <f>INDEX(FactorTable!$B$2:$Y$301, MATCH(ROUND(MIN(300,MAX(1,D2374)),0), FactorTable!$A$2:$A$301,0), Skills!M8+1)</f>
        <v/>
      </c>
      <c r="F2374">
        <f>IF(Skills!N8=TRUE,(Skills!L8/10)*(E2374/1000),Skills!L8/10)+Skills!O8</f>
        <v/>
      </c>
      <c r="G2374" t="inlineStr"/>
      <c r="H2374" t="inlineStr"/>
      <c r="I2374" t="inlineStr">
        <is>
          <t>1</t>
        </is>
      </c>
      <c r="J2374" t="inlineStr"/>
      <c r="K2374" t="inlineStr"/>
      <c r="L2374" t="inlineStr"/>
      <c r="M2374" t="inlineStr"/>
      <c r="N2374" t="inlineStr"/>
      <c r="O2374" t="inlineStr"/>
      <c r="P2374" t="inlineStr"/>
      <c r="Q2374" t="inlineStr"/>
      <c r="R2374" t="inlineStr"/>
      <c r="S2374" t="inlineStr"/>
      <c r="T2374" t="inlineStr"/>
      <c r="V2374" t="inlineStr"/>
    </row>
    <row r="2375">
      <c r="A2375">
        <f>Skills!A9</f>
        <v/>
      </c>
      <c r="B2375">
        <f>Skills!B9</f>
        <v/>
      </c>
      <c r="C2375">
        <f>Inputs!$B$3&gt;=103</f>
        <v/>
      </c>
      <c r="D2375">
        <f>IF(Skills!C9=1,60+Inputs!$B$25+Inputs!$B$29,IF(Skills!C9=2,90+Inputs!$B$26+Inputs!$B$29,IF(Skills!C9=3,120+Inputs!$B$27+Inputs!$B$29,MAX(0,(Inputs!$B$3-100)*3)+Inputs!$B$28+Inputs!$B$29)))</f>
        <v/>
      </c>
      <c r="E2375">
        <f>INDEX(FactorTable!$B$2:$Y$301, MATCH(ROUND(MIN(300,MAX(1,D2375)),0), FactorTable!$A$2:$A$301,0), Skills!M9+1)</f>
        <v/>
      </c>
      <c r="F2375">
        <f>IF(Skills!N9=TRUE,(Skills!L9/10)*(E2375/1000),Skills!L9/10)+Skills!O9</f>
        <v/>
      </c>
      <c r="G2375">
        <f>Skills!G9*IF(Skills!H9&gt;0,Skills!I9/Skills!H9,1)</f>
        <v/>
      </c>
      <c r="H2375">
        <f>1-(1-Skills!J9/100)^Skills!K9</f>
        <v/>
      </c>
      <c r="I2375" t="inlineStr">
        <is>
          <t>1</t>
        </is>
      </c>
      <c r="J2375">
        <f>((Inputs!$B$6*(1+Inputs!$B$7/100))+(((Inputs!$B$12*(1+Inputs!$B$13/100))-(Inputs!$B$12*(1+Inputs!$B$13/100)))+0.25*(Inputs!$B$14-Inputs!$B$14))*(1+Inputs!$B$7/100))*(F2375/100)</f>
        <v/>
      </c>
      <c r="K2375">
        <f>J2375*(1+((Inputs!$B$12*(1+Inputs!$B$13/100))*0.01+Inputs!$B$14*0.0025)/100)*(1+Inputs!$B$15/100)*(1+Inputs!$B$16/100)*(5000/(6000+Inputs!$B$42*(1-(100*(1-(1-(Inputs!$B$19+0)/100)*(1-CHOOSE(ArtifactsInput!$N$40+1,5,6,7,8,9,10)/100)^(ArtifactsInput!$M$40-ArtifactsInput!$M$40)))/100)))*(1+(Inputs!$B$24+((C2390=TRUE)*(F2390-Calc!F24))+((C2391=TRUE)*(F2391-Calc!F25))+B2404)/100)*(1+(((1+IF(AND(ArtifactsInput!$M$36,IF(Inputs!$B$38="pvp",TRUE,AND(Inputs!$B$38&lt;&gt;"pvp",Inputs!$B$43&gt;0))),CHOOSE(ArtifactsInput!$N$36+1,8,9.6,11.2,12.8,14.4,16),0)/100)*(1+IF(AND(IF(ArtifactsInput!$M$32,FALSE,TRUE),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EMPOWERED_PIERCING_ARROW",Inputs!$B$17+((C2388=TRUE)*(F2388-Calc!F22))+(((IF(AND(ArtifactsInput!$M$42,((Inputs!$B$9+((C2385=TRUE)*(F2385-Calc!F19))+B2398+(ArtifactsInput!$M$24-ArtifactsInput!$M$24)*CHOOSE(ArtifactsInput!$N$24+1,10,12,14,16,18,20)+IF(ArtifactsInput!$M$10,CHOOSE(ArtifactsInput!$N$10+1,15,18,21,24,27,30)*(IF(Inputs!$B$38="pvp",MIN(15,15)/15,IF(AND(Inputs!$B$38&lt;&gt;"pvp",Inputs!$B$43&gt;0),MIN(15,Inputs!$B$43)/(Inputs!$B$43),0))),0)))&gt;=100),MIN(100,((Inputs!$B$9+((C2385=TRUE)*(F2385-Calc!F19))+B2398+(ArtifactsInput!$M$24-ArtifactsInput!$M$24)*CHOOSE(ArtifactsInput!$N$24+1,10,12,14,16,18,20)+IF(ArtifactsInput!$M$10,CHOOSE(ArtifactsInput!$N$10+1,15,18,21,24,27,30)*(IF(Inputs!$B$38="pvp",MIN(15,15)/15,IF(AND(Inputs!$B$38&lt;&gt;"pvp",Inputs!$B$43&gt;0),MIN(15,Inputs!$B$43)/(Inputs!$B$43),0))),0)))-100),0))*CHOOSE(ArtifactsInput!$N$42+1,0.6,0.72,0.84,0.96,1.08,1.2))),Inputs!$B$18+((C2393=TRUE)*(F2393-Calc!F27))+(IF(AND(ArtifactsInput!$M$42,((Inputs!$B$9+((C2385=TRUE)*(F2385-Calc!F19))+B2398+(ArtifactsInput!$M$24-ArtifactsInput!$M$24)*CHOOSE(ArtifactsInput!$N$24+1,10,12,14,16,18,20)+IF(ArtifactsInput!$M$10,CHOOSE(ArtifactsInput!$N$10+1,15,18,21,24,27,30)*(IF(Inputs!$B$38="pvp",MIN(15,15)/15,IF(AND(Inputs!$B$38&lt;&gt;"pvp",Inputs!$B$43&gt;0),MIN(15,Inputs!$B$43)/(Inputs!$B$43),0))),0)))&gt;=100),CHOOSE(ArtifactsInput!$N$42+1,40,48,56,64,72,80),0))))/100)*((1+(((C2379=TRUE)*F2379)+((C2380=TRUE)*IF(Inputs!$B$38="pvp",F2380,(1-Summary!$B$11)*(F2380)+Summary!$B$11*(0)))+((C2381=TRUE)*F2381*IF(AND(Inputs!$B$38&lt;&gt;"pvp",Inputs!$B$43&gt;0),(((R2381-1)*(Skills!T15*(1+Inputs!$B$34/100))+MIN((Skills!T15*(1+Inputs!$B$34/100)),MAX(0,Inputs!$B$43-((R2381-1)*Skills!D15))))/Inputs!$B$43),IF(Inputs!$B$38="pvp",MIN((Skills!T15*(1+Inputs!$B$34/100)),15)/15,(Skills!T15*(1+Inputs!$B$34/100))/Skills!D15)))+((C2378=TRUE)*F2378)+((C2395=TRUE)*(F2395-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2375)</f>
        <v/>
      </c>
      <c r="L2375">
        <f>K2375*(MIN(Inputs!$B$22+((C2389=TRUE)*(F2389-Calc!F23)),(Inputs!$B$23+((C2394=TRUE)*(F2394-Calc!F28))+(IF(ArtifactsInput!$M$15,CHOOSE(ArtifactsInput!$N$15+1,25,30,35,40,45,50)/100*(Inputs!$B$11-Inputs!$B$11),0))))/100+(Inputs!$B$23+((C2394=TRUE)*(F2394-Calc!F28))+(IF(ArtifactsInput!$M$15,CHOOSE(ArtifactsInput!$N$15+1,25,30,35,40,45,50)/100*(Inputs!$B$11-Inputs!$B$11),0)))/100)/2</f>
        <v/>
      </c>
      <c r="M2375">
        <f>L2375*(1+(Inputs!$B$10+0+B2403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375">
        <f>L2375*(1-MIN((Inputs!$B$9+((C2385=TRUE)*(F2385-Calc!F19))+B2398+(ArtifactsInput!$M$24-ArtifactsInput!$M$24)*CHOOSE(ArtifactsInput!$N$24+1,10,12,14,16,18,20)+(IF(AND(ArtifactsInput!$M$42,((Inputs!$B$9+((C2385=TRUE)*(F2385-Calc!F19))+B2398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2375*(MIN((Inputs!$B$9+((C2385=TRUE)*(F2385-Calc!F19))+B2398+(ArtifactsInput!$M$24-ArtifactsInput!$M$24)*CHOOSE(ArtifactsInput!$N$24+1,10,12,14,16,18,20)+(IF(AND(ArtifactsInput!$M$42,((Inputs!$B$9+((C2385=TRUE)*(F2385-Calc!F19))+B2398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375">
        <f>(1-Summary!$B$11)*T2375+Summary!$B$11*V2375</f>
        <v/>
      </c>
      <c r="P2375">
        <f>IF(B2408=0,0,O2375/B2408)</f>
        <v/>
      </c>
      <c r="Q2375">
        <f>IFERROR(1/IF(Inputs!$B$38="pvp",15,MAX(0.1,Skills!D9-IF(Skills!E9=TRUE,Inputs!$B$32,0))),0)</f>
        <v/>
      </c>
      <c r="R2375">
        <f>IF(AND(Inputs!$B$38&lt;&gt;"pvp",Inputs!$B$43&gt;0),IF(MAX(0,Inputs!$B$43-B2405)&lt;=0,0,(INT(MAX(0,Inputs!$B$43-B2405)/IF(Inputs!$B$38="pvp",15,MAX(0.1,Skills!D9-IF(Skills!E9=TRUE,Inputs!$B$32,0))))+1)),0)</f>
        <v/>
      </c>
      <c r="S2375">
        <f>IFERROR((H2375*N2375*IF(AND(Inputs!$B$38&lt;&gt;"pvp",Inputs!$B$43&gt;0),((Skills!G9*((R2375-1)*IF(Skills!H9&gt;0,Skills!I9/Skills!H9,1)+IF(Skills!H9&gt;0,MIN(Skills!I9,MAX(0,MAX(0,Inputs!$B$43-B2405)-((R2375-1)*IF(Inputs!$B$38="pvp",15,MAX(0.1,Skills!D9-IF(Skills!E9=TRUE,Inputs!$B$32,0))))))/Skills!H9,1)))/Inputs!$B$43),G2375*Q2375))/N2375*IF(Inputs!$B$38="pvp",1,(1-Summary!$B$11)*1+Summary!$B$11*(MIN(Skills!R9,Inputs!$B$37))),0)</f>
        <v/>
      </c>
      <c r="T2375">
        <f>IF(C2375,(H2375*N2375*IF(AND(Inputs!$B$38&lt;&gt;"pvp",Inputs!$B$43&gt;0),((Skills!G9*((R2375-1)*IF(Skills!H9&gt;0,Skills!I9/Skills!H9,1)+IF(Skills!H9&gt;0,MIN(Skills!I9,MAX(0,MAX(0,Inputs!$B$43-B2405)-((R2375-1)*IF(Inputs!$B$38="pvp",15,MAX(0.1,Skills!D9-IF(Skills!E9=TRUE,Inputs!$B$32,0))))))/Skills!H9,1)))/Inputs!$B$43),G2375*Q2375))*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Hunt"),CHOOSE(ArtifactsInput!$N$35+1,15,18,21,24,27,30)*(1-EXP(-(0.2*B2400)*5)),0)+IF(AND(ArtifactsInput!$M$22,Inputs!$B$4&lt;&gt;"Chapter Hunt"),CHOOSE(ArtifactsInput!$N$22+1,10,12,14,16,18,20)*((0*(((0.15*B2400*5))^0/1)+1*(((0.15*B2400*5))^1/1)+2*(((0.15*B2400*5))^2/2)+3*(((0.15*B2400*5))^3/6)+4*(((0.15*B2400*5))^4/24)+5*(((0.15*B2400*5))^5/120))/((((0.15*B2400*5))^0/1)+(((0.15*B2400*5))^1/1)+(((0.15*B2400*5))^2/2)+(((0.15*B2400*5))^3/6)+(((0.15*B2400*5))^4/24)+(((0.15*B2400*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2375*(1-MIN(100,(Inputs!$B$9+((C2385=TRUE)*(F2385-Calc!F19))+B2398+(ArtifactsInput!$M$24-ArtifactsInput!$M$24)*CHOOSE(ArtifactsInput!$N$24+1,10,12,14,16,18,20)+(IF(AND(ArtifactsInput!$M$42,((Inputs!$B$9+((C2385=TRUE)*(F2385-Calc!F19))+B2398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2375*(MIN(100,(Inputs!$B$9+((C2385=TRUE)*(F2385-Calc!F19))+B2398+(ArtifactsInput!$M$24-ArtifactsInput!$M$24)*CHOOSE(ArtifactsInput!$N$24+1,10,12,14,16,18,20)+(IF(AND(ArtifactsInput!$M$42,((Inputs!$B$9+((C2385=TRUE)*(F2385-Calc!F19))+B2398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2375*(1-MIN(100,(Inputs!$B$9+((C2385=TRUE)*(F2385-Calc!F19))+B2398+(ArtifactsInput!$M$24-ArtifactsInput!$M$24)*CHOOSE(ArtifactsInput!$N$24+1,10,12,14,16,18,20)+(IF(AND(ArtifactsInput!$M$42,((Inputs!$B$9+((C2385=TRUE)*(F2385-Calc!F19))+B2398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2375*(MIN(100,(Inputs!$B$9+((C2385=TRUE)*(F2385-Calc!F19))+B2398+(ArtifactsInput!$M$24-ArtifactsInput!$M$24)*CHOOSE(ArtifactsInput!$N$24+1,10,12,14,16,18,20)+(IF(AND(ArtifactsInput!$M$42,((Inputs!$B$9+((C2385=TRUE)*(F2385-Calc!F19))+B2398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375">
        <f>IF(C2375,(H2375*N2375*IF(AND(Inputs!$B$38&lt;&gt;"pvp",Inputs!$B$43&gt;0),((Skills!G9*((R2375-1)*IF(Skills!H9&gt;0,Skills!I9/Skills!H9,1)+IF(Skills!H9&gt;0,MIN(Skills!I9,MAX(0,MAX(0,Inputs!$B$43-B2405)-((R2375-1)*IF(Inputs!$B$38="pvp",15,MAX(0.1,Skills!D9-IF(Skills!E9=TRUE,Inputs!$B$32,0))))))/Skills!H9,1)))/Inputs!$B$43),G2375*Q2375))*IF(Inputs!$B$38="pvp",1,(1+(Inputs!$B$21+Skills!Q9+(IF(ArtifactsInput!$M$33,CHOOSE(ArtifactsInput!$N$33+1,30,36,42,48,54,60),0))+(IF(AND(ArtifactsInput!$M$35,Inputs!$B$4&lt;&gt;"Chapter Hunt"),CHOOSE(ArtifactsInput!$N$35+1,15,18,21,24,27,30)*(1-EXP(-(0.2*B2400)*5)),0)+IF(AND(ArtifactsInput!$M$22,Inputs!$B$4&lt;&gt;"Chapter Hunt"),CHOOSE(ArtifactsInput!$N$22+1,10,12,14,16,18,20)*((0*(((0.15*B2400*5))^0/1)+1*(((0.15*B2400*5))^1/1)+2*(((0.15*B2400*5))^2/2)+3*(((0.15*B2400*5))^3/6)+4*(((0.15*B2400*5))^4/24)+5*(((0.15*B2400*5))^5/120))/((((0.15*B2400*5))^0/1)+(((0.15*B2400*5))^1/1)+(((0.15*B2400*5))^2/2)+(((0.15*B2400*5))^3/6)+(((0.15*B2400*5))^4/24)+(((0.15*B2400*5))^5/120)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376">
      <c r="A2376">
        <f>Skills!A10</f>
        <v/>
      </c>
      <c r="B2376">
        <f>Skills!B10</f>
        <v/>
      </c>
      <c r="C2376">
        <f>Inputs!$B$3&gt;=107</f>
        <v/>
      </c>
      <c r="D2376">
        <f>IF(Skills!C10=1,60+Inputs!$B$25+Inputs!$B$29,IF(Skills!C10=2,90+Inputs!$B$26+Inputs!$B$29,IF(Skills!C10=3,120+Inputs!$B$27+Inputs!$B$29,MAX(0,(Inputs!$B$3-100)*3)+Inputs!$B$28+Inputs!$B$29)))</f>
        <v/>
      </c>
      <c r="E2376">
        <f>INDEX(FactorTable!$B$2:$Y$301, MATCH(ROUND(MIN(300,MAX(1,D2376)),0), FactorTable!$A$2:$A$301,0), Skills!M10+1)</f>
        <v/>
      </c>
      <c r="F2376">
        <f>IF(Skills!N10=TRUE,(Skills!L10/10)*(E2376/1000),Skills!L10/10)+Skills!O10</f>
        <v/>
      </c>
      <c r="G2376">
        <f>Skills!G10*IF(Skills!H10&gt;0,Skills!I10/Skills!H10,1)</f>
        <v/>
      </c>
      <c r="H2376">
        <f>1-(1-Skills!J10/100)^Skills!K10</f>
        <v/>
      </c>
      <c r="I2376" t="inlineStr">
        <is>
          <t>1</t>
        </is>
      </c>
      <c r="J2376">
        <f>((Inputs!$B$6*(1+Inputs!$B$7/100))+(((Inputs!$B$12*(1+Inputs!$B$13/100))-(Inputs!$B$12*(1+Inputs!$B$13/100)))+0.25*(Inputs!$B$14-Inputs!$B$14))*(1+Inputs!$B$7/100))*(F2376/100)</f>
        <v/>
      </c>
      <c r="K2376">
        <f>J2376*(1+((Inputs!$B$12*(1+Inputs!$B$13/100))*0.01+Inputs!$B$14*0.0025)/100)*(1+Inputs!$B$15/100)*(1+Inputs!$B$16/100)*(5000/(6000+Inputs!$B$42*(1-(100*(1-(1-(Inputs!$B$19+0)/100)*(1-CHOOSE(ArtifactsInput!$N$40+1,5,6,7,8,9,10)/100)^(ArtifactsInput!$M$40-ArtifactsInput!$M$40)))/100)))*(1+(Inputs!$B$24+((C2390=TRUE)*(F2390-Calc!F24))+((C2391=TRUE)*(F2391-Calc!F25))+B2404)/100)*(1+(((1+IF(AND(ArtifactsInput!$M$36,IF(Inputs!$B$38="pvp",TRUE,AND(Inputs!$B$38&lt;&gt;"pvp",Inputs!$B$43&gt;0))),CHOOSE(ArtifactsInput!$N$36+1,8,9.6,11.2,12.8,14.4,16),0)/100)*(1+IF(AND(IF(ArtifactsInput!$M$32,FALSE,TRUE),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EMPOWERED_PIERCING_ARROW",Inputs!$B$17+((C2388=TRUE)*(F2388-Calc!F22))+(((IF(AND(ArtifactsInput!$M$42,((Inputs!$B$9+((C2385=TRUE)*(F2385-Calc!F19))+B2398+(ArtifactsInput!$M$24-ArtifactsInput!$M$24)*CHOOSE(ArtifactsInput!$N$24+1,10,12,14,16,18,20)+IF(ArtifactsInput!$M$10,CHOOSE(ArtifactsInput!$N$10+1,15,18,21,24,27,30)*(IF(Inputs!$B$38="pvp",MIN(15,15)/15,IF(AND(Inputs!$B$38&lt;&gt;"pvp",Inputs!$B$43&gt;0),MIN(15,Inputs!$B$43)/(Inputs!$B$43),0))),0)))&gt;=100),MIN(100,((Inputs!$B$9+((C2385=TRUE)*(F2385-Calc!F19))+B2398+(ArtifactsInput!$M$24-ArtifactsInput!$M$24)*CHOOSE(ArtifactsInput!$N$24+1,10,12,14,16,18,20)+IF(ArtifactsInput!$M$10,CHOOSE(ArtifactsInput!$N$10+1,15,18,21,24,27,30)*(IF(Inputs!$B$38="pvp",MIN(15,15)/15,IF(AND(Inputs!$B$38&lt;&gt;"pvp",Inputs!$B$43&gt;0),MIN(15,Inputs!$B$43)/(Inputs!$B$43),0))),0)))-100),0))*CHOOSE(ArtifactsInput!$N$42+1,0.6,0.72,0.84,0.96,1.08,1.2))),Inputs!$B$18+((C2393=TRUE)*(F2393-Calc!F27))+(IF(AND(ArtifactsInput!$M$42,((Inputs!$B$9+((C2385=TRUE)*(F2385-Calc!F19))+B2398+(ArtifactsInput!$M$24-ArtifactsInput!$M$24)*CHOOSE(ArtifactsInput!$N$24+1,10,12,14,16,18,20)+IF(ArtifactsInput!$M$10,CHOOSE(ArtifactsInput!$N$10+1,15,18,21,24,27,30)*(IF(Inputs!$B$38="pvp",MIN(15,15)/15,IF(AND(Inputs!$B$38&lt;&gt;"pvp",Inputs!$B$43&gt;0),MIN(15,Inputs!$B$43)/(Inputs!$B$43),0))),0)))&gt;=100),CHOOSE(ArtifactsInput!$N$42+1,40,48,56,64,72,80),0))))/100)*((1+(((C2379=TRUE)*F2379)+((C2380=TRUE)*IF(Inputs!$B$38="pvp",F2380,(1-Summary!$B$11)*(F2380)+Summary!$B$11*(0)))+((C2381=TRUE)*F2381*IF(AND(Inputs!$B$38&lt;&gt;"pvp",Inputs!$B$43&gt;0),(((R2381-1)*(Skills!T15*(1+Inputs!$B$34/100))+MIN((Skills!T15*(1+Inputs!$B$34/100)),MAX(0,Inputs!$B$43-((R2381-1)*Skills!D15))))/Inputs!$B$43),IF(Inputs!$B$38="pvp",MIN((Skills!T15*(1+Inputs!$B$34/100)),15)/15,(Skills!T15*(1+Inputs!$B$34/100))/Skills!D15)))+((C2378=TRUE)*F2378)+((C2395=TRUE)*(F2395-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2376)</f>
        <v/>
      </c>
      <c r="L2376">
        <f>K2376*(MIN(Inputs!$B$22+((C2389=TRUE)*(F2389-Calc!F23)),(Inputs!$B$23+((C2394=TRUE)*(F2394-Calc!F28))+(IF(ArtifactsInput!$M$15,CHOOSE(ArtifactsInput!$N$15+1,25,30,35,40,45,50)/100*(Inputs!$B$11-Inputs!$B$11),0))))/100+(Inputs!$B$23+((C2394=TRUE)*(F2394-Calc!F28))+(IF(ArtifactsInput!$M$15,CHOOSE(ArtifactsInput!$N$15+1,25,30,35,40,45,50)/100*(Inputs!$B$11-Inputs!$B$11),0)))/100)/2</f>
        <v/>
      </c>
      <c r="M2376">
        <f>L2376*(1+(Inputs!$B$10+0+B2403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376">
        <f>L2376*(1-MIN((Inputs!$B$9+((C2385=TRUE)*(F2385-Calc!F19))+B2398+(ArtifactsInput!$M$24-ArtifactsInput!$M$24)*CHOOSE(ArtifactsInput!$N$24+1,10,12,14,16,18,20)+(IF(AND(ArtifactsInput!$M$42,((Inputs!$B$9+((C2385=TRUE)*(F2385-Calc!F19))+B2398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2376*(MIN((Inputs!$B$9+((C2385=TRUE)*(F2385-Calc!F19))+B2398+(ArtifactsInput!$M$24-ArtifactsInput!$M$24)*CHOOSE(ArtifactsInput!$N$24+1,10,12,14,16,18,20)+(IF(AND(ArtifactsInput!$M$42,((Inputs!$B$9+((C2385=TRUE)*(F2385-Calc!F19))+B2398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376">
        <f>(1-Summary!$B$11)*T2376+Summary!$B$11*V2376</f>
        <v/>
      </c>
      <c r="P2376">
        <f>IF(B2408=0,0,O2376/B2408)</f>
        <v/>
      </c>
      <c r="Q2376" t="n">
        <v>0</v>
      </c>
      <c r="R2376" t="n">
        <v>0</v>
      </c>
      <c r="S2376" t="n">
        <v>0</v>
      </c>
      <c r="T2376">
        <f>IF(C2376,(0.15*SUMPRODUCT((Skills!U2:U29=TRUE)*(C2368:C2395=TRUE)*S2368:S2395)*Skills!G10*N2376)*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Hunt"),CHOOSE(ArtifactsInput!$N$35+1,15,18,21,24,27,30)*(1-EXP(-(0.2*B2400)*5)),0)+IF(AND(ArtifactsInput!$M$22,Inputs!$B$4&lt;&gt;"Chapter Hunt"),CHOOSE(ArtifactsInput!$N$22+1,10,12,14,16,18,20)*((0*(((0.15*B2400*5))^0/1)+1*(((0.15*B2400*5))^1/1)+2*(((0.15*B2400*5))^2/2)+3*(((0.15*B2400*5))^3/6)+4*(((0.15*B2400*5))^4/24)+5*(((0.15*B2400*5))^5/120))/((((0.15*B2400*5))^0/1)+(((0.15*B2400*5))^1/1)+(((0.15*B2400*5))^2/2)+(((0.15*B2400*5))^3/6)+(((0.15*B2400*5))^4/24)+(((0.15*B2400*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2376*(1-MIN(100,(Inputs!$B$9+((C2385=TRUE)*(F2385-Calc!F19))+B2398+(ArtifactsInput!$M$24-ArtifactsInput!$M$24)*CHOOSE(ArtifactsInput!$N$24+1,10,12,14,16,18,20)+(IF(AND(ArtifactsInput!$M$42,((Inputs!$B$9+((C2385=TRUE)*(F2385-Calc!F19))+B2398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2376*(MIN(100,(Inputs!$B$9+((C2385=TRUE)*(F2385-Calc!F19))+B2398+(ArtifactsInput!$M$24-ArtifactsInput!$M$24)*CHOOSE(ArtifactsInput!$N$24+1,10,12,14,16,18,20)+(IF(AND(ArtifactsInput!$M$42,((Inputs!$B$9+((C2385=TRUE)*(F2385-Calc!F19))+B2398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2376*(1-MIN(100,(Inputs!$B$9+((C2385=TRUE)*(F2385-Calc!F19))+B2398+(ArtifactsInput!$M$24-ArtifactsInput!$M$24)*CHOOSE(ArtifactsInput!$N$24+1,10,12,14,16,18,20)+(IF(AND(ArtifactsInput!$M$42,((Inputs!$B$9+((C2385=TRUE)*(F2385-Calc!F19))+B2398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2376*(MIN(100,(Inputs!$B$9+((C2385=TRUE)*(F2385-Calc!F19))+B2398+(ArtifactsInput!$M$24-ArtifactsInput!$M$24)*CHOOSE(ArtifactsInput!$N$24+1,10,12,14,16,18,20)+(IF(AND(ArtifactsInput!$M$42,((Inputs!$B$9+((C2385=TRUE)*(F2385-Calc!F19))+B2398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376">
        <f>IF(C2376,(0.15*SUMPRODUCT((Skills!U2:U29=TRUE)*(C2368:C2395=TRUE)*S2368:S2395)*Skills!G10*N2376)*IF(Inputs!$B$38="pvp",1,(1+(Inputs!$B$21+Skills!Q10+(IF(ArtifactsInput!$M$33,CHOOSE(ArtifactsInput!$N$33+1,30,36,42,48,54,60),0))+(IF(AND(ArtifactsInput!$M$35,Inputs!$B$4&lt;&gt;"Chapter Hunt"),CHOOSE(ArtifactsInput!$N$35+1,15,18,21,24,27,30)*(1-EXP(-(0.2*B2400)*5)),0)+IF(AND(ArtifactsInput!$M$22,Inputs!$B$4&lt;&gt;"Chapter Hunt"),CHOOSE(ArtifactsInput!$N$22+1,10,12,14,16,18,20)*((0*(((0.15*B2400*5))^0/1)+1*(((0.15*B2400*5))^1/1)+2*(((0.15*B2400*5))^2/2)+3*(((0.15*B2400*5))^3/6)+4*(((0.15*B2400*5))^4/24)+5*(((0.15*B2400*5))^5/120))/((((0.15*B2400*5))^0/1)+(((0.15*B2400*5))^1/1)+(((0.15*B2400*5))^2/2)+(((0.15*B2400*5))^3/6)+(((0.15*B2400*5))^4/24)+(((0.15*B2400*5))^5/120)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377">
      <c r="A2377">
        <f>Skills!A11</f>
        <v/>
      </c>
      <c r="B2377">
        <f>Skills!B11</f>
        <v/>
      </c>
      <c r="C2377">
        <f>Inputs!$B$3&gt;=110</f>
        <v/>
      </c>
      <c r="D2377">
        <f>IF(Skills!C11=1,60+Inputs!$B$25+Inputs!$B$29,IF(Skills!C11=2,90+Inputs!$B$26+Inputs!$B$29,IF(Skills!C11=3,120+Inputs!$B$27+Inputs!$B$29,MAX(0,(Inputs!$B$3-100)*3)+Inputs!$B$28+Inputs!$B$29)))</f>
        <v/>
      </c>
      <c r="E2377">
        <f>INDEX(FactorTable!$B$2:$Y$301, MATCH(ROUND(MIN(300,MAX(1,D2377)),0), FactorTable!$A$2:$A$301,0), Skills!M11+1)</f>
        <v/>
      </c>
      <c r="F2377">
        <f>IF(Skills!N11=TRUE,(Skills!L11/10)*(E2377/1000),Skills!L11/10)+Skills!O11</f>
        <v/>
      </c>
      <c r="G2377">
        <f>Skills!G11*IF(Skills!H11&gt;0,Skills!I11/Skills!H11,1)</f>
        <v/>
      </c>
      <c r="H2377">
        <f>1-(1-Skills!J11/100)^Skills!K11</f>
        <v/>
      </c>
      <c r="I2377" t="inlineStr">
        <is>
          <t>1</t>
        </is>
      </c>
      <c r="J2377">
        <f>((Inputs!$B$6*(1+Inputs!$B$7/100))+(((Inputs!$B$12*(1+Inputs!$B$13/100))-(Inputs!$B$12*(1+Inputs!$B$13/100)))+0.25*(Inputs!$B$14-Inputs!$B$14))*(1+Inputs!$B$7/100))*(F2377/100)</f>
        <v/>
      </c>
      <c r="K2377">
        <f>J2377*(1+((Inputs!$B$12*(1+Inputs!$B$13/100))*0.01+Inputs!$B$14*0.0025)/100)*(1+Inputs!$B$15/100)*(1+Inputs!$B$16/100)*(5000/(6000+Inputs!$B$42*(1-(100*(1-(1-(Inputs!$B$19+0)/100)*(1-CHOOSE(ArtifactsInput!$N$40+1,5,6,7,8,9,10)/100)^(ArtifactsInput!$M$40-ArtifactsInput!$M$40)))/100)))*(1+(Inputs!$B$24+((C2390=TRUE)*(F2390-Calc!F24))+((C2391=TRUE)*(F2391-Calc!F25))+B2404)/100)*(1+(((1+IF(AND(ArtifactsInput!$M$36,IF(Inputs!$B$38="pvp",TRUE,AND(Inputs!$B$38&lt;&gt;"pvp",Inputs!$B$43&gt;0))),CHOOSE(ArtifactsInput!$N$36+1,8,9.6,11.2,12.8,14.4,16),0)/100)*(1+IF(AND(IF(ArtifactsInput!$M$32,FALSE,TRUE),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11="EMPOWERED_PIERCING_ARROW",Inputs!$B$17+((C2388=TRUE)*(F2388-Calc!F22))+(((IF(AND(ArtifactsInput!$M$42,((Inputs!$B$9+((C2385=TRUE)*(F2385-Calc!F19))+B2398+(ArtifactsInput!$M$24-ArtifactsInput!$M$24)*CHOOSE(ArtifactsInput!$N$24+1,10,12,14,16,18,20)+IF(ArtifactsInput!$M$10,CHOOSE(ArtifactsInput!$N$10+1,15,18,21,24,27,30)*(IF(Inputs!$B$38="pvp",MIN(15,15)/15,IF(AND(Inputs!$B$38&lt;&gt;"pvp",Inputs!$B$43&gt;0),MIN(15,Inputs!$B$43)/(Inputs!$B$43),0))),0)))&gt;=100),MIN(100,((Inputs!$B$9+((C2385=TRUE)*(F2385-Calc!F19))+B2398+(ArtifactsInput!$M$24-ArtifactsInput!$M$24)*CHOOSE(ArtifactsInput!$N$24+1,10,12,14,16,18,20)+IF(ArtifactsInput!$M$10,CHOOSE(ArtifactsInput!$N$10+1,15,18,21,24,27,30)*(IF(Inputs!$B$38="pvp",MIN(15,15)/15,IF(AND(Inputs!$B$38&lt;&gt;"pvp",Inputs!$B$43&gt;0),MIN(15,Inputs!$B$43)/(Inputs!$B$43),0))),0)))-100),0))*CHOOSE(ArtifactsInput!$N$42+1,0.6,0.72,0.84,0.96,1.08,1.2))),Inputs!$B$18+((C2393=TRUE)*(F2393-Calc!F27))+(IF(AND(ArtifactsInput!$M$42,((Inputs!$B$9+((C2385=TRUE)*(F2385-Calc!F19))+B2398+(ArtifactsInput!$M$24-ArtifactsInput!$M$24)*CHOOSE(ArtifactsInput!$N$24+1,10,12,14,16,18,20)+IF(ArtifactsInput!$M$10,CHOOSE(ArtifactsInput!$N$10+1,15,18,21,24,27,30)*(IF(Inputs!$B$38="pvp",MIN(15,15)/15,IF(AND(Inputs!$B$38&lt;&gt;"pvp",Inputs!$B$43&gt;0),MIN(15,Inputs!$B$43)/(Inputs!$B$43),0))),0)))&gt;=100),CHOOSE(ArtifactsInput!$N$42+1,40,48,56,64,72,80),0))))/100)*((1+(((C2379=TRUE)*F2379)+((C2380=TRUE)*IF(Inputs!$B$38="pvp",F2380,(1-Summary!$B$11)*(F2380)+Summary!$B$11*(0)))+((C2381=TRUE)*F2381*IF(AND(Inputs!$B$38&lt;&gt;"pvp",Inputs!$B$43&gt;0),(((R2381-1)*(Skills!T15*(1+Inputs!$B$34/100))+MIN((Skills!T15*(1+Inputs!$B$34/100)),MAX(0,Inputs!$B$43-((R2381-1)*Skills!D15))))/Inputs!$B$43),IF(Inputs!$B$38="pvp",MIN((Skills!T15*(1+Inputs!$B$34/100)),15)/15,(Skills!T15*(1+Inputs!$B$34/100))/Skills!D15)))+((C2378=TRUE)*F2378)+((C2395=TRUE)*(F2395-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2377)</f>
        <v/>
      </c>
      <c r="L2377">
        <f>K2377*(MIN(Inputs!$B$22+((C2389=TRUE)*(F2389-Calc!F23)),(Inputs!$B$23+((C2394=TRUE)*(F2394-Calc!F28))+(IF(ArtifactsInput!$M$15,CHOOSE(ArtifactsInput!$N$15+1,25,30,35,40,45,50)/100*(Inputs!$B$11-Inputs!$B$11),0))))/100+(Inputs!$B$23+((C2394=TRUE)*(F2394-Calc!F28))+(IF(ArtifactsInput!$M$15,CHOOSE(ArtifactsInput!$N$15+1,25,30,35,40,45,50)/100*(Inputs!$B$11-Inputs!$B$11),0)))/100)/2</f>
        <v/>
      </c>
      <c r="M2377">
        <f>L2377*(1+(Inputs!$B$10+0+B2403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377">
        <f>L2377*(1-MIN((Inputs!$B$9+((C2385=TRUE)*(F2385-Calc!F19))+B2398+(ArtifactsInput!$M$24-ArtifactsInput!$M$24)*CHOOSE(ArtifactsInput!$N$24+1,10,12,14,16,18,20)+(IF(AND(ArtifactsInput!$M$42,((Inputs!$B$9+((C2385=TRUE)*(F2385-Calc!F19))+B2398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2377*(MIN((Inputs!$B$9+((C2385=TRUE)*(F2385-Calc!F19))+B2398+(ArtifactsInput!$M$24-ArtifactsInput!$M$24)*CHOOSE(ArtifactsInput!$N$24+1,10,12,14,16,18,20)+(IF(AND(ArtifactsInput!$M$42,((Inputs!$B$9+((C2385=TRUE)*(F2385-Calc!F19))+B2398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377">
        <f>(1-Summary!$B$11)*T2377+Summary!$B$11*V2377</f>
        <v/>
      </c>
      <c r="P2377">
        <f>IF(B2408=0,0,O2377/B2408)</f>
        <v/>
      </c>
      <c r="Q2377">
        <f>IFERROR(1/IF(Inputs!$B$38="pvp",15,MAX(0.1,Skills!D11-IF(Skills!E11=TRUE,Inputs!$B$32,0))),0)</f>
        <v/>
      </c>
      <c r="R2377">
        <f>IF(AND(Inputs!$B$38&lt;&gt;"pvp",Inputs!$B$43&gt;0),IF(MAX(0,Inputs!$B$43-B2405)&lt;=0,0,(INT(MAX(0,Inputs!$B$43-B2405)/IF(Inputs!$B$38="pvp",15,MAX(0.1,Skills!D11-IF(Skills!E11=TRUE,Inputs!$B$32,0))))+1)),0)</f>
        <v/>
      </c>
      <c r="S2377">
        <f>IFERROR((H2377*N2377*IF(AND(Inputs!$B$38&lt;&gt;"pvp",Inputs!$B$43&gt;0),((Skills!G11*((R2377-1)*IF(Skills!H11&gt;0,Skills!I11/Skills!H11,1)+IF(Skills!H11&gt;0,MIN(Skills!I11,MAX(0,MAX(0,Inputs!$B$43-B2405)-((R2377-1)*IF(Inputs!$B$38="pvp",15,MAX(0.1,Skills!D11-IF(Skills!E11=TRUE,Inputs!$B$32,0))))))/Skills!H11,1)))/Inputs!$B$43),G2377*Q2377))/N2377*IF(Inputs!$B$38="pvp",1,(1-Summary!$B$11)*1+Summary!$B$11*(MIN(Skills!R11,Inputs!$B$37))),0)</f>
        <v/>
      </c>
      <c r="T2377">
        <f>IF(C2377,(H2377*N2377*IF(AND(Inputs!$B$38&lt;&gt;"pvp",Inputs!$B$43&gt;0),((Skills!G11*((R2377-1)*IF(Skills!H11&gt;0,Skills!I11/Skills!H11,1)+IF(Skills!H11&gt;0,MIN(Skills!I11,MAX(0,MAX(0,Inputs!$B$43-B2405)-((R2377-1)*IF(Inputs!$B$38="pvp",15,MAX(0.1,Skills!D11-IF(Skills!E11=TRUE,Inputs!$B$32,0))))))/Skills!H11,1)))/Inputs!$B$43),G2377*Q2377))*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Hunt"),CHOOSE(ArtifactsInput!$N$35+1,15,18,21,24,27,30)*(1-EXP(-(0.2*B2400)*5)),0)+IF(AND(ArtifactsInput!$M$22,Inputs!$B$4&lt;&gt;"Chapter Hunt"),CHOOSE(ArtifactsInput!$N$22+1,10,12,14,16,18,20)*((0*(((0.15*B2400*5))^0/1)+1*(((0.15*B2400*5))^1/1)+2*(((0.15*B2400*5))^2/2)+3*(((0.15*B2400*5))^3/6)+4*(((0.15*B2400*5))^4/24)+5*(((0.15*B2400*5))^5/120))/((((0.15*B2400*5))^0/1)+(((0.15*B2400*5))^1/1)+(((0.15*B2400*5))^2/2)+(((0.15*B2400*5))^3/6)+(((0.15*B2400*5))^4/24)+(((0.15*B2400*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2377*(1-MIN(100,(Inputs!$B$9+((C2385=TRUE)*(F2385-Calc!F19))+B2398+(ArtifactsInput!$M$24-ArtifactsInput!$M$24)*CHOOSE(ArtifactsInput!$N$24+1,10,12,14,16,18,20)+(IF(AND(ArtifactsInput!$M$42,((Inputs!$B$9+((C2385=TRUE)*(F2385-Calc!F19))+B2398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2377*(MIN(100,(Inputs!$B$9+((C2385=TRUE)*(F2385-Calc!F19))+B2398+(ArtifactsInput!$M$24-ArtifactsInput!$M$24)*CHOOSE(ArtifactsInput!$N$24+1,10,12,14,16,18,20)+(IF(AND(ArtifactsInput!$M$42,((Inputs!$B$9+((C2385=TRUE)*(F2385-Calc!F19))+B2398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2377*(1-MIN(100,(Inputs!$B$9+((C2385=TRUE)*(F2385-Calc!F19))+B2398+(ArtifactsInput!$M$24-ArtifactsInput!$M$24)*CHOOSE(ArtifactsInput!$N$24+1,10,12,14,16,18,20)+(IF(AND(ArtifactsInput!$M$42,((Inputs!$B$9+((C2385=TRUE)*(F2385-Calc!F19))+B2398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2377*(MIN(100,(Inputs!$B$9+((C2385=TRUE)*(F2385-Calc!F19))+B2398+(ArtifactsInput!$M$24-ArtifactsInput!$M$24)*CHOOSE(ArtifactsInput!$N$24+1,10,12,14,16,18,20)+(IF(AND(ArtifactsInput!$M$42,((Inputs!$B$9+((C2385=TRUE)*(F2385-Calc!F19))+B2398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377">
        <f>IF(C2377,(H2377*N2377*IF(AND(Inputs!$B$38&lt;&gt;"pvp",Inputs!$B$43&gt;0),((Skills!G11*((R2377-1)*IF(Skills!H11&gt;0,Skills!I11/Skills!H11,1)+IF(Skills!H11&gt;0,MIN(Skills!I11,MAX(0,MAX(0,Inputs!$B$43-B2405)-((R2377-1)*IF(Inputs!$B$38="pvp",15,MAX(0.1,Skills!D11-IF(Skills!E11=TRUE,Inputs!$B$32,0))))))/Skills!H11,1)))/Inputs!$B$43),G2377*Q2377))*IF(Inputs!$B$38="pvp",1,(1+(Inputs!$B$21+Skills!Q11+(IF(ArtifactsInput!$M$33,CHOOSE(ArtifactsInput!$N$33+1,30,36,42,48,54,60),0))+(IF(AND(ArtifactsInput!$M$35,Inputs!$B$4&lt;&gt;"Chapter Hunt"),CHOOSE(ArtifactsInput!$N$35+1,15,18,21,24,27,30)*(1-EXP(-(0.2*B2400)*5)),0)+IF(AND(ArtifactsInput!$M$22,Inputs!$B$4&lt;&gt;"Chapter Hunt"),CHOOSE(ArtifactsInput!$N$22+1,10,12,14,16,18,20)*((0*(((0.15*B2400*5))^0/1)+1*(((0.15*B2400*5))^1/1)+2*(((0.15*B2400*5))^2/2)+3*(((0.15*B2400*5))^3/6)+4*(((0.15*B2400*5))^4/24)+5*(((0.15*B2400*5))^5/120))/((((0.15*B2400*5))^0/1)+(((0.15*B2400*5))^1/1)+(((0.15*B2400*5))^2/2)+(((0.15*B2400*5))^3/6)+(((0.15*B2400*5))^4/24)+(((0.15*B2400*5))^5/120))),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378">
      <c r="A2378">
        <f>Skills!A12</f>
        <v/>
      </c>
      <c r="B2378">
        <f>Skills!B12</f>
        <v/>
      </c>
      <c r="C2378">
        <f>Inputs!$B$3&gt;=60</f>
        <v/>
      </c>
      <c r="D2378">
        <f>IF(Skills!C12=1,60+Inputs!$B$25+Inputs!$B$29,IF(Skills!C12=2,90+Inputs!$B$26+Inputs!$B$29,IF(Skills!C12=3,120+Inputs!$B$27+Inputs!$B$29,MAX(0,(Inputs!$B$3-100)*3)+Inputs!$B$28+Inputs!$B$29)))</f>
        <v/>
      </c>
      <c r="E2378">
        <f>INDEX(FactorTable!$B$2:$Y$301, MATCH(ROUND(MIN(300,MAX(1,D2378)),0), FactorTable!$A$2:$A$301,0), Skills!M12+1)</f>
        <v/>
      </c>
      <c r="F2378">
        <f>IF(Skills!N12=TRUE,(Skills!L12/10)*(E2378/1000),Skills!L12/10)+Skills!O12</f>
        <v/>
      </c>
      <c r="G2378">
        <f>Skills!G12*IF(Skills!H12&gt;0,Skills!I12/Skills!H12,1)</f>
        <v/>
      </c>
      <c r="H2378">
        <f>1-(1-Skills!J12/100)^Skills!K12</f>
        <v/>
      </c>
      <c r="I2378" t="inlineStr">
        <is>
          <t>1</t>
        </is>
      </c>
      <c r="J2378" t="inlineStr"/>
      <c r="K2378" t="inlineStr"/>
      <c r="L2378" t="inlineStr"/>
      <c r="M2378" t="inlineStr"/>
      <c r="N2378" t="inlineStr"/>
      <c r="O2378">
        <f>(1-Summary!$B$11)*T2378+Summary!$B$11*V2378</f>
        <v/>
      </c>
      <c r="P2378">
        <f>IF(B2408=0,0,O2378/B2408)</f>
        <v/>
      </c>
      <c r="Q2378" t="n">
        <v>0</v>
      </c>
      <c r="R2378" t="n">
        <v>0</v>
      </c>
      <c r="S2378" t="n">
        <v>0</v>
      </c>
      <c r="T2378" t="n">
        <v>0</v>
      </c>
      <c r="V2378" t="n">
        <v>0</v>
      </c>
    </row>
    <row r="2379">
      <c r="A2379">
        <f>Skills!A13</f>
        <v/>
      </c>
      <c r="B2379">
        <f>Skills!B13</f>
        <v/>
      </c>
      <c r="C2379">
        <f>Inputs!$B$3&gt;=74</f>
        <v/>
      </c>
      <c r="D2379">
        <f>IF(Skills!C13=1,60+Inputs!$B$25+Inputs!$B$29,IF(Skills!C13=2,90+Inputs!$B$26+Inputs!$B$29,IF(Skills!C13=3,120+Inputs!$B$27+Inputs!$B$29,MAX(0,(Inputs!$B$3-100)*3)+Inputs!$B$28+Inputs!$B$29)))</f>
        <v/>
      </c>
      <c r="E2379">
        <f>INDEX(FactorTable!$B$2:$Y$301, MATCH(ROUND(MIN(300,MAX(1,D2379)),0), FactorTable!$A$2:$A$301,0), Skills!M13+1)</f>
        <v/>
      </c>
      <c r="F2379">
        <f>IF(Skills!N13=TRUE,(Skills!L13/10)*(E2379/1000),Skills!L13/10)+Skills!O13</f>
        <v/>
      </c>
      <c r="G2379">
        <f>Skills!G13*IF(Skills!H13&gt;0,Skills!I13/Skills!H13,1)</f>
        <v/>
      </c>
      <c r="H2379">
        <f>1-(1-Skills!J13/100)^Skills!K13</f>
        <v/>
      </c>
      <c r="I2379" t="inlineStr">
        <is>
          <t>1</t>
        </is>
      </c>
      <c r="J2379" t="inlineStr"/>
      <c r="K2379" t="inlineStr"/>
      <c r="L2379" t="inlineStr"/>
      <c r="M2379" t="inlineStr"/>
      <c r="N2379" t="inlineStr"/>
      <c r="O2379">
        <f>(1-Summary!$B$11)*T2379+Summary!$B$11*V2379</f>
        <v/>
      </c>
      <c r="P2379">
        <f>IF(B2408=0,0,O2379/B2408)</f>
        <v/>
      </c>
      <c r="Q2379" t="n">
        <v>0</v>
      </c>
      <c r="R2379" t="n">
        <v>0</v>
      </c>
      <c r="S2379" t="n">
        <v>0</v>
      </c>
      <c r="T2379" t="n">
        <v>0</v>
      </c>
      <c r="V2379" t="n">
        <v>0</v>
      </c>
    </row>
    <row r="2380">
      <c r="A2380">
        <f>Skills!A14</f>
        <v/>
      </c>
      <c r="B2380">
        <f>Skills!B14</f>
        <v/>
      </c>
      <c r="C2380">
        <f>Inputs!$B$3&gt;=74</f>
        <v/>
      </c>
      <c r="D2380">
        <f>IF(Skills!C14=1,60+Inputs!$B$25+Inputs!$B$29,IF(Skills!C14=2,90+Inputs!$B$26+Inputs!$B$29,IF(Skills!C14=3,120+Inputs!$B$27+Inputs!$B$29,MAX(0,(Inputs!$B$3-100)*3)+Inputs!$B$28+Inputs!$B$29)))</f>
        <v/>
      </c>
      <c r="E2380">
        <f>INDEX(FactorTable!$B$2:$Y$301, MATCH(ROUND(MIN(300,MAX(1,D2380)),0), FactorTable!$A$2:$A$301,0), Skills!M14+1)</f>
        <v/>
      </c>
      <c r="F2380">
        <f>IF(Skills!N14=TRUE,(Skills!L14/10)*(E2380/1000),Skills!L14/10)+Skills!O14</f>
        <v/>
      </c>
      <c r="G2380">
        <f>Skills!G14*IF(Skills!H14&gt;0,Skills!I14/Skills!H14,1)</f>
        <v/>
      </c>
      <c r="H2380">
        <f>1-(1-Skills!J14/100)^Skills!K14</f>
        <v/>
      </c>
      <c r="I2380" t="inlineStr">
        <is>
          <t>1</t>
        </is>
      </c>
      <c r="J2380" t="inlineStr"/>
      <c r="K2380" t="inlineStr"/>
      <c r="L2380" t="inlineStr"/>
      <c r="M2380" t="inlineStr"/>
      <c r="N2380" t="inlineStr"/>
      <c r="O2380">
        <f>(1-Summary!$B$11)*T2380+Summary!$B$11*V2380</f>
        <v/>
      </c>
      <c r="P2380">
        <f>IF(B2408=0,0,O2380/B2408)</f>
        <v/>
      </c>
      <c r="Q2380" t="n">
        <v>0</v>
      </c>
      <c r="R2380" t="n">
        <v>0</v>
      </c>
      <c r="S2380" t="n">
        <v>0</v>
      </c>
      <c r="T2380" t="n">
        <v>0</v>
      </c>
      <c r="V2380" t="n">
        <v>0</v>
      </c>
    </row>
    <row r="2381">
      <c r="A2381">
        <f>Skills!A15</f>
        <v/>
      </c>
      <c r="B2381">
        <f>Skills!B15</f>
        <v/>
      </c>
      <c r="C2381">
        <f>Inputs!$B$3&gt;=117</f>
        <v/>
      </c>
      <c r="D2381">
        <f>IF(Skills!C15=1,60+Inputs!$B$25+Inputs!$B$29,IF(Skills!C15=2,90+Inputs!$B$26+Inputs!$B$29,IF(Skills!C15=3,120+Inputs!$B$27+Inputs!$B$29,MAX(0,(Inputs!$B$3-100)*3)+Inputs!$B$28+Inputs!$B$29)))</f>
        <v/>
      </c>
      <c r="E2381">
        <f>INDEX(FactorTable!$B$2:$Y$301, MATCH(ROUND(MIN(300,MAX(1,D2381)),0), FactorTable!$A$2:$A$301,0), Skills!M15+1)</f>
        <v/>
      </c>
      <c r="F2381">
        <f>IF(Skills!N15=TRUE,(Skills!L15/10)*(E2381/1000),Skills!L15/10)+Skills!O15</f>
        <v/>
      </c>
      <c r="G2381">
        <f>Skills!G15*IF(Skills!H15&gt;0,Skills!I15/Skills!H15,1)</f>
        <v/>
      </c>
      <c r="H2381">
        <f>1-(1-Skills!J15/100)^Skills!K15</f>
        <v/>
      </c>
      <c r="I2381" t="inlineStr">
        <is>
          <t>1</t>
        </is>
      </c>
      <c r="J2381" t="inlineStr"/>
      <c r="K2381" t="inlineStr"/>
      <c r="L2381" t="inlineStr"/>
      <c r="M2381" t="inlineStr"/>
      <c r="N2381" t="inlineStr"/>
      <c r="O2381">
        <f>(1-Summary!$B$11)*T2381+Summary!$B$11*V2381</f>
        <v/>
      </c>
      <c r="P2381">
        <f>IF(B2408=0,0,O2381/B2408)</f>
        <v/>
      </c>
      <c r="Q2381">
        <f>IFERROR(1/IF(Inputs!$B$38="pvp",15,MAX(0.1,Skills!D15-IF(Skills!E15=TRUE,Inputs!$B$32,0))),0)</f>
        <v/>
      </c>
      <c r="R2381">
        <f>IF(AND(Inputs!$B$38&lt;&gt;"pvp",Inputs!$B$43&gt;0),IF(Inputs!$B$43&lt;=0,0,(INT(Inputs!$B$43/IF(Inputs!$B$38="pvp",15,MAX(0.1,Skills!D15-IF(Skills!E15=TRUE,Inputs!$B$32,0))))+1)),0)</f>
        <v/>
      </c>
      <c r="S2381" t="n">
        <v>0</v>
      </c>
      <c r="T2381" t="n">
        <v>0</v>
      </c>
      <c r="V2381" t="n">
        <v>0</v>
      </c>
    </row>
    <row r="2382">
      <c r="A2382">
        <f>Skills!A16</f>
        <v/>
      </c>
      <c r="B2382">
        <f>Skills!B16</f>
        <v/>
      </c>
      <c r="C2382">
        <f>Inputs!$B$3&gt;=115</f>
        <v/>
      </c>
      <c r="D2382">
        <f>IF(Skills!C16=1,60+Inputs!$B$25+Inputs!$B$29,IF(Skills!C16=2,90+Inputs!$B$26+Inputs!$B$29,IF(Skills!C16=3,120+Inputs!$B$27+Inputs!$B$29,MAX(0,(Inputs!$B$3-100)*3)+Inputs!$B$28+Inputs!$B$29)))</f>
        <v/>
      </c>
      <c r="E2382">
        <f>INDEX(FactorTable!$B$2:$Y$301, MATCH(ROUND(MIN(300,MAX(1,D2382)),0), FactorTable!$A$2:$A$301,0), Skills!M16+1)</f>
        <v/>
      </c>
      <c r="F2382">
        <f>IF(Skills!N16=TRUE,(Skills!L16/10)*(E2382/1000),Skills!L16/10)+Skills!O16</f>
        <v/>
      </c>
      <c r="G2382">
        <f>Skills!G16*IF(Skills!H16&gt;0,Skills!I16/Skills!H16,1)</f>
        <v/>
      </c>
      <c r="H2382">
        <f>1-(1-Skills!J16/100)^Skills!K16</f>
        <v/>
      </c>
      <c r="I2382" t="inlineStr">
        <is>
          <t>1</t>
        </is>
      </c>
      <c r="J2382" t="inlineStr"/>
      <c r="K2382" t="inlineStr"/>
      <c r="L2382" t="inlineStr"/>
      <c r="M2382" t="inlineStr"/>
      <c r="N2382" t="inlineStr"/>
      <c r="O2382">
        <f>(1-Summary!$B$11)*T2382+Summary!$B$11*V2382</f>
        <v/>
      </c>
      <c r="P2382">
        <f>IF(B2408=0,0,O2382/B2408)</f>
        <v/>
      </c>
      <c r="Q2382">
        <f>IFERROR(1/IF(Inputs!$B$38="pvp",15,MAX(0.1,Skills!D16-IF(Skills!E16=TRUE,Inputs!$B$32,0))),0)</f>
        <v/>
      </c>
      <c r="R2382">
        <f>IF(AND(Inputs!$B$38&lt;&gt;"pvp",Inputs!$B$43&gt;0),IF(Inputs!$B$43&lt;=0,0,(INT(Inputs!$B$43/IF(Inputs!$B$38="pvp",15,MAX(0.1,Skills!D16-IF(Skills!E16=TRUE,Inputs!$B$32,0))))+1)),0)</f>
        <v/>
      </c>
      <c r="S2382" t="n">
        <v>0</v>
      </c>
      <c r="T2382" t="n">
        <v>0</v>
      </c>
      <c r="V2382" t="n">
        <v>0</v>
      </c>
    </row>
    <row r="2383">
      <c r="A2383">
        <f>Skills!A17</f>
        <v/>
      </c>
      <c r="B2383">
        <f>Skills!B17</f>
        <v/>
      </c>
      <c r="C2383">
        <f>Inputs!$B$3&gt;=72</f>
        <v/>
      </c>
      <c r="D2383">
        <f>IF(Skills!C17=1,60+Inputs!$B$25+Inputs!$B$29,IF(Skills!C17=2,90+Inputs!$B$26+Inputs!$B$29,IF(Skills!C17=3,120+Inputs!$B$27+Inputs!$B$29,MAX(0,(Inputs!$B$3-100)*3)+Inputs!$B$28+Inputs!$B$29)))</f>
        <v/>
      </c>
      <c r="E2383">
        <f>INDEX(FactorTable!$B$2:$Y$301, MATCH(ROUND(MIN(300,MAX(1,D2383)),0), FactorTable!$A$2:$A$301,0), Skills!M17+1)</f>
        <v/>
      </c>
      <c r="F2383">
        <f>IF(Skills!N17=TRUE,(Skills!L17/10)*(E2383/1000),Skills!L17/10)+Skills!O17</f>
        <v/>
      </c>
      <c r="G2383">
        <f>Skills!G17*IF(Skills!H17&gt;0,Skills!I17/Skills!H17,1)</f>
        <v/>
      </c>
      <c r="H2383">
        <f>1-(1-Skills!J17/100)^Skills!K17</f>
        <v/>
      </c>
      <c r="I2383" t="inlineStr">
        <is>
          <t>1</t>
        </is>
      </c>
      <c r="J2383" t="inlineStr"/>
      <c r="K2383" t="inlineStr"/>
      <c r="L2383" t="inlineStr"/>
      <c r="M2383" t="inlineStr"/>
      <c r="N2383" t="inlineStr"/>
      <c r="O2383">
        <f>(1-Summary!$B$11)*T2383+Summary!$B$11*V2383</f>
        <v/>
      </c>
      <c r="P2383">
        <f>IF(B2408=0,0,O2383/B2408)</f>
        <v/>
      </c>
      <c r="Q2383" t="n">
        <v>0</v>
      </c>
      <c r="R2383" t="n">
        <v>0</v>
      </c>
      <c r="S2383" t="n">
        <v>0</v>
      </c>
      <c r="T2383" t="n">
        <v>0</v>
      </c>
      <c r="V2383" t="n">
        <v>0</v>
      </c>
    </row>
    <row r="2384">
      <c r="A2384">
        <f>Skills!A18</f>
        <v/>
      </c>
      <c r="B2384">
        <f>Skills!B18</f>
        <v/>
      </c>
      <c r="C2384">
        <f>TRUE</f>
        <v/>
      </c>
      <c r="D2384">
        <f>IF(Skills!C18=1,60+Inputs!$B$25+Inputs!$B$29,IF(Skills!C18=2,90+Inputs!$B$26+Inputs!$B$29,IF(Skills!C18=3,120+Inputs!$B$27+Inputs!$B$29,MAX(0,(Inputs!$B$3-100)*3)+Inputs!$B$28+Inputs!$B$29)))</f>
        <v/>
      </c>
      <c r="E2384">
        <f>INDEX(FactorTable!$B$2:$Y$301, MATCH(ROUND(MIN(300,MAX(1,D2384)),0), FactorTable!$A$2:$A$301,0), Skills!M18+1)</f>
        <v/>
      </c>
      <c r="F2384">
        <f>IF(Skills!N18=TRUE,(Skills!L18/10)*(E2384/1000),Skills!L18/10)+Skills!O18</f>
        <v/>
      </c>
      <c r="G2384">
        <f>Skills!G18*IF(Skills!H18&gt;0,Skills!I18/Skills!H18,1)</f>
        <v/>
      </c>
      <c r="H2384">
        <f>1-(1-Skills!J18/100)^Skills!K18</f>
        <v/>
      </c>
      <c r="I2384" t="inlineStr">
        <is>
          <t>1</t>
        </is>
      </c>
      <c r="J2384" t="inlineStr"/>
      <c r="K2384" t="inlineStr"/>
      <c r="L2384" t="inlineStr"/>
      <c r="M2384" t="inlineStr"/>
      <c r="N2384" t="inlineStr"/>
      <c r="O2384">
        <f>(1-Summary!$B$11)*T2384+Summary!$B$11*V2384</f>
        <v/>
      </c>
      <c r="P2384">
        <f>IF(B2408=0,0,O2384/B2408)</f>
        <v/>
      </c>
      <c r="Q2384">
        <f>IFERROR(1/IF(Inputs!$B$38="pvp",15,MAX(0.1,Skills!D18-IF(Skills!E18=TRUE,Inputs!$B$32,0))),0)</f>
        <v/>
      </c>
      <c r="R2384">
        <f>IF(AND(Inputs!$B$38&lt;&gt;"pvp",Inputs!$B$43&gt;0),IF(Inputs!$B$43&lt;=0,0,(INT(Inputs!$B$43/IF(Inputs!$B$38="pvp",15,MAX(0.1,Skills!D18-IF(Skills!E18=TRUE,Inputs!$B$32,0))))+1)),0)</f>
        <v/>
      </c>
      <c r="S2384" t="n">
        <v>0</v>
      </c>
      <c r="T2384" t="n">
        <v>0</v>
      </c>
      <c r="V2384" t="n">
        <v>0</v>
      </c>
    </row>
    <row r="2385">
      <c r="A2385">
        <f>Skills!A19</f>
        <v/>
      </c>
      <c r="B2385">
        <f>Skills!B19</f>
        <v/>
      </c>
      <c r="C2385">
        <f>Inputs!$B$3&gt;=15</f>
        <v/>
      </c>
      <c r="D2385">
        <f>IF(Skills!C19=1,60+Inputs!$B$25+Inputs!$B$29,IF(Skills!C19=2,90+Inputs!$B$26+Inputs!$B$29,IF(Skills!C19=3,120+Inputs!$B$27+Inputs!$B$29,MAX(0,(Inputs!$B$3-100)*3)+Inputs!$B$28+Inputs!$B$29)))</f>
        <v/>
      </c>
      <c r="E2385">
        <f>INDEX(FactorTable!$B$2:$Y$301, MATCH(ROUND(MIN(300,MAX(1,D2385)),0), FactorTable!$A$2:$A$301,0), Skills!M19+1)</f>
        <v/>
      </c>
      <c r="F2385">
        <f>IF(Skills!N19=TRUE,(Skills!L19/10)*(E2385/1000),Skills!L19/10)+Skills!O19</f>
        <v/>
      </c>
      <c r="G2385">
        <f>Skills!G19*IF(Skills!H19&gt;0,Skills!I19/Skills!H19,1)</f>
        <v/>
      </c>
      <c r="H2385">
        <f>1-(1-Skills!J19/100)^Skills!K19</f>
        <v/>
      </c>
      <c r="I2385" t="inlineStr">
        <is>
          <t>1</t>
        </is>
      </c>
      <c r="J2385" t="inlineStr"/>
      <c r="K2385" t="inlineStr"/>
      <c r="L2385" t="inlineStr"/>
      <c r="M2385" t="inlineStr"/>
      <c r="N2385" t="inlineStr"/>
      <c r="O2385">
        <f>(1-Summary!$B$11)*T2385+Summary!$B$11*V2385</f>
        <v/>
      </c>
      <c r="P2385">
        <f>IF(B2408=0,0,O2385/B2408)</f>
        <v/>
      </c>
      <c r="Q2385" t="n">
        <v>0</v>
      </c>
      <c r="R2385" t="n">
        <v>0</v>
      </c>
      <c r="S2385" t="n">
        <v>0</v>
      </c>
      <c r="T2385" t="n">
        <v>0</v>
      </c>
      <c r="V2385" t="n">
        <v>0</v>
      </c>
    </row>
    <row r="2386">
      <c r="A2386">
        <f>Skills!A20</f>
        <v/>
      </c>
      <c r="B2386">
        <f>Skills!B20</f>
        <v/>
      </c>
      <c r="C2386">
        <f>Inputs!$B$3&gt;=10</f>
        <v/>
      </c>
      <c r="D2386">
        <f>IF(Skills!C20=1,60+Inputs!$B$25+Inputs!$B$29,IF(Skills!C20=2,90+Inputs!$B$26+Inputs!$B$29,IF(Skills!C20=3,120+Inputs!$B$27+Inputs!$B$29,MAX(0,(Inputs!$B$3-100)*3)+Inputs!$B$28+Inputs!$B$29)))</f>
        <v/>
      </c>
      <c r="E2386">
        <f>INDEX(FactorTable!$B$2:$Y$301, MATCH(ROUND(MIN(300,MAX(1,D2386)),0), FactorTable!$A$2:$A$301,0), Skills!M20+1)</f>
        <v/>
      </c>
      <c r="F2386">
        <f>IF(Skills!N20=TRUE,(Skills!L20/10)*(E2386/1000),Skills!L20/10)+Skills!O20</f>
        <v/>
      </c>
      <c r="G2386">
        <f>Skills!G20*IF(Skills!H20&gt;0,Skills!I20/Skills!H20,1)</f>
        <v/>
      </c>
      <c r="H2386">
        <f>1-(1-Skills!J20/100)^Skills!K20</f>
        <v/>
      </c>
      <c r="I2386" t="inlineStr">
        <is>
          <t>1</t>
        </is>
      </c>
      <c r="J2386" t="inlineStr"/>
      <c r="K2386" t="inlineStr"/>
      <c r="L2386" t="inlineStr"/>
      <c r="M2386" t="inlineStr"/>
      <c r="N2386" t="inlineStr"/>
      <c r="O2386">
        <f>(1-Summary!$B$11)*T2386+Summary!$B$11*V2386</f>
        <v/>
      </c>
      <c r="P2386">
        <f>IF(B2408=0,0,O2386/B2408)</f>
        <v/>
      </c>
      <c r="Q2386" t="n">
        <v>0</v>
      </c>
      <c r="R2386" t="n">
        <v>0</v>
      </c>
      <c r="S2386" t="n">
        <v>0</v>
      </c>
      <c r="T2386" t="n">
        <v>0</v>
      </c>
      <c r="V2386" t="n">
        <v>0</v>
      </c>
    </row>
    <row r="2387">
      <c r="A2387">
        <f>Skills!A21</f>
        <v/>
      </c>
      <c r="B2387">
        <f>Skills!B21</f>
        <v/>
      </c>
      <c r="C2387">
        <f>Inputs!$B$3&gt;=33</f>
        <v/>
      </c>
      <c r="D2387">
        <f>IF(Skills!C21=1,60+Inputs!$B$25+Inputs!$B$29,IF(Skills!C21=2,90+Inputs!$B$26+Inputs!$B$29,IF(Skills!C21=3,120+Inputs!$B$27+Inputs!$B$29,MAX(0,(Inputs!$B$3-100)*3)+Inputs!$B$28+Inputs!$B$29)))</f>
        <v/>
      </c>
      <c r="E2387">
        <f>INDEX(FactorTable!$B$2:$Y$301, MATCH(ROUND(MIN(300,MAX(1,D2387)),0), FactorTable!$A$2:$A$301,0), Skills!M21+1)</f>
        <v/>
      </c>
      <c r="F2387">
        <f>IF(Skills!N21=TRUE,(Skills!L21/10)*(E2387/1000),Skills!L21/10)+Skills!O21</f>
        <v/>
      </c>
      <c r="G2387">
        <f>Skills!G21*IF(Skills!H21&gt;0,Skills!I21/Skills!H21,1)</f>
        <v/>
      </c>
      <c r="H2387">
        <f>1-(1-Skills!J21/100)^Skills!K21</f>
        <v/>
      </c>
      <c r="I2387" t="inlineStr">
        <is>
          <t>1</t>
        </is>
      </c>
      <c r="J2387" t="inlineStr"/>
      <c r="K2387" t="inlineStr"/>
      <c r="L2387" t="inlineStr"/>
      <c r="M2387" t="inlineStr"/>
      <c r="N2387" t="inlineStr"/>
      <c r="O2387">
        <f>(1-Summary!$B$11)*T2387+Summary!$B$11*V2387</f>
        <v/>
      </c>
      <c r="P2387">
        <f>IF(B2408=0,0,O2387/B2408)</f>
        <v/>
      </c>
      <c r="Q2387" t="n">
        <v>0</v>
      </c>
      <c r="R2387" t="n">
        <v>0</v>
      </c>
      <c r="S2387" t="n">
        <v>0</v>
      </c>
      <c r="T2387" t="n">
        <v>0</v>
      </c>
      <c r="V2387" t="n">
        <v>0</v>
      </c>
    </row>
    <row r="2388">
      <c r="A2388">
        <f>Skills!A22</f>
        <v/>
      </c>
      <c r="B2388">
        <f>Skills!B22</f>
        <v/>
      </c>
      <c r="C2388">
        <f>Inputs!$B$3&gt;=38</f>
        <v/>
      </c>
      <c r="D2388">
        <f>IF(Skills!C22=1,60+Inputs!$B$25+Inputs!$B$29,IF(Skills!C22=2,90+Inputs!$B$26+Inputs!$B$29,IF(Skills!C22=3,120+Inputs!$B$27+Inputs!$B$29,MAX(0,(Inputs!$B$3-100)*3)+Inputs!$B$28+Inputs!$B$29)))</f>
        <v/>
      </c>
      <c r="E2388">
        <f>INDEX(FactorTable!$B$2:$Y$301, MATCH(ROUND(MIN(300,MAX(1,D2388)),0), FactorTable!$A$2:$A$301,0), Skills!M22+1)</f>
        <v/>
      </c>
      <c r="F2388">
        <f>IF(Skills!N22=TRUE,(Skills!L22/10)*(E2388/1000),Skills!L22/10)+Skills!O22</f>
        <v/>
      </c>
      <c r="G2388">
        <f>Skills!G22*IF(Skills!H22&gt;0,Skills!I22/Skills!H22,1)</f>
        <v/>
      </c>
      <c r="H2388">
        <f>1-(1-Skills!J22/100)^Skills!K22</f>
        <v/>
      </c>
      <c r="I2388" t="inlineStr">
        <is>
          <t>1</t>
        </is>
      </c>
      <c r="J2388" t="inlineStr"/>
      <c r="K2388" t="inlineStr"/>
      <c r="L2388" t="inlineStr"/>
      <c r="M2388" t="inlineStr"/>
      <c r="N2388" t="inlineStr"/>
      <c r="O2388">
        <f>(1-Summary!$B$11)*T2388+Summary!$B$11*V2388</f>
        <v/>
      </c>
      <c r="P2388">
        <f>IF(B2408=0,0,O2388/B2408)</f>
        <v/>
      </c>
      <c r="Q2388" t="n">
        <v>0</v>
      </c>
      <c r="R2388" t="n">
        <v>0</v>
      </c>
      <c r="S2388" t="n">
        <v>0</v>
      </c>
      <c r="T2388" t="n">
        <v>0</v>
      </c>
      <c r="V2388" t="n">
        <v>0</v>
      </c>
    </row>
    <row r="2389">
      <c r="A2389">
        <f>Skills!A23</f>
        <v/>
      </c>
      <c r="B2389">
        <f>Skills!B23</f>
        <v/>
      </c>
      <c r="C2389">
        <f>Inputs!$B$3&gt;=43</f>
        <v/>
      </c>
      <c r="D2389">
        <f>IF(Skills!C23=1,60+Inputs!$B$25+Inputs!$B$29,IF(Skills!C23=2,90+Inputs!$B$26+Inputs!$B$29,IF(Skills!C23=3,120+Inputs!$B$27+Inputs!$B$29,MAX(0,(Inputs!$B$3-100)*3)+Inputs!$B$28+Inputs!$B$29)))</f>
        <v/>
      </c>
      <c r="E2389">
        <f>INDEX(FactorTable!$B$2:$Y$301, MATCH(ROUND(MIN(300,MAX(1,D2389)),0), FactorTable!$A$2:$A$301,0), Skills!M23+1)</f>
        <v/>
      </c>
      <c r="F2389">
        <f>IF(Skills!N23=TRUE,(Skills!L23/10)*(E2389/1000),Skills!L23/10)+Skills!O23</f>
        <v/>
      </c>
      <c r="G2389">
        <f>Skills!G23*IF(Skills!H23&gt;0,Skills!I23/Skills!H23,1)</f>
        <v/>
      </c>
      <c r="H2389">
        <f>1-(1-Skills!J23/100)^Skills!K23</f>
        <v/>
      </c>
      <c r="I2389" t="inlineStr">
        <is>
          <t>1</t>
        </is>
      </c>
      <c r="J2389" t="inlineStr"/>
      <c r="K2389" t="inlineStr"/>
      <c r="L2389" t="inlineStr"/>
      <c r="M2389" t="inlineStr"/>
      <c r="N2389" t="inlineStr"/>
      <c r="O2389">
        <f>(1-Summary!$B$11)*T2389+Summary!$B$11*V2389</f>
        <v/>
      </c>
      <c r="P2389">
        <f>IF(B2408=0,0,O2389/B2408)</f>
        <v/>
      </c>
      <c r="Q2389" t="n">
        <v>0</v>
      </c>
      <c r="R2389" t="n">
        <v>0</v>
      </c>
      <c r="S2389" t="n">
        <v>0</v>
      </c>
      <c r="T2389" t="n">
        <v>0</v>
      </c>
      <c r="V2389" t="n">
        <v>0</v>
      </c>
    </row>
    <row r="2390">
      <c r="A2390">
        <f>Skills!A24</f>
        <v/>
      </c>
      <c r="B2390">
        <f>Skills!B24</f>
        <v/>
      </c>
      <c r="C2390">
        <f>Inputs!$B$3&gt;=75</f>
        <v/>
      </c>
      <c r="D2390">
        <f>IF(Skills!C24=1,60+Inputs!$B$25+Inputs!$B$29,IF(Skills!C24=2,90+Inputs!$B$26+Inputs!$B$29,IF(Skills!C24=3,120+Inputs!$B$27+Inputs!$B$29,MAX(0,(Inputs!$B$3-100)*3)+Inputs!$B$28+Inputs!$B$29)))</f>
        <v/>
      </c>
      <c r="E2390">
        <f>INDEX(FactorTable!$B$2:$Y$301, MATCH(ROUND(MIN(300,MAX(1,D2390)),0), FactorTable!$A$2:$A$301,0), Skills!M24+1)</f>
        <v/>
      </c>
      <c r="F2390">
        <f>IF(Skills!N24=TRUE,(Skills!L24/10)*(E2390/1000),Skills!L24/10)+Skills!O24</f>
        <v/>
      </c>
      <c r="G2390">
        <f>Skills!G24*IF(Skills!H24&gt;0,Skills!I24/Skills!H24,1)</f>
        <v/>
      </c>
      <c r="H2390">
        <f>1-(1-Skills!J24/100)^Skills!K24</f>
        <v/>
      </c>
      <c r="I2390" t="inlineStr">
        <is>
          <t>1</t>
        </is>
      </c>
      <c r="J2390" t="inlineStr"/>
      <c r="K2390" t="inlineStr"/>
      <c r="L2390" t="inlineStr"/>
      <c r="M2390" t="inlineStr"/>
      <c r="N2390" t="inlineStr"/>
      <c r="O2390">
        <f>(1-Summary!$B$11)*T2390+Summary!$B$11*V2390</f>
        <v/>
      </c>
      <c r="P2390">
        <f>IF(B2408=0,0,O2390/B2408)</f>
        <v/>
      </c>
      <c r="Q2390" t="n">
        <v>0</v>
      </c>
      <c r="R2390" t="n">
        <v>0</v>
      </c>
      <c r="S2390" t="n">
        <v>0</v>
      </c>
      <c r="T2390" t="n">
        <v>0</v>
      </c>
      <c r="V2390" t="n">
        <v>0</v>
      </c>
    </row>
    <row r="2391">
      <c r="A2391">
        <f>Skills!A25</f>
        <v/>
      </c>
      <c r="B2391">
        <f>Skills!B25</f>
        <v/>
      </c>
      <c r="C2391">
        <f>Inputs!$B$3&gt;=125</f>
        <v/>
      </c>
      <c r="D2391">
        <f>IF(Skills!C25=1,60+Inputs!$B$25+Inputs!$B$29,IF(Skills!C25=2,90+Inputs!$B$26+Inputs!$B$29,IF(Skills!C25=3,120+Inputs!$B$27+Inputs!$B$29,MAX(0,(Inputs!$B$3-100)*3)+Inputs!$B$28+Inputs!$B$29)))</f>
        <v/>
      </c>
      <c r="E2391">
        <f>INDEX(FactorTable!$B$2:$Y$301, MATCH(ROUND(MIN(300,MAX(1,D2391)),0), FactorTable!$A$2:$A$301,0), Skills!M25+1)</f>
        <v/>
      </c>
      <c r="F2391">
        <f>IF(Skills!N25=TRUE,(Skills!L25/10)*(E2391/1000),Skills!L25/10)+Skills!O25</f>
        <v/>
      </c>
      <c r="G2391">
        <f>Skills!G25*IF(Skills!H25&gt;0,Skills!I25/Skills!H25,1)</f>
        <v/>
      </c>
      <c r="H2391">
        <f>1-(1-Skills!J25/100)^Skills!K25</f>
        <v/>
      </c>
      <c r="I2391" t="inlineStr">
        <is>
          <t>1</t>
        </is>
      </c>
      <c r="J2391" t="inlineStr"/>
      <c r="K2391" t="inlineStr"/>
      <c r="L2391" t="inlineStr"/>
      <c r="M2391" t="inlineStr"/>
      <c r="N2391" t="inlineStr"/>
      <c r="O2391">
        <f>(1-Summary!$B$11)*T2391+Summary!$B$11*V2391</f>
        <v/>
      </c>
      <c r="P2391">
        <f>IF(B2408=0,0,O2391/B2408)</f>
        <v/>
      </c>
      <c r="Q2391" t="n">
        <v>0</v>
      </c>
      <c r="R2391" t="n">
        <v>0</v>
      </c>
      <c r="S2391" t="n">
        <v>0</v>
      </c>
      <c r="T2391" t="n">
        <v>0</v>
      </c>
      <c r="V2391" t="n">
        <v>0</v>
      </c>
    </row>
    <row r="2392">
      <c r="A2392">
        <f>Skills!A26</f>
        <v/>
      </c>
      <c r="B2392">
        <f>Skills!B26</f>
        <v/>
      </c>
      <c r="C2392">
        <f>Inputs!$B$3&gt;=125</f>
        <v/>
      </c>
      <c r="D2392">
        <f>IF(Skills!C26=1,60+Inputs!$B$25+Inputs!$B$29,IF(Skills!C26=2,90+Inputs!$B$26+Inputs!$B$29,IF(Skills!C26=3,120+Inputs!$B$27+Inputs!$B$29,MAX(0,(Inputs!$B$3-100)*3)+Inputs!$B$28+Inputs!$B$29)))</f>
        <v/>
      </c>
      <c r="E2392">
        <f>INDEX(FactorTable!$B$2:$Y$301, MATCH(ROUND(MIN(300,MAX(1,D2392)),0), FactorTable!$A$2:$A$301,0), Skills!M26+1)</f>
        <v/>
      </c>
      <c r="F2392">
        <f>IF(Skills!N26=TRUE,(Skills!L26/10)*(E2392/1000),Skills!L26/10)+Skills!O26</f>
        <v/>
      </c>
      <c r="G2392">
        <f>Skills!G26*IF(Skills!H26&gt;0,Skills!I26/Skills!H26,1)</f>
        <v/>
      </c>
      <c r="H2392">
        <f>1-(1-Skills!J26/100)^Skills!K26</f>
        <v/>
      </c>
      <c r="I2392" t="inlineStr">
        <is>
          <t>1</t>
        </is>
      </c>
      <c r="J2392" t="inlineStr"/>
      <c r="K2392" t="inlineStr"/>
      <c r="L2392" t="inlineStr"/>
      <c r="M2392" t="inlineStr"/>
      <c r="N2392" t="inlineStr"/>
      <c r="O2392">
        <f>(1-Summary!$B$11)*T2392+Summary!$B$11*V2392</f>
        <v/>
      </c>
      <c r="P2392">
        <f>IF(B2408=0,0,O2392/B2408)</f>
        <v/>
      </c>
      <c r="Q2392" t="n">
        <v>0</v>
      </c>
      <c r="R2392" t="n">
        <v>0</v>
      </c>
      <c r="S2392" t="n">
        <v>0</v>
      </c>
      <c r="T2392" t="n">
        <v>0</v>
      </c>
      <c r="V2392" t="n">
        <v>0</v>
      </c>
    </row>
    <row r="2393">
      <c r="A2393">
        <f>Skills!A27</f>
        <v/>
      </c>
      <c r="B2393">
        <f>Skills!B27</f>
        <v/>
      </c>
      <c r="C2393">
        <f>Inputs!$B$3&gt;=120</f>
        <v/>
      </c>
      <c r="D2393">
        <f>IF(Skills!C27=1,60+Inputs!$B$25+Inputs!$B$29,IF(Skills!C27=2,90+Inputs!$B$26+Inputs!$B$29,IF(Skills!C27=3,120+Inputs!$B$27+Inputs!$B$29,MAX(0,(Inputs!$B$3-100)*3)+Inputs!$B$28+Inputs!$B$29)))</f>
        <v/>
      </c>
      <c r="E2393">
        <f>INDEX(FactorTable!$B$2:$Y$301, MATCH(ROUND(MIN(300,MAX(1,D2393)),0), FactorTable!$A$2:$A$301,0), Skills!M27+1)</f>
        <v/>
      </c>
      <c r="F2393">
        <f>IF(Skills!N27=TRUE,(Skills!L27/10)*(E2393/1000),Skills!L27/10)+Skills!O27</f>
        <v/>
      </c>
      <c r="G2393">
        <f>Skills!G27*IF(Skills!H27&gt;0,Skills!I27/Skills!H27,1)</f>
        <v/>
      </c>
      <c r="H2393">
        <f>1-(1-Skills!J27/100)^Skills!K27</f>
        <v/>
      </c>
      <c r="I2393" t="inlineStr">
        <is>
          <t>1</t>
        </is>
      </c>
      <c r="J2393" t="inlineStr"/>
      <c r="K2393" t="inlineStr"/>
      <c r="L2393" t="inlineStr"/>
      <c r="M2393" t="inlineStr"/>
      <c r="N2393" t="inlineStr"/>
      <c r="O2393">
        <f>(1-Summary!$B$11)*T2393+Summary!$B$11*V2393</f>
        <v/>
      </c>
      <c r="P2393">
        <f>IF(B2408=0,0,O2393/B2408)</f>
        <v/>
      </c>
      <c r="Q2393" t="n">
        <v>0</v>
      </c>
      <c r="R2393" t="n">
        <v>0</v>
      </c>
      <c r="S2393" t="n">
        <v>0</v>
      </c>
      <c r="T2393" t="n">
        <v>0</v>
      </c>
      <c r="V2393" t="n">
        <v>0</v>
      </c>
    </row>
    <row r="2394">
      <c r="A2394">
        <f>Skills!A28</f>
        <v/>
      </c>
      <c r="B2394">
        <f>Skills!B28</f>
        <v/>
      </c>
      <c r="C2394">
        <f>Inputs!$B$3&gt;=120</f>
        <v/>
      </c>
      <c r="D2394">
        <f>IF(Skills!C28=1,60+Inputs!$B$25+Inputs!$B$29,IF(Skills!C28=2,90+Inputs!$B$26+Inputs!$B$29,IF(Skills!C28=3,120+Inputs!$B$27+Inputs!$B$29,MAX(0,(Inputs!$B$3-100)*3)+Inputs!$B$28+Inputs!$B$29)))</f>
        <v/>
      </c>
      <c r="E2394">
        <f>INDEX(FactorTable!$B$2:$Y$301, MATCH(ROUND(MIN(300,MAX(1,D2394)),0), FactorTable!$A$2:$A$301,0), Skills!M28+1)</f>
        <v/>
      </c>
      <c r="F2394">
        <f>IF(Skills!N28=TRUE,(Skills!L28/10)*(E2394/1000),Skills!L28/10)+Skills!O28</f>
        <v/>
      </c>
      <c r="G2394">
        <f>Skills!G28*IF(Skills!H28&gt;0,Skills!I28/Skills!H28,1)</f>
        <v/>
      </c>
      <c r="H2394">
        <f>1-(1-Skills!J28/100)^Skills!K28</f>
        <v/>
      </c>
      <c r="I2394" t="inlineStr">
        <is>
          <t>1</t>
        </is>
      </c>
      <c r="J2394" t="inlineStr"/>
      <c r="K2394" t="inlineStr"/>
      <c r="L2394" t="inlineStr"/>
      <c r="M2394" t="inlineStr"/>
      <c r="N2394" t="inlineStr"/>
      <c r="O2394">
        <f>(1-Summary!$B$11)*T2394+Summary!$B$11*V2394</f>
        <v/>
      </c>
      <c r="P2394">
        <f>IF(B2408=0,0,O2394/B2408)</f>
        <v/>
      </c>
      <c r="Q2394" t="n">
        <v>0</v>
      </c>
      <c r="R2394" t="n">
        <v>0</v>
      </c>
      <c r="S2394" t="n">
        <v>0</v>
      </c>
      <c r="T2394" t="n">
        <v>0</v>
      </c>
      <c r="V2394" t="n">
        <v>0</v>
      </c>
    </row>
    <row r="2395">
      <c r="A2395">
        <f>Skills!A29</f>
        <v/>
      </c>
      <c r="B2395">
        <f>Skills!B29</f>
        <v/>
      </c>
      <c r="C2395">
        <f>Inputs!$B$3&gt;=45</f>
        <v/>
      </c>
      <c r="D2395">
        <f>IF(Skills!C29=1,60+Inputs!$B$25+Inputs!$B$29,IF(Skills!C29=2,90+Inputs!$B$26+Inputs!$B$29,IF(Skills!C29=3,120+Inputs!$B$27+Inputs!$B$29,MAX(0,(Inputs!$B$3-100)*3)+Inputs!$B$28+Inputs!$B$29)))</f>
        <v/>
      </c>
      <c r="E2395">
        <f>INDEX(FactorTable!$B$2:$Y$301, MATCH(ROUND(MIN(300,MAX(1,D2395)),0), FactorTable!$A$2:$A$301,0), Skills!M29+1)</f>
        <v/>
      </c>
      <c r="F2395">
        <f>IF(Skills!N29=TRUE,(Skills!L29/10)*(E2395/1000),Skills!L29/10)+Skills!O29</f>
        <v/>
      </c>
      <c r="G2395">
        <f>Skills!G29*IF(Skills!H29&gt;0,Skills!I29/Skills!H29,1)</f>
        <v/>
      </c>
      <c r="H2395">
        <f>1-(1-Skills!J29/100)^Skills!K29</f>
        <v/>
      </c>
      <c r="I2395" t="inlineStr">
        <is>
          <t>1</t>
        </is>
      </c>
      <c r="J2395" t="inlineStr"/>
      <c r="K2395" t="inlineStr"/>
      <c r="L2395" t="inlineStr"/>
      <c r="M2395" t="inlineStr"/>
      <c r="N2395" t="inlineStr"/>
      <c r="O2395">
        <f>(1-Summary!$B$11)*T2395+Summary!$B$11*V2395</f>
        <v/>
      </c>
      <c r="P2395">
        <f>IF(B2408=0,0,O2395/B2408)</f>
        <v/>
      </c>
      <c r="Q2395" t="n">
        <v>0</v>
      </c>
      <c r="R2395" t="n">
        <v>0</v>
      </c>
      <c r="S2395" t="n">
        <v>0</v>
      </c>
      <c r="T2395" t="n">
        <v>0</v>
      </c>
      <c r="V2395" t="n">
        <v>0</v>
      </c>
    </row>
    <row r="2397">
      <c r="A2397" t="inlineStr">
        <is>
          <t>Attack% Bucket Multiplier</t>
        </is>
      </c>
      <c r="B2397">
        <f>(1+(((C2379=TRUE)*F2379)+((C2380=TRUE)*IF(Inputs!$B$38="pvp",F2380,(1-Summary!$B$11)*(F2380)+Summary!$B$11*(0)))+((C2381=TRUE)*F2381*IF(AND(Inputs!$B$38&lt;&gt;"pvp",Inputs!$B$43&gt;0),(((R2381-1)*(Skills!T15*(1+Inputs!$B$34/100))+MIN((Skills!T15*(1+Inputs!$B$34/100)),MAX(0,Inputs!$B$43-((R2381-1)*Skills!D15))))/Inputs!$B$43),IF(Inputs!$B$38="pvp",MIN((Skills!T15*(1+Inputs!$B$34/100)),15)/15,(Skills!T15*(1+Inputs!$B$34/100))/Skills!D15)))+((C2378=TRUE)*F2378)+((C2395=TRUE)*(F2395-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2398">
      <c r="A2398" t="inlineStr">
        <is>
          <t>Global Crit Rate Bonus %</t>
        </is>
      </c>
      <c r="B2398">
        <f>(C2382=TRUE)*20*IF(AND(Inputs!$B$38&lt;&gt;"pvp",Inputs!$B$43&gt;0),(((R2382-1)*(Skills!T16*(1+Inputs!$B$34/100))+MIN((Skills!T16*(1+Inputs!$B$34/100)),MAX(0,Inputs!$B$43-((R2382-1)*Skills!D16))))/Inputs!$B$43),IF(Inputs!$B$38="pvp",MIN((Skills!T16*(1+Inputs!$B$34/100)),15)/15,(Skills!T16*(1+Inputs!$B$34/100))/Skills!D16))</f>
        <v/>
      </c>
    </row>
    <row r="2399">
      <c r="A2399" t="inlineStr">
        <is>
          <t>Attack Speed Buff Bonus %</t>
        </is>
      </c>
      <c r="B2399">
        <f>((C2384=TRUE)*F2384*IF(AND(Inputs!$B$38&lt;&gt;"pvp",Inputs!$B$43&gt;0),(((R2384-1)*(Skills!T18*(1+Inputs!$B$34/100))+MIN((Skills!T18*(1+Inputs!$B$34/100)),MAX(0,Inputs!$B$43-((R2384-1)*Skills!D18))))/Inputs!$B$43),IF(Inputs!$B$38="pvp",MIN((Skills!T18*(1+Inputs!$B$34/100)),15)/15,(Skills!T18*(1+Inputs!$B$34/100))/Skills!D18)))</f>
        <v/>
      </c>
    </row>
    <row r="2400">
      <c r="A2400" t="inlineStr">
        <is>
          <t>Actions Per Second</t>
        </is>
      </c>
      <c r="B2400">
        <f>1+MIN(150,150*(1-(1-(Inputs!$B$11+((C2386=TRUE)*(F2386-Calc!F20))+((C2387=TRUE)*(F2387-Calc!F21)))/150)*(1-B2399/150)))/100</f>
        <v/>
      </c>
    </row>
    <row r="2401">
      <c r="A2401" t="inlineStr">
        <is>
          <t>Skill + Buff Cast Rate</t>
        </is>
      </c>
      <c r="B2401">
        <f>IF(AND(Inputs!$B$38&lt;&gt;"pvp",Inputs!$B$43&gt;0),SUMPRODUCT((Skills!E2:E29=TRUE)*(C2368:C2395=TRUE)*R2368:R2395*Skills!F2:F29)/Inputs!$B$43,SUMPRODUCT((Skills!E2:E29=TRUE)*(C2368:C2395=TRUE)*Q2368:Q2395*Skills!F2:F29))</f>
        <v/>
      </c>
    </row>
    <row r="2402">
      <c r="A2402" t="inlineStr">
        <is>
          <t>Empowered Piercing Arrow Casts Per Second</t>
        </is>
      </c>
      <c r="B2402">
        <f>MAX(0,B2400-B2401)</f>
        <v/>
      </c>
    </row>
    <row r="2403">
      <c r="A2403" t="inlineStr">
        <is>
          <t>Global Critical Damage Bonus % (Sharp Eyes)</t>
        </is>
      </c>
      <c r="B2403">
        <f>(C2382=TRUE)*F2382*IF(AND(Inputs!$B$38&lt;&gt;"pvp",Inputs!$B$43&gt;0),(((R2382-1)*(Skills!T16*(1+Inputs!$B$34/100))+MIN((Skills!T16*(1+Inputs!$B$34/100)),MAX(0,Inputs!$B$43-((R2382-1)*Skills!D16))))/Inputs!$B$43),IF(Inputs!$B$38="pvp",MIN((Skills!T16*(1+Inputs!$B$34/100)),15)/15,(Skills!T16*(1+Inputs!$B$34/100))/Skills!D16))</f>
        <v/>
      </c>
    </row>
    <row r="2404">
      <c r="A2404" t="inlineStr">
        <is>
          <t>Global Final Damage Bonus % (Mortal Blow + Last Man Standing conditional half)</t>
        </is>
      </c>
      <c r="B2404">
        <f>(C2383=TRUE)*F2383+((C2392=TRUE)*IF(Inputs!$B$38="pvp",F2392,(1-Summary!$B$11)*(F2392)+Summary!$B$11*(0)))</f>
        <v/>
      </c>
    </row>
    <row r="2405">
      <c r="A2405" t="inlineStr">
        <is>
          <t>Buff-Casting Startup Delay (s, fixed-duration only)</t>
        </is>
      </c>
      <c r="B2405">
        <f>IF(AND(Inputs!$B$38&lt;&gt;"pvp",Inputs!$B$43&gt;0),SUMPRODUCT((Skills!T2:T29&gt;0)*(Skills!E2:E29=TRUE)*(C2368:C2395=TRUE))/B2400,0)</f>
        <v/>
      </c>
    </row>
    <row r="2406">
      <c r="A2406" t="inlineStr">
        <is>
          <t>Boss-Only Total DPS (this block's swept value)</t>
        </is>
      </c>
      <c r="B2406">
        <f>SUM(T2368:T2395)</f>
        <v/>
      </c>
    </row>
    <row r="2407">
      <c r="A2407" t="inlineStr">
        <is>
          <t>Normal-Only Total DPS (this block's swept value)</t>
        </is>
      </c>
      <c r="B2407">
        <f>SUM(V2368:V2395)</f>
        <v/>
      </c>
    </row>
    <row r="2408">
      <c r="A2408" s="6" t="inlineStr">
        <is>
          <t>TOTAL DPS</t>
        </is>
      </c>
      <c r="B2408" s="6">
        <f>SUM(O2368:O2395)</f>
        <v/>
      </c>
    </row>
    <row r="2411">
      <c r="A2411" s="6" t="inlineStr">
        <is>
          <t>Stat: Sayram's Necklace (Equip)</t>
        </is>
      </c>
    </row>
    <row r="2412">
      <c r="A2412" s="5" t="inlineStr">
        <is>
          <t>Key</t>
        </is>
      </c>
      <c r="B2412" s="5" t="inlineStr">
        <is>
          <t>Name</t>
        </is>
      </c>
      <c r="C2412" s="5" t="inlineStr">
        <is>
          <t>Unlocked</t>
        </is>
      </c>
      <c r="D2412" s="5" t="inlineStr">
        <is>
          <t>InputLevel</t>
        </is>
      </c>
      <c r="E2412" s="5" t="inlineStr">
        <is>
          <t>Factor</t>
        </is>
      </c>
      <c r="F2412" s="5" t="inlineStr">
        <is>
          <t>CoefficientPercent</t>
        </is>
      </c>
      <c r="G2412" s="5" t="inlineStr">
        <is>
          <t>EffectiveHits</t>
        </is>
      </c>
      <c r="H2412" s="5" t="inlineStr">
        <is>
          <t>ProcProbability</t>
        </is>
      </c>
      <c r="I2412" s="5" t="inlineStr">
        <is>
          <t>MapleHeroMultiplier</t>
        </is>
      </c>
      <c r="J2412" s="5" t="inlineStr">
        <is>
          <t>BaseDamage</t>
        </is>
      </c>
      <c r="K2412" s="5" t="inlineStr">
        <is>
          <t>BaseHitDamage</t>
        </is>
      </c>
      <c r="L2412" s="5" t="inlineStr">
        <is>
          <t>NonCritAvg</t>
        </is>
      </c>
      <c r="M2412" s="5" t="inlineStr">
        <is>
          <t>CritAvg</t>
        </is>
      </c>
      <c r="N2412" s="5" t="inlineStr">
        <is>
          <t>ExpectedDamage(perHit)</t>
        </is>
      </c>
      <c r="O2412" s="5" t="inlineStr">
        <is>
          <t>DPS</t>
        </is>
      </c>
      <c r="P2412" s="5" t="inlineStr">
        <is>
          <t>% of Total</t>
        </is>
      </c>
      <c r="Q2412" s="5" t="inlineStr">
        <is>
          <t>InvCooldown</t>
        </is>
      </c>
      <c r="R2412" s="5" t="inlineStr">
        <is>
          <t>CastsInFight</t>
        </is>
      </c>
      <c r="S2412" s="5" t="inlineStr">
        <is>
          <t>HitRate(perSec)</t>
        </is>
      </c>
      <c r="U2412" t="inlineStr">
        <is>
          <t>helpers</t>
        </is>
      </c>
    </row>
    <row r="2413">
      <c r="A2413">
        <f>Skills!A2</f>
        <v/>
      </c>
      <c r="B2413">
        <f>Skills!B2</f>
        <v/>
      </c>
      <c r="C2413">
        <f>Inputs!$B$3&gt;=100</f>
        <v/>
      </c>
      <c r="D2413" t="inlineStr"/>
      <c r="E2413" t="inlineStr"/>
      <c r="F2413">
        <f>U2415+Skills!O2</f>
        <v/>
      </c>
      <c r="G2413">
        <f>Skills!G2*IF(Skills!H2&gt;0,Skills!I2/Skills!H2,1)</f>
        <v/>
      </c>
      <c r="H2413">
        <f>1-(1-Skills!J2/100)^Skills!K2</f>
        <v/>
      </c>
      <c r="I2413" t="inlineStr">
        <is>
          <t>1</t>
        </is>
      </c>
      <c r="J2413">
        <f>((Inputs!$B$6*(1+Inputs!$B$7/100))+(((Inputs!$B$12*(1+Inputs!$B$13/100))-(Inputs!$B$12*(1+Inputs!$B$13/100)))+0.25*(Inputs!$B$14-Inputs!$B$14))*(1+Inputs!$B$7/100))*(F2413/100)</f>
        <v/>
      </c>
      <c r="K2413">
        <f>J2413*(1+((Inputs!$B$12*(1+Inputs!$B$13/100))*0.01+Inputs!$B$14*0.0025)/100)*(1+Inputs!$B$15/100)*(1+Inputs!$B$16/100)*(5000/(6000+Inputs!$B$42*(1-(100*(1-(1-(Inputs!$B$19+0)/100)*(1-CHOOSE(ArtifactsInput!$N$40+1,5,6,7,8,9,10)/100)^(ArtifactsInput!$M$40-ArtifactsInput!$M$40)))/100)))*(1+(Inputs!$B$24+((C2435=TRUE)*(F2435-Calc!F24))+((C2436=TRUE)*(F2436-Calc!F25))+B2449)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EMPOWERED_PIERCING_ARROW",Inputs!$B$17+((C2433=TRUE)*(F2433-Calc!F22))+(((IF(AND(ArtifactsInput!$M$42,((Inputs!$B$9+((C2430=TRUE)*(F2430-Calc!F19))+B2443+(ArtifactsInput!$M$24-ArtifactsInput!$M$24)*CHOOSE(ArtifactsInput!$N$24+1,10,12,14,16,18,20)+IF(ArtifactsInput!$M$10,CHOOSE(ArtifactsInput!$N$10+1,15,18,21,24,27,30)*(IF(Inputs!$B$38="pvp",MIN(15,15)/15,IF(AND(Inputs!$B$38&lt;&gt;"pvp",Inputs!$B$43&gt;0),MIN(15,Inputs!$B$43)/(Inputs!$B$43),0))),0)))&gt;=100),MIN(100,((Inputs!$B$9+((C2430=TRUE)*(F2430-Calc!F19))+B2443+(ArtifactsInput!$M$24-ArtifactsInput!$M$24)*CHOOSE(ArtifactsInput!$N$24+1,10,12,14,16,18,20)+IF(ArtifactsInput!$M$10,CHOOSE(ArtifactsInput!$N$10+1,15,18,21,24,27,30)*(IF(Inputs!$B$38="pvp",MIN(15,15)/15,IF(AND(Inputs!$B$38&lt;&gt;"pvp",Inputs!$B$43&gt;0),MIN(15,Inputs!$B$43)/(Inputs!$B$43),0))),0)))-100),0))*CHOOSE(ArtifactsInput!$N$42+1,0.6,0.72,0.84,0.96,1.08,1.2))),Inputs!$B$18+((C2438=TRUE)*(F2438-Calc!F27))+(IF(AND(ArtifactsInput!$M$42,((Inputs!$B$9+((C2430=TRUE)*(F2430-Calc!F19))+B2443+(ArtifactsInput!$M$24-ArtifactsInput!$M$24)*CHOOSE(ArtifactsInput!$N$24+1,10,12,14,16,18,20)+IF(ArtifactsInput!$M$10,CHOOSE(ArtifactsInput!$N$10+1,15,18,21,24,27,30)*(IF(Inputs!$B$38="pvp",MIN(15,15)/15,IF(AND(Inputs!$B$38&lt;&gt;"pvp",Inputs!$B$43&gt;0),MIN(15,Inputs!$B$43)/(Inputs!$B$43),0))),0)))&gt;=100),CHOOSE(ArtifactsInput!$N$42+1,40,48,56,64,72,80),0))))/100)*((1+(((C2424=TRUE)*F2424)+((C2425=TRUE)*IF(Inputs!$B$38="pvp",F2425,(1-Summary!$B$11)*(F2425)+Summary!$B$11*(0)))+((C2426=TRUE)*F2426*IF(AND(Inputs!$B$38&lt;&gt;"pvp",Inputs!$B$43&gt;0),(((R2426-1)*(Skills!T15*(1+Inputs!$B$34/100))+MIN((Skills!T15*(1+Inputs!$B$34/100)),MAX(0,Inputs!$B$43-((R2426-1)*Skills!D15))))/Inputs!$B$43),IF(Inputs!$B$38="pvp",MIN((Skills!T15*(1+Inputs!$B$34/100)),15)/15,(Skills!T15*(1+Inputs!$B$34/100))/Skills!D15)))+((C2423=TRUE)*F2423)+((C2440=TRUE)*(F2440-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2413)</f>
        <v/>
      </c>
      <c r="L2413">
        <f>K2413*(MIN(Inputs!$B$22+((C2434=TRUE)*(F2434-Calc!F23)),(Inputs!$B$23+((C2439=TRUE)*(F2439-Calc!F28))+(IF(ArtifactsInput!$M$15,CHOOSE(ArtifactsInput!$N$15+1,25,30,35,40,45,50)/100*(Inputs!$B$11-Inputs!$B$11),0))))/100+(Inputs!$B$23+((C2439=TRUE)*(F2439-Calc!F28))+(IF(ArtifactsInput!$M$15,CHOOSE(ArtifactsInput!$N$15+1,25,30,35,40,45,50)/100*(Inputs!$B$11-Inputs!$B$11),0)))/100)/2</f>
        <v/>
      </c>
      <c r="M2413">
        <f>L2413*(1+(Inputs!$B$10+0+B2448+(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413">
        <f>L2413*(1-MIN((Inputs!$B$9+((C2430=TRUE)*(F2430-Calc!F19))+B2443+(ArtifactsInput!$M$24-ArtifactsInput!$M$24)*CHOOSE(ArtifactsInput!$N$24+1,10,12,14,16,18,20)+(IF(AND(ArtifactsInput!$M$42,((Inputs!$B$9+((C2430=TRUE)*(F2430-Calc!F19))+B2443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2413*(MIN((Inputs!$B$9+((C2430=TRUE)*(F2430-Calc!F19))+B2443+(ArtifactsInput!$M$24-ArtifactsInput!$M$24)*CHOOSE(ArtifactsInput!$N$24+1,10,12,14,16,18,20)+(IF(AND(ArtifactsInput!$M$42,((Inputs!$B$9+((C2430=TRUE)*(F2430-Calc!F19))+B2443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413">
        <f>(1-Summary!$B$11)*T2413+Summary!$B$11*V2413</f>
        <v/>
      </c>
      <c r="P2413">
        <f>IF(B2453=0,0,O2413/B2453)</f>
        <v/>
      </c>
      <c r="Q2413" t="n">
        <v>0</v>
      </c>
      <c r="R2413" t="n">
        <v>0</v>
      </c>
      <c r="S2413">
        <f>IFERROR((Skills!G2*N2413*B2447)/N2413*IF(Inputs!$B$38="pvp",1,(1-Summary!$B$11)*1+Summary!$B$11*(MIN((6+Inputs!$B$33),Inputs!$B$37))),0)</f>
        <v/>
      </c>
      <c r="T2413">
        <f>IF(C2413,(Skills!G2*N2413*B2447)*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IF(ArtifactsInput!$M$33,FALSE,TRUE),CHOOSE(ArtifactsInput!$N$33+1,10,12,14,16,18,20),0)+(ArtifactsInput!$M$23-ArtifactsInput!$M$23)*CHOOSE(ArtifactsInput!$N$23+1,50,60,70,80,90,100))+(IF(AND(ArtifactsInput!$M$35,Inputs!$B$4&lt;&gt;"Chapter Hunt"),CHOOSE(ArtifactsInput!$N$35+1,15,18,21,24,27,30)*(1-EXP(-(0.2*B2445)*5)),0)+IF(AND(ArtifactsInput!$M$22,Inputs!$B$4&lt;&gt;"Chapter Hunt"),CHOOSE(ArtifactsInput!$N$22+1,10,12,14,16,18,20)*((0*(((0.15*B2445*5))^0/1)+1*(((0.15*B2445*5))^1/1)+2*(((0.15*B2445*5))^2/2)+3*(((0.15*B2445*5))^3/6)+4*(((0.15*B2445*5))^4/24)+5*(((0.15*B2445*5))^5/120))/((((0.15*B2445*5))^0/1)+(((0.15*B2445*5))^1/1)+(((0.15*B2445*5))^2/2)+(((0.15*B2445*5))^3/6)+(((0.15*B2445*5))^4/24)+(((0.15*B2445*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2413*(1-MIN(100,(Inputs!$B$9+((C2430=TRUE)*(F2430-Calc!F19))+B2443+(ArtifactsInput!$M$24-ArtifactsInput!$M$24)*CHOOSE(ArtifactsInput!$N$24+1,10,12,14,16,18,20)+(IF(AND(ArtifactsInput!$M$42,((Inputs!$B$9+((C2430=TRUE)*(F2430-Calc!F19))+B2443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2413*(MIN(100,(Inputs!$B$9+((C2430=TRUE)*(F2430-Calc!F19))+B2443+(ArtifactsInput!$M$24-ArtifactsInput!$M$24)*CHOOSE(ArtifactsInput!$N$24+1,10,12,14,16,18,20)+(IF(AND(ArtifactsInput!$M$42,((Inputs!$B$9+((C2430=TRUE)*(F2430-Calc!F19))+B2443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2413*(1-MIN(100,(Inputs!$B$9+((C2430=TRUE)*(F2430-Calc!F19))+B2443+(ArtifactsInput!$M$24-ArtifactsInput!$M$24)*CHOOSE(ArtifactsInput!$N$24+1,10,12,14,16,18,20)+(IF(AND(ArtifactsInput!$M$42,((Inputs!$B$9+((C2430=TRUE)*(F2430-Calc!F19))+B2443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2413*(MIN(100,(Inputs!$B$9+((C2430=TRUE)*(F2430-Calc!F19))+B2443+(ArtifactsInput!$M$24-ArtifactsInput!$M$24)*CHOOSE(ArtifactsInput!$N$24+1,10,12,14,16,18,20)+(IF(AND(ArtifactsInput!$M$42,((Inputs!$B$9+((C2430=TRUE)*(F2430-Calc!F19))+B2443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413">
        <f>MAX(0,(Inputs!$B$3-100)*3)+Inputs!$B$28+Inputs!$B$29</f>
        <v/>
      </c>
      <c r="V2413">
        <f>IF(C2413,(Skills!G2*N2413*B2447)*IF(Inputs!$B$38="pvp",1,(1+(Inputs!$B$21+Skills!Q2+(IF(IF(ArtifactsInput!$M$33,FALSE,TRUE),CHOOSE(ArtifactsInput!$N$33+1,30,36,42,48,54,60),0))+(IF(AND(ArtifactsInput!$M$35,Inputs!$B$4&lt;&gt;"Chapter Hunt"),CHOOSE(ArtifactsInput!$N$35+1,15,18,21,24,27,30)*(1-EXP(-(0.2*B2445)*5)),0)+IF(AND(ArtifactsInput!$M$22,Inputs!$B$4&lt;&gt;"Chapter Hunt"),CHOOSE(ArtifactsInput!$N$22+1,10,12,14,16,18,20)*((0*(((0.15*B2445*5))^0/1)+1*(((0.15*B2445*5))^1/1)+2*(((0.15*B2445*5))^2/2)+3*(((0.15*B2445*5))^3/6)+4*(((0.15*B2445*5))^4/24)+5*(((0.15*B2445*5))^5/120))/((((0.15*B2445*5))^0/1)+(((0.15*B2445*5))^1/1)+(((0.15*B2445*5))^2/2)+(((0.15*B2445*5))^3/6)+(((0.15*B2445*5))^4/24)+(((0.15*B2445*5))^5/120)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414">
      <c r="A2414">
        <f>Skills!A3</f>
        <v/>
      </c>
      <c r="B2414">
        <f>Skills!B3</f>
        <v/>
      </c>
      <c r="C2414">
        <f>Inputs!$B$3&gt;=50</f>
        <v/>
      </c>
      <c r="D2414">
        <f>IF(Skills!C3=1,60+Inputs!$B$25+Inputs!$B$29,IF(Skills!C3=2,90+Inputs!$B$26+Inputs!$B$29,IF(Skills!C3=3,120+Inputs!$B$27+Inputs!$B$29,MAX(0,(Inputs!$B$3-100)*3)+Inputs!$B$28+Inputs!$B$29)))</f>
        <v/>
      </c>
      <c r="E2414">
        <f>INDEX(FactorTable!$B$2:$Y$301, MATCH(ROUND(MIN(300,MAX(1,D2414)),0), FactorTable!$A$2:$A$301,0), Skills!M3+1)</f>
        <v/>
      </c>
      <c r="F2414">
        <f>IF(Skills!N3=TRUE,(Skills!L3/10)*(E2414/1000),Skills!L3/10)+Skills!O3</f>
        <v/>
      </c>
      <c r="G2414" t="inlineStr"/>
      <c r="H2414" t="inlineStr"/>
      <c r="I2414" t="inlineStr">
        <is>
          <t>1</t>
        </is>
      </c>
      <c r="J2414" t="inlineStr"/>
      <c r="K2414" t="inlineStr"/>
      <c r="L2414" t="inlineStr"/>
      <c r="M2414" t="inlineStr"/>
      <c r="N2414" t="inlineStr"/>
      <c r="O2414" t="inlineStr"/>
      <c r="P2414" t="inlineStr"/>
      <c r="Q2414" t="inlineStr"/>
      <c r="R2414" t="inlineStr"/>
      <c r="S2414" t="inlineStr"/>
      <c r="T2414" t="inlineStr"/>
      <c r="U2414">
        <f>INDEX(FactorTable!$B$2:$Y$301, MATCH(ROUND(MIN(300,MAX(1,U2413)),0), FactorTable!$A$2:$A$301,0), 22)</f>
        <v/>
      </c>
      <c r="V2414" t="inlineStr"/>
    </row>
    <row r="2415">
      <c r="A2415">
        <f>Skills!A4</f>
        <v/>
      </c>
      <c r="B2415">
        <f>Skills!B4</f>
        <v/>
      </c>
      <c r="C2415">
        <f>Inputs!$B$3&gt;=105</f>
        <v/>
      </c>
      <c r="D2415">
        <f>IF(Skills!C4=1,60+Inputs!$B$25+Inputs!$B$29,IF(Skills!C4=2,90+Inputs!$B$26+Inputs!$B$29,IF(Skills!C4=3,120+Inputs!$B$27+Inputs!$B$29,MAX(0,(Inputs!$B$3-100)*3)+Inputs!$B$28+Inputs!$B$29)))</f>
        <v/>
      </c>
      <c r="E2415">
        <f>INDEX(FactorTable!$B$2:$Y$301, MATCH(ROUND(MIN(300,MAX(1,D2415)),0), FactorTable!$A$2:$A$301,0), Skills!M4+1)</f>
        <v/>
      </c>
      <c r="F2415">
        <f>IF(Skills!N4=TRUE,(Skills!L4/10)*(E2415/1000),Skills!L4/10)+Skills!O4</f>
        <v/>
      </c>
      <c r="G2415" t="inlineStr"/>
      <c r="H2415" t="inlineStr"/>
      <c r="I2415" t="inlineStr">
        <is>
          <t>1</t>
        </is>
      </c>
      <c r="J2415" t="inlineStr"/>
      <c r="K2415" t="inlineStr"/>
      <c r="L2415" t="inlineStr"/>
      <c r="M2415" t="inlineStr"/>
      <c r="N2415" t="inlineStr"/>
      <c r="O2415" t="inlineStr"/>
      <c r="P2415" t="inlineStr"/>
      <c r="Q2415" t="inlineStr"/>
      <c r="R2415" t="inlineStr"/>
      <c r="S2415" t="inlineStr"/>
      <c r="T2415" t="inlineStr"/>
      <c r="U2415">
        <f>290*U2414/1000</f>
        <v/>
      </c>
      <c r="V2415" t="inlineStr"/>
    </row>
    <row r="2416">
      <c r="A2416">
        <f>Skills!A5</f>
        <v/>
      </c>
      <c r="B2416">
        <f>Skills!B5</f>
        <v/>
      </c>
      <c r="C2416">
        <f>Inputs!$B$3&gt;=35</f>
        <v/>
      </c>
      <c r="D2416">
        <f>IF(Skills!C5=1,60+Inputs!$B$25+Inputs!$B$29,IF(Skills!C5=2,90+Inputs!$B$26+Inputs!$B$29,IF(Skills!C5=3,120+Inputs!$B$27+Inputs!$B$29,MAX(0,(Inputs!$B$3-100)*3)+Inputs!$B$28+Inputs!$B$29)))</f>
        <v/>
      </c>
      <c r="E2416">
        <f>INDEX(FactorTable!$B$2:$Y$301, MATCH(ROUND(MIN(300,MAX(1,D2416)),0), FactorTable!$A$2:$A$301,0), Skills!M5+1)</f>
        <v/>
      </c>
      <c r="F2416">
        <f>IF(Skills!N5=TRUE,(Skills!L5/10)*(E2416/1000),Skills!L5/10)+Skills!O5</f>
        <v/>
      </c>
      <c r="G2416">
        <f>Skills!G5*IF(Skills!H5&gt;0,Skills!I5/Skills!H5,1)</f>
        <v/>
      </c>
      <c r="H2416">
        <f>1-(1-Skills!J5/100)^Skills!K5</f>
        <v/>
      </c>
      <c r="I2416" t="inlineStr">
        <is>
          <t>1</t>
        </is>
      </c>
      <c r="J2416">
        <f>((Inputs!$B$6*(1+Inputs!$B$7/100))+(((Inputs!$B$12*(1+Inputs!$B$13/100))-(Inputs!$B$12*(1+Inputs!$B$13/100)))+0.25*(Inputs!$B$14-Inputs!$B$14))*(1+Inputs!$B$7/100))*(F2416/100)</f>
        <v/>
      </c>
      <c r="K2416">
        <f>J2416*(1+((Inputs!$B$12*(1+Inputs!$B$13/100))*0.01+Inputs!$B$14*0.0025)/100)*(1+Inputs!$B$15/100)*(1+Inputs!$B$16/100)*(5000/(6000+Inputs!$B$42*(1-(100*(1-(1-(Inputs!$B$19+0)/100)*(1-CHOOSE(ArtifactsInput!$N$40+1,5,6,7,8,9,10)/100)^(ArtifactsInput!$M$40-ArtifactsInput!$M$40)))/100)))*(1+(Inputs!$B$24+((C2435=TRUE)*(F2435-Calc!F24))+((C2436=TRUE)*(F2436-Calc!F25))+B2449)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2419=TRUE,F2419,0)/100)*(1+(IF(Skills!A5="EMPOWERED_PIERCING_ARROW",Inputs!$B$17+((C2433=TRUE)*(F2433-Calc!F22))+(((IF(AND(ArtifactsInput!$M$42,((Inputs!$B$9+((C2430=TRUE)*(F2430-Calc!F19))+B2443+(ArtifactsInput!$M$24-ArtifactsInput!$M$24)*CHOOSE(ArtifactsInput!$N$24+1,10,12,14,16,18,20)+IF(ArtifactsInput!$M$10,CHOOSE(ArtifactsInput!$N$10+1,15,18,21,24,27,30)*(IF(Inputs!$B$38="pvp",MIN(15,15)/15,IF(AND(Inputs!$B$38&lt;&gt;"pvp",Inputs!$B$43&gt;0),MIN(15,Inputs!$B$43)/(Inputs!$B$43),0))),0)))&gt;=100),MIN(100,((Inputs!$B$9+((C2430=TRUE)*(F2430-Calc!F19))+B2443+(ArtifactsInput!$M$24-ArtifactsInput!$M$24)*CHOOSE(ArtifactsInput!$N$24+1,10,12,14,16,18,20)+IF(ArtifactsInput!$M$10,CHOOSE(ArtifactsInput!$N$10+1,15,18,21,24,27,30)*(IF(Inputs!$B$38="pvp",MIN(15,15)/15,IF(AND(Inputs!$B$38&lt;&gt;"pvp",Inputs!$B$43&gt;0),MIN(15,Inputs!$B$43)/(Inputs!$B$43),0))),0)))-100),0))*CHOOSE(ArtifactsInput!$N$42+1,0.6,0.72,0.84,0.96,1.08,1.2))),Inputs!$B$18+((C2438=TRUE)*(F2438-Calc!F27))+(IF(AND(ArtifactsInput!$M$42,((Inputs!$B$9+((C2430=TRUE)*(F2430-Calc!F19))+B2443+(ArtifactsInput!$M$24-ArtifactsInput!$M$24)*CHOOSE(ArtifactsInput!$N$24+1,10,12,14,16,18,20)+IF(ArtifactsInput!$M$10,CHOOSE(ArtifactsInput!$N$10+1,15,18,21,24,27,30)*(IF(Inputs!$B$38="pvp",MIN(15,15)/15,IF(AND(Inputs!$B$38&lt;&gt;"pvp",Inputs!$B$43&gt;0),MIN(15,Inputs!$B$43)/(Inputs!$B$43),0))),0)))&gt;=100),CHOOSE(ArtifactsInput!$N$42+1,40,48,56,64,72,80),0))))/100)*((1+(((C2424=TRUE)*F2424)+((C2425=TRUE)*IF(Inputs!$B$38="pvp",F2425,(1-Summary!$B$11)*(F2425)+Summary!$B$11*(0)))+((C2426=TRUE)*F2426*IF(AND(Inputs!$B$38&lt;&gt;"pvp",Inputs!$B$43&gt;0),(((R2426-1)*(Skills!T15*(1+Inputs!$B$34/100))+MIN((Skills!T15*(1+Inputs!$B$34/100)),MAX(0,Inputs!$B$43-((R2426-1)*Skills!D15))))/Inputs!$B$43),IF(Inputs!$B$38="pvp",MIN((Skills!T15*(1+Inputs!$B$34/100)),15)/15,(Skills!T15*(1+Inputs!$B$34/100))/Skills!D15)))+((C2423=TRUE)*F2423)+((C2440=TRUE)*(F2440-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2416)</f>
        <v/>
      </c>
      <c r="L2416">
        <f>K2416*(MIN(Inputs!$B$22+((C2434=TRUE)*(F2434-Calc!F23)),(Inputs!$B$23+((C2439=TRUE)*(F2439-Calc!F28))+(IF(ArtifactsInput!$M$15,CHOOSE(ArtifactsInput!$N$15+1,25,30,35,40,45,50)/100*(Inputs!$B$11-Inputs!$B$11),0))))/100+(Inputs!$B$23+((C2439=TRUE)*(F2439-Calc!F28))+(IF(ArtifactsInput!$M$15,CHOOSE(ArtifactsInput!$N$15+1,25,30,35,40,45,50)/100*(Inputs!$B$11-Inputs!$B$11),0)))/100)/2</f>
        <v/>
      </c>
      <c r="M2416">
        <f>L2416*(1+(Inputs!$B$10+0+B2448+(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416">
        <f>L2416*(1-MIN((Inputs!$B$9+((C2430=TRUE)*(F2430-Calc!F19))+B2443+(ArtifactsInput!$M$24-ArtifactsInput!$M$24)*CHOOSE(ArtifactsInput!$N$24+1,10,12,14,16,18,20)+(IF(AND(ArtifactsInput!$M$42,((Inputs!$B$9+((C2430=TRUE)*(F2430-Calc!F19))+B2443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2416*(MIN((Inputs!$B$9+((C2430=TRUE)*(F2430-Calc!F19))+B2443+(ArtifactsInput!$M$24-ArtifactsInput!$M$24)*CHOOSE(ArtifactsInput!$N$24+1,10,12,14,16,18,20)+(IF(AND(ArtifactsInput!$M$42,((Inputs!$B$9+((C2430=TRUE)*(F2430-Calc!F19))+B2443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416">
        <f>(1-Summary!$B$11)*T2416+Summary!$B$11*V2416</f>
        <v/>
      </c>
      <c r="P2416">
        <f>IF(B2453=0,0,O2416/B2453)</f>
        <v/>
      </c>
      <c r="Q2416">
        <f>IFERROR(1/IF(Inputs!$B$38="pvp",15,MAX(0.1,Skills!D5-IF(Skills!E5=TRUE,Inputs!$B$32,0))),0)</f>
        <v/>
      </c>
      <c r="R2416">
        <f>IF(AND(Inputs!$B$38&lt;&gt;"pvp",Inputs!$B$43&gt;0),IF(MAX(0,Inputs!$B$43-B2450)&lt;=0,0,(INT(MAX(0,Inputs!$B$43-B2450)/IF(Inputs!$B$38="pvp",15,MAX(0.1,Skills!D5-IF(Skills!E5=TRUE,Inputs!$B$32,0))))+1)),0)</f>
        <v/>
      </c>
      <c r="S2416">
        <f>IFERROR((H2416*N2416*IF(AND(Inputs!$B$38&lt;&gt;"pvp",Inputs!$B$43&gt;0),((Skills!G5*((R2416-1)*IF(Skills!H5&gt;0,Skills!I5/Skills!H5,1)+IF(Skills!H5&gt;0,MIN(Skills!I5,MAX(0,MAX(0,Inputs!$B$43-B2450)-((R2416-1)*IF(Inputs!$B$38="pvp",15,MAX(0.1,Skills!D5-IF(Skills!E5=TRUE,Inputs!$B$32,0))))))/Skills!H5,1)))/Inputs!$B$43),G2416*Q2416))/N2416*IF(Inputs!$B$38="pvp",1,(1-Summary!$B$11)*1+Summary!$B$11*(MIN(Skills!R5,Inputs!$B$37))),0)</f>
        <v/>
      </c>
      <c r="T2416">
        <f>IF(C2416,(H2416*N2416*IF(AND(Inputs!$B$38&lt;&gt;"pvp",Inputs!$B$43&gt;0),((Skills!G5*((R2416-1)*IF(Skills!H5&gt;0,Skills!I5/Skills!H5,1)+IF(Skills!H5&gt;0,MIN(Skills!I5,MAX(0,MAX(0,Inputs!$B$43-B2450)-((R2416-1)*IF(Inputs!$B$38="pvp",15,MAX(0.1,Skills!D5-IF(Skills!E5=TRUE,Inputs!$B$32,0))))))/Skills!H5,1)))/Inputs!$B$43),G2416*Q2416))*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IF(ArtifactsInput!$M$33,FALSE,TRUE),CHOOSE(ArtifactsInput!$N$33+1,10,12,14,16,18,20),0)+(ArtifactsInput!$M$23-ArtifactsInput!$M$23)*CHOOSE(ArtifactsInput!$N$23+1,50,60,70,80,90,100))+(IF(AND(ArtifactsInput!$M$35,Inputs!$B$4&lt;&gt;"Chapter Hunt"),CHOOSE(ArtifactsInput!$N$35+1,15,18,21,24,27,30)*(1-EXP(-(0.2*B2445)*5)),0)+IF(AND(ArtifactsInput!$M$22,Inputs!$B$4&lt;&gt;"Chapter Hunt"),CHOOSE(ArtifactsInput!$N$22+1,10,12,14,16,18,20)*((0*(((0.15*B2445*5))^0/1)+1*(((0.15*B2445*5))^1/1)+2*(((0.15*B2445*5))^2/2)+3*(((0.15*B2445*5))^3/6)+4*(((0.15*B2445*5))^4/24)+5*(((0.15*B2445*5))^5/120))/((((0.15*B2445*5))^0/1)+(((0.15*B2445*5))^1/1)+(((0.15*B2445*5))^2/2)+(((0.15*B2445*5))^3/6)+(((0.15*B2445*5))^4/24)+(((0.15*B2445*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2416*(1-MIN(100,(Inputs!$B$9+((C2430=TRUE)*(F2430-Calc!F19))+B2443+(ArtifactsInput!$M$24-ArtifactsInput!$M$24)*CHOOSE(ArtifactsInput!$N$24+1,10,12,14,16,18,20)+(IF(AND(ArtifactsInput!$M$42,((Inputs!$B$9+((C2430=TRUE)*(F2430-Calc!F19))+B2443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2416*(MIN(100,(Inputs!$B$9+((C2430=TRUE)*(F2430-Calc!F19))+B2443+(ArtifactsInput!$M$24-ArtifactsInput!$M$24)*CHOOSE(ArtifactsInput!$N$24+1,10,12,14,16,18,20)+(IF(AND(ArtifactsInput!$M$42,((Inputs!$B$9+((C2430=TRUE)*(F2430-Calc!F19))+B2443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2416*(1-MIN(100,(Inputs!$B$9+((C2430=TRUE)*(F2430-Calc!F19))+B2443+(ArtifactsInput!$M$24-ArtifactsInput!$M$24)*CHOOSE(ArtifactsInput!$N$24+1,10,12,14,16,18,20)+(IF(AND(ArtifactsInput!$M$42,((Inputs!$B$9+((C2430=TRUE)*(F2430-Calc!F19))+B2443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2416*(MIN(100,(Inputs!$B$9+((C2430=TRUE)*(F2430-Calc!F19))+B2443+(ArtifactsInput!$M$24-ArtifactsInput!$M$24)*CHOOSE(ArtifactsInput!$N$24+1,10,12,14,16,18,20)+(IF(AND(ArtifactsInput!$M$42,((Inputs!$B$9+((C2430=TRUE)*(F2430-Calc!F19))+B2443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416">
        <f>IF(C2416,(H2416*N2416*IF(AND(Inputs!$B$38&lt;&gt;"pvp",Inputs!$B$43&gt;0),((Skills!G5*((R2416-1)*IF(Skills!H5&gt;0,Skills!I5/Skills!H5,1)+IF(Skills!H5&gt;0,MIN(Skills!I5,MAX(0,MAX(0,Inputs!$B$43-B2450)-((R2416-1)*IF(Inputs!$B$38="pvp",15,MAX(0.1,Skills!D5-IF(Skills!E5=TRUE,Inputs!$B$32,0))))))/Skills!H5,1)))/Inputs!$B$43),G2416*Q2416))*IF(Inputs!$B$38="pvp",1,(1+(Inputs!$B$21+Skills!Q5+(IF(IF(ArtifactsInput!$M$33,FALSE,TRUE),CHOOSE(ArtifactsInput!$N$33+1,30,36,42,48,54,60),0))+(IF(AND(ArtifactsInput!$M$35,Inputs!$B$4&lt;&gt;"Chapter Hunt"),CHOOSE(ArtifactsInput!$N$35+1,15,18,21,24,27,30)*(1-EXP(-(0.2*B2445)*5)),0)+IF(AND(ArtifactsInput!$M$22,Inputs!$B$4&lt;&gt;"Chapter Hunt"),CHOOSE(ArtifactsInput!$N$22+1,10,12,14,16,18,20)*((0*(((0.15*B2445*5))^0/1)+1*(((0.15*B2445*5))^1/1)+2*(((0.15*B2445*5))^2/2)+3*(((0.15*B2445*5))^3/6)+4*(((0.15*B2445*5))^4/24)+5*(((0.15*B2445*5))^5/120))/((((0.15*B2445*5))^0/1)+(((0.15*B2445*5))^1/1)+(((0.15*B2445*5))^2/2)+(((0.15*B2445*5))^3/6)+(((0.15*B2445*5))^4/24)+(((0.15*B2445*5))^5/120)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417">
      <c r="A2417">
        <f>Skills!A6</f>
        <v/>
      </c>
      <c r="B2417">
        <f>Skills!B6</f>
        <v/>
      </c>
      <c r="C2417">
        <f>Inputs!$B$3&gt;=63</f>
        <v/>
      </c>
      <c r="D2417">
        <f>IF(Skills!C6=1,60+Inputs!$B$25+Inputs!$B$29,IF(Skills!C6=2,90+Inputs!$B$26+Inputs!$B$29,IF(Skills!C6=3,120+Inputs!$B$27+Inputs!$B$29,MAX(0,(Inputs!$B$3-100)*3)+Inputs!$B$28+Inputs!$B$29)))</f>
        <v/>
      </c>
      <c r="E2417">
        <f>INDEX(FactorTable!$B$2:$Y$301, MATCH(ROUND(MIN(300,MAX(1,D2417)),0), FactorTable!$A$2:$A$301,0), Skills!M6+1)</f>
        <v/>
      </c>
      <c r="F2417">
        <f>IF(Skills!N6=TRUE,(Skills!L6/10)*(E2417/1000),Skills!L6/10)+Skills!O6</f>
        <v/>
      </c>
      <c r="G2417">
        <f>Skills!G6*IF(Skills!H6&gt;0,Skills!I6/Skills!H6,1)</f>
        <v/>
      </c>
      <c r="H2417">
        <f>1-(1-Skills!J6/100)^Skills!K6</f>
        <v/>
      </c>
      <c r="I2417" t="inlineStr">
        <is>
          <t>1</t>
        </is>
      </c>
      <c r="J2417">
        <f>((Inputs!$B$6*(1+Inputs!$B$7/100))+(((Inputs!$B$12*(1+Inputs!$B$13/100))-(Inputs!$B$12*(1+Inputs!$B$13/100)))+0.25*(Inputs!$B$14-Inputs!$B$14))*(1+Inputs!$B$7/100))*(F2417/100)</f>
        <v/>
      </c>
      <c r="K2417">
        <f>J2417*(1+((Inputs!$B$12*(1+Inputs!$B$13/100))*0.01+Inputs!$B$14*0.0025)/100)*(1+Inputs!$B$15/100)*(1+Inputs!$B$16/100)*(5000/(6000+Inputs!$B$42*(1-(100*(1-(1-(Inputs!$B$19+0)/100)*(1-CHOOSE(ArtifactsInput!$N$40+1,5,6,7,8,9,10)/100)^(ArtifactsInput!$M$40-ArtifactsInput!$M$40)))/100)))*(1+(Inputs!$B$24+((C2435=TRUE)*(F2435-Calc!F24))+((C2436=TRUE)*(F2436-Calc!F25))+B2449)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2419=TRUE,F2419,0)/100)*(1+(IF(Skills!A6="EMPOWERED_PIERCING_ARROW",Inputs!$B$17+((C2433=TRUE)*(F2433-Calc!F22))+(((IF(AND(ArtifactsInput!$M$42,((Inputs!$B$9+((C2430=TRUE)*(F2430-Calc!F19))+B2443+(ArtifactsInput!$M$24-ArtifactsInput!$M$24)*CHOOSE(ArtifactsInput!$N$24+1,10,12,14,16,18,20)+IF(ArtifactsInput!$M$10,CHOOSE(ArtifactsInput!$N$10+1,15,18,21,24,27,30)*(IF(Inputs!$B$38="pvp",MIN(15,15)/15,IF(AND(Inputs!$B$38&lt;&gt;"pvp",Inputs!$B$43&gt;0),MIN(15,Inputs!$B$43)/(Inputs!$B$43),0))),0)))&gt;=100),MIN(100,((Inputs!$B$9+((C2430=TRUE)*(F2430-Calc!F19))+B2443+(ArtifactsInput!$M$24-ArtifactsInput!$M$24)*CHOOSE(ArtifactsInput!$N$24+1,10,12,14,16,18,20)+IF(ArtifactsInput!$M$10,CHOOSE(ArtifactsInput!$N$10+1,15,18,21,24,27,30)*(IF(Inputs!$B$38="pvp",MIN(15,15)/15,IF(AND(Inputs!$B$38&lt;&gt;"pvp",Inputs!$B$43&gt;0),MIN(15,Inputs!$B$43)/(Inputs!$B$43),0))),0)))-100),0))*CHOOSE(ArtifactsInput!$N$42+1,0.6,0.72,0.84,0.96,1.08,1.2))),Inputs!$B$18+((C2438=TRUE)*(F2438-Calc!F27))+(IF(AND(ArtifactsInput!$M$42,((Inputs!$B$9+((C2430=TRUE)*(F2430-Calc!F19))+B2443+(ArtifactsInput!$M$24-ArtifactsInput!$M$24)*CHOOSE(ArtifactsInput!$N$24+1,10,12,14,16,18,20)+IF(ArtifactsInput!$M$10,CHOOSE(ArtifactsInput!$N$10+1,15,18,21,24,27,30)*(IF(Inputs!$B$38="pvp",MIN(15,15)/15,IF(AND(Inputs!$B$38&lt;&gt;"pvp",Inputs!$B$43&gt;0),MIN(15,Inputs!$B$43)/(Inputs!$B$43),0))),0)))&gt;=100),CHOOSE(ArtifactsInput!$N$42+1,40,48,56,64,72,80),0))))/100)*((1+(((C2424=TRUE)*F2424)+((C2425=TRUE)*IF(Inputs!$B$38="pvp",F2425,(1-Summary!$B$11)*(F2425)+Summary!$B$11*(0)))+((C2426=TRUE)*F2426*IF(AND(Inputs!$B$38&lt;&gt;"pvp",Inputs!$B$43&gt;0),(((R2426-1)*(Skills!T15*(1+Inputs!$B$34/100))+MIN((Skills!T15*(1+Inputs!$B$34/100)),MAX(0,Inputs!$B$43-((R2426-1)*Skills!D15))))/Inputs!$B$43),IF(Inputs!$B$38="pvp",MIN((Skills!T15*(1+Inputs!$B$34/100)),15)/15,(Skills!T15*(1+Inputs!$B$34/100))/Skills!D15)))+((C2423=TRUE)*F2423)+((C2440=TRUE)*(F2440-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2417)</f>
        <v/>
      </c>
      <c r="L2417">
        <f>K2417*(MIN(Inputs!$B$22+((C2434=TRUE)*(F2434-Calc!F23)),(Inputs!$B$23+((C2439=TRUE)*(F2439-Calc!F28))+(IF(ArtifactsInput!$M$15,CHOOSE(ArtifactsInput!$N$15+1,25,30,35,40,45,50)/100*(Inputs!$B$11-Inputs!$B$11),0))))/100+(Inputs!$B$23+((C2439=TRUE)*(F2439-Calc!F28))+(IF(ArtifactsInput!$M$15,CHOOSE(ArtifactsInput!$N$15+1,25,30,35,40,45,50)/100*(Inputs!$B$11-Inputs!$B$11),0)))/100)/2</f>
        <v/>
      </c>
      <c r="M2417">
        <f>L2417*(1+(Inputs!$B$10+0+B2448+(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417">
        <f>L2417*(1-MIN((Inputs!$B$9+((C2430=TRUE)*(F2430-Calc!F19))+B2443+(ArtifactsInput!$M$24-ArtifactsInput!$M$24)*CHOOSE(ArtifactsInput!$N$24+1,10,12,14,16,18,20)+(IF(AND(ArtifactsInput!$M$42,((Inputs!$B$9+((C2430=TRUE)*(F2430-Calc!F19))+B2443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2417*(MIN((Inputs!$B$9+((C2430=TRUE)*(F2430-Calc!F19))+B2443+(ArtifactsInput!$M$24-ArtifactsInput!$M$24)*CHOOSE(ArtifactsInput!$N$24+1,10,12,14,16,18,20)+(IF(AND(ArtifactsInput!$M$42,((Inputs!$B$9+((C2430=TRUE)*(F2430-Calc!F19))+B2443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417">
        <f>(1-Summary!$B$11)*T2417+Summary!$B$11*V2417</f>
        <v/>
      </c>
      <c r="P2417">
        <f>IF(B2453=0,0,O2417/B2453)</f>
        <v/>
      </c>
      <c r="Q2417">
        <f>IFERROR(1/IF(Inputs!$B$38="pvp",15,MAX(0.1,Skills!D6-IF(Skills!E6=TRUE,Inputs!$B$32,0))),0)</f>
        <v/>
      </c>
      <c r="R2417">
        <f>IF(AND(Inputs!$B$38&lt;&gt;"pvp",Inputs!$B$43&gt;0),IF(MAX(0,Inputs!$B$43-B2450)&lt;=0,0,(INT(MAX(0,Inputs!$B$43-B2450)/IF(Inputs!$B$38="pvp",15,MAX(0.1,Skills!D6-IF(Skills!E6=TRUE,Inputs!$B$32,0))))+1)),0)</f>
        <v/>
      </c>
      <c r="S2417">
        <f>IFERROR((H2417*N2417*IF(AND(Inputs!$B$38&lt;&gt;"pvp",Inputs!$B$43&gt;0),((Skills!G6*((R2417-1)*IF(Skills!H6&gt;0,Skills!I6/Skills!H6,1)+IF(Skills!H6&gt;0,MIN(Skills!I6,MAX(0,MAX(0,Inputs!$B$43-B2450)-((R2417-1)*IF(Inputs!$B$38="pvp",15,MAX(0.1,Skills!D6-IF(Skills!E6=TRUE,Inputs!$B$32,0))))))/Skills!H6,1)))/Inputs!$B$43),G2417*Q2417))/N2417*IF(Inputs!$B$38="pvp",1,(1-Summary!$B$11)*1+Summary!$B$11*(MIN(Skills!R6,Inputs!$B$37))),0)</f>
        <v/>
      </c>
      <c r="T2417">
        <f>IF(C2417,(H2417*N2417*IF(AND(Inputs!$B$38&lt;&gt;"pvp",Inputs!$B$43&gt;0),((Skills!G6*((R2417-1)*IF(Skills!H6&gt;0,Skills!I6/Skills!H6,1)+IF(Skills!H6&gt;0,MIN(Skills!I6,MAX(0,MAX(0,Inputs!$B$43-B2450)-((R2417-1)*IF(Inputs!$B$38="pvp",15,MAX(0.1,Skills!D6-IF(Skills!E6=TRUE,Inputs!$B$32,0))))))/Skills!H6,1)))/Inputs!$B$43),G2417*Q2417))*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IF(ArtifactsInput!$M$33,FALSE,TRUE),CHOOSE(ArtifactsInput!$N$33+1,10,12,14,16,18,20),0)+(ArtifactsInput!$M$23-ArtifactsInput!$M$23)*CHOOSE(ArtifactsInput!$N$23+1,50,60,70,80,90,100))+(IF(AND(ArtifactsInput!$M$35,Inputs!$B$4&lt;&gt;"Chapter Hunt"),CHOOSE(ArtifactsInput!$N$35+1,15,18,21,24,27,30)*(1-EXP(-(0.2*B2445)*5)),0)+IF(AND(ArtifactsInput!$M$22,Inputs!$B$4&lt;&gt;"Chapter Hunt"),CHOOSE(ArtifactsInput!$N$22+1,10,12,14,16,18,20)*((0*(((0.15*B2445*5))^0/1)+1*(((0.15*B2445*5))^1/1)+2*(((0.15*B2445*5))^2/2)+3*(((0.15*B2445*5))^3/6)+4*(((0.15*B2445*5))^4/24)+5*(((0.15*B2445*5))^5/120))/((((0.15*B2445*5))^0/1)+(((0.15*B2445*5))^1/1)+(((0.15*B2445*5))^2/2)+(((0.15*B2445*5))^3/6)+(((0.15*B2445*5))^4/24)+(((0.15*B2445*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2417*(1-MIN(100,(Inputs!$B$9+((C2430=TRUE)*(F2430-Calc!F19))+B2443+(ArtifactsInput!$M$24-ArtifactsInput!$M$24)*CHOOSE(ArtifactsInput!$N$24+1,10,12,14,16,18,20)+(IF(AND(ArtifactsInput!$M$42,((Inputs!$B$9+((C2430=TRUE)*(F2430-Calc!F19))+B2443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2417*(MIN(100,(Inputs!$B$9+((C2430=TRUE)*(F2430-Calc!F19))+B2443+(ArtifactsInput!$M$24-ArtifactsInput!$M$24)*CHOOSE(ArtifactsInput!$N$24+1,10,12,14,16,18,20)+(IF(AND(ArtifactsInput!$M$42,((Inputs!$B$9+((C2430=TRUE)*(F2430-Calc!F19))+B2443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2417*(1-MIN(100,(Inputs!$B$9+((C2430=TRUE)*(F2430-Calc!F19))+B2443+(ArtifactsInput!$M$24-ArtifactsInput!$M$24)*CHOOSE(ArtifactsInput!$N$24+1,10,12,14,16,18,20)+(IF(AND(ArtifactsInput!$M$42,((Inputs!$B$9+((C2430=TRUE)*(F2430-Calc!F19))+B2443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2417*(MIN(100,(Inputs!$B$9+((C2430=TRUE)*(F2430-Calc!F19))+B2443+(ArtifactsInput!$M$24-ArtifactsInput!$M$24)*CHOOSE(ArtifactsInput!$N$24+1,10,12,14,16,18,20)+(IF(AND(ArtifactsInput!$M$42,((Inputs!$B$9+((C2430=TRUE)*(F2430-Calc!F19))+B2443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417">
        <f>IF(C2417,(H2417*N2417*IF(AND(Inputs!$B$38&lt;&gt;"pvp",Inputs!$B$43&gt;0),((Skills!G6*((R2417-1)*IF(Skills!H6&gt;0,Skills!I6/Skills!H6,1)+IF(Skills!H6&gt;0,MIN(Skills!I6,MAX(0,MAX(0,Inputs!$B$43-B2450)-((R2417-1)*IF(Inputs!$B$38="pvp",15,MAX(0.1,Skills!D6-IF(Skills!E6=TRUE,Inputs!$B$32,0))))))/Skills!H6,1)))/Inputs!$B$43),G2417*Q2417))*IF(Inputs!$B$38="pvp",1,(1+(Inputs!$B$21+Skills!Q6+(IF(IF(ArtifactsInput!$M$33,FALSE,TRUE),CHOOSE(ArtifactsInput!$N$33+1,30,36,42,48,54,60),0))+(IF(AND(ArtifactsInput!$M$35,Inputs!$B$4&lt;&gt;"Chapter Hunt"),CHOOSE(ArtifactsInput!$N$35+1,15,18,21,24,27,30)*(1-EXP(-(0.2*B2445)*5)),0)+IF(AND(ArtifactsInput!$M$22,Inputs!$B$4&lt;&gt;"Chapter Hunt"),CHOOSE(ArtifactsInput!$N$22+1,10,12,14,16,18,20)*((0*(((0.15*B2445*5))^0/1)+1*(((0.15*B2445*5))^1/1)+2*(((0.15*B2445*5))^2/2)+3*(((0.15*B2445*5))^3/6)+4*(((0.15*B2445*5))^4/24)+5*(((0.15*B2445*5))^5/120))/((((0.15*B2445*5))^0/1)+(((0.15*B2445*5))^1/1)+(((0.15*B2445*5))^2/2)+(((0.15*B2445*5))^3/6)+(((0.15*B2445*5))^4/24)+(((0.15*B2445*5))^5/120))),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418">
      <c r="A2418">
        <f>Skills!A7</f>
        <v/>
      </c>
      <c r="B2418">
        <f>Skills!B7</f>
        <v/>
      </c>
      <c r="C2418">
        <f>Inputs!$B$3&gt;=69</f>
        <v/>
      </c>
      <c r="D2418">
        <f>IF(Skills!C7=1,60+Inputs!$B$25+Inputs!$B$29,IF(Skills!C7=2,90+Inputs!$B$26+Inputs!$B$29,IF(Skills!C7=3,120+Inputs!$B$27+Inputs!$B$29,MAX(0,(Inputs!$B$3-100)*3)+Inputs!$B$28+Inputs!$B$29)))</f>
        <v/>
      </c>
      <c r="E2418">
        <f>INDEX(FactorTable!$B$2:$Y$301, MATCH(ROUND(MIN(300,MAX(1,D2418)),0), FactorTable!$A$2:$A$301,0), Skills!M7+1)</f>
        <v/>
      </c>
      <c r="F2418">
        <f>IF(Skills!N7=TRUE,(Skills!L7/10)*(E2418/1000),Skills!L7/10)+Skills!O7</f>
        <v/>
      </c>
      <c r="G2418">
        <f>Skills!G7*IF(Skills!H7&gt;0,Skills!I7/Skills!H7,1)</f>
        <v/>
      </c>
      <c r="H2418">
        <f>1-(1-Skills!J7/100)^Skills!K7</f>
        <v/>
      </c>
      <c r="I2418" t="inlineStr">
        <is>
          <t>1</t>
        </is>
      </c>
      <c r="J2418">
        <f>((Inputs!$B$6*(1+Inputs!$B$7/100))+(((Inputs!$B$12*(1+Inputs!$B$13/100))-(Inputs!$B$12*(1+Inputs!$B$13/100)))+0.25*(Inputs!$B$14-Inputs!$B$14))*(1+Inputs!$B$7/100))*(F2418/100)</f>
        <v/>
      </c>
      <c r="K2418">
        <f>J2418*(1+((Inputs!$B$12*(1+Inputs!$B$13/100))*0.01+Inputs!$B$14*0.0025)/100)*(1+Inputs!$B$15/100)*(1+Inputs!$B$16/100)*(5000/(6000+Inputs!$B$42*(1-(100*(1-(1-(Inputs!$B$19+0)/100)*(1-CHOOSE(ArtifactsInput!$N$40+1,5,6,7,8,9,10)/100)^(ArtifactsInput!$M$40-ArtifactsInput!$M$40)))/100)))*(1+(Inputs!$B$24+((C2435=TRUE)*(F2435-Calc!F24))+((C2436=TRUE)*(F2436-Calc!F25))+B2449)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+1.2*IF(C2419=TRUE,F2419,0)/100)*(1+(IF(Skills!A7="EMPOWERED_PIERCING_ARROW",Inputs!$B$17+((C2433=TRUE)*(F2433-Calc!F22))+(((IF(AND(ArtifactsInput!$M$42,((Inputs!$B$9+((C2430=TRUE)*(F2430-Calc!F19))+B2443+(ArtifactsInput!$M$24-ArtifactsInput!$M$24)*CHOOSE(ArtifactsInput!$N$24+1,10,12,14,16,18,20)+IF(ArtifactsInput!$M$10,CHOOSE(ArtifactsInput!$N$10+1,15,18,21,24,27,30)*(IF(Inputs!$B$38="pvp",MIN(15,15)/15,IF(AND(Inputs!$B$38&lt;&gt;"pvp",Inputs!$B$43&gt;0),MIN(15,Inputs!$B$43)/(Inputs!$B$43),0))),0)))&gt;=100),MIN(100,((Inputs!$B$9+((C2430=TRUE)*(F2430-Calc!F19))+B2443+(ArtifactsInput!$M$24-ArtifactsInput!$M$24)*CHOOSE(ArtifactsInput!$N$24+1,10,12,14,16,18,20)+IF(ArtifactsInput!$M$10,CHOOSE(ArtifactsInput!$N$10+1,15,18,21,24,27,30)*(IF(Inputs!$B$38="pvp",MIN(15,15)/15,IF(AND(Inputs!$B$38&lt;&gt;"pvp",Inputs!$B$43&gt;0),MIN(15,Inputs!$B$43)/(Inputs!$B$43),0))),0)))-100),0))*CHOOSE(ArtifactsInput!$N$42+1,0.6,0.72,0.84,0.96,1.08,1.2))),Inputs!$B$18+((C2438=TRUE)*(F2438-Calc!F27))+(IF(AND(ArtifactsInput!$M$42,((Inputs!$B$9+((C2430=TRUE)*(F2430-Calc!F19))+B2443+(ArtifactsInput!$M$24-ArtifactsInput!$M$24)*CHOOSE(ArtifactsInput!$N$24+1,10,12,14,16,18,20)+IF(ArtifactsInput!$M$10,CHOOSE(ArtifactsInput!$N$10+1,15,18,21,24,27,30)*(IF(Inputs!$B$38="pvp",MIN(15,15)/15,IF(AND(Inputs!$B$38&lt;&gt;"pvp",Inputs!$B$43&gt;0),MIN(15,Inputs!$B$43)/(Inputs!$B$43),0))),0)))&gt;=100),CHOOSE(ArtifactsInput!$N$42+1,40,48,56,64,72,80),0))))/100)*((1+(((C2424=TRUE)*F2424)+((C2425=TRUE)*IF(Inputs!$B$38="pvp",F2425,(1-Summary!$B$11)*(F2425)+Summary!$B$11*(0)))+((C2426=TRUE)*F2426*IF(AND(Inputs!$B$38&lt;&gt;"pvp",Inputs!$B$43&gt;0),(((R2426-1)*(Skills!T15*(1+Inputs!$B$34/100))+MIN((Skills!T15*(1+Inputs!$B$34/100)),MAX(0,Inputs!$B$43-((R2426-1)*Skills!D15))))/Inputs!$B$43),IF(Inputs!$B$38="pvp",MIN((Skills!T15*(1+Inputs!$B$34/100)),15)/15,(Skills!T15*(1+Inputs!$B$34/100))/Skills!D15)))+((C2423=TRUE)*F2423)+((C2440=TRUE)*(F2440-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2418)</f>
        <v/>
      </c>
      <c r="L2418">
        <f>K2418*(MIN(Inputs!$B$22+((C2434=TRUE)*(F2434-Calc!F23)),(Inputs!$B$23+((C2439=TRUE)*(F2439-Calc!F28))+(IF(ArtifactsInput!$M$15,CHOOSE(ArtifactsInput!$N$15+1,25,30,35,40,45,50)/100*(Inputs!$B$11-Inputs!$B$11),0))))/100+(Inputs!$B$23+((C2439=TRUE)*(F2439-Calc!F28))+(IF(ArtifactsInput!$M$15,CHOOSE(ArtifactsInput!$N$15+1,25,30,35,40,45,50)/100*(Inputs!$B$11-Inputs!$B$11),0)))/100)/2</f>
        <v/>
      </c>
      <c r="M2418">
        <f>L2418*(1+(Inputs!$B$10+0+B2448+(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418">
        <f>L2418*(1-MIN((Inputs!$B$9+((C2430=TRUE)*(F2430-Calc!F19))+B2443+(ArtifactsInput!$M$24-ArtifactsInput!$M$24)*CHOOSE(ArtifactsInput!$N$24+1,10,12,14,16,18,20)+(IF(AND(ArtifactsInput!$M$42,((Inputs!$B$9+((C2430=TRUE)*(F2430-Calc!F19))+B2443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2418*(MIN((Inputs!$B$9+((C2430=TRUE)*(F2430-Calc!F19))+B2443+(ArtifactsInput!$M$24-ArtifactsInput!$M$24)*CHOOSE(ArtifactsInput!$N$24+1,10,12,14,16,18,20)+(IF(AND(ArtifactsInput!$M$42,((Inputs!$B$9+((C2430=TRUE)*(F2430-Calc!F19))+B2443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418">
        <f>(1-Summary!$B$11)*T2418+Summary!$B$11*V2418</f>
        <v/>
      </c>
      <c r="P2418">
        <f>IF(B2453=0,0,O2418/B2453)</f>
        <v/>
      </c>
      <c r="Q2418">
        <f>IFERROR(1/IF(Inputs!$B$38="pvp",15,MAX(0.1,Skills!D7-IF(Skills!E7=TRUE,Inputs!$B$32,0))),0)</f>
        <v/>
      </c>
      <c r="R2418">
        <f>IF(AND(Inputs!$B$38&lt;&gt;"pvp",Inputs!$B$43&gt;0),IF(MAX(0,Inputs!$B$43-B2450)&lt;=0,0,(INT(MAX(0,Inputs!$B$43-B2450)/IF(Inputs!$B$38="pvp",15,MAX(0.1,Skills!D7-IF(Skills!E7=TRUE,Inputs!$B$32,0))))+1)),0)</f>
        <v/>
      </c>
      <c r="S2418">
        <f>IFERROR((H2418*N2418*IF(AND(Inputs!$B$38&lt;&gt;"pvp",Inputs!$B$43&gt;0),((Skills!G7*((R2418-1)*IF(Skills!H7&gt;0,Skills!I7/Skills!H7,1)+IF(Skills!H7&gt;0,MIN(Skills!I7,MAX(0,MAX(0,Inputs!$B$43-B2450)-((R2418-1)*IF(Inputs!$B$38="pvp",15,MAX(0.1,Skills!D7-IF(Skills!E7=TRUE,Inputs!$B$32,0))))))/Skills!H7,1)))/Inputs!$B$43),G2418*Q2418))/N2418*IF(Inputs!$B$38="pvp",1,(1-Summary!$B$11)*1+Summary!$B$11*(MIN(Skills!R7,Inputs!$B$37))),0)</f>
        <v/>
      </c>
      <c r="T2418">
        <f>IF(C2418,(H2418*N2418*IF(AND(Inputs!$B$38&lt;&gt;"pvp",Inputs!$B$43&gt;0),((Skills!G7*((R2418-1)*IF(Skills!H7&gt;0,Skills!I7/Skills!H7,1)+IF(Skills!H7&gt;0,MIN(Skills!I7,MAX(0,MAX(0,Inputs!$B$43-B2450)-((R2418-1)*IF(Inputs!$B$38="pvp",15,MAX(0.1,Skills!D7-IF(Skills!E7=TRUE,Inputs!$B$32,0))))))/Skills!H7,1)))/Inputs!$B$43),G2418*Q2418))*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IF(ArtifactsInput!$M$33,FALSE,TRUE),CHOOSE(ArtifactsInput!$N$33+1,10,12,14,16,18,20),0)+(ArtifactsInput!$M$23-ArtifactsInput!$M$23)*CHOOSE(ArtifactsInput!$N$23+1,50,60,70,80,90,100))+(IF(AND(ArtifactsInput!$M$35,Inputs!$B$4&lt;&gt;"Chapter Hunt"),CHOOSE(ArtifactsInput!$N$35+1,15,18,21,24,27,30)*(1-EXP(-(0.2*B2445)*5)),0)+IF(AND(ArtifactsInput!$M$22,Inputs!$B$4&lt;&gt;"Chapter Hunt"),CHOOSE(ArtifactsInput!$N$22+1,10,12,14,16,18,20)*((0*(((0.15*B2445*5))^0/1)+1*(((0.15*B2445*5))^1/1)+2*(((0.15*B2445*5))^2/2)+3*(((0.15*B2445*5))^3/6)+4*(((0.15*B2445*5))^4/24)+5*(((0.15*B2445*5))^5/120))/((((0.15*B2445*5))^0/1)+(((0.15*B2445*5))^1/1)+(((0.15*B2445*5))^2/2)+(((0.15*B2445*5))^3/6)+(((0.15*B2445*5))^4/24)+(((0.15*B2445*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2418*(1-MIN(100,(Inputs!$B$9+((C2430=TRUE)*(F2430-Calc!F19))+B2443+(ArtifactsInput!$M$24-ArtifactsInput!$M$24)*CHOOSE(ArtifactsInput!$N$24+1,10,12,14,16,18,20)+(IF(AND(ArtifactsInput!$M$42,((Inputs!$B$9+((C2430=TRUE)*(F2430-Calc!F19))+B2443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2418*(MIN(100,(Inputs!$B$9+((C2430=TRUE)*(F2430-Calc!F19))+B2443+(ArtifactsInput!$M$24-ArtifactsInput!$M$24)*CHOOSE(ArtifactsInput!$N$24+1,10,12,14,16,18,20)+(IF(AND(ArtifactsInput!$M$42,((Inputs!$B$9+((C2430=TRUE)*(F2430-Calc!F19))+B2443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2418*(1-MIN(100,(Inputs!$B$9+((C2430=TRUE)*(F2430-Calc!F19))+B2443+(ArtifactsInput!$M$24-ArtifactsInput!$M$24)*CHOOSE(ArtifactsInput!$N$24+1,10,12,14,16,18,20)+(IF(AND(ArtifactsInput!$M$42,((Inputs!$B$9+((C2430=TRUE)*(F2430-Calc!F19))+B2443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2418*(MIN(100,(Inputs!$B$9+((C2430=TRUE)*(F2430-Calc!F19))+B2443+(ArtifactsInput!$M$24-ArtifactsInput!$M$24)*CHOOSE(ArtifactsInput!$N$24+1,10,12,14,16,18,20)+(IF(AND(ArtifactsInput!$M$42,((Inputs!$B$9+((C2430=TRUE)*(F2430-Calc!F19))+B2443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418">
        <f>IF(C2418,(H2418*N2418*IF(AND(Inputs!$B$38&lt;&gt;"pvp",Inputs!$B$43&gt;0),((Skills!G7*((R2418-1)*IF(Skills!H7&gt;0,Skills!I7/Skills!H7,1)+IF(Skills!H7&gt;0,MIN(Skills!I7,MAX(0,MAX(0,Inputs!$B$43-B2450)-((R2418-1)*IF(Inputs!$B$38="pvp",15,MAX(0.1,Skills!D7-IF(Skills!E7=TRUE,Inputs!$B$32,0))))))/Skills!H7,1)))/Inputs!$B$43),G2418*Q2418))*IF(Inputs!$B$38="pvp",1,(1+(Inputs!$B$21+Skills!Q7+(IF(IF(ArtifactsInput!$M$33,FALSE,TRUE),CHOOSE(ArtifactsInput!$N$33+1,30,36,42,48,54,60),0))+(IF(AND(ArtifactsInput!$M$35,Inputs!$B$4&lt;&gt;"Chapter Hunt"),CHOOSE(ArtifactsInput!$N$35+1,15,18,21,24,27,30)*(1-EXP(-(0.2*B2445)*5)),0)+IF(AND(ArtifactsInput!$M$22,Inputs!$B$4&lt;&gt;"Chapter Hunt"),CHOOSE(ArtifactsInput!$N$22+1,10,12,14,16,18,20)*((0*(((0.15*B2445*5))^0/1)+1*(((0.15*B2445*5))^1/1)+2*(((0.15*B2445*5))^2/2)+3*(((0.15*B2445*5))^3/6)+4*(((0.15*B2445*5))^4/24)+5*(((0.15*B2445*5))^5/120))/((((0.15*B2445*5))^0/1)+(((0.15*B2445*5))^1/1)+(((0.15*B2445*5))^2/2)+(((0.15*B2445*5))^3/6)+(((0.15*B2445*5))^4/24)+(((0.15*B2445*5))^5/120))),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419">
      <c r="A2419">
        <f>Skills!A8</f>
        <v/>
      </c>
      <c r="B2419">
        <f>Skills!B8</f>
        <v/>
      </c>
      <c r="C2419">
        <f>Inputs!$B$3&gt;=100</f>
        <v/>
      </c>
      <c r="D2419">
        <f>IF(Skills!C8=1,60+Inputs!$B$25+Inputs!$B$29,IF(Skills!C8=2,90+Inputs!$B$26+Inputs!$B$29,IF(Skills!C8=3,120+Inputs!$B$27+Inputs!$B$29,MAX(0,(Inputs!$B$3-100)*3)+Inputs!$B$28+Inputs!$B$29)))</f>
        <v/>
      </c>
      <c r="E2419">
        <f>INDEX(FactorTable!$B$2:$Y$301, MATCH(ROUND(MIN(300,MAX(1,D2419)),0), FactorTable!$A$2:$A$301,0), Skills!M8+1)</f>
        <v/>
      </c>
      <c r="F2419">
        <f>IF(Skills!N8=TRUE,(Skills!L8/10)*(E2419/1000),Skills!L8/10)+Skills!O8</f>
        <v/>
      </c>
      <c r="G2419" t="inlineStr"/>
      <c r="H2419" t="inlineStr"/>
      <c r="I2419" t="inlineStr">
        <is>
          <t>1</t>
        </is>
      </c>
      <c r="J2419" t="inlineStr"/>
      <c r="K2419" t="inlineStr"/>
      <c r="L2419" t="inlineStr"/>
      <c r="M2419" t="inlineStr"/>
      <c r="N2419" t="inlineStr"/>
      <c r="O2419" t="inlineStr"/>
      <c r="P2419" t="inlineStr"/>
      <c r="Q2419" t="inlineStr"/>
      <c r="R2419" t="inlineStr"/>
      <c r="S2419" t="inlineStr"/>
      <c r="T2419" t="inlineStr"/>
      <c r="V2419" t="inlineStr"/>
    </row>
    <row r="2420">
      <c r="A2420">
        <f>Skills!A9</f>
        <v/>
      </c>
      <c r="B2420">
        <f>Skills!B9</f>
        <v/>
      </c>
      <c r="C2420">
        <f>Inputs!$B$3&gt;=103</f>
        <v/>
      </c>
      <c r="D2420">
        <f>IF(Skills!C9=1,60+Inputs!$B$25+Inputs!$B$29,IF(Skills!C9=2,90+Inputs!$B$26+Inputs!$B$29,IF(Skills!C9=3,120+Inputs!$B$27+Inputs!$B$29,MAX(0,(Inputs!$B$3-100)*3)+Inputs!$B$28+Inputs!$B$29)))</f>
        <v/>
      </c>
      <c r="E2420">
        <f>INDEX(FactorTable!$B$2:$Y$301, MATCH(ROUND(MIN(300,MAX(1,D2420)),0), FactorTable!$A$2:$A$301,0), Skills!M9+1)</f>
        <v/>
      </c>
      <c r="F2420">
        <f>IF(Skills!N9=TRUE,(Skills!L9/10)*(E2420/1000),Skills!L9/10)+Skills!O9</f>
        <v/>
      </c>
      <c r="G2420">
        <f>Skills!G9*IF(Skills!H9&gt;0,Skills!I9/Skills!H9,1)</f>
        <v/>
      </c>
      <c r="H2420">
        <f>1-(1-Skills!J9/100)^Skills!K9</f>
        <v/>
      </c>
      <c r="I2420" t="inlineStr">
        <is>
          <t>1</t>
        </is>
      </c>
      <c r="J2420">
        <f>((Inputs!$B$6*(1+Inputs!$B$7/100))+(((Inputs!$B$12*(1+Inputs!$B$13/100))-(Inputs!$B$12*(1+Inputs!$B$13/100)))+0.25*(Inputs!$B$14-Inputs!$B$14))*(1+Inputs!$B$7/100))*(F2420/100)</f>
        <v/>
      </c>
      <c r="K2420">
        <f>J2420*(1+((Inputs!$B$12*(1+Inputs!$B$13/100))*0.01+Inputs!$B$14*0.0025)/100)*(1+Inputs!$B$15/100)*(1+Inputs!$B$16/100)*(5000/(6000+Inputs!$B$42*(1-(100*(1-(1-(Inputs!$B$19+0)/100)*(1-CHOOSE(ArtifactsInput!$N$40+1,5,6,7,8,9,10)/100)^(ArtifactsInput!$M$40-ArtifactsInput!$M$40)))/100)))*(1+(Inputs!$B$24+((C2435=TRUE)*(F2435-Calc!F24))+((C2436=TRUE)*(F2436-Calc!F25))+B2449)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EMPOWERED_PIERCING_ARROW",Inputs!$B$17+((C2433=TRUE)*(F2433-Calc!F22))+(((IF(AND(ArtifactsInput!$M$42,((Inputs!$B$9+((C2430=TRUE)*(F2430-Calc!F19))+B2443+(ArtifactsInput!$M$24-ArtifactsInput!$M$24)*CHOOSE(ArtifactsInput!$N$24+1,10,12,14,16,18,20)+IF(ArtifactsInput!$M$10,CHOOSE(ArtifactsInput!$N$10+1,15,18,21,24,27,30)*(IF(Inputs!$B$38="pvp",MIN(15,15)/15,IF(AND(Inputs!$B$38&lt;&gt;"pvp",Inputs!$B$43&gt;0),MIN(15,Inputs!$B$43)/(Inputs!$B$43),0))),0)))&gt;=100),MIN(100,((Inputs!$B$9+((C2430=TRUE)*(F2430-Calc!F19))+B2443+(ArtifactsInput!$M$24-ArtifactsInput!$M$24)*CHOOSE(ArtifactsInput!$N$24+1,10,12,14,16,18,20)+IF(ArtifactsInput!$M$10,CHOOSE(ArtifactsInput!$N$10+1,15,18,21,24,27,30)*(IF(Inputs!$B$38="pvp",MIN(15,15)/15,IF(AND(Inputs!$B$38&lt;&gt;"pvp",Inputs!$B$43&gt;0),MIN(15,Inputs!$B$43)/(Inputs!$B$43),0))),0)))-100),0))*CHOOSE(ArtifactsInput!$N$42+1,0.6,0.72,0.84,0.96,1.08,1.2))),Inputs!$B$18+((C2438=TRUE)*(F2438-Calc!F27))+(IF(AND(ArtifactsInput!$M$42,((Inputs!$B$9+((C2430=TRUE)*(F2430-Calc!F19))+B2443+(ArtifactsInput!$M$24-ArtifactsInput!$M$24)*CHOOSE(ArtifactsInput!$N$24+1,10,12,14,16,18,20)+IF(ArtifactsInput!$M$10,CHOOSE(ArtifactsInput!$N$10+1,15,18,21,24,27,30)*(IF(Inputs!$B$38="pvp",MIN(15,15)/15,IF(AND(Inputs!$B$38&lt;&gt;"pvp",Inputs!$B$43&gt;0),MIN(15,Inputs!$B$43)/(Inputs!$B$43),0))),0)))&gt;=100),CHOOSE(ArtifactsInput!$N$42+1,40,48,56,64,72,80),0))))/100)*((1+(((C2424=TRUE)*F2424)+((C2425=TRUE)*IF(Inputs!$B$38="pvp",F2425,(1-Summary!$B$11)*(F2425)+Summary!$B$11*(0)))+((C2426=TRUE)*F2426*IF(AND(Inputs!$B$38&lt;&gt;"pvp",Inputs!$B$43&gt;0),(((R2426-1)*(Skills!T15*(1+Inputs!$B$34/100))+MIN((Skills!T15*(1+Inputs!$B$34/100)),MAX(0,Inputs!$B$43-((R2426-1)*Skills!D15))))/Inputs!$B$43),IF(Inputs!$B$38="pvp",MIN((Skills!T15*(1+Inputs!$B$34/100)),15)/15,(Skills!T15*(1+Inputs!$B$34/100))/Skills!D15)))+((C2423=TRUE)*F2423)+((C2440=TRUE)*(F2440-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2420)</f>
        <v/>
      </c>
      <c r="L2420">
        <f>K2420*(MIN(Inputs!$B$22+((C2434=TRUE)*(F2434-Calc!F23)),(Inputs!$B$23+((C2439=TRUE)*(F2439-Calc!F28))+(IF(ArtifactsInput!$M$15,CHOOSE(ArtifactsInput!$N$15+1,25,30,35,40,45,50)/100*(Inputs!$B$11-Inputs!$B$11),0))))/100+(Inputs!$B$23+((C2439=TRUE)*(F2439-Calc!F28))+(IF(ArtifactsInput!$M$15,CHOOSE(ArtifactsInput!$N$15+1,25,30,35,40,45,50)/100*(Inputs!$B$11-Inputs!$B$11),0)))/100)/2</f>
        <v/>
      </c>
      <c r="M2420">
        <f>L2420*(1+(Inputs!$B$10+0+B2448+(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420">
        <f>L2420*(1-MIN((Inputs!$B$9+((C2430=TRUE)*(F2430-Calc!F19))+B2443+(ArtifactsInput!$M$24-ArtifactsInput!$M$24)*CHOOSE(ArtifactsInput!$N$24+1,10,12,14,16,18,20)+(IF(AND(ArtifactsInput!$M$42,((Inputs!$B$9+((C2430=TRUE)*(F2430-Calc!F19))+B2443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2420*(MIN((Inputs!$B$9+((C2430=TRUE)*(F2430-Calc!F19))+B2443+(ArtifactsInput!$M$24-ArtifactsInput!$M$24)*CHOOSE(ArtifactsInput!$N$24+1,10,12,14,16,18,20)+(IF(AND(ArtifactsInput!$M$42,((Inputs!$B$9+((C2430=TRUE)*(F2430-Calc!F19))+B2443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420">
        <f>(1-Summary!$B$11)*T2420+Summary!$B$11*V2420</f>
        <v/>
      </c>
      <c r="P2420">
        <f>IF(B2453=0,0,O2420/B2453)</f>
        <v/>
      </c>
      <c r="Q2420">
        <f>IFERROR(1/IF(Inputs!$B$38="pvp",15,MAX(0.1,Skills!D9-IF(Skills!E9=TRUE,Inputs!$B$32,0))),0)</f>
        <v/>
      </c>
      <c r="R2420">
        <f>IF(AND(Inputs!$B$38&lt;&gt;"pvp",Inputs!$B$43&gt;0),IF(MAX(0,Inputs!$B$43-B2450)&lt;=0,0,(INT(MAX(0,Inputs!$B$43-B2450)/IF(Inputs!$B$38="pvp",15,MAX(0.1,Skills!D9-IF(Skills!E9=TRUE,Inputs!$B$32,0))))+1)),0)</f>
        <v/>
      </c>
      <c r="S2420">
        <f>IFERROR((H2420*N2420*IF(AND(Inputs!$B$38&lt;&gt;"pvp",Inputs!$B$43&gt;0),((Skills!G9*((R2420-1)*IF(Skills!H9&gt;0,Skills!I9/Skills!H9,1)+IF(Skills!H9&gt;0,MIN(Skills!I9,MAX(0,MAX(0,Inputs!$B$43-B2450)-((R2420-1)*IF(Inputs!$B$38="pvp",15,MAX(0.1,Skills!D9-IF(Skills!E9=TRUE,Inputs!$B$32,0))))))/Skills!H9,1)))/Inputs!$B$43),G2420*Q2420))/N2420*IF(Inputs!$B$38="pvp",1,(1-Summary!$B$11)*1+Summary!$B$11*(MIN(Skills!R9,Inputs!$B$37))),0)</f>
        <v/>
      </c>
      <c r="T2420">
        <f>IF(C2420,(H2420*N2420*IF(AND(Inputs!$B$38&lt;&gt;"pvp",Inputs!$B$43&gt;0),((Skills!G9*((R2420-1)*IF(Skills!H9&gt;0,Skills!I9/Skills!H9,1)+IF(Skills!H9&gt;0,MIN(Skills!I9,MAX(0,MAX(0,Inputs!$B$43-B2450)-((R2420-1)*IF(Inputs!$B$38="pvp",15,MAX(0.1,Skills!D9-IF(Skills!E9=TRUE,Inputs!$B$32,0))))))/Skills!H9,1)))/Inputs!$B$43),G2420*Q2420))*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IF(ArtifactsInput!$M$33,FALSE,TRUE),CHOOSE(ArtifactsInput!$N$33+1,10,12,14,16,18,20),0)+(ArtifactsInput!$M$23-ArtifactsInput!$M$23)*CHOOSE(ArtifactsInput!$N$23+1,50,60,70,80,90,100))+(IF(AND(ArtifactsInput!$M$35,Inputs!$B$4&lt;&gt;"Chapter Hunt"),CHOOSE(ArtifactsInput!$N$35+1,15,18,21,24,27,30)*(1-EXP(-(0.2*B2445)*5)),0)+IF(AND(ArtifactsInput!$M$22,Inputs!$B$4&lt;&gt;"Chapter Hunt"),CHOOSE(ArtifactsInput!$N$22+1,10,12,14,16,18,20)*((0*(((0.15*B2445*5))^0/1)+1*(((0.15*B2445*5))^1/1)+2*(((0.15*B2445*5))^2/2)+3*(((0.15*B2445*5))^3/6)+4*(((0.15*B2445*5))^4/24)+5*(((0.15*B2445*5))^5/120))/((((0.15*B2445*5))^0/1)+(((0.15*B2445*5))^1/1)+(((0.15*B2445*5))^2/2)+(((0.15*B2445*5))^3/6)+(((0.15*B2445*5))^4/24)+(((0.15*B2445*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2420*(1-MIN(100,(Inputs!$B$9+((C2430=TRUE)*(F2430-Calc!F19))+B2443+(ArtifactsInput!$M$24-ArtifactsInput!$M$24)*CHOOSE(ArtifactsInput!$N$24+1,10,12,14,16,18,20)+(IF(AND(ArtifactsInput!$M$42,((Inputs!$B$9+((C2430=TRUE)*(F2430-Calc!F19))+B2443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2420*(MIN(100,(Inputs!$B$9+((C2430=TRUE)*(F2430-Calc!F19))+B2443+(ArtifactsInput!$M$24-ArtifactsInput!$M$24)*CHOOSE(ArtifactsInput!$N$24+1,10,12,14,16,18,20)+(IF(AND(ArtifactsInput!$M$42,((Inputs!$B$9+((C2430=TRUE)*(F2430-Calc!F19))+B2443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2420*(1-MIN(100,(Inputs!$B$9+((C2430=TRUE)*(F2430-Calc!F19))+B2443+(ArtifactsInput!$M$24-ArtifactsInput!$M$24)*CHOOSE(ArtifactsInput!$N$24+1,10,12,14,16,18,20)+(IF(AND(ArtifactsInput!$M$42,((Inputs!$B$9+((C2430=TRUE)*(F2430-Calc!F19))+B2443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2420*(MIN(100,(Inputs!$B$9+((C2430=TRUE)*(F2430-Calc!F19))+B2443+(ArtifactsInput!$M$24-ArtifactsInput!$M$24)*CHOOSE(ArtifactsInput!$N$24+1,10,12,14,16,18,20)+(IF(AND(ArtifactsInput!$M$42,((Inputs!$B$9+((C2430=TRUE)*(F2430-Calc!F19))+B2443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420">
        <f>IF(C2420,(H2420*N2420*IF(AND(Inputs!$B$38&lt;&gt;"pvp",Inputs!$B$43&gt;0),((Skills!G9*((R2420-1)*IF(Skills!H9&gt;0,Skills!I9/Skills!H9,1)+IF(Skills!H9&gt;0,MIN(Skills!I9,MAX(0,MAX(0,Inputs!$B$43-B2450)-((R2420-1)*IF(Inputs!$B$38="pvp",15,MAX(0.1,Skills!D9-IF(Skills!E9=TRUE,Inputs!$B$32,0))))))/Skills!H9,1)))/Inputs!$B$43),G2420*Q2420))*IF(Inputs!$B$38="pvp",1,(1+(Inputs!$B$21+Skills!Q9+(IF(IF(ArtifactsInput!$M$33,FALSE,TRUE),CHOOSE(ArtifactsInput!$N$33+1,30,36,42,48,54,60),0))+(IF(AND(ArtifactsInput!$M$35,Inputs!$B$4&lt;&gt;"Chapter Hunt"),CHOOSE(ArtifactsInput!$N$35+1,15,18,21,24,27,30)*(1-EXP(-(0.2*B2445)*5)),0)+IF(AND(ArtifactsInput!$M$22,Inputs!$B$4&lt;&gt;"Chapter Hunt"),CHOOSE(ArtifactsInput!$N$22+1,10,12,14,16,18,20)*((0*(((0.15*B2445*5))^0/1)+1*(((0.15*B2445*5))^1/1)+2*(((0.15*B2445*5))^2/2)+3*(((0.15*B2445*5))^3/6)+4*(((0.15*B2445*5))^4/24)+5*(((0.15*B2445*5))^5/120))/((((0.15*B2445*5))^0/1)+(((0.15*B2445*5))^1/1)+(((0.15*B2445*5))^2/2)+(((0.15*B2445*5))^3/6)+(((0.15*B2445*5))^4/24)+(((0.15*B2445*5))^5/120)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421">
      <c r="A2421">
        <f>Skills!A10</f>
        <v/>
      </c>
      <c r="B2421">
        <f>Skills!B10</f>
        <v/>
      </c>
      <c r="C2421">
        <f>Inputs!$B$3&gt;=107</f>
        <v/>
      </c>
      <c r="D2421">
        <f>IF(Skills!C10=1,60+Inputs!$B$25+Inputs!$B$29,IF(Skills!C10=2,90+Inputs!$B$26+Inputs!$B$29,IF(Skills!C10=3,120+Inputs!$B$27+Inputs!$B$29,MAX(0,(Inputs!$B$3-100)*3)+Inputs!$B$28+Inputs!$B$29)))</f>
        <v/>
      </c>
      <c r="E2421">
        <f>INDEX(FactorTable!$B$2:$Y$301, MATCH(ROUND(MIN(300,MAX(1,D2421)),0), FactorTable!$A$2:$A$301,0), Skills!M10+1)</f>
        <v/>
      </c>
      <c r="F2421">
        <f>IF(Skills!N10=TRUE,(Skills!L10/10)*(E2421/1000),Skills!L10/10)+Skills!O10</f>
        <v/>
      </c>
      <c r="G2421">
        <f>Skills!G10*IF(Skills!H10&gt;0,Skills!I10/Skills!H10,1)</f>
        <v/>
      </c>
      <c r="H2421">
        <f>1-(1-Skills!J10/100)^Skills!K10</f>
        <v/>
      </c>
      <c r="I2421" t="inlineStr">
        <is>
          <t>1</t>
        </is>
      </c>
      <c r="J2421">
        <f>((Inputs!$B$6*(1+Inputs!$B$7/100))+(((Inputs!$B$12*(1+Inputs!$B$13/100))-(Inputs!$B$12*(1+Inputs!$B$13/100)))+0.25*(Inputs!$B$14-Inputs!$B$14))*(1+Inputs!$B$7/100))*(F2421/100)</f>
        <v/>
      </c>
      <c r="K2421">
        <f>J2421*(1+((Inputs!$B$12*(1+Inputs!$B$13/100))*0.01+Inputs!$B$14*0.0025)/100)*(1+Inputs!$B$15/100)*(1+Inputs!$B$16/100)*(5000/(6000+Inputs!$B$42*(1-(100*(1-(1-(Inputs!$B$19+0)/100)*(1-CHOOSE(ArtifactsInput!$N$40+1,5,6,7,8,9,10)/100)^(ArtifactsInput!$M$40-ArtifactsInput!$M$40)))/100)))*(1+(Inputs!$B$24+((C2435=TRUE)*(F2435-Calc!F24))+((C2436=TRUE)*(F2436-Calc!F25))+B2449)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EMPOWERED_PIERCING_ARROW",Inputs!$B$17+((C2433=TRUE)*(F2433-Calc!F22))+(((IF(AND(ArtifactsInput!$M$42,((Inputs!$B$9+((C2430=TRUE)*(F2430-Calc!F19))+B2443+(ArtifactsInput!$M$24-ArtifactsInput!$M$24)*CHOOSE(ArtifactsInput!$N$24+1,10,12,14,16,18,20)+IF(ArtifactsInput!$M$10,CHOOSE(ArtifactsInput!$N$10+1,15,18,21,24,27,30)*(IF(Inputs!$B$38="pvp",MIN(15,15)/15,IF(AND(Inputs!$B$38&lt;&gt;"pvp",Inputs!$B$43&gt;0),MIN(15,Inputs!$B$43)/(Inputs!$B$43),0))),0)))&gt;=100),MIN(100,((Inputs!$B$9+((C2430=TRUE)*(F2430-Calc!F19))+B2443+(ArtifactsInput!$M$24-ArtifactsInput!$M$24)*CHOOSE(ArtifactsInput!$N$24+1,10,12,14,16,18,20)+IF(ArtifactsInput!$M$10,CHOOSE(ArtifactsInput!$N$10+1,15,18,21,24,27,30)*(IF(Inputs!$B$38="pvp",MIN(15,15)/15,IF(AND(Inputs!$B$38&lt;&gt;"pvp",Inputs!$B$43&gt;0),MIN(15,Inputs!$B$43)/(Inputs!$B$43),0))),0)))-100),0))*CHOOSE(ArtifactsInput!$N$42+1,0.6,0.72,0.84,0.96,1.08,1.2))),Inputs!$B$18+((C2438=TRUE)*(F2438-Calc!F27))+(IF(AND(ArtifactsInput!$M$42,((Inputs!$B$9+((C2430=TRUE)*(F2430-Calc!F19))+B2443+(ArtifactsInput!$M$24-ArtifactsInput!$M$24)*CHOOSE(ArtifactsInput!$N$24+1,10,12,14,16,18,20)+IF(ArtifactsInput!$M$10,CHOOSE(ArtifactsInput!$N$10+1,15,18,21,24,27,30)*(IF(Inputs!$B$38="pvp",MIN(15,15)/15,IF(AND(Inputs!$B$38&lt;&gt;"pvp",Inputs!$B$43&gt;0),MIN(15,Inputs!$B$43)/(Inputs!$B$43),0))),0)))&gt;=100),CHOOSE(ArtifactsInput!$N$42+1,40,48,56,64,72,80),0))))/100)*((1+(((C2424=TRUE)*F2424)+((C2425=TRUE)*IF(Inputs!$B$38="pvp",F2425,(1-Summary!$B$11)*(F2425)+Summary!$B$11*(0)))+((C2426=TRUE)*F2426*IF(AND(Inputs!$B$38&lt;&gt;"pvp",Inputs!$B$43&gt;0),(((R2426-1)*(Skills!T15*(1+Inputs!$B$34/100))+MIN((Skills!T15*(1+Inputs!$B$34/100)),MAX(0,Inputs!$B$43-((R2426-1)*Skills!D15))))/Inputs!$B$43),IF(Inputs!$B$38="pvp",MIN((Skills!T15*(1+Inputs!$B$34/100)),15)/15,(Skills!T15*(1+Inputs!$B$34/100))/Skills!D15)))+((C2423=TRUE)*F2423)+((C2440=TRUE)*(F2440-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2421)</f>
        <v/>
      </c>
      <c r="L2421">
        <f>K2421*(MIN(Inputs!$B$22+((C2434=TRUE)*(F2434-Calc!F23)),(Inputs!$B$23+((C2439=TRUE)*(F2439-Calc!F28))+(IF(ArtifactsInput!$M$15,CHOOSE(ArtifactsInput!$N$15+1,25,30,35,40,45,50)/100*(Inputs!$B$11-Inputs!$B$11),0))))/100+(Inputs!$B$23+((C2439=TRUE)*(F2439-Calc!F28))+(IF(ArtifactsInput!$M$15,CHOOSE(ArtifactsInput!$N$15+1,25,30,35,40,45,50)/100*(Inputs!$B$11-Inputs!$B$11),0)))/100)/2</f>
        <v/>
      </c>
      <c r="M2421">
        <f>L2421*(1+(Inputs!$B$10+0+B2448+(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421">
        <f>L2421*(1-MIN((Inputs!$B$9+((C2430=TRUE)*(F2430-Calc!F19))+B2443+(ArtifactsInput!$M$24-ArtifactsInput!$M$24)*CHOOSE(ArtifactsInput!$N$24+1,10,12,14,16,18,20)+(IF(AND(ArtifactsInput!$M$42,((Inputs!$B$9+((C2430=TRUE)*(F2430-Calc!F19))+B2443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2421*(MIN((Inputs!$B$9+((C2430=TRUE)*(F2430-Calc!F19))+B2443+(ArtifactsInput!$M$24-ArtifactsInput!$M$24)*CHOOSE(ArtifactsInput!$N$24+1,10,12,14,16,18,20)+(IF(AND(ArtifactsInput!$M$42,((Inputs!$B$9+((C2430=TRUE)*(F2430-Calc!F19))+B2443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421">
        <f>(1-Summary!$B$11)*T2421+Summary!$B$11*V2421</f>
        <v/>
      </c>
      <c r="P2421">
        <f>IF(B2453=0,0,O2421/B2453)</f>
        <v/>
      </c>
      <c r="Q2421" t="n">
        <v>0</v>
      </c>
      <c r="R2421" t="n">
        <v>0</v>
      </c>
      <c r="S2421" t="n">
        <v>0</v>
      </c>
      <c r="T2421">
        <f>IF(C2421,(0.15*SUMPRODUCT((Skills!U2:U29=TRUE)*(C2413:C2440=TRUE)*S2413:S2440)*Skills!G10*N2421)*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IF(ArtifactsInput!$M$33,FALSE,TRUE),CHOOSE(ArtifactsInput!$N$33+1,10,12,14,16,18,20),0)+(ArtifactsInput!$M$23-ArtifactsInput!$M$23)*CHOOSE(ArtifactsInput!$N$23+1,50,60,70,80,90,100))+(IF(AND(ArtifactsInput!$M$35,Inputs!$B$4&lt;&gt;"Chapter Hunt"),CHOOSE(ArtifactsInput!$N$35+1,15,18,21,24,27,30)*(1-EXP(-(0.2*B2445)*5)),0)+IF(AND(ArtifactsInput!$M$22,Inputs!$B$4&lt;&gt;"Chapter Hunt"),CHOOSE(ArtifactsInput!$N$22+1,10,12,14,16,18,20)*((0*(((0.15*B2445*5))^0/1)+1*(((0.15*B2445*5))^1/1)+2*(((0.15*B2445*5))^2/2)+3*(((0.15*B2445*5))^3/6)+4*(((0.15*B2445*5))^4/24)+5*(((0.15*B2445*5))^5/120))/((((0.15*B2445*5))^0/1)+(((0.15*B2445*5))^1/1)+(((0.15*B2445*5))^2/2)+(((0.15*B2445*5))^3/6)+(((0.15*B2445*5))^4/24)+(((0.15*B2445*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2421*(1-MIN(100,(Inputs!$B$9+((C2430=TRUE)*(F2430-Calc!F19))+B2443+(ArtifactsInput!$M$24-ArtifactsInput!$M$24)*CHOOSE(ArtifactsInput!$N$24+1,10,12,14,16,18,20)+(IF(AND(ArtifactsInput!$M$42,((Inputs!$B$9+((C2430=TRUE)*(F2430-Calc!F19))+B2443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2421*(MIN(100,(Inputs!$B$9+((C2430=TRUE)*(F2430-Calc!F19))+B2443+(ArtifactsInput!$M$24-ArtifactsInput!$M$24)*CHOOSE(ArtifactsInput!$N$24+1,10,12,14,16,18,20)+(IF(AND(ArtifactsInput!$M$42,((Inputs!$B$9+((C2430=TRUE)*(F2430-Calc!F19))+B2443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2421*(1-MIN(100,(Inputs!$B$9+((C2430=TRUE)*(F2430-Calc!F19))+B2443+(ArtifactsInput!$M$24-ArtifactsInput!$M$24)*CHOOSE(ArtifactsInput!$N$24+1,10,12,14,16,18,20)+(IF(AND(ArtifactsInput!$M$42,((Inputs!$B$9+((C2430=TRUE)*(F2430-Calc!F19))+B2443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2421*(MIN(100,(Inputs!$B$9+((C2430=TRUE)*(F2430-Calc!F19))+B2443+(ArtifactsInput!$M$24-ArtifactsInput!$M$24)*CHOOSE(ArtifactsInput!$N$24+1,10,12,14,16,18,20)+(IF(AND(ArtifactsInput!$M$42,((Inputs!$B$9+((C2430=TRUE)*(F2430-Calc!F19))+B2443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421">
        <f>IF(C2421,(0.15*SUMPRODUCT((Skills!U2:U29=TRUE)*(C2413:C2440=TRUE)*S2413:S2440)*Skills!G10*N2421)*IF(Inputs!$B$38="pvp",1,(1+(Inputs!$B$21+Skills!Q10+(IF(IF(ArtifactsInput!$M$33,FALSE,TRUE),CHOOSE(ArtifactsInput!$N$33+1,30,36,42,48,54,60),0))+(IF(AND(ArtifactsInput!$M$35,Inputs!$B$4&lt;&gt;"Chapter Hunt"),CHOOSE(ArtifactsInput!$N$35+1,15,18,21,24,27,30)*(1-EXP(-(0.2*B2445)*5)),0)+IF(AND(ArtifactsInput!$M$22,Inputs!$B$4&lt;&gt;"Chapter Hunt"),CHOOSE(ArtifactsInput!$N$22+1,10,12,14,16,18,20)*((0*(((0.15*B2445*5))^0/1)+1*(((0.15*B2445*5))^1/1)+2*(((0.15*B2445*5))^2/2)+3*(((0.15*B2445*5))^3/6)+4*(((0.15*B2445*5))^4/24)+5*(((0.15*B2445*5))^5/120))/((((0.15*B2445*5))^0/1)+(((0.15*B2445*5))^1/1)+(((0.15*B2445*5))^2/2)+(((0.15*B2445*5))^3/6)+(((0.15*B2445*5))^4/24)+(((0.15*B2445*5))^5/120)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422">
      <c r="A2422">
        <f>Skills!A11</f>
        <v/>
      </c>
      <c r="B2422">
        <f>Skills!B11</f>
        <v/>
      </c>
      <c r="C2422">
        <f>Inputs!$B$3&gt;=110</f>
        <v/>
      </c>
      <c r="D2422">
        <f>IF(Skills!C11=1,60+Inputs!$B$25+Inputs!$B$29,IF(Skills!C11=2,90+Inputs!$B$26+Inputs!$B$29,IF(Skills!C11=3,120+Inputs!$B$27+Inputs!$B$29,MAX(0,(Inputs!$B$3-100)*3)+Inputs!$B$28+Inputs!$B$29)))</f>
        <v/>
      </c>
      <c r="E2422">
        <f>INDEX(FactorTable!$B$2:$Y$301, MATCH(ROUND(MIN(300,MAX(1,D2422)),0), FactorTable!$A$2:$A$301,0), Skills!M11+1)</f>
        <v/>
      </c>
      <c r="F2422">
        <f>IF(Skills!N11=TRUE,(Skills!L11/10)*(E2422/1000),Skills!L11/10)+Skills!O11</f>
        <v/>
      </c>
      <c r="G2422">
        <f>Skills!G11*IF(Skills!H11&gt;0,Skills!I11/Skills!H11,1)</f>
        <v/>
      </c>
      <c r="H2422">
        <f>1-(1-Skills!J11/100)^Skills!K11</f>
        <v/>
      </c>
      <c r="I2422" t="inlineStr">
        <is>
          <t>1</t>
        </is>
      </c>
      <c r="J2422">
        <f>((Inputs!$B$6*(1+Inputs!$B$7/100))+(((Inputs!$B$12*(1+Inputs!$B$13/100))-(Inputs!$B$12*(1+Inputs!$B$13/100)))+0.25*(Inputs!$B$14-Inputs!$B$14))*(1+Inputs!$B$7/100))*(F2422/100)</f>
        <v/>
      </c>
      <c r="K2422">
        <f>J2422*(1+((Inputs!$B$12*(1+Inputs!$B$13/100))*0.01+Inputs!$B$14*0.0025)/100)*(1+Inputs!$B$15/100)*(1+Inputs!$B$16/100)*(5000/(6000+Inputs!$B$42*(1-(100*(1-(1-(Inputs!$B$19+0)/100)*(1-CHOOSE(ArtifactsInput!$N$40+1,5,6,7,8,9,10)/100)^(ArtifactsInput!$M$40-ArtifactsInput!$M$40)))/100)))*(1+(Inputs!$B$24+((C2435=TRUE)*(F2435-Calc!F24))+((C2436=TRUE)*(F2436-Calc!F25))+B2449)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11="EMPOWERED_PIERCING_ARROW",Inputs!$B$17+((C2433=TRUE)*(F2433-Calc!F22))+(((IF(AND(ArtifactsInput!$M$42,((Inputs!$B$9+((C2430=TRUE)*(F2430-Calc!F19))+B2443+(ArtifactsInput!$M$24-ArtifactsInput!$M$24)*CHOOSE(ArtifactsInput!$N$24+1,10,12,14,16,18,20)+IF(ArtifactsInput!$M$10,CHOOSE(ArtifactsInput!$N$10+1,15,18,21,24,27,30)*(IF(Inputs!$B$38="pvp",MIN(15,15)/15,IF(AND(Inputs!$B$38&lt;&gt;"pvp",Inputs!$B$43&gt;0),MIN(15,Inputs!$B$43)/(Inputs!$B$43),0))),0)))&gt;=100),MIN(100,((Inputs!$B$9+((C2430=TRUE)*(F2430-Calc!F19))+B2443+(ArtifactsInput!$M$24-ArtifactsInput!$M$24)*CHOOSE(ArtifactsInput!$N$24+1,10,12,14,16,18,20)+IF(ArtifactsInput!$M$10,CHOOSE(ArtifactsInput!$N$10+1,15,18,21,24,27,30)*(IF(Inputs!$B$38="pvp",MIN(15,15)/15,IF(AND(Inputs!$B$38&lt;&gt;"pvp",Inputs!$B$43&gt;0),MIN(15,Inputs!$B$43)/(Inputs!$B$43),0))),0)))-100),0))*CHOOSE(ArtifactsInput!$N$42+1,0.6,0.72,0.84,0.96,1.08,1.2))),Inputs!$B$18+((C2438=TRUE)*(F2438-Calc!F27))+(IF(AND(ArtifactsInput!$M$42,((Inputs!$B$9+((C2430=TRUE)*(F2430-Calc!F19))+B2443+(ArtifactsInput!$M$24-ArtifactsInput!$M$24)*CHOOSE(ArtifactsInput!$N$24+1,10,12,14,16,18,20)+IF(ArtifactsInput!$M$10,CHOOSE(ArtifactsInput!$N$10+1,15,18,21,24,27,30)*(IF(Inputs!$B$38="pvp",MIN(15,15)/15,IF(AND(Inputs!$B$38&lt;&gt;"pvp",Inputs!$B$43&gt;0),MIN(15,Inputs!$B$43)/(Inputs!$B$43),0))),0)))&gt;=100),CHOOSE(ArtifactsInput!$N$42+1,40,48,56,64,72,80),0))))/100)*((1+(((C2424=TRUE)*F2424)+((C2425=TRUE)*IF(Inputs!$B$38="pvp",F2425,(1-Summary!$B$11)*(F2425)+Summary!$B$11*(0)))+((C2426=TRUE)*F2426*IF(AND(Inputs!$B$38&lt;&gt;"pvp",Inputs!$B$43&gt;0),(((R2426-1)*(Skills!T15*(1+Inputs!$B$34/100))+MIN((Skills!T15*(1+Inputs!$B$34/100)),MAX(0,Inputs!$B$43-((R2426-1)*Skills!D15))))/Inputs!$B$43),IF(Inputs!$B$38="pvp",MIN((Skills!T15*(1+Inputs!$B$34/100)),15)/15,(Skills!T15*(1+Inputs!$B$34/100))/Skills!D15)))+((C2423=TRUE)*F2423)+((C2440=TRUE)*(F2440-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2422)</f>
        <v/>
      </c>
      <c r="L2422">
        <f>K2422*(MIN(Inputs!$B$22+((C2434=TRUE)*(F2434-Calc!F23)),(Inputs!$B$23+((C2439=TRUE)*(F2439-Calc!F28))+(IF(ArtifactsInput!$M$15,CHOOSE(ArtifactsInput!$N$15+1,25,30,35,40,45,50)/100*(Inputs!$B$11-Inputs!$B$11),0))))/100+(Inputs!$B$23+((C2439=TRUE)*(F2439-Calc!F28))+(IF(ArtifactsInput!$M$15,CHOOSE(ArtifactsInput!$N$15+1,25,30,35,40,45,50)/100*(Inputs!$B$11-Inputs!$B$11),0)))/100)/2</f>
        <v/>
      </c>
      <c r="M2422">
        <f>L2422*(1+(Inputs!$B$10+0+B2448+(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422">
        <f>L2422*(1-MIN((Inputs!$B$9+((C2430=TRUE)*(F2430-Calc!F19))+B2443+(ArtifactsInput!$M$24-ArtifactsInput!$M$24)*CHOOSE(ArtifactsInput!$N$24+1,10,12,14,16,18,20)+(IF(AND(ArtifactsInput!$M$42,((Inputs!$B$9+((C2430=TRUE)*(F2430-Calc!F19))+B2443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2422*(MIN((Inputs!$B$9+((C2430=TRUE)*(F2430-Calc!F19))+B2443+(ArtifactsInput!$M$24-ArtifactsInput!$M$24)*CHOOSE(ArtifactsInput!$N$24+1,10,12,14,16,18,20)+(IF(AND(ArtifactsInput!$M$42,((Inputs!$B$9+((C2430=TRUE)*(F2430-Calc!F19))+B2443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422">
        <f>(1-Summary!$B$11)*T2422+Summary!$B$11*V2422</f>
        <v/>
      </c>
      <c r="P2422">
        <f>IF(B2453=0,0,O2422/B2453)</f>
        <v/>
      </c>
      <c r="Q2422">
        <f>IFERROR(1/IF(Inputs!$B$38="pvp",15,MAX(0.1,Skills!D11-IF(Skills!E11=TRUE,Inputs!$B$32,0))),0)</f>
        <v/>
      </c>
      <c r="R2422">
        <f>IF(AND(Inputs!$B$38&lt;&gt;"pvp",Inputs!$B$43&gt;0),IF(MAX(0,Inputs!$B$43-B2450)&lt;=0,0,(INT(MAX(0,Inputs!$B$43-B2450)/IF(Inputs!$B$38="pvp",15,MAX(0.1,Skills!D11-IF(Skills!E11=TRUE,Inputs!$B$32,0))))+1)),0)</f>
        <v/>
      </c>
      <c r="S2422">
        <f>IFERROR((H2422*N2422*IF(AND(Inputs!$B$38&lt;&gt;"pvp",Inputs!$B$43&gt;0),((Skills!G11*((R2422-1)*IF(Skills!H11&gt;0,Skills!I11/Skills!H11,1)+IF(Skills!H11&gt;0,MIN(Skills!I11,MAX(0,MAX(0,Inputs!$B$43-B2450)-((R2422-1)*IF(Inputs!$B$38="pvp",15,MAX(0.1,Skills!D11-IF(Skills!E11=TRUE,Inputs!$B$32,0))))))/Skills!H11,1)))/Inputs!$B$43),G2422*Q2422))/N2422*IF(Inputs!$B$38="pvp",1,(1-Summary!$B$11)*1+Summary!$B$11*(MIN(Skills!R11,Inputs!$B$37))),0)</f>
        <v/>
      </c>
      <c r="T2422">
        <f>IF(C2422,(H2422*N2422*IF(AND(Inputs!$B$38&lt;&gt;"pvp",Inputs!$B$43&gt;0),((Skills!G11*((R2422-1)*IF(Skills!H11&gt;0,Skills!I11/Skills!H11,1)+IF(Skills!H11&gt;0,MIN(Skills!I11,MAX(0,MAX(0,Inputs!$B$43-B2450)-((R2422-1)*IF(Inputs!$B$38="pvp",15,MAX(0.1,Skills!D11-IF(Skills!E11=TRUE,Inputs!$B$32,0))))))/Skills!H11,1)))/Inputs!$B$43),G2422*Q2422))*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IF(ArtifactsInput!$M$33,FALSE,TRUE),CHOOSE(ArtifactsInput!$N$33+1,10,12,14,16,18,20),0)+(ArtifactsInput!$M$23-ArtifactsInput!$M$23)*CHOOSE(ArtifactsInput!$N$23+1,50,60,70,80,90,100))+(IF(AND(ArtifactsInput!$M$35,Inputs!$B$4&lt;&gt;"Chapter Hunt"),CHOOSE(ArtifactsInput!$N$35+1,15,18,21,24,27,30)*(1-EXP(-(0.2*B2445)*5)),0)+IF(AND(ArtifactsInput!$M$22,Inputs!$B$4&lt;&gt;"Chapter Hunt"),CHOOSE(ArtifactsInput!$N$22+1,10,12,14,16,18,20)*((0*(((0.15*B2445*5))^0/1)+1*(((0.15*B2445*5))^1/1)+2*(((0.15*B2445*5))^2/2)+3*(((0.15*B2445*5))^3/6)+4*(((0.15*B2445*5))^4/24)+5*(((0.15*B2445*5))^5/120))/((((0.15*B2445*5))^0/1)+(((0.15*B2445*5))^1/1)+(((0.15*B2445*5))^2/2)+(((0.15*B2445*5))^3/6)+(((0.15*B2445*5))^4/24)+(((0.15*B2445*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2422*(1-MIN(100,(Inputs!$B$9+((C2430=TRUE)*(F2430-Calc!F19))+B2443+(ArtifactsInput!$M$24-ArtifactsInput!$M$24)*CHOOSE(ArtifactsInput!$N$24+1,10,12,14,16,18,20)+(IF(AND(ArtifactsInput!$M$42,((Inputs!$B$9+((C2430=TRUE)*(F2430-Calc!F19))+B2443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2422*(MIN(100,(Inputs!$B$9+((C2430=TRUE)*(F2430-Calc!F19))+B2443+(ArtifactsInput!$M$24-ArtifactsInput!$M$24)*CHOOSE(ArtifactsInput!$N$24+1,10,12,14,16,18,20)+(IF(AND(ArtifactsInput!$M$42,((Inputs!$B$9+((C2430=TRUE)*(F2430-Calc!F19))+B2443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2422*(1-MIN(100,(Inputs!$B$9+((C2430=TRUE)*(F2430-Calc!F19))+B2443+(ArtifactsInput!$M$24-ArtifactsInput!$M$24)*CHOOSE(ArtifactsInput!$N$24+1,10,12,14,16,18,20)+(IF(AND(ArtifactsInput!$M$42,((Inputs!$B$9+((C2430=TRUE)*(F2430-Calc!F19))+B2443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2422*(MIN(100,(Inputs!$B$9+((C2430=TRUE)*(F2430-Calc!F19))+B2443+(ArtifactsInput!$M$24-ArtifactsInput!$M$24)*CHOOSE(ArtifactsInput!$N$24+1,10,12,14,16,18,20)+(IF(AND(ArtifactsInput!$M$42,((Inputs!$B$9+((C2430=TRUE)*(F2430-Calc!F19))+B2443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422">
        <f>IF(C2422,(H2422*N2422*IF(AND(Inputs!$B$38&lt;&gt;"pvp",Inputs!$B$43&gt;0),((Skills!G11*((R2422-1)*IF(Skills!H11&gt;0,Skills!I11/Skills!H11,1)+IF(Skills!H11&gt;0,MIN(Skills!I11,MAX(0,MAX(0,Inputs!$B$43-B2450)-((R2422-1)*IF(Inputs!$B$38="pvp",15,MAX(0.1,Skills!D11-IF(Skills!E11=TRUE,Inputs!$B$32,0))))))/Skills!H11,1)))/Inputs!$B$43),G2422*Q2422))*IF(Inputs!$B$38="pvp",1,(1+(Inputs!$B$21+Skills!Q11+(IF(IF(ArtifactsInput!$M$33,FALSE,TRUE),CHOOSE(ArtifactsInput!$N$33+1,30,36,42,48,54,60),0))+(IF(AND(ArtifactsInput!$M$35,Inputs!$B$4&lt;&gt;"Chapter Hunt"),CHOOSE(ArtifactsInput!$N$35+1,15,18,21,24,27,30)*(1-EXP(-(0.2*B2445)*5)),0)+IF(AND(ArtifactsInput!$M$22,Inputs!$B$4&lt;&gt;"Chapter Hunt"),CHOOSE(ArtifactsInput!$N$22+1,10,12,14,16,18,20)*((0*(((0.15*B2445*5))^0/1)+1*(((0.15*B2445*5))^1/1)+2*(((0.15*B2445*5))^2/2)+3*(((0.15*B2445*5))^3/6)+4*(((0.15*B2445*5))^4/24)+5*(((0.15*B2445*5))^5/120))/((((0.15*B2445*5))^0/1)+(((0.15*B2445*5))^1/1)+(((0.15*B2445*5))^2/2)+(((0.15*B2445*5))^3/6)+(((0.15*B2445*5))^4/24)+(((0.15*B2445*5))^5/120))),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423">
      <c r="A2423">
        <f>Skills!A12</f>
        <v/>
      </c>
      <c r="B2423">
        <f>Skills!B12</f>
        <v/>
      </c>
      <c r="C2423">
        <f>Inputs!$B$3&gt;=60</f>
        <v/>
      </c>
      <c r="D2423">
        <f>IF(Skills!C12=1,60+Inputs!$B$25+Inputs!$B$29,IF(Skills!C12=2,90+Inputs!$B$26+Inputs!$B$29,IF(Skills!C12=3,120+Inputs!$B$27+Inputs!$B$29,MAX(0,(Inputs!$B$3-100)*3)+Inputs!$B$28+Inputs!$B$29)))</f>
        <v/>
      </c>
      <c r="E2423">
        <f>INDEX(FactorTable!$B$2:$Y$301, MATCH(ROUND(MIN(300,MAX(1,D2423)),0), FactorTable!$A$2:$A$301,0), Skills!M12+1)</f>
        <v/>
      </c>
      <c r="F2423">
        <f>IF(Skills!N12=TRUE,(Skills!L12/10)*(E2423/1000),Skills!L12/10)+Skills!O12</f>
        <v/>
      </c>
      <c r="G2423">
        <f>Skills!G12*IF(Skills!H12&gt;0,Skills!I12/Skills!H12,1)</f>
        <v/>
      </c>
      <c r="H2423">
        <f>1-(1-Skills!J12/100)^Skills!K12</f>
        <v/>
      </c>
      <c r="I2423" t="inlineStr">
        <is>
          <t>1</t>
        </is>
      </c>
      <c r="J2423" t="inlineStr"/>
      <c r="K2423" t="inlineStr"/>
      <c r="L2423" t="inlineStr"/>
      <c r="M2423" t="inlineStr"/>
      <c r="N2423" t="inlineStr"/>
      <c r="O2423">
        <f>(1-Summary!$B$11)*T2423+Summary!$B$11*V2423</f>
        <v/>
      </c>
      <c r="P2423">
        <f>IF(B2453=0,0,O2423/B2453)</f>
        <v/>
      </c>
      <c r="Q2423" t="n">
        <v>0</v>
      </c>
      <c r="R2423" t="n">
        <v>0</v>
      </c>
      <c r="S2423" t="n">
        <v>0</v>
      </c>
      <c r="T2423" t="n">
        <v>0</v>
      </c>
      <c r="V2423" t="n">
        <v>0</v>
      </c>
    </row>
    <row r="2424">
      <c r="A2424">
        <f>Skills!A13</f>
        <v/>
      </c>
      <c r="B2424">
        <f>Skills!B13</f>
        <v/>
      </c>
      <c r="C2424">
        <f>Inputs!$B$3&gt;=74</f>
        <v/>
      </c>
      <c r="D2424">
        <f>IF(Skills!C13=1,60+Inputs!$B$25+Inputs!$B$29,IF(Skills!C13=2,90+Inputs!$B$26+Inputs!$B$29,IF(Skills!C13=3,120+Inputs!$B$27+Inputs!$B$29,MAX(0,(Inputs!$B$3-100)*3)+Inputs!$B$28+Inputs!$B$29)))</f>
        <v/>
      </c>
      <c r="E2424">
        <f>INDEX(FactorTable!$B$2:$Y$301, MATCH(ROUND(MIN(300,MAX(1,D2424)),0), FactorTable!$A$2:$A$301,0), Skills!M13+1)</f>
        <v/>
      </c>
      <c r="F2424">
        <f>IF(Skills!N13=TRUE,(Skills!L13/10)*(E2424/1000),Skills!L13/10)+Skills!O13</f>
        <v/>
      </c>
      <c r="G2424">
        <f>Skills!G13*IF(Skills!H13&gt;0,Skills!I13/Skills!H13,1)</f>
        <v/>
      </c>
      <c r="H2424">
        <f>1-(1-Skills!J13/100)^Skills!K13</f>
        <v/>
      </c>
      <c r="I2424" t="inlineStr">
        <is>
          <t>1</t>
        </is>
      </c>
      <c r="J2424" t="inlineStr"/>
      <c r="K2424" t="inlineStr"/>
      <c r="L2424" t="inlineStr"/>
      <c r="M2424" t="inlineStr"/>
      <c r="N2424" t="inlineStr"/>
      <c r="O2424">
        <f>(1-Summary!$B$11)*T2424+Summary!$B$11*V2424</f>
        <v/>
      </c>
      <c r="P2424">
        <f>IF(B2453=0,0,O2424/B2453)</f>
        <v/>
      </c>
      <c r="Q2424" t="n">
        <v>0</v>
      </c>
      <c r="R2424" t="n">
        <v>0</v>
      </c>
      <c r="S2424" t="n">
        <v>0</v>
      </c>
      <c r="T2424" t="n">
        <v>0</v>
      </c>
      <c r="V2424" t="n">
        <v>0</v>
      </c>
    </row>
    <row r="2425">
      <c r="A2425">
        <f>Skills!A14</f>
        <v/>
      </c>
      <c r="B2425">
        <f>Skills!B14</f>
        <v/>
      </c>
      <c r="C2425">
        <f>Inputs!$B$3&gt;=74</f>
        <v/>
      </c>
      <c r="D2425">
        <f>IF(Skills!C14=1,60+Inputs!$B$25+Inputs!$B$29,IF(Skills!C14=2,90+Inputs!$B$26+Inputs!$B$29,IF(Skills!C14=3,120+Inputs!$B$27+Inputs!$B$29,MAX(0,(Inputs!$B$3-100)*3)+Inputs!$B$28+Inputs!$B$29)))</f>
        <v/>
      </c>
      <c r="E2425">
        <f>INDEX(FactorTable!$B$2:$Y$301, MATCH(ROUND(MIN(300,MAX(1,D2425)),0), FactorTable!$A$2:$A$301,0), Skills!M14+1)</f>
        <v/>
      </c>
      <c r="F2425">
        <f>IF(Skills!N14=TRUE,(Skills!L14/10)*(E2425/1000),Skills!L14/10)+Skills!O14</f>
        <v/>
      </c>
      <c r="G2425">
        <f>Skills!G14*IF(Skills!H14&gt;0,Skills!I14/Skills!H14,1)</f>
        <v/>
      </c>
      <c r="H2425">
        <f>1-(1-Skills!J14/100)^Skills!K14</f>
        <v/>
      </c>
      <c r="I2425" t="inlineStr">
        <is>
          <t>1</t>
        </is>
      </c>
      <c r="J2425" t="inlineStr"/>
      <c r="K2425" t="inlineStr"/>
      <c r="L2425" t="inlineStr"/>
      <c r="M2425" t="inlineStr"/>
      <c r="N2425" t="inlineStr"/>
      <c r="O2425">
        <f>(1-Summary!$B$11)*T2425+Summary!$B$11*V2425</f>
        <v/>
      </c>
      <c r="P2425">
        <f>IF(B2453=0,0,O2425/B2453)</f>
        <v/>
      </c>
      <c r="Q2425" t="n">
        <v>0</v>
      </c>
      <c r="R2425" t="n">
        <v>0</v>
      </c>
      <c r="S2425" t="n">
        <v>0</v>
      </c>
      <c r="T2425" t="n">
        <v>0</v>
      </c>
      <c r="V2425" t="n">
        <v>0</v>
      </c>
    </row>
    <row r="2426">
      <c r="A2426">
        <f>Skills!A15</f>
        <v/>
      </c>
      <c r="B2426">
        <f>Skills!B15</f>
        <v/>
      </c>
      <c r="C2426">
        <f>Inputs!$B$3&gt;=117</f>
        <v/>
      </c>
      <c r="D2426">
        <f>IF(Skills!C15=1,60+Inputs!$B$25+Inputs!$B$29,IF(Skills!C15=2,90+Inputs!$B$26+Inputs!$B$29,IF(Skills!C15=3,120+Inputs!$B$27+Inputs!$B$29,MAX(0,(Inputs!$B$3-100)*3)+Inputs!$B$28+Inputs!$B$29)))</f>
        <v/>
      </c>
      <c r="E2426">
        <f>INDEX(FactorTable!$B$2:$Y$301, MATCH(ROUND(MIN(300,MAX(1,D2426)),0), FactorTable!$A$2:$A$301,0), Skills!M15+1)</f>
        <v/>
      </c>
      <c r="F2426">
        <f>IF(Skills!N15=TRUE,(Skills!L15/10)*(E2426/1000),Skills!L15/10)+Skills!O15</f>
        <v/>
      </c>
      <c r="G2426">
        <f>Skills!G15*IF(Skills!H15&gt;0,Skills!I15/Skills!H15,1)</f>
        <v/>
      </c>
      <c r="H2426">
        <f>1-(1-Skills!J15/100)^Skills!K15</f>
        <v/>
      </c>
      <c r="I2426" t="inlineStr">
        <is>
          <t>1</t>
        </is>
      </c>
      <c r="J2426" t="inlineStr"/>
      <c r="K2426" t="inlineStr"/>
      <c r="L2426" t="inlineStr"/>
      <c r="M2426" t="inlineStr"/>
      <c r="N2426" t="inlineStr"/>
      <c r="O2426">
        <f>(1-Summary!$B$11)*T2426+Summary!$B$11*V2426</f>
        <v/>
      </c>
      <c r="P2426">
        <f>IF(B2453=0,0,O2426/B2453)</f>
        <v/>
      </c>
      <c r="Q2426">
        <f>IFERROR(1/IF(Inputs!$B$38="pvp",15,MAX(0.1,Skills!D15-IF(Skills!E15=TRUE,Inputs!$B$32,0))),0)</f>
        <v/>
      </c>
      <c r="R2426">
        <f>IF(AND(Inputs!$B$38&lt;&gt;"pvp",Inputs!$B$43&gt;0),IF(Inputs!$B$43&lt;=0,0,(INT(Inputs!$B$43/IF(Inputs!$B$38="pvp",15,MAX(0.1,Skills!D15-IF(Skills!E15=TRUE,Inputs!$B$32,0))))+1)),0)</f>
        <v/>
      </c>
      <c r="S2426" t="n">
        <v>0</v>
      </c>
      <c r="T2426" t="n">
        <v>0</v>
      </c>
      <c r="V2426" t="n">
        <v>0</v>
      </c>
    </row>
    <row r="2427">
      <c r="A2427">
        <f>Skills!A16</f>
        <v/>
      </c>
      <c r="B2427">
        <f>Skills!B16</f>
        <v/>
      </c>
      <c r="C2427">
        <f>Inputs!$B$3&gt;=115</f>
        <v/>
      </c>
      <c r="D2427">
        <f>IF(Skills!C16=1,60+Inputs!$B$25+Inputs!$B$29,IF(Skills!C16=2,90+Inputs!$B$26+Inputs!$B$29,IF(Skills!C16=3,120+Inputs!$B$27+Inputs!$B$29,MAX(0,(Inputs!$B$3-100)*3)+Inputs!$B$28+Inputs!$B$29)))</f>
        <v/>
      </c>
      <c r="E2427">
        <f>INDEX(FactorTable!$B$2:$Y$301, MATCH(ROUND(MIN(300,MAX(1,D2427)),0), FactorTable!$A$2:$A$301,0), Skills!M16+1)</f>
        <v/>
      </c>
      <c r="F2427">
        <f>IF(Skills!N16=TRUE,(Skills!L16/10)*(E2427/1000),Skills!L16/10)+Skills!O16</f>
        <v/>
      </c>
      <c r="G2427">
        <f>Skills!G16*IF(Skills!H16&gt;0,Skills!I16/Skills!H16,1)</f>
        <v/>
      </c>
      <c r="H2427">
        <f>1-(1-Skills!J16/100)^Skills!K16</f>
        <v/>
      </c>
      <c r="I2427" t="inlineStr">
        <is>
          <t>1</t>
        </is>
      </c>
      <c r="J2427" t="inlineStr"/>
      <c r="K2427" t="inlineStr"/>
      <c r="L2427" t="inlineStr"/>
      <c r="M2427" t="inlineStr"/>
      <c r="N2427" t="inlineStr"/>
      <c r="O2427">
        <f>(1-Summary!$B$11)*T2427+Summary!$B$11*V2427</f>
        <v/>
      </c>
      <c r="P2427">
        <f>IF(B2453=0,0,O2427/B2453)</f>
        <v/>
      </c>
      <c r="Q2427">
        <f>IFERROR(1/IF(Inputs!$B$38="pvp",15,MAX(0.1,Skills!D16-IF(Skills!E16=TRUE,Inputs!$B$32,0))),0)</f>
        <v/>
      </c>
      <c r="R2427">
        <f>IF(AND(Inputs!$B$38&lt;&gt;"pvp",Inputs!$B$43&gt;0),IF(Inputs!$B$43&lt;=0,0,(INT(Inputs!$B$43/IF(Inputs!$B$38="pvp",15,MAX(0.1,Skills!D16-IF(Skills!E16=TRUE,Inputs!$B$32,0))))+1)),0)</f>
        <v/>
      </c>
      <c r="S2427" t="n">
        <v>0</v>
      </c>
      <c r="T2427" t="n">
        <v>0</v>
      </c>
      <c r="V2427" t="n">
        <v>0</v>
      </c>
    </row>
    <row r="2428">
      <c r="A2428">
        <f>Skills!A17</f>
        <v/>
      </c>
      <c r="B2428">
        <f>Skills!B17</f>
        <v/>
      </c>
      <c r="C2428">
        <f>Inputs!$B$3&gt;=72</f>
        <v/>
      </c>
      <c r="D2428">
        <f>IF(Skills!C17=1,60+Inputs!$B$25+Inputs!$B$29,IF(Skills!C17=2,90+Inputs!$B$26+Inputs!$B$29,IF(Skills!C17=3,120+Inputs!$B$27+Inputs!$B$29,MAX(0,(Inputs!$B$3-100)*3)+Inputs!$B$28+Inputs!$B$29)))</f>
        <v/>
      </c>
      <c r="E2428">
        <f>INDEX(FactorTable!$B$2:$Y$301, MATCH(ROUND(MIN(300,MAX(1,D2428)),0), FactorTable!$A$2:$A$301,0), Skills!M17+1)</f>
        <v/>
      </c>
      <c r="F2428">
        <f>IF(Skills!N17=TRUE,(Skills!L17/10)*(E2428/1000),Skills!L17/10)+Skills!O17</f>
        <v/>
      </c>
      <c r="G2428">
        <f>Skills!G17*IF(Skills!H17&gt;0,Skills!I17/Skills!H17,1)</f>
        <v/>
      </c>
      <c r="H2428">
        <f>1-(1-Skills!J17/100)^Skills!K17</f>
        <v/>
      </c>
      <c r="I2428" t="inlineStr">
        <is>
          <t>1</t>
        </is>
      </c>
      <c r="J2428" t="inlineStr"/>
      <c r="K2428" t="inlineStr"/>
      <c r="L2428" t="inlineStr"/>
      <c r="M2428" t="inlineStr"/>
      <c r="N2428" t="inlineStr"/>
      <c r="O2428">
        <f>(1-Summary!$B$11)*T2428+Summary!$B$11*V2428</f>
        <v/>
      </c>
      <c r="P2428">
        <f>IF(B2453=0,0,O2428/B2453)</f>
        <v/>
      </c>
      <c r="Q2428" t="n">
        <v>0</v>
      </c>
      <c r="R2428" t="n">
        <v>0</v>
      </c>
      <c r="S2428" t="n">
        <v>0</v>
      </c>
      <c r="T2428" t="n">
        <v>0</v>
      </c>
      <c r="V2428" t="n">
        <v>0</v>
      </c>
    </row>
    <row r="2429">
      <c r="A2429">
        <f>Skills!A18</f>
        <v/>
      </c>
      <c r="B2429">
        <f>Skills!B18</f>
        <v/>
      </c>
      <c r="C2429">
        <f>TRUE</f>
        <v/>
      </c>
      <c r="D2429">
        <f>IF(Skills!C18=1,60+Inputs!$B$25+Inputs!$B$29,IF(Skills!C18=2,90+Inputs!$B$26+Inputs!$B$29,IF(Skills!C18=3,120+Inputs!$B$27+Inputs!$B$29,MAX(0,(Inputs!$B$3-100)*3)+Inputs!$B$28+Inputs!$B$29)))</f>
        <v/>
      </c>
      <c r="E2429">
        <f>INDEX(FactorTable!$B$2:$Y$301, MATCH(ROUND(MIN(300,MAX(1,D2429)),0), FactorTable!$A$2:$A$301,0), Skills!M18+1)</f>
        <v/>
      </c>
      <c r="F2429">
        <f>IF(Skills!N18=TRUE,(Skills!L18/10)*(E2429/1000),Skills!L18/10)+Skills!O18</f>
        <v/>
      </c>
      <c r="G2429">
        <f>Skills!G18*IF(Skills!H18&gt;0,Skills!I18/Skills!H18,1)</f>
        <v/>
      </c>
      <c r="H2429">
        <f>1-(1-Skills!J18/100)^Skills!K18</f>
        <v/>
      </c>
      <c r="I2429" t="inlineStr">
        <is>
          <t>1</t>
        </is>
      </c>
      <c r="J2429" t="inlineStr"/>
      <c r="K2429" t="inlineStr"/>
      <c r="L2429" t="inlineStr"/>
      <c r="M2429" t="inlineStr"/>
      <c r="N2429" t="inlineStr"/>
      <c r="O2429">
        <f>(1-Summary!$B$11)*T2429+Summary!$B$11*V2429</f>
        <v/>
      </c>
      <c r="P2429">
        <f>IF(B2453=0,0,O2429/B2453)</f>
        <v/>
      </c>
      <c r="Q2429">
        <f>IFERROR(1/IF(Inputs!$B$38="pvp",15,MAX(0.1,Skills!D18-IF(Skills!E18=TRUE,Inputs!$B$32,0))),0)</f>
        <v/>
      </c>
      <c r="R2429">
        <f>IF(AND(Inputs!$B$38&lt;&gt;"pvp",Inputs!$B$43&gt;0),IF(Inputs!$B$43&lt;=0,0,(INT(Inputs!$B$43/IF(Inputs!$B$38="pvp",15,MAX(0.1,Skills!D18-IF(Skills!E18=TRUE,Inputs!$B$32,0))))+1)),0)</f>
        <v/>
      </c>
      <c r="S2429" t="n">
        <v>0</v>
      </c>
      <c r="T2429" t="n">
        <v>0</v>
      </c>
      <c r="V2429" t="n">
        <v>0</v>
      </c>
    </row>
    <row r="2430">
      <c r="A2430">
        <f>Skills!A19</f>
        <v/>
      </c>
      <c r="B2430">
        <f>Skills!B19</f>
        <v/>
      </c>
      <c r="C2430">
        <f>Inputs!$B$3&gt;=15</f>
        <v/>
      </c>
      <c r="D2430">
        <f>IF(Skills!C19=1,60+Inputs!$B$25+Inputs!$B$29,IF(Skills!C19=2,90+Inputs!$B$26+Inputs!$B$29,IF(Skills!C19=3,120+Inputs!$B$27+Inputs!$B$29,MAX(0,(Inputs!$B$3-100)*3)+Inputs!$B$28+Inputs!$B$29)))</f>
        <v/>
      </c>
      <c r="E2430">
        <f>INDEX(FactorTable!$B$2:$Y$301, MATCH(ROUND(MIN(300,MAX(1,D2430)),0), FactorTable!$A$2:$A$301,0), Skills!M19+1)</f>
        <v/>
      </c>
      <c r="F2430">
        <f>IF(Skills!N19=TRUE,(Skills!L19/10)*(E2430/1000),Skills!L19/10)+Skills!O19</f>
        <v/>
      </c>
      <c r="G2430">
        <f>Skills!G19*IF(Skills!H19&gt;0,Skills!I19/Skills!H19,1)</f>
        <v/>
      </c>
      <c r="H2430">
        <f>1-(1-Skills!J19/100)^Skills!K19</f>
        <v/>
      </c>
      <c r="I2430" t="inlineStr">
        <is>
          <t>1</t>
        </is>
      </c>
      <c r="J2430" t="inlineStr"/>
      <c r="K2430" t="inlineStr"/>
      <c r="L2430" t="inlineStr"/>
      <c r="M2430" t="inlineStr"/>
      <c r="N2430" t="inlineStr"/>
      <c r="O2430">
        <f>(1-Summary!$B$11)*T2430+Summary!$B$11*V2430</f>
        <v/>
      </c>
      <c r="P2430">
        <f>IF(B2453=0,0,O2430/B2453)</f>
        <v/>
      </c>
      <c r="Q2430" t="n">
        <v>0</v>
      </c>
      <c r="R2430" t="n">
        <v>0</v>
      </c>
      <c r="S2430" t="n">
        <v>0</v>
      </c>
      <c r="T2430" t="n">
        <v>0</v>
      </c>
      <c r="V2430" t="n">
        <v>0</v>
      </c>
    </row>
    <row r="2431">
      <c r="A2431">
        <f>Skills!A20</f>
        <v/>
      </c>
      <c r="B2431">
        <f>Skills!B20</f>
        <v/>
      </c>
      <c r="C2431">
        <f>Inputs!$B$3&gt;=10</f>
        <v/>
      </c>
      <c r="D2431">
        <f>IF(Skills!C20=1,60+Inputs!$B$25+Inputs!$B$29,IF(Skills!C20=2,90+Inputs!$B$26+Inputs!$B$29,IF(Skills!C20=3,120+Inputs!$B$27+Inputs!$B$29,MAX(0,(Inputs!$B$3-100)*3)+Inputs!$B$28+Inputs!$B$29)))</f>
        <v/>
      </c>
      <c r="E2431">
        <f>INDEX(FactorTable!$B$2:$Y$301, MATCH(ROUND(MIN(300,MAX(1,D2431)),0), FactorTable!$A$2:$A$301,0), Skills!M20+1)</f>
        <v/>
      </c>
      <c r="F2431">
        <f>IF(Skills!N20=TRUE,(Skills!L20/10)*(E2431/1000),Skills!L20/10)+Skills!O20</f>
        <v/>
      </c>
      <c r="G2431">
        <f>Skills!G20*IF(Skills!H20&gt;0,Skills!I20/Skills!H20,1)</f>
        <v/>
      </c>
      <c r="H2431">
        <f>1-(1-Skills!J20/100)^Skills!K20</f>
        <v/>
      </c>
      <c r="I2431" t="inlineStr">
        <is>
          <t>1</t>
        </is>
      </c>
      <c r="J2431" t="inlineStr"/>
      <c r="K2431" t="inlineStr"/>
      <c r="L2431" t="inlineStr"/>
      <c r="M2431" t="inlineStr"/>
      <c r="N2431" t="inlineStr"/>
      <c r="O2431">
        <f>(1-Summary!$B$11)*T2431+Summary!$B$11*V2431</f>
        <v/>
      </c>
      <c r="P2431">
        <f>IF(B2453=0,0,O2431/B2453)</f>
        <v/>
      </c>
      <c r="Q2431" t="n">
        <v>0</v>
      </c>
      <c r="R2431" t="n">
        <v>0</v>
      </c>
      <c r="S2431" t="n">
        <v>0</v>
      </c>
      <c r="T2431" t="n">
        <v>0</v>
      </c>
      <c r="V2431" t="n">
        <v>0</v>
      </c>
    </row>
    <row r="2432">
      <c r="A2432">
        <f>Skills!A21</f>
        <v/>
      </c>
      <c r="B2432">
        <f>Skills!B21</f>
        <v/>
      </c>
      <c r="C2432">
        <f>Inputs!$B$3&gt;=33</f>
        <v/>
      </c>
      <c r="D2432">
        <f>IF(Skills!C21=1,60+Inputs!$B$25+Inputs!$B$29,IF(Skills!C21=2,90+Inputs!$B$26+Inputs!$B$29,IF(Skills!C21=3,120+Inputs!$B$27+Inputs!$B$29,MAX(0,(Inputs!$B$3-100)*3)+Inputs!$B$28+Inputs!$B$29)))</f>
        <v/>
      </c>
      <c r="E2432">
        <f>INDEX(FactorTable!$B$2:$Y$301, MATCH(ROUND(MIN(300,MAX(1,D2432)),0), FactorTable!$A$2:$A$301,0), Skills!M21+1)</f>
        <v/>
      </c>
      <c r="F2432">
        <f>IF(Skills!N21=TRUE,(Skills!L21/10)*(E2432/1000),Skills!L21/10)+Skills!O21</f>
        <v/>
      </c>
      <c r="G2432">
        <f>Skills!G21*IF(Skills!H21&gt;0,Skills!I21/Skills!H21,1)</f>
        <v/>
      </c>
      <c r="H2432">
        <f>1-(1-Skills!J21/100)^Skills!K21</f>
        <v/>
      </c>
      <c r="I2432" t="inlineStr">
        <is>
          <t>1</t>
        </is>
      </c>
      <c r="J2432" t="inlineStr"/>
      <c r="K2432" t="inlineStr"/>
      <c r="L2432" t="inlineStr"/>
      <c r="M2432" t="inlineStr"/>
      <c r="N2432" t="inlineStr"/>
      <c r="O2432">
        <f>(1-Summary!$B$11)*T2432+Summary!$B$11*V2432</f>
        <v/>
      </c>
      <c r="P2432">
        <f>IF(B2453=0,0,O2432/B2453)</f>
        <v/>
      </c>
      <c r="Q2432" t="n">
        <v>0</v>
      </c>
      <c r="R2432" t="n">
        <v>0</v>
      </c>
      <c r="S2432" t="n">
        <v>0</v>
      </c>
      <c r="T2432" t="n">
        <v>0</v>
      </c>
      <c r="V2432" t="n">
        <v>0</v>
      </c>
    </row>
    <row r="2433">
      <c r="A2433">
        <f>Skills!A22</f>
        <v/>
      </c>
      <c r="B2433">
        <f>Skills!B22</f>
        <v/>
      </c>
      <c r="C2433">
        <f>Inputs!$B$3&gt;=38</f>
        <v/>
      </c>
      <c r="D2433">
        <f>IF(Skills!C22=1,60+Inputs!$B$25+Inputs!$B$29,IF(Skills!C22=2,90+Inputs!$B$26+Inputs!$B$29,IF(Skills!C22=3,120+Inputs!$B$27+Inputs!$B$29,MAX(0,(Inputs!$B$3-100)*3)+Inputs!$B$28+Inputs!$B$29)))</f>
        <v/>
      </c>
      <c r="E2433">
        <f>INDEX(FactorTable!$B$2:$Y$301, MATCH(ROUND(MIN(300,MAX(1,D2433)),0), FactorTable!$A$2:$A$301,0), Skills!M22+1)</f>
        <v/>
      </c>
      <c r="F2433">
        <f>IF(Skills!N22=TRUE,(Skills!L22/10)*(E2433/1000),Skills!L22/10)+Skills!O22</f>
        <v/>
      </c>
      <c r="G2433">
        <f>Skills!G22*IF(Skills!H22&gt;0,Skills!I22/Skills!H22,1)</f>
        <v/>
      </c>
      <c r="H2433">
        <f>1-(1-Skills!J22/100)^Skills!K22</f>
        <v/>
      </c>
      <c r="I2433" t="inlineStr">
        <is>
          <t>1</t>
        </is>
      </c>
      <c r="J2433" t="inlineStr"/>
      <c r="K2433" t="inlineStr"/>
      <c r="L2433" t="inlineStr"/>
      <c r="M2433" t="inlineStr"/>
      <c r="N2433" t="inlineStr"/>
      <c r="O2433">
        <f>(1-Summary!$B$11)*T2433+Summary!$B$11*V2433</f>
        <v/>
      </c>
      <c r="P2433">
        <f>IF(B2453=0,0,O2433/B2453)</f>
        <v/>
      </c>
      <c r="Q2433" t="n">
        <v>0</v>
      </c>
      <c r="R2433" t="n">
        <v>0</v>
      </c>
      <c r="S2433" t="n">
        <v>0</v>
      </c>
      <c r="T2433" t="n">
        <v>0</v>
      </c>
      <c r="V2433" t="n">
        <v>0</v>
      </c>
    </row>
    <row r="2434">
      <c r="A2434">
        <f>Skills!A23</f>
        <v/>
      </c>
      <c r="B2434">
        <f>Skills!B23</f>
        <v/>
      </c>
      <c r="C2434">
        <f>Inputs!$B$3&gt;=43</f>
        <v/>
      </c>
      <c r="D2434">
        <f>IF(Skills!C23=1,60+Inputs!$B$25+Inputs!$B$29,IF(Skills!C23=2,90+Inputs!$B$26+Inputs!$B$29,IF(Skills!C23=3,120+Inputs!$B$27+Inputs!$B$29,MAX(0,(Inputs!$B$3-100)*3)+Inputs!$B$28+Inputs!$B$29)))</f>
        <v/>
      </c>
      <c r="E2434">
        <f>INDEX(FactorTable!$B$2:$Y$301, MATCH(ROUND(MIN(300,MAX(1,D2434)),0), FactorTable!$A$2:$A$301,0), Skills!M23+1)</f>
        <v/>
      </c>
      <c r="F2434">
        <f>IF(Skills!N23=TRUE,(Skills!L23/10)*(E2434/1000),Skills!L23/10)+Skills!O23</f>
        <v/>
      </c>
      <c r="G2434">
        <f>Skills!G23*IF(Skills!H23&gt;0,Skills!I23/Skills!H23,1)</f>
        <v/>
      </c>
      <c r="H2434">
        <f>1-(1-Skills!J23/100)^Skills!K23</f>
        <v/>
      </c>
      <c r="I2434" t="inlineStr">
        <is>
          <t>1</t>
        </is>
      </c>
      <c r="J2434" t="inlineStr"/>
      <c r="K2434" t="inlineStr"/>
      <c r="L2434" t="inlineStr"/>
      <c r="M2434" t="inlineStr"/>
      <c r="N2434" t="inlineStr"/>
      <c r="O2434">
        <f>(1-Summary!$B$11)*T2434+Summary!$B$11*V2434</f>
        <v/>
      </c>
      <c r="P2434">
        <f>IF(B2453=0,0,O2434/B2453)</f>
        <v/>
      </c>
      <c r="Q2434" t="n">
        <v>0</v>
      </c>
      <c r="R2434" t="n">
        <v>0</v>
      </c>
      <c r="S2434" t="n">
        <v>0</v>
      </c>
      <c r="T2434" t="n">
        <v>0</v>
      </c>
      <c r="V2434" t="n">
        <v>0</v>
      </c>
    </row>
    <row r="2435">
      <c r="A2435">
        <f>Skills!A24</f>
        <v/>
      </c>
      <c r="B2435">
        <f>Skills!B24</f>
        <v/>
      </c>
      <c r="C2435">
        <f>Inputs!$B$3&gt;=75</f>
        <v/>
      </c>
      <c r="D2435">
        <f>IF(Skills!C24=1,60+Inputs!$B$25+Inputs!$B$29,IF(Skills!C24=2,90+Inputs!$B$26+Inputs!$B$29,IF(Skills!C24=3,120+Inputs!$B$27+Inputs!$B$29,MAX(0,(Inputs!$B$3-100)*3)+Inputs!$B$28+Inputs!$B$29)))</f>
        <v/>
      </c>
      <c r="E2435">
        <f>INDEX(FactorTable!$B$2:$Y$301, MATCH(ROUND(MIN(300,MAX(1,D2435)),0), FactorTable!$A$2:$A$301,0), Skills!M24+1)</f>
        <v/>
      </c>
      <c r="F2435">
        <f>IF(Skills!N24=TRUE,(Skills!L24/10)*(E2435/1000),Skills!L24/10)+Skills!O24</f>
        <v/>
      </c>
      <c r="G2435">
        <f>Skills!G24*IF(Skills!H24&gt;0,Skills!I24/Skills!H24,1)</f>
        <v/>
      </c>
      <c r="H2435">
        <f>1-(1-Skills!J24/100)^Skills!K24</f>
        <v/>
      </c>
      <c r="I2435" t="inlineStr">
        <is>
          <t>1</t>
        </is>
      </c>
      <c r="J2435" t="inlineStr"/>
      <c r="K2435" t="inlineStr"/>
      <c r="L2435" t="inlineStr"/>
      <c r="M2435" t="inlineStr"/>
      <c r="N2435" t="inlineStr"/>
      <c r="O2435">
        <f>(1-Summary!$B$11)*T2435+Summary!$B$11*V2435</f>
        <v/>
      </c>
      <c r="P2435">
        <f>IF(B2453=0,0,O2435/B2453)</f>
        <v/>
      </c>
      <c r="Q2435" t="n">
        <v>0</v>
      </c>
      <c r="R2435" t="n">
        <v>0</v>
      </c>
      <c r="S2435" t="n">
        <v>0</v>
      </c>
      <c r="T2435" t="n">
        <v>0</v>
      </c>
      <c r="V2435" t="n">
        <v>0</v>
      </c>
    </row>
    <row r="2436">
      <c r="A2436">
        <f>Skills!A25</f>
        <v/>
      </c>
      <c r="B2436">
        <f>Skills!B25</f>
        <v/>
      </c>
      <c r="C2436">
        <f>Inputs!$B$3&gt;=125</f>
        <v/>
      </c>
      <c r="D2436">
        <f>IF(Skills!C25=1,60+Inputs!$B$25+Inputs!$B$29,IF(Skills!C25=2,90+Inputs!$B$26+Inputs!$B$29,IF(Skills!C25=3,120+Inputs!$B$27+Inputs!$B$29,MAX(0,(Inputs!$B$3-100)*3)+Inputs!$B$28+Inputs!$B$29)))</f>
        <v/>
      </c>
      <c r="E2436">
        <f>INDEX(FactorTable!$B$2:$Y$301, MATCH(ROUND(MIN(300,MAX(1,D2436)),0), FactorTable!$A$2:$A$301,0), Skills!M25+1)</f>
        <v/>
      </c>
      <c r="F2436">
        <f>IF(Skills!N25=TRUE,(Skills!L25/10)*(E2436/1000),Skills!L25/10)+Skills!O25</f>
        <v/>
      </c>
      <c r="G2436">
        <f>Skills!G25*IF(Skills!H25&gt;0,Skills!I25/Skills!H25,1)</f>
        <v/>
      </c>
      <c r="H2436">
        <f>1-(1-Skills!J25/100)^Skills!K25</f>
        <v/>
      </c>
      <c r="I2436" t="inlineStr">
        <is>
          <t>1</t>
        </is>
      </c>
      <c r="J2436" t="inlineStr"/>
      <c r="K2436" t="inlineStr"/>
      <c r="L2436" t="inlineStr"/>
      <c r="M2436" t="inlineStr"/>
      <c r="N2436" t="inlineStr"/>
      <c r="O2436">
        <f>(1-Summary!$B$11)*T2436+Summary!$B$11*V2436</f>
        <v/>
      </c>
      <c r="P2436">
        <f>IF(B2453=0,0,O2436/B2453)</f>
        <v/>
      </c>
      <c r="Q2436" t="n">
        <v>0</v>
      </c>
      <c r="R2436" t="n">
        <v>0</v>
      </c>
      <c r="S2436" t="n">
        <v>0</v>
      </c>
      <c r="T2436" t="n">
        <v>0</v>
      </c>
      <c r="V2436" t="n">
        <v>0</v>
      </c>
    </row>
    <row r="2437">
      <c r="A2437">
        <f>Skills!A26</f>
        <v/>
      </c>
      <c r="B2437">
        <f>Skills!B26</f>
        <v/>
      </c>
      <c r="C2437">
        <f>Inputs!$B$3&gt;=125</f>
        <v/>
      </c>
      <c r="D2437">
        <f>IF(Skills!C26=1,60+Inputs!$B$25+Inputs!$B$29,IF(Skills!C26=2,90+Inputs!$B$26+Inputs!$B$29,IF(Skills!C26=3,120+Inputs!$B$27+Inputs!$B$29,MAX(0,(Inputs!$B$3-100)*3)+Inputs!$B$28+Inputs!$B$29)))</f>
        <v/>
      </c>
      <c r="E2437">
        <f>INDEX(FactorTable!$B$2:$Y$301, MATCH(ROUND(MIN(300,MAX(1,D2437)),0), FactorTable!$A$2:$A$301,0), Skills!M26+1)</f>
        <v/>
      </c>
      <c r="F2437">
        <f>IF(Skills!N26=TRUE,(Skills!L26/10)*(E2437/1000),Skills!L26/10)+Skills!O26</f>
        <v/>
      </c>
      <c r="G2437">
        <f>Skills!G26*IF(Skills!H26&gt;0,Skills!I26/Skills!H26,1)</f>
        <v/>
      </c>
      <c r="H2437">
        <f>1-(1-Skills!J26/100)^Skills!K26</f>
        <v/>
      </c>
      <c r="I2437" t="inlineStr">
        <is>
          <t>1</t>
        </is>
      </c>
      <c r="J2437" t="inlineStr"/>
      <c r="K2437" t="inlineStr"/>
      <c r="L2437" t="inlineStr"/>
      <c r="M2437" t="inlineStr"/>
      <c r="N2437" t="inlineStr"/>
      <c r="O2437">
        <f>(1-Summary!$B$11)*T2437+Summary!$B$11*V2437</f>
        <v/>
      </c>
      <c r="P2437">
        <f>IF(B2453=0,0,O2437/B2453)</f>
        <v/>
      </c>
      <c r="Q2437" t="n">
        <v>0</v>
      </c>
      <c r="R2437" t="n">
        <v>0</v>
      </c>
      <c r="S2437" t="n">
        <v>0</v>
      </c>
      <c r="T2437" t="n">
        <v>0</v>
      </c>
      <c r="V2437" t="n">
        <v>0</v>
      </c>
    </row>
    <row r="2438">
      <c r="A2438">
        <f>Skills!A27</f>
        <v/>
      </c>
      <c r="B2438">
        <f>Skills!B27</f>
        <v/>
      </c>
      <c r="C2438">
        <f>Inputs!$B$3&gt;=120</f>
        <v/>
      </c>
      <c r="D2438">
        <f>IF(Skills!C27=1,60+Inputs!$B$25+Inputs!$B$29,IF(Skills!C27=2,90+Inputs!$B$26+Inputs!$B$29,IF(Skills!C27=3,120+Inputs!$B$27+Inputs!$B$29,MAX(0,(Inputs!$B$3-100)*3)+Inputs!$B$28+Inputs!$B$29)))</f>
        <v/>
      </c>
      <c r="E2438">
        <f>INDEX(FactorTable!$B$2:$Y$301, MATCH(ROUND(MIN(300,MAX(1,D2438)),0), FactorTable!$A$2:$A$301,0), Skills!M27+1)</f>
        <v/>
      </c>
      <c r="F2438">
        <f>IF(Skills!N27=TRUE,(Skills!L27/10)*(E2438/1000),Skills!L27/10)+Skills!O27</f>
        <v/>
      </c>
      <c r="G2438">
        <f>Skills!G27*IF(Skills!H27&gt;0,Skills!I27/Skills!H27,1)</f>
        <v/>
      </c>
      <c r="H2438">
        <f>1-(1-Skills!J27/100)^Skills!K27</f>
        <v/>
      </c>
      <c r="I2438" t="inlineStr">
        <is>
          <t>1</t>
        </is>
      </c>
      <c r="J2438" t="inlineStr"/>
      <c r="K2438" t="inlineStr"/>
      <c r="L2438" t="inlineStr"/>
      <c r="M2438" t="inlineStr"/>
      <c r="N2438" t="inlineStr"/>
      <c r="O2438">
        <f>(1-Summary!$B$11)*T2438+Summary!$B$11*V2438</f>
        <v/>
      </c>
      <c r="P2438">
        <f>IF(B2453=0,0,O2438/B2453)</f>
        <v/>
      </c>
      <c r="Q2438" t="n">
        <v>0</v>
      </c>
      <c r="R2438" t="n">
        <v>0</v>
      </c>
      <c r="S2438" t="n">
        <v>0</v>
      </c>
      <c r="T2438" t="n">
        <v>0</v>
      </c>
      <c r="V2438" t="n">
        <v>0</v>
      </c>
    </row>
    <row r="2439">
      <c r="A2439">
        <f>Skills!A28</f>
        <v/>
      </c>
      <c r="B2439">
        <f>Skills!B28</f>
        <v/>
      </c>
      <c r="C2439">
        <f>Inputs!$B$3&gt;=120</f>
        <v/>
      </c>
      <c r="D2439">
        <f>IF(Skills!C28=1,60+Inputs!$B$25+Inputs!$B$29,IF(Skills!C28=2,90+Inputs!$B$26+Inputs!$B$29,IF(Skills!C28=3,120+Inputs!$B$27+Inputs!$B$29,MAX(0,(Inputs!$B$3-100)*3)+Inputs!$B$28+Inputs!$B$29)))</f>
        <v/>
      </c>
      <c r="E2439">
        <f>INDEX(FactorTable!$B$2:$Y$301, MATCH(ROUND(MIN(300,MAX(1,D2439)),0), FactorTable!$A$2:$A$301,0), Skills!M28+1)</f>
        <v/>
      </c>
      <c r="F2439">
        <f>IF(Skills!N28=TRUE,(Skills!L28/10)*(E2439/1000),Skills!L28/10)+Skills!O28</f>
        <v/>
      </c>
      <c r="G2439">
        <f>Skills!G28*IF(Skills!H28&gt;0,Skills!I28/Skills!H28,1)</f>
        <v/>
      </c>
      <c r="H2439">
        <f>1-(1-Skills!J28/100)^Skills!K28</f>
        <v/>
      </c>
      <c r="I2439" t="inlineStr">
        <is>
          <t>1</t>
        </is>
      </c>
      <c r="J2439" t="inlineStr"/>
      <c r="K2439" t="inlineStr"/>
      <c r="L2439" t="inlineStr"/>
      <c r="M2439" t="inlineStr"/>
      <c r="N2439" t="inlineStr"/>
      <c r="O2439">
        <f>(1-Summary!$B$11)*T2439+Summary!$B$11*V2439</f>
        <v/>
      </c>
      <c r="P2439">
        <f>IF(B2453=0,0,O2439/B2453)</f>
        <v/>
      </c>
      <c r="Q2439" t="n">
        <v>0</v>
      </c>
      <c r="R2439" t="n">
        <v>0</v>
      </c>
      <c r="S2439" t="n">
        <v>0</v>
      </c>
      <c r="T2439" t="n">
        <v>0</v>
      </c>
      <c r="V2439" t="n">
        <v>0</v>
      </c>
    </row>
    <row r="2440">
      <c r="A2440">
        <f>Skills!A29</f>
        <v/>
      </c>
      <c r="B2440">
        <f>Skills!B29</f>
        <v/>
      </c>
      <c r="C2440">
        <f>Inputs!$B$3&gt;=45</f>
        <v/>
      </c>
      <c r="D2440">
        <f>IF(Skills!C29=1,60+Inputs!$B$25+Inputs!$B$29,IF(Skills!C29=2,90+Inputs!$B$26+Inputs!$B$29,IF(Skills!C29=3,120+Inputs!$B$27+Inputs!$B$29,MAX(0,(Inputs!$B$3-100)*3)+Inputs!$B$28+Inputs!$B$29)))</f>
        <v/>
      </c>
      <c r="E2440">
        <f>INDEX(FactorTable!$B$2:$Y$301, MATCH(ROUND(MIN(300,MAX(1,D2440)),0), FactorTable!$A$2:$A$301,0), Skills!M29+1)</f>
        <v/>
      </c>
      <c r="F2440">
        <f>IF(Skills!N29=TRUE,(Skills!L29/10)*(E2440/1000),Skills!L29/10)+Skills!O29</f>
        <v/>
      </c>
      <c r="G2440">
        <f>Skills!G29*IF(Skills!H29&gt;0,Skills!I29/Skills!H29,1)</f>
        <v/>
      </c>
      <c r="H2440">
        <f>1-(1-Skills!J29/100)^Skills!K29</f>
        <v/>
      </c>
      <c r="I2440" t="inlineStr">
        <is>
          <t>1</t>
        </is>
      </c>
      <c r="J2440" t="inlineStr"/>
      <c r="K2440" t="inlineStr"/>
      <c r="L2440" t="inlineStr"/>
      <c r="M2440" t="inlineStr"/>
      <c r="N2440" t="inlineStr"/>
      <c r="O2440">
        <f>(1-Summary!$B$11)*T2440+Summary!$B$11*V2440</f>
        <v/>
      </c>
      <c r="P2440">
        <f>IF(B2453=0,0,O2440/B2453)</f>
        <v/>
      </c>
      <c r="Q2440" t="n">
        <v>0</v>
      </c>
      <c r="R2440" t="n">
        <v>0</v>
      </c>
      <c r="S2440" t="n">
        <v>0</v>
      </c>
      <c r="T2440" t="n">
        <v>0</v>
      </c>
      <c r="V2440" t="n">
        <v>0</v>
      </c>
    </row>
    <row r="2442">
      <c r="A2442" t="inlineStr">
        <is>
          <t>Attack% Bucket Multiplier</t>
        </is>
      </c>
      <c r="B2442">
        <f>(1+(((C2424=TRUE)*F2424)+((C2425=TRUE)*IF(Inputs!$B$38="pvp",F2425,(1-Summary!$B$11)*(F2425)+Summary!$B$11*(0)))+((C2426=TRUE)*F2426*IF(AND(Inputs!$B$38&lt;&gt;"pvp",Inputs!$B$43&gt;0),(((R2426-1)*(Skills!T15*(1+Inputs!$B$34/100))+MIN((Skills!T15*(1+Inputs!$B$34/100)),MAX(0,Inputs!$B$43-((R2426-1)*Skills!D15))))/Inputs!$B$43),IF(Inputs!$B$38="pvp",MIN((Skills!T15*(1+Inputs!$B$34/100)),15)/15,(Skills!T15*(1+Inputs!$B$34/100))/Skills!D15)))+((C2423=TRUE)*F2423)+((C2440=TRUE)*(F2440-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2443">
      <c r="A2443" t="inlineStr">
        <is>
          <t>Global Crit Rate Bonus %</t>
        </is>
      </c>
      <c r="B2443">
        <f>(C2427=TRUE)*20*IF(AND(Inputs!$B$38&lt;&gt;"pvp",Inputs!$B$43&gt;0),(((R2427-1)*(Skills!T16*(1+Inputs!$B$34/100))+MIN((Skills!T16*(1+Inputs!$B$34/100)),MAX(0,Inputs!$B$43-((R2427-1)*Skills!D16))))/Inputs!$B$43),IF(Inputs!$B$38="pvp",MIN((Skills!T16*(1+Inputs!$B$34/100)),15)/15,(Skills!T16*(1+Inputs!$B$34/100))/Skills!D16))</f>
        <v/>
      </c>
    </row>
    <row r="2444">
      <c r="A2444" t="inlineStr">
        <is>
          <t>Attack Speed Buff Bonus %</t>
        </is>
      </c>
      <c r="B2444">
        <f>((C2429=TRUE)*F2429*IF(AND(Inputs!$B$38&lt;&gt;"pvp",Inputs!$B$43&gt;0),(((R2429-1)*(Skills!T18*(1+Inputs!$B$34/100))+MIN((Skills!T18*(1+Inputs!$B$34/100)),MAX(0,Inputs!$B$43-((R2429-1)*Skills!D18))))/Inputs!$B$43),IF(Inputs!$B$38="pvp",MIN((Skills!T18*(1+Inputs!$B$34/100)),15)/15,(Skills!T18*(1+Inputs!$B$34/100))/Skills!D18)))</f>
        <v/>
      </c>
    </row>
    <row r="2445">
      <c r="A2445" t="inlineStr">
        <is>
          <t>Actions Per Second</t>
        </is>
      </c>
      <c r="B2445">
        <f>1+MIN(150,150*(1-(1-(Inputs!$B$11+((C2431=TRUE)*(F2431-Calc!F20))+((C2432=TRUE)*(F2432-Calc!F21)))/150)*(1-B2444/150)))/100</f>
        <v/>
      </c>
    </row>
    <row r="2446">
      <c r="A2446" t="inlineStr">
        <is>
          <t>Skill + Buff Cast Rate</t>
        </is>
      </c>
      <c r="B2446">
        <f>IF(AND(Inputs!$B$38&lt;&gt;"pvp",Inputs!$B$43&gt;0),SUMPRODUCT((Skills!E2:E29=TRUE)*(C2413:C2440=TRUE)*R2413:R2440*Skills!F2:F29)/Inputs!$B$43,SUMPRODUCT((Skills!E2:E29=TRUE)*(C2413:C2440=TRUE)*Q2413:Q2440*Skills!F2:F29))</f>
        <v/>
      </c>
    </row>
    <row r="2447">
      <c r="A2447" t="inlineStr">
        <is>
          <t>Empowered Piercing Arrow Casts Per Second</t>
        </is>
      </c>
      <c r="B2447">
        <f>MAX(0,B2445-B2446)</f>
        <v/>
      </c>
    </row>
    <row r="2448">
      <c r="A2448" t="inlineStr">
        <is>
          <t>Global Critical Damage Bonus % (Sharp Eyes)</t>
        </is>
      </c>
      <c r="B2448">
        <f>(C2427=TRUE)*F2427*IF(AND(Inputs!$B$38&lt;&gt;"pvp",Inputs!$B$43&gt;0),(((R2427-1)*(Skills!T16*(1+Inputs!$B$34/100))+MIN((Skills!T16*(1+Inputs!$B$34/100)),MAX(0,Inputs!$B$43-((R2427-1)*Skills!D16))))/Inputs!$B$43),IF(Inputs!$B$38="pvp",MIN((Skills!T16*(1+Inputs!$B$34/100)),15)/15,(Skills!T16*(1+Inputs!$B$34/100))/Skills!D16))</f>
        <v/>
      </c>
    </row>
    <row r="2449">
      <c r="A2449" t="inlineStr">
        <is>
          <t>Global Final Damage Bonus % (Mortal Blow + Last Man Standing conditional half)</t>
        </is>
      </c>
      <c r="B2449">
        <f>(C2428=TRUE)*F2428+((C2437=TRUE)*IF(Inputs!$B$38="pvp",F2437,(1-Summary!$B$11)*(F2437)+Summary!$B$11*(0)))</f>
        <v/>
      </c>
    </row>
    <row r="2450">
      <c r="A2450" t="inlineStr">
        <is>
          <t>Buff-Casting Startup Delay (s, fixed-duration only)</t>
        </is>
      </c>
      <c r="B2450">
        <f>IF(AND(Inputs!$B$38&lt;&gt;"pvp",Inputs!$B$43&gt;0),SUMPRODUCT((Skills!T2:T29&gt;0)*(Skills!E2:E29=TRUE)*(C2413:C2440=TRUE))/B2445,0)</f>
        <v/>
      </c>
    </row>
    <row r="2451">
      <c r="A2451" t="inlineStr">
        <is>
          <t>Boss-Only Total DPS (this block's swept value)</t>
        </is>
      </c>
      <c r="B2451">
        <f>SUM(T2413:T2440)</f>
        <v/>
      </c>
    </row>
    <row r="2452">
      <c r="A2452" t="inlineStr">
        <is>
          <t>Normal-Only Total DPS (this block's swept value)</t>
        </is>
      </c>
      <c r="B2452">
        <f>SUM(V2413:V2440)</f>
        <v/>
      </c>
    </row>
    <row r="2453">
      <c r="A2453" s="6" t="inlineStr">
        <is>
          <t>TOTAL DPS</t>
        </is>
      </c>
      <c r="B2453" s="6">
        <f>SUM(O2413:O2440)</f>
        <v/>
      </c>
    </row>
    <row r="2456">
      <c r="A2456" s="6" t="inlineStr">
        <is>
          <t>Stat: Bottle of Emotion (Equip)</t>
        </is>
      </c>
    </row>
    <row r="2457">
      <c r="A2457" s="5" t="inlineStr">
        <is>
          <t>Key</t>
        </is>
      </c>
      <c r="B2457" s="5" t="inlineStr">
        <is>
          <t>Name</t>
        </is>
      </c>
      <c r="C2457" s="5" t="inlineStr">
        <is>
          <t>Unlocked</t>
        </is>
      </c>
      <c r="D2457" s="5" t="inlineStr">
        <is>
          <t>InputLevel</t>
        </is>
      </c>
      <c r="E2457" s="5" t="inlineStr">
        <is>
          <t>Factor</t>
        </is>
      </c>
      <c r="F2457" s="5" t="inlineStr">
        <is>
          <t>CoefficientPercent</t>
        </is>
      </c>
      <c r="G2457" s="5" t="inlineStr">
        <is>
          <t>EffectiveHits</t>
        </is>
      </c>
      <c r="H2457" s="5" t="inlineStr">
        <is>
          <t>ProcProbability</t>
        </is>
      </c>
      <c r="I2457" s="5" t="inlineStr">
        <is>
          <t>MapleHeroMultiplier</t>
        </is>
      </c>
      <c r="J2457" s="5" t="inlineStr">
        <is>
          <t>BaseDamage</t>
        </is>
      </c>
      <c r="K2457" s="5" t="inlineStr">
        <is>
          <t>BaseHitDamage</t>
        </is>
      </c>
      <c r="L2457" s="5" t="inlineStr">
        <is>
          <t>NonCritAvg</t>
        </is>
      </c>
      <c r="M2457" s="5" t="inlineStr">
        <is>
          <t>CritAvg</t>
        </is>
      </c>
      <c r="N2457" s="5" t="inlineStr">
        <is>
          <t>ExpectedDamage(perHit)</t>
        </is>
      </c>
      <c r="O2457" s="5" t="inlineStr">
        <is>
          <t>DPS</t>
        </is>
      </c>
      <c r="P2457" s="5" t="inlineStr">
        <is>
          <t>% of Total</t>
        </is>
      </c>
      <c r="Q2457" s="5" t="inlineStr">
        <is>
          <t>InvCooldown</t>
        </is>
      </c>
      <c r="R2457" s="5" t="inlineStr">
        <is>
          <t>CastsInFight</t>
        </is>
      </c>
      <c r="S2457" s="5" t="inlineStr">
        <is>
          <t>HitRate(perSec)</t>
        </is>
      </c>
      <c r="U2457" t="inlineStr">
        <is>
          <t>helpers</t>
        </is>
      </c>
    </row>
    <row r="2458">
      <c r="A2458">
        <f>Skills!A2</f>
        <v/>
      </c>
      <c r="B2458">
        <f>Skills!B2</f>
        <v/>
      </c>
      <c r="C2458">
        <f>Inputs!$B$3&gt;=100</f>
        <v/>
      </c>
      <c r="D2458" t="inlineStr"/>
      <c r="E2458" t="inlineStr"/>
      <c r="F2458">
        <f>U2460+Skills!O2</f>
        <v/>
      </c>
      <c r="G2458">
        <f>Skills!G2*IF(Skills!H2&gt;0,Skills!I2/Skills!H2,1)</f>
        <v/>
      </c>
      <c r="H2458">
        <f>1-(1-Skills!J2/100)^Skills!K2</f>
        <v/>
      </c>
      <c r="I2458" t="inlineStr">
        <is>
          <t>1</t>
        </is>
      </c>
      <c r="J2458">
        <f>((Inputs!$B$6*(1+Inputs!$B$7/100))+(((Inputs!$B$12*(1+Inputs!$B$13/100))-(Inputs!$B$12*(1+Inputs!$B$13/100)))+0.25*(Inputs!$B$14-Inputs!$B$14))*(1+Inputs!$B$7/100))*(F2458/100)</f>
        <v/>
      </c>
      <c r="K2458">
        <f>J2458*(1+((Inputs!$B$12*(1+Inputs!$B$13/100))*0.01+Inputs!$B$14*0.0025)/100)*(1+Inputs!$B$15/100)*(1+Inputs!$B$16/100)*(5000/(6000+Inputs!$B$42*(1-(100*(1-(1-(Inputs!$B$19+0)/100)*(1-CHOOSE(ArtifactsInput!$N$40+1,5,6,7,8,9,10)/100)^(ArtifactsInput!$M$40-ArtifactsInput!$M$40)))/100)))*(1+(Inputs!$B$24+((C2480=TRUE)*(F2480-Calc!F24))+((C2481=TRUE)*(F2481-Calc!F25))+B2494)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IF(ArtifactsInput!$M$34,FALSE,TRUE),1,-1)*IF(TRUE,MIN(CHOOSE(ArtifactsInput!$N$34+1,10,12,14,16,18,20),MAX(0,(CHOOSE(ArtifactsInput!$N$34+1,0.5,0.6,0.7,0.8,0.9,1)/3)*(Inputs!$B$11-60))),0)))/100)*(1+(IF(Skills!A2="EMPOWERED_PIERCING_ARROW",Inputs!$B$17+((C2478=TRUE)*(F2478-Calc!F22))+(((IF(AND(ArtifactsInput!$M$42,((Inputs!$B$9+((C2475=TRUE)*(F2475-Calc!F19))+B2488+(ArtifactsInput!$M$24-ArtifactsInput!$M$24)*CHOOSE(ArtifactsInput!$N$24+1,10,12,14,16,18,20)+IF(ArtifactsInput!$M$10,CHOOSE(ArtifactsInput!$N$10+1,15,18,21,24,27,30)*(IF(Inputs!$B$38="pvp",MIN(15,15)/15,IF(AND(Inputs!$B$38&lt;&gt;"pvp",Inputs!$B$43&gt;0),MIN(15,Inputs!$B$43)/(Inputs!$B$43),0))),0)))&gt;=100),MIN(100,((Inputs!$B$9+((C2475=TRUE)*(F2475-Calc!F19))+B2488+(ArtifactsInput!$M$24-ArtifactsInput!$M$24)*CHOOSE(ArtifactsInput!$N$24+1,10,12,14,16,18,20)+IF(ArtifactsInput!$M$10,CHOOSE(ArtifactsInput!$N$10+1,15,18,21,24,27,30)*(IF(Inputs!$B$38="pvp",MIN(15,15)/15,IF(AND(Inputs!$B$38&lt;&gt;"pvp",Inputs!$B$43&gt;0),MIN(15,Inputs!$B$43)/(Inputs!$B$43),0))),0)))-100),0))*CHOOSE(ArtifactsInput!$N$42+1,0.6,0.72,0.84,0.96,1.08,1.2))),Inputs!$B$18+((C2483=TRUE)*(F2483-Calc!F27))+(IF(AND(ArtifactsInput!$M$42,((Inputs!$B$9+((C2475=TRUE)*(F2475-Calc!F19))+B2488+(ArtifactsInput!$M$24-ArtifactsInput!$M$24)*CHOOSE(ArtifactsInput!$N$24+1,10,12,14,16,18,20)+IF(ArtifactsInput!$M$10,CHOOSE(ArtifactsInput!$N$10+1,15,18,21,24,27,30)*(IF(Inputs!$B$38="pvp",MIN(15,15)/15,IF(AND(Inputs!$B$38&lt;&gt;"pvp",Inputs!$B$43&gt;0),MIN(15,Inputs!$B$43)/(Inputs!$B$43),0))),0)))&gt;=100),CHOOSE(ArtifactsInput!$N$42+1,40,48,56,64,72,80),0))))/100)*((1+(((C2469=TRUE)*F2469)+((C2470=TRUE)*IF(Inputs!$B$38="pvp",F2470,(1-Summary!$B$11)*(F2470)+Summary!$B$11*(0)))+((C2471=TRUE)*F2471*IF(AND(Inputs!$B$38&lt;&gt;"pvp",Inputs!$B$43&gt;0),(((R2471-1)*(Skills!T15*(1+Inputs!$B$34/100))+MIN((Skills!T15*(1+Inputs!$B$34/100)),MAX(0,Inputs!$B$43-((R2471-1)*Skills!D15))))/Inputs!$B$43),IF(Inputs!$B$38="pvp",MIN((Skills!T15*(1+Inputs!$B$34/100)),15)/15,(Skills!T15*(1+Inputs!$B$34/100))/Skills!D15)))+((C2468=TRUE)*F2468)+((C2485=TRUE)*(F2485-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IF(ArtifactsInput!$M$34,FALSE,TRUE),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2458)</f>
        <v/>
      </c>
      <c r="L2458">
        <f>K2458*(MIN(Inputs!$B$22+((C2479=TRUE)*(F2479-Calc!F23)),(Inputs!$B$23+((C2484=TRUE)*(F2484-Calc!F28))+(IF(ArtifactsInput!$M$15,CHOOSE(ArtifactsInput!$N$15+1,25,30,35,40,45,50)/100*(Inputs!$B$11-Inputs!$B$11),0))))/100+(Inputs!$B$23+((C2484=TRUE)*(F2484-Calc!F28))+(IF(ArtifactsInput!$M$15,CHOOSE(ArtifactsInput!$N$15+1,25,30,35,40,45,50)/100*(Inputs!$B$11-Inputs!$B$11),0)))/100)/2</f>
        <v/>
      </c>
      <c r="M2458">
        <f>L2458*(1+(Inputs!$B$10+0+B2493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458">
        <f>L2458*(1-MIN((Inputs!$B$9+((C2475=TRUE)*(F2475-Calc!F19))+B2488+(ArtifactsInput!$M$24-ArtifactsInput!$M$24)*CHOOSE(ArtifactsInput!$N$24+1,10,12,14,16,18,20)+(IF(AND(ArtifactsInput!$M$42,((Inputs!$B$9+((C2475=TRUE)*(F2475-Calc!F19))+B2488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2458*(MIN((Inputs!$B$9+((C2475=TRUE)*(F2475-Calc!F19))+B2488+(ArtifactsInput!$M$24-ArtifactsInput!$M$24)*CHOOSE(ArtifactsInput!$N$24+1,10,12,14,16,18,20)+(IF(AND(ArtifactsInput!$M$42,((Inputs!$B$9+((C2475=TRUE)*(F2475-Calc!F19))+B2488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458">
        <f>(1-Summary!$B$11)*T2458+Summary!$B$11*V2458</f>
        <v/>
      </c>
      <c r="P2458">
        <f>IF(B2498=0,0,O2458/B2498)</f>
        <v/>
      </c>
      <c r="Q2458" t="n">
        <v>0</v>
      </c>
      <c r="R2458" t="n">
        <v>0</v>
      </c>
      <c r="S2458">
        <f>IFERROR((Skills!G2*N2458*B2492)/N2458*IF(Inputs!$B$38="pvp",1,(1-Summary!$B$11)*1+Summary!$B$11*(MIN((6+Inputs!$B$33),Inputs!$B$37))),0)</f>
        <v/>
      </c>
      <c r="T2458">
        <f>IF(C2458,(Skills!G2*N2458*B2492)*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Hunt"),CHOOSE(ArtifactsInput!$N$35+1,15,18,21,24,27,30)*(1-EXP(-(0.2*B2490)*5)),0)+IF(AND(ArtifactsInput!$M$22,Inputs!$B$4&lt;&gt;"Chapter Hunt"),CHOOSE(ArtifactsInput!$N$22+1,10,12,14,16,18,20)*((0*(((0.15*B2490*5))^0/1)+1*(((0.15*B2490*5))^1/1)+2*(((0.15*B2490*5))^2/2)+3*(((0.15*B2490*5))^3/6)+4*(((0.15*B2490*5))^4/24)+5*(((0.15*B2490*5))^5/120))/((((0.15*B2490*5))^0/1)+(((0.15*B2490*5))^1/1)+(((0.15*B2490*5))^2/2)+(((0.15*B2490*5))^3/6)+(((0.15*B2490*5))^4/24)+(((0.15*B2490*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2458*(1-MIN(100,(Inputs!$B$9+((C2475=TRUE)*(F2475-Calc!F19))+B2488+(ArtifactsInput!$M$24-ArtifactsInput!$M$24)*CHOOSE(ArtifactsInput!$N$24+1,10,12,14,16,18,20)+(IF(AND(ArtifactsInput!$M$42,((Inputs!$B$9+((C2475=TRUE)*(F2475-Calc!F19))+B2488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2458*(MIN(100,(Inputs!$B$9+((C2475=TRUE)*(F2475-Calc!F19))+B2488+(ArtifactsInput!$M$24-ArtifactsInput!$M$24)*CHOOSE(ArtifactsInput!$N$24+1,10,12,14,16,18,20)+(IF(AND(ArtifactsInput!$M$42,((Inputs!$B$9+((C2475=TRUE)*(F2475-Calc!F19))+B2488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2458*(1-MIN(100,(Inputs!$B$9+((C2475=TRUE)*(F2475-Calc!F19))+B2488+(ArtifactsInput!$M$24-ArtifactsInput!$M$24)*CHOOSE(ArtifactsInput!$N$24+1,10,12,14,16,18,20)+(IF(AND(ArtifactsInput!$M$42,((Inputs!$B$9+((C2475=TRUE)*(F2475-Calc!F19))+B2488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2458*(MIN(100,(Inputs!$B$9+((C2475=TRUE)*(F2475-Calc!F19))+B2488+(ArtifactsInput!$M$24-ArtifactsInput!$M$24)*CHOOSE(ArtifactsInput!$N$24+1,10,12,14,16,18,20)+(IF(AND(ArtifactsInput!$M$42,((Inputs!$B$9+((C2475=TRUE)*(F2475-Calc!F19))+B2488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458">
        <f>MAX(0,(Inputs!$B$3-100)*3)+Inputs!$B$28+Inputs!$B$29</f>
        <v/>
      </c>
      <c r="V2458">
        <f>IF(C2458,(Skills!G2*N2458*B2492)*IF(Inputs!$B$38="pvp",1,(1+(Inputs!$B$21+Skills!Q2+(IF(ArtifactsInput!$M$33,CHOOSE(ArtifactsInput!$N$33+1,30,36,42,48,54,60),0))+(IF(AND(ArtifactsInput!$M$35,Inputs!$B$4&lt;&gt;"Chapter Hunt"),CHOOSE(ArtifactsInput!$N$35+1,15,18,21,24,27,30)*(1-EXP(-(0.2*B2490)*5)),0)+IF(AND(ArtifactsInput!$M$22,Inputs!$B$4&lt;&gt;"Chapter Hunt"),CHOOSE(ArtifactsInput!$N$22+1,10,12,14,16,18,20)*((0*(((0.15*B2490*5))^0/1)+1*(((0.15*B2490*5))^1/1)+2*(((0.15*B2490*5))^2/2)+3*(((0.15*B2490*5))^3/6)+4*(((0.15*B2490*5))^4/24)+5*(((0.15*B2490*5))^5/120))/((((0.15*B2490*5))^0/1)+(((0.15*B2490*5))^1/1)+(((0.15*B2490*5))^2/2)+(((0.15*B2490*5))^3/6)+(((0.15*B2490*5))^4/24)+(((0.15*B2490*5))^5/120)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459">
      <c r="A2459">
        <f>Skills!A3</f>
        <v/>
      </c>
      <c r="B2459">
        <f>Skills!B3</f>
        <v/>
      </c>
      <c r="C2459">
        <f>Inputs!$B$3&gt;=50</f>
        <v/>
      </c>
      <c r="D2459">
        <f>IF(Skills!C3=1,60+Inputs!$B$25+Inputs!$B$29,IF(Skills!C3=2,90+Inputs!$B$26+Inputs!$B$29,IF(Skills!C3=3,120+Inputs!$B$27+Inputs!$B$29,MAX(0,(Inputs!$B$3-100)*3)+Inputs!$B$28+Inputs!$B$29)))</f>
        <v/>
      </c>
      <c r="E2459">
        <f>INDEX(FactorTable!$B$2:$Y$301, MATCH(ROUND(MIN(300,MAX(1,D2459)),0), FactorTable!$A$2:$A$301,0), Skills!M3+1)</f>
        <v/>
      </c>
      <c r="F2459">
        <f>IF(Skills!N3=TRUE,(Skills!L3/10)*(E2459/1000),Skills!L3/10)+Skills!O3</f>
        <v/>
      </c>
      <c r="G2459" t="inlineStr"/>
      <c r="H2459" t="inlineStr"/>
      <c r="I2459" t="inlineStr">
        <is>
          <t>1</t>
        </is>
      </c>
      <c r="J2459" t="inlineStr"/>
      <c r="K2459" t="inlineStr"/>
      <c r="L2459" t="inlineStr"/>
      <c r="M2459" t="inlineStr"/>
      <c r="N2459" t="inlineStr"/>
      <c r="O2459" t="inlineStr"/>
      <c r="P2459" t="inlineStr"/>
      <c r="Q2459" t="inlineStr"/>
      <c r="R2459" t="inlineStr"/>
      <c r="S2459" t="inlineStr"/>
      <c r="T2459" t="inlineStr"/>
      <c r="U2459">
        <f>INDEX(FactorTable!$B$2:$Y$301, MATCH(ROUND(MIN(300,MAX(1,U2458)),0), FactorTable!$A$2:$A$301,0), 22)</f>
        <v/>
      </c>
      <c r="V2459" t="inlineStr"/>
    </row>
    <row r="2460">
      <c r="A2460">
        <f>Skills!A4</f>
        <v/>
      </c>
      <c r="B2460">
        <f>Skills!B4</f>
        <v/>
      </c>
      <c r="C2460">
        <f>Inputs!$B$3&gt;=105</f>
        <v/>
      </c>
      <c r="D2460">
        <f>IF(Skills!C4=1,60+Inputs!$B$25+Inputs!$B$29,IF(Skills!C4=2,90+Inputs!$B$26+Inputs!$B$29,IF(Skills!C4=3,120+Inputs!$B$27+Inputs!$B$29,MAX(0,(Inputs!$B$3-100)*3)+Inputs!$B$28+Inputs!$B$29)))</f>
        <v/>
      </c>
      <c r="E2460">
        <f>INDEX(FactorTable!$B$2:$Y$301, MATCH(ROUND(MIN(300,MAX(1,D2460)),0), FactorTable!$A$2:$A$301,0), Skills!M4+1)</f>
        <v/>
      </c>
      <c r="F2460">
        <f>IF(Skills!N4=TRUE,(Skills!L4/10)*(E2460/1000),Skills!L4/10)+Skills!O4</f>
        <v/>
      </c>
      <c r="G2460" t="inlineStr"/>
      <c r="H2460" t="inlineStr"/>
      <c r="I2460" t="inlineStr">
        <is>
          <t>1</t>
        </is>
      </c>
      <c r="J2460" t="inlineStr"/>
      <c r="K2460" t="inlineStr"/>
      <c r="L2460" t="inlineStr"/>
      <c r="M2460" t="inlineStr"/>
      <c r="N2460" t="inlineStr"/>
      <c r="O2460" t="inlineStr"/>
      <c r="P2460" t="inlineStr"/>
      <c r="Q2460" t="inlineStr"/>
      <c r="R2460" t="inlineStr"/>
      <c r="S2460" t="inlineStr"/>
      <c r="T2460" t="inlineStr"/>
      <c r="U2460">
        <f>290*U2459/1000</f>
        <v/>
      </c>
      <c r="V2460" t="inlineStr"/>
    </row>
    <row r="2461">
      <c r="A2461">
        <f>Skills!A5</f>
        <v/>
      </c>
      <c r="B2461">
        <f>Skills!B5</f>
        <v/>
      </c>
      <c r="C2461">
        <f>Inputs!$B$3&gt;=35</f>
        <v/>
      </c>
      <c r="D2461">
        <f>IF(Skills!C5=1,60+Inputs!$B$25+Inputs!$B$29,IF(Skills!C5=2,90+Inputs!$B$26+Inputs!$B$29,IF(Skills!C5=3,120+Inputs!$B$27+Inputs!$B$29,MAX(0,(Inputs!$B$3-100)*3)+Inputs!$B$28+Inputs!$B$29)))</f>
        <v/>
      </c>
      <c r="E2461">
        <f>INDEX(FactorTable!$B$2:$Y$301, MATCH(ROUND(MIN(300,MAX(1,D2461)),0), FactorTable!$A$2:$A$301,0), Skills!M5+1)</f>
        <v/>
      </c>
      <c r="F2461">
        <f>IF(Skills!N5=TRUE,(Skills!L5/10)*(E2461/1000),Skills!L5/10)+Skills!O5</f>
        <v/>
      </c>
      <c r="G2461">
        <f>Skills!G5*IF(Skills!H5&gt;0,Skills!I5/Skills!H5,1)</f>
        <v/>
      </c>
      <c r="H2461">
        <f>1-(1-Skills!J5/100)^Skills!K5</f>
        <v/>
      </c>
      <c r="I2461" t="inlineStr">
        <is>
          <t>1</t>
        </is>
      </c>
      <c r="J2461">
        <f>((Inputs!$B$6*(1+Inputs!$B$7/100))+(((Inputs!$B$12*(1+Inputs!$B$13/100))-(Inputs!$B$12*(1+Inputs!$B$13/100)))+0.25*(Inputs!$B$14-Inputs!$B$14))*(1+Inputs!$B$7/100))*(F2461/100)</f>
        <v/>
      </c>
      <c r="K2461">
        <f>J2461*(1+((Inputs!$B$12*(1+Inputs!$B$13/100))*0.01+Inputs!$B$14*0.0025)/100)*(1+Inputs!$B$15/100)*(1+Inputs!$B$16/100)*(5000/(6000+Inputs!$B$42*(1-(100*(1-(1-(Inputs!$B$19+0)/100)*(1-CHOOSE(ArtifactsInput!$N$40+1,5,6,7,8,9,10)/100)^(ArtifactsInput!$M$40-ArtifactsInput!$M$40)))/100)))*(1+(Inputs!$B$24+((C2480=TRUE)*(F2480-Calc!F24))+((C2481=TRUE)*(F2481-Calc!F25))+B2494)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IF(ArtifactsInput!$M$34,FALSE,TRUE),1,-1)*IF(TRUE,MIN(CHOOSE(ArtifactsInput!$N$34+1,10,12,14,16,18,20),MAX(0,(CHOOSE(ArtifactsInput!$N$34+1,0.5,0.6,0.7,0.8,0.9,1)/3)*(Inputs!$B$11-60))),0)))/100)*(1+4.0*IF(C2464=TRUE,F2464,0)/100)*(1+(IF(Skills!A5="EMPOWERED_PIERCING_ARROW",Inputs!$B$17+((C2478=TRUE)*(F2478-Calc!F22))+(((IF(AND(ArtifactsInput!$M$42,((Inputs!$B$9+((C2475=TRUE)*(F2475-Calc!F19))+B2488+(ArtifactsInput!$M$24-ArtifactsInput!$M$24)*CHOOSE(ArtifactsInput!$N$24+1,10,12,14,16,18,20)+IF(ArtifactsInput!$M$10,CHOOSE(ArtifactsInput!$N$10+1,15,18,21,24,27,30)*(IF(Inputs!$B$38="pvp",MIN(15,15)/15,IF(AND(Inputs!$B$38&lt;&gt;"pvp",Inputs!$B$43&gt;0),MIN(15,Inputs!$B$43)/(Inputs!$B$43),0))),0)))&gt;=100),MIN(100,((Inputs!$B$9+((C2475=TRUE)*(F2475-Calc!F19))+B2488+(ArtifactsInput!$M$24-ArtifactsInput!$M$24)*CHOOSE(ArtifactsInput!$N$24+1,10,12,14,16,18,20)+IF(ArtifactsInput!$M$10,CHOOSE(ArtifactsInput!$N$10+1,15,18,21,24,27,30)*(IF(Inputs!$B$38="pvp",MIN(15,15)/15,IF(AND(Inputs!$B$38&lt;&gt;"pvp",Inputs!$B$43&gt;0),MIN(15,Inputs!$B$43)/(Inputs!$B$43),0))),0)))-100),0))*CHOOSE(ArtifactsInput!$N$42+1,0.6,0.72,0.84,0.96,1.08,1.2))),Inputs!$B$18+((C2483=TRUE)*(F2483-Calc!F27))+(IF(AND(ArtifactsInput!$M$42,((Inputs!$B$9+((C2475=TRUE)*(F2475-Calc!F19))+B2488+(ArtifactsInput!$M$24-ArtifactsInput!$M$24)*CHOOSE(ArtifactsInput!$N$24+1,10,12,14,16,18,20)+IF(ArtifactsInput!$M$10,CHOOSE(ArtifactsInput!$N$10+1,15,18,21,24,27,30)*(IF(Inputs!$B$38="pvp",MIN(15,15)/15,IF(AND(Inputs!$B$38&lt;&gt;"pvp",Inputs!$B$43&gt;0),MIN(15,Inputs!$B$43)/(Inputs!$B$43),0))),0)))&gt;=100),CHOOSE(ArtifactsInput!$N$42+1,40,48,56,64,72,80),0))))/100)*((1+(((C2469=TRUE)*F2469)+((C2470=TRUE)*IF(Inputs!$B$38="pvp",F2470,(1-Summary!$B$11)*(F2470)+Summary!$B$11*(0)))+((C2471=TRUE)*F2471*IF(AND(Inputs!$B$38&lt;&gt;"pvp",Inputs!$B$43&gt;0),(((R2471-1)*(Skills!T15*(1+Inputs!$B$34/100))+MIN((Skills!T15*(1+Inputs!$B$34/100)),MAX(0,Inputs!$B$43-((R2471-1)*Skills!D15))))/Inputs!$B$43),IF(Inputs!$B$38="pvp",MIN((Skills!T15*(1+Inputs!$B$34/100)),15)/15,(Skills!T15*(1+Inputs!$B$34/100))/Skills!D15)))+((C2468=TRUE)*F2468)+((C2485=TRUE)*(F2485-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IF(ArtifactsInput!$M$34,FALSE,TRUE),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2461)</f>
        <v/>
      </c>
      <c r="L2461">
        <f>K2461*(MIN(Inputs!$B$22+((C2479=TRUE)*(F2479-Calc!F23)),(Inputs!$B$23+((C2484=TRUE)*(F2484-Calc!F28))+(IF(ArtifactsInput!$M$15,CHOOSE(ArtifactsInput!$N$15+1,25,30,35,40,45,50)/100*(Inputs!$B$11-Inputs!$B$11),0))))/100+(Inputs!$B$23+((C2484=TRUE)*(F2484-Calc!F28))+(IF(ArtifactsInput!$M$15,CHOOSE(ArtifactsInput!$N$15+1,25,30,35,40,45,50)/100*(Inputs!$B$11-Inputs!$B$11),0)))/100)/2</f>
        <v/>
      </c>
      <c r="M2461">
        <f>L2461*(1+(Inputs!$B$10+0+B2493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461">
        <f>L2461*(1-MIN((Inputs!$B$9+((C2475=TRUE)*(F2475-Calc!F19))+B2488+(ArtifactsInput!$M$24-ArtifactsInput!$M$24)*CHOOSE(ArtifactsInput!$N$24+1,10,12,14,16,18,20)+(IF(AND(ArtifactsInput!$M$42,((Inputs!$B$9+((C2475=TRUE)*(F2475-Calc!F19))+B2488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2461*(MIN((Inputs!$B$9+((C2475=TRUE)*(F2475-Calc!F19))+B2488+(ArtifactsInput!$M$24-ArtifactsInput!$M$24)*CHOOSE(ArtifactsInput!$N$24+1,10,12,14,16,18,20)+(IF(AND(ArtifactsInput!$M$42,((Inputs!$B$9+((C2475=TRUE)*(F2475-Calc!F19))+B2488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461">
        <f>(1-Summary!$B$11)*T2461+Summary!$B$11*V2461</f>
        <v/>
      </c>
      <c r="P2461">
        <f>IF(B2498=0,0,O2461/B2498)</f>
        <v/>
      </c>
      <c r="Q2461">
        <f>IFERROR(1/IF(Inputs!$B$38="pvp",15,MAX(0.1,Skills!D5-IF(Skills!E5=TRUE,Inputs!$B$32,0))),0)</f>
        <v/>
      </c>
      <c r="R2461">
        <f>IF(AND(Inputs!$B$38&lt;&gt;"pvp",Inputs!$B$43&gt;0),IF(MAX(0,Inputs!$B$43-B2495)&lt;=0,0,(INT(MAX(0,Inputs!$B$43-B2495)/IF(Inputs!$B$38="pvp",15,MAX(0.1,Skills!D5-IF(Skills!E5=TRUE,Inputs!$B$32,0))))+1)),0)</f>
        <v/>
      </c>
      <c r="S2461">
        <f>IFERROR((H2461*N2461*IF(AND(Inputs!$B$38&lt;&gt;"pvp",Inputs!$B$43&gt;0),((Skills!G5*((R2461-1)*IF(Skills!H5&gt;0,Skills!I5/Skills!H5,1)+IF(Skills!H5&gt;0,MIN(Skills!I5,MAX(0,MAX(0,Inputs!$B$43-B2495)-((R2461-1)*IF(Inputs!$B$38="pvp",15,MAX(0.1,Skills!D5-IF(Skills!E5=TRUE,Inputs!$B$32,0))))))/Skills!H5,1)))/Inputs!$B$43),G2461*Q2461))/N2461*IF(Inputs!$B$38="pvp",1,(1-Summary!$B$11)*1+Summary!$B$11*(MIN(Skills!R5,Inputs!$B$37))),0)</f>
        <v/>
      </c>
      <c r="T2461">
        <f>IF(C2461,(H2461*N2461*IF(AND(Inputs!$B$38&lt;&gt;"pvp",Inputs!$B$43&gt;0),((Skills!G5*((R2461-1)*IF(Skills!H5&gt;0,Skills!I5/Skills!H5,1)+IF(Skills!H5&gt;0,MIN(Skills!I5,MAX(0,MAX(0,Inputs!$B$43-B2495)-((R2461-1)*IF(Inputs!$B$38="pvp",15,MAX(0.1,Skills!D5-IF(Skills!E5=TRUE,Inputs!$B$32,0))))))/Skills!H5,1)))/Inputs!$B$43),G2461*Q2461))*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Hunt"),CHOOSE(ArtifactsInput!$N$35+1,15,18,21,24,27,30)*(1-EXP(-(0.2*B2490)*5)),0)+IF(AND(ArtifactsInput!$M$22,Inputs!$B$4&lt;&gt;"Chapter Hunt"),CHOOSE(ArtifactsInput!$N$22+1,10,12,14,16,18,20)*((0*(((0.15*B2490*5))^0/1)+1*(((0.15*B2490*5))^1/1)+2*(((0.15*B2490*5))^2/2)+3*(((0.15*B2490*5))^3/6)+4*(((0.15*B2490*5))^4/24)+5*(((0.15*B2490*5))^5/120))/((((0.15*B2490*5))^0/1)+(((0.15*B2490*5))^1/1)+(((0.15*B2490*5))^2/2)+(((0.15*B2490*5))^3/6)+(((0.15*B2490*5))^4/24)+(((0.15*B2490*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2461*(1-MIN(100,(Inputs!$B$9+((C2475=TRUE)*(F2475-Calc!F19))+B2488+(ArtifactsInput!$M$24-ArtifactsInput!$M$24)*CHOOSE(ArtifactsInput!$N$24+1,10,12,14,16,18,20)+(IF(AND(ArtifactsInput!$M$42,((Inputs!$B$9+((C2475=TRUE)*(F2475-Calc!F19))+B2488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2461*(MIN(100,(Inputs!$B$9+((C2475=TRUE)*(F2475-Calc!F19))+B2488+(ArtifactsInput!$M$24-ArtifactsInput!$M$24)*CHOOSE(ArtifactsInput!$N$24+1,10,12,14,16,18,20)+(IF(AND(ArtifactsInput!$M$42,((Inputs!$B$9+((C2475=TRUE)*(F2475-Calc!F19))+B2488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2461*(1-MIN(100,(Inputs!$B$9+((C2475=TRUE)*(F2475-Calc!F19))+B2488+(ArtifactsInput!$M$24-ArtifactsInput!$M$24)*CHOOSE(ArtifactsInput!$N$24+1,10,12,14,16,18,20)+(IF(AND(ArtifactsInput!$M$42,((Inputs!$B$9+((C2475=TRUE)*(F2475-Calc!F19))+B2488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2461*(MIN(100,(Inputs!$B$9+((C2475=TRUE)*(F2475-Calc!F19))+B2488+(ArtifactsInput!$M$24-ArtifactsInput!$M$24)*CHOOSE(ArtifactsInput!$N$24+1,10,12,14,16,18,20)+(IF(AND(ArtifactsInput!$M$42,((Inputs!$B$9+((C2475=TRUE)*(F2475-Calc!F19))+B2488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461">
        <f>IF(C2461,(H2461*N2461*IF(AND(Inputs!$B$38&lt;&gt;"pvp",Inputs!$B$43&gt;0),((Skills!G5*((R2461-1)*IF(Skills!H5&gt;0,Skills!I5/Skills!H5,1)+IF(Skills!H5&gt;0,MIN(Skills!I5,MAX(0,MAX(0,Inputs!$B$43-B2495)-((R2461-1)*IF(Inputs!$B$38="pvp",15,MAX(0.1,Skills!D5-IF(Skills!E5=TRUE,Inputs!$B$32,0))))))/Skills!H5,1)))/Inputs!$B$43),G2461*Q2461))*IF(Inputs!$B$38="pvp",1,(1+(Inputs!$B$21+Skills!Q5+(IF(ArtifactsInput!$M$33,CHOOSE(ArtifactsInput!$N$33+1,30,36,42,48,54,60),0))+(IF(AND(ArtifactsInput!$M$35,Inputs!$B$4&lt;&gt;"Chapter Hunt"),CHOOSE(ArtifactsInput!$N$35+1,15,18,21,24,27,30)*(1-EXP(-(0.2*B2490)*5)),0)+IF(AND(ArtifactsInput!$M$22,Inputs!$B$4&lt;&gt;"Chapter Hunt"),CHOOSE(ArtifactsInput!$N$22+1,10,12,14,16,18,20)*((0*(((0.15*B2490*5))^0/1)+1*(((0.15*B2490*5))^1/1)+2*(((0.15*B2490*5))^2/2)+3*(((0.15*B2490*5))^3/6)+4*(((0.15*B2490*5))^4/24)+5*(((0.15*B2490*5))^5/120))/((((0.15*B2490*5))^0/1)+(((0.15*B2490*5))^1/1)+(((0.15*B2490*5))^2/2)+(((0.15*B2490*5))^3/6)+(((0.15*B2490*5))^4/24)+(((0.15*B2490*5))^5/120)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462">
      <c r="A2462">
        <f>Skills!A6</f>
        <v/>
      </c>
      <c r="B2462">
        <f>Skills!B6</f>
        <v/>
      </c>
      <c r="C2462">
        <f>Inputs!$B$3&gt;=63</f>
        <v/>
      </c>
      <c r="D2462">
        <f>IF(Skills!C6=1,60+Inputs!$B$25+Inputs!$B$29,IF(Skills!C6=2,90+Inputs!$B$26+Inputs!$B$29,IF(Skills!C6=3,120+Inputs!$B$27+Inputs!$B$29,MAX(0,(Inputs!$B$3-100)*3)+Inputs!$B$28+Inputs!$B$29)))</f>
        <v/>
      </c>
      <c r="E2462">
        <f>INDEX(FactorTable!$B$2:$Y$301, MATCH(ROUND(MIN(300,MAX(1,D2462)),0), FactorTable!$A$2:$A$301,0), Skills!M6+1)</f>
        <v/>
      </c>
      <c r="F2462">
        <f>IF(Skills!N6=TRUE,(Skills!L6/10)*(E2462/1000),Skills!L6/10)+Skills!O6</f>
        <v/>
      </c>
      <c r="G2462">
        <f>Skills!G6*IF(Skills!H6&gt;0,Skills!I6/Skills!H6,1)</f>
        <v/>
      </c>
      <c r="H2462">
        <f>1-(1-Skills!J6/100)^Skills!K6</f>
        <v/>
      </c>
      <c r="I2462" t="inlineStr">
        <is>
          <t>1</t>
        </is>
      </c>
      <c r="J2462">
        <f>((Inputs!$B$6*(1+Inputs!$B$7/100))+(((Inputs!$B$12*(1+Inputs!$B$13/100))-(Inputs!$B$12*(1+Inputs!$B$13/100)))+0.25*(Inputs!$B$14-Inputs!$B$14))*(1+Inputs!$B$7/100))*(F2462/100)</f>
        <v/>
      </c>
      <c r="K2462">
        <f>J2462*(1+((Inputs!$B$12*(1+Inputs!$B$13/100))*0.01+Inputs!$B$14*0.0025)/100)*(1+Inputs!$B$15/100)*(1+Inputs!$B$16/100)*(5000/(6000+Inputs!$B$42*(1-(100*(1-(1-(Inputs!$B$19+0)/100)*(1-CHOOSE(ArtifactsInput!$N$40+1,5,6,7,8,9,10)/100)^(ArtifactsInput!$M$40-ArtifactsInput!$M$40)))/100)))*(1+(Inputs!$B$24+((C2480=TRUE)*(F2480-Calc!F24))+((C2481=TRUE)*(F2481-Calc!F25))+B2494)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IF(ArtifactsInput!$M$34,FALSE,TRUE),1,-1)*IF(TRUE,MIN(CHOOSE(ArtifactsInput!$N$34+1,10,12,14,16,18,20),MAX(0,(CHOOSE(ArtifactsInput!$N$34+1,0.5,0.6,0.7,0.8,0.9,1)/3)*(Inputs!$B$11-60))),0)))/100)*(1+1.0*IF(C2464=TRUE,F2464,0)/100)*(1+(IF(Skills!A6="EMPOWERED_PIERCING_ARROW",Inputs!$B$17+((C2478=TRUE)*(F2478-Calc!F22))+(((IF(AND(ArtifactsInput!$M$42,((Inputs!$B$9+((C2475=TRUE)*(F2475-Calc!F19))+B2488+(ArtifactsInput!$M$24-ArtifactsInput!$M$24)*CHOOSE(ArtifactsInput!$N$24+1,10,12,14,16,18,20)+IF(ArtifactsInput!$M$10,CHOOSE(ArtifactsInput!$N$10+1,15,18,21,24,27,30)*(IF(Inputs!$B$38="pvp",MIN(15,15)/15,IF(AND(Inputs!$B$38&lt;&gt;"pvp",Inputs!$B$43&gt;0),MIN(15,Inputs!$B$43)/(Inputs!$B$43),0))),0)))&gt;=100),MIN(100,((Inputs!$B$9+((C2475=TRUE)*(F2475-Calc!F19))+B2488+(ArtifactsInput!$M$24-ArtifactsInput!$M$24)*CHOOSE(ArtifactsInput!$N$24+1,10,12,14,16,18,20)+IF(ArtifactsInput!$M$10,CHOOSE(ArtifactsInput!$N$10+1,15,18,21,24,27,30)*(IF(Inputs!$B$38="pvp",MIN(15,15)/15,IF(AND(Inputs!$B$38&lt;&gt;"pvp",Inputs!$B$43&gt;0),MIN(15,Inputs!$B$43)/(Inputs!$B$43),0))),0)))-100),0))*CHOOSE(ArtifactsInput!$N$42+1,0.6,0.72,0.84,0.96,1.08,1.2))),Inputs!$B$18+((C2483=TRUE)*(F2483-Calc!F27))+(IF(AND(ArtifactsInput!$M$42,((Inputs!$B$9+((C2475=TRUE)*(F2475-Calc!F19))+B2488+(ArtifactsInput!$M$24-ArtifactsInput!$M$24)*CHOOSE(ArtifactsInput!$N$24+1,10,12,14,16,18,20)+IF(ArtifactsInput!$M$10,CHOOSE(ArtifactsInput!$N$10+1,15,18,21,24,27,30)*(IF(Inputs!$B$38="pvp",MIN(15,15)/15,IF(AND(Inputs!$B$38&lt;&gt;"pvp",Inputs!$B$43&gt;0),MIN(15,Inputs!$B$43)/(Inputs!$B$43),0))),0)))&gt;=100),CHOOSE(ArtifactsInput!$N$42+1,40,48,56,64,72,80),0))))/100)*((1+(((C2469=TRUE)*F2469)+((C2470=TRUE)*IF(Inputs!$B$38="pvp",F2470,(1-Summary!$B$11)*(F2470)+Summary!$B$11*(0)))+((C2471=TRUE)*F2471*IF(AND(Inputs!$B$38&lt;&gt;"pvp",Inputs!$B$43&gt;0),(((R2471-1)*(Skills!T15*(1+Inputs!$B$34/100))+MIN((Skills!T15*(1+Inputs!$B$34/100)),MAX(0,Inputs!$B$43-((R2471-1)*Skills!D15))))/Inputs!$B$43),IF(Inputs!$B$38="pvp",MIN((Skills!T15*(1+Inputs!$B$34/100)),15)/15,(Skills!T15*(1+Inputs!$B$34/100))/Skills!D15)))+((C2468=TRUE)*F2468)+((C2485=TRUE)*(F2485-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IF(ArtifactsInput!$M$34,FALSE,TRUE),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2462)</f>
        <v/>
      </c>
      <c r="L2462">
        <f>K2462*(MIN(Inputs!$B$22+((C2479=TRUE)*(F2479-Calc!F23)),(Inputs!$B$23+((C2484=TRUE)*(F2484-Calc!F28))+(IF(ArtifactsInput!$M$15,CHOOSE(ArtifactsInput!$N$15+1,25,30,35,40,45,50)/100*(Inputs!$B$11-Inputs!$B$11),0))))/100+(Inputs!$B$23+((C2484=TRUE)*(F2484-Calc!F28))+(IF(ArtifactsInput!$M$15,CHOOSE(ArtifactsInput!$N$15+1,25,30,35,40,45,50)/100*(Inputs!$B$11-Inputs!$B$11),0)))/100)/2</f>
        <v/>
      </c>
      <c r="M2462">
        <f>L2462*(1+(Inputs!$B$10+0+B2493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462">
        <f>L2462*(1-MIN((Inputs!$B$9+((C2475=TRUE)*(F2475-Calc!F19))+B2488+(ArtifactsInput!$M$24-ArtifactsInput!$M$24)*CHOOSE(ArtifactsInput!$N$24+1,10,12,14,16,18,20)+(IF(AND(ArtifactsInput!$M$42,((Inputs!$B$9+((C2475=TRUE)*(F2475-Calc!F19))+B2488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2462*(MIN((Inputs!$B$9+((C2475=TRUE)*(F2475-Calc!F19))+B2488+(ArtifactsInput!$M$24-ArtifactsInput!$M$24)*CHOOSE(ArtifactsInput!$N$24+1,10,12,14,16,18,20)+(IF(AND(ArtifactsInput!$M$42,((Inputs!$B$9+((C2475=TRUE)*(F2475-Calc!F19))+B2488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462">
        <f>(1-Summary!$B$11)*T2462+Summary!$B$11*V2462</f>
        <v/>
      </c>
      <c r="P2462">
        <f>IF(B2498=0,0,O2462/B2498)</f>
        <v/>
      </c>
      <c r="Q2462">
        <f>IFERROR(1/IF(Inputs!$B$38="pvp",15,MAX(0.1,Skills!D6-IF(Skills!E6=TRUE,Inputs!$B$32,0))),0)</f>
        <v/>
      </c>
      <c r="R2462">
        <f>IF(AND(Inputs!$B$38&lt;&gt;"pvp",Inputs!$B$43&gt;0),IF(MAX(0,Inputs!$B$43-B2495)&lt;=0,0,(INT(MAX(0,Inputs!$B$43-B2495)/IF(Inputs!$B$38="pvp",15,MAX(0.1,Skills!D6-IF(Skills!E6=TRUE,Inputs!$B$32,0))))+1)),0)</f>
        <v/>
      </c>
      <c r="S2462">
        <f>IFERROR((H2462*N2462*IF(AND(Inputs!$B$38&lt;&gt;"pvp",Inputs!$B$43&gt;0),((Skills!G6*((R2462-1)*IF(Skills!H6&gt;0,Skills!I6/Skills!H6,1)+IF(Skills!H6&gt;0,MIN(Skills!I6,MAX(0,MAX(0,Inputs!$B$43-B2495)-((R2462-1)*IF(Inputs!$B$38="pvp",15,MAX(0.1,Skills!D6-IF(Skills!E6=TRUE,Inputs!$B$32,0))))))/Skills!H6,1)))/Inputs!$B$43),G2462*Q2462))/N2462*IF(Inputs!$B$38="pvp",1,(1-Summary!$B$11)*1+Summary!$B$11*(MIN(Skills!R6,Inputs!$B$37))),0)</f>
        <v/>
      </c>
      <c r="T2462">
        <f>IF(C2462,(H2462*N2462*IF(AND(Inputs!$B$38&lt;&gt;"pvp",Inputs!$B$43&gt;0),((Skills!G6*((R2462-1)*IF(Skills!H6&gt;0,Skills!I6/Skills!H6,1)+IF(Skills!H6&gt;0,MIN(Skills!I6,MAX(0,MAX(0,Inputs!$B$43-B2495)-((R2462-1)*IF(Inputs!$B$38="pvp",15,MAX(0.1,Skills!D6-IF(Skills!E6=TRUE,Inputs!$B$32,0))))))/Skills!H6,1)))/Inputs!$B$43),G2462*Q2462))*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Hunt"),CHOOSE(ArtifactsInput!$N$35+1,15,18,21,24,27,30)*(1-EXP(-(0.2*B2490)*5)),0)+IF(AND(ArtifactsInput!$M$22,Inputs!$B$4&lt;&gt;"Chapter Hunt"),CHOOSE(ArtifactsInput!$N$22+1,10,12,14,16,18,20)*((0*(((0.15*B2490*5))^0/1)+1*(((0.15*B2490*5))^1/1)+2*(((0.15*B2490*5))^2/2)+3*(((0.15*B2490*5))^3/6)+4*(((0.15*B2490*5))^4/24)+5*(((0.15*B2490*5))^5/120))/((((0.15*B2490*5))^0/1)+(((0.15*B2490*5))^1/1)+(((0.15*B2490*5))^2/2)+(((0.15*B2490*5))^3/6)+(((0.15*B2490*5))^4/24)+(((0.15*B2490*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2462*(1-MIN(100,(Inputs!$B$9+((C2475=TRUE)*(F2475-Calc!F19))+B2488+(ArtifactsInput!$M$24-ArtifactsInput!$M$24)*CHOOSE(ArtifactsInput!$N$24+1,10,12,14,16,18,20)+(IF(AND(ArtifactsInput!$M$42,((Inputs!$B$9+((C2475=TRUE)*(F2475-Calc!F19))+B2488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2462*(MIN(100,(Inputs!$B$9+((C2475=TRUE)*(F2475-Calc!F19))+B2488+(ArtifactsInput!$M$24-ArtifactsInput!$M$24)*CHOOSE(ArtifactsInput!$N$24+1,10,12,14,16,18,20)+(IF(AND(ArtifactsInput!$M$42,((Inputs!$B$9+((C2475=TRUE)*(F2475-Calc!F19))+B2488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2462*(1-MIN(100,(Inputs!$B$9+((C2475=TRUE)*(F2475-Calc!F19))+B2488+(ArtifactsInput!$M$24-ArtifactsInput!$M$24)*CHOOSE(ArtifactsInput!$N$24+1,10,12,14,16,18,20)+(IF(AND(ArtifactsInput!$M$42,((Inputs!$B$9+((C2475=TRUE)*(F2475-Calc!F19))+B2488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2462*(MIN(100,(Inputs!$B$9+((C2475=TRUE)*(F2475-Calc!F19))+B2488+(ArtifactsInput!$M$24-ArtifactsInput!$M$24)*CHOOSE(ArtifactsInput!$N$24+1,10,12,14,16,18,20)+(IF(AND(ArtifactsInput!$M$42,((Inputs!$B$9+((C2475=TRUE)*(F2475-Calc!F19))+B2488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462">
        <f>IF(C2462,(H2462*N2462*IF(AND(Inputs!$B$38&lt;&gt;"pvp",Inputs!$B$43&gt;0),((Skills!G6*((R2462-1)*IF(Skills!H6&gt;0,Skills!I6/Skills!H6,1)+IF(Skills!H6&gt;0,MIN(Skills!I6,MAX(0,MAX(0,Inputs!$B$43-B2495)-((R2462-1)*IF(Inputs!$B$38="pvp",15,MAX(0.1,Skills!D6-IF(Skills!E6=TRUE,Inputs!$B$32,0))))))/Skills!H6,1)))/Inputs!$B$43),G2462*Q2462))*IF(Inputs!$B$38="pvp",1,(1+(Inputs!$B$21+Skills!Q6+(IF(ArtifactsInput!$M$33,CHOOSE(ArtifactsInput!$N$33+1,30,36,42,48,54,60),0))+(IF(AND(ArtifactsInput!$M$35,Inputs!$B$4&lt;&gt;"Chapter Hunt"),CHOOSE(ArtifactsInput!$N$35+1,15,18,21,24,27,30)*(1-EXP(-(0.2*B2490)*5)),0)+IF(AND(ArtifactsInput!$M$22,Inputs!$B$4&lt;&gt;"Chapter Hunt"),CHOOSE(ArtifactsInput!$N$22+1,10,12,14,16,18,20)*((0*(((0.15*B2490*5))^0/1)+1*(((0.15*B2490*5))^1/1)+2*(((0.15*B2490*5))^2/2)+3*(((0.15*B2490*5))^3/6)+4*(((0.15*B2490*5))^4/24)+5*(((0.15*B2490*5))^5/120))/((((0.15*B2490*5))^0/1)+(((0.15*B2490*5))^1/1)+(((0.15*B2490*5))^2/2)+(((0.15*B2490*5))^3/6)+(((0.15*B2490*5))^4/24)+(((0.15*B2490*5))^5/120))),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463">
      <c r="A2463">
        <f>Skills!A7</f>
        <v/>
      </c>
      <c r="B2463">
        <f>Skills!B7</f>
        <v/>
      </c>
      <c r="C2463">
        <f>Inputs!$B$3&gt;=69</f>
        <v/>
      </c>
      <c r="D2463">
        <f>IF(Skills!C7=1,60+Inputs!$B$25+Inputs!$B$29,IF(Skills!C7=2,90+Inputs!$B$26+Inputs!$B$29,IF(Skills!C7=3,120+Inputs!$B$27+Inputs!$B$29,MAX(0,(Inputs!$B$3-100)*3)+Inputs!$B$28+Inputs!$B$29)))</f>
        <v/>
      </c>
      <c r="E2463">
        <f>INDEX(FactorTable!$B$2:$Y$301, MATCH(ROUND(MIN(300,MAX(1,D2463)),0), FactorTable!$A$2:$A$301,0), Skills!M7+1)</f>
        <v/>
      </c>
      <c r="F2463">
        <f>IF(Skills!N7=TRUE,(Skills!L7/10)*(E2463/1000),Skills!L7/10)+Skills!O7</f>
        <v/>
      </c>
      <c r="G2463">
        <f>Skills!G7*IF(Skills!H7&gt;0,Skills!I7/Skills!H7,1)</f>
        <v/>
      </c>
      <c r="H2463">
        <f>1-(1-Skills!J7/100)^Skills!K7</f>
        <v/>
      </c>
      <c r="I2463" t="inlineStr">
        <is>
          <t>1</t>
        </is>
      </c>
      <c r="J2463">
        <f>((Inputs!$B$6*(1+Inputs!$B$7/100))+(((Inputs!$B$12*(1+Inputs!$B$13/100))-(Inputs!$B$12*(1+Inputs!$B$13/100)))+0.25*(Inputs!$B$14-Inputs!$B$14))*(1+Inputs!$B$7/100))*(F2463/100)</f>
        <v/>
      </c>
      <c r="K2463">
        <f>J2463*(1+((Inputs!$B$12*(1+Inputs!$B$13/100))*0.01+Inputs!$B$14*0.0025)/100)*(1+Inputs!$B$15/100)*(1+Inputs!$B$16/100)*(5000/(6000+Inputs!$B$42*(1-(100*(1-(1-(Inputs!$B$19+0)/100)*(1-CHOOSE(ArtifactsInput!$N$40+1,5,6,7,8,9,10)/100)^(ArtifactsInput!$M$40-ArtifactsInput!$M$40)))/100)))*(1+(Inputs!$B$24+((C2480=TRUE)*(F2480-Calc!F24))+((C2481=TRUE)*(F2481-Calc!F25))+B2494)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IF(ArtifactsInput!$M$34,FALSE,TRUE),1,-1)*IF(TRUE,MIN(CHOOSE(ArtifactsInput!$N$34+1,10,12,14,16,18,20),MAX(0,(CHOOSE(ArtifactsInput!$N$34+1,0.5,0.6,0.7,0.8,0.9,1)/3)*(Inputs!$B$11-60))),0)))/100)*(1+1.2*IF(C2464=TRUE,F2464,0)/100)*(1+(IF(Skills!A7="EMPOWERED_PIERCING_ARROW",Inputs!$B$17+((C2478=TRUE)*(F2478-Calc!F22))+(((IF(AND(ArtifactsInput!$M$42,((Inputs!$B$9+((C2475=TRUE)*(F2475-Calc!F19))+B2488+(ArtifactsInput!$M$24-ArtifactsInput!$M$24)*CHOOSE(ArtifactsInput!$N$24+1,10,12,14,16,18,20)+IF(ArtifactsInput!$M$10,CHOOSE(ArtifactsInput!$N$10+1,15,18,21,24,27,30)*(IF(Inputs!$B$38="pvp",MIN(15,15)/15,IF(AND(Inputs!$B$38&lt;&gt;"pvp",Inputs!$B$43&gt;0),MIN(15,Inputs!$B$43)/(Inputs!$B$43),0))),0)))&gt;=100),MIN(100,((Inputs!$B$9+((C2475=TRUE)*(F2475-Calc!F19))+B2488+(ArtifactsInput!$M$24-ArtifactsInput!$M$24)*CHOOSE(ArtifactsInput!$N$24+1,10,12,14,16,18,20)+IF(ArtifactsInput!$M$10,CHOOSE(ArtifactsInput!$N$10+1,15,18,21,24,27,30)*(IF(Inputs!$B$38="pvp",MIN(15,15)/15,IF(AND(Inputs!$B$38&lt;&gt;"pvp",Inputs!$B$43&gt;0),MIN(15,Inputs!$B$43)/(Inputs!$B$43),0))),0)))-100),0))*CHOOSE(ArtifactsInput!$N$42+1,0.6,0.72,0.84,0.96,1.08,1.2))),Inputs!$B$18+((C2483=TRUE)*(F2483-Calc!F27))+(IF(AND(ArtifactsInput!$M$42,((Inputs!$B$9+((C2475=TRUE)*(F2475-Calc!F19))+B2488+(ArtifactsInput!$M$24-ArtifactsInput!$M$24)*CHOOSE(ArtifactsInput!$N$24+1,10,12,14,16,18,20)+IF(ArtifactsInput!$M$10,CHOOSE(ArtifactsInput!$N$10+1,15,18,21,24,27,30)*(IF(Inputs!$B$38="pvp",MIN(15,15)/15,IF(AND(Inputs!$B$38&lt;&gt;"pvp",Inputs!$B$43&gt;0),MIN(15,Inputs!$B$43)/(Inputs!$B$43),0))),0)))&gt;=100),CHOOSE(ArtifactsInput!$N$42+1,40,48,56,64,72,80),0))))/100)*((1+(((C2469=TRUE)*F2469)+((C2470=TRUE)*IF(Inputs!$B$38="pvp",F2470,(1-Summary!$B$11)*(F2470)+Summary!$B$11*(0)))+((C2471=TRUE)*F2471*IF(AND(Inputs!$B$38&lt;&gt;"pvp",Inputs!$B$43&gt;0),(((R2471-1)*(Skills!T15*(1+Inputs!$B$34/100))+MIN((Skills!T15*(1+Inputs!$B$34/100)),MAX(0,Inputs!$B$43-((R2471-1)*Skills!D15))))/Inputs!$B$43),IF(Inputs!$B$38="pvp",MIN((Skills!T15*(1+Inputs!$B$34/100)),15)/15,(Skills!T15*(1+Inputs!$B$34/100))/Skills!D15)))+((C2468=TRUE)*F2468)+((C2485=TRUE)*(F2485-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IF(ArtifactsInput!$M$34,FALSE,TRUE),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2463)</f>
        <v/>
      </c>
      <c r="L2463">
        <f>K2463*(MIN(Inputs!$B$22+((C2479=TRUE)*(F2479-Calc!F23)),(Inputs!$B$23+((C2484=TRUE)*(F2484-Calc!F28))+(IF(ArtifactsInput!$M$15,CHOOSE(ArtifactsInput!$N$15+1,25,30,35,40,45,50)/100*(Inputs!$B$11-Inputs!$B$11),0))))/100+(Inputs!$B$23+((C2484=TRUE)*(F2484-Calc!F28))+(IF(ArtifactsInput!$M$15,CHOOSE(ArtifactsInput!$N$15+1,25,30,35,40,45,50)/100*(Inputs!$B$11-Inputs!$B$11),0)))/100)/2</f>
        <v/>
      </c>
      <c r="M2463">
        <f>L2463*(1+(Inputs!$B$10+0+B2493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463">
        <f>L2463*(1-MIN((Inputs!$B$9+((C2475=TRUE)*(F2475-Calc!F19))+B2488+(ArtifactsInput!$M$24-ArtifactsInput!$M$24)*CHOOSE(ArtifactsInput!$N$24+1,10,12,14,16,18,20)+(IF(AND(ArtifactsInput!$M$42,((Inputs!$B$9+((C2475=TRUE)*(F2475-Calc!F19))+B2488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2463*(MIN((Inputs!$B$9+((C2475=TRUE)*(F2475-Calc!F19))+B2488+(ArtifactsInput!$M$24-ArtifactsInput!$M$24)*CHOOSE(ArtifactsInput!$N$24+1,10,12,14,16,18,20)+(IF(AND(ArtifactsInput!$M$42,((Inputs!$B$9+((C2475=TRUE)*(F2475-Calc!F19))+B2488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463">
        <f>(1-Summary!$B$11)*T2463+Summary!$B$11*V2463</f>
        <v/>
      </c>
      <c r="P2463">
        <f>IF(B2498=0,0,O2463/B2498)</f>
        <v/>
      </c>
      <c r="Q2463">
        <f>IFERROR(1/IF(Inputs!$B$38="pvp",15,MAX(0.1,Skills!D7-IF(Skills!E7=TRUE,Inputs!$B$32,0))),0)</f>
        <v/>
      </c>
      <c r="R2463">
        <f>IF(AND(Inputs!$B$38&lt;&gt;"pvp",Inputs!$B$43&gt;0),IF(MAX(0,Inputs!$B$43-B2495)&lt;=0,0,(INT(MAX(0,Inputs!$B$43-B2495)/IF(Inputs!$B$38="pvp",15,MAX(0.1,Skills!D7-IF(Skills!E7=TRUE,Inputs!$B$32,0))))+1)),0)</f>
        <v/>
      </c>
      <c r="S2463">
        <f>IFERROR((H2463*N2463*IF(AND(Inputs!$B$38&lt;&gt;"pvp",Inputs!$B$43&gt;0),((Skills!G7*((R2463-1)*IF(Skills!H7&gt;0,Skills!I7/Skills!H7,1)+IF(Skills!H7&gt;0,MIN(Skills!I7,MAX(0,MAX(0,Inputs!$B$43-B2495)-((R2463-1)*IF(Inputs!$B$38="pvp",15,MAX(0.1,Skills!D7-IF(Skills!E7=TRUE,Inputs!$B$32,0))))))/Skills!H7,1)))/Inputs!$B$43),G2463*Q2463))/N2463*IF(Inputs!$B$38="pvp",1,(1-Summary!$B$11)*1+Summary!$B$11*(MIN(Skills!R7,Inputs!$B$37))),0)</f>
        <v/>
      </c>
      <c r="T2463">
        <f>IF(C2463,(H2463*N2463*IF(AND(Inputs!$B$38&lt;&gt;"pvp",Inputs!$B$43&gt;0),((Skills!G7*((R2463-1)*IF(Skills!H7&gt;0,Skills!I7/Skills!H7,1)+IF(Skills!H7&gt;0,MIN(Skills!I7,MAX(0,MAX(0,Inputs!$B$43-B2495)-((R2463-1)*IF(Inputs!$B$38="pvp",15,MAX(0.1,Skills!D7-IF(Skills!E7=TRUE,Inputs!$B$32,0))))))/Skills!H7,1)))/Inputs!$B$43),G2463*Q2463))*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Hunt"),CHOOSE(ArtifactsInput!$N$35+1,15,18,21,24,27,30)*(1-EXP(-(0.2*B2490)*5)),0)+IF(AND(ArtifactsInput!$M$22,Inputs!$B$4&lt;&gt;"Chapter Hunt"),CHOOSE(ArtifactsInput!$N$22+1,10,12,14,16,18,20)*((0*(((0.15*B2490*5))^0/1)+1*(((0.15*B2490*5))^1/1)+2*(((0.15*B2490*5))^2/2)+3*(((0.15*B2490*5))^3/6)+4*(((0.15*B2490*5))^4/24)+5*(((0.15*B2490*5))^5/120))/((((0.15*B2490*5))^0/1)+(((0.15*B2490*5))^1/1)+(((0.15*B2490*5))^2/2)+(((0.15*B2490*5))^3/6)+(((0.15*B2490*5))^4/24)+(((0.15*B2490*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2463*(1-MIN(100,(Inputs!$B$9+((C2475=TRUE)*(F2475-Calc!F19))+B2488+(ArtifactsInput!$M$24-ArtifactsInput!$M$24)*CHOOSE(ArtifactsInput!$N$24+1,10,12,14,16,18,20)+(IF(AND(ArtifactsInput!$M$42,((Inputs!$B$9+((C2475=TRUE)*(F2475-Calc!F19))+B2488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2463*(MIN(100,(Inputs!$B$9+((C2475=TRUE)*(F2475-Calc!F19))+B2488+(ArtifactsInput!$M$24-ArtifactsInput!$M$24)*CHOOSE(ArtifactsInput!$N$24+1,10,12,14,16,18,20)+(IF(AND(ArtifactsInput!$M$42,((Inputs!$B$9+((C2475=TRUE)*(F2475-Calc!F19))+B2488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2463*(1-MIN(100,(Inputs!$B$9+((C2475=TRUE)*(F2475-Calc!F19))+B2488+(ArtifactsInput!$M$24-ArtifactsInput!$M$24)*CHOOSE(ArtifactsInput!$N$24+1,10,12,14,16,18,20)+(IF(AND(ArtifactsInput!$M$42,((Inputs!$B$9+((C2475=TRUE)*(F2475-Calc!F19))+B2488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2463*(MIN(100,(Inputs!$B$9+((C2475=TRUE)*(F2475-Calc!F19))+B2488+(ArtifactsInput!$M$24-ArtifactsInput!$M$24)*CHOOSE(ArtifactsInput!$N$24+1,10,12,14,16,18,20)+(IF(AND(ArtifactsInput!$M$42,((Inputs!$B$9+((C2475=TRUE)*(F2475-Calc!F19))+B2488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463">
        <f>IF(C2463,(H2463*N2463*IF(AND(Inputs!$B$38&lt;&gt;"pvp",Inputs!$B$43&gt;0),((Skills!G7*((R2463-1)*IF(Skills!H7&gt;0,Skills!I7/Skills!H7,1)+IF(Skills!H7&gt;0,MIN(Skills!I7,MAX(0,MAX(0,Inputs!$B$43-B2495)-((R2463-1)*IF(Inputs!$B$38="pvp",15,MAX(0.1,Skills!D7-IF(Skills!E7=TRUE,Inputs!$B$32,0))))))/Skills!H7,1)))/Inputs!$B$43),G2463*Q2463))*IF(Inputs!$B$38="pvp",1,(1+(Inputs!$B$21+Skills!Q7+(IF(ArtifactsInput!$M$33,CHOOSE(ArtifactsInput!$N$33+1,30,36,42,48,54,60),0))+(IF(AND(ArtifactsInput!$M$35,Inputs!$B$4&lt;&gt;"Chapter Hunt"),CHOOSE(ArtifactsInput!$N$35+1,15,18,21,24,27,30)*(1-EXP(-(0.2*B2490)*5)),0)+IF(AND(ArtifactsInput!$M$22,Inputs!$B$4&lt;&gt;"Chapter Hunt"),CHOOSE(ArtifactsInput!$N$22+1,10,12,14,16,18,20)*((0*(((0.15*B2490*5))^0/1)+1*(((0.15*B2490*5))^1/1)+2*(((0.15*B2490*5))^2/2)+3*(((0.15*B2490*5))^3/6)+4*(((0.15*B2490*5))^4/24)+5*(((0.15*B2490*5))^5/120))/((((0.15*B2490*5))^0/1)+(((0.15*B2490*5))^1/1)+(((0.15*B2490*5))^2/2)+(((0.15*B2490*5))^3/6)+(((0.15*B2490*5))^4/24)+(((0.15*B2490*5))^5/120))),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464">
      <c r="A2464">
        <f>Skills!A8</f>
        <v/>
      </c>
      <c r="B2464">
        <f>Skills!B8</f>
        <v/>
      </c>
      <c r="C2464">
        <f>Inputs!$B$3&gt;=100</f>
        <v/>
      </c>
      <c r="D2464">
        <f>IF(Skills!C8=1,60+Inputs!$B$25+Inputs!$B$29,IF(Skills!C8=2,90+Inputs!$B$26+Inputs!$B$29,IF(Skills!C8=3,120+Inputs!$B$27+Inputs!$B$29,MAX(0,(Inputs!$B$3-100)*3)+Inputs!$B$28+Inputs!$B$29)))</f>
        <v/>
      </c>
      <c r="E2464">
        <f>INDEX(FactorTable!$B$2:$Y$301, MATCH(ROUND(MIN(300,MAX(1,D2464)),0), FactorTable!$A$2:$A$301,0), Skills!M8+1)</f>
        <v/>
      </c>
      <c r="F2464">
        <f>IF(Skills!N8=TRUE,(Skills!L8/10)*(E2464/1000),Skills!L8/10)+Skills!O8</f>
        <v/>
      </c>
      <c r="G2464" t="inlineStr"/>
      <c r="H2464" t="inlineStr"/>
      <c r="I2464" t="inlineStr">
        <is>
          <t>1</t>
        </is>
      </c>
      <c r="J2464" t="inlineStr"/>
      <c r="K2464" t="inlineStr"/>
      <c r="L2464" t="inlineStr"/>
      <c r="M2464" t="inlineStr"/>
      <c r="N2464" t="inlineStr"/>
      <c r="O2464" t="inlineStr"/>
      <c r="P2464" t="inlineStr"/>
      <c r="Q2464" t="inlineStr"/>
      <c r="R2464" t="inlineStr"/>
      <c r="S2464" t="inlineStr"/>
      <c r="T2464" t="inlineStr"/>
      <c r="V2464" t="inlineStr"/>
    </row>
    <row r="2465">
      <c r="A2465">
        <f>Skills!A9</f>
        <v/>
      </c>
      <c r="B2465">
        <f>Skills!B9</f>
        <v/>
      </c>
      <c r="C2465">
        <f>Inputs!$B$3&gt;=103</f>
        <v/>
      </c>
      <c r="D2465">
        <f>IF(Skills!C9=1,60+Inputs!$B$25+Inputs!$B$29,IF(Skills!C9=2,90+Inputs!$B$26+Inputs!$B$29,IF(Skills!C9=3,120+Inputs!$B$27+Inputs!$B$29,MAX(0,(Inputs!$B$3-100)*3)+Inputs!$B$28+Inputs!$B$29)))</f>
        <v/>
      </c>
      <c r="E2465">
        <f>INDEX(FactorTable!$B$2:$Y$301, MATCH(ROUND(MIN(300,MAX(1,D2465)),0), FactorTable!$A$2:$A$301,0), Skills!M9+1)</f>
        <v/>
      </c>
      <c r="F2465">
        <f>IF(Skills!N9=TRUE,(Skills!L9/10)*(E2465/1000),Skills!L9/10)+Skills!O9</f>
        <v/>
      </c>
      <c r="G2465">
        <f>Skills!G9*IF(Skills!H9&gt;0,Skills!I9/Skills!H9,1)</f>
        <v/>
      </c>
      <c r="H2465">
        <f>1-(1-Skills!J9/100)^Skills!K9</f>
        <v/>
      </c>
      <c r="I2465" t="inlineStr">
        <is>
          <t>1</t>
        </is>
      </c>
      <c r="J2465">
        <f>((Inputs!$B$6*(1+Inputs!$B$7/100))+(((Inputs!$B$12*(1+Inputs!$B$13/100))-(Inputs!$B$12*(1+Inputs!$B$13/100)))+0.25*(Inputs!$B$14-Inputs!$B$14))*(1+Inputs!$B$7/100))*(F2465/100)</f>
        <v/>
      </c>
      <c r="K2465">
        <f>J2465*(1+((Inputs!$B$12*(1+Inputs!$B$13/100))*0.01+Inputs!$B$14*0.0025)/100)*(1+Inputs!$B$15/100)*(1+Inputs!$B$16/100)*(5000/(6000+Inputs!$B$42*(1-(100*(1-(1-(Inputs!$B$19+0)/100)*(1-CHOOSE(ArtifactsInput!$N$40+1,5,6,7,8,9,10)/100)^(ArtifactsInput!$M$40-ArtifactsInput!$M$40)))/100)))*(1+(Inputs!$B$24+((C2480=TRUE)*(F2480-Calc!F24))+((C2481=TRUE)*(F2481-Calc!F25))+B2494)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IF(ArtifactsInput!$M$34,FALSE,TRUE),1,-1)*IF(TRUE,MIN(CHOOSE(ArtifactsInput!$N$34+1,10,12,14,16,18,20),MAX(0,(CHOOSE(ArtifactsInput!$N$34+1,0.5,0.6,0.7,0.8,0.9,1)/3)*(Inputs!$B$11-60))),0)))/100)*(1+(IF(Skills!A9="EMPOWERED_PIERCING_ARROW",Inputs!$B$17+((C2478=TRUE)*(F2478-Calc!F22))+(((IF(AND(ArtifactsInput!$M$42,((Inputs!$B$9+((C2475=TRUE)*(F2475-Calc!F19))+B2488+(ArtifactsInput!$M$24-ArtifactsInput!$M$24)*CHOOSE(ArtifactsInput!$N$24+1,10,12,14,16,18,20)+IF(ArtifactsInput!$M$10,CHOOSE(ArtifactsInput!$N$10+1,15,18,21,24,27,30)*(IF(Inputs!$B$38="pvp",MIN(15,15)/15,IF(AND(Inputs!$B$38&lt;&gt;"pvp",Inputs!$B$43&gt;0),MIN(15,Inputs!$B$43)/(Inputs!$B$43),0))),0)))&gt;=100),MIN(100,((Inputs!$B$9+((C2475=TRUE)*(F2475-Calc!F19))+B2488+(ArtifactsInput!$M$24-ArtifactsInput!$M$24)*CHOOSE(ArtifactsInput!$N$24+1,10,12,14,16,18,20)+IF(ArtifactsInput!$M$10,CHOOSE(ArtifactsInput!$N$10+1,15,18,21,24,27,30)*(IF(Inputs!$B$38="pvp",MIN(15,15)/15,IF(AND(Inputs!$B$38&lt;&gt;"pvp",Inputs!$B$43&gt;0),MIN(15,Inputs!$B$43)/(Inputs!$B$43),0))),0)))-100),0))*CHOOSE(ArtifactsInput!$N$42+1,0.6,0.72,0.84,0.96,1.08,1.2))),Inputs!$B$18+((C2483=TRUE)*(F2483-Calc!F27))+(IF(AND(ArtifactsInput!$M$42,((Inputs!$B$9+((C2475=TRUE)*(F2475-Calc!F19))+B2488+(ArtifactsInput!$M$24-ArtifactsInput!$M$24)*CHOOSE(ArtifactsInput!$N$24+1,10,12,14,16,18,20)+IF(ArtifactsInput!$M$10,CHOOSE(ArtifactsInput!$N$10+1,15,18,21,24,27,30)*(IF(Inputs!$B$38="pvp",MIN(15,15)/15,IF(AND(Inputs!$B$38&lt;&gt;"pvp",Inputs!$B$43&gt;0),MIN(15,Inputs!$B$43)/(Inputs!$B$43),0))),0)))&gt;=100),CHOOSE(ArtifactsInput!$N$42+1,40,48,56,64,72,80),0))))/100)*((1+(((C2469=TRUE)*F2469)+((C2470=TRUE)*IF(Inputs!$B$38="pvp",F2470,(1-Summary!$B$11)*(F2470)+Summary!$B$11*(0)))+((C2471=TRUE)*F2471*IF(AND(Inputs!$B$38&lt;&gt;"pvp",Inputs!$B$43&gt;0),(((R2471-1)*(Skills!T15*(1+Inputs!$B$34/100))+MIN((Skills!T15*(1+Inputs!$B$34/100)),MAX(0,Inputs!$B$43-((R2471-1)*Skills!D15))))/Inputs!$B$43),IF(Inputs!$B$38="pvp",MIN((Skills!T15*(1+Inputs!$B$34/100)),15)/15,(Skills!T15*(1+Inputs!$B$34/100))/Skills!D15)))+((C2468=TRUE)*F2468)+((C2485=TRUE)*(F2485-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IF(ArtifactsInput!$M$34,FALSE,TRUE),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2465)</f>
        <v/>
      </c>
      <c r="L2465">
        <f>K2465*(MIN(Inputs!$B$22+((C2479=TRUE)*(F2479-Calc!F23)),(Inputs!$B$23+((C2484=TRUE)*(F2484-Calc!F28))+(IF(ArtifactsInput!$M$15,CHOOSE(ArtifactsInput!$N$15+1,25,30,35,40,45,50)/100*(Inputs!$B$11-Inputs!$B$11),0))))/100+(Inputs!$B$23+((C2484=TRUE)*(F2484-Calc!F28))+(IF(ArtifactsInput!$M$15,CHOOSE(ArtifactsInput!$N$15+1,25,30,35,40,45,50)/100*(Inputs!$B$11-Inputs!$B$11),0)))/100)/2</f>
        <v/>
      </c>
      <c r="M2465">
        <f>L2465*(1+(Inputs!$B$10+0+B2493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465">
        <f>L2465*(1-MIN((Inputs!$B$9+((C2475=TRUE)*(F2475-Calc!F19))+B2488+(ArtifactsInput!$M$24-ArtifactsInput!$M$24)*CHOOSE(ArtifactsInput!$N$24+1,10,12,14,16,18,20)+(IF(AND(ArtifactsInput!$M$42,((Inputs!$B$9+((C2475=TRUE)*(F2475-Calc!F19))+B2488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2465*(MIN((Inputs!$B$9+((C2475=TRUE)*(F2475-Calc!F19))+B2488+(ArtifactsInput!$M$24-ArtifactsInput!$M$24)*CHOOSE(ArtifactsInput!$N$24+1,10,12,14,16,18,20)+(IF(AND(ArtifactsInput!$M$42,((Inputs!$B$9+((C2475=TRUE)*(F2475-Calc!F19))+B2488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465">
        <f>(1-Summary!$B$11)*T2465+Summary!$B$11*V2465</f>
        <v/>
      </c>
      <c r="P2465">
        <f>IF(B2498=0,0,O2465/B2498)</f>
        <v/>
      </c>
      <c r="Q2465">
        <f>IFERROR(1/IF(Inputs!$B$38="pvp",15,MAX(0.1,Skills!D9-IF(Skills!E9=TRUE,Inputs!$B$32,0))),0)</f>
        <v/>
      </c>
      <c r="R2465">
        <f>IF(AND(Inputs!$B$38&lt;&gt;"pvp",Inputs!$B$43&gt;0),IF(MAX(0,Inputs!$B$43-B2495)&lt;=0,0,(INT(MAX(0,Inputs!$B$43-B2495)/IF(Inputs!$B$38="pvp",15,MAX(0.1,Skills!D9-IF(Skills!E9=TRUE,Inputs!$B$32,0))))+1)),0)</f>
        <v/>
      </c>
      <c r="S2465">
        <f>IFERROR((H2465*N2465*IF(AND(Inputs!$B$38&lt;&gt;"pvp",Inputs!$B$43&gt;0),((Skills!G9*((R2465-1)*IF(Skills!H9&gt;0,Skills!I9/Skills!H9,1)+IF(Skills!H9&gt;0,MIN(Skills!I9,MAX(0,MAX(0,Inputs!$B$43-B2495)-((R2465-1)*IF(Inputs!$B$38="pvp",15,MAX(0.1,Skills!D9-IF(Skills!E9=TRUE,Inputs!$B$32,0))))))/Skills!H9,1)))/Inputs!$B$43),G2465*Q2465))/N2465*IF(Inputs!$B$38="pvp",1,(1-Summary!$B$11)*1+Summary!$B$11*(MIN(Skills!R9,Inputs!$B$37))),0)</f>
        <v/>
      </c>
      <c r="T2465">
        <f>IF(C2465,(H2465*N2465*IF(AND(Inputs!$B$38&lt;&gt;"pvp",Inputs!$B$43&gt;0),((Skills!G9*((R2465-1)*IF(Skills!H9&gt;0,Skills!I9/Skills!H9,1)+IF(Skills!H9&gt;0,MIN(Skills!I9,MAX(0,MAX(0,Inputs!$B$43-B2495)-((R2465-1)*IF(Inputs!$B$38="pvp",15,MAX(0.1,Skills!D9-IF(Skills!E9=TRUE,Inputs!$B$32,0))))))/Skills!H9,1)))/Inputs!$B$43),G2465*Q2465))*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Hunt"),CHOOSE(ArtifactsInput!$N$35+1,15,18,21,24,27,30)*(1-EXP(-(0.2*B2490)*5)),0)+IF(AND(ArtifactsInput!$M$22,Inputs!$B$4&lt;&gt;"Chapter Hunt"),CHOOSE(ArtifactsInput!$N$22+1,10,12,14,16,18,20)*((0*(((0.15*B2490*5))^0/1)+1*(((0.15*B2490*5))^1/1)+2*(((0.15*B2490*5))^2/2)+3*(((0.15*B2490*5))^3/6)+4*(((0.15*B2490*5))^4/24)+5*(((0.15*B2490*5))^5/120))/((((0.15*B2490*5))^0/1)+(((0.15*B2490*5))^1/1)+(((0.15*B2490*5))^2/2)+(((0.15*B2490*5))^3/6)+(((0.15*B2490*5))^4/24)+(((0.15*B2490*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2465*(1-MIN(100,(Inputs!$B$9+((C2475=TRUE)*(F2475-Calc!F19))+B2488+(ArtifactsInput!$M$24-ArtifactsInput!$M$24)*CHOOSE(ArtifactsInput!$N$24+1,10,12,14,16,18,20)+(IF(AND(ArtifactsInput!$M$42,((Inputs!$B$9+((C2475=TRUE)*(F2475-Calc!F19))+B2488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2465*(MIN(100,(Inputs!$B$9+((C2475=TRUE)*(F2475-Calc!F19))+B2488+(ArtifactsInput!$M$24-ArtifactsInput!$M$24)*CHOOSE(ArtifactsInput!$N$24+1,10,12,14,16,18,20)+(IF(AND(ArtifactsInput!$M$42,((Inputs!$B$9+((C2475=TRUE)*(F2475-Calc!F19))+B2488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2465*(1-MIN(100,(Inputs!$B$9+((C2475=TRUE)*(F2475-Calc!F19))+B2488+(ArtifactsInput!$M$24-ArtifactsInput!$M$24)*CHOOSE(ArtifactsInput!$N$24+1,10,12,14,16,18,20)+(IF(AND(ArtifactsInput!$M$42,((Inputs!$B$9+((C2475=TRUE)*(F2475-Calc!F19))+B2488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2465*(MIN(100,(Inputs!$B$9+((C2475=TRUE)*(F2475-Calc!F19))+B2488+(ArtifactsInput!$M$24-ArtifactsInput!$M$24)*CHOOSE(ArtifactsInput!$N$24+1,10,12,14,16,18,20)+(IF(AND(ArtifactsInput!$M$42,((Inputs!$B$9+((C2475=TRUE)*(F2475-Calc!F19))+B2488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465">
        <f>IF(C2465,(H2465*N2465*IF(AND(Inputs!$B$38&lt;&gt;"pvp",Inputs!$B$43&gt;0),((Skills!G9*((R2465-1)*IF(Skills!H9&gt;0,Skills!I9/Skills!H9,1)+IF(Skills!H9&gt;0,MIN(Skills!I9,MAX(0,MAX(0,Inputs!$B$43-B2495)-((R2465-1)*IF(Inputs!$B$38="pvp",15,MAX(0.1,Skills!D9-IF(Skills!E9=TRUE,Inputs!$B$32,0))))))/Skills!H9,1)))/Inputs!$B$43),G2465*Q2465))*IF(Inputs!$B$38="pvp",1,(1+(Inputs!$B$21+Skills!Q9+(IF(ArtifactsInput!$M$33,CHOOSE(ArtifactsInput!$N$33+1,30,36,42,48,54,60),0))+(IF(AND(ArtifactsInput!$M$35,Inputs!$B$4&lt;&gt;"Chapter Hunt"),CHOOSE(ArtifactsInput!$N$35+1,15,18,21,24,27,30)*(1-EXP(-(0.2*B2490)*5)),0)+IF(AND(ArtifactsInput!$M$22,Inputs!$B$4&lt;&gt;"Chapter Hunt"),CHOOSE(ArtifactsInput!$N$22+1,10,12,14,16,18,20)*((0*(((0.15*B2490*5))^0/1)+1*(((0.15*B2490*5))^1/1)+2*(((0.15*B2490*5))^2/2)+3*(((0.15*B2490*5))^3/6)+4*(((0.15*B2490*5))^4/24)+5*(((0.15*B2490*5))^5/120))/((((0.15*B2490*5))^0/1)+(((0.15*B2490*5))^1/1)+(((0.15*B2490*5))^2/2)+(((0.15*B2490*5))^3/6)+(((0.15*B2490*5))^4/24)+(((0.15*B2490*5))^5/120)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466">
      <c r="A2466">
        <f>Skills!A10</f>
        <v/>
      </c>
      <c r="B2466">
        <f>Skills!B10</f>
        <v/>
      </c>
      <c r="C2466">
        <f>Inputs!$B$3&gt;=107</f>
        <v/>
      </c>
      <c r="D2466">
        <f>IF(Skills!C10=1,60+Inputs!$B$25+Inputs!$B$29,IF(Skills!C10=2,90+Inputs!$B$26+Inputs!$B$29,IF(Skills!C10=3,120+Inputs!$B$27+Inputs!$B$29,MAX(0,(Inputs!$B$3-100)*3)+Inputs!$B$28+Inputs!$B$29)))</f>
        <v/>
      </c>
      <c r="E2466">
        <f>INDEX(FactorTable!$B$2:$Y$301, MATCH(ROUND(MIN(300,MAX(1,D2466)),0), FactorTable!$A$2:$A$301,0), Skills!M10+1)</f>
        <v/>
      </c>
      <c r="F2466">
        <f>IF(Skills!N10=TRUE,(Skills!L10/10)*(E2466/1000),Skills!L10/10)+Skills!O10</f>
        <v/>
      </c>
      <c r="G2466">
        <f>Skills!G10*IF(Skills!H10&gt;0,Skills!I10/Skills!H10,1)</f>
        <v/>
      </c>
      <c r="H2466">
        <f>1-(1-Skills!J10/100)^Skills!K10</f>
        <v/>
      </c>
      <c r="I2466" t="inlineStr">
        <is>
          <t>1</t>
        </is>
      </c>
      <c r="J2466">
        <f>((Inputs!$B$6*(1+Inputs!$B$7/100))+(((Inputs!$B$12*(1+Inputs!$B$13/100))-(Inputs!$B$12*(1+Inputs!$B$13/100)))+0.25*(Inputs!$B$14-Inputs!$B$14))*(1+Inputs!$B$7/100))*(F2466/100)</f>
        <v/>
      </c>
      <c r="K2466">
        <f>J2466*(1+((Inputs!$B$12*(1+Inputs!$B$13/100))*0.01+Inputs!$B$14*0.0025)/100)*(1+Inputs!$B$15/100)*(1+Inputs!$B$16/100)*(5000/(6000+Inputs!$B$42*(1-(100*(1-(1-(Inputs!$B$19+0)/100)*(1-CHOOSE(ArtifactsInput!$N$40+1,5,6,7,8,9,10)/100)^(ArtifactsInput!$M$40-ArtifactsInput!$M$40)))/100)))*(1+(Inputs!$B$24+((C2480=TRUE)*(F2480-Calc!F24))+((C2481=TRUE)*(F2481-Calc!F25))+B2494)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IF(ArtifactsInput!$M$34,FALSE,TRUE),1,-1)*IF(TRUE,MIN(CHOOSE(ArtifactsInput!$N$34+1,10,12,14,16,18,20),MAX(0,(CHOOSE(ArtifactsInput!$N$34+1,0.5,0.6,0.7,0.8,0.9,1)/3)*(Inputs!$B$11-60))),0)))/100)*(1+(IF(Skills!A10="EMPOWERED_PIERCING_ARROW",Inputs!$B$17+((C2478=TRUE)*(F2478-Calc!F22))+(((IF(AND(ArtifactsInput!$M$42,((Inputs!$B$9+((C2475=TRUE)*(F2475-Calc!F19))+B2488+(ArtifactsInput!$M$24-ArtifactsInput!$M$24)*CHOOSE(ArtifactsInput!$N$24+1,10,12,14,16,18,20)+IF(ArtifactsInput!$M$10,CHOOSE(ArtifactsInput!$N$10+1,15,18,21,24,27,30)*(IF(Inputs!$B$38="pvp",MIN(15,15)/15,IF(AND(Inputs!$B$38&lt;&gt;"pvp",Inputs!$B$43&gt;0),MIN(15,Inputs!$B$43)/(Inputs!$B$43),0))),0)))&gt;=100),MIN(100,((Inputs!$B$9+((C2475=TRUE)*(F2475-Calc!F19))+B2488+(ArtifactsInput!$M$24-ArtifactsInput!$M$24)*CHOOSE(ArtifactsInput!$N$24+1,10,12,14,16,18,20)+IF(ArtifactsInput!$M$10,CHOOSE(ArtifactsInput!$N$10+1,15,18,21,24,27,30)*(IF(Inputs!$B$38="pvp",MIN(15,15)/15,IF(AND(Inputs!$B$38&lt;&gt;"pvp",Inputs!$B$43&gt;0),MIN(15,Inputs!$B$43)/(Inputs!$B$43),0))),0)))-100),0))*CHOOSE(ArtifactsInput!$N$42+1,0.6,0.72,0.84,0.96,1.08,1.2))),Inputs!$B$18+((C2483=TRUE)*(F2483-Calc!F27))+(IF(AND(ArtifactsInput!$M$42,((Inputs!$B$9+((C2475=TRUE)*(F2475-Calc!F19))+B2488+(ArtifactsInput!$M$24-ArtifactsInput!$M$24)*CHOOSE(ArtifactsInput!$N$24+1,10,12,14,16,18,20)+IF(ArtifactsInput!$M$10,CHOOSE(ArtifactsInput!$N$10+1,15,18,21,24,27,30)*(IF(Inputs!$B$38="pvp",MIN(15,15)/15,IF(AND(Inputs!$B$38&lt;&gt;"pvp",Inputs!$B$43&gt;0),MIN(15,Inputs!$B$43)/(Inputs!$B$43),0))),0)))&gt;=100),CHOOSE(ArtifactsInput!$N$42+1,40,48,56,64,72,80),0))))/100)*((1+(((C2469=TRUE)*F2469)+((C2470=TRUE)*IF(Inputs!$B$38="pvp",F2470,(1-Summary!$B$11)*(F2470)+Summary!$B$11*(0)))+((C2471=TRUE)*F2471*IF(AND(Inputs!$B$38&lt;&gt;"pvp",Inputs!$B$43&gt;0),(((R2471-1)*(Skills!T15*(1+Inputs!$B$34/100))+MIN((Skills!T15*(1+Inputs!$B$34/100)),MAX(0,Inputs!$B$43-((R2471-1)*Skills!D15))))/Inputs!$B$43),IF(Inputs!$B$38="pvp",MIN((Skills!T15*(1+Inputs!$B$34/100)),15)/15,(Skills!T15*(1+Inputs!$B$34/100))/Skills!D15)))+((C2468=TRUE)*F2468)+((C2485=TRUE)*(F2485-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IF(ArtifactsInput!$M$34,FALSE,TRUE),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2466)</f>
        <v/>
      </c>
      <c r="L2466">
        <f>K2466*(MIN(Inputs!$B$22+((C2479=TRUE)*(F2479-Calc!F23)),(Inputs!$B$23+((C2484=TRUE)*(F2484-Calc!F28))+(IF(ArtifactsInput!$M$15,CHOOSE(ArtifactsInput!$N$15+1,25,30,35,40,45,50)/100*(Inputs!$B$11-Inputs!$B$11),0))))/100+(Inputs!$B$23+((C2484=TRUE)*(F2484-Calc!F28))+(IF(ArtifactsInput!$M$15,CHOOSE(ArtifactsInput!$N$15+1,25,30,35,40,45,50)/100*(Inputs!$B$11-Inputs!$B$11),0)))/100)/2</f>
        <v/>
      </c>
      <c r="M2466">
        <f>L2466*(1+(Inputs!$B$10+0+B2493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466">
        <f>L2466*(1-MIN((Inputs!$B$9+((C2475=TRUE)*(F2475-Calc!F19))+B2488+(ArtifactsInput!$M$24-ArtifactsInput!$M$24)*CHOOSE(ArtifactsInput!$N$24+1,10,12,14,16,18,20)+(IF(AND(ArtifactsInput!$M$42,((Inputs!$B$9+((C2475=TRUE)*(F2475-Calc!F19))+B2488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2466*(MIN((Inputs!$B$9+((C2475=TRUE)*(F2475-Calc!F19))+B2488+(ArtifactsInput!$M$24-ArtifactsInput!$M$24)*CHOOSE(ArtifactsInput!$N$24+1,10,12,14,16,18,20)+(IF(AND(ArtifactsInput!$M$42,((Inputs!$B$9+((C2475=TRUE)*(F2475-Calc!F19))+B2488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466">
        <f>(1-Summary!$B$11)*T2466+Summary!$B$11*V2466</f>
        <v/>
      </c>
      <c r="P2466">
        <f>IF(B2498=0,0,O2466/B2498)</f>
        <v/>
      </c>
      <c r="Q2466" t="n">
        <v>0</v>
      </c>
      <c r="R2466" t="n">
        <v>0</v>
      </c>
      <c r="S2466" t="n">
        <v>0</v>
      </c>
      <c r="T2466">
        <f>IF(C2466,(0.15*SUMPRODUCT((Skills!U2:U29=TRUE)*(C2458:C2485=TRUE)*S2458:S2485)*Skills!G10*N2466)*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Hunt"),CHOOSE(ArtifactsInput!$N$35+1,15,18,21,24,27,30)*(1-EXP(-(0.2*B2490)*5)),0)+IF(AND(ArtifactsInput!$M$22,Inputs!$B$4&lt;&gt;"Chapter Hunt"),CHOOSE(ArtifactsInput!$N$22+1,10,12,14,16,18,20)*((0*(((0.15*B2490*5))^0/1)+1*(((0.15*B2490*5))^1/1)+2*(((0.15*B2490*5))^2/2)+3*(((0.15*B2490*5))^3/6)+4*(((0.15*B2490*5))^4/24)+5*(((0.15*B2490*5))^5/120))/((((0.15*B2490*5))^0/1)+(((0.15*B2490*5))^1/1)+(((0.15*B2490*5))^2/2)+(((0.15*B2490*5))^3/6)+(((0.15*B2490*5))^4/24)+(((0.15*B2490*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2466*(1-MIN(100,(Inputs!$B$9+((C2475=TRUE)*(F2475-Calc!F19))+B2488+(ArtifactsInput!$M$24-ArtifactsInput!$M$24)*CHOOSE(ArtifactsInput!$N$24+1,10,12,14,16,18,20)+(IF(AND(ArtifactsInput!$M$42,((Inputs!$B$9+((C2475=TRUE)*(F2475-Calc!F19))+B2488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2466*(MIN(100,(Inputs!$B$9+((C2475=TRUE)*(F2475-Calc!F19))+B2488+(ArtifactsInput!$M$24-ArtifactsInput!$M$24)*CHOOSE(ArtifactsInput!$N$24+1,10,12,14,16,18,20)+(IF(AND(ArtifactsInput!$M$42,((Inputs!$B$9+((C2475=TRUE)*(F2475-Calc!F19))+B2488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2466*(1-MIN(100,(Inputs!$B$9+((C2475=TRUE)*(F2475-Calc!F19))+B2488+(ArtifactsInput!$M$24-ArtifactsInput!$M$24)*CHOOSE(ArtifactsInput!$N$24+1,10,12,14,16,18,20)+(IF(AND(ArtifactsInput!$M$42,((Inputs!$B$9+((C2475=TRUE)*(F2475-Calc!F19))+B2488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2466*(MIN(100,(Inputs!$B$9+((C2475=TRUE)*(F2475-Calc!F19))+B2488+(ArtifactsInput!$M$24-ArtifactsInput!$M$24)*CHOOSE(ArtifactsInput!$N$24+1,10,12,14,16,18,20)+(IF(AND(ArtifactsInput!$M$42,((Inputs!$B$9+((C2475=TRUE)*(F2475-Calc!F19))+B2488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466">
        <f>IF(C2466,(0.15*SUMPRODUCT((Skills!U2:U29=TRUE)*(C2458:C2485=TRUE)*S2458:S2485)*Skills!G10*N2466)*IF(Inputs!$B$38="pvp",1,(1+(Inputs!$B$21+Skills!Q10+(IF(ArtifactsInput!$M$33,CHOOSE(ArtifactsInput!$N$33+1,30,36,42,48,54,60),0))+(IF(AND(ArtifactsInput!$M$35,Inputs!$B$4&lt;&gt;"Chapter Hunt"),CHOOSE(ArtifactsInput!$N$35+1,15,18,21,24,27,30)*(1-EXP(-(0.2*B2490)*5)),0)+IF(AND(ArtifactsInput!$M$22,Inputs!$B$4&lt;&gt;"Chapter Hunt"),CHOOSE(ArtifactsInput!$N$22+1,10,12,14,16,18,20)*((0*(((0.15*B2490*5))^0/1)+1*(((0.15*B2490*5))^1/1)+2*(((0.15*B2490*5))^2/2)+3*(((0.15*B2490*5))^3/6)+4*(((0.15*B2490*5))^4/24)+5*(((0.15*B2490*5))^5/120))/((((0.15*B2490*5))^0/1)+(((0.15*B2490*5))^1/1)+(((0.15*B2490*5))^2/2)+(((0.15*B2490*5))^3/6)+(((0.15*B2490*5))^4/24)+(((0.15*B2490*5))^5/120)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467">
      <c r="A2467">
        <f>Skills!A11</f>
        <v/>
      </c>
      <c r="B2467">
        <f>Skills!B11</f>
        <v/>
      </c>
      <c r="C2467">
        <f>Inputs!$B$3&gt;=110</f>
        <v/>
      </c>
      <c r="D2467">
        <f>IF(Skills!C11=1,60+Inputs!$B$25+Inputs!$B$29,IF(Skills!C11=2,90+Inputs!$B$26+Inputs!$B$29,IF(Skills!C11=3,120+Inputs!$B$27+Inputs!$B$29,MAX(0,(Inputs!$B$3-100)*3)+Inputs!$B$28+Inputs!$B$29)))</f>
        <v/>
      </c>
      <c r="E2467">
        <f>INDEX(FactorTable!$B$2:$Y$301, MATCH(ROUND(MIN(300,MAX(1,D2467)),0), FactorTable!$A$2:$A$301,0), Skills!M11+1)</f>
        <v/>
      </c>
      <c r="F2467">
        <f>IF(Skills!N11=TRUE,(Skills!L11/10)*(E2467/1000),Skills!L11/10)+Skills!O11</f>
        <v/>
      </c>
      <c r="G2467">
        <f>Skills!G11*IF(Skills!H11&gt;0,Skills!I11/Skills!H11,1)</f>
        <v/>
      </c>
      <c r="H2467">
        <f>1-(1-Skills!J11/100)^Skills!K11</f>
        <v/>
      </c>
      <c r="I2467" t="inlineStr">
        <is>
          <t>1</t>
        </is>
      </c>
      <c r="J2467">
        <f>((Inputs!$B$6*(1+Inputs!$B$7/100))+(((Inputs!$B$12*(1+Inputs!$B$13/100))-(Inputs!$B$12*(1+Inputs!$B$13/100)))+0.25*(Inputs!$B$14-Inputs!$B$14))*(1+Inputs!$B$7/100))*(F2467/100)</f>
        <v/>
      </c>
      <c r="K2467">
        <f>J2467*(1+((Inputs!$B$12*(1+Inputs!$B$13/100))*0.01+Inputs!$B$14*0.0025)/100)*(1+Inputs!$B$15/100)*(1+Inputs!$B$16/100)*(5000/(6000+Inputs!$B$42*(1-(100*(1-(1-(Inputs!$B$19+0)/100)*(1-CHOOSE(ArtifactsInput!$N$40+1,5,6,7,8,9,10)/100)^(ArtifactsInput!$M$40-ArtifactsInput!$M$40)))/100)))*(1+(Inputs!$B$24+((C2480=TRUE)*(F2480-Calc!F24))+((C2481=TRUE)*(F2481-Calc!F25))+B2494)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IF(ArtifactsInput!$M$34,FALSE,TRUE),1,-1)*IF(TRUE,MIN(CHOOSE(ArtifactsInput!$N$34+1,10,12,14,16,18,20),MAX(0,(CHOOSE(ArtifactsInput!$N$34+1,0.5,0.6,0.7,0.8,0.9,1)/3)*(Inputs!$B$11-60))),0)))/100)*(1+(IF(Skills!A11="EMPOWERED_PIERCING_ARROW",Inputs!$B$17+((C2478=TRUE)*(F2478-Calc!F22))+(((IF(AND(ArtifactsInput!$M$42,((Inputs!$B$9+((C2475=TRUE)*(F2475-Calc!F19))+B2488+(ArtifactsInput!$M$24-ArtifactsInput!$M$24)*CHOOSE(ArtifactsInput!$N$24+1,10,12,14,16,18,20)+IF(ArtifactsInput!$M$10,CHOOSE(ArtifactsInput!$N$10+1,15,18,21,24,27,30)*(IF(Inputs!$B$38="pvp",MIN(15,15)/15,IF(AND(Inputs!$B$38&lt;&gt;"pvp",Inputs!$B$43&gt;0),MIN(15,Inputs!$B$43)/(Inputs!$B$43),0))),0)))&gt;=100),MIN(100,((Inputs!$B$9+((C2475=TRUE)*(F2475-Calc!F19))+B2488+(ArtifactsInput!$M$24-ArtifactsInput!$M$24)*CHOOSE(ArtifactsInput!$N$24+1,10,12,14,16,18,20)+IF(ArtifactsInput!$M$10,CHOOSE(ArtifactsInput!$N$10+1,15,18,21,24,27,30)*(IF(Inputs!$B$38="pvp",MIN(15,15)/15,IF(AND(Inputs!$B$38&lt;&gt;"pvp",Inputs!$B$43&gt;0),MIN(15,Inputs!$B$43)/(Inputs!$B$43),0))),0)))-100),0))*CHOOSE(ArtifactsInput!$N$42+1,0.6,0.72,0.84,0.96,1.08,1.2))),Inputs!$B$18+((C2483=TRUE)*(F2483-Calc!F27))+(IF(AND(ArtifactsInput!$M$42,((Inputs!$B$9+((C2475=TRUE)*(F2475-Calc!F19))+B2488+(ArtifactsInput!$M$24-ArtifactsInput!$M$24)*CHOOSE(ArtifactsInput!$N$24+1,10,12,14,16,18,20)+IF(ArtifactsInput!$M$10,CHOOSE(ArtifactsInput!$N$10+1,15,18,21,24,27,30)*(IF(Inputs!$B$38="pvp",MIN(15,15)/15,IF(AND(Inputs!$B$38&lt;&gt;"pvp",Inputs!$B$43&gt;0),MIN(15,Inputs!$B$43)/(Inputs!$B$43),0))),0)))&gt;=100),CHOOSE(ArtifactsInput!$N$42+1,40,48,56,64,72,80),0))))/100)*((1+(((C2469=TRUE)*F2469)+((C2470=TRUE)*IF(Inputs!$B$38="pvp",F2470,(1-Summary!$B$11)*(F2470)+Summary!$B$11*(0)))+((C2471=TRUE)*F2471*IF(AND(Inputs!$B$38&lt;&gt;"pvp",Inputs!$B$43&gt;0),(((R2471-1)*(Skills!T15*(1+Inputs!$B$34/100))+MIN((Skills!T15*(1+Inputs!$B$34/100)),MAX(0,Inputs!$B$43-((R2471-1)*Skills!D15))))/Inputs!$B$43),IF(Inputs!$B$38="pvp",MIN((Skills!T15*(1+Inputs!$B$34/100)),15)/15,(Skills!T15*(1+Inputs!$B$34/100))/Skills!D15)))+((C2468=TRUE)*F2468)+((C2485=TRUE)*(F2485-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IF(ArtifactsInput!$M$34,FALSE,TRUE),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2467)</f>
        <v/>
      </c>
      <c r="L2467">
        <f>K2467*(MIN(Inputs!$B$22+((C2479=TRUE)*(F2479-Calc!F23)),(Inputs!$B$23+((C2484=TRUE)*(F2484-Calc!F28))+(IF(ArtifactsInput!$M$15,CHOOSE(ArtifactsInput!$N$15+1,25,30,35,40,45,50)/100*(Inputs!$B$11-Inputs!$B$11),0))))/100+(Inputs!$B$23+((C2484=TRUE)*(F2484-Calc!F28))+(IF(ArtifactsInput!$M$15,CHOOSE(ArtifactsInput!$N$15+1,25,30,35,40,45,50)/100*(Inputs!$B$11-Inputs!$B$11),0)))/100)/2</f>
        <v/>
      </c>
      <c r="M2467">
        <f>L2467*(1+(Inputs!$B$10+0+B2493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467">
        <f>L2467*(1-MIN((Inputs!$B$9+((C2475=TRUE)*(F2475-Calc!F19))+B2488+(ArtifactsInput!$M$24-ArtifactsInput!$M$24)*CHOOSE(ArtifactsInput!$N$24+1,10,12,14,16,18,20)+(IF(AND(ArtifactsInput!$M$42,((Inputs!$B$9+((C2475=TRUE)*(F2475-Calc!F19))+B2488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2467*(MIN((Inputs!$B$9+((C2475=TRUE)*(F2475-Calc!F19))+B2488+(ArtifactsInput!$M$24-ArtifactsInput!$M$24)*CHOOSE(ArtifactsInput!$N$24+1,10,12,14,16,18,20)+(IF(AND(ArtifactsInput!$M$42,((Inputs!$B$9+((C2475=TRUE)*(F2475-Calc!F19))+B2488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467">
        <f>(1-Summary!$B$11)*T2467+Summary!$B$11*V2467</f>
        <v/>
      </c>
      <c r="P2467">
        <f>IF(B2498=0,0,O2467/B2498)</f>
        <v/>
      </c>
      <c r="Q2467">
        <f>IFERROR(1/IF(Inputs!$B$38="pvp",15,MAX(0.1,Skills!D11-IF(Skills!E11=TRUE,Inputs!$B$32,0))),0)</f>
        <v/>
      </c>
      <c r="R2467">
        <f>IF(AND(Inputs!$B$38&lt;&gt;"pvp",Inputs!$B$43&gt;0),IF(MAX(0,Inputs!$B$43-B2495)&lt;=0,0,(INT(MAX(0,Inputs!$B$43-B2495)/IF(Inputs!$B$38="pvp",15,MAX(0.1,Skills!D11-IF(Skills!E11=TRUE,Inputs!$B$32,0))))+1)),0)</f>
        <v/>
      </c>
      <c r="S2467">
        <f>IFERROR((H2467*N2467*IF(AND(Inputs!$B$38&lt;&gt;"pvp",Inputs!$B$43&gt;0),((Skills!G11*((R2467-1)*IF(Skills!H11&gt;0,Skills!I11/Skills!H11,1)+IF(Skills!H11&gt;0,MIN(Skills!I11,MAX(0,MAX(0,Inputs!$B$43-B2495)-((R2467-1)*IF(Inputs!$B$38="pvp",15,MAX(0.1,Skills!D11-IF(Skills!E11=TRUE,Inputs!$B$32,0))))))/Skills!H11,1)))/Inputs!$B$43),G2467*Q2467))/N2467*IF(Inputs!$B$38="pvp",1,(1-Summary!$B$11)*1+Summary!$B$11*(MIN(Skills!R11,Inputs!$B$37))),0)</f>
        <v/>
      </c>
      <c r="T2467">
        <f>IF(C2467,(H2467*N2467*IF(AND(Inputs!$B$38&lt;&gt;"pvp",Inputs!$B$43&gt;0),((Skills!G11*((R2467-1)*IF(Skills!H11&gt;0,Skills!I11/Skills!H11,1)+IF(Skills!H11&gt;0,MIN(Skills!I11,MAX(0,MAX(0,Inputs!$B$43-B2495)-((R2467-1)*IF(Inputs!$B$38="pvp",15,MAX(0.1,Skills!D11-IF(Skills!E11=TRUE,Inputs!$B$32,0))))))/Skills!H11,1)))/Inputs!$B$43),G2467*Q2467))*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Hunt"),CHOOSE(ArtifactsInput!$N$35+1,15,18,21,24,27,30)*(1-EXP(-(0.2*B2490)*5)),0)+IF(AND(ArtifactsInput!$M$22,Inputs!$B$4&lt;&gt;"Chapter Hunt"),CHOOSE(ArtifactsInput!$N$22+1,10,12,14,16,18,20)*((0*(((0.15*B2490*5))^0/1)+1*(((0.15*B2490*5))^1/1)+2*(((0.15*B2490*5))^2/2)+3*(((0.15*B2490*5))^3/6)+4*(((0.15*B2490*5))^4/24)+5*(((0.15*B2490*5))^5/120))/((((0.15*B2490*5))^0/1)+(((0.15*B2490*5))^1/1)+(((0.15*B2490*5))^2/2)+(((0.15*B2490*5))^3/6)+(((0.15*B2490*5))^4/24)+(((0.15*B2490*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2467*(1-MIN(100,(Inputs!$B$9+((C2475=TRUE)*(F2475-Calc!F19))+B2488+(ArtifactsInput!$M$24-ArtifactsInput!$M$24)*CHOOSE(ArtifactsInput!$N$24+1,10,12,14,16,18,20)+(IF(AND(ArtifactsInput!$M$42,((Inputs!$B$9+((C2475=TRUE)*(F2475-Calc!F19))+B2488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2467*(MIN(100,(Inputs!$B$9+((C2475=TRUE)*(F2475-Calc!F19))+B2488+(ArtifactsInput!$M$24-ArtifactsInput!$M$24)*CHOOSE(ArtifactsInput!$N$24+1,10,12,14,16,18,20)+(IF(AND(ArtifactsInput!$M$42,((Inputs!$B$9+((C2475=TRUE)*(F2475-Calc!F19))+B2488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2467*(1-MIN(100,(Inputs!$B$9+((C2475=TRUE)*(F2475-Calc!F19))+B2488+(ArtifactsInput!$M$24-ArtifactsInput!$M$24)*CHOOSE(ArtifactsInput!$N$24+1,10,12,14,16,18,20)+(IF(AND(ArtifactsInput!$M$42,((Inputs!$B$9+((C2475=TRUE)*(F2475-Calc!F19))+B2488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2467*(MIN(100,(Inputs!$B$9+((C2475=TRUE)*(F2475-Calc!F19))+B2488+(ArtifactsInput!$M$24-ArtifactsInput!$M$24)*CHOOSE(ArtifactsInput!$N$24+1,10,12,14,16,18,20)+(IF(AND(ArtifactsInput!$M$42,((Inputs!$B$9+((C2475=TRUE)*(F2475-Calc!F19))+B2488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467">
        <f>IF(C2467,(H2467*N2467*IF(AND(Inputs!$B$38&lt;&gt;"pvp",Inputs!$B$43&gt;0),((Skills!G11*((R2467-1)*IF(Skills!H11&gt;0,Skills!I11/Skills!H11,1)+IF(Skills!H11&gt;0,MIN(Skills!I11,MAX(0,MAX(0,Inputs!$B$43-B2495)-((R2467-1)*IF(Inputs!$B$38="pvp",15,MAX(0.1,Skills!D11-IF(Skills!E11=TRUE,Inputs!$B$32,0))))))/Skills!H11,1)))/Inputs!$B$43),G2467*Q2467))*IF(Inputs!$B$38="pvp",1,(1+(Inputs!$B$21+Skills!Q11+(IF(ArtifactsInput!$M$33,CHOOSE(ArtifactsInput!$N$33+1,30,36,42,48,54,60),0))+(IF(AND(ArtifactsInput!$M$35,Inputs!$B$4&lt;&gt;"Chapter Hunt"),CHOOSE(ArtifactsInput!$N$35+1,15,18,21,24,27,30)*(1-EXP(-(0.2*B2490)*5)),0)+IF(AND(ArtifactsInput!$M$22,Inputs!$B$4&lt;&gt;"Chapter Hunt"),CHOOSE(ArtifactsInput!$N$22+1,10,12,14,16,18,20)*((0*(((0.15*B2490*5))^0/1)+1*(((0.15*B2490*5))^1/1)+2*(((0.15*B2490*5))^2/2)+3*(((0.15*B2490*5))^3/6)+4*(((0.15*B2490*5))^4/24)+5*(((0.15*B2490*5))^5/120))/((((0.15*B2490*5))^0/1)+(((0.15*B2490*5))^1/1)+(((0.15*B2490*5))^2/2)+(((0.15*B2490*5))^3/6)+(((0.15*B2490*5))^4/24)+(((0.15*B2490*5))^5/120))),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468">
      <c r="A2468">
        <f>Skills!A12</f>
        <v/>
      </c>
      <c r="B2468">
        <f>Skills!B12</f>
        <v/>
      </c>
      <c r="C2468">
        <f>Inputs!$B$3&gt;=60</f>
        <v/>
      </c>
      <c r="D2468">
        <f>IF(Skills!C12=1,60+Inputs!$B$25+Inputs!$B$29,IF(Skills!C12=2,90+Inputs!$B$26+Inputs!$B$29,IF(Skills!C12=3,120+Inputs!$B$27+Inputs!$B$29,MAX(0,(Inputs!$B$3-100)*3)+Inputs!$B$28+Inputs!$B$29)))</f>
        <v/>
      </c>
      <c r="E2468">
        <f>INDEX(FactorTable!$B$2:$Y$301, MATCH(ROUND(MIN(300,MAX(1,D2468)),0), FactorTable!$A$2:$A$301,0), Skills!M12+1)</f>
        <v/>
      </c>
      <c r="F2468">
        <f>IF(Skills!N12=TRUE,(Skills!L12/10)*(E2468/1000),Skills!L12/10)+Skills!O12</f>
        <v/>
      </c>
      <c r="G2468">
        <f>Skills!G12*IF(Skills!H12&gt;0,Skills!I12/Skills!H12,1)</f>
        <v/>
      </c>
      <c r="H2468">
        <f>1-(1-Skills!J12/100)^Skills!K12</f>
        <v/>
      </c>
      <c r="I2468" t="inlineStr">
        <is>
          <t>1</t>
        </is>
      </c>
      <c r="J2468" t="inlineStr"/>
      <c r="K2468" t="inlineStr"/>
      <c r="L2468" t="inlineStr"/>
      <c r="M2468" t="inlineStr"/>
      <c r="N2468" t="inlineStr"/>
      <c r="O2468">
        <f>(1-Summary!$B$11)*T2468+Summary!$B$11*V2468</f>
        <v/>
      </c>
      <c r="P2468">
        <f>IF(B2498=0,0,O2468/B2498)</f>
        <v/>
      </c>
      <c r="Q2468" t="n">
        <v>0</v>
      </c>
      <c r="R2468" t="n">
        <v>0</v>
      </c>
      <c r="S2468" t="n">
        <v>0</v>
      </c>
      <c r="T2468" t="n">
        <v>0</v>
      </c>
      <c r="V2468" t="n">
        <v>0</v>
      </c>
    </row>
    <row r="2469">
      <c r="A2469">
        <f>Skills!A13</f>
        <v/>
      </c>
      <c r="B2469">
        <f>Skills!B13</f>
        <v/>
      </c>
      <c r="C2469">
        <f>Inputs!$B$3&gt;=74</f>
        <v/>
      </c>
      <c r="D2469">
        <f>IF(Skills!C13=1,60+Inputs!$B$25+Inputs!$B$29,IF(Skills!C13=2,90+Inputs!$B$26+Inputs!$B$29,IF(Skills!C13=3,120+Inputs!$B$27+Inputs!$B$29,MAX(0,(Inputs!$B$3-100)*3)+Inputs!$B$28+Inputs!$B$29)))</f>
        <v/>
      </c>
      <c r="E2469">
        <f>INDEX(FactorTable!$B$2:$Y$301, MATCH(ROUND(MIN(300,MAX(1,D2469)),0), FactorTable!$A$2:$A$301,0), Skills!M13+1)</f>
        <v/>
      </c>
      <c r="F2469">
        <f>IF(Skills!N13=TRUE,(Skills!L13/10)*(E2469/1000),Skills!L13/10)+Skills!O13</f>
        <v/>
      </c>
      <c r="G2469">
        <f>Skills!G13*IF(Skills!H13&gt;0,Skills!I13/Skills!H13,1)</f>
        <v/>
      </c>
      <c r="H2469">
        <f>1-(1-Skills!J13/100)^Skills!K13</f>
        <v/>
      </c>
      <c r="I2469" t="inlineStr">
        <is>
          <t>1</t>
        </is>
      </c>
      <c r="J2469" t="inlineStr"/>
      <c r="K2469" t="inlineStr"/>
      <c r="L2469" t="inlineStr"/>
      <c r="M2469" t="inlineStr"/>
      <c r="N2469" t="inlineStr"/>
      <c r="O2469">
        <f>(1-Summary!$B$11)*T2469+Summary!$B$11*V2469</f>
        <v/>
      </c>
      <c r="P2469">
        <f>IF(B2498=0,0,O2469/B2498)</f>
        <v/>
      </c>
      <c r="Q2469" t="n">
        <v>0</v>
      </c>
      <c r="R2469" t="n">
        <v>0</v>
      </c>
      <c r="S2469" t="n">
        <v>0</v>
      </c>
      <c r="T2469" t="n">
        <v>0</v>
      </c>
      <c r="V2469" t="n">
        <v>0</v>
      </c>
    </row>
    <row r="2470">
      <c r="A2470">
        <f>Skills!A14</f>
        <v/>
      </c>
      <c r="B2470">
        <f>Skills!B14</f>
        <v/>
      </c>
      <c r="C2470">
        <f>Inputs!$B$3&gt;=74</f>
        <v/>
      </c>
      <c r="D2470">
        <f>IF(Skills!C14=1,60+Inputs!$B$25+Inputs!$B$29,IF(Skills!C14=2,90+Inputs!$B$26+Inputs!$B$29,IF(Skills!C14=3,120+Inputs!$B$27+Inputs!$B$29,MAX(0,(Inputs!$B$3-100)*3)+Inputs!$B$28+Inputs!$B$29)))</f>
        <v/>
      </c>
      <c r="E2470">
        <f>INDEX(FactorTable!$B$2:$Y$301, MATCH(ROUND(MIN(300,MAX(1,D2470)),0), FactorTable!$A$2:$A$301,0), Skills!M14+1)</f>
        <v/>
      </c>
      <c r="F2470">
        <f>IF(Skills!N14=TRUE,(Skills!L14/10)*(E2470/1000),Skills!L14/10)+Skills!O14</f>
        <v/>
      </c>
      <c r="G2470">
        <f>Skills!G14*IF(Skills!H14&gt;0,Skills!I14/Skills!H14,1)</f>
        <v/>
      </c>
      <c r="H2470">
        <f>1-(1-Skills!J14/100)^Skills!K14</f>
        <v/>
      </c>
      <c r="I2470" t="inlineStr">
        <is>
          <t>1</t>
        </is>
      </c>
      <c r="J2470" t="inlineStr"/>
      <c r="K2470" t="inlineStr"/>
      <c r="L2470" t="inlineStr"/>
      <c r="M2470" t="inlineStr"/>
      <c r="N2470" t="inlineStr"/>
      <c r="O2470">
        <f>(1-Summary!$B$11)*T2470+Summary!$B$11*V2470</f>
        <v/>
      </c>
      <c r="P2470">
        <f>IF(B2498=0,0,O2470/B2498)</f>
        <v/>
      </c>
      <c r="Q2470" t="n">
        <v>0</v>
      </c>
      <c r="R2470" t="n">
        <v>0</v>
      </c>
      <c r="S2470" t="n">
        <v>0</v>
      </c>
      <c r="T2470" t="n">
        <v>0</v>
      </c>
      <c r="V2470" t="n">
        <v>0</v>
      </c>
    </row>
    <row r="2471">
      <c r="A2471">
        <f>Skills!A15</f>
        <v/>
      </c>
      <c r="B2471">
        <f>Skills!B15</f>
        <v/>
      </c>
      <c r="C2471">
        <f>Inputs!$B$3&gt;=117</f>
        <v/>
      </c>
      <c r="D2471">
        <f>IF(Skills!C15=1,60+Inputs!$B$25+Inputs!$B$29,IF(Skills!C15=2,90+Inputs!$B$26+Inputs!$B$29,IF(Skills!C15=3,120+Inputs!$B$27+Inputs!$B$29,MAX(0,(Inputs!$B$3-100)*3)+Inputs!$B$28+Inputs!$B$29)))</f>
        <v/>
      </c>
      <c r="E2471">
        <f>INDEX(FactorTable!$B$2:$Y$301, MATCH(ROUND(MIN(300,MAX(1,D2471)),0), FactorTable!$A$2:$A$301,0), Skills!M15+1)</f>
        <v/>
      </c>
      <c r="F2471">
        <f>IF(Skills!N15=TRUE,(Skills!L15/10)*(E2471/1000),Skills!L15/10)+Skills!O15</f>
        <v/>
      </c>
      <c r="G2471">
        <f>Skills!G15*IF(Skills!H15&gt;0,Skills!I15/Skills!H15,1)</f>
        <v/>
      </c>
      <c r="H2471">
        <f>1-(1-Skills!J15/100)^Skills!K15</f>
        <v/>
      </c>
      <c r="I2471" t="inlineStr">
        <is>
          <t>1</t>
        </is>
      </c>
      <c r="J2471" t="inlineStr"/>
      <c r="K2471" t="inlineStr"/>
      <c r="L2471" t="inlineStr"/>
      <c r="M2471" t="inlineStr"/>
      <c r="N2471" t="inlineStr"/>
      <c r="O2471">
        <f>(1-Summary!$B$11)*T2471+Summary!$B$11*V2471</f>
        <v/>
      </c>
      <c r="P2471">
        <f>IF(B2498=0,0,O2471/B2498)</f>
        <v/>
      </c>
      <c r="Q2471">
        <f>IFERROR(1/IF(Inputs!$B$38="pvp",15,MAX(0.1,Skills!D15-IF(Skills!E15=TRUE,Inputs!$B$32,0))),0)</f>
        <v/>
      </c>
      <c r="R2471">
        <f>IF(AND(Inputs!$B$38&lt;&gt;"pvp",Inputs!$B$43&gt;0),IF(Inputs!$B$43&lt;=0,0,(INT(Inputs!$B$43/IF(Inputs!$B$38="pvp",15,MAX(0.1,Skills!D15-IF(Skills!E15=TRUE,Inputs!$B$32,0))))+1)),0)</f>
        <v/>
      </c>
      <c r="S2471" t="n">
        <v>0</v>
      </c>
      <c r="T2471" t="n">
        <v>0</v>
      </c>
      <c r="V2471" t="n">
        <v>0</v>
      </c>
    </row>
    <row r="2472">
      <c r="A2472">
        <f>Skills!A16</f>
        <v/>
      </c>
      <c r="B2472">
        <f>Skills!B16</f>
        <v/>
      </c>
      <c r="C2472">
        <f>Inputs!$B$3&gt;=115</f>
        <v/>
      </c>
      <c r="D2472">
        <f>IF(Skills!C16=1,60+Inputs!$B$25+Inputs!$B$29,IF(Skills!C16=2,90+Inputs!$B$26+Inputs!$B$29,IF(Skills!C16=3,120+Inputs!$B$27+Inputs!$B$29,MAX(0,(Inputs!$B$3-100)*3)+Inputs!$B$28+Inputs!$B$29)))</f>
        <v/>
      </c>
      <c r="E2472">
        <f>INDEX(FactorTable!$B$2:$Y$301, MATCH(ROUND(MIN(300,MAX(1,D2472)),0), FactorTable!$A$2:$A$301,0), Skills!M16+1)</f>
        <v/>
      </c>
      <c r="F2472">
        <f>IF(Skills!N16=TRUE,(Skills!L16/10)*(E2472/1000),Skills!L16/10)+Skills!O16</f>
        <v/>
      </c>
      <c r="G2472">
        <f>Skills!G16*IF(Skills!H16&gt;0,Skills!I16/Skills!H16,1)</f>
        <v/>
      </c>
      <c r="H2472">
        <f>1-(1-Skills!J16/100)^Skills!K16</f>
        <v/>
      </c>
      <c r="I2472" t="inlineStr">
        <is>
          <t>1</t>
        </is>
      </c>
      <c r="J2472" t="inlineStr"/>
      <c r="K2472" t="inlineStr"/>
      <c r="L2472" t="inlineStr"/>
      <c r="M2472" t="inlineStr"/>
      <c r="N2472" t="inlineStr"/>
      <c r="O2472">
        <f>(1-Summary!$B$11)*T2472+Summary!$B$11*V2472</f>
        <v/>
      </c>
      <c r="P2472">
        <f>IF(B2498=0,0,O2472/B2498)</f>
        <v/>
      </c>
      <c r="Q2472">
        <f>IFERROR(1/IF(Inputs!$B$38="pvp",15,MAX(0.1,Skills!D16-IF(Skills!E16=TRUE,Inputs!$B$32,0))),0)</f>
        <v/>
      </c>
      <c r="R2472">
        <f>IF(AND(Inputs!$B$38&lt;&gt;"pvp",Inputs!$B$43&gt;0),IF(Inputs!$B$43&lt;=0,0,(INT(Inputs!$B$43/IF(Inputs!$B$38="pvp",15,MAX(0.1,Skills!D16-IF(Skills!E16=TRUE,Inputs!$B$32,0))))+1)),0)</f>
        <v/>
      </c>
      <c r="S2472" t="n">
        <v>0</v>
      </c>
      <c r="T2472" t="n">
        <v>0</v>
      </c>
      <c r="V2472" t="n">
        <v>0</v>
      </c>
    </row>
    <row r="2473">
      <c r="A2473">
        <f>Skills!A17</f>
        <v/>
      </c>
      <c r="B2473">
        <f>Skills!B17</f>
        <v/>
      </c>
      <c r="C2473">
        <f>Inputs!$B$3&gt;=72</f>
        <v/>
      </c>
      <c r="D2473">
        <f>IF(Skills!C17=1,60+Inputs!$B$25+Inputs!$B$29,IF(Skills!C17=2,90+Inputs!$B$26+Inputs!$B$29,IF(Skills!C17=3,120+Inputs!$B$27+Inputs!$B$29,MAX(0,(Inputs!$B$3-100)*3)+Inputs!$B$28+Inputs!$B$29)))</f>
        <v/>
      </c>
      <c r="E2473">
        <f>INDEX(FactorTable!$B$2:$Y$301, MATCH(ROUND(MIN(300,MAX(1,D2473)),0), FactorTable!$A$2:$A$301,0), Skills!M17+1)</f>
        <v/>
      </c>
      <c r="F2473">
        <f>IF(Skills!N17=TRUE,(Skills!L17/10)*(E2473/1000),Skills!L17/10)+Skills!O17</f>
        <v/>
      </c>
      <c r="G2473">
        <f>Skills!G17*IF(Skills!H17&gt;0,Skills!I17/Skills!H17,1)</f>
        <v/>
      </c>
      <c r="H2473">
        <f>1-(1-Skills!J17/100)^Skills!K17</f>
        <v/>
      </c>
      <c r="I2473" t="inlineStr">
        <is>
          <t>1</t>
        </is>
      </c>
      <c r="J2473" t="inlineStr"/>
      <c r="K2473" t="inlineStr"/>
      <c r="L2473" t="inlineStr"/>
      <c r="M2473" t="inlineStr"/>
      <c r="N2473" t="inlineStr"/>
      <c r="O2473">
        <f>(1-Summary!$B$11)*T2473+Summary!$B$11*V2473</f>
        <v/>
      </c>
      <c r="P2473">
        <f>IF(B2498=0,0,O2473/B2498)</f>
        <v/>
      </c>
      <c r="Q2473" t="n">
        <v>0</v>
      </c>
      <c r="R2473" t="n">
        <v>0</v>
      </c>
      <c r="S2473" t="n">
        <v>0</v>
      </c>
      <c r="T2473" t="n">
        <v>0</v>
      </c>
      <c r="V2473" t="n">
        <v>0</v>
      </c>
    </row>
    <row r="2474">
      <c r="A2474">
        <f>Skills!A18</f>
        <v/>
      </c>
      <c r="B2474">
        <f>Skills!B18</f>
        <v/>
      </c>
      <c r="C2474">
        <f>TRUE</f>
        <v/>
      </c>
      <c r="D2474">
        <f>IF(Skills!C18=1,60+Inputs!$B$25+Inputs!$B$29,IF(Skills!C18=2,90+Inputs!$B$26+Inputs!$B$29,IF(Skills!C18=3,120+Inputs!$B$27+Inputs!$B$29,MAX(0,(Inputs!$B$3-100)*3)+Inputs!$B$28+Inputs!$B$29)))</f>
        <v/>
      </c>
      <c r="E2474">
        <f>INDEX(FactorTable!$B$2:$Y$301, MATCH(ROUND(MIN(300,MAX(1,D2474)),0), FactorTable!$A$2:$A$301,0), Skills!M18+1)</f>
        <v/>
      </c>
      <c r="F2474">
        <f>IF(Skills!N18=TRUE,(Skills!L18/10)*(E2474/1000),Skills!L18/10)+Skills!O18</f>
        <v/>
      </c>
      <c r="G2474">
        <f>Skills!G18*IF(Skills!H18&gt;0,Skills!I18/Skills!H18,1)</f>
        <v/>
      </c>
      <c r="H2474">
        <f>1-(1-Skills!J18/100)^Skills!K18</f>
        <v/>
      </c>
      <c r="I2474" t="inlineStr">
        <is>
          <t>1</t>
        </is>
      </c>
      <c r="J2474" t="inlineStr"/>
      <c r="K2474" t="inlineStr"/>
      <c r="L2474" t="inlineStr"/>
      <c r="M2474" t="inlineStr"/>
      <c r="N2474" t="inlineStr"/>
      <c r="O2474">
        <f>(1-Summary!$B$11)*T2474+Summary!$B$11*V2474</f>
        <v/>
      </c>
      <c r="P2474">
        <f>IF(B2498=0,0,O2474/B2498)</f>
        <v/>
      </c>
      <c r="Q2474">
        <f>IFERROR(1/IF(Inputs!$B$38="pvp",15,MAX(0.1,Skills!D18-IF(Skills!E18=TRUE,Inputs!$B$32,0))),0)</f>
        <v/>
      </c>
      <c r="R2474">
        <f>IF(AND(Inputs!$B$38&lt;&gt;"pvp",Inputs!$B$43&gt;0),IF(Inputs!$B$43&lt;=0,0,(INT(Inputs!$B$43/IF(Inputs!$B$38="pvp",15,MAX(0.1,Skills!D18-IF(Skills!E18=TRUE,Inputs!$B$32,0))))+1)),0)</f>
        <v/>
      </c>
      <c r="S2474" t="n">
        <v>0</v>
      </c>
      <c r="T2474" t="n">
        <v>0</v>
      </c>
      <c r="V2474" t="n">
        <v>0</v>
      </c>
    </row>
    <row r="2475">
      <c r="A2475">
        <f>Skills!A19</f>
        <v/>
      </c>
      <c r="B2475">
        <f>Skills!B19</f>
        <v/>
      </c>
      <c r="C2475">
        <f>Inputs!$B$3&gt;=15</f>
        <v/>
      </c>
      <c r="D2475">
        <f>IF(Skills!C19=1,60+Inputs!$B$25+Inputs!$B$29,IF(Skills!C19=2,90+Inputs!$B$26+Inputs!$B$29,IF(Skills!C19=3,120+Inputs!$B$27+Inputs!$B$29,MAX(0,(Inputs!$B$3-100)*3)+Inputs!$B$28+Inputs!$B$29)))</f>
        <v/>
      </c>
      <c r="E2475">
        <f>INDEX(FactorTable!$B$2:$Y$301, MATCH(ROUND(MIN(300,MAX(1,D2475)),0), FactorTable!$A$2:$A$301,0), Skills!M19+1)</f>
        <v/>
      </c>
      <c r="F2475">
        <f>IF(Skills!N19=TRUE,(Skills!L19/10)*(E2475/1000),Skills!L19/10)+Skills!O19</f>
        <v/>
      </c>
      <c r="G2475">
        <f>Skills!G19*IF(Skills!H19&gt;0,Skills!I19/Skills!H19,1)</f>
        <v/>
      </c>
      <c r="H2475">
        <f>1-(1-Skills!J19/100)^Skills!K19</f>
        <v/>
      </c>
      <c r="I2475" t="inlineStr">
        <is>
          <t>1</t>
        </is>
      </c>
      <c r="J2475" t="inlineStr"/>
      <c r="K2475" t="inlineStr"/>
      <c r="L2475" t="inlineStr"/>
      <c r="M2475" t="inlineStr"/>
      <c r="N2475" t="inlineStr"/>
      <c r="O2475">
        <f>(1-Summary!$B$11)*T2475+Summary!$B$11*V2475</f>
        <v/>
      </c>
      <c r="P2475">
        <f>IF(B2498=0,0,O2475/B2498)</f>
        <v/>
      </c>
      <c r="Q2475" t="n">
        <v>0</v>
      </c>
      <c r="R2475" t="n">
        <v>0</v>
      </c>
      <c r="S2475" t="n">
        <v>0</v>
      </c>
      <c r="T2475" t="n">
        <v>0</v>
      </c>
      <c r="V2475" t="n">
        <v>0</v>
      </c>
    </row>
    <row r="2476">
      <c r="A2476">
        <f>Skills!A20</f>
        <v/>
      </c>
      <c r="B2476">
        <f>Skills!B20</f>
        <v/>
      </c>
      <c r="C2476">
        <f>Inputs!$B$3&gt;=10</f>
        <v/>
      </c>
      <c r="D2476">
        <f>IF(Skills!C20=1,60+Inputs!$B$25+Inputs!$B$29,IF(Skills!C20=2,90+Inputs!$B$26+Inputs!$B$29,IF(Skills!C20=3,120+Inputs!$B$27+Inputs!$B$29,MAX(0,(Inputs!$B$3-100)*3)+Inputs!$B$28+Inputs!$B$29)))</f>
        <v/>
      </c>
      <c r="E2476">
        <f>INDEX(FactorTable!$B$2:$Y$301, MATCH(ROUND(MIN(300,MAX(1,D2476)),0), FactorTable!$A$2:$A$301,0), Skills!M20+1)</f>
        <v/>
      </c>
      <c r="F2476">
        <f>IF(Skills!N20=TRUE,(Skills!L20/10)*(E2476/1000),Skills!L20/10)+Skills!O20</f>
        <v/>
      </c>
      <c r="G2476">
        <f>Skills!G20*IF(Skills!H20&gt;0,Skills!I20/Skills!H20,1)</f>
        <v/>
      </c>
      <c r="H2476">
        <f>1-(1-Skills!J20/100)^Skills!K20</f>
        <v/>
      </c>
      <c r="I2476" t="inlineStr">
        <is>
          <t>1</t>
        </is>
      </c>
      <c r="J2476" t="inlineStr"/>
      <c r="K2476" t="inlineStr"/>
      <c r="L2476" t="inlineStr"/>
      <c r="M2476" t="inlineStr"/>
      <c r="N2476" t="inlineStr"/>
      <c r="O2476">
        <f>(1-Summary!$B$11)*T2476+Summary!$B$11*V2476</f>
        <v/>
      </c>
      <c r="P2476">
        <f>IF(B2498=0,0,O2476/B2498)</f>
        <v/>
      </c>
      <c r="Q2476" t="n">
        <v>0</v>
      </c>
      <c r="R2476" t="n">
        <v>0</v>
      </c>
      <c r="S2476" t="n">
        <v>0</v>
      </c>
      <c r="T2476" t="n">
        <v>0</v>
      </c>
      <c r="V2476" t="n">
        <v>0</v>
      </c>
    </row>
    <row r="2477">
      <c r="A2477">
        <f>Skills!A21</f>
        <v/>
      </c>
      <c r="B2477">
        <f>Skills!B21</f>
        <v/>
      </c>
      <c r="C2477">
        <f>Inputs!$B$3&gt;=33</f>
        <v/>
      </c>
      <c r="D2477">
        <f>IF(Skills!C21=1,60+Inputs!$B$25+Inputs!$B$29,IF(Skills!C21=2,90+Inputs!$B$26+Inputs!$B$29,IF(Skills!C21=3,120+Inputs!$B$27+Inputs!$B$29,MAX(0,(Inputs!$B$3-100)*3)+Inputs!$B$28+Inputs!$B$29)))</f>
        <v/>
      </c>
      <c r="E2477">
        <f>INDEX(FactorTable!$B$2:$Y$301, MATCH(ROUND(MIN(300,MAX(1,D2477)),0), FactorTable!$A$2:$A$301,0), Skills!M21+1)</f>
        <v/>
      </c>
      <c r="F2477">
        <f>IF(Skills!N21=TRUE,(Skills!L21/10)*(E2477/1000),Skills!L21/10)+Skills!O21</f>
        <v/>
      </c>
      <c r="G2477">
        <f>Skills!G21*IF(Skills!H21&gt;0,Skills!I21/Skills!H21,1)</f>
        <v/>
      </c>
      <c r="H2477">
        <f>1-(1-Skills!J21/100)^Skills!K21</f>
        <v/>
      </c>
      <c r="I2477" t="inlineStr">
        <is>
          <t>1</t>
        </is>
      </c>
      <c r="J2477" t="inlineStr"/>
      <c r="K2477" t="inlineStr"/>
      <c r="L2477" t="inlineStr"/>
      <c r="M2477" t="inlineStr"/>
      <c r="N2477" t="inlineStr"/>
      <c r="O2477">
        <f>(1-Summary!$B$11)*T2477+Summary!$B$11*V2477</f>
        <v/>
      </c>
      <c r="P2477">
        <f>IF(B2498=0,0,O2477/B2498)</f>
        <v/>
      </c>
      <c r="Q2477" t="n">
        <v>0</v>
      </c>
      <c r="R2477" t="n">
        <v>0</v>
      </c>
      <c r="S2477" t="n">
        <v>0</v>
      </c>
      <c r="T2477" t="n">
        <v>0</v>
      </c>
      <c r="V2477" t="n">
        <v>0</v>
      </c>
    </row>
    <row r="2478">
      <c r="A2478">
        <f>Skills!A22</f>
        <v/>
      </c>
      <c r="B2478">
        <f>Skills!B22</f>
        <v/>
      </c>
      <c r="C2478">
        <f>Inputs!$B$3&gt;=38</f>
        <v/>
      </c>
      <c r="D2478">
        <f>IF(Skills!C22=1,60+Inputs!$B$25+Inputs!$B$29,IF(Skills!C22=2,90+Inputs!$B$26+Inputs!$B$29,IF(Skills!C22=3,120+Inputs!$B$27+Inputs!$B$29,MAX(0,(Inputs!$B$3-100)*3)+Inputs!$B$28+Inputs!$B$29)))</f>
        <v/>
      </c>
      <c r="E2478">
        <f>INDEX(FactorTable!$B$2:$Y$301, MATCH(ROUND(MIN(300,MAX(1,D2478)),0), FactorTable!$A$2:$A$301,0), Skills!M22+1)</f>
        <v/>
      </c>
      <c r="F2478">
        <f>IF(Skills!N22=TRUE,(Skills!L22/10)*(E2478/1000),Skills!L22/10)+Skills!O22</f>
        <v/>
      </c>
      <c r="G2478">
        <f>Skills!G22*IF(Skills!H22&gt;0,Skills!I22/Skills!H22,1)</f>
        <v/>
      </c>
      <c r="H2478">
        <f>1-(1-Skills!J22/100)^Skills!K22</f>
        <v/>
      </c>
      <c r="I2478" t="inlineStr">
        <is>
          <t>1</t>
        </is>
      </c>
      <c r="J2478" t="inlineStr"/>
      <c r="K2478" t="inlineStr"/>
      <c r="L2478" t="inlineStr"/>
      <c r="M2478" t="inlineStr"/>
      <c r="N2478" t="inlineStr"/>
      <c r="O2478">
        <f>(1-Summary!$B$11)*T2478+Summary!$B$11*V2478</f>
        <v/>
      </c>
      <c r="P2478">
        <f>IF(B2498=0,0,O2478/B2498)</f>
        <v/>
      </c>
      <c r="Q2478" t="n">
        <v>0</v>
      </c>
      <c r="R2478" t="n">
        <v>0</v>
      </c>
      <c r="S2478" t="n">
        <v>0</v>
      </c>
      <c r="T2478" t="n">
        <v>0</v>
      </c>
      <c r="V2478" t="n">
        <v>0</v>
      </c>
    </row>
    <row r="2479">
      <c r="A2479">
        <f>Skills!A23</f>
        <v/>
      </c>
      <c r="B2479">
        <f>Skills!B23</f>
        <v/>
      </c>
      <c r="C2479">
        <f>Inputs!$B$3&gt;=43</f>
        <v/>
      </c>
      <c r="D2479">
        <f>IF(Skills!C23=1,60+Inputs!$B$25+Inputs!$B$29,IF(Skills!C23=2,90+Inputs!$B$26+Inputs!$B$29,IF(Skills!C23=3,120+Inputs!$B$27+Inputs!$B$29,MAX(0,(Inputs!$B$3-100)*3)+Inputs!$B$28+Inputs!$B$29)))</f>
        <v/>
      </c>
      <c r="E2479">
        <f>INDEX(FactorTable!$B$2:$Y$301, MATCH(ROUND(MIN(300,MAX(1,D2479)),0), FactorTable!$A$2:$A$301,0), Skills!M23+1)</f>
        <v/>
      </c>
      <c r="F2479">
        <f>IF(Skills!N23=TRUE,(Skills!L23/10)*(E2479/1000),Skills!L23/10)+Skills!O23</f>
        <v/>
      </c>
      <c r="G2479">
        <f>Skills!G23*IF(Skills!H23&gt;0,Skills!I23/Skills!H23,1)</f>
        <v/>
      </c>
      <c r="H2479">
        <f>1-(1-Skills!J23/100)^Skills!K23</f>
        <v/>
      </c>
      <c r="I2479" t="inlineStr">
        <is>
          <t>1</t>
        </is>
      </c>
      <c r="J2479" t="inlineStr"/>
      <c r="K2479" t="inlineStr"/>
      <c r="L2479" t="inlineStr"/>
      <c r="M2479" t="inlineStr"/>
      <c r="N2479" t="inlineStr"/>
      <c r="O2479">
        <f>(1-Summary!$B$11)*T2479+Summary!$B$11*V2479</f>
        <v/>
      </c>
      <c r="P2479">
        <f>IF(B2498=0,0,O2479/B2498)</f>
        <v/>
      </c>
      <c r="Q2479" t="n">
        <v>0</v>
      </c>
      <c r="R2479" t="n">
        <v>0</v>
      </c>
      <c r="S2479" t="n">
        <v>0</v>
      </c>
      <c r="T2479" t="n">
        <v>0</v>
      </c>
      <c r="V2479" t="n">
        <v>0</v>
      </c>
    </row>
    <row r="2480">
      <c r="A2480">
        <f>Skills!A24</f>
        <v/>
      </c>
      <c r="B2480">
        <f>Skills!B24</f>
        <v/>
      </c>
      <c r="C2480">
        <f>Inputs!$B$3&gt;=75</f>
        <v/>
      </c>
      <c r="D2480">
        <f>IF(Skills!C24=1,60+Inputs!$B$25+Inputs!$B$29,IF(Skills!C24=2,90+Inputs!$B$26+Inputs!$B$29,IF(Skills!C24=3,120+Inputs!$B$27+Inputs!$B$29,MAX(0,(Inputs!$B$3-100)*3)+Inputs!$B$28+Inputs!$B$29)))</f>
        <v/>
      </c>
      <c r="E2480">
        <f>INDEX(FactorTable!$B$2:$Y$301, MATCH(ROUND(MIN(300,MAX(1,D2480)),0), FactorTable!$A$2:$A$301,0), Skills!M24+1)</f>
        <v/>
      </c>
      <c r="F2480">
        <f>IF(Skills!N24=TRUE,(Skills!L24/10)*(E2480/1000),Skills!L24/10)+Skills!O24</f>
        <v/>
      </c>
      <c r="G2480">
        <f>Skills!G24*IF(Skills!H24&gt;0,Skills!I24/Skills!H24,1)</f>
        <v/>
      </c>
      <c r="H2480">
        <f>1-(1-Skills!J24/100)^Skills!K24</f>
        <v/>
      </c>
      <c r="I2480" t="inlineStr">
        <is>
          <t>1</t>
        </is>
      </c>
      <c r="J2480" t="inlineStr"/>
      <c r="K2480" t="inlineStr"/>
      <c r="L2480" t="inlineStr"/>
      <c r="M2480" t="inlineStr"/>
      <c r="N2480" t="inlineStr"/>
      <c r="O2480">
        <f>(1-Summary!$B$11)*T2480+Summary!$B$11*V2480</f>
        <v/>
      </c>
      <c r="P2480">
        <f>IF(B2498=0,0,O2480/B2498)</f>
        <v/>
      </c>
      <c r="Q2480" t="n">
        <v>0</v>
      </c>
      <c r="R2480" t="n">
        <v>0</v>
      </c>
      <c r="S2480" t="n">
        <v>0</v>
      </c>
      <c r="T2480" t="n">
        <v>0</v>
      </c>
      <c r="V2480" t="n">
        <v>0</v>
      </c>
    </row>
    <row r="2481">
      <c r="A2481">
        <f>Skills!A25</f>
        <v/>
      </c>
      <c r="B2481">
        <f>Skills!B25</f>
        <v/>
      </c>
      <c r="C2481">
        <f>Inputs!$B$3&gt;=125</f>
        <v/>
      </c>
      <c r="D2481">
        <f>IF(Skills!C25=1,60+Inputs!$B$25+Inputs!$B$29,IF(Skills!C25=2,90+Inputs!$B$26+Inputs!$B$29,IF(Skills!C25=3,120+Inputs!$B$27+Inputs!$B$29,MAX(0,(Inputs!$B$3-100)*3)+Inputs!$B$28+Inputs!$B$29)))</f>
        <v/>
      </c>
      <c r="E2481">
        <f>INDEX(FactorTable!$B$2:$Y$301, MATCH(ROUND(MIN(300,MAX(1,D2481)),0), FactorTable!$A$2:$A$301,0), Skills!M25+1)</f>
        <v/>
      </c>
      <c r="F2481">
        <f>IF(Skills!N25=TRUE,(Skills!L25/10)*(E2481/1000),Skills!L25/10)+Skills!O25</f>
        <v/>
      </c>
      <c r="G2481">
        <f>Skills!G25*IF(Skills!H25&gt;0,Skills!I25/Skills!H25,1)</f>
        <v/>
      </c>
      <c r="H2481">
        <f>1-(1-Skills!J25/100)^Skills!K25</f>
        <v/>
      </c>
      <c r="I2481" t="inlineStr">
        <is>
          <t>1</t>
        </is>
      </c>
      <c r="J2481" t="inlineStr"/>
      <c r="K2481" t="inlineStr"/>
      <c r="L2481" t="inlineStr"/>
      <c r="M2481" t="inlineStr"/>
      <c r="N2481" t="inlineStr"/>
      <c r="O2481">
        <f>(1-Summary!$B$11)*T2481+Summary!$B$11*V2481</f>
        <v/>
      </c>
      <c r="P2481">
        <f>IF(B2498=0,0,O2481/B2498)</f>
        <v/>
      </c>
      <c r="Q2481" t="n">
        <v>0</v>
      </c>
      <c r="R2481" t="n">
        <v>0</v>
      </c>
      <c r="S2481" t="n">
        <v>0</v>
      </c>
      <c r="T2481" t="n">
        <v>0</v>
      </c>
      <c r="V2481" t="n">
        <v>0</v>
      </c>
    </row>
    <row r="2482">
      <c r="A2482">
        <f>Skills!A26</f>
        <v/>
      </c>
      <c r="B2482">
        <f>Skills!B26</f>
        <v/>
      </c>
      <c r="C2482">
        <f>Inputs!$B$3&gt;=125</f>
        <v/>
      </c>
      <c r="D2482">
        <f>IF(Skills!C26=1,60+Inputs!$B$25+Inputs!$B$29,IF(Skills!C26=2,90+Inputs!$B$26+Inputs!$B$29,IF(Skills!C26=3,120+Inputs!$B$27+Inputs!$B$29,MAX(0,(Inputs!$B$3-100)*3)+Inputs!$B$28+Inputs!$B$29)))</f>
        <v/>
      </c>
      <c r="E2482">
        <f>INDEX(FactorTable!$B$2:$Y$301, MATCH(ROUND(MIN(300,MAX(1,D2482)),0), FactorTable!$A$2:$A$301,0), Skills!M26+1)</f>
        <v/>
      </c>
      <c r="F2482">
        <f>IF(Skills!N26=TRUE,(Skills!L26/10)*(E2482/1000),Skills!L26/10)+Skills!O26</f>
        <v/>
      </c>
      <c r="G2482">
        <f>Skills!G26*IF(Skills!H26&gt;0,Skills!I26/Skills!H26,1)</f>
        <v/>
      </c>
      <c r="H2482">
        <f>1-(1-Skills!J26/100)^Skills!K26</f>
        <v/>
      </c>
      <c r="I2482" t="inlineStr">
        <is>
          <t>1</t>
        </is>
      </c>
      <c r="J2482" t="inlineStr"/>
      <c r="K2482" t="inlineStr"/>
      <c r="L2482" t="inlineStr"/>
      <c r="M2482" t="inlineStr"/>
      <c r="N2482" t="inlineStr"/>
      <c r="O2482">
        <f>(1-Summary!$B$11)*T2482+Summary!$B$11*V2482</f>
        <v/>
      </c>
      <c r="P2482">
        <f>IF(B2498=0,0,O2482/B2498)</f>
        <v/>
      </c>
      <c r="Q2482" t="n">
        <v>0</v>
      </c>
      <c r="R2482" t="n">
        <v>0</v>
      </c>
      <c r="S2482" t="n">
        <v>0</v>
      </c>
      <c r="T2482" t="n">
        <v>0</v>
      </c>
      <c r="V2482" t="n">
        <v>0</v>
      </c>
    </row>
    <row r="2483">
      <c r="A2483">
        <f>Skills!A27</f>
        <v/>
      </c>
      <c r="B2483">
        <f>Skills!B27</f>
        <v/>
      </c>
      <c r="C2483">
        <f>Inputs!$B$3&gt;=120</f>
        <v/>
      </c>
      <c r="D2483">
        <f>IF(Skills!C27=1,60+Inputs!$B$25+Inputs!$B$29,IF(Skills!C27=2,90+Inputs!$B$26+Inputs!$B$29,IF(Skills!C27=3,120+Inputs!$B$27+Inputs!$B$29,MAX(0,(Inputs!$B$3-100)*3)+Inputs!$B$28+Inputs!$B$29)))</f>
        <v/>
      </c>
      <c r="E2483">
        <f>INDEX(FactorTable!$B$2:$Y$301, MATCH(ROUND(MIN(300,MAX(1,D2483)),0), FactorTable!$A$2:$A$301,0), Skills!M27+1)</f>
        <v/>
      </c>
      <c r="F2483">
        <f>IF(Skills!N27=TRUE,(Skills!L27/10)*(E2483/1000),Skills!L27/10)+Skills!O27</f>
        <v/>
      </c>
      <c r="G2483">
        <f>Skills!G27*IF(Skills!H27&gt;0,Skills!I27/Skills!H27,1)</f>
        <v/>
      </c>
      <c r="H2483">
        <f>1-(1-Skills!J27/100)^Skills!K27</f>
        <v/>
      </c>
      <c r="I2483" t="inlineStr">
        <is>
          <t>1</t>
        </is>
      </c>
      <c r="J2483" t="inlineStr"/>
      <c r="K2483" t="inlineStr"/>
      <c r="L2483" t="inlineStr"/>
      <c r="M2483" t="inlineStr"/>
      <c r="N2483" t="inlineStr"/>
      <c r="O2483">
        <f>(1-Summary!$B$11)*T2483+Summary!$B$11*V2483</f>
        <v/>
      </c>
      <c r="P2483">
        <f>IF(B2498=0,0,O2483/B2498)</f>
        <v/>
      </c>
      <c r="Q2483" t="n">
        <v>0</v>
      </c>
      <c r="R2483" t="n">
        <v>0</v>
      </c>
      <c r="S2483" t="n">
        <v>0</v>
      </c>
      <c r="T2483" t="n">
        <v>0</v>
      </c>
      <c r="V2483" t="n">
        <v>0</v>
      </c>
    </row>
    <row r="2484">
      <c r="A2484">
        <f>Skills!A28</f>
        <v/>
      </c>
      <c r="B2484">
        <f>Skills!B28</f>
        <v/>
      </c>
      <c r="C2484">
        <f>Inputs!$B$3&gt;=120</f>
        <v/>
      </c>
      <c r="D2484">
        <f>IF(Skills!C28=1,60+Inputs!$B$25+Inputs!$B$29,IF(Skills!C28=2,90+Inputs!$B$26+Inputs!$B$29,IF(Skills!C28=3,120+Inputs!$B$27+Inputs!$B$29,MAX(0,(Inputs!$B$3-100)*3)+Inputs!$B$28+Inputs!$B$29)))</f>
        <v/>
      </c>
      <c r="E2484">
        <f>INDEX(FactorTable!$B$2:$Y$301, MATCH(ROUND(MIN(300,MAX(1,D2484)),0), FactorTable!$A$2:$A$301,0), Skills!M28+1)</f>
        <v/>
      </c>
      <c r="F2484">
        <f>IF(Skills!N28=TRUE,(Skills!L28/10)*(E2484/1000),Skills!L28/10)+Skills!O28</f>
        <v/>
      </c>
      <c r="G2484">
        <f>Skills!G28*IF(Skills!H28&gt;0,Skills!I28/Skills!H28,1)</f>
        <v/>
      </c>
      <c r="H2484">
        <f>1-(1-Skills!J28/100)^Skills!K28</f>
        <v/>
      </c>
      <c r="I2484" t="inlineStr">
        <is>
          <t>1</t>
        </is>
      </c>
      <c r="J2484" t="inlineStr"/>
      <c r="K2484" t="inlineStr"/>
      <c r="L2484" t="inlineStr"/>
      <c r="M2484" t="inlineStr"/>
      <c r="N2484" t="inlineStr"/>
      <c r="O2484">
        <f>(1-Summary!$B$11)*T2484+Summary!$B$11*V2484</f>
        <v/>
      </c>
      <c r="P2484">
        <f>IF(B2498=0,0,O2484/B2498)</f>
        <v/>
      </c>
      <c r="Q2484" t="n">
        <v>0</v>
      </c>
      <c r="R2484" t="n">
        <v>0</v>
      </c>
      <c r="S2484" t="n">
        <v>0</v>
      </c>
      <c r="T2484" t="n">
        <v>0</v>
      </c>
      <c r="V2484" t="n">
        <v>0</v>
      </c>
    </row>
    <row r="2485">
      <c r="A2485">
        <f>Skills!A29</f>
        <v/>
      </c>
      <c r="B2485">
        <f>Skills!B29</f>
        <v/>
      </c>
      <c r="C2485">
        <f>Inputs!$B$3&gt;=45</f>
        <v/>
      </c>
      <c r="D2485">
        <f>IF(Skills!C29=1,60+Inputs!$B$25+Inputs!$B$29,IF(Skills!C29=2,90+Inputs!$B$26+Inputs!$B$29,IF(Skills!C29=3,120+Inputs!$B$27+Inputs!$B$29,MAX(0,(Inputs!$B$3-100)*3)+Inputs!$B$28+Inputs!$B$29)))</f>
        <v/>
      </c>
      <c r="E2485">
        <f>INDEX(FactorTable!$B$2:$Y$301, MATCH(ROUND(MIN(300,MAX(1,D2485)),0), FactorTable!$A$2:$A$301,0), Skills!M29+1)</f>
        <v/>
      </c>
      <c r="F2485">
        <f>IF(Skills!N29=TRUE,(Skills!L29/10)*(E2485/1000),Skills!L29/10)+Skills!O29</f>
        <v/>
      </c>
      <c r="G2485">
        <f>Skills!G29*IF(Skills!H29&gt;0,Skills!I29/Skills!H29,1)</f>
        <v/>
      </c>
      <c r="H2485">
        <f>1-(1-Skills!J29/100)^Skills!K29</f>
        <v/>
      </c>
      <c r="I2485" t="inlineStr">
        <is>
          <t>1</t>
        </is>
      </c>
      <c r="J2485" t="inlineStr"/>
      <c r="K2485" t="inlineStr"/>
      <c r="L2485" t="inlineStr"/>
      <c r="M2485" t="inlineStr"/>
      <c r="N2485" t="inlineStr"/>
      <c r="O2485">
        <f>(1-Summary!$B$11)*T2485+Summary!$B$11*V2485</f>
        <v/>
      </c>
      <c r="P2485">
        <f>IF(B2498=0,0,O2485/B2498)</f>
        <v/>
      </c>
      <c r="Q2485" t="n">
        <v>0</v>
      </c>
      <c r="R2485" t="n">
        <v>0</v>
      </c>
      <c r="S2485" t="n">
        <v>0</v>
      </c>
      <c r="T2485" t="n">
        <v>0</v>
      </c>
      <c r="V2485" t="n">
        <v>0</v>
      </c>
    </row>
    <row r="2487">
      <c r="A2487" t="inlineStr">
        <is>
          <t>Attack% Bucket Multiplier</t>
        </is>
      </c>
      <c r="B2487">
        <f>(1+(((C2469=TRUE)*F2469)+((C2470=TRUE)*IF(Inputs!$B$38="pvp",F2470,(1-Summary!$B$11)*(F2470)+Summary!$B$11*(0)))+((C2471=TRUE)*F2471*IF(AND(Inputs!$B$38&lt;&gt;"pvp",Inputs!$B$43&gt;0),(((R2471-1)*(Skills!T15*(1+Inputs!$B$34/100))+MIN((Skills!T15*(1+Inputs!$B$34/100)),MAX(0,Inputs!$B$43-((R2471-1)*Skills!D15))))/Inputs!$B$43),IF(Inputs!$B$38="pvp",MIN((Skills!T15*(1+Inputs!$B$34/100)),15)/15,(Skills!T15*(1+Inputs!$B$34/100))/Skills!D15)))+((C2468=TRUE)*F2468)+((C2485=TRUE)*(F2485-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IF(ArtifactsInput!$M$34,FALSE,TRUE),CHOOSE(ArtifactsInput!$N$34+1,15,18,21,24,27,30),0)+IF(ArtifactsInput!$M$5,CHOOSE(ArtifactsInput!$N$5+1,10,12,14,16,18,20)*(IF(AND(Inputs!$B$38&lt;&gt;"pvp",Inputs!$B$43=0),0.5,(5*INT(MAX(0,IF(Inputs!$B$38="pvp",15,Inputs!$B$43)-10)/10)+MIN((MAX(0,IF(Inputs!$B$38="pvp",15,Inputs!$B$43)-10)-10*INT(MAX(0,IF(Inputs!$B$38="pvp",15,Inputs!$B$43)-10)/10)),5))/IF(Inputs!$B$38="pvp",15,Inputs!$B$43))),0)))/100)</f>
        <v/>
      </c>
    </row>
    <row r="2488">
      <c r="A2488" t="inlineStr">
        <is>
          <t>Global Crit Rate Bonus %</t>
        </is>
      </c>
      <c r="B2488">
        <f>(C2472=TRUE)*20*IF(AND(Inputs!$B$38&lt;&gt;"pvp",Inputs!$B$43&gt;0),(((R2472-1)*(Skills!T16*(1+Inputs!$B$34/100))+MIN((Skills!T16*(1+Inputs!$B$34/100)),MAX(0,Inputs!$B$43-((R2472-1)*Skills!D16))))/Inputs!$B$43),IF(Inputs!$B$38="pvp",MIN((Skills!T16*(1+Inputs!$B$34/100)),15)/15,(Skills!T16*(1+Inputs!$B$34/100))/Skills!D16))</f>
        <v/>
      </c>
    </row>
    <row r="2489">
      <c r="A2489" t="inlineStr">
        <is>
          <t>Attack Speed Buff Bonus %</t>
        </is>
      </c>
      <c r="B2489">
        <f>((C2474=TRUE)*F2474*IF(AND(Inputs!$B$38&lt;&gt;"pvp",Inputs!$B$43&gt;0),(((R2474-1)*(Skills!T18*(1+Inputs!$B$34/100))+MIN((Skills!T18*(1+Inputs!$B$34/100)),MAX(0,Inputs!$B$43-((R2474-1)*Skills!D18))))/Inputs!$B$43),IF(Inputs!$B$38="pvp",MIN((Skills!T18*(1+Inputs!$B$34/100)),15)/15,(Skills!T18*(1+Inputs!$B$34/100))/Skills!D18)))</f>
        <v/>
      </c>
    </row>
    <row r="2490">
      <c r="A2490" t="inlineStr">
        <is>
          <t>Actions Per Second</t>
        </is>
      </c>
      <c r="B2490">
        <f>1+MIN(150,150*(1-(1-(Inputs!$B$11+((C2476=TRUE)*(F2476-Calc!F20))+((C2477=TRUE)*(F2477-Calc!F21)))/150)*(1-B2489/150)))/100</f>
        <v/>
      </c>
    </row>
    <row r="2491">
      <c r="A2491" t="inlineStr">
        <is>
          <t>Skill + Buff Cast Rate</t>
        </is>
      </c>
      <c r="B2491">
        <f>IF(AND(Inputs!$B$38&lt;&gt;"pvp",Inputs!$B$43&gt;0),SUMPRODUCT((Skills!E2:E29=TRUE)*(C2458:C2485=TRUE)*R2458:R2485*Skills!F2:F29)/Inputs!$B$43,SUMPRODUCT((Skills!E2:E29=TRUE)*(C2458:C2485=TRUE)*Q2458:Q2485*Skills!F2:F29))</f>
        <v/>
      </c>
    </row>
    <row r="2492">
      <c r="A2492" t="inlineStr">
        <is>
          <t>Empowered Piercing Arrow Casts Per Second</t>
        </is>
      </c>
      <c r="B2492">
        <f>MAX(0,B2490-B2491)</f>
        <v/>
      </c>
    </row>
    <row r="2493">
      <c r="A2493" t="inlineStr">
        <is>
          <t>Global Critical Damage Bonus % (Sharp Eyes)</t>
        </is>
      </c>
      <c r="B2493">
        <f>(C2472=TRUE)*F2472*IF(AND(Inputs!$B$38&lt;&gt;"pvp",Inputs!$B$43&gt;0),(((R2472-1)*(Skills!T16*(1+Inputs!$B$34/100))+MIN((Skills!T16*(1+Inputs!$B$34/100)),MAX(0,Inputs!$B$43-((R2472-1)*Skills!D16))))/Inputs!$B$43),IF(Inputs!$B$38="pvp",MIN((Skills!T16*(1+Inputs!$B$34/100)),15)/15,(Skills!T16*(1+Inputs!$B$34/100))/Skills!D16))</f>
        <v/>
      </c>
    </row>
    <row r="2494">
      <c r="A2494" t="inlineStr">
        <is>
          <t>Global Final Damage Bonus % (Mortal Blow + Last Man Standing conditional half)</t>
        </is>
      </c>
      <c r="B2494">
        <f>(C2473=TRUE)*F2473+((C2482=TRUE)*IF(Inputs!$B$38="pvp",F2482,(1-Summary!$B$11)*(F2482)+Summary!$B$11*(0)))</f>
        <v/>
      </c>
    </row>
    <row r="2495">
      <c r="A2495" t="inlineStr">
        <is>
          <t>Buff-Casting Startup Delay (s, fixed-duration only)</t>
        </is>
      </c>
      <c r="B2495">
        <f>IF(AND(Inputs!$B$38&lt;&gt;"pvp",Inputs!$B$43&gt;0),SUMPRODUCT((Skills!T2:T29&gt;0)*(Skills!E2:E29=TRUE)*(C2458:C2485=TRUE))/B2490,0)</f>
        <v/>
      </c>
    </row>
    <row r="2496">
      <c r="A2496" t="inlineStr">
        <is>
          <t>Boss-Only Total DPS (this block's swept value)</t>
        </is>
      </c>
      <c r="B2496">
        <f>SUM(T2458:T2485)</f>
        <v/>
      </c>
    </row>
    <row r="2497">
      <c r="A2497" t="inlineStr">
        <is>
          <t>Normal-Only Total DPS (this block's swept value)</t>
        </is>
      </c>
      <c r="B2497">
        <f>SUM(V2458:V2485)</f>
        <v/>
      </c>
    </row>
    <row r="2498">
      <c r="A2498" s="6" t="inlineStr">
        <is>
          <t>TOTAL DPS</t>
        </is>
      </c>
      <c r="B2498" s="6">
        <f>SUM(O2458:O2485)</f>
        <v/>
      </c>
    </row>
    <row r="2501">
      <c r="A2501" s="6" t="inlineStr">
        <is>
          <t>Stat: Peach Tree Herb Pouch (Equip)</t>
        </is>
      </c>
    </row>
    <row r="2502">
      <c r="A2502" s="5" t="inlineStr">
        <is>
          <t>Key</t>
        </is>
      </c>
      <c r="B2502" s="5" t="inlineStr">
        <is>
          <t>Name</t>
        </is>
      </c>
      <c r="C2502" s="5" t="inlineStr">
        <is>
          <t>Unlocked</t>
        </is>
      </c>
      <c r="D2502" s="5" t="inlineStr">
        <is>
          <t>InputLevel</t>
        </is>
      </c>
      <c r="E2502" s="5" t="inlineStr">
        <is>
          <t>Factor</t>
        </is>
      </c>
      <c r="F2502" s="5" t="inlineStr">
        <is>
          <t>CoefficientPercent</t>
        </is>
      </c>
      <c r="G2502" s="5" t="inlineStr">
        <is>
          <t>EffectiveHits</t>
        </is>
      </c>
      <c r="H2502" s="5" t="inlineStr">
        <is>
          <t>ProcProbability</t>
        </is>
      </c>
      <c r="I2502" s="5" t="inlineStr">
        <is>
          <t>MapleHeroMultiplier</t>
        </is>
      </c>
      <c r="J2502" s="5" t="inlineStr">
        <is>
          <t>BaseDamage</t>
        </is>
      </c>
      <c r="K2502" s="5" t="inlineStr">
        <is>
          <t>BaseHitDamage</t>
        </is>
      </c>
      <c r="L2502" s="5" t="inlineStr">
        <is>
          <t>NonCritAvg</t>
        </is>
      </c>
      <c r="M2502" s="5" t="inlineStr">
        <is>
          <t>CritAvg</t>
        </is>
      </c>
      <c r="N2502" s="5" t="inlineStr">
        <is>
          <t>ExpectedDamage(perHit)</t>
        </is>
      </c>
      <c r="O2502" s="5" t="inlineStr">
        <is>
          <t>DPS</t>
        </is>
      </c>
      <c r="P2502" s="5" t="inlineStr">
        <is>
          <t>% of Total</t>
        </is>
      </c>
      <c r="Q2502" s="5" t="inlineStr">
        <is>
          <t>InvCooldown</t>
        </is>
      </c>
      <c r="R2502" s="5" t="inlineStr">
        <is>
          <t>CastsInFight</t>
        </is>
      </c>
      <c r="S2502" s="5" t="inlineStr">
        <is>
          <t>HitRate(perSec)</t>
        </is>
      </c>
      <c r="U2502" t="inlineStr">
        <is>
          <t>helpers</t>
        </is>
      </c>
    </row>
    <row r="2503">
      <c r="A2503">
        <f>Skills!A2</f>
        <v/>
      </c>
      <c r="B2503">
        <f>Skills!B2</f>
        <v/>
      </c>
      <c r="C2503">
        <f>Inputs!$B$3&gt;=100</f>
        <v/>
      </c>
      <c r="D2503" t="inlineStr"/>
      <c r="E2503" t="inlineStr"/>
      <c r="F2503">
        <f>U2505+Skills!O2</f>
        <v/>
      </c>
      <c r="G2503">
        <f>Skills!G2*IF(Skills!H2&gt;0,Skills!I2/Skills!H2,1)</f>
        <v/>
      </c>
      <c r="H2503">
        <f>1-(1-Skills!J2/100)^Skills!K2</f>
        <v/>
      </c>
      <c r="I2503" t="inlineStr">
        <is>
          <t>1</t>
        </is>
      </c>
      <c r="J2503">
        <f>((Inputs!$B$6*(1+Inputs!$B$7/100))+(((Inputs!$B$12*(1+Inputs!$B$13/100))-(Inputs!$B$12*(1+Inputs!$B$13/100)))+0.25*(Inputs!$B$14-Inputs!$B$14))*(1+Inputs!$B$7/100))*(F2503/100)</f>
        <v/>
      </c>
      <c r="K2503">
        <f>J2503*(1+((Inputs!$B$12*(1+Inputs!$B$13/100))*0.01+Inputs!$B$14*0.0025)/100)*(1+Inputs!$B$15/100)*(1+Inputs!$B$16/100)*(5000/(6000+Inputs!$B$42*(1-(100*(1-(1-(Inputs!$B$19+0)/100)*(1-CHOOSE(ArtifactsInput!$N$40+1,5,6,7,8,9,10)/100)^(ArtifactsInput!$M$40-ArtifactsInput!$M$40)))/100)))*(1+(Inputs!$B$24+((C2525=TRUE)*(F2525-Calc!F24))+((C2526=TRUE)*(F2526-Calc!F25))+B2539)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EMPOWERED_PIERCING_ARROW",Inputs!$B$17+((C2523=TRUE)*(F2523-Calc!F22))+(((IF(AND(ArtifactsInput!$M$42,((Inputs!$B$9+((C2520=TRUE)*(F2520-Calc!F19))+B2533+(ArtifactsInput!$M$24-ArtifactsInput!$M$24)*CHOOSE(ArtifactsInput!$N$24+1,10,12,14,16,18,20)+IF(ArtifactsInput!$M$10,CHOOSE(ArtifactsInput!$N$10+1,15,18,21,24,27,30)*(IF(Inputs!$B$38="pvp",MIN(15,15)/15,IF(AND(Inputs!$B$38&lt;&gt;"pvp",Inputs!$B$43&gt;0),MIN(15,Inputs!$B$43)/(Inputs!$B$43),0))),0)))&gt;=100),MIN(100,((Inputs!$B$9+((C2520=TRUE)*(F2520-Calc!F19))+B2533+(ArtifactsInput!$M$24-ArtifactsInput!$M$24)*CHOOSE(ArtifactsInput!$N$24+1,10,12,14,16,18,20)+IF(ArtifactsInput!$M$10,CHOOSE(ArtifactsInput!$N$10+1,15,18,21,24,27,30)*(IF(Inputs!$B$38="pvp",MIN(15,15)/15,IF(AND(Inputs!$B$38&lt;&gt;"pvp",Inputs!$B$43&gt;0),MIN(15,Inputs!$B$43)/(Inputs!$B$43),0))),0)))-100),0))*CHOOSE(ArtifactsInput!$N$42+1,0.6,0.72,0.84,0.96,1.08,1.2))),Inputs!$B$18+((C2528=TRUE)*(F2528-Calc!F27))+(IF(AND(ArtifactsInput!$M$42,((Inputs!$B$9+((C2520=TRUE)*(F2520-Calc!F19))+B2533+(ArtifactsInput!$M$24-ArtifactsInput!$M$24)*CHOOSE(ArtifactsInput!$N$24+1,10,12,14,16,18,20)+IF(ArtifactsInput!$M$10,CHOOSE(ArtifactsInput!$N$10+1,15,18,21,24,27,30)*(IF(Inputs!$B$38="pvp",MIN(15,15)/15,IF(AND(Inputs!$B$38&lt;&gt;"pvp",Inputs!$B$43&gt;0),MIN(15,Inputs!$B$43)/(Inputs!$B$43),0))),0)))&gt;=100),CHOOSE(ArtifactsInput!$N$42+1,40,48,56,64,72,80),0))))/100)*((1+(((C2514=TRUE)*F2514)+((C2515=TRUE)*IF(Inputs!$B$38="pvp",F2515,(1-Summary!$B$11)*(F2515)+Summary!$B$11*(0)))+((C2516=TRUE)*F2516*IF(AND(Inputs!$B$38&lt;&gt;"pvp",Inputs!$B$43&gt;0),(((R2516-1)*(Skills!T15*(1+Inputs!$B$34/100))+MIN((Skills!T15*(1+Inputs!$B$34/100)),MAX(0,Inputs!$B$43-((R2516-1)*Skills!D15))))/Inputs!$B$43),IF(Inputs!$B$38="pvp",MIN((Skills!T15*(1+Inputs!$B$34/100)),15)/15,(Skills!T15*(1+Inputs!$B$34/100))/Skills!D15)))+((C2513=TRUE)*F2513)+((C2530=TRUE)*(F2530-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2503)</f>
        <v/>
      </c>
      <c r="L2503">
        <f>K2503*(MIN(Inputs!$B$22+((C2524=TRUE)*(F2524-Calc!F23)),(Inputs!$B$23+((C2529=TRUE)*(F2529-Calc!F28))+(IF(ArtifactsInput!$M$15,CHOOSE(ArtifactsInput!$N$15+1,25,30,35,40,45,50)/100*(Inputs!$B$11-Inputs!$B$11),0))))/100+(Inputs!$B$23+((C2529=TRUE)*(F2529-Calc!F28))+(IF(ArtifactsInput!$M$15,CHOOSE(ArtifactsInput!$N$15+1,25,30,35,40,45,50)/100*(Inputs!$B$11-Inputs!$B$11),0)))/100)/2</f>
        <v/>
      </c>
      <c r="M2503">
        <f>L2503*(1+(Inputs!$B$10+0+B2538+(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503">
        <f>L2503*(1-MIN((Inputs!$B$9+((C2520=TRUE)*(F2520-Calc!F19))+B2533+(ArtifactsInput!$M$24-ArtifactsInput!$M$24)*CHOOSE(ArtifactsInput!$N$24+1,10,12,14,16,18,20)+(IF(AND(ArtifactsInput!$M$42,((Inputs!$B$9+((C2520=TRUE)*(F2520-Calc!F19))+B2533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2503*(MIN((Inputs!$B$9+((C2520=TRUE)*(F2520-Calc!F19))+B2533+(ArtifactsInput!$M$24-ArtifactsInput!$M$24)*CHOOSE(ArtifactsInput!$N$24+1,10,12,14,16,18,20)+(IF(AND(ArtifactsInput!$M$42,((Inputs!$B$9+((C2520=TRUE)*(F2520-Calc!F19))+B2533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503">
        <f>(1-Summary!$B$11)*T2503+Summary!$B$11*V2503</f>
        <v/>
      </c>
      <c r="P2503">
        <f>IF(B2543=0,0,O2503/B2543)</f>
        <v/>
      </c>
      <c r="Q2503" t="n">
        <v>0</v>
      </c>
      <c r="R2503" t="n">
        <v>0</v>
      </c>
      <c r="S2503">
        <f>IFERROR((Skills!G2*N2503*B2537)/N2503*IF(Inputs!$B$38="pvp",1,(1-Summary!$B$11)*1+Summary!$B$11*(MIN((6+Inputs!$B$33),Inputs!$B$37))),0)</f>
        <v/>
      </c>
      <c r="T2503">
        <f>IF(C2503,(Skills!G2*N2503*B2537)*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IF(ArtifactsInput!$M$35,FALSE,TRUE),Inputs!$B$4&lt;&gt;"Chapter Hunt"),CHOOSE(ArtifactsInput!$N$35+1,15,18,21,24,27,30)*(1-EXP(-(0.2*B2535)*5)),0)+IF(AND(ArtifactsInput!$M$22,Inputs!$B$4&lt;&gt;"Chapter Hunt"),CHOOSE(ArtifactsInput!$N$22+1,10,12,14,16,18,20)*((0*(((0.15*B2535*5))^0/1)+1*(((0.15*B2535*5))^1/1)+2*(((0.15*B2535*5))^2/2)+3*(((0.15*B2535*5))^3/6)+4*(((0.15*B2535*5))^4/24)+5*(((0.15*B2535*5))^5/120))/((((0.15*B2535*5))^0/1)+(((0.15*B2535*5))^1/1)+(((0.15*B2535*5))^2/2)+(((0.15*B2535*5))^3/6)+(((0.15*B2535*5))^4/24)+(((0.15*B2535*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2503*(1-MIN(100,(Inputs!$B$9+((C2520=TRUE)*(F2520-Calc!F19))+B2533+(ArtifactsInput!$M$24-ArtifactsInput!$M$24)*CHOOSE(ArtifactsInput!$N$24+1,10,12,14,16,18,20)+(IF(AND(ArtifactsInput!$M$42,((Inputs!$B$9+((C2520=TRUE)*(F2520-Calc!F19))+B2533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2503*(MIN(100,(Inputs!$B$9+((C2520=TRUE)*(F2520-Calc!F19))+B2533+(ArtifactsInput!$M$24-ArtifactsInput!$M$24)*CHOOSE(ArtifactsInput!$N$24+1,10,12,14,16,18,20)+(IF(AND(ArtifactsInput!$M$42,((Inputs!$B$9+((C2520=TRUE)*(F2520-Calc!F19))+B2533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2503*(1-MIN(100,(Inputs!$B$9+((C2520=TRUE)*(F2520-Calc!F19))+B2533+(ArtifactsInput!$M$24-ArtifactsInput!$M$24)*CHOOSE(ArtifactsInput!$N$24+1,10,12,14,16,18,20)+(IF(AND(ArtifactsInput!$M$42,((Inputs!$B$9+((C2520=TRUE)*(F2520-Calc!F19))+B2533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2503*(MIN(100,(Inputs!$B$9+((C2520=TRUE)*(F2520-Calc!F19))+B2533+(ArtifactsInput!$M$24-ArtifactsInput!$M$24)*CHOOSE(ArtifactsInput!$N$24+1,10,12,14,16,18,20)+(IF(AND(ArtifactsInput!$M$42,((Inputs!$B$9+((C2520=TRUE)*(F2520-Calc!F19))+B2533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503">
        <f>MAX(0,(Inputs!$B$3-100)*3)+Inputs!$B$28+Inputs!$B$29</f>
        <v/>
      </c>
      <c r="V2503">
        <f>IF(C2503,(Skills!G2*N2503*B2537)*IF(Inputs!$B$38="pvp",1,(1+(Inputs!$B$21+Skills!Q2+(IF(ArtifactsInput!$M$33,CHOOSE(ArtifactsInput!$N$33+1,30,36,42,48,54,60),0))+(IF(AND(IF(ArtifactsInput!$M$35,FALSE,TRUE),Inputs!$B$4&lt;&gt;"Chapter Hunt"),CHOOSE(ArtifactsInput!$N$35+1,15,18,21,24,27,30)*(1-EXP(-(0.2*B2535)*5)),0)+IF(AND(ArtifactsInput!$M$22,Inputs!$B$4&lt;&gt;"Chapter Hunt"),CHOOSE(ArtifactsInput!$N$22+1,10,12,14,16,18,20)*((0*(((0.15*B2535*5))^0/1)+1*(((0.15*B2535*5))^1/1)+2*(((0.15*B2535*5))^2/2)+3*(((0.15*B2535*5))^3/6)+4*(((0.15*B2535*5))^4/24)+5*(((0.15*B2535*5))^5/120))/((((0.15*B2535*5))^0/1)+(((0.15*B2535*5))^1/1)+(((0.15*B2535*5))^2/2)+(((0.15*B2535*5))^3/6)+(((0.15*B2535*5))^4/24)+(((0.15*B2535*5))^5/120)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504">
      <c r="A2504">
        <f>Skills!A3</f>
        <v/>
      </c>
      <c r="B2504">
        <f>Skills!B3</f>
        <v/>
      </c>
      <c r="C2504">
        <f>Inputs!$B$3&gt;=50</f>
        <v/>
      </c>
      <c r="D2504">
        <f>IF(Skills!C3=1,60+Inputs!$B$25+Inputs!$B$29,IF(Skills!C3=2,90+Inputs!$B$26+Inputs!$B$29,IF(Skills!C3=3,120+Inputs!$B$27+Inputs!$B$29,MAX(0,(Inputs!$B$3-100)*3)+Inputs!$B$28+Inputs!$B$29)))</f>
        <v/>
      </c>
      <c r="E2504">
        <f>INDEX(FactorTable!$B$2:$Y$301, MATCH(ROUND(MIN(300,MAX(1,D2504)),0), FactorTable!$A$2:$A$301,0), Skills!M3+1)</f>
        <v/>
      </c>
      <c r="F2504">
        <f>IF(Skills!N3=TRUE,(Skills!L3/10)*(E2504/1000),Skills!L3/10)+Skills!O3</f>
        <v/>
      </c>
      <c r="G2504" t="inlineStr"/>
      <c r="H2504" t="inlineStr"/>
      <c r="I2504" t="inlineStr">
        <is>
          <t>1</t>
        </is>
      </c>
      <c r="J2504" t="inlineStr"/>
      <c r="K2504" t="inlineStr"/>
      <c r="L2504" t="inlineStr"/>
      <c r="M2504" t="inlineStr"/>
      <c r="N2504" t="inlineStr"/>
      <c r="O2504" t="inlineStr"/>
      <c r="P2504" t="inlineStr"/>
      <c r="Q2504" t="inlineStr"/>
      <c r="R2504" t="inlineStr"/>
      <c r="S2504" t="inlineStr"/>
      <c r="T2504" t="inlineStr"/>
      <c r="U2504">
        <f>INDEX(FactorTable!$B$2:$Y$301, MATCH(ROUND(MIN(300,MAX(1,U2503)),0), FactorTable!$A$2:$A$301,0), 22)</f>
        <v/>
      </c>
      <c r="V2504" t="inlineStr"/>
    </row>
    <row r="2505">
      <c r="A2505">
        <f>Skills!A4</f>
        <v/>
      </c>
      <c r="B2505">
        <f>Skills!B4</f>
        <v/>
      </c>
      <c r="C2505">
        <f>Inputs!$B$3&gt;=105</f>
        <v/>
      </c>
      <c r="D2505">
        <f>IF(Skills!C4=1,60+Inputs!$B$25+Inputs!$B$29,IF(Skills!C4=2,90+Inputs!$B$26+Inputs!$B$29,IF(Skills!C4=3,120+Inputs!$B$27+Inputs!$B$29,MAX(0,(Inputs!$B$3-100)*3)+Inputs!$B$28+Inputs!$B$29)))</f>
        <v/>
      </c>
      <c r="E2505">
        <f>INDEX(FactorTable!$B$2:$Y$301, MATCH(ROUND(MIN(300,MAX(1,D2505)),0), FactorTable!$A$2:$A$301,0), Skills!M4+1)</f>
        <v/>
      </c>
      <c r="F2505">
        <f>IF(Skills!N4=TRUE,(Skills!L4/10)*(E2505/1000),Skills!L4/10)+Skills!O4</f>
        <v/>
      </c>
      <c r="G2505" t="inlineStr"/>
      <c r="H2505" t="inlineStr"/>
      <c r="I2505" t="inlineStr">
        <is>
          <t>1</t>
        </is>
      </c>
      <c r="J2505" t="inlineStr"/>
      <c r="K2505" t="inlineStr"/>
      <c r="L2505" t="inlineStr"/>
      <c r="M2505" t="inlineStr"/>
      <c r="N2505" t="inlineStr"/>
      <c r="O2505" t="inlineStr"/>
      <c r="P2505" t="inlineStr"/>
      <c r="Q2505" t="inlineStr"/>
      <c r="R2505" t="inlineStr"/>
      <c r="S2505" t="inlineStr"/>
      <c r="T2505" t="inlineStr"/>
      <c r="U2505">
        <f>290*U2504/1000</f>
        <v/>
      </c>
      <c r="V2505" t="inlineStr"/>
    </row>
    <row r="2506">
      <c r="A2506">
        <f>Skills!A5</f>
        <v/>
      </c>
      <c r="B2506">
        <f>Skills!B5</f>
        <v/>
      </c>
      <c r="C2506">
        <f>Inputs!$B$3&gt;=35</f>
        <v/>
      </c>
      <c r="D2506">
        <f>IF(Skills!C5=1,60+Inputs!$B$25+Inputs!$B$29,IF(Skills!C5=2,90+Inputs!$B$26+Inputs!$B$29,IF(Skills!C5=3,120+Inputs!$B$27+Inputs!$B$29,MAX(0,(Inputs!$B$3-100)*3)+Inputs!$B$28+Inputs!$B$29)))</f>
        <v/>
      </c>
      <c r="E2506">
        <f>INDEX(FactorTable!$B$2:$Y$301, MATCH(ROUND(MIN(300,MAX(1,D2506)),0), FactorTable!$A$2:$A$301,0), Skills!M5+1)</f>
        <v/>
      </c>
      <c r="F2506">
        <f>IF(Skills!N5=TRUE,(Skills!L5/10)*(E2506/1000),Skills!L5/10)+Skills!O5</f>
        <v/>
      </c>
      <c r="G2506">
        <f>Skills!G5*IF(Skills!H5&gt;0,Skills!I5/Skills!H5,1)</f>
        <v/>
      </c>
      <c r="H2506">
        <f>1-(1-Skills!J5/100)^Skills!K5</f>
        <v/>
      </c>
      <c r="I2506" t="inlineStr">
        <is>
          <t>1</t>
        </is>
      </c>
      <c r="J2506">
        <f>((Inputs!$B$6*(1+Inputs!$B$7/100))+(((Inputs!$B$12*(1+Inputs!$B$13/100))-(Inputs!$B$12*(1+Inputs!$B$13/100)))+0.25*(Inputs!$B$14-Inputs!$B$14))*(1+Inputs!$B$7/100))*(F2506/100)</f>
        <v/>
      </c>
      <c r="K2506">
        <f>J2506*(1+((Inputs!$B$12*(1+Inputs!$B$13/100))*0.01+Inputs!$B$14*0.0025)/100)*(1+Inputs!$B$15/100)*(1+Inputs!$B$16/100)*(5000/(6000+Inputs!$B$42*(1-(100*(1-(1-(Inputs!$B$19+0)/100)*(1-CHOOSE(ArtifactsInput!$N$40+1,5,6,7,8,9,10)/100)^(ArtifactsInput!$M$40-ArtifactsInput!$M$40)))/100)))*(1+(Inputs!$B$24+((C2525=TRUE)*(F2525-Calc!F24))+((C2526=TRUE)*(F2526-Calc!F25))+B2539)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2509=TRUE,F2509,0)/100)*(1+(IF(Skills!A5="EMPOWERED_PIERCING_ARROW",Inputs!$B$17+((C2523=TRUE)*(F2523-Calc!F22))+(((IF(AND(ArtifactsInput!$M$42,((Inputs!$B$9+((C2520=TRUE)*(F2520-Calc!F19))+B2533+(ArtifactsInput!$M$24-ArtifactsInput!$M$24)*CHOOSE(ArtifactsInput!$N$24+1,10,12,14,16,18,20)+IF(ArtifactsInput!$M$10,CHOOSE(ArtifactsInput!$N$10+1,15,18,21,24,27,30)*(IF(Inputs!$B$38="pvp",MIN(15,15)/15,IF(AND(Inputs!$B$38&lt;&gt;"pvp",Inputs!$B$43&gt;0),MIN(15,Inputs!$B$43)/(Inputs!$B$43),0))),0)))&gt;=100),MIN(100,((Inputs!$B$9+((C2520=TRUE)*(F2520-Calc!F19))+B2533+(ArtifactsInput!$M$24-ArtifactsInput!$M$24)*CHOOSE(ArtifactsInput!$N$24+1,10,12,14,16,18,20)+IF(ArtifactsInput!$M$10,CHOOSE(ArtifactsInput!$N$10+1,15,18,21,24,27,30)*(IF(Inputs!$B$38="pvp",MIN(15,15)/15,IF(AND(Inputs!$B$38&lt;&gt;"pvp",Inputs!$B$43&gt;0),MIN(15,Inputs!$B$43)/(Inputs!$B$43),0))),0)))-100),0))*CHOOSE(ArtifactsInput!$N$42+1,0.6,0.72,0.84,0.96,1.08,1.2))),Inputs!$B$18+((C2528=TRUE)*(F2528-Calc!F27))+(IF(AND(ArtifactsInput!$M$42,((Inputs!$B$9+((C2520=TRUE)*(F2520-Calc!F19))+B2533+(ArtifactsInput!$M$24-ArtifactsInput!$M$24)*CHOOSE(ArtifactsInput!$N$24+1,10,12,14,16,18,20)+IF(ArtifactsInput!$M$10,CHOOSE(ArtifactsInput!$N$10+1,15,18,21,24,27,30)*(IF(Inputs!$B$38="pvp",MIN(15,15)/15,IF(AND(Inputs!$B$38&lt;&gt;"pvp",Inputs!$B$43&gt;0),MIN(15,Inputs!$B$43)/(Inputs!$B$43),0))),0)))&gt;=100),CHOOSE(ArtifactsInput!$N$42+1,40,48,56,64,72,80),0))))/100)*((1+(((C2514=TRUE)*F2514)+((C2515=TRUE)*IF(Inputs!$B$38="pvp",F2515,(1-Summary!$B$11)*(F2515)+Summary!$B$11*(0)))+((C2516=TRUE)*F2516*IF(AND(Inputs!$B$38&lt;&gt;"pvp",Inputs!$B$43&gt;0),(((R2516-1)*(Skills!T15*(1+Inputs!$B$34/100))+MIN((Skills!T15*(1+Inputs!$B$34/100)),MAX(0,Inputs!$B$43-((R2516-1)*Skills!D15))))/Inputs!$B$43),IF(Inputs!$B$38="pvp",MIN((Skills!T15*(1+Inputs!$B$34/100)),15)/15,(Skills!T15*(1+Inputs!$B$34/100))/Skills!D15)))+((C2513=TRUE)*F2513)+((C2530=TRUE)*(F2530-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2506)</f>
        <v/>
      </c>
      <c r="L2506">
        <f>K2506*(MIN(Inputs!$B$22+((C2524=TRUE)*(F2524-Calc!F23)),(Inputs!$B$23+((C2529=TRUE)*(F2529-Calc!F28))+(IF(ArtifactsInput!$M$15,CHOOSE(ArtifactsInput!$N$15+1,25,30,35,40,45,50)/100*(Inputs!$B$11-Inputs!$B$11),0))))/100+(Inputs!$B$23+((C2529=TRUE)*(F2529-Calc!F28))+(IF(ArtifactsInput!$M$15,CHOOSE(ArtifactsInput!$N$15+1,25,30,35,40,45,50)/100*(Inputs!$B$11-Inputs!$B$11),0)))/100)/2</f>
        <v/>
      </c>
      <c r="M2506">
        <f>L2506*(1+(Inputs!$B$10+0+B2538+(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506">
        <f>L2506*(1-MIN((Inputs!$B$9+((C2520=TRUE)*(F2520-Calc!F19))+B2533+(ArtifactsInput!$M$24-ArtifactsInput!$M$24)*CHOOSE(ArtifactsInput!$N$24+1,10,12,14,16,18,20)+(IF(AND(ArtifactsInput!$M$42,((Inputs!$B$9+((C2520=TRUE)*(F2520-Calc!F19))+B2533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2506*(MIN((Inputs!$B$9+((C2520=TRUE)*(F2520-Calc!F19))+B2533+(ArtifactsInput!$M$24-ArtifactsInput!$M$24)*CHOOSE(ArtifactsInput!$N$24+1,10,12,14,16,18,20)+(IF(AND(ArtifactsInput!$M$42,((Inputs!$B$9+((C2520=TRUE)*(F2520-Calc!F19))+B2533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506">
        <f>(1-Summary!$B$11)*T2506+Summary!$B$11*V2506</f>
        <v/>
      </c>
      <c r="P2506">
        <f>IF(B2543=0,0,O2506/B2543)</f>
        <v/>
      </c>
      <c r="Q2506">
        <f>IFERROR(1/IF(Inputs!$B$38="pvp",15,MAX(0.1,Skills!D5-IF(Skills!E5=TRUE,Inputs!$B$32,0))),0)</f>
        <v/>
      </c>
      <c r="R2506">
        <f>IF(AND(Inputs!$B$38&lt;&gt;"pvp",Inputs!$B$43&gt;0),IF(MAX(0,Inputs!$B$43-B2540)&lt;=0,0,(INT(MAX(0,Inputs!$B$43-B2540)/IF(Inputs!$B$38="pvp",15,MAX(0.1,Skills!D5-IF(Skills!E5=TRUE,Inputs!$B$32,0))))+1)),0)</f>
        <v/>
      </c>
      <c r="S2506">
        <f>IFERROR((H2506*N2506*IF(AND(Inputs!$B$38&lt;&gt;"pvp",Inputs!$B$43&gt;0),((Skills!G5*((R2506-1)*IF(Skills!H5&gt;0,Skills!I5/Skills!H5,1)+IF(Skills!H5&gt;0,MIN(Skills!I5,MAX(0,MAX(0,Inputs!$B$43-B2540)-((R2506-1)*IF(Inputs!$B$38="pvp",15,MAX(0.1,Skills!D5-IF(Skills!E5=TRUE,Inputs!$B$32,0))))))/Skills!H5,1)))/Inputs!$B$43),G2506*Q2506))/N2506*IF(Inputs!$B$38="pvp",1,(1-Summary!$B$11)*1+Summary!$B$11*(MIN(Skills!R5,Inputs!$B$37))),0)</f>
        <v/>
      </c>
      <c r="T2506">
        <f>IF(C2506,(H2506*N2506*IF(AND(Inputs!$B$38&lt;&gt;"pvp",Inputs!$B$43&gt;0),((Skills!G5*((R2506-1)*IF(Skills!H5&gt;0,Skills!I5/Skills!H5,1)+IF(Skills!H5&gt;0,MIN(Skills!I5,MAX(0,MAX(0,Inputs!$B$43-B2540)-((R2506-1)*IF(Inputs!$B$38="pvp",15,MAX(0.1,Skills!D5-IF(Skills!E5=TRUE,Inputs!$B$32,0))))))/Skills!H5,1)))/Inputs!$B$43),G2506*Q2506))*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IF(ArtifactsInput!$M$35,FALSE,TRUE),Inputs!$B$4&lt;&gt;"Chapter Hunt"),CHOOSE(ArtifactsInput!$N$35+1,15,18,21,24,27,30)*(1-EXP(-(0.2*B2535)*5)),0)+IF(AND(ArtifactsInput!$M$22,Inputs!$B$4&lt;&gt;"Chapter Hunt"),CHOOSE(ArtifactsInput!$N$22+1,10,12,14,16,18,20)*((0*(((0.15*B2535*5))^0/1)+1*(((0.15*B2535*5))^1/1)+2*(((0.15*B2535*5))^2/2)+3*(((0.15*B2535*5))^3/6)+4*(((0.15*B2535*5))^4/24)+5*(((0.15*B2535*5))^5/120))/((((0.15*B2535*5))^0/1)+(((0.15*B2535*5))^1/1)+(((0.15*B2535*5))^2/2)+(((0.15*B2535*5))^3/6)+(((0.15*B2535*5))^4/24)+(((0.15*B2535*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2506*(1-MIN(100,(Inputs!$B$9+((C2520=TRUE)*(F2520-Calc!F19))+B2533+(ArtifactsInput!$M$24-ArtifactsInput!$M$24)*CHOOSE(ArtifactsInput!$N$24+1,10,12,14,16,18,20)+(IF(AND(ArtifactsInput!$M$42,((Inputs!$B$9+((C2520=TRUE)*(F2520-Calc!F19))+B2533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2506*(MIN(100,(Inputs!$B$9+((C2520=TRUE)*(F2520-Calc!F19))+B2533+(ArtifactsInput!$M$24-ArtifactsInput!$M$24)*CHOOSE(ArtifactsInput!$N$24+1,10,12,14,16,18,20)+(IF(AND(ArtifactsInput!$M$42,((Inputs!$B$9+((C2520=TRUE)*(F2520-Calc!F19))+B2533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2506*(1-MIN(100,(Inputs!$B$9+((C2520=TRUE)*(F2520-Calc!F19))+B2533+(ArtifactsInput!$M$24-ArtifactsInput!$M$24)*CHOOSE(ArtifactsInput!$N$24+1,10,12,14,16,18,20)+(IF(AND(ArtifactsInput!$M$42,((Inputs!$B$9+((C2520=TRUE)*(F2520-Calc!F19))+B2533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2506*(MIN(100,(Inputs!$B$9+((C2520=TRUE)*(F2520-Calc!F19))+B2533+(ArtifactsInput!$M$24-ArtifactsInput!$M$24)*CHOOSE(ArtifactsInput!$N$24+1,10,12,14,16,18,20)+(IF(AND(ArtifactsInput!$M$42,((Inputs!$B$9+((C2520=TRUE)*(F2520-Calc!F19))+B2533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506">
        <f>IF(C2506,(H2506*N2506*IF(AND(Inputs!$B$38&lt;&gt;"pvp",Inputs!$B$43&gt;0),((Skills!G5*((R2506-1)*IF(Skills!H5&gt;0,Skills!I5/Skills!H5,1)+IF(Skills!H5&gt;0,MIN(Skills!I5,MAX(0,MAX(0,Inputs!$B$43-B2540)-((R2506-1)*IF(Inputs!$B$38="pvp",15,MAX(0.1,Skills!D5-IF(Skills!E5=TRUE,Inputs!$B$32,0))))))/Skills!H5,1)))/Inputs!$B$43),G2506*Q2506))*IF(Inputs!$B$38="pvp",1,(1+(Inputs!$B$21+Skills!Q5+(IF(ArtifactsInput!$M$33,CHOOSE(ArtifactsInput!$N$33+1,30,36,42,48,54,60),0))+(IF(AND(IF(ArtifactsInput!$M$35,FALSE,TRUE),Inputs!$B$4&lt;&gt;"Chapter Hunt"),CHOOSE(ArtifactsInput!$N$35+1,15,18,21,24,27,30)*(1-EXP(-(0.2*B2535)*5)),0)+IF(AND(ArtifactsInput!$M$22,Inputs!$B$4&lt;&gt;"Chapter Hunt"),CHOOSE(ArtifactsInput!$N$22+1,10,12,14,16,18,20)*((0*(((0.15*B2535*5))^0/1)+1*(((0.15*B2535*5))^1/1)+2*(((0.15*B2535*5))^2/2)+3*(((0.15*B2535*5))^3/6)+4*(((0.15*B2535*5))^4/24)+5*(((0.15*B2535*5))^5/120))/((((0.15*B2535*5))^0/1)+(((0.15*B2535*5))^1/1)+(((0.15*B2535*5))^2/2)+(((0.15*B2535*5))^3/6)+(((0.15*B2535*5))^4/24)+(((0.15*B2535*5))^5/120)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507">
      <c r="A2507">
        <f>Skills!A6</f>
        <v/>
      </c>
      <c r="B2507">
        <f>Skills!B6</f>
        <v/>
      </c>
      <c r="C2507">
        <f>Inputs!$B$3&gt;=63</f>
        <v/>
      </c>
      <c r="D2507">
        <f>IF(Skills!C6=1,60+Inputs!$B$25+Inputs!$B$29,IF(Skills!C6=2,90+Inputs!$B$26+Inputs!$B$29,IF(Skills!C6=3,120+Inputs!$B$27+Inputs!$B$29,MAX(0,(Inputs!$B$3-100)*3)+Inputs!$B$28+Inputs!$B$29)))</f>
        <v/>
      </c>
      <c r="E2507">
        <f>INDEX(FactorTable!$B$2:$Y$301, MATCH(ROUND(MIN(300,MAX(1,D2507)),0), FactorTable!$A$2:$A$301,0), Skills!M6+1)</f>
        <v/>
      </c>
      <c r="F2507">
        <f>IF(Skills!N6=TRUE,(Skills!L6/10)*(E2507/1000),Skills!L6/10)+Skills!O6</f>
        <v/>
      </c>
      <c r="G2507">
        <f>Skills!G6*IF(Skills!H6&gt;0,Skills!I6/Skills!H6,1)</f>
        <v/>
      </c>
      <c r="H2507">
        <f>1-(1-Skills!J6/100)^Skills!K6</f>
        <v/>
      </c>
      <c r="I2507" t="inlineStr">
        <is>
          <t>1</t>
        </is>
      </c>
      <c r="J2507">
        <f>((Inputs!$B$6*(1+Inputs!$B$7/100))+(((Inputs!$B$12*(1+Inputs!$B$13/100))-(Inputs!$B$12*(1+Inputs!$B$13/100)))+0.25*(Inputs!$B$14-Inputs!$B$14))*(1+Inputs!$B$7/100))*(F2507/100)</f>
        <v/>
      </c>
      <c r="K2507">
        <f>J2507*(1+((Inputs!$B$12*(1+Inputs!$B$13/100))*0.01+Inputs!$B$14*0.0025)/100)*(1+Inputs!$B$15/100)*(1+Inputs!$B$16/100)*(5000/(6000+Inputs!$B$42*(1-(100*(1-(1-(Inputs!$B$19+0)/100)*(1-CHOOSE(ArtifactsInput!$N$40+1,5,6,7,8,9,10)/100)^(ArtifactsInput!$M$40-ArtifactsInput!$M$40)))/100)))*(1+(Inputs!$B$24+((C2525=TRUE)*(F2525-Calc!F24))+((C2526=TRUE)*(F2526-Calc!F25))+B2539)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2509=TRUE,F2509,0)/100)*(1+(IF(Skills!A6="EMPOWERED_PIERCING_ARROW",Inputs!$B$17+((C2523=TRUE)*(F2523-Calc!F22))+(((IF(AND(ArtifactsInput!$M$42,((Inputs!$B$9+((C2520=TRUE)*(F2520-Calc!F19))+B2533+(ArtifactsInput!$M$24-ArtifactsInput!$M$24)*CHOOSE(ArtifactsInput!$N$24+1,10,12,14,16,18,20)+IF(ArtifactsInput!$M$10,CHOOSE(ArtifactsInput!$N$10+1,15,18,21,24,27,30)*(IF(Inputs!$B$38="pvp",MIN(15,15)/15,IF(AND(Inputs!$B$38&lt;&gt;"pvp",Inputs!$B$43&gt;0),MIN(15,Inputs!$B$43)/(Inputs!$B$43),0))),0)))&gt;=100),MIN(100,((Inputs!$B$9+((C2520=TRUE)*(F2520-Calc!F19))+B2533+(ArtifactsInput!$M$24-ArtifactsInput!$M$24)*CHOOSE(ArtifactsInput!$N$24+1,10,12,14,16,18,20)+IF(ArtifactsInput!$M$10,CHOOSE(ArtifactsInput!$N$10+1,15,18,21,24,27,30)*(IF(Inputs!$B$38="pvp",MIN(15,15)/15,IF(AND(Inputs!$B$38&lt;&gt;"pvp",Inputs!$B$43&gt;0),MIN(15,Inputs!$B$43)/(Inputs!$B$43),0))),0)))-100),0))*CHOOSE(ArtifactsInput!$N$42+1,0.6,0.72,0.84,0.96,1.08,1.2))),Inputs!$B$18+((C2528=TRUE)*(F2528-Calc!F27))+(IF(AND(ArtifactsInput!$M$42,((Inputs!$B$9+((C2520=TRUE)*(F2520-Calc!F19))+B2533+(ArtifactsInput!$M$24-ArtifactsInput!$M$24)*CHOOSE(ArtifactsInput!$N$24+1,10,12,14,16,18,20)+IF(ArtifactsInput!$M$10,CHOOSE(ArtifactsInput!$N$10+1,15,18,21,24,27,30)*(IF(Inputs!$B$38="pvp",MIN(15,15)/15,IF(AND(Inputs!$B$38&lt;&gt;"pvp",Inputs!$B$43&gt;0),MIN(15,Inputs!$B$43)/(Inputs!$B$43),0))),0)))&gt;=100),CHOOSE(ArtifactsInput!$N$42+1,40,48,56,64,72,80),0))))/100)*((1+(((C2514=TRUE)*F2514)+((C2515=TRUE)*IF(Inputs!$B$38="pvp",F2515,(1-Summary!$B$11)*(F2515)+Summary!$B$11*(0)))+((C2516=TRUE)*F2516*IF(AND(Inputs!$B$38&lt;&gt;"pvp",Inputs!$B$43&gt;0),(((R2516-1)*(Skills!T15*(1+Inputs!$B$34/100))+MIN((Skills!T15*(1+Inputs!$B$34/100)),MAX(0,Inputs!$B$43-((R2516-1)*Skills!D15))))/Inputs!$B$43),IF(Inputs!$B$38="pvp",MIN((Skills!T15*(1+Inputs!$B$34/100)),15)/15,(Skills!T15*(1+Inputs!$B$34/100))/Skills!D15)))+((C2513=TRUE)*F2513)+((C2530=TRUE)*(F2530-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2507)</f>
        <v/>
      </c>
      <c r="L2507">
        <f>K2507*(MIN(Inputs!$B$22+((C2524=TRUE)*(F2524-Calc!F23)),(Inputs!$B$23+((C2529=TRUE)*(F2529-Calc!F28))+(IF(ArtifactsInput!$M$15,CHOOSE(ArtifactsInput!$N$15+1,25,30,35,40,45,50)/100*(Inputs!$B$11-Inputs!$B$11),0))))/100+(Inputs!$B$23+((C2529=TRUE)*(F2529-Calc!F28))+(IF(ArtifactsInput!$M$15,CHOOSE(ArtifactsInput!$N$15+1,25,30,35,40,45,50)/100*(Inputs!$B$11-Inputs!$B$11),0)))/100)/2</f>
        <v/>
      </c>
      <c r="M2507">
        <f>L2507*(1+(Inputs!$B$10+0+B2538+(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507">
        <f>L2507*(1-MIN((Inputs!$B$9+((C2520=TRUE)*(F2520-Calc!F19))+B2533+(ArtifactsInput!$M$24-ArtifactsInput!$M$24)*CHOOSE(ArtifactsInput!$N$24+1,10,12,14,16,18,20)+(IF(AND(ArtifactsInput!$M$42,((Inputs!$B$9+((C2520=TRUE)*(F2520-Calc!F19))+B2533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2507*(MIN((Inputs!$B$9+((C2520=TRUE)*(F2520-Calc!F19))+B2533+(ArtifactsInput!$M$24-ArtifactsInput!$M$24)*CHOOSE(ArtifactsInput!$N$24+1,10,12,14,16,18,20)+(IF(AND(ArtifactsInput!$M$42,((Inputs!$B$9+((C2520=TRUE)*(F2520-Calc!F19))+B2533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507">
        <f>(1-Summary!$B$11)*T2507+Summary!$B$11*V2507</f>
        <v/>
      </c>
      <c r="P2507">
        <f>IF(B2543=0,0,O2507/B2543)</f>
        <v/>
      </c>
      <c r="Q2507">
        <f>IFERROR(1/IF(Inputs!$B$38="pvp",15,MAX(0.1,Skills!D6-IF(Skills!E6=TRUE,Inputs!$B$32,0))),0)</f>
        <v/>
      </c>
      <c r="R2507">
        <f>IF(AND(Inputs!$B$38&lt;&gt;"pvp",Inputs!$B$43&gt;0),IF(MAX(0,Inputs!$B$43-B2540)&lt;=0,0,(INT(MAX(0,Inputs!$B$43-B2540)/IF(Inputs!$B$38="pvp",15,MAX(0.1,Skills!D6-IF(Skills!E6=TRUE,Inputs!$B$32,0))))+1)),0)</f>
        <v/>
      </c>
      <c r="S2507">
        <f>IFERROR((H2507*N2507*IF(AND(Inputs!$B$38&lt;&gt;"pvp",Inputs!$B$43&gt;0),((Skills!G6*((R2507-1)*IF(Skills!H6&gt;0,Skills!I6/Skills!H6,1)+IF(Skills!H6&gt;0,MIN(Skills!I6,MAX(0,MAX(0,Inputs!$B$43-B2540)-((R2507-1)*IF(Inputs!$B$38="pvp",15,MAX(0.1,Skills!D6-IF(Skills!E6=TRUE,Inputs!$B$32,0))))))/Skills!H6,1)))/Inputs!$B$43),G2507*Q2507))/N2507*IF(Inputs!$B$38="pvp",1,(1-Summary!$B$11)*1+Summary!$B$11*(MIN(Skills!R6,Inputs!$B$37))),0)</f>
        <v/>
      </c>
      <c r="T2507">
        <f>IF(C2507,(H2507*N2507*IF(AND(Inputs!$B$38&lt;&gt;"pvp",Inputs!$B$43&gt;0),((Skills!G6*((R2507-1)*IF(Skills!H6&gt;0,Skills!I6/Skills!H6,1)+IF(Skills!H6&gt;0,MIN(Skills!I6,MAX(0,MAX(0,Inputs!$B$43-B2540)-((R2507-1)*IF(Inputs!$B$38="pvp",15,MAX(0.1,Skills!D6-IF(Skills!E6=TRUE,Inputs!$B$32,0))))))/Skills!H6,1)))/Inputs!$B$43),G2507*Q2507))*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IF(ArtifactsInput!$M$35,FALSE,TRUE),Inputs!$B$4&lt;&gt;"Chapter Hunt"),CHOOSE(ArtifactsInput!$N$35+1,15,18,21,24,27,30)*(1-EXP(-(0.2*B2535)*5)),0)+IF(AND(ArtifactsInput!$M$22,Inputs!$B$4&lt;&gt;"Chapter Hunt"),CHOOSE(ArtifactsInput!$N$22+1,10,12,14,16,18,20)*((0*(((0.15*B2535*5))^0/1)+1*(((0.15*B2535*5))^1/1)+2*(((0.15*B2535*5))^2/2)+3*(((0.15*B2535*5))^3/6)+4*(((0.15*B2535*5))^4/24)+5*(((0.15*B2535*5))^5/120))/((((0.15*B2535*5))^0/1)+(((0.15*B2535*5))^1/1)+(((0.15*B2535*5))^2/2)+(((0.15*B2535*5))^3/6)+(((0.15*B2535*5))^4/24)+(((0.15*B2535*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2507*(1-MIN(100,(Inputs!$B$9+((C2520=TRUE)*(F2520-Calc!F19))+B2533+(ArtifactsInput!$M$24-ArtifactsInput!$M$24)*CHOOSE(ArtifactsInput!$N$24+1,10,12,14,16,18,20)+(IF(AND(ArtifactsInput!$M$42,((Inputs!$B$9+((C2520=TRUE)*(F2520-Calc!F19))+B2533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2507*(MIN(100,(Inputs!$B$9+((C2520=TRUE)*(F2520-Calc!F19))+B2533+(ArtifactsInput!$M$24-ArtifactsInput!$M$24)*CHOOSE(ArtifactsInput!$N$24+1,10,12,14,16,18,20)+(IF(AND(ArtifactsInput!$M$42,((Inputs!$B$9+((C2520=TRUE)*(F2520-Calc!F19))+B2533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2507*(1-MIN(100,(Inputs!$B$9+((C2520=TRUE)*(F2520-Calc!F19))+B2533+(ArtifactsInput!$M$24-ArtifactsInput!$M$24)*CHOOSE(ArtifactsInput!$N$24+1,10,12,14,16,18,20)+(IF(AND(ArtifactsInput!$M$42,((Inputs!$B$9+((C2520=TRUE)*(F2520-Calc!F19))+B2533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2507*(MIN(100,(Inputs!$B$9+((C2520=TRUE)*(F2520-Calc!F19))+B2533+(ArtifactsInput!$M$24-ArtifactsInput!$M$24)*CHOOSE(ArtifactsInput!$N$24+1,10,12,14,16,18,20)+(IF(AND(ArtifactsInput!$M$42,((Inputs!$B$9+((C2520=TRUE)*(F2520-Calc!F19))+B2533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507">
        <f>IF(C2507,(H2507*N2507*IF(AND(Inputs!$B$38&lt;&gt;"pvp",Inputs!$B$43&gt;0),((Skills!G6*((R2507-1)*IF(Skills!H6&gt;0,Skills!I6/Skills!H6,1)+IF(Skills!H6&gt;0,MIN(Skills!I6,MAX(0,MAX(0,Inputs!$B$43-B2540)-((R2507-1)*IF(Inputs!$B$38="pvp",15,MAX(0.1,Skills!D6-IF(Skills!E6=TRUE,Inputs!$B$32,0))))))/Skills!H6,1)))/Inputs!$B$43),G2507*Q2507))*IF(Inputs!$B$38="pvp",1,(1+(Inputs!$B$21+Skills!Q6+(IF(ArtifactsInput!$M$33,CHOOSE(ArtifactsInput!$N$33+1,30,36,42,48,54,60),0))+(IF(AND(IF(ArtifactsInput!$M$35,FALSE,TRUE),Inputs!$B$4&lt;&gt;"Chapter Hunt"),CHOOSE(ArtifactsInput!$N$35+1,15,18,21,24,27,30)*(1-EXP(-(0.2*B2535)*5)),0)+IF(AND(ArtifactsInput!$M$22,Inputs!$B$4&lt;&gt;"Chapter Hunt"),CHOOSE(ArtifactsInput!$N$22+1,10,12,14,16,18,20)*((0*(((0.15*B2535*5))^0/1)+1*(((0.15*B2535*5))^1/1)+2*(((0.15*B2535*5))^2/2)+3*(((0.15*B2535*5))^3/6)+4*(((0.15*B2535*5))^4/24)+5*(((0.15*B2535*5))^5/120))/((((0.15*B2535*5))^0/1)+(((0.15*B2535*5))^1/1)+(((0.15*B2535*5))^2/2)+(((0.15*B2535*5))^3/6)+(((0.15*B2535*5))^4/24)+(((0.15*B2535*5))^5/120))),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508">
      <c r="A2508">
        <f>Skills!A7</f>
        <v/>
      </c>
      <c r="B2508">
        <f>Skills!B7</f>
        <v/>
      </c>
      <c r="C2508">
        <f>Inputs!$B$3&gt;=69</f>
        <v/>
      </c>
      <c r="D2508">
        <f>IF(Skills!C7=1,60+Inputs!$B$25+Inputs!$B$29,IF(Skills!C7=2,90+Inputs!$B$26+Inputs!$B$29,IF(Skills!C7=3,120+Inputs!$B$27+Inputs!$B$29,MAX(0,(Inputs!$B$3-100)*3)+Inputs!$B$28+Inputs!$B$29)))</f>
        <v/>
      </c>
      <c r="E2508">
        <f>INDEX(FactorTable!$B$2:$Y$301, MATCH(ROUND(MIN(300,MAX(1,D2508)),0), FactorTable!$A$2:$A$301,0), Skills!M7+1)</f>
        <v/>
      </c>
      <c r="F2508">
        <f>IF(Skills!N7=TRUE,(Skills!L7/10)*(E2508/1000),Skills!L7/10)+Skills!O7</f>
        <v/>
      </c>
      <c r="G2508">
        <f>Skills!G7*IF(Skills!H7&gt;0,Skills!I7/Skills!H7,1)</f>
        <v/>
      </c>
      <c r="H2508">
        <f>1-(1-Skills!J7/100)^Skills!K7</f>
        <v/>
      </c>
      <c r="I2508" t="inlineStr">
        <is>
          <t>1</t>
        </is>
      </c>
      <c r="J2508">
        <f>((Inputs!$B$6*(1+Inputs!$B$7/100))+(((Inputs!$B$12*(1+Inputs!$B$13/100))-(Inputs!$B$12*(1+Inputs!$B$13/100)))+0.25*(Inputs!$B$14-Inputs!$B$14))*(1+Inputs!$B$7/100))*(F2508/100)</f>
        <v/>
      </c>
      <c r="K2508">
        <f>J2508*(1+((Inputs!$B$12*(1+Inputs!$B$13/100))*0.01+Inputs!$B$14*0.0025)/100)*(1+Inputs!$B$15/100)*(1+Inputs!$B$16/100)*(5000/(6000+Inputs!$B$42*(1-(100*(1-(1-(Inputs!$B$19+0)/100)*(1-CHOOSE(ArtifactsInput!$N$40+1,5,6,7,8,9,10)/100)^(ArtifactsInput!$M$40-ArtifactsInput!$M$40)))/100)))*(1+(Inputs!$B$24+((C2525=TRUE)*(F2525-Calc!F24))+((C2526=TRUE)*(F2526-Calc!F25))+B2539)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+1.2*IF(C2509=TRUE,F2509,0)/100)*(1+(IF(Skills!A7="EMPOWERED_PIERCING_ARROW",Inputs!$B$17+((C2523=TRUE)*(F2523-Calc!F22))+(((IF(AND(ArtifactsInput!$M$42,((Inputs!$B$9+((C2520=TRUE)*(F2520-Calc!F19))+B2533+(ArtifactsInput!$M$24-ArtifactsInput!$M$24)*CHOOSE(ArtifactsInput!$N$24+1,10,12,14,16,18,20)+IF(ArtifactsInput!$M$10,CHOOSE(ArtifactsInput!$N$10+1,15,18,21,24,27,30)*(IF(Inputs!$B$38="pvp",MIN(15,15)/15,IF(AND(Inputs!$B$38&lt;&gt;"pvp",Inputs!$B$43&gt;0),MIN(15,Inputs!$B$43)/(Inputs!$B$43),0))),0)))&gt;=100),MIN(100,((Inputs!$B$9+((C2520=TRUE)*(F2520-Calc!F19))+B2533+(ArtifactsInput!$M$24-ArtifactsInput!$M$24)*CHOOSE(ArtifactsInput!$N$24+1,10,12,14,16,18,20)+IF(ArtifactsInput!$M$10,CHOOSE(ArtifactsInput!$N$10+1,15,18,21,24,27,30)*(IF(Inputs!$B$38="pvp",MIN(15,15)/15,IF(AND(Inputs!$B$38&lt;&gt;"pvp",Inputs!$B$43&gt;0),MIN(15,Inputs!$B$43)/(Inputs!$B$43),0))),0)))-100),0))*CHOOSE(ArtifactsInput!$N$42+1,0.6,0.72,0.84,0.96,1.08,1.2))),Inputs!$B$18+((C2528=TRUE)*(F2528-Calc!F27))+(IF(AND(ArtifactsInput!$M$42,((Inputs!$B$9+((C2520=TRUE)*(F2520-Calc!F19))+B2533+(ArtifactsInput!$M$24-ArtifactsInput!$M$24)*CHOOSE(ArtifactsInput!$N$24+1,10,12,14,16,18,20)+IF(ArtifactsInput!$M$10,CHOOSE(ArtifactsInput!$N$10+1,15,18,21,24,27,30)*(IF(Inputs!$B$38="pvp",MIN(15,15)/15,IF(AND(Inputs!$B$38&lt;&gt;"pvp",Inputs!$B$43&gt;0),MIN(15,Inputs!$B$43)/(Inputs!$B$43),0))),0)))&gt;=100),CHOOSE(ArtifactsInput!$N$42+1,40,48,56,64,72,80),0))))/100)*((1+(((C2514=TRUE)*F2514)+((C2515=TRUE)*IF(Inputs!$B$38="pvp",F2515,(1-Summary!$B$11)*(F2515)+Summary!$B$11*(0)))+((C2516=TRUE)*F2516*IF(AND(Inputs!$B$38&lt;&gt;"pvp",Inputs!$B$43&gt;0),(((R2516-1)*(Skills!T15*(1+Inputs!$B$34/100))+MIN((Skills!T15*(1+Inputs!$B$34/100)),MAX(0,Inputs!$B$43-((R2516-1)*Skills!D15))))/Inputs!$B$43),IF(Inputs!$B$38="pvp",MIN((Skills!T15*(1+Inputs!$B$34/100)),15)/15,(Skills!T15*(1+Inputs!$B$34/100))/Skills!D15)))+((C2513=TRUE)*F2513)+((C2530=TRUE)*(F2530-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2508)</f>
        <v/>
      </c>
      <c r="L2508">
        <f>K2508*(MIN(Inputs!$B$22+((C2524=TRUE)*(F2524-Calc!F23)),(Inputs!$B$23+((C2529=TRUE)*(F2529-Calc!F28))+(IF(ArtifactsInput!$M$15,CHOOSE(ArtifactsInput!$N$15+1,25,30,35,40,45,50)/100*(Inputs!$B$11-Inputs!$B$11),0))))/100+(Inputs!$B$23+((C2529=TRUE)*(F2529-Calc!F28))+(IF(ArtifactsInput!$M$15,CHOOSE(ArtifactsInput!$N$15+1,25,30,35,40,45,50)/100*(Inputs!$B$11-Inputs!$B$11),0)))/100)/2</f>
        <v/>
      </c>
      <c r="M2508">
        <f>L2508*(1+(Inputs!$B$10+0+B2538+(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508">
        <f>L2508*(1-MIN((Inputs!$B$9+((C2520=TRUE)*(F2520-Calc!F19))+B2533+(ArtifactsInput!$M$24-ArtifactsInput!$M$24)*CHOOSE(ArtifactsInput!$N$24+1,10,12,14,16,18,20)+(IF(AND(ArtifactsInput!$M$42,((Inputs!$B$9+((C2520=TRUE)*(F2520-Calc!F19))+B2533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2508*(MIN((Inputs!$B$9+((C2520=TRUE)*(F2520-Calc!F19))+B2533+(ArtifactsInput!$M$24-ArtifactsInput!$M$24)*CHOOSE(ArtifactsInput!$N$24+1,10,12,14,16,18,20)+(IF(AND(ArtifactsInput!$M$42,((Inputs!$B$9+((C2520=TRUE)*(F2520-Calc!F19))+B2533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508">
        <f>(1-Summary!$B$11)*T2508+Summary!$B$11*V2508</f>
        <v/>
      </c>
      <c r="P2508">
        <f>IF(B2543=0,0,O2508/B2543)</f>
        <v/>
      </c>
      <c r="Q2508">
        <f>IFERROR(1/IF(Inputs!$B$38="pvp",15,MAX(0.1,Skills!D7-IF(Skills!E7=TRUE,Inputs!$B$32,0))),0)</f>
        <v/>
      </c>
      <c r="R2508">
        <f>IF(AND(Inputs!$B$38&lt;&gt;"pvp",Inputs!$B$43&gt;0),IF(MAX(0,Inputs!$B$43-B2540)&lt;=0,0,(INT(MAX(0,Inputs!$B$43-B2540)/IF(Inputs!$B$38="pvp",15,MAX(0.1,Skills!D7-IF(Skills!E7=TRUE,Inputs!$B$32,0))))+1)),0)</f>
        <v/>
      </c>
      <c r="S2508">
        <f>IFERROR((H2508*N2508*IF(AND(Inputs!$B$38&lt;&gt;"pvp",Inputs!$B$43&gt;0),((Skills!G7*((R2508-1)*IF(Skills!H7&gt;0,Skills!I7/Skills!H7,1)+IF(Skills!H7&gt;0,MIN(Skills!I7,MAX(0,MAX(0,Inputs!$B$43-B2540)-((R2508-1)*IF(Inputs!$B$38="pvp",15,MAX(0.1,Skills!D7-IF(Skills!E7=TRUE,Inputs!$B$32,0))))))/Skills!H7,1)))/Inputs!$B$43),G2508*Q2508))/N2508*IF(Inputs!$B$38="pvp",1,(1-Summary!$B$11)*1+Summary!$B$11*(MIN(Skills!R7,Inputs!$B$37))),0)</f>
        <v/>
      </c>
      <c r="T2508">
        <f>IF(C2508,(H2508*N2508*IF(AND(Inputs!$B$38&lt;&gt;"pvp",Inputs!$B$43&gt;0),((Skills!G7*((R2508-1)*IF(Skills!H7&gt;0,Skills!I7/Skills!H7,1)+IF(Skills!H7&gt;0,MIN(Skills!I7,MAX(0,MAX(0,Inputs!$B$43-B2540)-((R2508-1)*IF(Inputs!$B$38="pvp",15,MAX(0.1,Skills!D7-IF(Skills!E7=TRUE,Inputs!$B$32,0))))))/Skills!H7,1)))/Inputs!$B$43),G2508*Q2508))*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IF(ArtifactsInput!$M$35,FALSE,TRUE),Inputs!$B$4&lt;&gt;"Chapter Hunt"),CHOOSE(ArtifactsInput!$N$35+1,15,18,21,24,27,30)*(1-EXP(-(0.2*B2535)*5)),0)+IF(AND(ArtifactsInput!$M$22,Inputs!$B$4&lt;&gt;"Chapter Hunt"),CHOOSE(ArtifactsInput!$N$22+1,10,12,14,16,18,20)*((0*(((0.15*B2535*5))^0/1)+1*(((0.15*B2535*5))^1/1)+2*(((0.15*B2535*5))^2/2)+3*(((0.15*B2535*5))^3/6)+4*(((0.15*B2535*5))^4/24)+5*(((0.15*B2535*5))^5/120))/((((0.15*B2535*5))^0/1)+(((0.15*B2535*5))^1/1)+(((0.15*B2535*5))^2/2)+(((0.15*B2535*5))^3/6)+(((0.15*B2535*5))^4/24)+(((0.15*B2535*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2508*(1-MIN(100,(Inputs!$B$9+((C2520=TRUE)*(F2520-Calc!F19))+B2533+(ArtifactsInput!$M$24-ArtifactsInput!$M$24)*CHOOSE(ArtifactsInput!$N$24+1,10,12,14,16,18,20)+(IF(AND(ArtifactsInput!$M$42,((Inputs!$B$9+((C2520=TRUE)*(F2520-Calc!F19))+B2533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2508*(MIN(100,(Inputs!$B$9+((C2520=TRUE)*(F2520-Calc!F19))+B2533+(ArtifactsInput!$M$24-ArtifactsInput!$M$24)*CHOOSE(ArtifactsInput!$N$24+1,10,12,14,16,18,20)+(IF(AND(ArtifactsInput!$M$42,((Inputs!$B$9+((C2520=TRUE)*(F2520-Calc!F19))+B2533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2508*(1-MIN(100,(Inputs!$B$9+((C2520=TRUE)*(F2520-Calc!F19))+B2533+(ArtifactsInput!$M$24-ArtifactsInput!$M$24)*CHOOSE(ArtifactsInput!$N$24+1,10,12,14,16,18,20)+(IF(AND(ArtifactsInput!$M$42,((Inputs!$B$9+((C2520=TRUE)*(F2520-Calc!F19))+B2533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2508*(MIN(100,(Inputs!$B$9+((C2520=TRUE)*(F2520-Calc!F19))+B2533+(ArtifactsInput!$M$24-ArtifactsInput!$M$24)*CHOOSE(ArtifactsInput!$N$24+1,10,12,14,16,18,20)+(IF(AND(ArtifactsInput!$M$42,((Inputs!$B$9+((C2520=TRUE)*(F2520-Calc!F19))+B2533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508">
        <f>IF(C2508,(H2508*N2508*IF(AND(Inputs!$B$38&lt;&gt;"pvp",Inputs!$B$43&gt;0),((Skills!G7*((R2508-1)*IF(Skills!H7&gt;0,Skills!I7/Skills!H7,1)+IF(Skills!H7&gt;0,MIN(Skills!I7,MAX(0,MAX(0,Inputs!$B$43-B2540)-((R2508-1)*IF(Inputs!$B$38="pvp",15,MAX(0.1,Skills!D7-IF(Skills!E7=TRUE,Inputs!$B$32,0))))))/Skills!H7,1)))/Inputs!$B$43),G2508*Q2508))*IF(Inputs!$B$38="pvp",1,(1+(Inputs!$B$21+Skills!Q7+(IF(ArtifactsInput!$M$33,CHOOSE(ArtifactsInput!$N$33+1,30,36,42,48,54,60),0))+(IF(AND(IF(ArtifactsInput!$M$35,FALSE,TRUE),Inputs!$B$4&lt;&gt;"Chapter Hunt"),CHOOSE(ArtifactsInput!$N$35+1,15,18,21,24,27,30)*(1-EXP(-(0.2*B2535)*5)),0)+IF(AND(ArtifactsInput!$M$22,Inputs!$B$4&lt;&gt;"Chapter Hunt"),CHOOSE(ArtifactsInput!$N$22+1,10,12,14,16,18,20)*((0*(((0.15*B2535*5))^0/1)+1*(((0.15*B2535*5))^1/1)+2*(((0.15*B2535*5))^2/2)+3*(((0.15*B2535*5))^3/6)+4*(((0.15*B2535*5))^4/24)+5*(((0.15*B2535*5))^5/120))/((((0.15*B2535*5))^0/1)+(((0.15*B2535*5))^1/1)+(((0.15*B2535*5))^2/2)+(((0.15*B2535*5))^3/6)+(((0.15*B2535*5))^4/24)+(((0.15*B2535*5))^5/120))),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509">
      <c r="A2509">
        <f>Skills!A8</f>
        <v/>
      </c>
      <c r="B2509">
        <f>Skills!B8</f>
        <v/>
      </c>
      <c r="C2509">
        <f>Inputs!$B$3&gt;=100</f>
        <v/>
      </c>
      <c r="D2509">
        <f>IF(Skills!C8=1,60+Inputs!$B$25+Inputs!$B$29,IF(Skills!C8=2,90+Inputs!$B$26+Inputs!$B$29,IF(Skills!C8=3,120+Inputs!$B$27+Inputs!$B$29,MAX(0,(Inputs!$B$3-100)*3)+Inputs!$B$28+Inputs!$B$29)))</f>
        <v/>
      </c>
      <c r="E2509">
        <f>INDEX(FactorTable!$B$2:$Y$301, MATCH(ROUND(MIN(300,MAX(1,D2509)),0), FactorTable!$A$2:$A$301,0), Skills!M8+1)</f>
        <v/>
      </c>
      <c r="F2509">
        <f>IF(Skills!N8=TRUE,(Skills!L8/10)*(E2509/1000),Skills!L8/10)+Skills!O8</f>
        <v/>
      </c>
      <c r="G2509" t="inlineStr"/>
      <c r="H2509" t="inlineStr"/>
      <c r="I2509" t="inlineStr">
        <is>
          <t>1</t>
        </is>
      </c>
      <c r="J2509" t="inlineStr"/>
      <c r="K2509" t="inlineStr"/>
      <c r="L2509" t="inlineStr"/>
      <c r="M2509" t="inlineStr"/>
      <c r="N2509" t="inlineStr"/>
      <c r="O2509" t="inlineStr"/>
      <c r="P2509" t="inlineStr"/>
      <c r="Q2509" t="inlineStr"/>
      <c r="R2509" t="inlineStr"/>
      <c r="S2509" t="inlineStr"/>
      <c r="T2509" t="inlineStr"/>
      <c r="V2509" t="inlineStr"/>
    </row>
    <row r="2510">
      <c r="A2510">
        <f>Skills!A9</f>
        <v/>
      </c>
      <c r="B2510">
        <f>Skills!B9</f>
        <v/>
      </c>
      <c r="C2510">
        <f>Inputs!$B$3&gt;=103</f>
        <v/>
      </c>
      <c r="D2510">
        <f>IF(Skills!C9=1,60+Inputs!$B$25+Inputs!$B$29,IF(Skills!C9=2,90+Inputs!$B$26+Inputs!$B$29,IF(Skills!C9=3,120+Inputs!$B$27+Inputs!$B$29,MAX(0,(Inputs!$B$3-100)*3)+Inputs!$B$28+Inputs!$B$29)))</f>
        <v/>
      </c>
      <c r="E2510">
        <f>INDEX(FactorTable!$B$2:$Y$301, MATCH(ROUND(MIN(300,MAX(1,D2510)),0), FactorTable!$A$2:$A$301,0), Skills!M9+1)</f>
        <v/>
      </c>
      <c r="F2510">
        <f>IF(Skills!N9=TRUE,(Skills!L9/10)*(E2510/1000),Skills!L9/10)+Skills!O9</f>
        <v/>
      </c>
      <c r="G2510">
        <f>Skills!G9*IF(Skills!H9&gt;0,Skills!I9/Skills!H9,1)</f>
        <v/>
      </c>
      <c r="H2510">
        <f>1-(1-Skills!J9/100)^Skills!K9</f>
        <v/>
      </c>
      <c r="I2510" t="inlineStr">
        <is>
          <t>1</t>
        </is>
      </c>
      <c r="J2510">
        <f>((Inputs!$B$6*(1+Inputs!$B$7/100))+(((Inputs!$B$12*(1+Inputs!$B$13/100))-(Inputs!$B$12*(1+Inputs!$B$13/100)))+0.25*(Inputs!$B$14-Inputs!$B$14))*(1+Inputs!$B$7/100))*(F2510/100)</f>
        <v/>
      </c>
      <c r="K2510">
        <f>J2510*(1+((Inputs!$B$12*(1+Inputs!$B$13/100))*0.01+Inputs!$B$14*0.0025)/100)*(1+Inputs!$B$15/100)*(1+Inputs!$B$16/100)*(5000/(6000+Inputs!$B$42*(1-(100*(1-(1-(Inputs!$B$19+0)/100)*(1-CHOOSE(ArtifactsInput!$N$40+1,5,6,7,8,9,10)/100)^(ArtifactsInput!$M$40-ArtifactsInput!$M$40)))/100)))*(1+(Inputs!$B$24+((C2525=TRUE)*(F2525-Calc!F24))+((C2526=TRUE)*(F2526-Calc!F25))+B2539)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EMPOWERED_PIERCING_ARROW",Inputs!$B$17+((C2523=TRUE)*(F2523-Calc!F22))+(((IF(AND(ArtifactsInput!$M$42,((Inputs!$B$9+((C2520=TRUE)*(F2520-Calc!F19))+B2533+(ArtifactsInput!$M$24-ArtifactsInput!$M$24)*CHOOSE(ArtifactsInput!$N$24+1,10,12,14,16,18,20)+IF(ArtifactsInput!$M$10,CHOOSE(ArtifactsInput!$N$10+1,15,18,21,24,27,30)*(IF(Inputs!$B$38="pvp",MIN(15,15)/15,IF(AND(Inputs!$B$38&lt;&gt;"pvp",Inputs!$B$43&gt;0),MIN(15,Inputs!$B$43)/(Inputs!$B$43),0))),0)))&gt;=100),MIN(100,((Inputs!$B$9+((C2520=TRUE)*(F2520-Calc!F19))+B2533+(ArtifactsInput!$M$24-ArtifactsInput!$M$24)*CHOOSE(ArtifactsInput!$N$24+1,10,12,14,16,18,20)+IF(ArtifactsInput!$M$10,CHOOSE(ArtifactsInput!$N$10+1,15,18,21,24,27,30)*(IF(Inputs!$B$38="pvp",MIN(15,15)/15,IF(AND(Inputs!$B$38&lt;&gt;"pvp",Inputs!$B$43&gt;0),MIN(15,Inputs!$B$43)/(Inputs!$B$43),0))),0)))-100),0))*CHOOSE(ArtifactsInput!$N$42+1,0.6,0.72,0.84,0.96,1.08,1.2))),Inputs!$B$18+((C2528=TRUE)*(F2528-Calc!F27))+(IF(AND(ArtifactsInput!$M$42,((Inputs!$B$9+((C2520=TRUE)*(F2520-Calc!F19))+B2533+(ArtifactsInput!$M$24-ArtifactsInput!$M$24)*CHOOSE(ArtifactsInput!$N$24+1,10,12,14,16,18,20)+IF(ArtifactsInput!$M$10,CHOOSE(ArtifactsInput!$N$10+1,15,18,21,24,27,30)*(IF(Inputs!$B$38="pvp",MIN(15,15)/15,IF(AND(Inputs!$B$38&lt;&gt;"pvp",Inputs!$B$43&gt;0),MIN(15,Inputs!$B$43)/(Inputs!$B$43),0))),0)))&gt;=100),CHOOSE(ArtifactsInput!$N$42+1,40,48,56,64,72,80),0))))/100)*((1+(((C2514=TRUE)*F2514)+((C2515=TRUE)*IF(Inputs!$B$38="pvp",F2515,(1-Summary!$B$11)*(F2515)+Summary!$B$11*(0)))+((C2516=TRUE)*F2516*IF(AND(Inputs!$B$38&lt;&gt;"pvp",Inputs!$B$43&gt;0),(((R2516-1)*(Skills!T15*(1+Inputs!$B$34/100))+MIN((Skills!T15*(1+Inputs!$B$34/100)),MAX(0,Inputs!$B$43-((R2516-1)*Skills!D15))))/Inputs!$B$43),IF(Inputs!$B$38="pvp",MIN((Skills!T15*(1+Inputs!$B$34/100)),15)/15,(Skills!T15*(1+Inputs!$B$34/100))/Skills!D15)))+((C2513=TRUE)*F2513)+((C2530=TRUE)*(F2530-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2510)</f>
        <v/>
      </c>
      <c r="L2510">
        <f>K2510*(MIN(Inputs!$B$22+((C2524=TRUE)*(F2524-Calc!F23)),(Inputs!$B$23+((C2529=TRUE)*(F2529-Calc!F28))+(IF(ArtifactsInput!$M$15,CHOOSE(ArtifactsInput!$N$15+1,25,30,35,40,45,50)/100*(Inputs!$B$11-Inputs!$B$11),0))))/100+(Inputs!$B$23+((C2529=TRUE)*(F2529-Calc!F28))+(IF(ArtifactsInput!$M$15,CHOOSE(ArtifactsInput!$N$15+1,25,30,35,40,45,50)/100*(Inputs!$B$11-Inputs!$B$11),0)))/100)/2</f>
        <v/>
      </c>
      <c r="M2510">
        <f>L2510*(1+(Inputs!$B$10+0+B2538+(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510">
        <f>L2510*(1-MIN((Inputs!$B$9+((C2520=TRUE)*(F2520-Calc!F19))+B2533+(ArtifactsInput!$M$24-ArtifactsInput!$M$24)*CHOOSE(ArtifactsInput!$N$24+1,10,12,14,16,18,20)+(IF(AND(ArtifactsInput!$M$42,((Inputs!$B$9+((C2520=TRUE)*(F2520-Calc!F19))+B2533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2510*(MIN((Inputs!$B$9+((C2520=TRUE)*(F2520-Calc!F19))+B2533+(ArtifactsInput!$M$24-ArtifactsInput!$M$24)*CHOOSE(ArtifactsInput!$N$24+1,10,12,14,16,18,20)+(IF(AND(ArtifactsInput!$M$42,((Inputs!$B$9+((C2520=TRUE)*(F2520-Calc!F19))+B2533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510">
        <f>(1-Summary!$B$11)*T2510+Summary!$B$11*V2510</f>
        <v/>
      </c>
      <c r="P2510">
        <f>IF(B2543=0,0,O2510/B2543)</f>
        <v/>
      </c>
      <c r="Q2510">
        <f>IFERROR(1/IF(Inputs!$B$38="pvp",15,MAX(0.1,Skills!D9-IF(Skills!E9=TRUE,Inputs!$B$32,0))),0)</f>
        <v/>
      </c>
      <c r="R2510">
        <f>IF(AND(Inputs!$B$38&lt;&gt;"pvp",Inputs!$B$43&gt;0),IF(MAX(0,Inputs!$B$43-B2540)&lt;=0,0,(INT(MAX(0,Inputs!$B$43-B2540)/IF(Inputs!$B$38="pvp",15,MAX(0.1,Skills!D9-IF(Skills!E9=TRUE,Inputs!$B$32,0))))+1)),0)</f>
        <v/>
      </c>
      <c r="S2510">
        <f>IFERROR((H2510*N2510*IF(AND(Inputs!$B$38&lt;&gt;"pvp",Inputs!$B$43&gt;0),((Skills!G9*((R2510-1)*IF(Skills!H9&gt;0,Skills!I9/Skills!H9,1)+IF(Skills!H9&gt;0,MIN(Skills!I9,MAX(0,MAX(0,Inputs!$B$43-B2540)-((R2510-1)*IF(Inputs!$B$38="pvp",15,MAX(0.1,Skills!D9-IF(Skills!E9=TRUE,Inputs!$B$32,0))))))/Skills!H9,1)))/Inputs!$B$43),G2510*Q2510))/N2510*IF(Inputs!$B$38="pvp",1,(1-Summary!$B$11)*1+Summary!$B$11*(MIN(Skills!R9,Inputs!$B$37))),0)</f>
        <v/>
      </c>
      <c r="T2510">
        <f>IF(C2510,(H2510*N2510*IF(AND(Inputs!$B$38&lt;&gt;"pvp",Inputs!$B$43&gt;0),((Skills!G9*((R2510-1)*IF(Skills!H9&gt;0,Skills!I9/Skills!H9,1)+IF(Skills!H9&gt;0,MIN(Skills!I9,MAX(0,MAX(0,Inputs!$B$43-B2540)-((R2510-1)*IF(Inputs!$B$38="pvp",15,MAX(0.1,Skills!D9-IF(Skills!E9=TRUE,Inputs!$B$32,0))))))/Skills!H9,1)))/Inputs!$B$43),G2510*Q2510))*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IF(ArtifactsInput!$M$35,FALSE,TRUE),Inputs!$B$4&lt;&gt;"Chapter Hunt"),CHOOSE(ArtifactsInput!$N$35+1,15,18,21,24,27,30)*(1-EXP(-(0.2*B2535)*5)),0)+IF(AND(ArtifactsInput!$M$22,Inputs!$B$4&lt;&gt;"Chapter Hunt"),CHOOSE(ArtifactsInput!$N$22+1,10,12,14,16,18,20)*((0*(((0.15*B2535*5))^0/1)+1*(((0.15*B2535*5))^1/1)+2*(((0.15*B2535*5))^2/2)+3*(((0.15*B2535*5))^3/6)+4*(((0.15*B2535*5))^4/24)+5*(((0.15*B2535*5))^5/120))/((((0.15*B2535*5))^0/1)+(((0.15*B2535*5))^1/1)+(((0.15*B2535*5))^2/2)+(((0.15*B2535*5))^3/6)+(((0.15*B2535*5))^4/24)+(((0.15*B2535*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2510*(1-MIN(100,(Inputs!$B$9+((C2520=TRUE)*(F2520-Calc!F19))+B2533+(ArtifactsInput!$M$24-ArtifactsInput!$M$24)*CHOOSE(ArtifactsInput!$N$24+1,10,12,14,16,18,20)+(IF(AND(ArtifactsInput!$M$42,((Inputs!$B$9+((C2520=TRUE)*(F2520-Calc!F19))+B2533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2510*(MIN(100,(Inputs!$B$9+((C2520=TRUE)*(F2520-Calc!F19))+B2533+(ArtifactsInput!$M$24-ArtifactsInput!$M$24)*CHOOSE(ArtifactsInput!$N$24+1,10,12,14,16,18,20)+(IF(AND(ArtifactsInput!$M$42,((Inputs!$B$9+((C2520=TRUE)*(F2520-Calc!F19))+B2533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2510*(1-MIN(100,(Inputs!$B$9+((C2520=TRUE)*(F2520-Calc!F19))+B2533+(ArtifactsInput!$M$24-ArtifactsInput!$M$24)*CHOOSE(ArtifactsInput!$N$24+1,10,12,14,16,18,20)+(IF(AND(ArtifactsInput!$M$42,((Inputs!$B$9+((C2520=TRUE)*(F2520-Calc!F19))+B2533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2510*(MIN(100,(Inputs!$B$9+((C2520=TRUE)*(F2520-Calc!F19))+B2533+(ArtifactsInput!$M$24-ArtifactsInput!$M$24)*CHOOSE(ArtifactsInput!$N$24+1,10,12,14,16,18,20)+(IF(AND(ArtifactsInput!$M$42,((Inputs!$B$9+((C2520=TRUE)*(F2520-Calc!F19))+B2533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510">
        <f>IF(C2510,(H2510*N2510*IF(AND(Inputs!$B$38&lt;&gt;"pvp",Inputs!$B$43&gt;0),((Skills!G9*((R2510-1)*IF(Skills!H9&gt;0,Skills!I9/Skills!H9,1)+IF(Skills!H9&gt;0,MIN(Skills!I9,MAX(0,MAX(0,Inputs!$B$43-B2540)-((R2510-1)*IF(Inputs!$B$38="pvp",15,MAX(0.1,Skills!D9-IF(Skills!E9=TRUE,Inputs!$B$32,0))))))/Skills!H9,1)))/Inputs!$B$43),G2510*Q2510))*IF(Inputs!$B$38="pvp",1,(1+(Inputs!$B$21+Skills!Q9+(IF(ArtifactsInput!$M$33,CHOOSE(ArtifactsInput!$N$33+1,30,36,42,48,54,60),0))+(IF(AND(IF(ArtifactsInput!$M$35,FALSE,TRUE),Inputs!$B$4&lt;&gt;"Chapter Hunt"),CHOOSE(ArtifactsInput!$N$35+1,15,18,21,24,27,30)*(1-EXP(-(0.2*B2535)*5)),0)+IF(AND(ArtifactsInput!$M$22,Inputs!$B$4&lt;&gt;"Chapter Hunt"),CHOOSE(ArtifactsInput!$N$22+1,10,12,14,16,18,20)*((0*(((0.15*B2535*5))^0/1)+1*(((0.15*B2535*5))^1/1)+2*(((0.15*B2535*5))^2/2)+3*(((0.15*B2535*5))^3/6)+4*(((0.15*B2535*5))^4/24)+5*(((0.15*B2535*5))^5/120))/((((0.15*B2535*5))^0/1)+(((0.15*B2535*5))^1/1)+(((0.15*B2535*5))^2/2)+(((0.15*B2535*5))^3/6)+(((0.15*B2535*5))^4/24)+(((0.15*B2535*5))^5/120)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511">
      <c r="A2511">
        <f>Skills!A10</f>
        <v/>
      </c>
      <c r="B2511">
        <f>Skills!B10</f>
        <v/>
      </c>
      <c r="C2511">
        <f>Inputs!$B$3&gt;=107</f>
        <v/>
      </c>
      <c r="D2511">
        <f>IF(Skills!C10=1,60+Inputs!$B$25+Inputs!$B$29,IF(Skills!C10=2,90+Inputs!$B$26+Inputs!$B$29,IF(Skills!C10=3,120+Inputs!$B$27+Inputs!$B$29,MAX(0,(Inputs!$B$3-100)*3)+Inputs!$B$28+Inputs!$B$29)))</f>
        <v/>
      </c>
      <c r="E2511">
        <f>INDEX(FactorTable!$B$2:$Y$301, MATCH(ROUND(MIN(300,MAX(1,D2511)),0), FactorTable!$A$2:$A$301,0), Skills!M10+1)</f>
        <v/>
      </c>
      <c r="F2511">
        <f>IF(Skills!N10=TRUE,(Skills!L10/10)*(E2511/1000),Skills!L10/10)+Skills!O10</f>
        <v/>
      </c>
      <c r="G2511">
        <f>Skills!G10*IF(Skills!H10&gt;0,Skills!I10/Skills!H10,1)</f>
        <v/>
      </c>
      <c r="H2511">
        <f>1-(1-Skills!J10/100)^Skills!K10</f>
        <v/>
      </c>
      <c r="I2511" t="inlineStr">
        <is>
          <t>1</t>
        </is>
      </c>
      <c r="J2511">
        <f>((Inputs!$B$6*(1+Inputs!$B$7/100))+(((Inputs!$B$12*(1+Inputs!$B$13/100))-(Inputs!$B$12*(1+Inputs!$B$13/100)))+0.25*(Inputs!$B$14-Inputs!$B$14))*(1+Inputs!$B$7/100))*(F2511/100)</f>
        <v/>
      </c>
      <c r="K2511">
        <f>J2511*(1+((Inputs!$B$12*(1+Inputs!$B$13/100))*0.01+Inputs!$B$14*0.0025)/100)*(1+Inputs!$B$15/100)*(1+Inputs!$B$16/100)*(5000/(6000+Inputs!$B$42*(1-(100*(1-(1-(Inputs!$B$19+0)/100)*(1-CHOOSE(ArtifactsInput!$N$40+1,5,6,7,8,9,10)/100)^(ArtifactsInput!$M$40-ArtifactsInput!$M$40)))/100)))*(1+(Inputs!$B$24+((C2525=TRUE)*(F2525-Calc!F24))+((C2526=TRUE)*(F2526-Calc!F25))+B2539)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EMPOWERED_PIERCING_ARROW",Inputs!$B$17+((C2523=TRUE)*(F2523-Calc!F22))+(((IF(AND(ArtifactsInput!$M$42,((Inputs!$B$9+((C2520=TRUE)*(F2520-Calc!F19))+B2533+(ArtifactsInput!$M$24-ArtifactsInput!$M$24)*CHOOSE(ArtifactsInput!$N$24+1,10,12,14,16,18,20)+IF(ArtifactsInput!$M$10,CHOOSE(ArtifactsInput!$N$10+1,15,18,21,24,27,30)*(IF(Inputs!$B$38="pvp",MIN(15,15)/15,IF(AND(Inputs!$B$38&lt;&gt;"pvp",Inputs!$B$43&gt;0),MIN(15,Inputs!$B$43)/(Inputs!$B$43),0))),0)))&gt;=100),MIN(100,((Inputs!$B$9+((C2520=TRUE)*(F2520-Calc!F19))+B2533+(ArtifactsInput!$M$24-ArtifactsInput!$M$24)*CHOOSE(ArtifactsInput!$N$24+1,10,12,14,16,18,20)+IF(ArtifactsInput!$M$10,CHOOSE(ArtifactsInput!$N$10+1,15,18,21,24,27,30)*(IF(Inputs!$B$38="pvp",MIN(15,15)/15,IF(AND(Inputs!$B$38&lt;&gt;"pvp",Inputs!$B$43&gt;0),MIN(15,Inputs!$B$43)/(Inputs!$B$43),0))),0)))-100),0))*CHOOSE(ArtifactsInput!$N$42+1,0.6,0.72,0.84,0.96,1.08,1.2))),Inputs!$B$18+((C2528=TRUE)*(F2528-Calc!F27))+(IF(AND(ArtifactsInput!$M$42,((Inputs!$B$9+((C2520=TRUE)*(F2520-Calc!F19))+B2533+(ArtifactsInput!$M$24-ArtifactsInput!$M$24)*CHOOSE(ArtifactsInput!$N$24+1,10,12,14,16,18,20)+IF(ArtifactsInput!$M$10,CHOOSE(ArtifactsInput!$N$10+1,15,18,21,24,27,30)*(IF(Inputs!$B$38="pvp",MIN(15,15)/15,IF(AND(Inputs!$B$38&lt;&gt;"pvp",Inputs!$B$43&gt;0),MIN(15,Inputs!$B$43)/(Inputs!$B$43),0))),0)))&gt;=100),CHOOSE(ArtifactsInput!$N$42+1,40,48,56,64,72,80),0))))/100)*((1+(((C2514=TRUE)*F2514)+((C2515=TRUE)*IF(Inputs!$B$38="pvp",F2515,(1-Summary!$B$11)*(F2515)+Summary!$B$11*(0)))+((C2516=TRUE)*F2516*IF(AND(Inputs!$B$38&lt;&gt;"pvp",Inputs!$B$43&gt;0),(((R2516-1)*(Skills!T15*(1+Inputs!$B$34/100))+MIN((Skills!T15*(1+Inputs!$B$34/100)),MAX(0,Inputs!$B$43-((R2516-1)*Skills!D15))))/Inputs!$B$43),IF(Inputs!$B$38="pvp",MIN((Skills!T15*(1+Inputs!$B$34/100)),15)/15,(Skills!T15*(1+Inputs!$B$34/100))/Skills!D15)))+((C2513=TRUE)*F2513)+((C2530=TRUE)*(F2530-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2511)</f>
        <v/>
      </c>
      <c r="L2511">
        <f>K2511*(MIN(Inputs!$B$22+((C2524=TRUE)*(F2524-Calc!F23)),(Inputs!$B$23+((C2529=TRUE)*(F2529-Calc!F28))+(IF(ArtifactsInput!$M$15,CHOOSE(ArtifactsInput!$N$15+1,25,30,35,40,45,50)/100*(Inputs!$B$11-Inputs!$B$11),0))))/100+(Inputs!$B$23+((C2529=TRUE)*(F2529-Calc!F28))+(IF(ArtifactsInput!$M$15,CHOOSE(ArtifactsInput!$N$15+1,25,30,35,40,45,50)/100*(Inputs!$B$11-Inputs!$B$11),0)))/100)/2</f>
        <v/>
      </c>
      <c r="M2511">
        <f>L2511*(1+(Inputs!$B$10+0+B2538+(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511">
        <f>L2511*(1-MIN((Inputs!$B$9+((C2520=TRUE)*(F2520-Calc!F19))+B2533+(ArtifactsInput!$M$24-ArtifactsInput!$M$24)*CHOOSE(ArtifactsInput!$N$24+1,10,12,14,16,18,20)+(IF(AND(ArtifactsInput!$M$42,((Inputs!$B$9+((C2520=TRUE)*(F2520-Calc!F19))+B2533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2511*(MIN((Inputs!$B$9+((C2520=TRUE)*(F2520-Calc!F19))+B2533+(ArtifactsInput!$M$24-ArtifactsInput!$M$24)*CHOOSE(ArtifactsInput!$N$24+1,10,12,14,16,18,20)+(IF(AND(ArtifactsInput!$M$42,((Inputs!$B$9+((C2520=TRUE)*(F2520-Calc!F19))+B2533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511">
        <f>(1-Summary!$B$11)*T2511+Summary!$B$11*V2511</f>
        <v/>
      </c>
      <c r="P2511">
        <f>IF(B2543=0,0,O2511/B2543)</f>
        <v/>
      </c>
      <c r="Q2511" t="n">
        <v>0</v>
      </c>
      <c r="R2511" t="n">
        <v>0</v>
      </c>
      <c r="S2511" t="n">
        <v>0</v>
      </c>
      <c r="T2511">
        <f>IF(C2511,(0.15*SUMPRODUCT((Skills!U2:U29=TRUE)*(C2503:C2530=TRUE)*S2503:S2530)*Skills!G10*N2511)*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IF(ArtifactsInput!$M$35,FALSE,TRUE),Inputs!$B$4&lt;&gt;"Chapter Hunt"),CHOOSE(ArtifactsInput!$N$35+1,15,18,21,24,27,30)*(1-EXP(-(0.2*B2535)*5)),0)+IF(AND(ArtifactsInput!$M$22,Inputs!$B$4&lt;&gt;"Chapter Hunt"),CHOOSE(ArtifactsInput!$N$22+1,10,12,14,16,18,20)*((0*(((0.15*B2535*5))^0/1)+1*(((0.15*B2535*5))^1/1)+2*(((0.15*B2535*5))^2/2)+3*(((0.15*B2535*5))^3/6)+4*(((0.15*B2535*5))^4/24)+5*(((0.15*B2535*5))^5/120))/((((0.15*B2535*5))^0/1)+(((0.15*B2535*5))^1/1)+(((0.15*B2535*5))^2/2)+(((0.15*B2535*5))^3/6)+(((0.15*B2535*5))^4/24)+(((0.15*B2535*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2511*(1-MIN(100,(Inputs!$B$9+((C2520=TRUE)*(F2520-Calc!F19))+B2533+(ArtifactsInput!$M$24-ArtifactsInput!$M$24)*CHOOSE(ArtifactsInput!$N$24+1,10,12,14,16,18,20)+(IF(AND(ArtifactsInput!$M$42,((Inputs!$B$9+((C2520=TRUE)*(F2520-Calc!F19))+B2533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2511*(MIN(100,(Inputs!$B$9+((C2520=TRUE)*(F2520-Calc!F19))+B2533+(ArtifactsInput!$M$24-ArtifactsInput!$M$24)*CHOOSE(ArtifactsInput!$N$24+1,10,12,14,16,18,20)+(IF(AND(ArtifactsInput!$M$42,((Inputs!$B$9+((C2520=TRUE)*(F2520-Calc!F19))+B2533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2511*(1-MIN(100,(Inputs!$B$9+((C2520=TRUE)*(F2520-Calc!F19))+B2533+(ArtifactsInput!$M$24-ArtifactsInput!$M$24)*CHOOSE(ArtifactsInput!$N$24+1,10,12,14,16,18,20)+(IF(AND(ArtifactsInput!$M$42,((Inputs!$B$9+((C2520=TRUE)*(F2520-Calc!F19))+B2533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2511*(MIN(100,(Inputs!$B$9+((C2520=TRUE)*(F2520-Calc!F19))+B2533+(ArtifactsInput!$M$24-ArtifactsInput!$M$24)*CHOOSE(ArtifactsInput!$N$24+1,10,12,14,16,18,20)+(IF(AND(ArtifactsInput!$M$42,((Inputs!$B$9+((C2520=TRUE)*(F2520-Calc!F19))+B2533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511">
        <f>IF(C2511,(0.15*SUMPRODUCT((Skills!U2:U29=TRUE)*(C2503:C2530=TRUE)*S2503:S2530)*Skills!G10*N2511)*IF(Inputs!$B$38="pvp",1,(1+(Inputs!$B$21+Skills!Q10+(IF(ArtifactsInput!$M$33,CHOOSE(ArtifactsInput!$N$33+1,30,36,42,48,54,60),0))+(IF(AND(IF(ArtifactsInput!$M$35,FALSE,TRUE),Inputs!$B$4&lt;&gt;"Chapter Hunt"),CHOOSE(ArtifactsInput!$N$35+1,15,18,21,24,27,30)*(1-EXP(-(0.2*B2535)*5)),0)+IF(AND(ArtifactsInput!$M$22,Inputs!$B$4&lt;&gt;"Chapter Hunt"),CHOOSE(ArtifactsInput!$N$22+1,10,12,14,16,18,20)*((0*(((0.15*B2535*5))^0/1)+1*(((0.15*B2535*5))^1/1)+2*(((0.15*B2535*5))^2/2)+3*(((0.15*B2535*5))^3/6)+4*(((0.15*B2535*5))^4/24)+5*(((0.15*B2535*5))^5/120))/((((0.15*B2535*5))^0/1)+(((0.15*B2535*5))^1/1)+(((0.15*B2535*5))^2/2)+(((0.15*B2535*5))^3/6)+(((0.15*B2535*5))^4/24)+(((0.15*B2535*5))^5/120)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512">
      <c r="A2512">
        <f>Skills!A11</f>
        <v/>
      </c>
      <c r="B2512">
        <f>Skills!B11</f>
        <v/>
      </c>
      <c r="C2512">
        <f>Inputs!$B$3&gt;=110</f>
        <v/>
      </c>
      <c r="D2512">
        <f>IF(Skills!C11=1,60+Inputs!$B$25+Inputs!$B$29,IF(Skills!C11=2,90+Inputs!$B$26+Inputs!$B$29,IF(Skills!C11=3,120+Inputs!$B$27+Inputs!$B$29,MAX(0,(Inputs!$B$3-100)*3)+Inputs!$B$28+Inputs!$B$29)))</f>
        <v/>
      </c>
      <c r="E2512">
        <f>INDEX(FactorTable!$B$2:$Y$301, MATCH(ROUND(MIN(300,MAX(1,D2512)),0), FactorTable!$A$2:$A$301,0), Skills!M11+1)</f>
        <v/>
      </c>
      <c r="F2512">
        <f>IF(Skills!N11=TRUE,(Skills!L11/10)*(E2512/1000),Skills!L11/10)+Skills!O11</f>
        <v/>
      </c>
      <c r="G2512">
        <f>Skills!G11*IF(Skills!H11&gt;0,Skills!I11/Skills!H11,1)</f>
        <v/>
      </c>
      <c r="H2512">
        <f>1-(1-Skills!J11/100)^Skills!K11</f>
        <v/>
      </c>
      <c r="I2512" t="inlineStr">
        <is>
          <t>1</t>
        </is>
      </c>
      <c r="J2512">
        <f>((Inputs!$B$6*(1+Inputs!$B$7/100))+(((Inputs!$B$12*(1+Inputs!$B$13/100))-(Inputs!$B$12*(1+Inputs!$B$13/100)))+0.25*(Inputs!$B$14-Inputs!$B$14))*(1+Inputs!$B$7/100))*(F2512/100)</f>
        <v/>
      </c>
      <c r="K2512">
        <f>J2512*(1+((Inputs!$B$12*(1+Inputs!$B$13/100))*0.01+Inputs!$B$14*0.0025)/100)*(1+Inputs!$B$15/100)*(1+Inputs!$B$16/100)*(5000/(6000+Inputs!$B$42*(1-(100*(1-(1-(Inputs!$B$19+0)/100)*(1-CHOOSE(ArtifactsInput!$N$40+1,5,6,7,8,9,10)/100)^(ArtifactsInput!$M$40-ArtifactsInput!$M$40)))/100)))*(1+(Inputs!$B$24+((C2525=TRUE)*(F2525-Calc!F24))+((C2526=TRUE)*(F2526-Calc!F25))+B2539)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11="EMPOWERED_PIERCING_ARROW",Inputs!$B$17+((C2523=TRUE)*(F2523-Calc!F22))+(((IF(AND(ArtifactsInput!$M$42,((Inputs!$B$9+((C2520=TRUE)*(F2520-Calc!F19))+B2533+(ArtifactsInput!$M$24-ArtifactsInput!$M$24)*CHOOSE(ArtifactsInput!$N$24+1,10,12,14,16,18,20)+IF(ArtifactsInput!$M$10,CHOOSE(ArtifactsInput!$N$10+1,15,18,21,24,27,30)*(IF(Inputs!$B$38="pvp",MIN(15,15)/15,IF(AND(Inputs!$B$38&lt;&gt;"pvp",Inputs!$B$43&gt;0),MIN(15,Inputs!$B$43)/(Inputs!$B$43),0))),0)))&gt;=100),MIN(100,((Inputs!$B$9+((C2520=TRUE)*(F2520-Calc!F19))+B2533+(ArtifactsInput!$M$24-ArtifactsInput!$M$24)*CHOOSE(ArtifactsInput!$N$24+1,10,12,14,16,18,20)+IF(ArtifactsInput!$M$10,CHOOSE(ArtifactsInput!$N$10+1,15,18,21,24,27,30)*(IF(Inputs!$B$38="pvp",MIN(15,15)/15,IF(AND(Inputs!$B$38&lt;&gt;"pvp",Inputs!$B$43&gt;0),MIN(15,Inputs!$B$43)/(Inputs!$B$43),0))),0)))-100),0))*CHOOSE(ArtifactsInput!$N$42+1,0.6,0.72,0.84,0.96,1.08,1.2))),Inputs!$B$18+((C2528=TRUE)*(F2528-Calc!F27))+(IF(AND(ArtifactsInput!$M$42,((Inputs!$B$9+((C2520=TRUE)*(F2520-Calc!F19))+B2533+(ArtifactsInput!$M$24-ArtifactsInput!$M$24)*CHOOSE(ArtifactsInput!$N$24+1,10,12,14,16,18,20)+IF(ArtifactsInput!$M$10,CHOOSE(ArtifactsInput!$N$10+1,15,18,21,24,27,30)*(IF(Inputs!$B$38="pvp",MIN(15,15)/15,IF(AND(Inputs!$B$38&lt;&gt;"pvp",Inputs!$B$43&gt;0),MIN(15,Inputs!$B$43)/(Inputs!$B$43),0))),0)))&gt;=100),CHOOSE(ArtifactsInput!$N$42+1,40,48,56,64,72,80),0))))/100)*((1+(((C2514=TRUE)*F2514)+((C2515=TRUE)*IF(Inputs!$B$38="pvp",F2515,(1-Summary!$B$11)*(F2515)+Summary!$B$11*(0)))+((C2516=TRUE)*F2516*IF(AND(Inputs!$B$38&lt;&gt;"pvp",Inputs!$B$43&gt;0),(((R2516-1)*(Skills!T15*(1+Inputs!$B$34/100))+MIN((Skills!T15*(1+Inputs!$B$34/100)),MAX(0,Inputs!$B$43-((R2516-1)*Skills!D15))))/Inputs!$B$43),IF(Inputs!$B$38="pvp",MIN((Skills!T15*(1+Inputs!$B$34/100)),15)/15,(Skills!T15*(1+Inputs!$B$34/100))/Skills!D15)))+((C2513=TRUE)*F2513)+((C2530=TRUE)*(F2530-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2512)</f>
        <v/>
      </c>
      <c r="L2512">
        <f>K2512*(MIN(Inputs!$B$22+((C2524=TRUE)*(F2524-Calc!F23)),(Inputs!$B$23+((C2529=TRUE)*(F2529-Calc!F28))+(IF(ArtifactsInput!$M$15,CHOOSE(ArtifactsInput!$N$15+1,25,30,35,40,45,50)/100*(Inputs!$B$11-Inputs!$B$11),0))))/100+(Inputs!$B$23+((C2529=TRUE)*(F2529-Calc!F28))+(IF(ArtifactsInput!$M$15,CHOOSE(ArtifactsInput!$N$15+1,25,30,35,40,45,50)/100*(Inputs!$B$11-Inputs!$B$11),0)))/100)/2</f>
        <v/>
      </c>
      <c r="M2512">
        <f>L2512*(1+(Inputs!$B$10+0+B2538+(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512">
        <f>L2512*(1-MIN((Inputs!$B$9+((C2520=TRUE)*(F2520-Calc!F19))+B2533+(ArtifactsInput!$M$24-ArtifactsInput!$M$24)*CHOOSE(ArtifactsInput!$N$24+1,10,12,14,16,18,20)+(IF(AND(ArtifactsInput!$M$42,((Inputs!$B$9+((C2520=TRUE)*(F2520-Calc!F19))+B2533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2512*(MIN((Inputs!$B$9+((C2520=TRUE)*(F2520-Calc!F19))+B2533+(ArtifactsInput!$M$24-ArtifactsInput!$M$24)*CHOOSE(ArtifactsInput!$N$24+1,10,12,14,16,18,20)+(IF(AND(ArtifactsInput!$M$42,((Inputs!$B$9+((C2520=TRUE)*(F2520-Calc!F19))+B2533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512">
        <f>(1-Summary!$B$11)*T2512+Summary!$B$11*V2512</f>
        <v/>
      </c>
      <c r="P2512">
        <f>IF(B2543=0,0,O2512/B2543)</f>
        <v/>
      </c>
      <c r="Q2512">
        <f>IFERROR(1/IF(Inputs!$B$38="pvp",15,MAX(0.1,Skills!D11-IF(Skills!E11=TRUE,Inputs!$B$32,0))),0)</f>
        <v/>
      </c>
      <c r="R2512">
        <f>IF(AND(Inputs!$B$38&lt;&gt;"pvp",Inputs!$B$43&gt;0),IF(MAX(0,Inputs!$B$43-B2540)&lt;=0,0,(INT(MAX(0,Inputs!$B$43-B2540)/IF(Inputs!$B$38="pvp",15,MAX(0.1,Skills!D11-IF(Skills!E11=TRUE,Inputs!$B$32,0))))+1)),0)</f>
        <v/>
      </c>
      <c r="S2512">
        <f>IFERROR((H2512*N2512*IF(AND(Inputs!$B$38&lt;&gt;"pvp",Inputs!$B$43&gt;0),((Skills!G11*((R2512-1)*IF(Skills!H11&gt;0,Skills!I11/Skills!H11,1)+IF(Skills!H11&gt;0,MIN(Skills!I11,MAX(0,MAX(0,Inputs!$B$43-B2540)-((R2512-1)*IF(Inputs!$B$38="pvp",15,MAX(0.1,Skills!D11-IF(Skills!E11=TRUE,Inputs!$B$32,0))))))/Skills!H11,1)))/Inputs!$B$43),G2512*Q2512))/N2512*IF(Inputs!$B$38="pvp",1,(1-Summary!$B$11)*1+Summary!$B$11*(MIN(Skills!R11,Inputs!$B$37))),0)</f>
        <v/>
      </c>
      <c r="T2512">
        <f>IF(C2512,(H2512*N2512*IF(AND(Inputs!$B$38&lt;&gt;"pvp",Inputs!$B$43&gt;0),((Skills!G11*((R2512-1)*IF(Skills!H11&gt;0,Skills!I11/Skills!H11,1)+IF(Skills!H11&gt;0,MIN(Skills!I11,MAX(0,MAX(0,Inputs!$B$43-B2540)-((R2512-1)*IF(Inputs!$B$38="pvp",15,MAX(0.1,Skills!D11-IF(Skills!E11=TRUE,Inputs!$B$32,0))))))/Skills!H11,1)))/Inputs!$B$43),G2512*Q2512))*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IF(ArtifactsInput!$M$35,FALSE,TRUE),Inputs!$B$4&lt;&gt;"Chapter Hunt"),CHOOSE(ArtifactsInput!$N$35+1,15,18,21,24,27,30)*(1-EXP(-(0.2*B2535)*5)),0)+IF(AND(ArtifactsInput!$M$22,Inputs!$B$4&lt;&gt;"Chapter Hunt"),CHOOSE(ArtifactsInput!$N$22+1,10,12,14,16,18,20)*((0*(((0.15*B2535*5))^0/1)+1*(((0.15*B2535*5))^1/1)+2*(((0.15*B2535*5))^2/2)+3*(((0.15*B2535*5))^3/6)+4*(((0.15*B2535*5))^4/24)+5*(((0.15*B2535*5))^5/120))/((((0.15*B2535*5))^0/1)+(((0.15*B2535*5))^1/1)+(((0.15*B2535*5))^2/2)+(((0.15*B2535*5))^3/6)+(((0.15*B2535*5))^4/24)+(((0.15*B2535*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2512*(1-MIN(100,(Inputs!$B$9+((C2520=TRUE)*(F2520-Calc!F19))+B2533+(ArtifactsInput!$M$24-ArtifactsInput!$M$24)*CHOOSE(ArtifactsInput!$N$24+1,10,12,14,16,18,20)+(IF(AND(ArtifactsInput!$M$42,((Inputs!$B$9+((C2520=TRUE)*(F2520-Calc!F19))+B2533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2512*(MIN(100,(Inputs!$B$9+((C2520=TRUE)*(F2520-Calc!F19))+B2533+(ArtifactsInput!$M$24-ArtifactsInput!$M$24)*CHOOSE(ArtifactsInput!$N$24+1,10,12,14,16,18,20)+(IF(AND(ArtifactsInput!$M$42,((Inputs!$B$9+((C2520=TRUE)*(F2520-Calc!F19))+B2533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2512*(1-MIN(100,(Inputs!$B$9+((C2520=TRUE)*(F2520-Calc!F19))+B2533+(ArtifactsInput!$M$24-ArtifactsInput!$M$24)*CHOOSE(ArtifactsInput!$N$24+1,10,12,14,16,18,20)+(IF(AND(ArtifactsInput!$M$42,((Inputs!$B$9+((C2520=TRUE)*(F2520-Calc!F19))+B2533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2512*(MIN(100,(Inputs!$B$9+((C2520=TRUE)*(F2520-Calc!F19))+B2533+(ArtifactsInput!$M$24-ArtifactsInput!$M$24)*CHOOSE(ArtifactsInput!$N$24+1,10,12,14,16,18,20)+(IF(AND(ArtifactsInput!$M$42,((Inputs!$B$9+((C2520=TRUE)*(F2520-Calc!F19))+B2533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512">
        <f>IF(C2512,(H2512*N2512*IF(AND(Inputs!$B$38&lt;&gt;"pvp",Inputs!$B$43&gt;0),((Skills!G11*((R2512-1)*IF(Skills!H11&gt;0,Skills!I11/Skills!H11,1)+IF(Skills!H11&gt;0,MIN(Skills!I11,MAX(0,MAX(0,Inputs!$B$43-B2540)-((R2512-1)*IF(Inputs!$B$38="pvp",15,MAX(0.1,Skills!D11-IF(Skills!E11=TRUE,Inputs!$B$32,0))))))/Skills!H11,1)))/Inputs!$B$43),G2512*Q2512))*IF(Inputs!$B$38="pvp",1,(1+(Inputs!$B$21+Skills!Q11+(IF(ArtifactsInput!$M$33,CHOOSE(ArtifactsInput!$N$33+1,30,36,42,48,54,60),0))+(IF(AND(IF(ArtifactsInput!$M$35,FALSE,TRUE),Inputs!$B$4&lt;&gt;"Chapter Hunt"),CHOOSE(ArtifactsInput!$N$35+1,15,18,21,24,27,30)*(1-EXP(-(0.2*B2535)*5)),0)+IF(AND(ArtifactsInput!$M$22,Inputs!$B$4&lt;&gt;"Chapter Hunt"),CHOOSE(ArtifactsInput!$N$22+1,10,12,14,16,18,20)*((0*(((0.15*B2535*5))^0/1)+1*(((0.15*B2535*5))^1/1)+2*(((0.15*B2535*5))^2/2)+3*(((0.15*B2535*5))^3/6)+4*(((0.15*B2535*5))^4/24)+5*(((0.15*B2535*5))^5/120))/((((0.15*B2535*5))^0/1)+(((0.15*B2535*5))^1/1)+(((0.15*B2535*5))^2/2)+(((0.15*B2535*5))^3/6)+(((0.15*B2535*5))^4/24)+(((0.15*B2535*5))^5/120))),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513">
      <c r="A2513">
        <f>Skills!A12</f>
        <v/>
      </c>
      <c r="B2513">
        <f>Skills!B12</f>
        <v/>
      </c>
      <c r="C2513">
        <f>Inputs!$B$3&gt;=60</f>
        <v/>
      </c>
      <c r="D2513">
        <f>IF(Skills!C12=1,60+Inputs!$B$25+Inputs!$B$29,IF(Skills!C12=2,90+Inputs!$B$26+Inputs!$B$29,IF(Skills!C12=3,120+Inputs!$B$27+Inputs!$B$29,MAX(0,(Inputs!$B$3-100)*3)+Inputs!$B$28+Inputs!$B$29)))</f>
        <v/>
      </c>
      <c r="E2513">
        <f>INDEX(FactorTable!$B$2:$Y$301, MATCH(ROUND(MIN(300,MAX(1,D2513)),0), FactorTable!$A$2:$A$301,0), Skills!M12+1)</f>
        <v/>
      </c>
      <c r="F2513">
        <f>IF(Skills!N12=TRUE,(Skills!L12/10)*(E2513/1000),Skills!L12/10)+Skills!O12</f>
        <v/>
      </c>
      <c r="G2513">
        <f>Skills!G12*IF(Skills!H12&gt;0,Skills!I12/Skills!H12,1)</f>
        <v/>
      </c>
      <c r="H2513">
        <f>1-(1-Skills!J12/100)^Skills!K12</f>
        <v/>
      </c>
      <c r="I2513" t="inlineStr">
        <is>
          <t>1</t>
        </is>
      </c>
      <c r="J2513" t="inlineStr"/>
      <c r="K2513" t="inlineStr"/>
      <c r="L2513" t="inlineStr"/>
      <c r="M2513" t="inlineStr"/>
      <c r="N2513" t="inlineStr"/>
      <c r="O2513">
        <f>(1-Summary!$B$11)*T2513+Summary!$B$11*V2513</f>
        <v/>
      </c>
      <c r="P2513">
        <f>IF(B2543=0,0,O2513/B2543)</f>
        <v/>
      </c>
      <c r="Q2513" t="n">
        <v>0</v>
      </c>
      <c r="R2513" t="n">
        <v>0</v>
      </c>
      <c r="S2513" t="n">
        <v>0</v>
      </c>
      <c r="T2513" t="n">
        <v>0</v>
      </c>
      <c r="V2513" t="n">
        <v>0</v>
      </c>
    </row>
    <row r="2514">
      <c r="A2514">
        <f>Skills!A13</f>
        <v/>
      </c>
      <c r="B2514">
        <f>Skills!B13</f>
        <v/>
      </c>
      <c r="C2514">
        <f>Inputs!$B$3&gt;=74</f>
        <v/>
      </c>
      <c r="D2514">
        <f>IF(Skills!C13=1,60+Inputs!$B$25+Inputs!$B$29,IF(Skills!C13=2,90+Inputs!$B$26+Inputs!$B$29,IF(Skills!C13=3,120+Inputs!$B$27+Inputs!$B$29,MAX(0,(Inputs!$B$3-100)*3)+Inputs!$B$28+Inputs!$B$29)))</f>
        <v/>
      </c>
      <c r="E2514">
        <f>INDEX(FactorTable!$B$2:$Y$301, MATCH(ROUND(MIN(300,MAX(1,D2514)),0), FactorTable!$A$2:$A$301,0), Skills!M13+1)</f>
        <v/>
      </c>
      <c r="F2514">
        <f>IF(Skills!N13=TRUE,(Skills!L13/10)*(E2514/1000),Skills!L13/10)+Skills!O13</f>
        <v/>
      </c>
      <c r="G2514">
        <f>Skills!G13*IF(Skills!H13&gt;0,Skills!I13/Skills!H13,1)</f>
        <v/>
      </c>
      <c r="H2514">
        <f>1-(1-Skills!J13/100)^Skills!K13</f>
        <v/>
      </c>
      <c r="I2514" t="inlineStr">
        <is>
          <t>1</t>
        </is>
      </c>
      <c r="J2514" t="inlineStr"/>
      <c r="K2514" t="inlineStr"/>
      <c r="L2514" t="inlineStr"/>
      <c r="M2514" t="inlineStr"/>
      <c r="N2514" t="inlineStr"/>
      <c r="O2514">
        <f>(1-Summary!$B$11)*T2514+Summary!$B$11*V2514</f>
        <v/>
      </c>
      <c r="P2514">
        <f>IF(B2543=0,0,O2514/B2543)</f>
        <v/>
      </c>
      <c r="Q2514" t="n">
        <v>0</v>
      </c>
      <c r="R2514" t="n">
        <v>0</v>
      </c>
      <c r="S2514" t="n">
        <v>0</v>
      </c>
      <c r="T2514" t="n">
        <v>0</v>
      </c>
      <c r="V2514" t="n">
        <v>0</v>
      </c>
    </row>
    <row r="2515">
      <c r="A2515">
        <f>Skills!A14</f>
        <v/>
      </c>
      <c r="B2515">
        <f>Skills!B14</f>
        <v/>
      </c>
      <c r="C2515">
        <f>Inputs!$B$3&gt;=74</f>
        <v/>
      </c>
      <c r="D2515">
        <f>IF(Skills!C14=1,60+Inputs!$B$25+Inputs!$B$29,IF(Skills!C14=2,90+Inputs!$B$26+Inputs!$B$29,IF(Skills!C14=3,120+Inputs!$B$27+Inputs!$B$29,MAX(0,(Inputs!$B$3-100)*3)+Inputs!$B$28+Inputs!$B$29)))</f>
        <v/>
      </c>
      <c r="E2515">
        <f>INDEX(FactorTable!$B$2:$Y$301, MATCH(ROUND(MIN(300,MAX(1,D2515)),0), FactorTable!$A$2:$A$301,0), Skills!M14+1)</f>
        <v/>
      </c>
      <c r="F2515">
        <f>IF(Skills!N14=TRUE,(Skills!L14/10)*(E2515/1000),Skills!L14/10)+Skills!O14</f>
        <v/>
      </c>
      <c r="G2515">
        <f>Skills!G14*IF(Skills!H14&gt;0,Skills!I14/Skills!H14,1)</f>
        <v/>
      </c>
      <c r="H2515">
        <f>1-(1-Skills!J14/100)^Skills!K14</f>
        <v/>
      </c>
      <c r="I2515" t="inlineStr">
        <is>
          <t>1</t>
        </is>
      </c>
      <c r="J2515" t="inlineStr"/>
      <c r="K2515" t="inlineStr"/>
      <c r="L2515" t="inlineStr"/>
      <c r="M2515" t="inlineStr"/>
      <c r="N2515" t="inlineStr"/>
      <c r="O2515">
        <f>(1-Summary!$B$11)*T2515+Summary!$B$11*V2515</f>
        <v/>
      </c>
      <c r="P2515">
        <f>IF(B2543=0,0,O2515/B2543)</f>
        <v/>
      </c>
      <c r="Q2515" t="n">
        <v>0</v>
      </c>
      <c r="R2515" t="n">
        <v>0</v>
      </c>
      <c r="S2515" t="n">
        <v>0</v>
      </c>
      <c r="T2515" t="n">
        <v>0</v>
      </c>
      <c r="V2515" t="n">
        <v>0</v>
      </c>
    </row>
    <row r="2516">
      <c r="A2516">
        <f>Skills!A15</f>
        <v/>
      </c>
      <c r="B2516">
        <f>Skills!B15</f>
        <v/>
      </c>
      <c r="C2516">
        <f>Inputs!$B$3&gt;=117</f>
        <v/>
      </c>
      <c r="D2516">
        <f>IF(Skills!C15=1,60+Inputs!$B$25+Inputs!$B$29,IF(Skills!C15=2,90+Inputs!$B$26+Inputs!$B$29,IF(Skills!C15=3,120+Inputs!$B$27+Inputs!$B$29,MAX(0,(Inputs!$B$3-100)*3)+Inputs!$B$28+Inputs!$B$29)))</f>
        <v/>
      </c>
      <c r="E2516">
        <f>INDEX(FactorTable!$B$2:$Y$301, MATCH(ROUND(MIN(300,MAX(1,D2516)),0), FactorTable!$A$2:$A$301,0), Skills!M15+1)</f>
        <v/>
      </c>
      <c r="F2516">
        <f>IF(Skills!N15=TRUE,(Skills!L15/10)*(E2516/1000),Skills!L15/10)+Skills!O15</f>
        <v/>
      </c>
      <c r="G2516">
        <f>Skills!G15*IF(Skills!H15&gt;0,Skills!I15/Skills!H15,1)</f>
        <v/>
      </c>
      <c r="H2516">
        <f>1-(1-Skills!J15/100)^Skills!K15</f>
        <v/>
      </c>
      <c r="I2516" t="inlineStr">
        <is>
          <t>1</t>
        </is>
      </c>
      <c r="J2516" t="inlineStr"/>
      <c r="K2516" t="inlineStr"/>
      <c r="L2516" t="inlineStr"/>
      <c r="M2516" t="inlineStr"/>
      <c r="N2516" t="inlineStr"/>
      <c r="O2516">
        <f>(1-Summary!$B$11)*T2516+Summary!$B$11*V2516</f>
        <v/>
      </c>
      <c r="P2516">
        <f>IF(B2543=0,0,O2516/B2543)</f>
        <v/>
      </c>
      <c r="Q2516">
        <f>IFERROR(1/IF(Inputs!$B$38="pvp",15,MAX(0.1,Skills!D15-IF(Skills!E15=TRUE,Inputs!$B$32,0))),0)</f>
        <v/>
      </c>
      <c r="R2516">
        <f>IF(AND(Inputs!$B$38&lt;&gt;"pvp",Inputs!$B$43&gt;0),IF(Inputs!$B$43&lt;=0,0,(INT(Inputs!$B$43/IF(Inputs!$B$38="pvp",15,MAX(0.1,Skills!D15-IF(Skills!E15=TRUE,Inputs!$B$32,0))))+1)),0)</f>
        <v/>
      </c>
      <c r="S2516" t="n">
        <v>0</v>
      </c>
      <c r="T2516" t="n">
        <v>0</v>
      </c>
      <c r="V2516" t="n">
        <v>0</v>
      </c>
    </row>
    <row r="2517">
      <c r="A2517">
        <f>Skills!A16</f>
        <v/>
      </c>
      <c r="B2517">
        <f>Skills!B16</f>
        <v/>
      </c>
      <c r="C2517">
        <f>Inputs!$B$3&gt;=115</f>
        <v/>
      </c>
      <c r="D2517">
        <f>IF(Skills!C16=1,60+Inputs!$B$25+Inputs!$B$29,IF(Skills!C16=2,90+Inputs!$B$26+Inputs!$B$29,IF(Skills!C16=3,120+Inputs!$B$27+Inputs!$B$29,MAX(0,(Inputs!$B$3-100)*3)+Inputs!$B$28+Inputs!$B$29)))</f>
        <v/>
      </c>
      <c r="E2517">
        <f>INDEX(FactorTable!$B$2:$Y$301, MATCH(ROUND(MIN(300,MAX(1,D2517)),0), FactorTable!$A$2:$A$301,0), Skills!M16+1)</f>
        <v/>
      </c>
      <c r="F2517">
        <f>IF(Skills!N16=TRUE,(Skills!L16/10)*(E2517/1000),Skills!L16/10)+Skills!O16</f>
        <v/>
      </c>
      <c r="G2517">
        <f>Skills!G16*IF(Skills!H16&gt;0,Skills!I16/Skills!H16,1)</f>
        <v/>
      </c>
      <c r="H2517">
        <f>1-(1-Skills!J16/100)^Skills!K16</f>
        <v/>
      </c>
      <c r="I2517" t="inlineStr">
        <is>
          <t>1</t>
        </is>
      </c>
      <c r="J2517" t="inlineStr"/>
      <c r="K2517" t="inlineStr"/>
      <c r="L2517" t="inlineStr"/>
      <c r="M2517" t="inlineStr"/>
      <c r="N2517" t="inlineStr"/>
      <c r="O2517">
        <f>(1-Summary!$B$11)*T2517+Summary!$B$11*V2517</f>
        <v/>
      </c>
      <c r="P2517">
        <f>IF(B2543=0,0,O2517/B2543)</f>
        <v/>
      </c>
      <c r="Q2517">
        <f>IFERROR(1/IF(Inputs!$B$38="pvp",15,MAX(0.1,Skills!D16-IF(Skills!E16=TRUE,Inputs!$B$32,0))),0)</f>
        <v/>
      </c>
      <c r="R2517">
        <f>IF(AND(Inputs!$B$38&lt;&gt;"pvp",Inputs!$B$43&gt;0),IF(Inputs!$B$43&lt;=0,0,(INT(Inputs!$B$43/IF(Inputs!$B$38="pvp",15,MAX(0.1,Skills!D16-IF(Skills!E16=TRUE,Inputs!$B$32,0))))+1)),0)</f>
        <v/>
      </c>
      <c r="S2517" t="n">
        <v>0</v>
      </c>
      <c r="T2517" t="n">
        <v>0</v>
      </c>
      <c r="V2517" t="n">
        <v>0</v>
      </c>
    </row>
    <row r="2518">
      <c r="A2518">
        <f>Skills!A17</f>
        <v/>
      </c>
      <c r="B2518">
        <f>Skills!B17</f>
        <v/>
      </c>
      <c r="C2518">
        <f>Inputs!$B$3&gt;=72</f>
        <v/>
      </c>
      <c r="D2518">
        <f>IF(Skills!C17=1,60+Inputs!$B$25+Inputs!$B$29,IF(Skills!C17=2,90+Inputs!$B$26+Inputs!$B$29,IF(Skills!C17=3,120+Inputs!$B$27+Inputs!$B$29,MAX(0,(Inputs!$B$3-100)*3)+Inputs!$B$28+Inputs!$B$29)))</f>
        <v/>
      </c>
      <c r="E2518">
        <f>INDEX(FactorTable!$B$2:$Y$301, MATCH(ROUND(MIN(300,MAX(1,D2518)),0), FactorTable!$A$2:$A$301,0), Skills!M17+1)</f>
        <v/>
      </c>
      <c r="F2518">
        <f>IF(Skills!N17=TRUE,(Skills!L17/10)*(E2518/1000),Skills!L17/10)+Skills!O17</f>
        <v/>
      </c>
      <c r="G2518">
        <f>Skills!G17*IF(Skills!H17&gt;0,Skills!I17/Skills!H17,1)</f>
        <v/>
      </c>
      <c r="H2518">
        <f>1-(1-Skills!J17/100)^Skills!K17</f>
        <v/>
      </c>
      <c r="I2518" t="inlineStr">
        <is>
          <t>1</t>
        </is>
      </c>
      <c r="J2518" t="inlineStr"/>
      <c r="K2518" t="inlineStr"/>
      <c r="L2518" t="inlineStr"/>
      <c r="M2518" t="inlineStr"/>
      <c r="N2518" t="inlineStr"/>
      <c r="O2518">
        <f>(1-Summary!$B$11)*T2518+Summary!$B$11*V2518</f>
        <v/>
      </c>
      <c r="P2518">
        <f>IF(B2543=0,0,O2518/B2543)</f>
        <v/>
      </c>
      <c r="Q2518" t="n">
        <v>0</v>
      </c>
      <c r="R2518" t="n">
        <v>0</v>
      </c>
      <c r="S2518" t="n">
        <v>0</v>
      </c>
      <c r="T2518" t="n">
        <v>0</v>
      </c>
      <c r="V2518" t="n">
        <v>0</v>
      </c>
    </row>
    <row r="2519">
      <c r="A2519">
        <f>Skills!A18</f>
        <v/>
      </c>
      <c r="B2519">
        <f>Skills!B18</f>
        <v/>
      </c>
      <c r="C2519">
        <f>TRUE</f>
        <v/>
      </c>
      <c r="D2519">
        <f>IF(Skills!C18=1,60+Inputs!$B$25+Inputs!$B$29,IF(Skills!C18=2,90+Inputs!$B$26+Inputs!$B$29,IF(Skills!C18=3,120+Inputs!$B$27+Inputs!$B$29,MAX(0,(Inputs!$B$3-100)*3)+Inputs!$B$28+Inputs!$B$29)))</f>
        <v/>
      </c>
      <c r="E2519">
        <f>INDEX(FactorTable!$B$2:$Y$301, MATCH(ROUND(MIN(300,MAX(1,D2519)),0), FactorTable!$A$2:$A$301,0), Skills!M18+1)</f>
        <v/>
      </c>
      <c r="F2519">
        <f>IF(Skills!N18=TRUE,(Skills!L18/10)*(E2519/1000),Skills!L18/10)+Skills!O18</f>
        <v/>
      </c>
      <c r="G2519">
        <f>Skills!G18*IF(Skills!H18&gt;0,Skills!I18/Skills!H18,1)</f>
        <v/>
      </c>
      <c r="H2519">
        <f>1-(1-Skills!J18/100)^Skills!K18</f>
        <v/>
      </c>
      <c r="I2519" t="inlineStr">
        <is>
          <t>1</t>
        </is>
      </c>
      <c r="J2519" t="inlineStr"/>
      <c r="K2519" t="inlineStr"/>
      <c r="L2519" t="inlineStr"/>
      <c r="M2519" t="inlineStr"/>
      <c r="N2519" t="inlineStr"/>
      <c r="O2519">
        <f>(1-Summary!$B$11)*T2519+Summary!$B$11*V2519</f>
        <v/>
      </c>
      <c r="P2519">
        <f>IF(B2543=0,0,O2519/B2543)</f>
        <v/>
      </c>
      <c r="Q2519">
        <f>IFERROR(1/IF(Inputs!$B$38="pvp",15,MAX(0.1,Skills!D18-IF(Skills!E18=TRUE,Inputs!$B$32,0))),0)</f>
        <v/>
      </c>
      <c r="R2519">
        <f>IF(AND(Inputs!$B$38&lt;&gt;"pvp",Inputs!$B$43&gt;0),IF(Inputs!$B$43&lt;=0,0,(INT(Inputs!$B$43/IF(Inputs!$B$38="pvp",15,MAX(0.1,Skills!D18-IF(Skills!E18=TRUE,Inputs!$B$32,0))))+1)),0)</f>
        <v/>
      </c>
      <c r="S2519" t="n">
        <v>0</v>
      </c>
      <c r="T2519" t="n">
        <v>0</v>
      </c>
      <c r="V2519" t="n">
        <v>0</v>
      </c>
    </row>
    <row r="2520">
      <c r="A2520">
        <f>Skills!A19</f>
        <v/>
      </c>
      <c r="B2520">
        <f>Skills!B19</f>
        <v/>
      </c>
      <c r="C2520">
        <f>Inputs!$B$3&gt;=15</f>
        <v/>
      </c>
      <c r="D2520">
        <f>IF(Skills!C19=1,60+Inputs!$B$25+Inputs!$B$29,IF(Skills!C19=2,90+Inputs!$B$26+Inputs!$B$29,IF(Skills!C19=3,120+Inputs!$B$27+Inputs!$B$29,MAX(0,(Inputs!$B$3-100)*3)+Inputs!$B$28+Inputs!$B$29)))</f>
        <v/>
      </c>
      <c r="E2520">
        <f>INDEX(FactorTable!$B$2:$Y$301, MATCH(ROUND(MIN(300,MAX(1,D2520)),0), FactorTable!$A$2:$A$301,0), Skills!M19+1)</f>
        <v/>
      </c>
      <c r="F2520">
        <f>IF(Skills!N19=TRUE,(Skills!L19/10)*(E2520/1000),Skills!L19/10)+Skills!O19</f>
        <v/>
      </c>
      <c r="G2520">
        <f>Skills!G19*IF(Skills!H19&gt;0,Skills!I19/Skills!H19,1)</f>
        <v/>
      </c>
      <c r="H2520">
        <f>1-(1-Skills!J19/100)^Skills!K19</f>
        <v/>
      </c>
      <c r="I2520" t="inlineStr">
        <is>
          <t>1</t>
        </is>
      </c>
      <c r="J2520" t="inlineStr"/>
      <c r="K2520" t="inlineStr"/>
      <c r="L2520" t="inlineStr"/>
      <c r="M2520" t="inlineStr"/>
      <c r="N2520" t="inlineStr"/>
      <c r="O2520">
        <f>(1-Summary!$B$11)*T2520+Summary!$B$11*V2520</f>
        <v/>
      </c>
      <c r="P2520">
        <f>IF(B2543=0,0,O2520/B2543)</f>
        <v/>
      </c>
      <c r="Q2520" t="n">
        <v>0</v>
      </c>
      <c r="R2520" t="n">
        <v>0</v>
      </c>
      <c r="S2520" t="n">
        <v>0</v>
      </c>
      <c r="T2520" t="n">
        <v>0</v>
      </c>
      <c r="V2520" t="n">
        <v>0</v>
      </c>
    </row>
    <row r="2521">
      <c r="A2521">
        <f>Skills!A20</f>
        <v/>
      </c>
      <c r="B2521">
        <f>Skills!B20</f>
        <v/>
      </c>
      <c r="C2521">
        <f>Inputs!$B$3&gt;=10</f>
        <v/>
      </c>
      <c r="D2521">
        <f>IF(Skills!C20=1,60+Inputs!$B$25+Inputs!$B$29,IF(Skills!C20=2,90+Inputs!$B$26+Inputs!$B$29,IF(Skills!C20=3,120+Inputs!$B$27+Inputs!$B$29,MAX(0,(Inputs!$B$3-100)*3)+Inputs!$B$28+Inputs!$B$29)))</f>
        <v/>
      </c>
      <c r="E2521">
        <f>INDEX(FactorTable!$B$2:$Y$301, MATCH(ROUND(MIN(300,MAX(1,D2521)),0), FactorTable!$A$2:$A$301,0), Skills!M20+1)</f>
        <v/>
      </c>
      <c r="F2521">
        <f>IF(Skills!N20=TRUE,(Skills!L20/10)*(E2521/1000),Skills!L20/10)+Skills!O20</f>
        <v/>
      </c>
      <c r="G2521">
        <f>Skills!G20*IF(Skills!H20&gt;0,Skills!I20/Skills!H20,1)</f>
        <v/>
      </c>
      <c r="H2521">
        <f>1-(1-Skills!J20/100)^Skills!K20</f>
        <v/>
      </c>
      <c r="I2521" t="inlineStr">
        <is>
          <t>1</t>
        </is>
      </c>
      <c r="J2521" t="inlineStr"/>
      <c r="K2521" t="inlineStr"/>
      <c r="L2521" t="inlineStr"/>
      <c r="M2521" t="inlineStr"/>
      <c r="N2521" t="inlineStr"/>
      <c r="O2521">
        <f>(1-Summary!$B$11)*T2521+Summary!$B$11*V2521</f>
        <v/>
      </c>
      <c r="P2521">
        <f>IF(B2543=0,0,O2521/B2543)</f>
        <v/>
      </c>
      <c r="Q2521" t="n">
        <v>0</v>
      </c>
      <c r="R2521" t="n">
        <v>0</v>
      </c>
      <c r="S2521" t="n">
        <v>0</v>
      </c>
      <c r="T2521" t="n">
        <v>0</v>
      </c>
      <c r="V2521" t="n">
        <v>0</v>
      </c>
    </row>
    <row r="2522">
      <c r="A2522">
        <f>Skills!A21</f>
        <v/>
      </c>
      <c r="B2522">
        <f>Skills!B21</f>
        <v/>
      </c>
      <c r="C2522">
        <f>Inputs!$B$3&gt;=33</f>
        <v/>
      </c>
      <c r="D2522">
        <f>IF(Skills!C21=1,60+Inputs!$B$25+Inputs!$B$29,IF(Skills!C21=2,90+Inputs!$B$26+Inputs!$B$29,IF(Skills!C21=3,120+Inputs!$B$27+Inputs!$B$29,MAX(0,(Inputs!$B$3-100)*3)+Inputs!$B$28+Inputs!$B$29)))</f>
        <v/>
      </c>
      <c r="E2522">
        <f>INDEX(FactorTable!$B$2:$Y$301, MATCH(ROUND(MIN(300,MAX(1,D2522)),0), FactorTable!$A$2:$A$301,0), Skills!M21+1)</f>
        <v/>
      </c>
      <c r="F2522">
        <f>IF(Skills!N21=TRUE,(Skills!L21/10)*(E2522/1000),Skills!L21/10)+Skills!O21</f>
        <v/>
      </c>
      <c r="G2522">
        <f>Skills!G21*IF(Skills!H21&gt;0,Skills!I21/Skills!H21,1)</f>
        <v/>
      </c>
      <c r="H2522">
        <f>1-(1-Skills!J21/100)^Skills!K21</f>
        <v/>
      </c>
      <c r="I2522" t="inlineStr">
        <is>
          <t>1</t>
        </is>
      </c>
      <c r="J2522" t="inlineStr"/>
      <c r="K2522" t="inlineStr"/>
      <c r="L2522" t="inlineStr"/>
      <c r="M2522" t="inlineStr"/>
      <c r="N2522" t="inlineStr"/>
      <c r="O2522">
        <f>(1-Summary!$B$11)*T2522+Summary!$B$11*V2522</f>
        <v/>
      </c>
      <c r="P2522">
        <f>IF(B2543=0,0,O2522/B2543)</f>
        <v/>
      </c>
      <c r="Q2522" t="n">
        <v>0</v>
      </c>
      <c r="R2522" t="n">
        <v>0</v>
      </c>
      <c r="S2522" t="n">
        <v>0</v>
      </c>
      <c r="T2522" t="n">
        <v>0</v>
      </c>
      <c r="V2522" t="n">
        <v>0</v>
      </c>
    </row>
    <row r="2523">
      <c r="A2523">
        <f>Skills!A22</f>
        <v/>
      </c>
      <c r="B2523">
        <f>Skills!B22</f>
        <v/>
      </c>
      <c r="C2523">
        <f>Inputs!$B$3&gt;=38</f>
        <v/>
      </c>
      <c r="D2523">
        <f>IF(Skills!C22=1,60+Inputs!$B$25+Inputs!$B$29,IF(Skills!C22=2,90+Inputs!$B$26+Inputs!$B$29,IF(Skills!C22=3,120+Inputs!$B$27+Inputs!$B$29,MAX(0,(Inputs!$B$3-100)*3)+Inputs!$B$28+Inputs!$B$29)))</f>
        <v/>
      </c>
      <c r="E2523">
        <f>INDEX(FactorTable!$B$2:$Y$301, MATCH(ROUND(MIN(300,MAX(1,D2523)),0), FactorTable!$A$2:$A$301,0), Skills!M22+1)</f>
        <v/>
      </c>
      <c r="F2523">
        <f>IF(Skills!N22=TRUE,(Skills!L22/10)*(E2523/1000),Skills!L22/10)+Skills!O22</f>
        <v/>
      </c>
      <c r="G2523">
        <f>Skills!G22*IF(Skills!H22&gt;0,Skills!I22/Skills!H22,1)</f>
        <v/>
      </c>
      <c r="H2523">
        <f>1-(1-Skills!J22/100)^Skills!K22</f>
        <v/>
      </c>
      <c r="I2523" t="inlineStr">
        <is>
          <t>1</t>
        </is>
      </c>
      <c r="J2523" t="inlineStr"/>
      <c r="K2523" t="inlineStr"/>
      <c r="L2523" t="inlineStr"/>
      <c r="M2523" t="inlineStr"/>
      <c r="N2523" t="inlineStr"/>
      <c r="O2523">
        <f>(1-Summary!$B$11)*T2523+Summary!$B$11*V2523</f>
        <v/>
      </c>
      <c r="P2523">
        <f>IF(B2543=0,0,O2523/B2543)</f>
        <v/>
      </c>
      <c r="Q2523" t="n">
        <v>0</v>
      </c>
      <c r="R2523" t="n">
        <v>0</v>
      </c>
      <c r="S2523" t="n">
        <v>0</v>
      </c>
      <c r="T2523" t="n">
        <v>0</v>
      </c>
      <c r="V2523" t="n">
        <v>0</v>
      </c>
    </row>
    <row r="2524">
      <c r="A2524">
        <f>Skills!A23</f>
        <v/>
      </c>
      <c r="B2524">
        <f>Skills!B23</f>
        <v/>
      </c>
      <c r="C2524">
        <f>Inputs!$B$3&gt;=43</f>
        <v/>
      </c>
      <c r="D2524">
        <f>IF(Skills!C23=1,60+Inputs!$B$25+Inputs!$B$29,IF(Skills!C23=2,90+Inputs!$B$26+Inputs!$B$29,IF(Skills!C23=3,120+Inputs!$B$27+Inputs!$B$29,MAX(0,(Inputs!$B$3-100)*3)+Inputs!$B$28+Inputs!$B$29)))</f>
        <v/>
      </c>
      <c r="E2524">
        <f>INDEX(FactorTable!$B$2:$Y$301, MATCH(ROUND(MIN(300,MAX(1,D2524)),0), FactorTable!$A$2:$A$301,0), Skills!M23+1)</f>
        <v/>
      </c>
      <c r="F2524">
        <f>IF(Skills!N23=TRUE,(Skills!L23/10)*(E2524/1000),Skills!L23/10)+Skills!O23</f>
        <v/>
      </c>
      <c r="G2524">
        <f>Skills!G23*IF(Skills!H23&gt;0,Skills!I23/Skills!H23,1)</f>
        <v/>
      </c>
      <c r="H2524">
        <f>1-(1-Skills!J23/100)^Skills!K23</f>
        <v/>
      </c>
      <c r="I2524" t="inlineStr">
        <is>
          <t>1</t>
        </is>
      </c>
      <c r="J2524" t="inlineStr"/>
      <c r="K2524" t="inlineStr"/>
      <c r="L2524" t="inlineStr"/>
      <c r="M2524" t="inlineStr"/>
      <c r="N2524" t="inlineStr"/>
      <c r="O2524">
        <f>(1-Summary!$B$11)*T2524+Summary!$B$11*V2524</f>
        <v/>
      </c>
      <c r="P2524">
        <f>IF(B2543=0,0,O2524/B2543)</f>
        <v/>
      </c>
      <c r="Q2524" t="n">
        <v>0</v>
      </c>
      <c r="R2524" t="n">
        <v>0</v>
      </c>
      <c r="S2524" t="n">
        <v>0</v>
      </c>
      <c r="T2524" t="n">
        <v>0</v>
      </c>
      <c r="V2524" t="n">
        <v>0</v>
      </c>
    </row>
    <row r="2525">
      <c r="A2525">
        <f>Skills!A24</f>
        <v/>
      </c>
      <c r="B2525">
        <f>Skills!B24</f>
        <v/>
      </c>
      <c r="C2525">
        <f>Inputs!$B$3&gt;=75</f>
        <v/>
      </c>
      <c r="D2525">
        <f>IF(Skills!C24=1,60+Inputs!$B$25+Inputs!$B$29,IF(Skills!C24=2,90+Inputs!$B$26+Inputs!$B$29,IF(Skills!C24=3,120+Inputs!$B$27+Inputs!$B$29,MAX(0,(Inputs!$B$3-100)*3)+Inputs!$B$28+Inputs!$B$29)))</f>
        <v/>
      </c>
      <c r="E2525">
        <f>INDEX(FactorTable!$B$2:$Y$301, MATCH(ROUND(MIN(300,MAX(1,D2525)),0), FactorTable!$A$2:$A$301,0), Skills!M24+1)</f>
        <v/>
      </c>
      <c r="F2525">
        <f>IF(Skills!N24=TRUE,(Skills!L24/10)*(E2525/1000),Skills!L24/10)+Skills!O24</f>
        <v/>
      </c>
      <c r="G2525">
        <f>Skills!G24*IF(Skills!H24&gt;0,Skills!I24/Skills!H24,1)</f>
        <v/>
      </c>
      <c r="H2525">
        <f>1-(1-Skills!J24/100)^Skills!K24</f>
        <v/>
      </c>
      <c r="I2525" t="inlineStr">
        <is>
          <t>1</t>
        </is>
      </c>
      <c r="J2525" t="inlineStr"/>
      <c r="K2525" t="inlineStr"/>
      <c r="L2525" t="inlineStr"/>
      <c r="M2525" t="inlineStr"/>
      <c r="N2525" t="inlineStr"/>
      <c r="O2525">
        <f>(1-Summary!$B$11)*T2525+Summary!$B$11*V2525</f>
        <v/>
      </c>
      <c r="P2525">
        <f>IF(B2543=0,0,O2525/B2543)</f>
        <v/>
      </c>
      <c r="Q2525" t="n">
        <v>0</v>
      </c>
      <c r="R2525" t="n">
        <v>0</v>
      </c>
      <c r="S2525" t="n">
        <v>0</v>
      </c>
      <c r="T2525" t="n">
        <v>0</v>
      </c>
      <c r="V2525" t="n">
        <v>0</v>
      </c>
    </row>
    <row r="2526">
      <c r="A2526">
        <f>Skills!A25</f>
        <v/>
      </c>
      <c r="B2526">
        <f>Skills!B25</f>
        <v/>
      </c>
      <c r="C2526">
        <f>Inputs!$B$3&gt;=125</f>
        <v/>
      </c>
      <c r="D2526">
        <f>IF(Skills!C25=1,60+Inputs!$B$25+Inputs!$B$29,IF(Skills!C25=2,90+Inputs!$B$26+Inputs!$B$29,IF(Skills!C25=3,120+Inputs!$B$27+Inputs!$B$29,MAX(0,(Inputs!$B$3-100)*3)+Inputs!$B$28+Inputs!$B$29)))</f>
        <v/>
      </c>
      <c r="E2526">
        <f>INDEX(FactorTable!$B$2:$Y$301, MATCH(ROUND(MIN(300,MAX(1,D2526)),0), FactorTable!$A$2:$A$301,0), Skills!M25+1)</f>
        <v/>
      </c>
      <c r="F2526">
        <f>IF(Skills!N25=TRUE,(Skills!L25/10)*(E2526/1000),Skills!L25/10)+Skills!O25</f>
        <v/>
      </c>
      <c r="G2526">
        <f>Skills!G25*IF(Skills!H25&gt;0,Skills!I25/Skills!H25,1)</f>
        <v/>
      </c>
      <c r="H2526">
        <f>1-(1-Skills!J25/100)^Skills!K25</f>
        <v/>
      </c>
      <c r="I2526" t="inlineStr">
        <is>
          <t>1</t>
        </is>
      </c>
      <c r="J2526" t="inlineStr"/>
      <c r="K2526" t="inlineStr"/>
      <c r="L2526" t="inlineStr"/>
      <c r="M2526" t="inlineStr"/>
      <c r="N2526" t="inlineStr"/>
      <c r="O2526">
        <f>(1-Summary!$B$11)*T2526+Summary!$B$11*V2526</f>
        <v/>
      </c>
      <c r="P2526">
        <f>IF(B2543=0,0,O2526/B2543)</f>
        <v/>
      </c>
      <c r="Q2526" t="n">
        <v>0</v>
      </c>
      <c r="R2526" t="n">
        <v>0</v>
      </c>
      <c r="S2526" t="n">
        <v>0</v>
      </c>
      <c r="T2526" t="n">
        <v>0</v>
      </c>
      <c r="V2526" t="n">
        <v>0</v>
      </c>
    </row>
    <row r="2527">
      <c r="A2527">
        <f>Skills!A26</f>
        <v/>
      </c>
      <c r="B2527">
        <f>Skills!B26</f>
        <v/>
      </c>
      <c r="C2527">
        <f>Inputs!$B$3&gt;=125</f>
        <v/>
      </c>
      <c r="D2527">
        <f>IF(Skills!C26=1,60+Inputs!$B$25+Inputs!$B$29,IF(Skills!C26=2,90+Inputs!$B$26+Inputs!$B$29,IF(Skills!C26=3,120+Inputs!$B$27+Inputs!$B$29,MAX(0,(Inputs!$B$3-100)*3)+Inputs!$B$28+Inputs!$B$29)))</f>
        <v/>
      </c>
      <c r="E2527">
        <f>INDEX(FactorTable!$B$2:$Y$301, MATCH(ROUND(MIN(300,MAX(1,D2527)),0), FactorTable!$A$2:$A$301,0), Skills!M26+1)</f>
        <v/>
      </c>
      <c r="F2527">
        <f>IF(Skills!N26=TRUE,(Skills!L26/10)*(E2527/1000),Skills!L26/10)+Skills!O26</f>
        <v/>
      </c>
      <c r="G2527">
        <f>Skills!G26*IF(Skills!H26&gt;0,Skills!I26/Skills!H26,1)</f>
        <v/>
      </c>
      <c r="H2527">
        <f>1-(1-Skills!J26/100)^Skills!K26</f>
        <v/>
      </c>
      <c r="I2527" t="inlineStr">
        <is>
          <t>1</t>
        </is>
      </c>
      <c r="J2527" t="inlineStr"/>
      <c r="K2527" t="inlineStr"/>
      <c r="L2527" t="inlineStr"/>
      <c r="M2527" t="inlineStr"/>
      <c r="N2527" t="inlineStr"/>
      <c r="O2527">
        <f>(1-Summary!$B$11)*T2527+Summary!$B$11*V2527</f>
        <v/>
      </c>
      <c r="P2527">
        <f>IF(B2543=0,0,O2527/B2543)</f>
        <v/>
      </c>
      <c r="Q2527" t="n">
        <v>0</v>
      </c>
      <c r="R2527" t="n">
        <v>0</v>
      </c>
      <c r="S2527" t="n">
        <v>0</v>
      </c>
      <c r="T2527" t="n">
        <v>0</v>
      </c>
      <c r="V2527" t="n">
        <v>0</v>
      </c>
    </row>
    <row r="2528">
      <c r="A2528">
        <f>Skills!A27</f>
        <v/>
      </c>
      <c r="B2528">
        <f>Skills!B27</f>
        <v/>
      </c>
      <c r="C2528">
        <f>Inputs!$B$3&gt;=120</f>
        <v/>
      </c>
      <c r="D2528">
        <f>IF(Skills!C27=1,60+Inputs!$B$25+Inputs!$B$29,IF(Skills!C27=2,90+Inputs!$B$26+Inputs!$B$29,IF(Skills!C27=3,120+Inputs!$B$27+Inputs!$B$29,MAX(0,(Inputs!$B$3-100)*3)+Inputs!$B$28+Inputs!$B$29)))</f>
        <v/>
      </c>
      <c r="E2528">
        <f>INDEX(FactorTable!$B$2:$Y$301, MATCH(ROUND(MIN(300,MAX(1,D2528)),0), FactorTable!$A$2:$A$301,0), Skills!M27+1)</f>
        <v/>
      </c>
      <c r="F2528">
        <f>IF(Skills!N27=TRUE,(Skills!L27/10)*(E2528/1000),Skills!L27/10)+Skills!O27</f>
        <v/>
      </c>
      <c r="G2528">
        <f>Skills!G27*IF(Skills!H27&gt;0,Skills!I27/Skills!H27,1)</f>
        <v/>
      </c>
      <c r="H2528">
        <f>1-(1-Skills!J27/100)^Skills!K27</f>
        <v/>
      </c>
      <c r="I2528" t="inlineStr">
        <is>
          <t>1</t>
        </is>
      </c>
      <c r="J2528" t="inlineStr"/>
      <c r="K2528" t="inlineStr"/>
      <c r="L2528" t="inlineStr"/>
      <c r="M2528" t="inlineStr"/>
      <c r="N2528" t="inlineStr"/>
      <c r="O2528">
        <f>(1-Summary!$B$11)*T2528+Summary!$B$11*V2528</f>
        <v/>
      </c>
      <c r="P2528">
        <f>IF(B2543=0,0,O2528/B2543)</f>
        <v/>
      </c>
      <c r="Q2528" t="n">
        <v>0</v>
      </c>
      <c r="R2528" t="n">
        <v>0</v>
      </c>
      <c r="S2528" t="n">
        <v>0</v>
      </c>
      <c r="T2528" t="n">
        <v>0</v>
      </c>
      <c r="V2528" t="n">
        <v>0</v>
      </c>
    </row>
    <row r="2529">
      <c r="A2529">
        <f>Skills!A28</f>
        <v/>
      </c>
      <c r="B2529">
        <f>Skills!B28</f>
        <v/>
      </c>
      <c r="C2529">
        <f>Inputs!$B$3&gt;=120</f>
        <v/>
      </c>
      <c r="D2529">
        <f>IF(Skills!C28=1,60+Inputs!$B$25+Inputs!$B$29,IF(Skills!C28=2,90+Inputs!$B$26+Inputs!$B$29,IF(Skills!C28=3,120+Inputs!$B$27+Inputs!$B$29,MAX(0,(Inputs!$B$3-100)*3)+Inputs!$B$28+Inputs!$B$29)))</f>
        <v/>
      </c>
      <c r="E2529">
        <f>INDEX(FactorTable!$B$2:$Y$301, MATCH(ROUND(MIN(300,MAX(1,D2529)),0), FactorTable!$A$2:$A$301,0), Skills!M28+1)</f>
        <v/>
      </c>
      <c r="F2529">
        <f>IF(Skills!N28=TRUE,(Skills!L28/10)*(E2529/1000),Skills!L28/10)+Skills!O28</f>
        <v/>
      </c>
      <c r="G2529">
        <f>Skills!G28*IF(Skills!H28&gt;0,Skills!I28/Skills!H28,1)</f>
        <v/>
      </c>
      <c r="H2529">
        <f>1-(1-Skills!J28/100)^Skills!K28</f>
        <v/>
      </c>
      <c r="I2529" t="inlineStr">
        <is>
          <t>1</t>
        </is>
      </c>
      <c r="J2529" t="inlineStr"/>
      <c r="K2529" t="inlineStr"/>
      <c r="L2529" t="inlineStr"/>
      <c r="M2529" t="inlineStr"/>
      <c r="N2529" t="inlineStr"/>
      <c r="O2529">
        <f>(1-Summary!$B$11)*T2529+Summary!$B$11*V2529</f>
        <v/>
      </c>
      <c r="P2529">
        <f>IF(B2543=0,0,O2529/B2543)</f>
        <v/>
      </c>
      <c r="Q2529" t="n">
        <v>0</v>
      </c>
      <c r="R2529" t="n">
        <v>0</v>
      </c>
      <c r="S2529" t="n">
        <v>0</v>
      </c>
      <c r="T2529" t="n">
        <v>0</v>
      </c>
      <c r="V2529" t="n">
        <v>0</v>
      </c>
    </row>
    <row r="2530">
      <c r="A2530">
        <f>Skills!A29</f>
        <v/>
      </c>
      <c r="B2530">
        <f>Skills!B29</f>
        <v/>
      </c>
      <c r="C2530">
        <f>Inputs!$B$3&gt;=45</f>
        <v/>
      </c>
      <c r="D2530">
        <f>IF(Skills!C29=1,60+Inputs!$B$25+Inputs!$B$29,IF(Skills!C29=2,90+Inputs!$B$26+Inputs!$B$29,IF(Skills!C29=3,120+Inputs!$B$27+Inputs!$B$29,MAX(0,(Inputs!$B$3-100)*3)+Inputs!$B$28+Inputs!$B$29)))</f>
        <v/>
      </c>
      <c r="E2530">
        <f>INDEX(FactorTable!$B$2:$Y$301, MATCH(ROUND(MIN(300,MAX(1,D2530)),0), FactorTable!$A$2:$A$301,0), Skills!M29+1)</f>
        <v/>
      </c>
      <c r="F2530">
        <f>IF(Skills!N29=TRUE,(Skills!L29/10)*(E2530/1000),Skills!L29/10)+Skills!O29</f>
        <v/>
      </c>
      <c r="G2530">
        <f>Skills!G29*IF(Skills!H29&gt;0,Skills!I29/Skills!H29,1)</f>
        <v/>
      </c>
      <c r="H2530">
        <f>1-(1-Skills!J29/100)^Skills!K29</f>
        <v/>
      </c>
      <c r="I2530" t="inlineStr">
        <is>
          <t>1</t>
        </is>
      </c>
      <c r="J2530" t="inlineStr"/>
      <c r="K2530" t="inlineStr"/>
      <c r="L2530" t="inlineStr"/>
      <c r="M2530" t="inlineStr"/>
      <c r="N2530" t="inlineStr"/>
      <c r="O2530">
        <f>(1-Summary!$B$11)*T2530+Summary!$B$11*V2530</f>
        <v/>
      </c>
      <c r="P2530">
        <f>IF(B2543=0,0,O2530/B2543)</f>
        <v/>
      </c>
      <c r="Q2530" t="n">
        <v>0</v>
      </c>
      <c r="R2530" t="n">
        <v>0</v>
      </c>
      <c r="S2530" t="n">
        <v>0</v>
      </c>
      <c r="T2530" t="n">
        <v>0</v>
      </c>
      <c r="V2530" t="n">
        <v>0</v>
      </c>
    </row>
    <row r="2532">
      <c r="A2532" t="inlineStr">
        <is>
          <t>Attack% Bucket Multiplier</t>
        </is>
      </c>
      <c r="B2532">
        <f>(1+(((C2514=TRUE)*F2514)+((C2515=TRUE)*IF(Inputs!$B$38="pvp",F2515,(1-Summary!$B$11)*(F2515)+Summary!$B$11*(0)))+((C2516=TRUE)*F2516*IF(AND(Inputs!$B$38&lt;&gt;"pvp",Inputs!$B$43&gt;0),(((R2516-1)*(Skills!T15*(1+Inputs!$B$34/100))+MIN((Skills!T15*(1+Inputs!$B$34/100)),MAX(0,Inputs!$B$43-((R2516-1)*Skills!D15))))/Inputs!$B$43),IF(Inputs!$B$38="pvp",MIN((Skills!T15*(1+Inputs!$B$34/100)),15)/15,(Skills!T15*(1+Inputs!$B$34/100))/Skills!D15)))+((C2513=TRUE)*F2513)+((C2530=TRUE)*(F2530-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2533">
      <c r="A2533" t="inlineStr">
        <is>
          <t>Global Crit Rate Bonus %</t>
        </is>
      </c>
      <c r="B2533">
        <f>(C2517=TRUE)*20*IF(AND(Inputs!$B$38&lt;&gt;"pvp",Inputs!$B$43&gt;0),(((R2517-1)*(Skills!T16*(1+Inputs!$B$34/100))+MIN((Skills!T16*(1+Inputs!$B$34/100)),MAX(0,Inputs!$B$43-((R2517-1)*Skills!D16))))/Inputs!$B$43),IF(Inputs!$B$38="pvp",MIN((Skills!T16*(1+Inputs!$B$34/100)),15)/15,(Skills!T16*(1+Inputs!$B$34/100))/Skills!D16))</f>
        <v/>
      </c>
    </row>
    <row r="2534">
      <c r="A2534" t="inlineStr">
        <is>
          <t>Attack Speed Buff Bonus %</t>
        </is>
      </c>
      <c r="B2534">
        <f>((C2519=TRUE)*F2519*IF(AND(Inputs!$B$38&lt;&gt;"pvp",Inputs!$B$43&gt;0),(((R2519-1)*(Skills!T18*(1+Inputs!$B$34/100))+MIN((Skills!T18*(1+Inputs!$B$34/100)),MAX(0,Inputs!$B$43-((R2519-1)*Skills!D18))))/Inputs!$B$43),IF(Inputs!$B$38="pvp",MIN((Skills!T18*(1+Inputs!$B$34/100)),15)/15,(Skills!T18*(1+Inputs!$B$34/100))/Skills!D18)))</f>
        <v/>
      </c>
    </row>
    <row r="2535">
      <c r="A2535" t="inlineStr">
        <is>
          <t>Actions Per Second</t>
        </is>
      </c>
      <c r="B2535">
        <f>1+MIN(150,150*(1-(1-(Inputs!$B$11+((C2521=TRUE)*(F2521-Calc!F20))+((C2522=TRUE)*(F2522-Calc!F21)))/150)*(1-B2534/150)))/100</f>
        <v/>
      </c>
    </row>
    <row r="2536">
      <c r="A2536" t="inlineStr">
        <is>
          <t>Skill + Buff Cast Rate</t>
        </is>
      </c>
      <c r="B2536">
        <f>IF(AND(Inputs!$B$38&lt;&gt;"pvp",Inputs!$B$43&gt;0),SUMPRODUCT((Skills!E2:E29=TRUE)*(C2503:C2530=TRUE)*R2503:R2530*Skills!F2:F29)/Inputs!$B$43,SUMPRODUCT((Skills!E2:E29=TRUE)*(C2503:C2530=TRUE)*Q2503:Q2530*Skills!F2:F29))</f>
        <v/>
      </c>
    </row>
    <row r="2537">
      <c r="A2537" t="inlineStr">
        <is>
          <t>Empowered Piercing Arrow Casts Per Second</t>
        </is>
      </c>
      <c r="B2537">
        <f>MAX(0,B2535-B2536)</f>
        <v/>
      </c>
    </row>
    <row r="2538">
      <c r="A2538" t="inlineStr">
        <is>
          <t>Global Critical Damage Bonus % (Sharp Eyes)</t>
        </is>
      </c>
      <c r="B2538">
        <f>(C2517=TRUE)*F2517*IF(AND(Inputs!$B$38&lt;&gt;"pvp",Inputs!$B$43&gt;0),(((R2517-1)*(Skills!T16*(1+Inputs!$B$34/100))+MIN((Skills!T16*(1+Inputs!$B$34/100)),MAX(0,Inputs!$B$43-((R2517-1)*Skills!D16))))/Inputs!$B$43),IF(Inputs!$B$38="pvp",MIN((Skills!T16*(1+Inputs!$B$34/100)),15)/15,(Skills!T16*(1+Inputs!$B$34/100))/Skills!D16))</f>
        <v/>
      </c>
    </row>
    <row r="2539">
      <c r="A2539" t="inlineStr">
        <is>
          <t>Global Final Damage Bonus % (Mortal Blow + Last Man Standing conditional half)</t>
        </is>
      </c>
      <c r="B2539">
        <f>(C2518=TRUE)*F2518+((C2527=TRUE)*IF(Inputs!$B$38="pvp",F2527,(1-Summary!$B$11)*(F2527)+Summary!$B$11*(0)))</f>
        <v/>
      </c>
    </row>
    <row r="2540">
      <c r="A2540" t="inlineStr">
        <is>
          <t>Buff-Casting Startup Delay (s, fixed-duration only)</t>
        </is>
      </c>
      <c r="B2540">
        <f>IF(AND(Inputs!$B$38&lt;&gt;"pvp",Inputs!$B$43&gt;0),SUMPRODUCT((Skills!T2:T29&gt;0)*(Skills!E2:E29=TRUE)*(C2503:C2530=TRUE))/B2535,0)</f>
        <v/>
      </c>
    </row>
    <row r="2541">
      <c r="A2541" t="inlineStr">
        <is>
          <t>Boss-Only Total DPS (this block's swept value)</t>
        </is>
      </c>
      <c r="B2541">
        <f>SUM(T2503:T2530)</f>
        <v/>
      </c>
    </row>
    <row r="2542">
      <c r="A2542" t="inlineStr">
        <is>
          <t>Normal-Only Total DPS (this block's swept value)</t>
        </is>
      </c>
      <c r="B2542">
        <f>SUM(V2503:V2530)</f>
        <v/>
      </c>
    </row>
    <row r="2543">
      <c r="A2543" s="6" t="inlineStr">
        <is>
          <t>TOTAL DPS</t>
        </is>
      </c>
      <c r="B2543" s="6">
        <f>SUM(O2503:O2530)</f>
        <v/>
      </c>
    </row>
    <row r="2546">
      <c r="A2546" s="6" t="inlineStr">
        <is>
          <t>Stat: Candle (Equip)</t>
        </is>
      </c>
    </row>
    <row r="2547">
      <c r="A2547" s="5" t="inlineStr">
        <is>
          <t>Key</t>
        </is>
      </c>
      <c r="B2547" s="5" t="inlineStr">
        <is>
          <t>Name</t>
        </is>
      </c>
      <c r="C2547" s="5" t="inlineStr">
        <is>
          <t>Unlocked</t>
        </is>
      </c>
      <c r="D2547" s="5" t="inlineStr">
        <is>
          <t>InputLevel</t>
        </is>
      </c>
      <c r="E2547" s="5" t="inlineStr">
        <is>
          <t>Factor</t>
        </is>
      </c>
      <c r="F2547" s="5" t="inlineStr">
        <is>
          <t>CoefficientPercent</t>
        </is>
      </c>
      <c r="G2547" s="5" t="inlineStr">
        <is>
          <t>EffectiveHits</t>
        </is>
      </c>
      <c r="H2547" s="5" t="inlineStr">
        <is>
          <t>ProcProbability</t>
        </is>
      </c>
      <c r="I2547" s="5" t="inlineStr">
        <is>
          <t>MapleHeroMultiplier</t>
        </is>
      </c>
      <c r="J2547" s="5" t="inlineStr">
        <is>
          <t>BaseDamage</t>
        </is>
      </c>
      <c r="K2547" s="5" t="inlineStr">
        <is>
          <t>BaseHitDamage</t>
        </is>
      </c>
      <c r="L2547" s="5" t="inlineStr">
        <is>
          <t>NonCritAvg</t>
        </is>
      </c>
      <c r="M2547" s="5" t="inlineStr">
        <is>
          <t>CritAvg</t>
        </is>
      </c>
      <c r="N2547" s="5" t="inlineStr">
        <is>
          <t>ExpectedDamage(perHit)</t>
        </is>
      </c>
      <c r="O2547" s="5" t="inlineStr">
        <is>
          <t>DPS</t>
        </is>
      </c>
      <c r="P2547" s="5" t="inlineStr">
        <is>
          <t>% of Total</t>
        </is>
      </c>
      <c r="Q2547" s="5" t="inlineStr">
        <is>
          <t>InvCooldown</t>
        </is>
      </c>
      <c r="R2547" s="5" t="inlineStr">
        <is>
          <t>CastsInFight</t>
        </is>
      </c>
      <c r="S2547" s="5" t="inlineStr">
        <is>
          <t>HitRate(perSec)</t>
        </is>
      </c>
      <c r="U2547" t="inlineStr">
        <is>
          <t>helpers</t>
        </is>
      </c>
    </row>
    <row r="2548">
      <c r="A2548">
        <f>Skills!A2</f>
        <v/>
      </c>
      <c r="B2548">
        <f>Skills!B2</f>
        <v/>
      </c>
      <c r="C2548">
        <f>Inputs!$B$3&gt;=100</f>
        <v/>
      </c>
      <c r="D2548" t="inlineStr"/>
      <c r="E2548" t="inlineStr"/>
      <c r="F2548">
        <f>U2550+Skills!O2</f>
        <v/>
      </c>
      <c r="G2548">
        <f>Skills!G2*IF(Skills!H2&gt;0,Skills!I2/Skills!H2,1)</f>
        <v/>
      </c>
      <c r="H2548">
        <f>1-(1-Skills!J2/100)^Skills!K2</f>
        <v/>
      </c>
      <c r="I2548" t="inlineStr">
        <is>
          <t>1</t>
        </is>
      </c>
      <c r="J2548">
        <f>((Inputs!$B$6*(1+Inputs!$B$7/100))+(((Inputs!$B$12*(1+Inputs!$B$13/100))-(Inputs!$B$12*(1+Inputs!$B$13/100)))+0.25*(Inputs!$B$14-Inputs!$B$14))*(1+Inputs!$B$7/100))*(F2548/100)</f>
        <v/>
      </c>
      <c r="K2548">
        <f>J2548*(1+((Inputs!$B$12*(1+Inputs!$B$13/100))*0.01+Inputs!$B$14*0.0025)/100)*(1+Inputs!$B$15/100)*(1+Inputs!$B$16/100)*(5000/(6000+Inputs!$B$42*(1-(100*(1-(1-(Inputs!$B$19+0)/100)*(1-CHOOSE(ArtifactsInput!$N$40+1,5,6,7,8,9,10)/100)^(ArtifactsInput!$M$40-ArtifactsInput!$M$40)))/100)))*(1+(Inputs!$B$24+((C2570=TRUE)*(F2570-Calc!F24))+((C2571=TRUE)*(F2571-Calc!F25))+B2584)/100)*(1+(((1+IF(AND(IF(ArtifactsInput!$M$36,FALSE,TRUE),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EMPOWERED_PIERCING_ARROW",Inputs!$B$17+((C2568=TRUE)*(F2568-Calc!F22))+(((IF(AND(ArtifactsInput!$M$42,((Inputs!$B$9+((C2565=TRUE)*(F2565-Calc!F19))+B2578+(ArtifactsInput!$M$24-ArtifactsInput!$M$24)*CHOOSE(ArtifactsInput!$N$24+1,10,12,14,16,18,20)+IF(ArtifactsInput!$M$10,CHOOSE(ArtifactsInput!$N$10+1,15,18,21,24,27,30)*(IF(Inputs!$B$38="pvp",MIN(15,15)/15,IF(AND(Inputs!$B$38&lt;&gt;"pvp",Inputs!$B$43&gt;0),MIN(15,Inputs!$B$43)/(Inputs!$B$43),0))),0)))&gt;=100),MIN(100,((Inputs!$B$9+((C2565=TRUE)*(F2565-Calc!F19))+B2578+(ArtifactsInput!$M$24-ArtifactsInput!$M$24)*CHOOSE(ArtifactsInput!$N$24+1,10,12,14,16,18,20)+IF(ArtifactsInput!$M$10,CHOOSE(ArtifactsInput!$N$10+1,15,18,21,24,27,30)*(IF(Inputs!$B$38="pvp",MIN(15,15)/15,IF(AND(Inputs!$B$38&lt;&gt;"pvp",Inputs!$B$43&gt;0),MIN(15,Inputs!$B$43)/(Inputs!$B$43),0))),0)))-100),0))*CHOOSE(ArtifactsInput!$N$42+1,0.6,0.72,0.84,0.96,1.08,1.2))),Inputs!$B$18+((C2573=TRUE)*(F2573-Calc!F27))+(IF(AND(ArtifactsInput!$M$42,((Inputs!$B$9+((C2565=TRUE)*(F2565-Calc!F19))+B2578+(ArtifactsInput!$M$24-ArtifactsInput!$M$24)*CHOOSE(ArtifactsInput!$N$24+1,10,12,14,16,18,20)+IF(ArtifactsInput!$M$10,CHOOSE(ArtifactsInput!$N$10+1,15,18,21,24,27,30)*(IF(Inputs!$B$38="pvp",MIN(15,15)/15,IF(AND(Inputs!$B$38&lt;&gt;"pvp",Inputs!$B$43&gt;0),MIN(15,Inputs!$B$43)/(Inputs!$B$43),0))),0)))&gt;=100),CHOOSE(ArtifactsInput!$N$42+1,40,48,56,64,72,80),0))))/100)*((1+(((C2559=TRUE)*F2559)+((C2560=TRUE)*IF(Inputs!$B$38="pvp",F2560,(1-Summary!$B$11)*(F2560)+Summary!$B$11*(0)))+((C2561=TRUE)*F2561*IF(AND(Inputs!$B$38&lt;&gt;"pvp",Inputs!$B$43&gt;0),(((R2561-1)*(Skills!T15*(1+Inputs!$B$34/100))+MIN((Skills!T15*(1+Inputs!$B$34/100)),MAX(0,Inputs!$B$43-((R2561-1)*Skills!D15))))/Inputs!$B$43),IF(Inputs!$B$38="pvp",MIN((Skills!T15*(1+Inputs!$B$34/100)),15)/15,(Skills!T15*(1+Inputs!$B$34/100))/Skills!D15)))+((C2558=TRUE)*F2558)+((C2575=TRUE)*(F2575-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2548)</f>
        <v/>
      </c>
      <c r="L2548">
        <f>K2548*(MIN(Inputs!$B$22+((C2569=TRUE)*(F2569-Calc!F23)),(Inputs!$B$23+((C2574=TRUE)*(F2574-Calc!F28))+(IF(ArtifactsInput!$M$15,CHOOSE(ArtifactsInput!$N$15+1,25,30,35,40,45,50)/100*(Inputs!$B$11-Inputs!$B$11),0))))/100+(Inputs!$B$23+((C2574=TRUE)*(F2574-Calc!F28))+(IF(ArtifactsInput!$M$15,CHOOSE(ArtifactsInput!$N$15+1,25,30,35,40,45,50)/100*(Inputs!$B$11-Inputs!$B$11),0)))/100)/2</f>
        <v/>
      </c>
      <c r="M2548">
        <f>L2548*(1+(Inputs!$B$10+0+B2583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548">
        <f>L2548*(1-MIN((Inputs!$B$9+((C2565=TRUE)*(F2565-Calc!F19))+B2578+(ArtifactsInput!$M$24-ArtifactsInput!$M$24)*CHOOSE(ArtifactsInput!$N$24+1,10,12,14,16,18,20)+(IF(AND(ArtifactsInput!$M$42,((Inputs!$B$9+((C2565=TRUE)*(F2565-Calc!F19))+B2578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2548*(MIN((Inputs!$B$9+((C2565=TRUE)*(F2565-Calc!F19))+B2578+(ArtifactsInput!$M$24-ArtifactsInput!$M$24)*CHOOSE(ArtifactsInput!$N$24+1,10,12,14,16,18,20)+(IF(AND(ArtifactsInput!$M$42,((Inputs!$B$9+((C2565=TRUE)*(F2565-Calc!F19))+B2578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548">
        <f>(1-Summary!$B$11)*T2548+Summary!$B$11*V2548</f>
        <v/>
      </c>
      <c r="P2548">
        <f>IF(B2588=0,0,O2548/B2588)</f>
        <v/>
      </c>
      <c r="Q2548" t="n">
        <v>0</v>
      </c>
      <c r="R2548" t="n">
        <v>0</v>
      </c>
      <c r="S2548">
        <f>IFERROR((Skills!G2*N2548*B2582)/N2548*IF(Inputs!$B$38="pvp",1,(1-Summary!$B$11)*1+Summary!$B$11*(MIN((6+Inputs!$B$33),Inputs!$B$37))),0)</f>
        <v/>
      </c>
      <c r="T2548">
        <f>IF(C2548,(Skills!G2*N2548*B2582)*IF(Inputs!$B$38="pvp",1,1+(Inputs!$B$20+0+Skills!P2+(IF(AND(IF(ArtifactsInput!$M$36,FALSE,TRUE),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Hunt"),CHOOSE(ArtifactsInput!$N$35+1,15,18,21,24,27,30)*(1-EXP(-(0.2*B2580)*5)),0)+IF(AND(ArtifactsInput!$M$22,Inputs!$B$4&lt;&gt;"Chapter Hunt"),CHOOSE(ArtifactsInput!$N$22+1,10,12,14,16,18,20)*((0*(((0.15*B2580*5))^0/1)+1*(((0.15*B2580*5))^1/1)+2*(((0.15*B2580*5))^2/2)+3*(((0.15*B2580*5))^3/6)+4*(((0.15*B2580*5))^4/24)+5*(((0.15*B2580*5))^5/120))/((((0.15*B2580*5))^0/1)+(((0.15*B2580*5))^1/1)+(((0.15*B2580*5))^2/2)+(((0.15*B2580*5))^3/6)+(((0.15*B2580*5))^4/24)+(((0.15*B2580*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2548*(1-MIN(100,(Inputs!$B$9+((C2565=TRUE)*(F2565-Calc!F19))+B2578+(ArtifactsInput!$M$24-ArtifactsInput!$M$24)*CHOOSE(ArtifactsInput!$N$24+1,10,12,14,16,18,20)+(IF(AND(ArtifactsInput!$M$42,((Inputs!$B$9+((C2565=TRUE)*(F2565-Calc!F19))+B2578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2548*(MIN(100,(Inputs!$B$9+((C2565=TRUE)*(F2565-Calc!F19))+B2578+(ArtifactsInput!$M$24-ArtifactsInput!$M$24)*CHOOSE(ArtifactsInput!$N$24+1,10,12,14,16,18,20)+(IF(AND(ArtifactsInput!$M$42,((Inputs!$B$9+((C2565=TRUE)*(F2565-Calc!F19))+B2578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2548*(1-MIN(100,(Inputs!$B$9+((C2565=TRUE)*(F2565-Calc!F19))+B2578+(ArtifactsInput!$M$24-ArtifactsInput!$M$24)*CHOOSE(ArtifactsInput!$N$24+1,10,12,14,16,18,20)+(IF(AND(ArtifactsInput!$M$42,((Inputs!$B$9+((C2565=TRUE)*(F2565-Calc!F19))+B2578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2548*(MIN(100,(Inputs!$B$9+((C2565=TRUE)*(F2565-Calc!F19))+B2578+(ArtifactsInput!$M$24-ArtifactsInput!$M$24)*CHOOSE(ArtifactsInput!$N$24+1,10,12,14,16,18,20)+(IF(AND(ArtifactsInput!$M$42,((Inputs!$B$9+((C2565=TRUE)*(F2565-Calc!F19))+B2578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548">
        <f>MAX(0,(Inputs!$B$3-100)*3)+Inputs!$B$28+Inputs!$B$29</f>
        <v/>
      </c>
      <c r="V2548">
        <f>IF(C2548,(Skills!G2*N2548*B2582)*IF(Inputs!$B$38="pvp",1,(1+(Inputs!$B$21+Skills!Q2+(IF(ArtifactsInput!$M$33,CHOOSE(ArtifactsInput!$N$33+1,30,36,42,48,54,60),0))+(IF(AND(ArtifactsInput!$M$35,Inputs!$B$4&lt;&gt;"Chapter Hunt"),CHOOSE(ArtifactsInput!$N$35+1,15,18,21,24,27,30)*(1-EXP(-(0.2*B2580)*5)),0)+IF(AND(ArtifactsInput!$M$22,Inputs!$B$4&lt;&gt;"Chapter Hunt"),CHOOSE(ArtifactsInput!$N$22+1,10,12,14,16,18,20)*((0*(((0.15*B2580*5))^0/1)+1*(((0.15*B2580*5))^1/1)+2*(((0.15*B2580*5))^2/2)+3*(((0.15*B2580*5))^3/6)+4*(((0.15*B2580*5))^4/24)+5*(((0.15*B2580*5))^5/120))/((((0.15*B2580*5))^0/1)+(((0.15*B2580*5))^1/1)+(((0.15*B2580*5))^2/2)+(((0.15*B2580*5))^3/6)+(((0.15*B2580*5))^4/24)+(((0.15*B2580*5))^5/120)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549">
      <c r="A2549">
        <f>Skills!A3</f>
        <v/>
      </c>
      <c r="B2549">
        <f>Skills!B3</f>
        <v/>
      </c>
      <c r="C2549">
        <f>Inputs!$B$3&gt;=50</f>
        <v/>
      </c>
      <c r="D2549">
        <f>IF(Skills!C3=1,60+Inputs!$B$25+Inputs!$B$29,IF(Skills!C3=2,90+Inputs!$B$26+Inputs!$B$29,IF(Skills!C3=3,120+Inputs!$B$27+Inputs!$B$29,MAX(0,(Inputs!$B$3-100)*3)+Inputs!$B$28+Inputs!$B$29)))</f>
        <v/>
      </c>
      <c r="E2549">
        <f>INDEX(FactorTable!$B$2:$Y$301, MATCH(ROUND(MIN(300,MAX(1,D2549)),0), FactorTable!$A$2:$A$301,0), Skills!M3+1)</f>
        <v/>
      </c>
      <c r="F2549">
        <f>IF(Skills!N3=TRUE,(Skills!L3/10)*(E2549/1000),Skills!L3/10)+Skills!O3</f>
        <v/>
      </c>
      <c r="G2549" t="inlineStr"/>
      <c r="H2549" t="inlineStr"/>
      <c r="I2549" t="inlineStr">
        <is>
          <t>1</t>
        </is>
      </c>
      <c r="J2549" t="inlineStr"/>
      <c r="K2549" t="inlineStr"/>
      <c r="L2549" t="inlineStr"/>
      <c r="M2549" t="inlineStr"/>
      <c r="N2549" t="inlineStr"/>
      <c r="O2549" t="inlineStr"/>
      <c r="P2549" t="inlineStr"/>
      <c r="Q2549" t="inlineStr"/>
      <c r="R2549" t="inlineStr"/>
      <c r="S2549" t="inlineStr"/>
      <c r="T2549" t="inlineStr"/>
      <c r="U2549">
        <f>INDEX(FactorTable!$B$2:$Y$301, MATCH(ROUND(MIN(300,MAX(1,U2548)),0), FactorTable!$A$2:$A$301,0), 22)</f>
        <v/>
      </c>
      <c r="V2549" t="inlineStr"/>
    </row>
    <row r="2550">
      <c r="A2550">
        <f>Skills!A4</f>
        <v/>
      </c>
      <c r="B2550">
        <f>Skills!B4</f>
        <v/>
      </c>
      <c r="C2550">
        <f>Inputs!$B$3&gt;=105</f>
        <v/>
      </c>
      <c r="D2550">
        <f>IF(Skills!C4=1,60+Inputs!$B$25+Inputs!$B$29,IF(Skills!C4=2,90+Inputs!$B$26+Inputs!$B$29,IF(Skills!C4=3,120+Inputs!$B$27+Inputs!$B$29,MAX(0,(Inputs!$B$3-100)*3)+Inputs!$B$28+Inputs!$B$29)))</f>
        <v/>
      </c>
      <c r="E2550">
        <f>INDEX(FactorTable!$B$2:$Y$301, MATCH(ROUND(MIN(300,MAX(1,D2550)),0), FactorTable!$A$2:$A$301,0), Skills!M4+1)</f>
        <v/>
      </c>
      <c r="F2550">
        <f>IF(Skills!N4=TRUE,(Skills!L4/10)*(E2550/1000),Skills!L4/10)+Skills!O4</f>
        <v/>
      </c>
      <c r="G2550" t="inlineStr"/>
      <c r="H2550" t="inlineStr"/>
      <c r="I2550" t="inlineStr">
        <is>
          <t>1</t>
        </is>
      </c>
      <c r="J2550" t="inlineStr"/>
      <c r="K2550" t="inlineStr"/>
      <c r="L2550" t="inlineStr"/>
      <c r="M2550" t="inlineStr"/>
      <c r="N2550" t="inlineStr"/>
      <c r="O2550" t="inlineStr"/>
      <c r="P2550" t="inlineStr"/>
      <c r="Q2550" t="inlineStr"/>
      <c r="R2550" t="inlineStr"/>
      <c r="S2550" t="inlineStr"/>
      <c r="T2550" t="inlineStr"/>
      <c r="U2550">
        <f>290*U2549/1000</f>
        <v/>
      </c>
      <c r="V2550" t="inlineStr"/>
    </row>
    <row r="2551">
      <c r="A2551">
        <f>Skills!A5</f>
        <v/>
      </c>
      <c r="B2551">
        <f>Skills!B5</f>
        <v/>
      </c>
      <c r="C2551">
        <f>Inputs!$B$3&gt;=35</f>
        <v/>
      </c>
      <c r="D2551">
        <f>IF(Skills!C5=1,60+Inputs!$B$25+Inputs!$B$29,IF(Skills!C5=2,90+Inputs!$B$26+Inputs!$B$29,IF(Skills!C5=3,120+Inputs!$B$27+Inputs!$B$29,MAX(0,(Inputs!$B$3-100)*3)+Inputs!$B$28+Inputs!$B$29)))</f>
        <v/>
      </c>
      <c r="E2551">
        <f>INDEX(FactorTable!$B$2:$Y$301, MATCH(ROUND(MIN(300,MAX(1,D2551)),0), FactorTable!$A$2:$A$301,0), Skills!M5+1)</f>
        <v/>
      </c>
      <c r="F2551">
        <f>IF(Skills!N5=TRUE,(Skills!L5/10)*(E2551/1000),Skills!L5/10)+Skills!O5</f>
        <v/>
      </c>
      <c r="G2551">
        <f>Skills!G5*IF(Skills!H5&gt;0,Skills!I5/Skills!H5,1)</f>
        <v/>
      </c>
      <c r="H2551">
        <f>1-(1-Skills!J5/100)^Skills!K5</f>
        <v/>
      </c>
      <c r="I2551" t="inlineStr">
        <is>
          <t>1</t>
        </is>
      </c>
      <c r="J2551">
        <f>((Inputs!$B$6*(1+Inputs!$B$7/100))+(((Inputs!$B$12*(1+Inputs!$B$13/100))-(Inputs!$B$12*(1+Inputs!$B$13/100)))+0.25*(Inputs!$B$14-Inputs!$B$14))*(1+Inputs!$B$7/100))*(F2551/100)</f>
        <v/>
      </c>
      <c r="K2551">
        <f>J2551*(1+((Inputs!$B$12*(1+Inputs!$B$13/100))*0.01+Inputs!$B$14*0.0025)/100)*(1+Inputs!$B$15/100)*(1+Inputs!$B$16/100)*(5000/(6000+Inputs!$B$42*(1-(100*(1-(1-(Inputs!$B$19+0)/100)*(1-CHOOSE(ArtifactsInput!$N$40+1,5,6,7,8,9,10)/100)^(ArtifactsInput!$M$40-ArtifactsInput!$M$40)))/100)))*(1+(Inputs!$B$24+((C2570=TRUE)*(F2570-Calc!F24))+((C2571=TRUE)*(F2571-Calc!F25))+B2584)/100)*(1+(((1+IF(AND(IF(ArtifactsInput!$M$36,FALSE,TRUE),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2554=TRUE,F2554,0)/100)*(1+(IF(Skills!A5="EMPOWERED_PIERCING_ARROW",Inputs!$B$17+((C2568=TRUE)*(F2568-Calc!F22))+(((IF(AND(ArtifactsInput!$M$42,((Inputs!$B$9+((C2565=TRUE)*(F2565-Calc!F19))+B2578+(ArtifactsInput!$M$24-ArtifactsInput!$M$24)*CHOOSE(ArtifactsInput!$N$24+1,10,12,14,16,18,20)+IF(ArtifactsInput!$M$10,CHOOSE(ArtifactsInput!$N$10+1,15,18,21,24,27,30)*(IF(Inputs!$B$38="pvp",MIN(15,15)/15,IF(AND(Inputs!$B$38&lt;&gt;"pvp",Inputs!$B$43&gt;0),MIN(15,Inputs!$B$43)/(Inputs!$B$43),0))),0)))&gt;=100),MIN(100,((Inputs!$B$9+((C2565=TRUE)*(F2565-Calc!F19))+B2578+(ArtifactsInput!$M$24-ArtifactsInput!$M$24)*CHOOSE(ArtifactsInput!$N$24+1,10,12,14,16,18,20)+IF(ArtifactsInput!$M$10,CHOOSE(ArtifactsInput!$N$10+1,15,18,21,24,27,30)*(IF(Inputs!$B$38="pvp",MIN(15,15)/15,IF(AND(Inputs!$B$38&lt;&gt;"pvp",Inputs!$B$43&gt;0),MIN(15,Inputs!$B$43)/(Inputs!$B$43),0))),0)))-100),0))*CHOOSE(ArtifactsInput!$N$42+1,0.6,0.72,0.84,0.96,1.08,1.2))),Inputs!$B$18+((C2573=TRUE)*(F2573-Calc!F27))+(IF(AND(ArtifactsInput!$M$42,((Inputs!$B$9+((C2565=TRUE)*(F2565-Calc!F19))+B2578+(ArtifactsInput!$M$24-ArtifactsInput!$M$24)*CHOOSE(ArtifactsInput!$N$24+1,10,12,14,16,18,20)+IF(ArtifactsInput!$M$10,CHOOSE(ArtifactsInput!$N$10+1,15,18,21,24,27,30)*(IF(Inputs!$B$38="pvp",MIN(15,15)/15,IF(AND(Inputs!$B$38&lt;&gt;"pvp",Inputs!$B$43&gt;0),MIN(15,Inputs!$B$43)/(Inputs!$B$43),0))),0)))&gt;=100),CHOOSE(ArtifactsInput!$N$42+1,40,48,56,64,72,80),0))))/100)*((1+(((C2559=TRUE)*F2559)+((C2560=TRUE)*IF(Inputs!$B$38="pvp",F2560,(1-Summary!$B$11)*(F2560)+Summary!$B$11*(0)))+((C2561=TRUE)*F2561*IF(AND(Inputs!$B$38&lt;&gt;"pvp",Inputs!$B$43&gt;0),(((R2561-1)*(Skills!T15*(1+Inputs!$B$34/100))+MIN((Skills!T15*(1+Inputs!$B$34/100)),MAX(0,Inputs!$B$43-((R2561-1)*Skills!D15))))/Inputs!$B$43),IF(Inputs!$B$38="pvp",MIN((Skills!T15*(1+Inputs!$B$34/100)),15)/15,(Skills!T15*(1+Inputs!$B$34/100))/Skills!D15)))+((C2558=TRUE)*F2558)+((C2575=TRUE)*(F2575-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2551)</f>
        <v/>
      </c>
      <c r="L2551">
        <f>K2551*(MIN(Inputs!$B$22+((C2569=TRUE)*(F2569-Calc!F23)),(Inputs!$B$23+((C2574=TRUE)*(F2574-Calc!F28))+(IF(ArtifactsInput!$M$15,CHOOSE(ArtifactsInput!$N$15+1,25,30,35,40,45,50)/100*(Inputs!$B$11-Inputs!$B$11),0))))/100+(Inputs!$B$23+((C2574=TRUE)*(F2574-Calc!F28))+(IF(ArtifactsInput!$M$15,CHOOSE(ArtifactsInput!$N$15+1,25,30,35,40,45,50)/100*(Inputs!$B$11-Inputs!$B$11),0)))/100)/2</f>
        <v/>
      </c>
      <c r="M2551">
        <f>L2551*(1+(Inputs!$B$10+0+B2583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551">
        <f>L2551*(1-MIN((Inputs!$B$9+((C2565=TRUE)*(F2565-Calc!F19))+B2578+(ArtifactsInput!$M$24-ArtifactsInput!$M$24)*CHOOSE(ArtifactsInput!$N$24+1,10,12,14,16,18,20)+(IF(AND(ArtifactsInput!$M$42,((Inputs!$B$9+((C2565=TRUE)*(F2565-Calc!F19))+B2578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2551*(MIN((Inputs!$B$9+((C2565=TRUE)*(F2565-Calc!F19))+B2578+(ArtifactsInput!$M$24-ArtifactsInput!$M$24)*CHOOSE(ArtifactsInput!$N$24+1,10,12,14,16,18,20)+(IF(AND(ArtifactsInput!$M$42,((Inputs!$B$9+((C2565=TRUE)*(F2565-Calc!F19))+B2578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551">
        <f>(1-Summary!$B$11)*T2551+Summary!$B$11*V2551</f>
        <v/>
      </c>
      <c r="P2551">
        <f>IF(B2588=0,0,O2551/B2588)</f>
        <v/>
      </c>
      <c r="Q2551">
        <f>IFERROR(1/IF(Inputs!$B$38="pvp",15,MAX(0.1,Skills!D5-IF(Skills!E5=TRUE,Inputs!$B$32,0))),0)</f>
        <v/>
      </c>
      <c r="R2551">
        <f>IF(AND(Inputs!$B$38&lt;&gt;"pvp",Inputs!$B$43&gt;0),IF(MAX(0,Inputs!$B$43-B2585)&lt;=0,0,(INT(MAX(0,Inputs!$B$43-B2585)/IF(Inputs!$B$38="pvp",15,MAX(0.1,Skills!D5-IF(Skills!E5=TRUE,Inputs!$B$32,0))))+1)),0)</f>
        <v/>
      </c>
      <c r="S2551">
        <f>IFERROR((H2551*N2551*IF(AND(Inputs!$B$38&lt;&gt;"pvp",Inputs!$B$43&gt;0),((Skills!G5*((R2551-1)*IF(Skills!H5&gt;0,Skills!I5/Skills!H5,1)+IF(Skills!H5&gt;0,MIN(Skills!I5,MAX(0,MAX(0,Inputs!$B$43-B2585)-((R2551-1)*IF(Inputs!$B$38="pvp",15,MAX(0.1,Skills!D5-IF(Skills!E5=TRUE,Inputs!$B$32,0))))))/Skills!H5,1)))/Inputs!$B$43),G2551*Q2551))/N2551*IF(Inputs!$B$38="pvp",1,(1-Summary!$B$11)*1+Summary!$B$11*(MIN(Skills!R5,Inputs!$B$37))),0)</f>
        <v/>
      </c>
      <c r="T2551">
        <f>IF(C2551,(H2551*N2551*IF(AND(Inputs!$B$38&lt;&gt;"pvp",Inputs!$B$43&gt;0),((Skills!G5*((R2551-1)*IF(Skills!H5&gt;0,Skills!I5/Skills!H5,1)+IF(Skills!H5&gt;0,MIN(Skills!I5,MAX(0,MAX(0,Inputs!$B$43-B2585)-((R2551-1)*IF(Inputs!$B$38="pvp",15,MAX(0.1,Skills!D5-IF(Skills!E5=TRUE,Inputs!$B$32,0))))))/Skills!H5,1)))/Inputs!$B$43),G2551*Q2551))*IF(Inputs!$B$38="pvp",1,1+(Inputs!$B$20+0+Skills!P5+(IF(AND(IF(ArtifactsInput!$M$36,FALSE,TRUE),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Hunt"),CHOOSE(ArtifactsInput!$N$35+1,15,18,21,24,27,30)*(1-EXP(-(0.2*B2580)*5)),0)+IF(AND(ArtifactsInput!$M$22,Inputs!$B$4&lt;&gt;"Chapter Hunt"),CHOOSE(ArtifactsInput!$N$22+1,10,12,14,16,18,20)*((0*(((0.15*B2580*5))^0/1)+1*(((0.15*B2580*5))^1/1)+2*(((0.15*B2580*5))^2/2)+3*(((0.15*B2580*5))^3/6)+4*(((0.15*B2580*5))^4/24)+5*(((0.15*B2580*5))^5/120))/((((0.15*B2580*5))^0/1)+(((0.15*B2580*5))^1/1)+(((0.15*B2580*5))^2/2)+(((0.15*B2580*5))^3/6)+(((0.15*B2580*5))^4/24)+(((0.15*B2580*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2551*(1-MIN(100,(Inputs!$B$9+((C2565=TRUE)*(F2565-Calc!F19))+B2578+(ArtifactsInput!$M$24-ArtifactsInput!$M$24)*CHOOSE(ArtifactsInput!$N$24+1,10,12,14,16,18,20)+(IF(AND(ArtifactsInput!$M$42,((Inputs!$B$9+((C2565=TRUE)*(F2565-Calc!F19))+B2578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2551*(MIN(100,(Inputs!$B$9+((C2565=TRUE)*(F2565-Calc!F19))+B2578+(ArtifactsInput!$M$24-ArtifactsInput!$M$24)*CHOOSE(ArtifactsInput!$N$24+1,10,12,14,16,18,20)+(IF(AND(ArtifactsInput!$M$42,((Inputs!$B$9+((C2565=TRUE)*(F2565-Calc!F19))+B2578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2551*(1-MIN(100,(Inputs!$B$9+((C2565=TRUE)*(F2565-Calc!F19))+B2578+(ArtifactsInput!$M$24-ArtifactsInput!$M$24)*CHOOSE(ArtifactsInput!$N$24+1,10,12,14,16,18,20)+(IF(AND(ArtifactsInput!$M$42,((Inputs!$B$9+((C2565=TRUE)*(F2565-Calc!F19))+B2578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2551*(MIN(100,(Inputs!$B$9+((C2565=TRUE)*(F2565-Calc!F19))+B2578+(ArtifactsInput!$M$24-ArtifactsInput!$M$24)*CHOOSE(ArtifactsInput!$N$24+1,10,12,14,16,18,20)+(IF(AND(ArtifactsInput!$M$42,((Inputs!$B$9+((C2565=TRUE)*(F2565-Calc!F19))+B2578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551">
        <f>IF(C2551,(H2551*N2551*IF(AND(Inputs!$B$38&lt;&gt;"pvp",Inputs!$B$43&gt;0),((Skills!G5*((R2551-1)*IF(Skills!H5&gt;0,Skills!I5/Skills!H5,1)+IF(Skills!H5&gt;0,MIN(Skills!I5,MAX(0,MAX(0,Inputs!$B$43-B2585)-((R2551-1)*IF(Inputs!$B$38="pvp",15,MAX(0.1,Skills!D5-IF(Skills!E5=TRUE,Inputs!$B$32,0))))))/Skills!H5,1)))/Inputs!$B$43),G2551*Q2551))*IF(Inputs!$B$38="pvp",1,(1+(Inputs!$B$21+Skills!Q5+(IF(ArtifactsInput!$M$33,CHOOSE(ArtifactsInput!$N$33+1,30,36,42,48,54,60),0))+(IF(AND(ArtifactsInput!$M$35,Inputs!$B$4&lt;&gt;"Chapter Hunt"),CHOOSE(ArtifactsInput!$N$35+1,15,18,21,24,27,30)*(1-EXP(-(0.2*B2580)*5)),0)+IF(AND(ArtifactsInput!$M$22,Inputs!$B$4&lt;&gt;"Chapter Hunt"),CHOOSE(ArtifactsInput!$N$22+1,10,12,14,16,18,20)*((0*(((0.15*B2580*5))^0/1)+1*(((0.15*B2580*5))^1/1)+2*(((0.15*B2580*5))^2/2)+3*(((0.15*B2580*5))^3/6)+4*(((0.15*B2580*5))^4/24)+5*(((0.15*B2580*5))^5/120))/((((0.15*B2580*5))^0/1)+(((0.15*B2580*5))^1/1)+(((0.15*B2580*5))^2/2)+(((0.15*B2580*5))^3/6)+(((0.15*B2580*5))^4/24)+(((0.15*B2580*5))^5/120)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552">
      <c r="A2552">
        <f>Skills!A6</f>
        <v/>
      </c>
      <c r="B2552">
        <f>Skills!B6</f>
        <v/>
      </c>
      <c r="C2552">
        <f>Inputs!$B$3&gt;=63</f>
        <v/>
      </c>
      <c r="D2552">
        <f>IF(Skills!C6=1,60+Inputs!$B$25+Inputs!$B$29,IF(Skills!C6=2,90+Inputs!$B$26+Inputs!$B$29,IF(Skills!C6=3,120+Inputs!$B$27+Inputs!$B$29,MAX(0,(Inputs!$B$3-100)*3)+Inputs!$B$28+Inputs!$B$29)))</f>
        <v/>
      </c>
      <c r="E2552">
        <f>INDEX(FactorTable!$B$2:$Y$301, MATCH(ROUND(MIN(300,MAX(1,D2552)),0), FactorTable!$A$2:$A$301,0), Skills!M6+1)</f>
        <v/>
      </c>
      <c r="F2552">
        <f>IF(Skills!N6=TRUE,(Skills!L6/10)*(E2552/1000),Skills!L6/10)+Skills!O6</f>
        <v/>
      </c>
      <c r="G2552">
        <f>Skills!G6*IF(Skills!H6&gt;0,Skills!I6/Skills!H6,1)</f>
        <v/>
      </c>
      <c r="H2552">
        <f>1-(1-Skills!J6/100)^Skills!K6</f>
        <v/>
      </c>
      <c r="I2552" t="inlineStr">
        <is>
          <t>1</t>
        </is>
      </c>
      <c r="J2552">
        <f>((Inputs!$B$6*(1+Inputs!$B$7/100))+(((Inputs!$B$12*(1+Inputs!$B$13/100))-(Inputs!$B$12*(1+Inputs!$B$13/100)))+0.25*(Inputs!$B$14-Inputs!$B$14))*(1+Inputs!$B$7/100))*(F2552/100)</f>
        <v/>
      </c>
      <c r="K2552">
        <f>J2552*(1+((Inputs!$B$12*(1+Inputs!$B$13/100))*0.01+Inputs!$B$14*0.0025)/100)*(1+Inputs!$B$15/100)*(1+Inputs!$B$16/100)*(5000/(6000+Inputs!$B$42*(1-(100*(1-(1-(Inputs!$B$19+0)/100)*(1-CHOOSE(ArtifactsInput!$N$40+1,5,6,7,8,9,10)/100)^(ArtifactsInput!$M$40-ArtifactsInput!$M$40)))/100)))*(1+(Inputs!$B$24+((C2570=TRUE)*(F2570-Calc!F24))+((C2571=TRUE)*(F2571-Calc!F25))+B2584)/100)*(1+(((1+IF(AND(IF(ArtifactsInput!$M$36,FALSE,TRUE),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2554=TRUE,F2554,0)/100)*(1+(IF(Skills!A6="EMPOWERED_PIERCING_ARROW",Inputs!$B$17+((C2568=TRUE)*(F2568-Calc!F22))+(((IF(AND(ArtifactsInput!$M$42,((Inputs!$B$9+((C2565=TRUE)*(F2565-Calc!F19))+B2578+(ArtifactsInput!$M$24-ArtifactsInput!$M$24)*CHOOSE(ArtifactsInput!$N$24+1,10,12,14,16,18,20)+IF(ArtifactsInput!$M$10,CHOOSE(ArtifactsInput!$N$10+1,15,18,21,24,27,30)*(IF(Inputs!$B$38="pvp",MIN(15,15)/15,IF(AND(Inputs!$B$38&lt;&gt;"pvp",Inputs!$B$43&gt;0),MIN(15,Inputs!$B$43)/(Inputs!$B$43),0))),0)))&gt;=100),MIN(100,((Inputs!$B$9+((C2565=TRUE)*(F2565-Calc!F19))+B2578+(ArtifactsInput!$M$24-ArtifactsInput!$M$24)*CHOOSE(ArtifactsInput!$N$24+1,10,12,14,16,18,20)+IF(ArtifactsInput!$M$10,CHOOSE(ArtifactsInput!$N$10+1,15,18,21,24,27,30)*(IF(Inputs!$B$38="pvp",MIN(15,15)/15,IF(AND(Inputs!$B$38&lt;&gt;"pvp",Inputs!$B$43&gt;0),MIN(15,Inputs!$B$43)/(Inputs!$B$43),0))),0)))-100),0))*CHOOSE(ArtifactsInput!$N$42+1,0.6,0.72,0.84,0.96,1.08,1.2))),Inputs!$B$18+((C2573=TRUE)*(F2573-Calc!F27))+(IF(AND(ArtifactsInput!$M$42,((Inputs!$B$9+((C2565=TRUE)*(F2565-Calc!F19))+B2578+(ArtifactsInput!$M$24-ArtifactsInput!$M$24)*CHOOSE(ArtifactsInput!$N$24+1,10,12,14,16,18,20)+IF(ArtifactsInput!$M$10,CHOOSE(ArtifactsInput!$N$10+1,15,18,21,24,27,30)*(IF(Inputs!$B$38="pvp",MIN(15,15)/15,IF(AND(Inputs!$B$38&lt;&gt;"pvp",Inputs!$B$43&gt;0),MIN(15,Inputs!$B$43)/(Inputs!$B$43),0))),0)))&gt;=100),CHOOSE(ArtifactsInput!$N$42+1,40,48,56,64,72,80),0))))/100)*((1+(((C2559=TRUE)*F2559)+((C2560=TRUE)*IF(Inputs!$B$38="pvp",F2560,(1-Summary!$B$11)*(F2560)+Summary!$B$11*(0)))+((C2561=TRUE)*F2561*IF(AND(Inputs!$B$38&lt;&gt;"pvp",Inputs!$B$43&gt;0),(((R2561-1)*(Skills!T15*(1+Inputs!$B$34/100))+MIN((Skills!T15*(1+Inputs!$B$34/100)),MAX(0,Inputs!$B$43-((R2561-1)*Skills!D15))))/Inputs!$B$43),IF(Inputs!$B$38="pvp",MIN((Skills!T15*(1+Inputs!$B$34/100)),15)/15,(Skills!T15*(1+Inputs!$B$34/100))/Skills!D15)))+((C2558=TRUE)*F2558)+((C2575=TRUE)*(F2575-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2552)</f>
        <v/>
      </c>
      <c r="L2552">
        <f>K2552*(MIN(Inputs!$B$22+((C2569=TRUE)*(F2569-Calc!F23)),(Inputs!$B$23+((C2574=TRUE)*(F2574-Calc!F28))+(IF(ArtifactsInput!$M$15,CHOOSE(ArtifactsInput!$N$15+1,25,30,35,40,45,50)/100*(Inputs!$B$11-Inputs!$B$11),0))))/100+(Inputs!$B$23+((C2574=TRUE)*(F2574-Calc!F28))+(IF(ArtifactsInput!$M$15,CHOOSE(ArtifactsInput!$N$15+1,25,30,35,40,45,50)/100*(Inputs!$B$11-Inputs!$B$11),0)))/100)/2</f>
        <v/>
      </c>
      <c r="M2552">
        <f>L2552*(1+(Inputs!$B$10+0+B2583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552">
        <f>L2552*(1-MIN((Inputs!$B$9+((C2565=TRUE)*(F2565-Calc!F19))+B2578+(ArtifactsInput!$M$24-ArtifactsInput!$M$24)*CHOOSE(ArtifactsInput!$N$24+1,10,12,14,16,18,20)+(IF(AND(ArtifactsInput!$M$42,((Inputs!$B$9+((C2565=TRUE)*(F2565-Calc!F19))+B2578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2552*(MIN((Inputs!$B$9+((C2565=TRUE)*(F2565-Calc!F19))+B2578+(ArtifactsInput!$M$24-ArtifactsInput!$M$24)*CHOOSE(ArtifactsInput!$N$24+1,10,12,14,16,18,20)+(IF(AND(ArtifactsInput!$M$42,((Inputs!$B$9+((C2565=TRUE)*(F2565-Calc!F19))+B2578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552">
        <f>(1-Summary!$B$11)*T2552+Summary!$B$11*V2552</f>
        <v/>
      </c>
      <c r="P2552">
        <f>IF(B2588=0,0,O2552/B2588)</f>
        <v/>
      </c>
      <c r="Q2552">
        <f>IFERROR(1/IF(Inputs!$B$38="pvp",15,MAX(0.1,Skills!D6-IF(Skills!E6=TRUE,Inputs!$B$32,0))),0)</f>
        <v/>
      </c>
      <c r="R2552">
        <f>IF(AND(Inputs!$B$38&lt;&gt;"pvp",Inputs!$B$43&gt;0),IF(MAX(0,Inputs!$B$43-B2585)&lt;=0,0,(INT(MAX(0,Inputs!$B$43-B2585)/IF(Inputs!$B$38="pvp",15,MAX(0.1,Skills!D6-IF(Skills!E6=TRUE,Inputs!$B$32,0))))+1)),0)</f>
        <v/>
      </c>
      <c r="S2552">
        <f>IFERROR((H2552*N2552*IF(AND(Inputs!$B$38&lt;&gt;"pvp",Inputs!$B$43&gt;0),((Skills!G6*((R2552-1)*IF(Skills!H6&gt;0,Skills!I6/Skills!H6,1)+IF(Skills!H6&gt;0,MIN(Skills!I6,MAX(0,MAX(0,Inputs!$B$43-B2585)-((R2552-1)*IF(Inputs!$B$38="pvp",15,MAX(0.1,Skills!D6-IF(Skills!E6=TRUE,Inputs!$B$32,0))))))/Skills!H6,1)))/Inputs!$B$43),G2552*Q2552))/N2552*IF(Inputs!$B$38="pvp",1,(1-Summary!$B$11)*1+Summary!$B$11*(MIN(Skills!R6,Inputs!$B$37))),0)</f>
        <v/>
      </c>
      <c r="T2552">
        <f>IF(C2552,(H2552*N2552*IF(AND(Inputs!$B$38&lt;&gt;"pvp",Inputs!$B$43&gt;0),((Skills!G6*((R2552-1)*IF(Skills!H6&gt;0,Skills!I6/Skills!H6,1)+IF(Skills!H6&gt;0,MIN(Skills!I6,MAX(0,MAX(0,Inputs!$B$43-B2585)-((R2552-1)*IF(Inputs!$B$38="pvp",15,MAX(0.1,Skills!D6-IF(Skills!E6=TRUE,Inputs!$B$32,0))))))/Skills!H6,1)))/Inputs!$B$43),G2552*Q2552))*IF(Inputs!$B$38="pvp",1,1+(Inputs!$B$20+0+Skills!P6+(IF(AND(IF(ArtifactsInput!$M$36,FALSE,TRUE),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Hunt"),CHOOSE(ArtifactsInput!$N$35+1,15,18,21,24,27,30)*(1-EXP(-(0.2*B2580)*5)),0)+IF(AND(ArtifactsInput!$M$22,Inputs!$B$4&lt;&gt;"Chapter Hunt"),CHOOSE(ArtifactsInput!$N$22+1,10,12,14,16,18,20)*((0*(((0.15*B2580*5))^0/1)+1*(((0.15*B2580*5))^1/1)+2*(((0.15*B2580*5))^2/2)+3*(((0.15*B2580*5))^3/6)+4*(((0.15*B2580*5))^4/24)+5*(((0.15*B2580*5))^5/120))/((((0.15*B2580*5))^0/1)+(((0.15*B2580*5))^1/1)+(((0.15*B2580*5))^2/2)+(((0.15*B2580*5))^3/6)+(((0.15*B2580*5))^4/24)+(((0.15*B2580*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2552*(1-MIN(100,(Inputs!$B$9+((C2565=TRUE)*(F2565-Calc!F19))+B2578+(ArtifactsInput!$M$24-ArtifactsInput!$M$24)*CHOOSE(ArtifactsInput!$N$24+1,10,12,14,16,18,20)+(IF(AND(ArtifactsInput!$M$42,((Inputs!$B$9+((C2565=TRUE)*(F2565-Calc!F19))+B2578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2552*(MIN(100,(Inputs!$B$9+((C2565=TRUE)*(F2565-Calc!F19))+B2578+(ArtifactsInput!$M$24-ArtifactsInput!$M$24)*CHOOSE(ArtifactsInput!$N$24+1,10,12,14,16,18,20)+(IF(AND(ArtifactsInput!$M$42,((Inputs!$B$9+((C2565=TRUE)*(F2565-Calc!F19))+B2578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2552*(1-MIN(100,(Inputs!$B$9+((C2565=TRUE)*(F2565-Calc!F19))+B2578+(ArtifactsInput!$M$24-ArtifactsInput!$M$24)*CHOOSE(ArtifactsInput!$N$24+1,10,12,14,16,18,20)+(IF(AND(ArtifactsInput!$M$42,((Inputs!$B$9+((C2565=TRUE)*(F2565-Calc!F19))+B2578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2552*(MIN(100,(Inputs!$B$9+((C2565=TRUE)*(F2565-Calc!F19))+B2578+(ArtifactsInput!$M$24-ArtifactsInput!$M$24)*CHOOSE(ArtifactsInput!$N$24+1,10,12,14,16,18,20)+(IF(AND(ArtifactsInput!$M$42,((Inputs!$B$9+((C2565=TRUE)*(F2565-Calc!F19))+B2578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552">
        <f>IF(C2552,(H2552*N2552*IF(AND(Inputs!$B$38&lt;&gt;"pvp",Inputs!$B$43&gt;0),((Skills!G6*((R2552-1)*IF(Skills!H6&gt;0,Skills!I6/Skills!H6,1)+IF(Skills!H6&gt;0,MIN(Skills!I6,MAX(0,MAX(0,Inputs!$B$43-B2585)-((R2552-1)*IF(Inputs!$B$38="pvp",15,MAX(0.1,Skills!D6-IF(Skills!E6=TRUE,Inputs!$B$32,0))))))/Skills!H6,1)))/Inputs!$B$43),G2552*Q2552))*IF(Inputs!$B$38="pvp",1,(1+(Inputs!$B$21+Skills!Q6+(IF(ArtifactsInput!$M$33,CHOOSE(ArtifactsInput!$N$33+1,30,36,42,48,54,60),0))+(IF(AND(ArtifactsInput!$M$35,Inputs!$B$4&lt;&gt;"Chapter Hunt"),CHOOSE(ArtifactsInput!$N$35+1,15,18,21,24,27,30)*(1-EXP(-(0.2*B2580)*5)),0)+IF(AND(ArtifactsInput!$M$22,Inputs!$B$4&lt;&gt;"Chapter Hunt"),CHOOSE(ArtifactsInput!$N$22+1,10,12,14,16,18,20)*((0*(((0.15*B2580*5))^0/1)+1*(((0.15*B2580*5))^1/1)+2*(((0.15*B2580*5))^2/2)+3*(((0.15*B2580*5))^3/6)+4*(((0.15*B2580*5))^4/24)+5*(((0.15*B2580*5))^5/120))/((((0.15*B2580*5))^0/1)+(((0.15*B2580*5))^1/1)+(((0.15*B2580*5))^2/2)+(((0.15*B2580*5))^3/6)+(((0.15*B2580*5))^4/24)+(((0.15*B2580*5))^5/120))),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553">
      <c r="A2553">
        <f>Skills!A7</f>
        <v/>
      </c>
      <c r="B2553">
        <f>Skills!B7</f>
        <v/>
      </c>
      <c r="C2553">
        <f>Inputs!$B$3&gt;=69</f>
        <v/>
      </c>
      <c r="D2553">
        <f>IF(Skills!C7=1,60+Inputs!$B$25+Inputs!$B$29,IF(Skills!C7=2,90+Inputs!$B$26+Inputs!$B$29,IF(Skills!C7=3,120+Inputs!$B$27+Inputs!$B$29,MAX(0,(Inputs!$B$3-100)*3)+Inputs!$B$28+Inputs!$B$29)))</f>
        <v/>
      </c>
      <c r="E2553">
        <f>INDEX(FactorTable!$B$2:$Y$301, MATCH(ROUND(MIN(300,MAX(1,D2553)),0), FactorTable!$A$2:$A$301,0), Skills!M7+1)</f>
        <v/>
      </c>
      <c r="F2553">
        <f>IF(Skills!N7=TRUE,(Skills!L7/10)*(E2553/1000),Skills!L7/10)+Skills!O7</f>
        <v/>
      </c>
      <c r="G2553">
        <f>Skills!G7*IF(Skills!H7&gt;0,Skills!I7/Skills!H7,1)</f>
        <v/>
      </c>
      <c r="H2553">
        <f>1-(1-Skills!J7/100)^Skills!K7</f>
        <v/>
      </c>
      <c r="I2553" t="inlineStr">
        <is>
          <t>1</t>
        </is>
      </c>
      <c r="J2553">
        <f>((Inputs!$B$6*(1+Inputs!$B$7/100))+(((Inputs!$B$12*(1+Inputs!$B$13/100))-(Inputs!$B$12*(1+Inputs!$B$13/100)))+0.25*(Inputs!$B$14-Inputs!$B$14))*(1+Inputs!$B$7/100))*(F2553/100)</f>
        <v/>
      </c>
      <c r="K2553">
        <f>J2553*(1+((Inputs!$B$12*(1+Inputs!$B$13/100))*0.01+Inputs!$B$14*0.0025)/100)*(1+Inputs!$B$15/100)*(1+Inputs!$B$16/100)*(5000/(6000+Inputs!$B$42*(1-(100*(1-(1-(Inputs!$B$19+0)/100)*(1-CHOOSE(ArtifactsInput!$N$40+1,5,6,7,8,9,10)/100)^(ArtifactsInput!$M$40-ArtifactsInput!$M$40)))/100)))*(1+(Inputs!$B$24+((C2570=TRUE)*(F2570-Calc!F24))+((C2571=TRUE)*(F2571-Calc!F25))+B2584)/100)*(1+(((1+IF(AND(IF(ArtifactsInput!$M$36,FALSE,TRUE),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+1.2*IF(C2554=TRUE,F2554,0)/100)*(1+(IF(Skills!A7="EMPOWERED_PIERCING_ARROW",Inputs!$B$17+((C2568=TRUE)*(F2568-Calc!F22))+(((IF(AND(ArtifactsInput!$M$42,((Inputs!$B$9+((C2565=TRUE)*(F2565-Calc!F19))+B2578+(ArtifactsInput!$M$24-ArtifactsInput!$M$24)*CHOOSE(ArtifactsInput!$N$24+1,10,12,14,16,18,20)+IF(ArtifactsInput!$M$10,CHOOSE(ArtifactsInput!$N$10+1,15,18,21,24,27,30)*(IF(Inputs!$B$38="pvp",MIN(15,15)/15,IF(AND(Inputs!$B$38&lt;&gt;"pvp",Inputs!$B$43&gt;0),MIN(15,Inputs!$B$43)/(Inputs!$B$43),0))),0)))&gt;=100),MIN(100,((Inputs!$B$9+((C2565=TRUE)*(F2565-Calc!F19))+B2578+(ArtifactsInput!$M$24-ArtifactsInput!$M$24)*CHOOSE(ArtifactsInput!$N$24+1,10,12,14,16,18,20)+IF(ArtifactsInput!$M$10,CHOOSE(ArtifactsInput!$N$10+1,15,18,21,24,27,30)*(IF(Inputs!$B$38="pvp",MIN(15,15)/15,IF(AND(Inputs!$B$38&lt;&gt;"pvp",Inputs!$B$43&gt;0),MIN(15,Inputs!$B$43)/(Inputs!$B$43),0))),0)))-100),0))*CHOOSE(ArtifactsInput!$N$42+1,0.6,0.72,0.84,0.96,1.08,1.2))),Inputs!$B$18+((C2573=TRUE)*(F2573-Calc!F27))+(IF(AND(ArtifactsInput!$M$42,((Inputs!$B$9+((C2565=TRUE)*(F2565-Calc!F19))+B2578+(ArtifactsInput!$M$24-ArtifactsInput!$M$24)*CHOOSE(ArtifactsInput!$N$24+1,10,12,14,16,18,20)+IF(ArtifactsInput!$M$10,CHOOSE(ArtifactsInput!$N$10+1,15,18,21,24,27,30)*(IF(Inputs!$B$38="pvp",MIN(15,15)/15,IF(AND(Inputs!$B$38&lt;&gt;"pvp",Inputs!$B$43&gt;0),MIN(15,Inputs!$B$43)/(Inputs!$B$43),0))),0)))&gt;=100),CHOOSE(ArtifactsInput!$N$42+1,40,48,56,64,72,80),0))))/100)*((1+(((C2559=TRUE)*F2559)+((C2560=TRUE)*IF(Inputs!$B$38="pvp",F2560,(1-Summary!$B$11)*(F2560)+Summary!$B$11*(0)))+((C2561=TRUE)*F2561*IF(AND(Inputs!$B$38&lt;&gt;"pvp",Inputs!$B$43&gt;0),(((R2561-1)*(Skills!T15*(1+Inputs!$B$34/100))+MIN((Skills!T15*(1+Inputs!$B$34/100)),MAX(0,Inputs!$B$43-((R2561-1)*Skills!D15))))/Inputs!$B$43),IF(Inputs!$B$38="pvp",MIN((Skills!T15*(1+Inputs!$B$34/100)),15)/15,(Skills!T15*(1+Inputs!$B$34/100))/Skills!D15)))+((C2558=TRUE)*F2558)+((C2575=TRUE)*(F2575-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2553)</f>
        <v/>
      </c>
      <c r="L2553">
        <f>K2553*(MIN(Inputs!$B$22+((C2569=TRUE)*(F2569-Calc!F23)),(Inputs!$B$23+((C2574=TRUE)*(F2574-Calc!F28))+(IF(ArtifactsInput!$M$15,CHOOSE(ArtifactsInput!$N$15+1,25,30,35,40,45,50)/100*(Inputs!$B$11-Inputs!$B$11),0))))/100+(Inputs!$B$23+((C2574=TRUE)*(F2574-Calc!F28))+(IF(ArtifactsInput!$M$15,CHOOSE(ArtifactsInput!$N$15+1,25,30,35,40,45,50)/100*(Inputs!$B$11-Inputs!$B$11),0)))/100)/2</f>
        <v/>
      </c>
      <c r="M2553">
        <f>L2553*(1+(Inputs!$B$10+0+B2583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553">
        <f>L2553*(1-MIN((Inputs!$B$9+((C2565=TRUE)*(F2565-Calc!F19))+B2578+(ArtifactsInput!$M$24-ArtifactsInput!$M$24)*CHOOSE(ArtifactsInput!$N$24+1,10,12,14,16,18,20)+(IF(AND(ArtifactsInput!$M$42,((Inputs!$B$9+((C2565=TRUE)*(F2565-Calc!F19))+B2578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2553*(MIN((Inputs!$B$9+((C2565=TRUE)*(F2565-Calc!F19))+B2578+(ArtifactsInput!$M$24-ArtifactsInput!$M$24)*CHOOSE(ArtifactsInput!$N$24+1,10,12,14,16,18,20)+(IF(AND(ArtifactsInput!$M$42,((Inputs!$B$9+((C2565=TRUE)*(F2565-Calc!F19))+B2578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553">
        <f>(1-Summary!$B$11)*T2553+Summary!$B$11*V2553</f>
        <v/>
      </c>
      <c r="P2553">
        <f>IF(B2588=0,0,O2553/B2588)</f>
        <v/>
      </c>
      <c r="Q2553">
        <f>IFERROR(1/IF(Inputs!$B$38="pvp",15,MAX(0.1,Skills!D7-IF(Skills!E7=TRUE,Inputs!$B$32,0))),0)</f>
        <v/>
      </c>
      <c r="R2553">
        <f>IF(AND(Inputs!$B$38&lt;&gt;"pvp",Inputs!$B$43&gt;0),IF(MAX(0,Inputs!$B$43-B2585)&lt;=0,0,(INT(MAX(0,Inputs!$B$43-B2585)/IF(Inputs!$B$38="pvp",15,MAX(0.1,Skills!D7-IF(Skills!E7=TRUE,Inputs!$B$32,0))))+1)),0)</f>
        <v/>
      </c>
      <c r="S2553">
        <f>IFERROR((H2553*N2553*IF(AND(Inputs!$B$38&lt;&gt;"pvp",Inputs!$B$43&gt;0),((Skills!G7*((R2553-1)*IF(Skills!H7&gt;0,Skills!I7/Skills!H7,1)+IF(Skills!H7&gt;0,MIN(Skills!I7,MAX(0,MAX(0,Inputs!$B$43-B2585)-((R2553-1)*IF(Inputs!$B$38="pvp",15,MAX(0.1,Skills!D7-IF(Skills!E7=TRUE,Inputs!$B$32,0))))))/Skills!H7,1)))/Inputs!$B$43),G2553*Q2553))/N2553*IF(Inputs!$B$38="pvp",1,(1-Summary!$B$11)*1+Summary!$B$11*(MIN(Skills!R7,Inputs!$B$37))),0)</f>
        <v/>
      </c>
      <c r="T2553">
        <f>IF(C2553,(H2553*N2553*IF(AND(Inputs!$B$38&lt;&gt;"pvp",Inputs!$B$43&gt;0),((Skills!G7*((R2553-1)*IF(Skills!H7&gt;0,Skills!I7/Skills!H7,1)+IF(Skills!H7&gt;0,MIN(Skills!I7,MAX(0,MAX(0,Inputs!$B$43-B2585)-((R2553-1)*IF(Inputs!$B$38="pvp",15,MAX(0.1,Skills!D7-IF(Skills!E7=TRUE,Inputs!$B$32,0))))))/Skills!H7,1)))/Inputs!$B$43),G2553*Q2553))*IF(Inputs!$B$38="pvp",1,1+(Inputs!$B$20+0+Skills!P7+(IF(AND(IF(ArtifactsInput!$M$36,FALSE,TRUE),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Hunt"),CHOOSE(ArtifactsInput!$N$35+1,15,18,21,24,27,30)*(1-EXP(-(0.2*B2580)*5)),0)+IF(AND(ArtifactsInput!$M$22,Inputs!$B$4&lt;&gt;"Chapter Hunt"),CHOOSE(ArtifactsInput!$N$22+1,10,12,14,16,18,20)*((0*(((0.15*B2580*5))^0/1)+1*(((0.15*B2580*5))^1/1)+2*(((0.15*B2580*5))^2/2)+3*(((0.15*B2580*5))^3/6)+4*(((0.15*B2580*5))^4/24)+5*(((0.15*B2580*5))^5/120))/((((0.15*B2580*5))^0/1)+(((0.15*B2580*5))^1/1)+(((0.15*B2580*5))^2/2)+(((0.15*B2580*5))^3/6)+(((0.15*B2580*5))^4/24)+(((0.15*B2580*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2553*(1-MIN(100,(Inputs!$B$9+((C2565=TRUE)*(F2565-Calc!F19))+B2578+(ArtifactsInput!$M$24-ArtifactsInput!$M$24)*CHOOSE(ArtifactsInput!$N$24+1,10,12,14,16,18,20)+(IF(AND(ArtifactsInput!$M$42,((Inputs!$B$9+((C2565=TRUE)*(F2565-Calc!F19))+B2578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2553*(MIN(100,(Inputs!$B$9+((C2565=TRUE)*(F2565-Calc!F19))+B2578+(ArtifactsInput!$M$24-ArtifactsInput!$M$24)*CHOOSE(ArtifactsInput!$N$24+1,10,12,14,16,18,20)+(IF(AND(ArtifactsInput!$M$42,((Inputs!$B$9+((C2565=TRUE)*(F2565-Calc!F19))+B2578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2553*(1-MIN(100,(Inputs!$B$9+((C2565=TRUE)*(F2565-Calc!F19))+B2578+(ArtifactsInput!$M$24-ArtifactsInput!$M$24)*CHOOSE(ArtifactsInput!$N$24+1,10,12,14,16,18,20)+(IF(AND(ArtifactsInput!$M$42,((Inputs!$B$9+((C2565=TRUE)*(F2565-Calc!F19))+B2578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2553*(MIN(100,(Inputs!$B$9+((C2565=TRUE)*(F2565-Calc!F19))+B2578+(ArtifactsInput!$M$24-ArtifactsInput!$M$24)*CHOOSE(ArtifactsInput!$N$24+1,10,12,14,16,18,20)+(IF(AND(ArtifactsInput!$M$42,((Inputs!$B$9+((C2565=TRUE)*(F2565-Calc!F19))+B2578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553">
        <f>IF(C2553,(H2553*N2553*IF(AND(Inputs!$B$38&lt;&gt;"pvp",Inputs!$B$43&gt;0),((Skills!G7*((R2553-1)*IF(Skills!H7&gt;0,Skills!I7/Skills!H7,1)+IF(Skills!H7&gt;0,MIN(Skills!I7,MAX(0,MAX(0,Inputs!$B$43-B2585)-((R2553-1)*IF(Inputs!$B$38="pvp",15,MAX(0.1,Skills!D7-IF(Skills!E7=TRUE,Inputs!$B$32,0))))))/Skills!H7,1)))/Inputs!$B$43),G2553*Q2553))*IF(Inputs!$B$38="pvp",1,(1+(Inputs!$B$21+Skills!Q7+(IF(ArtifactsInput!$M$33,CHOOSE(ArtifactsInput!$N$33+1,30,36,42,48,54,60),0))+(IF(AND(ArtifactsInput!$M$35,Inputs!$B$4&lt;&gt;"Chapter Hunt"),CHOOSE(ArtifactsInput!$N$35+1,15,18,21,24,27,30)*(1-EXP(-(0.2*B2580)*5)),0)+IF(AND(ArtifactsInput!$M$22,Inputs!$B$4&lt;&gt;"Chapter Hunt"),CHOOSE(ArtifactsInput!$N$22+1,10,12,14,16,18,20)*((0*(((0.15*B2580*5))^0/1)+1*(((0.15*B2580*5))^1/1)+2*(((0.15*B2580*5))^2/2)+3*(((0.15*B2580*5))^3/6)+4*(((0.15*B2580*5))^4/24)+5*(((0.15*B2580*5))^5/120))/((((0.15*B2580*5))^0/1)+(((0.15*B2580*5))^1/1)+(((0.15*B2580*5))^2/2)+(((0.15*B2580*5))^3/6)+(((0.15*B2580*5))^4/24)+(((0.15*B2580*5))^5/120))),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554">
      <c r="A2554">
        <f>Skills!A8</f>
        <v/>
      </c>
      <c r="B2554">
        <f>Skills!B8</f>
        <v/>
      </c>
      <c r="C2554">
        <f>Inputs!$B$3&gt;=100</f>
        <v/>
      </c>
      <c r="D2554">
        <f>IF(Skills!C8=1,60+Inputs!$B$25+Inputs!$B$29,IF(Skills!C8=2,90+Inputs!$B$26+Inputs!$B$29,IF(Skills!C8=3,120+Inputs!$B$27+Inputs!$B$29,MAX(0,(Inputs!$B$3-100)*3)+Inputs!$B$28+Inputs!$B$29)))</f>
        <v/>
      </c>
      <c r="E2554">
        <f>INDEX(FactorTable!$B$2:$Y$301, MATCH(ROUND(MIN(300,MAX(1,D2554)),0), FactorTable!$A$2:$A$301,0), Skills!M8+1)</f>
        <v/>
      </c>
      <c r="F2554">
        <f>IF(Skills!N8=TRUE,(Skills!L8/10)*(E2554/1000),Skills!L8/10)+Skills!O8</f>
        <v/>
      </c>
      <c r="G2554" t="inlineStr"/>
      <c r="H2554" t="inlineStr"/>
      <c r="I2554" t="inlineStr">
        <is>
          <t>1</t>
        </is>
      </c>
      <c r="J2554" t="inlineStr"/>
      <c r="K2554" t="inlineStr"/>
      <c r="L2554" t="inlineStr"/>
      <c r="M2554" t="inlineStr"/>
      <c r="N2554" t="inlineStr"/>
      <c r="O2554" t="inlineStr"/>
      <c r="P2554" t="inlineStr"/>
      <c r="Q2554" t="inlineStr"/>
      <c r="R2554" t="inlineStr"/>
      <c r="S2554" t="inlineStr"/>
      <c r="T2554" t="inlineStr"/>
      <c r="V2554" t="inlineStr"/>
    </row>
    <row r="2555">
      <c r="A2555">
        <f>Skills!A9</f>
        <v/>
      </c>
      <c r="B2555">
        <f>Skills!B9</f>
        <v/>
      </c>
      <c r="C2555">
        <f>Inputs!$B$3&gt;=103</f>
        <v/>
      </c>
      <c r="D2555">
        <f>IF(Skills!C9=1,60+Inputs!$B$25+Inputs!$B$29,IF(Skills!C9=2,90+Inputs!$B$26+Inputs!$B$29,IF(Skills!C9=3,120+Inputs!$B$27+Inputs!$B$29,MAX(0,(Inputs!$B$3-100)*3)+Inputs!$B$28+Inputs!$B$29)))</f>
        <v/>
      </c>
      <c r="E2555">
        <f>INDEX(FactorTable!$B$2:$Y$301, MATCH(ROUND(MIN(300,MAX(1,D2555)),0), FactorTable!$A$2:$A$301,0), Skills!M9+1)</f>
        <v/>
      </c>
      <c r="F2555">
        <f>IF(Skills!N9=TRUE,(Skills!L9/10)*(E2555/1000),Skills!L9/10)+Skills!O9</f>
        <v/>
      </c>
      <c r="G2555">
        <f>Skills!G9*IF(Skills!H9&gt;0,Skills!I9/Skills!H9,1)</f>
        <v/>
      </c>
      <c r="H2555">
        <f>1-(1-Skills!J9/100)^Skills!K9</f>
        <v/>
      </c>
      <c r="I2555" t="inlineStr">
        <is>
          <t>1</t>
        </is>
      </c>
      <c r="J2555">
        <f>((Inputs!$B$6*(1+Inputs!$B$7/100))+(((Inputs!$B$12*(1+Inputs!$B$13/100))-(Inputs!$B$12*(1+Inputs!$B$13/100)))+0.25*(Inputs!$B$14-Inputs!$B$14))*(1+Inputs!$B$7/100))*(F2555/100)</f>
        <v/>
      </c>
      <c r="K2555">
        <f>J2555*(1+((Inputs!$B$12*(1+Inputs!$B$13/100))*0.01+Inputs!$B$14*0.0025)/100)*(1+Inputs!$B$15/100)*(1+Inputs!$B$16/100)*(5000/(6000+Inputs!$B$42*(1-(100*(1-(1-(Inputs!$B$19+0)/100)*(1-CHOOSE(ArtifactsInput!$N$40+1,5,6,7,8,9,10)/100)^(ArtifactsInput!$M$40-ArtifactsInput!$M$40)))/100)))*(1+(Inputs!$B$24+((C2570=TRUE)*(F2570-Calc!F24))+((C2571=TRUE)*(F2571-Calc!F25))+B2584)/100)*(1+(((1+IF(AND(IF(ArtifactsInput!$M$36,FALSE,TRUE),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EMPOWERED_PIERCING_ARROW",Inputs!$B$17+((C2568=TRUE)*(F2568-Calc!F22))+(((IF(AND(ArtifactsInput!$M$42,((Inputs!$B$9+((C2565=TRUE)*(F2565-Calc!F19))+B2578+(ArtifactsInput!$M$24-ArtifactsInput!$M$24)*CHOOSE(ArtifactsInput!$N$24+1,10,12,14,16,18,20)+IF(ArtifactsInput!$M$10,CHOOSE(ArtifactsInput!$N$10+1,15,18,21,24,27,30)*(IF(Inputs!$B$38="pvp",MIN(15,15)/15,IF(AND(Inputs!$B$38&lt;&gt;"pvp",Inputs!$B$43&gt;0),MIN(15,Inputs!$B$43)/(Inputs!$B$43),0))),0)))&gt;=100),MIN(100,((Inputs!$B$9+((C2565=TRUE)*(F2565-Calc!F19))+B2578+(ArtifactsInput!$M$24-ArtifactsInput!$M$24)*CHOOSE(ArtifactsInput!$N$24+1,10,12,14,16,18,20)+IF(ArtifactsInput!$M$10,CHOOSE(ArtifactsInput!$N$10+1,15,18,21,24,27,30)*(IF(Inputs!$B$38="pvp",MIN(15,15)/15,IF(AND(Inputs!$B$38&lt;&gt;"pvp",Inputs!$B$43&gt;0),MIN(15,Inputs!$B$43)/(Inputs!$B$43),0))),0)))-100),0))*CHOOSE(ArtifactsInput!$N$42+1,0.6,0.72,0.84,0.96,1.08,1.2))),Inputs!$B$18+((C2573=TRUE)*(F2573-Calc!F27))+(IF(AND(ArtifactsInput!$M$42,((Inputs!$B$9+((C2565=TRUE)*(F2565-Calc!F19))+B2578+(ArtifactsInput!$M$24-ArtifactsInput!$M$24)*CHOOSE(ArtifactsInput!$N$24+1,10,12,14,16,18,20)+IF(ArtifactsInput!$M$10,CHOOSE(ArtifactsInput!$N$10+1,15,18,21,24,27,30)*(IF(Inputs!$B$38="pvp",MIN(15,15)/15,IF(AND(Inputs!$B$38&lt;&gt;"pvp",Inputs!$B$43&gt;0),MIN(15,Inputs!$B$43)/(Inputs!$B$43),0))),0)))&gt;=100),CHOOSE(ArtifactsInput!$N$42+1,40,48,56,64,72,80),0))))/100)*((1+(((C2559=TRUE)*F2559)+((C2560=TRUE)*IF(Inputs!$B$38="pvp",F2560,(1-Summary!$B$11)*(F2560)+Summary!$B$11*(0)))+((C2561=TRUE)*F2561*IF(AND(Inputs!$B$38&lt;&gt;"pvp",Inputs!$B$43&gt;0),(((R2561-1)*(Skills!T15*(1+Inputs!$B$34/100))+MIN((Skills!T15*(1+Inputs!$B$34/100)),MAX(0,Inputs!$B$43-((R2561-1)*Skills!D15))))/Inputs!$B$43),IF(Inputs!$B$38="pvp",MIN((Skills!T15*(1+Inputs!$B$34/100)),15)/15,(Skills!T15*(1+Inputs!$B$34/100))/Skills!D15)))+((C2558=TRUE)*F2558)+((C2575=TRUE)*(F2575-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2555)</f>
        <v/>
      </c>
      <c r="L2555">
        <f>K2555*(MIN(Inputs!$B$22+((C2569=TRUE)*(F2569-Calc!F23)),(Inputs!$B$23+((C2574=TRUE)*(F2574-Calc!F28))+(IF(ArtifactsInput!$M$15,CHOOSE(ArtifactsInput!$N$15+1,25,30,35,40,45,50)/100*(Inputs!$B$11-Inputs!$B$11),0))))/100+(Inputs!$B$23+((C2574=TRUE)*(F2574-Calc!F28))+(IF(ArtifactsInput!$M$15,CHOOSE(ArtifactsInput!$N$15+1,25,30,35,40,45,50)/100*(Inputs!$B$11-Inputs!$B$11),0)))/100)/2</f>
        <v/>
      </c>
      <c r="M2555">
        <f>L2555*(1+(Inputs!$B$10+0+B2583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555">
        <f>L2555*(1-MIN((Inputs!$B$9+((C2565=TRUE)*(F2565-Calc!F19))+B2578+(ArtifactsInput!$M$24-ArtifactsInput!$M$24)*CHOOSE(ArtifactsInput!$N$24+1,10,12,14,16,18,20)+(IF(AND(ArtifactsInput!$M$42,((Inputs!$B$9+((C2565=TRUE)*(F2565-Calc!F19))+B2578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2555*(MIN((Inputs!$B$9+((C2565=TRUE)*(F2565-Calc!F19))+B2578+(ArtifactsInput!$M$24-ArtifactsInput!$M$24)*CHOOSE(ArtifactsInput!$N$24+1,10,12,14,16,18,20)+(IF(AND(ArtifactsInput!$M$42,((Inputs!$B$9+((C2565=TRUE)*(F2565-Calc!F19))+B2578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555">
        <f>(1-Summary!$B$11)*T2555+Summary!$B$11*V2555</f>
        <v/>
      </c>
      <c r="P2555">
        <f>IF(B2588=0,0,O2555/B2588)</f>
        <v/>
      </c>
      <c r="Q2555">
        <f>IFERROR(1/IF(Inputs!$B$38="pvp",15,MAX(0.1,Skills!D9-IF(Skills!E9=TRUE,Inputs!$B$32,0))),0)</f>
        <v/>
      </c>
      <c r="R2555">
        <f>IF(AND(Inputs!$B$38&lt;&gt;"pvp",Inputs!$B$43&gt;0),IF(MAX(0,Inputs!$B$43-B2585)&lt;=0,0,(INT(MAX(0,Inputs!$B$43-B2585)/IF(Inputs!$B$38="pvp",15,MAX(0.1,Skills!D9-IF(Skills!E9=TRUE,Inputs!$B$32,0))))+1)),0)</f>
        <v/>
      </c>
      <c r="S2555">
        <f>IFERROR((H2555*N2555*IF(AND(Inputs!$B$38&lt;&gt;"pvp",Inputs!$B$43&gt;0),((Skills!G9*((R2555-1)*IF(Skills!H9&gt;0,Skills!I9/Skills!H9,1)+IF(Skills!H9&gt;0,MIN(Skills!I9,MAX(0,MAX(0,Inputs!$B$43-B2585)-((R2555-1)*IF(Inputs!$B$38="pvp",15,MAX(0.1,Skills!D9-IF(Skills!E9=TRUE,Inputs!$B$32,0))))))/Skills!H9,1)))/Inputs!$B$43),G2555*Q2555))/N2555*IF(Inputs!$B$38="pvp",1,(1-Summary!$B$11)*1+Summary!$B$11*(MIN(Skills!R9,Inputs!$B$37))),0)</f>
        <v/>
      </c>
      <c r="T2555">
        <f>IF(C2555,(H2555*N2555*IF(AND(Inputs!$B$38&lt;&gt;"pvp",Inputs!$B$43&gt;0),((Skills!G9*((R2555-1)*IF(Skills!H9&gt;0,Skills!I9/Skills!H9,1)+IF(Skills!H9&gt;0,MIN(Skills!I9,MAX(0,MAX(0,Inputs!$B$43-B2585)-((R2555-1)*IF(Inputs!$B$38="pvp",15,MAX(0.1,Skills!D9-IF(Skills!E9=TRUE,Inputs!$B$32,0))))))/Skills!H9,1)))/Inputs!$B$43),G2555*Q2555))*IF(Inputs!$B$38="pvp",1,1+(Inputs!$B$20+0+Skills!P9+(IF(AND(IF(ArtifactsInput!$M$36,FALSE,TRUE),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Hunt"),CHOOSE(ArtifactsInput!$N$35+1,15,18,21,24,27,30)*(1-EXP(-(0.2*B2580)*5)),0)+IF(AND(ArtifactsInput!$M$22,Inputs!$B$4&lt;&gt;"Chapter Hunt"),CHOOSE(ArtifactsInput!$N$22+1,10,12,14,16,18,20)*((0*(((0.15*B2580*5))^0/1)+1*(((0.15*B2580*5))^1/1)+2*(((0.15*B2580*5))^2/2)+3*(((0.15*B2580*5))^3/6)+4*(((0.15*B2580*5))^4/24)+5*(((0.15*B2580*5))^5/120))/((((0.15*B2580*5))^0/1)+(((0.15*B2580*5))^1/1)+(((0.15*B2580*5))^2/2)+(((0.15*B2580*5))^3/6)+(((0.15*B2580*5))^4/24)+(((0.15*B2580*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2555*(1-MIN(100,(Inputs!$B$9+((C2565=TRUE)*(F2565-Calc!F19))+B2578+(ArtifactsInput!$M$24-ArtifactsInput!$M$24)*CHOOSE(ArtifactsInput!$N$24+1,10,12,14,16,18,20)+(IF(AND(ArtifactsInput!$M$42,((Inputs!$B$9+((C2565=TRUE)*(F2565-Calc!F19))+B2578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2555*(MIN(100,(Inputs!$B$9+((C2565=TRUE)*(F2565-Calc!F19))+B2578+(ArtifactsInput!$M$24-ArtifactsInput!$M$24)*CHOOSE(ArtifactsInput!$N$24+1,10,12,14,16,18,20)+(IF(AND(ArtifactsInput!$M$42,((Inputs!$B$9+((C2565=TRUE)*(F2565-Calc!F19))+B2578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2555*(1-MIN(100,(Inputs!$B$9+((C2565=TRUE)*(F2565-Calc!F19))+B2578+(ArtifactsInput!$M$24-ArtifactsInput!$M$24)*CHOOSE(ArtifactsInput!$N$24+1,10,12,14,16,18,20)+(IF(AND(ArtifactsInput!$M$42,((Inputs!$B$9+((C2565=TRUE)*(F2565-Calc!F19))+B2578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2555*(MIN(100,(Inputs!$B$9+((C2565=TRUE)*(F2565-Calc!F19))+B2578+(ArtifactsInput!$M$24-ArtifactsInput!$M$24)*CHOOSE(ArtifactsInput!$N$24+1,10,12,14,16,18,20)+(IF(AND(ArtifactsInput!$M$42,((Inputs!$B$9+((C2565=TRUE)*(F2565-Calc!F19))+B2578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555">
        <f>IF(C2555,(H2555*N2555*IF(AND(Inputs!$B$38&lt;&gt;"pvp",Inputs!$B$43&gt;0),((Skills!G9*((R2555-1)*IF(Skills!H9&gt;0,Skills!I9/Skills!H9,1)+IF(Skills!H9&gt;0,MIN(Skills!I9,MAX(0,MAX(0,Inputs!$B$43-B2585)-((R2555-1)*IF(Inputs!$B$38="pvp",15,MAX(0.1,Skills!D9-IF(Skills!E9=TRUE,Inputs!$B$32,0))))))/Skills!H9,1)))/Inputs!$B$43),G2555*Q2555))*IF(Inputs!$B$38="pvp",1,(1+(Inputs!$B$21+Skills!Q9+(IF(ArtifactsInput!$M$33,CHOOSE(ArtifactsInput!$N$33+1,30,36,42,48,54,60),0))+(IF(AND(ArtifactsInput!$M$35,Inputs!$B$4&lt;&gt;"Chapter Hunt"),CHOOSE(ArtifactsInput!$N$35+1,15,18,21,24,27,30)*(1-EXP(-(0.2*B2580)*5)),0)+IF(AND(ArtifactsInput!$M$22,Inputs!$B$4&lt;&gt;"Chapter Hunt"),CHOOSE(ArtifactsInput!$N$22+1,10,12,14,16,18,20)*((0*(((0.15*B2580*5))^0/1)+1*(((0.15*B2580*5))^1/1)+2*(((0.15*B2580*5))^2/2)+3*(((0.15*B2580*5))^3/6)+4*(((0.15*B2580*5))^4/24)+5*(((0.15*B2580*5))^5/120))/((((0.15*B2580*5))^0/1)+(((0.15*B2580*5))^1/1)+(((0.15*B2580*5))^2/2)+(((0.15*B2580*5))^3/6)+(((0.15*B2580*5))^4/24)+(((0.15*B2580*5))^5/120)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556">
      <c r="A2556">
        <f>Skills!A10</f>
        <v/>
      </c>
      <c r="B2556">
        <f>Skills!B10</f>
        <v/>
      </c>
      <c r="C2556">
        <f>Inputs!$B$3&gt;=107</f>
        <v/>
      </c>
      <c r="D2556">
        <f>IF(Skills!C10=1,60+Inputs!$B$25+Inputs!$B$29,IF(Skills!C10=2,90+Inputs!$B$26+Inputs!$B$29,IF(Skills!C10=3,120+Inputs!$B$27+Inputs!$B$29,MAX(0,(Inputs!$B$3-100)*3)+Inputs!$B$28+Inputs!$B$29)))</f>
        <v/>
      </c>
      <c r="E2556">
        <f>INDEX(FactorTable!$B$2:$Y$301, MATCH(ROUND(MIN(300,MAX(1,D2556)),0), FactorTable!$A$2:$A$301,0), Skills!M10+1)</f>
        <v/>
      </c>
      <c r="F2556">
        <f>IF(Skills!N10=TRUE,(Skills!L10/10)*(E2556/1000),Skills!L10/10)+Skills!O10</f>
        <v/>
      </c>
      <c r="G2556">
        <f>Skills!G10*IF(Skills!H10&gt;0,Skills!I10/Skills!H10,1)</f>
        <v/>
      </c>
      <c r="H2556">
        <f>1-(1-Skills!J10/100)^Skills!K10</f>
        <v/>
      </c>
      <c r="I2556" t="inlineStr">
        <is>
          <t>1</t>
        </is>
      </c>
      <c r="J2556">
        <f>((Inputs!$B$6*(1+Inputs!$B$7/100))+(((Inputs!$B$12*(1+Inputs!$B$13/100))-(Inputs!$B$12*(1+Inputs!$B$13/100)))+0.25*(Inputs!$B$14-Inputs!$B$14))*(1+Inputs!$B$7/100))*(F2556/100)</f>
        <v/>
      </c>
      <c r="K2556">
        <f>J2556*(1+((Inputs!$B$12*(1+Inputs!$B$13/100))*0.01+Inputs!$B$14*0.0025)/100)*(1+Inputs!$B$15/100)*(1+Inputs!$B$16/100)*(5000/(6000+Inputs!$B$42*(1-(100*(1-(1-(Inputs!$B$19+0)/100)*(1-CHOOSE(ArtifactsInput!$N$40+1,5,6,7,8,9,10)/100)^(ArtifactsInput!$M$40-ArtifactsInput!$M$40)))/100)))*(1+(Inputs!$B$24+((C2570=TRUE)*(F2570-Calc!F24))+((C2571=TRUE)*(F2571-Calc!F25))+B2584)/100)*(1+(((1+IF(AND(IF(ArtifactsInput!$M$36,FALSE,TRUE),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EMPOWERED_PIERCING_ARROW",Inputs!$B$17+((C2568=TRUE)*(F2568-Calc!F22))+(((IF(AND(ArtifactsInput!$M$42,((Inputs!$B$9+((C2565=TRUE)*(F2565-Calc!F19))+B2578+(ArtifactsInput!$M$24-ArtifactsInput!$M$24)*CHOOSE(ArtifactsInput!$N$24+1,10,12,14,16,18,20)+IF(ArtifactsInput!$M$10,CHOOSE(ArtifactsInput!$N$10+1,15,18,21,24,27,30)*(IF(Inputs!$B$38="pvp",MIN(15,15)/15,IF(AND(Inputs!$B$38&lt;&gt;"pvp",Inputs!$B$43&gt;0),MIN(15,Inputs!$B$43)/(Inputs!$B$43),0))),0)))&gt;=100),MIN(100,((Inputs!$B$9+((C2565=TRUE)*(F2565-Calc!F19))+B2578+(ArtifactsInput!$M$24-ArtifactsInput!$M$24)*CHOOSE(ArtifactsInput!$N$24+1,10,12,14,16,18,20)+IF(ArtifactsInput!$M$10,CHOOSE(ArtifactsInput!$N$10+1,15,18,21,24,27,30)*(IF(Inputs!$B$38="pvp",MIN(15,15)/15,IF(AND(Inputs!$B$38&lt;&gt;"pvp",Inputs!$B$43&gt;0),MIN(15,Inputs!$B$43)/(Inputs!$B$43),0))),0)))-100),0))*CHOOSE(ArtifactsInput!$N$42+1,0.6,0.72,0.84,0.96,1.08,1.2))),Inputs!$B$18+((C2573=TRUE)*(F2573-Calc!F27))+(IF(AND(ArtifactsInput!$M$42,((Inputs!$B$9+((C2565=TRUE)*(F2565-Calc!F19))+B2578+(ArtifactsInput!$M$24-ArtifactsInput!$M$24)*CHOOSE(ArtifactsInput!$N$24+1,10,12,14,16,18,20)+IF(ArtifactsInput!$M$10,CHOOSE(ArtifactsInput!$N$10+1,15,18,21,24,27,30)*(IF(Inputs!$B$38="pvp",MIN(15,15)/15,IF(AND(Inputs!$B$38&lt;&gt;"pvp",Inputs!$B$43&gt;0),MIN(15,Inputs!$B$43)/(Inputs!$B$43),0))),0)))&gt;=100),CHOOSE(ArtifactsInput!$N$42+1,40,48,56,64,72,80),0))))/100)*((1+(((C2559=TRUE)*F2559)+((C2560=TRUE)*IF(Inputs!$B$38="pvp",F2560,(1-Summary!$B$11)*(F2560)+Summary!$B$11*(0)))+((C2561=TRUE)*F2561*IF(AND(Inputs!$B$38&lt;&gt;"pvp",Inputs!$B$43&gt;0),(((R2561-1)*(Skills!T15*(1+Inputs!$B$34/100))+MIN((Skills!T15*(1+Inputs!$B$34/100)),MAX(0,Inputs!$B$43-((R2561-1)*Skills!D15))))/Inputs!$B$43),IF(Inputs!$B$38="pvp",MIN((Skills!T15*(1+Inputs!$B$34/100)),15)/15,(Skills!T15*(1+Inputs!$B$34/100))/Skills!D15)))+((C2558=TRUE)*F2558)+((C2575=TRUE)*(F2575-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2556)</f>
        <v/>
      </c>
      <c r="L2556">
        <f>K2556*(MIN(Inputs!$B$22+((C2569=TRUE)*(F2569-Calc!F23)),(Inputs!$B$23+((C2574=TRUE)*(F2574-Calc!F28))+(IF(ArtifactsInput!$M$15,CHOOSE(ArtifactsInput!$N$15+1,25,30,35,40,45,50)/100*(Inputs!$B$11-Inputs!$B$11),0))))/100+(Inputs!$B$23+((C2574=TRUE)*(F2574-Calc!F28))+(IF(ArtifactsInput!$M$15,CHOOSE(ArtifactsInput!$N$15+1,25,30,35,40,45,50)/100*(Inputs!$B$11-Inputs!$B$11),0)))/100)/2</f>
        <v/>
      </c>
      <c r="M2556">
        <f>L2556*(1+(Inputs!$B$10+0+B2583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556">
        <f>L2556*(1-MIN((Inputs!$B$9+((C2565=TRUE)*(F2565-Calc!F19))+B2578+(ArtifactsInput!$M$24-ArtifactsInput!$M$24)*CHOOSE(ArtifactsInput!$N$24+1,10,12,14,16,18,20)+(IF(AND(ArtifactsInput!$M$42,((Inputs!$B$9+((C2565=TRUE)*(F2565-Calc!F19))+B2578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2556*(MIN((Inputs!$B$9+((C2565=TRUE)*(F2565-Calc!F19))+B2578+(ArtifactsInput!$M$24-ArtifactsInput!$M$24)*CHOOSE(ArtifactsInput!$N$24+1,10,12,14,16,18,20)+(IF(AND(ArtifactsInput!$M$42,((Inputs!$B$9+((C2565=TRUE)*(F2565-Calc!F19))+B2578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556">
        <f>(1-Summary!$B$11)*T2556+Summary!$B$11*V2556</f>
        <v/>
      </c>
      <c r="P2556">
        <f>IF(B2588=0,0,O2556/B2588)</f>
        <v/>
      </c>
      <c r="Q2556" t="n">
        <v>0</v>
      </c>
      <c r="R2556" t="n">
        <v>0</v>
      </c>
      <c r="S2556" t="n">
        <v>0</v>
      </c>
      <c r="T2556">
        <f>IF(C2556,(0.15*SUMPRODUCT((Skills!U2:U29=TRUE)*(C2548:C2575=TRUE)*S2548:S2575)*Skills!G10*N2556)*IF(Inputs!$B$38="pvp",1,1+(Inputs!$B$20+0+Skills!P10+(IF(AND(IF(ArtifactsInput!$M$36,FALSE,TRUE),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Hunt"),CHOOSE(ArtifactsInput!$N$35+1,15,18,21,24,27,30)*(1-EXP(-(0.2*B2580)*5)),0)+IF(AND(ArtifactsInput!$M$22,Inputs!$B$4&lt;&gt;"Chapter Hunt"),CHOOSE(ArtifactsInput!$N$22+1,10,12,14,16,18,20)*((0*(((0.15*B2580*5))^0/1)+1*(((0.15*B2580*5))^1/1)+2*(((0.15*B2580*5))^2/2)+3*(((0.15*B2580*5))^3/6)+4*(((0.15*B2580*5))^4/24)+5*(((0.15*B2580*5))^5/120))/((((0.15*B2580*5))^0/1)+(((0.15*B2580*5))^1/1)+(((0.15*B2580*5))^2/2)+(((0.15*B2580*5))^3/6)+(((0.15*B2580*5))^4/24)+(((0.15*B2580*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2556*(1-MIN(100,(Inputs!$B$9+((C2565=TRUE)*(F2565-Calc!F19))+B2578+(ArtifactsInput!$M$24-ArtifactsInput!$M$24)*CHOOSE(ArtifactsInput!$N$24+1,10,12,14,16,18,20)+(IF(AND(ArtifactsInput!$M$42,((Inputs!$B$9+((C2565=TRUE)*(F2565-Calc!F19))+B2578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2556*(MIN(100,(Inputs!$B$9+((C2565=TRUE)*(F2565-Calc!F19))+B2578+(ArtifactsInput!$M$24-ArtifactsInput!$M$24)*CHOOSE(ArtifactsInput!$N$24+1,10,12,14,16,18,20)+(IF(AND(ArtifactsInput!$M$42,((Inputs!$B$9+((C2565=TRUE)*(F2565-Calc!F19))+B2578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2556*(1-MIN(100,(Inputs!$B$9+((C2565=TRUE)*(F2565-Calc!F19))+B2578+(ArtifactsInput!$M$24-ArtifactsInput!$M$24)*CHOOSE(ArtifactsInput!$N$24+1,10,12,14,16,18,20)+(IF(AND(ArtifactsInput!$M$42,((Inputs!$B$9+((C2565=TRUE)*(F2565-Calc!F19))+B2578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2556*(MIN(100,(Inputs!$B$9+((C2565=TRUE)*(F2565-Calc!F19))+B2578+(ArtifactsInput!$M$24-ArtifactsInput!$M$24)*CHOOSE(ArtifactsInput!$N$24+1,10,12,14,16,18,20)+(IF(AND(ArtifactsInput!$M$42,((Inputs!$B$9+((C2565=TRUE)*(F2565-Calc!F19))+B2578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556">
        <f>IF(C2556,(0.15*SUMPRODUCT((Skills!U2:U29=TRUE)*(C2548:C2575=TRUE)*S2548:S2575)*Skills!G10*N2556)*IF(Inputs!$B$38="pvp",1,(1+(Inputs!$B$21+Skills!Q10+(IF(ArtifactsInput!$M$33,CHOOSE(ArtifactsInput!$N$33+1,30,36,42,48,54,60),0))+(IF(AND(ArtifactsInput!$M$35,Inputs!$B$4&lt;&gt;"Chapter Hunt"),CHOOSE(ArtifactsInput!$N$35+1,15,18,21,24,27,30)*(1-EXP(-(0.2*B2580)*5)),0)+IF(AND(ArtifactsInput!$M$22,Inputs!$B$4&lt;&gt;"Chapter Hunt"),CHOOSE(ArtifactsInput!$N$22+1,10,12,14,16,18,20)*((0*(((0.15*B2580*5))^0/1)+1*(((0.15*B2580*5))^1/1)+2*(((0.15*B2580*5))^2/2)+3*(((0.15*B2580*5))^3/6)+4*(((0.15*B2580*5))^4/24)+5*(((0.15*B2580*5))^5/120))/((((0.15*B2580*5))^0/1)+(((0.15*B2580*5))^1/1)+(((0.15*B2580*5))^2/2)+(((0.15*B2580*5))^3/6)+(((0.15*B2580*5))^4/24)+(((0.15*B2580*5))^5/120)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557">
      <c r="A2557">
        <f>Skills!A11</f>
        <v/>
      </c>
      <c r="B2557">
        <f>Skills!B11</f>
        <v/>
      </c>
      <c r="C2557">
        <f>Inputs!$B$3&gt;=110</f>
        <v/>
      </c>
      <c r="D2557">
        <f>IF(Skills!C11=1,60+Inputs!$B$25+Inputs!$B$29,IF(Skills!C11=2,90+Inputs!$B$26+Inputs!$B$29,IF(Skills!C11=3,120+Inputs!$B$27+Inputs!$B$29,MAX(0,(Inputs!$B$3-100)*3)+Inputs!$B$28+Inputs!$B$29)))</f>
        <v/>
      </c>
      <c r="E2557">
        <f>INDEX(FactorTable!$B$2:$Y$301, MATCH(ROUND(MIN(300,MAX(1,D2557)),0), FactorTable!$A$2:$A$301,0), Skills!M11+1)</f>
        <v/>
      </c>
      <c r="F2557">
        <f>IF(Skills!N11=TRUE,(Skills!L11/10)*(E2557/1000),Skills!L11/10)+Skills!O11</f>
        <v/>
      </c>
      <c r="G2557">
        <f>Skills!G11*IF(Skills!H11&gt;0,Skills!I11/Skills!H11,1)</f>
        <v/>
      </c>
      <c r="H2557">
        <f>1-(1-Skills!J11/100)^Skills!K11</f>
        <v/>
      </c>
      <c r="I2557" t="inlineStr">
        <is>
          <t>1</t>
        </is>
      </c>
      <c r="J2557">
        <f>((Inputs!$B$6*(1+Inputs!$B$7/100))+(((Inputs!$B$12*(1+Inputs!$B$13/100))-(Inputs!$B$12*(1+Inputs!$B$13/100)))+0.25*(Inputs!$B$14-Inputs!$B$14))*(1+Inputs!$B$7/100))*(F2557/100)</f>
        <v/>
      </c>
      <c r="K2557">
        <f>J2557*(1+((Inputs!$B$12*(1+Inputs!$B$13/100))*0.01+Inputs!$B$14*0.0025)/100)*(1+Inputs!$B$15/100)*(1+Inputs!$B$16/100)*(5000/(6000+Inputs!$B$42*(1-(100*(1-(1-(Inputs!$B$19+0)/100)*(1-CHOOSE(ArtifactsInput!$N$40+1,5,6,7,8,9,10)/100)^(ArtifactsInput!$M$40-ArtifactsInput!$M$40)))/100)))*(1+(Inputs!$B$24+((C2570=TRUE)*(F2570-Calc!F24))+((C2571=TRUE)*(F2571-Calc!F25))+B2584)/100)*(1+(((1+IF(AND(IF(ArtifactsInput!$M$36,FALSE,TRUE),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11="EMPOWERED_PIERCING_ARROW",Inputs!$B$17+((C2568=TRUE)*(F2568-Calc!F22))+(((IF(AND(ArtifactsInput!$M$42,((Inputs!$B$9+((C2565=TRUE)*(F2565-Calc!F19))+B2578+(ArtifactsInput!$M$24-ArtifactsInput!$M$24)*CHOOSE(ArtifactsInput!$N$24+1,10,12,14,16,18,20)+IF(ArtifactsInput!$M$10,CHOOSE(ArtifactsInput!$N$10+1,15,18,21,24,27,30)*(IF(Inputs!$B$38="pvp",MIN(15,15)/15,IF(AND(Inputs!$B$38&lt;&gt;"pvp",Inputs!$B$43&gt;0),MIN(15,Inputs!$B$43)/(Inputs!$B$43),0))),0)))&gt;=100),MIN(100,((Inputs!$B$9+((C2565=TRUE)*(F2565-Calc!F19))+B2578+(ArtifactsInput!$M$24-ArtifactsInput!$M$24)*CHOOSE(ArtifactsInput!$N$24+1,10,12,14,16,18,20)+IF(ArtifactsInput!$M$10,CHOOSE(ArtifactsInput!$N$10+1,15,18,21,24,27,30)*(IF(Inputs!$B$38="pvp",MIN(15,15)/15,IF(AND(Inputs!$B$38&lt;&gt;"pvp",Inputs!$B$43&gt;0),MIN(15,Inputs!$B$43)/(Inputs!$B$43),0))),0)))-100),0))*CHOOSE(ArtifactsInput!$N$42+1,0.6,0.72,0.84,0.96,1.08,1.2))),Inputs!$B$18+((C2573=TRUE)*(F2573-Calc!F27))+(IF(AND(ArtifactsInput!$M$42,((Inputs!$B$9+((C2565=TRUE)*(F2565-Calc!F19))+B2578+(ArtifactsInput!$M$24-ArtifactsInput!$M$24)*CHOOSE(ArtifactsInput!$N$24+1,10,12,14,16,18,20)+IF(ArtifactsInput!$M$10,CHOOSE(ArtifactsInput!$N$10+1,15,18,21,24,27,30)*(IF(Inputs!$B$38="pvp",MIN(15,15)/15,IF(AND(Inputs!$B$38&lt;&gt;"pvp",Inputs!$B$43&gt;0),MIN(15,Inputs!$B$43)/(Inputs!$B$43),0))),0)))&gt;=100),CHOOSE(ArtifactsInput!$N$42+1,40,48,56,64,72,80),0))))/100)*((1+(((C2559=TRUE)*F2559)+((C2560=TRUE)*IF(Inputs!$B$38="pvp",F2560,(1-Summary!$B$11)*(F2560)+Summary!$B$11*(0)))+((C2561=TRUE)*F2561*IF(AND(Inputs!$B$38&lt;&gt;"pvp",Inputs!$B$43&gt;0),(((R2561-1)*(Skills!T15*(1+Inputs!$B$34/100))+MIN((Skills!T15*(1+Inputs!$B$34/100)),MAX(0,Inputs!$B$43-((R2561-1)*Skills!D15))))/Inputs!$B$43),IF(Inputs!$B$38="pvp",MIN((Skills!T15*(1+Inputs!$B$34/100)),15)/15,(Skills!T15*(1+Inputs!$B$34/100))/Skills!D15)))+((C2558=TRUE)*F2558)+((C2575=TRUE)*(F2575-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2557)</f>
        <v/>
      </c>
      <c r="L2557">
        <f>K2557*(MIN(Inputs!$B$22+((C2569=TRUE)*(F2569-Calc!F23)),(Inputs!$B$23+((C2574=TRUE)*(F2574-Calc!F28))+(IF(ArtifactsInput!$M$15,CHOOSE(ArtifactsInput!$N$15+1,25,30,35,40,45,50)/100*(Inputs!$B$11-Inputs!$B$11),0))))/100+(Inputs!$B$23+((C2574=TRUE)*(F2574-Calc!F28))+(IF(ArtifactsInput!$M$15,CHOOSE(ArtifactsInput!$N$15+1,25,30,35,40,45,50)/100*(Inputs!$B$11-Inputs!$B$11),0)))/100)/2</f>
        <v/>
      </c>
      <c r="M2557">
        <f>L2557*(1+(Inputs!$B$10+0+B2583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557">
        <f>L2557*(1-MIN((Inputs!$B$9+((C2565=TRUE)*(F2565-Calc!F19))+B2578+(ArtifactsInput!$M$24-ArtifactsInput!$M$24)*CHOOSE(ArtifactsInput!$N$24+1,10,12,14,16,18,20)+(IF(AND(ArtifactsInput!$M$42,((Inputs!$B$9+((C2565=TRUE)*(F2565-Calc!F19))+B2578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2557*(MIN((Inputs!$B$9+((C2565=TRUE)*(F2565-Calc!F19))+B2578+(ArtifactsInput!$M$24-ArtifactsInput!$M$24)*CHOOSE(ArtifactsInput!$N$24+1,10,12,14,16,18,20)+(IF(AND(ArtifactsInput!$M$42,((Inputs!$B$9+((C2565=TRUE)*(F2565-Calc!F19))+B2578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557">
        <f>(1-Summary!$B$11)*T2557+Summary!$B$11*V2557</f>
        <v/>
      </c>
      <c r="P2557">
        <f>IF(B2588=0,0,O2557/B2588)</f>
        <v/>
      </c>
      <c r="Q2557">
        <f>IFERROR(1/IF(Inputs!$B$38="pvp",15,MAX(0.1,Skills!D11-IF(Skills!E11=TRUE,Inputs!$B$32,0))),0)</f>
        <v/>
      </c>
      <c r="R2557">
        <f>IF(AND(Inputs!$B$38&lt;&gt;"pvp",Inputs!$B$43&gt;0),IF(MAX(0,Inputs!$B$43-B2585)&lt;=0,0,(INT(MAX(0,Inputs!$B$43-B2585)/IF(Inputs!$B$38="pvp",15,MAX(0.1,Skills!D11-IF(Skills!E11=TRUE,Inputs!$B$32,0))))+1)),0)</f>
        <v/>
      </c>
      <c r="S2557">
        <f>IFERROR((H2557*N2557*IF(AND(Inputs!$B$38&lt;&gt;"pvp",Inputs!$B$43&gt;0),((Skills!G11*((R2557-1)*IF(Skills!H11&gt;0,Skills!I11/Skills!H11,1)+IF(Skills!H11&gt;0,MIN(Skills!I11,MAX(0,MAX(0,Inputs!$B$43-B2585)-((R2557-1)*IF(Inputs!$B$38="pvp",15,MAX(0.1,Skills!D11-IF(Skills!E11=TRUE,Inputs!$B$32,0))))))/Skills!H11,1)))/Inputs!$B$43),G2557*Q2557))/N2557*IF(Inputs!$B$38="pvp",1,(1-Summary!$B$11)*1+Summary!$B$11*(MIN(Skills!R11,Inputs!$B$37))),0)</f>
        <v/>
      </c>
      <c r="T2557">
        <f>IF(C2557,(H2557*N2557*IF(AND(Inputs!$B$38&lt;&gt;"pvp",Inputs!$B$43&gt;0),((Skills!G11*((R2557-1)*IF(Skills!H11&gt;0,Skills!I11/Skills!H11,1)+IF(Skills!H11&gt;0,MIN(Skills!I11,MAX(0,MAX(0,Inputs!$B$43-B2585)-((R2557-1)*IF(Inputs!$B$38="pvp",15,MAX(0.1,Skills!D11-IF(Skills!E11=TRUE,Inputs!$B$32,0))))))/Skills!H11,1)))/Inputs!$B$43),G2557*Q2557))*IF(Inputs!$B$38="pvp",1,1+(Inputs!$B$20+0+Skills!P11+(IF(AND(IF(ArtifactsInput!$M$36,FALSE,TRUE),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Hunt"),CHOOSE(ArtifactsInput!$N$35+1,15,18,21,24,27,30)*(1-EXP(-(0.2*B2580)*5)),0)+IF(AND(ArtifactsInput!$M$22,Inputs!$B$4&lt;&gt;"Chapter Hunt"),CHOOSE(ArtifactsInput!$N$22+1,10,12,14,16,18,20)*((0*(((0.15*B2580*5))^0/1)+1*(((0.15*B2580*5))^1/1)+2*(((0.15*B2580*5))^2/2)+3*(((0.15*B2580*5))^3/6)+4*(((0.15*B2580*5))^4/24)+5*(((0.15*B2580*5))^5/120))/((((0.15*B2580*5))^0/1)+(((0.15*B2580*5))^1/1)+(((0.15*B2580*5))^2/2)+(((0.15*B2580*5))^3/6)+(((0.15*B2580*5))^4/24)+(((0.15*B2580*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2557*(1-MIN(100,(Inputs!$B$9+((C2565=TRUE)*(F2565-Calc!F19))+B2578+(ArtifactsInput!$M$24-ArtifactsInput!$M$24)*CHOOSE(ArtifactsInput!$N$24+1,10,12,14,16,18,20)+(IF(AND(ArtifactsInput!$M$42,((Inputs!$B$9+((C2565=TRUE)*(F2565-Calc!F19))+B2578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2557*(MIN(100,(Inputs!$B$9+((C2565=TRUE)*(F2565-Calc!F19))+B2578+(ArtifactsInput!$M$24-ArtifactsInput!$M$24)*CHOOSE(ArtifactsInput!$N$24+1,10,12,14,16,18,20)+(IF(AND(ArtifactsInput!$M$42,((Inputs!$B$9+((C2565=TRUE)*(F2565-Calc!F19))+B2578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2557*(1-MIN(100,(Inputs!$B$9+((C2565=TRUE)*(F2565-Calc!F19))+B2578+(ArtifactsInput!$M$24-ArtifactsInput!$M$24)*CHOOSE(ArtifactsInput!$N$24+1,10,12,14,16,18,20)+(IF(AND(ArtifactsInput!$M$42,((Inputs!$B$9+((C2565=TRUE)*(F2565-Calc!F19))+B2578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2557*(MIN(100,(Inputs!$B$9+((C2565=TRUE)*(F2565-Calc!F19))+B2578+(ArtifactsInput!$M$24-ArtifactsInput!$M$24)*CHOOSE(ArtifactsInput!$N$24+1,10,12,14,16,18,20)+(IF(AND(ArtifactsInput!$M$42,((Inputs!$B$9+((C2565=TRUE)*(F2565-Calc!F19))+B2578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557">
        <f>IF(C2557,(H2557*N2557*IF(AND(Inputs!$B$38&lt;&gt;"pvp",Inputs!$B$43&gt;0),((Skills!G11*((R2557-1)*IF(Skills!H11&gt;0,Skills!I11/Skills!H11,1)+IF(Skills!H11&gt;0,MIN(Skills!I11,MAX(0,MAX(0,Inputs!$B$43-B2585)-((R2557-1)*IF(Inputs!$B$38="pvp",15,MAX(0.1,Skills!D11-IF(Skills!E11=TRUE,Inputs!$B$32,0))))))/Skills!H11,1)))/Inputs!$B$43),G2557*Q2557))*IF(Inputs!$B$38="pvp",1,(1+(Inputs!$B$21+Skills!Q11+(IF(ArtifactsInput!$M$33,CHOOSE(ArtifactsInput!$N$33+1,30,36,42,48,54,60),0))+(IF(AND(ArtifactsInput!$M$35,Inputs!$B$4&lt;&gt;"Chapter Hunt"),CHOOSE(ArtifactsInput!$N$35+1,15,18,21,24,27,30)*(1-EXP(-(0.2*B2580)*5)),0)+IF(AND(ArtifactsInput!$M$22,Inputs!$B$4&lt;&gt;"Chapter Hunt"),CHOOSE(ArtifactsInput!$N$22+1,10,12,14,16,18,20)*((0*(((0.15*B2580*5))^0/1)+1*(((0.15*B2580*5))^1/1)+2*(((0.15*B2580*5))^2/2)+3*(((0.15*B2580*5))^3/6)+4*(((0.15*B2580*5))^4/24)+5*(((0.15*B2580*5))^5/120))/((((0.15*B2580*5))^0/1)+(((0.15*B2580*5))^1/1)+(((0.15*B2580*5))^2/2)+(((0.15*B2580*5))^3/6)+(((0.15*B2580*5))^4/24)+(((0.15*B2580*5))^5/120))),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558">
      <c r="A2558">
        <f>Skills!A12</f>
        <v/>
      </c>
      <c r="B2558">
        <f>Skills!B12</f>
        <v/>
      </c>
      <c r="C2558">
        <f>Inputs!$B$3&gt;=60</f>
        <v/>
      </c>
      <c r="D2558">
        <f>IF(Skills!C12=1,60+Inputs!$B$25+Inputs!$B$29,IF(Skills!C12=2,90+Inputs!$B$26+Inputs!$B$29,IF(Skills!C12=3,120+Inputs!$B$27+Inputs!$B$29,MAX(0,(Inputs!$B$3-100)*3)+Inputs!$B$28+Inputs!$B$29)))</f>
        <v/>
      </c>
      <c r="E2558">
        <f>INDEX(FactorTable!$B$2:$Y$301, MATCH(ROUND(MIN(300,MAX(1,D2558)),0), FactorTable!$A$2:$A$301,0), Skills!M12+1)</f>
        <v/>
      </c>
      <c r="F2558">
        <f>IF(Skills!N12=TRUE,(Skills!L12/10)*(E2558/1000),Skills!L12/10)+Skills!O12</f>
        <v/>
      </c>
      <c r="G2558">
        <f>Skills!G12*IF(Skills!H12&gt;0,Skills!I12/Skills!H12,1)</f>
        <v/>
      </c>
      <c r="H2558">
        <f>1-(1-Skills!J12/100)^Skills!K12</f>
        <v/>
      </c>
      <c r="I2558" t="inlineStr">
        <is>
          <t>1</t>
        </is>
      </c>
      <c r="J2558" t="inlineStr"/>
      <c r="K2558" t="inlineStr"/>
      <c r="L2558" t="inlineStr"/>
      <c r="M2558" t="inlineStr"/>
      <c r="N2558" t="inlineStr"/>
      <c r="O2558">
        <f>(1-Summary!$B$11)*T2558+Summary!$B$11*V2558</f>
        <v/>
      </c>
      <c r="P2558">
        <f>IF(B2588=0,0,O2558/B2588)</f>
        <v/>
      </c>
      <c r="Q2558" t="n">
        <v>0</v>
      </c>
      <c r="R2558" t="n">
        <v>0</v>
      </c>
      <c r="S2558" t="n">
        <v>0</v>
      </c>
      <c r="T2558" t="n">
        <v>0</v>
      </c>
      <c r="V2558" t="n">
        <v>0</v>
      </c>
    </row>
    <row r="2559">
      <c r="A2559">
        <f>Skills!A13</f>
        <v/>
      </c>
      <c r="B2559">
        <f>Skills!B13</f>
        <v/>
      </c>
      <c r="C2559">
        <f>Inputs!$B$3&gt;=74</f>
        <v/>
      </c>
      <c r="D2559">
        <f>IF(Skills!C13=1,60+Inputs!$B$25+Inputs!$B$29,IF(Skills!C13=2,90+Inputs!$B$26+Inputs!$B$29,IF(Skills!C13=3,120+Inputs!$B$27+Inputs!$B$29,MAX(0,(Inputs!$B$3-100)*3)+Inputs!$B$28+Inputs!$B$29)))</f>
        <v/>
      </c>
      <c r="E2559">
        <f>INDEX(FactorTable!$B$2:$Y$301, MATCH(ROUND(MIN(300,MAX(1,D2559)),0), FactorTable!$A$2:$A$301,0), Skills!M13+1)</f>
        <v/>
      </c>
      <c r="F2559">
        <f>IF(Skills!N13=TRUE,(Skills!L13/10)*(E2559/1000),Skills!L13/10)+Skills!O13</f>
        <v/>
      </c>
      <c r="G2559">
        <f>Skills!G13*IF(Skills!H13&gt;0,Skills!I13/Skills!H13,1)</f>
        <v/>
      </c>
      <c r="H2559">
        <f>1-(1-Skills!J13/100)^Skills!K13</f>
        <v/>
      </c>
      <c r="I2559" t="inlineStr">
        <is>
          <t>1</t>
        </is>
      </c>
      <c r="J2559" t="inlineStr"/>
      <c r="K2559" t="inlineStr"/>
      <c r="L2559" t="inlineStr"/>
      <c r="M2559" t="inlineStr"/>
      <c r="N2559" t="inlineStr"/>
      <c r="O2559">
        <f>(1-Summary!$B$11)*T2559+Summary!$B$11*V2559</f>
        <v/>
      </c>
      <c r="P2559">
        <f>IF(B2588=0,0,O2559/B2588)</f>
        <v/>
      </c>
      <c r="Q2559" t="n">
        <v>0</v>
      </c>
      <c r="R2559" t="n">
        <v>0</v>
      </c>
      <c r="S2559" t="n">
        <v>0</v>
      </c>
      <c r="T2559" t="n">
        <v>0</v>
      </c>
      <c r="V2559" t="n">
        <v>0</v>
      </c>
    </row>
    <row r="2560">
      <c r="A2560">
        <f>Skills!A14</f>
        <v/>
      </c>
      <c r="B2560">
        <f>Skills!B14</f>
        <v/>
      </c>
      <c r="C2560">
        <f>Inputs!$B$3&gt;=74</f>
        <v/>
      </c>
      <c r="D2560">
        <f>IF(Skills!C14=1,60+Inputs!$B$25+Inputs!$B$29,IF(Skills!C14=2,90+Inputs!$B$26+Inputs!$B$29,IF(Skills!C14=3,120+Inputs!$B$27+Inputs!$B$29,MAX(0,(Inputs!$B$3-100)*3)+Inputs!$B$28+Inputs!$B$29)))</f>
        <v/>
      </c>
      <c r="E2560">
        <f>INDEX(FactorTable!$B$2:$Y$301, MATCH(ROUND(MIN(300,MAX(1,D2560)),0), FactorTable!$A$2:$A$301,0), Skills!M14+1)</f>
        <v/>
      </c>
      <c r="F2560">
        <f>IF(Skills!N14=TRUE,(Skills!L14/10)*(E2560/1000),Skills!L14/10)+Skills!O14</f>
        <v/>
      </c>
      <c r="G2560">
        <f>Skills!G14*IF(Skills!H14&gt;0,Skills!I14/Skills!H14,1)</f>
        <v/>
      </c>
      <c r="H2560">
        <f>1-(1-Skills!J14/100)^Skills!K14</f>
        <v/>
      </c>
      <c r="I2560" t="inlineStr">
        <is>
          <t>1</t>
        </is>
      </c>
      <c r="J2560" t="inlineStr"/>
      <c r="K2560" t="inlineStr"/>
      <c r="L2560" t="inlineStr"/>
      <c r="M2560" t="inlineStr"/>
      <c r="N2560" t="inlineStr"/>
      <c r="O2560">
        <f>(1-Summary!$B$11)*T2560+Summary!$B$11*V2560</f>
        <v/>
      </c>
      <c r="P2560">
        <f>IF(B2588=0,0,O2560/B2588)</f>
        <v/>
      </c>
      <c r="Q2560" t="n">
        <v>0</v>
      </c>
      <c r="R2560" t="n">
        <v>0</v>
      </c>
      <c r="S2560" t="n">
        <v>0</v>
      </c>
      <c r="T2560" t="n">
        <v>0</v>
      </c>
      <c r="V2560" t="n">
        <v>0</v>
      </c>
    </row>
    <row r="2561">
      <c r="A2561">
        <f>Skills!A15</f>
        <v/>
      </c>
      <c r="B2561">
        <f>Skills!B15</f>
        <v/>
      </c>
      <c r="C2561">
        <f>Inputs!$B$3&gt;=117</f>
        <v/>
      </c>
      <c r="D2561">
        <f>IF(Skills!C15=1,60+Inputs!$B$25+Inputs!$B$29,IF(Skills!C15=2,90+Inputs!$B$26+Inputs!$B$29,IF(Skills!C15=3,120+Inputs!$B$27+Inputs!$B$29,MAX(0,(Inputs!$B$3-100)*3)+Inputs!$B$28+Inputs!$B$29)))</f>
        <v/>
      </c>
      <c r="E2561">
        <f>INDEX(FactorTable!$B$2:$Y$301, MATCH(ROUND(MIN(300,MAX(1,D2561)),0), FactorTable!$A$2:$A$301,0), Skills!M15+1)</f>
        <v/>
      </c>
      <c r="F2561">
        <f>IF(Skills!N15=TRUE,(Skills!L15/10)*(E2561/1000),Skills!L15/10)+Skills!O15</f>
        <v/>
      </c>
      <c r="G2561">
        <f>Skills!G15*IF(Skills!H15&gt;0,Skills!I15/Skills!H15,1)</f>
        <v/>
      </c>
      <c r="H2561">
        <f>1-(1-Skills!J15/100)^Skills!K15</f>
        <v/>
      </c>
      <c r="I2561" t="inlineStr">
        <is>
          <t>1</t>
        </is>
      </c>
      <c r="J2561" t="inlineStr"/>
      <c r="K2561" t="inlineStr"/>
      <c r="L2561" t="inlineStr"/>
      <c r="M2561" t="inlineStr"/>
      <c r="N2561" t="inlineStr"/>
      <c r="O2561">
        <f>(1-Summary!$B$11)*T2561+Summary!$B$11*V2561</f>
        <v/>
      </c>
      <c r="P2561">
        <f>IF(B2588=0,0,O2561/B2588)</f>
        <v/>
      </c>
      <c r="Q2561">
        <f>IFERROR(1/IF(Inputs!$B$38="pvp",15,MAX(0.1,Skills!D15-IF(Skills!E15=TRUE,Inputs!$B$32,0))),0)</f>
        <v/>
      </c>
      <c r="R2561">
        <f>IF(AND(Inputs!$B$38&lt;&gt;"pvp",Inputs!$B$43&gt;0),IF(Inputs!$B$43&lt;=0,0,(INT(Inputs!$B$43/IF(Inputs!$B$38="pvp",15,MAX(0.1,Skills!D15-IF(Skills!E15=TRUE,Inputs!$B$32,0))))+1)),0)</f>
        <v/>
      </c>
      <c r="S2561" t="n">
        <v>0</v>
      </c>
      <c r="T2561" t="n">
        <v>0</v>
      </c>
      <c r="V2561" t="n">
        <v>0</v>
      </c>
    </row>
    <row r="2562">
      <c r="A2562">
        <f>Skills!A16</f>
        <v/>
      </c>
      <c r="B2562">
        <f>Skills!B16</f>
        <v/>
      </c>
      <c r="C2562">
        <f>Inputs!$B$3&gt;=115</f>
        <v/>
      </c>
      <c r="D2562">
        <f>IF(Skills!C16=1,60+Inputs!$B$25+Inputs!$B$29,IF(Skills!C16=2,90+Inputs!$B$26+Inputs!$B$29,IF(Skills!C16=3,120+Inputs!$B$27+Inputs!$B$29,MAX(0,(Inputs!$B$3-100)*3)+Inputs!$B$28+Inputs!$B$29)))</f>
        <v/>
      </c>
      <c r="E2562">
        <f>INDEX(FactorTable!$B$2:$Y$301, MATCH(ROUND(MIN(300,MAX(1,D2562)),0), FactorTable!$A$2:$A$301,0), Skills!M16+1)</f>
        <v/>
      </c>
      <c r="F2562">
        <f>IF(Skills!N16=TRUE,(Skills!L16/10)*(E2562/1000),Skills!L16/10)+Skills!O16</f>
        <v/>
      </c>
      <c r="G2562">
        <f>Skills!G16*IF(Skills!H16&gt;0,Skills!I16/Skills!H16,1)</f>
        <v/>
      </c>
      <c r="H2562">
        <f>1-(1-Skills!J16/100)^Skills!K16</f>
        <v/>
      </c>
      <c r="I2562" t="inlineStr">
        <is>
          <t>1</t>
        </is>
      </c>
      <c r="J2562" t="inlineStr"/>
      <c r="K2562" t="inlineStr"/>
      <c r="L2562" t="inlineStr"/>
      <c r="M2562" t="inlineStr"/>
      <c r="N2562" t="inlineStr"/>
      <c r="O2562">
        <f>(1-Summary!$B$11)*T2562+Summary!$B$11*V2562</f>
        <v/>
      </c>
      <c r="P2562">
        <f>IF(B2588=0,0,O2562/B2588)</f>
        <v/>
      </c>
      <c r="Q2562">
        <f>IFERROR(1/IF(Inputs!$B$38="pvp",15,MAX(0.1,Skills!D16-IF(Skills!E16=TRUE,Inputs!$B$32,0))),0)</f>
        <v/>
      </c>
      <c r="R2562">
        <f>IF(AND(Inputs!$B$38&lt;&gt;"pvp",Inputs!$B$43&gt;0),IF(Inputs!$B$43&lt;=0,0,(INT(Inputs!$B$43/IF(Inputs!$B$38="pvp",15,MAX(0.1,Skills!D16-IF(Skills!E16=TRUE,Inputs!$B$32,0))))+1)),0)</f>
        <v/>
      </c>
      <c r="S2562" t="n">
        <v>0</v>
      </c>
      <c r="T2562" t="n">
        <v>0</v>
      </c>
      <c r="V2562" t="n">
        <v>0</v>
      </c>
    </row>
    <row r="2563">
      <c r="A2563">
        <f>Skills!A17</f>
        <v/>
      </c>
      <c r="B2563">
        <f>Skills!B17</f>
        <v/>
      </c>
      <c r="C2563">
        <f>Inputs!$B$3&gt;=72</f>
        <v/>
      </c>
      <c r="D2563">
        <f>IF(Skills!C17=1,60+Inputs!$B$25+Inputs!$B$29,IF(Skills!C17=2,90+Inputs!$B$26+Inputs!$B$29,IF(Skills!C17=3,120+Inputs!$B$27+Inputs!$B$29,MAX(0,(Inputs!$B$3-100)*3)+Inputs!$B$28+Inputs!$B$29)))</f>
        <v/>
      </c>
      <c r="E2563">
        <f>INDEX(FactorTable!$B$2:$Y$301, MATCH(ROUND(MIN(300,MAX(1,D2563)),0), FactorTable!$A$2:$A$301,0), Skills!M17+1)</f>
        <v/>
      </c>
      <c r="F2563">
        <f>IF(Skills!N17=TRUE,(Skills!L17/10)*(E2563/1000),Skills!L17/10)+Skills!O17</f>
        <v/>
      </c>
      <c r="G2563">
        <f>Skills!G17*IF(Skills!H17&gt;0,Skills!I17/Skills!H17,1)</f>
        <v/>
      </c>
      <c r="H2563">
        <f>1-(1-Skills!J17/100)^Skills!K17</f>
        <v/>
      </c>
      <c r="I2563" t="inlineStr">
        <is>
          <t>1</t>
        </is>
      </c>
      <c r="J2563" t="inlineStr"/>
      <c r="K2563" t="inlineStr"/>
      <c r="L2563" t="inlineStr"/>
      <c r="M2563" t="inlineStr"/>
      <c r="N2563" t="inlineStr"/>
      <c r="O2563">
        <f>(1-Summary!$B$11)*T2563+Summary!$B$11*V2563</f>
        <v/>
      </c>
      <c r="P2563">
        <f>IF(B2588=0,0,O2563/B2588)</f>
        <v/>
      </c>
      <c r="Q2563" t="n">
        <v>0</v>
      </c>
      <c r="R2563" t="n">
        <v>0</v>
      </c>
      <c r="S2563" t="n">
        <v>0</v>
      </c>
      <c r="T2563" t="n">
        <v>0</v>
      </c>
      <c r="V2563" t="n">
        <v>0</v>
      </c>
    </row>
    <row r="2564">
      <c r="A2564">
        <f>Skills!A18</f>
        <v/>
      </c>
      <c r="B2564">
        <f>Skills!B18</f>
        <v/>
      </c>
      <c r="C2564">
        <f>TRUE</f>
        <v/>
      </c>
      <c r="D2564">
        <f>IF(Skills!C18=1,60+Inputs!$B$25+Inputs!$B$29,IF(Skills!C18=2,90+Inputs!$B$26+Inputs!$B$29,IF(Skills!C18=3,120+Inputs!$B$27+Inputs!$B$29,MAX(0,(Inputs!$B$3-100)*3)+Inputs!$B$28+Inputs!$B$29)))</f>
        <v/>
      </c>
      <c r="E2564">
        <f>INDEX(FactorTable!$B$2:$Y$301, MATCH(ROUND(MIN(300,MAX(1,D2564)),0), FactorTable!$A$2:$A$301,0), Skills!M18+1)</f>
        <v/>
      </c>
      <c r="F2564">
        <f>IF(Skills!N18=TRUE,(Skills!L18/10)*(E2564/1000),Skills!L18/10)+Skills!O18</f>
        <v/>
      </c>
      <c r="G2564">
        <f>Skills!G18*IF(Skills!H18&gt;0,Skills!I18/Skills!H18,1)</f>
        <v/>
      </c>
      <c r="H2564">
        <f>1-(1-Skills!J18/100)^Skills!K18</f>
        <v/>
      </c>
      <c r="I2564" t="inlineStr">
        <is>
          <t>1</t>
        </is>
      </c>
      <c r="J2564" t="inlineStr"/>
      <c r="K2564" t="inlineStr"/>
      <c r="L2564" t="inlineStr"/>
      <c r="M2564" t="inlineStr"/>
      <c r="N2564" t="inlineStr"/>
      <c r="O2564">
        <f>(1-Summary!$B$11)*T2564+Summary!$B$11*V2564</f>
        <v/>
      </c>
      <c r="P2564">
        <f>IF(B2588=0,0,O2564/B2588)</f>
        <v/>
      </c>
      <c r="Q2564">
        <f>IFERROR(1/IF(Inputs!$B$38="pvp",15,MAX(0.1,Skills!D18-IF(Skills!E18=TRUE,Inputs!$B$32,0))),0)</f>
        <v/>
      </c>
      <c r="R2564">
        <f>IF(AND(Inputs!$B$38&lt;&gt;"pvp",Inputs!$B$43&gt;0),IF(Inputs!$B$43&lt;=0,0,(INT(Inputs!$B$43/IF(Inputs!$B$38="pvp",15,MAX(0.1,Skills!D18-IF(Skills!E18=TRUE,Inputs!$B$32,0))))+1)),0)</f>
        <v/>
      </c>
      <c r="S2564" t="n">
        <v>0</v>
      </c>
      <c r="T2564" t="n">
        <v>0</v>
      </c>
      <c r="V2564" t="n">
        <v>0</v>
      </c>
    </row>
    <row r="2565">
      <c r="A2565">
        <f>Skills!A19</f>
        <v/>
      </c>
      <c r="B2565">
        <f>Skills!B19</f>
        <v/>
      </c>
      <c r="C2565">
        <f>Inputs!$B$3&gt;=15</f>
        <v/>
      </c>
      <c r="D2565">
        <f>IF(Skills!C19=1,60+Inputs!$B$25+Inputs!$B$29,IF(Skills!C19=2,90+Inputs!$B$26+Inputs!$B$29,IF(Skills!C19=3,120+Inputs!$B$27+Inputs!$B$29,MAX(0,(Inputs!$B$3-100)*3)+Inputs!$B$28+Inputs!$B$29)))</f>
        <v/>
      </c>
      <c r="E2565">
        <f>INDEX(FactorTable!$B$2:$Y$301, MATCH(ROUND(MIN(300,MAX(1,D2565)),0), FactorTable!$A$2:$A$301,0), Skills!M19+1)</f>
        <v/>
      </c>
      <c r="F2565">
        <f>IF(Skills!N19=TRUE,(Skills!L19/10)*(E2565/1000),Skills!L19/10)+Skills!O19</f>
        <v/>
      </c>
      <c r="G2565">
        <f>Skills!G19*IF(Skills!H19&gt;0,Skills!I19/Skills!H19,1)</f>
        <v/>
      </c>
      <c r="H2565">
        <f>1-(1-Skills!J19/100)^Skills!K19</f>
        <v/>
      </c>
      <c r="I2565" t="inlineStr">
        <is>
          <t>1</t>
        </is>
      </c>
      <c r="J2565" t="inlineStr"/>
      <c r="K2565" t="inlineStr"/>
      <c r="L2565" t="inlineStr"/>
      <c r="M2565" t="inlineStr"/>
      <c r="N2565" t="inlineStr"/>
      <c r="O2565">
        <f>(1-Summary!$B$11)*T2565+Summary!$B$11*V2565</f>
        <v/>
      </c>
      <c r="P2565">
        <f>IF(B2588=0,0,O2565/B2588)</f>
        <v/>
      </c>
      <c r="Q2565" t="n">
        <v>0</v>
      </c>
      <c r="R2565" t="n">
        <v>0</v>
      </c>
      <c r="S2565" t="n">
        <v>0</v>
      </c>
      <c r="T2565" t="n">
        <v>0</v>
      </c>
      <c r="V2565" t="n">
        <v>0</v>
      </c>
    </row>
    <row r="2566">
      <c r="A2566">
        <f>Skills!A20</f>
        <v/>
      </c>
      <c r="B2566">
        <f>Skills!B20</f>
        <v/>
      </c>
      <c r="C2566">
        <f>Inputs!$B$3&gt;=10</f>
        <v/>
      </c>
      <c r="D2566">
        <f>IF(Skills!C20=1,60+Inputs!$B$25+Inputs!$B$29,IF(Skills!C20=2,90+Inputs!$B$26+Inputs!$B$29,IF(Skills!C20=3,120+Inputs!$B$27+Inputs!$B$29,MAX(0,(Inputs!$B$3-100)*3)+Inputs!$B$28+Inputs!$B$29)))</f>
        <v/>
      </c>
      <c r="E2566">
        <f>INDEX(FactorTable!$B$2:$Y$301, MATCH(ROUND(MIN(300,MAX(1,D2566)),0), FactorTable!$A$2:$A$301,0), Skills!M20+1)</f>
        <v/>
      </c>
      <c r="F2566">
        <f>IF(Skills!N20=TRUE,(Skills!L20/10)*(E2566/1000),Skills!L20/10)+Skills!O20</f>
        <v/>
      </c>
      <c r="G2566">
        <f>Skills!G20*IF(Skills!H20&gt;0,Skills!I20/Skills!H20,1)</f>
        <v/>
      </c>
      <c r="H2566">
        <f>1-(1-Skills!J20/100)^Skills!K20</f>
        <v/>
      </c>
      <c r="I2566" t="inlineStr">
        <is>
          <t>1</t>
        </is>
      </c>
      <c r="J2566" t="inlineStr"/>
      <c r="K2566" t="inlineStr"/>
      <c r="L2566" t="inlineStr"/>
      <c r="M2566" t="inlineStr"/>
      <c r="N2566" t="inlineStr"/>
      <c r="O2566">
        <f>(1-Summary!$B$11)*T2566+Summary!$B$11*V2566</f>
        <v/>
      </c>
      <c r="P2566">
        <f>IF(B2588=0,0,O2566/B2588)</f>
        <v/>
      </c>
      <c r="Q2566" t="n">
        <v>0</v>
      </c>
      <c r="R2566" t="n">
        <v>0</v>
      </c>
      <c r="S2566" t="n">
        <v>0</v>
      </c>
      <c r="T2566" t="n">
        <v>0</v>
      </c>
      <c r="V2566" t="n">
        <v>0</v>
      </c>
    </row>
    <row r="2567">
      <c r="A2567">
        <f>Skills!A21</f>
        <v/>
      </c>
      <c r="B2567">
        <f>Skills!B21</f>
        <v/>
      </c>
      <c r="C2567">
        <f>Inputs!$B$3&gt;=33</f>
        <v/>
      </c>
      <c r="D2567">
        <f>IF(Skills!C21=1,60+Inputs!$B$25+Inputs!$B$29,IF(Skills!C21=2,90+Inputs!$B$26+Inputs!$B$29,IF(Skills!C21=3,120+Inputs!$B$27+Inputs!$B$29,MAX(0,(Inputs!$B$3-100)*3)+Inputs!$B$28+Inputs!$B$29)))</f>
        <v/>
      </c>
      <c r="E2567">
        <f>INDEX(FactorTable!$B$2:$Y$301, MATCH(ROUND(MIN(300,MAX(1,D2567)),0), FactorTable!$A$2:$A$301,0), Skills!M21+1)</f>
        <v/>
      </c>
      <c r="F2567">
        <f>IF(Skills!N21=TRUE,(Skills!L21/10)*(E2567/1000),Skills!L21/10)+Skills!O21</f>
        <v/>
      </c>
      <c r="G2567">
        <f>Skills!G21*IF(Skills!H21&gt;0,Skills!I21/Skills!H21,1)</f>
        <v/>
      </c>
      <c r="H2567">
        <f>1-(1-Skills!J21/100)^Skills!K21</f>
        <v/>
      </c>
      <c r="I2567" t="inlineStr">
        <is>
          <t>1</t>
        </is>
      </c>
      <c r="J2567" t="inlineStr"/>
      <c r="K2567" t="inlineStr"/>
      <c r="L2567" t="inlineStr"/>
      <c r="M2567" t="inlineStr"/>
      <c r="N2567" t="inlineStr"/>
      <c r="O2567">
        <f>(1-Summary!$B$11)*T2567+Summary!$B$11*V2567</f>
        <v/>
      </c>
      <c r="P2567">
        <f>IF(B2588=0,0,O2567/B2588)</f>
        <v/>
      </c>
      <c r="Q2567" t="n">
        <v>0</v>
      </c>
      <c r="R2567" t="n">
        <v>0</v>
      </c>
      <c r="S2567" t="n">
        <v>0</v>
      </c>
      <c r="T2567" t="n">
        <v>0</v>
      </c>
      <c r="V2567" t="n">
        <v>0</v>
      </c>
    </row>
    <row r="2568">
      <c r="A2568">
        <f>Skills!A22</f>
        <v/>
      </c>
      <c r="B2568">
        <f>Skills!B22</f>
        <v/>
      </c>
      <c r="C2568">
        <f>Inputs!$B$3&gt;=38</f>
        <v/>
      </c>
      <c r="D2568">
        <f>IF(Skills!C22=1,60+Inputs!$B$25+Inputs!$B$29,IF(Skills!C22=2,90+Inputs!$B$26+Inputs!$B$29,IF(Skills!C22=3,120+Inputs!$B$27+Inputs!$B$29,MAX(0,(Inputs!$B$3-100)*3)+Inputs!$B$28+Inputs!$B$29)))</f>
        <v/>
      </c>
      <c r="E2568">
        <f>INDEX(FactorTable!$B$2:$Y$301, MATCH(ROUND(MIN(300,MAX(1,D2568)),0), FactorTable!$A$2:$A$301,0), Skills!M22+1)</f>
        <v/>
      </c>
      <c r="F2568">
        <f>IF(Skills!N22=TRUE,(Skills!L22/10)*(E2568/1000),Skills!L22/10)+Skills!O22</f>
        <v/>
      </c>
      <c r="G2568">
        <f>Skills!G22*IF(Skills!H22&gt;0,Skills!I22/Skills!H22,1)</f>
        <v/>
      </c>
      <c r="H2568">
        <f>1-(1-Skills!J22/100)^Skills!K22</f>
        <v/>
      </c>
      <c r="I2568" t="inlineStr">
        <is>
          <t>1</t>
        </is>
      </c>
      <c r="J2568" t="inlineStr"/>
      <c r="K2568" t="inlineStr"/>
      <c r="L2568" t="inlineStr"/>
      <c r="M2568" t="inlineStr"/>
      <c r="N2568" t="inlineStr"/>
      <c r="O2568">
        <f>(1-Summary!$B$11)*T2568+Summary!$B$11*V2568</f>
        <v/>
      </c>
      <c r="P2568">
        <f>IF(B2588=0,0,O2568/B2588)</f>
        <v/>
      </c>
      <c r="Q2568" t="n">
        <v>0</v>
      </c>
      <c r="R2568" t="n">
        <v>0</v>
      </c>
      <c r="S2568" t="n">
        <v>0</v>
      </c>
      <c r="T2568" t="n">
        <v>0</v>
      </c>
      <c r="V2568" t="n">
        <v>0</v>
      </c>
    </row>
    <row r="2569">
      <c r="A2569">
        <f>Skills!A23</f>
        <v/>
      </c>
      <c r="B2569">
        <f>Skills!B23</f>
        <v/>
      </c>
      <c r="C2569">
        <f>Inputs!$B$3&gt;=43</f>
        <v/>
      </c>
      <c r="D2569">
        <f>IF(Skills!C23=1,60+Inputs!$B$25+Inputs!$B$29,IF(Skills!C23=2,90+Inputs!$B$26+Inputs!$B$29,IF(Skills!C23=3,120+Inputs!$B$27+Inputs!$B$29,MAX(0,(Inputs!$B$3-100)*3)+Inputs!$B$28+Inputs!$B$29)))</f>
        <v/>
      </c>
      <c r="E2569">
        <f>INDEX(FactorTable!$B$2:$Y$301, MATCH(ROUND(MIN(300,MAX(1,D2569)),0), FactorTable!$A$2:$A$301,0), Skills!M23+1)</f>
        <v/>
      </c>
      <c r="F2569">
        <f>IF(Skills!N23=TRUE,(Skills!L23/10)*(E2569/1000),Skills!L23/10)+Skills!O23</f>
        <v/>
      </c>
      <c r="G2569">
        <f>Skills!G23*IF(Skills!H23&gt;0,Skills!I23/Skills!H23,1)</f>
        <v/>
      </c>
      <c r="H2569">
        <f>1-(1-Skills!J23/100)^Skills!K23</f>
        <v/>
      </c>
      <c r="I2569" t="inlineStr">
        <is>
          <t>1</t>
        </is>
      </c>
      <c r="J2569" t="inlineStr"/>
      <c r="K2569" t="inlineStr"/>
      <c r="L2569" t="inlineStr"/>
      <c r="M2569" t="inlineStr"/>
      <c r="N2569" t="inlineStr"/>
      <c r="O2569">
        <f>(1-Summary!$B$11)*T2569+Summary!$B$11*V2569</f>
        <v/>
      </c>
      <c r="P2569">
        <f>IF(B2588=0,0,O2569/B2588)</f>
        <v/>
      </c>
      <c r="Q2569" t="n">
        <v>0</v>
      </c>
      <c r="R2569" t="n">
        <v>0</v>
      </c>
      <c r="S2569" t="n">
        <v>0</v>
      </c>
      <c r="T2569" t="n">
        <v>0</v>
      </c>
      <c r="V2569" t="n">
        <v>0</v>
      </c>
    </row>
    <row r="2570">
      <c r="A2570">
        <f>Skills!A24</f>
        <v/>
      </c>
      <c r="B2570">
        <f>Skills!B24</f>
        <v/>
      </c>
      <c r="C2570">
        <f>Inputs!$B$3&gt;=75</f>
        <v/>
      </c>
      <c r="D2570">
        <f>IF(Skills!C24=1,60+Inputs!$B$25+Inputs!$B$29,IF(Skills!C24=2,90+Inputs!$B$26+Inputs!$B$29,IF(Skills!C24=3,120+Inputs!$B$27+Inputs!$B$29,MAX(0,(Inputs!$B$3-100)*3)+Inputs!$B$28+Inputs!$B$29)))</f>
        <v/>
      </c>
      <c r="E2570">
        <f>INDEX(FactorTable!$B$2:$Y$301, MATCH(ROUND(MIN(300,MAX(1,D2570)),0), FactorTable!$A$2:$A$301,0), Skills!M24+1)</f>
        <v/>
      </c>
      <c r="F2570">
        <f>IF(Skills!N24=TRUE,(Skills!L24/10)*(E2570/1000),Skills!L24/10)+Skills!O24</f>
        <v/>
      </c>
      <c r="G2570">
        <f>Skills!G24*IF(Skills!H24&gt;0,Skills!I24/Skills!H24,1)</f>
        <v/>
      </c>
      <c r="H2570">
        <f>1-(1-Skills!J24/100)^Skills!K24</f>
        <v/>
      </c>
      <c r="I2570" t="inlineStr">
        <is>
          <t>1</t>
        </is>
      </c>
      <c r="J2570" t="inlineStr"/>
      <c r="K2570" t="inlineStr"/>
      <c r="L2570" t="inlineStr"/>
      <c r="M2570" t="inlineStr"/>
      <c r="N2570" t="inlineStr"/>
      <c r="O2570">
        <f>(1-Summary!$B$11)*T2570+Summary!$B$11*V2570</f>
        <v/>
      </c>
      <c r="P2570">
        <f>IF(B2588=0,0,O2570/B2588)</f>
        <v/>
      </c>
      <c r="Q2570" t="n">
        <v>0</v>
      </c>
      <c r="R2570" t="n">
        <v>0</v>
      </c>
      <c r="S2570" t="n">
        <v>0</v>
      </c>
      <c r="T2570" t="n">
        <v>0</v>
      </c>
      <c r="V2570" t="n">
        <v>0</v>
      </c>
    </row>
    <row r="2571">
      <c r="A2571">
        <f>Skills!A25</f>
        <v/>
      </c>
      <c r="B2571">
        <f>Skills!B25</f>
        <v/>
      </c>
      <c r="C2571">
        <f>Inputs!$B$3&gt;=125</f>
        <v/>
      </c>
      <c r="D2571">
        <f>IF(Skills!C25=1,60+Inputs!$B$25+Inputs!$B$29,IF(Skills!C25=2,90+Inputs!$B$26+Inputs!$B$29,IF(Skills!C25=3,120+Inputs!$B$27+Inputs!$B$29,MAX(0,(Inputs!$B$3-100)*3)+Inputs!$B$28+Inputs!$B$29)))</f>
        <v/>
      </c>
      <c r="E2571">
        <f>INDEX(FactorTable!$B$2:$Y$301, MATCH(ROUND(MIN(300,MAX(1,D2571)),0), FactorTable!$A$2:$A$301,0), Skills!M25+1)</f>
        <v/>
      </c>
      <c r="F2571">
        <f>IF(Skills!N25=TRUE,(Skills!L25/10)*(E2571/1000),Skills!L25/10)+Skills!O25</f>
        <v/>
      </c>
      <c r="G2571">
        <f>Skills!G25*IF(Skills!H25&gt;0,Skills!I25/Skills!H25,1)</f>
        <v/>
      </c>
      <c r="H2571">
        <f>1-(1-Skills!J25/100)^Skills!K25</f>
        <v/>
      </c>
      <c r="I2571" t="inlineStr">
        <is>
          <t>1</t>
        </is>
      </c>
      <c r="J2571" t="inlineStr"/>
      <c r="K2571" t="inlineStr"/>
      <c r="L2571" t="inlineStr"/>
      <c r="M2571" t="inlineStr"/>
      <c r="N2571" t="inlineStr"/>
      <c r="O2571">
        <f>(1-Summary!$B$11)*T2571+Summary!$B$11*V2571</f>
        <v/>
      </c>
      <c r="P2571">
        <f>IF(B2588=0,0,O2571/B2588)</f>
        <v/>
      </c>
      <c r="Q2571" t="n">
        <v>0</v>
      </c>
      <c r="R2571" t="n">
        <v>0</v>
      </c>
      <c r="S2571" t="n">
        <v>0</v>
      </c>
      <c r="T2571" t="n">
        <v>0</v>
      </c>
      <c r="V2571" t="n">
        <v>0</v>
      </c>
    </row>
    <row r="2572">
      <c r="A2572">
        <f>Skills!A26</f>
        <v/>
      </c>
      <c r="B2572">
        <f>Skills!B26</f>
        <v/>
      </c>
      <c r="C2572">
        <f>Inputs!$B$3&gt;=125</f>
        <v/>
      </c>
      <c r="D2572">
        <f>IF(Skills!C26=1,60+Inputs!$B$25+Inputs!$B$29,IF(Skills!C26=2,90+Inputs!$B$26+Inputs!$B$29,IF(Skills!C26=3,120+Inputs!$B$27+Inputs!$B$29,MAX(0,(Inputs!$B$3-100)*3)+Inputs!$B$28+Inputs!$B$29)))</f>
        <v/>
      </c>
      <c r="E2572">
        <f>INDEX(FactorTable!$B$2:$Y$301, MATCH(ROUND(MIN(300,MAX(1,D2572)),0), FactorTable!$A$2:$A$301,0), Skills!M26+1)</f>
        <v/>
      </c>
      <c r="F2572">
        <f>IF(Skills!N26=TRUE,(Skills!L26/10)*(E2572/1000),Skills!L26/10)+Skills!O26</f>
        <v/>
      </c>
      <c r="G2572">
        <f>Skills!G26*IF(Skills!H26&gt;0,Skills!I26/Skills!H26,1)</f>
        <v/>
      </c>
      <c r="H2572">
        <f>1-(1-Skills!J26/100)^Skills!K26</f>
        <v/>
      </c>
      <c r="I2572" t="inlineStr">
        <is>
          <t>1</t>
        </is>
      </c>
      <c r="J2572" t="inlineStr"/>
      <c r="K2572" t="inlineStr"/>
      <c r="L2572" t="inlineStr"/>
      <c r="M2572" t="inlineStr"/>
      <c r="N2572" t="inlineStr"/>
      <c r="O2572">
        <f>(1-Summary!$B$11)*T2572+Summary!$B$11*V2572</f>
        <v/>
      </c>
      <c r="P2572">
        <f>IF(B2588=0,0,O2572/B2588)</f>
        <v/>
      </c>
      <c r="Q2572" t="n">
        <v>0</v>
      </c>
      <c r="R2572" t="n">
        <v>0</v>
      </c>
      <c r="S2572" t="n">
        <v>0</v>
      </c>
      <c r="T2572" t="n">
        <v>0</v>
      </c>
      <c r="V2572" t="n">
        <v>0</v>
      </c>
    </row>
    <row r="2573">
      <c r="A2573">
        <f>Skills!A27</f>
        <v/>
      </c>
      <c r="B2573">
        <f>Skills!B27</f>
        <v/>
      </c>
      <c r="C2573">
        <f>Inputs!$B$3&gt;=120</f>
        <v/>
      </c>
      <c r="D2573">
        <f>IF(Skills!C27=1,60+Inputs!$B$25+Inputs!$B$29,IF(Skills!C27=2,90+Inputs!$B$26+Inputs!$B$29,IF(Skills!C27=3,120+Inputs!$B$27+Inputs!$B$29,MAX(0,(Inputs!$B$3-100)*3)+Inputs!$B$28+Inputs!$B$29)))</f>
        <v/>
      </c>
      <c r="E2573">
        <f>INDEX(FactorTable!$B$2:$Y$301, MATCH(ROUND(MIN(300,MAX(1,D2573)),0), FactorTable!$A$2:$A$301,0), Skills!M27+1)</f>
        <v/>
      </c>
      <c r="F2573">
        <f>IF(Skills!N27=TRUE,(Skills!L27/10)*(E2573/1000),Skills!L27/10)+Skills!O27</f>
        <v/>
      </c>
      <c r="G2573">
        <f>Skills!G27*IF(Skills!H27&gt;0,Skills!I27/Skills!H27,1)</f>
        <v/>
      </c>
      <c r="H2573">
        <f>1-(1-Skills!J27/100)^Skills!K27</f>
        <v/>
      </c>
      <c r="I2573" t="inlineStr">
        <is>
          <t>1</t>
        </is>
      </c>
      <c r="J2573" t="inlineStr"/>
      <c r="K2573" t="inlineStr"/>
      <c r="L2573" t="inlineStr"/>
      <c r="M2573" t="inlineStr"/>
      <c r="N2573" t="inlineStr"/>
      <c r="O2573">
        <f>(1-Summary!$B$11)*T2573+Summary!$B$11*V2573</f>
        <v/>
      </c>
      <c r="P2573">
        <f>IF(B2588=0,0,O2573/B2588)</f>
        <v/>
      </c>
      <c r="Q2573" t="n">
        <v>0</v>
      </c>
      <c r="R2573" t="n">
        <v>0</v>
      </c>
      <c r="S2573" t="n">
        <v>0</v>
      </c>
      <c r="T2573" t="n">
        <v>0</v>
      </c>
      <c r="V2573" t="n">
        <v>0</v>
      </c>
    </row>
    <row r="2574">
      <c r="A2574">
        <f>Skills!A28</f>
        <v/>
      </c>
      <c r="B2574">
        <f>Skills!B28</f>
        <v/>
      </c>
      <c r="C2574">
        <f>Inputs!$B$3&gt;=120</f>
        <v/>
      </c>
      <c r="D2574">
        <f>IF(Skills!C28=1,60+Inputs!$B$25+Inputs!$B$29,IF(Skills!C28=2,90+Inputs!$B$26+Inputs!$B$29,IF(Skills!C28=3,120+Inputs!$B$27+Inputs!$B$29,MAX(0,(Inputs!$B$3-100)*3)+Inputs!$B$28+Inputs!$B$29)))</f>
        <v/>
      </c>
      <c r="E2574">
        <f>INDEX(FactorTable!$B$2:$Y$301, MATCH(ROUND(MIN(300,MAX(1,D2574)),0), FactorTable!$A$2:$A$301,0), Skills!M28+1)</f>
        <v/>
      </c>
      <c r="F2574">
        <f>IF(Skills!N28=TRUE,(Skills!L28/10)*(E2574/1000),Skills!L28/10)+Skills!O28</f>
        <v/>
      </c>
      <c r="G2574">
        <f>Skills!G28*IF(Skills!H28&gt;0,Skills!I28/Skills!H28,1)</f>
        <v/>
      </c>
      <c r="H2574">
        <f>1-(1-Skills!J28/100)^Skills!K28</f>
        <v/>
      </c>
      <c r="I2574" t="inlineStr">
        <is>
          <t>1</t>
        </is>
      </c>
      <c r="J2574" t="inlineStr"/>
      <c r="K2574" t="inlineStr"/>
      <c r="L2574" t="inlineStr"/>
      <c r="M2574" t="inlineStr"/>
      <c r="N2574" t="inlineStr"/>
      <c r="O2574">
        <f>(1-Summary!$B$11)*T2574+Summary!$B$11*V2574</f>
        <v/>
      </c>
      <c r="P2574">
        <f>IF(B2588=0,0,O2574/B2588)</f>
        <v/>
      </c>
      <c r="Q2574" t="n">
        <v>0</v>
      </c>
      <c r="R2574" t="n">
        <v>0</v>
      </c>
      <c r="S2574" t="n">
        <v>0</v>
      </c>
      <c r="T2574" t="n">
        <v>0</v>
      </c>
      <c r="V2574" t="n">
        <v>0</v>
      </c>
    </row>
    <row r="2575">
      <c r="A2575">
        <f>Skills!A29</f>
        <v/>
      </c>
      <c r="B2575">
        <f>Skills!B29</f>
        <v/>
      </c>
      <c r="C2575">
        <f>Inputs!$B$3&gt;=45</f>
        <v/>
      </c>
      <c r="D2575">
        <f>IF(Skills!C29=1,60+Inputs!$B$25+Inputs!$B$29,IF(Skills!C29=2,90+Inputs!$B$26+Inputs!$B$29,IF(Skills!C29=3,120+Inputs!$B$27+Inputs!$B$29,MAX(0,(Inputs!$B$3-100)*3)+Inputs!$B$28+Inputs!$B$29)))</f>
        <v/>
      </c>
      <c r="E2575">
        <f>INDEX(FactorTable!$B$2:$Y$301, MATCH(ROUND(MIN(300,MAX(1,D2575)),0), FactorTable!$A$2:$A$301,0), Skills!M29+1)</f>
        <v/>
      </c>
      <c r="F2575">
        <f>IF(Skills!N29=TRUE,(Skills!L29/10)*(E2575/1000),Skills!L29/10)+Skills!O29</f>
        <v/>
      </c>
      <c r="G2575">
        <f>Skills!G29*IF(Skills!H29&gt;0,Skills!I29/Skills!H29,1)</f>
        <v/>
      </c>
      <c r="H2575">
        <f>1-(1-Skills!J29/100)^Skills!K29</f>
        <v/>
      </c>
      <c r="I2575" t="inlineStr">
        <is>
          <t>1</t>
        </is>
      </c>
      <c r="J2575" t="inlineStr"/>
      <c r="K2575" t="inlineStr"/>
      <c r="L2575" t="inlineStr"/>
      <c r="M2575" t="inlineStr"/>
      <c r="N2575" t="inlineStr"/>
      <c r="O2575">
        <f>(1-Summary!$B$11)*T2575+Summary!$B$11*V2575</f>
        <v/>
      </c>
      <c r="P2575">
        <f>IF(B2588=0,0,O2575/B2588)</f>
        <v/>
      </c>
      <c r="Q2575" t="n">
        <v>0</v>
      </c>
      <c r="R2575" t="n">
        <v>0</v>
      </c>
      <c r="S2575" t="n">
        <v>0</v>
      </c>
      <c r="T2575" t="n">
        <v>0</v>
      </c>
      <c r="V2575" t="n">
        <v>0</v>
      </c>
    </row>
    <row r="2577">
      <c r="A2577" t="inlineStr">
        <is>
          <t>Attack% Bucket Multiplier</t>
        </is>
      </c>
      <c r="B2577">
        <f>(1+(((C2559=TRUE)*F2559)+((C2560=TRUE)*IF(Inputs!$B$38="pvp",F2560,(1-Summary!$B$11)*(F2560)+Summary!$B$11*(0)))+((C2561=TRUE)*F2561*IF(AND(Inputs!$B$38&lt;&gt;"pvp",Inputs!$B$43&gt;0),(((R2561-1)*(Skills!T15*(1+Inputs!$B$34/100))+MIN((Skills!T15*(1+Inputs!$B$34/100)),MAX(0,Inputs!$B$43-((R2561-1)*Skills!D15))))/Inputs!$B$43),IF(Inputs!$B$38="pvp",MIN((Skills!T15*(1+Inputs!$B$34/100)),15)/15,(Skills!T15*(1+Inputs!$B$34/100))/Skills!D15)))+((C2558=TRUE)*F2558)+((C2575=TRUE)*(F2575-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2578">
      <c r="A2578" t="inlineStr">
        <is>
          <t>Global Crit Rate Bonus %</t>
        </is>
      </c>
      <c r="B2578">
        <f>(C2562=TRUE)*20*IF(AND(Inputs!$B$38&lt;&gt;"pvp",Inputs!$B$43&gt;0),(((R2562-1)*(Skills!T16*(1+Inputs!$B$34/100))+MIN((Skills!T16*(1+Inputs!$B$34/100)),MAX(0,Inputs!$B$43-((R2562-1)*Skills!D16))))/Inputs!$B$43),IF(Inputs!$B$38="pvp",MIN((Skills!T16*(1+Inputs!$B$34/100)),15)/15,(Skills!T16*(1+Inputs!$B$34/100))/Skills!D16))</f>
        <v/>
      </c>
    </row>
    <row r="2579">
      <c r="A2579" t="inlineStr">
        <is>
          <t>Attack Speed Buff Bonus %</t>
        </is>
      </c>
      <c r="B2579">
        <f>((C2564=TRUE)*F2564*IF(AND(Inputs!$B$38&lt;&gt;"pvp",Inputs!$B$43&gt;0),(((R2564-1)*(Skills!T18*(1+Inputs!$B$34/100))+MIN((Skills!T18*(1+Inputs!$B$34/100)),MAX(0,Inputs!$B$43-((R2564-1)*Skills!D18))))/Inputs!$B$43),IF(Inputs!$B$38="pvp",MIN((Skills!T18*(1+Inputs!$B$34/100)),15)/15,(Skills!T18*(1+Inputs!$B$34/100))/Skills!D18)))</f>
        <v/>
      </c>
    </row>
    <row r="2580">
      <c r="A2580" t="inlineStr">
        <is>
          <t>Actions Per Second</t>
        </is>
      </c>
      <c r="B2580">
        <f>1+MIN(150,150*(1-(1-(Inputs!$B$11+((C2566=TRUE)*(F2566-Calc!F20))+((C2567=TRUE)*(F2567-Calc!F21)))/150)*(1-B2579/150)))/100</f>
        <v/>
      </c>
    </row>
    <row r="2581">
      <c r="A2581" t="inlineStr">
        <is>
          <t>Skill + Buff Cast Rate</t>
        </is>
      </c>
      <c r="B2581">
        <f>IF(AND(Inputs!$B$38&lt;&gt;"pvp",Inputs!$B$43&gt;0),SUMPRODUCT((Skills!E2:E29=TRUE)*(C2548:C2575=TRUE)*R2548:R2575*Skills!F2:F29)/Inputs!$B$43,SUMPRODUCT((Skills!E2:E29=TRUE)*(C2548:C2575=TRUE)*Q2548:Q2575*Skills!F2:F29))</f>
        <v/>
      </c>
    </row>
    <row r="2582">
      <c r="A2582" t="inlineStr">
        <is>
          <t>Empowered Piercing Arrow Casts Per Second</t>
        </is>
      </c>
      <c r="B2582">
        <f>MAX(0,B2580-B2581)</f>
        <v/>
      </c>
    </row>
    <row r="2583">
      <c r="A2583" t="inlineStr">
        <is>
          <t>Global Critical Damage Bonus % (Sharp Eyes)</t>
        </is>
      </c>
      <c r="B2583">
        <f>(C2562=TRUE)*F2562*IF(AND(Inputs!$B$38&lt;&gt;"pvp",Inputs!$B$43&gt;0),(((R2562-1)*(Skills!T16*(1+Inputs!$B$34/100))+MIN((Skills!T16*(1+Inputs!$B$34/100)),MAX(0,Inputs!$B$43-((R2562-1)*Skills!D16))))/Inputs!$B$43),IF(Inputs!$B$38="pvp",MIN((Skills!T16*(1+Inputs!$B$34/100)),15)/15,(Skills!T16*(1+Inputs!$B$34/100))/Skills!D16))</f>
        <v/>
      </c>
    </row>
    <row r="2584">
      <c r="A2584" t="inlineStr">
        <is>
          <t>Global Final Damage Bonus % (Mortal Blow + Last Man Standing conditional half)</t>
        </is>
      </c>
      <c r="B2584">
        <f>(C2563=TRUE)*F2563+((C2572=TRUE)*IF(Inputs!$B$38="pvp",F2572,(1-Summary!$B$11)*(F2572)+Summary!$B$11*(0)))</f>
        <v/>
      </c>
    </row>
    <row r="2585">
      <c r="A2585" t="inlineStr">
        <is>
          <t>Buff-Casting Startup Delay (s, fixed-duration only)</t>
        </is>
      </c>
      <c r="B2585">
        <f>IF(AND(Inputs!$B$38&lt;&gt;"pvp",Inputs!$B$43&gt;0),SUMPRODUCT((Skills!T2:T29&gt;0)*(Skills!E2:E29=TRUE)*(C2548:C2575=TRUE))/B2580,0)</f>
        <v/>
      </c>
    </row>
    <row r="2586">
      <c r="A2586" t="inlineStr">
        <is>
          <t>Boss-Only Total DPS (this block's swept value)</t>
        </is>
      </c>
      <c r="B2586">
        <f>SUM(T2548:T2575)</f>
        <v/>
      </c>
    </row>
    <row r="2587">
      <c r="A2587" t="inlineStr">
        <is>
          <t>Normal-Only Total DPS (this block's swept value)</t>
        </is>
      </c>
      <c r="B2587">
        <f>SUM(V2548:V2575)</f>
        <v/>
      </c>
    </row>
    <row r="2588">
      <c r="A2588" s="6" t="inlineStr">
        <is>
          <t>TOTAL DPS</t>
        </is>
      </c>
      <c r="B2588" s="6">
        <f>SUM(O2548:O2575)</f>
        <v/>
      </c>
    </row>
    <row r="2591">
      <c r="A2591" s="6" t="inlineStr">
        <is>
          <t>Stat: Alliance Badge (Equip)</t>
        </is>
      </c>
    </row>
    <row r="2592">
      <c r="A2592" s="5" t="inlineStr">
        <is>
          <t>Key</t>
        </is>
      </c>
      <c r="B2592" s="5" t="inlineStr">
        <is>
          <t>Name</t>
        </is>
      </c>
      <c r="C2592" s="5" t="inlineStr">
        <is>
          <t>Unlocked</t>
        </is>
      </c>
      <c r="D2592" s="5" t="inlineStr">
        <is>
          <t>InputLevel</t>
        </is>
      </c>
      <c r="E2592" s="5" t="inlineStr">
        <is>
          <t>Factor</t>
        </is>
      </c>
      <c r="F2592" s="5" t="inlineStr">
        <is>
          <t>CoefficientPercent</t>
        </is>
      </c>
      <c r="G2592" s="5" t="inlineStr">
        <is>
          <t>EffectiveHits</t>
        </is>
      </c>
      <c r="H2592" s="5" t="inlineStr">
        <is>
          <t>ProcProbability</t>
        </is>
      </c>
      <c r="I2592" s="5" t="inlineStr">
        <is>
          <t>MapleHeroMultiplier</t>
        </is>
      </c>
      <c r="J2592" s="5" t="inlineStr">
        <is>
          <t>BaseDamage</t>
        </is>
      </c>
      <c r="K2592" s="5" t="inlineStr">
        <is>
          <t>BaseHitDamage</t>
        </is>
      </c>
      <c r="L2592" s="5" t="inlineStr">
        <is>
          <t>NonCritAvg</t>
        </is>
      </c>
      <c r="M2592" s="5" t="inlineStr">
        <is>
          <t>CritAvg</t>
        </is>
      </c>
      <c r="N2592" s="5" t="inlineStr">
        <is>
          <t>ExpectedDamage(perHit)</t>
        </is>
      </c>
      <c r="O2592" s="5" t="inlineStr">
        <is>
          <t>DPS</t>
        </is>
      </c>
      <c r="P2592" s="5" t="inlineStr">
        <is>
          <t>% of Total</t>
        </is>
      </c>
      <c r="Q2592" s="5" t="inlineStr">
        <is>
          <t>InvCooldown</t>
        </is>
      </c>
      <c r="R2592" s="5" t="inlineStr">
        <is>
          <t>CastsInFight</t>
        </is>
      </c>
      <c r="S2592" s="5" t="inlineStr">
        <is>
          <t>HitRate(perSec)</t>
        </is>
      </c>
      <c r="U2592" t="inlineStr">
        <is>
          <t>helpers</t>
        </is>
      </c>
    </row>
    <row r="2593">
      <c r="A2593">
        <f>Skills!A2</f>
        <v/>
      </c>
      <c r="B2593">
        <f>Skills!B2</f>
        <v/>
      </c>
      <c r="C2593">
        <f>Inputs!$B$3&gt;=100</f>
        <v/>
      </c>
      <c r="D2593" t="inlineStr"/>
      <c r="E2593" t="inlineStr"/>
      <c r="F2593">
        <f>U2595+Skills!O2</f>
        <v/>
      </c>
      <c r="G2593">
        <f>Skills!G2*IF(Skills!H2&gt;0,Skills!I2/Skills!H2,1)</f>
        <v/>
      </c>
      <c r="H2593">
        <f>1-(1-Skills!J2/100)^Skills!K2</f>
        <v/>
      </c>
      <c r="I2593" t="inlineStr">
        <is>
          <t>1</t>
        </is>
      </c>
      <c r="J2593">
        <f>((Inputs!$B$6*(1+Inputs!$B$7/100))+(((Inputs!$B$12*(1+Inputs!$B$13/100))-(Inputs!$B$12*(1+Inputs!$B$13/100)))+0.25*(Inputs!$B$14-Inputs!$B$14))*(1+Inputs!$B$7/100))*(F2593/100)</f>
        <v/>
      </c>
      <c r="K2593">
        <f>J2593*(1+((Inputs!$B$12*(1+Inputs!$B$13/100))*0.01+Inputs!$B$14*0.0025)/100)*(1+Inputs!$B$15/100)*(1+Inputs!$B$16/100)*(5000/(6000+Inputs!$B$42*(1-(100*(1-(1-(Inputs!$B$19+0)/100)*(1-CHOOSE(ArtifactsInput!$N$40+1,5,6,7,8,9,10)/100)^(ArtifactsInput!$M$40-ArtifactsInput!$M$40)))/100)))*(1+(Inputs!$B$24+((C2615=TRUE)*(F2615-Calc!F24))+((C2616=TRUE)*(F2616-Calc!F25))+B2629)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EMPOWERED_PIERCING_ARROW",Inputs!$B$17+((C2613=TRUE)*(F2613-Calc!F22))+(((IF(AND(ArtifactsInput!$M$42,((Inputs!$B$9+((C2610=TRUE)*(F2610-Calc!F19))+B2623+(ArtifactsInput!$M$24-ArtifactsInput!$M$24)*CHOOSE(ArtifactsInput!$N$24+1,10,12,14,16,18,20)+IF(ArtifactsInput!$M$10,CHOOSE(ArtifactsInput!$N$10+1,15,18,21,24,27,30)*(IF(Inputs!$B$38="pvp",MIN(15,15)/15,IF(AND(Inputs!$B$38&lt;&gt;"pvp",Inputs!$B$43&gt;0),MIN(15,Inputs!$B$43)/(Inputs!$B$43),0))),0)))&gt;=100),MIN(100,((Inputs!$B$9+((C2610=TRUE)*(F2610-Calc!F19))+B2623+(ArtifactsInput!$M$24-ArtifactsInput!$M$24)*CHOOSE(ArtifactsInput!$N$24+1,10,12,14,16,18,20)+IF(ArtifactsInput!$M$10,CHOOSE(ArtifactsInput!$N$10+1,15,18,21,24,27,30)*(IF(Inputs!$B$38="pvp",MIN(15,15)/15,IF(AND(Inputs!$B$38&lt;&gt;"pvp",Inputs!$B$43&gt;0),MIN(15,Inputs!$B$43)/(Inputs!$B$43),0))),0)))-100),0))*CHOOSE(ArtifactsInput!$N$42+1,0.6,0.72,0.84,0.96,1.08,1.2))),Inputs!$B$18+((C2618=TRUE)*(F2618-Calc!F27))+(IF(AND(ArtifactsInput!$M$42,((Inputs!$B$9+((C2610=TRUE)*(F2610-Calc!F19))+B2623+(ArtifactsInput!$M$24-ArtifactsInput!$M$24)*CHOOSE(ArtifactsInput!$N$24+1,10,12,14,16,18,20)+IF(ArtifactsInput!$M$10,CHOOSE(ArtifactsInput!$N$10+1,15,18,21,24,27,30)*(IF(Inputs!$B$38="pvp",MIN(15,15)/15,IF(AND(Inputs!$B$38&lt;&gt;"pvp",Inputs!$B$43&gt;0),MIN(15,Inputs!$B$43)/(Inputs!$B$43),0))),0)))&gt;=100),CHOOSE(ArtifactsInput!$N$42+1,40,48,56,64,72,80),0))))/100)*((1+(((C2604=TRUE)*F2604)+((C2605=TRUE)*IF(Inputs!$B$38="pvp",F2605,(1-Summary!$B$11)*(F2605)+Summary!$B$11*(0)))+((C2606=TRUE)*F2606*IF(AND(Inputs!$B$38&lt;&gt;"pvp",Inputs!$B$43&gt;0),(((R2606-1)*(Skills!T15*(1+Inputs!$B$34/100))+MIN((Skills!T15*(1+Inputs!$B$34/100)),MAX(0,Inputs!$B$43-((R2606-1)*Skills!D15))))/Inputs!$B$43),IF(Inputs!$B$38="pvp",MIN((Skills!T15*(1+Inputs!$B$34/100)),15)/15,(Skills!T15*(1+Inputs!$B$34/100))/Skills!D15)))+((C2603=TRUE)*F2603)+((C2620=TRUE)*(F2620-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IF(ArtifactsInput!$M$37,FALSE,TRUE),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2593)</f>
        <v/>
      </c>
      <c r="L2593">
        <f>K2593*(MIN(Inputs!$B$22+((C2614=TRUE)*(F2614-Calc!F23)),(Inputs!$B$23+((C2619=TRUE)*(F2619-Calc!F28))+(IF(ArtifactsInput!$M$15,CHOOSE(ArtifactsInput!$N$15+1,25,30,35,40,45,50)/100*(Inputs!$B$11-Inputs!$B$11),0))))/100+(Inputs!$B$23+((C2619=TRUE)*(F2619-Calc!F28))+(IF(ArtifactsInput!$M$15,CHOOSE(ArtifactsInput!$N$15+1,25,30,35,40,45,50)/100*(Inputs!$B$11-Inputs!$B$11),0)))/100)/2</f>
        <v/>
      </c>
      <c r="M2593">
        <f>L2593*(1+(Inputs!$B$10+0+B2628+(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593">
        <f>L2593*(1-MIN((Inputs!$B$9+((C2610=TRUE)*(F2610-Calc!F19))+B2623+(ArtifactsInput!$M$24-ArtifactsInput!$M$24)*CHOOSE(ArtifactsInput!$N$24+1,10,12,14,16,18,20)+(IF(AND(ArtifactsInput!$M$42,((Inputs!$B$9+((C2610=TRUE)*(F2610-Calc!F19))+B2623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2593*(MIN((Inputs!$B$9+((C2610=TRUE)*(F2610-Calc!F19))+B2623+(ArtifactsInput!$M$24-ArtifactsInput!$M$24)*CHOOSE(ArtifactsInput!$N$24+1,10,12,14,16,18,20)+(IF(AND(ArtifactsInput!$M$42,((Inputs!$B$9+((C2610=TRUE)*(F2610-Calc!F19))+B2623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593">
        <f>(1-Summary!$B$11)*T2593+Summary!$B$11*V2593</f>
        <v/>
      </c>
      <c r="P2593">
        <f>IF(B2633=0,0,O2593/B2633)</f>
        <v/>
      </c>
      <c r="Q2593" t="n">
        <v>0</v>
      </c>
      <c r="R2593" t="n">
        <v>0</v>
      </c>
      <c r="S2593">
        <f>IFERROR((Skills!G2*N2593*B2627)/N2593*IF(Inputs!$B$38="pvp",1,(1-Summary!$B$11)*1+Summary!$B$11*(MIN((6+Inputs!$B$33),Inputs!$B$37))),0)</f>
        <v/>
      </c>
      <c r="T2593">
        <f>IF(C2593,(Skills!G2*N2593*B2627)*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Hunt"),CHOOSE(ArtifactsInput!$N$35+1,15,18,21,24,27,30)*(1-EXP(-(0.2*B2625)*5)),0)+IF(AND(ArtifactsInput!$M$22,Inputs!$B$4&lt;&gt;"Chapter Hunt"),CHOOSE(ArtifactsInput!$N$22+1,10,12,14,16,18,20)*((0*(((0.15*B2625*5))^0/1)+1*(((0.15*B2625*5))^1/1)+2*(((0.15*B2625*5))^2/2)+3*(((0.15*B2625*5))^3/6)+4*(((0.15*B2625*5))^4/24)+5*(((0.15*B2625*5))^5/120))/((((0.15*B2625*5))^0/1)+(((0.15*B2625*5))^1/1)+(((0.15*B2625*5))^2/2)+(((0.15*B2625*5))^3/6)+(((0.15*B2625*5))^4/24)+(((0.15*B2625*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2593*(1-MIN(100,(Inputs!$B$9+((C2610=TRUE)*(F2610-Calc!F19))+B2623+(ArtifactsInput!$M$24-ArtifactsInput!$M$24)*CHOOSE(ArtifactsInput!$N$24+1,10,12,14,16,18,20)+(IF(AND(ArtifactsInput!$M$42,((Inputs!$B$9+((C2610=TRUE)*(F2610-Calc!F19))+B2623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2593*(MIN(100,(Inputs!$B$9+((C2610=TRUE)*(F2610-Calc!F19))+B2623+(ArtifactsInput!$M$24-ArtifactsInput!$M$24)*CHOOSE(ArtifactsInput!$N$24+1,10,12,14,16,18,20)+(IF(AND(ArtifactsInput!$M$42,((Inputs!$B$9+((C2610=TRUE)*(F2610-Calc!F19))+B2623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2593*(1-MIN(100,(Inputs!$B$9+((C2610=TRUE)*(F2610-Calc!F19))+B2623+(ArtifactsInput!$M$24-ArtifactsInput!$M$24)*CHOOSE(ArtifactsInput!$N$24+1,10,12,14,16,18,20)+(IF(AND(ArtifactsInput!$M$42,((Inputs!$B$9+((C2610=TRUE)*(F2610-Calc!F19))+B2623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2593*(MIN(100,(Inputs!$B$9+((C2610=TRUE)*(F2610-Calc!F19))+B2623+(ArtifactsInput!$M$24-ArtifactsInput!$M$24)*CHOOSE(ArtifactsInput!$N$24+1,10,12,14,16,18,20)+(IF(AND(ArtifactsInput!$M$42,((Inputs!$B$9+((C2610=TRUE)*(F2610-Calc!F19))+B2623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593">
        <f>MAX(0,(Inputs!$B$3-100)*3)+Inputs!$B$28+Inputs!$B$29</f>
        <v/>
      </c>
      <c r="V2593">
        <f>IF(C2593,(Skills!G2*N2593*B2627)*IF(Inputs!$B$38="pvp",1,(1+(Inputs!$B$21+Skills!Q2+(IF(ArtifactsInput!$M$33,CHOOSE(ArtifactsInput!$N$33+1,30,36,42,48,54,60),0))+(IF(AND(ArtifactsInput!$M$35,Inputs!$B$4&lt;&gt;"Chapter Hunt"),CHOOSE(ArtifactsInput!$N$35+1,15,18,21,24,27,30)*(1-EXP(-(0.2*B2625)*5)),0)+IF(AND(ArtifactsInput!$M$22,Inputs!$B$4&lt;&gt;"Chapter Hunt"),CHOOSE(ArtifactsInput!$N$22+1,10,12,14,16,18,20)*((0*(((0.15*B2625*5))^0/1)+1*(((0.15*B2625*5))^1/1)+2*(((0.15*B2625*5))^2/2)+3*(((0.15*B2625*5))^3/6)+4*(((0.15*B2625*5))^4/24)+5*(((0.15*B2625*5))^5/120))/((((0.15*B2625*5))^0/1)+(((0.15*B2625*5))^1/1)+(((0.15*B2625*5))^2/2)+(((0.15*B2625*5))^3/6)+(((0.15*B2625*5))^4/24)+(((0.15*B2625*5))^5/120)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594">
      <c r="A2594">
        <f>Skills!A3</f>
        <v/>
      </c>
      <c r="B2594">
        <f>Skills!B3</f>
        <v/>
      </c>
      <c r="C2594">
        <f>Inputs!$B$3&gt;=50</f>
        <v/>
      </c>
      <c r="D2594">
        <f>IF(Skills!C3=1,60+Inputs!$B$25+Inputs!$B$29,IF(Skills!C3=2,90+Inputs!$B$26+Inputs!$B$29,IF(Skills!C3=3,120+Inputs!$B$27+Inputs!$B$29,MAX(0,(Inputs!$B$3-100)*3)+Inputs!$B$28+Inputs!$B$29)))</f>
        <v/>
      </c>
      <c r="E2594">
        <f>INDEX(FactorTable!$B$2:$Y$301, MATCH(ROUND(MIN(300,MAX(1,D2594)),0), FactorTable!$A$2:$A$301,0), Skills!M3+1)</f>
        <v/>
      </c>
      <c r="F2594">
        <f>IF(Skills!N3=TRUE,(Skills!L3/10)*(E2594/1000),Skills!L3/10)+Skills!O3</f>
        <v/>
      </c>
      <c r="G2594" t="inlineStr"/>
      <c r="H2594" t="inlineStr"/>
      <c r="I2594" t="inlineStr">
        <is>
          <t>1</t>
        </is>
      </c>
      <c r="J2594" t="inlineStr"/>
      <c r="K2594" t="inlineStr"/>
      <c r="L2594" t="inlineStr"/>
      <c r="M2594" t="inlineStr"/>
      <c r="N2594" t="inlineStr"/>
      <c r="O2594" t="inlineStr"/>
      <c r="P2594" t="inlineStr"/>
      <c r="Q2594" t="inlineStr"/>
      <c r="R2594" t="inlineStr"/>
      <c r="S2594" t="inlineStr"/>
      <c r="T2594" t="inlineStr"/>
      <c r="U2594">
        <f>INDEX(FactorTable!$B$2:$Y$301, MATCH(ROUND(MIN(300,MAX(1,U2593)),0), FactorTable!$A$2:$A$301,0), 22)</f>
        <v/>
      </c>
      <c r="V2594" t="inlineStr"/>
    </row>
    <row r="2595">
      <c r="A2595">
        <f>Skills!A4</f>
        <v/>
      </c>
      <c r="B2595">
        <f>Skills!B4</f>
        <v/>
      </c>
      <c r="C2595">
        <f>Inputs!$B$3&gt;=105</f>
        <v/>
      </c>
      <c r="D2595">
        <f>IF(Skills!C4=1,60+Inputs!$B$25+Inputs!$B$29,IF(Skills!C4=2,90+Inputs!$B$26+Inputs!$B$29,IF(Skills!C4=3,120+Inputs!$B$27+Inputs!$B$29,MAX(0,(Inputs!$B$3-100)*3)+Inputs!$B$28+Inputs!$B$29)))</f>
        <v/>
      </c>
      <c r="E2595">
        <f>INDEX(FactorTable!$B$2:$Y$301, MATCH(ROUND(MIN(300,MAX(1,D2595)),0), FactorTable!$A$2:$A$301,0), Skills!M4+1)</f>
        <v/>
      </c>
      <c r="F2595">
        <f>IF(Skills!N4=TRUE,(Skills!L4/10)*(E2595/1000),Skills!L4/10)+Skills!O4</f>
        <v/>
      </c>
      <c r="G2595" t="inlineStr"/>
      <c r="H2595" t="inlineStr"/>
      <c r="I2595" t="inlineStr">
        <is>
          <t>1</t>
        </is>
      </c>
      <c r="J2595" t="inlineStr"/>
      <c r="K2595" t="inlineStr"/>
      <c r="L2595" t="inlineStr"/>
      <c r="M2595" t="inlineStr"/>
      <c r="N2595" t="inlineStr"/>
      <c r="O2595" t="inlineStr"/>
      <c r="P2595" t="inlineStr"/>
      <c r="Q2595" t="inlineStr"/>
      <c r="R2595" t="inlineStr"/>
      <c r="S2595" t="inlineStr"/>
      <c r="T2595" t="inlineStr"/>
      <c r="U2595">
        <f>290*U2594/1000</f>
        <v/>
      </c>
      <c r="V2595" t="inlineStr"/>
    </row>
    <row r="2596">
      <c r="A2596">
        <f>Skills!A5</f>
        <v/>
      </c>
      <c r="B2596">
        <f>Skills!B5</f>
        <v/>
      </c>
      <c r="C2596">
        <f>Inputs!$B$3&gt;=35</f>
        <v/>
      </c>
      <c r="D2596">
        <f>IF(Skills!C5=1,60+Inputs!$B$25+Inputs!$B$29,IF(Skills!C5=2,90+Inputs!$B$26+Inputs!$B$29,IF(Skills!C5=3,120+Inputs!$B$27+Inputs!$B$29,MAX(0,(Inputs!$B$3-100)*3)+Inputs!$B$28+Inputs!$B$29)))</f>
        <v/>
      </c>
      <c r="E2596">
        <f>INDEX(FactorTable!$B$2:$Y$301, MATCH(ROUND(MIN(300,MAX(1,D2596)),0), FactorTable!$A$2:$A$301,0), Skills!M5+1)</f>
        <v/>
      </c>
      <c r="F2596">
        <f>IF(Skills!N5=TRUE,(Skills!L5/10)*(E2596/1000),Skills!L5/10)+Skills!O5</f>
        <v/>
      </c>
      <c r="G2596">
        <f>Skills!G5*IF(Skills!H5&gt;0,Skills!I5/Skills!H5,1)</f>
        <v/>
      </c>
      <c r="H2596">
        <f>1-(1-Skills!J5/100)^Skills!K5</f>
        <v/>
      </c>
      <c r="I2596" t="inlineStr">
        <is>
          <t>1</t>
        </is>
      </c>
      <c r="J2596">
        <f>((Inputs!$B$6*(1+Inputs!$B$7/100))+(((Inputs!$B$12*(1+Inputs!$B$13/100))-(Inputs!$B$12*(1+Inputs!$B$13/100)))+0.25*(Inputs!$B$14-Inputs!$B$14))*(1+Inputs!$B$7/100))*(F2596/100)</f>
        <v/>
      </c>
      <c r="K2596">
        <f>J2596*(1+((Inputs!$B$12*(1+Inputs!$B$13/100))*0.01+Inputs!$B$14*0.0025)/100)*(1+Inputs!$B$15/100)*(1+Inputs!$B$16/100)*(5000/(6000+Inputs!$B$42*(1-(100*(1-(1-(Inputs!$B$19+0)/100)*(1-CHOOSE(ArtifactsInput!$N$40+1,5,6,7,8,9,10)/100)^(ArtifactsInput!$M$40-ArtifactsInput!$M$40)))/100)))*(1+(Inputs!$B$24+((C2615=TRUE)*(F2615-Calc!F24))+((C2616=TRUE)*(F2616-Calc!F25))+B2629)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2599=TRUE,F2599,0)/100)*(1+(IF(Skills!A5="EMPOWERED_PIERCING_ARROW",Inputs!$B$17+((C2613=TRUE)*(F2613-Calc!F22))+(((IF(AND(ArtifactsInput!$M$42,((Inputs!$B$9+((C2610=TRUE)*(F2610-Calc!F19))+B2623+(ArtifactsInput!$M$24-ArtifactsInput!$M$24)*CHOOSE(ArtifactsInput!$N$24+1,10,12,14,16,18,20)+IF(ArtifactsInput!$M$10,CHOOSE(ArtifactsInput!$N$10+1,15,18,21,24,27,30)*(IF(Inputs!$B$38="pvp",MIN(15,15)/15,IF(AND(Inputs!$B$38&lt;&gt;"pvp",Inputs!$B$43&gt;0),MIN(15,Inputs!$B$43)/(Inputs!$B$43),0))),0)))&gt;=100),MIN(100,((Inputs!$B$9+((C2610=TRUE)*(F2610-Calc!F19))+B2623+(ArtifactsInput!$M$24-ArtifactsInput!$M$24)*CHOOSE(ArtifactsInput!$N$24+1,10,12,14,16,18,20)+IF(ArtifactsInput!$M$10,CHOOSE(ArtifactsInput!$N$10+1,15,18,21,24,27,30)*(IF(Inputs!$B$38="pvp",MIN(15,15)/15,IF(AND(Inputs!$B$38&lt;&gt;"pvp",Inputs!$B$43&gt;0),MIN(15,Inputs!$B$43)/(Inputs!$B$43),0))),0)))-100),0))*CHOOSE(ArtifactsInput!$N$42+1,0.6,0.72,0.84,0.96,1.08,1.2))),Inputs!$B$18+((C2618=TRUE)*(F2618-Calc!F27))+(IF(AND(ArtifactsInput!$M$42,((Inputs!$B$9+((C2610=TRUE)*(F2610-Calc!F19))+B2623+(ArtifactsInput!$M$24-ArtifactsInput!$M$24)*CHOOSE(ArtifactsInput!$N$24+1,10,12,14,16,18,20)+IF(ArtifactsInput!$M$10,CHOOSE(ArtifactsInput!$N$10+1,15,18,21,24,27,30)*(IF(Inputs!$B$38="pvp",MIN(15,15)/15,IF(AND(Inputs!$B$38&lt;&gt;"pvp",Inputs!$B$43&gt;0),MIN(15,Inputs!$B$43)/(Inputs!$B$43),0))),0)))&gt;=100),CHOOSE(ArtifactsInput!$N$42+1,40,48,56,64,72,80),0))))/100)*((1+(((C2604=TRUE)*F2604)+((C2605=TRUE)*IF(Inputs!$B$38="pvp",F2605,(1-Summary!$B$11)*(F2605)+Summary!$B$11*(0)))+((C2606=TRUE)*F2606*IF(AND(Inputs!$B$38&lt;&gt;"pvp",Inputs!$B$43&gt;0),(((R2606-1)*(Skills!T15*(1+Inputs!$B$34/100))+MIN((Skills!T15*(1+Inputs!$B$34/100)),MAX(0,Inputs!$B$43-((R2606-1)*Skills!D15))))/Inputs!$B$43),IF(Inputs!$B$38="pvp",MIN((Skills!T15*(1+Inputs!$B$34/100)),15)/15,(Skills!T15*(1+Inputs!$B$34/100))/Skills!D15)))+((C2603=TRUE)*F2603)+((C2620=TRUE)*(F2620-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IF(ArtifactsInput!$M$37,FALSE,TRUE),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2596)</f>
        <v/>
      </c>
      <c r="L2596">
        <f>K2596*(MIN(Inputs!$B$22+((C2614=TRUE)*(F2614-Calc!F23)),(Inputs!$B$23+((C2619=TRUE)*(F2619-Calc!F28))+(IF(ArtifactsInput!$M$15,CHOOSE(ArtifactsInput!$N$15+1,25,30,35,40,45,50)/100*(Inputs!$B$11-Inputs!$B$11),0))))/100+(Inputs!$B$23+((C2619=TRUE)*(F2619-Calc!F28))+(IF(ArtifactsInput!$M$15,CHOOSE(ArtifactsInput!$N$15+1,25,30,35,40,45,50)/100*(Inputs!$B$11-Inputs!$B$11),0)))/100)/2</f>
        <v/>
      </c>
      <c r="M2596">
        <f>L2596*(1+(Inputs!$B$10+0+B2628+(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596">
        <f>L2596*(1-MIN((Inputs!$B$9+((C2610=TRUE)*(F2610-Calc!F19))+B2623+(ArtifactsInput!$M$24-ArtifactsInput!$M$24)*CHOOSE(ArtifactsInput!$N$24+1,10,12,14,16,18,20)+(IF(AND(ArtifactsInput!$M$42,((Inputs!$B$9+((C2610=TRUE)*(F2610-Calc!F19))+B2623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2596*(MIN((Inputs!$B$9+((C2610=TRUE)*(F2610-Calc!F19))+B2623+(ArtifactsInput!$M$24-ArtifactsInput!$M$24)*CHOOSE(ArtifactsInput!$N$24+1,10,12,14,16,18,20)+(IF(AND(ArtifactsInput!$M$42,((Inputs!$B$9+((C2610=TRUE)*(F2610-Calc!F19))+B2623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596">
        <f>(1-Summary!$B$11)*T2596+Summary!$B$11*V2596</f>
        <v/>
      </c>
      <c r="P2596">
        <f>IF(B2633=0,0,O2596/B2633)</f>
        <v/>
      </c>
      <c r="Q2596">
        <f>IFERROR(1/IF(Inputs!$B$38="pvp",15,MAX(0.1,Skills!D5-IF(Skills!E5=TRUE,Inputs!$B$32,0))),0)</f>
        <v/>
      </c>
      <c r="R2596">
        <f>IF(AND(Inputs!$B$38&lt;&gt;"pvp",Inputs!$B$43&gt;0),IF(MAX(0,Inputs!$B$43-B2630)&lt;=0,0,(INT(MAX(0,Inputs!$B$43-B2630)/IF(Inputs!$B$38="pvp",15,MAX(0.1,Skills!D5-IF(Skills!E5=TRUE,Inputs!$B$32,0))))+1)),0)</f>
        <v/>
      </c>
      <c r="S2596">
        <f>IFERROR((H2596*N2596*IF(AND(Inputs!$B$38&lt;&gt;"pvp",Inputs!$B$43&gt;0),((Skills!G5*((R2596-1)*IF(Skills!H5&gt;0,Skills!I5/Skills!H5,1)+IF(Skills!H5&gt;0,MIN(Skills!I5,MAX(0,MAX(0,Inputs!$B$43-B2630)-((R2596-1)*IF(Inputs!$B$38="pvp",15,MAX(0.1,Skills!D5-IF(Skills!E5=TRUE,Inputs!$B$32,0))))))/Skills!H5,1)))/Inputs!$B$43),G2596*Q2596))/N2596*IF(Inputs!$B$38="pvp",1,(1-Summary!$B$11)*1+Summary!$B$11*(MIN(Skills!R5,Inputs!$B$37))),0)</f>
        <v/>
      </c>
      <c r="T2596">
        <f>IF(C2596,(H2596*N2596*IF(AND(Inputs!$B$38&lt;&gt;"pvp",Inputs!$B$43&gt;0),((Skills!G5*((R2596-1)*IF(Skills!H5&gt;0,Skills!I5/Skills!H5,1)+IF(Skills!H5&gt;0,MIN(Skills!I5,MAX(0,MAX(0,Inputs!$B$43-B2630)-((R2596-1)*IF(Inputs!$B$38="pvp",15,MAX(0.1,Skills!D5-IF(Skills!E5=TRUE,Inputs!$B$32,0))))))/Skills!H5,1)))/Inputs!$B$43),G2596*Q2596))*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Hunt"),CHOOSE(ArtifactsInput!$N$35+1,15,18,21,24,27,30)*(1-EXP(-(0.2*B2625)*5)),0)+IF(AND(ArtifactsInput!$M$22,Inputs!$B$4&lt;&gt;"Chapter Hunt"),CHOOSE(ArtifactsInput!$N$22+1,10,12,14,16,18,20)*((0*(((0.15*B2625*5))^0/1)+1*(((0.15*B2625*5))^1/1)+2*(((0.15*B2625*5))^2/2)+3*(((0.15*B2625*5))^3/6)+4*(((0.15*B2625*5))^4/24)+5*(((0.15*B2625*5))^5/120))/((((0.15*B2625*5))^0/1)+(((0.15*B2625*5))^1/1)+(((0.15*B2625*5))^2/2)+(((0.15*B2625*5))^3/6)+(((0.15*B2625*5))^4/24)+(((0.15*B2625*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2596*(1-MIN(100,(Inputs!$B$9+((C2610=TRUE)*(F2610-Calc!F19))+B2623+(ArtifactsInput!$M$24-ArtifactsInput!$M$24)*CHOOSE(ArtifactsInput!$N$24+1,10,12,14,16,18,20)+(IF(AND(ArtifactsInput!$M$42,((Inputs!$B$9+((C2610=TRUE)*(F2610-Calc!F19))+B2623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2596*(MIN(100,(Inputs!$B$9+((C2610=TRUE)*(F2610-Calc!F19))+B2623+(ArtifactsInput!$M$24-ArtifactsInput!$M$24)*CHOOSE(ArtifactsInput!$N$24+1,10,12,14,16,18,20)+(IF(AND(ArtifactsInput!$M$42,((Inputs!$B$9+((C2610=TRUE)*(F2610-Calc!F19))+B2623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2596*(1-MIN(100,(Inputs!$B$9+((C2610=TRUE)*(F2610-Calc!F19))+B2623+(ArtifactsInput!$M$24-ArtifactsInput!$M$24)*CHOOSE(ArtifactsInput!$N$24+1,10,12,14,16,18,20)+(IF(AND(ArtifactsInput!$M$42,((Inputs!$B$9+((C2610=TRUE)*(F2610-Calc!F19))+B2623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2596*(MIN(100,(Inputs!$B$9+((C2610=TRUE)*(F2610-Calc!F19))+B2623+(ArtifactsInput!$M$24-ArtifactsInput!$M$24)*CHOOSE(ArtifactsInput!$N$24+1,10,12,14,16,18,20)+(IF(AND(ArtifactsInput!$M$42,((Inputs!$B$9+((C2610=TRUE)*(F2610-Calc!F19))+B2623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596">
        <f>IF(C2596,(H2596*N2596*IF(AND(Inputs!$B$38&lt;&gt;"pvp",Inputs!$B$43&gt;0),((Skills!G5*((R2596-1)*IF(Skills!H5&gt;0,Skills!I5/Skills!H5,1)+IF(Skills!H5&gt;0,MIN(Skills!I5,MAX(0,MAX(0,Inputs!$B$43-B2630)-((R2596-1)*IF(Inputs!$B$38="pvp",15,MAX(0.1,Skills!D5-IF(Skills!E5=TRUE,Inputs!$B$32,0))))))/Skills!H5,1)))/Inputs!$B$43),G2596*Q2596))*IF(Inputs!$B$38="pvp",1,(1+(Inputs!$B$21+Skills!Q5+(IF(ArtifactsInput!$M$33,CHOOSE(ArtifactsInput!$N$33+1,30,36,42,48,54,60),0))+(IF(AND(ArtifactsInput!$M$35,Inputs!$B$4&lt;&gt;"Chapter Hunt"),CHOOSE(ArtifactsInput!$N$35+1,15,18,21,24,27,30)*(1-EXP(-(0.2*B2625)*5)),0)+IF(AND(ArtifactsInput!$M$22,Inputs!$B$4&lt;&gt;"Chapter Hunt"),CHOOSE(ArtifactsInput!$N$22+1,10,12,14,16,18,20)*((0*(((0.15*B2625*5))^0/1)+1*(((0.15*B2625*5))^1/1)+2*(((0.15*B2625*5))^2/2)+3*(((0.15*B2625*5))^3/6)+4*(((0.15*B2625*5))^4/24)+5*(((0.15*B2625*5))^5/120))/((((0.15*B2625*5))^0/1)+(((0.15*B2625*5))^1/1)+(((0.15*B2625*5))^2/2)+(((0.15*B2625*5))^3/6)+(((0.15*B2625*5))^4/24)+(((0.15*B2625*5))^5/120)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597">
      <c r="A2597">
        <f>Skills!A6</f>
        <v/>
      </c>
      <c r="B2597">
        <f>Skills!B6</f>
        <v/>
      </c>
      <c r="C2597">
        <f>Inputs!$B$3&gt;=63</f>
        <v/>
      </c>
      <c r="D2597">
        <f>IF(Skills!C6=1,60+Inputs!$B$25+Inputs!$B$29,IF(Skills!C6=2,90+Inputs!$B$26+Inputs!$B$29,IF(Skills!C6=3,120+Inputs!$B$27+Inputs!$B$29,MAX(0,(Inputs!$B$3-100)*3)+Inputs!$B$28+Inputs!$B$29)))</f>
        <v/>
      </c>
      <c r="E2597">
        <f>INDEX(FactorTable!$B$2:$Y$301, MATCH(ROUND(MIN(300,MAX(1,D2597)),0), FactorTable!$A$2:$A$301,0), Skills!M6+1)</f>
        <v/>
      </c>
      <c r="F2597">
        <f>IF(Skills!N6=TRUE,(Skills!L6/10)*(E2597/1000),Skills!L6/10)+Skills!O6</f>
        <v/>
      </c>
      <c r="G2597">
        <f>Skills!G6*IF(Skills!H6&gt;0,Skills!I6/Skills!H6,1)</f>
        <v/>
      </c>
      <c r="H2597">
        <f>1-(1-Skills!J6/100)^Skills!K6</f>
        <v/>
      </c>
      <c r="I2597" t="inlineStr">
        <is>
          <t>1</t>
        </is>
      </c>
      <c r="J2597">
        <f>((Inputs!$B$6*(1+Inputs!$B$7/100))+(((Inputs!$B$12*(1+Inputs!$B$13/100))-(Inputs!$B$12*(1+Inputs!$B$13/100)))+0.25*(Inputs!$B$14-Inputs!$B$14))*(1+Inputs!$B$7/100))*(F2597/100)</f>
        <v/>
      </c>
      <c r="K2597">
        <f>J2597*(1+((Inputs!$B$12*(1+Inputs!$B$13/100))*0.01+Inputs!$B$14*0.0025)/100)*(1+Inputs!$B$15/100)*(1+Inputs!$B$16/100)*(5000/(6000+Inputs!$B$42*(1-(100*(1-(1-(Inputs!$B$19+0)/100)*(1-CHOOSE(ArtifactsInput!$N$40+1,5,6,7,8,9,10)/100)^(ArtifactsInput!$M$40-ArtifactsInput!$M$40)))/100)))*(1+(Inputs!$B$24+((C2615=TRUE)*(F2615-Calc!F24))+((C2616=TRUE)*(F2616-Calc!F25))+B2629)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2599=TRUE,F2599,0)/100)*(1+(IF(Skills!A6="EMPOWERED_PIERCING_ARROW",Inputs!$B$17+((C2613=TRUE)*(F2613-Calc!F22))+(((IF(AND(ArtifactsInput!$M$42,((Inputs!$B$9+((C2610=TRUE)*(F2610-Calc!F19))+B2623+(ArtifactsInput!$M$24-ArtifactsInput!$M$24)*CHOOSE(ArtifactsInput!$N$24+1,10,12,14,16,18,20)+IF(ArtifactsInput!$M$10,CHOOSE(ArtifactsInput!$N$10+1,15,18,21,24,27,30)*(IF(Inputs!$B$38="pvp",MIN(15,15)/15,IF(AND(Inputs!$B$38&lt;&gt;"pvp",Inputs!$B$43&gt;0),MIN(15,Inputs!$B$43)/(Inputs!$B$43),0))),0)))&gt;=100),MIN(100,((Inputs!$B$9+((C2610=TRUE)*(F2610-Calc!F19))+B2623+(ArtifactsInput!$M$24-ArtifactsInput!$M$24)*CHOOSE(ArtifactsInput!$N$24+1,10,12,14,16,18,20)+IF(ArtifactsInput!$M$10,CHOOSE(ArtifactsInput!$N$10+1,15,18,21,24,27,30)*(IF(Inputs!$B$38="pvp",MIN(15,15)/15,IF(AND(Inputs!$B$38&lt;&gt;"pvp",Inputs!$B$43&gt;0),MIN(15,Inputs!$B$43)/(Inputs!$B$43),0))),0)))-100),0))*CHOOSE(ArtifactsInput!$N$42+1,0.6,0.72,0.84,0.96,1.08,1.2))),Inputs!$B$18+((C2618=TRUE)*(F2618-Calc!F27))+(IF(AND(ArtifactsInput!$M$42,((Inputs!$B$9+((C2610=TRUE)*(F2610-Calc!F19))+B2623+(ArtifactsInput!$M$24-ArtifactsInput!$M$24)*CHOOSE(ArtifactsInput!$N$24+1,10,12,14,16,18,20)+IF(ArtifactsInput!$M$10,CHOOSE(ArtifactsInput!$N$10+1,15,18,21,24,27,30)*(IF(Inputs!$B$38="pvp",MIN(15,15)/15,IF(AND(Inputs!$B$38&lt;&gt;"pvp",Inputs!$B$43&gt;0),MIN(15,Inputs!$B$43)/(Inputs!$B$43),0))),0)))&gt;=100),CHOOSE(ArtifactsInput!$N$42+1,40,48,56,64,72,80),0))))/100)*((1+(((C2604=TRUE)*F2604)+((C2605=TRUE)*IF(Inputs!$B$38="pvp",F2605,(1-Summary!$B$11)*(F2605)+Summary!$B$11*(0)))+((C2606=TRUE)*F2606*IF(AND(Inputs!$B$38&lt;&gt;"pvp",Inputs!$B$43&gt;0),(((R2606-1)*(Skills!T15*(1+Inputs!$B$34/100))+MIN((Skills!T15*(1+Inputs!$B$34/100)),MAX(0,Inputs!$B$43-((R2606-1)*Skills!D15))))/Inputs!$B$43),IF(Inputs!$B$38="pvp",MIN((Skills!T15*(1+Inputs!$B$34/100)),15)/15,(Skills!T15*(1+Inputs!$B$34/100))/Skills!D15)))+((C2603=TRUE)*F2603)+((C2620=TRUE)*(F2620-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IF(ArtifactsInput!$M$37,FALSE,TRUE),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2597)</f>
        <v/>
      </c>
      <c r="L2597">
        <f>K2597*(MIN(Inputs!$B$22+((C2614=TRUE)*(F2614-Calc!F23)),(Inputs!$B$23+((C2619=TRUE)*(F2619-Calc!F28))+(IF(ArtifactsInput!$M$15,CHOOSE(ArtifactsInput!$N$15+1,25,30,35,40,45,50)/100*(Inputs!$B$11-Inputs!$B$11),0))))/100+(Inputs!$B$23+((C2619=TRUE)*(F2619-Calc!F28))+(IF(ArtifactsInput!$M$15,CHOOSE(ArtifactsInput!$N$15+1,25,30,35,40,45,50)/100*(Inputs!$B$11-Inputs!$B$11),0)))/100)/2</f>
        <v/>
      </c>
      <c r="M2597">
        <f>L2597*(1+(Inputs!$B$10+0+B2628+(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597">
        <f>L2597*(1-MIN((Inputs!$B$9+((C2610=TRUE)*(F2610-Calc!F19))+B2623+(ArtifactsInput!$M$24-ArtifactsInput!$M$24)*CHOOSE(ArtifactsInput!$N$24+1,10,12,14,16,18,20)+(IF(AND(ArtifactsInput!$M$42,((Inputs!$B$9+((C2610=TRUE)*(F2610-Calc!F19))+B2623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2597*(MIN((Inputs!$B$9+((C2610=TRUE)*(F2610-Calc!F19))+B2623+(ArtifactsInput!$M$24-ArtifactsInput!$M$24)*CHOOSE(ArtifactsInput!$N$24+1,10,12,14,16,18,20)+(IF(AND(ArtifactsInput!$M$42,((Inputs!$B$9+((C2610=TRUE)*(F2610-Calc!F19))+B2623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597">
        <f>(1-Summary!$B$11)*T2597+Summary!$B$11*V2597</f>
        <v/>
      </c>
      <c r="P2597">
        <f>IF(B2633=0,0,O2597/B2633)</f>
        <v/>
      </c>
      <c r="Q2597">
        <f>IFERROR(1/IF(Inputs!$B$38="pvp",15,MAX(0.1,Skills!D6-IF(Skills!E6=TRUE,Inputs!$B$32,0))),0)</f>
        <v/>
      </c>
      <c r="R2597">
        <f>IF(AND(Inputs!$B$38&lt;&gt;"pvp",Inputs!$B$43&gt;0),IF(MAX(0,Inputs!$B$43-B2630)&lt;=0,0,(INT(MAX(0,Inputs!$B$43-B2630)/IF(Inputs!$B$38="pvp",15,MAX(0.1,Skills!D6-IF(Skills!E6=TRUE,Inputs!$B$32,0))))+1)),0)</f>
        <v/>
      </c>
      <c r="S2597">
        <f>IFERROR((H2597*N2597*IF(AND(Inputs!$B$38&lt;&gt;"pvp",Inputs!$B$43&gt;0),((Skills!G6*((R2597-1)*IF(Skills!H6&gt;0,Skills!I6/Skills!H6,1)+IF(Skills!H6&gt;0,MIN(Skills!I6,MAX(0,MAX(0,Inputs!$B$43-B2630)-((R2597-1)*IF(Inputs!$B$38="pvp",15,MAX(0.1,Skills!D6-IF(Skills!E6=TRUE,Inputs!$B$32,0))))))/Skills!H6,1)))/Inputs!$B$43),G2597*Q2597))/N2597*IF(Inputs!$B$38="pvp",1,(1-Summary!$B$11)*1+Summary!$B$11*(MIN(Skills!R6,Inputs!$B$37))),0)</f>
        <v/>
      </c>
      <c r="T2597">
        <f>IF(C2597,(H2597*N2597*IF(AND(Inputs!$B$38&lt;&gt;"pvp",Inputs!$B$43&gt;0),((Skills!G6*((R2597-1)*IF(Skills!H6&gt;0,Skills!I6/Skills!H6,1)+IF(Skills!H6&gt;0,MIN(Skills!I6,MAX(0,MAX(0,Inputs!$B$43-B2630)-((R2597-1)*IF(Inputs!$B$38="pvp",15,MAX(0.1,Skills!D6-IF(Skills!E6=TRUE,Inputs!$B$32,0))))))/Skills!H6,1)))/Inputs!$B$43),G2597*Q2597))*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Hunt"),CHOOSE(ArtifactsInput!$N$35+1,15,18,21,24,27,30)*(1-EXP(-(0.2*B2625)*5)),0)+IF(AND(ArtifactsInput!$M$22,Inputs!$B$4&lt;&gt;"Chapter Hunt"),CHOOSE(ArtifactsInput!$N$22+1,10,12,14,16,18,20)*((0*(((0.15*B2625*5))^0/1)+1*(((0.15*B2625*5))^1/1)+2*(((0.15*B2625*5))^2/2)+3*(((0.15*B2625*5))^3/6)+4*(((0.15*B2625*5))^4/24)+5*(((0.15*B2625*5))^5/120))/((((0.15*B2625*5))^0/1)+(((0.15*B2625*5))^1/1)+(((0.15*B2625*5))^2/2)+(((0.15*B2625*5))^3/6)+(((0.15*B2625*5))^4/24)+(((0.15*B2625*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2597*(1-MIN(100,(Inputs!$B$9+((C2610=TRUE)*(F2610-Calc!F19))+B2623+(ArtifactsInput!$M$24-ArtifactsInput!$M$24)*CHOOSE(ArtifactsInput!$N$24+1,10,12,14,16,18,20)+(IF(AND(ArtifactsInput!$M$42,((Inputs!$B$9+((C2610=TRUE)*(F2610-Calc!F19))+B2623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2597*(MIN(100,(Inputs!$B$9+((C2610=TRUE)*(F2610-Calc!F19))+B2623+(ArtifactsInput!$M$24-ArtifactsInput!$M$24)*CHOOSE(ArtifactsInput!$N$24+1,10,12,14,16,18,20)+(IF(AND(ArtifactsInput!$M$42,((Inputs!$B$9+((C2610=TRUE)*(F2610-Calc!F19))+B2623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2597*(1-MIN(100,(Inputs!$B$9+((C2610=TRUE)*(F2610-Calc!F19))+B2623+(ArtifactsInput!$M$24-ArtifactsInput!$M$24)*CHOOSE(ArtifactsInput!$N$24+1,10,12,14,16,18,20)+(IF(AND(ArtifactsInput!$M$42,((Inputs!$B$9+((C2610=TRUE)*(F2610-Calc!F19))+B2623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2597*(MIN(100,(Inputs!$B$9+((C2610=TRUE)*(F2610-Calc!F19))+B2623+(ArtifactsInput!$M$24-ArtifactsInput!$M$24)*CHOOSE(ArtifactsInput!$N$24+1,10,12,14,16,18,20)+(IF(AND(ArtifactsInput!$M$42,((Inputs!$B$9+((C2610=TRUE)*(F2610-Calc!F19))+B2623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597">
        <f>IF(C2597,(H2597*N2597*IF(AND(Inputs!$B$38&lt;&gt;"pvp",Inputs!$B$43&gt;0),((Skills!G6*((R2597-1)*IF(Skills!H6&gt;0,Skills!I6/Skills!H6,1)+IF(Skills!H6&gt;0,MIN(Skills!I6,MAX(0,MAX(0,Inputs!$B$43-B2630)-((R2597-1)*IF(Inputs!$B$38="pvp",15,MAX(0.1,Skills!D6-IF(Skills!E6=TRUE,Inputs!$B$32,0))))))/Skills!H6,1)))/Inputs!$B$43),G2597*Q2597))*IF(Inputs!$B$38="pvp",1,(1+(Inputs!$B$21+Skills!Q6+(IF(ArtifactsInput!$M$33,CHOOSE(ArtifactsInput!$N$33+1,30,36,42,48,54,60),0))+(IF(AND(ArtifactsInput!$M$35,Inputs!$B$4&lt;&gt;"Chapter Hunt"),CHOOSE(ArtifactsInput!$N$35+1,15,18,21,24,27,30)*(1-EXP(-(0.2*B2625)*5)),0)+IF(AND(ArtifactsInput!$M$22,Inputs!$B$4&lt;&gt;"Chapter Hunt"),CHOOSE(ArtifactsInput!$N$22+1,10,12,14,16,18,20)*((0*(((0.15*B2625*5))^0/1)+1*(((0.15*B2625*5))^1/1)+2*(((0.15*B2625*5))^2/2)+3*(((0.15*B2625*5))^3/6)+4*(((0.15*B2625*5))^4/24)+5*(((0.15*B2625*5))^5/120))/((((0.15*B2625*5))^0/1)+(((0.15*B2625*5))^1/1)+(((0.15*B2625*5))^2/2)+(((0.15*B2625*5))^3/6)+(((0.15*B2625*5))^4/24)+(((0.15*B2625*5))^5/120))),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598">
      <c r="A2598">
        <f>Skills!A7</f>
        <v/>
      </c>
      <c r="B2598">
        <f>Skills!B7</f>
        <v/>
      </c>
      <c r="C2598">
        <f>Inputs!$B$3&gt;=69</f>
        <v/>
      </c>
      <c r="D2598">
        <f>IF(Skills!C7=1,60+Inputs!$B$25+Inputs!$B$29,IF(Skills!C7=2,90+Inputs!$B$26+Inputs!$B$29,IF(Skills!C7=3,120+Inputs!$B$27+Inputs!$B$29,MAX(0,(Inputs!$B$3-100)*3)+Inputs!$B$28+Inputs!$B$29)))</f>
        <v/>
      </c>
      <c r="E2598">
        <f>INDEX(FactorTable!$B$2:$Y$301, MATCH(ROUND(MIN(300,MAX(1,D2598)),0), FactorTable!$A$2:$A$301,0), Skills!M7+1)</f>
        <v/>
      </c>
      <c r="F2598">
        <f>IF(Skills!N7=TRUE,(Skills!L7/10)*(E2598/1000),Skills!L7/10)+Skills!O7</f>
        <v/>
      </c>
      <c r="G2598">
        <f>Skills!G7*IF(Skills!H7&gt;0,Skills!I7/Skills!H7,1)</f>
        <v/>
      </c>
      <c r="H2598">
        <f>1-(1-Skills!J7/100)^Skills!K7</f>
        <v/>
      </c>
      <c r="I2598" t="inlineStr">
        <is>
          <t>1</t>
        </is>
      </c>
      <c r="J2598">
        <f>((Inputs!$B$6*(1+Inputs!$B$7/100))+(((Inputs!$B$12*(1+Inputs!$B$13/100))-(Inputs!$B$12*(1+Inputs!$B$13/100)))+0.25*(Inputs!$B$14-Inputs!$B$14))*(1+Inputs!$B$7/100))*(F2598/100)</f>
        <v/>
      </c>
      <c r="K2598">
        <f>J2598*(1+((Inputs!$B$12*(1+Inputs!$B$13/100))*0.01+Inputs!$B$14*0.0025)/100)*(1+Inputs!$B$15/100)*(1+Inputs!$B$16/100)*(5000/(6000+Inputs!$B$42*(1-(100*(1-(1-(Inputs!$B$19+0)/100)*(1-CHOOSE(ArtifactsInput!$N$40+1,5,6,7,8,9,10)/100)^(ArtifactsInput!$M$40-ArtifactsInput!$M$40)))/100)))*(1+(Inputs!$B$24+((C2615=TRUE)*(F2615-Calc!F24))+((C2616=TRUE)*(F2616-Calc!F25))+B2629)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+1.2*IF(C2599=TRUE,F2599,0)/100)*(1+(IF(Skills!A7="EMPOWERED_PIERCING_ARROW",Inputs!$B$17+((C2613=TRUE)*(F2613-Calc!F22))+(((IF(AND(ArtifactsInput!$M$42,((Inputs!$B$9+((C2610=TRUE)*(F2610-Calc!F19))+B2623+(ArtifactsInput!$M$24-ArtifactsInput!$M$24)*CHOOSE(ArtifactsInput!$N$24+1,10,12,14,16,18,20)+IF(ArtifactsInput!$M$10,CHOOSE(ArtifactsInput!$N$10+1,15,18,21,24,27,30)*(IF(Inputs!$B$38="pvp",MIN(15,15)/15,IF(AND(Inputs!$B$38&lt;&gt;"pvp",Inputs!$B$43&gt;0),MIN(15,Inputs!$B$43)/(Inputs!$B$43),0))),0)))&gt;=100),MIN(100,((Inputs!$B$9+((C2610=TRUE)*(F2610-Calc!F19))+B2623+(ArtifactsInput!$M$24-ArtifactsInput!$M$24)*CHOOSE(ArtifactsInput!$N$24+1,10,12,14,16,18,20)+IF(ArtifactsInput!$M$10,CHOOSE(ArtifactsInput!$N$10+1,15,18,21,24,27,30)*(IF(Inputs!$B$38="pvp",MIN(15,15)/15,IF(AND(Inputs!$B$38&lt;&gt;"pvp",Inputs!$B$43&gt;0),MIN(15,Inputs!$B$43)/(Inputs!$B$43),0))),0)))-100),0))*CHOOSE(ArtifactsInput!$N$42+1,0.6,0.72,0.84,0.96,1.08,1.2))),Inputs!$B$18+((C2618=TRUE)*(F2618-Calc!F27))+(IF(AND(ArtifactsInput!$M$42,((Inputs!$B$9+((C2610=TRUE)*(F2610-Calc!F19))+B2623+(ArtifactsInput!$M$24-ArtifactsInput!$M$24)*CHOOSE(ArtifactsInput!$N$24+1,10,12,14,16,18,20)+IF(ArtifactsInput!$M$10,CHOOSE(ArtifactsInput!$N$10+1,15,18,21,24,27,30)*(IF(Inputs!$B$38="pvp",MIN(15,15)/15,IF(AND(Inputs!$B$38&lt;&gt;"pvp",Inputs!$B$43&gt;0),MIN(15,Inputs!$B$43)/(Inputs!$B$43),0))),0)))&gt;=100),CHOOSE(ArtifactsInput!$N$42+1,40,48,56,64,72,80),0))))/100)*((1+(((C2604=TRUE)*F2604)+((C2605=TRUE)*IF(Inputs!$B$38="pvp",F2605,(1-Summary!$B$11)*(F2605)+Summary!$B$11*(0)))+((C2606=TRUE)*F2606*IF(AND(Inputs!$B$38&lt;&gt;"pvp",Inputs!$B$43&gt;0),(((R2606-1)*(Skills!T15*(1+Inputs!$B$34/100))+MIN((Skills!T15*(1+Inputs!$B$34/100)),MAX(0,Inputs!$B$43-((R2606-1)*Skills!D15))))/Inputs!$B$43),IF(Inputs!$B$38="pvp",MIN((Skills!T15*(1+Inputs!$B$34/100)),15)/15,(Skills!T15*(1+Inputs!$B$34/100))/Skills!D15)))+((C2603=TRUE)*F2603)+((C2620=TRUE)*(F2620-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IF(ArtifactsInput!$M$37,FALSE,TRUE),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2598)</f>
        <v/>
      </c>
      <c r="L2598">
        <f>K2598*(MIN(Inputs!$B$22+((C2614=TRUE)*(F2614-Calc!F23)),(Inputs!$B$23+((C2619=TRUE)*(F2619-Calc!F28))+(IF(ArtifactsInput!$M$15,CHOOSE(ArtifactsInput!$N$15+1,25,30,35,40,45,50)/100*(Inputs!$B$11-Inputs!$B$11),0))))/100+(Inputs!$B$23+((C2619=TRUE)*(F2619-Calc!F28))+(IF(ArtifactsInput!$M$15,CHOOSE(ArtifactsInput!$N$15+1,25,30,35,40,45,50)/100*(Inputs!$B$11-Inputs!$B$11),0)))/100)/2</f>
        <v/>
      </c>
      <c r="M2598">
        <f>L2598*(1+(Inputs!$B$10+0+B2628+(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598">
        <f>L2598*(1-MIN((Inputs!$B$9+((C2610=TRUE)*(F2610-Calc!F19))+B2623+(ArtifactsInput!$M$24-ArtifactsInput!$M$24)*CHOOSE(ArtifactsInput!$N$24+1,10,12,14,16,18,20)+(IF(AND(ArtifactsInput!$M$42,((Inputs!$B$9+((C2610=TRUE)*(F2610-Calc!F19))+B2623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2598*(MIN((Inputs!$B$9+((C2610=TRUE)*(F2610-Calc!F19))+B2623+(ArtifactsInput!$M$24-ArtifactsInput!$M$24)*CHOOSE(ArtifactsInput!$N$24+1,10,12,14,16,18,20)+(IF(AND(ArtifactsInput!$M$42,((Inputs!$B$9+((C2610=TRUE)*(F2610-Calc!F19))+B2623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598">
        <f>(1-Summary!$B$11)*T2598+Summary!$B$11*V2598</f>
        <v/>
      </c>
      <c r="P2598">
        <f>IF(B2633=0,0,O2598/B2633)</f>
        <v/>
      </c>
      <c r="Q2598">
        <f>IFERROR(1/IF(Inputs!$B$38="pvp",15,MAX(0.1,Skills!D7-IF(Skills!E7=TRUE,Inputs!$B$32,0))),0)</f>
        <v/>
      </c>
      <c r="R2598">
        <f>IF(AND(Inputs!$B$38&lt;&gt;"pvp",Inputs!$B$43&gt;0),IF(MAX(0,Inputs!$B$43-B2630)&lt;=0,0,(INT(MAX(0,Inputs!$B$43-B2630)/IF(Inputs!$B$38="pvp",15,MAX(0.1,Skills!D7-IF(Skills!E7=TRUE,Inputs!$B$32,0))))+1)),0)</f>
        <v/>
      </c>
      <c r="S2598">
        <f>IFERROR((H2598*N2598*IF(AND(Inputs!$B$38&lt;&gt;"pvp",Inputs!$B$43&gt;0),((Skills!G7*((R2598-1)*IF(Skills!H7&gt;0,Skills!I7/Skills!H7,1)+IF(Skills!H7&gt;0,MIN(Skills!I7,MAX(0,MAX(0,Inputs!$B$43-B2630)-((R2598-1)*IF(Inputs!$B$38="pvp",15,MAX(0.1,Skills!D7-IF(Skills!E7=TRUE,Inputs!$B$32,0))))))/Skills!H7,1)))/Inputs!$B$43),G2598*Q2598))/N2598*IF(Inputs!$B$38="pvp",1,(1-Summary!$B$11)*1+Summary!$B$11*(MIN(Skills!R7,Inputs!$B$37))),0)</f>
        <v/>
      </c>
      <c r="T2598">
        <f>IF(C2598,(H2598*N2598*IF(AND(Inputs!$B$38&lt;&gt;"pvp",Inputs!$B$43&gt;0),((Skills!G7*((R2598-1)*IF(Skills!H7&gt;0,Skills!I7/Skills!H7,1)+IF(Skills!H7&gt;0,MIN(Skills!I7,MAX(0,MAX(0,Inputs!$B$43-B2630)-((R2598-1)*IF(Inputs!$B$38="pvp",15,MAX(0.1,Skills!D7-IF(Skills!E7=TRUE,Inputs!$B$32,0))))))/Skills!H7,1)))/Inputs!$B$43),G2598*Q2598))*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Hunt"),CHOOSE(ArtifactsInput!$N$35+1,15,18,21,24,27,30)*(1-EXP(-(0.2*B2625)*5)),0)+IF(AND(ArtifactsInput!$M$22,Inputs!$B$4&lt;&gt;"Chapter Hunt"),CHOOSE(ArtifactsInput!$N$22+1,10,12,14,16,18,20)*((0*(((0.15*B2625*5))^0/1)+1*(((0.15*B2625*5))^1/1)+2*(((0.15*B2625*5))^2/2)+3*(((0.15*B2625*5))^3/6)+4*(((0.15*B2625*5))^4/24)+5*(((0.15*B2625*5))^5/120))/((((0.15*B2625*5))^0/1)+(((0.15*B2625*5))^1/1)+(((0.15*B2625*5))^2/2)+(((0.15*B2625*5))^3/6)+(((0.15*B2625*5))^4/24)+(((0.15*B2625*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2598*(1-MIN(100,(Inputs!$B$9+((C2610=TRUE)*(F2610-Calc!F19))+B2623+(ArtifactsInput!$M$24-ArtifactsInput!$M$24)*CHOOSE(ArtifactsInput!$N$24+1,10,12,14,16,18,20)+(IF(AND(ArtifactsInput!$M$42,((Inputs!$B$9+((C2610=TRUE)*(F2610-Calc!F19))+B2623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2598*(MIN(100,(Inputs!$B$9+((C2610=TRUE)*(F2610-Calc!F19))+B2623+(ArtifactsInput!$M$24-ArtifactsInput!$M$24)*CHOOSE(ArtifactsInput!$N$24+1,10,12,14,16,18,20)+(IF(AND(ArtifactsInput!$M$42,((Inputs!$B$9+((C2610=TRUE)*(F2610-Calc!F19))+B2623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2598*(1-MIN(100,(Inputs!$B$9+((C2610=TRUE)*(F2610-Calc!F19))+B2623+(ArtifactsInput!$M$24-ArtifactsInput!$M$24)*CHOOSE(ArtifactsInput!$N$24+1,10,12,14,16,18,20)+(IF(AND(ArtifactsInput!$M$42,((Inputs!$B$9+((C2610=TRUE)*(F2610-Calc!F19))+B2623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2598*(MIN(100,(Inputs!$B$9+((C2610=TRUE)*(F2610-Calc!F19))+B2623+(ArtifactsInput!$M$24-ArtifactsInput!$M$24)*CHOOSE(ArtifactsInput!$N$24+1,10,12,14,16,18,20)+(IF(AND(ArtifactsInput!$M$42,((Inputs!$B$9+((C2610=TRUE)*(F2610-Calc!F19))+B2623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598">
        <f>IF(C2598,(H2598*N2598*IF(AND(Inputs!$B$38&lt;&gt;"pvp",Inputs!$B$43&gt;0),((Skills!G7*((R2598-1)*IF(Skills!H7&gt;0,Skills!I7/Skills!H7,1)+IF(Skills!H7&gt;0,MIN(Skills!I7,MAX(0,MAX(0,Inputs!$B$43-B2630)-((R2598-1)*IF(Inputs!$B$38="pvp",15,MAX(0.1,Skills!D7-IF(Skills!E7=TRUE,Inputs!$B$32,0))))))/Skills!H7,1)))/Inputs!$B$43),G2598*Q2598))*IF(Inputs!$B$38="pvp",1,(1+(Inputs!$B$21+Skills!Q7+(IF(ArtifactsInput!$M$33,CHOOSE(ArtifactsInput!$N$33+1,30,36,42,48,54,60),0))+(IF(AND(ArtifactsInput!$M$35,Inputs!$B$4&lt;&gt;"Chapter Hunt"),CHOOSE(ArtifactsInput!$N$35+1,15,18,21,24,27,30)*(1-EXP(-(0.2*B2625)*5)),0)+IF(AND(ArtifactsInput!$M$22,Inputs!$B$4&lt;&gt;"Chapter Hunt"),CHOOSE(ArtifactsInput!$N$22+1,10,12,14,16,18,20)*((0*(((0.15*B2625*5))^0/1)+1*(((0.15*B2625*5))^1/1)+2*(((0.15*B2625*5))^2/2)+3*(((0.15*B2625*5))^3/6)+4*(((0.15*B2625*5))^4/24)+5*(((0.15*B2625*5))^5/120))/((((0.15*B2625*5))^0/1)+(((0.15*B2625*5))^1/1)+(((0.15*B2625*5))^2/2)+(((0.15*B2625*5))^3/6)+(((0.15*B2625*5))^4/24)+(((0.15*B2625*5))^5/120))),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599">
      <c r="A2599">
        <f>Skills!A8</f>
        <v/>
      </c>
      <c r="B2599">
        <f>Skills!B8</f>
        <v/>
      </c>
      <c r="C2599">
        <f>Inputs!$B$3&gt;=100</f>
        <v/>
      </c>
      <c r="D2599">
        <f>IF(Skills!C8=1,60+Inputs!$B$25+Inputs!$B$29,IF(Skills!C8=2,90+Inputs!$B$26+Inputs!$B$29,IF(Skills!C8=3,120+Inputs!$B$27+Inputs!$B$29,MAX(0,(Inputs!$B$3-100)*3)+Inputs!$B$28+Inputs!$B$29)))</f>
        <v/>
      </c>
      <c r="E2599">
        <f>INDEX(FactorTable!$B$2:$Y$301, MATCH(ROUND(MIN(300,MAX(1,D2599)),0), FactorTable!$A$2:$A$301,0), Skills!M8+1)</f>
        <v/>
      </c>
      <c r="F2599">
        <f>IF(Skills!N8=TRUE,(Skills!L8/10)*(E2599/1000),Skills!L8/10)+Skills!O8</f>
        <v/>
      </c>
      <c r="G2599" t="inlineStr"/>
      <c r="H2599" t="inlineStr"/>
      <c r="I2599" t="inlineStr">
        <is>
          <t>1</t>
        </is>
      </c>
      <c r="J2599" t="inlineStr"/>
      <c r="K2599" t="inlineStr"/>
      <c r="L2599" t="inlineStr"/>
      <c r="M2599" t="inlineStr"/>
      <c r="N2599" t="inlineStr"/>
      <c r="O2599" t="inlineStr"/>
      <c r="P2599" t="inlineStr"/>
      <c r="Q2599" t="inlineStr"/>
      <c r="R2599" t="inlineStr"/>
      <c r="S2599" t="inlineStr"/>
      <c r="T2599" t="inlineStr"/>
      <c r="V2599" t="inlineStr"/>
    </row>
    <row r="2600">
      <c r="A2600">
        <f>Skills!A9</f>
        <v/>
      </c>
      <c r="B2600">
        <f>Skills!B9</f>
        <v/>
      </c>
      <c r="C2600">
        <f>Inputs!$B$3&gt;=103</f>
        <v/>
      </c>
      <c r="D2600">
        <f>IF(Skills!C9=1,60+Inputs!$B$25+Inputs!$B$29,IF(Skills!C9=2,90+Inputs!$B$26+Inputs!$B$29,IF(Skills!C9=3,120+Inputs!$B$27+Inputs!$B$29,MAX(0,(Inputs!$B$3-100)*3)+Inputs!$B$28+Inputs!$B$29)))</f>
        <v/>
      </c>
      <c r="E2600">
        <f>INDEX(FactorTable!$B$2:$Y$301, MATCH(ROUND(MIN(300,MAX(1,D2600)),0), FactorTable!$A$2:$A$301,0), Skills!M9+1)</f>
        <v/>
      </c>
      <c r="F2600">
        <f>IF(Skills!N9=TRUE,(Skills!L9/10)*(E2600/1000),Skills!L9/10)+Skills!O9</f>
        <v/>
      </c>
      <c r="G2600">
        <f>Skills!G9*IF(Skills!H9&gt;0,Skills!I9/Skills!H9,1)</f>
        <v/>
      </c>
      <c r="H2600">
        <f>1-(1-Skills!J9/100)^Skills!K9</f>
        <v/>
      </c>
      <c r="I2600" t="inlineStr">
        <is>
          <t>1</t>
        </is>
      </c>
      <c r="J2600">
        <f>((Inputs!$B$6*(1+Inputs!$B$7/100))+(((Inputs!$B$12*(1+Inputs!$B$13/100))-(Inputs!$B$12*(1+Inputs!$B$13/100)))+0.25*(Inputs!$B$14-Inputs!$B$14))*(1+Inputs!$B$7/100))*(F2600/100)</f>
        <v/>
      </c>
      <c r="K2600">
        <f>J2600*(1+((Inputs!$B$12*(1+Inputs!$B$13/100))*0.01+Inputs!$B$14*0.0025)/100)*(1+Inputs!$B$15/100)*(1+Inputs!$B$16/100)*(5000/(6000+Inputs!$B$42*(1-(100*(1-(1-(Inputs!$B$19+0)/100)*(1-CHOOSE(ArtifactsInput!$N$40+1,5,6,7,8,9,10)/100)^(ArtifactsInput!$M$40-ArtifactsInput!$M$40)))/100)))*(1+(Inputs!$B$24+((C2615=TRUE)*(F2615-Calc!F24))+((C2616=TRUE)*(F2616-Calc!F25))+B2629)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EMPOWERED_PIERCING_ARROW",Inputs!$B$17+((C2613=TRUE)*(F2613-Calc!F22))+(((IF(AND(ArtifactsInput!$M$42,((Inputs!$B$9+((C2610=TRUE)*(F2610-Calc!F19))+B2623+(ArtifactsInput!$M$24-ArtifactsInput!$M$24)*CHOOSE(ArtifactsInput!$N$24+1,10,12,14,16,18,20)+IF(ArtifactsInput!$M$10,CHOOSE(ArtifactsInput!$N$10+1,15,18,21,24,27,30)*(IF(Inputs!$B$38="pvp",MIN(15,15)/15,IF(AND(Inputs!$B$38&lt;&gt;"pvp",Inputs!$B$43&gt;0),MIN(15,Inputs!$B$43)/(Inputs!$B$43),0))),0)))&gt;=100),MIN(100,((Inputs!$B$9+((C2610=TRUE)*(F2610-Calc!F19))+B2623+(ArtifactsInput!$M$24-ArtifactsInput!$M$24)*CHOOSE(ArtifactsInput!$N$24+1,10,12,14,16,18,20)+IF(ArtifactsInput!$M$10,CHOOSE(ArtifactsInput!$N$10+1,15,18,21,24,27,30)*(IF(Inputs!$B$38="pvp",MIN(15,15)/15,IF(AND(Inputs!$B$38&lt;&gt;"pvp",Inputs!$B$43&gt;0),MIN(15,Inputs!$B$43)/(Inputs!$B$43),0))),0)))-100),0))*CHOOSE(ArtifactsInput!$N$42+1,0.6,0.72,0.84,0.96,1.08,1.2))),Inputs!$B$18+((C2618=TRUE)*(F2618-Calc!F27))+(IF(AND(ArtifactsInput!$M$42,((Inputs!$B$9+((C2610=TRUE)*(F2610-Calc!F19))+B2623+(ArtifactsInput!$M$24-ArtifactsInput!$M$24)*CHOOSE(ArtifactsInput!$N$24+1,10,12,14,16,18,20)+IF(ArtifactsInput!$M$10,CHOOSE(ArtifactsInput!$N$10+1,15,18,21,24,27,30)*(IF(Inputs!$B$38="pvp",MIN(15,15)/15,IF(AND(Inputs!$B$38&lt;&gt;"pvp",Inputs!$B$43&gt;0),MIN(15,Inputs!$B$43)/(Inputs!$B$43),0))),0)))&gt;=100),CHOOSE(ArtifactsInput!$N$42+1,40,48,56,64,72,80),0))))/100)*((1+(((C2604=TRUE)*F2604)+((C2605=TRUE)*IF(Inputs!$B$38="pvp",F2605,(1-Summary!$B$11)*(F2605)+Summary!$B$11*(0)))+((C2606=TRUE)*F2606*IF(AND(Inputs!$B$38&lt;&gt;"pvp",Inputs!$B$43&gt;0),(((R2606-1)*(Skills!T15*(1+Inputs!$B$34/100))+MIN((Skills!T15*(1+Inputs!$B$34/100)),MAX(0,Inputs!$B$43-((R2606-1)*Skills!D15))))/Inputs!$B$43),IF(Inputs!$B$38="pvp",MIN((Skills!T15*(1+Inputs!$B$34/100)),15)/15,(Skills!T15*(1+Inputs!$B$34/100))/Skills!D15)))+((C2603=TRUE)*F2603)+((C2620=TRUE)*(F2620-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IF(ArtifactsInput!$M$37,FALSE,TRUE),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2600)</f>
        <v/>
      </c>
      <c r="L2600">
        <f>K2600*(MIN(Inputs!$B$22+((C2614=TRUE)*(F2614-Calc!F23)),(Inputs!$B$23+((C2619=TRUE)*(F2619-Calc!F28))+(IF(ArtifactsInput!$M$15,CHOOSE(ArtifactsInput!$N$15+1,25,30,35,40,45,50)/100*(Inputs!$B$11-Inputs!$B$11),0))))/100+(Inputs!$B$23+((C2619=TRUE)*(F2619-Calc!F28))+(IF(ArtifactsInput!$M$15,CHOOSE(ArtifactsInput!$N$15+1,25,30,35,40,45,50)/100*(Inputs!$B$11-Inputs!$B$11),0)))/100)/2</f>
        <v/>
      </c>
      <c r="M2600">
        <f>L2600*(1+(Inputs!$B$10+0+B2628+(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600">
        <f>L2600*(1-MIN((Inputs!$B$9+((C2610=TRUE)*(F2610-Calc!F19))+B2623+(ArtifactsInput!$M$24-ArtifactsInput!$M$24)*CHOOSE(ArtifactsInput!$N$24+1,10,12,14,16,18,20)+(IF(AND(ArtifactsInput!$M$42,((Inputs!$B$9+((C2610=TRUE)*(F2610-Calc!F19))+B2623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2600*(MIN((Inputs!$B$9+((C2610=TRUE)*(F2610-Calc!F19))+B2623+(ArtifactsInput!$M$24-ArtifactsInput!$M$24)*CHOOSE(ArtifactsInput!$N$24+1,10,12,14,16,18,20)+(IF(AND(ArtifactsInput!$M$42,((Inputs!$B$9+((C2610=TRUE)*(F2610-Calc!F19))+B2623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600">
        <f>(1-Summary!$B$11)*T2600+Summary!$B$11*V2600</f>
        <v/>
      </c>
      <c r="P2600">
        <f>IF(B2633=0,0,O2600/B2633)</f>
        <v/>
      </c>
      <c r="Q2600">
        <f>IFERROR(1/IF(Inputs!$B$38="pvp",15,MAX(0.1,Skills!D9-IF(Skills!E9=TRUE,Inputs!$B$32,0))),0)</f>
        <v/>
      </c>
      <c r="R2600">
        <f>IF(AND(Inputs!$B$38&lt;&gt;"pvp",Inputs!$B$43&gt;0),IF(MAX(0,Inputs!$B$43-B2630)&lt;=0,0,(INT(MAX(0,Inputs!$B$43-B2630)/IF(Inputs!$B$38="pvp",15,MAX(0.1,Skills!D9-IF(Skills!E9=TRUE,Inputs!$B$32,0))))+1)),0)</f>
        <v/>
      </c>
      <c r="S2600">
        <f>IFERROR((H2600*N2600*IF(AND(Inputs!$B$38&lt;&gt;"pvp",Inputs!$B$43&gt;0),((Skills!G9*((R2600-1)*IF(Skills!H9&gt;0,Skills!I9/Skills!H9,1)+IF(Skills!H9&gt;0,MIN(Skills!I9,MAX(0,MAX(0,Inputs!$B$43-B2630)-((R2600-1)*IF(Inputs!$B$38="pvp",15,MAX(0.1,Skills!D9-IF(Skills!E9=TRUE,Inputs!$B$32,0))))))/Skills!H9,1)))/Inputs!$B$43),G2600*Q2600))/N2600*IF(Inputs!$B$38="pvp",1,(1-Summary!$B$11)*1+Summary!$B$11*(MIN(Skills!R9,Inputs!$B$37))),0)</f>
        <v/>
      </c>
      <c r="T2600">
        <f>IF(C2600,(H2600*N2600*IF(AND(Inputs!$B$38&lt;&gt;"pvp",Inputs!$B$43&gt;0),((Skills!G9*((R2600-1)*IF(Skills!H9&gt;0,Skills!I9/Skills!H9,1)+IF(Skills!H9&gt;0,MIN(Skills!I9,MAX(0,MAX(0,Inputs!$B$43-B2630)-((R2600-1)*IF(Inputs!$B$38="pvp",15,MAX(0.1,Skills!D9-IF(Skills!E9=TRUE,Inputs!$B$32,0))))))/Skills!H9,1)))/Inputs!$B$43),G2600*Q2600))*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Hunt"),CHOOSE(ArtifactsInput!$N$35+1,15,18,21,24,27,30)*(1-EXP(-(0.2*B2625)*5)),0)+IF(AND(ArtifactsInput!$M$22,Inputs!$B$4&lt;&gt;"Chapter Hunt"),CHOOSE(ArtifactsInput!$N$22+1,10,12,14,16,18,20)*((0*(((0.15*B2625*5))^0/1)+1*(((0.15*B2625*5))^1/1)+2*(((0.15*B2625*5))^2/2)+3*(((0.15*B2625*5))^3/6)+4*(((0.15*B2625*5))^4/24)+5*(((0.15*B2625*5))^5/120))/((((0.15*B2625*5))^0/1)+(((0.15*B2625*5))^1/1)+(((0.15*B2625*5))^2/2)+(((0.15*B2625*5))^3/6)+(((0.15*B2625*5))^4/24)+(((0.15*B2625*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2600*(1-MIN(100,(Inputs!$B$9+((C2610=TRUE)*(F2610-Calc!F19))+B2623+(ArtifactsInput!$M$24-ArtifactsInput!$M$24)*CHOOSE(ArtifactsInput!$N$24+1,10,12,14,16,18,20)+(IF(AND(ArtifactsInput!$M$42,((Inputs!$B$9+((C2610=TRUE)*(F2610-Calc!F19))+B2623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2600*(MIN(100,(Inputs!$B$9+((C2610=TRUE)*(F2610-Calc!F19))+B2623+(ArtifactsInput!$M$24-ArtifactsInput!$M$24)*CHOOSE(ArtifactsInput!$N$24+1,10,12,14,16,18,20)+(IF(AND(ArtifactsInput!$M$42,((Inputs!$B$9+((C2610=TRUE)*(F2610-Calc!F19))+B2623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2600*(1-MIN(100,(Inputs!$B$9+((C2610=TRUE)*(F2610-Calc!F19))+B2623+(ArtifactsInput!$M$24-ArtifactsInput!$M$24)*CHOOSE(ArtifactsInput!$N$24+1,10,12,14,16,18,20)+(IF(AND(ArtifactsInput!$M$42,((Inputs!$B$9+((C2610=TRUE)*(F2610-Calc!F19))+B2623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2600*(MIN(100,(Inputs!$B$9+((C2610=TRUE)*(F2610-Calc!F19))+B2623+(ArtifactsInput!$M$24-ArtifactsInput!$M$24)*CHOOSE(ArtifactsInput!$N$24+1,10,12,14,16,18,20)+(IF(AND(ArtifactsInput!$M$42,((Inputs!$B$9+((C2610=TRUE)*(F2610-Calc!F19))+B2623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600">
        <f>IF(C2600,(H2600*N2600*IF(AND(Inputs!$B$38&lt;&gt;"pvp",Inputs!$B$43&gt;0),((Skills!G9*((R2600-1)*IF(Skills!H9&gt;0,Skills!I9/Skills!H9,1)+IF(Skills!H9&gt;0,MIN(Skills!I9,MAX(0,MAX(0,Inputs!$B$43-B2630)-((R2600-1)*IF(Inputs!$B$38="pvp",15,MAX(0.1,Skills!D9-IF(Skills!E9=TRUE,Inputs!$B$32,0))))))/Skills!H9,1)))/Inputs!$B$43),G2600*Q2600))*IF(Inputs!$B$38="pvp",1,(1+(Inputs!$B$21+Skills!Q9+(IF(ArtifactsInput!$M$33,CHOOSE(ArtifactsInput!$N$33+1,30,36,42,48,54,60),0))+(IF(AND(ArtifactsInput!$M$35,Inputs!$B$4&lt;&gt;"Chapter Hunt"),CHOOSE(ArtifactsInput!$N$35+1,15,18,21,24,27,30)*(1-EXP(-(0.2*B2625)*5)),0)+IF(AND(ArtifactsInput!$M$22,Inputs!$B$4&lt;&gt;"Chapter Hunt"),CHOOSE(ArtifactsInput!$N$22+1,10,12,14,16,18,20)*((0*(((0.15*B2625*5))^0/1)+1*(((0.15*B2625*5))^1/1)+2*(((0.15*B2625*5))^2/2)+3*(((0.15*B2625*5))^3/6)+4*(((0.15*B2625*5))^4/24)+5*(((0.15*B2625*5))^5/120))/((((0.15*B2625*5))^0/1)+(((0.15*B2625*5))^1/1)+(((0.15*B2625*5))^2/2)+(((0.15*B2625*5))^3/6)+(((0.15*B2625*5))^4/24)+(((0.15*B2625*5))^5/120)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601">
      <c r="A2601">
        <f>Skills!A10</f>
        <v/>
      </c>
      <c r="B2601">
        <f>Skills!B10</f>
        <v/>
      </c>
      <c r="C2601">
        <f>Inputs!$B$3&gt;=107</f>
        <v/>
      </c>
      <c r="D2601">
        <f>IF(Skills!C10=1,60+Inputs!$B$25+Inputs!$B$29,IF(Skills!C10=2,90+Inputs!$B$26+Inputs!$B$29,IF(Skills!C10=3,120+Inputs!$B$27+Inputs!$B$29,MAX(0,(Inputs!$B$3-100)*3)+Inputs!$B$28+Inputs!$B$29)))</f>
        <v/>
      </c>
      <c r="E2601">
        <f>INDEX(FactorTable!$B$2:$Y$301, MATCH(ROUND(MIN(300,MAX(1,D2601)),0), FactorTable!$A$2:$A$301,0), Skills!M10+1)</f>
        <v/>
      </c>
      <c r="F2601">
        <f>IF(Skills!N10=TRUE,(Skills!L10/10)*(E2601/1000),Skills!L10/10)+Skills!O10</f>
        <v/>
      </c>
      <c r="G2601">
        <f>Skills!G10*IF(Skills!H10&gt;0,Skills!I10/Skills!H10,1)</f>
        <v/>
      </c>
      <c r="H2601">
        <f>1-(1-Skills!J10/100)^Skills!K10</f>
        <v/>
      </c>
      <c r="I2601" t="inlineStr">
        <is>
          <t>1</t>
        </is>
      </c>
      <c r="J2601">
        <f>((Inputs!$B$6*(1+Inputs!$B$7/100))+(((Inputs!$B$12*(1+Inputs!$B$13/100))-(Inputs!$B$12*(1+Inputs!$B$13/100)))+0.25*(Inputs!$B$14-Inputs!$B$14))*(1+Inputs!$B$7/100))*(F2601/100)</f>
        <v/>
      </c>
      <c r="K2601">
        <f>J2601*(1+((Inputs!$B$12*(1+Inputs!$B$13/100))*0.01+Inputs!$B$14*0.0025)/100)*(1+Inputs!$B$15/100)*(1+Inputs!$B$16/100)*(5000/(6000+Inputs!$B$42*(1-(100*(1-(1-(Inputs!$B$19+0)/100)*(1-CHOOSE(ArtifactsInput!$N$40+1,5,6,7,8,9,10)/100)^(ArtifactsInput!$M$40-ArtifactsInput!$M$40)))/100)))*(1+(Inputs!$B$24+((C2615=TRUE)*(F2615-Calc!F24))+((C2616=TRUE)*(F2616-Calc!F25))+B2629)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EMPOWERED_PIERCING_ARROW",Inputs!$B$17+((C2613=TRUE)*(F2613-Calc!F22))+(((IF(AND(ArtifactsInput!$M$42,((Inputs!$B$9+((C2610=TRUE)*(F2610-Calc!F19))+B2623+(ArtifactsInput!$M$24-ArtifactsInput!$M$24)*CHOOSE(ArtifactsInput!$N$24+1,10,12,14,16,18,20)+IF(ArtifactsInput!$M$10,CHOOSE(ArtifactsInput!$N$10+1,15,18,21,24,27,30)*(IF(Inputs!$B$38="pvp",MIN(15,15)/15,IF(AND(Inputs!$B$38&lt;&gt;"pvp",Inputs!$B$43&gt;0),MIN(15,Inputs!$B$43)/(Inputs!$B$43),0))),0)))&gt;=100),MIN(100,((Inputs!$B$9+((C2610=TRUE)*(F2610-Calc!F19))+B2623+(ArtifactsInput!$M$24-ArtifactsInput!$M$24)*CHOOSE(ArtifactsInput!$N$24+1,10,12,14,16,18,20)+IF(ArtifactsInput!$M$10,CHOOSE(ArtifactsInput!$N$10+1,15,18,21,24,27,30)*(IF(Inputs!$B$38="pvp",MIN(15,15)/15,IF(AND(Inputs!$B$38&lt;&gt;"pvp",Inputs!$B$43&gt;0),MIN(15,Inputs!$B$43)/(Inputs!$B$43),0))),0)))-100),0))*CHOOSE(ArtifactsInput!$N$42+1,0.6,0.72,0.84,0.96,1.08,1.2))),Inputs!$B$18+((C2618=TRUE)*(F2618-Calc!F27))+(IF(AND(ArtifactsInput!$M$42,((Inputs!$B$9+((C2610=TRUE)*(F2610-Calc!F19))+B2623+(ArtifactsInput!$M$24-ArtifactsInput!$M$24)*CHOOSE(ArtifactsInput!$N$24+1,10,12,14,16,18,20)+IF(ArtifactsInput!$M$10,CHOOSE(ArtifactsInput!$N$10+1,15,18,21,24,27,30)*(IF(Inputs!$B$38="pvp",MIN(15,15)/15,IF(AND(Inputs!$B$38&lt;&gt;"pvp",Inputs!$B$43&gt;0),MIN(15,Inputs!$B$43)/(Inputs!$B$43),0))),0)))&gt;=100),CHOOSE(ArtifactsInput!$N$42+1,40,48,56,64,72,80),0))))/100)*((1+(((C2604=TRUE)*F2604)+((C2605=TRUE)*IF(Inputs!$B$38="pvp",F2605,(1-Summary!$B$11)*(F2605)+Summary!$B$11*(0)))+((C2606=TRUE)*F2606*IF(AND(Inputs!$B$38&lt;&gt;"pvp",Inputs!$B$43&gt;0),(((R2606-1)*(Skills!T15*(1+Inputs!$B$34/100))+MIN((Skills!T15*(1+Inputs!$B$34/100)),MAX(0,Inputs!$B$43-((R2606-1)*Skills!D15))))/Inputs!$B$43),IF(Inputs!$B$38="pvp",MIN((Skills!T15*(1+Inputs!$B$34/100)),15)/15,(Skills!T15*(1+Inputs!$B$34/100))/Skills!D15)))+((C2603=TRUE)*F2603)+((C2620=TRUE)*(F2620-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IF(ArtifactsInput!$M$37,FALSE,TRUE),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2601)</f>
        <v/>
      </c>
      <c r="L2601">
        <f>K2601*(MIN(Inputs!$B$22+((C2614=TRUE)*(F2614-Calc!F23)),(Inputs!$B$23+((C2619=TRUE)*(F2619-Calc!F28))+(IF(ArtifactsInput!$M$15,CHOOSE(ArtifactsInput!$N$15+1,25,30,35,40,45,50)/100*(Inputs!$B$11-Inputs!$B$11),0))))/100+(Inputs!$B$23+((C2619=TRUE)*(F2619-Calc!F28))+(IF(ArtifactsInput!$M$15,CHOOSE(ArtifactsInput!$N$15+1,25,30,35,40,45,50)/100*(Inputs!$B$11-Inputs!$B$11),0)))/100)/2</f>
        <v/>
      </c>
      <c r="M2601">
        <f>L2601*(1+(Inputs!$B$10+0+B2628+(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601">
        <f>L2601*(1-MIN((Inputs!$B$9+((C2610=TRUE)*(F2610-Calc!F19))+B2623+(ArtifactsInput!$M$24-ArtifactsInput!$M$24)*CHOOSE(ArtifactsInput!$N$24+1,10,12,14,16,18,20)+(IF(AND(ArtifactsInput!$M$42,((Inputs!$B$9+((C2610=TRUE)*(F2610-Calc!F19))+B2623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2601*(MIN((Inputs!$B$9+((C2610=TRUE)*(F2610-Calc!F19))+B2623+(ArtifactsInput!$M$24-ArtifactsInput!$M$24)*CHOOSE(ArtifactsInput!$N$24+1,10,12,14,16,18,20)+(IF(AND(ArtifactsInput!$M$42,((Inputs!$B$9+((C2610=TRUE)*(F2610-Calc!F19))+B2623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601">
        <f>(1-Summary!$B$11)*T2601+Summary!$B$11*V2601</f>
        <v/>
      </c>
      <c r="P2601">
        <f>IF(B2633=0,0,O2601/B2633)</f>
        <v/>
      </c>
      <c r="Q2601" t="n">
        <v>0</v>
      </c>
      <c r="R2601" t="n">
        <v>0</v>
      </c>
      <c r="S2601" t="n">
        <v>0</v>
      </c>
      <c r="T2601">
        <f>IF(C2601,(0.15*SUMPRODUCT((Skills!U2:U29=TRUE)*(C2593:C2620=TRUE)*S2593:S2620)*Skills!G10*N2601)*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Hunt"),CHOOSE(ArtifactsInput!$N$35+1,15,18,21,24,27,30)*(1-EXP(-(0.2*B2625)*5)),0)+IF(AND(ArtifactsInput!$M$22,Inputs!$B$4&lt;&gt;"Chapter Hunt"),CHOOSE(ArtifactsInput!$N$22+1,10,12,14,16,18,20)*((0*(((0.15*B2625*5))^0/1)+1*(((0.15*B2625*5))^1/1)+2*(((0.15*B2625*5))^2/2)+3*(((0.15*B2625*5))^3/6)+4*(((0.15*B2625*5))^4/24)+5*(((0.15*B2625*5))^5/120))/((((0.15*B2625*5))^0/1)+(((0.15*B2625*5))^1/1)+(((0.15*B2625*5))^2/2)+(((0.15*B2625*5))^3/6)+(((0.15*B2625*5))^4/24)+(((0.15*B2625*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2601*(1-MIN(100,(Inputs!$B$9+((C2610=TRUE)*(F2610-Calc!F19))+B2623+(ArtifactsInput!$M$24-ArtifactsInput!$M$24)*CHOOSE(ArtifactsInput!$N$24+1,10,12,14,16,18,20)+(IF(AND(ArtifactsInput!$M$42,((Inputs!$B$9+((C2610=TRUE)*(F2610-Calc!F19))+B2623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2601*(MIN(100,(Inputs!$B$9+((C2610=TRUE)*(F2610-Calc!F19))+B2623+(ArtifactsInput!$M$24-ArtifactsInput!$M$24)*CHOOSE(ArtifactsInput!$N$24+1,10,12,14,16,18,20)+(IF(AND(ArtifactsInput!$M$42,((Inputs!$B$9+((C2610=TRUE)*(F2610-Calc!F19))+B2623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2601*(1-MIN(100,(Inputs!$B$9+((C2610=TRUE)*(F2610-Calc!F19))+B2623+(ArtifactsInput!$M$24-ArtifactsInput!$M$24)*CHOOSE(ArtifactsInput!$N$24+1,10,12,14,16,18,20)+(IF(AND(ArtifactsInput!$M$42,((Inputs!$B$9+((C2610=TRUE)*(F2610-Calc!F19))+B2623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2601*(MIN(100,(Inputs!$B$9+((C2610=TRUE)*(F2610-Calc!F19))+B2623+(ArtifactsInput!$M$24-ArtifactsInput!$M$24)*CHOOSE(ArtifactsInput!$N$24+1,10,12,14,16,18,20)+(IF(AND(ArtifactsInput!$M$42,((Inputs!$B$9+((C2610=TRUE)*(F2610-Calc!F19))+B2623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601">
        <f>IF(C2601,(0.15*SUMPRODUCT((Skills!U2:U29=TRUE)*(C2593:C2620=TRUE)*S2593:S2620)*Skills!G10*N2601)*IF(Inputs!$B$38="pvp",1,(1+(Inputs!$B$21+Skills!Q10+(IF(ArtifactsInput!$M$33,CHOOSE(ArtifactsInput!$N$33+1,30,36,42,48,54,60),0))+(IF(AND(ArtifactsInput!$M$35,Inputs!$B$4&lt;&gt;"Chapter Hunt"),CHOOSE(ArtifactsInput!$N$35+1,15,18,21,24,27,30)*(1-EXP(-(0.2*B2625)*5)),0)+IF(AND(ArtifactsInput!$M$22,Inputs!$B$4&lt;&gt;"Chapter Hunt"),CHOOSE(ArtifactsInput!$N$22+1,10,12,14,16,18,20)*((0*(((0.15*B2625*5))^0/1)+1*(((0.15*B2625*5))^1/1)+2*(((0.15*B2625*5))^2/2)+3*(((0.15*B2625*5))^3/6)+4*(((0.15*B2625*5))^4/24)+5*(((0.15*B2625*5))^5/120))/((((0.15*B2625*5))^0/1)+(((0.15*B2625*5))^1/1)+(((0.15*B2625*5))^2/2)+(((0.15*B2625*5))^3/6)+(((0.15*B2625*5))^4/24)+(((0.15*B2625*5))^5/120)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602">
      <c r="A2602">
        <f>Skills!A11</f>
        <v/>
      </c>
      <c r="B2602">
        <f>Skills!B11</f>
        <v/>
      </c>
      <c r="C2602">
        <f>Inputs!$B$3&gt;=110</f>
        <v/>
      </c>
      <c r="D2602">
        <f>IF(Skills!C11=1,60+Inputs!$B$25+Inputs!$B$29,IF(Skills!C11=2,90+Inputs!$B$26+Inputs!$B$29,IF(Skills!C11=3,120+Inputs!$B$27+Inputs!$B$29,MAX(0,(Inputs!$B$3-100)*3)+Inputs!$B$28+Inputs!$B$29)))</f>
        <v/>
      </c>
      <c r="E2602">
        <f>INDEX(FactorTable!$B$2:$Y$301, MATCH(ROUND(MIN(300,MAX(1,D2602)),0), FactorTable!$A$2:$A$301,0), Skills!M11+1)</f>
        <v/>
      </c>
      <c r="F2602">
        <f>IF(Skills!N11=TRUE,(Skills!L11/10)*(E2602/1000),Skills!L11/10)+Skills!O11</f>
        <v/>
      </c>
      <c r="G2602">
        <f>Skills!G11*IF(Skills!H11&gt;0,Skills!I11/Skills!H11,1)</f>
        <v/>
      </c>
      <c r="H2602">
        <f>1-(1-Skills!J11/100)^Skills!K11</f>
        <v/>
      </c>
      <c r="I2602" t="inlineStr">
        <is>
          <t>1</t>
        </is>
      </c>
      <c r="J2602">
        <f>((Inputs!$B$6*(1+Inputs!$B$7/100))+(((Inputs!$B$12*(1+Inputs!$B$13/100))-(Inputs!$B$12*(1+Inputs!$B$13/100)))+0.25*(Inputs!$B$14-Inputs!$B$14))*(1+Inputs!$B$7/100))*(F2602/100)</f>
        <v/>
      </c>
      <c r="K2602">
        <f>J2602*(1+((Inputs!$B$12*(1+Inputs!$B$13/100))*0.01+Inputs!$B$14*0.0025)/100)*(1+Inputs!$B$15/100)*(1+Inputs!$B$16/100)*(5000/(6000+Inputs!$B$42*(1-(100*(1-(1-(Inputs!$B$19+0)/100)*(1-CHOOSE(ArtifactsInput!$N$40+1,5,6,7,8,9,10)/100)^(ArtifactsInput!$M$40-ArtifactsInput!$M$40)))/100)))*(1+(Inputs!$B$24+((C2615=TRUE)*(F2615-Calc!F24))+((C2616=TRUE)*(F2616-Calc!F25))+B2629)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11="EMPOWERED_PIERCING_ARROW",Inputs!$B$17+((C2613=TRUE)*(F2613-Calc!F22))+(((IF(AND(ArtifactsInput!$M$42,((Inputs!$B$9+((C2610=TRUE)*(F2610-Calc!F19))+B2623+(ArtifactsInput!$M$24-ArtifactsInput!$M$24)*CHOOSE(ArtifactsInput!$N$24+1,10,12,14,16,18,20)+IF(ArtifactsInput!$M$10,CHOOSE(ArtifactsInput!$N$10+1,15,18,21,24,27,30)*(IF(Inputs!$B$38="pvp",MIN(15,15)/15,IF(AND(Inputs!$B$38&lt;&gt;"pvp",Inputs!$B$43&gt;0),MIN(15,Inputs!$B$43)/(Inputs!$B$43),0))),0)))&gt;=100),MIN(100,((Inputs!$B$9+((C2610=TRUE)*(F2610-Calc!F19))+B2623+(ArtifactsInput!$M$24-ArtifactsInput!$M$24)*CHOOSE(ArtifactsInput!$N$24+1,10,12,14,16,18,20)+IF(ArtifactsInput!$M$10,CHOOSE(ArtifactsInput!$N$10+1,15,18,21,24,27,30)*(IF(Inputs!$B$38="pvp",MIN(15,15)/15,IF(AND(Inputs!$B$38&lt;&gt;"pvp",Inputs!$B$43&gt;0),MIN(15,Inputs!$B$43)/(Inputs!$B$43),0))),0)))-100),0))*CHOOSE(ArtifactsInput!$N$42+1,0.6,0.72,0.84,0.96,1.08,1.2))),Inputs!$B$18+((C2618=TRUE)*(F2618-Calc!F27))+(IF(AND(ArtifactsInput!$M$42,((Inputs!$B$9+((C2610=TRUE)*(F2610-Calc!F19))+B2623+(ArtifactsInput!$M$24-ArtifactsInput!$M$24)*CHOOSE(ArtifactsInput!$N$24+1,10,12,14,16,18,20)+IF(ArtifactsInput!$M$10,CHOOSE(ArtifactsInput!$N$10+1,15,18,21,24,27,30)*(IF(Inputs!$B$38="pvp",MIN(15,15)/15,IF(AND(Inputs!$B$38&lt;&gt;"pvp",Inputs!$B$43&gt;0),MIN(15,Inputs!$B$43)/(Inputs!$B$43),0))),0)))&gt;=100),CHOOSE(ArtifactsInput!$N$42+1,40,48,56,64,72,80),0))))/100)*((1+(((C2604=TRUE)*F2604)+((C2605=TRUE)*IF(Inputs!$B$38="pvp",F2605,(1-Summary!$B$11)*(F2605)+Summary!$B$11*(0)))+((C2606=TRUE)*F2606*IF(AND(Inputs!$B$38&lt;&gt;"pvp",Inputs!$B$43&gt;0),(((R2606-1)*(Skills!T15*(1+Inputs!$B$34/100))+MIN((Skills!T15*(1+Inputs!$B$34/100)),MAX(0,Inputs!$B$43-((R2606-1)*Skills!D15))))/Inputs!$B$43),IF(Inputs!$B$38="pvp",MIN((Skills!T15*(1+Inputs!$B$34/100)),15)/15,(Skills!T15*(1+Inputs!$B$34/100))/Skills!D15)))+((C2603=TRUE)*F2603)+((C2620=TRUE)*(F2620-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IF(ArtifactsInput!$M$37,FALSE,TRUE),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2602)</f>
        <v/>
      </c>
      <c r="L2602">
        <f>K2602*(MIN(Inputs!$B$22+((C2614=TRUE)*(F2614-Calc!F23)),(Inputs!$B$23+((C2619=TRUE)*(F2619-Calc!F28))+(IF(ArtifactsInput!$M$15,CHOOSE(ArtifactsInput!$N$15+1,25,30,35,40,45,50)/100*(Inputs!$B$11-Inputs!$B$11),0))))/100+(Inputs!$B$23+((C2619=TRUE)*(F2619-Calc!F28))+(IF(ArtifactsInput!$M$15,CHOOSE(ArtifactsInput!$N$15+1,25,30,35,40,45,50)/100*(Inputs!$B$11-Inputs!$B$11),0)))/100)/2</f>
        <v/>
      </c>
      <c r="M2602">
        <f>L2602*(1+(Inputs!$B$10+0+B2628+(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602">
        <f>L2602*(1-MIN((Inputs!$B$9+((C2610=TRUE)*(F2610-Calc!F19))+B2623+(ArtifactsInput!$M$24-ArtifactsInput!$M$24)*CHOOSE(ArtifactsInput!$N$24+1,10,12,14,16,18,20)+(IF(AND(ArtifactsInput!$M$42,((Inputs!$B$9+((C2610=TRUE)*(F2610-Calc!F19))+B2623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2602*(MIN((Inputs!$B$9+((C2610=TRUE)*(F2610-Calc!F19))+B2623+(ArtifactsInput!$M$24-ArtifactsInput!$M$24)*CHOOSE(ArtifactsInput!$N$24+1,10,12,14,16,18,20)+(IF(AND(ArtifactsInput!$M$42,((Inputs!$B$9+((C2610=TRUE)*(F2610-Calc!F19))+B2623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602">
        <f>(1-Summary!$B$11)*T2602+Summary!$B$11*V2602</f>
        <v/>
      </c>
      <c r="P2602">
        <f>IF(B2633=0,0,O2602/B2633)</f>
        <v/>
      </c>
      <c r="Q2602">
        <f>IFERROR(1/IF(Inputs!$B$38="pvp",15,MAX(0.1,Skills!D11-IF(Skills!E11=TRUE,Inputs!$B$32,0))),0)</f>
        <v/>
      </c>
      <c r="R2602">
        <f>IF(AND(Inputs!$B$38&lt;&gt;"pvp",Inputs!$B$43&gt;0),IF(MAX(0,Inputs!$B$43-B2630)&lt;=0,0,(INT(MAX(0,Inputs!$B$43-B2630)/IF(Inputs!$B$38="pvp",15,MAX(0.1,Skills!D11-IF(Skills!E11=TRUE,Inputs!$B$32,0))))+1)),0)</f>
        <v/>
      </c>
      <c r="S2602">
        <f>IFERROR((H2602*N2602*IF(AND(Inputs!$B$38&lt;&gt;"pvp",Inputs!$B$43&gt;0),((Skills!G11*((R2602-1)*IF(Skills!H11&gt;0,Skills!I11/Skills!H11,1)+IF(Skills!H11&gt;0,MIN(Skills!I11,MAX(0,MAX(0,Inputs!$B$43-B2630)-((R2602-1)*IF(Inputs!$B$38="pvp",15,MAX(0.1,Skills!D11-IF(Skills!E11=TRUE,Inputs!$B$32,0))))))/Skills!H11,1)))/Inputs!$B$43),G2602*Q2602))/N2602*IF(Inputs!$B$38="pvp",1,(1-Summary!$B$11)*1+Summary!$B$11*(MIN(Skills!R11,Inputs!$B$37))),0)</f>
        <v/>
      </c>
      <c r="T2602">
        <f>IF(C2602,(H2602*N2602*IF(AND(Inputs!$B$38&lt;&gt;"pvp",Inputs!$B$43&gt;0),((Skills!G11*((R2602-1)*IF(Skills!H11&gt;0,Skills!I11/Skills!H11,1)+IF(Skills!H11&gt;0,MIN(Skills!I11,MAX(0,MAX(0,Inputs!$B$43-B2630)-((R2602-1)*IF(Inputs!$B$38="pvp",15,MAX(0.1,Skills!D11-IF(Skills!E11=TRUE,Inputs!$B$32,0))))))/Skills!H11,1)))/Inputs!$B$43),G2602*Q2602))*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Hunt"),CHOOSE(ArtifactsInput!$N$35+1,15,18,21,24,27,30)*(1-EXP(-(0.2*B2625)*5)),0)+IF(AND(ArtifactsInput!$M$22,Inputs!$B$4&lt;&gt;"Chapter Hunt"),CHOOSE(ArtifactsInput!$N$22+1,10,12,14,16,18,20)*((0*(((0.15*B2625*5))^0/1)+1*(((0.15*B2625*5))^1/1)+2*(((0.15*B2625*5))^2/2)+3*(((0.15*B2625*5))^3/6)+4*(((0.15*B2625*5))^4/24)+5*(((0.15*B2625*5))^5/120))/((((0.15*B2625*5))^0/1)+(((0.15*B2625*5))^1/1)+(((0.15*B2625*5))^2/2)+(((0.15*B2625*5))^3/6)+(((0.15*B2625*5))^4/24)+(((0.15*B2625*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2602*(1-MIN(100,(Inputs!$B$9+((C2610=TRUE)*(F2610-Calc!F19))+B2623+(ArtifactsInput!$M$24-ArtifactsInput!$M$24)*CHOOSE(ArtifactsInput!$N$24+1,10,12,14,16,18,20)+(IF(AND(ArtifactsInput!$M$42,((Inputs!$B$9+((C2610=TRUE)*(F2610-Calc!F19))+B2623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2602*(MIN(100,(Inputs!$B$9+((C2610=TRUE)*(F2610-Calc!F19))+B2623+(ArtifactsInput!$M$24-ArtifactsInput!$M$24)*CHOOSE(ArtifactsInput!$N$24+1,10,12,14,16,18,20)+(IF(AND(ArtifactsInput!$M$42,((Inputs!$B$9+((C2610=TRUE)*(F2610-Calc!F19))+B2623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2602*(1-MIN(100,(Inputs!$B$9+((C2610=TRUE)*(F2610-Calc!F19))+B2623+(ArtifactsInput!$M$24-ArtifactsInput!$M$24)*CHOOSE(ArtifactsInput!$N$24+1,10,12,14,16,18,20)+(IF(AND(ArtifactsInput!$M$42,((Inputs!$B$9+((C2610=TRUE)*(F2610-Calc!F19))+B2623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2602*(MIN(100,(Inputs!$B$9+((C2610=TRUE)*(F2610-Calc!F19))+B2623+(ArtifactsInput!$M$24-ArtifactsInput!$M$24)*CHOOSE(ArtifactsInput!$N$24+1,10,12,14,16,18,20)+(IF(AND(ArtifactsInput!$M$42,((Inputs!$B$9+((C2610=TRUE)*(F2610-Calc!F19))+B2623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602">
        <f>IF(C2602,(H2602*N2602*IF(AND(Inputs!$B$38&lt;&gt;"pvp",Inputs!$B$43&gt;0),((Skills!G11*((R2602-1)*IF(Skills!H11&gt;0,Skills!I11/Skills!H11,1)+IF(Skills!H11&gt;0,MIN(Skills!I11,MAX(0,MAX(0,Inputs!$B$43-B2630)-((R2602-1)*IF(Inputs!$B$38="pvp",15,MAX(0.1,Skills!D11-IF(Skills!E11=TRUE,Inputs!$B$32,0))))))/Skills!H11,1)))/Inputs!$B$43),G2602*Q2602))*IF(Inputs!$B$38="pvp",1,(1+(Inputs!$B$21+Skills!Q11+(IF(ArtifactsInput!$M$33,CHOOSE(ArtifactsInput!$N$33+1,30,36,42,48,54,60),0))+(IF(AND(ArtifactsInput!$M$35,Inputs!$B$4&lt;&gt;"Chapter Hunt"),CHOOSE(ArtifactsInput!$N$35+1,15,18,21,24,27,30)*(1-EXP(-(0.2*B2625)*5)),0)+IF(AND(ArtifactsInput!$M$22,Inputs!$B$4&lt;&gt;"Chapter Hunt"),CHOOSE(ArtifactsInput!$N$22+1,10,12,14,16,18,20)*((0*(((0.15*B2625*5))^0/1)+1*(((0.15*B2625*5))^1/1)+2*(((0.15*B2625*5))^2/2)+3*(((0.15*B2625*5))^3/6)+4*(((0.15*B2625*5))^4/24)+5*(((0.15*B2625*5))^5/120))/((((0.15*B2625*5))^0/1)+(((0.15*B2625*5))^1/1)+(((0.15*B2625*5))^2/2)+(((0.15*B2625*5))^3/6)+(((0.15*B2625*5))^4/24)+(((0.15*B2625*5))^5/120))),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603">
      <c r="A2603">
        <f>Skills!A12</f>
        <v/>
      </c>
      <c r="B2603">
        <f>Skills!B12</f>
        <v/>
      </c>
      <c r="C2603">
        <f>Inputs!$B$3&gt;=60</f>
        <v/>
      </c>
      <c r="D2603">
        <f>IF(Skills!C12=1,60+Inputs!$B$25+Inputs!$B$29,IF(Skills!C12=2,90+Inputs!$B$26+Inputs!$B$29,IF(Skills!C12=3,120+Inputs!$B$27+Inputs!$B$29,MAX(0,(Inputs!$B$3-100)*3)+Inputs!$B$28+Inputs!$B$29)))</f>
        <v/>
      </c>
      <c r="E2603">
        <f>INDEX(FactorTable!$B$2:$Y$301, MATCH(ROUND(MIN(300,MAX(1,D2603)),0), FactorTable!$A$2:$A$301,0), Skills!M12+1)</f>
        <v/>
      </c>
      <c r="F2603">
        <f>IF(Skills!N12=TRUE,(Skills!L12/10)*(E2603/1000),Skills!L12/10)+Skills!O12</f>
        <v/>
      </c>
      <c r="G2603">
        <f>Skills!G12*IF(Skills!H12&gt;0,Skills!I12/Skills!H12,1)</f>
        <v/>
      </c>
      <c r="H2603">
        <f>1-(1-Skills!J12/100)^Skills!K12</f>
        <v/>
      </c>
      <c r="I2603" t="inlineStr">
        <is>
          <t>1</t>
        </is>
      </c>
      <c r="J2603" t="inlineStr"/>
      <c r="K2603" t="inlineStr"/>
      <c r="L2603" t="inlineStr"/>
      <c r="M2603" t="inlineStr"/>
      <c r="N2603" t="inlineStr"/>
      <c r="O2603">
        <f>(1-Summary!$B$11)*T2603+Summary!$B$11*V2603</f>
        <v/>
      </c>
      <c r="P2603">
        <f>IF(B2633=0,0,O2603/B2633)</f>
        <v/>
      </c>
      <c r="Q2603" t="n">
        <v>0</v>
      </c>
      <c r="R2603" t="n">
        <v>0</v>
      </c>
      <c r="S2603" t="n">
        <v>0</v>
      </c>
      <c r="T2603" t="n">
        <v>0</v>
      </c>
      <c r="V2603" t="n">
        <v>0</v>
      </c>
    </row>
    <row r="2604">
      <c r="A2604">
        <f>Skills!A13</f>
        <v/>
      </c>
      <c r="B2604">
        <f>Skills!B13</f>
        <v/>
      </c>
      <c r="C2604">
        <f>Inputs!$B$3&gt;=74</f>
        <v/>
      </c>
      <c r="D2604">
        <f>IF(Skills!C13=1,60+Inputs!$B$25+Inputs!$B$29,IF(Skills!C13=2,90+Inputs!$B$26+Inputs!$B$29,IF(Skills!C13=3,120+Inputs!$B$27+Inputs!$B$29,MAX(0,(Inputs!$B$3-100)*3)+Inputs!$B$28+Inputs!$B$29)))</f>
        <v/>
      </c>
      <c r="E2604">
        <f>INDEX(FactorTable!$B$2:$Y$301, MATCH(ROUND(MIN(300,MAX(1,D2604)),0), FactorTable!$A$2:$A$301,0), Skills!M13+1)</f>
        <v/>
      </c>
      <c r="F2604">
        <f>IF(Skills!N13=TRUE,(Skills!L13/10)*(E2604/1000),Skills!L13/10)+Skills!O13</f>
        <v/>
      </c>
      <c r="G2604">
        <f>Skills!G13*IF(Skills!H13&gt;0,Skills!I13/Skills!H13,1)</f>
        <v/>
      </c>
      <c r="H2604">
        <f>1-(1-Skills!J13/100)^Skills!K13</f>
        <v/>
      </c>
      <c r="I2604" t="inlineStr">
        <is>
          <t>1</t>
        </is>
      </c>
      <c r="J2604" t="inlineStr"/>
      <c r="K2604" t="inlineStr"/>
      <c r="L2604" t="inlineStr"/>
      <c r="M2604" t="inlineStr"/>
      <c r="N2604" t="inlineStr"/>
      <c r="O2604">
        <f>(1-Summary!$B$11)*T2604+Summary!$B$11*V2604</f>
        <v/>
      </c>
      <c r="P2604">
        <f>IF(B2633=0,0,O2604/B2633)</f>
        <v/>
      </c>
      <c r="Q2604" t="n">
        <v>0</v>
      </c>
      <c r="R2604" t="n">
        <v>0</v>
      </c>
      <c r="S2604" t="n">
        <v>0</v>
      </c>
      <c r="T2604" t="n">
        <v>0</v>
      </c>
      <c r="V2604" t="n">
        <v>0</v>
      </c>
    </row>
    <row r="2605">
      <c r="A2605">
        <f>Skills!A14</f>
        <v/>
      </c>
      <c r="B2605">
        <f>Skills!B14</f>
        <v/>
      </c>
      <c r="C2605">
        <f>Inputs!$B$3&gt;=74</f>
        <v/>
      </c>
      <c r="D2605">
        <f>IF(Skills!C14=1,60+Inputs!$B$25+Inputs!$B$29,IF(Skills!C14=2,90+Inputs!$B$26+Inputs!$B$29,IF(Skills!C14=3,120+Inputs!$B$27+Inputs!$B$29,MAX(0,(Inputs!$B$3-100)*3)+Inputs!$B$28+Inputs!$B$29)))</f>
        <v/>
      </c>
      <c r="E2605">
        <f>INDEX(FactorTable!$B$2:$Y$301, MATCH(ROUND(MIN(300,MAX(1,D2605)),0), FactorTable!$A$2:$A$301,0), Skills!M14+1)</f>
        <v/>
      </c>
      <c r="F2605">
        <f>IF(Skills!N14=TRUE,(Skills!L14/10)*(E2605/1000),Skills!L14/10)+Skills!O14</f>
        <v/>
      </c>
      <c r="G2605">
        <f>Skills!G14*IF(Skills!H14&gt;0,Skills!I14/Skills!H14,1)</f>
        <v/>
      </c>
      <c r="H2605">
        <f>1-(1-Skills!J14/100)^Skills!K14</f>
        <v/>
      </c>
      <c r="I2605" t="inlineStr">
        <is>
          <t>1</t>
        </is>
      </c>
      <c r="J2605" t="inlineStr"/>
      <c r="K2605" t="inlineStr"/>
      <c r="L2605" t="inlineStr"/>
      <c r="M2605" t="inlineStr"/>
      <c r="N2605" t="inlineStr"/>
      <c r="O2605">
        <f>(1-Summary!$B$11)*T2605+Summary!$B$11*V2605</f>
        <v/>
      </c>
      <c r="P2605">
        <f>IF(B2633=0,0,O2605/B2633)</f>
        <v/>
      </c>
      <c r="Q2605" t="n">
        <v>0</v>
      </c>
      <c r="R2605" t="n">
        <v>0</v>
      </c>
      <c r="S2605" t="n">
        <v>0</v>
      </c>
      <c r="T2605" t="n">
        <v>0</v>
      </c>
      <c r="V2605" t="n">
        <v>0</v>
      </c>
    </row>
    <row r="2606">
      <c r="A2606">
        <f>Skills!A15</f>
        <v/>
      </c>
      <c r="B2606">
        <f>Skills!B15</f>
        <v/>
      </c>
      <c r="C2606">
        <f>Inputs!$B$3&gt;=117</f>
        <v/>
      </c>
      <c r="D2606">
        <f>IF(Skills!C15=1,60+Inputs!$B$25+Inputs!$B$29,IF(Skills!C15=2,90+Inputs!$B$26+Inputs!$B$29,IF(Skills!C15=3,120+Inputs!$B$27+Inputs!$B$29,MAX(0,(Inputs!$B$3-100)*3)+Inputs!$B$28+Inputs!$B$29)))</f>
        <v/>
      </c>
      <c r="E2606">
        <f>INDEX(FactorTable!$B$2:$Y$301, MATCH(ROUND(MIN(300,MAX(1,D2606)),0), FactorTable!$A$2:$A$301,0), Skills!M15+1)</f>
        <v/>
      </c>
      <c r="F2606">
        <f>IF(Skills!N15=TRUE,(Skills!L15/10)*(E2606/1000),Skills!L15/10)+Skills!O15</f>
        <v/>
      </c>
      <c r="G2606">
        <f>Skills!G15*IF(Skills!H15&gt;0,Skills!I15/Skills!H15,1)</f>
        <v/>
      </c>
      <c r="H2606">
        <f>1-(1-Skills!J15/100)^Skills!K15</f>
        <v/>
      </c>
      <c r="I2606" t="inlineStr">
        <is>
          <t>1</t>
        </is>
      </c>
      <c r="J2606" t="inlineStr"/>
      <c r="K2606" t="inlineStr"/>
      <c r="L2606" t="inlineStr"/>
      <c r="M2606" t="inlineStr"/>
      <c r="N2606" t="inlineStr"/>
      <c r="O2606">
        <f>(1-Summary!$B$11)*T2606+Summary!$B$11*V2606</f>
        <v/>
      </c>
      <c r="P2606">
        <f>IF(B2633=0,0,O2606/B2633)</f>
        <v/>
      </c>
      <c r="Q2606">
        <f>IFERROR(1/IF(Inputs!$B$38="pvp",15,MAX(0.1,Skills!D15-IF(Skills!E15=TRUE,Inputs!$B$32,0))),0)</f>
        <v/>
      </c>
      <c r="R2606">
        <f>IF(AND(Inputs!$B$38&lt;&gt;"pvp",Inputs!$B$43&gt;0),IF(Inputs!$B$43&lt;=0,0,(INT(Inputs!$B$43/IF(Inputs!$B$38="pvp",15,MAX(0.1,Skills!D15-IF(Skills!E15=TRUE,Inputs!$B$32,0))))+1)),0)</f>
        <v/>
      </c>
      <c r="S2606" t="n">
        <v>0</v>
      </c>
      <c r="T2606" t="n">
        <v>0</v>
      </c>
      <c r="V2606" t="n">
        <v>0</v>
      </c>
    </row>
    <row r="2607">
      <c r="A2607">
        <f>Skills!A16</f>
        <v/>
      </c>
      <c r="B2607">
        <f>Skills!B16</f>
        <v/>
      </c>
      <c r="C2607">
        <f>Inputs!$B$3&gt;=115</f>
        <v/>
      </c>
      <c r="D2607">
        <f>IF(Skills!C16=1,60+Inputs!$B$25+Inputs!$B$29,IF(Skills!C16=2,90+Inputs!$B$26+Inputs!$B$29,IF(Skills!C16=3,120+Inputs!$B$27+Inputs!$B$29,MAX(0,(Inputs!$B$3-100)*3)+Inputs!$B$28+Inputs!$B$29)))</f>
        <v/>
      </c>
      <c r="E2607">
        <f>INDEX(FactorTable!$B$2:$Y$301, MATCH(ROUND(MIN(300,MAX(1,D2607)),0), FactorTable!$A$2:$A$301,0), Skills!M16+1)</f>
        <v/>
      </c>
      <c r="F2607">
        <f>IF(Skills!N16=TRUE,(Skills!L16/10)*(E2607/1000),Skills!L16/10)+Skills!O16</f>
        <v/>
      </c>
      <c r="G2607">
        <f>Skills!G16*IF(Skills!H16&gt;0,Skills!I16/Skills!H16,1)</f>
        <v/>
      </c>
      <c r="H2607">
        <f>1-(1-Skills!J16/100)^Skills!K16</f>
        <v/>
      </c>
      <c r="I2607" t="inlineStr">
        <is>
          <t>1</t>
        </is>
      </c>
      <c r="J2607" t="inlineStr"/>
      <c r="K2607" t="inlineStr"/>
      <c r="L2607" t="inlineStr"/>
      <c r="M2607" t="inlineStr"/>
      <c r="N2607" t="inlineStr"/>
      <c r="O2607">
        <f>(1-Summary!$B$11)*T2607+Summary!$B$11*V2607</f>
        <v/>
      </c>
      <c r="P2607">
        <f>IF(B2633=0,0,O2607/B2633)</f>
        <v/>
      </c>
      <c r="Q2607">
        <f>IFERROR(1/IF(Inputs!$B$38="pvp",15,MAX(0.1,Skills!D16-IF(Skills!E16=TRUE,Inputs!$B$32,0))),0)</f>
        <v/>
      </c>
      <c r="R2607">
        <f>IF(AND(Inputs!$B$38&lt;&gt;"pvp",Inputs!$B$43&gt;0),IF(Inputs!$B$43&lt;=0,0,(INT(Inputs!$B$43/IF(Inputs!$B$38="pvp",15,MAX(0.1,Skills!D16-IF(Skills!E16=TRUE,Inputs!$B$32,0))))+1)),0)</f>
        <v/>
      </c>
      <c r="S2607" t="n">
        <v>0</v>
      </c>
      <c r="T2607" t="n">
        <v>0</v>
      </c>
      <c r="V2607" t="n">
        <v>0</v>
      </c>
    </row>
    <row r="2608">
      <c r="A2608">
        <f>Skills!A17</f>
        <v/>
      </c>
      <c r="B2608">
        <f>Skills!B17</f>
        <v/>
      </c>
      <c r="C2608">
        <f>Inputs!$B$3&gt;=72</f>
        <v/>
      </c>
      <c r="D2608">
        <f>IF(Skills!C17=1,60+Inputs!$B$25+Inputs!$B$29,IF(Skills!C17=2,90+Inputs!$B$26+Inputs!$B$29,IF(Skills!C17=3,120+Inputs!$B$27+Inputs!$B$29,MAX(0,(Inputs!$B$3-100)*3)+Inputs!$B$28+Inputs!$B$29)))</f>
        <v/>
      </c>
      <c r="E2608">
        <f>INDEX(FactorTable!$B$2:$Y$301, MATCH(ROUND(MIN(300,MAX(1,D2608)),0), FactorTable!$A$2:$A$301,0), Skills!M17+1)</f>
        <v/>
      </c>
      <c r="F2608">
        <f>IF(Skills!N17=TRUE,(Skills!L17/10)*(E2608/1000),Skills!L17/10)+Skills!O17</f>
        <v/>
      </c>
      <c r="G2608">
        <f>Skills!G17*IF(Skills!H17&gt;0,Skills!I17/Skills!H17,1)</f>
        <v/>
      </c>
      <c r="H2608">
        <f>1-(1-Skills!J17/100)^Skills!K17</f>
        <v/>
      </c>
      <c r="I2608" t="inlineStr">
        <is>
          <t>1</t>
        </is>
      </c>
      <c r="J2608" t="inlineStr"/>
      <c r="K2608" t="inlineStr"/>
      <c r="L2608" t="inlineStr"/>
      <c r="M2608" t="inlineStr"/>
      <c r="N2608" t="inlineStr"/>
      <c r="O2608">
        <f>(1-Summary!$B$11)*T2608+Summary!$B$11*V2608</f>
        <v/>
      </c>
      <c r="P2608">
        <f>IF(B2633=0,0,O2608/B2633)</f>
        <v/>
      </c>
      <c r="Q2608" t="n">
        <v>0</v>
      </c>
      <c r="R2608" t="n">
        <v>0</v>
      </c>
      <c r="S2608" t="n">
        <v>0</v>
      </c>
      <c r="T2608" t="n">
        <v>0</v>
      </c>
      <c r="V2608" t="n">
        <v>0</v>
      </c>
    </row>
    <row r="2609">
      <c r="A2609">
        <f>Skills!A18</f>
        <v/>
      </c>
      <c r="B2609">
        <f>Skills!B18</f>
        <v/>
      </c>
      <c r="C2609">
        <f>TRUE</f>
        <v/>
      </c>
      <c r="D2609">
        <f>IF(Skills!C18=1,60+Inputs!$B$25+Inputs!$B$29,IF(Skills!C18=2,90+Inputs!$B$26+Inputs!$B$29,IF(Skills!C18=3,120+Inputs!$B$27+Inputs!$B$29,MAX(0,(Inputs!$B$3-100)*3)+Inputs!$B$28+Inputs!$B$29)))</f>
        <v/>
      </c>
      <c r="E2609">
        <f>INDEX(FactorTable!$B$2:$Y$301, MATCH(ROUND(MIN(300,MAX(1,D2609)),0), FactorTable!$A$2:$A$301,0), Skills!M18+1)</f>
        <v/>
      </c>
      <c r="F2609">
        <f>IF(Skills!N18=TRUE,(Skills!L18/10)*(E2609/1000),Skills!L18/10)+Skills!O18</f>
        <v/>
      </c>
      <c r="G2609">
        <f>Skills!G18*IF(Skills!H18&gt;0,Skills!I18/Skills!H18,1)</f>
        <v/>
      </c>
      <c r="H2609">
        <f>1-(1-Skills!J18/100)^Skills!K18</f>
        <v/>
      </c>
      <c r="I2609" t="inlineStr">
        <is>
          <t>1</t>
        </is>
      </c>
      <c r="J2609" t="inlineStr"/>
      <c r="K2609" t="inlineStr"/>
      <c r="L2609" t="inlineStr"/>
      <c r="M2609" t="inlineStr"/>
      <c r="N2609" t="inlineStr"/>
      <c r="O2609">
        <f>(1-Summary!$B$11)*T2609+Summary!$B$11*V2609</f>
        <v/>
      </c>
      <c r="P2609">
        <f>IF(B2633=0,0,O2609/B2633)</f>
        <v/>
      </c>
      <c r="Q2609">
        <f>IFERROR(1/IF(Inputs!$B$38="pvp",15,MAX(0.1,Skills!D18-IF(Skills!E18=TRUE,Inputs!$B$32,0))),0)</f>
        <v/>
      </c>
      <c r="R2609">
        <f>IF(AND(Inputs!$B$38&lt;&gt;"pvp",Inputs!$B$43&gt;0),IF(Inputs!$B$43&lt;=0,0,(INT(Inputs!$B$43/IF(Inputs!$B$38="pvp",15,MAX(0.1,Skills!D18-IF(Skills!E18=TRUE,Inputs!$B$32,0))))+1)),0)</f>
        <v/>
      </c>
      <c r="S2609" t="n">
        <v>0</v>
      </c>
      <c r="T2609" t="n">
        <v>0</v>
      </c>
      <c r="V2609" t="n">
        <v>0</v>
      </c>
    </row>
    <row r="2610">
      <c r="A2610">
        <f>Skills!A19</f>
        <v/>
      </c>
      <c r="B2610">
        <f>Skills!B19</f>
        <v/>
      </c>
      <c r="C2610">
        <f>Inputs!$B$3&gt;=15</f>
        <v/>
      </c>
      <c r="D2610">
        <f>IF(Skills!C19=1,60+Inputs!$B$25+Inputs!$B$29,IF(Skills!C19=2,90+Inputs!$B$26+Inputs!$B$29,IF(Skills!C19=3,120+Inputs!$B$27+Inputs!$B$29,MAX(0,(Inputs!$B$3-100)*3)+Inputs!$B$28+Inputs!$B$29)))</f>
        <v/>
      </c>
      <c r="E2610">
        <f>INDEX(FactorTable!$B$2:$Y$301, MATCH(ROUND(MIN(300,MAX(1,D2610)),0), FactorTable!$A$2:$A$301,0), Skills!M19+1)</f>
        <v/>
      </c>
      <c r="F2610">
        <f>IF(Skills!N19=TRUE,(Skills!L19/10)*(E2610/1000),Skills!L19/10)+Skills!O19</f>
        <v/>
      </c>
      <c r="G2610">
        <f>Skills!G19*IF(Skills!H19&gt;0,Skills!I19/Skills!H19,1)</f>
        <v/>
      </c>
      <c r="H2610">
        <f>1-(1-Skills!J19/100)^Skills!K19</f>
        <v/>
      </c>
      <c r="I2610" t="inlineStr">
        <is>
          <t>1</t>
        </is>
      </c>
      <c r="J2610" t="inlineStr"/>
      <c r="K2610" t="inlineStr"/>
      <c r="L2610" t="inlineStr"/>
      <c r="M2610" t="inlineStr"/>
      <c r="N2610" t="inlineStr"/>
      <c r="O2610">
        <f>(1-Summary!$B$11)*T2610+Summary!$B$11*V2610</f>
        <v/>
      </c>
      <c r="P2610">
        <f>IF(B2633=0,0,O2610/B2633)</f>
        <v/>
      </c>
      <c r="Q2610" t="n">
        <v>0</v>
      </c>
      <c r="R2610" t="n">
        <v>0</v>
      </c>
      <c r="S2610" t="n">
        <v>0</v>
      </c>
      <c r="T2610" t="n">
        <v>0</v>
      </c>
      <c r="V2610" t="n">
        <v>0</v>
      </c>
    </row>
    <row r="2611">
      <c r="A2611">
        <f>Skills!A20</f>
        <v/>
      </c>
      <c r="B2611">
        <f>Skills!B20</f>
        <v/>
      </c>
      <c r="C2611">
        <f>Inputs!$B$3&gt;=10</f>
        <v/>
      </c>
      <c r="D2611">
        <f>IF(Skills!C20=1,60+Inputs!$B$25+Inputs!$B$29,IF(Skills!C20=2,90+Inputs!$B$26+Inputs!$B$29,IF(Skills!C20=3,120+Inputs!$B$27+Inputs!$B$29,MAX(0,(Inputs!$B$3-100)*3)+Inputs!$B$28+Inputs!$B$29)))</f>
        <v/>
      </c>
      <c r="E2611">
        <f>INDEX(FactorTable!$B$2:$Y$301, MATCH(ROUND(MIN(300,MAX(1,D2611)),0), FactorTable!$A$2:$A$301,0), Skills!M20+1)</f>
        <v/>
      </c>
      <c r="F2611">
        <f>IF(Skills!N20=TRUE,(Skills!L20/10)*(E2611/1000),Skills!L20/10)+Skills!O20</f>
        <v/>
      </c>
      <c r="G2611">
        <f>Skills!G20*IF(Skills!H20&gt;0,Skills!I20/Skills!H20,1)</f>
        <v/>
      </c>
      <c r="H2611">
        <f>1-(1-Skills!J20/100)^Skills!K20</f>
        <v/>
      </c>
      <c r="I2611" t="inlineStr">
        <is>
          <t>1</t>
        </is>
      </c>
      <c r="J2611" t="inlineStr"/>
      <c r="K2611" t="inlineStr"/>
      <c r="L2611" t="inlineStr"/>
      <c r="M2611" t="inlineStr"/>
      <c r="N2611" t="inlineStr"/>
      <c r="O2611">
        <f>(1-Summary!$B$11)*T2611+Summary!$B$11*V2611</f>
        <v/>
      </c>
      <c r="P2611">
        <f>IF(B2633=0,0,O2611/B2633)</f>
        <v/>
      </c>
      <c r="Q2611" t="n">
        <v>0</v>
      </c>
      <c r="R2611" t="n">
        <v>0</v>
      </c>
      <c r="S2611" t="n">
        <v>0</v>
      </c>
      <c r="T2611" t="n">
        <v>0</v>
      </c>
      <c r="V2611" t="n">
        <v>0</v>
      </c>
    </row>
    <row r="2612">
      <c r="A2612">
        <f>Skills!A21</f>
        <v/>
      </c>
      <c r="B2612">
        <f>Skills!B21</f>
        <v/>
      </c>
      <c r="C2612">
        <f>Inputs!$B$3&gt;=33</f>
        <v/>
      </c>
      <c r="D2612">
        <f>IF(Skills!C21=1,60+Inputs!$B$25+Inputs!$B$29,IF(Skills!C21=2,90+Inputs!$B$26+Inputs!$B$29,IF(Skills!C21=3,120+Inputs!$B$27+Inputs!$B$29,MAX(0,(Inputs!$B$3-100)*3)+Inputs!$B$28+Inputs!$B$29)))</f>
        <v/>
      </c>
      <c r="E2612">
        <f>INDEX(FactorTable!$B$2:$Y$301, MATCH(ROUND(MIN(300,MAX(1,D2612)),0), FactorTable!$A$2:$A$301,0), Skills!M21+1)</f>
        <v/>
      </c>
      <c r="F2612">
        <f>IF(Skills!N21=TRUE,(Skills!L21/10)*(E2612/1000),Skills!L21/10)+Skills!O21</f>
        <v/>
      </c>
      <c r="G2612">
        <f>Skills!G21*IF(Skills!H21&gt;0,Skills!I21/Skills!H21,1)</f>
        <v/>
      </c>
      <c r="H2612">
        <f>1-(1-Skills!J21/100)^Skills!K21</f>
        <v/>
      </c>
      <c r="I2612" t="inlineStr">
        <is>
          <t>1</t>
        </is>
      </c>
      <c r="J2612" t="inlineStr"/>
      <c r="K2612" t="inlineStr"/>
      <c r="L2612" t="inlineStr"/>
      <c r="M2612" t="inlineStr"/>
      <c r="N2612" t="inlineStr"/>
      <c r="O2612">
        <f>(1-Summary!$B$11)*T2612+Summary!$B$11*V2612</f>
        <v/>
      </c>
      <c r="P2612">
        <f>IF(B2633=0,0,O2612/B2633)</f>
        <v/>
      </c>
      <c r="Q2612" t="n">
        <v>0</v>
      </c>
      <c r="R2612" t="n">
        <v>0</v>
      </c>
      <c r="S2612" t="n">
        <v>0</v>
      </c>
      <c r="T2612" t="n">
        <v>0</v>
      </c>
      <c r="V2612" t="n">
        <v>0</v>
      </c>
    </row>
    <row r="2613">
      <c r="A2613">
        <f>Skills!A22</f>
        <v/>
      </c>
      <c r="B2613">
        <f>Skills!B22</f>
        <v/>
      </c>
      <c r="C2613">
        <f>Inputs!$B$3&gt;=38</f>
        <v/>
      </c>
      <c r="D2613">
        <f>IF(Skills!C22=1,60+Inputs!$B$25+Inputs!$B$29,IF(Skills!C22=2,90+Inputs!$B$26+Inputs!$B$29,IF(Skills!C22=3,120+Inputs!$B$27+Inputs!$B$29,MAX(0,(Inputs!$B$3-100)*3)+Inputs!$B$28+Inputs!$B$29)))</f>
        <v/>
      </c>
      <c r="E2613">
        <f>INDEX(FactorTable!$B$2:$Y$301, MATCH(ROUND(MIN(300,MAX(1,D2613)),0), FactorTable!$A$2:$A$301,0), Skills!M22+1)</f>
        <v/>
      </c>
      <c r="F2613">
        <f>IF(Skills!N22=TRUE,(Skills!L22/10)*(E2613/1000),Skills!L22/10)+Skills!O22</f>
        <v/>
      </c>
      <c r="G2613">
        <f>Skills!G22*IF(Skills!H22&gt;0,Skills!I22/Skills!H22,1)</f>
        <v/>
      </c>
      <c r="H2613">
        <f>1-(1-Skills!J22/100)^Skills!K22</f>
        <v/>
      </c>
      <c r="I2613" t="inlineStr">
        <is>
          <t>1</t>
        </is>
      </c>
      <c r="J2613" t="inlineStr"/>
      <c r="K2613" t="inlineStr"/>
      <c r="L2613" t="inlineStr"/>
      <c r="M2613" t="inlineStr"/>
      <c r="N2613" t="inlineStr"/>
      <c r="O2613">
        <f>(1-Summary!$B$11)*T2613+Summary!$B$11*V2613</f>
        <v/>
      </c>
      <c r="P2613">
        <f>IF(B2633=0,0,O2613/B2633)</f>
        <v/>
      </c>
      <c r="Q2613" t="n">
        <v>0</v>
      </c>
      <c r="R2613" t="n">
        <v>0</v>
      </c>
      <c r="S2613" t="n">
        <v>0</v>
      </c>
      <c r="T2613" t="n">
        <v>0</v>
      </c>
      <c r="V2613" t="n">
        <v>0</v>
      </c>
    </row>
    <row r="2614">
      <c r="A2614">
        <f>Skills!A23</f>
        <v/>
      </c>
      <c r="B2614">
        <f>Skills!B23</f>
        <v/>
      </c>
      <c r="C2614">
        <f>Inputs!$B$3&gt;=43</f>
        <v/>
      </c>
      <c r="D2614">
        <f>IF(Skills!C23=1,60+Inputs!$B$25+Inputs!$B$29,IF(Skills!C23=2,90+Inputs!$B$26+Inputs!$B$29,IF(Skills!C23=3,120+Inputs!$B$27+Inputs!$B$29,MAX(0,(Inputs!$B$3-100)*3)+Inputs!$B$28+Inputs!$B$29)))</f>
        <v/>
      </c>
      <c r="E2614">
        <f>INDEX(FactorTable!$B$2:$Y$301, MATCH(ROUND(MIN(300,MAX(1,D2614)),0), FactorTable!$A$2:$A$301,0), Skills!M23+1)</f>
        <v/>
      </c>
      <c r="F2614">
        <f>IF(Skills!N23=TRUE,(Skills!L23/10)*(E2614/1000),Skills!L23/10)+Skills!O23</f>
        <v/>
      </c>
      <c r="G2614">
        <f>Skills!G23*IF(Skills!H23&gt;0,Skills!I23/Skills!H23,1)</f>
        <v/>
      </c>
      <c r="H2614">
        <f>1-(1-Skills!J23/100)^Skills!K23</f>
        <v/>
      </c>
      <c r="I2614" t="inlineStr">
        <is>
          <t>1</t>
        </is>
      </c>
      <c r="J2614" t="inlineStr"/>
      <c r="K2614" t="inlineStr"/>
      <c r="L2614" t="inlineStr"/>
      <c r="M2614" t="inlineStr"/>
      <c r="N2614" t="inlineStr"/>
      <c r="O2614">
        <f>(1-Summary!$B$11)*T2614+Summary!$B$11*V2614</f>
        <v/>
      </c>
      <c r="P2614">
        <f>IF(B2633=0,0,O2614/B2633)</f>
        <v/>
      </c>
      <c r="Q2614" t="n">
        <v>0</v>
      </c>
      <c r="R2614" t="n">
        <v>0</v>
      </c>
      <c r="S2614" t="n">
        <v>0</v>
      </c>
      <c r="T2614" t="n">
        <v>0</v>
      </c>
      <c r="V2614" t="n">
        <v>0</v>
      </c>
    </row>
    <row r="2615">
      <c r="A2615">
        <f>Skills!A24</f>
        <v/>
      </c>
      <c r="B2615">
        <f>Skills!B24</f>
        <v/>
      </c>
      <c r="C2615">
        <f>Inputs!$B$3&gt;=75</f>
        <v/>
      </c>
      <c r="D2615">
        <f>IF(Skills!C24=1,60+Inputs!$B$25+Inputs!$B$29,IF(Skills!C24=2,90+Inputs!$B$26+Inputs!$B$29,IF(Skills!C24=3,120+Inputs!$B$27+Inputs!$B$29,MAX(0,(Inputs!$B$3-100)*3)+Inputs!$B$28+Inputs!$B$29)))</f>
        <v/>
      </c>
      <c r="E2615">
        <f>INDEX(FactorTable!$B$2:$Y$301, MATCH(ROUND(MIN(300,MAX(1,D2615)),0), FactorTable!$A$2:$A$301,0), Skills!M24+1)</f>
        <v/>
      </c>
      <c r="F2615">
        <f>IF(Skills!N24=TRUE,(Skills!L24/10)*(E2615/1000),Skills!L24/10)+Skills!O24</f>
        <v/>
      </c>
      <c r="G2615">
        <f>Skills!G24*IF(Skills!H24&gt;0,Skills!I24/Skills!H24,1)</f>
        <v/>
      </c>
      <c r="H2615">
        <f>1-(1-Skills!J24/100)^Skills!K24</f>
        <v/>
      </c>
      <c r="I2615" t="inlineStr">
        <is>
          <t>1</t>
        </is>
      </c>
      <c r="J2615" t="inlineStr"/>
      <c r="K2615" t="inlineStr"/>
      <c r="L2615" t="inlineStr"/>
      <c r="M2615" t="inlineStr"/>
      <c r="N2615" t="inlineStr"/>
      <c r="O2615">
        <f>(1-Summary!$B$11)*T2615+Summary!$B$11*V2615</f>
        <v/>
      </c>
      <c r="P2615">
        <f>IF(B2633=0,0,O2615/B2633)</f>
        <v/>
      </c>
      <c r="Q2615" t="n">
        <v>0</v>
      </c>
      <c r="R2615" t="n">
        <v>0</v>
      </c>
      <c r="S2615" t="n">
        <v>0</v>
      </c>
      <c r="T2615" t="n">
        <v>0</v>
      </c>
      <c r="V2615" t="n">
        <v>0</v>
      </c>
    </row>
    <row r="2616">
      <c r="A2616">
        <f>Skills!A25</f>
        <v/>
      </c>
      <c r="B2616">
        <f>Skills!B25</f>
        <v/>
      </c>
      <c r="C2616">
        <f>Inputs!$B$3&gt;=125</f>
        <v/>
      </c>
      <c r="D2616">
        <f>IF(Skills!C25=1,60+Inputs!$B$25+Inputs!$B$29,IF(Skills!C25=2,90+Inputs!$B$26+Inputs!$B$29,IF(Skills!C25=3,120+Inputs!$B$27+Inputs!$B$29,MAX(0,(Inputs!$B$3-100)*3)+Inputs!$B$28+Inputs!$B$29)))</f>
        <v/>
      </c>
      <c r="E2616">
        <f>INDEX(FactorTable!$B$2:$Y$301, MATCH(ROUND(MIN(300,MAX(1,D2616)),0), FactorTable!$A$2:$A$301,0), Skills!M25+1)</f>
        <v/>
      </c>
      <c r="F2616">
        <f>IF(Skills!N25=TRUE,(Skills!L25/10)*(E2616/1000),Skills!L25/10)+Skills!O25</f>
        <v/>
      </c>
      <c r="G2616">
        <f>Skills!G25*IF(Skills!H25&gt;0,Skills!I25/Skills!H25,1)</f>
        <v/>
      </c>
      <c r="H2616">
        <f>1-(1-Skills!J25/100)^Skills!K25</f>
        <v/>
      </c>
      <c r="I2616" t="inlineStr">
        <is>
          <t>1</t>
        </is>
      </c>
      <c r="J2616" t="inlineStr"/>
      <c r="K2616" t="inlineStr"/>
      <c r="L2616" t="inlineStr"/>
      <c r="M2616" t="inlineStr"/>
      <c r="N2616" t="inlineStr"/>
      <c r="O2616">
        <f>(1-Summary!$B$11)*T2616+Summary!$B$11*V2616</f>
        <v/>
      </c>
      <c r="P2616">
        <f>IF(B2633=0,0,O2616/B2633)</f>
        <v/>
      </c>
      <c r="Q2616" t="n">
        <v>0</v>
      </c>
      <c r="R2616" t="n">
        <v>0</v>
      </c>
      <c r="S2616" t="n">
        <v>0</v>
      </c>
      <c r="T2616" t="n">
        <v>0</v>
      </c>
      <c r="V2616" t="n">
        <v>0</v>
      </c>
    </row>
    <row r="2617">
      <c r="A2617">
        <f>Skills!A26</f>
        <v/>
      </c>
      <c r="B2617">
        <f>Skills!B26</f>
        <v/>
      </c>
      <c r="C2617">
        <f>Inputs!$B$3&gt;=125</f>
        <v/>
      </c>
      <c r="D2617">
        <f>IF(Skills!C26=1,60+Inputs!$B$25+Inputs!$B$29,IF(Skills!C26=2,90+Inputs!$B$26+Inputs!$B$29,IF(Skills!C26=3,120+Inputs!$B$27+Inputs!$B$29,MAX(0,(Inputs!$B$3-100)*3)+Inputs!$B$28+Inputs!$B$29)))</f>
        <v/>
      </c>
      <c r="E2617">
        <f>INDEX(FactorTable!$B$2:$Y$301, MATCH(ROUND(MIN(300,MAX(1,D2617)),0), FactorTable!$A$2:$A$301,0), Skills!M26+1)</f>
        <v/>
      </c>
      <c r="F2617">
        <f>IF(Skills!N26=TRUE,(Skills!L26/10)*(E2617/1000),Skills!L26/10)+Skills!O26</f>
        <v/>
      </c>
      <c r="G2617">
        <f>Skills!G26*IF(Skills!H26&gt;0,Skills!I26/Skills!H26,1)</f>
        <v/>
      </c>
      <c r="H2617">
        <f>1-(1-Skills!J26/100)^Skills!K26</f>
        <v/>
      </c>
      <c r="I2617" t="inlineStr">
        <is>
          <t>1</t>
        </is>
      </c>
      <c r="J2617" t="inlineStr"/>
      <c r="K2617" t="inlineStr"/>
      <c r="L2617" t="inlineStr"/>
      <c r="M2617" t="inlineStr"/>
      <c r="N2617" t="inlineStr"/>
      <c r="O2617">
        <f>(1-Summary!$B$11)*T2617+Summary!$B$11*V2617</f>
        <v/>
      </c>
      <c r="P2617">
        <f>IF(B2633=0,0,O2617/B2633)</f>
        <v/>
      </c>
      <c r="Q2617" t="n">
        <v>0</v>
      </c>
      <c r="R2617" t="n">
        <v>0</v>
      </c>
      <c r="S2617" t="n">
        <v>0</v>
      </c>
      <c r="T2617" t="n">
        <v>0</v>
      </c>
      <c r="V2617" t="n">
        <v>0</v>
      </c>
    </row>
    <row r="2618">
      <c r="A2618">
        <f>Skills!A27</f>
        <v/>
      </c>
      <c r="B2618">
        <f>Skills!B27</f>
        <v/>
      </c>
      <c r="C2618">
        <f>Inputs!$B$3&gt;=120</f>
        <v/>
      </c>
      <c r="D2618">
        <f>IF(Skills!C27=1,60+Inputs!$B$25+Inputs!$B$29,IF(Skills!C27=2,90+Inputs!$B$26+Inputs!$B$29,IF(Skills!C27=3,120+Inputs!$B$27+Inputs!$B$29,MAX(0,(Inputs!$B$3-100)*3)+Inputs!$B$28+Inputs!$B$29)))</f>
        <v/>
      </c>
      <c r="E2618">
        <f>INDEX(FactorTable!$B$2:$Y$301, MATCH(ROUND(MIN(300,MAX(1,D2618)),0), FactorTable!$A$2:$A$301,0), Skills!M27+1)</f>
        <v/>
      </c>
      <c r="F2618">
        <f>IF(Skills!N27=TRUE,(Skills!L27/10)*(E2618/1000),Skills!L27/10)+Skills!O27</f>
        <v/>
      </c>
      <c r="G2618">
        <f>Skills!G27*IF(Skills!H27&gt;0,Skills!I27/Skills!H27,1)</f>
        <v/>
      </c>
      <c r="H2618">
        <f>1-(1-Skills!J27/100)^Skills!K27</f>
        <v/>
      </c>
      <c r="I2618" t="inlineStr">
        <is>
          <t>1</t>
        </is>
      </c>
      <c r="J2618" t="inlineStr"/>
      <c r="K2618" t="inlineStr"/>
      <c r="L2618" t="inlineStr"/>
      <c r="M2618" t="inlineStr"/>
      <c r="N2618" t="inlineStr"/>
      <c r="O2618">
        <f>(1-Summary!$B$11)*T2618+Summary!$B$11*V2618</f>
        <v/>
      </c>
      <c r="P2618">
        <f>IF(B2633=0,0,O2618/B2633)</f>
        <v/>
      </c>
      <c r="Q2618" t="n">
        <v>0</v>
      </c>
      <c r="R2618" t="n">
        <v>0</v>
      </c>
      <c r="S2618" t="n">
        <v>0</v>
      </c>
      <c r="T2618" t="n">
        <v>0</v>
      </c>
      <c r="V2618" t="n">
        <v>0</v>
      </c>
    </row>
    <row r="2619">
      <c r="A2619">
        <f>Skills!A28</f>
        <v/>
      </c>
      <c r="B2619">
        <f>Skills!B28</f>
        <v/>
      </c>
      <c r="C2619">
        <f>Inputs!$B$3&gt;=120</f>
        <v/>
      </c>
      <c r="D2619">
        <f>IF(Skills!C28=1,60+Inputs!$B$25+Inputs!$B$29,IF(Skills!C28=2,90+Inputs!$B$26+Inputs!$B$29,IF(Skills!C28=3,120+Inputs!$B$27+Inputs!$B$29,MAX(0,(Inputs!$B$3-100)*3)+Inputs!$B$28+Inputs!$B$29)))</f>
        <v/>
      </c>
      <c r="E2619">
        <f>INDEX(FactorTable!$B$2:$Y$301, MATCH(ROUND(MIN(300,MAX(1,D2619)),0), FactorTable!$A$2:$A$301,0), Skills!M28+1)</f>
        <v/>
      </c>
      <c r="F2619">
        <f>IF(Skills!N28=TRUE,(Skills!L28/10)*(E2619/1000),Skills!L28/10)+Skills!O28</f>
        <v/>
      </c>
      <c r="G2619">
        <f>Skills!G28*IF(Skills!H28&gt;0,Skills!I28/Skills!H28,1)</f>
        <v/>
      </c>
      <c r="H2619">
        <f>1-(1-Skills!J28/100)^Skills!K28</f>
        <v/>
      </c>
      <c r="I2619" t="inlineStr">
        <is>
          <t>1</t>
        </is>
      </c>
      <c r="J2619" t="inlineStr"/>
      <c r="K2619" t="inlineStr"/>
      <c r="L2619" t="inlineStr"/>
      <c r="M2619" t="inlineStr"/>
      <c r="N2619" t="inlineStr"/>
      <c r="O2619">
        <f>(1-Summary!$B$11)*T2619+Summary!$B$11*V2619</f>
        <v/>
      </c>
      <c r="P2619">
        <f>IF(B2633=0,0,O2619/B2633)</f>
        <v/>
      </c>
      <c r="Q2619" t="n">
        <v>0</v>
      </c>
      <c r="R2619" t="n">
        <v>0</v>
      </c>
      <c r="S2619" t="n">
        <v>0</v>
      </c>
      <c r="T2619" t="n">
        <v>0</v>
      </c>
      <c r="V2619" t="n">
        <v>0</v>
      </c>
    </row>
    <row r="2620">
      <c r="A2620">
        <f>Skills!A29</f>
        <v/>
      </c>
      <c r="B2620">
        <f>Skills!B29</f>
        <v/>
      </c>
      <c r="C2620">
        <f>Inputs!$B$3&gt;=45</f>
        <v/>
      </c>
      <c r="D2620">
        <f>IF(Skills!C29=1,60+Inputs!$B$25+Inputs!$B$29,IF(Skills!C29=2,90+Inputs!$B$26+Inputs!$B$29,IF(Skills!C29=3,120+Inputs!$B$27+Inputs!$B$29,MAX(0,(Inputs!$B$3-100)*3)+Inputs!$B$28+Inputs!$B$29)))</f>
        <v/>
      </c>
      <c r="E2620">
        <f>INDEX(FactorTable!$B$2:$Y$301, MATCH(ROUND(MIN(300,MAX(1,D2620)),0), FactorTable!$A$2:$A$301,0), Skills!M29+1)</f>
        <v/>
      </c>
      <c r="F2620">
        <f>IF(Skills!N29=TRUE,(Skills!L29/10)*(E2620/1000),Skills!L29/10)+Skills!O29</f>
        <v/>
      </c>
      <c r="G2620">
        <f>Skills!G29*IF(Skills!H29&gt;0,Skills!I29/Skills!H29,1)</f>
        <v/>
      </c>
      <c r="H2620">
        <f>1-(1-Skills!J29/100)^Skills!K29</f>
        <v/>
      </c>
      <c r="I2620" t="inlineStr">
        <is>
          <t>1</t>
        </is>
      </c>
      <c r="J2620" t="inlineStr"/>
      <c r="K2620" t="inlineStr"/>
      <c r="L2620" t="inlineStr"/>
      <c r="M2620" t="inlineStr"/>
      <c r="N2620" t="inlineStr"/>
      <c r="O2620">
        <f>(1-Summary!$B$11)*T2620+Summary!$B$11*V2620</f>
        <v/>
      </c>
      <c r="P2620">
        <f>IF(B2633=0,0,O2620/B2633)</f>
        <v/>
      </c>
      <c r="Q2620" t="n">
        <v>0</v>
      </c>
      <c r="R2620" t="n">
        <v>0</v>
      </c>
      <c r="S2620" t="n">
        <v>0</v>
      </c>
      <c r="T2620" t="n">
        <v>0</v>
      </c>
      <c r="V2620" t="n">
        <v>0</v>
      </c>
    </row>
    <row r="2622">
      <c r="A2622" t="inlineStr">
        <is>
          <t>Attack% Bucket Multiplier</t>
        </is>
      </c>
      <c r="B2622">
        <f>(1+(((C2604=TRUE)*F2604)+((C2605=TRUE)*IF(Inputs!$B$38="pvp",F2605,(1-Summary!$B$11)*(F2605)+Summary!$B$11*(0)))+((C2606=TRUE)*F2606*IF(AND(Inputs!$B$38&lt;&gt;"pvp",Inputs!$B$43&gt;0),(((R2606-1)*(Skills!T15*(1+Inputs!$B$34/100))+MIN((Skills!T15*(1+Inputs!$B$34/100)),MAX(0,Inputs!$B$43-((R2606-1)*Skills!D15))))/Inputs!$B$43),IF(Inputs!$B$38="pvp",MIN((Skills!T15*(1+Inputs!$B$34/100)),15)/15,(Skills!T15*(1+Inputs!$B$34/100))/Skills!D15)))+((C2603=TRUE)*F2603)+((C2620=TRUE)*(F2620-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IF(ArtifactsInput!$M$37,FALSE,TRUE),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2623">
      <c r="A2623" t="inlineStr">
        <is>
          <t>Global Crit Rate Bonus %</t>
        </is>
      </c>
      <c r="B2623">
        <f>(C2607=TRUE)*20*IF(AND(Inputs!$B$38&lt;&gt;"pvp",Inputs!$B$43&gt;0),(((R2607-1)*(Skills!T16*(1+Inputs!$B$34/100))+MIN((Skills!T16*(1+Inputs!$B$34/100)),MAX(0,Inputs!$B$43-((R2607-1)*Skills!D16))))/Inputs!$B$43),IF(Inputs!$B$38="pvp",MIN((Skills!T16*(1+Inputs!$B$34/100)),15)/15,(Skills!T16*(1+Inputs!$B$34/100))/Skills!D16))</f>
        <v/>
      </c>
    </row>
    <row r="2624">
      <c r="A2624" t="inlineStr">
        <is>
          <t>Attack Speed Buff Bonus %</t>
        </is>
      </c>
      <c r="B2624">
        <f>((C2609=TRUE)*F2609*IF(AND(Inputs!$B$38&lt;&gt;"pvp",Inputs!$B$43&gt;0),(((R2609-1)*(Skills!T18*(1+Inputs!$B$34/100))+MIN((Skills!T18*(1+Inputs!$B$34/100)),MAX(0,Inputs!$B$43-((R2609-1)*Skills!D18))))/Inputs!$B$43),IF(Inputs!$B$38="pvp",MIN((Skills!T18*(1+Inputs!$B$34/100)),15)/15,(Skills!T18*(1+Inputs!$B$34/100))/Skills!D18)))</f>
        <v/>
      </c>
    </row>
    <row r="2625">
      <c r="A2625" t="inlineStr">
        <is>
          <t>Actions Per Second</t>
        </is>
      </c>
      <c r="B2625">
        <f>1+MIN(150,150*(1-(1-(Inputs!$B$11+((C2611=TRUE)*(F2611-Calc!F20))+((C2612=TRUE)*(F2612-Calc!F21)))/150)*(1-B2624/150)))/100</f>
        <v/>
      </c>
    </row>
    <row r="2626">
      <c r="A2626" t="inlineStr">
        <is>
          <t>Skill + Buff Cast Rate</t>
        </is>
      </c>
      <c r="B2626">
        <f>IF(AND(Inputs!$B$38&lt;&gt;"pvp",Inputs!$B$43&gt;0),SUMPRODUCT((Skills!E2:E29=TRUE)*(C2593:C2620=TRUE)*R2593:R2620*Skills!F2:F29)/Inputs!$B$43,SUMPRODUCT((Skills!E2:E29=TRUE)*(C2593:C2620=TRUE)*Q2593:Q2620*Skills!F2:F29))</f>
        <v/>
      </c>
    </row>
    <row r="2627">
      <c r="A2627" t="inlineStr">
        <is>
          <t>Empowered Piercing Arrow Casts Per Second</t>
        </is>
      </c>
      <c r="B2627">
        <f>MAX(0,B2625-B2626)</f>
        <v/>
      </c>
    </row>
    <row r="2628">
      <c r="A2628" t="inlineStr">
        <is>
          <t>Global Critical Damage Bonus % (Sharp Eyes)</t>
        </is>
      </c>
      <c r="B2628">
        <f>(C2607=TRUE)*F2607*IF(AND(Inputs!$B$38&lt;&gt;"pvp",Inputs!$B$43&gt;0),(((R2607-1)*(Skills!T16*(1+Inputs!$B$34/100))+MIN((Skills!T16*(1+Inputs!$B$34/100)),MAX(0,Inputs!$B$43-((R2607-1)*Skills!D16))))/Inputs!$B$43),IF(Inputs!$B$38="pvp",MIN((Skills!T16*(1+Inputs!$B$34/100)),15)/15,(Skills!T16*(1+Inputs!$B$34/100))/Skills!D16))</f>
        <v/>
      </c>
    </row>
    <row r="2629">
      <c r="A2629" t="inlineStr">
        <is>
          <t>Global Final Damage Bonus % (Mortal Blow + Last Man Standing conditional half)</t>
        </is>
      </c>
      <c r="B2629">
        <f>(C2608=TRUE)*F2608+((C2617=TRUE)*IF(Inputs!$B$38="pvp",F2617,(1-Summary!$B$11)*(F2617)+Summary!$B$11*(0)))</f>
        <v/>
      </c>
    </row>
    <row r="2630">
      <c r="A2630" t="inlineStr">
        <is>
          <t>Buff-Casting Startup Delay (s, fixed-duration only)</t>
        </is>
      </c>
      <c r="B2630">
        <f>IF(AND(Inputs!$B$38&lt;&gt;"pvp",Inputs!$B$43&gt;0),SUMPRODUCT((Skills!T2:T29&gt;0)*(Skills!E2:E29=TRUE)*(C2593:C2620=TRUE))/B2625,0)</f>
        <v/>
      </c>
    </row>
    <row r="2631">
      <c r="A2631" t="inlineStr">
        <is>
          <t>Boss-Only Total DPS (this block's swept value)</t>
        </is>
      </c>
      <c r="B2631">
        <f>SUM(T2593:T2620)</f>
        <v/>
      </c>
    </row>
    <row r="2632">
      <c r="A2632" t="inlineStr">
        <is>
          <t>Normal-Only Total DPS (this block's swept value)</t>
        </is>
      </c>
      <c r="B2632">
        <f>SUM(V2593:V2620)</f>
        <v/>
      </c>
    </row>
    <row r="2633">
      <c r="A2633" s="6" t="inlineStr">
        <is>
          <t>TOTAL DPS</t>
        </is>
      </c>
      <c r="B2633" s="6">
        <f>SUM(O2593:O2620)</f>
        <v/>
      </c>
    </row>
    <row r="2636">
      <c r="A2636" s="6" t="inlineStr">
        <is>
          <t>Stat: Horn Flute (Equip)</t>
        </is>
      </c>
    </row>
    <row r="2637">
      <c r="A2637" s="5" t="inlineStr">
        <is>
          <t>Key</t>
        </is>
      </c>
      <c r="B2637" s="5" t="inlineStr">
        <is>
          <t>Name</t>
        </is>
      </c>
      <c r="C2637" s="5" t="inlineStr">
        <is>
          <t>Unlocked</t>
        </is>
      </c>
      <c r="D2637" s="5" t="inlineStr">
        <is>
          <t>InputLevel</t>
        </is>
      </c>
      <c r="E2637" s="5" t="inlineStr">
        <is>
          <t>Factor</t>
        </is>
      </c>
      <c r="F2637" s="5" t="inlineStr">
        <is>
          <t>CoefficientPercent</t>
        </is>
      </c>
      <c r="G2637" s="5" t="inlineStr">
        <is>
          <t>EffectiveHits</t>
        </is>
      </c>
      <c r="H2637" s="5" t="inlineStr">
        <is>
          <t>ProcProbability</t>
        </is>
      </c>
      <c r="I2637" s="5" t="inlineStr">
        <is>
          <t>MapleHeroMultiplier</t>
        </is>
      </c>
      <c r="J2637" s="5" t="inlineStr">
        <is>
          <t>BaseDamage</t>
        </is>
      </c>
      <c r="K2637" s="5" t="inlineStr">
        <is>
          <t>BaseHitDamage</t>
        </is>
      </c>
      <c r="L2637" s="5" t="inlineStr">
        <is>
          <t>NonCritAvg</t>
        </is>
      </c>
      <c r="M2637" s="5" t="inlineStr">
        <is>
          <t>CritAvg</t>
        </is>
      </c>
      <c r="N2637" s="5" t="inlineStr">
        <is>
          <t>ExpectedDamage(perHit)</t>
        </is>
      </c>
      <c r="O2637" s="5" t="inlineStr">
        <is>
          <t>DPS</t>
        </is>
      </c>
      <c r="P2637" s="5" t="inlineStr">
        <is>
          <t>% of Total</t>
        </is>
      </c>
      <c r="Q2637" s="5" t="inlineStr">
        <is>
          <t>InvCooldown</t>
        </is>
      </c>
      <c r="R2637" s="5" t="inlineStr">
        <is>
          <t>CastsInFight</t>
        </is>
      </c>
      <c r="S2637" s="5" t="inlineStr">
        <is>
          <t>HitRate(perSec)</t>
        </is>
      </c>
      <c r="U2637" t="inlineStr">
        <is>
          <t>helpers</t>
        </is>
      </c>
    </row>
    <row r="2638">
      <c r="A2638">
        <f>Skills!A2</f>
        <v/>
      </c>
      <c r="B2638">
        <f>Skills!B2</f>
        <v/>
      </c>
      <c r="C2638">
        <f>Inputs!$B$3&gt;=100</f>
        <v/>
      </c>
      <c r="D2638" t="inlineStr"/>
      <c r="E2638" t="inlineStr"/>
      <c r="F2638">
        <f>U2640+Skills!O2</f>
        <v/>
      </c>
      <c r="G2638">
        <f>Skills!G2*IF(Skills!H2&gt;0,Skills!I2/Skills!H2,1)</f>
        <v/>
      </c>
      <c r="H2638">
        <f>1-(1-Skills!J2/100)^Skills!K2</f>
        <v/>
      </c>
      <c r="I2638" t="inlineStr">
        <is>
          <t>1</t>
        </is>
      </c>
      <c r="J2638">
        <f>((Inputs!$B$6*(1+Inputs!$B$7/100))+(((Inputs!$B$12*(1+Inputs!$B$13/100))-(Inputs!$B$12*(1+Inputs!$B$13/100)))+0.25*(Inputs!$B$14-Inputs!$B$14))*(1+Inputs!$B$7/100))*(F2638/100)</f>
        <v/>
      </c>
      <c r="K2638">
        <f>J2638*(1+((Inputs!$B$12*(1+Inputs!$B$13/100))*0.01+Inputs!$B$14*0.0025)/100)*(1+Inputs!$B$15/100)*(1+Inputs!$B$16/100)*(5000/(6000+Inputs!$B$42*(1-(100*(1-(1-(Inputs!$B$19+0)/100)*(1-CHOOSE(ArtifactsInput!$N$40+1,5,6,7,8,9,10)/100)^(ArtifactsInput!$M$40-ArtifactsInput!$M$40)))/100)))*(1+(Inputs!$B$24+((C2660=TRUE)*(F2660-Calc!F24))+((C2661=TRUE)*(F2661-Calc!F25))+B2674)/100)*(1+(((1+IF(AND(ArtifactsInput!$M$36,IF(Inputs!$B$38="pvp",TRUE,AND(Inputs!$B$38&lt;&gt;"pvp",Inputs!$B$43&gt;0))),CHOOSE(ArtifactsInput!$N$36+1,8,9.6,11.2,12.8,14.4,16),0)/100)*(1+IF(AND(ArtifactsInput!$M$32,Inputs!$B$4&lt;&gt;"Chapter Hunt"),CHOOSE(ArtifactsInput!$N$32+1,8,9.6,11.2,12.8,14.4,16),0)/100)*(1+IF(AND(IF(ArtifactsInput!$M$38,FALSE,TRUE),Inputs!$B$38&lt;&gt;"pvp",Inputs!$B$43&gt;0),CHOOSE(ArtifactsInput!$N$38+1,10,12,14,16,18,20)*(MIN(30,MAX(0,Inputs!$B$43-7))/Inputs!$B$43)*IF(Inputs!$B$4="Chapter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EMPOWERED_PIERCING_ARROW",Inputs!$B$17+((C2658=TRUE)*(F2658-Calc!F22))+(((IF(AND(ArtifactsInput!$M$42,((Inputs!$B$9+((C2655=TRUE)*(F2655-Calc!F19))+B2668+(ArtifactsInput!$M$24-ArtifactsInput!$M$24)*CHOOSE(ArtifactsInput!$N$24+1,10,12,14,16,18,20)+IF(ArtifactsInput!$M$10,CHOOSE(ArtifactsInput!$N$10+1,15,18,21,24,27,30)*(IF(Inputs!$B$38="pvp",MIN(15,15)/15,IF(AND(Inputs!$B$38&lt;&gt;"pvp",Inputs!$B$43&gt;0),MIN(15,Inputs!$B$43)/(Inputs!$B$43),0))),0)))&gt;=100),MIN(100,((Inputs!$B$9+((C2655=TRUE)*(F2655-Calc!F19))+B2668+(ArtifactsInput!$M$24-ArtifactsInput!$M$24)*CHOOSE(ArtifactsInput!$N$24+1,10,12,14,16,18,20)+IF(ArtifactsInput!$M$10,CHOOSE(ArtifactsInput!$N$10+1,15,18,21,24,27,30)*(IF(Inputs!$B$38="pvp",MIN(15,15)/15,IF(AND(Inputs!$B$38&lt;&gt;"pvp",Inputs!$B$43&gt;0),MIN(15,Inputs!$B$43)/(Inputs!$B$43),0))),0)))-100),0))*CHOOSE(ArtifactsInput!$N$42+1,0.6,0.72,0.84,0.96,1.08,1.2))),Inputs!$B$18+((C2663=TRUE)*(F2663-Calc!F27))+(IF(AND(ArtifactsInput!$M$42,((Inputs!$B$9+((C2655=TRUE)*(F2655-Calc!F19))+B2668+(ArtifactsInput!$M$24-ArtifactsInput!$M$24)*CHOOSE(ArtifactsInput!$N$24+1,10,12,14,16,18,20)+IF(ArtifactsInput!$M$10,CHOOSE(ArtifactsInput!$N$10+1,15,18,21,24,27,30)*(IF(Inputs!$B$38="pvp",MIN(15,15)/15,IF(AND(Inputs!$B$38&lt;&gt;"pvp",Inputs!$B$43&gt;0),MIN(15,Inputs!$B$43)/(Inputs!$B$43),0))),0)))&gt;=100),CHOOSE(ArtifactsInput!$N$42+1,40,48,56,64,72,80),0))))/100)*((1+(((C2649=TRUE)*F2649)+((C2650=TRUE)*IF(Inputs!$B$38="pvp",F2650,(1-Summary!$B$11)*(F2650)+Summary!$B$11*(0)))+((C2651=TRUE)*F2651*IF(AND(Inputs!$B$38&lt;&gt;"pvp",Inputs!$B$43&gt;0),(((R2651-1)*(Skills!T15*(1+Inputs!$B$34/100))+MIN((Skills!T15*(1+Inputs!$B$34/100)),MAX(0,Inputs!$B$43-((R2651-1)*Skills!D15))))/Inputs!$B$43),IF(Inputs!$B$38="pvp",MIN((Skills!T15*(1+Inputs!$B$34/100)),15)/15,(Skills!T15*(1+Inputs!$B$34/100))/Skills!D15)))+((C2648=TRUE)*F2648)+((C2665=TRUE)*(F2665-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2638)</f>
        <v/>
      </c>
      <c r="L2638">
        <f>K2638*(MIN(Inputs!$B$22+((C2659=TRUE)*(F2659-Calc!F23)),(Inputs!$B$23+((C2664=TRUE)*(F2664-Calc!F28))+(IF(ArtifactsInput!$M$15,CHOOSE(ArtifactsInput!$N$15+1,25,30,35,40,45,50)/100*(Inputs!$B$11-Inputs!$B$11),0))))/100+(Inputs!$B$23+((C2664=TRUE)*(F2664-Calc!F28))+(IF(ArtifactsInput!$M$15,CHOOSE(ArtifactsInput!$N$15+1,25,30,35,40,45,50)/100*(Inputs!$B$11-Inputs!$B$11),0)))/100)/2</f>
        <v/>
      </c>
      <c r="M2638">
        <f>L2638*(1+(Inputs!$B$10+0+B2673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638">
        <f>L2638*(1-MIN((Inputs!$B$9+((C2655=TRUE)*(F2655-Calc!F19))+B2668+(ArtifactsInput!$M$24-ArtifactsInput!$M$24)*CHOOSE(ArtifactsInput!$N$24+1,10,12,14,16,18,20)+(IF(AND(ArtifactsInput!$M$42,((Inputs!$B$9+((C2655=TRUE)*(F2655-Calc!F19))+B2668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2638*(MIN((Inputs!$B$9+((C2655=TRUE)*(F2655-Calc!F19))+B2668+(ArtifactsInput!$M$24-ArtifactsInput!$M$24)*CHOOSE(ArtifactsInput!$N$24+1,10,12,14,16,18,20)+(IF(AND(ArtifactsInput!$M$42,((Inputs!$B$9+((C2655=TRUE)*(F2655-Calc!F19))+B2668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638">
        <f>(1-Summary!$B$11)*T2638+Summary!$B$11*V2638</f>
        <v/>
      </c>
      <c r="P2638">
        <f>IF(B2678=0,0,O2638/B2678)</f>
        <v/>
      </c>
      <c r="Q2638" t="n">
        <v>0</v>
      </c>
      <c r="R2638" t="n">
        <v>0</v>
      </c>
      <c r="S2638">
        <f>IFERROR((Skills!G2*N2638*B2672)/N2638*IF(Inputs!$B$38="pvp",1,(1-Summary!$B$11)*1+Summary!$B$11*(MIN((6+Inputs!$B$33),Inputs!$B$37))),0)</f>
        <v/>
      </c>
      <c r="T2638">
        <f>IF(C2638,(Skills!G2*N2638*B2672)*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Hunt"),CHOOSE(ArtifactsInput!$N$35+1,15,18,21,24,27,30)*(1-EXP(-(0.2*B2670)*5)),0)+IF(AND(ArtifactsInput!$M$22,Inputs!$B$4&lt;&gt;"Chapter Hunt"),CHOOSE(ArtifactsInput!$N$22+1,10,12,14,16,18,20)*((0*(((0.15*B2670*5))^0/1)+1*(((0.15*B2670*5))^1/1)+2*(((0.15*B2670*5))^2/2)+3*(((0.15*B2670*5))^3/6)+4*(((0.15*B2670*5))^4/24)+5*(((0.15*B2670*5))^5/120))/((((0.15*B2670*5))^0/1)+(((0.15*B2670*5))^1/1)+(((0.15*B2670*5))^2/2)+(((0.15*B2670*5))^3/6)+(((0.15*B2670*5))^4/24)+(((0.15*B2670*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2638*(1-MIN(100,(Inputs!$B$9+((C2655=TRUE)*(F2655-Calc!F19))+B2668+(ArtifactsInput!$M$24-ArtifactsInput!$M$24)*CHOOSE(ArtifactsInput!$N$24+1,10,12,14,16,18,20)+(IF(AND(ArtifactsInput!$M$42,((Inputs!$B$9+((C2655=TRUE)*(F2655-Calc!F19))+B2668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2638*(MIN(100,(Inputs!$B$9+((C2655=TRUE)*(F2655-Calc!F19))+B2668+(ArtifactsInput!$M$24-ArtifactsInput!$M$24)*CHOOSE(ArtifactsInput!$N$24+1,10,12,14,16,18,20)+(IF(AND(ArtifactsInput!$M$42,((Inputs!$B$9+((C2655=TRUE)*(F2655-Calc!F19))+B2668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2638*(1-MIN(100,(Inputs!$B$9+((C2655=TRUE)*(F2655-Calc!F19))+B2668+(ArtifactsInput!$M$24-ArtifactsInput!$M$24)*CHOOSE(ArtifactsInput!$N$24+1,10,12,14,16,18,20)+(IF(AND(ArtifactsInput!$M$42,((Inputs!$B$9+((C2655=TRUE)*(F2655-Calc!F19))+B2668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2638*(MIN(100,(Inputs!$B$9+((C2655=TRUE)*(F2655-Calc!F19))+B2668+(ArtifactsInput!$M$24-ArtifactsInput!$M$24)*CHOOSE(ArtifactsInput!$N$24+1,10,12,14,16,18,20)+(IF(AND(ArtifactsInput!$M$42,((Inputs!$B$9+((C2655=TRUE)*(F2655-Calc!F19))+B2668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638">
        <f>MAX(0,(Inputs!$B$3-100)*3)+Inputs!$B$28+Inputs!$B$29</f>
        <v/>
      </c>
      <c r="V2638">
        <f>IF(C2638,(Skills!G2*N2638*B2672)*IF(Inputs!$B$38="pvp",1,(1+(Inputs!$B$21+Skills!Q2+(IF(ArtifactsInput!$M$33,CHOOSE(ArtifactsInput!$N$33+1,30,36,42,48,54,60),0))+(IF(AND(ArtifactsInput!$M$35,Inputs!$B$4&lt;&gt;"Chapter Hunt"),CHOOSE(ArtifactsInput!$N$35+1,15,18,21,24,27,30)*(1-EXP(-(0.2*B2670)*5)),0)+IF(AND(ArtifactsInput!$M$22,Inputs!$B$4&lt;&gt;"Chapter Hunt"),CHOOSE(ArtifactsInput!$N$22+1,10,12,14,16,18,20)*((0*(((0.15*B2670*5))^0/1)+1*(((0.15*B2670*5))^1/1)+2*(((0.15*B2670*5))^2/2)+3*(((0.15*B2670*5))^3/6)+4*(((0.15*B2670*5))^4/24)+5*(((0.15*B2670*5))^5/120))/((((0.15*B2670*5))^0/1)+(((0.15*B2670*5))^1/1)+(((0.15*B2670*5))^2/2)+(((0.15*B2670*5))^3/6)+(((0.15*B2670*5))^4/24)+(((0.15*B2670*5))^5/120)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639">
      <c r="A2639">
        <f>Skills!A3</f>
        <v/>
      </c>
      <c r="B2639">
        <f>Skills!B3</f>
        <v/>
      </c>
      <c r="C2639">
        <f>Inputs!$B$3&gt;=50</f>
        <v/>
      </c>
      <c r="D2639">
        <f>IF(Skills!C3=1,60+Inputs!$B$25+Inputs!$B$29,IF(Skills!C3=2,90+Inputs!$B$26+Inputs!$B$29,IF(Skills!C3=3,120+Inputs!$B$27+Inputs!$B$29,MAX(0,(Inputs!$B$3-100)*3)+Inputs!$B$28+Inputs!$B$29)))</f>
        <v/>
      </c>
      <c r="E2639">
        <f>INDEX(FactorTable!$B$2:$Y$301, MATCH(ROUND(MIN(300,MAX(1,D2639)),0), FactorTable!$A$2:$A$301,0), Skills!M3+1)</f>
        <v/>
      </c>
      <c r="F2639">
        <f>IF(Skills!N3=TRUE,(Skills!L3/10)*(E2639/1000),Skills!L3/10)+Skills!O3</f>
        <v/>
      </c>
      <c r="G2639" t="inlineStr"/>
      <c r="H2639" t="inlineStr"/>
      <c r="I2639" t="inlineStr">
        <is>
          <t>1</t>
        </is>
      </c>
      <c r="J2639" t="inlineStr"/>
      <c r="K2639" t="inlineStr"/>
      <c r="L2639" t="inlineStr"/>
      <c r="M2639" t="inlineStr"/>
      <c r="N2639" t="inlineStr"/>
      <c r="O2639" t="inlineStr"/>
      <c r="P2639" t="inlineStr"/>
      <c r="Q2639" t="inlineStr"/>
      <c r="R2639" t="inlineStr"/>
      <c r="S2639" t="inlineStr"/>
      <c r="T2639" t="inlineStr"/>
      <c r="U2639">
        <f>INDEX(FactorTable!$B$2:$Y$301, MATCH(ROUND(MIN(300,MAX(1,U2638)),0), FactorTable!$A$2:$A$301,0), 22)</f>
        <v/>
      </c>
      <c r="V2639" t="inlineStr"/>
    </row>
    <row r="2640">
      <c r="A2640">
        <f>Skills!A4</f>
        <v/>
      </c>
      <c r="B2640">
        <f>Skills!B4</f>
        <v/>
      </c>
      <c r="C2640">
        <f>Inputs!$B$3&gt;=105</f>
        <v/>
      </c>
      <c r="D2640">
        <f>IF(Skills!C4=1,60+Inputs!$B$25+Inputs!$B$29,IF(Skills!C4=2,90+Inputs!$B$26+Inputs!$B$29,IF(Skills!C4=3,120+Inputs!$B$27+Inputs!$B$29,MAX(0,(Inputs!$B$3-100)*3)+Inputs!$B$28+Inputs!$B$29)))</f>
        <v/>
      </c>
      <c r="E2640">
        <f>INDEX(FactorTable!$B$2:$Y$301, MATCH(ROUND(MIN(300,MAX(1,D2640)),0), FactorTable!$A$2:$A$301,0), Skills!M4+1)</f>
        <v/>
      </c>
      <c r="F2640">
        <f>IF(Skills!N4=TRUE,(Skills!L4/10)*(E2640/1000),Skills!L4/10)+Skills!O4</f>
        <v/>
      </c>
      <c r="G2640" t="inlineStr"/>
      <c r="H2640" t="inlineStr"/>
      <c r="I2640" t="inlineStr">
        <is>
          <t>1</t>
        </is>
      </c>
      <c r="J2640" t="inlineStr"/>
      <c r="K2640" t="inlineStr"/>
      <c r="L2640" t="inlineStr"/>
      <c r="M2640" t="inlineStr"/>
      <c r="N2640" t="inlineStr"/>
      <c r="O2640" t="inlineStr"/>
      <c r="P2640" t="inlineStr"/>
      <c r="Q2640" t="inlineStr"/>
      <c r="R2640" t="inlineStr"/>
      <c r="S2640" t="inlineStr"/>
      <c r="T2640" t="inlineStr"/>
      <c r="U2640">
        <f>290*U2639/1000</f>
        <v/>
      </c>
      <c r="V2640" t="inlineStr"/>
    </row>
    <row r="2641">
      <c r="A2641">
        <f>Skills!A5</f>
        <v/>
      </c>
      <c r="B2641">
        <f>Skills!B5</f>
        <v/>
      </c>
      <c r="C2641">
        <f>Inputs!$B$3&gt;=35</f>
        <v/>
      </c>
      <c r="D2641">
        <f>IF(Skills!C5=1,60+Inputs!$B$25+Inputs!$B$29,IF(Skills!C5=2,90+Inputs!$B$26+Inputs!$B$29,IF(Skills!C5=3,120+Inputs!$B$27+Inputs!$B$29,MAX(0,(Inputs!$B$3-100)*3)+Inputs!$B$28+Inputs!$B$29)))</f>
        <v/>
      </c>
      <c r="E2641">
        <f>INDEX(FactorTable!$B$2:$Y$301, MATCH(ROUND(MIN(300,MAX(1,D2641)),0), FactorTable!$A$2:$A$301,0), Skills!M5+1)</f>
        <v/>
      </c>
      <c r="F2641">
        <f>IF(Skills!N5=TRUE,(Skills!L5/10)*(E2641/1000),Skills!L5/10)+Skills!O5</f>
        <v/>
      </c>
      <c r="G2641">
        <f>Skills!G5*IF(Skills!H5&gt;0,Skills!I5/Skills!H5,1)</f>
        <v/>
      </c>
      <c r="H2641">
        <f>1-(1-Skills!J5/100)^Skills!K5</f>
        <v/>
      </c>
      <c r="I2641" t="inlineStr">
        <is>
          <t>1</t>
        </is>
      </c>
      <c r="J2641">
        <f>((Inputs!$B$6*(1+Inputs!$B$7/100))+(((Inputs!$B$12*(1+Inputs!$B$13/100))-(Inputs!$B$12*(1+Inputs!$B$13/100)))+0.25*(Inputs!$B$14-Inputs!$B$14))*(1+Inputs!$B$7/100))*(F2641/100)</f>
        <v/>
      </c>
      <c r="K2641">
        <f>J2641*(1+((Inputs!$B$12*(1+Inputs!$B$13/100))*0.01+Inputs!$B$14*0.0025)/100)*(1+Inputs!$B$15/100)*(1+Inputs!$B$16/100)*(5000/(6000+Inputs!$B$42*(1-(100*(1-(1-(Inputs!$B$19+0)/100)*(1-CHOOSE(ArtifactsInput!$N$40+1,5,6,7,8,9,10)/100)^(ArtifactsInput!$M$40-ArtifactsInput!$M$40)))/100)))*(1+(Inputs!$B$24+((C2660=TRUE)*(F2660-Calc!F24))+((C2661=TRUE)*(F2661-Calc!F25))+B2674)/100)*(1+(((1+IF(AND(ArtifactsInput!$M$36,IF(Inputs!$B$38="pvp",TRUE,AND(Inputs!$B$38&lt;&gt;"pvp",Inputs!$B$43&gt;0))),CHOOSE(ArtifactsInput!$N$36+1,8,9.6,11.2,12.8,14.4,16),0)/100)*(1+IF(AND(ArtifactsInput!$M$32,Inputs!$B$4&lt;&gt;"Chapter Hunt"),CHOOSE(ArtifactsInput!$N$32+1,8,9.6,11.2,12.8,14.4,16),0)/100)*(1+IF(AND(IF(ArtifactsInput!$M$38,FALSE,TRUE),Inputs!$B$38&lt;&gt;"pvp",Inputs!$B$43&gt;0),CHOOSE(ArtifactsInput!$N$38+1,10,12,14,16,18,20)*(MIN(30,MAX(0,Inputs!$B$43-7))/Inputs!$B$43)*IF(Inputs!$B$4="Chapter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2644=TRUE,F2644,0)/100)*(1+(IF(Skills!A5="EMPOWERED_PIERCING_ARROW",Inputs!$B$17+((C2658=TRUE)*(F2658-Calc!F22))+(((IF(AND(ArtifactsInput!$M$42,((Inputs!$B$9+((C2655=TRUE)*(F2655-Calc!F19))+B2668+(ArtifactsInput!$M$24-ArtifactsInput!$M$24)*CHOOSE(ArtifactsInput!$N$24+1,10,12,14,16,18,20)+IF(ArtifactsInput!$M$10,CHOOSE(ArtifactsInput!$N$10+1,15,18,21,24,27,30)*(IF(Inputs!$B$38="pvp",MIN(15,15)/15,IF(AND(Inputs!$B$38&lt;&gt;"pvp",Inputs!$B$43&gt;0),MIN(15,Inputs!$B$43)/(Inputs!$B$43),0))),0)))&gt;=100),MIN(100,((Inputs!$B$9+((C2655=TRUE)*(F2655-Calc!F19))+B2668+(ArtifactsInput!$M$24-ArtifactsInput!$M$24)*CHOOSE(ArtifactsInput!$N$24+1,10,12,14,16,18,20)+IF(ArtifactsInput!$M$10,CHOOSE(ArtifactsInput!$N$10+1,15,18,21,24,27,30)*(IF(Inputs!$B$38="pvp",MIN(15,15)/15,IF(AND(Inputs!$B$38&lt;&gt;"pvp",Inputs!$B$43&gt;0),MIN(15,Inputs!$B$43)/(Inputs!$B$43),0))),0)))-100),0))*CHOOSE(ArtifactsInput!$N$42+1,0.6,0.72,0.84,0.96,1.08,1.2))),Inputs!$B$18+((C2663=TRUE)*(F2663-Calc!F27))+(IF(AND(ArtifactsInput!$M$42,((Inputs!$B$9+((C2655=TRUE)*(F2655-Calc!F19))+B2668+(ArtifactsInput!$M$24-ArtifactsInput!$M$24)*CHOOSE(ArtifactsInput!$N$24+1,10,12,14,16,18,20)+IF(ArtifactsInput!$M$10,CHOOSE(ArtifactsInput!$N$10+1,15,18,21,24,27,30)*(IF(Inputs!$B$38="pvp",MIN(15,15)/15,IF(AND(Inputs!$B$38&lt;&gt;"pvp",Inputs!$B$43&gt;0),MIN(15,Inputs!$B$43)/(Inputs!$B$43),0))),0)))&gt;=100),CHOOSE(ArtifactsInput!$N$42+1,40,48,56,64,72,80),0))))/100)*((1+(((C2649=TRUE)*F2649)+((C2650=TRUE)*IF(Inputs!$B$38="pvp",F2650,(1-Summary!$B$11)*(F2650)+Summary!$B$11*(0)))+((C2651=TRUE)*F2651*IF(AND(Inputs!$B$38&lt;&gt;"pvp",Inputs!$B$43&gt;0),(((R2651-1)*(Skills!T15*(1+Inputs!$B$34/100))+MIN((Skills!T15*(1+Inputs!$B$34/100)),MAX(0,Inputs!$B$43-((R2651-1)*Skills!D15))))/Inputs!$B$43),IF(Inputs!$B$38="pvp",MIN((Skills!T15*(1+Inputs!$B$34/100)),15)/15,(Skills!T15*(1+Inputs!$B$34/100))/Skills!D15)))+((C2648=TRUE)*F2648)+((C2665=TRUE)*(F2665-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2641)</f>
        <v/>
      </c>
      <c r="L2641">
        <f>K2641*(MIN(Inputs!$B$22+((C2659=TRUE)*(F2659-Calc!F23)),(Inputs!$B$23+((C2664=TRUE)*(F2664-Calc!F28))+(IF(ArtifactsInput!$M$15,CHOOSE(ArtifactsInput!$N$15+1,25,30,35,40,45,50)/100*(Inputs!$B$11-Inputs!$B$11),0))))/100+(Inputs!$B$23+((C2664=TRUE)*(F2664-Calc!F28))+(IF(ArtifactsInput!$M$15,CHOOSE(ArtifactsInput!$N$15+1,25,30,35,40,45,50)/100*(Inputs!$B$11-Inputs!$B$11),0)))/100)/2</f>
        <v/>
      </c>
      <c r="M2641">
        <f>L2641*(1+(Inputs!$B$10+0+B2673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641">
        <f>L2641*(1-MIN((Inputs!$B$9+((C2655=TRUE)*(F2655-Calc!F19))+B2668+(ArtifactsInput!$M$24-ArtifactsInput!$M$24)*CHOOSE(ArtifactsInput!$N$24+1,10,12,14,16,18,20)+(IF(AND(ArtifactsInput!$M$42,((Inputs!$B$9+((C2655=TRUE)*(F2655-Calc!F19))+B2668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2641*(MIN((Inputs!$B$9+((C2655=TRUE)*(F2655-Calc!F19))+B2668+(ArtifactsInput!$M$24-ArtifactsInput!$M$24)*CHOOSE(ArtifactsInput!$N$24+1,10,12,14,16,18,20)+(IF(AND(ArtifactsInput!$M$42,((Inputs!$B$9+((C2655=TRUE)*(F2655-Calc!F19))+B2668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641">
        <f>(1-Summary!$B$11)*T2641+Summary!$B$11*V2641</f>
        <v/>
      </c>
      <c r="P2641">
        <f>IF(B2678=0,0,O2641/B2678)</f>
        <v/>
      </c>
      <c r="Q2641">
        <f>IFERROR(1/IF(Inputs!$B$38="pvp",15,MAX(0.1,Skills!D5-IF(Skills!E5=TRUE,Inputs!$B$32,0))),0)</f>
        <v/>
      </c>
      <c r="R2641">
        <f>IF(AND(Inputs!$B$38&lt;&gt;"pvp",Inputs!$B$43&gt;0),IF(MAX(0,Inputs!$B$43-B2675)&lt;=0,0,(INT(MAX(0,Inputs!$B$43-B2675)/IF(Inputs!$B$38="pvp",15,MAX(0.1,Skills!D5-IF(Skills!E5=TRUE,Inputs!$B$32,0))))+1)),0)</f>
        <v/>
      </c>
      <c r="S2641">
        <f>IFERROR((H2641*N2641*IF(AND(Inputs!$B$38&lt;&gt;"pvp",Inputs!$B$43&gt;0),((Skills!G5*((R2641-1)*IF(Skills!H5&gt;0,Skills!I5/Skills!H5,1)+IF(Skills!H5&gt;0,MIN(Skills!I5,MAX(0,MAX(0,Inputs!$B$43-B2675)-((R2641-1)*IF(Inputs!$B$38="pvp",15,MAX(0.1,Skills!D5-IF(Skills!E5=TRUE,Inputs!$B$32,0))))))/Skills!H5,1)))/Inputs!$B$43),G2641*Q2641))/N2641*IF(Inputs!$B$38="pvp",1,(1-Summary!$B$11)*1+Summary!$B$11*(MIN(Skills!R5,Inputs!$B$37))),0)</f>
        <v/>
      </c>
      <c r="T2641">
        <f>IF(C2641,(H2641*N2641*IF(AND(Inputs!$B$38&lt;&gt;"pvp",Inputs!$B$43&gt;0),((Skills!G5*((R2641-1)*IF(Skills!H5&gt;0,Skills!I5/Skills!H5,1)+IF(Skills!H5&gt;0,MIN(Skills!I5,MAX(0,MAX(0,Inputs!$B$43-B2675)-((R2641-1)*IF(Inputs!$B$38="pvp",15,MAX(0.1,Skills!D5-IF(Skills!E5=TRUE,Inputs!$B$32,0))))))/Skills!H5,1)))/Inputs!$B$43),G2641*Q2641))*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Hunt"),CHOOSE(ArtifactsInput!$N$35+1,15,18,21,24,27,30)*(1-EXP(-(0.2*B2670)*5)),0)+IF(AND(ArtifactsInput!$M$22,Inputs!$B$4&lt;&gt;"Chapter Hunt"),CHOOSE(ArtifactsInput!$N$22+1,10,12,14,16,18,20)*((0*(((0.15*B2670*5))^0/1)+1*(((0.15*B2670*5))^1/1)+2*(((0.15*B2670*5))^2/2)+3*(((0.15*B2670*5))^3/6)+4*(((0.15*B2670*5))^4/24)+5*(((0.15*B2670*5))^5/120))/((((0.15*B2670*5))^0/1)+(((0.15*B2670*5))^1/1)+(((0.15*B2670*5))^2/2)+(((0.15*B2670*5))^3/6)+(((0.15*B2670*5))^4/24)+(((0.15*B2670*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2641*(1-MIN(100,(Inputs!$B$9+((C2655=TRUE)*(F2655-Calc!F19))+B2668+(ArtifactsInput!$M$24-ArtifactsInput!$M$24)*CHOOSE(ArtifactsInput!$N$24+1,10,12,14,16,18,20)+(IF(AND(ArtifactsInput!$M$42,((Inputs!$B$9+((C2655=TRUE)*(F2655-Calc!F19))+B2668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2641*(MIN(100,(Inputs!$B$9+((C2655=TRUE)*(F2655-Calc!F19))+B2668+(ArtifactsInput!$M$24-ArtifactsInput!$M$24)*CHOOSE(ArtifactsInput!$N$24+1,10,12,14,16,18,20)+(IF(AND(ArtifactsInput!$M$42,((Inputs!$B$9+((C2655=TRUE)*(F2655-Calc!F19))+B2668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2641*(1-MIN(100,(Inputs!$B$9+((C2655=TRUE)*(F2655-Calc!F19))+B2668+(ArtifactsInput!$M$24-ArtifactsInput!$M$24)*CHOOSE(ArtifactsInput!$N$24+1,10,12,14,16,18,20)+(IF(AND(ArtifactsInput!$M$42,((Inputs!$B$9+((C2655=TRUE)*(F2655-Calc!F19))+B2668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2641*(MIN(100,(Inputs!$B$9+((C2655=TRUE)*(F2655-Calc!F19))+B2668+(ArtifactsInput!$M$24-ArtifactsInput!$M$24)*CHOOSE(ArtifactsInput!$N$24+1,10,12,14,16,18,20)+(IF(AND(ArtifactsInput!$M$42,((Inputs!$B$9+((C2655=TRUE)*(F2655-Calc!F19))+B2668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641">
        <f>IF(C2641,(H2641*N2641*IF(AND(Inputs!$B$38&lt;&gt;"pvp",Inputs!$B$43&gt;0),((Skills!G5*((R2641-1)*IF(Skills!H5&gt;0,Skills!I5/Skills!H5,1)+IF(Skills!H5&gt;0,MIN(Skills!I5,MAX(0,MAX(0,Inputs!$B$43-B2675)-((R2641-1)*IF(Inputs!$B$38="pvp",15,MAX(0.1,Skills!D5-IF(Skills!E5=TRUE,Inputs!$B$32,0))))))/Skills!H5,1)))/Inputs!$B$43),G2641*Q2641))*IF(Inputs!$B$38="pvp",1,(1+(Inputs!$B$21+Skills!Q5+(IF(ArtifactsInput!$M$33,CHOOSE(ArtifactsInput!$N$33+1,30,36,42,48,54,60),0))+(IF(AND(ArtifactsInput!$M$35,Inputs!$B$4&lt;&gt;"Chapter Hunt"),CHOOSE(ArtifactsInput!$N$35+1,15,18,21,24,27,30)*(1-EXP(-(0.2*B2670)*5)),0)+IF(AND(ArtifactsInput!$M$22,Inputs!$B$4&lt;&gt;"Chapter Hunt"),CHOOSE(ArtifactsInput!$N$22+1,10,12,14,16,18,20)*((0*(((0.15*B2670*5))^0/1)+1*(((0.15*B2670*5))^1/1)+2*(((0.15*B2670*5))^2/2)+3*(((0.15*B2670*5))^3/6)+4*(((0.15*B2670*5))^4/24)+5*(((0.15*B2670*5))^5/120))/((((0.15*B2670*5))^0/1)+(((0.15*B2670*5))^1/1)+(((0.15*B2670*5))^2/2)+(((0.15*B2670*5))^3/6)+(((0.15*B2670*5))^4/24)+(((0.15*B2670*5))^5/120)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642">
      <c r="A2642">
        <f>Skills!A6</f>
        <v/>
      </c>
      <c r="B2642">
        <f>Skills!B6</f>
        <v/>
      </c>
      <c r="C2642">
        <f>Inputs!$B$3&gt;=63</f>
        <v/>
      </c>
      <c r="D2642">
        <f>IF(Skills!C6=1,60+Inputs!$B$25+Inputs!$B$29,IF(Skills!C6=2,90+Inputs!$B$26+Inputs!$B$29,IF(Skills!C6=3,120+Inputs!$B$27+Inputs!$B$29,MAX(0,(Inputs!$B$3-100)*3)+Inputs!$B$28+Inputs!$B$29)))</f>
        <v/>
      </c>
      <c r="E2642">
        <f>INDEX(FactorTable!$B$2:$Y$301, MATCH(ROUND(MIN(300,MAX(1,D2642)),0), FactorTable!$A$2:$A$301,0), Skills!M6+1)</f>
        <v/>
      </c>
      <c r="F2642">
        <f>IF(Skills!N6=TRUE,(Skills!L6/10)*(E2642/1000),Skills!L6/10)+Skills!O6</f>
        <v/>
      </c>
      <c r="G2642">
        <f>Skills!G6*IF(Skills!H6&gt;0,Skills!I6/Skills!H6,1)</f>
        <v/>
      </c>
      <c r="H2642">
        <f>1-(1-Skills!J6/100)^Skills!K6</f>
        <v/>
      </c>
      <c r="I2642" t="inlineStr">
        <is>
          <t>1</t>
        </is>
      </c>
      <c r="J2642">
        <f>((Inputs!$B$6*(1+Inputs!$B$7/100))+(((Inputs!$B$12*(1+Inputs!$B$13/100))-(Inputs!$B$12*(1+Inputs!$B$13/100)))+0.25*(Inputs!$B$14-Inputs!$B$14))*(1+Inputs!$B$7/100))*(F2642/100)</f>
        <v/>
      </c>
      <c r="K2642">
        <f>J2642*(1+((Inputs!$B$12*(1+Inputs!$B$13/100))*0.01+Inputs!$B$14*0.0025)/100)*(1+Inputs!$B$15/100)*(1+Inputs!$B$16/100)*(5000/(6000+Inputs!$B$42*(1-(100*(1-(1-(Inputs!$B$19+0)/100)*(1-CHOOSE(ArtifactsInput!$N$40+1,5,6,7,8,9,10)/100)^(ArtifactsInput!$M$40-ArtifactsInput!$M$40)))/100)))*(1+(Inputs!$B$24+((C2660=TRUE)*(F2660-Calc!F24))+((C2661=TRUE)*(F2661-Calc!F25))+B2674)/100)*(1+(((1+IF(AND(ArtifactsInput!$M$36,IF(Inputs!$B$38="pvp",TRUE,AND(Inputs!$B$38&lt;&gt;"pvp",Inputs!$B$43&gt;0))),CHOOSE(ArtifactsInput!$N$36+1,8,9.6,11.2,12.8,14.4,16),0)/100)*(1+IF(AND(ArtifactsInput!$M$32,Inputs!$B$4&lt;&gt;"Chapter Hunt"),CHOOSE(ArtifactsInput!$N$32+1,8,9.6,11.2,12.8,14.4,16),0)/100)*(1+IF(AND(IF(ArtifactsInput!$M$38,FALSE,TRUE),Inputs!$B$38&lt;&gt;"pvp",Inputs!$B$43&gt;0),CHOOSE(ArtifactsInput!$N$38+1,10,12,14,16,18,20)*(MIN(30,MAX(0,Inputs!$B$43-7))/Inputs!$B$43)*IF(Inputs!$B$4="Chapter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2644=TRUE,F2644,0)/100)*(1+(IF(Skills!A6="EMPOWERED_PIERCING_ARROW",Inputs!$B$17+((C2658=TRUE)*(F2658-Calc!F22))+(((IF(AND(ArtifactsInput!$M$42,((Inputs!$B$9+((C2655=TRUE)*(F2655-Calc!F19))+B2668+(ArtifactsInput!$M$24-ArtifactsInput!$M$24)*CHOOSE(ArtifactsInput!$N$24+1,10,12,14,16,18,20)+IF(ArtifactsInput!$M$10,CHOOSE(ArtifactsInput!$N$10+1,15,18,21,24,27,30)*(IF(Inputs!$B$38="pvp",MIN(15,15)/15,IF(AND(Inputs!$B$38&lt;&gt;"pvp",Inputs!$B$43&gt;0),MIN(15,Inputs!$B$43)/(Inputs!$B$43),0))),0)))&gt;=100),MIN(100,((Inputs!$B$9+((C2655=TRUE)*(F2655-Calc!F19))+B2668+(ArtifactsInput!$M$24-ArtifactsInput!$M$24)*CHOOSE(ArtifactsInput!$N$24+1,10,12,14,16,18,20)+IF(ArtifactsInput!$M$10,CHOOSE(ArtifactsInput!$N$10+1,15,18,21,24,27,30)*(IF(Inputs!$B$38="pvp",MIN(15,15)/15,IF(AND(Inputs!$B$38&lt;&gt;"pvp",Inputs!$B$43&gt;0),MIN(15,Inputs!$B$43)/(Inputs!$B$43),0))),0)))-100),0))*CHOOSE(ArtifactsInput!$N$42+1,0.6,0.72,0.84,0.96,1.08,1.2))),Inputs!$B$18+((C2663=TRUE)*(F2663-Calc!F27))+(IF(AND(ArtifactsInput!$M$42,((Inputs!$B$9+((C2655=TRUE)*(F2655-Calc!F19))+B2668+(ArtifactsInput!$M$24-ArtifactsInput!$M$24)*CHOOSE(ArtifactsInput!$N$24+1,10,12,14,16,18,20)+IF(ArtifactsInput!$M$10,CHOOSE(ArtifactsInput!$N$10+1,15,18,21,24,27,30)*(IF(Inputs!$B$38="pvp",MIN(15,15)/15,IF(AND(Inputs!$B$38&lt;&gt;"pvp",Inputs!$B$43&gt;0),MIN(15,Inputs!$B$43)/(Inputs!$B$43),0))),0)))&gt;=100),CHOOSE(ArtifactsInput!$N$42+1,40,48,56,64,72,80),0))))/100)*((1+(((C2649=TRUE)*F2649)+((C2650=TRUE)*IF(Inputs!$B$38="pvp",F2650,(1-Summary!$B$11)*(F2650)+Summary!$B$11*(0)))+((C2651=TRUE)*F2651*IF(AND(Inputs!$B$38&lt;&gt;"pvp",Inputs!$B$43&gt;0),(((R2651-1)*(Skills!T15*(1+Inputs!$B$34/100))+MIN((Skills!T15*(1+Inputs!$B$34/100)),MAX(0,Inputs!$B$43-((R2651-1)*Skills!D15))))/Inputs!$B$43),IF(Inputs!$B$38="pvp",MIN((Skills!T15*(1+Inputs!$B$34/100)),15)/15,(Skills!T15*(1+Inputs!$B$34/100))/Skills!D15)))+((C2648=TRUE)*F2648)+((C2665=TRUE)*(F2665-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2642)</f>
        <v/>
      </c>
      <c r="L2642">
        <f>K2642*(MIN(Inputs!$B$22+((C2659=TRUE)*(F2659-Calc!F23)),(Inputs!$B$23+((C2664=TRUE)*(F2664-Calc!F28))+(IF(ArtifactsInput!$M$15,CHOOSE(ArtifactsInput!$N$15+1,25,30,35,40,45,50)/100*(Inputs!$B$11-Inputs!$B$11),0))))/100+(Inputs!$B$23+((C2664=TRUE)*(F2664-Calc!F28))+(IF(ArtifactsInput!$M$15,CHOOSE(ArtifactsInput!$N$15+1,25,30,35,40,45,50)/100*(Inputs!$B$11-Inputs!$B$11),0)))/100)/2</f>
        <v/>
      </c>
      <c r="M2642">
        <f>L2642*(1+(Inputs!$B$10+0+B2673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642">
        <f>L2642*(1-MIN((Inputs!$B$9+((C2655=TRUE)*(F2655-Calc!F19))+B2668+(ArtifactsInput!$M$24-ArtifactsInput!$M$24)*CHOOSE(ArtifactsInput!$N$24+1,10,12,14,16,18,20)+(IF(AND(ArtifactsInput!$M$42,((Inputs!$B$9+((C2655=TRUE)*(F2655-Calc!F19))+B2668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2642*(MIN((Inputs!$B$9+((C2655=TRUE)*(F2655-Calc!F19))+B2668+(ArtifactsInput!$M$24-ArtifactsInput!$M$24)*CHOOSE(ArtifactsInput!$N$24+1,10,12,14,16,18,20)+(IF(AND(ArtifactsInput!$M$42,((Inputs!$B$9+((C2655=TRUE)*(F2655-Calc!F19))+B2668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642">
        <f>(1-Summary!$B$11)*T2642+Summary!$B$11*V2642</f>
        <v/>
      </c>
      <c r="P2642">
        <f>IF(B2678=0,0,O2642/B2678)</f>
        <v/>
      </c>
      <c r="Q2642">
        <f>IFERROR(1/IF(Inputs!$B$38="pvp",15,MAX(0.1,Skills!D6-IF(Skills!E6=TRUE,Inputs!$B$32,0))),0)</f>
        <v/>
      </c>
      <c r="R2642">
        <f>IF(AND(Inputs!$B$38&lt;&gt;"pvp",Inputs!$B$43&gt;0),IF(MAX(0,Inputs!$B$43-B2675)&lt;=0,0,(INT(MAX(0,Inputs!$B$43-B2675)/IF(Inputs!$B$38="pvp",15,MAX(0.1,Skills!D6-IF(Skills!E6=TRUE,Inputs!$B$32,0))))+1)),0)</f>
        <v/>
      </c>
      <c r="S2642">
        <f>IFERROR((H2642*N2642*IF(AND(Inputs!$B$38&lt;&gt;"pvp",Inputs!$B$43&gt;0),((Skills!G6*((R2642-1)*IF(Skills!H6&gt;0,Skills!I6/Skills!H6,1)+IF(Skills!H6&gt;0,MIN(Skills!I6,MAX(0,MAX(0,Inputs!$B$43-B2675)-((R2642-1)*IF(Inputs!$B$38="pvp",15,MAX(0.1,Skills!D6-IF(Skills!E6=TRUE,Inputs!$B$32,0))))))/Skills!H6,1)))/Inputs!$B$43),G2642*Q2642))/N2642*IF(Inputs!$B$38="pvp",1,(1-Summary!$B$11)*1+Summary!$B$11*(MIN(Skills!R6,Inputs!$B$37))),0)</f>
        <v/>
      </c>
      <c r="T2642">
        <f>IF(C2642,(H2642*N2642*IF(AND(Inputs!$B$38&lt;&gt;"pvp",Inputs!$B$43&gt;0),((Skills!G6*((R2642-1)*IF(Skills!H6&gt;0,Skills!I6/Skills!H6,1)+IF(Skills!H6&gt;0,MIN(Skills!I6,MAX(0,MAX(0,Inputs!$B$43-B2675)-((R2642-1)*IF(Inputs!$B$38="pvp",15,MAX(0.1,Skills!D6-IF(Skills!E6=TRUE,Inputs!$B$32,0))))))/Skills!H6,1)))/Inputs!$B$43),G2642*Q2642))*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Hunt"),CHOOSE(ArtifactsInput!$N$35+1,15,18,21,24,27,30)*(1-EXP(-(0.2*B2670)*5)),0)+IF(AND(ArtifactsInput!$M$22,Inputs!$B$4&lt;&gt;"Chapter Hunt"),CHOOSE(ArtifactsInput!$N$22+1,10,12,14,16,18,20)*((0*(((0.15*B2670*5))^0/1)+1*(((0.15*B2670*5))^1/1)+2*(((0.15*B2670*5))^2/2)+3*(((0.15*B2670*5))^3/6)+4*(((0.15*B2670*5))^4/24)+5*(((0.15*B2670*5))^5/120))/((((0.15*B2670*5))^0/1)+(((0.15*B2670*5))^1/1)+(((0.15*B2670*5))^2/2)+(((0.15*B2670*5))^3/6)+(((0.15*B2670*5))^4/24)+(((0.15*B2670*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2642*(1-MIN(100,(Inputs!$B$9+((C2655=TRUE)*(F2655-Calc!F19))+B2668+(ArtifactsInput!$M$24-ArtifactsInput!$M$24)*CHOOSE(ArtifactsInput!$N$24+1,10,12,14,16,18,20)+(IF(AND(ArtifactsInput!$M$42,((Inputs!$B$9+((C2655=TRUE)*(F2655-Calc!F19))+B2668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2642*(MIN(100,(Inputs!$B$9+((C2655=TRUE)*(F2655-Calc!F19))+B2668+(ArtifactsInput!$M$24-ArtifactsInput!$M$24)*CHOOSE(ArtifactsInput!$N$24+1,10,12,14,16,18,20)+(IF(AND(ArtifactsInput!$M$42,((Inputs!$B$9+((C2655=TRUE)*(F2655-Calc!F19))+B2668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2642*(1-MIN(100,(Inputs!$B$9+((C2655=TRUE)*(F2655-Calc!F19))+B2668+(ArtifactsInput!$M$24-ArtifactsInput!$M$24)*CHOOSE(ArtifactsInput!$N$24+1,10,12,14,16,18,20)+(IF(AND(ArtifactsInput!$M$42,((Inputs!$B$9+((C2655=TRUE)*(F2655-Calc!F19))+B2668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2642*(MIN(100,(Inputs!$B$9+((C2655=TRUE)*(F2655-Calc!F19))+B2668+(ArtifactsInput!$M$24-ArtifactsInput!$M$24)*CHOOSE(ArtifactsInput!$N$24+1,10,12,14,16,18,20)+(IF(AND(ArtifactsInput!$M$42,((Inputs!$B$9+((C2655=TRUE)*(F2655-Calc!F19))+B2668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642">
        <f>IF(C2642,(H2642*N2642*IF(AND(Inputs!$B$38&lt;&gt;"pvp",Inputs!$B$43&gt;0),((Skills!G6*((R2642-1)*IF(Skills!H6&gt;0,Skills!I6/Skills!H6,1)+IF(Skills!H6&gt;0,MIN(Skills!I6,MAX(0,MAX(0,Inputs!$B$43-B2675)-((R2642-1)*IF(Inputs!$B$38="pvp",15,MAX(0.1,Skills!D6-IF(Skills!E6=TRUE,Inputs!$B$32,0))))))/Skills!H6,1)))/Inputs!$B$43),G2642*Q2642))*IF(Inputs!$B$38="pvp",1,(1+(Inputs!$B$21+Skills!Q6+(IF(ArtifactsInput!$M$33,CHOOSE(ArtifactsInput!$N$33+1,30,36,42,48,54,60),0))+(IF(AND(ArtifactsInput!$M$35,Inputs!$B$4&lt;&gt;"Chapter Hunt"),CHOOSE(ArtifactsInput!$N$35+1,15,18,21,24,27,30)*(1-EXP(-(0.2*B2670)*5)),0)+IF(AND(ArtifactsInput!$M$22,Inputs!$B$4&lt;&gt;"Chapter Hunt"),CHOOSE(ArtifactsInput!$N$22+1,10,12,14,16,18,20)*((0*(((0.15*B2670*5))^0/1)+1*(((0.15*B2670*5))^1/1)+2*(((0.15*B2670*5))^2/2)+3*(((0.15*B2670*5))^3/6)+4*(((0.15*B2670*5))^4/24)+5*(((0.15*B2670*5))^5/120))/((((0.15*B2670*5))^0/1)+(((0.15*B2670*5))^1/1)+(((0.15*B2670*5))^2/2)+(((0.15*B2670*5))^3/6)+(((0.15*B2670*5))^4/24)+(((0.15*B2670*5))^5/120))),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643">
      <c r="A2643">
        <f>Skills!A7</f>
        <v/>
      </c>
      <c r="B2643">
        <f>Skills!B7</f>
        <v/>
      </c>
      <c r="C2643">
        <f>Inputs!$B$3&gt;=69</f>
        <v/>
      </c>
      <c r="D2643">
        <f>IF(Skills!C7=1,60+Inputs!$B$25+Inputs!$B$29,IF(Skills!C7=2,90+Inputs!$B$26+Inputs!$B$29,IF(Skills!C7=3,120+Inputs!$B$27+Inputs!$B$29,MAX(0,(Inputs!$B$3-100)*3)+Inputs!$B$28+Inputs!$B$29)))</f>
        <v/>
      </c>
      <c r="E2643">
        <f>INDEX(FactorTable!$B$2:$Y$301, MATCH(ROUND(MIN(300,MAX(1,D2643)),0), FactorTable!$A$2:$A$301,0), Skills!M7+1)</f>
        <v/>
      </c>
      <c r="F2643">
        <f>IF(Skills!N7=TRUE,(Skills!L7/10)*(E2643/1000),Skills!L7/10)+Skills!O7</f>
        <v/>
      </c>
      <c r="G2643">
        <f>Skills!G7*IF(Skills!H7&gt;0,Skills!I7/Skills!H7,1)</f>
        <v/>
      </c>
      <c r="H2643">
        <f>1-(1-Skills!J7/100)^Skills!K7</f>
        <v/>
      </c>
      <c r="I2643" t="inlineStr">
        <is>
          <t>1</t>
        </is>
      </c>
      <c r="J2643">
        <f>((Inputs!$B$6*(1+Inputs!$B$7/100))+(((Inputs!$B$12*(1+Inputs!$B$13/100))-(Inputs!$B$12*(1+Inputs!$B$13/100)))+0.25*(Inputs!$B$14-Inputs!$B$14))*(1+Inputs!$B$7/100))*(F2643/100)</f>
        <v/>
      </c>
      <c r="K2643">
        <f>J2643*(1+((Inputs!$B$12*(1+Inputs!$B$13/100))*0.01+Inputs!$B$14*0.0025)/100)*(1+Inputs!$B$15/100)*(1+Inputs!$B$16/100)*(5000/(6000+Inputs!$B$42*(1-(100*(1-(1-(Inputs!$B$19+0)/100)*(1-CHOOSE(ArtifactsInput!$N$40+1,5,6,7,8,9,10)/100)^(ArtifactsInput!$M$40-ArtifactsInput!$M$40)))/100)))*(1+(Inputs!$B$24+((C2660=TRUE)*(F2660-Calc!F24))+((C2661=TRUE)*(F2661-Calc!F25))+B2674)/100)*(1+(((1+IF(AND(ArtifactsInput!$M$36,IF(Inputs!$B$38="pvp",TRUE,AND(Inputs!$B$38&lt;&gt;"pvp",Inputs!$B$43&gt;0))),CHOOSE(ArtifactsInput!$N$36+1,8,9.6,11.2,12.8,14.4,16),0)/100)*(1+IF(AND(ArtifactsInput!$M$32,Inputs!$B$4&lt;&gt;"Chapter Hunt"),CHOOSE(ArtifactsInput!$N$32+1,8,9.6,11.2,12.8,14.4,16),0)/100)*(1+IF(AND(IF(ArtifactsInput!$M$38,FALSE,TRUE),Inputs!$B$38&lt;&gt;"pvp",Inputs!$B$43&gt;0),CHOOSE(ArtifactsInput!$N$38+1,10,12,14,16,18,20)*(MIN(30,MAX(0,Inputs!$B$43-7))/Inputs!$B$43)*IF(Inputs!$B$4="Chapter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+1.2*IF(C2644=TRUE,F2644,0)/100)*(1+(IF(Skills!A7="EMPOWERED_PIERCING_ARROW",Inputs!$B$17+((C2658=TRUE)*(F2658-Calc!F22))+(((IF(AND(ArtifactsInput!$M$42,((Inputs!$B$9+((C2655=TRUE)*(F2655-Calc!F19))+B2668+(ArtifactsInput!$M$24-ArtifactsInput!$M$24)*CHOOSE(ArtifactsInput!$N$24+1,10,12,14,16,18,20)+IF(ArtifactsInput!$M$10,CHOOSE(ArtifactsInput!$N$10+1,15,18,21,24,27,30)*(IF(Inputs!$B$38="pvp",MIN(15,15)/15,IF(AND(Inputs!$B$38&lt;&gt;"pvp",Inputs!$B$43&gt;0),MIN(15,Inputs!$B$43)/(Inputs!$B$43),0))),0)))&gt;=100),MIN(100,((Inputs!$B$9+((C2655=TRUE)*(F2655-Calc!F19))+B2668+(ArtifactsInput!$M$24-ArtifactsInput!$M$24)*CHOOSE(ArtifactsInput!$N$24+1,10,12,14,16,18,20)+IF(ArtifactsInput!$M$10,CHOOSE(ArtifactsInput!$N$10+1,15,18,21,24,27,30)*(IF(Inputs!$B$38="pvp",MIN(15,15)/15,IF(AND(Inputs!$B$38&lt;&gt;"pvp",Inputs!$B$43&gt;0),MIN(15,Inputs!$B$43)/(Inputs!$B$43),0))),0)))-100),0))*CHOOSE(ArtifactsInput!$N$42+1,0.6,0.72,0.84,0.96,1.08,1.2))),Inputs!$B$18+((C2663=TRUE)*(F2663-Calc!F27))+(IF(AND(ArtifactsInput!$M$42,((Inputs!$B$9+((C2655=TRUE)*(F2655-Calc!F19))+B2668+(ArtifactsInput!$M$24-ArtifactsInput!$M$24)*CHOOSE(ArtifactsInput!$N$24+1,10,12,14,16,18,20)+IF(ArtifactsInput!$M$10,CHOOSE(ArtifactsInput!$N$10+1,15,18,21,24,27,30)*(IF(Inputs!$B$38="pvp",MIN(15,15)/15,IF(AND(Inputs!$B$38&lt;&gt;"pvp",Inputs!$B$43&gt;0),MIN(15,Inputs!$B$43)/(Inputs!$B$43),0))),0)))&gt;=100),CHOOSE(ArtifactsInput!$N$42+1,40,48,56,64,72,80),0))))/100)*((1+(((C2649=TRUE)*F2649)+((C2650=TRUE)*IF(Inputs!$B$38="pvp",F2650,(1-Summary!$B$11)*(F2650)+Summary!$B$11*(0)))+((C2651=TRUE)*F2651*IF(AND(Inputs!$B$38&lt;&gt;"pvp",Inputs!$B$43&gt;0),(((R2651-1)*(Skills!T15*(1+Inputs!$B$34/100))+MIN((Skills!T15*(1+Inputs!$B$34/100)),MAX(0,Inputs!$B$43-((R2651-1)*Skills!D15))))/Inputs!$B$43),IF(Inputs!$B$38="pvp",MIN((Skills!T15*(1+Inputs!$B$34/100)),15)/15,(Skills!T15*(1+Inputs!$B$34/100))/Skills!D15)))+((C2648=TRUE)*F2648)+((C2665=TRUE)*(F2665-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2643)</f>
        <v/>
      </c>
      <c r="L2643">
        <f>K2643*(MIN(Inputs!$B$22+((C2659=TRUE)*(F2659-Calc!F23)),(Inputs!$B$23+((C2664=TRUE)*(F2664-Calc!F28))+(IF(ArtifactsInput!$M$15,CHOOSE(ArtifactsInput!$N$15+1,25,30,35,40,45,50)/100*(Inputs!$B$11-Inputs!$B$11),0))))/100+(Inputs!$B$23+((C2664=TRUE)*(F2664-Calc!F28))+(IF(ArtifactsInput!$M$15,CHOOSE(ArtifactsInput!$N$15+1,25,30,35,40,45,50)/100*(Inputs!$B$11-Inputs!$B$11),0)))/100)/2</f>
        <v/>
      </c>
      <c r="M2643">
        <f>L2643*(1+(Inputs!$B$10+0+B2673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643">
        <f>L2643*(1-MIN((Inputs!$B$9+((C2655=TRUE)*(F2655-Calc!F19))+B2668+(ArtifactsInput!$M$24-ArtifactsInput!$M$24)*CHOOSE(ArtifactsInput!$N$24+1,10,12,14,16,18,20)+(IF(AND(ArtifactsInput!$M$42,((Inputs!$B$9+((C2655=TRUE)*(F2655-Calc!F19))+B2668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2643*(MIN((Inputs!$B$9+((C2655=TRUE)*(F2655-Calc!F19))+B2668+(ArtifactsInput!$M$24-ArtifactsInput!$M$24)*CHOOSE(ArtifactsInput!$N$24+1,10,12,14,16,18,20)+(IF(AND(ArtifactsInput!$M$42,((Inputs!$B$9+((C2655=TRUE)*(F2655-Calc!F19))+B2668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643">
        <f>(1-Summary!$B$11)*T2643+Summary!$B$11*V2643</f>
        <v/>
      </c>
      <c r="P2643">
        <f>IF(B2678=0,0,O2643/B2678)</f>
        <v/>
      </c>
      <c r="Q2643">
        <f>IFERROR(1/IF(Inputs!$B$38="pvp",15,MAX(0.1,Skills!D7-IF(Skills!E7=TRUE,Inputs!$B$32,0))),0)</f>
        <v/>
      </c>
      <c r="R2643">
        <f>IF(AND(Inputs!$B$38&lt;&gt;"pvp",Inputs!$B$43&gt;0),IF(MAX(0,Inputs!$B$43-B2675)&lt;=0,0,(INT(MAX(0,Inputs!$B$43-B2675)/IF(Inputs!$B$38="pvp",15,MAX(0.1,Skills!D7-IF(Skills!E7=TRUE,Inputs!$B$32,0))))+1)),0)</f>
        <v/>
      </c>
      <c r="S2643">
        <f>IFERROR((H2643*N2643*IF(AND(Inputs!$B$38&lt;&gt;"pvp",Inputs!$B$43&gt;0),((Skills!G7*((R2643-1)*IF(Skills!H7&gt;0,Skills!I7/Skills!H7,1)+IF(Skills!H7&gt;0,MIN(Skills!I7,MAX(0,MAX(0,Inputs!$B$43-B2675)-((R2643-1)*IF(Inputs!$B$38="pvp",15,MAX(0.1,Skills!D7-IF(Skills!E7=TRUE,Inputs!$B$32,0))))))/Skills!H7,1)))/Inputs!$B$43),G2643*Q2643))/N2643*IF(Inputs!$B$38="pvp",1,(1-Summary!$B$11)*1+Summary!$B$11*(MIN(Skills!R7,Inputs!$B$37))),0)</f>
        <v/>
      </c>
      <c r="T2643">
        <f>IF(C2643,(H2643*N2643*IF(AND(Inputs!$B$38&lt;&gt;"pvp",Inputs!$B$43&gt;0),((Skills!G7*((R2643-1)*IF(Skills!H7&gt;0,Skills!I7/Skills!H7,1)+IF(Skills!H7&gt;0,MIN(Skills!I7,MAX(0,MAX(0,Inputs!$B$43-B2675)-((R2643-1)*IF(Inputs!$B$38="pvp",15,MAX(0.1,Skills!D7-IF(Skills!E7=TRUE,Inputs!$B$32,0))))))/Skills!H7,1)))/Inputs!$B$43),G2643*Q2643))*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Hunt"),CHOOSE(ArtifactsInput!$N$35+1,15,18,21,24,27,30)*(1-EXP(-(0.2*B2670)*5)),0)+IF(AND(ArtifactsInput!$M$22,Inputs!$B$4&lt;&gt;"Chapter Hunt"),CHOOSE(ArtifactsInput!$N$22+1,10,12,14,16,18,20)*((0*(((0.15*B2670*5))^0/1)+1*(((0.15*B2670*5))^1/1)+2*(((0.15*B2670*5))^2/2)+3*(((0.15*B2670*5))^3/6)+4*(((0.15*B2670*5))^4/24)+5*(((0.15*B2670*5))^5/120))/((((0.15*B2670*5))^0/1)+(((0.15*B2670*5))^1/1)+(((0.15*B2670*5))^2/2)+(((0.15*B2670*5))^3/6)+(((0.15*B2670*5))^4/24)+(((0.15*B2670*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2643*(1-MIN(100,(Inputs!$B$9+((C2655=TRUE)*(F2655-Calc!F19))+B2668+(ArtifactsInput!$M$24-ArtifactsInput!$M$24)*CHOOSE(ArtifactsInput!$N$24+1,10,12,14,16,18,20)+(IF(AND(ArtifactsInput!$M$42,((Inputs!$B$9+((C2655=TRUE)*(F2655-Calc!F19))+B2668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2643*(MIN(100,(Inputs!$B$9+((C2655=TRUE)*(F2655-Calc!F19))+B2668+(ArtifactsInput!$M$24-ArtifactsInput!$M$24)*CHOOSE(ArtifactsInput!$N$24+1,10,12,14,16,18,20)+(IF(AND(ArtifactsInput!$M$42,((Inputs!$B$9+((C2655=TRUE)*(F2655-Calc!F19))+B2668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2643*(1-MIN(100,(Inputs!$B$9+((C2655=TRUE)*(F2655-Calc!F19))+B2668+(ArtifactsInput!$M$24-ArtifactsInput!$M$24)*CHOOSE(ArtifactsInput!$N$24+1,10,12,14,16,18,20)+(IF(AND(ArtifactsInput!$M$42,((Inputs!$B$9+((C2655=TRUE)*(F2655-Calc!F19))+B2668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2643*(MIN(100,(Inputs!$B$9+((C2655=TRUE)*(F2655-Calc!F19))+B2668+(ArtifactsInput!$M$24-ArtifactsInput!$M$24)*CHOOSE(ArtifactsInput!$N$24+1,10,12,14,16,18,20)+(IF(AND(ArtifactsInput!$M$42,((Inputs!$B$9+((C2655=TRUE)*(F2655-Calc!F19))+B2668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643">
        <f>IF(C2643,(H2643*N2643*IF(AND(Inputs!$B$38&lt;&gt;"pvp",Inputs!$B$43&gt;0),((Skills!G7*((R2643-1)*IF(Skills!H7&gt;0,Skills!I7/Skills!H7,1)+IF(Skills!H7&gt;0,MIN(Skills!I7,MAX(0,MAX(0,Inputs!$B$43-B2675)-((R2643-1)*IF(Inputs!$B$38="pvp",15,MAX(0.1,Skills!D7-IF(Skills!E7=TRUE,Inputs!$B$32,0))))))/Skills!H7,1)))/Inputs!$B$43),G2643*Q2643))*IF(Inputs!$B$38="pvp",1,(1+(Inputs!$B$21+Skills!Q7+(IF(ArtifactsInput!$M$33,CHOOSE(ArtifactsInput!$N$33+1,30,36,42,48,54,60),0))+(IF(AND(ArtifactsInput!$M$35,Inputs!$B$4&lt;&gt;"Chapter Hunt"),CHOOSE(ArtifactsInput!$N$35+1,15,18,21,24,27,30)*(1-EXP(-(0.2*B2670)*5)),0)+IF(AND(ArtifactsInput!$M$22,Inputs!$B$4&lt;&gt;"Chapter Hunt"),CHOOSE(ArtifactsInput!$N$22+1,10,12,14,16,18,20)*((0*(((0.15*B2670*5))^0/1)+1*(((0.15*B2670*5))^1/1)+2*(((0.15*B2670*5))^2/2)+3*(((0.15*B2670*5))^3/6)+4*(((0.15*B2670*5))^4/24)+5*(((0.15*B2670*5))^5/120))/((((0.15*B2670*5))^0/1)+(((0.15*B2670*5))^1/1)+(((0.15*B2670*5))^2/2)+(((0.15*B2670*5))^3/6)+(((0.15*B2670*5))^4/24)+(((0.15*B2670*5))^5/120))),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644">
      <c r="A2644">
        <f>Skills!A8</f>
        <v/>
      </c>
      <c r="B2644">
        <f>Skills!B8</f>
        <v/>
      </c>
      <c r="C2644">
        <f>Inputs!$B$3&gt;=100</f>
        <v/>
      </c>
      <c r="D2644">
        <f>IF(Skills!C8=1,60+Inputs!$B$25+Inputs!$B$29,IF(Skills!C8=2,90+Inputs!$B$26+Inputs!$B$29,IF(Skills!C8=3,120+Inputs!$B$27+Inputs!$B$29,MAX(0,(Inputs!$B$3-100)*3)+Inputs!$B$28+Inputs!$B$29)))</f>
        <v/>
      </c>
      <c r="E2644">
        <f>INDEX(FactorTable!$B$2:$Y$301, MATCH(ROUND(MIN(300,MAX(1,D2644)),0), FactorTable!$A$2:$A$301,0), Skills!M8+1)</f>
        <v/>
      </c>
      <c r="F2644">
        <f>IF(Skills!N8=TRUE,(Skills!L8/10)*(E2644/1000),Skills!L8/10)+Skills!O8</f>
        <v/>
      </c>
      <c r="G2644" t="inlineStr"/>
      <c r="H2644" t="inlineStr"/>
      <c r="I2644" t="inlineStr">
        <is>
          <t>1</t>
        </is>
      </c>
      <c r="J2644" t="inlineStr"/>
      <c r="K2644" t="inlineStr"/>
      <c r="L2644" t="inlineStr"/>
      <c r="M2644" t="inlineStr"/>
      <c r="N2644" t="inlineStr"/>
      <c r="O2644" t="inlineStr"/>
      <c r="P2644" t="inlineStr"/>
      <c r="Q2644" t="inlineStr"/>
      <c r="R2644" t="inlineStr"/>
      <c r="S2644" t="inlineStr"/>
      <c r="T2644" t="inlineStr"/>
      <c r="V2644" t="inlineStr"/>
    </row>
    <row r="2645">
      <c r="A2645">
        <f>Skills!A9</f>
        <v/>
      </c>
      <c r="B2645">
        <f>Skills!B9</f>
        <v/>
      </c>
      <c r="C2645">
        <f>Inputs!$B$3&gt;=103</f>
        <v/>
      </c>
      <c r="D2645">
        <f>IF(Skills!C9=1,60+Inputs!$B$25+Inputs!$B$29,IF(Skills!C9=2,90+Inputs!$B$26+Inputs!$B$29,IF(Skills!C9=3,120+Inputs!$B$27+Inputs!$B$29,MAX(0,(Inputs!$B$3-100)*3)+Inputs!$B$28+Inputs!$B$29)))</f>
        <v/>
      </c>
      <c r="E2645">
        <f>INDEX(FactorTable!$B$2:$Y$301, MATCH(ROUND(MIN(300,MAX(1,D2645)),0), FactorTable!$A$2:$A$301,0), Skills!M9+1)</f>
        <v/>
      </c>
      <c r="F2645">
        <f>IF(Skills!N9=TRUE,(Skills!L9/10)*(E2645/1000),Skills!L9/10)+Skills!O9</f>
        <v/>
      </c>
      <c r="G2645">
        <f>Skills!G9*IF(Skills!H9&gt;0,Skills!I9/Skills!H9,1)</f>
        <v/>
      </c>
      <c r="H2645">
        <f>1-(1-Skills!J9/100)^Skills!K9</f>
        <v/>
      </c>
      <c r="I2645" t="inlineStr">
        <is>
          <t>1</t>
        </is>
      </c>
      <c r="J2645">
        <f>((Inputs!$B$6*(1+Inputs!$B$7/100))+(((Inputs!$B$12*(1+Inputs!$B$13/100))-(Inputs!$B$12*(1+Inputs!$B$13/100)))+0.25*(Inputs!$B$14-Inputs!$B$14))*(1+Inputs!$B$7/100))*(F2645/100)</f>
        <v/>
      </c>
      <c r="K2645">
        <f>J2645*(1+((Inputs!$B$12*(1+Inputs!$B$13/100))*0.01+Inputs!$B$14*0.0025)/100)*(1+Inputs!$B$15/100)*(1+Inputs!$B$16/100)*(5000/(6000+Inputs!$B$42*(1-(100*(1-(1-(Inputs!$B$19+0)/100)*(1-CHOOSE(ArtifactsInput!$N$40+1,5,6,7,8,9,10)/100)^(ArtifactsInput!$M$40-ArtifactsInput!$M$40)))/100)))*(1+(Inputs!$B$24+((C2660=TRUE)*(F2660-Calc!F24))+((C2661=TRUE)*(F2661-Calc!F25))+B2674)/100)*(1+(((1+IF(AND(ArtifactsInput!$M$36,IF(Inputs!$B$38="pvp",TRUE,AND(Inputs!$B$38&lt;&gt;"pvp",Inputs!$B$43&gt;0))),CHOOSE(ArtifactsInput!$N$36+1,8,9.6,11.2,12.8,14.4,16),0)/100)*(1+IF(AND(ArtifactsInput!$M$32,Inputs!$B$4&lt;&gt;"Chapter Hunt"),CHOOSE(ArtifactsInput!$N$32+1,8,9.6,11.2,12.8,14.4,16),0)/100)*(1+IF(AND(IF(ArtifactsInput!$M$38,FALSE,TRUE),Inputs!$B$38&lt;&gt;"pvp",Inputs!$B$43&gt;0),CHOOSE(ArtifactsInput!$N$38+1,10,12,14,16,18,20)*(MIN(30,MAX(0,Inputs!$B$43-7))/Inputs!$B$43)*IF(Inputs!$B$4="Chapter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EMPOWERED_PIERCING_ARROW",Inputs!$B$17+((C2658=TRUE)*(F2658-Calc!F22))+(((IF(AND(ArtifactsInput!$M$42,((Inputs!$B$9+((C2655=TRUE)*(F2655-Calc!F19))+B2668+(ArtifactsInput!$M$24-ArtifactsInput!$M$24)*CHOOSE(ArtifactsInput!$N$24+1,10,12,14,16,18,20)+IF(ArtifactsInput!$M$10,CHOOSE(ArtifactsInput!$N$10+1,15,18,21,24,27,30)*(IF(Inputs!$B$38="pvp",MIN(15,15)/15,IF(AND(Inputs!$B$38&lt;&gt;"pvp",Inputs!$B$43&gt;0),MIN(15,Inputs!$B$43)/(Inputs!$B$43),0))),0)))&gt;=100),MIN(100,((Inputs!$B$9+((C2655=TRUE)*(F2655-Calc!F19))+B2668+(ArtifactsInput!$M$24-ArtifactsInput!$M$24)*CHOOSE(ArtifactsInput!$N$24+1,10,12,14,16,18,20)+IF(ArtifactsInput!$M$10,CHOOSE(ArtifactsInput!$N$10+1,15,18,21,24,27,30)*(IF(Inputs!$B$38="pvp",MIN(15,15)/15,IF(AND(Inputs!$B$38&lt;&gt;"pvp",Inputs!$B$43&gt;0),MIN(15,Inputs!$B$43)/(Inputs!$B$43),0))),0)))-100),0))*CHOOSE(ArtifactsInput!$N$42+1,0.6,0.72,0.84,0.96,1.08,1.2))),Inputs!$B$18+((C2663=TRUE)*(F2663-Calc!F27))+(IF(AND(ArtifactsInput!$M$42,((Inputs!$B$9+((C2655=TRUE)*(F2655-Calc!F19))+B2668+(ArtifactsInput!$M$24-ArtifactsInput!$M$24)*CHOOSE(ArtifactsInput!$N$24+1,10,12,14,16,18,20)+IF(ArtifactsInput!$M$10,CHOOSE(ArtifactsInput!$N$10+1,15,18,21,24,27,30)*(IF(Inputs!$B$38="pvp",MIN(15,15)/15,IF(AND(Inputs!$B$38&lt;&gt;"pvp",Inputs!$B$43&gt;0),MIN(15,Inputs!$B$43)/(Inputs!$B$43),0))),0)))&gt;=100),CHOOSE(ArtifactsInput!$N$42+1,40,48,56,64,72,80),0))))/100)*((1+(((C2649=TRUE)*F2649)+((C2650=TRUE)*IF(Inputs!$B$38="pvp",F2650,(1-Summary!$B$11)*(F2650)+Summary!$B$11*(0)))+((C2651=TRUE)*F2651*IF(AND(Inputs!$B$38&lt;&gt;"pvp",Inputs!$B$43&gt;0),(((R2651-1)*(Skills!T15*(1+Inputs!$B$34/100))+MIN((Skills!T15*(1+Inputs!$B$34/100)),MAX(0,Inputs!$B$43-((R2651-1)*Skills!D15))))/Inputs!$B$43),IF(Inputs!$B$38="pvp",MIN((Skills!T15*(1+Inputs!$B$34/100)),15)/15,(Skills!T15*(1+Inputs!$B$34/100))/Skills!D15)))+((C2648=TRUE)*F2648)+((C2665=TRUE)*(F2665-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2645)</f>
        <v/>
      </c>
      <c r="L2645">
        <f>K2645*(MIN(Inputs!$B$22+((C2659=TRUE)*(F2659-Calc!F23)),(Inputs!$B$23+((C2664=TRUE)*(F2664-Calc!F28))+(IF(ArtifactsInput!$M$15,CHOOSE(ArtifactsInput!$N$15+1,25,30,35,40,45,50)/100*(Inputs!$B$11-Inputs!$B$11),0))))/100+(Inputs!$B$23+((C2664=TRUE)*(F2664-Calc!F28))+(IF(ArtifactsInput!$M$15,CHOOSE(ArtifactsInput!$N$15+1,25,30,35,40,45,50)/100*(Inputs!$B$11-Inputs!$B$11),0)))/100)/2</f>
        <v/>
      </c>
      <c r="M2645">
        <f>L2645*(1+(Inputs!$B$10+0+B2673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645">
        <f>L2645*(1-MIN((Inputs!$B$9+((C2655=TRUE)*(F2655-Calc!F19))+B2668+(ArtifactsInput!$M$24-ArtifactsInput!$M$24)*CHOOSE(ArtifactsInput!$N$24+1,10,12,14,16,18,20)+(IF(AND(ArtifactsInput!$M$42,((Inputs!$B$9+((C2655=TRUE)*(F2655-Calc!F19))+B2668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2645*(MIN((Inputs!$B$9+((C2655=TRUE)*(F2655-Calc!F19))+B2668+(ArtifactsInput!$M$24-ArtifactsInput!$M$24)*CHOOSE(ArtifactsInput!$N$24+1,10,12,14,16,18,20)+(IF(AND(ArtifactsInput!$M$42,((Inputs!$B$9+((C2655=TRUE)*(F2655-Calc!F19))+B2668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645">
        <f>(1-Summary!$B$11)*T2645+Summary!$B$11*V2645</f>
        <v/>
      </c>
      <c r="P2645">
        <f>IF(B2678=0,0,O2645/B2678)</f>
        <v/>
      </c>
      <c r="Q2645">
        <f>IFERROR(1/IF(Inputs!$B$38="pvp",15,MAX(0.1,Skills!D9-IF(Skills!E9=TRUE,Inputs!$B$32,0))),0)</f>
        <v/>
      </c>
      <c r="R2645">
        <f>IF(AND(Inputs!$B$38&lt;&gt;"pvp",Inputs!$B$43&gt;0),IF(MAX(0,Inputs!$B$43-B2675)&lt;=0,0,(INT(MAX(0,Inputs!$B$43-B2675)/IF(Inputs!$B$38="pvp",15,MAX(0.1,Skills!D9-IF(Skills!E9=TRUE,Inputs!$B$32,0))))+1)),0)</f>
        <v/>
      </c>
      <c r="S2645">
        <f>IFERROR((H2645*N2645*IF(AND(Inputs!$B$38&lt;&gt;"pvp",Inputs!$B$43&gt;0),((Skills!G9*((R2645-1)*IF(Skills!H9&gt;0,Skills!I9/Skills!H9,1)+IF(Skills!H9&gt;0,MIN(Skills!I9,MAX(0,MAX(0,Inputs!$B$43-B2675)-((R2645-1)*IF(Inputs!$B$38="pvp",15,MAX(0.1,Skills!D9-IF(Skills!E9=TRUE,Inputs!$B$32,0))))))/Skills!H9,1)))/Inputs!$B$43),G2645*Q2645))/N2645*IF(Inputs!$B$38="pvp",1,(1-Summary!$B$11)*1+Summary!$B$11*(MIN(Skills!R9,Inputs!$B$37))),0)</f>
        <v/>
      </c>
      <c r="T2645">
        <f>IF(C2645,(H2645*N2645*IF(AND(Inputs!$B$38&lt;&gt;"pvp",Inputs!$B$43&gt;0),((Skills!G9*((R2645-1)*IF(Skills!H9&gt;0,Skills!I9/Skills!H9,1)+IF(Skills!H9&gt;0,MIN(Skills!I9,MAX(0,MAX(0,Inputs!$B$43-B2675)-((R2645-1)*IF(Inputs!$B$38="pvp",15,MAX(0.1,Skills!D9-IF(Skills!E9=TRUE,Inputs!$B$32,0))))))/Skills!H9,1)))/Inputs!$B$43),G2645*Q2645))*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Hunt"),CHOOSE(ArtifactsInput!$N$35+1,15,18,21,24,27,30)*(1-EXP(-(0.2*B2670)*5)),0)+IF(AND(ArtifactsInput!$M$22,Inputs!$B$4&lt;&gt;"Chapter Hunt"),CHOOSE(ArtifactsInput!$N$22+1,10,12,14,16,18,20)*((0*(((0.15*B2670*5))^0/1)+1*(((0.15*B2670*5))^1/1)+2*(((0.15*B2670*5))^2/2)+3*(((0.15*B2670*5))^3/6)+4*(((0.15*B2670*5))^4/24)+5*(((0.15*B2670*5))^5/120))/((((0.15*B2670*5))^0/1)+(((0.15*B2670*5))^1/1)+(((0.15*B2670*5))^2/2)+(((0.15*B2670*5))^3/6)+(((0.15*B2670*5))^4/24)+(((0.15*B2670*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2645*(1-MIN(100,(Inputs!$B$9+((C2655=TRUE)*(F2655-Calc!F19))+B2668+(ArtifactsInput!$M$24-ArtifactsInput!$M$24)*CHOOSE(ArtifactsInput!$N$24+1,10,12,14,16,18,20)+(IF(AND(ArtifactsInput!$M$42,((Inputs!$B$9+((C2655=TRUE)*(F2655-Calc!F19))+B2668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2645*(MIN(100,(Inputs!$B$9+((C2655=TRUE)*(F2655-Calc!F19))+B2668+(ArtifactsInput!$M$24-ArtifactsInput!$M$24)*CHOOSE(ArtifactsInput!$N$24+1,10,12,14,16,18,20)+(IF(AND(ArtifactsInput!$M$42,((Inputs!$B$9+((C2655=TRUE)*(F2655-Calc!F19))+B2668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2645*(1-MIN(100,(Inputs!$B$9+((C2655=TRUE)*(F2655-Calc!F19))+B2668+(ArtifactsInput!$M$24-ArtifactsInput!$M$24)*CHOOSE(ArtifactsInput!$N$24+1,10,12,14,16,18,20)+(IF(AND(ArtifactsInput!$M$42,((Inputs!$B$9+((C2655=TRUE)*(F2655-Calc!F19))+B2668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2645*(MIN(100,(Inputs!$B$9+((C2655=TRUE)*(F2655-Calc!F19))+B2668+(ArtifactsInput!$M$24-ArtifactsInput!$M$24)*CHOOSE(ArtifactsInput!$N$24+1,10,12,14,16,18,20)+(IF(AND(ArtifactsInput!$M$42,((Inputs!$B$9+((C2655=TRUE)*(F2655-Calc!F19))+B2668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645">
        <f>IF(C2645,(H2645*N2645*IF(AND(Inputs!$B$38&lt;&gt;"pvp",Inputs!$B$43&gt;0),((Skills!G9*((R2645-1)*IF(Skills!H9&gt;0,Skills!I9/Skills!H9,1)+IF(Skills!H9&gt;0,MIN(Skills!I9,MAX(0,MAX(0,Inputs!$B$43-B2675)-((R2645-1)*IF(Inputs!$B$38="pvp",15,MAX(0.1,Skills!D9-IF(Skills!E9=TRUE,Inputs!$B$32,0))))))/Skills!H9,1)))/Inputs!$B$43),G2645*Q2645))*IF(Inputs!$B$38="pvp",1,(1+(Inputs!$B$21+Skills!Q9+(IF(ArtifactsInput!$M$33,CHOOSE(ArtifactsInput!$N$33+1,30,36,42,48,54,60),0))+(IF(AND(ArtifactsInput!$M$35,Inputs!$B$4&lt;&gt;"Chapter Hunt"),CHOOSE(ArtifactsInput!$N$35+1,15,18,21,24,27,30)*(1-EXP(-(0.2*B2670)*5)),0)+IF(AND(ArtifactsInput!$M$22,Inputs!$B$4&lt;&gt;"Chapter Hunt"),CHOOSE(ArtifactsInput!$N$22+1,10,12,14,16,18,20)*((0*(((0.15*B2670*5))^0/1)+1*(((0.15*B2670*5))^1/1)+2*(((0.15*B2670*5))^2/2)+3*(((0.15*B2670*5))^3/6)+4*(((0.15*B2670*5))^4/24)+5*(((0.15*B2670*5))^5/120))/((((0.15*B2670*5))^0/1)+(((0.15*B2670*5))^1/1)+(((0.15*B2670*5))^2/2)+(((0.15*B2670*5))^3/6)+(((0.15*B2670*5))^4/24)+(((0.15*B2670*5))^5/120)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646">
      <c r="A2646">
        <f>Skills!A10</f>
        <v/>
      </c>
      <c r="B2646">
        <f>Skills!B10</f>
        <v/>
      </c>
      <c r="C2646">
        <f>Inputs!$B$3&gt;=107</f>
        <v/>
      </c>
      <c r="D2646">
        <f>IF(Skills!C10=1,60+Inputs!$B$25+Inputs!$B$29,IF(Skills!C10=2,90+Inputs!$B$26+Inputs!$B$29,IF(Skills!C10=3,120+Inputs!$B$27+Inputs!$B$29,MAX(0,(Inputs!$B$3-100)*3)+Inputs!$B$28+Inputs!$B$29)))</f>
        <v/>
      </c>
      <c r="E2646">
        <f>INDEX(FactorTable!$B$2:$Y$301, MATCH(ROUND(MIN(300,MAX(1,D2646)),0), FactorTable!$A$2:$A$301,0), Skills!M10+1)</f>
        <v/>
      </c>
      <c r="F2646">
        <f>IF(Skills!N10=TRUE,(Skills!L10/10)*(E2646/1000),Skills!L10/10)+Skills!O10</f>
        <v/>
      </c>
      <c r="G2646">
        <f>Skills!G10*IF(Skills!H10&gt;0,Skills!I10/Skills!H10,1)</f>
        <v/>
      </c>
      <c r="H2646">
        <f>1-(1-Skills!J10/100)^Skills!K10</f>
        <v/>
      </c>
      <c r="I2646" t="inlineStr">
        <is>
          <t>1</t>
        </is>
      </c>
      <c r="J2646">
        <f>((Inputs!$B$6*(1+Inputs!$B$7/100))+(((Inputs!$B$12*(1+Inputs!$B$13/100))-(Inputs!$B$12*(1+Inputs!$B$13/100)))+0.25*(Inputs!$B$14-Inputs!$B$14))*(1+Inputs!$B$7/100))*(F2646/100)</f>
        <v/>
      </c>
      <c r="K2646">
        <f>J2646*(1+((Inputs!$B$12*(1+Inputs!$B$13/100))*0.01+Inputs!$B$14*0.0025)/100)*(1+Inputs!$B$15/100)*(1+Inputs!$B$16/100)*(5000/(6000+Inputs!$B$42*(1-(100*(1-(1-(Inputs!$B$19+0)/100)*(1-CHOOSE(ArtifactsInput!$N$40+1,5,6,7,8,9,10)/100)^(ArtifactsInput!$M$40-ArtifactsInput!$M$40)))/100)))*(1+(Inputs!$B$24+((C2660=TRUE)*(F2660-Calc!F24))+((C2661=TRUE)*(F2661-Calc!F25))+B2674)/100)*(1+(((1+IF(AND(ArtifactsInput!$M$36,IF(Inputs!$B$38="pvp",TRUE,AND(Inputs!$B$38&lt;&gt;"pvp",Inputs!$B$43&gt;0))),CHOOSE(ArtifactsInput!$N$36+1,8,9.6,11.2,12.8,14.4,16),0)/100)*(1+IF(AND(ArtifactsInput!$M$32,Inputs!$B$4&lt;&gt;"Chapter Hunt"),CHOOSE(ArtifactsInput!$N$32+1,8,9.6,11.2,12.8,14.4,16),0)/100)*(1+IF(AND(IF(ArtifactsInput!$M$38,FALSE,TRUE),Inputs!$B$38&lt;&gt;"pvp",Inputs!$B$43&gt;0),CHOOSE(ArtifactsInput!$N$38+1,10,12,14,16,18,20)*(MIN(30,MAX(0,Inputs!$B$43-7))/Inputs!$B$43)*IF(Inputs!$B$4="Chapter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EMPOWERED_PIERCING_ARROW",Inputs!$B$17+((C2658=TRUE)*(F2658-Calc!F22))+(((IF(AND(ArtifactsInput!$M$42,((Inputs!$B$9+((C2655=TRUE)*(F2655-Calc!F19))+B2668+(ArtifactsInput!$M$24-ArtifactsInput!$M$24)*CHOOSE(ArtifactsInput!$N$24+1,10,12,14,16,18,20)+IF(ArtifactsInput!$M$10,CHOOSE(ArtifactsInput!$N$10+1,15,18,21,24,27,30)*(IF(Inputs!$B$38="pvp",MIN(15,15)/15,IF(AND(Inputs!$B$38&lt;&gt;"pvp",Inputs!$B$43&gt;0),MIN(15,Inputs!$B$43)/(Inputs!$B$43),0))),0)))&gt;=100),MIN(100,((Inputs!$B$9+((C2655=TRUE)*(F2655-Calc!F19))+B2668+(ArtifactsInput!$M$24-ArtifactsInput!$M$24)*CHOOSE(ArtifactsInput!$N$24+1,10,12,14,16,18,20)+IF(ArtifactsInput!$M$10,CHOOSE(ArtifactsInput!$N$10+1,15,18,21,24,27,30)*(IF(Inputs!$B$38="pvp",MIN(15,15)/15,IF(AND(Inputs!$B$38&lt;&gt;"pvp",Inputs!$B$43&gt;0),MIN(15,Inputs!$B$43)/(Inputs!$B$43),0))),0)))-100),0))*CHOOSE(ArtifactsInput!$N$42+1,0.6,0.72,0.84,0.96,1.08,1.2))),Inputs!$B$18+((C2663=TRUE)*(F2663-Calc!F27))+(IF(AND(ArtifactsInput!$M$42,((Inputs!$B$9+((C2655=TRUE)*(F2655-Calc!F19))+B2668+(ArtifactsInput!$M$24-ArtifactsInput!$M$24)*CHOOSE(ArtifactsInput!$N$24+1,10,12,14,16,18,20)+IF(ArtifactsInput!$M$10,CHOOSE(ArtifactsInput!$N$10+1,15,18,21,24,27,30)*(IF(Inputs!$B$38="pvp",MIN(15,15)/15,IF(AND(Inputs!$B$38&lt;&gt;"pvp",Inputs!$B$43&gt;0),MIN(15,Inputs!$B$43)/(Inputs!$B$43),0))),0)))&gt;=100),CHOOSE(ArtifactsInput!$N$42+1,40,48,56,64,72,80),0))))/100)*((1+(((C2649=TRUE)*F2649)+((C2650=TRUE)*IF(Inputs!$B$38="pvp",F2650,(1-Summary!$B$11)*(F2650)+Summary!$B$11*(0)))+((C2651=TRUE)*F2651*IF(AND(Inputs!$B$38&lt;&gt;"pvp",Inputs!$B$43&gt;0),(((R2651-1)*(Skills!T15*(1+Inputs!$B$34/100))+MIN((Skills!T15*(1+Inputs!$B$34/100)),MAX(0,Inputs!$B$43-((R2651-1)*Skills!D15))))/Inputs!$B$43),IF(Inputs!$B$38="pvp",MIN((Skills!T15*(1+Inputs!$B$34/100)),15)/15,(Skills!T15*(1+Inputs!$B$34/100))/Skills!D15)))+((C2648=TRUE)*F2648)+((C2665=TRUE)*(F2665-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2646)</f>
        <v/>
      </c>
      <c r="L2646">
        <f>K2646*(MIN(Inputs!$B$22+((C2659=TRUE)*(F2659-Calc!F23)),(Inputs!$B$23+((C2664=TRUE)*(F2664-Calc!F28))+(IF(ArtifactsInput!$M$15,CHOOSE(ArtifactsInput!$N$15+1,25,30,35,40,45,50)/100*(Inputs!$B$11-Inputs!$B$11),0))))/100+(Inputs!$B$23+((C2664=TRUE)*(F2664-Calc!F28))+(IF(ArtifactsInput!$M$15,CHOOSE(ArtifactsInput!$N$15+1,25,30,35,40,45,50)/100*(Inputs!$B$11-Inputs!$B$11),0)))/100)/2</f>
        <v/>
      </c>
      <c r="M2646">
        <f>L2646*(1+(Inputs!$B$10+0+B2673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646">
        <f>L2646*(1-MIN((Inputs!$B$9+((C2655=TRUE)*(F2655-Calc!F19))+B2668+(ArtifactsInput!$M$24-ArtifactsInput!$M$24)*CHOOSE(ArtifactsInput!$N$24+1,10,12,14,16,18,20)+(IF(AND(ArtifactsInput!$M$42,((Inputs!$B$9+((C2655=TRUE)*(F2655-Calc!F19))+B2668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2646*(MIN((Inputs!$B$9+((C2655=TRUE)*(F2655-Calc!F19))+B2668+(ArtifactsInput!$M$24-ArtifactsInput!$M$24)*CHOOSE(ArtifactsInput!$N$24+1,10,12,14,16,18,20)+(IF(AND(ArtifactsInput!$M$42,((Inputs!$B$9+((C2655=TRUE)*(F2655-Calc!F19))+B2668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646">
        <f>(1-Summary!$B$11)*T2646+Summary!$B$11*V2646</f>
        <v/>
      </c>
      <c r="P2646">
        <f>IF(B2678=0,0,O2646/B2678)</f>
        <v/>
      </c>
      <c r="Q2646" t="n">
        <v>0</v>
      </c>
      <c r="R2646" t="n">
        <v>0</v>
      </c>
      <c r="S2646" t="n">
        <v>0</v>
      </c>
      <c r="T2646">
        <f>IF(C2646,(0.15*SUMPRODUCT((Skills!U2:U29=TRUE)*(C2638:C2665=TRUE)*S2638:S2665)*Skills!G10*N2646)*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Hunt"),CHOOSE(ArtifactsInput!$N$35+1,15,18,21,24,27,30)*(1-EXP(-(0.2*B2670)*5)),0)+IF(AND(ArtifactsInput!$M$22,Inputs!$B$4&lt;&gt;"Chapter Hunt"),CHOOSE(ArtifactsInput!$N$22+1,10,12,14,16,18,20)*((0*(((0.15*B2670*5))^0/1)+1*(((0.15*B2670*5))^1/1)+2*(((0.15*B2670*5))^2/2)+3*(((0.15*B2670*5))^3/6)+4*(((0.15*B2670*5))^4/24)+5*(((0.15*B2670*5))^5/120))/((((0.15*B2670*5))^0/1)+(((0.15*B2670*5))^1/1)+(((0.15*B2670*5))^2/2)+(((0.15*B2670*5))^3/6)+(((0.15*B2670*5))^4/24)+(((0.15*B2670*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2646*(1-MIN(100,(Inputs!$B$9+((C2655=TRUE)*(F2655-Calc!F19))+B2668+(ArtifactsInput!$M$24-ArtifactsInput!$M$24)*CHOOSE(ArtifactsInput!$N$24+1,10,12,14,16,18,20)+(IF(AND(ArtifactsInput!$M$42,((Inputs!$B$9+((C2655=TRUE)*(F2655-Calc!F19))+B2668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2646*(MIN(100,(Inputs!$B$9+((C2655=TRUE)*(F2655-Calc!F19))+B2668+(ArtifactsInput!$M$24-ArtifactsInput!$M$24)*CHOOSE(ArtifactsInput!$N$24+1,10,12,14,16,18,20)+(IF(AND(ArtifactsInput!$M$42,((Inputs!$B$9+((C2655=TRUE)*(F2655-Calc!F19))+B2668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2646*(1-MIN(100,(Inputs!$B$9+((C2655=TRUE)*(F2655-Calc!F19))+B2668+(ArtifactsInput!$M$24-ArtifactsInput!$M$24)*CHOOSE(ArtifactsInput!$N$24+1,10,12,14,16,18,20)+(IF(AND(ArtifactsInput!$M$42,((Inputs!$B$9+((C2655=TRUE)*(F2655-Calc!F19))+B2668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2646*(MIN(100,(Inputs!$B$9+((C2655=TRUE)*(F2655-Calc!F19))+B2668+(ArtifactsInput!$M$24-ArtifactsInput!$M$24)*CHOOSE(ArtifactsInput!$N$24+1,10,12,14,16,18,20)+(IF(AND(ArtifactsInput!$M$42,((Inputs!$B$9+((C2655=TRUE)*(F2655-Calc!F19))+B2668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646">
        <f>IF(C2646,(0.15*SUMPRODUCT((Skills!U2:U29=TRUE)*(C2638:C2665=TRUE)*S2638:S2665)*Skills!G10*N2646)*IF(Inputs!$B$38="pvp",1,(1+(Inputs!$B$21+Skills!Q10+(IF(ArtifactsInput!$M$33,CHOOSE(ArtifactsInput!$N$33+1,30,36,42,48,54,60),0))+(IF(AND(ArtifactsInput!$M$35,Inputs!$B$4&lt;&gt;"Chapter Hunt"),CHOOSE(ArtifactsInput!$N$35+1,15,18,21,24,27,30)*(1-EXP(-(0.2*B2670)*5)),0)+IF(AND(ArtifactsInput!$M$22,Inputs!$B$4&lt;&gt;"Chapter Hunt"),CHOOSE(ArtifactsInput!$N$22+1,10,12,14,16,18,20)*((0*(((0.15*B2670*5))^0/1)+1*(((0.15*B2670*5))^1/1)+2*(((0.15*B2670*5))^2/2)+3*(((0.15*B2670*5))^3/6)+4*(((0.15*B2670*5))^4/24)+5*(((0.15*B2670*5))^5/120))/((((0.15*B2670*5))^0/1)+(((0.15*B2670*5))^1/1)+(((0.15*B2670*5))^2/2)+(((0.15*B2670*5))^3/6)+(((0.15*B2670*5))^4/24)+(((0.15*B2670*5))^5/120)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647">
      <c r="A2647">
        <f>Skills!A11</f>
        <v/>
      </c>
      <c r="B2647">
        <f>Skills!B11</f>
        <v/>
      </c>
      <c r="C2647">
        <f>Inputs!$B$3&gt;=110</f>
        <v/>
      </c>
      <c r="D2647">
        <f>IF(Skills!C11=1,60+Inputs!$B$25+Inputs!$B$29,IF(Skills!C11=2,90+Inputs!$B$26+Inputs!$B$29,IF(Skills!C11=3,120+Inputs!$B$27+Inputs!$B$29,MAX(0,(Inputs!$B$3-100)*3)+Inputs!$B$28+Inputs!$B$29)))</f>
        <v/>
      </c>
      <c r="E2647">
        <f>INDEX(FactorTable!$B$2:$Y$301, MATCH(ROUND(MIN(300,MAX(1,D2647)),0), FactorTable!$A$2:$A$301,0), Skills!M11+1)</f>
        <v/>
      </c>
      <c r="F2647">
        <f>IF(Skills!N11=TRUE,(Skills!L11/10)*(E2647/1000),Skills!L11/10)+Skills!O11</f>
        <v/>
      </c>
      <c r="G2647">
        <f>Skills!G11*IF(Skills!H11&gt;0,Skills!I11/Skills!H11,1)</f>
        <v/>
      </c>
      <c r="H2647">
        <f>1-(1-Skills!J11/100)^Skills!K11</f>
        <v/>
      </c>
      <c r="I2647" t="inlineStr">
        <is>
          <t>1</t>
        </is>
      </c>
      <c r="J2647">
        <f>((Inputs!$B$6*(1+Inputs!$B$7/100))+(((Inputs!$B$12*(1+Inputs!$B$13/100))-(Inputs!$B$12*(1+Inputs!$B$13/100)))+0.25*(Inputs!$B$14-Inputs!$B$14))*(1+Inputs!$B$7/100))*(F2647/100)</f>
        <v/>
      </c>
      <c r="K2647">
        <f>J2647*(1+((Inputs!$B$12*(1+Inputs!$B$13/100))*0.01+Inputs!$B$14*0.0025)/100)*(1+Inputs!$B$15/100)*(1+Inputs!$B$16/100)*(5000/(6000+Inputs!$B$42*(1-(100*(1-(1-(Inputs!$B$19+0)/100)*(1-CHOOSE(ArtifactsInput!$N$40+1,5,6,7,8,9,10)/100)^(ArtifactsInput!$M$40-ArtifactsInput!$M$40)))/100)))*(1+(Inputs!$B$24+((C2660=TRUE)*(F2660-Calc!F24))+((C2661=TRUE)*(F2661-Calc!F25))+B2674)/100)*(1+(((1+IF(AND(ArtifactsInput!$M$36,IF(Inputs!$B$38="pvp",TRUE,AND(Inputs!$B$38&lt;&gt;"pvp",Inputs!$B$43&gt;0))),CHOOSE(ArtifactsInput!$N$36+1,8,9.6,11.2,12.8,14.4,16),0)/100)*(1+IF(AND(ArtifactsInput!$M$32,Inputs!$B$4&lt;&gt;"Chapter Hunt"),CHOOSE(ArtifactsInput!$N$32+1,8,9.6,11.2,12.8,14.4,16),0)/100)*(1+IF(AND(IF(ArtifactsInput!$M$38,FALSE,TRUE),Inputs!$B$38&lt;&gt;"pvp",Inputs!$B$43&gt;0),CHOOSE(ArtifactsInput!$N$38+1,10,12,14,16,18,20)*(MIN(30,MAX(0,Inputs!$B$43-7))/Inputs!$B$43)*IF(Inputs!$B$4="Chapter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11="EMPOWERED_PIERCING_ARROW",Inputs!$B$17+((C2658=TRUE)*(F2658-Calc!F22))+(((IF(AND(ArtifactsInput!$M$42,((Inputs!$B$9+((C2655=TRUE)*(F2655-Calc!F19))+B2668+(ArtifactsInput!$M$24-ArtifactsInput!$M$24)*CHOOSE(ArtifactsInput!$N$24+1,10,12,14,16,18,20)+IF(ArtifactsInput!$M$10,CHOOSE(ArtifactsInput!$N$10+1,15,18,21,24,27,30)*(IF(Inputs!$B$38="pvp",MIN(15,15)/15,IF(AND(Inputs!$B$38&lt;&gt;"pvp",Inputs!$B$43&gt;0),MIN(15,Inputs!$B$43)/(Inputs!$B$43),0))),0)))&gt;=100),MIN(100,((Inputs!$B$9+((C2655=TRUE)*(F2655-Calc!F19))+B2668+(ArtifactsInput!$M$24-ArtifactsInput!$M$24)*CHOOSE(ArtifactsInput!$N$24+1,10,12,14,16,18,20)+IF(ArtifactsInput!$M$10,CHOOSE(ArtifactsInput!$N$10+1,15,18,21,24,27,30)*(IF(Inputs!$B$38="pvp",MIN(15,15)/15,IF(AND(Inputs!$B$38&lt;&gt;"pvp",Inputs!$B$43&gt;0),MIN(15,Inputs!$B$43)/(Inputs!$B$43),0))),0)))-100),0))*CHOOSE(ArtifactsInput!$N$42+1,0.6,0.72,0.84,0.96,1.08,1.2))),Inputs!$B$18+((C2663=TRUE)*(F2663-Calc!F27))+(IF(AND(ArtifactsInput!$M$42,((Inputs!$B$9+((C2655=TRUE)*(F2655-Calc!F19))+B2668+(ArtifactsInput!$M$24-ArtifactsInput!$M$24)*CHOOSE(ArtifactsInput!$N$24+1,10,12,14,16,18,20)+IF(ArtifactsInput!$M$10,CHOOSE(ArtifactsInput!$N$10+1,15,18,21,24,27,30)*(IF(Inputs!$B$38="pvp",MIN(15,15)/15,IF(AND(Inputs!$B$38&lt;&gt;"pvp",Inputs!$B$43&gt;0),MIN(15,Inputs!$B$43)/(Inputs!$B$43),0))),0)))&gt;=100),CHOOSE(ArtifactsInput!$N$42+1,40,48,56,64,72,80),0))))/100)*((1+(((C2649=TRUE)*F2649)+((C2650=TRUE)*IF(Inputs!$B$38="pvp",F2650,(1-Summary!$B$11)*(F2650)+Summary!$B$11*(0)))+((C2651=TRUE)*F2651*IF(AND(Inputs!$B$38&lt;&gt;"pvp",Inputs!$B$43&gt;0),(((R2651-1)*(Skills!T15*(1+Inputs!$B$34/100))+MIN((Skills!T15*(1+Inputs!$B$34/100)),MAX(0,Inputs!$B$43-((R2651-1)*Skills!D15))))/Inputs!$B$43),IF(Inputs!$B$38="pvp",MIN((Skills!T15*(1+Inputs!$B$34/100)),15)/15,(Skills!T15*(1+Inputs!$B$34/100))/Skills!D15)))+((C2648=TRUE)*F2648)+((C2665=TRUE)*(F2665-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2647)</f>
        <v/>
      </c>
      <c r="L2647">
        <f>K2647*(MIN(Inputs!$B$22+((C2659=TRUE)*(F2659-Calc!F23)),(Inputs!$B$23+((C2664=TRUE)*(F2664-Calc!F28))+(IF(ArtifactsInput!$M$15,CHOOSE(ArtifactsInput!$N$15+1,25,30,35,40,45,50)/100*(Inputs!$B$11-Inputs!$B$11),0))))/100+(Inputs!$B$23+((C2664=TRUE)*(F2664-Calc!F28))+(IF(ArtifactsInput!$M$15,CHOOSE(ArtifactsInput!$N$15+1,25,30,35,40,45,50)/100*(Inputs!$B$11-Inputs!$B$11),0)))/100)/2</f>
        <v/>
      </c>
      <c r="M2647">
        <f>L2647*(1+(Inputs!$B$10+0+B2673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647">
        <f>L2647*(1-MIN((Inputs!$B$9+((C2655=TRUE)*(F2655-Calc!F19))+B2668+(ArtifactsInput!$M$24-ArtifactsInput!$M$24)*CHOOSE(ArtifactsInput!$N$24+1,10,12,14,16,18,20)+(IF(AND(ArtifactsInput!$M$42,((Inputs!$B$9+((C2655=TRUE)*(F2655-Calc!F19))+B2668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2647*(MIN((Inputs!$B$9+((C2655=TRUE)*(F2655-Calc!F19))+B2668+(ArtifactsInput!$M$24-ArtifactsInput!$M$24)*CHOOSE(ArtifactsInput!$N$24+1,10,12,14,16,18,20)+(IF(AND(ArtifactsInput!$M$42,((Inputs!$B$9+((C2655=TRUE)*(F2655-Calc!F19))+B2668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647">
        <f>(1-Summary!$B$11)*T2647+Summary!$B$11*V2647</f>
        <v/>
      </c>
      <c r="P2647">
        <f>IF(B2678=0,0,O2647/B2678)</f>
        <v/>
      </c>
      <c r="Q2647">
        <f>IFERROR(1/IF(Inputs!$B$38="pvp",15,MAX(0.1,Skills!D11-IF(Skills!E11=TRUE,Inputs!$B$32,0))),0)</f>
        <v/>
      </c>
      <c r="R2647">
        <f>IF(AND(Inputs!$B$38&lt;&gt;"pvp",Inputs!$B$43&gt;0),IF(MAX(0,Inputs!$B$43-B2675)&lt;=0,0,(INT(MAX(0,Inputs!$B$43-B2675)/IF(Inputs!$B$38="pvp",15,MAX(0.1,Skills!D11-IF(Skills!E11=TRUE,Inputs!$B$32,0))))+1)),0)</f>
        <v/>
      </c>
      <c r="S2647">
        <f>IFERROR((H2647*N2647*IF(AND(Inputs!$B$38&lt;&gt;"pvp",Inputs!$B$43&gt;0),((Skills!G11*((R2647-1)*IF(Skills!H11&gt;0,Skills!I11/Skills!H11,1)+IF(Skills!H11&gt;0,MIN(Skills!I11,MAX(0,MAX(0,Inputs!$B$43-B2675)-((R2647-1)*IF(Inputs!$B$38="pvp",15,MAX(0.1,Skills!D11-IF(Skills!E11=TRUE,Inputs!$B$32,0))))))/Skills!H11,1)))/Inputs!$B$43),G2647*Q2647))/N2647*IF(Inputs!$B$38="pvp",1,(1-Summary!$B$11)*1+Summary!$B$11*(MIN(Skills!R11,Inputs!$B$37))),0)</f>
        <v/>
      </c>
      <c r="T2647">
        <f>IF(C2647,(H2647*N2647*IF(AND(Inputs!$B$38&lt;&gt;"pvp",Inputs!$B$43&gt;0),((Skills!G11*((R2647-1)*IF(Skills!H11&gt;0,Skills!I11/Skills!H11,1)+IF(Skills!H11&gt;0,MIN(Skills!I11,MAX(0,MAX(0,Inputs!$B$43-B2675)-((R2647-1)*IF(Inputs!$B$38="pvp",15,MAX(0.1,Skills!D11-IF(Skills!E11=TRUE,Inputs!$B$32,0))))))/Skills!H11,1)))/Inputs!$B$43),G2647*Q2647))*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Hunt"),CHOOSE(ArtifactsInput!$N$35+1,15,18,21,24,27,30)*(1-EXP(-(0.2*B2670)*5)),0)+IF(AND(ArtifactsInput!$M$22,Inputs!$B$4&lt;&gt;"Chapter Hunt"),CHOOSE(ArtifactsInput!$N$22+1,10,12,14,16,18,20)*((0*(((0.15*B2670*5))^0/1)+1*(((0.15*B2670*5))^1/1)+2*(((0.15*B2670*5))^2/2)+3*(((0.15*B2670*5))^3/6)+4*(((0.15*B2670*5))^4/24)+5*(((0.15*B2670*5))^5/120))/((((0.15*B2670*5))^0/1)+(((0.15*B2670*5))^1/1)+(((0.15*B2670*5))^2/2)+(((0.15*B2670*5))^3/6)+(((0.15*B2670*5))^4/24)+(((0.15*B2670*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2647*(1-MIN(100,(Inputs!$B$9+((C2655=TRUE)*(F2655-Calc!F19))+B2668+(ArtifactsInput!$M$24-ArtifactsInput!$M$24)*CHOOSE(ArtifactsInput!$N$24+1,10,12,14,16,18,20)+(IF(AND(ArtifactsInput!$M$42,((Inputs!$B$9+((C2655=TRUE)*(F2655-Calc!F19))+B2668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2647*(MIN(100,(Inputs!$B$9+((C2655=TRUE)*(F2655-Calc!F19))+B2668+(ArtifactsInput!$M$24-ArtifactsInput!$M$24)*CHOOSE(ArtifactsInput!$N$24+1,10,12,14,16,18,20)+(IF(AND(ArtifactsInput!$M$42,((Inputs!$B$9+((C2655=TRUE)*(F2655-Calc!F19))+B2668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2647*(1-MIN(100,(Inputs!$B$9+((C2655=TRUE)*(F2655-Calc!F19))+B2668+(ArtifactsInput!$M$24-ArtifactsInput!$M$24)*CHOOSE(ArtifactsInput!$N$24+1,10,12,14,16,18,20)+(IF(AND(ArtifactsInput!$M$42,((Inputs!$B$9+((C2655=TRUE)*(F2655-Calc!F19))+B2668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2647*(MIN(100,(Inputs!$B$9+((C2655=TRUE)*(F2655-Calc!F19))+B2668+(ArtifactsInput!$M$24-ArtifactsInput!$M$24)*CHOOSE(ArtifactsInput!$N$24+1,10,12,14,16,18,20)+(IF(AND(ArtifactsInput!$M$42,((Inputs!$B$9+((C2655=TRUE)*(F2655-Calc!F19))+B2668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647">
        <f>IF(C2647,(H2647*N2647*IF(AND(Inputs!$B$38&lt;&gt;"pvp",Inputs!$B$43&gt;0),((Skills!G11*((R2647-1)*IF(Skills!H11&gt;0,Skills!I11/Skills!H11,1)+IF(Skills!H11&gt;0,MIN(Skills!I11,MAX(0,MAX(0,Inputs!$B$43-B2675)-((R2647-1)*IF(Inputs!$B$38="pvp",15,MAX(0.1,Skills!D11-IF(Skills!E11=TRUE,Inputs!$B$32,0))))))/Skills!H11,1)))/Inputs!$B$43),G2647*Q2647))*IF(Inputs!$B$38="pvp",1,(1+(Inputs!$B$21+Skills!Q11+(IF(ArtifactsInput!$M$33,CHOOSE(ArtifactsInput!$N$33+1,30,36,42,48,54,60),0))+(IF(AND(ArtifactsInput!$M$35,Inputs!$B$4&lt;&gt;"Chapter Hunt"),CHOOSE(ArtifactsInput!$N$35+1,15,18,21,24,27,30)*(1-EXP(-(0.2*B2670)*5)),0)+IF(AND(ArtifactsInput!$M$22,Inputs!$B$4&lt;&gt;"Chapter Hunt"),CHOOSE(ArtifactsInput!$N$22+1,10,12,14,16,18,20)*((0*(((0.15*B2670*5))^0/1)+1*(((0.15*B2670*5))^1/1)+2*(((0.15*B2670*5))^2/2)+3*(((0.15*B2670*5))^3/6)+4*(((0.15*B2670*5))^4/24)+5*(((0.15*B2670*5))^5/120))/((((0.15*B2670*5))^0/1)+(((0.15*B2670*5))^1/1)+(((0.15*B2670*5))^2/2)+(((0.15*B2670*5))^3/6)+(((0.15*B2670*5))^4/24)+(((0.15*B2670*5))^5/120))),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648">
      <c r="A2648">
        <f>Skills!A12</f>
        <v/>
      </c>
      <c r="B2648">
        <f>Skills!B12</f>
        <v/>
      </c>
      <c r="C2648">
        <f>Inputs!$B$3&gt;=60</f>
        <v/>
      </c>
      <c r="D2648">
        <f>IF(Skills!C12=1,60+Inputs!$B$25+Inputs!$B$29,IF(Skills!C12=2,90+Inputs!$B$26+Inputs!$B$29,IF(Skills!C12=3,120+Inputs!$B$27+Inputs!$B$29,MAX(0,(Inputs!$B$3-100)*3)+Inputs!$B$28+Inputs!$B$29)))</f>
        <v/>
      </c>
      <c r="E2648">
        <f>INDEX(FactorTable!$B$2:$Y$301, MATCH(ROUND(MIN(300,MAX(1,D2648)),0), FactorTable!$A$2:$A$301,0), Skills!M12+1)</f>
        <v/>
      </c>
      <c r="F2648">
        <f>IF(Skills!N12=TRUE,(Skills!L12/10)*(E2648/1000),Skills!L12/10)+Skills!O12</f>
        <v/>
      </c>
      <c r="G2648">
        <f>Skills!G12*IF(Skills!H12&gt;0,Skills!I12/Skills!H12,1)</f>
        <v/>
      </c>
      <c r="H2648">
        <f>1-(1-Skills!J12/100)^Skills!K12</f>
        <v/>
      </c>
      <c r="I2648" t="inlineStr">
        <is>
          <t>1</t>
        </is>
      </c>
      <c r="J2648" t="inlineStr"/>
      <c r="K2648" t="inlineStr"/>
      <c r="L2648" t="inlineStr"/>
      <c r="M2648" t="inlineStr"/>
      <c r="N2648" t="inlineStr"/>
      <c r="O2648">
        <f>(1-Summary!$B$11)*T2648+Summary!$B$11*V2648</f>
        <v/>
      </c>
      <c r="P2648">
        <f>IF(B2678=0,0,O2648/B2678)</f>
        <v/>
      </c>
      <c r="Q2648" t="n">
        <v>0</v>
      </c>
      <c r="R2648" t="n">
        <v>0</v>
      </c>
      <c r="S2648" t="n">
        <v>0</v>
      </c>
      <c r="T2648" t="n">
        <v>0</v>
      </c>
      <c r="V2648" t="n">
        <v>0</v>
      </c>
    </row>
    <row r="2649">
      <c r="A2649">
        <f>Skills!A13</f>
        <v/>
      </c>
      <c r="B2649">
        <f>Skills!B13</f>
        <v/>
      </c>
      <c r="C2649">
        <f>Inputs!$B$3&gt;=74</f>
        <v/>
      </c>
      <c r="D2649">
        <f>IF(Skills!C13=1,60+Inputs!$B$25+Inputs!$B$29,IF(Skills!C13=2,90+Inputs!$B$26+Inputs!$B$29,IF(Skills!C13=3,120+Inputs!$B$27+Inputs!$B$29,MAX(0,(Inputs!$B$3-100)*3)+Inputs!$B$28+Inputs!$B$29)))</f>
        <v/>
      </c>
      <c r="E2649">
        <f>INDEX(FactorTable!$B$2:$Y$301, MATCH(ROUND(MIN(300,MAX(1,D2649)),0), FactorTable!$A$2:$A$301,0), Skills!M13+1)</f>
        <v/>
      </c>
      <c r="F2649">
        <f>IF(Skills!N13=TRUE,(Skills!L13/10)*(E2649/1000),Skills!L13/10)+Skills!O13</f>
        <v/>
      </c>
      <c r="G2649">
        <f>Skills!G13*IF(Skills!H13&gt;0,Skills!I13/Skills!H13,1)</f>
        <v/>
      </c>
      <c r="H2649">
        <f>1-(1-Skills!J13/100)^Skills!K13</f>
        <v/>
      </c>
      <c r="I2649" t="inlineStr">
        <is>
          <t>1</t>
        </is>
      </c>
      <c r="J2649" t="inlineStr"/>
      <c r="K2649" t="inlineStr"/>
      <c r="L2649" t="inlineStr"/>
      <c r="M2649" t="inlineStr"/>
      <c r="N2649" t="inlineStr"/>
      <c r="O2649">
        <f>(1-Summary!$B$11)*T2649+Summary!$B$11*V2649</f>
        <v/>
      </c>
      <c r="P2649">
        <f>IF(B2678=0,0,O2649/B2678)</f>
        <v/>
      </c>
      <c r="Q2649" t="n">
        <v>0</v>
      </c>
      <c r="R2649" t="n">
        <v>0</v>
      </c>
      <c r="S2649" t="n">
        <v>0</v>
      </c>
      <c r="T2649" t="n">
        <v>0</v>
      </c>
      <c r="V2649" t="n">
        <v>0</v>
      </c>
    </row>
    <row r="2650">
      <c r="A2650">
        <f>Skills!A14</f>
        <v/>
      </c>
      <c r="B2650">
        <f>Skills!B14</f>
        <v/>
      </c>
      <c r="C2650">
        <f>Inputs!$B$3&gt;=74</f>
        <v/>
      </c>
      <c r="D2650">
        <f>IF(Skills!C14=1,60+Inputs!$B$25+Inputs!$B$29,IF(Skills!C14=2,90+Inputs!$B$26+Inputs!$B$29,IF(Skills!C14=3,120+Inputs!$B$27+Inputs!$B$29,MAX(0,(Inputs!$B$3-100)*3)+Inputs!$B$28+Inputs!$B$29)))</f>
        <v/>
      </c>
      <c r="E2650">
        <f>INDEX(FactorTable!$B$2:$Y$301, MATCH(ROUND(MIN(300,MAX(1,D2650)),0), FactorTable!$A$2:$A$301,0), Skills!M14+1)</f>
        <v/>
      </c>
      <c r="F2650">
        <f>IF(Skills!N14=TRUE,(Skills!L14/10)*(E2650/1000),Skills!L14/10)+Skills!O14</f>
        <v/>
      </c>
      <c r="G2650">
        <f>Skills!G14*IF(Skills!H14&gt;0,Skills!I14/Skills!H14,1)</f>
        <v/>
      </c>
      <c r="H2650">
        <f>1-(1-Skills!J14/100)^Skills!K14</f>
        <v/>
      </c>
      <c r="I2650" t="inlineStr">
        <is>
          <t>1</t>
        </is>
      </c>
      <c r="J2650" t="inlineStr"/>
      <c r="K2650" t="inlineStr"/>
      <c r="L2650" t="inlineStr"/>
      <c r="M2650" t="inlineStr"/>
      <c r="N2650" t="inlineStr"/>
      <c r="O2650">
        <f>(1-Summary!$B$11)*T2650+Summary!$B$11*V2650</f>
        <v/>
      </c>
      <c r="P2650">
        <f>IF(B2678=0,0,O2650/B2678)</f>
        <v/>
      </c>
      <c r="Q2650" t="n">
        <v>0</v>
      </c>
      <c r="R2650" t="n">
        <v>0</v>
      </c>
      <c r="S2650" t="n">
        <v>0</v>
      </c>
      <c r="T2650" t="n">
        <v>0</v>
      </c>
      <c r="V2650" t="n">
        <v>0</v>
      </c>
    </row>
    <row r="2651">
      <c r="A2651">
        <f>Skills!A15</f>
        <v/>
      </c>
      <c r="B2651">
        <f>Skills!B15</f>
        <v/>
      </c>
      <c r="C2651">
        <f>Inputs!$B$3&gt;=117</f>
        <v/>
      </c>
      <c r="D2651">
        <f>IF(Skills!C15=1,60+Inputs!$B$25+Inputs!$B$29,IF(Skills!C15=2,90+Inputs!$B$26+Inputs!$B$29,IF(Skills!C15=3,120+Inputs!$B$27+Inputs!$B$29,MAX(0,(Inputs!$B$3-100)*3)+Inputs!$B$28+Inputs!$B$29)))</f>
        <v/>
      </c>
      <c r="E2651">
        <f>INDEX(FactorTable!$B$2:$Y$301, MATCH(ROUND(MIN(300,MAX(1,D2651)),0), FactorTable!$A$2:$A$301,0), Skills!M15+1)</f>
        <v/>
      </c>
      <c r="F2651">
        <f>IF(Skills!N15=TRUE,(Skills!L15/10)*(E2651/1000),Skills!L15/10)+Skills!O15</f>
        <v/>
      </c>
      <c r="G2651">
        <f>Skills!G15*IF(Skills!H15&gt;0,Skills!I15/Skills!H15,1)</f>
        <v/>
      </c>
      <c r="H2651">
        <f>1-(1-Skills!J15/100)^Skills!K15</f>
        <v/>
      </c>
      <c r="I2651" t="inlineStr">
        <is>
          <t>1</t>
        </is>
      </c>
      <c r="J2651" t="inlineStr"/>
      <c r="K2651" t="inlineStr"/>
      <c r="L2651" t="inlineStr"/>
      <c r="M2651" t="inlineStr"/>
      <c r="N2651" t="inlineStr"/>
      <c r="O2651">
        <f>(1-Summary!$B$11)*T2651+Summary!$B$11*V2651</f>
        <v/>
      </c>
      <c r="P2651">
        <f>IF(B2678=0,0,O2651/B2678)</f>
        <v/>
      </c>
      <c r="Q2651">
        <f>IFERROR(1/IF(Inputs!$B$38="pvp",15,MAX(0.1,Skills!D15-IF(Skills!E15=TRUE,Inputs!$B$32,0))),0)</f>
        <v/>
      </c>
      <c r="R2651">
        <f>IF(AND(Inputs!$B$38&lt;&gt;"pvp",Inputs!$B$43&gt;0),IF(Inputs!$B$43&lt;=0,0,(INT(Inputs!$B$43/IF(Inputs!$B$38="pvp",15,MAX(0.1,Skills!D15-IF(Skills!E15=TRUE,Inputs!$B$32,0))))+1)),0)</f>
        <v/>
      </c>
      <c r="S2651" t="n">
        <v>0</v>
      </c>
      <c r="T2651" t="n">
        <v>0</v>
      </c>
      <c r="V2651" t="n">
        <v>0</v>
      </c>
    </row>
    <row r="2652">
      <c r="A2652">
        <f>Skills!A16</f>
        <v/>
      </c>
      <c r="B2652">
        <f>Skills!B16</f>
        <v/>
      </c>
      <c r="C2652">
        <f>Inputs!$B$3&gt;=115</f>
        <v/>
      </c>
      <c r="D2652">
        <f>IF(Skills!C16=1,60+Inputs!$B$25+Inputs!$B$29,IF(Skills!C16=2,90+Inputs!$B$26+Inputs!$B$29,IF(Skills!C16=3,120+Inputs!$B$27+Inputs!$B$29,MAX(0,(Inputs!$B$3-100)*3)+Inputs!$B$28+Inputs!$B$29)))</f>
        <v/>
      </c>
      <c r="E2652">
        <f>INDEX(FactorTable!$B$2:$Y$301, MATCH(ROUND(MIN(300,MAX(1,D2652)),0), FactorTable!$A$2:$A$301,0), Skills!M16+1)</f>
        <v/>
      </c>
      <c r="F2652">
        <f>IF(Skills!N16=TRUE,(Skills!L16/10)*(E2652/1000),Skills!L16/10)+Skills!O16</f>
        <v/>
      </c>
      <c r="G2652">
        <f>Skills!G16*IF(Skills!H16&gt;0,Skills!I16/Skills!H16,1)</f>
        <v/>
      </c>
      <c r="H2652">
        <f>1-(1-Skills!J16/100)^Skills!K16</f>
        <v/>
      </c>
      <c r="I2652" t="inlineStr">
        <is>
          <t>1</t>
        </is>
      </c>
      <c r="J2652" t="inlineStr"/>
      <c r="K2652" t="inlineStr"/>
      <c r="L2652" t="inlineStr"/>
      <c r="M2652" t="inlineStr"/>
      <c r="N2652" t="inlineStr"/>
      <c r="O2652">
        <f>(1-Summary!$B$11)*T2652+Summary!$B$11*V2652</f>
        <v/>
      </c>
      <c r="P2652">
        <f>IF(B2678=0,0,O2652/B2678)</f>
        <v/>
      </c>
      <c r="Q2652">
        <f>IFERROR(1/IF(Inputs!$B$38="pvp",15,MAX(0.1,Skills!D16-IF(Skills!E16=TRUE,Inputs!$B$32,0))),0)</f>
        <v/>
      </c>
      <c r="R2652">
        <f>IF(AND(Inputs!$B$38&lt;&gt;"pvp",Inputs!$B$43&gt;0),IF(Inputs!$B$43&lt;=0,0,(INT(Inputs!$B$43/IF(Inputs!$B$38="pvp",15,MAX(0.1,Skills!D16-IF(Skills!E16=TRUE,Inputs!$B$32,0))))+1)),0)</f>
        <v/>
      </c>
      <c r="S2652" t="n">
        <v>0</v>
      </c>
      <c r="T2652" t="n">
        <v>0</v>
      </c>
      <c r="V2652" t="n">
        <v>0</v>
      </c>
    </row>
    <row r="2653">
      <c r="A2653">
        <f>Skills!A17</f>
        <v/>
      </c>
      <c r="B2653">
        <f>Skills!B17</f>
        <v/>
      </c>
      <c r="C2653">
        <f>Inputs!$B$3&gt;=72</f>
        <v/>
      </c>
      <c r="D2653">
        <f>IF(Skills!C17=1,60+Inputs!$B$25+Inputs!$B$29,IF(Skills!C17=2,90+Inputs!$B$26+Inputs!$B$29,IF(Skills!C17=3,120+Inputs!$B$27+Inputs!$B$29,MAX(0,(Inputs!$B$3-100)*3)+Inputs!$B$28+Inputs!$B$29)))</f>
        <v/>
      </c>
      <c r="E2653">
        <f>INDEX(FactorTable!$B$2:$Y$301, MATCH(ROUND(MIN(300,MAX(1,D2653)),0), FactorTable!$A$2:$A$301,0), Skills!M17+1)</f>
        <v/>
      </c>
      <c r="F2653">
        <f>IF(Skills!N17=TRUE,(Skills!L17/10)*(E2653/1000),Skills!L17/10)+Skills!O17</f>
        <v/>
      </c>
      <c r="G2653">
        <f>Skills!G17*IF(Skills!H17&gt;0,Skills!I17/Skills!H17,1)</f>
        <v/>
      </c>
      <c r="H2653">
        <f>1-(1-Skills!J17/100)^Skills!K17</f>
        <v/>
      </c>
      <c r="I2653" t="inlineStr">
        <is>
          <t>1</t>
        </is>
      </c>
      <c r="J2653" t="inlineStr"/>
      <c r="K2653" t="inlineStr"/>
      <c r="L2653" t="inlineStr"/>
      <c r="M2653" t="inlineStr"/>
      <c r="N2653" t="inlineStr"/>
      <c r="O2653">
        <f>(1-Summary!$B$11)*T2653+Summary!$B$11*V2653</f>
        <v/>
      </c>
      <c r="P2653">
        <f>IF(B2678=0,0,O2653/B2678)</f>
        <v/>
      </c>
      <c r="Q2653" t="n">
        <v>0</v>
      </c>
      <c r="R2653" t="n">
        <v>0</v>
      </c>
      <c r="S2653" t="n">
        <v>0</v>
      </c>
      <c r="T2653" t="n">
        <v>0</v>
      </c>
      <c r="V2653" t="n">
        <v>0</v>
      </c>
    </row>
    <row r="2654">
      <c r="A2654">
        <f>Skills!A18</f>
        <v/>
      </c>
      <c r="B2654">
        <f>Skills!B18</f>
        <v/>
      </c>
      <c r="C2654">
        <f>TRUE</f>
        <v/>
      </c>
      <c r="D2654">
        <f>IF(Skills!C18=1,60+Inputs!$B$25+Inputs!$B$29,IF(Skills!C18=2,90+Inputs!$B$26+Inputs!$B$29,IF(Skills!C18=3,120+Inputs!$B$27+Inputs!$B$29,MAX(0,(Inputs!$B$3-100)*3)+Inputs!$B$28+Inputs!$B$29)))</f>
        <v/>
      </c>
      <c r="E2654">
        <f>INDEX(FactorTable!$B$2:$Y$301, MATCH(ROUND(MIN(300,MAX(1,D2654)),0), FactorTable!$A$2:$A$301,0), Skills!M18+1)</f>
        <v/>
      </c>
      <c r="F2654">
        <f>IF(Skills!N18=TRUE,(Skills!L18/10)*(E2654/1000),Skills!L18/10)+Skills!O18</f>
        <v/>
      </c>
      <c r="G2654">
        <f>Skills!G18*IF(Skills!H18&gt;0,Skills!I18/Skills!H18,1)</f>
        <v/>
      </c>
      <c r="H2654">
        <f>1-(1-Skills!J18/100)^Skills!K18</f>
        <v/>
      </c>
      <c r="I2654" t="inlineStr">
        <is>
          <t>1</t>
        </is>
      </c>
      <c r="J2654" t="inlineStr"/>
      <c r="K2654" t="inlineStr"/>
      <c r="L2654" t="inlineStr"/>
      <c r="M2654" t="inlineStr"/>
      <c r="N2654" t="inlineStr"/>
      <c r="O2654">
        <f>(1-Summary!$B$11)*T2654+Summary!$B$11*V2654</f>
        <v/>
      </c>
      <c r="P2654">
        <f>IF(B2678=0,0,O2654/B2678)</f>
        <v/>
      </c>
      <c r="Q2654">
        <f>IFERROR(1/IF(Inputs!$B$38="pvp",15,MAX(0.1,Skills!D18-IF(Skills!E18=TRUE,Inputs!$B$32,0))),0)</f>
        <v/>
      </c>
      <c r="R2654">
        <f>IF(AND(Inputs!$B$38&lt;&gt;"pvp",Inputs!$B$43&gt;0),IF(Inputs!$B$43&lt;=0,0,(INT(Inputs!$B$43/IF(Inputs!$B$38="pvp",15,MAX(0.1,Skills!D18-IF(Skills!E18=TRUE,Inputs!$B$32,0))))+1)),0)</f>
        <v/>
      </c>
      <c r="S2654" t="n">
        <v>0</v>
      </c>
      <c r="T2654" t="n">
        <v>0</v>
      </c>
      <c r="V2654" t="n">
        <v>0</v>
      </c>
    </row>
    <row r="2655">
      <c r="A2655">
        <f>Skills!A19</f>
        <v/>
      </c>
      <c r="B2655">
        <f>Skills!B19</f>
        <v/>
      </c>
      <c r="C2655">
        <f>Inputs!$B$3&gt;=15</f>
        <v/>
      </c>
      <c r="D2655">
        <f>IF(Skills!C19=1,60+Inputs!$B$25+Inputs!$B$29,IF(Skills!C19=2,90+Inputs!$B$26+Inputs!$B$29,IF(Skills!C19=3,120+Inputs!$B$27+Inputs!$B$29,MAX(0,(Inputs!$B$3-100)*3)+Inputs!$B$28+Inputs!$B$29)))</f>
        <v/>
      </c>
      <c r="E2655">
        <f>INDEX(FactorTable!$B$2:$Y$301, MATCH(ROUND(MIN(300,MAX(1,D2655)),0), FactorTable!$A$2:$A$301,0), Skills!M19+1)</f>
        <v/>
      </c>
      <c r="F2655">
        <f>IF(Skills!N19=TRUE,(Skills!L19/10)*(E2655/1000),Skills!L19/10)+Skills!O19</f>
        <v/>
      </c>
      <c r="G2655">
        <f>Skills!G19*IF(Skills!H19&gt;0,Skills!I19/Skills!H19,1)</f>
        <v/>
      </c>
      <c r="H2655">
        <f>1-(1-Skills!J19/100)^Skills!K19</f>
        <v/>
      </c>
      <c r="I2655" t="inlineStr">
        <is>
          <t>1</t>
        </is>
      </c>
      <c r="J2655" t="inlineStr"/>
      <c r="K2655" t="inlineStr"/>
      <c r="L2655" t="inlineStr"/>
      <c r="M2655" t="inlineStr"/>
      <c r="N2655" t="inlineStr"/>
      <c r="O2655">
        <f>(1-Summary!$B$11)*T2655+Summary!$B$11*V2655</f>
        <v/>
      </c>
      <c r="P2655">
        <f>IF(B2678=0,0,O2655/B2678)</f>
        <v/>
      </c>
      <c r="Q2655" t="n">
        <v>0</v>
      </c>
      <c r="R2655" t="n">
        <v>0</v>
      </c>
      <c r="S2655" t="n">
        <v>0</v>
      </c>
      <c r="T2655" t="n">
        <v>0</v>
      </c>
      <c r="V2655" t="n">
        <v>0</v>
      </c>
    </row>
    <row r="2656">
      <c r="A2656">
        <f>Skills!A20</f>
        <v/>
      </c>
      <c r="B2656">
        <f>Skills!B20</f>
        <v/>
      </c>
      <c r="C2656">
        <f>Inputs!$B$3&gt;=10</f>
        <v/>
      </c>
      <c r="D2656">
        <f>IF(Skills!C20=1,60+Inputs!$B$25+Inputs!$B$29,IF(Skills!C20=2,90+Inputs!$B$26+Inputs!$B$29,IF(Skills!C20=3,120+Inputs!$B$27+Inputs!$B$29,MAX(0,(Inputs!$B$3-100)*3)+Inputs!$B$28+Inputs!$B$29)))</f>
        <v/>
      </c>
      <c r="E2656">
        <f>INDEX(FactorTable!$B$2:$Y$301, MATCH(ROUND(MIN(300,MAX(1,D2656)),0), FactorTable!$A$2:$A$301,0), Skills!M20+1)</f>
        <v/>
      </c>
      <c r="F2656">
        <f>IF(Skills!N20=TRUE,(Skills!L20/10)*(E2656/1000),Skills!L20/10)+Skills!O20</f>
        <v/>
      </c>
      <c r="G2656">
        <f>Skills!G20*IF(Skills!H20&gt;0,Skills!I20/Skills!H20,1)</f>
        <v/>
      </c>
      <c r="H2656">
        <f>1-(1-Skills!J20/100)^Skills!K20</f>
        <v/>
      </c>
      <c r="I2656" t="inlineStr">
        <is>
          <t>1</t>
        </is>
      </c>
      <c r="J2656" t="inlineStr"/>
      <c r="K2656" t="inlineStr"/>
      <c r="L2656" t="inlineStr"/>
      <c r="M2656" t="inlineStr"/>
      <c r="N2656" t="inlineStr"/>
      <c r="O2656">
        <f>(1-Summary!$B$11)*T2656+Summary!$B$11*V2656</f>
        <v/>
      </c>
      <c r="P2656">
        <f>IF(B2678=0,0,O2656/B2678)</f>
        <v/>
      </c>
      <c r="Q2656" t="n">
        <v>0</v>
      </c>
      <c r="R2656" t="n">
        <v>0</v>
      </c>
      <c r="S2656" t="n">
        <v>0</v>
      </c>
      <c r="T2656" t="n">
        <v>0</v>
      </c>
      <c r="V2656" t="n">
        <v>0</v>
      </c>
    </row>
    <row r="2657">
      <c r="A2657">
        <f>Skills!A21</f>
        <v/>
      </c>
      <c r="B2657">
        <f>Skills!B21</f>
        <v/>
      </c>
      <c r="C2657">
        <f>Inputs!$B$3&gt;=33</f>
        <v/>
      </c>
      <c r="D2657">
        <f>IF(Skills!C21=1,60+Inputs!$B$25+Inputs!$B$29,IF(Skills!C21=2,90+Inputs!$B$26+Inputs!$B$29,IF(Skills!C21=3,120+Inputs!$B$27+Inputs!$B$29,MAX(0,(Inputs!$B$3-100)*3)+Inputs!$B$28+Inputs!$B$29)))</f>
        <v/>
      </c>
      <c r="E2657">
        <f>INDEX(FactorTable!$B$2:$Y$301, MATCH(ROUND(MIN(300,MAX(1,D2657)),0), FactorTable!$A$2:$A$301,0), Skills!M21+1)</f>
        <v/>
      </c>
      <c r="F2657">
        <f>IF(Skills!N21=TRUE,(Skills!L21/10)*(E2657/1000),Skills!L21/10)+Skills!O21</f>
        <v/>
      </c>
      <c r="G2657">
        <f>Skills!G21*IF(Skills!H21&gt;0,Skills!I21/Skills!H21,1)</f>
        <v/>
      </c>
      <c r="H2657">
        <f>1-(1-Skills!J21/100)^Skills!K21</f>
        <v/>
      </c>
      <c r="I2657" t="inlineStr">
        <is>
          <t>1</t>
        </is>
      </c>
      <c r="J2657" t="inlineStr"/>
      <c r="K2657" t="inlineStr"/>
      <c r="L2657" t="inlineStr"/>
      <c r="M2657" t="inlineStr"/>
      <c r="N2657" t="inlineStr"/>
      <c r="O2657">
        <f>(1-Summary!$B$11)*T2657+Summary!$B$11*V2657</f>
        <v/>
      </c>
      <c r="P2657">
        <f>IF(B2678=0,0,O2657/B2678)</f>
        <v/>
      </c>
      <c r="Q2657" t="n">
        <v>0</v>
      </c>
      <c r="R2657" t="n">
        <v>0</v>
      </c>
      <c r="S2657" t="n">
        <v>0</v>
      </c>
      <c r="T2657" t="n">
        <v>0</v>
      </c>
      <c r="V2657" t="n">
        <v>0</v>
      </c>
    </row>
    <row r="2658">
      <c r="A2658">
        <f>Skills!A22</f>
        <v/>
      </c>
      <c r="B2658">
        <f>Skills!B22</f>
        <v/>
      </c>
      <c r="C2658">
        <f>Inputs!$B$3&gt;=38</f>
        <v/>
      </c>
      <c r="D2658">
        <f>IF(Skills!C22=1,60+Inputs!$B$25+Inputs!$B$29,IF(Skills!C22=2,90+Inputs!$B$26+Inputs!$B$29,IF(Skills!C22=3,120+Inputs!$B$27+Inputs!$B$29,MAX(0,(Inputs!$B$3-100)*3)+Inputs!$B$28+Inputs!$B$29)))</f>
        <v/>
      </c>
      <c r="E2658">
        <f>INDEX(FactorTable!$B$2:$Y$301, MATCH(ROUND(MIN(300,MAX(1,D2658)),0), FactorTable!$A$2:$A$301,0), Skills!M22+1)</f>
        <v/>
      </c>
      <c r="F2658">
        <f>IF(Skills!N22=TRUE,(Skills!L22/10)*(E2658/1000),Skills!L22/10)+Skills!O22</f>
        <v/>
      </c>
      <c r="G2658">
        <f>Skills!G22*IF(Skills!H22&gt;0,Skills!I22/Skills!H22,1)</f>
        <v/>
      </c>
      <c r="H2658">
        <f>1-(1-Skills!J22/100)^Skills!K22</f>
        <v/>
      </c>
      <c r="I2658" t="inlineStr">
        <is>
          <t>1</t>
        </is>
      </c>
      <c r="J2658" t="inlineStr"/>
      <c r="K2658" t="inlineStr"/>
      <c r="L2658" t="inlineStr"/>
      <c r="M2658" t="inlineStr"/>
      <c r="N2658" t="inlineStr"/>
      <c r="O2658">
        <f>(1-Summary!$B$11)*T2658+Summary!$B$11*V2658</f>
        <v/>
      </c>
      <c r="P2658">
        <f>IF(B2678=0,0,O2658/B2678)</f>
        <v/>
      </c>
      <c r="Q2658" t="n">
        <v>0</v>
      </c>
      <c r="R2658" t="n">
        <v>0</v>
      </c>
      <c r="S2658" t="n">
        <v>0</v>
      </c>
      <c r="T2658" t="n">
        <v>0</v>
      </c>
      <c r="V2658" t="n">
        <v>0</v>
      </c>
    </row>
    <row r="2659">
      <c r="A2659">
        <f>Skills!A23</f>
        <v/>
      </c>
      <c r="B2659">
        <f>Skills!B23</f>
        <v/>
      </c>
      <c r="C2659">
        <f>Inputs!$B$3&gt;=43</f>
        <v/>
      </c>
      <c r="D2659">
        <f>IF(Skills!C23=1,60+Inputs!$B$25+Inputs!$B$29,IF(Skills!C23=2,90+Inputs!$B$26+Inputs!$B$29,IF(Skills!C23=3,120+Inputs!$B$27+Inputs!$B$29,MAX(0,(Inputs!$B$3-100)*3)+Inputs!$B$28+Inputs!$B$29)))</f>
        <v/>
      </c>
      <c r="E2659">
        <f>INDEX(FactorTable!$B$2:$Y$301, MATCH(ROUND(MIN(300,MAX(1,D2659)),0), FactorTable!$A$2:$A$301,0), Skills!M23+1)</f>
        <v/>
      </c>
      <c r="F2659">
        <f>IF(Skills!N23=TRUE,(Skills!L23/10)*(E2659/1000),Skills!L23/10)+Skills!O23</f>
        <v/>
      </c>
      <c r="G2659">
        <f>Skills!G23*IF(Skills!H23&gt;0,Skills!I23/Skills!H23,1)</f>
        <v/>
      </c>
      <c r="H2659">
        <f>1-(1-Skills!J23/100)^Skills!K23</f>
        <v/>
      </c>
      <c r="I2659" t="inlineStr">
        <is>
          <t>1</t>
        </is>
      </c>
      <c r="J2659" t="inlineStr"/>
      <c r="K2659" t="inlineStr"/>
      <c r="L2659" t="inlineStr"/>
      <c r="M2659" t="inlineStr"/>
      <c r="N2659" t="inlineStr"/>
      <c r="O2659">
        <f>(1-Summary!$B$11)*T2659+Summary!$B$11*V2659</f>
        <v/>
      </c>
      <c r="P2659">
        <f>IF(B2678=0,0,O2659/B2678)</f>
        <v/>
      </c>
      <c r="Q2659" t="n">
        <v>0</v>
      </c>
      <c r="R2659" t="n">
        <v>0</v>
      </c>
      <c r="S2659" t="n">
        <v>0</v>
      </c>
      <c r="T2659" t="n">
        <v>0</v>
      </c>
      <c r="V2659" t="n">
        <v>0</v>
      </c>
    </row>
    <row r="2660">
      <c r="A2660">
        <f>Skills!A24</f>
        <v/>
      </c>
      <c r="B2660">
        <f>Skills!B24</f>
        <v/>
      </c>
      <c r="C2660">
        <f>Inputs!$B$3&gt;=75</f>
        <v/>
      </c>
      <c r="D2660">
        <f>IF(Skills!C24=1,60+Inputs!$B$25+Inputs!$B$29,IF(Skills!C24=2,90+Inputs!$B$26+Inputs!$B$29,IF(Skills!C24=3,120+Inputs!$B$27+Inputs!$B$29,MAX(0,(Inputs!$B$3-100)*3)+Inputs!$B$28+Inputs!$B$29)))</f>
        <v/>
      </c>
      <c r="E2660">
        <f>INDEX(FactorTable!$B$2:$Y$301, MATCH(ROUND(MIN(300,MAX(1,D2660)),0), FactorTable!$A$2:$A$301,0), Skills!M24+1)</f>
        <v/>
      </c>
      <c r="F2660">
        <f>IF(Skills!N24=TRUE,(Skills!L24/10)*(E2660/1000),Skills!L24/10)+Skills!O24</f>
        <v/>
      </c>
      <c r="G2660">
        <f>Skills!G24*IF(Skills!H24&gt;0,Skills!I24/Skills!H24,1)</f>
        <v/>
      </c>
      <c r="H2660">
        <f>1-(1-Skills!J24/100)^Skills!K24</f>
        <v/>
      </c>
      <c r="I2660" t="inlineStr">
        <is>
          <t>1</t>
        </is>
      </c>
      <c r="J2660" t="inlineStr"/>
      <c r="K2660" t="inlineStr"/>
      <c r="L2660" t="inlineStr"/>
      <c r="M2660" t="inlineStr"/>
      <c r="N2660" t="inlineStr"/>
      <c r="O2660">
        <f>(1-Summary!$B$11)*T2660+Summary!$B$11*V2660</f>
        <v/>
      </c>
      <c r="P2660">
        <f>IF(B2678=0,0,O2660/B2678)</f>
        <v/>
      </c>
      <c r="Q2660" t="n">
        <v>0</v>
      </c>
      <c r="R2660" t="n">
        <v>0</v>
      </c>
      <c r="S2660" t="n">
        <v>0</v>
      </c>
      <c r="T2660" t="n">
        <v>0</v>
      </c>
      <c r="V2660" t="n">
        <v>0</v>
      </c>
    </row>
    <row r="2661">
      <c r="A2661">
        <f>Skills!A25</f>
        <v/>
      </c>
      <c r="B2661">
        <f>Skills!B25</f>
        <v/>
      </c>
      <c r="C2661">
        <f>Inputs!$B$3&gt;=125</f>
        <v/>
      </c>
      <c r="D2661">
        <f>IF(Skills!C25=1,60+Inputs!$B$25+Inputs!$B$29,IF(Skills!C25=2,90+Inputs!$B$26+Inputs!$B$29,IF(Skills!C25=3,120+Inputs!$B$27+Inputs!$B$29,MAX(0,(Inputs!$B$3-100)*3)+Inputs!$B$28+Inputs!$B$29)))</f>
        <v/>
      </c>
      <c r="E2661">
        <f>INDEX(FactorTable!$B$2:$Y$301, MATCH(ROUND(MIN(300,MAX(1,D2661)),0), FactorTable!$A$2:$A$301,0), Skills!M25+1)</f>
        <v/>
      </c>
      <c r="F2661">
        <f>IF(Skills!N25=TRUE,(Skills!L25/10)*(E2661/1000),Skills!L25/10)+Skills!O25</f>
        <v/>
      </c>
      <c r="G2661">
        <f>Skills!G25*IF(Skills!H25&gt;0,Skills!I25/Skills!H25,1)</f>
        <v/>
      </c>
      <c r="H2661">
        <f>1-(1-Skills!J25/100)^Skills!K25</f>
        <v/>
      </c>
      <c r="I2661" t="inlineStr">
        <is>
          <t>1</t>
        </is>
      </c>
      <c r="J2661" t="inlineStr"/>
      <c r="K2661" t="inlineStr"/>
      <c r="L2661" t="inlineStr"/>
      <c r="M2661" t="inlineStr"/>
      <c r="N2661" t="inlineStr"/>
      <c r="O2661">
        <f>(1-Summary!$B$11)*T2661+Summary!$B$11*V2661</f>
        <v/>
      </c>
      <c r="P2661">
        <f>IF(B2678=0,0,O2661/B2678)</f>
        <v/>
      </c>
      <c r="Q2661" t="n">
        <v>0</v>
      </c>
      <c r="R2661" t="n">
        <v>0</v>
      </c>
      <c r="S2661" t="n">
        <v>0</v>
      </c>
      <c r="T2661" t="n">
        <v>0</v>
      </c>
      <c r="V2661" t="n">
        <v>0</v>
      </c>
    </row>
    <row r="2662">
      <c r="A2662">
        <f>Skills!A26</f>
        <v/>
      </c>
      <c r="B2662">
        <f>Skills!B26</f>
        <v/>
      </c>
      <c r="C2662">
        <f>Inputs!$B$3&gt;=125</f>
        <v/>
      </c>
      <c r="D2662">
        <f>IF(Skills!C26=1,60+Inputs!$B$25+Inputs!$B$29,IF(Skills!C26=2,90+Inputs!$B$26+Inputs!$B$29,IF(Skills!C26=3,120+Inputs!$B$27+Inputs!$B$29,MAX(0,(Inputs!$B$3-100)*3)+Inputs!$B$28+Inputs!$B$29)))</f>
        <v/>
      </c>
      <c r="E2662">
        <f>INDEX(FactorTable!$B$2:$Y$301, MATCH(ROUND(MIN(300,MAX(1,D2662)),0), FactorTable!$A$2:$A$301,0), Skills!M26+1)</f>
        <v/>
      </c>
      <c r="F2662">
        <f>IF(Skills!N26=TRUE,(Skills!L26/10)*(E2662/1000),Skills!L26/10)+Skills!O26</f>
        <v/>
      </c>
      <c r="G2662">
        <f>Skills!G26*IF(Skills!H26&gt;0,Skills!I26/Skills!H26,1)</f>
        <v/>
      </c>
      <c r="H2662">
        <f>1-(1-Skills!J26/100)^Skills!K26</f>
        <v/>
      </c>
      <c r="I2662" t="inlineStr">
        <is>
          <t>1</t>
        </is>
      </c>
      <c r="J2662" t="inlineStr"/>
      <c r="K2662" t="inlineStr"/>
      <c r="L2662" t="inlineStr"/>
      <c r="M2662" t="inlineStr"/>
      <c r="N2662" t="inlineStr"/>
      <c r="O2662">
        <f>(1-Summary!$B$11)*T2662+Summary!$B$11*V2662</f>
        <v/>
      </c>
      <c r="P2662">
        <f>IF(B2678=0,0,O2662/B2678)</f>
        <v/>
      </c>
      <c r="Q2662" t="n">
        <v>0</v>
      </c>
      <c r="R2662" t="n">
        <v>0</v>
      </c>
      <c r="S2662" t="n">
        <v>0</v>
      </c>
      <c r="T2662" t="n">
        <v>0</v>
      </c>
      <c r="V2662" t="n">
        <v>0</v>
      </c>
    </row>
    <row r="2663">
      <c r="A2663">
        <f>Skills!A27</f>
        <v/>
      </c>
      <c r="B2663">
        <f>Skills!B27</f>
        <v/>
      </c>
      <c r="C2663">
        <f>Inputs!$B$3&gt;=120</f>
        <v/>
      </c>
      <c r="D2663">
        <f>IF(Skills!C27=1,60+Inputs!$B$25+Inputs!$B$29,IF(Skills!C27=2,90+Inputs!$B$26+Inputs!$B$29,IF(Skills!C27=3,120+Inputs!$B$27+Inputs!$B$29,MAX(0,(Inputs!$B$3-100)*3)+Inputs!$B$28+Inputs!$B$29)))</f>
        <v/>
      </c>
      <c r="E2663">
        <f>INDEX(FactorTable!$B$2:$Y$301, MATCH(ROUND(MIN(300,MAX(1,D2663)),0), FactorTable!$A$2:$A$301,0), Skills!M27+1)</f>
        <v/>
      </c>
      <c r="F2663">
        <f>IF(Skills!N27=TRUE,(Skills!L27/10)*(E2663/1000),Skills!L27/10)+Skills!O27</f>
        <v/>
      </c>
      <c r="G2663">
        <f>Skills!G27*IF(Skills!H27&gt;0,Skills!I27/Skills!H27,1)</f>
        <v/>
      </c>
      <c r="H2663">
        <f>1-(1-Skills!J27/100)^Skills!K27</f>
        <v/>
      </c>
      <c r="I2663" t="inlineStr">
        <is>
          <t>1</t>
        </is>
      </c>
      <c r="J2663" t="inlineStr"/>
      <c r="K2663" t="inlineStr"/>
      <c r="L2663" t="inlineStr"/>
      <c r="M2663" t="inlineStr"/>
      <c r="N2663" t="inlineStr"/>
      <c r="O2663">
        <f>(1-Summary!$B$11)*T2663+Summary!$B$11*V2663</f>
        <v/>
      </c>
      <c r="P2663">
        <f>IF(B2678=0,0,O2663/B2678)</f>
        <v/>
      </c>
      <c r="Q2663" t="n">
        <v>0</v>
      </c>
      <c r="R2663" t="n">
        <v>0</v>
      </c>
      <c r="S2663" t="n">
        <v>0</v>
      </c>
      <c r="T2663" t="n">
        <v>0</v>
      </c>
      <c r="V2663" t="n">
        <v>0</v>
      </c>
    </row>
    <row r="2664">
      <c r="A2664">
        <f>Skills!A28</f>
        <v/>
      </c>
      <c r="B2664">
        <f>Skills!B28</f>
        <v/>
      </c>
      <c r="C2664">
        <f>Inputs!$B$3&gt;=120</f>
        <v/>
      </c>
      <c r="D2664">
        <f>IF(Skills!C28=1,60+Inputs!$B$25+Inputs!$B$29,IF(Skills!C28=2,90+Inputs!$B$26+Inputs!$B$29,IF(Skills!C28=3,120+Inputs!$B$27+Inputs!$B$29,MAX(0,(Inputs!$B$3-100)*3)+Inputs!$B$28+Inputs!$B$29)))</f>
        <v/>
      </c>
      <c r="E2664">
        <f>INDEX(FactorTable!$B$2:$Y$301, MATCH(ROUND(MIN(300,MAX(1,D2664)),0), FactorTable!$A$2:$A$301,0), Skills!M28+1)</f>
        <v/>
      </c>
      <c r="F2664">
        <f>IF(Skills!N28=TRUE,(Skills!L28/10)*(E2664/1000),Skills!L28/10)+Skills!O28</f>
        <v/>
      </c>
      <c r="G2664">
        <f>Skills!G28*IF(Skills!H28&gt;0,Skills!I28/Skills!H28,1)</f>
        <v/>
      </c>
      <c r="H2664">
        <f>1-(1-Skills!J28/100)^Skills!K28</f>
        <v/>
      </c>
      <c r="I2664" t="inlineStr">
        <is>
          <t>1</t>
        </is>
      </c>
      <c r="J2664" t="inlineStr"/>
      <c r="K2664" t="inlineStr"/>
      <c r="L2664" t="inlineStr"/>
      <c r="M2664" t="inlineStr"/>
      <c r="N2664" t="inlineStr"/>
      <c r="O2664">
        <f>(1-Summary!$B$11)*T2664+Summary!$B$11*V2664</f>
        <v/>
      </c>
      <c r="P2664">
        <f>IF(B2678=0,0,O2664/B2678)</f>
        <v/>
      </c>
      <c r="Q2664" t="n">
        <v>0</v>
      </c>
      <c r="R2664" t="n">
        <v>0</v>
      </c>
      <c r="S2664" t="n">
        <v>0</v>
      </c>
      <c r="T2664" t="n">
        <v>0</v>
      </c>
      <c r="V2664" t="n">
        <v>0</v>
      </c>
    </row>
    <row r="2665">
      <c r="A2665">
        <f>Skills!A29</f>
        <v/>
      </c>
      <c r="B2665">
        <f>Skills!B29</f>
        <v/>
      </c>
      <c r="C2665">
        <f>Inputs!$B$3&gt;=45</f>
        <v/>
      </c>
      <c r="D2665">
        <f>IF(Skills!C29=1,60+Inputs!$B$25+Inputs!$B$29,IF(Skills!C29=2,90+Inputs!$B$26+Inputs!$B$29,IF(Skills!C29=3,120+Inputs!$B$27+Inputs!$B$29,MAX(0,(Inputs!$B$3-100)*3)+Inputs!$B$28+Inputs!$B$29)))</f>
        <v/>
      </c>
      <c r="E2665">
        <f>INDEX(FactorTable!$B$2:$Y$301, MATCH(ROUND(MIN(300,MAX(1,D2665)),0), FactorTable!$A$2:$A$301,0), Skills!M29+1)</f>
        <v/>
      </c>
      <c r="F2665">
        <f>IF(Skills!N29=TRUE,(Skills!L29/10)*(E2665/1000),Skills!L29/10)+Skills!O29</f>
        <v/>
      </c>
      <c r="G2665">
        <f>Skills!G29*IF(Skills!H29&gt;0,Skills!I29/Skills!H29,1)</f>
        <v/>
      </c>
      <c r="H2665">
        <f>1-(1-Skills!J29/100)^Skills!K29</f>
        <v/>
      </c>
      <c r="I2665" t="inlineStr">
        <is>
          <t>1</t>
        </is>
      </c>
      <c r="J2665" t="inlineStr"/>
      <c r="K2665" t="inlineStr"/>
      <c r="L2665" t="inlineStr"/>
      <c r="M2665" t="inlineStr"/>
      <c r="N2665" t="inlineStr"/>
      <c r="O2665">
        <f>(1-Summary!$B$11)*T2665+Summary!$B$11*V2665</f>
        <v/>
      </c>
      <c r="P2665">
        <f>IF(B2678=0,0,O2665/B2678)</f>
        <v/>
      </c>
      <c r="Q2665" t="n">
        <v>0</v>
      </c>
      <c r="R2665" t="n">
        <v>0</v>
      </c>
      <c r="S2665" t="n">
        <v>0</v>
      </c>
      <c r="T2665" t="n">
        <v>0</v>
      </c>
      <c r="V2665" t="n">
        <v>0</v>
      </c>
    </row>
    <row r="2667">
      <c r="A2667" t="inlineStr">
        <is>
          <t>Attack% Bucket Multiplier</t>
        </is>
      </c>
      <c r="B2667">
        <f>(1+(((C2649=TRUE)*F2649)+((C2650=TRUE)*IF(Inputs!$B$38="pvp",F2650,(1-Summary!$B$11)*(F2650)+Summary!$B$11*(0)))+((C2651=TRUE)*F2651*IF(AND(Inputs!$B$38&lt;&gt;"pvp",Inputs!$B$43&gt;0),(((R2651-1)*(Skills!T15*(1+Inputs!$B$34/100))+MIN((Skills!T15*(1+Inputs!$B$34/100)),MAX(0,Inputs!$B$43-((R2651-1)*Skills!D15))))/Inputs!$B$43),IF(Inputs!$B$38="pvp",MIN((Skills!T15*(1+Inputs!$B$34/100)),15)/15,(Skills!T15*(1+Inputs!$B$34/100))/Skills!D15)))+((C2648=TRUE)*F2648)+((C2665=TRUE)*(F2665-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2668">
      <c r="A2668" t="inlineStr">
        <is>
          <t>Global Crit Rate Bonus %</t>
        </is>
      </c>
      <c r="B2668">
        <f>(C2652=TRUE)*20*IF(AND(Inputs!$B$38&lt;&gt;"pvp",Inputs!$B$43&gt;0),(((R2652-1)*(Skills!T16*(1+Inputs!$B$34/100))+MIN((Skills!T16*(1+Inputs!$B$34/100)),MAX(0,Inputs!$B$43-((R2652-1)*Skills!D16))))/Inputs!$B$43),IF(Inputs!$B$38="pvp",MIN((Skills!T16*(1+Inputs!$B$34/100)),15)/15,(Skills!T16*(1+Inputs!$B$34/100))/Skills!D16))</f>
        <v/>
      </c>
    </row>
    <row r="2669">
      <c r="A2669" t="inlineStr">
        <is>
          <t>Attack Speed Buff Bonus %</t>
        </is>
      </c>
      <c r="B2669">
        <f>((C2654=TRUE)*F2654*IF(AND(Inputs!$B$38&lt;&gt;"pvp",Inputs!$B$43&gt;0),(((R2654-1)*(Skills!T18*(1+Inputs!$B$34/100))+MIN((Skills!T18*(1+Inputs!$B$34/100)),MAX(0,Inputs!$B$43-((R2654-1)*Skills!D18))))/Inputs!$B$43),IF(Inputs!$B$38="pvp",MIN((Skills!T18*(1+Inputs!$B$34/100)),15)/15,(Skills!T18*(1+Inputs!$B$34/100))/Skills!D18)))</f>
        <v/>
      </c>
    </row>
    <row r="2670">
      <c r="A2670" t="inlineStr">
        <is>
          <t>Actions Per Second</t>
        </is>
      </c>
      <c r="B2670">
        <f>1+MIN(150,150*(1-(1-(Inputs!$B$11+((C2656=TRUE)*(F2656-Calc!F20))+((C2657=TRUE)*(F2657-Calc!F21)))/150)*(1-B2669/150)))/100</f>
        <v/>
      </c>
    </row>
    <row r="2671">
      <c r="A2671" t="inlineStr">
        <is>
          <t>Skill + Buff Cast Rate</t>
        </is>
      </c>
      <c r="B2671">
        <f>IF(AND(Inputs!$B$38&lt;&gt;"pvp",Inputs!$B$43&gt;0),SUMPRODUCT((Skills!E2:E29=TRUE)*(C2638:C2665=TRUE)*R2638:R2665*Skills!F2:F29)/Inputs!$B$43,SUMPRODUCT((Skills!E2:E29=TRUE)*(C2638:C2665=TRUE)*Q2638:Q2665*Skills!F2:F29))</f>
        <v/>
      </c>
    </row>
    <row r="2672">
      <c r="A2672" t="inlineStr">
        <is>
          <t>Empowered Piercing Arrow Casts Per Second</t>
        </is>
      </c>
      <c r="B2672">
        <f>MAX(0,B2670-B2671)</f>
        <v/>
      </c>
    </row>
    <row r="2673">
      <c r="A2673" t="inlineStr">
        <is>
          <t>Global Critical Damage Bonus % (Sharp Eyes)</t>
        </is>
      </c>
      <c r="B2673">
        <f>(C2652=TRUE)*F2652*IF(AND(Inputs!$B$38&lt;&gt;"pvp",Inputs!$B$43&gt;0),(((R2652-1)*(Skills!T16*(1+Inputs!$B$34/100))+MIN((Skills!T16*(1+Inputs!$B$34/100)),MAX(0,Inputs!$B$43-((R2652-1)*Skills!D16))))/Inputs!$B$43),IF(Inputs!$B$38="pvp",MIN((Skills!T16*(1+Inputs!$B$34/100)),15)/15,(Skills!T16*(1+Inputs!$B$34/100))/Skills!D16))</f>
        <v/>
      </c>
    </row>
    <row r="2674">
      <c r="A2674" t="inlineStr">
        <is>
          <t>Global Final Damage Bonus % (Mortal Blow + Last Man Standing conditional half)</t>
        </is>
      </c>
      <c r="B2674">
        <f>(C2653=TRUE)*F2653+((C2662=TRUE)*IF(Inputs!$B$38="pvp",F2662,(1-Summary!$B$11)*(F2662)+Summary!$B$11*(0)))</f>
        <v/>
      </c>
    </row>
    <row r="2675">
      <c r="A2675" t="inlineStr">
        <is>
          <t>Buff-Casting Startup Delay (s, fixed-duration only)</t>
        </is>
      </c>
      <c r="B2675">
        <f>IF(AND(Inputs!$B$38&lt;&gt;"pvp",Inputs!$B$43&gt;0),SUMPRODUCT((Skills!T2:T29&gt;0)*(Skills!E2:E29=TRUE)*(C2638:C2665=TRUE))/B2670,0)</f>
        <v/>
      </c>
    </row>
    <row r="2676">
      <c r="A2676" t="inlineStr">
        <is>
          <t>Boss-Only Total DPS (this block's swept value)</t>
        </is>
      </c>
      <c r="B2676">
        <f>SUM(T2638:T2665)</f>
        <v/>
      </c>
    </row>
    <row r="2677">
      <c r="A2677" t="inlineStr">
        <is>
          <t>Normal-Only Total DPS (this block's swept value)</t>
        </is>
      </c>
      <c r="B2677">
        <f>SUM(V2638:V2665)</f>
        <v/>
      </c>
    </row>
    <row r="2678">
      <c r="A2678" s="6" t="inlineStr">
        <is>
          <t>TOTAL DPS</t>
        </is>
      </c>
      <c r="B2678" s="6">
        <f>SUM(O2638:O2665)</f>
        <v/>
      </c>
    </row>
    <row r="2681">
      <c r="A2681" s="6" t="inlineStr">
        <is>
          <t>Stat: Cursed Doll (Equip)</t>
        </is>
      </c>
    </row>
    <row r="2682">
      <c r="A2682" s="5" t="inlineStr">
        <is>
          <t>Key</t>
        </is>
      </c>
      <c r="B2682" s="5" t="inlineStr">
        <is>
          <t>Name</t>
        </is>
      </c>
      <c r="C2682" s="5" t="inlineStr">
        <is>
          <t>Unlocked</t>
        </is>
      </c>
      <c r="D2682" s="5" t="inlineStr">
        <is>
          <t>InputLevel</t>
        </is>
      </c>
      <c r="E2682" s="5" t="inlineStr">
        <is>
          <t>Factor</t>
        </is>
      </c>
      <c r="F2682" s="5" t="inlineStr">
        <is>
          <t>CoefficientPercent</t>
        </is>
      </c>
      <c r="G2682" s="5" t="inlineStr">
        <is>
          <t>EffectiveHits</t>
        </is>
      </c>
      <c r="H2682" s="5" t="inlineStr">
        <is>
          <t>ProcProbability</t>
        </is>
      </c>
      <c r="I2682" s="5" t="inlineStr">
        <is>
          <t>MapleHeroMultiplier</t>
        </is>
      </c>
      <c r="J2682" s="5" t="inlineStr">
        <is>
          <t>BaseDamage</t>
        </is>
      </c>
      <c r="K2682" s="5" t="inlineStr">
        <is>
          <t>BaseHitDamage</t>
        </is>
      </c>
      <c r="L2682" s="5" t="inlineStr">
        <is>
          <t>NonCritAvg</t>
        </is>
      </c>
      <c r="M2682" s="5" t="inlineStr">
        <is>
          <t>CritAvg</t>
        </is>
      </c>
      <c r="N2682" s="5" t="inlineStr">
        <is>
          <t>ExpectedDamage(perHit)</t>
        </is>
      </c>
      <c r="O2682" s="5" t="inlineStr">
        <is>
          <t>DPS</t>
        </is>
      </c>
      <c r="P2682" s="5" t="inlineStr">
        <is>
          <t>% of Total</t>
        </is>
      </c>
      <c r="Q2682" s="5" t="inlineStr">
        <is>
          <t>InvCooldown</t>
        </is>
      </c>
      <c r="R2682" s="5" t="inlineStr">
        <is>
          <t>CastsInFight</t>
        </is>
      </c>
      <c r="S2682" s="5" t="inlineStr">
        <is>
          <t>HitRate(perSec)</t>
        </is>
      </c>
      <c r="U2682" t="inlineStr">
        <is>
          <t>helpers</t>
        </is>
      </c>
    </row>
    <row r="2683">
      <c r="A2683">
        <f>Skills!A2</f>
        <v/>
      </c>
      <c r="B2683">
        <f>Skills!B2</f>
        <v/>
      </c>
      <c r="C2683">
        <f>Inputs!$B$3&gt;=100</f>
        <v/>
      </c>
      <c r="D2683" t="inlineStr"/>
      <c r="E2683" t="inlineStr"/>
      <c r="F2683">
        <f>U2685+Skills!O2</f>
        <v/>
      </c>
      <c r="G2683">
        <f>Skills!G2*IF(Skills!H2&gt;0,Skills!I2/Skills!H2,1)</f>
        <v/>
      </c>
      <c r="H2683">
        <f>1-(1-Skills!J2/100)^Skills!K2</f>
        <v/>
      </c>
      <c r="I2683" t="inlineStr">
        <is>
          <t>1</t>
        </is>
      </c>
      <c r="J2683">
        <f>((Inputs!$B$6*(1+Inputs!$B$7/100))+(((Inputs!$B$12*(1+Inputs!$B$13/100))-(Inputs!$B$12*(1+Inputs!$B$13/100)))+0.25*(Inputs!$B$14-Inputs!$B$14))*(1+Inputs!$B$7/100))*(F2683/100)</f>
        <v/>
      </c>
      <c r="K2683">
        <f>J2683*(1+((Inputs!$B$12*(1+Inputs!$B$13/100))*0.01+Inputs!$B$14*0.0025)/100)*(1+Inputs!$B$15/100)*(1+Inputs!$B$16/100)*(5000/(6000+Inputs!$B$42*(1-(100*(1-(1-(Inputs!$B$19+0)/100)*(1-CHOOSE(ArtifactsInput!$N$40+1,5,6,7,8,9,10)/100)^(ArtifactsInput!$M$40-ArtifactsInput!$M$40)))/100)))*(1+(Inputs!$B$24+((C2705=TRUE)*(F2705-Calc!F24))+((C2706=TRUE)*(F2706-Calc!F25))+B2719)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IF(ArtifactsInput!$M$39,FALSE,TRUE)-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EMPOWERED_PIERCING_ARROW",Inputs!$B$17+((C2703=TRUE)*(F2703-Calc!F22))+(((IF(AND(ArtifactsInput!$M$42,((Inputs!$B$9+((C2700=TRUE)*(F2700-Calc!F19))+B2713+(ArtifactsInput!$M$24-ArtifactsInput!$M$24)*CHOOSE(ArtifactsInput!$N$24+1,10,12,14,16,18,20)+IF(ArtifactsInput!$M$10,CHOOSE(ArtifactsInput!$N$10+1,15,18,21,24,27,30)*(IF(Inputs!$B$38="pvp",MIN(15,15)/15,IF(AND(Inputs!$B$38&lt;&gt;"pvp",Inputs!$B$43&gt;0),MIN(15,Inputs!$B$43)/(Inputs!$B$43),0))),0)))&gt;=100),MIN(100,((Inputs!$B$9+((C2700=TRUE)*(F2700-Calc!F19))+B2713+(ArtifactsInput!$M$24-ArtifactsInput!$M$24)*CHOOSE(ArtifactsInput!$N$24+1,10,12,14,16,18,20)+IF(ArtifactsInput!$M$10,CHOOSE(ArtifactsInput!$N$10+1,15,18,21,24,27,30)*(IF(Inputs!$B$38="pvp",MIN(15,15)/15,IF(AND(Inputs!$B$38&lt;&gt;"pvp",Inputs!$B$43&gt;0),MIN(15,Inputs!$B$43)/(Inputs!$B$43),0))),0)))-100),0))*CHOOSE(ArtifactsInput!$N$42+1,0.6,0.72,0.84,0.96,1.08,1.2))),Inputs!$B$18+((C2708=TRUE)*(F2708-Calc!F27))+(IF(AND(ArtifactsInput!$M$42,((Inputs!$B$9+((C2700=TRUE)*(F2700-Calc!F19))+B2713+(ArtifactsInput!$M$24-ArtifactsInput!$M$24)*CHOOSE(ArtifactsInput!$N$24+1,10,12,14,16,18,20)+IF(ArtifactsInput!$M$10,CHOOSE(ArtifactsInput!$N$10+1,15,18,21,24,27,30)*(IF(Inputs!$B$38="pvp",MIN(15,15)/15,IF(AND(Inputs!$B$38&lt;&gt;"pvp",Inputs!$B$43&gt;0),MIN(15,Inputs!$B$43)/(Inputs!$B$43),0))),0)))&gt;=100),CHOOSE(ArtifactsInput!$N$42+1,40,48,56,64,72,80),0))))/100)*((1+(((C2694=TRUE)*F2694)+((C2695=TRUE)*IF(Inputs!$B$38="pvp",F2695,(1-Summary!$B$11)*(F2695)+Summary!$B$11*(0)))+((C2696=TRUE)*F2696*IF(AND(Inputs!$B$38&lt;&gt;"pvp",Inputs!$B$43&gt;0),(((R2696-1)*(Skills!T15*(1+Inputs!$B$34/100))+MIN((Skills!T15*(1+Inputs!$B$34/100)),MAX(0,Inputs!$B$43-((R2696-1)*Skills!D15))))/Inputs!$B$43),IF(Inputs!$B$38="pvp",MIN((Skills!T15*(1+Inputs!$B$34/100)),15)/15,(Skills!T15*(1+Inputs!$B$34/100))/Skills!D15)))+((C2693=TRUE)*F2693)+((C2710=TRUE)*(F2710-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2683)</f>
        <v/>
      </c>
      <c r="L2683">
        <f>K2683*(MIN(Inputs!$B$22+((C2704=TRUE)*(F2704-Calc!F23)),(Inputs!$B$23+((C2709=TRUE)*(F2709-Calc!F28))+(IF(ArtifactsInput!$M$15,CHOOSE(ArtifactsInput!$N$15+1,25,30,35,40,45,50)/100*(Inputs!$B$11-Inputs!$B$11),0))))/100+(Inputs!$B$23+((C2709=TRUE)*(F2709-Calc!F28))+(IF(ArtifactsInput!$M$15,CHOOSE(ArtifactsInput!$N$15+1,25,30,35,40,45,50)/100*(Inputs!$B$11-Inputs!$B$11),0)))/100)/2</f>
        <v/>
      </c>
      <c r="M2683">
        <f>L2683*(1+(Inputs!$B$10+0+B2718+(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683">
        <f>L2683*(1-MIN((Inputs!$B$9+((C2700=TRUE)*(F2700-Calc!F19))+B2713+(ArtifactsInput!$M$24-ArtifactsInput!$M$24)*CHOOSE(ArtifactsInput!$N$24+1,10,12,14,16,18,20)+(IF(AND(ArtifactsInput!$M$42,((Inputs!$B$9+((C2700=TRUE)*(F2700-Calc!F19))+B2713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2683*(MIN((Inputs!$B$9+((C2700=TRUE)*(F2700-Calc!F19))+B2713+(ArtifactsInput!$M$24-ArtifactsInput!$M$24)*CHOOSE(ArtifactsInput!$N$24+1,10,12,14,16,18,20)+(IF(AND(ArtifactsInput!$M$42,((Inputs!$B$9+((C2700=TRUE)*(F2700-Calc!F19))+B2713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683">
        <f>(1-Summary!$B$11)*T2683+Summary!$B$11*V2683</f>
        <v/>
      </c>
      <c r="P2683">
        <f>IF(B2723=0,0,O2683/B2723)</f>
        <v/>
      </c>
      <c r="Q2683" t="n">
        <v>0</v>
      </c>
      <c r="R2683" t="n">
        <v>0</v>
      </c>
      <c r="S2683">
        <f>IFERROR((Skills!G2*N2683*B2717)/N2683*IF(Inputs!$B$38="pvp",1,(1-Summary!$B$11)*1+Summary!$B$11*(MIN((6+Inputs!$B$33),Inputs!$B$37))),0)</f>
        <v/>
      </c>
      <c r="T2683">
        <f>IF(C2683,(Skills!G2*N2683*B2717)*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Hunt"),CHOOSE(ArtifactsInput!$N$35+1,15,18,21,24,27,30)*(1-EXP(-(0.2*B2715)*5)),0)+IF(AND(ArtifactsInput!$M$22,Inputs!$B$4&lt;&gt;"Chapter Hunt"),CHOOSE(ArtifactsInput!$N$22+1,10,12,14,16,18,20)*((0*(((0.15*B2715*5))^0/1)+1*(((0.15*B2715*5))^1/1)+2*(((0.15*B2715*5))^2/2)+3*(((0.15*B2715*5))^3/6)+4*(((0.15*B2715*5))^4/24)+5*(((0.15*B2715*5))^5/120))/((((0.15*B2715*5))^0/1)+(((0.15*B2715*5))^1/1)+(((0.15*B2715*5))^2/2)+(((0.15*B2715*5))^3/6)+(((0.15*B2715*5))^4/24)+(((0.15*B2715*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2683*(1-MIN(100,(Inputs!$B$9+((C2700=TRUE)*(F2700-Calc!F19))+B2713+(ArtifactsInput!$M$24-ArtifactsInput!$M$24)*CHOOSE(ArtifactsInput!$N$24+1,10,12,14,16,18,20)+(IF(AND(ArtifactsInput!$M$42,((Inputs!$B$9+((C2700=TRUE)*(F2700-Calc!F19))+B2713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2683*(MIN(100,(Inputs!$B$9+((C2700=TRUE)*(F2700-Calc!F19))+B2713+(ArtifactsInput!$M$24-ArtifactsInput!$M$24)*CHOOSE(ArtifactsInput!$N$24+1,10,12,14,16,18,20)+(IF(AND(ArtifactsInput!$M$42,((Inputs!$B$9+((C2700=TRUE)*(F2700-Calc!F19))+B2713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2683*(1-MIN(100,(Inputs!$B$9+((C2700=TRUE)*(F2700-Calc!F19))+B2713+(ArtifactsInput!$M$24-ArtifactsInput!$M$24)*CHOOSE(ArtifactsInput!$N$24+1,10,12,14,16,18,20)+(IF(AND(ArtifactsInput!$M$42,((Inputs!$B$9+((C2700=TRUE)*(F2700-Calc!F19))+B2713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2683*(MIN(100,(Inputs!$B$9+((C2700=TRUE)*(F2700-Calc!F19))+B2713+(ArtifactsInput!$M$24-ArtifactsInput!$M$24)*CHOOSE(ArtifactsInput!$N$24+1,10,12,14,16,18,20)+(IF(AND(ArtifactsInput!$M$42,((Inputs!$B$9+((C2700=TRUE)*(F2700-Calc!F19))+B2713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683">
        <f>MAX(0,(Inputs!$B$3-100)*3)+Inputs!$B$28+Inputs!$B$29</f>
        <v/>
      </c>
      <c r="V2683">
        <f>IF(C2683,(Skills!G2*N2683*B2717)*IF(Inputs!$B$38="pvp",1,(1+(Inputs!$B$21+Skills!Q2+(IF(ArtifactsInput!$M$33,CHOOSE(ArtifactsInput!$N$33+1,30,36,42,48,54,60),0))+(IF(AND(ArtifactsInput!$M$35,Inputs!$B$4&lt;&gt;"Chapter Hunt"),CHOOSE(ArtifactsInput!$N$35+1,15,18,21,24,27,30)*(1-EXP(-(0.2*B2715)*5)),0)+IF(AND(ArtifactsInput!$M$22,Inputs!$B$4&lt;&gt;"Chapter Hunt"),CHOOSE(ArtifactsInput!$N$22+1,10,12,14,16,18,20)*((0*(((0.15*B2715*5))^0/1)+1*(((0.15*B2715*5))^1/1)+2*(((0.15*B2715*5))^2/2)+3*(((0.15*B2715*5))^3/6)+4*(((0.15*B2715*5))^4/24)+5*(((0.15*B2715*5))^5/120))/((((0.15*B2715*5))^0/1)+(((0.15*B2715*5))^1/1)+(((0.15*B2715*5))^2/2)+(((0.15*B2715*5))^3/6)+(((0.15*B2715*5))^4/24)+(((0.15*B2715*5))^5/120)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684">
      <c r="A2684">
        <f>Skills!A3</f>
        <v/>
      </c>
      <c r="B2684">
        <f>Skills!B3</f>
        <v/>
      </c>
      <c r="C2684">
        <f>Inputs!$B$3&gt;=50</f>
        <v/>
      </c>
      <c r="D2684">
        <f>IF(Skills!C3=1,60+Inputs!$B$25+Inputs!$B$29,IF(Skills!C3=2,90+Inputs!$B$26+Inputs!$B$29,IF(Skills!C3=3,120+Inputs!$B$27+Inputs!$B$29,MAX(0,(Inputs!$B$3-100)*3)+Inputs!$B$28+Inputs!$B$29)))</f>
        <v/>
      </c>
      <c r="E2684">
        <f>INDEX(FactorTable!$B$2:$Y$301, MATCH(ROUND(MIN(300,MAX(1,D2684)),0), FactorTable!$A$2:$A$301,0), Skills!M3+1)</f>
        <v/>
      </c>
      <c r="F2684">
        <f>IF(Skills!N3=TRUE,(Skills!L3/10)*(E2684/1000),Skills!L3/10)+Skills!O3</f>
        <v/>
      </c>
      <c r="G2684" t="inlineStr"/>
      <c r="H2684" t="inlineStr"/>
      <c r="I2684" t="inlineStr">
        <is>
          <t>1</t>
        </is>
      </c>
      <c r="J2684" t="inlineStr"/>
      <c r="K2684" t="inlineStr"/>
      <c r="L2684" t="inlineStr"/>
      <c r="M2684" t="inlineStr"/>
      <c r="N2684" t="inlineStr"/>
      <c r="O2684" t="inlineStr"/>
      <c r="P2684" t="inlineStr"/>
      <c r="Q2684" t="inlineStr"/>
      <c r="R2684" t="inlineStr"/>
      <c r="S2684" t="inlineStr"/>
      <c r="T2684" t="inlineStr"/>
      <c r="U2684">
        <f>INDEX(FactorTable!$B$2:$Y$301, MATCH(ROUND(MIN(300,MAX(1,U2683)),0), FactorTable!$A$2:$A$301,0), 22)</f>
        <v/>
      </c>
      <c r="V2684" t="inlineStr"/>
    </row>
    <row r="2685">
      <c r="A2685">
        <f>Skills!A4</f>
        <v/>
      </c>
      <c r="B2685">
        <f>Skills!B4</f>
        <v/>
      </c>
      <c r="C2685">
        <f>Inputs!$B$3&gt;=105</f>
        <v/>
      </c>
      <c r="D2685">
        <f>IF(Skills!C4=1,60+Inputs!$B$25+Inputs!$B$29,IF(Skills!C4=2,90+Inputs!$B$26+Inputs!$B$29,IF(Skills!C4=3,120+Inputs!$B$27+Inputs!$B$29,MAX(0,(Inputs!$B$3-100)*3)+Inputs!$B$28+Inputs!$B$29)))</f>
        <v/>
      </c>
      <c r="E2685">
        <f>INDEX(FactorTable!$B$2:$Y$301, MATCH(ROUND(MIN(300,MAX(1,D2685)),0), FactorTable!$A$2:$A$301,0), Skills!M4+1)</f>
        <v/>
      </c>
      <c r="F2685">
        <f>IF(Skills!N4=TRUE,(Skills!L4/10)*(E2685/1000),Skills!L4/10)+Skills!O4</f>
        <v/>
      </c>
      <c r="G2685" t="inlineStr"/>
      <c r="H2685" t="inlineStr"/>
      <c r="I2685" t="inlineStr">
        <is>
          <t>1</t>
        </is>
      </c>
      <c r="J2685" t="inlineStr"/>
      <c r="K2685" t="inlineStr"/>
      <c r="L2685" t="inlineStr"/>
      <c r="M2685" t="inlineStr"/>
      <c r="N2685" t="inlineStr"/>
      <c r="O2685" t="inlineStr"/>
      <c r="P2685" t="inlineStr"/>
      <c r="Q2685" t="inlineStr"/>
      <c r="R2685" t="inlineStr"/>
      <c r="S2685" t="inlineStr"/>
      <c r="T2685" t="inlineStr"/>
      <c r="U2685">
        <f>290*U2684/1000</f>
        <v/>
      </c>
      <c r="V2685" t="inlineStr"/>
    </row>
    <row r="2686">
      <c r="A2686">
        <f>Skills!A5</f>
        <v/>
      </c>
      <c r="B2686">
        <f>Skills!B5</f>
        <v/>
      </c>
      <c r="C2686">
        <f>Inputs!$B$3&gt;=35</f>
        <v/>
      </c>
      <c r="D2686">
        <f>IF(Skills!C5=1,60+Inputs!$B$25+Inputs!$B$29,IF(Skills!C5=2,90+Inputs!$B$26+Inputs!$B$29,IF(Skills!C5=3,120+Inputs!$B$27+Inputs!$B$29,MAX(0,(Inputs!$B$3-100)*3)+Inputs!$B$28+Inputs!$B$29)))</f>
        <v/>
      </c>
      <c r="E2686">
        <f>INDEX(FactorTable!$B$2:$Y$301, MATCH(ROUND(MIN(300,MAX(1,D2686)),0), FactorTable!$A$2:$A$301,0), Skills!M5+1)</f>
        <v/>
      </c>
      <c r="F2686">
        <f>IF(Skills!N5=TRUE,(Skills!L5/10)*(E2686/1000),Skills!L5/10)+Skills!O5</f>
        <v/>
      </c>
      <c r="G2686">
        <f>Skills!G5*IF(Skills!H5&gt;0,Skills!I5/Skills!H5,1)</f>
        <v/>
      </c>
      <c r="H2686">
        <f>1-(1-Skills!J5/100)^Skills!K5</f>
        <v/>
      </c>
      <c r="I2686" t="inlineStr">
        <is>
          <t>1</t>
        </is>
      </c>
      <c r="J2686">
        <f>((Inputs!$B$6*(1+Inputs!$B$7/100))+(((Inputs!$B$12*(1+Inputs!$B$13/100))-(Inputs!$B$12*(1+Inputs!$B$13/100)))+0.25*(Inputs!$B$14-Inputs!$B$14))*(1+Inputs!$B$7/100))*(F2686/100)</f>
        <v/>
      </c>
      <c r="K2686">
        <f>J2686*(1+((Inputs!$B$12*(1+Inputs!$B$13/100))*0.01+Inputs!$B$14*0.0025)/100)*(1+Inputs!$B$15/100)*(1+Inputs!$B$16/100)*(5000/(6000+Inputs!$B$42*(1-(100*(1-(1-(Inputs!$B$19+0)/100)*(1-CHOOSE(ArtifactsInput!$N$40+1,5,6,7,8,9,10)/100)^(ArtifactsInput!$M$40-ArtifactsInput!$M$40)))/100)))*(1+(Inputs!$B$24+((C2705=TRUE)*(F2705-Calc!F24))+((C2706=TRUE)*(F2706-Calc!F25))+B2719)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IF(ArtifactsInput!$M$39,FALSE,TRUE)-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2689=TRUE,F2689,0)/100)*(1+(IF(Skills!A5="EMPOWERED_PIERCING_ARROW",Inputs!$B$17+((C2703=TRUE)*(F2703-Calc!F22))+(((IF(AND(ArtifactsInput!$M$42,((Inputs!$B$9+((C2700=TRUE)*(F2700-Calc!F19))+B2713+(ArtifactsInput!$M$24-ArtifactsInput!$M$24)*CHOOSE(ArtifactsInput!$N$24+1,10,12,14,16,18,20)+IF(ArtifactsInput!$M$10,CHOOSE(ArtifactsInput!$N$10+1,15,18,21,24,27,30)*(IF(Inputs!$B$38="pvp",MIN(15,15)/15,IF(AND(Inputs!$B$38&lt;&gt;"pvp",Inputs!$B$43&gt;0),MIN(15,Inputs!$B$43)/(Inputs!$B$43),0))),0)))&gt;=100),MIN(100,((Inputs!$B$9+((C2700=TRUE)*(F2700-Calc!F19))+B2713+(ArtifactsInput!$M$24-ArtifactsInput!$M$24)*CHOOSE(ArtifactsInput!$N$24+1,10,12,14,16,18,20)+IF(ArtifactsInput!$M$10,CHOOSE(ArtifactsInput!$N$10+1,15,18,21,24,27,30)*(IF(Inputs!$B$38="pvp",MIN(15,15)/15,IF(AND(Inputs!$B$38&lt;&gt;"pvp",Inputs!$B$43&gt;0),MIN(15,Inputs!$B$43)/(Inputs!$B$43),0))),0)))-100),0))*CHOOSE(ArtifactsInput!$N$42+1,0.6,0.72,0.84,0.96,1.08,1.2))),Inputs!$B$18+((C2708=TRUE)*(F2708-Calc!F27))+(IF(AND(ArtifactsInput!$M$42,((Inputs!$B$9+((C2700=TRUE)*(F2700-Calc!F19))+B2713+(ArtifactsInput!$M$24-ArtifactsInput!$M$24)*CHOOSE(ArtifactsInput!$N$24+1,10,12,14,16,18,20)+IF(ArtifactsInput!$M$10,CHOOSE(ArtifactsInput!$N$10+1,15,18,21,24,27,30)*(IF(Inputs!$B$38="pvp",MIN(15,15)/15,IF(AND(Inputs!$B$38&lt;&gt;"pvp",Inputs!$B$43&gt;0),MIN(15,Inputs!$B$43)/(Inputs!$B$43),0))),0)))&gt;=100),CHOOSE(ArtifactsInput!$N$42+1,40,48,56,64,72,80),0))))/100)*((1+(((C2694=TRUE)*F2694)+((C2695=TRUE)*IF(Inputs!$B$38="pvp",F2695,(1-Summary!$B$11)*(F2695)+Summary!$B$11*(0)))+((C2696=TRUE)*F2696*IF(AND(Inputs!$B$38&lt;&gt;"pvp",Inputs!$B$43&gt;0),(((R2696-1)*(Skills!T15*(1+Inputs!$B$34/100))+MIN((Skills!T15*(1+Inputs!$B$34/100)),MAX(0,Inputs!$B$43-((R2696-1)*Skills!D15))))/Inputs!$B$43),IF(Inputs!$B$38="pvp",MIN((Skills!T15*(1+Inputs!$B$34/100)),15)/15,(Skills!T15*(1+Inputs!$B$34/100))/Skills!D15)))+((C2693=TRUE)*F2693)+((C2710=TRUE)*(F2710-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2686)</f>
        <v/>
      </c>
      <c r="L2686">
        <f>K2686*(MIN(Inputs!$B$22+((C2704=TRUE)*(F2704-Calc!F23)),(Inputs!$B$23+((C2709=TRUE)*(F2709-Calc!F28))+(IF(ArtifactsInput!$M$15,CHOOSE(ArtifactsInput!$N$15+1,25,30,35,40,45,50)/100*(Inputs!$B$11-Inputs!$B$11),0))))/100+(Inputs!$B$23+((C2709=TRUE)*(F2709-Calc!F28))+(IF(ArtifactsInput!$M$15,CHOOSE(ArtifactsInput!$N$15+1,25,30,35,40,45,50)/100*(Inputs!$B$11-Inputs!$B$11),0)))/100)/2</f>
        <v/>
      </c>
      <c r="M2686">
        <f>L2686*(1+(Inputs!$B$10+0+B2718+(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686">
        <f>L2686*(1-MIN((Inputs!$B$9+((C2700=TRUE)*(F2700-Calc!F19))+B2713+(ArtifactsInput!$M$24-ArtifactsInput!$M$24)*CHOOSE(ArtifactsInput!$N$24+1,10,12,14,16,18,20)+(IF(AND(ArtifactsInput!$M$42,((Inputs!$B$9+((C2700=TRUE)*(F2700-Calc!F19))+B2713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2686*(MIN((Inputs!$B$9+((C2700=TRUE)*(F2700-Calc!F19))+B2713+(ArtifactsInput!$M$24-ArtifactsInput!$M$24)*CHOOSE(ArtifactsInput!$N$24+1,10,12,14,16,18,20)+(IF(AND(ArtifactsInput!$M$42,((Inputs!$B$9+((C2700=TRUE)*(F2700-Calc!F19))+B2713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686">
        <f>(1-Summary!$B$11)*T2686+Summary!$B$11*V2686</f>
        <v/>
      </c>
      <c r="P2686">
        <f>IF(B2723=0,0,O2686/B2723)</f>
        <v/>
      </c>
      <c r="Q2686">
        <f>IFERROR(1/IF(Inputs!$B$38="pvp",15,MAX(0.1,Skills!D5-IF(Skills!E5=TRUE,Inputs!$B$32,0))),0)</f>
        <v/>
      </c>
      <c r="R2686">
        <f>IF(AND(Inputs!$B$38&lt;&gt;"pvp",Inputs!$B$43&gt;0),IF(MAX(0,Inputs!$B$43-B2720)&lt;=0,0,(INT(MAX(0,Inputs!$B$43-B2720)/IF(Inputs!$B$38="pvp",15,MAX(0.1,Skills!D5-IF(Skills!E5=TRUE,Inputs!$B$32,0))))+1)),0)</f>
        <v/>
      </c>
      <c r="S2686">
        <f>IFERROR((H2686*N2686*IF(AND(Inputs!$B$38&lt;&gt;"pvp",Inputs!$B$43&gt;0),((Skills!G5*((R2686-1)*IF(Skills!H5&gt;0,Skills!I5/Skills!H5,1)+IF(Skills!H5&gt;0,MIN(Skills!I5,MAX(0,MAX(0,Inputs!$B$43-B2720)-((R2686-1)*IF(Inputs!$B$38="pvp",15,MAX(0.1,Skills!D5-IF(Skills!E5=TRUE,Inputs!$B$32,0))))))/Skills!H5,1)))/Inputs!$B$43),G2686*Q2686))/N2686*IF(Inputs!$B$38="pvp",1,(1-Summary!$B$11)*1+Summary!$B$11*(MIN(Skills!R5,Inputs!$B$37))),0)</f>
        <v/>
      </c>
      <c r="T2686">
        <f>IF(C2686,(H2686*N2686*IF(AND(Inputs!$B$38&lt;&gt;"pvp",Inputs!$B$43&gt;0),((Skills!G5*((R2686-1)*IF(Skills!H5&gt;0,Skills!I5/Skills!H5,1)+IF(Skills!H5&gt;0,MIN(Skills!I5,MAX(0,MAX(0,Inputs!$B$43-B2720)-((R2686-1)*IF(Inputs!$B$38="pvp",15,MAX(0.1,Skills!D5-IF(Skills!E5=TRUE,Inputs!$B$32,0))))))/Skills!H5,1)))/Inputs!$B$43),G2686*Q2686))*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Hunt"),CHOOSE(ArtifactsInput!$N$35+1,15,18,21,24,27,30)*(1-EXP(-(0.2*B2715)*5)),0)+IF(AND(ArtifactsInput!$M$22,Inputs!$B$4&lt;&gt;"Chapter Hunt"),CHOOSE(ArtifactsInput!$N$22+1,10,12,14,16,18,20)*((0*(((0.15*B2715*5))^0/1)+1*(((0.15*B2715*5))^1/1)+2*(((0.15*B2715*5))^2/2)+3*(((0.15*B2715*5))^3/6)+4*(((0.15*B2715*5))^4/24)+5*(((0.15*B2715*5))^5/120))/((((0.15*B2715*5))^0/1)+(((0.15*B2715*5))^1/1)+(((0.15*B2715*5))^2/2)+(((0.15*B2715*5))^3/6)+(((0.15*B2715*5))^4/24)+(((0.15*B2715*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2686*(1-MIN(100,(Inputs!$B$9+((C2700=TRUE)*(F2700-Calc!F19))+B2713+(ArtifactsInput!$M$24-ArtifactsInput!$M$24)*CHOOSE(ArtifactsInput!$N$24+1,10,12,14,16,18,20)+(IF(AND(ArtifactsInput!$M$42,((Inputs!$B$9+((C2700=TRUE)*(F2700-Calc!F19))+B2713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2686*(MIN(100,(Inputs!$B$9+((C2700=TRUE)*(F2700-Calc!F19))+B2713+(ArtifactsInput!$M$24-ArtifactsInput!$M$24)*CHOOSE(ArtifactsInput!$N$24+1,10,12,14,16,18,20)+(IF(AND(ArtifactsInput!$M$42,((Inputs!$B$9+((C2700=TRUE)*(F2700-Calc!F19))+B2713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2686*(1-MIN(100,(Inputs!$B$9+((C2700=TRUE)*(F2700-Calc!F19))+B2713+(ArtifactsInput!$M$24-ArtifactsInput!$M$24)*CHOOSE(ArtifactsInput!$N$24+1,10,12,14,16,18,20)+(IF(AND(ArtifactsInput!$M$42,((Inputs!$B$9+((C2700=TRUE)*(F2700-Calc!F19))+B2713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2686*(MIN(100,(Inputs!$B$9+((C2700=TRUE)*(F2700-Calc!F19))+B2713+(ArtifactsInput!$M$24-ArtifactsInput!$M$24)*CHOOSE(ArtifactsInput!$N$24+1,10,12,14,16,18,20)+(IF(AND(ArtifactsInput!$M$42,((Inputs!$B$9+((C2700=TRUE)*(F2700-Calc!F19))+B2713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686">
        <f>IF(C2686,(H2686*N2686*IF(AND(Inputs!$B$38&lt;&gt;"pvp",Inputs!$B$43&gt;0),((Skills!G5*((R2686-1)*IF(Skills!H5&gt;0,Skills!I5/Skills!H5,1)+IF(Skills!H5&gt;0,MIN(Skills!I5,MAX(0,MAX(0,Inputs!$B$43-B2720)-((R2686-1)*IF(Inputs!$B$38="pvp",15,MAX(0.1,Skills!D5-IF(Skills!E5=TRUE,Inputs!$B$32,0))))))/Skills!H5,1)))/Inputs!$B$43),G2686*Q2686))*IF(Inputs!$B$38="pvp",1,(1+(Inputs!$B$21+Skills!Q5+(IF(ArtifactsInput!$M$33,CHOOSE(ArtifactsInput!$N$33+1,30,36,42,48,54,60),0))+(IF(AND(ArtifactsInput!$M$35,Inputs!$B$4&lt;&gt;"Chapter Hunt"),CHOOSE(ArtifactsInput!$N$35+1,15,18,21,24,27,30)*(1-EXP(-(0.2*B2715)*5)),0)+IF(AND(ArtifactsInput!$M$22,Inputs!$B$4&lt;&gt;"Chapter Hunt"),CHOOSE(ArtifactsInput!$N$22+1,10,12,14,16,18,20)*((0*(((0.15*B2715*5))^0/1)+1*(((0.15*B2715*5))^1/1)+2*(((0.15*B2715*5))^2/2)+3*(((0.15*B2715*5))^3/6)+4*(((0.15*B2715*5))^4/24)+5*(((0.15*B2715*5))^5/120))/((((0.15*B2715*5))^0/1)+(((0.15*B2715*5))^1/1)+(((0.15*B2715*5))^2/2)+(((0.15*B2715*5))^3/6)+(((0.15*B2715*5))^4/24)+(((0.15*B2715*5))^5/120)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687">
      <c r="A2687">
        <f>Skills!A6</f>
        <v/>
      </c>
      <c r="B2687">
        <f>Skills!B6</f>
        <v/>
      </c>
      <c r="C2687">
        <f>Inputs!$B$3&gt;=63</f>
        <v/>
      </c>
      <c r="D2687">
        <f>IF(Skills!C6=1,60+Inputs!$B$25+Inputs!$B$29,IF(Skills!C6=2,90+Inputs!$B$26+Inputs!$B$29,IF(Skills!C6=3,120+Inputs!$B$27+Inputs!$B$29,MAX(0,(Inputs!$B$3-100)*3)+Inputs!$B$28+Inputs!$B$29)))</f>
        <v/>
      </c>
      <c r="E2687">
        <f>INDEX(FactorTable!$B$2:$Y$301, MATCH(ROUND(MIN(300,MAX(1,D2687)),0), FactorTable!$A$2:$A$301,0), Skills!M6+1)</f>
        <v/>
      </c>
      <c r="F2687">
        <f>IF(Skills!N6=TRUE,(Skills!L6/10)*(E2687/1000),Skills!L6/10)+Skills!O6</f>
        <v/>
      </c>
      <c r="G2687">
        <f>Skills!G6*IF(Skills!H6&gt;0,Skills!I6/Skills!H6,1)</f>
        <v/>
      </c>
      <c r="H2687">
        <f>1-(1-Skills!J6/100)^Skills!K6</f>
        <v/>
      </c>
      <c r="I2687" t="inlineStr">
        <is>
          <t>1</t>
        </is>
      </c>
      <c r="J2687">
        <f>((Inputs!$B$6*(1+Inputs!$B$7/100))+(((Inputs!$B$12*(1+Inputs!$B$13/100))-(Inputs!$B$12*(1+Inputs!$B$13/100)))+0.25*(Inputs!$B$14-Inputs!$B$14))*(1+Inputs!$B$7/100))*(F2687/100)</f>
        <v/>
      </c>
      <c r="K2687">
        <f>J2687*(1+((Inputs!$B$12*(1+Inputs!$B$13/100))*0.01+Inputs!$B$14*0.0025)/100)*(1+Inputs!$B$15/100)*(1+Inputs!$B$16/100)*(5000/(6000+Inputs!$B$42*(1-(100*(1-(1-(Inputs!$B$19+0)/100)*(1-CHOOSE(ArtifactsInput!$N$40+1,5,6,7,8,9,10)/100)^(ArtifactsInput!$M$40-ArtifactsInput!$M$40)))/100)))*(1+(Inputs!$B$24+((C2705=TRUE)*(F2705-Calc!F24))+((C2706=TRUE)*(F2706-Calc!F25))+B2719)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IF(ArtifactsInput!$M$39,FALSE,TRUE)-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2689=TRUE,F2689,0)/100)*(1+(IF(Skills!A6="EMPOWERED_PIERCING_ARROW",Inputs!$B$17+((C2703=TRUE)*(F2703-Calc!F22))+(((IF(AND(ArtifactsInput!$M$42,((Inputs!$B$9+((C2700=TRUE)*(F2700-Calc!F19))+B2713+(ArtifactsInput!$M$24-ArtifactsInput!$M$24)*CHOOSE(ArtifactsInput!$N$24+1,10,12,14,16,18,20)+IF(ArtifactsInput!$M$10,CHOOSE(ArtifactsInput!$N$10+1,15,18,21,24,27,30)*(IF(Inputs!$B$38="pvp",MIN(15,15)/15,IF(AND(Inputs!$B$38&lt;&gt;"pvp",Inputs!$B$43&gt;0),MIN(15,Inputs!$B$43)/(Inputs!$B$43),0))),0)))&gt;=100),MIN(100,((Inputs!$B$9+((C2700=TRUE)*(F2700-Calc!F19))+B2713+(ArtifactsInput!$M$24-ArtifactsInput!$M$24)*CHOOSE(ArtifactsInput!$N$24+1,10,12,14,16,18,20)+IF(ArtifactsInput!$M$10,CHOOSE(ArtifactsInput!$N$10+1,15,18,21,24,27,30)*(IF(Inputs!$B$38="pvp",MIN(15,15)/15,IF(AND(Inputs!$B$38&lt;&gt;"pvp",Inputs!$B$43&gt;0),MIN(15,Inputs!$B$43)/(Inputs!$B$43),0))),0)))-100),0))*CHOOSE(ArtifactsInput!$N$42+1,0.6,0.72,0.84,0.96,1.08,1.2))),Inputs!$B$18+((C2708=TRUE)*(F2708-Calc!F27))+(IF(AND(ArtifactsInput!$M$42,((Inputs!$B$9+((C2700=TRUE)*(F2700-Calc!F19))+B2713+(ArtifactsInput!$M$24-ArtifactsInput!$M$24)*CHOOSE(ArtifactsInput!$N$24+1,10,12,14,16,18,20)+IF(ArtifactsInput!$M$10,CHOOSE(ArtifactsInput!$N$10+1,15,18,21,24,27,30)*(IF(Inputs!$B$38="pvp",MIN(15,15)/15,IF(AND(Inputs!$B$38&lt;&gt;"pvp",Inputs!$B$43&gt;0),MIN(15,Inputs!$B$43)/(Inputs!$B$43),0))),0)))&gt;=100),CHOOSE(ArtifactsInput!$N$42+1,40,48,56,64,72,80),0))))/100)*((1+(((C2694=TRUE)*F2694)+((C2695=TRUE)*IF(Inputs!$B$38="pvp",F2695,(1-Summary!$B$11)*(F2695)+Summary!$B$11*(0)))+((C2696=TRUE)*F2696*IF(AND(Inputs!$B$38&lt;&gt;"pvp",Inputs!$B$43&gt;0),(((R2696-1)*(Skills!T15*(1+Inputs!$B$34/100))+MIN((Skills!T15*(1+Inputs!$B$34/100)),MAX(0,Inputs!$B$43-((R2696-1)*Skills!D15))))/Inputs!$B$43),IF(Inputs!$B$38="pvp",MIN((Skills!T15*(1+Inputs!$B$34/100)),15)/15,(Skills!T15*(1+Inputs!$B$34/100))/Skills!D15)))+((C2693=TRUE)*F2693)+((C2710=TRUE)*(F2710-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2687)</f>
        <v/>
      </c>
      <c r="L2687">
        <f>K2687*(MIN(Inputs!$B$22+((C2704=TRUE)*(F2704-Calc!F23)),(Inputs!$B$23+((C2709=TRUE)*(F2709-Calc!F28))+(IF(ArtifactsInput!$M$15,CHOOSE(ArtifactsInput!$N$15+1,25,30,35,40,45,50)/100*(Inputs!$B$11-Inputs!$B$11),0))))/100+(Inputs!$B$23+((C2709=TRUE)*(F2709-Calc!F28))+(IF(ArtifactsInput!$M$15,CHOOSE(ArtifactsInput!$N$15+1,25,30,35,40,45,50)/100*(Inputs!$B$11-Inputs!$B$11),0)))/100)/2</f>
        <v/>
      </c>
      <c r="M2687">
        <f>L2687*(1+(Inputs!$B$10+0+B2718+(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687">
        <f>L2687*(1-MIN((Inputs!$B$9+((C2700=TRUE)*(F2700-Calc!F19))+B2713+(ArtifactsInput!$M$24-ArtifactsInput!$M$24)*CHOOSE(ArtifactsInput!$N$24+1,10,12,14,16,18,20)+(IF(AND(ArtifactsInput!$M$42,((Inputs!$B$9+((C2700=TRUE)*(F2700-Calc!F19))+B2713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2687*(MIN((Inputs!$B$9+((C2700=TRUE)*(F2700-Calc!F19))+B2713+(ArtifactsInput!$M$24-ArtifactsInput!$M$24)*CHOOSE(ArtifactsInput!$N$24+1,10,12,14,16,18,20)+(IF(AND(ArtifactsInput!$M$42,((Inputs!$B$9+((C2700=TRUE)*(F2700-Calc!F19))+B2713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687">
        <f>(1-Summary!$B$11)*T2687+Summary!$B$11*V2687</f>
        <v/>
      </c>
      <c r="P2687">
        <f>IF(B2723=0,0,O2687/B2723)</f>
        <v/>
      </c>
      <c r="Q2687">
        <f>IFERROR(1/IF(Inputs!$B$38="pvp",15,MAX(0.1,Skills!D6-IF(Skills!E6=TRUE,Inputs!$B$32,0))),0)</f>
        <v/>
      </c>
      <c r="R2687">
        <f>IF(AND(Inputs!$B$38&lt;&gt;"pvp",Inputs!$B$43&gt;0),IF(MAX(0,Inputs!$B$43-B2720)&lt;=0,0,(INT(MAX(0,Inputs!$B$43-B2720)/IF(Inputs!$B$38="pvp",15,MAX(0.1,Skills!D6-IF(Skills!E6=TRUE,Inputs!$B$32,0))))+1)),0)</f>
        <v/>
      </c>
      <c r="S2687">
        <f>IFERROR((H2687*N2687*IF(AND(Inputs!$B$38&lt;&gt;"pvp",Inputs!$B$43&gt;0),((Skills!G6*((R2687-1)*IF(Skills!H6&gt;0,Skills!I6/Skills!H6,1)+IF(Skills!H6&gt;0,MIN(Skills!I6,MAX(0,MAX(0,Inputs!$B$43-B2720)-((R2687-1)*IF(Inputs!$B$38="pvp",15,MAX(0.1,Skills!D6-IF(Skills!E6=TRUE,Inputs!$B$32,0))))))/Skills!H6,1)))/Inputs!$B$43),G2687*Q2687))/N2687*IF(Inputs!$B$38="pvp",1,(1-Summary!$B$11)*1+Summary!$B$11*(MIN(Skills!R6,Inputs!$B$37))),0)</f>
        <v/>
      </c>
      <c r="T2687">
        <f>IF(C2687,(H2687*N2687*IF(AND(Inputs!$B$38&lt;&gt;"pvp",Inputs!$B$43&gt;0),((Skills!G6*((R2687-1)*IF(Skills!H6&gt;0,Skills!I6/Skills!H6,1)+IF(Skills!H6&gt;0,MIN(Skills!I6,MAX(0,MAX(0,Inputs!$B$43-B2720)-((R2687-1)*IF(Inputs!$B$38="pvp",15,MAX(0.1,Skills!D6-IF(Skills!E6=TRUE,Inputs!$B$32,0))))))/Skills!H6,1)))/Inputs!$B$43),G2687*Q2687))*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Hunt"),CHOOSE(ArtifactsInput!$N$35+1,15,18,21,24,27,30)*(1-EXP(-(0.2*B2715)*5)),0)+IF(AND(ArtifactsInput!$M$22,Inputs!$B$4&lt;&gt;"Chapter Hunt"),CHOOSE(ArtifactsInput!$N$22+1,10,12,14,16,18,20)*((0*(((0.15*B2715*5))^0/1)+1*(((0.15*B2715*5))^1/1)+2*(((0.15*B2715*5))^2/2)+3*(((0.15*B2715*5))^3/6)+4*(((0.15*B2715*5))^4/24)+5*(((0.15*B2715*5))^5/120))/((((0.15*B2715*5))^0/1)+(((0.15*B2715*5))^1/1)+(((0.15*B2715*5))^2/2)+(((0.15*B2715*5))^3/6)+(((0.15*B2715*5))^4/24)+(((0.15*B2715*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2687*(1-MIN(100,(Inputs!$B$9+((C2700=TRUE)*(F2700-Calc!F19))+B2713+(ArtifactsInput!$M$24-ArtifactsInput!$M$24)*CHOOSE(ArtifactsInput!$N$24+1,10,12,14,16,18,20)+(IF(AND(ArtifactsInput!$M$42,((Inputs!$B$9+((C2700=TRUE)*(F2700-Calc!F19))+B2713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2687*(MIN(100,(Inputs!$B$9+((C2700=TRUE)*(F2700-Calc!F19))+B2713+(ArtifactsInput!$M$24-ArtifactsInput!$M$24)*CHOOSE(ArtifactsInput!$N$24+1,10,12,14,16,18,20)+(IF(AND(ArtifactsInput!$M$42,((Inputs!$B$9+((C2700=TRUE)*(F2700-Calc!F19))+B2713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2687*(1-MIN(100,(Inputs!$B$9+((C2700=TRUE)*(F2700-Calc!F19))+B2713+(ArtifactsInput!$M$24-ArtifactsInput!$M$24)*CHOOSE(ArtifactsInput!$N$24+1,10,12,14,16,18,20)+(IF(AND(ArtifactsInput!$M$42,((Inputs!$B$9+((C2700=TRUE)*(F2700-Calc!F19))+B2713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2687*(MIN(100,(Inputs!$B$9+((C2700=TRUE)*(F2700-Calc!F19))+B2713+(ArtifactsInput!$M$24-ArtifactsInput!$M$24)*CHOOSE(ArtifactsInput!$N$24+1,10,12,14,16,18,20)+(IF(AND(ArtifactsInput!$M$42,((Inputs!$B$9+((C2700=TRUE)*(F2700-Calc!F19))+B2713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687">
        <f>IF(C2687,(H2687*N2687*IF(AND(Inputs!$B$38&lt;&gt;"pvp",Inputs!$B$43&gt;0),((Skills!G6*((R2687-1)*IF(Skills!H6&gt;0,Skills!I6/Skills!H6,1)+IF(Skills!H6&gt;0,MIN(Skills!I6,MAX(0,MAX(0,Inputs!$B$43-B2720)-((R2687-1)*IF(Inputs!$B$38="pvp",15,MAX(0.1,Skills!D6-IF(Skills!E6=TRUE,Inputs!$B$32,0))))))/Skills!H6,1)))/Inputs!$B$43),G2687*Q2687))*IF(Inputs!$B$38="pvp",1,(1+(Inputs!$B$21+Skills!Q6+(IF(ArtifactsInput!$M$33,CHOOSE(ArtifactsInput!$N$33+1,30,36,42,48,54,60),0))+(IF(AND(ArtifactsInput!$M$35,Inputs!$B$4&lt;&gt;"Chapter Hunt"),CHOOSE(ArtifactsInput!$N$35+1,15,18,21,24,27,30)*(1-EXP(-(0.2*B2715)*5)),0)+IF(AND(ArtifactsInput!$M$22,Inputs!$B$4&lt;&gt;"Chapter Hunt"),CHOOSE(ArtifactsInput!$N$22+1,10,12,14,16,18,20)*((0*(((0.15*B2715*5))^0/1)+1*(((0.15*B2715*5))^1/1)+2*(((0.15*B2715*5))^2/2)+3*(((0.15*B2715*5))^3/6)+4*(((0.15*B2715*5))^4/24)+5*(((0.15*B2715*5))^5/120))/((((0.15*B2715*5))^0/1)+(((0.15*B2715*5))^1/1)+(((0.15*B2715*5))^2/2)+(((0.15*B2715*5))^3/6)+(((0.15*B2715*5))^4/24)+(((0.15*B2715*5))^5/120))),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688">
      <c r="A2688">
        <f>Skills!A7</f>
        <v/>
      </c>
      <c r="B2688">
        <f>Skills!B7</f>
        <v/>
      </c>
      <c r="C2688">
        <f>Inputs!$B$3&gt;=69</f>
        <v/>
      </c>
      <c r="D2688">
        <f>IF(Skills!C7=1,60+Inputs!$B$25+Inputs!$B$29,IF(Skills!C7=2,90+Inputs!$B$26+Inputs!$B$29,IF(Skills!C7=3,120+Inputs!$B$27+Inputs!$B$29,MAX(0,(Inputs!$B$3-100)*3)+Inputs!$B$28+Inputs!$B$29)))</f>
        <v/>
      </c>
      <c r="E2688">
        <f>INDEX(FactorTable!$B$2:$Y$301, MATCH(ROUND(MIN(300,MAX(1,D2688)),0), FactorTable!$A$2:$A$301,0), Skills!M7+1)</f>
        <v/>
      </c>
      <c r="F2688">
        <f>IF(Skills!N7=TRUE,(Skills!L7/10)*(E2688/1000),Skills!L7/10)+Skills!O7</f>
        <v/>
      </c>
      <c r="G2688">
        <f>Skills!G7*IF(Skills!H7&gt;0,Skills!I7/Skills!H7,1)</f>
        <v/>
      </c>
      <c r="H2688">
        <f>1-(1-Skills!J7/100)^Skills!K7</f>
        <v/>
      </c>
      <c r="I2688" t="inlineStr">
        <is>
          <t>1</t>
        </is>
      </c>
      <c r="J2688">
        <f>((Inputs!$B$6*(1+Inputs!$B$7/100))+(((Inputs!$B$12*(1+Inputs!$B$13/100))-(Inputs!$B$12*(1+Inputs!$B$13/100)))+0.25*(Inputs!$B$14-Inputs!$B$14))*(1+Inputs!$B$7/100))*(F2688/100)</f>
        <v/>
      </c>
      <c r="K2688">
        <f>J2688*(1+((Inputs!$B$12*(1+Inputs!$B$13/100))*0.01+Inputs!$B$14*0.0025)/100)*(1+Inputs!$B$15/100)*(1+Inputs!$B$16/100)*(5000/(6000+Inputs!$B$42*(1-(100*(1-(1-(Inputs!$B$19+0)/100)*(1-CHOOSE(ArtifactsInput!$N$40+1,5,6,7,8,9,10)/100)^(ArtifactsInput!$M$40-ArtifactsInput!$M$40)))/100)))*(1+(Inputs!$B$24+((C2705=TRUE)*(F2705-Calc!F24))+((C2706=TRUE)*(F2706-Calc!F25))+B2719)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IF(ArtifactsInput!$M$39,FALSE,TRUE)-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+1.2*IF(C2689=TRUE,F2689,0)/100)*(1+(IF(Skills!A7="EMPOWERED_PIERCING_ARROW",Inputs!$B$17+((C2703=TRUE)*(F2703-Calc!F22))+(((IF(AND(ArtifactsInput!$M$42,((Inputs!$B$9+((C2700=TRUE)*(F2700-Calc!F19))+B2713+(ArtifactsInput!$M$24-ArtifactsInput!$M$24)*CHOOSE(ArtifactsInput!$N$24+1,10,12,14,16,18,20)+IF(ArtifactsInput!$M$10,CHOOSE(ArtifactsInput!$N$10+1,15,18,21,24,27,30)*(IF(Inputs!$B$38="pvp",MIN(15,15)/15,IF(AND(Inputs!$B$38&lt;&gt;"pvp",Inputs!$B$43&gt;0),MIN(15,Inputs!$B$43)/(Inputs!$B$43),0))),0)))&gt;=100),MIN(100,((Inputs!$B$9+((C2700=TRUE)*(F2700-Calc!F19))+B2713+(ArtifactsInput!$M$24-ArtifactsInput!$M$24)*CHOOSE(ArtifactsInput!$N$24+1,10,12,14,16,18,20)+IF(ArtifactsInput!$M$10,CHOOSE(ArtifactsInput!$N$10+1,15,18,21,24,27,30)*(IF(Inputs!$B$38="pvp",MIN(15,15)/15,IF(AND(Inputs!$B$38&lt;&gt;"pvp",Inputs!$B$43&gt;0),MIN(15,Inputs!$B$43)/(Inputs!$B$43),0))),0)))-100),0))*CHOOSE(ArtifactsInput!$N$42+1,0.6,0.72,0.84,0.96,1.08,1.2))),Inputs!$B$18+((C2708=TRUE)*(F2708-Calc!F27))+(IF(AND(ArtifactsInput!$M$42,((Inputs!$B$9+((C2700=TRUE)*(F2700-Calc!F19))+B2713+(ArtifactsInput!$M$24-ArtifactsInput!$M$24)*CHOOSE(ArtifactsInput!$N$24+1,10,12,14,16,18,20)+IF(ArtifactsInput!$M$10,CHOOSE(ArtifactsInput!$N$10+1,15,18,21,24,27,30)*(IF(Inputs!$B$38="pvp",MIN(15,15)/15,IF(AND(Inputs!$B$38&lt;&gt;"pvp",Inputs!$B$43&gt;0),MIN(15,Inputs!$B$43)/(Inputs!$B$43),0))),0)))&gt;=100),CHOOSE(ArtifactsInput!$N$42+1,40,48,56,64,72,80),0))))/100)*((1+(((C2694=TRUE)*F2694)+((C2695=TRUE)*IF(Inputs!$B$38="pvp",F2695,(1-Summary!$B$11)*(F2695)+Summary!$B$11*(0)))+((C2696=TRUE)*F2696*IF(AND(Inputs!$B$38&lt;&gt;"pvp",Inputs!$B$43&gt;0),(((R2696-1)*(Skills!T15*(1+Inputs!$B$34/100))+MIN((Skills!T15*(1+Inputs!$B$34/100)),MAX(0,Inputs!$B$43-((R2696-1)*Skills!D15))))/Inputs!$B$43),IF(Inputs!$B$38="pvp",MIN((Skills!T15*(1+Inputs!$B$34/100)),15)/15,(Skills!T15*(1+Inputs!$B$34/100))/Skills!D15)))+((C2693=TRUE)*F2693)+((C2710=TRUE)*(F2710-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2688)</f>
        <v/>
      </c>
      <c r="L2688">
        <f>K2688*(MIN(Inputs!$B$22+((C2704=TRUE)*(F2704-Calc!F23)),(Inputs!$B$23+((C2709=TRUE)*(F2709-Calc!F28))+(IF(ArtifactsInput!$M$15,CHOOSE(ArtifactsInput!$N$15+1,25,30,35,40,45,50)/100*(Inputs!$B$11-Inputs!$B$11),0))))/100+(Inputs!$B$23+((C2709=TRUE)*(F2709-Calc!F28))+(IF(ArtifactsInput!$M$15,CHOOSE(ArtifactsInput!$N$15+1,25,30,35,40,45,50)/100*(Inputs!$B$11-Inputs!$B$11),0)))/100)/2</f>
        <v/>
      </c>
      <c r="M2688">
        <f>L2688*(1+(Inputs!$B$10+0+B2718+(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688">
        <f>L2688*(1-MIN((Inputs!$B$9+((C2700=TRUE)*(F2700-Calc!F19))+B2713+(ArtifactsInput!$M$24-ArtifactsInput!$M$24)*CHOOSE(ArtifactsInput!$N$24+1,10,12,14,16,18,20)+(IF(AND(ArtifactsInput!$M$42,((Inputs!$B$9+((C2700=TRUE)*(F2700-Calc!F19))+B2713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2688*(MIN((Inputs!$B$9+((C2700=TRUE)*(F2700-Calc!F19))+B2713+(ArtifactsInput!$M$24-ArtifactsInput!$M$24)*CHOOSE(ArtifactsInput!$N$24+1,10,12,14,16,18,20)+(IF(AND(ArtifactsInput!$M$42,((Inputs!$B$9+((C2700=TRUE)*(F2700-Calc!F19))+B2713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688">
        <f>(1-Summary!$B$11)*T2688+Summary!$B$11*V2688</f>
        <v/>
      </c>
      <c r="P2688">
        <f>IF(B2723=0,0,O2688/B2723)</f>
        <v/>
      </c>
      <c r="Q2688">
        <f>IFERROR(1/IF(Inputs!$B$38="pvp",15,MAX(0.1,Skills!D7-IF(Skills!E7=TRUE,Inputs!$B$32,0))),0)</f>
        <v/>
      </c>
      <c r="R2688">
        <f>IF(AND(Inputs!$B$38&lt;&gt;"pvp",Inputs!$B$43&gt;0),IF(MAX(0,Inputs!$B$43-B2720)&lt;=0,0,(INT(MAX(0,Inputs!$B$43-B2720)/IF(Inputs!$B$38="pvp",15,MAX(0.1,Skills!D7-IF(Skills!E7=TRUE,Inputs!$B$32,0))))+1)),0)</f>
        <v/>
      </c>
      <c r="S2688">
        <f>IFERROR((H2688*N2688*IF(AND(Inputs!$B$38&lt;&gt;"pvp",Inputs!$B$43&gt;0),((Skills!G7*((R2688-1)*IF(Skills!H7&gt;0,Skills!I7/Skills!H7,1)+IF(Skills!H7&gt;0,MIN(Skills!I7,MAX(0,MAX(0,Inputs!$B$43-B2720)-((R2688-1)*IF(Inputs!$B$38="pvp",15,MAX(0.1,Skills!D7-IF(Skills!E7=TRUE,Inputs!$B$32,0))))))/Skills!H7,1)))/Inputs!$B$43),G2688*Q2688))/N2688*IF(Inputs!$B$38="pvp",1,(1-Summary!$B$11)*1+Summary!$B$11*(MIN(Skills!R7,Inputs!$B$37))),0)</f>
        <v/>
      </c>
      <c r="T2688">
        <f>IF(C2688,(H2688*N2688*IF(AND(Inputs!$B$38&lt;&gt;"pvp",Inputs!$B$43&gt;0),((Skills!G7*((R2688-1)*IF(Skills!H7&gt;0,Skills!I7/Skills!H7,1)+IF(Skills!H7&gt;0,MIN(Skills!I7,MAX(0,MAX(0,Inputs!$B$43-B2720)-((R2688-1)*IF(Inputs!$B$38="pvp",15,MAX(0.1,Skills!D7-IF(Skills!E7=TRUE,Inputs!$B$32,0))))))/Skills!H7,1)))/Inputs!$B$43),G2688*Q2688))*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Hunt"),CHOOSE(ArtifactsInput!$N$35+1,15,18,21,24,27,30)*(1-EXP(-(0.2*B2715)*5)),0)+IF(AND(ArtifactsInput!$M$22,Inputs!$B$4&lt;&gt;"Chapter Hunt"),CHOOSE(ArtifactsInput!$N$22+1,10,12,14,16,18,20)*((0*(((0.15*B2715*5))^0/1)+1*(((0.15*B2715*5))^1/1)+2*(((0.15*B2715*5))^2/2)+3*(((0.15*B2715*5))^3/6)+4*(((0.15*B2715*5))^4/24)+5*(((0.15*B2715*5))^5/120))/((((0.15*B2715*5))^0/1)+(((0.15*B2715*5))^1/1)+(((0.15*B2715*5))^2/2)+(((0.15*B2715*5))^3/6)+(((0.15*B2715*5))^4/24)+(((0.15*B2715*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2688*(1-MIN(100,(Inputs!$B$9+((C2700=TRUE)*(F2700-Calc!F19))+B2713+(ArtifactsInput!$M$24-ArtifactsInput!$M$24)*CHOOSE(ArtifactsInput!$N$24+1,10,12,14,16,18,20)+(IF(AND(ArtifactsInput!$M$42,((Inputs!$B$9+((C2700=TRUE)*(F2700-Calc!F19))+B2713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2688*(MIN(100,(Inputs!$B$9+((C2700=TRUE)*(F2700-Calc!F19))+B2713+(ArtifactsInput!$M$24-ArtifactsInput!$M$24)*CHOOSE(ArtifactsInput!$N$24+1,10,12,14,16,18,20)+(IF(AND(ArtifactsInput!$M$42,((Inputs!$B$9+((C2700=TRUE)*(F2700-Calc!F19))+B2713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2688*(1-MIN(100,(Inputs!$B$9+((C2700=TRUE)*(F2700-Calc!F19))+B2713+(ArtifactsInput!$M$24-ArtifactsInput!$M$24)*CHOOSE(ArtifactsInput!$N$24+1,10,12,14,16,18,20)+(IF(AND(ArtifactsInput!$M$42,((Inputs!$B$9+((C2700=TRUE)*(F2700-Calc!F19))+B2713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2688*(MIN(100,(Inputs!$B$9+((C2700=TRUE)*(F2700-Calc!F19))+B2713+(ArtifactsInput!$M$24-ArtifactsInput!$M$24)*CHOOSE(ArtifactsInput!$N$24+1,10,12,14,16,18,20)+(IF(AND(ArtifactsInput!$M$42,((Inputs!$B$9+((C2700=TRUE)*(F2700-Calc!F19))+B2713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688">
        <f>IF(C2688,(H2688*N2688*IF(AND(Inputs!$B$38&lt;&gt;"pvp",Inputs!$B$43&gt;0),((Skills!G7*((R2688-1)*IF(Skills!H7&gt;0,Skills!I7/Skills!H7,1)+IF(Skills!H7&gt;0,MIN(Skills!I7,MAX(0,MAX(0,Inputs!$B$43-B2720)-((R2688-1)*IF(Inputs!$B$38="pvp",15,MAX(0.1,Skills!D7-IF(Skills!E7=TRUE,Inputs!$B$32,0))))))/Skills!H7,1)))/Inputs!$B$43),G2688*Q2688))*IF(Inputs!$B$38="pvp",1,(1+(Inputs!$B$21+Skills!Q7+(IF(ArtifactsInput!$M$33,CHOOSE(ArtifactsInput!$N$33+1,30,36,42,48,54,60),0))+(IF(AND(ArtifactsInput!$M$35,Inputs!$B$4&lt;&gt;"Chapter Hunt"),CHOOSE(ArtifactsInput!$N$35+1,15,18,21,24,27,30)*(1-EXP(-(0.2*B2715)*5)),0)+IF(AND(ArtifactsInput!$M$22,Inputs!$B$4&lt;&gt;"Chapter Hunt"),CHOOSE(ArtifactsInput!$N$22+1,10,12,14,16,18,20)*((0*(((0.15*B2715*5))^0/1)+1*(((0.15*B2715*5))^1/1)+2*(((0.15*B2715*5))^2/2)+3*(((0.15*B2715*5))^3/6)+4*(((0.15*B2715*5))^4/24)+5*(((0.15*B2715*5))^5/120))/((((0.15*B2715*5))^0/1)+(((0.15*B2715*5))^1/1)+(((0.15*B2715*5))^2/2)+(((0.15*B2715*5))^3/6)+(((0.15*B2715*5))^4/24)+(((0.15*B2715*5))^5/120))),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689">
      <c r="A2689">
        <f>Skills!A8</f>
        <v/>
      </c>
      <c r="B2689">
        <f>Skills!B8</f>
        <v/>
      </c>
      <c r="C2689">
        <f>Inputs!$B$3&gt;=100</f>
        <v/>
      </c>
      <c r="D2689">
        <f>IF(Skills!C8=1,60+Inputs!$B$25+Inputs!$B$29,IF(Skills!C8=2,90+Inputs!$B$26+Inputs!$B$29,IF(Skills!C8=3,120+Inputs!$B$27+Inputs!$B$29,MAX(0,(Inputs!$B$3-100)*3)+Inputs!$B$28+Inputs!$B$29)))</f>
        <v/>
      </c>
      <c r="E2689">
        <f>INDEX(FactorTable!$B$2:$Y$301, MATCH(ROUND(MIN(300,MAX(1,D2689)),0), FactorTable!$A$2:$A$301,0), Skills!M8+1)</f>
        <v/>
      </c>
      <c r="F2689">
        <f>IF(Skills!N8=TRUE,(Skills!L8/10)*(E2689/1000),Skills!L8/10)+Skills!O8</f>
        <v/>
      </c>
      <c r="G2689" t="inlineStr"/>
      <c r="H2689" t="inlineStr"/>
      <c r="I2689" t="inlineStr">
        <is>
          <t>1</t>
        </is>
      </c>
      <c r="J2689" t="inlineStr"/>
      <c r="K2689" t="inlineStr"/>
      <c r="L2689" t="inlineStr"/>
      <c r="M2689" t="inlineStr"/>
      <c r="N2689" t="inlineStr"/>
      <c r="O2689" t="inlineStr"/>
      <c r="P2689" t="inlineStr"/>
      <c r="Q2689" t="inlineStr"/>
      <c r="R2689" t="inlineStr"/>
      <c r="S2689" t="inlineStr"/>
      <c r="T2689" t="inlineStr"/>
      <c r="V2689" t="inlineStr"/>
    </row>
    <row r="2690">
      <c r="A2690">
        <f>Skills!A9</f>
        <v/>
      </c>
      <c r="B2690">
        <f>Skills!B9</f>
        <v/>
      </c>
      <c r="C2690">
        <f>Inputs!$B$3&gt;=103</f>
        <v/>
      </c>
      <c r="D2690">
        <f>IF(Skills!C9=1,60+Inputs!$B$25+Inputs!$B$29,IF(Skills!C9=2,90+Inputs!$B$26+Inputs!$B$29,IF(Skills!C9=3,120+Inputs!$B$27+Inputs!$B$29,MAX(0,(Inputs!$B$3-100)*3)+Inputs!$B$28+Inputs!$B$29)))</f>
        <v/>
      </c>
      <c r="E2690">
        <f>INDEX(FactorTable!$B$2:$Y$301, MATCH(ROUND(MIN(300,MAX(1,D2690)),0), FactorTable!$A$2:$A$301,0), Skills!M9+1)</f>
        <v/>
      </c>
      <c r="F2690">
        <f>IF(Skills!N9=TRUE,(Skills!L9/10)*(E2690/1000),Skills!L9/10)+Skills!O9</f>
        <v/>
      </c>
      <c r="G2690">
        <f>Skills!G9*IF(Skills!H9&gt;0,Skills!I9/Skills!H9,1)</f>
        <v/>
      </c>
      <c r="H2690">
        <f>1-(1-Skills!J9/100)^Skills!K9</f>
        <v/>
      </c>
      <c r="I2690" t="inlineStr">
        <is>
          <t>1</t>
        </is>
      </c>
      <c r="J2690">
        <f>((Inputs!$B$6*(1+Inputs!$B$7/100))+(((Inputs!$B$12*(1+Inputs!$B$13/100))-(Inputs!$B$12*(1+Inputs!$B$13/100)))+0.25*(Inputs!$B$14-Inputs!$B$14))*(1+Inputs!$B$7/100))*(F2690/100)</f>
        <v/>
      </c>
      <c r="K2690">
        <f>J2690*(1+((Inputs!$B$12*(1+Inputs!$B$13/100))*0.01+Inputs!$B$14*0.0025)/100)*(1+Inputs!$B$15/100)*(1+Inputs!$B$16/100)*(5000/(6000+Inputs!$B$42*(1-(100*(1-(1-(Inputs!$B$19+0)/100)*(1-CHOOSE(ArtifactsInput!$N$40+1,5,6,7,8,9,10)/100)^(ArtifactsInput!$M$40-ArtifactsInput!$M$40)))/100)))*(1+(Inputs!$B$24+((C2705=TRUE)*(F2705-Calc!F24))+((C2706=TRUE)*(F2706-Calc!F25))+B2719)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IF(ArtifactsInput!$M$39,FALSE,TRUE)-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EMPOWERED_PIERCING_ARROW",Inputs!$B$17+((C2703=TRUE)*(F2703-Calc!F22))+(((IF(AND(ArtifactsInput!$M$42,((Inputs!$B$9+((C2700=TRUE)*(F2700-Calc!F19))+B2713+(ArtifactsInput!$M$24-ArtifactsInput!$M$24)*CHOOSE(ArtifactsInput!$N$24+1,10,12,14,16,18,20)+IF(ArtifactsInput!$M$10,CHOOSE(ArtifactsInput!$N$10+1,15,18,21,24,27,30)*(IF(Inputs!$B$38="pvp",MIN(15,15)/15,IF(AND(Inputs!$B$38&lt;&gt;"pvp",Inputs!$B$43&gt;0),MIN(15,Inputs!$B$43)/(Inputs!$B$43),0))),0)))&gt;=100),MIN(100,((Inputs!$B$9+((C2700=TRUE)*(F2700-Calc!F19))+B2713+(ArtifactsInput!$M$24-ArtifactsInput!$M$24)*CHOOSE(ArtifactsInput!$N$24+1,10,12,14,16,18,20)+IF(ArtifactsInput!$M$10,CHOOSE(ArtifactsInput!$N$10+1,15,18,21,24,27,30)*(IF(Inputs!$B$38="pvp",MIN(15,15)/15,IF(AND(Inputs!$B$38&lt;&gt;"pvp",Inputs!$B$43&gt;0),MIN(15,Inputs!$B$43)/(Inputs!$B$43),0))),0)))-100),0))*CHOOSE(ArtifactsInput!$N$42+1,0.6,0.72,0.84,0.96,1.08,1.2))),Inputs!$B$18+((C2708=TRUE)*(F2708-Calc!F27))+(IF(AND(ArtifactsInput!$M$42,((Inputs!$B$9+((C2700=TRUE)*(F2700-Calc!F19))+B2713+(ArtifactsInput!$M$24-ArtifactsInput!$M$24)*CHOOSE(ArtifactsInput!$N$24+1,10,12,14,16,18,20)+IF(ArtifactsInput!$M$10,CHOOSE(ArtifactsInput!$N$10+1,15,18,21,24,27,30)*(IF(Inputs!$B$38="pvp",MIN(15,15)/15,IF(AND(Inputs!$B$38&lt;&gt;"pvp",Inputs!$B$43&gt;0),MIN(15,Inputs!$B$43)/(Inputs!$B$43),0))),0)))&gt;=100),CHOOSE(ArtifactsInput!$N$42+1,40,48,56,64,72,80),0))))/100)*((1+(((C2694=TRUE)*F2694)+((C2695=TRUE)*IF(Inputs!$B$38="pvp",F2695,(1-Summary!$B$11)*(F2695)+Summary!$B$11*(0)))+((C2696=TRUE)*F2696*IF(AND(Inputs!$B$38&lt;&gt;"pvp",Inputs!$B$43&gt;0),(((R2696-1)*(Skills!T15*(1+Inputs!$B$34/100))+MIN((Skills!T15*(1+Inputs!$B$34/100)),MAX(0,Inputs!$B$43-((R2696-1)*Skills!D15))))/Inputs!$B$43),IF(Inputs!$B$38="pvp",MIN((Skills!T15*(1+Inputs!$B$34/100)),15)/15,(Skills!T15*(1+Inputs!$B$34/100))/Skills!D15)))+((C2693=TRUE)*F2693)+((C2710=TRUE)*(F2710-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2690)</f>
        <v/>
      </c>
      <c r="L2690">
        <f>K2690*(MIN(Inputs!$B$22+((C2704=TRUE)*(F2704-Calc!F23)),(Inputs!$B$23+((C2709=TRUE)*(F2709-Calc!F28))+(IF(ArtifactsInput!$M$15,CHOOSE(ArtifactsInput!$N$15+1,25,30,35,40,45,50)/100*(Inputs!$B$11-Inputs!$B$11),0))))/100+(Inputs!$B$23+((C2709=TRUE)*(F2709-Calc!F28))+(IF(ArtifactsInput!$M$15,CHOOSE(ArtifactsInput!$N$15+1,25,30,35,40,45,50)/100*(Inputs!$B$11-Inputs!$B$11),0)))/100)/2</f>
        <v/>
      </c>
      <c r="M2690">
        <f>L2690*(1+(Inputs!$B$10+0+B2718+(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690">
        <f>L2690*(1-MIN((Inputs!$B$9+((C2700=TRUE)*(F2700-Calc!F19))+B2713+(ArtifactsInput!$M$24-ArtifactsInput!$M$24)*CHOOSE(ArtifactsInput!$N$24+1,10,12,14,16,18,20)+(IF(AND(ArtifactsInput!$M$42,((Inputs!$B$9+((C2700=TRUE)*(F2700-Calc!F19))+B2713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2690*(MIN((Inputs!$B$9+((C2700=TRUE)*(F2700-Calc!F19))+B2713+(ArtifactsInput!$M$24-ArtifactsInput!$M$24)*CHOOSE(ArtifactsInput!$N$24+1,10,12,14,16,18,20)+(IF(AND(ArtifactsInput!$M$42,((Inputs!$B$9+((C2700=TRUE)*(F2700-Calc!F19))+B2713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690">
        <f>(1-Summary!$B$11)*T2690+Summary!$B$11*V2690</f>
        <v/>
      </c>
      <c r="P2690">
        <f>IF(B2723=0,0,O2690/B2723)</f>
        <v/>
      </c>
      <c r="Q2690">
        <f>IFERROR(1/IF(Inputs!$B$38="pvp",15,MAX(0.1,Skills!D9-IF(Skills!E9=TRUE,Inputs!$B$32,0))),0)</f>
        <v/>
      </c>
      <c r="R2690">
        <f>IF(AND(Inputs!$B$38&lt;&gt;"pvp",Inputs!$B$43&gt;0),IF(MAX(0,Inputs!$B$43-B2720)&lt;=0,0,(INT(MAX(0,Inputs!$B$43-B2720)/IF(Inputs!$B$38="pvp",15,MAX(0.1,Skills!D9-IF(Skills!E9=TRUE,Inputs!$B$32,0))))+1)),0)</f>
        <v/>
      </c>
      <c r="S2690">
        <f>IFERROR((H2690*N2690*IF(AND(Inputs!$B$38&lt;&gt;"pvp",Inputs!$B$43&gt;0),((Skills!G9*((R2690-1)*IF(Skills!H9&gt;0,Skills!I9/Skills!H9,1)+IF(Skills!H9&gt;0,MIN(Skills!I9,MAX(0,MAX(0,Inputs!$B$43-B2720)-((R2690-1)*IF(Inputs!$B$38="pvp",15,MAX(0.1,Skills!D9-IF(Skills!E9=TRUE,Inputs!$B$32,0))))))/Skills!H9,1)))/Inputs!$B$43),G2690*Q2690))/N2690*IF(Inputs!$B$38="pvp",1,(1-Summary!$B$11)*1+Summary!$B$11*(MIN(Skills!R9,Inputs!$B$37))),0)</f>
        <v/>
      </c>
      <c r="T2690">
        <f>IF(C2690,(H2690*N2690*IF(AND(Inputs!$B$38&lt;&gt;"pvp",Inputs!$B$43&gt;0),((Skills!G9*((R2690-1)*IF(Skills!H9&gt;0,Skills!I9/Skills!H9,1)+IF(Skills!H9&gt;0,MIN(Skills!I9,MAX(0,MAX(0,Inputs!$B$43-B2720)-((R2690-1)*IF(Inputs!$B$38="pvp",15,MAX(0.1,Skills!D9-IF(Skills!E9=TRUE,Inputs!$B$32,0))))))/Skills!H9,1)))/Inputs!$B$43),G2690*Q2690))*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Hunt"),CHOOSE(ArtifactsInput!$N$35+1,15,18,21,24,27,30)*(1-EXP(-(0.2*B2715)*5)),0)+IF(AND(ArtifactsInput!$M$22,Inputs!$B$4&lt;&gt;"Chapter Hunt"),CHOOSE(ArtifactsInput!$N$22+1,10,12,14,16,18,20)*((0*(((0.15*B2715*5))^0/1)+1*(((0.15*B2715*5))^1/1)+2*(((0.15*B2715*5))^2/2)+3*(((0.15*B2715*5))^3/6)+4*(((0.15*B2715*5))^4/24)+5*(((0.15*B2715*5))^5/120))/((((0.15*B2715*5))^0/1)+(((0.15*B2715*5))^1/1)+(((0.15*B2715*5))^2/2)+(((0.15*B2715*5))^3/6)+(((0.15*B2715*5))^4/24)+(((0.15*B2715*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2690*(1-MIN(100,(Inputs!$B$9+((C2700=TRUE)*(F2700-Calc!F19))+B2713+(ArtifactsInput!$M$24-ArtifactsInput!$M$24)*CHOOSE(ArtifactsInput!$N$24+1,10,12,14,16,18,20)+(IF(AND(ArtifactsInput!$M$42,((Inputs!$B$9+((C2700=TRUE)*(F2700-Calc!F19))+B2713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2690*(MIN(100,(Inputs!$B$9+((C2700=TRUE)*(F2700-Calc!F19))+B2713+(ArtifactsInput!$M$24-ArtifactsInput!$M$24)*CHOOSE(ArtifactsInput!$N$24+1,10,12,14,16,18,20)+(IF(AND(ArtifactsInput!$M$42,((Inputs!$B$9+((C2700=TRUE)*(F2700-Calc!F19))+B2713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2690*(1-MIN(100,(Inputs!$B$9+((C2700=TRUE)*(F2700-Calc!F19))+B2713+(ArtifactsInput!$M$24-ArtifactsInput!$M$24)*CHOOSE(ArtifactsInput!$N$24+1,10,12,14,16,18,20)+(IF(AND(ArtifactsInput!$M$42,((Inputs!$B$9+((C2700=TRUE)*(F2700-Calc!F19))+B2713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2690*(MIN(100,(Inputs!$B$9+((C2700=TRUE)*(F2700-Calc!F19))+B2713+(ArtifactsInput!$M$24-ArtifactsInput!$M$24)*CHOOSE(ArtifactsInput!$N$24+1,10,12,14,16,18,20)+(IF(AND(ArtifactsInput!$M$42,((Inputs!$B$9+((C2700=TRUE)*(F2700-Calc!F19))+B2713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690">
        <f>IF(C2690,(H2690*N2690*IF(AND(Inputs!$B$38&lt;&gt;"pvp",Inputs!$B$43&gt;0),((Skills!G9*((R2690-1)*IF(Skills!H9&gt;0,Skills!I9/Skills!H9,1)+IF(Skills!H9&gt;0,MIN(Skills!I9,MAX(0,MAX(0,Inputs!$B$43-B2720)-((R2690-1)*IF(Inputs!$B$38="pvp",15,MAX(0.1,Skills!D9-IF(Skills!E9=TRUE,Inputs!$B$32,0))))))/Skills!H9,1)))/Inputs!$B$43),G2690*Q2690))*IF(Inputs!$B$38="pvp",1,(1+(Inputs!$B$21+Skills!Q9+(IF(ArtifactsInput!$M$33,CHOOSE(ArtifactsInput!$N$33+1,30,36,42,48,54,60),0))+(IF(AND(ArtifactsInput!$M$35,Inputs!$B$4&lt;&gt;"Chapter Hunt"),CHOOSE(ArtifactsInput!$N$35+1,15,18,21,24,27,30)*(1-EXP(-(0.2*B2715)*5)),0)+IF(AND(ArtifactsInput!$M$22,Inputs!$B$4&lt;&gt;"Chapter Hunt"),CHOOSE(ArtifactsInput!$N$22+1,10,12,14,16,18,20)*((0*(((0.15*B2715*5))^0/1)+1*(((0.15*B2715*5))^1/1)+2*(((0.15*B2715*5))^2/2)+3*(((0.15*B2715*5))^3/6)+4*(((0.15*B2715*5))^4/24)+5*(((0.15*B2715*5))^5/120))/((((0.15*B2715*5))^0/1)+(((0.15*B2715*5))^1/1)+(((0.15*B2715*5))^2/2)+(((0.15*B2715*5))^3/6)+(((0.15*B2715*5))^4/24)+(((0.15*B2715*5))^5/120)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691">
      <c r="A2691">
        <f>Skills!A10</f>
        <v/>
      </c>
      <c r="B2691">
        <f>Skills!B10</f>
        <v/>
      </c>
      <c r="C2691">
        <f>Inputs!$B$3&gt;=107</f>
        <v/>
      </c>
      <c r="D2691">
        <f>IF(Skills!C10=1,60+Inputs!$B$25+Inputs!$B$29,IF(Skills!C10=2,90+Inputs!$B$26+Inputs!$B$29,IF(Skills!C10=3,120+Inputs!$B$27+Inputs!$B$29,MAX(0,(Inputs!$B$3-100)*3)+Inputs!$B$28+Inputs!$B$29)))</f>
        <v/>
      </c>
      <c r="E2691">
        <f>INDEX(FactorTable!$B$2:$Y$301, MATCH(ROUND(MIN(300,MAX(1,D2691)),0), FactorTable!$A$2:$A$301,0), Skills!M10+1)</f>
        <v/>
      </c>
      <c r="F2691">
        <f>IF(Skills!N10=TRUE,(Skills!L10/10)*(E2691/1000),Skills!L10/10)+Skills!O10</f>
        <v/>
      </c>
      <c r="G2691">
        <f>Skills!G10*IF(Skills!H10&gt;0,Skills!I10/Skills!H10,1)</f>
        <v/>
      </c>
      <c r="H2691">
        <f>1-(1-Skills!J10/100)^Skills!K10</f>
        <v/>
      </c>
      <c r="I2691" t="inlineStr">
        <is>
          <t>1</t>
        </is>
      </c>
      <c r="J2691">
        <f>((Inputs!$B$6*(1+Inputs!$B$7/100))+(((Inputs!$B$12*(1+Inputs!$B$13/100))-(Inputs!$B$12*(1+Inputs!$B$13/100)))+0.25*(Inputs!$B$14-Inputs!$B$14))*(1+Inputs!$B$7/100))*(F2691/100)</f>
        <v/>
      </c>
      <c r="K2691">
        <f>J2691*(1+((Inputs!$B$12*(1+Inputs!$B$13/100))*0.01+Inputs!$B$14*0.0025)/100)*(1+Inputs!$B$15/100)*(1+Inputs!$B$16/100)*(5000/(6000+Inputs!$B$42*(1-(100*(1-(1-(Inputs!$B$19+0)/100)*(1-CHOOSE(ArtifactsInput!$N$40+1,5,6,7,8,9,10)/100)^(ArtifactsInput!$M$40-ArtifactsInput!$M$40)))/100)))*(1+(Inputs!$B$24+((C2705=TRUE)*(F2705-Calc!F24))+((C2706=TRUE)*(F2706-Calc!F25))+B2719)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IF(ArtifactsInput!$M$39,FALSE,TRUE)-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EMPOWERED_PIERCING_ARROW",Inputs!$B$17+((C2703=TRUE)*(F2703-Calc!F22))+(((IF(AND(ArtifactsInput!$M$42,((Inputs!$B$9+((C2700=TRUE)*(F2700-Calc!F19))+B2713+(ArtifactsInput!$M$24-ArtifactsInput!$M$24)*CHOOSE(ArtifactsInput!$N$24+1,10,12,14,16,18,20)+IF(ArtifactsInput!$M$10,CHOOSE(ArtifactsInput!$N$10+1,15,18,21,24,27,30)*(IF(Inputs!$B$38="pvp",MIN(15,15)/15,IF(AND(Inputs!$B$38&lt;&gt;"pvp",Inputs!$B$43&gt;0),MIN(15,Inputs!$B$43)/(Inputs!$B$43),0))),0)))&gt;=100),MIN(100,((Inputs!$B$9+((C2700=TRUE)*(F2700-Calc!F19))+B2713+(ArtifactsInput!$M$24-ArtifactsInput!$M$24)*CHOOSE(ArtifactsInput!$N$24+1,10,12,14,16,18,20)+IF(ArtifactsInput!$M$10,CHOOSE(ArtifactsInput!$N$10+1,15,18,21,24,27,30)*(IF(Inputs!$B$38="pvp",MIN(15,15)/15,IF(AND(Inputs!$B$38&lt;&gt;"pvp",Inputs!$B$43&gt;0),MIN(15,Inputs!$B$43)/(Inputs!$B$43),0))),0)))-100),0))*CHOOSE(ArtifactsInput!$N$42+1,0.6,0.72,0.84,0.96,1.08,1.2))),Inputs!$B$18+((C2708=TRUE)*(F2708-Calc!F27))+(IF(AND(ArtifactsInput!$M$42,((Inputs!$B$9+((C2700=TRUE)*(F2700-Calc!F19))+B2713+(ArtifactsInput!$M$24-ArtifactsInput!$M$24)*CHOOSE(ArtifactsInput!$N$24+1,10,12,14,16,18,20)+IF(ArtifactsInput!$M$10,CHOOSE(ArtifactsInput!$N$10+1,15,18,21,24,27,30)*(IF(Inputs!$B$38="pvp",MIN(15,15)/15,IF(AND(Inputs!$B$38&lt;&gt;"pvp",Inputs!$B$43&gt;0),MIN(15,Inputs!$B$43)/(Inputs!$B$43),0))),0)))&gt;=100),CHOOSE(ArtifactsInput!$N$42+1,40,48,56,64,72,80),0))))/100)*((1+(((C2694=TRUE)*F2694)+((C2695=TRUE)*IF(Inputs!$B$38="pvp",F2695,(1-Summary!$B$11)*(F2695)+Summary!$B$11*(0)))+((C2696=TRUE)*F2696*IF(AND(Inputs!$B$38&lt;&gt;"pvp",Inputs!$B$43&gt;0),(((R2696-1)*(Skills!T15*(1+Inputs!$B$34/100))+MIN((Skills!T15*(1+Inputs!$B$34/100)),MAX(0,Inputs!$B$43-((R2696-1)*Skills!D15))))/Inputs!$B$43),IF(Inputs!$B$38="pvp",MIN((Skills!T15*(1+Inputs!$B$34/100)),15)/15,(Skills!T15*(1+Inputs!$B$34/100))/Skills!D15)))+((C2693=TRUE)*F2693)+((C2710=TRUE)*(F2710-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2691)</f>
        <v/>
      </c>
      <c r="L2691">
        <f>K2691*(MIN(Inputs!$B$22+((C2704=TRUE)*(F2704-Calc!F23)),(Inputs!$B$23+((C2709=TRUE)*(F2709-Calc!F28))+(IF(ArtifactsInput!$M$15,CHOOSE(ArtifactsInput!$N$15+1,25,30,35,40,45,50)/100*(Inputs!$B$11-Inputs!$B$11),0))))/100+(Inputs!$B$23+((C2709=TRUE)*(F2709-Calc!F28))+(IF(ArtifactsInput!$M$15,CHOOSE(ArtifactsInput!$N$15+1,25,30,35,40,45,50)/100*(Inputs!$B$11-Inputs!$B$11),0)))/100)/2</f>
        <v/>
      </c>
      <c r="M2691">
        <f>L2691*(1+(Inputs!$B$10+0+B2718+(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691">
        <f>L2691*(1-MIN((Inputs!$B$9+((C2700=TRUE)*(F2700-Calc!F19))+B2713+(ArtifactsInput!$M$24-ArtifactsInput!$M$24)*CHOOSE(ArtifactsInput!$N$24+1,10,12,14,16,18,20)+(IF(AND(ArtifactsInput!$M$42,((Inputs!$B$9+((C2700=TRUE)*(F2700-Calc!F19))+B2713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2691*(MIN((Inputs!$B$9+((C2700=TRUE)*(F2700-Calc!F19))+B2713+(ArtifactsInput!$M$24-ArtifactsInput!$M$24)*CHOOSE(ArtifactsInput!$N$24+1,10,12,14,16,18,20)+(IF(AND(ArtifactsInput!$M$42,((Inputs!$B$9+((C2700=TRUE)*(F2700-Calc!F19))+B2713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691">
        <f>(1-Summary!$B$11)*T2691+Summary!$B$11*V2691</f>
        <v/>
      </c>
      <c r="P2691">
        <f>IF(B2723=0,0,O2691/B2723)</f>
        <v/>
      </c>
      <c r="Q2691" t="n">
        <v>0</v>
      </c>
      <c r="R2691" t="n">
        <v>0</v>
      </c>
      <c r="S2691" t="n">
        <v>0</v>
      </c>
      <c r="T2691">
        <f>IF(C2691,(0.15*SUMPRODUCT((Skills!U2:U29=TRUE)*(C2683:C2710=TRUE)*S2683:S2710)*Skills!G10*N2691)*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Hunt"),CHOOSE(ArtifactsInput!$N$35+1,15,18,21,24,27,30)*(1-EXP(-(0.2*B2715)*5)),0)+IF(AND(ArtifactsInput!$M$22,Inputs!$B$4&lt;&gt;"Chapter Hunt"),CHOOSE(ArtifactsInput!$N$22+1,10,12,14,16,18,20)*((0*(((0.15*B2715*5))^0/1)+1*(((0.15*B2715*5))^1/1)+2*(((0.15*B2715*5))^2/2)+3*(((0.15*B2715*5))^3/6)+4*(((0.15*B2715*5))^4/24)+5*(((0.15*B2715*5))^5/120))/((((0.15*B2715*5))^0/1)+(((0.15*B2715*5))^1/1)+(((0.15*B2715*5))^2/2)+(((0.15*B2715*5))^3/6)+(((0.15*B2715*5))^4/24)+(((0.15*B2715*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2691*(1-MIN(100,(Inputs!$B$9+((C2700=TRUE)*(F2700-Calc!F19))+B2713+(ArtifactsInput!$M$24-ArtifactsInput!$M$24)*CHOOSE(ArtifactsInput!$N$24+1,10,12,14,16,18,20)+(IF(AND(ArtifactsInput!$M$42,((Inputs!$B$9+((C2700=TRUE)*(F2700-Calc!F19))+B2713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2691*(MIN(100,(Inputs!$B$9+((C2700=TRUE)*(F2700-Calc!F19))+B2713+(ArtifactsInput!$M$24-ArtifactsInput!$M$24)*CHOOSE(ArtifactsInput!$N$24+1,10,12,14,16,18,20)+(IF(AND(ArtifactsInput!$M$42,((Inputs!$B$9+((C2700=TRUE)*(F2700-Calc!F19))+B2713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2691*(1-MIN(100,(Inputs!$B$9+((C2700=TRUE)*(F2700-Calc!F19))+B2713+(ArtifactsInput!$M$24-ArtifactsInput!$M$24)*CHOOSE(ArtifactsInput!$N$24+1,10,12,14,16,18,20)+(IF(AND(ArtifactsInput!$M$42,((Inputs!$B$9+((C2700=TRUE)*(F2700-Calc!F19))+B2713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2691*(MIN(100,(Inputs!$B$9+((C2700=TRUE)*(F2700-Calc!F19))+B2713+(ArtifactsInput!$M$24-ArtifactsInput!$M$24)*CHOOSE(ArtifactsInput!$N$24+1,10,12,14,16,18,20)+(IF(AND(ArtifactsInput!$M$42,((Inputs!$B$9+((C2700=TRUE)*(F2700-Calc!F19))+B2713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691">
        <f>IF(C2691,(0.15*SUMPRODUCT((Skills!U2:U29=TRUE)*(C2683:C2710=TRUE)*S2683:S2710)*Skills!G10*N2691)*IF(Inputs!$B$38="pvp",1,(1+(Inputs!$B$21+Skills!Q10+(IF(ArtifactsInput!$M$33,CHOOSE(ArtifactsInput!$N$33+1,30,36,42,48,54,60),0))+(IF(AND(ArtifactsInput!$M$35,Inputs!$B$4&lt;&gt;"Chapter Hunt"),CHOOSE(ArtifactsInput!$N$35+1,15,18,21,24,27,30)*(1-EXP(-(0.2*B2715)*5)),0)+IF(AND(ArtifactsInput!$M$22,Inputs!$B$4&lt;&gt;"Chapter Hunt"),CHOOSE(ArtifactsInput!$N$22+1,10,12,14,16,18,20)*((0*(((0.15*B2715*5))^0/1)+1*(((0.15*B2715*5))^1/1)+2*(((0.15*B2715*5))^2/2)+3*(((0.15*B2715*5))^3/6)+4*(((0.15*B2715*5))^4/24)+5*(((0.15*B2715*5))^5/120))/((((0.15*B2715*5))^0/1)+(((0.15*B2715*5))^1/1)+(((0.15*B2715*5))^2/2)+(((0.15*B2715*5))^3/6)+(((0.15*B2715*5))^4/24)+(((0.15*B2715*5))^5/120)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692">
      <c r="A2692">
        <f>Skills!A11</f>
        <v/>
      </c>
      <c r="B2692">
        <f>Skills!B11</f>
        <v/>
      </c>
      <c r="C2692">
        <f>Inputs!$B$3&gt;=110</f>
        <v/>
      </c>
      <c r="D2692">
        <f>IF(Skills!C11=1,60+Inputs!$B$25+Inputs!$B$29,IF(Skills!C11=2,90+Inputs!$B$26+Inputs!$B$29,IF(Skills!C11=3,120+Inputs!$B$27+Inputs!$B$29,MAX(0,(Inputs!$B$3-100)*3)+Inputs!$B$28+Inputs!$B$29)))</f>
        <v/>
      </c>
      <c r="E2692">
        <f>INDEX(FactorTable!$B$2:$Y$301, MATCH(ROUND(MIN(300,MAX(1,D2692)),0), FactorTable!$A$2:$A$301,0), Skills!M11+1)</f>
        <v/>
      </c>
      <c r="F2692">
        <f>IF(Skills!N11=TRUE,(Skills!L11/10)*(E2692/1000),Skills!L11/10)+Skills!O11</f>
        <v/>
      </c>
      <c r="G2692">
        <f>Skills!G11*IF(Skills!H11&gt;0,Skills!I11/Skills!H11,1)</f>
        <v/>
      </c>
      <c r="H2692">
        <f>1-(1-Skills!J11/100)^Skills!K11</f>
        <v/>
      </c>
      <c r="I2692" t="inlineStr">
        <is>
          <t>1</t>
        </is>
      </c>
      <c r="J2692">
        <f>((Inputs!$B$6*(1+Inputs!$B$7/100))+(((Inputs!$B$12*(1+Inputs!$B$13/100))-(Inputs!$B$12*(1+Inputs!$B$13/100)))+0.25*(Inputs!$B$14-Inputs!$B$14))*(1+Inputs!$B$7/100))*(F2692/100)</f>
        <v/>
      </c>
      <c r="K2692">
        <f>J2692*(1+((Inputs!$B$12*(1+Inputs!$B$13/100))*0.01+Inputs!$B$14*0.0025)/100)*(1+Inputs!$B$15/100)*(1+Inputs!$B$16/100)*(5000/(6000+Inputs!$B$42*(1-(100*(1-(1-(Inputs!$B$19+0)/100)*(1-CHOOSE(ArtifactsInput!$N$40+1,5,6,7,8,9,10)/100)^(ArtifactsInput!$M$40-ArtifactsInput!$M$40)))/100)))*(1+(Inputs!$B$24+((C2705=TRUE)*(F2705-Calc!F24))+((C2706=TRUE)*(F2706-Calc!F25))+B2719)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IF(ArtifactsInput!$M$39,FALSE,TRUE)-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11="EMPOWERED_PIERCING_ARROW",Inputs!$B$17+((C2703=TRUE)*(F2703-Calc!F22))+(((IF(AND(ArtifactsInput!$M$42,((Inputs!$B$9+((C2700=TRUE)*(F2700-Calc!F19))+B2713+(ArtifactsInput!$M$24-ArtifactsInput!$M$24)*CHOOSE(ArtifactsInput!$N$24+1,10,12,14,16,18,20)+IF(ArtifactsInput!$M$10,CHOOSE(ArtifactsInput!$N$10+1,15,18,21,24,27,30)*(IF(Inputs!$B$38="pvp",MIN(15,15)/15,IF(AND(Inputs!$B$38&lt;&gt;"pvp",Inputs!$B$43&gt;0),MIN(15,Inputs!$B$43)/(Inputs!$B$43),0))),0)))&gt;=100),MIN(100,((Inputs!$B$9+((C2700=TRUE)*(F2700-Calc!F19))+B2713+(ArtifactsInput!$M$24-ArtifactsInput!$M$24)*CHOOSE(ArtifactsInput!$N$24+1,10,12,14,16,18,20)+IF(ArtifactsInput!$M$10,CHOOSE(ArtifactsInput!$N$10+1,15,18,21,24,27,30)*(IF(Inputs!$B$38="pvp",MIN(15,15)/15,IF(AND(Inputs!$B$38&lt;&gt;"pvp",Inputs!$B$43&gt;0),MIN(15,Inputs!$B$43)/(Inputs!$B$43),0))),0)))-100),0))*CHOOSE(ArtifactsInput!$N$42+1,0.6,0.72,0.84,0.96,1.08,1.2))),Inputs!$B$18+((C2708=TRUE)*(F2708-Calc!F27))+(IF(AND(ArtifactsInput!$M$42,((Inputs!$B$9+((C2700=TRUE)*(F2700-Calc!F19))+B2713+(ArtifactsInput!$M$24-ArtifactsInput!$M$24)*CHOOSE(ArtifactsInput!$N$24+1,10,12,14,16,18,20)+IF(ArtifactsInput!$M$10,CHOOSE(ArtifactsInput!$N$10+1,15,18,21,24,27,30)*(IF(Inputs!$B$38="pvp",MIN(15,15)/15,IF(AND(Inputs!$B$38&lt;&gt;"pvp",Inputs!$B$43&gt;0),MIN(15,Inputs!$B$43)/(Inputs!$B$43),0))),0)))&gt;=100),CHOOSE(ArtifactsInput!$N$42+1,40,48,56,64,72,80),0))))/100)*((1+(((C2694=TRUE)*F2694)+((C2695=TRUE)*IF(Inputs!$B$38="pvp",F2695,(1-Summary!$B$11)*(F2695)+Summary!$B$11*(0)))+((C2696=TRUE)*F2696*IF(AND(Inputs!$B$38&lt;&gt;"pvp",Inputs!$B$43&gt;0),(((R2696-1)*(Skills!T15*(1+Inputs!$B$34/100))+MIN((Skills!T15*(1+Inputs!$B$34/100)),MAX(0,Inputs!$B$43-((R2696-1)*Skills!D15))))/Inputs!$B$43),IF(Inputs!$B$38="pvp",MIN((Skills!T15*(1+Inputs!$B$34/100)),15)/15,(Skills!T15*(1+Inputs!$B$34/100))/Skills!D15)))+((C2693=TRUE)*F2693)+((C2710=TRUE)*(F2710-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2692)</f>
        <v/>
      </c>
      <c r="L2692">
        <f>K2692*(MIN(Inputs!$B$22+((C2704=TRUE)*(F2704-Calc!F23)),(Inputs!$B$23+((C2709=TRUE)*(F2709-Calc!F28))+(IF(ArtifactsInput!$M$15,CHOOSE(ArtifactsInput!$N$15+1,25,30,35,40,45,50)/100*(Inputs!$B$11-Inputs!$B$11),0))))/100+(Inputs!$B$23+((C2709=TRUE)*(F2709-Calc!F28))+(IF(ArtifactsInput!$M$15,CHOOSE(ArtifactsInput!$N$15+1,25,30,35,40,45,50)/100*(Inputs!$B$11-Inputs!$B$11),0)))/100)/2</f>
        <v/>
      </c>
      <c r="M2692">
        <f>L2692*(1+(Inputs!$B$10+0+B2718+(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692">
        <f>L2692*(1-MIN((Inputs!$B$9+((C2700=TRUE)*(F2700-Calc!F19))+B2713+(ArtifactsInput!$M$24-ArtifactsInput!$M$24)*CHOOSE(ArtifactsInput!$N$24+1,10,12,14,16,18,20)+(IF(AND(ArtifactsInput!$M$42,((Inputs!$B$9+((C2700=TRUE)*(F2700-Calc!F19))+B2713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2692*(MIN((Inputs!$B$9+((C2700=TRUE)*(F2700-Calc!F19))+B2713+(ArtifactsInput!$M$24-ArtifactsInput!$M$24)*CHOOSE(ArtifactsInput!$N$24+1,10,12,14,16,18,20)+(IF(AND(ArtifactsInput!$M$42,((Inputs!$B$9+((C2700=TRUE)*(F2700-Calc!F19))+B2713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692">
        <f>(1-Summary!$B$11)*T2692+Summary!$B$11*V2692</f>
        <v/>
      </c>
      <c r="P2692">
        <f>IF(B2723=0,0,O2692/B2723)</f>
        <v/>
      </c>
      <c r="Q2692">
        <f>IFERROR(1/IF(Inputs!$B$38="pvp",15,MAX(0.1,Skills!D11-IF(Skills!E11=TRUE,Inputs!$B$32,0))),0)</f>
        <v/>
      </c>
      <c r="R2692">
        <f>IF(AND(Inputs!$B$38&lt;&gt;"pvp",Inputs!$B$43&gt;0),IF(MAX(0,Inputs!$B$43-B2720)&lt;=0,0,(INT(MAX(0,Inputs!$B$43-B2720)/IF(Inputs!$B$38="pvp",15,MAX(0.1,Skills!D11-IF(Skills!E11=TRUE,Inputs!$B$32,0))))+1)),0)</f>
        <v/>
      </c>
      <c r="S2692">
        <f>IFERROR((H2692*N2692*IF(AND(Inputs!$B$38&lt;&gt;"pvp",Inputs!$B$43&gt;0),((Skills!G11*((R2692-1)*IF(Skills!H11&gt;0,Skills!I11/Skills!H11,1)+IF(Skills!H11&gt;0,MIN(Skills!I11,MAX(0,MAX(0,Inputs!$B$43-B2720)-((R2692-1)*IF(Inputs!$B$38="pvp",15,MAX(0.1,Skills!D11-IF(Skills!E11=TRUE,Inputs!$B$32,0))))))/Skills!H11,1)))/Inputs!$B$43),G2692*Q2692))/N2692*IF(Inputs!$B$38="pvp",1,(1-Summary!$B$11)*1+Summary!$B$11*(MIN(Skills!R11,Inputs!$B$37))),0)</f>
        <v/>
      </c>
      <c r="T2692">
        <f>IF(C2692,(H2692*N2692*IF(AND(Inputs!$B$38&lt;&gt;"pvp",Inputs!$B$43&gt;0),((Skills!G11*((R2692-1)*IF(Skills!H11&gt;0,Skills!I11/Skills!H11,1)+IF(Skills!H11&gt;0,MIN(Skills!I11,MAX(0,MAX(0,Inputs!$B$43-B2720)-((R2692-1)*IF(Inputs!$B$38="pvp",15,MAX(0.1,Skills!D11-IF(Skills!E11=TRUE,Inputs!$B$32,0))))))/Skills!H11,1)))/Inputs!$B$43),G2692*Q2692))*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Hunt"),CHOOSE(ArtifactsInput!$N$35+1,15,18,21,24,27,30)*(1-EXP(-(0.2*B2715)*5)),0)+IF(AND(ArtifactsInput!$M$22,Inputs!$B$4&lt;&gt;"Chapter Hunt"),CHOOSE(ArtifactsInput!$N$22+1,10,12,14,16,18,20)*((0*(((0.15*B2715*5))^0/1)+1*(((0.15*B2715*5))^1/1)+2*(((0.15*B2715*5))^2/2)+3*(((0.15*B2715*5))^3/6)+4*(((0.15*B2715*5))^4/24)+5*(((0.15*B2715*5))^5/120))/((((0.15*B2715*5))^0/1)+(((0.15*B2715*5))^1/1)+(((0.15*B2715*5))^2/2)+(((0.15*B2715*5))^3/6)+(((0.15*B2715*5))^4/24)+(((0.15*B2715*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2692*(1-MIN(100,(Inputs!$B$9+((C2700=TRUE)*(F2700-Calc!F19))+B2713+(ArtifactsInput!$M$24-ArtifactsInput!$M$24)*CHOOSE(ArtifactsInput!$N$24+1,10,12,14,16,18,20)+(IF(AND(ArtifactsInput!$M$42,((Inputs!$B$9+((C2700=TRUE)*(F2700-Calc!F19))+B2713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2692*(MIN(100,(Inputs!$B$9+((C2700=TRUE)*(F2700-Calc!F19))+B2713+(ArtifactsInput!$M$24-ArtifactsInput!$M$24)*CHOOSE(ArtifactsInput!$N$24+1,10,12,14,16,18,20)+(IF(AND(ArtifactsInput!$M$42,((Inputs!$B$9+((C2700=TRUE)*(F2700-Calc!F19))+B2713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2692*(1-MIN(100,(Inputs!$B$9+((C2700=TRUE)*(F2700-Calc!F19))+B2713+(ArtifactsInput!$M$24-ArtifactsInput!$M$24)*CHOOSE(ArtifactsInput!$N$24+1,10,12,14,16,18,20)+(IF(AND(ArtifactsInput!$M$42,((Inputs!$B$9+((C2700=TRUE)*(F2700-Calc!F19))+B2713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2692*(MIN(100,(Inputs!$B$9+((C2700=TRUE)*(F2700-Calc!F19))+B2713+(ArtifactsInput!$M$24-ArtifactsInput!$M$24)*CHOOSE(ArtifactsInput!$N$24+1,10,12,14,16,18,20)+(IF(AND(ArtifactsInput!$M$42,((Inputs!$B$9+((C2700=TRUE)*(F2700-Calc!F19))+B2713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692">
        <f>IF(C2692,(H2692*N2692*IF(AND(Inputs!$B$38&lt;&gt;"pvp",Inputs!$B$43&gt;0),((Skills!G11*((R2692-1)*IF(Skills!H11&gt;0,Skills!I11/Skills!H11,1)+IF(Skills!H11&gt;0,MIN(Skills!I11,MAX(0,MAX(0,Inputs!$B$43-B2720)-((R2692-1)*IF(Inputs!$B$38="pvp",15,MAX(0.1,Skills!D11-IF(Skills!E11=TRUE,Inputs!$B$32,0))))))/Skills!H11,1)))/Inputs!$B$43),G2692*Q2692))*IF(Inputs!$B$38="pvp",1,(1+(Inputs!$B$21+Skills!Q11+(IF(ArtifactsInput!$M$33,CHOOSE(ArtifactsInput!$N$33+1,30,36,42,48,54,60),0))+(IF(AND(ArtifactsInput!$M$35,Inputs!$B$4&lt;&gt;"Chapter Hunt"),CHOOSE(ArtifactsInput!$N$35+1,15,18,21,24,27,30)*(1-EXP(-(0.2*B2715)*5)),0)+IF(AND(ArtifactsInput!$M$22,Inputs!$B$4&lt;&gt;"Chapter Hunt"),CHOOSE(ArtifactsInput!$N$22+1,10,12,14,16,18,20)*((0*(((0.15*B2715*5))^0/1)+1*(((0.15*B2715*5))^1/1)+2*(((0.15*B2715*5))^2/2)+3*(((0.15*B2715*5))^3/6)+4*(((0.15*B2715*5))^4/24)+5*(((0.15*B2715*5))^5/120))/((((0.15*B2715*5))^0/1)+(((0.15*B2715*5))^1/1)+(((0.15*B2715*5))^2/2)+(((0.15*B2715*5))^3/6)+(((0.15*B2715*5))^4/24)+(((0.15*B2715*5))^5/120))),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693">
      <c r="A2693">
        <f>Skills!A12</f>
        <v/>
      </c>
      <c r="B2693">
        <f>Skills!B12</f>
        <v/>
      </c>
      <c r="C2693">
        <f>Inputs!$B$3&gt;=60</f>
        <v/>
      </c>
      <c r="D2693">
        <f>IF(Skills!C12=1,60+Inputs!$B$25+Inputs!$B$29,IF(Skills!C12=2,90+Inputs!$B$26+Inputs!$B$29,IF(Skills!C12=3,120+Inputs!$B$27+Inputs!$B$29,MAX(0,(Inputs!$B$3-100)*3)+Inputs!$B$28+Inputs!$B$29)))</f>
        <v/>
      </c>
      <c r="E2693">
        <f>INDEX(FactorTable!$B$2:$Y$301, MATCH(ROUND(MIN(300,MAX(1,D2693)),0), FactorTable!$A$2:$A$301,0), Skills!M12+1)</f>
        <v/>
      </c>
      <c r="F2693">
        <f>IF(Skills!N12=TRUE,(Skills!L12/10)*(E2693/1000),Skills!L12/10)+Skills!O12</f>
        <v/>
      </c>
      <c r="G2693">
        <f>Skills!G12*IF(Skills!H12&gt;0,Skills!I12/Skills!H12,1)</f>
        <v/>
      </c>
      <c r="H2693">
        <f>1-(1-Skills!J12/100)^Skills!K12</f>
        <v/>
      </c>
      <c r="I2693" t="inlineStr">
        <is>
          <t>1</t>
        </is>
      </c>
      <c r="J2693" t="inlineStr"/>
      <c r="K2693" t="inlineStr"/>
      <c r="L2693" t="inlineStr"/>
      <c r="M2693" t="inlineStr"/>
      <c r="N2693" t="inlineStr"/>
      <c r="O2693">
        <f>(1-Summary!$B$11)*T2693+Summary!$B$11*V2693</f>
        <v/>
      </c>
      <c r="P2693">
        <f>IF(B2723=0,0,O2693/B2723)</f>
        <v/>
      </c>
      <c r="Q2693" t="n">
        <v>0</v>
      </c>
      <c r="R2693" t="n">
        <v>0</v>
      </c>
      <c r="S2693" t="n">
        <v>0</v>
      </c>
      <c r="T2693" t="n">
        <v>0</v>
      </c>
      <c r="V2693" t="n">
        <v>0</v>
      </c>
    </row>
    <row r="2694">
      <c r="A2694">
        <f>Skills!A13</f>
        <v/>
      </c>
      <c r="B2694">
        <f>Skills!B13</f>
        <v/>
      </c>
      <c r="C2694">
        <f>Inputs!$B$3&gt;=74</f>
        <v/>
      </c>
      <c r="D2694">
        <f>IF(Skills!C13=1,60+Inputs!$B$25+Inputs!$B$29,IF(Skills!C13=2,90+Inputs!$B$26+Inputs!$B$29,IF(Skills!C13=3,120+Inputs!$B$27+Inputs!$B$29,MAX(0,(Inputs!$B$3-100)*3)+Inputs!$B$28+Inputs!$B$29)))</f>
        <v/>
      </c>
      <c r="E2694">
        <f>INDEX(FactorTable!$B$2:$Y$301, MATCH(ROUND(MIN(300,MAX(1,D2694)),0), FactorTable!$A$2:$A$301,0), Skills!M13+1)</f>
        <v/>
      </c>
      <c r="F2694">
        <f>IF(Skills!N13=TRUE,(Skills!L13/10)*(E2694/1000),Skills!L13/10)+Skills!O13</f>
        <v/>
      </c>
      <c r="G2694">
        <f>Skills!G13*IF(Skills!H13&gt;0,Skills!I13/Skills!H13,1)</f>
        <v/>
      </c>
      <c r="H2694">
        <f>1-(1-Skills!J13/100)^Skills!K13</f>
        <v/>
      </c>
      <c r="I2694" t="inlineStr">
        <is>
          <t>1</t>
        </is>
      </c>
      <c r="J2694" t="inlineStr"/>
      <c r="K2694" t="inlineStr"/>
      <c r="L2694" t="inlineStr"/>
      <c r="M2694" t="inlineStr"/>
      <c r="N2694" t="inlineStr"/>
      <c r="O2694">
        <f>(1-Summary!$B$11)*T2694+Summary!$B$11*V2694</f>
        <v/>
      </c>
      <c r="P2694">
        <f>IF(B2723=0,0,O2694/B2723)</f>
        <v/>
      </c>
      <c r="Q2694" t="n">
        <v>0</v>
      </c>
      <c r="R2694" t="n">
        <v>0</v>
      </c>
      <c r="S2694" t="n">
        <v>0</v>
      </c>
      <c r="T2694" t="n">
        <v>0</v>
      </c>
      <c r="V2694" t="n">
        <v>0</v>
      </c>
    </row>
    <row r="2695">
      <c r="A2695">
        <f>Skills!A14</f>
        <v/>
      </c>
      <c r="B2695">
        <f>Skills!B14</f>
        <v/>
      </c>
      <c r="C2695">
        <f>Inputs!$B$3&gt;=74</f>
        <v/>
      </c>
      <c r="D2695">
        <f>IF(Skills!C14=1,60+Inputs!$B$25+Inputs!$B$29,IF(Skills!C14=2,90+Inputs!$B$26+Inputs!$B$29,IF(Skills!C14=3,120+Inputs!$B$27+Inputs!$B$29,MAX(0,(Inputs!$B$3-100)*3)+Inputs!$B$28+Inputs!$B$29)))</f>
        <v/>
      </c>
      <c r="E2695">
        <f>INDEX(FactorTable!$B$2:$Y$301, MATCH(ROUND(MIN(300,MAX(1,D2695)),0), FactorTable!$A$2:$A$301,0), Skills!M14+1)</f>
        <v/>
      </c>
      <c r="F2695">
        <f>IF(Skills!N14=TRUE,(Skills!L14/10)*(E2695/1000),Skills!L14/10)+Skills!O14</f>
        <v/>
      </c>
      <c r="G2695">
        <f>Skills!G14*IF(Skills!H14&gt;0,Skills!I14/Skills!H14,1)</f>
        <v/>
      </c>
      <c r="H2695">
        <f>1-(1-Skills!J14/100)^Skills!K14</f>
        <v/>
      </c>
      <c r="I2695" t="inlineStr">
        <is>
          <t>1</t>
        </is>
      </c>
      <c r="J2695" t="inlineStr"/>
      <c r="K2695" t="inlineStr"/>
      <c r="L2695" t="inlineStr"/>
      <c r="M2695" t="inlineStr"/>
      <c r="N2695" t="inlineStr"/>
      <c r="O2695">
        <f>(1-Summary!$B$11)*T2695+Summary!$B$11*V2695</f>
        <v/>
      </c>
      <c r="P2695">
        <f>IF(B2723=0,0,O2695/B2723)</f>
        <v/>
      </c>
      <c r="Q2695" t="n">
        <v>0</v>
      </c>
      <c r="R2695" t="n">
        <v>0</v>
      </c>
      <c r="S2695" t="n">
        <v>0</v>
      </c>
      <c r="T2695" t="n">
        <v>0</v>
      </c>
      <c r="V2695" t="n">
        <v>0</v>
      </c>
    </row>
    <row r="2696">
      <c r="A2696">
        <f>Skills!A15</f>
        <v/>
      </c>
      <c r="B2696">
        <f>Skills!B15</f>
        <v/>
      </c>
      <c r="C2696">
        <f>Inputs!$B$3&gt;=117</f>
        <v/>
      </c>
      <c r="D2696">
        <f>IF(Skills!C15=1,60+Inputs!$B$25+Inputs!$B$29,IF(Skills!C15=2,90+Inputs!$B$26+Inputs!$B$29,IF(Skills!C15=3,120+Inputs!$B$27+Inputs!$B$29,MAX(0,(Inputs!$B$3-100)*3)+Inputs!$B$28+Inputs!$B$29)))</f>
        <v/>
      </c>
      <c r="E2696">
        <f>INDEX(FactorTable!$B$2:$Y$301, MATCH(ROUND(MIN(300,MAX(1,D2696)),0), FactorTable!$A$2:$A$301,0), Skills!M15+1)</f>
        <v/>
      </c>
      <c r="F2696">
        <f>IF(Skills!N15=TRUE,(Skills!L15/10)*(E2696/1000),Skills!L15/10)+Skills!O15</f>
        <v/>
      </c>
      <c r="G2696">
        <f>Skills!G15*IF(Skills!H15&gt;0,Skills!I15/Skills!H15,1)</f>
        <v/>
      </c>
      <c r="H2696">
        <f>1-(1-Skills!J15/100)^Skills!K15</f>
        <v/>
      </c>
      <c r="I2696" t="inlineStr">
        <is>
          <t>1</t>
        </is>
      </c>
      <c r="J2696" t="inlineStr"/>
      <c r="K2696" t="inlineStr"/>
      <c r="L2696" t="inlineStr"/>
      <c r="M2696" t="inlineStr"/>
      <c r="N2696" t="inlineStr"/>
      <c r="O2696">
        <f>(1-Summary!$B$11)*T2696+Summary!$B$11*V2696</f>
        <v/>
      </c>
      <c r="P2696">
        <f>IF(B2723=0,0,O2696/B2723)</f>
        <v/>
      </c>
      <c r="Q2696">
        <f>IFERROR(1/IF(Inputs!$B$38="pvp",15,MAX(0.1,Skills!D15-IF(Skills!E15=TRUE,Inputs!$B$32,0))),0)</f>
        <v/>
      </c>
      <c r="R2696">
        <f>IF(AND(Inputs!$B$38&lt;&gt;"pvp",Inputs!$B$43&gt;0),IF(Inputs!$B$43&lt;=0,0,(INT(Inputs!$B$43/IF(Inputs!$B$38="pvp",15,MAX(0.1,Skills!D15-IF(Skills!E15=TRUE,Inputs!$B$32,0))))+1)),0)</f>
        <v/>
      </c>
      <c r="S2696" t="n">
        <v>0</v>
      </c>
      <c r="T2696" t="n">
        <v>0</v>
      </c>
      <c r="V2696" t="n">
        <v>0</v>
      </c>
    </row>
    <row r="2697">
      <c r="A2697">
        <f>Skills!A16</f>
        <v/>
      </c>
      <c r="B2697">
        <f>Skills!B16</f>
        <v/>
      </c>
      <c r="C2697">
        <f>Inputs!$B$3&gt;=115</f>
        <v/>
      </c>
      <c r="D2697">
        <f>IF(Skills!C16=1,60+Inputs!$B$25+Inputs!$B$29,IF(Skills!C16=2,90+Inputs!$B$26+Inputs!$B$29,IF(Skills!C16=3,120+Inputs!$B$27+Inputs!$B$29,MAX(0,(Inputs!$B$3-100)*3)+Inputs!$B$28+Inputs!$B$29)))</f>
        <v/>
      </c>
      <c r="E2697">
        <f>INDEX(FactorTable!$B$2:$Y$301, MATCH(ROUND(MIN(300,MAX(1,D2697)),0), FactorTable!$A$2:$A$301,0), Skills!M16+1)</f>
        <v/>
      </c>
      <c r="F2697">
        <f>IF(Skills!N16=TRUE,(Skills!L16/10)*(E2697/1000),Skills!L16/10)+Skills!O16</f>
        <v/>
      </c>
      <c r="G2697">
        <f>Skills!G16*IF(Skills!H16&gt;0,Skills!I16/Skills!H16,1)</f>
        <v/>
      </c>
      <c r="H2697">
        <f>1-(1-Skills!J16/100)^Skills!K16</f>
        <v/>
      </c>
      <c r="I2697" t="inlineStr">
        <is>
          <t>1</t>
        </is>
      </c>
      <c r="J2697" t="inlineStr"/>
      <c r="K2697" t="inlineStr"/>
      <c r="L2697" t="inlineStr"/>
      <c r="M2697" t="inlineStr"/>
      <c r="N2697" t="inlineStr"/>
      <c r="O2697">
        <f>(1-Summary!$B$11)*T2697+Summary!$B$11*V2697</f>
        <v/>
      </c>
      <c r="P2697">
        <f>IF(B2723=0,0,O2697/B2723)</f>
        <v/>
      </c>
      <c r="Q2697">
        <f>IFERROR(1/IF(Inputs!$B$38="pvp",15,MAX(0.1,Skills!D16-IF(Skills!E16=TRUE,Inputs!$B$32,0))),0)</f>
        <v/>
      </c>
      <c r="R2697">
        <f>IF(AND(Inputs!$B$38&lt;&gt;"pvp",Inputs!$B$43&gt;0),IF(Inputs!$B$43&lt;=0,0,(INT(Inputs!$B$43/IF(Inputs!$B$38="pvp",15,MAX(0.1,Skills!D16-IF(Skills!E16=TRUE,Inputs!$B$32,0))))+1)),0)</f>
        <v/>
      </c>
      <c r="S2697" t="n">
        <v>0</v>
      </c>
      <c r="T2697" t="n">
        <v>0</v>
      </c>
      <c r="V2697" t="n">
        <v>0</v>
      </c>
    </row>
    <row r="2698">
      <c r="A2698">
        <f>Skills!A17</f>
        <v/>
      </c>
      <c r="B2698">
        <f>Skills!B17</f>
        <v/>
      </c>
      <c r="C2698">
        <f>Inputs!$B$3&gt;=72</f>
        <v/>
      </c>
      <c r="D2698">
        <f>IF(Skills!C17=1,60+Inputs!$B$25+Inputs!$B$29,IF(Skills!C17=2,90+Inputs!$B$26+Inputs!$B$29,IF(Skills!C17=3,120+Inputs!$B$27+Inputs!$B$29,MAX(0,(Inputs!$B$3-100)*3)+Inputs!$B$28+Inputs!$B$29)))</f>
        <v/>
      </c>
      <c r="E2698">
        <f>INDEX(FactorTable!$B$2:$Y$301, MATCH(ROUND(MIN(300,MAX(1,D2698)),0), FactorTable!$A$2:$A$301,0), Skills!M17+1)</f>
        <v/>
      </c>
      <c r="F2698">
        <f>IF(Skills!N17=TRUE,(Skills!L17/10)*(E2698/1000),Skills!L17/10)+Skills!O17</f>
        <v/>
      </c>
      <c r="G2698">
        <f>Skills!G17*IF(Skills!H17&gt;0,Skills!I17/Skills!H17,1)</f>
        <v/>
      </c>
      <c r="H2698">
        <f>1-(1-Skills!J17/100)^Skills!K17</f>
        <v/>
      </c>
      <c r="I2698" t="inlineStr">
        <is>
          <t>1</t>
        </is>
      </c>
      <c r="J2698" t="inlineStr"/>
      <c r="K2698" t="inlineStr"/>
      <c r="L2698" t="inlineStr"/>
      <c r="M2698" t="inlineStr"/>
      <c r="N2698" t="inlineStr"/>
      <c r="O2698">
        <f>(1-Summary!$B$11)*T2698+Summary!$B$11*V2698</f>
        <v/>
      </c>
      <c r="P2698">
        <f>IF(B2723=0,0,O2698/B2723)</f>
        <v/>
      </c>
      <c r="Q2698" t="n">
        <v>0</v>
      </c>
      <c r="R2698" t="n">
        <v>0</v>
      </c>
      <c r="S2698" t="n">
        <v>0</v>
      </c>
      <c r="T2698" t="n">
        <v>0</v>
      </c>
      <c r="V2698" t="n">
        <v>0</v>
      </c>
    </row>
    <row r="2699">
      <c r="A2699">
        <f>Skills!A18</f>
        <v/>
      </c>
      <c r="B2699">
        <f>Skills!B18</f>
        <v/>
      </c>
      <c r="C2699">
        <f>TRUE</f>
        <v/>
      </c>
      <c r="D2699">
        <f>IF(Skills!C18=1,60+Inputs!$B$25+Inputs!$B$29,IF(Skills!C18=2,90+Inputs!$B$26+Inputs!$B$29,IF(Skills!C18=3,120+Inputs!$B$27+Inputs!$B$29,MAX(0,(Inputs!$B$3-100)*3)+Inputs!$B$28+Inputs!$B$29)))</f>
        <v/>
      </c>
      <c r="E2699">
        <f>INDEX(FactorTable!$B$2:$Y$301, MATCH(ROUND(MIN(300,MAX(1,D2699)),0), FactorTable!$A$2:$A$301,0), Skills!M18+1)</f>
        <v/>
      </c>
      <c r="F2699">
        <f>IF(Skills!N18=TRUE,(Skills!L18/10)*(E2699/1000),Skills!L18/10)+Skills!O18</f>
        <v/>
      </c>
      <c r="G2699">
        <f>Skills!G18*IF(Skills!H18&gt;0,Skills!I18/Skills!H18,1)</f>
        <v/>
      </c>
      <c r="H2699">
        <f>1-(1-Skills!J18/100)^Skills!K18</f>
        <v/>
      </c>
      <c r="I2699" t="inlineStr">
        <is>
          <t>1</t>
        </is>
      </c>
      <c r="J2699" t="inlineStr"/>
      <c r="K2699" t="inlineStr"/>
      <c r="L2699" t="inlineStr"/>
      <c r="M2699" t="inlineStr"/>
      <c r="N2699" t="inlineStr"/>
      <c r="O2699">
        <f>(1-Summary!$B$11)*T2699+Summary!$B$11*V2699</f>
        <v/>
      </c>
      <c r="P2699">
        <f>IF(B2723=0,0,O2699/B2723)</f>
        <v/>
      </c>
      <c r="Q2699">
        <f>IFERROR(1/IF(Inputs!$B$38="pvp",15,MAX(0.1,Skills!D18-IF(Skills!E18=TRUE,Inputs!$B$32,0))),0)</f>
        <v/>
      </c>
      <c r="R2699">
        <f>IF(AND(Inputs!$B$38&lt;&gt;"pvp",Inputs!$B$43&gt;0),IF(Inputs!$B$43&lt;=0,0,(INT(Inputs!$B$43/IF(Inputs!$B$38="pvp",15,MAX(0.1,Skills!D18-IF(Skills!E18=TRUE,Inputs!$B$32,0))))+1)),0)</f>
        <v/>
      </c>
      <c r="S2699" t="n">
        <v>0</v>
      </c>
      <c r="T2699" t="n">
        <v>0</v>
      </c>
      <c r="V2699" t="n">
        <v>0</v>
      </c>
    </row>
    <row r="2700">
      <c r="A2700">
        <f>Skills!A19</f>
        <v/>
      </c>
      <c r="B2700">
        <f>Skills!B19</f>
        <v/>
      </c>
      <c r="C2700">
        <f>Inputs!$B$3&gt;=15</f>
        <v/>
      </c>
      <c r="D2700">
        <f>IF(Skills!C19=1,60+Inputs!$B$25+Inputs!$B$29,IF(Skills!C19=2,90+Inputs!$B$26+Inputs!$B$29,IF(Skills!C19=3,120+Inputs!$B$27+Inputs!$B$29,MAX(0,(Inputs!$B$3-100)*3)+Inputs!$B$28+Inputs!$B$29)))</f>
        <v/>
      </c>
      <c r="E2700">
        <f>INDEX(FactorTable!$B$2:$Y$301, MATCH(ROUND(MIN(300,MAX(1,D2700)),0), FactorTable!$A$2:$A$301,0), Skills!M19+1)</f>
        <v/>
      </c>
      <c r="F2700">
        <f>IF(Skills!N19=TRUE,(Skills!L19/10)*(E2700/1000),Skills!L19/10)+Skills!O19</f>
        <v/>
      </c>
      <c r="G2700">
        <f>Skills!G19*IF(Skills!H19&gt;0,Skills!I19/Skills!H19,1)</f>
        <v/>
      </c>
      <c r="H2700">
        <f>1-(1-Skills!J19/100)^Skills!K19</f>
        <v/>
      </c>
      <c r="I2700" t="inlineStr">
        <is>
          <t>1</t>
        </is>
      </c>
      <c r="J2700" t="inlineStr"/>
      <c r="K2700" t="inlineStr"/>
      <c r="L2700" t="inlineStr"/>
      <c r="M2700" t="inlineStr"/>
      <c r="N2700" t="inlineStr"/>
      <c r="O2700">
        <f>(1-Summary!$B$11)*T2700+Summary!$B$11*V2700</f>
        <v/>
      </c>
      <c r="P2700">
        <f>IF(B2723=0,0,O2700/B2723)</f>
        <v/>
      </c>
      <c r="Q2700" t="n">
        <v>0</v>
      </c>
      <c r="R2700" t="n">
        <v>0</v>
      </c>
      <c r="S2700" t="n">
        <v>0</v>
      </c>
      <c r="T2700" t="n">
        <v>0</v>
      </c>
      <c r="V2700" t="n">
        <v>0</v>
      </c>
    </row>
    <row r="2701">
      <c r="A2701">
        <f>Skills!A20</f>
        <v/>
      </c>
      <c r="B2701">
        <f>Skills!B20</f>
        <v/>
      </c>
      <c r="C2701">
        <f>Inputs!$B$3&gt;=10</f>
        <v/>
      </c>
      <c r="D2701">
        <f>IF(Skills!C20=1,60+Inputs!$B$25+Inputs!$B$29,IF(Skills!C20=2,90+Inputs!$B$26+Inputs!$B$29,IF(Skills!C20=3,120+Inputs!$B$27+Inputs!$B$29,MAX(0,(Inputs!$B$3-100)*3)+Inputs!$B$28+Inputs!$B$29)))</f>
        <v/>
      </c>
      <c r="E2701">
        <f>INDEX(FactorTable!$B$2:$Y$301, MATCH(ROUND(MIN(300,MAX(1,D2701)),0), FactorTable!$A$2:$A$301,0), Skills!M20+1)</f>
        <v/>
      </c>
      <c r="F2701">
        <f>IF(Skills!N20=TRUE,(Skills!L20/10)*(E2701/1000),Skills!L20/10)+Skills!O20</f>
        <v/>
      </c>
      <c r="G2701">
        <f>Skills!G20*IF(Skills!H20&gt;0,Skills!I20/Skills!H20,1)</f>
        <v/>
      </c>
      <c r="H2701">
        <f>1-(1-Skills!J20/100)^Skills!K20</f>
        <v/>
      </c>
      <c r="I2701" t="inlineStr">
        <is>
          <t>1</t>
        </is>
      </c>
      <c r="J2701" t="inlineStr"/>
      <c r="K2701" t="inlineStr"/>
      <c r="L2701" t="inlineStr"/>
      <c r="M2701" t="inlineStr"/>
      <c r="N2701" t="inlineStr"/>
      <c r="O2701">
        <f>(1-Summary!$B$11)*T2701+Summary!$B$11*V2701</f>
        <v/>
      </c>
      <c r="P2701">
        <f>IF(B2723=0,0,O2701/B2723)</f>
        <v/>
      </c>
      <c r="Q2701" t="n">
        <v>0</v>
      </c>
      <c r="R2701" t="n">
        <v>0</v>
      </c>
      <c r="S2701" t="n">
        <v>0</v>
      </c>
      <c r="T2701" t="n">
        <v>0</v>
      </c>
      <c r="V2701" t="n">
        <v>0</v>
      </c>
    </row>
    <row r="2702">
      <c r="A2702">
        <f>Skills!A21</f>
        <v/>
      </c>
      <c r="B2702">
        <f>Skills!B21</f>
        <v/>
      </c>
      <c r="C2702">
        <f>Inputs!$B$3&gt;=33</f>
        <v/>
      </c>
      <c r="D2702">
        <f>IF(Skills!C21=1,60+Inputs!$B$25+Inputs!$B$29,IF(Skills!C21=2,90+Inputs!$B$26+Inputs!$B$29,IF(Skills!C21=3,120+Inputs!$B$27+Inputs!$B$29,MAX(0,(Inputs!$B$3-100)*3)+Inputs!$B$28+Inputs!$B$29)))</f>
        <v/>
      </c>
      <c r="E2702">
        <f>INDEX(FactorTable!$B$2:$Y$301, MATCH(ROUND(MIN(300,MAX(1,D2702)),0), FactorTable!$A$2:$A$301,0), Skills!M21+1)</f>
        <v/>
      </c>
      <c r="F2702">
        <f>IF(Skills!N21=TRUE,(Skills!L21/10)*(E2702/1000),Skills!L21/10)+Skills!O21</f>
        <v/>
      </c>
      <c r="G2702">
        <f>Skills!G21*IF(Skills!H21&gt;0,Skills!I21/Skills!H21,1)</f>
        <v/>
      </c>
      <c r="H2702">
        <f>1-(1-Skills!J21/100)^Skills!K21</f>
        <v/>
      </c>
      <c r="I2702" t="inlineStr">
        <is>
          <t>1</t>
        </is>
      </c>
      <c r="J2702" t="inlineStr"/>
      <c r="K2702" t="inlineStr"/>
      <c r="L2702" t="inlineStr"/>
      <c r="M2702" t="inlineStr"/>
      <c r="N2702" t="inlineStr"/>
      <c r="O2702">
        <f>(1-Summary!$B$11)*T2702+Summary!$B$11*V2702</f>
        <v/>
      </c>
      <c r="P2702">
        <f>IF(B2723=0,0,O2702/B2723)</f>
        <v/>
      </c>
      <c r="Q2702" t="n">
        <v>0</v>
      </c>
      <c r="R2702" t="n">
        <v>0</v>
      </c>
      <c r="S2702" t="n">
        <v>0</v>
      </c>
      <c r="T2702" t="n">
        <v>0</v>
      </c>
      <c r="V2702" t="n">
        <v>0</v>
      </c>
    </row>
    <row r="2703">
      <c r="A2703">
        <f>Skills!A22</f>
        <v/>
      </c>
      <c r="B2703">
        <f>Skills!B22</f>
        <v/>
      </c>
      <c r="C2703">
        <f>Inputs!$B$3&gt;=38</f>
        <v/>
      </c>
      <c r="D2703">
        <f>IF(Skills!C22=1,60+Inputs!$B$25+Inputs!$B$29,IF(Skills!C22=2,90+Inputs!$B$26+Inputs!$B$29,IF(Skills!C22=3,120+Inputs!$B$27+Inputs!$B$29,MAX(0,(Inputs!$B$3-100)*3)+Inputs!$B$28+Inputs!$B$29)))</f>
        <v/>
      </c>
      <c r="E2703">
        <f>INDEX(FactorTable!$B$2:$Y$301, MATCH(ROUND(MIN(300,MAX(1,D2703)),0), FactorTable!$A$2:$A$301,0), Skills!M22+1)</f>
        <v/>
      </c>
      <c r="F2703">
        <f>IF(Skills!N22=TRUE,(Skills!L22/10)*(E2703/1000),Skills!L22/10)+Skills!O22</f>
        <v/>
      </c>
      <c r="G2703">
        <f>Skills!G22*IF(Skills!H22&gt;0,Skills!I22/Skills!H22,1)</f>
        <v/>
      </c>
      <c r="H2703">
        <f>1-(1-Skills!J22/100)^Skills!K22</f>
        <v/>
      </c>
      <c r="I2703" t="inlineStr">
        <is>
          <t>1</t>
        </is>
      </c>
      <c r="J2703" t="inlineStr"/>
      <c r="K2703" t="inlineStr"/>
      <c r="L2703" t="inlineStr"/>
      <c r="M2703" t="inlineStr"/>
      <c r="N2703" t="inlineStr"/>
      <c r="O2703">
        <f>(1-Summary!$B$11)*T2703+Summary!$B$11*V2703</f>
        <v/>
      </c>
      <c r="P2703">
        <f>IF(B2723=0,0,O2703/B2723)</f>
        <v/>
      </c>
      <c r="Q2703" t="n">
        <v>0</v>
      </c>
      <c r="R2703" t="n">
        <v>0</v>
      </c>
      <c r="S2703" t="n">
        <v>0</v>
      </c>
      <c r="T2703" t="n">
        <v>0</v>
      </c>
      <c r="V2703" t="n">
        <v>0</v>
      </c>
    </row>
    <row r="2704">
      <c r="A2704">
        <f>Skills!A23</f>
        <v/>
      </c>
      <c r="B2704">
        <f>Skills!B23</f>
        <v/>
      </c>
      <c r="C2704">
        <f>Inputs!$B$3&gt;=43</f>
        <v/>
      </c>
      <c r="D2704">
        <f>IF(Skills!C23=1,60+Inputs!$B$25+Inputs!$B$29,IF(Skills!C23=2,90+Inputs!$B$26+Inputs!$B$29,IF(Skills!C23=3,120+Inputs!$B$27+Inputs!$B$29,MAX(0,(Inputs!$B$3-100)*3)+Inputs!$B$28+Inputs!$B$29)))</f>
        <v/>
      </c>
      <c r="E2704">
        <f>INDEX(FactorTable!$B$2:$Y$301, MATCH(ROUND(MIN(300,MAX(1,D2704)),0), FactorTable!$A$2:$A$301,0), Skills!M23+1)</f>
        <v/>
      </c>
      <c r="F2704">
        <f>IF(Skills!N23=TRUE,(Skills!L23/10)*(E2704/1000),Skills!L23/10)+Skills!O23</f>
        <v/>
      </c>
      <c r="G2704">
        <f>Skills!G23*IF(Skills!H23&gt;0,Skills!I23/Skills!H23,1)</f>
        <v/>
      </c>
      <c r="H2704">
        <f>1-(1-Skills!J23/100)^Skills!K23</f>
        <v/>
      </c>
      <c r="I2704" t="inlineStr">
        <is>
          <t>1</t>
        </is>
      </c>
      <c r="J2704" t="inlineStr"/>
      <c r="K2704" t="inlineStr"/>
      <c r="L2704" t="inlineStr"/>
      <c r="M2704" t="inlineStr"/>
      <c r="N2704" t="inlineStr"/>
      <c r="O2704">
        <f>(1-Summary!$B$11)*T2704+Summary!$B$11*V2704</f>
        <v/>
      </c>
      <c r="P2704">
        <f>IF(B2723=0,0,O2704/B2723)</f>
        <v/>
      </c>
      <c r="Q2704" t="n">
        <v>0</v>
      </c>
      <c r="R2704" t="n">
        <v>0</v>
      </c>
      <c r="S2704" t="n">
        <v>0</v>
      </c>
      <c r="T2704" t="n">
        <v>0</v>
      </c>
      <c r="V2704" t="n">
        <v>0</v>
      </c>
    </row>
    <row r="2705">
      <c r="A2705">
        <f>Skills!A24</f>
        <v/>
      </c>
      <c r="B2705">
        <f>Skills!B24</f>
        <v/>
      </c>
      <c r="C2705">
        <f>Inputs!$B$3&gt;=75</f>
        <v/>
      </c>
      <c r="D2705">
        <f>IF(Skills!C24=1,60+Inputs!$B$25+Inputs!$B$29,IF(Skills!C24=2,90+Inputs!$B$26+Inputs!$B$29,IF(Skills!C24=3,120+Inputs!$B$27+Inputs!$B$29,MAX(0,(Inputs!$B$3-100)*3)+Inputs!$B$28+Inputs!$B$29)))</f>
        <v/>
      </c>
      <c r="E2705">
        <f>INDEX(FactorTable!$B$2:$Y$301, MATCH(ROUND(MIN(300,MAX(1,D2705)),0), FactorTable!$A$2:$A$301,0), Skills!M24+1)</f>
        <v/>
      </c>
      <c r="F2705">
        <f>IF(Skills!N24=TRUE,(Skills!L24/10)*(E2705/1000),Skills!L24/10)+Skills!O24</f>
        <v/>
      </c>
      <c r="G2705">
        <f>Skills!G24*IF(Skills!H24&gt;0,Skills!I24/Skills!H24,1)</f>
        <v/>
      </c>
      <c r="H2705">
        <f>1-(1-Skills!J24/100)^Skills!K24</f>
        <v/>
      </c>
      <c r="I2705" t="inlineStr">
        <is>
          <t>1</t>
        </is>
      </c>
      <c r="J2705" t="inlineStr"/>
      <c r="K2705" t="inlineStr"/>
      <c r="L2705" t="inlineStr"/>
      <c r="M2705" t="inlineStr"/>
      <c r="N2705" t="inlineStr"/>
      <c r="O2705">
        <f>(1-Summary!$B$11)*T2705+Summary!$B$11*V2705</f>
        <v/>
      </c>
      <c r="P2705">
        <f>IF(B2723=0,0,O2705/B2723)</f>
        <v/>
      </c>
      <c r="Q2705" t="n">
        <v>0</v>
      </c>
      <c r="R2705" t="n">
        <v>0</v>
      </c>
      <c r="S2705" t="n">
        <v>0</v>
      </c>
      <c r="T2705" t="n">
        <v>0</v>
      </c>
      <c r="V2705" t="n">
        <v>0</v>
      </c>
    </row>
    <row r="2706">
      <c r="A2706">
        <f>Skills!A25</f>
        <v/>
      </c>
      <c r="B2706">
        <f>Skills!B25</f>
        <v/>
      </c>
      <c r="C2706">
        <f>Inputs!$B$3&gt;=125</f>
        <v/>
      </c>
      <c r="D2706">
        <f>IF(Skills!C25=1,60+Inputs!$B$25+Inputs!$B$29,IF(Skills!C25=2,90+Inputs!$B$26+Inputs!$B$29,IF(Skills!C25=3,120+Inputs!$B$27+Inputs!$B$29,MAX(0,(Inputs!$B$3-100)*3)+Inputs!$B$28+Inputs!$B$29)))</f>
        <v/>
      </c>
      <c r="E2706">
        <f>INDEX(FactorTable!$B$2:$Y$301, MATCH(ROUND(MIN(300,MAX(1,D2706)),0), FactorTable!$A$2:$A$301,0), Skills!M25+1)</f>
        <v/>
      </c>
      <c r="F2706">
        <f>IF(Skills!N25=TRUE,(Skills!L25/10)*(E2706/1000),Skills!L25/10)+Skills!O25</f>
        <v/>
      </c>
      <c r="G2706">
        <f>Skills!G25*IF(Skills!H25&gt;0,Skills!I25/Skills!H25,1)</f>
        <v/>
      </c>
      <c r="H2706">
        <f>1-(1-Skills!J25/100)^Skills!K25</f>
        <v/>
      </c>
      <c r="I2706" t="inlineStr">
        <is>
          <t>1</t>
        </is>
      </c>
      <c r="J2706" t="inlineStr"/>
      <c r="K2706" t="inlineStr"/>
      <c r="L2706" t="inlineStr"/>
      <c r="M2706" t="inlineStr"/>
      <c r="N2706" t="inlineStr"/>
      <c r="O2706">
        <f>(1-Summary!$B$11)*T2706+Summary!$B$11*V2706</f>
        <v/>
      </c>
      <c r="P2706">
        <f>IF(B2723=0,0,O2706/B2723)</f>
        <v/>
      </c>
      <c r="Q2706" t="n">
        <v>0</v>
      </c>
      <c r="R2706" t="n">
        <v>0</v>
      </c>
      <c r="S2706" t="n">
        <v>0</v>
      </c>
      <c r="T2706" t="n">
        <v>0</v>
      </c>
      <c r="V2706" t="n">
        <v>0</v>
      </c>
    </row>
    <row r="2707">
      <c r="A2707">
        <f>Skills!A26</f>
        <v/>
      </c>
      <c r="B2707">
        <f>Skills!B26</f>
        <v/>
      </c>
      <c r="C2707">
        <f>Inputs!$B$3&gt;=125</f>
        <v/>
      </c>
      <c r="D2707">
        <f>IF(Skills!C26=1,60+Inputs!$B$25+Inputs!$B$29,IF(Skills!C26=2,90+Inputs!$B$26+Inputs!$B$29,IF(Skills!C26=3,120+Inputs!$B$27+Inputs!$B$29,MAX(0,(Inputs!$B$3-100)*3)+Inputs!$B$28+Inputs!$B$29)))</f>
        <v/>
      </c>
      <c r="E2707">
        <f>INDEX(FactorTable!$B$2:$Y$301, MATCH(ROUND(MIN(300,MAX(1,D2707)),0), FactorTable!$A$2:$A$301,0), Skills!M26+1)</f>
        <v/>
      </c>
      <c r="F2707">
        <f>IF(Skills!N26=TRUE,(Skills!L26/10)*(E2707/1000),Skills!L26/10)+Skills!O26</f>
        <v/>
      </c>
      <c r="G2707">
        <f>Skills!G26*IF(Skills!H26&gt;0,Skills!I26/Skills!H26,1)</f>
        <v/>
      </c>
      <c r="H2707">
        <f>1-(1-Skills!J26/100)^Skills!K26</f>
        <v/>
      </c>
      <c r="I2707" t="inlineStr">
        <is>
          <t>1</t>
        </is>
      </c>
      <c r="J2707" t="inlineStr"/>
      <c r="K2707" t="inlineStr"/>
      <c r="L2707" t="inlineStr"/>
      <c r="M2707" t="inlineStr"/>
      <c r="N2707" t="inlineStr"/>
      <c r="O2707">
        <f>(1-Summary!$B$11)*T2707+Summary!$B$11*V2707</f>
        <v/>
      </c>
      <c r="P2707">
        <f>IF(B2723=0,0,O2707/B2723)</f>
        <v/>
      </c>
      <c r="Q2707" t="n">
        <v>0</v>
      </c>
      <c r="R2707" t="n">
        <v>0</v>
      </c>
      <c r="S2707" t="n">
        <v>0</v>
      </c>
      <c r="T2707" t="n">
        <v>0</v>
      </c>
      <c r="V2707" t="n">
        <v>0</v>
      </c>
    </row>
    <row r="2708">
      <c r="A2708">
        <f>Skills!A27</f>
        <v/>
      </c>
      <c r="B2708">
        <f>Skills!B27</f>
        <v/>
      </c>
      <c r="C2708">
        <f>Inputs!$B$3&gt;=120</f>
        <v/>
      </c>
      <c r="D2708">
        <f>IF(Skills!C27=1,60+Inputs!$B$25+Inputs!$B$29,IF(Skills!C27=2,90+Inputs!$B$26+Inputs!$B$29,IF(Skills!C27=3,120+Inputs!$B$27+Inputs!$B$29,MAX(0,(Inputs!$B$3-100)*3)+Inputs!$B$28+Inputs!$B$29)))</f>
        <v/>
      </c>
      <c r="E2708">
        <f>INDEX(FactorTable!$B$2:$Y$301, MATCH(ROUND(MIN(300,MAX(1,D2708)),0), FactorTable!$A$2:$A$301,0), Skills!M27+1)</f>
        <v/>
      </c>
      <c r="F2708">
        <f>IF(Skills!N27=TRUE,(Skills!L27/10)*(E2708/1000),Skills!L27/10)+Skills!O27</f>
        <v/>
      </c>
      <c r="G2708">
        <f>Skills!G27*IF(Skills!H27&gt;0,Skills!I27/Skills!H27,1)</f>
        <v/>
      </c>
      <c r="H2708">
        <f>1-(1-Skills!J27/100)^Skills!K27</f>
        <v/>
      </c>
      <c r="I2708" t="inlineStr">
        <is>
          <t>1</t>
        </is>
      </c>
      <c r="J2708" t="inlineStr"/>
      <c r="K2708" t="inlineStr"/>
      <c r="L2708" t="inlineStr"/>
      <c r="M2708" t="inlineStr"/>
      <c r="N2708" t="inlineStr"/>
      <c r="O2708">
        <f>(1-Summary!$B$11)*T2708+Summary!$B$11*V2708</f>
        <v/>
      </c>
      <c r="P2708">
        <f>IF(B2723=0,0,O2708/B2723)</f>
        <v/>
      </c>
      <c r="Q2708" t="n">
        <v>0</v>
      </c>
      <c r="R2708" t="n">
        <v>0</v>
      </c>
      <c r="S2708" t="n">
        <v>0</v>
      </c>
      <c r="T2708" t="n">
        <v>0</v>
      </c>
      <c r="V2708" t="n">
        <v>0</v>
      </c>
    </row>
    <row r="2709">
      <c r="A2709">
        <f>Skills!A28</f>
        <v/>
      </c>
      <c r="B2709">
        <f>Skills!B28</f>
        <v/>
      </c>
      <c r="C2709">
        <f>Inputs!$B$3&gt;=120</f>
        <v/>
      </c>
      <c r="D2709">
        <f>IF(Skills!C28=1,60+Inputs!$B$25+Inputs!$B$29,IF(Skills!C28=2,90+Inputs!$B$26+Inputs!$B$29,IF(Skills!C28=3,120+Inputs!$B$27+Inputs!$B$29,MAX(0,(Inputs!$B$3-100)*3)+Inputs!$B$28+Inputs!$B$29)))</f>
        <v/>
      </c>
      <c r="E2709">
        <f>INDEX(FactorTable!$B$2:$Y$301, MATCH(ROUND(MIN(300,MAX(1,D2709)),0), FactorTable!$A$2:$A$301,0), Skills!M28+1)</f>
        <v/>
      </c>
      <c r="F2709">
        <f>IF(Skills!N28=TRUE,(Skills!L28/10)*(E2709/1000),Skills!L28/10)+Skills!O28</f>
        <v/>
      </c>
      <c r="G2709">
        <f>Skills!G28*IF(Skills!H28&gt;0,Skills!I28/Skills!H28,1)</f>
        <v/>
      </c>
      <c r="H2709">
        <f>1-(1-Skills!J28/100)^Skills!K28</f>
        <v/>
      </c>
      <c r="I2709" t="inlineStr">
        <is>
          <t>1</t>
        </is>
      </c>
      <c r="J2709" t="inlineStr"/>
      <c r="K2709" t="inlineStr"/>
      <c r="L2709" t="inlineStr"/>
      <c r="M2709" t="inlineStr"/>
      <c r="N2709" t="inlineStr"/>
      <c r="O2709">
        <f>(1-Summary!$B$11)*T2709+Summary!$B$11*V2709</f>
        <v/>
      </c>
      <c r="P2709">
        <f>IF(B2723=0,0,O2709/B2723)</f>
        <v/>
      </c>
      <c r="Q2709" t="n">
        <v>0</v>
      </c>
      <c r="R2709" t="n">
        <v>0</v>
      </c>
      <c r="S2709" t="n">
        <v>0</v>
      </c>
      <c r="T2709" t="n">
        <v>0</v>
      </c>
      <c r="V2709" t="n">
        <v>0</v>
      </c>
    </row>
    <row r="2710">
      <c r="A2710">
        <f>Skills!A29</f>
        <v/>
      </c>
      <c r="B2710">
        <f>Skills!B29</f>
        <v/>
      </c>
      <c r="C2710">
        <f>Inputs!$B$3&gt;=45</f>
        <v/>
      </c>
      <c r="D2710">
        <f>IF(Skills!C29=1,60+Inputs!$B$25+Inputs!$B$29,IF(Skills!C29=2,90+Inputs!$B$26+Inputs!$B$29,IF(Skills!C29=3,120+Inputs!$B$27+Inputs!$B$29,MAX(0,(Inputs!$B$3-100)*3)+Inputs!$B$28+Inputs!$B$29)))</f>
        <v/>
      </c>
      <c r="E2710">
        <f>INDEX(FactorTable!$B$2:$Y$301, MATCH(ROUND(MIN(300,MAX(1,D2710)),0), FactorTable!$A$2:$A$301,0), Skills!M29+1)</f>
        <v/>
      </c>
      <c r="F2710">
        <f>IF(Skills!N29=TRUE,(Skills!L29/10)*(E2710/1000),Skills!L29/10)+Skills!O29</f>
        <v/>
      </c>
      <c r="G2710">
        <f>Skills!G29*IF(Skills!H29&gt;0,Skills!I29/Skills!H29,1)</f>
        <v/>
      </c>
      <c r="H2710">
        <f>1-(1-Skills!J29/100)^Skills!K29</f>
        <v/>
      </c>
      <c r="I2710" t="inlineStr">
        <is>
          <t>1</t>
        </is>
      </c>
      <c r="J2710" t="inlineStr"/>
      <c r="K2710" t="inlineStr"/>
      <c r="L2710" t="inlineStr"/>
      <c r="M2710" t="inlineStr"/>
      <c r="N2710" t="inlineStr"/>
      <c r="O2710">
        <f>(1-Summary!$B$11)*T2710+Summary!$B$11*V2710</f>
        <v/>
      </c>
      <c r="P2710">
        <f>IF(B2723=0,0,O2710/B2723)</f>
        <v/>
      </c>
      <c r="Q2710" t="n">
        <v>0</v>
      </c>
      <c r="R2710" t="n">
        <v>0</v>
      </c>
      <c r="S2710" t="n">
        <v>0</v>
      </c>
      <c r="T2710" t="n">
        <v>0</v>
      </c>
      <c r="V2710" t="n">
        <v>0</v>
      </c>
    </row>
    <row r="2712">
      <c r="A2712" t="inlineStr">
        <is>
          <t>Attack% Bucket Multiplier</t>
        </is>
      </c>
      <c r="B2712">
        <f>(1+(((C2694=TRUE)*F2694)+((C2695=TRUE)*IF(Inputs!$B$38="pvp",F2695,(1-Summary!$B$11)*(F2695)+Summary!$B$11*(0)))+((C2696=TRUE)*F2696*IF(AND(Inputs!$B$38&lt;&gt;"pvp",Inputs!$B$43&gt;0),(((R2696-1)*(Skills!T15*(1+Inputs!$B$34/100))+MIN((Skills!T15*(1+Inputs!$B$34/100)),MAX(0,Inputs!$B$43-((R2696-1)*Skills!D15))))/Inputs!$B$43),IF(Inputs!$B$38="pvp",MIN((Skills!T15*(1+Inputs!$B$34/100)),15)/15,(Skills!T15*(1+Inputs!$B$34/100))/Skills!D15)))+((C2693=TRUE)*F2693)+((C2710=TRUE)*(F2710-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2713">
      <c r="A2713" t="inlineStr">
        <is>
          <t>Global Crit Rate Bonus %</t>
        </is>
      </c>
      <c r="B2713">
        <f>(C2697=TRUE)*20*IF(AND(Inputs!$B$38&lt;&gt;"pvp",Inputs!$B$43&gt;0),(((R2697-1)*(Skills!T16*(1+Inputs!$B$34/100))+MIN((Skills!T16*(1+Inputs!$B$34/100)),MAX(0,Inputs!$B$43-((R2697-1)*Skills!D16))))/Inputs!$B$43),IF(Inputs!$B$38="pvp",MIN((Skills!T16*(1+Inputs!$B$34/100)),15)/15,(Skills!T16*(1+Inputs!$B$34/100))/Skills!D16))</f>
        <v/>
      </c>
    </row>
    <row r="2714">
      <c r="A2714" t="inlineStr">
        <is>
          <t>Attack Speed Buff Bonus %</t>
        </is>
      </c>
      <c r="B2714">
        <f>((C2699=TRUE)*F2699*IF(AND(Inputs!$B$38&lt;&gt;"pvp",Inputs!$B$43&gt;0),(((R2699-1)*(Skills!T18*(1+Inputs!$B$34/100))+MIN((Skills!T18*(1+Inputs!$B$34/100)),MAX(0,Inputs!$B$43-((R2699-1)*Skills!D18))))/Inputs!$B$43),IF(Inputs!$B$38="pvp",MIN((Skills!T18*(1+Inputs!$B$34/100)),15)/15,(Skills!T18*(1+Inputs!$B$34/100))/Skills!D18)))</f>
        <v/>
      </c>
    </row>
    <row r="2715">
      <c r="A2715" t="inlineStr">
        <is>
          <t>Actions Per Second</t>
        </is>
      </c>
      <c r="B2715">
        <f>1+MIN(150,150*(1-(1-(Inputs!$B$11+((C2701=TRUE)*(F2701-Calc!F20))+((C2702=TRUE)*(F2702-Calc!F21)))/150)*(1-B2714/150)))/100</f>
        <v/>
      </c>
    </row>
    <row r="2716">
      <c r="A2716" t="inlineStr">
        <is>
          <t>Skill + Buff Cast Rate</t>
        </is>
      </c>
      <c r="B2716">
        <f>IF(AND(Inputs!$B$38&lt;&gt;"pvp",Inputs!$B$43&gt;0),SUMPRODUCT((Skills!E2:E29=TRUE)*(C2683:C2710=TRUE)*R2683:R2710*Skills!F2:F29)/Inputs!$B$43,SUMPRODUCT((Skills!E2:E29=TRUE)*(C2683:C2710=TRUE)*Q2683:Q2710*Skills!F2:F29))</f>
        <v/>
      </c>
    </row>
    <row r="2717">
      <c r="A2717" t="inlineStr">
        <is>
          <t>Empowered Piercing Arrow Casts Per Second</t>
        </is>
      </c>
      <c r="B2717">
        <f>MAX(0,B2715-B2716)</f>
        <v/>
      </c>
    </row>
    <row r="2718">
      <c r="A2718" t="inlineStr">
        <is>
          <t>Global Critical Damage Bonus % (Sharp Eyes)</t>
        </is>
      </c>
      <c r="B2718">
        <f>(C2697=TRUE)*F2697*IF(AND(Inputs!$B$38&lt;&gt;"pvp",Inputs!$B$43&gt;0),(((R2697-1)*(Skills!T16*(1+Inputs!$B$34/100))+MIN((Skills!T16*(1+Inputs!$B$34/100)),MAX(0,Inputs!$B$43-((R2697-1)*Skills!D16))))/Inputs!$B$43),IF(Inputs!$B$38="pvp",MIN((Skills!T16*(1+Inputs!$B$34/100)),15)/15,(Skills!T16*(1+Inputs!$B$34/100))/Skills!D16))</f>
        <v/>
      </c>
    </row>
    <row r="2719">
      <c r="A2719" t="inlineStr">
        <is>
          <t>Global Final Damage Bonus % (Mortal Blow + Last Man Standing conditional half)</t>
        </is>
      </c>
      <c r="B2719">
        <f>(C2698=TRUE)*F2698+((C2707=TRUE)*IF(Inputs!$B$38="pvp",F2707,(1-Summary!$B$11)*(F2707)+Summary!$B$11*(0)))</f>
        <v/>
      </c>
    </row>
    <row r="2720">
      <c r="A2720" t="inlineStr">
        <is>
          <t>Buff-Casting Startup Delay (s, fixed-duration only)</t>
        </is>
      </c>
      <c r="B2720">
        <f>IF(AND(Inputs!$B$38&lt;&gt;"pvp",Inputs!$B$43&gt;0),SUMPRODUCT((Skills!T2:T29&gt;0)*(Skills!E2:E29=TRUE)*(C2683:C2710=TRUE))/B2715,0)</f>
        <v/>
      </c>
    </row>
    <row r="2721">
      <c r="A2721" t="inlineStr">
        <is>
          <t>Boss-Only Total DPS (this block's swept value)</t>
        </is>
      </c>
      <c r="B2721">
        <f>SUM(T2683:T2710)</f>
        <v/>
      </c>
    </row>
    <row r="2722">
      <c r="A2722" t="inlineStr">
        <is>
          <t>Normal-Only Total DPS (this block's swept value)</t>
        </is>
      </c>
      <c r="B2722">
        <f>SUM(V2683:V2710)</f>
        <v/>
      </c>
    </row>
    <row r="2723">
      <c r="A2723" s="6" t="inlineStr">
        <is>
          <t>TOTAL DPS</t>
        </is>
      </c>
      <c r="B2723" s="6">
        <f>SUM(O2683:O2710)</f>
        <v/>
      </c>
    </row>
    <row r="2726">
      <c r="A2726" s="6" t="inlineStr">
        <is>
          <t>Stat: Reindeer's Spear (Equip)</t>
        </is>
      </c>
    </row>
    <row r="2727">
      <c r="A2727" s="5" t="inlineStr">
        <is>
          <t>Key</t>
        </is>
      </c>
      <c r="B2727" s="5" t="inlineStr">
        <is>
          <t>Name</t>
        </is>
      </c>
      <c r="C2727" s="5" t="inlineStr">
        <is>
          <t>Unlocked</t>
        </is>
      </c>
      <c r="D2727" s="5" t="inlineStr">
        <is>
          <t>InputLevel</t>
        </is>
      </c>
      <c r="E2727" s="5" t="inlineStr">
        <is>
          <t>Factor</t>
        </is>
      </c>
      <c r="F2727" s="5" t="inlineStr">
        <is>
          <t>CoefficientPercent</t>
        </is>
      </c>
      <c r="G2727" s="5" t="inlineStr">
        <is>
          <t>EffectiveHits</t>
        </is>
      </c>
      <c r="H2727" s="5" t="inlineStr">
        <is>
          <t>ProcProbability</t>
        </is>
      </c>
      <c r="I2727" s="5" t="inlineStr">
        <is>
          <t>MapleHeroMultiplier</t>
        </is>
      </c>
      <c r="J2727" s="5" t="inlineStr">
        <is>
          <t>BaseDamage</t>
        </is>
      </c>
      <c r="K2727" s="5" t="inlineStr">
        <is>
          <t>BaseHitDamage</t>
        </is>
      </c>
      <c r="L2727" s="5" t="inlineStr">
        <is>
          <t>NonCritAvg</t>
        </is>
      </c>
      <c r="M2727" s="5" t="inlineStr">
        <is>
          <t>CritAvg</t>
        </is>
      </c>
      <c r="N2727" s="5" t="inlineStr">
        <is>
          <t>ExpectedDamage(perHit)</t>
        </is>
      </c>
      <c r="O2727" s="5" t="inlineStr">
        <is>
          <t>DPS</t>
        </is>
      </c>
      <c r="P2727" s="5" t="inlineStr">
        <is>
          <t>% of Total</t>
        </is>
      </c>
      <c r="Q2727" s="5" t="inlineStr">
        <is>
          <t>InvCooldown</t>
        </is>
      </c>
      <c r="R2727" s="5" t="inlineStr">
        <is>
          <t>CastsInFight</t>
        </is>
      </c>
      <c r="S2727" s="5" t="inlineStr">
        <is>
          <t>HitRate(perSec)</t>
        </is>
      </c>
      <c r="U2727" t="inlineStr">
        <is>
          <t>helpers</t>
        </is>
      </c>
    </row>
    <row r="2728">
      <c r="A2728">
        <f>Skills!A2</f>
        <v/>
      </c>
      <c r="B2728">
        <f>Skills!B2</f>
        <v/>
      </c>
      <c r="C2728">
        <f>Inputs!$B$3&gt;=100</f>
        <v/>
      </c>
      <c r="D2728" t="inlineStr"/>
      <c r="E2728" t="inlineStr"/>
      <c r="F2728">
        <f>U2730+Skills!O2</f>
        <v/>
      </c>
      <c r="G2728">
        <f>Skills!G2*IF(Skills!H2&gt;0,Skills!I2/Skills!H2,1)</f>
        <v/>
      </c>
      <c r="H2728">
        <f>1-(1-Skills!J2/100)^Skills!K2</f>
        <v/>
      </c>
      <c r="I2728" t="inlineStr">
        <is>
          <t>1</t>
        </is>
      </c>
      <c r="J2728">
        <f>((Inputs!$B$6*(1+Inputs!$B$7/100))+(((Inputs!$B$12*(1+Inputs!$B$13/100))-(Inputs!$B$12*(1+Inputs!$B$13/100)))+0.25*(Inputs!$B$14-Inputs!$B$14))*(1+Inputs!$B$7/100))*(F2728/100)</f>
        <v/>
      </c>
      <c r="K2728">
        <f>J2728*(1+((Inputs!$B$12*(1+Inputs!$B$13/100))*0.01+Inputs!$B$14*0.0025)/100)*(1+Inputs!$B$15/100)*(1+Inputs!$B$16/100)*(5000/(6000+Inputs!$B$42*(1-(100*(1-(1-(Inputs!$B$19+0)/100)*(1-CHOOSE(ArtifactsInput!$N$40+1,5,6,7,8,9,10)/100)^(IF(ArtifactsInput!$M$40,FALSE,TRUE)-ArtifactsInput!$M$40)))/100)))*(1+(Inputs!$B$24+((C2750=TRUE)*(F2750-Calc!F24))+((C2751=TRUE)*(F2751-Calc!F25))+B2764)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EMPOWERED_PIERCING_ARROW",Inputs!$B$17+((C2748=TRUE)*(F2748-Calc!F22))+(((IF(AND(ArtifactsInput!$M$42,((Inputs!$B$9+((C2745=TRUE)*(F2745-Calc!F19))+B2758+(ArtifactsInput!$M$24-ArtifactsInput!$M$24)*CHOOSE(ArtifactsInput!$N$24+1,10,12,14,16,18,20)+IF(ArtifactsInput!$M$10,CHOOSE(ArtifactsInput!$N$10+1,15,18,21,24,27,30)*(IF(Inputs!$B$38="pvp",MIN(15,15)/15,IF(AND(Inputs!$B$38&lt;&gt;"pvp",Inputs!$B$43&gt;0),MIN(15,Inputs!$B$43)/(Inputs!$B$43),0))),0)))&gt;=100),MIN(100,((Inputs!$B$9+((C2745=TRUE)*(F2745-Calc!F19))+B2758+(ArtifactsInput!$M$24-ArtifactsInput!$M$24)*CHOOSE(ArtifactsInput!$N$24+1,10,12,14,16,18,20)+IF(ArtifactsInput!$M$10,CHOOSE(ArtifactsInput!$N$10+1,15,18,21,24,27,30)*(IF(Inputs!$B$38="pvp",MIN(15,15)/15,IF(AND(Inputs!$B$38&lt;&gt;"pvp",Inputs!$B$43&gt;0),MIN(15,Inputs!$B$43)/(Inputs!$B$43),0))),0)))-100),0))*CHOOSE(ArtifactsInput!$N$42+1,0.6,0.72,0.84,0.96,1.08,1.2))),Inputs!$B$18+((C2753=TRUE)*(F2753-Calc!F27))+(IF(AND(ArtifactsInput!$M$42,((Inputs!$B$9+((C2745=TRUE)*(F2745-Calc!F19))+B2758+(ArtifactsInput!$M$24-ArtifactsInput!$M$24)*CHOOSE(ArtifactsInput!$N$24+1,10,12,14,16,18,20)+IF(ArtifactsInput!$M$10,CHOOSE(ArtifactsInput!$N$10+1,15,18,21,24,27,30)*(IF(Inputs!$B$38="pvp",MIN(15,15)/15,IF(AND(Inputs!$B$38&lt;&gt;"pvp",Inputs!$B$43&gt;0),MIN(15,Inputs!$B$43)/(Inputs!$B$43),0))),0)))&gt;=100),CHOOSE(ArtifactsInput!$N$42+1,40,48,56,64,72,80),0))))/100)*((1+(((C2739=TRUE)*F2739)+((C2740=TRUE)*IF(Inputs!$B$38="pvp",F2740,(1-Summary!$B$11)*(F2740)+Summary!$B$11*(0)))+((C2741=TRUE)*F2741*IF(AND(Inputs!$B$38&lt;&gt;"pvp",Inputs!$B$43&gt;0),(((R2741-1)*(Skills!T15*(1+Inputs!$B$34/100))+MIN((Skills!T15*(1+Inputs!$B$34/100)),MAX(0,Inputs!$B$43-((R2741-1)*Skills!D15))))/Inputs!$B$43),IF(Inputs!$B$38="pvp",MIN((Skills!T15*(1+Inputs!$B$34/100)),15)/15,(Skills!T15*(1+Inputs!$B$34/100))/Skills!D15)))+((C2738=TRUE)*F2738)+((C2755=TRUE)*(F2755-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IF(ArtifactsInput!$M$40,FALSE,TRUE),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2728)</f>
        <v/>
      </c>
      <c r="L2728">
        <f>K2728*(MIN(Inputs!$B$22+((C2749=TRUE)*(F2749-Calc!F23)),(Inputs!$B$23+((C2754=TRUE)*(F2754-Calc!F28))+(IF(ArtifactsInput!$M$15,CHOOSE(ArtifactsInput!$N$15+1,25,30,35,40,45,50)/100*(Inputs!$B$11-Inputs!$B$11),0))))/100+(Inputs!$B$23+((C2754=TRUE)*(F2754-Calc!F28))+(IF(ArtifactsInput!$M$15,CHOOSE(ArtifactsInput!$N$15+1,25,30,35,40,45,50)/100*(Inputs!$B$11-Inputs!$B$11),0)))/100)/2</f>
        <v/>
      </c>
      <c r="M2728">
        <f>L2728*(1+(Inputs!$B$10+0+B2763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728">
        <f>L2728*(1-MIN((Inputs!$B$9+((C2745=TRUE)*(F2745-Calc!F19))+B2758+(ArtifactsInput!$M$24-ArtifactsInput!$M$24)*CHOOSE(ArtifactsInput!$N$24+1,10,12,14,16,18,20)+(IF(AND(ArtifactsInput!$M$42,((Inputs!$B$9+((C2745=TRUE)*(F2745-Calc!F19))+B2758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2728*(MIN((Inputs!$B$9+((C2745=TRUE)*(F2745-Calc!F19))+B2758+(ArtifactsInput!$M$24-ArtifactsInput!$M$24)*CHOOSE(ArtifactsInput!$N$24+1,10,12,14,16,18,20)+(IF(AND(ArtifactsInput!$M$42,((Inputs!$B$9+((C2745=TRUE)*(F2745-Calc!F19))+B2758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728">
        <f>(1-Summary!$B$11)*T2728+Summary!$B$11*V2728</f>
        <v/>
      </c>
      <c r="P2728">
        <f>IF(B2768=0,0,O2728/B2768)</f>
        <v/>
      </c>
      <c r="Q2728" t="n">
        <v>0</v>
      </c>
      <c r="R2728" t="n">
        <v>0</v>
      </c>
      <c r="S2728">
        <f>IFERROR((Skills!G2*N2728*B2762)/N2728*IF(Inputs!$B$38="pvp",1,(1-Summary!$B$11)*1+Summary!$B$11*(MIN((6+Inputs!$B$33),Inputs!$B$37))),0)</f>
        <v/>
      </c>
      <c r="T2728">
        <f>IF(C2728,(Skills!G2*N2728*B2762)*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Hunt"),CHOOSE(ArtifactsInput!$N$35+1,15,18,21,24,27,30)*(1-EXP(-(0.2*B2760)*5)),0)+IF(AND(ArtifactsInput!$M$22,Inputs!$B$4&lt;&gt;"Chapter Hunt"),CHOOSE(ArtifactsInput!$N$22+1,10,12,14,16,18,20)*((0*(((0.15*B2760*5))^0/1)+1*(((0.15*B2760*5))^1/1)+2*(((0.15*B2760*5))^2/2)+3*(((0.15*B2760*5))^3/6)+4*(((0.15*B2760*5))^4/24)+5*(((0.15*B2760*5))^5/120))/((((0.15*B2760*5))^0/1)+(((0.15*B2760*5))^1/1)+(((0.15*B2760*5))^2/2)+(((0.15*B2760*5))^3/6)+(((0.15*B2760*5))^4/24)+(((0.15*B2760*5))^5/120))),0)))/100)*((((5000/(6000+Inputs!$B$42*(1-(100*(1-(1-(100*(1-(1-(Inputs!$B$19+0)/100)*(1-CHOOSE(ArtifactsInput!$N$40+1,5,6,7,8,9,10)/100)^(IF(ArtifactsInput!$M$40,FALSE,TRUE)-ArtifactsInput!$M$40)))/100)*(1-IF(IF(ArtifactsInput!$M$40,FALSE,TRUE),CHOOSE(ArtifactsInput!$N$40+1,5,6,7,8,9,10),0)/100)^IF(Inputs!$B$38="pvp",1,2)))/100)))/(5000/(6000+Inputs!$B$42*(1-(100*(1-(1-(Inputs!$B$19+0)/100)*(1-CHOOSE(ArtifactsInput!$N$40+1,5,6,7,8,9,10)/100)^(IF(ArtifactsInput!$M$40,FALSE,TRUE)-ArtifactsInput!$M$40)))/100))))*((L2728*(1-MIN(100,(Inputs!$B$9+((C2745=TRUE)*(F2745-Calc!F19))+B2758+(ArtifactsInput!$M$24-ArtifactsInput!$M$24)*CHOOSE(ArtifactsInput!$N$24+1,10,12,14,16,18,20)+(IF(AND(ArtifactsInput!$M$42,((Inputs!$B$9+((C2745=TRUE)*(F2745-Calc!F19))+B2758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2728*(MIN(100,(Inputs!$B$9+((C2745=TRUE)*(F2745-Calc!F19))+B2758+(ArtifactsInput!$M$24-ArtifactsInput!$M$24)*CHOOSE(ArtifactsInput!$N$24+1,10,12,14,16,18,20)+(IF(AND(ArtifactsInput!$M$42,((Inputs!$B$9+((C2745=TRUE)*(F2745-Calc!F19))+B2758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2728*(1-MIN(100,(Inputs!$B$9+((C2745=TRUE)*(F2745-Calc!F19))+B2758+(ArtifactsInput!$M$24-ArtifactsInput!$M$24)*CHOOSE(ArtifactsInput!$N$24+1,10,12,14,16,18,20)+(IF(AND(ArtifactsInput!$M$42,((Inputs!$B$9+((C2745=TRUE)*(F2745-Calc!F19))+B2758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2728*(MIN(100,(Inputs!$B$9+((C2745=TRUE)*(F2745-Calc!F19))+B2758+(ArtifactsInput!$M$24-ArtifactsInput!$M$24)*CHOOSE(ArtifactsInput!$N$24+1,10,12,14,16,18,20)+(IF(AND(ArtifactsInput!$M$42,((Inputs!$B$9+((C2745=TRUE)*(F2745-Calc!F19))+B2758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728">
        <f>MAX(0,(Inputs!$B$3-100)*3)+Inputs!$B$28+Inputs!$B$29</f>
        <v/>
      </c>
      <c r="V2728">
        <f>IF(C2728,(Skills!G2*N2728*B2762)*IF(Inputs!$B$38="pvp",1,(1+(Inputs!$B$21+Skills!Q2+(IF(ArtifactsInput!$M$33,CHOOSE(ArtifactsInput!$N$33+1,30,36,42,48,54,60),0))+(IF(AND(ArtifactsInput!$M$35,Inputs!$B$4&lt;&gt;"Chapter Hunt"),CHOOSE(ArtifactsInput!$N$35+1,15,18,21,24,27,30)*(1-EXP(-(0.2*B2760)*5)),0)+IF(AND(ArtifactsInput!$M$22,Inputs!$B$4&lt;&gt;"Chapter Hunt"),CHOOSE(ArtifactsInput!$N$22+1,10,12,14,16,18,20)*((0*(((0.15*B2760*5))^0/1)+1*(((0.15*B2760*5))^1/1)+2*(((0.15*B2760*5))^2/2)+3*(((0.15*B2760*5))^3/6)+4*(((0.15*B2760*5))^4/24)+5*(((0.15*B2760*5))^5/120))/((((0.15*B2760*5))^0/1)+(((0.15*B2760*5))^1/1)+(((0.15*B2760*5))^2/2)+(((0.15*B2760*5))^3/6)+(((0.15*B2760*5))^4/24)+(((0.15*B2760*5))^5/120)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729">
      <c r="A2729">
        <f>Skills!A3</f>
        <v/>
      </c>
      <c r="B2729">
        <f>Skills!B3</f>
        <v/>
      </c>
      <c r="C2729">
        <f>Inputs!$B$3&gt;=50</f>
        <v/>
      </c>
      <c r="D2729">
        <f>IF(Skills!C3=1,60+Inputs!$B$25+Inputs!$B$29,IF(Skills!C3=2,90+Inputs!$B$26+Inputs!$B$29,IF(Skills!C3=3,120+Inputs!$B$27+Inputs!$B$29,MAX(0,(Inputs!$B$3-100)*3)+Inputs!$B$28+Inputs!$B$29)))</f>
        <v/>
      </c>
      <c r="E2729">
        <f>INDEX(FactorTable!$B$2:$Y$301, MATCH(ROUND(MIN(300,MAX(1,D2729)),0), FactorTable!$A$2:$A$301,0), Skills!M3+1)</f>
        <v/>
      </c>
      <c r="F2729">
        <f>IF(Skills!N3=TRUE,(Skills!L3/10)*(E2729/1000),Skills!L3/10)+Skills!O3</f>
        <v/>
      </c>
      <c r="G2729" t="inlineStr"/>
      <c r="H2729" t="inlineStr"/>
      <c r="I2729" t="inlineStr">
        <is>
          <t>1</t>
        </is>
      </c>
      <c r="J2729" t="inlineStr"/>
      <c r="K2729" t="inlineStr"/>
      <c r="L2729" t="inlineStr"/>
      <c r="M2729" t="inlineStr"/>
      <c r="N2729" t="inlineStr"/>
      <c r="O2729" t="inlineStr"/>
      <c r="P2729" t="inlineStr"/>
      <c r="Q2729" t="inlineStr"/>
      <c r="R2729" t="inlineStr"/>
      <c r="S2729" t="inlineStr"/>
      <c r="T2729" t="inlineStr"/>
      <c r="U2729">
        <f>INDEX(FactorTable!$B$2:$Y$301, MATCH(ROUND(MIN(300,MAX(1,U2728)),0), FactorTable!$A$2:$A$301,0), 22)</f>
        <v/>
      </c>
      <c r="V2729" t="inlineStr"/>
    </row>
    <row r="2730">
      <c r="A2730">
        <f>Skills!A4</f>
        <v/>
      </c>
      <c r="B2730">
        <f>Skills!B4</f>
        <v/>
      </c>
      <c r="C2730">
        <f>Inputs!$B$3&gt;=105</f>
        <v/>
      </c>
      <c r="D2730">
        <f>IF(Skills!C4=1,60+Inputs!$B$25+Inputs!$B$29,IF(Skills!C4=2,90+Inputs!$B$26+Inputs!$B$29,IF(Skills!C4=3,120+Inputs!$B$27+Inputs!$B$29,MAX(0,(Inputs!$B$3-100)*3)+Inputs!$B$28+Inputs!$B$29)))</f>
        <v/>
      </c>
      <c r="E2730">
        <f>INDEX(FactorTable!$B$2:$Y$301, MATCH(ROUND(MIN(300,MAX(1,D2730)),0), FactorTable!$A$2:$A$301,0), Skills!M4+1)</f>
        <v/>
      </c>
      <c r="F2730">
        <f>IF(Skills!N4=TRUE,(Skills!L4/10)*(E2730/1000),Skills!L4/10)+Skills!O4</f>
        <v/>
      </c>
      <c r="G2730" t="inlineStr"/>
      <c r="H2730" t="inlineStr"/>
      <c r="I2730" t="inlineStr">
        <is>
          <t>1</t>
        </is>
      </c>
      <c r="J2730" t="inlineStr"/>
      <c r="K2730" t="inlineStr"/>
      <c r="L2730" t="inlineStr"/>
      <c r="M2730" t="inlineStr"/>
      <c r="N2730" t="inlineStr"/>
      <c r="O2730" t="inlineStr"/>
      <c r="P2730" t="inlineStr"/>
      <c r="Q2730" t="inlineStr"/>
      <c r="R2730" t="inlineStr"/>
      <c r="S2730" t="inlineStr"/>
      <c r="T2730" t="inlineStr"/>
      <c r="U2730">
        <f>290*U2729/1000</f>
        <v/>
      </c>
      <c r="V2730" t="inlineStr"/>
    </row>
    <row r="2731">
      <c r="A2731">
        <f>Skills!A5</f>
        <v/>
      </c>
      <c r="B2731">
        <f>Skills!B5</f>
        <v/>
      </c>
      <c r="C2731">
        <f>Inputs!$B$3&gt;=35</f>
        <v/>
      </c>
      <c r="D2731">
        <f>IF(Skills!C5=1,60+Inputs!$B$25+Inputs!$B$29,IF(Skills!C5=2,90+Inputs!$B$26+Inputs!$B$29,IF(Skills!C5=3,120+Inputs!$B$27+Inputs!$B$29,MAX(0,(Inputs!$B$3-100)*3)+Inputs!$B$28+Inputs!$B$29)))</f>
        <v/>
      </c>
      <c r="E2731">
        <f>INDEX(FactorTable!$B$2:$Y$301, MATCH(ROUND(MIN(300,MAX(1,D2731)),0), FactorTable!$A$2:$A$301,0), Skills!M5+1)</f>
        <v/>
      </c>
      <c r="F2731">
        <f>IF(Skills!N5=TRUE,(Skills!L5/10)*(E2731/1000),Skills!L5/10)+Skills!O5</f>
        <v/>
      </c>
      <c r="G2731">
        <f>Skills!G5*IF(Skills!H5&gt;0,Skills!I5/Skills!H5,1)</f>
        <v/>
      </c>
      <c r="H2731">
        <f>1-(1-Skills!J5/100)^Skills!K5</f>
        <v/>
      </c>
      <c r="I2731" t="inlineStr">
        <is>
          <t>1</t>
        </is>
      </c>
      <c r="J2731">
        <f>((Inputs!$B$6*(1+Inputs!$B$7/100))+(((Inputs!$B$12*(1+Inputs!$B$13/100))-(Inputs!$B$12*(1+Inputs!$B$13/100)))+0.25*(Inputs!$B$14-Inputs!$B$14))*(1+Inputs!$B$7/100))*(F2731/100)</f>
        <v/>
      </c>
      <c r="K2731">
        <f>J2731*(1+((Inputs!$B$12*(1+Inputs!$B$13/100))*0.01+Inputs!$B$14*0.0025)/100)*(1+Inputs!$B$15/100)*(1+Inputs!$B$16/100)*(5000/(6000+Inputs!$B$42*(1-(100*(1-(1-(Inputs!$B$19+0)/100)*(1-CHOOSE(ArtifactsInput!$N$40+1,5,6,7,8,9,10)/100)^(IF(ArtifactsInput!$M$40,FALSE,TRUE)-ArtifactsInput!$M$40)))/100)))*(1+(Inputs!$B$24+((C2750=TRUE)*(F2750-Calc!F24))+((C2751=TRUE)*(F2751-Calc!F25))+B2764)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2734=TRUE,F2734,0)/100)*(1+(IF(Skills!A5="EMPOWERED_PIERCING_ARROW",Inputs!$B$17+((C2748=TRUE)*(F2748-Calc!F22))+(((IF(AND(ArtifactsInput!$M$42,((Inputs!$B$9+((C2745=TRUE)*(F2745-Calc!F19))+B2758+(ArtifactsInput!$M$24-ArtifactsInput!$M$24)*CHOOSE(ArtifactsInput!$N$24+1,10,12,14,16,18,20)+IF(ArtifactsInput!$M$10,CHOOSE(ArtifactsInput!$N$10+1,15,18,21,24,27,30)*(IF(Inputs!$B$38="pvp",MIN(15,15)/15,IF(AND(Inputs!$B$38&lt;&gt;"pvp",Inputs!$B$43&gt;0),MIN(15,Inputs!$B$43)/(Inputs!$B$43),0))),0)))&gt;=100),MIN(100,((Inputs!$B$9+((C2745=TRUE)*(F2745-Calc!F19))+B2758+(ArtifactsInput!$M$24-ArtifactsInput!$M$24)*CHOOSE(ArtifactsInput!$N$24+1,10,12,14,16,18,20)+IF(ArtifactsInput!$M$10,CHOOSE(ArtifactsInput!$N$10+1,15,18,21,24,27,30)*(IF(Inputs!$B$38="pvp",MIN(15,15)/15,IF(AND(Inputs!$B$38&lt;&gt;"pvp",Inputs!$B$43&gt;0),MIN(15,Inputs!$B$43)/(Inputs!$B$43),0))),0)))-100),0))*CHOOSE(ArtifactsInput!$N$42+1,0.6,0.72,0.84,0.96,1.08,1.2))),Inputs!$B$18+((C2753=TRUE)*(F2753-Calc!F27))+(IF(AND(ArtifactsInput!$M$42,((Inputs!$B$9+((C2745=TRUE)*(F2745-Calc!F19))+B2758+(ArtifactsInput!$M$24-ArtifactsInput!$M$24)*CHOOSE(ArtifactsInput!$N$24+1,10,12,14,16,18,20)+IF(ArtifactsInput!$M$10,CHOOSE(ArtifactsInput!$N$10+1,15,18,21,24,27,30)*(IF(Inputs!$B$38="pvp",MIN(15,15)/15,IF(AND(Inputs!$B$38&lt;&gt;"pvp",Inputs!$B$43&gt;0),MIN(15,Inputs!$B$43)/(Inputs!$B$43),0))),0)))&gt;=100),CHOOSE(ArtifactsInput!$N$42+1,40,48,56,64,72,80),0))))/100)*((1+(((C2739=TRUE)*F2739)+((C2740=TRUE)*IF(Inputs!$B$38="pvp",F2740,(1-Summary!$B$11)*(F2740)+Summary!$B$11*(0)))+((C2741=TRUE)*F2741*IF(AND(Inputs!$B$38&lt;&gt;"pvp",Inputs!$B$43&gt;0),(((R2741-1)*(Skills!T15*(1+Inputs!$B$34/100))+MIN((Skills!T15*(1+Inputs!$B$34/100)),MAX(0,Inputs!$B$43-((R2741-1)*Skills!D15))))/Inputs!$B$43),IF(Inputs!$B$38="pvp",MIN((Skills!T15*(1+Inputs!$B$34/100)),15)/15,(Skills!T15*(1+Inputs!$B$34/100))/Skills!D15)))+((C2738=TRUE)*F2738)+((C2755=TRUE)*(F2755-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IF(ArtifactsInput!$M$40,FALSE,TRUE),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2731)</f>
        <v/>
      </c>
      <c r="L2731">
        <f>K2731*(MIN(Inputs!$B$22+((C2749=TRUE)*(F2749-Calc!F23)),(Inputs!$B$23+((C2754=TRUE)*(F2754-Calc!F28))+(IF(ArtifactsInput!$M$15,CHOOSE(ArtifactsInput!$N$15+1,25,30,35,40,45,50)/100*(Inputs!$B$11-Inputs!$B$11),0))))/100+(Inputs!$B$23+((C2754=TRUE)*(F2754-Calc!F28))+(IF(ArtifactsInput!$M$15,CHOOSE(ArtifactsInput!$N$15+1,25,30,35,40,45,50)/100*(Inputs!$B$11-Inputs!$B$11),0)))/100)/2</f>
        <v/>
      </c>
      <c r="M2731">
        <f>L2731*(1+(Inputs!$B$10+0+B2763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731">
        <f>L2731*(1-MIN((Inputs!$B$9+((C2745=TRUE)*(F2745-Calc!F19))+B2758+(ArtifactsInput!$M$24-ArtifactsInput!$M$24)*CHOOSE(ArtifactsInput!$N$24+1,10,12,14,16,18,20)+(IF(AND(ArtifactsInput!$M$42,((Inputs!$B$9+((C2745=TRUE)*(F2745-Calc!F19))+B2758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2731*(MIN((Inputs!$B$9+((C2745=TRUE)*(F2745-Calc!F19))+B2758+(ArtifactsInput!$M$24-ArtifactsInput!$M$24)*CHOOSE(ArtifactsInput!$N$24+1,10,12,14,16,18,20)+(IF(AND(ArtifactsInput!$M$42,((Inputs!$B$9+((C2745=TRUE)*(F2745-Calc!F19))+B2758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731">
        <f>(1-Summary!$B$11)*T2731+Summary!$B$11*V2731</f>
        <v/>
      </c>
      <c r="P2731">
        <f>IF(B2768=0,0,O2731/B2768)</f>
        <v/>
      </c>
      <c r="Q2731">
        <f>IFERROR(1/IF(Inputs!$B$38="pvp",15,MAX(0.1,Skills!D5-IF(Skills!E5=TRUE,Inputs!$B$32,0))),0)</f>
        <v/>
      </c>
      <c r="R2731">
        <f>IF(AND(Inputs!$B$38&lt;&gt;"pvp",Inputs!$B$43&gt;0),IF(MAX(0,Inputs!$B$43-B2765)&lt;=0,0,(INT(MAX(0,Inputs!$B$43-B2765)/IF(Inputs!$B$38="pvp",15,MAX(0.1,Skills!D5-IF(Skills!E5=TRUE,Inputs!$B$32,0))))+1)),0)</f>
        <v/>
      </c>
      <c r="S2731">
        <f>IFERROR((H2731*N2731*IF(AND(Inputs!$B$38&lt;&gt;"pvp",Inputs!$B$43&gt;0),((Skills!G5*((R2731-1)*IF(Skills!H5&gt;0,Skills!I5/Skills!H5,1)+IF(Skills!H5&gt;0,MIN(Skills!I5,MAX(0,MAX(0,Inputs!$B$43-B2765)-((R2731-1)*IF(Inputs!$B$38="pvp",15,MAX(0.1,Skills!D5-IF(Skills!E5=TRUE,Inputs!$B$32,0))))))/Skills!H5,1)))/Inputs!$B$43),G2731*Q2731))/N2731*IF(Inputs!$B$38="pvp",1,(1-Summary!$B$11)*1+Summary!$B$11*(MIN(Skills!R5,Inputs!$B$37))),0)</f>
        <v/>
      </c>
      <c r="T2731">
        <f>IF(C2731,(H2731*N2731*IF(AND(Inputs!$B$38&lt;&gt;"pvp",Inputs!$B$43&gt;0),((Skills!G5*((R2731-1)*IF(Skills!H5&gt;0,Skills!I5/Skills!H5,1)+IF(Skills!H5&gt;0,MIN(Skills!I5,MAX(0,MAX(0,Inputs!$B$43-B2765)-((R2731-1)*IF(Inputs!$B$38="pvp",15,MAX(0.1,Skills!D5-IF(Skills!E5=TRUE,Inputs!$B$32,0))))))/Skills!H5,1)))/Inputs!$B$43),G2731*Q2731))*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Hunt"),CHOOSE(ArtifactsInput!$N$35+1,15,18,21,24,27,30)*(1-EXP(-(0.2*B2760)*5)),0)+IF(AND(ArtifactsInput!$M$22,Inputs!$B$4&lt;&gt;"Chapter Hunt"),CHOOSE(ArtifactsInput!$N$22+1,10,12,14,16,18,20)*((0*(((0.15*B2760*5))^0/1)+1*(((0.15*B2760*5))^1/1)+2*(((0.15*B2760*5))^2/2)+3*(((0.15*B2760*5))^3/6)+4*(((0.15*B2760*5))^4/24)+5*(((0.15*B2760*5))^5/120))/((((0.15*B2760*5))^0/1)+(((0.15*B2760*5))^1/1)+(((0.15*B2760*5))^2/2)+(((0.15*B2760*5))^3/6)+(((0.15*B2760*5))^4/24)+(((0.15*B2760*5))^5/120))),0)))/100)*((((5000/(6000+Inputs!$B$42*(1-(100*(1-(1-(100*(1-(1-(Inputs!$B$19+0)/100)*(1-CHOOSE(ArtifactsInput!$N$40+1,5,6,7,8,9,10)/100)^(IF(ArtifactsInput!$M$40,FALSE,TRUE)-ArtifactsInput!$M$40)))/100)*(1-IF(IF(ArtifactsInput!$M$40,FALSE,TRUE),CHOOSE(ArtifactsInput!$N$40+1,5,6,7,8,9,10),0)/100)^IF(Inputs!$B$38="pvp",1,2)))/100)))/(5000/(6000+Inputs!$B$42*(1-(100*(1-(1-(Inputs!$B$19+0)/100)*(1-CHOOSE(ArtifactsInput!$N$40+1,5,6,7,8,9,10)/100)^(IF(ArtifactsInput!$M$40,FALSE,TRUE)-ArtifactsInput!$M$40)))/100))))*((L2731*(1-MIN(100,(Inputs!$B$9+((C2745=TRUE)*(F2745-Calc!F19))+B2758+(ArtifactsInput!$M$24-ArtifactsInput!$M$24)*CHOOSE(ArtifactsInput!$N$24+1,10,12,14,16,18,20)+(IF(AND(ArtifactsInput!$M$42,((Inputs!$B$9+((C2745=TRUE)*(F2745-Calc!F19))+B2758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2731*(MIN(100,(Inputs!$B$9+((C2745=TRUE)*(F2745-Calc!F19))+B2758+(ArtifactsInput!$M$24-ArtifactsInput!$M$24)*CHOOSE(ArtifactsInput!$N$24+1,10,12,14,16,18,20)+(IF(AND(ArtifactsInput!$M$42,((Inputs!$B$9+((C2745=TRUE)*(F2745-Calc!F19))+B2758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2731*(1-MIN(100,(Inputs!$B$9+((C2745=TRUE)*(F2745-Calc!F19))+B2758+(ArtifactsInput!$M$24-ArtifactsInput!$M$24)*CHOOSE(ArtifactsInput!$N$24+1,10,12,14,16,18,20)+(IF(AND(ArtifactsInput!$M$42,((Inputs!$B$9+((C2745=TRUE)*(F2745-Calc!F19))+B2758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2731*(MIN(100,(Inputs!$B$9+((C2745=TRUE)*(F2745-Calc!F19))+B2758+(ArtifactsInput!$M$24-ArtifactsInput!$M$24)*CHOOSE(ArtifactsInput!$N$24+1,10,12,14,16,18,20)+(IF(AND(ArtifactsInput!$M$42,((Inputs!$B$9+((C2745=TRUE)*(F2745-Calc!F19))+B2758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731">
        <f>IF(C2731,(H2731*N2731*IF(AND(Inputs!$B$38&lt;&gt;"pvp",Inputs!$B$43&gt;0),((Skills!G5*((R2731-1)*IF(Skills!H5&gt;0,Skills!I5/Skills!H5,1)+IF(Skills!H5&gt;0,MIN(Skills!I5,MAX(0,MAX(0,Inputs!$B$43-B2765)-((R2731-1)*IF(Inputs!$B$38="pvp",15,MAX(0.1,Skills!D5-IF(Skills!E5=TRUE,Inputs!$B$32,0))))))/Skills!H5,1)))/Inputs!$B$43),G2731*Q2731))*IF(Inputs!$B$38="pvp",1,(1+(Inputs!$B$21+Skills!Q5+(IF(ArtifactsInput!$M$33,CHOOSE(ArtifactsInput!$N$33+1,30,36,42,48,54,60),0))+(IF(AND(ArtifactsInput!$M$35,Inputs!$B$4&lt;&gt;"Chapter Hunt"),CHOOSE(ArtifactsInput!$N$35+1,15,18,21,24,27,30)*(1-EXP(-(0.2*B2760)*5)),0)+IF(AND(ArtifactsInput!$M$22,Inputs!$B$4&lt;&gt;"Chapter Hunt"),CHOOSE(ArtifactsInput!$N$22+1,10,12,14,16,18,20)*((0*(((0.15*B2760*5))^0/1)+1*(((0.15*B2760*5))^1/1)+2*(((0.15*B2760*5))^2/2)+3*(((0.15*B2760*5))^3/6)+4*(((0.15*B2760*5))^4/24)+5*(((0.15*B2760*5))^5/120))/((((0.15*B2760*5))^0/1)+(((0.15*B2760*5))^1/1)+(((0.15*B2760*5))^2/2)+(((0.15*B2760*5))^3/6)+(((0.15*B2760*5))^4/24)+(((0.15*B2760*5))^5/120)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732">
      <c r="A2732">
        <f>Skills!A6</f>
        <v/>
      </c>
      <c r="B2732">
        <f>Skills!B6</f>
        <v/>
      </c>
      <c r="C2732">
        <f>Inputs!$B$3&gt;=63</f>
        <v/>
      </c>
      <c r="D2732">
        <f>IF(Skills!C6=1,60+Inputs!$B$25+Inputs!$B$29,IF(Skills!C6=2,90+Inputs!$B$26+Inputs!$B$29,IF(Skills!C6=3,120+Inputs!$B$27+Inputs!$B$29,MAX(0,(Inputs!$B$3-100)*3)+Inputs!$B$28+Inputs!$B$29)))</f>
        <v/>
      </c>
      <c r="E2732">
        <f>INDEX(FactorTable!$B$2:$Y$301, MATCH(ROUND(MIN(300,MAX(1,D2732)),0), FactorTable!$A$2:$A$301,0), Skills!M6+1)</f>
        <v/>
      </c>
      <c r="F2732">
        <f>IF(Skills!N6=TRUE,(Skills!L6/10)*(E2732/1000),Skills!L6/10)+Skills!O6</f>
        <v/>
      </c>
      <c r="G2732">
        <f>Skills!G6*IF(Skills!H6&gt;0,Skills!I6/Skills!H6,1)</f>
        <v/>
      </c>
      <c r="H2732">
        <f>1-(1-Skills!J6/100)^Skills!K6</f>
        <v/>
      </c>
      <c r="I2732" t="inlineStr">
        <is>
          <t>1</t>
        </is>
      </c>
      <c r="J2732">
        <f>((Inputs!$B$6*(1+Inputs!$B$7/100))+(((Inputs!$B$12*(1+Inputs!$B$13/100))-(Inputs!$B$12*(1+Inputs!$B$13/100)))+0.25*(Inputs!$B$14-Inputs!$B$14))*(1+Inputs!$B$7/100))*(F2732/100)</f>
        <v/>
      </c>
      <c r="K2732">
        <f>J2732*(1+((Inputs!$B$12*(1+Inputs!$B$13/100))*0.01+Inputs!$B$14*0.0025)/100)*(1+Inputs!$B$15/100)*(1+Inputs!$B$16/100)*(5000/(6000+Inputs!$B$42*(1-(100*(1-(1-(Inputs!$B$19+0)/100)*(1-CHOOSE(ArtifactsInput!$N$40+1,5,6,7,8,9,10)/100)^(IF(ArtifactsInput!$M$40,FALSE,TRUE)-ArtifactsInput!$M$40)))/100)))*(1+(Inputs!$B$24+((C2750=TRUE)*(F2750-Calc!F24))+((C2751=TRUE)*(F2751-Calc!F25))+B2764)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2734=TRUE,F2734,0)/100)*(1+(IF(Skills!A6="EMPOWERED_PIERCING_ARROW",Inputs!$B$17+((C2748=TRUE)*(F2748-Calc!F22))+(((IF(AND(ArtifactsInput!$M$42,((Inputs!$B$9+((C2745=TRUE)*(F2745-Calc!F19))+B2758+(ArtifactsInput!$M$24-ArtifactsInput!$M$24)*CHOOSE(ArtifactsInput!$N$24+1,10,12,14,16,18,20)+IF(ArtifactsInput!$M$10,CHOOSE(ArtifactsInput!$N$10+1,15,18,21,24,27,30)*(IF(Inputs!$B$38="pvp",MIN(15,15)/15,IF(AND(Inputs!$B$38&lt;&gt;"pvp",Inputs!$B$43&gt;0),MIN(15,Inputs!$B$43)/(Inputs!$B$43),0))),0)))&gt;=100),MIN(100,((Inputs!$B$9+((C2745=TRUE)*(F2745-Calc!F19))+B2758+(ArtifactsInput!$M$24-ArtifactsInput!$M$24)*CHOOSE(ArtifactsInput!$N$24+1,10,12,14,16,18,20)+IF(ArtifactsInput!$M$10,CHOOSE(ArtifactsInput!$N$10+1,15,18,21,24,27,30)*(IF(Inputs!$B$38="pvp",MIN(15,15)/15,IF(AND(Inputs!$B$38&lt;&gt;"pvp",Inputs!$B$43&gt;0),MIN(15,Inputs!$B$43)/(Inputs!$B$43),0))),0)))-100),0))*CHOOSE(ArtifactsInput!$N$42+1,0.6,0.72,0.84,0.96,1.08,1.2))),Inputs!$B$18+((C2753=TRUE)*(F2753-Calc!F27))+(IF(AND(ArtifactsInput!$M$42,((Inputs!$B$9+((C2745=TRUE)*(F2745-Calc!F19))+B2758+(ArtifactsInput!$M$24-ArtifactsInput!$M$24)*CHOOSE(ArtifactsInput!$N$24+1,10,12,14,16,18,20)+IF(ArtifactsInput!$M$10,CHOOSE(ArtifactsInput!$N$10+1,15,18,21,24,27,30)*(IF(Inputs!$B$38="pvp",MIN(15,15)/15,IF(AND(Inputs!$B$38&lt;&gt;"pvp",Inputs!$B$43&gt;0),MIN(15,Inputs!$B$43)/(Inputs!$B$43),0))),0)))&gt;=100),CHOOSE(ArtifactsInput!$N$42+1,40,48,56,64,72,80),0))))/100)*((1+(((C2739=TRUE)*F2739)+((C2740=TRUE)*IF(Inputs!$B$38="pvp",F2740,(1-Summary!$B$11)*(F2740)+Summary!$B$11*(0)))+((C2741=TRUE)*F2741*IF(AND(Inputs!$B$38&lt;&gt;"pvp",Inputs!$B$43&gt;0),(((R2741-1)*(Skills!T15*(1+Inputs!$B$34/100))+MIN((Skills!T15*(1+Inputs!$B$34/100)),MAX(0,Inputs!$B$43-((R2741-1)*Skills!D15))))/Inputs!$B$43),IF(Inputs!$B$38="pvp",MIN((Skills!T15*(1+Inputs!$B$34/100)),15)/15,(Skills!T15*(1+Inputs!$B$34/100))/Skills!D15)))+((C2738=TRUE)*F2738)+((C2755=TRUE)*(F2755-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IF(ArtifactsInput!$M$40,FALSE,TRUE),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2732)</f>
        <v/>
      </c>
      <c r="L2732">
        <f>K2732*(MIN(Inputs!$B$22+((C2749=TRUE)*(F2749-Calc!F23)),(Inputs!$B$23+((C2754=TRUE)*(F2754-Calc!F28))+(IF(ArtifactsInput!$M$15,CHOOSE(ArtifactsInput!$N$15+1,25,30,35,40,45,50)/100*(Inputs!$B$11-Inputs!$B$11),0))))/100+(Inputs!$B$23+((C2754=TRUE)*(F2754-Calc!F28))+(IF(ArtifactsInput!$M$15,CHOOSE(ArtifactsInput!$N$15+1,25,30,35,40,45,50)/100*(Inputs!$B$11-Inputs!$B$11),0)))/100)/2</f>
        <v/>
      </c>
      <c r="M2732">
        <f>L2732*(1+(Inputs!$B$10+0+B2763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732">
        <f>L2732*(1-MIN((Inputs!$B$9+((C2745=TRUE)*(F2745-Calc!F19))+B2758+(ArtifactsInput!$M$24-ArtifactsInput!$M$24)*CHOOSE(ArtifactsInput!$N$24+1,10,12,14,16,18,20)+(IF(AND(ArtifactsInput!$M$42,((Inputs!$B$9+((C2745=TRUE)*(F2745-Calc!F19))+B2758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2732*(MIN((Inputs!$B$9+((C2745=TRUE)*(F2745-Calc!F19))+B2758+(ArtifactsInput!$M$24-ArtifactsInput!$M$24)*CHOOSE(ArtifactsInput!$N$24+1,10,12,14,16,18,20)+(IF(AND(ArtifactsInput!$M$42,((Inputs!$B$9+((C2745=TRUE)*(F2745-Calc!F19))+B2758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732">
        <f>(1-Summary!$B$11)*T2732+Summary!$B$11*V2732</f>
        <v/>
      </c>
      <c r="P2732">
        <f>IF(B2768=0,0,O2732/B2768)</f>
        <v/>
      </c>
      <c r="Q2732">
        <f>IFERROR(1/IF(Inputs!$B$38="pvp",15,MAX(0.1,Skills!D6-IF(Skills!E6=TRUE,Inputs!$B$32,0))),0)</f>
        <v/>
      </c>
      <c r="R2732">
        <f>IF(AND(Inputs!$B$38&lt;&gt;"pvp",Inputs!$B$43&gt;0),IF(MAX(0,Inputs!$B$43-B2765)&lt;=0,0,(INT(MAX(0,Inputs!$B$43-B2765)/IF(Inputs!$B$38="pvp",15,MAX(0.1,Skills!D6-IF(Skills!E6=TRUE,Inputs!$B$32,0))))+1)),0)</f>
        <v/>
      </c>
      <c r="S2732">
        <f>IFERROR((H2732*N2732*IF(AND(Inputs!$B$38&lt;&gt;"pvp",Inputs!$B$43&gt;0),((Skills!G6*((R2732-1)*IF(Skills!H6&gt;0,Skills!I6/Skills!H6,1)+IF(Skills!H6&gt;0,MIN(Skills!I6,MAX(0,MAX(0,Inputs!$B$43-B2765)-((R2732-1)*IF(Inputs!$B$38="pvp",15,MAX(0.1,Skills!D6-IF(Skills!E6=TRUE,Inputs!$B$32,0))))))/Skills!H6,1)))/Inputs!$B$43),G2732*Q2732))/N2732*IF(Inputs!$B$38="pvp",1,(1-Summary!$B$11)*1+Summary!$B$11*(MIN(Skills!R6,Inputs!$B$37))),0)</f>
        <v/>
      </c>
      <c r="T2732">
        <f>IF(C2732,(H2732*N2732*IF(AND(Inputs!$B$38&lt;&gt;"pvp",Inputs!$B$43&gt;0),((Skills!G6*((R2732-1)*IF(Skills!H6&gt;0,Skills!I6/Skills!H6,1)+IF(Skills!H6&gt;0,MIN(Skills!I6,MAX(0,MAX(0,Inputs!$B$43-B2765)-((R2732-1)*IF(Inputs!$B$38="pvp",15,MAX(0.1,Skills!D6-IF(Skills!E6=TRUE,Inputs!$B$32,0))))))/Skills!H6,1)))/Inputs!$B$43),G2732*Q2732))*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Hunt"),CHOOSE(ArtifactsInput!$N$35+1,15,18,21,24,27,30)*(1-EXP(-(0.2*B2760)*5)),0)+IF(AND(ArtifactsInput!$M$22,Inputs!$B$4&lt;&gt;"Chapter Hunt"),CHOOSE(ArtifactsInput!$N$22+1,10,12,14,16,18,20)*((0*(((0.15*B2760*5))^0/1)+1*(((0.15*B2760*5))^1/1)+2*(((0.15*B2760*5))^2/2)+3*(((0.15*B2760*5))^3/6)+4*(((0.15*B2760*5))^4/24)+5*(((0.15*B2760*5))^5/120))/((((0.15*B2760*5))^0/1)+(((0.15*B2760*5))^1/1)+(((0.15*B2760*5))^2/2)+(((0.15*B2760*5))^3/6)+(((0.15*B2760*5))^4/24)+(((0.15*B2760*5))^5/120))),0)))/100)*((((5000/(6000+Inputs!$B$42*(1-(100*(1-(1-(100*(1-(1-(Inputs!$B$19+0)/100)*(1-CHOOSE(ArtifactsInput!$N$40+1,5,6,7,8,9,10)/100)^(IF(ArtifactsInput!$M$40,FALSE,TRUE)-ArtifactsInput!$M$40)))/100)*(1-IF(IF(ArtifactsInput!$M$40,FALSE,TRUE),CHOOSE(ArtifactsInput!$N$40+1,5,6,7,8,9,10),0)/100)^IF(Inputs!$B$38="pvp",1,2)))/100)))/(5000/(6000+Inputs!$B$42*(1-(100*(1-(1-(Inputs!$B$19+0)/100)*(1-CHOOSE(ArtifactsInput!$N$40+1,5,6,7,8,9,10)/100)^(IF(ArtifactsInput!$M$40,FALSE,TRUE)-ArtifactsInput!$M$40)))/100))))*((L2732*(1-MIN(100,(Inputs!$B$9+((C2745=TRUE)*(F2745-Calc!F19))+B2758+(ArtifactsInput!$M$24-ArtifactsInput!$M$24)*CHOOSE(ArtifactsInput!$N$24+1,10,12,14,16,18,20)+(IF(AND(ArtifactsInput!$M$42,((Inputs!$B$9+((C2745=TRUE)*(F2745-Calc!F19))+B2758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2732*(MIN(100,(Inputs!$B$9+((C2745=TRUE)*(F2745-Calc!F19))+B2758+(ArtifactsInput!$M$24-ArtifactsInput!$M$24)*CHOOSE(ArtifactsInput!$N$24+1,10,12,14,16,18,20)+(IF(AND(ArtifactsInput!$M$42,((Inputs!$B$9+((C2745=TRUE)*(F2745-Calc!F19))+B2758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2732*(1-MIN(100,(Inputs!$B$9+((C2745=TRUE)*(F2745-Calc!F19))+B2758+(ArtifactsInput!$M$24-ArtifactsInput!$M$24)*CHOOSE(ArtifactsInput!$N$24+1,10,12,14,16,18,20)+(IF(AND(ArtifactsInput!$M$42,((Inputs!$B$9+((C2745=TRUE)*(F2745-Calc!F19))+B2758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2732*(MIN(100,(Inputs!$B$9+((C2745=TRUE)*(F2745-Calc!F19))+B2758+(ArtifactsInput!$M$24-ArtifactsInput!$M$24)*CHOOSE(ArtifactsInput!$N$24+1,10,12,14,16,18,20)+(IF(AND(ArtifactsInput!$M$42,((Inputs!$B$9+((C2745=TRUE)*(F2745-Calc!F19))+B2758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732">
        <f>IF(C2732,(H2732*N2732*IF(AND(Inputs!$B$38&lt;&gt;"pvp",Inputs!$B$43&gt;0),((Skills!G6*((R2732-1)*IF(Skills!H6&gt;0,Skills!I6/Skills!H6,1)+IF(Skills!H6&gt;0,MIN(Skills!I6,MAX(0,MAX(0,Inputs!$B$43-B2765)-((R2732-1)*IF(Inputs!$B$38="pvp",15,MAX(0.1,Skills!D6-IF(Skills!E6=TRUE,Inputs!$B$32,0))))))/Skills!H6,1)))/Inputs!$B$43),G2732*Q2732))*IF(Inputs!$B$38="pvp",1,(1+(Inputs!$B$21+Skills!Q6+(IF(ArtifactsInput!$M$33,CHOOSE(ArtifactsInput!$N$33+1,30,36,42,48,54,60),0))+(IF(AND(ArtifactsInput!$M$35,Inputs!$B$4&lt;&gt;"Chapter Hunt"),CHOOSE(ArtifactsInput!$N$35+1,15,18,21,24,27,30)*(1-EXP(-(0.2*B2760)*5)),0)+IF(AND(ArtifactsInput!$M$22,Inputs!$B$4&lt;&gt;"Chapter Hunt"),CHOOSE(ArtifactsInput!$N$22+1,10,12,14,16,18,20)*((0*(((0.15*B2760*5))^0/1)+1*(((0.15*B2760*5))^1/1)+2*(((0.15*B2760*5))^2/2)+3*(((0.15*B2760*5))^3/6)+4*(((0.15*B2760*5))^4/24)+5*(((0.15*B2760*5))^5/120))/((((0.15*B2760*5))^0/1)+(((0.15*B2760*5))^1/1)+(((0.15*B2760*5))^2/2)+(((0.15*B2760*5))^3/6)+(((0.15*B2760*5))^4/24)+(((0.15*B2760*5))^5/120))),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733">
      <c r="A2733">
        <f>Skills!A7</f>
        <v/>
      </c>
      <c r="B2733">
        <f>Skills!B7</f>
        <v/>
      </c>
      <c r="C2733">
        <f>Inputs!$B$3&gt;=69</f>
        <v/>
      </c>
      <c r="D2733">
        <f>IF(Skills!C7=1,60+Inputs!$B$25+Inputs!$B$29,IF(Skills!C7=2,90+Inputs!$B$26+Inputs!$B$29,IF(Skills!C7=3,120+Inputs!$B$27+Inputs!$B$29,MAX(0,(Inputs!$B$3-100)*3)+Inputs!$B$28+Inputs!$B$29)))</f>
        <v/>
      </c>
      <c r="E2733">
        <f>INDEX(FactorTable!$B$2:$Y$301, MATCH(ROUND(MIN(300,MAX(1,D2733)),0), FactorTable!$A$2:$A$301,0), Skills!M7+1)</f>
        <v/>
      </c>
      <c r="F2733">
        <f>IF(Skills!N7=TRUE,(Skills!L7/10)*(E2733/1000),Skills!L7/10)+Skills!O7</f>
        <v/>
      </c>
      <c r="G2733">
        <f>Skills!G7*IF(Skills!H7&gt;0,Skills!I7/Skills!H7,1)</f>
        <v/>
      </c>
      <c r="H2733">
        <f>1-(1-Skills!J7/100)^Skills!K7</f>
        <v/>
      </c>
      <c r="I2733" t="inlineStr">
        <is>
          <t>1</t>
        </is>
      </c>
      <c r="J2733">
        <f>((Inputs!$B$6*(1+Inputs!$B$7/100))+(((Inputs!$B$12*(1+Inputs!$B$13/100))-(Inputs!$B$12*(1+Inputs!$B$13/100)))+0.25*(Inputs!$B$14-Inputs!$B$14))*(1+Inputs!$B$7/100))*(F2733/100)</f>
        <v/>
      </c>
      <c r="K2733">
        <f>J2733*(1+((Inputs!$B$12*(1+Inputs!$B$13/100))*0.01+Inputs!$B$14*0.0025)/100)*(1+Inputs!$B$15/100)*(1+Inputs!$B$16/100)*(5000/(6000+Inputs!$B$42*(1-(100*(1-(1-(Inputs!$B$19+0)/100)*(1-CHOOSE(ArtifactsInput!$N$40+1,5,6,7,8,9,10)/100)^(IF(ArtifactsInput!$M$40,FALSE,TRUE)-ArtifactsInput!$M$40)))/100)))*(1+(Inputs!$B$24+((C2750=TRUE)*(F2750-Calc!F24))+((C2751=TRUE)*(F2751-Calc!F25))+B2764)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+1.2*IF(C2734=TRUE,F2734,0)/100)*(1+(IF(Skills!A7="EMPOWERED_PIERCING_ARROW",Inputs!$B$17+((C2748=TRUE)*(F2748-Calc!F22))+(((IF(AND(ArtifactsInput!$M$42,((Inputs!$B$9+((C2745=TRUE)*(F2745-Calc!F19))+B2758+(ArtifactsInput!$M$24-ArtifactsInput!$M$24)*CHOOSE(ArtifactsInput!$N$24+1,10,12,14,16,18,20)+IF(ArtifactsInput!$M$10,CHOOSE(ArtifactsInput!$N$10+1,15,18,21,24,27,30)*(IF(Inputs!$B$38="pvp",MIN(15,15)/15,IF(AND(Inputs!$B$38&lt;&gt;"pvp",Inputs!$B$43&gt;0),MIN(15,Inputs!$B$43)/(Inputs!$B$43),0))),0)))&gt;=100),MIN(100,((Inputs!$B$9+((C2745=TRUE)*(F2745-Calc!F19))+B2758+(ArtifactsInput!$M$24-ArtifactsInput!$M$24)*CHOOSE(ArtifactsInput!$N$24+1,10,12,14,16,18,20)+IF(ArtifactsInput!$M$10,CHOOSE(ArtifactsInput!$N$10+1,15,18,21,24,27,30)*(IF(Inputs!$B$38="pvp",MIN(15,15)/15,IF(AND(Inputs!$B$38&lt;&gt;"pvp",Inputs!$B$43&gt;0),MIN(15,Inputs!$B$43)/(Inputs!$B$43),0))),0)))-100),0))*CHOOSE(ArtifactsInput!$N$42+1,0.6,0.72,0.84,0.96,1.08,1.2))),Inputs!$B$18+((C2753=TRUE)*(F2753-Calc!F27))+(IF(AND(ArtifactsInput!$M$42,((Inputs!$B$9+((C2745=TRUE)*(F2745-Calc!F19))+B2758+(ArtifactsInput!$M$24-ArtifactsInput!$M$24)*CHOOSE(ArtifactsInput!$N$24+1,10,12,14,16,18,20)+IF(ArtifactsInput!$M$10,CHOOSE(ArtifactsInput!$N$10+1,15,18,21,24,27,30)*(IF(Inputs!$B$38="pvp",MIN(15,15)/15,IF(AND(Inputs!$B$38&lt;&gt;"pvp",Inputs!$B$43&gt;0),MIN(15,Inputs!$B$43)/(Inputs!$B$43),0))),0)))&gt;=100),CHOOSE(ArtifactsInput!$N$42+1,40,48,56,64,72,80),0))))/100)*((1+(((C2739=TRUE)*F2739)+((C2740=TRUE)*IF(Inputs!$B$38="pvp",F2740,(1-Summary!$B$11)*(F2740)+Summary!$B$11*(0)))+((C2741=TRUE)*F2741*IF(AND(Inputs!$B$38&lt;&gt;"pvp",Inputs!$B$43&gt;0),(((R2741-1)*(Skills!T15*(1+Inputs!$B$34/100))+MIN((Skills!T15*(1+Inputs!$B$34/100)),MAX(0,Inputs!$B$43-((R2741-1)*Skills!D15))))/Inputs!$B$43),IF(Inputs!$B$38="pvp",MIN((Skills!T15*(1+Inputs!$B$34/100)),15)/15,(Skills!T15*(1+Inputs!$B$34/100))/Skills!D15)))+((C2738=TRUE)*F2738)+((C2755=TRUE)*(F2755-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IF(ArtifactsInput!$M$40,FALSE,TRUE),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2733)</f>
        <v/>
      </c>
      <c r="L2733">
        <f>K2733*(MIN(Inputs!$B$22+((C2749=TRUE)*(F2749-Calc!F23)),(Inputs!$B$23+((C2754=TRUE)*(F2754-Calc!F28))+(IF(ArtifactsInput!$M$15,CHOOSE(ArtifactsInput!$N$15+1,25,30,35,40,45,50)/100*(Inputs!$B$11-Inputs!$B$11),0))))/100+(Inputs!$B$23+((C2754=TRUE)*(F2754-Calc!F28))+(IF(ArtifactsInput!$M$15,CHOOSE(ArtifactsInput!$N$15+1,25,30,35,40,45,50)/100*(Inputs!$B$11-Inputs!$B$11),0)))/100)/2</f>
        <v/>
      </c>
      <c r="M2733">
        <f>L2733*(1+(Inputs!$B$10+0+B2763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733">
        <f>L2733*(1-MIN((Inputs!$B$9+((C2745=TRUE)*(F2745-Calc!F19))+B2758+(ArtifactsInput!$M$24-ArtifactsInput!$M$24)*CHOOSE(ArtifactsInput!$N$24+1,10,12,14,16,18,20)+(IF(AND(ArtifactsInput!$M$42,((Inputs!$B$9+((C2745=TRUE)*(F2745-Calc!F19))+B2758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2733*(MIN((Inputs!$B$9+((C2745=TRUE)*(F2745-Calc!F19))+B2758+(ArtifactsInput!$M$24-ArtifactsInput!$M$24)*CHOOSE(ArtifactsInput!$N$24+1,10,12,14,16,18,20)+(IF(AND(ArtifactsInput!$M$42,((Inputs!$B$9+((C2745=TRUE)*(F2745-Calc!F19))+B2758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733">
        <f>(1-Summary!$B$11)*T2733+Summary!$B$11*V2733</f>
        <v/>
      </c>
      <c r="P2733">
        <f>IF(B2768=0,0,O2733/B2768)</f>
        <v/>
      </c>
      <c r="Q2733">
        <f>IFERROR(1/IF(Inputs!$B$38="pvp",15,MAX(0.1,Skills!D7-IF(Skills!E7=TRUE,Inputs!$B$32,0))),0)</f>
        <v/>
      </c>
      <c r="R2733">
        <f>IF(AND(Inputs!$B$38&lt;&gt;"pvp",Inputs!$B$43&gt;0),IF(MAX(0,Inputs!$B$43-B2765)&lt;=0,0,(INT(MAX(0,Inputs!$B$43-B2765)/IF(Inputs!$B$38="pvp",15,MAX(0.1,Skills!D7-IF(Skills!E7=TRUE,Inputs!$B$32,0))))+1)),0)</f>
        <v/>
      </c>
      <c r="S2733">
        <f>IFERROR((H2733*N2733*IF(AND(Inputs!$B$38&lt;&gt;"pvp",Inputs!$B$43&gt;0),((Skills!G7*((R2733-1)*IF(Skills!H7&gt;0,Skills!I7/Skills!H7,1)+IF(Skills!H7&gt;0,MIN(Skills!I7,MAX(0,MAX(0,Inputs!$B$43-B2765)-((R2733-1)*IF(Inputs!$B$38="pvp",15,MAX(0.1,Skills!D7-IF(Skills!E7=TRUE,Inputs!$B$32,0))))))/Skills!H7,1)))/Inputs!$B$43),G2733*Q2733))/N2733*IF(Inputs!$B$38="pvp",1,(1-Summary!$B$11)*1+Summary!$B$11*(MIN(Skills!R7,Inputs!$B$37))),0)</f>
        <v/>
      </c>
      <c r="T2733">
        <f>IF(C2733,(H2733*N2733*IF(AND(Inputs!$B$38&lt;&gt;"pvp",Inputs!$B$43&gt;0),((Skills!G7*((R2733-1)*IF(Skills!H7&gt;0,Skills!I7/Skills!H7,1)+IF(Skills!H7&gt;0,MIN(Skills!I7,MAX(0,MAX(0,Inputs!$B$43-B2765)-((R2733-1)*IF(Inputs!$B$38="pvp",15,MAX(0.1,Skills!D7-IF(Skills!E7=TRUE,Inputs!$B$32,0))))))/Skills!H7,1)))/Inputs!$B$43),G2733*Q2733))*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Hunt"),CHOOSE(ArtifactsInput!$N$35+1,15,18,21,24,27,30)*(1-EXP(-(0.2*B2760)*5)),0)+IF(AND(ArtifactsInput!$M$22,Inputs!$B$4&lt;&gt;"Chapter Hunt"),CHOOSE(ArtifactsInput!$N$22+1,10,12,14,16,18,20)*((0*(((0.15*B2760*5))^0/1)+1*(((0.15*B2760*5))^1/1)+2*(((0.15*B2760*5))^2/2)+3*(((0.15*B2760*5))^3/6)+4*(((0.15*B2760*5))^4/24)+5*(((0.15*B2760*5))^5/120))/((((0.15*B2760*5))^0/1)+(((0.15*B2760*5))^1/1)+(((0.15*B2760*5))^2/2)+(((0.15*B2760*5))^3/6)+(((0.15*B2760*5))^4/24)+(((0.15*B2760*5))^5/120))),0)))/100)*((((5000/(6000+Inputs!$B$42*(1-(100*(1-(1-(100*(1-(1-(Inputs!$B$19+0)/100)*(1-CHOOSE(ArtifactsInput!$N$40+1,5,6,7,8,9,10)/100)^(IF(ArtifactsInput!$M$40,FALSE,TRUE)-ArtifactsInput!$M$40)))/100)*(1-IF(IF(ArtifactsInput!$M$40,FALSE,TRUE),CHOOSE(ArtifactsInput!$N$40+1,5,6,7,8,9,10),0)/100)^IF(Inputs!$B$38="pvp",1,2)))/100)))/(5000/(6000+Inputs!$B$42*(1-(100*(1-(1-(Inputs!$B$19+0)/100)*(1-CHOOSE(ArtifactsInput!$N$40+1,5,6,7,8,9,10)/100)^(IF(ArtifactsInput!$M$40,FALSE,TRUE)-ArtifactsInput!$M$40)))/100))))*((L2733*(1-MIN(100,(Inputs!$B$9+((C2745=TRUE)*(F2745-Calc!F19))+B2758+(ArtifactsInput!$M$24-ArtifactsInput!$M$24)*CHOOSE(ArtifactsInput!$N$24+1,10,12,14,16,18,20)+(IF(AND(ArtifactsInput!$M$42,((Inputs!$B$9+((C2745=TRUE)*(F2745-Calc!F19))+B2758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2733*(MIN(100,(Inputs!$B$9+((C2745=TRUE)*(F2745-Calc!F19))+B2758+(ArtifactsInput!$M$24-ArtifactsInput!$M$24)*CHOOSE(ArtifactsInput!$N$24+1,10,12,14,16,18,20)+(IF(AND(ArtifactsInput!$M$42,((Inputs!$B$9+((C2745=TRUE)*(F2745-Calc!F19))+B2758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2733*(1-MIN(100,(Inputs!$B$9+((C2745=TRUE)*(F2745-Calc!F19))+B2758+(ArtifactsInput!$M$24-ArtifactsInput!$M$24)*CHOOSE(ArtifactsInput!$N$24+1,10,12,14,16,18,20)+(IF(AND(ArtifactsInput!$M$42,((Inputs!$B$9+((C2745=TRUE)*(F2745-Calc!F19))+B2758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2733*(MIN(100,(Inputs!$B$9+((C2745=TRUE)*(F2745-Calc!F19))+B2758+(ArtifactsInput!$M$24-ArtifactsInput!$M$24)*CHOOSE(ArtifactsInput!$N$24+1,10,12,14,16,18,20)+(IF(AND(ArtifactsInput!$M$42,((Inputs!$B$9+((C2745=TRUE)*(F2745-Calc!F19))+B2758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733">
        <f>IF(C2733,(H2733*N2733*IF(AND(Inputs!$B$38&lt;&gt;"pvp",Inputs!$B$43&gt;0),((Skills!G7*((R2733-1)*IF(Skills!H7&gt;0,Skills!I7/Skills!H7,1)+IF(Skills!H7&gt;0,MIN(Skills!I7,MAX(0,MAX(0,Inputs!$B$43-B2765)-((R2733-1)*IF(Inputs!$B$38="pvp",15,MAX(0.1,Skills!D7-IF(Skills!E7=TRUE,Inputs!$B$32,0))))))/Skills!H7,1)))/Inputs!$B$43),G2733*Q2733))*IF(Inputs!$B$38="pvp",1,(1+(Inputs!$B$21+Skills!Q7+(IF(ArtifactsInput!$M$33,CHOOSE(ArtifactsInput!$N$33+1,30,36,42,48,54,60),0))+(IF(AND(ArtifactsInput!$M$35,Inputs!$B$4&lt;&gt;"Chapter Hunt"),CHOOSE(ArtifactsInput!$N$35+1,15,18,21,24,27,30)*(1-EXP(-(0.2*B2760)*5)),0)+IF(AND(ArtifactsInput!$M$22,Inputs!$B$4&lt;&gt;"Chapter Hunt"),CHOOSE(ArtifactsInput!$N$22+1,10,12,14,16,18,20)*((0*(((0.15*B2760*5))^0/1)+1*(((0.15*B2760*5))^1/1)+2*(((0.15*B2760*5))^2/2)+3*(((0.15*B2760*5))^3/6)+4*(((0.15*B2760*5))^4/24)+5*(((0.15*B2760*5))^5/120))/((((0.15*B2760*5))^0/1)+(((0.15*B2760*5))^1/1)+(((0.15*B2760*5))^2/2)+(((0.15*B2760*5))^3/6)+(((0.15*B2760*5))^4/24)+(((0.15*B2760*5))^5/120))),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734">
      <c r="A2734">
        <f>Skills!A8</f>
        <v/>
      </c>
      <c r="B2734">
        <f>Skills!B8</f>
        <v/>
      </c>
      <c r="C2734">
        <f>Inputs!$B$3&gt;=100</f>
        <v/>
      </c>
      <c r="D2734">
        <f>IF(Skills!C8=1,60+Inputs!$B$25+Inputs!$B$29,IF(Skills!C8=2,90+Inputs!$B$26+Inputs!$B$29,IF(Skills!C8=3,120+Inputs!$B$27+Inputs!$B$29,MAX(0,(Inputs!$B$3-100)*3)+Inputs!$B$28+Inputs!$B$29)))</f>
        <v/>
      </c>
      <c r="E2734">
        <f>INDEX(FactorTable!$B$2:$Y$301, MATCH(ROUND(MIN(300,MAX(1,D2734)),0), FactorTable!$A$2:$A$301,0), Skills!M8+1)</f>
        <v/>
      </c>
      <c r="F2734">
        <f>IF(Skills!N8=TRUE,(Skills!L8/10)*(E2734/1000),Skills!L8/10)+Skills!O8</f>
        <v/>
      </c>
      <c r="G2734" t="inlineStr"/>
      <c r="H2734" t="inlineStr"/>
      <c r="I2734" t="inlineStr">
        <is>
          <t>1</t>
        </is>
      </c>
      <c r="J2734" t="inlineStr"/>
      <c r="K2734" t="inlineStr"/>
      <c r="L2734" t="inlineStr"/>
      <c r="M2734" t="inlineStr"/>
      <c r="N2734" t="inlineStr"/>
      <c r="O2734" t="inlineStr"/>
      <c r="P2734" t="inlineStr"/>
      <c r="Q2734" t="inlineStr"/>
      <c r="R2734" t="inlineStr"/>
      <c r="S2734" t="inlineStr"/>
      <c r="T2734" t="inlineStr"/>
      <c r="V2734" t="inlineStr"/>
    </row>
    <row r="2735">
      <c r="A2735">
        <f>Skills!A9</f>
        <v/>
      </c>
      <c r="B2735">
        <f>Skills!B9</f>
        <v/>
      </c>
      <c r="C2735">
        <f>Inputs!$B$3&gt;=103</f>
        <v/>
      </c>
      <c r="D2735">
        <f>IF(Skills!C9=1,60+Inputs!$B$25+Inputs!$B$29,IF(Skills!C9=2,90+Inputs!$B$26+Inputs!$B$29,IF(Skills!C9=3,120+Inputs!$B$27+Inputs!$B$29,MAX(0,(Inputs!$B$3-100)*3)+Inputs!$B$28+Inputs!$B$29)))</f>
        <v/>
      </c>
      <c r="E2735">
        <f>INDEX(FactorTable!$B$2:$Y$301, MATCH(ROUND(MIN(300,MAX(1,D2735)),0), FactorTable!$A$2:$A$301,0), Skills!M9+1)</f>
        <v/>
      </c>
      <c r="F2735">
        <f>IF(Skills!N9=TRUE,(Skills!L9/10)*(E2735/1000),Skills!L9/10)+Skills!O9</f>
        <v/>
      </c>
      <c r="G2735">
        <f>Skills!G9*IF(Skills!H9&gt;0,Skills!I9/Skills!H9,1)</f>
        <v/>
      </c>
      <c r="H2735">
        <f>1-(1-Skills!J9/100)^Skills!K9</f>
        <v/>
      </c>
      <c r="I2735" t="inlineStr">
        <is>
          <t>1</t>
        </is>
      </c>
      <c r="J2735">
        <f>((Inputs!$B$6*(1+Inputs!$B$7/100))+(((Inputs!$B$12*(1+Inputs!$B$13/100))-(Inputs!$B$12*(1+Inputs!$B$13/100)))+0.25*(Inputs!$B$14-Inputs!$B$14))*(1+Inputs!$B$7/100))*(F2735/100)</f>
        <v/>
      </c>
      <c r="K2735">
        <f>J2735*(1+((Inputs!$B$12*(1+Inputs!$B$13/100))*0.01+Inputs!$B$14*0.0025)/100)*(1+Inputs!$B$15/100)*(1+Inputs!$B$16/100)*(5000/(6000+Inputs!$B$42*(1-(100*(1-(1-(Inputs!$B$19+0)/100)*(1-CHOOSE(ArtifactsInput!$N$40+1,5,6,7,8,9,10)/100)^(IF(ArtifactsInput!$M$40,FALSE,TRUE)-ArtifactsInput!$M$40)))/100)))*(1+(Inputs!$B$24+((C2750=TRUE)*(F2750-Calc!F24))+((C2751=TRUE)*(F2751-Calc!F25))+B2764)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EMPOWERED_PIERCING_ARROW",Inputs!$B$17+((C2748=TRUE)*(F2748-Calc!F22))+(((IF(AND(ArtifactsInput!$M$42,((Inputs!$B$9+((C2745=TRUE)*(F2745-Calc!F19))+B2758+(ArtifactsInput!$M$24-ArtifactsInput!$M$24)*CHOOSE(ArtifactsInput!$N$24+1,10,12,14,16,18,20)+IF(ArtifactsInput!$M$10,CHOOSE(ArtifactsInput!$N$10+1,15,18,21,24,27,30)*(IF(Inputs!$B$38="pvp",MIN(15,15)/15,IF(AND(Inputs!$B$38&lt;&gt;"pvp",Inputs!$B$43&gt;0),MIN(15,Inputs!$B$43)/(Inputs!$B$43),0))),0)))&gt;=100),MIN(100,((Inputs!$B$9+((C2745=TRUE)*(F2745-Calc!F19))+B2758+(ArtifactsInput!$M$24-ArtifactsInput!$M$24)*CHOOSE(ArtifactsInput!$N$24+1,10,12,14,16,18,20)+IF(ArtifactsInput!$M$10,CHOOSE(ArtifactsInput!$N$10+1,15,18,21,24,27,30)*(IF(Inputs!$B$38="pvp",MIN(15,15)/15,IF(AND(Inputs!$B$38&lt;&gt;"pvp",Inputs!$B$43&gt;0),MIN(15,Inputs!$B$43)/(Inputs!$B$43),0))),0)))-100),0))*CHOOSE(ArtifactsInput!$N$42+1,0.6,0.72,0.84,0.96,1.08,1.2))),Inputs!$B$18+((C2753=TRUE)*(F2753-Calc!F27))+(IF(AND(ArtifactsInput!$M$42,((Inputs!$B$9+((C2745=TRUE)*(F2745-Calc!F19))+B2758+(ArtifactsInput!$M$24-ArtifactsInput!$M$24)*CHOOSE(ArtifactsInput!$N$24+1,10,12,14,16,18,20)+IF(ArtifactsInput!$M$10,CHOOSE(ArtifactsInput!$N$10+1,15,18,21,24,27,30)*(IF(Inputs!$B$38="pvp",MIN(15,15)/15,IF(AND(Inputs!$B$38&lt;&gt;"pvp",Inputs!$B$43&gt;0),MIN(15,Inputs!$B$43)/(Inputs!$B$43),0))),0)))&gt;=100),CHOOSE(ArtifactsInput!$N$42+1,40,48,56,64,72,80),0))))/100)*((1+(((C2739=TRUE)*F2739)+((C2740=TRUE)*IF(Inputs!$B$38="pvp",F2740,(1-Summary!$B$11)*(F2740)+Summary!$B$11*(0)))+((C2741=TRUE)*F2741*IF(AND(Inputs!$B$38&lt;&gt;"pvp",Inputs!$B$43&gt;0),(((R2741-1)*(Skills!T15*(1+Inputs!$B$34/100))+MIN((Skills!T15*(1+Inputs!$B$34/100)),MAX(0,Inputs!$B$43-((R2741-1)*Skills!D15))))/Inputs!$B$43),IF(Inputs!$B$38="pvp",MIN((Skills!T15*(1+Inputs!$B$34/100)),15)/15,(Skills!T15*(1+Inputs!$B$34/100))/Skills!D15)))+((C2738=TRUE)*F2738)+((C2755=TRUE)*(F2755-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IF(ArtifactsInput!$M$40,FALSE,TRUE),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2735)</f>
        <v/>
      </c>
      <c r="L2735">
        <f>K2735*(MIN(Inputs!$B$22+((C2749=TRUE)*(F2749-Calc!F23)),(Inputs!$B$23+((C2754=TRUE)*(F2754-Calc!F28))+(IF(ArtifactsInput!$M$15,CHOOSE(ArtifactsInput!$N$15+1,25,30,35,40,45,50)/100*(Inputs!$B$11-Inputs!$B$11),0))))/100+(Inputs!$B$23+((C2754=TRUE)*(F2754-Calc!F28))+(IF(ArtifactsInput!$M$15,CHOOSE(ArtifactsInput!$N$15+1,25,30,35,40,45,50)/100*(Inputs!$B$11-Inputs!$B$11),0)))/100)/2</f>
        <v/>
      </c>
      <c r="M2735">
        <f>L2735*(1+(Inputs!$B$10+0+B2763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735">
        <f>L2735*(1-MIN((Inputs!$B$9+((C2745=TRUE)*(F2745-Calc!F19))+B2758+(ArtifactsInput!$M$24-ArtifactsInput!$M$24)*CHOOSE(ArtifactsInput!$N$24+1,10,12,14,16,18,20)+(IF(AND(ArtifactsInput!$M$42,((Inputs!$B$9+((C2745=TRUE)*(F2745-Calc!F19))+B2758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2735*(MIN((Inputs!$B$9+((C2745=TRUE)*(F2745-Calc!F19))+B2758+(ArtifactsInput!$M$24-ArtifactsInput!$M$24)*CHOOSE(ArtifactsInput!$N$24+1,10,12,14,16,18,20)+(IF(AND(ArtifactsInput!$M$42,((Inputs!$B$9+((C2745=TRUE)*(F2745-Calc!F19))+B2758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735">
        <f>(1-Summary!$B$11)*T2735+Summary!$B$11*V2735</f>
        <v/>
      </c>
      <c r="P2735">
        <f>IF(B2768=0,0,O2735/B2768)</f>
        <v/>
      </c>
      <c r="Q2735">
        <f>IFERROR(1/IF(Inputs!$B$38="pvp",15,MAX(0.1,Skills!D9-IF(Skills!E9=TRUE,Inputs!$B$32,0))),0)</f>
        <v/>
      </c>
      <c r="R2735">
        <f>IF(AND(Inputs!$B$38&lt;&gt;"pvp",Inputs!$B$43&gt;0),IF(MAX(0,Inputs!$B$43-B2765)&lt;=0,0,(INT(MAX(0,Inputs!$B$43-B2765)/IF(Inputs!$B$38="pvp",15,MAX(0.1,Skills!D9-IF(Skills!E9=TRUE,Inputs!$B$32,0))))+1)),0)</f>
        <v/>
      </c>
      <c r="S2735">
        <f>IFERROR((H2735*N2735*IF(AND(Inputs!$B$38&lt;&gt;"pvp",Inputs!$B$43&gt;0),((Skills!G9*((R2735-1)*IF(Skills!H9&gt;0,Skills!I9/Skills!H9,1)+IF(Skills!H9&gt;0,MIN(Skills!I9,MAX(0,MAX(0,Inputs!$B$43-B2765)-((R2735-1)*IF(Inputs!$B$38="pvp",15,MAX(0.1,Skills!D9-IF(Skills!E9=TRUE,Inputs!$B$32,0))))))/Skills!H9,1)))/Inputs!$B$43),G2735*Q2735))/N2735*IF(Inputs!$B$38="pvp",1,(1-Summary!$B$11)*1+Summary!$B$11*(MIN(Skills!R9,Inputs!$B$37))),0)</f>
        <v/>
      </c>
      <c r="T2735">
        <f>IF(C2735,(H2735*N2735*IF(AND(Inputs!$B$38&lt;&gt;"pvp",Inputs!$B$43&gt;0),((Skills!G9*((R2735-1)*IF(Skills!H9&gt;0,Skills!I9/Skills!H9,1)+IF(Skills!H9&gt;0,MIN(Skills!I9,MAX(0,MAX(0,Inputs!$B$43-B2765)-((R2735-1)*IF(Inputs!$B$38="pvp",15,MAX(0.1,Skills!D9-IF(Skills!E9=TRUE,Inputs!$B$32,0))))))/Skills!H9,1)))/Inputs!$B$43),G2735*Q2735))*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Hunt"),CHOOSE(ArtifactsInput!$N$35+1,15,18,21,24,27,30)*(1-EXP(-(0.2*B2760)*5)),0)+IF(AND(ArtifactsInput!$M$22,Inputs!$B$4&lt;&gt;"Chapter Hunt"),CHOOSE(ArtifactsInput!$N$22+1,10,12,14,16,18,20)*((0*(((0.15*B2760*5))^0/1)+1*(((0.15*B2760*5))^1/1)+2*(((0.15*B2760*5))^2/2)+3*(((0.15*B2760*5))^3/6)+4*(((0.15*B2760*5))^4/24)+5*(((0.15*B2760*5))^5/120))/((((0.15*B2760*5))^0/1)+(((0.15*B2760*5))^1/1)+(((0.15*B2760*5))^2/2)+(((0.15*B2760*5))^3/6)+(((0.15*B2760*5))^4/24)+(((0.15*B2760*5))^5/120))),0)))/100)*((((5000/(6000+Inputs!$B$42*(1-(100*(1-(1-(100*(1-(1-(Inputs!$B$19+0)/100)*(1-CHOOSE(ArtifactsInput!$N$40+1,5,6,7,8,9,10)/100)^(IF(ArtifactsInput!$M$40,FALSE,TRUE)-ArtifactsInput!$M$40)))/100)*(1-IF(IF(ArtifactsInput!$M$40,FALSE,TRUE),CHOOSE(ArtifactsInput!$N$40+1,5,6,7,8,9,10),0)/100)^IF(Inputs!$B$38="pvp",1,2)))/100)))/(5000/(6000+Inputs!$B$42*(1-(100*(1-(1-(Inputs!$B$19+0)/100)*(1-CHOOSE(ArtifactsInput!$N$40+1,5,6,7,8,9,10)/100)^(IF(ArtifactsInput!$M$40,FALSE,TRUE)-ArtifactsInput!$M$40)))/100))))*((L2735*(1-MIN(100,(Inputs!$B$9+((C2745=TRUE)*(F2745-Calc!F19))+B2758+(ArtifactsInput!$M$24-ArtifactsInput!$M$24)*CHOOSE(ArtifactsInput!$N$24+1,10,12,14,16,18,20)+(IF(AND(ArtifactsInput!$M$42,((Inputs!$B$9+((C2745=TRUE)*(F2745-Calc!F19))+B2758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2735*(MIN(100,(Inputs!$B$9+((C2745=TRUE)*(F2745-Calc!F19))+B2758+(ArtifactsInput!$M$24-ArtifactsInput!$M$24)*CHOOSE(ArtifactsInput!$N$24+1,10,12,14,16,18,20)+(IF(AND(ArtifactsInput!$M$42,((Inputs!$B$9+((C2745=TRUE)*(F2745-Calc!F19))+B2758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2735*(1-MIN(100,(Inputs!$B$9+((C2745=TRUE)*(F2745-Calc!F19))+B2758+(ArtifactsInput!$M$24-ArtifactsInput!$M$24)*CHOOSE(ArtifactsInput!$N$24+1,10,12,14,16,18,20)+(IF(AND(ArtifactsInput!$M$42,((Inputs!$B$9+((C2745=TRUE)*(F2745-Calc!F19))+B2758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2735*(MIN(100,(Inputs!$B$9+((C2745=TRUE)*(F2745-Calc!F19))+B2758+(ArtifactsInput!$M$24-ArtifactsInput!$M$24)*CHOOSE(ArtifactsInput!$N$24+1,10,12,14,16,18,20)+(IF(AND(ArtifactsInput!$M$42,((Inputs!$B$9+((C2745=TRUE)*(F2745-Calc!F19))+B2758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735">
        <f>IF(C2735,(H2735*N2735*IF(AND(Inputs!$B$38&lt;&gt;"pvp",Inputs!$B$43&gt;0),((Skills!G9*((R2735-1)*IF(Skills!H9&gt;0,Skills!I9/Skills!H9,1)+IF(Skills!H9&gt;0,MIN(Skills!I9,MAX(0,MAX(0,Inputs!$B$43-B2765)-((R2735-1)*IF(Inputs!$B$38="pvp",15,MAX(0.1,Skills!D9-IF(Skills!E9=TRUE,Inputs!$B$32,0))))))/Skills!H9,1)))/Inputs!$B$43),G2735*Q2735))*IF(Inputs!$B$38="pvp",1,(1+(Inputs!$B$21+Skills!Q9+(IF(ArtifactsInput!$M$33,CHOOSE(ArtifactsInput!$N$33+1,30,36,42,48,54,60),0))+(IF(AND(ArtifactsInput!$M$35,Inputs!$B$4&lt;&gt;"Chapter Hunt"),CHOOSE(ArtifactsInput!$N$35+1,15,18,21,24,27,30)*(1-EXP(-(0.2*B2760)*5)),0)+IF(AND(ArtifactsInput!$M$22,Inputs!$B$4&lt;&gt;"Chapter Hunt"),CHOOSE(ArtifactsInput!$N$22+1,10,12,14,16,18,20)*((0*(((0.15*B2760*5))^0/1)+1*(((0.15*B2760*5))^1/1)+2*(((0.15*B2760*5))^2/2)+3*(((0.15*B2760*5))^3/6)+4*(((0.15*B2760*5))^4/24)+5*(((0.15*B2760*5))^5/120))/((((0.15*B2760*5))^0/1)+(((0.15*B2760*5))^1/1)+(((0.15*B2760*5))^2/2)+(((0.15*B2760*5))^3/6)+(((0.15*B2760*5))^4/24)+(((0.15*B2760*5))^5/120)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736">
      <c r="A2736">
        <f>Skills!A10</f>
        <v/>
      </c>
      <c r="B2736">
        <f>Skills!B10</f>
        <v/>
      </c>
      <c r="C2736">
        <f>Inputs!$B$3&gt;=107</f>
        <v/>
      </c>
      <c r="D2736">
        <f>IF(Skills!C10=1,60+Inputs!$B$25+Inputs!$B$29,IF(Skills!C10=2,90+Inputs!$B$26+Inputs!$B$29,IF(Skills!C10=3,120+Inputs!$B$27+Inputs!$B$29,MAX(0,(Inputs!$B$3-100)*3)+Inputs!$B$28+Inputs!$B$29)))</f>
        <v/>
      </c>
      <c r="E2736">
        <f>INDEX(FactorTable!$B$2:$Y$301, MATCH(ROUND(MIN(300,MAX(1,D2736)),0), FactorTable!$A$2:$A$301,0), Skills!M10+1)</f>
        <v/>
      </c>
      <c r="F2736">
        <f>IF(Skills!N10=TRUE,(Skills!L10/10)*(E2736/1000),Skills!L10/10)+Skills!O10</f>
        <v/>
      </c>
      <c r="G2736">
        <f>Skills!G10*IF(Skills!H10&gt;0,Skills!I10/Skills!H10,1)</f>
        <v/>
      </c>
      <c r="H2736">
        <f>1-(1-Skills!J10/100)^Skills!K10</f>
        <v/>
      </c>
      <c r="I2736" t="inlineStr">
        <is>
          <t>1</t>
        </is>
      </c>
      <c r="J2736">
        <f>((Inputs!$B$6*(1+Inputs!$B$7/100))+(((Inputs!$B$12*(1+Inputs!$B$13/100))-(Inputs!$B$12*(1+Inputs!$B$13/100)))+0.25*(Inputs!$B$14-Inputs!$B$14))*(1+Inputs!$B$7/100))*(F2736/100)</f>
        <v/>
      </c>
      <c r="K2736">
        <f>J2736*(1+((Inputs!$B$12*(1+Inputs!$B$13/100))*0.01+Inputs!$B$14*0.0025)/100)*(1+Inputs!$B$15/100)*(1+Inputs!$B$16/100)*(5000/(6000+Inputs!$B$42*(1-(100*(1-(1-(Inputs!$B$19+0)/100)*(1-CHOOSE(ArtifactsInput!$N$40+1,5,6,7,8,9,10)/100)^(IF(ArtifactsInput!$M$40,FALSE,TRUE)-ArtifactsInput!$M$40)))/100)))*(1+(Inputs!$B$24+((C2750=TRUE)*(F2750-Calc!F24))+((C2751=TRUE)*(F2751-Calc!F25))+B2764)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EMPOWERED_PIERCING_ARROW",Inputs!$B$17+((C2748=TRUE)*(F2748-Calc!F22))+(((IF(AND(ArtifactsInput!$M$42,((Inputs!$B$9+((C2745=TRUE)*(F2745-Calc!F19))+B2758+(ArtifactsInput!$M$24-ArtifactsInput!$M$24)*CHOOSE(ArtifactsInput!$N$24+1,10,12,14,16,18,20)+IF(ArtifactsInput!$M$10,CHOOSE(ArtifactsInput!$N$10+1,15,18,21,24,27,30)*(IF(Inputs!$B$38="pvp",MIN(15,15)/15,IF(AND(Inputs!$B$38&lt;&gt;"pvp",Inputs!$B$43&gt;0),MIN(15,Inputs!$B$43)/(Inputs!$B$43),0))),0)))&gt;=100),MIN(100,((Inputs!$B$9+((C2745=TRUE)*(F2745-Calc!F19))+B2758+(ArtifactsInput!$M$24-ArtifactsInput!$M$24)*CHOOSE(ArtifactsInput!$N$24+1,10,12,14,16,18,20)+IF(ArtifactsInput!$M$10,CHOOSE(ArtifactsInput!$N$10+1,15,18,21,24,27,30)*(IF(Inputs!$B$38="pvp",MIN(15,15)/15,IF(AND(Inputs!$B$38&lt;&gt;"pvp",Inputs!$B$43&gt;0),MIN(15,Inputs!$B$43)/(Inputs!$B$43),0))),0)))-100),0))*CHOOSE(ArtifactsInput!$N$42+1,0.6,0.72,0.84,0.96,1.08,1.2))),Inputs!$B$18+((C2753=TRUE)*(F2753-Calc!F27))+(IF(AND(ArtifactsInput!$M$42,((Inputs!$B$9+((C2745=TRUE)*(F2745-Calc!F19))+B2758+(ArtifactsInput!$M$24-ArtifactsInput!$M$24)*CHOOSE(ArtifactsInput!$N$24+1,10,12,14,16,18,20)+IF(ArtifactsInput!$M$10,CHOOSE(ArtifactsInput!$N$10+1,15,18,21,24,27,30)*(IF(Inputs!$B$38="pvp",MIN(15,15)/15,IF(AND(Inputs!$B$38&lt;&gt;"pvp",Inputs!$B$43&gt;0),MIN(15,Inputs!$B$43)/(Inputs!$B$43),0))),0)))&gt;=100),CHOOSE(ArtifactsInput!$N$42+1,40,48,56,64,72,80),0))))/100)*((1+(((C2739=TRUE)*F2739)+((C2740=TRUE)*IF(Inputs!$B$38="pvp",F2740,(1-Summary!$B$11)*(F2740)+Summary!$B$11*(0)))+((C2741=TRUE)*F2741*IF(AND(Inputs!$B$38&lt;&gt;"pvp",Inputs!$B$43&gt;0),(((R2741-1)*(Skills!T15*(1+Inputs!$B$34/100))+MIN((Skills!T15*(1+Inputs!$B$34/100)),MAX(0,Inputs!$B$43-((R2741-1)*Skills!D15))))/Inputs!$B$43),IF(Inputs!$B$38="pvp",MIN((Skills!T15*(1+Inputs!$B$34/100)),15)/15,(Skills!T15*(1+Inputs!$B$34/100))/Skills!D15)))+((C2738=TRUE)*F2738)+((C2755=TRUE)*(F2755-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IF(ArtifactsInput!$M$40,FALSE,TRUE),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2736)</f>
        <v/>
      </c>
      <c r="L2736">
        <f>K2736*(MIN(Inputs!$B$22+((C2749=TRUE)*(F2749-Calc!F23)),(Inputs!$B$23+((C2754=TRUE)*(F2754-Calc!F28))+(IF(ArtifactsInput!$M$15,CHOOSE(ArtifactsInput!$N$15+1,25,30,35,40,45,50)/100*(Inputs!$B$11-Inputs!$B$11),0))))/100+(Inputs!$B$23+((C2754=TRUE)*(F2754-Calc!F28))+(IF(ArtifactsInput!$M$15,CHOOSE(ArtifactsInput!$N$15+1,25,30,35,40,45,50)/100*(Inputs!$B$11-Inputs!$B$11),0)))/100)/2</f>
        <v/>
      </c>
      <c r="M2736">
        <f>L2736*(1+(Inputs!$B$10+0+B2763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736">
        <f>L2736*(1-MIN((Inputs!$B$9+((C2745=TRUE)*(F2745-Calc!F19))+B2758+(ArtifactsInput!$M$24-ArtifactsInput!$M$24)*CHOOSE(ArtifactsInput!$N$24+1,10,12,14,16,18,20)+(IF(AND(ArtifactsInput!$M$42,((Inputs!$B$9+((C2745=TRUE)*(F2745-Calc!F19))+B2758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2736*(MIN((Inputs!$B$9+((C2745=TRUE)*(F2745-Calc!F19))+B2758+(ArtifactsInput!$M$24-ArtifactsInput!$M$24)*CHOOSE(ArtifactsInput!$N$24+1,10,12,14,16,18,20)+(IF(AND(ArtifactsInput!$M$42,((Inputs!$B$9+((C2745=TRUE)*(F2745-Calc!F19))+B2758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736">
        <f>(1-Summary!$B$11)*T2736+Summary!$B$11*V2736</f>
        <v/>
      </c>
      <c r="P2736">
        <f>IF(B2768=0,0,O2736/B2768)</f>
        <v/>
      </c>
      <c r="Q2736" t="n">
        <v>0</v>
      </c>
      <c r="R2736" t="n">
        <v>0</v>
      </c>
      <c r="S2736" t="n">
        <v>0</v>
      </c>
      <c r="T2736">
        <f>IF(C2736,(0.15*SUMPRODUCT((Skills!U2:U29=TRUE)*(C2728:C2755=TRUE)*S2728:S2755)*Skills!G10*N2736)*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Hunt"),CHOOSE(ArtifactsInput!$N$35+1,15,18,21,24,27,30)*(1-EXP(-(0.2*B2760)*5)),0)+IF(AND(ArtifactsInput!$M$22,Inputs!$B$4&lt;&gt;"Chapter Hunt"),CHOOSE(ArtifactsInput!$N$22+1,10,12,14,16,18,20)*((0*(((0.15*B2760*5))^0/1)+1*(((0.15*B2760*5))^1/1)+2*(((0.15*B2760*5))^2/2)+3*(((0.15*B2760*5))^3/6)+4*(((0.15*B2760*5))^4/24)+5*(((0.15*B2760*5))^5/120))/((((0.15*B2760*5))^0/1)+(((0.15*B2760*5))^1/1)+(((0.15*B2760*5))^2/2)+(((0.15*B2760*5))^3/6)+(((0.15*B2760*5))^4/24)+(((0.15*B2760*5))^5/120))),0)))/100)*((((5000/(6000+Inputs!$B$42*(1-(100*(1-(1-(100*(1-(1-(Inputs!$B$19+0)/100)*(1-CHOOSE(ArtifactsInput!$N$40+1,5,6,7,8,9,10)/100)^(IF(ArtifactsInput!$M$40,FALSE,TRUE)-ArtifactsInput!$M$40)))/100)*(1-IF(IF(ArtifactsInput!$M$40,FALSE,TRUE),CHOOSE(ArtifactsInput!$N$40+1,5,6,7,8,9,10),0)/100)^IF(Inputs!$B$38="pvp",1,2)))/100)))/(5000/(6000+Inputs!$B$42*(1-(100*(1-(1-(Inputs!$B$19+0)/100)*(1-CHOOSE(ArtifactsInput!$N$40+1,5,6,7,8,9,10)/100)^(IF(ArtifactsInput!$M$40,FALSE,TRUE)-ArtifactsInput!$M$40)))/100))))*((L2736*(1-MIN(100,(Inputs!$B$9+((C2745=TRUE)*(F2745-Calc!F19))+B2758+(ArtifactsInput!$M$24-ArtifactsInput!$M$24)*CHOOSE(ArtifactsInput!$N$24+1,10,12,14,16,18,20)+(IF(AND(ArtifactsInput!$M$42,((Inputs!$B$9+((C2745=TRUE)*(F2745-Calc!F19))+B2758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2736*(MIN(100,(Inputs!$B$9+((C2745=TRUE)*(F2745-Calc!F19))+B2758+(ArtifactsInput!$M$24-ArtifactsInput!$M$24)*CHOOSE(ArtifactsInput!$N$24+1,10,12,14,16,18,20)+(IF(AND(ArtifactsInput!$M$42,((Inputs!$B$9+((C2745=TRUE)*(F2745-Calc!F19))+B2758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2736*(1-MIN(100,(Inputs!$B$9+((C2745=TRUE)*(F2745-Calc!F19))+B2758+(ArtifactsInput!$M$24-ArtifactsInput!$M$24)*CHOOSE(ArtifactsInput!$N$24+1,10,12,14,16,18,20)+(IF(AND(ArtifactsInput!$M$42,((Inputs!$B$9+((C2745=TRUE)*(F2745-Calc!F19))+B2758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2736*(MIN(100,(Inputs!$B$9+((C2745=TRUE)*(F2745-Calc!F19))+B2758+(ArtifactsInput!$M$24-ArtifactsInput!$M$24)*CHOOSE(ArtifactsInput!$N$24+1,10,12,14,16,18,20)+(IF(AND(ArtifactsInput!$M$42,((Inputs!$B$9+((C2745=TRUE)*(F2745-Calc!F19))+B2758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736">
        <f>IF(C2736,(0.15*SUMPRODUCT((Skills!U2:U29=TRUE)*(C2728:C2755=TRUE)*S2728:S2755)*Skills!G10*N2736)*IF(Inputs!$B$38="pvp",1,(1+(Inputs!$B$21+Skills!Q10+(IF(ArtifactsInput!$M$33,CHOOSE(ArtifactsInput!$N$33+1,30,36,42,48,54,60),0))+(IF(AND(ArtifactsInput!$M$35,Inputs!$B$4&lt;&gt;"Chapter Hunt"),CHOOSE(ArtifactsInput!$N$35+1,15,18,21,24,27,30)*(1-EXP(-(0.2*B2760)*5)),0)+IF(AND(ArtifactsInput!$M$22,Inputs!$B$4&lt;&gt;"Chapter Hunt"),CHOOSE(ArtifactsInput!$N$22+1,10,12,14,16,18,20)*((0*(((0.15*B2760*5))^0/1)+1*(((0.15*B2760*5))^1/1)+2*(((0.15*B2760*5))^2/2)+3*(((0.15*B2760*5))^3/6)+4*(((0.15*B2760*5))^4/24)+5*(((0.15*B2760*5))^5/120))/((((0.15*B2760*5))^0/1)+(((0.15*B2760*5))^1/1)+(((0.15*B2760*5))^2/2)+(((0.15*B2760*5))^3/6)+(((0.15*B2760*5))^4/24)+(((0.15*B2760*5))^5/120)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737">
      <c r="A2737">
        <f>Skills!A11</f>
        <v/>
      </c>
      <c r="B2737">
        <f>Skills!B11</f>
        <v/>
      </c>
      <c r="C2737">
        <f>Inputs!$B$3&gt;=110</f>
        <v/>
      </c>
      <c r="D2737">
        <f>IF(Skills!C11=1,60+Inputs!$B$25+Inputs!$B$29,IF(Skills!C11=2,90+Inputs!$B$26+Inputs!$B$29,IF(Skills!C11=3,120+Inputs!$B$27+Inputs!$B$29,MAX(0,(Inputs!$B$3-100)*3)+Inputs!$B$28+Inputs!$B$29)))</f>
        <v/>
      </c>
      <c r="E2737">
        <f>INDEX(FactorTable!$B$2:$Y$301, MATCH(ROUND(MIN(300,MAX(1,D2737)),0), FactorTable!$A$2:$A$301,0), Skills!M11+1)</f>
        <v/>
      </c>
      <c r="F2737">
        <f>IF(Skills!N11=TRUE,(Skills!L11/10)*(E2737/1000),Skills!L11/10)+Skills!O11</f>
        <v/>
      </c>
      <c r="G2737">
        <f>Skills!G11*IF(Skills!H11&gt;0,Skills!I11/Skills!H11,1)</f>
        <v/>
      </c>
      <c r="H2737">
        <f>1-(1-Skills!J11/100)^Skills!K11</f>
        <v/>
      </c>
      <c r="I2737" t="inlineStr">
        <is>
          <t>1</t>
        </is>
      </c>
      <c r="J2737">
        <f>((Inputs!$B$6*(1+Inputs!$B$7/100))+(((Inputs!$B$12*(1+Inputs!$B$13/100))-(Inputs!$B$12*(1+Inputs!$B$13/100)))+0.25*(Inputs!$B$14-Inputs!$B$14))*(1+Inputs!$B$7/100))*(F2737/100)</f>
        <v/>
      </c>
      <c r="K2737">
        <f>J2737*(1+((Inputs!$B$12*(1+Inputs!$B$13/100))*0.01+Inputs!$B$14*0.0025)/100)*(1+Inputs!$B$15/100)*(1+Inputs!$B$16/100)*(5000/(6000+Inputs!$B$42*(1-(100*(1-(1-(Inputs!$B$19+0)/100)*(1-CHOOSE(ArtifactsInput!$N$40+1,5,6,7,8,9,10)/100)^(IF(ArtifactsInput!$M$40,FALSE,TRUE)-ArtifactsInput!$M$40)))/100)))*(1+(Inputs!$B$24+((C2750=TRUE)*(F2750-Calc!F24))+((C2751=TRUE)*(F2751-Calc!F25))+B2764)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11="EMPOWERED_PIERCING_ARROW",Inputs!$B$17+((C2748=TRUE)*(F2748-Calc!F22))+(((IF(AND(ArtifactsInput!$M$42,((Inputs!$B$9+((C2745=TRUE)*(F2745-Calc!F19))+B2758+(ArtifactsInput!$M$24-ArtifactsInput!$M$24)*CHOOSE(ArtifactsInput!$N$24+1,10,12,14,16,18,20)+IF(ArtifactsInput!$M$10,CHOOSE(ArtifactsInput!$N$10+1,15,18,21,24,27,30)*(IF(Inputs!$B$38="pvp",MIN(15,15)/15,IF(AND(Inputs!$B$38&lt;&gt;"pvp",Inputs!$B$43&gt;0),MIN(15,Inputs!$B$43)/(Inputs!$B$43),0))),0)))&gt;=100),MIN(100,((Inputs!$B$9+((C2745=TRUE)*(F2745-Calc!F19))+B2758+(ArtifactsInput!$M$24-ArtifactsInput!$M$24)*CHOOSE(ArtifactsInput!$N$24+1,10,12,14,16,18,20)+IF(ArtifactsInput!$M$10,CHOOSE(ArtifactsInput!$N$10+1,15,18,21,24,27,30)*(IF(Inputs!$B$38="pvp",MIN(15,15)/15,IF(AND(Inputs!$B$38&lt;&gt;"pvp",Inputs!$B$43&gt;0),MIN(15,Inputs!$B$43)/(Inputs!$B$43),0))),0)))-100),0))*CHOOSE(ArtifactsInput!$N$42+1,0.6,0.72,0.84,0.96,1.08,1.2))),Inputs!$B$18+((C2753=TRUE)*(F2753-Calc!F27))+(IF(AND(ArtifactsInput!$M$42,((Inputs!$B$9+((C2745=TRUE)*(F2745-Calc!F19))+B2758+(ArtifactsInput!$M$24-ArtifactsInput!$M$24)*CHOOSE(ArtifactsInput!$N$24+1,10,12,14,16,18,20)+IF(ArtifactsInput!$M$10,CHOOSE(ArtifactsInput!$N$10+1,15,18,21,24,27,30)*(IF(Inputs!$B$38="pvp",MIN(15,15)/15,IF(AND(Inputs!$B$38&lt;&gt;"pvp",Inputs!$B$43&gt;0),MIN(15,Inputs!$B$43)/(Inputs!$B$43),0))),0)))&gt;=100),CHOOSE(ArtifactsInput!$N$42+1,40,48,56,64,72,80),0))))/100)*((1+(((C2739=TRUE)*F2739)+((C2740=TRUE)*IF(Inputs!$B$38="pvp",F2740,(1-Summary!$B$11)*(F2740)+Summary!$B$11*(0)))+((C2741=TRUE)*F2741*IF(AND(Inputs!$B$38&lt;&gt;"pvp",Inputs!$B$43&gt;0),(((R2741-1)*(Skills!T15*(1+Inputs!$B$34/100))+MIN((Skills!T15*(1+Inputs!$B$34/100)),MAX(0,Inputs!$B$43-((R2741-1)*Skills!D15))))/Inputs!$B$43),IF(Inputs!$B$38="pvp",MIN((Skills!T15*(1+Inputs!$B$34/100)),15)/15,(Skills!T15*(1+Inputs!$B$34/100))/Skills!D15)))+((C2738=TRUE)*F2738)+((C2755=TRUE)*(F2755-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IF(ArtifactsInput!$M$40,FALSE,TRUE),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2737)</f>
        <v/>
      </c>
      <c r="L2737">
        <f>K2737*(MIN(Inputs!$B$22+((C2749=TRUE)*(F2749-Calc!F23)),(Inputs!$B$23+((C2754=TRUE)*(F2754-Calc!F28))+(IF(ArtifactsInput!$M$15,CHOOSE(ArtifactsInput!$N$15+1,25,30,35,40,45,50)/100*(Inputs!$B$11-Inputs!$B$11),0))))/100+(Inputs!$B$23+((C2754=TRUE)*(F2754-Calc!F28))+(IF(ArtifactsInput!$M$15,CHOOSE(ArtifactsInput!$N$15+1,25,30,35,40,45,50)/100*(Inputs!$B$11-Inputs!$B$11),0)))/100)/2</f>
        <v/>
      </c>
      <c r="M2737">
        <f>L2737*(1+(Inputs!$B$10+0+B2763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737">
        <f>L2737*(1-MIN((Inputs!$B$9+((C2745=TRUE)*(F2745-Calc!F19))+B2758+(ArtifactsInput!$M$24-ArtifactsInput!$M$24)*CHOOSE(ArtifactsInput!$N$24+1,10,12,14,16,18,20)+(IF(AND(ArtifactsInput!$M$42,((Inputs!$B$9+((C2745=TRUE)*(F2745-Calc!F19))+B2758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2737*(MIN((Inputs!$B$9+((C2745=TRUE)*(F2745-Calc!F19))+B2758+(ArtifactsInput!$M$24-ArtifactsInput!$M$24)*CHOOSE(ArtifactsInput!$N$24+1,10,12,14,16,18,20)+(IF(AND(ArtifactsInput!$M$42,((Inputs!$B$9+((C2745=TRUE)*(F2745-Calc!F19))+B2758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737">
        <f>(1-Summary!$B$11)*T2737+Summary!$B$11*V2737</f>
        <v/>
      </c>
      <c r="P2737">
        <f>IF(B2768=0,0,O2737/B2768)</f>
        <v/>
      </c>
      <c r="Q2737">
        <f>IFERROR(1/IF(Inputs!$B$38="pvp",15,MAX(0.1,Skills!D11-IF(Skills!E11=TRUE,Inputs!$B$32,0))),0)</f>
        <v/>
      </c>
      <c r="R2737">
        <f>IF(AND(Inputs!$B$38&lt;&gt;"pvp",Inputs!$B$43&gt;0),IF(MAX(0,Inputs!$B$43-B2765)&lt;=0,0,(INT(MAX(0,Inputs!$B$43-B2765)/IF(Inputs!$B$38="pvp",15,MAX(0.1,Skills!D11-IF(Skills!E11=TRUE,Inputs!$B$32,0))))+1)),0)</f>
        <v/>
      </c>
      <c r="S2737">
        <f>IFERROR((H2737*N2737*IF(AND(Inputs!$B$38&lt;&gt;"pvp",Inputs!$B$43&gt;0),((Skills!G11*((R2737-1)*IF(Skills!H11&gt;0,Skills!I11/Skills!H11,1)+IF(Skills!H11&gt;0,MIN(Skills!I11,MAX(0,MAX(0,Inputs!$B$43-B2765)-((R2737-1)*IF(Inputs!$B$38="pvp",15,MAX(0.1,Skills!D11-IF(Skills!E11=TRUE,Inputs!$B$32,0))))))/Skills!H11,1)))/Inputs!$B$43),G2737*Q2737))/N2737*IF(Inputs!$B$38="pvp",1,(1-Summary!$B$11)*1+Summary!$B$11*(MIN(Skills!R11,Inputs!$B$37))),0)</f>
        <v/>
      </c>
      <c r="T2737">
        <f>IF(C2737,(H2737*N2737*IF(AND(Inputs!$B$38&lt;&gt;"pvp",Inputs!$B$43&gt;0),((Skills!G11*((R2737-1)*IF(Skills!H11&gt;0,Skills!I11/Skills!H11,1)+IF(Skills!H11&gt;0,MIN(Skills!I11,MAX(0,MAX(0,Inputs!$B$43-B2765)-((R2737-1)*IF(Inputs!$B$38="pvp",15,MAX(0.1,Skills!D11-IF(Skills!E11=TRUE,Inputs!$B$32,0))))))/Skills!H11,1)))/Inputs!$B$43),G2737*Q2737))*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Hunt"),CHOOSE(ArtifactsInput!$N$35+1,15,18,21,24,27,30)*(1-EXP(-(0.2*B2760)*5)),0)+IF(AND(ArtifactsInput!$M$22,Inputs!$B$4&lt;&gt;"Chapter Hunt"),CHOOSE(ArtifactsInput!$N$22+1,10,12,14,16,18,20)*((0*(((0.15*B2760*5))^0/1)+1*(((0.15*B2760*5))^1/1)+2*(((0.15*B2760*5))^2/2)+3*(((0.15*B2760*5))^3/6)+4*(((0.15*B2760*5))^4/24)+5*(((0.15*B2760*5))^5/120))/((((0.15*B2760*5))^0/1)+(((0.15*B2760*5))^1/1)+(((0.15*B2760*5))^2/2)+(((0.15*B2760*5))^3/6)+(((0.15*B2760*5))^4/24)+(((0.15*B2760*5))^5/120))),0)))/100)*((((5000/(6000+Inputs!$B$42*(1-(100*(1-(1-(100*(1-(1-(Inputs!$B$19+0)/100)*(1-CHOOSE(ArtifactsInput!$N$40+1,5,6,7,8,9,10)/100)^(IF(ArtifactsInput!$M$40,FALSE,TRUE)-ArtifactsInput!$M$40)))/100)*(1-IF(IF(ArtifactsInput!$M$40,FALSE,TRUE),CHOOSE(ArtifactsInput!$N$40+1,5,6,7,8,9,10),0)/100)^IF(Inputs!$B$38="pvp",1,2)))/100)))/(5000/(6000+Inputs!$B$42*(1-(100*(1-(1-(Inputs!$B$19+0)/100)*(1-CHOOSE(ArtifactsInput!$N$40+1,5,6,7,8,9,10)/100)^(IF(ArtifactsInput!$M$40,FALSE,TRUE)-ArtifactsInput!$M$40)))/100))))*((L2737*(1-MIN(100,(Inputs!$B$9+((C2745=TRUE)*(F2745-Calc!F19))+B2758+(ArtifactsInput!$M$24-ArtifactsInput!$M$24)*CHOOSE(ArtifactsInput!$N$24+1,10,12,14,16,18,20)+(IF(AND(ArtifactsInput!$M$42,((Inputs!$B$9+((C2745=TRUE)*(F2745-Calc!F19))+B2758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2737*(MIN(100,(Inputs!$B$9+((C2745=TRUE)*(F2745-Calc!F19))+B2758+(ArtifactsInput!$M$24-ArtifactsInput!$M$24)*CHOOSE(ArtifactsInput!$N$24+1,10,12,14,16,18,20)+(IF(AND(ArtifactsInput!$M$42,((Inputs!$B$9+((C2745=TRUE)*(F2745-Calc!F19))+B2758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2737*(1-MIN(100,(Inputs!$B$9+((C2745=TRUE)*(F2745-Calc!F19))+B2758+(ArtifactsInput!$M$24-ArtifactsInput!$M$24)*CHOOSE(ArtifactsInput!$N$24+1,10,12,14,16,18,20)+(IF(AND(ArtifactsInput!$M$42,((Inputs!$B$9+((C2745=TRUE)*(F2745-Calc!F19))+B2758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2737*(MIN(100,(Inputs!$B$9+((C2745=TRUE)*(F2745-Calc!F19))+B2758+(ArtifactsInput!$M$24-ArtifactsInput!$M$24)*CHOOSE(ArtifactsInput!$N$24+1,10,12,14,16,18,20)+(IF(AND(ArtifactsInput!$M$42,((Inputs!$B$9+((C2745=TRUE)*(F2745-Calc!F19))+B2758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737">
        <f>IF(C2737,(H2737*N2737*IF(AND(Inputs!$B$38&lt;&gt;"pvp",Inputs!$B$43&gt;0),((Skills!G11*((R2737-1)*IF(Skills!H11&gt;0,Skills!I11/Skills!H11,1)+IF(Skills!H11&gt;0,MIN(Skills!I11,MAX(0,MAX(0,Inputs!$B$43-B2765)-((R2737-1)*IF(Inputs!$B$38="pvp",15,MAX(0.1,Skills!D11-IF(Skills!E11=TRUE,Inputs!$B$32,0))))))/Skills!H11,1)))/Inputs!$B$43),G2737*Q2737))*IF(Inputs!$B$38="pvp",1,(1+(Inputs!$B$21+Skills!Q11+(IF(ArtifactsInput!$M$33,CHOOSE(ArtifactsInput!$N$33+1,30,36,42,48,54,60),0))+(IF(AND(ArtifactsInput!$M$35,Inputs!$B$4&lt;&gt;"Chapter Hunt"),CHOOSE(ArtifactsInput!$N$35+1,15,18,21,24,27,30)*(1-EXP(-(0.2*B2760)*5)),0)+IF(AND(ArtifactsInput!$M$22,Inputs!$B$4&lt;&gt;"Chapter Hunt"),CHOOSE(ArtifactsInput!$N$22+1,10,12,14,16,18,20)*((0*(((0.15*B2760*5))^0/1)+1*(((0.15*B2760*5))^1/1)+2*(((0.15*B2760*5))^2/2)+3*(((0.15*B2760*5))^3/6)+4*(((0.15*B2760*5))^4/24)+5*(((0.15*B2760*5))^5/120))/((((0.15*B2760*5))^0/1)+(((0.15*B2760*5))^1/1)+(((0.15*B2760*5))^2/2)+(((0.15*B2760*5))^3/6)+(((0.15*B2760*5))^4/24)+(((0.15*B2760*5))^5/120))),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738">
      <c r="A2738">
        <f>Skills!A12</f>
        <v/>
      </c>
      <c r="B2738">
        <f>Skills!B12</f>
        <v/>
      </c>
      <c r="C2738">
        <f>Inputs!$B$3&gt;=60</f>
        <v/>
      </c>
      <c r="D2738">
        <f>IF(Skills!C12=1,60+Inputs!$B$25+Inputs!$B$29,IF(Skills!C12=2,90+Inputs!$B$26+Inputs!$B$29,IF(Skills!C12=3,120+Inputs!$B$27+Inputs!$B$29,MAX(0,(Inputs!$B$3-100)*3)+Inputs!$B$28+Inputs!$B$29)))</f>
        <v/>
      </c>
      <c r="E2738">
        <f>INDEX(FactorTable!$B$2:$Y$301, MATCH(ROUND(MIN(300,MAX(1,D2738)),0), FactorTable!$A$2:$A$301,0), Skills!M12+1)</f>
        <v/>
      </c>
      <c r="F2738">
        <f>IF(Skills!N12=TRUE,(Skills!L12/10)*(E2738/1000),Skills!L12/10)+Skills!O12</f>
        <v/>
      </c>
      <c r="G2738">
        <f>Skills!G12*IF(Skills!H12&gt;0,Skills!I12/Skills!H12,1)</f>
        <v/>
      </c>
      <c r="H2738">
        <f>1-(1-Skills!J12/100)^Skills!K12</f>
        <v/>
      </c>
      <c r="I2738" t="inlineStr">
        <is>
          <t>1</t>
        </is>
      </c>
      <c r="J2738" t="inlineStr"/>
      <c r="K2738" t="inlineStr"/>
      <c r="L2738" t="inlineStr"/>
      <c r="M2738" t="inlineStr"/>
      <c r="N2738" t="inlineStr"/>
      <c r="O2738">
        <f>(1-Summary!$B$11)*T2738+Summary!$B$11*V2738</f>
        <v/>
      </c>
      <c r="P2738">
        <f>IF(B2768=0,0,O2738/B2768)</f>
        <v/>
      </c>
      <c r="Q2738" t="n">
        <v>0</v>
      </c>
      <c r="R2738" t="n">
        <v>0</v>
      </c>
      <c r="S2738" t="n">
        <v>0</v>
      </c>
      <c r="T2738" t="n">
        <v>0</v>
      </c>
      <c r="V2738" t="n">
        <v>0</v>
      </c>
    </row>
    <row r="2739">
      <c r="A2739">
        <f>Skills!A13</f>
        <v/>
      </c>
      <c r="B2739">
        <f>Skills!B13</f>
        <v/>
      </c>
      <c r="C2739">
        <f>Inputs!$B$3&gt;=74</f>
        <v/>
      </c>
      <c r="D2739">
        <f>IF(Skills!C13=1,60+Inputs!$B$25+Inputs!$B$29,IF(Skills!C13=2,90+Inputs!$B$26+Inputs!$B$29,IF(Skills!C13=3,120+Inputs!$B$27+Inputs!$B$29,MAX(0,(Inputs!$B$3-100)*3)+Inputs!$B$28+Inputs!$B$29)))</f>
        <v/>
      </c>
      <c r="E2739">
        <f>INDEX(FactorTable!$B$2:$Y$301, MATCH(ROUND(MIN(300,MAX(1,D2739)),0), FactorTable!$A$2:$A$301,0), Skills!M13+1)</f>
        <v/>
      </c>
      <c r="F2739">
        <f>IF(Skills!N13=TRUE,(Skills!L13/10)*(E2739/1000),Skills!L13/10)+Skills!O13</f>
        <v/>
      </c>
      <c r="G2739">
        <f>Skills!G13*IF(Skills!H13&gt;0,Skills!I13/Skills!H13,1)</f>
        <v/>
      </c>
      <c r="H2739">
        <f>1-(1-Skills!J13/100)^Skills!K13</f>
        <v/>
      </c>
      <c r="I2739" t="inlineStr">
        <is>
          <t>1</t>
        </is>
      </c>
      <c r="J2739" t="inlineStr"/>
      <c r="K2739" t="inlineStr"/>
      <c r="L2739" t="inlineStr"/>
      <c r="M2739" t="inlineStr"/>
      <c r="N2739" t="inlineStr"/>
      <c r="O2739">
        <f>(1-Summary!$B$11)*T2739+Summary!$B$11*V2739</f>
        <v/>
      </c>
      <c r="P2739">
        <f>IF(B2768=0,0,O2739/B2768)</f>
        <v/>
      </c>
      <c r="Q2739" t="n">
        <v>0</v>
      </c>
      <c r="R2739" t="n">
        <v>0</v>
      </c>
      <c r="S2739" t="n">
        <v>0</v>
      </c>
      <c r="T2739" t="n">
        <v>0</v>
      </c>
      <c r="V2739" t="n">
        <v>0</v>
      </c>
    </row>
    <row r="2740">
      <c r="A2740">
        <f>Skills!A14</f>
        <v/>
      </c>
      <c r="B2740">
        <f>Skills!B14</f>
        <v/>
      </c>
      <c r="C2740">
        <f>Inputs!$B$3&gt;=74</f>
        <v/>
      </c>
      <c r="D2740">
        <f>IF(Skills!C14=1,60+Inputs!$B$25+Inputs!$B$29,IF(Skills!C14=2,90+Inputs!$B$26+Inputs!$B$29,IF(Skills!C14=3,120+Inputs!$B$27+Inputs!$B$29,MAX(0,(Inputs!$B$3-100)*3)+Inputs!$B$28+Inputs!$B$29)))</f>
        <v/>
      </c>
      <c r="E2740">
        <f>INDEX(FactorTable!$B$2:$Y$301, MATCH(ROUND(MIN(300,MAX(1,D2740)),0), FactorTable!$A$2:$A$301,0), Skills!M14+1)</f>
        <v/>
      </c>
      <c r="F2740">
        <f>IF(Skills!N14=TRUE,(Skills!L14/10)*(E2740/1000),Skills!L14/10)+Skills!O14</f>
        <v/>
      </c>
      <c r="G2740">
        <f>Skills!G14*IF(Skills!H14&gt;0,Skills!I14/Skills!H14,1)</f>
        <v/>
      </c>
      <c r="H2740">
        <f>1-(1-Skills!J14/100)^Skills!K14</f>
        <v/>
      </c>
      <c r="I2740" t="inlineStr">
        <is>
          <t>1</t>
        </is>
      </c>
      <c r="J2740" t="inlineStr"/>
      <c r="K2740" t="inlineStr"/>
      <c r="L2740" t="inlineStr"/>
      <c r="M2740" t="inlineStr"/>
      <c r="N2740" t="inlineStr"/>
      <c r="O2740">
        <f>(1-Summary!$B$11)*T2740+Summary!$B$11*V2740</f>
        <v/>
      </c>
      <c r="P2740">
        <f>IF(B2768=0,0,O2740/B2768)</f>
        <v/>
      </c>
      <c r="Q2740" t="n">
        <v>0</v>
      </c>
      <c r="R2740" t="n">
        <v>0</v>
      </c>
      <c r="S2740" t="n">
        <v>0</v>
      </c>
      <c r="T2740" t="n">
        <v>0</v>
      </c>
      <c r="V2740" t="n">
        <v>0</v>
      </c>
    </row>
    <row r="2741">
      <c r="A2741">
        <f>Skills!A15</f>
        <v/>
      </c>
      <c r="B2741">
        <f>Skills!B15</f>
        <v/>
      </c>
      <c r="C2741">
        <f>Inputs!$B$3&gt;=117</f>
        <v/>
      </c>
      <c r="D2741">
        <f>IF(Skills!C15=1,60+Inputs!$B$25+Inputs!$B$29,IF(Skills!C15=2,90+Inputs!$B$26+Inputs!$B$29,IF(Skills!C15=3,120+Inputs!$B$27+Inputs!$B$29,MAX(0,(Inputs!$B$3-100)*3)+Inputs!$B$28+Inputs!$B$29)))</f>
        <v/>
      </c>
      <c r="E2741">
        <f>INDEX(FactorTable!$B$2:$Y$301, MATCH(ROUND(MIN(300,MAX(1,D2741)),0), FactorTable!$A$2:$A$301,0), Skills!M15+1)</f>
        <v/>
      </c>
      <c r="F2741">
        <f>IF(Skills!N15=TRUE,(Skills!L15/10)*(E2741/1000),Skills!L15/10)+Skills!O15</f>
        <v/>
      </c>
      <c r="G2741">
        <f>Skills!G15*IF(Skills!H15&gt;0,Skills!I15/Skills!H15,1)</f>
        <v/>
      </c>
      <c r="H2741">
        <f>1-(1-Skills!J15/100)^Skills!K15</f>
        <v/>
      </c>
      <c r="I2741" t="inlineStr">
        <is>
          <t>1</t>
        </is>
      </c>
      <c r="J2741" t="inlineStr"/>
      <c r="K2741" t="inlineStr"/>
      <c r="L2741" t="inlineStr"/>
      <c r="M2741" t="inlineStr"/>
      <c r="N2741" t="inlineStr"/>
      <c r="O2741">
        <f>(1-Summary!$B$11)*T2741+Summary!$B$11*V2741</f>
        <v/>
      </c>
      <c r="P2741">
        <f>IF(B2768=0,0,O2741/B2768)</f>
        <v/>
      </c>
      <c r="Q2741">
        <f>IFERROR(1/IF(Inputs!$B$38="pvp",15,MAX(0.1,Skills!D15-IF(Skills!E15=TRUE,Inputs!$B$32,0))),0)</f>
        <v/>
      </c>
      <c r="R2741">
        <f>IF(AND(Inputs!$B$38&lt;&gt;"pvp",Inputs!$B$43&gt;0),IF(Inputs!$B$43&lt;=0,0,(INT(Inputs!$B$43/IF(Inputs!$B$38="pvp",15,MAX(0.1,Skills!D15-IF(Skills!E15=TRUE,Inputs!$B$32,0))))+1)),0)</f>
        <v/>
      </c>
      <c r="S2741" t="n">
        <v>0</v>
      </c>
      <c r="T2741" t="n">
        <v>0</v>
      </c>
      <c r="V2741" t="n">
        <v>0</v>
      </c>
    </row>
    <row r="2742">
      <c r="A2742">
        <f>Skills!A16</f>
        <v/>
      </c>
      <c r="B2742">
        <f>Skills!B16</f>
        <v/>
      </c>
      <c r="C2742">
        <f>Inputs!$B$3&gt;=115</f>
        <v/>
      </c>
      <c r="D2742">
        <f>IF(Skills!C16=1,60+Inputs!$B$25+Inputs!$B$29,IF(Skills!C16=2,90+Inputs!$B$26+Inputs!$B$29,IF(Skills!C16=3,120+Inputs!$B$27+Inputs!$B$29,MAX(0,(Inputs!$B$3-100)*3)+Inputs!$B$28+Inputs!$B$29)))</f>
        <v/>
      </c>
      <c r="E2742">
        <f>INDEX(FactorTable!$B$2:$Y$301, MATCH(ROUND(MIN(300,MAX(1,D2742)),0), FactorTable!$A$2:$A$301,0), Skills!M16+1)</f>
        <v/>
      </c>
      <c r="F2742">
        <f>IF(Skills!N16=TRUE,(Skills!L16/10)*(E2742/1000),Skills!L16/10)+Skills!O16</f>
        <v/>
      </c>
      <c r="G2742">
        <f>Skills!G16*IF(Skills!H16&gt;0,Skills!I16/Skills!H16,1)</f>
        <v/>
      </c>
      <c r="H2742">
        <f>1-(1-Skills!J16/100)^Skills!K16</f>
        <v/>
      </c>
      <c r="I2742" t="inlineStr">
        <is>
          <t>1</t>
        </is>
      </c>
      <c r="J2742" t="inlineStr"/>
      <c r="K2742" t="inlineStr"/>
      <c r="L2742" t="inlineStr"/>
      <c r="M2742" t="inlineStr"/>
      <c r="N2742" t="inlineStr"/>
      <c r="O2742">
        <f>(1-Summary!$B$11)*T2742+Summary!$B$11*V2742</f>
        <v/>
      </c>
      <c r="P2742">
        <f>IF(B2768=0,0,O2742/B2768)</f>
        <v/>
      </c>
      <c r="Q2742">
        <f>IFERROR(1/IF(Inputs!$B$38="pvp",15,MAX(0.1,Skills!D16-IF(Skills!E16=TRUE,Inputs!$B$32,0))),0)</f>
        <v/>
      </c>
      <c r="R2742">
        <f>IF(AND(Inputs!$B$38&lt;&gt;"pvp",Inputs!$B$43&gt;0),IF(Inputs!$B$43&lt;=0,0,(INT(Inputs!$B$43/IF(Inputs!$B$38="pvp",15,MAX(0.1,Skills!D16-IF(Skills!E16=TRUE,Inputs!$B$32,0))))+1)),0)</f>
        <v/>
      </c>
      <c r="S2742" t="n">
        <v>0</v>
      </c>
      <c r="T2742" t="n">
        <v>0</v>
      </c>
      <c r="V2742" t="n">
        <v>0</v>
      </c>
    </row>
    <row r="2743">
      <c r="A2743">
        <f>Skills!A17</f>
        <v/>
      </c>
      <c r="B2743">
        <f>Skills!B17</f>
        <v/>
      </c>
      <c r="C2743">
        <f>Inputs!$B$3&gt;=72</f>
        <v/>
      </c>
      <c r="D2743">
        <f>IF(Skills!C17=1,60+Inputs!$B$25+Inputs!$B$29,IF(Skills!C17=2,90+Inputs!$B$26+Inputs!$B$29,IF(Skills!C17=3,120+Inputs!$B$27+Inputs!$B$29,MAX(0,(Inputs!$B$3-100)*3)+Inputs!$B$28+Inputs!$B$29)))</f>
        <v/>
      </c>
      <c r="E2743">
        <f>INDEX(FactorTable!$B$2:$Y$301, MATCH(ROUND(MIN(300,MAX(1,D2743)),0), FactorTable!$A$2:$A$301,0), Skills!M17+1)</f>
        <v/>
      </c>
      <c r="F2743">
        <f>IF(Skills!N17=TRUE,(Skills!L17/10)*(E2743/1000),Skills!L17/10)+Skills!O17</f>
        <v/>
      </c>
      <c r="G2743">
        <f>Skills!G17*IF(Skills!H17&gt;0,Skills!I17/Skills!H17,1)</f>
        <v/>
      </c>
      <c r="H2743">
        <f>1-(1-Skills!J17/100)^Skills!K17</f>
        <v/>
      </c>
      <c r="I2743" t="inlineStr">
        <is>
          <t>1</t>
        </is>
      </c>
      <c r="J2743" t="inlineStr"/>
      <c r="K2743" t="inlineStr"/>
      <c r="L2743" t="inlineStr"/>
      <c r="M2743" t="inlineStr"/>
      <c r="N2743" t="inlineStr"/>
      <c r="O2743">
        <f>(1-Summary!$B$11)*T2743+Summary!$B$11*V2743</f>
        <v/>
      </c>
      <c r="P2743">
        <f>IF(B2768=0,0,O2743/B2768)</f>
        <v/>
      </c>
      <c r="Q2743" t="n">
        <v>0</v>
      </c>
      <c r="R2743" t="n">
        <v>0</v>
      </c>
      <c r="S2743" t="n">
        <v>0</v>
      </c>
      <c r="T2743" t="n">
        <v>0</v>
      </c>
      <c r="V2743" t="n">
        <v>0</v>
      </c>
    </row>
    <row r="2744">
      <c r="A2744">
        <f>Skills!A18</f>
        <v/>
      </c>
      <c r="B2744">
        <f>Skills!B18</f>
        <v/>
      </c>
      <c r="C2744">
        <f>TRUE</f>
        <v/>
      </c>
      <c r="D2744">
        <f>IF(Skills!C18=1,60+Inputs!$B$25+Inputs!$B$29,IF(Skills!C18=2,90+Inputs!$B$26+Inputs!$B$29,IF(Skills!C18=3,120+Inputs!$B$27+Inputs!$B$29,MAX(0,(Inputs!$B$3-100)*3)+Inputs!$B$28+Inputs!$B$29)))</f>
        <v/>
      </c>
      <c r="E2744">
        <f>INDEX(FactorTable!$B$2:$Y$301, MATCH(ROUND(MIN(300,MAX(1,D2744)),0), FactorTable!$A$2:$A$301,0), Skills!M18+1)</f>
        <v/>
      </c>
      <c r="F2744">
        <f>IF(Skills!N18=TRUE,(Skills!L18/10)*(E2744/1000),Skills!L18/10)+Skills!O18</f>
        <v/>
      </c>
      <c r="G2744">
        <f>Skills!G18*IF(Skills!H18&gt;0,Skills!I18/Skills!H18,1)</f>
        <v/>
      </c>
      <c r="H2744">
        <f>1-(1-Skills!J18/100)^Skills!K18</f>
        <v/>
      </c>
      <c r="I2744" t="inlineStr">
        <is>
          <t>1</t>
        </is>
      </c>
      <c r="J2744" t="inlineStr"/>
      <c r="K2744" t="inlineStr"/>
      <c r="L2744" t="inlineStr"/>
      <c r="M2744" t="inlineStr"/>
      <c r="N2744" t="inlineStr"/>
      <c r="O2744">
        <f>(1-Summary!$B$11)*T2744+Summary!$B$11*V2744</f>
        <v/>
      </c>
      <c r="P2744">
        <f>IF(B2768=0,0,O2744/B2768)</f>
        <v/>
      </c>
      <c r="Q2744">
        <f>IFERROR(1/IF(Inputs!$B$38="pvp",15,MAX(0.1,Skills!D18-IF(Skills!E18=TRUE,Inputs!$B$32,0))),0)</f>
        <v/>
      </c>
      <c r="R2744">
        <f>IF(AND(Inputs!$B$38&lt;&gt;"pvp",Inputs!$B$43&gt;0),IF(Inputs!$B$43&lt;=0,0,(INT(Inputs!$B$43/IF(Inputs!$B$38="pvp",15,MAX(0.1,Skills!D18-IF(Skills!E18=TRUE,Inputs!$B$32,0))))+1)),0)</f>
        <v/>
      </c>
      <c r="S2744" t="n">
        <v>0</v>
      </c>
      <c r="T2744" t="n">
        <v>0</v>
      </c>
      <c r="V2744" t="n">
        <v>0</v>
      </c>
    </row>
    <row r="2745">
      <c r="A2745">
        <f>Skills!A19</f>
        <v/>
      </c>
      <c r="B2745">
        <f>Skills!B19</f>
        <v/>
      </c>
      <c r="C2745">
        <f>Inputs!$B$3&gt;=15</f>
        <v/>
      </c>
      <c r="D2745">
        <f>IF(Skills!C19=1,60+Inputs!$B$25+Inputs!$B$29,IF(Skills!C19=2,90+Inputs!$B$26+Inputs!$B$29,IF(Skills!C19=3,120+Inputs!$B$27+Inputs!$B$29,MAX(0,(Inputs!$B$3-100)*3)+Inputs!$B$28+Inputs!$B$29)))</f>
        <v/>
      </c>
      <c r="E2745">
        <f>INDEX(FactorTable!$B$2:$Y$301, MATCH(ROUND(MIN(300,MAX(1,D2745)),0), FactorTable!$A$2:$A$301,0), Skills!M19+1)</f>
        <v/>
      </c>
      <c r="F2745">
        <f>IF(Skills!N19=TRUE,(Skills!L19/10)*(E2745/1000),Skills!L19/10)+Skills!O19</f>
        <v/>
      </c>
      <c r="G2745">
        <f>Skills!G19*IF(Skills!H19&gt;0,Skills!I19/Skills!H19,1)</f>
        <v/>
      </c>
      <c r="H2745">
        <f>1-(1-Skills!J19/100)^Skills!K19</f>
        <v/>
      </c>
      <c r="I2745" t="inlineStr">
        <is>
          <t>1</t>
        </is>
      </c>
      <c r="J2745" t="inlineStr"/>
      <c r="K2745" t="inlineStr"/>
      <c r="L2745" t="inlineStr"/>
      <c r="M2745" t="inlineStr"/>
      <c r="N2745" t="inlineStr"/>
      <c r="O2745">
        <f>(1-Summary!$B$11)*T2745+Summary!$B$11*V2745</f>
        <v/>
      </c>
      <c r="P2745">
        <f>IF(B2768=0,0,O2745/B2768)</f>
        <v/>
      </c>
      <c r="Q2745" t="n">
        <v>0</v>
      </c>
      <c r="R2745" t="n">
        <v>0</v>
      </c>
      <c r="S2745" t="n">
        <v>0</v>
      </c>
      <c r="T2745" t="n">
        <v>0</v>
      </c>
      <c r="V2745" t="n">
        <v>0</v>
      </c>
    </row>
    <row r="2746">
      <c r="A2746">
        <f>Skills!A20</f>
        <v/>
      </c>
      <c r="B2746">
        <f>Skills!B20</f>
        <v/>
      </c>
      <c r="C2746">
        <f>Inputs!$B$3&gt;=10</f>
        <v/>
      </c>
      <c r="D2746">
        <f>IF(Skills!C20=1,60+Inputs!$B$25+Inputs!$B$29,IF(Skills!C20=2,90+Inputs!$B$26+Inputs!$B$29,IF(Skills!C20=3,120+Inputs!$B$27+Inputs!$B$29,MAX(0,(Inputs!$B$3-100)*3)+Inputs!$B$28+Inputs!$B$29)))</f>
        <v/>
      </c>
      <c r="E2746">
        <f>INDEX(FactorTable!$B$2:$Y$301, MATCH(ROUND(MIN(300,MAX(1,D2746)),0), FactorTable!$A$2:$A$301,0), Skills!M20+1)</f>
        <v/>
      </c>
      <c r="F2746">
        <f>IF(Skills!N20=TRUE,(Skills!L20/10)*(E2746/1000),Skills!L20/10)+Skills!O20</f>
        <v/>
      </c>
      <c r="G2746">
        <f>Skills!G20*IF(Skills!H20&gt;0,Skills!I20/Skills!H20,1)</f>
        <v/>
      </c>
      <c r="H2746">
        <f>1-(1-Skills!J20/100)^Skills!K20</f>
        <v/>
      </c>
      <c r="I2746" t="inlineStr">
        <is>
          <t>1</t>
        </is>
      </c>
      <c r="J2746" t="inlineStr"/>
      <c r="K2746" t="inlineStr"/>
      <c r="L2746" t="inlineStr"/>
      <c r="M2746" t="inlineStr"/>
      <c r="N2746" t="inlineStr"/>
      <c r="O2746">
        <f>(1-Summary!$B$11)*T2746+Summary!$B$11*V2746</f>
        <v/>
      </c>
      <c r="P2746">
        <f>IF(B2768=0,0,O2746/B2768)</f>
        <v/>
      </c>
      <c r="Q2746" t="n">
        <v>0</v>
      </c>
      <c r="R2746" t="n">
        <v>0</v>
      </c>
      <c r="S2746" t="n">
        <v>0</v>
      </c>
      <c r="T2746" t="n">
        <v>0</v>
      </c>
      <c r="V2746" t="n">
        <v>0</v>
      </c>
    </row>
    <row r="2747">
      <c r="A2747">
        <f>Skills!A21</f>
        <v/>
      </c>
      <c r="B2747">
        <f>Skills!B21</f>
        <v/>
      </c>
      <c r="C2747">
        <f>Inputs!$B$3&gt;=33</f>
        <v/>
      </c>
      <c r="D2747">
        <f>IF(Skills!C21=1,60+Inputs!$B$25+Inputs!$B$29,IF(Skills!C21=2,90+Inputs!$B$26+Inputs!$B$29,IF(Skills!C21=3,120+Inputs!$B$27+Inputs!$B$29,MAX(0,(Inputs!$B$3-100)*3)+Inputs!$B$28+Inputs!$B$29)))</f>
        <v/>
      </c>
      <c r="E2747">
        <f>INDEX(FactorTable!$B$2:$Y$301, MATCH(ROUND(MIN(300,MAX(1,D2747)),0), FactorTable!$A$2:$A$301,0), Skills!M21+1)</f>
        <v/>
      </c>
      <c r="F2747">
        <f>IF(Skills!N21=TRUE,(Skills!L21/10)*(E2747/1000),Skills!L21/10)+Skills!O21</f>
        <v/>
      </c>
      <c r="G2747">
        <f>Skills!G21*IF(Skills!H21&gt;0,Skills!I21/Skills!H21,1)</f>
        <v/>
      </c>
      <c r="H2747">
        <f>1-(1-Skills!J21/100)^Skills!K21</f>
        <v/>
      </c>
      <c r="I2747" t="inlineStr">
        <is>
          <t>1</t>
        </is>
      </c>
      <c r="J2747" t="inlineStr"/>
      <c r="K2747" t="inlineStr"/>
      <c r="L2747" t="inlineStr"/>
      <c r="M2747" t="inlineStr"/>
      <c r="N2747" t="inlineStr"/>
      <c r="O2747">
        <f>(1-Summary!$B$11)*T2747+Summary!$B$11*V2747</f>
        <v/>
      </c>
      <c r="P2747">
        <f>IF(B2768=0,0,O2747/B2768)</f>
        <v/>
      </c>
      <c r="Q2747" t="n">
        <v>0</v>
      </c>
      <c r="R2747" t="n">
        <v>0</v>
      </c>
      <c r="S2747" t="n">
        <v>0</v>
      </c>
      <c r="T2747" t="n">
        <v>0</v>
      </c>
      <c r="V2747" t="n">
        <v>0</v>
      </c>
    </row>
    <row r="2748">
      <c r="A2748">
        <f>Skills!A22</f>
        <v/>
      </c>
      <c r="B2748">
        <f>Skills!B22</f>
        <v/>
      </c>
      <c r="C2748">
        <f>Inputs!$B$3&gt;=38</f>
        <v/>
      </c>
      <c r="D2748">
        <f>IF(Skills!C22=1,60+Inputs!$B$25+Inputs!$B$29,IF(Skills!C22=2,90+Inputs!$B$26+Inputs!$B$29,IF(Skills!C22=3,120+Inputs!$B$27+Inputs!$B$29,MAX(0,(Inputs!$B$3-100)*3)+Inputs!$B$28+Inputs!$B$29)))</f>
        <v/>
      </c>
      <c r="E2748">
        <f>INDEX(FactorTable!$B$2:$Y$301, MATCH(ROUND(MIN(300,MAX(1,D2748)),0), FactorTable!$A$2:$A$301,0), Skills!M22+1)</f>
        <v/>
      </c>
      <c r="F2748">
        <f>IF(Skills!N22=TRUE,(Skills!L22/10)*(E2748/1000),Skills!L22/10)+Skills!O22</f>
        <v/>
      </c>
      <c r="G2748">
        <f>Skills!G22*IF(Skills!H22&gt;0,Skills!I22/Skills!H22,1)</f>
        <v/>
      </c>
      <c r="H2748">
        <f>1-(1-Skills!J22/100)^Skills!K22</f>
        <v/>
      </c>
      <c r="I2748" t="inlineStr">
        <is>
          <t>1</t>
        </is>
      </c>
      <c r="J2748" t="inlineStr"/>
      <c r="K2748" t="inlineStr"/>
      <c r="L2748" t="inlineStr"/>
      <c r="M2748" t="inlineStr"/>
      <c r="N2748" t="inlineStr"/>
      <c r="O2748">
        <f>(1-Summary!$B$11)*T2748+Summary!$B$11*V2748</f>
        <v/>
      </c>
      <c r="P2748">
        <f>IF(B2768=0,0,O2748/B2768)</f>
        <v/>
      </c>
      <c r="Q2748" t="n">
        <v>0</v>
      </c>
      <c r="R2748" t="n">
        <v>0</v>
      </c>
      <c r="S2748" t="n">
        <v>0</v>
      </c>
      <c r="T2748" t="n">
        <v>0</v>
      </c>
      <c r="V2748" t="n">
        <v>0</v>
      </c>
    </row>
    <row r="2749">
      <c r="A2749">
        <f>Skills!A23</f>
        <v/>
      </c>
      <c r="B2749">
        <f>Skills!B23</f>
        <v/>
      </c>
      <c r="C2749">
        <f>Inputs!$B$3&gt;=43</f>
        <v/>
      </c>
      <c r="D2749">
        <f>IF(Skills!C23=1,60+Inputs!$B$25+Inputs!$B$29,IF(Skills!C23=2,90+Inputs!$B$26+Inputs!$B$29,IF(Skills!C23=3,120+Inputs!$B$27+Inputs!$B$29,MAX(0,(Inputs!$B$3-100)*3)+Inputs!$B$28+Inputs!$B$29)))</f>
        <v/>
      </c>
      <c r="E2749">
        <f>INDEX(FactorTable!$B$2:$Y$301, MATCH(ROUND(MIN(300,MAX(1,D2749)),0), FactorTable!$A$2:$A$301,0), Skills!M23+1)</f>
        <v/>
      </c>
      <c r="F2749">
        <f>IF(Skills!N23=TRUE,(Skills!L23/10)*(E2749/1000),Skills!L23/10)+Skills!O23</f>
        <v/>
      </c>
      <c r="G2749">
        <f>Skills!G23*IF(Skills!H23&gt;0,Skills!I23/Skills!H23,1)</f>
        <v/>
      </c>
      <c r="H2749">
        <f>1-(1-Skills!J23/100)^Skills!K23</f>
        <v/>
      </c>
      <c r="I2749" t="inlineStr">
        <is>
          <t>1</t>
        </is>
      </c>
      <c r="J2749" t="inlineStr"/>
      <c r="K2749" t="inlineStr"/>
      <c r="L2749" t="inlineStr"/>
      <c r="M2749" t="inlineStr"/>
      <c r="N2749" t="inlineStr"/>
      <c r="O2749">
        <f>(1-Summary!$B$11)*T2749+Summary!$B$11*V2749</f>
        <v/>
      </c>
      <c r="P2749">
        <f>IF(B2768=0,0,O2749/B2768)</f>
        <v/>
      </c>
      <c r="Q2749" t="n">
        <v>0</v>
      </c>
      <c r="R2749" t="n">
        <v>0</v>
      </c>
      <c r="S2749" t="n">
        <v>0</v>
      </c>
      <c r="T2749" t="n">
        <v>0</v>
      </c>
      <c r="V2749" t="n">
        <v>0</v>
      </c>
    </row>
    <row r="2750">
      <c r="A2750">
        <f>Skills!A24</f>
        <v/>
      </c>
      <c r="B2750">
        <f>Skills!B24</f>
        <v/>
      </c>
      <c r="C2750">
        <f>Inputs!$B$3&gt;=75</f>
        <v/>
      </c>
      <c r="D2750">
        <f>IF(Skills!C24=1,60+Inputs!$B$25+Inputs!$B$29,IF(Skills!C24=2,90+Inputs!$B$26+Inputs!$B$29,IF(Skills!C24=3,120+Inputs!$B$27+Inputs!$B$29,MAX(0,(Inputs!$B$3-100)*3)+Inputs!$B$28+Inputs!$B$29)))</f>
        <v/>
      </c>
      <c r="E2750">
        <f>INDEX(FactorTable!$B$2:$Y$301, MATCH(ROUND(MIN(300,MAX(1,D2750)),0), FactorTable!$A$2:$A$301,0), Skills!M24+1)</f>
        <v/>
      </c>
      <c r="F2750">
        <f>IF(Skills!N24=TRUE,(Skills!L24/10)*(E2750/1000),Skills!L24/10)+Skills!O24</f>
        <v/>
      </c>
      <c r="G2750">
        <f>Skills!G24*IF(Skills!H24&gt;0,Skills!I24/Skills!H24,1)</f>
        <v/>
      </c>
      <c r="H2750">
        <f>1-(1-Skills!J24/100)^Skills!K24</f>
        <v/>
      </c>
      <c r="I2750" t="inlineStr">
        <is>
          <t>1</t>
        </is>
      </c>
      <c r="J2750" t="inlineStr"/>
      <c r="K2750" t="inlineStr"/>
      <c r="L2750" t="inlineStr"/>
      <c r="M2750" t="inlineStr"/>
      <c r="N2750" t="inlineStr"/>
      <c r="O2750">
        <f>(1-Summary!$B$11)*T2750+Summary!$B$11*V2750</f>
        <v/>
      </c>
      <c r="P2750">
        <f>IF(B2768=0,0,O2750/B2768)</f>
        <v/>
      </c>
      <c r="Q2750" t="n">
        <v>0</v>
      </c>
      <c r="R2750" t="n">
        <v>0</v>
      </c>
      <c r="S2750" t="n">
        <v>0</v>
      </c>
      <c r="T2750" t="n">
        <v>0</v>
      </c>
      <c r="V2750" t="n">
        <v>0</v>
      </c>
    </row>
    <row r="2751">
      <c r="A2751">
        <f>Skills!A25</f>
        <v/>
      </c>
      <c r="B2751">
        <f>Skills!B25</f>
        <v/>
      </c>
      <c r="C2751">
        <f>Inputs!$B$3&gt;=125</f>
        <v/>
      </c>
      <c r="D2751">
        <f>IF(Skills!C25=1,60+Inputs!$B$25+Inputs!$B$29,IF(Skills!C25=2,90+Inputs!$B$26+Inputs!$B$29,IF(Skills!C25=3,120+Inputs!$B$27+Inputs!$B$29,MAX(0,(Inputs!$B$3-100)*3)+Inputs!$B$28+Inputs!$B$29)))</f>
        <v/>
      </c>
      <c r="E2751">
        <f>INDEX(FactorTable!$B$2:$Y$301, MATCH(ROUND(MIN(300,MAX(1,D2751)),0), FactorTable!$A$2:$A$301,0), Skills!M25+1)</f>
        <v/>
      </c>
      <c r="F2751">
        <f>IF(Skills!N25=TRUE,(Skills!L25/10)*(E2751/1000),Skills!L25/10)+Skills!O25</f>
        <v/>
      </c>
      <c r="G2751">
        <f>Skills!G25*IF(Skills!H25&gt;0,Skills!I25/Skills!H25,1)</f>
        <v/>
      </c>
      <c r="H2751">
        <f>1-(1-Skills!J25/100)^Skills!K25</f>
        <v/>
      </c>
      <c r="I2751" t="inlineStr">
        <is>
          <t>1</t>
        </is>
      </c>
      <c r="J2751" t="inlineStr"/>
      <c r="K2751" t="inlineStr"/>
      <c r="L2751" t="inlineStr"/>
      <c r="M2751" t="inlineStr"/>
      <c r="N2751" t="inlineStr"/>
      <c r="O2751">
        <f>(1-Summary!$B$11)*T2751+Summary!$B$11*V2751</f>
        <v/>
      </c>
      <c r="P2751">
        <f>IF(B2768=0,0,O2751/B2768)</f>
        <v/>
      </c>
      <c r="Q2751" t="n">
        <v>0</v>
      </c>
      <c r="R2751" t="n">
        <v>0</v>
      </c>
      <c r="S2751" t="n">
        <v>0</v>
      </c>
      <c r="T2751" t="n">
        <v>0</v>
      </c>
      <c r="V2751" t="n">
        <v>0</v>
      </c>
    </row>
    <row r="2752">
      <c r="A2752">
        <f>Skills!A26</f>
        <v/>
      </c>
      <c r="B2752">
        <f>Skills!B26</f>
        <v/>
      </c>
      <c r="C2752">
        <f>Inputs!$B$3&gt;=125</f>
        <v/>
      </c>
      <c r="D2752">
        <f>IF(Skills!C26=1,60+Inputs!$B$25+Inputs!$B$29,IF(Skills!C26=2,90+Inputs!$B$26+Inputs!$B$29,IF(Skills!C26=3,120+Inputs!$B$27+Inputs!$B$29,MAX(0,(Inputs!$B$3-100)*3)+Inputs!$B$28+Inputs!$B$29)))</f>
        <v/>
      </c>
      <c r="E2752">
        <f>INDEX(FactorTable!$B$2:$Y$301, MATCH(ROUND(MIN(300,MAX(1,D2752)),0), FactorTable!$A$2:$A$301,0), Skills!M26+1)</f>
        <v/>
      </c>
      <c r="F2752">
        <f>IF(Skills!N26=TRUE,(Skills!L26/10)*(E2752/1000),Skills!L26/10)+Skills!O26</f>
        <v/>
      </c>
      <c r="G2752">
        <f>Skills!G26*IF(Skills!H26&gt;0,Skills!I26/Skills!H26,1)</f>
        <v/>
      </c>
      <c r="H2752">
        <f>1-(1-Skills!J26/100)^Skills!K26</f>
        <v/>
      </c>
      <c r="I2752" t="inlineStr">
        <is>
          <t>1</t>
        </is>
      </c>
      <c r="J2752" t="inlineStr"/>
      <c r="K2752" t="inlineStr"/>
      <c r="L2752" t="inlineStr"/>
      <c r="M2752" t="inlineStr"/>
      <c r="N2752" t="inlineStr"/>
      <c r="O2752">
        <f>(1-Summary!$B$11)*T2752+Summary!$B$11*V2752</f>
        <v/>
      </c>
      <c r="P2752">
        <f>IF(B2768=0,0,O2752/B2768)</f>
        <v/>
      </c>
      <c r="Q2752" t="n">
        <v>0</v>
      </c>
      <c r="R2752" t="n">
        <v>0</v>
      </c>
      <c r="S2752" t="n">
        <v>0</v>
      </c>
      <c r="T2752" t="n">
        <v>0</v>
      </c>
      <c r="V2752" t="n">
        <v>0</v>
      </c>
    </row>
    <row r="2753">
      <c r="A2753">
        <f>Skills!A27</f>
        <v/>
      </c>
      <c r="B2753">
        <f>Skills!B27</f>
        <v/>
      </c>
      <c r="C2753">
        <f>Inputs!$B$3&gt;=120</f>
        <v/>
      </c>
      <c r="D2753">
        <f>IF(Skills!C27=1,60+Inputs!$B$25+Inputs!$B$29,IF(Skills!C27=2,90+Inputs!$B$26+Inputs!$B$29,IF(Skills!C27=3,120+Inputs!$B$27+Inputs!$B$29,MAX(0,(Inputs!$B$3-100)*3)+Inputs!$B$28+Inputs!$B$29)))</f>
        <v/>
      </c>
      <c r="E2753">
        <f>INDEX(FactorTable!$B$2:$Y$301, MATCH(ROUND(MIN(300,MAX(1,D2753)),0), FactorTable!$A$2:$A$301,0), Skills!M27+1)</f>
        <v/>
      </c>
      <c r="F2753">
        <f>IF(Skills!N27=TRUE,(Skills!L27/10)*(E2753/1000),Skills!L27/10)+Skills!O27</f>
        <v/>
      </c>
      <c r="G2753">
        <f>Skills!G27*IF(Skills!H27&gt;0,Skills!I27/Skills!H27,1)</f>
        <v/>
      </c>
      <c r="H2753">
        <f>1-(1-Skills!J27/100)^Skills!K27</f>
        <v/>
      </c>
      <c r="I2753" t="inlineStr">
        <is>
          <t>1</t>
        </is>
      </c>
      <c r="J2753" t="inlineStr"/>
      <c r="K2753" t="inlineStr"/>
      <c r="L2753" t="inlineStr"/>
      <c r="M2753" t="inlineStr"/>
      <c r="N2753" t="inlineStr"/>
      <c r="O2753">
        <f>(1-Summary!$B$11)*T2753+Summary!$B$11*V2753</f>
        <v/>
      </c>
      <c r="P2753">
        <f>IF(B2768=0,0,O2753/B2768)</f>
        <v/>
      </c>
      <c r="Q2753" t="n">
        <v>0</v>
      </c>
      <c r="R2753" t="n">
        <v>0</v>
      </c>
      <c r="S2753" t="n">
        <v>0</v>
      </c>
      <c r="T2753" t="n">
        <v>0</v>
      </c>
      <c r="V2753" t="n">
        <v>0</v>
      </c>
    </row>
    <row r="2754">
      <c r="A2754">
        <f>Skills!A28</f>
        <v/>
      </c>
      <c r="B2754">
        <f>Skills!B28</f>
        <v/>
      </c>
      <c r="C2754">
        <f>Inputs!$B$3&gt;=120</f>
        <v/>
      </c>
      <c r="D2754">
        <f>IF(Skills!C28=1,60+Inputs!$B$25+Inputs!$B$29,IF(Skills!C28=2,90+Inputs!$B$26+Inputs!$B$29,IF(Skills!C28=3,120+Inputs!$B$27+Inputs!$B$29,MAX(0,(Inputs!$B$3-100)*3)+Inputs!$B$28+Inputs!$B$29)))</f>
        <v/>
      </c>
      <c r="E2754">
        <f>INDEX(FactorTable!$B$2:$Y$301, MATCH(ROUND(MIN(300,MAX(1,D2754)),0), FactorTable!$A$2:$A$301,0), Skills!M28+1)</f>
        <v/>
      </c>
      <c r="F2754">
        <f>IF(Skills!N28=TRUE,(Skills!L28/10)*(E2754/1000),Skills!L28/10)+Skills!O28</f>
        <v/>
      </c>
      <c r="G2754">
        <f>Skills!G28*IF(Skills!H28&gt;0,Skills!I28/Skills!H28,1)</f>
        <v/>
      </c>
      <c r="H2754">
        <f>1-(1-Skills!J28/100)^Skills!K28</f>
        <v/>
      </c>
      <c r="I2754" t="inlineStr">
        <is>
          <t>1</t>
        </is>
      </c>
      <c r="J2754" t="inlineStr"/>
      <c r="K2754" t="inlineStr"/>
      <c r="L2754" t="inlineStr"/>
      <c r="M2754" t="inlineStr"/>
      <c r="N2754" t="inlineStr"/>
      <c r="O2754">
        <f>(1-Summary!$B$11)*T2754+Summary!$B$11*V2754</f>
        <v/>
      </c>
      <c r="P2754">
        <f>IF(B2768=0,0,O2754/B2768)</f>
        <v/>
      </c>
      <c r="Q2754" t="n">
        <v>0</v>
      </c>
      <c r="R2754" t="n">
        <v>0</v>
      </c>
      <c r="S2754" t="n">
        <v>0</v>
      </c>
      <c r="T2754" t="n">
        <v>0</v>
      </c>
      <c r="V2754" t="n">
        <v>0</v>
      </c>
    </row>
    <row r="2755">
      <c r="A2755">
        <f>Skills!A29</f>
        <v/>
      </c>
      <c r="B2755">
        <f>Skills!B29</f>
        <v/>
      </c>
      <c r="C2755">
        <f>Inputs!$B$3&gt;=45</f>
        <v/>
      </c>
      <c r="D2755">
        <f>IF(Skills!C29=1,60+Inputs!$B$25+Inputs!$B$29,IF(Skills!C29=2,90+Inputs!$B$26+Inputs!$B$29,IF(Skills!C29=3,120+Inputs!$B$27+Inputs!$B$29,MAX(0,(Inputs!$B$3-100)*3)+Inputs!$B$28+Inputs!$B$29)))</f>
        <v/>
      </c>
      <c r="E2755">
        <f>INDEX(FactorTable!$B$2:$Y$301, MATCH(ROUND(MIN(300,MAX(1,D2755)),0), FactorTable!$A$2:$A$301,0), Skills!M29+1)</f>
        <v/>
      </c>
      <c r="F2755">
        <f>IF(Skills!N29=TRUE,(Skills!L29/10)*(E2755/1000),Skills!L29/10)+Skills!O29</f>
        <v/>
      </c>
      <c r="G2755">
        <f>Skills!G29*IF(Skills!H29&gt;0,Skills!I29/Skills!H29,1)</f>
        <v/>
      </c>
      <c r="H2755">
        <f>1-(1-Skills!J29/100)^Skills!K29</f>
        <v/>
      </c>
      <c r="I2755" t="inlineStr">
        <is>
          <t>1</t>
        </is>
      </c>
      <c r="J2755" t="inlineStr"/>
      <c r="K2755" t="inlineStr"/>
      <c r="L2755" t="inlineStr"/>
      <c r="M2755" t="inlineStr"/>
      <c r="N2755" t="inlineStr"/>
      <c r="O2755">
        <f>(1-Summary!$B$11)*T2755+Summary!$B$11*V2755</f>
        <v/>
      </c>
      <c r="P2755">
        <f>IF(B2768=0,0,O2755/B2768)</f>
        <v/>
      </c>
      <c r="Q2755" t="n">
        <v>0</v>
      </c>
      <c r="R2755" t="n">
        <v>0</v>
      </c>
      <c r="S2755" t="n">
        <v>0</v>
      </c>
      <c r="T2755" t="n">
        <v>0</v>
      </c>
      <c r="V2755" t="n">
        <v>0</v>
      </c>
    </row>
    <row r="2757">
      <c r="A2757" t="inlineStr">
        <is>
          <t>Attack% Bucket Multiplier</t>
        </is>
      </c>
      <c r="B2757">
        <f>(1+(((C2739=TRUE)*F2739)+((C2740=TRUE)*IF(Inputs!$B$38="pvp",F2740,(1-Summary!$B$11)*(F2740)+Summary!$B$11*(0)))+((C2741=TRUE)*F2741*IF(AND(Inputs!$B$38&lt;&gt;"pvp",Inputs!$B$43&gt;0),(((R2741-1)*(Skills!T15*(1+Inputs!$B$34/100))+MIN((Skills!T15*(1+Inputs!$B$34/100)),MAX(0,Inputs!$B$43-((R2741-1)*Skills!D15))))/Inputs!$B$43),IF(Inputs!$B$38="pvp",MIN((Skills!T15*(1+Inputs!$B$34/100)),15)/15,(Skills!T15*(1+Inputs!$B$34/100))/Skills!D15)))+((C2738=TRUE)*F2738)+((C2755=TRUE)*(F2755-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IF(ArtifactsInput!$M$40,FALSE,TRUE),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2758">
      <c r="A2758" t="inlineStr">
        <is>
          <t>Global Crit Rate Bonus %</t>
        </is>
      </c>
      <c r="B2758">
        <f>(C2742=TRUE)*20*IF(AND(Inputs!$B$38&lt;&gt;"pvp",Inputs!$B$43&gt;0),(((R2742-1)*(Skills!T16*(1+Inputs!$B$34/100))+MIN((Skills!T16*(1+Inputs!$B$34/100)),MAX(0,Inputs!$B$43-((R2742-1)*Skills!D16))))/Inputs!$B$43),IF(Inputs!$B$38="pvp",MIN((Skills!T16*(1+Inputs!$B$34/100)),15)/15,(Skills!T16*(1+Inputs!$B$34/100))/Skills!D16))</f>
        <v/>
      </c>
    </row>
    <row r="2759">
      <c r="A2759" t="inlineStr">
        <is>
          <t>Attack Speed Buff Bonus %</t>
        </is>
      </c>
      <c r="B2759">
        <f>((C2744=TRUE)*F2744*IF(AND(Inputs!$B$38&lt;&gt;"pvp",Inputs!$B$43&gt;0),(((R2744-1)*(Skills!T18*(1+Inputs!$B$34/100))+MIN((Skills!T18*(1+Inputs!$B$34/100)),MAX(0,Inputs!$B$43-((R2744-1)*Skills!D18))))/Inputs!$B$43),IF(Inputs!$B$38="pvp",MIN((Skills!T18*(1+Inputs!$B$34/100)),15)/15,(Skills!T18*(1+Inputs!$B$34/100))/Skills!D18)))</f>
        <v/>
      </c>
    </row>
    <row r="2760">
      <c r="A2760" t="inlineStr">
        <is>
          <t>Actions Per Second</t>
        </is>
      </c>
      <c r="B2760">
        <f>1+MIN(150,150*(1-(1-(Inputs!$B$11+((C2746=TRUE)*(F2746-Calc!F20))+((C2747=TRUE)*(F2747-Calc!F21)))/150)*(1-B2759/150)))/100</f>
        <v/>
      </c>
    </row>
    <row r="2761">
      <c r="A2761" t="inlineStr">
        <is>
          <t>Skill + Buff Cast Rate</t>
        </is>
      </c>
      <c r="B2761">
        <f>IF(AND(Inputs!$B$38&lt;&gt;"pvp",Inputs!$B$43&gt;0),SUMPRODUCT((Skills!E2:E29=TRUE)*(C2728:C2755=TRUE)*R2728:R2755*Skills!F2:F29)/Inputs!$B$43,SUMPRODUCT((Skills!E2:E29=TRUE)*(C2728:C2755=TRUE)*Q2728:Q2755*Skills!F2:F29))</f>
        <v/>
      </c>
    </row>
    <row r="2762">
      <c r="A2762" t="inlineStr">
        <is>
          <t>Empowered Piercing Arrow Casts Per Second</t>
        </is>
      </c>
      <c r="B2762">
        <f>MAX(0,B2760-B2761)</f>
        <v/>
      </c>
    </row>
    <row r="2763">
      <c r="A2763" t="inlineStr">
        <is>
          <t>Global Critical Damage Bonus % (Sharp Eyes)</t>
        </is>
      </c>
      <c r="B2763">
        <f>(C2742=TRUE)*F2742*IF(AND(Inputs!$B$38&lt;&gt;"pvp",Inputs!$B$43&gt;0),(((R2742-1)*(Skills!T16*(1+Inputs!$B$34/100))+MIN((Skills!T16*(1+Inputs!$B$34/100)),MAX(0,Inputs!$B$43-((R2742-1)*Skills!D16))))/Inputs!$B$43),IF(Inputs!$B$38="pvp",MIN((Skills!T16*(1+Inputs!$B$34/100)),15)/15,(Skills!T16*(1+Inputs!$B$34/100))/Skills!D16))</f>
        <v/>
      </c>
    </row>
    <row r="2764">
      <c r="A2764" t="inlineStr">
        <is>
          <t>Global Final Damage Bonus % (Mortal Blow + Last Man Standing conditional half)</t>
        </is>
      </c>
      <c r="B2764">
        <f>(C2743=TRUE)*F2743+((C2752=TRUE)*IF(Inputs!$B$38="pvp",F2752,(1-Summary!$B$11)*(F2752)+Summary!$B$11*(0)))</f>
        <v/>
      </c>
    </row>
    <row r="2765">
      <c r="A2765" t="inlineStr">
        <is>
          <t>Buff-Casting Startup Delay (s, fixed-duration only)</t>
        </is>
      </c>
      <c r="B2765">
        <f>IF(AND(Inputs!$B$38&lt;&gt;"pvp",Inputs!$B$43&gt;0),SUMPRODUCT((Skills!T2:T29&gt;0)*(Skills!E2:E29=TRUE)*(C2728:C2755=TRUE))/B2760,0)</f>
        <v/>
      </c>
    </row>
    <row r="2766">
      <c r="A2766" t="inlineStr">
        <is>
          <t>Boss-Only Total DPS (this block's swept value)</t>
        </is>
      </c>
      <c r="B2766">
        <f>SUM(T2728:T2755)</f>
        <v/>
      </c>
    </row>
    <row r="2767">
      <c r="A2767" t="inlineStr">
        <is>
          <t>Normal-Only Total DPS (this block's swept value)</t>
        </is>
      </c>
      <c r="B2767">
        <f>SUM(V2728:V2755)</f>
        <v/>
      </c>
    </row>
    <row r="2768">
      <c r="A2768" s="6" t="inlineStr">
        <is>
          <t>TOTAL DPS</t>
        </is>
      </c>
      <c r="B2768" s="6">
        <f>SUM(O2728:O2755)</f>
        <v/>
      </c>
    </row>
    <row r="2771">
      <c r="A2771" s="6" t="inlineStr">
        <is>
          <t>Stat: Secret Map (Equip)</t>
        </is>
      </c>
    </row>
    <row r="2772">
      <c r="A2772" s="5" t="inlineStr">
        <is>
          <t>Key</t>
        </is>
      </c>
      <c r="B2772" s="5" t="inlineStr">
        <is>
          <t>Name</t>
        </is>
      </c>
      <c r="C2772" s="5" t="inlineStr">
        <is>
          <t>Unlocked</t>
        </is>
      </c>
      <c r="D2772" s="5" t="inlineStr">
        <is>
          <t>InputLevel</t>
        </is>
      </c>
      <c r="E2772" s="5" t="inlineStr">
        <is>
          <t>Factor</t>
        </is>
      </c>
      <c r="F2772" s="5" t="inlineStr">
        <is>
          <t>CoefficientPercent</t>
        </is>
      </c>
      <c r="G2772" s="5" t="inlineStr">
        <is>
          <t>EffectiveHits</t>
        </is>
      </c>
      <c r="H2772" s="5" t="inlineStr">
        <is>
          <t>ProcProbability</t>
        </is>
      </c>
      <c r="I2772" s="5" t="inlineStr">
        <is>
          <t>MapleHeroMultiplier</t>
        </is>
      </c>
      <c r="J2772" s="5" t="inlineStr">
        <is>
          <t>BaseDamage</t>
        </is>
      </c>
      <c r="K2772" s="5" t="inlineStr">
        <is>
          <t>BaseHitDamage</t>
        </is>
      </c>
      <c r="L2772" s="5" t="inlineStr">
        <is>
          <t>NonCritAvg</t>
        </is>
      </c>
      <c r="M2772" s="5" t="inlineStr">
        <is>
          <t>CritAvg</t>
        </is>
      </c>
      <c r="N2772" s="5" t="inlineStr">
        <is>
          <t>ExpectedDamage(perHit)</t>
        </is>
      </c>
      <c r="O2772" s="5" t="inlineStr">
        <is>
          <t>DPS</t>
        </is>
      </c>
      <c r="P2772" s="5" t="inlineStr">
        <is>
          <t>% of Total</t>
        </is>
      </c>
      <c r="Q2772" s="5" t="inlineStr">
        <is>
          <t>InvCooldown</t>
        </is>
      </c>
      <c r="R2772" s="5" t="inlineStr">
        <is>
          <t>CastsInFight</t>
        </is>
      </c>
      <c r="S2772" s="5" t="inlineStr">
        <is>
          <t>HitRate(perSec)</t>
        </is>
      </c>
      <c r="U2772" t="inlineStr">
        <is>
          <t>helpers</t>
        </is>
      </c>
    </row>
    <row r="2773">
      <c r="A2773">
        <f>Skills!A2</f>
        <v/>
      </c>
      <c r="B2773">
        <f>Skills!B2</f>
        <v/>
      </c>
      <c r="C2773">
        <f>Inputs!$B$3&gt;=100</f>
        <v/>
      </c>
      <c r="D2773" t="inlineStr"/>
      <c r="E2773" t="inlineStr"/>
      <c r="F2773">
        <f>U2775+Skills!O2</f>
        <v/>
      </c>
      <c r="G2773">
        <f>Skills!G2*IF(Skills!H2&gt;0,Skills!I2/Skills!H2,1)</f>
        <v/>
      </c>
      <c r="H2773">
        <f>1-(1-Skills!J2/100)^Skills!K2</f>
        <v/>
      </c>
      <c r="I2773" t="inlineStr">
        <is>
          <t>1</t>
        </is>
      </c>
      <c r="J2773">
        <f>((Inputs!$B$6*(1+Inputs!$B$7/100))+(((Inputs!$B$12*(1+Inputs!$B$13/100))-(Inputs!$B$12*(1+Inputs!$B$13/100)))+0.25*(Inputs!$B$14-Inputs!$B$14))*(1+Inputs!$B$7/100))*(F2773/100)</f>
        <v/>
      </c>
      <c r="K2773">
        <f>J2773*(1+((Inputs!$B$12*(1+Inputs!$B$13/100))*0.01+Inputs!$B$14*0.0025)/100)*(1+Inputs!$B$15/100)*(1+Inputs!$B$16/100)*(5000/(6000+Inputs!$B$42*(1-(100*(1-(1-(Inputs!$B$19+0)/100)*(1-CHOOSE(ArtifactsInput!$N$40+1,5,6,7,8,9,10)/100)^(ArtifactsInput!$M$40-ArtifactsInput!$M$40)))/100)))*(1+(Inputs!$B$24+((C2795=TRUE)*(F2795-Calc!F24))+((C2796=TRUE)*(F2796-Calc!F25))+B2809)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EMPOWERED_PIERCING_ARROW",Inputs!$B$17+((C2793=TRUE)*(F2793-Calc!F22))+(((IF(AND(ArtifactsInput!$M$42,((Inputs!$B$9+((C2790=TRUE)*(F2790-Calc!F19))+B2803+(ArtifactsInput!$M$24-ArtifactsInput!$M$24)*CHOOSE(ArtifactsInput!$N$24+1,10,12,14,16,18,20)+IF(ArtifactsInput!$M$10,CHOOSE(ArtifactsInput!$N$10+1,15,18,21,24,27,30)*(IF(Inputs!$B$38="pvp",MIN(15,15)/15,IF(AND(Inputs!$B$38&lt;&gt;"pvp",Inputs!$B$43&gt;0),MIN(15,Inputs!$B$43)/(Inputs!$B$43),0))),0)))&gt;=100),MIN(100,((Inputs!$B$9+((C2790=TRUE)*(F2790-Calc!F19))+B2803+(ArtifactsInput!$M$24-ArtifactsInput!$M$24)*CHOOSE(ArtifactsInput!$N$24+1,10,12,14,16,18,20)+IF(ArtifactsInput!$M$10,CHOOSE(ArtifactsInput!$N$10+1,15,18,21,24,27,30)*(IF(Inputs!$B$38="pvp",MIN(15,15)/15,IF(AND(Inputs!$B$38&lt;&gt;"pvp",Inputs!$B$43&gt;0),MIN(15,Inputs!$B$43)/(Inputs!$B$43),0))),0)))-100),0))*CHOOSE(ArtifactsInput!$N$42+1,0.6,0.72,0.84,0.96,1.08,1.2))),Inputs!$B$18+((C2798=TRUE)*(F2798-Calc!F27))+(IF(AND(ArtifactsInput!$M$42,((Inputs!$B$9+((C2790=TRUE)*(F2790-Calc!F19))+B2803+(ArtifactsInput!$M$24-ArtifactsInput!$M$24)*CHOOSE(ArtifactsInput!$N$24+1,10,12,14,16,18,20)+IF(ArtifactsInput!$M$10,CHOOSE(ArtifactsInput!$N$10+1,15,18,21,24,27,30)*(IF(Inputs!$B$38="pvp",MIN(15,15)/15,IF(AND(Inputs!$B$38&lt;&gt;"pvp",Inputs!$B$43&gt;0),MIN(15,Inputs!$B$43)/(Inputs!$B$43),0))),0)))&gt;=100),CHOOSE(ArtifactsInput!$N$42+1,40,48,56,64,72,80),0))))/100)*((1+(((C2784=TRUE)*F2784)+((C2785=TRUE)*IF(Inputs!$B$38="pvp",F2785,(1-Summary!$B$11)*(F2785)+Summary!$B$11*(0)))+((C2786=TRUE)*F2786*IF(AND(Inputs!$B$38&lt;&gt;"pvp",Inputs!$B$43&gt;0),(((R2786-1)*(Skills!T15*(1+Inputs!$B$34/100))+MIN((Skills!T15*(1+Inputs!$B$34/100)),MAX(0,Inputs!$B$43-((R2786-1)*Skills!D15))))/Inputs!$B$43),IF(Inputs!$B$38="pvp",MIN((Skills!T15*(1+Inputs!$B$34/100)),15)/15,(Skills!T15*(1+Inputs!$B$34/100))/Skills!D15)))+((C2783=TRUE)*F2783)+((C2800=TRUE)*(F2800-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IF(ArtifactsInput!$M$41,FALSE,TRUE),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2773)</f>
        <v/>
      </c>
      <c r="L2773">
        <f>K2773*(MIN(Inputs!$B$22+((C2794=TRUE)*(F2794-Calc!F23)),(Inputs!$B$23+((C2799=TRUE)*(F2799-Calc!F28))+(IF(ArtifactsInput!$M$15,CHOOSE(ArtifactsInput!$N$15+1,25,30,35,40,45,50)/100*(Inputs!$B$11-Inputs!$B$11),0))))/100+(Inputs!$B$23+((C2799=TRUE)*(F2799-Calc!F28))+(IF(ArtifactsInput!$M$15,CHOOSE(ArtifactsInput!$N$15+1,25,30,35,40,45,50)/100*(Inputs!$B$11-Inputs!$B$11),0)))/100)/2</f>
        <v/>
      </c>
      <c r="M2773">
        <f>L2773*(1+(Inputs!$B$10+0+B2808+(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773">
        <f>L2773*(1-MIN((Inputs!$B$9+((C2790=TRUE)*(F2790-Calc!F19))+B2803+(ArtifactsInput!$M$24-ArtifactsInput!$M$24)*CHOOSE(ArtifactsInput!$N$24+1,10,12,14,16,18,20)+(IF(AND(ArtifactsInput!$M$42,((Inputs!$B$9+((C2790=TRUE)*(F2790-Calc!F19))+B2803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2773*(MIN((Inputs!$B$9+((C2790=TRUE)*(F2790-Calc!F19))+B2803+(ArtifactsInput!$M$24-ArtifactsInput!$M$24)*CHOOSE(ArtifactsInput!$N$24+1,10,12,14,16,18,20)+(IF(AND(ArtifactsInput!$M$42,((Inputs!$B$9+((C2790=TRUE)*(F2790-Calc!F19))+B2803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773">
        <f>(1-Summary!$B$11)*T2773+Summary!$B$11*V2773</f>
        <v/>
      </c>
      <c r="P2773">
        <f>IF(B2813=0,0,O2773/B2813)</f>
        <v/>
      </c>
      <c r="Q2773" t="n">
        <v>0</v>
      </c>
      <c r="R2773" t="n">
        <v>0</v>
      </c>
      <c r="S2773">
        <f>IFERROR((Skills!G2*N2773*B2807)/N2773*IF(Inputs!$B$38="pvp",1,(1-Summary!$B$11)*1+Summary!$B$11*(MIN((6+Inputs!$B$33),Inputs!$B$37))),0)</f>
        <v/>
      </c>
      <c r="T2773">
        <f>IF(C2773,(Skills!G2*N2773*B2807)*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Hunt"),CHOOSE(ArtifactsInput!$N$35+1,15,18,21,24,27,30)*(1-EXP(-(0.2*B2805)*5)),0)+IF(AND(ArtifactsInput!$M$22,Inputs!$B$4&lt;&gt;"Chapter Hunt"),CHOOSE(ArtifactsInput!$N$22+1,10,12,14,16,18,20)*((0*(((0.15*B2805*5))^0/1)+1*(((0.15*B2805*5))^1/1)+2*(((0.15*B2805*5))^2/2)+3*(((0.15*B2805*5))^3/6)+4*(((0.15*B2805*5))^4/24)+5*(((0.15*B2805*5))^5/120))/((((0.15*B2805*5))^0/1)+(((0.15*B2805*5))^1/1)+(((0.15*B2805*5))^2/2)+(((0.15*B2805*5))^3/6)+(((0.15*B2805*5))^4/24)+(((0.15*B2805*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2773*(1-MIN(100,(Inputs!$B$9+((C2790=TRUE)*(F2790-Calc!F19))+B2803+(ArtifactsInput!$M$24-ArtifactsInput!$M$24)*CHOOSE(ArtifactsInput!$N$24+1,10,12,14,16,18,20)+(IF(AND(ArtifactsInput!$M$42,((Inputs!$B$9+((C2790=TRUE)*(F2790-Calc!F19))+B2803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2773*(MIN(100,(Inputs!$B$9+((C2790=TRUE)*(F2790-Calc!F19))+B2803+(ArtifactsInput!$M$24-ArtifactsInput!$M$24)*CHOOSE(ArtifactsInput!$N$24+1,10,12,14,16,18,20)+(IF(AND(ArtifactsInput!$M$42,((Inputs!$B$9+((C2790=TRUE)*(F2790-Calc!F19))+B2803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2773*(1-MIN(100,(Inputs!$B$9+((C2790=TRUE)*(F2790-Calc!F19))+B2803+(ArtifactsInput!$M$24-ArtifactsInput!$M$24)*CHOOSE(ArtifactsInput!$N$24+1,10,12,14,16,18,20)+(IF(AND(ArtifactsInput!$M$42,((Inputs!$B$9+((C2790=TRUE)*(F2790-Calc!F19))+B2803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2773*(MIN(100,(Inputs!$B$9+((C2790=TRUE)*(F2790-Calc!F19))+B2803+(ArtifactsInput!$M$24-ArtifactsInput!$M$24)*CHOOSE(ArtifactsInput!$N$24+1,10,12,14,16,18,20)+(IF(AND(ArtifactsInput!$M$42,((Inputs!$B$9+((C2790=TRUE)*(F2790-Calc!F19))+B2803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773">
        <f>MAX(0,(Inputs!$B$3-100)*3)+Inputs!$B$28+Inputs!$B$29</f>
        <v/>
      </c>
      <c r="V2773">
        <f>IF(C2773,(Skills!G2*N2773*B2807)*IF(Inputs!$B$38="pvp",1,(1+(Inputs!$B$21+Skills!Q2+(IF(ArtifactsInput!$M$33,CHOOSE(ArtifactsInput!$N$33+1,30,36,42,48,54,60),0))+(IF(AND(ArtifactsInput!$M$35,Inputs!$B$4&lt;&gt;"Chapter Hunt"),CHOOSE(ArtifactsInput!$N$35+1,15,18,21,24,27,30)*(1-EXP(-(0.2*B2805)*5)),0)+IF(AND(ArtifactsInput!$M$22,Inputs!$B$4&lt;&gt;"Chapter Hunt"),CHOOSE(ArtifactsInput!$N$22+1,10,12,14,16,18,20)*((0*(((0.15*B2805*5))^0/1)+1*(((0.15*B2805*5))^1/1)+2*(((0.15*B2805*5))^2/2)+3*(((0.15*B2805*5))^3/6)+4*(((0.15*B2805*5))^4/24)+5*(((0.15*B2805*5))^5/120))/((((0.15*B2805*5))^0/1)+(((0.15*B2805*5))^1/1)+(((0.15*B2805*5))^2/2)+(((0.15*B2805*5))^3/6)+(((0.15*B2805*5))^4/24)+(((0.15*B2805*5))^5/120))),0)))/100)*(MIN((6+Inputs!$B$33),Inputs!$B$37)))*((1+(IF(AND(IF(ArtifactsInput!$M$41,FALSE,TRUE),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774">
      <c r="A2774">
        <f>Skills!A3</f>
        <v/>
      </c>
      <c r="B2774">
        <f>Skills!B3</f>
        <v/>
      </c>
      <c r="C2774">
        <f>Inputs!$B$3&gt;=50</f>
        <v/>
      </c>
      <c r="D2774">
        <f>IF(Skills!C3=1,60+Inputs!$B$25+Inputs!$B$29,IF(Skills!C3=2,90+Inputs!$B$26+Inputs!$B$29,IF(Skills!C3=3,120+Inputs!$B$27+Inputs!$B$29,MAX(0,(Inputs!$B$3-100)*3)+Inputs!$B$28+Inputs!$B$29)))</f>
        <v/>
      </c>
      <c r="E2774">
        <f>INDEX(FactorTable!$B$2:$Y$301, MATCH(ROUND(MIN(300,MAX(1,D2774)),0), FactorTable!$A$2:$A$301,0), Skills!M3+1)</f>
        <v/>
      </c>
      <c r="F2774">
        <f>IF(Skills!N3=TRUE,(Skills!L3/10)*(E2774/1000),Skills!L3/10)+Skills!O3</f>
        <v/>
      </c>
      <c r="G2774" t="inlineStr"/>
      <c r="H2774" t="inlineStr"/>
      <c r="I2774" t="inlineStr">
        <is>
          <t>1</t>
        </is>
      </c>
      <c r="J2774" t="inlineStr"/>
      <c r="K2774" t="inlineStr"/>
      <c r="L2774" t="inlineStr"/>
      <c r="M2774" t="inlineStr"/>
      <c r="N2774" t="inlineStr"/>
      <c r="O2774" t="inlineStr"/>
      <c r="P2774" t="inlineStr"/>
      <c r="Q2774" t="inlineStr"/>
      <c r="R2774" t="inlineStr"/>
      <c r="S2774" t="inlineStr"/>
      <c r="T2774" t="inlineStr"/>
      <c r="U2774">
        <f>INDEX(FactorTable!$B$2:$Y$301, MATCH(ROUND(MIN(300,MAX(1,U2773)),0), FactorTable!$A$2:$A$301,0), 22)</f>
        <v/>
      </c>
      <c r="V2774" t="inlineStr"/>
    </row>
    <row r="2775">
      <c r="A2775">
        <f>Skills!A4</f>
        <v/>
      </c>
      <c r="B2775">
        <f>Skills!B4</f>
        <v/>
      </c>
      <c r="C2775">
        <f>Inputs!$B$3&gt;=105</f>
        <v/>
      </c>
      <c r="D2775">
        <f>IF(Skills!C4=1,60+Inputs!$B$25+Inputs!$B$29,IF(Skills!C4=2,90+Inputs!$B$26+Inputs!$B$29,IF(Skills!C4=3,120+Inputs!$B$27+Inputs!$B$29,MAX(0,(Inputs!$B$3-100)*3)+Inputs!$B$28+Inputs!$B$29)))</f>
        <v/>
      </c>
      <c r="E2775">
        <f>INDEX(FactorTable!$B$2:$Y$301, MATCH(ROUND(MIN(300,MAX(1,D2775)),0), FactorTable!$A$2:$A$301,0), Skills!M4+1)</f>
        <v/>
      </c>
      <c r="F2775">
        <f>IF(Skills!N4=TRUE,(Skills!L4/10)*(E2775/1000),Skills!L4/10)+Skills!O4</f>
        <v/>
      </c>
      <c r="G2775" t="inlineStr"/>
      <c r="H2775" t="inlineStr"/>
      <c r="I2775" t="inlineStr">
        <is>
          <t>1</t>
        </is>
      </c>
      <c r="J2775" t="inlineStr"/>
      <c r="K2775" t="inlineStr"/>
      <c r="L2775" t="inlineStr"/>
      <c r="M2775" t="inlineStr"/>
      <c r="N2775" t="inlineStr"/>
      <c r="O2775" t="inlineStr"/>
      <c r="P2775" t="inlineStr"/>
      <c r="Q2775" t="inlineStr"/>
      <c r="R2775" t="inlineStr"/>
      <c r="S2775" t="inlineStr"/>
      <c r="T2775" t="inlineStr"/>
      <c r="U2775">
        <f>290*U2774/1000</f>
        <v/>
      </c>
      <c r="V2775" t="inlineStr"/>
    </row>
    <row r="2776">
      <c r="A2776">
        <f>Skills!A5</f>
        <v/>
      </c>
      <c r="B2776">
        <f>Skills!B5</f>
        <v/>
      </c>
      <c r="C2776">
        <f>Inputs!$B$3&gt;=35</f>
        <v/>
      </c>
      <c r="D2776">
        <f>IF(Skills!C5=1,60+Inputs!$B$25+Inputs!$B$29,IF(Skills!C5=2,90+Inputs!$B$26+Inputs!$B$29,IF(Skills!C5=3,120+Inputs!$B$27+Inputs!$B$29,MAX(0,(Inputs!$B$3-100)*3)+Inputs!$B$28+Inputs!$B$29)))</f>
        <v/>
      </c>
      <c r="E2776">
        <f>INDEX(FactorTable!$B$2:$Y$301, MATCH(ROUND(MIN(300,MAX(1,D2776)),0), FactorTable!$A$2:$A$301,0), Skills!M5+1)</f>
        <v/>
      </c>
      <c r="F2776">
        <f>IF(Skills!N5=TRUE,(Skills!L5/10)*(E2776/1000),Skills!L5/10)+Skills!O5</f>
        <v/>
      </c>
      <c r="G2776">
        <f>Skills!G5*IF(Skills!H5&gt;0,Skills!I5/Skills!H5,1)</f>
        <v/>
      </c>
      <c r="H2776">
        <f>1-(1-Skills!J5/100)^Skills!K5</f>
        <v/>
      </c>
      <c r="I2776" t="inlineStr">
        <is>
          <t>1</t>
        </is>
      </c>
      <c r="J2776">
        <f>((Inputs!$B$6*(1+Inputs!$B$7/100))+(((Inputs!$B$12*(1+Inputs!$B$13/100))-(Inputs!$B$12*(1+Inputs!$B$13/100)))+0.25*(Inputs!$B$14-Inputs!$B$14))*(1+Inputs!$B$7/100))*(F2776/100)</f>
        <v/>
      </c>
      <c r="K2776">
        <f>J2776*(1+((Inputs!$B$12*(1+Inputs!$B$13/100))*0.01+Inputs!$B$14*0.0025)/100)*(1+Inputs!$B$15/100)*(1+Inputs!$B$16/100)*(5000/(6000+Inputs!$B$42*(1-(100*(1-(1-(Inputs!$B$19+0)/100)*(1-CHOOSE(ArtifactsInput!$N$40+1,5,6,7,8,9,10)/100)^(ArtifactsInput!$M$40-ArtifactsInput!$M$40)))/100)))*(1+(Inputs!$B$24+((C2795=TRUE)*(F2795-Calc!F24))+((C2796=TRUE)*(F2796-Calc!F25))+B2809)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2779=TRUE,F2779,0)/100)*(1+(IF(Skills!A5="EMPOWERED_PIERCING_ARROW",Inputs!$B$17+((C2793=TRUE)*(F2793-Calc!F22))+(((IF(AND(ArtifactsInput!$M$42,((Inputs!$B$9+((C2790=TRUE)*(F2790-Calc!F19))+B2803+(ArtifactsInput!$M$24-ArtifactsInput!$M$24)*CHOOSE(ArtifactsInput!$N$24+1,10,12,14,16,18,20)+IF(ArtifactsInput!$M$10,CHOOSE(ArtifactsInput!$N$10+1,15,18,21,24,27,30)*(IF(Inputs!$B$38="pvp",MIN(15,15)/15,IF(AND(Inputs!$B$38&lt;&gt;"pvp",Inputs!$B$43&gt;0),MIN(15,Inputs!$B$43)/(Inputs!$B$43),0))),0)))&gt;=100),MIN(100,((Inputs!$B$9+((C2790=TRUE)*(F2790-Calc!F19))+B2803+(ArtifactsInput!$M$24-ArtifactsInput!$M$24)*CHOOSE(ArtifactsInput!$N$24+1,10,12,14,16,18,20)+IF(ArtifactsInput!$M$10,CHOOSE(ArtifactsInput!$N$10+1,15,18,21,24,27,30)*(IF(Inputs!$B$38="pvp",MIN(15,15)/15,IF(AND(Inputs!$B$38&lt;&gt;"pvp",Inputs!$B$43&gt;0),MIN(15,Inputs!$B$43)/(Inputs!$B$43),0))),0)))-100),0))*CHOOSE(ArtifactsInput!$N$42+1,0.6,0.72,0.84,0.96,1.08,1.2))),Inputs!$B$18+((C2798=TRUE)*(F2798-Calc!F27))+(IF(AND(ArtifactsInput!$M$42,((Inputs!$B$9+((C2790=TRUE)*(F2790-Calc!F19))+B2803+(ArtifactsInput!$M$24-ArtifactsInput!$M$24)*CHOOSE(ArtifactsInput!$N$24+1,10,12,14,16,18,20)+IF(ArtifactsInput!$M$10,CHOOSE(ArtifactsInput!$N$10+1,15,18,21,24,27,30)*(IF(Inputs!$B$38="pvp",MIN(15,15)/15,IF(AND(Inputs!$B$38&lt;&gt;"pvp",Inputs!$B$43&gt;0),MIN(15,Inputs!$B$43)/(Inputs!$B$43),0))),0)))&gt;=100),CHOOSE(ArtifactsInput!$N$42+1,40,48,56,64,72,80),0))))/100)*((1+(((C2784=TRUE)*F2784)+((C2785=TRUE)*IF(Inputs!$B$38="pvp",F2785,(1-Summary!$B$11)*(F2785)+Summary!$B$11*(0)))+((C2786=TRUE)*F2786*IF(AND(Inputs!$B$38&lt;&gt;"pvp",Inputs!$B$43&gt;0),(((R2786-1)*(Skills!T15*(1+Inputs!$B$34/100))+MIN((Skills!T15*(1+Inputs!$B$34/100)),MAX(0,Inputs!$B$43-((R2786-1)*Skills!D15))))/Inputs!$B$43),IF(Inputs!$B$38="pvp",MIN((Skills!T15*(1+Inputs!$B$34/100)),15)/15,(Skills!T15*(1+Inputs!$B$34/100))/Skills!D15)))+((C2783=TRUE)*F2783)+((C2800=TRUE)*(F2800-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IF(ArtifactsInput!$M$41,FALSE,TRUE),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2776)</f>
        <v/>
      </c>
      <c r="L2776">
        <f>K2776*(MIN(Inputs!$B$22+((C2794=TRUE)*(F2794-Calc!F23)),(Inputs!$B$23+((C2799=TRUE)*(F2799-Calc!F28))+(IF(ArtifactsInput!$M$15,CHOOSE(ArtifactsInput!$N$15+1,25,30,35,40,45,50)/100*(Inputs!$B$11-Inputs!$B$11),0))))/100+(Inputs!$B$23+((C2799=TRUE)*(F2799-Calc!F28))+(IF(ArtifactsInput!$M$15,CHOOSE(ArtifactsInput!$N$15+1,25,30,35,40,45,50)/100*(Inputs!$B$11-Inputs!$B$11),0)))/100)/2</f>
        <v/>
      </c>
      <c r="M2776">
        <f>L2776*(1+(Inputs!$B$10+0+B2808+(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776">
        <f>L2776*(1-MIN((Inputs!$B$9+((C2790=TRUE)*(F2790-Calc!F19))+B2803+(ArtifactsInput!$M$24-ArtifactsInput!$M$24)*CHOOSE(ArtifactsInput!$N$24+1,10,12,14,16,18,20)+(IF(AND(ArtifactsInput!$M$42,((Inputs!$B$9+((C2790=TRUE)*(F2790-Calc!F19))+B2803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2776*(MIN((Inputs!$B$9+((C2790=TRUE)*(F2790-Calc!F19))+B2803+(ArtifactsInput!$M$24-ArtifactsInput!$M$24)*CHOOSE(ArtifactsInput!$N$24+1,10,12,14,16,18,20)+(IF(AND(ArtifactsInput!$M$42,((Inputs!$B$9+((C2790=TRUE)*(F2790-Calc!F19))+B2803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776">
        <f>(1-Summary!$B$11)*T2776+Summary!$B$11*V2776</f>
        <v/>
      </c>
      <c r="P2776">
        <f>IF(B2813=0,0,O2776/B2813)</f>
        <v/>
      </c>
      <c r="Q2776">
        <f>IFERROR(1/IF(Inputs!$B$38="pvp",15,MAX(0.1,Skills!D5-IF(Skills!E5=TRUE,Inputs!$B$32,0))),0)</f>
        <v/>
      </c>
      <c r="R2776">
        <f>IF(AND(Inputs!$B$38&lt;&gt;"pvp",Inputs!$B$43&gt;0),IF(MAX(0,Inputs!$B$43-B2810)&lt;=0,0,(INT(MAX(0,Inputs!$B$43-B2810)/IF(Inputs!$B$38="pvp",15,MAX(0.1,Skills!D5-IF(Skills!E5=TRUE,Inputs!$B$32,0))))+1)),0)</f>
        <v/>
      </c>
      <c r="S2776">
        <f>IFERROR((H2776*N2776*IF(AND(Inputs!$B$38&lt;&gt;"pvp",Inputs!$B$43&gt;0),((Skills!G5*((R2776-1)*IF(Skills!H5&gt;0,Skills!I5/Skills!H5,1)+IF(Skills!H5&gt;0,MIN(Skills!I5,MAX(0,MAX(0,Inputs!$B$43-B2810)-((R2776-1)*IF(Inputs!$B$38="pvp",15,MAX(0.1,Skills!D5-IF(Skills!E5=TRUE,Inputs!$B$32,0))))))/Skills!H5,1)))/Inputs!$B$43),G2776*Q2776))/N2776*IF(Inputs!$B$38="pvp",1,(1-Summary!$B$11)*1+Summary!$B$11*(MIN(Skills!R5,Inputs!$B$37))),0)</f>
        <v/>
      </c>
      <c r="T2776">
        <f>IF(C2776,(H2776*N2776*IF(AND(Inputs!$B$38&lt;&gt;"pvp",Inputs!$B$43&gt;0),((Skills!G5*((R2776-1)*IF(Skills!H5&gt;0,Skills!I5/Skills!H5,1)+IF(Skills!H5&gt;0,MIN(Skills!I5,MAX(0,MAX(0,Inputs!$B$43-B2810)-((R2776-1)*IF(Inputs!$B$38="pvp",15,MAX(0.1,Skills!D5-IF(Skills!E5=TRUE,Inputs!$B$32,0))))))/Skills!H5,1)))/Inputs!$B$43),G2776*Q2776))*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Hunt"),CHOOSE(ArtifactsInput!$N$35+1,15,18,21,24,27,30)*(1-EXP(-(0.2*B2805)*5)),0)+IF(AND(ArtifactsInput!$M$22,Inputs!$B$4&lt;&gt;"Chapter Hunt"),CHOOSE(ArtifactsInput!$N$22+1,10,12,14,16,18,20)*((0*(((0.15*B2805*5))^0/1)+1*(((0.15*B2805*5))^1/1)+2*(((0.15*B2805*5))^2/2)+3*(((0.15*B2805*5))^3/6)+4*(((0.15*B2805*5))^4/24)+5*(((0.15*B2805*5))^5/120))/((((0.15*B2805*5))^0/1)+(((0.15*B2805*5))^1/1)+(((0.15*B2805*5))^2/2)+(((0.15*B2805*5))^3/6)+(((0.15*B2805*5))^4/24)+(((0.15*B2805*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2776*(1-MIN(100,(Inputs!$B$9+((C2790=TRUE)*(F2790-Calc!F19))+B2803+(ArtifactsInput!$M$24-ArtifactsInput!$M$24)*CHOOSE(ArtifactsInput!$N$24+1,10,12,14,16,18,20)+(IF(AND(ArtifactsInput!$M$42,((Inputs!$B$9+((C2790=TRUE)*(F2790-Calc!F19))+B2803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2776*(MIN(100,(Inputs!$B$9+((C2790=TRUE)*(F2790-Calc!F19))+B2803+(ArtifactsInput!$M$24-ArtifactsInput!$M$24)*CHOOSE(ArtifactsInput!$N$24+1,10,12,14,16,18,20)+(IF(AND(ArtifactsInput!$M$42,((Inputs!$B$9+((C2790=TRUE)*(F2790-Calc!F19))+B2803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2776*(1-MIN(100,(Inputs!$B$9+((C2790=TRUE)*(F2790-Calc!F19))+B2803+(ArtifactsInput!$M$24-ArtifactsInput!$M$24)*CHOOSE(ArtifactsInput!$N$24+1,10,12,14,16,18,20)+(IF(AND(ArtifactsInput!$M$42,((Inputs!$B$9+((C2790=TRUE)*(F2790-Calc!F19))+B2803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2776*(MIN(100,(Inputs!$B$9+((C2790=TRUE)*(F2790-Calc!F19))+B2803+(ArtifactsInput!$M$24-ArtifactsInput!$M$24)*CHOOSE(ArtifactsInput!$N$24+1,10,12,14,16,18,20)+(IF(AND(ArtifactsInput!$M$42,((Inputs!$B$9+((C2790=TRUE)*(F2790-Calc!F19))+B2803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776">
        <f>IF(C2776,(H2776*N2776*IF(AND(Inputs!$B$38&lt;&gt;"pvp",Inputs!$B$43&gt;0),((Skills!G5*((R2776-1)*IF(Skills!H5&gt;0,Skills!I5/Skills!H5,1)+IF(Skills!H5&gt;0,MIN(Skills!I5,MAX(0,MAX(0,Inputs!$B$43-B2810)-((R2776-1)*IF(Inputs!$B$38="pvp",15,MAX(0.1,Skills!D5-IF(Skills!E5=TRUE,Inputs!$B$32,0))))))/Skills!H5,1)))/Inputs!$B$43),G2776*Q2776))*IF(Inputs!$B$38="pvp",1,(1+(Inputs!$B$21+Skills!Q5+(IF(ArtifactsInput!$M$33,CHOOSE(ArtifactsInput!$N$33+1,30,36,42,48,54,60),0))+(IF(AND(ArtifactsInput!$M$35,Inputs!$B$4&lt;&gt;"Chapter Hunt"),CHOOSE(ArtifactsInput!$N$35+1,15,18,21,24,27,30)*(1-EXP(-(0.2*B2805)*5)),0)+IF(AND(ArtifactsInput!$M$22,Inputs!$B$4&lt;&gt;"Chapter Hunt"),CHOOSE(ArtifactsInput!$N$22+1,10,12,14,16,18,20)*((0*(((0.15*B2805*5))^0/1)+1*(((0.15*B2805*5))^1/1)+2*(((0.15*B2805*5))^2/2)+3*(((0.15*B2805*5))^3/6)+4*(((0.15*B2805*5))^4/24)+5*(((0.15*B2805*5))^5/120))/((((0.15*B2805*5))^0/1)+(((0.15*B2805*5))^1/1)+(((0.15*B2805*5))^2/2)+(((0.15*B2805*5))^3/6)+(((0.15*B2805*5))^4/24)+(((0.15*B2805*5))^5/120))),0)))/100)*(MIN(Skills!R5,Inputs!$B$37)))*((1+(IF(AND(IF(ArtifactsInput!$M$41,FALSE,TRUE),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777">
      <c r="A2777">
        <f>Skills!A6</f>
        <v/>
      </c>
      <c r="B2777">
        <f>Skills!B6</f>
        <v/>
      </c>
      <c r="C2777">
        <f>Inputs!$B$3&gt;=63</f>
        <v/>
      </c>
      <c r="D2777">
        <f>IF(Skills!C6=1,60+Inputs!$B$25+Inputs!$B$29,IF(Skills!C6=2,90+Inputs!$B$26+Inputs!$B$29,IF(Skills!C6=3,120+Inputs!$B$27+Inputs!$B$29,MAX(0,(Inputs!$B$3-100)*3)+Inputs!$B$28+Inputs!$B$29)))</f>
        <v/>
      </c>
      <c r="E2777">
        <f>INDEX(FactorTable!$B$2:$Y$301, MATCH(ROUND(MIN(300,MAX(1,D2777)),0), FactorTable!$A$2:$A$301,0), Skills!M6+1)</f>
        <v/>
      </c>
      <c r="F2777">
        <f>IF(Skills!N6=TRUE,(Skills!L6/10)*(E2777/1000),Skills!L6/10)+Skills!O6</f>
        <v/>
      </c>
      <c r="G2777">
        <f>Skills!G6*IF(Skills!H6&gt;0,Skills!I6/Skills!H6,1)</f>
        <v/>
      </c>
      <c r="H2777">
        <f>1-(1-Skills!J6/100)^Skills!K6</f>
        <v/>
      </c>
      <c r="I2777" t="inlineStr">
        <is>
          <t>1</t>
        </is>
      </c>
      <c r="J2777">
        <f>((Inputs!$B$6*(1+Inputs!$B$7/100))+(((Inputs!$B$12*(1+Inputs!$B$13/100))-(Inputs!$B$12*(1+Inputs!$B$13/100)))+0.25*(Inputs!$B$14-Inputs!$B$14))*(1+Inputs!$B$7/100))*(F2777/100)</f>
        <v/>
      </c>
      <c r="K2777">
        <f>J2777*(1+((Inputs!$B$12*(1+Inputs!$B$13/100))*0.01+Inputs!$B$14*0.0025)/100)*(1+Inputs!$B$15/100)*(1+Inputs!$B$16/100)*(5000/(6000+Inputs!$B$42*(1-(100*(1-(1-(Inputs!$B$19+0)/100)*(1-CHOOSE(ArtifactsInput!$N$40+1,5,6,7,8,9,10)/100)^(ArtifactsInput!$M$40-ArtifactsInput!$M$40)))/100)))*(1+(Inputs!$B$24+((C2795=TRUE)*(F2795-Calc!F24))+((C2796=TRUE)*(F2796-Calc!F25))+B2809)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2779=TRUE,F2779,0)/100)*(1+(IF(Skills!A6="EMPOWERED_PIERCING_ARROW",Inputs!$B$17+((C2793=TRUE)*(F2793-Calc!F22))+(((IF(AND(ArtifactsInput!$M$42,((Inputs!$B$9+((C2790=TRUE)*(F2790-Calc!F19))+B2803+(ArtifactsInput!$M$24-ArtifactsInput!$M$24)*CHOOSE(ArtifactsInput!$N$24+1,10,12,14,16,18,20)+IF(ArtifactsInput!$M$10,CHOOSE(ArtifactsInput!$N$10+1,15,18,21,24,27,30)*(IF(Inputs!$B$38="pvp",MIN(15,15)/15,IF(AND(Inputs!$B$38&lt;&gt;"pvp",Inputs!$B$43&gt;0),MIN(15,Inputs!$B$43)/(Inputs!$B$43),0))),0)))&gt;=100),MIN(100,((Inputs!$B$9+((C2790=TRUE)*(F2790-Calc!F19))+B2803+(ArtifactsInput!$M$24-ArtifactsInput!$M$24)*CHOOSE(ArtifactsInput!$N$24+1,10,12,14,16,18,20)+IF(ArtifactsInput!$M$10,CHOOSE(ArtifactsInput!$N$10+1,15,18,21,24,27,30)*(IF(Inputs!$B$38="pvp",MIN(15,15)/15,IF(AND(Inputs!$B$38&lt;&gt;"pvp",Inputs!$B$43&gt;0),MIN(15,Inputs!$B$43)/(Inputs!$B$43),0))),0)))-100),0))*CHOOSE(ArtifactsInput!$N$42+1,0.6,0.72,0.84,0.96,1.08,1.2))),Inputs!$B$18+((C2798=TRUE)*(F2798-Calc!F27))+(IF(AND(ArtifactsInput!$M$42,((Inputs!$B$9+((C2790=TRUE)*(F2790-Calc!F19))+B2803+(ArtifactsInput!$M$24-ArtifactsInput!$M$24)*CHOOSE(ArtifactsInput!$N$24+1,10,12,14,16,18,20)+IF(ArtifactsInput!$M$10,CHOOSE(ArtifactsInput!$N$10+1,15,18,21,24,27,30)*(IF(Inputs!$B$38="pvp",MIN(15,15)/15,IF(AND(Inputs!$B$38&lt;&gt;"pvp",Inputs!$B$43&gt;0),MIN(15,Inputs!$B$43)/(Inputs!$B$43),0))),0)))&gt;=100),CHOOSE(ArtifactsInput!$N$42+1,40,48,56,64,72,80),0))))/100)*((1+(((C2784=TRUE)*F2784)+((C2785=TRUE)*IF(Inputs!$B$38="pvp",F2785,(1-Summary!$B$11)*(F2785)+Summary!$B$11*(0)))+((C2786=TRUE)*F2786*IF(AND(Inputs!$B$38&lt;&gt;"pvp",Inputs!$B$43&gt;0),(((R2786-1)*(Skills!T15*(1+Inputs!$B$34/100))+MIN((Skills!T15*(1+Inputs!$B$34/100)),MAX(0,Inputs!$B$43-((R2786-1)*Skills!D15))))/Inputs!$B$43),IF(Inputs!$B$38="pvp",MIN((Skills!T15*(1+Inputs!$B$34/100)),15)/15,(Skills!T15*(1+Inputs!$B$34/100))/Skills!D15)))+((C2783=TRUE)*F2783)+((C2800=TRUE)*(F2800-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IF(ArtifactsInput!$M$41,FALSE,TRUE),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2777)</f>
        <v/>
      </c>
      <c r="L2777">
        <f>K2777*(MIN(Inputs!$B$22+((C2794=TRUE)*(F2794-Calc!F23)),(Inputs!$B$23+((C2799=TRUE)*(F2799-Calc!F28))+(IF(ArtifactsInput!$M$15,CHOOSE(ArtifactsInput!$N$15+1,25,30,35,40,45,50)/100*(Inputs!$B$11-Inputs!$B$11),0))))/100+(Inputs!$B$23+((C2799=TRUE)*(F2799-Calc!F28))+(IF(ArtifactsInput!$M$15,CHOOSE(ArtifactsInput!$N$15+1,25,30,35,40,45,50)/100*(Inputs!$B$11-Inputs!$B$11),0)))/100)/2</f>
        <v/>
      </c>
      <c r="M2777">
        <f>L2777*(1+(Inputs!$B$10+0+B2808+(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777">
        <f>L2777*(1-MIN((Inputs!$B$9+((C2790=TRUE)*(F2790-Calc!F19))+B2803+(ArtifactsInput!$M$24-ArtifactsInput!$M$24)*CHOOSE(ArtifactsInput!$N$24+1,10,12,14,16,18,20)+(IF(AND(ArtifactsInput!$M$42,((Inputs!$B$9+((C2790=TRUE)*(F2790-Calc!F19))+B2803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2777*(MIN((Inputs!$B$9+((C2790=TRUE)*(F2790-Calc!F19))+B2803+(ArtifactsInput!$M$24-ArtifactsInput!$M$24)*CHOOSE(ArtifactsInput!$N$24+1,10,12,14,16,18,20)+(IF(AND(ArtifactsInput!$M$42,((Inputs!$B$9+((C2790=TRUE)*(F2790-Calc!F19))+B2803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777">
        <f>(1-Summary!$B$11)*T2777+Summary!$B$11*V2777</f>
        <v/>
      </c>
      <c r="P2777">
        <f>IF(B2813=0,0,O2777/B2813)</f>
        <v/>
      </c>
      <c r="Q2777">
        <f>IFERROR(1/IF(Inputs!$B$38="pvp",15,MAX(0.1,Skills!D6-IF(Skills!E6=TRUE,Inputs!$B$32,0))),0)</f>
        <v/>
      </c>
      <c r="R2777">
        <f>IF(AND(Inputs!$B$38&lt;&gt;"pvp",Inputs!$B$43&gt;0),IF(MAX(0,Inputs!$B$43-B2810)&lt;=0,0,(INT(MAX(0,Inputs!$B$43-B2810)/IF(Inputs!$B$38="pvp",15,MAX(0.1,Skills!D6-IF(Skills!E6=TRUE,Inputs!$B$32,0))))+1)),0)</f>
        <v/>
      </c>
      <c r="S2777">
        <f>IFERROR((H2777*N2777*IF(AND(Inputs!$B$38&lt;&gt;"pvp",Inputs!$B$43&gt;0),((Skills!G6*((R2777-1)*IF(Skills!H6&gt;0,Skills!I6/Skills!H6,1)+IF(Skills!H6&gt;0,MIN(Skills!I6,MAX(0,MAX(0,Inputs!$B$43-B2810)-((R2777-1)*IF(Inputs!$B$38="pvp",15,MAX(0.1,Skills!D6-IF(Skills!E6=TRUE,Inputs!$B$32,0))))))/Skills!H6,1)))/Inputs!$B$43),G2777*Q2777))/N2777*IF(Inputs!$B$38="pvp",1,(1-Summary!$B$11)*1+Summary!$B$11*(MIN(Skills!R6,Inputs!$B$37))),0)</f>
        <v/>
      </c>
      <c r="T2777">
        <f>IF(C2777,(H2777*N2777*IF(AND(Inputs!$B$38&lt;&gt;"pvp",Inputs!$B$43&gt;0),((Skills!G6*((R2777-1)*IF(Skills!H6&gt;0,Skills!I6/Skills!H6,1)+IF(Skills!H6&gt;0,MIN(Skills!I6,MAX(0,MAX(0,Inputs!$B$43-B2810)-((R2777-1)*IF(Inputs!$B$38="pvp",15,MAX(0.1,Skills!D6-IF(Skills!E6=TRUE,Inputs!$B$32,0))))))/Skills!H6,1)))/Inputs!$B$43),G2777*Q2777))*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Hunt"),CHOOSE(ArtifactsInput!$N$35+1,15,18,21,24,27,30)*(1-EXP(-(0.2*B2805)*5)),0)+IF(AND(ArtifactsInput!$M$22,Inputs!$B$4&lt;&gt;"Chapter Hunt"),CHOOSE(ArtifactsInput!$N$22+1,10,12,14,16,18,20)*((0*(((0.15*B2805*5))^0/1)+1*(((0.15*B2805*5))^1/1)+2*(((0.15*B2805*5))^2/2)+3*(((0.15*B2805*5))^3/6)+4*(((0.15*B2805*5))^4/24)+5*(((0.15*B2805*5))^5/120))/((((0.15*B2805*5))^0/1)+(((0.15*B2805*5))^1/1)+(((0.15*B2805*5))^2/2)+(((0.15*B2805*5))^3/6)+(((0.15*B2805*5))^4/24)+(((0.15*B2805*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2777*(1-MIN(100,(Inputs!$B$9+((C2790=TRUE)*(F2790-Calc!F19))+B2803+(ArtifactsInput!$M$24-ArtifactsInput!$M$24)*CHOOSE(ArtifactsInput!$N$24+1,10,12,14,16,18,20)+(IF(AND(ArtifactsInput!$M$42,((Inputs!$B$9+((C2790=TRUE)*(F2790-Calc!F19))+B2803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2777*(MIN(100,(Inputs!$B$9+((C2790=TRUE)*(F2790-Calc!F19))+B2803+(ArtifactsInput!$M$24-ArtifactsInput!$M$24)*CHOOSE(ArtifactsInput!$N$24+1,10,12,14,16,18,20)+(IF(AND(ArtifactsInput!$M$42,((Inputs!$B$9+((C2790=TRUE)*(F2790-Calc!F19))+B2803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2777*(1-MIN(100,(Inputs!$B$9+((C2790=TRUE)*(F2790-Calc!F19))+B2803+(ArtifactsInput!$M$24-ArtifactsInput!$M$24)*CHOOSE(ArtifactsInput!$N$24+1,10,12,14,16,18,20)+(IF(AND(ArtifactsInput!$M$42,((Inputs!$B$9+((C2790=TRUE)*(F2790-Calc!F19))+B2803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2777*(MIN(100,(Inputs!$B$9+((C2790=TRUE)*(F2790-Calc!F19))+B2803+(ArtifactsInput!$M$24-ArtifactsInput!$M$24)*CHOOSE(ArtifactsInput!$N$24+1,10,12,14,16,18,20)+(IF(AND(ArtifactsInput!$M$42,((Inputs!$B$9+((C2790=TRUE)*(F2790-Calc!F19))+B2803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777">
        <f>IF(C2777,(H2777*N2777*IF(AND(Inputs!$B$38&lt;&gt;"pvp",Inputs!$B$43&gt;0),((Skills!G6*((R2777-1)*IF(Skills!H6&gt;0,Skills!I6/Skills!H6,1)+IF(Skills!H6&gt;0,MIN(Skills!I6,MAX(0,MAX(0,Inputs!$B$43-B2810)-((R2777-1)*IF(Inputs!$B$38="pvp",15,MAX(0.1,Skills!D6-IF(Skills!E6=TRUE,Inputs!$B$32,0))))))/Skills!H6,1)))/Inputs!$B$43),G2777*Q2777))*IF(Inputs!$B$38="pvp",1,(1+(Inputs!$B$21+Skills!Q6+(IF(ArtifactsInput!$M$33,CHOOSE(ArtifactsInput!$N$33+1,30,36,42,48,54,60),0))+(IF(AND(ArtifactsInput!$M$35,Inputs!$B$4&lt;&gt;"Chapter Hunt"),CHOOSE(ArtifactsInput!$N$35+1,15,18,21,24,27,30)*(1-EXP(-(0.2*B2805)*5)),0)+IF(AND(ArtifactsInput!$M$22,Inputs!$B$4&lt;&gt;"Chapter Hunt"),CHOOSE(ArtifactsInput!$N$22+1,10,12,14,16,18,20)*((0*(((0.15*B2805*5))^0/1)+1*(((0.15*B2805*5))^1/1)+2*(((0.15*B2805*5))^2/2)+3*(((0.15*B2805*5))^3/6)+4*(((0.15*B2805*5))^4/24)+5*(((0.15*B2805*5))^5/120))/((((0.15*B2805*5))^0/1)+(((0.15*B2805*5))^1/1)+(((0.15*B2805*5))^2/2)+(((0.15*B2805*5))^3/6)+(((0.15*B2805*5))^4/24)+(((0.15*B2805*5))^5/120))),0)))/100)*(MIN(Skills!R6,Inputs!$B$37)))*((1+(IF(AND(IF(ArtifactsInput!$M$41,FALSE,TRUE),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778">
      <c r="A2778">
        <f>Skills!A7</f>
        <v/>
      </c>
      <c r="B2778">
        <f>Skills!B7</f>
        <v/>
      </c>
      <c r="C2778">
        <f>Inputs!$B$3&gt;=69</f>
        <v/>
      </c>
      <c r="D2778">
        <f>IF(Skills!C7=1,60+Inputs!$B$25+Inputs!$B$29,IF(Skills!C7=2,90+Inputs!$B$26+Inputs!$B$29,IF(Skills!C7=3,120+Inputs!$B$27+Inputs!$B$29,MAX(0,(Inputs!$B$3-100)*3)+Inputs!$B$28+Inputs!$B$29)))</f>
        <v/>
      </c>
      <c r="E2778">
        <f>INDEX(FactorTable!$B$2:$Y$301, MATCH(ROUND(MIN(300,MAX(1,D2778)),0), FactorTable!$A$2:$A$301,0), Skills!M7+1)</f>
        <v/>
      </c>
      <c r="F2778">
        <f>IF(Skills!N7=TRUE,(Skills!L7/10)*(E2778/1000),Skills!L7/10)+Skills!O7</f>
        <v/>
      </c>
      <c r="G2778">
        <f>Skills!G7*IF(Skills!H7&gt;0,Skills!I7/Skills!H7,1)</f>
        <v/>
      </c>
      <c r="H2778">
        <f>1-(1-Skills!J7/100)^Skills!K7</f>
        <v/>
      </c>
      <c r="I2778" t="inlineStr">
        <is>
          <t>1</t>
        </is>
      </c>
      <c r="J2778">
        <f>((Inputs!$B$6*(1+Inputs!$B$7/100))+(((Inputs!$B$12*(1+Inputs!$B$13/100))-(Inputs!$B$12*(1+Inputs!$B$13/100)))+0.25*(Inputs!$B$14-Inputs!$B$14))*(1+Inputs!$B$7/100))*(F2778/100)</f>
        <v/>
      </c>
      <c r="K2778">
        <f>J2778*(1+((Inputs!$B$12*(1+Inputs!$B$13/100))*0.01+Inputs!$B$14*0.0025)/100)*(1+Inputs!$B$15/100)*(1+Inputs!$B$16/100)*(5000/(6000+Inputs!$B$42*(1-(100*(1-(1-(Inputs!$B$19+0)/100)*(1-CHOOSE(ArtifactsInput!$N$40+1,5,6,7,8,9,10)/100)^(ArtifactsInput!$M$40-ArtifactsInput!$M$40)))/100)))*(1+(Inputs!$B$24+((C2795=TRUE)*(F2795-Calc!F24))+((C2796=TRUE)*(F2796-Calc!F25))+B2809)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+1.2*IF(C2779=TRUE,F2779,0)/100)*(1+(IF(Skills!A7="EMPOWERED_PIERCING_ARROW",Inputs!$B$17+((C2793=TRUE)*(F2793-Calc!F22))+(((IF(AND(ArtifactsInput!$M$42,((Inputs!$B$9+((C2790=TRUE)*(F2790-Calc!F19))+B2803+(ArtifactsInput!$M$24-ArtifactsInput!$M$24)*CHOOSE(ArtifactsInput!$N$24+1,10,12,14,16,18,20)+IF(ArtifactsInput!$M$10,CHOOSE(ArtifactsInput!$N$10+1,15,18,21,24,27,30)*(IF(Inputs!$B$38="pvp",MIN(15,15)/15,IF(AND(Inputs!$B$38&lt;&gt;"pvp",Inputs!$B$43&gt;0),MIN(15,Inputs!$B$43)/(Inputs!$B$43),0))),0)))&gt;=100),MIN(100,((Inputs!$B$9+((C2790=TRUE)*(F2790-Calc!F19))+B2803+(ArtifactsInput!$M$24-ArtifactsInput!$M$24)*CHOOSE(ArtifactsInput!$N$24+1,10,12,14,16,18,20)+IF(ArtifactsInput!$M$10,CHOOSE(ArtifactsInput!$N$10+1,15,18,21,24,27,30)*(IF(Inputs!$B$38="pvp",MIN(15,15)/15,IF(AND(Inputs!$B$38&lt;&gt;"pvp",Inputs!$B$43&gt;0),MIN(15,Inputs!$B$43)/(Inputs!$B$43),0))),0)))-100),0))*CHOOSE(ArtifactsInput!$N$42+1,0.6,0.72,0.84,0.96,1.08,1.2))),Inputs!$B$18+((C2798=TRUE)*(F2798-Calc!F27))+(IF(AND(ArtifactsInput!$M$42,((Inputs!$B$9+((C2790=TRUE)*(F2790-Calc!F19))+B2803+(ArtifactsInput!$M$24-ArtifactsInput!$M$24)*CHOOSE(ArtifactsInput!$N$24+1,10,12,14,16,18,20)+IF(ArtifactsInput!$M$10,CHOOSE(ArtifactsInput!$N$10+1,15,18,21,24,27,30)*(IF(Inputs!$B$38="pvp",MIN(15,15)/15,IF(AND(Inputs!$B$38&lt;&gt;"pvp",Inputs!$B$43&gt;0),MIN(15,Inputs!$B$43)/(Inputs!$B$43),0))),0)))&gt;=100),CHOOSE(ArtifactsInput!$N$42+1,40,48,56,64,72,80),0))))/100)*((1+(((C2784=TRUE)*F2784)+((C2785=TRUE)*IF(Inputs!$B$38="pvp",F2785,(1-Summary!$B$11)*(F2785)+Summary!$B$11*(0)))+((C2786=TRUE)*F2786*IF(AND(Inputs!$B$38&lt;&gt;"pvp",Inputs!$B$43&gt;0),(((R2786-1)*(Skills!T15*(1+Inputs!$B$34/100))+MIN((Skills!T15*(1+Inputs!$B$34/100)),MAX(0,Inputs!$B$43-((R2786-1)*Skills!D15))))/Inputs!$B$43),IF(Inputs!$B$38="pvp",MIN((Skills!T15*(1+Inputs!$B$34/100)),15)/15,(Skills!T15*(1+Inputs!$B$34/100))/Skills!D15)))+((C2783=TRUE)*F2783)+((C2800=TRUE)*(F2800-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IF(ArtifactsInput!$M$41,FALSE,TRUE),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2778)</f>
        <v/>
      </c>
      <c r="L2778">
        <f>K2778*(MIN(Inputs!$B$22+((C2794=TRUE)*(F2794-Calc!F23)),(Inputs!$B$23+((C2799=TRUE)*(F2799-Calc!F28))+(IF(ArtifactsInput!$M$15,CHOOSE(ArtifactsInput!$N$15+1,25,30,35,40,45,50)/100*(Inputs!$B$11-Inputs!$B$11),0))))/100+(Inputs!$B$23+((C2799=TRUE)*(F2799-Calc!F28))+(IF(ArtifactsInput!$M$15,CHOOSE(ArtifactsInput!$N$15+1,25,30,35,40,45,50)/100*(Inputs!$B$11-Inputs!$B$11),0)))/100)/2</f>
        <v/>
      </c>
      <c r="M2778">
        <f>L2778*(1+(Inputs!$B$10+0+B2808+(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778">
        <f>L2778*(1-MIN((Inputs!$B$9+((C2790=TRUE)*(F2790-Calc!F19))+B2803+(ArtifactsInput!$M$24-ArtifactsInput!$M$24)*CHOOSE(ArtifactsInput!$N$24+1,10,12,14,16,18,20)+(IF(AND(ArtifactsInput!$M$42,((Inputs!$B$9+((C2790=TRUE)*(F2790-Calc!F19))+B2803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2778*(MIN((Inputs!$B$9+((C2790=TRUE)*(F2790-Calc!F19))+B2803+(ArtifactsInput!$M$24-ArtifactsInput!$M$24)*CHOOSE(ArtifactsInput!$N$24+1,10,12,14,16,18,20)+(IF(AND(ArtifactsInput!$M$42,((Inputs!$B$9+((C2790=TRUE)*(F2790-Calc!F19))+B2803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778">
        <f>(1-Summary!$B$11)*T2778+Summary!$B$11*V2778</f>
        <v/>
      </c>
      <c r="P2778">
        <f>IF(B2813=0,0,O2778/B2813)</f>
        <v/>
      </c>
      <c r="Q2778">
        <f>IFERROR(1/IF(Inputs!$B$38="pvp",15,MAX(0.1,Skills!D7-IF(Skills!E7=TRUE,Inputs!$B$32,0))),0)</f>
        <v/>
      </c>
      <c r="R2778">
        <f>IF(AND(Inputs!$B$38&lt;&gt;"pvp",Inputs!$B$43&gt;0),IF(MAX(0,Inputs!$B$43-B2810)&lt;=0,0,(INT(MAX(0,Inputs!$B$43-B2810)/IF(Inputs!$B$38="pvp",15,MAX(0.1,Skills!D7-IF(Skills!E7=TRUE,Inputs!$B$32,0))))+1)),0)</f>
        <v/>
      </c>
      <c r="S2778">
        <f>IFERROR((H2778*N2778*IF(AND(Inputs!$B$38&lt;&gt;"pvp",Inputs!$B$43&gt;0),((Skills!G7*((R2778-1)*IF(Skills!H7&gt;0,Skills!I7/Skills!H7,1)+IF(Skills!H7&gt;0,MIN(Skills!I7,MAX(0,MAX(0,Inputs!$B$43-B2810)-((R2778-1)*IF(Inputs!$B$38="pvp",15,MAX(0.1,Skills!D7-IF(Skills!E7=TRUE,Inputs!$B$32,0))))))/Skills!H7,1)))/Inputs!$B$43),G2778*Q2778))/N2778*IF(Inputs!$B$38="pvp",1,(1-Summary!$B$11)*1+Summary!$B$11*(MIN(Skills!R7,Inputs!$B$37))),0)</f>
        <v/>
      </c>
      <c r="T2778">
        <f>IF(C2778,(H2778*N2778*IF(AND(Inputs!$B$38&lt;&gt;"pvp",Inputs!$B$43&gt;0),((Skills!G7*((R2778-1)*IF(Skills!H7&gt;0,Skills!I7/Skills!H7,1)+IF(Skills!H7&gt;0,MIN(Skills!I7,MAX(0,MAX(0,Inputs!$B$43-B2810)-((R2778-1)*IF(Inputs!$B$38="pvp",15,MAX(0.1,Skills!D7-IF(Skills!E7=TRUE,Inputs!$B$32,0))))))/Skills!H7,1)))/Inputs!$B$43),G2778*Q2778))*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Hunt"),CHOOSE(ArtifactsInput!$N$35+1,15,18,21,24,27,30)*(1-EXP(-(0.2*B2805)*5)),0)+IF(AND(ArtifactsInput!$M$22,Inputs!$B$4&lt;&gt;"Chapter Hunt"),CHOOSE(ArtifactsInput!$N$22+1,10,12,14,16,18,20)*((0*(((0.15*B2805*5))^0/1)+1*(((0.15*B2805*5))^1/1)+2*(((0.15*B2805*5))^2/2)+3*(((0.15*B2805*5))^3/6)+4*(((0.15*B2805*5))^4/24)+5*(((0.15*B2805*5))^5/120))/((((0.15*B2805*5))^0/1)+(((0.15*B2805*5))^1/1)+(((0.15*B2805*5))^2/2)+(((0.15*B2805*5))^3/6)+(((0.15*B2805*5))^4/24)+(((0.15*B2805*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2778*(1-MIN(100,(Inputs!$B$9+((C2790=TRUE)*(F2790-Calc!F19))+B2803+(ArtifactsInput!$M$24-ArtifactsInput!$M$24)*CHOOSE(ArtifactsInput!$N$24+1,10,12,14,16,18,20)+(IF(AND(ArtifactsInput!$M$42,((Inputs!$B$9+((C2790=TRUE)*(F2790-Calc!F19))+B2803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2778*(MIN(100,(Inputs!$B$9+((C2790=TRUE)*(F2790-Calc!F19))+B2803+(ArtifactsInput!$M$24-ArtifactsInput!$M$24)*CHOOSE(ArtifactsInput!$N$24+1,10,12,14,16,18,20)+(IF(AND(ArtifactsInput!$M$42,((Inputs!$B$9+((C2790=TRUE)*(F2790-Calc!F19))+B2803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2778*(1-MIN(100,(Inputs!$B$9+((C2790=TRUE)*(F2790-Calc!F19))+B2803+(ArtifactsInput!$M$24-ArtifactsInput!$M$24)*CHOOSE(ArtifactsInput!$N$24+1,10,12,14,16,18,20)+(IF(AND(ArtifactsInput!$M$42,((Inputs!$B$9+((C2790=TRUE)*(F2790-Calc!F19))+B2803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2778*(MIN(100,(Inputs!$B$9+((C2790=TRUE)*(F2790-Calc!F19))+B2803+(ArtifactsInput!$M$24-ArtifactsInput!$M$24)*CHOOSE(ArtifactsInput!$N$24+1,10,12,14,16,18,20)+(IF(AND(ArtifactsInput!$M$42,((Inputs!$B$9+((C2790=TRUE)*(F2790-Calc!F19))+B2803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778">
        <f>IF(C2778,(H2778*N2778*IF(AND(Inputs!$B$38&lt;&gt;"pvp",Inputs!$B$43&gt;0),((Skills!G7*((R2778-1)*IF(Skills!H7&gt;0,Skills!I7/Skills!H7,1)+IF(Skills!H7&gt;0,MIN(Skills!I7,MAX(0,MAX(0,Inputs!$B$43-B2810)-((R2778-1)*IF(Inputs!$B$38="pvp",15,MAX(0.1,Skills!D7-IF(Skills!E7=TRUE,Inputs!$B$32,0))))))/Skills!H7,1)))/Inputs!$B$43),G2778*Q2778))*IF(Inputs!$B$38="pvp",1,(1+(Inputs!$B$21+Skills!Q7+(IF(ArtifactsInput!$M$33,CHOOSE(ArtifactsInput!$N$33+1,30,36,42,48,54,60),0))+(IF(AND(ArtifactsInput!$M$35,Inputs!$B$4&lt;&gt;"Chapter Hunt"),CHOOSE(ArtifactsInput!$N$35+1,15,18,21,24,27,30)*(1-EXP(-(0.2*B2805)*5)),0)+IF(AND(ArtifactsInput!$M$22,Inputs!$B$4&lt;&gt;"Chapter Hunt"),CHOOSE(ArtifactsInput!$N$22+1,10,12,14,16,18,20)*((0*(((0.15*B2805*5))^0/1)+1*(((0.15*B2805*5))^1/1)+2*(((0.15*B2805*5))^2/2)+3*(((0.15*B2805*5))^3/6)+4*(((0.15*B2805*5))^4/24)+5*(((0.15*B2805*5))^5/120))/((((0.15*B2805*5))^0/1)+(((0.15*B2805*5))^1/1)+(((0.15*B2805*5))^2/2)+(((0.15*B2805*5))^3/6)+(((0.15*B2805*5))^4/24)+(((0.15*B2805*5))^5/120))),0)))/100)*(MIN(Skills!R7,Inputs!$B$37)))*((1+(IF(AND(IF(ArtifactsInput!$M$41,FALSE,TRUE),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779">
      <c r="A2779">
        <f>Skills!A8</f>
        <v/>
      </c>
      <c r="B2779">
        <f>Skills!B8</f>
        <v/>
      </c>
      <c r="C2779">
        <f>Inputs!$B$3&gt;=100</f>
        <v/>
      </c>
      <c r="D2779">
        <f>IF(Skills!C8=1,60+Inputs!$B$25+Inputs!$B$29,IF(Skills!C8=2,90+Inputs!$B$26+Inputs!$B$29,IF(Skills!C8=3,120+Inputs!$B$27+Inputs!$B$29,MAX(0,(Inputs!$B$3-100)*3)+Inputs!$B$28+Inputs!$B$29)))</f>
        <v/>
      </c>
      <c r="E2779">
        <f>INDEX(FactorTable!$B$2:$Y$301, MATCH(ROUND(MIN(300,MAX(1,D2779)),0), FactorTable!$A$2:$A$301,0), Skills!M8+1)</f>
        <v/>
      </c>
      <c r="F2779">
        <f>IF(Skills!N8=TRUE,(Skills!L8/10)*(E2779/1000),Skills!L8/10)+Skills!O8</f>
        <v/>
      </c>
      <c r="G2779" t="inlineStr"/>
      <c r="H2779" t="inlineStr"/>
      <c r="I2779" t="inlineStr">
        <is>
          <t>1</t>
        </is>
      </c>
      <c r="J2779" t="inlineStr"/>
      <c r="K2779" t="inlineStr"/>
      <c r="L2779" t="inlineStr"/>
      <c r="M2779" t="inlineStr"/>
      <c r="N2779" t="inlineStr"/>
      <c r="O2779" t="inlineStr"/>
      <c r="P2779" t="inlineStr"/>
      <c r="Q2779" t="inlineStr"/>
      <c r="R2779" t="inlineStr"/>
      <c r="S2779" t="inlineStr"/>
      <c r="T2779" t="inlineStr"/>
      <c r="V2779" t="inlineStr"/>
    </row>
    <row r="2780">
      <c r="A2780">
        <f>Skills!A9</f>
        <v/>
      </c>
      <c r="B2780">
        <f>Skills!B9</f>
        <v/>
      </c>
      <c r="C2780">
        <f>Inputs!$B$3&gt;=103</f>
        <v/>
      </c>
      <c r="D2780">
        <f>IF(Skills!C9=1,60+Inputs!$B$25+Inputs!$B$29,IF(Skills!C9=2,90+Inputs!$B$26+Inputs!$B$29,IF(Skills!C9=3,120+Inputs!$B$27+Inputs!$B$29,MAX(0,(Inputs!$B$3-100)*3)+Inputs!$B$28+Inputs!$B$29)))</f>
        <v/>
      </c>
      <c r="E2780">
        <f>INDEX(FactorTable!$B$2:$Y$301, MATCH(ROUND(MIN(300,MAX(1,D2780)),0), FactorTable!$A$2:$A$301,0), Skills!M9+1)</f>
        <v/>
      </c>
      <c r="F2780">
        <f>IF(Skills!N9=TRUE,(Skills!L9/10)*(E2780/1000),Skills!L9/10)+Skills!O9</f>
        <v/>
      </c>
      <c r="G2780">
        <f>Skills!G9*IF(Skills!H9&gt;0,Skills!I9/Skills!H9,1)</f>
        <v/>
      </c>
      <c r="H2780">
        <f>1-(1-Skills!J9/100)^Skills!K9</f>
        <v/>
      </c>
      <c r="I2780" t="inlineStr">
        <is>
          <t>1</t>
        </is>
      </c>
      <c r="J2780">
        <f>((Inputs!$B$6*(1+Inputs!$B$7/100))+(((Inputs!$B$12*(1+Inputs!$B$13/100))-(Inputs!$B$12*(1+Inputs!$B$13/100)))+0.25*(Inputs!$B$14-Inputs!$B$14))*(1+Inputs!$B$7/100))*(F2780/100)</f>
        <v/>
      </c>
      <c r="K2780">
        <f>J2780*(1+((Inputs!$B$12*(1+Inputs!$B$13/100))*0.01+Inputs!$B$14*0.0025)/100)*(1+Inputs!$B$15/100)*(1+Inputs!$B$16/100)*(5000/(6000+Inputs!$B$42*(1-(100*(1-(1-(Inputs!$B$19+0)/100)*(1-CHOOSE(ArtifactsInput!$N$40+1,5,6,7,8,9,10)/100)^(ArtifactsInput!$M$40-ArtifactsInput!$M$40)))/100)))*(1+(Inputs!$B$24+((C2795=TRUE)*(F2795-Calc!F24))+((C2796=TRUE)*(F2796-Calc!F25))+B2809)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EMPOWERED_PIERCING_ARROW",Inputs!$B$17+((C2793=TRUE)*(F2793-Calc!F22))+(((IF(AND(ArtifactsInput!$M$42,((Inputs!$B$9+((C2790=TRUE)*(F2790-Calc!F19))+B2803+(ArtifactsInput!$M$24-ArtifactsInput!$M$24)*CHOOSE(ArtifactsInput!$N$24+1,10,12,14,16,18,20)+IF(ArtifactsInput!$M$10,CHOOSE(ArtifactsInput!$N$10+1,15,18,21,24,27,30)*(IF(Inputs!$B$38="pvp",MIN(15,15)/15,IF(AND(Inputs!$B$38&lt;&gt;"pvp",Inputs!$B$43&gt;0),MIN(15,Inputs!$B$43)/(Inputs!$B$43),0))),0)))&gt;=100),MIN(100,((Inputs!$B$9+((C2790=TRUE)*(F2790-Calc!F19))+B2803+(ArtifactsInput!$M$24-ArtifactsInput!$M$24)*CHOOSE(ArtifactsInput!$N$24+1,10,12,14,16,18,20)+IF(ArtifactsInput!$M$10,CHOOSE(ArtifactsInput!$N$10+1,15,18,21,24,27,30)*(IF(Inputs!$B$38="pvp",MIN(15,15)/15,IF(AND(Inputs!$B$38&lt;&gt;"pvp",Inputs!$B$43&gt;0),MIN(15,Inputs!$B$43)/(Inputs!$B$43),0))),0)))-100),0))*CHOOSE(ArtifactsInput!$N$42+1,0.6,0.72,0.84,0.96,1.08,1.2))),Inputs!$B$18+((C2798=TRUE)*(F2798-Calc!F27))+(IF(AND(ArtifactsInput!$M$42,((Inputs!$B$9+((C2790=TRUE)*(F2790-Calc!F19))+B2803+(ArtifactsInput!$M$24-ArtifactsInput!$M$24)*CHOOSE(ArtifactsInput!$N$24+1,10,12,14,16,18,20)+IF(ArtifactsInput!$M$10,CHOOSE(ArtifactsInput!$N$10+1,15,18,21,24,27,30)*(IF(Inputs!$B$38="pvp",MIN(15,15)/15,IF(AND(Inputs!$B$38&lt;&gt;"pvp",Inputs!$B$43&gt;0),MIN(15,Inputs!$B$43)/(Inputs!$B$43),0))),0)))&gt;=100),CHOOSE(ArtifactsInput!$N$42+1,40,48,56,64,72,80),0))))/100)*((1+(((C2784=TRUE)*F2784)+((C2785=TRUE)*IF(Inputs!$B$38="pvp",F2785,(1-Summary!$B$11)*(F2785)+Summary!$B$11*(0)))+((C2786=TRUE)*F2786*IF(AND(Inputs!$B$38&lt;&gt;"pvp",Inputs!$B$43&gt;0),(((R2786-1)*(Skills!T15*(1+Inputs!$B$34/100))+MIN((Skills!T15*(1+Inputs!$B$34/100)),MAX(0,Inputs!$B$43-((R2786-1)*Skills!D15))))/Inputs!$B$43),IF(Inputs!$B$38="pvp",MIN((Skills!T15*(1+Inputs!$B$34/100)),15)/15,(Skills!T15*(1+Inputs!$B$34/100))/Skills!D15)))+((C2783=TRUE)*F2783)+((C2800=TRUE)*(F2800-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IF(ArtifactsInput!$M$41,FALSE,TRUE),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2780)</f>
        <v/>
      </c>
      <c r="L2780">
        <f>K2780*(MIN(Inputs!$B$22+((C2794=TRUE)*(F2794-Calc!F23)),(Inputs!$B$23+((C2799=TRUE)*(F2799-Calc!F28))+(IF(ArtifactsInput!$M$15,CHOOSE(ArtifactsInput!$N$15+1,25,30,35,40,45,50)/100*(Inputs!$B$11-Inputs!$B$11),0))))/100+(Inputs!$B$23+((C2799=TRUE)*(F2799-Calc!F28))+(IF(ArtifactsInput!$M$15,CHOOSE(ArtifactsInput!$N$15+1,25,30,35,40,45,50)/100*(Inputs!$B$11-Inputs!$B$11),0)))/100)/2</f>
        <v/>
      </c>
      <c r="M2780">
        <f>L2780*(1+(Inputs!$B$10+0+B2808+(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780">
        <f>L2780*(1-MIN((Inputs!$B$9+((C2790=TRUE)*(F2790-Calc!F19))+B2803+(ArtifactsInput!$M$24-ArtifactsInput!$M$24)*CHOOSE(ArtifactsInput!$N$24+1,10,12,14,16,18,20)+(IF(AND(ArtifactsInput!$M$42,((Inputs!$B$9+((C2790=TRUE)*(F2790-Calc!F19))+B2803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2780*(MIN((Inputs!$B$9+((C2790=TRUE)*(F2790-Calc!F19))+B2803+(ArtifactsInput!$M$24-ArtifactsInput!$M$24)*CHOOSE(ArtifactsInput!$N$24+1,10,12,14,16,18,20)+(IF(AND(ArtifactsInput!$M$42,((Inputs!$B$9+((C2790=TRUE)*(F2790-Calc!F19))+B2803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780">
        <f>(1-Summary!$B$11)*T2780+Summary!$B$11*V2780</f>
        <v/>
      </c>
      <c r="P2780">
        <f>IF(B2813=0,0,O2780/B2813)</f>
        <v/>
      </c>
      <c r="Q2780">
        <f>IFERROR(1/IF(Inputs!$B$38="pvp",15,MAX(0.1,Skills!D9-IF(Skills!E9=TRUE,Inputs!$B$32,0))),0)</f>
        <v/>
      </c>
      <c r="R2780">
        <f>IF(AND(Inputs!$B$38&lt;&gt;"pvp",Inputs!$B$43&gt;0),IF(MAX(0,Inputs!$B$43-B2810)&lt;=0,0,(INT(MAX(0,Inputs!$B$43-B2810)/IF(Inputs!$B$38="pvp",15,MAX(0.1,Skills!D9-IF(Skills!E9=TRUE,Inputs!$B$32,0))))+1)),0)</f>
        <v/>
      </c>
      <c r="S2780">
        <f>IFERROR((H2780*N2780*IF(AND(Inputs!$B$38&lt;&gt;"pvp",Inputs!$B$43&gt;0),((Skills!G9*((R2780-1)*IF(Skills!H9&gt;0,Skills!I9/Skills!H9,1)+IF(Skills!H9&gt;0,MIN(Skills!I9,MAX(0,MAX(0,Inputs!$B$43-B2810)-((R2780-1)*IF(Inputs!$B$38="pvp",15,MAX(0.1,Skills!D9-IF(Skills!E9=TRUE,Inputs!$B$32,0))))))/Skills!H9,1)))/Inputs!$B$43),G2780*Q2780))/N2780*IF(Inputs!$B$38="pvp",1,(1-Summary!$B$11)*1+Summary!$B$11*(MIN(Skills!R9,Inputs!$B$37))),0)</f>
        <v/>
      </c>
      <c r="T2780">
        <f>IF(C2780,(H2780*N2780*IF(AND(Inputs!$B$38&lt;&gt;"pvp",Inputs!$B$43&gt;0),((Skills!G9*((R2780-1)*IF(Skills!H9&gt;0,Skills!I9/Skills!H9,1)+IF(Skills!H9&gt;0,MIN(Skills!I9,MAX(0,MAX(0,Inputs!$B$43-B2810)-((R2780-1)*IF(Inputs!$B$38="pvp",15,MAX(0.1,Skills!D9-IF(Skills!E9=TRUE,Inputs!$B$32,0))))))/Skills!H9,1)))/Inputs!$B$43),G2780*Q2780))*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Hunt"),CHOOSE(ArtifactsInput!$N$35+1,15,18,21,24,27,30)*(1-EXP(-(0.2*B2805)*5)),0)+IF(AND(ArtifactsInput!$M$22,Inputs!$B$4&lt;&gt;"Chapter Hunt"),CHOOSE(ArtifactsInput!$N$22+1,10,12,14,16,18,20)*((0*(((0.15*B2805*5))^0/1)+1*(((0.15*B2805*5))^1/1)+2*(((0.15*B2805*5))^2/2)+3*(((0.15*B2805*5))^3/6)+4*(((0.15*B2805*5))^4/24)+5*(((0.15*B2805*5))^5/120))/((((0.15*B2805*5))^0/1)+(((0.15*B2805*5))^1/1)+(((0.15*B2805*5))^2/2)+(((0.15*B2805*5))^3/6)+(((0.15*B2805*5))^4/24)+(((0.15*B2805*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2780*(1-MIN(100,(Inputs!$B$9+((C2790=TRUE)*(F2790-Calc!F19))+B2803+(ArtifactsInput!$M$24-ArtifactsInput!$M$24)*CHOOSE(ArtifactsInput!$N$24+1,10,12,14,16,18,20)+(IF(AND(ArtifactsInput!$M$42,((Inputs!$B$9+((C2790=TRUE)*(F2790-Calc!F19))+B2803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2780*(MIN(100,(Inputs!$B$9+((C2790=TRUE)*(F2790-Calc!F19))+B2803+(ArtifactsInput!$M$24-ArtifactsInput!$M$24)*CHOOSE(ArtifactsInput!$N$24+1,10,12,14,16,18,20)+(IF(AND(ArtifactsInput!$M$42,((Inputs!$B$9+((C2790=TRUE)*(F2790-Calc!F19))+B2803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2780*(1-MIN(100,(Inputs!$B$9+((C2790=TRUE)*(F2790-Calc!F19))+B2803+(ArtifactsInput!$M$24-ArtifactsInput!$M$24)*CHOOSE(ArtifactsInput!$N$24+1,10,12,14,16,18,20)+(IF(AND(ArtifactsInput!$M$42,((Inputs!$B$9+((C2790=TRUE)*(F2790-Calc!F19))+B2803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2780*(MIN(100,(Inputs!$B$9+((C2790=TRUE)*(F2790-Calc!F19))+B2803+(ArtifactsInput!$M$24-ArtifactsInput!$M$24)*CHOOSE(ArtifactsInput!$N$24+1,10,12,14,16,18,20)+(IF(AND(ArtifactsInput!$M$42,((Inputs!$B$9+((C2790=TRUE)*(F2790-Calc!F19))+B2803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780">
        <f>IF(C2780,(H2780*N2780*IF(AND(Inputs!$B$38&lt;&gt;"pvp",Inputs!$B$43&gt;0),((Skills!G9*((R2780-1)*IF(Skills!H9&gt;0,Skills!I9/Skills!H9,1)+IF(Skills!H9&gt;0,MIN(Skills!I9,MAX(0,MAX(0,Inputs!$B$43-B2810)-((R2780-1)*IF(Inputs!$B$38="pvp",15,MAX(0.1,Skills!D9-IF(Skills!E9=TRUE,Inputs!$B$32,0))))))/Skills!H9,1)))/Inputs!$B$43),G2780*Q2780))*IF(Inputs!$B$38="pvp",1,(1+(Inputs!$B$21+Skills!Q9+(IF(ArtifactsInput!$M$33,CHOOSE(ArtifactsInput!$N$33+1,30,36,42,48,54,60),0))+(IF(AND(ArtifactsInput!$M$35,Inputs!$B$4&lt;&gt;"Chapter Hunt"),CHOOSE(ArtifactsInput!$N$35+1,15,18,21,24,27,30)*(1-EXP(-(0.2*B2805)*5)),0)+IF(AND(ArtifactsInput!$M$22,Inputs!$B$4&lt;&gt;"Chapter Hunt"),CHOOSE(ArtifactsInput!$N$22+1,10,12,14,16,18,20)*((0*(((0.15*B2805*5))^0/1)+1*(((0.15*B2805*5))^1/1)+2*(((0.15*B2805*5))^2/2)+3*(((0.15*B2805*5))^3/6)+4*(((0.15*B2805*5))^4/24)+5*(((0.15*B2805*5))^5/120))/((((0.15*B2805*5))^0/1)+(((0.15*B2805*5))^1/1)+(((0.15*B2805*5))^2/2)+(((0.15*B2805*5))^3/6)+(((0.15*B2805*5))^4/24)+(((0.15*B2805*5))^5/120))),0)))/100)*(MIN(Skills!R9,Inputs!$B$37)))*((1+(IF(AND(IF(ArtifactsInput!$M$41,FALSE,TRUE),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781">
      <c r="A2781">
        <f>Skills!A10</f>
        <v/>
      </c>
      <c r="B2781">
        <f>Skills!B10</f>
        <v/>
      </c>
      <c r="C2781">
        <f>Inputs!$B$3&gt;=107</f>
        <v/>
      </c>
      <c r="D2781">
        <f>IF(Skills!C10=1,60+Inputs!$B$25+Inputs!$B$29,IF(Skills!C10=2,90+Inputs!$B$26+Inputs!$B$29,IF(Skills!C10=3,120+Inputs!$B$27+Inputs!$B$29,MAX(0,(Inputs!$B$3-100)*3)+Inputs!$B$28+Inputs!$B$29)))</f>
        <v/>
      </c>
      <c r="E2781">
        <f>INDEX(FactorTable!$B$2:$Y$301, MATCH(ROUND(MIN(300,MAX(1,D2781)),0), FactorTable!$A$2:$A$301,0), Skills!M10+1)</f>
        <v/>
      </c>
      <c r="F2781">
        <f>IF(Skills!N10=TRUE,(Skills!L10/10)*(E2781/1000),Skills!L10/10)+Skills!O10</f>
        <v/>
      </c>
      <c r="G2781">
        <f>Skills!G10*IF(Skills!H10&gt;0,Skills!I10/Skills!H10,1)</f>
        <v/>
      </c>
      <c r="H2781">
        <f>1-(1-Skills!J10/100)^Skills!K10</f>
        <v/>
      </c>
      <c r="I2781" t="inlineStr">
        <is>
          <t>1</t>
        </is>
      </c>
      <c r="J2781">
        <f>((Inputs!$B$6*(1+Inputs!$B$7/100))+(((Inputs!$B$12*(1+Inputs!$B$13/100))-(Inputs!$B$12*(1+Inputs!$B$13/100)))+0.25*(Inputs!$B$14-Inputs!$B$14))*(1+Inputs!$B$7/100))*(F2781/100)</f>
        <v/>
      </c>
      <c r="K2781">
        <f>J2781*(1+((Inputs!$B$12*(1+Inputs!$B$13/100))*0.01+Inputs!$B$14*0.0025)/100)*(1+Inputs!$B$15/100)*(1+Inputs!$B$16/100)*(5000/(6000+Inputs!$B$42*(1-(100*(1-(1-(Inputs!$B$19+0)/100)*(1-CHOOSE(ArtifactsInput!$N$40+1,5,6,7,8,9,10)/100)^(ArtifactsInput!$M$40-ArtifactsInput!$M$40)))/100)))*(1+(Inputs!$B$24+((C2795=TRUE)*(F2795-Calc!F24))+((C2796=TRUE)*(F2796-Calc!F25))+B2809)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EMPOWERED_PIERCING_ARROW",Inputs!$B$17+((C2793=TRUE)*(F2793-Calc!F22))+(((IF(AND(ArtifactsInput!$M$42,((Inputs!$B$9+((C2790=TRUE)*(F2790-Calc!F19))+B2803+(ArtifactsInput!$M$24-ArtifactsInput!$M$24)*CHOOSE(ArtifactsInput!$N$24+1,10,12,14,16,18,20)+IF(ArtifactsInput!$M$10,CHOOSE(ArtifactsInput!$N$10+1,15,18,21,24,27,30)*(IF(Inputs!$B$38="pvp",MIN(15,15)/15,IF(AND(Inputs!$B$38&lt;&gt;"pvp",Inputs!$B$43&gt;0),MIN(15,Inputs!$B$43)/(Inputs!$B$43),0))),0)))&gt;=100),MIN(100,((Inputs!$B$9+((C2790=TRUE)*(F2790-Calc!F19))+B2803+(ArtifactsInput!$M$24-ArtifactsInput!$M$24)*CHOOSE(ArtifactsInput!$N$24+1,10,12,14,16,18,20)+IF(ArtifactsInput!$M$10,CHOOSE(ArtifactsInput!$N$10+1,15,18,21,24,27,30)*(IF(Inputs!$B$38="pvp",MIN(15,15)/15,IF(AND(Inputs!$B$38&lt;&gt;"pvp",Inputs!$B$43&gt;0),MIN(15,Inputs!$B$43)/(Inputs!$B$43),0))),0)))-100),0))*CHOOSE(ArtifactsInput!$N$42+1,0.6,0.72,0.84,0.96,1.08,1.2))),Inputs!$B$18+((C2798=TRUE)*(F2798-Calc!F27))+(IF(AND(ArtifactsInput!$M$42,((Inputs!$B$9+((C2790=TRUE)*(F2790-Calc!F19))+B2803+(ArtifactsInput!$M$24-ArtifactsInput!$M$24)*CHOOSE(ArtifactsInput!$N$24+1,10,12,14,16,18,20)+IF(ArtifactsInput!$M$10,CHOOSE(ArtifactsInput!$N$10+1,15,18,21,24,27,30)*(IF(Inputs!$B$38="pvp",MIN(15,15)/15,IF(AND(Inputs!$B$38&lt;&gt;"pvp",Inputs!$B$43&gt;0),MIN(15,Inputs!$B$43)/(Inputs!$B$43),0))),0)))&gt;=100),CHOOSE(ArtifactsInput!$N$42+1,40,48,56,64,72,80),0))))/100)*((1+(((C2784=TRUE)*F2784)+((C2785=TRUE)*IF(Inputs!$B$38="pvp",F2785,(1-Summary!$B$11)*(F2785)+Summary!$B$11*(0)))+((C2786=TRUE)*F2786*IF(AND(Inputs!$B$38&lt;&gt;"pvp",Inputs!$B$43&gt;0),(((R2786-1)*(Skills!T15*(1+Inputs!$B$34/100))+MIN((Skills!T15*(1+Inputs!$B$34/100)),MAX(0,Inputs!$B$43-((R2786-1)*Skills!D15))))/Inputs!$B$43),IF(Inputs!$B$38="pvp",MIN((Skills!T15*(1+Inputs!$B$34/100)),15)/15,(Skills!T15*(1+Inputs!$B$34/100))/Skills!D15)))+((C2783=TRUE)*F2783)+((C2800=TRUE)*(F2800-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IF(ArtifactsInput!$M$41,FALSE,TRUE),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2781)</f>
        <v/>
      </c>
      <c r="L2781">
        <f>K2781*(MIN(Inputs!$B$22+((C2794=TRUE)*(F2794-Calc!F23)),(Inputs!$B$23+((C2799=TRUE)*(F2799-Calc!F28))+(IF(ArtifactsInput!$M$15,CHOOSE(ArtifactsInput!$N$15+1,25,30,35,40,45,50)/100*(Inputs!$B$11-Inputs!$B$11),0))))/100+(Inputs!$B$23+((C2799=TRUE)*(F2799-Calc!F28))+(IF(ArtifactsInput!$M$15,CHOOSE(ArtifactsInput!$N$15+1,25,30,35,40,45,50)/100*(Inputs!$B$11-Inputs!$B$11),0)))/100)/2</f>
        <v/>
      </c>
      <c r="M2781">
        <f>L2781*(1+(Inputs!$B$10+0+B2808+(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781">
        <f>L2781*(1-MIN((Inputs!$B$9+((C2790=TRUE)*(F2790-Calc!F19))+B2803+(ArtifactsInput!$M$24-ArtifactsInput!$M$24)*CHOOSE(ArtifactsInput!$N$24+1,10,12,14,16,18,20)+(IF(AND(ArtifactsInput!$M$42,((Inputs!$B$9+((C2790=TRUE)*(F2790-Calc!F19))+B2803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2781*(MIN((Inputs!$B$9+((C2790=TRUE)*(F2790-Calc!F19))+B2803+(ArtifactsInput!$M$24-ArtifactsInput!$M$24)*CHOOSE(ArtifactsInput!$N$24+1,10,12,14,16,18,20)+(IF(AND(ArtifactsInput!$M$42,((Inputs!$B$9+((C2790=TRUE)*(F2790-Calc!F19))+B2803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781">
        <f>(1-Summary!$B$11)*T2781+Summary!$B$11*V2781</f>
        <v/>
      </c>
      <c r="P2781">
        <f>IF(B2813=0,0,O2781/B2813)</f>
        <v/>
      </c>
      <c r="Q2781" t="n">
        <v>0</v>
      </c>
      <c r="R2781" t="n">
        <v>0</v>
      </c>
      <c r="S2781" t="n">
        <v>0</v>
      </c>
      <c r="T2781">
        <f>IF(C2781,(0.15*SUMPRODUCT((Skills!U2:U29=TRUE)*(C2773:C2800=TRUE)*S2773:S2800)*Skills!G10*N2781)*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Hunt"),CHOOSE(ArtifactsInput!$N$35+1,15,18,21,24,27,30)*(1-EXP(-(0.2*B2805)*5)),0)+IF(AND(ArtifactsInput!$M$22,Inputs!$B$4&lt;&gt;"Chapter Hunt"),CHOOSE(ArtifactsInput!$N$22+1,10,12,14,16,18,20)*((0*(((0.15*B2805*5))^0/1)+1*(((0.15*B2805*5))^1/1)+2*(((0.15*B2805*5))^2/2)+3*(((0.15*B2805*5))^3/6)+4*(((0.15*B2805*5))^4/24)+5*(((0.15*B2805*5))^5/120))/((((0.15*B2805*5))^0/1)+(((0.15*B2805*5))^1/1)+(((0.15*B2805*5))^2/2)+(((0.15*B2805*5))^3/6)+(((0.15*B2805*5))^4/24)+(((0.15*B2805*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2781*(1-MIN(100,(Inputs!$B$9+((C2790=TRUE)*(F2790-Calc!F19))+B2803+(ArtifactsInput!$M$24-ArtifactsInput!$M$24)*CHOOSE(ArtifactsInput!$N$24+1,10,12,14,16,18,20)+(IF(AND(ArtifactsInput!$M$42,((Inputs!$B$9+((C2790=TRUE)*(F2790-Calc!F19))+B2803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2781*(MIN(100,(Inputs!$B$9+((C2790=TRUE)*(F2790-Calc!F19))+B2803+(ArtifactsInput!$M$24-ArtifactsInput!$M$24)*CHOOSE(ArtifactsInput!$N$24+1,10,12,14,16,18,20)+(IF(AND(ArtifactsInput!$M$42,((Inputs!$B$9+((C2790=TRUE)*(F2790-Calc!F19))+B2803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2781*(1-MIN(100,(Inputs!$B$9+((C2790=TRUE)*(F2790-Calc!F19))+B2803+(ArtifactsInput!$M$24-ArtifactsInput!$M$24)*CHOOSE(ArtifactsInput!$N$24+1,10,12,14,16,18,20)+(IF(AND(ArtifactsInput!$M$42,((Inputs!$B$9+((C2790=TRUE)*(F2790-Calc!F19))+B2803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2781*(MIN(100,(Inputs!$B$9+((C2790=TRUE)*(F2790-Calc!F19))+B2803+(ArtifactsInput!$M$24-ArtifactsInput!$M$24)*CHOOSE(ArtifactsInput!$N$24+1,10,12,14,16,18,20)+(IF(AND(ArtifactsInput!$M$42,((Inputs!$B$9+((C2790=TRUE)*(F2790-Calc!F19))+B2803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781">
        <f>IF(C2781,(0.15*SUMPRODUCT((Skills!U2:U29=TRUE)*(C2773:C2800=TRUE)*S2773:S2800)*Skills!G10*N2781)*IF(Inputs!$B$38="pvp",1,(1+(Inputs!$B$21+Skills!Q10+(IF(ArtifactsInput!$M$33,CHOOSE(ArtifactsInput!$N$33+1,30,36,42,48,54,60),0))+(IF(AND(ArtifactsInput!$M$35,Inputs!$B$4&lt;&gt;"Chapter Hunt"),CHOOSE(ArtifactsInput!$N$35+1,15,18,21,24,27,30)*(1-EXP(-(0.2*B2805)*5)),0)+IF(AND(ArtifactsInput!$M$22,Inputs!$B$4&lt;&gt;"Chapter Hunt"),CHOOSE(ArtifactsInput!$N$22+1,10,12,14,16,18,20)*((0*(((0.15*B2805*5))^0/1)+1*(((0.15*B2805*5))^1/1)+2*(((0.15*B2805*5))^2/2)+3*(((0.15*B2805*5))^3/6)+4*(((0.15*B2805*5))^4/24)+5*(((0.15*B2805*5))^5/120))/((((0.15*B2805*5))^0/1)+(((0.15*B2805*5))^1/1)+(((0.15*B2805*5))^2/2)+(((0.15*B2805*5))^3/6)+(((0.15*B2805*5))^4/24)+(((0.15*B2805*5))^5/120))),0)))/100)*(MIN(Skills!R10,Inputs!$B$37)))*((1+(IF(AND(IF(ArtifactsInput!$M$41,FALSE,TRUE),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782">
      <c r="A2782">
        <f>Skills!A11</f>
        <v/>
      </c>
      <c r="B2782">
        <f>Skills!B11</f>
        <v/>
      </c>
      <c r="C2782">
        <f>Inputs!$B$3&gt;=110</f>
        <v/>
      </c>
      <c r="D2782">
        <f>IF(Skills!C11=1,60+Inputs!$B$25+Inputs!$B$29,IF(Skills!C11=2,90+Inputs!$B$26+Inputs!$B$29,IF(Skills!C11=3,120+Inputs!$B$27+Inputs!$B$29,MAX(0,(Inputs!$B$3-100)*3)+Inputs!$B$28+Inputs!$B$29)))</f>
        <v/>
      </c>
      <c r="E2782">
        <f>INDEX(FactorTable!$B$2:$Y$301, MATCH(ROUND(MIN(300,MAX(1,D2782)),0), FactorTable!$A$2:$A$301,0), Skills!M11+1)</f>
        <v/>
      </c>
      <c r="F2782">
        <f>IF(Skills!N11=TRUE,(Skills!L11/10)*(E2782/1000),Skills!L11/10)+Skills!O11</f>
        <v/>
      </c>
      <c r="G2782">
        <f>Skills!G11*IF(Skills!H11&gt;0,Skills!I11/Skills!H11,1)</f>
        <v/>
      </c>
      <c r="H2782">
        <f>1-(1-Skills!J11/100)^Skills!K11</f>
        <v/>
      </c>
      <c r="I2782" t="inlineStr">
        <is>
          <t>1</t>
        </is>
      </c>
      <c r="J2782">
        <f>((Inputs!$B$6*(1+Inputs!$B$7/100))+(((Inputs!$B$12*(1+Inputs!$B$13/100))-(Inputs!$B$12*(1+Inputs!$B$13/100)))+0.25*(Inputs!$B$14-Inputs!$B$14))*(1+Inputs!$B$7/100))*(F2782/100)</f>
        <v/>
      </c>
      <c r="K2782">
        <f>J2782*(1+((Inputs!$B$12*(1+Inputs!$B$13/100))*0.01+Inputs!$B$14*0.0025)/100)*(1+Inputs!$B$15/100)*(1+Inputs!$B$16/100)*(5000/(6000+Inputs!$B$42*(1-(100*(1-(1-(Inputs!$B$19+0)/100)*(1-CHOOSE(ArtifactsInput!$N$40+1,5,6,7,8,9,10)/100)^(ArtifactsInput!$M$40-ArtifactsInput!$M$40)))/100)))*(1+(Inputs!$B$24+((C2795=TRUE)*(F2795-Calc!F24))+((C2796=TRUE)*(F2796-Calc!F25))+B2809)/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11="EMPOWERED_PIERCING_ARROW",Inputs!$B$17+((C2793=TRUE)*(F2793-Calc!F22))+(((IF(AND(ArtifactsInput!$M$42,((Inputs!$B$9+((C2790=TRUE)*(F2790-Calc!F19))+B2803+(ArtifactsInput!$M$24-ArtifactsInput!$M$24)*CHOOSE(ArtifactsInput!$N$24+1,10,12,14,16,18,20)+IF(ArtifactsInput!$M$10,CHOOSE(ArtifactsInput!$N$10+1,15,18,21,24,27,30)*(IF(Inputs!$B$38="pvp",MIN(15,15)/15,IF(AND(Inputs!$B$38&lt;&gt;"pvp",Inputs!$B$43&gt;0),MIN(15,Inputs!$B$43)/(Inputs!$B$43),0))),0)))&gt;=100),MIN(100,((Inputs!$B$9+((C2790=TRUE)*(F2790-Calc!F19))+B2803+(ArtifactsInput!$M$24-ArtifactsInput!$M$24)*CHOOSE(ArtifactsInput!$N$24+1,10,12,14,16,18,20)+IF(ArtifactsInput!$M$10,CHOOSE(ArtifactsInput!$N$10+1,15,18,21,24,27,30)*(IF(Inputs!$B$38="pvp",MIN(15,15)/15,IF(AND(Inputs!$B$38&lt;&gt;"pvp",Inputs!$B$43&gt;0),MIN(15,Inputs!$B$43)/(Inputs!$B$43),0))),0)))-100),0))*CHOOSE(ArtifactsInput!$N$42+1,0.6,0.72,0.84,0.96,1.08,1.2))),Inputs!$B$18+((C2798=TRUE)*(F2798-Calc!F27))+(IF(AND(ArtifactsInput!$M$42,((Inputs!$B$9+((C2790=TRUE)*(F2790-Calc!F19))+B2803+(ArtifactsInput!$M$24-ArtifactsInput!$M$24)*CHOOSE(ArtifactsInput!$N$24+1,10,12,14,16,18,20)+IF(ArtifactsInput!$M$10,CHOOSE(ArtifactsInput!$N$10+1,15,18,21,24,27,30)*(IF(Inputs!$B$38="pvp",MIN(15,15)/15,IF(AND(Inputs!$B$38&lt;&gt;"pvp",Inputs!$B$43&gt;0),MIN(15,Inputs!$B$43)/(Inputs!$B$43),0))),0)))&gt;=100),CHOOSE(ArtifactsInput!$N$42+1,40,48,56,64,72,80),0))))/100)*((1+(((C2784=TRUE)*F2784)+((C2785=TRUE)*IF(Inputs!$B$38="pvp",F2785,(1-Summary!$B$11)*(F2785)+Summary!$B$11*(0)))+((C2786=TRUE)*F2786*IF(AND(Inputs!$B$38&lt;&gt;"pvp",Inputs!$B$43&gt;0),(((R2786-1)*(Skills!T15*(1+Inputs!$B$34/100))+MIN((Skills!T15*(1+Inputs!$B$34/100)),MAX(0,Inputs!$B$43-((R2786-1)*Skills!D15))))/Inputs!$B$43),IF(Inputs!$B$38="pvp",MIN((Skills!T15*(1+Inputs!$B$34/100)),15)/15,(Skills!T15*(1+Inputs!$B$34/100))/Skills!D15)))+((C2783=TRUE)*F2783)+((C2800=TRUE)*(F2800-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IF(ArtifactsInput!$M$41,FALSE,TRUE),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2782)</f>
        <v/>
      </c>
      <c r="L2782">
        <f>K2782*(MIN(Inputs!$B$22+((C2794=TRUE)*(F2794-Calc!F23)),(Inputs!$B$23+((C2799=TRUE)*(F2799-Calc!F28))+(IF(ArtifactsInput!$M$15,CHOOSE(ArtifactsInput!$N$15+1,25,30,35,40,45,50)/100*(Inputs!$B$11-Inputs!$B$11),0))))/100+(Inputs!$B$23+((C2799=TRUE)*(F2799-Calc!F28))+(IF(ArtifactsInput!$M$15,CHOOSE(ArtifactsInput!$N$15+1,25,30,35,40,45,50)/100*(Inputs!$B$11-Inputs!$B$11),0)))/100)/2</f>
        <v/>
      </c>
      <c r="M2782">
        <f>L2782*(1+(Inputs!$B$10+0+B2808+(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782">
        <f>L2782*(1-MIN((Inputs!$B$9+((C2790=TRUE)*(F2790-Calc!F19))+B2803+(ArtifactsInput!$M$24-ArtifactsInput!$M$24)*CHOOSE(ArtifactsInput!$N$24+1,10,12,14,16,18,20)+(IF(AND(ArtifactsInput!$M$42,((Inputs!$B$9+((C2790=TRUE)*(F2790-Calc!F19))+B2803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2782*(MIN((Inputs!$B$9+((C2790=TRUE)*(F2790-Calc!F19))+B2803+(ArtifactsInput!$M$24-ArtifactsInput!$M$24)*CHOOSE(ArtifactsInput!$N$24+1,10,12,14,16,18,20)+(IF(AND(ArtifactsInput!$M$42,((Inputs!$B$9+((C2790=TRUE)*(F2790-Calc!F19))+B2803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782">
        <f>(1-Summary!$B$11)*T2782+Summary!$B$11*V2782</f>
        <v/>
      </c>
      <c r="P2782">
        <f>IF(B2813=0,0,O2782/B2813)</f>
        <v/>
      </c>
      <c r="Q2782">
        <f>IFERROR(1/IF(Inputs!$B$38="pvp",15,MAX(0.1,Skills!D11-IF(Skills!E11=TRUE,Inputs!$B$32,0))),0)</f>
        <v/>
      </c>
      <c r="R2782">
        <f>IF(AND(Inputs!$B$38&lt;&gt;"pvp",Inputs!$B$43&gt;0),IF(MAX(0,Inputs!$B$43-B2810)&lt;=0,0,(INT(MAX(0,Inputs!$B$43-B2810)/IF(Inputs!$B$38="pvp",15,MAX(0.1,Skills!D11-IF(Skills!E11=TRUE,Inputs!$B$32,0))))+1)),0)</f>
        <v/>
      </c>
      <c r="S2782">
        <f>IFERROR((H2782*N2782*IF(AND(Inputs!$B$38&lt;&gt;"pvp",Inputs!$B$43&gt;0),((Skills!G11*((R2782-1)*IF(Skills!H11&gt;0,Skills!I11/Skills!H11,1)+IF(Skills!H11&gt;0,MIN(Skills!I11,MAX(0,MAX(0,Inputs!$B$43-B2810)-((R2782-1)*IF(Inputs!$B$38="pvp",15,MAX(0.1,Skills!D11-IF(Skills!E11=TRUE,Inputs!$B$32,0))))))/Skills!H11,1)))/Inputs!$B$43),G2782*Q2782))/N2782*IF(Inputs!$B$38="pvp",1,(1-Summary!$B$11)*1+Summary!$B$11*(MIN(Skills!R11,Inputs!$B$37))),0)</f>
        <v/>
      </c>
      <c r="T2782">
        <f>IF(C2782,(H2782*N2782*IF(AND(Inputs!$B$38&lt;&gt;"pvp",Inputs!$B$43&gt;0),((Skills!G11*((R2782-1)*IF(Skills!H11&gt;0,Skills!I11/Skills!H11,1)+IF(Skills!H11&gt;0,MIN(Skills!I11,MAX(0,MAX(0,Inputs!$B$43-B2810)-((R2782-1)*IF(Inputs!$B$38="pvp",15,MAX(0.1,Skills!D11-IF(Skills!E11=TRUE,Inputs!$B$32,0))))))/Skills!H11,1)))/Inputs!$B$43),G2782*Q2782))*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Hunt"),CHOOSE(ArtifactsInput!$N$35+1,15,18,21,24,27,30)*(1-EXP(-(0.2*B2805)*5)),0)+IF(AND(ArtifactsInput!$M$22,Inputs!$B$4&lt;&gt;"Chapter Hunt"),CHOOSE(ArtifactsInput!$N$22+1,10,12,14,16,18,20)*((0*(((0.15*B2805*5))^0/1)+1*(((0.15*B2805*5))^1/1)+2*(((0.15*B2805*5))^2/2)+3*(((0.15*B2805*5))^3/6)+4*(((0.15*B2805*5))^4/24)+5*(((0.15*B2805*5))^5/120))/((((0.15*B2805*5))^0/1)+(((0.15*B2805*5))^1/1)+(((0.15*B2805*5))^2/2)+(((0.15*B2805*5))^3/6)+(((0.15*B2805*5))^4/24)+(((0.15*B2805*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2782*(1-MIN(100,(Inputs!$B$9+((C2790=TRUE)*(F2790-Calc!F19))+B2803+(ArtifactsInput!$M$24-ArtifactsInput!$M$24)*CHOOSE(ArtifactsInput!$N$24+1,10,12,14,16,18,20)+(IF(AND(ArtifactsInput!$M$42,((Inputs!$B$9+((C2790=TRUE)*(F2790-Calc!F19))+B2803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2782*(MIN(100,(Inputs!$B$9+((C2790=TRUE)*(F2790-Calc!F19))+B2803+(ArtifactsInput!$M$24-ArtifactsInput!$M$24)*CHOOSE(ArtifactsInput!$N$24+1,10,12,14,16,18,20)+(IF(AND(ArtifactsInput!$M$42,((Inputs!$B$9+((C2790=TRUE)*(F2790-Calc!F19))+B2803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2782*(1-MIN(100,(Inputs!$B$9+((C2790=TRUE)*(F2790-Calc!F19))+B2803+(ArtifactsInput!$M$24-ArtifactsInput!$M$24)*CHOOSE(ArtifactsInput!$N$24+1,10,12,14,16,18,20)+(IF(AND(ArtifactsInput!$M$42,((Inputs!$B$9+((C2790=TRUE)*(F2790-Calc!F19))+B2803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2782*(MIN(100,(Inputs!$B$9+((C2790=TRUE)*(F2790-Calc!F19))+B2803+(ArtifactsInput!$M$24-ArtifactsInput!$M$24)*CHOOSE(ArtifactsInput!$N$24+1,10,12,14,16,18,20)+(IF(AND(ArtifactsInput!$M$42,((Inputs!$B$9+((C2790=TRUE)*(F2790-Calc!F19))+B2803+(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782">
        <f>IF(C2782,(H2782*N2782*IF(AND(Inputs!$B$38&lt;&gt;"pvp",Inputs!$B$43&gt;0),((Skills!G11*((R2782-1)*IF(Skills!H11&gt;0,Skills!I11/Skills!H11,1)+IF(Skills!H11&gt;0,MIN(Skills!I11,MAX(0,MAX(0,Inputs!$B$43-B2810)-((R2782-1)*IF(Inputs!$B$38="pvp",15,MAX(0.1,Skills!D11-IF(Skills!E11=TRUE,Inputs!$B$32,0))))))/Skills!H11,1)))/Inputs!$B$43),G2782*Q2782))*IF(Inputs!$B$38="pvp",1,(1+(Inputs!$B$21+Skills!Q11+(IF(ArtifactsInput!$M$33,CHOOSE(ArtifactsInput!$N$33+1,30,36,42,48,54,60),0))+(IF(AND(ArtifactsInput!$M$35,Inputs!$B$4&lt;&gt;"Chapter Hunt"),CHOOSE(ArtifactsInput!$N$35+1,15,18,21,24,27,30)*(1-EXP(-(0.2*B2805)*5)),0)+IF(AND(ArtifactsInput!$M$22,Inputs!$B$4&lt;&gt;"Chapter Hunt"),CHOOSE(ArtifactsInput!$N$22+1,10,12,14,16,18,20)*((0*(((0.15*B2805*5))^0/1)+1*(((0.15*B2805*5))^1/1)+2*(((0.15*B2805*5))^2/2)+3*(((0.15*B2805*5))^3/6)+4*(((0.15*B2805*5))^4/24)+5*(((0.15*B2805*5))^5/120))/((((0.15*B2805*5))^0/1)+(((0.15*B2805*5))^1/1)+(((0.15*B2805*5))^2/2)+(((0.15*B2805*5))^3/6)+(((0.15*B2805*5))^4/24)+(((0.15*B2805*5))^5/120))),0)))/100)*(MIN(Skills!R11,Inputs!$B$37)))*((1+(IF(AND(IF(ArtifactsInput!$M$41,FALSE,TRUE),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783">
      <c r="A2783">
        <f>Skills!A12</f>
        <v/>
      </c>
      <c r="B2783">
        <f>Skills!B12</f>
        <v/>
      </c>
      <c r="C2783">
        <f>Inputs!$B$3&gt;=60</f>
        <v/>
      </c>
      <c r="D2783">
        <f>IF(Skills!C12=1,60+Inputs!$B$25+Inputs!$B$29,IF(Skills!C12=2,90+Inputs!$B$26+Inputs!$B$29,IF(Skills!C12=3,120+Inputs!$B$27+Inputs!$B$29,MAX(0,(Inputs!$B$3-100)*3)+Inputs!$B$28+Inputs!$B$29)))</f>
        <v/>
      </c>
      <c r="E2783">
        <f>INDEX(FactorTable!$B$2:$Y$301, MATCH(ROUND(MIN(300,MAX(1,D2783)),0), FactorTable!$A$2:$A$301,0), Skills!M12+1)</f>
        <v/>
      </c>
      <c r="F2783">
        <f>IF(Skills!N12=TRUE,(Skills!L12/10)*(E2783/1000),Skills!L12/10)+Skills!O12</f>
        <v/>
      </c>
      <c r="G2783">
        <f>Skills!G12*IF(Skills!H12&gt;0,Skills!I12/Skills!H12,1)</f>
        <v/>
      </c>
      <c r="H2783">
        <f>1-(1-Skills!J12/100)^Skills!K12</f>
        <v/>
      </c>
      <c r="I2783" t="inlineStr">
        <is>
          <t>1</t>
        </is>
      </c>
      <c r="J2783" t="inlineStr"/>
      <c r="K2783" t="inlineStr"/>
      <c r="L2783" t="inlineStr"/>
      <c r="M2783" t="inlineStr"/>
      <c r="N2783" t="inlineStr"/>
      <c r="O2783">
        <f>(1-Summary!$B$11)*T2783+Summary!$B$11*V2783</f>
        <v/>
      </c>
      <c r="P2783">
        <f>IF(B2813=0,0,O2783/B2813)</f>
        <v/>
      </c>
      <c r="Q2783" t="n">
        <v>0</v>
      </c>
      <c r="R2783" t="n">
        <v>0</v>
      </c>
      <c r="S2783" t="n">
        <v>0</v>
      </c>
      <c r="T2783" t="n">
        <v>0</v>
      </c>
      <c r="V2783" t="n">
        <v>0</v>
      </c>
    </row>
    <row r="2784">
      <c r="A2784">
        <f>Skills!A13</f>
        <v/>
      </c>
      <c r="B2784">
        <f>Skills!B13</f>
        <v/>
      </c>
      <c r="C2784">
        <f>Inputs!$B$3&gt;=74</f>
        <v/>
      </c>
      <c r="D2784">
        <f>IF(Skills!C13=1,60+Inputs!$B$25+Inputs!$B$29,IF(Skills!C13=2,90+Inputs!$B$26+Inputs!$B$29,IF(Skills!C13=3,120+Inputs!$B$27+Inputs!$B$29,MAX(0,(Inputs!$B$3-100)*3)+Inputs!$B$28+Inputs!$B$29)))</f>
        <v/>
      </c>
      <c r="E2784">
        <f>INDEX(FactorTable!$B$2:$Y$301, MATCH(ROUND(MIN(300,MAX(1,D2784)),0), FactorTable!$A$2:$A$301,0), Skills!M13+1)</f>
        <v/>
      </c>
      <c r="F2784">
        <f>IF(Skills!N13=TRUE,(Skills!L13/10)*(E2784/1000),Skills!L13/10)+Skills!O13</f>
        <v/>
      </c>
      <c r="G2784">
        <f>Skills!G13*IF(Skills!H13&gt;0,Skills!I13/Skills!H13,1)</f>
        <v/>
      </c>
      <c r="H2784">
        <f>1-(1-Skills!J13/100)^Skills!K13</f>
        <v/>
      </c>
      <c r="I2784" t="inlineStr">
        <is>
          <t>1</t>
        </is>
      </c>
      <c r="J2784" t="inlineStr"/>
      <c r="K2784" t="inlineStr"/>
      <c r="L2784" t="inlineStr"/>
      <c r="M2784" t="inlineStr"/>
      <c r="N2784" t="inlineStr"/>
      <c r="O2784">
        <f>(1-Summary!$B$11)*T2784+Summary!$B$11*V2784</f>
        <v/>
      </c>
      <c r="P2784">
        <f>IF(B2813=0,0,O2784/B2813)</f>
        <v/>
      </c>
      <c r="Q2784" t="n">
        <v>0</v>
      </c>
      <c r="R2784" t="n">
        <v>0</v>
      </c>
      <c r="S2784" t="n">
        <v>0</v>
      </c>
      <c r="T2784" t="n">
        <v>0</v>
      </c>
      <c r="V2784" t="n">
        <v>0</v>
      </c>
    </row>
    <row r="2785">
      <c r="A2785">
        <f>Skills!A14</f>
        <v/>
      </c>
      <c r="B2785">
        <f>Skills!B14</f>
        <v/>
      </c>
      <c r="C2785">
        <f>Inputs!$B$3&gt;=74</f>
        <v/>
      </c>
      <c r="D2785">
        <f>IF(Skills!C14=1,60+Inputs!$B$25+Inputs!$B$29,IF(Skills!C14=2,90+Inputs!$B$26+Inputs!$B$29,IF(Skills!C14=3,120+Inputs!$B$27+Inputs!$B$29,MAX(0,(Inputs!$B$3-100)*3)+Inputs!$B$28+Inputs!$B$29)))</f>
        <v/>
      </c>
      <c r="E2785">
        <f>INDEX(FactorTable!$B$2:$Y$301, MATCH(ROUND(MIN(300,MAX(1,D2785)),0), FactorTable!$A$2:$A$301,0), Skills!M14+1)</f>
        <v/>
      </c>
      <c r="F2785">
        <f>IF(Skills!N14=TRUE,(Skills!L14/10)*(E2785/1000),Skills!L14/10)+Skills!O14</f>
        <v/>
      </c>
      <c r="G2785">
        <f>Skills!G14*IF(Skills!H14&gt;0,Skills!I14/Skills!H14,1)</f>
        <v/>
      </c>
      <c r="H2785">
        <f>1-(1-Skills!J14/100)^Skills!K14</f>
        <v/>
      </c>
      <c r="I2785" t="inlineStr">
        <is>
          <t>1</t>
        </is>
      </c>
      <c r="J2785" t="inlineStr"/>
      <c r="K2785" t="inlineStr"/>
      <c r="L2785" t="inlineStr"/>
      <c r="M2785" t="inlineStr"/>
      <c r="N2785" t="inlineStr"/>
      <c r="O2785">
        <f>(1-Summary!$B$11)*T2785+Summary!$B$11*V2785</f>
        <v/>
      </c>
      <c r="P2785">
        <f>IF(B2813=0,0,O2785/B2813)</f>
        <v/>
      </c>
      <c r="Q2785" t="n">
        <v>0</v>
      </c>
      <c r="R2785" t="n">
        <v>0</v>
      </c>
      <c r="S2785" t="n">
        <v>0</v>
      </c>
      <c r="T2785" t="n">
        <v>0</v>
      </c>
      <c r="V2785" t="n">
        <v>0</v>
      </c>
    </row>
    <row r="2786">
      <c r="A2786">
        <f>Skills!A15</f>
        <v/>
      </c>
      <c r="B2786">
        <f>Skills!B15</f>
        <v/>
      </c>
      <c r="C2786">
        <f>Inputs!$B$3&gt;=117</f>
        <v/>
      </c>
      <c r="D2786">
        <f>IF(Skills!C15=1,60+Inputs!$B$25+Inputs!$B$29,IF(Skills!C15=2,90+Inputs!$B$26+Inputs!$B$29,IF(Skills!C15=3,120+Inputs!$B$27+Inputs!$B$29,MAX(0,(Inputs!$B$3-100)*3)+Inputs!$B$28+Inputs!$B$29)))</f>
        <v/>
      </c>
      <c r="E2786">
        <f>INDEX(FactorTable!$B$2:$Y$301, MATCH(ROUND(MIN(300,MAX(1,D2786)),0), FactorTable!$A$2:$A$301,0), Skills!M15+1)</f>
        <v/>
      </c>
      <c r="F2786">
        <f>IF(Skills!N15=TRUE,(Skills!L15/10)*(E2786/1000),Skills!L15/10)+Skills!O15</f>
        <v/>
      </c>
      <c r="G2786">
        <f>Skills!G15*IF(Skills!H15&gt;0,Skills!I15/Skills!H15,1)</f>
        <v/>
      </c>
      <c r="H2786">
        <f>1-(1-Skills!J15/100)^Skills!K15</f>
        <v/>
      </c>
      <c r="I2786" t="inlineStr">
        <is>
          <t>1</t>
        </is>
      </c>
      <c r="J2786" t="inlineStr"/>
      <c r="K2786" t="inlineStr"/>
      <c r="L2786" t="inlineStr"/>
      <c r="M2786" t="inlineStr"/>
      <c r="N2786" t="inlineStr"/>
      <c r="O2786">
        <f>(1-Summary!$B$11)*T2786+Summary!$B$11*V2786</f>
        <v/>
      </c>
      <c r="P2786">
        <f>IF(B2813=0,0,O2786/B2813)</f>
        <v/>
      </c>
      <c r="Q2786">
        <f>IFERROR(1/IF(Inputs!$B$38="pvp",15,MAX(0.1,Skills!D15-IF(Skills!E15=TRUE,Inputs!$B$32,0))),0)</f>
        <v/>
      </c>
      <c r="R2786">
        <f>IF(AND(Inputs!$B$38&lt;&gt;"pvp",Inputs!$B$43&gt;0),IF(Inputs!$B$43&lt;=0,0,(INT(Inputs!$B$43/IF(Inputs!$B$38="pvp",15,MAX(0.1,Skills!D15-IF(Skills!E15=TRUE,Inputs!$B$32,0))))+1)),0)</f>
        <v/>
      </c>
      <c r="S2786" t="n">
        <v>0</v>
      </c>
      <c r="T2786" t="n">
        <v>0</v>
      </c>
      <c r="V2786" t="n">
        <v>0</v>
      </c>
    </row>
    <row r="2787">
      <c r="A2787">
        <f>Skills!A16</f>
        <v/>
      </c>
      <c r="B2787">
        <f>Skills!B16</f>
        <v/>
      </c>
      <c r="C2787">
        <f>Inputs!$B$3&gt;=115</f>
        <v/>
      </c>
      <c r="D2787">
        <f>IF(Skills!C16=1,60+Inputs!$B$25+Inputs!$B$29,IF(Skills!C16=2,90+Inputs!$B$26+Inputs!$B$29,IF(Skills!C16=3,120+Inputs!$B$27+Inputs!$B$29,MAX(0,(Inputs!$B$3-100)*3)+Inputs!$B$28+Inputs!$B$29)))</f>
        <v/>
      </c>
      <c r="E2787">
        <f>INDEX(FactorTable!$B$2:$Y$301, MATCH(ROUND(MIN(300,MAX(1,D2787)),0), FactorTable!$A$2:$A$301,0), Skills!M16+1)</f>
        <v/>
      </c>
      <c r="F2787">
        <f>IF(Skills!N16=TRUE,(Skills!L16/10)*(E2787/1000),Skills!L16/10)+Skills!O16</f>
        <v/>
      </c>
      <c r="G2787">
        <f>Skills!G16*IF(Skills!H16&gt;0,Skills!I16/Skills!H16,1)</f>
        <v/>
      </c>
      <c r="H2787">
        <f>1-(1-Skills!J16/100)^Skills!K16</f>
        <v/>
      </c>
      <c r="I2787" t="inlineStr">
        <is>
          <t>1</t>
        </is>
      </c>
      <c r="J2787" t="inlineStr"/>
      <c r="K2787" t="inlineStr"/>
      <c r="L2787" t="inlineStr"/>
      <c r="M2787" t="inlineStr"/>
      <c r="N2787" t="inlineStr"/>
      <c r="O2787">
        <f>(1-Summary!$B$11)*T2787+Summary!$B$11*V2787</f>
        <v/>
      </c>
      <c r="P2787">
        <f>IF(B2813=0,0,O2787/B2813)</f>
        <v/>
      </c>
      <c r="Q2787">
        <f>IFERROR(1/IF(Inputs!$B$38="pvp",15,MAX(0.1,Skills!D16-IF(Skills!E16=TRUE,Inputs!$B$32,0))),0)</f>
        <v/>
      </c>
      <c r="R2787">
        <f>IF(AND(Inputs!$B$38&lt;&gt;"pvp",Inputs!$B$43&gt;0),IF(Inputs!$B$43&lt;=0,0,(INT(Inputs!$B$43/IF(Inputs!$B$38="pvp",15,MAX(0.1,Skills!D16-IF(Skills!E16=TRUE,Inputs!$B$32,0))))+1)),0)</f>
        <v/>
      </c>
      <c r="S2787" t="n">
        <v>0</v>
      </c>
      <c r="T2787" t="n">
        <v>0</v>
      </c>
      <c r="V2787" t="n">
        <v>0</v>
      </c>
    </row>
    <row r="2788">
      <c r="A2788">
        <f>Skills!A17</f>
        <v/>
      </c>
      <c r="B2788">
        <f>Skills!B17</f>
        <v/>
      </c>
      <c r="C2788">
        <f>Inputs!$B$3&gt;=72</f>
        <v/>
      </c>
      <c r="D2788">
        <f>IF(Skills!C17=1,60+Inputs!$B$25+Inputs!$B$29,IF(Skills!C17=2,90+Inputs!$B$26+Inputs!$B$29,IF(Skills!C17=3,120+Inputs!$B$27+Inputs!$B$29,MAX(0,(Inputs!$B$3-100)*3)+Inputs!$B$28+Inputs!$B$29)))</f>
        <v/>
      </c>
      <c r="E2788">
        <f>INDEX(FactorTable!$B$2:$Y$301, MATCH(ROUND(MIN(300,MAX(1,D2788)),0), FactorTable!$A$2:$A$301,0), Skills!M17+1)</f>
        <v/>
      </c>
      <c r="F2788">
        <f>IF(Skills!N17=TRUE,(Skills!L17/10)*(E2788/1000),Skills!L17/10)+Skills!O17</f>
        <v/>
      </c>
      <c r="G2788">
        <f>Skills!G17*IF(Skills!H17&gt;0,Skills!I17/Skills!H17,1)</f>
        <v/>
      </c>
      <c r="H2788">
        <f>1-(1-Skills!J17/100)^Skills!K17</f>
        <v/>
      </c>
      <c r="I2788" t="inlineStr">
        <is>
          <t>1</t>
        </is>
      </c>
      <c r="J2788" t="inlineStr"/>
      <c r="K2788" t="inlineStr"/>
      <c r="L2788" t="inlineStr"/>
      <c r="M2788" t="inlineStr"/>
      <c r="N2788" t="inlineStr"/>
      <c r="O2788">
        <f>(1-Summary!$B$11)*T2788+Summary!$B$11*V2788</f>
        <v/>
      </c>
      <c r="P2788">
        <f>IF(B2813=0,0,O2788/B2813)</f>
        <v/>
      </c>
      <c r="Q2788" t="n">
        <v>0</v>
      </c>
      <c r="R2788" t="n">
        <v>0</v>
      </c>
      <c r="S2788" t="n">
        <v>0</v>
      </c>
      <c r="T2788" t="n">
        <v>0</v>
      </c>
      <c r="V2788" t="n">
        <v>0</v>
      </c>
    </row>
    <row r="2789">
      <c r="A2789">
        <f>Skills!A18</f>
        <v/>
      </c>
      <c r="B2789">
        <f>Skills!B18</f>
        <v/>
      </c>
      <c r="C2789">
        <f>TRUE</f>
        <v/>
      </c>
      <c r="D2789">
        <f>IF(Skills!C18=1,60+Inputs!$B$25+Inputs!$B$29,IF(Skills!C18=2,90+Inputs!$B$26+Inputs!$B$29,IF(Skills!C18=3,120+Inputs!$B$27+Inputs!$B$29,MAX(0,(Inputs!$B$3-100)*3)+Inputs!$B$28+Inputs!$B$29)))</f>
        <v/>
      </c>
      <c r="E2789">
        <f>INDEX(FactorTable!$B$2:$Y$301, MATCH(ROUND(MIN(300,MAX(1,D2789)),0), FactorTable!$A$2:$A$301,0), Skills!M18+1)</f>
        <v/>
      </c>
      <c r="F2789">
        <f>IF(Skills!N18=TRUE,(Skills!L18/10)*(E2789/1000),Skills!L18/10)+Skills!O18</f>
        <v/>
      </c>
      <c r="G2789">
        <f>Skills!G18*IF(Skills!H18&gt;0,Skills!I18/Skills!H18,1)</f>
        <v/>
      </c>
      <c r="H2789">
        <f>1-(1-Skills!J18/100)^Skills!K18</f>
        <v/>
      </c>
      <c r="I2789" t="inlineStr">
        <is>
          <t>1</t>
        </is>
      </c>
      <c r="J2789" t="inlineStr"/>
      <c r="K2789" t="inlineStr"/>
      <c r="L2789" t="inlineStr"/>
      <c r="M2789" t="inlineStr"/>
      <c r="N2789" t="inlineStr"/>
      <c r="O2789">
        <f>(1-Summary!$B$11)*T2789+Summary!$B$11*V2789</f>
        <v/>
      </c>
      <c r="P2789">
        <f>IF(B2813=0,0,O2789/B2813)</f>
        <v/>
      </c>
      <c r="Q2789">
        <f>IFERROR(1/IF(Inputs!$B$38="pvp",15,MAX(0.1,Skills!D18-IF(Skills!E18=TRUE,Inputs!$B$32,0))),0)</f>
        <v/>
      </c>
      <c r="R2789">
        <f>IF(AND(Inputs!$B$38&lt;&gt;"pvp",Inputs!$B$43&gt;0),IF(Inputs!$B$43&lt;=0,0,(INT(Inputs!$B$43/IF(Inputs!$B$38="pvp",15,MAX(0.1,Skills!D18-IF(Skills!E18=TRUE,Inputs!$B$32,0))))+1)),0)</f>
        <v/>
      </c>
      <c r="S2789" t="n">
        <v>0</v>
      </c>
      <c r="T2789" t="n">
        <v>0</v>
      </c>
      <c r="V2789" t="n">
        <v>0</v>
      </c>
    </row>
    <row r="2790">
      <c r="A2790">
        <f>Skills!A19</f>
        <v/>
      </c>
      <c r="B2790">
        <f>Skills!B19</f>
        <v/>
      </c>
      <c r="C2790">
        <f>Inputs!$B$3&gt;=15</f>
        <v/>
      </c>
      <c r="D2790">
        <f>IF(Skills!C19=1,60+Inputs!$B$25+Inputs!$B$29,IF(Skills!C19=2,90+Inputs!$B$26+Inputs!$B$29,IF(Skills!C19=3,120+Inputs!$B$27+Inputs!$B$29,MAX(0,(Inputs!$B$3-100)*3)+Inputs!$B$28+Inputs!$B$29)))</f>
        <v/>
      </c>
      <c r="E2790">
        <f>INDEX(FactorTable!$B$2:$Y$301, MATCH(ROUND(MIN(300,MAX(1,D2790)),0), FactorTable!$A$2:$A$301,0), Skills!M19+1)</f>
        <v/>
      </c>
      <c r="F2790">
        <f>IF(Skills!N19=TRUE,(Skills!L19/10)*(E2790/1000),Skills!L19/10)+Skills!O19</f>
        <v/>
      </c>
      <c r="G2790">
        <f>Skills!G19*IF(Skills!H19&gt;0,Skills!I19/Skills!H19,1)</f>
        <v/>
      </c>
      <c r="H2790">
        <f>1-(1-Skills!J19/100)^Skills!K19</f>
        <v/>
      </c>
      <c r="I2790" t="inlineStr">
        <is>
          <t>1</t>
        </is>
      </c>
      <c r="J2790" t="inlineStr"/>
      <c r="K2790" t="inlineStr"/>
      <c r="L2790" t="inlineStr"/>
      <c r="M2790" t="inlineStr"/>
      <c r="N2790" t="inlineStr"/>
      <c r="O2790">
        <f>(1-Summary!$B$11)*T2790+Summary!$B$11*V2790</f>
        <v/>
      </c>
      <c r="P2790">
        <f>IF(B2813=0,0,O2790/B2813)</f>
        <v/>
      </c>
      <c r="Q2790" t="n">
        <v>0</v>
      </c>
      <c r="R2790" t="n">
        <v>0</v>
      </c>
      <c r="S2790" t="n">
        <v>0</v>
      </c>
      <c r="T2790" t="n">
        <v>0</v>
      </c>
      <c r="V2790" t="n">
        <v>0</v>
      </c>
    </row>
    <row r="2791">
      <c r="A2791">
        <f>Skills!A20</f>
        <v/>
      </c>
      <c r="B2791">
        <f>Skills!B20</f>
        <v/>
      </c>
      <c r="C2791">
        <f>Inputs!$B$3&gt;=10</f>
        <v/>
      </c>
      <c r="D2791">
        <f>IF(Skills!C20=1,60+Inputs!$B$25+Inputs!$B$29,IF(Skills!C20=2,90+Inputs!$B$26+Inputs!$B$29,IF(Skills!C20=3,120+Inputs!$B$27+Inputs!$B$29,MAX(0,(Inputs!$B$3-100)*3)+Inputs!$B$28+Inputs!$B$29)))</f>
        <v/>
      </c>
      <c r="E2791">
        <f>INDEX(FactorTable!$B$2:$Y$301, MATCH(ROUND(MIN(300,MAX(1,D2791)),0), FactorTable!$A$2:$A$301,0), Skills!M20+1)</f>
        <v/>
      </c>
      <c r="F2791">
        <f>IF(Skills!N20=TRUE,(Skills!L20/10)*(E2791/1000),Skills!L20/10)+Skills!O20</f>
        <v/>
      </c>
      <c r="G2791">
        <f>Skills!G20*IF(Skills!H20&gt;0,Skills!I20/Skills!H20,1)</f>
        <v/>
      </c>
      <c r="H2791">
        <f>1-(1-Skills!J20/100)^Skills!K20</f>
        <v/>
      </c>
      <c r="I2791" t="inlineStr">
        <is>
          <t>1</t>
        </is>
      </c>
      <c r="J2791" t="inlineStr"/>
      <c r="K2791" t="inlineStr"/>
      <c r="L2791" t="inlineStr"/>
      <c r="M2791" t="inlineStr"/>
      <c r="N2791" t="inlineStr"/>
      <c r="O2791">
        <f>(1-Summary!$B$11)*T2791+Summary!$B$11*V2791</f>
        <v/>
      </c>
      <c r="P2791">
        <f>IF(B2813=0,0,O2791/B2813)</f>
        <v/>
      </c>
      <c r="Q2791" t="n">
        <v>0</v>
      </c>
      <c r="R2791" t="n">
        <v>0</v>
      </c>
      <c r="S2791" t="n">
        <v>0</v>
      </c>
      <c r="T2791" t="n">
        <v>0</v>
      </c>
      <c r="V2791" t="n">
        <v>0</v>
      </c>
    </row>
    <row r="2792">
      <c r="A2792">
        <f>Skills!A21</f>
        <v/>
      </c>
      <c r="B2792">
        <f>Skills!B21</f>
        <v/>
      </c>
      <c r="C2792">
        <f>Inputs!$B$3&gt;=33</f>
        <v/>
      </c>
      <c r="D2792">
        <f>IF(Skills!C21=1,60+Inputs!$B$25+Inputs!$B$29,IF(Skills!C21=2,90+Inputs!$B$26+Inputs!$B$29,IF(Skills!C21=3,120+Inputs!$B$27+Inputs!$B$29,MAX(0,(Inputs!$B$3-100)*3)+Inputs!$B$28+Inputs!$B$29)))</f>
        <v/>
      </c>
      <c r="E2792">
        <f>INDEX(FactorTable!$B$2:$Y$301, MATCH(ROUND(MIN(300,MAX(1,D2792)),0), FactorTable!$A$2:$A$301,0), Skills!M21+1)</f>
        <v/>
      </c>
      <c r="F2792">
        <f>IF(Skills!N21=TRUE,(Skills!L21/10)*(E2792/1000),Skills!L21/10)+Skills!O21</f>
        <v/>
      </c>
      <c r="G2792">
        <f>Skills!G21*IF(Skills!H21&gt;0,Skills!I21/Skills!H21,1)</f>
        <v/>
      </c>
      <c r="H2792">
        <f>1-(1-Skills!J21/100)^Skills!K21</f>
        <v/>
      </c>
      <c r="I2792" t="inlineStr">
        <is>
          <t>1</t>
        </is>
      </c>
      <c r="J2792" t="inlineStr"/>
      <c r="K2792" t="inlineStr"/>
      <c r="L2792" t="inlineStr"/>
      <c r="M2792" t="inlineStr"/>
      <c r="N2792" t="inlineStr"/>
      <c r="O2792">
        <f>(1-Summary!$B$11)*T2792+Summary!$B$11*V2792</f>
        <v/>
      </c>
      <c r="P2792">
        <f>IF(B2813=0,0,O2792/B2813)</f>
        <v/>
      </c>
      <c r="Q2792" t="n">
        <v>0</v>
      </c>
      <c r="R2792" t="n">
        <v>0</v>
      </c>
      <c r="S2792" t="n">
        <v>0</v>
      </c>
      <c r="T2792" t="n">
        <v>0</v>
      </c>
      <c r="V2792" t="n">
        <v>0</v>
      </c>
    </row>
    <row r="2793">
      <c r="A2793">
        <f>Skills!A22</f>
        <v/>
      </c>
      <c r="B2793">
        <f>Skills!B22</f>
        <v/>
      </c>
      <c r="C2793">
        <f>Inputs!$B$3&gt;=38</f>
        <v/>
      </c>
      <c r="D2793">
        <f>IF(Skills!C22=1,60+Inputs!$B$25+Inputs!$B$29,IF(Skills!C22=2,90+Inputs!$B$26+Inputs!$B$29,IF(Skills!C22=3,120+Inputs!$B$27+Inputs!$B$29,MAX(0,(Inputs!$B$3-100)*3)+Inputs!$B$28+Inputs!$B$29)))</f>
        <v/>
      </c>
      <c r="E2793">
        <f>INDEX(FactorTable!$B$2:$Y$301, MATCH(ROUND(MIN(300,MAX(1,D2793)),0), FactorTable!$A$2:$A$301,0), Skills!M22+1)</f>
        <v/>
      </c>
      <c r="F2793">
        <f>IF(Skills!N22=TRUE,(Skills!L22/10)*(E2793/1000),Skills!L22/10)+Skills!O22</f>
        <v/>
      </c>
      <c r="G2793">
        <f>Skills!G22*IF(Skills!H22&gt;0,Skills!I22/Skills!H22,1)</f>
        <v/>
      </c>
      <c r="H2793">
        <f>1-(1-Skills!J22/100)^Skills!K22</f>
        <v/>
      </c>
      <c r="I2793" t="inlineStr">
        <is>
          <t>1</t>
        </is>
      </c>
      <c r="J2793" t="inlineStr"/>
      <c r="K2793" t="inlineStr"/>
      <c r="L2793" t="inlineStr"/>
      <c r="M2793" t="inlineStr"/>
      <c r="N2793" t="inlineStr"/>
      <c r="O2793">
        <f>(1-Summary!$B$11)*T2793+Summary!$B$11*V2793</f>
        <v/>
      </c>
      <c r="P2793">
        <f>IF(B2813=0,0,O2793/B2813)</f>
        <v/>
      </c>
      <c r="Q2793" t="n">
        <v>0</v>
      </c>
      <c r="R2793" t="n">
        <v>0</v>
      </c>
      <c r="S2793" t="n">
        <v>0</v>
      </c>
      <c r="T2793" t="n">
        <v>0</v>
      </c>
      <c r="V2793" t="n">
        <v>0</v>
      </c>
    </row>
    <row r="2794">
      <c r="A2794">
        <f>Skills!A23</f>
        <v/>
      </c>
      <c r="B2794">
        <f>Skills!B23</f>
        <v/>
      </c>
      <c r="C2794">
        <f>Inputs!$B$3&gt;=43</f>
        <v/>
      </c>
      <c r="D2794">
        <f>IF(Skills!C23=1,60+Inputs!$B$25+Inputs!$B$29,IF(Skills!C23=2,90+Inputs!$B$26+Inputs!$B$29,IF(Skills!C23=3,120+Inputs!$B$27+Inputs!$B$29,MAX(0,(Inputs!$B$3-100)*3)+Inputs!$B$28+Inputs!$B$29)))</f>
        <v/>
      </c>
      <c r="E2794">
        <f>INDEX(FactorTable!$B$2:$Y$301, MATCH(ROUND(MIN(300,MAX(1,D2794)),0), FactorTable!$A$2:$A$301,0), Skills!M23+1)</f>
        <v/>
      </c>
      <c r="F2794">
        <f>IF(Skills!N23=TRUE,(Skills!L23/10)*(E2794/1000),Skills!L23/10)+Skills!O23</f>
        <v/>
      </c>
      <c r="G2794">
        <f>Skills!G23*IF(Skills!H23&gt;0,Skills!I23/Skills!H23,1)</f>
        <v/>
      </c>
      <c r="H2794">
        <f>1-(1-Skills!J23/100)^Skills!K23</f>
        <v/>
      </c>
      <c r="I2794" t="inlineStr">
        <is>
          <t>1</t>
        </is>
      </c>
      <c r="J2794" t="inlineStr"/>
      <c r="K2794" t="inlineStr"/>
      <c r="L2794" t="inlineStr"/>
      <c r="M2794" t="inlineStr"/>
      <c r="N2794" t="inlineStr"/>
      <c r="O2794">
        <f>(1-Summary!$B$11)*T2794+Summary!$B$11*V2794</f>
        <v/>
      </c>
      <c r="P2794">
        <f>IF(B2813=0,0,O2794/B2813)</f>
        <v/>
      </c>
      <c r="Q2794" t="n">
        <v>0</v>
      </c>
      <c r="R2794" t="n">
        <v>0</v>
      </c>
      <c r="S2794" t="n">
        <v>0</v>
      </c>
      <c r="T2794" t="n">
        <v>0</v>
      </c>
      <c r="V2794" t="n">
        <v>0</v>
      </c>
    </row>
    <row r="2795">
      <c r="A2795">
        <f>Skills!A24</f>
        <v/>
      </c>
      <c r="B2795">
        <f>Skills!B24</f>
        <v/>
      </c>
      <c r="C2795">
        <f>Inputs!$B$3&gt;=75</f>
        <v/>
      </c>
      <c r="D2795">
        <f>IF(Skills!C24=1,60+Inputs!$B$25+Inputs!$B$29,IF(Skills!C24=2,90+Inputs!$B$26+Inputs!$B$29,IF(Skills!C24=3,120+Inputs!$B$27+Inputs!$B$29,MAX(0,(Inputs!$B$3-100)*3)+Inputs!$B$28+Inputs!$B$29)))</f>
        <v/>
      </c>
      <c r="E2795">
        <f>INDEX(FactorTable!$B$2:$Y$301, MATCH(ROUND(MIN(300,MAX(1,D2795)),0), FactorTable!$A$2:$A$301,0), Skills!M24+1)</f>
        <v/>
      </c>
      <c r="F2795">
        <f>IF(Skills!N24=TRUE,(Skills!L24/10)*(E2795/1000),Skills!L24/10)+Skills!O24</f>
        <v/>
      </c>
      <c r="G2795">
        <f>Skills!G24*IF(Skills!H24&gt;0,Skills!I24/Skills!H24,1)</f>
        <v/>
      </c>
      <c r="H2795">
        <f>1-(1-Skills!J24/100)^Skills!K24</f>
        <v/>
      </c>
      <c r="I2795" t="inlineStr">
        <is>
          <t>1</t>
        </is>
      </c>
      <c r="J2795" t="inlineStr"/>
      <c r="K2795" t="inlineStr"/>
      <c r="L2795" t="inlineStr"/>
      <c r="M2795" t="inlineStr"/>
      <c r="N2795" t="inlineStr"/>
      <c r="O2795">
        <f>(1-Summary!$B$11)*T2795+Summary!$B$11*V2795</f>
        <v/>
      </c>
      <c r="P2795">
        <f>IF(B2813=0,0,O2795/B2813)</f>
        <v/>
      </c>
      <c r="Q2795" t="n">
        <v>0</v>
      </c>
      <c r="R2795" t="n">
        <v>0</v>
      </c>
      <c r="S2795" t="n">
        <v>0</v>
      </c>
      <c r="T2795" t="n">
        <v>0</v>
      </c>
      <c r="V2795" t="n">
        <v>0</v>
      </c>
    </row>
    <row r="2796">
      <c r="A2796">
        <f>Skills!A25</f>
        <v/>
      </c>
      <c r="B2796">
        <f>Skills!B25</f>
        <v/>
      </c>
      <c r="C2796">
        <f>Inputs!$B$3&gt;=125</f>
        <v/>
      </c>
      <c r="D2796">
        <f>IF(Skills!C25=1,60+Inputs!$B$25+Inputs!$B$29,IF(Skills!C25=2,90+Inputs!$B$26+Inputs!$B$29,IF(Skills!C25=3,120+Inputs!$B$27+Inputs!$B$29,MAX(0,(Inputs!$B$3-100)*3)+Inputs!$B$28+Inputs!$B$29)))</f>
        <v/>
      </c>
      <c r="E2796">
        <f>INDEX(FactorTable!$B$2:$Y$301, MATCH(ROUND(MIN(300,MAX(1,D2796)),0), FactorTable!$A$2:$A$301,0), Skills!M25+1)</f>
        <v/>
      </c>
      <c r="F2796">
        <f>IF(Skills!N25=TRUE,(Skills!L25/10)*(E2796/1000),Skills!L25/10)+Skills!O25</f>
        <v/>
      </c>
      <c r="G2796">
        <f>Skills!G25*IF(Skills!H25&gt;0,Skills!I25/Skills!H25,1)</f>
        <v/>
      </c>
      <c r="H2796">
        <f>1-(1-Skills!J25/100)^Skills!K25</f>
        <v/>
      </c>
      <c r="I2796" t="inlineStr">
        <is>
          <t>1</t>
        </is>
      </c>
      <c r="J2796" t="inlineStr"/>
      <c r="K2796" t="inlineStr"/>
      <c r="L2796" t="inlineStr"/>
      <c r="M2796" t="inlineStr"/>
      <c r="N2796" t="inlineStr"/>
      <c r="O2796">
        <f>(1-Summary!$B$11)*T2796+Summary!$B$11*V2796</f>
        <v/>
      </c>
      <c r="P2796">
        <f>IF(B2813=0,0,O2796/B2813)</f>
        <v/>
      </c>
      <c r="Q2796" t="n">
        <v>0</v>
      </c>
      <c r="R2796" t="n">
        <v>0</v>
      </c>
      <c r="S2796" t="n">
        <v>0</v>
      </c>
      <c r="T2796" t="n">
        <v>0</v>
      </c>
      <c r="V2796" t="n">
        <v>0</v>
      </c>
    </row>
    <row r="2797">
      <c r="A2797">
        <f>Skills!A26</f>
        <v/>
      </c>
      <c r="B2797">
        <f>Skills!B26</f>
        <v/>
      </c>
      <c r="C2797">
        <f>Inputs!$B$3&gt;=125</f>
        <v/>
      </c>
      <c r="D2797">
        <f>IF(Skills!C26=1,60+Inputs!$B$25+Inputs!$B$29,IF(Skills!C26=2,90+Inputs!$B$26+Inputs!$B$29,IF(Skills!C26=3,120+Inputs!$B$27+Inputs!$B$29,MAX(0,(Inputs!$B$3-100)*3)+Inputs!$B$28+Inputs!$B$29)))</f>
        <v/>
      </c>
      <c r="E2797">
        <f>INDEX(FactorTable!$B$2:$Y$301, MATCH(ROUND(MIN(300,MAX(1,D2797)),0), FactorTable!$A$2:$A$301,0), Skills!M26+1)</f>
        <v/>
      </c>
      <c r="F2797">
        <f>IF(Skills!N26=TRUE,(Skills!L26/10)*(E2797/1000),Skills!L26/10)+Skills!O26</f>
        <v/>
      </c>
      <c r="G2797">
        <f>Skills!G26*IF(Skills!H26&gt;0,Skills!I26/Skills!H26,1)</f>
        <v/>
      </c>
      <c r="H2797">
        <f>1-(1-Skills!J26/100)^Skills!K26</f>
        <v/>
      </c>
      <c r="I2797" t="inlineStr">
        <is>
          <t>1</t>
        </is>
      </c>
      <c r="J2797" t="inlineStr"/>
      <c r="K2797" t="inlineStr"/>
      <c r="L2797" t="inlineStr"/>
      <c r="M2797" t="inlineStr"/>
      <c r="N2797" t="inlineStr"/>
      <c r="O2797">
        <f>(1-Summary!$B$11)*T2797+Summary!$B$11*V2797</f>
        <v/>
      </c>
      <c r="P2797">
        <f>IF(B2813=0,0,O2797/B2813)</f>
        <v/>
      </c>
      <c r="Q2797" t="n">
        <v>0</v>
      </c>
      <c r="R2797" t="n">
        <v>0</v>
      </c>
      <c r="S2797" t="n">
        <v>0</v>
      </c>
      <c r="T2797" t="n">
        <v>0</v>
      </c>
      <c r="V2797" t="n">
        <v>0</v>
      </c>
    </row>
    <row r="2798">
      <c r="A2798">
        <f>Skills!A27</f>
        <v/>
      </c>
      <c r="B2798">
        <f>Skills!B27</f>
        <v/>
      </c>
      <c r="C2798">
        <f>Inputs!$B$3&gt;=120</f>
        <v/>
      </c>
      <c r="D2798">
        <f>IF(Skills!C27=1,60+Inputs!$B$25+Inputs!$B$29,IF(Skills!C27=2,90+Inputs!$B$26+Inputs!$B$29,IF(Skills!C27=3,120+Inputs!$B$27+Inputs!$B$29,MAX(0,(Inputs!$B$3-100)*3)+Inputs!$B$28+Inputs!$B$29)))</f>
        <v/>
      </c>
      <c r="E2798">
        <f>INDEX(FactorTable!$B$2:$Y$301, MATCH(ROUND(MIN(300,MAX(1,D2798)),0), FactorTable!$A$2:$A$301,0), Skills!M27+1)</f>
        <v/>
      </c>
      <c r="F2798">
        <f>IF(Skills!N27=TRUE,(Skills!L27/10)*(E2798/1000),Skills!L27/10)+Skills!O27</f>
        <v/>
      </c>
      <c r="G2798">
        <f>Skills!G27*IF(Skills!H27&gt;0,Skills!I27/Skills!H27,1)</f>
        <v/>
      </c>
      <c r="H2798">
        <f>1-(1-Skills!J27/100)^Skills!K27</f>
        <v/>
      </c>
      <c r="I2798" t="inlineStr">
        <is>
          <t>1</t>
        </is>
      </c>
      <c r="J2798" t="inlineStr"/>
      <c r="K2798" t="inlineStr"/>
      <c r="L2798" t="inlineStr"/>
      <c r="M2798" t="inlineStr"/>
      <c r="N2798" t="inlineStr"/>
      <c r="O2798">
        <f>(1-Summary!$B$11)*T2798+Summary!$B$11*V2798</f>
        <v/>
      </c>
      <c r="P2798">
        <f>IF(B2813=0,0,O2798/B2813)</f>
        <v/>
      </c>
      <c r="Q2798" t="n">
        <v>0</v>
      </c>
      <c r="R2798" t="n">
        <v>0</v>
      </c>
      <c r="S2798" t="n">
        <v>0</v>
      </c>
      <c r="T2798" t="n">
        <v>0</v>
      </c>
      <c r="V2798" t="n">
        <v>0</v>
      </c>
    </row>
    <row r="2799">
      <c r="A2799">
        <f>Skills!A28</f>
        <v/>
      </c>
      <c r="B2799">
        <f>Skills!B28</f>
        <v/>
      </c>
      <c r="C2799">
        <f>Inputs!$B$3&gt;=120</f>
        <v/>
      </c>
      <c r="D2799">
        <f>IF(Skills!C28=1,60+Inputs!$B$25+Inputs!$B$29,IF(Skills!C28=2,90+Inputs!$B$26+Inputs!$B$29,IF(Skills!C28=3,120+Inputs!$B$27+Inputs!$B$29,MAX(0,(Inputs!$B$3-100)*3)+Inputs!$B$28+Inputs!$B$29)))</f>
        <v/>
      </c>
      <c r="E2799">
        <f>INDEX(FactorTable!$B$2:$Y$301, MATCH(ROUND(MIN(300,MAX(1,D2799)),0), FactorTable!$A$2:$A$301,0), Skills!M28+1)</f>
        <v/>
      </c>
      <c r="F2799">
        <f>IF(Skills!N28=TRUE,(Skills!L28/10)*(E2799/1000),Skills!L28/10)+Skills!O28</f>
        <v/>
      </c>
      <c r="G2799">
        <f>Skills!G28*IF(Skills!H28&gt;0,Skills!I28/Skills!H28,1)</f>
        <v/>
      </c>
      <c r="H2799">
        <f>1-(1-Skills!J28/100)^Skills!K28</f>
        <v/>
      </c>
      <c r="I2799" t="inlineStr">
        <is>
          <t>1</t>
        </is>
      </c>
      <c r="J2799" t="inlineStr"/>
      <c r="K2799" t="inlineStr"/>
      <c r="L2799" t="inlineStr"/>
      <c r="M2799" t="inlineStr"/>
      <c r="N2799" t="inlineStr"/>
      <c r="O2799">
        <f>(1-Summary!$B$11)*T2799+Summary!$B$11*V2799</f>
        <v/>
      </c>
      <c r="P2799">
        <f>IF(B2813=0,0,O2799/B2813)</f>
        <v/>
      </c>
      <c r="Q2799" t="n">
        <v>0</v>
      </c>
      <c r="R2799" t="n">
        <v>0</v>
      </c>
      <c r="S2799" t="n">
        <v>0</v>
      </c>
      <c r="T2799" t="n">
        <v>0</v>
      </c>
      <c r="V2799" t="n">
        <v>0</v>
      </c>
    </row>
    <row r="2800">
      <c r="A2800">
        <f>Skills!A29</f>
        <v/>
      </c>
      <c r="B2800">
        <f>Skills!B29</f>
        <v/>
      </c>
      <c r="C2800">
        <f>Inputs!$B$3&gt;=45</f>
        <v/>
      </c>
      <c r="D2800">
        <f>IF(Skills!C29=1,60+Inputs!$B$25+Inputs!$B$29,IF(Skills!C29=2,90+Inputs!$B$26+Inputs!$B$29,IF(Skills!C29=3,120+Inputs!$B$27+Inputs!$B$29,MAX(0,(Inputs!$B$3-100)*3)+Inputs!$B$28+Inputs!$B$29)))</f>
        <v/>
      </c>
      <c r="E2800">
        <f>INDEX(FactorTable!$B$2:$Y$301, MATCH(ROUND(MIN(300,MAX(1,D2800)),0), FactorTable!$A$2:$A$301,0), Skills!M29+1)</f>
        <v/>
      </c>
      <c r="F2800">
        <f>IF(Skills!N29=TRUE,(Skills!L29/10)*(E2800/1000),Skills!L29/10)+Skills!O29</f>
        <v/>
      </c>
      <c r="G2800">
        <f>Skills!G29*IF(Skills!H29&gt;0,Skills!I29/Skills!H29,1)</f>
        <v/>
      </c>
      <c r="H2800">
        <f>1-(1-Skills!J29/100)^Skills!K29</f>
        <v/>
      </c>
      <c r="I2800" t="inlineStr">
        <is>
          <t>1</t>
        </is>
      </c>
      <c r="J2800" t="inlineStr"/>
      <c r="K2800" t="inlineStr"/>
      <c r="L2800" t="inlineStr"/>
      <c r="M2800" t="inlineStr"/>
      <c r="N2800" t="inlineStr"/>
      <c r="O2800">
        <f>(1-Summary!$B$11)*T2800+Summary!$B$11*V2800</f>
        <v/>
      </c>
      <c r="P2800">
        <f>IF(B2813=0,0,O2800/B2813)</f>
        <v/>
      </c>
      <c r="Q2800" t="n">
        <v>0</v>
      </c>
      <c r="R2800" t="n">
        <v>0</v>
      </c>
      <c r="S2800" t="n">
        <v>0</v>
      </c>
      <c r="T2800" t="n">
        <v>0</v>
      </c>
      <c r="V2800" t="n">
        <v>0</v>
      </c>
    </row>
    <row r="2802">
      <c r="A2802" t="inlineStr">
        <is>
          <t>Attack% Bucket Multiplier</t>
        </is>
      </c>
      <c r="B2802">
        <f>(1+(((C2784=TRUE)*F2784)+((C2785=TRUE)*IF(Inputs!$B$38="pvp",F2785,(1-Summary!$B$11)*(F2785)+Summary!$B$11*(0)))+((C2786=TRUE)*F2786*IF(AND(Inputs!$B$38&lt;&gt;"pvp",Inputs!$B$43&gt;0),(((R2786-1)*(Skills!T15*(1+Inputs!$B$34/100))+MIN((Skills!T15*(1+Inputs!$B$34/100)),MAX(0,Inputs!$B$43-((R2786-1)*Skills!D15))))/Inputs!$B$43),IF(Inputs!$B$38="pvp",MIN((Skills!T15*(1+Inputs!$B$34/100)),15)/15,(Skills!T15*(1+Inputs!$B$34/100))/Skills!D15)))+((C2783=TRUE)*F2783)+((C2800=TRUE)*(F2800-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IF(ArtifactsInput!$M$41,FALSE,TRUE),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2803">
      <c r="A2803" t="inlineStr">
        <is>
          <t>Global Crit Rate Bonus %</t>
        </is>
      </c>
      <c r="B2803">
        <f>(C2787=TRUE)*20*IF(AND(Inputs!$B$38&lt;&gt;"pvp",Inputs!$B$43&gt;0),(((R2787-1)*(Skills!T16*(1+Inputs!$B$34/100))+MIN((Skills!T16*(1+Inputs!$B$34/100)),MAX(0,Inputs!$B$43-((R2787-1)*Skills!D16))))/Inputs!$B$43),IF(Inputs!$B$38="pvp",MIN((Skills!T16*(1+Inputs!$B$34/100)),15)/15,(Skills!T16*(1+Inputs!$B$34/100))/Skills!D16))</f>
        <v/>
      </c>
    </row>
    <row r="2804">
      <c r="A2804" t="inlineStr">
        <is>
          <t>Attack Speed Buff Bonus %</t>
        </is>
      </c>
      <c r="B2804">
        <f>((C2789=TRUE)*F2789*IF(AND(Inputs!$B$38&lt;&gt;"pvp",Inputs!$B$43&gt;0),(((R2789-1)*(Skills!T18*(1+Inputs!$B$34/100))+MIN((Skills!T18*(1+Inputs!$B$34/100)),MAX(0,Inputs!$B$43-((R2789-1)*Skills!D18))))/Inputs!$B$43),IF(Inputs!$B$38="pvp",MIN((Skills!T18*(1+Inputs!$B$34/100)),15)/15,(Skills!T18*(1+Inputs!$B$34/100))/Skills!D18)))</f>
        <v/>
      </c>
    </row>
    <row r="2805">
      <c r="A2805" t="inlineStr">
        <is>
          <t>Actions Per Second</t>
        </is>
      </c>
      <c r="B2805">
        <f>1+MIN(150,150*(1-(1-(Inputs!$B$11+((C2791=TRUE)*(F2791-Calc!F20))+((C2792=TRUE)*(F2792-Calc!F21)))/150)*(1-B2804/150)))/100</f>
        <v/>
      </c>
    </row>
    <row r="2806">
      <c r="A2806" t="inlineStr">
        <is>
          <t>Skill + Buff Cast Rate</t>
        </is>
      </c>
      <c r="B2806">
        <f>IF(AND(Inputs!$B$38&lt;&gt;"pvp",Inputs!$B$43&gt;0),SUMPRODUCT((Skills!E2:E29=TRUE)*(C2773:C2800=TRUE)*R2773:R2800*Skills!F2:F29)/Inputs!$B$43,SUMPRODUCT((Skills!E2:E29=TRUE)*(C2773:C2800=TRUE)*Q2773:Q2800*Skills!F2:F29))</f>
        <v/>
      </c>
    </row>
    <row r="2807">
      <c r="A2807" t="inlineStr">
        <is>
          <t>Empowered Piercing Arrow Casts Per Second</t>
        </is>
      </c>
      <c r="B2807">
        <f>MAX(0,B2805-B2806)</f>
        <v/>
      </c>
    </row>
    <row r="2808">
      <c r="A2808" t="inlineStr">
        <is>
          <t>Global Critical Damage Bonus % (Sharp Eyes)</t>
        </is>
      </c>
      <c r="B2808">
        <f>(C2787=TRUE)*F2787*IF(AND(Inputs!$B$38&lt;&gt;"pvp",Inputs!$B$43&gt;0),(((R2787-1)*(Skills!T16*(1+Inputs!$B$34/100))+MIN((Skills!T16*(1+Inputs!$B$34/100)),MAX(0,Inputs!$B$43-((R2787-1)*Skills!D16))))/Inputs!$B$43),IF(Inputs!$B$38="pvp",MIN((Skills!T16*(1+Inputs!$B$34/100)),15)/15,(Skills!T16*(1+Inputs!$B$34/100))/Skills!D16))</f>
        <v/>
      </c>
    </row>
    <row r="2809">
      <c r="A2809" t="inlineStr">
        <is>
          <t>Global Final Damage Bonus % (Mortal Blow + Last Man Standing conditional half)</t>
        </is>
      </c>
      <c r="B2809">
        <f>(C2788=TRUE)*F2788+((C2797=TRUE)*IF(Inputs!$B$38="pvp",F2797,(1-Summary!$B$11)*(F2797)+Summary!$B$11*(0)))</f>
        <v/>
      </c>
    </row>
    <row r="2810">
      <c r="A2810" t="inlineStr">
        <is>
          <t>Buff-Casting Startup Delay (s, fixed-duration only)</t>
        </is>
      </c>
      <c r="B2810">
        <f>IF(AND(Inputs!$B$38&lt;&gt;"pvp",Inputs!$B$43&gt;0),SUMPRODUCT((Skills!T2:T29&gt;0)*(Skills!E2:E29=TRUE)*(C2773:C2800=TRUE))/B2805,0)</f>
        <v/>
      </c>
    </row>
    <row r="2811">
      <c r="A2811" t="inlineStr">
        <is>
          <t>Boss-Only Total DPS (this block's swept value)</t>
        </is>
      </c>
      <c r="B2811">
        <f>SUM(T2773:T2800)</f>
        <v/>
      </c>
    </row>
    <row r="2812">
      <c r="A2812" t="inlineStr">
        <is>
          <t>Normal-Only Total DPS (this block's swept value)</t>
        </is>
      </c>
      <c r="B2812">
        <f>SUM(V2773:V2800)</f>
        <v/>
      </c>
    </row>
    <row r="2813">
      <c r="A2813" s="6" t="inlineStr">
        <is>
          <t>TOTAL DPS</t>
        </is>
      </c>
      <c r="B2813" s="6">
        <f>SUM(O2773:O2800)</f>
        <v/>
      </c>
    </row>
    <row r="2816">
      <c r="A2816" s="6" t="inlineStr">
        <is>
          <t>Stat: Ring of Cycles (Equip)</t>
        </is>
      </c>
    </row>
    <row r="2817">
      <c r="A2817" s="5" t="inlineStr">
        <is>
          <t>Key</t>
        </is>
      </c>
      <c r="B2817" s="5" t="inlineStr">
        <is>
          <t>Name</t>
        </is>
      </c>
      <c r="C2817" s="5" t="inlineStr">
        <is>
          <t>Unlocked</t>
        </is>
      </c>
      <c r="D2817" s="5" t="inlineStr">
        <is>
          <t>InputLevel</t>
        </is>
      </c>
      <c r="E2817" s="5" t="inlineStr">
        <is>
          <t>Factor</t>
        </is>
      </c>
      <c r="F2817" s="5" t="inlineStr">
        <is>
          <t>CoefficientPercent</t>
        </is>
      </c>
      <c r="G2817" s="5" t="inlineStr">
        <is>
          <t>EffectiveHits</t>
        </is>
      </c>
      <c r="H2817" s="5" t="inlineStr">
        <is>
          <t>ProcProbability</t>
        </is>
      </c>
      <c r="I2817" s="5" t="inlineStr">
        <is>
          <t>MapleHeroMultiplier</t>
        </is>
      </c>
      <c r="J2817" s="5" t="inlineStr">
        <is>
          <t>BaseDamage</t>
        </is>
      </c>
      <c r="K2817" s="5" t="inlineStr">
        <is>
          <t>BaseHitDamage</t>
        </is>
      </c>
      <c r="L2817" s="5" t="inlineStr">
        <is>
          <t>NonCritAvg</t>
        </is>
      </c>
      <c r="M2817" s="5" t="inlineStr">
        <is>
          <t>CritAvg</t>
        </is>
      </c>
      <c r="N2817" s="5" t="inlineStr">
        <is>
          <t>ExpectedDamage(perHit)</t>
        </is>
      </c>
      <c r="O2817" s="5" t="inlineStr">
        <is>
          <t>DPS</t>
        </is>
      </c>
      <c r="P2817" s="5" t="inlineStr">
        <is>
          <t>% of Total</t>
        </is>
      </c>
      <c r="Q2817" s="5" t="inlineStr">
        <is>
          <t>InvCooldown</t>
        </is>
      </c>
      <c r="R2817" s="5" t="inlineStr">
        <is>
          <t>CastsInFight</t>
        </is>
      </c>
      <c r="S2817" s="5" t="inlineStr">
        <is>
          <t>HitRate(perSec)</t>
        </is>
      </c>
      <c r="U2817" t="inlineStr">
        <is>
          <t>helpers</t>
        </is>
      </c>
    </row>
    <row r="2818">
      <c r="A2818">
        <f>Skills!A2</f>
        <v/>
      </c>
      <c r="B2818">
        <f>Skills!B2</f>
        <v/>
      </c>
      <c r="C2818">
        <f>Inputs!$B$3&gt;=100</f>
        <v/>
      </c>
      <c r="D2818" t="inlineStr"/>
      <c r="E2818" t="inlineStr"/>
      <c r="F2818">
        <f>U2820+Skills!O2</f>
        <v/>
      </c>
      <c r="G2818">
        <f>Skills!G2*IF(Skills!H2&gt;0,Skills!I2/Skills!H2,1)</f>
        <v/>
      </c>
      <c r="H2818">
        <f>1-(1-Skills!J2/100)^Skills!K2</f>
        <v/>
      </c>
      <c r="I2818" t="inlineStr">
        <is>
          <t>1</t>
        </is>
      </c>
      <c r="J2818">
        <f>((Inputs!$B$6*(1+Inputs!$B$7/100))+(((Inputs!$B$12*(1+Inputs!$B$13/100))-(Inputs!$B$12*(1+Inputs!$B$13/100)))+0.25*(Inputs!$B$14-Inputs!$B$14))*(1+Inputs!$B$7/100))*(F2818/100)</f>
        <v/>
      </c>
      <c r="K2818">
        <f>J2818*(1+((Inputs!$B$12*(1+Inputs!$B$13/100))*0.01+Inputs!$B$14*0.0025)/100)*(1+Inputs!$B$15/100)*(1+Inputs!$B$16/100)*(5000/(6000+Inputs!$B$42*(1-(100*(1-(1-(Inputs!$B$19+0)/100)*(1-CHOOSE(ArtifactsInput!$N$40+1,5,6,7,8,9,10)/100)^(ArtifactsInput!$M$40-ArtifactsInput!$M$40)))/100)))*(1+(Inputs!$B$24+((C2840=TRUE)*(F2840-Calc!F24))+((C2841=TRUE)*(F2841-Calc!F25))+B2854)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EMPOWERED_PIERCING_ARROW",Inputs!$B$17+((C2838=TRUE)*(F2838-Calc!F22))+(((IF(AND(IF(ArtifactsInput!$M$42,FALSE,TRUE),((Inputs!$B$9+((C2835=TRUE)*(F2835-Calc!F19))+B2848+(ArtifactsInput!$M$24-ArtifactsInput!$M$24)*CHOOSE(ArtifactsInput!$N$24+1,10,12,14,16,18,20)+IF(ArtifactsInput!$M$10,CHOOSE(ArtifactsInput!$N$10+1,15,18,21,24,27,30)*(IF(Inputs!$B$38="pvp",MIN(15,15)/15,IF(AND(Inputs!$B$38&lt;&gt;"pvp",Inputs!$B$43&gt;0),MIN(15,Inputs!$B$43)/(Inputs!$B$43),0))),0)))&gt;=100),MIN(100,((Inputs!$B$9+((C2835=TRUE)*(F2835-Calc!F19))+B2848+(ArtifactsInput!$M$24-ArtifactsInput!$M$24)*CHOOSE(ArtifactsInput!$N$24+1,10,12,14,16,18,20)+IF(ArtifactsInput!$M$10,CHOOSE(ArtifactsInput!$N$10+1,15,18,21,24,27,30)*(IF(Inputs!$B$38="pvp",MIN(15,15)/15,IF(AND(Inputs!$B$38&lt;&gt;"pvp",Inputs!$B$43&gt;0),MIN(15,Inputs!$B$43)/(Inputs!$B$43),0))),0)))-100),0))*CHOOSE(ArtifactsInput!$N$42+1,0.6,0.72,0.84,0.96,1.08,1.2))),Inputs!$B$18+((C2843=TRUE)*(F2843-Calc!F27))+(IF(AND(IF(ArtifactsInput!$M$42,FALSE,TRUE),((Inputs!$B$9+((C2835=TRUE)*(F2835-Calc!F19))+B2848+(ArtifactsInput!$M$24-ArtifactsInput!$M$24)*CHOOSE(ArtifactsInput!$N$24+1,10,12,14,16,18,20)+IF(ArtifactsInput!$M$10,CHOOSE(ArtifactsInput!$N$10+1,15,18,21,24,27,30)*(IF(Inputs!$B$38="pvp",MIN(15,15)/15,IF(AND(Inputs!$B$38&lt;&gt;"pvp",Inputs!$B$43&gt;0),MIN(15,Inputs!$B$43)/(Inputs!$B$43),0))),0)))&gt;=100),CHOOSE(ArtifactsInput!$N$42+1,40,48,56,64,72,80),0))))/100)*((1+(((C2829=TRUE)*F2829)+((C2830=TRUE)*IF(Inputs!$B$38="pvp",F2830,(1-Summary!$B$11)*(F2830)+Summary!$B$11*(0)))+((C2831=TRUE)*F2831*IF(AND(Inputs!$B$38&lt;&gt;"pvp",Inputs!$B$43&gt;0),(((R2831-1)*(Skills!T15*(1+Inputs!$B$34/100))+MIN((Skills!T15*(1+Inputs!$B$34/100)),MAX(0,Inputs!$B$43-((R2831-1)*Skills!D15))))/Inputs!$B$43),IF(Inputs!$B$38="pvp",MIN((Skills!T15*(1+Inputs!$B$34/100)),15)/15,(Skills!T15*(1+Inputs!$B$34/100))/Skills!D15)))+((C2828=TRUE)*F2828)+((C2845=TRUE)*(F2845-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2818)</f>
        <v/>
      </c>
      <c r="L2818">
        <f>K2818*(MIN(Inputs!$B$22+((C2839=TRUE)*(F2839-Calc!F23)),(Inputs!$B$23+((C2844=TRUE)*(F2844-Calc!F28))+(IF(ArtifactsInput!$M$15,CHOOSE(ArtifactsInput!$N$15+1,25,30,35,40,45,50)/100*(Inputs!$B$11-Inputs!$B$11),0))))/100+(Inputs!$B$23+((C2844=TRUE)*(F2844-Calc!F28))+(IF(ArtifactsInput!$M$15,CHOOSE(ArtifactsInput!$N$15+1,25,30,35,40,45,50)/100*(Inputs!$B$11-Inputs!$B$11),0)))/100)/2</f>
        <v/>
      </c>
      <c r="M2818">
        <f>L2818*(1+(Inputs!$B$10+0+B2853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818">
        <f>L2818*(1-MIN((Inputs!$B$9+((C2835=TRUE)*(F2835-Calc!F19))+B2848+(ArtifactsInput!$M$24-ArtifactsInput!$M$24)*CHOOSE(ArtifactsInput!$N$24+1,10,12,14,16,18,20)+(IF(AND(IF(ArtifactsInput!$M$42,FALSE,TRUE),((Inputs!$B$9+((C2835=TRUE)*(F2835-Calc!F19))+B2848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2818*(MIN((Inputs!$B$9+((C2835=TRUE)*(F2835-Calc!F19))+B2848+(ArtifactsInput!$M$24-ArtifactsInput!$M$24)*CHOOSE(ArtifactsInput!$N$24+1,10,12,14,16,18,20)+(IF(AND(IF(ArtifactsInput!$M$42,FALSE,TRUE),((Inputs!$B$9+((C2835=TRUE)*(F2835-Calc!F19))+B2848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818">
        <f>(1-Summary!$B$11)*T2818+Summary!$B$11*V2818</f>
        <v/>
      </c>
      <c r="P2818">
        <f>IF(B2858=0,0,O2818/B2858)</f>
        <v/>
      </c>
      <c r="Q2818" t="n">
        <v>0</v>
      </c>
      <c r="R2818" t="n">
        <v>0</v>
      </c>
      <c r="S2818">
        <f>IFERROR((Skills!G2*N2818*B2852)/N2818*IF(Inputs!$B$38="pvp",1,(1-Summary!$B$11)*1+Summary!$B$11*(MIN((6+Inputs!$B$33),Inputs!$B$37))),0)</f>
        <v/>
      </c>
      <c r="T2818">
        <f>IF(C2818,(Skills!G2*N2818*B2852)*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Hunt"),CHOOSE(ArtifactsInput!$N$35+1,15,18,21,24,27,30)*(1-EXP(-(0.2*B2850)*5)),0)+IF(AND(ArtifactsInput!$M$22,Inputs!$B$4&lt;&gt;"Chapter Hunt"),CHOOSE(ArtifactsInput!$N$22+1,10,12,14,16,18,20)*((0*(((0.15*B2850*5))^0/1)+1*(((0.15*B2850*5))^1/1)+2*(((0.15*B2850*5))^2/2)+3*(((0.15*B2850*5))^3/6)+4*(((0.15*B2850*5))^4/24)+5*(((0.15*B2850*5))^5/120))/((((0.15*B2850*5))^0/1)+(((0.15*B2850*5))^1/1)+(((0.15*B2850*5))^2/2)+(((0.15*B2850*5))^3/6)+(((0.15*B2850*5))^4/24)+(((0.15*B2850*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2818*(1-MIN(100,(Inputs!$B$9+((C2835=TRUE)*(F2835-Calc!F19))+B2848+(ArtifactsInput!$M$24-ArtifactsInput!$M$24)*CHOOSE(ArtifactsInput!$N$24+1,10,12,14,16,18,20)+(IF(AND(IF(ArtifactsInput!$M$42,FALSE,TRUE),((Inputs!$B$9+((C2835=TRUE)*(F2835-Calc!F19))+B2848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2818*(MIN(100,(Inputs!$B$9+((C2835=TRUE)*(F2835-Calc!F19))+B2848+(ArtifactsInput!$M$24-ArtifactsInput!$M$24)*CHOOSE(ArtifactsInput!$N$24+1,10,12,14,16,18,20)+(IF(AND(IF(ArtifactsInput!$M$42,FALSE,TRUE),((Inputs!$B$9+((C2835=TRUE)*(F2835-Calc!F19))+B2848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2818*(1-MIN(100,(Inputs!$B$9+((C2835=TRUE)*(F2835-Calc!F19))+B2848+(ArtifactsInput!$M$24-ArtifactsInput!$M$24)*CHOOSE(ArtifactsInput!$N$24+1,10,12,14,16,18,20)+(IF(AND(IF(ArtifactsInput!$M$42,FALSE,TRUE),((Inputs!$B$9+((C2835=TRUE)*(F2835-Calc!F19))+B2848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2818*(MIN(100,(Inputs!$B$9+((C2835=TRUE)*(F2835-Calc!F19))+B2848+(ArtifactsInput!$M$24-ArtifactsInput!$M$24)*CHOOSE(ArtifactsInput!$N$24+1,10,12,14,16,18,20)+(IF(AND(IF(ArtifactsInput!$M$42,FALSE,TRUE),((Inputs!$B$9+((C2835=TRUE)*(F2835-Calc!F19))+B2848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818">
        <f>MAX(0,(Inputs!$B$3-100)*3)+Inputs!$B$28+Inputs!$B$29</f>
        <v/>
      </c>
      <c r="V2818">
        <f>IF(C2818,(Skills!G2*N2818*B2852)*IF(Inputs!$B$38="pvp",1,(1+(Inputs!$B$21+Skills!Q2+(IF(ArtifactsInput!$M$33,CHOOSE(ArtifactsInput!$N$33+1,30,36,42,48,54,60),0))+(IF(AND(ArtifactsInput!$M$35,Inputs!$B$4&lt;&gt;"Chapter Hunt"),CHOOSE(ArtifactsInput!$N$35+1,15,18,21,24,27,30)*(1-EXP(-(0.2*B2850)*5)),0)+IF(AND(ArtifactsInput!$M$22,Inputs!$B$4&lt;&gt;"Chapter Hunt"),CHOOSE(ArtifactsInput!$N$22+1,10,12,14,16,18,20)*((0*(((0.15*B2850*5))^0/1)+1*(((0.15*B2850*5))^1/1)+2*(((0.15*B2850*5))^2/2)+3*(((0.15*B2850*5))^3/6)+4*(((0.15*B2850*5))^4/24)+5*(((0.15*B2850*5))^5/120))/((((0.15*B2850*5))^0/1)+(((0.15*B2850*5))^1/1)+(((0.15*B2850*5))^2/2)+(((0.15*B2850*5))^3/6)+(((0.15*B2850*5))^4/24)+(((0.15*B2850*5))^5/120)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819">
      <c r="A2819">
        <f>Skills!A3</f>
        <v/>
      </c>
      <c r="B2819">
        <f>Skills!B3</f>
        <v/>
      </c>
      <c r="C2819">
        <f>Inputs!$B$3&gt;=50</f>
        <v/>
      </c>
      <c r="D2819">
        <f>IF(Skills!C3=1,60+Inputs!$B$25+Inputs!$B$29,IF(Skills!C3=2,90+Inputs!$B$26+Inputs!$B$29,IF(Skills!C3=3,120+Inputs!$B$27+Inputs!$B$29,MAX(0,(Inputs!$B$3-100)*3)+Inputs!$B$28+Inputs!$B$29)))</f>
        <v/>
      </c>
      <c r="E2819">
        <f>INDEX(FactorTable!$B$2:$Y$301, MATCH(ROUND(MIN(300,MAX(1,D2819)),0), FactorTable!$A$2:$A$301,0), Skills!M3+1)</f>
        <v/>
      </c>
      <c r="F2819">
        <f>IF(Skills!N3=TRUE,(Skills!L3/10)*(E2819/1000),Skills!L3/10)+Skills!O3</f>
        <v/>
      </c>
      <c r="G2819" t="inlineStr"/>
      <c r="H2819" t="inlineStr"/>
      <c r="I2819" t="inlineStr">
        <is>
          <t>1</t>
        </is>
      </c>
      <c r="J2819" t="inlineStr"/>
      <c r="K2819" t="inlineStr"/>
      <c r="L2819" t="inlineStr"/>
      <c r="M2819" t="inlineStr"/>
      <c r="N2819" t="inlineStr"/>
      <c r="O2819" t="inlineStr"/>
      <c r="P2819" t="inlineStr"/>
      <c r="Q2819" t="inlineStr"/>
      <c r="R2819" t="inlineStr"/>
      <c r="S2819" t="inlineStr"/>
      <c r="T2819" t="inlineStr"/>
      <c r="U2819">
        <f>INDEX(FactorTable!$B$2:$Y$301, MATCH(ROUND(MIN(300,MAX(1,U2818)),0), FactorTable!$A$2:$A$301,0), 22)</f>
        <v/>
      </c>
      <c r="V2819" t="inlineStr"/>
    </row>
    <row r="2820">
      <c r="A2820">
        <f>Skills!A4</f>
        <v/>
      </c>
      <c r="B2820">
        <f>Skills!B4</f>
        <v/>
      </c>
      <c r="C2820">
        <f>Inputs!$B$3&gt;=105</f>
        <v/>
      </c>
      <c r="D2820">
        <f>IF(Skills!C4=1,60+Inputs!$B$25+Inputs!$B$29,IF(Skills!C4=2,90+Inputs!$B$26+Inputs!$B$29,IF(Skills!C4=3,120+Inputs!$B$27+Inputs!$B$29,MAX(0,(Inputs!$B$3-100)*3)+Inputs!$B$28+Inputs!$B$29)))</f>
        <v/>
      </c>
      <c r="E2820">
        <f>INDEX(FactorTable!$B$2:$Y$301, MATCH(ROUND(MIN(300,MAX(1,D2820)),0), FactorTable!$A$2:$A$301,0), Skills!M4+1)</f>
        <v/>
      </c>
      <c r="F2820">
        <f>IF(Skills!N4=TRUE,(Skills!L4/10)*(E2820/1000),Skills!L4/10)+Skills!O4</f>
        <v/>
      </c>
      <c r="G2820" t="inlineStr"/>
      <c r="H2820" t="inlineStr"/>
      <c r="I2820" t="inlineStr">
        <is>
          <t>1</t>
        </is>
      </c>
      <c r="J2820" t="inlineStr"/>
      <c r="K2820" t="inlineStr"/>
      <c r="L2820" t="inlineStr"/>
      <c r="M2820" t="inlineStr"/>
      <c r="N2820" t="inlineStr"/>
      <c r="O2820" t="inlineStr"/>
      <c r="P2820" t="inlineStr"/>
      <c r="Q2820" t="inlineStr"/>
      <c r="R2820" t="inlineStr"/>
      <c r="S2820" t="inlineStr"/>
      <c r="T2820" t="inlineStr"/>
      <c r="U2820">
        <f>290*U2819/1000</f>
        <v/>
      </c>
      <c r="V2820" t="inlineStr"/>
    </row>
    <row r="2821">
      <c r="A2821">
        <f>Skills!A5</f>
        <v/>
      </c>
      <c r="B2821">
        <f>Skills!B5</f>
        <v/>
      </c>
      <c r="C2821">
        <f>Inputs!$B$3&gt;=35</f>
        <v/>
      </c>
      <c r="D2821">
        <f>IF(Skills!C5=1,60+Inputs!$B$25+Inputs!$B$29,IF(Skills!C5=2,90+Inputs!$B$26+Inputs!$B$29,IF(Skills!C5=3,120+Inputs!$B$27+Inputs!$B$29,MAX(0,(Inputs!$B$3-100)*3)+Inputs!$B$28+Inputs!$B$29)))</f>
        <v/>
      </c>
      <c r="E2821">
        <f>INDEX(FactorTable!$B$2:$Y$301, MATCH(ROUND(MIN(300,MAX(1,D2821)),0), FactorTable!$A$2:$A$301,0), Skills!M5+1)</f>
        <v/>
      </c>
      <c r="F2821">
        <f>IF(Skills!N5=TRUE,(Skills!L5/10)*(E2821/1000),Skills!L5/10)+Skills!O5</f>
        <v/>
      </c>
      <c r="G2821">
        <f>Skills!G5*IF(Skills!H5&gt;0,Skills!I5/Skills!H5,1)</f>
        <v/>
      </c>
      <c r="H2821">
        <f>1-(1-Skills!J5/100)^Skills!K5</f>
        <v/>
      </c>
      <c r="I2821" t="inlineStr">
        <is>
          <t>1</t>
        </is>
      </c>
      <c r="J2821">
        <f>((Inputs!$B$6*(1+Inputs!$B$7/100))+(((Inputs!$B$12*(1+Inputs!$B$13/100))-(Inputs!$B$12*(1+Inputs!$B$13/100)))+0.25*(Inputs!$B$14-Inputs!$B$14))*(1+Inputs!$B$7/100))*(F2821/100)</f>
        <v/>
      </c>
      <c r="K2821">
        <f>J2821*(1+((Inputs!$B$12*(1+Inputs!$B$13/100))*0.01+Inputs!$B$14*0.0025)/100)*(1+Inputs!$B$15/100)*(1+Inputs!$B$16/100)*(5000/(6000+Inputs!$B$42*(1-(100*(1-(1-(Inputs!$B$19+0)/100)*(1-CHOOSE(ArtifactsInput!$N$40+1,5,6,7,8,9,10)/100)^(ArtifactsInput!$M$40-ArtifactsInput!$M$40)))/100)))*(1+(Inputs!$B$24+((C2840=TRUE)*(F2840-Calc!F24))+((C2841=TRUE)*(F2841-Calc!F25))+B2854)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2824=TRUE,F2824,0)/100)*(1+(IF(Skills!A5="EMPOWERED_PIERCING_ARROW",Inputs!$B$17+((C2838=TRUE)*(F2838-Calc!F22))+(((IF(AND(IF(ArtifactsInput!$M$42,FALSE,TRUE),((Inputs!$B$9+((C2835=TRUE)*(F2835-Calc!F19))+B2848+(ArtifactsInput!$M$24-ArtifactsInput!$M$24)*CHOOSE(ArtifactsInput!$N$24+1,10,12,14,16,18,20)+IF(ArtifactsInput!$M$10,CHOOSE(ArtifactsInput!$N$10+1,15,18,21,24,27,30)*(IF(Inputs!$B$38="pvp",MIN(15,15)/15,IF(AND(Inputs!$B$38&lt;&gt;"pvp",Inputs!$B$43&gt;0),MIN(15,Inputs!$B$43)/(Inputs!$B$43),0))),0)))&gt;=100),MIN(100,((Inputs!$B$9+((C2835=TRUE)*(F2835-Calc!F19))+B2848+(ArtifactsInput!$M$24-ArtifactsInput!$M$24)*CHOOSE(ArtifactsInput!$N$24+1,10,12,14,16,18,20)+IF(ArtifactsInput!$M$10,CHOOSE(ArtifactsInput!$N$10+1,15,18,21,24,27,30)*(IF(Inputs!$B$38="pvp",MIN(15,15)/15,IF(AND(Inputs!$B$38&lt;&gt;"pvp",Inputs!$B$43&gt;0),MIN(15,Inputs!$B$43)/(Inputs!$B$43),0))),0)))-100),0))*CHOOSE(ArtifactsInput!$N$42+1,0.6,0.72,0.84,0.96,1.08,1.2))),Inputs!$B$18+((C2843=TRUE)*(F2843-Calc!F27))+(IF(AND(IF(ArtifactsInput!$M$42,FALSE,TRUE),((Inputs!$B$9+((C2835=TRUE)*(F2835-Calc!F19))+B2848+(ArtifactsInput!$M$24-ArtifactsInput!$M$24)*CHOOSE(ArtifactsInput!$N$24+1,10,12,14,16,18,20)+IF(ArtifactsInput!$M$10,CHOOSE(ArtifactsInput!$N$10+1,15,18,21,24,27,30)*(IF(Inputs!$B$38="pvp",MIN(15,15)/15,IF(AND(Inputs!$B$38&lt;&gt;"pvp",Inputs!$B$43&gt;0),MIN(15,Inputs!$B$43)/(Inputs!$B$43),0))),0)))&gt;=100),CHOOSE(ArtifactsInput!$N$42+1,40,48,56,64,72,80),0))))/100)*((1+(((C2829=TRUE)*F2829)+((C2830=TRUE)*IF(Inputs!$B$38="pvp",F2830,(1-Summary!$B$11)*(F2830)+Summary!$B$11*(0)))+((C2831=TRUE)*F2831*IF(AND(Inputs!$B$38&lt;&gt;"pvp",Inputs!$B$43&gt;0),(((R2831-1)*(Skills!T15*(1+Inputs!$B$34/100))+MIN((Skills!T15*(1+Inputs!$B$34/100)),MAX(0,Inputs!$B$43-((R2831-1)*Skills!D15))))/Inputs!$B$43),IF(Inputs!$B$38="pvp",MIN((Skills!T15*(1+Inputs!$B$34/100)),15)/15,(Skills!T15*(1+Inputs!$B$34/100))/Skills!D15)))+((C2828=TRUE)*F2828)+((C2845=TRUE)*(F2845-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2821)</f>
        <v/>
      </c>
      <c r="L2821">
        <f>K2821*(MIN(Inputs!$B$22+((C2839=TRUE)*(F2839-Calc!F23)),(Inputs!$B$23+((C2844=TRUE)*(F2844-Calc!F28))+(IF(ArtifactsInput!$M$15,CHOOSE(ArtifactsInput!$N$15+1,25,30,35,40,45,50)/100*(Inputs!$B$11-Inputs!$B$11),0))))/100+(Inputs!$B$23+((C2844=TRUE)*(F2844-Calc!F28))+(IF(ArtifactsInput!$M$15,CHOOSE(ArtifactsInput!$N$15+1,25,30,35,40,45,50)/100*(Inputs!$B$11-Inputs!$B$11),0)))/100)/2</f>
        <v/>
      </c>
      <c r="M2821">
        <f>L2821*(1+(Inputs!$B$10+0+B2853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821">
        <f>L2821*(1-MIN((Inputs!$B$9+((C2835=TRUE)*(F2835-Calc!F19))+B2848+(ArtifactsInput!$M$24-ArtifactsInput!$M$24)*CHOOSE(ArtifactsInput!$N$24+1,10,12,14,16,18,20)+(IF(AND(IF(ArtifactsInput!$M$42,FALSE,TRUE),((Inputs!$B$9+((C2835=TRUE)*(F2835-Calc!F19))+B2848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2821*(MIN((Inputs!$B$9+((C2835=TRUE)*(F2835-Calc!F19))+B2848+(ArtifactsInput!$M$24-ArtifactsInput!$M$24)*CHOOSE(ArtifactsInput!$N$24+1,10,12,14,16,18,20)+(IF(AND(IF(ArtifactsInput!$M$42,FALSE,TRUE),((Inputs!$B$9+((C2835=TRUE)*(F2835-Calc!F19))+B2848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821">
        <f>(1-Summary!$B$11)*T2821+Summary!$B$11*V2821</f>
        <v/>
      </c>
      <c r="P2821">
        <f>IF(B2858=0,0,O2821/B2858)</f>
        <v/>
      </c>
      <c r="Q2821">
        <f>IFERROR(1/IF(Inputs!$B$38="pvp",15,MAX(0.1,Skills!D5-IF(Skills!E5=TRUE,Inputs!$B$32,0))),0)</f>
        <v/>
      </c>
      <c r="R2821">
        <f>IF(AND(Inputs!$B$38&lt;&gt;"pvp",Inputs!$B$43&gt;0),IF(MAX(0,Inputs!$B$43-B2855)&lt;=0,0,(INT(MAX(0,Inputs!$B$43-B2855)/IF(Inputs!$B$38="pvp",15,MAX(0.1,Skills!D5-IF(Skills!E5=TRUE,Inputs!$B$32,0))))+1)),0)</f>
        <v/>
      </c>
      <c r="S2821">
        <f>IFERROR((H2821*N2821*IF(AND(Inputs!$B$38&lt;&gt;"pvp",Inputs!$B$43&gt;0),((Skills!G5*((R2821-1)*IF(Skills!H5&gt;0,Skills!I5/Skills!H5,1)+IF(Skills!H5&gt;0,MIN(Skills!I5,MAX(0,MAX(0,Inputs!$B$43-B2855)-((R2821-1)*IF(Inputs!$B$38="pvp",15,MAX(0.1,Skills!D5-IF(Skills!E5=TRUE,Inputs!$B$32,0))))))/Skills!H5,1)))/Inputs!$B$43),G2821*Q2821))/N2821*IF(Inputs!$B$38="pvp",1,(1-Summary!$B$11)*1+Summary!$B$11*(MIN(Skills!R5,Inputs!$B$37))),0)</f>
        <v/>
      </c>
      <c r="T2821">
        <f>IF(C2821,(H2821*N2821*IF(AND(Inputs!$B$38&lt;&gt;"pvp",Inputs!$B$43&gt;0),((Skills!G5*((R2821-1)*IF(Skills!H5&gt;0,Skills!I5/Skills!H5,1)+IF(Skills!H5&gt;0,MIN(Skills!I5,MAX(0,MAX(0,Inputs!$B$43-B2855)-((R2821-1)*IF(Inputs!$B$38="pvp",15,MAX(0.1,Skills!D5-IF(Skills!E5=TRUE,Inputs!$B$32,0))))))/Skills!H5,1)))/Inputs!$B$43),G2821*Q2821))*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Hunt"),CHOOSE(ArtifactsInput!$N$35+1,15,18,21,24,27,30)*(1-EXP(-(0.2*B2850)*5)),0)+IF(AND(ArtifactsInput!$M$22,Inputs!$B$4&lt;&gt;"Chapter Hunt"),CHOOSE(ArtifactsInput!$N$22+1,10,12,14,16,18,20)*((0*(((0.15*B2850*5))^0/1)+1*(((0.15*B2850*5))^1/1)+2*(((0.15*B2850*5))^2/2)+3*(((0.15*B2850*5))^3/6)+4*(((0.15*B2850*5))^4/24)+5*(((0.15*B2850*5))^5/120))/((((0.15*B2850*5))^0/1)+(((0.15*B2850*5))^1/1)+(((0.15*B2850*5))^2/2)+(((0.15*B2850*5))^3/6)+(((0.15*B2850*5))^4/24)+(((0.15*B2850*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2821*(1-MIN(100,(Inputs!$B$9+((C2835=TRUE)*(F2835-Calc!F19))+B2848+(ArtifactsInput!$M$24-ArtifactsInput!$M$24)*CHOOSE(ArtifactsInput!$N$24+1,10,12,14,16,18,20)+(IF(AND(IF(ArtifactsInput!$M$42,FALSE,TRUE),((Inputs!$B$9+((C2835=TRUE)*(F2835-Calc!F19))+B2848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2821*(MIN(100,(Inputs!$B$9+((C2835=TRUE)*(F2835-Calc!F19))+B2848+(ArtifactsInput!$M$24-ArtifactsInput!$M$24)*CHOOSE(ArtifactsInput!$N$24+1,10,12,14,16,18,20)+(IF(AND(IF(ArtifactsInput!$M$42,FALSE,TRUE),((Inputs!$B$9+((C2835=TRUE)*(F2835-Calc!F19))+B2848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2821*(1-MIN(100,(Inputs!$B$9+((C2835=TRUE)*(F2835-Calc!F19))+B2848+(ArtifactsInput!$M$24-ArtifactsInput!$M$24)*CHOOSE(ArtifactsInput!$N$24+1,10,12,14,16,18,20)+(IF(AND(IF(ArtifactsInput!$M$42,FALSE,TRUE),((Inputs!$B$9+((C2835=TRUE)*(F2835-Calc!F19))+B2848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2821*(MIN(100,(Inputs!$B$9+((C2835=TRUE)*(F2835-Calc!F19))+B2848+(ArtifactsInput!$M$24-ArtifactsInput!$M$24)*CHOOSE(ArtifactsInput!$N$24+1,10,12,14,16,18,20)+(IF(AND(IF(ArtifactsInput!$M$42,FALSE,TRUE),((Inputs!$B$9+((C2835=TRUE)*(F2835-Calc!F19))+B2848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821">
        <f>IF(C2821,(H2821*N2821*IF(AND(Inputs!$B$38&lt;&gt;"pvp",Inputs!$B$43&gt;0),((Skills!G5*((R2821-1)*IF(Skills!H5&gt;0,Skills!I5/Skills!H5,1)+IF(Skills!H5&gt;0,MIN(Skills!I5,MAX(0,MAX(0,Inputs!$B$43-B2855)-((R2821-1)*IF(Inputs!$B$38="pvp",15,MAX(0.1,Skills!D5-IF(Skills!E5=TRUE,Inputs!$B$32,0))))))/Skills!H5,1)))/Inputs!$B$43),G2821*Q2821))*IF(Inputs!$B$38="pvp",1,(1+(Inputs!$B$21+Skills!Q5+(IF(ArtifactsInput!$M$33,CHOOSE(ArtifactsInput!$N$33+1,30,36,42,48,54,60),0))+(IF(AND(ArtifactsInput!$M$35,Inputs!$B$4&lt;&gt;"Chapter Hunt"),CHOOSE(ArtifactsInput!$N$35+1,15,18,21,24,27,30)*(1-EXP(-(0.2*B2850)*5)),0)+IF(AND(ArtifactsInput!$M$22,Inputs!$B$4&lt;&gt;"Chapter Hunt"),CHOOSE(ArtifactsInput!$N$22+1,10,12,14,16,18,20)*((0*(((0.15*B2850*5))^0/1)+1*(((0.15*B2850*5))^1/1)+2*(((0.15*B2850*5))^2/2)+3*(((0.15*B2850*5))^3/6)+4*(((0.15*B2850*5))^4/24)+5*(((0.15*B2850*5))^5/120))/((((0.15*B2850*5))^0/1)+(((0.15*B2850*5))^1/1)+(((0.15*B2850*5))^2/2)+(((0.15*B2850*5))^3/6)+(((0.15*B2850*5))^4/24)+(((0.15*B2850*5))^5/120)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822">
      <c r="A2822">
        <f>Skills!A6</f>
        <v/>
      </c>
      <c r="B2822">
        <f>Skills!B6</f>
        <v/>
      </c>
      <c r="C2822">
        <f>Inputs!$B$3&gt;=63</f>
        <v/>
      </c>
      <c r="D2822">
        <f>IF(Skills!C6=1,60+Inputs!$B$25+Inputs!$B$29,IF(Skills!C6=2,90+Inputs!$B$26+Inputs!$B$29,IF(Skills!C6=3,120+Inputs!$B$27+Inputs!$B$29,MAX(0,(Inputs!$B$3-100)*3)+Inputs!$B$28+Inputs!$B$29)))</f>
        <v/>
      </c>
      <c r="E2822">
        <f>INDEX(FactorTable!$B$2:$Y$301, MATCH(ROUND(MIN(300,MAX(1,D2822)),0), FactorTable!$A$2:$A$301,0), Skills!M6+1)</f>
        <v/>
      </c>
      <c r="F2822">
        <f>IF(Skills!N6=TRUE,(Skills!L6/10)*(E2822/1000),Skills!L6/10)+Skills!O6</f>
        <v/>
      </c>
      <c r="G2822">
        <f>Skills!G6*IF(Skills!H6&gt;0,Skills!I6/Skills!H6,1)</f>
        <v/>
      </c>
      <c r="H2822">
        <f>1-(1-Skills!J6/100)^Skills!K6</f>
        <v/>
      </c>
      <c r="I2822" t="inlineStr">
        <is>
          <t>1</t>
        </is>
      </c>
      <c r="J2822">
        <f>((Inputs!$B$6*(1+Inputs!$B$7/100))+(((Inputs!$B$12*(1+Inputs!$B$13/100))-(Inputs!$B$12*(1+Inputs!$B$13/100)))+0.25*(Inputs!$B$14-Inputs!$B$14))*(1+Inputs!$B$7/100))*(F2822/100)</f>
        <v/>
      </c>
      <c r="K2822">
        <f>J2822*(1+((Inputs!$B$12*(1+Inputs!$B$13/100))*0.01+Inputs!$B$14*0.0025)/100)*(1+Inputs!$B$15/100)*(1+Inputs!$B$16/100)*(5000/(6000+Inputs!$B$42*(1-(100*(1-(1-(Inputs!$B$19+0)/100)*(1-CHOOSE(ArtifactsInput!$N$40+1,5,6,7,8,9,10)/100)^(ArtifactsInput!$M$40-ArtifactsInput!$M$40)))/100)))*(1+(Inputs!$B$24+((C2840=TRUE)*(F2840-Calc!F24))+((C2841=TRUE)*(F2841-Calc!F25))+B2854)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2824=TRUE,F2824,0)/100)*(1+(IF(Skills!A6="EMPOWERED_PIERCING_ARROW",Inputs!$B$17+((C2838=TRUE)*(F2838-Calc!F22))+(((IF(AND(IF(ArtifactsInput!$M$42,FALSE,TRUE),((Inputs!$B$9+((C2835=TRUE)*(F2835-Calc!F19))+B2848+(ArtifactsInput!$M$24-ArtifactsInput!$M$24)*CHOOSE(ArtifactsInput!$N$24+1,10,12,14,16,18,20)+IF(ArtifactsInput!$M$10,CHOOSE(ArtifactsInput!$N$10+1,15,18,21,24,27,30)*(IF(Inputs!$B$38="pvp",MIN(15,15)/15,IF(AND(Inputs!$B$38&lt;&gt;"pvp",Inputs!$B$43&gt;0),MIN(15,Inputs!$B$43)/(Inputs!$B$43),0))),0)))&gt;=100),MIN(100,((Inputs!$B$9+((C2835=TRUE)*(F2835-Calc!F19))+B2848+(ArtifactsInput!$M$24-ArtifactsInput!$M$24)*CHOOSE(ArtifactsInput!$N$24+1,10,12,14,16,18,20)+IF(ArtifactsInput!$M$10,CHOOSE(ArtifactsInput!$N$10+1,15,18,21,24,27,30)*(IF(Inputs!$B$38="pvp",MIN(15,15)/15,IF(AND(Inputs!$B$38&lt;&gt;"pvp",Inputs!$B$43&gt;0),MIN(15,Inputs!$B$43)/(Inputs!$B$43),0))),0)))-100),0))*CHOOSE(ArtifactsInput!$N$42+1,0.6,0.72,0.84,0.96,1.08,1.2))),Inputs!$B$18+((C2843=TRUE)*(F2843-Calc!F27))+(IF(AND(IF(ArtifactsInput!$M$42,FALSE,TRUE),((Inputs!$B$9+((C2835=TRUE)*(F2835-Calc!F19))+B2848+(ArtifactsInput!$M$24-ArtifactsInput!$M$24)*CHOOSE(ArtifactsInput!$N$24+1,10,12,14,16,18,20)+IF(ArtifactsInput!$M$10,CHOOSE(ArtifactsInput!$N$10+1,15,18,21,24,27,30)*(IF(Inputs!$B$38="pvp",MIN(15,15)/15,IF(AND(Inputs!$B$38&lt;&gt;"pvp",Inputs!$B$43&gt;0),MIN(15,Inputs!$B$43)/(Inputs!$B$43),0))),0)))&gt;=100),CHOOSE(ArtifactsInput!$N$42+1,40,48,56,64,72,80),0))))/100)*((1+(((C2829=TRUE)*F2829)+((C2830=TRUE)*IF(Inputs!$B$38="pvp",F2830,(1-Summary!$B$11)*(F2830)+Summary!$B$11*(0)))+((C2831=TRUE)*F2831*IF(AND(Inputs!$B$38&lt;&gt;"pvp",Inputs!$B$43&gt;0),(((R2831-1)*(Skills!T15*(1+Inputs!$B$34/100))+MIN((Skills!T15*(1+Inputs!$B$34/100)),MAX(0,Inputs!$B$43-((R2831-1)*Skills!D15))))/Inputs!$B$43),IF(Inputs!$B$38="pvp",MIN((Skills!T15*(1+Inputs!$B$34/100)),15)/15,(Skills!T15*(1+Inputs!$B$34/100))/Skills!D15)))+((C2828=TRUE)*F2828)+((C2845=TRUE)*(F2845-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2822)</f>
        <v/>
      </c>
      <c r="L2822">
        <f>K2822*(MIN(Inputs!$B$22+((C2839=TRUE)*(F2839-Calc!F23)),(Inputs!$B$23+((C2844=TRUE)*(F2844-Calc!F28))+(IF(ArtifactsInput!$M$15,CHOOSE(ArtifactsInput!$N$15+1,25,30,35,40,45,50)/100*(Inputs!$B$11-Inputs!$B$11),0))))/100+(Inputs!$B$23+((C2844=TRUE)*(F2844-Calc!F28))+(IF(ArtifactsInput!$M$15,CHOOSE(ArtifactsInput!$N$15+1,25,30,35,40,45,50)/100*(Inputs!$B$11-Inputs!$B$11),0)))/100)/2</f>
        <v/>
      </c>
      <c r="M2822">
        <f>L2822*(1+(Inputs!$B$10+0+B2853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822">
        <f>L2822*(1-MIN((Inputs!$B$9+((C2835=TRUE)*(F2835-Calc!F19))+B2848+(ArtifactsInput!$M$24-ArtifactsInput!$M$24)*CHOOSE(ArtifactsInput!$N$24+1,10,12,14,16,18,20)+(IF(AND(IF(ArtifactsInput!$M$42,FALSE,TRUE),((Inputs!$B$9+((C2835=TRUE)*(F2835-Calc!F19))+B2848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2822*(MIN((Inputs!$B$9+((C2835=TRUE)*(F2835-Calc!F19))+B2848+(ArtifactsInput!$M$24-ArtifactsInput!$M$24)*CHOOSE(ArtifactsInput!$N$24+1,10,12,14,16,18,20)+(IF(AND(IF(ArtifactsInput!$M$42,FALSE,TRUE),((Inputs!$B$9+((C2835=TRUE)*(F2835-Calc!F19))+B2848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822">
        <f>(1-Summary!$B$11)*T2822+Summary!$B$11*V2822</f>
        <v/>
      </c>
      <c r="P2822">
        <f>IF(B2858=0,0,O2822/B2858)</f>
        <v/>
      </c>
      <c r="Q2822">
        <f>IFERROR(1/IF(Inputs!$B$38="pvp",15,MAX(0.1,Skills!D6-IF(Skills!E6=TRUE,Inputs!$B$32,0))),0)</f>
        <v/>
      </c>
      <c r="R2822">
        <f>IF(AND(Inputs!$B$38&lt;&gt;"pvp",Inputs!$B$43&gt;0),IF(MAX(0,Inputs!$B$43-B2855)&lt;=0,0,(INT(MAX(0,Inputs!$B$43-B2855)/IF(Inputs!$B$38="pvp",15,MAX(0.1,Skills!D6-IF(Skills!E6=TRUE,Inputs!$B$32,0))))+1)),0)</f>
        <v/>
      </c>
      <c r="S2822">
        <f>IFERROR((H2822*N2822*IF(AND(Inputs!$B$38&lt;&gt;"pvp",Inputs!$B$43&gt;0),((Skills!G6*((R2822-1)*IF(Skills!H6&gt;0,Skills!I6/Skills!H6,1)+IF(Skills!H6&gt;0,MIN(Skills!I6,MAX(0,MAX(0,Inputs!$B$43-B2855)-((R2822-1)*IF(Inputs!$B$38="pvp",15,MAX(0.1,Skills!D6-IF(Skills!E6=TRUE,Inputs!$B$32,0))))))/Skills!H6,1)))/Inputs!$B$43),G2822*Q2822))/N2822*IF(Inputs!$B$38="pvp",1,(1-Summary!$B$11)*1+Summary!$B$11*(MIN(Skills!R6,Inputs!$B$37))),0)</f>
        <v/>
      </c>
      <c r="T2822">
        <f>IF(C2822,(H2822*N2822*IF(AND(Inputs!$B$38&lt;&gt;"pvp",Inputs!$B$43&gt;0),((Skills!G6*((R2822-1)*IF(Skills!H6&gt;0,Skills!I6/Skills!H6,1)+IF(Skills!H6&gt;0,MIN(Skills!I6,MAX(0,MAX(0,Inputs!$B$43-B2855)-((R2822-1)*IF(Inputs!$B$38="pvp",15,MAX(0.1,Skills!D6-IF(Skills!E6=TRUE,Inputs!$B$32,0))))))/Skills!H6,1)))/Inputs!$B$43),G2822*Q2822))*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Hunt"),CHOOSE(ArtifactsInput!$N$35+1,15,18,21,24,27,30)*(1-EXP(-(0.2*B2850)*5)),0)+IF(AND(ArtifactsInput!$M$22,Inputs!$B$4&lt;&gt;"Chapter Hunt"),CHOOSE(ArtifactsInput!$N$22+1,10,12,14,16,18,20)*((0*(((0.15*B2850*5))^0/1)+1*(((0.15*B2850*5))^1/1)+2*(((0.15*B2850*5))^2/2)+3*(((0.15*B2850*5))^3/6)+4*(((0.15*B2850*5))^4/24)+5*(((0.15*B2850*5))^5/120))/((((0.15*B2850*5))^0/1)+(((0.15*B2850*5))^1/1)+(((0.15*B2850*5))^2/2)+(((0.15*B2850*5))^3/6)+(((0.15*B2850*5))^4/24)+(((0.15*B2850*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2822*(1-MIN(100,(Inputs!$B$9+((C2835=TRUE)*(F2835-Calc!F19))+B2848+(ArtifactsInput!$M$24-ArtifactsInput!$M$24)*CHOOSE(ArtifactsInput!$N$24+1,10,12,14,16,18,20)+(IF(AND(IF(ArtifactsInput!$M$42,FALSE,TRUE),((Inputs!$B$9+((C2835=TRUE)*(F2835-Calc!F19))+B2848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2822*(MIN(100,(Inputs!$B$9+((C2835=TRUE)*(F2835-Calc!F19))+B2848+(ArtifactsInput!$M$24-ArtifactsInput!$M$24)*CHOOSE(ArtifactsInput!$N$24+1,10,12,14,16,18,20)+(IF(AND(IF(ArtifactsInput!$M$42,FALSE,TRUE),((Inputs!$B$9+((C2835=TRUE)*(F2835-Calc!F19))+B2848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2822*(1-MIN(100,(Inputs!$B$9+((C2835=TRUE)*(F2835-Calc!F19))+B2848+(ArtifactsInput!$M$24-ArtifactsInput!$M$24)*CHOOSE(ArtifactsInput!$N$24+1,10,12,14,16,18,20)+(IF(AND(IF(ArtifactsInput!$M$42,FALSE,TRUE),((Inputs!$B$9+((C2835=TRUE)*(F2835-Calc!F19))+B2848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2822*(MIN(100,(Inputs!$B$9+((C2835=TRUE)*(F2835-Calc!F19))+B2848+(ArtifactsInput!$M$24-ArtifactsInput!$M$24)*CHOOSE(ArtifactsInput!$N$24+1,10,12,14,16,18,20)+(IF(AND(IF(ArtifactsInput!$M$42,FALSE,TRUE),((Inputs!$B$9+((C2835=TRUE)*(F2835-Calc!F19))+B2848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822">
        <f>IF(C2822,(H2822*N2822*IF(AND(Inputs!$B$38&lt;&gt;"pvp",Inputs!$B$43&gt;0),((Skills!G6*((R2822-1)*IF(Skills!H6&gt;0,Skills!I6/Skills!H6,1)+IF(Skills!H6&gt;0,MIN(Skills!I6,MAX(0,MAX(0,Inputs!$B$43-B2855)-((R2822-1)*IF(Inputs!$B$38="pvp",15,MAX(0.1,Skills!D6-IF(Skills!E6=TRUE,Inputs!$B$32,0))))))/Skills!H6,1)))/Inputs!$B$43),G2822*Q2822))*IF(Inputs!$B$38="pvp",1,(1+(Inputs!$B$21+Skills!Q6+(IF(ArtifactsInput!$M$33,CHOOSE(ArtifactsInput!$N$33+1,30,36,42,48,54,60),0))+(IF(AND(ArtifactsInput!$M$35,Inputs!$B$4&lt;&gt;"Chapter Hunt"),CHOOSE(ArtifactsInput!$N$35+1,15,18,21,24,27,30)*(1-EXP(-(0.2*B2850)*5)),0)+IF(AND(ArtifactsInput!$M$22,Inputs!$B$4&lt;&gt;"Chapter Hunt"),CHOOSE(ArtifactsInput!$N$22+1,10,12,14,16,18,20)*((0*(((0.15*B2850*5))^0/1)+1*(((0.15*B2850*5))^1/1)+2*(((0.15*B2850*5))^2/2)+3*(((0.15*B2850*5))^3/6)+4*(((0.15*B2850*5))^4/24)+5*(((0.15*B2850*5))^5/120))/((((0.15*B2850*5))^0/1)+(((0.15*B2850*5))^1/1)+(((0.15*B2850*5))^2/2)+(((0.15*B2850*5))^3/6)+(((0.15*B2850*5))^4/24)+(((0.15*B2850*5))^5/120))),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823">
      <c r="A2823">
        <f>Skills!A7</f>
        <v/>
      </c>
      <c r="B2823">
        <f>Skills!B7</f>
        <v/>
      </c>
      <c r="C2823">
        <f>Inputs!$B$3&gt;=69</f>
        <v/>
      </c>
      <c r="D2823">
        <f>IF(Skills!C7=1,60+Inputs!$B$25+Inputs!$B$29,IF(Skills!C7=2,90+Inputs!$B$26+Inputs!$B$29,IF(Skills!C7=3,120+Inputs!$B$27+Inputs!$B$29,MAX(0,(Inputs!$B$3-100)*3)+Inputs!$B$28+Inputs!$B$29)))</f>
        <v/>
      </c>
      <c r="E2823">
        <f>INDEX(FactorTable!$B$2:$Y$301, MATCH(ROUND(MIN(300,MAX(1,D2823)),0), FactorTable!$A$2:$A$301,0), Skills!M7+1)</f>
        <v/>
      </c>
      <c r="F2823">
        <f>IF(Skills!N7=TRUE,(Skills!L7/10)*(E2823/1000),Skills!L7/10)+Skills!O7</f>
        <v/>
      </c>
      <c r="G2823">
        <f>Skills!G7*IF(Skills!H7&gt;0,Skills!I7/Skills!H7,1)</f>
        <v/>
      </c>
      <c r="H2823">
        <f>1-(1-Skills!J7/100)^Skills!K7</f>
        <v/>
      </c>
      <c r="I2823" t="inlineStr">
        <is>
          <t>1</t>
        </is>
      </c>
      <c r="J2823">
        <f>((Inputs!$B$6*(1+Inputs!$B$7/100))+(((Inputs!$B$12*(1+Inputs!$B$13/100))-(Inputs!$B$12*(1+Inputs!$B$13/100)))+0.25*(Inputs!$B$14-Inputs!$B$14))*(1+Inputs!$B$7/100))*(F2823/100)</f>
        <v/>
      </c>
      <c r="K2823">
        <f>J2823*(1+((Inputs!$B$12*(1+Inputs!$B$13/100))*0.01+Inputs!$B$14*0.0025)/100)*(1+Inputs!$B$15/100)*(1+Inputs!$B$16/100)*(5000/(6000+Inputs!$B$42*(1-(100*(1-(1-(Inputs!$B$19+0)/100)*(1-CHOOSE(ArtifactsInput!$N$40+1,5,6,7,8,9,10)/100)^(ArtifactsInput!$M$40-ArtifactsInput!$M$40)))/100)))*(1+(Inputs!$B$24+((C2840=TRUE)*(F2840-Calc!F24))+((C2841=TRUE)*(F2841-Calc!F25))+B2854)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+1.2*IF(C2824=TRUE,F2824,0)/100)*(1+(IF(Skills!A7="EMPOWERED_PIERCING_ARROW",Inputs!$B$17+((C2838=TRUE)*(F2838-Calc!F22))+(((IF(AND(IF(ArtifactsInput!$M$42,FALSE,TRUE),((Inputs!$B$9+((C2835=TRUE)*(F2835-Calc!F19))+B2848+(ArtifactsInput!$M$24-ArtifactsInput!$M$24)*CHOOSE(ArtifactsInput!$N$24+1,10,12,14,16,18,20)+IF(ArtifactsInput!$M$10,CHOOSE(ArtifactsInput!$N$10+1,15,18,21,24,27,30)*(IF(Inputs!$B$38="pvp",MIN(15,15)/15,IF(AND(Inputs!$B$38&lt;&gt;"pvp",Inputs!$B$43&gt;0),MIN(15,Inputs!$B$43)/(Inputs!$B$43),0))),0)))&gt;=100),MIN(100,((Inputs!$B$9+((C2835=TRUE)*(F2835-Calc!F19))+B2848+(ArtifactsInput!$M$24-ArtifactsInput!$M$24)*CHOOSE(ArtifactsInput!$N$24+1,10,12,14,16,18,20)+IF(ArtifactsInput!$M$10,CHOOSE(ArtifactsInput!$N$10+1,15,18,21,24,27,30)*(IF(Inputs!$B$38="pvp",MIN(15,15)/15,IF(AND(Inputs!$B$38&lt;&gt;"pvp",Inputs!$B$43&gt;0),MIN(15,Inputs!$B$43)/(Inputs!$B$43),0))),0)))-100),0))*CHOOSE(ArtifactsInput!$N$42+1,0.6,0.72,0.84,0.96,1.08,1.2))),Inputs!$B$18+((C2843=TRUE)*(F2843-Calc!F27))+(IF(AND(IF(ArtifactsInput!$M$42,FALSE,TRUE),((Inputs!$B$9+((C2835=TRUE)*(F2835-Calc!F19))+B2848+(ArtifactsInput!$M$24-ArtifactsInput!$M$24)*CHOOSE(ArtifactsInput!$N$24+1,10,12,14,16,18,20)+IF(ArtifactsInput!$M$10,CHOOSE(ArtifactsInput!$N$10+1,15,18,21,24,27,30)*(IF(Inputs!$B$38="pvp",MIN(15,15)/15,IF(AND(Inputs!$B$38&lt;&gt;"pvp",Inputs!$B$43&gt;0),MIN(15,Inputs!$B$43)/(Inputs!$B$43),0))),0)))&gt;=100),CHOOSE(ArtifactsInput!$N$42+1,40,48,56,64,72,80),0))))/100)*((1+(((C2829=TRUE)*F2829)+((C2830=TRUE)*IF(Inputs!$B$38="pvp",F2830,(1-Summary!$B$11)*(F2830)+Summary!$B$11*(0)))+((C2831=TRUE)*F2831*IF(AND(Inputs!$B$38&lt;&gt;"pvp",Inputs!$B$43&gt;0),(((R2831-1)*(Skills!T15*(1+Inputs!$B$34/100))+MIN((Skills!T15*(1+Inputs!$B$34/100)),MAX(0,Inputs!$B$43-((R2831-1)*Skills!D15))))/Inputs!$B$43),IF(Inputs!$B$38="pvp",MIN((Skills!T15*(1+Inputs!$B$34/100)),15)/15,(Skills!T15*(1+Inputs!$B$34/100))/Skills!D15)))+((C2828=TRUE)*F2828)+((C2845=TRUE)*(F2845-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2823)</f>
        <v/>
      </c>
      <c r="L2823">
        <f>K2823*(MIN(Inputs!$B$22+((C2839=TRUE)*(F2839-Calc!F23)),(Inputs!$B$23+((C2844=TRUE)*(F2844-Calc!F28))+(IF(ArtifactsInput!$M$15,CHOOSE(ArtifactsInput!$N$15+1,25,30,35,40,45,50)/100*(Inputs!$B$11-Inputs!$B$11),0))))/100+(Inputs!$B$23+((C2844=TRUE)*(F2844-Calc!F28))+(IF(ArtifactsInput!$M$15,CHOOSE(ArtifactsInput!$N$15+1,25,30,35,40,45,50)/100*(Inputs!$B$11-Inputs!$B$11),0)))/100)/2</f>
        <v/>
      </c>
      <c r="M2823">
        <f>L2823*(1+(Inputs!$B$10+0+B2853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823">
        <f>L2823*(1-MIN((Inputs!$B$9+((C2835=TRUE)*(F2835-Calc!F19))+B2848+(ArtifactsInput!$M$24-ArtifactsInput!$M$24)*CHOOSE(ArtifactsInput!$N$24+1,10,12,14,16,18,20)+(IF(AND(IF(ArtifactsInput!$M$42,FALSE,TRUE),((Inputs!$B$9+((C2835=TRUE)*(F2835-Calc!F19))+B2848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2823*(MIN((Inputs!$B$9+((C2835=TRUE)*(F2835-Calc!F19))+B2848+(ArtifactsInput!$M$24-ArtifactsInput!$M$24)*CHOOSE(ArtifactsInput!$N$24+1,10,12,14,16,18,20)+(IF(AND(IF(ArtifactsInput!$M$42,FALSE,TRUE),((Inputs!$B$9+((C2835=TRUE)*(F2835-Calc!F19))+B2848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823">
        <f>(1-Summary!$B$11)*T2823+Summary!$B$11*V2823</f>
        <v/>
      </c>
      <c r="P2823">
        <f>IF(B2858=0,0,O2823/B2858)</f>
        <v/>
      </c>
      <c r="Q2823">
        <f>IFERROR(1/IF(Inputs!$B$38="pvp",15,MAX(0.1,Skills!D7-IF(Skills!E7=TRUE,Inputs!$B$32,0))),0)</f>
        <v/>
      </c>
      <c r="R2823">
        <f>IF(AND(Inputs!$B$38&lt;&gt;"pvp",Inputs!$B$43&gt;0),IF(MAX(0,Inputs!$B$43-B2855)&lt;=0,0,(INT(MAX(0,Inputs!$B$43-B2855)/IF(Inputs!$B$38="pvp",15,MAX(0.1,Skills!D7-IF(Skills!E7=TRUE,Inputs!$B$32,0))))+1)),0)</f>
        <v/>
      </c>
      <c r="S2823">
        <f>IFERROR((H2823*N2823*IF(AND(Inputs!$B$38&lt;&gt;"pvp",Inputs!$B$43&gt;0),((Skills!G7*((R2823-1)*IF(Skills!H7&gt;0,Skills!I7/Skills!H7,1)+IF(Skills!H7&gt;0,MIN(Skills!I7,MAX(0,MAX(0,Inputs!$B$43-B2855)-((R2823-1)*IF(Inputs!$B$38="pvp",15,MAX(0.1,Skills!D7-IF(Skills!E7=TRUE,Inputs!$B$32,0))))))/Skills!H7,1)))/Inputs!$B$43),G2823*Q2823))/N2823*IF(Inputs!$B$38="pvp",1,(1-Summary!$B$11)*1+Summary!$B$11*(MIN(Skills!R7,Inputs!$B$37))),0)</f>
        <v/>
      </c>
      <c r="T2823">
        <f>IF(C2823,(H2823*N2823*IF(AND(Inputs!$B$38&lt;&gt;"pvp",Inputs!$B$43&gt;0),((Skills!G7*((R2823-1)*IF(Skills!H7&gt;0,Skills!I7/Skills!H7,1)+IF(Skills!H7&gt;0,MIN(Skills!I7,MAX(0,MAX(0,Inputs!$B$43-B2855)-((R2823-1)*IF(Inputs!$B$38="pvp",15,MAX(0.1,Skills!D7-IF(Skills!E7=TRUE,Inputs!$B$32,0))))))/Skills!H7,1)))/Inputs!$B$43),G2823*Q2823))*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Hunt"),CHOOSE(ArtifactsInput!$N$35+1,15,18,21,24,27,30)*(1-EXP(-(0.2*B2850)*5)),0)+IF(AND(ArtifactsInput!$M$22,Inputs!$B$4&lt;&gt;"Chapter Hunt"),CHOOSE(ArtifactsInput!$N$22+1,10,12,14,16,18,20)*((0*(((0.15*B2850*5))^0/1)+1*(((0.15*B2850*5))^1/1)+2*(((0.15*B2850*5))^2/2)+3*(((0.15*B2850*5))^3/6)+4*(((0.15*B2850*5))^4/24)+5*(((0.15*B2850*5))^5/120))/((((0.15*B2850*5))^0/1)+(((0.15*B2850*5))^1/1)+(((0.15*B2850*5))^2/2)+(((0.15*B2850*5))^3/6)+(((0.15*B2850*5))^4/24)+(((0.15*B2850*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2823*(1-MIN(100,(Inputs!$B$9+((C2835=TRUE)*(F2835-Calc!F19))+B2848+(ArtifactsInput!$M$24-ArtifactsInput!$M$24)*CHOOSE(ArtifactsInput!$N$24+1,10,12,14,16,18,20)+(IF(AND(IF(ArtifactsInput!$M$42,FALSE,TRUE),((Inputs!$B$9+((C2835=TRUE)*(F2835-Calc!F19))+B2848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2823*(MIN(100,(Inputs!$B$9+((C2835=TRUE)*(F2835-Calc!F19))+B2848+(ArtifactsInput!$M$24-ArtifactsInput!$M$24)*CHOOSE(ArtifactsInput!$N$24+1,10,12,14,16,18,20)+(IF(AND(IF(ArtifactsInput!$M$42,FALSE,TRUE),((Inputs!$B$9+((C2835=TRUE)*(F2835-Calc!F19))+B2848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2823*(1-MIN(100,(Inputs!$B$9+((C2835=TRUE)*(F2835-Calc!F19))+B2848+(ArtifactsInput!$M$24-ArtifactsInput!$M$24)*CHOOSE(ArtifactsInput!$N$24+1,10,12,14,16,18,20)+(IF(AND(IF(ArtifactsInput!$M$42,FALSE,TRUE),((Inputs!$B$9+((C2835=TRUE)*(F2835-Calc!F19))+B2848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2823*(MIN(100,(Inputs!$B$9+((C2835=TRUE)*(F2835-Calc!F19))+B2848+(ArtifactsInput!$M$24-ArtifactsInput!$M$24)*CHOOSE(ArtifactsInput!$N$24+1,10,12,14,16,18,20)+(IF(AND(IF(ArtifactsInput!$M$42,FALSE,TRUE),((Inputs!$B$9+((C2835=TRUE)*(F2835-Calc!F19))+B2848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823">
        <f>IF(C2823,(H2823*N2823*IF(AND(Inputs!$B$38&lt;&gt;"pvp",Inputs!$B$43&gt;0),((Skills!G7*((R2823-1)*IF(Skills!H7&gt;0,Skills!I7/Skills!H7,1)+IF(Skills!H7&gt;0,MIN(Skills!I7,MAX(0,MAX(0,Inputs!$B$43-B2855)-((R2823-1)*IF(Inputs!$B$38="pvp",15,MAX(0.1,Skills!D7-IF(Skills!E7=TRUE,Inputs!$B$32,0))))))/Skills!H7,1)))/Inputs!$B$43),G2823*Q2823))*IF(Inputs!$B$38="pvp",1,(1+(Inputs!$B$21+Skills!Q7+(IF(ArtifactsInput!$M$33,CHOOSE(ArtifactsInput!$N$33+1,30,36,42,48,54,60),0))+(IF(AND(ArtifactsInput!$M$35,Inputs!$B$4&lt;&gt;"Chapter Hunt"),CHOOSE(ArtifactsInput!$N$35+1,15,18,21,24,27,30)*(1-EXP(-(0.2*B2850)*5)),0)+IF(AND(ArtifactsInput!$M$22,Inputs!$B$4&lt;&gt;"Chapter Hunt"),CHOOSE(ArtifactsInput!$N$22+1,10,12,14,16,18,20)*((0*(((0.15*B2850*5))^0/1)+1*(((0.15*B2850*5))^1/1)+2*(((0.15*B2850*5))^2/2)+3*(((0.15*B2850*5))^3/6)+4*(((0.15*B2850*5))^4/24)+5*(((0.15*B2850*5))^5/120))/((((0.15*B2850*5))^0/1)+(((0.15*B2850*5))^1/1)+(((0.15*B2850*5))^2/2)+(((0.15*B2850*5))^3/6)+(((0.15*B2850*5))^4/24)+(((0.15*B2850*5))^5/120))),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824">
      <c r="A2824">
        <f>Skills!A8</f>
        <v/>
      </c>
      <c r="B2824">
        <f>Skills!B8</f>
        <v/>
      </c>
      <c r="C2824">
        <f>Inputs!$B$3&gt;=100</f>
        <v/>
      </c>
      <c r="D2824">
        <f>IF(Skills!C8=1,60+Inputs!$B$25+Inputs!$B$29,IF(Skills!C8=2,90+Inputs!$B$26+Inputs!$B$29,IF(Skills!C8=3,120+Inputs!$B$27+Inputs!$B$29,MAX(0,(Inputs!$B$3-100)*3)+Inputs!$B$28+Inputs!$B$29)))</f>
        <v/>
      </c>
      <c r="E2824">
        <f>INDEX(FactorTable!$B$2:$Y$301, MATCH(ROUND(MIN(300,MAX(1,D2824)),0), FactorTable!$A$2:$A$301,0), Skills!M8+1)</f>
        <v/>
      </c>
      <c r="F2824">
        <f>IF(Skills!N8=TRUE,(Skills!L8/10)*(E2824/1000),Skills!L8/10)+Skills!O8</f>
        <v/>
      </c>
      <c r="G2824" t="inlineStr"/>
      <c r="H2824" t="inlineStr"/>
      <c r="I2824" t="inlineStr">
        <is>
          <t>1</t>
        </is>
      </c>
      <c r="J2824" t="inlineStr"/>
      <c r="K2824" t="inlineStr"/>
      <c r="L2824" t="inlineStr"/>
      <c r="M2824" t="inlineStr"/>
      <c r="N2824" t="inlineStr"/>
      <c r="O2824" t="inlineStr"/>
      <c r="P2824" t="inlineStr"/>
      <c r="Q2824" t="inlineStr"/>
      <c r="R2824" t="inlineStr"/>
      <c r="S2824" t="inlineStr"/>
      <c r="T2824" t="inlineStr"/>
      <c r="V2824" t="inlineStr"/>
    </row>
    <row r="2825">
      <c r="A2825">
        <f>Skills!A9</f>
        <v/>
      </c>
      <c r="B2825">
        <f>Skills!B9</f>
        <v/>
      </c>
      <c r="C2825">
        <f>Inputs!$B$3&gt;=103</f>
        <v/>
      </c>
      <c r="D2825">
        <f>IF(Skills!C9=1,60+Inputs!$B$25+Inputs!$B$29,IF(Skills!C9=2,90+Inputs!$B$26+Inputs!$B$29,IF(Skills!C9=3,120+Inputs!$B$27+Inputs!$B$29,MAX(0,(Inputs!$B$3-100)*3)+Inputs!$B$28+Inputs!$B$29)))</f>
        <v/>
      </c>
      <c r="E2825">
        <f>INDEX(FactorTable!$B$2:$Y$301, MATCH(ROUND(MIN(300,MAX(1,D2825)),0), FactorTable!$A$2:$A$301,0), Skills!M9+1)</f>
        <v/>
      </c>
      <c r="F2825">
        <f>IF(Skills!N9=TRUE,(Skills!L9/10)*(E2825/1000),Skills!L9/10)+Skills!O9</f>
        <v/>
      </c>
      <c r="G2825">
        <f>Skills!G9*IF(Skills!H9&gt;0,Skills!I9/Skills!H9,1)</f>
        <v/>
      </c>
      <c r="H2825">
        <f>1-(1-Skills!J9/100)^Skills!K9</f>
        <v/>
      </c>
      <c r="I2825" t="inlineStr">
        <is>
          <t>1</t>
        </is>
      </c>
      <c r="J2825">
        <f>((Inputs!$B$6*(1+Inputs!$B$7/100))+(((Inputs!$B$12*(1+Inputs!$B$13/100))-(Inputs!$B$12*(1+Inputs!$B$13/100)))+0.25*(Inputs!$B$14-Inputs!$B$14))*(1+Inputs!$B$7/100))*(F2825/100)</f>
        <v/>
      </c>
      <c r="K2825">
        <f>J2825*(1+((Inputs!$B$12*(1+Inputs!$B$13/100))*0.01+Inputs!$B$14*0.0025)/100)*(1+Inputs!$B$15/100)*(1+Inputs!$B$16/100)*(5000/(6000+Inputs!$B$42*(1-(100*(1-(1-(Inputs!$B$19+0)/100)*(1-CHOOSE(ArtifactsInput!$N$40+1,5,6,7,8,9,10)/100)^(ArtifactsInput!$M$40-ArtifactsInput!$M$40)))/100)))*(1+(Inputs!$B$24+((C2840=TRUE)*(F2840-Calc!F24))+((C2841=TRUE)*(F2841-Calc!F25))+B2854)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EMPOWERED_PIERCING_ARROW",Inputs!$B$17+((C2838=TRUE)*(F2838-Calc!F22))+(((IF(AND(IF(ArtifactsInput!$M$42,FALSE,TRUE),((Inputs!$B$9+((C2835=TRUE)*(F2835-Calc!F19))+B2848+(ArtifactsInput!$M$24-ArtifactsInput!$M$24)*CHOOSE(ArtifactsInput!$N$24+1,10,12,14,16,18,20)+IF(ArtifactsInput!$M$10,CHOOSE(ArtifactsInput!$N$10+1,15,18,21,24,27,30)*(IF(Inputs!$B$38="pvp",MIN(15,15)/15,IF(AND(Inputs!$B$38&lt;&gt;"pvp",Inputs!$B$43&gt;0),MIN(15,Inputs!$B$43)/(Inputs!$B$43),0))),0)))&gt;=100),MIN(100,((Inputs!$B$9+((C2835=TRUE)*(F2835-Calc!F19))+B2848+(ArtifactsInput!$M$24-ArtifactsInput!$M$24)*CHOOSE(ArtifactsInput!$N$24+1,10,12,14,16,18,20)+IF(ArtifactsInput!$M$10,CHOOSE(ArtifactsInput!$N$10+1,15,18,21,24,27,30)*(IF(Inputs!$B$38="pvp",MIN(15,15)/15,IF(AND(Inputs!$B$38&lt;&gt;"pvp",Inputs!$B$43&gt;0),MIN(15,Inputs!$B$43)/(Inputs!$B$43),0))),0)))-100),0))*CHOOSE(ArtifactsInput!$N$42+1,0.6,0.72,0.84,0.96,1.08,1.2))),Inputs!$B$18+((C2843=TRUE)*(F2843-Calc!F27))+(IF(AND(IF(ArtifactsInput!$M$42,FALSE,TRUE),((Inputs!$B$9+((C2835=TRUE)*(F2835-Calc!F19))+B2848+(ArtifactsInput!$M$24-ArtifactsInput!$M$24)*CHOOSE(ArtifactsInput!$N$24+1,10,12,14,16,18,20)+IF(ArtifactsInput!$M$10,CHOOSE(ArtifactsInput!$N$10+1,15,18,21,24,27,30)*(IF(Inputs!$B$38="pvp",MIN(15,15)/15,IF(AND(Inputs!$B$38&lt;&gt;"pvp",Inputs!$B$43&gt;0),MIN(15,Inputs!$B$43)/(Inputs!$B$43),0))),0)))&gt;=100),CHOOSE(ArtifactsInput!$N$42+1,40,48,56,64,72,80),0))))/100)*((1+(((C2829=TRUE)*F2829)+((C2830=TRUE)*IF(Inputs!$B$38="pvp",F2830,(1-Summary!$B$11)*(F2830)+Summary!$B$11*(0)))+((C2831=TRUE)*F2831*IF(AND(Inputs!$B$38&lt;&gt;"pvp",Inputs!$B$43&gt;0),(((R2831-1)*(Skills!T15*(1+Inputs!$B$34/100))+MIN((Skills!T15*(1+Inputs!$B$34/100)),MAX(0,Inputs!$B$43-((R2831-1)*Skills!D15))))/Inputs!$B$43),IF(Inputs!$B$38="pvp",MIN((Skills!T15*(1+Inputs!$B$34/100)),15)/15,(Skills!T15*(1+Inputs!$B$34/100))/Skills!D15)))+((C2828=TRUE)*F2828)+((C2845=TRUE)*(F2845-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2825)</f>
        <v/>
      </c>
      <c r="L2825">
        <f>K2825*(MIN(Inputs!$B$22+((C2839=TRUE)*(F2839-Calc!F23)),(Inputs!$B$23+((C2844=TRUE)*(F2844-Calc!F28))+(IF(ArtifactsInput!$M$15,CHOOSE(ArtifactsInput!$N$15+1,25,30,35,40,45,50)/100*(Inputs!$B$11-Inputs!$B$11),0))))/100+(Inputs!$B$23+((C2844=TRUE)*(F2844-Calc!F28))+(IF(ArtifactsInput!$M$15,CHOOSE(ArtifactsInput!$N$15+1,25,30,35,40,45,50)/100*(Inputs!$B$11-Inputs!$B$11),0)))/100)/2</f>
        <v/>
      </c>
      <c r="M2825">
        <f>L2825*(1+(Inputs!$B$10+0+B2853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825">
        <f>L2825*(1-MIN((Inputs!$B$9+((C2835=TRUE)*(F2835-Calc!F19))+B2848+(ArtifactsInput!$M$24-ArtifactsInput!$M$24)*CHOOSE(ArtifactsInput!$N$24+1,10,12,14,16,18,20)+(IF(AND(IF(ArtifactsInput!$M$42,FALSE,TRUE),((Inputs!$B$9+((C2835=TRUE)*(F2835-Calc!F19))+B2848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2825*(MIN((Inputs!$B$9+((C2835=TRUE)*(F2835-Calc!F19))+B2848+(ArtifactsInput!$M$24-ArtifactsInput!$M$24)*CHOOSE(ArtifactsInput!$N$24+1,10,12,14,16,18,20)+(IF(AND(IF(ArtifactsInput!$M$42,FALSE,TRUE),((Inputs!$B$9+((C2835=TRUE)*(F2835-Calc!F19))+B2848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825">
        <f>(1-Summary!$B$11)*T2825+Summary!$B$11*V2825</f>
        <v/>
      </c>
      <c r="P2825">
        <f>IF(B2858=0,0,O2825/B2858)</f>
        <v/>
      </c>
      <c r="Q2825">
        <f>IFERROR(1/IF(Inputs!$B$38="pvp",15,MAX(0.1,Skills!D9-IF(Skills!E9=TRUE,Inputs!$B$32,0))),0)</f>
        <v/>
      </c>
      <c r="R2825">
        <f>IF(AND(Inputs!$B$38&lt;&gt;"pvp",Inputs!$B$43&gt;0),IF(MAX(0,Inputs!$B$43-B2855)&lt;=0,0,(INT(MAX(0,Inputs!$B$43-B2855)/IF(Inputs!$B$38="pvp",15,MAX(0.1,Skills!D9-IF(Skills!E9=TRUE,Inputs!$B$32,0))))+1)),0)</f>
        <v/>
      </c>
      <c r="S2825">
        <f>IFERROR((H2825*N2825*IF(AND(Inputs!$B$38&lt;&gt;"pvp",Inputs!$B$43&gt;0),((Skills!G9*((R2825-1)*IF(Skills!H9&gt;0,Skills!I9/Skills!H9,1)+IF(Skills!H9&gt;0,MIN(Skills!I9,MAX(0,MAX(0,Inputs!$B$43-B2855)-((R2825-1)*IF(Inputs!$B$38="pvp",15,MAX(0.1,Skills!D9-IF(Skills!E9=TRUE,Inputs!$B$32,0))))))/Skills!H9,1)))/Inputs!$B$43),G2825*Q2825))/N2825*IF(Inputs!$B$38="pvp",1,(1-Summary!$B$11)*1+Summary!$B$11*(MIN(Skills!R9,Inputs!$B$37))),0)</f>
        <v/>
      </c>
      <c r="T2825">
        <f>IF(C2825,(H2825*N2825*IF(AND(Inputs!$B$38&lt;&gt;"pvp",Inputs!$B$43&gt;0),((Skills!G9*((R2825-1)*IF(Skills!H9&gt;0,Skills!I9/Skills!H9,1)+IF(Skills!H9&gt;0,MIN(Skills!I9,MAX(0,MAX(0,Inputs!$B$43-B2855)-((R2825-1)*IF(Inputs!$B$38="pvp",15,MAX(0.1,Skills!D9-IF(Skills!E9=TRUE,Inputs!$B$32,0))))))/Skills!H9,1)))/Inputs!$B$43),G2825*Q2825))*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Hunt"),CHOOSE(ArtifactsInput!$N$35+1,15,18,21,24,27,30)*(1-EXP(-(0.2*B2850)*5)),0)+IF(AND(ArtifactsInput!$M$22,Inputs!$B$4&lt;&gt;"Chapter Hunt"),CHOOSE(ArtifactsInput!$N$22+1,10,12,14,16,18,20)*((0*(((0.15*B2850*5))^0/1)+1*(((0.15*B2850*5))^1/1)+2*(((0.15*B2850*5))^2/2)+3*(((0.15*B2850*5))^3/6)+4*(((0.15*B2850*5))^4/24)+5*(((0.15*B2850*5))^5/120))/((((0.15*B2850*5))^0/1)+(((0.15*B2850*5))^1/1)+(((0.15*B2850*5))^2/2)+(((0.15*B2850*5))^3/6)+(((0.15*B2850*5))^4/24)+(((0.15*B2850*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2825*(1-MIN(100,(Inputs!$B$9+((C2835=TRUE)*(F2835-Calc!F19))+B2848+(ArtifactsInput!$M$24-ArtifactsInput!$M$24)*CHOOSE(ArtifactsInput!$N$24+1,10,12,14,16,18,20)+(IF(AND(IF(ArtifactsInput!$M$42,FALSE,TRUE),((Inputs!$B$9+((C2835=TRUE)*(F2835-Calc!F19))+B2848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2825*(MIN(100,(Inputs!$B$9+((C2835=TRUE)*(F2835-Calc!F19))+B2848+(ArtifactsInput!$M$24-ArtifactsInput!$M$24)*CHOOSE(ArtifactsInput!$N$24+1,10,12,14,16,18,20)+(IF(AND(IF(ArtifactsInput!$M$42,FALSE,TRUE),((Inputs!$B$9+((C2835=TRUE)*(F2835-Calc!F19))+B2848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2825*(1-MIN(100,(Inputs!$B$9+((C2835=TRUE)*(F2835-Calc!F19))+B2848+(ArtifactsInput!$M$24-ArtifactsInput!$M$24)*CHOOSE(ArtifactsInput!$N$24+1,10,12,14,16,18,20)+(IF(AND(IF(ArtifactsInput!$M$42,FALSE,TRUE),((Inputs!$B$9+((C2835=TRUE)*(F2835-Calc!F19))+B2848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2825*(MIN(100,(Inputs!$B$9+((C2835=TRUE)*(F2835-Calc!F19))+B2848+(ArtifactsInput!$M$24-ArtifactsInput!$M$24)*CHOOSE(ArtifactsInput!$N$24+1,10,12,14,16,18,20)+(IF(AND(IF(ArtifactsInput!$M$42,FALSE,TRUE),((Inputs!$B$9+((C2835=TRUE)*(F2835-Calc!F19))+B2848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825">
        <f>IF(C2825,(H2825*N2825*IF(AND(Inputs!$B$38&lt;&gt;"pvp",Inputs!$B$43&gt;0),((Skills!G9*((R2825-1)*IF(Skills!H9&gt;0,Skills!I9/Skills!H9,1)+IF(Skills!H9&gt;0,MIN(Skills!I9,MAX(0,MAX(0,Inputs!$B$43-B2855)-((R2825-1)*IF(Inputs!$B$38="pvp",15,MAX(0.1,Skills!D9-IF(Skills!E9=TRUE,Inputs!$B$32,0))))))/Skills!H9,1)))/Inputs!$B$43),G2825*Q2825))*IF(Inputs!$B$38="pvp",1,(1+(Inputs!$B$21+Skills!Q9+(IF(ArtifactsInput!$M$33,CHOOSE(ArtifactsInput!$N$33+1,30,36,42,48,54,60),0))+(IF(AND(ArtifactsInput!$M$35,Inputs!$B$4&lt;&gt;"Chapter Hunt"),CHOOSE(ArtifactsInput!$N$35+1,15,18,21,24,27,30)*(1-EXP(-(0.2*B2850)*5)),0)+IF(AND(ArtifactsInput!$M$22,Inputs!$B$4&lt;&gt;"Chapter Hunt"),CHOOSE(ArtifactsInput!$N$22+1,10,12,14,16,18,20)*((0*(((0.15*B2850*5))^0/1)+1*(((0.15*B2850*5))^1/1)+2*(((0.15*B2850*5))^2/2)+3*(((0.15*B2850*5))^3/6)+4*(((0.15*B2850*5))^4/24)+5*(((0.15*B2850*5))^5/120))/((((0.15*B2850*5))^0/1)+(((0.15*B2850*5))^1/1)+(((0.15*B2850*5))^2/2)+(((0.15*B2850*5))^3/6)+(((0.15*B2850*5))^4/24)+(((0.15*B2850*5))^5/120)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826">
      <c r="A2826">
        <f>Skills!A10</f>
        <v/>
      </c>
      <c r="B2826">
        <f>Skills!B10</f>
        <v/>
      </c>
      <c r="C2826">
        <f>Inputs!$B$3&gt;=107</f>
        <v/>
      </c>
      <c r="D2826">
        <f>IF(Skills!C10=1,60+Inputs!$B$25+Inputs!$B$29,IF(Skills!C10=2,90+Inputs!$B$26+Inputs!$B$29,IF(Skills!C10=3,120+Inputs!$B$27+Inputs!$B$29,MAX(0,(Inputs!$B$3-100)*3)+Inputs!$B$28+Inputs!$B$29)))</f>
        <v/>
      </c>
      <c r="E2826">
        <f>INDEX(FactorTable!$B$2:$Y$301, MATCH(ROUND(MIN(300,MAX(1,D2826)),0), FactorTable!$A$2:$A$301,0), Skills!M10+1)</f>
        <v/>
      </c>
      <c r="F2826">
        <f>IF(Skills!N10=TRUE,(Skills!L10/10)*(E2826/1000),Skills!L10/10)+Skills!O10</f>
        <v/>
      </c>
      <c r="G2826">
        <f>Skills!G10*IF(Skills!H10&gt;0,Skills!I10/Skills!H10,1)</f>
        <v/>
      </c>
      <c r="H2826">
        <f>1-(1-Skills!J10/100)^Skills!K10</f>
        <v/>
      </c>
      <c r="I2826" t="inlineStr">
        <is>
          <t>1</t>
        </is>
      </c>
      <c r="J2826">
        <f>((Inputs!$B$6*(1+Inputs!$B$7/100))+(((Inputs!$B$12*(1+Inputs!$B$13/100))-(Inputs!$B$12*(1+Inputs!$B$13/100)))+0.25*(Inputs!$B$14-Inputs!$B$14))*(1+Inputs!$B$7/100))*(F2826/100)</f>
        <v/>
      </c>
      <c r="K2826">
        <f>J2826*(1+((Inputs!$B$12*(1+Inputs!$B$13/100))*0.01+Inputs!$B$14*0.0025)/100)*(1+Inputs!$B$15/100)*(1+Inputs!$B$16/100)*(5000/(6000+Inputs!$B$42*(1-(100*(1-(1-(Inputs!$B$19+0)/100)*(1-CHOOSE(ArtifactsInput!$N$40+1,5,6,7,8,9,10)/100)^(ArtifactsInput!$M$40-ArtifactsInput!$M$40)))/100)))*(1+(Inputs!$B$24+((C2840=TRUE)*(F2840-Calc!F24))+((C2841=TRUE)*(F2841-Calc!F25))+B2854)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EMPOWERED_PIERCING_ARROW",Inputs!$B$17+((C2838=TRUE)*(F2838-Calc!F22))+(((IF(AND(IF(ArtifactsInput!$M$42,FALSE,TRUE),((Inputs!$B$9+((C2835=TRUE)*(F2835-Calc!F19))+B2848+(ArtifactsInput!$M$24-ArtifactsInput!$M$24)*CHOOSE(ArtifactsInput!$N$24+1,10,12,14,16,18,20)+IF(ArtifactsInput!$M$10,CHOOSE(ArtifactsInput!$N$10+1,15,18,21,24,27,30)*(IF(Inputs!$B$38="pvp",MIN(15,15)/15,IF(AND(Inputs!$B$38&lt;&gt;"pvp",Inputs!$B$43&gt;0),MIN(15,Inputs!$B$43)/(Inputs!$B$43),0))),0)))&gt;=100),MIN(100,((Inputs!$B$9+((C2835=TRUE)*(F2835-Calc!F19))+B2848+(ArtifactsInput!$M$24-ArtifactsInput!$M$24)*CHOOSE(ArtifactsInput!$N$24+1,10,12,14,16,18,20)+IF(ArtifactsInput!$M$10,CHOOSE(ArtifactsInput!$N$10+1,15,18,21,24,27,30)*(IF(Inputs!$B$38="pvp",MIN(15,15)/15,IF(AND(Inputs!$B$38&lt;&gt;"pvp",Inputs!$B$43&gt;0),MIN(15,Inputs!$B$43)/(Inputs!$B$43),0))),0)))-100),0))*CHOOSE(ArtifactsInput!$N$42+1,0.6,0.72,0.84,0.96,1.08,1.2))),Inputs!$B$18+((C2843=TRUE)*(F2843-Calc!F27))+(IF(AND(IF(ArtifactsInput!$M$42,FALSE,TRUE),((Inputs!$B$9+((C2835=TRUE)*(F2835-Calc!F19))+B2848+(ArtifactsInput!$M$24-ArtifactsInput!$M$24)*CHOOSE(ArtifactsInput!$N$24+1,10,12,14,16,18,20)+IF(ArtifactsInput!$M$10,CHOOSE(ArtifactsInput!$N$10+1,15,18,21,24,27,30)*(IF(Inputs!$B$38="pvp",MIN(15,15)/15,IF(AND(Inputs!$B$38&lt;&gt;"pvp",Inputs!$B$43&gt;0),MIN(15,Inputs!$B$43)/(Inputs!$B$43),0))),0)))&gt;=100),CHOOSE(ArtifactsInput!$N$42+1,40,48,56,64,72,80),0))))/100)*((1+(((C2829=TRUE)*F2829)+((C2830=TRUE)*IF(Inputs!$B$38="pvp",F2830,(1-Summary!$B$11)*(F2830)+Summary!$B$11*(0)))+((C2831=TRUE)*F2831*IF(AND(Inputs!$B$38&lt;&gt;"pvp",Inputs!$B$43&gt;0),(((R2831-1)*(Skills!T15*(1+Inputs!$B$34/100))+MIN((Skills!T15*(1+Inputs!$B$34/100)),MAX(0,Inputs!$B$43-((R2831-1)*Skills!D15))))/Inputs!$B$43),IF(Inputs!$B$38="pvp",MIN((Skills!T15*(1+Inputs!$B$34/100)),15)/15,(Skills!T15*(1+Inputs!$B$34/100))/Skills!D15)))+((C2828=TRUE)*F2828)+((C2845=TRUE)*(F2845-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2826)</f>
        <v/>
      </c>
      <c r="L2826">
        <f>K2826*(MIN(Inputs!$B$22+((C2839=TRUE)*(F2839-Calc!F23)),(Inputs!$B$23+((C2844=TRUE)*(F2844-Calc!F28))+(IF(ArtifactsInput!$M$15,CHOOSE(ArtifactsInput!$N$15+1,25,30,35,40,45,50)/100*(Inputs!$B$11-Inputs!$B$11),0))))/100+(Inputs!$B$23+((C2844=TRUE)*(F2844-Calc!F28))+(IF(ArtifactsInput!$M$15,CHOOSE(ArtifactsInput!$N$15+1,25,30,35,40,45,50)/100*(Inputs!$B$11-Inputs!$B$11),0)))/100)/2</f>
        <v/>
      </c>
      <c r="M2826">
        <f>L2826*(1+(Inputs!$B$10+0+B2853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826">
        <f>L2826*(1-MIN((Inputs!$B$9+((C2835=TRUE)*(F2835-Calc!F19))+B2848+(ArtifactsInput!$M$24-ArtifactsInput!$M$24)*CHOOSE(ArtifactsInput!$N$24+1,10,12,14,16,18,20)+(IF(AND(IF(ArtifactsInput!$M$42,FALSE,TRUE),((Inputs!$B$9+((C2835=TRUE)*(F2835-Calc!F19))+B2848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2826*(MIN((Inputs!$B$9+((C2835=TRUE)*(F2835-Calc!F19))+B2848+(ArtifactsInput!$M$24-ArtifactsInput!$M$24)*CHOOSE(ArtifactsInput!$N$24+1,10,12,14,16,18,20)+(IF(AND(IF(ArtifactsInput!$M$42,FALSE,TRUE),((Inputs!$B$9+((C2835=TRUE)*(F2835-Calc!F19))+B2848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826">
        <f>(1-Summary!$B$11)*T2826+Summary!$B$11*V2826</f>
        <v/>
      </c>
      <c r="P2826">
        <f>IF(B2858=0,0,O2826/B2858)</f>
        <v/>
      </c>
      <c r="Q2826" t="n">
        <v>0</v>
      </c>
      <c r="R2826" t="n">
        <v>0</v>
      </c>
      <c r="S2826" t="n">
        <v>0</v>
      </c>
      <c r="T2826">
        <f>IF(C2826,(0.15*SUMPRODUCT((Skills!U2:U29=TRUE)*(C2818:C2845=TRUE)*S2818:S2845)*Skills!G10*N2826)*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Hunt"),CHOOSE(ArtifactsInput!$N$35+1,15,18,21,24,27,30)*(1-EXP(-(0.2*B2850)*5)),0)+IF(AND(ArtifactsInput!$M$22,Inputs!$B$4&lt;&gt;"Chapter Hunt"),CHOOSE(ArtifactsInput!$N$22+1,10,12,14,16,18,20)*((0*(((0.15*B2850*5))^0/1)+1*(((0.15*B2850*5))^1/1)+2*(((0.15*B2850*5))^2/2)+3*(((0.15*B2850*5))^3/6)+4*(((0.15*B2850*5))^4/24)+5*(((0.15*B2850*5))^5/120))/((((0.15*B2850*5))^0/1)+(((0.15*B2850*5))^1/1)+(((0.15*B2850*5))^2/2)+(((0.15*B2850*5))^3/6)+(((0.15*B2850*5))^4/24)+(((0.15*B2850*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2826*(1-MIN(100,(Inputs!$B$9+((C2835=TRUE)*(F2835-Calc!F19))+B2848+(ArtifactsInput!$M$24-ArtifactsInput!$M$24)*CHOOSE(ArtifactsInput!$N$24+1,10,12,14,16,18,20)+(IF(AND(IF(ArtifactsInput!$M$42,FALSE,TRUE),((Inputs!$B$9+((C2835=TRUE)*(F2835-Calc!F19))+B2848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2826*(MIN(100,(Inputs!$B$9+((C2835=TRUE)*(F2835-Calc!F19))+B2848+(ArtifactsInput!$M$24-ArtifactsInput!$M$24)*CHOOSE(ArtifactsInput!$N$24+1,10,12,14,16,18,20)+(IF(AND(IF(ArtifactsInput!$M$42,FALSE,TRUE),((Inputs!$B$9+((C2835=TRUE)*(F2835-Calc!F19))+B2848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2826*(1-MIN(100,(Inputs!$B$9+((C2835=TRUE)*(F2835-Calc!F19))+B2848+(ArtifactsInput!$M$24-ArtifactsInput!$M$24)*CHOOSE(ArtifactsInput!$N$24+1,10,12,14,16,18,20)+(IF(AND(IF(ArtifactsInput!$M$42,FALSE,TRUE),((Inputs!$B$9+((C2835=TRUE)*(F2835-Calc!F19))+B2848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2826*(MIN(100,(Inputs!$B$9+((C2835=TRUE)*(F2835-Calc!F19))+B2848+(ArtifactsInput!$M$24-ArtifactsInput!$M$24)*CHOOSE(ArtifactsInput!$N$24+1,10,12,14,16,18,20)+(IF(AND(IF(ArtifactsInput!$M$42,FALSE,TRUE),((Inputs!$B$9+((C2835=TRUE)*(F2835-Calc!F19))+B2848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826">
        <f>IF(C2826,(0.15*SUMPRODUCT((Skills!U2:U29=TRUE)*(C2818:C2845=TRUE)*S2818:S2845)*Skills!G10*N2826)*IF(Inputs!$B$38="pvp",1,(1+(Inputs!$B$21+Skills!Q10+(IF(ArtifactsInput!$M$33,CHOOSE(ArtifactsInput!$N$33+1,30,36,42,48,54,60),0))+(IF(AND(ArtifactsInput!$M$35,Inputs!$B$4&lt;&gt;"Chapter Hunt"),CHOOSE(ArtifactsInput!$N$35+1,15,18,21,24,27,30)*(1-EXP(-(0.2*B2850)*5)),0)+IF(AND(ArtifactsInput!$M$22,Inputs!$B$4&lt;&gt;"Chapter Hunt"),CHOOSE(ArtifactsInput!$N$22+1,10,12,14,16,18,20)*((0*(((0.15*B2850*5))^0/1)+1*(((0.15*B2850*5))^1/1)+2*(((0.15*B2850*5))^2/2)+3*(((0.15*B2850*5))^3/6)+4*(((0.15*B2850*5))^4/24)+5*(((0.15*B2850*5))^5/120))/((((0.15*B2850*5))^0/1)+(((0.15*B2850*5))^1/1)+(((0.15*B2850*5))^2/2)+(((0.15*B2850*5))^3/6)+(((0.15*B2850*5))^4/24)+(((0.15*B2850*5))^5/120)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827">
      <c r="A2827">
        <f>Skills!A11</f>
        <v/>
      </c>
      <c r="B2827">
        <f>Skills!B11</f>
        <v/>
      </c>
      <c r="C2827">
        <f>Inputs!$B$3&gt;=110</f>
        <v/>
      </c>
      <c r="D2827">
        <f>IF(Skills!C11=1,60+Inputs!$B$25+Inputs!$B$29,IF(Skills!C11=2,90+Inputs!$B$26+Inputs!$B$29,IF(Skills!C11=3,120+Inputs!$B$27+Inputs!$B$29,MAX(0,(Inputs!$B$3-100)*3)+Inputs!$B$28+Inputs!$B$29)))</f>
        <v/>
      </c>
      <c r="E2827">
        <f>INDEX(FactorTable!$B$2:$Y$301, MATCH(ROUND(MIN(300,MAX(1,D2827)),0), FactorTable!$A$2:$A$301,0), Skills!M11+1)</f>
        <v/>
      </c>
      <c r="F2827">
        <f>IF(Skills!N11=TRUE,(Skills!L11/10)*(E2827/1000),Skills!L11/10)+Skills!O11</f>
        <v/>
      </c>
      <c r="G2827">
        <f>Skills!G11*IF(Skills!H11&gt;0,Skills!I11/Skills!H11,1)</f>
        <v/>
      </c>
      <c r="H2827">
        <f>1-(1-Skills!J11/100)^Skills!K11</f>
        <v/>
      </c>
      <c r="I2827" t="inlineStr">
        <is>
          <t>1</t>
        </is>
      </c>
      <c r="J2827">
        <f>((Inputs!$B$6*(1+Inputs!$B$7/100))+(((Inputs!$B$12*(1+Inputs!$B$13/100))-(Inputs!$B$12*(1+Inputs!$B$13/100)))+0.25*(Inputs!$B$14-Inputs!$B$14))*(1+Inputs!$B$7/100))*(F2827/100)</f>
        <v/>
      </c>
      <c r="K2827">
        <f>J2827*(1+((Inputs!$B$12*(1+Inputs!$B$13/100))*0.01+Inputs!$B$14*0.0025)/100)*(1+Inputs!$B$15/100)*(1+Inputs!$B$16/100)*(5000/(6000+Inputs!$B$42*(1-(100*(1-(1-(Inputs!$B$19+0)/100)*(1-CHOOSE(ArtifactsInput!$N$40+1,5,6,7,8,9,10)/100)^(ArtifactsInput!$M$40-ArtifactsInput!$M$40)))/100)))*(1+(Inputs!$B$24+((C2840=TRUE)*(F2840-Calc!F24))+((C2841=TRUE)*(F2841-Calc!F25))+B2854)/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11="EMPOWERED_PIERCING_ARROW",Inputs!$B$17+((C2838=TRUE)*(F2838-Calc!F22))+(((IF(AND(IF(ArtifactsInput!$M$42,FALSE,TRUE),((Inputs!$B$9+((C2835=TRUE)*(F2835-Calc!F19))+B2848+(ArtifactsInput!$M$24-ArtifactsInput!$M$24)*CHOOSE(ArtifactsInput!$N$24+1,10,12,14,16,18,20)+IF(ArtifactsInput!$M$10,CHOOSE(ArtifactsInput!$N$10+1,15,18,21,24,27,30)*(IF(Inputs!$B$38="pvp",MIN(15,15)/15,IF(AND(Inputs!$B$38&lt;&gt;"pvp",Inputs!$B$43&gt;0),MIN(15,Inputs!$B$43)/(Inputs!$B$43),0))),0)))&gt;=100),MIN(100,((Inputs!$B$9+((C2835=TRUE)*(F2835-Calc!F19))+B2848+(ArtifactsInput!$M$24-ArtifactsInput!$M$24)*CHOOSE(ArtifactsInput!$N$24+1,10,12,14,16,18,20)+IF(ArtifactsInput!$M$10,CHOOSE(ArtifactsInput!$N$10+1,15,18,21,24,27,30)*(IF(Inputs!$B$38="pvp",MIN(15,15)/15,IF(AND(Inputs!$B$38&lt;&gt;"pvp",Inputs!$B$43&gt;0),MIN(15,Inputs!$B$43)/(Inputs!$B$43),0))),0)))-100),0))*CHOOSE(ArtifactsInput!$N$42+1,0.6,0.72,0.84,0.96,1.08,1.2))),Inputs!$B$18+((C2843=TRUE)*(F2843-Calc!F27))+(IF(AND(IF(ArtifactsInput!$M$42,FALSE,TRUE),((Inputs!$B$9+((C2835=TRUE)*(F2835-Calc!F19))+B2848+(ArtifactsInput!$M$24-ArtifactsInput!$M$24)*CHOOSE(ArtifactsInput!$N$24+1,10,12,14,16,18,20)+IF(ArtifactsInput!$M$10,CHOOSE(ArtifactsInput!$N$10+1,15,18,21,24,27,30)*(IF(Inputs!$B$38="pvp",MIN(15,15)/15,IF(AND(Inputs!$B$38&lt;&gt;"pvp",Inputs!$B$43&gt;0),MIN(15,Inputs!$B$43)/(Inputs!$B$43),0))),0)))&gt;=100),CHOOSE(ArtifactsInput!$N$42+1,40,48,56,64,72,80),0))))/100)*((1+(((C2829=TRUE)*F2829)+((C2830=TRUE)*IF(Inputs!$B$38="pvp",F2830,(1-Summary!$B$11)*(F2830)+Summary!$B$11*(0)))+((C2831=TRUE)*F2831*IF(AND(Inputs!$B$38&lt;&gt;"pvp",Inputs!$B$43&gt;0),(((R2831-1)*(Skills!T15*(1+Inputs!$B$34/100))+MIN((Skills!T15*(1+Inputs!$B$34/100)),MAX(0,Inputs!$B$43-((R2831-1)*Skills!D15))))/Inputs!$B$43),IF(Inputs!$B$38="pvp",MIN((Skills!T15*(1+Inputs!$B$34/100)),15)/15,(Skills!T15*(1+Inputs!$B$34/100))/Skills!D15)))+((C2828=TRUE)*F2828)+((C2845=TRUE)*(F2845-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2827)</f>
        <v/>
      </c>
      <c r="L2827">
        <f>K2827*(MIN(Inputs!$B$22+((C2839=TRUE)*(F2839-Calc!F23)),(Inputs!$B$23+((C2844=TRUE)*(F2844-Calc!F28))+(IF(ArtifactsInput!$M$15,CHOOSE(ArtifactsInput!$N$15+1,25,30,35,40,45,50)/100*(Inputs!$B$11-Inputs!$B$11),0))))/100+(Inputs!$B$23+((C2844=TRUE)*(F2844-Calc!F28))+(IF(ArtifactsInput!$M$15,CHOOSE(ArtifactsInput!$N$15+1,25,30,35,40,45,50)/100*(Inputs!$B$11-Inputs!$B$11),0)))/100)/2</f>
        <v/>
      </c>
      <c r="M2827">
        <f>L2827*(1+(Inputs!$B$10+0+B2853+(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827">
        <f>L2827*(1-MIN((Inputs!$B$9+((C2835=TRUE)*(F2835-Calc!F19))+B2848+(ArtifactsInput!$M$24-ArtifactsInput!$M$24)*CHOOSE(ArtifactsInput!$N$24+1,10,12,14,16,18,20)+(IF(AND(IF(ArtifactsInput!$M$42,FALSE,TRUE),((Inputs!$B$9+((C2835=TRUE)*(F2835-Calc!F19))+B2848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2827*(MIN((Inputs!$B$9+((C2835=TRUE)*(F2835-Calc!F19))+B2848+(ArtifactsInput!$M$24-ArtifactsInput!$M$24)*CHOOSE(ArtifactsInput!$N$24+1,10,12,14,16,18,20)+(IF(AND(IF(ArtifactsInput!$M$42,FALSE,TRUE),((Inputs!$B$9+((C2835=TRUE)*(F2835-Calc!F19))+B2848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827">
        <f>(1-Summary!$B$11)*T2827+Summary!$B$11*V2827</f>
        <v/>
      </c>
      <c r="P2827">
        <f>IF(B2858=0,0,O2827/B2858)</f>
        <v/>
      </c>
      <c r="Q2827">
        <f>IFERROR(1/IF(Inputs!$B$38="pvp",15,MAX(0.1,Skills!D11-IF(Skills!E11=TRUE,Inputs!$B$32,0))),0)</f>
        <v/>
      </c>
      <c r="R2827">
        <f>IF(AND(Inputs!$B$38&lt;&gt;"pvp",Inputs!$B$43&gt;0),IF(MAX(0,Inputs!$B$43-B2855)&lt;=0,0,(INT(MAX(0,Inputs!$B$43-B2855)/IF(Inputs!$B$38="pvp",15,MAX(0.1,Skills!D11-IF(Skills!E11=TRUE,Inputs!$B$32,0))))+1)),0)</f>
        <v/>
      </c>
      <c r="S2827">
        <f>IFERROR((H2827*N2827*IF(AND(Inputs!$B$38&lt;&gt;"pvp",Inputs!$B$43&gt;0),((Skills!G11*((R2827-1)*IF(Skills!H11&gt;0,Skills!I11/Skills!H11,1)+IF(Skills!H11&gt;0,MIN(Skills!I11,MAX(0,MAX(0,Inputs!$B$43-B2855)-((R2827-1)*IF(Inputs!$B$38="pvp",15,MAX(0.1,Skills!D11-IF(Skills!E11=TRUE,Inputs!$B$32,0))))))/Skills!H11,1)))/Inputs!$B$43),G2827*Q2827))/N2827*IF(Inputs!$B$38="pvp",1,(1-Summary!$B$11)*1+Summary!$B$11*(MIN(Skills!R11,Inputs!$B$37))),0)</f>
        <v/>
      </c>
      <c r="T2827">
        <f>IF(C2827,(H2827*N2827*IF(AND(Inputs!$B$38&lt;&gt;"pvp",Inputs!$B$43&gt;0),((Skills!G11*((R2827-1)*IF(Skills!H11&gt;0,Skills!I11/Skills!H11,1)+IF(Skills!H11&gt;0,MIN(Skills!I11,MAX(0,MAX(0,Inputs!$B$43-B2855)-((R2827-1)*IF(Inputs!$B$38="pvp",15,MAX(0.1,Skills!D11-IF(Skills!E11=TRUE,Inputs!$B$32,0))))))/Skills!H11,1)))/Inputs!$B$43),G2827*Q2827))*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Hunt"),CHOOSE(ArtifactsInput!$N$35+1,15,18,21,24,27,30)*(1-EXP(-(0.2*B2850)*5)),0)+IF(AND(ArtifactsInput!$M$22,Inputs!$B$4&lt;&gt;"Chapter Hunt"),CHOOSE(ArtifactsInput!$N$22+1,10,12,14,16,18,20)*((0*(((0.15*B2850*5))^0/1)+1*(((0.15*B2850*5))^1/1)+2*(((0.15*B2850*5))^2/2)+3*(((0.15*B2850*5))^3/6)+4*(((0.15*B2850*5))^4/24)+5*(((0.15*B2850*5))^5/120))/((((0.15*B2850*5))^0/1)+(((0.15*B2850*5))^1/1)+(((0.15*B2850*5))^2/2)+(((0.15*B2850*5))^3/6)+(((0.15*B2850*5))^4/24)+(((0.15*B2850*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2827*(1-MIN(100,(Inputs!$B$9+((C2835=TRUE)*(F2835-Calc!F19))+B2848+(ArtifactsInput!$M$24-ArtifactsInput!$M$24)*CHOOSE(ArtifactsInput!$N$24+1,10,12,14,16,18,20)+(IF(AND(IF(ArtifactsInput!$M$42,FALSE,TRUE),((Inputs!$B$9+((C2835=TRUE)*(F2835-Calc!F19))+B2848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2827*(MIN(100,(Inputs!$B$9+((C2835=TRUE)*(F2835-Calc!F19))+B2848+(ArtifactsInput!$M$24-ArtifactsInput!$M$24)*CHOOSE(ArtifactsInput!$N$24+1,10,12,14,16,18,20)+(IF(AND(IF(ArtifactsInput!$M$42,FALSE,TRUE),((Inputs!$B$9+((C2835=TRUE)*(F2835-Calc!F19))+B2848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2827*(1-MIN(100,(Inputs!$B$9+((C2835=TRUE)*(F2835-Calc!F19))+B2848+(ArtifactsInput!$M$24-ArtifactsInput!$M$24)*CHOOSE(ArtifactsInput!$N$24+1,10,12,14,16,18,20)+(IF(AND(IF(ArtifactsInput!$M$42,FALSE,TRUE),((Inputs!$B$9+((C2835=TRUE)*(F2835-Calc!F19))+B2848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2827*(MIN(100,(Inputs!$B$9+((C2835=TRUE)*(F2835-Calc!F19))+B2848+(ArtifactsInput!$M$24-ArtifactsInput!$M$24)*CHOOSE(ArtifactsInput!$N$24+1,10,12,14,16,18,20)+(IF(AND(IF(ArtifactsInput!$M$42,FALSE,TRUE),((Inputs!$B$9+((C2835=TRUE)*(F2835-Calc!F19))+B2848+(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827">
        <f>IF(C2827,(H2827*N2827*IF(AND(Inputs!$B$38&lt;&gt;"pvp",Inputs!$B$43&gt;0),((Skills!G11*((R2827-1)*IF(Skills!H11&gt;0,Skills!I11/Skills!H11,1)+IF(Skills!H11&gt;0,MIN(Skills!I11,MAX(0,MAX(0,Inputs!$B$43-B2855)-((R2827-1)*IF(Inputs!$B$38="pvp",15,MAX(0.1,Skills!D11-IF(Skills!E11=TRUE,Inputs!$B$32,0))))))/Skills!H11,1)))/Inputs!$B$43),G2827*Q2827))*IF(Inputs!$B$38="pvp",1,(1+(Inputs!$B$21+Skills!Q11+(IF(ArtifactsInput!$M$33,CHOOSE(ArtifactsInput!$N$33+1,30,36,42,48,54,60),0))+(IF(AND(ArtifactsInput!$M$35,Inputs!$B$4&lt;&gt;"Chapter Hunt"),CHOOSE(ArtifactsInput!$N$35+1,15,18,21,24,27,30)*(1-EXP(-(0.2*B2850)*5)),0)+IF(AND(ArtifactsInput!$M$22,Inputs!$B$4&lt;&gt;"Chapter Hunt"),CHOOSE(ArtifactsInput!$N$22+1,10,12,14,16,18,20)*((0*(((0.15*B2850*5))^0/1)+1*(((0.15*B2850*5))^1/1)+2*(((0.15*B2850*5))^2/2)+3*(((0.15*B2850*5))^3/6)+4*(((0.15*B2850*5))^4/24)+5*(((0.15*B2850*5))^5/120))/((((0.15*B2850*5))^0/1)+(((0.15*B2850*5))^1/1)+(((0.15*B2850*5))^2/2)+(((0.15*B2850*5))^3/6)+(((0.15*B2850*5))^4/24)+(((0.15*B2850*5))^5/120))),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828">
      <c r="A2828">
        <f>Skills!A12</f>
        <v/>
      </c>
      <c r="B2828">
        <f>Skills!B12</f>
        <v/>
      </c>
      <c r="C2828">
        <f>Inputs!$B$3&gt;=60</f>
        <v/>
      </c>
      <c r="D2828">
        <f>IF(Skills!C12=1,60+Inputs!$B$25+Inputs!$B$29,IF(Skills!C12=2,90+Inputs!$B$26+Inputs!$B$29,IF(Skills!C12=3,120+Inputs!$B$27+Inputs!$B$29,MAX(0,(Inputs!$B$3-100)*3)+Inputs!$B$28+Inputs!$B$29)))</f>
        <v/>
      </c>
      <c r="E2828">
        <f>INDEX(FactorTable!$B$2:$Y$301, MATCH(ROUND(MIN(300,MAX(1,D2828)),0), FactorTable!$A$2:$A$301,0), Skills!M12+1)</f>
        <v/>
      </c>
      <c r="F2828">
        <f>IF(Skills!N12=TRUE,(Skills!L12/10)*(E2828/1000),Skills!L12/10)+Skills!O12</f>
        <v/>
      </c>
      <c r="G2828">
        <f>Skills!G12*IF(Skills!H12&gt;0,Skills!I12/Skills!H12,1)</f>
        <v/>
      </c>
      <c r="H2828">
        <f>1-(1-Skills!J12/100)^Skills!K12</f>
        <v/>
      </c>
      <c r="I2828" t="inlineStr">
        <is>
          <t>1</t>
        </is>
      </c>
      <c r="J2828" t="inlineStr"/>
      <c r="K2828" t="inlineStr"/>
      <c r="L2828" t="inlineStr"/>
      <c r="M2828" t="inlineStr"/>
      <c r="N2828" t="inlineStr"/>
      <c r="O2828">
        <f>(1-Summary!$B$11)*T2828+Summary!$B$11*V2828</f>
        <v/>
      </c>
      <c r="P2828">
        <f>IF(B2858=0,0,O2828/B2858)</f>
        <v/>
      </c>
      <c r="Q2828" t="n">
        <v>0</v>
      </c>
      <c r="R2828" t="n">
        <v>0</v>
      </c>
      <c r="S2828" t="n">
        <v>0</v>
      </c>
      <c r="T2828" t="n">
        <v>0</v>
      </c>
      <c r="V2828" t="n">
        <v>0</v>
      </c>
    </row>
    <row r="2829">
      <c r="A2829">
        <f>Skills!A13</f>
        <v/>
      </c>
      <c r="B2829">
        <f>Skills!B13</f>
        <v/>
      </c>
      <c r="C2829">
        <f>Inputs!$B$3&gt;=74</f>
        <v/>
      </c>
      <c r="D2829">
        <f>IF(Skills!C13=1,60+Inputs!$B$25+Inputs!$B$29,IF(Skills!C13=2,90+Inputs!$B$26+Inputs!$B$29,IF(Skills!C13=3,120+Inputs!$B$27+Inputs!$B$29,MAX(0,(Inputs!$B$3-100)*3)+Inputs!$B$28+Inputs!$B$29)))</f>
        <v/>
      </c>
      <c r="E2829">
        <f>INDEX(FactorTable!$B$2:$Y$301, MATCH(ROUND(MIN(300,MAX(1,D2829)),0), FactorTable!$A$2:$A$301,0), Skills!M13+1)</f>
        <v/>
      </c>
      <c r="F2829">
        <f>IF(Skills!N13=TRUE,(Skills!L13/10)*(E2829/1000),Skills!L13/10)+Skills!O13</f>
        <v/>
      </c>
      <c r="G2829">
        <f>Skills!G13*IF(Skills!H13&gt;0,Skills!I13/Skills!H13,1)</f>
        <v/>
      </c>
      <c r="H2829">
        <f>1-(1-Skills!J13/100)^Skills!K13</f>
        <v/>
      </c>
      <c r="I2829" t="inlineStr">
        <is>
          <t>1</t>
        </is>
      </c>
      <c r="J2829" t="inlineStr"/>
      <c r="K2829" t="inlineStr"/>
      <c r="L2829" t="inlineStr"/>
      <c r="M2829" t="inlineStr"/>
      <c r="N2829" t="inlineStr"/>
      <c r="O2829">
        <f>(1-Summary!$B$11)*T2829+Summary!$B$11*V2829</f>
        <v/>
      </c>
      <c r="P2829">
        <f>IF(B2858=0,0,O2829/B2858)</f>
        <v/>
      </c>
      <c r="Q2829" t="n">
        <v>0</v>
      </c>
      <c r="R2829" t="n">
        <v>0</v>
      </c>
      <c r="S2829" t="n">
        <v>0</v>
      </c>
      <c r="T2829" t="n">
        <v>0</v>
      </c>
      <c r="V2829" t="n">
        <v>0</v>
      </c>
    </row>
    <row r="2830">
      <c r="A2830">
        <f>Skills!A14</f>
        <v/>
      </c>
      <c r="B2830">
        <f>Skills!B14</f>
        <v/>
      </c>
      <c r="C2830">
        <f>Inputs!$B$3&gt;=74</f>
        <v/>
      </c>
      <c r="D2830">
        <f>IF(Skills!C14=1,60+Inputs!$B$25+Inputs!$B$29,IF(Skills!C14=2,90+Inputs!$B$26+Inputs!$B$29,IF(Skills!C14=3,120+Inputs!$B$27+Inputs!$B$29,MAX(0,(Inputs!$B$3-100)*3)+Inputs!$B$28+Inputs!$B$29)))</f>
        <v/>
      </c>
      <c r="E2830">
        <f>INDEX(FactorTable!$B$2:$Y$301, MATCH(ROUND(MIN(300,MAX(1,D2830)),0), FactorTable!$A$2:$A$301,0), Skills!M14+1)</f>
        <v/>
      </c>
      <c r="F2830">
        <f>IF(Skills!N14=TRUE,(Skills!L14/10)*(E2830/1000),Skills!L14/10)+Skills!O14</f>
        <v/>
      </c>
      <c r="G2830">
        <f>Skills!G14*IF(Skills!H14&gt;0,Skills!I14/Skills!H14,1)</f>
        <v/>
      </c>
      <c r="H2830">
        <f>1-(1-Skills!J14/100)^Skills!K14</f>
        <v/>
      </c>
      <c r="I2830" t="inlineStr">
        <is>
          <t>1</t>
        </is>
      </c>
      <c r="J2830" t="inlineStr"/>
      <c r="K2830" t="inlineStr"/>
      <c r="L2830" t="inlineStr"/>
      <c r="M2830" t="inlineStr"/>
      <c r="N2830" t="inlineStr"/>
      <c r="O2830">
        <f>(1-Summary!$B$11)*T2830+Summary!$B$11*V2830</f>
        <v/>
      </c>
      <c r="P2830">
        <f>IF(B2858=0,0,O2830/B2858)</f>
        <v/>
      </c>
      <c r="Q2830" t="n">
        <v>0</v>
      </c>
      <c r="R2830" t="n">
        <v>0</v>
      </c>
      <c r="S2830" t="n">
        <v>0</v>
      </c>
      <c r="T2830" t="n">
        <v>0</v>
      </c>
      <c r="V2830" t="n">
        <v>0</v>
      </c>
    </row>
    <row r="2831">
      <c r="A2831">
        <f>Skills!A15</f>
        <v/>
      </c>
      <c r="B2831">
        <f>Skills!B15</f>
        <v/>
      </c>
      <c r="C2831">
        <f>Inputs!$B$3&gt;=117</f>
        <v/>
      </c>
      <c r="D2831">
        <f>IF(Skills!C15=1,60+Inputs!$B$25+Inputs!$B$29,IF(Skills!C15=2,90+Inputs!$B$26+Inputs!$B$29,IF(Skills!C15=3,120+Inputs!$B$27+Inputs!$B$29,MAX(0,(Inputs!$B$3-100)*3)+Inputs!$B$28+Inputs!$B$29)))</f>
        <v/>
      </c>
      <c r="E2831">
        <f>INDEX(FactorTable!$B$2:$Y$301, MATCH(ROUND(MIN(300,MAX(1,D2831)),0), FactorTable!$A$2:$A$301,0), Skills!M15+1)</f>
        <v/>
      </c>
      <c r="F2831">
        <f>IF(Skills!N15=TRUE,(Skills!L15/10)*(E2831/1000),Skills!L15/10)+Skills!O15</f>
        <v/>
      </c>
      <c r="G2831">
        <f>Skills!G15*IF(Skills!H15&gt;0,Skills!I15/Skills!H15,1)</f>
        <v/>
      </c>
      <c r="H2831">
        <f>1-(1-Skills!J15/100)^Skills!K15</f>
        <v/>
      </c>
      <c r="I2831" t="inlineStr">
        <is>
          <t>1</t>
        </is>
      </c>
      <c r="J2831" t="inlineStr"/>
      <c r="K2831" t="inlineStr"/>
      <c r="L2831" t="inlineStr"/>
      <c r="M2831" t="inlineStr"/>
      <c r="N2831" t="inlineStr"/>
      <c r="O2831">
        <f>(1-Summary!$B$11)*T2831+Summary!$B$11*V2831</f>
        <v/>
      </c>
      <c r="P2831">
        <f>IF(B2858=0,0,O2831/B2858)</f>
        <v/>
      </c>
      <c r="Q2831">
        <f>IFERROR(1/IF(Inputs!$B$38="pvp",15,MAX(0.1,Skills!D15-IF(Skills!E15=TRUE,Inputs!$B$32,0))),0)</f>
        <v/>
      </c>
      <c r="R2831">
        <f>IF(AND(Inputs!$B$38&lt;&gt;"pvp",Inputs!$B$43&gt;0),IF(Inputs!$B$43&lt;=0,0,(INT(Inputs!$B$43/IF(Inputs!$B$38="pvp",15,MAX(0.1,Skills!D15-IF(Skills!E15=TRUE,Inputs!$B$32,0))))+1)),0)</f>
        <v/>
      </c>
      <c r="S2831" t="n">
        <v>0</v>
      </c>
      <c r="T2831" t="n">
        <v>0</v>
      </c>
      <c r="V2831" t="n">
        <v>0</v>
      </c>
    </row>
    <row r="2832">
      <c r="A2832">
        <f>Skills!A16</f>
        <v/>
      </c>
      <c r="B2832">
        <f>Skills!B16</f>
        <v/>
      </c>
      <c r="C2832">
        <f>Inputs!$B$3&gt;=115</f>
        <v/>
      </c>
      <c r="D2832">
        <f>IF(Skills!C16=1,60+Inputs!$B$25+Inputs!$B$29,IF(Skills!C16=2,90+Inputs!$B$26+Inputs!$B$29,IF(Skills!C16=3,120+Inputs!$B$27+Inputs!$B$29,MAX(0,(Inputs!$B$3-100)*3)+Inputs!$B$28+Inputs!$B$29)))</f>
        <v/>
      </c>
      <c r="E2832">
        <f>INDEX(FactorTable!$B$2:$Y$301, MATCH(ROUND(MIN(300,MAX(1,D2832)),0), FactorTable!$A$2:$A$301,0), Skills!M16+1)</f>
        <v/>
      </c>
      <c r="F2832">
        <f>IF(Skills!N16=TRUE,(Skills!L16/10)*(E2832/1000),Skills!L16/10)+Skills!O16</f>
        <v/>
      </c>
      <c r="G2832">
        <f>Skills!G16*IF(Skills!H16&gt;0,Skills!I16/Skills!H16,1)</f>
        <v/>
      </c>
      <c r="H2832">
        <f>1-(1-Skills!J16/100)^Skills!K16</f>
        <v/>
      </c>
      <c r="I2832" t="inlineStr">
        <is>
          <t>1</t>
        </is>
      </c>
      <c r="J2832" t="inlineStr"/>
      <c r="K2832" t="inlineStr"/>
      <c r="L2832" t="inlineStr"/>
      <c r="M2832" t="inlineStr"/>
      <c r="N2832" t="inlineStr"/>
      <c r="O2832">
        <f>(1-Summary!$B$11)*T2832+Summary!$B$11*V2832</f>
        <v/>
      </c>
      <c r="P2832">
        <f>IF(B2858=0,0,O2832/B2858)</f>
        <v/>
      </c>
      <c r="Q2832">
        <f>IFERROR(1/IF(Inputs!$B$38="pvp",15,MAX(0.1,Skills!D16-IF(Skills!E16=TRUE,Inputs!$B$32,0))),0)</f>
        <v/>
      </c>
      <c r="R2832">
        <f>IF(AND(Inputs!$B$38&lt;&gt;"pvp",Inputs!$B$43&gt;0),IF(Inputs!$B$43&lt;=0,0,(INT(Inputs!$B$43/IF(Inputs!$B$38="pvp",15,MAX(0.1,Skills!D16-IF(Skills!E16=TRUE,Inputs!$B$32,0))))+1)),0)</f>
        <v/>
      </c>
      <c r="S2832" t="n">
        <v>0</v>
      </c>
      <c r="T2832" t="n">
        <v>0</v>
      </c>
      <c r="V2832" t="n">
        <v>0</v>
      </c>
    </row>
    <row r="2833">
      <c r="A2833">
        <f>Skills!A17</f>
        <v/>
      </c>
      <c r="B2833">
        <f>Skills!B17</f>
        <v/>
      </c>
      <c r="C2833">
        <f>Inputs!$B$3&gt;=72</f>
        <v/>
      </c>
      <c r="D2833">
        <f>IF(Skills!C17=1,60+Inputs!$B$25+Inputs!$B$29,IF(Skills!C17=2,90+Inputs!$B$26+Inputs!$B$29,IF(Skills!C17=3,120+Inputs!$B$27+Inputs!$B$29,MAX(0,(Inputs!$B$3-100)*3)+Inputs!$B$28+Inputs!$B$29)))</f>
        <v/>
      </c>
      <c r="E2833">
        <f>INDEX(FactorTable!$B$2:$Y$301, MATCH(ROUND(MIN(300,MAX(1,D2833)),0), FactorTable!$A$2:$A$301,0), Skills!M17+1)</f>
        <v/>
      </c>
      <c r="F2833">
        <f>IF(Skills!N17=TRUE,(Skills!L17/10)*(E2833/1000),Skills!L17/10)+Skills!O17</f>
        <v/>
      </c>
      <c r="G2833">
        <f>Skills!G17*IF(Skills!H17&gt;0,Skills!I17/Skills!H17,1)</f>
        <v/>
      </c>
      <c r="H2833">
        <f>1-(1-Skills!J17/100)^Skills!K17</f>
        <v/>
      </c>
      <c r="I2833" t="inlineStr">
        <is>
          <t>1</t>
        </is>
      </c>
      <c r="J2833" t="inlineStr"/>
      <c r="K2833" t="inlineStr"/>
      <c r="L2833" t="inlineStr"/>
      <c r="M2833" t="inlineStr"/>
      <c r="N2833" t="inlineStr"/>
      <c r="O2833">
        <f>(1-Summary!$B$11)*T2833+Summary!$B$11*V2833</f>
        <v/>
      </c>
      <c r="P2833">
        <f>IF(B2858=0,0,O2833/B2858)</f>
        <v/>
      </c>
      <c r="Q2833" t="n">
        <v>0</v>
      </c>
      <c r="R2833" t="n">
        <v>0</v>
      </c>
      <c r="S2833" t="n">
        <v>0</v>
      </c>
      <c r="T2833" t="n">
        <v>0</v>
      </c>
      <c r="V2833" t="n">
        <v>0</v>
      </c>
    </row>
    <row r="2834">
      <c r="A2834">
        <f>Skills!A18</f>
        <v/>
      </c>
      <c r="B2834">
        <f>Skills!B18</f>
        <v/>
      </c>
      <c r="C2834">
        <f>TRUE</f>
        <v/>
      </c>
      <c r="D2834">
        <f>IF(Skills!C18=1,60+Inputs!$B$25+Inputs!$B$29,IF(Skills!C18=2,90+Inputs!$B$26+Inputs!$B$29,IF(Skills!C18=3,120+Inputs!$B$27+Inputs!$B$29,MAX(0,(Inputs!$B$3-100)*3)+Inputs!$B$28+Inputs!$B$29)))</f>
        <v/>
      </c>
      <c r="E2834">
        <f>INDEX(FactorTable!$B$2:$Y$301, MATCH(ROUND(MIN(300,MAX(1,D2834)),0), FactorTable!$A$2:$A$301,0), Skills!M18+1)</f>
        <v/>
      </c>
      <c r="F2834">
        <f>IF(Skills!N18=TRUE,(Skills!L18/10)*(E2834/1000),Skills!L18/10)+Skills!O18</f>
        <v/>
      </c>
      <c r="G2834">
        <f>Skills!G18*IF(Skills!H18&gt;0,Skills!I18/Skills!H18,1)</f>
        <v/>
      </c>
      <c r="H2834">
        <f>1-(1-Skills!J18/100)^Skills!K18</f>
        <v/>
      </c>
      <c r="I2834" t="inlineStr">
        <is>
          <t>1</t>
        </is>
      </c>
      <c r="J2834" t="inlineStr"/>
      <c r="K2834" t="inlineStr"/>
      <c r="L2834" t="inlineStr"/>
      <c r="M2834" t="inlineStr"/>
      <c r="N2834" t="inlineStr"/>
      <c r="O2834">
        <f>(1-Summary!$B$11)*T2834+Summary!$B$11*V2834</f>
        <v/>
      </c>
      <c r="P2834">
        <f>IF(B2858=0,0,O2834/B2858)</f>
        <v/>
      </c>
      <c r="Q2834">
        <f>IFERROR(1/IF(Inputs!$B$38="pvp",15,MAX(0.1,Skills!D18-IF(Skills!E18=TRUE,Inputs!$B$32,0))),0)</f>
        <v/>
      </c>
      <c r="R2834">
        <f>IF(AND(Inputs!$B$38&lt;&gt;"pvp",Inputs!$B$43&gt;0),IF(Inputs!$B$43&lt;=0,0,(INT(Inputs!$B$43/IF(Inputs!$B$38="pvp",15,MAX(0.1,Skills!D18-IF(Skills!E18=TRUE,Inputs!$B$32,0))))+1)),0)</f>
        <v/>
      </c>
      <c r="S2834" t="n">
        <v>0</v>
      </c>
      <c r="T2834" t="n">
        <v>0</v>
      </c>
      <c r="V2834" t="n">
        <v>0</v>
      </c>
    </row>
    <row r="2835">
      <c r="A2835">
        <f>Skills!A19</f>
        <v/>
      </c>
      <c r="B2835">
        <f>Skills!B19</f>
        <v/>
      </c>
      <c r="C2835">
        <f>Inputs!$B$3&gt;=15</f>
        <v/>
      </c>
      <c r="D2835">
        <f>IF(Skills!C19=1,60+Inputs!$B$25+Inputs!$B$29,IF(Skills!C19=2,90+Inputs!$B$26+Inputs!$B$29,IF(Skills!C19=3,120+Inputs!$B$27+Inputs!$B$29,MAX(0,(Inputs!$B$3-100)*3)+Inputs!$B$28+Inputs!$B$29)))</f>
        <v/>
      </c>
      <c r="E2835">
        <f>INDEX(FactorTable!$B$2:$Y$301, MATCH(ROUND(MIN(300,MAX(1,D2835)),0), FactorTable!$A$2:$A$301,0), Skills!M19+1)</f>
        <v/>
      </c>
      <c r="F2835">
        <f>IF(Skills!N19=TRUE,(Skills!L19/10)*(E2835/1000),Skills!L19/10)+Skills!O19</f>
        <v/>
      </c>
      <c r="G2835">
        <f>Skills!G19*IF(Skills!H19&gt;0,Skills!I19/Skills!H19,1)</f>
        <v/>
      </c>
      <c r="H2835">
        <f>1-(1-Skills!J19/100)^Skills!K19</f>
        <v/>
      </c>
      <c r="I2835" t="inlineStr">
        <is>
          <t>1</t>
        </is>
      </c>
      <c r="J2835" t="inlineStr"/>
      <c r="K2835" t="inlineStr"/>
      <c r="L2835" t="inlineStr"/>
      <c r="M2835" t="inlineStr"/>
      <c r="N2835" t="inlineStr"/>
      <c r="O2835">
        <f>(1-Summary!$B$11)*T2835+Summary!$B$11*V2835</f>
        <v/>
      </c>
      <c r="P2835">
        <f>IF(B2858=0,0,O2835/B2858)</f>
        <v/>
      </c>
      <c r="Q2835" t="n">
        <v>0</v>
      </c>
      <c r="R2835" t="n">
        <v>0</v>
      </c>
      <c r="S2835" t="n">
        <v>0</v>
      </c>
      <c r="T2835" t="n">
        <v>0</v>
      </c>
      <c r="V2835" t="n">
        <v>0</v>
      </c>
    </row>
    <row r="2836">
      <c r="A2836">
        <f>Skills!A20</f>
        <v/>
      </c>
      <c r="B2836">
        <f>Skills!B20</f>
        <v/>
      </c>
      <c r="C2836">
        <f>Inputs!$B$3&gt;=10</f>
        <v/>
      </c>
      <c r="D2836">
        <f>IF(Skills!C20=1,60+Inputs!$B$25+Inputs!$B$29,IF(Skills!C20=2,90+Inputs!$B$26+Inputs!$B$29,IF(Skills!C20=3,120+Inputs!$B$27+Inputs!$B$29,MAX(0,(Inputs!$B$3-100)*3)+Inputs!$B$28+Inputs!$B$29)))</f>
        <v/>
      </c>
      <c r="E2836">
        <f>INDEX(FactorTable!$B$2:$Y$301, MATCH(ROUND(MIN(300,MAX(1,D2836)),0), FactorTable!$A$2:$A$301,0), Skills!M20+1)</f>
        <v/>
      </c>
      <c r="F2836">
        <f>IF(Skills!N20=TRUE,(Skills!L20/10)*(E2836/1000),Skills!L20/10)+Skills!O20</f>
        <v/>
      </c>
      <c r="G2836">
        <f>Skills!G20*IF(Skills!H20&gt;0,Skills!I20/Skills!H20,1)</f>
        <v/>
      </c>
      <c r="H2836">
        <f>1-(1-Skills!J20/100)^Skills!K20</f>
        <v/>
      </c>
      <c r="I2836" t="inlineStr">
        <is>
          <t>1</t>
        </is>
      </c>
      <c r="J2836" t="inlineStr"/>
      <c r="K2836" t="inlineStr"/>
      <c r="L2836" t="inlineStr"/>
      <c r="M2836" t="inlineStr"/>
      <c r="N2836" t="inlineStr"/>
      <c r="O2836">
        <f>(1-Summary!$B$11)*T2836+Summary!$B$11*V2836</f>
        <v/>
      </c>
      <c r="P2836">
        <f>IF(B2858=0,0,O2836/B2858)</f>
        <v/>
      </c>
      <c r="Q2836" t="n">
        <v>0</v>
      </c>
      <c r="R2836" t="n">
        <v>0</v>
      </c>
      <c r="S2836" t="n">
        <v>0</v>
      </c>
      <c r="T2836" t="n">
        <v>0</v>
      </c>
      <c r="V2836" t="n">
        <v>0</v>
      </c>
    </row>
    <row r="2837">
      <c r="A2837">
        <f>Skills!A21</f>
        <v/>
      </c>
      <c r="B2837">
        <f>Skills!B21</f>
        <v/>
      </c>
      <c r="C2837">
        <f>Inputs!$B$3&gt;=33</f>
        <v/>
      </c>
      <c r="D2837">
        <f>IF(Skills!C21=1,60+Inputs!$B$25+Inputs!$B$29,IF(Skills!C21=2,90+Inputs!$B$26+Inputs!$B$29,IF(Skills!C21=3,120+Inputs!$B$27+Inputs!$B$29,MAX(0,(Inputs!$B$3-100)*3)+Inputs!$B$28+Inputs!$B$29)))</f>
        <v/>
      </c>
      <c r="E2837">
        <f>INDEX(FactorTable!$B$2:$Y$301, MATCH(ROUND(MIN(300,MAX(1,D2837)),0), FactorTable!$A$2:$A$301,0), Skills!M21+1)</f>
        <v/>
      </c>
      <c r="F2837">
        <f>IF(Skills!N21=TRUE,(Skills!L21/10)*(E2837/1000),Skills!L21/10)+Skills!O21</f>
        <v/>
      </c>
      <c r="G2837">
        <f>Skills!G21*IF(Skills!H21&gt;0,Skills!I21/Skills!H21,1)</f>
        <v/>
      </c>
      <c r="H2837">
        <f>1-(1-Skills!J21/100)^Skills!K21</f>
        <v/>
      </c>
      <c r="I2837" t="inlineStr">
        <is>
          <t>1</t>
        </is>
      </c>
      <c r="J2837" t="inlineStr"/>
      <c r="K2837" t="inlineStr"/>
      <c r="L2837" t="inlineStr"/>
      <c r="M2837" t="inlineStr"/>
      <c r="N2837" t="inlineStr"/>
      <c r="O2837">
        <f>(1-Summary!$B$11)*T2837+Summary!$B$11*V2837</f>
        <v/>
      </c>
      <c r="P2837">
        <f>IF(B2858=0,0,O2837/B2858)</f>
        <v/>
      </c>
      <c r="Q2837" t="n">
        <v>0</v>
      </c>
      <c r="R2837" t="n">
        <v>0</v>
      </c>
      <c r="S2837" t="n">
        <v>0</v>
      </c>
      <c r="T2837" t="n">
        <v>0</v>
      </c>
      <c r="V2837" t="n">
        <v>0</v>
      </c>
    </row>
    <row r="2838">
      <c r="A2838">
        <f>Skills!A22</f>
        <v/>
      </c>
      <c r="B2838">
        <f>Skills!B22</f>
        <v/>
      </c>
      <c r="C2838">
        <f>Inputs!$B$3&gt;=38</f>
        <v/>
      </c>
      <c r="D2838">
        <f>IF(Skills!C22=1,60+Inputs!$B$25+Inputs!$B$29,IF(Skills!C22=2,90+Inputs!$B$26+Inputs!$B$29,IF(Skills!C22=3,120+Inputs!$B$27+Inputs!$B$29,MAX(0,(Inputs!$B$3-100)*3)+Inputs!$B$28+Inputs!$B$29)))</f>
        <v/>
      </c>
      <c r="E2838">
        <f>INDEX(FactorTable!$B$2:$Y$301, MATCH(ROUND(MIN(300,MAX(1,D2838)),0), FactorTable!$A$2:$A$301,0), Skills!M22+1)</f>
        <v/>
      </c>
      <c r="F2838">
        <f>IF(Skills!N22=TRUE,(Skills!L22/10)*(E2838/1000),Skills!L22/10)+Skills!O22</f>
        <v/>
      </c>
      <c r="G2838">
        <f>Skills!G22*IF(Skills!H22&gt;0,Skills!I22/Skills!H22,1)</f>
        <v/>
      </c>
      <c r="H2838">
        <f>1-(1-Skills!J22/100)^Skills!K22</f>
        <v/>
      </c>
      <c r="I2838" t="inlineStr">
        <is>
          <t>1</t>
        </is>
      </c>
      <c r="J2838" t="inlineStr"/>
      <c r="K2838" t="inlineStr"/>
      <c r="L2838" t="inlineStr"/>
      <c r="M2838" t="inlineStr"/>
      <c r="N2838" t="inlineStr"/>
      <c r="O2838">
        <f>(1-Summary!$B$11)*T2838+Summary!$B$11*V2838</f>
        <v/>
      </c>
      <c r="P2838">
        <f>IF(B2858=0,0,O2838/B2858)</f>
        <v/>
      </c>
      <c r="Q2838" t="n">
        <v>0</v>
      </c>
      <c r="R2838" t="n">
        <v>0</v>
      </c>
      <c r="S2838" t="n">
        <v>0</v>
      </c>
      <c r="T2838" t="n">
        <v>0</v>
      </c>
      <c r="V2838" t="n">
        <v>0</v>
      </c>
    </row>
    <row r="2839">
      <c r="A2839">
        <f>Skills!A23</f>
        <v/>
      </c>
      <c r="B2839">
        <f>Skills!B23</f>
        <v/>
      </c>
      <c r="C2839">
        <f>Inputs!$B$3&gt;=43</f>
        <v/>
      </c>
      <c r="D2839">
        <f>IF(Skills!C23=1,60+Inputs!$B$25+Inputs!$B$29,IF(Skills!C23=2,90+Inputs!$B$26+Inputs!$B$29,IF(Skills!C23=3,120+Inputs!$B$27+Inputs!$B$29,MAX(0,(Inputs!$B$3-100)*3)+Inputs!$B$28+Inputs!$B$29)))</f>
        <v/>
      </c>
      <c r="E2839">
        <f>INDEX(FactorTable!$B$2:$Y$301, MATCH(ROUND(MIN(300,MAX(1,D2839)),0), FactorTable!$A$2:$A$301,0), Skills!M23+1)</f>
        <v/>
      </c>
      <c r="F2839">
        <f>IF(Skills!N23=TRUE,(Skills!L23/10)*(E2839/1000),Skills!L23/10)+Skills!O23</f>
        <v/>
      </c>
      <c r="G2839">
        <f>Skills!G23*IF(Skills!H23&gt;0,Skills!I23/Skills!H23,1)</f>
        <v/>
      </c>
      <c r="H2839">
        <f>1-(1-Skills!J23/100)^Skills!K23</f>
        <v/>
      </c>
      <c r="I2839" t="inlineStr">
        <is>
          <t>1</t>
        </is>
      </c>
      <c r="J2839" t="inlineStr"/>
      <c r="K2839" t="inlineStr"/>
      <c r="L2839" t="inlineStr"/>
      <c r="M2839" t="inlineStr"/>
      <c r="N2839" t="inlineStr"/>
      <c r="O2839">
        <f>(1-Summary!$B$11)*T2839+Summary!$B$11*V2839</f>
        <v/>
      </c>
      <c r="P2839">
        <f>IF(B2858=0,0,O2839/B2858)</f>
        <v/>
      </c>
      <c r="Q2839" t="n">
        <v>0</v>
      </c>
      <c r="R2839" t="n">
        <v>0</v>
      </c>
      <c r="S2839" t="n">
        <v>0</v>
      </c>
      <c r="T2839" t="n">
        <v>0</v>
      </c>
      <c r="V2839" t="n">
        <v>0</v>
      </c>
    </row>
    <row r="2840">
      <c r="A2840">
        <f>Skills!A24</f>
        <v/>
      </c>
      <c r="B2840">
        <f>Skills!B24</f>
        <v/>
      </c>
      <c r="C2840">
        <f>Inputs!$B$3&gt;=75</f>
        <v/>
      </c>
      <c r="D2840">
        <f>IF(Skills!C24=1,60+Inputs!$B$25+Inputs!$B$29,IF(Skills!C24=2,90+Inputs!$B$26+Inputs!$B$29,IF(Skills!C24=3,120+Inputs!$B$27+Inputs!$B$29,MAX(0,(Inputs!$B$3-100)*3)+Inputs!$B$28+Inputs!$B$29)))</f>
        <v/>
      </c>
      <c r="E2840">
        <f>INDEX(FactorTable!$B$2:$Y$301, MATCH(ROUND(MIN(300,MAX(1,D2840)),0), FactorTable!$A$2:$A$301,0), Skills!M24+1)</f>
        <v/>
      </c>
      <c r="F2840">
        <f>IF(Skills!N24=TRUE,(Skills!L24/10)*(E2840/1000),Skills!L24/10)+Skills!O24</f>
        <v/>
      </c>
      <c r="G2840">
        <f>Skills!G24*IF(Skills!H24&gt;0,Skills!I24/Skills!H24,1)</f>
        <v/>
      </c>
      <c r="H2840">
        <f>1-(1-Skills!J24/100)^Skills!K24</f>
        <v/>
      </c>
      <c r="I2840" t="inlineStr">
        <is>
          <t>1</t>
        </is>
      </c>
      <c r="J2840" t="inlineStr"/>
      <c r="K2840" t="inlineStr"/>
      <c r="L2840" t="inlineStr"/>
      <c r="M2840" t="inlineStr"/>
      <c r="N2840" t="inlineStr"/>
      <c r="O2840">
        <f>(1-Summary!$B$11)*T2840+Summary!$B$11*V2840</f>
        <v/>
      </c>
      <c r="P2840">
        <f>IF(B2858=0,0,O2840/B2858)</f>
        <v/>
      </c>
      <c r="Q2840" t="n">
        <v>0</v>
      </c>
      <c r="R2840" t="n">
        <v>0</v>
      </c>
      <c r="S2840" t="n">
        <v>0</v>
      </c>
      <c r="T2840" t="n">
        <v>0</v>
      </c>
      <c r="V2840" t="n">
        <v>0</v>
      </c>
    </row>
    <row r="2841">
      <c r="A2841">
        <f>Skills!A25</f>
        <v/>
      </c>
      <c r="B2841">
        <f>Skills!B25</f>
        <v/>
      </c>
      <c r="C2841">
        <f>Inputs!$B$3&gt;=125</f>
        <v/>
      </c>
      <c r="D2841">
        <f>IF(Skills!C25=1,60+Inputs!$B$25+Inputs!$B$29,IF(Skills!C25=2,90+Inputs!$B$26+Inputs!$B$29,IF(Skills!C25=3,120+Inputs!$B$27+Inputs!$B$29,MAX(0,(Inputs!$B$3-100)*3)+Inputs!$B$28+Inputs!$B$29)))</f>
        <v/>
      </c>
      <c r="E2841">
        <f>INDEX(FactorTable!$B$2:$Y$301, MATCH(ROUND(MIN(300,MAX(1,D2841)),0), FactorTable!$A$2:$A$301,0), Skills!M25+1)</f>
        <v/>
      </c>
      <c r="F2841">
        <f>IF(Skills!N25=TRUE,(Skills!L25/10)*(E2841/1000),Skills!L25/10)+Skills!O25</f>
        <v/>
      </c>
      <c r="G2841">
        <f>Skills!G25*IF(Skills!H25&gt;0,Skills!I25/Skills!H25,1)</f>
        <v/>
      </c>
      <c r="H2841">
        <f>1-(1-Skills!J25/100)^Skills!K25</f>
        <v/>
      </c>
      <c r="I2841" t="inlineStr">
        <is>
          <t>1</t>
        </is>
      </c>
      <c r="J2841" t="inlineStr"/>
      <c r="K2841" t="inlineStr"/>
      <c r="L2841" t="inlineStr"/>
      <c r="M2841" t="inlineStr"/>
      <c r="N2841" t="inlineStr"/>
      <c r="O2841">
        <f>(1-Summary!$B$11)*T2841+Summary!$B$11*V2841</f>
        <v/>
      </c>
      <c r="P2841">
        <f>IF(B2858=0,0,O2841/B2858)</f>
        <v/>
      </c>
      <c r="Q2841" t="n">
        <v>0</v>
      </c>
      <c r="R2841" t="n">
        <v>0</v>
      </c>
      <c r="S2841" t="n">
        <v>0</v>
      </c>
      <c r="T2841" t="n">
        <v>0</v>
      </c>
      <c r="V2841" t="n">
        <v>0</v>
      </c>
    </row>
    <row r="2842">
      <c r="A2842">
        <f>Skills!A26</f>
        <v/>
      </c>
      <c r="B2842">
        <f>Skills!B26</f>
        <v/>
      </c>
      <c r="C2842">
        <f>Inputs!$B$3&gt;=125</f>
        <v/>
      </c>
      <c r="D2842">
        <f>IF(Skills!C26=1,60+Inputs!$B$25+Inputs!$B$29,IF(Skills!C26=2,90+Inputs!$B$26+Inputs!$B$29,IF(Skills!C26=3,120+Inputs!$B$27+Inputs!$B$29,MAX(0,(Inputs!$B$3-100)*3)+Inputs!$B$28+Inputs!$B$29)))</f>
        <v/>
      </c>
      <c r="E2842">
        <f>INDEX(FactorTable!$B$2:$Y$301, MATCH(ROUND(MIN(300,MAX(1,D2842)),0), FactorTable!$A$2:$A$301,0), Skills!M26+1)</f>
        <v/>
      </c>
      <c r="F2842">
        <f>IF(Skills!N26=TRUE,(Skills!L26/10)*(E2842/1000),Skills!L26/10)+Skills!O26</f>
        <v/>
      </c>
      <c r="G2842">
        <f>Skills!G26*IF(Skills!H26&gt;0,Skills!I26/Skills!H26,1)</f>
        <v/>
      </c>
      <c r="H2842">
        <f>1-(1-Skills!J26/100)^Skills!K26</f>
        <v/>
      </c>
      <c r="I2842" t="inlineStr">
        <is>
          <t>1</t>
        </is>
      </c>
      <c r="J2842" t="inlineStr"/>
      <c r="K2842" t="inlineStr"/>
      <c r="L2842" t="inlineStr"/>
      <c r="M2842" t="inlineStr"/>
      <c r="N2842" t="inlineStr"/>
      <c r="O2842">
        <f>(1-Summary!$B$11)*T2842+Summary!$B$11*V2842</f>
        <v/>
      </c>
      <c r="P2842">
        <f>IF(B2858=0,0,O2842/B2858)</f>
        <v/>
      </c>
      <c r="Q2842" t="n">
        <v>0</v>
      </c>
      <c r="R2842" t="n">
        <v>0</v>
      </c>
      <c r="S2842" t="n">
        <v>0</v>
      </c>
      <c r="T2842" t="n">
        <v>0</v>
      </c>
      <c r="V2842" t="n">
        <v>0</v>
      </c>
    </row>
    <row r="2843">
      <c r="A2843">
        <f>Skills!A27</f>
        <v/>
      </c>
      <c r="B2843">
        <f>Skills!B27</f>
        <v/>
      </c>
      <c r="C2843">
        <f>Inputs!$B$3&gt;=120</f>
        <v/>
      </c>
      <c r="D2843">
        <f>IF(Skills!C27=1,60+Inputs!$B$25+Inputs!$B$29,IF(Skills!C27=2,90+Inputs!$B$26+Inputs!$B$29,IF(Skills!C27=3,120+Inputs!$B$27+Inputs!$B$29,MAX(0,(Inputs!$B$3-100)*3)+Inputs!$B$28+Inputs!$B$29)))</f>
        <v/>
      </c>
      <c r="E2843">
        <f>INDEX(FactorTable!$B$2:$Y$301, MATCH(ROUND(MIN(300,MAX(1,D2843)),0), FactorTable!$A$2:$A$301,0), Skills!M27+1)</f>
        <v/>
      </c>
      <c r="F2843">
        <f>IF(Skills!N27=TRUE,(Skills!L27/10)*(E2843/1000),Skills!L27/10)+Skills!O27</f>
        <v/>
      </c>
      <c r="G2843">
        <f>Skills!G27*IF(Skills!H27&gt;0,Skills!I27/Skills!H27,1)</f>
        <v/>
      </c>
      <c r="H2843">
        <f>1-(1-Skills!J27/100)^Skills!K27</f>
        <v/>
      </c>
      <c r="I2843" t="inlineStr">
        <is>
          <t>1</t>
        </is>
      </c>
      <c r="J2843" t="inlineStr"/>
      <c r="K2843" t="inlineStr"/>
      <c r="L2843" t="inlineStr"/>
      <c r="M2843" t="inlineStr"/>
      <c r="N2843" t="inlineStr"/>
      <c r="O2843">
        <f>(1-Summary!$B$11)*T2843+Summary!$B$11*V2843</f>
        <v/>
      </c>
      <c r="P2843">
        <f>IF(B2858=0,0,O2843/B2858)</f>
        <v/>
      </c>
      <c r="Q2843" t="n">
        <v>0</v>
      </c>
      <c r="R2843" t="n">
        <v>0</v>
      </c>
      <c r="S2843" t="n">
        <v>0</v>
      </c>
      <c r="T2843" t="n">
        <v>0</v>
      </c>
      <c r="V2843" t="n">
        <v>0</v>
      </c>
    </row>
    <row r="2844">
      <c r="A2844">
        <f>Skills!A28</f>
        <v/>
      </c>
      <c r="B2844">
        <f>Skills!B28</f>
        <v/>
      </c>
      <c r="C2844">
        <f>Inputs!$B$3&gt;=120</f>
        <v/>
      </c>
      <c r="D2844">
        <f>IF(Skills!C28=1,60+Inputs!$B$25+Inputs!$B$29,IF(Skills!C28=2,90+Inputs!$B$26+Inputs!$B$29,IF(Skills!C28=3,120+Inputs!$B$27+Inputs!$B$29,MAX(0,(Inputs!$B$3-100)*3)+Inputs!$B$28+Inputs!$B$29)))</f>
        <v/>
      </c>
      <c r="E2844">
        <f>INDEX(FactorTable!$B$2:$Y$301, MATCH(ROUND(MIN(300,MAX(1,D2844)),0), FactorTable!$A$2:$A$301,0), Skills!M28+1)</f>
        <v/>
      </c>
      <c r="F2844">
        <f>IF(Skills!N28=TRUE,(Skills!L28/10)*(E2844/1000),Skills!L28/10)+Skills!O28</f>
        <v/>
      </c>
      <c r="G2844">
        <f>Skills!G28*IF(Skills!H28&gt;0,Skills!I28/Skills!H28,1)</f>
        <v/>
      </c>
      <c r="H2844">
        <f>1-(1-Skills!J28/100)^Skills!K28</f>
        <v/>
      </c>
      <c r="I2844" t="inlineStr">
        <is>
          <t>1</t>
        </is>
      </c>
      <c r="J2844" t="inlineStr"/>
      <c r="K2844" t="inlineStr"/>
      <c r="L2844" t="inlineStr"/>
      <c r="M2844" t="inlineStr"/>
      <c r="N2844" t="inlineStr"/>
      <c r="O2844">
        <f>(1-Summary!$B$11)*T2844+Summary!$B$11*V2844</f>
        <v/>
      </c>
      <c r="P2844">
        <f>IF(B2858=0,0,O2844/B2858)</f>
        <v/>
      </c>
      <c r="Q2844" t="n">
        <v>0</v>
      </c>
      <c r="R2844" t="n">
        <v>0</v>
      </c>
      <c r="S2844" t="n">
        <v>0</v>
      </c>
      <c r="T2844" t="n">
        <v>0</v>
      </c>
      <c r="V2844" t="n">
        <v>0</v>
      </c>
    </row>
    <row r="2845">
      <c r="A2845">
        <f>Skills!A29</f>
        <v/>
      </c>
      <c r="B2845">
        <f>Skills!B29</f>
        <v/>
      </c>
      <c r="C2845">
        <f>Inputs!$B$3&gt;=45</f>
        <v/>
      </c>
      <c r="D2845">
        <f>IF(Skills!C29=1,60+Inputs!$B$25+Inputs!$B$29,IF(Skills!C29=2,90+Inputs!$B$26+Inputs!$B$29,IF(Skills!C29=3,120+Inputs!$B$27+Inputs!$B$29,MAX(0,(Inputs!$B$3-100)*3)+Inputs!$B$28+Inputs!$B$29)))</f>
        <v/>
      </c>
      <c r="E2845">
        <f>INDEX(FactorTable!$B$2:$Y$301, MATCH(ROUND(MIN(300,MAX(1,D2845)),0), FactorTable!$A$2:$A$301,0), Skills!M29+1)</f>
        <v/>
      </c>
      <c r="F2845">
        <f>IF(Skills!N29=TRUE,(Skills!L29/10)*(E2845/1000),Skills!L29/10)+Skills!O29</f>
        <v/>
      </c>
      <c r="G2845">
        <f>Skills!G29*IF(Skills!H29&gt;0,Skills!I29/Skills!H29,1)</f>
        <v/>
      </c>
      <c r="H2845">
        <f>1-(1-Skills!J29/100)^Skills!K29</f>
        <v/>
      </c>
      <c r="I2845" t="inlineStr">
        <is>
          <t>1</t>
        </is>
      </c>
      <c r="J2845" t="inlineStr"/>
      <c r="K2845" t="inlineStr"/>
      <c r="L2845" t="inlineStr"/>
      <c r="M2845" t="inlineStr"/>
      <c r="N2845" t="inlineStr"/>
      <c r="O2845">
        <f>(1-Summary!$B$11)*T2845+Summary!$B$11*V2845</f>
        <v/>
      </c>
      <c r="P2845">
        <f>IF(B2858=0,0,O2845/B2858)</f>
        <v/>
      </c>
      <c r="Q2845" t="n">
        <v>0</v>
      </c>
      <c r="R2845" t="n">
        <v>0</v>
      </c>
      <c r="S2845" t="n">
        <v>0</v>
      </c>
      <c r="T2845" t="n">
        <v>0</v>
      </c>
      <c r="V2845" t="n">
        <v>0</v>
      </c>
    </row>
    <row r="2847">
      <c r="A2847" t="inlineStr">
        <is>
          <t>Attack% Bucket Multiplier</t>
        </is>
      </c>
      <c r="B2847">
        <f>(1+(((C2829=TRUE)*F2829)+((C2830=TRUE)*IF(Inputs!$B$38="pvp",F2830,(1-Summary!$B$11)*(F2830)+Summary!$B$11*(0)))+((C2831=TRUE)*F2831*IF(AND(Inputs!$B$38&lt;&gt;"pvp",Inputs!$B$43&gt;0),(((R2831-1)*(Skills!T15*(1+Inputs!$B$34/100))+MIN((Skills!T15*(1+Inputs!$B$34/100)),MAX(0,Inputs!$B$43-((R2831-1)*Skills!D15))))/Inputs!$B$43),IF(Inputs!$B$38="pvp",MIN((Skills!T15*(1+Inputs!$B$34/100)),15)/15,(Skills!T15*(1+Inputs!$B$34/100))/Skills!D15)))+((C2828=TRUE)*F2828)+((C2845=TRUE)*(F2845-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2848">
      <c r="A2848" t="inlineStr">
        <is>
          <t>Global Crit Rate Bonus %</t>
        </is>
      </c>
      <c r="B2848">
        <f>(C2832=TRUE)*20*IF(AND(Inputs!$B$38&lt;&gt;"pvp",Inputs!$B$43&gt;0),(((R2832-1)*(Skills!T16*(1+Inputs!$B$34/100))+MIN((Skills!T16*(1+Inputs!$B$34/100)),MAX(0,Inputs!$B$43-((R2832-1)*Skills!D16))))/Inputs!$B$43),IF(Inputs!$B$38="pvp",MIN((Skills!T16*(1+Inputs!$B$34/100)),15)/15,(Skills!T16*(1+Inputs!$B$34/100))/Skills!D16))</f>
        <v/>
      </c>
    </row>
    <row r="2849">
      <c r="A2849" t="inlineStr">
        <is>
          <t>Attack Speed Buff Bonus %</t>
        </is>
      </c>
      <c r="B2849">
        <f>((C2834=TRUE)*F2834*IF(AND(Inputs!$B$38&lt;&gt;"pvp",Inputs!$B$43&gt;0),(((R2834-1)*(Skills!T18*(1+Inputs!$B$34/100))+MIN((Skills!T18*(1+Inputs!$B$34/100)),MAX(0,Inputs!$B$43-((R2834-1)*Skills!D18))))/Inputs!$B$43),IF(Inputs!$B$38="pvp",MIN((Skills!T18*(1+Inputs!$B$34/100)),15)/15,(Skills!T18*(1+Inputs!$B$34/100))/Skills!D18)))</f>
        <v/>
      </c>
    </row>
    <row r="2850">
      <c r="A2850" t="inlineStr">
        <is>
          <t>Actions Per Second</t>
        </is>
      </c>
      <c r="B2850">
        <f>1+MIN(150,150*(1-(1-(Inputs!$B$11+((C2836=TRUE)*(F2836-Calc!F20))+((C2837=TRUE)*(F2837-Calc!F21)))/150)*(1-B2849/150)))/100</f>
        <v/>
      </c>
    </row>
    <row r="2851">
      <c r="A2851" t="inlineStr">
        <is>
          <t>Skill + Buff Cast Rate</t>
        </is>
      </c>
      <c r="B2851">
        <f>IF(AND(Inputs!$B$38&lt;&gt;"pvp",Inputs!$B$43&gt;0),SUMPRODUCT((Skills!E2:E29=TRUE)*(C2818:C2845=TRUE)*R2818:R2845*Skills!F2:F29)/Inputs!$B$43,SUMPRODUCT((Skills!E2:E29=TRUE)*(C2818:C2845=TRUE)*Q2818:Q2845*Skills!F2:F29))</f>
        <v/>
      </c>
    </row>
    <row r="2852">
      <c r="A2852" t="inlineStr">
        <is>
          <t>Empowered Piercing Arrow Casts Per Second</t>
        </is>
      </c>
      <c r="B2852">
        <f>MAX(0,B2850-B2851)</f>
        <v/>
      </c>
    </row>
    <row r="2853">
      <c r="A2853" t="inlineStr">
        <is>
          <t>Global Critical Damage Bonus % (Sharp Eyes)</t>
        </is>
      </c>
      <c r="B2853">
        <f>(C2832=TRUE)*F2832*IF(AND(Inputs!$B$38&lt;&gt;"pvp",Inputs!$B$43&gt;0),(((R2832-1)*(Skills!T16*(1+Inputs!$B$34/100))+MIN((Skills!T16*(1+Inputs!$B$34/100)),MAX(0,Inputs!$B$43-((R2832-1)*Skills!D16))))/Inputs!$B$43),IF(Inputs!$B$38="pvp",MIN((Skills!T16*(1+Inputs!$B$34/100)),15)/15,(Skills!T16*(1+Inputs!$B$34/100))/Skills!D16))</f>
        <v/>
      </c>
    </row>
    <row r="2854">
      <c r="A2854" t="inlineStr">
        <is>
          <t>Global Final Damage Bonus % (Mortal Blow + Last Man Standing conditional half)</t>
        </is>
      </c>
      <c r="B2854">
        <f>(C2833=TRUE)*F2833+((C2842=TRUE)*IF(Inputs!$B$38="pvp",F2842,(1-Summary!$B$11)*(F2842)+Summary!$B$11*(0)))</f>
        <v/>
      </c>
    </row>
    <row r="2855">
      <c r="A2855" t="inlineStr">
        <is>
          <t>Buff-Casting Startup Delay (s, fixed-duration only)</t>
        </is>
      </c>
      <c r="B2855">
        <f>IF(AND(Inputs!$B$38&lt;&gt;"pvp",Inputs!$B$43&gt;0),SUMPRODUCT((Skills!T2:T29&gt;0)*(Skills!E2:E29=TRUE)*(C2818:C2845=TRUE))/B2850,0)</f>
        <v/>
      </c>
    </row>
    <row r="2856">
      <c r="A2856" t="inlineStr">
        <is>
          <t>Boss-Only Total DPS (this block's swept value)</t>
        </is>
      </c>
      <c r="B2856">
        <f>SUM(T2818:T2845)</f>
        <v/>
      </c>
    </row>
    <row r="2857">
      <c r="A2857" t="inlineStr">
        <is>
          <t>Normal-Only Total DPS (this block's swept value)</t>
        </is>
      </c>
      <c r="B2857">
        <f>SUM(V2818:V2845)</f>
        <v/>
      </c>
    </row>
    <row r="2858">
      <c r="A2858" s="6" t="inlineStr">
        <is>
          <t>TOTAL DPS</t>
        </is>
      </c>
      <c r="B2858" s="6">
        <f>SUM(O2818:O2845)</f>
        <v/>
      </c>
    </row>
    <row r="2861">
      <c r="A2861" s="9" t="inlineStr">
        <is>
          <t>Cooldown Reduction Milestone Sweep (absolute CDR seconds, fixed-duration content only)</t>
        </is>
      </c>
    </row>
    <row r="2862">
      <c r="A2862" s="5" t="inlineStr">
        <is>
          <t>CDR (s)</t>
        </is>
      </c>
      <c r="B2862" s="5" t="inlineStr">
        <is>
          <t>Total DPS</t>
        </is>
      </c>
      <c r="C2862" s="5" t="inlineStr">
        <is>
          <t>DPS Gain (vs prior step)</t>
        </is>
      </c>
      <c r="D2862" s="5" t="inlineStr">
        <is>
          <t>% Gain (vs current CDR)</t>
        </is>
      </c>
    </row>
    <row r="2863">
      <c r="A2863" t="n">
        <v>0.5</v>
      </c>
      <c r="B2863">
        <f>B2917</f>
        <v/>
      </c>
      <c r="C2863" t="n">
        <v>0</v>
      </c>
      <c r="D2863">
        <f>IF(Summary!$B$3=0,0,(B2863-Summary!$B$3)/Summary!$B$3*100)</f>
        <v/>
      </c>
    </row>
    <row r="2864">
      <c r="A2864" t="n">
        <v>1</v>
      </c>
      <c r="B2864">
        <f>B2962</f>
        <v/>
      </c>
      <c r="C2864">
        <f>B2864-B2863</f>
        <v/>
      </c>
      <c r="D2864">
        <f>IF(Summary!$B$3=0,0,(B2864-Summary!$B$3)/Summary!$B$3*100)</f>
        <v/>
      </c>
    </row>
    <row r="2865">
      <c r="A2865" t="n">
        <v>1.5</v>
      </c>
      <c r="B2865">
        <f>B3007</f>
        <v/>
      </c>
      <c r="C2865">
        <f>B2865-B2864</f>
        <v/>
      </c>
      <c r="D2865">
        <f>IF(Summary!$B$3=0,0,(B2865-Summary!$B$3)/Summary!$B$3*100)</f>
        <v/>
      </c>
    </row>
    <row r="2866">
      <c r="A2866" t="n">
        <v>2</v>
      </c>
      <c r="B2866">
        <f>B3052</f>
        <v/>
      </c>
      <c r="C2866">
        <f>B2866-B2865</f>
        <v/>
      </c>
      <c r="D2866">
        <f>IF(Summary!$B$3=0,0,(B2866-Summary!$B$3)/Summary!$B$3*100)</f>
        <v/>
      </c>
    </row>
    <row r="2867">
      <c r="A2867" t="n">
        <v>2.5</v>
      </c>
      <c r="B2867">
        <f>B3097</f>
        <v/>
      </c>
      <c r="C2867">
        <f>B2867-B2866</f>
        <v/>
      </c>
      <c r="D2867">
        <f>IF(Summary!$B$3=0,0,(B2867-Summary!$B$3)/Summary!$B$3*100)</f>
        <v/>
      </c>
    </row>
    <row r="2868">
      <c r="A2868" t="n">
        <v>3</v>
      </c>
      <c r="B2868">
        <f>B3142</f>
        <v/>
      </c>
      <c r="C2868">
        <f>B2868-B2867</f>
        <v/>
      </c>
      <c r="D2868">
        <f>IF(Summary!$B$3=0,0,(B2868-Summary!$B$3)/Summary!$B$3*100)</f>
        <v/>
      </c>
    </row>
    <row r="2869">
      <c r="A2869" t="n">
        <v>3.5</v>
      </c>
      <c r="B2869">
        <f>B3187</f>
        <v/>
      </c>
      <c r="C2869">
        <f>B2869-B2868</f>
        <v/>
      </c>
      <c r="D2869">
        <f>IF(Summary!$B$3=0,0,(B2869-Summary!$B$3)/Summary!$B$3*100)</f>
        <v/>
      </c>
    </row>
    <row r="2870">
      <c r="A2870" t="n">
        <v>4</v>
      </c>
      <c r="B2870">
        <f>B3232</f>
        <v/>
      </c>
      <c r="C2870">
        <f>B2870-B2869</f>
        <v/>
      </c>
      <c r="D2870">
        <f>IF(Summary!$B$3=0,0,(B2870-Summary!$B$3)/Summary!$B$3*100)</f>
        <v/>
      </c>
    </row>
    <row r="2871">
      <c r="A2871" t="n">
        <v>4.5</v>
      </c>
      <c r="B2871">
        <f>B3277</f>
        <v/>
      </c>
      <c r="C2871">
        <f>B2871-B2870</f>
        <v/>
      </c>
      <c r="D2871">
        <f>IF(Summary!$B$3=0,0,(B2871-Summary!$B$3)/Summary!$B$3*100)</f>
        <v/>
      </c>
    </row>
    <row r="2872">
      <c r="A2872" t="n">
        <v>5</v>
      </c>
      <c r="B2872">
        <f>B3322</f>
        <v/>
      </c>
      <c r="C2872">
        <f>B2872-B2871</f>
        <v/>
      </c>
      <c r="D2872">
        <f>IF(Summary!$B$3=0,0,(B2872-Summary!$B$3)/Summary!$B$3*100)</f>
        <v/>
      </c>
    </row>
    <row r="2875">
      <c r="A2875" s="6" t="inlineStr">
        <is>
          <t>Stat: CDR = 0.5s</t>
        </is>
      </c>
    </row>
    <row r="2876">
      <c r="A2876" s="5" t="inlineStr">
        <is>
          <t>Key</t>
        </is>
      </c>
      <c r="B2876" s="5" t="inlineStr">
        <is>
          <t>Name</t>
        </is>
      </c>
      <c r="C2876" s="5" t="inlineStr">
        <is>
          <t>Unlocked</t>
        </is>
      </c>
      <c r="D2876" s="5" t="inlineStr">
        <is>
          <t>InputLevel</t>
        </is>
      </c>
      <c r="E2876" s="5" t="inlineStr">
        <is>
          <t>Factor</t>
        </is>
      </c>
      <c r="F2876" s="5" t="inlineStr">
        <is>
          <t>CoefficientPercent</t>
        </is>
      </c>
      <c r="G2876" s="5" t="inlineStr">
        <is>
          <t>EffectiveHits</t>
        </is>
      </c>
      <c r="H2876" s="5" t="inlineStr">
        <is>
          <t>ProcProbability</t>
        </is>
      </c>
      <c r="I2876" s="5" t="inlineStr">
        <is>
          <t>MapleHeroMultiplier</t>
        </is>
      </c>
      <c r="J2876" s="5" t="inlineStr">
        <is>
          <t>BaseDamage</t>
        </is>
      </c>
      <c r="K2876" s="5" t="inlineStr">
        <is>
          <t>BaseHitDamage</t>
        </is>
      </c>
      <c r="L2876" s="5" t="inlineStr">
        <is>
          <t>NonCritAvg</t>
        </is>
      </c>
      <c r="M2876" s="5" t="inlineStr">
        <is>
          <t>CritAvg</t>
        </is>
      </c>
      <c r="N2876" s="5" t="inlineStr">
        <is>
          <t>ExpectedDamage(perHit)</t>
        </is>
      </c>
      <c r="O2876" s="5" t="inlineStr">
        <is>
          <t>DPS</t>
        </is>
      </c>
      <c r="P2876" s="5" t="inlineStr">
        <is>
          <t>% of Total</t>
        </is>
      </c>
      <c r="Q2876" s="5" t="inlineStr">
        <is>
          <t>InvCooldown</t>
        </is>
      </c>
      <c r="R2876" s="5" t="inlineStr">
        <is>
          <t>CastsInFight</t>
        </is>
      </c>
      <c r="S2876" s="5" t="inlineStr">
        <is>
          <t>HitRate(perSec)</t>
        </is>
      </c>
      <c r="U2876" t="inlineStr">
        <is>
          <t>helpers</t>
        </is>
      </c>
    </row>
    <row r="2877">
      <c r="A2877">
        <f>Skills!A2</f>
        <v/>
      </c>
      <c r="B2877">
        <f>Skills!B2</f>
        <v/>
      </c>
      <c r="C2877">
        <f>Inputs!$B$3&gt;=100</f>
        <v/>
      </c>
      <c r="D2877" t="inlineStr"/>
      <c r="E2877" t="inlineStr"/>
      <c r="F2877">
        <f>U2879+Skills!O2</f>
        <v/>
      </c>
      <c r="G2877">
        <f>Skills!G2*IF(Skills!H2&gt;0,Skills!I2/Skills!H2,1)</f>
        <v/>
      </c>
      <c r="H2877">
        <f>1-(1-Skills!J2/100)^Skills!K2</f>
        <v/>
      </c>
      <c r="I2877" t="inlineStr">
        <is>
          <t>1</t>
        </is>
      </c>
      <c r="J2877">
        <f>((Inputs!$B$6*(1+Inputs!$B$7/100))+(((Inputs!$B$12*(1+Inputs!$B$13/100))-(Inputs!$B$12*(1+Inputs!$B$13/100)))+0.25*(Inputs!$B$14-Inputs!$B$14))*(1+Inputs!$B$7/100))*(F2877/100)</f>
        <v/>
      </c>
      <c r="K2877">
        <f>J2877*(1+((Inputs!$B$12*(1+Inputs!$B$13/100))*0.01+Inputs!$B$14*0.0025)/100)*(1+Inputs!$B$15/100)*(1+Inputs!$B$16/100)*(5000/(6000+Inputs!$B$42*(1-(100*(1-(1-(Inputs!$B$19+0)/100)*(1-CHOOSE(ArtifactsInput!$N$40+1,5,6,7,8,9,10)/100)^(ArtifactsInput!$M$40-ArtifactsInput!$M$40)))/100)))*(1+(Inputs!$B$24+((C2899=TRUE)*(F2899-Calc!F24))+((C2900=TRUE)*(F2900-Calc!F25))+B2913)/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EMPOWERED_PIERCING_ARROW",Inputs!$B$17+((C2897=TRUE)*(F2897-Calc!F22))+(((IF(AND(ArtifactsInput!$M$42,((Inputs!$B$9+((C2894=TRUE)*(F2894-Calc!F19))+B2907+(ArtifactsInput!$M$24-ArtifactsInput!$M$24)*CHOOSE(ArtifactsInput!$N$24+1,10,12,14,16,18,20)+IF(ArtifactsInput!$M$10,CHOOSE(ArtifactsInput!$N$10+1,15,18,21,24,27,30)*(IF(Inputs!$B$38="pvp",MIN(15,15)/15,IF(AND(Inputs!$B$38&lt;&gt;"pvp",Inputs!$B$43&gt;0),MIN(15,Inputs!$B$43)/(Inputs!$B$43),0))),0)))&gt;=100),MIN(100,((Inputs!$B$9+((C2894=TRUE)*(F2894-Calc!F19))+B2907+(ArtifactsInput!$M$24-ArtifactsInput!$M$24)*CHOOSE(ArtifactsInput!$N$24+1,10,12,14,16,18,20)+IF(ArtifactsInput!$M$10,CHOOSE(ArtifactsInput!$N$10+1,15,18,21,24,27,30)*(IF(Inputs!$B$38="pvp",MIN(15,15)/15,IF(AND(Inputs!$B$38&lt;&gt;"pvp",Inputs!$B$43&gt;0),MIN(15,Inputs!$B$43)/(Inputs!$B$43),0))),0)))-100),0))*CHOOSE(ArtifactsInput!$N$42+1,0.6,0.72,0.84,0.96,1.08,1.2))),Inputs!$B$18+((C2902=TRUE)*(F2902-Calc!F27))+(IF(AND(ArtifactsInput!$M$42,((Inputs!$B$9+((C2894=TRUE)*(F2894-Calc!F19))+B2907+(ArtifactsInput!$M$24-ArtifactsInput!$M$24)*CHOOSE(ArtifactsInput!$N$24+1,10,12,14,16,18,20)+IF(ArtifactsInput!$M$10,CHOOSE(ArtifactsInput!$N$10+1,15,18,21,24,27,30)*(IF(Inputs!$B$38="pvp",MIN(15,15)/15,IF(AND(Inputs!$B$38&lt;&gt;"pvp",Inputs!$B$43&gt;0),MIN(15,Inputs!$B$43)/(Inputs!$B$43),0))),0)))&gt;=100),CHOOSE(ArtifactsInput!$N$42+1,40,48,56,64,72,80),0))))/100)*((1+(((C2888=TRUE)*F2888)+((C2889=TRUE)*IF(Inputs!$B$38="pvp",F2889,(1-Summary!$B$11)*(F2889)+Summary!$B$11*(0)))+((C2890=TRUE)*F2890*IF(AND(Inputs!$B$38&lt;&gt;"pvp",Inputs!$B$43&gt;0),(((R2890-1)*(Skills!T15*(1+Inputs!$B$34/100))+MIN((Skills!T15*(1+Inputs!$B$34/100)),MAX(0,Inputs!$B$43-((R2890-1)*Skills!D15))))/Inputs!$B$43),IF(Inputs!$B$38="pvp",MIN((Skills!T15*(1+Inputs!$B$34/100)),15)/15,(Skills!T15*(1+Inputs!$B$34/100))/Skills!D15)))+((C2887=TRUE)*F2887)+((C2904=TRUE)*(F2904-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2877)</f>
        <v/>
      </c>
      <c r="L2877">
        <f>K2877*(MIN(Inputs!$B$22+((C2898=TRUE)*(F2898-Calc!F23)),(Inputs!$B$23+((C2903=TRUE)*(F2903-Calc!F28))+(IF(ArtifactsInput!$M$15,CHOOSE(ArtifactsInput!$N$15+1,25,30,35,40,45,50)/100*(Inputs!$B$11-Inputs!$B$11),0))))/100+(Inputs!$B$23+((C2903=TRUE)*(F2903-Calc!F28))+(IF(ArtifactsInput!$M$15,CHOOSE(ArtifactsInput!$N$15+1,25,30,35,40,45,50)/100*(Inputs!$B$11-Inputs!$B$11),0)))/100)/2</f>
        <v/>
      </c>
      <c r="M2877">
        <f>L2877*(1+(Inputs!$B$10+0+B2912+(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877">
        <f>L2877*(1-MIN((Inputs!$B$9+((C2894=TRUE)*(F2894-Calc!F19))+B2907+(ArtifactsInput!$M$24-ArtifactsInput!$M$24)*CHOOSE(ArtifactsInput!$N$24+1,10,12,14,16,18,20)+(IF(AND(ArtifactsInput!$M$42,((Inputs!$B$9+((C2894=TRUE)*(F2894-Calc!F19))+B2907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2877*(MIN((Inputs!$B$9+((C2894=TRUE)*(F2894-Calc!F19))+B2907+(ArtifactsInput!$M$24-ArtifactsInput!$M$24)*CHOOSE(ArtifactsInput!$N$24+1,10,12,14,16,18,20)+(IF(AND(ArtifactsInput!$M$42,((Inputs!$B$9+((C2894=TRUE)*(F2894-Calc!F19))+B2907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877">
        <f>(1-Summary!$B$11)*T2877+Summary!$B$11*V2877</f>
        <v/>
      </c>
      <c r="P2877">
        <f>IF(B2917=0,0,O2877/B2917)</f>
        <v/>
      </c>
      <c r="Q2877" t="n">
        <v>0</v>
      </c>
      <c r="R2877" t="n">
        <v>0</v>
      </c>
      <c r="S2877">
        <f>IFERROR((Skills!G2*N2877*B2911)/N2877*IF(Inputs!$B$38="pvp",1,(1-Summary!$B$11)*1+Summary!$B$11*(MIN((6+Inputs!$B$33),Inputs!$B$37))),0)</f>
        <v/>
      </c>
      <c r="T2877">
        <f>IF(C2877,(Skills!G2*N2877*B2911)*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Hunt"),CHOOSE(ArtifactsInput!$N$35+1,15,18,21,24,27,30)*(1-EXP(-(0.2*B2909)*5)),0)+IF(AND(ArtifactsInput!$M$22,Inputs!$B$4&lt;&gt;"Chapter Hunt"),CHOOSE(ArtifactsInput!$N$22+1,10,12,14,16,18,20)*((0*(((0.15*B2909*5))^0/1)+1*(((0.15*B2909*5))^1/1)+2*(((0.15*B2909*5))^2/2)+3*(((0.15*B2909*5))^3/6)+4*(((0.15*B2909*5))^4/24)+5*(((0.15*B2909*5))^5/120))/((((0.15*B2909*5))^0/1)+(((0.15*B2909*5))^1/1)+(((0.15*B2909*5))^2/2)+(((0.15*B2909*5))^3/6)+(((0.15*B2909*5))^4/24)+(((0.15*B2909*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2877*(1-MIN(100,(Inputs!$B$9+((C2894=TRUE)*(F2894-Calc!F19))+B2907+(ArtifactsInput!$M$24-ArtifactsInput!$M$24)*CHOOSE(ArtifactsInput!$N$24+1,10,12,14,16,18,20)+(IF(AND(ArtifactsInput!$M$42,((Inputs!$B$9+((C2894=TRUE)*(F2894-Calc!F19))+B2907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2877*(MIN(100,(Inputs!$B$9+((C2894=TRUE)*(F2894-Calc!F19))+B2907+(ArtifactsInput!$M$24-ArtifactsInput!$M$24)*CHOOSE(ArtifactsInput!$N$24+1,10,12,14,16,18,20)+(IF(AND(ArtifactsInput!$M$42,((Inputs!$B$9+((C2894=TRUE)*(F2894-Calc!F19))+B2907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2877*(1-MIN(100,(Inputs!$B$9+((C2894=TRUE)*(F2894-Calc!F19))+B2907+(ArtifactsInput!$M$24-ArtifactsInput!$M$24)*CHOOSE(ArtifactsInput!$N$24+1,10,12,14,16,18,20)+(IF(AND(ArtifactsInput!$M$42,((Inputs!$B$9+((C2894=TRUE)*(F2894-Calc!F19))+B2907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2877*(MIN(100,(Inputs!$B$9+((C2894=TRUE)*(F2894-Calc!F19))+B2907+(ArtifactsInput!$M$24-ArtifactsInput!$M$24)*CHOOSE(ArtifactsInput!$N$24+1,10,12,14,16,18,20)+(IF(AND(ArtifactsInput!$M$42,((Inputs!$B$9+((C2894=TRUE)*(F2894-Calc!F19))+B2907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877">
        <f>MAX(0,(Inputs!$B$3-100)*3)+Inputs!$B$28+Inputs!$B$29</f>
        <v/>
      </c>
      <c r="V2877">
        <f>IF(C2877,(Skills!G2*N2877*B2911)*IF(Inputs!$B$38="pvp",1,(1+(Inputs!$B$21+Skills!Q2+(IF(ArtifactsInput!$M$33,CHOOSE(ArtifactsInput!$N$33+1,30,36,42,48,54,60),0))+(IF(AND(ArtifactsInput!$M$35,Inputs!$B$4&lt;&gt;"Chapter Hunt"),CHOOSE(ArtifactsInput!$N$35+1,15,18,21,24,27,30)*(1-EXP(-(0.2*B2909)*5)),0)+IF(AND(ArtifactsInput!$M$22,Inputs!$B$4&lt;&gt;"Chapter Hunt"),CHOOSE(ArtifactsInput!$N$22+1,10,12,14,16,18,20)*((0*(((0.15*B2909*5))^0/1)+1*(((0.15*B2909*5))^1/1)+2*(((0.15*B2909*5))^2/2)+3*(((0.15*B2909*5))^3/6)+4*(((0.15*B2909*5))^4/24)+5*(((0.15*B2909*5))^5/120))/((((0.15*B2909*5))^0/1)+(((0.15*B2909*5))^1/1)+(((0.15*B2909*5))^2/2)+(((0.15*B2909*5))^3/6)+(((0.15*B2909*5))^4/24)+(((0.15*B2909*5))^5/120)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878">
      <c r="A2878">
        <f>Skills!A3</f>
        <v/>
      </c>
      <c r="B2878">
        <f>Skills!B3</f>
        <v/>
      </c>
      <c r="C2878">
        <f>Inputs!$B$3&gt;=50</f>
        <v/>
      </c>
      <c r="D2878">
        <f>IF(Skills!C3=1,60+Inputs!$B$25+Inputs!$B$29,IF(Skills!C3=2,90+Inputs!$B$26+Inputs!$B$29,IF(Skills!C3=3,120+Inputs!$B$27+Inputs!$B$29,MAX(0,(Inputs!$B$3-100)*3)+Inputs!$B$28+Inputs!$B$29)))</f>
        <v/>
      </c>
      <c r="E2878">
        <f>INDEX(FactorTable!$B$2:$Y$301, MATCH(ROUND(MIN(300,MAX(1,D2878)),0), FactorTable!$A$2:$A$301,0), Skills!M3+1)</f>
        <v/>
      </c>
      <c r="F2878">
        <f>IF(Skills!N3=TRUE,(Skills!L3/10)*(E2878/1000),Skills!L3/10)+Skills!O3</f>
        <v/>
      </c>
      <c r="G2878" t="inlineStr"/>
      <c r="H2878" t="inlineStr"/>
      <c r="I2878" t="inlineStr">
        <is>
          <t>1</t>
        </is>
      </c>
      <c r="J2878" t="inlineStr"/>
      <c r="K2878" t="inlineStr"/>
      <c r="L2878" t="inlineStr"/>
      <c r="M2878" t="inlineStr"/>
      <c r="N2878" t="inlineStr"/>
      <c r="O2878" t="inlineStr"/>
      <c r="P2878" t="inlineStr"/>
      <c r="Q2878" t="inlineStr"/>
      <c r="R2878" t="inlineStr"/>
      <c r="S2878" t="inlineStr"/>
      <c r="T2878" t="inlineStr"/>
      <c r="U2878">
        <f>INDEX(FactorTable!$B$2:$Y$301, MATCH(ROUND(MIN(300,MAX(1,U2877)),0), FactorTable!$A$2:$A$301,0), 22)</f>
        <v/>
      </c>
      <c r="V2878" t="inlineStr"/>
    </row>
    <row r="2879">
      <c r="A2879">
        <f>Skills!A4</f>
        <v/>
      </c>
      <c r="B2879">
        <f>Skills!B4</f>
        <v/>
      </c>
      <c r="C2879">
        <f>Inputs!$B$3&gt;=105</f>
        <v/>
      </c>
      <c r="D2879">
        <f>IF(Skills!C4=1,60+Inputs!$B$25+Inputs!$B$29,IF(Skills!C4=2,90+Inputs!$B$26+Inputs!$B$29,IF(Skills!C4=3,120+Inputs!$B$27+Inputs!$B$29,MAX(0,(Inputs!$B$3-100)*3)+Inputs!$B$28+Inputs!$B$29)))</f>
        <v/>
      </c>
      <c r="E2879">
        <f>INDEX(FactorTable!$B$2:$Y$301, MATCH(ROUND(MIN(300,MAX(1,D2879)),0), FactorTable!$A$2:$A$301,0), Skills!M4+1)</f>
        <v/>
      </c>
      <c r="F2879">
        <f>IF(Skills!N4=TRUE,(Skills!L4/10)*(E2879/1000),Skills!L4/10)+Skills!O4</f>
        <v/>
      </c>
      <c r="G2879" t="inlineStr"/>
      <c r="H2879" t="inlineStr"/>
      <c r="I2879" t="inlineStr">
        <is>
          <t>1</t>
        </is>
      </c>
      <c r="J2879" t="inlineStr"/>
      <c r="K2879" t="inlineStr"/>
      <c r="L2879" t="inlineStr"/>
      <c r="M2879" t="inlineStr"/>
      <c r="N2879" t="inlineStr"/>
      <c r="O2879" t="inlineStr"/>
      <c r="P2879" t="inlineStr"/>
      <c r="Q2879" t="inlineStr"/>
      <c r="R2879" t="inlineStr"/>
      <c r="S2879" t="inlineStr"/>
      <c r="T2879" t="inlineStr"/>
      <c r="U2879">
        <f>290*U2878/1000</f>
        <v/>
      </c>
      <c r="V2879" t="inlineStr"/>
    </row>
    <row r="2880">
      <c r="A2880">
        <f>Skills!A5</f>
        <v/>
      </c>
      <c r="B2880">
        <f>Skills!B5</f>
        <v/>
      </c>
      <c r="C2880">
        <f>Inputs!$B$3&gt;=35</f>
        <v/>
      </c>
      <c r="D2880">
        <f>IF(Skills!C5=1,60+Inputs!$B$25+Inputs!$B$29,IF(Skills!C5=2,90+Inputs!$B$26+Inputs!$B$29,IF(Skills!C5=3,120+Inputs!$B$27+Inputs!$B$29,MAX(0,(Inputs!$B$3-100)*3)+Inputs!$B$28+Inputs!$B$29)))</f>
        <v/>
      </c>
      <c r="E2880">
        <f>INDEX(FactorTable!$B$2:$Y$301, MATCH(ROUND(MIN(300,MAX(1,D2880)),0), FactorTable!$A$2:$A$301,0), Skills!M5+1)</f>
        <v/>
      </c>
      <c r="F2880">
        <f>IF(Skills!N5=TRUE,(Skills!L5/10)*(E2880/1000),Skills!L5/10)+Skills!O5</f>
        <v/>
      </c>
      <c r="G2880">
        <f>Skills!G5*IF(Skills!H5&gt;0,Skills!I5/Skills!H5,1)</f>
        <v/>
      </c>
      <c r="H2880">
        <f>1-(1-Skills!J5/100)^Skills!K5</f>
        <v/>
      </c>
      <c r="I2880" t="inlineStr">
        <is>
          <t>1</t>
        </is>
      </c>
      <c r="J2880">
        <f>((Inputs!$B$6*(1+Inputs!$B$7/100))+(((Inputs!$B$12*(1+Inputs!$B$13/100))-(Inputs!$B$12*(1+Inputs!$B$13/100)))+0.25*(Inputs!$B$14-Inputs!$B$14))*(1+Inputs!$B$7/100))*(F2880/100)</f>
        <v/>
      </c>
      <c r="K2880">
        <f>J2880*(1+((Inputs!$B$12*(1+Inputs!$B$13/100))*0.01+Inputs!$B$14*0.0025)/100)*(1+Inputs!$B$15/100)*(1+Inputs!$B$16/100)*(5000/(6000+Inputs!$B$42*(1-(100*(1-(1-(Inputs!$B$19+0)/100)*(1-CHOOSE(ArtifactsInput!$N$40+1,5,6,7,8,9,10)/100)^(ArtifactsInput!$M$40-ArtifactsInput!$M$40)))/100)))*(1+(Inputs!$B$24+((C2899=TRUE)*(F2899-Calc!F24))+((C2900=TRUE)*(F2900-Calc!F25))+B2913)/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2883=TRUE,F2883,0)/100)*(1+(IF(Skills!A5="EMPOWERED_PIERCING_ARROW",Inputs!$B$17+((C2897=TRUE)*(F2897-Calc!F22))+(((IF(AND(ArtifactsInput!$M$42,((Inputs!$B$9+((C2894=TRUE)*(F2894-Calc!F19))+B2907+(ArtifactsInput!$M$24-ArtifactsInput!$M$24)*CHOOSE(ArtifactsInput!$N$24+1,10,12,14,16,18,20)+IF(ArtifactsInput!$M$10,CHOOSE(ArtifactsInput!$N$10+1,15,18,21,24,27,30)*(IF(Inputs!$B$38="pvp",MIN(15,15)/15,IF(AND(Inputs!$B$38&lt;&gt;"pvp",Inputs!$B$43&gt;0),MIN(15,Inputs!$B$43)/(Inputs!$B$43),0))),0)))&gt;=100),MIN(100,((Inputs!$B$9+((C2894=TRUE)*(F2894-Calc!F19))+B2907+(ArtifactsInput!$M$24-ArtifactsInput!$M$24)*CHOOSE(ArtifactsInput!$N$24+1,10,12,14,16,18,20)+IF(ArtifactsInput!$M$10,CHOOSE(ArtifactsInput!$N$10+1,15,18,21,24,27,30)*(IF(Inputs!$B$38="pvp",MIN(15,15)/15,IF(AND(Inputs!$B$38&lt;&gt;"pvp",Inputs!$B$43&gt;0),MIN(15,Inputs!$B$43)/(Inputs!$B$43),0))),0)))-100),0))*CHOOSE(ArtifactsInput!$N$42+1,0.6,0.72,0.84,0.96,1.08,1.2))),Inputs!$B$18+((C2902=TRUE)*(F2902-Calc!F27))+(IF(AND(ArtifactsInput!$M$42,((Inputs!$B$9+((C2894=TRUE)*(F2894-Calc!F19))+B2907+(ArtifactsInput!$M$24-ArtifactsInput!$M$24)*CHOOSE(ArtifactsInput!$N$24+1,10,12,14,16,18,20)+IF(ArtifactsInput!$M$10,CHOOSE(ArtifactsInput!$N$10+1,15,18,21,24,27,30)*(IF(Inputs!$B$38="pvp",MIN(15,15)/15,IF(AND(Inputs!$B$38&lt;&gt;"pvp",Inputs!$B$43&gt;0),MIN(15,Inputs!$B$43)/(Inputs!$B$43),0))),0)))&gt;=100),CHOOSE(ArtifactsInput!$N$42+1,40,48,56,64,72,80),0))))/100)*((1+(((C2888=TRUE)*F2888)+((C2889=TRUE)*IF(Inputs!$B$38="pvp",F2889,(1-Summary!$B$11)*(F2889)+Summary!$B$11*(0)))+((C2890=TRUE)*F2890*IF(AND(Inputs!$B$38&lt;&gt;"pvp",Inputs!$B$43&gt;0),(((R2890-1)*(Skills!T15*(1+Inputs!$B$34/100))+MIN((Skills!T15*(1+Inputs!$B$34/100)),MAX(0,Inputs!$B$43-((R2890-1)*Skills!D15))))/Inputs!$B$43),IF(Inputs!$B$38="pvp",MIN((Skills!T15*(1+Inputs!$B$34/100)),15)/15,(Skills!T15*(1+Inputs!$B$34/100))/Skills!D15)))+((C2887=TRUE)*F2887)+((C2904=TRUE)*(F2904-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2880)</f>
        <v/>
      </c>
      <c r="L2880">
        <f>K2880*(MIN(Inputs!$B$22+((C2898=TRUE)*(F2898-Calc!F23)),(Inputs!$B$23+((C2903=TRUE)*(F2903-Calc!F28))+(IF(ArtifactsInput!$M$15,CHOOSE(ArtifactsInput!$N$15+1,25,30,35,40,45,50)/100*(Inputs!$B$11-Inputs!$B$11),0))))/100+(Inputs!$B$23+((C2903=TRUE)*(F2903-Calc!F28))+(IF(ArtifactsInput!$M$15,CHOOSE(ArtifactsInput!$N$15+1,25,30,35,40,45,50)/100*(Inputs!$B$11-Inputs!$B$11),0)))/100)/2</f>
        <v/>
      </c>
      <c r="M2880">
        <f>L2880*(1+(Inputs!$B$10+0+B2912+(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880">
        <f>L2880*(1-MIN((Inputs!$B$9+((C2894=TRUE)*(F2894-Calc!F19))+B2907+(ArtifactsInput!$M$24-ArtifactsInput!$M$24)*CHOOSE(ArtifactsInput!$N$24+1,10,12,14,16,18,20)+(IF(AND(ArtifactsInput!$M$42,((Inputs!$B$9+((C2894=TRUE)*(F2894-Calc!F19))+B2907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2880*(MIN((Inputs!$B$9+((C2894=TRUE)*(F2894-Calc!F19))+B2907+(ArtifactsInput!$M$24-ArtifactsInput!$M$24)*CHOOSE(ArtifactsInput!$N$24+1,10,12,14,16,18,20)+(IF(AND(ArtifactsInput!$M$42,((Inputs!$B$9+((C2894=TRUE)*(F2894-Calc!F19))+B2907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880">
        <f>(1-Summary!$B$11)*T2880+Summary!$B$11*V2880</f>
        <v/>
      </c>
      <c r="P2880">
        <f>IF(B2917=0,0,O2880/B2917)</f>
        <v/>
      </c>
      <c r="Q2880">
        <f>IFERROR(1/IF(Inputs!$B$38="pvp",15,MAX(0.1,Skills!D5-IF(Skills!E5=TRUE,0.5,0))),0)</f>
        <v/>
      </c>
      <c r="R2880">
        <f>IF(AND(Inputs!$B$38&lt;&gt;"pvp",Inputs!$B$43&gt;0),IF(MAX(0,Inputs!$B$43-B2914)&lt;=0,0,(INT(MAX(0,Inputs!$B$43-B2914)/IF(Inputs!$B$38="pvp",15,MAX(0.1,Skills!D5-IF(Skills!E5=TRUE,0.5,0))))+1)),0)</f>
        <v/>
      </c>
      <c r="S2880">
        <f>IFERROR((H2880*N2880*IF(AND(Inputs!$B$38&lt;&gt;"pvp",Inputs!$B$43&gt;0),((Skills!G5*((R2880-1)*IF(Skills!H5&gt;0,Skills!I5/Skills!H5,1)+IF(Skills!H5&gt;0,MIN(Skills!I5,MAX(0,MAX(0,Inputs!$B$43-B2914)-((R2880-1)*IF(Inputs!$B$38="pvp",15,MAX(0.1,Skills!D5-IF(Skills!E5=TRUE,0.5,0))))))/Skills!H5,1)))/Inputs!$B$43),G2880*Q2880))/N2880*IF(Inputs!$B$38="pvp",1,(1-Summary!$B$11)*1+Summary!$B$11*(MIN(Skills!R5,Inputs!$B$37))),0)</f>
        <v/>
      </c>
      <c r="T2880">
        <f>IF(C2880,(H2880*N2880*IF(AND(Inputs!$B$38&lt;&gt;"pvp",Inputs!$B$43&gt;0),((Skills!G5*((R2880-1)*IF(Skills!H5&gt;0,Skills!I5/Skills!H5,1)+IF(Skills!H5&gt;0,MIN(Skills!I5,MAX(0,MAX(0,Inputs!$B$43-B2914)-((R2880-1)*IF(Inputs!$B$38="pvp",15,MAX(0.1,Skills!D5-IF(Skills!E5=TRUE,0.5,0))))))/Skills!H5,1)))/Inputs!$B$43),G2880*Q2880))*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Hunt"),CHOOSE(ArtifactsInput!$N$35+1,15,18,21,24,27,30)*(1-EXP(-(0.2*B2909)*5)),0)+IF(AND(ArtifactsInput!$M$22,Inputs!$B$4&lt;&gt;"Chapter Hunt"),CHOOSE(ArtifactsInput!$N$22+1,10,12,14,16,18,20)*((0*(((0.15*B2909*5))^0/1)+1*(((0.15*B2909*5))^1/1)+2*(((0.15*B2909*5))^2/2)+3*(((0.15*B2909*5))^3/6)+4*(((0.15*B2909*5))^4/24)+5*(((0.15*B2909*5))^5/120))/((((0.15*B2909*5))^0/1)+(((0.15*B2909*5))^1/1)+(((0.15*B2909*5))^2/2)+(((0.15*B2909*5))^3/6)+(((0.15*B2909*5))^4/24)+(((0.15*B2909*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2880*(1-MIN(100,(Inputs!$B$9+((C2894=TRUE)*(F2894-Calc!F19))+B2907+(ArtifactsInput!$M$24-ArtifactsInput!$M$24)*CHOOSE(ArtifactsInput!$N$24+1,10,12,14,16,18,20)+(IF(AND(ArtifactsInput!$M$42,((Inputs!$B$9+((C2894=TRUE)*(F2894-Calc!F19))+B2907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2880*(MIN(100,(Inputs!$B$9+((C2894=TRUE)*(F2894-Calc!F19))+B2907+(ArtifactsInput!$M$24-ArtifactsInput!$M$24)*CHOOSE(ArtifactsInput!$N$24+1,10,12,14,16,18,20)+(IF(AND(ArtifactsInput!$M$42,((Inputs!$B$9+((C2894=TRUE)*(F2894-Calc!F19))+B2907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2880*(1-MIN(100,(Inputs!$B$9+((C2894=TRUE)*(F2894-Calc!F19))+B2907+(ArtifactsInput!$M$24-ArtifactsInput!$M$24)*CHOOSE(ArtifactsInput!$N$24+1,10,12,14,16,18,20)+(IF(AND(ArtifactsInput!$M$42,((Inputs!$B$9+((C2894=TRUE)*(F2894-Calc!F19))+B2907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2880*(MIN(100,(Inputs!$B$9+((C2894=TRUE)*(F2894-Calc!F19))+B2907+(ArtifactsInput!$M$24-ArtifactsInput!$M$24)*CHOOSE(ArtifactsInput!$N$24+1,10,12,14,16,18,20)+(IF(AND(ArtifactsInput!$M$42,((Inputs!$B$9+((C2894=TRUE)*(F2894-Calc!F19))+B2907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880">
        <f>IF(C2880,(H2880*N2880*IF(AND(Inputs!$B$38&lt;&gt;"pvp",Inputs!$B$43&gt;0),((Skills!G5*((R2880-1)*IF(Skills!H5&gt;0,Skills!I5/Skills!H5,1)+IF(Skills!H5&gt;0,MIN(Skills!I5,MAX(0,MAX(0,Inputs!$B$43-B2914)-((R2880-1)*IF(Inputs!$B$38="pvp",15,MAX(0.1,Skills!D5-IF(Skills!E5=TRUE,0.5,0))))))/Skills!H5,1)))/Inputs!$B$43),G2880*Q2880))*IF(Inputs!$B$38="pvp",1,(1+(Inputs!$B$21+Skills!Q5+(IF(ArtifactsInput!$M$33,CHOOSE(ArtifactsInput!$N$33+1,30,36,42,48,54,60),0))+(IF(AND(ArtifactsInput!$M$35,Inputs!$B$4&lt;&gt;"Chapter Hunt"),CHOOSE(ArtifactsInput!$N$35+1,15,18,21,24,27,30)*(1-EXP(-(0.2*B2909)*5)),0)+IF(AND(ArtifactsInput!$M$22,Inputs!$B$4&lt;&gt;"Chapter Hunt"),CHOOSE(ArtifactsInput!$N$22+1,10,12,14,16,18,20)*((0*(((0.15*B2909*5))^0/1)+1*(((0.15*B2909*5))^1/1)+2*(((0.15*B2909*5))^2/2)+3*(((0.15*B2909*5))^3/6)+4*(((0.15*B2909*5))^4/24)+5*(((0.15*B2909*5))^5/120))/((((0.15*B2909*5))^0/1)+(((0.15*B2909*5))^1/1)+(((0.15*B2909*5))^2/2)+(((0.15*B2909*5))^3/6)+(((0.15*B2909*5))^4/24)+(((0.15*B2909*5))^5/120)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881">
      <c r="A2881">
        <f>Skills!A6</f>
        <v/>
      </c>
      <c r="B2881">
        <f>Skills!B6</f>
        <v/>
      </c>
      <c r="C2881">
        <f>Inputs!$B$3&gt;=63</f>
        <v/>
      </c>
      <c r="D2881">
        <f>IF(Skills!C6=1,60+Inputs!$B$25+Inputs!$B$29,IF(Skills!C6=2,90+Inputs!$B$26+Inputs!$B$29,IF(Skills!C6=3,120+Inputs!$B$27+Inputs!$B$29,MAX(0,(Inputs!$B$3-100)*3)+Inputs!$B$28+Inputs!$B$29)))</f>
        <v/>
      </c>
      <c r="E2881">
        <f>INDEX(FactorTable!$B$2:$Y$301, MATCH(ROUND(MIN(300,MAX(1,D2881)),0), FactorTable!$A$2:$A$301,0), Skills!M6+1)</f>
        <v/>
      </c>
      <c r="F2881">
        <f>IF(Skills!N6=TRUE,(Skills!L6/10)*(E2881/1000),Skills!L6/10)+Skills!O6</f>
        <v/>
      </c>
      <c r="G2881">
        <f>Skills!G6*IF(Skills!H6&gt;0,Skills!I6/Skills!H6,1)</f>
        <v/>
      </c>
      <c r="H2881">
        <f>1-(1-Skills!J6/100)^Skills!K6</f>
        <v/>
      </c>
      <c r="I2881" t="inlineStr">
        <is>
          <t>1</t>
        </is>
      </c>
      <c r="J2881">
        <f>((Inputs!$B$6*(1+Inputs!$B$7/100))+(((Inputs!$B$12*(1+Inputs!$B$13/100))-(Inputs!$B$12*(1+Inputs!$B$13/100)))+0.25*(Inputs!$B$14-Inputs!$B$14))*(1+Inputs!$B$7/100))*(F2881/100)</f>
        <v/>
      </c>
      <c r="K2881">
        <f>J2881*(1+((Inputs!$B$12*(1+Inputs!$B$13/100))*0.01+Inputs!$B$14*0.0025)/100)*(1+Inputs!$B$15/100)*(1+Inputs!$B$16/100)*(5000/(6000+Inputs!$B$42*(1-(100*(1-(1-(Inputs!$B$19+0)/100)*(1-CHOOSE(ArtifactsInput!$N$40+1,5,6,7,8,9,10)/100)^(ArtifactsInput!$M$40-ArtifactsInput!$M$40)))/100)))*(1+(Inputs!$B$24+((C2899=TRUE)*(F2899-Calc!F24))+((C2900=TRUE)*(F2900-Calc!F25))+B2913)/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2883=TRUE,F2883,0)/100)*(1+(IF(Skills!A6="EMPOWERED_PIERCING_ARROW",Inputs!$B$17+((C2897=TRUE)*(F2897-Calc!F22))+(((IF(AND(ArtifactsInput!$M$42,((Inputs!$B$9+((C2894=TRUE)*(F2894-Calc!F19))+B2907+(ArtifactsInput!$M$24-ArtifactsInput!$M$24)*CHOOSE(ArtifactsInput!$N$24+1,10,12,14,16,18,20)+IF(ArtifactsInput!$M$10,CHOOSE(ArtifactsInput!$N$10+1,15,18,21,24,27,30)*(IF(Inputs!$B$38="pvp",MIN(15,15)/15,IF(AND(Inputs!$B$38&lt;&gt;"pvp",Inputs!$B$43&gt;0),MIN(15,Inputs!$B$43)/(Inputs!$B$43),0))),0)))&gt;=100),MIN(100,((Inputs!$B$9+((C2894=TRUE)*(F2894-Calc!F19))+B2907+(ArtifactsInput!$M$24-ArtifactsInput!$M$24)*CHOOSE(ArtifactsInput!$N$24+1,10,12,14,16,18,20)+IF(ArtifactsInput!$M$10,CHOOSE(ArtifactsInput!$N$10+1,15,18,21,24,27,30)*(IF(Inputs!$B$38="pvp",MIN(15,15)/15,IF(AND(Inputs!$B$38&lt;&gt;"pvp",Inputs!$B$43&gt;0),MIN(15,Inputs!$B$43)/(Inputs!$B$43),0))),0)))-100),0))*CHOOSE(ArtifactsInput!$N$42+1,0.6,0.72,0.84,0.96,1.08,1.2))),Inputs!$B$18+((C2902=TRUE)*(F2902-Calc!F27))+(IF(AND(ArtifactsInput!$M$42,((Inputs!$B$9+((C2894=TRUE)*(F2894-Calc!F19))+B2907+(ArtifactsInput!$M$24-ArtifactsInput!$M$24)*CHOOSE(ArtifactsInput!$N$24+1,10,12,14,16,18,20)+IF(ArtifactsInput!$M$10,CHOOSE(ArtifactsInput!$N$10+1,15,18,21,24,27,30)*(IF(Inputs!$B$38="pvp",MIN(15,15)/15,IF(AND(Inputs!$B$38&lt;&gt;"pvp",Inputs!$B$43&gt;0),MIN(15,Inputs!$B$43)/(Inputs!$B$43),0))),0)))&gt;=100),CHOOSE(ArtifactsInput!$N$42+1,40,48,56,64,72,80),0))))/100)*((1+(((C2888=TRUE)*F2888)+((C2889=TRUE)*IF(Inputs!$B$38="pvp",F2889,(1-Summary!$B$11)*(F2889)+Summary!$B$11*(0)))+((C2890=TRUE)*F2890*IF(AND(Inputs!$B$38&lt;&gt;"pvp",Inputs!$B$43&gt;0),(((R2890-1)*(Skills!T15*(1+Inputs!$B$34/100))+MIN((Skills!T15*(1+Inputs!$B$34/100)),MAX(0,Inputs!$B$43-((R2890-1)*Skills!D15))))/Inputs!$B$43),IF(Inputs!$B$38="pvp",MIN((Skills!T15*(1+Inputs!$B$34/100)),15)/15,(Skills!T15*(1+Inputs!$B$34/100))/Skills!D15)))+((C2887=TRUE)*F2887)+((C2904=TRUE)*(F2904-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2881)</f>
        <v/>
      </c>
      <c r="L2881">
        <f>K2881*(MIN(Inputs!$B$22+((C2898=TRUE)*(F2898-Calc!F23)),(Inputs!$B$23+((C2903=TRUE)*(F2903-Calc!F28))+(IF(ArtifactsInput!$M$15,CHOOSE(ArtifactsInput!$N$15+1,25,30,35,40,45,50)/100*(Inputs!$B$11-Inputs!$B$11),0))))/100+(Inputs!$B$23+((C2903=TRUE)*(F2903-Calc!F28))+(IF(ArtifactsInput!$M$15,CHOOSE(ArtifactsInput!$N$15+1,25,30,35,40,45,50)/100*(Inputs!$B$11-Inputs!$B$11),0)))/100)/2</f>
        <v/>
      </c>
      <c r="M2881">
        <f>L2881*(1+(Inputs!$B$10+0+B2912+(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881">
        <f>L2881*(1-MIN((Inputs!$B$9+((C2894=TRUE)*(F2894-Calc!F19))+B2907+(ArtifactsInput!$M$24-ArtifactsInput!$M$24)*CHOOSE(ArtifactsInput!$N$24+1,10,12,14,16,18,20)+(IF(AND(ArtifactsInput!$M$42,((Inputs!$B$9+((C2894=TRUE)*(F2894-Calc!F19))+B2907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2881*(MIN((Inputs!$B$9+((C2894=TRUE)*(F2894-Calc!F19))+B2907+(ArtifactsInput!$M$24-ArtifactsInput!$M$24)*CHOOSE(ArtifactsInput!$N$24+1,10,12,14,16,18,20)+(IF(AND(ArtifactsInput!$M$42,((Inputs!$B$9+((C2894=TRUE)*(F2894-Calc!F19))+B2907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881">
        <f>(1-Summary!$B$11)*T2881+Summary!$B$11*V2881</f>
        <v/>
      </c>
      <c r="P2881">
        <f>IF(B2917=0,0,O2881/B2917)</f>
        <v/>
      </c>
      <c r="Q2881">
        <f>IFERROR(1/IF(Inputs!$B$38="pvp",15,MAX(0.1,Skills!D6-IF(Skills!E6=TRUE,0.5,0))),0)</f>
        <v/>
      </c>
      <c r="R2881">
        <f>IF(AND(Inputs!$B$38&lt;&gt;"pvp",Inputs!$B$43&gt;0),IF(MAX(0,Inputs!$B$43-B2914)&lt;=0,0,(INT(MAX(0,Inputs!$B$43-B2914)/IF(Inputs!$B$38="pvp",15,MAX(0.1,Skills!D6-IF(Skills!E6=TRUE,0.5,0))))+1)),0)</f>
        <v/>
      </c>
      <c r="S2881">
        <f>IFERROR((H2881*N2881*IF(AND(Inputs!$B$38&lt;&gt;"pvp",Inputs!$B$43&gt;0),((Skills!G6*((R2881-1)*IF(Skills!H6&gt;0,Skills!I6/Skills!H6,1)+IF(Skills!H6&gt;0,MIN(Skills!I6,MAX(0,MAX(0,Inputs!$B$43-B2914)-((R2881-1)*IF(Inputs!$B$38="pvp",15,MAX(0.1,Skills!D6-IF(Skills!E6=TRUE,0.5,0))))))/Skills!H6,1)))/Inputs!$B$43),G2881*Q2881))/N2881*IF(Inputs!$B$38="pvp",1,(1-Summary!$B$11)*1+Summary!$B$11*(MIN(Skills!R6,Inputs!$B$37))),0)</f>
        <v/>
      </c>
      <c r="T2881">
        <f>IF(C2881,(H2881*N2881*IF(AND(Inputs!$B$38&lt;&gt;"pvp",Inputs!$B$43&gt;0),((Skills!G6*((R2881-1)*IF(Skills!H6&gt;0,Skills!I6/Skills!H6,1)+IF(Skills!H6&gt;0,MIN(Skills!I6,MAX(0,MAX(0,Inputs!$B$43-B2914)-((R2881-1)*IF(Inputs!$B$38="pvp",15,MAX(0.1,Skills!D6-IF(Skills!E6=TRUE,0.5,0))))))/Skills!H6,1)))/Inputs!$B$43),G2881*Q2881))*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Hunt"),CHOOSE(ArtifactsInput!$N$35+1,15,18,21,24,27,30)*(1-EXP(-(0.2*B2909)*5)),0)+IF(AND(ArtifactsInput!$M$22,Inputs!$B$4&lt;&gt;"Chapter Hunt"),CHOOSE(ArtifactsInput!$N$22+1,10,12,14,16,18,20)*((0*(((0.15*B2909*5))^0/1)+1*(((0.15*B2909*5))^1/1)+2*(((0.15*B2909*5))^2/2)+3*(((0.15*B2909*5))^3/6)+4*(((0.15*B2909*5))^4/24)+5*(((0.15*B2909*5))^5/120))/((((0.15*B2909*5))^0/1)+(((0.15*B2909*5))^1/1)+(((0.15*B2909*5))^2/2)+(((0.15*B2909*5))^3/6)+(((0.15*B2909*5))^4/24)+(((0.15*B2909*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2881*(1-MIN(100,(Inputs!$B$9+((C2894=TRUE)*(F2894-Calc!F19))+B2907+(ArtifactsInput!$M$24-ArtifactsInput!$M$24)*CHOOSE(ArtifactsInput!$N$24+1,10,12,14,16,18,20)+(IF(AND(ArtifactsInput!$M$42,((Inputs!$B$9+((C2894=TRUE)*(F2894-Calc!F19))+B2907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2881*(MIN(100,(Inputs!$B$9+((C2894=TRUE)*(F2894-Calc!F19))+B2907+(ArtifactsInput!$M$24-ArtifactsInput!$M$24)*CHOOSE(ArtifactsInput!$N$24+1,10,12,14,16,18,20)+(IF(AND(ArtifactsInput!$M$42,((Inputs!$B$9+((C2894=TRUE)*(F2894-Calc!F19))+B2907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2881*(1-MIN(100,(Inputs!$B$9+((C2894=TRUE)*(F2894-Calc!F19))+B2907+(ArtifactsInput!$M$24-ArtifactsInput!$M$24)*CHOOSE(ArtifactsInput!$N$24+1,10,12,14,16,18,20)+(IF(AND(ArtifactsInput!$M$42,((Inputs!$B$9+((C2894=TRUE)*(F2894-Calc!F19))+B2907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2881*(MIN(100,(Inputs!$B$9+((C2894=TRUE)*(F2894-Calc!F19))+B2907+(ArtifactsInput!$M$24-ArtifactsInput!$M$24)*CHOOSE(ArtifactsInput!$N$24+1,10,12,14,16,18,20)+(IF(AND(ArtifactsInput!$M$42,((Inputs!$B$9+((C2894=TRUE)*(F2894-Calc!F19))+B2907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881">
        <f>IF(C2881,(H2881*N2881*IF(AND(Inputs!$B$38&lt;&gt;"pvp",Inputs!$B$43&gt;0),((Skills!G6*((R2881-1)*IF(Skills!H6&gt;0,Skills!I6/Skills!H6,1)+IF(Skills!H6&gt;0,MIN(Skills!I6,MAX(0,MAX(0,Inputs!$B$43-B2914)-((R2881-1)*IF(Inputs!$B$38="pvp",15,MAX(0.1,Skills!D6-IF(Skills!E6=TRUE,0.5,0))))))/Skills!H6,1)))/Inputs!$B$43),G2881*Q2881))*IF(Inputs!$B$38="pvp",1,(1+(Inputs!$B$21+Skills!Q6+(IF(ArtifactsInput!$M$33,CHOOSE(ArtifactsInput!$N$33+1,30,36,42,48,54,60),0))+(IF(AND(ArtifactsInput!$M$35,Inputs!$B$4&lt;&gt;"Chapter Hunt"),CHOOSE(ArtifactsInput!$N$35+1,15,18,21,24,27,30)*(1-EXP(-(0.2*B2909)*5)),0)+IF(AND(ArtifactsInput!$M$22,Inputs!$B$4&lt;&gt;"Chapter Hunt"),CHOOSE(ArtifactsInput!$N$22+1,10,12,14,16,18,20)*((0*(((0.15*B2909*5))^0/1)+1*(((0.15*B2909*5))^1/1)+2*(((0.15*B2909*5))^2/2)+3*(((0.15*B2909*5))^3/6)+4*(((0.15*B2909*5))^4/24)+5*(((0.15*B2909*5))^5/120))/((((0.15*B2909*5))^0/1)+(((0.15*B2909*5))^1/1)+(((0.15*B2909*5))^2/2)+(((0.15*B2909*5))^3/6)+(((0.15*B2909*5))^4/24)+(((0.15*B2909*5))^5/120))),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882">
      <c r="A2882">
        <f>Skills!A7</f>
        <v/>
      </c>
      <c r="B2882">
        <f>Skills!B7</f>
        <v/>
      </c>
      <c r="C2882">
        <f>Inputs!$B$3&gt;=69</f>
        <v/>
      </c>
      <c r="D2882">
        <f>IF(Skills!C7=1,60+Inputs!$B$25+Inputs!$B$29,IF(Skills!C7=2,90+Inputs!$B$26+Inputs!$B$29,IF(Skills!C7=3,120+Inputs!$B$27+Inputs!$B$29,MAX(0,(Inputs!$B$3-100)*3)+Inputs!$B$28+Inputs!$B$29)))</f>
        <v/>
      </c>
      <c r="E2882">
        <f>INDEX(FactorTable!$B$2:$Y$301, MATCH(ROUND(MIN(300,MAX(1,D2882)),0), FactorTable!$A$2:$A$301,0), Skills!M7+1)</f>
        <v/>
      </c>
      <c r="F2882">
        <f>IF(Skills!N7=TRUE,(Skills!L7/10)*(E2882/1000),Skills!L7/10)+Skills!O7</f>
        <v/>
      </c>
      <c r="G2882">
        <f>Skills!G7*IF(Skills!H7&gt;0,Skills!I7/Skills!H7,1)</f>
        <v/>
      </c>
      <c r="H2882">
        <f>1-(1-Skills!J7/100)^Skills!K7</f>
        <v/>
      </c>
      <c r="I2882" t="inlineStr">
        <is>
          <t>1</t>
        </is>
      </c>
      <c r="J2882">
        <f>((Inputs!$B$6*(1+Inputs!$B$7/100))+(((Inputs!$B$12*(1+Inputs!$B$13/100))-(Inputs!$B$12*(1+Inputs!$B$13/100)))+0.25*(Inputs!$B$14-Inputs!$B$14))*(1+Inputs!$B$7/100))*(F2882/100)</f>
        <v/>
      </c>
      <c r="K2882">
        <f>J2882*(1+((Inputs!$B$12*(1+Inputs!$B$13/100))*0.01+Inputs!$B$14*0.0025)/100)*(1+Inputs!$B$15/100)*(1+Inputs!$B$16/100)*(5000/(6000+Inputs!$B$42*(1-(100*(1-(1-(Inputs!$B$19+0)/100)*(1-CHOOSE(ArtifactsInput!$N$40+1,5,6,7,8,9,10)/100)^(ArtifactsInput!$M$40-ArtifactsInput!$M$40)))/100)))*(1+(Inputs!$B$24+((C2899=TRUE)*(F2899-Calc!F24))+((C2900=TRUE)*(F2900-Calc!F25))+B2913)/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+1.2*IF(C2883=TRUE,F2883,0)/100)*(1+(IF(Skills!A7="EMPOWERED_PIERCING_ARROW",Inputs!$B$17+((C2897=TRUE)*(F2897-Calc!F22))+(((IF(AND(ArtifactsInput!$M$42,((Inputs!$B$9+((C2894=TRUE)*(F2894-Calc!F19))+B2907+(ArtifactsInput!$M$24-ArtifactsInput!$M$24)*CHOOSE(ArtifactsInput!$N$24+1,10,12,14,16,18,20)+IF(ArtifactsInput!$M$10,CHOOSE(ArtifactsInput!$N$10+1,15,18,21,24,27,30)*(IF(Inputs!$B$38="pvp",MIN(15,15)/15,IF(AND(Inputs!$B$38&lt;&gt;"pvp",Inputs!$B$43&gt;0),MIN(15,Inputs!$B$43)/(Inputs!$B$43),0))),0)))&gt;=100),MIN(100,((Inputs!$B$9+((C2894=TRUE)*(F2894-Calc!F19))+B2907+(ArtifactsInput!$M$24-ArtifactsInput!$M$24)*CHOOSE(ArtifactsInput!$N$24+1,10,12,14,16,18,20)+IF(ArtifactsInput!$M$10,CHOOSE(ArtifactsInput!$N$10+1,15,18,21,24,27,30)*(IF(Inputs!$B$38="pvp",MIN(15,15)/15,IF(AND(Inputs!$B$38&lt;&gt;"pvp",Inputs!$B$43&gt;0),MIN(15,Inputs!$B$43)/(Inputs!$B$43),0))),0)))-100),0))*CHOOSE(ArtifactsInput!$N$42+1,0.6,0.72,0.84,0.96,1.08,1.2))),Inputs!$B$18+((C2902=TRUE)*(F2902-Calc!F27))+(IF(AND(ArtifactsInput!$M$42,((Inputs!$B$9+((C2894=TRUE)*(F2894-Calc!F19))+B2907+(ArtifactsInput!$M$24-ArtifactsInput!$M$24)*CHOOSE(ArtifactsInput!$N$24+1,10,12,14,16,18,20)+IF(ArtifactsInput!$M$10,CHOOSE(ArtifactsInput!$N$10+1,15,18,21,24,27,30)*(IF(Inputs!$B$38="pvp",MIN(15,15)/15,IF(AND(Inputs!$B$38&lt;&gt;"pvp",Inputs!$B$43&gt;0),MIN(15,Inputs!$B$43)/(Inputs!$B$43),0))),0)))&gt;=100),CHOOSE(ArtifactsInput!$N$42+1,40,48,56,64,72,80),0))))/100)*((1+(((C2888=TRUE)*F2888)+((C2889=TRUE)*IF(Inputs!$B$38="pvp",F2889,(1-Summary!$B$11)*(F2889)+Summary!$B$11*(0)))+((C2890=TRUE)*F2890*IF(AND(Inputs!$B$38&lt;&gt;"pvp",Inputs!$B$43&gt;0),(((R2890-1)*(Skills!T15*(1+Inputs!$B$34/100))+MIN((Skills!T15*(1+Inputs!$B$34/100)),MAX(0,Inputs!$B$43-((R2890-1)*Skills!D15))))/Inputs!$B$43),IF(Inputs!$B$38="pvp",MIN((Skills!T15*(1+Inputs!$B$34/100)),15)/15,(Skills!T15*(1+Inputs!$B$34/100))/Skills!D15)))+((C2887=TRUE)*F2887)+((C2904=TRUE)*(F2904-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2882)</f>
        <v/>
      </c>
      <c r="L2882">
        <f>K2882*(MIN(Inputs!$B$22+((C2898=TRUE)*(F2898-Calc!F23)),(Inputs!$B$23+((C2903=TRUE)*(F2903-Calc!F28))+(IF(ArtifactsInput!$M$15,CHOOSE(ArtifactsInput!$N$15+1,25,30,35,40,45,50)/100*(Inputs!$B$11-Inputs!$B$11),0))))/100+(Inputs!$B$23+((C2903=TRUE)*(F2903-Calc!F28))+(IF(ArtifactsInput!$M$15,CHOOSE(ArtifactsInput!$N$15+1,25,30,35,40,45,50)/100*(Inputs!$B$11-Inputs!$B$11),0)))/100)/2</f>
        <v/>
      </c>
      <c r="M2882">
        <f>L2882*(1+(Inputs!$B$10+0+B2912+(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882">
        <f>L2882*(1-MIN((Inputs!$B$9+((C2894=TRUE)*(F2894-Calc!F19))+B2907+(ArtifactsInput!$M$24-ArtifactsInput!$M$24)*CHOOSE(ArtifactsInput!$N$24+1,10,12,14,16,18,20)+(IF(AND(ArtifactsInput!$M$42,((Inputs!$B$9+((C2894=TRUE)*(F2894-Calc!F19))+B2907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2882*(MIN((Inputs!$B$9+((C2894=TRUE)*(F2894-Calc!F19))+B2907+(ArtifactsInput!$M$24-ArtifactsInput!$M$24)*CHOOSE(ArtifactsInput!$N$24+1,10,12,14,16,18,20)+(IF(AND(ArtifactsInput!$M$42,((Inputs!$B$9+((C2894=TRUE)*(F2894-Calc!F19))+B2907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882">
        <f>(1-Summary!$B$11)*T2882+Summary!$B$11*V2882</f>
        <v/>
      </c>
      <c r="P2882">
        <f>IF(B2917=0,0,O2882/B2917)</f>
        <v/>
      </c>
      <c r="Q2882">
        <f>IFERROR(1/IF(Inputs!$B$38="pvp",15,MAX(0.1,Skills!D7-IF(Skills!E7=TRUE,0.5,0))),0)</f>
        <v/>
      </c>
      <c r="R2882">
        <f>IF(AND(Inputs!$B$38&lt;&gt;"pvp",Inputs!$B$43&gt;0),IF(MAX(0,Inputs!$B$43-B2914)&lt;=0,0,(INT(MAX(0,Inputs!$B$43-B2914)/IF(Inputs!$B$38="pvp",15,MAX(0.1,Skills!D7-IF(Skills!E7=TRUE,0.5,0))))+1)),0)</f>
        <v/>
      </c>
      <c r="S2882">
        <f>IFERROR((H2882*N2882*IF(AND(Inputs!$B$38&lt;&gt;"pvp",Inputs!$B$43&gt;0),((Skills!G7*((R2882-1)*IF(Skills!H7&gt;0,Skills!I7/Skills!H7,1)+IF(Skills!H7&gt;0,MIN(Skills!I7,MAX(0,MAX(0,Inputs!$B$43-B2914)-((R2882-1)*IF(Inputs!$B$38="pvp",15,MAX(0.1,Skills!D7-IF(Skills!E7=TRUE,0.5,0))))))/Skills!H7,1)))/Inputs!$B$43),G2882*Q2882))/N2882*IF(Inputs!$B$38="pvp",1,(1-Summary!$B$11)*1+Summary!$B$11*(MIN(Skills!R7,Inputs!$B$37))),0)</f>
        <v/>
      </c>
      <c r="T2882">
        <f>IF(C2882,(H2882*N2882*IF(AND(Inputs!$B$38&lt;&gt;"pvp",Inputs!$B$43&gt;0),((Skills!G7*((R2882-1)*IF(Skills!H7&gt;0,Skills!I7/Skills!H7,1)+IF(Skills!H7&gt;0,MIN(Skills!I7,MAX(0,MAX(0,Inputs!$B$43-B2914)-((R2882-1)*IF(Inputs!$B$38="pvp",15,MAX(0.1,Skills!D7-IF(Skills!E7=TRUE,0.5,0))))))/Skills!H7,1)))/Inputs!$B$43),G2882*Q2882))*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Hunt"),CHOOSE(ArtifactsInput!$N$35+1,15,18,21,24,27,30)*(1-EXP(-(0.2*B2909)*5)),0)+IF(AND(ArtifactsInput!$M$22,Inputs!$B$4&lt;&gt;"Chapter Hunt"),CHOOSE(ArtifactsInput!$N$22+1,10,12,14,16,18,20)*((0*(((0.15*B2909*5))^0/1)+1*(((0.15*B2909*5))^1/1)+2*(((0.15*B2909*5))^2/2)+3*(((0.15*B2909*5))^3/6)+4*(((0.15*B2909*5))^4/24)+5*(((0.15*B2909*5))^5/120))/((((0.15*B2909*5))^0/1)+(((0.15*B2909*5))^1/1)+(((0.15*B2909*5))^2/2)+(((0.15*B2909*5))^3/6)+(((0.15*B2909*5))^4/24)+(((0.15*B2909*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2882*(1-MIN(100,(Inputs!$B$9+((C2894=TRUE)*(F2894-Calc!F19))+B2907+(ArtifactsInput!$M$24-ArtifactsInput!$M$24)*CHOOSE(ArtifactsInput!$N$24+1,10,12,14,16,18,20)+(IF(AND(ArtifactsInput!$M$42,((Inputs!$B$9+((C2894=TRUE)*(F2894-Calc!F19))+B2907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2882*(MIN(100,(Inputs!$B$9+((C2894=TRUE)*(F2894-Calc!F19))+B2907+(ArtifactsInput!$M$24-ArtifactsInput!$M$24)*CHOOSE(ArtifactsInput!$N$24+1,10,12,14,16,18,20)+(IF(AND(ArtifactsInput!$M$42,((Inputs!$B$9+((C2894=TRUE)*(F2894-Calc!F19))+B2907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2882*(1-MIN(100,(Inputs!$B$9+((C2894=TRUE)*(F2894-Calc!F19))+B2907+(ArtifactsInput!$M$24-ArtifactsInput!$M$24)*CHOOSE(ArtifactsInput!$N$24+1,10,12,14,16,18,20)+(IF(AND(ArtifactsInput!$M$42,((Inputs!$B$9+((C2894=TRUE)*(F2894-Calc!F19))+B2907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2882*(MIN(100,(Inputs!$B$9+((C2894=TRUE)*(F2894-Calc!F19))+B2907+(ArtifactsInput!$M$24-ArtifactsInput!$M$24)*CHOOSE(ArtifactsInput!$N$24+1,10,12,14,16,18,20)+(IF(AND(ArtifactsInput!$M$42,((Inputs!$B$9+((C2894=TRUE)*(F2894-Calc!F19))+B2907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882">
        <f>IF(C2882,(H2882*N2882*IF(AND(Inputs!$B$38&lt;&gt;"pvp",Inputs!$B$43&gt;0),((Skills!G7*((R2882-1)*IF(Skills!H7&gt;0,Skills!I7/Skills!H7,1)+IF(Skills!H7&gt;0,MIN(Skills!I7,MAX(0,MAX(0,Inputs!$B$43-B2914)-((R2882-1)*IF(Inputs!$B$38="pvp",15,MAX(0.1,Skills!D7-IF(Skills!E7=TRUE,0.5,0))))))/Skills!H7,1)))/Inputs!$B$43),G2882*Q2882))*IF(Inputs!$B$38="pvp",1,(1+(Inputs!$B$21+Skills!Q7+(IF(ArtifactsInput!$M$33,CHOOSE(ArtifactsInput!$N$33+1,30,36,42,48,54,60),0))+(IF(AND(ArtifactsInput!$M$35,Inputs!$B$4&lt;&gt;"Chapter Hunt"),CHOOSE(ArtifactsInput!$N$35+1,15,18,21,24,27,30)*(1-EXP(-(0.2*B2909)*5)),0)+IF(AND(ArtifactsInput!$M$22,Inputs!$B$4&lt;&gt;"Chapter Hunt"),CHOOSE(ArtifactsInput!$N$22+1,10,12,14,16,18,20)*((0*(((0.15*B2909*5))^0/1)+1*(((0.15*B2909*5))^1/1)+2*(((0.15*B2909*5))^2/2)+3*(((0.15*B2909*5))^3/6)+4*(((0.15*B2909*5))^4/24)+5*(((0.15*B2909*5))^5/120))/((((0.15*B2909*5))^0/1)+(((0.15*B2909*5))^1/1)+(((0.15*B2909*5))^2/2)+(((0.15*B2909*5))^3/6)+(((0.15*B2909*5))^4/24)+(((0.15*B2909*5))^5/120))),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883">
      <c r="A2883">
        <f>Skills!A8</f>
        <v/>
      </c>
      <c r="B2883">
        <f>Skills!B8</f>
        <v/>
      </c>
      <c r="C2883">
        <f>Inputs!$B$3&gt;=100</f>
        <v/>
      </c>
      <c r="D2883">
        <f>IF(Skills!C8=1,60+Inputs!$B$25+Inputs!$B$29,IF(Skills!C8=2,90+Inputs!$B$26+Inputs!$B$29,IF(Skills!C8=3,120+Inputs!$B$27+Inputs!$B$29,MAX(0,(Inputs!$B$3-100)*3)+Inputs!$B$28+Inputs!$B$29)))</f>
        <v/>
      </c>
      <c r="E2883">
        <f>INDEX(FactorTable!$B$2:$Y$301, MATCH(ROUND(MIN(300,MAX(1,D2883)),0), FactorTable!$A$2:$A$301,0), Skills!M8+1)</f>
        <v/>
      </c>
      <c r="F2883">
        <f>IF(Skills!N8=TRUE,(Skills!L8/10)*(E2883/1000),Skills!L8/10)+Skills!O8</f>
        <v/>
      </c>
      <c r="G2883" t="inlineStr"/>
      <c r="H2883" t="inlineStr"/>
      <c r="I2883" t="inlineStr">
        <is>
          <t>1</t>
        </is>
      </c>
      <c r="J2883" t="inlineStr"/>
      <c r="K2883" t="inlineStr"/>
      <c r="L2883" t="inlineStr"/>
      <c r="M2883" t="inlineStr"/>
      <c r="N2883" t="inlineStr"/>
      <c r="O2883" t="inlineStr"/>
      <c r="P2883" t="inlineStr"/>
      <c r="Q2883" t="inlineStr"/>
      <c r="R2883" t="inlineStr"/>
      <c r="S2883" t="inlineStr"/>
      <c r="T2883" t="inlineStr"/>
      <c r="V2883" t="inlineStr"/>
    </row>
    <row r="2884">
      <c r="A2884">
        <f>Skills!A9</f>
        <v/>
      </c>
      <c r="B2884">
        <f>Skills!B9</f>
        <v/>
      </c>
      <c r="C2884">
        <f>Inputs!$B$3&gt;=103</f>
        <v/>
      </c>
      <c r="D2884">
        <f>IF(Skills!C9=1,60+Inputs!$B$25+Inputs!$B$29,IF(Skills!C9=2,90+Inputs!$B$26+Inputs!$B$29,IF(Skills!C9=3,120+Inputs!$B$27+Inputs!$B$29,MAX(0,(Inputs!$B$3-100)*3)+Inputs!$B$28+Inputs!$B$29)))</f>
        <v/>
      </c>
      <c r="E2884">
        <f>INDEX(FactorTable!$B$2:$Y$301, MATCH(ROUND(MIN(300,MAX(1,D2884)),0), FactorTable!$A$2:$A$301,0), Skills!M9+1)</f>
        <v/>
      </c>
      <c r="F2884">
        <f>IF(Skills!N9=TRUE,(Skills!L9/10)*(E2884/1000),Skills!L9/10)+Skills!O9</f>
        <v/>
      </c>
      <c r="G2884">
        <f>Skills!G9*IF(Skills!H9&gt;0,Skills!I9/Skills!H9,1)</f>
        <v/>
      </c>
      <c r="H2884">
        <f>1-(1-Skills!J9/100)^Skills!K9</f>
        <v/>
      </c>
      <c r="I2884" t="inlineStr">
        <is>
          <t>1</t>
        </is>
      </c>
      <c r="J2884">
        <f>((Inputs!$B$6*(1+Inputs!$B$7/100))+(((Inputs!$B$12*(1+Inputs!$B$13/100))-(Inputs!$B$12*(1+Inputs!$B$13/100)))+0.25*(Inputs!$B$14-Inputs!$B$14))*(1+Inputs!$B$7/100))*(F2884/100)</f>
        <v/>
      </c>
      <c r="K2884">
        <f>J2884*(1+((Inputs!$B$12*(1+Inputs!$B$13/100))*0.01+Inputs!$B$14*0.0025)/100)*(1+Inputs!$B$15/100)*(1+Inputs!$B$16/100)*(5000/(6000+Inputs!$B$42*(1-(100*(1-(1-(Inputs!$B$19+0)/100)*(1-CHOOSE(ArtifactsInput!$N$40+1,5,6,7,8,9,10)/100)^(ArtifactsInput!$M$40-ArtifactsInput!$M$40)))/100)))*(1+(Inputs!$B$24+((C2899=TRUE)*(F2899-Calc!F24))+((C2900=TRUE)*(F2900-Calc!F25))+B2913)/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EMPOWERED_PIERCING_ARROW",Inputs!$B$17+((C2897=TRUE)*(F2897-Calc!F22))+(((IF(AND(ArtifactsInput!$M$42,((Inputs!$B$9+((C2894=TRUE)*(F2894-Calc!F19))+B2907+(ArtifactsInput!$M$24-ArtifactsInput!$M$24)*CHOOSE(ArtifactsInput!$N$24+1,10,12,14,16,18,20)+IF(ArtifactsInput!$M$10,CHOOSE(ArtifactsInput!$N$10+1,15,18,21,24,27,30)*(IF(Inputs!$B$38="pvp",MIN(15,15)/15,IF(AND(Inputs!$B$38&lt;&gt;"pvp",Inputs!$B$43&gt;0),MIN(15,Inputs!$B$43)/(Inputs!$B$43),0))),0)))&gt;=100),MIN(100,((Inputs!$B$9+((C2894=TRUE)*(F2894-Calc!F19))+B2907+(ArtifactsInput!$M$24-ArtifactsInput!$M$24)*CHOOSE(ArtifactsInput!$N$24+1,10,12,14,16,18,20)+IF(ArtifactsInput!$M$10,CHOOSE(ArtifactsInput!$N$10+1,15,18,21,24,27,30)*(IF(Inputs!$B$38="pvp",MIN(15,15)/15,IF(AND(Inputs!$B$38&lt;&gt;"pvp",Inputs!$B$43&gt;0),MIN(15,Inputs!$B$43)/(Inputs!$B$43),0))),0)))-100),0))*CHOOSE(ArtifactsInput!$N$42+1,0.6,0.72,0.84,0.96,1.08,1.2))),Inputs!$B$18+((C2902=TRUE)*(F2902-Calc!F27))+(IF(AND(ArtifactsInput!$M$42,((Inputs!$B$9+((C2894=TRUE)*(F2894-Calc!F19))+B2907+(ArtifactsInput!$M$24-ArtifactsInput!$M$24)*CHOOSE(ArtifactsInput!$N$24+1,10,12,14,16,18,20)+IF(ArtifactsInput!$M$10,CHOOSE(ArtifactsInput!$N$10+1,15,18,21,24,27,30)*(IF(Inputs!$B$38="pvp",MIN(15,15)/15,IF(AND(Inputs!$B$38&lt;&gt;"pvp",Inputs!$B$43&gt;0),MIN(15,Inputs!$B$43)/(Inputs!$B$43),0))),0)))&gt;=100),CHOOSE(ArtifactsInput!$N$42+1,40,48,56,64,72,80),0))))/100)*((1+(((C2888=TRUE)*F2888)+((C2889=TRUE)*IF(Inputs!$B$38="pvp",F2889,(1-Summary!$B$11)*(F2889)+Summary!$B$11*(0)))+((C2890=TRUE)*F2890*IF(AND(Inputs!$B$38&lt;&gt;"pvp",Inputs!$B$43&gt;0),(((R2890-1)*(Skills!T15*(1+Inputs!$B$34/100))+MIN((Skills!T15*(1+Inputs!$B$34/100)),MAX(0,Inputs!$B$43-((R2890-1)*Skills!D15))))/Inputs!$B$43),IF(Inputs!$B$38="pvp",MIN((Skills!T15*(1+Inputs!$B$34/100)),15)/15,(Skills!T15*(1+Inputs!$B$34/100))/Skills!D15)))+((C2887=TRUE)*F2887)+((C2904=TRUE)*(F2904-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2884)</f>
        <v/>
      </c>
      <c r="L2884">
        <f>K2884*(MIN(Inputs!$B$22+((C2898=TRUE)*(F2898-Calc!F23)),(Inputs!$B$23+((C2903=TRUE)*(F2903-Calc!F28))+(IF(ArtifactsInput!$M$15,CHOOSE(ArtifactsInput!$N$15+1,25,30,35,40,45,50)/100*(Inputs!$B$11-Inputs!$B$11),0))))/100+(Inputs!$B$23+((C2903=TRUE)*(F2903-Calc!F28))+(IF(ArtifactsInput!$M$15,CHOOSE(ArtifactsInput!$N$15+1,25,30,35,40,45,50)/100*(Inputs!$B$11-Inputs!$B$11),0)))/100)/2</f>
        <v/>
      </c>
      <c r="M2884">
        <f>L2884*(1+(Inputs!$B$10+0+B2912+(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884">
        <f>L2884*(1-MIN((Inputs!$B$9+((C2894=TRUE)*(F2894-Calc!F19))+B2907+(ArtifactsInput!$M$24-ArtifactsInput!$M$24)*CHOOSE(ArtifactsInput!$N$24+1,10,12,14,16,18,20)+(IF(AND(ArtifactsInput!$M$42,((Inputs!$B$9+((C2894=TRUE)*(F2894-Calc!F19))+B2907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2884*(MIN((Inputs!$B$9+((C2894=TRUE)*(F2894-Calc!F19))+B2907+(ArtifactsInput!$M$24-ArtifactsInput!$M$24)*CHOOSE(ArtifactsInput!$N$24+1,10,12,14,16,18,20)+(IF(AND(ArtifactsInput!$M$42,((Inputs!$B$9+((C2894=TRUE)*(F2894-Calc!F19))+B2907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884">
        <f>(1-Summary!$B$11)*T2884+Summary!$B$11*V2884</f>
        <v/>
      </c>
      <c r="P2884">
        <f>IF(B2917=0,0,O2884/B2917)</f>
        <v/>
      </c>
      <c r="Q2884">
        <f>IFERROR(1/IF(Inputs!$B$38="pvp",15,MAX(0.1,Skills!D9-IF(Skills!E9=TRUE,0.5,0))),0)</f>
        <v/>
      </c>
      <c r="R2884">
        <f>IF(AND(Inputs!$B$38&lt;&gt;"pvp",Inputs!$B$43&gt;0),IF(MAX(0,Inputs!$B$43-B2914)&lt;=0,0,(INT(MAX(0,Inputs!$B$43-B2914)/IF(Inputs!$B$38="pvp",15,MAX(0.1,Skills!D9-IF(Skills!E9=TRUE,0.5,0))))+1)),0)</f>
        <v/>
      </c>
      <c r="S2884">
        <f>IFERROR((H2884*N2884*IF(AND(Inputs!$B$38&lt;&gt;"pvp",Inputs!$B$43&gt;0),((Skills!G9*((R2884-1)*IF(Skills!H9&gt;0,Skills!I9/Skills!H9,1)+IF(Skills!H9&gt;0,MIN(Skills!I9,MAX(0,MAX(0,Inputs!$B$43-B2914)-((R2884-1)*IF(Inputs!$B$38="pvp",15,MAX(0.1,Skills!D9-IF(Skills!E9=TRUE,0.5,0))))))/Skills!H9,1)))/Inputs!$B$43),G2884*Q2884))/N2884*IF(Inputs!$B$38="pvp",1,(1-Summary!$B$11)*1+Summary!$B$11*(MIN(Skills!R9,Inputs!$B$37))),0)</f>
        <v/>
      </c>
      <c r="T2884">
        <f>IF(C2884,(H2884*N2884*IF(AND(Inputs!$B$38&lt;&gt;"pvp",Inputs!$B$43&gt;0),((Skills!G9*((R2884-1)*IF(Skills!H9&gt;0,Skills!I9/Skills!H9,1)+IF(Skills!H9&gt;0,MIN(Skills!I9,MAX(0,MAX(0,Inputs!$B$43-B2914)-((R2884-1)*IF(Inputs!$B$38="pvp",15,MAX(0.1,Skills!D9-IF(Skills!E9=TRUE,0.5,0))))))/Skills!H9,1)))/Inputs!$B$43),G2884*Q2884))*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Hunt"),CHOOSE(ArtifactsInput!$N$35+1,15,18,21,24,27,30)*(1-EXP(-(0.2*B2909)*5)),0)+IF(AND(ArtifactsInput!$M$22,Inputs!$B$4&lt;&gt;"Chapter Hunt"),CHOOSE(ArtifactsInput!$N$22+1,10,12,14,16,18,20)*((0*(((0.15*B2909*5))^0/1)+1*(((0.15*B2909*5))^1/1)+2*(((0.15*B2909*5))^2/2)+3*(((0.15*B2909*5))^3/6)+4*(((0.15*B2909*5))^4/24)+5*(((0.15*B2909*5))^5/120))/((((0.15*B2909*5))^0/1)+(((0.15*B2909*5))^1/1)+(((0.15*B2909*5))^2/2)+(((0.15*B2909*5))^3/6)+(((0.15*B2909*5))^4/24)+(((0.15*B2909*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2884*(1-MIN(100,(Inputs!$B$9+((C2894=TRUE)*(F2894-Calc!F19))+B2907+(ArtifactsInput!$M$24-ArtifactsInput!$M$24)*CHOOSE(ArtifactsInput!$N$24+1,10,12,14,16,18,20)+(IF(AND(ArtifactsInput!$M$42,((Inputs!$B$9+((C2894=TRUE)*(F2894-Calc!F19))+B2907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2884*(MIN(100,(Inputs!$B$9+((C2894=TRUE)*(F2894-Calc!F19))+B2907+(ArtifactsInput!$M$24-ArtifactsInput!$M$24)*CHOOSE(ArtifactsInput!$N$24+1,10,12,14,16,18,20)+(IF(AND(ArtifactsInput!$M$42,((Inputs!$B$9+((C2894=TRUE)*(F2894-Calc!F19))+B2907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2884*(1-MIN(100,(Inputs!$B$9+((C2894=TRUE)*(F2894-Calc!F19))+B2907+(ArtifactsInput!$M$24-ArtifactsInput!$M$24)*CHOOSE(ArtifactsInput!$N$24+1,10,12,14,16,18,20)+(IF(AND(ArtifactsInput!$M$42,((Inputs!$B$9+((C2894=TRUE)*(F2894-Calc!F19))+B2907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2884*(MIN(100,(Inputs!$B$9+((C2894=TRUE)*(F2894-Calc!F19))+B2907+(ArtifactsInput!$M$24-ArtifactsInput!$M$24)*CHOOSE(ArtifactsInput!$N$24+1,10,12,14,16,18,20)+(IF(AND(ArtifactsInput!$M$42,((Inputs!$B$9+((C2894=TRUE)*(F2894-Calc!F19))+B2907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884">
        <f>IF(C2884,(H2884*N2884*IF(AND(Inputs!$B$38&lt;&gt;"pvp",Inputs!$B$43&gt;0),((Skills!G9*((R2884-1)*IF(Skills!H9&gt;0,Skills!I9/Skills!H9,1)+IF(Skills!H9&gt;0,MIN(Skills!I9,MAX(0,MAX(0,Inputs!$B$43-B2914)-((R2884-1)*IF(Inputs!$B$38="pvp",15,MAX(0.1,Skills!D9-IF(Skills!E9=TRUE,0.5,0))))))/Skills!H9,1)))/Inputs!$B$43),G2884*Q2884))*IF(Inputs!$B$38="pvp",1,(1+(Inputs!$B$21+Skills!Q9+(IF(ArtifactsInput!$M$33,CHOOSE(ArtifactsInput!$N$33+1,30,36,42,48,54,60),0))+(IF(AND(ArtifactsInput!$M$35,Inputs!$B$4&lt;&gt;"Chapter Hunt"),CHOOSE(ArtifactsInput!$N$35+1,15,18,21,24,27,30)*(1-EXP(-(0.2*B2909)*5)),0)+IF(AND(ArtifactsInput!$M$22,Inputs!$B$4&lt;&gt;"Chapter Hunt"),CHOOSE(ArtifactsInput!$N$22+1,10,12,14,16,18,20)*((0*(((0.15*B2909*5))^0/1)+1*(((0.15*B2909*5))^1/1)+2*(((0.15*B2909*5))^2/2)+3*(((0.15*B2909*5))^3/6)+4*(((0.15*B2909*5))^4/24)+5*(((0.15*B2909*5))^5/120))/((((0.15*B2909*5))^0/1)+(((0.15*B2909*5))^1/1)+(((0.15*B2909*5))^2/2)+(((0.15*B2909*5))^3/6)+(((0.15*B2909*5))^4/24)+(((0.15*B2909*5))^5/120)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885">
      <c r="A2885">
        <f>Skills!A10</f>
        <v/>
      </c>
      <c r="B2885">
        <f>Skills!B10</f>
        <v/>
      </c>
      <c r="C2885">
        <f>Inputs!$B$3&gt;=107</f>
        <v/>
      </c>
      <c r="D2885">
        <f>IF(Skills!C10=1,60+Inputs!$B$25+Inputs!$B$29,IF(Skills!C10=2,90+Inputs!$B$26+Inputs!$B$29,IF(Skills!C10=3,120+Inputs!$B$27+Inputs!$B$29,MAX(0,(Inputs!$B$3-100)*3)+Inputs!$B$28+Inputs!$B$29)))</f>
        <v/>
      </c>
      <c r="E2885">
        <f>INDEX(FactorTable!$B$2:$Y$301, MATCH(ROUND(MIN(300,MAX(1,D2885)),0), FactorTable!$A$2:$A$301,0), Skills!M10+1)</f>
        <v/>
      </c>
      <c r="F2885">
        <f>IF(Skills!N10=TRUE,(Skills!L10/10)*(E2885/1000),Skills!L10/10)+Skills!O10</f>
        <v/>
      </c>
      <c r="G2885">
        <f>Skills!G10*IF(Skills!H10&gt;0,Skills!I10/Skills!H10,1)</f>
        <v/>
      </c>
      <c r="H2885">
        <f>1-(1-Skills!J10/100)^Skills!K10</f>
        <v/>
      </c>
      <c r="I2885" t="inlineStr">
        <is>
          <t>1</t>
        </is>
      </c>
      <c r="J2885">
        <f>((Inputs!$B$6*(1+Inputs!$B$7/100))+(((Inputs!$B$12*(1+Inputs!$B$13/100))-(Inputs!$B$12*(1+Inputs!$B$13/100)))+0.25*(Inputs!$B$14-Inputs!$B$14))*(1+Inputs!$B$7/100))*(F2885/100)</f>
        <v/>
      </c>
      <c r="K2885">
        <f>J2885*(1+((Inputs!$B$12*(1+Inputs!$B$13/100))*0.01+Inputs!$B$14*0.0025)/100)*(1+Inputs!$B$15/100)*(1+Inputs!$B$16/100)*(5000/(6000+Inputs!$B$42*(1-(100*(1-(1-(Inputs!$B$19+0)/100)*(1-CHOOSE(ArtifactsInput!$N$40+1,5,6,7,8,9,10)/100)^(ArtifactsInput!$M$40-ArtifactsInput!$M$40)))/100)))*(1+(Inputs!$B$24+((C2899=TRUE)*(F2899-Calc!F24))+((C2900=TRUE)*(F2900-Calc!F25))+B2913)/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EMPOWERED_PIERCING_ARROW",Inputs!$B$17+((C2897=TRUE)*(F2897-Calc!F22))+(((IF(AND(ArtifactsInput!$M$42,((Inputs!$B$9+((C2894=TRUE)*(F2894-Calc!F19))+B2907+(ArtifactsInput!$M$24-ArtifactsInput!$M$24)*CHOOSE(ArtifactsInput!$N$24+1,10,12,14,16,18,20)+IF(ArtifactsInput!$M$10,CHOOSE(ArtifactsInput!$N$10+1,15,18,21,24,27,30)*(IF(Inputs!$B$38="pvp",MIN(15,15)/15,IF(AND(Inputs!$B$38&lt;&gt;"pvp",Inputs!$B$43&gt;0),MIN(15,Inputs!$B$43)/(Inputs!$B$43),0))),0)))&gt;=100),MIN(100,((Inputs!$B$9+((C2894=TRUE)*(F2894-Calc!F19))+B2907+(ArtifactsInput!$M$24-ArtifactsInput!$M$24)*CHOOSE(ArtifactsInput!$N$24+1,10,12,14,16,18,20)+IF(ArtifactsInput!$M$10,CHOOSE(ArtifactsInput!$N$10+1,15,18,21,24,27,30)*(IF(Inputs!$B$38="pvp",MIN(15,15)/15,IF(AND(Inputs!$B$38&lt;&gt;"pvp",Inputs!$B$43&gt;0),MIN(15,Inputs!$B$43)/(Inputs!$B$43),0))),0)))-100),0))*CHOOSE(ArtifactsInput!$N$42+1,0.6,0.72,0.84,0.96,1.08,1.2))),Inputs!$B$18+((C2902=TRUE)*(F2902-Calc!F27))+(IF(AND(ArtifactsInput!$M$42,((Inputs!$B$9+((C2894=TRUE)*(F2894-Calc!F19))+B2907+(ArtifactsInput!$M$24-ArtifactsInput!$M$24)*CHOOSE(ArtifactsInput!$N$24+1,10,12,14,16,18,20)+IF(ArtifactsInput!$M$10,CHOOSE(ArtifactsInput!$N$10+1,15,18,21,24,27,30)*(IF(Inputs!$B$38="pvp",MIN(15,15)/15,IF(AND(Inputs!$B$38&lt;&gt;"pvp",Inputs!$B$43&gt;0),MIN(15,Inputs!$B$43)/(Inputs!$B$43),0))),0)))&gt;=100),CHOOSE(ArtifactsInput!$N$42+1,40,48,56,64,72,80),0))))/100)*((1+(((C2888=TRUE)*F2888)+((C2889=TRUE)*IF(Inputs!$B$38="pvp",F2889,(1-Summary!$B$11)*(F2889)+Summary!$B$11*(0)))+((C2890=TRUE)*F2890*IF(AND(Inputs!$B$38&lt;&gt;"pvp",Inputs!$B$43&gt;0),(((R2890-1)*(Skills!T15*(1+Inputs!$B$34/100))+MIN((Skills!T15*(1+Inputs!$B$34/100)),MAX(0,Inputs!$B$43-((R2890-1)*Skills!D15))))/Inputs!$B$43),IF(Inputs!$B$38="pvp",MIN((Skills!T15*(1+Inputs!$B$34/100)),15)/15,(Skills!T15*(1+Inputs!$B$34/100))/Skills!D15)))+((C2887=TRUE)*F2887)+((C2904=TRUE)*(F2904-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2885)</f>
        <v/>
      </c>
      <c r="L2885">
        <f>K2885*(MIN(Inputs!$B$22+((C2898=TRUE)*(F2898-Calc!F23)),(Inputs!$B$23+((C2903=TRUE)*(F2903-Calc!F28))+(IF(ArtifactsInput!$M$15,CHOOSE(ArtifactsInput!$N$15+1,25,30,35,40,45,50)/100*(Inputs!$B$11-Inputs!$B$11),0))))/100+(Inputs!$B$23+((C2903=TRUE)*(F2903-Calc!F28))+(IF(ArtifactsInput!$M$15,CHOOSE(ArtifactsInput!$N$15+1,25,30,35,40,45,50)/100*(Inputs!$B$11-Inputs!$B$11),0)))/100)/2</f>
        <v/>
      </c>
      <c r="M2885">
        <f>L2885*(1+(Inputs!$B$10+0+B2912+(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885">
        <f>L2885*(1-MIN((Inputs!$B$9+((C2894=TRUE)*(F2894-Calc!F19))+B2907+(ArtifactsInput!$M$24-ArtifactsInput!$M$24)*CHOOSE(ArtifactsInput!$N$24+1,10,12,14,16,18,20)+(IF(AND(ArtifactsInput!$M$42,((Inputs!$B$9+((C2894=TRUE)*(F2894-Calc!F19))+B2907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2885*(MIN((Inputs!$B$9+((C2894=TRUE)*(F2894-Calc!F19))+B2907+(ArtifactsInput!$M$24-ArtifactsInput!$M$24)*CHOOSE(ArtifactsInput!$N$24+1,10,12,14,16,18,20)+(IF(AND(ArtifactsInput!$M$42,((Inputs!$B$9+((C2894=TRUE)*(F2894-Calc!F19))+B2907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885">
        <f>(1-Summary!$B$11)*T2885+Summary!$B$11*V2885</f>
        <v/>
      </c>
      <c r="P2885">
        <f>IF(B2917=0,0,O2885/B2917)</f>
        <v/>
      </c>
      <c r="Q2885" t="n">
        <v>0</v>
      </c>
      <c r="R2885" t="n">
        <v>0</v>
      </c>
      <c r="S2885" t="n">
        <v>0</v>
      </c>
      <c r="T2885">
        <f>IF(C2885,(0.15*SUMPRODUCT((Skills!U2:U29=TRUE)*(C2877:C2904=TRUE)*S2877:S2904)*Skills!G10*N2885)*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Hunt"),CHOOSE(ArtifactsInput!$N$35+1,15,18,21,24,27,30)*(1-EXP(-(0.2*B2909)*5)),0)+IF(AND(ArtifactsInput!$M$22,Inputs!$B$4&lt;&gt;"Chapter Hunt"),CHOOSE(ArtifactsInput!$N$22+1,10,12,14,16,18,20)*((0*(((0.15*B2909*5))^0/1)+1*(((0.15*B2909*5))^1/1)+2*(((0.15*B2909*5))^2/2)+3*(((0.15*B2909*5))^3/6)+4*(((0.15*B2909*5))^4/24)+5*(((0.15*B2909*5))^5/120))/((((0.15*B2909*5))^0/1)+(((0.15*B2909*5))^1/1)+(((0.15*B2909*5))^2/2)+(((0.15*B2909*5))^3/6)+(((0.15*B2909*5))^4/24)+(((0.15*B2909*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2885*(1-MIN(100,(Inputs!$B$9+((C2894=TRUE)*(F2894-Calc!F19))+B2907+(ArtifactsInput!$M$24-ArtifactsInput!$M$24)*CHOOSE(ArtifactsInput!$N$24+1,10,12,14,16,18,20)+(IF(AND(ArtifactsInput!$M$42,((Inputs!$B$9+((C2894=TRUE)*(F2894-Calc!F19))+B2907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2885*(MIN(100,(Inputs!$B$9+((C2894=TRUE)*(F2894-Calc!F19))+B2907+(ArtifactsInput!$M$24-ArtifactsInput!$M$24)*CHOOSE(ArtifactsInput!$N$24+1,10,12,14,16,18,20)+(IF(AND(ArtifactsInput!$M$42,((Inputs!$B$9+((C2894=TRUE)*(F2894-Calc!F19))+B2907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2885*(1-MIN(100,(Inputs!$B$9+((C2894=TRUE)*(F2894-Calc!F19))+B2907+(ArtifactsInput!$M$24-ArtifactsInput!$M$24)*CHOOSE(ArtifactsInput!$N$24+1,10,12,14,16,18,20)+(IF(AND(ArtifactsInput!$M$42,((Inputs!$B$9+((C2894=TRUE)*(F2894-Calc!F19))+B2907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2885*(MIN(100,(Inputs!$B$9+((C2894=TRUE)*(F2894-Calc!F19))+B2907+(ArtifactsInput!$M$24-ArtifactsInput!$M$24)*CHOOSE(ArtifactsInput!$N$24+1,10,12,14,16,18,20)+(IF(AND(ArtifactsInput!$M$42,((Inputs!$B$9+((C2894=TRUE)*(F2894-Calc!F19))+B2907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885">
        <f>IF(C2885,(0.15*SUMPRODUCT((Skills!U2:U29=TRUE)*(C2877:C2904=TRUE)*S2877:S2904)*Skills!G10*N2885)*IF(Inputs!$B$38="pvp",1,(1+(Inputs!$B$21+Skills!Q10+(IF(ArtifactsInput!$M$33,CHOOSE(ArtifactsInput!$N$33+1,30,36,42,48,54,60),0))+(IF(AND(ArtifactsInput!$M$35,Inputs!$B$4&lt;&gt;"Chapter Hunt"),CHOOSE(ArtifactsInput!$N$35+1,15,18,21,24,27,30)*(1-EXP(-(0.2*B2909)*5)),0)+IF(AND(ArtifactsInput!$M$22,Inputs!$B$4&lt;&gt;"Chapter Hunt"),CHOOSE(ArtifactsInput!$N$22+1,10,12,14,16,18,20)*((0*(((0.15*B2909*5))^0/1)+1*(((0.15*B2909*5))^1/1)+2*(((0.15*B2909*5))^2/2)+3*(((0.15*B2909*5))^3/6)+4*(((0.15*B2909*5))^4/24)+5*(((0.15*B2909*5))^5/120))/((((0.15*B2909*5))^0/1)+(((0.15*B2909*5))^1/1)+(((0.15*B2909*5))^2/2)+(((0.15*B2909*5))^3/6)+(((0.15*B2909*5))^4/24)+(((0.15*B2909*5))^5/120)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886">
      <c r="A2886">
        <f>Skills!A11</f>
        <v/>
      </c>
      <c r="B2886">
        <f>Skills!B11</f>
        <v/>
      </c>
      <c r="C2886">
        <f>Inputs!$B$3&gt;=110</f>
        <v/>
      </c>
      <c r="D2886">
        <f>IF(Skills!C11=1,60+Inputs!$B$25+Inputs!$B$29,IF(Skills!C11=2,90+Inputs!$B$26+Inputs!$B$29,IF(Skills!C11=3,120+Inputs!$B$27+Inputs!$B$29,MAX(0,(Inputs!$B$3-100)*3)+Inputs!$B$28+Inputs!$B$29)))</f>
        <v/>
      </c>
      <c r="E2886">
        <f>INDEX(FactorTable!$B$2:$Y$301, MATCH(ROUND(MIN(300,MAX(1,D2886)),0), FactorTable!$A$2:$A$301,0), Skills!M11+1)</f>
        <v/>
      </c>
      <c r="F2886">
        <f>IF(Skills!N11=TRUE,(Skills!L11/10)*(E2886/1000),Skills!L11/10)+Skills!O11</f>
        <v/>
      </c>
      <c r="G2886">
        <f>Skills!G11*IF(Skills!H11&gt;0,Skills!I11/Skills!H11,1)</f>
        <v/>
      </c>
      <c r="H2886">
        <f>1-(1-Skills!J11/100)^Skills!K11</f>
        <v/>
      </c>
      <c r="I2886" t="inlineStr">
        <is>
          <t>1</t>
        </is>
      </c>
      <c r="J2886">
        <f>((Inputs!$B$6*(1+Inputs!$B$7/100))+(((Inputs!$B$12*(1+Inputs!$B$13/100))-(Inputs!$B$12*(1+Inputs!$B$13/100)))+0.25*(Inputs!$B$14-Inputs!$B$14))*(1+Inputs!$B$7/100))*(F2886/100)</f>
        <v/>
      </c>
      <c r="K2886">
        <f>J2886*(1+((Inputs!$B$12*(1+Inputs!$B$13/100))*0.01+Inputs!$B$14*0.0025)/100)*(1+Inputs!$B$15/100)*(1+Inputs!$B$16/100)*(5000/(6000+Inputs!$B$42*(1-(100*(1-(1-(Inputs!$B$19+0)/100)*(1-CHOOSE(ArtifactsInput!$N$40+1,5,6,7,8,9,10)/100)^(ArtifactsInput!$M$40-ArtifactsInput!$M$40)))/100)))*(1+(Inputs!$B$24+((C2899=TRUE)*(F2899-Calc!F24))+((C2900=TRUE)*(F2900-Calc!F25))+B2913)/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11="EMPOWERED_PIERCING_ARROW",Inputs!$B$17+((C2897=TRUE)*(F2897-Calc!F22))+(((IF(AND(ArtifactsInput!$M$42,((Inputs!$B$9+((C2894=TRUE)*(F2894-Calc!F19))+B2907+(ArtifactsInput!$M$24-ArtifactsInput!$M$24)*CHOOSE(ArtifactsInput!$N$24+1,10,12,14,16,18,20)+IF(ArtifactsInput!$M$10,CHOOSE(ArtifactsInput!$N$10+1,15,18,21,24,27,30)*(IF(Inputs!$B$38="pvp",MIN(15,15)/15,IF(AND(Inputs!$B$38&lt;&gt;"pvp",Inputs!$B$43&gt;0),MIN(15,Inputs!$B$43)/(Inputs!$B$43),0))),0)))&gt;=100),MIN(100,((Inputs!$B$9+((C2894=TRUE)*(F2894-Calc!F19))+B2907+(ArtifactsInput!$M$24-ArtifactsInput!$M$24)*CHOOSE(ArtifactsInput!$N$24+1,10,12,14,16,18,20)+IF(ArtifactsInput!$M$10,CHOOSE(ArtifactsInput!$N$10+1,15,18,21,24,27,30)*(IF(Inputs!$B$38="pvp",MIN(15,15)/15,IF(AND(Inputs!$B$38&lt;&gt;"pvp",Inputs!$B$43&gt;0),MIN(15,Inputs!$B$43)/(Inputs!$B$43),0))),0)))-100),0))*CHOOSE(ArtifactsInput!$N$42+1,0.6,0.72,0.84,0.96,1.08,1.2))),Inputs!$B$18+((C2902=TRUE)*(F2902-Calc!F27))+(IF(AND(ArtifactsInput!$M$42,((Inputs!$B$9+((C2894=TRUE)*(F2894-Calc!F19))+B2907+(ArtifactsInput!$M$24-ArtifactsInput!$M$24)*CHOOSE(ArtifactsInput!$N$24+1,10,12,14,16,18,20)+IF(ArtifactsInput!$M$10,CHOOSE(ArtifactsInput!$N$10+1,15,18,21,24,27,30)*(IF(Inputs!$B$38="pvp",MIN(15,15)/15,IF(AND(Inputs!$B$38&lt;&gt;"pvp",Inputs!$B$43&gt;0),MIN(15,Inputs!$B$43)/(Inputs!$B$43),0))),0)))&gt;=100),CHOOSE(ArtifactsInput!$N$42+1,40,48,56,64,72,80),0))))/100)*((1+(((C2888=TRUE)*F2888)+((C2889=TRUE)*IF(Inputs!$B$38="pvp",F2889,(1-Summary!$B$11)*(F2889)+Summary!$B$11*(0)))+((C2890=TRUE)*F2890*IF(AND(Inputs!$B$38&lt;&gt;"pvp",Inputs!$B$43&gt;0),(((R2890-1)*(Skills!T15*(1+Inputs!$B$34/100))+MIN((Skills!T15*(1+Inputs!$B$34/100)),MAX(0,Inputs!$B$43-((R2890-1)*Skills!D15))))/Inputs!$B$43),IF(Inputs!$B$38="pvp",MIN((Skills!T15*(1+Inputs!$B$34/100)),15)/15,(Skills!T15*(1+Inputs!$B$34/100))/Skills!D15)))+((C2887=TRUE)*F2887)+((C2904=TRUE)*(F2904-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2886)</f>
        <v/>
      </c>
      <c r="L2886">
        <f>K2886*(MIN(Inputs!$B$22+((C2898=TRUE)*(F2898-Calc!F23)),(Inputs!$B$23+((C2903=TRUE)*(F2903-Calc!F28))+(IF(ArtifactsInput!$M$15,CHOOSE(ArtifactsInput!$N$15+1,25,30,35,40,45,50)/100*(Inputs!$B$11-Inputs!$B$11),0))))/100+(Inputs!$B$23+((C2903=TRUE)*(F2903-Calc!F28))+(IF(ArtifactsInput!$M$15,CHOOSE(ArtifactsInput!$N$15+1,25,30,35,40,45,50)/100*(Inputs!$B$11-Inputs!$B$11),0)))/100)/2</f>
        <v/>
      </c>
      <c r="M2886">
        <f>L2886*(1+(Inputs!$B$10+0+B2912+(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886">
        <f>L2886*(1-MIN((Inputs!$B$9+((C2894=TRUE)*(F2894-Calc!F19))+B2907+(ArtifactsInput!$M$24-ArtifactsInput!$M$24)*CHOOSE(ArtifactsInput!$N$24+1,10,12,14,16,18,20)+(IF(AND(ArtifactsInput!$M$42,((Inputs!$B$9+((C2894=TRUE)*(F2894-Calc!F19))+B2907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2886*(MIN((Inputs!$B$9+((C2894=TRUE)*(F2894-Calc!F19))+B2907+(ArtifactsInput!$M$24-ArtifactsInput!$M$24)*CHOOSE(ArtifactsInput!$N$24+1,10,12,14,16,18,20)+(IF(AND(ArtifactsInput!$M$42,((Inputs!$B$9+((C2894=TRUE)*(F2894-Calc!F19))+B2907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886">
        <f>(1-Summary!$B$11)*T2886+Summary!$B$11*V2886</f>
        <v/>
      </c>
      <c r="P2886">
        <f>IF(B2917=0,0,O2886/B2917)</f>
        <v/>
      </c>
      <c r="Q2886">
        <f>IFERROR(1/IF(Inputs!$B$38="pvp",15,MAX(0.1,Skills!D11-IF(Skills!E11=TRUE,0.5,0))),0)</f>
        <v/>
      </c>
      <c r="R2886">
        <f>IF(AND(Inputs!$B$38&lt;&gt;"pvp",Inputs!$B$43&gt;0),IF(MAX(0,Inputs!$B$43-B2914)&lt;=0,0,(INT(MAX(0,Inputs!$B$43-B2914)/IF(Inputs!$B$38="pvp",15,MAX(0.1,Skills!D11-IF(Skills!E11=TRUE,0.5,0))))+1)),0)</f>
        <v/>
      </c>
      <c r="S2886">
        <f>IFERROR((H2886*N2886*IF(AND(Inputs!$B$38&lt;&gt;"pvp",Inputs!$B$43&gt;0),((Skills!G11*((R2886-1)*IF(Skills!H11&gt;0,Skills!I11/Skills!H11,1)+IF(Skills!H11&gt;0,MIN(Skills!I11,MAX(0,MAX(0,Inputs!$B$43-B2914)-((R2886-1)*IF(Inputs!$B$38="pvp",15,MAX(0.1,Skills!D11-IF(Skills!E11=TRUE,0.5,0))))))/Skills!H11,1)))/Inputs!$B$43),G2886*Q2886))/N2886*IF(Inputs!$B$38="pvp",1,(1-Summary!$B$11)*1+Summary!$B$11*(MIN(Skills!R11,Inputs!$B$37))),0)</f>
        <v/>
      </c>
      <c r="T2886">
        <f>IF(C2886,(H2886*N2886*IF(AND(Inputs!$B$38&lt;&gt;"pvp",Inputs!$B$43&gt;0),((Skills!G11*((R2886-1)*IF(Skills!H11&gt;0,Skills!I11/Skills!H11,1)+IF(Skills!H11&gt;0,MIN(Skills!I11,MAX(0,MAX(0,Inputs!$B$43-B2914)-((R2886-1)*IF(Inputs!$B$38="pvp",15,MAX(0.1,Skills!D11-IF(Skills!E11=TRUE,0.5,0))))))/Skills!H11,1)))/Inputs!$B$43),G2886*Q2886))*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Hunt"),CHOOSE(ArtifactsInput!$N$35+1,15,18,21,24,27,30)*(1-EXP(-(0.2*B2909)*5)),0)+IF(AND(ArtifactsInput!$M$22,Inputs!$B$4&lt;&gt;"Chapter Hunt"),CHOOSE(ArtifactsInput!$N$22+1,10,12,14,16,18,20)*((0*(((0.15*B2909*5))^0/1)+1*(((0.15*B2909*5))^1/1)+2*(((0.15*B2909*5))^2/2)+3*(((0.15*B2909*5))^3/6)+4*(((0.15*B2909*5))^4/24)+5*(((0.15*B2909*5))^5/120))/((((0.15*B2909*5))^0/1)+(((0.15*B2909*5))^1/1)+(((0.15*B2909*5))^2/2)+(((0.15*B2909*5))^3/6)+(((0.15*B2909*5))^4/24)+(((0.15*B2909*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2886*(1-MIN(100,(Inputs!$B$9+((C2894=TRUE)*(F2894-Calc!F19))+B2907+(ArtifactsInput!$M$24-ArtifactsInput!$M$24)*CHOOSE(ArtifactsInput!$N$24+1,10,12,14,16,18,20)+(IF(AND(ArtifactsInput!$M$42,((Inputs!$B$9+((C2894=TRUE)*(F2894-Calc!F19))+B2907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2886*(MIN(100,(Inputs!$B$9+((C2894=TRUE)*(F2894-Calc!F19))+B2907+(ArtifactsInput!$M$24-ArtifactsInput!$M$24)*CHOOSE(ArtifactsInput!$N$24+1,10,12,14,16,18,20)+(IF(AND(ArtifactsInput!$M$42,((Inputs!$B$9+((C2894=TRUE)*(F2894-Calc!F19))+B2907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2886*(1-MIN(100,(Inputs!$B$9+((C2894=TRUE)*(F2894-Calc!F19))+B2907+(ArtifactsInput!$M$24-ArtifactsInput!$M$24)*CHOOSE(ArtifactsInput!$N$24+1,10,12,14,16,18,20)+(IF(AND(ArtifactsInput!$M$42,((Inputs!$B$9+((C2894=TRUE)*(F2894-Calc!F19))+B2907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2886*(MIN(100,(Inputs!$B$9+((C2894=TRUE)*(F2894-Calc!F19))+B2907+(ArtifactsInput!$M$24-ArtifactsInput!$M$24)*CHOOSE(ArtifactsInput!$N$24+1,10,12,14,16,18,20)+(IF(AND(ArtifactsInput!$M$42,((Inputs!$B$9+((C2894=TRUE)*(F2894-Calc!F19))+B2907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886">
        <f>IF(C2886,(H2886*N2886*IF(AND(Inputs!$B$38&lt;&gt;"pvp",Inputs!$B$43&gt;0),((Skills!G11*((R2886-1)*IF(Skills!H11&gt;0,Skills!I11/Skills!H11,1)+IF(Skills!H11&gt;0,MIN(Skills!I11,MAX(0,MAX(0,Inputs!$B$43-B2914)-((R2886-1)*IF(Inputs!$B$38="pvp",15,MAX(0.1,Skills!D11-IF(Skills!E11=TRUE,0.5,0))))))/Skills!H11,1)))/Inputs!$B$43),G2886*Q2886))*IF(Inputs!$B$38="pvp",1,(1+(Inputs!$B$21+Skills!Q11+(IF(ArtifactsInput!$M$33,CHOOSE(ArtifactsInput!$N$33+1,30,36,42,48,54,60),0))+(IF(AND(ArtifactsInput!$M$35,Inputs!$B$4&lt;&gt;"Chapter Hunt"),CHOOSE(ArtifactsInput!$N$35+1,15,18,21,24,27,30)*(1-EXP(-(0.2*B2909)*5)),0)+IF(AND(ArtifactsInput!$M$22,Inputs!$B$4&lt;&gt;"Chapter Hunt"),CHOOSE(ArtifactsInput!$N$22+1,10,12,14,16,18,20)*((0*(((0.15*B2909*5))^0/1)+1*(((0.15*B2909*5))^1/1)+2*(((0.15*B2909*5))^2/2)+3*(((0.15*B2909*5))^3/6)+4*(((0.15*B2909*5))^4/24)+5*(((0.15*B2909*5))^5/120))/((((0.15*B2909*5))^0/1)+(((0.15*B2909*5))^1/1)+(((0.15*B2909*5))^2/2)+(((0.15*B2909*5))^3/6)+(((0.15*B2909*5))^4/24)+(((0.15*B2909*5))^5/120))),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887">
      <c r="A2887">
        <f>Skills!A12</f>
        <v/>
      </c>
      <c r="B2887">
        <f>Skills!B12</f>
        <v/>
      </c>
      <c r="C2887">
        <f>Inputs!$B$3&gt;=60</f>
        <v/>
      </c>
      <c r="D2887">
        <f>IF(Skills!C12=1,60+Inputs!$B$25+Inputs!$B$29,IF(Skills!C12=2,90+Inputs!$B$26+Inputs!$B$29,IF(Skills!C12=3,120+Inputs!$B$27+Inputs!$B$29,MAX(0,(Inputs!$B$3-100)*3)+Inputs!$B$28+Inputs!$B$29)))</f>
        <v/>
      </c>
      <c r="E2887">
        <f>INDEX(FactorTable!$B$2:$Y$301, MATCH(ROUND(MIN(300,MAX(1,D2887)),0), FactorTable!$A$2:$A$301,0), Skills!M12+1)</f>
        <v/>
      </c>
      <c r="F2887">
        <f>IF(Skills!N12=TRUE,(Skills!L12/10)*(E2887/1000),Skills!L12/10)+Skills!O12</f>
        <v/>
      </c>
      <c r="G2887">
        <f>Skills!G12*IF(Skills!H12&gt;0,Skills!I12/Skills!H12,1)</f>
        <v/>
      </c>
      <c r="H2887">
        <f>1-(1-Skills!J12/100)^Skills!K12</f>
        <v/>
      </c>
      <c r="I2887" t="inlineStr">
        <is>
          <t>1</t>
        </is>
      </c>
      <c r="J2887" t="inlineStr"/>
      <c r="K2887" t="inlineStr"/>
      <c r="L2887" t="inlineStr"/>
      <c r="M2887" t="inlineStr"/>
      <c r="N2887" t="inlineStr"/>
      <c r="O2887">
        <f>(1-Summary!$B$11)*T2887+Summary!$B$11*V2887</f>
        <v/>
      </c>
      <c r="P2887">
        <f>IF(B2917=0,0,O2887/B2917)</f>
        <v/>
      </c>
      <c r="Q2887" t="n">
        <v>0</v>
      </c>
      <c r="R2887" t="n">
        <v>0</v>
      </c>
      <c r="S2887" t="n">
        <v>0</v>
      </c>
      <c r="T2887" t="n">
        <v>0</v>
      </c>
      <c r="V2887" t="n">
        <v>0</v>
      </c>
    </row>
    <row r="2888">
      <c r="A2888">
        <f>Skills!A13</f>
        <v/>
      </c>
      <c r="B2888">
        <f>Skills!B13</f>
        <v/>
      </c>
      <c r="C2888">
        <f>Inputs!$B$3&gt;=74</f>
        <v/>
      </c>
      <c r="D2888">
        <f>IF(Skills!C13=1,60+Inputs!$B$25+Inputs!$B$29,IF(Skills!C13=2,90+Inputs!$B$26+Inputs!$B$29,IF(Skills!C13=3,120+Inputs!$B$27+Inputs!$B$29,MAX(0,(Inputs!$B$3-100)*3)+Inputs!$B$28+Inputs!$B$29)))</f>
        <v/>
      </c>
      <c r="E2888">
        <f>INDEX(FactorTable!$B$2:$Y$301, MATCH(ROUND(MIN(300,MAX(1,D2888)),0), FactorTable!$A$2:$A$301,0), Skills!M13+1)</f>
        <v/>
      </c>
      <c r="F2888">
        <f>IF(Skills!N13=TRUE,(Skills!L13/10)*(E2888/1000),Skills!L13/10)+Skills!O13</f>
        <v/>
      </c>
      <c r="G2888">
        <f>Skills!G13*IF(Skills!H13&gt;0,Skills!I13/Skills!H13,1)</f>
        <v/>
      </c>
      <c r="H2888">
        <f>1-(1-Skills!J13/100)^Skills!K13</f>
        <v/>
      </c>
      <c r="I2888" t="inlineStr">
        <is>
          <t>1</t>
        </is>
      </c>
      <c r="J2888" t="inlineStr"/>
      <c r="K2888" t="inlineStr"/>
      <c r="L2888" t="inlineStr"/>
      <c r="M2888" t="inlineStr"/>
      <c r="N2888" t="inlineStr"/>
      <c r="O2888">
        <f>(1-Summary!$B$11)*T2888+Summary!$B$11*V2888</f>
        <v/>
      </c>
      <c r="P2888">
        <f>IF(B2917=0,0,O2888/B2917)</f>
        <v/>
      </c>
      <c r="Q2888" t="n">
        <v>0</v>
      </c>
      <c r="R2888" t="n">
        <v>0</v>
      </c>
      <c r="S2888" t="n">
        <v>0</v>
      </c>
      <c r="T2888" t="n">
        <v>0</v>
      </c>
      <c r="V2888" t="n">
        <v>0</v>
      </c>
    </row>
    <row r="2889">
      <c r="A2889">
        <f>Skills!A14</f>
        <v/>
      </c>
      <c r="B2889">
        <f>Skills!B14</f>
        <v/>
      </c>
      <c r="C2889">
        <f>Inputs!$B$3&gt;=74</f>
        <v/>
      </c>
      <c r="D2889">
        <f>IF(Skills!C14=1,60+Inputs!$B$25+Inputs!$B$29,IF(Skills!C14=2,90+Inputs!$B$26+Inputs!$B$29,IF(Skills!C14=3,120+Inputs!$B$27+Inputs!$B$29,MAX(0,(Inputs!$B$3-100)*3)+Inputs!$B$28+Inputs!$B$29)))</f>
        <v/>
      </c>
      <c r="E2889">
        <f>INDEX(FactorTable!$B$2:$Y$301, MATCH(ROUND(MIN(300,MAX(1,D2889)),0), FactorTable!$A$2:$A$301,0), Skills!M14+1)</f>
        <v/>
      </c>
      <c r="F2889">
        <f>IF(Skills!N14=TRUE,(Skills!L14/10)*(E2889/1000),Skills!L14/10)+Skills!O14</f>
        <v/>
      </c>
      <c r="G2889">
        <f>Skills!G14*IF(Skills!H14&gt;0,Skills!I14/Skills!H14,1)</f>
        <v/>
      </c>
      <c r="H2889">
        <f>1-(1-Skills!J14/100)^Skills!K14</f>
        <v/>
      </c>
      <c r="I2889" t="inlineStr">
        <is>
          <t>1</t>
        </is>
      </c>
      <c r="J2889" t="inlineStr"/>
      <c r="K2889" t="inlineStr"/>
      <c r="L2889" t="inlineStr"/>
      <c r="M2889" t="inlineStr"/>
      <c r="N2889" t="inlineStr"/>
      <c r="O2889">
        <f>(1-Summary!$B$11)*T2889+Summary!$B$11*V2889</f>
        <v/>
      </c>
      <c r="P2889">
        <f>IF(B2917=0,0,O2889/B2917)</f>
        <v/>
      </c>
      <c r="Q2889" t="n">
        <v>0</v>
      </c>
      <c r="R2889" t="n">
        <v>0</v>
      </c>
      <c r="S2889" t="n">
        <v>0</v>
      </c>
      <c r="T2889" t="n">
        <v>0</v>
      </c>
      <c r="V2889" t="n">
        <v>0</v>
      </c>
    </row>
    <row r="2890">
      <c r="A2890">
        <f>Skills!A15</f>
        <v/>
      </c>
      <c r="B2890">
        <f>Skills!B15</f>
        <v/>
      </c>
      <c r="C2890">
        <f>Inputs!$B$3&gt;=117</f>
        <v/>
      </c>
      <c r="D2890">
        <f>IF(Skills!C15=1,60+Inputs!$B$25+Inputs!$B$29,IF(Skills!C15=2,90+Inputs!$B$26+Inputs!$B$29,IF(Skills!C15=3,120+Inputs!$B$27+Inputs!$B$29,MAX(0,(Inputs!$B$3-100)*3)+Inputs!$B$28+Inputs!$B$29)))</f>
        <v/>
      </c>
      <c r="E2890">
        <f>INDEX(FactorTable!$B$2:$Y$301, MATCH(ROUND(MIN(300,MAX(1,D2890)),0), FactorTable!$A$2:$A$301,0), Skills!M15+1)</f>
        <v/>
      </c>
      <c r="F2890">
        <f>IF(Skills!N15=TRUE,(Skills!L15/10)*(E2890/1000),Skills!L15/10)+Skills!O15</f>
        <v/>
      </c>
      <c r="G2890">
        <f>Skills!G15*IF(Skills!H15&gt;0,Skills!I15/Skills!H15,1)</f>
        <v/>
      </c>
      <c r="H2890">
        <f>1-(1-Skills!J15/100)^Skills!K15</f>
        <v/>
      </c>
      <c r="I2890" t="inlineStr">
        <is>
          <t>1</t>
        </is>
      </c>
      <c r="J2890" t="inlineStr"/>
      <c r="K2890" t="inlineStr"/>
      <c r="L2890" t="inlineStr"/>
      <c r="M2890" t="inlineStr"/>
      <c r="N2890" t="inlineStr"/>
      <c r="O2890">
        <f>(1-Summary!$B$11)*T2890+Summary!$B$11*V2890</f>
        <v/>
      </c>
      <c r="P2890">
        <f>IF(B2917=0,0,O2890/B2917)</f>
        <v/>
      </c>
      <c r="Q2890">
        <f>IFERROR(1/IF(Inputs!$B$38="pvp",15,MAX(0.1,Skills!D15-IF(Skills!E15=TRUE,0.5,0))),0)</f>
        <v/>
      </c>
      <c r="R2890">
        <f>IF(AND(Inputs!$B$38&lt;&gt;"pvp",Inputs!$B$43&gt;0),IF(Inputs!$B$43&lt;=0,0,(INT(Inputs!$B$43/IF(Inputs!$B$38="pvp",15,MAX(0.1,Skills!D15-IF(Skills!E15=TRUE,0.5,0))))+1)),0)</f>
        <v/>
      </c>
      <c r="S2890" t="n">
        <v>0</v>
      </c>
      <c r="T2890" t="n">
        <v>0</v>
      </c>
      <c r="V2890" t="n">
        <v>0</v>
      </c>
    </row>
    <row r="2891">
      <c r="A2891">
        <f>Skills!A16</f>
        <v/>
      </c>
      <c r="B2891">
        <f>Skills!B16</f>
        <v/>
      </c>
      <c r="C2891">
        <f>Inputs!$B$3&gt;=115</f>
        <v/>
      </c>
      <c r="D2891">
        <f>IF(Skills!C16=1,60+Inputs!$B$25+Inputs!$B$29,IF(Skills!C16=2,90+Inputs!$B$26+Inputs!$B$29,IF(Skills!C16=3,120+Inputs!$B$27+Inputs!$B$29,MAX(0,(Inputs!$B$3-100)*3)+Inputs!$B$28+Inputs!$B$29)))</f>
        <v/>
      </c>
      <c r="E2891">
        <f>INDEX(FactorTable!$B$2:$Y$301, MATCH(ROUND(MIN(300,MAX(1,D2891)),0), FactorTable!$A$2:$A$301,0), Skills!M16+1)</f>
        <v/>
      </c>
      <c r="F2891">
        <f>IF(Skills!N16=TRUE,(Skills!L16/10)*(E2891/1000),Skills!L16/10)+Skills!O16</f>
        <v/>
      </c>
      <c r="G2891">
        <f>Skills!G16*IF(Skills!H16&gt;0,Skills!I16/Skills!H16,1)</f>
        <v/>
      </c>
      <c r="H2891">
        <f>1-(1-Skills!J16/100)^Skills!K16</f>
        <v/>
      </c>
      <c r="I2891" t="inlineStr">
        <is>
          <t>1</t>
        </is>
      </c>
      <c r="J2891" t="inlineStr"/>
      <c r="K2891" t="inlineStr"/>
      <c r="L2891" t="inlineStr"/>
      <c r="M2891" t="inlineStr"/>
      <c r="N2891" t="inlineStr"/>
      <c r="O2891">
        <f>(1-Summary!$B$11)*T2891+Summary!$B$11*V2891</f>
        <v/>
      </c>
      <c r="P2891">
        <f>IF(B2917=0,0,O2891/B2917)</f>
        <v/>
      </c>
      <c r="Q2891">
        <f>IFERROR(1/IF(Inputs!$B$38="pvp",15,MAX(0.1,Skills!D16-IF(Skills!E16=TRUE,0.5,0))),0)</f>
        <v/>
      </c>
      <c r="R2891">
        <f>IF(AND(Inputs!$B$38&lt;&gt;"pvp",Inputs!$B$43&gt;0),IF(Inputs!$B$43&lt;=0,0,(INT(Inputs!$B$43/IF(Inputs!$B$38="pvp",15,MAX(0.1,Skills!D16-IF(Skills!E16=TRUE,0.5,0))))+1)),0)</f>
        <v/>
      </c>
      <c r="S2891" t="n">
        <v>0</v>
      </c>
      <c r="T2891" t="n">
        <v>0</v>
      </c>
      <c r="V2891" t="n">
        <v>0</v>
      </c>
    </row>
    <row r="2892">
      <c r="A2892">
        <f>Skills!A17</f>
        <v/>
      </c>
      <c r="B2892">
        <f>Skills!B17</f>
        <v/>
      </c>
      <c r="C2892">
        <f>Inputs!$B$3&gt;=72</f>
        <v/>
      </c>
      <c r="D2892">
        <f>IF(Skills!C17=1,60+Inputs!$B$25+Inputs!$B$29,IF(Skills!C17=2,90+Inputs!$B$26+Inputs!$B$29,IF(Skills!C17=3,120+Inputs!$B$27+Inputs!$B$29,MAX(0,(Inputs!$B$3-100)*3)+Inputs!$B$28+Inputs!$B$29)))</f>
        <v/>
      </c>
      <c r="E2892">
        <f>INDEX(FactorTable!$B$2:$Y$301, MATCH(ROUND(MIN(300,MAX(1,D2892)),0), FactorTable!$A$2:$A$301,0), Skills!M17+1)</f>
        <v/>
      </c>
      <c r="F2892">
        <f>IF(Skills!N17=TRUE,(Skills!L17/10)*(E2892/1000),Skills!L17/10)+Skills!O17</f>
        <v/>
      </c>
      <c r="G2892">
        <f>Skills!G17*IF(Skills!H17&gt;0,Skills!I17/Skills!H17,1)</f>
        <v/>
      </c>
      <c r="H2892">
        <f>1-(1-Skills!J17/100)^Skills!K17</f>
        <v/>
      </c>
      <c r="I2892" t="inlineStr">
        <is>
          <t>1</t>
        </is>
      </c>
      <c r="J2892" t="inlineStr"/>
      <c r="K2892" t="inlineStr"/>
      <c r="L2892" t="inlineStr"/>
      <c r="M2892" t="inlineStr"/>
      <c r="N2892" t="inlineStr"/>
      <c r="O2892">
        <f>(1-Summary!$B$11)*T2892+Summary!$B$11*V2892</f>
        <v/>
      </c>
      <c r="P2892">
        <f>IF(B2917=0,0,O2892/B2917)</f>
        <v/>
      </c>
      <c r="Q2892" t="n">
        <v>0</v>
      </c>
      <c r="R2892" t="n">
        <v>0</v>
      </c>
      <c r="S2892" t="n">
        <v>0</v>
      </c>
      <c r="T2892" t="n">
        <v>0</v>
      </c>
      <c r="V2892" t="n">
        <v>0</v>
      </c>
    </row>
    <row r="2893">
      <c r="A2893">
        <f>Skills!A18</f>
        <v/>
      </c>
      <c r="B2893">
        <f>Skills!B18</f>
        <v/>
      </c>
      <c r="C2893">
        <f>TRUE</f>
        <v/>
      </c>
      <c r="D2893">
        <f>IF(Skills!C18=1,60+Inputs!$B$25+Inputs!$B$29,IF(Skills!C18=2,90+Inputs!$B$26+Inputs!$B$29,IF(Skills!C18=3,120+Inputs!$B$27+Inputs!$B$29,MAX(0,(Inputs!$B$3-100)*3)+Inputs!$B$28+Inputs!$B$29)))</f>
        <v/>
      </c>
      <c r="E2893">
        <f>INDEX(FactorTable!$B$2:$Y$301, MATCH(ROUND(MIN(300,MAX(1,D2893)),0), FactorTable!$A$2:$A$301,0), Skills!M18+1)</f>
        <v/>
      </c>
      <c r="F2893">
        <f>IF(Skills!N18=TRUE,(Skills!L18/10)*(E2893/1000),Skills!L18/10)+Skills!O18</f>
        <v/>
      </c>
      <c r="G2893">
        <f>Skills!G18*IF(Skills!H18&gt;0,Skills!I18/Skills!H18,1)</f>
        <v/>
      </c>
      <c r="H2893">
        <f>1-(1-Skills!J18/100)^Skills!K18</f>
        <v/>
      </c>
      <c r="I2893" t="inlineStr">
        <is>
          <t>1</t>
        </is>
      </c>
      <c r="J2893" t="inlineStr"/>
      <c r="K2893" t="inlineStr"/>
      <c r="L2893" t="inlineStr"/>
      <c r="M2893" t="inlineStr"/>
      <c r="N2893" t="inlineStr"/>
      <c r="O2893">
        <f>(1-Summary!$B$11)*T2893+Summary!$B$11*V2893</f>
        <v/>
      </c>
      <c r="P2893">
        <f>IF(B2917=0,0,O2893/B2917)</f>
        <v/>
      </c>
      <c r="Q2893">
        <f>IFERROR(1/IF(Inputs!$B$38="pvp",15,MAX(0.1,Skills!D18-IF(Skills!E18=TRUE,0.5,0))),0)</f>
        <v/>
      </c>
      <c r="R2893">
        <f>IF(AND(Inputs!$B$38&lt;&gt;"pvp",Inputs!$B$43&gt;0),IF(Inputs!$B$43&lt;=0,0,(INT(Inputs!$B$43/IF(Inputs!$B$38="pvp",15,MAX(0.1,Skills!D18-IF(Skills!E18=TRUE,0.5,0))))+1)),0)</f>
        <v/>
      </c>
      <c r="S2893" t="n">
        <v>0</v>
      </c>
      <c r="T2893" t="n">
        <v>0</v>
      </c>
      <c r="V2893" t="n">
        <v>0</v>
      </c>
    </row>
    <row r="2894">
      <c r="A2894">
        <f>Skills!A19</f>
        <v/>
      </c>
      <c r="B2894">
        <f>Skills!B19</f>
        <v/>
      </c>
      <c r="C2894">
        <f>Inputs!$B$3&gt;=15</f>
        <v/>
      </c>
      <c r="D2894">
        <f>IF(Skills!C19=1,60+Inputs!$B$25+Inputs!$B$29,IF(Skills!C19=2,90+Inputs!$B$26+Inputs!$B$29,IF(Skills!C19=3,120+Inputs!$B$27+Inputs!$B$29,MAX(0,(Inputs!$B$3-100)*3)+Inputs!$B$28+Inputs!$B$29)))</f>
        <v/>
      </c>
      <c r="E2894">
        <f>INDEX(FactorTable!$B$2:$Y$301, MATCH(ROUND(MIN(300,MAX(1,D2894)),0), FactorTable!$A$2:$A$301,0), Skills!M19+1)</f>
        <v/>
      </c>
      <c r="F2894">
        <f>IF(Skills!N19=TRUE,(Skills!L19/10)*(E2894/1000),Skills!L19/10)+Skills!O19</f>
        <v/>
      </c>
      <c r="G2894">
        <f>Skills!G19*IF(Skills!H19&gt;0,Skills!I19/Skills!H19,1)</f>
        <v/>
      </c>
      <c r="H2894">
        <f>1-(1-Skills!J19/100)^Skills!K19</f>
        <v/>
      </c>
      <c r="I2894" t="inlineStr">
        <is>
          <t>1</t>
        </is>
      </c>
      <c r="J2894" t="inlineStr"/>
      <c r="K2894" t="inlineStr"/>
      <c r="L2894" t="inlineStr"/>
      <c r="M2894" t="inlineStr"/>
      <c r="N2894" t="inlineStr"/>
      <c r="O2894">
        <f>(1-Summary!$B$11)*T2894+Summary!$B$11*V2894</f>
        <v/>
      </c>
      <c r="P2894">
        <f>IF(B2917=0,0,O2894/B2917)</f>
        <v/>
      </c>
      <c r="Q2894" t="n">
        <v>0</v>
      </c>
      <c r="R2894" t="n">
        <v>0</v>
      </c>
      <c r="S2894" t="n">
        <v>0</v>
      </c>
      <c r="T2894" t="n">
        <v>0</v>
      </c>
      <c r="V2894" t="n">
        <v>0</v>
      </c>
    </row>
    <row r="2895">
      <c r="A2895">
        <f>Skills!A20</f>
        <v/>
      </c>
      <c r="B2895">
        <f>Skills!B20</f>
        <v/>
      </c>
      <c r="C2895">
        <f>Inputs!$B$3&gt;=10</f>
        <v/>
      </c>
      <c r="D2895">
        <f>IF(Skills!C20=1,60+Inputs!$B$25+Inputs!$B$29,IF(Skills!C20=2,90+Inputs!$B$26+Inputs!$B$29,IF(Skills!C20=3,120+Inputs!$B$27+Inputs!$B$29,MAX(0,(Inputs!$B$3-100)*3)+Inputs!$B$28+Inputs!$B$29)))</f>
        <v/>
      </c>
      <c r="E2895">
        <f>INDEX(FactorTable!$B$2:$Y$301, MATCH(ROUND(MIN(300,MAX(1,D2895)),0), FactorTable!$A$2:$A$301,0), Skills!M20+1)</f>
        <v/>
      </c>
      <c r="F2895">
        <f>IF(Skills!N20=TRUE,(Skills!L20/10)*(E2895/1000),Skills!L20/10)+Skills!O20</f>
        <v/>
      </c>
      <c r="G2895">
        <f>Skills!G20*IF(Skills!H20&gt;0,Skills!I20/Skills!H20,1)</f>
        <v/>
      </c>
      <c r="H2895">
        <f>1-(1-Skills!J20/100)^Skills!K20</f>
        <v/>
      </c>
      <c r="I2895" t="inlineStr">
        <is>
          <t>1</t>
        </is>
      </c>
      <c r="J2895" t="inlineStr"/>
      <c r="K2895" t="inlineStr"/>
      <c r="L2895" t="inlineStr"/>
      <c r="M2895" t="inlineStr"/>
      <c r="N2895" t="inlineStr"/>
      <c r="O2895">
        <f>(1-Summary!$B$11)*T2895+Summary!$B$11*V2895</f>
        <v/>
      </c>
      <c r="P2895">
        <f>IF(B2917=0,0,O2895/B2917)</f>
        <v/>
      </c>
      <c r="Q2895" t="n">
        <v>0</v>
      </c>
      <c r="R2895" t="n">
        <v>0</v>
      </c>
      <c r="S2895" t="n">
        <v>0</v>
      </c>
      <c r="T2895" t="n">
        <v>0</v>
      </c>
      <c r="V2895" t="n">
        <v>0</v>
      </c>
    </row>
    <row r="2896">
      <c r="A2896">
        <f>Skills!A21</f>
        <v/>
      </c>
      <c r="B2896">
        <f>Skills!B21</f>
        <v/>
      </c>
      <c r="C2896">
        <f>Inputs!$B$3&gt;=33</f>
        <v/>
      </c>
      <c r="D2896">
        <f>IF(Skills!C21=1,60+Inputs!$B$25+Inputs!$B$29,IF(Skills!C21=2,90+Inputs!$B$26+Inputs!$B$29,IF(Skills!C21=3,120+Inputs!$B$27+Inputs!$B$29,MAX(0,(Inputs!$B$3-100)*3)+Inputs!$B$28+Inputs!$B$29)))</f>
        <v/>
      </c>
      <c r="E2896">
        <f>INDEX(FactorTable!$B$2:$Y$301, MATCH(ROUND(MIN(300,MAX(1,D2896)),0), FactorTable!$A$2:$A$301,0), Skills!M21+1)</f>
        <v/>
      </c>
      <c r="F2896">
        <f>IF(Skills!N21=TRUE,(Skills!L21/10)*(E2896/1000),Skills!L21/10)+Skills!O21</f>
        <v/>
      </c>
      <c r="G2896">
        <f>Skills!G21*IF(Skills!H21&gt;0,Skills!I21/Skills!H21,1)</f>
        <v/>
      </c>
      <c r="H2896">
        <f>1-(1-Skills!J21/100)^Skills!K21</f>
        <v/>
      </c>
      <c r="I2896" t="inlineStr">
        <is>
          <t>1</t>
        </is>
      </c>
      <c r="J2896" t="inlineStr"/>
      <c r="K2896" t="inlineStr"/>
      <c r="L2896" t="inlineStr"/>
      <c r="M2896" t="inlineStr"/>
      <c r="N2896" t="inlineStr"/>
      <c r="O2896">
        <f>(1-Summary!$B$11)*T2896+Summary!$B$11*V2896</f>
        <v/>
      </c>
      <c r="P2896">
        <f>IF(B2917=0,0,O2896/B2917)</f>
        <v/>
      </c>
      <c r="Q2896" t="n">
        <v>0</v>
      </c>
      <c r="R2896" t="n">
        <v>0</v>
      </c>
      <c r="S2896" t="n">
        <v>0</v>
      </c>
      <c r="T2896" t="n">
        <v>0</v>
      </c>
      <c r="V2896" t="n">
        <v>0</v>
      </c>
    </row>
    <row r="2897">
      <c r="A2897">
        <f>Skills!A22</f>
        <v/>
      </c>
      <c r="B2897">
        <f>Skills!B22</f>
        <v/>
      </c>
      <c r="C2897">
        <f>Inputs!$B$3&gt;=38</f>
        <v/>
      </c>
      <c r="D2897">
        <f>IF(Skills!C22=1,60+Inputs!$B$25+Inputs!$B$29,IF(Skills!C22=2,90+Inputs!$B$26+Inputs!$B$29,IF(Skills!C22=3,120+Inputs!$B$27+Inputs!$B$29,MAX(0,(Inputs!$B$3-100)*3)+Inputs!$B$28+Inputs!$B$29)))</f>
        <v/>
      </c>
      <c r="E2897">
        <f>INDEX(FactorTable!$B$2:$Y$301, MATCH(ROUND(MIN(300,MAX(1,D2897)),0), FactorTable!$A$2:$A$301,0), Skills!M22+1)</f>
        <v/>
      </c>
      <c r="F2897">
        <f>IF(Skills!N22=TRUE,(Skills!L22/10)*(E2897/1000),Skills!L22/10)+Skills!O22</f>
        <v/>
      </c>
      <c r="G2897">
        <f>Skills!G22*IF(Skills!H22&gt;0,Skills!I22/Skills!H22,1)</f>
        <v/>
      </c>
      <c r="H2897">
        <f>1-(1-Skills!J22/100)^Skills!K22</f>
        <v/>
      </c>
      <c r="I2897" t="inlineStr">
        <is>
          <t>1</t>
        </is>
      </c>
      <c r="J2897" t="inlineStr"/>
      <c r="K2897" t="inlineStr"/>
      <c r="L2897" t="inlineStr"/>
      <c r="M2897" t="inlineStr"/>
      <c r="N2897" t="inlineStr"/>
      <c r="O2897">
        <f>(1-Summary!$B$11)*T2897+Summary!$B$11*V2897</f>
        <v/>
      </c>
      <c r="P2897">
        <f>IF(B2917=0,0,O2897/B2917)</f>
        <v/>
      </c>
      <c r="Q2897" t="n">
        <v>0</v>
      </c>
      <c r="R2897" t="n">
        <v>0</v>
      </c>
      <c r="S2897" t="n">
        <v>0</v>
      </c>
      <c r="T2897" t="n">
        <v>0</v>
      </c>
      <c r="V2897" t="n">
        <v>0</v>
      </c>
    </row>
    <row r="2898">
      <c r="A2898">
        <f>Skills!A23</f>
        <v/>
      </c>
      <c r="B2898">
        <f>Skills!B23</f>
        <v/>
      </c>
      <c r="C2898">
        <f>Inputs!$B$3&gt;=43</f>
        <v/>
      </c>
      <c r="D2898">
        <f>IF(Skills!C23=1,60+Inputs!$B$25+Inputs!$B$29,IF(Skills!C23=2,90+Inputs!$B$26+Inputs!$B$29,IF(Skills!C23=3,120+Inputs!$B$27+Inputs!$B$29,MAX(0,(Inputs!$B$3-100)*3)+Inputs!$B$28+Inputs!$B$29)))</f>
        <v/>
      </c>
      <c r="E2898">
        <f>INDEX(FactorTable!$B$2:$Y$301, MATCH(ROUND(MIN(300,MAX(1,D2898)),0), FactorTable!$A$2:$A$301,0), Skills!M23+1)</f>
        <v/>
      </c>
      <c r="F2898">
        <f>IF(Skills!N23=TRUE,(Skills!L23/10)*(E2898/1000),Skills!L23/10)+Skills!O23</f>
        <v/>
      </c>
      <c r="G2898">
        <f>Skills!G23*IF(Skills!H23&gt;0,Skills!I23/Skills!H23,1)</f>
        <v/>
      </c>
      <c r="H2898">
        <f>1-(1-Skills!J23/100)^Skills!K23</f>
        <v/>
      </c>
      <c r="I2898" t="inlineStr">
        <is>
          <t>1</t>
        </is>
      </c>
      <c r="J2898" t="inlineStr"/>
      <c r="K2898" t="inlineStr"/>
      <c r="L2898" t="inlineStr"/>
      <c r="M2898" t="inlineStr"/>
      <c r="N2898" t="inlineStr"/>
      <c r="O2898">
        <f>(1-Summary!$B$11)*T2898+Summary!$B$11*V2898</f>
        <v/>
      </c>
      <c r="P2898">
        <f>IF(B2917=0,0,O2898/B2917)</f>
        <v/>
      </c>
      <c r="Q2898" t="n">
        <v>0</v>
      </c>
      <c r="R2898" t="n">
        <v>0</v>
      </c>
      <c r="S2898" t="n">
        <v>0</v>
      </c>
      <c r="T2898" t="n">
        <v>0</v>
      </c>
      <c r="V2898" t="n">
        <v>0</v>
      </c>
    </row>
    <row r="2899">
      <c r="A2899">
        <f>Skills!A24</f>
        <v/>
      </c>
      <c r="B2899">
        <f>Skills!B24</f>
        <v/>
      </c>
      <c r="C2899">
        <f>Inputs!$B$3&gt;=75</f>
        <v/>
      </c>
      <c r="D2899">
        <f>IF(Skills!C24=1,60+Inputs!$B$25+Inputs!$B$29,IF(Skills!C24=2,90+Inputs!$B$26+Inputs!$B$29,IF(Skills!C24=3,120+Inputs!$B$27+Inputs!$B$29,MAX(0,(Inputs!$B$3-100)*3)+Inputs!$B$28+Inputs!$B$29)))</f>
        <v/>
      </c>
      <c r="E2899">
        <f>INDEX(FactorTable!$B$2:$Y$301, MATCH(ROUND(MIN(300,MAX(1,D2899)),0), FactorTable!$A$2:$A$301,0), Skills!M24+1)</f>
        <v/>
      </c>
      <c r="F2899">
        <f>IF(Skills!N24=TRUE,(Skills!L24/10)*(E2899/1000),Skills!L24/10)+Skills!O24</f>
        <v/>
      </c>
      <c r="G2899">
        <f>Skills!G24*IF(Skills!H24&gt;0,Skills!I24/Skills!H24,1)</f>
        <v/>
      </c>
      <c r="H2899">
        <f>1-(1-Skills!J24/100)^Skills!K24</f>
        <v/>
      </c>
      <c r="I2899" t="inlineStr">
        <is>
          <t>1</t>
        </is>
      </c>
      <c r="J2899" t="inlineStr"/>
      <c r="K2899" t="inlineStr"/>
      <c r="L2899" t="inlineStr"/>
      <c r="M2899" t="inlineStr"/>
      <c r="N2899" t="inlineStr"/>
      <c r="O2899">
        <f>(1-Summary!$B$11)*T2899+Summary!$B$11*V2899</f>
        <v/>
      </c>
      <c r="P2899">
        <f>IF(B2917=0,0,O2899/B2917)</f>
        <v/>
      </c>
      <c r="Q2899" t="n">
        <v>0</v>
      </c>
      <c r="R2899" t="n">
        <v>0</v>
      </c>
      <c r="S2899" t="n">
        <v>0</v>
      </c>
      <c r="T2899" t="n">
        <v>0</v>
      </c>
      <c r="V2899" t="n">
        <v>0</v>
      </c>
    </row>
    <row r="2900">
      <c r="A2900">
        <f>Skills!A25</f>
        <v/>
      </c>
      <c r="B2900">
        <f>Skills!B25</f>
        <v/>
      </c>
      <c r="C2900">
        <f>Inputs!$B$3&gt;=125</f>
        <v/>
      </c>
      <c r="D2900">
        <f>IF(Skills!C25=1,60+Inputs!$B$25+Inputs!$B$29,IF(Skills!C25=2,90+Inputs!$B$26+Inputs!$B$29,IF(Skills!C25=3,120+Inputs!$B$27+Inputs!$B$29,MAX(0,(Inputs!$B$3-100)*3)+Inputs!$B$28+Inputs!$B$29)))</f>
        <v/>
      </c>
      <c r="E2900">
        <f>INDEX(FactorTable!$B$2:$Y$301, MATCH(ROUND(MIN(300,MAX(1,D2900)),0), FactorTable!$A$2:$A$301,0), Skills!M25+1)</f>
        <v/>
      </c>
      <c r="F2900">
        <f>IF(Skills!N25=TRUE,(Skills!L25/10)*(E2900/1000),Skills!L25/10)+Skills!O25</f>
        <v/>
      </c>
      <c r="G2900">
        <f>Skills!G25*IF(Skills!H25&gt;0,Skills!I25/Skills!H25,1)</f>
        <v/>
      </c>
      <c r="H2900">
        <f>1-(1-Skills!J25/100)^Skills!K25</f>
        <v/>
      </c>
      <c r="I2900" t="inlineStr">
        <is>
          <t>1</t>
        </is>
      </c>
      <c r="J2900" t="inlineStr"/>
      <c r="K2900" t="inlineStr"/>
      <c r="L2900" t="inlineStr"/>
      <c r="M2900" t="inlineStr"/>
      <c r="N2900" t="inlineStr"/>
      <c r="O2900">
        <f>(1-Summary!$B$11)*T2900+Summary!$B$11*V2900</f>
        <v/>
      </c>
      <c r="P2900">
        <f>IF(B2917=0,0,O2900/B2917)</f>
        <v/>
      </c>
      <c r="Q2900" t="n">
        <v>0</v>
      </c>
      <c r="R2900" t="n">
        <v>0</v>
      </c>
      <c r="S2900" t="n">
        <v>0</v>
      </c>
      <c r="T2900" t="n">
        <v>0</v>
      </c>
      <c r="V2900" t="n">
        <v>0</v>
      </c>
    </row>
    <row r="2901">
      <c r="A2901">
        <f>Skills!A26</f>
        <v/>
      </c>
      <c r="B2901">
        <f>Skills!B26</f>
        <v/>
      </c>
      <c r="C2901">
        <f>Inputs!$B$3&gt;=125</f>
        <v/>
      </c>
      <c r="D2901">
        <f>IF(Skills!C26=1,60+Inputs!$B$25+Inputs!$B$29,IF(Skills!C26=2,90+Inputs!$B$26+Inputs!$B$29,IF(Skills!C26=3,120+Inputs!$B$27+Inputs!$B$29,MAX(0,(Inputs!$B$3-100)*3)+Inputs!$B$28+Inputs!$B$29)))</f>
        <v/>
      </c>
      <c r="E2901">
        <f>INDEX(FactorTable!$B$2:$Y$301, MATCH(ROUND(MIN(300,MAX(1,D2901)),0), FactorTable!$A$2:$A$301,0), Skills!M26+1)</f>
        <v/>
      </c>
      <c r="F2901">
        <f>IF(Skills!N26=TRUE,(Skills!L26/10)*(E2901/1000),Skills!L26/10)+Skills!O26</f>
        <v/>
      </c>
      <c r="G2901">
        <f>Skills!G26*IF(Skills!H26&gt;0,Skills!I26/Skills!H26,1)</f>
        <v/>
      </c>
      <c r="H2901">
        <f>1-(1-Skills!J26/100)^Skills!K26</f>
        <v/>
      </c>
      <c r="I2901" t="inlineStr">
        <is>
          <t>1</t>
        </is>
      </c>
      <c r="J2901" t="inlineStr"/>
      <c r="K2901" t="inlineStr"/>
      <c r="L2901" t="inlineStr"/>
      <c r="M2901" t="inlineStr"/>
      <c r="N2901" t="inlineStr"/>
      <c r="O2901">
        <f>(1-Summary!$B$11)*T2901+Summary!$B$11*V2901</f>
        <v/>
      </c>
      <c r="P2901">
        <f>IF(B2917=0,0,O2901/B2917)</f>
        <v/>
      </c>
      <c r="Q2901" t="n">
        <v>0</v>
      </c>
      <c r="R2901" t="n">
        <v>0</v>
      </c>
      <c r="S2901" t="n">
        <v>0</v>
      </c>
      <c r="T2901" t="n">
        <v>0</v>
      </c>
      <c r="V2901" t="n">
        <v>0</v>
      </c>
    </row>
    <row r="2902">
      <c r="A2902">
        <f>Skills!A27</f>
        <v/>
      </c>
      <c r="B2902">
        <f>Skills!B27</f>
        <v/>
      </c>
      <c r="C2902">
        <f>Inputs!$B$3&gt;=120</f>
        <v/>
      </c>
      <c r="D2902">
        <f>IF(Skills!C27=1,60+Inputs!$B$25+Inputs!$B$29,IF(Skills!C27=2,90+Inputs!$B$26+Inputs!$B$29,IF(Skills!C27=3,120+Inputs!$B$27+Inputs!$B$29,MAX(0,(Inputs!$B$3-100)*3)+Inputs!$B$28+Inputs!$B$29)))</f>
        <v/>
      </c>
      <c r="E2902">
        <f>INDEX(FactorTable!$B$2:$Y$301, MATCH(ROUND(MIN(300,MAX(1,D2902)),0), FactorTable!$A$2:$A$301,0), Skills!M27+1)</f>
        <v/>
      </c>
      <c r="F2902">
        <f>IF(Skills!N27=TRUE,(Skills!L27/10)*(E2902/1000),Skills!L27/10)+Skills!O27</f>
        <v/>
      </c>
      <c r="G2902">
        <f>Skills!G27*IF(Skills!H27&gt;0,Skills!I27/Skills!H27,1)</f>
        <v/>
      </c>
      <c r="H2902">
        <f>1-(1-Skills!J27/100)^Skills!K27</f>
        <v/>
      </c>
      <c r="I2902" t="inlineStr">
        <is>
          <t>1</t>
        </is>
      </c>
      <c r="J2902" t="inlineStr"/>
      <c r="K2902" t="inlineStr"/>
      <c r="L2902" t="inlineStr"/>
      <c r="M2902" t="inlineStr"/>
      <c r="N2902" t="inlineStr"/>
      <c r="O2902">
        <f>(1-Summary!$B$11)*T2902+Summary!$B$11*V2902</f>
        <v/>
      </c>
      <c r="P2902">
        <f>IF(B2917=0,0,O2902/B2917)</f>
        <v/>
      </c>
      <c r="Q2902" t="n">
        <v>0</v>
      </c>
      <c r="R2902" t="n">
        <v>0</v>
      </c>
      <c r="S2902" t="n">
        <v>0</v>
      </c>
      <c r="T2902" t="n">
        <v>0</v>
      </c>
      <c r="V2902" t="n">
        <v>0</v>
      </c>
    </row>
    <row r="2903">
      <c r="A2903">
        <f>Skills!A28</f>
        <v/>
      </c>
      <c r="B2903">
        <f>Skills!B28</f>
        <v/>
      </c>
      <c r="C2903">
        <f>Inputs!$B$3&gt;=120</f>
        <v/>
      </c>
      <c r="D2903">
        <f>IF(Skills!C28=1,60+Inputs!$B$25+Inputs!$B$29,IF(Skills!C28=2,90+Inputs!$B$26+Inputs!$B$29,IF(Skills!C28=3,120+Inputs!$B$27+Inputs!$B$29,MAX(0,(Inputs!$B$3-100)*3)+Inputs!$B$28+Inputs!$B$29)))</f>
        <v/>
      </c>
      <c r="E2903">
        <f>INDEX(FactorTable!$B$2:$Y$301, MATCH(ROUND(MIN(300,MAX(1,D2903)),0), FactorTable!$A$2:$A$301,0), Skills!M28+1)</f>
        <v/>
      </c>
      <c r="F2903">
        <f>IF(Skills!N28=TRUE,(Skills!L28/10)*(E2903/1000),Skills!L28/10)+Skills!O28</f>
        <v/>
      </c>
      <c r="G2903">
        <f>Skills!G28*IF(Skills!H28&gt;0,Skills!I28/Skills!H28,1)</f>
        <v/>
      </c>
      <c r="H2903">
        <f>1-(1-Skills!J28/100)^Skills!K28</f>
        <v/>
      </c>
      <c r="I2903" t="inlineStr">
        <is>
          <t>1</t>
        </is>
      </c>
      <c r="J2903" t="inlineStr"/>
      <c r="K2903" t="inlineStr"/>
      <c r="L2903" t="inlineStr"/>
      <c r="M2903" t="inlineStr"/>
      <c r="N2903" t="inlineStr"/>
      <c r="O2903">
        <f>(1-Summary!$B$11)*T2903+Summary!$B$11*V2903</f>
        <v/>
      </c>
      <c r="P2903">
        <f>IF(B2917=0,0,O2903/B2917)</f>
        <v/>
      </c>
      <c r="Q2903" t="n">
        <v>0</v>
      </c>
      <c r="R2903" t="n">
        <v>0</v>
      </c>
      <c r="S2903" t="n">
        <v>0</v>
      </c>
      <c r="T2903" t="n">
        <v>0</v>
      </c>
      <c r="V2903" t="n">
        <v>0</v>
      </c>
    </row>
    <row r="2904">
      <c r="A2904">
        <f>Skills!A29</f>
        <v/>
      </c>
      <c r="B2904">
        <f>Skills!B29</f>
        <v/>
      </c>
      <c r="C2904">
        <f>Inputs!$B$3&gt;=45</f>
        <v/>
      </c>
      <c r="D2904">
        <f>IF(Skills!C29=1,60+Inputs!$B$25+Inputs!$B$29,IF(Skills!C29=2,90+Inputs!$B$26+Inputs!$B$29,IF(Skills!C29=3,120+Inputs!$B$27+Inputs!$B$29,MAX(0,(Inputs!$B$3-100)*3)+Inputs!$B$28+Inputs!$B$29)))</f>
        <v/>
      </c>
      <c r="E2904">
        <f>INDEX(FactorTable!$B$2:$Y$301, MATCH(ROUND(MIN(300,MAX(1,D2904)),0), FactorTable!$A$2:$A$301,0), Skills!M29+1)</f>
        <v/>
      </c>
      <c r="F2904">
        <f>IF(Skills!N29=TRUE,(Skills!L29/10)*(E2904/1000),Skills!L29/10)+Skills!O29</f>
        <v/>
      </c>
      <c r="G2904">
        <f>Skills!G29*IF(Skills!H29&gt;0,Skills!I29/Skills!H29,1)</f>
        <v/>
      </c>
      <c r="H2904">
        <f>1-(1-Skills!J29/100)^Skills!K29</f>
        <v/>
      </c>
      <c r="I2904" t="inlineStr">
        <is>
          <t>1</t>
        </is>
      </c>
      <c r="J2904" t="inlineStr"/>
      <c r="K2904" t="inlineStr"/>
      <c r="L2904" t="inlineStr"/>
      <c r="M2904" t="inlineStr"/>
      <c r="N2904" t="inlineStr"/>
      <c r="O2904">
        <f>(1-Summary!$B$11)*T2904+Summary!$B$11*V2904</f>
        <v/>
      </c>
      <c r="P2904">
        <f>IF(B2917=0,0,O2904/B2917)</f>
        <v/>
      </c>
      <c r="Q2904" t="n">
        <v>0</v>
      </c>
      <c r="R2904" t="n">
        <v>0</v>
      </c>
      <c r="S2904" t="n">
        <v>0</v>
      </c>
      <c r="T2904" t="n">
        <v>0</v>
      </c>
      <c r="V2904" t="n">
        <v>0</v>
      </c>
    </row>
    <row r="2906">
      <c r="A2906" t="inlineStr">
        <is>
          <t>Attack% Bucket Multiplier</t>
        </is>
      </c>
      <c r="B2906">
        <f>(1+(((C2888=TRUE)*F2888)+((C2889=TRUE)*IF(Inputs!$B$38="pvp",F2889,(1-Summary!$B$11)*(F2889)+Summary!$B$11*(0)))+((C2890=TRUE)*F2890*IF(AND(Inputs!$B$38&lt;&gt;"pvp",Inputs!$B$43&gt;0),(((R2890-1)*(Skills!T15*(1+Inputs!$B$34/100))+MIN((Skills!T15*(1+Inputs!$B$34/100)),MAX(0,Inputs!$B$43-((R2890-1)*Skills!D15))))/Inputs!$B$43),IF(Inputs!$B$38="pvp",MIN((Skills!T15*(1+Inputs!$B$34/100)),15)/15,(Skills!T15*(1+Inputs!$B$34/100))/Skills!D15)))+((C2887=TRUE)*F2887)+((C2904=TRUE)*(F2904-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2907">
      <c r="A2907" t="inlineStr">
        <is>
          <t>Global Crit Rate Bonus %</t>
        </is>
      </c>
      <c r="B2907">
        <f>(C2891=TRUE)*20*IF(AND(Inputs!$B$38&lt;&gt;"pvp",Inputs!$B$43&gt;0),(((R2891-1)*(Skills!T16*(1+Inputs!$B$34/100))+MIN((Skills!T16*(1+Inputs!$B$34/100)),MAX(0,Inputs!$B$43-((R2891-1)*Skills!D16))))/Inputs!$B$43),IF(Inputs!$B$38="pvp",MIN((Skills!T16*(1+Inputs!$B$34/100)),15)/15,(Skills!T16*(1+Inputs!$B$34/100))/Skills!D16))</f>
        <v/>
      </c>
    </row>
    <row r="2908">
      <c r="A2908" t="inlineStr">
        <is>
          <t>Attack Speed Buff Bonus %</t>
        </is>
      </c>
      <c r="B2908">
        <f>((C2893=TRUE)*F2893*IF(AND(Inputs!$B$38&lt;&gt;"pvp",Inputs!$B$43&gt;0),(((R2893-1)*(Skills!T18*(1+Inputs!$B$34/100))+MIN((Skills!T18*(1+Inputs!$B$34/100)),MAX(0,Inputs!$B$43-((R2893-1)*Skills!D18))))/Inputs!$B$43),IF(Inputs!$B$38="pvp",MIN((Skills!T18*(1+Inputs!$B$34/100)),15)/15,(Skills!T18*(1+Inputs!$B$34/100))/Skills!D18)))</f>
        <v/>
      </c>
    </row>
    <row r="2909">
      <c r="A2909" t="inlineStr">
        <is>
          <t>Actions Per Second</t>
        </is>
      </c>
      <c r="B2909">
        <f>1+MIN(150,150*(1-(1-(Inputs!$B$11+((C2895=TRUE)*(F2895-Calc!F20))+((C2896=TRUE)*(F2896-Calc!F21)))/150)*(1-B2908/150)))/100</f>
        <v/>
      </c>
    </row>
    <row r="2910">
      <c r="A2910" t="inlineStr">
        <is>
          <t>Skill + Buff Cast Rate</t>
        </is>
      </c>
      <c r="B2910">
        <f>IF(AND(Inputs!$B$38&lt;&gt;"pvp",Inputs!$B$43&gt;0),SUMPRODUCT((Skills!E2:E29=TRUE)*(C2877:C2904=TRUE)*R2877:R2904*Skills!F2:F29)/Inputs!$B$43,SUMPRODUCT((Skills!E2:E29=TRUE)*(C2877:C2904=TRUE)*Q2877:Q2904*Skills!F2:F29))</f>
        <v/>
      </c>
    </row>
    <row r="2911">
      <c r="A2911" t="inlineStr">
        <is>
          <t>Empowered Piercing Arrow Casts Per Second</t>
        </is>
      </c>
      <c r="B2911">
        <f>MAX(0,B2909-B2910)</f>
        <v/>
      </c>
    </row>
    <row r="2912">
      <c r="A2912" t="inlineStr">
        <is>
          <t>Global Critical Damage Bonus % (Sharp Eyes)</t>
        </is>
      </c>
      <c r="B2912">
        <f>(C2891=TRUE)*F2891*IF(AND(Inputs!$B$38&lt;&gt;"pvp",Inputs!$B$43&gt;0),(((R2891-1)*(Skills!T16*(1+Inputs!$B$34/100))+MIN((Skills!T16*(1+Inputs!$B$34/100)),MAX(0,Inputs!$B$43-((R2891-1)*Skills!D16))))/Inputs!$B$43),IF(Inputs!$B$38="pvp",MIN((Skills!T16*(1+Inputs!$B$34/100)),15)/15,(Skills!T16*(1+Inputs!$B$34/100))/Skills!D16))</f>
        <v/>
      </c>
    </row>
    <row r="2913">
      <c r="A2913" t="inlineStr">
        <is>
          <t>Global Final Damage Bonus % (Mortal Blow + Last Man Standing conditional half)</t>
        </is>
      </c>
      <c r="B2913">
        <f>(C2892=TRUE)*F2892+((C2901=TRUE)*IF(Inputs!$B$38="pvp",F2901,(1-Summary!$B$11)*(F2901)+Summary!$B$11*(0)))</f>
        <v/>
      </c>
    </row>
    <row r="2914">
      <c r="A2914" t="inlineStr">
        <is>
          <t>Buff-Casting Startup Delay (s, fixed-duration only)</t>
        </is>
      </c>
      <c r="B2914">
        <f>IF(AND(Inputs!$B$38&lt;&gt;"pvp",Inputs!$B$43&gt;0),SUMPRODUCT((Skills!T2:T29&gt;0)*(Skills!E2:E29=TRUE)*(C2877:C2904=TRUE))/B2909,0)</f>
        <v/>
      </c>
    </row>
    <row r="2915">
      <c r="A2915" t="inlineStr">
        <is>
          <t>Boss-Only Total DPS (this block's swept value)</t>
        </is>
      </c>
      <c r="B2915">
        <f>SUM(T2877:T2904)</f>
        <v/>
      </c>
    </row>
    <row r="2916">
      <c r="A2916" t="inlineStr">
        <is>
          <t>Normal-Only Total DPS (this block's swept value)</t>
        </is>
      </c>
      <c r="B2916">
        <f>SUM(V2877:V2904)</f>
        <v/>
      </c>
    </row>
    <row r="2917">
      <c r="A2917" s="6" t="inlineStr">
        <is>
          <t>TOTAL DPS</t>
        </is>
      </c>
      <c r="B2917" s="6">
        <f>SUM(O2877:O2904)</f>
        <v/>
      </c>
    </row>
    <row r="2920">
      <c r="A2920" s="6" t="inlineStr">
        <is>
          <t>Stat: CDR = 1.0s</t>
        </is>
      </c>
    </row>
    <row r="2921">
      <c r="A2921" s="5" t="inlineStr">
        <is>
          <t>Key</t>
        </is>
      </c>
      <c r="B2921" s="5" t="inlineStr">
        <is>
          <t>Name</t>
        </is>
      </c>
      <c r="C2921" s="5" t="inlineStr">
        <is>
          <t>Unlocked</t>
        </is>
      </c>
      <c r="D2921" s="5" t="inlineStr">
        <is>
          <t>InputLevel</t>
        </is>
      </c>
      <c r="E2921" s="5" t="inlineStr">
        <is>
          <t>Factor</t>
        </is>
      </c>
      <c r="F2921" s="5" t="inlineStr">
        <is>
          <t>CoefficientPercent</t>
        </is>
      </c>
      <c r="G2921" s="5" t="inlineStr">
        <is>
          <t>EffectiveHits</t>
        </is>
      </c>
      <c r="H2921" s="5" t="inlineStr">
        <is>
          <t>ProcProbability</t>
        </is>
      </c>
      <c r="I2921" s="5" t="inlineStr">
        <is>
          <t>MapleHeroMultiplier</t>
        </is>
      </c>
      <c r="J2921" s="5" t="inlineStr">
        <is>
          <t>BaseDamage</t>
        </is>
      </c>
      <c r="K2921" s="5" t="inlineStr">
        <is>
          <t>BaseHitDamage</t>
        </is>
      </c>
      <c r="L2921" s="5" t="inlineStr">
        <is>
          <t>NonCritAvg</t>
        </is>
      </c>
      <c r="M2921" s="5" t="inlineStr">
        <is>
          <t>CritAvg</t>
        </is>
      </c>
      <c r="N2921" s="5" t="inlineStr">
        <is>
          <t>ExpectedDamage(perHit)</t>
        </is>
      </c>
      <c r="O2921" s="5" t="inlineStr">
        <is>
          <t>DPS</t>
        </is>
      </c>
      <c r="P2921" s="5" t="inlineStr">
        <is>
          <t>% of Total</t>
        </is>
      </c>
      <c r="Q2921" s="5" t="inlineStr">
        <is>
          <t>InvCooldown</t>
        </is>
      </c>
      <c r="R2921" s="5" t="inlineStr">
        <is>
          <t>CastsInFight</t>
        </is>
      </c>
      <c r="S2921" s="5" t="inlineStr">
        <is>
          <t>HitRate(perSec)</t>
        </is>
      </c>
      <c r="U2921" t="inlineStr">
        <is>
          <t>helpers</t>
        </is>
      </c>
    </row>
    <row r="2922">
      <c r="A2922">
        <f>Skills!A2</f>
        <v/>
      </c>
      <c r="B2922">
        <f>Skills!B2</f>
        <v/>
      </c>
      <c r="C2922">
        <f>Inputs!$B$3&gt;=100</f>
        <v/>
      </c>
      <c r="D2922" t="inlineStr"/>
      <c r="E2922" t="inlineStr"/>
      <c r="F2922">
        <f>U2924+Skills!O2</f>
        <v/>
      </c>
      <c r="G2922">
        <f>Skills!G2*IF(Skills!H2&gt;0,Skills!I2/Skills!H2,1)</f>
        <v/>
      </c>
      <c r="H2922">
        <f>1-(1-Skills!J2/100)^Skills!K2</f>
        <v/>
      </c>
      <c r="I2922" t="inlineStr">
        <is>
          <t>1</t>
        </is>
      </c>
      <c r="J2922">
        <f>((Inputs!$B$6*(1+Inputs!$B$7/100))+(((Inputs!$B$12*(1+Inputs!$B$13/100))-(Inputs!$B$12*(1+Inputs!$B$13/100)))+0.25*(Inputs!$B$14-Inputs!$B$14))*(1+Inputs!$B$7/100))*(F2922/100)</f>
        <v/>
      </c>
      <c r="K2922">
        <f>J2922*(1+((Inputs!$B$12*(1+Inputs!$B$13/100))*0.01+Inputs!$B$14*0.0025)/100)*(1+Inputs!$B$15/100)*(1+Inputs!$B$16/100)*(5000/(6000+Inputs!$B$42*(1-(100*(1-(1-(Inputs!$B$19+0)/100)*(1-CHOOSE(ArtifactsInput!$N$40+1,5,6,7,8,9,10)/100)^(ArtifactsInput!$M$40-ArtifactsInput!$M$40)))/100)))*(1+(Inputs!$B$24+((C2944=TRUE)*(F2944-Calc!F24))+((C2945=TRUE)*(F2945-Calc!F25))+B2958)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EMPOWERED_PIERCING_ARROW",Inputs!$B$17+((C2942=TRUE)*(F2942-Calc!F22))+(((IF(AND(ArtifactsInput!$M$42,((Inputs!$B$9+((C2939=TRUE)*(F2939-Calc!F19))+B2952+(ArtifactsInput!$M$24-ArtifactsInput!$M$24)*CHOOSE(ArtifactsInput!$N$24+1,10,12,14,16,18,20)+IF(ArtifactsInput!$M$10,CHOOSE(ArtifactsInput!$N$10+1,15,18,21,24,27,30)*(IF(Inputs!$B$38="pvp",MIN(15,15)/15,IF(AND(Inputs!$B$38&lt;&gt;"pvp",Inputs!$B$43&gt;0),MIN(15,Inputs!$B$43)/(Inputs!$B$43),0))),0)))&gt;=100),MIN(100,((Inputs!$B$9+((C2939=TRUE)*(F2939-Calc!F19))+B2952+(ArtifactsInput!$M$24-ArtifactsInput!$M$24)*CHOOSE(ArtifactsInput!$N$24+1,10,12,14,16,18,20)+IF(ArtifactsInput!$M$10,CHOOSE(ArtifactsInput!$N$10+1,15,18,21,24,27,30)*(IF(Inputs!$B$38="pvp",MIN(15,15)/15,IF(AND(Inputs!$B$38&lt;&gt;"pvp",Inputs!$B$43&gt;0),MIN(15,Inputs!$B$43)/(Inputs!$B$43),0))),0)))-100),0))*CHOOSE(ArtifactsInput!$N$42+1,0.6,0.72,0.84,0.96,1.08,1.2))),Inputs!$B$18+((C2947=TRUE)*(F2947-Calc!F27))+(IF(AND(ArtifactsInput!$M$42,((Inputs!$B$9+((C2939=TRUE)*(F2939-Calc!F19))+B2952+(ArtifactsInput!$M$24-ArtifactsInput!$M$24)*CHOOSE(ArtifactsInput!$N$24+1,10,12,14,16,18,20)+IF(ArtifactsInput!$M$10,CHOOSE(ArtifactsInput!$N$10+1,15,18,21,24,27,30)*(IF(Inputs!$B$38="pvp",MIN(15,15)/15,IF(AND(Inputs!$B$38&lt;&gt;"pvp",Inputs!$B$43&gt;0),MIN(15,Inputs!$B$43)/(Inputs!$B$43),0))),0)))&gt;=100),CHOOSE(ArtifactsInput!$N$42+1,40,48,56,64,72,80),0))))/100)*((1+(((C2933=TRUE)*F2933)+((C2934=TRUE)*IF(Inputs!$B$38="pvp",F2934,(1-Summary!$B$11)*(F2934)+Summary!$B$11*(0)))+((C2935=TRUE)*F2935*IF(AND(Inputs!$B$38&lt;&gt;"pvp",Inputs!$B$43&gt;0),(((R2935-1)*(Skills!T15*(1+Inputs!$B$34/100))+MIN((Skills!T15*(1+Inputs!$B$34/100)),MAX(0,Inputs!$B$43-((R2935-1)*Skills!D15))))/Inputs!$B$43),IF(Inputs!$B$38="pvp",MIN((Skills!T15*(1+Inputs!$B$34/100)),15)/15,(Skills!T15*(1+Inputs!$B$34/100))/Skills!D15)))+((C2932=TRUE)*F2932)+((C2949=TRUE)*(F2949-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2922)</f>
        <v/>
      </c>
      <c r="L2922">
        <f>K2922*(MIN(Inputs!$B$22+((C2943=TRUE)*(F2943-Calc!F23)),(Inputs!$B$23+((C2948=TRUE)*(F2948-Calc!F28))+(IF(ArtifactsInput!$M$15,CHOOSE(ArtifactsInput!$N$15+1,25,30,35,40,45,50)/100*(Inputs!$B$11-Inputs!$B$11),0))))/100+(Inputs!$B$23+((C2948=TRUE)*(F2948-Calc!F28))+(IF(ArtifactsInput!$M$15,CHOOSE(ArtifactsInput!$N$15+1,25,30,35,40,45,50)/100*(Inputs!$B$11-Inputs!$B$11),0)))/100)/2</f>
        <v/>
      </c>
      <c r="M2922">
        <f>L2922*(1+(Inputs!$B$10+0+B2957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922">
        <f>L2922*(1-MIN((Inputs!$B$9+((C2939=TRUE)*(F2939-Calc!F19))+B2952+(ArtifactsInput!$M$24-ArtifactsInput!$M$24)*CHOOSE(ArtifactsInput!$N$24+1,10,12,14,16,18,20)+(IF(AND(ArtifactsInput!$M$42,((Inputs!$B$9+((C2939=TRUE)*(F2939-Calc!F19))+B2952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2922*(MIN((Inputs!$B$9+((C2939=TRUE)*(F2939-Calc!F19))+B2952+(ArtifactsInput!$M$24-ArtifactsInput!$M$24)*CHOOSE(ArtifactsInput!$N$24+1,10,12,14,16,18,20)+(IF(AND(ArtifactsInput!$M$42,((Inputs!$B$9+((C2939=TRUE)*(F2939-Calc!F19))+B2952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922">
        <f>(1-Summary!$B$11)*T2922+Summary!$B$11*V2922</f>
        <v/>
      </c>
      <c r="P2922">
        <f>IF(B2962=0,0,O2922/B2962)</f>
        <v/>
      </c>
      <c r="Q2922" t="n">
        <v>0</v>
      </c>
      <c r="R2922" t="n">
        <v>0</v>
      </c>
      <c r="S2922">
        <f>IFERROR((Skills!G2*N2922*B2956)/N2922*IF(Inputs!$B$38="pvp",1,(1-Summary!$B$11)*1+Summary!$B$11*(MIN((6+Inputs!$B$33),Inputs!$B$37))),0)</f>
        <v/>
      </c>
      <c r="T2922">
        <f>IF(C2922,(Skills!G2*N2922*B2956)*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Hunt"),CHOOSE(ArtifactsInput!$N$35+1,15,18,21,24,27,30)*(1-EXP(-(0.2*B2954)*5)),0)+IF(AND(ArtifactsInput!$M$22,Inputs!$B$4&lt;&gt;"Chapter Hunt"),CHOOSE(ArtifactsInput!$N$22+1,10,12,14,16,18,20)*((0*(((0.15*B2954*5))^0/1)+1*(((0.15*B2954*5))^1/1)+2*(((0.15*B2954*5))^2/2)+3*(((0.15*B2954*5))^3/6)+4*(((0.15*B2954*5))^4/24)+5*(((0.15*B2954*5))^5/120))/((((0.15*B2954*5))^0/1)+(((0.15*B2954*5))^1/1)+(((0.15*B2954*5))^2/2)+(((0.15*B2954*5))^3/6)+(((0.15*B2954*5))^4/24)+(((0.15*B2954*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2922*(1-MIN(100,(Inputs!$B$9+((C2939=TRUE)*(F2939-Calc!F19))+B2952+(ArtifactsInput!$M$24-ArtifactsInput!$M$24)*CHOOSE(ArtifactsInput!$N$24+1,10,12,14,16,18,20)+(IF(AND(ArtifactsInput!$M$42,((Inputs!$B$9+((C2939=TRUE)*(F2939-Calc!F19))+B2952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2922*(MIN(100,(Inputs!$B$9+((C2939=TRUE)*(F2939-Calc!F19))+B2952+(ArtifactsInput!$M$24-ArtifactsInput!$M$24)*CHOOSE(ArtifactsInput!$N$24+1,10,12,14,16,18,20)+(IF(AND(ArtifactsInput!$M$42,((Inputs!$B$9+((C2939=TRUE)*(F2939-Calc!F19))+B2952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2922*(1-MIN(100,(Inputs!$B$9+((C2939=TRUE)*(F2939-Calc!F19))+B2952+(ArtifactsInput!$M$24-ArtifactsInput!$M$24)*CHOOSE(ArtifactsInput!$N$24+1,10,12,14,16,18,20)+(IF(AND(ArtifactsInput!$M$42,((Inputs!$B$9+((C2939=TRUE)*(F2939-Calc!F19))+B2952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2922*(MIN(100,(Inputs!$B$9+((C2939=TRUE)*(F2939-Calc!F19))+B2952+(ArtifactsInput!$M$24-ArtifactsInput!$M$24)*CHOOSE(ArtifactsInput!$N$24+1,10,12,14,16,18,20)+(IF(AND(ArtifactsInput!$M$42,((Inputs!$B$9+((C2939=TRUE)*(F2939-Calc!F19))+B2952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922">
        <f>MAX(0,(Inputs!$B$3-100)*3)+Inputs!$B$28+Inputs!$B$29</f>
        <v/>
      </c>
      <c r="V2922">
        <f>IF(C2922,(Skills!G2*N2922*B2956)*IF(Inputs!$B$38="pvp",1,(1+(Inputs!$B$21+Skills!Q2+(IF(ArtifactsInput!$M$33,CHOOSE(ArtifactsInput!$N$33+1,30,36,42,48,54,60),0))+(IF(AND(ArtifactsInput!$M$35,Inputs!$B$4&lt;&gt;"Chapter Hunt"),CHOOSE(ArtifactsInput!$N$35+1,15,18,21,24,27,30)*(1-EXP(-(0.2*B2954)*5)),0)+IF(AND(ArtifactsInput!$M$22,Inputs!$B$4&lt;&gt;"Chapter Hunt"),CHOOSE(ArtifactsInput!$N$22+1,10,12,14,16,18,20)*((0*(((0.15*B2954*5))^0/1)+1*(((0.15*B2954*5))^1/1)+2*(((0.15*B2954*5))^2/2)+3*(((0.15*B2954*5))^3/6)+4*(((0.15*B2954*5))^4/24)+5*(((0.15*B2954*5))^5/120))/((((0.15*B2954*5))^0/1)+(((0.15*B2954*5))^1/1)+(((0.15*B2954*5))^2/2)+(((0.15*B2954*5))^3/6)+(((0.15*B2954*5))^4/24)+(((0.15*B2954*5))^5/120)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923">
      <c r="A2923">
        <f>Skills!A3</f>
        <v/>
      </c>
      <c r="B2923">
        <f>Skills!B3</f>
        <v/>
      </c>
      <c r="C2923">
        <f>Inputs!$B$3&gt;=50</f>
        <v/>
      </c>
      <c r="D2923">
        <f>IF(Skills!C3=1,60+Inputs!$B$25+Inputs!$B$29,IF(Skills!C3=2,90+Inputs!$B$26+Inputs!$B$29,IF(Skills!C3=3,120+Inputs!$B$27+Inputs!$B$29,MAX(0,(Inputs!$B$3-100)*3)+Inputs!$B$28+Inputs!$B$29)))</f>
        <v/>
      </c>
      <c r="E2923">
        <f>INDEX(FactorTable!$B$2:$Y$301, MATCH(ROUND(MIN(300,MAX(1,D2923)),0), FactorTable!$A$2:$A$301,0), Skills!M3+1)</f>
        <v/>
      </c>
      <c r="F2923">
        <f>IF(Skills!N3=TRUE,(Skills!L3/10)*(E2923/1000),Skills!L3/10)+Skills!O3</f>
        <v/>
      </c>
      <c r="G2923" t="inlineStr"/>
      <c r="H2923" t="inlineStr"/>
      <c r="I2923" t="inlineStr">
        <is>
          <t>1</t>
        </is>
      </c>
      <c r="J2923" t="inlineStr"/>
      <c r="K2923" t="inlineStr"/>
      <c r="L2923" t="inlineStr"/>
      <c r="M2923" t="inlineStr"/>
      <c r="N2923" t="inlineStr"/>
      <c r="O2923" t="inlineStr"/>
      <c r="P2923" t="inlineStr"/>
      <c r="Q2923" t="inlineStr"/>
      <c r="R2923" t="inlineStr"/>
      <c r="S2923" t="inlineStr"/>
      <c r="T2923" t="inlineStr"/>
      <c r="U2923">
        <f>INDEX(FactorTable!$B$2:$Y$301, MATCH(ROUND(MIN(300,MAX(1,U2922)),0), FactorTable!$A$2:$A$301,0), 22)</f>
        <v/>
      </c>
      <c r="V2923" t="inlineStr"/>
    </row>
    <row r="2924">
      <c r="A2924">
        <f>Skills!A4</f>
        <v/>
      </c>
      <c r="B2924">
        <f>Skills!B4</f>
        <v/>
      </c>
      <c r="C2924">
        <f>Inputs!$B$3&gt;=105</f>
        <v/>
      </c>
      <c r="D2924">
        <f>IF(Skills!C4=1,60+Inputs!$B$25+Inputs!$B$29,IF(Skills!C4=2,90+Inputs!$B$26+Inputs!$B$29,IF(Skills!C4=3,120+Inputs!$B$27+Inputs!$B$29,MAX(0,(Inputs!$B$3-100)*3)+Inputs!$B$28+Inputs!$B$29)))</f>
        <v/>
      </c>
      <c r="E2924">
        <f>INDEX(FactorTable!$B$2:$Y$301, MATCH(ROUND(MIN(300,MAX(1,D2924)),0), FactorTable!$A$2:$A$301,0), Skills!M4+1)</f>
        <v/>
      </c>
      <c r="F2924">
        <f>IF(Skills!N4=TRUE,(Skills!L4/10)*(E2924/1000),Skills!L4/10)+Skills!O4</f>
        <v/>
      </c>
      <c r="G2924" t="inlineStr"/>
      <c r="H2924" t="inlineStr"/>
      <c r="I2924" t="inlineStr">
        <is>
          <t>1</t>
        </is>
      </c>
      <c r="J2924" t="inlineStr"/>
      <c r="K2924" t="inlineStr"/>
      <c r="L2924" t="inlineStr"/>
      <c r="M2924" t="inlineStr"/>
      <c r="N2924" t="inlineStr"/>
      <c r="O2924" t="inlineStr"/>
      <c r="P2924" t="inlineStr"/>
      <c r="Q2924" t="inlineStr"/>
      <c r="R2924" t="inlineStr"/>
      <c r="S2924" t="inlineStr"/>
      <c r="T2924" t="inlineStr"/>
      <c r="U2924">
        <f>290*U2923/1000</f>
        <v/>
      </c>
      <c r="V2924" t="inlineStr"/>
    </row>
    <row r="2925">
      <c r="A2925">
        <f>Skills!A5</f>
        <v/>
      </c>
      <c r="B2925">
        <f>Skills!B5</f>
        <v/>
      </c>
      <c r="C2925">
        <f>Inputs!$B$3&gt;=35</f>
        <v/>
      </c>
      <c r="D2925">
        <f>IF(Skills!C5=1,60+Inputs!$B$25+Inputs!$B$29,IF(Skills!C5=2,90+Inputs!$B$26+Inputs!$B$29,IF(Skills!C5=3,120+Inputs!$B$27+Inputs!$B$29,MAX(0,(Inputs!$B$3-100)*3)+Inputs!$B$28+Inputs!$B$29)))</f>
        <v/>
      </c>
      <c r="E2925">
        <f>INDEX(FactorTable!$B$2:$Y$301, MATCH(ROUND(MIN(300,MAX(1,D2925)),0), FactorTable!$A$2:$A$301,0), Skills!M5+1)</f>
        <v/>
      </c>
      <c r="F2925">
        <f>IF(Skills!N5=TRUE,(Skills!L5/10)*(E2925/1000),Skills!L5/10)+Skills!O5</f>
        <v/>
      </c>
      <c r="G2925">
        <f>Skills!G5*IF(Skills!H5&gt;0,Skills!I5/Skills!H5,1)</f>
        <v/>
      </c>
      <c r="H2925">
        <f>1-(1-Skills!J5/100)^Skills!K5</f>
        <v/>
      </c>
      <c r="I2925" t="inlineStr">
        <is>
          <t>1</t>
        </is>
      </c>
      <c r="J2925">
        <f>((Inputs!$B$6*(1+Inputs!$B$7/100))+(((Inputs!$B$12*(1+Inputs!$B$13/100))-(Inputs!$B$12*(1+Inputs!$B$13/100)))+0.25*(Inputs!$B$14-Inputs!$B$14))*(1+Inputs!$B$7/100))*(F2925/100)</f>
        <v/>
      </c>
      <c r="K2925">
        <f>J2925*(1+((Inputs!$B$12*(1+Inputs!$B$13/100))*0.01+Inputs!$B$14*0.0025)/100)*(1+Inputs!$B$15/100)*(1+Inputs!$B$16/100)*(5000/(6000+Inputs!$B$42*(1-(100*(1-(1-(Inputs!$B$19+0)/100)*(1-CHOOSE(ArtifactsInput!$N$40+1,5,6,7,8,9,10)/100)^(ArtifactsInput!$M$40-ArtifactsInput!$M$40)))/100)))*(1+(Inputs!$B$24+((C2944=TRUE)*(F2944-Calc!F24))+((C2945=TRUE)*(F2945-Calc!F25))+B2958)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2928=TRUE,F2928,0)/100)*(1+(IF(Skills!A5="EMPOWERED_PIERCING_ARROW",Inputs!$B$17+((C2942=TRUE)*(F2942-Calc!F22))+(((IF(AND(ArtifactsInput!$M$42,((Inputs!$B$9+((C2939=TRUE)*(F2939-Calc!F19))+B2952+(ArtifactsInput!$M$24-ArtifactsInput!$M$24)*CHOOSE(ArtifactsInput!$N$24+1,10,12,14,16,18,20)+IF(ArtifactsInput!$M$10,CHOOSE(ArtifactsInput!$N$10+1,15,18,21,24,27,30)*(IF(Inputs!$B$38="pvp",MIN(15,15)/15,IF(AND(Inputs!$B$38&lt;&gt;"pvp",Inputs!$B$43&gt;0),MIN(15,Inputs!$B$43)/(Inputs!$B$43),0))),0)))&gt;=100),MIN(100,((Inputs!$B$9+((C2939=TRUE)*(F2939-Calc!F19))+B2952+(ArtifactsInput!$M$24-ArtifactsInput!$M$24)*CHOOSE(ArtifactsInput!$N$24+1,10,12,14,16,18,20)+IF(ArtifactsInput!$M$10,CHOOSE(ArtifactsInput!$N$10+1,15,18,21,24,27,30)*(IF(Inputs!$B$38="pvp",MIN(15,15)/15,IF(AND(Inputs!$B$38&lt;&gt;"pvp",Inputs!$B$43&gt;0),MIN(15,Inputs!$B$43)/(Inputs!$B$43),0))),0)))-100),0))*CHOOSE(ArtifactsInput!$N$42+1,0.6,0.72,0.84,0.96,1.08,1.2))),Inputs!$B$18+((C2947=TRUE)*(F2947-Calc!F27))+(IF(AND(ArtifactsInput!$M$42,((Inputs!$B$9+((C2939=TRUE)*(F2939-Calc!F19))+B2952+(ArtifactsInput!$M$24-ArtifactsInput!$M$24)*CHOOSE(ArtifactsInput!$N$24+1,10,12,14,16,18,20)+IF(ArtifactsInput!$M$10,CHOOSE(ArtifactsInput!$N$10+1,15,18,21,24,27,30)*(IF(Inputs!$B$38="pvp",MIN(15,15)/15,IF(AND(Inputs!$B$38&lt;&gt;"pvp",Inputs!$B$43&gt;0),MIN(15,Inputs!$B$43)/(Inputs!$B$43),0))),0)))&gt;=100),CHOOSE(ArtifactsInput!$N$42+1,40,48,56,64,72,80),0))))/100)*((1+(((C2933=TRUE)*F2933)+((C2934=TRUE)*IF(Inputs!$B$38="pvp",F2934,(1-Summary!$B$11)*(F2934)+Summary!$B$11*(0)))+((C2935=TRUE)*F2935*IF(AND(Inputs!$B$38&lt;&gt;"pvp",Inputs!$B$43&gt;0),(((R2935-1)*(Skills!T15*(1+Inputs!$B$34/100))+MIN((Skills!T15*(1+Inputs!$B$34/100)),MAX(0,Inputs!$B$43-((R2935-1)*Skills!D15))))/Inputs!$B$43),IF(Inputs!$B$38="pvp",MIN((Skills!T15*(1+Inputs!$B$34/100)),15)/15,(Skills!T15*(1+Inputs!$B$34/100))/Skills!D15)))+((C2932=TRUE)*F2932)+((C2949=TRUE)*(F2949-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2925)</f>
        <v/>
      </c>
      <c r="L2925">
        <f>K2925*(MIN(Inputs!$B$22+((C2943=TRUE)*(F2943-Calc!F23)),(Inputs!$B$23+((C2948=TRUE)*(F2948-Calc!F28))+(IF(ArtifactsInput!$M$15,CHOOSE(ArtifactsInput!$N$15+1,25,30,35,40,45,50)/100*(Inputs!$B$11-Inputs!$B$11),0))))/100+(Inputs!$B$23+((C2948=TRUE)*(F2948-Calc!F28))+(IF(ArtifactsInput!$M$15,CHOOSE(ArtifactsInput!$N$15+1,25,30,35,40,45,50)/100*(Inputs!$B$11-Inputs!$B$11),0)))/100)/2</f>
        <v/>
      </c>
      <c r="M2925">
        <f>L2925*(1+(Inputs!$B$10+0+B2957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925">
        <f>L2925*(1-MIN((Inputs!$B$9+((C2939=TRUE)*(F2939-Calc!F19))+B2952+(ArtifactsInput!$M$24-ArtifactsInput!$M$24)*CHOOSE(ArtifactsInput!$N$24+1,10,12,14,16,18,20)+(IF(AND(ArtifactsInput!$M$42,((Inputs!$B$9+((C2939=TRUE)*(F2939-Calc!F19))+B2952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2925*(MIN((Inputs!$B$9+((C2939=TRUE)*(F2939-Calc!F19))+B2952+(ArtifactsInput!$M$24-ArtifactsInput!$M$24)*CHOOSE(ArtifactsInput!$N$24+1,10,12,14,16,18,20)+(IF(AND(ArtifactsInput!$M$42,((Inputs!$B$9+((C2939=TRUE)*(F2939-Calc!F19))+B2952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925">
        <f>(1-Summary!$B$11)*T2925+Summary!$B$11*V2925</f>
        <v/>
      </c>
      <c r="P2925">
        <f>IF(B2962=0,0,O2925/B2962)</f>
        <v/>
      </c>
      <c r="Q2925">
        <f>IFERROR(1/IF(Inputs!$B$38="pvp",15,MAX(0.1,Skills!D5-IF(Skills!E5=TRUE,1.0,0))),0)</f>
        <v/>
      </c>
      <c r="R2925">
        <f>IF(AND(Inputs!$B$38&lt;&gt;"pvp",Inputs!$B$43&gt;0),IF(MAX(0,Inputs!$B$43-B2959)&lt;=0,0,(INT(MAX(0,Inputs!$B$43-B2959)/IF(Inputs!$B$38="pvp",15,MAX(0.1,Skills!D5-IF(Skills!E5=TRUE,1.0,0))))+1)),0)</f>
        <v/>
      </c>
      <c r="S2925">
        <f>IFERROR((H2925*N2925*IF(AND(Inputs!$B$38&lt;&gt;"pvp",Inputs!$B$43&gt;0),((Skills!G5*((R2925-1)*IF(Skills!H5&gt;0,Skills!I5/Skills!H5,1)+IF(Skills!H5&gt;0,MIN(Skills!I5,MAX(0,MAX(0,Inputs!$B$43-B2959)-((R2925-1)*IF(Inputs!$B$38="pvp",15,MAX(0.1,Skills!D5-IF(Skills!E5=TRUE,1.0,0))))))/Skills!H5,1)))/Inputs!$B$43),G2925*Q2925))/N2925*IF(Inputs!$B$38="pvp",1,(1-Summary!$B$11)*1+Summary!$B$11*(MIN(Skills!R5,Inputs!$B$37))),0)</f>
        <v/>
      </c>
      <c r="T2925">
        <f>IF(C2925,(H2925*N2925*IF(AND(Inputs!$B$38&lt;&gt;"pvp",Inputs!$B$43&gt;0),((Skills!G5*((R2925-1)*IF(Skills!H5&gt;0,Skills!I5/Skills!H5,1)+IF(Skills!H5&gt;0,MIN(Skills!I5,MAX(0,MAX(0,Inputs!$B$43-B2959)-((R2925-1)*IF(Inputs!$B$38="pvp",15,MAX(0.1,Skills!D5-IF(Skills!E5=TRUE,1.0,0))))))/Skills!H5,1)))/Inputs!$B$43),G2925*Q2925))*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Hunt"),CHOOSE(ArtifactsInput!$N$35+1,15,18,21,24,27,30)*(1-EXP(-(0.2*B2954)*5)),0)+IF(AND(ArtifactsInput!$M$22,Inputs!$B$4&lt;&gt;"Chapter Hunt"),CHOOSE(ArtifactsInput!$N$22+1,10,12,14,16,18,20)*((0*(((0.15*B2954*5))^0/1)+1*(((0.15*B2954*5))^1/1)+2*(((0.15*B2954*5))^2/2)+3*(((0.15*B2954*5))^3/6)+4*(((0.15*B2954*5))^4/24)+5*(((0.15*B2954*5))^5/120))/((((0.15*B2954*5))^0/1)+(((0.15*B2954*5))^1/1)+(((0.15*B2954*5))^2/2)+(((0.15*B2954*5))^3/6)+(((0.15*B2954*5))^4/24)+(((0.15*B2954*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2925*(1-MIN(100,(Inputs!$B$9+((C2939=TRUE)*(F2939-Calc!F19))+B2952+(ArtifactsInput!$M$24-ArtifactsInput!$M$24)*CHOOSE(ArtifactsInput!$N$24+1,10,12,14,16,18,20)+(IF(AND(ArtifactsInput!$M$42,((Inputs!$B$9+((C2939=TRUE)*(F2939-Calc!F19))+B2952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2925*(MIN(100,(Inputs!$B$9+((C2939=TRUE)*(F2939-Calc!F19))+B2952+(ArtifactsInput!$M$24-ArtifactsInput!$M$24)*CHOOSE(ArtifactsInput!$N$24+1,10,12,14,16,18,20)+(IF(AND(ArtifactsInput!$M$42,((Inputs!$B$9+((C2939=TRUE)*(F2939-Calc!F19))+B2952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2925*(1-MIN(100,(Inputs!$B$9+((C2939=TRUE)*(F2939-Calc!F19))+B2952+(ArtifactsInput!$M$24-ArtifactsInput!$M$24)*CHOOSE(ArtifactsInput!$N$24+1,10,12,14,16,18,20)+(IF(AND(ArtifactsInput!$M$42,((Inputs!$B$9+((C2939=TRUE)*(F2939-Calc!F19))+B2952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2925*(MIN(100,(Inputs!$B$9+((C2939=TRUE)*(F2939-Calc!F19))+B2952+(ArtifactsInput!$M$24-ArtifactsInput!$M$24)*CHOOSE(ArtifactsInput!$N$24+1,10,12,14,16,18,20)+(IF(AND(ArtifactsInput!$M$42,((Inputs!$B$9+((C2939=TRUE)*(F2939-Calc!F19))+B2952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925">
        <f>IF(C2925,(H2925*N2925*IF(AND(Inputs!$B$38&lt;&gt;"pvp",Inputs!$B$43&gt;0),((Skills!G5*((R2925-1)*IF(Skills!H5&gt;0,Skills!I5/Skills!H5,1)+IF(Skills!H5&gt;0,MIN(Skills!I5,MAX(0,MAX(0,Inputs!$B$43-B2959)-((R2925-1)*IF(Inputs!$B$38="pvp",15,MAX(0.1,Skills!D5-IF(Skills!E5=TRUE,1.0,0))))))/Skills!H5,1)))/Inputs!$B$43),G2925*Q2925))*IF(Inputs!$B$38="pvp",1,(1+(Inputs!$B$21+Skills!Q5+(IF(ArtifactsInput!$M$33,CHOOSE(ArtifactsInput!$N$33+1,30,36,42,48,54,60),0))+(IF(AND(ArtifactsInput!$M$35,Inputs!$B$4&lt;&gt;"Chapter Hunt"),CHOOSE(ArtifactsInput!$N$35+1,15,18,21,24,27,30)*(1-EXP(-(0.2*B2954)*5)),0)+IF(AND(ArtifactsInput!$M$22,Inputs!$B$4&lt;&gt;"Chapter Hunt"),CHOOSE(ArtifactsInput!$N$22+1,10,12,14,16,18,20)*((0*(((0.15*B2954*5))^0/1)+1*(((0.15*B2954*5))^1/1)+2*(((0.15*B2954*5))^2/2)+3*(((0.15*B2954*5))^3/6)+4*(((0.15*B2954*5))^4/24)+5*(((0.15*B2954*5))^5/120))/((((0.15*B2954*5))^0/1)+(((0.15*B2954*5))^1/1)+(((0.15*B2954*5))^2/2)+(((0.15*B2954*5))^3/6)+(((0.15*B2954*5))^4/24)+(((0.15*B2954*5))^5/120)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926">
      <c r="A2926">
        <f>Skills!A6</f>
        <v/>
      </c>
      <c r="B2926">
        <f>Skills!B6</f>
        <v/>
      </c>
      <c r="C2926">
        <f>Inputs!$B$3&gt;=63</f>
        <v/>
      </c>
      <c r="D2926">
        <f>IF(Skills!C6=1,60+Inputs!$B$25+Inputs!$B$29,IF(Skills!C6=2,90+Inputs!$B$26+Inputs!$B$29,IF(Skills!C6=3,120+Inputs!$B$27+Inputs!$B$29,MAX(0,(Inputs!$B$3-100)*3)+Inputs!$B$28+Inputs!$B$29)))</f>
        <v/>
      </c>
      <c r="E2926">
        <f>INDEX(FactorTable!$B$2:$Y$301, MATCH(ROUND(MIN(300,MAX(1,D2926)),0), FactorTable!$A$2:$A$301,0), Skills!M6+1)</f>
        <v/>
      </c>
      <c r="F2926">
        <f>IF(Skills!N6=TRUE,(Skills!L6/10)*(E2926/1000),Skills!L6/10)+Skills!O6</f>
        <v/>
      </c>
      <c r="G2926">
        <f>Skills!G6*IF(Skills!H6&gt;0,Skills!I6/Skills!H6,1)</f>
        <v/>
      </c>
      <c r="H2926">
        <f>1-(1-Skills!J6/100)^Skills!K6</f>
        <v/>
      </c>
      <c r="I2926" t="inlineStr">
        <is>
          <t>1</t>
        </is>
      </c>
      <c r="J2926">
        <f>((Inputs!$B$6*(1+Inputs!$B$7/100))+(((Inputs!$B$12*(1+Inputs!$B$13/100))-(Inputs!$B$12*(1+Inputs!$B$13/100)))+0.25*(Inputs!$B$14-Inputs!$B$14))*(1+Inputs!$B$7/100))*(F2926/100)</f>
        <v/>
      </c>
      <c r="K2926">
        <f>J2926*(1+((Inputs!$B$12*(1+Inputs!$B$13/100))*0.01+Inputs!$B$14*0.0025)/100)*(1+Inputs!$B$15/100)*(1+Inputs!$B$16/100)*(5000/(6000+Inputs!$B$42*(1-(100*(1-(1-(Inputs!$B$19+0)/100)*(1-CHOOSE(ArtifactsInput!$N$40+1,5,6,7,8,9,10)/100)^(ArtifactsInput!$M$40-ArtifactsInput!$M$40)))/100)))*(1+(Inputs!$B$24+((C2944=TRUE)*(F2944-Calc!F24))+((C2945=TRUE)*(F2945-Calc!F25))+B2958)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2928=TRUE,F2928,0)/100)*(1+(IF(Skills!A6="EMPOWERED_PIERCING_ARROW",Inputs!$B$17+((C2942=TRUE)*(F2942-Calc!F22))+(((IF(AND(ArtifactsInput!$M$42,((Inputs!$B$9+((C2939=TRUE)*(F2939-Calc!F19))+B2952+(ArtifactsInput!$M$24-ArtifactsInput!$M$24)*CHOOSE(ArtifactsInput!$N$24+1,10,12,14,16,18,20)+IF(ArtifactsInput!$M$10,CHOOSE(ArtifactsInput!$N$10+1,15,18,21,24,27,30)*(IF(Inputs!$B$38="pvp",MIN(15,15)/15,IF(AND(Inputs!$B$38&lt;&gt;"pvp",Inputs!$B$43&gt;0),MIN(15,Inputs!$B$43)/(Inputs!$B$43),0))),0)))&gt;=100),MIN(100,((Inputs!$B$9+((C2939=TRUE)*(F2939-Calc!F19))+B2952+(ArtifactsInput!$M$24-ArtifactsInput!$M$24)*CHOOSE(ArtifactsInput!$N$24+1,10,12,14,16,18,20)+IF(ArtifactsInput!$M$10,CHOOSE(ArtifactsInput!$N$10+1,15,18,21,24,27,30)*(IF(Inputs!$B$38="pvp",MIN(15,15)/15,IF(AND(Inputs!$B$38&lt;&gt;"pvp",Inputs!$B$43&gt;0),MIN(15,Inputs!$B$43)/(Inputs!$B$43),0))),0)))-100),0))*CHOOSE(ArtifactsInput!$N$42+1,0.6,0.72,0.84,0.96,1.08,1.2))),Inputs!$B$18+((C2947=TRUE)*(F2947-Calc!F27))+(IF(AND(ArtifactsInput!$M$42,((Inputs!$B$9+((C2939=TRUE)*(F2939-Calc!F19))+B2952+(ArtifactsInput!$M$24-ArtifactsInput!$M$24)*CHOOSE(ArtifactsInput!$N$24+1,10,12,14,16,18,20)+IF(ArtifactsInput!$M$10,CHOOSE(ArtifactsInput!$N$10+1,15,18,21,24,27,30)*(IF(Inputs!$B$38="pvp",MIN(15,15)/15,IF(AND(Inputs!$B$38&lt;&gt;"pvp",Inputs!$B$43&gt;0),MIN(15,Inputs!$B$43)/(Inputs!$B$43),0))),0)))&gt;=100),CHOOSE(ArtifactsInput!$N$42+1,40,48,56,64,72,80),0))))/100)*((1+(((C2933=TRUE)*F2933)+((C2934=TRUE)*IF(Inputs!$B$38="pvp",F2934,(1-Summary!$B$11)*(F2934)+Summary!$B$11*(0)))+((C2935=TRUE)*F2935*IF(AND(Inputs!$B$38&lt;&gt;"pvp",Inputs!$B$43&gt;0),(((R2935-1)*(Skills!T15*(1+Inputs!$B$34/100))+MIN((Skills!T15*(1+Inputs!$B$34/100)),MAX(0,Inputs!$B$43-((R2935-1)*Skills!D15))))/Inputs!$B$43),IF(Inputs!$B$38="pvp",MIN((Skills!T15*(1+Inputs!$B$34/100)),15)/15,(Skills!T15*(1+Inputs!$B$34/100))/Skills!D15)))+((C2932=TRUE)*F2932)+((C2949=TRUE)*(F2949-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2926)</f>
        <v/>
      </c>
      <c r="L2926">
        <f>K2926*(MIN(Inputs!$B$22+((C2943=TRUE)*(F2943-Calc!F23)),(Inputs!$B$23+((C2948=TRUE)*(F2948-Calc!F28))+(IF(ArtifactsInput!$M$15,CHOOSE(ArtifactsInput!$N$15+1,25,30,35,40,45,50)/100*(Inputs!$B$11-Inputs!$B$11),0))))/100+(Inputs!$B$23+((C2948=TRUE)*(F2948-Calc!F28))+(IF(ArtifactsInput!$M$15,CHOOSE(ArtifactsInput!$N$15+1,25,30,35,40,45,50)/100*(Inputs!$B$11-Inputs!$B$11),0)))/100)/2</f>
        <v/>
      </c>
      <c r="M2926">
        <f>L2926*(1+(Inputs!$B$10+0+B2957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926">
        <f>L2926*(1-MIN((Inputs!$B$9+((C2939=TRUE)*(F2939-Calc!F19))+B2952+(ArtifactsInput!$M$24-ArtifactsInput!$M$24)*CHOOSE(ArtifactsInput!$N$24+1,10,12,14,16,18,20)+(IF(AND(ArtifactsInput!$M$42,((Inputs!$B$9+((C2939=TRUE)*(F2939-Calc!F19))+B2952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2926*(MIN((Inputs!$B$9+((C2939=TRUE)*(F2939-Calc!F19))+B2952+(ArtifactsInput!$M$24-ArtifactsInput!$M$24)*CHOOSE(ArtifactsInput!$N$24+1,10,12,14,16,18,20)+(IF(AND(ArtifactsInput!$M$42,((Inputs!$B$9+((C2939=TRUE)*(F2939-Calc!F19))+B2952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926">
        <f>(1-Summary!$B$11)*T2926+Summary!$B$11*V2926</f>
        <v/>
      </c>
      <c r="P2926">
        <f>IF(B2962=0,0,O2926/B2962)</f>
        <v/>
      </c>
      <c r="Q2926">
        <f>IFERROR(1/IF(Inputs!$B$38="pvp",15,MAX(0.1,Skills!D6-IF(Skills!E6=TRUE,1.0,0))),0)</f>
        <v/>
      </c>
      <c r="R2926">
        <f>IF(AND(Inputs!$B$38&lt;&gt;"pvp",Inputs!$B$43&gt;0),IF(MAX(0,Inputs!$B$43-B2959)&lt;=0,0,(INT(MAX(0,Inputs!$B$43-B2959)/IF(Inputs!$B$38="pvp",15,MAX(0.1,Skills!D6-IF(Skills!E6=TRUE,1.0,0))))+1)),0)</f>
        <v/>
      </c>
      <c r="S2926">
        <f>IFERROR((H2926*N2926*IF(AND(Inputs!$B$38&lt;&gt;"pvp",Inputs!$B$43&gt;0),((Skills!G6*((R2926-1)*IF(Skills!H6&gt;0,Skills!I6/Skills!H6,1)+IF(Skills!H6&gt;0,MIN(Skills!I6,MAX(0,MAX(0,Inputs!$B$43-B2959)-((R2926-1)*IF(Inputs!$B$38="pvp",15,MAX(0.1,Skills!D6-IF(Skills!E6=TRUE,1.0,0))))))/Skills!H6,1)))/Inputs!$B$43),G2926*Q2926))/N2926*IF(Inputs!$B$38="pvp",1,(1-Summary!$B$11)*1+Summary!$B$11*(MIN(Skills!R6,Inputs!$B$37))),0)</f>
        <v/>
      </c>
      <c r="T2926">
        <f>IF(C2926,(H2926*N2926*IF(AND(Inputs!$B$38&lt;&gt;"pvp",Inputs!$B$43&gt;0),((Skills!G6*((R2926-1)*IF(Skills!H6&gt;0,Skills!I6/Skills!H6,1)+IF(Skills!H6&gt;0,MIN(Skills!I6,MAX(0,MAX(0,Inputs!$B$43-B2959)-((R2926-1)*IF(Inputs!$B$38="pvp",15,MAX(0.1,Skills!D6-IF(Skills!E6=TRUE,1.0,0))))))/Skills!H6,1)))/Inputs!$B$43),G2926*Q2926))*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Hunt"),CHOOSE(ArtifactsInput!$N$35+1,15,18,21,24,27,30)*(1-EXP(-(0.2*B2954)*5)),0)+IF(AND(ArtifactsInput!$M$22,Inputs!$B$4&lt;&gt;"Chapter Hunt"),CHOOSE(ArtifactsInput!$N$22+1,10,12,14,16,18,20)*((0*(((0.15*B2954*5))^0/1)+1*(((0.15*B2954*5))^1/1)+2*(((0.15*B2954*5))^2/2)+3*(((0.15*B2954*5))^3/6)+4*(((0.15*B2954*5))^4/24)+5*(((0.15*B2954*5))^5/120))/((((0.15*B2954*5))^0/1)+(((0.15*B2954*5))^1/1)+(((0.15*B2954*5))^2/2)+(((0.15*B2954*5))^3/6)+(((0.15*B2954*5))^4/24)+(((0.15*B2954*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2926*(1-MIN(100,(Inputs!$B$9+((C2939=TRUE)*(F2939-Calc!F19))+B2952+(ArtifactsInput!$M$24-ArtifactsInput!$M$24)*CHOOSE(ArtifactsInput!$N$24+1,10,12,14,16,18,20)+(IF(AND(ArtifactsInput!$M$42,((Inputs!$B$9+((C2939=TRUE)*(F2939-Calc!F19))+B2952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2926*(MIN(100,(Inputs!$B$9+((C2939=TRUE)*(F2939-Calc!F19))+B2952+(ArtifactsInput!$M$24-ArtifactsInput!$M$24)*CHOOSE(ArtifactsInput!$N$24+1,10,12,14,16,18,20)+(IF(AND(ArtifactsInput!$M$42,((Inputs!$B$9+((C2939=TRUE)*(F2939-Calc!F19))+B2952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2926*(1-MIN(100,(Inputs!$B$9+((C2939=TRUE)*(F2939-Calc!F19))+B2952+(ArtifactsInput!$M$24-ArtifactsInput!$M$24)*CHOOSE(ArtifactsInput!$N$24+1,10,12,14,16,18,20)+(IF(AND(ArtifactsInput!$M$42,((Inputs!$B$9+((C2939=TRUE)*(F2939-Calc!F19))+B2952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2926*(MIN(100,(Inputs!$B$9+((C2939=TRUE)*(F2939-Calc!F19))+B2952+(ArtifactsInput!$M$24-ArtifactsInput!$M$24)*CHOOSE(ArtifactsInput!$N$24+1,10,12,14,16,18,20)+(IF(AND(ArtifactsInput!$M$42,((Inputs!$B$9+((C2939=TRUE)*(F2939-Calc!F19))+B2952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926">
        <f>IF(C2926,(H2926*N2926*IF(AND(Inputs!$B$38&lt;&gt;"pvp",Inputs!$B$43&gt;0),((Skills!G6*((R2926-1)*IF(Skills!H6&gt;0,Skills!I6/Skills!H6,1)+IF(Skills!H6&gt;0,MIN(Skills!I6,MAX(0,MAX(0,Inputs!$B$43-B2959)-((R2926-1)*IF(Inputs!$B$38="pvp",15,MAX(0.1,Skills!D6-IF(Skills!E6=TRUE,1.0,0))))))/Skills!H6,1)))/Inputs!$B$43),G2926*Q2926))*IF(Inputs!$B$38="pvp",1,(1+(Inputs!$B$21+Skills!Q6+(IF(ArtifactsInput!$M$33,CHOOSE(ArtifactsInput!$N$33+1,30,36,42,48,54,60),0))+(IF(AND(ArtifactsInput!$M$35,Inputs!$B$4&lt;&gt;"Chapter Hunt"),CHOOSE(ArtifactsInput!$N$35+1,15,18,21,24,27,30)*(1-EXP(-(0.2*B2954)*5)),0)+IF(AND(ArtifactsInput!$M$22,Inputs!$B$4&lt;&gt;"Chapter Hunt"),CHOOSE(ArtifactsInput!$N$22+1,10,12,14,16,18,20)*((0*(((0.15*B2954*5))^0/1)+1*(((0.15*B2954*5))^1/1)+2*(((0.15*B2954*5))^2/2)+3*(((0.15*B2954*5))^3/6)+4*(((0.15*B2954*5))^4/24)+5*(((0.15*B2954*5))^5/120))/((((0.15*B2954*5))^0/1)+(((0.15*B2954*5))^1/1)+(((0.15*B2954*5))^2/2)+(((0.15*B2954*5))^3/6)+(((0.15*B2954*5))^4/24)+(((0.15*B2954*5))^5/120))),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927">
      <c r="A2927">
        <f>Skills!A7</f>
        <v/>
      </c>
      <c r="B2927">
        <f>Skills!B7</f>
        <v/>
      </c>
      <c r="C2927">
        <f>Inputs!$B$3&gt;=69</f>
        <v/>
      </c>
      <c r="D2927">
        <f>IF(Skills!C7=1,60+Inputs!$B$25+Inputs!$B$29,IF(Skills!C7=2,90+Inputs!$B$26+Inputs!$B$29,IF(Skills!C7=3,120+Inputs!$B$27+Inputs!$B$29,MAX(0,(Inputs!$B$3-100)*3)+Inputs!$B$28+Inputs!$B$29)))</f>
        <v/>
      </c>
      <c r="E2927">
        <f>INDEX(FactorTable!$B$2:$Y$301, MATCH(ROUND(MIN(300,MAX(1,D2927)),0), FactorTable!$A$2:$A$301,0), Skills!M7+1)</f>
        <v/>
      </c>
      <c r="F2927">
        <f>IF(Skills!N7=TRUE,(Skills!L7/10)*(E2927/1000),Skills!L7/10)+Skills!O7</f>
        <v/>
      </c>
      <c r="G2927">
        <f>Skills!G7*IF(Skills!H7&gt;0,Skills!I7/Skills!H7,1)</f>
        <v/>
      </c>
      <c r="H2927">
        <f>1-(1-Skills!J7/100)^Skills!K7</f>
        <v/>
      </c>
      <c r="I2927" t="inlineStr">
        <is>
          <t>1</t>
        </is>
      </c>
      <c r="J2927">
        <f>((Inputs!$B$6*(1+Inputs!$B$7/100))+(((Inputs!$B$12*(1+Inputs!$B$13/100))-(Inputs!$B$12*(1+Inputs!$B$13/100)))+0.25*(Inputs!$B$14-Inputs!$B$14))*(1+Inputs!$B$7/100))*(F2927/100)</f>
        <v/>
      </c>
      <c r="K2927">
        <f>J2927*(1+((Inputs!$B$12*(1+Inputs!$B$13/100))*0.01+Inputs!$B$14*0.0025)/100)*(1+Inputs!$B$15/100)*(1+Inputs!$B$16/100)*(5000/(6000+Inputs!$B$42*(1-(100*(1-(1-(Inputs!$B$19+0)/100)*(1-CHOOSE(ArtifactsInput!$N$40+1,5,6,7,8,9,10)/100)^(ArtifactsInput!$M$40-ArtifactsInput!$M$40)))/100)))*(1+(Inputs!$B$24+((C2944=TRUE)*(F2944-Calc!F24))+((C2945=TRUE)*(F2945-Calc!F25))+B2958)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+1.2*IF(C2928=TRUE,F2928,0)/100)*(1+(IF(Skills!A7="EMPOWERED_PIERCING_ARROW",Inputs!$B$17+((C2942=TRUE)*(F2942-Calc!F22))+(((IF(AND(ArtifactsInput!$M$42,((Inputs!$B$9+((C2939=TRUE)*(F2939-Calc!F19))+B2952+(ArtifactsInput!$M$24-ArtifactsInput!$M$24)*CHOOSE(ArtifactsInput!$N$24+1,10,12,14,16,18,20)+IF(ArtifactsInput!$M$10,CHOOSE(ArtifactsInput!$N$10+1,15,18,21,24,27,30)*(IF(Inputs!$B$38="pvp",MIN(15,15)/15,IF(AND(Inputs!$B$38&lt;&gt;"pvp",Inputs!$B$43&gt;0),MIN(15,Inputs!$B$43)/(Inputs!$B$43),0))),0)))&gt;=100),MIN(100,((Inputs!$B$9+((C2939=TRUE)*(F2939-Calc!F19))+B2952+(ArtifactsInput!$M$24-ArtifactsInput!$M$24)*CHOOSE(ArtifactsInput!$N$24+1,10,12,14,16,18,20)+IF(ArtifactsInput!$M$10,CHOOSE(ArtifactsInput!$N$10+1,15,18,21,24,27,30)*(IF(Inputs!$B$38="pvp",MIN(15,15)/15,IF(AND(Inputs!$B$38&lt;&gt;"pvp",Inputs!$B$43&gt;0),MIN(15,Inputs!$B$43)/(Inputs!$B$43),0))),0)))-100),0))*CHOOSE(ArtifactsInput!$N$42+1,0.6,0.72,0.84,0.96,1.08,1.2))),Inputs!$B$18+((C2947=TRUE)*(F2947-Calc!F27))+(IF(AND(ArtifactsInput!$M$42,((Inputs!$B$9+((C2939=TRUE)*(F2939-Calc!F19))+B2952+(ArtifactsInput!$M$24-ArtifactsInput!$M$24)*CHOOSE(ArtifactsInput!$N$24+1,10,12,14,16,18,20)+IF(ArtifactsInput!$M$10,CHOOSE(ArtifactsInput!$N$10+1,15,18,21,24,27,30)*(IF(Inputs!$B$38="pvp",MIN(15,15)/15,IF(AND(Inputs!$B$38&lt;&gt;"pvp",Inputs!$B$43&gt;0),MIN(15,Inputs!$B$43)/(Inputs!$B$43),0))),0)))&gt;=100),CHOOSE(ArtifactsInput!$N$42+1,40,48,56,64,72,80),0))))/100)*((1+(((C2933=TRUE)*F2933)+((C2934=TRUE)*IF(Inputs!$B$38="pvp",F2934,(1-Summary!$B$11)*(F2934)+Summary!$B$11*(0)))+((C2935=TRUE)*F2935*IF(AND(Inputs!$B$38&lt;&gt;"pvp",Inputs!$B$43&gt;0),(((R2935-1)*(Skills!T15*(1+Inputs!$B$34/100))+MIN((Skills!T15*(1+Inputs!$B$34/100)),MAX(0,Inputs!$B$43-((R2935-1)*Skills!D15))))/Inputs!$B$43),IF(Inputs!$B$38="pvp",MIN((Skills!T15*(1+Inputs!$B$34/100)),15)/15,(Skills!T15*(1+Inputs!$B$34/100))/Skills!D15)))+((C2932=TRUE)*F2932)+((C2949=TRUE)*(F2949-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2927)</f>
        <v/>
      </c>
      <c r="L2927">
        <f>K2927*(MIN(Inputs!$B$22+((C2943=TRUE)*(F2943-Calc!F23)),(Inputs!$B$23+((C2948=TRUE)*(F2948-Calc!F28))+(IF(ArtifactsInput!$M$15,CHOOSE(ArtifactsInput!$N$15+1,25,30,35,40,45,50)/100*(Inputs!$B$11-Inputs!$B$11),0))))/100+(Inputs!$B$23+((C2948=TRUE)*(F2948-Calc!F28))+(IF(ArtifactsInput!$M$15,CHOOSE(ArtifactsInput!$N$15+1,25,30,35,40,45,50)/100*(Inputs!$B$11-Inputs!$B$11),0)))/100)/2</f>
        <v/>
      </c>
      <c r="M2927">
        <f>L2927*(1+(Inputs!$B$10+0+B2957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927">
        <f>L2927*(1-MIN((Inputs!$B$9+((C2939=TRUE)*(F2939-Calc!F19))+B2952+(ArtifactsInput!$M$24-ArtifactsInput!$M$24)*CHOOSE(ArtifactsInput!$N$24+1,10,12,14,16,18,20)+(IF(AND(ArtifactsInput!$M$42,((Inputs!$B$9+((C2939=TRUE)*(F2939-Calc!F19))+B2952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2927*(MIN((Inputs!$B$9+((C2939=TRUE)*(F2939-Calc!F19))+B2952+(ArtifactsInput!$M$24-ArtifactsInput!$M$24)*CHOOSE(ArtifactsInput!$N$24+1,10,12,14,16,18,20)+(IF(AND(ArtifactsInput!$M$42,((Inputs!$B$9+((C2939=TRUE)*(F2939-Calc!F19))+B2952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927">
        <f>(1-Summary!$B$11)*T2927+Summary!$B$11*V2927</f>
        <v/>
      </c>
      <c r="P2927">
        <f>IF(B2962=0,0,O2927/B2962)</f>
        <v/>
      </c>
      <c r="Q2927">
        <f>IFERROR(1/IF(Inputs!$B$38="pvp",15,MAX(0.1,Skills!D7-IF(Skills!E7=TRUE,1.0,0))),0)</f>
        <v/>
      </c>
      <c r="R2927">
        <f>IF(AND(Inputs!$B$38&lt;&gt;"pvp",Inputs!$B$43&gt;0),IF(MAX(0,Inputs!$B$43-B2959)&lt;=0,0,(INT(MAX(0,Inputs!$B$43-B2959)/IF(Inputs!$B$38="pvp",15,MAX(0.1,Skills!D7-IF(Skills!E7=TRUE,1.0,0))))+1)),0)</f>
        <v/>
      </c>
      <c r="S2927">
        <f>IFERROR((H2927*N2927*IF(AND(Inputs!$B$38&lt;&gt;"pvp",Inputs!$B$43&gt;0),((Skills!G7*((R2927-1)*IF(Skills!H7&gt;0,Skills!I7/Skills!H7,1)+IF(Skills!H7&gt;0,MIN(Skills!I7,MAX(0,MAX(0,Inputs!$B$43-B2959)-((R2927-1)*IF(Inputs!$B$38="pvp",15,MAX(0.1,Skills!D7-IF(Skills!E7=TRUE,1.0,0))))))/Skills!H7,1)))/Inputs!$B$43),G2927*Q2927))/N2927*IF(Inputs!$B$38="pvp",1,(1-Summary!$B$11)*1+Summary!$B$11*(MIN(Skills!R7,Inputs!$B$37))),0)</f>
        <v/>
      </c>
      <c r="T2927">
        <f>IF(C2927,(H2927*N2927*IF(AND(Inputs!$B$38&lt;&gt;"pvp",Inputs!$B$43&gt;0),((Skills!G7*((R2927-1)*IF(Skills!H7&gt;0,Skills!I7/Skills!H7,1)+IF(Skills!H7&gt;0,MIN(Skills!I7,MAX(0,MAX(0,Inputs!$B$43-B2959)-((R2927-1)*IF(Inputs!$B$38="pvp",15,MAX(0.1,Skills!D7-IF(Skills!E7=TRUE,1.0,0))))))/Skills!H7,1)))/Inputs!$B$43),G2927*Q2927))*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Hunt"),CHOOSE(ArtifactsInput!$N$35+1,15,18,21,24,27,30)*(1-EXP(-(0.2*B2954)*5)),0)+IF(AND(ArtifactsInput!$M$22,Inputs!$B$4&lt;&gt;"Chapter Hunt"),CHOOSE(ArtifactsInput!$N$22+1,10,12,14,16,18,20)*((0*(((0.15*B2954*5))^0/1)+1*(((0.15*B2954*5))^1/1)+2*(((0.15*B2954*5))^2/2)+3*(((0.15*B2954*5))^3/6)+4*(((0.15*B2954*5))^4/24)+5*(((0.15*B2954*5))^5/120))/((((0.15*B2954*5))^0/1)+(((0.15*B2954*5))^1/1)+(((0.15*B2954*5))^2/2)+(((0.15*B2954*5))^3/6)+(((0.15*B2954*5))^4/24)+(((0.15*B2954*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2927*(1-MIN(100,(Inputs!$B$9+((C2939=TRUE)*(F2939-Calc!F19))+B2952+(ArtifactsInput!$M$24-ArtifactsInput!$M$24)*CHOOSE(ArtifactsInput!$N$24+1,10,12,14,16,18,20)+(IF(AND(ArtifactsInput!$M$42,((Inputs!$B$9+((C2939=TRUE)*(F2939-Calc!F19))+B2952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2927*(MIN(100,(Inputs!$B$9+((C2939=TRUE)*(F2939-Calc!F19))+B2952+(ArtifactsInput!$M$24-ArtifactsInput!$M$24)*CHOOSE(ArtifactsInput!$N$24+1,10,12,14,16,18,20)+(IF(AND(ArtifactsInput!$M$42,((Inputs!$B$9+((C2939=TRUE)*(F2939-Calc!F19))+B2952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2927*(1-MIN(100,(Inputs!$B$9+((C2939=TRUE)*(F2939-Calc!F19))+B2952+(ArtifactsInput!$M$24-ArtifactsInput!$M$24)*CHOOSE(ArtifactsInput!$N$24+1,10,12,14,16,18,20)+(IF(AND(ArtifactsInput!$M$42,((Inputs!$B$9+((C2939=TRUE)*(F2939-Calc!F19))+B2952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2927*(MIN(100,(Inputs!$B$9+((C2939=TRUE)*(F2939-Calc!F19))+B2952+(ArtifactsInput!$M$24-ArtifactsInput!$M$24)*CHOOSE(ArtifactsInput!$N$24+1,10,12,14,16,18,20)+(IF(AND(ArtifactsInput!$M$42,((Inputs!$B$9+((C2939=TRUE)*(F2939-Calc!F19))+B2952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927">
        <f>IF(C2927,(H2927*N2927*IF(AND(Inputs!$B$38&lt;&gt;"pvp",Inputs!$B$43&gt;0),((Skills!G7*((R2927-1)*IF(Skills!H7&gt;0,Skills!I7/Skills!H7,1)+IF(Skills!H7&gt;0,MIN(Skills!I7,MAX(0,MAX(0,Inputs!$B$43-B2959)-((R2927-1)*IF(Inputs!$B$38="pvp",15,MAX(0.1,Skills!D7-IF(Skills!E7=TRUE,1.0,0))))))/Skills!H7,1)))/Inputs!$B$43),G2927*Q2927))*IF(Inputs!$B$38="pvp",1,(1+(Inputs!$B$21+Skills!Q7+(IF(ArtifactsInput!$M$33,CHOOSE(ArtifactsInput!$N$33+1,30,36,42,48,54,60),0))+(IF(AND(ArtifactsInput!$M$35,Inputs!$B$4&lt;&gt;"Chapter Hunt"),CHOOSE(ArtifactsInput!$N$35+1,15,18,21,24,27,30)*(1-EXP(-(0.2*B2954)*5)),0)+IF(AND(ArtifactsInput!$M$22,Inputs!$B$4&lt;&gt;"Chapter Hunt"),CHOOSE(ArtifactsInput!$N$22+1,10,12,14,16,18,20)*((0*(((0.15*B2954*5))^0/1)+1*(((0.15*B2954*5))^1/1)+2*(((0.15*B2954*5))^2/2)+3*(((0.15*B2954*5))^3/6)+4*(((0.15*B2954*5))^4/24)+5*(((0.15*B2954*5))^5/120))/((((0.15*B2954*5))^0/1)+(((0.15*B2954*5))^1/1)+(((0.15*B2954*5))^2/2)+(((0.15*B2954*5))^3/6)+(((0.15*B2954*5))^4/24)+(((0.15*B2954*5))^5/120))),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928">
      <c r="A2928">
        <f>Skills!A8</f>
        <v/>
      </c>
      <c r="B2928">
        <f>Skills!B8</f>
        <v/>
      </c>
      <c r="C2928">
        <f>Inputs!$B$3&gt;=100</f>
        <v/>
      </c>
      <c r="D2928">
        <f>IF(Skills!C8=1,60+Inputs!$B$25+Inputs!$B$29,IF(Skills!C8=2,90+Inputs!$B$26+Inputs!$B$29,IF(Skills!C8=3,120+Inputs!$B$27+Inputs!$B$29,MAX(0,(Inputs!$B$3-100)*3)+Inputs!$B$28+Inputs!$B$29)))</f>
        <v/>
      </c>
      <c r="E2928">
        <f>INDEX(FactorTable!$B$2:$Y$301, MATCH(ROUND(MIN(300,MAX(1,D2928)),0), FactorTable!$A$2:$A$301,0), Skills!M8+1)</f>
        <v/>
      </c>
      <c r="F2928">
        <f>IF(Skills!N8=TRUE,(Skills!L8/10)*(E2928/1000),Skills!L8/10)+Skills!O8</f>
        <v/>
      </c>
      <c r="G2928" t="inlineStr"/>
      <c r="H2928" t="inlineStr"/>
      <c r="I2928" t="inlineStr">
        <is>
          <t>1</t>
        </is>
      </c>
      <c r="J2928" t="inlineStr"/>
      <c r="K2928" t="inlineStr"/>
      <c r="L2928" t="inlineStr"/>
      <c r="M2928" t="inlineStr"/>
      <c r="N2928" t="inlineStr"/>
      <c r="O2928" t="inlineStr"/>
      <c r="P2928" t="inlineStr"/>
      <c r="Q2928" t="inlineStr"/>
      <c r="R2928" t="inlineStr"/>
      <c r="S2928" t="inlineStr"/>
      <c r="T2928" t="inlineStr"/>
      <c r="V2928" t="inlineStr"/>
    </row>
    <row r="2929">
      <c r="A2929">
        <f>Skills!A9</f>
        <v/>
      </c>
      <c r="B2929">
        <f>Skills!B9</f>
        <v/>
      </c>
      <c r="C2929">
        <f>Inputs!$B$3&gt;=103</f>
        <v/>
      </c>
      <c r="D2929">
        <f>IF(Skills!C9=1,60+Inputs!$B$25+Inputs!$B$29,IF(Skills!C9=2,90+Inputs!$B$26+Inputs!$B$29,IF(Skills!C9=3,120+Inputs!$B$27+Inputs!$B$29,MAX(0,(Inputs!$B$3-100)*3)+Inputs!$B$28+Inputs!$B$29)))</f>
        <v/>
      </c>
      <c r="E2929">
        <f>INDEX(FactorTable!$B$2:$Y$301, MATCH(ROUND(MIN(300,MAX(1,D2929)),0), FactorTable!$A$2:$A$301,0), Skills!M9+1)</f>
        <v/>
      </c>
      <c r="F2929">
        <f>IF(Skills!N9=TRUE,(Skills!L9/10)*(E2929/1000),Skills!L9/10)+Skills!O9</f>
        <v/>
      </c>
      <c r="G2929">
        <f>Skills!G9*IF(Skills!H9&gt;0,Skills!I9/Skills!H9,1)</f>
        <v/>
      </c>
      <c r="H2929">
        <f>1-(1-Skills!J9/100)^Skills!K9</f>
        <v/>
      </c>
      <c r="I2929" t="inlineStr">
        <is>
          <t>1</t>
        </is>
      </c>
      <c r="J2929">
        <f>((Inputs!$B$6*(1+Inputs!$B$7/100))+(((Inputs!$B$12*(1+Inputs!$B$13/100))-(Inputs!$B$12*(1+Inputs!$B$13/100)))+0.25*(Inputs!$B$14-Inputs!$B$14))*(1+Inputs!$B$7/100))*(F2929/100)</f>
        <v/>
      </c>
      <c r="K2929">
        <f>J2929*(1+((Inputs!$B$12*(1+Inputs!$B$13/100))*0.01+Inputs!$B$14*0.0025)/100)*(1+Inputs!$B$15/100)*(1+Inputs!$B$16/100)*(5000/(6000+Inputs!$B$42*(1-(100*(1-(1-(Inputs!$B$19+0)/100)*(1-CHOOSE(ArtifactsInput!$N$40+1,5,6,7,8,9,10)/100)^(ArtifactsInput!$M$40-ArtifactsInput!$M$40)))/100)))*(1+(Inputs!$B$24+((C2944=TRUE)*(F2944-Calc!F24))+((C2945=TRUE)*(F2945-Calc!F25))+B2958)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EMPOWERED_PIERCING_ARROW",Inputs!$B$17+((C2942=TRUE)*(F2942-Calc!F22))+(((IF(AND(ArtifactsInput!$M$42,((Inputs!$B$9+((C2939=TRUE)*(F2939-Calc!F19))+B2952+(ArtifactsInput!$M$24-ArtifactsInput!$M$24)*CHOOSE(ArtifactsInput!$N$24+1,10,12,14,16,18,20)+IF(ArtifactsInput!$M$10,CHOOSE(ArtifactsInput!$N$10+1,15,18,21,24,27,30)*(IF(Inputs!$B$38="pvp",MIN(15,15)/15,IF(AND(Inputs!$B$38&lt;&gt;"pvp",Inputs!$B$43&gt;0),MIN(15,Inputs!$B$43)/(Inputs!$B$43),0))),0)))&gt;=100),MIN(100,((Inputs!$B$9+((C2939=TRUE)*(F2939-Calc!F19))+B2952+(ArtifactsInput!$M$24-ArtifactsInput!$M$24)*CHOOSE(ArtifactsInput!$N$24+1,10,12,14,16,18,20)+IF(ArtifactsInput!$M$10,CHOOSE(ArtifactsInput!$N$10+1,15,18,21,24,27,30)*(IF(Inputs!$B$38="pvp",MIN(15,15)/15,IF(AND(Inputs!$B$38&lt;&gt;"pvp",Inputs!$B$43&gt;0),MIN(15,Inputs!$B$43)/(Inputs!$B$43),0))),0)))-100),0))*CHOOSE(ArtifactsInput!$N$42+1,0.6,0.72,0.84,0.96,1.08,1.2))),Inputs!$B$18+((C2947=TRUE)*(F2947-Calc!F27))+(IF(AND(ArtifactsInput!$M$42,((Inputs!$B$9+((C2939=TRUE)*(F2939-Calc!F19))+B2952+(ArtifactsInput!$M$24-ArtifactsInput!$M$24)*CHOOSE(ArtifactsInput!$N$24+1,10,12,14,16,18,20)+IF(ArtifactsInput!$M$10,CHOOSE(ArtifactsInput!$N$10+1,15,18,21,24,27,30)*(IF(Inputs!$B$38="pvp",MIN(15,15)/15,IF(AND(Inputs!$B$38&lt;&gt;"pvp",Inputs!$B$43&gt;0),MIN(15,Inputs!$B$43)/(Inputs!$B$43),0))),0)))&gt;=100),CHOOSE(ArtifactsInput!$N$42+1,40,48,56,64,72,80),0))))/100)*((1+(((C2933=TRUE)*F2933)+((C2934=TRUE)*IF(Inputs!$B$38="pvp",F2934,(1-Summary!$B$11)*(F2934)+Summary!$B$11*(0)))+((C2935=TRUE)*F2935*IF(AND(Inputs!$B$38&lt;&gt;"pvp",Inputs!$B$43&gt;0),(((R2935-1)*(Skills!T15*(1+Inputs!$B$34/100))+MIN((Skills!T15*(1+Inputs!$B$34/100)),MAX(0,Inputs!$B$43-((R2935-1)*Skills!D15))))/Inputs!$B$43),IF(Inputs!$B$38="pvp",MIN((Skills!T15*(1+Inputs!$B$34/100)),15)/15,(Skills!T15*(1+Inputs!$B$34/100))/Skills!D15)))+((C2932=TRUE)*F2932)+((C2949=TRUE)*(F2949-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2929)</f>
        <v/>
      </c>
      <c r="L2929">
        <f>K2929*(MIN(Inputs!$B$22+((C2943=TRUE)*(F2943-Calc!F23)),(Inputs!$B$23+((C2948=TRUE)*(F2948-Calc!F28))+(IF(ArtifactsInput!$M$15,CHOOSE(ArtifactsInput!$N$15+1,25,30,35,40,45,50)/100*(Inputs!$B$11-Inputs!$B$11),0))))/100+(Inputs!$B$23+((C2948=TRUE)*(F2948-Calc!F28))+(IF(ArtifactsInput!$M$15,CHOOSE(ArtifactsInput!$N$15+1,25,30,35,40,45,50)/100*(Inputs!$B$11-Inputs!$B$11),0)))/100)/2</f>
        <v/>
      </c>
      <c r="M2929">
        <f>L2929*(1+(Inputs!$B$10+0+B2957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929">
        <f>L2929*(1-MIN((Inputs!$B$9+((C2939=TRUE)*(F2939-Calc!F19))+B2952+(ArtifactsInput!$M$24-ArtifactsInput!$M$24)*CHOOSE(ArtifactsInput!$N$24+1,10,12,14,16,18,20)+(IF(AND(ArtifactsInput!$M$42,((Inputs!$B$9+((C2939=TRUE)*(F2939-Calc!F19))+B2952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2929*(MIN((Inputs!$B$9+((C2939=TRUE)*(F2939-Calc!F19))+B2952+(ArtifactsInput!$M$24-ArtifactsInput!$M$24)*CHOOSE(ArtifactsInput!$N$24+1,10,12,14,16,18,20)+(IF(AND(ArtifactsInput!$M$42,((Inputs!$B$9+((C2939=TRUE)*(F2939-Calc!F19))+B2952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929">
        <f>(1-Summary!$B$11)*T2929+Summary!$B$11*V2929</f>
        <v/>
      </c>
      <c r="P2929">
        <f>IF(B2962=0,0,O2929/B2962)</f>
        <v/>
      </c>
      <c r="Q2929">
        <f>IFERROR(1/IF(Inputs!$B$38="pvp",15,MAX(0.1,Skills!D9-IF(Skills!E9=TRUE,1.0,0))),0)</f>
        <v/>
      </c>
      <c r="R2929">
        <f>IF(AND(Inputs!$B$38&lt;&gt;"pvp",Inputs!$B$43&gt;0),IF(MAX(0,Inputs!$B$43-B2959)&lt;=0,0,(INT(MAX(0,Inputs!$B$43-B2959)/IF(Inputs!$B$38="pvp",15,MAX(0.1,Skills!D9-IF(Skills!E9=TRUE,1.0,0))))+1)),0)</f>
        <v/>
      </c>
      <c r="S2929">
        <f>IFERROR((H2929*N2929*IF(AND(Inputs!$B$38&lt;&gt;"pvp",Inputs!$B$43&gt;0),((Skills!G9*((R2929-1)*IF(Skills!H9&gt;0,Skills!I9/Skills!H9,1)+IF(Skills!H9&gt;0,MIN(Skills!I9,MAX(0,MAX(0,Inputs!$B$43-B2959)-((R2929-1)*IF(Inputs!$B$38="pvp",15,MAX(0.1,Skills!D9-IF(Skills!E9=TRUE,1.0,0))))))/Skills!H9,1)))/Inputs!$B$43),G2929*Q2929))/N2929*IF(Inputs!$B$38="pvp",1,(1-Summary!$B$11)*1+Summary!$B$11*(MIN(Skills!R9,Inputs!$B$37))),0)</f>
        <v/>
      </c>
      <c r="T2929">
        <f>IF(C2929,(H2929*N2929*IF(AND(Inputs!$B$38&lt;&gt;"pvp",Inputs!$B$43&gt;0),((Skills!G9*((R2929-1)*IF(Skills!H9&gt;0,Skills!I9/Skills!H9,1)+IF(Skills!H9&gt;0,MIN(Skills!I9,MAX(0,MAX(0,Inputs!$B$43-B2959)-((R2929-1)*IF(Inputs!$B$38="pvp",15,MAX(0.1,Skills!D9-IF(Skills!E9=TRUE,1.0,0))))))/Skills!H9,1)))/Inputs!$B$43),G2929*Q2929))*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Hunt"),CHOOSE(ArtifactsInput!$N$35+1,15,18,21,24,27,30)*(1-EXP(-(0.2*B2954)*5)),0)+IF(AND(ArtifactsInput!$M$22,Inputs!$B$4&lt;&gt;"Chapter Hunt"),CHOOSE(ArtifactsInput!$N$22+1,10,12,14,16,18,20)*((0*(((0.15*B2954*5))^0/1)+1*(((0.15*B2954*5))^1/1)+2*(((0.15*B2954*5))^2/2)+3*(((0.15*B2954*5))^3/6)+4*(((0.15*B2954*5))^4/24)+5*(((0.15*B2954*5))^5/120))/((((0.15*B2954*5))^0/1)+(((0.15*B2954*5))^1/1)+(((0.15*B2954*5))^2/2)+(((0.15*B2954*5))^3/6)+(((0.15*B2954*5))^4/24)+(((0.15*B2954*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2929*(1-MIN(100,(Inputs!$B$9+((C2939=TRUE)*(F2939-Calc!F19))+B2952+(ArtifactsInput!$M$24-ArtifactsInput!$M$24)*CHOOSE(ArtifactsInput!$N$24+1,10,12,14,16,18,20)+(IF(AND(ArtifactsInput!$M$42,((Inputs!$B$9+((C2939=TRUE)*(F2939-Calc!F19))+B2952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2929*(MIN(100,(Inputs!$B$9+((C2939=TRUE)*(F2939-Calc!F19))+B2952+(ArtifactsInput!$M$24-ArtifactsInput!$M$24)*CHOOSE(ArtifactsInput!$N$24+1,10,12,14,16,18,20)+(IF(AND(ArtifactsInput!$M$42,((Inputs!$B$9+((C2939=TRUE)*(F2939-Calc!F19))+B2952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2929*(1-MIN(100,(Inputs!$B$9+((C2939=TRUE)*(F2939-Calc!F19))+B2952+(ArtifactsInput!$M$24-ArtifactsInput!$M$24)*CHOOSE(ArtifactsInput!$N$24+1,10,12,14,16,18,20)+(IF(AND(ArtifactsInput!$M$42,((Inputs!$B$9+((C2939=TRUE)*(F2939-Calc!F19))+B2952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2929*(MIN(100,(Inputs!$B$9+((C2939=TRUE)*(F2939-Calc!F19))+B2952+(ArtifactsInput!$M$24-ArtifactsInput!$M$24)*CHOOSE(ArtifactsInput!$N$24+1,10,12,14,16,18,20)+(IF(AND(ArtifactsInput!$M$42,((Inputs!$B$9+((C2939=TRUE)*(F2939-Calc!F19))+B2952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929">
        <f>IF(C2929,(H2929*N2929*IF(AND(Inputs!$B$38&lt;&gt;"pvp",Inputs!$B$43&gt;0),((Skills!G9*((R2929-1)*IF(Skills!H9&gt;0,Skills!I9/Skills!H9,1)+IF(Skills!H9&gt;0,MIN(Skills!I9,MAX(0,MAX(0,Inputs!$B$43-B2959)-((R2929-1)*IF(Inputs!$B$38="pvp",15,MAX(0.1,Skills!D9-IF(Skills!E9=TRUE,1.0,0))))))/Skills!H9,1)))/Inputs!$B$43),G2929*Q2929))*IF(Inputs!$B$38="pvp",1,(1+(Inputs!$B$21+Skills!Q9+(IF(ArtifactsInput!$M$33,CHOOSE(ArtifactsInput!$N$33+1,30,36,42,48,54,60),0))+(IF(AND(ArtifactsInput!$M$35,Inputs!$B$4&lt;&gt;"Chapter Hunt"),CHOOSE(ArtifactsInput!$N$35+1,15,18,21,24,27,30)*(1-EXP(-(0.2*B2954)*5)),0)+IF(AND(ArtifactsInput!$M$22,Inputs!$B$4&lt;&gt;"Chapter Hunt"),CHOOSE(ArtifactsInput!$N$22+1,10,12,14,16,18,20)*((0*(((0.15*B2954*5))^0/1)+1*(((0.15*B2954*5))^1/1)+2*(((0.15*B2954*5))^2/2)+3*(((0.15*B2954*5))^3/6)+4*(((0.15*B2954*5))^4/24)+5*(((0.15*B2954*5))^5/120))/((((0.15*B2954*5))^0/1)+(((0.15*B2954*5))^1/1)+(((0.15*B2954*5))^2/2)+(((0.15*B2954*5))^3/6)+(((0.15*B2954*5))^4/24)+(((0.15*B2954*5))^5/120)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930">
      <c r="A2930">
        <f>Skills!A10</f>
        <v/>
      </c>
      <c r="B2930">
        <f>Skills!B10</f>
        <v/>
      </c>
      <c r="C2930">
        <f>Inputs!$B$3&gt;=107</f>
        <v/>
      </c>
      <c r="D2930">
        <f>IF(Skills!C10=1,60+Inputs!$B$25+Inputs!$B$29,IF(Skills!C10=2,90+Inputs!$B$26+Inputs!$B$29,IF(Skills!C10=3,120+Inputs!$B$27+Inputs!$B$29,MAX(0,(Inputs!$B$3-100)*3)+Inputs!$B$28+Inputs!$B$29)))</f>
        <v/>
      </c>
      <c r="E2930">
        <f>INDEX(FactorTable!$B$2:$Y$301, MATCH(ROUND(MIN(300,MAX(1,D2930)),0), FactorTable!$A$2:$A$301,0), Skills!M10+1)</f>
        <v/>
      </c>
      <c r="F2930">
        <f>IF(Skills!N10=TRUE,(Skills!L10/10)*(E2930/1000),Skills!L10/10)+Skills!O10</f>
        <v/>
      </c>
      <c r="G2930">
        <f>Skills!G10*IF(Skills!H10&gt;0,Skills!I10/Skills!H10,1)</f>
        <v/>
      </c>
      <c r="H2930">
        <f>1-(1-Skills!J10/100)^Skills!K10</f>
        <v/>
      </c>
      <c r="I2930" t="inlineStr">
        <is>
          <t>1</t>
        </is>
      </c>
      <c r="J2930">
        <f>((Inputs!$B$6*(1+Inputs!$B$7/100))+(((Inputs!$B$12*(1+Inputs!$B$13/100))-(Inputs!$B$12*(1+Inputs!$B$13/100)))+0.25*(Inputs!$B$14-Inputs!$B$14))*(1+Inputs!$B$7/100))*(F2930/100)</f>
        <v/>
      </c>
      <c r="K2930">
        <f>J2930*(1+((Inputs!$B$12*(1+Inputs!$B$13/100))*0.01+Inputs!$B$14*0.0025)/100)*(1+Inputs!$B$15/100)*(1+Inputs!$B$16/100)*(5000/(6000+Inputs!$B$42*(1-(100*(1-(1-(Inputs!$B$19+0)/100)*(1-CHOOSE(ArtifactsInput!$N$40+1,5,6,7,8,9,10)/100)^(ArtifactsInput!$M$40-ArtifactsInput!$M$40)))/100)))*(1+(Inputs!$B$24+((C2944=TRUE)*(F2944-Calc!F24))+((C2945=TRUE)*(F2945-Calc!F25))+B2958)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EMPOWERED_PIERCING_ARROW",Inputs!$B$17+((C2942=TRUE)*(F2942-Calc!F22))+(((IF(AND(ArtifactsInput!$M$42,((Inputs!$B$9+((C2939=TRUE)*(F2939-Calc!F19))+B2952+(ArtifactsInput!$M$24-ArtifactsInput!$M$24)*CHOOSE(ArtifactsInput!$N$24+1,10,12,14,16,18,20)+IF(ArtifactsInput!$M$10,CHOOSE(ArtifactsInput!$N$10+1,15,18,21,24,27,30)*(IF(Inputs!$B$38="pvp",MIN(15,15)/15,IF(AND(Inputs!$B$38&lt;&gt;"pvp",Inputs!$B$43&gt;0),MIN(15,Inputs!$B$43)/(Inputs!$B$43),0))),0)))&gt;=100),MIN(100,((Inputs!$B$9+((C2939=TRUE)*(F2939-Calc!F19))+B2952+(ArtifactsInput!$M$24-ArtifactsInput!$M$24)*CHOOSE(ArtifactsInput!$N$24+1,10,12,14,16,18,20)+IF(ArtifactsInput!$M$10,CHOOSE(ArtifactsInput!$N$10+1,15,18,21,24,27,30)*(IF(Inputs!$B$38="pvp",MIN(15,15)/15,IF(AND(Inputs!$B$38&lt;&gt;"pvp",Inputs!$B$43&gt;0),MIN(15,Inputs!$B$43)/(Inputs!$B$43),0))),0)))-100),0))*CHOOSE(ArtifactsInput!$N$42+1,0.6,0.72,0.84,0.96,1.08,1.2))),Inputs!$B$18+((C2947=TRUE)*(F2947-Calc!F27))+(IF(AND(ArtifactsInput!$M$42,((Inputs!$B$9+((C2939=TRUE)*(F2939-Calc!F19))+B2952+(ArtifactsInput!$M$24-ArtifactsInput!$M$24)*CHOOSE(ArtifactsInput!$N$24+1,10,12,14,16,18,20)+IF(ArtifactsInput!$M$10,CHOOSE(ArtifactsInput!$N$10+1,15,18,21,24,27,30)*(IF(Inputs!$B$38="pvp",MIN(15,15)/15,IF(AND(Inputs!$B$38&lt;&gt;"pvp",Inputs!$B$43&gt;0),MIN(15,Inputs!$B$43)/(Inputs!$B$43),0))),0)))&gt;=100),CHOOSE(ArtifactsInput!$N$42+1,40,48,56,64,72,80),0))))/100)*((1+(((C2933=TRUE)*F2933)+((C2934=TRUE)*IF(Inputs!$B$38="pvp",F2934,(1-Summary!$B$11)*(F2934)+Summary!$B$11*(0)))+((C2935=TRUE)*F2935*IF(AND(Inputs!$B$38&lt;&gt;"pvp",Inputs!$B$43&gt;0),(((R2935-1)*(Skills!T15*(1+Inputs!$B$34/100))+MIN((Skills!T15*(1+Inputs!$B$34/100)),MAX(0,Inputs!$B$43-((R2935-1)*Skills!D15))))/Inputs!$B$43),IF(Inputs!$B$38="pvp",MIN((Skills!T15*(1+Inputs!$B$34/100)),15)/15,(Skills!T15*(1+Inputs!$B$34/100))/Skills!D15)))+((C2932=TRUE)*F2932)+((C2949=TRUE)*(F2949-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2930)</f>
        <v/>
      </c>
      <c r="L2930">
        <f>K2930*(MIN(Inputs!$B$22+((C2943=TRUE)*(F2943-Calc!F23)),(Inputs!$B$23+((C2948=TRUE)*(F2948-Calc!F28))+(IF(ArtifactsInput!$M$15,CHOOSE(ArtifactsInput!$N$15+1,25,30,35,40,45,50)/100*(Inputs!$B$11-Inputs!$B$11),0))))/100+(Inputs!$B$23+((C2948=TRUE)*(F2948-Calc!F28))+(IF(ArtifactsInput!$M$15,CHOOSE(ArtifactsInput!$N$15+1,25,30,35,40,45,50)/100*(Inputs!$B$11-Inputs!$B$11),0)))/100)/2</f>
        <v/>
      </c>
      <c r="M2930">
        <f>L2930*(1+(Inputs!$B$10+0+B2957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930">
        <f>L2930*(1-MIN((Inputs!$B$9+((C2939=TRUE)*(F2939-Calc!F19))+B2952+(ArtifactsInput!$M$24-ArtifactsInput!$M$24)*CHOOSE(ArtifactsInput!$N$24+1,10,12,14,16,18,20)+(IF(AND(ArtifactsInput!$M$42,((Inputs!$B$9+((C2939=TRUE)*(F2939-Calc!F19))+B2952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2930*(MIN((Inputs!$B$9+((C2939=TRUE)*(F2939-Calc!F19))+B2952+(ArtifactsInput!$M$24-ArtifactsInput!$M$24)*CHOOSE(ArtifactsInput!$N$24+1,10,12,14,16,18,20)+(IF(AND(ArtifactsInput!$M$42,((Inputs!$B$9+((C2939=TRUE)*(F2939-Calc!F19))+B2952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930">
        <f>(1-Summary!$B$11)*T2930+Summary!$B$11*V2930</f>
        <v/>
      </c>
      <c r="P2930">
        <f>IF(B2962=0,0,O2930/B2962)</f>
        <v/>
      </c>
      <c r="Q2930" t="n">
        <v>0</v>
      </c>
      <c r="R2930" t="n">
        <v>0</v>
      </c>
      <c r="S2930" t="n">
        <v>0</v>
      </c>
      <c r="T2930">
        <f>IF(C2930,(0.15*SUMPRODUCT((Skills!U2:U29=TRUE)*(C2922:C2949=TRUE)*S2922:S2949)*Skills!G10*N2930)*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Hunt"),CHOOSE(ArtifactsInput!$N$35+1,15,18,21,24,27,30)*(1-EXP(-(0.2*B2954)*5)),0)+IF(AND(ArtifactsInput!$M$22,Inputs!$B$4&lt;&gt;"Chapter Hunt"),CHOOSE(ArtifactsInput!$N$22+1,10,12,14,16,18,20)*((0*(((0.15*B2954*5))^0/1)+1*(((0.15*B2954*5))^1/1)+2*(((0.15*B2954*5))^2/2)+3*(((0.15*B2954*5))^3/6)+4*(((0.15*B2954*5))^4/24)+5*(((0.15*B2954*5))^5/120))/((((0.15*B2954*5))^0/1)+(((0.15*B2954*5))^1/1)+(((0.15*B2954*5))^2/2)+(((0.15*B2954*5))^3/6)+(((0.15*B2954*5))^4/24)+(((0.15*B2954*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2930*(1-MIN(100,(Inputs!$B$9+((C2939=TRUE)*(F2939-Calc!F19))+B2952+(ArtifactsInput!$M$24-ArtifactsInput!$M$24)*CHOOSE(ArtifactsInput!$N$24+1,10,12,14,16,18,20)+(IF(AND(ArtifactsInput!$M$42,((Inputs!$B$9+((C2939=TRUE)*(F2939-Calc!F19))+B2952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2930*(MIN(100,(Inputs!$B$9+((C2939=TRUE)*(F2939-Calc!F19))+B2952+(ArtifactsInput!$M$24-ArtifactsInput!$M$24)*CHOOSE(ArtifactsInput!$N$24+1,10,12,14,16,18,20)+(IF(AND(ArtifactsInput!$M$42,((Inputs!$B$9+((C2939=TRUE)*(F2939-Calc!F19))+B2952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2930*(1-MIN(100,(Inputs!$B$9+((C2939=TRUE)*(F2939-Calc!F19))+B2952+(ArtifactsInput!$M$24-ArtifactsInput!$M$24)*CHOOSE(ArtifactsInput!$N$24+1,10,12,14,16,18,20)+(IF(AND(ArtifactsInput!$M$42,((Inputs!$B$9+((C2939=TRUE)*(F2939-Calc!F19))+B2952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2930*(MIN(100,(Inputs!$B$9+((C2939=TRUE)*(F2939-Calc!F19))+B2952+(ArtifactsInput!$M$24-ArtifactsInput!$M$24)*CHOOSE(ArtifactsInput!$N$24+1,10,12,14,16,18,20)+(IF(AND(ArtifactsInput!$M$42,((Inputs!$B$9+((C2939=TRUE)*(F2939-Calc!F19))+B2952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930">
        <f>IF(C2930,(0.15*SUMPRODUCT((Skills!U2:U29=TRUE)*(C2922:C2949=TRUE)*S2922:S2949)*Skills!G10*N2930)*IF(Inputs!$B$38="pvp",1,(1+(Inputs!$B$21+Skills!Q10+(IF(ArtifactsInput!$M$33,CHOOSE(ArtifactsInput!$N$33+1,30,36,42,48,54,60),0))+(IF(AND(ArtifactsInput!$M$35,Inputs!$B$4&lt;&gt;"Chapter Hunt"),CHOOSE(ArtifactsInput!$N$35+1,15,18,21,24,27,30)*(1-EXP(-(0.2*B2954)*5)),0)+IF(AND(ArtifactsInput!$M$22,Inputs!$B$4&lt;&gt;"Chapter Hunt"),CHOOSE(ArtifactsInput!$N$22+1,10,12,14,16,18,20)*((0*(((0.15*B2954*5))^0/1)+1*(((0.15*B2954*5))^1/1)+2*(((0.15*B2954*5))^2/2)+3*(((0.15*B2954*5))^3/6)+4*(((0.15*B2954*5))^4/24)+5*(((0.15*B2954*5))^5/120))/((((0.15*B2954*5))^0/1)+(((0.15*B2954*5))^1/1)+(((0.15*B2954*5))^2/2)+(((0.15*B2954*5))^3/6)+(((0.15*B2954*5))^4/24)+(((0.15*B2954*5))^5/120)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931">
      <c r="A2931">
        <f>Skills!A11</f>
        <v/>
      </c>
      <c r="B2931">
        <f>Skills!B11</f>
        <v/>
      </c>
      <c r="C2931">
        <f>Inputs!$B$3&gt;=110</f>
        <v/>
      </c>
      <c r="D2931">
        <f>IF(Skills!C11=1,60+Inputs!$B$25+Inputs!$B$29,IF(Skills!C11=2,90+Inputs!$B$26+Inputs!$B$29,IF(Skills!C11=3,120+Inputs!$B$27+Inputs!$B$29,MAX(0,(Inputs!$B$3-100)*3)+Inputs!$B$28+Inputs!$B$29)))</f>
        <v/>
      </c>
      <c r="E2931">
        <f>INDEX(FactorTable!$B$2:$Y$301, MATCH(ROUND(MIN(300,MAX(1,D2931)),0), FactorTable!$A$2:$A$301,0), Skills!M11+1)</f>
        <v/>
      </c>
      <c r="F2931">
        <f>IF(Skills!N11=TRUE,(Skills!L11/10)*(E2931/1000),Skills!L11/10)+Skills!O11</f>
        <v/>
      </c>
      <c r="G2931">
        <f>Skills!G11*IF(Skills!H11&gt;0,Skills!I11/Skills!H11,1)</f>
        <v/>
      </c>
      <c r="H2931">
        <f>1-(1-Skills!J11/100)^Skills!K11</f>
        <v/>
      </c>
      <c r="I2931" t="inlineStr">
        <is>
          <t>1</t>
        </is>
      </c>
      <c r="J2931">
        <f>((Inputs!$B$6*(1+Inputs!$B$7/100))+(((Inputs!$B$12*(1+Inputs!$B$13/100))-(Inputs!$B$12*(1+Inputs!$B$13/100)))+0.25*(Inputs!$B$14-Inputs!$B$14))*(1+Inputs!$B$7/100))*(F2931/100)</f>
        <v/>
      </c>
      <c r="K2931">
        <f>J2931*(1+((Inputs!$B$12*(1+Inputs!$B$13/100))*0.01+Inputs!$B$14*0.0025)/100)*(1+Inputs!$B$15/100)*(1+Inputs!$B$16/100)*(5000/(6000+Inputs!$B$42*(1-(100*(1-(1-(Inputs!$B$19+0)/100)*(1-CHOOSE(ArtifactsInput!$N$40+1,5,6,7,8,9,10)/100)^(ArtifactsInput!$M$40-ArtifactsInput!$M$40)))/100)))*(1+(Inputs!$B$24+((C2944=TRUE)*(F2944-Calc!F24))+((C2945=TRUE)*(F2945-Calc!F25))+B2958)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11="EMPOWERED_PIERCING_ARROW",Inputs!$B$17+((C2942=TRUE)*(F2942-Calc!F22))+(((IF(AND(ArtifactsInput!$M$42,((Inputs!$B$9+((C2939=TRUE)*(F2939-Calc!F19))+B2952+(ArtifactsInput!$M$24-ArtifactsInput!$M$24)*CHOOSE(ArtifactsInput!$N$24+1,10,12,14,16,18,20)+IF(ArtifactsInput!$M$10,CHOOSE(ArtifactsInput!$N$10+1,15,18,21,24,27,30)*(IF(Inputs!$B$38="pvp",MIN(15,15)/15,IF(AND(Inputs!$B$38&lt;&gt;"pvp",Inputs!$B$43&gt;0),MIN(15,Inputs!$B$43)/(Inputs!$B$43),0))),0)))&gt;=100),MIN(100,((Inputs!$B$9+((C2939=TRUE)*(F2939-Calc!F19))+B2952+(ArtifactsInput!$M$24-ArtifactsInput!$M$24)*CHOOSE(ArtifactsInput!$N$24+1,10,12,14,16,18,20)+IF(ArtifactsInput!$M$10,CHOOSE(ArtifactsInput!$N$10+1,15,18,21,24,27,30)*(IF(Inputs!$B$38="pvp",MIN(15,15)/15,IF(AND(Inputs!$B$38&lt;&gt;"pvp",Inputs!$B$43&gt;0),MIN(15,Inputs!$B$43)/(Inputs!$B$43),0))),0)))-100),0))*CHOOSE(ArtifactsInput!$N$42+1,0.6,0.72,0.84,0.96,1.08,1.2))),Inputs!$B$18+((C2947=TRUE)*(F2947-Calc!F27))+(IF(AND(ArtifactsInput!$M$42,((Inputs!$B$9+((C2939=TRUE)*(F2939-Calc!F19))+B2952+(ArtifactsInput!$M$24-ArtifactsInput!$M$24)*CHOOSE(ArtifactsInput!$N$24+1,10,12,14,16,18,20)+IF(ArtifactsInput!$M$10,CHOOSE(ArtifactsInput!$N$10+1,15,18,21,24,27,30)*(IF(Inputs!$B$38="pvp",MIN(15,15)/15,IF(AND(Inputs!$B$38&lt;&gt;"pvp",Inputs!$B$43&gt;0),MIN(15,Inputs!$B$43)/(Inputs!$B$43),0))),0)))&gt;=100),CHOOSE(ArtifactsInput!$N$42+1,40,48,56,64,72,80),0))))/100)*((1+(((C2933=TRUE)*F2933)+((C2934=TRUE)*IF(Inputs!$B$38="pvp",F2934,(1-Summary!$B$11)*(F2934)+Summary!$B$11*(0)))+((C2935=TRUE)*F2935*IF(AND(Inputs!$B$38&lt;&gt;"pvp",Inputs!$B$43&gt;0),(((R2935-1)*(Skills!T15*(1+Inputs!$B$34/100))+MIN((Skills!T15*(1+Inputs!$B$34/100)),MAX(0,Inputs!$B$43-((R2935-1)*Skills!D15))))/Inputs!$B$43),IF(Inputs!$B$38="pvp",MIN((Skills!T15*(1+Inputs!$B$34/100)),15)/15,(Skills!T15*(1+Inputs!$B$34/100))/Skills!D15)))+((C2932=TRUE)*F2932)+((C2949=TRUE)*(F2949-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2931)</f>
        <v/>
      </c>
      <c r="L2931">
        <f>K2931*(MIN(Inputs!$B$22+((C2943=TRUE)*(F2943-Calc!F23)),(Inputs!$B$23+((C2948=TRUE)*(F2948-Calc!F28))+(IF(ArtifactsInput!$M$15,CHOOSE(ArtifactsInput!$N$15+1,25,30,35,40,45,50)/100*(Inputs!$B$11-Inputs!$B$11),0))))/100+(Inputs!$B$23+((C2948=TRUE)*(F2948-Calc!F28))+(IF(ArtifactsInput!$M$15,CHOOSE(ArtifactsInput!$N$15+1,25,30,35,40,45,50)/100*(Inputs!$B$11-Inputs!$B$11),0)))/100)/2</f>
        <v/>
      </c>
      <c r="M2931">
        <f>L2931*(1+(Inputs!$B$10+0+B2957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931">
        <f>L2931*(1-MIN((Inputs!$B$9+((C2939=TRUE)*(F2939-Calc!F19))+B2952+(ArtifactsInput!$M$24-ArtifactsInput!$M$24)*CHOOSE(ArtifactsInput!$N$24+1,10,12,14,16,18,20)+(IF(AND(ArtifactsInput!$M$42,((Inputs!$B$9+((C2939=TRUE)*(F2939-Calc!F19))+B2952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2931*(MIN((Inputs!$B$9+((C2939=TRUE)*(F2939-Calc!F19))+B2952+(ArtifactsInput!$M$24-ArtifactsInput!$M$24)*CHOOSE(ArtifactsInput!$N$24+1,10,12,14,16,18,20)+(IF(AND(ArtifactsInput!$M$42,((Inputs!$B$9+((C2939=TRUE)*(F2939-Calc!F19))+B2952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931">
        <f>(1-Summary!$B$11)*T2931+Summary!$B$11*V2931</f>
        <v/>
      </c>
      <c r="P2931">
        <f>IF(B2962=0,0,O2931/B2962)</f>
        <v/>
      </c>
      <c r="Q2931">
        <f>IFERROR(1/IF(Inputs!$B$38="pvp",15,MAX(0.1,Skills!D11-IF(Skills!E11=TRUE,1.0,0))),0)</f>
        <v/>
      </c>
      <c r="R2931">
        <f>IF(AND(Inputs!$B$38&lt;&gt;"pvp",Inputs!$B$43&gt;0),IF(MAX(0,Inputs!$B$43-B2959)&lt;=0,0,(INT(MAX(0,Inputs!$B$43-B2959)/IF(Inputs!$B$38="pvp",15,MAX(0.1,Skills!D11-IF(Skills!E11=TRUE,1.0,0))))+1)),0)</f>
        <v/>
      </c>
      <c r="S2931">
        <f>IFERROR((H2931*N2931*IF(AND(Inputs!$B$38&lt;&gt;"pvp",Inputs!$B$43&gt;0),((Skills!G11*((R2931-1)*IF(Skills!H11&gt;0,Skills!I11/Skills!H11,1)+IF(Skills!H11&gt;0,MIN(Skills!I11,MAX(0,MAX(0,Inputs!$B$43-B2959)-((R2931-1)*IF(Inputs!$B$38="pvp",15,MAX(0.1,Skills!D11-IF(Skills!E11=TRUE,1.0,0))))))/Skills!H11,1)))/Inputs!$B$43),G2931*Q2931))/N2931*IF(Inputs!$B$38="pvp",1,(1-Summary!$B$11)*1+Summary!$B$11*(MIN(Skills!R11,Inputs!$B$37))),0)</f>
        <v/>
      </c>
      <c r="T2931">
        <f>IF(C2931,(H2931*N2931*IF(AND(Inputs!$B$38&lt;&gt;"pvp",Inputs!$B$43&gt;0),((Skills!G11*((R2931-1)*IF(Skills!H11&gt;0,Skills!I11/Skills!H11,1)+IF(Skills!H11&gt;0,MIN(Skills!I11,MAX(0,MAX(0,Inputs!$B$43-B2959)-((R2931-1)*IF(Inputs!$B$38="pvp",15,MAX(0.1,Skills!D11-IF(Skills!E11=TRUE,1.0,0))))))/Skills!H11,1)))/Inputs!$B$43),G2931*Q2931))*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Hunt"),CHOOSE(ArtifactsInput!$N$35+1,15,18,21,24,27,30)*(1-EXP(-(0.2*B2954)*5)),0)+IF(AND(ArtifactsInput!$M$22,Inputs!$B$4&lt;&gt;"Chapter Hunt"),CHOOSE(ArtifactsInput!$N$22+1,10,12,14,16,18,20)*((0*(((0.15*B2954*5))^0/1)+1*(((0.15*B2954*5))^1/1)+2*(((0.15*B2954*5))^2/2)+3*(((0.15*B2954*5))^3/6)+4*(((0.15*B2954*5))^4/24)+5*(((0.15*B2954*5))^5/120))/((((0.15*B2954*5))^0/1)+(((0.15*B2954*5))^1/1)+(((0.15*B2954*5))^2/2)+(((0.15*B2954*5))^3/6)+(((0.15*B2954*5))^4/24)+(((0.15*B2954*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2931*(1-MIN(100,(Inputs!$B$9+((C2939=TRUE)*(F2939-Calc!F19))+B2952+(ArtifactsInput!$M$24-ArtifactsInput!$M$24)*CHOOSE(ArtifactsInput!$N$24+1,10,12,14,16,18,20)+(IF(AND(ArtifactsInput!$M$42,((Inputs!$B$9+((C2939=TRUE)*(F2939-Calc!F19))+B2952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2931*(MIN(100,(Inputs!$B$9+((C2939=TRUE)*(F2939-Calc!F19))+B2952+(ArtifactsInput!$M$24-ArtifactsInput!$M$24)*CHOOSE(ArtifactsInput!$N$24+1,10,12,14,16,18,20)+(IF(AND(ArtifactsInput!$M$42,((Inputs!$B$9+((C2939=TRUE)*(F2939-Calc!F19))+B2952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2931*(1-MIN(100,(Inputs!$B$9+((C2939=TRUE)*(F2939-Calc!F19))+B2952+(ArtifactsInput!$M$24-ArtifactsInput!$M$24)*CHOOSE(ArtifactsInput!$N$24+1,10,12,14,16,18,20)+(IF(AND(ArtifactsInput!$M$42,((Inputs!$B$9+((C2939=TRUE)*(F2939-Calc!F19))+B2952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2931*(MIN(100,(Inputs!$B$9+((C2939=TRUE)*(F2939-Calc!F19))+B2952+(ArtifactsInput!$M$24-ArtifactsInput!$M$24)*CHOOSE(ArtifactsInput!$N$24+1,10,12,14,16,18,20)+(IF(AND(ArtifactsInput!$M$42,((Inputs!$B$9+((C2939=TRUE)*(F2939-Calc!F19))+B2952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931">
        <f>IF(C2931,(H2931*N2931*IF(AND(Inputs!$B$38&lt;&gt;"pvp",Inputs!$B$43&gt;0),((Skills!G11*((R2931-1)*IF(Skills!H11&gt;0,Skills!I11/Skills!H11,1)+IF(Skills!H11&gt;0,MIN(Skills!I11,MAX(0,MAX(0,Inputs!$B$43-B2959)-((R2931-1)*IF(Inputs!$B$38="pvp",15,MAX(0.1,Skills!D11-IF(Skills!E11=TRUE,1.0,0))))))/Skills!H11,1)))/Inputs!$B$43),G2931*Q2931))*IF(Inputs!$B$38="pvp",1,(1+(Inputs!$B$21+Skills!Q11+(IF(ArtifactsInput!$M$33,CHOOSE(ArtifactsInput!$N$33+1,30,36,42,48,54,60),0))+(IF(AND(ArtifactsInput!$M$35,Inputs!$B$4&lt;&gt;"Chapter Hunt"),CHOOSE(ArtifactsInput!$N$35+1,15,18,21,24,27,30)*(1-EXP(-(0.2*B2954)*5)),0)+IF(AND(ArtifactsInput!$M$22,Inputs!$B$4&lt;&gt;"Chapter Hunt"),CHOOSE(ArtifactsInput!$N$22+1,10,12,14,16,18,20)*((0*(((0.15*B2954*5))^0/1)+1*(((0.15*B2954*5))^1/1)+2*(((0.15*B2954*5))^2/2)+3*(((0.15*B2954*5))^3/6)+4*(((0.15*B2954*5))^4/24)+5*(((0.15*B2954*5))^5/120))/((((0.15*B2954*5))^0/1)+(((0.15*B2954*5))^1/1)+(((0.15*B2954*5))^2/2)+(((0.15*B2954*5))^3/6)+(((0.15*B2954*5))^4/24)+(((0.15*B2954*5))^5/120))),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932">
      <c r="A2932">
        <f>Skills!A12</f>
        <v/>
      </c>
      <c r="B2932">
        <f>Skills!B12</f>
        <v/>
      </c>
      <c r="C2932">
        <f>Inputs!$B$3&gt;=60</f>
        <v/>
      </c>
      <c r="D2932">
        <f>IF(Skills!C12=1,60+Inputs!$B$25+Inputs!$B$29,IF(Skills!C12=2,90+Inputs!$B$26+Inputs!$B$29,IF(Skills!C12=3,120+Inputs!$B$27+Inputs!$B$29,MAX(0,(Inputs!$B$3-100)*3)+Inputs!$B$28+Inputs!$B$29)))</f>
        <v/>
      </c>
      <c r="E2932">
        <f>INDEX(FactorTable!$B$2:$Y$301, MATCH(ROUND(MIN(300,MAX(1,D2932)),0), FactorTable!$A$2:$A$301,0), Skills!M12+1)</f>
        <v/>
      </c>
      <c r="F2932">
        <f>IF(Skills!N12=TRUE,(Skills!L12/10)*(E2932/1000),Skills!L12/10)+Skills!O12</f>
        <v/>
      </c>
      <c r="G2932">
        <f>Skills!G12*IF(Skills!H12&gt;0,Skills!I12/Skills!H12,1)</f>
        <v/>
      </c>
      <c r="H2932">
        <f>1-(1-Skills!J12/100)^Skills!K12</f>
        <v/>
      </c>
      <c r="I2932" t="inlineStr">
        <is>
          <t>1</t>
        </is>
      </c>
      <c r="J2932" t="inlineStr"/>
      <c r="K2932" t="inlineStr"/>
      <c r="L2932" t="inlineStr"/>
      <c r="M2932" t="inlineStr"/>
      <c r="N2932" t="inlineStr"/>
      <c r="O2932">
        <f>(1-Summary!$B$11)*T2932+Summary!$B$11*V2932</f>
        <v/>
      </c>
      <c r="P2932">
        <f>IF(B2962=0,0,O2932/B2962)</f>
        <v/>
      </c>
      <c r="Q2932" t="n">
        <v>0</v>
      </c>
      <c r="R2932" t="n">
        <v>0</v>
      </c>
      <c r="S2932" t="n">
        <v>0</v>
      </c>
      <c r="T2932" t="n">
        <v>0</v>
      </c>
      <c r="V2932" t="n">
        <v>0</v>
      </c>
    </row>
    <row r="2933">
      <c r="A2933">
        <f>Skills!A13</f>
        <v/>
      </c>
      <c r="B2933">
        <f>Skills!B13</f>
        <v/>
      </c>
      <c r="C2933">
        <f>Inputs!$B$3&gt;=74</f>
        <v/>
      </c>
      <c r="D2933">
        <f>IF(Skills!C13=1,60+Inputs!$B$25+Inputs!$B$29,IF(Skills!C13=2,90+Inputs!$B$26+Inputs!$B$29,IF(Skills!C13=3,120+Inputs!$B$27+Inputs!$B$29,MAX(0,(Inputs!$B$3-100)*3)+Inputs!$B$28+Inputs!$B$29)))</f>
        <v/>
      </c>
      <c r="E2933">
        <f>INDEX(FactorTable!$B$2:$Y$301, MATCH(ROUND(MIN(300,MAX(1,D2933)),0), FactorTable!$A$2:$A$301,0), Skills!M13+1)</f>
        <v/>
      </c>
      <c r="F2933">
        <f>IF(Skills!N13=TRUE,(Skills!L13/10)*(E2933/1000),Skills!L13/10)+Skills!O13</f>
        <v/>
      </c>
      <c r="G2933">
        <f>Skills!G13*IF(Skills!H13&gt;0,Skills!I13/Skills!H13,1)</f>
        <v/>
      </c>
      <c r="H2933">
        <f>1-(1-Skills!J13/100)^Skills!K13</f>
        <v/>
      </c>
      <c r="I2933" t="inlineStr">
        <is>
          <t>1</t>
        </is>
      </c>
      <c r="J2933" t="inlineStr"/>
      <c r="K2933" t="inlineStr"/>
      <c r="L2933" t="inlineStr"/>
      <c r="M2933" t="inlineStr"/>
      <c r="N2933" t="inlineStr"/>
      <c r="O2933">
        <f>(1-Summary!$B$11)*T2933+Summary!$B$11*V2933</f>
        <v/>
      </c>
      <c r="P2933">
        <f>IF(B2962=0,0,O2933/B2962)</f>
        <v/>
      </c>
      <c r="Q2933" t="n">
        <v>0</v>
      </c>
      <c r="R2933" t="n">
        <v>0</v>
      </c>
      <c r="S2933" t="n">
        <v>0</v>
      </c>
      <c r="T2933" t="n">
        <v>0</v>
      </c>
      <c r="V2933" t="n">
        <v>0</v>
      </c>
    </row>
    <row r="2934">
      <c r="A2934">
        <f>Skills!A14</f>
        <v/>
      </c>
      <c r="B2934">
        <f>Skills!B14</f>
        <v/>
      </c>
      <c r="C2934">
        <f>Inputs!$B$3&gt;=74</f>
        <v/>
      </c>
      <c r="D2934">
        <f>IF(Skills!C14=1,60+Inputs!$B$25+Inputs!$B$29,IF(Skills!C14=2,90+Inputs!$B$26+Inputs!$B$29,IF(Skills!C14=3,120+Inputs!$B$27+Inputs!$B$29,MAX(0,(Inputs!$B$3-100)*3)+Inputs!$B$28+Inputs!$B$29)))</f>
        <v/>
      </c>
      <c r="E2934">
        <f>INDEX(FactorTable!$B$2:$Y$301, MATCH(ROUND(MIN(300,MAX(1,D2934)),0), FactorTable!$A$2:$A$301,0), Skills!M14+1)</f>
        <v/>
      </c>
      <c r="F2934">
        <f>IF(Skills!N14=TRUE,(Skills!L14/10)*(E2934/1000),Skills!L14/10)+Skills!O14</f>
        <v/>
      </c>
      <c r="G2934">
        <f>Skills!G14*IF(Skills!H14&gt;0,Skills!I14/Skills!H14,1)</f>
        <v/>
      </c>
      <c r="H2934">
        <f>1-(1-Skills!J14/100)^Skills!K14</f>
        <v/>
      </c>
      <c r="I2934" t="inlineStr">
        <is>
          <t>1</t>
        </is>
      </c>
      <c r="J2934" t="inlineStr"/>
      <c r="K2934" t="inlineStr"/>
      <c r="L2934" t="inlineStr"/>
      <c r="M2934" t="inlineStr"/>
      <c r="N2934" t="inlineStr"/>
      <c r="O2934">
        <f>(1-Summary!$B$11)*T2934+Summary!$B$11*V2934</f>
        <v/>
      </c>
      <c r="P2934">
        <f>IF(B2962=0,0,O2934/B2962)</f>
        <v/>
      </c>
      <c r="Q2934" t="n">
        <v>0</v>
      </c>
      <c r="R2934" t="n">
        <v>0</v>
      </c>
      <c r="S2934" t="n">
        <v>0</v>
      </c>
      <c r="T2934" t="n">
        <v>0</v>
      </c>
      <c r="V2934" t="n">
        <v>0</v>
      </c>
    </row>
    <row r="2935">
      <c r="A2935">
        <f>Skills!A15</f>
        <v/>
      </c>
      <c r="B2935">
        <f>Skills!B15</f>
        <v/>
      </c>
      <c r="C2935">
        <f>Inputs!$B$3&gt;=117</f>
        <v/>
      </c>
      <c r="D2935">
        <f>IF(Skills!C15=1,60+Inputs!$B$25+Inputs!$B$29,IF(Skills!C15=2,90+Inputs!$B$26+Inputs!$B$29,IF(Skills!C15=3,120+Inputs!$B$27+Inputs!$B$29,MAX(0,(Inputs!$B$3-100)*3)+Inputs!$B$28+Inputs!$B$29)))</f>
        <v/>
      </c>
      <c r="E2935">
        <f>INDEX(FactorTable!$B$2:$Y$301, MATCH(ROUND(MIN(300,MAX(1,D2935)),0), FactorTable!$A$2:$A$301,0), Skills!M15+1)</f>
        <v/>
      </c>
      <c r="F2935">
        <f>IF(Skills!N15=TRUE,(Skills!L15/10)*(E2935/1000),Skills!L15/10)+Skills!O15</f>
        <v/>
      </c>
      <c r="G2935">
        <f>Skills!G15*IF(Skills!H15&gt;0,Skills!I15/Skills!H15,1)</f>
        <v/>
      </c>
      <c r="H2935">
        <f>1-(1-Skills!J15/100)^Skills!K15</f>
        <v/>
      </c>
      <c r="I2935" t="inlineStr">
        <is>
          <t>1</t>
        </is>
      </c>
      <c r="J2935" t="inlineStr"/>
      <c r="K2935" t="inlineStr"/>
      <c r="L2935" t="inlineStr"/>
      <c r="M2935" t="inlineStr"/>
      <c r="N2935" t="inlineStr"/>
      <c r="O2935">
        <f>(1-Summary!$B$11)*T2935+Summary!$B$11*V2935</f>
        <v/>
      </c>
      <c r="P2935">
        <f>IF(B2962=0,0,O2935/B2962)</f>
        <v/>
      </c>
      <c r="Q2935">
        <f>IFERROR(1/IF(Inputs!$B$38="pvp",15,MAX(0.1,Skills!D15-IF(Skills!E15=TRUE,1.0,0))),0)</f>
        <v/>
      </c>
      <c r="R2935">
        <f>IF(AND(Inputs!$B$38&lt;&gt;"pvp",Inputs!$B$43&gt;0),IF(Inputs!$B$43&lt;=0,0,(INT(Inputs!$B$43/IF(Inputs!$B$38="pvp",15,MAX(0.1,Skills!D15-IF(Skills!E15=TRUE,1.0,0))))+1)),0)</f>
        <v/>
      </c>
      <c r="S2935" t="n">
        <v>0</v>
      </c>
      <c r="T2935" t="n">
        <v>0</v>
      </c>
      <c r="V2935" t="n">
        <v>0</v>
      </c>
    </row>
    <row r="2936">
      <c r="A2936">
        <f>Skills!A16</f>
        <v/>
      </c>
      <c r="B2936">
        <f>Skills!B16</f>
        <v/>
      </c>
      <c r="C2936">
        <f>Inputs!$B$3&gt;=115</f>
        <v/>
      </c>
      <c r="D2936">
        <f>IF(Skills!C16=1,60+Inputs!$B$25+Inputs!$B$29,IF(Skills!C16=2,90+Inputs!$B$26+Inputs!$B$29,IF(Skills!C16=3,120+Inputs!$B$27+Inputs!$B$29,MAX(0,(Inputs!$B$3-100)*3)+Inputs!$B$28+Inputs!$B$29)))</f>
        <v/>
      </c>
      <c r="E2936">
        <f>INDEX(FactorTable!$B$2:$Y$301, MATCH(ROUND(MIN(300,MAX(1,D2936)),0), FactorTable!$A$2:$A$301,0), Skills!M16+1)</f>
        <v/>
      </c>
      <c r="F2936">
        <f>IF(Skills!N16=TRUE,(Skills!L16/10)*(E2936/1000),Skills!L16/10)+Skills!O16</f>
        <v/>
      </c>
      <c r="G2936">
        <f>Skills!G16*IF(Skills!H16&gt;0,Skills!I16/Skills!H16,1)</f>
        <v/>
      </c>
      <c r="H2936">
        <f>1-(1-Skills!J16/100)^Skills!K16</f>
        <v/>
      </c>
      <c r="I2936" t="inlineStr">
        <is>
          <t>1</t>
        </is>
      </c>
      <c r="J2936" t="inlineStr"/>
      <c r="K2936" t="inlineStr"/>
      <c r="L2936" t="inlineStr"/>
      <c r="M2936" t="inlineStr"/>
      <c r="N2936" t="inlineStr"/>
      <c r="O2936">
        <f>(1-Summary!$B$11)*T2936+Summary!$B$11*V2936</f>
        <v/>
      </c>
      <c r="P2936">
        <f>IF(B2962=0,0,O2936/B2962)</f>
        <v/>
      </c>
      <c r="Q2936">
        <f>IFERROR(1/IF(Inputs!$B$38="pvp",15,MAX(0.1,Skills!D16-IF(Skills!E16=TRUE,1.0,0))),0)</f>
        <v/>
      </c>
      <c r="R2936">
        <f>IF(AND(Inputs!$B$38&lt;&gt;"pvp",Inputs!$B$43&gt;0),IF(Inputs!$B$43&lt;=0,0,(INT(Inputs!$B$43/IF(Inputs!$B$38="pvp",15,MAX(0.1,Skills!D16-IF(Skills!E16=TRUE,1.0,0))))+1)),0)</f>
        <v/>
      </c>
      <c r="S2936" t="n">
        <v>0</v>
      </c>
      <c r="T2936" t="n">
        <v>0</v>
      </c>
      <c r="V2936" t="n">
        <v>0</v>
      </c>
    </row>
    <row r="2937">
      <c r="A2937">
        <f>Skills!A17</f>
        <v/>
      </c>
      <c r="B2937">
        <f>Skills!B17</f>
        <v/>
      </c>
      <c r="C2937">
        <f>Inputs!$B$3&gt;=72</f>
        <v/>
      </c>
      <c r="D2937">
        <f>IF(Skills!C17=1,60+Inputs!$B$25+Inputs!$B$29,IF(Skills!C17=2,90+Inputs!$B$26+Inputs!$B$29,IF(Skills!C17=3,120+Inputs!$B$27+Inputs!$B$29,MAX(0,(Inputs!$B$3-100)*3)+Inputs!$B$28+Inputs!$B$29)))</f>
        <v/>
      </c>
      <c r="E2937">
        <f>INDEX(FactorTable!$B$2:$Y$301, MATCH(ROUND(MIN(300,MAX(1,D2937)),0), FactorTable!$A$2:$A$301,0), Skills!M17+1)</f>
        <v/>
      </c>
      <c r="F2937">
        <f>IF(Skills!N17=TRUE,(Skills!L17/10)*(E2937/1000),Skills!L17/10)+Skills!O17</f>
        <v/>
      </c>
      <c r="G2937">
        <f>Skills!G17*IF(Skills!H17&gt;0,Skills!I17/Skills!H17,1)</f>
        <v/>
      </c>
      <c r="H2937">
        <f>1-(1-Skills!J17/100)^Skills!K17</f>
        <v/>
      </c>
      <c r="I2937" t="inlineStr">
        <is>
          <t>1</t>
        </is>
      </c>
      <c r="J2937" t="inlineStr"/>
      <c r="K2937" t="inlineStr"/>
      <c r="L2937" t="inlineStr"/>
      <c r="M2937" t="inlineStr"/>
      <c r="N2937" t="inlineStr"/>
      <c r="O2937">
        <f>(1-Summary!$B$11)*T2937+Summary!$B$11*V2937</f>
        <v/>
      </c>
      <c r="P2937">
        <f>IF(B2962=0,0,O2937/B2962)</f>
        <v/>
      </c>
      <c r="Q2937" t="n">
        <v>0</v>
      </c>
      <c r="R2937" t="n">
        <v>0</v>
      </c>
      <c r="S2937" t="n">
        <v>0</v>
      </c>
      <c r="T2937" t="n">
        <v>0</v>
      </c>
      <c r="V2937" t="n">
        <v>0</v>
      </c>
    </row>
    <row r="2938">
      <c r="A2938">
        <f>Skills!A18</f>
        <v/>
      </c>
      <c r="B2938">
        <f>Skills!B18</f>
        <v/>
      </c>
      <c r="C2938">
        <f>TRUE</f>
        <v/>
      </c>
      <c r="D2938">
        <f>IF(Skills!C18=1,60+Inputs!$B$25+Inputs!$B$29,IF(Skills!C18=2,90+Inputs!$B$26+Inputs!$B$29,IF(Skills!C18=3,120+Inputs!$B$27+Inputs!$B$29,MAX(0,(Inputs!$B$3-100)*3)+Inputs!$B$28+Inputs!$B$29)))</f>
        <v/>
      </c>
      <c r="E2938">
        <f>INDEX(FactorTable!$B$2:$Y$301, MATCH(ROUND(MIN(300,MAX(1,D2938)),0), FactorTable!$A$2:$A$301,0), Skills!M18+1)</f>
        <v/>
      </c>
      <c r="F2938">
        <f>IF(Skills!N18=TRUE,(Skills!L18/10)*(E2938/1000),Skills!L18/10)+Skills!O18</f>
        <v/>
      </c>
      <c r="G2938">
        <f>Skills!G18*IF(Skills!H18&gt;0,Skills!I18/Skills!H18,1)</f>
        <v/>
      </c>
      <c r="H2938">
        <f>1-(1-Skills!J18/100)^Skills!K18</f>
        <v/>
      </c>
      <c r="I2938" t="inlineStr">
        <is>
          <t>1</t>
        </is>
      </c>
      <c r="J2938" t="inlineStr"/>
      <c r="K2938" t="inlineStr"/>
      <c r="L2938" t="inlineStr"/>
      <c r="M2938" t="inlineStr"/>
      <c r="N2938" t="inlineStr"/>
      <c r="O2938">
        <f>(1-Summary!$B$11)*T2938+Summary!$B$11*V2938</f>
        <v/>
      </c>
      <c r="P2938">
        <f>IF(B2962=0,0,O2938/B2962)</f>
        <v/>
      </c>
      <c r="Q2938">
        <f>IFERROR(1/IF(Inputs!$B$38="pvp",15,MAX(0.1,Skills!D18-IF(Skills!E18=TRUE,1.0,0))),0)</f>
        <v/>
      </c>
      <c r="R2938">
        <f>IF(AND(Inputs!$B$38&lt;&gt;"pvp",Inputs!$B$43&gt;0),IF(Inputs!$B$43&lt;=0,0,(INT(Inputs!$B$43/IF(Inputs!$B$38="pvp",15,MAX(0.1,Skills!D18-IF(Skills!E18=TRUE,1.0,0))))+1)),0)</f>
        <v/>
      </c>
      <c r="S2938" t="n">
        <v>0</v>
      </c>
      <c r="T2938" t="n">
        <v>0</v>
      </c>
      <c r="V2938" t="n">
        <v>0</v>
      </c>
    </row>
    <row r="2939">
      <c r="A2939">
        <f>Skills!A19</f>
        <v/>
      </c>
      <c r="B2939">
        <f>Skills!B19</f>
        <v/>
      </c>
      <c r="C2939">
        <f>Inputs!$B$3&gt;=15</f>
        <v/>
      </c>
      <c r="D2939">
        <f>IF(Skills!C19=1,60+Inputs!$B$25+Inputs!$B$29,IF(Skills!C19=2,90+Inputs!$B$26+Inputs!$B$29,IF(Skills!C19=3,120+Inputs!$B$27+Inputs!$B$29,MAX(0,(Inputs!$B$3-100)*3)+Inputs!$B$28+Inputs!$B$29)))</f>
        <v/>
      </c>
      <c r="E2939">
        <f>INDEX(FactorTable!$B$2:$Y$301, MATCH(ROUND(MIN(300,MAX(1,D2939)),0), FactorTable!$A$2:$A$301,0), Skills!M19+1)</f>
        <v/>
      </c>
      <c r="F2939">
        <f>IF(Skills!N19=TRUE,(Skills!L19/10)*(E2939/1000),Skills!L19/10)+Skills!O19</f>
        <v/>
      </c>
      <c r="G2939">
        <f>Skills!G19*IF(Skills!H19&gt;0,Skills!I19/Skills!H19,1)</f>
        <v/>
      </c>
      <c r="H2939">
        <f>1-(1-Skills!J19/100)^Skills!K19</f>
        <v/>
      </c>
      <c r="I2939" t="inlineStr">
        <is>
          <t>1</t>
        </is>
      </c>
      <c r="J2939" t="inlineStr"/>
      <c r="K2939" t="inlineStr"/>
      <c r="L2939" t="inlineStr"/>
      <c r="M2939" t="inlineStr"/>
      <c r="N2939" t="inlineStr"/>
      <c r="O2939">
        <f>(1-Summary!$B$11)*T2939+Summary!$B$11*V2939</f>
        <v/>
      </c>
      <c r="P2939">
        <f>IF(B2962=0,0,O2939/B2962)</f>
        <v/>
      </c>
      <c r="Q2939" t="n">
        <v>0</v>
      </c>
      <c r="R2939" t="n">
        <v>0</v>
      </c>
      <c r="S2939" t="n">
        <v>0</v>
      </c>
      <c r="T2939" t="n">
        <v>0</v>
      </c>
      <c r="V2939" t="n">
        <v>0</v>
      </c>
    </row>
    <row r="2940">
      <c r="A2940">
        <f>Skills!A20</f>
        <v/>
      </c>
      <c r="B2940">
        <f>Skills!B20</f>
        <v/>
      </c>
      <c r="C2940">
        <f>Inputs!$B$3&gt;=10</f>
        <v/>
      </c>
      <c r="D2940">
        <f>IF(Skills!C20=1,60+Inputs!$B$25+Inputs!$B$29,IF(Skills!C20=2,90+Inputs!$B$26+Inputs!$B$29,IF(Skills!C20=3,120+Inputs!$B$27+Inputs!$B$29,MAX(0,(Inputs!$B$3-100)*3)+Inputs!$B$28+Inputs!$B$29)))</f>
        <v/>
      </c>
      <c r="E2940">
        <f>INDEX(FactorTable!$B$2:$Y$301, MATCH(ROUND(MIN(300,MAX(1,D2940)),0), FactorTable!$A$2:$A$301,0), Skills!M20+1)</f>
        <v/>
      </c>
      <c r="F2940">
        <f>IF(Skills!N20=TRUE,(Skills!L20/10)*(E2940/1000),Skills!L20/10)+Skills!O20</f>
        <v/>
      </c>
      <c r="G2940">
        <f>Skills!G20*IF(Skills!H20&gt;0,Skills!I20/Skills!H20,1)</f>
        <v/>
      </c>
      <c r="H2940">
        <f>1-(1-Skills!J20/100)^Skills!K20</f>
        <v/>
      </c>
      <c r="I2940" t="inlineStr">
        <is>
          <t>1</t>
        </is>
      </c>
      <c r="J2940" t="inlineStr"/>
      <c r="K2940" t="inlineStr"/>
      <c r="L2940" t="inlineStr"/>
      <c r="M2940" t="inlineStr"/>
      <c r="N2940" t="inlineStr"/>
      <c r="O2940">
        <f>(1-Summary!$B$11)*T2940+Summary!$B$11*V2940</f>
        <v/>
      </c>
      <c r="P2940">
        <f>IF(B2962=0,0,O2940/B2962)</f>
        <v/>
      </c>
      <c r="Q2940" t="n">
        <v>0</v>
      </c>
      <c r="R2940" t="n">
        <v>0</v>
      </c>
      <c r="S2940" t="n">
        <v>0</v>
      </c>
      <c r="T2940" t="n">
        <v>0</v>
      </c>
      <c r="V2940" t="n">
        <v>0</v>
      </c>
    </row>
    <row r="2941">
      <c r="A2941">
        <f>Skills!A21</f>
        <v/>
      </c>
      <c r="B2941">
        <f>Skills!B21</f>
        <v/>
      </c>
      <c r="C2941">
        <f>Inputs!$B$3&gt;=33</f>
        <v/>
      </c>
      <c r="D2941">
        <f>IF(Skills!C21=1,60+Inputs!$B$25+Inputs!$B$29,IF(Skills!C21=2,90+Inputs!$B$26+Inputs!$B$29,IF(Skills!C21=3,120+Inputs!$B$27+Inputs!$B$29,MAX(0,(Inputs!$B$3-100)*3)+Inputs!$B$28+Inputs!$B$29)))</f>
        <v/>
      </c>
      <c r="E2941">
        <f>INDEX(FactorTable!$B$2:$Y$301, MATCH(ROUND(MIN(300,MAX(1,D2941)),0), FactorTable!$A$2:$A$301,0), Skills!M21+1)</f>
        <v/>
      </c>
      <c r="F2941">
        <f>IF(Skills!N21=TRUE,(Skills!L21/10)*(E2941/1000),Skills!L21/10)+Skills!O21</f>
        <v/>
      </c>
      <c r="G2941">
        <f>Skills!G21*IF(Skills!H21&gt;0,Skills!I21/Skills!H21,1)</f>
        <v/>
      </c>
      <c r="H2941">
        <f>1-(1-Skills!J21/100)^Skills!K21</f>
        <v/>
      </c>
      <c r="I2941" t="inlineStr">
        <is>
          <t>1</t>
        </is>
      </c>
      <c r="J2941" t="inlineStr"/>
      <c r="K2941" t="inlineStr"/>
      <c r="L2941" t="inlineStr"/>
      <c r="M2941" t="inlineStr"/>
      <c r="N2941" t="inlineStr"/>
      <c r="O2941">
        <f>(1-Summary!$B$11)*T2941+Summary!$B$11*V2941</f>
        <v/>
      </c>
      <c r="P2941">
        <f>IF(B2962=0,0,O2941/B2962)</f>
        <v/>
      </c>
      <c r="Q2941" t="n">
        <v>0</v>
      </c>
      <c r="R2941" t="n">
        <v>0</v>
      </c>
      <c r="S2941" t="n">
        <v>0</v>
      </c>
      <c r="T2941" t="n">
        <v>0</v>
      </c>
      <c r="V2941" t="n">
        <v>0</v>
      </c>
    </row>
    <row r="2942">
      <c r="A2942">
        <f>Skills!A22</f>
        <v/>
      </c>
      <c r="B2942">
        <f>Skills!B22</f>
        <v/>
      </c>
      <c r="C2942">
        <f>Inputs!$B$3&gt;=38</f>
        <v/>
      </c>
      <c r="D2942">
        <f>IF(Skills!C22=1,60+Inputs!$B$25+Inputs!$B$29,IF(Skills!C22=2,90+Inputs!$B$26+Inputs!$B$29,IF(Skills!C22=3,120+Inputs!$B$27+Inputs!$B$29,MAX(0,(Inputs!$B$3-100)*3)+Inputs!$B$28+Inputs!$B$29)))</f>
        <v/>
      </c>
      <c r="E2942">
        <f>INDEX(FactorTable!$B$2:$Y$301, MATCH(ROUND(MIN(300,MAX(1,D2942)),0), FactorTable!$A$2:$A$301,0), Skills!M22+1)</f>
        <v/>
      </c>
      <c r="F2942">
        <f>IF(Skills!N22=TRUE,(Skills!L22/10)*(E2942/1000),Skills!L22/10)+Skills!O22</f>
        <v/>
      </c>
      <c r="G2942">
        <f>Skills!G22*IF(Skills!H22&gt;0,Skills!I22/Skills!H22,1)</f>
        <v/>
      </c>
      <c r="H2942">
        <f>1-(1-Skills!J22/100)^Skills!K22</f>
        <v/>
      </c>
      <c r="I2942" t="inlineStr">
        <is>
          <t>1</t>
        </is>
      </c>
      <c r="J2942" t="inlineStr"/>
      <c r="K2942" t="inlineStr"/>
      <c r="L2942" t="inlineStr"/>
      <c r="M2942" t="inlineStr"/>
      <c r="N2942" t="inlineStr"/>
      <c r="O2942">
        <f>(1-Summary!$B$11)*T2942+Summary!$B$11*V2942</f>
        <v/>
      </c>
      <c r="P2942">
        <f>IF(B2962=0,0,O2942/B2962)</f>
        <v/>
      </c>
      <c r="Q2942" t="n">
        <v>0</v>
      </c>
      <c r="R2942" t="n">
        <v>0</v>
      </c>
      <c r="S2942" t="n">
        <v>0</v>
      </c>
      <c r="T2942" t="n">
        <v>0</v>
      </c>
      <c r="V2942" t="n">
        <v>0</v>
      </c>
    </row>
    <row r="2943">
      <c r="A2943">
        <f>Skills!A23</f>
        <v/>
      </c>
      <c r="B2943">
        <f>Skills!B23</f>
        <v/>
      </c>
      <c r="C2943">
        <f>Inputs!$B$3&gt;=43</f>
        <v/>
      </c>
      <c r="D2943">
        <f>IF(Skills!C23=1,60+Inputs!$B$25+Inputs!$B$29,IF(Skills!C23=2,90+Inputs!$B$26+Inputs!$B$29,IF(Skills!C23=3,120+Inputs!$B$27+Inputs!$B$29,MAX(0,(Inputs!$B$3-100)*3)+Inputs!$B$28+Inputs!$B$29)))</f>
        <v/>
      </c>
      <c r="E2943">
        <f>INDEX(FactorTable!$B$2:$Y$301, MATCH(ROUND(MIN(300,MAX(1,D2943)),0), FactorTable!$A$2:$A$301,0), Skills!M23+1)</f>
        <v/>
      </c>
      <c r="F2943">
        <f>IF(Skills!N23=TRUE,(Skills!L23/10)*(E2943/1000),Skills!L23/10)+Skills!O23</f>
        <v/>
      </c>
      <c r="G2943">
        <f>Skills!G23*IF(Skills!H23&gt;0,Skills!I23/Skills!H23,1)</f>
        <v/>
      </c>
      <c r="H2943">
        <f>1-(1-Skills!J23/100)^Skills!K23</f>
        <v/>
      </c>
      <c r="I2943" t="inlineStr">
        <is>
          <t>1</t>
        </is>
      </c>
      <c r="J2943" t="inlineStr"/>
      <c r="K2943" t="inlineStr"/>
      <c r="L2943" t="inlineStr"/>
      <c r="M2943" t="inlineStr"/>
      <c r="N2943" t="inlineStr"/>
      <c r="O2943">
        <f>(1-Summary!$B$11)*T2943+Summary!$B$11*V2943</f>
        <v/>
      </c>
      <c r="P2943">
        <f>IF(B2962=0,0,O2943/B2962)</f>
        <v/>
      </c>
      <c r="Q2943" t="n">
        <v>0</v>
      </c>
      <c r="R2943" t="n">
        <v>0</v>
      </c>
      <c r="S2943" t="n">
        <v>0</v>
      </c>
      <c r="T2943" t="n">
        <v>0</v>
      </c>
      <c r="V2943" t="n">
        <v>0</v>
      </c>
    </row>
    <row r="2944">
      <c r="A2944">
        <f>Skills!A24</f>
        <v/>
      </c>
      <c r="B2944">
        <f>Skills!B24</f>
        <v/>
      </c>
      <c r="C2944">
        <f>Inputs!$B$3&gt;=75</f>
        <v/>
      </c>
      <c r="D2944">
        <f>IF(Skills!C24=1,60+Inputs!$B$25+Inputs!$B$29,IF(Skills!C24=2,90+Inputs!$B$26+Inputs!$B$29,IF(Skills!C24=3,120+Inputs!$B$27+Inputs!$B$29,MAX(0,(Inputs!$B$3-100)*3)+Inputs!$B$28+Inputs!$B$29)))</f>
        <v/>
      </c>
      <c r="E2944">
        <f>INDEX(FactorTable!$B$2:$Y$301, MATCH(ROUND(MIN(300,MAX(1,D2944)),0), FactorTable!$A$2:$A$301,0), Skills!M24+1)</f>
        <v/>
      </c>
      <c r="F2944">
        <f>IF(Skills!N24=TRUE,(Skills!L24/10)*(E2944/1000),Skills!L24/10)+Skills!O24</f>
        <v/>
      </c>
      <c r="G2944">
        <f>Skills!G24*IF(Skills!H24&gt;0,Skills!I24/Skills!H24,1)</f>
        <v/>
      </c>
      <c r="H2944">
        <f>1-(1-Skills!J24/100)^Skills!K24</f>
        <v/>
      </c>
      <c r="I2944" t="inlineStr">
        <is>
          <t>1</t>
        </is>
      </c>
      <c r="J2944" t="inlineStr"/>
      <c r="K2944" t="inlineStr"/>
      <c r="L2944" t="inlineStr"/>
      <c r="M2944" t="inlineStr"/>
      <c r="N2944" t="inlineStr"/>
      <c r="O2944">
        <f>(1-Summary!$B$11)*T2944+Summary!$B$11*V2944</f>
        <v/>
      </c>
      <c r="P2944">
        <f>IF(B2962=0,0,O2944/B2962)</f>
        <v/>
      </c>
      <c r="Q2944" t="n">
        <v>0</v>
      </c>
      <c r="R2944" t="n">
        <v>0</v>
      </c>
      <c r="S2944" t="n">
        <v>0</v>
      </c>
      <c r="T2944" t="n">
        <v>0</v>
      </c>
      <c r="V2944" t="n">
        <v>0</v>
      </c>
    </row>
    <row r="2945">
      <c r="A2945">
        <f>Skills!A25</f>
        <v/>
      </c>
      <c r="B2945">
        <f>Skills!B25</f>
        <v/>
      </c>
      <c r="C2945">
        <f>Inputs!$B$3&gt;=125</f>
        <v/>
      </c>
      <c r="D2945">
        <f>IF(Skills!C25=1,60+Inputs!$B$25+Inputs!$B$29,IF(Skills!C25=2,90+Inputs!$B$26+Inputs!$B$29,IF(Skills!C25=3,120+Inputs!$B$27+Inputs!$B$29,MAX(0,(Inputs!$B$3-100)*3)+Inputs!$B$28+Inputs!$B$29)))</f>
        <v/>
      </c>
      <c r="E2945">
        <f>INDEX(FactorTable!$B$2:$Y$301, MATCH(ROUND(MIN(300,MAX(1,D2945)),0), FactorTable!$A$2:$A$301,0), Skills!M25+1)</f>
        <v/>
      </c>
      <c r="F2945">
        <f>IF(Skills!N25=TRUE,(Skills!L25/10)*(E2945/1000),Skills!L25/10)+Skills!O25</f>
        <v/>
      </c>
      <c r="G2945">
        <f>Skills!G25*IF(Skills!H25&gt;0,Skills!I25/Skills!H25,1)</f>
        <v/>
      </c>
      <c r="H2945">
        <f>1-(1-Skills!J25/100)^Skills!K25</f>
        <v/>
      </c>
      <c r="I2945" t="inlineStr">
        <is>
          <t>1</t>
        </is>
      </c>
      <c r="J2945" t="inlineStr"/>
      <c r="K2945" t="inlineStr"/>
      <c r="L2945" t="inlineStr"/>
      <c r="M2945" t="inlineStr"/>
      <c r="N2945" t="inlineStr"/>
      <c r="O2945">
        <f>(1-Summary!$B$11)*T2945+Summary!$B$11*V2945</f>
        <v/>
      </c>
      <c r="P2945">
        <f>IF(B2962=0,0,O2945/B2962)</f>
        <v/>
      </c>
      <c r="Q2945" t="n">
        <v>0</v>
      </c>
      <c r="R2945" t="n">
        <v>0</v>
      </c>
      <c r="S2945" t="n">
        <v>0</v>
      </c>
      <c r="T2945" t="n">
        <v>0</v>
      </c>
      <c r="V2945" t="n">
        <v>0</v>
      </c>
    </row>
    <row r="2946">
      <c r="A2946">
        <f>Skills!A26</f>
        <v/>
      </c>
      <c r="B2946">
        <f>Skills!B26</f>
        <v/>
      </c>
      <c r="C2946">
        <f>Inputs!$B$3&gt;=125</f>
        <v/>
      </c>
      <c r="D2946">
        <f>IF(Skills!C26=1,60+Inputs!$B$25+Inputs!$B$29,IF(Skills!C26=2,90+Inputs!$B$26+Inputs!$B$29,IF(Skills!C26=3,120+Inputs!$B$27+Inputs!$B$29,MAX(0,(Inputs!$B$3-100)*3)+Inputs!$B$28+Inputs!$B$29)))</f>
        <v/>
      </c>
      <c r="E2946">
        <f>INDEX(FactorTable!$B$2:$Y$301, MATCH(ROUND(MIN(300,MAX(1,D2946)),0), FactorTable!$A$2:$A$301,0), Skills!M26+1)</f>
        <v/>
      </c>
      <c r="F2946">
        <f>IF(Skills!N26=TRUE,(Skills!L26/10)*(E2946/1000),Skills!L26/10)+Skills!O26</f>
        <v/>
      </c>
      <c r="G2946">
        <f>Skills!G26*IF(Skills!H26&gt;0,Skills!I26/Skills!H26,1)</f>
        <v/>
      </c>
      <c r="H2946">
        <f>1-(1-Skills!J26/100)^Skills!K26</f>
        <v/>
      </c>
      <c r="I2946" t="inlineStr">
        <is>
          <t>1</t>
        </is>
      </c>
      <c r="J2946" t="inlineStr"/>
      <c r="K2946" t="inlineStr"/>
      <c r="L2946" t="inlineStr"/>
      <c r="M2946" t="inlineStr"/>
      <c r="N2946" t="inlineStr"/>
      <c r="O2946">
        <f>(1-Summary!$B$11)*T2946+Summary!$B$11*V2946</f>
        <v/>
      </c>
      <c r="P2946">
        <f>IF(B2962=0,0,O2946/B2962)</f>
        <v/>
      </c>
      <c r="Q2946" t="n">
        <v>0</v>
      </c>
      <c r="R2946" t="n">
        <v>0</v>
      </c>
      <c r="S2946" t="n">
        <v>0</v>
      </c>
      <c r="T2946" t="n">
        <v>0</v>
      </c>
      <c r="V2946" t="n">
        <v>0</v>
      </c>
    </row>
    <row r="2947">
      <c r="A2947">
        <f>Skills!A27</f>
        <v/>
      </c>
      <c r="B2947">
        <f>Skills!B27</f>
        <v/>
      </c>
      <c r="C2947">
        <f>Inputs!$B$3&gt;=120</f>
        <v/>
      </c>
      <c r="D2947">
        <f>IF(Skills!C27=1,60+Inputs!$B$25+Inputs!$B$29,IF(Skills!C27=2,90+Inputs!$B$26+Inputs!$B$29,IF(Skills!C27=3,120+Inputs!$B$27+Inputs!$B$29,MAX(0,(Inputs!$B$3-100)*3)+Inputs!$B$28+Inputs!$B$29)))</f>
        <v/>
      </c>
      <c r="E2947">
        <f>INDEX(FactorTable!$B$2:$Y$301, MATCH(ROUND(MIN(300,MAX(1,D2947)),0), FactorTable!$A$2:$A$301,0), Skills!M27+1)</f>
        <v/>
      </c>
      <c r="F2947">
        <f>IF(Skills!N27=TRUE,(Skills!L27/10)*(E2947/1000),Skills!L27/10)+Skills!O27</f>
        <v/>
      </c>
      <c r="G2947">
        <f>Skills!G27*IF(Skills!H27&gt;0,Skills!I27/Skills!H27,1)</f>
        <v/>
      </c>
      <c r="H2947">
        <f>1-(1-Skills!J27/100)^Skills!K27</f>
        <v/>
      </c>
      <c r="I2947" t="inlineStr">
        <is>
          <t>1</t>
        </is>
      </c>
      <c r="J2947" t="inlineStr"/>
      <c r="K2947" t="inlineStr"/>
      <c r="L2947" t="inlineStr"/>
      <c r="M2947" t="inlineStr"/>
      <c r="N2947" t="inlineStr"/>
      <c r="O2947">
        <f>(1-Summary!$B$11)*T2947+Summary!$B$11*V2947</f>
        <v/>
      </c>
      <c r="P2947">
        <f>IF(B2962=0,0,O2947/B2962)</f>
        <v/>
      </c>
      <c r="Q2947" t="n">
        <v>0</v>
      </c>
      <c r="R2947" t="n">
        <v>0</v>
      </c>
      <c r="S2947" t="n">
        <v>0</v>
      </c>
      <c r="T2947" t="n">
        <v>0</v>
      </c>
      <c r="V2947" t="n">
        <v>0</v>
      </c>
    </row>
    <row r="2948">
      <c r="A2948">
        <f>Skills!A28</f>
        <v/>
      </c>
      <c r="B2948">
        <f>Skills!B28</f>
        <v/>
      </c>
      <c r="C2948">
        <f>Inputs!$B$3&gt;=120</f>
        <v/>
      </c>
      <c r="D2948">
        <f>IF(Skills!C28=1,60+Inputs!$B$25+Inputs!$B$29,IF(Skills!C28=2,90+Inputs!$B$26+Inputs!$B$29,IF(Skills!C28=3,120+Inputs!$B$27+Inputs!$B$29,MAX(0,(Inputs!$B$3-100)*3)+Inputs!$B$28+Inputs!$B$29)))</f>
        <v/>
      </c>
      <c r="E2948">
        <f>INDEX(FactorTable!$B$2:$Y$301, MATCH(ROUND(MIN(300,MAX(1,D2948)),0), FactorTable!$A$2:$A$301,0), Skills!M28+1)</f>
        <v/>
      </c>
      <c r="F2948">
        <f>IF(Skills!N28=TRUE,(Skills!L28/10)*(E2948/1000),Skills!L28/10)+Skills!O28</f>
        <v/>
      </c>
      <c r="G2948">
        <f>Skills!G28*IF(Skills!H28&gt;0,Skills!I28/Skills!H28,1)</f>
        <v/>
      </c>
      <c r="H2948">
        <f>1-(1-Skills!J28/100)^Skills!K28</f>
        <v/>
      </c>
      <c r="I2948" t="inlineStr">
        <is>
          <t>1</t>
        </is>
      </c>
      <c r="J2948" t="inlineStr"/>
      <c r="K2948" t="inlineStr"/>
      <c r="L2948" t="inlineStr"/>
      <c r="M2948" t="inlineStr"/>
      <c r="N2948" t="inlineStr"/>
      <c r="O2948">
        <f>(1-Summary!$B$11)*T2948+Summary!$B$11*V2948</f>
        <v/>
      </c>
      <c r="P2948">
        <f>IF(B2962=0,0,O2948/B2962)</f>
        <v/>
      </c>
      <c r="Q2948" t="n">
        <v>0</v>
      </c>
      <c r="R2948" t="n">
        <v>0</v>
      </c>
      <c r="S2948" t="n">
        <v>0</v>
      </c>
      <c r="T2948" t="n">
        <v>0</v>
      </c>
      <c r="V2948" t="n">
        <v>0</v>
      </c>
    </row>
    <row r="2949">
      <c r="A2949">
        <f>Skills!A29</f>
        <v/>
      </c>
      <c r="B2949">
        <f>Skills!B29</f>
        <v/>
      </c>
      <c r="C2949">
        <f>Inputs!$B$3&gt;=45</f>
        <v/>
      </c>
      <c r="D2949">
        <f>IF(Skills!C29=1,60+Inputs!$B$25+Inputs!$B$29,IF(Skills!C29=2,90+Inputs!$B$26+Inputs!$B$29,IF(Skills!C29=3,120+Inputs!$B$27+Inputs!$B$29,MAX(0,(Inputs!$B$3-100)*3)+Inputs!$B$28+Inputs!$B$29)))</f>
        <v/>
      </c>
      <c r="E2949">
        <f>INDEX(FactorTable!$B$2:$Y$301, MATCH(ROUND(MIN(300,MAX(1,D2949)),0), FactorTable!$A$2:$A$301,0), Skills!M29+1)</f>
        <v/>
      </c>
      <c r="F2949">
        <f>IF(Skills!N29=TRUE,(Skills!L29/10)*(E2949/1000),Skills!L29/10)+Skills!O29</f>
        <v/>
      </c>
      <c r="G2949">
        <f>Skills!G29*IF(Skills!H29&gt;0,Skills!I29/Skills!H29,1)</f>
        <v/>
      </c>
      <c r="H2949">
        <f>1-(1-Skills!J29/100)^Skills!K29</f>
        <v/>
      </c>
      <c r="I2949" t="inlineStr">
        <is>
          <t>1</t>
        </is>
      </c>
      <c r="J2949" t="inlineStr"/>
      <c r="K2949" t="inlineStr"/>
      <c r="L2949" t="inlineStr"/>
      <c r="M2949" t="inlineStr"/>
      <c r="N2949" t="inlineStr"/>
      <c r="O2949">
        <f>(1-Summary!$B$11)*T2949+Summary!$B$11*V2949</f>
        <v/>
      </c>
      <c r="P2949">
        <f>IF(B2962=0,0,O2949/B2962)</f>
        <v/>
      </c>
      <c r="Q2949" t="n">
        <v>0</v>
      </c>
      <c r="R2949" t="n">
        <v>0</v>
      </c>
      <c r="S2949" t="n">
        <v>0</v>
      </c>
      <c r="T2949" t="n">
        <v>0</v>
      </c>
      <c r="V2949" t="n">
        <v>0</v>
      </c>
    </row>
    <row r="2951">
      <c r="A2951" t="inlineStr">
        <is>
          <t>Attack% Bucket Multiplier</t>
        </is>
      </c>
      <c r="B2951">
        <f>(1+(((C2933=TRUE)*F2933)+((C2934=TRUE)*IF(Inputs!$B$38="pvp",F2934,(1-Summary!$B$11)*(F2934)+Summary!$B$11*(0)))+((C2935=TRUE)*F2935*IF(AND(Inputs!$B$38&lt;&gt;"pvp",Inputs!$B$43&gt;0),(((R2935-1)*(Skills!T15*(1+Inputs!$B$34/100))+MIN((Skills!T15*(1+Inputs!$B$34/100)),MAX(0,Inputs!$B$43-((R2935-1)*Skills!D15))))/Inputs!$B$43),IF(Inputs!$B$38="pvp",MIN((Skills!T15*(1+Inputs!$B$34/100)),15)/15,(Skills!T15*(1+Inputs!$B$34/100))/Skills!D15)))+((C2932=TRUE)*F2932)+((C2949=TRUE)*(F2949-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2952">
      <c r="A2952" t="inlineStr">
        <is>
          <t>Global Crit Rate Bonus %</t>
        </is>
      </c>
      <c r="B2952">
        <f>(C2936=TRUE)*20*IF(AND(Inputs!$B$38&lt;&gt;"pvp",Inputs!$B$43&gt;0),(((R2936-1)*(Skills!T16*(1+Inputs!$B$34/100))+MIN((Skills!T16*(1+Inputs!$B$34/100)),MAX(0,Inputs!$B$43-((R2936-1)*Skills!D16))))/Inputs!$B$43),IF(Inputs!$B$38="pvp",MIN((Skills!T16*(1+Inputs!$B$34/100)),15)/15,(Skills!T16*(1+Inputs!$B$34/100))/Skills!D16))</f>
        <v/>
      </c>
    </row>
    <row r="2953">
      <c r="A2953" t="inlineStr">
        <is>
          <t>Attack Speed Buff Bonus %</t>
        </is>
      </c>
      <c r="B2953">
        <f>((C2938=TRUE)*F2938*IF(AND(Inputs!$B$38&lt;&gt;"pvp",Inputs!$B$43&gt;0),(((R2938-1)*(Skills!T18*(1+Inputs!$B$34/100))+MIN((Skills!T18*(1+Inputs!$B$34/100)),MAX(0,Inputs!$B$43-((R2938-1)*Skills!D18))))/Inputs!$B$43),IF(Inputs!$B$38="pvp",MIN((Skills!T18*(1+Inputs!$B$34/100)),15)/15,(Skills!T18*(1+Inputs!$B$34/100))/Skills!D18)))</f>
        <v/>
      </c>
    </row>
    <row r="2954">
      <c r="A2954" t="inlineStr">
        <is>
          <t>Actions Per Second</t>
        </is>
      </c>
      <c r="B2954">
        <f>1+MIN(150,150*(1-(1-(Inputs!$B$11+((C2940=TRUE)*(F2940-Calc!F20))+((C2941=TRUE)*(F2941-Calc!F21)))/150)*(1-B2953/150)))/100</f>
        <v/>
      </c>
    </row>
    <row r="2955">
      <c r="A2955" t="inlineStr">
        <is>
          <t>Skill + Buff Cast Rate</t>
        </is>
      </c>
      <c r="B2955">
        <f>IF(AND(Inputs!$B$38&lt;&gt;"pvp",Inputs!$B$43&gt;0),SUMPRODUCT((Skills!E2:E29=TRUE)*(C2922:C2949=TRUE)*R2922:R2949*Skills!F2:F29)/Inputs!$B$43,SUMPRODUCT((Skills!E2:E29=TRUE)*(C2922:C2949=TRUE)*Q2922:Q2949*Skills!F2:F29))</f>
        <v/>
      </c>
    </row>
    <row r="2956">
      <c r="A2956" t="inlineStr">
        <is>
          <t>Empowered Piercing Arrow Casts Per Second</t>
        </is>
      </c>
      <c r="B2956">
        <f>MAX(0,B2954-B2955)</f>
        <v/>
      </c>
    </row>
    <row r="2957">
      <c r="A2957" t="inlineStr">
        <is>
          <t>Global Critical Damage Bonus % (Sharp Eyes)</t>
        </is>
      </c>
      <c r="B2957">
        <f>(C2936=TRUE)*F2936*IF(AND(Inputs!$B$38&lt;&gt;"pvp",Inputs!$B$43&gt;0),(((R2936-1)*(Skills!T16*(1+Inputs!$B$34/100))+MIN((Skills!T16*(1+Inputs!$B$34/100)),MAX(0,Inputs!$B$43-((R2936-1)*Skills!D16))))/Inputs!$B$43),IF(Inputs!$B$38="pvp",MIN((Skills!T16*(1+Inputs!$B$34/100)),15)/15,(Skills!T16*(1+Inputs!$B$34/100))/Skills!D16))</f>
        <v/>
      </c>
    </row>
    <row r="2958">
      <c r="A2958" t="inlineStr">
        <is>
          <t>Global Final Damage Bonus % (Mortal Blow + Last Man Standing conditional half)</t>
        </is>
      </c>
      <c r="B2958">
        <f>(C2937=TRUE)*F2937+((C2946=TRUE)*IF(Inputs!$B$38="pvp",F2946,(1-Summary!$B$11)*(F2946)+Summary!$B$11*(0)))</f>
        <v/>
      </c>
    </row>
    <row r="2959">
      <c r="A2959" t="inlineStr">
        <is>
          <t>Buff-Casting Startup Delay (s, fixed-duration only)</t>
        </is>
      </c>
      <c r="B2959">
        <f>IF(AND(Inputs!$B$38&lt;&gt;"pvp",Inputs!$B$43&gt;0),SUMPRODUCT((Skills!T2:T29&gt;0)*(Skills!E2:E29=TRUE)*(C2922:C2949=TRUE))/B2954,0)</f>
        <v/>
      </c>
    </row>
    <row r="2960">
      <c r="A2960" t="inlineStr">
        <is>
          <t>Boss-Only Total DPS (this block's swept value)</t>
        </is>
      </c>
      <c r="B2960">
        <f>SUM(T2922:T2949)</f>
        <v/>
      </c>
    </row>
    <row r="2961">
      <c r="A2961" t="inlineStr">
        <is>
          <t>Normal-Only Total DPS (this block's swept value)</t>
        </is>
      </c>
      <c r="B2961">
        <f>SUM(V2922:V2949)</f>
        <v/>
      </c>
    </row>
    <row r="2962">
      <c r="A2962" s="6" t="inlineStr">
        <is>
          <t>TOTAL DPS</t>
        </is>
      </c>
      <c r="B2962" s="6">
        <f>SUM(O2922:O2949)</f>
        <v/>
      </c>
    </row>
    <row r="2965">
      <c r="A2965" s="6" t="inlineStr">
        <is>
          <t>Stat: CDR = 1.5s</t>
        </is>
      </c>
    </row>
    <row r="2966">
      <c r="A2966" s="5" t="inlineStr">
        <is>
          <t>Key</t>
        </is>
      </c>
      <c r="B2966" s="5" t="inlineStr">
        <is>
          <t>Name</t>
        </is>
      </c>
      <c r="C2966" s="5" t="inlineStr">
        <is>
          <t>Unlocked</t>
        </is>
      </c>
      <c r="D2966" s="5" t="inlineStr">
        <is>
          <t>InputLevel</t>
        </is>
      </c>
      <c r="E2966" s="5" t="inlineStr">
        <is>
          <t>Factor</t>
        </is>
      </c>
      <c r="F2966" s="5" t="inlineStr">
        <is>
          <t>CoefficientPercent</t>
        </is>
      </c>
      <c r="G2966" s="5" t="inlineStr">
        <is>
          <t>EffectiveHits</t>
        </is>
      </c>
      <c r="H2966" s="5" t="inlineStr">
        <is>
          <t>ProcProbability</t>
        </is>
      </c>
      <c r="I2966" s="5" t="inlineStr">
        <is>
          <t>MapleHeroMultiplier</t>
        </is>
      </c>
      <c r="J2966" s="5" t="inlineStr">
        <is>
          <t>BaseDamage</t>
        </is>
      </c>
      <c r="K2966" s="5" t="inlineStr">
        <is>
          <t>BaseHitDamage</t>
        </is>
      </c>
      <c r="L2966" s="5" t="inlineStr">
        <is>
          <t>NonCritAvg</t>
        </is>
      </c>
      <c r="M2966" s="5" t="inlineStr">
        <is>
          <t>CritAvg</t>
        </is>
      </c>
      <c r="N2966" s="5" t="inlineStr">
        <is>
          <t>ExpectedDamage(perHit)</t>
        </is>
      </c>
      <c r="O2966" s="5" t="inlineStr">
        <is>
          <t>DPS</t>
        </is>
      </c>
      <c r="P2966" s="5" t="inlineStr">
        <is>
          <t>% of Total</t>
        </is>
      </c>
      <c r="Q2966" s="5" t="inlineStr">
        <is>
          <t>InvCooldown</t>
        </is>
      </c>
      <c r="R2966" s="5" t="inlineStr">
        <is>
          <t>CastsInFight</t>
        </is>
      </c>
      <c r="S2966" s="5" t="inlineStr">
        <is>
          <t>HitRate(perSec)</t>
        </is>
      </c>
      <c r="U2966" t="inlineStr">
        <is>
          <t>helpers</t>
        </is>
      </c>
    </row>
    <row r="2967">
      <c r="A2967">
        <f>Skills!A2</f>
        <v/>
      </c>
      <c r="B2967">
        <f>Skills!B2</f>
        <v/>
      </c>
      <c r="C2967">
        <f>Inputs!$B$3&gt;=100</f>
        <v/>
      </c>
      <c r="D2967" t="inlineStr"/>
      <c r="E2967" t="inlineStr"/>
      <c r="F2967">
        <f>U2969+Skills!O2</f>
        <v/>
      </c>
      <c r="G2967">
        <f>Skills!G2*IF(Skills!H2&gt;0,Skills!I2/Skills!H2,1)</f>
        <v/>
      </c>
      <c r="H2967">
        <f>1-(1-Skills!J2/100)^Skills!K2</f>
        <v/>
      </c>
      <c r="I2967" t="inlineStr">
        <is>
          <t>1</t>
        </is>
      </c>
      <c r="J2967">
        <f>((Inputs!$B$6*(1+Inputs!$B$7/100))+(((Inputs!$B$12*(1+Inputs!$B$13/100))-(Inputs!$B$12*(1+Inputs!$B$13/100)))+0.25*(Inputs!$B$14-Inputs!$B$14))*(1+Inputs!$B$7/100))*(F2967/100)</f>
        <v/>
      </c>
      <c r="K2967">
        <f>J2967*(1+((Inputs!$B$12*(1+Inputs!$B$13/100))*0.01+Inputs!$B$14*0.0025)/100)*(1+Inputs!$B$15/100)*(1+Inputs!$B$16/100)*(5000/(6000+Inputs!$B$42*(1-(100*(1-(1-(Inputs!$B$19+0)/100)*(1-CHOOSE(ArtifactsInput!$N$40+1,5,6,7,8,9,10)/100)^(ArtifactsInput!$M$40-ArtifactsInput!$M$40)))/100)))*(1+(Inputs!$B$24+((C2989=TRUE)*(F2989-Calc!F24))+((C2990=TRUE)*(F2990-Calc!F25))+B3003)/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EMPOWERED_PIERCING_ARROW",Inputs!$B$17+((C2987=TRUE)*(F2987-Calc!F22))+(((IF(AND(ArtifactsInput!$M$42,((Inputs!$B$9+((C2984=TRUE)*(F2984-Calc!F19))+B2997+(ArtifactsInput!$M$24-ArtifactsInput!$M$24)*CHOOSE(ArtifactsInput!$N$24+1,10,12,14,16,18,20)+IF(ArtifactsInput!$M$10,CHOOSE(ArtifactsInput!$N$10+1,15,18,21,24,27,30)*(IF(Inputs!$B$38="pvp",MIN(15,15)/15,IF(AND(Inputs!$B$38&lt;&gt;"pvp",Inputs!$B$43&gt;0),MIN(15,Inputs!$B$43)/(Inputs!$B$43),0))),0)))&gt;=100),MIN(100,((Inputs!$B$9+((C2984=TRUE)*(F2984-Calc!F19))+B2997+(ArtifactsInput!$M$24-ArtifactsInput!$M$24)*CHOOSE(ArtifactsInput!$N$24+1,10,12,14,16,18,20)+IF(ArtifactsInput!$M$10,CHOOSE(ArtifactsInput!$N$10+1,15,18,21,24,27,30)*(IF(Inputs!$B$38="pvp",MIN(15,15)/15,IF(AND(Inputs!$B$38&lt;&gt;"pvp",Inputs!$B$43&gt;0),MIN(15,Inputs!$B$43)/(Inputs!$B$43),0))),0)))-100),0))*CHOOSE(ArtifactsInput!$N$42+1,0.6,0.72,0.84,0.96,1.08,1.2))),Inputs!$B$18+((C2992=TRUE)*(F2992-Calc!F27))+(IF(AND(ArtifactsInput!$M$42,((Inputs!$B$9+((C2984=TRUE)*(F2984-Calc!F19))+B2997+(ArtifactsInput!$M$24-ArtifactsInput!$M$24)*CHOOSE(ArtifactsInput!$N$24+1,10,12,14,16,18,20)+IF(ArtifactsInput!$M$10,CHOOSE(ArtifactsInput!$N$10+1,15,18,21,24,27,30)*(IF(Inputs!$B$38="pvp",MIN(15,15)/15,IF(AND(Inputs!$B$38&lt;&gt;"pvp",Inputs!$B$43&gt;0),MIN(15,Inputs!$B$43)/(Inputs!$B$43),0))),0)))&gt;=100),CHOOSE(ArtifactsInput!$N$42+1,40,48,56,64,72,80),0))))/100)*((1+(((C2978=TRUE)*F2978)+((C2979=TRUE)*IF(Inputs!$B$38="pvp",F2979,(1-Summary!$B$11)*(F2979)+Summary!$B$11*(0)))+((C2980=TRUE)*F2980*IF(AND(Inputs!$B$38&lt;&gt;"pvp",Inputs!$B$43&gt;0),(((R2980-1)*(Skills!T15*(1+Inputs!$B$34/100))+MIN((Skills!T15*(1+Inputs!$B$34/100)),MAX(0,Inputs!$B$43-((R2980-1)*Skills!D15))))/Inputs!$B$43),IF(Inputs!$B$38="pvp",MIN((Skills!T15*(1+Inputs!$B$34/100)),15)/15,(Skills!T15*(1+Inputs!$B$34/100))/Skills!D15)))+((C2977=TRUE)*F2977)+((C2994=TRUE)*(F2994-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2967)</f>
        <v/>
      </c>
      <c r="L2967">
        <f>K2967*(MIN(Inputs!$B$22+((C2988=TRUE)*(F2988-Calc!F23)),(Inputs!$B$23+((C2993=TRUE)*(F2993-Calc!F28))+(IF(ArtifactsInput!$M$15,CHOOSE(ArtifactsInput!$N$15+1,25,30,35,40,45,50)/100*(Inputs!$B$11-Inputs!$B$11),0))))/100+(Inputs!$B$23+((C2993=TRUE)*(F2993-Calc!F28))+(IF(ArtifactsInput!$M$15,CHOOSE(ArtifactsInput!$N$15+1,25,30,35,40,45,50)/100*(Inputs!$B$11-Inputs!$B$11),0)))/100)/2</f>
        <v/>
      </c>
      <c r="M2967">
        <f>L2967*(1+(Inputs!$B$10+0+B3002+(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967">
        <f>L2967*(1-MIN((Inputs!$B$9+((C2984=TRUE)*(F2984-Calc!F19))+B2997+(ArtifactsInput!$M$24-ArtifactsInput!$M$24)*CHOOSE(ArtifactsInput!$N$24+1,10,12,14,16,18,20)+(IF(AND(ArtifactsInput!$M$42,((Inputs!$B$9+((C2984=TRUE)*(F2984-Calc!F19))+B2997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2967*(MIN((Inputs!$B$9+((C2984=TRUE)*(F2984-Calc!F19))+B2997+(ArtifactsInput!$M$24-ArtifactsInput!$M$24)*CHOOSE(ArtifactsInput!$N$24+1,10,12,14,16,18,20)+(IF(AND(ArtifactsInput!$M$42,((Inputs!$B$9+((C2984=TRUE)*(F2984-Calc!F19))+B2997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967">
        <f>(1-Summary!$B$11)*T2967+Summary!$B$11*V2967</f>
        <v/>
      </c>
      <c r="P2967">
        <f>IF(B3007=0,0,O2967/B3007)</f>
        <v/>
      </c>
      <c r="Q2967" t="n">
        <v>0</v>
      </c>
      <c r="R2967" t="n">
        <v>0</v>
      </c>
      <c r="S2967">
        <f>IFERROR((Skills!G2*N2967*B3001)/N2967*IF(Inputs!$B$38="pvp",1,(1-Summary!$B$11)*1+Summary!$B$11*(MIN((6+Inputs!$B$33),Inputs!$B$37))),0)</f>
        <v/>
      </c>
      <c r="T2967">
        <f>IF(C2967,(Skills!G2*N2967*B3001)*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Hunt"),CHOOSE(ArtifactsInput!$N$35+1,15,18,21,24,27,30)*(1-EXP(-(0.2*B2999)*5)),0)+IF(AND(ArtifactsInput!$M$22,Inputs!$B$4&lt;&gt;"Chapter Hunt"),CHOOSE(ArtifactsInput!$N$22+1,10,12,14,16,18,20)*((0*(((0.15*B2999*5))^0/1)+1*(((0.15*B2999*5))^1/1)+2*(((0.15*B2999*5))^2/2)+3*(((0.15*B2999*5))^3/6)+4*(((0.15*B2999*5))^4/24)+5*(((0.15*B2999*5))^5/120))/((((0.15*B2999*5))^0/1)+(((0.15*B2999*5))^1/1)+(((0.15*B2999*5))^2/2)+(((0.15*B2999*5))^3/6)+(((0.15*B2999*5))^4/24)+(((0.15*B2999*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2967*(1-MIN(100,(Inputs!$B$9+((C2984=TRUE)*(F2984-Calc!F19))+B2997+(ArtifactsInput!$M$24-ArtifactsInput!$M$24)*CHOOSE(ArtifactsInput!$N$24+1,10,12,14,16,18,20)+(IF(AND(ArtifactsInput!$M$42,((Inputs!$B$9+((C2984=TRUE)*(F2984-Calc!F19))+B2997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2967*(MIN(100,(Inputs!$B$9+((C2984=TRUE)*(F2984-Calc!F19))+B2997+(ArtifactsInput!$M$24-ArtifactsInput!$M$24)*CHOOSE(ArtifactsInput!$N$24+1,10,12,14,16,18,20)+(IF(AND(ArtifactsInput!$M$42,((Inputs!$B$9+((C2984=TRUE)*(F2984-Calc!F19))+B2997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2967*(1-MIN(100,(Inputs!$B$9+((C2984=TRUE)*(F2984-Calc!F19))+B2997+(ArtifactsInput!$M$24-ArtifactsInput!$M$24)*CHOOSE(ArtifactsInput!$N$24+1,10,12,14,16,18,20)+(IF(AND(ArtifactsInput!$M$42,((Inputs!$B$9+((C2984=TRUE)*(F2984-Calc!F19))+B2997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2967*(MIN(100,(Inputs!$B$9+((C2984=TRUE)*(F2984-Calc!F19))+B2997+(ArtifactsInput!$M$24-ArtifactsInput!$M$24)*CHOOSE(ArtifactsInput!$N$24+1,10,12,14,16,18,20)+(IF(AND(ArtifactsInput!$M$42,((Inputs!$B$9+((C2984=TRUE)*(F2984-Calc!F19))+B2997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2967">
        <f>MAX(0,(Inputs!$B$3-100)*3)+Inputs!$B$28+Inputs!$B$29</f>
        <v/>
      </c>
      <c r="V2967">
        <f>IF(C2967,(Skills!G2*N2967*B3001)*IF(Inputs!$B$38="pvp",1,(1+(Inputs!$B$21+Skills!Q2+(IF(ArtifactsInput!$M$33,CHOOSE(ArtifactsInput!$N$33+1,30,36,42,48,54,60),0))+(IF(AND(ArtifactsInput!$M$35,Inputs!$B$4&lt;&gt;"Chapter Hunt"),CHOOSE(ArtifactsInput!$N$35+1,15,18,21,24,27,30)*(1-EXP(-(0.2*B2999)*5)),0)+IF(AND(ArtifactsInput!$M$22,Inputs!$B$4&lt;&gt;"Chapter Hunt"),CHOOSE(ArtifactsInput!$N$22+1,10,12,14,16,18,20)*((0*(((0.15*B2999*5))^0/1)+1*(((0.15*B2999*5))^1/1)+2*(((0.15*B2999*5))^2/2)+3*(((0.15*B2999*5))^3/6)+4*(((0.15*B2999*5))^4/24)+5*(((0.15*B2999*5))^5/120))/((((0.15*B2999*5))^0/1)+(((0.15*B2999*5))^1/1)+(((0.15*B2999*5))^2/2)+(((0.15*B2999*5))^3/6)+(((0.15*B2999*5))^4/24)+(((0.15*B2999*5))^5/120)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968">
      <c r="A2968">
        <f>Skills!A3</f>
        <v/>
      </c>
      <c r="B2968">
        <f>Skills!B3</f>
        <v/>
      </c>
      <c r="C2968">
        <f>Inputs!$B$3&gt;=50</f>
        <v/>
      </c>
      <c r="D2968">
        <f>IF(Skills!C3=1,60+Inputs!$B$25+Inputs!$B$29,IF(Skills!C3=2,90+Inputs!$B$26+Inputs!$B$29,IF(Skills!C3=3,120+Inputs!$B$27+Inputs!$B$29,MAX(0,(Inputs!$B$3-100)*3)+Inputs!$B$28+Inputs!$B$29)))</f>
        <v/>
      </c>
      <c r="E2968">
        <f>INDEX(FactorTable!$B$2:$Y$301, MATCH(ROUND(MIN(300,MAX(1,D2968)),0), FactorTable!$A$2:$A$301,0), Skills!M3+1)</f>
        <v/>
      </c>
      <c r="F2968">
        <f>IF(Skills!N3=TRUE,(Skills!L3/10)*(E2968/1000),Skills!L3/10)+Skills!O3</f>
        <v/>
      </c>
      <c r="G2968" t="inlineStr"/>
      <c r="H2968" t="inlineStr"/>
      <c r="I2968" t="inlineStr">
        <is>
          <t>1</t>
        </is>
      </c>
      <c r="J2968" t="inlineStr"/>
      <c r="K2968" t="inlineStr"/>
      <c r="L2968" t="inlineStr"/>
      <c r="M2968" t="inlineStr"/>
      <c r="N2968" t="inlineStr"/>
      <c r="O2968" t="inlineStr"/>
      <c r="P2968" t="inlineStr"/>
      <c r="Q2968" t="inlineStr"/>
      <c r="R2968" t="inlineStr"/>
      <c r="S2968" t="inlineStr"/>
      <c r="T2968" t="inlineStr"/>
      <c r="U2968">
        <f>INDEX(FactorTable!$B$2:$Y$301, MATCH(ROUND(MIN(300,MAX(1,U2967)),0), FactorTable!$A$2:$A$301,0), 22)</f>
        <v/>
      </c>
      <c r="V2968" t="inlineStr"/>
    </row>
    <row r="2969">
      <c r="A2969">
        <f>Skills!A4</f>
        <v/>
      </c>
      <c r="B2969">
        <f>Skills!B4</f>
        <v/>
      </c>
      <c r="C2969">
        <f>Inputs!$B$3&gt;=105</f>
        <v/>
      </c>
      <c r="D2969">
        <f>IF(Skills!C4=1,60+Inputs!$B$25+Inputs!$B$29,IF(Skills!C4=2,90+Inputs!$B$26+Inputs!$B$29,IF(Skills!C4=3,120+Inputs!$B$27+Inputs!$B$29,MAX(0,(Inputs!$B$3-100)*3)+Inputs!$B$28+Inputs!$B$29)))</f>
        <v/>
      </c>
      <c r="E2969">
        <f>INDEX(FactorTable!$B$2:$Y$301, MATCH(ROUND(MIN(300,MAX(1,D2969)),0), FactorTable!$A$2:$A$301,0), Skills!M4+1)</f>
        <v/>
      </c>
      <c r="F2969">
        <f>IF(Skills!N4=TRUE,(Skills!L4/10)*(E2969/1000),Skills!L4/10)+Skills!O4</f>
        <v/>
      </c>
      <c r="G2969" t="inlineStr"/>
      <c r="H2969" t="inlineStr"/>
      <c r="I2969" t="inlineStr">
        <is>
          <t>1</t>
        </is>
      </c>
      <c r="J2969" t="inlineStr"/>
      <c r="K2969" t="inlineStr"/>
      <c r="L2969" t="inlineStr"/>
      <c r="M2969" t="inlineStr"/>
      <c r="N2969" t="inlineStr"/>
      <c r="O2969" t="inlineStr"/>
      <c r="P2969" t="inlineStr"/>
      <c r="Q2969" t="inlineStr"/>
      <c r="R2969" t="inlineStr"/>
      <c r="S2969" t="inlineStr"/>
      <c r="T2969" t="inlineStr"/>
      <c r="U2969">
        <f>290*U2968/1000</f>
        <v/>
      </c>
      <c r="V2969" t="inlineStr"/>
    </row>
    <row r="2970">
      <c r="A2970">
        <f>Skills!A5</f>
        <v/>
      </c>
      <c r="B2970">
        <f>Skills!B5</f>
        <v/>
      </c>
      <c r="C2970">
        <f>Inputs!$B$3&gt;=35</f>
        <v/>
      </c>
      <c r="D2970">
        <f>IF(Skills!C5=1,60+Inputs!$B$25+Inputs!$B$29,IF(Skills!C5=2,90+Inputs!$B$26+Inputs!$B$29,IF(Skills!C5=3,120+Inputs!$B$27+Inputs!$B$29,MAX(0,(Inputs!$B$3-100)*3)+Inputs!$B$28+Inputs!$B$29)))</f>
        <v/>
      </c>
      <c r="E2970">
        <f>INDEX(FactorTable!$B$2:$Y$301, MATCH(ROUND(MIN(300,MAX(1,D2970)),0), FactorTable!$A$2:$A$301,0), Skills!M5+1)</f>
        <v/>
      </c>
      <c r="F2970">
        <f>IF(Skills!N5=TRUE,(Skills!L5/10)*(E2970/1000),Skills!L5/10)+Skills!O5</f>
        <v/>
      </c>
      <c r="G2970">
        <f>Skills!G5*IF(Skills!H5&gt;0,Skills!I5/Skills!H5,1)</f>
        <v/>
      </c>
      <c r="H2970">
        <f>1-(1-Skills!J5/100)^Skills!K5</f>
        <v/>
      </c>
      <c r="I2970" t="inlineStr">
        <is>
          <t>1</t>
        </is>
      </c>
      <c r="J2970">
        <f>((Inputs!$B$6*(1+Inputs!$B$7/100))+(((Inputs!$B$12*(1+Inputs!$B$13/100))-(Inputs!$B$12*(1+Inputs!$B$13/100)))+0.25*(Inputs!$B$14-Inputs!$B$14))*(1+Inputs!$B$7/100))*(F2970/100)</f>
        <v/>
      </c>
      <c r="K2970">
        <f>J2970*(1+((Inputs!$B$12*(1+Inputs!$B$13/100))*0.01+Inputs!$B$14*0.0025)/100)*(1+Inputs!$B$15/100)*(1+Inputs!$B$16/100)*(5000/(6000+Inputs!$B$42*(1-(100*(1-(1-(Inputs!$B$19+0)/100)*(1-CHOOSE(ArtifactsInput!$N$40+1,5,6,7,8,9,10)/100)^(ArtifactsInput!$M$40-ArtifactsInput!$M$40)))/100)))*(1+(Inputs!$B$24+((C2989=TRUE)*(F2989-Calc!F24))+((C2990=TRUE)*(F2990-Calc!F25))+B3003)/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2973=TRUE,F2973,0)/100)*(1+(IF(Skills!A5="EMPOWERED_PIERCING_ARROW",Inputs!$B$17+((C2987=TRUE)*(F2987-Calc!F22))+(((IF(AND(ArtifactsInput!$M$42,((Inputs!$B$9+((C2984=TRUE)*(F2984-Calc!F19))+B2997+(ArtifactsInput!$M$24-ArtifactsInput!$M$24)*CHOOSE(ArtifactsInput!$N$24+1,10,12,14,16,18,20)+IF(ArtifactsInput!$M$10,CHOOSE(ArtifactsInput!$N$10+1,15,18,21,24,27,30)*(IF(Inputs!$B$38="pvp",MIN(15,15)/15,IF(AND(Inputs!$B$38&lt;&gt;"pvp",Inputs!$B$43&gt;0),MIN(15,Inputs!$B$43)/(Inputs!$B$43),0))),0)))&gt;=100),MIN(100,((Inputs!$B$9+((C2984=TRUE)*(F2984-Calc!F19))+B2997+(ArtifactsInput!$M$24-ArtifactsInput!$M$24)*CHOOSE(ArtifactsInput!$N$24+1,10,12,14,16,18,20)+IF(ArtifactsInput!$M$10,CHOOSE(ArtifactsInput!$N$10+1,15,18,21,24,27,30)*(IF(Inputs!$B$38="pvp",MIN(15,15)/15,IF(AND(Inputs!$B$38&lt;&gt;"pvp",Inputs!$B$43&gt;0),MIN(15,Inputs!$B$43)/(Inputs!$B$43),0))),0)))-100),0))*CHOOSE(ArtifactsInput!$N$42+1,0.6,0.72,0.84,0.96,1.08,1.2))),Inputs!$B$18+((C2992=TRUE)*(F2992-Calc!F27))+(IF(AND(ArtifactsInput!$M$42,((Inputs!$B$9+((C2984=TRUE)*(F2984-Calc!F19))+B2997+(ArtifactsInput!$M$24-ArtifactsInput!$M$24)*CHOOSE(ArtifactsInput!$N$24+1,10,12,14,16,18,20)+IF(ArtifactsInput!$M$10,CHOOSE(ArtifactsInput!$N$10+1,15,18,21,24,27,30)*(IF(Inputs!$B$38="pvp",MIN(15,15)/15,IF(AND(Inputs!$B$38&lt;&gt;"pvp",Inputs!$B$43&gt;0),MIN(15,Inputs!$B$43)/(Inputs!$B$43),0))),0)))&gt;=100),CHOOSE(ArtifactsInput!$N$42+1,40,48,56,64,72,80),0))))/100)*((1+(((C2978=TRUE)*F2978)+((C2979=TRUE)*IF(Inputs!$B$38="pvp",F2979,(1-Summary!$B$11)*(F2979)+Summary!$B$11*(0)))+((C2980=TRUE)*F2980*IF(AND(Inputs!$B$38&lt;&gt;"pvp",Inputs!$B$43&gt;0),(((R2980-1)*(Skills!T15*(1+Inputs!$B$34/100))+MIN((Skills!T15*(1+Inputs!$B$34/100)),MAX(0,Inputs!$B$43-((R2980-1)*Skills!D15))))/Inputs!$B$43),IF(Inputs!$B$38="pvp",MIN((Skills!T15*(1+Inputs!$B$34/100)),15)/15,(Skills!T15*(1+Inputs!$B$34/100))/Skills!D15)))+((C2977=TRUE)*F2977)+((C2994=TRUE)*(F2994-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2970)</f>
        <v/>
      </c>
      <c r="L2970">
        <f>K2970*(MIN(Inputs!$B$22+((C2988=TRUE)*(F2988-Calc!F23)),(Inputs!$B$23+((C2993=TRUE)*(F2993-Calc!F28))+(IF(ArtifactsInput!$M$15,CHOOSE(ArtifactsInput!$N$15+1,25,30,35,40,45,50)/100*(Inputs!$B$11-Inputs!$B$11),0))))/100+(Inputs!$B$23+((C2993=TRUE)*(F2993-Calc!F28))+(IF(ArtifactsInput!$M$15,CHOOSE(ArtifactsInput!$N$15+1,25,30,35,40,45,50)/100*(Inputs!$B$11-Inputs!$B$11),0)))/100)/2</f>
        <v/>
      </c>
      <c r="M2970">
        <f>L2970*(1+(Inputs!$B$10+0+B3002+(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970">
        <f>L2970*(1-MIN((Inputs!$B$9+((C2984=TRUE)*(F2984-Calc!F19))+B2997+(ArtifactsInput!$M$24-ArtifactsInput!$M$24)*CHOOSE(ArtifactsInput!$N$24+1,10,12,14,16,18,20)+(IF(AND(ArtifactsInput!$M$42,((Inputs!$B$9+((C2984=TRUE)*(F2984-Calc!F19))+B2997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2970*(MIN((Inputs!$B$9+((C2984=TRUE)*(F2984-Calc!F19))+B2997+(ArtifactsInput!$M$24-ArtifactsInput!$M$24)*CHOOSE(ArtifactsInput!$N$24+1,10,12,14,16,18,20)+(IF(AND(ArtifactsInput!$M$42,((Inputs!$B$9+((C2984=TRUE)*(F2984-Calc!F19))+B2997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970">
        <f>(1-Summary!$B$11)*T2970+Summary!$B$11*V2970</f>
        <v/>
      </c>
      <c r="P2970">
        <f>IF(B3007=0,0,O2970/B3007)</f>
        <v/>
      </c>
      <c r="Q2970">
        <f>IFERROR(1/IF(Inputs!$B$38="pvp",15,MAX(0.1,Skills!D5-IF(Skills!E5=TRUE,1.5,0))),0)</f>
        <v/>
      </c>
      <c r="R2970">
        <f>IF(AND(Inputs!$B$38&lt;&gt;"pvp",Inputs!$B$43&gt;0),IF(MAX(0,Inputs!$B$43-B3004)&lt;=0,0,(INT(MAX(0,Inputs!$B$43-B3004)/IF(Inputs!$B$38="pvp",15,MAX(0.1,Skills!D5-IF(Skills!E5=TRUE,1.5,0))))+1)),0)</f>
        <v/>
      </c>
      <c r="S2970">
        <f>IFERROR((H2970*N2970*IF(AND(Inputs!$B$38&lt;&gt;"pvp",Inputs!$B$43&gt;0),((Skills!G5*((R2970-1)*IF(Skills!H5&gt;0,Skills!I5/Skills!H5,1)+IF(Skills!H5&gt;0,MIN(Skills!I5,MAX(0,MAX(0,Inputs!$B$43-B3004)-((R2970-1)*IF(Inputs!$B$38="pvp",15,MAX(0.1,Skills!D5-IF(Skills!E5=TRUE,1.5,0))))))/Skills!H5,1)))/Inputs!$B$43),G2970*Q2970))/N2970*IF(Inputs!$B$38="pvp",1,(1-Summary!$B$11)*1+Summary!$B$11*(MIN(Skills!R5,Inputs!$B$37))),0)</f>
        <v/>
      </c>
      <c r="T2970">
        <f>IF(C2970,(H2970*N2970*IF(AND(Inputs!$B$38&lt;&gt;"pvp",Inputs!$B$43&gt;0),((Skills!G5*((R2970-1)*IF(Skills!H5&gt;0,Skills!I5/Skills!H5,1)+IF(Skills!H5&gt;0,MIN(Skills!I5,MAX(0,MAX(0,Inputs!$B$43-B3004)-((R2970-1)*IF(Inputs!$B$38="pvp",15,MAX(0.1,Skills!D5-IF(Skills!E5=TRUE,1.5,0))))))/Skills!H5,1)))/Inputs!$B$43),G2970*Q2970))*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Hunt"),CHOOSE(ArtifactsInput!$N$35+1,15,18,21,24,27,30)*(1-EXP(-(0.2*B2999)*5)),0)+IF(AND(ArtifactsInput!$M$22,Inputs!$B$4&lt;&gt;"Chapter Hunt"),CHOOSE(ArtifactsInput!$N$22+1,10,12,14,16,18,20)*((0*(((0.15*B2999*5))^0/1)+1*(((0.15*B2999*5))^1/1)+2*(((0.15*B2999*5))^2/2)+3*(((0.15*B2999*5))^3/6)+4*(((0.15*B2999*5))^4/24)+5*(((0.15*B2999*5))^5/120))/((((0.15*B2999*5))^0/1)+(((0.15*B2999*5))^1/1)+(((0.15*B2999*5))^2/2)+(((0.15*B2999*5))^3/6)+(((0.15*B2999*5))^4/24)+(((0.15*B2999*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2970*(1-MIN(100,(Inputs!$B$9+((C2984=TRUE)*(F2984-Calc!F19))+B2997+(ArtifactsInput!$M$24-ArtifactsInput!$M$24)*CHOOSE(ArtifactsInput!$N$24+1,10,12,14,16,18,20)+(IF(AND(ArtifactsInput!$M$42,((Inputs!$B$9+((C2984=TRUE)*(F2984-Calc!F19))+B2997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2970*(MIN(100,(Inputs!$B$9+((C2984=TRUE)*(F2984-Calc!F19))+B2997+(ArtifactsInput!$M$24-ArtifactsInput!$M$24)*CHOOSE(ArtifactsInput!$N$24+1,10,12,14,16,18,20)+(IF(AND(ArtifactsInput!$M$42,((Inputs!$B$9+((C2984=TRUE)*(F2984-Calc!F19))+B2997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2970*(1-MIN(100,(Inputs!$B$9+((C2984=TRUE)*(F2984-Calc!F19))+B2997+(ArtifactsInput!$M$24-ArtifactsInput!$M$24)*CHOOSE(ArtifactsInput!$N$24+1,10,12,14,16,18,20)+(IF(AND(ArtifactsInput!$M$42,((Inputs!$B$9+((C2984=TRUE)*(F2984-Calc!F19))+B2997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2970*(MIN(100,(Inputs!$B$9+((C2984=TRUE)*(F2984-Calc!F19))+B2997+(ArtifactsInput!$M$24-ArtifactsInput!$M$24)*CHOOSE(ArtifactsInput!$N$24+1,10,12,14,16,18,20)+(IF(AND(ArtifactsInput!$M$42,((Inputs!$B$9+((C2984=TRUE)*(F2984-Calc!F19))+B2997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970">
        <f>IF(C2970,(H2970*N2970*IF(AND(Inputs!$B$38&lt;&gt;"pvp",Inputs!$B$43&gt;0),((Skills!G5*((R2970-1)*IF(Skills!H5&gt;0,Skills!I5/Skills!H5,1)+IF(Skills!H5&gt;0,MIN(Skills!I5,MAX(0,MAX(0,Inputs!$B$43-B3004)-((R2970-1)*IF(Inputs!$B$38="pvp",15,MAX(0.1,Skills!D5-IF(Skills!E5=TRUE,1.5,0))))))/Skills!H5,1)))/Inputs!$B$43),G2970*Q2970))*IF(Inputs!$B$38="pvp",1,(1+(Inputs!$B$21+Skills!Q5+(IF(ArtifactsInput!$M$33,CHOOSE(ArtifactsInput!$N$33+1,30,36,42,48,54,60),0))+(IF(AND(ArtifactsInput!$M$35,Inputs!$B$4&lt;&gt;"Chapter Hunt"),CHOOSE(ArtifactsInput!$N$35+1,15,18,21,24,27,30)*(1-EXP(-(0.2*B2999)*5)),0)+IF(AND(ArtifactsInput!$M$22,Inputs!$B$4&lt;&gt;"Chapter Hunt"),CHOOSE(ArtifactsInput!$N$22+1,10,12,14,16,18,20)*((0*(((0.15*B2999*5))^0/1)+1*(((0.15*B2999*5))^1/1)+2*(((0.15*B2999*5))^2/2)+3*(((0.15*B2999*5))^3/6)+4*(((0.15*B2999*5))^4/24)+5*(((0.15*B2999*5))^5/120))/((((0.15*B2999*5))^0/1)+(((0.15*B2999*5))^1/1)+(((0.15*B2999*5))^2/2)+(((0.15*B2999*5))^3/6)+(((0.15*B2999*5))^4/24)+(((0.15*B2999*5))^5/120)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971">
      <c r="A2971">
        <f>Skills!A6</f>
        <v/>
      </c>
      <c r="B2971">
        <f>Skills!B6</f>
        <v/>
      </c>
      <c r="C2971">
        <f>Inputs!$B$3&gt;=63</f>
        <v/>
      </c>
      <c r="D2971">
        <f>IF(Skills!C6=1,60+Inputs!$B$25+Inputs!$B$29,IF(Skills!C6=2,90+Inputs!$B$26+Inputs!$B$29,IF(Skills!C6=3,120+Inputs!$B$27+Inputs!$B$29,MAX(0,(Inputs!$B$3-100)*3)+Inputs!$B$28+Inputs!$B$29)))</f>
        <v/>
      </c>
      <c r="E2971">
        <f>INDEX(FactorTable!$B$2:$Y$301, MATCH(ROUND(MIN(300,MAX(1,D2971)),0), FactorTable!$A$2:$A$301,0), Skills!M6+1)</f>
        <v/>
      </c>
      <c r="F2971">
        <f>IF(Skills!N6=TRUE,(Skills!L6/10)*(E2971/1000),Skills!L6/10)+Skills!O6</f>
        <v/>
      </c>
      <c r="G2971">
        <f>Skills!G6*IF(Skills!H6&gt;0,Skills!I6/Skills!H6,1)</f>
        <v/>
      </c>
      <c r="H2971">
        <f>1-(1-Skills!J6/100)^Skills!K6</f>
        <v/>
      </c>
      <c r="I2971" t="inlineStr">
        <is>
          <t>1</t>
        </is>
      </c>
      <c r="J2971">
        <f>((Inputs!$B$6*(1+Inputs!$B$7/100))+(((Inputs!$B$12*(1+Inputs!$B$13/100))-(Inputs!$B$12*(1+Inputs!$B$13/100)))+0.25*(Inputs!$B$14-Inputs!$B$14))*(1+Inputs!$B$7/100))*(F2971/100)</f>
        <v/>
      </c>
      <c r="K2971">
        <f>J2971*(1+((Inputs!$B$12*(1+Inputs!$B$13/100))*0.01+Inputs!$B$14*0.0025)/100)*(1+Inputs!$B$15/100)*(1+Inputs!$B$16/100)*(5000/(6000+Inputs!$B$42*(1-(100*(1-(1-(Inputs!$B$19+0)/100)*(1-CHOOSE(ArtifactsInput!$N$40+1,5,6,7,8,9,10)/100)^(ArtifactsInput!$M$40-ArtifactsInput!$M$40)))/100)))*(1+(Inputs!$B$24+((C2989=TRUE)*(F2989-Calc!F24))+((C2990=TRUE)*(F2990-Calc!F25))+B3003)/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2973=TRUE,F2973,0)/100)*(1+(IF(Skills!A6="EMPOWERED_PIERCING_ARROW",Inputs!$B$17+((C2987=TRUE)*(F2987-Calc!F22))+(((IF(AND(ArtifactsInput!$M$42,((Inputs!$B$9+((C2984=TRUE)*(F2984-Calc!F19))+B2997+(ArtifactsInput!$M$24-ArtifactsInput!$M$24)*CHOOSE(ArtifactsInput!$N$24+1,10,12,14,16,18,20)+IF(ArtifactsInput!$M$10,CHOOSE(ArtifactsInput!$N$10+1,15,18,21,24,27,30)*(IF(Inputs!$B$38="pvp",MIN(15,15)/15,IF(AND(Inputs!$B$38&lt;&gt;"pvp",Inputs!$B$43&gt;0),MIN(15,Inputs!$B$43)/(Inputs!$B$43),0))),0)))&gt;=100),MIN(100,((Inputs!$B$9+((C2984=TRUE)*(F2984-Calc!F19))+B2997+(ArtifactsInput!$M$24-ArtifactsInput!$M$24)*CHOOSE(ArtifactsInput!$N$24+1,10,12,14,16,18,20)+IF(ArtifactsInput!$M$10,CHOOSE(ArtifactsInput!$N$10+1,15,18,21,24,27,30)*(IF(Inputs!$B$38="pvp",MIN(15,15)/15,IF(AND(Inputs!$B$38&lt;&gt;"pvp",Inputs!$B$43&gt;0),MIN(15,Inputs!$B$43)/(Inputs!$B$43),0))),0)))-100),0))*CHOOSE(ArtifactsInput!$N$42+1,0.6,0.72,0.84,0.96,1.08,1.2))),Inputs!$B$18+((C2992=TRUE)*(F2992-Calc!F27))+(IF(AND(ArtifactsInput!$M$42,((Inputs!$B$9+((C2984=TRUE)*(F2984-Calc!F19))+B2997+(ArtifactsInput!$M$24-ArtifactsInput!$M$24)*CHOOSE(ArtifactsInput!$N$24+1,10,12,14,16,18,20)+IF(ArtifactsInput!$M$10,CHOOSE(ArtifactsInput!$N$10+1,15,18,21,24,27,30)*(IF(Inputs!$B$38="pvp",MIN(15,15)/15,IF(AND(Inputs!$B$38&lt;&gt;"pvp",Inputs!$B$43&gt;0),MIN(15,Inputs!$B$43)/(Inputs!$B$43),0))),0)))&gt;=100),CHOOSE(ArtifactsInput!$N$42+1,40,48,56,64,72,80),0))))/100)*((1+(((C2978=TRUE)*F2978)+((C2979=TRUE)*IF(Inputs!$B$38="pvp",F2979,(1-Summary!$B$11)*(F2979)+Summary!$B$11*(0)))+((C2980=TRUE)*F2980*IF(AND(Inputs!$B$38&lt;&gt;"pvp",Inputs!$B$43&gt;0),(((R2980-1)*(Skills!T15*(1+Inputs!$B$34/100))+MIN((Skills!T15*(1+Inputs!$B$34/100)),MAX(0,Inputs!$B$43-((R2980-1)*Skills!D15))))/Inputs!$B$43),IF(Inputs!$B$38="pvp",MIN((Skills!T15*(1+Inputs!$B$34/100)),15)/15,(Skills!T15*(1+Inputs!$B$34/100))/Skills!D15)))+((C2977=TRUE)*F2977)+((C2994=TRUE)*(F2994-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2971)</f>
        <v/>
      </c>
      <c r="L2971">
        <f>K2971*(MIN(Inputs!$B$22+((C2988=TRUE)*(F2988-Calc!F23)),(Inputs!$B$23+((C2993=TRUE)*(F2993-Calc!F28))+(IF(ArtifactsInput!$M$15,CHOOSE(ArtifactsInput!$N$15+1,25,30,35,40,45,50)/100*(Inputs!$B$11-Inputs!$B$11),0))))/100+(Inputs!$B$23+((C2993=TRUE)*(F2993-Calc!F28))+(IF(ArtifactsInput!$M$15,CHOOSE(ArtifactsInput!$N$15+1,25,30,35,40,45,50)/100*(Inputs!$B$11-Inputs!$B$11),0)))/100)/2</f>
        <v/>
      </c>
      <c r="M2971">
        <f>L2971*(1+(Inputs!$B$10+0+B3002+(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971">
        <f>L2971*(1-MIN((Inputs!$B$9+((C2984=TRUE)*(F2984-Calc!F19))+B2997+(ArtifactsInput!$M$24-ArtifactsInput!$M$24)*CHOOSE(ArtifactsInput!$N$24+1,10,12,14,16,18,20)+(IF(AND(ArtifactsInput!$M$42,((Inputs!$B$9+((C2984=TRUE)*(F2984-Calc!F19))+B2997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2971*(MIN((Inputs!$B$9+((C2984=TRUE)*(F2984-Calc!F19))+B2997+(ArtifactsInput!$M$24-ArtifactsInput!$M$24)*CHOOSE(ArtifactsInput!$N$24+1,10,12,14,16,18,20)+(IF(AND(ArtifactsInput!$M$42,((Inputs!$B$9+((C2984=TRUE)*(F2984-Calc!F19))+B2997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971">
        <f>(1-Summary!$B$11)*T2971+Summary!$B$11*V2971</f>
        <v/>
      </c>
      <c r="P2971">
        <f>IF(B3007=0,0,O2971/B3007)</f>
        <v/>
      </c>
      <c r="Q2971">
        <f>IFERROR(1/IF(Inputs!$B$38="pvp",15,MAX(0.1,Skills!D6-IF(Skills!E6=TRUE,1.5,0))),0)</f>
        <v/>
      </c>
      <c r="R2971">
        <f>IF(AND(Inputs!$B$38&lt;&gt;"pvp",Inputs!$B$43&gt;0),IF(MAX(0,Inputs!$B$43-B3004)&lt;=0,0,(INT(MAX(0,Inputs!$B$43-B3004)/IF(Inputs!$B$38="pvp",15,MAX(0.1,Skills!D6-IF(Skills!E6=TRUE,1.5,0))))+1)),0)</f>
        <v/>
      </c>
      <c r="S2971">
        <f>IFERROR((H2971*N2971*IF(AND(Inputs!$B$38&lt;&gt;"pvp",Inputs!$B$43&gt;0),((Skills!G6*((R2971-1)*IF(Skills!H6&gt;0,Skills!I6/Skills!H6,1)+IF(Skills!H6&gt;0,MIN(Skills!I6,MAX(0,MAX(0,Inputs!$B$43-B3004)-((R2971-1)*IF(Inputs!$B$38="pvp",15,MAX(0.1,Skills!D6-IF(Skills!E6=TRUE,1.5,0))))))/Skills!H6,1)))/Inputs!$B$43),G2971*Q2971))/N2971*IF(Inputs!$B$38="pvp",1,(1-Summary!$B$11)*1+Summary!$B$11*(MIN(Skills!R6,Inputs!$B$37))),0)</f>
        <v/>
      </c>
      <c r="T2971">
        <f>IF(C2971,(H2971*N2971*IF(AND(Inputs!$B$38&lt;&gt;"pvp",Inputs!$B$43&gt;0),((Skills!G6*((R2971-1)*IF(Skills!H6&gt;0,Skills!I6/Skills!H6,1)+IF(Skills!H6&gt;0,MIN(Skills!I6,MAX(0,MAX(0,Inputs!$B$43-B3004)-((R2971-1)*IF(Inputs!$B$38="pvp",15,MAX(0.1,Skills!D6-IF(Skills!E6=TRUE,1.5,0))))))/Skills!H6,1)))/Inputs!$B$43),G2971*Q2971))*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Hunt"),CHOOSE(ArtifactsInput!$N$35+1,15,18,21,24,27,30)*(1-EXP(-(0.2*B2999)*5)),0)+IF(AND(ArtifactsInput!$M$22,Inputs!$B$4&lt;&gt;"Chapter Hunt"),CHOOSE(ArtifactsInput!$N$22+1,10,12,14,16,18,20)*((0*(((0.15*B2999*5))^0/1)+1*(((0.15*B2999*5))^1/1)+2*(((0.15*B2999*5))^2/2)+3*(((0.15*B2999*5))^3/6)+4*(((0.15*B2999*5))^4/24)+5*(((0.15*B2999*5))^5/120))/((((0.15*B2999*5))^0/1)+(((0.15*B2999*5))^1/1)+(((0.15*B2999*5))^2/2)+(((0.15*B2999*5))^3/6)+(((0.15*B2999*5))^4/24)+(((0.15*B2999*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2971*(1-MIN(100,(Inputs!$B$9+((C2984=TRUE)*(F2984-Calc!F19))+B2997+(ArtifactsInput!$M$24-ArtifactsInput!$M$24)*CHOOSE(ArtifactsInput!$N$24+1,10,12,14,16,18,20)+(IF(AND(ArtifactsInput!$M$42,((Inputs!$B$9+((C2984=TRUE)*(F2984-Calc!F19))+B2997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2971*(MIN(100,(Inputs!$B$9+((C2984=TRUE)*(F2984-Calc!F19))+B2997+(ArtifactsInput!$M$24-ArtifactsInput!$M$24)*CHOOSE(ArtifactsInput!$N$24+1,10,12,14,16,18,20)+(IF(AND(ArtifactsInput!$M$42,((Inputs!$B$9+((C2984=TRUE)*(F2984-Calc!F19))+B2997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2971*(1-MIN(100,(Inputs!$B$9+((C2984=TRUE)*(F2984-Calc!F19))+B2997+(ArtifactsInput!$M$24-ArtifactsInput!$M$24)*CHOOSE(ArtifactsInput!$N$24+1,10,12,14,16,18,20)+(IF(AND(ArtifactsInput!$M$42,((Inputs!$B$9+((C2984=TRUE)*(F2984-Calc!F19))+B2997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2971*(MIN(100,(Inputs!$B$9+((C2984=TRUE)*(F2984-Calc!F19))+B2997+(ArtifactsInput!$M$24-ArtifactsInput!$M$24)*CHOOSE(ArtifactsInput!$N$24+1,10,12,14,16,18,20)+(IF(AND(ArtifactsInput!$M$42,((Inputs!$B$9+((C2984=TRUE)*(F2984-Calc!F19))+B2997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971">
        <f>IF(C2971,(H2971*N2971*IF(AND(Inputs!$B$38&lt;&gt;"pvp",Inputs!$B$43&gt;0),((Skills!G6*((R2971-1)*IF(Skills!H6&gt;0,Skills!I6/Skills!H6,1)+IF(Skills!H6&gt;0,MIN(Skills!I6,MAX(0,MAX(0,Inputs!$B$43-B3004)-((R2971-1)*IF(Inputs!$B$38="pvp",15,MAX(0.1,Skills!D6-IF(Skills!E6=TRUE,1.5,0))))))/Skills!H6,1)))/Inputs!$B$43),G2971*Q2971))*IF(Inputs!$B$38="pvp",1,(1+(Inputs!$B$21+Skills!Q6+(IF(ArtifactsInput!$M$33,CHOOSE(ArtifactsInput!$N$33+1,30,36,42,48,54,60),0))+(IF(AND(ArtifactsInput!$M$35,Inputs!$B$4&lt;&gt;"Chapter Hunt"),CHOOSE(ArtifactsInput!$N$35+1,15,18,21,24,27,30)*(1-EXP(-(0.2*B2999)*5)),0)+IF(AND(ArtifactsInput!$M$22,Inputs!$B$4&lt;&gt;"Chapter Hunt"),CHOOSE(ArtifactsInput!$N$22+1,10,12,14,16,18,20)*((0*(((0.15*B2999*5))^0/1)+1*(((0.15*B2999*5))^1/1)+2*(((0.15*B2999*5))^2/2)+3*(((0.15*B2999*5))^3/6)+4*(((0.15*B2999*5))^4/24)+5*(((0.15*B2999*5))^5/120))/((((0.15*B2999*5))^0/1)+(((0.15*B2999*5))^1/1)+(((0.15*B2999*5))^2/2)+(((0.15*B2999*5))^3/6)+(((0.15*B2999*5))^4/24)+(((0.15*B2999*5))^5/120))),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972">
      <c r="A2972">
        <f>Skills!A7</f>
        <v/>
      </c>
      <c r="B2972">
        <f>Skills!B7</f>
        <v/>
      </c>
      <c r="C2972">
        <f>Inputs!$B$3&gt;=69</f>
        <v/>
      </c>
      <c r="D2972">
        <f>IF(Skills!C7=1,60+Inputs!$B$25+Inputs!$B$29,IF(Skills!C7=2,90+Inputs!$B$26+Inputs!$B$29,IF(Skills!C7=3,120+Inputs!$B$27+Inputs!$B$29,MAX(0,(Inputs!$B$3-100)*3)+Inputs!$B$28+Inputs!$B$29)))</f>
        <v/>
      </c>
      <c r="E2972">
        <f>INDEX(FactorTable!$B$2:$Y$301, MATCH(ROUND(MIN(300,MAX(1,D2972)),0), FactorTable!$A$2:$A$301,0), Skills!M7+1)</f>
        <v/>
      </c>
      <c r="F2972">
        <f>IF(Skills!N7=TRUE,(Skills!L7/10)*(E2972/1000),Skills!L7/10)+Skills!O7</f>
        <v/>
      </c>
      <c r="G2972">
        <f>Skills!G7*IF(Skills!H7&gt;0,Skills!I7/Skills!H7,1)</f>
        <v/>
      </c>
      <c r="H2972">
        <f>1-(1-Skills!J7/100)^Skills!K7</f>
        <v/>
      </c>
      <c r="I2972" t="inlineStr">
        <is>
          <t>1</t>
        </is>
      </c>
      <c r="J2972">
        <f>((Inputs!$B$6*(1+Inputs!$B$7/100))+(((Inputs!$B$12*(1+Inputs!$B$13/100))-(Inputs!$B$12*(1+Inputs!$B$13/100)))+0.25*(Inputs!$B$14-Inputs!$B$14))*(1+Inputs!$B$7/100))*(F2972/100)</f>
        <v/>
      </c>
      <c r="K2972">
        <f>J2972*(1+((Inputs!$B$12*(1+Inputs!$B$13/100))*0.01+Inputs!$B$14*0.0025)/100)*(1+Inputs!$B$15/100)*(1+Inputs!$B$16/100)*(5000/(6000+Inputs!$B$42*(1-(100*(1-(1-(Inputs!$B$19+0)/100)*(1-CHOOSE(ArtifactsInput!$N$40+1,5,6,7,8,9,10)/100)^(ArtifactsInput!$M$40-ArtifactsInput!$M$40)))/100)))*(1+(Inputs!$B$24+((C2989=TRUE)*(F2989-Calc!F24))+((C2990=TRUE)*(F2990-Calc!F25))+B3003)/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+1.2*IF(C2973=TRUE,F2973,0)/100)*(1+(IF(Skills!A7="EMPOWERED_PIERCING_ARROW",Inputs!$B$17+((C2987=TRUE)*(F2987-Calc!F22))+(((IF(AND(ArtifactsInput!$M$42,((Inputs!$B$9+((C2984=TRUE)*(F2984-Calc!F19))+B2997+(ArtifactsInput!$M$24-ArtifactsInput!$M$24)*CHOOSE(ArtifactsInput!$N$24+1,10,12,14,16,18,20)+IF(ArtifactsInput!$M$10,CHOOSE(ArtifactsInput!$N$10+1,15,18,21,24,27,30)*(IF(Inputs!$B$38="pvp",MIN(15,15)/15,IF(AND(Inputs!$B$38&lt;&gt;"pvp",Inputs!$B$43&gt;0),MIN(15,Inputs!$B$43)/(Inputs!$B$43),0))),0)))&gt;=100),MIN(100,((Inputs!$B$9+((C2984=TRUE)*(F2984-Calc!F19))+B2997+(ArtifactsInput!$M$24-ArtifactsInput!$M$24)*CHOOSE(ArtifactsInput!$N$24+1,10,12,14,16,18,20)+IF(ArtifactsInput!$M$10,CHOOSE(ArtifactsInput!$N$10+1,15,18,21,24,27,30)*(IF(Inputs!$B$38="pvp",MIN(15,15)/15,IF(AND(Inputs!$B$38&lt;&gt;"pvp",Inputs!$B$43&gt;0),MIN(15,Inputs!$B$43)/(Inputs!$B$43),0))),0)))-100),0))*CHOOSE(ArtifactsInput!$N$42+1,0.6,0.72,0.84,0.96,1.08,1.2))),Inputs!$B$18+((C2992=TRUE)*(F2992-Calc!F27))+(IF(AND(ArtifactsInput!$M$42,((Inputs!$B$9+((C2984=TRUE)*(F2984-Calc!F19))+B2997+(ArtifactsInput!$M$24-ArtifactsInput!$M$24)*CHOOSE(ArtifactsInput!$N$24+1,10,12,14,16,18,20)+IF(ArtifactsInput!$M$10,CHOOSE(ArtifactsInput!$N$10+1,15,18,21,24,27,30)*(IF(Inputs!$B$38="pvp",MIN(15,15)/15,IF(AND(Inputs!$B$38&lt;&gt;"pvp",Inputs!$B$43&gt;0),MIN(15,Inputs!$B$43)/(Inputs!$B$43),0))),0)))&gt;=100),CHOOSE(ArtifactsInput!$N$42+1,40,48,56,64,72,80),0))))/100)*((1+(((C2978=TRUE)*F2978)+((C2979=TRUE)*IF(Inputs!$B$38="pvp",F2979,(1-Summary!$B$11)*(F2979)+Summary!$B$11*(0)))+((C2980=TRUE)*F2980*IF(AND(Inputs!$B$38&lt;&gt;"pvp",Inputs!$B$43&gt;0),(((R2980-1)*(Skills!T15*(1+Inputs!$B$34/100))+MIN((Skills!T15*(1+Inputs!$B$34/100)),MAX(0,Inputs!$B$43-((R2980-1)*Skills!D15))))/Inputs!$B$43),IF(Inputs!$B$38="pvp",MIN((Skills!T15*(1+Inputs!$B$34/100)),15)/15,(Skills!T15*(1+Inputs!$B$34/100))/Skills!D15)))+((C2977=TRUE)*F2977)+((C2994=TRUE)*(F2994-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2972)</f>
        <v/>
      </c>
      <c r="L2972">
        <f>K2972*(MIN(Inputs!$B$22+((C2988=TRUE)*(F2988-Calc!F23)),(Inputs!$B$23+((C2993=TRUE)*(F2993-Calc!F28))+(IF(ArtifactsInput!$M$15,CHOOSE(ArtifactsInput!$N$15+1,25,30,35,40,45,50)/100*(Inputs!$B$11-Inputs!$B$11),0))))/100+(Inputs!$B$23+((C2993=TRUE)*(F2993-Calc!F28))+(IF(ArtifactsInput!$M$15,CHOOSE(ArtifactsInput!$N$15+1,25,30,35,40,45,50)/100*(Inputs!$B$11-Inputs!$B$11),0)))/100)/2</f>
        <v/>
      </c>
      <c r="M2972">
        <f>L2972*(1+(Inputs!$B$10+0+B3002+(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972">
        <f>L2972*(1-MIN((Inputs!$B$9+((C2984=TRUE)*(F2984-Calc!F19))+B2997+(ArtifactsInput!$M$24-ArtifactsInput!$M$24)*CHOOSE(ArtifactsInput!$N$24+1,10,12,14,16,18,20)+(IF(AND(ArtifactsInput!$M$42,((Inputs!$B$9+((C2984=TRUE)*(F2984-Calc!F19))+B2997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2972*(MIN((Inputs!$B$9+((C2984=TRUE)*(F2984-Calc!F19))+B2997+(ArtifactsInput!$M$24-ArtifactsInput!$M$24)*CHOOSE(ArtifactsInput!$N$24+1,10,12,14,16,18,20)+(IF(AND(ArtifactsInput!$M$42,((Inputs!$B$9+((C2984=TRUE)*(F2984-Calc!F19))+B2997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972">
        <f>(1-Summary!$B$11)*T2972+Summary!$B$11*V2972</f>
        <v/>
      </c>
      <c r="P2972">
        <f>IF(B3007=0,0,O2972/B3007)</f>
        <v/>
      </c>
      <c r="Q2972">
        <f>IFERROR(1/IF(Inputs!$B$38="pvp",15,MAX(0.1,Skills!D7-IF(Skills!E7=TRUE,1.5,0))),0)</f>
        <v/>
      </c>
      <c r="R2972">
        <f>IF(AND(Inputs!$B$38&lt;&gt;"pvp",Inputs!$B$43&gt;0),IF(MAX(0,Inputs!$B$43-B3004)&lt;=0,0,(INT(MAX(0,Inputs!$B$43-B3004)/IF(Inputs!$B$38="pvp",15,MAX(0.1,Skills!D7-IF(Skills!E7=TRUE,1.5,0))))+1)),0)</f>
        <v/>
      </c>
      <c r="S2972">
        <f>IFERROR((H2972*N2972*IF(AND(Inputs!$B$38&lt;&gt;"pvp",Inputs!$B$43&gt;0),((Skills!G7*((R2972-1)*IF(Skills!H7&gt;0,Skills!I7/Skills!H7,1)+IF(Skills!H7&gt;0,MIN(Skills!I7,MAX(0,MAX(0,Inputs!$B$43-B3004)-((R2972-1)*IF(Inputs!$B$38="pvp",15,MAX(0.1,Skills!D7-IF(Skills!E7=TRUE,1.5,0))))))/Skills!H7,1)))/Inputs!$B$43),G2972*Q2972))/N2972*IF(Inputs!$B$38="pvp",1,(1-Summary!$B$11)*1+Summary!$B$11*(MIN(Skills!R7,Inputs!$B$37))),0)</f>
        <v/>
      </c>
      <c r="T2972">
        <f>IF(C2972,(H2972*N2972*IF(AND(Inputs!$B$38&lt;&gt;"pvp",Inputs!$B$43&gt;0),((Skills!G7*((R2972-1)*IF(Skills!H7&gt;0,Skills!I7/Skills!H7,1)+IF(Skills!H7&gt;0,MIN(Skills!I7,MAX(0,MAX(0,Inputs!$B$43-B3004)-((R2972-1)*IF(Inputs!$B$38="pvp",15,MAX(0.1,Skills!D7-IF(Skills!E7=TRUE,1.5,0))))))/Skills!H7,1)))/Inputs!$B$43),G2972*Q2972))*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Hunt"),CHOOSE(ArtifactsInput!$N$35+1,15,18,21,24,27,30)*(1-EXP(-(0.2*B2999)*5)),0)+IF(AND(ArtifactsInput!$M$22,Inputs!$B$4&lt;&gt;"Chapter Hunt"),CHOOSE(ArtifactsInput!$N$22+1,10,12,14,16,18,20)*((0*(((0.15*B2999*5))^0/1)+1*(((0.15*B2999*5))^1/1)+2*(((0.15*B2999*5))^2/2)+3*(((0.15*B2999*5))^3/6)+4*(((0.15*B2999*5))^4/24)+5*(((0.15*B2999*5))^5/120))/((((0.15*B2999*5))^0/1)+(((0.15*B2999*5))^1/1)+(((0.15*B2999*5))^2/2)+(((0.15*B2999*5))^3/6)+(((0.15*B2999*5))^4/24)+(((0.15*B2999*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2972*(1-MIN(100,(Inputs!$B$9+((C2984=TRUE)*(F2984-Calc!F19))+B2997+(ArtifactsInput!$M$24-ArtifactsInput!$M$24)*CHOOSE(ArtifactsInput!$N$24+1,10,12,14,16,18,20)+(IF(AND(ArtifactsInput!$M$42,((Inputs!$B$9+((C2984=TRUE)*(F2984-Calc!F19))+B2997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2972*(MIN(100,(Inputs!$B$9+((C2984=TRUE)*(F2984-Calc!F19))+B2997+(ArtifactsInput!$M$24-ArtifactsInput!$M$24)*CHOOSE(ArtifactsInput!$N$24+1,10,12,14,16,18,20)+(IF(AND(ArtifactsInput!$M$42,((Inputs!$B$9+((C2984=TRUE)*(F2984-Calc!F19))+B2997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2972*(1-MIN(100,(Inputs!$B$9+((C2984=TRUE)*(F2984-Calc!F19))+B2997+(ArtifactsInput!$M$24-ArtifactsInput!$M$24)*CHOOSE(ArtifactsInput!$N$24+1,10,12,14,16,18,20)+(IF(AND(ArtifactsInput!$M$42,((Inputs!$B$9+((C2984=TRUE)*(F2984-Calc!F19))+B2997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2972*(MIN(100,(Inputs!$B$9+((C2984=TRUE)*(F2984-Calc!F19))+B2997+(ArtifactsInput!$M$24-ArtifactsInput!$M$24)*CHOOSE(ArtifactsInput!$N$24+1,10,12,14,16,18,20)+(IF(AND(ArtifactsInput!$M$42,((Inputs!$B$9+((C2984=TRUE)*(F2984-Calc!F19))+B2997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972">
        <f>IF(C2972,(H2972*N2972*IF(AND(Inputs!$B$38&lt;&gt;"pvp",Inputs!$B$43&gt;0),((Skills!G7*((R2972-1)*IF(Skills!H7&gt;0,Skills!I7/Skills!H7,1)+IF(Skills!H7&gt;0,MIN(Skills!I7,MAX(0,MAX(0,Inputs!$B$43-B3004)-((R2972-1)*IF(Inputs!$B$38="pvp",15,MAX(0.1,Skills!D7-IF(Skills!E7=TRUE,1.5,0))))))/Skills!H7,1)))/Inputs!$B$43),G2972*Q2972))*IF(Inputs!$B$38="pvp",1,(1+(Inputs!$B$21+Skills!Q7+(IF(ArtifactsInput!$M$33,CHOOSE(ArtifactsInput!$N$33+1,30,36,42,48,54,60),0))+(IF(AND(ArtifactsInput!$M$35,Inputs!$B$4&lt;&gt;"Chapter Hunt"),CHOOSE(ArtifactsInput!$N$35+1,15,18,21,24,27,30)*(1-EXP(-(0.2*B2999)*5)),0)+IF(AND(ArtifactsInput!$M$22,Inputs!$B$4&lt;&gt;"Chapter Hunt"),CHOOSE(ArtifactsInput!$N$22+1,10,12,14,16,18,20)*((0*(((0.15*B2999*5))^0/1)+1*(((0.15*B2999*5))^1/1)+2*(((0.15*B2999*5))^2/2)+3*(((0.15*B2999*5))^3/6)+4*(((0.15*B2999*5))^4/24)+5*(((0.15*B2999*5))^5/120))/((((0.15*B2999*5))^0/1)+(((0.15*B2999*5))^1/1)+(((0.15*B2999*5))^2/2)+(((0.15*B2999*5))^3/6)+(((0.15*B2999*5))^4/24)+(((0.15*B2999*5))^5/120))),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973">
      <c r="A2973">
        <f>Skills!A8</f>
        <v/>
      </c>
      <c r="B2973">
        <f>Skills!B8</f>
        <v/>
      </c>
      <c r="C2973">
        <f>Inputs!$B$3&gt;=100</f>
        <v/>
      </c>
      <c r="D2973">
        <f>IF(Skills!C8=1,60+Inputs!$B$25+Inputs!$B$29,IF(Skills!C8=2,90+Inputs!$B$26+Inputs!$B$29,IF(Skills!C8=3,120+Inputs!$B$27+Inputs!$B$29,MAX(0,(Inputs!$B$3-100)*3)+Inputs!$B$28+Inputs!$B$29)))</f>
        <v/>
      </c>
      <c r="E2973">
        <f>INDEX(FactorTable!$B$2:$Y$301, MATCH(ROUND(MIN(300,MAX(1,D2973)),0), FactorTable!$A$2:$A$301,0), Skills!M8+1)</f>
        <v/>
      </c>
      <c r="F2973">
        <f>IF(Skills!N8=TRUE,(Skills!L8/10)*(E2973/1000),Skills!L8/10)+Skills!O8</f>
        <v/>
      </c>
      <c r="G2973" t="inlineStr"/>
      <c r="H2973" t="inlineStr"/>
      <c r="I2973" t="inlineStr">
        <is>
          <t>1</t>
        </is>
      </c>
      <c r="J2973" t="inlineStr"/>
      <c r="K2973" t="inlineStr"/>
      <c r="L2973" t="inlineStr"/>
      <c r="M2973" t="inlineStr"/>
      <c r="N2973" t="inlineStr"/>
      <c r="O2973" t="inlineStr"/>
      <c r="P2973" t="inlineStr"/>
      <c r="Q2973" t="inlineStr"/>
      <c r="R2973" t="inlineStr"/>
      <c r="S2973" t="inlineStr"/>
      <c r="T2973" t="inlineStr"/>
      <c r="V2973" t="inlineStr"/>
    </row>
    <row r="2974">
      <c r="A2974">
        <f>Skills!A9</f>
        <v/>
      </c>
      <c r="B2974">
        <f>Skills!B9</f>
        <v/>
      </c>
      <c r="C2974">
        <f>Inputs!$B$3&gt;=103</f>
        <v/>
      </c>
      <c r="D2974">
        <f>IF(Skills!C9=1,60+Inputs!$B$25+Inputs!$B$29,IF(Skills!C9=2,90+Inputs!$B$26+Inputs!$B$29,IF(Skills!C9=3,120+Inputs!$B$27+Inputs!$B$29,MAX(0,(Inputs!$B$3-100)*3)+Inputs!$B$28+Inputs!$B$29)))</f>
        <v/>
      </c>
      <c r="E2974">
        <f>INDEX(FactorTable!$B$2:$Y$301, MATCH(ROUND(MIN(300,MAX(1,D2974)),0), FactorTable!$A$2:$A$301,0), Skills!M9+1)</f>
        <v/>
      </c>
      <c r="F2974">
        <f>IF(Skills!N9=TRUE,(Skills!L9/10)*(E2974/1000),Skills!L9/10)+Skills!O9</f>
        <v/>
      </c>
      <c r="G2974">
        <f>Skills!G9*IF(Skills!H9&gt;0,Skills!I9/Skills!H9,1)</f>
        <v/>
      </c>
      <c r="H2974">
        <f>1-(1-Skills!J9/100)^Skills!K9</f>
        <v/>
      </c>
      <c r="I2974" t="inlineStr">
        <is>
          <t>1</t>
        </is>
      </c>
      <c r="J2974">
        <f>((Inputs!$B$6*(1+Inputs!$B$7/100))+(((Inputs!$B$12*(1+Inputs!$B$13/100))-(Inputs!$B$12*(1+Inputs!$B$13/100)))+0.25*(Inputs!$B$14-Inputs!$B$14))*(1+Inputs!$B$7/100))*(F2974/100)</f>
        <v/>
      </c>
      <c r="K2974">
        <f>J2974*(1+((Inputs!$B$12*(1+Inputs!$B$13/100))*0.01+Inputs!$B$14*0.0025)/100)*(1+Inputs!$B$15/100)*(1+Inputs!$B$16/100)*(5000/(6000+Inputs!$B$42*(1-(100*(1-(1-(Inputs!$B$19+0)/100)*(1-CHOOSE(ArtifactsInput!$N$40+1,5,6,7,8,9,10)/100)^(ArtifactsInput!$M$40-ArtifactsInput!$M$40)))/100)))*(1+(Inputs!$B$24+((C2989=TRUE)*(F2989-Calc!F24))+((C2990=TRUE)*(F2990-Calc!F25))+B3003)/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EMPOWERED_PIERCING_ARROW",Inputs!$B$17+((C2987=TRUE)*(F2987-Calc!F22))+(((IF(AND(ArtifactsInput!$M$42,((Inputs!$B$9+((C2984=TRUE)*(F2984-Calc!F19))+B2997+(ArtifactsInput!$M$24-ArtifactsInput!$M$24)*CHOOSE(ArtifactsInput!$N$24+1,10,12,14,16,18,20)+IF(ArtifactsInput!$M$10,CHOOSE(ArtifactsInput!$N$10+1,15,18,21,24,27,30)*(IF(Inputs!$B$38="pvp",MIN(15,15)/15,IF(AND(Inputs!$B$38&lt;&gt;"pvp",Inputs!$B$43&gt;0),MIN(15,Inputs!$B$43)/(Inputs!$B$43),0))),0)))&gt;=100),MIN(100,((Inputs!$B$9+((C2984=TRUE)*(F2984-Calc!F19))+B2997+(ArtifactsInput!$M$24-ArtifactsInput!$M$24)*CHOOSE(ArtifactsInput!$N$24+1,10,12,14,16,18,20)+IF(ArtifactsInput!$M$10,CHOOSE(ArtifactsInput!$N$10+1,15,18,21,24,27,30)*(IF(Inputs!$B$38="pvp",MIN(15,15)/15,IF(AND(Inputs!$B$38&lt;&gt;"pvp",Inputs!$B$43&gt;0),MIN(15,Inputs!$B$43)/(Inputs!$B$43),0))),0)))-100),0))*CHOOSE(ArtifactsInput!$N$42+1,0.6,0.72,0.84,0.96,1.08,1.2))),Inputs!$B$18+((C2992=TRUE)*(F2992-Calc!F27))+(IF(AND(ArtifactsInput!$M$42,((Inputs!$B$9+((C2984=TRUE)*(F2984-Calc!F19))+B2997+(ArtifactsInput!$M$24-ArtifactsInput!$M$24)*CHOOSE(ArtifactsInput!$N$24+1,10,12,14,16,18,20)+IF(ArtifactsInput!$M$10,CHOOSE(ArtifactsInput!$N$10+1,15,18,21,24,27,30)*(IF(Inputs!$B$38="pvp",MIN(15,15)/15,IF(AND(Inputs!$B$38&lt;&gt;"pvp",Inputs!$B$43&gt;0),MIN(15,Inputs!$B$43)/(Inputs!$B$43),0))),0)))&gt;=100),CHOOSE(ArtifactsInput!$N$42+1,40,48,56,64,72,80),0))))/100)*((1+(((C2978=TRUE)*F2978)+((C2979=TRUE)*IF(Inputs!$B$38="pvp",F2979,(1-Summary!$B$11)*(F2979)+Summary!$B$11*(0)))+((C2980=TRUE)*F2980*IF(AND(Inputs!$B$38&lt;&gt;"pvp",Inputs!$B$43&gt;0),(((R2980-1)*(Skills!T15*(1+Inputs!$B$34/100))+MIN((Skills!T15*(1+Inputs!$B$34/100)),MAX(0,Inputs!$B$43-((R2980-1)*Skills!D15))))/Inputs!$B$43),IF(Inputs!$B$38="pvp",MIN((Skills!T15*(1+Inputs!$B$34/100)),15)/15,(Skills!T15*(1+Inputs!$B$34/100))/Skills!D15)))+((C2977=TRUE)*F2977)+((C2994=TRUE)*(F2994-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2974)</f>
        <v/>
      </c>
      <c r="L2974">
        <f>K2974*(MIN(Inputs!$B$22+((C2988=TRUE)*(F2988-Calc!F23)),(Inputs!$B$23+((C2993=TRUE)*(F2993-Calc!F28))+(IF(ArtifactsInput!$M$15,CHOOSE(ArtifactsInput!$N$15+1,25,30,35,40,45,50)/100*(Inputs!$B$11-Inputs!$B$11),0))))/100+(Inputs!$B$23+((C2993=TRUE)*(F2993-Calc!F28))+(IF(ArtifactsInput!$M$15,CHOOSE(ArtifactsInput!$N$15+1,25,30,35,40,45,50)/100*(Inputs!$B$11-Inputs!$B$11),0)))/100)/2</f>
        <v/>
      </c>
      <c r="M2974">
        <f>L2974*(1+(Inputs!$B$10+0+B3002+(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974">
        <f>L2974*(1-MIN((Inputs!$B$9+((C2984=TRUE)*(F2984-Calc!F19))+B2997+(ArtifactsInput!$M$24-ArtifactsInput!$M$24)*CHOOSE(ArtifactsInput!$N$24+1,10,12,14,16,18,20)+(IF(AND(ArtifactsInput!$M$42,((Inputs!$B$9+((C2984=TRUE)*(F2984-Calc!F19))+B2997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2974*(MIN((Inputs!$B$9+((C2984=TRUE)*(F2984-Calc!F19))+B2997+(ArtifactsInput!$M$24-ArtifactsInput!$M$24)*CHOOSE(ArtifactsInput!$N$24+1,10,12,14,16,18,20)+(IF(AND(ArtifactsInput!$M$42,((Inputs!$B$9+((C2984=TRUE)*(F2984-Calc!F19))+B2997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974">
        <f>(1-Summary!$B$11)*T2974+Summary!$B$11*V2974</f>
        <v/>
      </c>
      <c r="P2974">
        <f>IF(B3007=0,0,O2974/B3007)</f>
        <v/>
      </c>
      <c r="Q2974">
        <f>IFERROR(1/IF(Inputs!$B$38="pvp",15,MAX(0.1,Skills!D9-IF(Skills!E9=TRUE,1.5,0))),0)</f>
        <v/>
      </c>
      <c r="R2974">
        <f>IF(AND(Inputs!$B$38&lt;&gt;"pvp",Inputs!$B$43&gt;0),IF(MAX(0,Inputs!$B$43-B3004)&lt;=0,0,(INT(MAX(0,Inputs!$B$43-B3004)/IF(Inputs!$B$38="pvp",15,MAX(0.1,Skills!D9-IF(Skills!E9=TRUE,1.5,0))))+1)),0)</f>
        <v/>
      </c>
      <c r="S2974">
        <f>IFERROR((H2974*N2974*IF(AND(Inputs!$B$38&lt;&gt;"pvp",Inputs!$B$43&gt;0),((Skills!G9*((R2974-1)*IF(Skills!H9&gt;0,Skills!I9/Skills!H9,1)+IF(Skills!H9&gt;0,MIN(Skills!I9,MAX(0,MAX(0,Inputs!$B$43-B3004)-((R2974-1)*IF(Inputs!$B$38="pvp",15,MAX(0.1,Skills!D9-IF(Skills!E9=TRUE,1.5,0))))))/Skills!H9,1)))/Inputs!$B$43),G2974*Q2974))/N2974*IF(Inputs!$B$38="pvp",1,(1-Summary!$B$11)*1+Summary!$B$11*(MIN(Skills!R9,Inputs!$B$37))),0)</f>
        <v/>
      </c>
      <c r="T2974">
        <f>IF(C2974,(H2974*N2974*IF(AND(Inputs!$B$38&lt;&gt;"pvp",Inputs!$B$43&gt;0),((Skills!G9*((R2974-1)*IF(Skills!H9&gt;0,Skills!I9/Skills!H9,1)+IF(Skills!H9&gt;0,MIN(Skills!I9,MAX(0,MAX(0,Inputs!$B$43-B3004)-((R2974-1)*IF(Inputs!$B$38="pvp",15,MAX(0.1,Skills!D9-IF(Skills!E9=TRUE,1.5,0))))))/Skills!H9,1)))/Inputs!$B$43),G2974*Q2974))*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Hunt"),CHOOSE(ArtifactsInput!$N$35+1,15,18,21,24,27,30)*(1-EXP(-(0.2*B2999)*5)),0)+IF(AND(ArtifactsInput!$M$22,Inputs!$B$4&lt;&gt;"Chapter Hunt"),CHOOSE(ArtifactsInput!$N$22+1,10,12,14,16,18,20)*((0*(((0.15*B2999*5))^0/1)+1*(((0.15*B2999*5))^1/1)+2*(((0.15*B2999*5))^2/2)+3*(((0.15*B2999*5))^3/6)+4*(((0.15*B2999*5))^4/24)+5*(((0.15*B2999*5))^5/120))/((((0.15*B2999*5))^0/1)+(((0.15*B2999*5))^1/1)+(((0.15*B2999*5))^2/2)+(((0.15*B2999*5))^3/6)+(((0.15*B2999*5))^4/24)+(((0.15*B2999*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2974*(1-MIN(100,(Inputs!$B$9+((C2984=TRUE)*(F2984-Calc!F19))+B2997+(ArtifactsInput!$M$24-ArtifactsInput!$M$24)*CHOOSE(ArtifactsInput!$N$24+1,10,12,14,16,18,20)+(IF(AND(ArtifactsInput!$M$42,((Inputs!$B$9+((C2984=TRUE)*(F2984-Calc!F19))+B2997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2974*(MIN(100,(Inputs!$B$9+((C2984=TRUE)*(F2984-Calc!F19))+B2997+(ArtifactsInput!$M$24-ArtifactsInput!$M$24)*CHOOSE(ArtifactsInput!$N$24+1,10,12,14,16,18,20)+(IF(AND(ArtifactsInput!$M$42,((Inputs!$B$9+((C2984=TRUE)*(F2984-Calc!F19))+B2997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2974*(1-MIN(100,(Inputs!$B$9+((C2984=TRUE)*(F2984-Calc!F19))+B2997+(ArtifactsInput!$M$24-ArtifactsInput!$M$24)*CHOOSE(ArtifactsInput!$N$24+1,10,12,14,16,18,20)+(IF(AND(ArtifactsInput!$M$42,((Inputs!$B$9+((C2984=TRUE)*(F2984-Calc!F19))+B2997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2974*(MIN(100,(Inputs!$B$9+((C2984=TRUE)*(F2984-Calc!F19))+B2997+(ArtifactsInput!$M$24-ArtifactsInput!$M$24)*CHOOSE(ArtifactsInput!$N$24+1,10,12,14,16,18,20)+(IF(AND(ArtifactsInput!$M$42,((Inputs!$B$9+((C2984=TRUE)*(F2984-Calc!F19))+B2997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974">
        <f>IF(C2974,(H2974*N2974*IF(AND(Inputs!$B$38&lt;&gt;"pvp",Inputs!$B$43&gt;0),((Skills!G9*((R2974-1)*IF(Skills!H9&gt;0,Skills!I9/Skills!H9,1)+IF(Skills!H9&gt;0,MIN(Skills!I9,MAX(0,MAX(0,Inputs!$B$43-B3004)-((R2974-1)*IF(Inputs!$B$38="pvp",15,MAX(0.1,Skills!D9-IF(Skills!E9=TRUE,1.5,0))))))/Skills!H9,1)))/Inputs!$B$43),G2974*Q2974))*IF(Inputs!$B$38="pvp",1,(1+(Inputs!$B$21+Skills!Q9+(IF(ArtifactsInput!$M$33,CHOOSE(ArtifactsInput!$N$33+1,30,36,42,48,54,60),0))+(IF(AND(ArtifactsInput!$M$35,Inputs!$B$4&lt;&gt;"Chapter Hunt"),CHOOSE(ArtifactsInput!$N$35+1,15,18,21,24,27,30)*(1-EXP(-(0.2*B2999)*5)),0)+IF(AND(ArtifactsInput!$M$22,Inputs!$B$4&lt;&gt;"Chapter Hunt"),CHOOSE(ArtifactsInput!$N$22+1,10,12,14,16,18,20)*((0*(((0.15*B2999*5))^0/1)+1*(((0.15*B2999*5))^1/1)+2*(((0.15*B2999*5))^2/2)+3*(((0.15*B2999*5))^3/6)+4*(((0.15*B2999*5))^4/24)+5*(((0.15*B2999*5))^5/120))/((((0.15*B2999*5))^0/1)+(((0.15*B2999*5))^1/1)+(((0.15*B2999*5))^2/2)+(((0.15*B2999*5))^3/6)+(((0.15*B2999*5))^4/24)+(((0.15*B2999*5))^5/120)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975">
      <c r="A2975">
        <f>Skills!A10</f>
        <v/>
      </c>
      <c r="B2975">
        <f>Skills!B10</f>
        <v/>
      </c>
      <c r="C2975">
        <f>Inputs!$B$3&gt;=107</f>
        <v/>
      </c>
      <c r="D2975">
        <f>IF(Skills!C10=1,60+Inputs!$B$25+Inputs!$B$29,IF(Skills!C10=2,90+Inputs!$B$26+Inputs!$B$29,IF(Skills!C10=3,120+Inputs!$B$27+Inputs!$B$29,MAX(0,(Inputs!$B$3-100)*3)+Inputs!$B$28+Inputs!$B$29)))</f>
        <v/>
      </c>
      <c r="E2975">
        <f>INDEX(FactorTable!$B$2:$Y$301, MATCH(ROUND(MIN(300,MAX(1,D2975)),0), FactorTable!$A$2:$A$301,0), Skills!M10+1)</f>
        <v/>
      </c>
      <c r="F2975">
        <f>IF(Skills!N10=TRUE,(Skills!L10/10)*(E2975/1000),Skills!L10/10)+Skills!O10</f>
        <v/>
      </c>
      <c r="G2975">
        <f>Skills!G10*IF(Skills!H10&gt;0,Skills!I10/Skills!H10,1)</f>
        <v/>
      </c>
      <c r="H2975">
        <f>1-(1-Skills!J10/100)^Skills!K10</f>
        <v/>
      </c>
      <c r="I2975" t="inlineStr">
        <is>
          <t>1</t>
        </is>
      </c>
      <c r="J2975">
        <f>((Inputs!$B$6*(1+Inputs!$B$7/100))+(((Inputs!$B$12*(1+Inputs!$B$13/100))-(Inputs!$B$12*(1+Inputs!$B$13/100)))+0.25*(Inputs!$B$14-Inputs!$B$14))*(1+Inputs!$B$7/100))*(F2975/100)</f>
        <v/>
      </c>
      <c r="K2975">
        <f>J2975*(1+((Inputs!$B$12*(1+Inputs!$B$13/100))*0.01+Inputs!$B$14*0.0025)/100)*(1+Inputs!$B$15/100)*(1+Inputs!$B$16/100)*(5000/(6000+Inputs!$B$42*(1-(100*(1-(1-(Inputs!$B$19+0)/100)*(1-CHOOSE(ArtifactsInput!$N$40+1,5,6,7,8,9,10)/100)^(ArtifactsInput!$M$40-ArtifactsInput!$M$40)))/100)))*(1+(Inputs!$B$24+((C2989=TRUE)*(F2989-Calc!F24))+((C2990=TRUE)*(F2990-Calc!F25))+B3003)/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EMPOWERED_PIERCING_ARROW",Inputs!$B$17+((C2987=TRUE)*(F2987-Calc!F22))+(((IF(AND(ArtifactsInput!$M$42,((Inputs!$B$9+((C2984=TRUE)*(F2984-Calc!F19))+B2997+(ArtifactsInput!$M$24-ArtifactsInput!$M$24)*CHOOSE(ArtifactsInput!$N$24+1,10,12,14,16,18,20)+IF(ArtifactsInput!$M$10,CHOOSE(ArtifactsInput!$N$10+1,15,18,21,24,27,30)*(IF(Inputs!$B$38="pvp",MIN(15,15)/15,IF(AND(Inputs!$B$38&lt;&gt;"pvp",Inputs!$B$43&gt;0),MIN(15,Inputs!$B$43)/(Inputs!$B$43),0))),0)))&gt;=100),MIN(100,((Inputs!$B$9+((C2984=TRUE)*(F2984-Calc!F19))+B2997+(ArtifactsInput!$M$24-ArtifactsInput!$M$24)*CHOOSE(ArtifactsInput!$N$24+1,10,12,14,16,18,20)+IF(ArtifactsInput!$M$10,CHOOSE(ArtifactsInput!$N$10+1,15,18,21,24,27,30)*(IF(Inputs!$B$38="pvp",MIN(15,15)/15,IF(AND(Inputs!$B$38&lt;&gt;"pvp",Inputs!$B$43&gt;0),MIN(15,Inputs!$B$43)/(Inputs!$B$43),0))),0)))-100),0))*CHOOSE(ArtifactsInput!$N$42+1,0.6,0.72,0.84,0.96,1.08,1.2))),Inputs!$B$18+((C2992=TRUE)*(F2992-Calc!F27))+(IF(AND(ArtifactsInput!$M$42,((Inputs!$B$9+((C2984=TRUE)*(F2984-Calc!F19))+B2997+(ArtifactsInput!$M$24-ArtifactsInput!$M$24)*CHOOSE(ArtifactsInput!$N$24+1,10,12,14,16,18,20)+IF(ArtifactsInput!$M$10,CHOOSE(ArtifactsInput!$N$10+1,15,18,21,24,27,30)*(IF(Inputs!$B$38="pvp",MIN(15,15)/15,IF(AND(Inputs!$B$38&lt;&gt;"pvp",Inputs!$B$43&gt;0),MIN(15,Inputs!$B$43)/(Inputs!$B$43),0))),0)))&gt;=100),CHOOSE(ArtifactsInput!$N$42+1,40,48,56,64,72,80),0))))/100)*((1+(((C2978=TRUE)*F2978)+((C2979=TRUE)*IF(Inputs!$B$38="pvp",F2979,(1-Summary!$B$11)*(F2979)+Summary!$B$11*(0)))+((C2980=TRUE)*F2980*IF(AND(Inputs!$B$38&lt;&gt;"pvp",Inputs!$B$43&gt;0),(((R2980-1)*(Skills!T15*(1+Inputs!$B$34/100))+MIN((Skills!T15*(1+Inputs!$B$34/100)),MAX(0,Inputs!$B$43-((R2980-1)*Skills!D15))))/Inputs!$B$43),IF(Inputs!$B$38="pvp",MIN((Skills!T15*(1+Inputs!$B$34/100)),15)/15,(Skills!T15*(1+Inputs!$B$34/100))/Skills!D15)))+((C2977=TRUE)*F2977)+((C2994=TRUE)*(F2994-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2975)</f>
        <v/>
      </c>
      <c r="L2975">
        <f>K2975*(MIN(Inputs!$B$22+((C2988=TRUE)*(F2988-Calc!F23)),(Inputs!$B$23+((C2993=TRUE)*(F2993-Calc!F28))+(IF(ArtifactsInput!$M$15,CHOOSE(ArtifactsInput!$N$15+1,25,30,35,40,45,50)/100*(Inputs!$B$11-Inputs!$B$11),0))))/100+(Inputs!$B$23+((C2993=TRUE)*(F2993-Calc!F28))+(IF(ArtifactsInput!$M$15,CHOOSE(ArtifactsInput!$N$15+1,25,30,35,40,45,50)/100*(Inputs!$B$11-Inputs!$B$11),0)))/100)/2</f>
        <v/>
      </c>
      <c r="M2975">
        <f>L2975*(1+(Inputs!$B$10+0+B3002+(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975">
        <f>L2975*(1-MIN((Inputs!$B$9+((C2984=TRUE)*(F2984-Calc!F19))+B2997+(ArtifactsInput!$M$24-ArtifactsInput!$M$24)*CHOOSE(ArtifactsInput!$N$24+1,10,12,14,16,18,20)+(IF(AND(ArtifactsInput!$M$42,((Inputs!$B$9+((C2984=TRUE)*(F2984-Calc!F19))+B2997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2975*(MIN((Inputs!$B$9+((C2984=TRUE)*(F2984-Calc!F19))+B2997+(ArtifactsInput!$M$24-ArtifactsInput!$M$24)*CHOOSE(ArtifactsInput!$N$24+1,10,12,14,16,18,20)+(IF(AND(ArtifactsInput!$M$42,((Inputs!$B$9+((C2984=TRUE)*(F2984-Calc!F19))+B2997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975">
        <f>(1-Summary!$B$11)*T2975+Summary!$B$11*V2975</f>
        <v/>
      </c>
      <c r="P2975">
        <f>IF(B3007=0,0,O2975/B3007)</f>
        <v/>
      </c>
      <c r="Q2975" t="n">
        <v>0</v>
      </c>
      <c r="R2975" t="n">
        <v>0</v>
      </c>
      <c r="S2975" t="n">
        <v>0</v>
      </c>
      <c r="T2975">
        <f>IF(C2975,(0.15*SUMPRODUCT((Skills!U2:U29=TRUE)*(C2967:C2994=TRUE)*S2967:S2994)*Skills!G10*N2975)*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Hunt"),CHOOSE(ArtifactsInput!$N$35+1,15,18,21,24,27,30)*(1-EXP(-(0.2*B2999)*5)),0)+IF(AND(ArtifactsInput!$M$22,Inputs!$B$4&lt;&gt;"Chapter Hunt"),CHOOSE(ArtifactsInput!$N$22+1,10,12,14,16,18,20)*((0*(((0.15*B2999*5))^0/1)+1*(((0.15*B2999*5))^1/1)+2*(((0.15*B2999*5))^2/2)+3*(((0.15*B2999*5))^3/6)+4*(((0.15*B2999*5))^4/24)+5*(((0.15*B2999*5))^5/120))/((((0.15*B2999*5))^0/1)+(((0.15*B2999*5))^1/1)+(((0.15*B2999*5))^2/2)+(((0.15*B2999*5))^3/6)+(((0.15*B2999*5))^4/24)+(((0.15*B2999*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2975*(1-MIN(100,(Inputs!$B$9+((C2984=TRUE)*(F2984-Calc!F19))+B2997+(ArtifactsInput!$M$24-ArtifactsInput!$M$24)*CHOOSE(ArtifactsInput!$N$24+1,10,12,14,16,18,20)+(IF(AND(ArtifactsInput!$M$42,((Inputs!$B$9+((C2984=TRUE)*(F2984-Calc!F19))+B2997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2975*(MIN(100,(Inputs!$B$9+((C2984=TRUE)*(F2984-Calc!F19))+B2997+(ArtifactsInput!$M$24-ArtifactsInput!$M$24)*CHOOSE(ArtifactsInput!$N$24+1,10,12,14,16,18,20)+(IF(AND(ArtifactsInput!$M$42,((Inputs!$B$9+((C2984=TRUE)*(F2984-Calc!F19))+B2997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2975*(1-MIN(100,(Inputs!$B$9+((C2984=TRUE)*(F2984-Calc!F19))+B2997+(ArtifactsInput!$M$24-ArtifactsInput!$M$24)*CHOOSE(ArtifactsInput!$N$24+1,10,12,14,16,18,20)+(IF(AND(ArtifactsInput!$M$42,((Inputs!$B$9+((C2984=TRUE)*(F2984-Calc!F19))+B2997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2975*(MIN(100,(Inputs!$B$9+((C2984=TRUE)*(F2984-Calc!F19))+B2997+(ArtifactsInput!$M$24-ArtifactsInput!$M$24)*CHOOSE(ArtifactsInput!$N$24+1,10,12,14,16,18,20)+(IF(AND(ArtifactsInput!$M$42,((Inputs!$B$9+((C2984=TRUE)*(F2984-Calc!F19))+B2997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975">
        <f>IF(C2975,(0.15*SUMPRODUCT((Skills!U2:U29=TRUE)*(C2967:C2994=TRUE)*S2967:S2994)*Skills!G10*N2975)*IF(Inputs!$B$38="pvp",1,(1+(Inputs!$B$21+Skills!Q10+(IF(ArtifactsInput!$M$33,CHOOSE(ArtifactsInput!$N$33+1,30,36,42,48,54,60),0))+(IF(AND(ArtifactsInput!$M$35,Inputs!$B$4&lt;&gt;"Chapter Hunt"),CHOOSE(ArtifactsInput!$N$35+1,15,18,21,24,27,30)*(1-EXP(-(0.2*B2999)*5)),0)+IF(AND(ArtifactsInput!$M$22,Inputs!$B$4&lt;&gt;"Chapter Hunt"),CHOOSE(ArtifactsInput!$N$22+1,10,12,14,16,18,20)*((0*(((0.15*B2999*5))^0/1)+1*(((0.15*B2999*5))^1/1)+2*(((0.15*B2999*5))^2/2)+3*(((0.15*B2999*5))^3/6)+4*(((0.15*B2999*5))^4/24)+5*(((0.15*B2999*5))^5/120))/((((0.15*B2999*5))^0/1)+(((0.15*B2999*5))^1/1)+(((0.15*B2999*5))^2/2)+(((0.15*B2999*5))^3/6)+(((0.15*B2999*5))^4/24)+(((0.15*B2999*5))^5/120)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976">
      <c r="A2976">
        <f>Skills!A11</f>
        <v/>
      </c>
      <c r="B2976">
        <f>Skills!B11</f>
        <v/>
      </c>
      <c r="C2976">
        <f>Inputs!$B$3&gt;=110</f>
        <v/>
      </c>
      <c r="D2976">
        <f>IF(Skills!C11=1,60+Inputs!$B$25+Inputs!$B$29,IF(Skills!C11=2,90+Inputs!$B$26+Inputs!$B$29,IF(Skills!C11=3,120+Inputs!$B$27+Inputs!$B$29,MAX(0,(Inputs!$B$3-100)*3)+Inputs!$B$28+Inputs!$B$29)))</f>
        <v/>
      </c>
      <c r="E2976">
        <f>INDEX(FactorTable!$B$2:$Y$301, MATCH(ROUND(MIN(300,MAX(1,D2976)),0), FactorTable!$A$2:$A$301,0), Skills!M11+1)</f>
        <v/>
      </c>
      <c r="F2976">
        <f>IF(Skills!N11=TRUE,(Skills!L11/10)*(E2976/1000),Skills!L11/10)+Skills!O11</f>
        <v/>
      </c>
      <c r="G2976">
        <f>Skills!G11*IF(Skills!H11&gt;0,Skills!I11/Skills!H11,1)</f>
        <v/>
      </c>
      <c r="H2976">
        <f>1-(1-Skills!J11/100)^Skills!K11</f>
        <v/>
      </c>
      <c r="I2976" t="inlineStr">
        <is>
          <t>1</t>
        </is>
      </c>
      <c r="J2976">
        <f>((Inputs!$B$6*(1+Inputs!$B$7/100))+(((Inputs!$B$12*(1+Inputs!$B$13/100))-(Inputs!$B$12*(1+Inputs!$B$13/100)))+0.25*(Inputs!$B$14-Inputs!$B$14))*(1+Inputs!$B$7/100))*(F2976/100)</f>
        <v/>
      </c>
      <c r="K2976">
        <f>J2976*(1+((Inputs!$B$12*(1+Inputs!$B$13/100))*0.01+Inputs!$B$14*0.0025)/100)*(1+Inputs!$B$15/100)*(1+Inputs!$B$16/100)*(5000/(6000+Inputs!$B$42*(1-(100*(1-(1-(Inputs!$B$19+0)/100)*(1-CHOOSE(ArtifactsInput!$N$40+1,5,6,7,8,9,10)/100)^(ArtifactsInput!$M$40-ArtifactsInput!$M$40)))/100)))*(1+(Inputs!$B$24+((C2989=TRUE)*(F2989-Calc!F24))+((C2990=TRUE)*(F2990-Calc!F25))+B3003)/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11="EMPOWERED_PIERCING_ARROW",Inputs!$B$17+((C2987=TRUE)*(F2987-Calc!F22))+(((IF(AND(ArtifactsInput!$M$42,((Inputs!$B$9+((C2984=TRUE)*(F2984-Calc!F19))+B2997+(ArtifactsInput!$M$24-ArtifactsInput!$M$24)*CHOOSE(ArtifactsInput!$N$24+1,10,12,14,16,18,20)+IF(ArtifactsInput!$M$10,CHOOSE(ArtifactsInput!$N$10+1,15,18,21,24,27,30)*(IF(Inputs!$B$38="pvp",MIN(15,15)/15,IF(AND(Inputs!$B$38&lt;&gt;"pvp",Inputs!$B$43&gt;0),MIN(15,Inputs!$B$43)/(Inputs!$B$43),0))),0)))&gt;=100),MIN(100,((Inputs!$B$9+((C2984=TRUE)*(F2984-Calc!F19))+B2997+(ArtifactsInput!$M$24-ArtifactsInput!$M$24)*CHOOSE(ArtifactsInput!$N$24+1,10,12,14,16,18,20)+IF(ArtifactsInput!$M$10,CHOOSE(ArtifactsInput!$N$10+1,15,18,21,24,27,30)*(IF(Inputs!$B$38="pvp",MIN(15,15)/15,IF(AND(Inputs!$B$38&lt;&gt;"pvp",Inputs!$B$43&gt;0),MIN(15,Inputs!$B$43)/(Inputs!$B$43),0))),0)))-100),0))*CHOOSE(ArtifactsInput!$N$42+1,0.6,0.72,0.84,0.96,1.08,1.2))),Inputs!$B$18+((C2992=TRUE)*(F2992-Calc!F27))+(IF(AND(ArtifactsInput!$M$42,((Inputs!$B$9+((C2984=TRUE)*(F2984-Calc!F19))+B2997+(ArtifactsInput!$M$24-ArtifactsInput!$M$24)*CHOOSE(ArtifactsInput!$N$24+1,10,12,14,16,18,20)+IF(ArtifactsInput!$M$10,CHOOSE(ArtifactsInput!$N$10+1,15,18,21,24,27,30)*(IF(Inputs!$B$38="pvp",MIN(15,15)/15,IF(AND(Inputs!$B$38&lt;&gt;"pvp",Inputs!$B$43&gt;0),MIN(15,Inputs!$B$43)/(Inputs!$B$43),0))),0)))&gt;=100),CHOOSE(ArtifactsInput!$N$42+1,40,48,56,64,72,80),0))))/100)*((1+(((C2978=TRUE)*F2978)+((C2979=TRUE)*IF(Inputs!$B$38="pvp",F2979,(1-Summary!$B$11)*(F2979)+Summary!$B$11*(0)))+((C2980=TRUE)*F2980*IF(AND(Inputs!$B$38&lt;&gt;"pvp",Inputs!$B$43&gt;0),(((R2980-1)*(Skills!T15*(1+Inputs!$B$34/100))+MIN((Skills!T15*(1+Inputs!$B$34/100)),MAX(0,Inputs!$B$43-((R2980-1)*Skills!D15))))/Inputs!$B$43),IF(Inputs!$B$38="pvp",MIN((Skills!T15*(1+Inputs!$B$34/100)),15)/15,(Skills!T15*(1+Inputs!$B$34/100))/Skills!D15)))+((C2977=TRUE)*F2977)+((C2994=TRUE)*(F2994-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2976)</f>
        <v/>
      </c>
      <c r="L2976">
        <f>K2976*(MIN(Inputs!$B$22+((C2988=TRUE)*(F2988-Calc!F23)),(Inputs!$B$23+((C2993=TRUE)*(F2993-Calc!F28))+(IF(ArtifactsInput!$M$15,CHOOSE(ArtifactsInput!$N$15+1,25,30,35,40,45,50)/100*(Inputs!$B$11-Inputs!$B$11),0))))/100+(Inputs!$B$23+((C2993=TRUE)*(F2993-Calc!F28))+(IF(ArtifactsInput!$M$15,CHOOSE(ArtifactsInput!$N$15+1,25,30,35,40,45,50)/100*(Inputs!$B$11-Inputs!$B$11),0)))/100)/2</f>
        <v/>
      </c>
      <c r="M2976">
        <f>L2976*(1+(Inputs!$B$10+0+B3002+(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2976">
        <f>L2976*(1-MIN((Inputs!$B$9+((C2984=TRUE)*(F2984-Calc!F19))+B2997+(ArtifactsInput!$M$24-ArtifactsInput!$M$24)*CHOOSE(ArtifactsInput!$N$24+1,10,12,14,16,18,20)+(IF(AND(ArtifactsInput!$M$42,((Inputs!$B$9+((C2984=TRUE)*(F2984-Calc!F19))+B2997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2976*(MIN((Inputs!$B$9+((C2984=TRUE)*(F2984-Calc!F19))+B2997+(ArtifactsInput!$M$24-ArtifactsInput!$M$24)*CHOOSE(ArtifactsInput!$N$24+1,10,12,14,16,18,20)+(IF(AND(ArtifactsInput!$M$42,((Inputs!$B$9+((C2984=TRUE)*(F2984-Calc!F19))+B2997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2976">
        <f>(1-Summary!$B$11)*T2976+Summary!$B$11*V2976</f>
        <v/>
      </c>
      <c r="P2976">
        <f>IF(B3007=0,0,O2976/B3007)</f>
        <v/>
      </c>
      <c r="Q2976">
        <f>IFERROR(1/IF(Inputs!$B$38="pvp",15,MAX(0.1,Skills!D11-IF(Skills!E11=TRUE,1.5,0))),0)</f>
        <v/>
      </c>
      <c r="R2976">
        <f>IF(AND(Inputs!$B$38&lt;&gt;"pvp",Inputs!$B$43&gt;0),IF(MAX(0,Inputs!$B$43-B3004)&lt;=0,0,(INT(MAX(0,Inputs!$B$43-B3004)/IF(Inputs!$B$38="pvp",15,MAX(0.1,Skills!D11-IF(Skills!E11=TRUE,1.5,0))))+1)),0)</f>
        <v/>
      </c>
      <c r="S2976">
        <f>IFERROR((H2976*N2976*IF(AND(Inputs!$B$38&lt;&gt;"pvp",Inputs!$B$43&gt;0),((Skills!G11*((R2976-1)*IF(Skills!H11&gt;0,Skills!I11/Skills!H11,1)+IF(Skills!H11&gt;0,MIN(Skills!I11,MAX(0,MAX(0,Inputs!$B$43-B3004)-((R2976-1)*IF(Inputs!$B$38="pvp",15,MAX(0.1,Skills!D11-IF(Skills!E11=TRUE,1.5,0))))))/Skills!H11,1)))/Inputs!$B$43),G2976*Q2976))/N2976*IF(Inputs!$B$38="pvp",1,(1-Summary!$B$11)*1+Summary!$B$11*(MIN(Skills!R11,Inputs!$B$37))),0)</f>
        <v/>
      </c>
      <c r="T2976">
        <f>IF(C2976,(H2976*N2976*IF(AND(Inputs!$B$38&lt;&gt;"pvp",Inputs!$B$43&gt;0),((Skills!G11*((R2976-1)*IF(Skills!H11&gt;0,Skills!I11/Skills!H11,1)+IF(Skills!H11&gt;0,MIN(Skills!I11,MAX(0,MAX(0,Inputs!$B$43-B3004)-((R2976-1)*IF(Inputs!$B$38="pvp",15,MAX(0.1,Skills!D11-IF(Skills!E11=TRUE,1.5,0))))))/Skills!H11,1)))/Inputs!$B$43),G2976*Q2976))*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Hunt"),CHOOSE(ArtifactsInput!$N$35+1,15,18,21,24,27,30)*(1-EXP(-(0.2*B2999)*5)),0)+IF(AND(ArtifactsInput!$M$22,Inputs!$B$4&lt;&gt;"Chapter Hunt"),CHOOSE(ArtifactsInput!$N$22+1,10,12,14,16,18,20)*((0*(((0.15*B2999*5))^0/1)+1*(((0.15*B2999*5))^1/1)+2*(((0.15*B2999*5))^2/2)+3*(((0.15*B2999*5))^3/6)+4*(((0.15*B2999*5))^4/24)+5*(((0.15*B2999*5))^5/120))/((((0.15*B2999*5))^0/1)+(((0.15*B2999*5))^1/1)+(((0.15*B2999*5))^2/2)+(((0.15*B2999*5))^3/6)+(((0.15*B2999*5))^4/24)+(((0.15*B2999*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2976*(1-MIN(100,(Inputs!$B$9+((C2984=TRUE)*(F2984-Calc!F19))+B2997+(ArtifactsInput!$M$24-ArtifactsInput!$M$24)*CHOOSE(ArtifactsInput!$N$24+1,10,12,14,16,18,20)+(IF(AND(ArtifactsInput!$M$42,((Inputs!$B$9+((C2984=TRUE)*(F2984-Calc!F19))+B2997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2976*(MIN(100,(Inputs!$B$9+((C2984=TRUE)*(F2984-Calc!F19))+B2997+(ArtifactsInput!$M$24-ArtifactsInput!$M$24)*CHOOSE(ArtifactsInput!$N$24+1,10,12,14,16,18,20)+(IF(AND(ArtifactsInput!$M$42,((Inputs!$B$9+((C2984=TRUE)*(F2984-Calc!F19))+B2997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2976*(1-MIN(100,(Inputs!$B$9+((C2984=TRUE)*(F2984-Calc!F19))+B2997+(ArtifactsInput!$M$24-ArtifactsInput!$M$24)*CHOOSE(ArtifactsInput!$N$24+1,10,12,14,16,18,20)+(IF(AND(ArtifactsInput!$M$42,((Inputs!$B$9+((C2984=TRUE)*(F2984-Calc!F19))+B2997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2976*(MIN(100,(Inputs!$B$9+((C2984=TRUE)*(F2984-Calc!F19))+B2997+(ArtifactsInput!$M$24-ArtifactsInput!$M$24)*CHOOSE(ArtifactsInput!$N$24+1,10,12,14,16,18,20)+(IF(AND(ArtifactsInput!$M$42,((Inputs!$B$9+((C2984=TRUE)*(F2984-Calc!F19))+B2997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2976">
        <f>IF(C2976,(H2976*N2976*IF(AND(Inputs!$B$38&lt;&gt;"pvp",Inputs!$B$43&gt;0),((Skills!G11*((R2976-1)*IF(Skills!H11&gt;0,Skills!I11/Skills!H11,1)+IF(Skills!H11&gt;0,MIN(Skills!I11,MAX(0,MAX(0,Inputs!$B$43-B3004)-((R2976-1)*IF(Inputs!$B$38="pvp",15,MAX(0.1,Skills!D11-IF(Skills!E11=TRUE,1.5,0))))))/Skills!H11,1)))/Inputs!$B$43),G2976*Q2976))*IF(Inputs!$B$38="pvp",1,(1+(Inputs!$B$21+Skills!Q11+(IF(ArtifactsInput!$M$33,CHOOSE(ArtifactsInput!$N$33+1,30,36,42,48,54,60),0))+(IF(AND(ArtifactsInput!$M$35,Inputs!$B$4&lt;&gt;"Chapter Hunt"),CHOOSE(ArtifactsInput!$N$35+1,15,18,21,24,27,30)*(1-EXP(-(0.2*B2999)*5)),0)+IF(AND(ArtifactsInput!$M$22,Inputs!$B$4&lt;&gt;"Chapter Hunt"),CHOOSE(ArtifactsInput!$N$22+1,10,12,14,16,18,20)*((0*(((0.15*B2999*5))^0/1)+1*(((0.15*B2999*5))^1/1)+2*(((0.15*B2999*5))^2/2)+3*(((0.15*B2999*5))^3/6)+4*(((0.15*B2999*5))^4/24)+5*(((0.15*B2999*5))^5/120))/((((0.15*B2999*5))^0/1)+(((0.15*B2999*5))^1/1)+(((0.15*B2999*5))^2/2)+(((0.15*B2999*5))^3/6)+(((0.15*B2999*5))^4/24)+(((0.15*B2999*5))^5/120))),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2977">
      <c r="A2977">
        <f>Skills!A12</f>
        <v/>
      </c>
      <c r="B2977">
        <f>Skills!B12</f>
        <v/>
      </c>
      <c r="C2977">
        <f>Inputs!$B$3&gt;=60</f>
        <v/>
      </c>
      <c r="D2977">
        <f>IF(Skills!C12=1,60+Inputs!$B$25+Inputs!$B$29,IF(Skills!C12=2,90+Inputs!$B$26+Inputs!$B$29,IF(Skills!C12=3,120+Inputs!$B$27+Inputs!$B$29,MAX(0,(Inputs!$B$3-100)*3)+Inputs!$B$28+Inputs!$B$29)))</f>
        <v/>
      </c>
      <c r="E2977">
        <f>INDEX(FactorTable!$B$2:$Y$301, MATCH(ROUND(MIN(300,MAX(1,D2977)),0), FactorTable!$A$2:$A$301,0), Skills!M12+1)</f>
        <v/>
      </c>
      <c r="F2977">
        <f>IF(Skills!N12=TRUE,(Skills!L12/10)*(E2977/1000),Skills!L12/10)+Skills!O12</f>
        <v/>
      </c>
      <c r="G2977">
        <f>Skills!G12*IF(Skills!H12&gt;0,Skills!I12/Skills!H12,1)</f>
        <v/>
      </c>
      <c r="H2977">
        <f>1-(1-Skills!J12/100)^Skills!K12</f>
        <v/>
      </c>
      <c r="I2977" t="inlineStr">
        <is>
          <t>1</t>
        </is>
      </c>
      <c r="J2977" t="inlineStr"/>
      <c r="K2977" t="inlineStr"/>
      <c r="L2977" t="inlineStr"/>
      <c r="M2977" t="inlineStr"/>
      <c r="N2977" t="inlineStr"/>
      <c r="O2977">
        <f>(1-Summary!$B$11)*T2977+Summary!$B$11*V2977</f>
        <v/>
      </c>
      <c r="P2977">
        <f>IF(B3007=0,0,O2977/B3007)</f>
        <v/>
      </c>
      <c r="Q2977" t="n">
        <v>0</v>
      </c>
      <c r="R2977" t="n">
        <v>0</v>
      </c>
      <c r="S2977" t="n">
        <v>0</v>
      </c>
      <c r="T2977" t="n">
        <v>0</v>
      </c>
      <c r="V2977" t="n">
        <v>0</v>
      </c>
    </row>
    <row r="2978">
      <c r="A2978">
        <f>Skills!A13</f>
        <v/>
      </c>
      <c r="B2978">
        <f>Skills!B13</f>
        <v/>
      </c>
      <c r="C2978">
        <f>Inputs!$B$3&gt;=74</f>
        <v/>
      </c>
      <c r="D2978">
        <f>IF(Skills!C13=1,60+Inputs!$B$25+Inputs!$B$29,IF(Skills!C13=2,90+Inputs!$B$26+Inputs!$B$29,IF(Skills!C13=3,120+Inputs!$B$27+Inputs!$B$29,MAX(0,(Inputs!$B$3-100)*3)+Inputs!$B$28+Inputs!$B$29)))</f>
        <v/>
      </c>
      <c r="E2978">
        <f>INDEX(FactorTable!$B$2:$Y$301, MATCH(ROUND(MIN(300,MAX(1,D2978)),0), FactorTable!$A$2:$A$301,0), Skills!M13+1)</f>
        <v/>
      </c>
      <c r="F2978">
        <f>IF(Skills!N13=TRUE,(Skills!L13/10)*(E2978/1000),Skills!L13/10)+Skills!O13</f>
        <v/>
      </c>
      <c r="G2978">
        <f>Skills!G13*IF(Skills!H13&gt;0,Skills!I13/Skills!H13,1)</f>
        <v/>
      </c>
      <c r="H2978">
        <f>1-(1-Skills!J13/100)^Skills!K13</f>
        <v/>
      </c>
      <c r="I2978" t="inlineStr">
        <is>
          <t>1</t>
        </is>
      </c>
      <c r="J2978" t="inlineStr"/>
      <c r="K2978" t="inlineStr"/>
      <c r="L2978" t="inlineStr"/>
      <c r="M2978" t="inlineStr"/>
      <c r="N2978" t="inlineStr"/>
      <c r="O2978">
        <f>(1-Summary!$B$11)*T2978+Summary!$B$11*V2978</f>
        <v/>
      </c>
      <c r="P2978">
        <f>IF(B3007=0,0,O2978/B3007)</f>
        <v/>
      </c>
      <c r="Q2978" t="n">
        <v>0</v>
      </c>
      <c r="R2978" t="n">
        <v>0</v>
      </c>
      <c r="S2978" t="n">
        <v>0</v>
      </c>
      <c r="T2978" t="n">
        <v>0</v>
      </c>
      <c r="V2978" t="n">
        <v>0</v>
      </c>
    </row>
    <row r="2979">
      <c r="A2979">
        <f>Skills!A14</f>
        <v/>
      </c>
      <c r="B2979">
        <f>Skills!B14</f>
        <v/>
      </c>
      <c r="C2979">
        <f>Inputs!$B$3&gt;=74</f>
        <v/>
      </c>
      <c r="D2979">
        <f>IF(Skills!C14=1,60+Inputs!$B$25+Inputs!$B$29,IF(Skills!C14=2,90+Inputs!$B$26+Inputs!$B$29,IF(Skills!C14=3,120+Inputs!$B$27+Inputs!$B$29,MAX(0,(Inputs!$B$3-100)*3)+Inputs!$B$28+Inputs!$B$29)))</f>
        <v/>
      </c>
      <c r="E2979">
        <f>INDEX(FactorTable!$B$2:$Y$301, MATCH(ROUND(MIN(300,MAX(1,D2979)),0), FactorTable!$A$2:$A$301,0), Skills!M14+1)</f>
        <v/>
      </c>
      <c r="F2979">
        <f>IF(Skills!N14=TRUE,(Skills!L14/10)*(E2979/1000),Skills!L14/10)+Skills!O14</f>
        <v/>
      </c>
      <c r="G2979">
        <f>Skills!G14*IF(Skills!H14&gt;0,Skills!I14/Skills!H14,1)</f>
        <v/>
      </c>
      <c r="H2979">
        <f>1-(1-Skills!J14/100)^Skills!K14</f>
        <v/>
      </c>
      <c r="I2979" t="inlineStr">
        <is>
          <t>1</t>
        </is>
      </c>
      <c r="J2979" t="inlineStr"/>
      <c r="K2979" t="inlineStr"/>
      <c r="L2979" t="inlineStr"/>
      <c r="M2979" t="inlineStr"/>
      <c r="N2979" t="inlineStr"/>
      <c r="O2979">
        <f>(1-Summary!$B$11)*T2979+Summary!$B$11*V2979</f>
        <v/>
      </c>
      <c r="P2979">
        <f>IF(B3007=0,0,O2979/B3007)</f>
        <v/>
      </c>
      <c r="Q2979" t="n">
        <v>0</v>
      </c>
      <c r="R2979" t="n">
        <v>0</v>
      </c>
      <c r="S2979" t="n">
        <v>0</v>
      </c>
      <c r="T2979" t="n">
        <v>0</v>
      </c>
      <c r="V2979" t="n">
        <v>0</v>
      </c>
    </row>
    <row r="2980">
      <c r="A2980">
        <f>Skills!A15</f>
        <v/>
      </c>
      <c r="B2980">
        <f>Skills!B15</f>
        <v/>
      </c>
      <c r="C2980">
        <f>Inputs!$B$3&gt;=117</f>
        <v/>
      </c>
      <c r="D2980">
        <f>IF(Skills!C15=1,60+Inputs!$B$25+Inputs!$B$29,IF(Skills!C15=2,90+Inputs!$B$26+Inputs!$B$29,IF(Skills!C15=3,120+Inputs!$B$27+Inputs!$B$29,MAX(0,(Inputs!$B$3-100)*3)+Inputs!$B$28+Inputs!$B$29)))</f>
        <v/>
      </c>
      <c r="E2980">
        <f>INDEX(FactorTable!$B$2:$Y$301, MATCH(ROUND(MIN(300,MAX(1,D2980)),0), FactorTable!$A$2:$A$301,0), Skills!M15+1)</f>
        <v/>
      </c>
      <c r="F2980">
        <f>IF(Skills!N15=TRUE,(Skills!L15/10)*(E2980/1000),Skills!L15/10)+Skills!O15</f>
        <v/>
      </c>
      <c r="G2980">
        <f>Skills!G15*IF(Skills!H15&gt;0,Skills!I15/Skills!H15,1)</f>
        <v/>
      </c>
      <c r="H2980">
        <f>1-(1-Skills!J15/100)^Skills!K15</f>
        <v/>
      </c>
      <c r="I2980" t="inlineStr">
        <is>
          <t>1</t>
        </is>
      </c>
      <c r="J2980" t="inlineStr"/>
      <c r="K2980" t="inlineStr"/>
      <c r="L2980" t="inlineStr"/>
      <c r="M2980" t="inlineStr"/>
      <c r="N2980" t="inlineStr"/>
      <c r="O2980">
        <f>(1-Summary!$B$11)*T2980+Summary!$B$11*V2980</f>
        <v/>
      </c>
      <c r="P2980">
        <f>IF(B3007=0,0,O2980/B3007)</f>
        <v/>
      </c>
      <c r="Q2980">
        <f>IFERROR(1/IF(Inputs!$B$38="pvp",15,MAX(0.1,Skills!D15-IF(Skills!E15=TRUE,1.5,0))),0)</f>
        <v/>
      </c>
      <c r="R2980">
        <f>IF(AND(Inputs!$B$38&lt;&gt;"pvp",Inputs!$B$43&gt;0),IF(Inputs!$B$43&lt;=0,0,(INT(Inputs!$B$43/IF(Inputs!$B$38="pvp",15,MAX(0.1,Skills!D15-IF(Skills!E15=TRUE,1.5,0))))+1)),0)</f>
        <v/>
      </c>
      <c r="S2980" t="n">
        <v>0</v>
      </c>
      <c r="T2980" t="n">
        <v>0</v>
      </c>
      <c r="V2980" t="n">
        <v>0</v>
      </c>
    </row>
    <row r="2981">
      <c r="A2981">
        <f>Skills!A16</f>
        <v/>
      </c>
      <c r="B2981">
        <f>Skills!B16</f>
        <v/>
      </c>
      <c r="C2981">
        <f>Inputs!$B$3&gt;=115</f>
        <v/>
      </c>
      <c r="D2981">
        <f>IF(Skills!C16=1,60+Inputs!$B$25+Inputs!$B$29,IF(Skills!C16=2,90+Inputs!$B$26+Inputs!$B$29,IF(Skills!C16=3,120+Inputs!$B$27+Inputs!$B$29,MAX(0,(Inputs!$B$3-100)*3)+Inputs!$B$28+Inputs!$B$29)))</f>
        <v/>
      </c>
      <c r="E2981">
        <f>INDEX(FactorTable!$B$2:$Y$301, MATCH(ROUND(MIN(300,MAX(1,D2981)),0), FactorTable!$A$2:$A$301,0), Skills!M16+1)</f>
        <v/>
      </c>
      <c r="F2981">
        <f>IF(Skills!N16=TRUE,(Skills!L16/10)*(E2981/1000),Skills!L16/10)+Skills!O16</f>
        <v/>
      </c>
      <c r="G2981">
        <f>Skills!G16*IF(Skills!H16&gt;0,Skills!I16/Skills!H16,1)</f>
        <v/>
      </c>
      <c r="H2981">
        <f>1-(1-Skills!J16/100)^Skills!K16</f>
        <v/>
      </c>
      <c r="I2981" t="inlineStr">
        <is>
          <t>1</t>
        </is>
      </c>
      <c r="J2981" t="inlineStr"/>
      <c r="K2981" t="inlineStr"/>
      <c r="L2981" t="inlineStr"/>
      <c r="M2981" t="inlineStr"/>
      <c r="N2981" t="inlineStr"/>
      <c r="O2981">
        <f>(1-Summary!$B$11)*T2981+Summary!$B$11*V2981</f>
        <v/>
      </c>
      <c r="P2981">
        <f>IF(B3007=0,0,O2981/B3007)</f>
        <v/>
      </c>
      <c r="Q2981">
        <f>IFERROR(1/IF(Inputs!$B$38="pvp",15,MAX(0.1,Skills!D16-IF(Skills!E16=TRUE,1.5,0))),0)</f>
        <v/>
      </c>
      <c r="R2981">
        <f>IF(AND(Inputs!$B$38&lt;&gt;"pvp",Inputs!$B$43&gt;0),IF(Inputs!$B$43&lt;=0,0,(INT(Inputs!$B$43/IF(Inputs!$B$38="pvp",15,MAX(0.1,Skills!D16-IF(Skills!E16=TRUE,1.5,0))))+1)),0)</f>
        <v/>
      </c>
      <c r="S2981" t="n">
        <v>0</v>
      </c>
      <c r="T2981" t="n">
        <v>0</v>
      </c>
      <c r="V2981" t="n">
        <v>0</v>
      </c>
    </row>
    <row r="2982">
      <c r="A2982">
        <f>Skills!A17</f>
        <v/>
      </c>
      <c r="B2982">
        <f>Skills!B17</f>
        <v/>
      </c>
      <c r="C2982">
        <f>Inputs!$B$3&gt;=72</f>
        <v/>
      </c>
      <c r="D2982">
        <f>IF(Skills!C17=1,60+Inputs!$B$25+Inputs!$B$29,IF(Skills!C17=2,90+Inputs!$B$26+Inputs!$B$29,IF(Skills!C17=3,120+Inputs!$B$27+Inputs!$B$29,MAX(0,(Inputs!$B$3-100)*3)+Inputs!$B$28+Inputs!$B$29)))</f>
        <v/>
      </c>
      <c r="E2982">
        <f>INDEX(FactorTable!$B$2:$Y$301, MATCH(ROUND(MIN(300,MAX(1,D2982)),0), FactorTable!$A$2:$A$301,0), Skills!M17+1)</f>
        <v/>
      </c>
      <c r="F2982">
        <f>IF(Skills!N17=TRUE,(Skills!L17/10)*(E2982/1000),Skills!L17/10)+Skills!O17</f>
        <v/>
      </c>
      <c r="G2982">
        <f>Skills!G17*IF(Skills!H17&gt;0,Skills!I17/Skills!H17,1)</f>
        <v/>
      </c>
      <c r="H2982">
        <f>1-(1-Skills!J17/100)^Skills!K17</f>
        <v/>
      </c>
      <c r="I2982" t="inlineStr">
        <is>
          <t>1</t>
        </is>
      </c>
      <c r="J2982" t="inlineStr"/>
      <c r="K2982" t="inlineStr"/>
      <c r="L2982" t="inlineStr"/>
      <c r="M2982" t="inlineStr"/>
      <c r="N2982" t="inlineStr"/>
      <c r="O2982">
        <f>(1-Summary!$B$11)*T2982+Summary!$B$11*V2982</f>
        <v/>
      </c>
      <c r="P2982">
        <f>IF(B3007=0,0,O2982/B3007)</f>
        <v/>
      </c>
      <c r="Q2982" t="n">
        <v>0</v>
      </c>
      <c r="R2982" t="n">
        <v>0</v>
      </c>
      <c r="S2982" t="n">
        <v>0</v>
      </c>
      <c r="T2982" t="n">
        <v>0</v>
      </c>
      <c r="V2982" t="n">
        <v>0</v>
      </c>
    </row>
    <row r="2983">
      <c r="A2983">
        <f>Skills!A18</f>
        <v/>
      </c>
      <c r="B2983">
        <f>Skills!B18</f>
        <v/>
      </c>
      <c r="C2983">
        <f>TRUE</f>
        <v/>
      </c>
      <c r="D2983">
        <f>IF(Skills!C18=1,60+Inputs!$B$25+Inputs!$B$29,IF(Skills!C18=2,90+Inputs!$B$26+Inputs!$B$29,IF(Skills!C18=3,120+Inputs!$B$27+Inputs!$B$29,MAX(0,(Inputs!$B$3-100)*3)+Inputs!$B$28+Inputs!$B$29)))</f>
        <v/>
      </c>
      <c r="E2983">
        <f>INDEX(FactorTable!$B$2:$Y$301, MATCH(ROUND(MIN(300,MAX(1,D2983)),0), FactorTable!$A$2:$A$301,0), Skills!M18+1)</f>
        <v/>
      </c>
      <c r="F2983">
        <f>IF(Skills!N18=TRUE,(Skills!L18/10)*(E2983/1000),Skills!L18/10)+Skills!O18</f>
        <v/>
      </c>
      <c r="G2983">
        <f>Skills!G18*IF(Skills!H18&gt;0,Skills!I18/Skills!H18,1)</f>
        <v/>
      </c>
      <c r="H2983">
        <f>1-(1-Skills!J18/100)^Skills!K18</f>
        <v/>
      </c>
      <c r="I2983" t="inlineStr">
        <is>
          <t>1</t>
        </is>
      </c>
      <c r="J2983" t="inlineStr"/>
      <c r="K2983" t="inlineStr"/>
      <c r="L2983" t="inlineStr"/>
      <c r="M2983" t="inlineStr"/>
      <c r="N2983" t="inlineStr"/>
      <c r="O2983">
        <f>(1-Summary!$B$11)*T2983+Summary!$B$11*V2983</f>
        <v/>
      </c>
      <c r="P2983">
        <f>IF(B3007=0,0,O2983/B3007)</f>
        <v/>
      </c>
      <c r="Q2983">
        <f>IFERROR(1/IF(Inputs!$B$38="pvp",15,MAX(0.1,Skills!D18-IF(Skills!E18=TRUE,1.5,0))),0)</f>
        <v/>
      </c>
      <c r="R2983">
        <f>IF(AND(Inputs!$B$38&lt;&gt;"pvp",Inputs!$B$43&gt;0),IF(Inputs!$B$43&lt;=0,0,(INT(Inputs!$B$43/IF(Inputs!$B$38="pvp",15,MAX(0.1,Skills!D18-IF(Skills!E18=TRUE,1.5,0))))+1)),0)</f>
        <v/>
      </c>
      <c r="S2983" t="n">
        <v>0</v>
      </c>
      <c r="T2983" t="n">
        <v>0</v>
      </c>
      <c r="V2983" t="n">
        <v>0</v>
      </c>
    </row>
    <row r="2984">
      <c r="A2984">
        <f>Skills!A19</f>
        <v/>
      </c>
      <c r="B2984">
        <f>Skills!B19</f>
        <v/>
      </c>
      <c r="C2984">
        <f>Inputs!$B$3&gt;=15</f>
        <v/>
      </c>
      <c r="D2984">
        <f>IF(Skills!C19=1,60+Inputs!$B$25+Inputs!$B$29,IF(Skills!C19=2,90+Inputs!$B$26+Inputs!$B$29,IF(Skills!C19=3,120+Inputs!$B$27+Inputs!$B$29,MAX(0,(Inputs!$B$3-100)*3)+Inputs!$B$28+Inputs!$B$29)))</f>
        <v/>
      </c>
      <c r="E2984">
        <f>INDEX(FactorTable!$B$2:$Y$301, MATCH(ROUND(MIN(300,MAX(1,D2984)),0), FactorTable!$A$2:$A$301,0), Skills!M19+1)</f>
        <v/>
      </c>
      <c r="F2984">
        <f>IF(Skills!N19=TRUE,(Skills!L19/10)*(E2984/1000),Skills!L19/10)+Skills!O19</f>
        <v/>
      </c>
      <c r="G2984">
        <f>Skills!G19*IF(Skills!H19&gt;0,Skills!I19/Skills!H19,1)</f>
        <v/>
      </c>
      <c r="H2984">
        <f>1-(1-Skills!J19/100)^Skills!K19</f>
        <v/>
      </c>
      <c r="I2984" t="inlineStr">
        <is>
          <t>1</t>
        </is>
      </c>
      <c r="J2984" t="inlineStr"/>
      <c r="K2984" t="inlineStr"/>
      <c r="L2984" t="inlineStr"/>
      <c r="M2984" t="inlineStr"/>
      <c r="N2984" t="inlineStr"/>
      <c r="O2984">
        <f>(1-Summary!$B$11)*T2984+Summary!$B$11*V2984</f>
        <v/>
      </c>
      <c r="P2984">
        <f>IF(B3007=0,0,O2984/B3007)</f>
        <v/>
      </c>
      <c r="Q2984" t="n">
        <v>0</v>
      </c>
      <c r="R2984" t="n">
        <v>0</v>
      </c>
      <c r="S2984" t="n">
        <v>0</v>
      </c>
      <c r="T2984" t="n">
        <v>0</v>
      </c>
      <c r="V2984" t="n">
        <v>0</v>
      </c>
    </row>
    <row r="2985">
      <c r="A2985">
        <f>Skills!A20</f>
        <v/>
      </c>
      <c r="B2985">
        <f>Skills!B20</f>
        <v/>
      </c>
      <c r="C2985">
        <f>Inputs!$B$3&gt;=10</f>
        <v/>
      </c>
      <c r="D2985">
        <f>IF(Skills!C20=1,60+Inputs!$B$25+Inputs!$B$29,IF(Skills!C20=2,90+Inputs!$B$26+Inputs!$B$29,IF(Skills!C20=3,120+Inputs!$B$27+Inputs!$B$29,MAX(0,(Inputs!$B$3-100)*3)+Inputs!$B$28+Inputs!$B$29)))</f>
        <v/>
      </c>
      <c r="E2985">
        <f>INDEX(FactorTable!$B$2:$Y$301, MATCH(ROUND(MIN(300,MAX(1,D2985)),0), FactorTable!$A$2:$A$301,0), Skills!M20+1)</f>
        <v/>
      </c>
      <c r="F2985">
        <f>IF(Skills!N20=TRUE,(Skills!L20/10)*(E2985/1000),Skills!L20/10)+Skills!O20</f>
        <v/>
      </c>
      <c r="G2985">
        <f>Skills!G20*IF(Skills!H20&gt;0,Skills!I20/Skills!H20,1)</f>
        <v/>
      </c>
      <c r="H2985">
        <f>1-(1-Skills!J20/100)^Skills!K20</f>
        <v/>
      </c>
      <c r="I2985" t="inlineStr">
        <is>
          <t>1</t>
        </is>
      </c>
      <c r="J2985" t="inlineStr"/>
      <c r="K2985" t="inlineStr"/>
      <c r="L2985" t="inlineStr"/>
      <c r="M2985" t="inlineStr"/>
      <c r="N2985" t="inlineStr"/>
      <c r="O2985">
        <f>(1-Summary!$B$11)*T2985+Summary!$B$11*V2985</f>
        <v/>
      </c>
      <c r="P2985">
        <f>IF(B3007=0,0,O2985/B3007)</f>
        <v/>
      </c>
      <c r="Q2985" t="n">
        <v>0</v>
      </c>
      <c r="R2985" t="n">
        <v>0</v>
      </c>
      <c r="S2985" t="n">
        <v>0</v>
      </c>
      <c r="T2985" t="n">
        <v>0</v>
      </c>
      <c r="V2985" t="n">
        <v>0</v>
      </c>
    </row>
    <row r="2986">
      <c r="A2986">
        <f>Skills!A21</f>
        <v/>
      </c>
      <c r="B2986">
        <f>Skills!B21</f>
        <v/>
      </c>
      <c r="C2986">
        <f>Inputs!$B$3&gt;=33</f>
        <v/>
      </c>
      <c r="D2986">
        <f>IF(Skills!C21=1,60+Inputs!$B$25+Inputs!$B$29,IF(Skills!C21=2,90+Inputs!$B$26+Inputs!$B$29,IF(Skills!C21=3,120+Inputs!$B$27+Inputs!$B$29,MAX(0,(Inputs!$B$3-100)*3)+Inputs!$B$28+Inputs!$B$29)))</f>
        <v/>
      </c>
      <c r="E2986">
        <f>INDEX(FactorTable!$B$2:$Y$301, MATCH(ROUND(MIN(300,MAX(1,D2986)),0), FactorTable!$A$2:$A$301,0), Skills!M21+1)</f>
        <v/>
      </c>
      <c r="F2986">
        <f>IF(Skills!N21=TRUE,(Skills!L21/10)*(E2986/1000),Skills!L21/10)+Skills!O21</f>
        <v/>
      </c>
      <c r="G2986">
        <f>Skills!G21*IF(Skills!H21&gt;0,Skills!I21/Skills!H21,1)</f>
        <v/>
      </c>
      <c r="H2986">
        <f>1-(1-Skills!J21/100)^Skills!K21</f>
        <v/>
      </c>
      <c r="I2986" t="inlineStr">
        <is>
          <t>1</t>
        </is>
      </c>
      <c r="J2986" t="inlineStr"/>
      <c r="K2986" t="inlineStr"/>
      <c r="L2986" t="inlineStr"/>
      <c r="M2986" t="inlineStr"/>
      <c r="N2986" t="inlineStr"/>
      <c r="O2986">
        <f>(1-Summary!$B$11)*T2986+Summary!$B$11*V2986</f>
        <v/>
      </c>
      <c r="P2986">
        <f>IF(B3007=0,0,O2986/B3007)</f>
        <v/>
      </c>
      <c r="Q2986" t="n">
        <v>0</v>
      </c>
      <c r="R2986" t="n">
        <v>0</v>
      </c>
      <c r="S2986" t="n">
        <v>0</v>
      </c>
      <c r="T2986" t="n">
        <v>0</v>
      </c>
      <c r="V2986" t="n">
        <v>0</v>
      </c>
    </row>
    <row r="2987">
      <c r="A2987">
        <f>Skills!A22</f>
        <v/>
      </c>
      <c r="B2987">
        <f>Skills!B22</f>
        <v/>
      </c>
      <c r="C2987">
        <f>Inputs!$B$3&gt;=38</f>
        <v/>
      </c>
      <c r="D2987">
        <f>IF(Skills!C22=1,60+Inputs!$B$25+Inputs!$B$29,IF(Skills!C22=2,90+Inputs!$B$26+Inputs!$B$29,IF(Skills!C22=3,120+Inputs!$B$27+Inputs!$B$29,MAX(0,(Inputs!$B$3-100)*3)+Inputs!$B$28+Inputs!$B$29)))</f>
        <v/>
      </c>
      <c r="E2987">
        <f>INDEX(FactorTable!$B$2:$Y$301, MATCH(ROUND(MIN(300,MAX(1,D2987)),0), FactorTable!$A$2:$A$301,0), Skills!M22+1)</f>
        <v/>
      </c>
      <c r="F2987">
        <f>IF(Skills!N22=TRUE,(Skills!L22/10)*(E2987/1000),Skills!L22/10)+Skills!O22</f>
        <v/>
      </c>
      <c r="G2987">
        <f>Skills!G22*IF(Skills!H22&gt;0,Skills!I22/Skills!H22,1)</f>
        <v/>
      </c>
      <c r="H2987">
        <f>1-(1-Skills!J22/100)^Skills!K22</f>
        <v/>
      </c>
      <c r="I2987" t="inlineStr">
        <is>
          <t>1</t>
        </is>
      </c>
      <c r="J2987" t="inlineStr"/>
      <c r="K2987" t="inlineStr"/>
      <c r="L2987" t="inlineStr"/>
      <c r="M2987" t="inlineStr"/>
      <c r="N2987" t="inlineStr"/>
      <c r="O2987">
        <f>(1-Summary!$B$11)*T2987+Summary!$B$11*V2987</f>
        <v/>
      </c>
      <c r="P2987">
        <f>IF(B3007=0,0,O2987/B3007)</f>
        <v/>
      </c>
      <c r="Q2987" t="n">
        <v>0</v>
      </c>
      <c r="R2987" t="n">
        <v>0</v>
      </c>
      <c r="S2987" t="n">
        <v>0</v>
      </c>
      <c r="T2987" t="n">
        <v>0</v>
      </c>
      <c r="V2987" t="n">
        <v>0</v>
      </c>
    </row>
    <row r="2988">
      <c r="A2988">
        <f>Skills!A23</f>
        <v/>
      </c>
      <c r="B2988">
        <f>Skills!B23</f>
        <v/>
      </c>
      <c r="C2988">
        <f>Inputs!$B$3&gt;=43</f>
        <v/>
      </c>
      <c r="D2988">
        <f>IF(Skills!C23=1,60+Inputs!$B$25+Inputs!$B$29,IF(Skills!C23=2,90+Inputs!$B$26+Inputs!$B$29,IF(Skills!C23=3,120+Inputs!$B$27+Inputs!$B$29,MAX(0,(Inputs!$B$3-100)*3)+Inputs!$B$28+Inputs!$B$29)))</f>
        <v/>
      </c>
      <c r="E2988">
        <f>INDEX(FactorTable!$B$2:$Y$301, MATCH(ROUND(MIN(300,MAX(1,D2988)),0), FactorTable!$A$2:$A$301,0), Skills!M23+1)</f>
        <v/>
      </c>
      <c r="F2988">
        <f>IF(Skills!N23=TRUE,(Skills!L23/10)*(E2988/1000),Skills!L23/10)+Skills!O23</f>
        <v/>
      </c>
      <c r="G2988">
        <f>Skills!G23*IF(Skills!H23&gt;0,Skills!I23/Skills!H23,1)</f>
        <v/>
      </c>
      <c r="H2988">
        <f>1-(1-Skills!J23/100)^Skills!K23</f>
        <v/>
      </c>
      <c r="I2988" t="inlineStr">
        <is>
          <t>1</t>
        </is>
      </c>
      <c r="J2988" t="inlineStr"/>
      <c r="K2988" t="inlineStr"/>
      <c r="L2988" t="inlineStr"/>
      <c r="M2988" t="inlineStr"/>
      <c r="N2988" t="inlineStr"/>
      <c r="O2988">
        <f>(1-Summary!$B$11)*T2988+Summary!$B$11*V2988</f>
        <v/>
      </c>
      <c r="P2988">
        <f>IF(B3007=0,0,O2988/B3007)</f>
        <v/>
      </c>
      <c r="Q2988" t="n">
        <v>0</v>
      </c>
      <c r="R2988" t="n">
        <v>0</v>
      </c>
      <c r="S2988" t="n">
        <v>0</v>
      </c>
      <c r="T2988" t="n">
        <v>0</v>
      </c>
      <c r="V2988" t="n">
        <v>0</v>
      </c>
    </row>
    <row r="2989">
      <c r="A2989">
        <f>Skills!A24</f>
        <v/>
      </c>
      <c r="B2989">
        <f>Skills!B24</f>
        <v/>
      </c>
      <c r="C2989">
        <f>Inputs!$B$3&gt;=75</f>
        <v/>
      </c>
      <c r="D2989">
        <f>IF(Skills!C24=1,60+Inputs!$B$25+Inputs!$B$29,IF(Skills!C24=2,90+Inputs!$B$26+Inputs!$B$29,IF(Skills!C24=3,120+Inputs!$B$27+Inputs!$B$29,MAX(0,(Inputs!$B$3-100)*3)+Inputs!$B$28+Inputs!$B$29)))</f>
        <v/>
      </c>
      <c r="E2989">
        <f>INDEX(FactorTable!$B$2:$Y$301, MATCH(ROUND(MIN(300,MAX(1,D2989)),0), FactorTable!$A$2:$A$301,0), Skills!M24+1)</f>
        <v/>
      </c>
      <c r="F2989">
        <f>IF(Skills!N24=TRUE,(Skills!L24/10)*(E2989/1000),Skills!L24/10)+Skills!O24</f>
        <v/>
      </c>
      <c r="G2989">
        <f>Skills!G24*IF(Skills!H24&gt;0,Skills!I24/Skills!H24,1)</f>
        <v/>
      </c>
      <c r="H2989">
        <f>1-(1-Skills!J24/100)^Skills!K24</f>
        <v/>
      </c>
      <c r="I2989" t="inlineStr">
        <is>
          <t>1</t>
        </is>
      </c>
      <c r="J2989" t="inlineStr"/>
      <c r="K2989" t="inlineStr"/>
      <c r="L2989" t="inlineStr"/>
      <c r="M2989" t="inlineStr"/>
      <c r="N2989" t="inlineStr"/>
      <c r="O2989">
        <f>(1-Summary!$B$11)*T2989+Summary!$B$11*V2989</f>
        <v/>
      </c>
      <c r="P2989">
        <f>IF(B3007=0,0,O2989/B3007)</f>
        <v/>
      </c>
      <c r="Q2989" t="n">
        <v>0</v>
      </c>
      <c r="R2989" t="n">
        <v>0</v>
      </c>
      <c r="S2989" t="n">
        <v>0</v>
      </c>
      <c r="T2989" t="n">
        <v>0</v>
      </c>
      <c r="V2989" t="n">
        <v>0</v>
      </c>
    </row>
    <row r="2990">
      <c r="A2990">
        <f>Skills!A25</f>
        <v/>
      </c>
      <c r="B2990">
        <f>Skills!B25</f>
        <v/>
      </c>
      <c r="C2990">
        <f>Inputs!$B$3&gt;=125</f>
        <v/>
      </c>
      <c r="D2990">
        <f>IF(Skills!C25=1,60+Inputs!$B$25+Inputs!$B$29,IF(Skills!C25=2,90+Inputs!$B$26+Inputs!$B$29,IF(Skills!C25=3,120+Inputs!$B$27+Inputs!$B$29,MAX(0,(Inputs!$B$3-100)*3)+Inputs!$B$28+Inputs!$B$29)))</f>
        <v/>
      </c>
      <c r="E2990">
        <f>INDEX(FactorTable!$B$2:$Y$301, MATCH(ROUND(MIN(300,MAX(1,D2990)),0), FactorTable!$A$2:$A$301,0), Skills!M25+1)</f>
        <v/>
      </c>
      <c r="F2990">
        <f>IF(Skills!N25=TRUE,(Skills!L25/10)*(E2990/1000),Skills!L25/10)+Skills!O25</f>
        <v/>
      </c>
      <c r="G2990">
        <f>Skills!G25*IF(Skills!H25&gt;0,Skills!I25/Skills!H25,1)</f>
        <v/>
      </c>
      <c r="H2990">
        <f>1-(1-Skills!J25/100)^Skills!K25</f>
        <v/>
      </c>
      <c r="I2990" t="inlineStr">
        <is>
          <t>1</t>
        </is>
      </c>
      <c r="J2990" t="inlineStr"/>
      <c r="K2990" t="inlineStr"/>
      <c r="L2990" t="inlineStr"/>
      <c r="M2990" t="inlineStr"/>
      <c r="N2990" t="inlineStr"/>
      <c r="O2990">
        <f>(1-Summary!$B$11)*T2990+Summary!$B$11*V2990</f>
        <v/>
      </c>
      <c r="P2990">
        <f>IF(B3007=0,0,O2990/B3007)</f>
        <v/>
      </c>
      <c r="Q2990" t="n">
        <v>0</v>
      </c>
      <c r="R2990" t="n">
        <v>0</v>
      </c>
      <c r="S2990" t="n">
        <v>0</v>
      </c>
      <c r="T2990" t="n">
        <v>0</v>
      </c>
      <c r="V2990" t="n">
        <v>0</v>
      </c>
    </row>
    <row r="2991">
      <c r="A2991">
        <f>Skills!A26</f>
        <v/>
      </c>
      <c r="B2991">
        <f>Skills!B26</f>
        <v/>
      </c>
      <c r="C2991">
        <f>Inputs!$B$3&gt;=125</f>
        <v/>
      </c>
      <c r="D2991">
        <f>IF(Skills!C26=1,60+Inputs!$B$25+Inputs!$B$29,IF(Skills!C26=2,90+Inputs!$B$26+Inputs!$B$29,IF(Skills!C26=3,120+Inputs!$B$27+Inputs!$B$29,MAX(0,(Inputs!$B$3-100)*3)+Inputs!$B$28+Inputs!$B$29)))</f>
        <v/>
      </c>
      <c r="E2991">
        <f>INDEX(FactorTable!$B$2:$Y$301, MATCH(ROUND(MIN(300,MAX(1,D2991)),0), FactorTable!$A$2:$A$301,0), Skills!M26+1)</f>
        <v/>
      </c>
      <c r="F2991">
        <f>IF(Skills!N26=TRUE,(Skills!L26/10)*(E2991/1000),Skills!L26/10)+Skills!O26</f>
        <v/>
      </c>
      <c r="G2991">
        <f>Skills!G26*IF(Skills!H26&gt;0,Skills!I26/Skills!H26,1)</f>
        <v/>
      </c>
      <c r="H2991">
        <f>1-(1-Skills!J26/100)^Skills!K26</f>
        <v/>
      </c>
      <c r="I2991" t="inlineStr">
        <is>
          <t>1</t>
        </is>
      </c>
      <c r="J2991" t="inlineStr"/>
      <c r="K2991" t="inlineStr"/>
      <c r="L2991" t="inlineStr"/>
      <c r="M2991" t="inlineStr"/>
      <c r="N2991" t="inlineStr"/>
      <c r="O2991">
        <f>(1-Summary!$B$11)*T2991+Summary!$B$11*V2991</f>
        <v/>
      </c>
      <c r="P2991">
        <f>IF(B3007=0,0,O2991/B3007)</f>
        <v/>
      </c>
      <c r="Q2991" t="n">
        <v>0</v>
      </c>
      <c r="R2991" t="n">
        <v>0</v>
      </c>
      <c r="S2991" t="n">
        <v>0</v>
      </c>
      <c r="T2991" t="n">
        <v>0</v>
      </c>
      <c r="V2991" t="n">
        <v>0</v>
      </c>
    </row>
    <row r="2992">
      <c r="A2992">
        <f>Skills!A27</f>
        <v/>
      </c>
      <c r="B2992">
        <f>Skills!B27</f>
        <v/>
      </c>
      <c r="C2992">
        <f>Inputs!$B$3&gt;=120</f>
        <v/>
      </c>
      <c r="D2992">
        <f>IF(Skills!C27=1,60+Inputs!$B$25+Inputs!$B$29,IF(Skills!C27=2,90+Inputs!$B$26+Inputs!$B$29,IF(Skills!C27=3,120+Inputs!$B$27+Inputs!$B$29,MAX(0,(Inputs!$B$3-100)*3)+Inputs!$B$28+Inputs!$B$29)))</f>
        <v/>
      </c>
      <c r="E2992">
        <f>INDEX(FactorTable!$B$2:$Y$301, MATCH(ROUND(MIN(300,MAX(1,D2992)),0), FactorTable!$A$2:$A$301,0), Skills!M27+1)</f>
        <v/>
      </c>
      <c r="F2992">
        <f>IF(Skills!N27=TRUE,(Skills!L27/10)*(E2992/1000),Skills!L27/10)+Skills!O27</f>
        <v/>
      </c>
      <c r="G2992">
        <f>Skills!G27*IF(Skills!H27&gt;0,Skills!I27/Skills!H27,1)</f>
        <v/>
      </c>
      <c r="H2992">
        <f>1-(1-Skills!J27/100)^Skills!K27</f>
        <v/>
      </c>
      <c r="I2992" t="inlineStr">
        <is>
          <t>1</t>
        </is>
      </c>
      <c r="J2992" t="inlineStr"/>
      <c r="K2992" t="inlineStr"/>
      <c r="L2992" t="inlineStr"/>
      <c r="M2992" t="inlineStr"/>
      <c r="N2992" t="inlineStr"/>
      <c r="O2992">
        <f>(1-Summary!$B$11)*T2992+Summary!$B$11*V2992</f>
        <v/>
      </c>
      <c r="P2992">
        <f>IF(B3007=0,0,O2992/B3007)</f>
        <v/>
      </c>
      <c r="Q2992" t="n">
        <v>0</v>
      </c>
      <c r="R2992" t="n">
        <v>0</v>
      </c>
      <c r="S2992" t="n">
        <v>0</v>
      </c>
      <c r="T2992" t="n">
        <v>0</v>
      </c>
      <c r="V2992" t="n">
        <v>0</v>
      </c>
    </row>
    <row r="2993">
      <c r="A2993">
        <f>Skills!A28</f>
        <v/>
      </c>
      <c r="B2993">
        <f>Skills!B28</f>
        <v/>
      </c>
      <c r="C2993">
        <f>Inputs!$B$3&gt;=120</f>
        <v/>
      </c>
      <c r="D2993">
        <f>IF(Skills!C28=1,60+Inputs!$B$25+Inputs!$B$29,IF(Skills!C28=2,90+Inputs!$B$26+Inputs!$B$29,IF(Skills!C28=3,120+Inputs!$B$27+Inputs!$B$29,MAX(0,(Inputs!$B$3-100)*3)+Inputs!$B$28+Inputs!$B$29)))</f>
        <v/>
      </c>
      <c r="E2993">
        <f>INDEX(FactorTable!$B$2:$Y$301, MATCH(ROUND(MIN(300,MAX(1,D2993)),0), FactorTable!$A$2:$A$301,0), Skills!M28+1)</f>
        <v/>
      </c>
      <c r="F2993">
        <f>IF(Skills!N28=TRUE,(Skills!L28/10)*(E2993/1000),Skills!L28/10)+Skills!O28</f>
        <v/>
      </c>
      <c r="G2993">
        <f>Skills!G28*IF(Skills!H28&gt;0,Skills!I28/Skills!H28,1)</f>
        <v/>
      </c>
      <c r="H2993">
        <f>1-(1-Skills!J28/100)^Skills!K28</f>
        <v/>
      </c>
      <c r="I2993" t="inlineStr">
        <is>
          <t>1</t>
        </is>
      </c>
      <c r="J2993" t="inlineStr"/>
      <c r="K2993" t="inlineStr"/>
      <c r="L2993" t="inlineStr"/>
      <c r="M2993" t="inlineStr"/>
      <c r="N2993" t="inlineStr"/>
      <c r="O2993">
        <f>(1-Summary!$B$11)*T2993+Summary!$B$11*V2993</f>
        <v/>
      </c>
      <c r="P2993">
        <f>IF(B3007=0,0,O2993/B3007)</f>
        <v/>
      </c>
      <c r="Q2993" t="n">
        <v>0</v>
      </c>
      <c r="R2993" t="n">
        <v>0</v>
      </c>
      <c r="S2993" t="n">
        <v>0</v>
      </c>
      <c r="T2993" t="n">
        <v>0</v>
      </c>
      <c r="V2993" t="n">
        <v>0</v>
      </c>
    </row>
    <row r="2994">
      <c r="A2994">
        <f>Skills!A29</f>
        <v/>
      </c>
      <c r="B2994">
        <f>Skills!B29</f>
        <v/>
      </c>
      <c r="C2994">
        <f>Inputs!$B$3&gt;=45</f>
        <v/>
      </c>
      <c r="D2994">
        <f>IF(Skills!C29=1,60+Inputs!$B$25+Inputs!$B$29,IF(Skills!C29=2,90+Inputs!$B$26+Inputs!$B$29,IF(Skills!C29=3,120+Inputs!$B$27+Inputs!$B$29,MAX(0,(Inputs!$B$3-100)*3)+Inputs!$B$28+Inputs!$B$29)))</f>
        <v/>
      </c>
      <c r="E2994">
        <f>INDEX(FactorTable!$B$2:$Y$301, MATCH(ROUND(MIN(300,MAX(1,D2994)),0), FactorTable!$A$2:$A$301,0), Skills!M29+1)</f>
        <v/>
      </c>
      <c r="F2994">
        <f>IF(Skills!N29=TRUE,(Skills!L29/10)*(E2994/1000),Skills!L29/10)+Skills!O29</f>
        <v/>
      </c>
      <c r="G2994">
        <f>Skills!G29*IF(Skills!H29&gt;0,Skills!I29/Skills!H29,1)</f>
        <v/>
      </c>
      <c r="H2994">
        <f>1-(1-Skills!J29/100)^Skills!K29</f>
        <v/>
      </c>
      <c r="I2994" t="inlineStr">
        <is>
          <t>1</t>
        </is>
      </c>
      <c r="J2994" t="inlineStr"/>
      <c r="K2994" t="inlineStr"/>
      <c r="L2994" t="inlineStr"/>
      <c r="M2994" t="inlineStr"/>
      <c r="N2994" t="inlineStr"/>
      <c r="O2994">
        <f>(1-Summary!$B$11)*T2994+Summary!$B$11*V2994</f>
        <v/>
      </c>
      <c r="P2994">
        <f>IF(B3007=0,0,O2994/B3007)</f>
        <v/>
      </c>
      <c r="Q2994" t="n">
        <v>0</v>
      </c>
      <c r="R2994" t="n">
        <v>0</v>
      </c>
      <c r="S2994" t="n">
        <v>0</v>
      </c>
      <c r="T2994" t="n">
        <v>0</v>
      </c>
      <c r="V2994" t="n">
        <v>0</v>
      </c>
    </row>
    <row r="2996">
      <c r="A2996" t="inlineStr">
        <is>
          <t>Attack% Bucket Multiplier</t>
        </is>
      </c>
      <c r="B2996">
        <f>(1+(((C2978=TRUE)*F2978)+((C2979=TRUE)*IF(Inputs!$B$38="pvp",F2979,(1-Summary!$B$11)*(F2979)+Summary!$B$11*(0)))+((C2980=TRUE)*F2980*IF(AND(Inputs!$B$38&lt;&gt;"pvp",Inputs!$B$43&gt;0),(((R2980-1)*(Skills!T15*(1+Inputs!$B$34/100))+MIN((Skills!T15*(1+Inputs!$B$34/100)),MAX(0,Inputs!$B$43-((R2980-1)*Skills!D15))))/Inputs!$B$43),IF(Inputs!$B$38="pvp",MIN((Skills!T15*(1+Inputs!$B$34/100)),15)/15,(Skills!T15*(1+Inputs!$B$34/100))/Skills!D15)))+((C2977=TRUE)*F2977)+((C2994=TRUE)*(F2994-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2997">
      <c r="A2997" t="inlineStr">
        <is>
          <t>Global Crit Rate Bonus %</t>
        </is>
      </c>
      <c r="B2997">
        <f>(C2981=TRUE)*20*IF(AND(Inputs!$B$38&lt;&gt;"pvp",Inputs!$B$43&gt;0),(((R2981-1)*(Skills!T16*(1+Inputs!$B$34/100))+MIN((Skills!T16*(1+Inputs!$B$34/100)),MAX(0,Inputs!$B$43-((R2981-1)*Skills!D16))))/Inputs!$B$43),IF(Inputs!$B$38="pvp",MIN((Skills!T16*(1+Inputs!$B$34/100)),15)/15,(Skills!T16*(1+Inputs!$B$34/100))/Skills!D16))</f>
        <v/>
      </c>
    </row>
    <row r="2998">
      <c r="A2998" t="inlineStr">
        <is>
          <t>Attack Speed Buff Bonus %</t>
        </is>
      </c>
      <c r="B2998">
        <f>((C2983=TRUE)*F2983*IF(AND(Inputs!$B$38&lt;&gt;"pvp",Inputs!$B$43&gt;0),(((R2983-1)*(Skills!T18*(1+Inputs!$B$34/100))+MIN((Skills!T18*(1+Inputs!$B$34/100)),MAX(0,Inputs!$B$43-((R2983-1)*Skills!D18))))/Inputs!$B$43),IF(Inputs!$B$38="pvp",MIN((Skills!T18*(1+Inputs!$B$34/100)),15)/15,(Skills!T18*(1+Inputs!$B$34/100))/Skills!D18)))</f>
        <v/>
      </c>
    </row>
    <row r="2999">
      <c r="A2999" t="inlineStr">
        <is>
          <t>Actions Per Second</t>
        </is>
      </c>
      <c r="B2999">
        <f>1+MIN(150,150*(1-(1-(Inputs!$B$11+((C2985=TRUE)*(F2985-Calc!F20))+((C2986=TRUE)*(F2986-Calc!F21)))/150)*(1-B2998/150)))/100</f>
        <v/>
      </c>
    </row>
    <row r="3000">
      <c r="A3000" t="inlineStr">
        <is>
          <t>Skill + Buff Cast Rate</t>
        </is>
      </c>
      <c r="B3000">
        <f>IF(AND(Inputs!$B$38&lt;&gt;"pvp",Inputs!$B$43&gt;0),SUMPRODUCT((Skills!E2:E29=TRUE)*(C2967:C2994=TRUE)*R2967:R2994*Skills!F2:F29)/Inputs!$B$43,SUMPRODUCT((Skills!E2:E29=TRUE)*(C2967:C2994=TRUE)*Q2967:Q2994*Skills!F2:F29))</f>
        <v/>
      </c>
    </row>
    <row r="3001">
      <c r="A3001" t="inlineStr">
        <is>
          <t>Empowered Piercing Arrow Casts Per Second</t>
        </is>
      </c>
      <c r="B3001">
        <f>MAX(0,B2999-B3000)</f>
        <v/>
      </c>
    </row>
    <row r="3002">
      <c r="A3002" t="inlineStr">
        <is>
          <t>Global Critical Damage Bonus % (Sharp Eyes)</t>
        </is>
      </c>
      <c r="B3002">
        <f>(C2981=TRUE)*F2981*IF(AND(Inputs!$B$38&lt;&gt;"pvp",Inputs!$B$43&gt;0),(((R2981-1)*(Skills!T16*(1+Inputs!$B$34/100))+MIN((Skills!T16*(1+Inputs!$B$34/100)),MAX(0,Inputs!$B$43-((R2981-1)*Skills!D16))))/Inputs!$B$43),IF(Inputs!$B$38="pvp",MIN((Skills!T16*(1+Inputs!$B$34/100)),15)/15,(Skills!T16*(1+Inputs!$B$34/100))/Skills!D16))</f>
        <v/>
      </c>
    </row>
    <row r="3003">
      <c r="A3003" t="inlineStr">
        <is>
          <t>Global Final Damage Bonus % (Mortal Blow + Last Man Standing conditional half)</t>
        </is>
      </c>
      <c r="B3003">
        <f>(C2982=TRUE)*F2982+((C2991=TRUE)*IF(Inputs!$B$38="pvp",F2991,(1-Summary!$B$11)*(F2991)+Summary!$B$11*(0)))</f>
        <v/>
      </c>
    </row>
    <row r="3004">
      <c r="A3004" t="inlineStr">
        <is>
          <t>Buff-Casting Startup Delay (s, fixed-duration only)</t>
        </is>
      </c>
      <c r="B3004">
        <f>IF(AND(Inputs!$B$38&lt;&gt;"pvp",Inputs!$B$43&gt;0),SUMPRODUCT((Skills!T2:T29&gt;0)*(Skills!E2:E29=TRUE)*(C2967:C2994=TRUE))/B2999,0)</f>
        <v/>
      </c>
    </row>
    <row r="3005">
      <c r="A3005" t="inlineStr">
        <is>
          <t>Boss-Only Total DPS (this block's swept value)</t>
        </is>
      </c>
      <c r="B3005">
        <f>SUM(T2967:T2994)</f>
        <v/>
      </c>
    </row>
    <row r="3006">
      <c r="A3006" t="inlineStr">
        <is>
          <t>Normal-Only Total DPS (this block's swept value)</t>
        </is>
      </c>
      <c r="B3006">
        <f>SUM(V2967:V2994)</f>
        <v/>
      </c>
    </row>
    <row r="3007">
      <c r="A3007" s="6" t="inlineStr">
        <is>
          <t>TOTAL DPS</t>
        </is>
      </c>
      <c r="B3007" s="6">
        <f>SUM(O2967:O2994)</f>
        <v/>
      </c>
    </row>
    <row r="3010">
      <c r="A3010" s="6" t="inlineStr">
        <is>
          <t>Stat: CDR = 2.0s</t>
        </is>
      </c>
    </row>
    <row r="3011">
      <c r="A3011" s="5" t="inlineStr">
        <is>
          <t>Key</t>
        </is>
      </c>
      <c r="B3011" s="5" t="inlineStr">
        <is>
          <t>Name</t>
        </is>
      </c>
      <c r="C3011" s="5" t="inlineStr">
        <is>
          <t>Unlocked</t>
        </is>
      </c>
      <c r="D3011" s="5" t="inlineStr">
        <is>
          <t>InputLevel</t>
        </is>
      </c>
      <c r="E3011" s="5" t="inlineStr">
        <is>
          <t>Factor</t>
        </is>
      </c>
      <c r="F3011" s="5" t="inlineStr">
        <is>
          <t>CoefficientPercent</t>
        </is>
      </c>
      <c r="G3011" s="5" t="inlineStr">
        <is>
          <t>EffectiveHits</t>
        </is>
      </c>
      <c r="H3011" s="5" t="inlineStr">
        <is>
          <t>ProcProbability</t>
        </is>
      </c>
      <c r="I3011" s="5" t="inlineStr">
        <is>
          <t>MapleHeroMultiplier</t>
        </is>
      </c>
      <c r="J3011" s="5" t="inlineStr">
        <is>
          <t>BaseDamage</t>
        </is>
      </c>
      <c r="K3011" s="5" t="inlineStr">
        <is>
          <t>BaseHitDamage</t>
        </is>
      </c>
      <c r="L3011" s="5" t="inlineStr">
        <is>
          <t>NonCritAvg</t>
        </is>
      </c>
      <c r="M3011" s="5" t="inlineStr">
        <is>
          <t>CritAvg</t>
        </is>
      </c>
      <c r="N3011" s="5" t="inlineStr">
        <is>
          <t>ExpectedDamage(perHit)</t>
        </is>
      </c>
      <c r="O3011" s="5" t="inlineStr">
        <is>
          <t>DPS</t>
        </is>
      </c>
      <c r="P3011" s="5" t="inlineStr">
        <is>
          <t>% of Total</t>
        </is>
      </c>
      <c r="Q3011" s="5" t="inlineStr">
        <is>
          <t>InvCooldown</t>
        </is>
      </c>
      <c r="R3011" s="5" t="inlineStr">
        <is>
          <t>CastsInFight</t>
        </is>
      </c>
      <c r="S3011" s="5" t="inlineStr">
        <is>
          <t>HitRate(perSec)</t>
        </is>
      </c>
      <c r="U3011" t="inlineStr">
        <is>
          <t>helpers</t>
        </is>
      </c>
    </row>
    <row r="3012">
      <c r="A3012">
        <f>Skills!A2</f>
        <v/>
      </c>
      <c r="B3012">
        <f>Skills!B2</f>
        <v/>
      </c>
      <c r="C3012">
        <f>Inputs!$B$3&gt;=100</f>
        <v/>
      </c>
      <c r="D3012" t="inlineStr"/>
      <c r="E3012" t="inlineStr"/>
      <c r="F3012">
        <f>U3014+Skills!O2</f>
        <v/>
      </c>
      <c r="G3012">
        <f>Skills!G2*IF(Skills!H2&gt;0,Skills!I2/Skills!H2,1)</f>
        <v/>
      </c>
      <c r="H3012">
        <f>1-(1-Skills!J2/100)^Skills!K2</f>
        <v/>
      </c>
      <c r="I3012" t="inlineStr">
        <is>
          <t>1</t>
        </is>
      </c>
      <c r="J3012">
        <f>((Inputs!$B$6*(1+Inputs!$B$7/100))+(((Inputs!$B$12*(1+Inputs!$B$13/100))-(Inputs!$B$12*(1+Inputs!$B$13/100)))+0.25*(Inputs!$B$14-Inputs!$B$14))*(1+Inputs!$B$7/100))*(F3012/100)</f>
        <v/>
      </c>
      <c r="K3012">
        <f>J3012*(1+((Inputs!$B$12*(1+Inputs!$B$13/100))*0.01+Inputs!$B$14*0.0025)/100)*(1+Inputs!$B$15/100)*(1+Inputs!$B$16/100)*(5000/(6000+Inputs!$B$42*(1-(100*(1-(1-(Inputs!$B$19+0)/100)*(1-CHOOSE(ArtifactsInput!$N$40+1,5,6,7,8,9,10)/100)^(ArtifactsInput!$M$40-ArtifactsInput!$M$40)))/100)))*(1+(Inputs!$B$24+((C3034=TRUE)*(F3034-Calc!F24))+((C3035=TRUE)*(F3035-Calc!F25))+B3048)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EMPOWERED_PIERCING_ARROW",Inputs!$B$17+((C3032=TRUE)*(F3032-Calc!F22))+(((IF(AND(ArtifactsInput!$M$42,((Inputs!$B$9+((C3029=TRUE)*(F3029-Calc!F19))+B3042+(ArtifactsInput!$M$24-ArtifactsInput!$M$24)*CHOOSE(ArtifactsInput!$N$24+1,10,12,14,16,18,20)+IF(ArtifactsInput!$M$10,CHOOSE(ArtifactsInput!$N$10+1,15,18,21,24,27,30)*(IF(Inputs!$B$38="pvp",MIN(15,15)/15,IF(AND(Inputs!$B$38&lt;&gt;"pvp",Inputs!$B$43&gt;0),MIN(15,Inputs!$B$43)/(Inputs!$B$43),0))),0)))&gt;=100),MIN(100,((Inputs!$B$9+((C3029=TRUE)*(F3029-Calc!F19))+B3042+(ArtifactsInput!$M$24-ArtifactsInput!$M$24)*CHOOSE(ArtifactsInput!$N$24+1,10,12,14,16,18,20)+IF(ArtifactsInput!$M$10,CHOOSE(ArtifactsInput!$N$10+1,15,18,21,24,27,30)*(IF(Inputs!$B$38="pvp",MIN(15,15)/15,IF(AND(Inputs!$B$38&lt;&gt;"pvp",Inputs!$B$43&gt;0),MIN(15,Inputs!$B$43)/(Inputs!$B$43),0))),0)))-100),0))*CHOOSE(ArtifactsInput!$N$42+1,0.6,0.72,0.84,0.96,1.08,1.2))),Inputs!$B$18+((C3037=TRUE)*(F3037-Calc!F27))+(IF(AND(ArtifactsInput!$M$42,((Inputs!$B$9+((C3029=TRUE)*(F3029-Calc!F19))+B3042+(ArtifactsInput!$M$24-ArtifactsInput!$M$24)*CHOOSE(ArtifactsInput!$N$24+1,10,12,14,16,18,20)+IF(ArtifactsInput!$M$10,CHOOSE(ArtifactsInput!$N$10+1,15,18,21,24,27,30)*(IF(Inputs!$B$38="pvp",MIN(15,15)/15,IF(AND(Inputs!$B$38&lt;&gt;"pvp",Inputs!$B$43&gt;0),MIN(15,Inputs!$B$43)/(Inputs!$B$43),0))),0)))&gt;=100),CHOOSE(ArtifactsInput!$N$42+1,40,48,56,64,72,80),0))))/100)*((1+(((C3023=TRUE)*F3023)+((C3024=TRUE)*IF(Inputs!$B$38="pvp",F3024,(1-Summary!$B$11)*(F3024)+Summary!$B$11*(0)))+((C3025=TRUE)*F3025*IF(AND(Inputs!$B$38&lt;&gt;"pvp",Inputs!$B$43&gt;0),(((R3025-1)*(Skills!T15*(1+Inputs!$B$34/100))+MIN((Skills!T15*(1+Inputs!$B$34/100)),MAX(0,Inputs!$B$43-((R3025-1)*Skills!D15))))/Inputs!$B$43),IF(Inputs!$B$38="pvp",MIN((Skills!T15*(1+Inputs!$B$34/100)),15)/15,(Skills!T15*(1+Inputs!$B$34/100))/Skills!D15)))+((C3022=TRUE)*F3022)+((C3039=TRUE)*(F3039-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3012)</f>
        <v/>
      </c>
      <c r="L3012">
        <f>K3012*(MIN(Inputs!$B$22+((C3033=TRUE)*(F3033-Calc!F23)),(Inputs!$B$23+((C3038=TRUE)*(F3038-Calc!F28))+(IF(ArtifactsInput!$M$15,CHOOSE(ArtifactsInput!$N$15+1,25,30,35,40,45,50)/100*(Inputs!$B$11-Inputs!$B$11),0))))/100+(Inputs!$B$23+((C3038=TRUE)*(F3038-Calc!F28))+(IF(ArtifactsInput!$M$15,CHOOSE(ArtifactsInput!$N$15+1,25,30,35,40,45,50)/100*(Inputs!$B$11-Inputs!$B$11),0)))/100)/2</f>
        <v/>
      </c>
      <c r="M3012">
        <f>L3012*(1+(Inputs!$B$10+0+B3047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012">
        <f>L3012*(1-MIN((Inputs!$B$9+((C3029=TRUE)*(F3029-Calc!F19))+B3042+(ArtifactsInput!$M$24-ArtifactsInput!$M$24)*CHOOSE(ArtifactsInput!$N$24+1,10,12,14,16,18,20)+(IF(AND(ArtifactsInput!$M$42,((Inputs!$B$9+((C3029=TRUE)*(F3029-Calc!F19))+B3042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3012*(MIN((Inputs!$B$9+((C3029=TRUE)*(F3029-Calc!F19))+B3042+(ArtifactsInput!$M$24-ArtifactsInput!$M$24)*CHOOSE(ArtifactsInput!$N$24+1,10,12,14,16,18,20)+(IF(AND(ArtifactsInput!$M$42,((Inputs!$B$9+((C3029=TRUE)*(F3029-Calc!F19))+B3042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012">
        <f>(1-Summary!$B$11)*T3012+Summary!$B$11*V3012</f>
        <v/>
      </c>
      <c r="P3012">
        <f>IF(B3052=0,0,O3012/B3052)</f>
        <v/>
      </c>
      <c r="Q3012" t="n">
        <v>0</v>
      </c>
      <c r="R3012" t="n">
        <v>0</v>
      </c>
      <c r="S3012">
        <f>IFERROR((Skills!G2*N3012*B3046)/N3012*IF(Inputs!$B$38="pvp",1,(1-Summary!$B$11)*1+Summary!$B$11*(MIN((6+Inputs!$B$33),Inputs!$B$37))),0)</f>
        <v/>
      </c>
      <c r="T3012">
        <f>IF(C3012,(Skills!G2*N3012*B3046)*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Hunt"),CHOOSE(ArtifactsInput!$N$35+1,15,18,21,24,27,30)*(1-EXP(-(0.2*B3044)*5)),0)+IF(AND(ArtifactsInput!$M$22,Inputs!$B$4&lt;&gt;"Chapter Hunt"),CHOOSE(ArtifactsInput!$N$22+1,10,12,14,16,18,20)*((0*(((0.15*B3044*5))^0/1)+1*(((0.15*B3044*5))^1/1)+2*(((0.15*B3044*5))^2/2)+3*(((0.15*B3044*5))^3/6)+4*(((0.15*B3044*5))^4/24)+5*(((0.15*B3044*5))^5/120))/((((0.15*B3044*5))^0/1)+(((0.15*B3044*5))^1/1)+(((0.15*B3044*5))^2/2)+(((0.15*B3044*5))^3/6)+(((0.15*B3044*5))^4/24)+(((0.15*B3044*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3012*(1-MIN(100,(Inputs!$B$9+((C3029=TRUE)*(F3029-Calc!F19))+B3042+(ArtifactsInput!$M$24-ArtifactsInput!$M$24)*CHOOSE(ArtifactsInput!$N$24+1,10,12,14,16,18,20)+(IF(AND(ArtifactsInput!$M$42,((Inputs!$B$9+((C3029=TRUE)*(F3029-Calc!F19))+B3042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3012*(MIN(100,(Inputs!$B$9+((C3029=TRUE)*(F3029-Calc!F19))+B3042+(ArtifactsInput!$M$24-ArtifactsInput!$M$24)*CHOOSE(ArtifactsInput!$N$24+1,10,12,14,16,18,20)+(IF(AND(ArtifactsInput!$M$42,((Inputs!$B$9+((C3029=TRUE)*(F3029-Calc!F19))+B3042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3012*(1-MIN(100,(Inputs!$B$9+((C3029=TRUE)*(F3029-Calc!F19))+B3042+(ArtifactsInput!$M$24-ArtifactsInput!$M$24)*CHOOSE(ArtifactsInput!$N$24+1,10,12,14,16,18,20)+(IF(AND(ArtifactsInput!$M$42,((Inputs!$B$9+((C3029=TRUE)*(F3029-Calc!F19))+B3042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3012*(MIN(100,(Inputs!$B$9+((C3029=TRUE)*(F3029-Calc!F19))+B3042+(ArtifactsInput!$M$24-ArtifactsInput!$M$24)*CHOOSE(ArtifactsInput!$N$24+1,10,12,14,16,18,20)+(IF(AND(ArtifactsInput!$M$42,((Inputs!$B$9+((C3029=TRUE)*(F3029-Calc!F19))+B3042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3012">
        <f>MAX(0,(Inputs!$B$3-100)*3)+Inputs!$B$28+Inputs!$B$29</f>
        <v/>
      </c>
      <c r="V3012">
        <f>IF(C3012,(Skills!G2*N3012*B3046)*IF(Inputs!$B$38="pvp",1,(1+(Inputs!$B$21+Skills!Q2+(IF(ArtifactsInput!$M$33,CHOOSE(ArtifactsInput!$N$33+1,30,36,42,48,54,60),0))+(IF(AND(ArtifactsInput!$M$35,Inputs!$B$4&lt;&gt;"Chapter Hunt"),CHOOSE(ArtifactsInput!$N$35+1,15,18,21,24,27,30)*(1-EXP(-(0.2*B3044)*5)),0)+IF(AND(ArtifactsInput!$M$22,Inputs!$B$4&lt;&gt;"Chapter Hunt"),CHOOSE(ArtifactsInput!$N$22+1,10,12,14,16,18,20)*((0*(((0.15*B3044*5))^0/1)+1*(((0.15*B3044*5))^1/1)+2*(((0.15*B3044*5))^2/2)+3*(((0.15*B3044*5))^3/6)+4*(((0.15*B3044*5))^4/24)+5*(((0.15*B3044*5))^5/120))/((((0.15*B3044*5))^0/1)+(((0.15*B3044*5))^1/1)+(((0.15*B3044*5))^2/2)+(((0.15*B3044*5))^3/6)+(((0.15*B3044*5))^4/24)+(((0.15*B3044*5))^5/120)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013">
      <c r="A3013">
        <f>Skills!A3</f>
        <v/>
      </c>
      <c r="B3013">
        <f>Skills!B3</f>
        <v/>
      </c>
      <c r="C3013">
        <f>Inputs!$B$3&gt;=50</f>
        <v/>
      </c>
      <c r="D3013">
        <f>IF(Skills!C3=1,60+Inputs!$B$25+Inputs!$B$29,IF(Skills!C3=2,90+Inputs!$B$26+Inputs!$B$29,IF(Skills!C3=3,120+Inputs!$B$27+Inputs!$B$29,MAX(0,(Inputs!$B$3-100)*3)+Inputs!$B$28+Inputs!$B$29)))</f>
        <v/>
      </c>
      <c r="E3013">
        <f>INDEX(FactorTable!$B$2:$Y$301, MATCH(ROUND(MIN(300,MAX(1,D3013)),0), FactorTable!$A$2:$A$301,0), Skills!M3+1)</f>
        <v/>
      </c>
      <c r="F3013">
        <f>IF(Skills!N3=TRUE,(Skills!L3/10)*(E3013/1000),Skills!L3/10)+Skills!O3</f>
        <v/>
      </c>
      <c r="G3013" t="inlineStr"/>
      <c r="H3013" t="inlineStr"/>
      <c r="I3013" t="inlineStr">
        <is>
          <t>1</t>
        </is>
      </c>
      <c r="J3013" t="inlineStr"/>
      <c r="K3013" t="inlineStr"/>
      <c r="L3013" t="inlineStr"/>
      <c r="M3013" t="inlineStr"/>
      <c r="N3013" t="inlineStr"/>
      <c r="O3013" t="inlineStr"/>
      <c r="P3013" t="inlineStr"/>
      <c r="Q3013" t="inlineStr"/>
      <c r="R3013" t="inlineStr"/>
      <c r="S3013" t="inlineStr"/>
      <c r="T3013" t="inlineStr"/>
      <c r="U3013">
        <f>INDEX(FactorTable!$B$2:$Y$301, MATCH(ROUND(MIN(300,MAX(1,U3012)),0), FactorTable!$A$2:$A$301,0), 22)</f>
        <v/>
      </c>
      <c r="V3013" t="inlineStr"/>
    </row>
    <row r="3014">
      <c r="A3014">
        <f>Skills!A4</f>
        <v/>
      </c>
      <c r="B3014">
        <f>Skills!B4</f>
        <v/>
      </c>
      <c r="C3014">
        <f>Inputs!$B$3&gt;=105</f>
        <v/>
      </c>
      <c r="D3014">
        <f>IF(Skills!C4=1,60+Inputs!$B$25+Inputs!$B$29,IF(Skills!C4=2,90+Inputs!$B$26+Inputs!$B$29,IF(Skills!C4=3,120+Inputs!$B$27+Inputs!$B$29,MAX(0,(Inputs!$B$3-100)*3)+Inputs!$B$28+Inputs!$B$29)))</f>
        <v/>
      </c>
      <c r="E3014">
        <f>INDEX(FactorTable!$B$2:$Y$301, MATCH(ROUND(MIN(300,MAX(1,D3014)),0), FactorTable!$A$2:$A$301,0), Skills!M4+1)</f>
        <v/>
      </c>
      <c r="F3014">
        <f>IF(Skills!N4=TRUE,(Skills!L4/10)*(E3014/1000),Skills!L4/10)+Skills!O4</f>
        <v/>
      </c>
      <c r="G3014" t="inlineStr"/>
      <c r="H3014" t="inlineStr"/>
      <c r="I3014" t="inlineStr">
        <is>
          <t>1</t>
        </is>
      </c>
      <c r="J3014" t="inlineStr"/>
      <c r="K3014" t="inlineStr"/>
      <c r="L3014" t="inlineStr"/>
      <c r="M3014" t="inlineStr"/>
      <c r="N3014" t="inlineStr"/>
      <c r="O3014" t="inlineStr"/>
      <c r="P3014" t="inlineStr"/>
      <c r="Q3014" t="inlineStr"/>
      <c r="R3014" t="inlineStr"/>
      <c r="S3014" t="inlineStr"/>
      <c r="T3014" t="inlineStr"/>
      <c r="U3014">
        <f>290*U3013/1000</f>
        <v/>
      </c>
      <c r="V3014" t="inlineStr"/>
    </row>
    <row r="3015">
      <c r="A3015">
        <f>Skills!A5</f>
        <v/>
      </c>
      <c r="B3015">
        <f>Skills!B5</f>
        <v/>
      </c>
      <c r="C3015">
        <f>Inputs!$B$3&gt;=35</f>
        <v/>
      </c>
      <c r="D3015">
        <f>IF(Skills!C5=1,60+Inputs!$B$25+Inputs!$B$29,IF(Skills!C5=2,90+Inputs!$B$26+Inputs!$B$29,IF(Skills!C5=3,120+Inputs!$B$27+Inputs!$B$29,MAX(0,(Inputs!$B$3-100)*3)+Inputs!$B$28+Inputs!$B$29)))</f>
        <v/>
      </c>
      <c r="E3015">
        <f>INDEX(FactorTable!$B$2:$Y$301, MATCH(ROUND(MIN(300,MAX(1,D3015)),0), FactorTable!$A$2:$A$301,0), Skills!M5+1)</f>
        <v/>
      </c>
      <c r="F3015">
        <f>IF(Skills!N5=TRUE,(Skills!L5/10)*(E3015/1000),Skills!L5/10)+Skills!O5</f>
        <v/>
      </c>
      <c r="G3015">
        <f>Skills!G5*IF(Skills!H5&gt;0,Skills!I5/Skills!H5,1)</f>
        <v/>
      </c>
      <c r="H3015">
        <f>1-(1-Skills!J5/100)^Skills!K5</f>
        <v/>
      </c>
      <c r="I3015" t="inlineStr">
        <is>
          <t>1</t>
        </is>
      </c>
      <c r="J3015">
        <f>((Inputs!$B$6*(1+Inputs!$B$7/100))+(((Inputs!$B$12*(1+Inputs!$B$13/100))-(Inputs!$B$12*(1+Inputs!$B$13/100)))+0.25*(Inputs!$B$14-Inputs!$B$14))*(1+Inputs!$B$7/100))*(F3015/100)</f>
        <v/>
      </c>
      <c r="K3015">
        <f>J3015*(1+((Inputs!$B$12*(1+Inputs!$B$13/100))*0.01+Inputs!$B$14*0.0025)/100)*(1+Inputs!$B$15/100)*(1+Inputs!$B$16/100)*(5000/(6000+Inputs!$B$42*(1-(100*(1-(1-(Inputs!$B$19+0)/100)*(1-CHOOSE(ArtifactsInput!$N$40+1,5,6,7,8,9,10)/100)^(ArtifactsInput!$M$40-ArtifactsInput!$M$40)))/100)))*(1+(Inputs!$B$24+((C3034=TRUE)*(F3034-Calc!F24))+((C3035=TRUE)*(F3035-Calc!F25))+B3048)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3018=TRUE,F3018,0)/100)*(1+(IF(Skills!A5="EMPOWERED_PIERCING_ARROW",Inputs!$B$17+((C3032=TRUE)*(F3032-Calc!F22))+(((IF(AND(ArtifactsInput!$M$42,((Inputs!$B$9+((C3029=TRUE)*(F3029-Calc!F19))+B3042+(ArtifactsInput!$M$24-ArtifactsInput!$M$24)*CHOOSE(ArtifactsInput!$N$24+1,10,12,14,16,18,20)+IF(ArtifactsInput!$M$10,CHOOSE(ArtifactsInput!$N$10+1,15,18,21,24,27,30)*(IF(Inputs!$B$38="pvp",MIN(15,15)/15,IF(AND(Inputs!$B$38&lt;&gt;"pvp",Inputs!$B$43&gt;0),MIN(15,Inputs!$B$43)/(Inputs!$B$43),0))),0)))&gt;=100),MIN(100,((Inputs!$B$9+((C3029=TRUE)*(F3029-Calc!F19))+B3042+(ArtifactsInput!$M$24-ArtifactsInput!$M$24)*CHOOSE(ArtifactsInput!$N$24+1,10,12,14,16,18,20)+IF(ArtifactsInput!$M$10,CHOOSE(ArtifactsInput!$N$10+1,15,18,21,24,27,30)*(IF(Inputs!$B$38="pvp",MIN(15,15)/15,IF(AND(Inputs!$B$38&lt;&gt;"pvp",Inputs!$B$43&gt;0),MIN(15,Inputs!$B$43)/(Inputs!$B$43),0))),0)))-100),0))*CHOOSE(ArtifactsInput!$N$42+1,0.6,0.72,0.84,0.96,1.08,1.2))),Inputs!$B$18+((C3037=TRUE)*(F3037-Calc!F27))+(IF(AND(ArtifactsInput!$M$42,((Inputs!$B$9+((C3029=TRUE)*(F3029-Calc!F19))+B3042+(ArtifactsInput!$M$24-ArtifactsInput!$M$24)*CHOOSE(ArtifactsInput!$N$24+1,10,12,14,16,18,20)+IF(ArtifactsInput!$M$10,CHOOSE(ArtifactsInput!$N$10+1,15,18,21,24,27,30)*(IF(Inputs!$B$38="pvp",MIN(15,15)/15,IF(AND(Inputs!$B$38&lt;&gt;"pvp",Inputs!$B$43&gt;0),MIN(15,Inputs!$B$43)/(Inputs!$B$43),0))),0)))&gt;=100),CHOOSE(ArtifactsInput!$N$42+1,40,48,56,64,72,80),0))))/100)*((1+(((C3023=TRUE)*F3023)+((C3024=TRUE)*IF(Inputs!$B$38="pvp",F3024,(1-Summary!$B$11)*(F3024)+Summary!$B$11*(0)))+((C3025=TRUE)*F3025*IF(AND(Inputs!$B$38&lt;&gt;"pvp",Inputs!$B$43&gt;0),(((R3025-1)*(Skills!T15*(1+Inputs!$B$34/100))+MIN((Skills!T15*(1+Inputs!$B$34/100)),MAX(0,Inputs!$B$43-((R3025-1)*Skills!D15))))/Inputs!$B$43),IF(Inputs!$B$38="pvp",MIN((Skills!T15*(1+Inputs!$B$34/100)),15)/15,(Skills!T15*(1+Inputs!$B$34/100))/Skills!D15)))+((C3022=TRUE)*F3022)+((C3039=TRUE)*(F3039-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3015)</f>
        <v/>
      </c>
      <c r="L3015">
        <f>K3015*(MIN(Inputs!$B$22+((C3033=TRUE)*(F3033-Calc!F23)),(Inputs!$B$23+((C3038=TRUE)*(F3038-Calc!F28))+(IF(ArtifactsInput!$M$15,CHOOSE(ArtifactsInput!$N$15+1,25,30,35,40,45,50)/100*(Inputs!$B$11-Inputs!$B$11),0))))/100+(Inputs!$B$23+((C3038=TRUE)*(F3038-Calc!F28))+(IF(ArtifactsInput!$M$15,CHOOSE(ArtifactsInput!$N$15+1,25,30,35,40,45,50)/100*(Inputs!$B$11-Inputs!$B$11),0)))/100)/2</f>
        <v/>
      </c>
      <c r="M3015">
        <f>L3015*(1+(Inputs!$B$10+0+B3047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015">
        <f>L3015*(1-MIN((Inputs!$B$9+((C3029=TRUE)*(F3029-Calc!F19))+B3042+(ArtifactsInput!$M$24-ArtifactsInput!$M$24)*CHOOSE(ArtifactsInput!$N$24+1,10,12,14,16,18,20)+(IF(AND(ArtifactsInput!$M$42,((Inputs!$B$9+((C3029=TRUE)*(F3029-Calc!F19))+B3042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3015*(MIN((Inputs!$B$9+((C3029=TRUE)*(F3029-Calc!F19))+B3042+(ArtifactsInput!$M$24-ArtifactsInput!$M$24)*CHOOSE(ArtifactsInput!$N$24+1,10,12,14,16,18,20)+(IF(AND(ArtifactsInput!$M$42,((Inputs!$B$9+((C3029=TRUE)*(F3029-Calc!F19))+B3042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015">
        <f>(1-Summary!$B$11)*T3015+Summary!$B$11*V3015</f>
        <v/>
      </c>
      <c r="P3015">
        <f>IF(B3052=0,0,O3015/B3052)</f>
        <v/>
      </c>
      <c r="Q3015">
        <f>IFERROR(1/IF(Inputs!$B$38="pvp",15,MAX(0.1,Skills!D5-IF(Skills!E5=TRUE,2.0,0))),0)</f>
        <v/>
      </c>
      <c r="R3015">
        <f>IF(AND(Inputs!$B$38&lt;&gt;"pvp",Inputs!$B$43&gt;0),IF(MAX(0,Inputs!$B$43-B3049)&lt;=0,0,(INT(MAX(0,Inputs!$B$43-B3049)/IF(Inputs!$B$38="pvp",15,MAX(0.1,Skills!D5-IF(Skills!E5=TRUE,2.0,0))))+1)),0)</f>
        <v/>
      </c>
      <c r="S3015">
        <f>IFERROR((H3015*N3015*IF(AND(Inputs!$B$38&lt;&gt;"pvp",Inputs!$B$43&gt;0),((Skills!G5*((R3015-1)*IF(Skills!H5&gt;0,Skills!I5/Skills!H5,1)+IF(Skills!H5&gt;0,MIN(Skills!I5,MAX(0,MAX(0,Inputs!$B$43-B3049)-((R3015-1)*IF(Inputs!$B$38="pvp",15,MAX(0.1,Skills!D5-IF(Skills!E5=TRUE,2.0,0))))))/Skills!H5,1)))/Inputs!$B$43),G3015*Q3015))/N3015*IF(Inputs!$B$38="pvp",1,(1-Summary!$B$11)*1+Summary!$B$11*(MIN(Skills!R5,Inputs!$B$37))),0)</f>
        <v/>
      </c>
      <c r="T3015">
        <f>IF(C3015,(H3015*N3015*IF(AND(Inputs!$B$38&lt;&gt;"pvp",Inputs!$B$43&gt;0),((Skills!G5*((R3015-1)*IF(Skills!H5&gt;0,Skills!I5/Skills!H5,1)+IF(Skills!H5&gt;0,MIN(Skills!I5,MAX(0,MAX(0,Inputs!$B$43-B3049)-((R3015-1)*IF(Inputs!$B$38="pvp",15,MAX(0.1,Skills!D5-IF(Skills!E5=TRUE,2.0,0))))))/Skills!H5,1)))/Inputs!$B$43),G3015*Q3015))*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Hunt"),CHOOSE(ArtifactsInput!$N$35+1,15,18,21,24,27,30)*(1-EXP(-(0.2*B3044)*5)),0)+IF(AND(ArtifactsInput!$M$22,Inputs!$B$4&lt;&gt;"Chapter Hunt"),CHOOSE(ArtifactsInput!$N$22+1,10,12,14,16,18,20)*((0*(((0.15*B3044*5))^0/1)+1*(((0.15*B3044*5))^1/1)+2*(((0.15*B3044*5))^2/2)+3*(((0.15*B3044*5))^3/6)+4*(((0.15*B3044*5))^4/24)+5*(((0.15*B3044*5))^5/120))/((((0.15*B3044*5))^0/1)+(((0.15*B3044*5))^1/1)+(((0.15*B3044*5))^2/2)+(((0.15*B3044*5))^3/6)+(((0.15*B3044*5))^4/24)+(((0.15*B3044*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3015*(1-MIN(100,(Inputs!$B$9+((C3029=TRUE)*(F3029-Calc!F19))+B3042+(ArtifactsInput!$M$24-ArtifactsInput!$M$24)*CHOOSE(ArtifactsInput!$N$24+1,10,12,14,16,18,20)+(IF(AND(ArtifactsInput!$M$42,((Inputs!$B$9+((C3029=TRUE)*(F3029-Calc!F19))+B3042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3015*(MIN(100,(Inputs!$B$9+((C3029=TRUE)*(F3029-Calc!F19))+B3042+(ArtifactsInput!$M$24-ArtifactsInput!$M$24)*CHOOSE(ArtifactsInput!$N$24+1,10,12,14,16,18,20)+(IF(AND(ArtifactsInput!$M$42,((Inputs!$B$9+((C3029=TRUE)*(F3029-Calc!F19))+B3042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3015*(1-MIN(100,(Inputs!$B$9+((C3029=TRUE)*(F3029-Calc!F19))+B3042+(ArtifactsInput!$M$24-ArtifactsInput!$M$24)*CHOOSE(ArtifactsInput!$N$24+1,10,12,14,16,18,20)+(IF(AND(ArtifactsInput!$M$42,((Inputs!$B$9+((C3029=TRUE)*(F3029-Calc!F19))+B3042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3015*(MIN(100,(Inputs!$B$9+((C3029=TRUE)*(F3029-Calc!F19))+B3042+(ArtifactsInput!$M$24-ArtifactsInput!$M$24)*CHOOSE(ArtifactsInput!$N$24+1,10,12,14,16,18,20)+(IF(AND(ArtifactsInput!$M$42,((Inputs!$B$9+((C3029=TRUE)*(F3029-Calc!F19))+B3042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015">
        <f>IF(C3015,(H3015*N3015*IF(AND(Inputs!$B$38&lt;&gt;"pvp",Inputs!$B$43&gt;0),((Skills!G5*((R3015-1)*IF(Skills!H5&gt;0,Skills!I5/Skills!H5,1)+IF(Skills!H5&gt;0,MIN(Skills!I5,MAX(0,MAX(0,Inputs!$B$43-B3049)-((R3015-1)*IF(Inputs!$B$38="pvp",15,MAX(0.1,Skills!D5-IF(Skills!E5=TRUE,2.0,0))))))/Skills!H5,1)))/Inputs!$B$43),G3015*Q3015))*IF(Inputs!$B$38="pvp",1,(1+(Inputs!$B$21+Skills!Q5+(IF(ArtifactsInput!$M$33,CHOOSE(ArtifactsInput!$N$33+1,30,36,42,48,54,60),0))+(IF(AND(ArtifactsInput!$M$35,Inputs!$B$4&lt;&gt;"Chapter Hunt"),CHOOSE(ArtifactsInput!$N$35+1,15,18,21,24,27,30)*(1-EXP(-(0.2*B3044)*5)),0)+IF(AND(ArtifactsInput!$M$22,Inputs!$B$4&lt;&gt;"Chapter Hunt"),CHOOSE(ArtifactsInput!$N$22+1,10,12,14,16,18,20)*((0*(((0.15*B3044*5))^0/1)+1*(((0.15*B3044*5))^1/1)+2*(((0.15*B3044*5))^2/2)+3*(((0.15*B3044*5))^3/6)+4*(((0.15*B3044*5))^4/24)+5*(((0.15*B3044*5))^5/120))/((((0.15*B3044*5))^0/1)+(((0.15*B3044*5))^1/1)+(((0.15*B3044*5))^2/2)+(((0.15*B3044*5))^3/6)+(((0.15*B3044*5))^4/24)+(((0.15*B3044*5))^5/120)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016">
      <c r="A3016">
        <f>Skills!A6</f>
        <v/>
      </c>
      <c r="B3016">
        <f>Skills!B6</f>
        <v/>
      </c>
      <c r="C3016">
        <f>Inputs!$B$3&gt;=63</f>
        <v/>
      </c>
      <c r="D3016">
        <f>IF(Skills!C6=1,60+Inputs!$B$25+Inputs!$B$29,IF(Skills!C6=2,90+Inputs!$B$26+Inputs!$B$29,IF(Skills!C6=3,120+Inputs!$B$27+Inputs!$B$29,MAX(0,(Inputs!$B$3-100)*3)+Inputs!$B$28+Inputs!$B$29)))</f>
        <v/>
      </c>
      <c r="E3016">
        <f>INDEX(FactorTable!$B$2:$Y$301, MATCH(ROUND(MIN(300,MAX(1,D3016)),0), FactorTable!$A$2:$A$301,0), Skills!M6+1)</f>
        <v/>
      </c>
      <c r="F3016">
        <f>IF(Skills!N6=TRUE,(Skills!L6/10)*(E3016/1000),Skills!L6/10)+Skills!O6</f>
        <v/>
      </c>
      <c r="G3016">
        <f>Skills!G6*IF(Skills!H6&gt;0,Skills!I6/Skills!H6,1)</f>
        <v/>
      </c>
      <c r="H3016">
        <f>1-(1-Skills!J6/100)^Skills!K6</f>
        <v/>
      </c>
      <c r="I3016" t="inlineStr">
        <is>
          <t>1</t>
        </is>
      </c>
      <c r="J3016">
        <f>((Inputs!$B$6*(1+Inputs!$B$7/100))+(((Inputs!$B$12*(1+Inputs!$B$13/100))-(Inputs!$B$12*(1+Inputs!$B$13/100)))+0.25*(Inputs!$B$14-Inputs!$B$14))*(1+Inputs!$B$7/100))*(F3016/100)</f>
        <v/>
      </c>
      <c r="K3016">
        <f>J3016*(1+((Inputs!$B$12*(1+Inputs!$B$13/100))*0.01+Inputs!$B$14*0.0025)/100)*(1+Inputs!$B$15/100)*(1+Inputs!$B$16/100)*(5000/(6000+Inputs!$B$42*(1-(100*(1-(1-(Inputs!$B$19+0)/100)*(1-CHOOSE(ArtifactsInput!$N$40+1,5,6,7,8,9,10)/100)^(ArtifactsInput!$M$40-ArtifactsInput!$M$40)))/100)))*(1+(Inputs!$B$24+((C3034=TRUE)*(F3034-Calc!F24))+((C3035=TRUE)*(F3035-Calc!F25))+B3048)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3018=TRUE,F3018,0)/100)*(1+(IF(Skills!A6="EMPOWERED_PIERCING_ARROW",Inputs!$B$17+((C3032=TRUE)*(F3032-Calc!F22))+(((IF(AND(ArtifactsInput!$M$42,((Inputs!$B$9+((C3029=TRUE)*(F3029-Calc!F19))+B3042+(ArtifactsInput!$M$24-ArtifactsInput!$M$24)*CHOOSE(ArtifactsInput!$N$24+1,10,12,14,16,18,20)+IF(ArtifactsInput!$M$10,CHOOSE(ArtifactsInput!$N$10+1,15,18,21,24,27,30)*(IF(Inputs!$B$38="pvp",MIN(15,15)/15,IF(AND(Inputs!$B$38&lt;&gt;"pvp",Inputs!$B$43&gt;0),MIN(15,Inputs!$B$43)/(Inputs!$B$43),0))),0)))&gt;=100),MIN(100,((Inputs!$B$9+((C3029=TRUE)*(F3029-Calc!F19))+B3042+(ArtifactsInput!$M$24-ArtifactsInput!$M$24)*CHOOSE(ArtifactsInput!$N$24+1,10,12,14,16,18,20)+IF(ArtifactsInput!$M$10,CHOOSE(ArtifactsInput!$N$10+1,15,18,21,24,27,30)*(IF(Inputs!$B$38="pvp",MIN(15,15)/15,IF(AND(Inputs!$B$38&lt;&gt;"pvp",Inputs!$B$43&gt;0),MIN(15,Inputs!$B$43)/(Inputs!$B$43),0))),0)))-100),0))*CHOOSE(ArtifactsInput!$N$42+1,0.6,0.72,0.84,0.96,1.08,1.2))),Inputs!$B$18+((C3037=TRUE)*(F3037-Calc!F27))+(IF(AND(ArtifactsInput!$M$42,((Inputs!$B$9+((C3029=TRUE)*(F3029-Calc!F19))+B3042+(ArtifactsInput!$M$24-ArtifactsInput!$M$24)*CHOOSE(ArtifactsInput!$N$24+1,10,12,14,16,18,20)+IF(ArtifactsInput!$M$10,CHOOSE(ArtifactsInput!$N$10+1,15,18,21,24,27,30)*(IF(Inputs!$B$38="pvp",MIN(15,15)/15,IF(AND(Inputs!$B$38&lt;&gt;"pvp",Inputs!$B$43&gt;0),MIN(15,Inputs!$B$43)/(Inputs!$B$43),0))),0)))&gt;=100),CHOOSE(ArtifactsInput!$N$42+1,40,48,56,64,72,80),0))))/100)*((1+(((C3023=TRUE)*F3023)+((C3024=TRUE)*IF(Inputs!$B$38="pvp",F3024,(1-Summary!$B$11)*(F3024)+Summary!$B$11*(0)))+((C3025=TRUE)*F3025*IF(AND(Inputs!$B$38&lt;&gt;"pvp",Inputs!$B$43&gt;0),(((R3025-1)*(Skills!T15*(1+Inputs!$B$34/100))+MIN((Skills!T15*(1+Inputs!$B$34/100)),MAX(0,Inputs!$B$43-((R3025-1)*Skills!D15))))/Inputs!$B$43),IF(Inputs!$B$38="pvp",MIN((Skills!T15*(1+Inputs!$B$34/100)),15)/15,(Skills!T15*(1+Inputs!$B$34/100))/Skills!D15)))+((C3022=TRUE)*F3022)+((C3039=TRUE)*(F3039-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3016)</f>
        <v/>
      </c>
      <c r="L3016">
        <f>K3016*(MIN(Inputs!$B$22+((C3033=TRUE)*(F3033-Calc!F23)),(Inputs!$B$23+((C3038=TRUE)*(F3038-Calc!F28))+(IF(ArtifactsInput!$M$15,CHOOSE(ArtifactsInput!$N$15+1,25,30,35,40,45,50)/100*(Inputs!$B$11-Inputs!$B$11),0))))/100+(Inputs!$B$23+((C3038=TRUE)*(F3038-Calc!F28))+(IF(ArtifactsInput!$M$15,CHOOSE(ArtifactsInput!$N$15+1,25,30,35,40,45,50)/100*(Inputs!$B$11-Inputs!$B$11),0)))/100)/2</f>
        <v/>
      </c>
      <c r="M3016">
        <f>L3016*(1+(Inputs!$B$10+0+B3047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016">
        <f>L3016*(1-MIN((Inputs!$B$9+((C3029=TRUE)*(F3029-Calc!F19))+B3042+(ArtifactsInput!$M$24-ArtifactsInput!$M$24)*CHOOSE(ArtifactsInput!$N$24+1,10,12,14,16,18,20)+(IF(AND(ArtifactsInput!$M$42,((Inputs!$B$9+((C3029=TRUE)*(F3029-Calc!F19))+B3042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3016*(MIN((Inputs!$B$9+((C3029=TRUE)*(F3029-Calc!F19))+B3042+(ArtifactsInput!$M$24-ArtifactsInput!$M$24)*CHOOSE(ArtifactsInput!$N$24+1,10,12,14,16,18,20)+(IF(AND(ArtifactsInput!$M$42,((Inputs!$B$9+((C3029=TRUE)*(F3029-Calc!F19))+B3042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016">
        <f>(1-Summary!$B$11)*T3016+Summary!$B$11*V3016</f>
        <v/>
      </c>
      <c r="P3016">
        <f>IF(B3052=0,0,O3016/B3052)</f>
        <v/>
      </c>
      <c r="Q3016">
        <f>IFERROR(1/IF(Inputs!$B$38="pvp",15,MAX(0.1,Skills!D6-IF(Skills!E6=TRUE,2.0,0))),0)</f>
        <v/>
      </c>
      <c r="R3016">
        <f>IF(AND(Inputs!$B$38&lt;&gt;"pvp",Inputs!$B$43&gt;0),IF(MAX(0,Inputs!$B$43-B3049)&lt;=0,0,(INT(MAX(0,Inputs!$B$43-B3049)/IF(Inputs!$B$38="pvp",15,MAX(0.1,Skills!D6-IF(Skills!E6=TRUE,2.0,0))))+1)),0)</f>
        <v/>
      </c>
      <c r="S3016">
        <f>IFERROR((H3016*N3016*IF(AND(Inputs!$B$38&lt;&gt;"pvp",Inputs!$B$43&gt;0),((Skills!G6*((R3016-1)*IF(Skills!H6&gt;0,Skills!I6/Skills!H6,1)+IF(Skills!H6&gt;0,MIN(Skills!I6,MAX(0,MAX(0,Inputs!$B$43-B3049)-((R3016-1)*IF(Inputs!$B$38="pvp",15,MAX(0.1,Skills!D6-IF(Skills!E6=TRUE,2.0,0))))))/Skills!H6,1)))/Inputs!$B$43),G3016*Q3016))/N3016*IF(Inputs!$B$38="pvp",1,(1-Summary!$B$11)*1+Summary!$B$11*(MIN(Skills!R6,Inputs!$B$37))),0)</f>
        <v/>
      </c>
      <c r="T3016">
        <f>IF(C3016,(H3016*N3016*IF(AND(Inputs!$B$38&lt;&gt;"pvp",Inputs!$B$43&gt;0),((Skills!G6*((R3016-1)*IF(Skills!H6&gt;0,Skills!I6/Skills!H6,1)+IF(Skills!H6&gt;0,MIN(Skills!I6,MAX(0,MAX(0,Inputs!$B$43-B3049)-((R3016-1)*IF(Inputs!$B$38="pvp",15,MAX(0.1,Skills!D6-IF(Skills!E6=TRUE,2.0,0))))))/Skills!H6,1)))/Inputs!$B$43),G3016*Q3016))*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Hunt"),CHOOSE(ArtifactsInput!$N$35+1,15,18,21,24,27,30)*(1-EXP(-(0.2*B3044)*5)),0)+IF(AND(ArtifactsInput!$M$22,Inputs!$B$4&lt;&gt;"Chapter Hunt"),CHOOSE(ArtifactsInput!$N$22+1,10,12,14,16,18,20)*((0*(((0.15*B3044*5))^0/1)+1*(((0.15*B3044*5))^1/1)+2*(((0.15*B3044*5))^2/2)+3*(((0.15*B3044*5))^3/6)+4*(((0.15*B3044*5))^4/24)+5*(((0.15*B3044*5))^5/120))/((((0.15*B3044*5))^0/1)+(((0.15*B3044*5))^1/1)+(((0.15*B3044*5))^2/2)+(((0.15*B3044*5))^3/6)+(((0.15*B3044*5))^4/24)+(((0.15*B3044*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3016*(1-MIN(100,(Inputs!$B$9+((C3029=TRUE)*(F3029-Calc!F19))+B3042+(ArtifactsInput!$M$24-ArtifactsInput!$M$24)*CHOOSE(ArtifactsInput!$N$24+1,10,12,14,16,18,20)+(IF(AND(ArtifactsInput!$M$42,((Inputs!$B$9+((C3029=TRUE)*(F3029-Calc!F19))+B3042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3016*(MIN(100,(Inputs!$B$9+((C3029=TRUE)*(F3029-Calc!F19))+B3042+(ArtifactsInput!$M$24-ArtifactsInput!$M$24)*CHOOSE(ArtifactsInput!$N$24+1,10,12,14,16,18,20)+(IF(AND(ArtifactsInput!$M$42,((Inputs!$B$9+((C3029=TRUE)*(F3029-Calc!F19))+B3042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3016*(1-MIN(100,(Inputs!$B$9+((C3029=TRUE)*(F3029-Calc!F19))+B3042+(ArtifactsInput!$M$24-ArtifactsInput!$M$24)*CHOOSE(ArtifactsInput!$N$24+1,10,12,14,16,18,20)+(IF(AND(ArtifactsInput!$M$42,((Inputs!$B$9+((C3029=TRUE)*(F3029-Calc!F19))+B3042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3016*(MIN(100,(Inputs!$B$9+((C3029=TRUE)*(F3029-Calc!F19))+B3042+(ArtifactsInput!$M$24-ArtifactsInput!$M$24)*CHOOSE(ArtifactsInput!$N$24+1,10,12,14,16,18,20)+(IF(AND(ArtifactsInput!$M$42,((Inputs!$B$9+((C3029=TRUE)*(F3029-Calc!F19))+B3042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016">
        <f>IF(C3016,(H3016*N3016*IF(AND(Inputs!$B$38&lt;&gt;"pvp",Inputs!$B$43&gt;0),((Skills!G6*((R3016-1)*IF(Skills!H6&gt;0,Skills!I6/Skills!H6,1)+IF(Skills!H6&gt;0,MIN(Skills!I6,MAX(0,MAX(0,Inputs!$B$43-B3049)-((R3016-1)*IF(Inputs!$B$38="pvp",15,MAX(0.1,Skills!D6-IF(Skills!E6=TRUE,2.0,0))))))/Skills!H6,1)))/Inputs!$B$43),G3016*Q3016))*IF(Inputs!$B$38="pvp",1,(1+(Inputs!$B$21+Skills!Q6+(IF(ArtifactsInput!$M$33,CHOOSE(ArtifactsInput!$N$33+1,30,36,42,48,54,60),0))+(IF(AND(ArtifactsInput!$M$35,Inputs!$B$4&lt;&gt;"Chapter Hunt"),CHOOSE(ArtifactsInput!$N$35+1,15,18,21,24,27,30)*(1-EXP(-(0.2*B3044)*5)),0)+IF(AND(ArtifactsInput!$M$22,Inputs!$B$4&lt;&gt;"Chapter Hunt"),CHOOSE(ArtifactsInput!$N$22+1,10,12,14,16,18,20)*((0*(((0.15*B3044*5))^0/1)+1*(((0.15*B3044*5))^1/1)+2*(((0.15*B3044*5))^2/2)+3*(((0.15*B3044*5))^3/6)+4*(((0.15*B3044*5))^4/24)+5*(((0.15*B3044*5))^5/120))/((((0.15*B3044*5))^0/1)+(((0.15*B3044*5))^1/1)+(((0.15*B3044*5))^2/2)+(((0.15*B3044*5))^3/6)+(((0.15*B3044*5))^4/24)+(((0.15*B3044*5))^5/120))),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017">
      <c r="A3017">
        <f>Skills!A7</f>
        <v/>
      </c>
      <c r="B3017">
        <f>Skills!B7</f>
        <v/>
      </c>
      <c r="C3017">
        <f>Inputs!$B$3&gt;=69</f>
        <v/>
      </c>
      <c r="D3017">
        <f>IF(Skills!C7=1,60+Inputs!$B$25+Inputs!$B$29,IF(Skills!C7=2,90+Inputs!$B$26+Inputs!$B$29,IF(Skills!C7=3,120+Inputs!$B$27+Inputs!$B$29,MAX(0,(Inputs!$B$3-100)*3)+Inputs!$B$28+Inputs!$B$29)))</f>
        <v/>
      </c>
      <c r="E3017">
        <f>INDEX(FactorTable!$B$2:$Y$301, MATCH(ROUND(MIN(300,MAX(1,D3017)),0), FactorTable!$A$2:$A$301,0), Skills!M7+1)</f>
        <v/>
      </c>
      <c r="F3017">
        <f>IF(Skills!N7=TRUE,(Skills!L7/10)*(E3017/1000),Skills!L7/10)+Skills!O7</f>
        <v/>
      </c>
      <c r="G3017">
        <f>Skills!G7*IF(Skills!H7&gt;0,Skills!I7/Skills!H7,1)</f>
        <v/>
      </c>
      <c r="H3017">
        <f>1-(1-Skills!J7/100)^Skills!K7</f>
        <v/>
      </c>
      <c r="I3017" t="inlineStr">
        <is>
          <t>1</t>
        </is>
      </c>
      <c r="J3017">
        <f>((Inputs!$B$6*(1+Inputs!$B$7/100))+(((Inputs!$B$12*(1+Inputs!$B$13/100))-(Inputs!$B$12*(1+Inputs!$B$13/100)))+0.25*(Inputs!$B$14-Inputs!$B$14))*(1+Inputs!$B$7/100))*(F3017/100)</f>
        <v/>
      </c>
      <c r="K3017">
        <f>J3017*(1+((Inputs!$B$12*(1+Inputs!$B$13/100))*0.01+Inputs!$B$14*0.0025)/100)*(1+Inputs!$B$15/100)*(1+Inputs!$B$16/100)*(5000/(6000+Inputs!$B$42*(1-(100*(1-(1-(Inputs!$B$19+0)/100)*(1-CHOOSE(ArtifactsInput!$N$40+1,5,6,7,8,9,10)/100)^(ArtifactsInput!$M$40-ArtifactsInput!$M$40)))/100)))*(1+(Inputs!$B$24+((C3034=TRUE)*(F3034-Calc!F24))+((C3035=TRUE)*(F3035-Calc!F25))+B3048)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+1.2*IF(C3018=TRUE,F3018,0)/100)*(1+(IF(Skills!A7="EMPOWERED_PIERCING_ARROW",Inputs!$B$17+((C3032=TRUE)*(F3032-Calc!F22))+(((IF(AND(ArtifactsInput!$M$42,((Inputs!$B$9+((C3029=TRUE)*(F3029-Calc!F19))+B3042+(ArtifactsInput!$M$24-ArtifactsInput!$M$24)*CHOOSE(ArtifactsInput!$N$24+1,10,12,14,16,18,20)+IF(ArtifactsInput!$M$10,CHOOSE(ArtifactsInput!$N$10+1,15,18,21,24,27,30)*(IF(Inputs!$B$38="pvp",MIN(15,15)/15,IF(AND(Inputs!$B$38&lt;&gt;"pvp",Inputs!$B$43&gt;0),MIN(15,Inputs!$B$43)/(Inputs!$B$43),0))),0)))&gt;=100),MIN(100,((Inputs!$B$9+((C3029=TRUE)*(F3029-Calc!F19))+B3042+(ArtifactsInput!$M$24-ArtifactsInput!$M$24)*CHOOSE(ArtifactsInput!$N$24+1,10,12,14,16,18,20)+IF(ArtifactsInput!$M$10,CHOOSE(ArtifactsInput!$N$10+1,15,18,21,24,27,30)*(IF(Inputs!$B$38="pvp",MIN(15,15)/15,IF(AND(Inputs!$B$38&lt;&gt;"pvp",Inputs!$B$43&gt;0),MIN(15,Inputs!$B$43)/(Inputs!$B$43),0))),0)))-100),0))*CHOOSE(ArtifactsInput!$N$42+1,0.6,0.72,0.84,0.96,1.08,1.2))),Inputs!$B$18+((C3037=TRUE)*(F3037-Calc!F27))+(IF(AND(ArtifactsInput!$M$42,((Inputs!$B$9+((C3029=TRUE)*(F3029-Calc!F19))+B3042+(ArtifactsInput!$M$24-ArtifactsInput!$M$24)*CHOOSE(ArtifactsInput!$N$24+1,10,12,14,16,18,20)+IF(ArtifactsInput!$M$10,CHOOSE(ArtifactsInput!$N$10+1,15,18,21,24,27,30)*(IF(Inputs!$B$38="pvp",MIN(15,15)/15,IF(AND(Inputs!$B$38&lt;&gt;"pvp",Inputs!$B$43&gt;0),MIN(15,Inputs!$B$43)/(Inputs!$B$43),0))),0)))&gt;=100),CHOOSE(ArtifactsInput!$N$42+1,40,48,56,64,72,80),0))))/100)*((1+(((C3023=TRUE)*F3023)+((C3024=TRUE)*IF(Inputs!$B$38="pvp",F3024,(1-Summary!$B$11)*(F3024)+Summary!$B$11*(0)))+((C3025=TRUE)*F3025*IF(AND(Inputs!$B$38&lt;&gt;"pvp",Inputs!$B$43&gt;0),(((R3025-1)*(Skills!T15*(1+Inputs!$B$34/100))+MIN((Skills!T15*(1+Inputs!$B$34/100)),MAX(0,Inputs!$B$43-((R3025-1)*Skills!D15))))/Inputs!$B$43),IF(Inputs!$B$38="pvp",MIN((Skills!T15*(1+Inputs!$B$34/100)),15)/15,(Skills!T15*(1+Inputs!$B$34/100))/Skills!D15)))+((C3022=TRUE)*F3022)+((C3039=TRUE)*(F3039-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3017)</f>
        <v/>
      </c>
      <c r="L3017">
        <f>K3017*(MIN(Inputs!$B$22+((C3033=TRUE)*(F3033-Calc!F23)),(Inputs!$B$23+((C3038=TRUE)*(F3038-Calc!F28))+(IF(ArtifactsInput!$M$15,CHOOSE(ArtifactsInput!$N$15+1,25,30,35,40,45,50)/100*(Inputs!$B$11-Inputs!$B$11),0))))/100+(Inputs!$B$23+((C3038=TRUE)*(F3038-Calc!F28))+(IF(ArtifactsInput!$M$15,CHOOSE(ArtifactsInput!$N$15+1,25,30,35,40,45,50)/100*(Inputs!$B$11-Inputs!$B$11),0)))/100)/2</f>
        <v/>
      </c>
      <c r="M3017">
        <f>L3017*(1+(Inputs!$B$10+0+B3047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017">
        <f>L3017*(1-MIN((Inputs!$B$9+((C3029=TRUE)*(F3029-Calc!F19))+B3042+(ArtifactsInput!$M$24-ArtifactsInput!$M$24)*CHOOSE(ArtifactsInput!$N$24+1,10,12,14,16,18,20)+(IF(AND(ArtifactsInput!$M$42,((Inputs!$B$9+((C3029=TRUE)*(F3029-Calc!F19))+B3042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3017*(MIN((Inputs!$B$9+((C3029=TRUE)*(F3029-Calc!F19))+B3042+(ArtifactsInput!$M$24-ArtifactsInput!$M$24)*CHOOSE(ArtifactsInput!$N$24+1,10,12,14,16,18,20)+(IF(AND(ArtifactsInput!$M$42,((Inputs!$B$9+((C3029=TRUE)*(F3029-Calc!F19))+B3042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017">
        <f>(1-Summary!$B$11)*T3017+Summary!$B$11*V3017</f>
        <v/>
      </c>
      <c r="P3017">
        <f>IF(B3052=0,0,O3017/B3052)</f>
        <v/>
      </c>
      <c r="Q3017">
        <f>IFERROR(1/IF(Inputs!$B$38="pvp",15,MAX(0.1,Skills!D7-IF(Skills!E7=TRUE,2.0,0))),0)</f>
        <v/>
      </c>
      <c r="R3017">
        <f>IF(AND(Inputs!$B$38&lt;&gt;"pvp",Inputs!$B$43&gt;0),IF(MAX(0,Inputs!$B$43-B3049)&lt;=0,0,(INT(MAX(0,Inputs!$B$43-B3049)/IF(Inputs!$B$38="pvp",15,MAX(0.1,Skills!D7-IF(Skills!E7=TRUE,2.0,0))))+1)),0)</f>
        <v/>
      </c>
      <c r="S3017">
        <f>IFERROR((H3017*N3017*IF(AND(Inputs!$B$38&lt;&gt;"pvp",Inputs!$B$43&gt;0),((Skills!G7*((R3017-1)*IF(Skills!H7&gt;0,Skills!I7/Skills!H7,1)+IF(Skills!H7&gt;0,MIN(Skills!I7,MAX(0,MAX(0,Inputs!$B$43-B3049)-((R3017-1)*IF(Inputs!$B$38="pvp",15,MAX(0.1,Skills!D7-IF(Skills!E7=TRUE,2.0,0))))))/Skills!H7,1)))/Inputs!$B$43),G3017*Q3017))/N3017*IF(Inputs!$B$38="pvp",1,(1-Summary!$B$11)*1+Summary!$B$11*(MIN(Skills!R7,Inputs!$B$37))),0)</f>
        <v/>
      </c>
      <c r="T3017">
        <f>IF(C3017,(H3017*N3017*IF(AND(Inputs!$B$38&lt;&gt;"pvp",Inputs!$B$43&gt;0),((Skills!G7*((R3017-1)*IF(Skills!H7&gt;0,Skills!I7/Skills!H7,1)+IF(Skills!H7&gt;0,MIN(Skills!I7,MAX(0,MAX(0,Inputs!$B$43-B3049)-((R3017-1)*IF(Inputs!$B$38="pvp",15,MAX(0.1,Skills!D7-IF(Skills!E7=TRUE,2.0,0))))))/Skills!H7,1)))/Inputs!$B$43),G3017*Q3017))*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Hunt"),CHOOSE(ArtifactsInput!$N$35+1,15,18,21,24,27,30)*(1-EXP(-(0.2*B3044)*5)),0)+IF(AND(ArtifactsInput!$M$22,Inputs!$B$4&lt;&gt;"Chapter Hunt"),CHOOSE(ArtifactsInput!$N$22+1,10,12,14,16,18,20)*((0*(((0.15*B3044*5))^0/1)+1*(((0.15*B3044*5))^1/1)+2*(((0.15*B3044*5))^2/2)+3*(((0.15*B3044*5))^3/6)+4*(((0.15*B3044*5))^4/24)+5*(((0.15*B3044*5))^5/120))/((((0.15*B3044*5))^0/1)+(((0.15*B3044*5))^1/1)+(((0.15*B3044*5))^2/2)+(((0.15*B3044*5))^3/6)+(((0.15*B3044*5))^4/24)+(((0.15*B3044*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3017*(1-MIN(100,(Inputs!$B$9+((C3029=TRUE)*(F3029-Calc!F19))+B3042+(ArtifactsInput!$M$24-ArtifactsInput!$M$24)*CHOOSE(ArtifactsInput!$N$24+1,10,12,14,16,18,20)+(IF(AND(ArtifactsInput!$M$42,((Inputs!$B$9+((C3029=TRUE)*(F3029-Calc!F19))+B3042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3017*(MIN(100,(Inputs!$B$9+((C3029=TRUE)*(F3029-Calc!F19))+B3042+(ArtifactsInput!$M$24-ArtifactsInput!$M$24)*CHOOSE(ArtifactsInput!$N$24+1,10,12,14,16,18,20)+(IF(AND(ArtifactsInput!$M$42,((Inputs!$B$9+((C3029=TRUE)*(F3029-Calc!F19))+B3042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3017*(1-MIN(100,(Inputs!$B$9+((C3029=TRUE)*(F3029-Calc!F19))+B3042+(ArtifactsInput!$M$24-ArtifactsInput!$M$24)*CHOOSE(ArtifactsInput!$N$24+1,10,12,14,16,18,20)+(IF(AND(ArtifactsInput!$M$42,((Inputs!$B$9+((C3029=TRUE)*(F3029-Calc!F19))+B3042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3017*(MIN(100,(Inputs!$B$9+((C3029=TRUE)*(F3029-Calc!F19))+B3042+(ArtifactsInput!$M$24-ArtifactsInput!$M$24)*CHOOSE(ArtifactsInput!$N$24+1,10,12,14,16,18,20)+(IF(AND(ArtifactsInput!$M$42,((Inputs!$B$9+((C3029=TRUE)*(F3029-Calc!F19))+B3042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017">
        <f>IF(C3017,(H3017*N3017*IF(AND(Inputs!$B$38&lt;&gt;"pvp",Inputs!$B$43&gt;0),((Skills!G7*((R3017-1)*IF(Skills!H7&gt;0,Skills!I7/Skills!H7,1)+IF(Skills!H7&gt;0,MIN(Skills!I7,MAX(0,MAX(0,Inputs!$B$43-B3049)-((R3017-1)*IF(Inputs!$B$38="pvp",15,MAX(0.1,Skills!D7-IF(Skills!E7=TRUE,2.0,0))))))/Skills!H7,1)))/Inputs!$B$43),G3017*Q3017))*IF(Inputs!$B$38="pvp",1,(1+(Inputs!$B$21+Skills!Q7+(IF(ArtifactsInput!$M$33,CHOOSE(ArtifactsInput!$N$33+1,30,36,42,48,54,60),0))+(IF(AND(ArtifactsInput!$M$35,Inputs!$B$4&lt;&gt;"Chapter Hunt"),CHOOSE(ArtifactsInput!$N$35+1,15,18,21,24,27,30)*(1-EXP(-(0.2*B3044)*5)),0)+IF(AND(ArtifactsInput!$M$22,Inputs!$B$4&lt;&gt;"Chapter Hunt"),CHOOSE(ArtifactsInput!$N$22+1,10,12,14,16,18,20)*((0*(((0.15*B3044*5))^0/1)+1*(((0.15*B3044*5))^1/1)+2*(((0.15*B3044*5))^2/2)+3*(((0.15*B3044*5))^3/6)+4*(((0.15*B3044*5))^4/24)+5*(((0.15*B3044*5))^5/120))/((((0.15*B3044*5))^0/1)+(((0.15*B3044*5))^1/1)+(((0.15*B3044*5))^2/2)+(((0.15*B3044*5))^3/6)+(((0.15*B3044*5))^4/24)+(((0.15*B3044*5))^5/120))),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018">
      <c r="A3018">
        <f>Skills!A8</f>
        <v/>
      </c>
      <c r="B3018">
        <f>Skills!B8</f>
        <v/>
      </c>
      <c r="C3018">
        <f>Inputs!$B$3&gt;=100</f>
        <v/>
      </c>
      <c r="D3018">
        <f>IF(Skills!C8=1,60+Inputs!$B$25+Inputs!$B$29,IF(Skills!C8=2,90+Inputs!$B$26+Inputs!$B$29,IF(Skills!C8=3,120+Inputs!$B$27+Inputs!$B$29,MAX(0,(Inputs!$B$3-100)*3)+Inputs!$B$28+Inputs!$B$29)))</f>
        <v/>
      </c>
      <c r="E3018">
        <f>INDEX(FactorTable!$B$2:$Y$301, MATCH(ROUND(MIN(300,MAX(1,D3018)),0), FactorTable!$A$2:$A$301,0), Skills!M8+1)</f>
        <v/>
      </c>
      <c r="F3018">
        <f>IF(Skills!N8=TRUE,(Skills!L8/10)*(E3018/1000),Skills!L8/10)+Skills!O8</f>
        <v/>
      </c>
      <c r="G3018" t="inlineStr"/>
      <c r="H3018" t="inlineStr"/>
      <c r="I3018" t="inlineStr">
        <is>
          <t>1</t>
        </is>
      </c>
      <c r="J3018" t="inlineStr"/>
      <c r="K3018" t="inlineStr"/>
      <c r="L3018" t="inlineStr"/>
      <c r="M3018" t="inlineStr"/>
      <c r="N3018" t="inlineStr"/>
      <c r="O3018" t="inlineStr"/>
      <c r="P3018" t="inlineStr"/>
      <c r="Q3018" t="inlineStr"/>
      <c r="R3018" t="inlineStr"/>
      <c r="S3018" t="inlineStr"/>
      <c r="T3018" t="inlineStr"/>
      <c r="V3018" t="inlineStr"/>
    </row>
    <row r="3019">
      <c r="A3019">
        <f>Skills!A9</f>
        <v/>
      </c>
      <c r="B3019">
        <f>Skills!B9</f>
        <v/>
      </c>
      <c r="C3019">
        <f>Inputs!$B$3&gt;=103</f>
        <v/>
      </c>
      <c r="D3019">
        <f>IF(Skills!C9=1,60+Inputs!$B$25+Inputs!$B$29,IF(Skills!C9=2,90+Inputs!$B$26+Inputs!$B$29,IF(Skills!C9=3,120+Inputs!$B$27+Inputs!$B$29,MAX(0,(Inputs!$B$3-100)*3)+Inputs!$B$28+Inputs!$B$29)))</f>
        <v/>
      </c>
      <c r="E3019">
        <f>INDEX(FactorTable!$B$2:$Y$301, MATCH(ROUND(MIN(300,MAX(1,D3019)),0), FactorTable!$A$2:$A$301,0), Skills!M9+1)</f>
        <v/>
      </c>
      <c r="F3019">
        <f>IF(Skills!N9=TRUE,(Skills!L9/10)*(E3019/1000),Skills!L9/10)+Skills!O9</f>
        <v/>
      </c>
      <c r="G3019">
        <f>Skills!G9*IF(Skills!H9&gt;0,Skills!I9/Skills!H9,1)</f>
        <v/>
      </c>
      <c r="H3019">
        <f>1-(1-Skills!J9/100)^Skills!K9</f>
        <v/>
      </c>
      <c r="I3019" t="inlineStr">
        <is>
          <t>1</t>
        </is>
      </c>
      <c r="J3019">
        <f>((Inputs!$B$6*(1+Inputs!$B$7/100))+(((Inputs!$B$12*(1+Inputs!$B$13/100))-(Inputs!$B$12*(1+Inputs!$B$13/100)))+0.25*(Inputs!$B$14-Inputs!$B$14))*(1+Inputs!$B$7/100))*(F3019/100)</f>
        <v/>
      </c>
      <c r="K3019">
        <f>J3019*(1+((Inputs!$B$12*(1+Inputs!$B$13/100))*0.01+Inputs!$B$14*0.0025)/100)*(1+Inputs!$B$15/100)*(1+Inputs!$B$16/100)*(5000/(6000+Inputs!$B$42*(1-(100*(1-(1-(Inputs!$B$19+0)/100)*(1-CHOOSE(ArtifactsInput!$N$40+1,5,6,7,8,9,10)/100)^(ArtifactsInput!$M$40-ArtifactsInput!$M$40)))/100)))*(1+(Inputs!$B$24+((C3034=TRUE)*(F3034-Calc!F24))+((C3035=TRUE)*(F3035-Calc!F25))+B3048)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EMPOWERED_PIERCING_ARROW",Inputs!$B$17+((C3032=TRUE)*(F3032-Calc!F22))+(((IF(AND(ArtifactsInput!$M$42,((Inputs!$B$9+((C3029=TRUE)*(F3029-Calc!F19))+B3042+(ArtifactsInput!$M$24-ArtifactsInput!$M$24)*CHOOSE(ArtifactsInput!$N$24+1,10,12,14,16,18,20)+IF(ArtifactsInput!$M$10,CHOOSE(ArtifactsInput!$N$10+1,15,18,21,24,27,30)*(IF(Inputs!$B$38="pvp",MIN(15,15)/15,IF(AND(Inputs!$B$38&lt;&gt;"pvp",Inputs!$B$43&gt;0),MIN(15,Inputs!$B$43)/(Inputs!$B$43),0))),0)))&gt;=100),MIN(100,((Inputs!$B$9+((C3029=TRUE)*(F3029-Calc!F19))+B3042+(ArtifactsInput!$M$24-ArtifactsInput!$M$24)*CHOOSE(ArtifactsInput!$N$24+1,10,12,14,16,18,20)+IF(ArtifactsInput!$M$10,CHOOSE(ArtifactsInput!$N$10+1,15,18,21,24,27,30)*(IF(Inputs!$B$38="pvp",MIN(15,15)/15,IF(AND(Inputs!$B$38&lt;&gt;"pvp",Inputs!$B$43&gt;0),MIN(15,Inputs!$B$43)/(Inputs!$B$43),0))),0)))-100),0))*CHOOSE(ArtifactsInput!$N$42+1,0.6,0.72,0.84,0.96,1.08,1.2))),Inputs!$B$18+((C3037=TRUE)*(F3037-Calc!F27))+(IF(AND(ArtifactsInput!$M$42,((Inputs!$B$9+((C3029=TRUE)*(F3029-Calc!F19))+B3042+(ArtifactsInput!$M$24-ArtifactsInput!$M$24)*CHOOSE(ArtifactsInput!$N$24+1,10,12,14,16,18,20)+IF(ArtifactsInput!$M$10,CHOOSE(ArtifactsInput!$N$10+1,15,18,21,24,27,30)*(IF(Inputs!$B$38="pvp",MIN(15,15)/15,IF(AND(Inputs!$B$38&lt;&gt;"pvp",Inputs!$B$43&gt;0),MIN(15,Inputs!$B$43)/(Inputs!$B$43),0))),0)))&gt;=100),CHOOSE(ArtifactsInput!$N$42+1,40,48,56,64,72,80),0))))/100)*((1+(((C3023=TRUE)*F3023)+((C3024=TRUE)*IF(Inputs!$B$38="pvp",F3024,(1-Summary!$B$11)*(F3024)+Summary!$B$11*(0)))+((C3025=TRUE)*F3025*IF(AND(Inputs!$B$38&lt;&gt;"pvp",Inputs!$B$43&gt;0),(((R3025-1)*(Skills!T15*(1+Inputs!$B$34/100))+MIN((Skills!T15*(1+Inputs!$B$34/100)),MAX(0,Inputs!$B$43-((R3025-1)*Skills!D15))))/Inputs!$B$43),IF(Inputs!$B$38="pvp",MIN((Skills!T15*(1+Inputs!$B$34/100)),15)/15,(Skills!T15*(1+Inputs!$B$34/100))/Skills!D15)))+((C3022=TRUE)*F3022)+((C3039=TRUE)*(F3039-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3019)</f>
        <v/>
      </c>
      <c r="L3019">
        <f>K3019*(MIN(Inputs!$B$22+((C3033=TRUE)*(F3033-Calc!F23)),(Inputs!$B$23+((C3038=TRUE)*(F3038-Calc!F28))+(IF(ArtifactsInput!$M$15,CHOOSE(ArtifactsInput!$N$15+1,25,30,35,40,45,50)/100*(Inputs!$B$11-Inputs!$B$11),0))))/100+(Inputs!$B$23+((C3038=TRUE)*(F3038-Calc!F28))+(IF(ArtifactsInput!$M$15,CHOOSE(ArtifactsInput!$N$15+1,25,30,35,40,45,50)/100*(Inputs!$B$11-Inputs!$B$11),0)))/100)/2</f>
        <v/>
      </c>
      <c r="M3019">
        <f>L3019*(1+(Inputs!$B$10+0+B3047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019">
        <f>L3019*(1-MIN((Inputs!$B$9+((C3029=TRUE)*(F3029-Calc!F19))+B3042+(ArtifactsInput!$M$24-ArtifactsInput!$M$24)*CHOOSE(ArtifactsInput!$N$24+1,10,12,14,16,18,20)+(IF(AND(ArtifactsInput!$M$42,((Inputs!$B$9+((C3029=TRUE)*(F3029-Calc!F19))+B3042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3019*(MIN((Inputs!$B$9+((C3029=TRUE)*(F3029-Calc!F19))+B3042+(ArtifactsInput!$M$24-ArtifactsInput!$M$24)*CHOOSE(ArtifactsInput!$N$24+1,10,12,14,16,18,20)+(IF(AND(ArtifactsInput!$M$42,((Inputs!$B$9+((C3029=TRUE)*(F3029-Calc!F19))+B3042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019">
        <f>(1-Summary!$B$11)*T3019+Summary!$B$11*V3019</f>
        <v/>
      </c>
      <c r="P3019">
        <f>IF(B3052=0,0,O3019/B3052)</f>
        <v/>
      </c>
      <c r="Q3019">
        <f>IFERROR(1/IF(Inputs!$B$38="pvp",15,MAX(0.1,Skills!D9-IF(Skills!E9=TRUE,2.0,0))),0)</f>
        <v/>
      </c>
      <c r="R3019">
        <f>IF(AND(Inputs!$B$38&lt;&gt;"pvp",Inputs!$B$43&gt;0),IF(MAX(0,Inputs!$B$43-B3049)&lt;=0,0,(INT(MAX(0,Inputs!$B$43-B3049)/IF(Inputs!$B$38="pvp",15,MAX(0.1,Skills!D9-IF(Skills!E9=TRUE,2.0,0))))+1)),0)</f>
        <v/>
      </c>
      <c r="S3019">
        <f>IFERROR((H3019*N3019*IF(AND(Inputs!$B$38&lt;&gt;"pvp",Inputs!$B$43&gt;0),((Skills!G9*((R3019-1)*IF(Skills!H9&gt;0,Skills!I9/Skills!H9,1)+IF(Skills!H9&gt;0,MIN(Skills!I9,MAX(0,MAX(0,Inputs!$B$43-B3049)-((R3019-1)*IF(Inputs!$B$38="pvp",15,MAX(0.1,Skills!D9-IF(Skills!E9=TRUE,2.0,0))))))/Skills!H9,1)))/Inputs!$B$43),G3019*Q3019))/N3019*IF(Inputs!$B$38="pvp",1,(1-Summary!$B$11)*1+Summary!$B$11*(MIN(Skills!R9,Inputs!$B$37))),0)</f>
        <v/>
      </c>
      <c r="T3019">
        <f>IF(C3019,(H3019*N3019*IF(AND(Inputs!$B$38&lt;&gt;"pvp",Inputs!$B$43&gt;0),((Skills!G9*((R3019-1)*IF(Skills!H9&gt;0,Skills!I9/Skills!H9,1)+IF(Skills!H9&gt;0,MIN(Skills!I9,MAX(0,MAX(0,Inputs!$B$43-B3049)-((R3019-1)*IF(Inputs!$B$38="pvp",15,MAX(0.1,Skills!D9-IF(Skills!E9=TRUE,2.0,0))))))/Skills!H9,1)))/Inputs!$B$43),G3019*Q3019))*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Hunt"),CHOOSE(ArtifactsInput!$N$35+1,15,18,21,24,27,30)*(1-EXP(-(0.2*B3044)*5)),0)+IF(AND(ArtifactsInput!$M$22,Inputs!$B$4&lt;&gt;"Chapter Hunt"),CHOOSE(ArtifactsInput!$N$22+1,10,12,14,16,18,20)*((0*(((0.15*B3044*5))^0/1)+1*(((0.15*B3044*5))^1/1)+2*(((0.15*B3044*5))^2/2)+3*(((0.15*B3044*5))^3/6)+4*(((0.15*B3044*5))^4/24)+5*(((0.15*B3044*5))^5/120))/((((0.15*B3044*5))^0/1)+(((0.15*B3044*5))^1/1)+(((0.15*B3044*5))^2/2)+(((0.15*B3044*5))^3/6)+(((0.15*B3044*5))^4/24)+(((0.15*B3044*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3019*(1-MIN(100,(Inputs!$B$9+((C3029=TRUE)*(F3029-Calc!F19))+B3042+(ArtifactsInput!$M$24-ArtifactsInput!$M$24)*CHOOSE(ArtifactsInput!$N$24+1,10,12,14,16,18,20)+(IF(AND(ArtifactsInput!$M$42,((Inputs!$B$9+((C3029=TRUE)*(F3029-Calc!F19))+B3042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3019*(MIN(100,(Inputs!$B$9+((C3029=TRUE)*(F3029-Calc!F19))+B3042+(ArtifactsInput!$M$24-ArtifactsInput!$M$24)*CHOOSE(ArtifactsInput!$N$24+1,10,12,14,16,18,20)+(IF(AND(ArtifactsInput!$M$42,((Inputs!$B$9+((C3029=TRUE)*(F3029-Calc!F19))+B3042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3019*(1-MIN(100,(Inputs!$B$9+((C3029=TRUE)*(F3029-Calc!F19))+B3042+(ArtifactsInput!$M$24-ArtifactsInput!$M$24)*CHOOSE(ArtifactsInput!$N$24+1,10,12,14,16,18,20)+(IF(AND(ArtifactsInput!$M$42,((Inputs!$B$9+((C3029=TRUE)*(F3029-Calc!F19))+B3042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3019*(MIN(100,(Inputs!$B$9+((C3029=TRUE)*(F3029-Calc!F19))+B3042+(ArtifactsInput!$M$24-ArtifactsInput!$M$24)*CHOOSE(ArtifactsInput!$N$24+1,10,12,14,16,18,20)+(IF(AND(ArtifactsInput!$M$42,((Inputs!$B$9+((C3029=TRUE)*(F3029-Calc!F19))+B3042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019">
        <f>IF(C3019,(H3019*N3019*IF(AND(Inputs!$B$38&lt;&gt;"pvp",Inputs!$B$43&gt;0),((Skills!G9*((R3019-1)*IF(Skills!H9&gt;0,Skills!I9/Skills!H9,1)+IF(Skills!H9&gt;0,MIN(Skills!I9,MAX(0,MAX(0,Inputs!$B$43-B3049)-((R3019-1)*IF(Inputs!$B$38="pvp",15,MAX(0.1,Skills!D9-IF(Skills!E9=TRUE,2.0,0))))))/Skills!H9,1)))/Inputs!$B$43),G3019*Q3019))*IF(Inputs!$B$38="pvp",1,(1+(Inputs!$B$21+Skills!Q9+(IF(ArtifactsInput!$M$33,CHOOSE(ArtifactsInput!$N$33+1,30,36,42,48,54,60),0))+(IF(AND(ArtifactsInput!$M$35,Inputs!$B$4&lt;&gt;"Chapter Hunt"),CHOOSE(ArtifactsInput!$N$35+1,15,18,21,24,27,30)*(1-EXP(-(0.2*B3044)*5)),0)+IF(AND(ArtifactsInput!$M$22,Inputs!$B$4&lt;&gt;"Chapter Hunt"),CHOOSE(ArtifactsInput!$N$22+1,10,12,14,16,18,20)*((0*(((0.15*B3044*5))^0/1)+1*(((0.15*B3044*5))^1/1)+2*(((0.15*B3044*5))^2/2)+3*(((0.15*B3044*5))^3/6)+4*(((0.15*B3044*5))^4/24)+5*(((0.15*B3044*5))^5/120))/((((0.15*B3044*5))^0/1)+(((0.15*B3044*5))^1/1)+(((0.15*B3044*5))^2/2)+(((0.15*B3044*5))^3/6)+(((0.15*B3044*5))^4/24)+(((0.15*B3044*5))^5/120)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020">
      <c r="A3020">
        <f>Skills!A10</f>
        <v/>
      </c>
      <c r="B3020">
        <f>Skills!B10</f>
        <v/>
      </c>
      <c r="C3020">
        <f>Inputs!$B$3&gt;=107</f>
        <v/>
      </c>
      <c r="D3020">
        <f>IF(Skills!C10=1,60+Inputs!$B$25+Inputs!$B$29,IF(Skills!C10=2,90+Inputs!$B$26+Inputs!$B$29,IF(Skills!C10=3,120+Inputs!$B$27+Inputs!$B$29,MAX(0,(Inputs!$B$3-100)*3)+Inputs!$B$28+Inputs!$B$29)))</f>
        <v/>
      </c>
      <c r="E3020">
        <f>INDEX(FactorTable!$B$2:$Y$301, MATCH(ROUND(MIN(300,MAX(1,D3020)),0), FactorTable!$A$2:$A$301,0), Skills!M10+1)</f>
        <v/>
      </c>
      <c r="F3020">
        <f>IF(Skills!N10=TRUE,(Skills!L10/10)*(E3020/1000),Skills!L10/10)+Skills!O10</f>
        <v/>
      </c>
      <c r="G3020">
        <f>Skills!G10*IF(Skills!H10&gt;0,Skills!I10/Skills!H10,1)</f>
        <v/>
      </c>
      <c r="H3020">
        <f>1-(1-Skills!J10/100)^Skills!K10</f>
        <v/>
      </c>
      <c r="I3020" t="inlineStr">
        <is>
          <t>1</t>
        </is>
      </c>
      <c r="J3020">
        <f>((Inputs!$B$6*(1+Inputs!$B$7/100))+(((Inputs!$B$12*(1+Inputs!$B$13/100))-(Inputs!$B$12*(1+Inputs!$B$13/100)))+0.25*(Inputs!$B$14-Inputs!$B$14))*(1+Inputs!$B$7/100))*(F3020/100)</f>
        <v/>
      </c>
      <c r="K3020">
        <f>J3020*(1+((Inputs!$B$12*(1+Inputs!$B$13/100))*0.01+Inputs!$B$14*0.0025)/100)*(1+Inputs!$B$15/100)*(1+Inputs!$B$16/100)*(5000/(6000+Inputs!$B$42*(1-(100*(1-(1-(Inputs!$B$19+0)/100)*(1-CHOOSE(ArtifactsInput!$N$40+1,5,6,7,8,9,10)/100)^(ArtifactsInput!$M$40-ArtifactsInput!$M$40)))/100)))*(1+(Inputs!$B$24+((C3034=TRUE)*(F3034-Calc!F24))+((C3035=TRUE)*(F3035-Calc!F25))+B3048)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EMPOWERED_PIERCING_ARROW",Inputs!$B$17+((C3032=TRUE)*(F3032-Calc!F22))+(((IF(AND(ArtifactsInput!$M$42,((Inputs!$B$9+((C3029=TRUE)*(F3029-Calc!F19))+B3042+(ArtifactsInput!$M$24-ArtifactsInput!$M$24)*CHOOSE(ArtifactsInput!$N$24+1,10,12,14,16,18,20)+IF(ArtifactsInput!$M$10,CHOOSE(ArtifactsInput!$N$10+1,15,18,21,24,27,30)*(IF(Inputs!$B$38="pvp",MIN(15,15)/15,IF(AND(Inputs!$B$38&lt;&gt;"pvp",Inputs!$B$43&gt;0),MIN(15,Inputs!$B$43)/(Inputs!$B$43),0))),0)))&gt;=100),MIN(100,((Inputs!$B$9+((C3029=TRUE)*(F3029-Calc!F19))+B3042+(ArtifactsInput!$M$24-ArtifactsInput!$M$24)*CHOOSE(ArtifactsInput!$N$24+1,10,12,14,16,18,20)+IF(ArtifactsInput!$M$10,CHOOSE(ArtifactsInput!$N$10+1,15,18,21,24,27,30)*(IF(Inputs!$B$38="pvp",MIN(15,15)/15,IF(AND(Inputs!$B$38&lt;&gt;"pvp",Inputs!$B$43&gt;0),MIN(15,Inputs!$B$43)/(Inputs!$B$43),0))),0)))-100),0))*CHOOSE(ArtifactsInput!$N$42+1,0.6,0.72,0.84,0.96,1.08,1.2))),Inputs!$B$18+((C3037=TRUE)*(F3037-Calc!F27))+(IF(AND(ArtifactsInput!$M$42,((Inputs!$B$9+((C3029=TRUE)*(F3029-Calc!F19))+B3042+(ArtifactsInput!$M$24-ArtifactsInput!$M$24)*CHOOSE(ArtifactsInput!$N$24+1,10,12,14,16,18,20)+IF(ArtifactsInput!$M$10,CHOOSE(ArtifactsInput!$N$10+1,15,18,21,24,27,30)*(IF(Inputs!$B$38="pvp",MIN(15,15)/15,IF(AND(Inputs!$B$38&lt;&gt;"pvp",Inputs!$B$43&gt;0),MIN(15,Inputs!$B$43)/(Inputs!$B$43),0))),0)))&gt;=100),CHOOSE(ArtifactsInput!$N$42+1,40,48,56,64,72,80),0))))/100)*((1+(((C3023=TRUE)*F3023)+((C3024=TRUE)*IF(Inputs!$B$38="pvp",F3024,(1-Summary!$B$11)*(F3024)+Summary!$B$11*(0)))+((C3025=TRUE)*F3025*IF(AND(Inputs!$B$38&lt;&gt;"pvp",Inputs!$B$43&gt;0),(((R3025-1)*(Skills!T15*(1+Inputs!$B$34/100))+MIN((Skills!T15*(1+Inputs!$B$34/100)),MAX(0,Inputs!$B$43-((R3025-1)*Skills!D15))))/Inputs!$B$43),IF(Inputs!$B$38="pvp",MIN((Skills!T15*(1+Inputs!$B$34/100)),15)/15,(Skills!T15*(1+Inputs!$B$34/100))/Skills!D15)))+((C3022=TRUE)*F3022)+((C3039=TRUE)*(F3039-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3020)</f>
        <v/>
      </c>
      <c r="L3020">
        <f>K3020*(MIN(Inputs!$B$22+((C3033=TRUE)*(F3033-Calc!F23)),(Inputs!$B$23+((C3038=TRUE)*(F3038-Calc!F28))+(IF(ArtifactsInput!$M$15,CHOOSE(ArtifactsInput!$N$15+1,25,30,35,40,45,50)/100*(Inputs!$B$11-Inputs!$B$11),0))))/100+(Inputs!$B$23+((C3038=TRUE)*(F3038-Calc!F28))+(IF(ArtifactsInput!$M$15,CHOOSE(ArtifactsInput!$N$15+1,25,30,35,40,45,50)/100*(Inputs!$B$11-Inputs!$B$11),0)))/100)/2</f>
        <v/>
      </c>
      <c r="M3020">
        <f>L3020*(1+(Inputs!$B$10+0+B3047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020">
        <f>L3020*(1-MIN((Inputs!$B$9+((C3029=TRUE)*(F3029-Calc!F19))+B3042+(ArtifactsInput!$M$24-ArtifactsInput!$M$24)*CHOOSE(ArtifactsInput!$N$24+1,10,12,14,16,18,20)+(IF(AND(ArtifactsInput!$M$42,((Inputs!$B$9+((C3029=TRUE)*(F3029-Calc!F19))+B3042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3020*(MIN((Inputs!$B$9+((C3029=TRUE)*(F3029-Calc!F19))+B3042+(ArtifactsInput!$M$24-ArtifactsInput!$M$24)*CHOOSE(ArtifactsInput!$N$24+1,10,12,14,16,18,20)+(IF(AND(ArtifactsInput!$M$42,((Inputs!$B$9+((C3029=TRUE)*(F3029-Calc!F19))+B3042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020">
        <f>(1-Summary!$B$11)*T3020+Summary!$B$11*V3020</f>
        <v/>
      </c>
      <c r="P3020">
        <f>IF(B3052=0,0,O3020/B3052)</f>
        <v/>
      </c>
      <c r="Q3020" t="n">
        <v>0</v>
      </c>
      <c r="R3020" t="n">
        <v>0</v>
      </c>
      <c r="S3020" t="n">
        <v>0</v>
      </c>
      <c r="T3020">
        <f>IF(C3020,(0.15*SUMPRODUCT((Skills!U2:U29=TRUE)*(C3012:C3039=TRUE)*S3012:S3039)*Skills!G10*N3020)*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Hunt"),CHOOSE(ArtifactsInput!$N$35+1,15,18,21,24,27,30)*(1-EXP(-(0.2*B3044)*5)),0)+IF(AND(ArtifactsInput!$M$22,Inputs!$B$4&lt;&gt;"Chapter Hunt"),CHOOSE(ArtifactsInput!$N$22+1,10,12,14,16,18,20)*((0*(((0.15*B3044*5))^0/1)+1*(((0.15*B3044*5))^1/1)+2*(((0.15*B3044*5))^2/2)+3*(((0.15*B3044*5))^3/6)+4*(((0.15*B3044*5))^4/24)+5*(((0.15*B3044*5))^5/120))/((((0.15*B3044*5))^0/1)+(((0.15*B3044*5))^1/1)+(((0.15*B3044*5))^2/2)+(((0.15*B3044*5))^3/6)+(((0.15*B3044*5))^4/24)+(((0.15*B3044*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3020*(1-MIN(100,(Inputs!$B$9+((C3029=TRUE)*(F3029-Calc!F19))+B3042+(ArtifactsInput!$M$24-ArtifactsInput!$M$24)*CHOOSE(ArtifactsInput!$N$24+1,10,12,14,16,18,20)+(IF(AND(ArtifactsInput!$M$42,((Inputs!$B$9+((C3029=TRUE)*(F3029-Calc!F19))+B3042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3020*(MIN(100,(Inputs!$B$9+((C3029=TRUE)*(F3029-Calc!F19))+B3042+(ArtifactsInput!$M$24-ArtifactsInput!$M$24)*CHOOSE(ArtifactsInput!$N$24+1,10,12,14,16,18,20)+(IF(AND(ArtifactsInput!$M$42,((Inputs!$B$9+((C3029=TRUE)*(F3029-Calc!F19))+B3042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3020*(1-MIN(100,(Inputs!$B$9+((C3029=TRUE)*(F3029-Calc!F19))+B3042+(ArtifactsInput!$M$24-ArtifactsInput!$M$24)*CHOOSE(ArtifactsInput!$N$24+1,10,12,14,16,18,20)+(IF(AND(ArtifactsInput!$M$42,((Inputs!$B$9+((C3029=TRUE)*(F3029-Calc!F19))+B3042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3020*(MIN(100,(Inputs!$B$9+((C3029=TRUE)*(F3029-Calc!F19))+B3042+(ArtifactsInput!$M$24-ArtifactsInput!$M$24)*CHOOSE(ArtifactsInput!$N$24+1,10,12,14,16,18,20)+(IF(AND(ArtifactsInput!$M$42,((Inputs!$B$9+((C3029=TRUE)*(F3029-Calc!F19))+B3042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020">
        <f>IF(C3020,(0.15*SUMPRODUCT((Skills!U2:U29=TRUE)*(C3012:C3039=TRUE)*S3012:S3039)*Skills!G10*N3020)*IF(Inputs!$B$38="pvp",1,(1+(Inputs!$B$21+Skills!Q10+(IF(ArtifactsInput!$M$33,CHOOSE(ArtifactsInput!$N$33+1,30,36,42,48,54,60),0))+(IF(AND(ArtifactsInput!$M$35,Inputs!$B$4&lt;&gt;"Chapter Hunt"),CHOOSE(ArtifactsInput!$N$35+1,15,18,21,24,27,30)*(1-EXP(-(0.2*B3044)*5)),0)+IF(AND(ArtifactsInput!$M$22,Inputs!$B$4&lt;&gt;"Chapter Hunt"),CHOOSE(ArtifactsInput!$N$22+1,10,12,14,16,18,20)*((0*(((0.15*B3044*5))^0/1)+1*(((0.15*B3044*5))^1/1)+2*(((0.15*B3044*5))^2/2)+3*(((0.15*B3044*5))^3/6)+4*(((0.15*B3044*5))^4/24)+5*(((0.15*B3044*5))^5/120))/((((0.15*B3044*5))^0/1)+(((0.15*B3044*5))^1/1)+(((0.15*B3044*5))^2/2)+(((0.15*B3044*5))^3/6)+(((0.15*B3044*5))^4/24)+(((0.15*B3044*5))^5/120)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021">
      <c r="A3021">
        <f>Skills!A11</f>
        <v/>
      </c>
      <c r="B3021">
        <f>Skills!B11</f>
        <v/>
      </c>
      <c r="C3021">
        <f>Inputs!$B$3&gt;=110</f>
        <v/>
      </c>
      <c r="D3021">
        <f>IF(Skills!C11=1,60+Inputs!$B$25+Inputs!$B$29,IF(Skills!C11=2,90+Inputs!$B$26+Inputs!$B$29,IF(Skills!C11=3,120+Inputs!$B$27+Inputs!$B$29,MAX(0,(Inputs!$B$3-100)*3)+Inputs!$B$28+Inputs!$B$29)))</f>
        <v/>
      </c>
      <c r="E3021">
        <f>INDEX(FactorTable!$B$2:$Y$301, MATCH(ROUND(MIN(300,MAX(1,D3021)),0), FactorTable!$A$2:$A$301,0), Skills!M11+1)</f>
        <v/>
      </c>
      <c r="F3021">
        <f>IF(Skills!N11=TRUE,(Skills!L11/10)*(E3021/1000),Skills!L11/10)+Skills!O11</f>
        <v/>
      </c>
      <c r="G3021">
        <f>Skills!G11*IF(Skills!H11&gt;0,Skills!I11/Skills!H11,1)</f>
        <v/>
      </c>
      <c r="H3021">
        <f>1-(1-Skills!J11/100)^Skills!K11</f>
        <v/>
      </c>
      <c r="I3021" t="inlineStr">
        <is>
          <t>1</t>
        </is>
      </c>
      <c r="J3021">
        <f>((Inputs!$B$6*(1+Inputs!$B$7/100))+(((Inputs!$B$12*(1+Inputs!$B$13/100))-(Inputs!$B$12*(1+Inputs!$B$13/100)))+0.25*(Inputs!$B$14-Inputs!$B$14))*(1+Inputs!$B$7/100))*(F3021/100)</f>
        <v/>
      </c>
      <c r="K3021">
        <f>J3021*(1+((Inputs!$B$12*(1+Inputs!$B$13/100))*0.01+Inputs!$B$14*0.0025)/100)*(1+Inputs!$B$15/100)*(1+Inputs!$B$16/100)*(5000/(6000+Inputs!$B$42*(1-(100*(1-(1-(Inputs!$B$19+0)/100)*(1-CHOOSE(ArtifactsInput!$N$40+1,5,6,7,8,9,10)/100)^(ArtifactsInput!$M$40-ArtifactsInput!$M$40)))/100)))*(1+(Inputs!$B$24+((C3034=TRUE)*(F3034-Calc!F24))+((C3035=TRUE)*(F3035-Calc!F25))+B3048)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11="EMPOWERED_PIERCING_ARROW",Inputs!$B$17+((C3032=TRUE)*(F3032-Calc!F22))+(((IF(AND(ArtifactsInput!$M$42,((Inputs!$B$9+((C3029=TRUE)*(F3029-Calc!F19))+B3042+(ArtifactsInput!$M$24-ArtifactsInput!$M$24)*CHOOSE(ArtifactsInput!$N$24+1,10,12,14,16,18,20)+IF(ArtifactsInput!$M$10,CHOOSE(ArtifactsInput!$N$10+1,15,18,21,24,27,30)*(IF(Inputs!$B$38="pvp",MIN(15,15)/15,IF(AND(Inputs!$B$38&lt;&gt;"pvp",Inputs!$B$43&gt;0),MIN(15,Inputs!$B$43)/(Inputs!$B$43),0))),0)))&gt;=100),MIN(100,((Inputs!$B$9+((C3029=TRUE)*(F3029-Calc!F19))+B3042+(ArtifactsInput!$M$24-ArtifactsInput!$M$24)*CHOOSE(ArtifactsInput!$N$24+1,10,12,14,16,18,20)+IF(ArtifactsInput!$M$10,CHOOSE(ArtifactsInput!$N$10+1,15,18,21,24,27,30)*(IF(Inputs!$B$38="pvp",MIN(15,15)/15,IF(AND(Inputs!$B$38&lt;&gt;"pvp",Inputs!$B$43&gt;0),MIN(15,Inputs!$B$43)/(Inputs!$B$43),0))),0)))-100),0))*CHOOSE(ArtifactsInput!$N$42+1,0.6,0.72,0.84,0.96,1.08,1.2))),Inputs!$B$18+((C3037=TRUE)*(F3037-Calc!F27))+(IF(AND(ArtifactsInput!$M$42,((Inputs!$B$9+((C3029=TRUE)*(F3029-Calc!F19))+B3042+(ArtifactsInput!$M$24-ArtifactsInput!$M$24)*CHOOSE(ArtifactsInput!$N$24+1,10,12,14,16,18,20)+IF(ArtifactsInput!$M$10,CHOOSE(ArtifactsInput!$N$10+1,15,18,21,24,27,30)*(IF(Inputs!$B$38="pvp",MIN(15,15)/15,IF(AND(Inputs!$B$38&lt;&gt;"pvp",Inputs!$B$43&gt;0),MIN(15,Inputs!$B$43)/(Inputs!$B$43),0))),0)))&gt;=100),CHOOSE(ArtifactsInput!$N$42+1,40,48,56,64,72,80),0))))/100)*((1+(((C3023=TRUE)*F3023)+((C3024=TRUE)*IF(Inputs!$B$38="pvp",F3024,(1-Summary!$B$11)*(F3024)+Summary!$B$11*(0)))+((C3025=TRUE)*F3025*IF(AND(Inputs!$B$38&lt;&gt;"pvp",Inputs!$B$43&gt;0),(((R3025-1)*(Skills!T15*(1+Inputs!$B$34/100))+MIN((Skills!T15*(1+Inputs!$B$34/100)),MAX(0,Inputs!$B$43-((R3025-1)*Skills!D15))))/Inputs!$B$43),IF(Inputs!$B$38="pvp",MIN((Skills!T15*(1+Inputs!$B$34/100)),15)/15,(Skills!T15*(1+Inputs!$B$34/100))/Skills!D15)))+((C3022=TRUE)*F3022)+((C3039=TRUE)*(F3039-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3021)</f>
        <v/>
      </c>
      <c r="L3021">
        <f>K3021*(MIN(Inputs!$B$22+((C3033=TRUE)*(F3033-Calc!F23)),(Inputs!$B$23+((C3038=TRUE)*(F3038-Calc!F28))+(IF(ArtifactsInput!$M$15,CHOOSE(ArtifactsInput!$N$15+1,25,30,35,40,45,50)/100*(Inputs!$B$11-Inputs!$B$11),0))))/100+(Inputs!$B$23+((C3038=TRUE)*(F3038-Calc!F28))+(IF(ArtifactsInput!$M$15,CHOOSE(ArtifactsInput!$N$15+1,25,30,35,40,45,50)/100*(Inputs!$B$11-Inputs!$B$11),0)))/100)/2</f>
        <v/>
      </c>
      <c r="M3021">
        <f>L3021*(1+(Inputs!$B$10+0+B3047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021">
        <f>L3021*(1-MIN((Inputs!$B$9+((C3029=TRUE)*(F3029-Calc!F19))+B3042+(ArtifactsInput!$M$24-ArtifactsInput!$M$24)*CHOOSE(ArtifactsInput!$N$24+1,10,12,14,16,18,20)+(IF(AND(ArtifactsInput!$M$42,((Inputs!$B$9+((C3029=TRUE)*(F3029-Calc!F19))+B3042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3021*(MIN((Inputs!$B$9+((C3029=TRUE)*(F3029-Calc!F19))+B3042+(ArtifactsInput!$M$24-ArtifactsInput!$M$24)*CHOOSE(ArtifactsInput!$N$24+1,10,12,14,16,18,20)+(IF(AND(ArtifactsInput!$M$42,((Inputs!$B$9+((C3029=TRUE)*(F3029-Calc!F19))+B3042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021">
        <f>(1-Summary!$B$11)*T3021+Summary!$B$11*V3021</f>
        <v/>
      </c>
      <c r="P3021">
        <f>IF(B3052=0,0,O3021/B3052)</f>
        <v/>
      </c>
      <c r="Q3021">
        <f>IFERROR(1/IF(Inputs!$B$38="pvp",15,MAX(0.1,Skills!D11-IF(Skills!E11=TRUE,2.0,0))),0)</f>
        <v/>
      </c>
      <c r="R3021">
        <f>IF(AND(Inputs!$B$38&lt;&gt;"pvp",Inputs!$B$43&gt;0),IF(MAX(0,Inputs!$B$43-B3049)&lt;=0,0,(INT(MAX(0,Inputs!$B$43-B3049)/IF(Inputs!$B$38="pvp",15,MAX(0.1,Skills!D11-IF(Skills!E11=TRUE,2.0,0))))+1)),0)</f>
        <v/>
      </c>
      <c r="S3021">
        <f>IFERROR((H3021*N3021*IF(AND(Inputs!$B$38&lt;&gt;"pvp",Inputs!$B$43&gt;0),((Skills!G11*((R3021-1)*IF(Skills!H11&gt;0,Skills!I11/Skills!H11,1)+IF(Skills!H11&gt;0,MIN(Skills!I11,MAX(0,MAX(0,Inputs!$B$43-B3049)-((R3021-1)*IF(Inputs!$B$38="pvp",15,MAX(0.1,Skills!D11-IF(Skills!E11=TRUE,2.0,0))))))/Skills!H11,1)))/Inputs!$B$43),G3021*Q3021))/N3021*IF(Inputs!$B$38="pvp",1,(1-Summary!$B$11)*1+Summary!$B$11*(MIN(Skills!R11,Inputs!$B$37))),0)</f>
        <v/>
      </c>
      <c r="T3021">
        <f>IF(C3021,(H3021*N3021*IF(AND(Inputs!$B$38&lt;&gt;"pvp",Inputs!$B$43&gt;0),((Skills!G11*((R3021-1)*IF(Skills!H11&gt;0,Skills!I11/Skills!H11,1)+IF(Skills!H11&gt;0,MIN(Skills!I11,MAX(0,MAX(0,Inputs!$B$43-B3049)-((R3021-1)*IF(Inputs!$B$38="pvp",15,MAX(0.1,Skills!D11-IF(Skills!E11=TRUE,2.0,0))))))/Skills!H11,1)))/Inputs!$B$43),G3021*Q3021))*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Hunt"),CHOOSE(ArtifactsInput!$N$35+1,15,18,21,24,27,30)*(1-EXP(-(0.2*B3044)*5)),0)+IF(AND(ArtifactsInput!$M$22,Inputs!$B$4&lt;&gt;"Chapter Hunt"),CHOOSE(ArtifactsInput!$N$22+1,10,12,14,16,18,20)*((0*(((0.15*B3044*5))^0/1)+1*(((0.15*B3044*5))^1/1)+2*(((0.15*B3044*5))^2/2)+3*(((0.15*B3044*5))^3/6)+4*(((0.15*B3044*5))^4/24)+5*(((0.15*B3044*5))^5/120))/((((0.15*B3044*5))^0/1)+(((0.15*B3044*5))^1/1)+(((0.15*B3044*5))^2/2)+(((0.15*B3044*5))^3/6)+(((0.15*B3044*5))^4/24)+(((0.15*B3044*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3021*(1-MIN(100,(Inputs!$B$9+((C3029=TRUE)*(F3029-Calc!F19))+B3042+(ArtifactsInput!$M$24-ArtifactsInput!$M$24)*CHOOSE(ArtifactsInput!$N$24+1,10,12,14,16,18,20)+(IF(AND(ArtifactsInput!$M$42,((Inputs!$B$9+((C3029=TRUE)*(F3029-Calc!F19))+B3042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3021*(MIN(100,(Inputs!$B$9+((C3029=TRUE)*(F3029-Calc!F19))+B3042+(ArtifactsInput!$M$24-ArtifactsInput!$M$24)*CHOOSE(ArtifactsInput!$N$24+1,10,12,14,16,18,20)+(IF(AND(ArtifactsInput!$M$42,((Inputs!$B$9+((C3029=TRUE)*(F3029-Calc!F19))+B3042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3021*(1-MIN(100,(Inputs!$B$9+((C3029=TRUE)*(F3029-Calc!F19))+B3042+(ArtifactsInput!$M$24-ArtifactsInput!$M$24)*CHOOSE(ArtifactsInput!$N$24+1,10,12,14,16,18,20)+(IF(AND(ArtifactsInput!$M$42,((Inputs!$B$9+((C3029=TRUE)*(F3029-Calc!F19))+B3042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3021*(MIN(100,(Inputs!$B$9+((C3029=TRUE)*(F3029-Calc!F19))+B3042+(ArtifactsInput!$M$24-ArtifactsInput!$M$24)*CHOOSE(ArtifactsInput!$N$24+1,10,12,14,16,18,20)+(IF(AND(ArtifactsInput!$M$42,((Inputs!$B$9+((C3029=TRUE)*(F3029-Calc!F19))+B3042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021">
        <f>IF(C3021,(H3021*N3021*IF(AND(Inputs!$B$38&lt;&gt;"pvp",Inputs!$B$43&gt;0),((Skills!G11*((R3021-1)*IF(Skills!H11&gt;0,Skills!I11/Skills!H11,1)+IF(Skills!H11&gt;0,MIN(Skills!I11,MAX(0,MAX(0,Inputs!$B$43-B3049)-((R3021-1)*IF(Inputs!$B$38="pvp",15,MAX(0.1,Skills!D11-IF(Skills!E11=TRUE,2.0,0))))))/Skills!H11,1)))/Inputs!$B$43),G3021*Q3021))*IF(Inputs!$B$38="pvp",1,(1+(Inputs!$B$21+Skills!Q11+(IF(ArtifactsInput!$M$33,CHOOSE(ArtifactsInput!$N$33+1,30,36,42,48,54,60),0))+(IF(AND(ArtifactsInput!$M$35,Inputs!$B$4&lt;&gt;"Chapter Hunt"),CHOOSE(ArtifactsInput!$N$35+1,15,18,21,24,27,30)*(1-EXP(-(0.2*B3044)*5)),0)+IF(AND(ArtifactsInput!$M$22,Inputs!$B$4&lt;&gt;"Chapter Hunt"),CHOOSE(ArtifactsInput!$N$22+1,10,12,14,16,18,20)*((0*(((0.15*B3044*5))^0/1)+1*(((0.15*B3044*5))^1/1)+2*(((0.15*B3044*5))^2/2)+3*(((0.15*B3044*5))^3/6)+4*(((0.15*B3044*5))^4/24)+5*(((0.15*B3044*5))^5/120))/((((0.15*B3044*5))^0/1)+(((0.15*B3044*5))^1/1)+(((0.15*B3044*5))^2/2)+(((0.15*B3044*5))^3/6)+(((0.15*B3044*5))^4/24)+(((0.15*B3044*5))^5/120))),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022">
      <c r="A3022">
        <f>Skills!A12</f>
        <v/>
      </c>
      <c r="B3022">
        <f>Skills!B12</f>
        <v/>
      </c>
      <c r="C3022">
        <f>Inputs!$B$3&gt;=60</f>
        <v/>
      </c>
      <c r="D3022">
        <f>IF(Skills!C12=1,60+Inputs!$B$25+Inputs!$B$29,IF(Skills!C12=2,90+Inputs!$B$26+Inputs!$B$29,IF(Skills!C12=3,120+Inputs!$B$27+Inputs!$B$29,MAX(0,(Inputs!$B$3-100)*3)+Inputs!$B$28+Inputs!$B$29)))</f>
        <v/>
      </c>
      <c r="E3022">
        <f>INDEX(FactorTable!$B$2:$Y$301, MATCH(ROUND(MIN(300,MAX(1,D3022)),0), FactorTable!$A$2:$A$301,0), Skills!M12+1)</f>
        <v/>
      </c>
      <c r="F3022">
        <f>IF(Skills!N12=TRUE,(Skills!L12/10)*(E3022/1000),Skills!L12/10)+Skills!O12</f>
        <v/>
      </c>
      <c r="G3022">
        <f>Skills!G12*IF(Skills!H12&gt;0,Skills!I12/Skills!H12,1)</f>
        <v/>
      </c>
      <c r="H3022">
        <f>1-(1-Skills!J12/100)^Skills!K12</f>
        <v/>
      </c>
      <c r="I3022" t="inlineStr">
        <is>
          <t>1</t>
        </is>
      </c>
      <c r="J3022" t="inlineStr"/>
      <c r="K3022" t="inlineStr"/>
      <c r="L3022" t="inlineStr"/>
      <c r="M3022" t="inlineStr"/>
      <c r="N3022" t="inlineStr"/>
      <c r="O3022">
        <f>(1-Summary!$B$11)*T3022+Summary!$B$11*V3022</f>
        <v/>
      </c>
      <c r="P3022">
        <f>IF(B3052=0,0,O3022/B3052)</f>
        <v/>
      </c>
      <c r="Q3022" t="n">
        <v>0</v>
      </c>
      <c r="R3022" t="n">
        <v>0</v>
      </c>
      <c r="S3022" t="n">
        <v>0</v>
      </c>
      <c r="T3022" t="n">
        <v>0</v>
      </c>
      <c r="V3022" t="n">
        <v>0</v>
      </c>
    </row>
    <row r="3023">
      <c r="A3023">
        <f>Skills!A13</f>
        <v/>
      </c>
      <c r="B3023">
        <f>Skills!B13</f>
        <v/>
      </c>
      <c r="C3023">
        <f>Inputs!$B$3&gt;=74</f>
        <v/>
      </c>
      <c r="D3023">
        <f>IF(Skills!C13=1,60+Inputs!$B$25+Inputs!$B$29,IF(Skills!C13=2,90+Inputs!$B$26+Inputs!$B$29,IF(Skills!C13=3,120+Inputs!$B$27+Inputs!$B$29,MAX(0,(Inputs!$B$3-100)*3)+Inputs!$B$28+Inputs!$B$29)))</f>
        <v/>
      </c>
      <c r="E3023">
        <f>INDEX(FactorTable!$B$2:$Y$301, MATCH(ROUND(MIN(300,MAX(1,D3023)),0), FactorTable!$A$2:$A$301,0), Skills!M13+1)</f>
        <v/>
      </c>
      <c r="F3023">
        <f>IF(Skills!N13=TRUE,(Skills!L13/10)*(E3023/1000),Skills!L13/10)+Skills!O13</f>
        <v/>
      </c>
      <c r="G3023">
        <f>Skills!G13*IF(Skills!H13&gt;0,Skills!I13/Skills!H13,1)</f>
        <v/>
      </c>
      <c r="H3023">
        <f>1-(1-Skills!J13/100)^Skills!K13</f>
        <v/>
      </c>
      <c r="I3023" t="inlineStr">
        <is>
          <t>1</t>
        </is>
      </c>
      <c r="J3023" t="inlineStr"/>
      <c r="K3023" t="inlineStr"/>
      <c r="L3023" t="inlineStr"/>
      <c r="M3023" t="inlineStr"/>
      <c r="N3023" t="inlineStr"/>
      <c r="O3023">
        <f>(1-Summary!$B$11)*T3023+Summary!$B$11*V3023</f>
        <v/>
      </c>
      <c r="P3023">
        <f>IF(B3052=0,0,O3023/B3052)</f>
        <v/>
      </c>
      <c r="Q3023" t="n">
        <v>0</v>
      </c>
      <c r="R3023" t="n">
        <v>0</v>
      </c>
      <c r="S3023" t="n">
        <v>0</v>
      </c>
      <c r="T3023" t="n">
        <v>0</v>
      </c>
      <c r="V3023" t="n">
        <v>0</v>
      </c>
    </row>
    <row r="3024">
      <c r="A3024">
        <f>Skills!A14</f>
        <v/>
      </c>
      <c r="B3024">
        <f>Skills!B14</f>
        <v/>
      </c>
      <c r="C3024">
        <f>Inputs!$B$3&gt;=74</f>
        <v/>
      </c>
      <c r="D3024">
        <f>IF(Skills!C14=1,60+Inputs!$B$25+Inputs!$B$29,IF(Skills!C14=2,90+Inputs!$B$26+Inputs!$B$29,IF(Skills!C14=3,120+Inputs!$B$27+Inputs!$B$29,MAX(0,(Inputs!$B$3-100)*3)+Inputs!$B$28+Inputs!$B$29)))</f>
        <v/>
      </c>
      <c r="E3024">
        <f>INDEX(FactorTable!$B$2:$Y$301, MATCH(ROUND(MIN(300,MAX(1,D3024)),0), FactorTable!$A$2:$A$301,0), Skills!M14+1)</f>
        <v/>
      </c>
      <c r="F3024">
        <f>IF(Skills!N14=TRUE,(Skills!L14/10)*(E3024/1000),Skills!L14/10)+Skills!O14</f>
        <v/>
      </c>
      <c r="G3024">
        <f>Skills!G14*IF(Skills!H14&gt;0,Skills!I14/Skills!H14,1)</f>
        <v/>
      </c>
      <c r="H3024">
        <f>1-(1-Skills!J14/100)^Skills!K14</f>
        <v/>
      </c>
      <c r="I3024" t="inlineStr">
        <is>
          <t>1</t>
        </is>
      </c>
      <c r="J3024" t="inlineStr"/>
      <c r="K3024" t="inlineStr"/>
      <c r="L3024" t="inlineStr"/>
      <c r="M3024" t="inlineStr"/>
      <c r="N3024" t="inlineStr"/>
      <c r="O3024">
        <f>(1-Summary!$B$11)*T3024+Summary!$B$11*V3024</f>
        <v/>
      </c>
      <c r="P3024">
        <f>IF(B3052=0,0,O3024/B3052)</f>
        <v/>
      </c>
      <c r="Q3024" t="n">
        <v>0</v>
      </c>
      <c r="R3024" t="n">
        <v>0</v>
      </c>
      <c r="S3024" t="n">
        <v>0</v>
      </c>
      <c r="T3024" t="n">
        <v>0</v>
      </c>
      <c r="V3024" t="n">
        <v>0</v>
      </c>
    </row>
    <row r="3025">
      <c r="A3025">
        <f>Skills!A15</f>
        <v/>
      </c>
      <c r="B3025">
        <f>Skills!B15</f>
        <v/>
      </c>
      <c r="C3025">
        <f>Inputs!$B$3&gt;=117</f>
        <v/>
      </c>
      <c r="D3025">
        <f>IF(Skills!C15=1,60+Inputs!$B$25+Inputs!$B$29,IF(Skills!C15=2,90+Inputs!$B$26+Inputs!$B$29,IF(Skills!C15=3,120+Inputs!$B$27+Inputs!$B$29,MAX(0,(Inputs!$B$3-100)*3)+Inputs!$B$28+Inputs!$B$29)))</f>
        <v/>
      </c>
      <c r="E3025">
        <f>INDEX(FactorTable!$B$2:$Y$301, MATCH(ROUND(MIN(300,MAX(1,D3025)),0), FactorTable!$A$2:$A$301,0), Skills!M15+1)</f>
        <v/>
      </c>
      <c r="F3025">
        <f>IF(Skills!N15=TRUE,(Skills!L15/10)*(E3025/1000),Skills!L15/10)+Skills!O15</f>
        <v/>
      </c>
      <c r="G3025">
        <f>Skills!G15*IF(Skills!H15&gt;0,Skills!I15/Skills!H15,1)</f>
        <v/>
      </c>
      <c r="H3025">
        <f>1-(1-Skills!J15/100)^Skills!K15</f>
        <v/>
      </c>
      <c r="I3025" t="inlineStr">
        <is>
          <t>1</t>
        </is>
      </c>
      <c r="J3025" t="inlineStr"/>
      <c r="K3025" t="inlineStr"/>
      <c r="L3025" t="inlineStr"/>
      <c r="M3025" t="inlineStr"/>
      <c r="N3025" t="inlineStr"/>
      <c r="O3025">
        <f>(1-Summary!$B$11)*T3025+Summary!$B$11*V3025</f>
        <v/>
      </c>
      <c r="P3025">
        <f>IF(B3052=0,0,O3025/B3052)</f>
        <v/>
      </c>
      <c r="Q3025">
        <f>IFERROR(1/IF(Inputs!$B$38="pvp",15,MAX(0.1,Skills!D15-IF(Skills!E15=TRUE,2.0,0))),0)</f>
        <v/>
      </c>
      <c r="R3025">
        <f>IF(AND(Inputs!$B$38&lt;&gt;"pvp",Inputs!$B$43&gt;0),IF(Inputs!$B$43&lt;=0,0,(INT(Inputs!$B$43/IF(Inputs!$B$38="pvp",15,MAX(0.1,Skills!D15-IF(Skills!E15=TRUE,2.0,0))))+1)),0)</f>
        <v/>
      </c>
      <c r="S3025" t="n">
        <v>0</v>
      </c>
      <c r="T3025" t="n">
        <v>0</v>
      </c>
      <c r="V3025" t="n">
        <v>0</v>
      </c>
    </row>
    <row r="3026">
      <c r="A3026">
        <f>Skills!A16</f>
        <v/>
      </c>
      <c r="B3026">
        <f>Skills!B16</f>
        <v/>
      </c>
      <c r="C3026">
        <f>Inputs!$B$3&gt;=115</f>
        <v/>
      </c>
      <c r="D3026">
        <f>IF(Skills!C16=1,60+Inputs!$B$25+Inputs!$B$29,IF(Skills!C16=2,90+Inputs!$B$26+Inputs!$B$29,IF(Skills!C16=3,120+Inputs!$B$27+Inputs!$B$29,MAX(0,(Inputs!$B$3-100)*3)+Inputs!$B$28+Inputs!$B$29)))</f>
        <v/>
      </c>
      <c r="E3026">
        <f>INDEX(FactorTable!$B$2:$Y$301, MATCH(ROUND(MIN(300,MAX(1,D3026)),0), FactorTable!$A$2:$A$301,0), Skills!M16+1)</f>
        <v/>
      </c>
      <c r="F3026">
        <f>IF(Skills!N16=TRUE,(Skills!L16/10)*(E3026/1000),Skills!L16/10)+Skills!O16</f>
        <v/>
      </c>
      <c r="G3026">
        <f>Skills!G16*IF(Skills!H16&gt;0,Skills!I16/Skills!H16,1)</f>
        <v/>
      </c>
      <c r="H3026">
        <f>1-(1-Skills!J16/100)^Skills!K16</f>
        <v/>
      </c>
      <c r="I3026" t="inlineStr">
        <is>
          <t>1</t>
        </is>
      </c>
      <c r="J3026" t="inlineStr"/>
      <c r="K3026" t="inlineStr"/>
      <c r="L3026" t="inlineStr"/>
      <c r="M3026" t="inlineStr"/>
      <c r="N3026" t="inlineStr"/>
      <c r="O3026">
        <f>(1-Summary!$B$11)*T3026+Summary!$B$11*V3026</f>
        <v/>
      </c>
      <c r="P3026">
        <f>IF(B3052=0,0,O3026/B3052)</f>
        <v/>
      </c>
      <c r="Q3026">
        <f>IFERROR(1/IF(Inputs!$B$38="pvp",15,MAX(0.1,Skills!D16-IF(Skills!E16=TRUE,2.0,0))),0)</f>
        <v/>
      </c>
      <c r="R3026">
        <f>IF(AND(Inputs!$B$38&lt;&gt;"pvp",Inputs!$B$43&gt;0),IF(Inputs!$B$43&lt;=0,0,(INT(Inputs!$B$43/IF(Inputs!$B$38="pvp",15,MAX(0.1,Skills!D16-IF(Skills!E16=TRUE,2.0,0))))+1)),0)</f>
        <v/>
      </c>
      <c r="S3026" t="n">
        <v>0</v>
      </c>
      <c r="T3026" t="n">
        <v>0</v>
      </c>
      <c r="V3026" t="n">
        <v>0</v>
      </c>
    </row>
    <row r="3027">
      <c r="A3027">
        <f>Skills!A17</f>
        <v/>
      </c>
      <c r="B3027">
        <f>Skills!B17</f>
        <v/>
      </c>
      <c r="C3027">
        <f>Inputs!$B$3&gt;=72</f>
        <v/>
      </c>
      <c r="D3027">
        <f>IF(Skills!C17=1,60+Inputs!$B$25+Inputs!$B$29,IF(Skills!C17=2,90+Inputs!$B$26+Inputs!$B$29,IF(Skills!C17=3,120+Inputs!$B$27+Inputs!$B$29,MAX(0,(Inputs!$B$3-100)*3)+Inputs!$B$28+Inputs!$B$29)))</f>
        <v/>
      </c>
      <c r="E3027">
        <f>INDEX(FactorTable!$B$2:$Y$301, MATCH(ROUND(MIN(300,MAX(1,D3027)),0), FactorTable!$A$2:$A$301,0), Skills!M17+1)</f>
        <v/>
      </c>
      <c r="F3027">
        <f>IF(Skills!N17=TRUE,(Skills!L17/10)*(E3027/1000),Skills!L17/10)+Skills!O17</f>
        <v/>
      </c>
      <c r="G3027">
        <f>Skills!G17*IF(Skills!H17&gt;0,Skills!I17/Skills!H17,1)</f>
        <v/>
      </c>
      <c r="H3027">
        <f>1-(1-Skills!J17/100)^Skills!K17</f>
        <v/>
      </c>
      <c r="I3027" t="inlineStr">
        <is>
          <t>1</t>
        </is>
      </c>
      <c r="J3027" t="inlineStr"/>
      <c r="K3027" t="inlineStr"/>
      <c r="L3027" t="inlineStr"/>
      <c r="M3027" t="inlineStr"/>
      <c r="N3027" t="inlineStr"/>
      <c r="O3027">
        <f>(1-Summary!$B$11)*T3027+Summary!$B$11*V3027</f>
        <v/>
      </c>
      <c r="P3027">
        <f>IF(B3052=0,0,O3027/B3052)</f>
        <v/>
      </c>
      <c r="Q3027" t="n">
        <v>0</v>
      </c>
      <c r="R3027" t="n">
        <v>0</v>
      </c>
      <c r="S3027" t="n">
        <v>0</v>
      </c>
      <c r="T3027" t="n">
        <v>0</v>
      </c>
      <c r="V3027" t="n">
        <v>0</v>
      </c>
    </row>
    <row r="3028">
      <c r="A3028">
        <f>Skills!A18</f>
        <v/>
      </c>
      <c r="B3028">
        <f>Skills!B18</f>
        <v/>
      </c>
      <c r="C3028">
        <f>TRUE</f>
        <v/>
      </c>
      <c r="D3028">
        <f>IF(Skills!C18=1,60+Inputs!$B$25+Inputs!$B$29,IF(Skills!C18=2,90+Inputs!$B$26+Inputs!$B$29,IF(Skills!C18=3,120+Inputs!$B$27+Inputs!$B$29,MAX(0,(Inputs!$B$3-100)*3)+Inputs!$B$28+Inputs!$B$29)))</f>
        <v/>
      </c>
      <c r="E3028">
        <f>INDEX(FactorTable!$B$2:$Y$301, MATCH(ROUND(MIN(300,MAX(1,D3028)),0), FactorTable!$A$2:$A$301,0), Skills!M18+1)</f>
        <v/>
      </c>
      <c r="F3028">
        <f>IF(Skills!N18=TRUE,(Skills!L18/10)*(E3028/1000),Skills!L18/10)+Skills!O18</f>
        <v/>
      </c>
      <c r="G3028">
        <f>Skills!G18*IF(Skills!H18&gt;0,Skills!I18/Skills!H18,1)</f>
        <v/>
      </c>
      <c r="H3028">
        <f>1-(1-Skills!J18/100)^Skills!K18</f>
        <v/>
      </c>
      <c r="I3028" t="inlineStr">
        <is>
          <t>1</t>
        </is>
      </c>
      <c r="J3028" t="inlineStr"/>
      <c r="K3028" t="inlineStr"/>
      <c r="L3028" t="inlineStr"/>
      <c r="M3028" t="inlineStr"/>
      <c r="N3028" t="inlineStr"/>
      <c r="O3028">
        <f>(1-Summary!$B$11)*T3028+Summary!$B$11*V3028</f>
        <v/>
      </c>
      <c r="P3028">
        <f>IF(B3052=0,0,O3028/B3052)</f>
        <v/>
      </c>
      <c r="Q3028">
        <f>IFERROR(1/IF(Inputs!$B$38="pvp",15,MAX(0.1,Skills!D18-IF(Skills!E18=TRUE,2.0,0))),0)</f>
        <v/>
      </c>
      <c r="R3028">
        <f>IF(AND(Inputs!$B$38&lt;&gt;"pvp",Inputs!$B$43&gt;0),IF(Inputs!$B$43&lt;=0,0,(INT(Inputs!$B$43/IF(Inputs!$B$38="pvp",15,MAX(0.1,Skills!D18-IF(Skills!E18=TRUE,2.0,0))))+1)),0)</f>
        <v/>
      </c>
      <c r="S3028" t="n">
        <v>0</v>
      </c>
      <c r="T3028" t="n">
        <v>0</v>
      </c>
      <c r="V3028" t="n">
        <v>0</v>
      </c>
    </row>
    <row r="3029">
      <c r="A3029">
        <f>Skills!A19</f>
        <v/>
      </c>
      <c r="B3029">
        <f>Skills!B19</f>
        <v/>
      </c>
      <c r="C3029">
        <f>Inputs!$B$3&gt;=15</f>
        <v/>
      </c>
      <c r="D3029">
        <f>IF(Skills!C19=1,60+Inputs!$B$25+Inputs!$B$29,IF(Skills!C19=2,90+Inputs!$B$26+Inputs!$B$29,IF(Skills!C19=3,120+Inputs!$B$27+Inputs!$B$29,MAX(0,(Inputs!$B$3-100)*3)+Inputs!$B$28+Inputs!$B$29)))</f>
        <v/>
      </c>
      <c r="E3029">
        <f>INDEX(FactorTable!$B$2:$Y$301, MATCH(ROUND(MIN(300,MAX(1,D3029)),0), FactorTable!$A$2:$A$301,0), Skills!M19+1)</f>
        <v/>
      </c>
      <c r="F3029">
        <f>IF(Skills!N19=TRUE,(Skills!L19/10)*(E3029/1000),Skills!L19/10)+Skills!O19</f>
        <v/>
      </c>
      <c r="G3029">
        <f>Skills!G19*IF(Skills!H19&gt;0,Skills!I19/Skills!H19,1)</f>
        <v/>
      </c>
      <c r="H3029">
        <f>1-(1-Skills!J19/100)^Skills!K19</f>
        <v/>
      </c>
      <c r="I3029" t="inlineStr">
        <is>
          <t>1</t>
        </is>
      </c>
      <c r="J3029" t="inlineStr"/>
      <c r="K3029" t="inlineStr"/>
      <c r="L3029" t="inlineStr"/>
      <c r="M3029" t="inlineStr"/>
      <c r="N3029" t="inlineStr"/>
      <c r="O3029">
        <f>(1-Summary!$B$11)*T3029+Summary!$B$11*V3029</f>
        <v/>
      </c>
      <c r="P3029">
        <f>IF(B3052=0,0,O3029/B3052)</f>
        <v/>
      </c>
      <c r="Q3029" t="n">
        <v>0</v>
      </c>
      <c r="R3029" t="n">
        <v>0</v>
      </c>
      <c r="S3029" t="n">
        <v>0</v>
      </c>
      <c r="T3029" t="n">
        <v>0</v>
      </c>
      <c r="V3029" t="n">
        <v>0</v>
      </c>
    </row>
    <row r="3030">
      <c r="A3030">
        <f>Skills!A20</f>
        <v/>
      </c>
      <c r="B3030">
        <f>Skills!B20</f>
        <v/>
      </c>
      <c r="C3030">
        <f>Inputs!$B$3&gt;=10</f>
        <v/>
      </c>
      <c r="D3030">
        <f>IF(Skills!C20=1,60+Inputs!$B$25+Inputs!$B$29,IF(Skills!C20=2,90+Inputs!$B$26+Inputs!$B$29,IF(Skills!C20=3,120+Inputs!$B$27+Inputs!$B$29,MAX(0,(Inputs!$B$3-100)*3)+Inputs!$B$28+Inputs!$B$29)))</f>
        <v/>
      </c>
      <c r="E3030">
        <f>INDEX(FactorTable!$B$2:$Y$301, MATCH(ROUND(MIN(300,MAX(1,D3030)),0), FactorTable!$A$2:$A$301,0), Skills!M20+1)</f>
        <v/>
      </c>
      <c r="F3030">
        <f>IF(Skills!N20=TRUE,(Skills!L20/10)*(E3030/1000),Skills!L20/10)+Skills!O20</f>
        <v/>
      </c>
      <c r="G3030">
        <f>Skills!G20*IF(Skills!H20&gt;0,Skills!I20/Skills!H20,1)</f>
        <v/>
      </c>
      <c r="H3030">
        <f>1-(1-Skills!J20/100)^Skills!K20</f>
        <v/>
      </c>
      <c r="I3030" t="inlineStr">
        <is>
          <t>1</t>
        </is>
      </c>
      <c r="J3030" t="inlineStr"/>
      <c r="K3030" t="inlineStr"/>
      <c r="L3030" t="inlineStr"/>
      <c r="M3030" t="inlineStr"/>
      <c r="N3030" t="inlineStr"/>
      <c r="O3030">
        <f>(1-Summary!$B$11)*T3030+Summary!$B$11*V3030</f>
        <v/>
      </c>
      <c r="P3030">
        <f>IF(B3052=0,0,O3030/B3052)</f>
        <v/>
      </c>
      <c r="Q3030" t="n">
        <v>0</v>
      </c>
      <c r="R3030" t="n">
        <v>0</v>
      </c>
      <c r="S3030" t="n">
        <v>0</v>
      </c>
      <c r="T3030" t="n">
        <v>0</v>
      </c>
      <c r="V3030" t="n">
        <v>0</v>
      </c>
    </row>
    <row r="3031">
      <c r="A3031">
        <f>Skills!A21</f>
        <v/>
      </c>
      <c r="B3031">
        <f>Skills!B21</f>
        <v/>
      </c>
      <c r="C3031">
        <f>Inputs!$B$3&gt;=33</f>
        <v/>
      </c>
      <c r="D3031">
        <f>IF(Skills!C21=1,60+Inputs!$B$25+Inputs!$B$29,IF(Skills!C21=2,90+Inputs!$B$26+Inputs!$B$29,IF(Skills!C21=3,120+Inputs!$B$27+Inputs!$B$29,MAX(0,(Inputs!$B$3-100)*3)+Inputs!$B$28+Inputs!$B$29)))</f>
        <v/>
      </c>
      <c r="E3031">
        <f>INDEX(FactorTable!$B$2:$Y$301, MATCH(ROUND(MIN(300,MAX(1,D3031)),0), FactorTable!$A$2:$A$301,0), Skills!M21+1)</f>
        <v/>
      </c>
      <c r="F3031">
        <f>IF(Skills!N21=TRUE,(Skills!L21/10)*(E3031/1000),Skills!L21/10)+Skills!O21</f>
        <v/>
      </c>
      <c r="G3031">
        <f>Skills!G21*IF(Skills!H21&gt;0,Skills!I21/Skills!H21,1)</f>
        <v/>
      </c>
      <c r="H3031">
        <f>1-(1-Skills!J21/100)^Skills!K21</f>
        <v/>
      </c>
      <c r="I3031" t="inlineStr">
        <is>
          <t>1</t>
        </is>
      </c>
      <c r="J3031" t="inlineStr"/>
      <c r="K3031" t="inlineStr"/>
      <c r="L3031" t="inlineStr"/>
      <c r="M3031" t="inlineStr"/>
      <c r="N3031" t="inlineStr"/>
      <c r="O3031">
        <f>(1-Summary!$B$11)*T3031+Summary!$B$11*V3031</f>
        <v/>
      </c>
      <c r="P3031">
        <f>IF(B3052=0,0,O3031/B3052)</f>
        <v/>
      </c>
      <c r="Q3031" t="n">
        <v>0</v>
      </c>
      <c r="R3031" t="n">
        <v>0</v>
      </c>
      <c r="S3031" t="n">
        <v>0</v>
      </c>
      <c r="T3031" t="n">
        <v>0</v>
      </c>
      <c r="V3031" t="n">
        <v>0</v>
      </c>
    </row>
    <row r="3032">
      <c r="A3032">
        <f>Skills!A22</f>
        <v/>
      </c>
      <c r="B3032">
        <f>Skills!B22</f>
        <v/>
      </c>
      <c r="C3032">
        <f>Inputs!$B$3&gt;=38</f>
        <v/>
      </c>
      <c r="D3032">
        <f>IF(Skills!C22=1,60+Inputs!$B$25+Inputs!$B$29,IF(Skills!C22=2,90+Inputs!$B$26+Inputs!$B$29,IF(Skills!C22=3,120+Inputs!$B$27+Inputs!$B$29,MAX(0,(Inputs!$B$3-100)*3)+Inputs!$B$28+Inputs!$B$29)))</f>
        <v/>
      </c>
      <c r="E3032">
        <f>INDEX(FactorTable!$B$2:$Y$301, MATCH(ROUND(MIN(300,MAX(1,D3032)),0), FactorTable!$A$2:$A$301,0), Skills!M22+1)</f>
        <v/>
      </c>
      <c r="F3032">
        <f>IF(Skills!N22=TRUE,(Skills!L22/10)*(E3032/1000),Skills!L22/10)+Skills!O22</f>
        <v/>
      </c>
      <c r="G3032">
        <f>Skills!G22*IF(Skills!H22&gt;0,Skills!I22/Skills!H22,1)</f>
        <v/>
      </c>
      <c r="H3032">
        <f>1-(1-Skills!J22/100)^Skills!K22</f>
        <v/>
      </c>
      <c r="I3032" t="inlineStr">
        <is>
          <t>1</t>
        </is>
      </c>
      <c r="J3032" t="inlineStr"/>
      <c r="K3032" t="inlineStr"/>
      <c r="L3032" t="inlineStr"/>
      <c r="M3032" t="inlineStr"/>
      <c r="N3032" t="inlineStr"/>
      <c r="O3032">
        <f>(1-Summary!$B$11)*T3032+Summary!$B$11*V3032</f>
        <v/>
      </c>
      <c r="P3032">
        <f>IF(B3052=0,0,O3032/B3052)</f>
        <v/>
      </c>
      <c r="Q3032" t="n">
        <v>0</v>
      </c>
      <c r="R3032" t="n">
        <v>0</v>
      </c>
      <c r="S3032" t="n">
        <v>0</v>
      </c>
      <c r="T3032" t="n">
        <v>0</v>
      </c>
      <c r="V3032" t="n">
        <v>0</v>
      </c>
    </row>
    <row r="3033">
      <c r="A3033">
        <f>Skills!A23</f>
        <v/>
      </c>
      <c r="B3033">
        <f>Skills!B23</f>
        <v/>
      </c>
      <c r="C3033">
        <f>Inputs!$B$3&gt;=43</f>
        <v/>
      </c>
      <c r="D3033">
        <f>IF(Skills!C23=1,60+Inputs!$B$25+Inputs!$B$29,IF(Skills!C23=2,90+Inputs!$B$26+Inputs!$B$29,IF(Skills!C23=3,120+Inputs!$B$27+Inputs!$B$29,MAX(0,(Inputs!$B$3-100)*3)+Inputs!$B$28+Inputs!$B$29)))</f>
        <v/>
      </c>
      <c r="E3033">
        <f>INDEX(FactorTable!$B$2:$Y$301, MATCH(ROUND(MIN(300,MAX(1,D3033)),0), FactorTable!$A$2:$A$301,0), Skills!M23+1)</f>
        <v/>
      </c>
      <c r="F3033">
        <f>IF(Skills!N23=TRUE,(Skills!L23/10)*(E3033/1000),Skills!L23/10)+Skills!O23</f>
        <v/>
      </c>
      <c r="G3033">
        <f>Skills!G23*IF(Skills!H23&gt;0,Skills!I23/Skills!H23,1)</f>
        <v/>
      </c>
      <c r="H3033">
        <f>1-(1-Skills!J23/100)^Skills!K23</f>
        <v/>
      </c>
      <c r="I3033" t="inlineStr">
        <is>
          <t>1</t>
        </is>
      </c>
      <c r="J3033" t="inlineStr"/>
      <c r="K3033" t="inlineStr"/>
      <c r="L3033" t="inlineStr"/>
      <c r="M3033" t="inlineStr"/>
      <c r="N3033" t="inlineStr"/>
      <c r="O3033">
        <f>(1-Summary!$B$11)*T3033+Summary!$B$11*V3033</f>
        <v/>
      </c>
      <c r="P3033">
        <f>IF(B3052=0,0,O3033/B3052)</f>
        <v/>
      </c>
      <c r="Q3033" t="n">
        <v>0</v>
      </c>
      <c r="R3033" t="n">
        <v>0</v>
      </c>
      <c r="S3033" t="n">
        <v>0</v>
      </c>
      <c r="T3033" t="n">
        <v>0</v>
      </c>
      <c r="V3033" t="n">
        <v>0</v>
      </c>
    </row>
    <row r="3034">
      <c r="A3034">
        <f>Skills!A24</f>
        <v/>
      </c>
      <c r="B3034">
        <f>Skills!B24</f>
        <v/>
      </c>
      <c r="C3034">
        <f>Inputs!$B$3&gt;=75</f>
        <v/>
      </c>
      <c r="D3034">
        <f>IF(Skills!C24=1,60+Inputs!$B$25+Inputs!$B$29,IF(Skills!C24=2,90+Inputs!$B$26+Inputs!$B$29,IF(Skills!C24=3,120+Inputs!$B$27+Inputs!$B$29,MAX(0,(Inputs!$B$3-100)*3)+Inputs!$B$28+Inputs!$B$29)))</f>
        <v/>
      </c>
      <c r="E3034">
        <f>INDEX(FactorTable!$B$2:$Y$301, MATCH(ROUND(MIN(300,MAX(1,D3034)),0), FactorTable!$A$2:$A$301,0), Skills!M24+1)</f>
        <v/>
      </c>
      <c r="F3034">
        <f>IF(Skills!N24=TRUE,(Skills!L24/10)*(E3034/1000),Skills!L24/10)+Skills!O24</f>
        <v/>
      </c>
      <c r="G3034">
        <f>Skills!G24*IF(Skills!H24&gt;0,Skills!I24/Skills!H24,1)</f>
        <v/>
      </c>
      <c r="H3034">
        <f>1-(1-Skills!J24/100)^Skills!K24</f>
        <v/>
      </c>
      <c r="I3034" t="inlineStr">
        <is>
          <t>1</t>
        </is>
      </c>
      <c r="J3034" t="inlineStr"/>
      <c r="K3034" t="inlineStr"/>
      <c r="L3034" t="inlineStr"/>
      <c r="M3034" t="inlineStr"/>
      <c r="N3034" t="inlineStr"/>
      <c r="O3034">
        <f>(1-Summary!$B$11)*T3034+Summary!$B$11*V3034</f>
        <v/>
      </c>
      <c r="P3034">
        <f>IF(B3052=0,0,O3034/B3052)</f>
        <v/>
      </c>
      <c r="Q3034" t="n">
        <v>0</v>
      </c>
      <c r="R3034" t="n">
        <v>0</v>
      </c>
      <c r="S3034" t="n">
        <v>0</v>
      </c>
      <c r="T3034" t="n">
        <v>0</v>
      </c>
      <c r="V3034" t="n">
        <v>0</v>
      </c>
    </row>
    <row r="3035">
      <c r="A3035">
        <f>Skills!A25</f>
        <v/>
      </c>
      <c r="B3035">
        <f>Skills!B25</f>
        <v/>
      </c>
      <c r="C3035">
        <f>Inputs!$B$3&gt;=125</f>
        <v/>
      </c>
      <c r="D3035">
        <f>IF(Skills!C25=1,60+Inputs!$B$25+Inputs!$B$29,IF(Skills!C25=2,90+Inputs!$B$26+Inputs!$B$29,IF(Skills!C25=3,120+Inputs!$B$27+Inputs!$B$29,MAX(0,(Inputs!$B$3-100)*3)+Inputs!$B$28+Inputs!$B$29)))</f>
        <v/>
      </c>
      <c r="E3035">
        <f>INDEX(FactorTable!$B$2:$Y$301, MATCH(ROUND(MIN(300,MAX(1,D3035)),0), FactorTable!$A$2:$A$301,0), Skills!M25+1)</f>
        <v/>
      </c>
      <c r="F3035">
        <f>IF(Skills!N25=TRUE,(Skills!L25/10)*(E3035/1000),Skills!L25/10)+Skills!O25</f>
        <v/>
      </c>
      <c r="G3035">
        <f>Skills!G25*IF(Skills!H25&gt;0,Skills!I25/Skills!H25,1)</f>
        <v/>
      </c>
      <c r="H3035">
        <f>1-(1-Skills!J25/100)^Skills!K25</f>
        <v/>
      </c>
      <c r="I3035" t="inlineStr">
        <is>
          <t>1</t>
        </is>
      </c>
      <c r="J3035" t="inlineStr"/>
      <c r="K3035" t="inlineStr"/>
      <c r="L3035" t="inlineStr"/>
      <c r="M3035" t="inlineStr"/>
      <c r="N3035" t="inlineStr"/>
      <c r="O3035">
        <f>(1-Summary!$B$11)*T3035+Summary!$B$11*V3035</f>
        <v/>
      </c>
      <c r="P3035">
        <f>IF(B3052=0,0,O3035/B3052)</f>
        <v/>
      </c>
      <c r="Q3035" t="n">
        <v>0</v>
      </c>
      <c r="R3035" t="n">
        <v>0</v>
      </c>
      <c r="S3035" t="n">
        <v>0</v>
      </c>
      <c r="T3035" t="n">
        <v>0</v>
      </c>
      <c r="V3035" t="n">
        <v>0</v>
      </c>
    </row>
    <row r="3036">
      <c r="A3036">
        <f>Skills!A26</f>
        <v/>
      </c>
      <c r="B3036">
        <f>Skills!B26</f>
        <v/>
      </c>
      <c r="C3036">
        <f>Inputs!$B$3&gt;=125</f>
        <v/>
      </c>
      <c r="D3036">
        <f>IF(Skills!C26=1,60+Inputs!$B$25+Inputs!$B$29,IF(Skills!C26=2,90+Inputs!$B$26+Inputs!$B$29,IF(Skills!C26=3,120+Inputs!$B$27+Inputs!$B$29,MAX(0,(Inputs!$B$3-100)*3)+Inputs!$B$28+Inputs!$B$29)))</f>
        <v/>
      </c>
      <c r="E3036">
        <f>INDEX(FactorTable!$B$2:$Y$301, MATCH(ROUND(MIN(300,MAX(1,D3036)),0), FactorTable!$A$2:$A$301,0), Skills!M26+1)</f>
        <v/>
      </c>
      <c r="F3036">
        <f>IF(Skills!N26=TRUE,(Skills!L26/10)*(E3036/1000),Skills!L26/10)+Skills!O26</f>
        <v/>
      </c>
      <c r="G3036">
        <f>Skills!G26*IF(Skills!H26&gt;0,Skills!I26/Skills!H26,1)</f>
        <v/>
      </c>
      <c r="H3036">
        <f>1-(1-Skills!J26/100)^Skills!K26</f>
        <v/>
      </c>
      <c r="I3036" t="inlineStr">
        <is>
          <t>1</t>
        </is>
      </c>
      <c r="J3036" t="inlineStr"/>
      <c r="K3036" t="inlineStr"/>
      <c r="L3036" t="inlineStr"/>
      <c r="M3036" t="inlineStr"/>
      <c r="N3036" t="inlineStr"/>
      <c r="O3036">
        <f>(1-Summary!$B$11)*T3036+Summary!$B$11*V3036</f>
        <v/>
      </c>
      <c r="P3036">
        <f>IF(B3052=0,0,O3036/B3052)</f>
        <v/>
      </c>
      <c r="Q3036" t="n">
        <v>0</v>
      </c>
      <c r="R3036" t="n">
        <v>0</v>
      </c>
      <c r="S3036" t="n">
        <v>0</v>
      </c>
      <c r="T3036" t="n">
        <v>0</v>
      </c>
      <c r="V3036" t="n">
        <v>0</v>
      </c>
    </row>
    <row r="3037">
      <c r="A3037">
        <f>Skills!A27</f>
        <v/>
      </c>
      <c r="B3037">
        <f>Skills!B27</f>
        <v/>
      </c>
      <c r="C3037">
        <f>Inputs!$B$3&gt;=120</f>
        <v/>
      </c>
      <c r="D3037">
        <f>IF(Skills!C27=1,60+Inputs!$B$25+Inputs!$B$29,IF(Skills!C27=2,90+Inputs!$B$26+Inputs!$B$29,IF(Skills!C27=3,120+Inputs!$B$27+Inputs!$B$29,MAX(0,(Inputs!$B$3-100)*3)+Inputs!$B$28+Inputs!$B$29)))</f>
        <v/>
      </c>
      <c r="E3037">
        <f>INDEX(FactorTable!$B$2:$Y$301, MATCH(ROUND(MIN(300,MAX(1,D3037)),0), FactorTable!$A$2:$A$301,0), Skills!M27+1)</f>
        <v/>
      </c>
      <c r="F3037">
        <f>IF(Skills!N27=TRUE,(Skills!L27/10)*(E3037/1000),Skills!L27/10)+Skills!O27</f>
        <v/>
      </c>
      <c r="G3037">
        <f>Skills!G27*IF(Skills!H27&gt;0,Skills!I27/Skills!H27,1)</f>
        <v/>
      </c>
      <c r="H3037">
        <f>1-(1-Skills!J27/100)^Skills!K27</f>
        <v/>
      </c>
      <c r="I3037" t="inlineStr">
        <is>
          <t>1</t>
        </is>
      </c>
      <c r="J3037" t="inlineStr"/>
      <c r="K3037" t="inlineStr"/>
      <c r="L3037" t="inlineStr"/>
      <c r="M3037" t="inlineStr"/>
      <c r="N3037" t="inlineStr"/>
      <c r="O3037">
        <f>(1-Summary!$B$11)*T3037+Summary!$B$11*V3037</f>
        <v/>
      </c>
      <c r="P3037">
        <f>IF(B3052=0,0,O3037/B3052)</f>
        <v/>
      </c>
      <c r="Q3037" t="n">
        <v>0</v>
      </c>
      <c r="R3037" t="n">
        <v>0</v>
      </c>
      <c r="S3037" t="n">
        <v>0</v>
      </c>
      <c r="T3037" t="n">
        <v>0</v>
      </c>
      <c r="V3037" t="n">
        <v>0</v>
      </c>
    </row>
    <row r="3038">
      <c r="A3038">
        <f>Skills!A28</f>
        <v/>
      </c>
      <c r="B3038">
        <f>Skills!B28</f>
        <v/>
      </c>
      <c r="C3038">
        <f>Inputs!$B$3&gt;=120</f>
        <v/>
      </c>
      <c r="D3038">
        <f>IF(Skills!C28=1,60+Inputs!$B$25+Inputs!$B$29,IF(Skills!C28=2,90+Inputs!$B$26+Inputs!$B$29,IF(Skills!C28=3,120+Inputs!$B$27+Inputs!$B$29,MAX(0,(Inputs!$B$3-100)*3)+Inputs!$B$28+Inputs!$B$29)))</f>
        <v/>
      </c>
      <c r="E3038">
        <f>INDEX(FactorTable!$B$2:$Y$301, MATCH(ROUND(MIN(300,MAX(1,D3038)),0), FactorTable!$A$2:$A$301,0), Skills!M28+1)</f>
        <v/>
      </c>
      <c r="F3038">
        <f>IF(Skills!N28=TRUE,(Skills!L28/10)*(E3038/1000),Skills!L28/10)+Skills!O28</f>
        <v/>
      </c>
      <c r="G3038">
        <f>Skills!G28*IF(Skills!H28&gt;0,Skills!I28/Skills!H28,1)</f>
        <v/>
      </c>
      <c r="H3038">
        <f>1-(1-Skills!J28/100)^Skills!K28</f>
        <v/>
      </c>
      <c r="I3038" t="inlineStr">
        <is>
          <t>1</t>
        </is>
      </c>
      <c r="J3038" t="inlineStr"/>
      <c r="K3038" t="inlineStr"/>
      <c r="L3038" t="inlineStr"/>
      <c r="M3038" t="inlineStr"/>
      <c r="N3038" t="inlineStr"/>
      <c r="O3038">
        <f>(1-Summary!$B$11)*T3038+Summary!$B$11*V3038</f>
        <v/>
      </c>
      <c r="P3038">
        <f>IF(B3052=0,0,O3038/B3052)</f>
        <v/>
      </c>
      <c r="Q3038" t="n">
        <v>0</v>
      </c>
      <c r="R3038" t="n">
        <v>0</v>
      </c>
      <c r="S3038" t="n">
        <v>0</v>
      </c>
      <c r="T3038" t="n">
        <v>0</v>
      </c>
      <c r="V3038" t="n">
        <v>0</v>
      </c>
    </row>
    <row r="3039">
      <c r="A3039">
        <f>Skills!A29</f>
        <v/>
      </c>
      <c r="B3039">
        <f>Skills!B29</f>
        <v/>
      </c>
      <c r="C3039">
        <f>Inputs!$B$3&gt;=45</f>
        <v/>
      </c>
      <c r="D3039">
        <f>IF(Skills!C29=1,60+Inputs!$B$25+Inputs!$B$29,IF(Skills!C29=2,90+Inputs!$B$26+Inputs!$B$29,IF(Skills!C29=3,120+Inputs!$B$27+Inputs!$B$29,MAX(0,(Inputs!$B$3-100)*3)+Inputs!$B$28+Inputs!$B$29)))</f>
        <v/>
      </c>
      <c r="E3039">
        <f>INDEX(FactorTable!$B$2:$Y$301, MATCH(ROUND(MIN(300,MAX(1,D3039)),0), FactorTable!$A$2:$A$301,0), Skills!M29+1)</f>
        <v/>
      </c>
      <c r="F3039">
        <f>IF(Skills!N29=TRUE,(Skills!L29/10)*(E3039/1000),Skills!L29/10)+Skills!O29</f>
        <v/>
      </c>
      <c r="G3039">
        <f>Skills!G29*IF(Skills!H29&gt;0,Skills!I29/Skills!H29,1)</f>
        <v/>
      </c>
      <c r="H3039">
        <f>1-(1-Skills!J29/100)^Skills!K29</f>
        <v/>
      </c>
      <c r="I3039" t="inlineStr">
        <is>
          <t>1</t>
        </is>
      </c>
      <c r="J3039" t="inlineStr"/>
      <c r="K3039" t="inlineStr"/>
      <c r="L3039" t="inlineStr"/>
      <c r="M3039" t="inlineStr"/>
      <c r="N3039" t="inlineStr"/>
      <c r="O3039">
        <f>(1-Summary!$B$11)*T3039+Summary!$B$11*V3039</f>
        <v/>
      </c>
      <c r="P3039">
        <f>IF(B3052=0,0,O3039/B3052)</f>
        <v/>
      </c>
      <c r="Q3039" t="n">
        <v>0</v>
      </c>
      <c r="R3039" t="n">
        <v>0</v>
      </c>
      <c r="S3039" t="n">
        <v>0</v>
      </c>
      <c r="T3039" t="n">
        <v>0</v>
      </c>
      <c r="V3039" t="n">
        <v>0</v>
      </c>
    </row>
    <row r="3041">
      <c r="A3041" t="inlineStr">
        <is>
          <t>Attack% Bucket Multiplier</t>
        </is>
      </c>
      <c r="B3041">
        <f>(1+(((C3023=TRUE)*F3023)+((C3024=TRUE)*IF(Inputs!$B$38="pvp",F3024,(1-Summary!$B$11)*(F3024)+Summary!$B$11*(0)))+((C3025=TRUE)*F3025*IF(AND(Inputs!$B$38&lt;&gt;"pvp",Inputs!$B$43&gt;0),(((R3025-1)*(Skills!T15*(1+Inputs!$B$34/100))+MIN((Skills!T15*(1+Inputs!$B$34/100)),MAX(0,Inputs!$B$43-((R3025-1)*Skills!D15))))/Inputs!$B$43),IF(Inputs!$B$38="pvp",MIN((Skills!T15*(1+Inputs!$B$34/100)),15)/15,(Skills!T15*(1+Inputs!$B$34/100))/Skills!D15)))+((C3022=TRUE)*F3022)+((C3039=TRUE)*(F3039-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3042">
      <c r="A3042" t="inlineStr">
        <is>
          <t>Global Crit Rate Bonus %</t>
        </is>
      </c>
      <c r="B3042">
        <f>(C3026=TRUE)*20*IF(AND(Inputs!$B$38&lt;&gt;"pvp",Inputs!$B$43&gt;0),(((R3026-1)*(Skills!T16*(1+Inputs!$B$34/100))+MIN((Skills!T16*(1+Inputs!$B$34/100)),MAX(0,Inputs!$B$43-((R3026-1)*Skills!D16))))/Inputs!$B$43),IF(Inputs!$B$38="pvp",MIN((Skills!T16*(1+Inputs!$B$34/100)),15)/15,(Skills!T16*(1+Inputs!$B$34/100))/Skills!D16))</f>
        <v/>
      </c>
    </row>
    <row r="3043">
      <c r="A3043" t="inlineStr">
        <is>
          <t>Attack Speed Buff Bonus %</t>
        </is>
      </c>
      <c r="B3043">
        <f>((C3028=TRUE)*F3028*IF(AND(Inputs!$B$38&lt;&gt;"pvp",Inputs!$B$43&gt;0),(((R3028-1)*(Skills!T18*(1+Inputs!$B$34/100))+MIN((Skills!T18*(1+Inputs!$B$34/100)),MAX(0,Inputs!$B$43-((R3028-1)*Skills!D18))))/Inputs!$B$43),IF(Inputs!$B$38="pvp",MIN((Skills!T18*(1+Inputs!$B$34/100)),15)/15,(Skills!T18*(1+Inputs!$B$34/100))/Skills!D18)))</f>
        <v/>
      </c>
    </row>
    <row r="3044">
      <c r="A3044" t="inlineStr">
        <is>
          <t>Actions Per Second</t>
        </is>
      </c>
      <c r="B3044">
        <f>1+MIN(150,150*(1-(1-(Inputs!$B$11+((C3030=TRUE)*(F3030-Calc!F20))+((C3031=TRUE)*(F3031-Calc!F21)))/150)*(1-B3043/150)))/100</f>
        <v/>
      </c>
    </row>
    <row r="3045">
      <c r="A3045" t="inlineStr">
        <is>
          <t>Skill + Buff Cast Rate</t>
        </is>
      </c>
      <c r="B3045">
        <f>IF(AND(Inputs!$B$38&lt;&gt;"pvp",Inputs!$B$43&gt;0),SUMPRODUCT((Skills!E2:E29=TRUE)*(C3012:C3039=TRUE)*R3012:R3039*Skills!F2:F29)/Inputs!$B$43,SUMPRODUCT((Skills!E2:E29=TRUE)*(C3012:C3039=TRUE)*Q3012:Q3039*Skills!F2:F29))</f>
        <v/>
      </c>
    </row>
    <row r="3046">
      <c r="A3046" t="inlineStr">
        <is>
          <t>Empowered Piercing Arrow Casts Per Second</t>
        </is>
      </c>
      <c r="B3046">
        <f>MAX(0,B3044-B3045)</f>
        <v/>
      </c>
    </row>
    <row r="3047">
      <c r="A3047" t="inlineStr">
        <is>
          <t>Global Critical Damage Bonus % (Sharp Eyes)</t>
        </is>
      </c>
      <c r="B3047">
        <f>(C3026=TRUE)*F3026*IF(AND(Inputs!$B$38&lt;&gt;"pvp",Inputs!$B$43&gt;0),(((R3026-1)*(Skills!T16*(1+Inputs!$B$34/100))+MIN((Skills!T16*(1+Inputs!$B$34/100)),MAX(0,Inputs!$B$43-((R3026-1)*Skills!D16))))/Inputs!$B$43),IF(Inputs!$B$38="pvp",MIN((Skills!T16*(1+Inputs!$B$34/100)),15)/15,(Skills!T16*(1+Inputs!$B$34/100))/Skills!D16))</f>
        <v/>
      </c>
    </row>
    <row r="3048">
      <c r="A3048" t="inlineStr">
        <is>
          <t>Global Final Damage Bonus % (Mortal Blow + Last Man Standing conditional half)</t>
        </is>
      </c>
      <c r="B3048">
        <f>(C3027=TRUE)*F3027+((C3036=TRUE)*IF(Inputs!$B$38="pvp",F3036,(1-Summary!$B$11)*(F3036)+Summary!$B$11*(0)))</f>
        <v/>
      </c>
    </row>
    <row r="3049">
      <c r="A3049" t="inlineStr">
        <is>
          <t>Buff-Casting Startup Delay (s, fixed-duration only)</t>
        </is>
      </c>
      <c r="B3049">
        <f>IF(AND(Inputs!$B$38&lt;&gt;"pvp",Inputs!$B$43&gt;0),SUMPRODUCT((Skills!T2:T29&gt;0)*(Skills!E2:E29=TRUE)*(C3012:C3039=TRUE))/B3044,0)</f>
        <v/>
      </c>
    </row>
    <row r="3050">
      <c r="A3050" t="inlineStr">
        <is>
          <t>Boss-Only Total DPS (this block's swept value)</t>
        </is>
      </c>
      <c r="B3050">
        <f>SUM(T3012:T3039)</f>
        <v/>
      </c>
    </row>
    <row r="3051">
      <c r="A3051" t="inlineStr">
        <is>
          <t>Normal-Only Total DPS (this block's swept value)</t>
        </is>
      </c>
      <c r="B3051">
        <f>SUM(V3012:V3039)</f>
        <v/>
      </c>
    </row>
    <row r="3052">
      <c r="A3052" s="6" t="inlineStr">
        <is>
          <t>TOTAL DPS</t>
        </is>
      </c>
      <c r="B3052" s="6">
        <f>SUM(O3012:O3039)</f>
        <v/>
      </c>
    </row>
    <row r="3055">
      <c r="A3055" s="6" t="inlineStr">
        <is>
          <t>Stat: CDR = 2.5s</t>
        </is>
      </c>
    </row>
    <row r="3056">
      <c r="A3056" s="5" t="inlineStr">
        <is>
          <t>Key</t>
        </is>
      </c>
      <c r="B3056" s="5" t="inlineStr">
        <is>
          <t>Name</t>
        </is>
      </c>
      <c r="C3056" s="5" t="inlineStr">
        <is>
          <t>Unlocked</t>
        </is>
      </c>
      <c r="D3056" s="5" t="inlineStr">
        <is>
          <t>InputLevel</t>
        </is>
      </c>
      <c r="E3056" s="5" t="inlineStr">
        <is>
          <t>Factor</t>
        </is>
      </c>
      <c r="F3056" s="5" t="inlineStr">
        <is>
          <t>CoefficientPercent</t>
        </is>
      </c>
      <c r="G3056" s="5" t="inlineStr">
        <is>
          <t>EffectiveHits</t>
        </is>
      </c>
      <c r="H3056" s="5" t="inlineStr">
        <is>
          <t>ProcProbability</t>
        </is>
      </c>
      <c r="I3056" s="5" t="inlineStr">
        <is>
          <t>MapleHeroMultiplier</t>
        </is>
      </c>
      <c r="J3056" s="5" t="inlineStr">
        <is>
          <t>BaseDamage</t>
        </is>
      </c>
      <c r="K3056" s="5" t="inlineStr">
        <is>
          <t>BaseHitDamage</t>
        </is>
      </c>
      <c r="L3056" s="5" t="inlineStr">
        <is>
          <t>NonCritAvg</t>
        </is>
      </c>
      <c r="M3056" s="5" t="inlineStr">
        <is>
          <t>CritAvg</t>
        </is>
      </c>
      <c r="N3056" s="5" t="inlineStr">
        <is>
          <t>ExpectedDamage(perHit)</t>
        </is>
      </c>
      <c r="O3056" s="5" t="inlineStr">
        <is>
          <t>DPS</t>
        </is>
      </c>
      <c r="P3056" s="5" t="inlineStr">
        <is>
          <t>% of Total</t>
        </is>
      </c>
      <c r="Q3056" s="5" t="inlineStr">
        <is>
          <t>InvCooldown</t>
        </is>
      </c>
      <c r="R3056" s="5" t="inlineStr">
        <is>
          <t>CastsInFight</t>
        </is>
      </c>
      <c r="S3056" s="5" t="inlineStr">
        <is>
          <t>HitRate(perSec)</t>
        </is>
      </c>
      <c r="U3056" t="inlineStr">
        <is>
          <t>helpers</t>
        </is>
      </c>
    </row>
    <row r="3057">
      <c r="A3057">
        <f>Skills!A2</f>
        <v/>
      </c>
      <c r="B3057">
        <f>Skills!B2</f>
        <v/>
      </c>
      <c r="C3057">
        <f>Inputs!$B$3&gt;=100</f>
        <v/>
      </c>
      <c r="D3057" t="inlineStr"/>
      <c r="E3057" t="inlineStr"/>
      <c r="F3057">
        <f>U3059+Skills!O2</f>
        <v/>
      </c>
      <c r="G3057">
        <f>Skills!G2*IF(Skills!H2&gt;0,Skills!I2/Skills!H2,1)</f>
        <v/>
      </c>
      <c r="H3057">
        <f>1-(1-Skills!J2/100)^Skills!K2</f>
        <v/>
      </c>
      <c r="I3057" t="inlineStr">
        <is>
          <t>1</t>
        </is>
      </c>
      <c r="J3057">
        <f>((Inputs!$B$6*(1+Inputs!$B$7/100))+(((Inputs!$B$12*(1+Inputs!$B$13/100))-(Inputs!$B$12*(1+Inputs!$B$13/100)))+0.25*(Inputs!$B$14-Inputs!$B$14))*(1+Inputs!$B$7/100))*(F3057/100)</f>
        <v/>
      </c>
      <c r="K3057">
        <f>J3057*(1+((Inputs!$B$12*(1+Inputs!$B$13/100))*0.01+Inputs!$B$14*0.0025)/100)*(1+Inputs!$B$15/100)*(1+Inputs!$B$16/100)*(5000/(6000+Inputs!$B$42*(1-(100*(1-(1-(Inputs!$B$19+0)/100)*(1-CHOOSE(ArtifactsInput!$N$40+1,5,6,7,8,9,10)/100)^(ArtifactsInput!$M$40-ArtifactsInput!$M$40)))/100)))*(1+(Inputs!$B$24+((C3079=TRUE)*(F3079-Calc!F24))+((C3080=TRUE)*(F3080-Calc!F25))+B3093)/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EMPOWERED_PIERCING_ARROW",Inputs!$B$17+((C3077=TRUE)*(F3077-Calc!F22))+(((IF(AND(ArtifactsInput!$M$42,((Inputs!$B$9+((C3074=TRUE)*(F3074-Calc!F19))+B3087+(ArtifactsInput!$M$24-ArtifactsInput!$M$24)*CHOOSE(ArtifactsInput!$N$24+1,10,12,14,16,18,20)+IF(ArtifactsInput!$M$10,CHOOSE(ArtifactsInput!$N$10+1,15,18,21,24,27,30)*(IF(Inputs!$B$38="pvp",MIN(15,15)/15,IF(AND(Inputs!$B$38&lt;&gt;"pvp",Inputs!$B$43&gt;0),MIN(15,Inputs!$B$43)/(Inputs!$B$43),0))),0)))&gt;=100),MIN(100,((Inputs!$B$9+((C3074=TRUE)*(F3074-Calc!F19))+B3087+(ArtifactsInput!$M$24-ArtifactsInput!$M$24)*CHOOSE(ArtifactsInput!$N$24+1,10,12,14,16,18,20)+IF(ArtifactsInput!$M$10,CHOOSE(ArtifactsInput!$N$10+1,15,18,21,24,27,30)*(IF(Inputs!$B$38="pvp",MIN(15,15)/15,IF(AND(Inputs!$B$38&lt;&gt;"pvp",Inputs!$B$43&gt;0),MIN(15,Inputs!$B$43)/(Inputs!$B$43),0))),0)))-100),0))*CHOOSE(ArtifactsInput!$N$42+1,0.6,0.72,0.84,0.96,1.08,1.2))),Inputs!$B$18+((C3082=TRUE)*(F3082-Calc!F27))+(IF(AND(ArtifactsInput!$M$42,((Inputs!$B$9+((C3074=TRUE)*(F3074-Calc!F19))+B3087+(ArtifactsInput!$M$24-ArtifactsInput!$M$24)*CHOOSE(ArtifactsInput!$N$24+1,10,12,14,16,18,20)+IF(ArtifactsInput!$M$10,CHOOSE(ArtifactsInput!$N$10+1,15,18,21,24,27,30)*(IF(Inputs!$B$38="pvp",MIN(15,15)/15,IF(AND(Inputs!$B$38&lt;&gt;"pvp",Inputs!$B$43&gt;0),MIN(15,Inputs!$B$43)/(Inputs!$B$43),0))),0)))&gt;=100),CHOOSE(ArtifactsInput!$N$42+1,40,48,56,64,72,80),0))))/100)*((1+(((C3068=TRUE)*F3068)+((C3069=TRUE)*IF(Inputs!$B$38="pvp",F3069,(1-Summary!$B$11)*(F3069)+Summary!$B$11*(0)))+((C3070=TRUE)*F3070*IF(AND(Inputs!$B$38&lt;&gt;"pvp",Inputs!$B$43&gt;0),(((R3070-1)*(Skills!T15*(1+Inputs!$B$34/100))+MIN((Skills!T15*(1+Inputs!$B$34/100)),MAX(0,Inputs!$B$43-((R3070-1)*Skills!D15))))/Inputs!$B$43),IF(Inputs!$B$38="pvp",MIN((Skills!T15*(1+Inputs!$B$34/100)),15)/15,(Skills!T15*(1+Inputs!$B$34/100))/Skills!D15)))+((C3067=TRUE)*F3067)+((C3084=TRUE)*(F3084-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3057)</f>
        <v/>
      </c>
      <c r="L3057">
        <f>K3057*(MIN(Inputs!$B$22+((C3078=TRUE)*(F3078-Calc!F23)),(Inputs!$B$23+((C3083=TRUE)*(F3083-Calc!F28))+(IF(ArtifactsInput!$M$15,CHOOSE(ArtifactsInput!$N$15+1,25,30,35,40,45,50)/100*(Inputs!$B$11-Inputs!$B$11),0))))/100+(Inputs!$B$23+((C3083=TRUE)*(F3083-Calc!F28))+(IF(ArtifactsInput!$M$15,CHOOSE(ArtifactsInput!$N$15+1,25,30,35,40,45,50)/100*(Inputs!$B$11-Inputs!$B$11),0)))/100)/2</f>
        <v/>
      </c>
      <c r="M3057">
        <f>L3057*(1+(Inputs!$B$10+0+B3092+(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057">
        <f>L3057*(1-MIN((Inputs!$B$9+((C3074=TRUE)*(F3074-Calc!F19))+B3087+(ArtifactsInput!$M$24-ArtifactsInput!$M$24)*CHOOSE(ArtifactsInput!$N$24+1,10,12,14,16,18,20)+(IF(AND(ArtifactsInput!$M$42,((Inputs!$B$9+((C3074=TRUE)*(F3074-Calc!F19))+B3087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3057*(MIN((Inputs!$B$9+((C3074=TRUE)*(F3074-Calc!F19))+B3087+(ArtifactsInput!$M$24-ArtifactsInput!$M$24)*CHOOSE(ArtifactsInput!$N$24+1,10,12,14,16,18,20)+(IF(AND(ArtifactsInput!$M$42,((Inputs!$B$9+((C3074=TRUE)*(F3074-Calc!F19))+B3087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057">
        <f>(1-Summary!$B$11)*T3057+Summary!$B$11*V3057</f>
        <v/>
      </c>
      <c r="P3057">
        <f>IF(B3097=0,0,O3057/B3097)</f>
        <v/>
      </c>
      <c r="Q3057" t="n">
        <v>0</v>
      </c>
      <c r="R3057" t="n">
        <v>0</v>
      </c>
      <c r="S3057">
        <f>IFERROR((Skills!G2*N3057*B3091)/N3057*IF(Inputs!$B$38="pvp",1,(1-Summary!$B$11)*1+Summary!$B$11*(MIN((6+Inputs!$B$33),Inputs!$B$37))),0)</f>
        <v/>
      </c>
      <c r="T3057">
        <f>IF(C3057,(Skills!G2*N3057*B3091)*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Hunt"),CHOOSE(ArtifactsInput!$N$35+1,15,18,21,24,27,30)*(1-EXP(-(0.2*B3089)*5)),0)+IF(AND(ArtifactsInput!$M$22,Inputs!$B$4&lt;&gt;"Chapter Hunt"),CHOOSE(ArtifactsInput!$N$22+1,10,12,14,16,18,20)*((0*(((0.15*B3089*5))^0/1)+1*(((0.15*B3089*5))^1/1)+2*(((0.15*B3089*5))^2/2)+3*(((0.15*B3089*5))^3/6)+4*(((0.15*B3089*5))^4/24)+5*(((0.15*B3089*5))^5/120))/((((0.15*B3089*5))^0/1)+(((0.15*B3089*5))^1/1)+(((0.15*B3089*5))^2/2)+(((0.15*B3089*5))^3/6)+(((0.15*B3089*5))^4/24)+(((0.15*B3089*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3057*(1-MIN(100,(Inputs!$B$9+((C3074=TRUE)*(F3074-Calc!F19))+B3087+(ArtifactsInput!$M$24-ArtifactsInput!$M$24)*CHOOSE(ArtifactsInput!$N$24+1,10,12,14,16,18,20)+(IF(AND(ArtifactsInput!$M$42,((Inputs!$B$9+((C3074=TRUE)*(F3074-Calc!F19))+B3087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3057*(MIN(100,(Inputs!$B$9+((C3074=TRUE)*(F3074-Calc!F19))+B3087+(ArtifactsInput!$M$24-ArtifactsInput!$M$24)*CHOOSE(ArtifactsInput!$N$24+1,10,12,14,16,18,20)+(IF(AND(ArtifactsInput!$M$42,((Inputs!$B$9+((C3074=TRUE)*(F3074-Calc!F19))+B3087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3057*(1-MIN(100,(Inputs!$B$9+((C3074=TRUE)*(F3074-Calc!F19))+B3087+(ArtifactsInput!$M$24-ArtifactsInput!$M$24)*CHOOSE(ArtifactsInput!$N$24+1,10,12,14,16,18,20)+(IF(AND(ArtifactsInput!$M$42,((Inputs!$B$9+((C3074=TRUE)*(F3074-Calc!F19))+B3087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3057*(MIN(100,(Inputs!$B$9+((C3074=TRUE)*(F3074-Calc!F19))+B3087+(ArtifactsInput!$M$24-ArtifactsInput!$M$24)*CHOOSE(ArtifactsInput!$N$24+1,10,12,14,16,18,20)+(IF(AND(ArtifactsInput!$M$42,((Inputs!$B$9+((C3074=TRUE)*(F3074-Calc!F19))+B3087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3057">
        <f>MAX(0,(Inputs!$B$3-100)*3)+Inputs!$B$28+Inputs!$B$29</f>
        <v/>
      </c>
      <c r="V3057">
        <f>IF(C3057,(Skills!G2*N3057*B3091)*IF(Inputs!$B$38="pvp",1,(1+(Inputs!$B$21+Skills!Q2+(IF(ArtifactsInput!$M$33,CHOOSE(ArtifactsInput!$N$33+1,30,36,42,48,54,60),0))+(IF(AND(ArtifactsInput!$M$35,Inputs!$B$4&lt;&gt;"Chapter Hunt"),CHOOSE(ArtifactsInput!$N$35+1,15,18,21,24,27,30)*(1-EXP(-(0.2*B3089)*5)),0)+IF(AND(ArtifactsInput!$M$22,Inputs!$B$4&lt;&gt;"Chapter Hunt"),CHOOSE(ArtifactsInput!$N$22+1,10,12,14,16,18,20)*((0*(((0.15*B3089*5))^0/1)+1*(((0.15*B3089*5))^1/1)+2*(((0.15*B3089*5))^2/2)+3*(((0.15*B3089*5))^3/6)+4*(((0.15*B3089*5))^4/24)+5*(((0.15*B3089*5))^5/120))/((((0.15*B3089*5))^0/1)+(((0.15*B3089*5))^1/1)+(((0.15*B3089*5))^2/2)+(((0.15*B3089*5))^3/6)+(((0.15*B3089*5))^4/24)+(((0.15*B3089*5))^5/120)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058">
      <c r="A3058">
        <f>Skills!A3</f>
        <v/>
      </c>
      <c r="B3058">
        <f>Skills!B3</f>
        <v/>
      </c>
      <c r="C3058">
        <f>Inputs!$B$3&gt;=50</f>
        <v/>
      </c>
      <c r="D3058">
        <f>IF(Skills!C3=1,60+Inputs!$B$25+Inputs!$B$29,IF(Skills!C3=2,90+Inputs!$B$26+Inputs!$B$29,IF(Skills!C3=3,120+Inputs!$B$27+Inputs!$B$29,MAX(0,(Inputs!$B$3-100)*3)+Inputs!$B$28+Inputs!$B$29)))</f>
        <v/>
      </c>
      <c r="E3058">
        <f>INDEX(FactorTable!$B$2:$Y$301, MATCH(ROUND(MIN(300,MAX(1,D3058)),0), FactorTable!$A$2:$A$301,0), Skills!M3+1)</f>
        <v/>
      </c>
      <c r="F3058">
        <f>IF(Skills!N3=TRUE,(Skills!L3/10)*(E3058/1000),Skills!L3/10)+Skills!O3</f>
        <v/>
      </c>
      <c r="G3058" t="inlineStr"/>
      <c r="H3058" t="inlineStr"/>
      <c r="I3058" t="inlineStr">
        <is>
          <t>1</t>
        </is>
      </c>
      <c r="J3058" t="inlineStr"/>
      <c r="K3058" t="inlineStr"/>
      <c r="L3058" t="inlineStr"/>
      <c r="M3058" t="inlineStr"/>
      <c r="N3058" t="inlineStr"/>
      <c r="O3058" t="inlineStr"/>
      <c r="P3058" t="inlineStr"/>
      <c r="Q3058" t="inlineStr"/>
      <c r="R3058" t="inlineStr"/>
      <c r="S3058" t="inlineStr"/>
      <c r="T3058" t="inlineStr"/>
      <c r="U3058">
        <f>INDEX(FactorTable!$B$2:$Y$301, MATCH(ROUND(MIN(300,MAX(1,U3057)),0), FactorTable!$A$2:$A$301,0), 22)</f>
        <v/>
      </c>
      <c r="V3058" t="inlineStr"/>
    </row>
    <row r="3059">
      <c r="A3059">
        <f>Skills!A4</f>
        <v/>
      </c>
      <c r="B3059">
        <f>Skills!B4</f>
        <v/>
      </c>
      <c r="C3059">
        <f>Inputs!$B$3&gt;=105</f>
        <v/>
      </c>
      <c r="D3059">
        <f>IF(Skills!C4=1,60+Inputs!$B$25+Inputs!$B$29,IF(Skills!C4=2,90+Inputs!$B$26+Inputs!$B$29,IF(Skills!C4=3,120+Inputs!$B$27+Inputs!$B$29,MAX(0,(Inputs!$B$3-100)*3)+Inputs!$B$28+Inputs!$B$29)))</f>
        <v/>
      </c>
      <c r="E3059">
        <f>INDEX(FactorTable!$B$2:$Y$301, MATCH(ROUND(MIN(300,MAX(1,D3059)),0), FactorTable!$A$2:$A$301,0), Skills!M4+1)</f>
        <v/>
      </c>
      <c r="F3059">
        <f>IF(Skills!N4=TRUE,(Skills!L4/10)*(E3059/1000),Skills!L4/10)+Skills!O4</f>
        <v/>
      </c>
      <c r="G3059" t="inlineStr"/>
      <c r="H3059" t="inlineStr"/>
      <c r="I3059" t="inlineStr">
        <is>
          <t>1</t>
        </is>
      </c>
      <c r="J3059" t="inlineStr"/>
      <c r="K3059" t="inlineStr"/>
      <c r="L3059" t="inlineStr"/>
      <c r="M3059" t="inlineStr"/>
      <c r="N3059" t="inlineStr"/>
      <c r="O3059" t="inlineStr"/>
      <c r="P3059" t="inlineStr"/>
      <c r="Q3059" t="inlineStr"/>
      <c r="R3059" t="inlineStr"/>
      <c r="S3059" t="inlineStr"/>
      <c r="T3059" t="inlineStr"/>
      <c r="U3059">
        <f>290*U3058/1000</f>
        <v/>
      </c>
      <c r="V3059" t="inlineStr"/>
    </row>
    <row r="3060">
      <c r="A3060">
        <f>Skills!A5</f>
        <v/>
      </c>
      <c r="B3060">
        <f>Skills!B5</f>
        <v/>
      </c>
      <c r="C3060">
        <f>Inputs!$B$3&gt;=35</f>
        <v/>
      </c>
      <c r="D3060">
        <f>IF(Skills!C5=1,60+Inputs!$B$25+Inputs!$B$29,IF(Skills!C5=2,90+Inputs!$B$26+Inputs!$B$29,IF(Skills!C5=3,120+Inputs!$B$27+Inputs!$B$29,MAX(0,(Inputs!$B$3-100)*3)+Inputs!$B$28+Inputs!$B$29)))</f>
        <v/>
      </c>
      <c r="E3060">
        <f>INDEX(FactorTable!$B$2:$Y$301, MATCH(ROUND(MIN(300,MAX(1,D3060)),0), FactorTable!$A$2:$A$301,0), Skills!M5+1)</f>
        <v/>
      </c>
      <c r="F3060">
        <f>IF(Skills!N5=TRUE,(Skills!L5/10)*(E3060/1000),Skills!L5/10)+Skills!O5</f>
        <v/>
      </c>
      <c r="G3060">
        <f>Skills!G5*IF(Skills!H5&gt;0,Skills!I5/Skills!H5,1)</f>
        <v/>
      </c>
      <c r="H3060">
        <f>1-(1-Skills!J5/100)^Skills!K5</f>
        <v/>
      </c>
      <c r="I3060" t="inlineStr">
        <is>
          <t>1</t>
        </is>
      </c>
      <c r="J3060">
        <f>((Inputs!$B$6*(1+Inputs!$B$7/100))+(((Inputs!$B$12*(1+Inputs!$B$13/100))-(Inputs!$B$12*(1+Inputs!$B$13/100)))+0.25*(Inputs!$B$14-Inputs!$B$14))*(1+Inputs!$B$7/100))*(F3060/100)</f>
        <v/>
      </c>
      <c r="K3060">
        <f>J3060*(1+((Inputs!$B$12*(1+Inputs!$B$13/100))*0.01+Inputs!$B$14*0.0025)/100)*(1+Inputs!$B$15/100)*(1+Inputs!$B$16/100)*(5000/(6000+Inputs!$B$42*(1-(100*(1-(1-(Inputs!$B$19+0)/100)*(1-CHOOSE(ArtifactsInput!$N$40+1,5,6,7,8,9,10)/100)^(ArtifactsInput!$M$40-ArtifactsInput!$M$40)))/100)))*(1+(Inputs!$B$24+((C3079=TRUE)*(F3079-Calc!F24))+((C3080=TRUE)*(F3080-Calc!F25))+B3093)/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3063=TRUE,F3063,0)/100)*(1+(IF(Skills!A5="EMPOWERED_PIERCING_ARROW",Inputs!$B$17+((C3077=TRUE)*(F3077-Calc!F22))+(((IF(AND(ArtifactsInput!$M$42,((Inputs!$B$9+((C3074=TRUE)*(F3074-Calc!F19))+B3087+(ArtifactsInput!$M$24-ArtifactsInput!$M$24)*CHOOSE(ArtifactsInput!$N$24+1,10,12,14,16,18,20)+IF(ArtifactsInput!$M$10,CHOOSE(ArtifactsInput!$N$10+1,15,18,21,24,27,30)*(IF(Inputs!$B$38="pvp",MIN(15,15)/15,IF(AND(Inputs!$B$38&lt;&gt;"pvp",Inputs!$B$43&gt;0),MIN(15,Inputs!$B$43)/(Inputs!$B$43),0))),0)))&gt;=100),MIN(100,((Inputs!$B$9+((C3074=TRUE)*(F3074-Calc!F19))+B3087+(ArtifactsInput!$M$24-ArtifactsInput!$M$24)*CHOOSE(ArtifactsInput!$N$24+1,10,12,14,16,18,20)+IF(ArtifactsInput!$M$10,CHOOSE(ArtifactsInput!$N$10+1,15,18,21,24,27,30)*(IF(Inputs!$B$38="pvp",MIN(15,15)/15,IF(AND(Inputs!$B$38&lt;&gt;"pvp",Inputs!$B$43&gt;0),MIN(15,Inputs!$B$43)/(Inputs!$B$43),0))),0)))-100),0))*CHOOSE(ArtifactsInput!$N$42+1,0.6,0.72,0.84,0.96,1.08,1.2))),Inputs!$B$18+((C3082=TRUE)*(F3082-Calc!F27))+(IF(AND(ArtifactsInput!$M$42,((Inputs!$B$9+((C3074=TRUE)*(F3074-Calc!F19))+B3087+(ArtifactsInput!$M$24-ArtifactsInput!$M$24)*CHOOSE(ArtifactsInput!$N$24+1,10,12,14,16,18,20)+IF(ArtifactsInput!$M$10,CHOOSE(ArtifactsInput!$N$10+1,15,18,21,24,27,30)*(IF(Inputs!$B$38="pvp",MIN(15,15)/15,IF(AND(Inputs!$B$38&lt;&gt;"pvp",Inputs!$B$43&gt;0),MIN(15,Inputs!$B$43)/(Inputs!$B$43),0))),0)))&gt;=100),CHOOSE(ArtifactsInput!$N$42+1,40,48,56,64,72,80),0))))/100)*((1+(((C3068=TRUE)*F3068)+((C3069=TRUE)*IF(Inputs!$B$38="pvp",F3069,(1-Summary!$B$11)*(F3069)+Summary!$B$11*(0)))+((C3070=TRUE)*F3070*IF(AND(Inputs!$B$38&lt;&gt;"pvp",Inputs!$B$43&gt;0),(((R3070-1)*(Skills!T15*(1+Inputs!$B$34/100))+MIN((Skills!T15*(1+Inputs!$B$34/100)),MAX(0,Inputs!$B$43-((R3070-1)*Skills!D15))))/Inputs!$B$43),IF(Inputs!$B$38="pvp",MIN((Skills!T15*(1+Inputs!$B$34/100)),15)/15,(Skills!T15*(1+Inputs!$B$34/100))/Skills!D15)))+((C3067=TRUE)*F3067)+((C3084=TRUE)*(F3084-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3060)</f>
        <v/>
      </c>
      <c r="L3060">
        <f>K3060*(MIN(Inputs!$B$22+((C3078=TRUE)*(F3078-Calc!F23)),(Inputs!$B$23+((C3083=TRUE)*(F3083-Calc!F28))+(IF(ArtifactsInput!$M$15,CHOOSE(ArtifactsInput!$N$15+1,25,30,35,40,45,50)/100*(Inputs!$B$11-Inputs!$B$11),0))))/100+(Inputs!$B$23+((C3083=TRUE)*(F3083-Calc!F28))+(IF(ArtifactsInput!$M$15,CHOOSE(ArtifactsInput!$N$15+1,25,30,35,40,45,50)/100*(Inputs!$B$11-Inputs!$B$11),0)))/100)/2</f>
        <v/>
      </c>
      <c r="M3060">
        <f>L3060*(1+(Inputs!$B$10+0+B3092+(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060">
        <f>L3060*(1-MIN((Inputs!$B$9+((C3074=TRUE)*(F3074-Calc!F19))+B3087+(ArtifactsInput!$M$24-ArtifactsInput!$M$24)*CHOOSE(ArtifactsInput!$N$24+1,10,12,14,16,18,20)+(IF(AND(ArtifactsInput!$M$42,((Inputs!$B$9+((C3074=TRUE)*(F3074-Calc!F19))+B3087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3060*(MIN((Inputs!$B$9+((C3074=TRUE)*(F3074-Calc!F19))+B3087+(ArtifactsInput!$M$24-ArtifactsInput!$M$24)*CHOOSE(ArtifactsInput!$N$24+1,10,12,14,16,18,20)+(IF(AND(ArtifactsInput!$M$42,((Inputs!$B$9+((C3074=TRUE)*(F3074-Calc!F19))+B3087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060">
        <f>(1-Summary!$B$11)*T3060+Summary!$B$11*V3060</f>
        <v/>
      </c>
      <c r="P3060">
        <f>IF(B3097=0,0,O3060/B3097)</f>
        <v/>
      </c>
      <c r="Q3060">
        <f>IFERROR(1/IF(Inputs!$B$38="pvp",15,MAX(0.1,Skills!D5-IF(Skills!E5=TRUE,2.5,0))),0)</f>
        <v/>
      </c>
      <c r="R3060">
        <f>IF(AND(Inputs!$B$38&lt;&gt;"pvp",Inputs!$B$43&gt;0),IF(MAX(0,Inputs!$B$43-B3094)&lt;=0,0,(INT(MAX(0,Inputs!$B$43-B3094)/IF(Inputs!$B$38="pvp",15,MAX(0.1,Skills!D5-IF(Skills!E5=TRUE,2.5,0))))+1)),0)</f>
        <v/>
      </c>
      <c r="S3060">
        <f>IFERROR((H3060*N3060*IF(AND(Inputs!$B$38&lt;&gt;"pvp",Inputs!$B$43&gt;0),((Skills!G5*((R3060-1)*IF(Skills!H5&gt;0,Skills!I5/Skills!H5,1)+IF(Skills!H5&gt;0,MIN(Skills!I5,MAX(0,MAX(0,Inputs!$B$43-B3094)-((R3060-1)*IF(Inputs!$B$38="pvp",15,MAX(0.1,Skills!D5-IF(Skills!E5=TRUE,2.5,0))))))/Skills!H5,1)))/Inputs!$B$43),G3060*Q3060))/N3060*IF(Inputs!$B$38="pvp",1,(1-Summary!$B$11)*1+Summary!$B$11*(MIN(Skills!R5,Inputs!$B$37))),0)</f>
        <v/>
      </c>
      <c r="T3060">
        <f>IF(C3060,(H3060*N3060*IF(AND(Inputs!$B$38&lt;&gt;"pvp",Inputs!$B$43&gt;0),((Skills!G5*((R3060-1)*IF(Skills!H5&gt;0,Skills!I5/Skills!H5,1)+IF(Skills!H5&gt;0,MIN(Skills!I5,MAX(0,MAX(0,Inputs!$B$43-B3094)-((R3060-1)*IF(Inputs!$B$38="pvp",15,MAX(0.1,Skills!D5-IF(Skills!E5=TRUE,2.5,0))))))/Skills!H5,1)))/Inputs!$B$43),G3060*Q3060))*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Hunt"),CHOOSE(ArtifactsInput!$N$35+1,15,18,21,24,27,30)*(1-EXP(-(0.2*B3089)*5)),0)+IF(AND(ArtifactsInput!$M$22,Inputs!$B$4&lt;&gt;"Chapter Hunt"),CHOOSE(ArtifactsInput!$N$22+1,10,12,14,16,18,20)*((0*(((0.15*B3089*5))^0/1)+1*(((0.15*B3089*5))^1/1)+2*(((0.15*B3089*5))^2/2)+3*(((0.15*B3089*5))^3/6)+4*(((0.15*B3089*5))^4/24)+5*(((0.15*B3089*5))^5/120))/((((0.15*B3089*5))^0/1)+(((0.15*B3089*5))^1/1)+(((0.15*B3089*5))^2/2)+(((0.15*B3089*5))^3/6)+(((0.15*B3089*5))^4/24)+(((0.15*B3089*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3060*(1-MIN(100,(Inputs!$B$9+((C3074=TRUE)*(F3074-Calc!F19))+B3087+(ArtifactsInput!$M$24-ArtifactsInput!$M$24)*CHOOSE(ArtifactsInput!$N$24+1,10,12,14,16,18,20)+(IF(AND(ArtifactsInput!$M$42,((Inputs!$B$9+((C3074=TRUE)*(F3074-Calc!F19))+B3087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3060*(MIN(100,(Inputs!$B$9+((C3074=TRUE)*(F3074-Calc!F19))+B3087+(ArtifactsInput!$M$24-ArtifactsInput!$M$24)*CHOOSE(ArtifactsInput!$N$24+1,10,12,14,16,18,20)+(IF(AND(ArtifactsInput!$M$42,((Inputs!$B$9+((C3074=TRUE)*(F3074-Calc!F19))+B3087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3060*(1-MIN(100,(Inputs!$B$9+((C3074=TRUE)*(F3074-Calc!F19))+B3087+(ArtifactsInput!$M$24-ArtifactsInput!$M$24)*CHOOSE(ArtifactsInput!$N$24+1,10,12,14,16,18,20)+(IF(AND(ArtifactsInput!$M$42,((Inputs!$B$9+((C3074=TRUE)*(F3074-Calc!F19))+B3087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3060*(MIN(100,(Inputs!$B$9+((C3074=TRUE)*(F3074-Calc!F19))+B3087+(ArtifactsInput!$M$24-ArtifactsInput!$M$24)*CHOOSE(ArtifactsInput!$N$24+1,10,12,14,16,18,20)+(IF(AND(ArtifactsInput!$M$42,((Inputs!$B$9+((C3074=TRUE)*(F3074-Calc!F19))+B3087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060">
        <f>IF(C3060,(H3060*N3060*IF(AND(Inputs!$B$38&lt;&gt;"pvp",Inputs!$B$43&gt;0),((Skills!G5*((R3060-1)*IF(Skills!H5&gt;0,Skills!I5/Skills!H5,1)+IF(Skills!H5&gt;0,MIN(Skills!I5,MAX(0,MAX(0,Inputs!$B$43-B3094)-((R3060-1)*IF(Inputs!$B$38="pvp",15,MAX(0.1,Skills!D5-IF(Skills!E5=TRUE,2.5,0))))))/Skills!H5,1)))/Inputs!$B$43),G3060*Q3060))*IF(Inputs!$B$38="pvp",1,(1+(Inputs!$B$21+Skills!Q5+(IF(ArtifactsInput!$M$33,CHOOSE(ArtifactsInput!$N$33+1,30,36,42,48,54,60),0))+(IF(AND(ArtifactsInput!$M$35,Inputs!$B$4&lt;&gt;"Chapter Hunt"),CHOOSE(ArtifactsInput!$N$35+1,15,18,21,24,27,30)*(1-EXP(-(0.2*B3089)*5)),0)+IF(AND(ArtifactsInput!$M$22,Inputs!$B$4&lt;&gt;"Chapter Hunt"),CHOOSE(ArtifactsInput!$N$22+1,10,12,14,16,18,20)*((0*(((0.15*B3089*5))^0/1)+1*(((0.15*B3089*5))^1/1)+2*(((0.15*B3089*5))^2/2)+3*(((0.15*B3089*5))^3/6)+4*(((0.15*B3089*5))^4/24)+5*(((0.15*B3089*5))^5/120))/((((0.15*B3089*5))^0/1)+(((0.15*B3089*5))^1/1)+(((0.15*B3089*5))^2/2)+(((0.15*B3089*5))^3/6)+(((0.15*B3089*5))^4/24)+(((0.15*B3089*5))^5/120)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061">
      <c r="A3061">
        <f>Skills!A6</f>
        <v/>
      </c>
      <c r="B3061">
        <f>Skills!B6</f>
        <v/>
      </c>
      <c r="C3061">
        <f>Inputs!$B$3&gt;=63</f>
        <v/>
      </c>
      <c r="D3061">
        <f>IF(Skills!C6=1,60+Inputs!$B$25+Inputs!$B$29,IF(Skills!C6=2,90+Inputs!$B$26+Inputs!$B$29,IF(Skills!C6=3,120+Inputs!$B$27+Inputs!$B$29,MAX(0,(Inputs!$B$3-100)*3)+Inputs!$B$28+Inputs!$B$29)))</f>
        <v/>
      </c>
      <c r="E3061">
        <f>INDEX(FactorTable!$B$2:$Y$301, MATCH(ROUND(MIN(300,MAX(1,D3061)),0), FactorTable!$A$2:$A$301,0), Skills!M6+1)</f>
        <v/>
      </c>
      <c r="F3061">
        <f>IF(Skills!N6=TRUE,(Skills!L6/10)*(E3061/1000),Skills!L6/10)+Skills!O6</f>
        <v/>
      </c>
      <c r="G3061">
        <f>Skills!G6*IF(Skills!H6&gt;0,Skills!I6/Skills!H6,1)</f>
        <v/>
      </c>
      <c r="H3061">
        <f>1-(1-Skills!J6/100)^Skills!K6</f>
        <v/>
      </c>
      <c r="I3061" t="inlineStr">
        <is>
          <t>1</t>
        </is>
      </c>
      <c r="J3061">
        <f>((Inputs!$B$6*(1+Inputs!$B$7/100))+(((Inputs!$B$12*(1+Inputs!$B$13/100))-(Inputs!$B$12*(1+Inputs!$B$13/100)))+0.25*(Inputs!$B$14-Inputs!$B$14))*(1+Inputs!$B$7/100))*(F3061/100)</f>
        <v/>
      </c>
      <c r="K3061">
        <f>J3061*(1+((Inputs!$B$12*(1+Inputs!$B$13/100))*0.01+Inputs!$B$14*0.0025)/100)*(1+Inputs!$B$15/100)*(1+Inputs!$B$16/100)*(5000/(6000+Inputs!$B$42*(1-(100*(1-(1-(Inputs!$B$19+0)/100)*(1-CHOOSE(ArtifactsInput!$N$40+1,5,6,7,8,9,10)/100)^(ArtifactsInput!$M$40-ArtifactsInput!$M$40)))/100)))*(1+(Inputs!$B$24+((C3079=TRUE)*(F3079-Calc!F24))+((C3080=TRUE)*(F3080-Calc!F25))+B3093)/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3063=TRUE,F3063,0)/100)*(1+(IF(Skills!A6="EMPOWERED_PIERCING_ARROW",Inputs!$B$17+((C3077=TRUE)*(F3077-Calc!F22))+(((IF(AND(ArtifactsInput!$M$42,((Inputs!$B$9+((C3074=TRUE)*(F3074-Calc!F19))+B3087+(ArtifactsInput!$M$24-ArtifactsInput!$M$24)*CHOOSE(ArtifactsInput!$N$24+1,10,12,14,16,18,20)+IF(ArtifactsInput!$M$10,CHOOSE(ArtifactsInput!$N$10+1,15,18,21,24,27,30)*(IF(Inputs!$B$38="pvp",MIN(15,15)/15,IF(AND(Inputs!$B$38&lt;&gt;"pvp",Inputs!$B$43&gt;0),MIN(15,Inputs!$B$43)/(Inputs!$B$43),0))),0)))&gt;=100),MIN(100,((Inputs!$B$9+((C3074=TRUE)*(F3074-Calc!F19))+B3087+(ArtifactsInput!$M$24-ArtifactsInput!$M$24)*CHOOSE(ArtifactsInput!$N$24+1,10,12,14,16,18,20)+IF(ArtifactsInput!$M$10,CHOOSE(ArtifactsInput!$N$10+1,15,18,21,24,27,30)*(IF(Inputs!$B$38="pvp",MIN(15,15)/15,IF(AND(Inputs!$B$38&lt;&gt;"pvp",Inputs!$B$43&gt;0),MIN(15,Inputs!$B$43)/(Inputs!$B$43),0))),0)))-100),0))*CHOOSE(ArtifactsInput!$N$42+1,0.6,0.72,0.84,0.96,1.08,1.2))),Inputs!$B$18+((C3082=TRUE)*(F3082-Calc!F27))+(IF(AND(ArtifactsInput!$M$42,((Inputs!$B$9+((C3074=TRUE)*(F3074-Calc!F19))+B3087+(ArtifactsInput!$M$24-ArtifactsInput!$M$24)*CHOOSE(ArtifactsInput!$N$24+1,10,12,14,16,18,20)+IF(ArtifactsInput!$M$10,CHOOSE(ArtifactsInput!$N$10+1,15,18,21,24,27,30)*(IF(Inputs!$B$38="pvp",MIN(15,15)/15,IF(AND(Inputs!$B$38&lt;&gt;"pvp",Inputs!$B$43&gt;0),MIN(15,Inputs!$B$43)/(Inputs!$B$43),0))),0)))&gt;=100),CHOOSE(ArtifactsInput!$N$42+1,40,48,56,64,72,80),0))))/100)*((1+(((C3068=TRUE)*F3068)+((C3069=TRUE)*IF(Inputs!$B$38="pvp",F3069,(1-Summary!$B$11)*(F3069)+Summary!$B$11*(0)))+((C3070=TRUE)*F3070*IF(AND(Inputs!$B$38&lt;&gt;"pvp",Inputs!$B$43&gt;0),(((R3070-1)*(Skills!T15*(1+Inputs!$B$34/100))+MIN((Skills!T15*(1+Inputs!$B$34/100)),MAX(0,Inputs!$B$43-((R3070-1)*Skills!D15))))/Inputs!$B$43),IF(Inputs!$B$38="pvp",MIN((Skills!T15*(1+Inputs!$B$34/100)),15)/15,(Skills!T15*(1+Inputs!$B$34/100))/Skills!D15)))+((C3067=TRUE)*F3067)+((C3084=TRUE)*(F3084-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3061)</f>
        <v/>
      </c>
      <c r="L3061">
        <f>K3061*(MIN(Inputs!$B$22+((C3078=TRUE)*(F3078-Calc!F23)),(Inputs!$B$23+((C3083=TRUE)*(F3083-Calc!F28))+(IF(ArtifactsInput!$M$15,CHOOSE(ArtifactsInput!$N$15+1,25,30,35,40,45,50)/100*(Inputs!$B$11-Inputs!$B$11),0))))/100+(Inputs!$B$23+((C3083=TRUE)*(F3083-Calc!F28))+(IF(ArtifactsInput!$M$15,CHOOSE(ArtifactsInput!$N$15+1,25,30,35,40,45,50)/100*(Inputs!$B$11-Inputs!$B$11),0)))/100)/2</f>
        <v/>
      </c>
      <c r="M3061">
        <f>L3061*(1+(Inputs!$B$10+0+B3092+(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061">
        <f>L3061*(1-MIN((Inputs!$B$9+((C3074=TRUE)*(F3074-Calc!F19))+B3087+(ArtifactsInput!$M$24-ArtifactsInput!$M$24)*CHOOSE(ArtifactsInput!$N$24+1,10,12,14,16,18,20)+(IF(AND(ArtifactsInput!$M$42,((Inputs!$B$9+((C3074=TRUE)*(F3074-Calc!F19))+B3087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3061*(MIN((Inputs!$B$9+((C3074=TRUE)*(F3074-Calc!F19))+B3087+(ArtifactsInput!$M$24-ArtifactsInput!$M$24)*CHOOSE(ArtifactsInput!$N$24+1,10,12,14,16,18,20)+(IF(AND(ArtifactsInput!$M$42,((Inputs!$B$9+((C3074=TRUE)*(F3074-Calc!F19))+B3087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061">
        <f>(1-Summary!$B$11)*T3061+Summary!$B$11*V3061</f>
        <v/>
      </c>
      <c r="P3061">
        <f>IF(B3097=0,0,O3061/B3097)</f>
        <v/>
      </c>
      <c r="Q3061">
        <f>IFERROR(1/IF(Inputs!$B$38="pvp",15,MAX(0.1,Skills!D6-IF(Skills!E6=TRUE,2.5,0))),0)</f>
        <v/>
      </c>
      <c r="R3061">
        <f>IF(AND(Inputs!$B$38&lt;&gt;"pvp",Inputs!$B$43&gt;0),IF(MAX(0,Inputs!$B$43-B3094)&lt;=0,0,(INT(MAX(0,Inputs!$B$43-B3094)/IF(Inputs!$B$38="pvp",15,MAX(0.1,Skills!D6-IF(Skills!E6=TRUE,2.5,0))))+1)),0)</f>
        <v/>
      </c>
      <c r="S3061">
        <f>IFERROR((H3061*N3061*IF(AND(Inputs!$B$38&lt;&gt;"pvp",Inputs!$B$43&gt;0),((Skills!G6*((R3061-1)*IF(Skills!H6&gt;0,Skills!I6/Skills!H6,1)+IF(Skills!H6&gt;0,MIN(Skills!I6,MAX(0,MAX(0,Inputs!$B$43-B3094)-((R3061-1)*IF(Inputs!$B$38="pvp",15,MAX(0.1,Skills!D6-IF(Skills!E6=TRUE,2.5,0))))))/Skills!H6,1)))/Inputs!$B$43),G3061*Q3061))/N3061*IF(Inputs!$B$38="pvp",1,(1-Summary!$B$11)*1+Summary!$B$11*(MIN(Skills!R6,Inputs!$B$37))),0)</f>
        <v/>
      </c>
      <c r="T3061">
        <f>IF(C3061,(H3061*N3061*IF(AND(Inputs!$B$38&lt;&gt;"pvp",Inputs!$B$43&gt;0),((Skills!G6*((R3061-1)*IF(Skills!H6&gt;0,Skills!I6/Skills!H6,1)+IF(Skills!H6&gt;0,MIN(Skills!I6,MAX(0,MAX(0,Inputs!$B$43-B3094)-((R3061-1)*IF(Inputs!$B$38="pvp",15,MAX(0.1,Skills!D6-IF(Skills!E6=TRUE,2.5,0))))))/Skills!H6,1)))/Inputs!$B$43),G3061*Q3061))*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Hunt"),CHOOSE(ArtifactsInput!$N$35+1,15,18,21,24,27,30)*(1-EXP(-(0.2*B3089)*5)),0)+IF(AND(ArtifactsInput!$M$22,Inputs!$B$4&lt;&gt;"Chapter Hunt"),CHOOSE(ArtifactsInput!$N$22+1,10,12,14,16,18,20)*((0*(((0.15*B3089*5))^0/1)+1*(((0.15*B3089*5))^1/1)+2*(((0.15*B3089*5))^2/2)+3*(((0.15*B3089*5))^3/6)+4*(((0.15*B3089*5))^4/24)+5*(((0.15*B3089*5))^5/120))/((((0.15*B3089*5))^0/1)+(((0.15*B3089*5))^1/1)+(((0.15*B3089*5))^2/2)+(((0.15*B3089*5))^3/6)+(((0.15*B3089*5))^4/24)+(((0.15*B3089*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3061*(1-MIN(100,(Inputs!$B$9+((C3074=TRUE)*(F3074-Calc!F19))+B3087+(ArtifactsInput!$M$24-ArtifactsInput!$M$24)*CHOOSE(ArtifactsInput!$N$24+1,10,12,14,16,18,20)+(IF(AND(ArtifactsInput!$M$42,((Inputs!$B$9+((C3074=TRUE)*(F3074-Calc!F19))+B3087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3061*(MIN(100,(Inputs!$B$9+((C3074=TRUE)*(F3074-Calc!F19))+B3087+(ArtifactsInput!$M$24-ArtifactsInput!$M$24)*CHOOSE(ArtifactsInput!$N$24+1,10,12,14,16,18,20)+(IF(AND(ArtifactsInput!$M$42,((Inputs!$B$9+((C3074=TRUE)*(F3074-Calc!F19))+B3087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3061*(1-MIN(100,(Inputs!$B$9+((C3074=TRUE)*(F3074-Calc!F19))+B3087+(ArtifactsInput!$M$24-ArtifactsInput!$M$24)*CHOOSE(ArtifactsInput!$N$24+1,10,12,14,16,18,20)+(IF(AND(ArtifactsInput!$M$42,((Inputs!$B$9+((C3074=TRUE)*(F3074-Calc!F19))+B3087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3061*(MIN(100,(Inputs!$B$9+((C3074=TRUE)*(F3074-Calc!F19))+B3087+(ArtifactsInput!$M$24-ArtifactsInput!$M$24)*CHOOSE(ArtifactsInput!$N$24+1,10,12,14,16,18,20)+(IF(AND(ArtifactsInput!$M$42,((Inputs!$B$9+((C3074=TRUE)*(F3074-Calc!F19))+B3087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061">
        <f>IF(C3061,(H3061*N3061*IF(AND(Inputs!$B$38&lt;&gt;"pvp",Inputs!$B$43&gt;0),((Skills!G6*((R3061-1)*IF(Skills!H6&gt;0,Skills!I6/Skills!H6,1)+IF(Skills!H6&gt;0,MIN(Skills!I6,MAX(0,MAX(0,Inputs!$B$43-B3094)-((R3061-1)*IF(Inputs!$B$38="pvp",15,MAX(0.1,Skills!D6-IF(Skills!E6=TRUE,2.5,0))))))/Skills!H6,1)))/Inputs!$B$43),G3061*Q3061))*IF(Inputs!$B$38="pvp",1,(1+(Inputs!$B$21+Skills!Q6+(IF(ArtifactsInput!$M$33,CHOOSE(ArtifactsInput!$N$33+1,30,36,42,48,54,60),0))+(IF(AND(ArtifactsInput!$M$35,Inputs!$B$4&lt;&gt;"Chapter Hunt"),CHOOSE(ArtifactsInput!$N$35+1,15,18,21,24,27,30)*(1-EXP(-(0.2*B3089)*5)),0)+IF(AND(ArtifactsInput!$M$22,Inputs!$B$4&lt;&gt;"Chapter Hunt"),CHOOSE(ArtifactsInput!$N$22+1,10,12,14,16,18,20)*((0*(((0.15*B3089*5))^0/1)+1*(((0.15*B3089*5))^1/1)+2*(((0.15*B3089*5))^2/2)+3*(((0.15*B3089*5))^3/6)+4*(((0.15*B3089*5))^4/24)+5*(((0.15*B3089*5))^5/120))/((((0.15*B3089*5))^0/1)+(((0.15*B3089*5))^1/1)+(((0.15*B3089*5))^2/2)+(((0.15*B3089*5))^3/6)+(((0.15*B3089*5))^4/24)+(((0.15*B3089*5))^5/120))),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062">
      <c r="A3062">
        <f>Skills!A7</f>
        <v/>
      </c>
      <c r="B3062">
        <f>Skills!B7</f>
        <v/>
      </c>
      <c r="C3062">
        <f>Inputs!$B$3&gt;=69</f>
        <v/>
      </c>
      <c r="D3062">
        <f>IF(Skills!C7=1,60+Inputs!$B$25+Inputs!$B$29,IF(Skills!C7=2,90+Inputs!$B$26+Inputs!$B$29,IF(Skills!C7=3,120+Inputs!$B$27+Inputs!$B$29,MAX(0,(Inputs!$B$3-100)*3)+Inputs!$B$28+Inputs!$B$29)))</f>
        <v/>
      </c>
      <c r="E3062">
        <f>INDEX(FactorTable!$B$2:$Y$301, MATCH(ROUND(MIN(300,MAX(1,D3062)),0), FactorTable!$A$2:$A$301,0), Skills!M7+1)</f>
        <v/>
      </c>
      <c r="F3062">
        <f>IF(Skills!N7=TRUE,(Skills!L7/10)*(E3062/1000),Skills!L7/10)+Skills!O7</f>
        <v/>
      </c>
      <c r="G3062">
        <f>Skills!G7*IF(Skills!H7&gt;0,Skills!I7/Skills!H7,1)</f>
        <v/>
      </c>
      <c r="H3062">
        <f>1-(1-Skills!J7/100)^Skills!K7</f>
        <v/>
      </c>
      <c r="I3062" t="inlineStr">
        <is>
          <t>1</t>
        </is>
      </c>
      <c r="J3062">
        <f>((Inputs!$B$6*(1+Inputs!$B$7/100))+(((Inputs!$B$12*(1+Inputs!$B$13/100))-(Inputs!$B$12*(1+Inputs!$B$13/100)))+0.25*(Inputs!$B$14-Inputs!$B$14))*(1+Inputs!$B$7/100))*(F3062/100)</f>
        <v/>
      </c>
      <c r="K3062">
        <f>J3062*(1+((Inputs!$B$12*(1+Inputs!$B$13/100))*0.01+Inputs!$B$14*0.0025)/100)*(1+Inputs!$B$15/100)*(1+Inputs!$B$16/100)*(5000/(6000+Inputs!$B$42*(1-(100*(1-(1-(Inputs!$B$19+0)/100)*(1-CHOOSE(ArtifactsInput!$N$40+1,5,6,7,8,9,10)/100)^(ArtifactsInput!$M$40-ArtifactsInput!$M$40)))/100)))*(1+(Inputs!$B$24+((C3079=TRUE)*(F3079-Calc!F24))+((C3080=TRUE)*(F3080-Calc!F25))+B3093)/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+1.2*IF(C3063=TRUE,F3063,0)/100)*(1+(IF(Skills!A7="EMPOWERED_PIERCING_ARROW",Inputs!$B$17+((C3077=TRUE)*(F3077-Calc!F22))+(((IF(AND(ArtifactsInput!$M$42,((Inputs!$B$9+((C3074=TRUE)*(F3074-Calc!F19))+B3087+(ArtifactsInput!$M$24-ArtifactsInput!$M$24)*CHOOSE(ArtifactsInput!$N$24+1,10,12,14,16,18,20)+IF(ArtifactsInput!$M$10,CHOOSE(ArtifactsInput!$N$10+1,15,18,21,24,27,30)*(IF(Inputs!$B$38="pvp",MIN(15,15)/15,IF(AND(Inputs!$B$38&lt;&gt;"pvp",Inputs!$B$43&gt;0),MIN(15,Inputs!$B$43)/(Inputs!$B$43),0))),0)))&gt;=100),MIN(100,((Inputs!$B$9+((C3074=TRUE)*(F3074-Calc!F19))+B3087+(ArtifactsInput!$M$24-ArtifactsInput!$M$24)*CHOOSE(ArtifactsInput!$N$24+1,10,12,14,16,18,20)+IF(ArtifactsInput!$M$10,CHOOSE(ArtifactsInput!$N$10+1,15,18,21,24,27,30)*(IF(Inputs!$B$38="pvp",MIN(15,15)/15,IF(AND(Inputs!$B$38&lt;&gt;"pvp",Inputs!$B$43&gt;0),MIN(15,Inputs!$B$43)/(Inputs!$B$43),0))),0)))-100),0))*CHOOSE(ArtifactsInput!$N$42+1,0.6,0.72,0.84,0.96,1.08,1.2))),Inputs!$B$18+((C3082=TRUE)*(F3082-Calc!F27))+(IF(AND(ArtifactsInput!$M$42,((Inputs!$B$9+((C3074=TRUE)*(F3074-Calc!F19))+B3087+(ArtifactsInput!$M$24-ArtifactsInput!$M$24)*CHOOSE(ArtifactsInput!$N$24+1,10,12,14,16,18,20)+IF(ArtifactsInput!$M$10,CHOOSE(ArtifactsInput!$N$10+1,15,18,21,24,27,30)*(IF(Inputs!$B$38="pvp",MIN(15,15)/15,IF(AND(Inputs!$B$38&lt;&gt;"pvp",Inputs!$B$43&gt;0),MIN(15,Inputs!$B$43)/(Inputs!$B$43),0))),0)))&gt;=100),CHOOSE(ArtifactsInput!$N$42+1,40,48,56,64,72,80),0))))/100)*((1+(((C3068=TRUE)*F3068)+((C3069=TRUE)*IF(Inputs!$B$38="pvp",F3069,(1-Summary!$B$11)*(F3069)+Summary!$B$11*(0)))+((C3070=TRUE)*F3070*IF(AND(Inputs!$B$38&lt;&gt;"pvp",Inputs!$B$43&gt;0),(((R3070-1)*(Skills!T15*(1+Inputs!$B$34/100))+MIN((Skills!T15*(1+Inputs!$B$34/100)),MAX(0,Inputs!$B$43-((R3070-1)*Skills!D15))))/Inputs!$B$43),IF(Inputs!$B$38="pvp",MIN((Skills!T15*(1+Inputs!$B$34/100)),15)/15,(Skills!T15*(1+Inputs!$B$34/100))/Skills!D15)))+((C3067=TRUE)*F3067)+((C3084=TRUE)*(F3084-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3062)</f>
        <v/>
      </c>
      <c r="L3062">
        <f>K3062*(MIN(Inputs!$B$22+((C3078=TRUE)*(F3078-Calc!F23)),(Inputs!$B$23+((C3083=TRUE)*(F3083-Calc!F28))+(IF(ArtifactsInput!$M$15,CHOOSE(ArtifactsInput!$N$15+1,25,30,35,40,45,50)/100*(Inputs!$B$11-Inputs!$B$11),0))))/100+(Inputs!$B$23+((C3083=TRUE)*(F3083-Calc!F28))+(IF(ArtifactsInput!$M$15,CHOOSE(ArtifactsInput!$N$15+1,25,30,35,40,45,50)/100*(Inputs!$B$11-Inputs!$B$11),0)))/100)/2</f>
        <v/>
      </c>
      <c r="M3062">
        <f>L3062*(1+(Inputs!$B$10+0+B3092+(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062">
        <f>L3062*(1-MIN((Inputs!$B$9+((C3074=TRUE)*(F3074-Calc!F19))+B3087+(ArtifactsInput!$M$24-ArtifactsInput!$M$24)*CHOOSE(ArtifactsInput!$N$24+1,10,12,14,16,18,20)+(IF(AND(ArtifactsInput!$M$42,((Inputs!$B$9+((C3074=TRUE)*(F3074-Calc!F19))+B3087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3062*(MIN((Inputs!$B$9+((C3074=TRUE)*(F3074-Calc!F19))+B3087+(ArtifactsInput!$M$24-ArtifactsInput!$M$24)*CHOOSE(ArtifactsInput!$N$24+1,10,12,14,16,18,20)+(IF(AND(ArtifactsInput!$M$42,((Inputs!$B$9+((C3074=TRUE)*(F3074-Calc!F19))+B3087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062">
        <f>(1-Summary!$B$11)*T3062+Summary!$B$11*V3062</f>
        <v/>
      </c>
      <c r="P3062">
        <f>IF(B3097=0,0,O3062/B3097)</f>
        <v/>
      </c>
      <c r="Q3062">
        <f>IFERROR(1/IF(Inputs!$B$38="pvp",15,MAX(0.1,Skills!D7-IF(Skills!E7=TRUE,2.5,0))),0)</f>
        <v/>
      </c>
      <c r="R3062">
        <f>IF(AND(Inputs!$B$38&lt;&gt;"pvp",Inputs!$B$43&gt;0),IF(MAX(0,Inputs!$B$43-B3094)&lt;=0,0,(INT(MAX(0,Inputs!$B$43-B3094)/IF(Inputs!$B$38="pvp",15,MAX(0.1,Skills!D7-IF(Skills!E7=TRUE,2.5,0))))+1)),0)</f>
        <v/>
      </c>
      <c r="S3062">
        <f>IFERROR((H3062*N3062*IF(AND(Inputs!$B$38&lt;&gt;"pvp",Inputs!$B$43&gt;0),((Skills!G7*((R3062-1)*IF(Skills!H7&gt;0,Skills!I7/Skills!H7,1)+IF(Skills!H7&gt;0,MIN(Skills!I7,MAX(0,MAX(0,Inputs!$B$43-B3094)-((R3062-1)*IF(Inputs!$B$38="pvp",15,MAX(0.1,Skills!D7-IF(Skills!E7=TRUE,2.5,0))))))/Skills!H7,1)))/Inputs!$B$43),G3062*Q3062))/N3062*IF(Inputs!$B$38="pvp",1,(1-Summary!$B$11)*1+Summary!$B$11*(MIN(Skills!R7,Inputs!$B$37))),0)</f>
        <v/>
      </c>
      <c r="T3062">
        <f>IF(C3062,(H3062*N3062*IF(AND(Inputs!$B$38&lt;&gt;"pvp",Inputs!$B$43&gt;0),((Skills!G7*((R3062-1)*IF(Skills!H7&gt;0,Skills!I7/Skills!H7,1)+IF(Skills!H7&gt;0,MIN(Skills!I7,MAX(0,MAX(0,Inputs!$B$43-B3094)-((R3062-1)*IF(Inputs!$B$38="pvp",15,MAX(0.1,Skills!D7-IF(Skills!E7=TRUE,2.5,0))))))/Skills!H7,1)))/Inputs!$B$43),G3062*Q3062))*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Hunt"),CHOOSE(ArtifactsInput!$N$35+1,15,18,21,24,27,30)*(1-EXP(-(0.2*B3089)*5)),0)+IF(AND(ArtifactsInput!$M$22,Inputs!$B$4&lt;&gt;"Chapter Hunt"),CHOOSE(ArtifactsInput!$N$22+1,10,12,14,16,18,20)*((0*(((0.15*B3089*5))^0/1)+1*(((0.15*B3089*5))^1/1)+2*(((0.15*B3089*5))^2/2)+3*(((0.15*B3089*5))^3/6)+4*(((0.15*B3089*5))^4/24)+5*(((0.15*B3089*5))^5/120))/((((0.15*B3089*5))^0/1)+(((0.15*B3089*5))^1/1)+(((0.15*B3089*5))^2/2)+(((0.15*B3089*5))^3/6)+(((0.15*B3089*5))^4/24)+(((0.15*B3089*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3062*(1-MIN(100,(Inputs!$B$9+((C3074=TRUE)*(F3074-Calc!F19))+B3087+(ArtifactsInput!$M$24-ArtifactsInput!$M$24)*CHOOSE(ArtifactsInput!$N$24+1,10,12,14,16,18,20)+(IF(AND(ArtifactsInput!$M$42,((Inputs!$B$9+((C3074=TRUE)*(F3074-Calc!F19))+B3087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3062*(MIN(100,(Inputs!$B$9+((C3074=TRUE)*(F3074-Calc!F19))+B3087+(ArtifactsInput!$M$24-ArtifactsInput!$M$24)*CHOOSE(ArtifactsInput!$N$24+1,10,12,14,16,18,20)+(IF(AND(ArtifactsInput!$M$42,((Inputs!$B$9+((C3074=TRUE)*(F3074-Calc!F19))+B3087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3062*(1-MIN(100,(Inputs!$B$9+((C3074=TRUE)*(F3074-Calc!F19))+B3087+(ArtifactsInput!$M$24-ArtifactsInput!$M$24)*CHOOSE(ArtifactsInput!$N$24+1,10,12,14,16,18,20)+(IF(AND(ArtifactsInput!$M$42,((Inputs!$B$9+((C3074=TRUE)*(F3074-Calc!F19))+B3087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3062*(MIN(100,(Inputs!$B$9+((C3074=TRUE)*(F3074-Calc!F19))+B3087+(ArtifactsInput!$M$24-ArtifactsInput!$M$24)*CHOOSE(ArtifactsInput!$N$24+1,10,12,14,16,18,20)+(IF(AND(ArtifactsInput!$M$42,((Inputs!$B$9+((C3074=TRUE)*(F3074-Calc!F19))+B3087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062">
        <f>IF(C3062,(H3062*N3062*IF(AND(Inputs!$B$38&lt;&gt;"pvp",Inputs!$B$43&gt;0),((Skills!G7*((R3062-1)*IF(Skills!H7&gt;0,Skills!I7/Skills!H7,1)+IF(Skills!H7&gt;0,MIN(Skills!I7,MAX(0,MAX(0,Inputs!$B$43-B3094)-((R3062-1)*IF(Inputs!$B$38="pvp",15,MAX(0.1,Skills!D7-IF(Skills!E7=TRUE,2.5,0))))))/Skills!H7,1)))/Inputs!$B$43),G3062*Q3062))*IF(Inputs!$B$38="pvp",1,(1+(Inputs!$B$21+Skills!Q7+(IF(ArtifactsInput!$M$33,CHOOSE(ArtifactsInput!$N$33+1,30,36,42,48,54,60),0))+(IF(AND(ArtifactsInput!$M$35,Inputs!$B$4&lt;&gt;"Chapter Hunt"),CHOOSE(ArtifactsInput!$N$35+1,15,18,21,24,27,30)*(1-EXP(-(0.2*B3089)*5)),0)+IF(AND(ArtifactsInput!$M$22,Inputs!$B$4&lt;&gt;"Chapter Hunt"),CHOOSE(ArtifactsInput!$N$22+1,10,12,14,16,18,20)*((0*(((0.15*B3089*5))^0/1)+1*(((0.15*B3089*5))^1/1)+2*(((0.15*B3089*5))^2/2)+3*(((0.15*B3089*5))^3/6)+4*(((0.15*B3089*5))^4/24)+5*(((0.15*B3089*5))^5/120))/((((0.15*B3089*5))^0/1)+(((0.15*B3089*5))^1/1)+(((0.15*B3089*5))^2/2)+(((0.15*B3089*5))^3/6)+(((0.15*B3089*5))^4/24)+(((0.15*B3089*5))^5/120))),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063">
      <c r="A3063">
        <f>Skills!A8</f>
        <v/>
      </c>
      <c r="B3063">
        <f>Skills!B8</f>
        <v/>
      </c>
      <c r="C3063">
        <f>Inputs!$B$3&gt;=100</f>
        <v/>
      </c>
      <c r="D3063">
        <f>IF(Skills!C8=1,60+Inputs!$B$25+Inputs!$B$29,IF(Skills!C8=2,90+Inputs!$B$26+Inputs!$B$29,IF(Skills!C8=3,120+Inputs!$B$27+Inputs!$B$29,MAX(0,(Inputs!$B$3-100)*3)+Inputs!$B$28+Inputs!$B$29)))</f>
        <v/>
      </c>
      <c r="E3063">
        <f>INDEX(FactorTable!$B$2:$Y$301, MATCH(ROUND(MIN(300,MAX(1,D3063)),0), FactorTable!$A$2:$A$301,0), Skills!M8+1)</f>
        <v/>
      </c>
      <c r="F3063">
        <f>IF(Skills!N8=TRUE,(Skills!L8/10)*(E3063/1000),Skills!L8/10)+Skills!O8</f>
        <v/>
      </c>
      <c r="G3063" t="inlineStr"/>
      <c r="H3063" t="inlineStr"/>
      <c r="I3063" t="inlineStr">
        <is>
          <t>1</t>
        </is>
      </c>
      <c r="J3063" t="inlineStr"/>
      <c r="K3063" t="inlineStr"/>
      <c r="L3063" t="inlineStr"/>
      <c r="M3063" t="inlineStr"/>
      <c r="N3063" t="inlineStr"/>
      <c r="O3063" t="inlineStr"/>
      <c r="P3063" t="inlineStr"/>
      <c r="Q3063" t="inlineStr"/>
      <c r="R3063" t="inlineStr"/>
      <c r="S3063" t="inlineStr"/>
      <c r="T3063" t="inlineStr"/>
      <c r="V3063" t="inlineStr"/>
    </row>
    <row r="3064">
      <c r="A3064">
        <f>Skills!A9</f>
        <v/>
      </c>
      <c r="B3064">
        <f>Skills!B9</f>
        <v/>
      </c>
      <c r="C3064">
        <f>Inputs!$B$3&gt;=103</f>
        <v/>
      </c>
      <c r="D3064">
        <f>IF(Skills!C9=1,60+Inputs!$B$25+Inputs!$B$29,IF(Skills!C9=2,90+Inputs!$B$26+Inputs!$B$29,IF(Skills!C9=3,120+Inputs!$B$27+Inputs!$B$29,MAX(0,(Inputs!$B$3-100)*3)+Inputs!$B$28+Inputs!$B$29)))</f>
        <v/>
      </c>
      <c r="E3064">
        <f>INDEX(FactorTable!$B$2:$Y$301, MATCH(ROUND(MIN(300,MAX(1,D3064)),0), FactorTable!$A$2:$A$301,0), Skills!M9+1)</f>
        <v/>
      </c>
      <c r="F3064">
        <f>IF(Skills!N9=TRUE,(Skills!L9/10)*(E3064/1000),Skills!L9/10)+Skills!O9</f>
        <v/>
      </c>
      <c r="G3064">
        <f>Skills!G9*IF(Skills!H9&gt;0,Skills!I9/Skills!H9,1)</f>
        <v/>
      </c>
      <c r="H3064">
        <f>1-(1-Skills!J9/100)^Skills!K9</f>
        <v/>
      </c>
      <c r="I3064" t="inlineStr">
        <is>
          <t>1</t>
        </is>
      </c>
      <c r="J3064">
        <f>((Inputs!$B$6*(1+Inputs!$B$7/100))+(((Inputs!$B$12*(1+Inputs!$B$13/100))-(Inputs!$B$12*(1+Inputs!$B$13/100)))+0.25*(Inputs!$B$14-Inputs!$B$14))*(1+Inputs!$B$7/100))*(F3064/100)</f>
        <v/>
      </c>
      <c r="K3064">
        <f>J3064*(1+((Inputs!$B$12*(1+Inputs!$B$13/100))*0.01+Inputs!$B$14*0.0025)/100)*(1+Inputs!$B$15/100)*(1+Inputs!$B$16/100)*(5000/(6000+Inputs!$B$42*(1-(100*(1-(1-(Inputs!$B$19+0)/100)*(1-CHOOSE(ArtifactsInput!$N$40+1,5,6,7,8,9,10)/100)^(ArtifactsInput!$M$40-ArtifactsInput!$M$40)))/100)))*(1+(Inputs!$B$24+((C3079=TRUE)*(F3079-Calc!F24))+((C3080=TRUE)*(F3080-Calc!F25))+B3093)/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EMPOWERED_PIERCING_ARROW",Inputs!$B$17+((C3077=TRUE)*(F3077-Calc!F22))+(((IF(AND(ArtifactsInput!$M$42,((Inputs!$B$9+((C3074=TRUE)*(F3074-Calc!F19))+B3087+(ArtifactsInput!$M$24-ArtifactsInput!$M$24)*CHOOSE(ArtifactsInput!$N$24+1,10,12,14,16,18,20)+IF(ArtifactsInput!$M$10,CHOOSE(ArtifactsInput!$N$10+1,15,18,21,24,27,30)*(IF(Inputs!$B$38="pvp",MIN(15,15)/15,IF(AND(Inputs!$B$38&lt;&gt;"pvp",Inputs!$B$43&gt;0),MIN(15,Inputs!$B$43)/(Inputs!$B$43),0))),0)))&gt;=100),MIN(100,((Inputs!$B$9+((C3074=TRUE)*(F3074-Calc!F19))+B3087+(ArtifactsInput!$M$24-ArtifactsInput!$M$24)*CHOOSE(ArtifactsInput!$N$24+1,10,12,14,16,18,20)+IF(ArtifactsInput!$M$10,CHOOSE(ArtifactsInput!$N$10+1,15,18,21,24,27,30)*(IF(Inputs!$B$38="pvp",MIN(15,15)/15,IF(AND(Inputs!$B$38&lt;&gt;"pvp",Inputs!$B$43&gt;0),MIN(15,Inputs!$B$43)/(Inputs!$B$43),0))),0)))-100),0))*CHOOSE(ArtifactsInput!$N$42+1,0.6,0.72,0.84,0.96,1.08,1.2))),Inputs!$B$18+((C3082=TRUE)*(F3082-Calc!F27))+(IF(AND(ArtifactsInput!$M$42,((Inputs!$B$9+((C3074=TRUE)*(F3074-Calc!F19))+B3087+(ArtifactsInput!$M$24-ArtifactsInput!$M$24)*CHOOSE(ArtifactsInput!$N$24+1,10,12,14,16,18,20)+IF(ArtifactsInput!$M$10,CHOOSE(ArtifactsInput!$N$10+1,15,18,21,24,27,30)*(IF(Inputs!$B$38="pvp",MIN(15,15)/15,IF(AND(Inputs!$B$38&lt;&gt;"pvp",Inputs!$B$43&gt;0),MIN(15,Inputs!$B$43)/(Inputs!$B$43),0))),0)))&gt;=100),CHOOSE(ArtifactsInput!$N$42+1,40,48,56,64,72,80),0))))/100)*((1+(((C3068=TRUE)*F3068)+((C3069=TRUE)*IF(Inputs!$B$38="pvp",F3069,(1-Summary!$B$11)*(F3069)+Summary!$B$11*(0)))+((C3070=TRUE)*F3070*IF(AND(Inputs!$B$38&lt;&gt;"pvp",Inputs!$B$43&gt;0),(((R3070-1)*(Skills!T15*(1+Inputs!$B$34/100))+MIN((Skills!T15*(1+Inputs!$B$34/100)),MAX(0,Inputs!$B$43-((R3070-1)*Skills!D15))))/Inputs!$B$43),IF(Inputs!$B$38="pvp",MIN((Skills!T15*(1+Inputs!$B$34/100)),15)/15,(Skills!T15*(1+Inputs!$B$34/100))/Skills!D15)))+((C3067=TRUE)*F3067)+((C3084=TRUE)*(F3084-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3064)</f>
        <v/>
      </c>
      <c r="L3064">
        <f>K3064*(MIN(Inputs!$B$22+((C3078=TRUE)*(F3078-Calc!F23)),(Inputs!$B$23+((C3083=TRUE)*(F3083-Calc!F28))+(IF(ArtifactsInput!$M$15,CHOOSE(ArtifactsInput!$N$15+1,25,30,35,40,45,50)/100*(Inputs!$B$11-Inputs!$B$11),0))))/100+(Inputs!$B$23+((C3083=TRUE)*(F3083-Calc!F28))+(IF(ArtifactsInput!$M$15,CHOOSE(ArtifactsInput!$N$15+1,25,30,35,40,45,50)/100*(Inputs!$B$11-Inputs!$B$11),0)))/100)/2</f>
        <v/>
      </c>
      <c r="M3064">
        <f>L3064*(1+(Inputs!$B$10+0+B3092+(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064">
        <f>L3064*(1-MIN((Inputs!$B$9+((C3074=TRUE)*(F3074-Calc!F19))+B3087+(ArtifactsInput!$M$24-ArtifactsInput!$M$24)*CHOOSE(ArtifactsInput!$N$24+1,10,12,14,16,18,20)+(IF(AND(ArtifactsInput!$M$42,((Inputs!$B$9+((C3074=TRUE)*(F3074-Calc!F19))+B3087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3064*(MIN((Inputs!$B$9+((C3074=TRUE)*(F3074-Calc!F19))+B3087+(ArtifactsInput!$M$24-ArtifactsInput!$M$24)*CHOOSE(ArtifactsInput!$N$24+1,10,12,14,16,18,20)+(IF(AND(ArtifactsInput!$M$42,((Inputs!$B$9+((C3074=TRUE)*(F3074-Calc!F19))+B3087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064">
        <f>(1-Summary!$B$11)*T3064+Summary!$B$11*V3064</f>
        <v/>
      </c>
      <c r="P3064">
        <f>IF(B3097=0,0,O3064/B3097)</f>
        <v/>
      </c>
      <c r="Q3064">
        <f>IFERROR(1/IF(Inputs!$B$38="pvp",15,MAX(0.1,Skills!D9-IF(Skills!E9=TRUE,2.5,0))),0)</f>
        <v/>
      </c>
      <c r="R3064">
        <f>IF(AND(Inputs!$B$38&lt;&gt;"pvp",Inputs!$B$43&gt;0),IF(MAX(0,Inputs!$B$43-B3094)&lt;=0,0,(INT(MAX(0,Inputs!$B$43-B3094)/IF(Inputs!$B$38="pvp",15,MAX(0.1,Skills!D9-IF(Skills!E9=TRUE,2.5,0))))+1)),0)</f>
        <v/>
      </c>
      <c r="S3064">
        <f>IFERROR((H3064*N3064*IF(AND(Inputs!$B$38&lt;&gt;"pvp",Inputs!$B$43&gt;0),((Skills!G9*((R3064-1)*IF(Skills!H9&gt;0,Skills!I9/Skills!H9,1)+IF(Skills!H9&gt;0,MIN(Skills!I9,MAX(0,MAX(0,Inputs!$B$43-B3094)-((R3064-1)*IF(Inputs!$B$38="pvp",15,MAX(0.1,Skills!D9-IF(Skills!E9=TRUE,2.5,0))))))/Skills!H9,1)))/Inputs!$B$43),G3064*Q3064))/N3064*IF(Inputs!$B$38="pvp",1,(1-Summary!$B$11)*1+Summary!$B$11*(MIN(Skills!R9,Inputs!$B$37))),0)</f>
        <v/>
      </c>
      <c r="T3064">
        <f>IF(C3064,(H3064*N3064*IF(AND(Inputs!$B$38&lt;&gt;"pvp",Inputs!$B$43&gt;0),((Skills!G9*((R3064-1)*IF(Skills!H9&gt;0,Skills!I9/Skills!H9,1)+IF(Skills!H9&gt;0,MIN(Skills!I9,MAX(0,MAX(0,Inputs!$B$43-B3094)-((R3064-1)*IF(Inputs!$B$38="pvp",15,MAX(0.1,Skills!D9-IF(Skills!E9=TRUE,2.5,0))))))/Skills!H9,1)))/Inputs!$B$43),G3064*Q3064))*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Hunt"),CHOOSE(ArtifactsInput!$N$35+1,15,18,21,24,27,30)*(1-EXP(-(0.2*B3089)*5)),0)+IF(AND(ArtifactsInput!$M$22,Inputs!$B$4&lt;&gt;"Chapter Hunt"),CHOOSE(ArtifactsInput!$N$22+1,10,12,14,16,18,20)*((0*(((0.15*B3089*5))^0/1)+1*(((0.15*B3089*5))^1/1)+2*(((0.15*B3089*5))^2/2)+3*(((0.15*B3089*5))^3/6)+4*(((0.15*B3089*5))^4/24)+5*(((0.15*B3089*5))^5/120))/((((0.15*B3089*5))^0/1)+(((0.15*B3089*5))^1/1)+(((0.15*B3089*5))^2/2)+(((0.15*B3089*5))^3/6)+(((0.15*B3089*5))^4/24)+(((0.15*B3089*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3064*(1-MIN(100,(Inputs!$B$9+((C3074=TRUE)*(F3074-Calc!F19))+B3087+(ArtifactsInput!$M$24-ArtifactsInput!$M$24)*CHOOSE(ArtifactsInput!$N$24+1,10,12,14,16,18,20)+(IF(AND(ArtifactsInput!$M$42,((Inputs!$B$9+((C3074=TRUE)*(F3074-Calc!F19))+B3087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3064*(MIN(100,(Inputs!$B$9+((C3074=TRUE)*(F3074-Calc!F19))+B3087+(ArtifactsInput!$M$24-ArtifactsInput!$M$24)*CHOOSE(ArtifactsInput!$N$24+1,10,12,14,16,18,20)+(IF(AND(ArtifactsInput!$M$42,((Inputs!$B$9+((C3074=TRUE)*(F3074-Calc!F19))+B3087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3064*(1-MIN(100,(Inputs!$B$9+((C3074=TRUE)*(F3074-Calc!F19))+B3087+(ArtifactsInput!$M$24-ArtifactsInput!$M$24)*CHOOSE(ArtifactsInput!$N$24+1,10,12,14,16,18,20)+(IF(AND(ArtifactsInput!$M$42,((Inputs!$B$9+((C3074=TRUE)*(F3074-Calc!F19))+B3087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3064*(MIN(100,(Inputs!$B$9+((C3074=TRUE)*(F3074-Calc!F19))+B3087+(ArtifactsInput!$M$24-ArtifactsInput!$M$24)*CHOOSE(ArtifactsInput!$N$24+1,10,12,14,16,18,20)+(IF(AND(ArtifactsInput!$M$42,((Inputs!$B$9+((C3074=TRUE)*(F3074-Calc!F19))+B3087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064">
        <f>IF(C3064,(H3064*N3064*IF(AND(Inputs!$B$38&lt;&gt;"pvp",Inputs!$B$43&gt;0),((Skills!G9*((R3064-1)*IF(Skills!H9&gt;0,Skills!I9/Skills!H9,1)+IF(Skills!H9&gt;0,MIN(Skills!I9,MAX(0,MAX(0,Inputs!$B$43-B3094)-((R3064-1)*IF(Inputs!$B$38="pvp",15,MAX(0.1,Skills!D9-IF(Skills!E9=TRUE,2.5,0))))))/Skills!H9,1)))/Inputs!$B$43),G3064*Q3064))*IF(Inputs!$B$38="pvp",1,(1+(Inputs!$B$21+Skills!Q9+(IF(ArtifactsInput!$M$33,CHOOSE(ArtifactsInput!$N$33+1,30,36,42,48,54,60),0))+(IF(AND(ArtifactsInput!$M$35,Inputs!$B$4&lt;&gt;"Chapter Hunt"),CHOOSE(ArtifactsInput!$N$35+1,15,18,21,24,27,30)*(1-EXP(-(0.2*B3089)*5)),0)+IF(AND(ArtifactsInput!$M$22,Inputs!$B$4&lt;&gt;"Chapter Hunt"),CHOOSE(ArtifactsInput!$N$22+1,10,12,14,16,18,20)*((0*(((0.15*B3089*5))^0/1)+1*(((0.15*B3089*5))^1/1)+2*(((0.15*B3089*5))^2/2)+3*(((0.15*B3089*5))^3/6)+4*(((0.15*B3089*5))^4/24)+5*(((0.15*B3089*5))^5/120))/((((0.15*B3089*5))^0/1)+(((0.15*B3089*5))^1/1)+(((0.15*B3089*5))^2/2)+(((0.15*B3089*5))^3/6)+(((0.15*B3089*5))^4/24)+(((0.15*B3089*5))^5/120)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065">
      <c r="A3065">
        <f>Skills!A10</f>
        <v/>
      </c>
      <c r="B3065">
        <f>Skills!B10</f>
        <v/>
      </c>
      <c r="C3065">
        <f>Inputs!$B$3&gt;=107</f>
        <v/>
      </c>
      <c r="D3065">
        <f>IF(Skills!C10=1,60+Inputs!$B$25+Inputs!$B$29,IF(Skills!C10=2,90+Inputs!$B$26+Inputs!$B$29,IF(Skills!C10=3,120+Inputs!$B$27+Inputs!$B$29,MAX(0,(Inputs!$B$3-100)*3)+Inputs!$B$28+Inputs!$B$29)))</f>
        <v/>
      </c>
      <c r="E3065">
        <f>INDEX(FactorTable!$B$2:$Y$301, MATCH(ROUND(MIN(300,MAX(1,D3065)),0), FactorTable!$A$2:$A$301,0), Skills!M10+1)</f>
        <v/>
      </c>
      <c r="F3065">
        <f>IF(Skills!N10=TRUE,(Skills!L10/10)*(E3065/1000),Skills!L10/10)+Skills!O10</f>
        <v/>
      </c>
      <c r="G3065">
        <f>Skills!G10*IF(Skills!H10&gt;0,Skills!I10/Skills!H10,1)</f>
        <v/>
      </c>
      <c r="H3065">
        <f>1-(1-Skills!J10/100)^Skills!K10</f>
        <v/>
      </c>
      <c r="I3065" t="inlineStr">
        <is>
          <t>1</t>
        </is>
      </c>
      <c r="J3065">
        <f>((Inputs!$B$6*(1+Inputs!$B$7/100))+(((Inputs!$B$12*(1+Inputs!$B$13/100))-(Inputs!$B$12*(1+Inputs!$B$13/100)))+0.25*(Inputs!$B$14-Inputs!$B$14))*(1+Inputs!$B$7/100))*(F3065/100)</f>
        <v/>
      </c>
      <c r="K3065">
        <f>J3065*(1+((Inputs!$B$12*(1+Inputs!$B$13/100))*0.01+Inputs!$B$14*0.0025)/100)*(1+Inputs!$B$15/100)*(1+Inputs!$B$16/100)*(5000/(6000+Inputs!$B$42*(1-(100*(1-(1-(Inputs!$B$19+0)/100)*(1-CHOOSE(ArtifactsInput!$N$40+1,5,6,7,8,9,10)/100)^(ArtifactsInput!$M$40-ArtifactsInput!$M$40)))/100)))*(1+(Inputs!$B$24+((C3079=TRUE)*(F3079-Calc!F24))+((C3080=TRUE)*(F3080-Calc!F25))+B3093)/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EMPOWERED_PIERCING_ARROW",Inputs!$B$17+((C3077=TRUE)*(F3077-Calc!F22))+(((IF(AND(ArtifactsInput!$M$42,((Inputs!$B$9+((C3074=TRUE)*(F3074-Calc!F19))+B3087+(ArtifactsInput!$M$24-ArtifactsInput!$M$24)*CHOOSE(ArtifactsInput!$N$24+1,10,12,14,16,18,20)+IF(ArtifactsInput!$M$10,CHOOSE(ArtifactsInput!$N$10+1,15,18,21,24,27,30)*(IF(Inputs!$B$38="pvp",MIN(15,15)/15,IF(AND(Inputs!$B$38&lt;&gt;"pvp",Inputs!$B$43&gt;0),MIN(15,Inputs!$B$43)/(Inputs!$B$43),0))),0)))&gt;=100),MIN(100,((Inputs!$B$9+((C3074=TRUE)*(F3074-Calc!F19))+B3087+(ArtifactsInput!$M$24-ArtifactsInput!$M$24)*CHOOSE(ArtifactsInput!$N$24+1,10,12,14,16,18,20)+IF(ArtifactsInput!$M$10,CHOOSE(ArtifactsInput!$N$10+1,15,18,21,24,27,30)*(IF(Inputs!$B$38="pvp",MIN(15,15)/15,IF(AND(Inputs!$B$38&lt;&gt;"pvp",Inputs!$B$43&gt;0),MIN(15,Inputs!$B$43)/(Inputs!$B$43),0))),0)))-100),0))*CHOOSE(ArtifactsInput!$N$42+1,0.6,0.72,0.84,0.96,1.08,1.2))),Inputs!$B$18+((C3082=TRUE)*(F3082-Calc!F27))+(IF(AND(ArtifactsInput!$M$42,((Inputs!$B$9+((C3074=TRUE)*(F3074-Calc!F19))+B3087+(ArtifactsInput!$M$24-ArtifactsInput!$M$24)*CHOOSE(ArtifactsInput!$N$24+1,10,12,14,16,18,20)+IF(ArtifactsInput!$M$10,CHOOSE(ArtifactsInput!$N$10+1,15,18,21,24,27,30)*(IF(Inputs!$B$38="pvp",MIN(15,15)/15,IF(AND(Inputs!$B$38&lt;&gt;"pvp",Inputs!$B$43&gt;0),MIN(15,Inputs!$B$43)/(Inputs!$B$43),0))),0)))&gt;=100),CHOOSE(ArtifactsInput!$N$42+1,40,48,56,64,72,80),0))))/100)*((1+(((C3068=TRUE)*F3068)+((C3069=TRUE)*IF(Inputs!$B$38="pvp",F3069,(1-Summary!$B$11)*(F3069)+Summary!$B$11*(0)))+((C3070=TRUE)*F3070*IF(AND(Inputs!$B$38&lt;&gt;"pvp",Inputs!$B$43&gt;0),(((R3070-1)*(Skills!T15*(1+Inputs!$B$34/100))+MIN((Skills!T15*(1+Inputs!$B$34/100)),MAX(0,Inputs!$B$43-((R3070-1)*Skills!D15))))/Inputs!$B$43),IF(Inputs!$B$38="pvp",MIN((Skills!T15*(1+Inputs!$B$34/100)),15)/15,(Skills!T15*(1+Inputs!$B$34/100))/Skills!D15)))+((C3067=TRUE)*F3067)+((C3084=TRUE)*(F3084-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3065)</f>
        <v/>
      </c>
      <c r="L3065">
        <f>K3065*(MIN(Inputs!$B$22+((C3078=TRUE)*(F3078-Calc!F23)),(Inputs!$B$23+((C3083=TRUE)*(F3083-Calc!F28))+(IF(ArtifactsInput!$M$15,CHOOSE(ArtifactsInput!$N$15+1,25,30,35,40,45,50)/100*(Inputs!$B$11-Inputs!$B$11),0))))/100+(Inputs!$B$23+((C3083=TRUE)*(F3083-Calc!F28))+(IF(ArtifactsInput!$M$15,CHOOSE(ArtifactsInput!$N$15+1,25,30,35,40,45,50)/100*(Inputs!$B$11-Inputs!$B$11),0)))/100)/2</f>
        <v/>
      </c>
      <c r="M3065">
        <f>L3065*(1+(Inputs!$B$10+0+B3092+(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065">
        <f>L3065*(1-MIN((Inputs!$B$9+((C3074=TRUE)*(F3074-Calc!F19))+B3087+(ArtifactsInput!$M$24-ArtifactsInput!$M$24)*CHOOSE(ArtifactsInput!$N$24+1,10,12,14,16,18,20)+(IF(AND(ArtifactsInput!$M$42,((Inputs!$B$9+((C3074=TRUE)*(F3074-Calc!F19))+B3087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3065*(MIN((Inputs!$B$9+((C3074=TRUE)*(F3074-Calc!F19))+B3087+(ArtifactsInput!$M$24-ArtifactsInput!$M$24)*CHOOSE(ArtifactsInput!$N$24+1,10,12,14,16,18,20)+(IF(AND(ArtifactsInput!$M$42,((Inputs!$B$9+((C3074=TRUE)*(F3074-Calc!F19))+B3087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065">
        <f>(1-Summary!$B$11)*T3065+Summary!$B$11*V3065</f>
        <v/>
      </c>
      <c r="P3065">
        <f>IF(B3097=0,0,O3065/B3097)</f>
        <v/>
      </c>
      <c r="Q3065" t="n">
        <v>0</v>
      </c>
      <c r="R3065" t="n">
        <v>0</v>
      </c>
      <c r="S3065" t="n">
        <v>0</v>
      </c>
      <c r="T3065">
        <f>IF(C3065,(0.15*SUMPRODUCT((Skills!U2:U29=TRUE)*(C3057:C3084=TRUE)*S3057:S3084)*Skills!G10*N3065)*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Hunt"),CHOOSE(ArtifactsInput!$N$35+1,15,18,21,24,27,30)*(1-EXP(-(0.2*B3089)*5)),0)+IF(AND(ArtifactsInput!$M$22,Inputs!$B$4&lt;&gt;"Chapter Hunt"),CHOOSE(ArtifactsInput!$N$22+1,10,12,14,16,18,20)*((0*(((0.15*B3089*5))^0/1)+1*(((0.15*B3089*5))^1/1)+2*(((0.15*B3089*5))^2/2)+3*(((0.15*B3089*5))^3/6)+4*(((0.15*B3089*5))^4/24)+5*(((0.15*B3089*5))^5/120))/((((0.15*B3089*5))^0/1)+(((0.15*B3089*5))^1/1)+(((0.15*B3089*5))^2/2)+(((0.15*B3089*5))^3/6)+(((0.15*B3089*5))^4/24)+(((0.15*B3089*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3065*(1-MIN(100,(Inputs!$B$9+((C3074=TRUE)*(F3074-Calc!F19))+B3087+(ArtifactsInput!$M$24-ArtifactsInput!$M$24)*CHOOSE(ArtifactsInput!$N$24+1,10,12,14,16,18,20)+(IF(AND(ArtifactsInput!$M$42,((Inputs!$B$9+((C3074=TRUE)*(F3074-Calc!F19))+B3087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3065*(MIN(100,(Inputs!$B$9+((C3074=TRUE)*(F3074-Calc!F19))+B3087+(ArtifactsInput!$M$24-ArtifactsInput!$M$24)*CHOOSE(ArtifactsInput!$N$24+1,10,12,14,16,18,20)+(IF(AND(ArtifactsInput!$M$42,((Inputs!$B$9+((C3074=TRUE)*(F3074-Calc!F19))+B3087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3065*(1-MIN(100,(Inputs!$B$9+((C3074=TRUE)*(F3074-Calc!F19))+B3087+(ArtifactsInput!$M$24-ArtifactsInput!$M$24)*CHOOSE(ArtifactsInput!$N$24+1,10,12,14,16,18,20)+(IF(AND(ArtifactsInput!$M$42,((Inputs!$B$9+((C3074=TRUE)*(F3074-Calc!F19))+B3087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3065*(MIN(100,(Inputs!$B$9+((C3074=TRUE)*(F3074-Calc!F19))+B3087+(ArtifactsInput!$M$24-ArtifactsInput!$M$24)*CHOOSE(ArtifactsInput!$N$24+1,10,12,14,16,18,20)+(IF(AND(ArtifactsInput!$M$42,((Inputs!$B$9+((C3074=TRUE)*(F3074-Calc!F19))+B3087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065">
        <f>IF(C3065,(0.15*SUMPRODUCT((Skills!U2:U29=TRUE)*(C3057:C3084=TRUE)*S3057:S3084)*Skills!G10*N3065)*IF(Inputs!$B$38="pvp",1,(1+(Inputs!$B$21+Skills!Q10+(IF(ArtifactsInput!$M$33,CHOOSE(ArtifactsInput!$N$33+1,30,36,42,48,54,60),0))+(IF(AND(ArtifactsInput!$M$35,Inputs!$B$4&lt;&gt;"Chapter Hunt"),CHOOSE(ArtifactsInput!$N$35+1,15,18,21,24,27,30)*(1-EXP(-(0.2*B3089)*5)),0)+IF(AND(ArtifactsInput!$M$22,Inputs!$B$4&lt;&gt;"Chapter Hunt"),CHOOSE(ArtifactsInput!$N$22+1,10,12,14,16,18,20)*((0*(((0.15*B3089*5))^0/1)+1*(((0.15*B3089*5))^1/1)+2*(((0.15*B3089*5))^2/2)+3*(((0.15*B3089*5))^3/6)+4*(((0.15*B3089*5))^4/24)+5*(((0.15*B3089*5))^5/120))/((((0.15*B3089*5))^0/1)+(((0.15*B3089*5))^1/1)+(((0.15*B3089*5))^2/2)+(((0.15*B3089*5))^3/6)+(((0.15*B3089*5))^4/24)+(((0.15*B3089*5))^5/120)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066">
      <c r="A3066">
        <f>Skills!A11</f>
        <v/>
      </c>
      <c r="B3066">
        <f>Skills!B11</f>
        <v/>
      </c>
      <c r="C3066">
        <f>Inputs!$B$3&gt;=110</f>
        <v/>
      </c>
      <c r="D3066">
        <f>IF(Skills!C11=1,60+Inputs!$B$25+Inputs!$B$29,IF(Skills!C11=2,90+Inputs!$B$26+Inputs!$B$29,IF(Skills!C11=3,120+Inputs!$B$27+Inputs!$B$29,MAX(0,(Inputs!$B$3-100)*3)+Inputs!$B$28+Inputs!$B$29)))</f>
        <v/>
      </c>
      <c r="E3066">
        <f>INDEX(FactorTable!$B$2:$Y$301, MATCH(ROUND(MIN(300,MAX(1,D3066)),0), FactorTable!$A$2:$A$301,0), Skills!M11+1)</f>
        <v/>
      </c>
      <c r="F3066">
        <f>IF(Skills!N11=TRUE,(Skills!L11/10)*(E3066/1000),Skills!L11/10)+Skills!O11</f>
        <v/>
      </c>
      <c r="G3066">
        <f>Skills!G11*IF(Skills!H11&gt;0,Skills!I11/Skills!H11,1)</f>
        <v/>
      </c>
      <c r="H3066">
        <f>1-(1-Skills!J11/100)^Skills!K11</f>
        <v/>
      </c>
      <c r="I3066" t="inlineStr">
        <is>
          <t>1</t>
        </is>
      </c>
      <c r="J3066">
        <f>((Inputs!$B$6*(1+Inputs!$B$7/100))+(((Inputs!$B$12*(1+Inputs!$B$13/100))-(Inputs!$B$12*(1+Inputs!$B$13/100)))+0.25*(Inputs!$B$14-Inputs!$B$14))*(1+Inputs!$B$7/100))*(F3066/100)</f>
        <v/>
      </c>
      <c r="K3066">
        <f>J3066*(1+((Inputs!$B$12*(1+Inputs!$B$13/100))*0.01+Inputs!$B$14*0.0025)/100)*(1+Inputs!$B$15/100)*(1+Inputs!$B$16/100)*(5000/(6000+Inputs!$B$42*(1-(100*(1-(1-(Inputs!$B$19+0)/100)*(1-CHOOSE(ArtifactsInput!$N$40+1,5,6,7,8,9,10)/100)^(ArtifactsInput!$M$40-ArtifactsInput!$M$40)))/100)))*(1+(Inputs!$B$24+((C3079=TRUE)*(F3079-Calc!F24))+((C3080=TRUE)*(F3080-Calc!F25))+B3093)/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11="EMPOWERED_PIERCING_ARROW",Inputs!$B$17+((C3077=TRUE)*(F3077-Calc!F22))+(((IF(AND(ArtifactsInput!$M$42,((Inputs!$B$9+((C3074=TRUE)*(F3074-Calc!F19))+B3087+(ArtifactsInput!$M$24-ArtifactsInput!$M$24)*CHOOSE(ArtifactsInput!$N$24+1,10,12,14,16,18,20)+IF(ArtifactsInput!$M$10,CHOOSE(ArtifactsInput!$N$10+1,15,18,21,24,27,30)*(IF(Inputs!$B$38="pvp",MIN(15,15)/15,IF(AND(Inputs!$B$38&lt;&gt;"pvp",Inputs!$B$43&gt;0),MIN(15,Inputs!$B$43)/(Inputs!$B$43),0))),0)))&gt;=100),MIN(100,((Inputs!$B$9+((C3074=TRUE)*(F3074-Calc!F19))+B3087+(ArtifactsInput!$M$24-ArtifactsInput!$M$24)*CHOOSE(ArtifactsInput!$N$24+1,10,12,14,16,18,20)+IF(ArtifactsInput!$M$10,CHOOSE(ArtifactsInput!$N$10+1,15,18,21,24,27,30)*(IF(Inputs!$B$38="pvp",MIN(15,15)/15,IF(AND(Inputs!$B$38&lt;&gt;"pvp",Inputs!$B$43&gt;0),MIN(15,Inputs!$B$43)/(Inputs!$B$43),0))),0)))-100),0))*CHOOSE(ArtifactsInput!$N$42+1,0.6,0.72,0.84,0.96,1.08,1.2))),Inputs!$B$18+((C3082=TRUE)*(F3082-Calc!F27))+(IF(AND(ArtifactsInput!$M$42,((Inputs!$B$9+((C3074=TRUE)*(F3074-Calc!F19))+B3087+(ArtifactsInput!$M$24-ArtifactsInput!$M$24)*CHOOSE(ArtifactsInput!$N$24+1,10,12,14,16,18,20)+IF(ArtifactsInput!$M$10,CHOOSE(ArtifactsInput!$N$10+1,15,18,21,24,27,30)*(IF(Inputs!$B$38="pvp",MIN(15,15)/15,IF(AND(Inputs!$B$38&lt;&gt;"pvp",Inputs!$B$43&gt;0),MIN(15,Inputs!$B$43)/(Inputs!$B$43),0))),0)))&gt;=100),CHOOSE(ArtifactsInput!$N$42+1,40,48,56,64,72,80),0))))/100)*((1+(((C3068=TRUE)*F3068)+((C3069=TRUE)*IF(Inputs!$B$38="pvp",F3069,(1-Summary!$B$11)*(F3069)+Summary!$B$11*(0)))+((C3070=TRUE)*F3070*IF(AND(Inputs!$B$38&lt;&gt;"pvp",Inputs!$B$43&gt;0),(((R3070-1)*(Skills!T15*(1+Inputs!$B$34/100))+MIN((Skills!T15*(1+Inputs!$B$34/100)),MAX(0,Inputs!$B$43-((R3070-1)*Skills!D15))))/Inputs!$B$43),IF(Inputs!$B$38="pvp",MIN((Skills!T15*(1+Inputs!$B$34/100)),15)/15,(Skills!T15*(1+Inputs!$B$34/100))/Skills!D15)))+((C3067=TRUE)*F3067)+((C3084=TRUE)*(F3084-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3066)</f>
        <v/>
      </c>
      <c r="L3066">
        <f>K3066*(MIN(Inputs!$B$22+((C3078=TRUE)*(F3078-Calc!F23)),(Inputs!$B$23+((C3083=TRUE)*(F3083-Calc!F28))+(IF(ArtifactsInput!$M$15,CHOOSE(ArtifactsInput!$N$15+1,25,30,35,40,45,50)/100*(Inputs!$B$11-Inputs!$B$11),0))))/100+(Inputs!$B$23+((C3083=TRUE)*(F3083-Calc!F28))+(IF(ArtifactsInput!$M$15,CHOOSE(ArtifactsInput!$N$15+1,25,30,35,40,45,50)/100*(Inputs!$B$11-Inputs!$B$11),0)))/100)/2</f>
        <v/>
      </c>
      <c r="M3066">
        <f>L3066*(1+(Inputs!$B$10+0+B3092+(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066">
        <f>L3066*(1-MIN((Inputs!$B$9+((C3074=TRUE)*(F3074-Calc!F19))+B3087+(ArtifactsInput!$M$24-ArtifactsInput!$M$24)*CHOOSE(ArtifactsInput!$N$24+1,10,12,14,16,18,20)+(IF(AND(ArtifactsInput!$M$42,((Inputs!$B$9+((C3074=TRUE)*(F3074-Calc!F19))+B3087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3066*(MIN((Inputs!$B$9+((C3074=TRUE)*(F3074-Calc!F19))+B3087+(ArtifactsInput!$M$24-ArtifactsInput!$M$24)*CHOOSE(ArtifactsInput!$N$24+1,10,12,14,16,18,20)+(IF(AND(ArtifactsInput!$M$42,((Inputs!$B$9+((C3074=TRUE)*(F3074-Calc!F19))+B3087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066">
        <f>(1-Summary!$B$11)*T3066+Summary!$B$11*V3066</f>
        <v/>
      </c>
      <c r="P3066">
        <f>IF(B3097=0,0,O3066/B3097)</f>
        <v/>
      </c>
      <c r="Q3066">
        <f>IFERROR(1/IF(Inputs!$B$38="pvp",15,MAX(0.1,Skills!D11-IF(Skills!E11=TRUE,2.5,0))),0)</f>
        <v/>
      </c>
      <c r="R3066">
        <f>IF(AND(Inputs!$B$38&lt;&gt;"pvp",Inputs!$B$43&gt;0),IF(MAX(0,Inputs!$B$43-B3094)&lt;=0,0,(INT(MAX(0,Inputs!$B$43-B3094)/IF(Inputs!$B$38="pvp",15,MAX(0.1,Skills!D11-IF(Skills!E11=TRUE,2.5,0))))+1)),0)</f>
        <v/>
      </c>
      <c r="S3066">
        <f>IFERROR((H3066*N3066*IF(AND(Inputs!$B$38&lt;&gt;"pvp",Inputs!$B$43&gt;0),((Skills!G11*((R3066-1)*IF(Skills!H11&gt;0,Skills!I11/Skills!H11,1)+IF(Skills!H11&gt;0,MIN(Skills!I11,MAX(0,MAX(0,Inputs!$B$43-B3094)-((R3066-1)*IF(Inputs!$B$38="pvp",15,MAX(0.1,Skills!D11-IF(Skills!E11=TRUE,2.5,0))))))/Skills!H11,1)))/Inputs!$B$43),G3066*Q3066))/N3066*IF(Inputs!$B$38="pvp",1,(1-Summary!$B$11)*1+Summary!$B$11*(MIN(Skills!R11,Inputs!$B$37))),0)</f>
        <v/>
      </c>
      <c r="T3066">
        <f>IF(C3066,(H3066*N3066*IF(AND(Inputs!$B$38&lt;&gt;"pvp",Inputs!$B$43&gt;0),((Skills!G11*((R3066-1)*IF(Skills!H11&gt;0,Skills!I11/Skills!H11,1)+IF(Skills!H11&gt;0,MIN(Skills!I11,MAX(0,MAX(0,Inputs!$B$43-B3094)-((R3066-1)*IF(Inputs!$B$38="pvp",15,MAX(0.1,Skills!D11-IF(Skills!E11=TRUE,2.5,0))))))/Skills!H11,1)))/Inputs!$B$43),G3066*Q3066))*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Hunt"),CHOOSE(ArtifactsInput!$N$35+1,15,18,21,24,27,30)*(1-EXP(-(0.2*B3089)*5)),0)+IF(AND(ArtifactsInput!$M$22,Inputs!$B$4&lt;&gt;"Chapter Hunt"),CHOOSE(ArtifactsInput!$N$22+1,10,12,14,16,18,20)*((0*(((0.15*B3089*5))^0/1)+1*(((0.15*B3089*5))^1/1)+2*(((0.15*B3089*5))^2/2)+3*(((0.15*B3089*5))^3/6)+4*(((0.15*B3089*5))^4/24)+5*(((0.15*B3089*5))^5/120))/((((0.15*B3089*5))^0/1)+(((0.15*B3089*5))^1/1)+(((0.15*B3089*5))^2/2)+(((0.15*B3089*5))^3/6)+(((0.15*B3089*5))^4/24)+(((0.15*B3089*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3066*(1-MIN(100,(Inputs!$B$9+((C3074=TRUE)*(F3074-Calc!F19))+B3087+(ArtifactsInput!$M$24-ArtifactsInput!$M$24)*CHOOSE(ArtifactsInput!$N$24+1,10,12,14,16,18,20)+(IF(AND(ArtifactsInput!$M$42,((Inputs!$B$9+((C3074=TRUE)*(F3074-Calc!F19))+B3087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3066*(MIN(100,(Inputs!$B$9+((C3074=TRUE)*(F3074-Calc!F19))+B3087+(ArtifactsInput!$M$24-ArtifactsInput!$M$24)*CHOOSE(ArtifactsInput!$N$24+1,10,12,14,16,18,20)+(IF(AND(ArtifactsInput!$M$42,((Inputs!$B$9+((C3074=TRUE)*(F3074-Calc!F19))+B3087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3066*(1-MIN(100,(Inputs!$B$9+((C3074=TRUE)*(F3074-Calc!F19))+B3087+(ArtifactsInput!$M$24-ArtifactsInput!$M$24)*CHOOSE(ArtifactsInput!$N$24+1,10,12,14,16,18,20)+(IF(AND(ArtifactsInput!$M$42,((Inputs!$B$9+((C3074=TRUE)*(F3074-Calc!F19))+B3087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3066*(MIN(100,(Inputs!$B$9+((C3074=TRUE)*(F3074-Calc!F19))+B3087+(ArtifactsInput!$M$24-ArtifactsInput!$M$24)*CHOOSE(ArtifactsInput!$N$24+1,10,12,14,16,18,20)+(IF(AND(ArtifactsInput!$M$42,((Inputs!$B$9+((C3074=TRUE)*(F3074-Calc!F19))+B3087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066">
        <f>IF(C3066,(H3066*N3066*IF(AND(Inputs!$B$38&lt;&gt;"pvp",Inputs!$B$43&gt;0),((Skills!G11*((R3066-1)*IF(Skills!H11&gt;0,Skills!I11/Skills!H11,1)+IF(Skills!H11&gt;0,MIN(Skills!I11,MAX(0,MAX(0,Inputs!$B$43-B3094)-((R3066-1)*IF(Inputs!$B$38="pvp",15,MAX(0.1,Skills!D11-IF(Skills!E11=TRUE,2.5,0))))))/Skills!H11,1)))/Inputs!$B$43),G3066*Q3066))*IF(Inputs!$B$38="pvp",1,(1+(Inputs!$B$21+Skills!Q11+(IF(ArtifactsInput!$M$33,CHOOSE(ArtifactsInput!$N$33+1,30,36,42,48,54,60),0))+(IF(AND(ArtifactsInput!$M$35,Inputs!$B$4&lt;&gt;"Chapter Hunt"),CHOOSE(ArtifactsInput!$N$35+1,15,18,21,24,27,30)*(1-EXP(-(0.2*B3089)*5)),0)+IF(AND(ArtifactsInput!$M$22,Inputs!$B$4&lt;&gt;"Chapter Hunt"),CHOOSE(ArtifactsInput!$N$22+1,10,12,14,16,18,20)*((0*(((0.15*B3089*5))^0/1)+1*(((0.15*B3089*5))^1/1)+2*(((0.15*B3089*5))^2/2)+3*(((0.15*B3089*5))^3/6)+4*(((0.15*B3089*5))^4/24)+5*(((0.15*B3089*5))^5/120))/((((0.15*B3089*5))^0/1)+(((0.15*B3089*5))^1/1)+(((0.15*B3089*5))^2/2)+(((0.15*B3089*5))^3/6)+(((0.15*B3089*5))^4/24)+(((0.15*B3089*5))^5/120))),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067">
      <c r="A3067">
        <f>Skills!A12</f>
        <v/>
      </c>
      <c r="B3067">
        <f>Skills!B12</f>
        <v/>
      </c>
      <c r="C3067">
        <f>Inputs!$B$3&gt;=60</f>
        <v/>
      </c>
      <c r="D3067">
        <f>IF(Skills!C12=1,60+Inputs!$B$25+Inputs!$B$29,IF(Skills!C12=2,90+Inputs!$B$26+Inputs!$B$29,IF(Skills!C12=3,120+Inputs!$B$27+Inputs!$B$29,MAX(0,(Inputs!$B$3-100)*3)+Inputs!$B$28+Inputs!$B$29)))</f>
        <v/>
      </c>
      <c r="E3067">
        <f>INDEX(FactorTable!$B$2:$Y$301, MATCH(ROUND(MIN(300,MAX(1,D3067)),0), FactorTable!$A$2:$A$301,0), Skills!M12+1)</f>
        <v/>
      </c>
      <c r="F3067">
        <f>IF(Skills!N12=TRUE,(Skills!L12/10)*(E3067/1000),Skills!L12/10)+Skills!O12</f>
        <v/>
      </c>
      <c r="G3067">
        <f>Skills!G12*IF(Skills!H12&gt;0,Skills!I12/Skills!H12,1)</f>
        <v/>
      </c>
      <c r="H3067">
        <f>1-(1-Skills!J12/100)^Skills!K12</f>
        <v/>
      </c>
      <c r="I3067" t="inlineStr">
        <is>
          <t>1</t>
        </is>
      </c>
      <c r="J3067" t="inlineStr"/>
      <c r="K3067" t="inlineStr"/>
      <c r="L3067" t="inlineStr"/>
      <c r="M3067" t="inlineStr"/>
      <c r="N3067" t="inlineStr"/>
      <c r="O3067">
        <f>(1-Summary!$B$11)*T3067+Summary!$B$11*V3067</f>
        <v/>
      </c>
      <c r="P3067">
        <f>IF(B3097=0,0,O3067/B3097)</f>
        <v/>
      </c>
      <c r="Q3067" t="n">
        <v>0</v>
      </c>
      <c r="R3067" t="n">
        <v>0</v>
      </c>
      <c r="S3067" t="n">
        <v>0</v>
      </c>
      <c r="T3067" t="n">
        <v>0</v>
      </c>
      <c r="V3067" t="n">
        <v>0</v>
      </c>
    </row>
    <row r="3068">
      <c r="A3068">
        <f>Skills!A13</f>
        <v/>
      </c>
      <c r="B3068">
        <f>Skills!B13</f>
        <v/>
      </c>
      <c r="C3068">
        <f>Inputs!$B$3&gt;=74</f>
        <v/>
      </c>
      <c r="D3068">
        <f>IF(Skills!C13=1,60+Inputs!$B$25+Inputs!$B$29,IF(Skills!C13=2,90+Inputs!$B$26+Inputs!$B$29,IF(Skills!C13=3,120+Inputs!$B$27+Inputs!$B$29,MAX(0,(Inputs!$B$3-100)*3)+Inputs!$B$28+Inputs!$B$29)))</f>
        <v/>
      </c>
      <c r="E3068">
        <f>INDEX(FactorTable!$B$2:$Y$301, MATCH(ROUND(MIN(300,MAX(1,D3068)),0), FactorTable!$A$2:$A$301,0), Skills!M13+1)</f>
        <v/>
      </c>
      <c r="F3068">
        <f>IF(Skills!N13=TRUE,(Skills!L13/10)*(E3068/1000),Skills!L13/10)+Skills!O13</f>
        <v/>
      </c>
      <c r="G3068">
        <f>Skills!G13*IF(Skills!H13&gt;0,Skills!I13/Skills!H13,1)</f>
        <v/>
      </c>
      <c r="H3068">
        <f>1-(1-Skills!J13/100)^Skills!K13</f>
        <v/>
      </c>
      <c r="I3068" t="inlineStr">
        <is>
          <t>1</t>
        </is>
      </c>
      <c r="J3068" t="inlineStr"/>
      <c r="K3068" t="inlineStr"/>
      <c r="L3068" t="inlineStr"/>
      <c r="M3068" t="inlineStr"/>
      <c r="N3068" t="inlineStr"/>
      <c r="O3068">
        <f>(1-Summary!$B$11)*T3068+Summary!$B$11*V3068</f>
        <v/>
      </c>
      <c r="P3068">
        <f>IF(B3097=0,0,O3068/B3097)</f>
        <v/>
      </c>
      <c r="Q3068" t="n">
        <v>0</v>
      </c>
      <c r="R3068" t="n">
        <v>0</v>
      </c>
      <c r="S3068" t="n">
        <v>0</v>
      </c>
      <c r="T3068" t="n">
        <v>0</v>
      </c>
      <c r="V3068" t="n">
        <v>0</v>
      </c>
    </row>
    <row r="3069">
      <c r="A3069">
        <f>Skills!A14</f>
        <v/>
      </c>
      <c r="B3069">
        <f>Skills!B14</f>
        <v/>
      </c>
      <c r="C3069">
        <f>Inputs!$B$3&gt;=74</f>
        <v/>
      </c>
      <c r="D3069">
        <f>IF(Skills!C14=1,60+Inputs!$B$25+Inputs!$B$29,IF(Skills!C14=2,90+Inputs!$B$26+Inputs!$B$29,IF(Skills!C14=3,120+Inputs!$B$27+Inputs!$B$29,MAX(0,(Inputs!$B$3-100)*3)+Inputs!$B$28+Inputs!$B$29)))</f>
        <v/>
      </c>
      <c r="E3069">
        <f>INDEX(FactorTable!$B$2:$Y$301, MATCH(ROUND(MIN(300,MAX(1,D3069)),0), FactorTable!$A$2:$A$301,0), Skills!M14+1)</f>
        <v/>
      </c>
      <c r="F3069">
        <f>IF(Skills!N14=TRUE,(Skills!L14/10)*(E3069/1000),Skills!L14/10)+Skills!O14</f>
        <v/>
      </c>
      <c r="G3069">
        <f>Skills!G14*IF(Skills!H14&gt;0,Skills!I14/Skills!H14,1)</f>
        <v/>
      </c>
      <c r="H3069">
        <f>1-(1-Skills!J14/100)^Skills!K14</f>
        <v/>
      </c>
      <c r="I3069" t="inlineStr">
        <is>
          <t>1</t>
        </is>
      </c>
      <c r="J3069" t="inlineStr"/>
      <c r="K3069" t="inlineStr"/>
      <c r="L3069" t="inlineStr"/>
      <c r="M3069" t="inlineStr"/>
      <c r="N3069" t="inlineStr"/>
      <c r="O3069">
        <f>(1-Summary!$B$11)*T3069+Summary!$B$11*V3069</f>
        <v/>
      </c>
      <c r="P3069">
        <f>IF(B3097=0,0,O3069/B3097)</f>
        <v/>
      </c>
      <c r="Q3069" t="n">
        <v>0</v>
      </c>
      <c r="R3069" t="n">
        <v>0</v>
      </c>
      <c r="S3069" t="n">
        <v>0</v>
      </c>
      <c r="T3069" t="n">
        <v>0</v>
      </c>
      <c r="V3069" t="n">
        <v>0</v>
      </c>
    </row>
    <row r="3070">
      <c r="A3070">
        <f>Skills!A15</f>
        <v/>
      </c>
      <c r="B3070">
        <f>Skills!B15</f>
        <v/>
      </c>
      <c r="C3070">
        <f>Inputs!$B$3&gt;=117</f>
        <v/>
      </c>
      <c r="D3070">
        <f>IF(Skills!C15=1,60+Inputs!$B$25+Inputs!$B$29,IF(Skills!C15=2,90+Inputs!$B$26+Inputs!$B$29,IF(Skills!C15=3,120+Inputs!$B$27+Inputs!$B$29,MAX(0,(Inputs!$B$3-100)*3)+Inputs!$B$28+Inputs!$B$29)))</f>
        <v/>
      </c>
      <c r="E3070">
        <f>INDEX(FactorTable!$B$2:$Y$301, MATCH(ROUND(MIN(300,MAX(1,D3070)),0), FactorTable!$A$2:$A$301,0), Skills!M15+1)</f>
        <v/>
      </c>
      <c r="F3070">
        <f>IF(Skills!N15=TRUE,(Skills!L15/10)*(E3070/1000),Skills!L15/10)+Skills!O15</f>
        <v/>
      </c>
      <c r="G3070">
        <f>Skills!G15*IF(Skills!H15&gt;0,Skills!I15/Skills!H15,1)</f>
        <v/>
      </c>
      <c r="H3070">
        <f>1-(1-Skills!J15/100)^Skills!K15</f>
        <v/>
      </c>
      <c r="I3070" t="inlineStr">
        <is>
          <t>1</t>
        </is>
      </c>
      <c r="J3070" t="inlineStr"/>
      <c r="K3070" t="inlineStr"/>
      <c r="L3070" t="inlineStr"/>
      <c r="M3070" t="inlineStr"/>
      <c r="N3070" t="inlineStr"/>
      <c r="O3070">
        <f>(1-Summary!$B$11)*T3070+Summary!$B$11*V3070</f>
        <v/>
      </c>
      <c r="P3070">
        <f>IF(B3097=0,0,O3070/B3097)</f>
        <v/>
      </c>
      <c r="Q3070">
        <f>IFERROR(1/IF(Inputs!$B$38="pvp",15,MAX(0.1,Skills!D15-IF(Skills!E15=TRUE,2.5,0))),0)</f>
        <v/>
      </c>
      <c r="R3070">
        <f>IF(AND(Inputs!$B$38&lt;&gt;"pvp",Inputs!$B$43&gt;0),IF(Inputs!$B$43&lt;=0,0,(INT(Inputs!$B$43/IF(Inputs!$B$38="pvp",15,MAX(0.1,Skills!D15-IF(Skills!E15=TRUE,2.5,0))))+1)),0)</f>
        <v/>
      </c>
      <c r="S3070" t="n">
        <v>0</v>
      </c>
      <c r="T3070" t="n">
        <v>0</v>
      </c>
      <c r="V3070" t="n">
        <v>0</v>
      </c>
    </row>
    <row r="3071">
      <c r="A3071">
        <f>Skills!A16</f>
        <v/>
      </c>
      <c r="B3071">
        <f>Skills!B16</f>
        <v/>
      </c>
      <c r="C3071">
        <f>Inputs!$B$3&gt;=115</f>
        <v/>
      </c>
      <c r="D3071">
        <f>IF(Skills!C16=1,60+Inputs!$B$25+Inputs!$B$29,IF(Skills!C16=2,90+Inputs!$B$26+Inputs!$B$29,IF(Skills!C16=3,120+Inputs!$B$27+Inputs!$B$29,MAX(0,(Inputs!$B$3-100)*3)+Inputs!$B$28+Inputs!$B$29)))</f>
        <v/>
      </c>
      <c r="E3071">
        <f>INDEX(FactorTable!$B$2:$Y$301, MATCH(ROUND(MIN(300,MAX(1,D3071)),0), FactorTable!$A$2:$A$301,0), Skills!M16+1)</f>
        <v/>
      </c>
      <c r="F3071">
        <f>IF(Skills!N16=TRUE,(Skills!L16/10)*(E3071/1000),Skills!L16/10)+Skills!O16</f>
        <v/>
      </c>
      <c r="G3071">
        <f>Skills!G16*IF(Skills!H16&gt;0,Skills!I16/Skills!H16,1)</f>
        <v/>
      </c>
      <c r="H3071">
        <f>1-(1-Skills!J16/100)^Skills!K16</f>
        <v/>
      </c>
      <c r="I3071" t="inlineStr">
        <is>
          <t>1</t>
        </is>
      </c>
      <c r="J3071" t="inlineStr"/>
      <c r="K3071" t="inlineStr"/>
      <c r="L3071" t="inlineStr"/>
      <c r="M3071" t="inlineStr"/>
      <c r="N3071" t="inlineStr"/>
      <c r="O3071">
        <f>(1-Summary!$B$11)*T3071+Summary!$B$11*V3071</f>
        <v/>
      </c>
      <c r="P3071">
        <f>IF(B3097=0,0,O3071/B3097)</f>
        <v/>
      </c>
      <c r="Q3071">
        <f>IFERROR(1/IF(Inputs!$B$38="pvp",15,MAX(0.1,Skills!D16-IF(Skills!E16=TRUE,2.5,0))),0)</f>
        <v/>
      </c>
      <c r="R3071">
        <f>IF(AND(Inputs!$B$38&lt;&gt;"pvp",Inputs!$B$43&gt;0),IF(Inputs!$B$43&lt;=0,0,(INT(Inputs!$B$43/IF(Inputs!$B$38="pvp",15,MAX(0.1,Skills!D16-IF(Skills!E16=TRUE,2.5,0))))+1)),0)</f>
        <v/>
      </c>
      <c r="S3071" t="n">
        <v>0</v>
      </c>
      <c r="T3071" t="n">
        <v>0</v>
      </c>
      <c r="V3071" t="n">
        <v>0</v>
      </c>
    </row>
    <row r="3072">
      <c r="A3072">
        <f>Skills!A17</f>
        <v/>
      </c>
      <c r="B3072">
        <f>Skills!B17</f>
        <v/>
      </c>
      <c r="C3072">
        <f>Inputs!$B$3&gt;=72</f>
        <v/>
      </c>
      <c r="D3072">
        <f>IF(Skills!C17=1,60+Inputs!$B$25+Inputs!$B$29,IF(Skills!C17=2,90+Inputs!$B$26+Inputs!$B$29,IF(Skills!C17=3,120+Inputs!$B$27+Inputs!$B$29,MAX(0,(Inputs!$B$3-100)*3)+Inputs!$B$28+Inputs!$B$29)))</f>
        <v/>
      </c>
      <c r="E3072">
        <f>INDEX(FactorTable!$B$2:$Y$301, MATCH(ROUND(MIN(300,MAX(1,D3072)),0), FactorTable!$A$2:$A$301,0), Skills!M17+1)</f>
        <v/>
      </c>
      <c r="F3072">
        <f>IF(Skills!N17=TRUE,(Skills!L17/10)*(E3072/1000),Skills!L17/10)+Skills!O17</f>
        <v/>
      </c>
      <c r="G3072">
        <f>Skills!G17*IF(Skills!H17&gt;0,Skills!I17/Skills!H17,1)</f>
        <v/>
      </c>
      <c r="H3072">
        <f>1-(1-Skills!J17/100)^Skills!K17</f>
        <v/>
      </c>
      <c r="I3072" t="inlineStr">
        <is>
          <t>1</t>
        </is>
      </c>
      <c r="J3072" t="inlineStr"/>
      <c r="K3072" t="inlineStr"/>
      <c r="L3072" t="inlineStr"/>
      <c r="M3072" t="inlineStr"/>
      <c r="N3072" t="inlineStr"/>
      <c r="O3072">
        <f>(1-Summary!$B$11)*T3072+Summary!$B$11*V3072</f>
        <v/>
      </c>
      <c r="P3072">
        <f>IF(B3097=0,0,O3072/B3097)</f>
        <v/>
      </c>
      <c r="Q3072" t="n">
        <v>0</v>
      </c>
      <c r="R3072" t="n">
        <v>0</v>
      </c>
      <c r="S3072" t="n">
        <v>0</v>
      </c>
      <c r="T3072" t="n">
        <v>0</v>
      </c>
      <c r="V3072" t="n">
        <v>0</v>
      </c>
    </row>
    <row r="3073">
      <c r="A3073">
        <f>Skills!A18</f>
        <v/>
      </c>
      <c r="B3073">
        <f>Skills!B18</f>
        <v/>
      </c>
      <c r="C3073">
        <f>TRUE</f>
        <v/>
      </c>
      <c r="D3073">
        <f>IF(Skills!C18=1,60+Inputs!$B$25+Inputs!$B$29,IF(Skills!C18=2,90+Inputs!$B$26+Inputs!$B$29,IF(Skills!C18=3,120+Inputs!$B$27+Inputs!$B$29,MAX(0,(Inputs!$B$3-100)*3)+Inputs!$B$28+Inputs!$B$29)))</f>
        <v/>
      </c>
      <c r="E3073">
        <f>INDEX(FactorTable!$B$2:$Y$301, MATCH(ROUND(MIN(300,MAX(1,D3073)),0), FactorTable!$A$2:$A$301,0), Skills!M18+1)</f>
        <v/>
      </c>
      <c r="F3073">
        <f>IF(Skills!N18=TRUE,(Skills!L18/10)*(E3073/1000),Skills!L18/10)+Skills!O18</f>
        <v/>
      </c>
      <c r="G3073">
        <f>Skills!G18*IF(Skills!H18&gt;0,Skills!I18/Skills!H18,1)</f>
        <v/>
      </c>
      <c r="H3073">
        <f>1-(1-Skills!J18/100)^Skills!K18</f>
        <v/>
      </c>
      <c r="I3073" t="inlineStr">
        <is>
          <t>1</t>
        </is>
      </c>
      <c r="J3073" t="inlineStr"/>
      <c r="K3073" t="inlineStr"/>
      <c r="L3073" t="inlineStr"/>
      <c r="M3073" t="inlineStr"/>
      <c r="N3073" t="inlineStr"/>
      <c r="O3073">
        <f>(1-Summary!$B$11)*T3073+Summary!$B$11*V3073</f>
        <v/>
      </c>
      <c r="P3073">
        <f>IF(B3097=0,0,O3073/B3097)</f>
        <v/>
      </c>
      <c r="Q3073">
        <f>IFERROR(1/IF(Inputs!$B$38="pvp",15,MAX(0.1,Skills!D18-IF(Skills!E18=TRUE,2.5,0))),0)</f>
        <v/>
      </c>
      <c r="R3073">
        <f>IF(AND(Inputs!$B$38&lt;&gt;"pvp",Inputs!$B$43&gt;0),IF(Inputs!$B$43&lt;=0,0,(INT(Inputs!$B$43/IF(Inputs!$B$38="pvp",15,MAX(0.1,Skills!D18-IF(Skills!E18=TRUE,2.5,0))))+1)),0)</f>
        <v/>
      </c>
      <c r="S3073" t="n">
        <v>0</v>
      </c>
      <c r="T3073" t="n">
        <v>0</v>
      </c>
      <c r="V3073" t="n">
        <v>0</v>
      </c>
    </row>
    <row r="3074">
      <c r="A3074">
        <f>Skills!A19</f>
        <v/>
      </c>
      <c r="B3074">
        <f>Skills!B19</f>
        <v/>
      </c>
      <c r="C3074">
        <f>Inputs!$B$3&gt;=15</f>
        <v/>
      </c>
      <c r="D3074">
        <f>IF(Skills!C19=1,60+Inputs!$B$25+Inputs!$B$29,IF(Skills!C19=2,90+Inputs!$B$26+Inputs!$B$29,IF(Skills!C19=3,120+Inputs!$B$27+Inputs!$B$29,MAX(0,(Inputs!$B$3-100)*3)+Inputs!$B$28+Inputs!$B$29)))</f>
        <v/>
      </c>
      <c r="E3074">
        <f>INDEX(FactorTable!$B$2:$Y$301, MATCH(ROUND(MIN(300,MAX(1,D3074)),0), FactorTable!$A$2:$A$301,0), Skills!M19+1)</f>
        <v/>
      </c>
      <c r="F3074">
        <f>IF(Skills!N19=TRUE,(Skills!L19/10)*(E3074/1000),Skills!L19/10)+Skills!O19</f>
        <v/>
      </c>
      <c r="G3074">
        <f>Skills!G19*IF(Skills!H19&gt;0,Skills!I19/Skills!H19,1)</f>
        <v/>
      </c>
      <c r="H3074">
        <f>1-(1-Skills!J19/100)^Skills!K19</f>
        <v/>
      </c>
      <c r="I3074" t="inlineStr">
        <is>
          <t>1</t>
        </is>
      </c>
      <c r="J3074" t="inlineStr"/>
      <c r="K3074" t="inlineStr"/>
      <c r="L3074" t="inlineStr"/>
      <c r="M3074" t="inlineStr"/>
      <c r="N3074" t="inlineStr"/>
      <c r="O3074">
        <f>(1-Summary!$B$11)*T3074+Summary!$B$11*V3074</f>
        <v/>
      </c>
      <c r="P3074">
        <f>IF(B3097=0,0,O3074/B3097)</f>
        <v/>
      </c>
      <c r="Q3074" t="n">
        <v>0</v>
      </c>
      <c r="R3074" t="n">
        <v>0</v>
      </c>
      <c r="S3074" t="n">
        <v>0</v>
      </c>
      <c r="T3074" t="n">
        <v>0</v>
      </c>
      <c r="V3074" t="n">
        <v>0</v>
      </c>
    </row>
    <row r="3075">
      <c r="A3075">
        <f>Skills!A20</f>
        <v/>
      </c>
      <c r="B3075">
        <f>Skills!B20</f>
        <v/>
      </c>
      <c r="C3075">
        <f>Inputs!$B$3&gt;=10</f>
        <v/>
      </c>
      <c r="D3075">
        <f>IF(Skills!C20=1,60+Inputs!$B$25+Inputs!$B$29,IF(Skills!C20=2,90+Inputs!$B$26+Inputs!$B$29,IF(Skills!C20=3,120+Inputs!$B$27+Inputs!$B$29,MAX(0,(Inputs!$B$3-100)*3)+Inputs!$B$28+Inputs!$B$29)))</f>
        <v/>
      </c>
      <c r="E3075">
        <f>INDEX(FactorTable!$B$2:$Y$301, MATCH(ROUND(MIN(300,MAX(1,D3075)),0), FactorTable!$A$2:$A$301,0), Skills!M20+1)</f>
        <v/>
      </c>
      <c r="F3075">
        <f>IF(Skills!N20=TRUE,(Skills!L20/10)*(E3075/1000),Skills!L20/10)+Skills!O20</f>
        <v/>
      </c>
      <c r="G3075">
        <f>Skills!G20*IF(Skills!H20&gt;0,Skills!I20/Skills!H20,1)</f>
        <v/>
      </c>
      <c r="H3075">
        <f>1-(1-Skills!J20/100)^Skills!K20</f>
        <v/>
      </c>
      <c r="I3075" t="inlineStr">
        <is>
          <t>1</t>
        </is>
      </c>
      <c r="J3075" t="inlineStr"/>
      <c r="K3075" t="inlineStr"/>
      <c r="L3075" t="inlineStr"/>
      <c r="M3075" t="inlineStr"/>
      <c r="N3075" t="inlineStr"/>
      <c r="O3075">
        <f>(1-Summary!$B$11)*T3075+Summary!$B$11*V3075</f>
        <v/>
      </c>
      <c r="P3075">
        <f>IF(B3097=0,0,O3075/B3097)</f>
        <v/>
      </c>
      <c r="Q3075" t="n">
        <v>0</v>
      </c>
      <c r="R3075" t="n">
        <v>0</v>
      </c>
      <c r="S3075" t="n">
        <v>0</v>
      </c>
      <c r="T3075" t="n">
        <v>0</v>
      </c>
      <c r="V3075" t="n">
        <v>0</v>
      </c>
    </row>
    <row r="3076">
      <c r="A3076">
        <f>Skills!A21</f>
        <v/>
      </c>
      <c r="B3076">
        <f>Skills!B21</f>
        <v/>
      </c>
      <c r="C3076">
        <f>Inputs!$B$3&gt;=33</f>
        <v/>
      </c>
      <c r="D3076">
        <f>IF(Skills!C21=1,60+Inputs!$B$25+Inputs!$B$29,IF(Skills!C21=2,90+Inputs!$B$26+Inputs!$B$29,IF(Skills!C21=3,120+Inputs!$B$27+Inputs!$B$29,MAX(0,(Inputs!$B$3-100)*3)+Inputs!$B$28+Inputs!$B$29)))</f>
        <v/>
      </c>
      <c r="E3076">
        <f>INDEX(FactorTable!$B$2:$Y$301, MATCH(ROUND(MIN(300,MAX(1,D3076)),0), FactorTable!$A$2:$A$301,0), Skills!M21+1)</f>
        <v/>
      </c>
      <c r="F3076">
        <f>IF(Skills!N21=TRUE,(Skills!L21/10)*(E3076/1000),Skills!L21/10)+Skills!O21</f>
        <v/>
      </c>
      <c r="G3076">
        <f>Skills!G21*IF(Skills!H21&gt;0,Skills!I21/Skills!H21,1)</f>
        <v/>
      </c>
      <c r="H3076">
        <f>1-(1-Skills!J21/100)^Skills!K21</f>
        <v/>
      </c>
      <c r="I3076" t="inlineStr">
        <is>
          <t>1</t>
        </is>
      </c>
      <c r="J3076" t="inlineStr"/>
      <c r="K3076" t="inlineStr"/>
      <c r="L3076" t="inlineStr"/>
      <c r="M3076" t="inlineStr"/>
      <c r="N3076" t="inlineStr"/>
      <c r="O3076">
        <f>(1-Summary!$B$11)*T3076+Summary!$B$11*V3076</f>
        <v/>
      </c>
      <c r="P3076">
        <f>IF(B3097=0,0,O3076/B3097)</f>
        <v/>
      </c>
      <c r="Q3076" t="n">
        <v>0</v>
      </c>
      <c r="R3076" t="n">
        <v>0</v>
      </c>
      <c r="S3076" t="n">
        <v>0</v>
      </c>
      <c r="T3076" t="n">
        <v>0</v>
      </c>
      <c r="V3076" t="n">
        <v>0</v>
      </c>
    </row>
    <row r="3077">
      <c r="A3077">
        <f>Skills!A22</f>
        <v/>
      </c>
      <c r="B3077">
        <f>Skills!B22</f>
        <v/>
      </c>
      <c r="C3077">
        <f>Inputs!$B$3&gt;=38</f>
        <v/>
      </c>
      <c r="D3077">
        <f>IF(Skills!C22=1,60+Inputs!$B$25+Inputs!$B$29,IF(Skills!C22=2,90+Inputs!$B$26+Inputs!$B$29,IF(Skills!C22=3,120+Inputs!$B$27+Inputs!$B$29,MAX(0,(Inputs!$B$3-100)*3)+Inputs!$B$28+Inputs!$B$29)))</f>
        <v/>
      </c>
      <c r="E3077">
        <f>INDEX(FactorTable!$B$2:$Y$301, MATCH(ROUND(MIN(300,MAX(1,D3077)),0), FactorTable!$A$2:$A$301,0), Skills!M22+1)</f>
        <v/>
      </c>
      <c r="F3077">
        <f>IF(Skills!N22=TRUE,(Skills!L22/10)*(E3077/1000),Skills!L22/10)+Skills!O22</f>
        <v/>
      </c>
      <c r="G3077">
        <f>Skills!G22*IF(Skills!H22&gt;0,Skills!I22/Skills!H22,1)</f>
        <v/>
      </c>
      <c r="H3077">
        <f>1-(1-Skills!J22/100)^Skills!K22</f>
        <v/>
      </c>
      <c r="I3077" t="inlineStr">
        <is>
          <t>1</t>
        </is>
      </c>
      <c r="J3077" t="inlineStr"/>
      <c r="K3077" t="inlineStr"/>
      <c r="L3077" t="inlineStr"/>
      <c r="M3077" t="inlineStr"/>
      <c r="N3077" t="inlineStr"/>
      <c r="O3077">
        <f>(1-Summary!$B$11)*T3077+Summary!$B$11*V3077</f>
        <v/>
      </c>
      <c r="P3077">
        <f>IF(B3097=0,0,O3077/B3097)</f>
        <v/>
      </c>
      <c r="Q3077" t="n">
        <v>0</v>
      </c>
      <c r="R3077" t="n">
        <v>0</v>
      </c>
      <c r="S3077" t="n">
        <v>0</v>
      </c>
      <c r="T3077" t="n">
        <v>0</v>
      </c>
      <c r="V3077" t="n">
        <v>0</v>
      </c>
    </row>
    <row r="3078">
      <c r="A3078">
        <f>Skills!A23</f>
        <v/>
      </c>
      <c r="B3078">
        <f>Skills!B23</f>
        <v/>
      </c>
      <c r="C3078">
        <f>Inputs!$B$3&gt;=43</f>
        <v/>
      </c>
      <c r="D3078">
        <f>IF(Skills!C23=1,60+Inputs!$B$25+Inputs!$B$29,IF(Skills!C23=2,90+Inputs!$B$26+Inputs!$B$29,IF(Skills!C23=3,120+Inputs!$B$27+Inputs!$B$29,MAX(0,(Inputs!$B$3-100)*3)+Inputs!$B$28+Inputs!$B$29)))</f>
        <v/>
      </c>
      <c r="E3078">
        <f>INDEX(FactorTable!$B$2:$Y$301, MATCH(ROUND(MIN(300,MAX(1,D3078)),0), FactorTable!$A$2:$A$301,0), Skills!M23+1)</f>
        <v/>
      </c>
      <c r="F3078">
        <f>IF(Skills!N23=TRUE,(Skills!L23/10)*(E3078/1000),Skills!L23/10)+Skills!O23</f>
        <v/>
      </c>
      <c r="G3078">
        <f>Skills!G23*IF(Skills!H23&gt;0,Skills!I23/Skills!H23,1)</f>
        <v/>
      </c>
      <c r="H3078">
        <f>1-(1-Skills!J23/100)^Skills!K23</f>
        <v/>
      </c>
      <c r="I3078" t="inlineStr">
        <is>
          <t>1</t>
        </is>
      </c>
      <c r="J3078" t="inlineStr"/>
      <c r="K3078" t="inlineStr"/>
      <c r="L3078" t="inlineStr"/>
      <c r="M3078" t="inlineStr"/>
      <c r="N3078" t="inlineStr"/>
      <c r="O3078">
        <f>(1-Summary!$B$11)*T3078+Summary!$B$11*V3078</f>
        <v/>
      </c>
      <c r="P3078">
        <f>IF(B3097=0,0,O3078/B3097)</f>
        <v/>
      </c>
      <c r="Q3078" t="n">
        <v>0</v>
      </c>
      <c r="R3078" t="n">
        <v>0</v>
      </c>
      <c r="S3078" t="n">
        <v>0</v>
      </c>
      <c r="T3078" t="n">
        <v>0</v>
      </c>
      <c r="V3078" t="n">
        <v>0</v>
      </c>
    </row>
    <row r="3079">
      <c r="A3079">
        <f>Skills!A24</f>
        <v/>
      </c>
      <c r="B3079">
        <f>Skills!B24</f>
        <v/>
      </c>
      <c r="C3079">
        <f>Inputs!$B$3&gt;=75</f>
        <v/>
      </c>
      <c r="D3079">
        <f>IF(Skills!C24=1,60+Inputs!$B$25+Inputs!$B$29,IF(Skills!C24=2,90+Inputs!$B$26+Inputs!$B$29,IF(Skills!C24=3,120+Inputs!$B$27+Inputs!$B$29,MAX(0,(Inputs!$B$3-100)*3)+Inputs!$B$28+Inputs!$B$29)))</f>
        <v/>
      </c>
      <c r="E3079">
        <f>INDEX(FactorTable!$B$2:$Y$301, MATCH(ROUND(MIN(300,MAX(1,D3079)),0), FactorTable!$A$2:$A$301,0), Skills!M24+1)</f>
        <v/>
      </c>
      <c r="F3079">
        <f>IF(Skills!N24=TRUE,(Skills!L24/10)*(E3079/1000),Skills!L24/10)+Skills!O24</f>
        <v/>
      </c>
      <c r="G3079">
        <f>Skills!G24*IF(Skills!H24&gt;0,Skills!I24/Skills!H24,1)</f>
        <v/>
      </c>
      <c r="H3079">
        <f>1-(1-Skills!J24/100)^Skills!K24</f>
        <v/>
      </c>
      <c r="I3079" t="inlineStr">
        <is>
          <t>1</t>
        </is>
      </c>
      <c r="J3079" t="inlineStr"/>
      <c r="K3079" t="inlineStr"/>
      <c r="L3079" t="inlineStr"/>
      <c r="M3079" t="inlineStr"/>
      <c r="N3079" t="inlineStr"/>
      <c r="O3079">
        <f>(1-Summary!$B$11)*T3079+Summary!$B$11*V3079</f>
        <v/>
      </c>
      <c r="P3079">
        <f>IF(B3097=0,0,O3079/B3097)</f>
        <v/>
      </c>
      <c r="Q3079" t="n">
        <v>0</v>
      </c>
      <c r="R3079" t="n">
        <v>0</v>
      </c>
      <c r="S3079" t="n">
        <v>0</v>
      </c>
      <c r="T3079" t="n">
        <v>0</v>
      </c>
      <c r="V3079" t="n">
        <v>0</v>
      </c>
    </row>
    <row r="3080">
      <c r="A3080">
        <f>Skills!A25</f>
        <v/>
      </c>
      <c r="B3080">
        <f>Skills!B25</f>
        <v/>
      </c>
      <c r="C3080">
        <f>Inputs!$B$3&gt;=125</f>
        <v/>
      </c>
      <c r="D3080">
        <f>IF(Skills!C25=1,60+Inputs!$B$25+Inputs!$B$29,IF(Skills!C25=2,90+Inputs!$B$26+Inputs!$B$29,IF(Skills!C25=3,120+Inputs!$B$27+Inputs!$B$29,MAX(0,(Inputs!$B$3-100)*3)+Inputs!$B$28+Inputs!$B$29)))</f>
        <v/>
      </c>
      <c r="E3080">
        <f>INDEX(FactorTable!$B$2:$Y$301, MATCH(ROUND(MIN(300,MAX(1,D3080)),0), FactorTable!$A$2:$A$301,0), Skills!M25+1)</f>
        <v/>
      </c>
      <c r="F3080">
        <f>IF(Skills!N25=TRUE,(Skills!L25/10)*(E3080/1000),Skills!L25/10)+Skills!O25</f>
        <v/>
      </c>
      <c r="G3080">
        <f>Skills!G25*IF(Skills!H25&gt;0,Skills!I25/Skills!H25,1)</f>
        <v/>
      </c>
      <c r="H3080">
        <f>1-(1-Skills!J25/100)^Skills!K25</f>
        <v/>
      </c>
      <c r="I3080" t="inlineStr">
        <is>
          <t>1</t>
        </is>
      </c>
      <c r="J3080" t="inlineStr"/>
      <c r="K3080" t="inlineStr"/>
      <c r="L3080" t="inlineStr"/>
      <c r="M3080" t="inlineStr"/>
      <c r="N3080" t="inlineStr"/>
      <c r="O3080">
        <f>(1-Summary!$B$11)*T3080+Summary!$B$11*V3080</f>
        <v/>
      </c>
      <c r="P3080">
        <f>IF(B3097=0,0,O3080/B3097)</f>
        <v/>
      </c>
      <c r="Q3080" t="n">
        <v>0</v>
      </c>
      <c r="R3080" t="n">
        <v>0</v>
      </c>
      <c r="S3080" t="n">
        <v>0</v>
      </c>
      <c r="T3080" t="n">
        <v>0</v>
      </c>
      <c r="V3080" t="n">
        <v>0</v>
      </c>
    </row>
    <row r="3081">
      <c r="A3081">
        <f>Skills!A26</f>
        <v/>
      </c>
      <c r="B3081">
        <f>Skills!B26</f>
        <v/>
      </c>
      <c r="C3081">
        <f>Inputs!$B$3&gt;=125</f>
        <v/>
      </c>
      <c r="D3081">
        <f>IF(Skills!C26=1,60+Inputs!$B$25+Inputs!$B$29,IF(Skills!C26=2,90+Inputs!$B$26+Inputs!$B$29,IF(Skills!C26=3,120+Inputs!$B$27+Inputs!$B$29,MAX(0,(Inputs!$B$3-100)*3)+Inputs!$B$28+Inputs!$B$29)))</f>
        <v/>
      </c>
      <c r="E3081">
        <f>INDEX(FactorTable!$B$2:$Y$301, MATCH(ROUND(MIN(300,MAX(1,D3081)),0), FactorTable!$A$2:$A$301,0), Skills!M26+1)</f>
        <v/>
      </c>
      <c r="F3081">
        <f>IF(Skills!N26=TRUE,(Skills!L26/10)*(E3081/1000),Skills!L26/10)+Skills!O26</f>
        <v/>
      </c>
      <c r="G3081">
        <f>Skills!G26*IF(Skills!H26&gt;0,Skills!I26/Skills!H26,1)</f>
        <v/>
      </c>
      <c r="H3081">
        <f>1-(1-Skills!J26/100)^Skills!K26</f>
        <v/>
      </c>
      <c r="I3081" t="inlineStr">
        <is>
          <t>1</t>
        </is>
      </c>
      <c r="J3081" t="inlineStr"/>
      <c r="K3081" t="inlineStr"/>
      <c r="L3081" t="inlineStr"/>
      <c r="M3081" t="inlineStr"/>
      <c r="N3081" t="inlineStr"/>
      <c r="O3081">
        <f>(1-Summary!$B$11)*T3081+Summary!$B$11*V3081</f>
        <v/>
      </c>
      <c r="P3081">
        <f>IF(B3097=0,0,O3081/B3097)</f>
        <v/>
      </c>
      <c r="Q3081" t="n">
        <v>0</v>
      </c>
      <c r="R3081" t="n">
        <v>0</v>
      </c>
      <c r="S3081" t="n">
        <v>0</v>
      </c>
      <c r="T3081" t="n">
        <v>0</v>
      </c>
      <c r="V3081" t="n">
        <v>0</v>
      </c>
    </row>
    <row r="3082">
      <c r="A3082">
        <f>Skills!A27</f>
        <v/>
      </c>
      <c r="B3082">
        <f>Skills!B27</f>
        <v/>
      </c>
      <c r="C3082">
        <f>Inputs!$B$3&gt;=120</f>
        <v/>
      </c>
      <c r="D3082">
        <f>IF(Skills!C27=1,60+Inputs!$B$25+Inputs!$B$29,IF(Skills!C27=2,90+Inputs!$B$26+Inputs!$B$29,IF(Skills!C27=3,120+Inputs!$B$27+Inputs!$B$29,MAX(0,(Inputs!$B$3-100)*3)+Inputs!$B$28+Inputs!$B$29)))</f>
        <v/>
      </c>
      <c r="E3082">
        <f>INDEX(FactorTable!$B$2:$Y$301, MATCH(ROUND(MIN(300,MAX(1,D3082)),0), FactorTable!$A$2:$A$301,0), Skills!M27+1)</f>
        <v/>
      </c>
      <c r="F3082">
        <f>IF(Skills!N27=TRUE,(Skills!L27/10)*(E3082/1000),Skills!L27/10)+Skills!O27</f>
        <v/>
      </c>
      <c r="G3082">
        <f>Skills!G27*IF(Skills!H27&gt;0,Skills!I27/Skills!H27,1)</f>
        <v/>
      </c>
      <c r="H3082">
        <f>1-(1-Skills!J27/100)^Skills!K27</f>
        <v/>
      </c>
      <c r="I3082" t="inlineStr">
        <is>
          <t>1</t>
        </is>
      </c>
      <c r="J3082" t="inlineStr"/>
      <c r="K3082" t="inlineStr"/>
      <c r="L3082" t="inlineStr"/>
      <c r="M3082" t="inlineStr"/>
      <c r="N3082" t="inlineStr"/>
      <c r="O3082">
        <f>(1-Summary!$B$11)*T3082+Summary!$B$11*V3082</f>
        <v/>
      </c>
      <c r="P3082">
        <f>IF(B3097=0,0,O3082/B3097)</f>
        <v/>
      </c>
      <c r="Q3082" t="n">
        <v>0</v>
      </c>
      <c r="R3082" t="n">
        <v>0</v>
      </c>
      <c r="S3082" t="n">
        <v>0</v>
      </c>
      <c r="T3082" t="n">
        <v>0</v>
      </c>
      <c r="V3082" t="n">
        <v>0</v>
      </c>
    </row>
    <row r="3083">
      <c r="A3083">
        <f>Skills!A28</f>
        <v/>
      </c>
      <c r="B3083">
        <f>Skills!B28</f>
        <v/>
      </c>
      <c r="C3083">
        <f>Inputs!$B$3&gt;=120</f>
        <v/>
      </c>
      <c r="D3083">
        <f>IF(Skills!C28=1,60+Inputs!$B$25+Inputs!$B$29,IF(Skills!C28=2,90+Inputs!$B$26+Inputs!$B$29,IF(Skills!C28=3,120+Inputs!$B$27+Inputs!$B$29,MAX(0,(Inputs!$B$3-100)*3)+Inputs!$B$28+Inputs!$B$29)))</f>
        <v/>
      </c>
      <c r="E3083">
        <f>INDEX(FactorTable!$B$2:$Y$301, MATCH(ROUND(MIN(300,MAX(1,D3083)),0), FactorTable!$A$2:$A$301,0), Skills!M28+1)</f>
        <v/>
      </c>
      <c r="F3083">
        <f>IF(Skills!N28=TRUE,(Skills!L28/10)*(E3083/1000),Skills!L28/10)+Skills!O28</f>
        <v/>
      </c>
      <c r="G3083">
        <f>Skills!G28*IF(Skills!H28&gt;0,Skills!I28/Skills!H28,1)</f>
        <v/>
      </c>
      <c r="H3083">
        <f>1-(1-Skills!J28/100)^Skills!K28</f>
        <v/>
      </c>
      <c r="I3083" t="inlineStr">
        <is>
          <t>1</t>
        </is>
      </c>
      <c r="J3083" t="inlineStr"/>
      <c r="K3083" t="inlineStr"/>
      <c r="L3083" t="inlineStr"/>
      <c r="M3083" t="inlineStr"/>
      <c r="N3083" t="inlineStr"/>
      <c r="O3083">
        <f>(1-Summary!$B$11)*T3083+Summary!$B$11*V3083</f>
        <v/>
      </c>
      <c r="P3083">
        <f>IF(B3097=0,0,O3083/B3097)</f>
        <v/>
      </c>
      <c r="Q3083" t="n">
        <v>0</v>
      </c>
      <c r="R3083" t="n">
        <v>0</v>
      </c>
      <c r="S3083" t="n">
        <v>0</v>
      </c>
      <c r="T3083" t="n">
        <v>0</v>
      </c>
      <c r="V3083" t="n">
        <v>0</v>
      </c>
    </row>
    <row r="3084">
      <c r="A3084">
        <f>Skills!A29</f>
        <v/>
      </c>
      <c r="B3084">
        <f>Skills!B29</f>
        <v/>
      </c>
      <c r="C3084">
        <f>Inputs!$B$3&gt;=45</f>
        <v/>
      </c>
      <c r="D3084">
        <f>IF(Skills!C29=1,60+Inputs!$B$25+Inputs!$B$29,IF(Skills!C29=2,90+Inputs!$B$26+Inputs!$B$29,IF(Skills!C29=3,120+Inputs!$B$27+Inputs!$B$29,MAX(0,(Inputs!$B$3-100)*3)+Inputs!$B$28+Inputs!$B$29)))</f>
        <v/>
      </c>
      <c r="E3084">
        <f>INDEX(FactorTable!$B$2:$Y$301, MATCH(ROUND(MIN(300,MAX(1,D3084)),0), FactorTable!$A$2:$A$301,0), Skills!M29+1)</f>
        <v/>
      </c>
      <c r="F3084">
        <f>IF(Skills!N29=TRUE,(Skills!L29/10)*(E3084/1000),Skills!L29/10)+Skills!O29</f>
        <v/>
      </c>
      <c r="G3084">
        <f>Skills!G29*IF(Skills!H29&gt;0,Skills!I29/Skills!H29,1)</f>
        <v/>
      </c>
      <c r="H3084">
        <f>1-(1-Skills!J29/100)^Skills!K29</f>
        <v/>
      </c>
      <c r="I3084" t="inlineStr">
        <is>
          <t>1</t>
        </is>
      </c>
      <c r="J3084" t="inlineStr"/>
      <c r="K3084" t="inlineStr"/>
      <c r="L3084" t="inlineStr"/>
      <c r="M3084" t="inlineStr"/>
      <c r="N3084" t="inlineStr"/>
      <c r="O3084">
        <f>(1-Summary!$B$11)*T3084+Summary!$B$11*V3084</f>
        <v/>
      </c>
      <c r="P3084">
        <f>IF(B3097=0,0,O3084/B3097)</f>
        <v/>
      </c>
      <c r="Q3084" t="n">
        <v>0</v>
      </c>
      <c r="R3084" t="n">
        <v>0</v>
      </c>
      <c r="S3084" t="n">
        <v>0</v>
      </c>
      <c r="T3084" t="n">
        <v>0</v>
      </c>
      <c r="V3084" t="n">
        <v>0</v>
      </c>
    </row>
    <row r="3086">
      <c r="A3086" t="inlineStr">
        <is>
          <t>Attack% Bucket Multiplier</t>
        </is>
      </c>
      <c r="B3086">
        <f>(1+(((C3068=TRUE)*F3068)+((C3069=TRUE)*IF(Inputs!$B$38="pvp",F3069,(1-Summary!$B$11)*(F3069)+Summary!$B$11*(0)))+((C3070=TRUE)*F3070*IF(AND(Inputs!$B$38&lt;&gt;"pvp",Inputs!$B$43&gt;0),(((R3070-1)*(Skills!T15*(1+Inputs!$B$34/100))+MIN((Skills!T15*(1+Inputs!$B$34/100)),MAX(0,Inputs!$B$43-((R3070-1)*Skills!D15))))/Inputs!$B$43),IF(Inputs!$B$38="pvp",MIN((Skills!T15*(1+Inputs!$B$34/100)),15)/15,(Skills!T15*(1+Inputs!$B$34/100))/Skills!D15)))+((C3067=TRUE)*F3067)+((C3084=TRUE)*(F3084-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3087">
      <c r="A3087" t="inlineStr">
        <is>
          <t>Global Crit Rate Bonus %</t>
        </is>
      </c>
      <c r="B3087">
        <f>(C3071=TRUE)*20*IF(AND(Inputs!$B$38&lt;&gt;"pvp",Inputs!$B$43&gt;0),(((R3071-1)*(Skills!T16*(1+Inputs!$B$34/100))+MIN((Skills!T16*(1+Inputs!$B$34/100)),MAX(0,Inputs!$B$43-((R3071-1)*Skills!D16))))/Inputs!$B$43),IF(Inputs!$B$38="pvp",MIN((Skills!T16*(1+Inputs!$B$34/100)),15)/15,(Skills!T16*(1+Inputs!$B$34/100))/Skills!D16))</f>
        <v/>
      </c>
    </row>
    <row r="3088">
      <c r="A3088" t="inlineStr">
        <is>
          <t>Attack Speed Buff Bonus %</t>
        </is>
      </c>
      <c r="B3088">
        <f>((C3073=TRUE)*F3073*IF(AND(Inputs!$B$38&lt;&gt;"pvp",Inputs!$B$43&gt;0),(((R3073-1)*(Skills!T18*(1+Inputs!$B$34/100))+MIN((Skills!T18*(1+Inputs!$B$34/100)),MAX(0,Inputs!$B$43-((R3073-1)*Skills!D18))))/Inputs!$B$43),IF(Inputs!$B$38="pvp",MIN((Skills!T18*(1+Inputs!$B$34/100)),15)/15,(Skills!T18*(1+Inputs!$B$34/100))/Skills!D18)))</f>
        <v/>
      </c>
    </row>
    <row r="3089">
      <c r="A3089" t="inlineStr">
        <is>
          <t>Actions Per Second</t>
        </is>
      </c>
      <c r="B3089">
        <f>1+MIN(150,150*(1-(1-(Inputs!$B$11+((C3075=TRUE)*(F3075-Calc!F20))+((C3076=TRUE)*(F3076-Calc!F21)))/150)*(1-B3088/150)))/100</f>
        <v/>
      </c>
    </row>
    <row r="3090">
      <c r="A3090" t="inlineStr">
        <is>
          <t>Skill + Buff Cast Rate</t>
        </is>
      </c>
      <c r="B3090">
        <f>IF(AND(Inputs!$B$38&lt;&gt;"pvp",Inputs!$B$43&gt;0),SUMPRODUCT((Skills!E2:E29=TRUE)*(C3057:C3084=TRUE)*R3057:R3084*Skills!F2:F29)/Inputs!$B$43,SUMPRODUCT((Skills!E2:E29=TRUE)*(C3057:C3084=TRUE)*Q3057:Q3084*Skills!F2:F29))</f>
        <v/>
      </c>
    </row>
    <row r="3091">
      <c r="A3091" t="inlineStr">
        <is>
          <t>Empowered Piercing Arrow Casts Per Second</t>
        </is>
      </c>
      <c r="B3091">
        <f>MAX(0,B3089-B3090)</f>
        <v/>
      </c>
    </row>
    <row r="3092">
      <c r="A3092" t="inlineStr">
        <is>
          <t>Global Critical Damage Bonus % (Sharp Eyes)</t>
        </is>
      </c>
      <c r="B3092">
        <f>(C3071=TRUE)*F3071*IF(AND(Inputs!$B$38&lt;&gt;"pvp",Inputs!$B$43&gt;0),(((R3071-1)*(Skills!T16*(1+Inputs!$B$34/100))+MIN((Skills!T16*(1+Inputs!$B$34/100)),MAX(0,Inputs!$B$43-((R3071-1)*Skills!D16))))/Inputs!$B$43),IF(Inputs!$B$38="pvp",MIN((Skills!T16*(1+Inputs!$B$34/100)),15)/15,(Skills!T16*(1+Inputs!$B$34/100))/Skills!D16))</f>
        <v/>
      </c>
    </row>
    <row r="3093">
      <c r="A3093" t="inlineStr">
        <is>
          <t>Global Final Damage Bonus % (Mortal Blow + Last Man Standing conditional half)</t>
        </is>
      </c>
      <c r="B3093">
        <f>(C3072=TRUE)*F3072+((C3081=TRUE)*IF(Inputs!$B$38="pvp",F3081,(1-Summary!$B$11)*(F3081)+Summary!$B$11*(0)))</f>
        <v/>
      </c>
    </row>
    <row r="3094">
      <c r="A3094" t="inlineStr">
        <is>
          <t>Buff-Casting Startup Delay (s, fixed-duration only)</t>
        </is>
      </c>
      <c r="B3094">
        <f>IF(AND(Inputs!$B$38&lt;&gt;"pvp",Inputs!$B$43&gt;0),SUMPRODUCT((Skills!T2:T29&gt;0)*(Skills!E2:E29=TRUE)*(C3057:C3084=TRUE))/B3089,0)</f>
        <v/>
      </c>
    </row>
    <row r="3095">
      <c r="A3095" t="inlineStr">
        <is>
          <t>Boss-Only Total DPS (this block's swept value)</t>
        </is>
      </c>
      <c r="B3095">
        <f>SUM(T3057:T3084)</f>
        <v/>
      </c>
    </row>
    <row r="3096">
      <c r="A3096" t="inlineStr">
        <is>
          <t>Normal-Only Total DPS (this block's swept value)</t>
        </is>
      </c>
      <c r="B3096">
        <f>SUM(V3057:V3084)</f>
        <v/>
      </c>
    </row>
    <row r="3097">
      <c r="A3097" s="6" t="inlineStr">
        <is>
          <t>TOTAL DPS</t>
        </is>
      </c>
      <c r="B3097" s="6">
        <f>SUM(O3057:O3084)</f>
        <v/>
      </c>
    </row>
    <row r="3100">
      <c r="A3100" s="6" t="inlineStr">
        <is>
          <t>Stat: CDR = 3.0s</t>
        </is>
      </c>
    </row>
    <row r="3101">
      <c r="A3101" s="5" t="inlineStr">
        <is>
          <t>Key</t>
        </is>
      </c>
      <c r="B3101" s="5" t="inlineStr">
        <is>
          <t>Name</t>
        </is>
      </c>
      <c r="C3101" s="5" t="inlineStr">
        <is>
          <t>Unlocked</t>
        </is>
      </c>
      <c r="D3101" s="5" t="inlineStr">
        <is>
          <t>InputLevel</t>
        </is>
      </c>
      <c r="E3101" s="5" t="inlineStr">
        <is>
          <t>Factor</t>
        </is>
      </c>
      <c r="F3101" s="5" t="inlineStr">
        <is>
          <t>CoefficientPercent</t>
        </is>
      </c>
      <c r="G3101" s="5" t="inlineStr">
        <is>
          <t>EffectiveHits</t>
        </is>
      </c>
      <c r="H3101" s="5" t="inlineStr">
        <is>
          <t>ProcProbability</t>
        </is>
      </c>
      <c r="I3101" s="5" t="inlineStr">
        <is>
          <t>MapleHeroMultiplier</t>
        </is>
      </c>
      <c r="J3101" s="5" t="inlineStr">
        <is>
          <t>BaseDamage</t>
        </is>
      </c>
      <c r="K3101" s="5" t="inlineStr">
        <is>
          <t>BaseHitDamage</t>
        </is>
      </c>
      <c r="L3101" s="5" t="inlineStr">
        <is>
          <t>NonCritAvg</t>
        </is>
      </c>
      <c r="M3101" s="5" t="inlineStr">
        <is>
          <t>CritAvg</t>
        </is>
      </c>
      <c r="N3101" s="5" t="inlineStr">
        <is>
          <t>ExpectedDamage(perHit)</t>
        </is>
      </c>
      <c r="O3101" s="5" t="inlineStr">
        <is>
          <t>DPS</t>
        </is>
      </c>
      <c r="P3101" s="5" t="inlineStr">
        <is>
          <t>% of Total</t>
        </is>
      </c>
      <c r="Q3101" s="5" t="inlineStr">
        <is>
          <t>InvCooldown</t>
        </is>
      </c>
      <c r="R3101" s="5" t="inlineStr">
        <is>
          <t>CastsInFight</t>
        </is>
      </c>
      <c r="S3101" s="5" t="inlineStr">
        <is>
          <t>HitRate(perSec)</t>
        </is>
      </c>
      <c r="U3101" t="inlineStr">
        <is>
          <t>helpers</t>
        </is>
      </c>
    </row>
    <row r="3102">
      <c r="A3102">
        <f>Skills!A2</f>
        <v/>
      </c>
      <c r="B3102">
        <f>Skills!B2</f>
        <v/>
      </c>
      <c r="C3102">
        <f>Inputs!$B$3&gt;=100</f>
        <v/>
      </c>
      <c r="D3102" t="inlineStr"/>
      <c r="E3102" t="inlineStr"/>
      <c r="F3102">
        <f>U3104+Skills!O2</f>
        <v/>
      </c>
      <c r="G3102">
        <f>Skills!G2*IF(Skills!H2&gt;0,Skills!I2/Skills!H2,1)</f>
        <v/>
      </c>
      <c r="H3102">
        <f>1-(1-Skills!J2/100)^Skills!K2</f>
        <v/>
      </c>
      <c r="I3102" t="inlineStr">
        <is>
          <t>1</t>
        </is>
      </c>
      <c r="J3102">
        <f>((Inputs!$B$6*(1+Inputs!$B$7/100))+(((Inputs!$B$12*(1+Inputs!$B$13/100))-(Inputs!$B$12*(1+Inputs!$B$13/100)))+0.25*(Inputs!$B$14-Inputs!$B$14))*(1+Inputs!$B$7/100))*(F3102/100)</f>
        <v/>
      </c>
      <c r="K3102">
        <f>J3102*(1+((Inputs!$B$12*(1+Inputs!$B$13/100))*0.01+Inputs!$B$14*0.0025)/100)*(1+Inputs!$B$15/100)*(1+Inputs!$B$16/100)*(5000/(6000+Inputs!$B$42*(1-(100*(1-(1-(Inputs!$B$19+0)/100)*(1-CHOOSE(ArtifactsInput!$N$40+1,5,6,7,8,9,10)/100)^(ArtifactsInput!$M$40-ArtifactsInput!$M$40)))/100)))*(1+(Inputs!$B$24+((C3124=TRUE)*(F3124-Calc!F24))+((C3125=TRUE)*(F3125-Calc!F25))+B3138)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EMPOWERED_PIERCING_ARROW",Inputs!$B$17+((C3122=TRUE)*(F3122-Calc!F22))+(((IF(AND(ArtifactsInput!$M$42,((Inputs!$B$9+((C3119=TRUE)*(F3119-Calc!F19))+B3132+(ArtifactsInput!$M$24-ArtifactsInput!$M$24)*CHOOSE(ArtifactsInput!$N$24+1,10,12,14,16,18,20)+IF(ArtifactsInput!$M$10,CHOOSE(ArtifactsInput!$N$10+1,15,18,21,24,27,30)*(IF(Inputs!$B$38="pvp",MIN(15,15)/15,IF(AND(Inputs!$B$38&lt;&gt;"pvp",Inputs!$B$43&gt;0),MIN(15,Inputs!$B$43)/(Inputs!$B$43),0))),0)))&gt;=100),MIN(100,((Inputs!$B$9+((C3119=TRUE)*(F3119-Calc!F19))+B3132+(ArtifactsInput!$M$24-ArtifactsInput!$M$24)*CHOOSE(ArtifactsInput!$N$24+1,10,12,14,16,18,20)+IF(ArtifactsInput!$M$10,CHOOSE(ArtifactsInput!$N$10+1,15,18,21,24,27,30)*(IF(Inputs!$B$38="pvp",MIN(15,15)/15,IF(AND(Inputs!$B$38&lt;&gt;"pvp",Inputs!$B$43&gt;0),MIN(15,Inputs!$B$43)/(Inputs!$B$43),0))),0)))-100),0))*CHOOSE(ArtifactsInput!$N$42+1,0.6,0.72,0.84,0.96,1.08,1.2))),Inputs!$B$18+((C3127=TRUE)*(F3127-Calc!F27))+(IF(AND(ArtifactsInput!$M$42,((Inputs!$B$9+((C3119=TRUE)*(F3119-Calc!F19))+B3132+(ArtifactsInput!$M$24-ArtifactsInput!$M$24)*CHOOSE(ArtifactsInput!$N$24+1,10,12,14,16,18,20)+IF(ArtifactsInput!$M$10,CHOOSE(ArtifactsInput!$N$10+1,15,18,21,24,27,30)*(IF(Inputs!$B$38="pvp",MIN(15,15)/15,IF(AND(Inputs!$B$38&lt;&gt;"pvp",Inputs!$B$43&gt;0),MIN(15,Inputs!$B$43)/(Inputs!$B$43),0))),0)))&gt;=100),CHOOSE(ArtifactsInput!$N$42+1,40,48,56,64,72,80),0))))/100)*((1+(((C3113=TRUE)*F3113)+((C3114=TRUE)*IF(Inputs!$B$38="pvp",F3114,(1-Summary!$B$11)*(F3114)+Summary!$B$11*(0)))+((C3115=TRUE)*F3115*IF(AND(Inputs!$B$38&lt;&gt;"pvp",Inputs!$B$43&gt;0),(((R3115-1)*(Skills!T15*(1+Inputs!$B$34/100))+MIN((Skills!T15*(1+Inputs!$B$34/100)),MAX(0,Inputs!$B$43-((R3115-1)*Skills!D15))))/Inputs!$B$43),IF(Inputs!$B$38="pvp",MIN((Skills!T15*(1+Inputs!$B$34/100)),15)/15,(Skills!T15*(1+Inputs!$B$34/100))/Skills!D15)))+((C3112=TRUE)*F3112)+((C3129=TRUE)*(F3129-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3102)</f>
        <v/>
      </c>
      <c r="L3102">
        <f>K3102*(MIN(Inputs!$B$22+((C3123=TRUE)*(F3123-Calc!F23)),(Inputs!$B$23+((C3128=TRUE)*(F3128-Calc!F28))+(IF(ArtifactsInput!$M$15,CHOOSE(ArtifactsInput!$N$15+1,25,30,35,40,45,50)/100*(Inputs!$B$11-Inputs!$B$11),0))))/100+(Inputs!$B$23+((C3128=TRUE)*(F3128-Calc!F28))+(IF(ArtifactsInput!$M$15,CHOOSE(ArtifactsInput!$N$15+1,25,30,35,40,45,50)/100*(Inputs!$B$11-Inputs!$B$11),0)))/100)/2</f>
        <v/>
      </c>
      <c r="M3102">
        <f>L3102*(1+(Inputs!$B$10+0+B3137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102">
        <f>L3102*(1-MIN((Inputs!$B$9+((C3119=TRUE)*(F3119-Calc!F19))+B3132+(ArtifactsInput!$M$24-ArtifactsInput!$M$24)*CHOOSE(ArtifactsInput!$N$24+1,10,12,14,16,18,20)+(IF(AND(ArtifactsInput!$M$42,((Inputs!$B$9+((C3119=TRUE)*(F3119-Calc!F19))+B3132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3102*(MIN((Inputs!$B$9+((C3119=TRUE)*(F3119-Calc!F19))+B3132+(ArtifactsInput!$M$24-ArtifactsInput!$M$24)*CHOOSE(ArtifactsInput!$N$24+1,10,12,14,16,18,20)+(IF(AND(ArtifactsInput!$M$42,((Inputs!$B$9+((C3119=TRUE)*(F3119-Calc!F19))+B3132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102">
        <f>(1-Summary!$B$11)*T3102+Summary!$B$11*V3102</f>
        <v/>
      </c>
      <c r="P3102">
        <f>IF(B3142=0,0,O3102/B3142)</f>
        <v/>
      </c>
      <c r="Q3102" t="n">
        <v>0</v>
      </c>
      <c r="R3102" t="n">
        <v>0</v>
      </c>
      <c r="S3102">
        <f>IFERROR((Skills!G2*N3102*B3136)/N3102*IF(Inputs!$B$38="pvp",1,(1-Summary!$B$11)*1+Summary!$B$11*(MIN((6+Inputs!$B$33),Inputs!$B$37))),0)</f>
        <v/>
      </c>
      <c r="T3102">
        <f>IF(C3102,(Skills!G2*N3102*B3136)*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Hunt"),CHOOSE(ArtifactsInput!$N$35+1,15,18,21,24,27,30)*(1-EXP(-(0.2*B3134)*5)),0)+IF(AND(ArtifactsInput!$M$22,Inputs!$B$4&lt;&gt;"Chapter Hunt"),CHOOSE(ArtifactsInput!$N$22+1,10,12,14,16,18,20)*((0*(((0.15*B3134*5))^0/1)+1*(((0.15*B3134*5))^1/1)+2*(((0.15*B3134*5))^2/2)+3*(((0.15*B3134*5))^3/6)+4*(((0.15*B3134*5))^4/24)+5*(((0.15*B3134*5))^5/120))/((((0.15*B3134*5))^0/1)+(((0.15*B3134*5))^1/1)+(((0.15*B3134*5))^2/2)+(((0.15*B3134*5))^3/6)+(((0.15*B3134*5))^4/24)+(((0.15*B3134*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3102*(1-MIN(100,(Inputs!$B$9+((C3119=TRUE)*(F3119-Calc!F19))+B3132+(ArtifactsInput!$M$24-ArtifactsInput!$M$24)*CHOOSE(ArtifactsInput!$N$24+1,10,12,14,16,18,20)+(IF(AND(ArtifactsInput!$M$42,((Inputs!$B$9+((C3119=TRUE)*(F3119-Calc!F19))+B3132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3102*(MIN(100,(Inputs!$B$9+((C3119=TRUE)*(F3119-Calc!F19))+B3132+(ArtifactsInput!$M$24-ArtifactsInput!$M$24)*CHOOSE(ArtifactsInput!$N$24+1,10,12,14,16,18,20)+(IF(AND(ArtifactsInput!$M$42,((Inputs!$B$9+((C3119=TRUE)*(F3119-Calc!F19))+B3132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3102*(1-MIN(100,(Inputs!$B$9+((C3119=TRUE)*(F3119-Calc!F19))+B3132+(ArtifactsInput!$M$24-ArtifactsInput!$M$24)*CHOOSE(ArtifactsInput!$N$24+1,10,12,14,16,18,20)+(IF(AND(ArtifactsInput!$M$42,((Inputs!$B$9+((C3119=TRUE)*(F3119-Calc!F19))+B3132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3102*(MIN(100,(Inputs!$B$9+((C3119=TRUE)*(F3119-Calc!F19))+B3132+(ArtifactsInput!$M$24-ArtifactsInput!$M$24)*CHOOSE(ArtifactsInput!$N$24+1,10,12,14,16,18,20)+(IF(AND(ArtifactsInput!$M$42,((Inputs!$B$9+((C3119=TRUE)*(F3119-Calc!F19))+B3132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3102">
        <f>MAX(0,(Inputs!$B$3-100)*3)+Inputs!$B$28+Inputs!$B$29</f>
        <v/>
      </c>
      <c r="V3102">
        <f>IF(C3102,(Skills!G2*N3102*B3136)*IF(Inputs!$B$38="pvp",1,(1+(Inputs!$B$21+Skills!Q2+(IF(ArtifactsInput!$M$33,CHOOSE(ArtifactsInput!$N$33+1,30,36,42,48,54,60),0))+(IF(AND(ArtifactsInput!$M$35,Inputs!$B$4&lt;&gt;"Chapter Hunt"),CHOOSE(ArtifactsInput!$N$35+1,15,18,21,24,27,30)*(1-EXP(-(0.2*B3134)*5)),0)+IF(AND(ArtifactsInput!$M$22,Inputs!$B$4&lt;&gt;"Chapter Hunt"),CHOOSE(ArtifactsInput!$N$22+1,10,12,14,16,18,20)*((0*(((0.15*B3134*5))^0/1)+1*(((0.15*B3134*5))^1/1)+2*(((0.15*B3134*5))^2/2)+3*(((0.15*B3134*5))^3/6)+4*(((0.15*B3134*5))^4/24)+5*(((0.15*B3134*5))^5/120))/((((0.15*B3134*5))^0/1)+(((0.15*B3134*5))^1/1)+(((0.15*B3134*5))^2/2)+(((0.15*B3134*5))^3/6)+(((0.15*B3134*5))^4/24)+(((0.15*B3134*5))^5/120)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103">
      <c r="A3103">
        <f>Skills!A3</f>
        <v/>
      </c>
      <c r="B3103">
        <f>Skills!B3</f>
        <v/>
      </c>
      <c r="C3103">
        <f>Inputs!$B$3&gt;=50</f>
        <v/>
      </c>
      <c r="D3103">
        <f>IF(Skills!C3=1,60+Inputs!$B$25+Inputs!$B$29,IF(Skills!C3=2,90+Inputs!$B$26+Inputs!$B$29,IF(Skills!C3=3,120+Inputs!$B$27+Inputs!$B$29,MAX(0,(Inputs!$B$3-100)*3)+Inputs!$B$28+Inputs!$B$29)))</f>
        <v/>
      </c>
      <c r="E3103">
        <f>INDEX(FactorTable!$B$2:$Y$301, MATCH(ROUND(MIN(300,MAX(1,D3103)),0), FactorTable!$A$2:$A$301,0), Skills!M3+1)</f>
        <v/>
      </c>
      <c r="F3103">
        <f>IF(Skills!N3=TRUE,(Skills!L3/10)*(E3103/1000),Skills!L3/10)+Skills!O3</f>
        <v/>
      </c>
      <c r="G3103" t="inlineStr"/>
      <c r="H3103" t="inlineStr"/>
      <c r="I3103" t="inlineStr">
        <is>
          <t>1</t>
        </is>
      </c>
      <c r="J3103" t="inlineStr"/>
      <c r="K3103" t="inlineStr"/>
      <c r="L3103" t="inlineStr"/>
      <c r="M3103" t="inlineStr"/>
      <c r="N3103" t="inlineStr"/>
      <c r="O3103" t="inlineStr"/>
      <c r="P3103" t="inlineStr"/>
      <c r="Q3103" t="inlineStr"/>
      <c r="R3103" t="inlineStr"/>
      <c r="S3103" t="inlineStr"/>
      <c r="T3103" t="inlineStr"/>
      <c r="U3103">
        <f>INDEX(FactorTable!$B$2:$Y$301, MATCH(ROUND(MIN(300,MAX(1,U3102)),0), FactorTable!$A$2:$A$301,0), 22)</f>
        <v/>
      </c>
      <c r="V3103" t="inlineStr"/>
    </row>
    <row r="3104">
      <c r="A3104">
        <f>Skills!A4</f>
        <v/>
      </c>
      <c r="B3104">
        <f>Skills!B4</f>
        <v/>
      </c>
      <c r="C3104">
        <f>Inputs!$B$3&gt;=105</f>
        <v/>
      </c>
      <c r="D3104">
        <f>IF(Skills!C4=1,60+Inputs!$B$25+Inputs!$B$29,IF(Skills!C4=2,90+Inputs!$B$26+Inputs!$B$29,IF(Skills!C4=3,120+Inputs!$B$27+Inputs!$B$29,MAX(0,(Inputs!$B$3-100)*3)+Inputs!$B$28+Inputs!$B$29)))</f>
        <v/>
      </c>
      <c r="E3104">
        <f>INDEX(FactorTable!$B$2:$Y$301, MATCH(ROUND(MIN(300,MAX(1,D3104)),0), FactorTable!$A$2:$A$301,0), Skills!M4+1)</f>
        <v/>
      </c>
      <c r="F3104">
        <f>IF(Skills!N4=TRUE,(Skills!L4/10)*(E3104/1000),Skills!L4/10)+Skills!O4</f>
        <v/>
      </c>
      <c r="G3104" t="inlineStr"/>
      <c r="H3104" t="inlineStr"/>
      <c r="I3104" t="inlineStr">
        <is>
          <t>1</t>
        </is>
      </c>
      <c r="J3104" t="inlineStr"/>
      <c r="K3104" t="inlineStr"/>
      <c r="L3104" t="inlineStr"/>
      <c r="M3104" t="inlineStr"/>
      <c r="N3104" t="inlineStr"/>
      <c r="O3104" t="inlineStr"/>
      <c r="P3104" t="inlineStr"/>
      <c r="Q3104" t="inlineStr"/>
      <c r="R3104" t="inlineStr"/>
      <c r="S3104" t="inlineStr"/>
      <c r="T3104" t="inlineStr"/>
      <c r="U3104">
        <f>290*U3103/1000</f>
        <v/>
      </c>
      <c r="V3104" t="inlineStr"/>
    </row>
    <row r="3105">
      <c r="A3105">
        <f>Skills!A5</f>
        <v/>
      </c>
      <c r="B3105">
        <f>Skills!B5</f>
        <v/>
      </c>
      <c r="C3105">
        <f>Inputs!$B$3&gt;=35</f>
        <v/>
      </c>
      <c r="D3105">
        <f>IF(Skills!C5=1,60+Inputs!$B$25+Inputs!$B$29,IF(Skills!C5=2,90+Inputs!$B$26+Inputs!$B$29,IF(Skills!C5=3,120+Inputs!$B$27+Inputs!$B$29,MAX(0,(Inputs!$B$3-100)*3)+Inputs!$B$28+Inputs!$B$29)))</f>
        <v/>
      </c>
      <c r="E3105">
        <f>INDEX(FactorTable!$B$2:$Y$301, MATCH(ROUND(MIN(300,MAX(1,D3105)),0), FactorTable!$A$2:$A$301,0), Skills!M5+1)</f>
        <v/>
      </c>
      <c r="F3105">
        <f>IF(Skills!N5=TRUE,(Skills!L5/10)*(E3105/1000),Skills!L5/10)+Skills!O5</f>
        <v/>
      </c>
      <c r="G3105">
        <f>Skills!G5*IF(Skills!H5&gt;0,Skills!I5/Skills!H5,1)</f>
        <v/>
      </c>
      <c r="H3105">
        <f>1-(1-Skills!J5/100)^Skills!K5</f>
        <v/>
      </c>
      <c r="I3105" t="inlineStr">
        <is>
          <t>1</t>
        </is>
      </c>
      <c r="J3105">
        <f>((Inputs!$B$6*(1+Inputs!$B$7/100))+(((Inputs!$B$12*(1+Inputs!$B$13/100))-(Inputs!$B$12*(1+Inputs!$B$13/100)))+0.25*(Inputs!$B$14-Inputs!$B$14))*(1+Inputs!$B$7/100))*(F3105/100)</f>
        <v/>
      </c>
      <c r="K3105">
        <f>J3105*(1+((Inputs!$B$12*(1+Inputs!$B$13/100))*0.01+Inputs!$B$14*0.0025)/100)*(1+Inputs!$B$15/100)*(1+Inputs!$B$16/100)*(5000/(6000+Inputs!$B$42*(1-(100*(1-(1-(Inputs!$B$19+0)/100)*(1-CHOOSE(ArtifactsInput!$N$40+1,5,6,7,8,9,10)/100)^(ArtifactsInput!$M$40-ArtifactsInput!$M$40)))/100)))*(1+(Inputs!$B$24+((C3124=TRUE)*(F3124-Calc!F24))+((C3125=TRUE)*(F3125-Calc!F25))+B3138)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3108=TRUE,F3108,0)/100)*(1+(IF(Skills!A5="EMPOWERED_PIERCING_ARROW",Inputs!$B$17+((C3122=TRUE)*(F3122-Calc!F22))+(((IF(AND(ArtifactsInput!$M$42,((Inputs!$B$9+((C3119=TRUE)*(F3119-Calc!F19))+B3132+(ArtifactsInput!$M$24-ArtifactsInput!$M$24)*CHOOSE(ArtifactsInput!$N$24+1,10,12,14,16,18,20)+IF(ArtifactsInput!$M$10,CHOOSE(ArtifactsInput!$N$10+1,15,18,21,24,27,30)*(IF(Inputs!$B$38="pvp",MIN(15,15)/15,IF(AND(Inputs!$B$38&lt;&gt;"pvp",Inputs!$B$43&gt;0),MIN(15,Inputs!$B$43)/(Inputs!$B$43),0))),0)))&gt;=100),MIN(100,((Inputs!$B$9+((C3119=TRUE)*(F3119-Calc!F19))+B3132+(ArtifactsInput!$M$24-ArtifactsInput!$M$24)*CHOOSE(ArtifactsInput!$N$24+1,10,12,14,16,18,20)+IF(ArtifactsInput!$M$10,CHOOSE(ArtifactsInput!$N$10+1,15,18,21,24,27,30)*(IF(Inputs!$B$38="pvp",MIN(15,15)/15,IF(AND(Inputs!$B$38&lt;&gt;"pvp",Inputs!$B$43&gt;0),MIN(15,Inputs!$B$43)/(Inputs!$B$43),0))),0)))-100),0))*CHOOSE(ArtifactsInput!$N$42+1,0.6,0.72,0.84,0.96,1.08,1.2))),Inputs!$B$18+((C3127=TRUE)*(F3127-Calc!F27))+(IF(AND(ArtifactsInput!$M$42,((Inputs!$B$9+((C3119=TRUE)*(F3119-Calc!F19))+B3132+(ArtifactsInput!$M$24-ArtifactsInput!$M$24)*CHOOSE(ArtifactsInput!$N$24+1,10,12,14,16,18,20)+IF(ArtifactsInput!$M$10,CHOOSE(ArtifactsInput!$N$10+1,15,18,21,24,27,30)*(IF(Inputs!$B$38="pvp",MIN(15,15)/15,IF(AND(Inputs!$B$38&lt;&gt;"pvp",Inputs!$B$43&gt;0),MIN(15,Inputs!$B$43)/(Inputs!$B$43),0))),0)))&gt;=100),CHOOSE(ArtifactsInput!$N$42+1,40,48,56,64,72,80),0))))/100)*((1+(((C3113=TRUE)*F3113)+((C3114=TRUE)*IF(Inputs!$B$38="pvp",F3114,(1-Summary!$B$11)*(F3114)+Summary!$B$11*(0)))+((C3115=TRUE)*F3115*IF(AND(Inputs!$B$38&lt;&gt;"pvp",Inputs!$B$43&gt;0),(((R3115-1)*(Skills!T15*(1+Inputs!$B$34/100))+MIN((Skills!T15*(1+Inputs!$B$34/100)),MAX(0,Inputs!$B$43-((R3115-1)*Skills!D15))))/Inputs!$B$43),IF(Inputs!$B$38="pvp",MIN((Skills!T15*(1+Inputs!$B$34/100)),15)/15,(Skills!T15*(1+Inputs!$B$34/100))/Skills!D15)))+((C3112=TRUE)*F3112)+((C3129=TRUE)*(F3129-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3105)</f>
        <v/>
      </c>
      <c r="L3105">
        <f>K3105*(MIN(Inputs!$B$22+((C3123=TRUE)*(F3123-Calc!F23)),(Inputs!$B$23+((C3128=TRUE)*(F3128-Calc!F28))+(IF(ArtifactsInput!$M$15,CHOOSE(ArtifactsInput!$N$15+1,25,30,35,40,45,50)/100*(Inputs!$B$11-Inputs!$B$11),0))))/100+(Inputs!$B$23+((C3128=TRUE)*(F3128-Calc!F28))+(IF(ArtifactsInput!$M$15,CHOOSE(ArtifactsInput!$N$15+1,25,30,35,40,45,50)/100*(Inputs!$B$11-Inputs!$B$11),0)))/100)/2</f>
        <v/>
      </c>
      <c r="M3105">
        <f>L3105*(1+(Inputs!$B$10+0+B3137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105">
        <f>L3105*(1-MIN((Inputs!$B$9+((C3119=TRUE)*(F3119-Calc!F19))+B3132+(ArtifactsInput!$M$24-ArtifactsInput!$M$24)*CHOOSE(ArtifactsInput!$N$24+1,10,12,14,16,18,20)+(IF(AND(ArtifactsInput!$M$42,((Inputs!$B$9+((C3119=TRUE)*(F3119-Calc!F19))+B3132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3105*(MIN((Inputs!$B$9+((C3119=TRUE)*(F3119-Calc!F19))+B3132+(ArtifactsInput!$M$24-ArtifactsInput!$M$24)*CHOOSE(ArtifactsInput!$N$24+1,10,12,14,16,18,20)+(IF(AND(ArtifactsInput!$M$42,((Inputs!$B$9+((C3119=TRUE)*(F3119-Calc!F19))+B3132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105">
        <f>(1-Summary!$B$11)*T3105+Summary!$B$11*V3105</f>
        <v/>
      </c>
      <c r="P3105">
        <f>IF(B3142=0,0,O3105/B3142)</f>
        <v/>
      </c>
      <c r="Q3105">
        <f>IFERROR(1/IF(Inputs!$B$38="pvp",15,MAX(0.1,Skills!D5-IF(Skills!E5=TRUE,3.0,0))),0)</f>
        <v/>
      </c>
      <c r="R3105">
        <f>IF(AND(Inputs!$B$38&lt;&gt;"pvp",Inputs!$B$43&gt;0),IF(MAX(0,Inputs!$B$43-B3139)&lt;=0,0,(INT(MAX(0,Inputs!$B$43-B3139)/IF(Inputs!$B$38="pvp",15,MAX(0.1,Skills!D5-IF(Skills!E5=TRUE,3.0,0))))+1)),0)</f>
        <v/>
      </c>
      <c r="S3105">
        <f>IFERROR((H3105*N3105*IF(AND(Inputs!$B$38&lt;&gt;"pvp",Inputs!$B$43&gt;0),((Skills!G5*((R3105-1)*IF(Skills!H5&gt;0,Skills!I5/Skills!H5,1)+IF(Skills!H5&gt;0,MIN(Skills!I5,MAX(0,MAX(0,Inputs!$B$43-B3139)-((R3105-1)*IF(Inputs!$B$38="pvp",15,MAX(0.1,Skills!D5-IF(Skills!E5=TRUE,3.0,0))))))/Skills!H5,1)))/Inputs!$B$43),G3105*Q3105))/N3105*IF(Inputs!$B$38="pvp",1,(1-Summary!$B$11)*1+Summary!$B$11*(MIN(Skills!R5,Inputs!$B$37))),0)</f>
        <v/>
      </c>
      <c r="T3105">
        <f>IF(C3105,(H3105*N3105*IF(AND(Inputs!$B$38&lt;&gt;"pvp",Inputs!$B$43&gt;0),((Skills!G5*((R3105-1)*IF(Skills!H5&gt;0,Skills!I5/Skills!H5,1)+IF(Skills!H5&gt;0,MIN(Skills!I5,MAX(0,MAX(0,Inputs!$B$43-B3139)-((R3105-1)*IF(Inputs!$B$38="pvp",15,MAX(0.1,Skills!D5-IF(Skills!E5=TRUE,3.0,0))))))/Skills!H5,1)))/Inputs!$B$43),G3105*Q3105))*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Hunt"),CHOOSE(ArtifactsInput!$N$35+1,15,18,21,24,27,30)*(1-EXP(-(0.2*B3134)*5)),0)+IF(AND(ArtifactsInput!$M$22,Inputs!$B$4&lt;&gt;"Chapter Hunt"),CHOOSE(ArtifactsInput!$N$22+1,10,12,14,16,18,20)*((0*(((0.15*B3134*5))^0/1)+1*(((0.15*B3134*5))^1/1)+2*(((0.15*B3134*5))^2/2)+3*(((0.15*B3134*5))^3/6)+4*(((0.15*B3134*5))^4/24)+5*(((0.15*B3134*5))^5/120))/((((0.15*B3134*5))^0/1)+(((0.15*B3134*5))^1/1)+(((0.15*B3134*5))^2/2)+(((0.15*B3134*5))^3/6)+(((0.15*B3134*5))^4/24)+(((0.15*B3134*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3105*(1-MIN(100,(Inputs!$B$9+((C3119=TRUE)*(F3119-Calc!F19))+B3132+(ArtifactsInput!$M$24-ArtifactsInput!$M$24)*CHOOSE(ArtifactsInput!$N$24+1,10,12,14,16,18,20)+(IF(AND(ArtifactsInput!$M$42,((Inputs!$B$9+((C3119=TRUE)*(F3119-Calc!F19))+B3132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3105*(MIN(100,(Inputs!$B$9+((C3119=TRUE)*(F3119-Calc!F19))+B3132+(ArtifactsInput!$M$24-ArtifactsInput!$M$24)*CHOOSE(ArtifactsInput!$N$24+1,10,12,14,16,18,20)+(IF(AND(ArtifactsInput!$M$42,((Inputs!$B$9+((C3119=TRUE)*(F3119-Calc!F19))+B3132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3105*(1-MIN(100,(Inputs!$B$9+((C3119=TRUE)*(F3119-Calc!F19))+B3132+(ArtifactsInput!$M$24-ArtifactsInput!$M$24)*CHOOSE(ArtifactsInput!$N$24+1,10,12,14,16,18,20)+(IF(AND(ArtifactsInput!$M$42,((Inputs!$B$9+((C3119=TRUE)*(F3119-Calc!F19))+B3132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3105*(MIN(100,(Inputs!$B$9+((C3119=TRUE)*(F3119-Calc!F19))+B3132+(ArtifactsInput!$M$24-ArtifactsInput!$M$24)*CHOOSE(ArtifactsInput!$N$24+1,10,12,14,16,18,20)+(IF(AND(ArtifactsInput!$M$42,((Inputs!$B$9+((C3119=TRUE)*(F3119-Calc!F19))+B3132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105">
        <f>IF(C3105,(H3105*N3105*IF(AND(Inputs!$B$38&lt;&gt;"pvp",Inputs!$B$43&gt;0),((Skills!G5*((R3105-1)*IF(Skills!H5&gt;0,Skills!I5/Skills!H5,1)+IF(Skills!H5&gt;0,MIN(Skills!I5,MAX(0,MAX(0,Inputs!$B$43-B3139)-((R3105-1)*IF(Inputs!$B$38="pvp",15,MAX(0.1,Skills!D5-IF(Skills!E5=TRUE,3.0,0))))))/Skills!H5,1)))/Inputs!$B$43),G3105*Q3105))*IF(Inputs!$B$38="pvp",1,(1+(Inputs!$B$21+Skills!Q5+(IF(ArtifactsInput!$M$33,CHOOSE(ArtifactsInput!$N$33+1,30,36,42,48,54,60),0))+(IF(AND(ArtifactsInput!$M$35,Inputs!$B$4&lt;&gt;"Chapter Hunt"),CHOOSE(ArtifactsInput!$N$35+1,15,18,21,24,27,30)*(1-EXP(-(0.2*B3134)*5)),0)+IF(AND(ArtifactsInput!$M$22,Inputs!$B$4&lt;&gt;"Chapter Hunt"),CHOOSE(ArtifactsInput!$N$22+1,10,12,14,16,18,20)*((0*(((0.15*B3134*5))^0/1)+1*(((0.15*B3134*5))^1/1)+2*(((0.15*B3134*5))^2/2)+3*(((0.15*B3134*5))^3/6)+4*(((0.15*B3134*5))^4/24)+5*(((0.15*B3134*5))^5/120))/((((0.15*B3134*5))^0/1)+(((0.15*B3134*5))^1/1)+(((0.15*B3134*5))^2/2)+(((0.15*B3134*5))^3/6)+(((0.15*B3134*5))^4/24)+(((0.15*B3134*5))^5/120)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106">
      <c r="A3106">
        <f>Skills!A6</f>
        <v/>
      </c>
      <c r="B3106">
        <f>Skills!B6</f>
        <v/>
      </c>
      <c r="C3106">
        <f>Inputs!$B$3&gt;=63</f>
        <v/>
      </c>
      <c r="D3106">
        <f>IF(Skills!C6=1,60+Inputs!$B$25+Inputs!$B$29,IF(Skills!C6=2,90+Inputs!$B$26+Inputs!$B$29,IF(Skills!C6=3,120+Inputs!$B$27+Inputs!$B$29,MAX(0,(Inputs!$B$3-100)*3)+Inputs!$B$28+Inputs!$B$29)))</f>
        <v/>
      </c>
      <c r="E3106">
        <f>INDEX(FactorTable!$B$2:$Y$301, MATCH(ROUND(MIN(300,MAX(1,D3106)),0), FactorTable!$A$2:$A$301,0), Skills!M6+1)</f>
        <v/>
      </c>
      <c r="F3106">
        <f>IF(Skills!N6=TRUE,(Skills!L6/10)*(E3106/1000),Skills!L6/10)+Skills!O6</f>
        <v/>
      </c>
      <c r="G3106">
        <f>Skills!G6*IF(Skills!H6&gt;0,Skills!I6/Skills!H6,1)</f>
        <v/>
      </c>
      <c r="H3106">
        <f>1-(1-Skills!J6/100)^Skills!K6</f>
        <v/>
      </c>
      <c r="I3106" t="inlineStr">
        <is>
          <t>1</t>
        </is>
      </c>
      <c r="J3106">
        <f>((Inputs!$B$6*(1+Inputs!$B$7/100))+(((Inputs!$B$12*(1+Inputs!$B$13/100))-(Inputs!$B$12*(1+Inputs!$B$13/100)))+0.25*(Inputs!$B$14-Inputs!$B$14))*(1+Inputs!$B$7/100))*(F3106/100)</f>
        <v/>
      </c>
      <c r="K3106">
        <f>J3106*(1+((Inputs!$B$12*(1+Inputs!$B$13/100))*0.01+Inputs!$B$14*0.0025)/100)*(1+Inputs!$B$15/100)*(1+Inputs!$B$16/100)*(5000/(6000+Inputs!$B$42*(1-(100*(1-(1-(Inputs!$B$19+0)/100)*(1-CHOOSE(ArtifactsInput!$N$40+1,5,6,7,8,9,10)/100)^(ArtifactsInput!$M$40-ArtifactsInput!$M$40)))/100)))*(1+(Inputs!$B$24+((C3124=TRUE)*(F3124-Calc!F24))+((C3125=TRUE)*(F3125-Calc!F25))+B3138)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3108=TRUE,F3108,0)/100)*(1+(IF(Skills!A6="EMPOWERED_PIERCING_ARROW",Inputs!$B$17+((C3122=TRUE)*(F3122-Calc!F22))+(((IF(AND(ArtifactsInput!$M$42,((Inputs!$B$9+((C3119=TRUE)*(F3119-Calc!F19))+B3132+(ArtifactsInput!$M$24-ArtifactsInput!$M$24)*CHOOSE(ArtifactsInput!$N$24+1,10,12,14,16,18,20)+IF(ArtifactsInput!$M$10,CHOOSE(ArtifactsInput!$N$10+1,15,18,21,24,27,30)*(IF(Inputs!$B$38="pvp",MIN(15,15)/15,IF(AND(Inputs!$B$38&lt;&gt;"pvp",Inputs!$B$43&gt;0),MIN(15,Inputs!$B$43)/(Inputs!$B$43),0))),0)))&gt;=100),MIN(100,((Inputs!$B$9+((C3119=TRUE)*(F3119-Calc!F19))+B3132+(ArtifactsInput!$M$24-ArtifactsInput!$M$24)*CHOOSE(ArtifactsInput!$N$24+1,10,12,14,16,18,20)+IF(ArtifactsInput!$M$10,CHOOSE(ArtifactsInput!$N$10+1,15,18,21,24,27,30)*(IF(Inputs!$B$38="pvp",MIN(15,15)/15,IF(AND(Inputs!$B$38&lt;&gt;"pvp",Inputs!$B$43&gt;0),MIN(15,Inputs!$B$43)/(Inputs!$B$43),0))),0)))-100),0))*CHOOSE(ArtifactsInput!$N$42+1,0.6,0.72,0.84,0.96,1.08,1.2))),Inputs!$B$18+((C3127=TRUE)*(F3127-Calc!F27))+(IF(AND(ArtifactsInput!$M$42,((Inputs!$B$9+((C3119=TRUE)*(F3119-Calc!F19))+B3132+(ArtifactsInput!$M$24-ArtifactsInput!$M$24)*CHOOSE(ArtifactsInput!$N$24+1,10,12,14,16,18,20)+IF(ArtifactsInput!$M$10,CHOOSE(ArtifactsInput!$N$10+1,15,18,21,24,27,30)*(IF(Inputs!$B$38="pvp",MIN(15,15)/15,IF(AND(Inputs!$B$38&lt;&gt;"pvp",Inputs!$B$43&gt;0),MIN(15,Inputs!$B$43)/(Inputs!$B$43),0))),0)))&gt;=100),CHOOSE(ArtifactsInput!$N$42+1,40,48,56,64,72,80),0))))/100)*((1+(((C3113=TRUE)*F3113)+((C3114=TRUE)*IF(Inputs!$B$38="pvp",F3114,(1-Summary!$B$11)*(F3114)+Summary!$B$11*(0)))+((C3115=TRUE)*F3115*IF(AND(Inputs!$B$38&lt;&gt;"pvp",Inputs!$B$43&gt;0),(((R3115-1)*(Skills!T15*(1+Inputs!$B$34/100))+MIN((Skills!T15*(1+Inputs!$B$34/100)),MAX(0,Inputs!$B$43-((R3115-1)*Skills!D15))))/Inputs!$B$43),IF(Inputs!$B$38="pvp",MIN((Skills!T15*(1+Inputs!$B$34/100)),15)/15,(Skills!T15*(1+Inputs!$B$34/100))/Skills!D15)))+((C3112=TRUE)*F3112)+((C3129=TRUE)*(F3129-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3106)</f>
        <v/>
      </c>
      <c r="L3106">
        <f>K3106*(MIN(Inputs!$B$22+((C3123=TRUE)*(F3123-Calc!F23)),(Inputs!$B$23+((C3128=TRUE)*(F3128-Calc!F28))+(IF(ArtifactsInput!$M$15,CHOOSE(ArtifactsInput!$N$15+1,25,30,35,40,45,50)/100*(Inputs!$B$11-Inputs!$B$11),0))))/100+(Inputs!$B$23+((C3128=TRUE)*(F3128-Calc!F28))+(IF(ArtifactsInput!$M$15,CHOOSE(ArtifactsInput!$N$15+1,25,30,35,40,45,50)/100*(Inputs!$B$11-Inputs!$B$11),0)))/100)/2</f>
        <v/>
      </c>
      <c r="M3106">
        <f>L3106*(1+(Inputs!$B$10+0+B3137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106">
        <f>L3106*(1-MIN((Inputs!$B$9+((C3119=TRUE)*(F3119-Calc!F19))+B3132+(ArtifactsInput!$M$24-ArtifactsInput!$M$24)*CHOOSE(ArtifactsInput!$N$24+1,10,12,14,16,18,20)+(IF(AND(ArtifactsInput!$M$42,((Inputs!$B$9+((C3119=TRUE)*(F3119-Calc!F19))+B3132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3106*(MIN((Inputs!$B$9+((C3119=TRUE)*(F3119-Calc!F19))+B3132+(ArtifactsInput!$M$24-ArtifactsInput!$M$24)*CHOOSE(ArtifactsInput!$N$24+1,10,12,14,16,18,20)+(IF(AND(ArtifactsInput!$M$42,((Inputs!$B$9+((C3119=TRUE)*(F3119-Calc!F19))+B3132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106">
        <f>(1-Summary!$B$11)*T3106+Summary!$B$11*V3106</f>
        <v/>
      </c>
      <c r="P3106">
        <f>IF(B3142=0,0,O3106/B3142)</f>
        <v/>
      </c>
      <c r="Q3106">
        <f>IFERROR(1/IF(Inputs!$B$38="pvp",15,MAX(0.1,Skills!D6-IF(Skills!E6=TRUE,3.0,0))),0)</f>
        <v/>
      </c>
      <c r="R3106">
        <f>IF(AND(Inputs!$B$38&lt;&gt;"pvp",Inputs!$B$43&gt;0),IF(MAX(0,Inputs!$B$43-B3139)&lt;=0,0,(INT(MAX(0,Inputs!$B$43-B3139)/IF(Inputs!$B$38="pvp",15,MAX(0.1,Skills!D6-IF(Skills!E6=TRUE,3.0,0))))+1)),0)</f>
        <v/>
      </c>
      <c r="S3106">
        <f>IFERROR((H3106*N3106*IF(AND(Inputs!$B$38&lt;&gt;"pvp",Inputs!$B$43&gt;0),((Skills!G6*((R3106-1)*IF(Skills!H6&gt;0,Skills!I6/Skills!H6,1)+IF(Skills!H6&gt;0,MIN(Skills!I6,MAX(0,MAX(0,Inputs!$B$43-B3139)-((R3106-1)*IF(Inputs!$B$38="pvp",15,MAX(0.1,Skills!D6-IF(Skills!E6=TRUE,3.0,0))))))/Skills!H6,1)))/Inputs!$B$43),G3106*Q3106))/N3106*IF(Inputs!$B$38="pvp",1,(1-Summary!$B$11)*1+Summary!$B$11*(MIN(Skills!R6,Inputs!$B$37))),0)</f>
        <v/>
      </c>
      <c r="T3106">
        <f>IF(C3106,(H3106*N3106*IF(AND(Inputs!$B$38&lt;&gt;"pvp",Inputs!$B$43&gt;0),((Skills!G6*((R3106-1)*IF(Skills!H6&gt;0,Skills!I6/Skills!H6,1)+IF(Skills!H6&gt;0,MIN(Skills!I6,MAX(0,MAX(0,Inputs!$B$43-B3139)-((R3106-1)*IF(Inputs!$B$38="pvp",15,MAX(0.1,Skills!D6-IF(Skills!E6=TRUE,3.0,0))))))/Skills!H6,1)))/Inputs!$B$43),G3106*Q3106))*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Hunt"),CHOOSE(ArtifactsInput!$N$35+1,15,18,21,24,27,30)*(1-EXP(-(0.2*B3134)*5)),0)+IF(AND(ArtifactsInput!$M$22,Inputs!$B$4&lt;&gt;"Chapter Hunt"),CHOOSE(ArtifactsInput!$N$22+1,10,12,14,16,18,20)*((0*(((0.15*B3134*5))^0/1)+1*(((0.15*B3134*5))^1/1)+2*(((0.15*B3134*5))^2/2)+3*(((0.15*B3134*5))^3/6)+4*(((0.15*B3134*5))^4/24)+5*(((0.15*B3134*5))^5/120))/((((0.15*B3134*5))^0/1)+(((0.15*B3134*5))^1/1)+(((0.15*B3134*5))^2/2)+(((0.15*B3134*5))^3/6)+(((0.15*B3134*5))^4/24)+(((0.15*B3134*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3106*(1-MIN(100,(Inputs!$B$9+((C3119=TRUE)*(F3119-Calc!F19))+B3132+(ArtifactsInput!$M$24-ArtifactsInput!$M$24)*CHOOSE(ArtifactsInput!$N$24+1,10,12,14,16,18,20)+(IF(AND(ArtifactsInput!$M$42,((Inputs!$B$9+((C3119=TRUE)*(F3119-Calc!F19))+B3132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3106*(MIN(100,(Inputs!$B$9+((C3119=TRUE)*(F3119-Calc!F19))+B3132+(ArtifactsInput!$M$24-ArtifactsInput!$M$24)*CHOOSE(ArtifactsInput!$N$24+1,10,12,14,16,18,20)+(IF(AND(ArtifactsInput!$M$42,((Inputs!$B$9+((C3119=TRUE)*(F3119-Calc!F19))+B3132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3106*(1-MIN(100,(Inputs!$B$9+((C3119=TRUE)*(F3119-Calc!F19))+B3132+(ArtifactsInput!$M$24-ArtifactsInput!$M$24)*CHOOSE(ArtifactsInput!$N$24+1,10,12,14,16,18,20)+(IF(AND(ArtifactsInput!$M$42,((Inputs!$B$9+((C3119=TRUE)*(F3119-Calc!F19))+B3132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3106*(MIN(100,(Inputs!$B$9+((C3119=TRUE)*(F3119-Calc!F19))+B3132+(ArtifactsInput!$M$24-ArtifactsInput!$M$24)*CHOOSE(ArtifactsInput!$N$24+1,10,12,14,16,18,20)+(IF(AND(ArtifactsInput!$M$42,((Inputs!$B$9+((C3119=TRUE)*(F3119-Calc!F19))+B3132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106">
        <f>IF(C3106,(H3106*N3106*IF(AND(Inputs!$B$38&lt;&gt;"pvp",Inputs!$B$43&gt;0),((Skills!G6*((R3106-1)*IF(Skills!H6&gt;0,Skills!I6/Skills!H6,1)+IF(Skills!H6&gt;0,MIN(Skills!I6,MAX(0,MAX(0,Inputs!$B$43-B3139)-((R3106-1)*IF(Inputs!$B$38="pvp",15,MAX(0.1,Skills!D6-IF(Skills!E6=TRUE,3.0,0))))))/Skills!H6,1)))/Inputs!$B$43),G3106*Q3106))*IF(Inputs!$B$38="pvp",1,(1+(Inputs!$B$21+Skills!Q6+(IF(ArtifactsInput!$M$33,CHOOSE(ArtifactsInput!$N$33+1,30,36,42,48,54,60),0))+(IF(AND(ArtifactsInput!$M$35,Inputs!$B$4&lt;&gt;"Chapter Hunt"),CHOOSE(ArtifactsInput!$N$35+1,15,18,21,24,27,30)*(1-EXP(-(0.2*B3134)*5)),0)+IF(AND(ArtifactsInput!$M$22,Inputs!$B$4&lt;&gt;"Chapter Hunt"),CHOOSE(ArtifactsInput!$N$22+1,10,12,14,16,18,20)*((0*(((0.15*B3134*5))^0/1)+1*(((0.15*B3134*5))^1/1)+2*(((0.15*B3134*5))^2/2)+3*(((0.15*B3134*5))^3/6)+4*(((0.15*B3134*5))^4/24)+5*(((0.15*B3134*5))^5/120))/((((0.15*B3134*5))^0/1)+(((0.15*B3134*5))^1/1)+(((0.15*B3134*5))^2/2)+(((0.15*B3134*5))^3/6)+(((0.15*B3134*5))^4/24)+(((0.15*B3134*5))^5/120))),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107">
      <c r="A3107">
        <f>Skills!A7</f>
        <v/>
      </c>
      <c r="B3107">
        <f>Skills!B7</f>
        <v/>
      </c>
      <c r="C3107">
        <f>Inputs!$B$3&gt;=69</f>
        <v/>
      </c>
      <c r="D3107">
        <f>IF(Skills!C7=1,60+Inputs!$B$25+Inputs!$B$29,IF(Skills!C7=2,90+Inputs!$B$26+Inputs!$B$29,IF(Skills!C7=3,120+Inputs!$B$27+Inputs!$B$29,MAX(0,(Inputs!$B$3-100)*3)+Inputs!$B$28+Inputs!$B$29)))</f>
        <v/>
      </c>
      <c r="E3107">
        <f>INDEX(FactorTable!$B$2:$Y$301, MATCH(ROUND(MIN(300,MAX(1,D3107)),0), FactorTable!$A$2:$A$301,0), Skills!M7+1)</f>
        <v/>
      </c>
      <c r="F3107">
        <f>IF(Skills!N7=TRUE,(Skills!L7/10)*(E3107/1000),Skills!L7/10)+Skills!O7</f>
        <v/>
      </c>
      <c r="G3107">
        <f>Skills!G7*IF(Skills!H7&gt;0,Skills!I7/Skills!H7,1)</f>
        <v/>
      </c>
      <c r="H3107">
        <f>1-(1-Skills!J7/100)^Skills!K7</f>
        <v/>
      </c>
      <c r="I3107" t="inlineStr">
        <is>
          <t>1</t>
        </is>
      </c>
      <c r="J3107">
        <f>((Inputs!$B$6*(1+Inputs!$B$7/100))+(((Inputs!$B$12*(1+Inputs!$B$13/100))-(Inputs!$B$12*(1+Inputs!$B$13/100)))+0.25*(Inputs!$B$14-Inputs!$B$14))*(1+Inputs!$B$7/100))*(F3107/100)</f>
        <v/>
      </c>
      <c r="K3107">
        <f>J3107*(1+((Inputs!$B$12*(1+Inputs!$B$13/100))*0.01+Inputs!$B$14*0.0025)/100)*(1+Inputs!$B$15/100)*(1+Inputs!$B$16/100)*(5000/(6000+Inputs!$B$42*(1-(100*(1-(1-(Inputs!$B$19+0)/100)*(1-CHOOSE(ArtifactsInput!$N$40+1,5,6,7,8,9,10)/100)^(ArtifactsInput!$M$40-ArtifactsInput!$M$40)))/100)))*(1+(Inputs!$B$24+((C3124=TRUE)*(F3124-Calc!F24))+((C3125=TRUE)*(F3125-Calc!F25))+B3138)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+1.2*IF(C3108=TRUE,F3108,0)/100)*(1+(IF(Skills!A7="EMPOWERED_PIERCING_ARROW",Inputs!$B$17+((C3122=TRUE)*(F3122-Calc!F22))+(((IF(AND(ArtifactsInput!$M$42,((Inputs!$B$9+((C3119=TRUE)*(F3119-Calc!F19))+B3132+(ArtifactsInput!$M$24-ArtifactsInput!$M$24)*CHOOSE(ArtifactsInput!$N$24+1,10,12,14,16,18,20)+IF(ArtifactsInput!$M$10,CHOOSE(ArtifactsInput!$N$10+1,15,18,21,24,27,30)*(IF(Inputs!$B$38="pvp",MIN(15,15)/15,IF(AND(Inputs!$B$38&lt;&gt;"pvp",Inputs!$B$43&gt;0),MIN(15,Inputs!$B$43)/(Inputs!$B$43),0))),0)))&gt;=100),MIN(100,((Inputs!$B$9+((C3119=TRUE)*(F3119-Calc!F19))+B3132+(ArtifactsInput!$M$24-ArtifactsInput!$M$24)*CHOOSE(ArtifactsInput!$N$24+1,10,12,14,16,18,20)+IF(ArtifactsInput!$M$10,CHOOSE(ArtifactsInput!$N$10+1,15,18,21,24,27,30)*(IF(Inputs!$B$38="pvp",MIN(15,15)/15,IF(AND(Inputs!$B$38&lt;&gt;"pvp",Inputs!$B$43&gt;0),MIN(15,Inputs!$B$43)/(Inputs!$B$43),0))),0)))-100),0))*CHOOSE(ArtifactsInput!$N$42+1,0.6,0.72,0.84,0.96,1.08,1.2))),Inputs!$B$18+((C3127=TRUE)*(F3127-Calc!F27))+(IF(AND(ArtifactsInput!$M$42,((Inputs!$B$9+((C3119=TRUE)*(F3119-Calc!F19))+B3132+(ArtifactsInput!$M$24-ArtifactsInput!$M$24)*CHOOSE(ArtifactsInput!$N$24+1,10,12,14,16,18,20)+IF(ArtifactsInput!$M$10,CHOOSE(ArtifactsInput!$N$10+1,15,18,21,24,27,30)*(IF(Inputs!$B$38="pvp",MIN(15,15)/15,IF(AND(Inputs!$B$38&lt;&gt;"pvp",Inputs!$B$43&gt;0),MIN(15,Inputs!$B$43)/(Inputs!$B$43),0))),0)))&gt;=100),CHOOSE(ArtifactsInput!$N$42+1,40,48,56,64,72,80),0))))/100)*((1+(((C3113=TRUE)*F3113)+((C3114=TRUE)*IF(Inputs!$B$38="pvp",F3114,(1-Summary!$B$11)*(F3114)+Summary!$B$11*(0)))+((C3115=TRUE)*F3115*IF(AND(Inputs!$B$38&lt;&gt;"pvp",Inputs!$B$43&gt;0),(((R3115-1)*(Skills!T15*(1+Inputs!$B$34/100))+MIN((Skills!T15*(1+Inputs!$B$34/100)),MAX(0,Inputs!$B$43-((R3115-1)*Skills!D15))))/Inputs!$B$43),IF(Inputs!$B$38="pvp",MIN((Skills!T15*(1+Inputs!$B$34/100)),15)/15,(Skills!T15*(1+Inputs!$B$34/100))/Skills!D15)))+((C3112=TRUE)*F3112)+((C3129=TRUE)*(F3129-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3107)</f>
        <v/>
      </c>
      <c r="L3107">
        <f>K3107*(MIN(Inputs!$B$22+((C3123=TRUE)*(F3123-Calc!F23)),(Inputs!$B$23+((C3128=TRUE)*(F3128-Calc!F28))+(IF(ArtifactsInput!$M$15,CHOOSE(ArtifactsInput!$N$15+1,25,30,35,40,45,50)/100*(Inputs!$B$11-Inputs!$B$11),0))))/100+(Inputs!$B$23+((C3128=TRUE)*(F3128-Calc!F28))+(IF(ArtifactsInput!$M$15,CHOOSE(ArtifactsInput!$N$15+1,25,30,35,40,45,50)/100*(Inputs!$B$11-Inputs!$B$11),0)))/100)/2</f>
        <v/>
      </c>
      <c r="M3107">
        <f>L3107*(1+(Inputs!$B$10+0+B3137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107">
        <f>L3107*(1-MIN((Inputs!$B$9+((C3119=TRUE)*(F3119-Calc!F19))+B3132+(ArtifactsInput!$M$24-ArtifactsInput!$M$24)*CHOOSE(ArtifactsInput!$N$24+1,10,12,14,16,18,20)+(IF(AND(ArtifactsInput!$M$42,((Inputs!$B$9+((C3119=TRUE)*(F3119-Calc!F19))+B3132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3107*(MIN((Inputs!$B$9+((C3119=TRUE)*(F3119-Calc!F19))+B3132+(ArtifactsInput!$M$24-ArtifactsInput!$M$24)*CHOOSE(ArtifactsInput!$N$24+1,10,12,14,16,18,20)+(IF(AND(ArtifactsInput!$M$42,((Inputs!$B$9+((C3119=TRUE)*(F3119-Calc!F19))+B3132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107">
        <f>(1-Summary!$B$11)*T3107+Summary!$B$11*V3107</f>
        <v/>
      </c>
      <c r="P3107">
        <f>IF(B3142=0,0,O3107/B3142)</f>
        <v/>
      </c>
      <c r="Q3107">
        <f>IFERROR(1/IF(Inputs!$B$38="pvp",15,MAX(0.1,Skills!D7-IF(Skills!E7=TRUE,3.0,0))),0)</f>
        <v/>
      </c>
      <c r="R3107">
        <f>IF(AND(Inputs!$B$38&lt;&gt;"pvp",Inputs!$B$43&gt;0),IF(MAX(0,Inputs!$B$43-B3139)&lt;=0,0,(INT(MAX(0,Inputs!$B$43-B3139)/IF(Inputs!$B$38="pvp",15,MAX(0.1,Skills!D7-IF(Skills!E7=TRUE,3.0,0))))+1)),0)</f>
        <v/>
      </c>
      <c r="S3107">
        <f>IFERROR((H3107*N3107*IF(AND(Inputs!$B$38&lt;&gt;"pvp",Inputs!$B$43&gt;0),((Skills!G7*((R3107-1)*IF(Skills!H7&gt;0,Skills!I7/Skills!H7,1)+IF(Skills!H7&gt;0,MIN(Skills!I7,MAX(0,MAX(0,Inputs!$B$43-B3139)-((R3107-1)*IF(Inputs!$B$38="pvp",15,MAX(0.1,Skills!D7-IF(Skills!E7=TRUE,3.0,0))))))/Skills!H7,1)))/Inputs!$B$43),G3107*Q3107))/N3107*IF(Inputs!$B$38="pvp",1,(1-Summary!$B$11)*1+Summary!$B$11*(MIN(Skills!R7,Inputs!$B$37))),0)</f>
        <v/>
      </c>
      <c r="T3107">
        <f>IF(C3107,(H3107*N3107*IF(AND(Inputs!$B$38&lt;&gt;"pvp",Inputs!$B$43&gt;0),((Skills!G7*((R3107-1)*IF(Skills!H7&gt;0,Skills!I7/Skills!H7,1)+IF(Skills!H7&gt;0,MIN(Skills!I7,MAX(0,MAX(0,Inputs!$B$43-B3139)-((R3107-1)*IF(Inputs!$B$38="pvp",15,MAX(0.1,Skills!D7-IF(Skills!E7=TRUE,3.0,0))))))/Skills!H7,1)))/Inputs!$B$43),G3107*Q3107))*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Hunt"),CHOOSE(ArtifactsInput!$N$35+1,15,18,21,24,27,30)*(1-EXP(-(0.2*B3134)*5)),0)+IF(AND(ArtifactsInput!$M$22,Inputs!$B$4&lt;&gt;"Chapter Hunt"),CHOOSE(ArtifactsInput!$N$22+1,10,12,14,16,18,20)*((0*(((0.15*B3134*5))^0/1)+1*(((0.15*B3134*5))^1/1)+2*(((0.15*B3134*5))^2/2)+3*(((0.15*B3134*5))^3/6)+4*(((0.15*B3134*5))^4/24)+5*(((0.15*B3134*5))^5/120))/((((0.15*B3134*5))^0/1)+(((0.15*B3134*5))^1/1)+(((0.15*B3134*5))^2/2)+(((0.15*B3134*5))^3/6)+(((0.15*B3134*5))^4/24)+(((0.15*B3134*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3107*(1-MIN(100,(Inputs!$B$9+((C3119=TRUE)*(F3119-Calc!F19))+B3132+(ArtifactsInput!$M$24-ArtifactsInput!$M$24)*CHOOSE(ArtifactsInput!$N$24+1,10,12,14,16,18,20)+(IF(AND(ArtifactsInput!$M$42,((Inputs!$B$9+((C3119=TRUE)*(F3119-Calc!F19))+B3132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3107*(MIN(100,(Inputs!$B$9+((C3119=TRUE)*(F3119-Calc!F19))+B3132+(ArtifactsInput!$M$24-ArtifactsInput!$M$24)*CHOOSE(ArtifactsInput!$N$24+1,10,12,14,16,18,20)+(IF(AND(ArtifactsInput!$M$42,((Inputs!$B$9+((C3119=TRUE)*(F3119-Calc!F19))+B3132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3107*(1-MIN(100,(Inputs!$B$9+((C3119=TRUE)*(F3119-Calc!F19))+B3132+(ArtifactsInput!$M$24-ArtifactsInput!$M$24)*CHOOSE(ArtifactsInput!$N$24+1,10,12,14,16,18,20)+(IF(AND(ArtifactsInput!$M$42,((Inputs!$B$9+((C3119=TRUE)*(F3119-Calc!F19))+B3132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3107*(MIN(100,(Inputs!$B$9+((C3119=TRUE)*(F3119-Calc!F19))+B3132+(ArtifactsInput!$M$24-ArtifactsInput!$M$24)*CHOOSE(ArtifactsInput!$N$24+1,10,12,14,16,18,20)+(IF(AND(ArtifactsInput!$M$42,((Inputs!$B$9+((C3119=TRUE)*(F3119-Calc!F19))+B3132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107">
        <f>IF(C3107,(H3107*N3107*IF(AND(Inputs!$B$38&lt;&gt;"pvp",Inputs!$B$43&gt;0),((Skills!G7*((R3107-1)*IF(Skills!H7&gt;0,Skills!I7/Skills!H7,1)+IF(Skills!H7&gt;0,MIN(Skills!I7,MAX(0,MAX(0,Inputs!$B$43-B3139)-((R3107-1)*IF(Inputs!$B$38="pvp",15,MAX(0.1,Skills!D7-IF(Skills!E7=TRUE,3.0,0))))))/Skills!H7,1)))/Inputs!$B$43),G3107*Q3107))*IF(Inputs!$B$38="pvp",1,(1+(Inputs!$B$21+Skills!Q7+(IF(ArtifactsInput!$M$33,CHOOSE(ArtifactsInput!$N$33+1,30,36,42,48,54,60),0))+(IF(AND(ArtifactsInput!$M$35,Inputs!$B$4&lt;&gt;"Chapter Hunt"),CHOOSE(ArtifactsInput!$N$35+1,15,18,21,24,27,30)*(1-EXP(-(0.2*B3134)*5)),0)+IF(AND(ArtifactsInput!$M$22,Inputs!$B$4&lt;&gt;"Chapter Hunt"),CHOOSE(ArtifactsInput!$N$22+1,10,12,14,16,18,20)*((0*(((0.15*B3134*5))^0/1)+1*(((0.15*B3134*5))^1/1)+2*(((0.15*B3134*5))^2/2)+3*(((0.15*B3134*5))^3/6)+4*(((0.15*B3134*5))^4/24)+5*(((0.15*B3134*5))^5/120))/((((0.15*B3134*5))^0/1)+(((0.15*B3134*5))^1/1)+(((0.15*B3134*5))^2/2)+(((0.15*B3134*5))^3/6)+(((0.15*B3134*5))^4/24)+(((0.15*B3134*5))^5/120))),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108">
      <c r="A3108">
        <f>Skills!A8</f>
        <v/>
      </c>
      <c r="B3108">
        <f>Skills!B8</f>
        <v/>
      </c>
      <c r="C3108">
        <f>Inputs!$B$3&gt;=100</f>
        <v/>
      </c>
      <c r="D3108">
        <f>IF(Skills!C8=1,60+Inputs!$B$25+Inputs!$B$29,IF(Skills!C8=2,90+Inputs!$B$26+Inputs!$B$29,IF(Skills!C8=3,120+Inputs!$B$27+Inputs!$B$29,MAX(0,(Inputs!$B$3-100)*3)+Inputs!$B$28+Inputs!$B$29)))</f>
        <v/>
      </c>
      <c r="E3108">
        <f>INDEX(FactorTable!$B$2:$Y$301, MATCH(ROUND(MIN(300,MAX(1,D3108)),0), FactorTable!$A$2:$A$301,0), Skills!M8+1)</f>
        <v/>
      </c>
      <c r="F3108">
        <f>IF(Skills!N8=TRUE,(Skills!L8/10)*(E3108/1000),Skills!L8/10)+Skills!O8</f>
        <v/>
      </c>
      <c r="G3108" t="inlineStr"/>
      <c r="H3108" t="inlineStr"/>
      <c r="I3108" t="inlineStr">
        <is>
          <t>1</t>
        </is>
      </c>
      <c r="J3108" t="inlineStr"/>
      <c r="K3108" t="inlineStr"/>
      <c r="L3108" t="inlineStr"/>
      <c r="M3108" t="inlineStr"/>
      <c r="N3108" t="inlineStr"/>
      <c r="O3108" t="inlineStr"/>
      <c r="P3108" t="inlineStr"/>
      <c r="Q3108" t="inlineStr"/>
      <c r="R3108" t="inlineStr"/>
      <c r="S3108" t="inlineStr"/>
      <c r="T3108" t="inlineStr"/>
      <c r="V3108" t="inlineStr"/>
    </row>
    <row r="3109">
      <c r="A3109">
        <f>Skills!A9</f>
        <v/>
      </c>
      <c r="B3109">
        <f>Skills!B9</f>
        <v/>
      </c>
      <c r="C3109">
        <f>Inputs!$B$3&gt;=103</f>
        <v/>
      </c>
      <c r="D3109">
        <f>IF(Skills!C9=1,60+Inputs!$B$25+Inputs!$B$29,IF(Skills!C9=2,90+Inputs!$B$26+Inputs!$B$29,IF(Skills!C9=3,120+Inputs!$B$27+Inputs!$B$29,MAX(0,(Inputs!$B$3-100)*3)+Inputs!$B$28+Inputs!$B$29)))</f>
        <v/>
      </c>
      <c r="E3109">
        <f>INDEX(FactorTable!$B$2:$Y$301, MATCH(ROUND(MIN(300,MAX(1,D3109)),0), FactorTable!$A$2:$A$301,0), Skills!M9+1)</f>
        <v/>
      </c>
      <c r="F3109">
        <f>IF(Skills!N9=TRUE,(Skills!L9/10)*(E3109/1000),Skills!L9/10)+Skills!O9</f>
        <v/>
      </c>
      <c r="G3109">
        <f>Skills!G9*IF(Skills!H9&gt;0,Skills!I9/Skills!H9,1)</f>
        <v/>
      </c>
      <c r="H3109">
        <f>1-(1-Skills!J9/100)^Skills!K9</f>
        <v/>
      </c>
      <c r="I3109" t="inlineStr">
        <is>
          <t>1</t>
        </is>
      </c>
      <c r="J3109">
        <f>((Inputs!$B$6*(1+Inputs!$B$7/100))+(((Inputs!$B$12*(1+Inputs!$B$13/100))-(Inputs!$B$12*(1+Inputs!$B$13/100)))+0.25*(Inputs!$B$14-Inputs!$B$14))*(1+Inputs!$B$7/100))*(F3109/100)</f>
        <v/>
      </c>
      <c r="K3109">
        <f>J3109*(1+((Inputs!$B$12*(1+Inputs!$B$13/100))*0.01+Inputs!$B$14*0.0025)/100)*(1+Inputs!$B$15/100)*(1+Inputs!$B$16/100)*(5000/(6000+Inputs!$B$42*(1-(100*(1-(1-(Inputs!$B$19+0)/100)*(1-CHOOSE(ArtifactsInput!$N$40+1,5,6,7,8,9,10)/100)^(ArtifactsInput!$M$40-ArtifactsInput!$M$40)))/100)))*(1+(Inputs!$B$24+((C3124=TRUE)*(F3124-Calc!F24))+((C3125=TRUE)*(F3125-Calc!F25))+B3138)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EMPOWERED_PIERCING_ARROW",Inputs!$B$17+((C3122=TRUE)*(F3122-Calc!F22))+(((IF(AND(ArtifactsInput!$M$42,((Inputs!$B$9+((C3119=TRUE)*(F3119-Calc!F19))+B3132+(ArtifactsInput!$M$24-ArtifactsInput!$M$24)*CHOOSE(ArtifactsInput!$N$24+1,10,12,14,16,18,20)+IF(ArtifactsInput!$M$10,CHOOSE(ArtifactsInput!$N$10+1,15,18,21,24,27,30)*(IF(Inputs!$B$38="pvp",MIN(15,15)/15,IF(AND(Inputs!$B$38&lt;&gt;"pvp",Inputs!$B$43&gt;0),MIN(15,Inputs!$B$43)/(Inputs!$B$43),0))),0)))&gt;=100),MIN(100,((Inputs!$B$9+((C3119=TRUE)*(F3119-Calc!F19))+B3132+(ArtifactsInput!$M$24-ArtifactsInput!$M$24)*CHOOSE(ArtifactsInput!$N$24+1,10,12,14,16,18,20)+IF(ArtifactsInput!$M$10,CHOOSE(ArtifactsInput!$N$10+1,15,18,21,24,27,30)*(IF(Inputs!$B$38="pvp",MIN(15,15)/15,IF(AND(Inputs!$B$38&lt;&gt;"pvp",Inputs!$B$43&gt;0),MIN(15,Inputs!$B$43)/(Inputs!$B$43),0))),0)))-100),0))*CHOOSE(ArtifactsInput!$N$42+1,0.6,0.72,0.84,0.96,1.08,1.2))),Inputs!$B$18+((C3127=TRUE)*(F3127-Calc!F27))+(IF(AND(ArtifactsInput!$M$42,((Inputs!$B$9+((C3119=TRUE)*(F3119-Calc!F19))+B3132+(ArtifactsInput!$M$24-ArtifactsInput!$M$24)*CHOOSE(ArtifactsInput!$N$24+1,10,12,14,16,18,20)+IF(ArtifactsInput!$M$10,CHOOSE(ArtifactsInput!$N$10+1,15,18,21,24,27,30)*(IF(Inputs!$B$38="pvp",MIN(15,15)/15,IF(AND(Inputs!$B$38&lt;&gt;"pvp",Inputs!$B$43&gt;0),MIN(15,Inputs!$B$43)/(Inputs!$B$43),0))),0)))&gt;=100),CHOOSE(ArtifactsInput!$N$42+1,40,48,56,64,72,80),0))))/100)*((1+(((C3113=TRUE)*F3113)+((C3114=TRUE)*IF(Inputs!$B$38="pvp",F3114,(1-Summary!$B$11)*(F3114)+Summary!$B$11*(0)))+((C3115=TRUE)*F3115*IF(AND(Inputs!$B$38&lt;&gt;"pvp",Inputs!$B$43&gt;0),(((R3115-1)*(Skills!T15*(1+Inputs!$B$34/100))+MIN((Skills!T15*(1+Inputs!$B$34/100)),MAX(0,Inputs!$B$43-((R3115-1)*Skills!D15))))/Inputs!$B$43),IF(Inputs!$B$38="pvp",MIN((Skills!T15*(1+Inputs!$B$34/100)),15)/15,(Skills!T15*(1+Inputs!$B$34/100))/Skills!D15)))+((C3112=TRUE)*F3112)+((C3129=TRUE)*(F3129-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3109)</f>
        <v/>
      </c>
      <c r="L3109">
        <f>K3109*(MIN(Inputs!$B$22+((C3123=TRUE)*(F3123-Calc!F23)),(Inputs!$B$23+((C3128=TRUE)*(F3128-Calc!F28))+(IF(ArtifactsInput!$M$15,CHOOSE(ArtifactsInput!$N$15+1,25,30,35,40,45,50)/100*(Inputs!$B$11-Inputs!$B$11),0))))/100+(Inputs!$B$23+((C3128=TRUE)*(F3128-Calc!F28))+(IF(ArtifactsInput!$M$15,CHOOSE(ArtifactsInput!$N$15+1,25,30,35,40,45,50)/100*(Inputs!$B$11-Inputs!$B$11),0)))/100)/2</f>
        <v/>
      </c>
      <c r="M3109">
        <f>L3109*(1+(Inputs!$B$10+0+B3137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109">
        <f>L3109*(1-MIN((Inputs!$B$9+((C3119=TRUE)*(F3119-Calc!F19))+B3132+(ArtifactsInput!$M$24-ArtifactsInput!$M$24)*CHOOSE(ArtifactsInput!$N$24+1,10,12,14,16,18,20)+(IF(AND(ArtifactsInput!$M$42,((Inputs!$B$9+((C3119=TRUE)*(F3119-Calc!F19))+B3132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3109*(MIN((Inputs!$B$9+((C3119=TRUE)*(F3119-Calc!F19))+B3132+(ArtifactsInput!$M$24-ArtifactsInput!$M$24)*CHOOSE(ArtifactsInput!$N$24+1,10,12,14,16,18,20)+(IF(AND(ArtifactsInput!$M$42,((Inputs!$B$9+((C3119=TRUE)*(F3119-Calc!F19))+B3132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109">
        <f>(1-Summary!$B$11)*T3109+Summary!$B$11*V3109</f>
        <v/>
      </c>
      <c r="P3109">
        <f>IF(B3142=0,0,O3109/B3142)</f>
        <v/>
      </c>
      <c r="Q3109">
        <f>IFERROR(1/IF(Inputs!$B$38="pvp",15,MAX(0.1,Skills!D9-IF(Skills!E9=TRUE,3.0,0))),0)</f>
        <v/>
      </c>
      <c r="R3109">
        <f>IF(AND(Inputs!$B$38&lt;&gt;"pvp",Inputs!$B$43&gt;0),IF(MAX(0,Inputs!$B$43-B3139)&lt;=0,0,(INT(MAX(0,Inputs!$B$43-B3139)/IF(Inputs!$B$38="pvp",15,MAX(0.1,Skills!D9-IF(Skills!E9=TRUE,3.0,0))))+1)),0)</f>
        <v/>
      </c>
      <c r="S3109">
        <f>IFERROR((H3109*N3109*IF(AND(Inputs!$B$38&lt;&gt;"pvp",Inputs!$B$43&gt;0),((Skills!G9*((R3109-1)*IF(Skills!H9&gt;0,Skills!I9/Skills!H9,1)+IF(Skills!H9&gt;0,MIN(Skills!I9,MAX(0,MAX(0,Inputs!$B$43-B3139)-((R3109-1)*IF(Inputs!$B$38="pvp",15,MAX(0.1,Skills!D9-IF(Skills!E9=TRUE,3.0,0))))))/Skills!H9,1)))/Inputs!$B$43),G3109*Q3109))/N3109*IF(Inputs!$B$38="pvp",1,(1-Summary!$B$11)*1+Summary!$B$11*(MIN(Skills!R9,Inputs!$B$37))),0)</f>
        <v/>
      </c>
      <c r="T3109">
        <f>IF(C3109,(H3109*N3109*IF(AND(Inputs!$B$38&lt;&gt;"pvp",Inputs!$B$43&gt;0),((Skills!G9*((R3109-1)*IF(Skills!H9&gt;0,Skills!I9/Skills!H9,1)+IF(Skills!H9&gt;0,MIN(Skills!I9,MAX(0,MAX(0,Inputs!$B$43-B3139)-((R3109-1)*IF(Inputs!$B$38="pvp",15,MAX(0.1,Skills!D9-IF(Skills!E9=TRUE,3.0,0))))))/Skills!H9,1)))/Inputs!$B$43),G3109*Q3109))*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Hunt"),CHOOSE(ArtifactsInput!$N$35+1,15,18,21,24,27,30)*(1-EXP(-(0.2*B3134)*5)),0)+IF(AND(ArtifactsInput!$M$22,Inputs!$B$4&lt;&gt;"Chapter Hunt"),CHOOSE(ArtifactsInput!$N$22+1,10,12,14,16,18,20)*((0*(((0.15*B3134*5))^0/1)+1*(((0.15*B3134*5))^1/1)+2*(((0.15*B3134*5))^2/2)+3*(((0.15*B3134*5))^3/6)+4*(((0.15*B3134*5))^4/24)+5*(((0.15*B3134*5))^5/120))/((((0.15*B3134*5))^0/1)+(((0.15*B3134*5))^1/1)+(((0.15*B3134*5))^2/2)+(((0.15*B3134*5))^3/6)+(((0.15*B3134*5))^4/24)+(((0.15*B3134*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3109*(1-MIN(100,(Inputs!$B$9+((C3119=TRUE)*(F3119-Calc!F19))+B3132+(ArtifactsInput!$M$24-ArtifactsInput!$M$24)*CHOOSE(ArtifactsInput!$N$24+1,10,12,14,16,18,20)+(IF(AND(ArtifactsInput!$M$42,((Inputs!$B$9+((C3119=TRUE)*(F3119-Calc!F19))+B3132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3109*(MIN(100,(Inputs!$B$9+((C3119=TRUE)*(F3119-Calc!F19))+B3132+(ArtifactsInput!$M$24-ArtifactsInput!$M$24)*CHOOSE(ArtifactsInput!$N$24+1,10,12,14,16,18,20)+(IF(AND(ArtifactsInput!$M$42,((Inputs!$B$9+((C3119=TRUE)*(F3119-Calc!F19))+B3132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3109*(1-MIN(100,(Inputs!$B$9+((C3119=TRUE)*(F3119-Calc!F19))+B3132+(ArtifactsInput!$M$24-ArtifactsInput!$M$24)*CHOOSE(ArtifactsInput!$N$24+1,10,12,14,16,18,20)+(IF(AND(ArtifactsInput!$M$42,((Inputs!$B$9+((C3119=TRUE)*(F3119-Calc!F19))+B3132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3109*(MIN(100,(Inputs!$B$9+((C3119=TRUE)*(F3119-Calc!F19))+B3132+(ArtifactsInput!$M$24-ArtifactsInput!$M$24)*CHOOSE(ArtifactsInput!$N$24+1,10,12,14,16,18,20)+(IF(AND(ArtifactsInput!$M$42,((Inputs!$B$9+((C3119=TRUE)*(F3119-Calc!F19))+B3132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109">
        <f>IF(C3109,(H3109*N3109*IF(AND(Inputs!$B$38&lt;&gt;"pvp",Inputs!$B$43&gt;0),((Skills!G9*((R3109-1)*IF(Skills!H9&gt;0,Skills!I9/Skills!H9,1)+IF(Skills!H9&gt;0,MIN(Skills!I9,MAX(0,MAX(0,Inputs!$B$43-B3139)-((R3109-1)*IF(Inputs!$B$38="pvp",15,MAX(0.1,Skills!D9-IF(Skills!E9=TRUE,3.0,0))))))/Skills!H9,1)))/Inputs!$B$43),G3109*Q3109))*IF(Inputs!$B$38="pvp",1,(1+(Inputs!$B$21+Skills!Q9+(IF(ArtifactsInput!$M$33,CHOOSE(ArtifactsInput!$N$33+1,30,36,42,48,54,60),0))+(IF(AND(ArtifactsInput!$M$35,Inputs!$B$4&lt;&gt;"Chapter Hunt"),CHOOSE(ArtifactsInput!$N$35+1,15,18,21,24,27,30)*(1-EXP(-(0.2*B3134)*5)),0)+IF(AND(ArtifactsInput!$M$22,Inputs!$B$4&lt;&gt;"Chapter Hunt"),CHOOSE(ArtifactsInput!$N$22+1,10,12,14,16,18,20)*((0*(((0.15*B3134*5))^0/1)+1*(((0.15*B3134*5))^1/1)+2*(((0.15*B3134*5))^2/2)+3*(((0.15*B3134*5))^3/6)+4*(((0.15*B3134*5))^4/24)+5*(((0.15*B3134*5))^5/120))/((((0.15*B3134*5))^0/1)+(((0.15*B3134*5))^1/1)+(((0.15*B3134*5))^2/2)+(((0.15*B3134*5))^3/6)+(((0.15*B3134*5))^4/24)+(((0.15*B3134*5))^5/120)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110">
      <c r="A3110">
        <f>Skills!A10</f>
        <v/>
      </c>
      <c r="B3110">
        <f>Skills!B10</f>
        <v/>
      </c>
      <c r="C3110">
        <f>Inputs!$B$3&gt;=107</f>
        <v/>
      </c>
      <c r="D3110">
        <f>IF(Skills!C10=1,60+Inputs!$B$25+Inputs!$B$29,IF(Skills!C10=2,90+Inputs!$B$26+Inputs!$B$29,IF(Skills!C10=3,120+Inputs!$B$27+Inputs!$B$29,MAX(0,(Inputs!$B$3-100)*3)+Inputs!$B$28+Inputs!$B$29)))</f>
        <v/>
      </c>
      <c r="E3110">
        <f>INDEX(FactorTable!$B$2:$Y$301, MATCH(ROUND(MIN(300,MAX(1,D3110)),0), FactorTable!$A$2:$A$301,0), Skills!M10+1)</f>
        <v/>
      </c>
      <c r="F3110">
        <f>IF(Skills!N10=TRUE,(Skills!L10/10)*(E3110/1000),Skills!L10/10)+Skills!O10</f>
        <v/>
      </c>
      <c r="G3110">
        <f>Skills!G10*IF(Skills!H10&gt;0,Skills!I10/Skills!H10,1)</f>
        <v/>
      </c>
      <c r="H3110">
        <f>1-(1-Skills!J10/100)^Skills!K10</f>
        <v/>
      </c>
      <c r="I3110" t="inlineStr">
        <is>
          <t>1</t>
        </is>
      </c>
      <c r="J3110">
        <f>((Inputs!$B$6*(1+Inputs!$B$7/100))+(((Inputs!$B$12*(1+Inputs!$B$13/100))-(Inputs!$B$12*(1+Inputs!$B$13/100)))+0.25*(Inputs!$B$14-Inputs!$B$14))*(1+Inputs!$B$7/100))*(F3110/100)</f>
        <v/>
      </c>
      <c r="K3110">
        <f>J3110*(1+((Inputs!$B$12*(1+Inputs!$B$13/100))*0.01+Inputs!$B$14*0.0025)/100)*(1+Inputs!$B$15/100)*(1+Inputs!$B$16/100)*(5000/(6000+Inputs!$B$42*(1-(100*(1-(1-(Inputs!$B$19+0)/100)*(1-CHOOSE(ArtifactsInput!$N$40+1,5,6,7,8,9,10)/100)^(ArtifactsInput!$M$40-ArtifactsInput!$M$40)))/100)))*(1+(Inputs!$B$24+((C3124=TRUE)*(F3124-Calc!F24))+((C3125=TRUE)*(F3125-Calc!F25))+B3138)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EMPOWERED_PIERCING_ARROW",Inputs!$B$17+((C3122=TRUE)*(F3122-Calc!F22))+(((IF(AND(ArtifactsInput!$M$42,((Inputs!$B$9+((C3119=TRUE)*(F3119-Calc!F19))+B3132+(ArtifactsInput!$M$24-ArtifactsInput!$M$24)*CHOOSE(ArtifactsInput!$N$24+1,10,12,14,16,18,20)+IF(ArtifactsInput!$M$10,CHOOSE(ArtifactsInput!$N$10+1,15,18,21,24,27,30)*(IF(Inputs!$B$38="pvp",MIN(15,15)/15,IF(AND(Inputs!$B$38&lt;&gt;"pvp",Inputs!$B$43&gt;0),MIN(15,Inputs!$B$43)/(Inputs!$B$43),0))),0)))&gt;=100),MIN(100,((Inputs!$B$9+((C3119=TRUE)*(F3119-Calc!F19))+B3132+(ArtifactsInput!$M$24-ArtifactsInput!$M$24)*CHOOSE(ArtifactsInput!$N$24+1,10,12,14,16,18,20)+IF(ArtifactsInput!$M$10,CHOOSE(ArtifactsInput!$N$10+1,15,18,21,24,27,30)*(IF(Inputs!$B$38="pvp",MIN(15,15)/15,IF(AND(Inputs!$B$38&lt;&gt;"pvp",Inputs!$B$43&gt;0),MIN(15,Inputs!$B$43)/(Inputs!$B$43),0))),0)))-100),0))*CHOOSE(ArtifactsInput!$N$42+1,0.6,0.72,0.84,0.96,1.08,1.2))),Inputs!$B$18+((C3127=TRUE)*(F3127-Calc!F27))+(IF(AND(ArtifactsInput!$M$42,((Inputs!$B$9+((C3119=TRUE)*(F3119-Calc!F19))+B3132+(ArtifactsInput!$M$24-ArtifactsInput!$M$24)*CHOOSE(ArtifactsInput!$N$24+1,10,12,14,16,18,20)+IF(ArtifactsInput!$M$10,CHOOSE(ArtifactsInput!$N$10+1,15,18,21,24,27,30)*(IF(Inputs!$B$38="pvp",MIN(15,15)/15,IF(AND(Inputs!$B$38&lt;&gt;"pvp",Inputs!$B$43&gt;0),MIN(15,Inputs!$B$43)/(Inputs!$B$43),0))),0)))&gt;=100),CHOOSE(ArtifactsInput!$N$42+1,40,48,56,64,72,80),0))))/100)*((1+(((C3113=TRUE)*F3113)+((C3114=TRUE)*IF(Inputs!$B$38="pvp",F3114,(1-Summary!$B$11)*(F3114)+Summary!$B$11*(0)))+((C3115=TRUE)*F3115*IF(AND(Inputs!$B$38&lt;&gt;"pvp",Inputs!$B$43&gt;0),(((R3115-1)*(Skills!T15*(1+Inputs!$B$34/100))+MIN((Skills!T15*(1+Inputs!$B$34/100)),MAX(0,Inputs!$B$43-((R3115-1)*Skills!D15))))/Inputs!$B$43),IF(Inputs!$B$38="pvp",MIN((Skills!T15*(1+Inputs!$B$34/100)),15)/15,(Skills!T15*(1+Inputs!$B$34/100))/Skills!D15)))+((C3112=TRUE)*F3112)+((C3129=TRUE)*(F3129-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3110)</f>
        <v/>
      </c>
      <c r="L3110">
        <f>K3110*(MIN(Inputs!$B$22+((C3123=TRUE)*(F3123-Calc!F23)),(Inputs!$B$23+((C3128=TRUE)*(F3128-Calc!F28))+(IF(ArtifactsInput!$M$15,CHOOSE(ArtifactsInput!$N$15+1,25,30,35,40,45,50)/100*(Inputs!$B$11-Inputs!$B$11),0))))/100+(Inputs!$B$23+((C3128=TRUE)*(F3128-Calc!F28))+(IF(ArtifactsInput!$M$15,CHOOSE(ArtifactsInput!$N$15+1,25,30,35,40,45,50)/100*(Inputs!$B$11-Inputs!$B$11),0)))/100)/2</f>
        <v/>
      </c>
      <c r="M3110">
        <f>L3110*(1+(Inputs!$B$10+0+B3137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110">
        <f>L3110*(1-MIN((Inputs!$B$9+((C3119=TRUE)*(F3119-Calc!F19))+B3132+(ArtifactsInput!$M$24-ArtifactsInput!$M$24)*CHOOSE(ArtifactsInput!$N$24+1,10,12,14,16,18,20)+(IF(AND(ArtifactsInput!$M$42,((Inputs!$B$9+((C3119=TRUE)*(F3119-Calc!F19))+B3132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3110*(MIN((Inputs!$B$9+((C3119=TRUE)*(F3119-Calc!F19))+B3132+(ArtifactsInput!$M$24-ArtifactsInput!$M$24)*CHOOSE(ArtifactsInput!$N$24+1,10,12,14,16,18,20)+(IF(AND(ArtifactsInput!$M$42,((Inputs!$B$9+((C3119=TRUE)*(F3119-Calc!F19))+B3132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110">
        <f>(1-Summary!$B$11)*T3110+Summary!$B$11*V3110</f>
        <v/>
      </c>
      <c r="P3110">
        <f>IF(B3142=0,0,O3110/B3142)</f>
        <v/>
      </c>
      <c r="Q3110" t="n">
        <v>0</v>
      </c>
      <c r="R3110" t="n">
        <v>0</v>
      </c>
      <c r="S3110" t="n">
        <v>0</v>
      </c>
      <c r="T3110">
        <f>IF(C3110,(0.15*SUMPRODUCT((Skills!U2:U29=TRUE)*(C3102:C3129=TRUE)*S3102:S3129)*Skills!G10*N3110)*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Hunt"),CHOOSE(ArtifactsInput!$N$35+1,15,18,21,24,27,30)*(1-EXP(-(0.2*B3134)*5)),0)+IF(AND(ArtifactsInput!$M$22,Inputs!$B$4&lt;&gt;"Chapter Hunt"),CHOOSE(ArtifactsInput!$N$22+1,10,12,14,16,18,20)*((0*(((0.15*B3134*5))^0/1)+1*(((0.15*B3134*5))^1/1)+2*(((0.15*B3134*5))^2/2)+3*(((0.15*B3134*5))^3/6)+4*(((0.15*B3134*5))^4/24)+5*(((0.15*B3134*5))^5/120))/((((0.15*B3134*5))^0/1)+(((0.15*B3134*5))^1/1)+(((0.15*B3134*5))^2/2)+(((0.15*B3134*5))^3/6)+(((0.15*B3134*5))^4/24)+(((0.15*B3134*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3110*(1-MIN(100,(Inputs!$B$9+((C3119=TRUE)*(F3119-Calc!F19))+B3132+(ArtifactsInput!$M$24-ArtifactsInput!$M$24)*CHOOSE(ArtifactsInput!$N$24+1,10,12,14,16,18,20)+(IF(AND(ArtifactsInput!$M$42,((Inputs!$B$9+((C3119=TRUE)*(F3119-Calc!F19))+B3132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3110*(MIN(100,(Inputs!$B$9+((C3119=TRUE)*(F3119-Calc!F19))+B3132+(ArtifactsInput!$M$24-ArtifactsInput!$M$24)*CHOOSE(ArtifactsInput!$N$24+1,10,12,14,16,18,20)+(IF(AND(ArtifactsInput!$M$42,((Inputs!$B$9+((C3119=TRUE)*(F3119-Calc!F19))+B3132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3110*(1-MIN(100,(Inputs!$B$9+((C3119=TRUE)*(F3119-Calc!F19))+B3132+(ArtifactsInput!$M$24-ArtifactsInput!$M$24)*CHOOSE(ArtifactsInput!$N$24+1,10,12,14,16,18,20)+(IF(AND(ArtifactsInput!$M$42,((Inputs!$B$9+((C3119=TRUE)*(F3119-Calc!F19))+B3132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3110*(MIN(100,(Inputs!$B$9+((C3119=TRUE)*(F3119-Calc!F19))+B3132+(ArtifactsInput!$M$24-ArtifactsInput!$M$24)*CHOOSE(ArtifactsInput!$N$24+1,10,12,14,16,18,20)+(IF(AND(ArtifactsInput!$M$42,((Inputs!$B$9+((C3119=TRUE)*(F3119-Calc!F19))+B3132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110">
        <f>IF(C3110,(0.15*SUMPRODUCT((Skills!U2:U29=TRUE)*(C3102:C3129=TRUE)*S3102:S3129)*Skills!G10*N3110)*IF(Inputs!$B$38="pvp",1,(1+(Inputs!$B$21+Skills!Q10+(IF(ArtifactsInput!$M$33,CHOOSE(ArtifactsInput!$N$33+1,30,36,42,48,54,60),0))+(IF(AND(ArtifactsInput!$M$35,Inputs!$B$4&lt;&gt;"Chapter Hunt"),CHOOSE(ArtifactsInput!$N$35+1,15,18,21,24,27,30)*(1-EXP(-(0.2*B3134)*5)),0)+IF(AND(ArtifactsInput!$M$22,Inputs!$B$4&lt;&gt;"Chapter Hunt"),CHOOSE(ArtifactsInput!$N$22+1,10,12,14,16,18,20)*((0*(((0.15*B3134*5))^0/1)+1*(((0.15*B3134*5))^1/1)+2*(((0.15*B3134*5))^2/2)+3*(((0.15*B3134*5))^3/6)+4*(((0.15*B3134*5))^4/24)+5*(((0.15*B3134*5))^5/120))/((((0.15*B3134*5))^0/1)+(((0.15*B3134*5))^1/1)+(((0.15*B3134*5))^2/2)+(((0.15*B3134*5))^3/6)+(((0.15*B3134*5))^4/24)+(((0.15*B3134*5))^5/120)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111">
      <c r="A3111">
        <f>Skills!A11</f>
        <v/>
      </c>
      <c r="B3111">
        <f>Skills!B11</f>
        <v/>
      </c>
      <c r="C3111">
        <f>Inputs!$B$3&gt;=110</f>
        <v/>
      </c>
      <c r="D3111">
        <f>IF(Skills!C11=1,60+Inputs!$B$25+Inputs!$B$29,IF(Skills!C11=2,90+Inputs!$B$26+Inputs!$B$29,IF(Skills!C11=3,120+Inputs!$B$27+Inputs!$B$29,MAX(0,(Inputs!$B$3-100)*3)+Inputs!$B$28+Inputs!$B$29)))</f>
        <v/>
      </c>
      <c r="E3111">
        <f>INDEX(FactorTable!$B$2:$Y$301, MATCH(ROUND(MIN(300,MAX(1,D3111)),0), FactorTable!$A$2:$A$301,0), Skills!M11+1)</f>
        <v/>
      </c>
      <c r="F3111">
        <f>IF(Skills!N11=TRUE,(Skills!L11/10)*(E3111/1000),Skills!L11/10)+Skills!O11</f>
        <v/>
      </c>
      <c r="G3111">
        <f>Skills!G11*IF(Skills!H11&gt;0,Skills!I11/Skills!H11,1)</f>
        <v/>
      </c>
      <c r="H3111">
        <f>1-(1-Skills!J11/100)^Skills!K11</f>
        <v/>
      </c>
      <c r="I3111" t="inlineStr">
        <is>
          <t>1</t>
        </is>
      </c>
      <c r="J3111">
        <f>((Inputs!$B$6*(1+Inputs!$B$7/100))+(((Inputs!$B$12*(1+Inputs!$B$13/100))-(Inputs!$B$12*(1+Inputs!$B$13/100)))+0.25*(Inputs!$B$14-Inputs!$B$14))*(1+Inputs!$B$7/100))*(F3111/100)</f>
        <v/>
      </c>
      <c r="K3111">
        <f>J3111*(1+((Inputs!$B$12*(1+Inputs!$B$13/100))*0.01+Inputs!$B$14*0.0025)/100)*(1+Inputs!$B$15/100)*(1+Inputs!$B$16/100)*(5000/(6000+Inputs!$B$42*(1-(100*(1-(1-(Inputs!$B$19+0)/100)*(1-CHOOSE(ArtifactsInput!$N$40+1,5,6,7,8,9,10)/100)^(ArtifactsInput!$M$40-ArtifactsInput!$M$40)))/100)))*(1+(Inputs!$B$24+((C3124=TRUE)*(F3124-Calc!F24))+((C3125=TRUE)*(F3125-Calc!F25))+B3138)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11="EMPOWERED_PIERCING_ARROW",Inputs!$B$17+((C3122=TRUE)*(F3122-Calc!F22))+(((IF(AND(ArtifactsInput!$M$42,((Inputs!$B$9+((C3119=TRUE)*(F3119-Calc!F19))+B3132+(ArtifactsInput!$M$24-ArtifactsInput!$M$24)*CHOOSE(ArtifactsInput!$N$24+1,10,12,14,16,18,20)+IF(ArtifactsInput!$M$10,CHOOSE(ArtifactsInput!$N$10+1,15,18,21,24,27,30)*(IF(Inputs!$B$38="pvp",MIN(15,15)/15,IF(AND(Inputs!$B$38&lt;&gt;"pvp",Inputs!$B$43&gt;0),MIN(15,Inputs!$B$43)/(Inputs!$B$43),0))),0)))&gt;=100),MIN(100,((Inputs!$B$9+((C3119=TRUE)*(F3119-Calc!F19))+B3132+(ArtifactsInput!$M$24-ArtifactsInput!$M$24)*CHOOSE(ArtifactsInput!$N$24+1,10,12,14,16,18,20)+IF(ArtifactsInput!$M$10,CHOOSE(ArtifactsInput!$N$10+1,15,18,21,24,27,30)*(IF(Inputs!$B$38="pvp",MIN(15,15)/15,IF(AND(Inputs!$B$38&lt;&gt;"pvp",Inputs!$B$43&gt;0),MIN(15,Inputs!$B$43)/(Inputs!$B$43),0))),0)))-100),0))*CHOOSE(ArtifactsInput!$N$42+1,0.6,0.72,0.84,0.96,1.08,1.2))),Inputs!$B$18+((C3127=TRUE)*(F3127-Calc!F27))+(IF(AND(ArtifactsInput!$M$42,((Inputs!$B$9+((C3119=TRUE)*(F3119-Calc!F19))+B3132+(ArtifactsInput!$M$24-ArtifactsInput!$M$24)*CHOOSE(ArtifactsInput!$N$24+1,10,12,14,16,18,20)+IF(ArtifactsInput!$M$10,CHOOSE(ArtifactsInput!$N$10+1,15,18,21,24,27,30)*(IF(Inputs!$B$38="pvp",MIN(15,15)/15,IF(AND(Inputs!$B$38&lt;&gt;"pvp",Inputs!$B$43&gt;0),MIN(15,Inputs!$B$43)/(Inputs!$B$43),0))),0)))&gt;=100),CHOOSE(ArtifactsInput!$N$42+1,40,48,56,64,72,80),0))))/100)*((1+(((C3113=TRUE)*F3113)+((C3114=TRUE)*IF(Inputs!$B$38="pvp",F3114,(1-Summary!$B$11)*(F3114)+Summary!$B$11*(0)))+((C3115=TRUE)*F3115*IF(AND(Inputs!$B$38&lt;&gt;"pvp",Inputs!$B$43&gt;0),(((R3115-1)*(Skills!T15*(1+Inputs!$B$34/100))+MIN((Skills!T15*(1+Inputs!$B$34/100)),MAX(0,Inputs!$B$43-((R3115-1)*Skills!D15))))/Inputs!$B$43),IF(Inputs!$B$38="pvp",MIN((Skills!T15*(1+Inputs!$B$34/100)),15)/15,(Skills!T15*(1+Inputs!$B$34/100))/Skills!D15)))+((C3112=TRUE)*F3112)+((C3129=TRUE)*(F3129-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3111)</f>
        <v/>
      </c>
      <c r="L3111">
        <f>K3111*(MIN(Inputs!$B$22+((C3123=TRUE)*(F3123-Calc!F23)),(Inputs!$B$23+((C3128=TRUE)*(F3128-Calc!F28))+(IF(ArtifactsInput!$M$15,CHOOSE(ArtifactsInput!$N$15+1,25,30,35,40,45,50)/100*(Inputs!$B$11-Inputs!$B$11),0))))/100+(Inputs!$B$23+((C3128=TRUE)*(F3128-Calc!F28))+(IF(ArtifactsInput!$M$15,CHOOSE(ArtifactsInput!$N$15+1,25,30,35,40,45,50)/100*(Inputs!$B$11-Inputs!$B$11),0)))/100)/2</f>
        <v/>
      </c>
      <c r="M3111">
        <f>L3111*(1+(Inputs!$B$10+0+B3137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111">
        <f>L3111*(1-MIN((Inputs!$B$9+((C3119=TRUE)*(F3119-Calc!F19))+B3132+(ArtifactsInput!$M$24-ArtifactsInput!$M$24)*CHOOSE(ArtifactsInput!$N$24+1,10,12,14,16,18,20)+(IF(AND(ArtifactsInput!$M$42,((Inputs!$B$9+((C3119=TRUE)*(F3119-Calc!F19))+B3132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3111*(MIN((Inputs!$B$9+((C3119=TRUE)*(F3119-Calc!F19))+B3132+(ArtifactsInput!$M$24-ArtifactsInput!$M$24)*CHOOSE(ArtifactsInput!$N$24+1,10,12,14,16,18,20)+(IF(AND(ArtifactsInput!$M$42,((Inputs!$B$9+((C3119=TRUE)*(F3119-Calc!F19))+B3132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111">
        <f>(1-Summary!$B$11)*T3111+Summary!$B$11*V3111</f>
        <v/>
      </c>
      <c r="P3111">
        <f>IF(B3142=0,0,O3111/B3142)</f>
        <v/>
      </c>
      <c r="Q3111">
        <f>IFERROR(1/IF(Inputs!$B$38="pvp",15,MAX(0.1,Skills!D11-IF(Skills!E11=TRUE,3.0,0))),0)</f>
        <v/>
      </c>
      <c r="R3111">
        <f>IF(AND(Inputs!$B$38&lt;&gt;"pvp",Inputs!$B$43&gt;0),IF(MAX(0,Inputs!$B$43-B3139)&lt;=0,0,(INT(MAX(0,Inputs!$B$43-B3139)/IF(Inputs!$B$38="pvp",15,MAX(0.1,Skills!D11-IF(Skills!E11=TRUE,3.0,0))))+1)),0)</f>
        <v/>
      </c>
      <c r="S3111">
        <f>IFERROR((H3111*N3111*IF(AND(Inputs!$B$38&lt;&gt;"pvp",Inputs!$B$43&gt;0),((Skills!G11*((R3111-1)*IF(Skills!H11&gt;0,Skills!I11/Skills!H11,1)+IF(Skills!H11&gt;0,MIN(Skills!I11,MAX(0,MAX(0,Inputs!$B$43-B3139)-((R3111-1)*IF(Inputs!$B$38="pvp",15,MAX(0.1,Skills!D11-IF(Skills!E11=TRUE,3.0,0))))))/Skills!H11,1)))/Inputs!$B$43),G3111*Q3111))/N3111*IF(Inputs!$B$38="pvp",1,(1-Summary!$B$11)*1+Summary!$B$11*(MIN(Skills!R11,Inputs!$B$37))),0)</f>
        <v/>
      </c>
      <c r="T3111">
        <f>IF(C3111,(H3111*N3111*IF(AND(Inputs!$B$38&lt;&gt;"pvp",Inputs!$B$43&gt;0),((Skills!G11*((R3111-1)*IF(Skills!H11&gt;0,Skills!I11/Skills!H11,1)+IF(Skills!H11&gt;0,MIN(Skills!I11,MAX(0,MAX(0,Inputs!$B$43-B3139)-((R3111-1)*IF(Inputs!$B$38="pvp",15,MAX(0.1,Skills!D11-IF(Skills!E11=TRUE,3.0,0))))))/Skills!H11,1)))/Inputs!$B$43),G3111*Q3111))*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Hunt"),CHOOSE(ArtifactsInput!$N$35+1,15,18,21,24,27,30)*(1-EXP(-(0.2*B3134)*5)),0)+IF(AND(ArtifactsInput!$M$22,Inputs!$B$4&lt;&gt;"Chapter Hunt"),CHOOSE(ArtifactsInput!$N$22+1,10,12,14,16,18,20)*((0*(((0.15*B3134*5))^0/1)+1*(((0.15*B3134*5))^1/1)+2*(((0.15*B3134*5))^2/2)+3*(((0.15*B3134*5))^3/6)+4*(((0.15*B3134*5))^4/24)+5*(((0.15*B3134*5))^5/120))/((((0.15*B3134*5))^0/1)+(((0.15*B3134*5))^1/1)+(((0.15*B3134*5))^2/2)+(((0.15*B3134*5))^3/6)+(((0.15*B3134*5))^4/24)+(((0.15*B3134*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3111*(1-MIN(100,(Inputs!$B$9+((C3119=TRUE)*(F3119-Calc!F19))+B3132+(ArtifactsInput!$M$24-ArtifactsInput!$M$24)*CHOOSE(ArtifactsInput!$N$24+1,10,12,14,16,18,20)+(IF(AND(ArtifactsInput!$M$42,((Inputs!$B$9+((C3119=TRUE)*(F3119-Calc!F19))+B3132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3111*(MIN(100,(Inputs!$B$9+((C3119=TRUE)*(F3119-Calc!F19))+B3132+(ArtifactsInput!$M$24-ArtifactsInput!$M$24)*CHOOSE(ArtifactsInput!$N$24+1,10,12,14,16,18,20)+(IF(AND(ArtifactsInput!$M$42,((Inputs!$B$9+((C3119=TRUE)*(F3119-Calc!F19))+B3132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3111*(1-MIN(100,(Inputs!$B$9+((C3119=TRUE)*(F3119-Calc!F19))+B3132+(ArtifactsInput!$M$24-ArtifactsInput!$M$24)*CHOOSE(ArtifactsInput!$N$24+1,10,12,14,16,18,20)+(IF(AND(ArtifactsInput!$M$42,((Inputs!$B$9+((C3119=TRUE)*(F3119-Calc!F19))+B3132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3111*(MIN(100,(Inputs!$B$9+((C3119=TRUE)*(F3119-Calc!F19))+B3132+(ArtifactsInput!$M$24-ArtifactsInput!$M$24)*CHOOSE(ArtifactsInput!$N$24+1,10,12,14,16,18,20)+(IF(AND(ArtifactsInput!$M$42,((Inputs!$B$9+((C3119=TRUE)*(F3119-Calc!F19))+B3132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111">
        <f>IF(C3111,(H3111*N3111*IF(AND(Inputs!$B$38&lt;&gt;"pvp",Inputs!$B$43&gt;0),((Skills!G11*((R3111-1)*IF(Skills!H11&gt;0,Skills!I11/Skills!H11,1)+IF(Skills!H11&gt;0,MIN(Skills!I11,MAX(0,MAX(0,Inputs!$B$43-B3139)-((R3111-1)*IF(Inputs!$B$38="pvp",15,MAX(0.1,Skills!D11-IF(Skills!E11=TRUE,3.0,0))))))/Skills!H11,1)))/Inputs!$B$43),G3111*Q3111))*IF(Inputs!$B$38="pvp",1,(1+(Inputs!$B$21+Skills!Q11+(IF(ArtifactsInput!$M$33,CHOOSE(ArtifactsInput!$N$33+1,30,36,42,48,54,60),0))+(IF(AND(ArtifactsInput!$M$35,Inputs!$B$4&lt;&gt;"Chapter Hunt"),CHOOSE(ArtifactsInput!$N$35+1,15,18,21,24,27,30)*(1-EXP(-(0.2*B3134)*5)),0)+IF(AND(ArtifactsInput!$M$22,Inputs!$B$4&lt;&gt;"Chapter Hunt"),CHOOSE(ArtifactsInput!$N$22+1,10,12,14,16,18,20)*((0*(((0.15*B3134*5))^0/1)+1*(((0.15*B3134*5))^1/1)+2*(((0.15*B3134*5))^2/2)+3*(((0.15*B3134*5))^3/6)+4*(((0.15*B3134*5))^4/24)+5*(((0.15*B3134*5))^5/120))/((((0.15*B3134*5))^0/1)+(((0.15*B3134*5))^1/1)+(((0.15*B3134*5))^2/2)+(((0.15*B3134*5))^3/6)+(((0.15*B3134*5))^4/24)+(((0.15*B3134*5))^5/120))),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112">
      <c r="A3112">
        <f>Skills!A12</f>
        <v/>
      </c>
      <c r="B3112">
        <f>Skills!B12</f>
        <v/>
      </c>
      <c r="C3112">
        <f>Inputs!$B$3&gt;=60</f>
        <v/>
      </c>
      <c r="D3112">
        <f>IF(Skills!C12=1,60+Inputs!$B$25+Inputs!$B$29,IF(Skills!C12=2,90+Inputs!$B$26+Inputs!$B$29,IF(Skills!C12=3,120+Inputs!$B$27+Inputs!$B$29,MAX(0,(Inputs!$B$3-100)*3)+Inputs!$B$28+Inputs!$B$29)))</f>
        <v/>
      </c>
      <c r="E3112">
        <f>INDEX(FactorTable!$B$2:$Y$301, MATCH(ROUND(MIN(300,MAX(1,D3112)),0), FactorTable!$A$2:$A$301,0), Skills!M12+1)</f>
        <v/>
      </c>
      <c r="F3112">
        <f>IF(Skills!N12=TRUE,(Skills!L12/10)*(E3112/1000),Skills!L12/10)+Skills!O12</f>
        <v/>
      </c>
      <c r="G3112">
        <f>Skills!G12*IF(Skills!H12&gt;0,Skills!I12/Skills!H12,1)</f>
        <v/>
      </c>
      <c r="H3112">
        <f>1-(1-Skills!J12/100)^Skills!K12</f>
        <v/>
      </c>
      <c r="I3112" t="inlineStr">
        <is>
          <t>1</t>
        </is>
      </c>
      <c r="J3112" t="inlineStr"/>
      <c r="K3112" t="inlineStr"/>
      <c r="L3112" t="inlineStr"/>
      <c r="M3112" t="inlineStr"/>
      <c r="N3112" t="inlineStr"/>
      <c r="O3112">
        <f>(1-Summary!$B$11)*T3112+Summary!$B$11*V3112</f>
        <v/>
      </c>
      <c r="P3112">
        <f>IF(B3142=0,0,O3112/B3142)</f>
        <v/>
      </c>
      <c r="Q3112" t="n">
        <v>0</v>
      </c>
      <c r="R3112" t="n">
        <v>0</v>
      </c>
      <c r="S3112" t="n">
        <v>0</v>
      </c>
      <c r="T3112" t="n">
        <v>0</v>
      </c>
      <c r="V3112" t="n">
        <v>0</v>
      </c>
    </row>
    <row r="3113">
      <c r="A3113">
        <f>Skills!A13</f>
        <v/>
      </c>
      <c r="B3113">
        <f>Skills!B13</f>
        <v/>
      </c>
      <c r="C3113">
        <f>Inputs!$B$3&gt;=74</f>
        <v/>
      </c>
      <c r="D3113">
        <f>IF(Skills!C13=1,60+Inputs!$B$25+Inputs!$B$29,IF(Skills!C13=2,90+Inputs!$B$26+Inputs!$B$29,IF(Skills!C13=3,120+Inputs!$B$27+Inputs!$B$29,MAX(0,(Inputs!$B$3-100)*3)+Inputs!$B$28+Inputs!$B$29)))</f>
        <v/>
      </c>
      <c r="E3113">
        <f>INDEX(FactorTable!$B$2:$Y$301, MATCH(ROUND(MIN(300,MAX(1,D3113)),0), FactorTable!$A$2:$A$301,0), Skills!M13+1)</f>
        <v/>
      </c>
      <c r="F3113">
        <f>IF(Skills!N13=TRUE,(Skills!L13/10)*(E3113/1000),Skills!L13/10)+Skills!O13</f>
        <v/>
      </c>
      <c r="G3113">
        <f>Skills!G13*IF(Skills!H13&gt;0,Skills!I13/Skills!H13,1)</f>
        <v/>
      </c>
      <c r="H3113">
        <f>1-(1-Skills!J13/100)^Skills!K13</f>
        <v/>
      </c>
      <c r="I3113" t="inlineStr">
        <is>
          <t>1</t>
        </is>
      </c>
      <c r="J3113" t="inlineStr"/>
      <c r="K3113" t="inlineStr"/>
      <c r="L3113" t="inlineStr"/>
      <c r="M3113" t="inlineStr"/>
      <c r="N3113" t="inlineStr"/>
      <c r="O3113">
        <f>(1-Summary!$B$11)*T3113+Summary!$B$11*V3113</f>
        <v/>
      </c>
      <c r="P3113">
        <f>IF(B3142=0,0,O3113/B3142)</f>
        <v/>
      </c>
      <c r="Q3113" t="n">
        <v>0</v>
      </c>
      <c r="R3113" t="n">
        <v>0</v>
      </c>
      <c r="S3113" t="n">
        <v>0</v>
      </c>
      <c r="T3113" t="n">
        <v>0</v>
      </c>
      <c r="V3113" t="n">
        <v>0</v>
      </c>
    </row>
    <row r="3114">
      <c r="A3114">
        <f>Skills!A14</f>
        <v/>
      </c>
      <c r="B3114">
        <f>Skills!B14</f>
        <v/>
      </c>
      <c r="C3114">
        <f>Inputs!$B$3&gt;=74</f>
        <v/>
      </c>
      <c r="D3114">
        <f>IF(Skills!C14=1,60+Inputs!$B$25+Inputs!$B$29,IF(Skills!C14=2,90+Inputs!$B$26+Inputs!$B$29,IF(Skills!C14=3,120+Inputs!$B$27+Inputs!$B$29,MAX(0,(Inputs!$B$3-100)*3)+Inputs!$B$28+Inputs!$B$29)))</f>
        <v/>
      </c>
      <c r="E3114">
        <f>INDEX(FactorTable!$B$2:$Y$301, MATCH(ROUND(MIN(300,MAX(1,D3114)),0), FactorTable!$A$2:$A$301,0), Skills!M14+1)</f>
        <v/>
      </c>
      <c r="F3114">
        <f>IF(Skills!N14=TRUE,(Skills!L14/10)*(E3114/1000),Skills!L14/10)+Skills!O14</f>
        <v/>
      </c>
      <c r="G3114">
        <f>Skills!G14*IF(Skills!H14&gt;0,Skills!I14/Skills!H14,1)</f>
        <v/>
      </c>
      <c r="H3114">
        <f>1-(1-Skills!J14/100)^Skills!K14</f>
        <v/>
      </c>
      <c r="I3114" t="inlineStr">
        <is>
          <t>1</t>
        </is>
      </c>
      <c r="J3114" t="inlineStr"/>
      <c r="K3114" t="inlineStr"/>
      <c r="L3114" t="inlineStr"/>
      <c r="M3114" t="inlineStr"/>
      <c r="N3114" t="inlineStr"/>
      <c r="O3114">
        <f>(1-Summary!$B$11)*T3114+Summary!$B$11*V3114</f>
        <v/>
      </c>
      <c r="P3114">
        <f>IF(B3142=0,0,O3114/B3142)</f>
        <v/>
      </c>
      <c r="Q3114" t="n">
        <v>0</v>
      </c>
      <c r="R3114" t="n">
        <v>0</v>
      </c>
      <c r="S3114" t="n">
        <v>0</v>
      </c>
      <c r="T3114" t="n">
        <v>0</v>
      </c>
      <c r="V3114" t="n">
        <v>0</v>
      </c>
    </row>
    <row r="3115">
      <c r="A3115">
        <f>Skills!A15</f>
        <v/>
      </c>
      <c r="B3115">
        <f>Skills!B15</f>
        <v/>
      </c>
      <c r="C3115">
        <f>Inputs!$B$3&gt;=117</f>
        <v/>
      </c>
      <c r="D3115">
        <f>IF(Skills!C15=1,60+Inputs!$B$25+Inputs!$B$29,IF(Skills!C15=2,90+Inputs!$B$26+Inputs!$B$29,IF(Skills!C15=3,120+Inputs!$B$27+Inputs!$B$29,MAX(0,(Inputs!$B$3-100)*3)+Inputs!$B$28+Inputs!$B$29)))</f>
        <v/>
      </c>
      <c r="E3115">
        <f>INDEX(FactorTable!$B$2:$Y$301, MATCH(ROUND(MIN(300,MAX(1,D3115)),0), FactorTable!$A$2:$A$301,0), Skills!M15+1)</f>
        <v/>
      </c>
      <c r="F3115">
        <f>IF(Skills!N15=TRUE,(Skills!L15/10)*(E3115/1000),Skills!L15/10)+Skills!O15</f>
        <v/>
      </c>
      <c r="G3115">
        <f>Skills!G15*IF(Skills!H15&gt;0,Skills!I15/Skills!H15,1)</f>
        <v/>
      </c>
      <c r="H3115">
        <f>1-(1-Skills!J15/100)^Skills!K15</f>
        <v/>
      </c>
      <c r="I3115" t="inlineStr">
        <is>
          <t>1</t>
        </is>
      </c>
      <c r="J3115" t="inlineStr"/>
      <c r="K3115" t="inlineStr"/>
      <c r="L3115" t="inlineStr"/>
      <c r="M3115" t="inlineStr"/>
      <c r="N3115" t="inlineStr"/>
      <c r="O3115">
        <f>(1-Summary!$B$11)*T3115+Summary!$B$11*V3115</f>
        <v/>
      </c>
      <c r="P3115">
        <f>IF(B3142=0,0,O3115/B3142)</f>
        <v/>
      </c>
      <c r="Q3115">
        <f>IFERROR(1/IF(Inputs!$B$38="pvp",15,MAX(0.1,Skills!D15-IF(Skills!E15=TRUE,3.0,0))),0)</f>
        <v/>
      </c>
      <c r="R3115">
        <f>IF(AND(Inputs!$B$38&lt;&gt;"pvp",Inputs!$B$43&gt;0),IF(Inputs!$B$43&lt;=0,0,(INT(Inputs!$B$43/IF(Inputs!$B$38="pvp",15,MAX(0.1,Skills!D15-IF(Skills!E15=TRUE,3.0,0))))+1)),0)</f>
        <v/>
      </c>
      <c r="S3115" t="n">
        <v>0</v>
      </c>
      <c r="T3115" t="n">
        <v>0</v>
      </c>
      <c r="V3115" t="n">
        <v>0</v>
      </c>
    </row>
    <row r="3116">
      <c r="A3116">
        <f>Skills!A16</f>
        <v/>
      </c>
      <c r="B3116">
        <f>Skills!B16</f>
        <v/>
      </c>
      <c r="C3116">
        <f>Inputs!$B$3&gt;=115</f>
        <v/>
      </c>
      <c r="D3116">
        <f>IF(Skills!C16=1,60+Inputs!$B$25+Inputs!$B$29,IF(Skills!C16=2,90+Inputs!$B$26+Inputs!$B$29,IF(Skills!C16=3,120+Inputs!$B$27+Inputs!$B$29,MAX(0,(Inputs!$B$3-100)*3)+Inputs!$B$28+Inputs!$B$29)))</f>
        <v/>
      </c>
      <c r="E3116">
        <f>INDEX(FactorTable!$B$2:$Y$301, MATCH(ROUND(MIN(300,MAX(1,D3116)),0), FactorTable!$A$2:$A$301,0), Skills!M16+1)</f>
        <v/>
      </c>
      <c r="F3116">
        <f>IF(Skills!N16=TRUE,(Skills!L16/10)*(E3116/1000),Skills!L16/10)+Skills!O16</f>
        <v/>
      </c>
      <c r="G3116">
        <f>Skills!G16*IF(Skills!H16&gt;0,Skills!I16/Skills!H16,1)</f>
        <v/>
      </c>
      <c r="H3116">
        <f>1-(1-Skills!J16/100)^Skills!K16</f>
        <v/>
      </c>
      <c r="I3116" t="inlineStr">
        <is>
          <t>1</t>
        </is>
      </c>
      <c r="J3116" t="inlineStr"/>
      <c r="K3116" t="inlineStr"/>
      <c r="L3116" t="inlineStr"/>
      <c r="M3116" t="inlineStr"/>
      <c r="N3116" t="inlineStr"/>
      <c r="O3116">
        <f>(1-Summary!$B$11)*T3116+Summary!$B$11*V3116</f>
        <v/>
      </c>
      <c r="P3116">
        <f>IF(B3142=0,0,O3116/B3142)</f>
        <v/>
      </c>
      <c r="Q3116">
        <f>IFERROR(1/IF(Inputs!$B$38="pvp",15,MAX(0.1,Skills!D16-IF(Skills!E16=TRUE,3.0,0))),0)</f>
        <v/>
      </c>
      <c r="R3116">
        <f>IF(AND(Inputs!$B$38&lt;&gt;"pvp",Inputs!$B$43&gt;0),IF(Inputs!$B$43&lt;=0,0,(INT(Inputs!$B$43/IF(Inputs!$B$38="pvp",15,MAX(0.1,Skills!D16-IF(Skills!E16=TRUE,3.0,0))))+1)),0)</f>
        <v/>
      </c>
      <c r="S3116" t="n">
        <v>0</v>
      </c>
      <c r="T3116" t="n">
        <v>0</v>
      </c>
      <c r="V3116" t="n">
        <v>0</v>
      </c>
    </row>
    <row r="3117">
      <c r="A3117">
        <f>Skills!A17</f>
        <v/>
      </c>
      <c r="B3117">
        <f>Skills!B17</f>
        <v/>
      </c>
      <c r="C3117">
        <f>Inputs!$B$3&gt;=72</f>
        <v/>
      </c>
      <c r="D3117">
        <f>IF(Skills!C17=1,60+Inputs!$B$25+Inputs!$B$29,IF(Skills!C17=2,90+Inputs!$B$26+Inputs!$B$29,IF(Skills!C17=3,120+Inputs!$B$27+Inputs!$B$29,MAX(0,(Inputs!$B$3-100)*3)+Inputs!$B$28+Inputs!$B$29)))</f>
        <v/>
      </c>
      <c r="E3117">
        <f>INDEX(FactorTable!$B$2:$Y$301, MATCH(ROUND(MIN(300,MAX(1,D3117)),0), FactorTable!$A$2:$A$301,0), Skills!M17+1)</f>
        <v/>
      </c>
      <c r="F3117">
        <f>IF(Skills!N17=TRUE,(Skills!L17/10)*(E3117/1000),Skills!L17/10)+Skills!O17</f>
        <v/>
      </c>
      <c r="G3117">
        <f>Skills!G17*IF(Skills!H17&gt;0,Skills!I17/Skills!H17,1)</f>
        <v/>
      </c>
      <c r="H3117">
        <f>1-(1-Skills!J17/100)^Skills!K17</f>
        <v/>
      </c>
      <c r="I3117" t="inlineStr">
        <is>
          <t>1</t>
        </is>
      </c>
      <c r="J3117" t="inlineStr"/>
      <c r="K3117" t="inlineStr"/>
      <c r="L3117" t="inlineStr"/>
      <c r="M3117" t="inlineStr"/>
      <c r="N3117" t="inlineStr"/>
      <c r="O3117">
        <f>(1-Summary!$B$11)*T3117+Summary!$B$11*V3117</f>
        <v/>
      </c>
      <c r="P3117">
        <f>IF(B3142=0,0,O3117/B3142)</f>
        <v/>
      </c>
      <c r="Q3117" t="n">
        <v>0</v>
      </c>
      <c r="R3117" t="n">
        <v>0</v>
      </c>
      <c r="S3117" t="n">
        <v>0</v>
      </c>
      <c r="T3117" t="n">
        <v>0</v>
      </c>
      <c r="V3117" t="n">
        <v>0</v>
      </c>
    </row>
    <row r="3118">
      <c r="A3118">
        <f>Skills!A18</f>
        <v/>
      </c>
      <c r="B3118">
        <f>Skills!B18</f>
        <v/>
      </c>
      <c r="C3118">
        <f>TRUE</f>
        <v/>
      </c>
      <c r="D3118">
        <f>IF(Skills!C18=1,60+Inputs!$B$25+Inputs!$B$29,IF(Skills!C18=2,90+Inputs!$B$26+Inputs!$B$29,IF(Skills!C18=3,120+Inputs!$B$27+Inputs!$B$29,MAX(0,(Inputs!$B$3-100)*3)+Inputs!$B$28+Inputs!$B$29)))</f>
        <v/>
      </c>
      <c r="E3118">
        <f>INDEX(FactorTable!$B$2:$Y$301, MATCH(ROUND(MIN(300,MAX(1,D3118)),0), FactorTable!$A$2:$A$301,0), Skills!M18+1)</f>
        <v/>
      </c>
      <c r="F3118">
        <f>IF(Skills!N18=TRUE,(Skills!L18/10)*(E3118/1000),Skills!L18/10)+Skills!O18</f>
        <v/>
      </c>
      <c r="G3118">
        <f>Skills!G18*IF(Skills!H18&gt;0,Skills!I18/Skills!H18,1)</f>
        <v/>
      </c>
      <c r="H3118">
        <f>1-(1-Skills!J18/100)^Skills!K18</f>
        <v/>
      </c>
      <c r="I3118" t="inlineStr">
        <is>
          <t>1</t>
        </is>
      </c>
      <c r="J3118" t="inlineStr"/>
      <c r="K3118" t="inlineStr"/>
      <c r="L3118" t="inlineStr"/>
      <c r="M3118" t="inlineStr"/>
      <c r="N3118" t="inlineStr"/>
      <c r="O3118">
        <f>(1-Summary!$B$11)*T3118+Summary!$B$11*V3118</f>
        <v/>
      </c>
      <c r="P3118">
        <f>IF(B3142=0,0,O3118/B3142)</f>
        <v/>
      </c>
      <c r="Q3118">
        <f>IFERROR(1/IF(Inputs!$B$38="pvp",15,MAX(0.1,Skills!D18-IF(Skills!E18=TRUE,3.0,0))),0)</f>
        <v/>
      </c>
      <c r="R3118">
        <f>IF(AND(Inputs!$B$38&lt;&gt;"pvp",Inputs!$B$43&gt;0),IF(Inputs!$B$43&lt;=0,0,(INT(Inputs!$B$43/IF(Inputs!$B$38="pvp",15,MAX(0.1,Skills!D18-IF(Skills!E18=TRUE,3.0,0))))+1)),0)</f>
        <v/>
      </c>
      <c r="S3118" t="n">
        <v>0</v>
      </c>
      <c r="T3118" t="n">
        <v>0</v>
      </c>
      <c r="V3118" t="n">
        <v>0</v>
      </c>
    </row>
    <row r="3119">
      <c r="A3119">
        <f>Skills!A19</f>
        <v/>
      </c>
      <c r="B3119">
        <f>Skills!B19</f>
        <v/>
      </c>
      <c r="C3119">
        <f>Inputs!$B$3&gt;=15</f>
        <v/>
      </c>
      <c r="D3119">
        <f>IF(Skills!C19=1,60+Inputs!$B$25+Inputs!$B$29,IF(Skills!C19=2,90+Inputs!$B$26+Inputs!$B$29,IF(Skills!C19=3,120+Inputs!$B$27+Inputs!$B$29,MAX(0,(Inputs!$B$3-100)*3)+Inputs!$B$28+Inputs!$B$29)))</f>
        <v/>
      </c>
      <c r="E3119">
        <f>INDEX(FactorTable!$B$2:$Y$301, MATCH(ROUND(MIN(300,MAX(1,D3119)),0), FactorTable!$A$2:$A$301,0), Skills!M19+1)</f>
        <v/>
      </c>
      <c r="F3119">
        <f>IF(Skills!N19=TRUE,(Skills!L19/10)*(E3119/1000),Skills!L19/10)+Skills!O19</f>
        <v/>
      </c>
      <c r="G3119">
        <f>Skills!G19*IF(Skills!H19&gt;0,Skills!I19/Skills!H19,1)</f>
        <v/>
      </c>
      <c r="H3119">
        <f>1-(1-Skills!J19/100)^Skills!K19</f>
        <v/>
      </c>
      <c r="I3119" t="inlineStr">
        <is>
          <t>1</t>
        </is>
      </c>
      <c r="J3119" t="inlineStr"/>
      <c r="K3119" t="inlineStr"/>
      <c r="L3119" t="inlineStr"/>
      <c r="M3119" t="inlineStr"/>
      <c r="N3119" t="inlineStr"/>
      <c r="O3119">
        <f>(1-Summary!$B$11)*T3119+Summary!$B$11*V3119</f>
        <v/>
      </c>
      <c r="P3119">
        <f>IF(B3142=0,0,O3119/B3142)</f>
        <v/>
      </c>
      <c r="Q3119" t="n">
        <v>0</v>
      </c>
      <c r="R3119" t="n">
        <v>0</v>
      </c>
      <c r="S3119" t="n">
        <v>0</v>
      </c>
      <c r="T3119" t="n">
        <v>0</v>
      </c>
      <c r="V3119" t="n">
        <v>0</v>
      </c>
    </row>
    <row r="3120">
      <c r="A3120">
        <f>Skills!A20</f>
        <v/>
      </c>
      <c r="B3120">
        <f>Skills!B20</f>
        <v/>
      </c>
      <c r="C3120">
        <f>Inputs!$B$3&gt;=10</f>
        <v/>
      </c>
      <c r="D3120">
        <f>IF(Skills!C20=1,60+Inputs!$B$25+Inputs!$B$29,IF(Skills!C20=2,90+Inputs!$B$26+Inputs!$B$29,IF(Skills!C20=3,120+Inputs!$B$27+Inputs!$B$29,MAX(0,(Inputs!$B$3-100)*3)+Inputs!$B$28+Inputs!$B$29)))</f>
        <v/>
      </c>
      <c r="E3120">
        <f>INDEX(FactorTable!$B$2:$Y$301, MATCH(ROUND(MIN(300,MAX(1,D3120)),0), FactorTable!$A$2:$A$301,0), Skills!M20+1)</f>
        <v/>
      </c>
      <c r="F3120">
        <f>IF(Skills!N20=TRUE,(Skills!L20/10)*(E3120/1000),Skills!L20/10)+Skills!O20</f>
        <v/>
      </c>
      <c r="G3120">
        <f>Skills!G20*IF(Skills!H20&gt;0,Skills!I20/Skills!H20,1)</f>
        <v/>
      </c>
      <c r="H3120">
        <f>1-(1-Skills!J20/100)^Skills!K20</f>
        <v/>
      </c>
      <c r="I3120" t="inlineStr">
        <is>
          <t>1</t>
        </is>
      </c>
      <c r="J3120" t="inlineStr"/>
      <c r="K3120" t="inlineStr"/>
      <c r="L3120" t="inlineStr"/>
      <c r="M3120" t="inlineStr"/>
      <c r="N3120" t="inlineStr"/>
      <c r="O3120">
        <f>(1-Summary!$B$11)*T3120+Summary!$B$11*V3120</f>
        <v/>
      </c>
      <c r="P3120">
        <f>IF(B3142=0,0,O3120/B3142)</f>
        <v/>
      </c>
      <c r="Q3120" t="n">
        <v>0</v>
      </c>
      <c r="R3120" t="n">
        <v>0</v>
      </c>
      <c r="S3120" t="n">
        <v>0</v>
      </c>
      <c r="T3120" t="n">
        <v>0</v>
      </c>
      <c r="V3120" t="n">
        <v>0</v>
      </c>
    </row>
    <row r="3121">
      <c r="A3121">
        <f>Skills!A21</f>
        <v/>
      </c>
      <c r="B3121">
        <f>Skills!B21</f>
        <v/>
      </c>
      <c r="C3121">
        <f>Inputs!$B$3&gt;=33</f>
        <v/>
      </c>
      <c r="D3121">
        <f>IF(Skills!C21=1,60+Inputs!$B$25+Inputs!$B$29,IF(Skills!C21=2,90+Inputs!$B$26+Inputs!$B$29,IF(Skills!C21=3,120+Inputs!$B$27+Inputs!$B$29,MAX(0,(Inputs!$B$3-100)*3)+Inputs!$B$28+Inputs!$B$29)))</f>
        <v/>
      </c>
      <c r="E3121">
        <f>INDEX(FactorTable!$B$2:$Y$301, MATCH(ROUND(MIN(300,MAX(1,D3121)),0), FactorTable!$A$2:$A$301,0), Skills!M21+1)</f>
        <v/>
      </c>
      <c r="F3121">
        <f>IF(Skills!N21=TRUE,(Skills!L21/10)*(E3121/1000),Skills!L21/10)+Skills!O21</f>
        <v/>
      </c>
      <c r="G3121">
        <f>Skills!G21*IF(Skills!H21&gt;0,Skills!I21/Skills!H21,1)</f>
        <v/>
      </c>
      <c r="H3121">
        <f>1-(1-Skills!J21/100)^Skills!K21</f>
        <v/>
      </c>
      <c r="I3121" t="inlineStr">
        <is>
          <t>1</t>
        </is>
      </c>
      <c r="J3121" t="inlineStr"/>
      <c r="K3121" t="inlineStr"/>
      <c r="L3121" t="inlineStr"/>
      <c r="M3121" t="inlineStr"/>
      <c r="N3121" t="inlineStr"/>
      <c r="O3121">
        <f>(1-Summary!$B$11)*T3121+Summary!$B$11*V3121</f>
        <v/>
      </c>
      <c r="P3121">
        <f>IF(B3142=0,0,O3121/B3142)</f>
        <v/>
      </c>
      <c r="Q3121" t="n">
        <v>0</v>
      </c>
      <c r="R3121" t="n">
        <v>0</v>
      </c>
      <c r="S3121" t="n">
        <v>0</v>
      </c>
      <c r="T3121" t="n">
        <v>0</v>
      </c>
      <c r="V3121" t="n">
        <v>0</v>
      </c>
    </row>
    <row r="3122">
      <c r="A3122">
        <f>Skills!A22</f>
        <v/>
      </c>
      <c r="B3122">
        <f>Skills!B22</f>
        <v/>
      </c>
      <c r="C3122">
        <f>Inputs!$B$3&gt;=38</f>
        <v/>
      </c>
      <c r="D3122">
        <f>IF(Skills!C22=1,60+Inputs!$B$25+Inputs!$B$29,IF(Skills!C22=2,90+Inputs!$B$26+Inputs!$B$29,IF(Skills!C22=3,120+Inputs!$B$27+Inputs!$B$29,MAX(0,(Inputs!$B$3-100)*3)+Inputs!$B$28+Inputs!$B$29)))</f>
        <v/>
      </c>
      <c r="E3122">
        <f>INDEX(FactorTable!$B$2:$Y$301, MATCH(ROUND(MIN(300,MAX(1,D3122)),0), FactorTable!$A$2:$A$301,0), Skills!M22+1)</f>
        <v/>
      </c>
      <c r="F3122">
        <f>IF(Skills!N22=TRUE,(Skills!L22/10)*(E3122/1000),Skills!L22/10)+Skills!O22</f>
        <v/>
      </c>
      <c r="G3122">
        <f>Skills!G22*IF(Skills!H22&gt;0,Skills!I22/Skills!H22,1)</f>
        <v/>
      </c>
      <c r="H3122">
        <f>1-(1-Skills!J22/100)^Skills!K22</f>
        <v/>
      </c>
      <c r="I3122" t="inlineStr">
        <is>
          <t>1</t>
        </is>
      </c>
      <c r="J3122" t="inlineStr"/>
      <c r="K3122" t="inlineStr"/>
      <c r="L3122" t="inlineStr"/>
      <c r="M3122" t="inlineStr"/>
      <c r="N3122" t="inlineStr"/>
      <c r="O3122">
        <f>(1-Summary!$B$11)*T3122+Summary!$B$11*V3122</f>
        <v/>
      </c>
      <c r="P3122">
        <f>IF(B3142=0,0,O3122/B3142)</f>
        <v/>
      </c>
      <c r="Q3122" t="n">
        <v>0</v>
      </c>
      <c r="R3122" t="n">
        <v>0</v>
      </c>
      <c r="S3122" t="n">
        <v>0</v>
      </c>
      <c r="T3122" t="n">
        <v>0</v>
      </c>
      <c r="V3122" t="n">
        <v>0</v>
      </c>
    </row>
    <row r="3123">
      <c r="A3123">
        <f>Skills!A23</f>
        <v/>
      </c>
      <c r="B3123">
        <f>Skills!B23</f>
        <v/>
      </c>
      <c r="C3123">
        <f>Inputs!$B$3&gt;=43</f>
        <v/>
      </c>
      <c r="D3123">
        <f>IF(Skills!C23=1,60+Inputs!$B$25+Inputs!$B$29,IF(Skills!C23=2,90+Inputs!$B$26+Inputs!$B$29,IF(Skills!C23=3,120+Inputs!$B$27+Inputs!$B$29,MAX(0,(Inputs!$B$3-100)*3)+Inputs!$B$28+Inputs!$B$29)))</f>
        <v/>
      </c>
      <c r="E3123">
        <f>INDEX(FactorTable!$B$2:$Y$301, MATCH(ROUND(MIN(300,MAX(1,D3123)),0), FactorTable!$A$2:$A$301,0), Skills!M23+1)</f>
        <v/>
      </c>
      <c r="F3123">
        <f>IF(Skills!N23=TRUE,(Skills!L23/10)*(E3123/1000),Skills!L23/10)+Skills!O23</f>
        <v/>
      </c>
      <c r="G3123">
        <f>Skills!G23*IF(Skills!H23&gt;0,Skills!I23/Skills!H23,1)</f>
        <v/>
      </c>
      <c r="H3123">
        <f>1-(1-Skills!J23/100)^Skills!K23</f>
        <v/>
      </c>
      <c r="I3123" t="inlineStr">
        <is>
          <t>1</t>
        </is>
      </c>
      <c r="J3123" t="inlineStr"/>
      <c r="K3123" t="inlineStr"/>
      <c r="L3123" t="inlineStr"/>
      <c r="M3123" t="inlineStr"/>
      <c r="N3123" t="inlineStr"/>
      <c r="O3123">
        <f>(1-Summary!$B$11)*T3123+Summary!$B$11*V3123</f>
        <v/>
      </c>
      <c r="P3123">
        <f>IF(B3142=0,0,O3123/B3142)</f>
        <v/>
      </c>
      <c r="Q3123" t="n">
        <v>0</v>
      </c>
      <c r="R3123" t="n">
        <v>0</v>
      </c>
      <c r="S3123" t="n">
        <v>0</v>
      </c>
      <c r="T3123" t="n">
        <v>0</v>
      </c>
      <c r="V3123" t="n">
        <v>0</v>
      </c>
    </row>
    <row r="3124">
      <c r="A3124">
        <f>Skills!A24</f>
        <v/>
      </c>
      <c r="B3124">
        <f>Skills!B24</f>
        <v/>
      </c>
      <c r="C3124">
        <f>Inputs!$B$3&gt;=75</f>
        <v/>
      </c>
      <c r="D3124">
        <f>IF(Skills!C24=1,60+Inputs!$B$25+Inputs!$B$29,IF(Skills!C24=2,90+Inputs!$B$26+Inputs!$B$29,IF(Skills!C24=3,120+Inputs!$B$27+Inputs!$B$29,MAX(0,(Inputs!$B$3-100)*3)+Inputs!$B$28+Inputs!$B$29)))</f>
        <v/>
      </c>
      <c r="E3124">
        <f>INDEX(FactorTable!$B$2:$Y$301, MATCH(ROUND(MIN(300,MAX(1,D3124)),0), FactorTable!$A$2:$A$301,0), Skills!M24+1)</f>
        <v/>
      </c>
      <c r="F3124">
        <f>IF(Skills!N24=TRUE,(Skills!L24/10)*(E3124/1000),Skills!L24/10)+Skills!O24</f>
        <v/>
      </c>
      <c r="G3124">
        <f>Skills!G24*IF(Skills!H24&gt;0,Skills!I24/Skills!H24,1)</f>
        <v/>
      </c>
      <c r="H3124">
        <f>1-(1-Skills!J24/100)^Skills!K24</f>
        <v/>
      </c>
      <c r="I3124" t="inlineStr">
        <is>
          <t>1</t>
        </is>
      </c>
      <c r="J3124" t="inlineStr"/>
      <c r="K3124" t="inlineStr"/>
      <c r="L3124" t="inlineStr"/>
      <c r="M3124" t="inlineStr"/>
      <c r="N3124" t="inlineStr"/>
      <c r="O3124">
        <f>(1-Summary!$B$11)*T3124+Summary!$B$11*V3124</f>
        <v/>
      </c>
      <c r="P3124">
        <f>IF(B3142=0,0,O3124/B3142)</f>
        <v/>
      </c>
      <c r="Q3124" t="n">
        <v>0</v>
      </c>
      <c r="R3124" t="n">
        <v>0</v>
      </c>
      <c r="S3124" t="n">
        <v>0</v>
      </c>
      <c r="T3124" t="n">
        <v>0</v>
      </c>
      <c r="V3124" t="n">
        <v>0</v>
      </c>
    </row>
    <row r="3125">
      <c r="A3125">
        <f>Skills!A25</f>
        <v/>
      </c>
      <c r="B3125">
        <f>Skills!B25</f>
        <v/>
      </c>
      <c r="C3125">
        <f>Inputs!$B$3&gt;=125</f>
        <v/>
      </c>
      <c r="D3125">
        <f>IF(Skills!C25=1,60+Inputs!$B$25+Inputs!$B$29,IF(Skills!C25=2,90+Inputs!$B$26+Inputs!$B$29,IF(Skills!C25=3,120+Inputs!$B$27+Inputs!$B$29,MAX(0,(Inputs!$B$3-100)*3)+Inputs!$B$28+Inputs!$B$29)))</f>
        <v/>
      </c>
      <c r="E3125">
        <f>INDEX(FactorTable!$B$2:$Y$301, MATCH(ROUND(MIN(300,MAX(1,D3125)),0), FactorTable!$A$2:$A$301,0), Skills!M25+1)</f>
        <v/>
      </c>
      <c r="F3125">
        <f>IF(Skills!N25=TRUE,(Skills!L25/10)*(E3125/1000),Skills!L25/10)+Skills!O25</f>
        <v/>
      </c>
      <c r="G3125">
        <f>Skills!G25*IF(Skills!H25&gt;0,Skills!I25/Skills!H25,1)</f>
        <v/>
      </c>
      <c r="H3125">
        <f>1-(1-Skills!J25/100)^Skills!K25</f>
        <v/>
      </c>
      <c r="I3125" t="inlineStr">
        <is>
          <t>1</t>
        </is>
      </c>
      <c r="J3125" t="inlineStr"/>
      <c r="K3125" t="inlineStr"/>
      <c r="L3125" t="inlineStr"/>
      <c r="M3125" t="inlineStr"/>
      <c r="N3125" t="inlineStr"/>
      <c r="O3125">
        <f>(1-Summary!$B$11)*T3125+Summary!$B$11*V3125</f>
        <v/>
      </c>
      <c r="P3125">
        <f>IF(B3142=0,0,O3125/B3142)</f>
        <v/>
      </c>
      <c r="Q3125" t="n">
        <v>0</v>
      </c>
      <c r="R3125" t="n">
        <v>0</v>
      </c>
      <c r="S3125" t="n">
        <v>0</v>
      </c>
      <c r="T3125" t="n">
        <v>0</v>
      </c>
      <c r="V3125" t="n">
        <v>0</v>
      </c>
    </row>
    <row r="3126">
      <c r="A3126">
        <f>Skills!A26</f>
        <v/>
      </c>
      <c r="B3126">
        <f>Skills!B26</f>
        <v/>
      </c>
      <c r="C3126">
        <f>Inputs!$B$3&gt;=125</f>
        <v/>
      </c>
      <c r="D3126">
        <f>IF(Skills!C26=1,60+Inputs!$B$25+Inputs!$B$29,IF(Skills!C26=2,90+Inputs!$B$26+Inputs!$B$29,IF(Skills!C26=3,120+Inputs!$B$27+Inputs!$B$29,MAX(0,(Inputs!$B$3-100)*3)+Inputs!$B$28+Inputs!$B$29)))</f>
        <v/>
      </c>
      <c r="E3126">
        <f>INDEX(FactorTable!$B$2:$Y$301, MATCH(ROUND(MIN(300,MAX(1,D3126)),0), FactorTable!$A$2:$A$301,0), Skills!M26+1)</f>
        <v/>
      </c>
      <c r="F3126">
        <f>IF(Skills!N26=TRUE,(Skills!L26/10)*(E3126/1000),Skills!L26/10)+Skills!O26</f>
        <v/>
      </c>
      <c r="G3126">
        <f>Skills!G26*IF(Skills!H26&gt;0,Skills!I26/Skills!H26,1)</f>
        <v/>
      </c>
      <c r="H3126">
        <f>1-(1-Skills!J26/100)^Skills!K26</f>
        <v/>
      </c>
      <c r="I3126" t="inlineStr">
        <is>
          <t>1</t>
        </is>
      </c>
      <c r="J3126" t="inlineStr"/>
      <c r="K3126" t="inlineStr"/>
      <c r="L3126" t="inlineStr"/>
      <c r="M3126" t="inlineStr"/>
      <c r="N3126" t="inlineStr"/>
      <c r="O3126">
        <f>(1-Summary!$B$11)*T3126+Summary!$B$11*V3126</f>
        <v/>
      </c>
      <c r="P3126">
        <f>IF(B3142=0,0,O3126/B3142)</f>
        <v/>
      </c>
      <c r="Q3126" t="n">
        <v>0</v>
      </c>
      <c r="R3126" t="n">
        <v>0</v>
      </c>
      <c r="S3126" t="n">
        <v>0</v>
      </c>
      <c r="T3126" t="n">
        <v>0</v>
      </c>
      <c r="V3126" t="n">
        <v>0</v>
      </c>
    </row>
    <row r="3127">
      <c r="A3127">
        <f>Skills!A27</f>
        <v/>
      </c>
      <c r="B3127">
        <f>Skills!B27</f>
        <v/>
      </c>
      <c r="C3127">
        <f>Inputs!$B$3&gt;=120</f>
        <v/>
      </c>
      <c r="D3127">
        <f>IF(Skills!C27=1,60+Inputs!$B$25+Inputs!$B$29,IF(Skills!C27=2,90+Inputs!$B$26+Inputs!$B$29,IF(Skills!C27=3,120+Inputs!$B$27+Inputs!$B$29,MAX(0,(Inputs!$B$3-100)*3)+Inputs!$B$28+Inputs!$B$29)))</f>
        <v/>
      </c>
      <c r="E3127">
        <f>INDEX(FactorTable!$B$2:$Y$301, MATCH(ROUND(MIN(300,MAX(1,D3127)),0), FactorTable!$A$2:$A$301,0), Skills!M27+1)</f>
        <v/>
      </c>
      <c r="F3127">
        <f>IF(Skills!N27=TRUE,(Skills!L27/10)*(E3127/1000),Skills!L27/10)+Skills!O27</f>
        <v/>
      </c>
      <c r="G3127">
        <f>Skills!G27*IF(Skills!H27&gt;0,Skills!I27/Skills!H27,1)</f>
        <v/>
      </c>
      <c r="H3127">
        <f>1-(1-Skills!J27/100)^Skills!K27</f>
        <v/>
      </c>
      <c r="I3127" t="inlineStr">
        <is>
          <t>1</t>
        </is>
      </c>
      <c r="J3127" t="inlineStr"/>
      <c r="K3127" t="inlineStr"/>
      <c r="L3127" t="inlineStr"/>
      <c r="M3127" t="inlineStr"/>
      <c r="N3127" t="inlineStr"/>
      <c r="O3127">
        <f>(1-Summary!$B$11)*T3127+Summary!$B$11*V3127</f>
        <v/>
      </c>
      <c r="P3127">
        <f>IF(B3142=0,0,O3127/B3142)</f>
        <v/>
      </c>
      <c r="Q3127" t="n">
        <v>0</v>
      </c>
      <c r="R3127" t="n">
        <v>0</v>
      </c>
      <c r="S3127" t="n">
        <v>0</v>
      </c>
      <c r="T3127" t="n">
        <v>0</v>
      </c>
      <c r="V3127" t="n">
        <v>0</v>
      </c>
    </row>
    <row r="3128">
      <c r="A3128">
        <f>Skills!A28</f>
        <v/>
      </c>
      <c r="B3128">
        <f>Skills!B28</f>
        <v/>
      </c>
      <c r="C3128">
        <f>Inputs!$B$3&gt;=120</f>
        <v/>
      </c>
      <c r="D3128">
        <f>IF(Skills!C28=1,60+Inputs!$B$25+Inputs!$B$29,IF(Skills!C28=2,90+Inputs!$B$26+Inputs!$B$29,IF(Skills!C28=3,120+Inputs!$B$27+Inputs!$B$29,MAX(0,(Inputs!$B$3-100)*3)+Inputs!$B$28+Inputs!$B$29)))</f>
        <v/>
      </c>
      <c r="E3128">
        <f>INDEX(FactorTable!$B$2:$Y$301, MATCH(ROUND(MIN(300,MAX(1,D3128)),0), FactorTable!$A$2:$A$301,0), Skills!M28+1)</f>
        <v/>
      </c>
      <c r="F3128">
        <f>IF(Skills!N28=TRUE,(Skills!L28/10)*(E3128/1000),Skills!L28/10)+Skills!O28</f>
        <v/>
      </c>
      <c r="G3128">
        <f>Skills!G28*IF(Skills!H28&gt;0,Skills!I28/Skills!H28,1)</f>
        <v/>
      </c>
      <c r="H3128">
        <f>1-(1-Skills!J28/100)^Skills!K28</f>
        <v/>
      </c>
      <c r="I3128" t="inlineStr">
        <is>
          <t>1</t>
        </is>
      </c>
      <c r="J3128" t="inlineStr"/>
      <c r="K3128" t="inlineStr"/>
      <c r="L3128" t="inlineStr"/>
      <c r="M3128" t="inlineStr"/>
      <c r="N3128" t="inlineStr"/>
      <c r="O3128">
        <f>(1-Summary!$B$11)*T3128+Summary!$B$11*V3128</f>
        <v/>
      </c>
      <c r="P3128">
        <f>IF(B3142=0,0,O3128/B3142)</f>
        <v/>
      </c>
      <c r="Q3128" t="n">
        <v>0</v>
      </c>
      <c r="R3128" t="n">
        <v>0</v>
      </c>
      <c r="S3128" t="n">
        <v>0</v>
      </c>
      <c r="T3128" t="n">
        <v>0</v>
      </c>
      <c r="V3128" t="n">
        <v>0</v>
      </c>
    </row>
    <row r="3129">
      <c r="A3129">
        <f>Skills!A29</f>
        <v/>
      </c>
      <c r="B3129">
        <f>Skills!B29</f>
        <v/>
      </c>
      <c r="C3129">
        <f>Inputs!$B$3&gt;=45</f>
        <v/>
      </c>
      <c r="D3129">
        <f>IF(Skills!C29=1,60+Inputs!$B$25+Inputs!$B$29,IF(Skills!C29=2,90+Inputs!$B$26+Inputs!$B$29,IF(Skills!C29=3,120+Inputs!$B$27+Inputs!$B$29,MAX(0,(Inputs!$B$3-100)*3)+Inputs!$B$28+Inputs!$B$29)))</f>
        <v/>
      </c>
      <c r="E3129">
        <f>INDEX(FactorTable!$B$2:$Y$301, MATCH(ROUND(MIN(300,MAX(1,D3129)),0), FactorTable!$A$2:$A$301,0), Skills!M29+1)</f>
        <v/>
      </c>
      <c r="F3129">
        <f>IF(Skills!N29=TRUE,(Skills!L29/10)*(E3129/1000),Skills!L29/10)+Skills!O29</f>
        <v/>
      </c>
      <c r="G3129">
        <f>Skills!G29*IF(Skills!H29&gt;0,Skills!I29/Skills!H29,1)</f>
        <v/>
      </c>
      <c r="H3129">
        <f>1-(1-Skills!J29/100)^Skills!K29</f>
        <v/>
      </c>
      <c r="I3129" t="inlineStr">
        <is>
          <t>1</t>
        </is>
      </c>
      <c r="J3129" t="inlineStr"/>
      <c r="K3129" t="inlineStr"/>
      <c r="L3129" t="inlineStr"/>
      <c r="M3129" t="inlineStr"/>
      <c r="N3129" t="inlineStr"/>
      <c r="O3129">
        <f>(1-Summary!$B$11)*T3129+Summary!$B$11*V3129</f>
        <v/>
      </c>
      <c r="P3129">
        <f>IF(B3142=0,0,O3129/B3142)</f>
        <v/>
      </c>
      <c r="Q3129" t="n">
        <v>0</v>
      </c>
      <c r="R3129" t="n">
        <v>0</v>
      </c>
      <c r="S3129" t="n">
        <v>0</v>
      </c>
      <c r="T3129" t="n">
        <v>0</v>
      </c>
      <c r="V3129" t="n">
        <v>0</v>
      </c>
    </row>
    <row r="3131">
      <c r="A3131" t="inlineStr">
        <is>
          <t>Attack% Bucket Multiplier</t>
        </is>
      </c>
      <c r="B3131">
        <f>(1+(((C3113=TRUE)*F3113)+((C3114=TRUE)*IF(Inputs!$B$38="pvp",F3114,(1-Summary!$B$11)*(F3114)+Summary!$B$11*(0)))+((C3115=TRUE)*F3115*IF(AND(Inputs!$B$38&lt;&gt;"pvp",Inputs!$B$43&gt;0),(((R3115-1)*(Skills!T15*(1+Inputs!$B$34/100))+MIN((Skills!T15*(1+Inputs!$B$34/100)),MAX(0,Inputs!$B$43-((R3115-1)*Skills!D15))))/Inputs!$B$43),IF(Inputs!$B$38="pvp",MIN((Skills!T15*(1+Inputs!$B$34/100)),15)/15,(Skills!T15*(1+Inputs!$B$34/100))/Skills!D15)))+((C3112=TRUE)*F3112)+((C3129=TRUE)*(F3129-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3132">
      <c r="A3132" t="inlineStr">
        <is>
          <t>Global Crit Rate Bonus %</t>
        </is>
      </c>
      <c r="B3132">
        <f>(C3116=TRUE)*20*IF(AND(Inputs!$B$38&lt;&gt;"pvp",Inputs!$B$43&gt;0),(((R3116-1)*(Skills!T16*(1+Inputs!$B$34/100))+MIN((Skills!T16*(1+Inputs!$B$34/100)),MAX(0,Inputs!$B$43-((R3116-1)*Skills!D16))))/Inputs!$B$43),IF(Inputs!$B$38="pvp",MIN((Skills!T16*(1+Inputs!$B$34/100)),15)/15,(Skills!T16*(1+Inputs!$B$34/100))/Skills!D16))</f>
        <v/>
      </c>
    </row>
    <row r="3133">
      <c r="A3133" t="inlineStr">
        <is>
          <t>Attack Speed Buff Bonus %</t>
        </is>
      </c>
      <c r="B3133">
        <f>((C3118=TRUE)*F3118*IF(AND(Inputs!$B$38&lt;&gt;"pvp",Inputs!$B$43&gt;0),(((R3118-1)*(Skills!T18*(1+Inputs!$B$34/100))+MIN((Skills!T18*(1+Inputs!$B$34/100)),MAX(0,Inputs!$B$43-((R3118-1)*Skills!D18))))/Inputs!$B$43),IF(Inputs!$B$38="pvp",MIN((Skills!T18*(1+Inputs!$B$34/100)),15)/15,(Skills!T18*(1+Inputs!$B$34/100))/Skills!D18)))</f>
        <v/>
      </c>
    </row>
    <row r="3134">
      <c r="A3134" t="inlineStr">
        <is>
          <t>Actions Per Second</t>
        </is>
      </c>
      <c r="B3134">
        <f>1+MIN(150,150*(1-(1-(Inputs!$B$11+((C3120=TRUE)*(F3120-Calc!F20))+((C3121=TRUE)*(F3121-Calc!F21)))/150)*(1-B3133/150)))/100</f>
        <v/>
      </c>
    </row>
    <row r="3135">
      <c r="A3135" t="inlineStr">
        <is>
          <t>Skill + Buff Cast Rate</t>
        </is>
      </c>
      <c r="B3135">
        <f>IF(AND(Inputs!$B$38&lt;&gt;"pvp",Inputs!$B$43&gt;0),SUMPRODUCT((Skills!E2:E29=TRUE)*(C3102:C3129=TRUE)*R3102:R3129*Skills!F2:F29)/Inputs!$B$43,SUMPRODUCT((Skills!E2:E29=TRUE)*(C3102:C3129=TRUE)*Q3102:Q3129*Skills!F2:F29))</f>
        <v/>
      </c>
    </row>
    <row r="3136">
      <c r="A3136" t="inlineStr">
        <is>
          <t>Empowered Piercing Arrow Casts Per Second</t>
        </is>
      </c>
      <c r="B3136">
        <f>MAX(0,B3134-B3135)</f>
        <v/>
      </c>
    </row>
    <row r="3137">
      <c r="A3137" t="inlineStr">
        <is>
          <t>Global Critical Damage Bonus % (Sharp Eyes)</t>
        </is>
      </c>
      <c r="B3137">
        <f>(C3116=TRUE)*F3116*IF(AND(Inputs!$B$38&lt;&gt;"pvp",Inputs!$B$43&gt;0),(((R3116-1)*(Skills!T16*(1+Inputs!$B$34/100))+MIN((Skills!T16*(1+Inputs!$B$34/100)),MAX(0,Inputs!$B$43-((R3116-1)*Skills!D16))))/Inputs!$B$43),IF(Inputs!$B$38="pvp",MIN((Skills!T16*(1+Inputs!$B$34/100)),15)/15,(Skills!T16*(1+Inputs!$B$34/100))/Skills!D16))</f>
        <v/>
      </c>
    </row>
    <row r="3138">
      <c r="A3138" t="inlineStr">
        <is>
          <t>Global Final Damage Bonus % (Mortal Blow + Last Man Standing conditional half)</t>
        </is>
      </c>
      <c r="B3138">
        <f>(C3117=TRUE)*F3117+((C3126=TRUE)*IF(Inputs!$B$38="pvp",F3126,(1-Summary!$B$11)*(F3126)+Summary!$B$11*(0)))</f>
        <v/>
      </c>
    </row>
    <row r="3139">
      <c r="A3139" t="inlineStr">
        <is>
          <t>Buff-Casting Startup Delay (s, fixed-duration only)</t>
        </is>
      </c>
      <c r="B3139">
        <f>IF(AND(Inputs!$B$38&lt;&gt;"pvp",Inputs!$B$43&gt;0),SUMPRODUCT((Skills!T2:T29&gt;0)*(Skills!E2:E29=TRUE)*(C3102:C3129=TRUE))/B3134,0)</f>
        <v/>
      </c>
    </row>
    <row r="3140">
      <c r="A3140" t="inlineStr">
        <is>
          <t>Boss-Only Total DPS (this block's swept value)</t>
        </is>
      </c>
      <c r="B3140">
        <f>SUM(T3102:T3129)</f>
        <v/>
      </c>
    </row>
    <row r="3141">
      <c r="A3141" t="inlineStr">
        <is>
          <t>Normal-Only Total DPS (this block's swept value)</t>
        </is>
      </c>
      <c r="B3141">
        <f>SUM(V3102:V3129)</f>
        <v/>
      </c>
    </row>
    <row r="3142">
      <c r="A3142" s="6" t="inlineStr">
        <is>
          <t>TOTAL DPS</t>
        </is>
      </c>
      <c r="B3142" s="6">
        <f>SUM(O3102:O3129)</f>
        <v/>
      </c>
    </row>
    <row r="3145">
      <c r="A3145" s="6" t="inlineStr">
        <is>
          <t>Stat: CDR = 3.5s</t>
        </is>
      </c>
    </row>
    <row r="3146">
      <c r="A3146" s="5" t="inlineStr">
        <is>
          <t>Key</t>
        </is>
      </c>
      <c r="B3146" s="5" t="inlineStr">
        <is>
          <t>Name</t>
        </is>
      </c>
      <c r="C3146" s="5" t="inlineStr">
        <is>
          <t>Unlocked</t>
        </is>
      </c>
      <c r="D3146" s="5" t="inlineStr">
        <is>
          <t>InputLevel</t>
        </is>
      </c>
      <c r="E3146" s="5" t="inlineStr">
        <is>
          <t>Factor</t>
        </is>
      </c>
      <c r="F3146" s="5" t="inlineStr">
        <is>
          <t>CoefficientPercent</t>
        </is>
      </c>
      <c r="G3146" s="5" t="inlineStr">
        <is>
          <t>EffectiveHits</t>
        </is>
      </c>
      <c r="H3146" s="5" t="inlineStr">
        <is>
          <t>ProcProbability</t>
        </is>
      </c>
      <c r="I3146" s="5" t="inlineStr">
        <is>
          <t>MapleHeroMultiplier</t>
        </is>
      </c>
      <c r="J3146" s="5" t="inlineStr">
        <is>
          <t>BaseDamage</t>
        </is>
      </c>
      <c r="K3146" s="5" t="inlineStr">
        <is>
          <t>BaseHitDamage</t>
        </is>
      </c>
      <c r="L3146" s="5" t="inlineStr">
        <is>
          <t>NonCritAvg</t>
        </is>
      </c>
      <c r="M3146" s="5" t="inlineStr">
        <is>
          <t>CritAvg</t>
        </is>
      </c>
      <c r="N3146" s="5" t="inlineStr">
        <is>
          <t>ExpectedDamage(perHit)</t>
        </is>
      </c>
      <c r="O3146" s="5" t="inlineStr">
        <is>
          <t>DPS</t>
        </is>
      </c>
      <c r="P3146" s="5" t="inlineStr">
        <is>
          <t>% of Total</t>
        </is>
      </c>
      <c r="Q3146" s="5" t="inlineStr">
        <is>
          <t>InvCooldown</t>
        </is>
      </c>
      <c r="R3146" s="5" t="inlineStr">
        <is>
          <t>CastsInFight</t>
        </is>
      </c>
      <c r="S3146" s="5" t="inlineStr">
        <is>
          <t>HitRate(perSec)</t>
        </is>
      </c>
      <c r="U3146" t="inlineStr">
        <is>
          <t>helpers</t>
        </is>
      </c>
    </row>
    <row r="3147">
      <c r="A3147">
        <f>Skills!A2</f>
        <v/>
      </c>
      <c r="B3147">
        <f>Skills!B2</f>
        <v/>
      </c>
      <c r="C3147">
        <f>Inputs!$B$3&gt;=100</f>
        <v/>
      </c>
      <c r="D3147" t="inlineStr"/>
      <c r="E3147" t="inlineStr"/>
      <c r="F3147">
        <f>U3149+Skills!O2</f>
        <v/>
      </c>
      <c r="G3147">
        <f>Skills!G2*IF(Skills!H2&gt;0,Skills!I2/Skills!H2,1)</f>
        <v/>
      </c>
      <c r="H3147">
        <f>1-(1-Skills!J2/100)^Skills!K2</f>
        <v/>
      </c>
      <c r="I3147" t="inlineStr">
        <is>
          <t>1</t>
        </is>
      </c>
      <c r="J3147">
        <f>((Inputs!$B$6*(1+Inputs!$B$7/100))+(((Inputs!$B$12*(1+Inputs!$B$13/100))-(Inputs!$B$12*(1+Inputs!$B$13/100)))+0.25*(Inputs!$B$14-Inputs!$B$14))*(1+Inputs!$B$7/100))*(F3147/100)</f>
        <v/>
      </c>
      <c r="K3147">
        <f>J3147*(1+((Inputs!$B$12*(1+Inputs!$B$13/100))*0.01+Inputs!$B$14*0.0025)/100)*(1+Inputs!$B$15/100)*(1+Inputs!$B$16/100)*(5000/(6000+Inputs!$B$42*(1-(100*(1-(1-(Inputs!$B$19+0)/100)*(1-CHOOSE(ArtifactsInput!$N$40+1,5,6,7,8,9,10)/100)^(ArtifactsInput!$M$40-ArtifactsInput!$M$40)))/100)))*(1+(Inputs!$B$24+((C3169=TRUE)*(F3169-Calc!F24))+((C3170=TRUE)*(F3170-Calc!F25))+B3183)/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EMPOWERED_PIERCING_ARROW",Inputs!$B$17+((C3167=TRUE)*(F3167-Calc!F22))+(((IF(AND(ArtifactsInput!$M$42,((Inputs!$B$9+((C3164=TRUE)*(F3164-Calc!F19))+B3177+(ArtifactsInput!$M$24-ArtifactsInput!$M$24)*CHOOSE(ArtifactsInput!$N$24+1,10,12,14,16,18,20)+IF(ArtifactsInput!$M$10,CHOOSE(ArtifactsInput!$N$10+1,15,18,21,24,27,30)*(IF(Inputs!$B$38="pvp",MIN(15,15)/15,IF(AND(Inputs!$B$38&lt;&gt;"pvp",Inputs!$B$43&gt;0),MIN(15,Inputs!$B$43)/(Inputs!$B$43),0))),0)))&gt;=100),MIN(100,((Inputs!$B$9+((C3164=TRUE)*(F3164-Calc!F19))+B3177+(ArtifactsInput!$M$24-ArtifactsInput!$M$24)*CHOOSE(ArtifactsInput!$N$24+1,10,12,14,16,18,20)+IF(ArtifactsInput!$M$10,CHOOSE(ArtifactsInput!$N$10+1,15,18,21,24,27,30)*(IF(Inputs!$B$38="pvp",MIN(15,15)/15,IF(AND(Inputs!$B$38&lt;&gt;"pvp",Inputs!$B$43&gt;0),MIN(15,Inputs!$B$43)/(Inputs!$B$43),0))),0)))-100),0))*CHOOSE(ArtifactsInput!$N$42+1,0.6,0.72,0.84,0.96,1.08,1.2))),Inputs!$B$18+((C3172=TRUE)*(F3172-Calc!F27))+(IF(AND(ArtifactsInput!$M$42,((Inputs!$B$9+((C3164=TRUE)*(F3164-Calc!F19))+B3177+(ArtifactsInput!$M$24-ArtifactsInput!$M$24)*CHOOSE(ArtifactsInput!$N$24+1,10,12,14,16,18,20)+IF(ArtifactsInput!$M$10,CHOOSE(ArtifactsInput!$N$10+1,15,18,21,24,27,30)*(IF(Inputs!$B$38="pvp",MIN(15,15)/15,IF(AND(Inputs!$B$38&lt;&gt;"pvp",Inputs!$B$43&gt;0),MIN(15,Inputs!$B$43)/(Inputs!$B$43),0))),0)))&gt;=100),CHOOSE(ArtifactsInput!$N$42+1,40,48,56,64,72,80),0))))/100)*((1+(((C3158=TRUE)*F3158)+((C3159=TRUE)*IF(Inputs!$B$38="pvp",F3159,(1-Summary!$B$11)*(F3159)+Summary!$B$11*(0)))+((C3160=TRUE)*F3160*IF(AND(Inputs!$B$38&lt;&gt;"pvp",Inputs!$B$43&gt;0),(((R3160-1)*(Skills!T15*(1+Inputs!$B$34/100))+MIN((Skills!T15*(1+Inputs!$B$34/100)),MAX(0,Inputs!$B$43-((R3160-1)*Skills!D15))))/Inputs!$B$43),IF(Inputs!$B$38="pvp",MIN((Skills!T15*(1+Inputs!$B$34/100)),15)/15,(Skills!T15*(1+Inputs!$B$34/100))/Skills!D15)))+((C3157=TRUE)*F3157)+((C3174=TRUE)*(F3174-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3147)</f>
        <v/>
      </c>
      <c r="L3147">
        <f>K3147*(MIN(Inputs!$B$22+((C3168=TRUE)*(F3168-Calc!F23)),(Inputs!$B$23+((C3173=TRUE)*(F3173-Calc!F28))+(IF(ArtifactsInput!$M$15,CHOOSE(ArtifactsInput!$N$15+1,25,30,35,40,45,50)/100*(Inputs!$B$11-Inputs!$B$11),0))))/100+(Inputs!$B$23+((C3173=TRUE)*(F3173-Calc!F28))+(IF(ArtifactsInput!$M$15,CHOOSE(ArtifactsInput!$N$15+1,25,30,35,40,45,50)/100*(Inputs!$B$11-Inputs!$B$11),0)))/100)/2</f>
        <v/>
      </c>
      <c r="M3147">
        <f>L3147*(1+(Inputs!$B$10+0+B3182+(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147">
        <f>L3147*(1-MIN((Inputs!$B$9+((C3164=TRUE)*(F3164-Calc!F19))+B3177+(ArtifactsInput!$M$24-ArtifactsInput!$M$24)*CHOOSE(ArtifactsInput!$N$24+1,10,12,14,16,18,20)+(IF(AND(ArtifactsInput!$M$42,((Inputs!$B$9+((C3164=TRUE)*(F3164-Calc!F19))+B3177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3147*(MIN((Inputs!$B$9+((C3164=TRUE)*(F3164-Calc!F19))+B3177+(ArtifactsInput!$M$24-ArtifactsInput!$M$24)*CHOOSE(ArtifactsInput!$N$24+1,10,12,14,16,18,20)+(IF(AND(ArtifactsInput!$M$42,((Inputs!$B$9+((C3164=TRUE)*(F3164-Calc!F19))+B3177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147">
        <f>(1-Summary!$B$11)*T3147+Summary!$B$11*V3147</f>
        <v/>
      </c>
      <c r="P3147">
        <f>IF(B3187=0,0,O3147/B3187)</f>
        <v/>
      </c>
      <c r="Q3147" t="n">
        <v>0</v>
      </c>
      <c r="R3147" t="n">
        <v>0</v>
      </c>
      <c r="S3147">
        <f>IFERROR((Skills!G2*N3147*B3181)/N3147*IF(Inputs!$B$38="pvp",1,(1-Summary!$B$11)*1+Summary!$B$11*(MIN((6+Inputs!$B$33),Inputs!$B$37))),0)</f>
        <v/>
      </c>
      <c r="T3147">
        <f>IF(C3147,(Skills!G2*N3147*B3181)*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Hunt"),CHOOSE(ArtifactsInput!$N$35+1,15,18,21,24,27,30)*(1-EXP(-(0.2*B3179)*5)),0)+IF(AND(ArtifactsInput!$M$22,Inputs!$B$4&lt;&gt;"Chapter Hunt"),CHOOSE(ArtifactsInput!$N$22+1,10,12,14,16,18,20)*((0*(((0.15*B3179*5))^0/1)+1*(((0.15*B3179*5))^1/1)+2*(((0.15*B3179*5))^2/2)+3*(((0.15*B3179*5))^3/6)+4*(((0.15*B3179*5))^4/24)+5*(((0.15*B3179*5))^5/120))/((((0.15*B3179*5))^0/1)+(((0.15*B3179*5))^1/1)+(((0.15*B3179*5))^2/2)+(((0.15*B3179*5))^3/6)+(((0.15*B3179*5))^4/24)+(((0.15*B3179*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3147*(1-MIN(100,(Inputs!$B$9+((C3164=TRUE)*(F3164-Calc!F19))+B3177+(ArtifactsInput!$M$24-ArtifactsInput!$M$24)*CHOOSE(ArtifactsInput!$N$24+1,10,12,14,16,18,20)+(IF(AND(ArtifactsInput!$M$42,((Inputs!$B$9+((C3164=TRUE)*(F3164-Calc!F19))+B3177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3147*(MIN(100,(Inputs!$B$9+((C3164=TRUE)*(F3164-Calc!F19))+B3177+(ArtifactsInput!$M$24-ArtifactsInput!$M$24)*CHOOSE(ArtifactsInput!$N$24+1,10,12,14,16,18,20)+(IF(AND(ArtifactsInput!$M$42,((Inputs!$B$9+((C3164=TRUE)*(F3164-Calc!F19))+B3177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3147*(1-MIN(100,(Inputs!$B$9+((C3164=TRUE)*(F3164-Calc!F19))+B3177+(ArtifactsInput!$M$24-ArtifactsInput!$M$24)*CHOOSE(ArtifactsInput!$N$24+1,10,12,14,16,18,20)+(IF(AND(ArtifactsInput!$M$42,((Inputs!$B$9+((C3164=TRUE)*(F3164-Calc!F19))+B3177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3147*(MIN(100,(Inputs!$B$9+((C3164=TRUE)*(F3164-Calc!F19))+B3177+(ArtifactsInput!$M$24-ArtifactsInput!$M$24)*CHOOSE(ArtifactsInput!$N$24+1,10,12,14,16,18,20)+(IF(AND(ArtifactsInput!$M$42,((Inputs!$B$9+((C3164=TRUE)*(F3164-Calc!F19))+B3177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3147">
        <f>MAX(0,(Inputs!$B$3-100)*3)+Inputs!$B$28+Inputs!$B$29</f>
        <v/>
      </c>
      <c r="V3147">
        <f>IF(C3147,(Skills!G2*N3147*B3181)*IF(Inputs!$B$38="pvp",1,(1+(Inputs!$B$21+Skills!Q2+(IF(ArtifactsInput!$M$33,CHOOSE(ArtifactsInput!$N$33+1,30,36,42,48,54,60),0))+(IF(AND(ArtifactsInput!$M$35,Inputs!$B$4&lt;&gt;"Chapter Hunt"),CHOOSE(ArtifactsInput!$N$35+1,15,18,21,24,27,30)*(1-EXP(-(0.2*B3179)*5)),0)+IF(AND(ArtifactsInput!$M$22,Inputs!$B$4&lt;&gt;"Chapter Hunt"),CHOOSE(ArtifactsInput!$N$22+1,10,12,14,16,18,20)*((0*(((0.15*B3179*5))^0/1)+1*(((0.15*B3179*5))^1/1)+2*(((0.15*B3179*5))^2/2)+3*(((0.15*B3179*5))^3/6)+4*(((0.15*B3179*5))^4/24)+5*(((0.15*B3179*5))^5/120))/((((0.15*B3179*5))^0/1)+(((0.15*B3179*5))^1/1)+(((0.15*B3179*5))^2/2)+(((0.15*B3179*5))^3/6)+(((0.15*B3179*5))^4/24)+(((0.15*B3179*5))^5/120)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148">
      <c r="A3148">
        <f>Skills!A3</f>
        <v/>
      </c>
      <c r="B3148">
        <f>Skills!B3</f>
        <v/>
      </c>
      <c r="C3148">
        <f>Inputs!$B$3&gt;=50</f>
        <v/>
      </c>
      <c r="D3148">
        <f>IF(Skills!C3=1,60+Inputs!$B$25+Inputs!$B$29,IF(Skills!C3=2,90+Inputs!$B$26+Inputs!$B$29,IF(Skills!C3=3,120+Inputs!$B$27+Inputs!$B$29,MAX(0,(Inputs!$B$3-100)*3)+Inputs!$B$28+Inputs!$B$29)))</f>
        <v/>
      </c>
      <c r="E3148">
        <f>INDEX(FactorTable!$B$2:$Y$301, MATCH(ROUND(MIN(300,MAX(1,D3148)),0), FactorTable!$A$2:$A$301,0), Skills!M3+1)</f>
        <v/>
      </c>
      <c r="F3148">
        <f>IF(Skills!N3=TRUE,(Skills!L3/10)*(E3148/1000),Skills!L3/10)+Skills!O3</f>
        <v/>
      </c>
      <c r="G3148" t="inlineStr"/>
      <c r="H3148" t="inlineStr"/>
      <c r="I3148" t="inlineStr">
        <is>
          <t>1</t>
        </is>
      </c>
      <c r="J3148" t="inlineStr"/>
      <c r="K3148" t="inlineStr"/>
      <c r="L3148" t="inlineStr"/>
      <c r="M3148" t="inlineStr"/>
      <c r="N3148" t="inlineStr"/>
      <c r="O3148" t="inlineStr"/>
      <c r="P3148" t="inlineStr"/>
      <c r="Q3148" t="inlineStr"/>
      <c r="R3148" t="inlineStr"/>
      <c r="S3148" t="inlineStr"/>
      <c r="T3148" t="inlineStr"/>
      <c r="U3148">
        <f>INDEX(FactorTable!$B$2:$Y$301, MATCH(ROUND(MIN(300,MAX(1,U3147)),0), FactorTable!$A$2:$A$301,0), 22)</f>
        <v/>
      </c>
      <c r="V3148" t="inlineStr"/>
    </row>
    <row r="3149">
      <c r="A3149">
        <f>Skills!A4</f>
        <v/>
      </c>
      <c r="B3149">
        <f>Skills!B4</f>
        <v/>
      </c>
      <c r="C3149">
        <f>Inputs!$B$3&gt;=105</f>
        <v/>
      </c>
      <c r="D3149">
        <f>IF(Skills!C4=1,60+Inputs!$B$25+Inputs!$B$29,IF(Skills!C4=2,90+Inputs!$B$26+Inputs!$B$29,IF(Skills!C4=3,120+Inputs!$B$27+Inputs!$B$29,MAX(0,(Inputs!$B$3-100)*3)+Inputs!$B$28+Inputs!$B$29)))</f>
        <v/>
      </c>
      <c r="E3149">
        <f>INDEX(FactorTable!$B$2:$Y$301, MATCH(ROUND(MIN(300,MAX(1,D3149)),0), FactorTable!$A$2:$A$301,0), Skills!M4+1)</f>
        <v/>
      </c>
      <c r="F3149">
        <f>IF(Skills!N4=TRUE,(Skills!L4/10)*(E3149/1000),Skills!L4/10)+Skills!O4</f>
        <v/>
      </c>
      <c r="G3149" t="inlineStr"/>
      <c r="H3149" t="inlineStr"/>
      <c r="I3149" t="inlineStr">
        <is>
          <t>1</t>
        </is>
      </c>
      <c r="J3149" t="inlineStr"/>
      <c r="K3149" t="inlineStr"/>
      <c r="L3149" t="inlineStr"/>
      <c r="M3149" t="inlineStr"/>
      <c r="N3149" t="inlineStr"/>
      <c r="O3149" t="inlineStr"/>
      <c r="P3149" t="inlineStr"/>
      <c r="Q3149" t="inlineStr"/>
      <c r="R3149" t="inlineStr"/>
      <c r="S3149" t="inlineStr"/>
      <c r="T3149" t="inlineStr"/>
      <c r="U3149">
        <f>290*U3148/1000</f>
        <v/>
      </c>
      <c r="V3149" t="inlineStr"/>
    </row>
    <row r="3150">
      <c r="A3150">
        <f>Skills!A5</f>
        <v/>
      </c>
      <c r="B3150">
        <f>Skills!B5</f>
        <v/>
      </c>
      <c r="C3150">
        <f>Inputs!$B$3&gt;=35</f>
        <v/>
      </c>
      <c r="D3150">
        <f>IF(Skills!C5=1,60+Inputs!$B$25+Inputs!$B$29,IF(Skills!C5=2,90+Inputs!$B$26+Inputs!$B$29,IF(Skills!C5=3,120+Inputs!$B$27+Inputs!$B$29,MAX(0,(Inputs!$B$3-100)*3)+Inputs!$B$28+Inputs!$B$29)))</f>
        <v/>
      </c>
      <c r="E3150">
        <f>INDEX(FactorTable!$B$2:$Y$301, MATCH(ROUND(MIN(300,MAX(1,D3150)),0), FactorTable!$A$2:$A$301,0), Skills!M5+1)</f>
        <v/>
      </c>
      <c r="F3150">
        <f>IF(Skills!N5=TRUE,(Skills!L5/10)*(E3150/1000),Skills!L5/10)+Skills!O5</f>
        <v/>
      </c>
      <c r="G3150">
        <f>Skills!G5*IF(Skills!H5&gt;0,Skills!I5/Skills!H5,1)</f>
        <v/>
      </c>
      <c r="H3150">
        <f>1-(1-Skills!J5/100)^Skills!K5</f>
        <v/>
      </c>
      <c r="I3150" t="inlineStr">
        <is>
          <t>1</t>
        </is>
      </c>
      <c r="J3150">
        <f>((Inputs!$B$6*(1+Inputs!$B$7/100))+(((Inputs!$B$12*(1+Inputs!$B$13/100))-(Inputs!$B$12*(1+Inputs!$B$13/100)))+0.25*(Inputs!$B$14-Inputs!$B$14))*(1+Inputs!$B$7/100))*(F3150/100)</f>
        <v/>
      </c>
      <c r="K3150">
        <f>J3150*(1+((Inputs!$B$12*(1+Inputs!$B$13/100))*0.01+Inputs!$B$14*0.0025)/100)*(1+Inputs!$B$15/100)*(1+Inputs!$B$16/100)*(5000/(6000+Inputs!$B$42*(1-(100*(1-(1-(Inputs!$B$19+0)/100)*(1-CHOOSE(ArtifactsInput!$N$40+1,5,6,7,8,9,10)/100)^(ArtifactsInput!$M$40-ArtifactsInput!$M$40)))/100)))*(1+(Inputs!$B$24+((C3169=TRUE)*(F3169-Calc!F24))+((C3170=TRUE)*(F3170-Calc!F25))+B3183)/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3153=TRUE,F3153,0)/100)*(1+(IF(Skills!A5="EMPOWERED_PIERCING_ARROW",Inputs!$B$17+((C3167=TRUE)*(F3167-Calc!F22))+(((IF(AND(ArtifactsInput!$M$42,((Inputs!$B$9+((C3164=TRUE)*(F3164-Calc!F19))+B3177+(ArtifactsInput!$M$24-ArtifactsInput!$M$24)*CHOOSE(ArtifactsInput!$N$24+1,10,12,14,16,18,20)+IF(ArtifactsInput!$M$10,CHOOSE(ArtifactsInput!$N$10+1,15,18,21,24,27,30)*(IF(Inputs!$B$38="pvp",MIN(15,15)/15,IF(AND(Inputs!$B$38&lt;&gt;"pvp",Inputs!$B$43&gt;0),MIN(15,Inputs!$B$43)/(Inputs!$B$43),0))),0)))&gt;=100),MIN(100,((Inputs!$B$9+((C3164=TRUE)*(F3164-Calc!F19))+B3177+(ArtifactsInput!$M$24-ArtifactsInput!$M$24)*CHOOSE(ArtifactsInput!$N$24+1,10,12,14,16,18,20)+IF(ArtifactsInput!$M$10,CHOOSE(ArtifactsInput!$N$10+1,15,18,21,24,27,30)*(IF(Inputs!$B$38="pvp",MIN(15,15)/15,IF(AND(Inputs!$B$38&lt;&gt;"pvp",Inputs!$B$43&gt;0),MIN(15,Inputs!$B$43)/(Inputs!$B$43),0))),0)))-100),0))*CHOOSE(ArtifactsInput!$N$42+1,0.6,0.72,0.84,0.96,1.08,1.2))),Inputs!$B$18+((C3172=TRUE)*(F3172-Calc!F27))+(IF(AND(ArtifactsInput!$M$42,((Inputs!$B$9+((C3164=TRUE)*(F3164-Calc!F19))+B3177+(ArtifactsInput!$M$24-ArtifactsInput!$M$24)*CHOOSE(ArtifactsInput!$N$24+1,10,12,14,16,18,20)+IF(ArtifactsInput!$M$10,CHOOSE(ArtifactsInput!$N$10+1,15,18,21,24,27,30)*(IF(Inputs!$B$38="pvp",MIN(15,15)/15,IF(AND(Inputs!$B$38&lt;&gt;"pvp",Inputs!$B$43&gt;0),MIN(15,Inputs!$B$43)/(Inputs!$B$43),0))),0)))&gt;=100),CHOOSE(ArtifactsInput!$N$42+1,40,48,56,64,72,80),0))))/100)*((1+(((C3158=TRUE)*F3158)+((C3159=TRUE)*IF(Inputs!$B$38="pvp",F3159,(1-Summary!$B$11)*(F3159)+Summary!$B$11*(0)))+((C3160=TRUE)*F3160*IF(AND(Inputs!$B$38&lt;&gt;"pvp",Inputs!$B$43&gt;0),(((R3160-1)*(Skills!T15*(1+Inputs!$B$34/100))+MIN((Skills!T15*(1+Inputs!$B$34/100)),MAX(0,Inputs!$B$43-((R3160-1)*Skills!D15))))/Inputs!$B$43),IF(Inputs!$B$38="pvp",MIN((Skills!T15*(1+Inputs!$B$34/100)),15)/15,(Skills!T15*(1+Inputs!$B$34/100))/Skills!D15)))+((C3157=TRUE)*F3157)+((C3174=TRUE)*(F3174-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3150)</f>
        <v/>
      </c>
      <c r="L3150">
        <f>K3150*(MIN(Inputs!$B$22+((C3168=TRUE)*(F3168-Calc!F23)),(Inputs!$B$23+((C3173=TRUE)*(F3173-Calc!F28))+(IF(ArtifactsInput!$M$15,CHOOSE(ArtifactsInput!$N$15+1,25,30,35,40,45,50)/100*(Inputs!$B$11-Inputs!$B$11),0))))/100+(Inputs!$B$23+((C3173=TRUE)*(F3173-Calc!F28))+(IF(ArtifactsInput!$M$15,CHOOSE(ArtifactsInput!$N$15+1,25,30,35,40,45,50)/100*(Inputs!$B$11-Inputs!$B$11),0)))/100)/2</f>
        <v/>
      </c>
      <c r="M3150">
        <f>L3150*(1+(Inputs!$B$10+0+B3182+(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150">
        <f>L3150*(1-MIN((Inputs!$B$9+((C3164=TRUE)*(F3164-Calc!F19))+B3177+(ArtifactsInput!$M$24-ArtifactsInput!$M$24)*CHOOSE(ArtifactsInput!$N$24+1,10,12,14,16,18,20)+(IF(AND(ArtifactsInput!$M$42,((Inputs!$B$9+((C3164=TRUE)*(F3164-Calc!F19))+B3177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3150*(MIN((Inputs!$B$9+((C3164=TRUE)*(F3164-Calc!F19))+B3177+(ArtifactsInput!$M$24-ArtifactsInput!$M$24)*CHOOSE(ArtifactsInput!$N$24+1,10,12,14,16,18,20)+(IF(AND(ArtifactsInput!$M$42,((Inputs!$B$9+((C3164=TRUE)*(F3164-Calc!F19))+B3177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150">
        <f>(1-Summary!$B$11)*T3150+Summary!$B$11*V3150</f>
        <v/>
      </c>
      <c r="P3150">
        <f>IF(B3187=0,0,O3150/B3187)</f>
        <v/>
      </c>
      <c r="Q3150">
        <f>IFERROR(1/IF(Inputs!$B$38="pvp",15,MAX(0.1,Skills!D5-IF(Skills!E5=TRUE,3.5,0))),0)</f>
        <v/>
      </c>
      <c r="R3150">
        <f>IF(AND(Inputs!$B$38&lt;&gt;"pvp",Inputs!$B$43&gt;0),IF(MAX(0,Inputs!$B$43-B3184)&lt;=0,0,(INT(MAX(0,Inputs!$B$43-B3184)/IF(Inputs!$B$38="pvp",15,MAX(0.1,Skills!D5-IF(Skills!E5=TRUE,3.5,0))))+1)),0)</f>
        <v/>
      </c>
      <c r="S3150">
        <f>IFERROR((H3150*N3150*IF(AND(Inputs!$B$38&lt;&gt;"pvp",Inputs!$B$43&gt;0),((Skills!G5*((R3150-1)*IF(Skills!H5&gt;0,Skills!I5/Skills!H5,1)+IF(Skills!H5&gt;0,MIN(Skills!I5,MAX(0,MAX(0,Inputs!$B$43-B3184)-((R3150-1)*IF(Inputs!$B$38="pvp",15,MAX(0.1,Skills!D5-IF(Skills!E5=TRUE,3.5,0))))))/Skills!H5,1)))/Inputs!$B$43),G3150*Q3150))/N3150*IF(Inputs!$B$38="pvp",1,(1-Summary!$B$11)*1+Summary!$B$11*(MIN(Skills!R5,Inputs!$B$37))),0)</f>
        <v/>
      </c>
      <c r="T3150">
        <f>IF(C3150,(H3150*N3150*IF(AND(Inputs!$B$38&lt;&gt;"pvp",Inputs!$B$43&gt;0),((Skills!G5*((R3150-1)*IF(Skills!H5&gt;0,Skills!I5/Skills!H5,1)+IF(Skills!H5&gt;0,MIN(Skills!I5,MAX(0,MAX(0,Inputs!$B$43-B3184)-((R3150-1)*IF(Inputs!$B$38="pvp",15,MAX(0.1,Skills!D5-IF(Skills!E5=TRUE,3.5,0))))))/Skills!H5,1)))/Inputs!$B$43),G3150*Q3150))*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Hunt"),CHOOSE(ArtifactsInput!$N$35+1,15,18,21,24,27,30)*(1-EXP(-(0.2*B3179)*5)),0)+IF(AND(ArtifactsInput!$M$22,Inputs!$B$4&lt;&gt;"Chapter Hunt"),CHOOSE(ArtifactsInput!$N$22+1,10,12,14,16,18,20)*((0*(((0.15*B3179*5))^0/1)+1*(((0.15*B3179*5))^1/1)+2*(((0.15*B3179*5))^2/2)+3*(((0.15*B3179*5))^3/6)+4*(((0.15*B3179*5))^4/24)+5*(((0.15*B3179*5))^5/120))/((((0.15*B3179*5))^0/1)+(((0.15*B3179*5))^1/1)+(((0.15*B3179*5))^2/2)+(((0.15*B3179*5))^3/6)+(((0.15*B3179*5))^4/24)+(((0.15*B3179*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3150*(1-MIN(100,(Inputs!$B$9+((C3164=TRUE)*(F3164-Calc!F19))+B3177+(ArtifactsInput!$M$24-ArtifactsInput!$M$24)*CHOOSE(ArtifactsInput!$N$24+1,10,12,14,16,18,20)+(IF(AND(ArtifactsInput!$M$42,((Inputs!$B$9+((C3164=TRUE)*(F3164-Calc!F19))+B3177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3150*(MIN(100,(Inputs!$B$9+((C3164=TRUE)*(F3164-Calc!F19))+B3177+(ArtifactsInput!$M$24-ArtifactsInput!$M$24)*CHOOSE(ArtifactsInput!$N$24+1,10,12,14,16,18,20)+(IF(AND(ArtifactsInput!$M$42,((Inputs!$B$9+((C3164=TRUE)*(F3164-Calc!F19))+B3177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3150*(1-MIN(100,(Inputs!$B$9+((C3164=TRUE)*(F3164-Calc!F19))+B3177+(ArtifactsInput!$M$24-ArtifactsInput!$M$24)*CHOOSE(ArtifactsInput!$N$24+1,10,12,14,16,18,20)+(IF(AND(ArtifactsInput!$M$42,((Inputs!$B$9+((C3164=TRUE)*(F3164-Calc!F19))+B3177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3150*(MIN(100,(Inputs!$B$9+((C3164=TRUE)*(F3164-Calc!F19))+B3177+(ArtifactsInput!$M$24-ArtifactsInput!$M$24)*CHOOSE(ArtifactsInput!$N$24+1,10,12,14,16,18,20)+(IF(AND(ArtifactsInput!$M$42,((Inputs!$B$9+((C3164=TRUE)*(F3164-Calc!F19))+B3177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150">
        <f>IF(C3150,(H3150*N3150*IF(AND(Inputs!$B$38&lt;&gt;"pvp",Inputs!$B$43&gt;0),((Skills!G5*((R3150-1)*IF(Skills!H5&gt;0,Skills!I5/Skills!H5,1)+IF(Skills!H5&gt;0,MIN(Skills!I5,MAX(0,MAX(0,Inputs!$B$43-B3184)-((R3150-1)*IF(Inputs!$B$38="pvp",15,MAX(0.1,Skills!D5-IF(Skills!E5=TRUE,3.5,0))))))/Skills!H5,1)))/Inputs!$B$43),G3150*Q3150))*IF(Inputs!$B$38="pvp",1,(1+(Inputs!$B$21+Skills!Q5+(IF(ArtifactsInput!$M$33,CHOOSE(ArtifactsInput!$N$33+1,30,36,42,48,54,60),0))+(IF(AND(ArtifactsInput!$M$35,Inputs!$B$4&lt;&gt;"Chapter Hunt"),CHOOSE(ArtifactsInput!$N$35+1,15,18,21,24,27,30)*(1-EXP(-(0.2*B3179)*5)),0)+IF(AND(ArtifactsInput!$M$22,Inputs!$B$4&lt;&gt;"Chapter Hunt"),CHOOSE(ArtifactsInput!$N$22+1,10,12,14,16,18,20)*((0*(((0.15*B3179*5))^0/1)+1*(((0.15*B3179*5))^1/1)+2*(((0.15*B3179*5))^2/2)+3*(((0.15*B3179*5))^3/6)+4*(((0.15*B3179*5))^4/24)+5*(((0.15*B3179*5))^5/120))/((((0.15*B3179*5))^0/1)+(((0.15*B3179*5))^1/1)+(((0.15*B3179*5))^2/2)+(((0.15*B3179*5))^3/6)+(((0.15*B3179*5))^4/24)+(((0.15*B3179*5))^5/120)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151">
      <c r="A3151">
        <f>Skills!A6</f>
        <v/>
      </c>
      <c r="B3151">
        <f>Skills!B6</f>
        <v/>
      </c>
      <c r="C3151">
        <f>Inputs!$B$3&gt;=63</f>
        <v/>
      </c>
      <c r="D3151">
        <f>IF(Skills!C6=1,60+Inputs!$B$25+Inputs!$B$29,IF(Skills!C6=2,90+Inputs!$B$26+Inputs!$B$29,IF(Skills!C6=3,120+Inputs!$B$27+Inputs!$B$29,MAX(0,(Inputs!$B$3-100)*3)+Inputs!$B$28+Inputs!$B$29)))</f>
        <v/>
      </c>
      <c r="E3151">
        <f>INDEX(FactorTable!$B$2:$Y$301, MATCH(ROUND(MIN(300,MAX(1,D3151)),0), FactorTable!$A$2:$A$301,0), Skills!M6+1)</f>
        <v/>
      </c>
      <c r="F3151">
        <f>IF(Skills!N6=TRUE,(Skills!L6/10)*(E3151/1000),Skills!L6/10)+Skills!O6</f>
        <v/>
      </c>
      <c r="G3151">
        <f>Skills!G6*IF(Skills!H6&gt;0,Skills!I6/Skills!H6,1)</f>
        <v/>
      </c>
      <c r="H3151">
        <f>1-(1-Skills!J6/100)^Skills!K6</f>
        <v/>
      </c>
      <c r="I3151" t="inlineStr">
        <is>
          <t>1</t>
        </is>
      </c>
      <c r="J3151">
        <f>((Inputs!$B$6*(1+Inputs!$B$7/100))+(((Inputs!$B$12*(1+Inputs!$B$13/100))-(Inputs!$B$12*(1+Inputs!$B$13/100)))+0.25*(Inputs!$B$14-Inputs!$B$14))*(1+Inputs!$B$7/100))*(F3151/100)</f>
        <v/>
      </c>
      <c r="K3151">
        <f>J3151*(1+((Inputs!$B$12*(1+Inputs!$B$13/100))*0.01+Inputs!$B$14*0.0025)/100)*(1+Inputs!$B$15/100)*(1+Inputs!$B$16/100)*(5000/(6000+Inputs!$B$42*(1-(100*(1-(1-(Inputs!$B$19+0)/100)*(1-CHOOSE(ArtifactsInput!$N$40+1,5,6,7,8,9,10)/100)^(ArtifactsInput!$M$40-ArtifactsInput!$M$40)))/100)))*(1+(Inputs!$B$24+((C3169=TRUE)*(F3169-Calc!F24))+((C3170=TRUE)*(F3170-Calc!F25))+B3183)/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3153=TRUE,F3153,0)/100)*(1+(IF(Skills!A6="EMPOWERED_PIERCING_ARROW",Inputs!$B$17+((C3167=TRUE)*(F3167-Calc!F22))+(((IF(AND(ArtifactsInput!$M$42,((Inputs!$B$9+((C3164=TRUE)*(F3164-Calc!F19))+B3177+(ArtifactsInput!$M$24-ArtifactsInput!$M$24)*CHOOSE(ArtifactsInput!$N$24+1,10,12,14,16,18,20)+IF(ArtifactsInput!$M$10,CHOOSE(ArtifactsInput!$N$10+1,15,18,21,24,27,30)*(IF(Inputs!$B$38="pvp",MIN(15,15)/15,IF(AND(Inputs!$B$38&lt;&gt;"pvp",Inputs!$B$43&gt;0),MIN(15,Inputs!$B$43)/(Inputs!$B$43),0))),0)))&gt;=100),MIN(100,((Inputs!$B$9+((C3164=TRUE)*(F3164-Calc!F19))+B3177+(ArtifactsInput!$M$24-ArtifactsInput!$M$24)*CHOOSE(ArtifactsInput!$N$24+1,10,12,14,16,18,20)+IF(ArtifactsInput!$M$10,CHOOSE(ArtifactsInput!$N$10+1,15,18,21,24,27,30)*(IF(Inputs!$B$38="pvp",MIN(15,15)/15,IF(AND(Inputs!$B$38&lt;&gt;"pvp",Inputs!$B$43&gt;0),MIN(15,Inputs!$B$43)/(Inputs!$B$43),0))),0)))-100),0))*CHOOSE(ArtifactsInput!$N$42+1,0.6,0.72,0.84,0.96,1.08,1.2))),Inputs!$B$18+((C3172=TRUE)*(F3172-Calc!F27))+(IF(AND(ArtifactsInput!$M$42,((Inputs!$B$9+((C3164=TRUE)*(F3164-Calc!F19))+B3177+(ArtifactsInput!$M$24-ArtifactsInput!$M$24)*CHOOSE(ArtifactsInput!$N$24+1,10,12,14,16,18,20)+IF(ArtifactsInput!$M$10,CHOOSE(ArtifactsInput!$N$10+1,15,18,21,24,27,30)*(IF(Inputs!$B$38="pvp",MIN(15,15)/15,IF(AND(Inputs!$B$38&lt;&gt;"pvp",Inputs!$B$43&gt;0),MIN(15,Inputs!$B$43)/(Inputs!$B$43),0))),0)))&gt;=100),CHOOSE(ArtifactsInput!$N$42+1,40,48,56,64,72,80),0))))/100)*((1+(((C3158=TRUE)*F3158)+((C3159=TRUE)*IF(Inputs!$B$38="pvp",F3159,(1-Summary!$B$11)*(F3159)+Summary!$B$11*(0)))+((C3160=TRUE)*F3160*IF(AND(Inputs!$B$38&lt;&gt;"pvp",Inputs!$B$43&gt;0),(((R3160-1)*(Skills!T15*(1+Inputs!$B$34/100))+MIN((Skills!T15*(1+Inputs!$B$34/100)),MAX(0,Inputs!$B$43-((R3160-1)*Skills!D15))))/Inputs!$B$43),IF(Inputs!$B$38="pvp",MIN((Skills!T15*(1+Inputs!$B$34/100)),15)/15,(Skills!T15*(1+Inputs!$B$34/100))/Skills!D15)))+((C3157=TRUE)*F3157)+((C3174=TRUE)*(F3174-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3151)</f>
        <v/>
      </c>
      <c r="L3151">
        <f>K3151*(MIN(Inputs!$B$22+((C3168=TRUE)*(F3168-Calc!F23)),(Inputs!$B$23+((C3173=TRUE)*(F3173-Calc!F28))+(IF(ArtifactsInput!$M$15,CHOOSE(ArtifactsInput!$N$15+1,25,30,35,40,45,50)/100*(Inputs!$B$11-Inputs!$B$11),0))))/100+(Inputs!$B$23+((C3173=TRUE)*(F3173-Calc!F28))+(IF(ArtifactsInput!$M$15,CHOOSE(ArtifactsInput!$N$15+1,25,30,35,40,45,50)/100*(Inputs!$B$11-Inputs!$B$11),0)))/100)/2</f>
        <v/>
      </c>
      <c r="M3151">
        <f>L3151*(1+(Inputs!$B$10+0+B3182+(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151">
        <f>L3151*(1-MIN((Inputs!$B$9+((C3164=TRUE)*(F3164-Calc!F19))+B3177+(ArtifactsInput!$M$24-ArtifactsInput!$M$24)*CHOOSE(ArtifactsInput!$N$24+1,10,12,14,16,18,20)+(IF(AND(ArtifactsInput!$M$42,((Inputs!$B$9+((C3164=TRUE)*(F3164-Calc!F19))+B3177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3151*(MIN((Inputs!$B$9+((C3164=TRUE)*(F3164-Calc!F19))+B3177+(ArtifactsInput!$M$24-ArtifactsInput!$M$24)*CHOOSE(ArtifactsInput!$N$24+1,10,12,14,16,18,20)+(IF(AND(ArtifactsInput!$M$42,((Inputs!$B$9+((C3164=TRUE)*(F3164-Calc!F19))+B3177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151">
        <f>(1-Summary!$B$11)*T3151+Summary!$B$11*V3151</f>
        <v/>
      </c>
      <c r="P3151">
        <f>IF(B3187=0,0,O3151/B3187)</f>
        <v/>
      </c>
      <c r="Q3151">
        <f>IFERROR(1/IF(Inputs!$B$38="pvp",15,MAX(0.1,Skills!D6-IF(Skills!E6=TRUE,3.5,0))),0)</f>
        <v/>
      </c>
      <c r="R3151">
        <f>IF(AND(Inputs!$B$38&lt;&gt;"pvp",Inputs!$B$43&gt;0),IF(MAX(0,Inputs!$B$43-B3184)&lt;=0,0,(INT(MAX(0,Inputs!$B$43-B3184)/IF(Inputs!$B$38="pvp",15,MAX(0.1,Skills!D6-IF(Skills!E6=TRUE,3.5,0))))+1)),0)</f>
        <v/>
      </c>
      <c r="S3151">
        <f>IFERROR((H3151*N3151*IF(AND(Inputs!$B$38&lt;&gt;"pvp",Inputs!$B$43&gt;0),((Skills!G6*((R3151-1)*IF(Skills!H6&gt;0,Skills!I6/Skills!H6,1)+IF(Skills!H6&gt;0,MIN(Skills!I6,MAX(0,MAX(0,Inputs!$B$43-B3184)-((R3151-1)*IF(Inputs!$B$38="pvp",15,MAX(0.1,Skills!D6-IF(Skills!E6=TRUE,3.5,0))))))/Skills!H6,1)))/Inputs!$B$43),G3151*Q3151))/N3151*IF(Inputs!$B$38="pvp",1,(1-Summary!$B$11)*1+Summary!$B$11*(MIN(Skills!R6,Inputs!$B$37))),0)</f>
        <v/>
      </c>
      <c r="T3151">
        <f>IF(C3151,(H3151*N3151*IF(AND(Inputs!$B$38&lt;&gt;"pvp",Inputs!$B$43&gt;0),((Skills!G6*((R3151-1)*IF(Skills!H6&gt;0,Skills!I6/Skills!H6,1)+IF(Skills!H6&gt;0,MIN(Skills!I6,MAX(0,MAX(0,Inputs!$B$43-B3184)-((R3151-1)*IF(Inputs!$B$38="pvp",15,MAX(0.1,Skills!D6-IF(Skills!E6=TRUE,3.5,0))))))/Skills!H6,1)))/Inputs!$B$43),G3151*Q3151))*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Hunt"),CHOOSE(ArtifactsInput!$N$35+1,15,18,21,24,27,30)*(1-EXP(-(0.2*B3179)*5)),0)+IF(AND(ArtifactsInput!$M$22,Inputs!$B$4&lt;&gt;"Chapter Hunt"),CHOOSE(ArtifactsInput!$N$22+1,10,12,14,16,18,20)*((0*(((0.15*B3179*5))^0/1)+1*(((0.15*B3179*5))^1/1)+2*(((0.15*B3179*5))^2/2)+3*(((0.15*B3179*5))^3/6)+4*(((0.15*B3179*5))^4/24)+5*(((0.15*B3179*5))^5/120))/((((0.15*B3179*5))^0/1)+(((0.15*B3179*5))^1/1)+(((0.15*B3179*5))^2/2)+(((0.15*B3179*5))^3/6)+(((0.15*B3179*5))^4/24)+(((0.15*B3179*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3151*(1-MIN(100,(Inputs!$B$9+((C3164=TRUE)*(F3164-Calc!F19))+B3177+(ArtifactsInput!$M$24-ArtifactsInput!$M$24)*CHOOSE(ArtifactsInput!$N$24+1,10,12,14,16,18,20)+(IF(AND(ArtifactsInput!$M$42,((Inputs!$B$9+((C3164=TRUE)*(F3164-Calc!F19))+B3177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3151*(MIN(100,(Inputs!$B$9+((C3164=TRUE)*(F3164-Calc!F19))+B3177+(ArtifactsInput!$M$24-ArtifactsInput!$M$24)*CHOOSE(ArtifactsInput!$N$24+1,10,12,14,16,18,20)+(IF(AND(ArtifactsInput!$M$42,((Inputs!$B$9+((C3164=TRUE)*(F3164-Calc!F19))+B3177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3151*(1-MIN(100,(Inputs!$B$9+((C3164=TRUE)*(F3164-Calc!F19))+B3177+(ArtifactsInput!$M$24-ArtifactsInput!$M$24)*CHOOSE(ArtifactsInput!$N$24+1,10,12,14,16,18,20)+(IF(AND(ArtifactsInput!$M$42,((Inputs!$B$9+((C3164=TRUE)*(F3164-Calc!F19))+B3177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3151*(MIN(100,(Inputs!$B$9+((C3164=TRUE)*(F3164-Calc!F19))+B3177+(ArtifactsInput!$M$24-ArtifactsInput!$M$24)*CHOOSE(ArtifactsInput!$N$24+1,10,12,14,16,18,20)+(IF(AND(ArtifactsInput!$M$42,((Inputs!$B$9+((C3164=TRUE)*(F3164-Calc!F19))+B3177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151">
        <f>IF(C3151,(H3151*N3151*IF(AND(Inputs!$B$38&lt;&gt;"pvp",Inputs!$B$43&gt;0),((Skills!G6*((R3151-1)*IF(Skills!H6&gt;0,Skills!I6/Skills!H6,1)+IF(Skills!H6&gt;0,MIN(Skills!I6,MAX(0,MAX(0,Inputs!$B$43-B3184)-((R3151-1)*IF(Inputs!$B$38="pvp",15,MAX(0.1,Skills!D6-IF(Skills!E6=TRUE,3.5,0))))))/Skills!H6,1)))/Inputs!$B$43),G3151*Q3151))*IF(Inputs!$B$38="pvp",1,(1+(Inputs!$B$21+Skills!Q6+(IF(ArtifactsInput!$M$33,CHOOSE(ArtifactsInput!$N$33+1,30,36,42,48,54,60),0))+(IF(AND(ArtifactsInput!$M$35,Inputs!$B$4&lt;&gt;"Chapter Hunt"),CHOOSE(ArtifactsInput!$N$35+1,15,18,21,24,27,30)*(1-EXP(-(0.2*B3179)*5)),0)+IF(AND(ArtifactsInput!$M$22,Inputs!$B$4&lt;&gt;"Chapter Hunt"),CHOOSE(ArtifactsInput!$N$22+1,10,12,14,16,18,20)*((0*(((0.15*B3179*5))^0/1)+1*(((0.15*B3179*5))^1/1)+2*(((0.15*B3179*5))^2/2)+3*(((0.15*B3179*5))^3/6)+4*(((0.15*B3179*5))^4/24)+5*(((0.15*B3179*5))^5/120))/((((0.15*B3179*5))^0/1)+(((0.15*B3179*5))^1/1)+(((0.15*B3179*5))^2/2)+(((0.15*B3179*5))^3/6)+(((0.15*B3179*5))^4/24)+(((0.15*B3179*5))^5/120))),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152">
      <c r="A3152">
        <f>Skills!A7</f>
        <v/>
      </c>
      <c r="B3152">
        <f>Skills!B7</f>
        <v/>
      </c>
      <c r="C3152">
        <f>Inputs!$B$3&gt;=69</f>
        <v/>
      </c>
      <c r="D3152">
        <f>IF(Skills!C7=1,60+Inputs!$B$25+Inputs!$B$29,IF(Skills!C7=2,90+Inputs!$B$26+Inputs!$B$29,IF(Skills!C7=3,120+Inputs!$B$27+Inputs!$B$29,MAX(0,(Inputs!$B$3-100)*3)+Inputs!$B$28+Inputs!$B$29)))</f>
        <v/>
      </c>
      <c r="E3152">
        <f>INDEX(FactorTable!$B$2:$Y$301, MATCH(ROUND(MIN(300,MAX(1,D3152)),0), FactorTable!$A$2:$A$301,0), Skills!M7+1)</f>
        <v/>
      </c>
      <c r="F3152">
        <f>IF(Skills!N7=TRUE,(Skills!L7/10)*(E3152/1000),Skills!L7/10)+Skills!O7</f>
        <v/>
      </c>
      <c r="G3152">
        <f>Skills!G7*IF(Skills!H7&gt;0,Skills!I7/Skills!H7,1)</f>
        <v/>
      </c>
      <c r="H3152">
        <f>1-(1-Skills!J7/100)^Skills!K7</f>
        <v/>
      </c>
      <c r="I3152" t="inlineStr">
        <is>
          <t>1</t>
        </is>
      </c>
      <c r="J3152">
        <f>((Inputs!$B$6*(1+Inputs!$B$7/100))+(((Inputs!$B$12*(1+Inputs!$B$13/100))-(Inputs!$B$12*(1+Inputs!$B$13/100)))+0.25*(Inputs!$B$14-Inputs!$B$14))*(1+Inputs!$B$7/100))*(F3152/100)</f>
        <v/>
      </c>
      <c r="K3152">
        <f>J3152*(1+((Inputs!$B$12*(1+Inputs!$B$13/100))*0.01+Inputs!$B$14*0.0025)/100)*(1+Inputs!$B$15/100)*(1+Inputs!$B$16/100)*(5000/(6000+Inputs!$B$42*(1-(100*(1-(1-(Inputs!$B$19+0)/100)*(1-CHOOSE(ArtifactsInput!$N$40+1,5,6,7,8,9,10)/100)^(ArtifactsInput!$M$40-ArtifactsInput!$M$40)))/100)))*(1+(Inputs!$B$24+((C3169=TRUE)*(F3169-Calc!F24))+((C3170=TRUE)*(F3170-Calc!F25))+B3183)/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+1.2*IF(C3153=TRUE,F3153,0)/100)*(1+(IF(Skills!A7="EMPOWERED_PIERCING_ARROW",Inputs!$B$17+((C3167=TRUE)*(F3167-Calc!F22))+(((IF(AND(ArtifactsInput!$M$42,((Inputs!$B$9+((C3164=TRUE)*(F3164-Calc!F19))+B3177+(ArtifactsInput!$M$24-ArtifactsInput!$M$24)*CHOOSE(ArtifactsInput!$N$24+1,10,12,14,16,18,20)+IF(ArtifactsInput!$M$10,CHOOSE(ArtifactsInput!$N$10+1,15,18,21,24,27,30)*(IF(Inputs!$B$38="pvp",MIN(15,15)/15,IF(AND(Inputs!$B$38&lt;&gt;"pvp",Inputs!$B$43&gt;0),MIN(15,Inputs!$B$43)/(Inputs!$B$43),0))),0)))&gt;=100),MIN(100,((Inputs!$B$9+((C3164=TRUE)*(F3164-Calc!F19))+B3177+(ArtifactsInput!$M$24-ArtifactsInput!$M$24)*CHOOSE(ArtifactsInput!$N$24+1,10,12,14,16,18,20)+IF(ArtifactsInput!$M$10,CHOOSE(ArtifactsInput!$N$10+1,15,18,21,24,27,30)*(IF(Inputs!$B$38="pvp",MIN(15,15)/15,IF(AND(Inputs!$B$38&lt;&gt;"pvp",Inputs!$B$43&gt;0),MIN(15,Inputs!$B$43)/(Inputs!$B$43),0))),0)))-100),0))*CHOOSE(ArtifactsInput!$N$42+1,0.6,0.72,0.84,0.96,1.08,1.2))),Inputs!$B$18+((C3172=TRUE)*(F3172-Calc!F27))+(IF(AND(ArtifactsInput!$M$42,((Inputs!$B$9+((C3164=TRUE)*(F3164-Calc!F19))+B3177+(ArtifactsInput!$M$24-ArtifactsInput!$M$24)*CHOOSE(ArtifactsInput!$N$24+1,10,12,14,16,18,20)+IF(ArtifactsInput!$M$10,CHOOSE(ArtifactsInput!$N$10+1,15,18,21,24,27,30)*(IF(Inputs!$B$38="pvp",MIN(15,15)/15,IF(AND(Inputs!$B$38&lt;&gt;"pvp",Inputs!$B$43&gt;0),MIN(15,Inputs!$B$43)/(Inputs!$B$43),0))),0)))&gt;=100),CHOOSE(ArtifactsInput!$N$42+1,40,48,56,64,72,80),0))))/100)*((1+(((C3158=TRUE)*F3158)+((C3159=TRUE)*IF(Inputs!$B$38="pvp",F3159,(1-Summary!$B$11)*(F3159)+Summary!$B$11*(0)))+((C3160=TRUE)*F3160*IF(AND(Inputs!$B$38&lt;&gt;"pvp",Inputs!$B$43&gt;0),(((R3160-1)*(Skills!T15*(1+Inputs!$B$34/100))+MIN((Skills!T15*(1+Inputs!$B$34/100)),MAX(0,Inputs!$B$43-((R3160-1)*Skills!D15))))/Inputs!$B$43),IF(Inputs!$B$38="pvp",MIN((Skills!T15*(1+Inputs!$B$34/100)),15)/15,(Skills!T15*(1+Inputs!$B$34/100))/Skills!D15)))+((C3157=TRUE)*F3157)+((C3174=TRUE)*(F3174-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3152)</f>
        <v/>
      </c>
      <c r="L3152">
        <f>K3152*(MIN(Inputs!$B$22+((C3168=TRUE)*(F3168-Calc!F23)),(Inputs!$B$23+((C3173=TRUE)*(F3173-Calc!F28))+(IF(ArtifactsInput!$M$15,CHOOSE(ArtifactsInput!$N$15+1,25,30,35,40,45,50)/100*(Inputs!$B$11-Inputs!$B$11),0))))/100+(Inputs!$B$23+((C3173=TRUE)*(F3173-Calc!F28))+(IF(ArtifactsInput!$M$15,CHOOSE(ArtifactsInput!$N$15+1,25,30,35,40,45,50)/100*(Inputs!$B$11-Inputs!$B$11),0)))/100)/2</f>
        <v/>
      </c>
      <c r="M3152">
        <f>L3152*(1+(Inputs!$B$10+0+B3182+(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152">
        <f>L3152*(1-MIN((Inputs!$B$9+((C3164=TRUE)*(F3164-Calc!F19))+B3177+(ArtifactsInput!$M$24-ArtifactsInput!$M$24)*CHOOSE(ArtifactsInput!$N$24+1,10,12,14,16,18,20)+(IF(AND(ArtifactsInput!$M$42,((Inputs!$B$9+((C3164=TRUE)*(F3164-Calc!F19))+B3177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3152*(MIN((Inputs!$B$9+((C3164=TRUE)*(F3164-Calc!F19))+B3177+(ArtifactsInput!$M$24-ArtifactsInput!$M$24)*CHOOSE(ArtifactsInput!$N$24+1,10,12,14,16,18,20)+(IF(AND(ArtifactsInput!$M$42,((Inputs!$B$9+((C3164=TRUE)*(F3164-Calc!F19))+B3177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152">
        <f>(1-Summary!$B$11)*T3152+Summary!$B$11*V3152</f>
        <v/>
      </c>
      <c r="P3152">
        <f>IF(B3187=0,0,O3152/B3187)</f>
        <v/>
      </c>
      <c r="Q3152">
        <f>IFERROR(1/IF(Inputs!$B$38="pvp",15,MAX(0.1,Skills!D7-IF(Skills!E7=TRUE,3.5,0))),0)</f>
        <v/>
      </c>
      <c r="R3152">
        <f>IF(AND(Inputs!$B$38&lt;&gt;"pvp",Inputs!$B$43&gt;0),IF(MAX(0,Inputs!$B$43-B3184)&lt;=0,0,(INT(MAX(0,Inputs!$B$43-B3184)/IF(Inputs!$B$38="pvp",15,MAX(0.1,Skills!D7-IF(Skills!E7=TRUE,3.5,0))))+1)),0)</f>
        <v/>
      </c>
      <c r="S3152">
        <f>IFERROR((H3152*N3152*IF(AND(Inputs!$B$38&lt;&gt;"pvp",Inputs!$B$43&gt;0),((Skills!G7*((R3152-1)*IF(Skills!H7&gt;0,Skills!I7/Skills!H7,1)+IF(Skills!H7&gt;0,MIN(Skills!I7,MAX(0,MAX(0,Inputs!$B$43-B3184)-((R3152-1)*IF(Inputs!$B$38="pvp",15,MAX(0.1,Skills!D7-IF(Skills!E7=TRUE,3.5,0))))))/Skills!H7,1)))/Inputs!$B$43),G3152*Q3152))/N3152*IF(Inputs!$B$38="pvp",1,(1-Summary!$B$11)*1+Summary!$B$11*(MIN(Skills!R7,Inputs!$B$37))),0)</f>
        <v/>
      </c>
      <c r="T3152">
        <f>IF(C3152,(H3152*N3152*IF(AND(Inputs!$B$38&lt;&gt;"pvp",Inputs!$B$43&gt;0),((Skills!G7*((R3152-1)*IF(Skills!H7&gt;0,Skills!I7/Skills!H7,1)+IF(Skills!H7&gt;0,MIN(Skills!I7,MAX(0,MAX(0,Inputs!$B$43-B3184)-((R3152-1)*IF(Inputs!$B$38="pvp",15,MAX(0.1,Skills!D7-IF(Skills!E7=TRUE,3.5,0))))))/Skills!H7,1)))/Inputs!$B$43),G3152*Q3152))*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Hunt"),CHOOSE(ArtifactsInput!$N$35+1,15,18,21,24,27,30)*(1-EXP(-(0.2*B3179)*5)),0)+IF(AND(ArtifactsInput!$M$22,Inputs!$B$4&lt;&gt;"Chapter Hunt"),CHOOSE(ArtifactsInput!$N$22+1,10,12,14,16,18,20)*((0*(((0.15*B3179*5))^0/1)+1*(((0.15*B3179*5))^1/1)+2*(((0.15*B3179*5))^2/2)+3*(((0.15*B3179*5))^3/6)+4*(((0.15*B3179*5))^4/24)+5*(((0.15*B3179*5))^5/120))/((((0.15*B3179*5))^0/1)+(((0.15*B3179*5))^1/1)+(((0.15*B3179*5))^2/2)+(((0.15*B3179*5))^3/6)+(((0.15*B3179*5))^4/24)+(((0.15*B3179*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3152*(1-MIN(100,(Inputs!$B$9+((C3164=TRUE)*(F3164-Calc!F19))+B3177+(ArtifactsInput!$M$24-ArtifactsInput!$M$24)*CHOOSE(ArtifactsInput!$N$24+1,10,12,14,16,18,20)+(IF(AND(ArtifactsInput!$M$42,((Inputs!$B$9+((C3164=TRUE)*(F3164-Calc!F19))+B3177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3152*(MIN(100,(Inputs!$B$9+((C3164=TRUE)*(F3164-Calc!F19))+B3177+(ArtifactsInput!$M$24-ArtifactsInput!$M$24)*CHOOSE(ArtifactsInput!$N$24+1,10,12,14,16,18,20)+(IF(AND(ArtifactsInput!$M$42,((Inputs!$B$9+((C3164=TRUE)*(F3164-Calc!F19))+B3177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3152*(1-MIN(100,(Inputs!$B$9+((C3164=TRUE)*(F3164-Calc!F19))+B3177+(ArtifactsInput!$M$24-ArtifactsInput!$M$24)*CHOOSE(ArtifactsInput!$N$24+1,10,12,14,16,18,20)+(IF(AND(ArtifactsInput!$M$42,((Inputs!$B$9+((C3164=TRUE)*(F3164-Calc!F19))+B3177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3152*(MIN(100,(Inputs!$B$9+((C3164=TRUE)*(F3164-Calc!F19))+B3177+(ArtifactsInput!$M$24-ArtifactsInput!$M$24)*CHOOSE(ArtifactsInput!$N$24+1,10,12,14,16,18,20)+(IF(AND(ArtifactsInput!$M$42,((Inputs!$B$9+((C3164=TRUE)*(F3164-Calc!F19))+B3177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152">
        <f>IF(C3152,(H3152*N3152*IF(AND(Inputs!$B$38&lt;&gt;"pvp",Inputs!$B$43&gt;0),((Skills!G7*((R3152-1)*IF(Skills!H7&gt;0,Skills!I7/Skills!H7,1)+IF(Skills!H7&gt;0,MIN(Skills!I7,MAX(0,MAX(0,Inputs!$B$43-B3184)-((R3152-1)*IF(Inputs!$B$38="pvp",15,MAX(0.1,Skills!D7-IF(Skills!E7=TRUE,3.5,0))))))/Skills!H7,1)))/Inputs!$B$43),G3152*Q3152))*IF(Inputs!$B$38="pvp",1,(1+(Inputs!$B$21+Skills!Q7+(IF(ArtifactsInput!$M$33,CHOOSE(ArtifactsInput!$N$33+1,30,36,42,48,54,60),0))+(IF(AND(ArtifactsInput!$M$35,Inputs!$B$4&lt;&gt;"Chapter Hunt"),CHOOSE(ArtifactsInput!$N$35+1,15,18,21,24,27,30)*(1-EXP(-(0.2*B3179)*5)),0)+IF(AND(ArtifactsInput!$M$22,Inputs!$B$4&lt;&gt;"Chapter Hunt"),CHOOSE(ArtifactsInput!$N$22+1,10,12,14,16,18,20)*((0*(((0.15*B3179*5))^0/1)+1*(((0.15*B3179*5))^1/1)+2*(((0.15*B3179*5))^2/2)+3*(((0.15*B3179*5))^3/6)+4*(((0.15*B3179*5))^4/24)+5*(((0.15*B3179*5))^5/120))/((((0.15*B3179*5))^0/1)+(((0.15*B3179*5))^1/1)+(((0.15*B3179*5))^2/2)+(((0.15*B3179*5))^3/6)+(((0.15*B3179*5))^4/24)+(((0.15*B3179*5))^5/120))),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153">
      <c r="A3153">
        <f>Skills!A8</f>
        <v/>
      </c>
      <c r="B3153">
        <f>Skills!B8</f>
        <v/>
      </c>
      <c r="C3153">
        <f>Inputs!$B$3&gt;=100</f>
        <v/>
      </c>
      <c r="D3153">
        <f>IF(Skills!C8=1,60+Inputs!$B$25+Inputs!$B$29,IF(Skills!C8=2,90+Inputs!$B$26+Inputs!$B$29,IF(Skills!C8=3,120+Inputs!$B$27+Inputs!$B$29,MAX(0,(Inputs!$B$3-100)*3)+Inputs!$B$28+Inputs!$B$29)))</f>
        <v/>
      </c>
      <c r="E3153">
        <f>INDEX(FactorTable!$B$2:$Y$301, MATCH(ROUND(MIN(300,MAX(1,D3153)),0), FactorTable!$A$2:$A$301,0), Skills!M8+1)</f>
        <v/>
      </c>
      <c r="F3153">
        <f>IF(Skills!N8=TRUE,(Skills!L8/10)*(E3153/1000),Skills!L8/10)+Skills!O8</f>
        <v/>
      </c>
      <c r="G3153" t="inlineStr"/>
      <c r="H3153" t="inlineStr"/>
      <c r="I3153" t="inlineStr">
        <is>
          <t>1</t>
        </is>
      </c>
      <c r="J3153" t="inlineStr"/>
      <c r="K3153" t="inlineStr"/>
      <c r="L3153" t="inlineStr"/>
      <c r="M3153" t="inlineStr"/>
      <c r="N3153" t="inlineStr"/>
      <c r="O3153" t="inlineStr"/>
      <c r="P3153" t="inlineStr"/>
      <c r="Q3153" t="inlineStr"/>
      <c r="R3153" t="inlineStr"/>
      <c r="S3153" t="inlineStr"/>
      <c r="T3153" t="inlineStr"/>
      <c r="V3153" t="inlineStr"/>
    </row>
    <row r="3154">
      <c r="A3154">
        <f>Skills!A9</f>
        <v/>
      </c>
      <c r="B3154">
        <f>Skills!B9</f>
        <v/>
      </c>
      <c r="C3154">
        <f>Inputs!$B$3&gt;=103</f>
        <v/>
      </c>
      <c r="D3154">
        <f>IF(Skills!C9=1,60+Inputs!$B$25+Inputs!$B$29,IF(Skills!C9=2,90+Inputs!$B$26+Inputs!$B$29,IF(Skills!C9=3,120+Inputs!$B$27+Inputs!$B$29,MAX(0,(Inputs!$B$3-100)*3)+Inputs!$B$28+Inputs!$B$29)))</f>
        <v/>
      </c>
      <c r="E3154">
        <f>INDEX(FactorTable!$B$2:$Y$301, MATCH(ROUND(MIN(300,MAX(1,D3154)),0), FactorTable!$A$2:$A$301,0), Skills!M9+1)</f>
        <v/>
      </c>
      <c r="F3154">
        <f>IF(Skills!N9=TRUE,(Skills!L9/10)*(E3154/1000),Skills!L9/10)+Skills!O9</f>
        <v/>
      </c>
      <c r="G3154">
        <f>Skills!G9*IF(Skills!H9&gt;0,Skills!I9/Skills!H9,1)</f>
        <v/>
      </c>
      <c r="H3154">
        <f>1-(1-Skills!J9/100)^Skills!K9</f>
        <v/>
      </c>
      <c r="I3154" t="inlineStr">
        <is>
          <t>1</t>
        </is>
      </c>
      <c r="J3154">
        <f>((Inputs!$B$6*(1+Inputs!$B$7/100))+(((Inputs!$B$12*(1+Inputs!$B$13/100))-(Inputs!$B$12*(1+Inputs!$B$13/100)))+0.25*(Inputs!$B$14-Inputs!$B$14))*(1+Inputs!$B$7/100))*(F3154/100)</f>
        <v/>
      </c>
      <c r="K3154">
        <f>J3154*(1+((Inputs!$B$12*(1+Inputs!$B$13/100))*0.01+Inputs!$B$14*0.0025)/100)*(1+Inputs!$B$15/100)*(1+Inputs!$B$16/100)*(5000/(6000+Inputs!$B$42*(1-(100*(1-(1-(Inputs!$B$19+0)/100)*(1-CHOOSE(ArtifactsInput!$N$40+1,5,6,7,8,9,10)/100)^(ArtifactsInput!$M$40-ArtifactsInput!$M$40)))/100)))*(1+(Inputs!$B$24+((C3169=TRUE)*(F3169-Calc!F24))+((C3170=TRUE)*(F3170-Calc!F25))+B3183)/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EMPOWERED_PIERCING_ARROW",Inputs!$B$17+((C3167=TRUE)*(F3167-Calc!F22))+(((IF(AND(ArtifactsInput!$M$42,((Inputs!$B$9+((C3164=TRUE)*(F3164-Calc!F19))+B3177+(ArtifactsInput!$M$24-ArtifactsInput!$M$24)*CHOOSE(ArtifactsInput!$N$24+1,10,12,14,16,18,20)+IF(ArtifactsInput!$M$10,CHOOSE(ArtifactsInput!$N$10+1,15,18,21,24,27,30)*(IF(Inputs!$B$38="pvp",MIN(15,15)/15,IF(AND(Inputs!$B$38&lt;&gt;"pvp",Inputs!$B$43&gt;0),MIN(15,Inputs!$B$43)/(Inputs!$B$43),0))),0)))&gt;=100),MIN(100,((Inputs!$B$9+((C3164=TRUE)*(F3164-Calc!F19))+B3177+(ArtifactsInput!$M$24-ArtifactsInput!$M$24)*CHOOSE(ArtifactsInput!$N$24+1,10,12,14,16,18,20)+IF(ArtifactsInput!$M$10,CHOOSE(ArtifactsInput!$N$10+1,15,18,21,24,27,30)*(IF(Inputs!$B$38="pvp",MIN(15,15)/15,IF(AND(Inputs!$B$38&lt;&gt;"pvp",Inputs!$B$43&gt;0),MIN(15,Inputs!$B$43)/(Inputs!$B$43),0))),0)))-100),0))*CHOOSE(ArtifactsInput!$N$42+1,0.6,0.72,0.84,0.96,1.08,1.2))),Inputs!$B$18+((C3172=TRUE)*(F3172-Calc!F27))+(IF(AND(ArtifactsInput!$M$42,((Inputs!$B$9+((C3164=TRUE)*(F3164-Calc!F19))+B3177+(ArtifactsInput!$M$24-ArtifactsInput!$M$24)*CHOOSE(ArtifactsInput!$N$24+1,10,12,14,16,18,20)+IF(ArtifactsInput!$M$10,CHOOSE(ArtifactsInput!$N$10+1,15,18,21,24,27,30)*(IF(Inputs!$B$38="pvp",MIN(15,15)/15,IF(AND(Inputs!$B$38&lt;&gt;"pvp",Inputs!$B$43&gt;0),MIN(15,Inputs!$B$43)/(Inputs!$B$43),0))),0)))&gt;=100),CHOOSE(ArtifactsInput!$N$42+1,40,48,56,64,72,80),0))))/100)*((1+(((C3158=TRUE)*F3158)+((C3159=TRUE)*IF(Inputs!$B$38="pvp",F3159,(1-Summary!$B$11)*(F3159)+Summary!$B$11*(0)))+((C3160=TRUE)*F3160*IF(AND(Inputs!$B$38&lt;&gt;"pvp",Inputs!$B$43&gt;0),(((R3160-1)*(Skills!T15*(1+Inputs!$B$34/100))+MIN((Skills!T15*(1+Inputs!$B$34/100)),MAX(0,Inputs!$B$43-((R3160-1)*Skills!D15))))/Inputs!$B$43),IF(Inputs!$B$38="pvp",MIN((Skills!T15*(1+Inputs!$B$34/100)),15)/15,(Skills!T15*(1+Inputs!$B$34/100))/Skills!D15)))+((C3157=TRUE)*F3157)+((C3174=TRUE)*(F3174-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3154)</f>
        <v/>
      </c>
      <c r="L3154">
        <f>K3154*(MIN(Inputs!$B$22+((C3168=TRUE)*(F3168-Calc!F23)),(Inputs!$B$23+((C3173=TRUE)*(F3173-Calc!F28))+(IF(ArtifactsInput!$M$15,CHOOSE(ArtifactsInput!$N$15+1,25,30,35,40,45,50)/100*(Inputs!$B$11-Inputs!$B$11),0))))/100+(Inputs!$B$23+((C3173=TRUE)*(F3173-Calc!F28))+(IF(ArtifactsInput!$M$15,CHOOSE(ArtifactsInput!$N$15+1,25,30,35,40,45,50)/100*(Inputs!$B$11-Inputs!$B$11),0)))/100)/2</f>
        <v/>
      </c>
      <c r="M3154">
        <f>L3154*(1+(Inputs!$B$10+0+B3182+(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154">
        <f>L3154*(1-MIN((Inputs!$B$9+((C3164=TRUE)*(F3164-Calc!F19))+B3177+(ArtifactsInput!$M$24-ArtifactsInput!$M$24)*CHOOSE(ArtifactsInput!$N$24+1,10,12,14,16,18,20)+(IF(AND(ArtifactsInput!$M$42,((Inputs!$B$9+((C3164=TRUE)*(F3164-Calc!F19))+B3177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3154*(MIN((Inputs!$B$9+((C3164=TRUE)*(F3164-Calc!F19))+B3177+(ArtifactsInput!$M$24-ArtifactsInput!$M$24)*CHOOSE(ArtifactsInput!$N$24+1,10,12,14,16,18,20)+(IF(AND(ArtifactsInput!$M$42,((Inputs!$B$9+((C3164=TRUE)*(F3164-Calc!F19))+B3177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154">
        <f>(1-Summary!$B$11)*T3154+Summary!$B$11*V3154</f>
        <v/>
      </c>
      <c r="P3154">
        <f>IF(B3187=0,0,O3154/B3187)</f>
        <v/>
      </c>
      <c r="Q3154">
        <f>IFERROR(1/IF(Inputs!$B$38="pvp",15,MAX(0.1,Skills!D9-IF(Skills!E9=TRUE,3.5,0))),0)</f>
        <v/>
      </c>
      <c r="R3154">
        <f>IF(AND(Inputs!$B$38&lt;&gt;"pvp",Inputs!$B$43&gt;0),IF(MAX(0,Inputs!$B$43-B3184)&lt;=0,0,(INT(MAX(0,Inputs!$B$43-B3184)/IF(Inputs!$B$38="pvp",15,MAX(0.1,Skills!D9-IF(Skills!E9=TRUE,3.5,0))))+1)),0)</f>
        <v/>
      </c>
      <c r="S3154">
        <f>IFERROR((H3154*N3154*IF(AND(Inputs!$B$38&lt;&gt;"pvp",Inputs!$B$43&gt;0),((Skills!G9*((R3154-1)*IF(Skills!H9&gt;0,Skills!I9/Skills!H9,1)+IF(Skills!H9&gt;0,MIN(Skills!I9,MAX(0,MAX(0,Inputs!$B$43-B3184)-((R3154-1)*IF(Inputs!$B$38="pvp",15,MAX(0.1,Skills!D9-IF(Skills!E9=TRUE,3.5,0))))))/Skills!H9,1)))/Inputs!$B$43),G3154*Q3154))/N3154*IF(Inputs!$B$38="pvp",1,(1-Summary!$B$11)*1+Summary!$B$11*(MIN(Skills!R9,Inputs!$B$37))),0)</f>
        <v/>
      </c>
      <c r="T3154">
        <f>IF(C3154,(H3154*N3154*IF(AND(Inputs!$B$38&lt;&gt;"pvp",Inputs!$B$43&gt;0),((Skills!G9*((R3154-1)*IF(Skills!H9&gt;0,Skills!I9/Skills!H9,1)+IF(Skills!H9&gt;0,MIN(Skills!I9,MAX(0,MAX(0,Inputs!$B$43-B3184)-((R3154-1)*IF(Inputs!$B$38="pvp",15,MAX(0.1,Skills!D9-IF(Skills!E9=TRUE,3.5,0))))))/Skills!H9,1)))/Inputs!$B$43),G3154*Q3154))*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Hunt"),CHOOSE(ArtifactsInput!$N$35+1,15,18,21,24,27,30)*(1-EXP(-(0.2*B3179)*5)),0)+IF(AND(ArtifactsInput!$M$22,Inputs!$B$4&lt;&gt;"Chapter Hunt"),CHOOSE(ArtifactsInput!$N$22+1,10,12,14,16,18,20)*((0*(((0.15*B3179*5))^0/1)+1*(((0.15*B3179*5))^1/1)+2*(((0.15*B3179*5))^2/2)+3*(((0.15*B3179*5))^3/6)+4*(((0.15*B3179*5))^4/24)+5*(((0.15*B3179*5))^5/120))/((((0.15*B3179*5))^0/1)+(((0.15*B3179*5))^1/1)+(((0.15*B3179*5))^2/2)+(((0.15*B3179*5))^3/6)+(((0.15*B3179*5))^4/24)+(((0.15*B3179*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3154*(1-MIN(100,(Inputs!$B$9+((C3164=TRUE)*(F3164-Calc!F19))+B3177+(ArtifactsInput!$M$24-ArtifactsInput!$M$24)*CHOOSE(ArtifactsInput!$N$24+1,10,12,14,16,18,20)+(IF(AND(ArtifactsInput!$M$42,((Inputs!$B$9+((C3164=TRUE)*(F3164-Calc!F19))+B3177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3154*(MIN(100,(Inputs!$B$9+((C3164=TRUE)*(F3164-Calc!F19))+B3177+(ArtifactsInput!$M$24-ArtifactsInput!$M$24)*CHOOSE(ArtifactsInput!$N$24+1,10,12,14,16,18,20)+(IF(AND(ArtifactsInput!$M$42,((Inputs!$B$9+((C3164=TRUE)*(F3164-Calc!F19))+B3177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3154*(1-MIN(100,(Inputs!$B$9+((C3164=TRUE)*(F3164-Calc!F19))+B3177+(ArtifactsInput!$M$24-ArtifactsInput!$M$24)*CHOOSE(ArtifactsInput!$N$24+1,10,12,14,16,18,20)+(IF(AND(ArtifactsInput!$M$42,((Inputs!$B$9+((C3164=TRUE)*(F3164-Calc!F19))+B3177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3154*(MIN(100,(Inputs!$B$9+((C3164=TRUE)*(F3164-Calc!F19))+B3177+(ArtifactsInput!$M$24-ArtifactsInput!$M$24)*CHOOSE(ArtifactsInput!$N$24+1,10,12,14,16,18,20)+(IF(AND(ArtifactsInput!$M$42,((Inputs!$B$9+((C3164=TRUE)*(F3164-Calc!F19))+B3177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154">
        <f>IF(C3154,(H3154*N3154*IF(AND(Inputs!$B$38&lt;&gt;"pvp",Inputs!$B$43&gt;0),((Skills!G9*((R3154-1)*IF(Skills!H9&gt;0,Skills!I9/Skills!H9,1)+IF(Skills!H9&gt;0,MIN(Skills!I9,MAX(0,MAX(0,Inputs!$B$43-B3184)-((R3154-1)*IF(Inputs!$B$38="pvp",15,MAX(0.1,Skills!D9-IF(Skills!E9=TRUE,3.5,0))))))/Skills!H9,1)))/Inputs!$B$43),G3154*Q3154))*IF(Inputs!$B$38="pvp",1,(1+(Inputs!$B$21+Skills!Q9+(IF(ArtifactsInput!$M$33,CHOOSE(ArtifactsInput!$N$33+1,30,36,42,48,54,60),0))+(IF(AND(ArtifactsInput!$M$35,Inputs!$B$4&lt;&gt;"Chapter Hunt"),CHOOSE(ArtifactsInput!$N$35+1,15,18,21,24,27,30)*(1-EXP(-(0.2*B3179)*5)),0)+IF(AND(ArtifactsInput!$M$22,Inputs!$B$4&lt;&gt;"Chapter Hunt"),CHOOSE(ArtifactsInput!$N$22+1,10,12,14,16,18,20)*((0*(((0.15*B3179*5))^0/1)+1*(((0.15*B3179*5))^1/1)+2*(((0.15*B3179*5))^2/2)+3*(((0.15*B3179*5))^3/6)+4*(((0.15*B3179*5))^4/24)+5*(((0.15*B3179*5))^5/120))/((((0.15*B3179*5))^0/1)+(((0.15*B3179*5))^1/1)+(((0.15*B3179*5))^2/2)+(((0.15*B3179*5))^3/6)+(((0.15*B3179*5))^4/24)+(((0.15*B3179*5))^5/120)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155">
      <c r="A3155">
        <f>Skills!A10</f>
        <v/>
      </c>
      <c r="B3155">
        <f>Skills!B10</f>
        <v/>
      </c>
      <c r="C3155">
        <f>Inputs!$B$3&gt;=107</f>
        <v/>
      </c>
      <c r="D3155">
        <f>IF(Skills!C10=1,60+Inputs!$B$25+Inputs!$B$29,IF(Skills!C10=2,90+Inputs!$B$26+Inputs!$B$29,IF(Skills!C10=3,120+Inputs!$B$27+Inputs!$B$29,MAX(0,(Inputs!$B$3-100)*3)+Inputs!$B$28+Inputs!$B$29)))</f>
        <v/>
      </c>
      <c r="E3155">
        <f>INDEX(FactorTable!$B$2:$Y$301, MATCH(ROUND(MIN(300,MAX(1,D3155)),0), FactorTable!$A$2:$A$301,0), Skills!M10+1)</f>
        <v/>
      </c>
      <c r="F3155">
        <f>IF(Skills!N10=TRUE,(Skills!L10/10)*(E3155/1000),Skills!L10/10)+Skills!O10</f>
        <v/>
      </c>
      <c r="G3155">
        <f>Skills!G10*IF(Skills!H10&gt;0,Skills!I10/Skills!H10,1)</f>
        <v/>
      </c>
      <c r="H3155">
        <f>1-(1-Skills!J10/100)^Skills!K10</f>
        <v/>
      </c>
      <c r="I3155" t="inlineStr">
        <is>
          <t>1</t>
        </is>
      </c>
      <c r="J3155">
        <f>((Inputs!$B$6*(1+Inputs!$B$7/100))+(((Inputs!$B$12*(1+Inputs!$B$13/100))-(Inputs!$B$12*(1+Inputs!$B$13/100)))+0.25*(Inputs!$B$14-Inputs!$B$14))*(1+Inputs!$B$7/100))*(F3155/100)</f>
        <v/>
      </c>
      <c r="K3155">
        <f>J3155*(1+((Inputs!$B$12*(1+Inputs!$B$13/100))*0.01+Inputs!$B$14*0.0025)/100)*(1+Inputs!$B$15/100)*(1+Inputs!$B$16/100)*(5000/(6000+Inputs!$B$42*(1-(100*(1-(1-(Inputs!$B$19+0)/100)*(1-CHOOSE(ArtifactsInput!$N$40+1,5,6,7,8,9,10)/100)^(ArtifactsInput!$M$40-ArtifactsInput!$M$40)))/100)))*(1+(Inputs!$B$24+((C3169=TRUE)*(F3169-Calc!F24))+((C3170=TRUE)*(F3170-Calc!F25))+B3183)/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EMPOWERED_PIERCING_ARROW",Inputs!$B$17+((C3167=TRUE)*(F3167-Calc!F22))+(((IF(AND(ArtifactsInput!$M$42,((Inputs!$B$9+((C3164=TRUE)*(F3164-Calc!F19))+B3177+(ArtifactsInput!$M$24-ArtifactsInput!$M$24)*CHOOSE(ArtifactsInput!$N$24+1,10,12,14,16,18,20)+IF(ArtifactsInput!$M$10,CHOOSE(ArtifactsInput!$N$10+1,15,18,21,24,27,30)*(IF(Inputs!$B$38="pvp",MIN(15,15)/15,IF(AND(Inputs!$B$38&lt;&gt;"pvp",Inputs!$B$43&gt;0),MIN(15,Inputs!$B$43)/(Inputs!$B$43),0))),0)))&gt;=100),MIN(100,((Inputs!$B$9+((C3164=TRUE)*(F3164-Calc!F19))+B3177+(ArtifactsInput!$M$24-ArtifactsInput!$M$24)*CHOOSE(ArtifactsInput!$N$24+1,10,12,14,16,18,20)+IF(ArtifactsInput!$M$10,CHOOSE(ArtifactsInput!$N$10+1,15,18,21,24,27,30)*(IF(Inputs!$B$38="pvp",MIN(15,15)/15,IF(AND(Inputs!$B$38&lt;&gt;"pvp",Inputs!$B$43&gt;0),MIN(15,Inputs!$B$43)/(Inputs!$B$43),0))),0)))-100),0))*CHOOSE(ArtifactsInput!$N$42+1,0.6,0.72,0.84,0.96,1.08,1.2))),Inputs!$B$18+((C3172=TRUE)*(F3172-Calc!F27))+(IF(AND(ArtifactsInput!$M$42,((Inputs!$B$9+((C3164=TRUE)*(F3164-Calc!F19))+B3177+(ArtifactsInput!$M$24-ArtifactsInput!$M$24)*CHOOSE(ArtifactsInput!$N$24+1,10,12,14,16,18,20)+IF(ArtifactsInput!$M$10,CHOOSE(ArtifactsInput!$N$10+1,15,18,21,24,27,30)*(IF(Inputs!$B$38="pvp",MIN(15,15)/15,IF(AND(Inputs!$B$38&lt;&gt;"pvp",Inputs!$B$43&gt;0),MIN(15,Inputs!$B$43)/(Inputs!$B$43),0))),0)))&gt;=100),CHOOSE(ArtifactsInput!$N$42+1,40,48,56,64,72,80),0))))/100)*((1+(((C3158=TRUE)*F3158)+((C3159=TRUE)*IF(Inputs!$B$38="pvp",F3159,(1-Summary!$B$11)*(F3159)+Summary!$B$11*(0)))+((C3160=TRUE)*F3160*IF(AND(Inputs!$B$38&lt;&gt;"pvp",Inputs!$B$43&gt;0),(((R3160-1)*(Skills!T15*(1+Inputs!$B$34/100))+MIN((Skills!T15*(1+Inputs!$B$34/100)),MAX(0,Inputs!$B$43-((R3160-1)*Skills!D15))))/Inputs!$B$43),IF(Inputs!$B$38="pvp",MIN((Skills!T15*(1+Inputs!$B$34/100)),15)/15,(Skills!T15*(1+Inputs!$B$34/100))/Skills!D15)))+((C3157=TRUE)*F3157)+((C3174=TRUE)*(F3174-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3155)</f>
        <v/>
      </c>
      <c r="L3155">
        <f>K3155*(MIN(Inputs!$B$22+((C3168=TRUE)*(F3168-Calc!F23)),(Inputs!$B$23+((C3173=TRUE)*(F3173-Calc!F28))+(IF(ArtifactsInput!$M$15,CHOOSE(ArtifactsInput!$N$15+1,25,30,35,40,45,50)/100*(Inputs!$B$11-Inputs!$B$11),0))))/100+(Inputs!$B$23+((C3173=TRUE)*(F3173-Calc!F28))+(IF(ArtifactsInput!$M$15,CHOOSE(ArtifactsInput!$N$15+1,25,30,35,40,45,50)/100*(Inputs!$B$11-Inputs!$B$11),0)))/100)/2</f>
        <v/>
      </c>
      <c r="M3155">
        <f>L3155*(1+(Inputs!$B$10+0+B3182+(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155">
        <f>L3155*(1-MIN((Inputs!$B$9+((C3164=TRUE)*(F3164-Calc!F19))+B3177+(ArtifactsInput!$M$24-ArtifactsInput!$M$24)*CHOOSE(ArtifactsInput!$N$24+1,10,12,14,16,18,20)+(IF(AND(ArtifactsInput!$M$42,((Inputs!$B$9+((C3164=TRUE)*(F3164-Calc!F19))+B3177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3155*(MIN((Inputs!$B$9+((C3164=TRUE)*(F3164-Calc!F19))+B3177+(ArtifactsInput!$M$24-ArtifactsInput!$M$24)*CHOOSE(ArtifactsInput!$N$24+1,10,12,14,16,18,20)+(IF(AND(ArtifactsInput!$M$42,((Inputs!$B$9+((C3164=TRUE)*(F3164-Calc!F19))+B3177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155">
        <f>(1-Summary!$B$11)*T3155+Summary!$B$11*V3155</f>
        <v/>
      </c>
      <c r="P3155">
        <f>IF(B3187=0,0,O3155/B3187)</f>
        <v/>
      </c>
      <c r="Q3155" t="n">
        <v>0</v>
      </c>
      <c r="R3155" t="n">
        <v>0</v>
      </c>
      <c r="S3155" t="n">
        <v>0</v>
      </c>
      <c r="T3155">
        <f>IF(C3155,(0.15*SUMPRODUCT((Skills!U2:U29=TRUE)*(C3147:C3174=TRUE)*S3147:S3174)*Skills!G10*N3155)*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Hunt"),CHOOSE(ArtifactsInput!$N$35+1,15,18,21,24,27,30)*(1-EXP(-(0.2*B3179)*5)),0)+IF(AND(ArtifactsInput!$M$22,Inputs!$B$4&lt;&gt;"Chapter Hunt"),CHOOSE(ArtifactsInput!$N$22+1,10,12,14,16,18,20)*((0*(((0.15*B3179*5))^0/1)+1*(((0.15*B3179*5))^1/1)+2*(((0.15*B3179*5))^2/2)+3*(((0.15*B3179*5))^3/6)+4*(((0.15*B3179*5))^4/24)+5*(((0.15*B3179*5))^5/120))/((((0.15*B3179*5))^0/1)+(((0.15*B3179*5))^1/1)+(((0.15*B3179*5))^2/2)+(((0.15*B3179*5))^3/6)+(((0.15*B3179*5))^4/24)+(((0.15*B3179*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3155*(1-MIN(100,(Inputs!$B$9+((C3164=TRUE)*(F3164-Calc!F19))+B3177+(ArtifactsInput!$M$24-ArtifactsInput!$M$24)*CHOOSE(ArtifactsInput!$N$24+1,10,12,14,16,18,20)+(IF(AND(ArtifactsInput!$M$42,((Inputs!$B$9+((C3164=TRUE)*(F3164-Calc!F19))+B3177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3155*(MIN(100,(Inputs!$B$9+((C3164=TRUE)*(F3164-Calc!F19))+B3177+(ArtifactsInput!$M$24-ArtifactsInput!$M$24)*CHOOSE(ArtifactsInput!$N$24+1,10,12,14,16,18,20)+(IF(AND(ArtifactsInput!$M$42,((Inputs!$B$9+((C3164=TRUE)*(F3164-Calc!F19))+B3177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3155*(1-MIN(100,(Inputs!$B$9+((C3164=TRUE)*(F3164-Calc!F19))+B3177+(ArtifactsInput!$M$24-ArtifactsInput!$M$24)*CHOOSE(ArtifactsInput!$N$24+1,10,12,14,16,18,20)+(IF(AND(ArtifactsInput!$M$42,((Inputs!$B$9+((C3164=TRUE)*(F3164-Calc!F19))+B3177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3155*(MIN(100,(Inputs!$B$9+((C3164=TRUE)*(F3164-Calc!F19))+B3177+(ArtifactsInput!$M$24-ArtifactsInput!$M$24)*CHOOSE(ArtifactsInput!$N$24+1,10,12,14,16,18,20)+(IF(AND(ArtifactsInput!$M$42,((Inputs!$B$9+((C3164=TRUE)*(F3164-Calc!F19))+B3177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155">
        <f>IF(C3155,(0.15*SUMPRODUCT((Skills!U2:U29=TRUE)*(C3147:C3174=TRUE)*S3147:S3174)*Skills!G10*N3155)*IF(Inputs!$B$38="pvp",1,(1+(Inputs!$B$21+Skills!Q10+(IF(ArtifactsInput!$M$33,CHOOSE(ArtifactsInput!$N$33+1,30,36,42,48,54,60),0))+(IF(AND(ArtifactsInput!$M$35,Inputs!$B$4&lt;&gt;"Chapter Hunt"),CHOOSE(ArtifactsInput!$N$35+1,15,18,21,24,27,30)*(1-EXP(-(0.2*B3179)*5)),0)+IF(AND(ArtifactsInput!$M$22,Inputs!$B$4&lt;&gt;"Chapter Hunt"),CHOOSE(ArtifactsInput!$N$22+1,10,12,14,16,18,20)*((0*(((0.15*B3179*5))^0/1)+1*(((0.15*B3179*5))^1/1)+2*(((0.15*B3179*5))^2/2)+3*(((0.15*B3179*5))^3/6)+4*(((0.15*B3179*5))^4/24)+5*(((0.15*B3179*5))^5/120))/((((0.15*B3179*5))^0/1)+(((0.15*B3179*5))^1/1)+(((0.15*B3179*5))^2/2)+(((0.15*B3179*5))^3/6)+(((0.15*B3179*5))^4/24)+(((0.15*B3179*5))^5/120)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156">
      <c r="A3156">
        <f>Skills!A11</f>
        <v/>
      </c>
      <c r="B3156">
        <f>Skills!B11</f>
        <v/>
      </c>
      <c r="C3156">
        <f>Inputs!$B$3&gt;=110</f>
        <v/>
      </c>
      <c r="D3156">
        <f>IF(Skills!C11=1,60+Inputs!$B$25+Inputs!$B$29,IF(Skills!C11=2,90+Inputs!$B$26+Inputs!$B$29,IF(Skills!C11=3,120+Inputs!$B$27+Inputs!$B$29,MAX(0,(Inputs!$B$3-100)*3)+Inputs!$B$28+Inputs!$B$29)))</f>
        <v/>
      </c>
      <c r="E3156">
        <f>INDEX(FactorTable!$B$2:$Y$301, MATCH(ROUND(MIN(300,MAX(1,D3156)),0), FactorTable!$A$2:$A$301,0), Skills!M11+1)</f>
        <v/>
      </c>
      <c r="F3156">
        <f>IF(Skills!N11=TRUE,(Skills!L11/10)*(E3156/1000),Skills!L11/10)+Skills!O11</f>
        <v/>
      </c>
      <c r="G3156">
        <f>Skills!G11*IF(Skills!H11&gt;0,Skills!I11/Skills!H11,1)</f>
        <v/>
      </c>
      <c r="H3156">
        <f>1-(1-Skills!J11/100)^Skills!K11</f>
        <v/>
      </c>
      <c r="I3156" t="inlineStr">
        <is>
          <t>1</t>
        </is>
      </c>
      <c r="J3156">
        <f>((Inputs!$B$6*(1+Inputs!$B$7/100))+(((Inputs!$B$12*(1+Inputs!$B$13/100))-(Inputs!$B$12*(1+Inputs!$B$13/100)))+0.25*(Inputs!$B$14-Inputs!$B$14))*(1+Inputs!$B$7/100))*(F3156/100)</f>
        <v/>
      </c>
      <c r="K3156">
        <f>J3156*(1+((Inputs!$B$12*(1+Inputs!$B$13/100))*0.01+Inputs!$B$14*0.0025)/100)*(1+Inputs!$B$15/100)*(1+Inputs!$B$16/100)*(5000/(6000+Inputs!$B$42*(1-(100*(1-(1-(Inputs!$B$19+0)/100)*(1-CHOOSE(ArtifactsInput!$N$40+1,5,6,7,8,9,10)/100)^(ArtifactsInput!$M$40-ArtifactsInput!$M$40)))/100)))*(1+(Inputs!$B$24+((C3169=TRUE)*(F3169-Calc!F24))+((C3170=TRUE)*(F3170-Calc!F25))+B3183)/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11="EMPOWERED_PIERCING_ARROW",Inputs!$B$17+((C3167=TRUE)*(F3167-Calc!F22))+(((IF(AND(ArtifactsInput!$M$42,((Inputs!$B$9+((C3164=TRUE)*(F3164-Calc!F19))+B3177+(ArtifactsInput!$M$24-ArtifactsInput!$M$24)*CHOOSE(ArtifactsInput!$N$24+1,10,12,14,16,18,20)+IF(ArtifactsInput!$M$10,CHOOSE(ArtifactsInput!$N$10+1,15,18,21,24,27,30)*(IF(Inputs!$B$38="pvp",MIN(15,15)/15,IF(AND(Inputs!$B$38&lt;&gt;"pvp",Inputs!$B$43&gt;0),MIN(15,Inputs!$B$43)/(Inputs!$B$43),0))),0)))&gt;=100),MIN(100,((Inputs!$B$9+((C3164=TRUE)*(F3164-Calc!F19))+B3177+(ArtifactsInput!$M$24-ArtifactsInput!$M$24)*CHOOSE(ArtifactsInput!$N$24+1,10,12,14,16,18,20)+IF(ArtifactsInput!$M$10,CHOOSE(ArtifactsInput!$N$10+1,15,18,21,24,27,30)*(IF(Inputs!$B$38="pvp",MIN(15,15)/15,IF(AND(Inputs!$B$38&lt;&gt;"pvp",Inputs!$B$43&gt;0),MIN(15,Inputs!$B$43)/(Inputs!$B$43),0))),0)))-100),0))*CHOOSE(ArtifactsInput!$N$42+1,0.6,0.72,0.84,0.96,1.08,1.2))),Inputs!$B$18+((C3172=TRUE)*(F3172-Calc!F27))+(IF(AND(ArtifactsInput!$M$42,((Inputs!$B$9+((C3164=TRUE)*(F3164-Calc!F19))+B3177+(ArtifactsInput!$M$24-ArtifactsInput!$M$24)*CHOOSE(ArtifactsInput!$N$24+1,10,12,14,16,18,20)+IF(ArtifactsInput!$M$10,CHOOSE(ArtifactsInput!$N$10+1,15,18,21,24,27,30)*(IF(Inputs!$B$38="pvp",MIN(15,15)/15,IF(AND(Inputs!$B$38&lt;&gt;"pvp",Inputs!$B$43&gt;0),MIN(15,Inputs!$B$43)/(Inputs!$B$43),0))),0)))&gt;=100),CHOOSE(ArtifactsInput!$N$42+1,40,48,56,64,72,80),0))))/100)*((1+(((C3158=TRUE)*F3158)+((C3159=TRUE)*IF(Inputs!$B$38="pvp",F3159,(1-Summary!$B$11)*(F3159)+Summary!$B$11*(0)))+((C3160=TRUE)*F3160*IF(AND(Inputs!$B$38&lt;&gt;"pvp",Inputs!$B$43&gt;0),(((R3160-1)*(Skills!T15*(1+Inputs!$B$34/100))+MIN((Skills!T15*(1+Inputs!$B$34/100)),MAX(0,Inputs!$B$43-((R3160-1)*Skills!D15))))/Inputs!$B$43),IF(Inputs!$B$38="pvp",MIN((Skills!T15*(1+Inputs!$B$34/100)),15)/15,(Skills!T15*(1+Inputs!$B$34/100))/Skills!D15)))+((C3157=TRUE)*F3157)+((C3174=TRUE)*(F3174-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3156)</f>
        <v/>
      </c>
      <c r="L3156">
        <f>K3156*(MIN(Inputs!$B$22+((C3168=TRUE)*(F3168-Calc!F23)),(Inputs!$B$23+((C3173=TRUE)*(F3173-Calc!F28))+(IF(ArtifactsInput!$M$15,CHOOSE(ArtifactsInput!$N$15+1,25,30,35,40,45,50)/100*(Inputs!$B$11-Inputs!$B$11),0))))/100+(Inputs!$B$23+((C3173=TRUE)*(F3173-Calc!F28))+(IF(ArtifactsInput!$M$15,CHOOSE(ArtifactsInput!$N$15+1,25,30,35,40,45,50)/100*(Inputs!$B$11-Inputs!$B$11),0)))/100)/2</f>
        <v/>
      </c>
      <c r="M3156">
        <f>L3156*(1+(Inputs!$B$10+0+B3182+(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156">
        <f>L3156*(1-MIN((Inputs!$B$9+((C3164=TRUE)*(F3164-Calc!F19))+B3177+(ArtifactsInput!$M$24-ArtifactsInput!$M$24)*CHOOSE(ArtifactsInput!$N$24+1,10,12,14,16,18,20)+(IF(AND(ArtifactsInput!$M$42,((Inputs!$B$9+((C3164=TRUE)*(F3164-Calc!F19))+B3177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3156*(MIN((Inputs!$B$9+((C3164=TRUE)*(F3164-Calc!F19))+B3177+(ArtifactsInput!$M$24-ArtifactsInput!$M$24)*CHOOSE(ArtifactsInput!$N$24+1,10,12,14,16,18,20)+(IF(AND(ArtifactsInput!$M$42,((Inputs!$B$9+((C3164=TRUE)*(F3164-Calc!F19))+B3177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156">
        <f>(1-Summary!$B$11)*T3156+Summary!$B$11*V3156</f>
        <v/>
      </c>
      <c r="P3156">
        <f>IF(B3187=0,0,O3156/B3187)</f>
        <v/>
      </c>
      <c r="Q3156">
        <f>IFERROR(1/IF(Inputs!$B$38="pvp",15,MAX(0.1,Skills!D11-IF(Skills!E11=TRUE,3.5,0))),0)</f>
        <v/>
      </c>
      <c r="R3156">
        <f>IF(AND(Inputs!$B$38&lt;&gt;"pvp",Inputs!$B$43&gt;0),IF(MAX(0,Inputs!$B$43-B3184)&lt;=0,0,(INT(MAX(0,Inputs!$B$43-B3184)/IF(Inputs!$B$38="pvp",15,MAX(0.1,Skills!D11-IF(Skills!E11=TRUE,3.5,0))))+1)),0)</f>
        <v/>
      </c>
      <c r="S3156">
        <f>IFERROR((H3156*N3156*IF(AND(Inputs!$B$38&lt;&gt;"pvp",Inputs!$B$43&gt;0),((Skills!G11*((R3156-1)*IF(Skills!H11&gt;0,Skills!I11/Skills!H11,1)+IF(Skills!H11&gt;0,MIN(Skills!I11,MAX(0,MAX(0,Inputs!$B$43-B3184)-((R3156-1)*IF(Inputs!$B$38="pvp",15,MAX(0.1,Skills!D11-IF(Skills!E11=TRUE,3.5,0))))))/Skills!H11,1)))/Inputs!$B$43),G3156*Q3156))/N3156*IF(Inputs!$B$38="pvp",1,(1-Summary!$B$11)*1+Summary!$B$11*(MIN(Skills!R11,Inputs!$B$37))),0)</f>
        <v/>
      </c>
      <c r="T3156">
        <f>IF(C3156,(H3156*N3156*IF(AND(Inputs!$B$38&lt;&gt;"pvp",Inputs!$B$43&gt;0),((Skills!G11*((R3156-1)*IF(Skills!H11&gt;0,Skills!I11/Skills!H11,1)+IF(Skills!H11&gt;0,MIN(Skills!I11,MAX(0,MAX(0,Inputs!$B$43-B3184)-((R3156-1)*IF(Inputs!$B$38="pvp",15,MAX(0.1,Skills!D11-IF(Skills!E11=TRUE,3.5,0))))))/Skills!H11,1)))/Inputs!$B$43),G3156*Q3156))*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Hunt"),CHOOSE(ArtifactsInput!$N$35+1,15,18,21,24,27,30)*(1-EXP(-(0.2*B3179)*5)),0)+IF(AND(ArtifactsInput!$M$22,Inputs!$B$4&lt;&gt;"Chapter Hunt"),CHOOSE(ArtifactsInput!$N$22+1,10,12,14,16,18,20)*((0*(((0.15*B3179*5))^0/1)+1*(((0.15*B3179*5))^1/1)+2*(((0.15*B3179*5))^2/2)+3*(((0.15*B3179*5))^3/6)+4*(((0.15*B3179*5))^4/24)+5*(((0.15*B3179*5))^5/120))/((((0.15*B3179*5))^0/1)+(((0.15*B3179*5))^1/1)+(((0.15*B3179*5))^2/2)+(((0.15*B3179*5))^3/6)+(((0.15*B3179*5))^4/24)+(((0.15*B3179*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3156*(1-MIN(100,(Inputs!$B$9+((C3164=TRUE)*(F3164-Calc!F19))+B3177+(ArtifactsInput!$M$24-ArtifactsInput!$M$24)*CHOOSE(ArtifactsInput!$N$24+1,10,12,14,16,18,20)+(IF(AND(ArtifactsInput!$M$42,((Inputs!$B$9+((C3164=TRUE)*(F3164-Calc!F19))+B3177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3156*(MIN(100,(Inputs!$B$9+((C3164=TRUE)*(F3164-Calc!F19))+B3177+(ArtifactsInput!$M$24-ArtifactsInput!$M$24)*CHOOSE(ArtifactsInput!$N$24+1,10,12,14,16,18,20)+(IF(AND(ArtifactsInput!$M$42,((Inputs!$B$9+((C3164=TRUE)*(F3164-Calc!F19))+B3177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3156*(1-MIN(100,(Inputs!$B$9+((C3164=TRUE)*(F3164-Calc!F19))+B3177+(ArtifactsInput!$M$24-ArtifactsInput!$M$24)*CHOOSE(ArtifactsInput!$N$24+1,10,12,14,16,18,20)+(IF(AND(ArtifactsInput!$M$42,((Inputs!$B$9+((C3164=TRUE)*(F3164-Calc!F19))+B3177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3156*(MIN(100,(Inputs!$B$9+((C3164=TRUE)*(F3164-Calc!F19))+B3177+(ArtifactsInput!$M$24-ArtifactsInput!$M$24)*CHOOSE(ArtifactsInput!$N$24+1,10,12,14,16,18,20)+(IF(AND(ArtifactsInput!$M$42,((Inputs!$B$9+((C3164=TRUE)*(F3164-Calc!F19))+B3177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156">
        <f>IF(C3156,(H3156*N3156*IF(AND(Inputs!$B$38&lt;&gt;"pvp",Inputs!$B$43&gt;0),((Skills!G11*((R3156-1)*IF(Skills!H11&gt;0,Skills!I11/Skills!H11,1)+IF(Skills!H11&gt;0,MIN(Skills!I11,MAX(0,MAX(0,Inputs!$B$43-B3184)-((R3156-1)*IF(Inputs!$B$38="pvp",15,MAX(0.1,Skills!D11-IF(Skills!E11=TRUE,3.5,0))))))/Skills!H11,1)))/Inputs!$B$43),G3156*Q3156))*IF(Inputs!$B$38="pvp",1,(1+(Inputs!$B$21+Skills!Q11+(IF(ArtifactsInput!$M$33,CHOOSE(ArtifactsInput!$N$33+1,30,36,42,48,54,60),0))+(IF(AND(ArtifactsInput!$M$35,Inputs!$B$4&lt;&gt;"Chapter Hunt"),CHOOSE(ArtifactsInput!$N$35+1,15,18,21,24,27,30)*(1-EXP(-(0.2*B3179)*5)),0)+IF(AND(ArtifactsInput!$M$22,Inputs!$B$4&lt;&gt;"Chapter Hunt"),CHOOSE(ArtifactsInput!$N$22+1,10,12,14,16,18,20)*((0*(((0.15*B3179*5))^0/1)+1*(((0.15*B3179*5))^1/1)+2*(((0.15*B3179*5))^2/2)+3*(((0.15*B3179*5))^3/6)+4*(((0.15*B3179*5))^4/24)+5*(((0.15*B3179*5))^5/120))/((((0.15*B3179*5))^0/1)+(((0.15*B3179*5))^1/1)+(((0.15*B3179*5))^2/2)+(((0.15*B3179*5))^3/6)+(((0.15*B3179*5))^4/24)+(((0.15*B3179*5))^5/120))),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157">
      <c r="A3157">
        <f>Skills!A12</f>
        <v/>
      </c>
      <c r="B3157">
        <f>Skills!B12</f>
        <v/>
      </c>
      <c r="C3157">
        <f>Inputs!$B$3&gt;=60</f>
        <v/>
      </c>
      <c r="D3157">
        <f>IF(Skills!C12=1,60+Inputs!$B$25+Inputs!$B$29,IF(Skills!C12=2,90+Inputs!$B$26+Inputs!$B$29,IF(Skills!C12=3,120+Inputs!$B$27+Inputs!$B$29,MAX(0,(Inputs!$B$3-100)*3)+Inputs!$B$28+Inputs!$B$29)))</f>
        <v/>
      </c>
      <c r="E3157">
        <f>INDEX(FactorTable!$B$2:$Y$301, MATCH(ROUND(MIN(300,MAX(1,D3157)),0), FactorTable!$A$2:$A$301,0), Skills!M12+1)</f>
        <v/>
      </c>
      <c r="F3157">
        <f>IF(Skills!N12=TRUE,(Skills!L12/10)*(E3157/1000),Skills!L12/10)+Skills!O12</f>
        <v/>
      </c>
      <c r="G3157">
        <f>Skills!G12*IF(Skills!H12&gt;0,Skills!I12/Skills!H12,1)</f>
        <v/>
      </c>
      <c r="H3157">
        <f>1-(1-Skills!J12/100)^Skills!K12</f>
        <v/>
      </c>
      <c r="I3157" t="inlineStr">
        <is>
          <t>1</t>
        </is>
      </c>
      <c r="J3157" t="inlineStr"/>
      <c r="K3157" t="inlineStr"/>
      <c r="L3157" t="inlineStr"/>
      <c r="M3157" t="inlineStr"/>
      <c r="N3157" t="inlineStr"/>
      <c r="O3157">
        <f>(1-Summary!$B$11)*T3157+Summary!$B$11*V3157</f>
        <v/>
      </c>
      <c r="P3157">
        <f>IF(B3187=0,0,O3157/B3187)</f>
        <v/>
      </c>
      <c r="Q3157" t="n">
        <v>0</v>
      </c>
      <c r="R3157" t="n">
        <v>0</v>
      </c>
      <c r="S3157" t="n">
        <v>0</v>
      </c>
      <c r="T3157" t="n">
        <v>0</v>
      </c>
      <c r="V3157" t="n">
        <v>0</v>
      </c>
    </row>
    <row r="3158">
      <c r="A3158">
        <f>Skills!A13</f>
        <v/>
      </c>
      <c r="B3158">
        <f>Skills!B13</f>
        <v/>
      </c>
      <c r="C3158">
        <f>Inputs!$B$3&gt;=74</f>
        <v/>
      </c>
      <c r="D3158">
        <f>IF(Skills!C13=1,60+Inputs!$B$25+Inputs!$B$29,IF(Skills!C13=2,90+Inputs!$B$26+Inputs!$B$29,IF(Skills!C13=3,120+Inputs!$B$27+Inputs!$B$29,MAX(0,(Inputs!$B$3-100)*3)+Inputs!$B$28+Inputs!$B$29)))</f>
        <v/>
      </c>
      <c r="E3158">
        <f>INDEX(FactorTable!$B$2:$Y$301, MATCH(ROUND(MIN(300,MAX(1,D3158)),0), FactorTable!$A$2:$A$301,0), Skills!M13+1)</f>
        <v/>
      </c>
      <c r="F3158">
        <f>IF(Skills!N13=TRUE,(Skills!L13/10)*(E3158/1000),Skills!L13/10)+Skills!O13</f>
        <v/>
      </c>
      <c r="G3158">
        <f>Skills!G13*IF(Skills!H13&gt;0,Skills!I13/Skills!H13,1)</f>
        <v/>
      </c>
      <c r="H3158">
        <f>1-(1-Skills!J13/100)^Skills!K13</f>
        <v/>
      </c>
      <c r="I3158" t="inlineStr">
        <is>
          <t>1</t>
        </is>
      </c>
      <c r="J3158" t="inlineStr"/>
      <c r="K3158" t="inlineStr"/>
      <c r="L3158" t="inlineStr"/>
      <c r="M3158" t="inlineStr"/>
      <c r="N3158" t="inlineStr"/>
      <c r="O3158">
        <f>(1-Summary!$B$11)*T3158+Summary!$B$11*V3158</f>
        <v/>
      </c>
      <c r="P3158">
        <f>IF(B3187=0,0,O3158/B3187)</f>
        <v/>
      </c>
      <c r="Q3158" t="n">
        <v>0</v>
      </c>
      <c r="R3158" t="n">
        <v>0</v>
      </c>
      <c r="S3158" t="n">
        <v>0</v>
      </c>
      <c r="T3158" t="n">
        <v>0</v>
      </c>
      <c r="V3158" t="n">
        <v>0</v>
      </c>
    </row>
    <row r="3159">
      <c r="A3159">
        <f>Skills!A14</f>
        <v/>
      </c>
      <c r="B3159">
        <f>Skills!B14</f>
        <v/>
      </c>
      <c r="C3159">
        <f>Inputs!$B$3&gt;=74</f>
        <v/>
      </c>
      <c r="D3159">
        <f>IF(Skills!C14=1,60+Inputs!$B$25+Inputs!$B$29,IF(Skills!C14=2,90+Inputs!$B$26+Inputs!$B$29,IF(Skills!C14=3,120+Inputs!$B$27+Inputs!$B$29,MAX(0,(Inputs!$B$3-100)*3)+Inputs!$B$28+Inputs!$B$29)))</f>
        <v/>
      </c>
      <c r="E3159">
        <f>INDEX(FactorTable!$B$2:$Y$301, MATCH(ROUND(MIN(300,MAX(1,D3159)),0), FactorTable!$A$2:$A$301,0), Skills!M14+1)</f>
        <v/>
      </c>
      <c r="F3159">
        <f>IF(Skills!N14=TRUE,(Skills!L14/10)*(E3159/1000),Skills!L14/10)+Skills!O14</f>
        <v/>
      </c>
      <c r="G3159">
        <f>Skills!G14*IF(Skills!H14&gt;0,Skills!I14/Skills!H14,1)</f>
        <v/>
      </c>
      <c r="H3159">
        <f>1-(1-Skills!J14/100)^Skills!K14</f>
        <v/>
      </c>
      <c r="I3159" t="inlineStr">
        <is>
          <t>1</t>
        </is>
      </c>
      <c r="J3159" t="inlineStr"/>
      <c r="K3159" t="inlineStr"/>
      <c r="L3159" t="inlineStr"/>
      <c r="M3159" t="inlineStr"/>
      <c r="N3159" t="inlineStr"/>
      <c r="O3159">
        <f>(1-Summary!$B$11)*T3159+Summary!$B$11*V3159</f>
        <v/>
      </c>
      <c r="P3159">
        <f>IF(B3187=0,0,O3159/B3187)</f>
        <v/>
      </c>
      <c r="Q3159" t="n">
        <v>0</v>
      </c>
      <c r="R3159" t="n">
        <v>0</v>
      </c>
      <c r="S3159" t="n">
        <v>0</v>
      </c>
      <c r="T3159" t="n">
        <v>0</v>
      </c>
      <c r="V3159" t="n">
        <v>0</v>
      </c>
    </row>
    <row r="3160">
      <c r="A3160">
        <f>Skills!A15</f>
        <v/>
      </c>
      <c r="B3160">
        <f>Skills!B15</f>
        <v/>
      </c>
      <c r="C3160">
        <f>Inputs!$B$3&gt;=117</f>
        <v/>
      </c>
      <c r="D3160">
        <f>IF(Skills!C15=1,60+Inputs!$B$25+Inputs!$B$29,IF(Skills!C15=2,90+Inputs!$B$26+Inputs!$B$29,IF(Skills!C15=3,120+Inputs!$B$27+Inputs!$B$29,MAX(0,(Inputs!$B$3-100)*3)+Inputs!$B$28+Inputs!$B$29)))</f>
        <v/>
      </c>
      <c r="E3160">
        <f>INDEX(FactorTable!$B$2:$Y$301, MATCH(ROUND(MIN(300,MAX(1,D3160)),0), FactorTable!$A$2:$A$301,0), Skills!M15+1)</f>
        <v/>
      </c>
      <c r="F3160">
        <f>IF(Skills!N15=TRUE,(Skills!L15/10)*(E3160/1000),Skills!L15/10)+Skills!O15</f>
        <v/>
      </c>
      <c r="G3160">
        <f>Skills!G15*IF(Skills!H15&gt;0,Skills!I15/Skills!H15,1)</f>
        <v/>
      </c>
      <c r="H3160">
        <f>1-(1-Skills!J15/100)^Skills!K15</f>
        <v/>
      </c>
      <c r="I3160" t="inlineStr">
        <is>
          <t>1</t>
        </is>
      </c>
      <c r="J3160" t="inlineStr"/>
      <c r="K3160" t="inlineStr"/>
      <c r="L3160" t="inlineStr"/>
      <c r="M3160" t="inlineStr"/>
      <c r="N3160" t="inlineStr"/>
      <c r="O3160">
        <f>(1-Summary!$B$11)*T3160+Summary!$B$11*V3160</f>
        <v/>
      </c>
      <c r="P3160">
        <f>IF(B3187=0,0,O3160/B3187)</f>
        <v/>
      </c>
      <c r="Q3160">
        <f>IFERROR(1/IF(Inputs!$B$38="pvp",15,MAX(0.1,Skills!D15-IF(Skills!E15=TRUE,3.5,0))),0)</f>
        <v/>
      </c>
      <c r="R3160">
        <f>IF(AND(Inputs!$B$38&lt;&gt;"pvp",Inputs!$B$43&gt;0),IF(Inputs!$B$43&lt;=0,0,(INT(Inputs!$B$43/IF(Inputs!$B$38="pvp",15,MAX(0.1,Skills!D15-IF(Skills!E15=TRUE,3.5,0))))+1)),0)</f>
        <v/>
      </c>
      <c r="S3160" t="n">
        <v>0</v>
      </c>
      <c r="T3160" t="n">
        <v>0</v>
      </c>
      <c r="V3160" t="n">
        <v>0</v>
      </c>
    </row>
    <row r="3161">
      <c r="A3161">
        <f>Skills!A16</f>
        <v/>
      </c>
      <c r="B3161">
        <f>Skills!B16</f>
        <v/>
      </c>
      <c r="C3161">
        <f>Inputs!$B$3&gt;=115</f>
        <v/>
      </c>
      <c r="D3161">
        <f>IF(Skills!C16=1,60+Inputs!$B$25+Inputs!$B$29,IF(Skills!C16=2,90+Inputs!$B$26+Inputs!$B$29,IF(Skills!C16=3,120+Inputs!$B$27+Inputs!$B$29,MAX(0,(Inputs!$B$3-100)*3)+Inputs!$B$28+Inputs!$B$29)))</f>
        <v/>
      </c>
      <c r="E3161">
        <f>INDEX(FactorTable!$B$2:$Y$301, MATCH(ROUND(MIN(300,MAX(1,D3161)),0), FactorTable!$A$2:$A$301,0), Skills!M16+1)</f>
        <v/>
      </c>
      <c r="F3161">
        <f>IF(Skills!N16=TRUE,(Skills!L16/10)*(E3161/1000),Skills!L16/10)+Skills!O16</f>
        <v/>
      </c>
      <c r="G3161">
        <f>Skills!G16*IF(Skills!H16&gt;0,Skills!I16/Skills!H16,1)</f>
        <v/>
      </c>
      <c r="H3161">
        <f>1-(1-Skills!J16/100)^Skills!K16</f>
        <v/>
      </c>
      <c r="I3161" t="inlineStr">
        <is>
          <t>1</t>
        </is>
      </c>
      <c r="J3161" t="inlineStr"/>
      <c r="K3161" t="inlineStr"/>
      <c r="L3161" t="inlineStr"/>
      <c r="M3161" t="inlineStr"/>
      <c r="N3161" t="inlineStr"/>
      <c r="O3161">
        <f>(1-Summary!$B$11)*T3161+Summary!$B$11*V3161</f>
        <v/>
      </c>
      <c r="P3161">
        <f>IF(B3187=0,0,O3161/B3187)</f>
        <v/>
      </c>
      <c r="Q3161">
        <f>IFERROR(1/IF(Inputs!$B$38="pvp",15,MAX(0.1,Skills!D16-IF(Skills!E16=TRUE,3.5,0))),0)</f>
        <v/>
      </c>
      <c r="R3161">
        <f>IF(AND(Inputs!$B$38&lt;&gt;"pvp",Inputs!$B$43&gt;0),IF(Inputs!$B$43&lt;=0,0,(INT(Inputs!$B$43/IF(Inputs!$B$38="pvp",15,MAX(0.1,Skills!D16-IF(Skills!E16=TRUE,3.5,0))))+1)),0)</f>
        <v/>
      </c>
      <c r="S3161" t="n">
        <v>0</v>
      </c>
      <c r="T3161" t="n">
        <v>0</v>
      </c>
      <c r="V3161" t="n">
        <v>0</v>
      </c>
    </row>
    <row r="3162">
      <c r="A3162">
        <f>Skills!A17</f>
        <v/>
      </c>
      <c r="B3162">
        <f>Skills!B17</f>
        <v/>
      </c>
      <c r="C3162">
        <f>Inputs!$B$3&gt;=72</f>
        <v/>
      </c>
      <c r="D3162">
        <f>IF(Skills!C17=1,60+Inputs!$B$25+Inputs!$B$29,IF(Skills!C17=2,90+Inputs!$B$26+Inputs!$B$29,IF(Skills!C17=3,120+Inputs!$B$27+Inputs!$B$29,MAX(0,(Inputs!$B$3-100)*3)+Inputs!$B$28+Inputs!$B$29)))</f>
        <v/>
      </c>
      <c r="E3162">
        <f>INDEX(FactorTable!$B$2:$Y$301, MATCH(ROUND(MIN(300,MAX(1,D3162)),0), FactorTable!$A$2:$A$301,0), Skills!M17+1)</f>
        <v/>
      </c>
      <c r="F3162">
        <f>IF(Skills!N17=TRUE,(Skills!L17/10)*(E3162/1000),Skills!L17/10)+Skills!O17</f>
        <v/>
      </c>
      <c r="G3162">
        <f>Skills!G17*IF(Skills!H17&gt;0,Skills!I17/Skills!H17,1)</f>
        <v/>
      </c>
      <c r="H3162">
        <f>1-(1-Skills!J17/100)^Skills!K17</f>
        <v/>
      </c>
      <c r="I3162" t="inlineStr">
        <is>
          <t>1</t>
        </is>
      </c>
      <c r="J3162" t="inlineStr"/>
      <c r="K3162" t="inlineStr"/>
      <c r="L3162" t="inlineStr"/>
      <c r="M3162" t="inlineStr"/>
      <c r="N3162" t="inlineStr"/>
      <c r="O3162">
        <f>(1-Summary!$B$11)*T3162+Summary!$B$11*V3162</f>
        <v/>
      </c>
      <c r="P3162">
        <f>IF(B3187=0,0,O3162/B3187)</f>
        <v/>
      </c>
      <c r="Q3162" t="n">
        <v>0</v>
      </c>
      <c r="R3162" t="n">
        <v>0</v>
      </c>
      <c r="S3162" t="n">
        <v>0</v>
      </c>
      <c r="T3162" t="n">
        <v>0</v>
      </c>
      <c r="V3162" t="n">
        <v>0</v>
      </c>
    </row>
    <row r="3163">
      <c r="A3163">
        <f>Skills!A18</f>
        <v/>
      </c>
      <c r="B3163">
        <f>Skills!B18</f>
        <v/>
      </c>
      <c r="C3163">
        <f>TRUE</f>
        <v/>
      </c>
      <c r="D3163">
        <f>IF(Skills!C18=1,60+Inputs!$B$25+Inputs!$B$29,IF(Skills!C18=2,90+Inputs!$B$26+Inputs!$B$29,IF(Skills!C18=3,120+Inputs!$B$27+Inputs!$B$29,MAX(0,(Inputs!$B$3-100)*3)+Inputs!$B$28+Inputs!$B$29)))</f>
        <v/>
      </c>
      <c r="E3163">
        <f>INDEX(FactorTable!$B$2:$Y$301, MATCH(ROUND(MIN(300,MAX(1,D3163)),0), FactorTable!$A$2:$A$301,0), Skills!M18+1)</f>
        <v/>
      </c>
      <c r="F3163">
        <f>IF(Skills!N18=TRUE,(Skills!L18/10)*(E3163/1000),Skills!L18/10)+Skills!O18</f>
        <v/>
      </c>
      <c r="G3163">
        <f>Skills!G18*IF(Skills!H18&gt;0,Skills!I18/Skills!H18,1)</f>
        <v/>
      </c>
      <c r="H3163">
        <f>1-(1-Skills!J18/100)^Skills!K18</f>
        <v/>
      </c>
      <c r="I3163" t="inlineStr">
        <is>
          <t>1</t>
        </is>
      </c>
      <c r="J3163" t="inlineStr"/>
      <c r="K3163" t="inlineStr"/>
      <c r="L3163" t="inlineStr"/>
      <c r="M3163" t="inlineStr"/>
      <c r="N3163" t="inlineStr"/>
      <c r="O3163">
        <f>(1-Summary!$B$11)*T3163+Summary!$B$11*V3163</f>
        <v/>
      </c>
      <c r="P3163">
        <f>IF(B3187=0,0,O3163/B3187)</f>
        <v/>
      </c>
      <c r="Q3163">
        <f>IFERROR(1/IF(Inputs!$B$38="pvp",15,MAX(0.1,Skills!D18-IF(Skills!E18=TRUE,3.5,0))),0)</f>
        <v/>
      </c>
      <c r="R3163">
        <f>IF(AND(Inputs!$B$38&lt;&gt;"pvp",Inputs!$B$43&gt;0),IF(Inputs!$B$43&lt;=0,0,(INT(Inputs!$B$43/IF(Inputs!$B$38="pvp",15,MAX(0.1,Skills!D18-IF(Skills!E18=TRUE,3.5,0))))+1)),0)</f>
        <v/>
      </c>
      <c r="S3163" t="n">
        <v>0</v>
      </c>
      <c r="T3163" t="n">
        <v>0</v>
      </c>
      <c r="V3163" t="n">
        <v>0</v>
      </c>
    </row>
    <row r="3164">
      <c r="A3164">
        <f>Skills!A19</f>
        <v/>
      </c>
      <c r="B3164">
        <f>Skills!B19</f>
        <v/>
      </c>
      <c r="C3164">
        <f>Inputs!$B$3&gt;=15</f>
        <v/>
      </c>
      <c r="D3164">
        <f>IF(Skills!C19=1,60+Inputs!$B$25+Inputs!$B$29,IF(Skills!C19=2,90+Inputs!$B$26+Inputs!$B$29,IF(Skills!C19=3,120+Inputs!$B$27+Inputs!$B$29,MAX(0,(Inputs!$B$3-100)*3)+Inputs!$B$28+Inputs!$B$29)))</f>
        <v/>
      </c>
      <c r="E3164">
        <f>INDEX(FactorTable!$B$2:$Y$301, MATCH(ROUND(MIN(300,MAX(1,D3164)),0), FactorTable!$A$2:$A$301,0), Skills!M19+1)</f>
        <v/>
      </c>
      <c r="F3164">
        <f>IF(Skills!N19=TRUE,(Skills!L19/10)*(E3164/1000),Skills!L19/10)+Skills!O19</f>
        <v/>
      </c>
      <c r="G3164">
        <f>Skills!G19*IF(Skills!H19&gt;0,Skills!I19/Skills!H19,1)</f>
        <v/>
      </c>
      <c r="H3164">
        <f>1-(1-Skills!J19/100)^Skills!K19</f>
        <v/>
      </c>
      <c r="I3164" t="inlineStr">
        <is>
          <t>1</t>
        </is>
      </c>
      <c r="J3164" t="inlineStr"/>
      <c r="K3164" t="inlineStr"/>
      <c r="L3164" t="inlineStr"/>
      <c r="M3164" t="inlineStr"/>
      <c r="N3164" t="inlineStr"/>
      <c r="O3164">
        <f>(1-Summary!$B$11)*T3164+Summary!$B$11*V3164</f>
        <v/>
      </c>
      <c r="P3164">
        <f>IF(B3187=0,0,O3164/B3187)</f>
        <v/>
      </c>
      <c r="Q3164" t="n">
        <v>0</v>
      </c>
      <c r="R3164" t="n">
        <v>0</v>
      </c>
      <c r="S3164" t="n">
        <v>0</v>
      </c>
      <c r="T3164" t="n">
        <v>0</v>
      </c>
      <c r="V3164" t="n">
        <v>0</v>
      </c>
    </row>
    <row r="3165">
      <c r="A3165">
        <f>Skills!A20</f>
        <v/>
      </c>
      <c r="B3165">
        <f>Skills!B20</f>
        <v/>
      </c>
      <c r="C3165">
        <f>Inputs!$B$3&gt;=10</f>
        <v/>
      </c>
      <c r="D3165">
        <f>IF(Skills!C20=1,60+Inputs!$B$25+Inputs!$B$29,IF(Skills!C20=2,90+Inputs!$B$26+Inputs!$B$29,IF(Skills!C20=3,120+Inputs!$B$27+Inputs!$B$29,MAX(0,(Inputs!$B$3-100)*3)+Inputs!$B$28+Inputs!$B$29)))</f>
        <v/>
      </c>
      <c r="E3165">
        <f>INDEX(FactorTable!$B$2:$Y$301, MATCH(ROUND(MIN(300,MAX(1,D3165)),0), FactorTable!$A$2:$A$301,0), Skills!M20+1)</f>
        <v/>
      </c>
      <c r="F3165">
        <f>IF(Skills!N20=TRUE,(Skills!L20/10)*(E3165/1000),Skills!L20/10)+Skills!O20</f>
        <v/>
      </c>
      <c r="G3165">
        <f>Skills!G20*IF(Skills!H20&gt;0,Skills!I20/Skills!H20,1)</f>
        <v/>
      </c>
      <c r="H3165">
        <f>1-(1-Skills!J20/100)^Skills!K20</f>
        <v/>
      </c>
      <c r="I3165" t="inlineStr">
        <is>
          <t>1</t>
        </is>
      </c>
      <c r="J3165" t="inlineStr"/>
      <c r="K3165" t="inlineStr"/>
      <c r="L3165" t="inlineStr"/>
      <c r="M3165" t="inlineStr"/>
      <c r="N3165" t="inlineStr"/>
      <c r="O3165">
        <f>(1-Summary!$B$11)*T3165+Summary!$B$11*V3165</f>
        <v/>
      </c>
      <c r="P3165">
        <f>IF(B3187=0,0,O3165/B3187)</f>
        <v/>
      </c>
      <c r="Q3165" t="n">
        <v>0</v>
      </c>
      <c r="R3165" t="n">
        <v>0</v>
      </c>
      <c r="S3165" t="n">
        <v>0</v>
      </c>
      <c r="T3165" t="n">
        <v>0</v>
      </c>
      <c r="V3165" t="n">
        <v>0</v>
      </c>
    </row>
    <row r="3166">
      <c r="A3166">
        <f>Skills!A21</f>
        <v/>
      </c>
      <c r="B3166">
        <f>Skills!B21</f>
        <v/>
      </c>
      <c r="C3166">
        <f>Inputs!$B$3&gt;=33</f>
        <v/>
      </c>
      <c r="D3166">
        <f>IF(Skills!C21=1,60+Inputs!$B$25+Inputs!$B$29,IF(Skills!C21=2,90+Inputs!$B$26+Inputs!$B$29,IF(Skills!C21=3,120+Inputs!$B$27+Inputs!$B$29,MAX(0,(Inputs!$B$3-100)*3)+Inputs!$B$28+Inputs!$B$29)))</f>
        <v/>
      </c>
      <c r="E3166">
        <f>INDEX(FactorTable!$B$2:$Y$301, MATCH(ROUND(MIN(300,MAX(1,D3166)),0), FactorTable!$A$2:$A$301,0), Skills!M21+1)</f>
        <v/>
      </c>
      <c r="F3166">
        <f>IF(Skills!N21=TRUE,(Skills!L21/10)*(E3166/1000),Skills!L21/10)+Skills!O21</f>
        <v/>
      </c>
      <c r="G3166">
        <f>Skills!G21*IF(Skills!H21&gt;0,Skills!I21/Skills!H21,1)</f>
        <v/>
      </c>
      <c r="H3166">
        <f>1-(1-Skills!J21/100)^Skills!K21</f>
        <v/>
      </c>
      <c r="I3166" t="inlineStr">
        <is>
          <t>1</t>
        </is>
      </c>
      <c r="J3166" t="inlineStr"/>
      <c r="K3166" t="inlineStr"/>
      <c r="L3166" t="inlineStr"/>
      <c r="M3166" t="inlineStr"/>
      <c r="N3166" t="inlineStr"/>
      <c r="O3166">
        <f>(1-Summary!$B$11)*T3166+Summary!$B$11*V3166</f>
        <v/>
      </c>
      <c r="P3166">
        <f>IF(B3187=0,0,O3166/B3187)</f>
        <v/>
      </c>
      <c r="Q3166" t="n">
        <v>0</v>
      </c>
      <c r="R3166" t="n">
        <v>0</v>
      </c>
      <c r="S3166" t="n">
        <v>0</v>
      </c>
      <c r="T3166" t="n">
        <v>0</v>
      </c>
      <c r="V3166" t="n">
        <v>0</v>
      </c>
    </row>
    <row r="3167">
      <c r="A3167">
        <f>Skills!A22</f>
        <v/>
      </c>
      <c r="B3167">
        <f>Skills!B22</f>
        <v/>
      </c>
      <c r="C3167">
        <f>Inputs!$B$3&gt;=38</f>
        <v/>
      </c>
      <c r="D3167">
        <f>IF(Skills!C22=1,60+Inputs!$B$25+Inputs!$B$29,IF(Skills!C22=2,90+Inputs!$B$26+Inputs!$B$29,IF(Skills!C22=3,120+Inputs!$B$27+Inputs!$B$29,MAX(0,(Inputs!$B$3-100)*3)+Inputs!$B$28+Inputs!$B$29)))</f>
        <v/>
      </c>
      <c r="E3167">
        <f>INDEX(FactorTable!$B$2:$Y$301, MATCH(ROUND(MIN(300,MAX(1,D3167)),0), FactorTable!$A$2:$A$301,0), Skills!M22+1)</f>
        <v/>
      </c>
      <c r="F3167">
        <f>IF(Skills!N22=TRUE,(Skills!L22/10)*(E3167/1000),Skills!L22/10)+Skills!O22</f>
        <v/>
      </c>
      <c r="G3167">
        <f>Skills!G22*IF(Skills!H22&gt;0,Skills!I22/Skills!H22,1)</f>
        <v/>
      </c>
      <c r="H3167">
        <f>1-(1-Skills!J22/100)^Skills!K22</f>
        <v/>
      </c>
      <c r="I3167" t="inlineStr">
        <is>
          <t>1</t>
        </is>
      </c>
      <c r="J3167" t="inlineStr"/>
      <c r="K3167" t="inlineStr"/>
      <c r="L3167" t="inlineStr"/>
      <c r="M3167" t="inlineStr"/>
      <c r="N3167" t="inlineStr"/>
      <c r="O3167">
        <f>(1-Summary!$B$11)*T3167+Summary!$B$11*V3167</f>
        <v/>
      </c>
      <c r="P3167">
        <f>IF(B3187=0,0,O3167/B3187)</f>
        <v/>
      </c>
      <c r="Q3167" t="n">
        <v>0</v>
      </c>
      <c r="R3167" t="n">
        <v>0</v>
      </c>
      <c r="S3167" t="n">
        <v>0</v>
      </c>
      <c r="T3167" t="n">
        <v>0</v>
      </c>
      <c r="V3167" t="n">
        <v>0</v>
      </c>
    </row>
    <row r="3168">
      <c r="A3168">
        <f>Skills!A23</f>
        <v/>
      </c>
      <c r="B3168">
        <f>Skills!B23</f>
        <v/>
      </c>
      <c r="C3168">
        <f>Inputs!$B$3&gt;=43</f>
        <v/>
      </c>
      <c r="D3168">
        <f>IF(Skills!C23=1,60+Inputs!$B$25+Inputs!$B$29,IF(Skills!C23=2,90+Inputs!$B$26+Inputs!$B$29,IF(Skills!C23=3,120+Inputs!$B$27+Inputs!$B$29,MAX(0,(Inputs!$B$3-100)*3)+Inputs!$B$28+Inputs!$B$29)))</f>
        <v/>
      </c>
      <c r="E3168">
        <f>INDEX(FactorTable!$B$2:$Y$301, MATCH(ROUND(MIN(300,MAX(1,D3168)),0), FactorTable!$A$2:$A$301,0), Skills!M23+1)</f>
        <v/>
      </c>
      <c r="F3168">
        <f>IF(Skills!N23=TRUE,(Skills!L23/10)*(E3168/1000),Skills!L23/10)+Skills!O23</f>
        <v/>
      </c>
      <c r="G3168">
        <f>Skills!G23*IF(Skills!H23&gt;0,Skills!I23/Skills!H23,1)</f>
        <v/>
      </c>
      <c r="H3168">
        <f>1-(1-Skills!J23/100)^Skills!K23</f>
        <v/>
      </c>
      <c r="I3168" t="inlineStr">
        <is>
          <t>1</t>
        </is>
      </c>
      <c r="J3168" t="inlineStr"/>
      <c r="K3168" t="inlineStr"/>
      <c r="L3168" t="inlineStr"/>
      <c r="M3168" t="inlineStr"/>
      <c r="N3168" t="inlineStr"/>
      <c r="O3168">
        <f>(1-Summary!$B$11)*T3168+Summary!$B$11*V3168</f>
        <v/>
      </c>
      <c r="P3168">
        <f>IF(B3187=0,0,O3168/B3187)</f>
        <v/>
      </c>
      <c r="Q3168" t="n">
        <v>0</v>
      </c>
      <c r="R3168" t="n">
        <v>0</v>
      </c>
      <c r="S3168" t="n">
        <v>0</v>
      </c>
      <c r="T3168" t="n">
        <v>0</v>
      </c>
      <c r="V3168" t="n">
        <v>0</v>
      </c>
    </row>
    <row r="3169">
      <c r="A3169">
        <f>Skills!A24</f>
        <v/>
      </c>
      <c r="B3169">
        <f>Skills!B24</f>
        <v/>
      </c>
      <c r="C3169">
        <f>Inputs!$B$3&gt;=75</f>
        <v/>
      </c>
      <c r="D3169">
        <f>IF(Skills!C24=1,60+Inputs!$B$25+Inputs!$B$29,IF(Skills!C24=2,90+Inputs!$B$26+Inputs!$B$29,IF(Skills!C24=3,120+Inputs!$B$27+Inputs!$B$29,MAX(0,(Inputs!$B$3-100)*3)+Inputs!$B$28+Inputs!$B$29)))</f>
        <v/>
      </c>
      <c r="E3169">
        <f>INDEX(FactorTable!$B$2:$Y$301, MATCH(ROUND(MIN(300,MAX(1,D3169)),0), FactorTable!$A$2:$A$301,0), Skills!M24+1)</f>
        <v/>
      </c>
      <c r="F3169">
        <f>IF(Skills!N24=TRUE,(Skills!L24/10)*(E3169/1000),Skills!L24/10)+Skills!O24</f>
        <v/>
      </c>
      <c r="G3169">
        <f>Skills!G24*IF(Skills!H24&gt;0,Skills!I24/Skills!H24,1)</f>
        <v/>
      </c>
      <c r="H3169">
        <f>1-(1-Skills!J24/100)^Skills!K24</f>
        <v/>
      </c>
      <c r="I3169" t="inlineStr">
        <is>
          <t>1</t>
        </is>
      </c>
      <c r="J3169" t="inlineStr"/>
      <c r="K3169" t="inlineStr"/>
      <c r="L3169" t="inlineStr"/>
      <c r="M3169" t="inlineStr"/>
      <c r="N3169" t="inlineStr"/>
      <c r="O3169">
        <f>(1-Summary!$B$11)*T3169+Summary!$B$11*V3169</f>
        <v/>
      </c>
      <c r="P3169">
        <f>IF(B3187=0,0,O3169/B3187)</f>
        <v/>
      </c>
      <c r="Q3169" t="n">
        <v>0</v>
      </c>
      <c r="R3169" t="n">
        <v>0</v>
      </c>
      <c r="S3169" t="n">
        <v>0</v>
      </c>
      <c r="T3169" t="n">
        <v>0</v>
      </c>
      <c r="V3169" t="n">
        <v>0</v>
      </c>
    </row>
    <row r="3170">
      <c r="A3170">
        <f>Skills!A25</f>
        <v/>
      </c>
      <c r="B3170">
        <f>Skills!B25</f>
        <v/>
      </c>
      <c r="C3170">
        <f>Inputs!$B$3&gt;=125</f>
        <v/>
      </c>
      <c r="D3170">
        <f>IF(Skills!C25=1,60+Inputs!$B$25+Inputs!$B$29,IF(Skills!C25=2,90+Inputs!$B$26+Inputs!$B$29,IF(Skills!C25=3,120+Inputs!$B$27+Inputs!$B$29,MAX(0,(Inputs!$B$3-100)*3)+Inputs!$B$28+Inputs!$B$29)))</f>
        <v/>
      </c>
      <c r="E3170">
        <f>INDEX(FactorTable!$B$2:$Y$301, MATCH(ROUND(MIN(300,MAX(1,D3170)),0), FactorTable!$A$2:$A$301,0), Skills!M25+1)</f>
        <v/>
      </c>
      <c r="F3170">
        <f>IF(Skills!N25=TRUE,(Skills!L25/10)*(E3170/1000),Skills!L25/10)+Skills!O25</f>
        <v/>
      </c>
      <c r="G3170">
        <f>Skills!G25*IF(Skills!H25&gt;0,Skills!I25/Skills!H25,1)</f>
        <v/>
      </c>
      <c r="H3170">
        <f>1-(1-Skills!J25/100)^Skills!K25</f>
        <v/>
      </c>
      <c r="I3170" t="inlineStr">
        <is>
          <t>1</t>
        </is>
      </c>
      <c r="J3170" t="inlineStr"/>
      <c r="K3170" t="inlineStr"/>
      <c r="L3170" t="inlineStr"/>
      <c r="M3170" t="inlineStr"/>
      <c r="N3170" t="inlineStr"/>
      <c r="O3170">
        <f>(1-Summary!$B$11)*T3170+Summary!$B$11*V3170</f>
        <v/>
      </c>
      <c r="P3170">
        <f>IF(B3187=0,0,O3170/B3187)</f>
        <v/>
      </c>
      <c r="Q3170" t="n">
        <v>0</v>
      </c>
      <c r="R3170" t="n">
        <v>0</v>
      </c>
      <c r="S3170" t="n">
        <v>0</v>
      </c>
      <c r="T3170" t="n">
        <v>0</v>
      </c>
      <c r="V3170" t="n">
        <v>0</v>
      </c>
    </row>
    <row r="3171">
      <c r="A3171">
        <f>Skills!A26</f>
        <v/>
      </c>
      <c r="B3171">
        <f>Skills!B26</f>
        <v/>
      </c>
      <c r="C3171">
        <f>Inputs!$B$3&gt;=125</f>
        <v/>
      </c>
      <c r="D3171">
        <f>IF(Skills!C26=1,60+Inputs!$B$25+Inputs!$B$29,IF(Skills!C26=2,90+Inputs!$B$26+Inputs!$B$29,IF(Skills!C26=3,120+Inputs!$B$27+Inputs!$B$29,MAX(0,(Inputs!$B$3-100)*3)+Inputs!$B$28+Inputs!$B$29)))</f>
        <v/>
      </c>
      <c r="E3171">
        <f>INDEX(FactorTable!$B$2:$Y$301, MATCH(ROUND(MIN(300,MAX(1,D3171)),0), FactorTable!$A$2:$A$301,0), Skills!M26+1)</f>
        <v/>
      </c>
      <c r="F3171">
        <f>IF(Skills!N26=TRUE,(Skills!L26/10)*(E3171/1000),Skills!L26/10)+Skills!O26</f>
        <v/>
      </c>
      <c r="G3171">
        <f>Skills!G26*IF(Skills!H26&gt;0,Skills!I26/Skills!H26,1)</f>
        <v/>
      </c>
      <c r="H3171">
        <f>1-(1-Skills!J26/100)^Skills!K26</f>
        <v/>
      </c>
      <c r="I3171" t="inlineStr">
        <is>
          <t>1</t>
        </is>
      </c>
      <c r="J3171" t="inlineStr"/>
      <c r="K3171" t="inlineStr"/>
      <c r="L3171" t="inlineStr"/>
      <c r="M3171" t="inlineStr"/>
      <c r="N3171" t="inlineStr"/>
      <c r="O3171">
        <f>(1-Summary!$B$11)*T3171+Summary!$B$11*V3171</f>
        <v/>
      </c>
      <c r="P3171">
        <f>IF(B3187=0,0,O3171/B3187)</f>
        <v/>
      </c>
      <c r="Q3171" t="n">
        <v>0</v>
      </c>
      <c r="R3171" t="n">
        <v>0</v>
      </c>
      <c r="S3171" t="n">
        <v>0</v>
      </c>
      <c r="T3171" t="n">
        <v>0</v>
      </c>
      <c r="V3171" t="n">
        <v>0</v>
      </c>
    </row>
    <row r="3172">
      <c r="A3172">
        <f>Skills!A27</f>
        <v/>
      </c>
      <c r="B3172">
        <f>Skills!B27</f>
        <v/>
      </c>
      <c r="C3172">
        <f>Inputs!$B$3&gt;=120</f>
        <v/>
      </c>
      <c r="D3172">
        <f>IF(Skills!C27=1,60+Inputs!$B$25+Inputs!$B$29,IF(Skills!C27=2,90+Inputs!$B$26+Inputs!$B$29,IF(Skills!C27=3,120+Inputs!$B$27+Inputs!$B$29,MAX(0,(Inputs!$B$3-100)*3)+Inputs!$B$28+Inputs!$B$29)))</f>
        <v/>
      </c>
      <c r="E3172">
        <f>INDEX(FactorTable!$B$2:$Y$301, MATCH(ROUND(MIN(300,MAX(1,D3172)),0), FactorTable!$A$2:$A$301,0), Skills!M27+1)</f>
        <v/>
      </c>
      <c r="F3172">
        <f>IF(Skills!N27=TRUE,(Skills!L27/10)*(E3172/1000),Skills!L27/10)+Skills!O27</f>
        <v/>
      </c>
      <c r="G3172">
        <f>Skills!G27*IF(Skills!H27&gt;0,Skills!I27/Skills!H27,1)</f>
        <v/>
      </c>
      <c r="H3172">
        <f>1-(1-Skills!J27/100)^Skills!K27</f>
        <v/>
      </c>
      <c r="I3172" t="inlineStr">
        <is>
          <t>1</t>
        </is>
      </c>
      <c r="J3172" t="inlineStr"/>
      <c r="K3172" t="inlineStr"/>
      <c r="L3172" t="inlineStr"/>
      <c r="M3172" t="inlineStr"/>
      <c r="N3172" t="inlineStr"/>
      <c r="O3172">
        <f>(1-Summary!$B$11)*T3172+Summary!$B$11*V3172</f>
        <v/>
      </c>
      <c r="P3172">
        <f>IF(B3187=0,0,O3172/B3187)</f>
        <v/>
      </c>
      <c r="Q3172" t="n">
        <v>0</v>
      </c>
      <c r="R3172" t="n">
        <v>0</v>
      </c>
      <c r="S3172" t="n">
        <v>0</v>
      </c>
      <c r="T3172" t="n">
        <v>0</v>
      </c>
      <c r="V3172" t="n">
        <v>0</v>
      </c>
    </row>
    <row r="3173">
      <c r="A3173">
        <f>Skills!A28</f>
        <v/>
      </c>
      <c r="B3173">
        <f>Skills!B28</f>
        <v/>
      </c>
      <c r="C3173">
        <f>Inputs!$B$3&gt;=120</f>
        <v/>
      </c>
      <c r="D3173">
        <f>IF(Skills!C28=1,60+Inputs!$B$25+Inputs!$B$29,IF(Skills!C28=2,90+Inputs!$B$26+Inputs!$B$29,IF(Skills!C28=3,120+Inputs!$B$27+Inputs!$B$29,MAX(0,(Inputs!$B$3-100)*3)+Inputs!$B$28+Inputs!$B$29)))</f>
        <v/>
      </c>
      <c r="E3173">
        <f>INDEX(FactorTable!$B$2:$Y$301, MATCH(ROUND(MIN(300,MAX(1,D3173)),0), FactorTable!$A$2:$A$301,0), Skills!M28+1)</f>
        <v/>
      </c>
      <c r="F3173">
        <f>IF(Skills!N28=TRUE,(Skills!L28/10)*(E3173/1000),Skills!L28/10)+Skills!O28</f>
        <v/>
      </c>
      <c r="G3173">
        <f>Skills!G28*IF(Skills!H28&gt;0,Skills!I28/Skills!H28,1)</f>
        <v/>
      </c>
      <c r="H3173">
        <f>1-(1-Skills!J28/100)^Skills!K28</f>
        <v/>
      </c>
      <c r="I3173" t="inlineStr">
        <is>
          <t>1</t>
        </is>
      </c>
      <c r="J3173" t="inlineStr"/>
      <c r="K3173" t="inlineStr"/>
      <c r="L3173" t="inlineStr"/>
      <c r="M3173" t="inlineStr"/>
      <c r="N3173" t="inlineStr"/>
      <c r="O3173">
        <f>(1-Summary!$B$11)*T3173+Summary!$B$11*V3173</f>
        <v/>
      </c>
      <c r="P3173">
        <f>IF(B3187=0,0,O3173/B3187)</f>
        <v/>
      </c>
      <c r="Q3173" t="n">
        <v>0</v>
      </c>
      <c r="R3173" t="n">
        <v>0</v>
      </c>
      <c r="S3173" t="n">
        <v>0</v>
      </c>
      <c r="T3173" t="n">
        <v>0</v>
      </c>
      <c r="V3173" t="n">
        <v>0</v>
      </c>
    </row>
    <row r="3174">
      <c r="A3174">
        <f>Skills!A29</f>
        <v/>
      </c>
      <c r="B3174">
        <f>Skills!B29</f>
        <v/>
      </c>
      <c r="C3174">
        <f>Inputs!$B$3&gt;=45</f>
        <v/>
      </c>
      <c r="D3174">
        <f>IF(Skills!C29=1,60+Inputs!$B$25+Inputs!$B$29,IF(Skills!C29=2,90+Inputs!$B$26+Inputs!$B$29,IF(Skills!C29=3,120+Inputs!$B$27+Inputs!$B$29,MAX(0,(Inputs!$B$3-100)*3)+Inputs!$B$28+Inputs!$B$29)))</f>
        <v/>
      </c>
      <c r="E3174">
        <f>INDEX(FactorTable!$B$2:$Y$301, MATCH(ROUND(MIN(300,MAX(1,D3174)),0), FactorTable!$A$2:$A$301,0), Skills!M29+1)</f>
        <v/>
      </c>
      <c r="F3174">
        <f>IF(Skills!N29=TRUE,(Skills!L29/10)*(E3174/1000),Skills!L29/10)+Skills!O29</f>
        <v/>
      </c>
      <c r="G3174">
        <f>Skills!G29*IF(Skills!H29&gt;0,Skills!I29/Skills!H29,1)</f>
        <v/>
      </c>
      <c r="H3174">
        <f>1-(1-Skills!J29/100)^Skills!K29</f>
        <v/>
      </c>
      <c r="I3174" t="inlineStr">
        <is>
          <t>1</t>
        </is>
      </c>
      <c r="J3174" t="inlineStr"/>
      <c r="K3174" t="inlineStr"/>
      <c r="L3174" t="inlineStr"/>
      <c r="M3174" t="inlineStr"/>
      <c r="N3174" t="inlineStr"/>
      <c r="O3174">
        <f>(1-Summary!$B$11)*T3174+Summary!$B$11*V3174</f>
        <v/>
      </c>
      <c r="P3174">
        <f>IF(B3187=0,0,O3174/B3187)</f>
        <v/>
      </c>
      <c r="Q3174" t="n">
        <v>0</v>
      </c>
      <c r="R3174" t="n">
        <v>0</v>
      </c>
      <c r="S3174" t="n">
        <v>0</v>
      </c>
      <c r="T3174" t="n">
        <v>0</v>
      </c>
      <c r="V3174" t="n">
        <v>0</v>
      </c>
    </row>
    <row r="3176">
      <c r="A3176" t="inlineStr">
        <is>
          <t>Attack% Bucket Multiplier</t>
        </is>
      </c>
      <c r="B3176">
        <f>(1+(((C3158=TRUE)*F3158)+((C3159=TRUE)*IF(Inputs!$B$38="pvp",F3159,(1-Summary!$B$11)*(F3159)+Summary!$B$11*(0)))+((C3160=TRUE)*F3160*IF(AND(Inputs!$B$38&lt;&gt;"pvp",Inputs!$B$43&gt;0),(((R3160-1)*(Skills!T15*(1+Inputs!$B$34/100))+MIN((Skills!T15*(1+Inputs!$B$34/100)),MAX(0,Inputs!$B$43-((R3160-1)*Skills!D15))))/Inputs!$B$43),IF(Inputs!$B$38="pvp",MIN((Skills!T15*(1+Inputs!$B$34/100)),15)/15,(Skills!T15*(1+Inputs!$B$34/100))/Skills!D15)))+((C3157=TRUE)*F3157)+((C3174=TRUE)*(F3174-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3177">
      <c r="A3177" t="inlineStr">
        <is>
          <t>Global Crit Rate Bonus %</t>
        </is>
      </c>
      <c r="B3177">
        <f>(C3161=TRUE)*20*IF(AND(Inputs!$B$38&lt;&gt;"pvp",Inputs!$B$43&gt;0),(((R3161-1)*(Skills!T16*(1+Inputs!$B$34/100))+MIN((Skills!T16*(1+Inputs!$B$34/100)),MAX(0,Inputs!$B$43-((R3161-1)*Skills!D16))))/Inputs!$B$43),IF(Inputs!$B$38="pvp",MIN((Skills!T16*(1+Inputs!$B$34/100)),15)/15,(Skills!T16*(1+Inputs!$B$34/100))/Skills!D16))</f>
        <v/>
      </c>
    </row>
    <row r="3178">
      <c r="A3178" t="inlineStr">
        <is>
          <t>Attack Speed Buff Bonus %</t>
        </is>
      </c>
      <c r="B3178">
        <f>((C3163=TRUE)*F3163*IF(AND(Inputs!$B$38&lt;&gt;"pvp",Inputs!$B$43&gt;0),(((R3163-1)*(Skills!T18*(1+Inputs!$B$34/100))+MIN((Skills!T18*(1+Inputs!$B$34/100)),MAX(0,Inputs!$B$43-((R3163-1)*Skills!D18))))/Inputs!$B$43),IF(Inputs!$B$38="pvp",MIN((Skills!T18*(1+Inputs!$B$34/100)),15)/15,(Skills!T18*(1+Inputs!$B$34/100))/Skills!D18)))</f>
        <v/>
      </c>
    </row>
    <row r="3179">
      <c r="A3179" t="inlineStr">
        <is>
          <t>Actions Per Second</t>
        </is>
      </c>
      <c r="B3179">
        <f>1+MIN(150,150*(1-(1-(Inputs!$B$11+((C3165=TRUE)*(F3165-Calc!F20))+((C3166=TRUE)*(F3166-Calc!F21)))/150)*(1-B3178/150)))/100</f>
        <v/>
      </c>
    </row>
    <row r="3180">
      <c r="A3180" t="inlineStr">
        <is>
          <t>Skill + Buff Cast Rate</t>
        </is>
      </c>
      <c r="B3180">
        <f>IF(AND(Inputs!$B$38&lt;&gt;"pvp",Inputs!$B$43&gt;0),SUMPRODUCT((Skills!E2:E29=TRUE)*(C3147:C3174=TRUE)*R3147:R3174*Skills!F2:F29)/Inputs!$B$43,SUMPRODUCT((Skills!E2:E29=TRUE)*(C3147:C3174=TRUE)*Q3147:Q3174*Skills!F2:F29))</f>
        <v/>
      </c>
    </row>
    <row r="3181">
      <c r="A3181" t="inlineStr">
        <is>
          <t>Empowered Piercing Arrow Casts Per Second</t>
        </is>
      </c>
      <c r="B3181">
        <f>MAX(0,B3179-B3180)</f>
        <v/>
      </c>
    </row>
    <row r="3182">
      <c r="A3182" t="inlineStr">
        <is>
          <t>Global Critical Damage Bonus % (Sharp Eyes)</t>
        </is>
      </c>
      <c r="B3182">
        <f>(C3161=TRUE)*F3161*IF(AND(Inputs!$B$38&lt;&gt;"pvp",Inputs!$B$43&gt;0),(((R3161-1)*(Skills!T16*(1+Inputs!$B$34/100))+MIN((Skills!T16*(1+Inputs!$B$34/100)),MAX(0,Inputs!$B$43-((R3161-1)*Skills!D16))))/Inputs!$B$43),IF(Inputs!$B$38="pvp",MIN((Skills!T16*(1+Inputs!$B$34/100)),15)/15,(Skills!T16*(1+Inputs!$B$34/100))/Skills!D16))</f>
        <v/>
      </c>
    </row>
    <row r="3183">
      <c r="A3183" t="inlineStr">
        <is>
          <t>Global Final Damage Bonus % (Mortal Blow + Last Man Standing conditional half)</t>
        </is>
      </c>
      <c r="B3183">
        <f>(C3162=TRUE)*F3162+((C3171=TRUE)*IF(Inputs!$B$38="pvp",F3171,(1-Summary!$B$11)*(F3171)+Summary!$B$11*(0)))</f>
        <v/>
      </c>
    </row>
    <row r="3184">
      <c r="A3184" t="inlineStr">
        <is>
          <t>Buff-Casting Startup Delay (s, fixed-duration only)</t>
        </is>
      </c>
      <c r="B3184">
        <f>IF(AND(Inputs!$B$38&lt;&gt;"pvp",Inputs!$B$43&gt;0),SUMPRODUCT((Skills!T2:T29&gt;0)*(Skills!E2:E29=TRUE)*(C3147:C3174=TRUE))/B3179,0)</f>
        <v/>
      </c>
    </row>
    <row r="3185">
      <c r="A3185" t="inlineStr">
        <is>
          <t>Boss-Only Total DPS (this block's swept value)</t>
        </is>
      </c>
      <c r="B3185">
        <f>SUM(T3147:T3174)</f>
        <v/>
      </c>
    </row>
    <row r="3186">
      <c r="A3186" t="inlineStr">
        <is>
          <t>Normal-Only Total DPS (this block's swept value)</t>
        </is>
      </c>
      <c r="B3186">
        <f>SUM(V3147:V3174)</f>
        <v/>
      </c>
    </row>
    <row r="3187">
      <c r="A3187" s="6" t="inlineStr">
        <is>
          <t>TOTAL DPS</t>
        </is>
      </c>
      <c r="B3187" s="6">
        <f>SUM(O3147:O3174)</f>
        <v/>
      </c>
    </row>
    <row r="3190">
      <c r="A3190" s="6" t="inlineStr">
        <is>
          <t>Stat: CDR = 4.0s</t>
        </is>
      </c>
    </row>
    <row r="3191">
      <c r="A3191" s="5" t="inlineStr">
        <is>
          <t>Key</t>
        </is>
      </c>
      <c r="B3191" s="5" t="inlineStr">
        <is>
          <t>Name</t>
        </is>
      </c>
      <c r="C3191" s="5" t="inlineStr">
        <is>
          <t>Unlocked</t>
        </is>
      </c>
      <c r="D3191" s="5" t="inlineStr">
        <is>
          <t>InputLevel</t>
        </is>
      </c>
      <c r="E3191" s="5" t="inlineStr">
        <is>
          <t>Factor</t>
        </is>
      </c>
      <c r="F3191" s="5" t="inlineStr">
        <is>
          <t>CoefficientPercent</t>
        </is>
      </c>
      <c r="G3191" s="5" t="inlineStr">
        <is>
          <t>EffectiveHits</t>
        </is>
      </c>
      <c r="H3191" s="5" t="inlineStr">
        <is>
          <t>ProcProbability</t>
        </is>
      </c>
      <c r="I3191" s="5" t="inlineStr">
        <is>
          <t>MapleHeroMultiplier</t>
        </is>
      </c>
      <c r="J3191" s="5" t="inlineStr">
        <is>
          <t>BaseDamage</t>
        </is>
      </c>
      <c r="K3191" s="5" t="inlineStr">
        <is>
          <t>BaseHitDamage</t>
        </is>
      </c>
      <c r="L3191" s="5" t="inlineStr">
        <is>
          <t>NonCritAvg</t>
        </is>
      </c>
      <c r="M3191" s="5" t="inlineStr">
        <is>
          <t>CritAvg</t>
        </is>
      </c>
      <c r="N3191" s="5" t="inlineStr">
        <is>
          <t>ExpectedDamage(perHit)</t>
        </is>
      </c>
      <c r="O3191" s="5" t="inlineStr">
        <is>
          <t>DPS</t>
        </is>
      </c>
      <c r="P3191" s="5" t="inlineStr">
        <is>
          <t>% of Total</t>
        </is>
      </c>
      <c r="Q3191" s="5" t="inlineStr">
        <is>
          <t>InvCooldown</t>
        </is>
      </c>
      <c r="R3191" s="5" t="inlineStr">
        <is>
          <t>CastsInFight</t>
        </is>
      </c>
      <c r="S3191" s="5" t="inlineStr">
        <is>
          <t>HitRate(perSec)</t>
        </is>
      </c>
      <c r="U3191" t="inlineStr">
        <is>
          <t>helpers</t>
        </is>
      </c>
    </row>
    <row r="3192">
      <c r="A3192">
        <f>Skills!A2</f>
        <v/>
      </c>
      <c r="B3192">
        <f>Skills!B2</f>
        <v/>
      </c>
      <c r="C3192">
        <f>Inputs!$B$3&gt;=100</f>
        <v/>
      </c>
      <c r="D3192" t="inlineStr"/>
      <c r="E3192" t="inlineStr"/>
      <c r="F3192">
        <f>U3194+Skills!O2</f>
        <v/>
      </c>
      <c r="G3192">
        <f>Skills!G2*IF(Skills!H2&gt;0,Skills!I2/Skills!H2,1)</f>
        <v/>
      </c>
      <c r="H3192">
        <f>1-(1-Skills!J2/100)^Skills!K2</f>
        <v/>
      </c>
      <c r="I3192" t="inlineStr">
        <is>
          <t>1</t>
        </is>
      </c>
      <c r="J3192">
        <f>((Inputs!$B$6*(1+Inputs!$B$7/100))+(((Inputs!$B$12*(1+Inputs!$B$13/100))-(Inputs!$B$12*(1+Inputs!$B$13/100)))+0.25*(Inputs!$B$14-Inputs!$B$14))*(1+Inputs!$B$7/100))*(F3192/100)</f>
        <v/>
      </c>
      <c r="K3192">
        <f>J3192*(1+((Inputs!$B$12*(1+Inputs!$B$13/100))*0.01+Inputs!$B$14*0.0025)/100)*(1+Inputs!$B$15/100)*(1+Inputs!$B$16/100)*(5000/(6000+Inputs!$B$42*(1-(100*(1-(1-(Inputs!$B$19+0)/100)*(1-CHOOSE(ArtifactsInput!$N$40+1,5,6,7,8,9,10)/100)^(ArtifactsInput!$M$40-ArtifactsInput!$M$40)))/100)))*(1+(Inputs!$B$24+((C3214=TRUE)*(F3214-Calc!F24))+((C3215=TRUE)*(F3215-Calc!F25))+B3228)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EMPOWERED_PIERCING_ARROW",Inputs!$B$17+((C3212=TRUE)*(F3212-Calc!F22))+(((IF(AND(ArtifactsInput!$M$42,((Inputs!$B$9+((C3209=TRUE)*(F3209-Calc!F19))+B3222+(ArtifactsInput!$M$24-ArtifactsInput!$M$24)*CHOOSE(ArtifactsInput!$N$24+1,10,12,14,16,18,20)+IF(ArtifactsInput!$M$10,CHOOSE(ArtifactsInput!$N$10+1,15,18,21,24,27,30)*(IF(Inputs!$B$38="pvp",MIN(15,15)/15,IF(AND(Inputs!$B$38&lt;&gt;"pvp",Inputs!$B$43&gt;0),MIN(15,Inputs!$B$43)/(Inputs!$B$43),0))),0)))&gt;=100),MIN(100,((Inputs!$B$9+((C3209=TRUE)*(F3209-Calc!F19))+B3222+(ArtifactsInput!$M$24-ArtifactsInput!$M$24)*CHOOSE(ArtifactsInput!$N$24+1,10,12,14,16,18,20)+IF(ArtifactsInput!$M$10,CHOOSE(ArtifactsInput!$N$10+1,15,18,21,24,27,30)*(IF(Inputs!$B$38="pvp",MIN(15,15)/15,IF(AND(Inputs!$B$38&lt;&gt;"pvp",Inputs!$B$43&gt;0),MIN(15,Inputs!$B$43)/(Inputs!$B$43),0))),0)))-100),0))*CHOOSE(ArtifactsInput!$N$42+1,0.6,0.72,0.84,0.96,1.08,1.2))),Inputs!$B$18+((C3217=TRUE)*(F3217-Calc!F27))+(IF(AND(ArtifactsInput!$M$42,((Inputs!$B$9+((C3209=TRUE)*(F3209-Calc!F19))+B3222+(ArtifactsInput!$M$24-ArtifactsInput!$M$24)*CHOOSE(ArtifactsInput!$N$24+1,10,12,14,16,18,20)+IF(ArtifactsInput!$M$10,CHOOSE(ArtifactsInput!$N$10+1,15,18,21,24,27,30)*(IF(Inputs!$B$38="pvp",MIN(15,15)/15,IF(AND(Inputs!$B$38&lt;&gt;"pvp",Inputs!$B$43&gt;0),MIN(15,Inputs!$B$43)/(Inputs!$B$43),0))),0)))&gt;=100),CHOOSE(ArtifactsInput!$N$42+1,40,48,56,64,72,80),0))))/100)*((1+(((C3203=TRUE)*F3203)+((C3204=TRUE)*IF(Inputs!$B$38="pvp",F3204,(1-Summary!$B$11)*(F3204)+Summary!$B$11*(0)))+((C3205=TRUE)*F3205*IF(AND(Inputs!$B$38&lt;&gt;"pvp",Inputs!$B$43&gt;0),(((R3205-1)*(Skills!T15*(1+Inputs!$B$34/100))+MIN((Skills!T15*(1+Inputs!$B$34/100)),MAX(0,Inputs!$B$43-((R3205-1)*Skills!D15))))/Inputs!$B$43),IF(Inputs!$B$38="pvp",MIN((Skills!T15*(1+Inputs!$B$34/100)),15)/15,(Skills!T15*(1+Inputs!$B$34/100))/Skills!D15)))+((C3202=TRUE)*F3202)+((C3219=TRUE)*(F3219-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3192)</f>
        <v/>
      </c>
      <c r="L3192">
        <f>K3192*(MIN(Inputs!$B$22+((C3213=TRUE)*(F3213-Calc!F23)),(Inputs!$B$23+((C3218=TRUE)*(F3218-Calc!F28))+(IF(ArtifactsInput!$M$15,CHOOSE(ArtifactsInput!$N$15+1,25,30,35,40,45,50)/100*(Inputs!$B$11-Inputs!$B$11),0))))/100+(Inputs!$B$23+((C3218=TRUE)*(F3218-Calc!F28))+(IF(ArtifactsInput!$M$15,CHOOSE(ArtifactsInput!$N$15+1,25,30,35,40,45,50)/100*(Inputs!$B$11-Inputs!$B$11),0)))/100)/2</f>
        <v/>
      </c>
      <c r="M3192">
        <f>L3192*(1+(Inputs!$B$10+0+B3227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192">
        <f>L3192*(1-MIN((Inputs!$B$9+((C3209=TRUE)*(F3209-Calc!F19))+B3222+(ArtifactsInput!$M$24-ArtifactsInput!$M$24)*CHOOSE(ArtifactsInput!$N$24+1,10,12,14,16,18,20)+(IF(AND(ArtifactsInput!$M$42,((Inputs!$B$9+((C3209=TRUE)*(F3209-Calc!F19))+B3222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3192*(MIN((Inputs!$B$9+((C3209=TRUE)*(F3209-Calc!F19))+B3222+(ArtifactsInput!$M$24-ArtifactsInput!$M$24)*CHOOSE(ArtifactsInput!$N$24+1,10,12,14,16,18,20)+(IF(AND(ArtifactsInput!$M$42,((Inputs!$B$9+((C3209=TRUE)*(F3209-Calc!F19))+B3222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192">
        <f>(1-Summary!$B$11)*T3192+Summary!$B$11*V3192</f>
        <v/>
      </c>
      <c r="P3192">
        <f>IF(B3232=0,0,O3192/B3232)</f>
        <v/>
      </c>
      <c r="Q3192" t="n">
        <v>0</v>
      </c>
      <c r="R3192" t="n">
        <v>0</v>
      </c>
      <c r="S3192">
        <f>IFERROR((Skills!G2*N3192*B3226)/N3192*IF(Inputs!$B$38="pvp",1,(1-Summary!$B$11)*1+Summary!$B$11*(MIN((6+Inputs!$B$33),Inputs!$B$37))),0)</f>
        <v/>
      </c>
      <c r="T3192">
        <f>IF(C3192,(Skills!G2*N3192*B3226)*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Hunt"),CHOOSE(ArtifactsInput!$N$35+1,15,18,21,24,27,30)*(1-EXP(-(0.2*B3224)*5)),0)+IF(AND(ArtifactsInput!$M$22,Inputs!$B$4&lt;&gt;"Chapter Hunt"),CHOOSE(ArtifactsInput!$N$22+1,10,12,14,16,18,20)*((0*(((0.15*B3224*5))^0/1)+1*(((0.15*B3224*5))^1/1)+2*(((0.15*B3224*5))^2/2)+3*(((0.15*B3224*5))^3/6)+4*(((0.15*B3224*5))^4/24)+5*(((0.15*B3224*5))^5/120))/((((0.15*B3224*5))^0/1)+(((0.15*B3224*5))^1/1)+(((0.15*B3224*5))^2/2)+(((0.15*B3224*5))^3/6)+(((0.15*B3224*5))^4/24)+(((0.15*B3224*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3192*(1-MIN(100,(Inputs!$B$9+((C3209=TRUE)*(F3209-Calc!F19))+B3222+(ArtifactsInput!$M$24-ArtifactsInput!$M$24)*CHOOSE(ArtifactsInput!$N$24+1,10,12,14,16,18,20)+(IF(AND(ArtifactsInput!$M$42,((Inputs!$B$9+((C3209=TRUE)*(F3209-Calc!F19))+B3222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3192*(MIN(100,(Inputs!$B$9+((C3209=TRUE)*(F3209-Calc!F19))+B3222+(ArtifactsInput!$M$24-ArtifactsInput!$M$24)*CHOOSE(ArtifactsInput!$N$24+1,10,12,14,16,18,20)+(IF(AND(ArtifactsInput!$M$42,((Inputs!$B$9+((C3209=TRUE)*(F3209-Calc!F19))+B3222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3192*(1-MIN(100,(Inputs!$B$9+((C3209=TRUE)*(F3209-Calc!F19))+B3222+(ArtifactsInput!$M$24-ArtifactsInput!$M$24)*CHOOSE(ArtifactsInput!$N$24+1,10,12,14,16,18,20)+(IF(AND(ArtifactsInput!$M$42,((Inputs!$B$9+((C3209=TRUE)*(F3209-Calc!F19))+B3222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3192*(MIN(100,(Inputs!$B$9+((C3209=TRUE)*(F3209-Calc!F19))+B3222+(ArtifactsInput!$M$24-ArtifactsInput!$M$24)*CHOOSE(ArtifactsInput!$N$24+1,10,12,14,16,18,20)+(IF(AND(ArtifactsInput!$M$42,((Inputs!$B$9+((C3209=TRUE)*(F3209-Calc!F19))+B3222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3192">
        <f>MAX(0,(Inputs!$B$3-100)*3)+Inputs!$B$28+Inputs!$B$29</f>
        <v/>
      </c>
      <c r="V3192">
        <f>IF(C3192,(Skills!G2*N3192*B3226)*IF(Inputs!$B$38="pvp",1,(1+(Inputs!$B$21+Skills!Q2+(IF(ArtifactsInput!$M$33,CHOOSE(ArtifactsInput!$N$33+1,30,36,42,48,54,60),0))+(IF(AND(ArtifactsInput!$M$35,Inputs!$B$4&lt;&gt;"Chapter Hunt"),CHOOSE(ArtifactsInput!$N$35+1,15,18,21,24,27,30)*(1-EXP(-(0.2*B3224)*5)),0)+IF(AND(ArtifactsInput!$M$22,Inputs!$B$4&lt;&gt;"Chapter Hunt"),CHOOSE(ArtifactsInput!$N$22+1,10,12,14,16,18,20)*((0*(((0.15*B3224*5))^0/1)+1*(((0.15*B3224*5))^1/1)+2*(((0.15*B3224*5))^2/2)+3*(((0.15*B3224*5))^3/6)+4*(((0.15*B3224*5))^4/24)+5*(((0.15*B3224*5))^5/120))/((((0.15*B3224*5))^0/1)+(((0.15*B3224*5))^1/1)+(((0.15*B3224*5))^2/2)+(((0.15*B3224*5))^3/6)+(((0.15*B3224*5))^4/24)+(((0.15*B3224*5))^5/120)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193">
      <c r="A3193">
        <f>Skills!A3</f>
        <v/>
      </c>
      <c r="B3193">
        <f>Skills!B3</f>
        <v/>
      </c>
      <c r="C3193">
        <f>Inputs!$B$3&gt;=50</f>
        <v/>
      </c>
      <c r="D3193">
        <f>IF(Skills!C3=1,60+Inputs!$B$25+Inputs!$B$29,IF(Skills!C3=2,90+Inputs!$B$26+Inputs!$B$29,IF(Skills!C3=3,120+Inputs!$B$27+Inputs!$B$29,MAX(0,(Inputs!$B$3-100)*3)+Inputs!$B$28+Inputs!$B$29)))</f>
        <v/>
      </c>
      <c r="E3193">
        <f>INDEX(FactorTable!$B$2:$Y$301, MATCH(ROUND(MIN(300,MAX(1,D3193)),0), FactorTable!$A$2:$A$301,0), Skills!M3+1)</f>
        <v/>
      </c>
      <c r="F3193">
        <f>IF(Skills!N3=TRUE,(Skills!L3/10)*(E3193/1000),Skills!L3/10)+Skills!O3</f>
        <v/>
      </c>
      <c r="G3193" t="inlineStr"/>
      <c r="H3193" t="inlineStr"/>
      <c r="I3193" t="inlineStr">
        <is>
          <t>1</t>
        </is>
      </c>
      <c r="J3193" t="inlineStr"/>
      <c r="K3193" t="inlineStr"/>
      <c r="L3193" t="inlineStr"/>
      <c r="M3193" t="inlineStr"/>
      <c r="N3193" t="inlineStr"/>
      <c r="O3193" t="inlineStr"/>
      <c r="P3193" t="inlineStr"/>
      <c r="Q3193" t="inlineStr"/>
      <c r="R3193" t="inlineStr"/>
      <c r="S3193" t="inlineStr"/>
      <c r="T3193" t="inlineStr"/>
      <c r="U3193">
        <f>INDEX(FactorTable!$B$2:$Y$301, MATCH(ROUND(MIN(300,MAX(1,U3192)),0), FactorTable!$A$2:$A$301,0), 22)</f>
        <v/>
      </c>
      <c r="V3193" t="inlineStr"/>
    </row>
    <row r="3194">
      <c r="A3194">
        <f>Skills!A4</f>
        <v/>
      </c>
      <c r="B3194">
        <f>Skills!B4</f>
        <v/>
      </c>
      <c r="C3194">
        <f>Inputs!$B$3&gt;=105</f>
        <v/>
      </c>
      <c r="D3194">
        <f>IF(Skills!C4=1,60+Inputs!$B$25+Inputs!$B$29,IF(Skills!C4=2,90+Inputs!$B$26+Inputs!$B$29,IF(Skills!C4=3,120+Inputs!$B$27+Inputs!$B$29,MAX(0,(Inputs!$B$3-100)*3)+Inputs!$B$28+Inputs!$B$29)))</f>
        <v/>
      </c>
      <c r="E3194">
        <f>INDEX(FactorTable!$B$2:$Y$301, MATCH(ROUND(MIN(300,MAX(1,D3194)),0), FactorTable!$A$2:$A$301,0), Skills!M4+1)</f>
        <v/>
      </c>
      <c r="F3194">
        <f>IF(Skills!N4=TRUE,(Skills!L4/10)*(E3194/1000),Skills!L4/10)+Skills!O4</f>
        <v/>
      </c>
      <c r="G3194" t="inlineStr"/>
      <c r="H3194" t="inlineStr"/>
      <c r="I3194" t="inlineStr">
        <is>
          <t>1</t>
        </is>
      </c>
      <c r="J3194" t="inlineStr"/>
      <c r="K3194" t="inlineStr"/>
      <c r="L3194" t="inlineStr"/>
      <c r="M3194" t="inlineStr"/>
      <c r="N3194" t="inlineStr"/>
      <c r="O3194" t="inlineStr"/>
      <c r="P3194" t="inlineStr"/>
      <c r="Q3194" t="inlineStr"/>
      <c r="R3194" t="inlineStr"/>
      <c r="S3194" t="inlineStr"/>
      <c r="T3194" t="inlineStr"/>
      <c r="U3194">
        <f>290*U3193/1000</f>
        <v/>
      </c>
      <c r="V3194" t="inlineStr"/>
    </row>
    <row r="3195">
      <c r="A3195">
        <f>Skills!A5</f>
        <v/>
      </c>
      <c r="B3195">
        <f>Skills!B5</f>
        <v/>
      </c>
      <c r="C3195">
        <f>Inputs!$B$3&gt;=35</f>
        <v/>
      </c>
      <c r="D3195">
        <f>IF(Skills!C5=1,60+Inputs!$B$25+Inputs!$B$29,IF(Skills!C5=2,90+Inputs!$B$26+Inputs!$B$29,IF(Skills!C5=3,120+Inputs!$B$27+Inputs!$B$29,MAX(0,(Inputs!$B$3-100)*3)+Inputs!$B$28+Inputs!$B$29)))</f>
        <v/>
      </c>
      <c r="E3195">
        <f>INDEX(FactorTable!$B$2:$Y$301, MATCH(ROUND(MIN(300,MAX(1,D3195)),0), FactorTable!$A$2:$A$301,0), Skills!M5+1)</f>
        <v/>
      </c>
      <c r="F3195">
        <f>IF(Skills!N5=TRUE,(Skills!L5/10)*(E3195/1000),Skills!L5/10)+Skills!O5</f>
        <v/>
      </c>
      <c r="G3195">
        <f>Skills!G5*IF(Skills!H5&gt;0,Skills!I5/Skills!H5,1)</f>
        <v/>
      </c>
      <c r="H3195">
        <f>1-(1-Skills!J5/100)^Skills!K5</f>
        <v/>
      </c>
      <c r="I3195" t="inlineStr">
        <is>
          <t>1</t>
        </is>
      </c>
      <c r="J3195">
        <f>((Inputs!$B$6*(1+Inputs!$B$7/100))+(((Inputs!$B$12*(1+Inputs!$B$13/100))-(Inputs!$B$12*(1+Inputs!$B$13/100)))+0.25*(Inputs!$B$14-Inputs!$B$14))*(1+Inputs!$B$7/100))*(F3195/100)</f>
        <v/>
      </c>
      <c r="K3195">
        <f>J3195*(1+((Inputs!$B$12*(1+Inputs!$B$13/100))*0.01+Inputs!$B$14*0.0025)/100)*(1+Inputs!$B$15/100)*(1+Inputs!$B$16/100)*(5000/(6000+Inputs!$B$42*(1-(100*(1-(1-(Inputs!$B$19+0)/100)*(1-CHOOSE(ArtifactsInput!$N$40+1,5,6,7,8,9,10)/100)^(ArtifactsInput!$M$40-ArtifactsInput!$M$40)))/100)))*(1+(Inputs!$B$24+((C3214=TRUE)*(F3214-Calc!F24))+((C3215=TRUE)*(F3215-Calc!F25))+B3228)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3198=TRUE,F3198,0)/100)*(1+(IF(Skills!A5="EMPOWERED_PIERCING_ARROW",Inputs!$B$17+((C3212=TRUE)*(F3212-Calc!F22))+(((IF(AND(ArtifactsInput!$M$42,((Inputs!$B$9+((C3209=TRUE)*(F3209-Calc!F19))+B3222+(ArtifactsInput!$M$24-ArtifactsInput!$M$24)*CHOOSE(ArtifactsInput!$N$24+1,10,12,14,16,18,20)+IF(ArtifactsInput!$M$10,CHOOSE(ArtifactsInput!$N$10+1,15,18,21,24,27,30)*(IF(Inputs!$B$38="pvp",MIN(15,15)/15,IF(AND(Inputs!$B$38&lt;&gt;"pvp",Inputs!$B$43&gt;0),MIN(15,Inputs!$B$43)/(Inputs!$B$43),0))),0)))&gt;=100),MIN(100,((Inputs!$B$9+((C3209=TRUE)*(F3209-Calc!F19))+B3222+(ArtifactsInput!$M$24-ArtifactsInput!$M$24)*CHOOSE(ArtifactsInput!$N$24+1,10,12,14,16,18,20)+IF(ArtifactsInput!$M$10,CHOOSE(ArtifactsInput!$N$10+1,15,18,21,24,27,30)*(IF(Inputs!$B$38="pvp",MIN(15,15)/15,IF(AND(Inputs!$B$38&lt;&gt;"pvp",Inputs!$B$43&gt;0),MIN(15,Inputs!$B$43)/(Inputs!$B$43),0))),0)))-100),0))*CHOOSE(ArtifactsInput!$N$42+1,0.6,0.72,0.84,0.96,1.08,1.2))),Inputs!$B$18+((C3217=TRUE)*(F3217-Calc!F27))+(IF(AND(ArtifactsInput!$M$42,((Inputs!$B$9+((C3209=TRUE)*(F3209-Calc!F19))+B3222+(ArtifactsInput!$M$24-ArtifactsInput!$M$24)*CHOOSE(ArtifactsInput!$N$24+1,10,12,14,16,18,20)+IF(ArtifactsInput!$M$10,CHOOSE(ArtifactsInput!$N$10+1,15,18,21,24,27,30)*(IF(Inputs!$B$38="pvp",MIN(15,15)/15,IF(AND(Inputs!$B$38&lt;&gt;"pvp",Inputs!$B$43&gt;0),MIN(15,Inputs!$B$43)/(Inputs!$B$43),0))),0)))&gt;=100),CHOOSE(ArtifactsInput!$N$42+1,40,48,56,64,72,80),0))))/100)*((1+(((C3203=TRUE)*F3203)+((C3204=TRUE)*IF(Inputs!$B$38="pvp",F3204,(1-Summary!$B$11)*(F3204)+Summary!$B$11*(0)))+((C3205=TRUE)*F3205*IF(AND(Inputs!$B$38&lt;&gt;"pvp",Inputs!$B$43&gt;0),(((R3205-1)*(Skills!T15*(1+Inputs!$B$34/100))+MIN((Skills!T15*(1+Inputs!$B$34/100)),MAX(0,Inputs!$B$43-((R3205-1)*Skills!D15))))/Inputs!$B$43),IF(Inputs!$B$38="pvp",MIN((Skills!T15*(1+Inputs!$B$34/100)),15)/15,(Skills!T15*(1+Inputs!$B$34/100))/Skills!D15)))+((C3202=TRUE)*F3202)+((C3219=TRUE)*(F3219-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3195)</f>
        <v/>
      </c>
      <c r="L3195">
        <f>K3195*(MIN(Inputs!$B$22+((C3213=TRUE)*(F3213-Calc!F23)),(Inputs!$B$23+((C3218=TRUE)*(F3218-Calc!F28))+(IF(ArtifactsInput!$M$15,CHOOSE(ArtifactsInput!$N$15+1,25,30,35,40,45,50)/100*(Inputs!$B$11-Inputs!$B$11),0))))/100+(Inputs!$B$23+((C3218=TRUE)*(F3218-Calc!F28))+(IF(ArtifactsInput!$M$15,CHOOSE(ArtifactsInput!$N$15+1,25,30,35,40,45,50)/100*(Inputs!$B$11-Inputs!$B$11),0)))/100)/2</f>
        <v/>
      </c>
      <c r="M3195">
        <f>L3195*(1+(Inputs!$B$10+0+B3227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195">
        <f>L3195*(1-MIN((Inputs!$B$9+((C3209=TRUE)*(F3209-Calc!F19))+B3222+(ArtifactsInput!$M$24-ArtifactsInput!$M$24)*CHOOSE(ArtifactsInput!$N$24+1,10,12,14,16,18,20)+(IF(AND(ArtifactsInput!$M$42,((Inputs!$B$9+((C3209=TRUE)*(F3209-Calc!F19))+B3222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3195*(MIN((Inputs!$B$9+((C3209=TRUE)*(F3209-Calc!F19))+B3222+(ArtifactsInput!$M$24-ArtifactsInput!$M$24)*CHOOSE(ArtifactsInput!$N$24+1,10,12,14,16,18,20)+(IF(AND(ArtifactsInput!$M$42,((Inputs!$B$9+((C3209=TRUE)*(F3209-Calc!F19))+B3222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195">
        <f>(1-Summary!$B$11)*T3195+Summary!$B$11*V3195</f>
        <v/>
      </c>
      <c r="P3195">
        <f>IF(B3232=0,0,O3195/B3232)</f>
        <v/>
      </c>
      <c r="Q3195">
        <f>IFERROR(1/IF(Inputs!$B$38="pvp",15,MAX(0.1,Skills!D5-IF(Skills!E5=TRUE,4.0,0))),0)</f>
        <v/>
      </c>
      <c r="R3195">
        <f>IF(AND(Inputs!$B$38&lt;&gt;"pvp",Inputs!$B$43&gt;0),IF(MAX(0,Inputs!$B$43-B3229)&lt;=0,0,(INT(MAX(0,Inputs!$B$43-B3229)/IF(Inputs!$B$38="pvp",15,MAX(0.1,Skills!D5-IF(Skills!E5=TRUE,4.0,0))))+1)),0)</f>
        <v/>
      </c>
      <c r="S3195">
        <f>IFERROR((H3195*N3195*IF(AND(Inputs!$B$38&lt;&gt;"pvp",Inputs!$B$43&gt;0),((Skills!G5*((R3195-1)*IF(Skills!H5&gt;0,Skills!I5/Skills!H5,1)+IF(Skills!H5&gt;0,MIN(Skills!I5,MAX(0,MAX(0,Inputs!$B$43-B3229)-((R3195-1)*IF(Inputs!$B$38="pvp",15,MAX(0.1,Skills!D5-IF(Skills!E5=TRUE,4.0,0))))))/Skills!H5,1)))/Inputs!$B$43),G3195*Q3195))/N3195*IF(Inputs!$B$38="pvp",1,(1-Summary!$B$11)*1+Summary!$B$11*(MIN(Skills!R5,Inputs!$B$37))),0)</f>
        <v/>
      </c>
      <c r="T3195">
        <f>IF(C3195,(H3195*N3195*IF(AND(Inputs!$B$38&lt;&gt;"pvp",Inputs!$B$43&gt;0),((Skills!G5*((R3195-1)*IF(Skills!H5&gt;0,Skills!I5/Skills!H5,1)+IF(Skills!H5&gt;0,MIN(Skills!I5,MAX(0,MAX(0,Inputs!$B$43-B3229)-((R3195-1)*IF(Inputs!$B$38="pvp",15,MAX(0.1,Skills!D5-IF(Skills!E5=TRUE,4.0,0))))))/Skills!H5,1)))/Inputs!$B$43),G3195*Q3195))*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Hunt"),CHOOSE(ArtifactsInput!$N$35+1,15,18,21,24,27,30)*(1-EXP(-(0.2*B3224)*5)),0)+IF(AND(ArtifactsInput!$M$22,Inputs!$B$4&lt;&gt;"Chapter Hunt"),CHOOSE(ArtifactsInput!$N$22+1,10,12,14,16,18,20)*((0*(((0.15*B3224*5))^0/1)+1*(((0.15*B3224*5))^1/1)+2*(((0.15*B3224*5))^2/2)+3*(((0.15*B3224*5))^3/6)+4*(((0.15*B3224*5))^4/24)+5*(((0.15*B3224*5))^5/120))/((((0.15*B3224*5))^0/1)+(((0.15*B3224*5))^1/1)+(((0.15*B3224*5))^2/2)+(((0.15*B3224*5))^3/6)+(((0.15*B3224*5))^4/24)+(((0.15*B3224*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3195*(1-MIN(100,(Inputs!$B$9+((C3209=TRUE)*(F3209-Calc!F19))+B3222+(ArtifactsInput!$M$24-ArtifactsInput!$M$24)*CHOOSE(ArtifactsInput!$N$24+1,10,12,14,16,18,20)+(IF(AND(ArtifactsInput!$M$42,((Inputs!$B$9+((C3209=TRUE)*(F3209-Calc!F19))+B3222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3195*(MIN(100,(Inputs!$B$9+((C3209=TRUE)*(F3209-Calc!F19))+B3222+(ArtifactsInput!$M$24-ArtifactsInput!$M$24)*CHOOSE(ArtifactsInput!$N$24+1,10,12,14,16,18,20)+(IF(AND(ArtifactsInput!$M$42,((Inputs!$B$9+((C3209=TRUE)*(F3209-Calc!F19))+B3222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3195*(1-MIN(100,(Inputs!$B$9+((C3209=TRUE)*(F3209-Calc!F19))+B3222+(ArtifactsInput!$M$24-ArtifactsInput!$M$24)*CHOOSE(ArtifactsInput!$N$24+1,10,12,14,16,18,20)+(IF(AND(ArtifactsInput!$M$42,((Inputs!$B$9+((C3209=TRUE)*(F3209-Calc!F19))+B3222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3195*(MIN(100,(Inputs!$B$9+((C3209=TRUE)*(F3209-Calc!F19))+B3222+(ArtifactsInput!$M$24-ArtifactsInput!$M$24)*CHOOSE(ArtifactsInput!$N$24+1,10,12,14,16,18,20)+(IF(AND(ArtifactsInput!$M$42,((Inputs!$B$9+((C3209=TRUE)*(F3209-Calc!F19))+B3222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195">
        <f>IF(C3195,(H3195*N3195*IF(AND(Inputs!$B$38&lt;&gt;"pvp",Inputs!$B$43&gt;0),((Skills!G5*((R3195-1)*IF(Skills!H5&gt;0,Skills!I5/Skills!H5,1)+IF(Skills!H5&gt;0,MIN(Skills!I5,MAX(0,MAX(0,Inputs!$B$43-B3229)-((R3195-1)*IF(Inputs!$B$38="pvp",15,MAX(0.1,Skills!D5-IF(Skills!E5=TRUE,4.0,0))))))/Skills!H5,1)))/Inputs!$B$43),G3195*Q3195))*IF(Inputs!$B$38="pvp",1,(1+(Inputs!$B$21+Skills!Q5+(IF(ArtifactsInput!$M$33,CHOOSE(ArtifactsInput!$N$33+1,30,36,42,48,54,60),0))+(IF(AND(ArtifactsInput!$M$35,Inputs!$B$4&lt;&gt;"Chapter Hunt"),CHOOSE(ArtifactsInput!$N$35+1,15,18,21,24,27,30)*(1-EXP(-(0.2*B3224)*5)),0)+IF(AND(ArtifactsInput!$M$22,Inputs!$B$4&lt;&gt;"Chapter Hunt"),CHOOSE(ArtifactsInput!$N$22+1,10,12,14,16,18,20)*((0*(((0.15*B3224*5))^0/1)+1*(((0.15*B3224*5))^1/1)+2*(((0.15*B3224*5))^2/2)+3*(((0.15*B3224*5))^3/6)+4*(((0.15*B3224*5))^4/24)+5*(((0.15*B3224*5))^5/120))/((((0.15*B3224*5))^0/1)+(((0.15*B3224*5))^1/1)+(((0.15*B3224*5))^2/2)+(((0.15*B3224*5))^3/6)+(((0.15*B3224*5))^4/24)+(((0.15*B3224*5))^5/120)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196">
      <c r="A3196">
        <f>Skills!A6</f>
        <v/>
      </c>
      <c r="B3196">
        <f>Skills!B6</f>
        <v/>
      </c>
      <c r="C3196">
        <f>Inputs!$B$3&gt;=63</f>
        <v/>
      </c>
      <c r="D3196">
        <f>IF(Skills!C6=1,60+Inputs!$B$25+Inputs!$B$29,IF(Skills!C6=2,90+Inputs!$B$26+Inputs!$B$29,IF(Skills!C6=3,120+Inputs!$B$27+Inputs!$B$29,MAX(0,(Inputs!$B$3-100)*3)+Inputs!$B$28+Inputs!$B$29)))</f>
        <v/>
      </c>
      <c r="E3196">
        <f>INDEX(FactorTable!$B$2:$Y$301, MATCH(ROUND(MIN(300,MAX(1,D3196)),0), FactorTable!$A$2:$A$301,0), Skills!M6+1)</f>
        <v/>
      </c>
      <c r="F3196">
        <f>IF(Skills!N6=TRUE,(Skills!L6/10)*(E3196/1000),Skills!L6/10)+Skills!O6</f>
        <v/>
      </c>
      <c r="G3196">
        <f>Skills!G6*IF(Skills!H6&gt;0,Skills!I6/Skills!H6,1)</f>
        <v/>
      </c>
      <c r="H3196">
        <f>1-(1-Skills!J6/100)^Skills!K6</f>
        <v/>
      </c>
      <c r="I3196" t="inlineStr">
        <is>
          <t>1</t>
        </is>
      </c>
      <c r="J3196">
        <f>((Inputs!$B$6*(1+Inputs!$B$7/100))+(((Inputs!$B$12*(1+Inputs!$B$13/100))-(Inputs!$B$12*(1+Inputs!$B$13/100)))+0.25*(Inputs!$B$14-Inputs!$B$14))*(1+Inputs!$B$7/100))*(F3196/100)</f>
        <v/>
      </c>
      <c r="K3196">
        <f>J3196*(1+((Inputs!$B$12*(1+Inputs!$B$13/100))*0.01+Inputs!$B$14*0.0025)/100)*(1+Inputs!$B$15/100)*(1+Inputs!$B$16/100)*(5000/(6000+Inputs!$B$42*(1-(100*(1-(1-(Inputs!$B$19+0)/100)*(1-CHOOSE(ArtifactsInput!$N$40+1,5,6,7,8,9,10)/100)^(ArtifactsInput!$M$40-ArtifactsInput!$M$40)))/100)))*(1+(Inputs!$B$24+((C3214=TRUE)*(F3214-Calc!F24))+((C3215=TRUE)*(F3215-Calc!F25))+B3228)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3198=TRUE,F3198,0)/100)*(1+(IF(Skills!A6="EMPOWERED_PIERCING_ARROW",Inputs!$B$17+((C3212=TRUE)*(F3212-Calc!F22))+(((IF(AND(ArtifactsInput!$M$42,((Inputs!$B$9+((C3209=TRUE)*(F3209-Calc!F19))+B3222+(ArtifactsInput!$M$24-ArtifactsInput!$M$24)*CHOOSE(ArtifactsInput!$N$24+1,10,12,14,16,18,20)+IF(ArtifactsInput!$M$10,CHOOSE(ArtifactsInput!$N$10+1,15,18,21,24,27,30)*(IF(Inputs!$B$38="pvp",MIN(15,15)/15,IF(AND(Inputs!$B$38&lt;&gt;"pvp",Inputs!$B$43&gt;0),MIN(15,Inputs!$B$43)/(Inputs!$B$43),0))),0)))&gt;=100),MIN(100,((Inputs!$B$9+((C3209=TRUE)*(F3209-Calc!F19))+B3222+(ArtifactsInput!$M$24-ArtifactsInput!$M$24)*CHOOSE(ArtifactsInput!$N$24+1,10,12,14,16,18,20)+IF(ArtifactsInput!$M$10,CHOOSE(ArtifactsInput!$N$10+1,15,18,21,24,27,30)*(IF(Inputs!$B$38="pvp",MIN(15,15)/15,IF(AND(Inputs!$B$38&lt;&gt;"pvp",Inputs!$B$43&gt;0),MIN(15,Inputs!$B$43)/(Inputs!$B$43),0))),0)))-100),0))*CHOOSE(ArtifactsInput!$N$42+1,0.6,0.72,0.84,0.96,1.08,1.2))),Inputs!$B$18+((C3217=TRUE)*(F3217-Calc!F27))+(IF(AND(ArtifactsInput!$M$42,((Inputs!$B$9+((C3209=TRUE)*(F3209-Calc!F19))+B3222+(ArtifactsInput!$M$24-ArtifactsInput!$M$24)*CHOOSE(ArtifactsInput!$N$24+1,10,12,14,16,18,20)+IF(ArtifactsInput!$M$10,CHOOSE(ArtifactsInput!$N$10+1,15,18,21,24,27,30)*(IF(Inputs!$B$38="pvp",MIN(15,15)/15,IF(AND(Inputs!$B$38&lt;&gt;"pvp",Inputs!$B$43&gt;0),MIN(15,Inputs!$B$43)/(Inputs!$B$43),0))),0)))&gt;=100),CHOOSE(ArtifactsInput!$N$42+1,40,48,56,64,72,80),0))))/100)*((1+(((C3203=TRUE)*F3203)+((C3204=TRUE)*IF(Inputs!$B$38="pvp",F3204,(1-Summary!$B$11)*(F3204)+Summary!$B$11*(0)))+((C3205=TRUE)*F3205*IF(AND(Inputs!$B$38&lt;&gt;"pvp",Inputs!$B$43&gt;0),(((R3205-1)*(Skills!T15*(1+Inputs!$B$34/100))+MIN((Skills!T15*(1+Inputs!$B$34/100)),MAX(0,Inputs!$B$43-((R3205-1)*Skills!D15))))/Inputs!$B$43),IF(Inputs!$B$38="pvp",MIN((Skills!T15*(1+Inputs!$B$34/100)),15)/15,(Skills!T15*(1+Inputs!$B$34/100))/Skills!D15)))+((C3202=TRUE)*F3202)+((C3219=TRUE)*(F3219-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3196)</f>
        <v/>
      </c>
      <c r="L3196">
        <f>K3196*(MIN(Inputs!$B$22+((C3213=TRUE)*(F3213-Calc!F23)),(Inputs!$B$23+((C3218=TRUE)*(F3218-Calc!F28))+(IF(ArtifactsInput!$M$15,CHOOSE(ArtifactsInput!$N$15+1,25,30,35,40,45,50)/100*(Inputs!$B$11-Inputs!$B$11),0))))/100+(Inputs!$B$23+((C3218=TRUE)*(F3218-Calc!F28))+(IF(ArtifactsInput!$M$15,CHOOSE(ArtifactsInput!$N$15+1,25,30,35,40,45,50)/100*(Inputs!$B$11-Inputs!$B$11),0)))/100)/2</f>
        <v/>
      </c>
      <c r="M3196">
        <f>L3196*(1+(Inputs!$B$10+0+B3227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196">
        <f>L3196*(1-MIN((Inputs!$B$9+((C3209=TRUE)*(F3209-Calc!F19))+B3222+(ArtifactsInput!$M$24-ArtifactsInput!$M$24)*CHOOSE(ArtifactsInput!$N$24+1,10,12,14,16,18,20)+(IF(AND(ArtifactsInput!$M$42,((Inputs!$B$9+((C3209=TRUE)*(F3209-Calc!F19))+B3222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3196*(MIN((Inputs!$B$9+((C3209=TRUE)*(F3209-Calc!F19))+B3222+(ArtifactsInput!$M$24-ArtifactsInput!$M$24)*CHOOSE(ArtifactsInput!$N$24+1,10,12,14,16,18,20)+(IF(AND(ArtifactsInput!$M$42,((Inputs!$B$9+((C3209=TRUE)*(F3209-Calc!F19))+B3222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196">
        <f>(1-Summary!$B$11)*T3196+Summary!$B$11*V3196</f>
        <v/>
      </c>
      <c r="P3196">
        <f>IF(B3232=0,0,O3196/B3232)</f>
        <v/>
      </c>
      <c r="Q3196">
        <f>IFERROR(1/IF(Inputs!$B$38="pvp",15,MAX(0.1,Skills!D6-IF(Skills!E6=TRUE,4.0,0))),0)</f>
        <v/>
      </c>
      <c r="R3196">
        <f>IF(AND(Inputs!$B$38&lt;&gt;"pvp",Inputs!$B$43&gt;0),IF(MAX(0,Inputs!$B$43-B3229)&lt;=0,0,(INT(MAX(0,Inputs!$B$43-B3229)/IF(Inputs!$B$38="pvp",15,MAX(0.1,Skills!D6-IF(Skills!E6=TRUE,4.0,0))))+1)),0)</f>
        <v/>
      </c>
      <c r="S3196">
        <f>IFERROR((H3196*N3196*IF(AND(Inputs!$B$38&lt;&gt;"pvp",Inputs!$B$43&gt;0),((Skills!G6*((R3196-1)*IF(Skills!H6&gt;0,Skills!I6/Skills!H6,1)+IF(Skills!H6&gt;0,MIN(Skills!I6,MAX(0,MAX(0,Inputs!$B$43-B3229)-((R3196-1)*IF(Inputs!$B$38="pvp",15,MAX(0.1,Skills!D6-IF(Skills!E6=TRUE,4.0,0))))))/Skills!H6,1)))/Inputs!$B$43),G3196*Q3196))/N3196*IF(Inputs!$B$38="pvp",1,(1-Summary!$B$11)*1+Summary!$B$11*(MIN(Skills!R6,Inputs!$B$37))),0)</f>
        <v/>
      </c>
      <c r="T3196">
        <f>IF(C3196,(H3196*N3196*IF(AND(Inputs!$B$38&lt;&gt;"pvp",Inputs!$B$43&gt;0),((Skills!G6*((R3196-1)*IF(Skills!H6&gt;0,Skills!I6/Skills!H6,1)+IF(Skills!H6&gt;0,MIN(Skills!I6,MAX(0,MAX(0,Inputs!$B$43-B3229)-((R3196-1)*IF(Inputs!$B$38="pvp",15,MAX(0.1,Skills!D6-IF(Skills!E6=TRUE,4.0,0))))))/Skills!H6,1)))/Inputs!$B$43),G3196*Q3196))*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Hunt"),CHOOSE(ArtifactsInput!$N$35+1,15,18,21,24,27,30)*(1-EXP(-(0.2*B3224)*5)),0)+IF(AND(ArtifactsInput!$M$22,Inputs!$B$4&lt;&gt;"Chapter Hunt"),CHOOSE(ArtifactsInput!$N$22+1,10,12,14,16,18,20)*((0*(((0.15*B3224*5))^0/1)+1*(((0.15*B3224*5))^1/1)+2*(((0.15*B3224*5))^2/2)+3*(((0.15*B3224*5))^3/6)+4*(((0.15*B3224*5))^4/24)+5*(((0.15*B3224*5))^5/120))/((((0.15*B3224*5))^0/1)+(((0.15*B3224*5))^1/1)+(((0.15*B3224*5))^2/2)+(((0.15*B3224*5))^3/6)+(((0.15*B3224*5))^4/24)+(((0.15*B3224*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3196*(1-MIN(100,(Inputs!$B$9+((C3209=TRUE)*(F3209-Calc!F19))+B3222+(ArtifactsInput!$M$24-ArtifactsInput!$M$24)*CHOOSE(ArtifactsInput!$N$24+1,10,12,14,16,18,20)+(IF(AND(ArtifactsInput!$M$42,((Inputs!$B$9+((C3209=TRUE)*(F3209-Calc!F19))+B3222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3196*(MIN(100,(Inputs!$B$9+((C3209=TRUE)*(F3209-Calc!F19))+B3222+(ArtifactsInput!$M$24-ArtifactsInput!$M$24)*CHOOSE(ArtifactsInput!$N$24+1,10,12,14,16,18,20)+(IF(AND(ArtifactsInput!$M$42,((Inputs!$B$9+((C3209=TRUE)*(F3209-Calc!F19))+B3222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3196*(1-MIN(100,(Inputs!$B$9+((C3209=TRUE)*(F3209-Calc!F19))+B3222+(ArtifactsInput!$M$24-ArtifactsInput!$M$24)*CHOOSE(ArtifactsInput!$N$24+1,10,12,14,16,18,20)+(IF(AND(ArtifactsInput!$M$42,((Inputs!$B$9+((C3209=TRUE)*(F3209-Calc!F19))+B3222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3196*(MIN(100,(Inputs!$B$9+((C3209=TRUE)*(F3209-Calc!F19))+B3222+(ArtifactsInput!$M$24-ArtifactsInput!$M$24)*CHOOSE(ArtifactsInput!$N$24+1,10,12,14,16,18,20)+(IF(AND(ArtifactsInput!$M$42,((Inputs!$B$9+((C3209=TRUE)*(F3209-Calc!F19))+B3222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196">
        <f>IF(C3196,(H3196*N3196*IF(AND(Inputs!$B$38&lt;&gt;"pvp",Inputs!$B$43&gt;0),((Skills!G6*((R3196-1)*IF(Skills!H6&gt;0,Skills!I6/Skills!H6,1)+IF(Skills!H6&gt;0,MIN(Skills!I6,MAX(0,MAX(0,Inputs!$B$43-B3229)-((R3196-1)*IF(Inputs!$B$38="pvp",15,MAX(0.1,Skills!D6-IF(Skills!E6=TRUE,4.0,0))))))/Skills!H6,1)))/Inputs!$B$43),G3196*Q3196))*IF(Inputs!$B$38="pvp",1,(1+(Inputs!$B$21+Skills!Q6+(IF(ArtifactsInput!$M$33,CHOOSE(ArtifactsInput!$N$33+1,30,36,42,48,54,60),0))+(IF(AND(ArtifactsInput!$M$35,Inputs!$B$4&lt;&gt;"Chapter Hunt"),CHOOSE(ArtifactsInput!$N$35+1,15,18,21,24,27,30)*(1-EXP(-(0.2*B3224)*5)),0)+IF(AND(ArtifactsInput!$M$22,Inputs!$B$4&lt;&gt;"Chapter Hunt"),CHOOSE(ArtifactsInput!$N$22+1,10,12,14,16,18,20)*((0*(((0.15*B3224*5))^0/1)+1*(((0.15*B3224*5))^1/1)+2*(((0.15*B3224*5))^2/2)+3*(((0.15*B3224*5))^3/6)+4*(((0.15*B3224*5))^4/24)+5*(((0.15*B3224*5))^5/120))/((((0.15*B3224*5))^0/1)+(((0.15*B3224*5))^1/1)+(((0.15*B3224*5))^2/2)+(((0.15*B3224*5))^3/6)+(((0.15*B3224*5))^4/24)+(((0.15*B3224*5))^5/120))),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197">
      <c r="A3197">
        <f>Skills!A7</f>
        <v/>
      </c>
      <c r="B3197">
        <f>Skills!B7</f>
        <v/>
      </c>
      <c r="C3197">
        <f>Inputs!$B$3&gt;=69</f>
        <v/>
      </c>
      <c r="D3197">
        <f>IF(Skills!C7=1,60+Inputs!$B$25+Inputs!$B$29,IF(Skills!C7=2,90+Inputs!$B$26+Inputs!$B$29,IF(Skills!C7=3,120+Inputs!$B$27+Inputs!$B$29,MAX(0,(Inputs!$B$3-100)*3)+Inputs!$B$28+Inputs!$B$29)))</f>
        <v/>
      </c>
      <c r="E3197">
        <f>INDEX(FactorTable!$B$2:$Y$301, MATCH(ROUND(MIN(300,MAX(1,D3197)),0), FactorTable!$A$2:$A$301,0), Skills!M7+1)</f>
        <v/>
      </c>
      <c r="F3197">
        <f>IF(Skills!N7=TRUE,(Skills!L7/10)*(E3197/1000),Skills!L7/10)+Skills!O7</f>
        <v/>
      </c>
      <c r="G3197">
        <f>Skills!G7*IF(Skills!H7&gt;0,Skills!I7/Skills!H7,1)</f>
        <v/>
      </c>
      <c r="H3197">
        <f>1-(1-Skills!J7/100)^Skills!K7</f>
        <v/>
      </c>
      <c r="I3197" t="inlineStr">
        <is>
          <t>1</t>
        </is>
      </c>
      <c r="J3197">
        <f>((Inputs!$B$6*(1+Inputs!$B$7/100))+(((Inputs!$B$12*(1+Inputs!$B$13/100))-(Inputs!$B$12*(1+Inputs!$B$13/100)))+0.25*(Inputs!$B$14-Inputs!$B$14))*(1+Inputs!$B$7/100))*(F3197/100)</f>
        <v/>
      </c>
      <c r="K3197">
        <f>J3197*(1+((Inputs!$B$12*(1+Inputs!$B$13/100))*0.01+Inputs!$B$14*0.0025)/100)*(1+Inputs!$B$15/100)*(1+Inputs!$B$16/100)*(5000/(6000+Inputs!$B$42*(1-(100*(1-(1-(Inputs!$B$19+0)/100)*(1-CHOOSE(ArtifactsInput!$N$40+1,5,6,7,8,9,10)/100)^(ArtifactsInput!$M$40-ArtifactsInput!$M$40)))/100)))*(1+(Inputs!$B$24+((C3214=TRUE)*(F3214-Calc!F24))+((C3215=TRUE)*(F3215-Calc!F25))+B3228)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+1.2*IF(C3198=TRUE,F3198,0)/100)*(1+(IF(Skills!A7="EMPOWERED_PIERCING_ARROW",Inputs!$B$17+((C3212=TRUE)*(F3212-Calc!F22))+(((IF(AND(ArtifactsInput!$M$42,((Inputs!$B$9+((C3209=TRUE)*(F3209-Calc!F19))+B3222+(ArtifactsInput!$M$24-ArtifactsInput!$M$24)*CHOOSE(ArtifactsInput!$N$24+1,10,12,14,16,18,20)+IF(ArtifactsInput!$M$10,CHOOSE(ArtifactsInput!$N$10+1,15,18,21,24,27,30)*(IF(Inputs!$B$38="pvp",MIN(15,15)/15,IF(AND(Inputs!$B$38&lt;&gt;"pvp",Inputs!$B$43&gt;0),MIN(15,Inputs!$B$43)/(Inputs!$B$43),0))),0)))&gt;=100),MIN(100,((Inputs!$B$9+((C3209=TRUE)*(F3209-Calc!F19))+B3222+(ArtifactsInput!$M$24-ArtifactsInput!$M$24)*CHOOSE(ArtifactsInput!$N$24+1,10,12,14,16,18,20)+IF(ArtifactsInput!$M$10,CHOOSE(ArtifactsInput!$N$10+1,15,18,21,24,27,30)*(IF(Inputs!$B$38="pvp",MIN(15,15)/15,IF(AND(Inputs!$B$38&lt;&gt;"pvp",Inputs!$B$43&gt;0),MIN(15,Inputs!$B$43)/(Inputs!$B$43),0))),0)))-100),0))*CHOOSE(ArtifactsInput!$N$42+1,0.6,0.72,0.84,0.96,1.08,1.2))),Inputs!$B$18+((C3217=TRUE)*(F3217-Calc!F27))+(IF(AND(ArtifactsInput!$M$42,((Inputs!$B$9+((C3209=TRUE)*(F3209-Calc!F19))+B3222+(ArtifactsInput!$M$24-ArtifactsInput!$M$24)*CHOOSE(ArtifactsInput!$N$24+1,10,12,14,16,18,20)+IF(ArtifactsInput!$M$10,CHOOSE(ArtifactsInput!$N$10+1,15,18,21,24,27,30)*(IF(Inputs!$B$38="pvp",MIN(15,15)/15,IF(AND(Inputs!$B$38&lt;&gt;"pvp",Inputs!$B$43&gt;0),MIN(15,Inputs!$B$43)/(Inputs!$B$43),0))),0)))&gt;=100),CHOOSE(ArtifactsInput!$N$42+1,40,48,56,64,72,80),0))))/100)*((1+(((C3203=TRUE)*F3203)+((C3204=TRUE)*IF(Inputs!$B$38="pvp",F3204,(1-Summary!$B$11)*(F3204)+Summary!$B$11*(0)))+((C3205=TRUE)*F3205*IF(AND(Inputs!$B$38&lt;&gt;"pvp",Inputs!$B$43&gt;0),(((R3205-1)*(Skills!T15*(1+Inputs!$B$34/100))+MIN((Skills!T15*(1+Inputs!$B$34/100)),MAX(0,Inputs!$B$43-((R3205-1)*Skills!D15))))/Inputs!$B$43),IF(Inputs!$B$38="pvp",MIN((Skills!T15*(1+Inputs!$B$34/100)),15)/15,(Skills!T15*(1+Inputs!$B$34/100))/Skills!D15)))+((C3202=TRUE)*F3202)+((C3219=TRUE)*(F3219-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3197)</f>
        <v/>
      </c>
      <c r="L3197">
        <f>K3197*(MIN(Inputs!$B$22+((C3213=TRUE)*(F3213-Calc!F23)),(Inputs!$B$23+((C3218=TRUE)*(F3218-Calc!F28))+(IF(ArtifactsInput!$M$15,CHOOSE(ArtifactsInput!$N$15+1,25,30,35,40,45,50)/100*(Inputs!$B$11-Inputs!$B$11),0))))/100+(Inputs!$B$23+((C3218=TRUE)*(F3218-Calc!F28))+(IF(ArtifactsInput!$M$15,CHOOSE(ArtifactsInput!$N$15+1,25,30,35,40,45,50)/100*(Inputs!$B$11-Inputs!$B$11),0)))/100)/2</f>
        <v/>
      </c>
      <c r="M3197">
        <f>L3197*(1+(Inputs!$B$10+0+B3227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197">
        <f>L3197*(1-MIN((Inputs!$B$9+((C3209=TRUE)*(F3209-Calc!F19))+B3222+(ArtifactsInput!$M$24-ArtifactsInput!$M$24)*CHOOSE(ArtifactsInput!$N$24+1,10,12,14,16,18,20)+(IF(AND(ArtifactsInput!$M$42,((Inputs!$B$9+((C3209=TRUE)*(F3209-Calc!F19))+B3222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3197*(MIN((Inputs!$B$9+((C3209=TRUE)*(F3209-Calc!F19))+B3222+(ArtifactsInput!$M$24-ArtifactsInput!$M$24)*CHOOSE(ArtifactsInput!$N$24+1,10,12,14,16,18,20)+(IF(AND(ArtifactsInput!$M$42,((Inputs!$B$9+((C3209=TRUE)*(F3209-Calc!F19))+B3222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197">
        <f>(1-Summary!$B$11)*T3197+Summary!$B$11*V3197</f>
        <v/>
      </c>
      <c r="P3197">
        <f>IF(B3232=0,0,O3197/B3232)</f>
        <v/>
      </c>
      <c r="Q3197">
        <f>IFERROR(1/IF(Inputs!$B$38="pvp",15,MAX(0.1,Skills!D7-IF(Skills!E7=TRUE,4.0,0))),0)</f>
        <v/>
      </c>
      <c r="R3197">
        <f>IF(AND(Inputs!$B$38&lt;&gt;"pvp",Inputs!$B$43&gt;0),IF(MAX(0,Inputs!$B$43-B3229)&lt;=0,0,(INT(MAX(0,Inputs!$B$43-B3229)/IF(Inputs!$B$38="pvp",15,MAX(0.1,Skills!D7-IF(Skills!E7=TRUE,4.0,0))))+1)),0)</f>
        <v/>
      </c>
      <c r="S3197">
        <f>IFERROR((H3197*N3197*IF(AND(Inputs!$B$38&lt;&gt;"pvp",Inputs!$B$43&gt;0),((Skills!G7*((R3197-1)*IF(Skills!H7&gt;0,Skills!I7/Skills!H7,1)+IF(Skills!H7&gt;0,MIN(Skills!I7,MAX(0,MAX(0,Inputs!$B$43-B3229)-((R3197-1)*IF(Inputs!$B$38="pvp",15,MAX(0.1,Skills!D7-IF(Skills!E7=TRUE,4.0,0))))))/Skills!H7,1)))/Inputs!$B$43),G3197*Q3197))/N3197*IF(Inputs!$B$38="pvp",1,(1-Summary!$B$11)*1+Summary!$B$11*(MIN(Skills!R7,Inputs!$B$37))),0)</f>
        <v/>
      </c>
      <c r="T3197">
        <f>IF(C3197,(H3197*N3197*IF(AND(Inputs!$B$38&lt;&gt;"pvp",Inputs!$B$43&gt;0),((Skills!G7*((R3197-1)*IF(Skills!H7&gt;0,Skills!I7/Skills!H7,1)+IF(Skills!H7&gt;0,MIN(Skills!I7,MAX(0,MAX(0,Inputs!$B$43-B3229)-((R3197-1)*IF(Inputs!$B$38="pvp",15,MAX(0.1,Skills!D7-IF(Skills!E7=TRUE,4.0,0))))))/Skills!H7,1)))/Inputs!$B$43),G3197*Q3197))*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Hunt"),CHOOSE(ArtifactsInput!$N$35+1,15,18,21,24,27,30)*(1-EXP(-(0.2*B3224)*5)),0)+IF(AND(ArtifactsInput!$M$22,Inputs!$B$4&lt;&gt;"Chapter Hunt"),CHOOSE(ArtifactsInput!$N$22+1,10,12,14,16,18,20)*((0*(((0.15*B3224*5))^0/1)+1*(((0.15*B3224*5))^1/1)+2*(((0.15*B3224*5))^2/2)+3*(((0.15*B3224*5))^3/6)+4*(((0.15*B3224*5))^4/24)+5*(((0.15*B3224*5))^5/120))/((((0.15*B3224*5))^0/1)+(((0.15*B3224*5))^1/1)+(((0.15*B3224*5))^2/2)+(((0.15*B3224*5))^3/6)+(((0.15*B3224*5))^4/24)+(((0.15*B3224*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3197*(1-MIN(100,(Inputs!$B$9+((C3209=TRUE)*(F3209-Calc!F19))+B3222+(ArtifactsInput!$M$24-ArtifactsInput!$M$24)*CHOOSE(ArtifactsInput!$N$24+1,10,12,14,16,18,20)+(IF(AND(ArtifactsInput!$M$42,((Inputs!$B$9+((C3209=TRUE)*(F3209-Calc!F19))+B3222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3197*(MIN(100,(Inputs!$B$9+((C3209=TRUE)*(F3209-Calc!F19))+B3222+(ArtifactsInput!$M$24-ArtifactsInput!$M$24)*CHOOSE(ArtifactsInput!$N$24+1,10,12,14,16,18,20)+(IF(AND(ArtifactsInput!$M$42,((Inputs!$B$9+((C3209=TRUE)*(F3209-Calc!F19))+B3222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3197*(1-MIN(100,(Inputs!$B$9+((C3209=TRUE)*(F3209-Calc!F19))+B3222+(ArtifactsInput!$M$24-ArtifactsInput!$M$24)*CHOOSE(ArtifactsInput!$N$24+1,10,12,14,16,18,20)+(IF(AND(ArtifactsInput!$M$42,((Inputs!$B$9+((C3209=TRUE)*(F3209-Calc!F19))+B3222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3197*(MIN(100,(Inputs!$B$9+((C3209=TRUE)*(F3209-Calc!F19))+B3222+(ArtifactsInput!$M$24-ArtifactsInput!$M$24)*CHOOSE(ArtifactsInput!$N$24+1,10,12,14,16,18,20)+(IF(AND(ArtifactsInput!$M$42,((Inputs!$B$9+((C3209=TRUE)*(F3209-Calc!F19))+B3222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197">
        <f>IF(C3197,(H3197*N3197*IF(AND(Inputs!$B$38&lt;&gt;"pvp",Inputs!$B$43&gt;0),((Skills!G7*((R3197-1)*IF(Skills!H7&gt;0,Skills!I7/Skills!H7,1)+IF(Skills!H7&gt;0,MIN(Skills!I7,MAX(0,MAX(0,Inputs!$B$43-B3229)-((R3197-1)*IF(Inputs!$B$38="pvp",15,MAX(0.1,Skills!D7-IF(Skills!E7=TRUE,4.0,0))))))/Skills!H7,1)))/Inputs!$B$43),G3197*Q3197))*IF(Inputs!$B$38="pvp",1,(1+(Inputs!$B$21+Skills!Q7+(IF(ArtifactsInput!$M$33,CHOOSE(ArtifactsInput!$N$33+1,30,36,42,48,54,60),0))+(IF(AND(ArtifactsInput!$M$35,Inputs!$B$4&lt;&gt;"Chapter Hunt"),CHOOSE(ArtifactsInput!$N$35+1,15,18,21,24,27,30)*(1-EXP(-(0.2*B3224)*5)),0)+IF(AND(ArtifactsInput!$M$22,Inputs!$B$4&lt;&gt;"Chapter Hunt"),CHOOSE(ArtifactsInput!$N$22+1,10,12,14,16,18,20)*((0*(((0.15*B3224*5))^0/1)+1*(((0.15*B3224*5))^1/1)+2*(((0.15*B3224*5))^2/2)+3*(((0.15*B3224*5))^3/6)+4*(((0.15*B3224*5))^4/24)+5*(((0.15*B3224*5))^5/120))/((((0.15*B3224*5))^0/1)+(((0.15*B3224*5))^1/1)+(((0.15*B3224*5))^2/2)+(((0.15*B3224*5))^3/6)+(((0.15*B3224*5))^4/24)+(((0.15*B3224*5))^5/120))),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198">
      <c r="A3198">
        <f>Skills!A8</f>
        <v/>
      </c>
      <c r="B3198">
        <f>Skills!B8</f>
        <v/>
      </c>
      <c r="C3198">
        <f>Inputs!$B$3&gt;=100</f>
        <v/>
      </c>
      <c r="D3198">
        <f>IF(Skills!C8=1,60+Inputs!$B$25+Inputs!$B$29,IF(Skills!C8=2,90+Inputs!$B$26+Inputs!$B$29,IF(Skills!C8=3,120+Inputs!$B$27+Inputs!$B$29,MAX(0,(Inputs!$B$3-100)*3)+Inputs!$B$28+Inputs!$B$29)))</f>
        <v/>
      </c>
      <c r="E3198">
        <f>INDEX(FactorTable!$B$2:$Y$301, MATCH(ROUND(MIN(300,MAX(1,D3198)),0), FactorTable!$A$2:$A$301,0), Skills!M8+1)</f>
        <v/>
      </c>
      <c r="F3198">
        <f>IF(Skills!N8=TRUE,(Skills!L8/10)*(E3198/1000),Skills!L8/10)+Skills!O8</f>
        <v/>
      </c>
      <c r="G3198" t="inlineStr"/>
      <c r="H3198" t="inlineStr"/>
      <c r="I3198" t="inlineStr">
        <is>
          <t>1</t>
        </is>
      </c>
      <c r="J3198" t="inlineStr"/>
      <c r="K3198" t="inlineStr"/>
      <c r="L3198" t="inlineStr"/>
      <c r="M3198" t="inlineStr"/>
      <c r="N3198" t="inlineStr"/>
      <c r="O3198" t="inlineStr"/>
      <c r="P3198" t="inlineStr"/>
      <c r="Q3198" t="inlineStr"/>
      <c r="R3198" t="inlineStr"/>
      <c r="S3198" t="inlineStr"/>
      <c r="T3198" t="inlineStr"/>
      <c r="V3198" t="inlineStr"/>
    </row>
    <row r="3199">
      <c r="A3199">
        <f>Skills!A9</f>
        <v/>
      </c>
      <c r="B3199">
        <f>Skills!B9</f>
        <v/>
      </c>
      <c r="C3199">
        <f>Inputs!$B$3&gt;=103</f>
        <v/>
      </c>
      <c r="D3199">
        <f>IF(Skills!C9=1,60+Inputs!$B$25+Inputs!$B$29,IF(Skills!C9=2,90+Inputs!$B$26+Inputs!$B$29,IF(Skills!C9=3,120+Inputs!$B$27+Inputs!$B$29,MAX(0,(Inputs!$B$3-100)*3)+Inputs!$B$28+Inputs!$B$29)))</f>
        <v/>
      </c>
      <c r="E3199">
        <f>INDEX(FactorTable!$B$2:$Y$301, MATCH(ROUND(MIN(300,MAX(1,D3199)),0), FactorTable!$A$2:$A$301,0), Skills!M9+1)</f>
        <v/>
      </c>
      <c r="F3199">
        <f>IF(Skills!N9=TRUE,(Skills!L9/10)*(E3199/1000),Skills!L9/10)+Skills!O9</f>
        <v/>
      </c>
      <c r="G3199">
        <f>Skills!G9*IF(Skills!H9&gt;0,Skills!I9/Skills!H9,1)</f>
        <v/>
      </c>
      <c r="H3199">
        <f>1-(1-Skills!J9/100)^Skills!K9</f>
        <v/>
      </c>
      <c r="I3199" t="inlineStr">
        <is>
          <t>1</t>
        </is>
      </c>
      <c r="J3199">
        <f>((Inputs!$B$6*(1+Inputs!$B$7/100))+(((Inputs!$B$12*(1+Inputs!$B$13/100))-(Inputs!$B$12*(1+Inputs!$B$13/100)))+0.25*(Inputs!$B$14-Inputs!$B$14))*(1+Inputs!$B$7/100))*(F3199/100)</f>
        <v/>
      </c>
      <c r="K3199">
        <f>J3199*(1+((Inputs!$B$12*(1+Inputs!$B$13/100))*0.01+Inputs!$B$14*0.0025)/100)*(1+Inputs!$B$15/100)*(1+Inputs!$B$16/100)*(5000/(6000+Inputs!$B$42*(1-(100*(1-(1-(Inputs!$B$19+0)/100)*(1-CHOOSE(ArtifactsInput!$N$40+1,5,6,7,8,9,10)/100)^(ArtifactsInput!$M$40-ArtifactsInput!$M$40)))/100)))*(1+(Inputs!$B$24+((C3214=TRUE)*(F3214-Calc!F24))+((C3215=TRUE)*(F3215-Calc!F25))+B3228)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EMPOWERED_PIERCING_ARROW",Inputs!$B$17+((C3212=TRUE)*(F3212-Calc!F22))+(((IF(AND(ArtifactsInput!$M$42,((Inputs!$B$9+((C3209=TRUE)*(F3209-Calc!F19))+B3222+(ArtifactsInput!$M$24-ArtifactsInput!$M$24)*CHOOSE(ArtifactsInput!$N$24+1,10,12,14,16,18,20)+IF(ArtifactsInput!$M$10,CHOOSE(ArtifactsInput!$N$10+1,15,18,21,24,27,30)*(IF(Inputs!$B$38="pvp",MIN(15,15)/15,IF(AND(Inputs!$B$38&lt;&gt;"pvp",Inputs!$B$43&gt;0),MIN(15,Inputs!$B$43)/(Inputs!$B$43),0))),0)))&gt;=100),MIN(100,((Inputs!$B$9+((C3209=TRUE)*(F3209-Calc!F19))+B3222+(ArtifactsInput!$M$24-ArtifactsInput!$M$24)*CHOOSE(ArtifactsInput!$N$24+1,10,12,14,16,18,20)+IF(ArtifactsInput!$M$10,CHOOSE(ArtifactsInput!$N$10+1,15,18,21,24,27,30)*(IF(Inputs!$B$38="pvp",MIN(15,15)/15,IF(AND(Inputs!$B$38&lt;&gt;"pvp",Inputs!$B$43&gt;0),MIN(15,Inputs!$B$43)/(Inputs!$B$43),0))),0)))-100),0))*CHOOSE(ArtifactsInput!$N$42+1,0.6,0.72,0.84,0.96,1.08,1.2))),Inputs!$B$18+((C3217=TRUE)*(F3217-Calc!F27))+(IF(AND(ArtifactsInput!$M$42,((Inputs!$B$9+((C3209=TRUE)*(F3209-Calc!F19))+B3222+(ArtifactsInput!$M$24-ArtifactsInput!$M$24)*CHOOSE(ArtifactsInput!$N$24+1,10,12,14,16,18,20)+IF(ArtifactsInput!$M$10,CHOOSE(ArtifactsInput!$N$10+1,15,18,21,24,27,30)*(IF(Inputs!$B$38="pvp",MIN(15,15)/15,IF(AND(Inputs!$B$38&lt;&gt;"pvp",Inputs!$B$43&gt;0),MIN(15,Inputs!$B$43)/(Inputs!$B$43),0))),0)))&gt;=100),CHOOSE(ArtifactsInput!$N$42+1,40,48,56,64,72,80),0))))/100)*((1+(((C3203=TRUE)*F3203)+((C3204=TRUE)*IF(Inputs!$B$38="pvp",F3204,(1-Summary!$B$11)*(F3204)+Summary!$B$11*(0)))+((C3205=TRUE)*F3205*IF(AND(Inputs!$B$38&lt;&gt;"pvp",Inputs!$B$43&gt;0),(((R3205-1)*(Skills!T15*(1+Inputs!$B$34/100))+MIN((Skills!T15*(1+Inputs!$B$34/100)),MAX(0,Inputs!$B$43-((R3205-1)*Skills!D15))))/Inputs!$B$43),IF(Inputs!$B$38="pvp",MIN((Skills!T15*(1+Inputs!$B$34/100)),15)/15,(Skills!T15*(1+Inputs!$B$34/100))/Skills!D15)))+((C3202=TRUE)*F3202)+((C3219=TRUE)*(F3219-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3199)</f>
        <v/>
      </c>
      <c r="L3199">
        <f>K3199*(MIN(Inputs!$B$22+((C3213=TRUE)*(F3213-Calc!F23)),(Inputs!$B$23+((C3218=TRUE)*(F3218-Calc!F28))+(IF(ArtifactsInput!$M$15,CHOOSE(ArtifactsInput!$N$15+1,25,30,35,40,45,50)/100*(Inputs!$B$11-Inputs!$B$11),0))))/100+(Inputs!$B$23+((C3218=TRUE)*(F3218-Calc!F28))+(IF(ArtifactsInput!$M$15,CHOOSE(ArtifactsInput!$N$15+1,25,30,35,40,45,50)/100*(Inputs!$B$11-Inputs!$B$11),0)))/100)/2</f>
        <v/>
      </c>
      <c r="M3199">
        <f>L3199*(1+(Inputs!$B$10+0+B3227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199">
        <f>L3199*(1-MIN((Inputs!$B$9+((C3209=TRUE)*(F3209-Calc!F19))+B3222+(ArtifactsInput!$M$24-ArtifactsInput!$M$24)*CHOOSE(ArtifactsInput!$N$24+1,10,12,14,16,18,20)+(IF(AND(ArtifactsInput!$M$42,((Inputs!$B$9+((C3209=TRUE)*(F3209-Calc!F19))+B3222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3199*(MIN((Inputs!$B$9+((C3209=TRUE)*(F3209-Calc!F19))+B3222+(ArtifactsInput!$M$24-ArtifactsInput!$M$24)*CHOOSE(ArtifactsInput!$N$24+1,10,12,14,16,18,20)+(IF(AND(ArtifactsInput!$M$42,((Inputs!$B$9+((C3209=TRUE)*(F3209-Calc!F19))+B3222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199">
        <f>(1-Summary!$B$11)*T3199+Summary!$B$11*V3199</f>
        <v/>
      </c>
      <c r="P3199">
        <f>IF(B3232=0,0,O3199/B3232)</f>
        <v/>
      </c>
      <c r="Q3199">
        <f>IFERROR(1/IF(Inputs!$B$38="pvp",15,MAX(0.1,Skills!D9-IF(Skills!E9=TRUE,4.0,0))),0)</f>
        <v/>
      </c>
      <c r="R3199">
        <f>IF(AND(Inputs!$B$38&lt;&gt;"pvp",Inputs!$B$43&gt;0),IF(MAX(0,Inputs!$B$43-B3229)&lt;=0,0,(INT(MAX(0,Inputs!$B$43-B3229)/IF(Inputs!$B$38="pvp",15,MAX(0.1,Skills!D9-IF(Skills!E9=TRUE,4.0,0))))+1)),0)</f>
        <v/>
      </c>
      <c r="S3199">
        <f>IFERROR((H3199*N3199*IF(AND(Inputs!$B$38&lt;&gt;"pvp",Inputs!$B$43&gt;0),((Skills!G9*((R3199-1)*IF(Skills!H9&gt;0,Skills!I9/Skills!H9,1)+IF(Skills!H9&gt;0,MIN(Skills!I9,MAX(0,MAX(0,Inputs!$B$43-B3229)-((R3199-1)*IF(Inputs!$B$38="pvp",15,MAX(0.1,Skills!D9-IF(Skills!E9=TRUE,4.0,0))))))/Skills!H9,1)))/Inputs!$B$43),G3199*Q3199))/N3199*IF(Inputs!$B$38="pvp",1,(1-Summary!$B$11)*1+Summary!$B$11*(MIN(Skills!R9,Inputs!$B$37))),0)</f>
        <v/>
      </c>
      <c r="T3199">
        <f>IF(C3199,(H3199*N3199*IF(AND(Inputs!$B$38&lt;&gt;"pvp",Inputs!$B$43&gt;0),((Skills!G9*((R3199-1)*IF(Skills!H9&gt;0,Skills!I9/Skills!H9,1)+IF(Skills!H9&gt;0,MIN(Skills!I9,MAX(0,MAX(0,Inputs!$B$43-B3229)-((R3199-1)*IF(Inputs!$B$38="pvp",15,MAX(0.1,Skills!D9-IF(Skills!E9=TRUE,4.0,0))))))/Skills!H9,1)))/Inputs!$B$43),G3199*Q3199))*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Hunt"),CHOOSE(ArtifactsInput!$N$35+1,15,18,21,24,27,30)*(1-EXP(-(0.2*B3224)*5)),0)+IF(AND(ArtifactsInput!$M$22,Inputs!$B$4&lt;&gt;"Chapter Hunt"),CHOOSE(ArtifactsInput!$N$22+1,10,12,14,16,18,20)*((0*(((0.15*B3224*5))^0/1)+1*(((0.15*B3224*5))^1/1)+2*(((0.15*B3224*5))^2/2)+3*(((0.15*B3224*5))^3/6)+4*(((0.15*B3224*5))^4/24)+5*(((0.15*B3224*5))^5/120))/((((0.15*B3224*5))^0/1)+(((0.15*B3224*5))^1/1)+(((0.15*B3224*5))^2/2)+(((0.15*B3224*5))^3/6)+(((0.15*B3224*5))^4/24)+(((0.15*B3224*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3199*(1-MIN(100,(Inputs!$B$9+((C3209=TRUE)*(F3209-Calc!F19))+B3222+(ArtifactsInput!$M$24-ArtifactsInput!$M$24)*CHOOSE(ArtifactsInput!$N$24+1,10,12,14,16,18,20)+(IF(AND(ArtifactsInput!$M$42,((Inputs!$B$9+((C3209=TRUE)*(F3209-Calc!F19))+B3222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3199*(MIN(100,(Inputs!$B$9+((C3209=TRUE)*(F3209-Calc!F19))+B3222+(ArtifactsInput!$M$24-ArtifactsInput!$M$24)*CHOOSE(ArtifactsInput!$N$24+1,10,12,14,16,18,20)+(IF(AND(ArtifactsInput!$M$42,((Inputs!$B$9+((C3209=TRUE)*(F3209-Calc!F19))+B3222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3199*(1-MIN(100,(Inputs!$B$9+((C3209=TRUE)*(F3209-Calc!F19))+B3222+(ArtifactsInput!$M$24-ArtifactsInput!$M$24)*CHOOSE(ArtifactsInput!$N$24+1,10,12,14,16,18,20)+(IF(AND(ArtifactsInput!$M$42,((Inputs!$B$9+((C3209=TRUE)*(F3209-Calc!F19))+B3222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3199*(MIN(100,(Inputs!$B$9+((C3209=TRUE)*(F3209-Calc!F19))+B3222+(ArtifactsInput!$M$24-ArtifactsInput!$M$24)*CHOOSE(ArtifactsInput!$N$24+1,10,12,14,16,18,20)+(IF(AND(ArtifactsInput!$M$42,((Inputs!$B$9+((C3209=TRUE)*(F3209-Calc!F19))+B3222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199">
        <f>IF(C3199,(H3199*N3199*IF(AND(Inputs!$B$38&lt;&gt;"pvp",Inputs!$B$43&gt;0),((Skills!G9*((R3199-1)*IF(Skills!H9&gt;0,Skills!I9/Skills!H9,1)+IF(Skills!H9&gt;0,MIN(Skills!I9,MAX(0,MAX(0,Inputs!$B$43-B3229)-((R3199-1)*IF(Inputs!$B$38="pvp",15,MAX(0.1,Skills!D9-IF(Skills!E9=TRUE,4.0,0))))))/Skills!H9,1)))/Inputs!$B$43),G3199*Q3199))*IF(Inputs!$B$38="pvp",1,(1+(Inputs!$B$21+Skills!Q9+(IF(ArtifactsInput!$M$33,CHOOSE(ArtifactsInput!$N$33+1,30,36,42,48,54,60),0))+(IF(AND(ArtifactsInput!$M$35,Inputs!$B$4&lt;&gt;"Chapter Hunt"),CHOOSE(ArtifactsInput!$N$35+1,15,18,21,24,27,30)*(1-EXP(-(0.2*B3224)*5)),0)+IF(AND(ArtifactsInput!$M$22,Inputs!$B$4&lt;&gt;"Chapter Hunt"),CHOOSE(ArtifactsInput!$N$22+1,10,12,14,16,18,20)*((0*(((0.15*B3224*5))^0/1)+1*(((0.15*B3224*5))^1/1)+2*(((0.15*B3224*5))^2/2)+3*(((0.15*B3224*5))^3/6)+4*(((0.15*B3224*5))^4/24)+5*(((0.15*B3224*5))^5/120))/((((0.15*B3224*5))^0/1)+(((0.15*B3224*5))^1/1)+(((0.15*B3224*5))^2/2)+(((0.15*B3224*5))^3/6)+(((0.15*B3224*5))^4/24)+(((0.15*B3224*5))^5/120)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200">
      <c r="A3200">
        <f>Skills!A10</f>
        <v/>
      </c>
      <c r="B3200">
        <f>Skills!B10</f>
        <v/>
      </c>
      <c r="C3200">
        <f>Inputs!$B$3&gt;=107</f>
        <v/>
      </c>
      <c r="D3200">
        <f>IF(Skills!C10=1,60+Inputs!$B$25+Inputs!$B$29,IF(Skills!C10=2,90+Inputs!$B$26+Inputs!$B$29,IF(Skills!C10=3,120+Inputs!$B$27+Inputs!$B$29,MAX(0,(Inputs!$B$3-100)*3)+Inputs!$B$28+Inputs!$B$29)))</f>
        <v/>
      </c>
      <c r="E3200">
        <f>INDEX(FactorTable!$B$2:$Y$301, MATCH(ROUND(MIN(300,MAX(1,D3200)),0), FactorTable!$A$2:$A$301,0), Skills!M10+1)</f>
        <v/>
      </c>
      <c r="F3200">
        <f>IF(Skills!N10=TRUE,(Skills!L10/10)*(E3200/1000),Skills!L10/10)+Skills!O10</f>
        <v/>
      </c>
      <c r="G3200">
        <f>Skills!G10*IF(Skills!H10&gt;0,Skills!I10/Skills!H10,1)</f>
        <v/>
      </c>
      <c r="H3200">
        <f>1-(1-Skills!J10/100)^Skills!K10</f>
        <v/>
      </c>
      <c r="I3200" t="inlineStr">
        <is>
          <t>1</t>
        </is>
      </c>
      <c r="J3200">
        <f>((Inputs!$B$6*(1+Inputs!$B$7/100))+(((Inputs!$B$12*(1+Inputs!$B$13/100))-(Inputs!$B$12*(1+Inputs!$B$13/100)))+0.25*(Inputs!$B$14-Inputs!$B$14))*(1+Inputs!$B$7/100))*(F3200/100)</f>
        <v/>
      </c>
      <c r="K3200">
        <f>J3200*(1+((Inputs!$B$12*(1+Inputs!$B$13/100))*0.01+Inputs!$B$14*0.0025)/100)*(1+Inputs!$B$15/100)*(1+Inputs!$B$16/100)*(5000/(6000+Inputs!$B$42*(1-(100*(1-(1-(Inputs!$B$19+0)/100)*(1-CHOOSE(ArtifactsInput!$N$40+1,5,6,7,8,9,10)/100)^(ArtifactsInput!$M$40-ArtifactsInput!$M$40)))/100)))*(1+(Inputs!$B$24+((C3214=TRUE)*(F3214-Calc!F24))+((C3215=TRUE)*(F3215-Calc!F25))+B3228)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EMPOWERED_PIERCING_ARROW",Inputs!$B$17+((C3212=TRUE)*(F3212-Calc!F22))+(((IF(AND(ArtifactsInput!$M$42,((Inputs!$B$9+((C3209=TRUE)*(F3209-Calc!F19))+B3222+(ArtifactsInput!$M$24-ArtifactsInput!$M$24)*CHOOSE(ArtifactsInput!$N$24+1,10,12,14,16,18,20)+IF(ArtifactsInput!$M$10,CHOOSE(ArtifactsInput!$N$10+1,15,18,21,24,27,30)*(IF(Inputs!$B$38="pvp",MIN(15,15)/15,IF(AND(Inputs!$B$38&lt;&gt;"pvp",Inputs!$B$43&gt;0),MIN(15,Inputs!$B$43)/(Inputs!$B$43),0))),0)))&gt;=100),MIN(100,((Inputs!$B$9+((C3209=TRUE)*(F3209-Calc!F19))+B3222+(ArtifactsInput!$M$24-ArtifactsInput!$M$24)*CHOOSE(ArtifactsInput!$N$24+1,10,12,14,16,18,20)+IF(ArtifactsInput!$M$10,CHOOSE(ArtifactsInput!$N$10+1,15,18,21,24,27,30)*(IF(Inputs!$B$38="pvp",MIN(15,15)/15,IF(AND(Inputs!$B$38&lt;&gt;"pvp",Inputs!$B$43&gt;0),MIN(15,Inputs!$B$43)/(Inputs!$B$43),0))),0)))-100),0))*CHOOSE(ArtifactsInput!$N$42+1,0.6,0.72,0.84,0.96,1.08,1.2))),Inputs!$B$18+((C3217=TRUE)*(F3217-Calc!F27))+(IF(AND(ArtifactsInput!$M$42,((Inputs!$B$9+((C3209=TRUE)*(F3209-Calc!F19))+B3222+(ArtifactsInput!$M$24-ArtifactsInput!$M$24)*CHOOSE(ArtifactsInput!$N$24+1,10,12,14,16,18,20)+IF(ArtifactsInput!$M$10,CHOOSE(ArtifactsInput!$N$10+1,15,18,21,24,27,30)*(IF(Inputs!$B$38="pvp",MIN(15,15)/15,IF(AND(Inputs!$B$38&lt;&gt;"pvp",Inputs!$B$43&gt;0),MIN(15,Inputs!$B$43)/(Inputs!$B$43),0))),0)))&gt;=100),CHOOSE(ArtifactsInput!$N$42+1,40,48,56,64,72,80),0))))/100)*((1+(((C3203=TRUE)*F3203)+((C3204=TRUE)*IF(Inputs!$B$38="pvp",F3204,(1-Summary!$B$11)*(F3204)+Summary!$B$11*(0)))+((C3205=TRUE)*F3205*IF(AND(Inputs!$B$38&lt;&gt;"pvp",Inputs!$B$43&gt;0),(((R3205-1)*(Skills!T15*(1+Inputs!$B$34/100))+MIN((Skills!T15*(1+Inputs!$B$34/100)),MAX(0,Inputs!$B$43-((R3205-1)*Skills!D15))))/Inputs!$B$43),IF(Inputs!$B$38="pvp",MIN((Skills!T15*(1+Inputs!$B$34/100)),15)/15,(Skills!T15*(1+Inputs!$B$34/100))/Skills!D15)))+((C3202=TRUE)*F3202)+((C3219=TRUE)*(F3219-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3200)</f>
        <v/>
      </c>
      <c r="L3200">
        <f>K3200*(MIN(Inputs!$B$22+((C3213=TRUE)*(F3213-Calc!F23)),(Inputs!$B$23+((C3218=TRUE)*(F3218-Calc!F28))+(IF(ArtifactsInput!$M$15,CHOOSE(ArtifactsInput!$N$15+1,25,30,35,40,45,50)/100*(Inputs!$B$11-Inputs!$B$11),0))))/100+(Inputs!$B$23+((C3218=TRUE)*(F3218-Calc!F28))+(IF(ArtifactsInput!$M$15,CHOOSE(ArtifactsInput!$N$15+1,25,30,35,40,45,50)/100*(Inputs!$B$11-Inputs!$B$11),0)))/100)/2</f>
        <v/>
      </c>
      <c r="M3200">
        <f>L3200*(1+(Inputs!$B$10+0+B3227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200">
        <f>L3200*(1-MIN((Inputs!$B$9+((C3209=TRUE)*(F3209-Calc!F19))+B3222+(ArtifactsInput!$M$24-ArtifactsInput!$M$24)*CHOOSE(ArtifactsInput!$N$24+1,10,12,14,16,18,20)+(IF(AND(ArtifactsInput!$M$42,((Inputs!$B$9+((C3209=TRUE)*(F3209-Calc!F19))+B3222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3200*(MIN((Inputs!$B$9+((C3209=TRUE)*(F3209-Calc!F19))+B3222+(ArtifactsInput!$M$24-ArtifactsInput!$M$24)*CHOOSE(ArtifactsInput!$N$24+1,10,12,14,16,18,20)+(IF(AND(ArtifactsInput!$M$42,((Inputs!$B$9+((C3209=TRUE)*(F3209-Calc!F19))+B3222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200">
        <f>(1-Summary!$B$11)*T3200+Summary!$B$11*V3200</f>
        <v/>
      </c>
      <c r="P3200">
        <f>IF(B3232=0,0,O3200/B3232)</f>
        <v/>
      </c>
      <c r="Q3200" t="n">
        <v>0</v>
      </c>
      <c r="R3200" t="n">
        <v>0</v>
      </c>
      <c r="S3200" t="n">
        <v>0</v>
      </c>
      <c r="T3200">
        <f>IF(C3200,(0.15*SUMPRODUCT((Skills!U2:U29=TRUE)*(C3192:C3219=TRUE)*S3192:S3219)*Skills!G10*N3200)*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Hunt"),CHOOSE(ArtifactsInput!$N$35+1,15,18,21,24,27,30)*(1-EXP(-(0.2*B3224)*5)),0)+IF(AND(ArtifactsInput!$M$22,Inputs!$B$4&lt;&gt;"Chapter Hunt"),CHOOSE(ArtifactsInput!$N$22+1,10,12,14,16,18,20)*((0*(((0.15*B3224*5))^0/1)+1*(((0.15*B3224*5))^1/1)+2*(((0.15*B3224*5))^2/2)+3*(((0.15*B3224*5))^3/6)+4*(((0.15*B3224*5))^4/24)+5*(((0.15*B3224*5))^5/120))/((((0.15*B3224*5))^0/1)+(((0.15*B3224*5))^1/1)+(((0.15*B3224*5))^2/2)+(((0.15*B3224*5))^3/6)+(((0.15*B3224*5))^4/24)+(((0.15*B3224*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3200*(1-MIN(100,(Inputs!$B$9+((C3209=TRUE)*(F3209-Calc!F19))+B3222+(ArtifactsInput!$M$24-ArtifactsInput!$M$24)*CHOOSE(ArtifactsInput!$N$24+1,10,12,14,16,18,20)+(IF(AND(ArtifactsInput!$M$42,((Inputs!$B$9+((C3209=TRUE)*(F3209-Calc!F19))+B3222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3200*(MIN(100,(Inputs!$B$9+((C3209=TRUE)*(F3209-Calc!F19))+B3222+(ArtifactsInput!$M$24-ArtifactsInput!$M$24)*CHOOSE(ArtifactsInput!$N$24+1,10,12,14,16,18,20)+(IF(AND(ArtifactsInput!$M$42,((Inputs!$B$9+((C3209=TRUE)*(F3209-Calc!F19))+B3222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3200*(1-MIN(100,(Inputs!$B$9+((C3209=TRUE)*(F3209-Calc!F19))+B3222+(ArtifactsInput!$M$24-ArtifactsInput!$M$24)*CHOOSE(ArtifactsInput!$N$24+1,10,12,14,16,18,20)+(IF(AND(ArtifactsInput!$M$42,((Inputs!$B$9+((C3209=TRUE)*(F3209-Calc!F19))+B3222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3200*(MIN(100,(Inputs!$B$9+((C3209=TRUE)*(F3209-Calc!F19))+B3222+(ArtifactsInput!$M$24-ArtifactsInput!$M$24)*CHOOSE(ArtifactsInput!$N$24+1,10,12,14,16,18,20)+(IF(AND(ArtifactsInput!$M$42,((Inputs!$B$9+((C3209=TRUE)*(F3209-Calc!F19))+B3222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200">
        <f>IF(C3200,(0.15*SUMPRODUCT((Skills!U2:U29=TRUE)*(C3192:C3219=TRUE)*S3192:S3219)*Skills!G10*N3200)*IF(Inputs!$B$38="pvp",1,(1+(Inputs!$B$21+Skills!Q10+(IF(ArtifactsInput!$M$33,CHOOSE(ArtifactsInput!$N$33+1,30,36,42,48,54,60),0))+(IF(AND(ArtifactsInput!$M$35,Inputs!$B$4&lt;&gt;"Chapter Hunt"),CHOOSE(ArtifactsInput!$N$35+1,15,18,21,24,27,30)*(1-EXP(-(0.2*B3224)*5)),0)+IF(AND(ArtifactsInput!$M$22,Inputs!$B$4&lt;&gt;"Chapter Hunt"),CHOOSE(ArtifactsInput!$N$22+1,10,12,14,16,18,20)*((0*(((0.15*B3224*5))^0/1)+1*(((0.15*B3224*5))^1/1)+2*(((0.15*B3224*5))^2/2)+3*(((0.15*B3224*5))^3/6)+4*(((0.15*B3224*5))^4/24)+5*(((0.15*B3224*5))^5/120))/((((0.15*B3224*5))^0/1)+(((0.15*B3224*5))^1/1)+(((0.15*B3224*5))^2/2)+(((0.15*B3224*5))^3/6)+(((0.15*B3224*5))^4/24)+(((0.15*B3224*5))^5/120)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201">
      <c r="A3201">
        <f>Skills!A11</f>
        <v/>
      </c>
      <c r="B3201">
        <f>Skills!B11</f>
        <v/>
      </c>
      <c r="C3201">
        <f>Inputs!$B$3&gt;=110</f>
        <v/>
      </c>
      <c r="D3201">
        <f>IF(Skills!C11=1,60+Inputs!$B$25+Inputs!$B$29,IF(Skills!C11=2,90+Inputs!$B$26+Inputs!$B$29,IF(Skills!C11=3,120+Inputs!$B$27+Inputs!$B$29,MAX(0,(Inputs!$B$3-100)*3)+Inputs!$B$28+Inputs!$B$29)))</f>
        <v/>
      </c>
      <c r="E3201">
        <f>INDEX(FactorTable!$B$2:$Y$301, MATCH(ROUND(MIN(300,MAX(1,D3201)),0), FactorTable!$A$2:$A$301,0), Skills!M11+1)</f>
        <v/>
      </c>
      <c r="F3201">
        <f>IF(Skills!N11=TRUE,(Skills!L11/10)*(E3201/1000),Skills!L11/10)+Skills!O11</f>
        <v/>
      </c>
      <c r="G3201">
        <f>Skills!G11*IF(Skills!H11&gt;0,Skills!I11/Skills!H11,1)</f>
        <v/>
      </c>
      <c r="H3201">
        <f>1-(1-Skills!J11/100)^Skills!K11</f>
        <v/>
      </c>
      <c r="I3201" t="inlineStr">
        <is>
          <t>1</t>
        </is>
      </c>
      <c r="J3201">
        <f>((Inputs!$B$6*(1+Inputs!$B$7/100))+(((Inputs!$B$12*(1+Inputs!$B$13/100))-(Inputs!$B$12*(1+Inputs!$B$13/100)))+0.25*(Inputs!$B$14-Inputs!$B$14))*(1+Inputs!$B$7/100))*(F3201/100)</f>
        <v/>
      </c>
      <c r="K3201">
        <f>J3201*(1+((Inputs!$B$12*(1+Inputs!$B$13/100))*0.01+Inputs!$B$14*0.0025)/100)*(1+Inputs!$B$15/100)*(1+Inputs!$B$16/100)*(5000/(6000+Inputs!$B$42*(1-(100*(1-(1-(Inputs!$B$19+0)/100)*(1-CHOOSE(ArtifactsInput!$N$40+1,5,6,7,8,9,10)/100)^(ArtifactsInput!$M$40-ArtifactsInput!$M$40)))/100)))*(1+(Inputs!$B$24+((C3214=TRUE)*(F3214-Calc!F24))+((C3215=TRUE)*(F3215-Calc!F25))+B3228)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11="EMPOWERED_PIERCING_ARROW",Inputs!$B$17+((C3212=TRUE)*(F3212-Calc!F22))+(((IF(AND(ArtifactsInput!$M$42,((Inputs!$B$9+((C3209=TRUE)*(F3209-Calc!F19))+B3222+(ArtifactsInput!$M$24-ArtifactsInput!$M$24)*CHOOSE(ArtifactsInput!$N$24+1,10,12,14,16,18,20)+IF(ArtifactsInput!$M$10,CHOOSE(ArtifactsInput!$N$10+1,15,18,21,24,27,30)*(IF(Inputs!$B$38="pvp",MIN(15,15)/15,IF(AND(Inputs!$B$38&lt;&gt;"pvp",Inputs!$B$43&gt;0),MIN(15,Inputs!$B$43)/(Inputs!$B$43),0))),0)))&gt;=100),MIN(100,((Inputs!$B$9+((C3209=TRUE)*(F3209-Calc!F19))+B3222+(ArtifactsInput!$M$24-ArtifactsInput!$M$24)*CHOOSE(ArtifactsInput!$N$24+1,10,12,14,16,18,20)+IF(ArtifactsInput!$M$10,CHOOSE(ArtifactsInput!$N$10+1,15,18,21,24,27,30)*(IF(Inputs!$B$38="pvp",MIN(15,15)/15,IF(AND(Inputs!$B$38&lt;&gt;"pvp",Inputs!$B$43&gt;0),MIN(15,Inputs!$B$43)/(Inputs!$B$43),0))),0)))-100),0))*CHOOSE(ArtifactsInput!$N$42+1,0.6,0.72,0.84,0.96,1.08,1.2))),Inputs!$B$18+((C3217=TRUE)*(F3217-Calc!F27))+(IF(AND(ArtifactsInput!$M$42,((Inputs!$B$9+((C3209=TRUE)*(F3209-Calc!F19))+B3222+(ArtifactsInput!$M$24-ArtifactsInput!$M$24)*CHOOSE(ArtifactsInput!$N$24+1,10,12,14,16,18,20)+IF(ArtifactsInput!$M$10,CHOOSE(ArtifactsInput!$N$10+1,15,18,21,24,27,30)*(IF(Inputs!$B$38="pvp",MIN(15,15)/15,IF(AND(Inputs!$B$38&lt;&gt;"pvp",Inputs!$B$43&gt;0),MIN(15,Inputs!$B$43)/(Inputs!$B$43),0))),0)))&gt;=100),CHOOSE(ArtifactsInput!$N$42+1,40,48,56,64,72,80),0))))/100)*((1+(((C3203=TRUE)*F3203)+((C3204=TRUE)*IF(Inputs!$B$38="pvp",F3204,(1-Summary!$B$11)*(F3204)+Summary!$B$11*(0)))+((C3205=TRUE)*F3205*IF(AND(Inputs!$B$38&lt;&gt;"pvp",Inputs!$B$43&gt;0),(((R3205-1)*(Skills!T15*(1+Inputs!$B$34/100))+MIN((Skills!T15*(1+Inputs!$B$34/100)),MAX(0,Inputs!$B$43-((R3205-1)*Skills!D15))))/Inputs!$B$43),IF(Inputs!$B$38="pvp",MIN((Skills!T15*(1+Inputs!$B$34/100)),15)/15,(Skills!T15*(1+Inputs!$B$34/100))/Skills!D15)))+((C3202=TRUE)*F3202)+((C3219=TRUE)*(F3219-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3201)</f>
        <v/>
      </c>
      <c r="L3201">
        <f>K3201*(MIN(Inputs!$B$22+((C3213=TRUE)*(F3213-Calc!F23)),(Inputs!$B$23+((C3218=TRUE)*(F3218-Calc!F28))+(IF(ArtifactsInput!$M$15,CHOOSE(ArtifactsInput!$N$15+1,25,30,35,40,45,50)/100*(Inputs!$B$11-Inputs!$B$11),0))))/100+(Inputs!$B$23+((C3218=TRUE)*(F3218-Calc!F28))+(IF(ArtifactsInput!$M$15,CHOOSE(ArtifactsInput!$N$15+1,25,30,35,40,45,50)/100*(Inputs!$B$11-Inputs!$B$11),0)))/100)/2</f>
        <v/>
      </c>
      <c r="M3201">
        <f>L3201*(1+(Inputs!$B$10+0+B3227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201">
        <f>L3201*(1-MIN((Inputs!$B$9+((C3209=TRUE)*(F3209-Calc!F19))+B3222+(ArtifactsInput!$M$24-ArtifactsInput!$M$24)*CHOOSE(ArtifactsInput!$N$24+1,10,12,14,16,18,20)+(IF(AND(ArtifactsInput!$M$42,((Inputs!$B$9+((C3209=TRUE)*(F3209-Calc!F19))+B3222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3201*(MIN((Inputs!$B$9+((C3209=TRUE)*(F3209-Calc!F19))+B3222+(ArtifactsInput!$M$24-ArtifactsInput!$M$24)*CHOOSE(ArtifactsInput!$N$24+1,10,12,14,16,18,20)+(IF(AND(ArtifactsInput!$M$42,((Inputs!$B$9+((C3209=TRUE)*(F3209-Calc!F19))+B3222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201">
        <f>(1-Summary!$B$11)*T3201+Summary!$B$11*V3201</f>
        <v/>
      </c>
      <c r="P3201">
        <f>IF(B3232=0,0,O3201/B3232)</f>
        <v/>
      </c>
      <c r="Q3201">
        <f>IFERROR(1/IF(Inputs!$B$38="pvp",15,MAX(0.1,Skills!D11-IF(Skills!E11=TRUE,4.0,0))),0)</f>
        <v/>
      </c>
      <c r="R3201">
        <f>IF(AND(Inputs!$B$38&lt;&gt;"pvp",Inputs!$B$43&gt;0),IF(MAX(0,Inputs!$B$43-B3229)&lt;=0,0,(INT(MAX(0,Inputs!$B$43-B3229)/IF(Inputs!$B$38="pvp",15,MAX(0.1,Skills!D11-IF(Skills!E11=TRUE,4.0,0))))+1)),0)</f>
        <v/>
      </c>
      <c r="S3201">
        <f>IFERROR((H3201*N3201*IF(AND(Inputs!$B$38&lt;&gt;"pvp",Inputs!$B$43&gt;0),((Skills!G11*((R3201-1)*IF(Skills!H11&gt;0,Skills!I11/Skills!H11,1)+IF(Skills!H11&gt;0,MIN(Skills!I11,MAX(0,MAX(0,Inputs!$B$43-B3229)-((R3201-1)*IF(Inputs!$B$38="pvp",15,MAX(0.1,Skills!D11-IF(Skills!E11=TRUE,4.0,0))))))/Skills!H11,1)))/Inputs!$B$43),G3201*Q3201))/N3201*IF(Inputs!$B$38="pvp",1,(1-Summary!$B$11)*1+Summary!$B$11*(MIN(Skills!R11,Inputs!$B$37))),0)</f>
        <v/>
      </c>
      <c r="T3201">
        <f>IF(C3201,(H3201*N3201*IF(AND(Inputs!$B$38&lt;&gt;"pvp",Inputs!$B$43&gt;0),((Skills!G11*((R3201-1)*IF(Skills!H11&gt;0,Skills!I11/Skills!H11,1)+IF(Skills!H11&gt;0,MIN(Skills!I11,MAX(0,MAX(0,Inputs!$B$43-B3229)-((R3201-1)*IF(Inputs!$B$38="pvp",15,MAX(0.1,Skills!D11-IF(Skills!E11=TRUE,4.0,0))))))/Skills!H11,1)))/Inputs!$B$43),G3201*Q3201))*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Hunt"),CHOOSE(ArtifactsInput!$N$35+1,15,18,21,24,27,30)*(1-EXP(-(0.2*B3224)*5)),0)+IF(AND(ArtifactsInput!$M$22,Inputs!$B$4&lt;&gt;"Chapter Hunt"),CHOOSE(ArtifactsInput!$N$22+1,10,12,14,16,18,20)*((0*(((0.15*B3224*5))^0/1)+1*(((0.15*B3224*5))^1/1)+2*(((0.15*B3224*5))^2/2)+3*(((0.15*B3224*5))^3/6)+4*(((0.15*B3224*5))^4/24)+5*(((0.15*B3224*5))^5/120))/((((0.15*B3224*5))^0/1)+(((0.15*B3224*5))^1/1)+(((0.15*B3224*5))^2/2)+(((0.15*B3224*5))^3/6)+(((0.15*B3224*5))^4/24)+(((0.15*B3224*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3201*(1-MIN(100,(Inputs!$B$9+((C3209=TRUE)*(F3209-Calc!F19))+B3222+(ArtifactsInput!$M$24-ArtifactsInput!$M$24)*CHOOSE(ArtifactsInput!$N$24+1,10,12,14,16,18,20)+(IF(AND(ArtifactsInput!$M$42,((Inputs!$B$9+((C3209=TRUE)*(F3209-Calc!F19))+B3222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3201*(MIN(100,(Inputs!$B$9+((C3209=TRUE)*(F3209-Calc!F19))+B3222+(ArtifactsInput!$M$24-ArtifactsInput!$M$24)*CHOOSE(ArtifactsInput!$N$24+1,10,12,14,16,18,20)+(IF(AND(ArtifactsInput!$M$42,((Inputs!$B$9+((C3209=TRUE)*(F3209-Calc!F19))+B3222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3201*(1-MIN(100,(Inputs!$B$9+((C3209=TRUE)*(F3209-Calc!F19))+B3222+(ArtifactsInput!$M$24-ArtifactsInput!$M$24)*CHOOSE(ArtifactsInput!$N$24+1,10,12,14,16,18,20)+(IF(AND(ArtifactsInput!$M$42,((Inputs!$B$9+((C3209=TRUE)*(F3209-Calc!F19))+B3222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3201*(MIN(100,(Inputs!$B$9+((C3209=TRUE)*(F3209-Calc!F19))+B3222+(ArtifactsInput!$M$24-ArtifactsInput!$M$24)*CHOOSE(ArtifactsInput!$N$24+1,10,12,14,16,18,20)+(IF(AND(ArtifactsInput!$M$42,((Inputs!$B$9+((C3209=TRUE)*(F3209-Calc!F19))+B3222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201">
        <f>IF(C3201,(H3201*N3201*IF(AND(Inputs!$B$38&lt;&gt;"pvp",Inputs!$B$43&gt;0),((Skills!G11*((R3201-1)*IF(Skills!H11&gt;0,Skills!I11/Skills!H11,1)+IF(Skills!H11&gt;0,MIN(Skills!I11,MAX(0,MAX(0,Inputs!$B$43-B3229)-((R3201-1)*IF(Inputs!$B$38="pvp",15,MAX(0.1,Skills!D11-IF(Skills!E11=TRUE,4.0,0))))))/Skills!H11,1)))/Inputs!$B$43),G3201*Q3201))*IF(Inputs!$B$38="pvp",1,(1+(Inputs!$B$21+Skills!Q11+(IF(ArtifactsInput!$M$33,CHOOSE(ArtifactsInput!$N$33+1,30,36,42,48,54,60),0))+(IF(AND(ArtifactsInput!$M$35,Inputs!$B$4&lt;&gt;"Chapter Hunt"),CHOOSE(ArtifactsInput!$N$35+1,15,18,21,24,27,30)*(1-EXP(-(0.2*B3224)*5)),0)+IF(AND(ArtifactsInput!$M$22,Inputs!$B$4&lt;&gt;"Chapter Hunt"),CHOOSE(ArtifactsInput!$N$22+1,10,12,14,16,18,20)*((0*(((0.15*B3224*5))^0/1)+1*(((0.15*B3224*5))^1/1)+2*(((0.15*B3224*5))^2/2)+3*(((0.15*B3224*5))^3/6)+4*(((0.15*B3224*5))^4/24)+5*(((0.15*B3224*5))^5/120))/((((0.15*B3224*5))^0/1)+(((0.15*B3224*5))^1/1)+(((0.15*B3224*5))^2/2)+(((0.15*B3224*5))^3/6)+(((0.15*B3224*5))^4/24)+(((0.15*B3224*5))^5/120))),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202">
      <c r="A3202">
        <f>Skills!A12</f>
        <v/>
      </c>
      <c r="B3202">
        <f>Skills!B12</f>
        <v/>
      </c>
      <c r="C3202">
        <f>Inputs!$B$3&gt;=60</f>
        <v/>
      </c>
      <c r="D3202">
        <f>IF(Skills!C12=1,60+Inputs!$B$25+Inputs!$B$29,IF(Skills!C12=2,90+Inputs!$B$26+Inputs!$B$29,IF(Skills!C12=3,120+Inputs!$B$27+Inputs!$B$29,MAX(0,(Inputs!$B$3-100)*3)+Inputs!$B$28+Inputs!$B$29)))</f>
        <v/>
      </c>
      <c r="E3202">
        <f>INDEX(FactorTable!$B$2:$Y$301, MATCH(ROUND(MIN(300,MAX(1,D3202)),0), FactorTable!$A$2:$A$301,0), Skills!M12+1)</f>
        <v/>
      </c>
      <c r="F3202">
        <f>IF(Skills!N12=TRUE,(Skills!L12/10)*(E3202/1000),Skills!L12/10)+Skills!O12</f>
        <v/>
      </c>
      <c r="G3202">
        <f>Skills!G12*IF(Skills!H12&gt;0,Skills!I12/Skills!H12,1)</f>
        <v/>
      </c>
      <c r="H3202">
        <f>1-(1-Skills!J12/100)^Skills!K12</f>
        <v/>
      </c>
      <c r="I3202" t="inlineStr">
        <is>
          <t>1</t>
        </is>
      </c>
      <c r="J3202" t="inlineStr"/>
      <c r="K3202" t="inlineStr"/>
      <c r="L3202" t="inlineStr"/>
      <c r="M3202" t="inlineStr"/>
      <c r="N3202" t="inlineStr"/>
      <c r="O3202">
        <f>(1-Summary!$B$11)*T3202+Summary!$B$11*V3202</f>
        <v/>
      </c>
      <c r="P3202">
        <f>IF(B3232=0,0,O3202/B3232)</f>
        <v/>
      </c>
      <c r="Q3202" t="n">
        <v>0</v>
      </c>
      <c r="R3202" t="n">
        <v>0</v>
      </c>
      <c r="S3202" t="n">
        <v>0</v>
      </c>
      <c r="T3202" t="n">
        <v>0</v>
      </c>
      <c r="V3202" t="n">
        <v>0</v>
      </c>
    </row>
    <row r="3203">
      <c r="A3203">
        <f>Skills!A13</f>
        <v/>
      </c>
      <c r="B3203">
        <f>Skills!B13</f>
        <v/>
      </c>
      <c r="C3203">
        <f>Inputs!$B$3&gt;=74</f>
        <v/>
      </c>
      <c r="D3203">
        <f>IF(Skills!C13=1,60+Inputs!$B$25+Inputs!$B$29,IF(Skills!C13=2,90+Inputs!$B$26+Inputs!$B$29,IF(Skills!C13=3,120+Inputs!$B$27+Inputs!$B$29,MAX(0,(Inputs!$B$3-100)*3)+Inputs!$B$28+Inputs!$B$29)))</f>
        <v/>
      </c>
      <c r="E3203">
        <f>INDEX(FactorTable!$B$2:$Y$301, MATCH(ROUND(MIN(300,MAX(1,D3203)),0), FactorTable!$A$2:$A$301,0), Skills!M13+1)</f>
        <v/>
      </c>
      <c r="F3203">
        <f>IF(Skills!N13=TRUE,(Skills!L13/10)*(E3203/1000),Skills!L13/10)+Skills!O13</f>
        <v/>
      </c>
      <c r="G3203">
        <f>Skills!G13*IF(Skills!H13&gt;0,Skills!I13/Skills!H13,1)</f>
        <v/>
      </c>
      <c r="H3203">
        <f>1-(1-Skills!J13/100)^Skills!K13</f>
        <v/>
      </c>
      <c r="I3203" t="inlineStr">
        <is>
          <t>1</t>
        </is>
      </c>
      <c r="J3203" t="inlineStr"/>
      <c r="K3203" t="inlineStr"/>
      <c r="L3203" t="inlineStr"/>
      <c r="M3203" t="inlineStr"/>
      <c r="N3203" t="inlineStr"/>
      <c r="O3203">
        <f>(1-Summary!$B$11)*T3203+Summary!$B$11*V3203</f>
        <v/>
      </c>
      <c r="P3203">
        <f>IF(B3232=0,0,O3203/B3232)</f>
        <v/>
      </c>
      <c r="Q3203" t="n">
        <v>0</v>
      </c>
      <c r="R3203" t="n">
        <v>0</v>
      </c>
      <c r="S3203" t="n">
        <v>0</v>
      </c>
      <c r="T3203" t="n">
        <v>0</v>
      </c>
      <c r="V3203" t="n">
        <v>0</v>
      </c>
    </row>
    <row r="3204">
      <c r="A3204">
        <f>Skills!A14</f>
        <v/>
      </c>
      <c r="B3204">
        <f>Skills!B14</f>
        <v/>
      </c>
      <c r="C3204">
        <f>Inputs!$B$3&gt;=74</f>
        <v/>
      </c>
      <c r="D3204">
        <f>IF(Skills!C14=1,60+Inputs!$B$25+Inputs!$B$29,IF(Skills!C14=2,90+Inputs!$B$26+Inputs!$B$29,IF(Skills!C14=3,120+Inputs!$B$27+Inputs!$B$29,MAX(0,(Inputs!$B$3-100)*3)+Inputs!$B$28+Inputs!$B$29)))</f>
        <v/>
      </c>
      <c r="E3204">
        <f>INDEX(FactorTable!$B$2:$Y$301, MATCH(ROUND(MIN(300,MAX(1,D3204)),0), FactorTable!$A$2:$A$301,0), Skills!M14+1)</f>
        <v/>
      </c>
      <c r="F3204">
        <f>IF(Skills!N14=TRUE,(Skills!L14/10)*(E3204/1000),Skills!L14/10)+Skills!O14</f>
        <v/>
      </c>
      <c r="G3204">
        <f>Skills!G14*IF(Skills!H14&gt;0,Skills!I14/Skills!H14,1)</f>
        <v/>
      </c>
      <c r="H3204">
        <f>1-(1-Skills!J14/100)^Skills!K14</f>
        <v/>
      </c>
      <c r="I3204" t="inlineStr">
        <is>
          <t>1</t>
        </is>
      </c>
      <c r="J3204" t="inlineStr"/>
      <c r="K3204" t="inlineStr"/>
      <c r="L3204" t="inlineStr"/>
      <c r="M3204" t="inlineStr"/>
      <c r="N3204" t="inlineStr"/>
      <c r="O3204">
        <f>(1-Summary!$B$11)*T3204+Summary!$B$11*V3204</f>
        <v/>
      </c>
      <c r="P3204">
        <f>IF(B3232=0,0,O3204/B3232)</f>
        <v/>
      </c>
      <c r="Q3204" t="n">
        <v>0</v>
      </c>
      <c r="R3204" t="n">
        <v>0</v>
      </c>
      <c r="S3204" t="n">
        <v>0</v>
      </c>
      <c r="T3204" t="n">
        <v>0</v>
      </c>
      <c r="V3204" t="n">
        <v>0</v>
      </c>
    </row>
    <row r="3205">
      <c r="A3205">
        <f>Skills!A15</f>
        <v/>
      </c>
      <c r="B3205">
        <f>Skills!B15</f>
        <v/>
      </c>
      <c r="C3205">
        <f>Inputs!$B$3&gt;=117</f>
        <v/>
      </c>
      <c r="D3205">
        <f>IF(Skills!C15=1,60+Inputs!$B$25+Inputs!$B$29,IF(Skills!C15=2,90+Inputs!$B$26+Inputs!$B$29,IF(Skills!C15=3,120+Inputs!$B$27+Inputs!$B$29,MAX(0,(Inputs!$B$3-100)*3)+Inputs!$B$28+Inputs!$B$29)))</f>
        <v/>
      </c>
      <c r="E3205">
        <f>INDEX(FactorTable!$B$2:$Y$301, MATCH(ROUND(MIN(300,MAX(1,D3205)),0), FactorTable!$A$2:$A$301,0), Skills!M15+1)</f>
        <v/>
      </c>
      <c r="F3205">
        <f>IF(Skills!N15=TRUE,(Skills!L15/10)*(E3205/1000),Skills!L15/10)+Skills!O15</f>
        <v/>
      </c>
      <c r="G3205">
        <f>Skills!G15*IF(Skills!H15&gt;0,Skills!I15/Skills!H15,1)</f>
        <v/>
      </c>
      <c r="H3205">
        <f>1-(1-Skills!J15/100)^Skills!K15</f>
        <v/>
      </c>
      <c r="I3205" t="inlineStr">
        <is>
          <t>1</t>
        </is>
      </c>
      <c r="J3205" t="inlineStr"/>
      <c r="K3205" t="inlineStr"/>
      <c r="L3205" t="inlineStr"/>
      <c r="M3205" t="inlineStr"/>
      <c r="N3205" t="inlineStr"/>
      <c r="O3205">
        <f>(1-Summary!$B$11)*T3205+Summary!$B$11*V3205</f>
        <v/>
      </c>
      <c r="P3205">
        <f>IF(B3232=0,0,O3205/B3232)</f>
        <v/>
      </c>
      <c r="Q3205">
        <f>IFERROR(1/IF(Inputs!$B$38="pvp",15,MAX(0.1,Skills!D15-IF(Skills!E15=TRUE,4.0,0))),0)</f>
        <v/>
      </c>
      <c r="R3205">
        <f>IF(AND(Inputs!$B$38&lt;&gt;"pvp",Inputs!$B$43&gt;0),IF(Inputs!$B$43&lt;=0,0,(INT(Inputs!$B$43/IF(Inputs!$B$38="pvp",15,MAX(0.1,Skills!D15-IF(Skills!E15=TRUE,4.0,0))))+1)),0)</f>
        <v/>
      </c>
      <c r="S3205" t="n">
        <v>0</v>
      </c>
      <c r="T3205" t="n">
        <v>0</v>
      </c>
      <c r="V3205" t="n">
        <v>0</v>
      </c>
    </row>
    <row r="3206">
      <c r="A3206">
        <f>Skills!A16</f>
        <v/>
      </c>
      <c r="B3206">
        <f>Skills!B16</f>
        <v/>
      </c>
      <c r="C3206">
        <f>Inputs!$B$3&gt;=115</f>
        <v/>
      </c>
      <c r="D3206">
        <f>IF(Skills!C16=1,60+Inputs!$B$25+Inputs!$B$29,IF(Skills!C16=2,90+Inputs!$B$26+Inputs!$B$29,IF(Skills!C16=3,120+Inputs!$B$27+Inputs!$B$29,MAX(0,(Inputs!$B$3-100)*3)+Inputs!$B$28+Inputs!$B$29)))</f>
        <v/>
      </c>
      <c r="E3206">
        <f>INDEX(FactorTable!$B$2:$Y$301, MATCH(ROUND(MIN(300,MAX(1,D3206)),0), FactorTable!$A$2:$A$301,0), Skills!M16+1)</f>
        <v/>
      </c>
      <c r="F3206">
        <f>IF(Skills!N16=TRUE,(Skills!L16/10)*(E3206/1000),Skills!L16/10)+Skills!O16</f>
        <v/>
      </c>
      <c r="G3206">
        <f>Skills!G16*IF(Skills!H16&gt;0,Skills!I16/Skills!H16,1)</f>
        <v/>
      </c>
      <c r="H3206">
        <f>1-(1-Skills!J16/100)^Skills!K16</f>
        <v/>
      </c>
      <c r="I3206" t="inlineStr">
        <is>
          <t>1</t>
        </is>
      </c>
      <c r="J3206" t="inlineStr"/>
      <c r="K3206" t="inlineStr"/>
      <c r="L3206" t="inlineStr"/>
      <c r="M3206" t="inlineStr"/>
      <c r="N3206" t="inlineStr"/>
      <c r="O3206">
        <f>(1-Summary!$B$11)*T3206+Summary!$B$11*V3206</f>
        <v/>
      </c>
      <c r="P3206">
        <f>IF(B3232=0,0,O3206/B3232)</f>
        <v/>
      </c>
      <c r="Q3206">
        <f>IFERROR(1/IF(Inputs!$B$38="pvp",15,MAX(0.1,Skills!D16-IF(Skills!E16=TRUE,4.0,0))),0)</f>
        <v/>
      </c>
      <c r="R3206">
        <f>IF(AND(Inputs!$B$38&lt;&gt;"pvp",Inputs!$B$43&gt;0),IF(Inputs!$B$43&lt;=0,0,(INT(Inputs!$B$43/IF(Inputs!$B$38="pvp",15,MAX(0.1,Skills!D16-IF(Skills!E16=TRUE,4.0,0))))+1)),0)</f>
        <v/>
      </c>
      <c r="S3206" t="n">
        <v>0</v>
      </c>
      <c r="T3206" t="n">
        <v>0</v>
      </c>
      <c r="V3206" t="n">
        <v>0</v>
      </c>
    </row>
    <row r="3207">
      <c r="A3207">
        <f>Skills!A17</f>
        <v/>
      </c>
      <c r="B3207">
        <f>Skills!B17</f>
        <v/>
      </c>
      <c r="C3207">
        <f>Inputs!$B$3&gt;=72</f>
        <v/>
      </c>
      <c r="D3207">
        <f>IF(Skills!C17=1,60+Inputs!$B$25+Inputs!$B$29,IF(Skills!C17=2,90+Inputs!$B$26+Inputs!$B$29,IF(Skills!C17=3,120+Inputs!$B$27+Inputs!$B$29,MAX(0,(Inputs!$B$3-100)*3)+Inputs!$B$28+Inputs!$B$29)))</f>
        <v/>
      </c>
      <c r="E3207">
        <f>INDEX(FactorTable!$B$2:$Y$301, MATCH(ROUND(MIN(300,MAX(1,D3207)),0), FactorTable!$A$2:$A$301,0), Skills!M17+1)</f>
        <v/>
      </c>
      <c r="F3207">
        <f>IF(Skills!N17=TRUE,(Skills!L17/10)*(E3207/1000),Skills!L17/10)+Skills!O17</f>
        <v/>
      </c>
      <c r="G3207">
        <f>Skills!G17*IF(Skills!H17&gt;0,Skills!I17/Skills!H17,1)</f>
        <v/>
      </c>
      <c r="H3207">
        <f>1-(1-Skills!J17/100)^Skills!K17</f>
        <v/>
      </c>
      <c r="I3207" t="inlineStr">
        <is>
          <t>1</t>
        </is>
      </c>
      <c r="J3207" t="inlineStr"/>
      <c r="K3207" t="inlineStr"/>
      <c r="L3207" t="inlineStr"/>
      <c r="M3207" t="inlineStr"/>
      <c r="N3207" t="inlineStr"/>
      <c r="O3207">
        <f>(1-Summary!$B$11)*T3207+Summary!$B$11*V3207</f>
        <v/>
      </c>
      <c r="P3207">
        <f>IF(B3232=0,0,O3207/B3232)</f>
        <v/>
      </c>
      <c r="Q3207" t="n">
        <v>0</v>
      </c>
      <c r="R3207" t="n">
        <v>0</v>
      </c>
      <c r="S3207" t="n">
        <v>0</v>
      </c>
      <c r="T3207" t="n">
        <v>0</v>
      </c>
      <c r="V3207" t="n">
        <v>0</v>
      </c>
    </row>
    <row r="3208">
      <c r="A3208">
        <f>Skills!A18</f>
        <v/>
      </c>
      <c r="B3208">
        <f>Skills!B18</f>
        <v/>
      </c>
      <c r="C3208">
        <f>TRUE</f>
        <v/>
      </c>
      <c r="D3208">
        <f>IF(Skills!C18=1,60+Inputs!$B$25+Inputs!$B$29,IF(Skills!C18=2,90+Inputs!$B$26+Inputs!$B$29,IF(Skills!C18=3,120+Inputs!$B$27+Inputs!$B$29,MAX(0,(Inputs!$B$3-100)*3)+Inputs!$B$28+Inputs!$B$29)))</f>
        <v/>
      </c>
      <c r="E3208">
        <f>INDEX(FactorTable!$B$2:$Y$301, MATCH(ROUND(MIN(300,MAX(1,D3208)),0), FactorTable!$A$2:$A$301,0), Skills!M18+1)</f>
        <v/>
      </c>
      <c r="F3208">
        <f>IF(Skills!N18=TRUE,(Skills!L18/10)*(E3208/1000),Skills!L18/10)+Skills!O18</f>
        <v/>
      </c>
      <c r="G3208">
        <f>Skills!G18*IF(Skills!H18&gt;0,Skills!I18/Skills!H18,1)</f>
        <v/>
      </c>
      <c r="H3208">
        <f>1-(1-Skills!J18/100)^Skills!K18</f>
        <v/>
      </c>
      <c r="I3208" t="inlineStr">
        <is>
          <t>1</t>
        </is>
      </c>
      <c r="J3208" t="inlineStr"/>
      <c r="K3208" t="inlineStr"/>
      <c r="L3208" t="inlineStr"/>
      <c r="M3208" t="inlineStr"/>
      <c r="N3208" t="inlineStr"/>
      <c r="O3208">
        <f>(1-Summary!$B$11)*T3208+Summary!$B$11*V3208</f>
        <v/>
      </c>
      <c r="P3208">
        <f>IF(B3232=0,0,O3208/B3232)</f>
        <v/>
      </c>
      <c r="Q3208">
        <f>IFERROR(1/IF(Inputs!$B$38="pvp",15,MAX(0.1,Skills!D18-IF(Skills!E18=TRUE,4.0,0))),0)</f>
        <v/>
      </c>
      <c r="R3208">
        <f>IF(AND(Inputs!$B$38&lt;&gt;"pvp",Inputs!$B$43&gt;0),IF(Inputs!$B$43&lt;=0,0,(INT(Inputs!$B$43/IF(Inputs!$B$38="pvp",15,MAX(0.1,Skills!D18-IF(Skills!E18=TRUE,4.0,0))))+1)),0)</f>
        <v/>
      </c>
      <c r="S3208" t="n">
        <v>0</v>
      </c>
      <c r="T3208" t="n">
        <v>0</v>
      </c>
      <c r="V3208" t="n">
        <v>0</v>
      </c>
    </row>
    <row r="3209">
      <c r="A3209">
        <f>Skills!A19</f>
        <v/>
      </c>
      <c r="B3209">
        <f>Skills!B19</f>
        <v/>
      </c>
      <c r="C3209">
        <f>Inputs!$B$3&gt;=15</f>
        <v/>
      </c>
      <c r="D3209">
        <f>IF(Skills!C19=1,60+Inputs!$B$25+Inputs!$B$29,IF(Skills!C19=2,90+Inputs!$B$26+Inputs!$B$29,IF(Skills!C19=3,120+Inputs!$B$27+Inputs!$B$29,MAX(0,(Inputs!$B$3-100)*3)+Inputs!$B$28+Inputs!$B$29)))</f>
        <v/>
      </c>
      <c r="E3209">
        <f>INDEX(FactorTable!$B$2:$Y$301, MATCH(ROUND(MIN(300,MAX(1,D3209)),0), FactorTable!$A$2:$A$301,0), Skills!M19+1)</f>
        <v/>
      </c>
      <c r="F3209">
        <f>IF(Skills!N19=TRUE,(Skills!L19/10)*(E3209/1000),Skills!L19/10)+Skills!O19</f>
        <v/>
      </c>
      <c r="G3209">
        <f>Skills!G19*IF(Skills!H19&gt;0,Skills!I19/Skills!H19,1)</f>
        <v/>
      </c>
      <c r="H3209">
        <f>1-(1-Skills!J19/100)^Skills!K19</f>
        <v/>
      </c>
      <c r="I3209" t="inlineStr">
        <is>
          <t>1</t>
        </is>
      </c>
      <c r="J3209" t="inlineStr"/>
      <c r="K3209" t="inlineStr"/>
      <c r="L3209" t="inlineStr"/>
      <c r="M3209" t="inlineStr"/>
      <c r="N3209" t="inlineStr"/>
      <c r="O3209">
        <f>(1-Summary!$B$11)*T3209+Summary!$B$11*V3209</f>
        <v/>
      </c>
      <c r="P3209">
        <f>IF(B3232=0,0,O3209/B3232)</f>
        <v/>
      </c>
      <c r="Q3209" t="n">
        <v>0</v>
      </c>
      <c r="R3209" t="n">
        <v>0</v>
      </c>
      <c r="S3209" t="n">
        <v>0</v>
      </c>
      <c r="T3209" t="n">
        <v>0</v>
      </c>
      <c r="V3209" t="n">
        <v>0</v>
      </c>
    </row>
    <row r="3210">
      <c r="A3210">
        <f>Skills!A20</f>
        <v/>
      </c>
      <c r="B3210">
        <f>Skills!B20</f>
        <v/>
      </c>
      <c r="C3210">
        <f>Inputs!$B$3&gt;=10</f>
        <v/>
      </c>
      <c r="D3210">
        <f>IF(Skills!C20=1,60+Inputs!$B$25+Inputs!$B$29,IF(Skills!C20=2,90+Inputs!$B$26+Inputs!$B$29,IF(Skills!C20=3,120+Inputs!$B$27+Inputs!$B$29,MAX(0,(Inputs!$B$3-100)*3)+Inputs!$B$28+Inputs!$B$29)))</f>
        <v/>
      </c>
      <c r="E3210">
        <f>INDEX(FactorTable!$B$2:$Y$301, MATCH(ROUND(MIN(300,MAX(1,D3210)),0), FactorTable!$A$2:$A$301,0), Skills!M20+1)</f>
        <v/>
      </c>
      <c r="F3210">
        <f>IF(Skills!N20=TRUE,(Skills!L20/10)*(E3210/1000),Skills!L20/10)+Skills!O20</f>
        <v/>
      </c>
      <c r="G3210">
        <f>Skills!G20*IF(Skills!H20&gt;0,Skills!I20/Skills!H20,1)</f>
        <v/>
      </c>
      <c r="H3210">
        <f>1-(1-Skills!J20/100)^Skills!K20</f>
        <v/>
      </c>
      <c r="I3210" t="inlineStr">
        <is>
          <t>1</t>
        </is>
      </c>
      <c r="J3210" t="inlineStr"/>
      <c r="K3210" t="inlineStr"/>
      <c r="L3210" t="inlineStr"/>
      <c r="M3210" t="inlineStr"/>
      <c r="N3210" t="inlineStr"/>
      <c r="O3210">
        <f>(1-Summary!$B$11)*T3210+Summary!$B$11*V3210</f>
        <v/>
      </c>
      <c r="P3210">
        <f>IF(B3232=0,0,O3210/B3232)</f>
        <v/>
      </c>
      <c r="Q3210" t="n">
        <v>0</v>
      </c>
      <c r="R3210" t="n">
        <v>0</v>
      </c>
      <c r="S3210" t="n">
        <v>0</v>
      </c>
      <c r="T3210" t="n">
        <v>0</v>
      </c>
      <c r="V3210" t="n">
        <v>0</v>
      </c>
    </row>
    <row r="3211">
      <c r="A3211">
        <f>Skills!A21</f>
        <v/>
      </c>
      <c r="B3211">
        <f>Skills!B21</f>
        <v/>
      </c>
      <c r="C3211">
        <f>Inputs!$B$3&gt;=33</f>
        <v/>
      </c>
      <c r="D3211">
        <f>IF(Skills!C21=1,60+Inputs!$B$25+Inputs!$B$29,IF(Skills!C21=2,90+Inputs!$B$26+Inputs!$B$29,IF(Skills!C21=3,120+Inputs!$B$27+Inputs!$B$29,MAX(0,(Inputs!$B$3-100)*3)+Inputs!$B$28+Inputs!$B$29)))</f>
        <v/>
      </c>
      <c r="E3211">
        <f>INDEX(FactorTable!$B$2:$Y$301, MATCH(ROUND(MIN(300,MAX(1,D3211)),0), FactorTable!$A$2:$A$301,0), Skills!M21+1)</f>
        <v/>
      </c>
      <c r="F3211">
        <f>IF(Skills!N21=TRUE,(Skills!L21/10)*(E3211/1000),Skills!L21/10)+Skills!O21</f>
        <v/>
      </c>
      <c r="G3211">
        <f>Skills!G21*IF(Skills!H21&gt;0,Skills!I21/Skills!H21,1)</f>
        <v/>
      </c>
      <c r="H3211">
        <f>1-(1-Skills!J21/100)^Skills!K21</f>
        <v/>
      </c>
      <c r="I3211" t="inlineStr">
        <is>
          <t>1</t>
        </is>
      </c>
      <c r="J3211" t="inlineStr"/>
      <c r="K3211" t="inlineStr"/>
      <c r="L3211" t="inlineStr"/>
      <c r="M3211" t="inlineStr"/>
      <c r="N3211" t="inlineStr"/>
      <c r="O3211">
        <f>(1-Summary!$B$11)*T3211+Summary!$B$11*V3211</f>
        <v/>
      </c>
      <c r="P3211">
        <f>IF(B3232=0,0,O3211/B3232)</f>
        <v/>
      </c>
      <c r="Q3211" t="n">
        <v>0</v>
      </c>
      <c r="R3211" t="n">
        <v>0</v>
      </c>
      <c r="S3211" t="n">
        <v>0</v>
      </c>
      <c r="T3211" t="n">
        <v>0</v>
      </c>
      <c r="V3211" t="n">
        <v>0</v>
      </c>
    </row>
    <row r="3212">
      <c r="A3212">
        <f>Skills!A22</f>
        <v/>
      </c>
      <c r="B3212">
        <f>Skills!B22</f>
        <v/>
      </c>
      <c r="C3212">
        <f>Inputs!$B$3&gt;=38</f>
        <v/>
      </c>
      <c r="D3212">
        <f>IF(Skills!C22=1,60+Inputs!$B$25+Inputs!$B$29,IF(Skills!C22=2,90+Inputs!$B$26+Inputs!$B$29,IF(Skills!C22=3,120+Inputs!$B$27+Inputs!$B$29,MAX(0,(Inputs!$B$3-100)*3)+Inputs!$B$28+Inputs!$B$29)))</f>
        <v/>
      </c>
      <c r="E3212">
        <f>INDEX(FactorTable!$B$2:$Y$301, MATCH(ROUND(MIN(300,MAX(1,D3212)),0), FactorTable!$A$2:$A$301,0), Skills!M22+1)</f>
        <v/>
      </c>
      <c r="F3212">
        <f>IF(Skills!N22=TRUE,(Skills!L22/10)*(E3212/1000),Skills!L22/10)+Skills!O22</f>
        <v/>
      </c>
      <c r="G3212">
        <f>Skills!G22*IF(Skills!H22&gt;0,Skills!I22/Skills!H22,1)</f>
        <v/>
      </c>
      <c r="H3212">
        <f>1-(1-Skills!J22/100)^Skills!K22</f>
        <v/>
      </c>
      <c r="I3212" t="inlineStr">
        <is>
          <t>1</t>
        </is>
      </c>
      <c r="J3212" t="inlineStr"/>
      <c r="K3212" t="inlineStr"/>
      <c r="L3212" t="inlineStr"/>
      <c r="M3212" t="inlineStr"/>
      <c r="N3212" t="inlineStr"/>
      <c r="O3212">
        <f>(1-Summary!$B$11)*T3212+Summary!$B$11*V3212</f>
        <v/>
      </c>
      <c r="P3212">
        <f>IF(B3232=0,0,O3212/B3232)</f>
        <v/>
      </c>
      <c r="Q3212" t="n">
        <v>0</v>
      </c>
      <c r="R3212" t="n">
        <v>0</v>
      </c>
      <c r="S3212" t="n">
        <v>0</v>
      </c>
      <c r="T3212" t="n">
        <v>0</v>
      </c>
      <c r="V3212" t="n">
        <v>0</v>
      </c>
    </row>
    <row r="3213">
      <c r="A3213">
        <f>Skills!A23</f>
        <v/>
      </c>
      <c r="B3213">
        <f>Skills!B23</f>
        <v/>
      </c>
      <c r="C3213">
        <f>Inputs!$B$3&gt;=43</f>
        <v/>
      </c>
      <c r="D3213">
        <f>IF(Skills!C23=1,60+Inputs!$B$25+Inputs!$B$29,IF(Skills!C23=2,90+Inputs!$B$26+Inputs!$B$29,IF(Skills!C23=3,120+Inputs!$B$27+Inputs!$B$29,MAX(0,(Inputs!$B$3-100)*3)+Inputs!$B$28+Inputs!$B$29)))</f>
        <v/>
      </c>
      <c r="E3213">
        <f>INDEX(FactorTable!$B$2:$Y$301, MATCH(ROUND(MIN(300,MAX(1,D3213)),0), FactorTable!$A$2:$A$301,0), Skills!M23+1)</f>
        <v/>
      </c>
      <c r="F3213">
        <f>IF(Skills!N23=TRUE,(Skills!L23/10)*(E3213/1000),Skills!L23/10)+Skills!O23</f>
        <v/>
      </c>
      <c r="G3213">
        <f>Skills!G23*IF(Skills!H23&gt;0,Skills!I23/Skills!H23,1)</f>
        <v/>
      </c>
      <c r="H3213">
        <f>1-(1-Skills!J23/100)^Skills!K23</f>
        <v/>
      </c>
      <c r="I3213" t="inlineStr">
        <is>
          <t>1</t>
        </is>
      </c>
      <c r="J3213" t="inlineStr"/>
      <c r="K3213" t="inlineStr"/>
      <c r="L3213" t="inlineStr"/>
      <c r="M3213" t="inlineStr"/>
      <c r="N3213" t="inlineStr"/>
      <c r="O3213">
        <f>(1-Summary!$B$11)*T3213+Summary!$B$11*V3213</f>
        <v/>
      </c>
      <c r="P3213">
        <f>IF(B3232=0,0,O3213/B3232)</f>
        <v/>
      </c>
      <c r="Q3213" t="n">
        <v>0</v>
      </c>
      <c r="R3213" t="n">
        <v>0</v>
      </c>
      <c r="S3213" t="n">
        <v>0</v>
      </c>
      <c r="T3213" t="n">
        <v>0</v>
      </c>
      <c r="V3213" t="n">
        <v>0</v>
      </c>
    </row>
    <row r="3214">
      <c r="A3214">
        <f>Skills!A24</f>
        <v/>
      </c>
      <c r="B3214">
        <f>Skills!B24</f>
        <v/>
      </c>
      <c r="C3214">
        <f>Inputs!$B$3&gt;=75</f>
        <v/>
      </c>
      <c r="D3214">
        <f>IF(Skills!C24=1,60+Inputs!$B$25+Inputs!$B$29,IF(Skills!C24=2,90+Inputs!$B$26+Inputs!$B$29,IF(Skills!C24=3,120+Inputs!$B$27+Inputs!$B$29,MAX(0,(Inputs!$B$3-100)*3)+Inputs!$B$28+Inputs!$B$29)))</f>
        <v/>
      </c>
      <c r="E3214">
        <f>INDEX(FactorTable!$B$2:$Y$301, MATCH(ROUND(MIN(300,MAX(1,D3214)),0), FactorTable!$A$2:$A$301,0), Skills!M24+1)</f>
        <v/>
      </c>
      <c r="F3214">
        <f>IF(Skills!N24=TRUE,(Skills!L24/10)*(E3214/1000),Skills!L24/10)+Skills!O24</f>
        <v/>
      </c>
      <c r="G3214">
        <f>Skills!G24*IF(Skills!H24&gt;0,Skills!I24/Skills!H24,1)</f>
        <v/>
      </c>
      <c r="H3214">
        <f>1-(1-Skills!J24/100)^Skills!K24</f>
        <v/>
      </c>
      <c r="I3214" t="inlineStr">
        <is>
          <t>1</t>
        </is>
      </c>
      <c r="J3214" t="inlineStr"/>
      <c r="K3214" t="inlineStr"/>
      <c r="L3214" t="inlineStr"/>
      <c r="M3214" t="inlineStr"/>
      <c r="N3214" t="inlineStr"/>
      <c r="O3214">
        <f>(1-Summary!$B$11)*T3214+Summary!$B$11*V3214</f>
        <v/>
      </c>
      <c r="P3214">
        <f>IF(B3232=0,0,O3214/B3232)</f>
        <v/>
      </c>
      <c r="Q3214" t="n">
        <v>0</v>
      </c>
      <c r="R3214" t="n">
        <v>0</v>
      </c>
      <c r="S3214" t="n">
        <v>0</v>
      </c>
      <c r="T3214" t="n">
        <v>0</v>
      </c>
      <c r="V3214" t="n">
        <v>0</v>
      </c>
    </row>
    <row r="3215">
      <c r="A3215">
        <f>Skills!A25</f>
        <v/>
      </c>
      <c r="B3215">
        <f>Skills!B25</f>
        <v/>
      </c>
      <c r="C3215">
        <f>Inputs!$B$3&gt;=125</f>
        <v/>
      </c>
      <c r="D3215">
        <f>IF(Skills!C25=1,60+Inputs!$B$25+Inputs!$B$29,IF(Skills!C25=2,90+Inputs!$B$26+Inputs!$B$29,IF(Skills!C25=3,120+Inputs!$B$27+Inputs!$B$29,MAX(0,(Inputs!$B$3-100)*3)+Inputs!$B$28+Inputs!$B$29)))</f>
        <v/>
      </c>
      <c r="E3215">
        <f>INDEX(FactorTable!$B$2:$Y$301, MATCH(ROUND(MIN(300,MAX(1,D3215)),0), FactorTable!$A$2:$A$301,0), Skills!M25+1)</f>
        <v/>
      </c>
      <c r="F3215">
        <f>IF(Skills!N25=TRUE,(Skills!L25/10)*(E3215/1000),Skills!L25/10)+Skills!O25</f>
        <v/>
      </c>
      <c r="G3215">
        <f>Skills!G25*IF(Skills!H25&gt;0,Skills!I25/Skills!H25,1)</f>
        <v/>
      </c>
      <c r="H3215">
        <f>1-(1-Skills!J25/100)^Skills!K25</f>
        <v/>
      </c>
      <c r="I3215" t="inlineStr">
        <is>
          <t>1</t>
        </is>
      </c>
      <c r="J3215" t="inlineStr"/>
      <c r="K3215" t="inlineStr"/>
      <c r="L3215" t="inlineStr"/>
      <c r="M3215" t="inlineStr"/>
      <c r="N3215" t="inlineStr"/>
      <c r="O3215">
        <f>(1-Summary!$B$11)*T3215+Summary!$B$11*V3215</f>
        <v/>
      </c>
      <c r="P3215">
        <f>IF(B3232=0,0,O3215/B3232)</f>
        <v/>
      </c>
      <c r="Q3215" t="n">
        <v>0</v>
      </c>
      <c r="R3215" t="n">
        <v>0</v>
      </c>
      <c r="S3215" t="n">
        <v>0</v>
      </c>
      <c r="T3215" t="n">
        <v>0</v>
      </c>
      <c r="V3215" t="n">
        <v>0</v>
      </c>
    </row>
    <row r="3216">
      <c r="A3216">
        <f>Skills!A26</f>
        <v/>
      </c>
      <c r="B3216">
        <f>Skills!B26</f>
        <v/>
      </c>
      <c r="C3216">
        <f>Inputs!$B$3&gt;=125</f>
        <v/>
      </c>
      <c r="D3216">
        <f>IF(Skills!C26=1,60+Inputs!$B$25+Inputs!$B$29,IF(Skills!C26=2,90+Inputs!$B$26+Inputs!$B$29,IF(Skills!C26=3,120+Inputs!$B$27+Inputs!$B$29,MAX(0,(Inputs!$B$3-100)*3)+Inputs!$B$28+Inputs!$B$29)))</f>
        <v/>
      </c>
      <c r="E3216">
        <f>INDEX(FactorTable!$B$2:$Y$301, MATCH(ROUND(MIN(300,MAX(1,D3216)),0), FactorTable!$A$2:$A$301,0), Skills!M26+1)</f>
        <v/>
      </c>
      <c r="F3216">
        <f>IF(Skills!N26=TRUE,(Skills!L26/10)*(E3216/1000),Skills!L26/10)+Skills!O26</f>
        <v/>
      </c>
      <c r="G3216">
        <f>Skills!G26*IF(Skills!H26&gt;0,Skills!I26/Skills!H26,1)</f>
        <v/>
      </c>
      <c r="H3216">
        <f>1-(1-Skills!J26/100)^Skills!K26</f>
        <v/>
      </c>
      <c r="I3216" t="inlineStr">
        <is>
          <t>1</t>
        </is>
      </c>
      <c r="J3216" t="inlineStr"/>
      <c r="K3216" t="inlineStr"/>
      <c r="L3216" t="inlineStr"/>
      <c r="M3216" t="inlineStr"/>
      <c r="N3216" t="inlineStr"/>
      <c r="O3216">
        <f>(1-Summary!$B$11)*T3216+Summary!$B$11*V3216</f>
        <v/>
      </c>
      <c r="P3216">
        <f>IF(B3232=0,0,O3216/B3232)</f>
        <v/>
      </c>
      <c r="Q3216" t="n">
        <v>0</v>
      </c>
      <c r="R3216" t="n">
        <v>0</v>
      </c>
      <c r="S3216" t="n">
        <v>0</v>
      </c>
      <c r="T3216" t="n">
        <v>0</v>
      </c>
      <c r="V3216" t="n">
        <v>0</v>
      </c>
    </row>
    <row r="3217">
      <c r="A3217">
        <f>Skills!A27</f>
        <v/>
      </c>
      <c r="B3217">
        <f>Skills!B27</f>
        <v/>
      </c>
      <c r="C3217">
        <f>Inputs!$B$3&gt;=120</f>
        <v/>
      </c>
      <c r="D3217">
        <f>IF(Skills!C27=1,60+Inputs!$B$25+Inputs!$B$29,IF(Skills!C27=2,90+Inputs!$B$26+Inputs!$B$29,IF(Skills!C27=3,120+Inputs!$B$27+Inputs!$B$29,MAX(0,(Inputs!$B$3-100)*3)+Inputs!$B$28+Inputs!$B$29)))</f>
        <v/>
      </c>
      <c r="E3217">
        <f>INDEX(FactorTable!$B$2:$Y$301, MATCH(ROUND(MIN(300,MAX(1,D3217)),0), FactorTable!$A$2:$A$301,0), Skills!M27+1)</f>
        <v/>
      </c>
      <c r="F3217">
        <f>IF(Skills!N27=TRUE,(Skills!L27/10)*(E3217/1000),Skills!L27/10)+Skills!O27</f>
        <v/>
      </c>
      <c r="G3217">
        <f>Skills!G27*IF(Skills!H27&gt;0,Skills!I27/Skills!H27,1)</f>
        <v/>
      </c>
      <c r="H3217">
        <f>1-(1-Skills!J27/100)^Skills!K27</f>
        <v/>
      </c>
      <c r="I3217" t="inlineStr">
        <is>
          <t>1</t>
        </is>
      </c>
      <c r="J3217" t="inlineStr"/>
      <c r="K3217" t="inlineStr"/>
      <c r="L3217" t="inlineStr"/>
      <c r="M3217" t="inlineStr"/>
      <c r="N3217" t="inlineStr"/>
      <c r="O3217">
        <f>(1-Summary!$B$11)*T3217+Summary!$B$11*V3217</f>
        <v/>
      </c>
      <c r="P3217">
        <f>IF(B3232=0,0,O3217/B3232)</f>
        <v/>
      </c>
      <c r="Q3217" t="n">
        <v>0</v>
      </c>
      <c r="R3217" t="n">
        <v>0</v>
      </c>
      <c r="S3217" t="n">
        <v>0</v>
      </c>
      <c r="T3217" t="n">
        <v>0</v>
      </c>
      <c r="V3217" t="n">
        <v>0</v>
      </c>
    </row>
    <row r="3218">
      <c r="A3218">
        <f>Skills!A28</f>
        <v/>
      </c>
      <c r="B3218">
        <f>Skills!B28</f>
        <v/>
      </c>
      <c r="C3218">
        <f>Inputs!$B$3&gt;=120</f>
        <v/>
      </c>
      <c r="D3218">
        <f>IF(Skills!C28=1,60+Inputs!$B$25+Inputs!$B$29,IF(Skills!C28=2,90+Inputs!$B$26+Inputs!$B$29,IF(Skills!C28=3,120+Inputs!$B$27+Inputs!$B$29,MAX(0,(Inputs!$B$3-100)*3)+Inputs!$B$28+Inputs!$B$29)))</f>
        <v/>
      </c>
      <c r="E3218">
        <f>INDEX(FactorTable!$B$2:$Y$301, MATCH(ROUND(MIN(300,MAX(1,D3218)),0), FactorTable!$A$2:$A$301,0), Skills!M28+1)</f>
        <v/>
      </c>
      <c r="F3218">
        <f>IF(Skills!N28=TRUE,(Skills!L28/10)*(E3218/1000),Skills!L28/10)+Skills!O28</f>
        <v/>
      </c>
      <c r="G3218">
        <f>Skills!G28*IF(Skills!H28&gt;0,Skills!I28/Skills!H28,1)</f>
        <v/>
      </c>
      <c r="H3218">
        <f>1-(1-Skills!J28/100)^Skills!K28</f>
        <v/>
      </c>
      <c r="I3218" t="inlineStr">
        <is>
          <t>1</t>
        </is>
      </c>
      <c r="J3218" t="inlineStr"/>
      <c r="K3218" t="inlineStr"/>
      <c r="L3218" t="inlineStr"/>
      <c r="M3218" t="inlineStr"/>
      <c r="N3218" t="inlineStr"/>
      <c r="O3218">
        <f>(1-Summary!$B$11)*T3218+Summary!$B$11*V3218</f>
        <v/>
      </c>
      <c r="P3218">
        <f>IF(B3232=0,0,O3218/B3232)</f>
        <v/>
      </c>
      <c r="Q3218" t="n">
        <v>0</v>
      </c>
      <c r="R3218" t="n">
        <v>0</v>
      </c>
      <c r="S3218" t="n">
        <v>0</v>
      </c>
      <c r="T3218" t="n">
        <v>0</v>
      </c>
      <c r="V3218" t="n">
        <v>0</v>
      </c>
    </row>
    <row r="3219">
      <c r="A3219">
        <f>Skills!A29</f>
        <v/>
      </c>
      <c r="B3219">
        <f>Skills!B29</f>
        <v/>
      </c>
      <c r="C3219">
        <f>Inputs!$B$3&gt;=45</f>
        <v/>
      </c>
      <c r="D3219">
        <f>IF(Skills!C29=1,60+Inputs!$B$25+Inputs!$B$29,IF(Skills!C29=2,90+Inputs!$B$26+Inputs!$B$29,IF(Skills!C29=3,120+Inputs!$B$27+Inputs!$B$29,MAX(0,(Inputs!$B$3-100)*3)+Inputs!$B$28+Inputs!$B$29)))</f>
        <v/>
      </c>
      <c r="E3219">
        <f>INDEX(FactorTable!$B$2:$Y$301, MATCH(ROUND(MIN(300,MAX(1,D3219)),0), FactorTable!$A$2:$A$301,0), Skills!M29+1)</f>
        <v/>
      </c>
      <c r="F3219">
        <f>IF(Skills!N29=TRUE,(Skills!L29/10)*(E3219/1000),Skills!L29/10)+Skills!O29</f>
        <v/>
      </c>
      <c r="G3219">
        <f>Skills!G29*IF(Skills!H29&gt;0,Skills!I29/Skills!H29,1)</f>
        <v/>
      </c>
      <c r="H3219">
        <f>1-(1-Skills!J29/100)^Skills!K29</f>
        <v/>
      </c>
      <c r="I3219" t="inlineStr">
        <is>
          <t>1</t>
        </is>
      </c>
      <c r="J3219" t="inlineStr"/>
      <c r="K3219" t="inlineStr"/>
      <c r="L3219" t="inlineStr"/>
      <c r="M3219" t="inlineStr"/>
      <c r="N3219" t="inlineStr"/>
      <c r="O3219">
        <f>(1-Summary!$B$11)*T3219+Summary!$B$11*V3219</f>
        <v/>
      </c>
      <c r="P3219">
        <f>IF(B3232=0,0,O3219/B3232)</f>
        <v/>
      </c>
      <c r="Q3219" t="n">
        <v>0</v>
      </c>
      <c r="R3219" t="n">
        <v>0</v>
      </c>
      <c r="S3219" t="n">
        <v>0</v>
      </c>
      <c r="T3219" t="n">
        <v>0</v>
      </c>
      <c r="V3219" t="n">
        <v>0</v>
      </c>
    </row>
    <row r="3221">
      <c r="A3221" t="inlineStr">
        <is>
          <t>Attack% Bucket Multiplier</t>
        </is>
      </c>
      <c r="B3221">
        <f>(1+(((C3203=TRUE)*F3203)+((C3204=TRUE)*IF(Inputs!$B$38="pvp",F3204,(1-Summary!$B$11)*(F3204)+Summary!$B$11*(0)))+((C3205=TRUE)*F3205*IF(AND(Inputs!$B$38&lt;&gt;"pvp",Inputs!$B$43&gt;0),(((R3205-1)*(Skills!T15*(1+Inputs!$B$34/100))+MIN((Skills!T15*(1+Inputs!$B$34/100)),MAX(0,Inputs!$B$43-((R3205-1)*Skills!D15))))/Inputs!$B$43),IF(Inputs!$B$38="pvp",MIN((Skills!T15*(1+Inputs!$B$34/100)),15)/15,(Skills!T15*(1+Inputs!$B$34/100))/Skills!D15)))+((C3202=TRUE)*F3202)+((C3219=TRUE)*(F3219-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3222">
      <c r="A3222" t="inlineStr">
        <is>
          <t>Global Crit Rate Bonus %</t>
        </is>
      </c>
      <c r="B3222">
        <f>(C3206=TRUE)*20*IF(AND(Inputs!$B$38&lt;&gt;"pvp",Inputs!$B$43&gt;0),(((R3206-1)*(Skills!T16*(1+Inputs!$B$34/100))+MIN((Skills!T16*(1+Inputs!$B$34/100)),MAX(0,Inputs!$B$43-((R3206-1)*Skills!D16))))/Inputs!$B$43),IF(Inputs!$B$38="pvp",MIN((Skills!T16*(1+Inputs!$B$34/100)),15)/15,(Skills!T16*(1+Inputs!$B$34/100))/Skills!D16))</f>
        <v/>
      </c>
    </row>
    <row r="3223">
      <c r="A3223" t="inlineStr">
        <is>
          <t>Attack Speed Buff Bonus %</t>
        </is>
      </c>
      <c r="B3223">
        <f>((C3208=TRUE)*F3208*IF(AND(Inputs!$B$38&lt;&gt;"pvp",Inputs!$B$43&gt;0),(((R3208-1)*(Skills!T18*(1+Inputs!$B$34/100))+MIN((Skills!T18*(1+Inputs!$B$34/100)),MAX(0,Inputs!$B$43-((R3208-1)*Skills!D18))))/Inputs!$B$43),IF(Inputs!$B$38="pvp",MIN((Skills!T18*(1+Inputs!$B$34/100)),15)/15,(Skills!T18*(1+Inputs!$B$34/100))/Skills!D18)))</f>
        <v/>
      </c>
    </row>
    <row r="3224">
      <c r="A3224" t="inlineStr">
        <is>
          <t>Actions Per Second</t>
        </is>
      </c>
      <c r="B3224">
        <f>1+MIN(150,150*(1-(1-(Inputs!$B$11+((C3210=TRUE)*(F3210-Calc!F20))+((C3211=TRUE)*(F3211-Calc!F21)))/150)*(1-B3223/150)))/100</f>
        <v/>
      </c>
    </row>
    <row r="3225">
      <c r="A3225" t="inlineStr">
        <is>
          <t>Skill + Buff Cast Rate</t>
        </is>
      </c>
      <c r="B3225">
        <f>IF(AND(Inputs!$B$38&lt;&gt;"pvp",Inputs!$B$43&gt;0),SUMPRODUCT((Skills!E2:E29=TRUE)*(C3192:C3219=TRUE)*R3192:R3219*Skills!F2:F29)/Inputs!$B$43,SUMPRODUCT((Skills!E2:E29=TRUE)*(C3192:C3219=TRUE)*Q3192:Q3219*Skills!F2:F29))</f>
        <v/>
      </c>
    </row>
    <row r="3226">
      <c r="A3226" t="inlineStr">
        <is>
          <t>Empowered Piercing Arrow Casts Per Second</t>
        </is>
      </c>
      <c r="B3226">
        <f>MAX(0,B3224-B3225)</f>
        <v/>
      </c>
    </row>
    <row r="3227">
      <c r="A3227" t="inlineStr">
        <is>
          <t>Global Critical Damage Bonus % (Sharp Eyes)</t>
        </is>
      </c>
      <c r="B3227">
        <f>(C3206=TRUE)*F3206*IF(AND(Inputs!$B$38&lt;&gt;"pvp",Inputs!$B$43&gt;0),(((R3206-1)*(Skills!T16*(1+Inputs!$B$34/100))+MIN((Skills!T16*(1+Inputs!$B$34/100)),MAX(0,Inputs!$B$43-((R3206-1)*Skills!D16))))/Inputs!$B$43),IF(Inputs!$B$38="pvp",MIN((Skills!T16*(1+Inputs!$B$34/100)),15)/15,(Skills!T16*(1+Inputs!$B$34/100))/Skills!D16))</f>
        <v/>
      </c>
    </row>
    <row r="3228">
      <c r="A3228" t="inlineStr">
        <is>
          <t>Global Final Damage Bonus % (Mortal Blow + Last Man Standing conditional half)</t>
        </is>
      </c>
      <c r="B3228">
        <f>(C3207=TRUE)*F3207+((C3216=TRUE)*IF(Inputs!$B$38="pvp",F3216,(1-Summary!$B$11)*(F3216)+Summary!$B$11*(0)))</f>
        <v/>
      </c>
    </row>
    <row r="3229">
      <c r="A3229" t="inlineStr">
        <is>
          <t>Buff-Casting Startup Delay (s, fixed-duration only)</t>
        </is>
      </c>
      <c r="B3229">
        <f>IF(AND(Inputs!$B$38&lt;&gt;"pvp",Inputs!$B$43&gt;0),SUMPRODUCT((Skills!T2:T29&gt;0)*(Skills!E2:E29=TRUE)*(C3192:C3219=TRUE))/B3224,0)</f>
        <v/>
      </c>
    </row>
    <row r="3230">
      <c r="A3230" t="inlineStr">
        <is>
          <t>Boss-Only Total DPS (this block's swept value)</t>
        </is>
      </c>
      <c r="B3230">
        <f>SUM(T3192:T3219)</f>
        <v/>
      </c>
    </row>
    <row r="3231">
      <c r="A3231" t="inlineStr">
        <is>
          <t>Normal-Only Total DPS (this block's swept value)</t>
        </is>
      </c>
      <c r="B3231">
        <f>SUM(V3192:V3219)</f>
        <v/>
      </c>
    </row>
    <row r="3232">
      <c r="A3232" s="6" t="inlineStr">
        <is>
          <t>TOTAL DPS</t>
        </is>
      </c>
      <c r="B3232" s="6">
        <f>SUM(O3192:O3219)</f>
        <v/>
      </c>
    </row>
    <row r="3235">
      <c r="A3235" s="6" t="inlineStr">
        <is>
          <t>Stat: CDR = 4.5s</t>
        </is>
      </c>
    </row>
    <row r="3236">
      <c r="A3236" s="5" t="inlineStr">
        <is>
          <t>Key</t>
        </is>
      </c>
      <c r="B3236" s="5" t="inlineStr">
        <is>
          <t>Name</t>
        </is>
      </c>
      <c r="C3236" s="5" t="inlineStr">
        <is>
          <t>Unlocked</t>
        </is>
      </c>
      <c r="D3236" s="5" t="inlineStr">
        <is>
          <t>InputLevel</t>
        </is>
      </c>
      <c r="E3236" s="5" t="inlineStr">
        <is>
          <t>Factor</t>
        </is>
      </c>
      <c r="F3236" s="5" t="inlineStr">
        <is>
          <t>CoefficientPercent</t>
        </is>
      </c>
      <c r="G3236" s="5" t="inlineStr">
        <is>
          <t>EffectiveHits</t>
        </is>
      </c>
      <c r="H3236" s="5" t="inlineStr">
        <is>
          <t>ProcProbability</t>
        </is>
      </c>
      <c r="I3236" s="5" t="inlineStr">
        <is>
          <t>MapleHeroMultiplier</t>
        </is>
      </c>
      <c r="J3236" s="5" t="inlineStr">
        <is>
          <t>BaseDamage</t>
        </is>
      </c>
      <c r="K3236" s="5" t="inlineStr">
        <is>
          <t>BaseHitDamage</t>
        </is>
      </c>
      <c r="L3236" s="5" t="inlineStr">
        <is>
          <t>NonCritAvg</t>
        </is>
      </c>
      <c r="M3236" s="5" t="inlineStr">
        <is>
          <t>CritAvg</t>
        </is>
      </c>
      <c r="N3236" s="5" t="inlineStr">
        <is>
          <t>ExpectedDamage(perHit)</t>
        </is>
      </c>
      <c r="O3236" s="5" t="inlineStr">
        <is>
          <t>DPS</t>
        </is>
      </c>
      <c r="P3236" s="5" t="inlineStr">
        <is>
          <t>% of Total</t>
        </is>
      </c>
      <c r="Q3236" s="5" t="inlineStr">
        <is>
          <t>InvCooldown</t>
        </is>
      </c>
      <c r="R3236" s="5" t="inlineStr">
        <is>
          <t>CastsInFight</t>
        </is>
      </c>
      <c r="S3236" s="5" t="inlineStr">
        <is>
          <t>HitRate(perSec)</t>
        </is>
      </c>
      <c r="U3236" t="inlineStr">
        <is>
          <t>helpers</t>
        </is>
      </c>
    </row>
    <row r="3237">
      <c r="A3237">
        <f>Skills!A2</f>
        <v/>
      </c>
      <c r="B3237">
        <f>Skills!B2</f>
        <v/>
      </c>
      <c r="C3237">
        <f>Inputs!$B$3&gt;=100</f>
        <v/>
      </c>
      <c r="D3237" t="inlineStr"/>
      <c r="E3237" t="inlineStr"/>
      <c r="F3237">
        <f>U3239+Skills!O2</f>
        <v/>
      </c>
      <c r="G3237">
        <f>Skills!G2*IF(Skills!H2&gt;0,Skills!I2/Skills!H2,1)</f>
        <v/>
      </c>
      <c r="H3237">
        <f>1-(1-Skills!J2/100)^Skills!K2</f>
        <v/>
      </c>
      <c r="I3237" t="inlineStr">
        <is>
          <t>1</t>
        </is>
      </c>
      <c r="J3237">
        <f>((Inputs!$B$6*(1+Inputs!$B$7/100))+(((Inputs!$B$12*(1+Inputs!$B$13/100))-(Inputs!$B$12*(1+Inputs!$B$13/100)))+0.25*(Inputs!$B$14-Inputs!$B$14))*(1+Inputs!$B$7/100))*(F3237/100)</f>
        <v/>
      </c>
      <c r="K3237">
        <f>J3237*(1+((Inputs!$B$12*(1+Inputs!$B$13/100))*0.01+Inputs!$B$14*0.0025)/100)*(1+Inputs!$B$15/100)*(1+Inputs!$B$16/100)*(5000/(6000+Inputs!$B$42*(1-(100*(1-(1-(Inputs!$B$19+0)/100)*(1-CHOOSE(ArtifactsInput!$N$40+1,5,6,7,8,9,10)/100)^(ArtifactsInput!$M$40-ArtifactsInput!$M$40)))/100)))*(1+(Inputs!$B$24+((C3259=TRUE)*(F3259-Calc!F24))+((C3260=TRUE)*(F3260-Calc!F25))+B3273)/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EMPOWERED_PIERCING_ARROW",Inputs!$B$17+((C3257=TRUE)*(F3257-Calc!F22))+(((IF(AND(ArtifactsInput!$M$42,((Inputs!$B$9+((C3254=TRUE)*(F3254-Calc!F19))+B3267+(ArtifactsInput!$M$24-ArtifactsInput!$M$24)*CHOOSE(ArtifactsInput!$N$24+1,10,12,14,16,18,20)+IF(ArtifactsInput!$M$10,CHOOSE(ArtifactsInput!$N$10+1,15,18,21,24,27,30)*(IF(Inputs!$B$38="pvp",MIN(15,15)/15,IF(AND(Inputs!$B$38&lt;&gt;"pvp",Inputs!$B$43&gt;0),MIN(15,Inputs!$B$43)/(Inputs!$B$43),0))),0)))&gt;=100),MIN(100,((Inputs!$B$9+((C3254=TRUE)*(F3254-Calc!F19))+B3267+(ArtifactsInput!$M$24-ArtifactsInput!$M$24)*CHOOSE(ArtifactsInput!$N$24+1,10,12,14,16,18,20)+IF(ArtifactsInput!$M$10,CHOOSE(ArtifactsInput!$N$10+1,15,18,21,24,27,30)*(IF(Inputs!$B$38="pvp",MIN(15,15)/15,IF(AND(Inputs!$B$38&lt;&gt;"pvp",Inputs!$B$43&gt;0),MIN(15,Inputs!$B$43)/(Inputs!$B$43),0))),0)))-100),0))*CHOOSE(ArtifactsInput!$N$42+1,0.6,0.72,0.84,0.96,1.08,1.2))),Inputs!$B$18+((C3262=TRUE)*(F3262-Calc!F27))+(IF(AND(ArtifactsInput!$M$42,((Inputs!$B$9+((C3254=TRUE)*(F3254-Calc!F19))+B3267+(ArtifactsInput!$M$24-ArtifactsInput!$M$24)*CHOOSE(ArtifactsInput!$N$24+1,10,12,14,16,18,20)+IF(ArtifactsInput!$M$10,CHOOSE(ArtifactsInput!$N$10+1,15,18,21,24,27,30)*(IF(Inputs!$B$38="pvp",MIN(15,15)/15,IF(AND(Inputs!$B$38&lt;&gt;"pvp",Inputs!$B$43&gt;0),MIN(15,Inputs!$B$43)/(Inputs!$B$43),0))),0)))&gt;=100),CHOOSE(ArtifactsInput!$N$42+1,40,48,56,64,72,80),0))))/100)*((1+(((C3248=TRUE)*F3248)+((C3249=TRUE)*IF(Inputs!$B$38="pvp",F3249,(1-Summary!$B$11)*(F3249)+Summary!$B$11*(0)))+((C3250=TRUE)*F3250*IF(AND(Inputs!$B$38&lt;&gt;"pvp",Inputs!$B$43&gt;0),(((R3250-1)*(Skills!T15*(1+Inputs!$B$34/100))+MIN((Skills!T15*(1+Inputs!$B$34/100)),MAX(0,Inputs!$B$43-((R3250-1)*Skills!D15))))/Inputs!$B$43),IF(Inputs!$B$38="pvp",MIN((Skills!T15*(1+Inputs!$B$34/100)),15)/15,(Skills!T15*(1+Inputs!$B$34/100))/Skills!D15)))+((C3247=TRUE)*F3247)+((C3264=TRUE)*(F3264-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3237)</f>
        <v/>
      </c>
      <c r="L3237">
        <f>K3237*(MIN(Inputs!$B$22+((C3258=TRUE)*(F3258-Calc!F23)),(Inputs!$B$23+((C3263=TRUE)*(F3263-Calc!F28))+(IF(ArtifactsInput!$M$15,CHOOSE(ArtifactsInput!$N$15+1,25,30,35,40,45,50)/100*(Inputs!$B$11-Inputs!$B$11),0))))/100+(Inputs!$B$23+((C3263=TRUE)*(F3263-Calc!F28))+(IF(ArtifactsInput!$M$15,CHOOSE(ArtifactsInput!$N$15+1,25,30,35,40,45,50)/100*(Inputs!$B$11-Inputs!$B$11),0)))/100)/2</f>
        <v/>
      </c>
      <c r="M3237">
        <f>L3237*(1+(Inputs!$B$10+0+B3272+(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237">
        <f>L3237*(1-MIN((Inputs!$B$9+((C3254=TRUE)*(F3254-Calc!F19))+B3267+(ArtifactsInput!$M$24-ArtifactsInput!$M$24)*CHOOSE(ArtifactsInput!$N$24+1,10,12,14,16,18,20)+(IF(AND(ArtifactsInput!$M$42,((Inputs!$B$9+((C3254=TRUE)*(F3254-Calc!F19))+B3267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3237*(MIN((Inputs!$B$9+((C3254=TRUE)*(F3254-Calc!F19))+B3267+(ArtifactsInput!$M$24-ArtifactsInput!$M$24)*CHOOSE(ArtifactsInput!$N$24+1,10,12,14,16,18,20)+(IF(AND(ArtifactsInput!$M$42,((Inputs!$B$9+((C3254=TRUE)*(F3254-Calc!F19))+B3267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237">
        <f>(1-Summary!$B$11)*T3237+Summary!$B$11*V3237</f>
        <v/>
      </c>
      <c r="P3237">
        <f>IF(B3277=0,0,O3237/B3277)</f>
        <v/>
      </c>
      <c r="Q3237" t="n">
        <v>0</v>
      </c>
      <c r="R3237" t="n">
        <v>0</v>
      </c>
      <c r="S3237">
        <f>IFERROR((Skills!G2*N3237*B3271)/N3237*IF(Inputs!$B$38="pvp",1,(1-Summary!$B$11)*1+Summary!$B$11*(MIN((6+Inputs!$B$33),Inputs!$B$37))),0)</f>
        <v/>
      </c>
      <c r="T3237">
        <f>IF(C3237,(Skills!G2*N3237*B3271)*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Hunt"),CHOOSE(ArtifactsInput!$N$35+1,15,18,21,24,27,30)*(1-EXP(-(0.2*B3269)*5)),0)+IF(AND(ArtifactsInput!$M$22,Inputs!$B$4&lt;&gt;"Chapter Hunt"),CHOOSE(ArtifactsInput!$N$22+1,10,12,14,16,18,20)*((0*(((0.15*B3269*5))^0/1)+1*(((0.15*B3269*5))^1/1)+2*(((0.15*B3269*5))^2/2)+3*(((0.15*B3269*5))^3/6)+4*(((0.15*B3269*5))^4/24)+5*(((0.15*B3269*5))^5/120))/((((0.15*B3269*5))^0/1)+(((0.15*B3269*5))^1/1)+(((0.15*B3269*5))^2/2)+(((0.15*B3269*5))^3/6)+(((0.15*B3269*5))^4/24)+(((0.15*B3269*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3237*(1-MIN(100,(Inputs!$B$9+((C3254=TRUE)*(F3254-Calc!F19))+B3267+(ArtifactsInput!$M$24-ArtifactsInput!$M$24)*CHOOSE(ArtifactsInput!$N$24+1,10,12,14,16,18,20)+(IF(AND(ArtifactsInput!$M$42,((Inputs!$B$9+((C3254=TRUE)*(F3254-Calc!F19))+B3267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3237*(MIN(100,(Inputs!$B$9+((C3254=TRUE)*(F3254-Calc!F19))+B3267+(ArtifactsInput!$M$24-ArtifactsInput!$M$24)*CHOOSE(ArtifactsInput!$N$24+1,10,12,14,16,18,20)+(IF(AND(ArtifactsInput!$M$42,((Inputs!$B$9+((C3254=TRUE)*(F3254-Calc!F19))+B3267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3237*(1-MIN(100,(Inputs!$B$9+((C3254=TRUE)*(F3254-Calc!F19))+B3267+(ArtifactsInput!$M$24-ArtifactsInput!$M$24)*CHOOSE(ArtifactsInput!$N$24+1,10,12,14,16,18,20)+(IF(AND(ArtifactsInput!$M$42,((Inputs!$B$9+((C3254=TRUE)*(F3254-Calc!F19))+B3267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3237*(MIN(100,(Inputs!$B$9+((C3254=TRUE)*(F3254-Calc!F19))+B3267+(ArtifactsInput!$M$24-ArtifactsInput!$M$24)*CHOOSE(ArtifactsInput!$N$24+1,10,12,14,16,18,20)+(IF(AND(ArtifactsInput!$M$42,((Inputs!$B$9+((C3254=TRUE)*(F3254-Calc!F19))+B3267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3237">
        <f>MAX(0,(Inputs!$B$3-100)*3)+Inputs!$B$28+Inputs!$B$29</f>
        <v/>
      </c>
      <c r="V3237">
        <f>IF(C3237,(Skills!G2*N3237*B3271)*IF(Inputs!$B$38="pvp",1,(1+(Inputs!$B$21+Skills!Q2+(IF(ArtifactsInput!$M$33,CHOOSE(ArtifactsInput!$N$33+1,30,36,42,48,54,60),0))+(IF(AND(ArtifactsInput!$M$35,Inputs!$B$4&lt;&gt;"Chapter Hunt"),CHOOSE(ArtifactsInput!$N$35+1,15,18,21,24,27,30)*(1-EXP(-(0.2*B3269)*5)),0)+IF(AND(ArtifactsInput!$M$22,Inputs!$B$4&lt;&gt;"Chapter Hunt"),CHOOSE(ArtifactsInput!$N$22+1,10,12,14,16,18,20)*((0*(((0.15*B3269*5))^0/1)+1*(((0.15*B3269*5))^1/1)+2*(((0.15*B3269*5))^2/2)+3*(((0.15*B3269*5))^3/6)+4*(((0.15*B3269*5))^4/24)+5*(((0.15*B3269*5))^5/120))/((((0.15*B3269*5))^0/1)+(((0.15*B3269*5))^1/1)+(((0.15*B3269*5))^2/2)+(((0.15*B3269*5))^3/6)+(((0.15*B3269*5))^4/24)+(((0.15*B3269*5))^5/120)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238">
      <c r="A3238">
        <f>Skills!A3</f>
        <v/>
      </c>
      <c r="B3238">
        <f>Skills!B3</f>
        <v/>
      </c>
      <c r="C3238">
        <f>Inputs!$B$3&gt;=50</f>
        <v/>
      </c>
      <c r="D3238">
        <f>IF(Skills!C3=1,60+Inputs!$B$25+Inputs!$B$29,IF(Skills!C3=2,90+Inputs!$B$26+Inputs!$B$29,IF(Skills!C3=3,120+Inputs!$B$27+Inputs!$B$29,MAX(0,(Inputs!$B$3-100)*3)+Inputs!$B$28+Inputs!$B$29)))</f>
        <v/>
      </c>
      <c r="E3238">
        <f>INDEX(FactorTable!$B$2:$Y$301, MATCH(ROUND(MIN(300,MAX(1,D3238)),0), FactorTable!$A$2:$A$301,0), Skills!M3+1)</f>
        <v/>
      </c>
      <c r="F3238">
        <f>IF(Skills!N3=TRUE,(Skills!L3/10)*(E3238/1000),Skills!L3/10)+Skills!O3</f>
        <v/>
      </c>
      <c r="G3238" t="inlineStr"/>
      <c r="H3238" t="inlineStr"/>
      <c r="I3238" t="inlineStr">
        <is>
          <t>1</t>
        </is>
      </c>
      <c r="J3238" t="inlineStr"/>
      <c r="K3238" t="inlineStr"/>
      <c r="L3238" t="inlineStr"/>
      <c r="M3238" t="inlineStr"/>
      <c r="N3238" t="inlineStr"/>
      <c r="O3238" t="inlineStr"/>
      <c r="P3238" t="inlineStr"/>
      <c r="Q3238" t="inlineStr"/>
      <c r="R3238" t="inlineStr"/>
      <c r="S3238" t="inlineStr"/>
      <c r="T3238" t="inlineStr"/>
      <c r="U3238">
        <f>INDEX(FactorTable!$B$2:$Y$301, MATCH(ROUND(MIN(300,MAX(1,U3237)),0), FactorTable!$A$2:$A$301,0), 22)</f>
        <v/>
      </c>
      <c r="V3238" t="inlineStr"/>
    </row>
    <row r="3239">
      <c r="A3239">
        <f>Skills!A4</f>
        <v/>
      </c>
      <c r="B3239">
        <f>Skills!B4</f>
        <v/>
      </c>
      <c r="C3239">
        <f>Inputs!$B$3&gt;=105</f>
        <v/>
      </c>
      <c r="D3239">
        <f>IF(Skills!C4=1,60+Inputs!$B$25+Inputs!$B$29,IF(Skills!C4=2,90+Inputs!$B$26+Inputs!$B$29,IF(Skills!C4=3,120+Inputs!$B$27+Inputs!$B$29,MAX(0,(Inputs!$B$3-100)*3)+Inputs!$B$28+Inputs!$B$29)))</f>
        <v/>
      </c>
      <c r="E3239">
        <f>INDEX(FactorTable!$B$2:$Y$301, MATCH(ROUND(MIN(300,MAX(1,D3239)),0), FactorTable!$A$2:$A$301,0), Skills!M4+1)</f>
        <v/>
      </c>
      <c r="F3239">
        <f>IF(Skills!N4=TRUE,(Skills!L4/10)*(E3239/1000),Skills!L4/10)+Skills!O4</f>
        <v/>
      </c>
      <c r="G3239" t="inlineStr"/>
      <c r="H3239" t="inlineStr"/>
      <c r="I3239" t="inlineStr">
        <is>
          <t>1</t>
        </is>
      </c>
      <c r="J3239" t="inlineStr"/>
      <c r="K3239" t="inlineStr"/>
      <c r="L3239" t="inlineStr"/>
      <c r="M3239" t="inlineStr"/>
      <c r="N3239" t="inlineStr"/>
      <c r="O3239" t="inlineStr"/>
      <c r="P3239" t="inlineStr"/>
      <c r="Q3239" t="inlineStr"/>
      <c r="R3239" t="inlineStr"/>
      <c r="S3239" t="inlineStr"/>
      <c r="T3239" t="inlineStr"/>
      <c r="U3239">
        <f>290*U3238/1000</f>
        <v/>
      </c>
      <c r="V3239" t="inlineStr"/>
    </row>
    <row r="3240">
      <c r="A3240">
        <f>Skills!A5</f>
        <v/>
      </c>
      <c r="B3240">
        <f>Skills!B5</f>
        <v/>
      </c>
      <c r="C3240">
        <f>Inputs!$B$3&gt;=35</f>
        <v/>
      </c>
      <c r="D3240">
        <f>IF(Skills!C5=1,60+Inputs!$B$25+Inputs!$B$29,IF(Skills!C5=2,90+Inputs!$B$26+Inputs!$B$29,IF(Skills!C5=3,120+Inputs!$B$27+Inputs!$B$29,MAX(0,(Inputs!$B$3-100)*3)+Inputs!$B$28+Inputs!$B$29)))</f>
        <v/>
      </c>
      <c r="E3240">
        <f>INDEX(FactorTable!$B$2:$Y$301, MATCH(ROUND(MIN(300,MAX(1,D3240)),0), FactorTable!$A$2:$A$301,0), Skills!M5+1)</f>
        <v/>
      </c>
      <c r="F3240">
        <f>IF(Skills!N5=TRUE,(Skills!L5/10)*(E3240/1000),Skills!L5/10)+Skills!O5</f>
        <v/>
      </c>
      <c r="G3240">
        <f>Skills!G5*IF(Skills!H5&gt;0,Skills!I5/Skills!H5,1)</f>
        <v/>
      </c>
      <c r="H3240">
        <f>1-(1-Skills!J5/100)^Skills!K5</f>
        <v/>
      </c>
      <c r="I3240" t="inlineStr">
        <is>
          <t>1</t>
        </is>
      </c>
      <c r="J3240">
        <f>((Inputs!$B$6*(1+Inputs!$B$7/100))+(((Inputs!$B$12*(1+Inputs!$B$13/100))-(Inputs!$B$12*(1+Inputs!$B$13/100)))+0.25*(Inputs!$B$14-Inputs!$B$14))*(1+Inputs!$B$7/100))*(F3240/100)</f>
        <v/>
      </c>
      <c r="K3240">
        <f>J3240*(1+((Inputs!$B$12*(1+Inputs!$B$13/100))*0.01+Inputs!$B$14*0.0025)/100)*(1+Inputs!$B$15/100)*(1+Inputs!$B$16/100)*(5000/(6000+Inputs!$B$42*(1-(100*(1-(1-(Inputs!$B$19+0)/100)*(1-CHOOSE(ArtifactsInput!$N$40+1,5,6,7,8,9,10)/100)^(ArtifactsInput!$M$40-ArtifactsInput!$M$40)))/100)))*(1+(Inputs!$B$24+((C3259=TRUE)*(F3259-Calc!F24))+((C3260=TRUE)*(F3260-Calc!F25))+B3273)/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3243=TRUE,F3243,0)/100)*(1+(IF(Skills!A5="EMPOWERED_PIERCING_ARROW",Inputs!$B$17+((C3257=TRUE)*(F3257-Calc!F22))+(((IF(AND(ArtifactsInput!$M$42,((Inputs!$B$9+((C3254=TRUE)*(F3254-Calc!F19))+B3267+(ArtifactsInput!$M$24-ArtifactsInput!$M$24)*CHOOSE(ArtifactsInput!$N$24+1,10,12,14,16,18,20)+IF(ArtifactsInput!$M$10,CHOOSE(ArtifactsInput!$N$10+1,15,18,21,24,27,30)*(IF(Inputs!$B$38="pvp",MIN(15,15)/15,IF(AND(Inputs!$B$38&lt;&gt;"pvp",Inputs!$B$43&gt;0),MIN(15,Inputs!$B$43)/(Inputs!$B$43),0))),0)))&gt;=100),MIN(100,((Inputs!$B$9+((C3254=TRUE)*(F3254-Calc!F19))+B3267+(ArtifactsInput!$M$24-ArtifactsInput!$M$24)*CHOOSE(ArtifactsInput!$N$24+1,10,12,14,16,18,20)+IF(ArtifactsInput!$M$10,CHOOSE(ArtifactsInput!$N$10+1,15,18,21,24,27,30)*(IF(Inputs!$B$38="pvp",MIN(15,15)/15,IF(AND(Inputs!$B$38&lt;&gt;"pvp",Inputs!$B$43&gt;0),MIN(15,Inputs!$B$43)/(Inputs!$B$43),0))),0)))-100),0))*CHOOSE(ArtifactsInput!$N$42+1,0.6,0.72,0.84,0.96,1.08,1.2))),Inputs!$B$18+((C3262=TRUE)*(F3262-Calc!F27))+(IF(AND(ArtifactsInput!$M$42,((Inputs!$B$9+((C3254=TRUE)*(F3254-Calc!F19))+B3267+(ArtifactsInput!$M$24-ArtifactsInput!$M$24)*CHOOSE(ArtifactsInput!$N$24+1,10,12,14,16,18,20)+IF(ArtifactsInput!$M$10,CHOOSE(ArtifactsInput!$N$10+1,15,18,21,24,27,30)*(IF(Inputs!$B$38="pvp",MIN(15,15)/15,IF(AND(Inputs!$B$38&lt;&gt;"pvp",Inputs!$B$43&gt;0),MIN(15,Inputs!$B$43)/(Inputs!$B$43),0))),0)))&gt;=100),CHOOSE(ArtifactsInput!$N$42+1,40,48,56,64,72,80),0))))/100)*((1+(((C3248=TRUE)*F3248)+((C3249=TRUE)*IF(Inputs!$B$38="pvp",F3249,(1-Summary!$B$11)*(F3249)+Summary!$B$11*(0)))+((C3250=TRUE)*F3250*IF(AND(Inputs!$B$38&lt;&gt;"pvp",Inputs!$B$43&gt;0),(((R3250-1)*(Skills!T15*(1+Inputs!$B$34/100))+MIN((Skills!T15*(1+Inputs!$B$34/100)),MAX(0,Inputs!$B$43-((R3250-1)*Skills!D15))))/Inputs!$B$43),IF(Inputs!$B$38="pvp",MIN((Skills!T15*(1+Inputs!$B$34/100)),15)/15,(Skills!T15*(1+Inputs!$B$34/100))/Skills!D15)))+((C3247=TRUE)*F3247)+((C3264=TRUE)*(F3264-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3240)</f>
        <v/>
      </c>
      <c r="L3240">
        <f>K3240*(MIN(Inputs!$B$22+((C3258=TRUE)*(F3258-Calc!F23)),(Inputs!$B$23+((C3263=TRUE)*(F3263-Calc!F28))+(IF(ArtifactsInput!$M$15,CHOOSE(ArtifactsInput!$N$15+1,25,30,35,40,45,50)/100*(Inputs!$B$11-Inputs!$B$11),0))))/100+(Inputs!$B$23+((C3263=TRUE)*(F3263-Calc!F28))+(IF(ArtifactsInput!$M$15,CHOOSE(ArtifactsInput!$N$15+1,25,30,35,40,45,50)/100*(Inputs!$B$11-Inputs!$B$11),0)))/100)/2</f>
        <v/>
      </c>
      <c r="M3240">
        <f>L3240*(1+(Inputs!$B$10+0+B3272+(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240">
        <f>L3240*(1-MIN((Inputs!$B$9+((C3254=TRUE)*(F3254-Calc!F19))+B3267+(ArtifactsInput!$M$24-ArtifactsInput!$M$24)*CHOOSE(ArtifactsInput!$N$24+1,10,12,14,16,18,20)+(IF(AND(ArtifactsInput!$M$42,((Inputs!$B$9+((C3254=TRUE)*(F3254-Calc!F19))+B3267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3240*(MIN((Inputs!$B$9+((C3254=TRUE)*(F3254-Calc!F19))+B3267+(ArtifactsInput!$M$24-ArtifactsInput!$M$24)*CHOOSE(ArtifactsInput!$N$24+1,10,12,14,16,18,20)+(IF(AND(ArtifactsInput!$M$42,((Inputs!$B$9+((C3254=TRUE)*(F3254-Calc!F19))+B3267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240">
        <f>(1-Summary!$B$11)*T3240+Summary!$B$11*V3240</f>
        <v/>
      </c>
      <c r="P3240">
        <f>IF(B3277=0,0,O3240/B3277)</f>
        <v/>
      </c>
      <c r="Q3240">
        <f>IFERROR(1/IF(Inputs!$B$38="pvp",15,MAX(0.1,Skills!D5-IF(Skills!E5=TRUE,4.5,0))),0)</f>
        <v/>
      </c>
      <c r="R3240">
        <f>IF(AND(Inputs!$B$38&lt;&gt;"pvp",Inputs!$B$43&gt;0),IF(MAX(0,Inputs!$B$43-B3274)&lt;=0,0,(INT(MAX(0,Inputs!$B$43-B3274)/IF(Inputs!$B$38="pvp",15,MAX(0.1,Skills!D5-IF(Skills!E5=TRUE,4.5,0))))+1)),0)</f>
        <v/>
      </c>
      <c r="S3240">
        <f>IFERROR((H3240*N3240*IF(AND(Inputs!$B$38&lt;&gt;"pvp",Inputs!$B$43&gt;0),((Skills!G5*((R3240-1)*IF(Skills!H5&gt;0,Skills!I5/Skills!H5,1)+IF(Skills!H5&gt;0,MIN(Skills!I5,MAX(0,MAX(0,Inputs!$B$43-B3274)-((R3240-1)*IF(Inputs!$B$38="pvp",15,MAX(0.1,Skills!D5-IF(Skills!E5=TRUE,4.5,0))))))/Skills!H5,1)))/Inputs!$B$43),G3240*Q3240))/N3240*IF(Inputs!$B$38="pvp",1,(1-Summary!$B$11)*1+Summary!$B$11*(MIN(Skills!R5,Inputs!$B$37))),0)</f>
        <v/>
      </c>
      <c r="T3240">
        <f>IF(C3240,(H3240*N3240*IF(AND(Inputs!$B$38&lt;&gt;"pvp",Inputs!$B$43&gt;0),((Skills!G5*((R3240-1)*IF(Skills!H5&gt;0,Skills!I5/Skills!H5,1)+IF(Skills!H5&gt;0,MIN(Skills!I5,MAX(0,MAX(0,Inputs!$B$43-B3274)-((R3240-1)*IF(Inputs!$B$38="pvp",15,MAX(0.1,Skills!D5-IF(Skills!E5=TRUE,4.5,0))))))/Skills!H5,1)))/Inputs!$B$43),G3240*Q3240))*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Hunt"),CHOOSE(ArtifactsInput!$N$35+1,15,18,21,24,27,30)*(1-EXP(-(0.2*B3269)*5)),0)+IF(AND(ArtifactsInput!$M$22,Inputs!$B$4&lt;&gt;"Chapter Hunt"),CHOOSE(ArtifactsInput!$N$22+1,10,12,14,16,18,20)*((0*(((0.15*B3269*5))^0/1)+1*(((0.15*B3269*5))^1/1)+2*(((0.15*B3269*5))^2/2)+3*(((0.15*B3269*5))^3/6)+4*(((0.15*B3269*5))^4/24)+5*(((0.15*B3269*5))^5/120))/((((0.15*B3269*5))^0/1)+(((0.15*B3269*5))^1/1)+(((0.15*B3269*5))^2/2)+(((0.15*B3269*5))^3/6)+(((0.15*B3269*5))^4/24)+(((0.15*B3269*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3240*(1-MIN(100,(Inputs!$B$9+((C3254=TRUE)*(F3254-Calc!F19))+B3267+(ArtifactsInput!$M$24-ArtifactsInput!$M$24)*CHOOSE(ArtifactsInput!$N$24+1,10,12,14,16,18,20)+(IF(AND(ArtifactsInput!$M$42,((Inputs!$B$9+((C3254=TRUE)*(F3254-Calc!F19))+B3267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3240*(MIN(100,(Inputs!$B$9+((C3254=TRUE)*(F3254-Calc!F19))+B3267+(ArtifactsInput!$M$24-ArtifactsInput!$M$24)*CHOOSE(ArtifactsInput!$N$24+1,10,12,14,16,18,20)+(IF(AND(ArtifactsInput!$M$42,((Inputs!$B$9+((C3254=TRUE)*(F3254-Calc!F19))+B3267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3240*(1-MIN(100,(Inputs!$B$9+((C3254=TRUE)*(F3254-Calc!F19))+B3267+(ArtifactsInput!$M$24-ArtifactsInput!$M$24)*CHOOSE(ArtifactsInput!$N$24+1,10,12,14,16,18,20)+(IF(AND(ArtifactsInput!$M$42,((Inputs!$B$9+((C3254=TRUE)*(F3254-Calc!F19))+B3267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3240*(MIN(100,(Inputs!$B$9+((C3254=TRUE)*(F3254-Calc!F19))+B3267+(ArtifactsInput!$M$24-ArtifactsInput!$M$24)*CHOOSE(ArtifactsInput!$N$24+1,10,12,14,16,18,20)+(IF(AND(ArtifactsInput!$M$42,((Inputs!$B$9+((C3254=TRUE)*(F3254-Calc!F19))+B3267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240">
        <f>IF(C3240,(H3240*N3240*IF(AND(Inputs!$B$38&lt;&gt;"pvp",Inputs!$B$43&gt;0),((Skills!G5*((R3240-1)*IF(Skills!H5&gt;0,Skills!I5/Skills!H5,1)+IF(Skills!H5&gt;0,MIN(Skills!I5,MAX(0,MAX(0,Inputs!$B$43-B3274)-((R3240-1)*IF(Inputs!$B$38="pvp",15,MAX(0.1,Skills!D5-IF(Skills!E5=TRUE,4.5,0))))))/Skills!H5,1)))/Inputs!$B$43),G3240*Q3240))*IF(Inputs!$B$38="pvp",1,(1+(Inputs!$B$21+Skills!Q5+(IF(ArtifactsInput!$M$33,CHOOSE(ArtifactsInput!$N$33+1,30,36,42,48,54,60),0))+(IF(AND(ArtifactsInput!$M$35,Inputs!$B$4&lt;&gt;"Chapter Hunt"),CHOOSE(ArtifactsInput!$N$35+1,15,18,21,24,27,30)*(1-EXP(-(0.2*B3269)*5)),0)+IF(AND(ArtifactsInput!$M$22,Inputs!$B$4&lt;&gt;"Chapter Hunt"),CHOOSE(ArtifactsInput!$N$22+1,10,12,14,16,18,20)*((0*(((0.15*B3269*5))^0/1)+1*(((0.15*B3269*5))^1/1)+2*(((0.15*B3269*5))^2/2)+3*(((0.15*B3269*5))^3/6)+4*(((0.15*B3269*5))^4/24)+5*(((0.15*B3269*5))^5/120))/((((0.15*B3269*5))^0/1)+(((0.15*B3269*5))^1/1)+(((0.15*B3269*5))^2/2)+(((0.15*B3269*5))^3/6)+(((0.15*B3269*5))^4/24)+(((0.15*B3269*5))^5/120)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241">
      <c r="A3241">
        <f>Skills!A6</f>
        <v/>
      </c>
      <c r="B3241">
        <f>Skills!B6</f>
        <v/>
      </c>
      <c r="C3241">
        <f>Inputs!$B$3&gt;=63</f>
        <v/>
      </c>
      <c r="D3241">
        <f>IF(Skills!C6=1,60+Inputs!$B$25+Inputs!$B$29,IF(Skills!C6=2,90+Inputs!$B$26+Inputs!$B$29,IF(Skills!C6=3,120+Inputs!$B$27+Inputs!$B$29,MAX(0,(Inputs!$B$3-100)*3)+Inputs!$B$28+Inputs!$B$29)))</f>
        <v/>
      </c>
      <c r="E3241">
        <f>INDEX(FactorTable!$B$2:$Y$301, MATCH(ROUND(MIN(300,MAX(1,D3241)),0), FactorTable!$A$2:$A$301,0), Skills!M6+1)</f>
        <v/>
      </c>
      <c r="F3241">
        <f>IF(Skills!N6=TRUE,(Skills!L6/10)*(E3241/1000),Skills!L6/10)+Skills!O6</f>
        <v/>
      </c>
      <c r="G3241">
        <f>Skills!G6*IF(Skills!H6&gt;0,Skills!I6/Skills!H6,1)</f>
        <v/>
      </c>
      <c r="H3241">
        <f>1-(1-Skills!J6/100)^Skills!K6</f>
        <v/>
      </c>
      <c r="I3241" t="inlineStr">
        <is>
          <t>1</t>
        </is>
      </c>
      <c r="J3241">
        <f>((Inputs!$B$6*(1+Inputs!$B$7/100))+(((Inputs!$B$12*(1+Inputs!$B$13/100))-(Inputs!$B$12*(1+Inputs!$B$13/100)))+0.25*(Inputs!$B$14-Inputs!$B$14))*(1+Inputs!$B$7/100))*(F3241/100)</f>
        <v/>
      </c>
      <c r="K3241">
        <f>J3241*(1+((Inputs!$B$12*(1+Inputs!$B$13/100))*0.01+Inputs!$B$14*0.0025)/100)*(1+Inputs!$B$15/100)*(1+Inputs!$B$16/100)*(5000/(6000+Inputs!$B$42*(1-(100*(1-(1-(Inputs!$B$19+0)/100)*(1-CHOOSE(ArtifactsInput!$N$40+1,5,6,7,8,9,10)/100)^(ArtifactsInput!$M$40-ArtifactsInput!$M$40)))/100)))*(1+(Inputs!$B$24+((C3259=TRUE)*(F3259-Calc!F24))+((C3260=TRUE)*(F3260-Calc!F25))+B3273)/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3243=TRUE,F3243,0)/100)*(1+(IF(Skills!A6="EMPOWERED_PIERCING_ARROW",Inputs!$B$17+((C3257=TRUE)*(F3257-Calc!F22))+(((IF(AND(ArtifactsInput!$M$42,((Inputs!$B$9+((C3254=TRUE)*(F3254-Calc!F19))+B3267+(ArtifactsInput!$M$24-ArtifactsInput!$M$24)*CHOOSE(ArtifactsInput!$N$24+1,10,12,14,16,18,20)+IF(ArtifactsInput!$M$10,CHOOSE(ArtifactsInput!$N$10+1,15,18,21,24,27,30)*(IF(Inputs!$B$38="pvp",MIN(15,15)/15,IF(AND(Inputs!$B$38&lt;&gt;"pvp",Inputs!$B$43&gt;0),MIN(15,Inputs!$B$43)/(Inputs!$B$43),0))),0)))&gt;=100),MIN(100,((Inputs!$B$9+((C3254=TRUE)*(F3254-Calc!F19))+B3267+(ArtifactsInput!$M$24-ArtifactsInput!$M$24)*CHOOSE(ArtifactsInput!$N$24+1,10,12,14,16,18,20)+IF(ArtifactsInput!$M$10,CHOOSE(ArtifactsInput!$N$10+1,15,18,21,24,27,30)*(IF(Inputs!$B$38="pvp",MIN(15,15)/15,IF(AND(Inputs!$B$38&lt;&gt;"pvp",Inputs!$B$43&gt;0),MIN(15,Inputs!$B$43)/(Inputs!$B$43),0))),0)))-100),0))*CHOOSE(ArtifactsInput!$N$42+1,0.6,0.72,0.84,0.96,1.08,1.2))),Inputs!$B$18+((C3262=TRUE)*(F3262-Calc!F27))+(IF(AND(ArtifactsInput!$M$42,((Inputs!$B$9+((C3254=TRUE)*(F3254-Calc!F19))+B3267+(ArtifactsInput!$M$24-ArtifactsInput!$M$24)*CHOOSE(ArtifactsInput!$N$24+1,10,12,14,16,18,20)+IF(ArtifactsInput!$M$10,CHOOSE(ArtifactsInput!$N$10+1,15,18,21,24,27,30)*(IF(Inputs!$B$38="pvp",MIN(15,15)/15,IF(AND(Inputs!$B$38&lt;&gt;"pvp",Inputs!$B$43&gt;0),MIN(15,Inputs!$B$43)/(Inputs!$B$43),0))),0)))&gt;=100),CHOOSE(ArtifactsInput!$N$42+1,40,48,56,64,72,80),0))))/100)*((1+(((C3248=TRUE)*F3248)+((C3249=TRUE)*IF(Inputs!$B$38="pvp",F3249,(1-Summary!$B$11)*(F3249)+Summary!$B$11*(0)))+((C3250=TRUE)*F3250*IF(AND(Inputs!$B$38&lt;&gt;"pvp",Inputs!$B$43&gt;0),(((R3250-1)*(Skills!T15*(1+Inputs!$B$34/100))+MIN((Skills!T15*(1+Inputs!$B$34/100)),MAX(0,Inputs!$B$43-((R3250-1)*Skills!D15))))/Inputs!$B$43),IF(Inputs!$B$38="pvp",MIN((Skills!T15*(1+Inputs!$B$34/100)),15)/15,(Skills!T15*(1+Inputs!$B$34/100))/Skills!D15)))+((C3247=TRUE)*F3247)+((C3264=TRUE)*(F3264-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3241)</f>
        <v/>
      </c>
      <c r="L3241">
        <f>K3241*(MIN(Inputs!$B$22+((C3258=TRUE)*(F3258-Calc!F23)),(Inputs!$B$23+((C3263=TRUE)*(F3263-Calc!F28))+(IF(ArtifactsInput!$M$15,CHOOSE(ArtifactsInput!$N$15+1,25,30,35,40,45,50)/100*(Inputs!$B$11-Inputs!$B$11),0))))/100+(Inputs!$B$23+((C3263=TRUE)*(F3263-Calc!F28))+(IF(ArtifactsInput!$M$15,CHOOSE(ArtifactsInput!$N$15+1,25,30,35,40,45,50)/100*(Inputs!$B$11-Inputs!$B$11),0)))/100)/2</f>
        <v/>
      </c>
      <c r="M3241">
        <f>L3241*(1+(Inputs!$B$10+0+B3272+(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241">
        <f>L3241*(1-MIN((Inputs!$B$9+((C3254=TRUE)*(F3254-Calc!F19))+B3267+(ArtifactsInput!$M$24-ArtifactsInput!$M$24)*CHOOSE(ArtifactsInput!$N$24+1,10,12,14,16,18,20)+(IF(AND(ArtifactsInput!$M$42,((Inputs!$B$9+((C3254=TRUE)*(F3254-Calc!F19))+B3267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3241*(MIN((Inputs!$B$9+((C3254=TRUE)*(F3254-Calc!F19))+B3267+(ArtifactsInput!$M$24-ArtifactsInput!$M$24)*CHOOSE(ArtifactsInput!$N$24+1,10,12,14,16,18,20)+(IF(AND(ArtifactsInput!$M$42,((Inputs!$B$9+((C3254=TRUE)*(F3254-Calc!F19))+B3267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241">
        <f>(1-Summary!$B$11)*T3241+Summary!$B$11*V3241</f>
        <v/>
      </c>
      <c r="P3241">
        <f>IF(B3277=0,0,O3241/B3277)</f>
        <v/>
      </c>
      <c r="Q3241">
        <f>IFERROR(1/IF(Inputs!$B$38="pvp",15,MAX(0.1,Skills!D6-IF(Skills!E6=TRUE,4.5,0))),0)</f>
        <v/>
      </c>
      <c r="R3241">
        <f>IF(AND(Inputs!$B$38&lt;&gt;"pvp",Inputs!$B$43&gt;0),IF(MAX(0,Inputs!$B$43-B3274)&lt;=0,0,(INT(MAX(0,Inputs!$B$43-B3274)/IF(Inputs!$B$38="pvp",15,MAX(0.1,Skills!D6-IF(Skills!E6=TRUE,4.5,0))))+1)),0)</f>
        <v/>
      </c>
      <c r="S3241">
        <f>IFERROR((H3241*N3241*IF(AND(Inputs!$B$38&lt;&gt;"pvp",Inputs!$B$43&gt;0),((Skills!G6*((R3241-1)*IF(Skills!H6&gt;0,Skills!I6/Skills!H6,1)+IF(Skills!H6&gt;0,MIN(Skills!I6,MAX(0,MAX(0,Inputs!$B$43-B3274)-((R3241-1)*IF(Inputs!$B$38="pvp",15,MAX(0.1,Skills!D6-IF(Skills!E6=TRUE,4.5,0))))))/Skills!H6,1)))/Inputs!$B$43),G3241*Q3241))/N3241*IF(Inputs!$B$38="pvp",1,(1-Summary!$B$11)*1+Summary!$B$11*(MIN(Skills!R6,Inputs!$B$37))),0)</f>
        <v/>
      </c>
      <c r="T3241">
        <f>IF(C3241,(H3241*N3241*IF(AND(Inputs!$B$38&lt;&gt;"pvp",Inputs!$B$43&gt;0),((Skills!G6*((R3241-1)*IF(Skills!H6&gt;0,Skills!I6/Skills!H6,1)+IF(Skills!H6&gt;0,MIN(Skills!I6,MAX(0,MAX(0,Inputs!$B$43-B3274)-((R3241-1)*IF(Inputs!$B$38="pvp",15,MAX(0.1,Skills!D6-IF(Skills!E6=TRUE,4.5,0))))))/Skills!H6,1)))/Inputs!$B$43),G3241*Q3241))*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Hunt"),CHOOSE(ArtifactsInput!$N$35+1,15,18,21,24,27,30)*(1-EXP(-(0.2*B3269)*5)),0)+IF(AND(ArtifactsInput!$M$22,Inputs!$B$4&lt;&gt;"Chapter Hunt"),CHOOSE(ArtifactsInput!$N$22+1,10,12,14,16,18,20)*((0*(((0.15*B3269*5))^0/1)+1*(((0.15*B3269*5))^1/1)+2*(((0.15*B3269*5))^2/2)+3*(((0.15*B3269*5))^3/6)+4*(((0.15*B3269*5))^4/24)+5*(((0.15*B3269*5))^5/120))/((((0.15*B3269*5))^0/1)+(((0.15*B3269*5))^1/1)+(((0.15*B3269*5))^2/2)+(((0.15*B3269*5))^3/6)+(((0.15*B3269*5))^4/24)+(((0.15*B3269*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3241*(1-MIN(100,(Inputs!$B$9+((C3254=TRUE)*(F3254-Calc!F19))+B3267+(ArtifactsInput!$M$24-ArtifactsInput!$M$24)*CHOOSE(ArtifactsInput!$N$24+1,10,12,14,16,18,20)+(IF(AND(ArtifactsInput!$M$42,((Inputs!$B$9+((C3254=TRUE)*(F3254-Calc!F19))+B3267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3241*(MIN(100,(Inputs!$B$9+((C3254=TRUE)*(F3254-Calc!F19))+B3267+(ArtifactsInput!$M$24-ArtifactsInput!$M$24)*CHOOSE(ArtifactsInput!$N$24+1,10,12,14,16,18,20)+(IF(AND(ArtifactsInput!$M$42,((Inputs!$B$9+((C3254=TRUE)*(F3254-Calc!F19))+B3267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3241*(1-MIN(100,(Inputs!$B$9+((C3254=TRUE)*(F3254-Calc!F19))+B3267+(ArtifactsInput!$M$24-ArtifactsInput!$M$24)*CHOOSE(ArtifactsInput!$N$24+1,10,12,14,16,18,20)+(IF(AND(ArtifactsInput!$M$42,((Inputs!$B$9+((C3254=TRUE)*(F3254-Calc!F19))+B3267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3241*(MIN(100,(Inputs!$B$9+((C3254=TRUE)*(F3254-Calc!F19))+B3267+(ArtifactsInput!$M$24-ArtifactsInput!$M$24)*CHOOSE(ArtifactsInput!$N$24+1,10,12,14,16,18,20)+(IF(AND(ArtifactsInput!$M$42,((Inputs!$B$9+((C3254=TRUE)*(F3254-Calc!F19))+B3267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241">
        <f>IF(C3241,(H3241*N3241*IF(AND(Inputs!$B$38&lt;&gt;"pvp",Inputs!$B$43&gt;0),((Skills!G6*((R3241-1)*IF(Skills!H6&gt;0,Skills!I6/Skills!H6,1)+IF(Skills!H6&gt;0,MIN(Skills!I6,MAX(0,MAX(0,Inputs!$B$43-B3274)-((R3241-1)*IF(Inputs!$B$38="pvp",15,MAX(0.1,Skills!D6-IF(Skills!E6=TRUE,4.5,0))))))/Skills!H6,1)))/Inputs!$B$43),G3241*Q3241))*IF(Inputs!$B$38="pvp",1,(1+(Inputs!$B$21+Skills!Q6+(IF(ArtifactsInput!$M$33,CHOOSE(ArtifactsInput!$N$33+1,30,36,42,48,54,60),0))+(IF(AND(ArtifactsInput!$M$35,Inputs!$B$4&lt;&gt;"Chapter Hunt"),CHOOSE(ArtifactsInput!$N$35+1,15,18,21,24,27,30)*(1-EXP(-(0.2*B3269)*5)),0)+IF(AND(ArtifactsInput!$M$22,Inputs!$B$4&lt;&gt;"Chapter Hunt"),CHOOSE(ArtifactsInput!$N$22+1,10,12,14,16,18,20)*((0*(((0.15*B3269*5))^0/1)+1*(((0.15*B3269*5))^1/1)+2*(((0.15*B3269*5))^2/2)+3*(((0.15*B3269*5))^3/6)+4*(((0.15*B3269*5))^4/24)+5*(((0.15*B3269*5))^5/120))/((((0.15*B3269*5))^0/1)+(((0.15*B3269*5))^1/1)+(((0.15*B3269*5))^2/2)+(((0.15*B3269*5))^3/6)+(((0.15*B3269*5))^4/24)+(((0.15*B3269*5))^5/120))),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242">
      <c r="A3242">
        <f>Skills!A7</f>
        <v/>
      </c>
      <c r="B3242">
        <f>Skills!B7</f>
        <v/>
      </c>
      <c r="C3242">
        <f>Inputs!$B$3&gt;=69</f>
        <v/>
      </c>
      <c r="D3242">
        <f>IF(Skills!C7=1,60+Inputs!$B$25+Inputs!$B$29,IF(Skills!C7=2,90+Inputs!$B$26+Inputs!$B$29,IF(Skills!C7=3,120+Inputs!$B$27+Inputs!$B$29,MAX(0,(Inputs!$B$3-100)*3)+Inputs!$B$28+Inputs!$B$29)))</f>
        <v/>
      </c>
      <c r="E3242">
        <f>INDEX(FactorTable!$B$2:$Y$301, MATCH(ROUND(MIN(300,MAX(1,D3242)),0), FactorTable!$A$2:$A$301,0), Skills!M7+1)</f>
        <v/>
      </c>
      <c r="F3242">
        <f>IF(Skills!N7=TRUE,(Skills!L7/10)*(E3242/1000),Skills!L7/10)+Skills!O7</f>
        <v/>
      </c>
      <c r="G3242">
        <f>Skills!G7*IF(Skills!H7&gt;0,Skills!I7/Skills!H7,1)</f>
        <v/>
      </c>
      <c r="H3242">
        <f>1-(1-Skills!J7/100)^Skills!K7</f>
        <v/>
      </c>
      <c r="I3242" t="inlineStr">
        <is>
          <t>1</t>
        </is>
      </c>
      <c r="J3242">
        <f>((Inputs!$B$6*(1+Inputs!$B$7/100))+(((Inputs!$B$12*(1+Inputs!$B$13/100))-(Inputs!$B$12*(1+Inputs!$B$13/100)))+0.25*(Inputs!$B$14-Inputs!$B$14))*(1+Inputs!$B$7/100))*(F3242/100)</f>
        <v/>
      </c>
      <c r="K3242">
        <f>J3242*(1+((Inputs!$B$12*(1+Inputs!$B$13/100))*0.01+Inputs!$B$14*0.0025)/100)*(1+Inputs!$B$15/100)*(1+Inputs!$B$16/100)*(5000/(6000+Inputs!$B$42*(1-(100*(1-(1-(Inputs!$B$19+0)/100)*(1-CHOOSE(ArtifactsInput!$N$40+1,5,6,7,8,9,10)/100)^(ArtifactsInput!$M$40-ArtifactsInput!$M$40)))/100)))*(1+(Inputs!$B$24+((C3259=TRUE)*(F3259-Calc!F24))+((C3260=TRUE)*(F3260-Calc!F25))+B3273)/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+1.2*IF(C3243=TRUE,F3243,0)/100)*(1+(IF(Skills!A7="EMPOWERED_PIERCING_ARROW",Inputs!$B$17+((C3257=TRUE)*(F3257-Calc!F22))+(((IF(AND(ArtifactsInput!$M$42,((Inputs!$B$9+((C3254=TRUE)*(F3254-Calc!F19))+B3267+(ArtifactsInput!$M$24-ArtifactsInput!$M$24)*CHOOSE(ArtifactsInput!$N$24+1,10,12,14,16,18,20)+IF(ArtifactsInput!$M$10,CHOOSE(ArtifactsInput!$N$10+1,15,18,21,24,27,30)*(IF(Inputs!$B$38="pvp",MIN(15,15)/15,IF(AND(Inputs!$B$38&lt;&gt;"pvp",Inputs!$B$43&gt;0),MIN(15,Inputs!$B$43)/(Inputs!$B$43),0))),0)))&gt;=100),MIN(100,((Inputs!$B$9+((C3254=TRUE)*(F3254-Calc!F19))+B3267+(ArtifactsInput!$M$24-ArtifactsInput!$M$24)*CHOOSE(ArtifactsInput!$N$24+1,10,12,14,16,18,20)+IF(ArtifactsInput!$M$10,CHOOSE(ArtifactsInput!$N$10+1,15,18,21,24,27,30)*(IF(Inputs!$B$38="pvp",MIN(15,15)/15,IF(AND(Inputs!$B$38&lt;&gt;"pvp",Inputs!$B$43&gt;0),MIN(15,Inputs!$B$43)/(Inputs!$B$43),0))),0)))-100),0))*CHOOSE(ArtifactsInput!$N$42+1,0.6,0.72,0.84,0.96,1.08,1.2))),Inputs!$B$18+((C3262=TRUE)*(F3262-Calc!F27))+(IF(AND(ArtifactsInput!$M$42,((Inputs!$B$9+((C3254=TRUE)*(F3254-Calc!F19))+B3267+(ArtifactsInput!$M$24-ArtifactsInput!$M$24)*CHOOSE(ArtifactsInput!$N$24+1,10,12,14,16,18,20)+IF(ArtifactsInput!$M$10,CHOOSE(ArtifactsInput!$N$10+1,15,18,21,24,27,30)*(IF(Inputs!$B$38="pvp",MIN(15,15)/15,IF(AND(Inputs!$B$38&lt;&gt;"pvp",Inputs!$B$43&gt;0),MIN(15,Inputs!$B$43)/(Inputs!$B$43),0))),0)))&gt;=100),CHOOSE(ArtifactsInput!$N$42+1,40,48,56,64,72,80),0))))/100)*((1+(((C3248=TRUE)*F3248)+((C3249=TRUE)*IF(Inputs!$B$38="pvp",F3249,(1-Summary!$B$11)*(F3249)+Summary!$B$11*(0)))+((C3250=TRUE)*F3250*IF(AND(Inputs!$B$38&lt;&gt;"pvp",Inputs!$B$43&gt;0),(((R3250-1)*(Skills!T15*(1+Inputs!$B$34/100))+MIN((Skills!T15*(1+Inputs!$B$34/100)),MAX(0,Inputs!$B$43-((R3250-1)*Skills!D15))))/Inputs!$B$43),IF(Inputs!$B$38="pvp",MIN((Skills!T15*(1+Inputs!$B$34/100)),15)/15,(Skills!T15*(1+Inputs!$B$34/100))/Skills!D15)))+((C3247=TRUE)*F3247)+((C3264=TRUE)*(F3264-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3242)</f>
        <v/>
      </c>
      <c r="L3242">
        <f>K3242*(MIN(Inputs!$B$22+((C3258=TRUE)*(F3258-Calc!F23)),(Inputs!$B$23+((C3263=TRUE)*(F3263-Calc!F28))+(IF(ArtifactsInput!$M$15,CHOOSE(ArtifactsInput!$N$15+1,25,30,35,40,45,50)/100*(Inputs!$B$11-Inputs!$B$11),0))))/100+(Inputs!$B$23+((C3263=TRUE)*(F3263-Calc!F28))+(IF(ArtifactsInput!$M$15,CHOOSE(ArtifactsInput!$N$15+1,25,30,35,40,45,50)/100*(Inputs!$B$11-Inputs!$B$11),0)))/100)/2</f>
        <v/>
      </c>
      <c r="M3242">
        <f>L3242*(1+(Inputs!$B$10+0+B3272+(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242">
        <f>L3242*(1-MIN((Inputs!$B$9+((C3254=TRUE)*(F3254-Calc!F19))+B3267+(ArtifactsInput!$M$24-ArtifactsInput!$M$24)*CHOOSE(ArtifactsInput!$N$24+1,10,12,14,16,18,20)+(IF(AND(ArtifactsInput!$M$42,((Inputs!$B$9+((C3254=TRUE)*(F3254-Calc!F19))+B3267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3242*(MIN((Inputs!$B$9+((C3254=TRUE)*(F3254-Calc!F19))+B3267+(ArtifactsInput!$M$24-ArtifactsInput!$M$24)*CHOOSE(ArtifactsInput!$N$24+1,10,12,14,16,18,20)+(IF(AND(ArtifactsInput!$M$42,((Inputs!$B$9+((C3254=TRUE)*(F3254-Calc!F19))+B3267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242">
        <f>(1-Summary!$B$11)*T3242+Summary!$B$11*V3242</f>
        <v/>
      </c>
      <c r="P3242">
        <f>IF(B3277=0,0,O3242/B3277)</f>
        <v/>
      </c>
      <c r="Q3242">
        <f>IFERROR(1/IF(Inputs!$B$38="pvp",15,MAX(0.1,Skills!D7-IF(Skills!E7=TRUE,4.5,0))),0)</f>
        <v/>
      </c>
      <c r="R3242">
        <f>IF(AND(Inputs!$B$38&lt;&gt;"pvp",Inputs!$B$43&gt;0),IF(MAX(0,Inputs!$B$43-B3274)&lt;=0,0,(INT(MAX(0,Inputs!$B$43-B3274)/IF(Inputs!$B$38="pvp",15,MAX(0.1,Skills!D7-IF(Skills!E7=TRUE,4.5,0))))+1)),0)</f>
        <v/>
      </c>
      <c r="S3242">
        <f>IFERROR((H3242*N3242*IF(AND(Inputs!$B$38&lt;&gt;"pvp",Inputs!$B$43&gt;0),((Skills!G7*((R3242-1)*IF(Skills!H7&gt;0,Skills!I7/Skills!H7,1)+IF(Skills!H7&gt;0,MIN(Skills!I7,MAX(0,MAX(0,Inputs!$B$43-B3274)-((R3242-1)*IF(Inputs!$B$38="pvp",15,MAX(0.1,Skills!D7-IF(Skills!E7=TRUE,4.5,0))))))/Skills!H7,1)))/Inputs!$B$43),G3242*Q3242))/N3242*IF(Inputs!$B$38="pvp",1,(1-Summary!$B$11)*1+Summary!$B$11*(MIN(Skills!R7,Inputs!$B$37))),0)</f>
        <v/>
      </c>
      <c r="T3242">
        <f>IF(C3242,(H3242*N3242*IF(AND(Inputs!$B$38&lt;&gt;"pvp",Inputs!$B$43&gt;0),((Skills!G7*((R3242-1)*IF(Skills!H7&gt;0,Skills!I7/Skills!H7,1)+IF(Skills!H7&gt;0,MIN(Skills!I7,MAX(0,MAX(0,Inputs!$B$43-B3274)-((R3242-1)*IF(Inputs!$B$38="pvp",15,MAX(0.1,Skills!D7-IF(Skills!E7=TRUE,4.5,0))))))/Skills!H7,1)))/Inputs!$B$43),G3242*Q3242))*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Hunt"),CHOOSE(ArtifactsInput!$N$35+1,15,18,21,24,27,30)*(1-EXP(-(0.2*B3269)*5)),0)+IF(AND(ArtifactsInput!$M$22,Inputs!$B$4&lt;&gt;"Chapter Hunt"),CHOOSE(ArtifactsInput!$N$22+1,10,12,14,16,18,20)*((0*(((0.15*B3269*5))^0/1)+1*(((0.15*B3269*5))^1/1)+2*(((0.15*B3269*5))^2/2)+3*(((0.15*B3269*5))^3/6)+4*(((0.15*B3269*5))^4/24)+5*(((0.15*B3269*5))^5/120))/((((0.15*B3269*5))^0/1)+(((0.15*B3269*5))^1/1)+(((0.15*B3269*5))^2/2)+(((0.15*B3269*5))^3/6)+(((0.15*B3269*5))^4/24)+(((0.15*B3269*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3242*(1-MIN(100,(Inputs!$B$9+((C3254=TRUE)*(F3254-Calc!F19))+B3267+(ArtifactsInput!$M$24-ArtifactsInput!$M$24)*CHOOSE(ArtifactsInput!$N$24+1,10,12,14,16,18,20)+(IF(AND(ArtifactsInput!$M$42,((Inputs!$B$9+((C3254=TRUE)*(F3254-Calc!F19))+B3267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3242*(MIN(100,(Inputs!$B$9+((C3254=TRUE)*(F3254-Calc!F19))+B3267+(ArtifactsInput!$M$24-ArtifactsInput!$M$24)*CHOOSE(ArtifactsInput!$N$24+1,10,12,14,16,18,20)+(IF(AND(ArtifactsInput!$M$42,((Inputs!$B$9+((C3254=TRUE)*(F3254-Calc!F19))+B3267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3242*(1-MIN(100,(Inputs!$B$9+((C3254=TRUE)*(F3254-Calc!F19))+B3267+(ArtifactsInput!$M$24-ArtifactsInput!$M$24)*CHOOSE(ArtifactsInput!$N$24+1,10,12,14,16,18,20)+(IF(AND(ArtifactsInput!$M$42,((Inputs!$B$9+((C3254=TRUE)*(F3254-Calc!F19))+B3267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3242*(MIN(100,(Inputs!$B$9+((C3254=TRUE)*(F3254-Calc!F19))+B3267+(ArtifactsInput!$M$24-ArtifactsInput!$M$24)*CHOOSE(ArtifactsInput!$N$24+1,10,12,14,16,18,20)+(IF(AND(ArtifactsInput!$M$42,((Inputs!$B$9+((C3254=TRUE)*(F3254-Calc!F19))+B3267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242">
        <f>IF(C3242,(H3242*N3242*IF(AND(Inputs!$B$38&lt;&gt;"pvp",Inputs!$B$43&gt;0),((Skills!G7*((R3242-1)*IF(Skills!H7&gt;0,Skills!I7/Skills!H7,1)+IF(Skills!H7&gt;0,MIN(Skills!I7,MAX(0,MAX(0,Inputs!$B$43-B3274)-((R3242-1)*IF(Inputs!$B$38="pvp",15,MAX(0.1,Skills!D7-IF(Skills!E7=TRUE,4.5,0))))))/Skills!H7,1)))/Inputs!$B$43),G3242*Q3242))*IF(Inputs!$B$38="pvp",1,(1+(Inputs!$B$21+Skills!Q7+(IF(ArtifactsInput!$M$33,CHOOSE(ArtifactsInput!$N$33+1,30,36,42,48,54,60),0))+(IF(AND(ArtifactsInput!$M$35,Inputs!$B$4&lt;&gt;"Chapter Hunt"),CHOOSE(ArtifactsInput!$N$35+1,15,18,21,24,27,30)*(1-EXP(-(0.2*B3269)*5)),0)+IF(AND(ArtifactsInput!$M$22,Inputs!$B$4&lt;&gt;"Chapter Hunt"),CHOOSE(ArtifactsInput!$N$22+1,10,12,14,16,18,20)*((0*(((0.15*B3269*5))^0/1)+1*(((0.15*B3269*5))^1/1)+2*(((0.15*B3269*5))^2/2)+3*(((0.15*B3269*5))^3/6)+4*(((0.15*B3269*5))^4/24)+5*(((0.15*B3269*5))^5/120))/((((0.15*B3269*5))^0/1)+(((0.15*B3269*5))^1/1)+(((0.15*B3269*5))^2/2)+(((0.15*B3269*5))^3/6)+(((0.15*B3269*5))^4/24)+(((0.15*B3269*5))^5/120))),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243">
      <c r="A3243">
        <f>Skills!A8</f>
        <v/>
      </c>
      <c r="B3243">
        <f>Skills!B8</f>
        <v/>
      </c>
      <c r="C3243">
        <f>Inputs!$B$3&gt;=100</f>
        <v/>
      </c>
      <c r="D3243">
        <f>IF(Skills!C8=1,60+Inputs!$B$25+Inputs!$B$29,IF(Skills!C8=2,90+Inputs!$B$26+Inputs!$B$29,IF(Skills!C8=3,120+Inputs!$B$27+Inputs!$B$29,MAX(0,(Inputs!$B$3-100)*3)+Inputs!$B$28+Inputs!$B$29)))</f>
        <v/>
      </c>
      <c r="E3243">
        <f>INDEX(FactorTable!$B$2:$Y$301, MATCH(ROUND(MIN(300,MAX(1,D3243)),0), FactorTable!$A$2:$A$301,0), Skills!M8+1)</f>
        <v/>
      </c>
      <c r="F3243">
        <f>IF(Skills!N8=TRUE,(Skills!L8/10)*(E3243/1000),Skills!L8/10)+Skills!O8</f>
        <v/>
      </c>
      <c r="G3243" t="inlineStr"/>
      <c r="H3243" t="inlineStr"/>
      <c r="I3243" t="inlineStr">
        <is>
          <t>1</t>
        </is>
      </c>
      <c r="J3243" t="inlineStr"/>
      <c r="K3243" t="inlineStr"/>
      <c r="L3243" t="inlineStr"/>
      <c r="M3243" t="inlineStr"/>
      <c r="N3243" t="inlineStr"/>
      <c r="O3243" t="inlineStr"/>
      <c r="P3243" t="inlineStr"/>
      <c r="Q3243" t="inlineStr"/>
      <c r="R3243" t="inlineStr"/>
      <c r="S3243" t="inlineStr"/>
      <c r="T3243" t="inlineStr"/>
      <c r="V3243" t="inlineStr"/>
    </row>
    <row r="3244">
      <c r="A3244">
        <f>Skills!A9</f>
        <v/>
      </c>
      <c r="B3244">
        <f>Skills!B9</f>
        <v/>
      </c>
      <c r="C3244">
        <f>Inputs!$B$3&gt;=103</f>
        <v/>
      </c>
      <c r="D3244">
        <f>IF(Skills!C9=1,60+Inputs!$B$25+Inputs!$B$29,IF(Skills!C9=2,90+Inputs!$B$26+Inputs!$B$29,IF(Skills!C9=3,120+Inputs!$B$27+Inputs!$B$29,MAX(0,(Inputs!$B$3-100)*3)+Inputs!$B$28+Inputs!$B$29)))</f>
        <v/>
      </c>
      <c r="E3244">
        <f>INDEX(FactorTable!$B$2:$Y$301, MATCH(ROUND(MIN(300,MAX(1,D3244)),0), FactorTable!$A$2:$A$301,0), Skills!M9+1)</f>
        <v/>
      </c>
      <c r="F3244">
        <f>IF(Skills!N9=TRUE,(Skills!L9/10)*(E3244/1000),Skills!L9/10)+Skills!O9</f>
        <v/>
      </c>
      <c r="G3244">
        <f>Skills!G9*IF(Skills!H9&gt;0,Skills!I9/Skills!H9,1)</f>
        <v/>
      </c>
      <c r="H3244">
        <f>1-(1-Skills!J9/100)^Skills!K9</f>
        <v/>
      </c>
      <c r="I3244" t="inlineStr">
        <is>
          <t>1</t>
        </is>
      </c>
      <c r="J3244">
        <f>((Inputs!$B$6*(1+Inputs!$B$7/100))+(((Inputs!$B$12*(1+Inputs!$B$13/100))-(Inputs!$B$12*(1+Inputs!$B$13/100)))+0.25*(Inputs!$B$14-Inputs!$B$14))*(1+Inputs!$B$7/100))*(F3244/100)</f>
        <v/>
      </c>
      <c r="K3244">
        <f>J3244*(1+((Inputs!$B$12*(1+Inputs!$B$13/100))*0.01+Inputs!$B$14*0.0025)/100)*(1+Inputs!$B$15/100)*(1+Inputs!$B$16/100)*(5000/(6000+Inputs!$B$42*(1-(100*(1-(1-(Inputs!$B$19+0)/100)*(1-CHOOSE(ArtifactsInput!$N$40+1,5,6,7,8,9,10)/100)^(ArtifactsInput!$M$40-ArtifactsInput!$M$40)))/100)))*(1+(Inputs!$B$24+((C3259=TRUE)*(F3259-Calc!F24))+((C3260=TRUE)*(F3260-Calc!F25))+B3273)/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EMPOWERED_PIERCING_ARROW",Inputs!$B$17+((C3257=TRUE)*(F3257-Calc!F22))+(((IF(AND(ArtifactsInput!$M$42,((Inputs!$B$9+((C3254=TRUE)*(F3254-Calc!F19))+B3267+(ArtifactsInput!$M$24-ArtifactsInput!$M$24)*CHOOSE(ArtifactsInput!$N$24+1,10,12,14,16,18,20)+IF(ArtifactsInput!$M$10,CHOOSE(ArtifactsInput!$N$10+1,15,18,21,24,27,30)*(IF(Inputs!$B$38="pvp",MIN(15,15)/15,IF(AND(Inputs!$B$38&lt;&gt;"pvp",Inputs!$B$43&gt;0),MIN(15,Inputs!$B$43)/(Inputs!$B$43),0))),0)))&gt;=100),MIN(100,((Inputs!$B$9+((C3254=TRUE)*(F3254-Calc!F19))+B3267+(ArtifactsInput!$M$24-ArtifactsInput!$M$24)*CHOOSE(ArtifactsInput!$N$24+1,10,12,14,16,18,20)+IF(ArtifactsInput!$M$10,CHOOSE(ArtifactsInput!$N$10+1,15,18,21,24,27,30)*(IF(Inputs!$B$38="pvp",MIN(15,15)/15,IF(AND(Inputs!$B$38&lt;&gt;"pvp",Inputs!$B$43&gt;0),MIN(15,Inputs!$B$43)/(Inputs!$B$43),0))),0)))-100),0))*CHOOSE(ArtifactsInput!$N$42+1,0.6,0.72,0.84,0.96,1.08,1.2))),Inputs!$B$18+((C3262=TRUE)*(F3262-Calc!F27))+(IF(AND(ArtifactsInput!$M$42,((Inputs!$B$9+((C3254=TRUE)*(F3254-Calc!F19))+B3267+(ArtifactsInput!$M$24-ArtifactsInput!$M$24)*CHOOSE(ArtifactsInput!$N$24+1,10,12,14,16,18,20)+IF(ArtifactsInput!$M$10,CHOOSE(ArtifactsInput!$N$10+1,15,18,21,24,27,30)*(IF(Inputs!$B$38="pvp",MIN(15,15)/15,IF(AND(Inputs!$B$38&lt;&gt;"pvp",Inputs!$B$43&gt;0),MIN(15,Inputs!$B$43)/(Inputs!$B$43),0))),0)))&gt;=100),CHOOSE(ArtifactsInput!$N$42+1,40,48,56,64,72,80),0))))/100)*((1+(((C3248=TRUE)*F3248)+((C3249=TRUE)*IF(Inputs!$B$38="pvp",F3249,(1-Summary!$B$11)*(F3249)+Summary!$B$11*(0)))+((C3250=TRUE)*F3250*IF(AND(Inputs!$B$38&lt;&gt;"pvp",Inputs!$B$43&gt;0),(((R3250-1)*(Skills!T15*(1+Inputs!$B$34/100))+MIN((Skills!T15*(1+Inputs!$B$34/100)),MAX(0,Inputs!$B$43-((R3250-1)*Skills!D15))))/Inputs!$B$43),IF(Inputs!$B$38="pvp",MIN((Skills!T15*(1+Inputs!$B$34/100)),15)/15,(Skills!T15*(1+Inputs!$B$34/100))/Skills!D15)))+((C3247=TRUE)*F3247)+((C3264=TRUE)*(F3264-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3244)</f>
        <v/>
      </c>
      <c r="L3244">
        <f>K3244*(MIN(Inputs!$B$22+((C3258=TRUE)*(F3258-Calc!F23)),(Inputs!$B$23+((C3263=TRUE)*(F3263-Calc!F28))+(IF(ArtifactsInput!$M$15,CHOOSE(ArtifactsInput!$N$15+1,25,30,35,40,45,50)/100*(Inputs!$B$11-Inputs!$B$11),0))))/100+(Inputs!$B$23+((C3263=TRUE)*(F3263-Calc!F28))+(IF(ArtifactsInput!$M$15,CHOOSE(ArtifactsInput!$N$15+1,25,30,35,40,45,50)/100*(Inputs!$B$11-Inputs!$B$11),0)))/100)/2</f>
        <v/>
      </c>
      <c r="M3244">
        <f>L3244*(1+(Inputs!$B$10+0+B3272+(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244">
        <f>L3244*(1-MIN((Inputs!$B$9+((C3254=TRUE)*(F3254-Calc!F19))+B3267+(ArtifactsInput!$M$24-ArtifactsInput!$M$24)*CHOOSE(ArtifactsInput!$N$24+1,10,12,14,16,18,20)+(IF(AND(ArtifactsInput!$M$42,((Inputs!$B$9+((C3254=TRUE)*(F3254-Calc!F19))+B3267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3244*(MIN((Inputs!$B$9+((C3254=TRUE)*(F3254-Calc!F19))+B3267+(ArtifactsInput!$M$24-ArtifactsInput!$M$24)*CHOOSE(ArtifactsInput!$N$24+1,10,12,14,16,18,20)+(IF(AND(ArtifactsInput!$M$42,((Inputs!$B$9+((C3254=TRUE)*(F3254-Calc!F19))+B3267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244">
        <f>(1-Summary!$B$11)*T3244+Summary!$B$11*V3244</f>
        <v/>
      </c>
      <c r="P3244">
        <f>IF(B3277=0,0,O3244/B3277)</f>
        <v/>
      </c>
      <c r="Q3244">
        <f>IFERROR(1/IF(Inputs!$B$38="pvp",15,MAX(0.1,Skills!D9-IF(Skills!E9=TRUE,4.5,0))),0)</f>
        <v/>
      </c>
      <c r="R3244">
        <f>IF(AND(Inputs!$B$38&lt;&gt;"pvp",Inputs!$B$43&gt;0),IF(MAX(0,Inputs!$B$43-B3274)&lt;=0,0,(INT(MAX(0,Inputs!$B$43-B3274)/IF(Inputs!$B$38="pvp",15,MAX(0.1,Skills!D9-IF(Skills!E9=TRUE,4.5,0))))+1)),0)</f>
        <v/>
      </c>
      <c r="S3244">
        <f>IFERROR((H3244*N3244*IF(AND(Inputs!$B$38&lt;&gt;"pvp",Inputs!$B$43&gt;0),((Skills!G9*((R3244-1)*IF(Skills!H9&gt;0,Skills!I9/Skills!H9,1)+IF(Skills!H9&gt;0,MIN(Skills!I9,MAX(0,MAX(0,Inputs!$B$43-B3274)-((R3244-1)*IF(Inputs!$B$38="pvp",15,MAX(0.1,Skills!D9-IF(Skills!E9=TRUE,4.5,0))))))/Skills!H9,1)))/Inputs!$B$43),G3244*Q3244))/N3244*IF(Inputs!$B$38="pvp",1,(1-Summary!$B$11)*1+Summary!$B$11*(MIN(Skills!R9,Inputs!$B$37))),0)</f>
        <v/>
      </c>
      <c r="T3244">
        <f>IF(C3244,(H3244*N3244*IF(AND(Inputs!$B$38&lt;&gt;"pvp",Inputs!$B$43&gt;0),((Skills!G9*((R3244-1)*IF(Skills!H9&gt;0,Skills!I9/Skills!H9,1)+IF(Skills!H9&gt;0,MIN(Skills!I9,MAX(0,MAX(0,Inputs!$B$43-B3274)-((R3244-1)*IF(Inputs!$B$38="pvp",15,MAX(0.1,Skills!D9-IF(Skills!E9=TRUE,4.5,0))))))/Skills!H9,1)))/Inputs!$B$43),G3244*Q3244))*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Hunt"),CHOOSE(ArtifactsInput!$N$35+1,15,18,21,24,27,30)*(1-EXP(-(0.2*B3269)*5)),0)+IF(AND(ArtifactsInput!$M$22,Inputs!$B$4&lt;&gt;"Chapter Hunt"),CHOOSE(ArtifactsInput!$N$22+1,10,12,14,16,18,20)*((0*(((0.15*B3269*5))^0/1)+1*(((0.15*B3269*5))^1/1)+2*(((0.15*B3269*5))^2/2)+3*(((0.15*B3269*5))^3/6)+4*(((0.15*B3269*5))^4/24)+5*(((0.15*B3269*5))^5/120))/((((0.15*B3269*5))^0/1)+(((0.15*B3269*5))^1/1)+(((0.15*B3269*5))^2/2)+(((0.15*B3269*5))^3/6)+(((0.15*B3269*5))^4/24)+(((0.15*B3269*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3244*(1-MIN(100,(Inputs!$B$9+((C3254=TRUE)*(F3254-Calc!F19))+B3267+(ArtifactsInput!$M$24-ArtifactsInput!$M$24)*CHOOSE(ArtifactsInput!$N$24+1,10,12,14,16,18,20)+(IF(AND(ArtifactsInput!$M$42,((Inputs!$B$9+((C3254=TRUE)*(F3254-Calc!F19))+B3267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3244*(MIN(100,(Inputs!$B$9+((C3254=TRUE)*(F3254-Calc!F19))+B3267+(ArtifactsInput!$M$24-ArtifactsInput!$M$24)*CHOOSE(ArtifactsInput!$N$24+1,10,12,14,16,18,20)+(IF(AND(ArtifactsInput!$M$42,((Inputs!$B$9+((C3254=TRUE)*(F3254-Calc!F19))+B3267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3244*(1-MIN(100,(Inputs!$B$9+((C3254=TRUE)*(F3254-Calc!F19))+B3267+(ArtifactsInput!$M$24-ArtifactsInput!$M$24)*CHOOSE(ArtifactsInput!$N$24+1,10,12,14,16,18,20)+(IF(AND(ArtifactsInput!$M$42,((Inputs!$B$9+((C3254=TRUE)*(F3254-Calc!F19))+B3267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3244*(MIN(100,(Inputs!$B$9+((C3254=TRUE)*(F3254-Calc!F19))+B3267+(ArtifactsInput!$M$24-ArtifactsInput!$M$24)*CHOOSE(ArtifactsInput!$N$24+1,10,12,14,16,18,20)+(IF(AND(ArtifactsInput!$M$42,((Inputs!$B$9+((C3254=TRUE)*(F3254-Calc!F19))+B3267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244">
        <f>IF(C3244,(H3244*N3244*IF(AND(Inputs!$B$38&lt;&gt;"pvp",Inputs!$B$43&gt;0),((Skills!G9*((R3244-1)*IF(Skills!H9&gt;0,Skills!I9/Skills!H9,1)+IF(Skills!H9&gt;0,MIN(Skills!I9,MAX(0,MAX(0,Inputs!$B$43-B3274)-((R3244-1)*IF(Inputs!$B$38="pvp",15,MAX(0.1,Skills!D9-IF(Skills!E9=TRUE,4.5,0))))))/Skills!H9,1)))/Inputs!$B$43),G3244*Q3244))*IF(Inputs!$B$38="pvp",1,(1+(Inputs!$B$21+Skills!Q9+(IF(ArtifactsInput!$M$33,CHOOSE(ArtifactsInput!$N$33+1,30,36,42,48,54,60),0))+(IF(AND(ArtifactsInput!$M$35,Inputs!$B$4&lt;&gt;"Chapter Hunt"),CHOOSE(ArtifactsInput!$N$35+1,15,18,21,24,27,30)*(1-EXP(-(0.2*B3269)*5)),0)+IF(AND(ArtifactsInput!$M$22,Inputs!$B$4&lt;&gt;"Chapter Hunt"),CHOOSE(ArtifactsInput!$N$22+1,10,12,14,16,18,20)*((0*(((0.15*B3269*5))^0/1)+1*(((0.15*B3269*5))^1/1)+2*(((0.15*B3269*5))^2/2)+3*(((0.15*B3269*5))^3/6)+4*(((0.15*B3269*5))^4/24)+5*(((0.15*B3269*5))^5/120))/((((0.15*B3269*5))^0/1)+(((0.15*B3269*5))^1/1)+(((0.15*B3269*5))^2/2)+(((0.15*B3269*5))^3/6)+(((0.15*B3269*5))^4/24)+(((0.15*B3269*5))^5/120)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245">
      <c r="A3245">
        <f>Skills!A10</f>
        <v/>
      </c>
      <c r="B3245">
        <f>Skills!B10</f>
        <v/>
      </c>
      <c r="C3245">
        <f>Inputs!$B$3&gt;=107</f>
        <v/>
      </c>
      <c r="D3245">
        <f>IF(Skills!C10=1,60+Inputs!$B$25+Inputs!$B$29,IF(Skills!C10=2,90+Inputs!$B$26+Inputs!$B$29,IF(Skills!C10=3,120+Inputs!$B$27+Inputs!$B$29,MAX(0,(Inputs!$B$3-100)*3)+Inputs!$B$28+Inputs!$B$29)))</f>
        <v/>
      </c>
      <c r="E3245">
        <f>INDEX(FactorTable!$B$2:$Y$301, MATCH(ROUND(MIN(300,MAX(1,D3245)),0), FactorTable!$A$2:$A$301,0), Skills!M10+1)</f>
        <v/>
      </c>
      <c r="F3245">
        <f>IF(Skills!N10=TRUE,(Skills!L10/10)*(E3245/1000),Skills!L10/10)+Skills!O10</f>
        <v/>
      </c>
      <c r="G3245">
        <f>Skills!G10*IF(Skills!H10&gt;0,Skills!I10/Skills!H10,1)</f>
        <v/>
      </c>
      <c r="H3245">
        <f>1-(1-Skills!J10/100)^Skills!K10</f>
        <v/>
      </c>
      <c r="I3245" t="inlineStr">
        <is>
          <t>1</t>
        </is>
      </c>
      <c r="J3245">
        <f>((Inputs!$B$6*(1+Inputs!$B$7/100))+(((Inputs!$B$12*(1+Inputs!$B$13/100))-(Inputs!$B$12*(1+Inputs!$B$13/100)))+0.25*(Inputs!$B$14-Inputs!$B$14))*(1+Inputs!$B$7/100))*(F3245/100)</f>
        <v/>
      </c>
      <c r="K3245">
        <f>J3245*(1+((Inputs!$B$12*(1+Inputs!$B$13/100))*0.01+Inputs!$B$14*0.0025)/100)*(1+Inputs!$B$15/100)*(1+Inputs!$B$16/100)*(5000/(6000+Inputs!$B$42*(1-(100*(1-(1-(Inputs!$B$19+0)/100)*(1-CHOOSE(ArtifactsInput!$N$40+1,5,6,7,8,9,10)/100)^(ArtifactsInput!$M$40-ArtifactsInput!$M$40)))/100)))*(1+(Inputs!$B$24+((C3259=TRUE)*(F3259-Calc!F24))+((C3260=TRUE)*(F3260-Calc!F25))+B3273)/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EMPOWERED_PIERCING_ARROW",Inputs!$B$17+((C3257=TRUE)*(F3257-Calc!F22))+(((IF(AND(ArtifactsInput!$M$42,((Inputs!$B$9+((C3254=TRUE)*(F3254-Calc!F19))+B3267+(ArtifactsInput!$M$24-ArtifactsInput!$M$24)*CHOOSE(ArtifactsInput!$N$24+1,10,12,14,16,18,20)+IF(ArtifactsInput!$M$10,CHOOSE(ArtifactsInput!$N$10+1,15,18,21,24,27,30)*(IF(Inputs!$B$38="pvp",MIN(15,15)/15,IF(AND(Inputs!$B$38&lt;&gt;"pvp",Inputs!$B$43&gt;0),MIN(15,Inputs!$B$43)/(Inputs!$B$43),0))),0)))&gt;=100),MIN(100,((Inputs!$B$9+((C3254=TRUE)*(F3254-Calc!F19))+B3267+(ArtifactsInput!$M$24-ArtifactsInput!$M$24)*CHOOSE(ArtifactsInput!$N$24+1,10,12,14,16,18,20)+IF(ArtifactsInput!$M$10,CHOOSE(ArtifactsInput!$N$10+1,15,18,21,24,27,30)*(IF(Inputs!$B$38="pvp",MIN(15,15)/15,IF(AND(Inputs!$B$38&lt;&gt;"pvp",Inputs!$B$43&gt;0),MIN(15,Inputs!$B$43)/(Inputs!$B$43),0))),0)))-100),0))*CHOOSE(ArtifactsInput!$N$42+1,0.6,0.72,0.84,0.96,1.08,1.2))),Inputs!$B$18+((C3262=TRUE)*(F3262-Calc!F27))+(IF(AND(ArtifactsInput!$M$42,((Inputs!$B$9+((C3254=TRUE)*(F3254-Calc!F19))+B3267+(ArtifactsInput!$M$24-ArtifactsInput!$M$24)*CHOOSE(ArtifactsInput!$N$24+1,10,12,14,16,18,20)+IF(ArtifactsInput!$M$10,CHOOSE(ArtifactsInput!$N$10+1,15,18,21,24,27,30)*(IF(Inputs!$B$38="pvp",MIN(15,15)/15,IF(AND(Inputs!$B$38&lt;&gt;"pvp",Inputs!$B$43&gt;0),MIN(15,Inputs!$B$43)/(Inputs!$B$43),0))),0)))&gt;=100),CHOOSE(ArtifactsInput!$N$42+1,40,48,56,64,72,80),0))))/100)*((1+(((C3248=TRUE)*F3248)+((C3249=TRUE)*IF(Inputs!$B$38="pvp",F3249,(1-Summary!$B$11)*(F3249)+Summary!$B$11*(0)))+((C3250=TRUE)*F3250*IF(AND(Inputs!$B$38&lt;&gt;"pvp",Inputs!$B$43&gt;0),(((R3250-1)*(Skills!T15*(1+Inputs!$B$34/100))+MIN((Skills!T15*(1+Inputs!$B$34/100)),MAX(0,Inputs!$B$43-((R3250-1)*Skills!D15))))/Inputs!$B$43),IF(Inputs!$B$38="pvp",MIN((Skills!T15*(1+Inputs!$B$34/100)),15)/15,(Skills!T15*(1+Inputs!$B$34/100))/Skills!D15)))+((C3247=TRUE)*F3247)+((C3264=TRUE)*(F3264-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3245)</f>
        <v/>
      </c>
      <c r="L3245">
        <f>K3245*(MIN(Inputs!$B$22+((C3258=TRUE)*(F3258-Calc!F23)),(Inputs!$B$23+((C3263=TRUE)*(F3263-Calc!F28))+(IF(ArtifactsInput!$M$15,CHOOSE(ArtifactsInput!$N$15+1,25,30,35,40,45,50)/100*(Inputs!$B$11-Inputs!$B$11),0))))/100+(Inputs!$B$23+((C3263=TRUE)*(F3263-Calc!F28))+(IF(ArtifactsInput!$M$15,CHOOSE(ArtifactsInput!$N$15+1,25,30,35,40,45,50)/100*(Inputs!$B$11-Inputs!$B$11),0)))/100)/2</f>
        <v/>
      </c>
      <c r="M3245">
        <f>L3245*(1+(Inputs!$B$10+0+B3272+(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245">
        <f>L3245*(1-MIN((Inputs!$B$9+((C3254=TRUE)*(F3254-Calc!F19))+B3267+(ArtifactsInput!$M$24-ArtifactsInput!$M$24)*CHOOSE(ArtifactsInput!$N$24+1,10,12,14,16,18,20)+(IF(AND(ArtifactsInput!$M$42,((Inputs!$B$9+((C3254=TRUE)*(F3254-Calc!F19))+B3267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3245*(MIN((Inputs!$B$9+((C3254=TRUE)*(F3254-Calc!F19))+B3267+(ArtifactsInput!$M$24-ArtifactsInput!$M$24)*CHOOSE(ArtifactsInput!$N$24+1,10,12,14,16,18,20)+(IF(AND(ArtifactsInput!$M$42,((Inputs!$B$9+((C3254=TRUE)*(F3254-Calc!F19))+B3267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245">
        <f>(1-Summary!$B$11)*T3245+Summary!$B$11*V3245</f>
        <v/>
      </c>
      <c r="P3245">
        <f>IF(B3277=0,0,O3245/B3277)</f>
        <v/>
      </c>
      <c r="Q3245" t="n">
        <v>0</v>
      </c>
      <c r="R3245" t="n">
        <v>0</v>
      </c>
      <c r="S3245" t="n">
        <v>0</v>
      </c>
      <c r="T3245">
        <f>IF(C3245,(0.15*SUMPRODUCT((Skills!U2:U29=TRUE)*(C3237:C3264=TRUE)*S3237:S3264)*Skills!G10*N3245)*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Hunt"),CHOOSE(ArtifactsInput!$N$35+1,15,18,21,24,27,30)*(1-EXP(-(0.2*B3269)*5)),0)+IF(AND(ArtifactsInput!$M$22,Inputs!$B$4&lt;&gt;"Chapter Hunt"),CHOOSE(ArtifactsInput!$N$22+1,10,12,14,16,18,20)*((0*(((0.15*B3269*5))^0/1)+1*(((0.15*B3269*5))^1/1)+2*(((0.15*B3269*5))^2/2)+3*(((0.15*B3269*5))^3/6)+4*(((0.15*B3269*5))^4/24)+5*(((0.15*B3269*5))^5/120))/((((0.15*B3269*5))^0/1)+(((0.15*B3269*5))^1/1)+(((0.15*B3269*5))^2/2)+(((0.15*B3269*5))^3/6)+(((0.15*B3269*5))^4/24)+(((0.15*B3269*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3245*(1-MIN(100,(Inputs!$B$9+((C3254=TRUE)*(F3254-Calc!F19))+B3267+(ArtifactsInput!$M$24-ArtifactsInput!$M$24)*CHOOSE(ArtifactsInput!$N$24+1,10,12,14,16,18,20)+(IF(AND(ArtifactsInput!$M$42,((Inputs!$B$9+((C3254=TRUE)*(F3254-Calc!F19))+B3267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3245*(MIN(100,(Inputs!$B$9+((C3254=TRUE)*(F3254-Calc!F19))+B3267+(ArtifactsInput!$M$24-ArtifactsInput!$M$24)*CHOOSE(ArtifactsInput!$N$24+1,10,12,14,16,18,20)+(IF(AND(ArtifactsInput!$M$42,((Inputs!$B$9+((C3254=TRUE)*(F3254-Calc!F19))+B3267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3245*(1-MIN(100,(Inputs!$B$9+((C3254=TRUE)*(F3254-Calc!F19))+B3267+(ArtifactsInput!$M$24-ArtifactsInput!$M$24)*CHOOSE(ArtifactsInput!$N$24+1,10,12,14,16,18,20)+(IF(AND(ArtifactsInput!$M$42,((Inputs!$B$9+((C3254=TRUE)*(F3254-Calc!F19))+B3267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3245*(MIN(100,(Inputs!$B$9+((C3254=TRUE)*(F3254-Calc!F19))+B3267+(ArtifactsInput!$M$24-ArtifactsInput!$M$24)*CHOOSE(ArtifactsInput!$N$24+1,10,12,14,16,18,20)+(IF(AND(ArtifactsInput!$M$42,((Inputs!$B$9+((C3254=TRUE)*(F3254-Calc!F19))+B3267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245">
        <f>IF(C3245,(0.15*SUMPRODUCT((Skills!U2:U29=TRUE)*(C3237:C3264=TRUE)*S3237:S3264)*Skills!G10*N3245)*IF(Inputs!$B$38="pvp",1,(1+(Inputs!$B$21+Skills!Q10+(IF(ArtifactsInput!$M$33,CHOOSE(ArtifactsInput!$N$33+1,30,36,42,48,54,60),0))+(IF(AND(ArtifactsInput!$M$35,Inputs!$B$4&lt;&gt;"Chapter Hunt"),CHOOSE(ArtifactsInput!$N$35+1,15,18,21,24,27,30)*(1-EXP(-(0.2*B3269)*5)),0)+IF(AND(ArtifactsInput!$M$22,Inputs!$B$4&lt;&gt;"Chapter Hunt"),CHOOSE(ArtifactsInput!$N$22+1,10,12,14,16,18,20)*((0*(((0.15*B3269*5))^0/1)+1*(((0.15*B3269*5))^1/1)+2*(((0.15*B3269*5))^2/2)+3*(((0.15*B3269*5))^3/6)+4*(((0.15*B3269*5))^4/24)+5*(((0.15*B3269*5))^5/120))/((((0.15*B3269*5))^0/1)+(((0.15*B3269*5))^1/1)+(((0.15*B3269*5))^2/2)+(((0.15*B3269*5))^3/6)+(((0.15*B3269*5))^4/24)+(((0.15*B3269*5))^5/120)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246">
      <c r="A3246">
        <f>Skills!A11</f>
        <v/>
      </c>
      <c r="B3246">
        <f>Skills!B11</f>
        <v/>
      </c>
      <c r="C3246">
        <f>Inputs!$B$3&gt;=110</f>
        <v/>
      </c>
      <c r="D3246">
        <f>IF(Skills!C11=1,60+Inputs!$B$25+Inputs!$B$29,IF(Skills!C11=2,90+Inputs!$B$26+Inputs!$B$29,IF(Skills!C11=3,120+Inputs!$B$27+Inputs!$B$29,MAX(0,(Inputs!$B$3-100)*3)+Inputs!$B$28+Inputs!$B$29)))</f>
        <v/>
      </c>
      <c r="E3246">
        <f>INDEX(FactorTable!$B$2:$Y$301, MATCH(ROUND(MIN(300,MAX(1,D3246)),0), FactorTable!$A$2:$A$301,0), Skills!M11+1)</f>
        <v/>
      </c>
      <c r="F3246">
        <f>IF(Skills!N11=TRUE,(Skills!L11/10)*(E3246/1000),Skills!L11/10)+Skills!O11</f>
        <v/>
      </c>
      <c r="G3246">
        <f>Skills!G11*IF(Skills!H11&gt;0,Skills!I11/Skills!H11,1)</f>
        <v/>
      </c>
      <c r="H3246">
        <f>1-(1-Skills!J11/100)^Skills!K11</f>
        <v/>
      </c>
      <c r="I3246" t="inlineStr">
        <is>
          <t>1</t>
        </is>
      </c>
      <c r="J3246">
        <f>((Inputs!$B$6*(1+Inputs!$B$7/100))+(((Inputs!$B$12*(1+Inputs!$B$13/100))-(Inputs!$B$12*(1+Inputs!$B$13/100)))+0.25*(Inputs!$B$14-Inputs!$B$14))*(1+Inputs!$B$7/100))*(F3246/100)</f>
        <v/>
      </c>
      <c r="K3246">
        <f>J3246*(1+((Inputs!$B$12*(1+Inputs!$B$13/100))*0.01+Inputs!$B$14*0.0025)/100)*(1+Inputs!$B$15/100)*(1+Inputs!$B$16/100)*(5000/(6000+Inputs!$B$42*(1-(100*(1-(1-(Inputs!$B$19+0)/100)*(1-CHOOSE(ArtifactsInput!$N$40+1,5,6,7,8,9,10)/100)^(ArtifactsInput!$M$40-ArtifactsInput!$M$40)))/100)))*(1+(Inputs!$B$24+((C3259=TRUE)*(F3259-Calc!F24))+((C3260=TRUE)*(F3260-Calc!F25))+B3273)/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11="EMPOWERED_PIERCING_ARROW",Inputs!$B$17+((C3257=TRUE)*(F3257-Calc!F22))+(((IF(AND(ArtifactsInput!$M$42,((Inputs!$B$9+((C3254=TRUE)*(F3254-Calc!F19))+B3267+(ArtifactsInput!$M$24-ArtifactsInput!$M$24)*CHOOSE(ArtifactsInput!$N$24+1,10,12,14,16,18,20)+IF(ArtifactsInput!$M$10,CHOOSE(ArtifactsInput!$N$10+1,15,18,21,24,27,30)*(IF(Inputs!$B$38="pvp",MIN(15,15)/15,IF(AND(Inputs!$B$38&lt;&gt;"pvp",Inputs!$B$43&gt;0),MIN(15,Inputs!$B$43)/(Inputs!$B$43),0))),0)))&gt;=100),MIN(100,((Inputs!$B$9+((C3254=TRUE)*(F3254-Calc!F19))+B3267+(ArtifactsInput!$M$24-ArtifactsInput!$M$24)*CHOOSE(ArtifactsInput!$N$24+1,10,12,14,16,18,20)+IF(ArtifactsInput!$M$10,CHOOSE(ArtifactsInput!$N$10+1,15,18,21,24,27,30)*(IF(Inputs!$B$38="pvp",MIN(15,15)/15,IF(AND(Inputs!$B$38&lt;&gt;"pvp",Inputs!$B$43&gt;0),MIN(15,Inputs!$B$43)/(Inputs!$B$43),0))),0)))-100),0))*CHOOSE(ArtifactsInput!$N$42+1,0.6,0.72,0.84,0.96,1.08,1.2))),Inputs!$B$18+((C3262=TRUE)*(F3262-Calc!F27))+(IF(AND(ArtifactsInput!$M$42,((Inputs!$B$9+((C3254=TRUE)*(F3254-Calc!F19))+B3267+(ArtifactsInput!$M$24-ArtifactsInput!$M$24)*CHOOSE(ArtifactsInput!$N$24+1,10,12,14,16,18,20)+IF(ArtifactsInput!$M$10,CHOOSE(ArtifactsInput!$N$10+1,15,18,21,24,27,30)*(IF(Inputs!$B$38="pvp",MIN(15,15)/15,IF(AND(Inputs!$B$38&lt;&gt;"pvp",Inputs!$B$43&gt;0),MIN(15,Inputs!$B$43)/(Inputs!$B$43),0))),0)))&gt;=100),CHOOSE(ArtifactsInput!$N$42+1,40,48,56,64,72,80),0))))/100)*((1+(((C3248=TRUE)*F3248)+((C3249=TRUE)*IF(Inputs!$B$38="pvp",F3249,(1-Summary!$B$11)*(F3249)+Summary!$B$11*(0)))+((C3250=TRUE)*F3250*IF(AND(Inputs!$B$38&lt;&gt;"pvp",Inputs!$B$43&gt;0),(((R3250-1)*(Skills!T15*(1+Inputs!$B$34/100))+MIN((Skills!T15*(1+Inputs!$B$34/100)),MAX(0,Inputs!$B$43-((R3250-1)*Skills!D15))))/Inputs!$B$43),IF(Inputs!$B$38="pvp",MIN((Skills!T15*(1+Inputs!$B$34/100)),15)/15,(Skills!T15*(1+Inputs!$B$34/100))/Skills!D15)))+((C3247=TRUE)*F3247)+((C3264=TRUE)*(F3264-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3246)</f>
        <v/>
      </c>
      <c r="L3246">
        <f>K3246*(MIN(Inputs!$B$22+((C3258=TRUE)*(F3258-Calc!F23)),(Inputs!$B$23+((C3263=TRUE)*(F3263-Calc!F28))+(IF(ArtifactsInput!$M$15,CHOOSE(ArtifactsInput!$N$15+1,25,30,35,40,45,50)/100*(Inputs!$B$11-Inputs!$B$11),0))))/100+(Inputs!$B$23+((C3263=TRUE)*(F3263-Calc!F28))+(IF(ArtifactsInput!$M$15,CHOOSE(ArtifactsInput!$N$15+1,25,30,35,40,45,50)/100*(Inputs!$B$11-Inputs!$B$11),0)))/100)/2</f>
        <v/>
      </c>
      <c r="M3246">
        <f>L3246*(1+(Inputs!$B$10+0+B3272+(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246">
        <f>L3246*(1-MIN((Inputs!$B$9+((C3254=TRUE)*(F3254-Calc!F19))+B3267+(ArtifactsInput!$M$24-ArtifactsInput!$M$24)*CHOOSE(ArtifactsInput!$N$24+1,10,12,14,16,18,20)+(IF(AND(ArtifactsInput!$M$42,((Inputs!$B$9+((C3254=TRUE)*(F3254-Calc!F19))+B3267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3246*(MIN((Inputs!$B$9+((C3254=TRUE)*(F3254-Calc!F19))+B3267+(ArtifactsInput!$M$24-ArtifactsInput!$M$24)*CHOOSE(ArtifactsInput!$N$24+1,10,12,14,16,18,20)+(IF(AND(ArtifactsInput!$M$42,((Inputs!$B$9+((C3254=TRUE)*(F3254-Calc!F19))+B3267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246">
        <f>(1-Summary!$B$11)*T3246+Summary!$B$11*V3246</f>
        <v/>
      </c>
      <c r="P3246">
        <f>IF(B3277=0,0,O3246/B3277)</f>
        <v/>
      </c>
      <c r="Q3246">
        <f>IFERROR(1/IF(Inputs!$B$38="pvp",15,MAX(0.1,Skills!D11-IF(Skills!E11=TRUE,4.5,0))),0)</f>
        <v/>
      </c>
      <c r="R3246">
        <f>IF(AND(Inputs!$B$38&lt;&gt;"pvp",Inputs!$B$43&gt;0),IF(MAX(0,Inputs!$B$43-B3274)&lt;=0,0,(INT(MAX(0,Inputs!$B$43-B3274)/IF(Inputs!$B$38="pvp",15,MAX(0.1,Skills!D11-IF(Skills!E11=TRUE,4.5,0))))+1)),0)</f>
        <v/>
      </c>
      <c r="S3246">
        <f>IFERROR((H3246*N3246*IF(AND(Inputs!$B$38&lt;&gt;"pvp",Inputs!$B$43&gt;0),((Skills!G11*((R3246-1)*IF(Skills!H11&gt;0,Skills!I11/Skills!H11,1)+IF(Skills!H11&gt;0,MIN(Skills!I11,MAX(0,MAX(0,Inputs!$B$43-B3274)-((R3246-1)*IF(Inputs!$B$38="pvp",15,MAX(0.1,Skills!D11-IF(Skills!E11=TRUE,4.5,0))))))/Skills!H11,1)))/Inputs!$B$43),G3246*Q3246))/N3246*IF(Inputs!$B$38="pvp",1,(1-Summary!$B$11)*1+Summary!$B$11*(MIN(Skills!R11,Inputs!$B$37))),0)</f>
        <v/>
      </c>
      <c r="T3246">
        <f>IF(C3246,(H3246*N3246*IF(AND(Inputs!$B$38&lt;&gt;"pvp",Inputs!$B$43&gt;0),((Skills!G11*((R3246-1)*IF(Skills!H11&gt;0,Skills!I11/Skills!H11,1)+IF(Skills!H11&gt;0,MIN(Skills!I11,MAX(0,MAX(0,Inputs!$B$43-B3274)-((R3246-1)*IF(Inputs!$B$38="pvp",15,MAX(0.1,Skills!D11-IF(Skills!E11=TRUE,4.5,0))))))/Skills!H11,1)))/Inputs!$B$43),G3246*Q3246))*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Hunt"),CHOOSE(ArtifactsInput!$N$35+1,15,18,21,24,27,30)*(1-EXP(-(0.2*B3269)*5)),0)+IF(AND(ArtifactsInput!$M$22,Inputs!$B$4&lt;&gt;"Chapter Hunt"),CHOOSE(ArtifactsInput!$N$22+1,10,12,14,16,18,20)*((0*(((0.15*B3269*5))^0/1)+1*(((0.15*B3269*5))^1/1)+2*(((0.15*B3269*5))^2/2)+3*(((0.15*B3269*5))^3/6)+4*(((0.15*B3269*5))^4/24)+5*(((0.15*B3269*5))^5/120))/((((0.15*B3269*5))^0/1)+(((0.15*B3269*5))^1/1)+(((0.15*B3269*5))^2/2)+(((0.15*B3269*5))^3/6)+(((0.15*B3269*5))^4/24)+(((0.15*B3269*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3246*(1-MIN(100,(Inputs!$B$9+((C3254=TRUE)*(F3254-Calc!F19))+B3267+(ArtifactsInput!$M$24-ArtifactsInput!$M$24)*CHOOSE(ArtifactsInput!$N$24+1,10,12,14,16,18,20)+(IF(AND(ArtifactsInput!$M$42,((Inputs!$B$9+((C3254=TRUE)*(F3254-Calc!F19))+B3267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3246*(MIN(100,(Inputs!$B$9+((C3254=TRUE)*(F3254-Calc!F19))+B3267+(ArtifactsInput!$M$24-ArtifactsInput!$M$24)*CHOOSE(ArtifactsInput!$N$24+1,10,12,14,16,18,20)+(IF(AND(ArtifactsInput!$M$42,((Inputs!$B$9+((C3254=TRUE)*(F3254-Calc!F19))+B3267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3246*(1-MIN(100,(Inputs!$B$9+((C3254=TRUE)*(F3254-Calc!F19))+B3267+(ArtifactsInput!$M$24-ArtifactsInput!$M$24)*CHOOSE(ArtifactsInput!$N$24+1,10,12,14,16,18,20)+(IF(AND(ArtifactsInput!$M$42,((Inputs!$B$9+((C3254=TRUE)*(F3254-Calc!F19))+B3267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3246*(MIN(100,(Inputs!$B$9+((C3254=TRUE)*(F3254-Calc!F19))+B3267+(ArtifactsInput!$M$24-ArtifactsInput!$M$24)*CHOOSE(ArtifactsInput!$N$24+1,10,12,14,16,18,20)+(IF(AND(ArtifactsInput!$M$42,((Inputs!$B$9+((C3254=TRUE)*(F3254-Calc!F19))+B3267+(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246">
        <f>IF(C3246,(H3246*N3246*IF(AND(Inputs!$B$38&lt;&gt;"pvp",Inputs!$B$43&gt;0),((Skills!G11*((R3246-1)*IF(Skills!H11&gt;0,Skills!I11/Skills!H11,1)+IF(Skills!H11&gt;0,MIN(Skills!I11,MAX(0,MAX(0,Inputs!$B$43-B3274)-((R3246-1)*IF(Inputs!$B$38="pvp",15,MAX(0.1,Skills!D11-IF(Skills!E11=TRUE,4.5,0))))))/Skills!H11,1)))/Inputs!$B$43),G3246*Q3246))*IF(Inputs!$B$38="pvp",1,(1+(Inputs!$B$21+Skills!Q11+(IF(ArtifactsInput!$M$33,CHOOSE(ArtifactsInput!$N$33+1,30,36,42,48,54,60),0))+(IF(AND(ArtifactsInput!$M$35,Inputs!$B$4&lt;&gt;"Chapter Hunt"),CHOOSE(ArtifactsInput!$N$35+1,15,18,21,24,27,30)*(1-EXP(-(0.2*B3269)*5)),0)+IF(AND(ArtifactsInput!$M$22,Inputs!$B$4&lt;&gt;"Chapter Hunt"),CHOOSE(ArtifactsInput!$N$22+1,10,12,14,16,18,20)*((0*(((0.15*B3269*5))^0/1)+1*(((0.15*B3269*5))^1/1)+2*(((0.15*B3269*5))^2/2)+3*(((0.15*B3269*5))^3/6)+4*(((0.15*B3269*5))^4/24)+5*(((0.15*B3269*5))^5/120))/((((0.15*B3269*5))^0/1)+(((0.15*B3269*5))^1/1)+(((0.15*B3269*5))^2/2)+(((0.15*B3269*5))^3/6)+(((0.15*B3269*5))^4/24)+(((0.15*B3269*5))^5/120))),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247">
      <c r="A3247">
        <f>Skills!A12</f>
        <v/>
      </c>
      <c r="B3247">
        <f>Skills!B12</f>
        <v/>
      </c>
      <c r="C3247">
        <f>Inputs!$B$3&gt;=60</f>
        <v/>
      </c>
      <c r="D3247">
        <f>IF(Skills!C12=1,60+Inputs!$B$25+Inputs!$B$29,IF(Skills!C12=2,90+Inputs!$B$26+Inputs!$B$29,IF(Skills!C12=3,120+Inputs!$B$27+Inputs!$B$29,MAX(0,(Inputs!$B$3-100)*3)+Inputs!$B$28+Inputs!$B$29)))</f>
        <v/>
      </c>
      <c r="E3247">
        <f>INDEX(FactorTable!$B$2:$Y$301, MATCH(ROUND(MIN(300,MAX(1,D3247)),0), FactorTable!$A$2:$A$301,0), Skills!M12+1)</f>
        <v/>
      </c>
      <c r="F3247">
        <f>IF(Skills!N12=TRUE,(Skills!L12/10)*(E3247/1000),Skills!L12/10)+Skills!O12</f>
        <v/>
      </c>
      <c r="G3247">
        <f>Skills!G12*IF(Skills!H12&gt;0,Skills!I12/Skills!H12,1)</f>
        <v/>
      </c>
      <c r="H3247">
        <f>1-(1-Skills!J12/100)^Skills!K12</f>
        <v/>
      </c>
      <c r="I3247" t="inlineStr">
        <is>
          <t>1</t>
        </is>
      </c>
      <c r="J3247" t="inlineStr"/>
      <c r="K3247" t="inlineStr"/>
      <c r="L3247" t="inlineStr"/>
      <c r="M3247" t="inlineStr"/>
      <c r="N3247" t="inlineStr"/>
      <c r="O3247">
        <f>(1-Summary!$B$11)*T3247+Summary!$B$11*V3247</f>
        <v/>
      </c>
      <c r="P3247">
        <f>IF(B3277=0,0,O3247/B3277)</f>
        <v/>
      </c>
      <c r="Q3247" t="n">
        <v>0</v>
      </c>
      <c r="R3247" t="n">
        <v>0</v>
      </c>
      <c r="S3247" t="n">
        <v>0</v>
      </c>
      <c r="T3247" t="n">
        <v>0</v>
      </c>
      <c r="V3247" t="n">
        <v>0</v>
      </c>
    </row>
    <row r="3248">
      <c r="A3248">
        <f>Skills!A13</f>
        <v/>
      </c>
      <c r="B3248">
        <f>Skills!B13</f>
        <v/>
      </c>
      <c r="C3248">
        <f>Inputs!$B$3&gt;=74</f>
        <v/>
      </c>
      <c r="D3248">
        <f>IF(Skills!C13=1,60+Inputs!$B$25+Inputs!$B$29,IF(Skills!C13=2,90+Inputs!$B$26+Inputs!$B$29,IF(Skills!C13=3,120+Inputs!$B$27+Inputs!$B$29,MAX(0,(Inputs!$B$3-100)*3)+Inputs!$B$28+Inputs!$B$29)))</f>
        <v/>
      </c>
      <c r="E3248">
        <f>INDEX(FactorTable!$B$2:$Y$301, MATCH(ROUND(MIN(300,MAX(1,D3248)),0), FactorTable!$A$2:$A$301,0), Skills!M13+1)</f>
        <v/>
      </c>
      <c r="F3248">
        <f>IF(Skills!N13=TRUE,(Skills!L13/10)*(E3248/1000),Skills!L13/10)+Skills!O13</f>
        <v/>
      </c>
      <c r="G3248">
        <f>Skills!G13*IF(Skills!H13&gt;0,Skills!I13/Skills!H13,1)</f>
        <v/>
      </c>
      <c r="H3248">
        <f>1-(1-Skills!J13/100)^Skills!K13</f>
        <v/>
      </c>
      <c r="I3248" t="inlineStr">
        <is>
          <t>1</t>
        </is>
      </c>
      <c r="J3248" t="inlineStr"/>
      <c r="K3248" t="inlineStr"/>
      <c r="L3248" t="inlineStr"/>
      <c r="M3248" t="inlineStr"/>
      <c r="N3248" t="inlineStr"/>
      <c r="O3248">
        <f>(1-Summary!$B$11)*T3248+Summary!$B$11*V3248</f>
        <v/>
      </c>
      <c r="P3248">
        <f>IF(B3277=0,0,O3248/B3277)</f>
        <v/>
      </c>
      <c r="Q3248" t="n">
        <v>0</v>
      </c>
      <c r="R3248" t="n">
        <v>0</v>
      </c>
      <c r="S3248" t="n">
        <v>0</v>
      </c>
      <c r="T3248" t="n">
        <v>0</v>
      </c>
      <c r="V3248" t="n">
        <v>0</v>
      </c>
    </row>
    <row r="3249">
      <c r="A3249">
        <f>Skills!A14</f>
        <v/>
      </c>
      <c r="B3249">
        <f>Skills!B14</f>
        <v/>
      </c>
      <c r="C3249">
        <f>Inputs!$B$3&gt;=74</f>
        <v/>
      </c>
      <c r="D3249">
        <f>IF(Skills!C14=1,60+Inputs!$B$25+Inputs!$B$29,IF(Skills!C14=2,90+Inputs!$B$26+Inputs!$B$29,IF(Skills!C14=3,120+Inputs!$B$27+Inputs!$B$29,MAX(0,(Inputs!$B$3-100)*3)+Inputs!$B$28+Inputs!$B$29)))</f>
        <v/>
      </c>
      <c r="E3249">
        <f>INDEX(FactorTable!$B$2:$Y$301, MATCH(ROUND(MIN(300,MAX(1,D3249)),0), FactorTable!$A$2:$A$301,0), Skills!M14+1)</f>
        <v/>
      </c>
      <c r="F3249">
        <f>IF(Skills!N14=TRUE,(Skills!L14/10)*(E3249/1000),Skills!L14/10)+Skills!O14</f>
        <v/>
      </c>
      <c r="G3249">
        <f>Skills!G14*IF(Skills!H14&gt;0,Skills!I14/Skills!H14,1)</f>
        <v/>
      </c>
      <c r="H3249">
        <f>1-(1-Skills!J14/100)^Skills!K14</f>
        <v/>
      </c>
      <c r="I3249" t="inlineStr">
        <is>
          <t>1</t>
        </is>
      </c>
      <c r="J3249" t="inlineStr"/>
      <c r="K3249" t="inlineStr"/>
      <c r="L3249" t="inlineStr"/>
      <c r="M3249" t="inlineStr"/>
      <c r="N3249" t="inlineStr"/>
      <c r="O3249">
        <f>(1-Summary!$B$11)*T3249+Summary!$B$11*V3249</f>
        <v/>
      </c>
      <c r="P3249">
        <f>IF(B3277=0,0,O3249/B3277)</f>
        <v/>
      </c>
      <c r="Q3249" t="n">
        <v>0</v>
      </c>
      <c r="R3249" t="n">
        <v>0</v>
      </c>
      <c r="S3249" t="n">
        <v>0</v>
      </c>
      <c r="T3249" t="n">
        <v>0</v>
      </c>
      <c r="V3249" t="n">
        <v>0</v>
      </c>
    </row>
    <row r="3250">
      <c r="A3250">
        <f>Skills!A15</f>
        <v/>
      </c>
      <c r="B3250">
        <f>Skills!B15</f>
        <v/>
      </c>
      <c r="C3250">
        <f>Inputs!$B$3&gt;=117</f>
        <v/>
      </c>
      <c r="D3250">
        <f>IF(Skills!C15=1,60+Inputs!$B$25+Inputs!$B$29,IF(Skills!C15=2,90+Inputs!$B$26+Inputs!$B$29,IF(Skills!C15=3,120+Inputs!$B$27+Inputs!$B$29,MAX(0,(Inputs!$B$3-100)*3)+Inputs!$B$28+Inputs!$B$29)))</f>
        <v/>
      </c>
      <c r="E3250">
        <f>INDEX(FactorTable!$B$2:$Y$301, MATCH(ROUND(MIN(300,MAX(1,D3250)),0), FactorTable!$A$2:$A$301,0), Skills!M15+1)</f>
        <v/>
      </c>
      <c r="F3250">
        <f>IF(Skills!N15=TRUE,(Skills!L15/10)*(E3250/1000),Skills!L15/10)+Skills!O15</f>
        <v/>
      </c>
      <c r="G3250">
        <f>Skills!G15*IF(Skills!H15&gt;0,Skills!I15/Skills!H15,1)</f>
        <v/>
      </c>
      <c r="H3250">
        <f>1-(1-Skills!J15/100)^Skills!K15</f>
        <v/>
      </c>
      <c r="I3250" t="inlineStr">
        <is>
          <t>1</t>
        </is>
      </c>
      <c r="J3250" t="inlineStr"/>
      <c r="K3250" t="inlineStr"/>
      <c r="L3250" t="inlineStr"/>
      <c r="M3250" t="inlineStr"/>
      <c r="N3250" t="inlineStr"/>
      <c r="O3250">
        <f>(1-Summary!$B$11)*T3250+Summary!$B$11*V3250</f>
        <v/>
      </c>
      <c r="P3250">
        <f>IF(B3277=0,0,O3250/B3277)</f>
        <v/>
      </c>
      <c r="Q3250">
        <f>IFERROR(1/IF(Inputs!$B$38="pvp",15,MAX(0.1,Skills!D15-IF(Skills!E15=TRUE,4.5,0))),0)</f>
        <v/>
      </c>
      <c r="R3250">
        <f>IF(AND(Inputs!$B$38&lt;&gt;"pvp",Inputs!$B$43&gt;0),IF(Inputs!$B$43&lt;=0,0,(INT(Inputs!$B$43/IF(Inputs!$B$38="pvp",15,MAX(0.1,Skills!D15-IF(Skills!E15=TRUE,4.5,0))))+1)),0)</f>
        <v/>
      </c>
      <c r="S3250" t="n">
        <v>0</v>
      </c>
      <c r="T3250" t="n">
        <v>0</v>
      </c>
      <c r="V3250" t="n">
        <v>0</v>
      </c>
    </row>
    <row r="3251">
      <c r="A3251">
        <f>Skills!A16</f>
        <v/>
      </c>
      <c r="B3251">
        <f>Skills!B16</f>
        <v/>
      </c>
      <c r="C3251">
        <f>Inputs!$B$3&gt;=115</f>
        <v/>
      </c>
      <c r="D3251">
        <f>IF(Skills!C16=1,60+Inputs!$B$25+Inputs!$B$29,IF(Skills!C16=2,90+Inputs!$B$26+Inputs!$B$29,IF(Skills!C16=3,120+Inputs!$B$27+Inputs!$B$29,MAX(0,(Inputs!$B$3-100)*3)+Inputs!$B$28+Inputs!$B$29)))</f>
        <v/>
      </c>
      <c r="E3251">
        <f>INDEX(FactorTable!$B$2:$Y$301, MATCH(ROUND(MIN(300,MAX(1,D3251)),0), FactorTable!$A$2:$A$301,0), Skills!M16+1)</f>
        <v/>
      </c>
      <c r="F3251">
        <f>IF(Skills!N16=TRUE,(Skills!L16/10)*(E3251/1000),Skills!L16/10)+Skills!O16</f>
        <v/>
      </c>
      <c r="G3251">
        <f>Skills!G16*IF(Skills!H16&gt;0,Skills!I16/Skills!H16,1)</f>
        <v/>
      </c>
      <c r="H3251">
        <f>1-(1-Skills!J16/100)^Skills!K16</f>
        <v/>
      </c>
      <c r="I3251" t="inlineStr">
        <is>
          <t>1</t>
        </is>
      </c>
      <c r="J3251" t="inlineStr"/>
      <c r="K3251" t="inlineStr"/>
      <c r="L3251" t="inlineStr"/>
      <c r="M3251" t="inlineStr"/>
      <c r="N3251" t="inlineStr"/>
      <c r="O3251">
        <f>(1-Summary!$B$11)*T3251+Summary!$B$11*V3251</f>
        <v/>
      </c>
      <c r="P3251">
        <f>IF(B3277=0,0,O3251/B3277)</f>
        <v/>
      </c>
      <c r="Q3251">
        <f>IFERROR(1/IF(Inputs!$B$38="pvp",15,MAX(0.1,Skills!D16-IF(Skills!E16=TRUE,4.5,0))),0)</f>
        <v/>
      </c>
      <c r="R3251">
        <f>IF(AND(Inputs!$B$38&lt;&gt;"pvp",Inputs!$B$43&gt;0),IF(Inputs!$B$43&lt;=0,0,(INT(Inputs!$B$43/IF(Inputs!$B$38="pvp",15,MAX(0.1,Skills!D16-IF(Skills!E16=TRUE,4.5,0))))+1)),0)</f>
        <v/>
      </c>
      <c r="S3251" t="n">
        <v>0</v>
      </c>
      <c r="T3251" t="n">
        <v>0</v>
      </c>
      <c r="V3251" t="n">
        <v>0</v>
      </c>
    </row>
    <row r="3252">
      <c r="A3252">
        <f>Skills!A17</f>
        <v/>
      </c>
      <c r="B3252">
        <f>Skills!B17</f>
        <v/>
      </c>
      <c r="C3252">
        <f>Inputs!$B$3&gt;=72</f>
        <v/>
      </c>
      <c r="D3252">
        <f>IF(Skills!C17=1,60+Inputs!$B$25+Inputs!$B$29,IF(Skills!C17=2,90+Inputs!$B$26+Inputs!$B$29,IF(Skills!C17=3,120+Inputs!$B$27+Inputs!$B$29,MAX(0,(Inputs!$B$3-100)*3)+Inputs!$B$28+Inputs!$B$29)))</f>
        <v/>
      </c>
      <c r="E3252">
        <f>INDEX(FactorTable!$B$2:$Y$301, MATCH(ROUND(MIN(300,MAX(1,D3252)),0), FactorTable!$A$2:$A$301,0), Skills!M17+1)</f>
        <v/>
      </c>
      <c r="F3252">
        <f>IF(Skills!N17=TRUE,(Skills!L17/10)*(E3252/1000),Skills!L17/10)+Skills!O17</f>
        <v/>
      </c>
      <c r="G3252">
        <f>Skills!G17*IF(Skills!H17&gt;0,Skills!I17/Skills!H17,1)</f>
        <v/>
      </c>
      <c r="H3252">
        <f>1-(1-Skills!J17/100)^Skills!K17</f>
        <v/>
      </c>
      <c r="I3252" t="inlineStr">
        <is>
          <t>1</t>
        </is>
      </c>
      <c r="J3252" t="inlineStr"/>
      <c r="K3252" t="inlineStr"/>
      <c r="L3252" t="inlineStr"/>
      <c r="M3252" t="inlineStr"/>
      <c r="N3252" t="inlineStr"/>
      <c r="O3252">
        <f>(1-Summary!$B$11)*T3252+Summary!$B$11*V3252</f>
        <v/>
      </c>
      <c r="P3252">
        <f>IF(B3277=0,0,O3252/B3277)</f>
        <v/>
      </c>
      <c r="Q3252" t="n">
        <v>0</v>
      </c>
      <c r="R3252" t="n">
        <v>0</v>
      </c>
      <c r="S3252" t="n">
        <v>0</v>
      </c>
      <c r="T3252" t="n">
        <v>0</v>
      </c>
      <c r="V3252" t="n">
        <v>0</v>
      </c>
    </row>
    <row r="3253">
      <c r="A3253">
        <f>Skills!A18</f>
        <v/>
      </c>
      <c r="B3253">
        <f>Skills!B18</f>
        <v/>
      </c>
      <c r="C3253">
        <f>TRUE</f>
        <v/>
      </c>
      <c r="D3253">
        <f>IF(Skills!C18=1,60+Inputs!$B$25+Inputs!$B$29,IF(Skills!C18=2,90+Inputs!$B$26+Inputs!$B$29,IF(Skills!C18=3,120+Inputs!$B$27+Inputs!$B$29,MAX(0,(Inputs!$B$3-100)*3)+Inputs!$B$28+Inputs!$B$29)))</f>
        <v/>
      </c>
      <c r="E3253">
        <f>INDEX(FactorTable!$B$2:$Y$301, MATCH(ROUND(MIN(300,MAX(1,D3253)),0), FactorTable!$A$2:$A$301,0), Skills!M18+1)</f>
        <v/>
      </c>
      <c r="F3253">
        <f>IF(Skills!N18=TRUE,(Skills!L18/10)*(E3253/1000),Skills!L18/10)+Skills!O18</f>
        <v/>
      </c>
      <c r="G3253">
        <f>Skills!G18*IF(Skills!H18&gt;0,Skills!I18/Skills!H18,1)</f>
        <v/>
      </c>
      <c r="H3253">
        <f>1-(1-Skills!J18/100)^Skills!K18</f>
        <v/>
      </c>
      <c r="I3253" t="inlineStr">
        <is>
          <t>1</t>
        </is>
      </c>
      <c r="J3253" t="inlineStr"/>
      <c r="K3253" t="inlineStr"/>
      <c r="L3253" t="inlineStr"/>
      <c r="M3253" t="inlineStr"/>
      <c r="N3253" t="inlineStr"/>
      <c r="O3253">
        <f>(1-Summary!$B$11)*T3253+Summary!$B$11*V3253</f>
        <v/>
      </c>
      <c r="P3253">
        <f>IF(B3277=0,0,O3253/B3277)</f>
        <v/>
      </c>
      <c r="Q3253">
        <f>IFERROR(1/IF(Inputs!$B$38="pvp",15,MAX(0.1,Skills!D18-IF(Skills!E18=TRUE,4.5,0))),0)</f>
        <v/>
      </c>
      <c r="R3253">
        <f>IF(AND(Inputs!$B$38&lt;&gt;"pvp",Inputs!$B$43&gt;0),IF(Inputs!$B$43&lt;=0,0,(INT(Inputs!$B$43/IF(Inputs!$B$38="pvp",15,MAX(0.1,Skills!D18-IF(Skills!E18=TRUE,4.5,0))))+1)),0)</f>
        <v/>
      </c>
      <c r="S3253" t="n">
        <v>0</v>
      </c>
      <c r="T3253" t="n">
        <v>0</v>
      </c>
      <c r="V3253" t="n">
        <v>0</v>
      </c>
    </row>
    <row r="3254">
      <c r="A3254">
        <f>Skills!A19</f>
        <v/>
      </c>
      <c r="B3254">
        <f>Skills!B19</f>
        <v/>
      </c>
      <c r="C3254">
        <f>Inputs!$B$3&gt;=15</f>
        <v/>
      </c>
      <c r="D3254">
        <f>IF(Skills!C19=1,60+Inputs!$B$25+Inputs!$B$29,IF(Skills!C19=2,90+Inputs!$B$26+Inputs!$B$29,IF(Skills!C19=3,120+Inputs!$B$27+Inputs!$B$29,MAX(0,(Inputs!$B$3-100)*3)+Inputs!$B$28+Inputs!$B$29)))</f>
        <v/>
      </c>
      <c r="E3254">
        <f>INDEX(FactorTable!$B$2:$Y$301, MATCH(ROUND(MIN(300,MAX(1,D3254)),0), FactorTable!$A$2:$A$301,0), Skills!M19+1)</f>
        <v/>
      </c>
      <c r="F3254">
        <f>IF(Skills!N19=TRUE,(Skills!L19/10)*(E3254/1000),Skills!L19/10)+Skills!O19</f>
        <v/>
      </c>
      <c r="G3254">
        <f>Skills!G19*IF(Skills!H19&gt;0,Skills!I19/Skills!H19,1)</f>
        <v/>
      </c>
      <c r="H3254">
        <f>1-(1-Skills!J19/100)^Skills!K19</f>
        <v/>
      </c>
      <c r="I3254" t="inlineStr">
        <is>
          <t>1</t>
        </is>
      </c>
      <c r="J3254" t="inlineStr"/>
      <c r="K3254" t="inlineStr"/>
      <c r="L3254" t="inlineStr"/>
      <c r="M3254" t="inlineStr"/>
      <c r="N3254" t="inlineStr"/>
      <c r="O3254">
        <f>(1-Summary!$B$11)*T3254+Summary!$B$11*V3254</f>
        <v/>
      </c>
      <c r="P3254">
        <f>IF(B3277=0,0,O3254/B3277)</f>
        <v/>
      </c>
      <c r="Q3254" t="n">
        <v>0</v>
      </c>
      <c r="R3254" t="n">
        <v>0</v>
      </c>
      <c r="S3254" t="n">
        <v>0</v>
      </c>
      <c r="T3254" t="n">
        <v>0</v>
      </c>
      <c r="V3254" t="n">
        <v>0</v>
      </c>
    </row>
    <row r="3255">
      <c r="A3255">
        <f>Skills!A20</f>
        <v/>
      </c>
      <c r="B3255">
        <f>Skills!B20</f>
        <v/>
      </c>
      <c r="C3255">
        <f>Inputs!$B$3&gt;=10</f>
        <v/>
      </c>
      <c r="D3255">
        <f>IF(Skills!C20=1,60+Inputs!$B$25+Inputs!$B$29,IF(Skills!C20=2,90+Inputs!$B$26+Inputs!$B$29,IF(Skills!C20=3,120+Inputs!$B$27+Inputs!$B$29,MAX(0,(Inputs!$B$3-100)*3)+Inputs!$B$28+Inputs!$B$29)))</f>
        <v/>
      </c>
      <c r="E3255">
        <f>INDEX(FactorTable!$B$2:$Y$301, MATCH(ROUND(MIN(300,MAX(1,D3255)),0), FactorTable!$A$2:$A$301,0), Skills!M20+1)</f>
        <v/>
      </c>
      <c r="F3255">
        <f>IF(Skills!N20=TRUE,(Skills!L20/10)*(E3255/1000),Skills!L20/10)+Skills!O20</f>
        <v/>
      </c>
      <c r="G3255">
        <f>Skills!G20*IF(Skills!H20&gt;0,Skills!I20/Skills!H20,1)</f>
        <v/>
      </c>
      <c r="H3255">
        <f>1-(1-Skills!J20/100)^Skills!K20</f>
        <v/>
      </c>
      <c r="I3255" t="inlineStr">
        <is>
          <t>1</t>
        </is>
      </c>
      <c r="J3255" t="inlineStr"/>
      <c r="K3255" t="inlineStr"/>
      <c r="L3255" t="inlineStr"/>
      <c r="M3255" t="inlineStr"/>
      <c r="N3255" t="inlineStr"/>
      <c r="O3255">
        <f>(1-Summary!$B$11)*T3255+Summary!$B$11*V3255</f>
        <v/>
      </c>
      <c r="P3255">
        <f>IF(B3277=0,0,O3255/B3277)</f>
        <v/>
      </c>
      <c r="Q3255" t="n">
        <v>0</v>
      </c>
      <c r="R3255" t="n">
        <v>0</v>
      </c>
      <c r="S3255" t="n">
        <v>0</v>
      </c>
      <c r="T3255" t="n">
        <v>0</v>
      </c>
      <c r="V3255" t="n">
        <v>0</v>
      </c>
    </row>
    <row r="3256">
      <c r="A3256">
        <f>Skills!A21</f>
        <v/>
      </c>
      <c r="B3256">
        <f>Skills!B21</f>
        <v/>
      </c>
      <c r="C3256">
        <f>Inputs!$B$3&gt;=33</f>
        <v/>
      </c>
      <c r="D3256">
        <f>IF(Skills!C21=1,60+Inputs!$B$25+Inputs!$B$29,IF(Skills!C21=2,90+Inputs!$B$26+Inputs!$B$29,IF(Skills!C21=3,120+Inputs!$B$27+Inputs!$B$29,MAX(0,(Inputs!$B$3-100)*3)+Inputs!$B$28+Inputs!$B$29)))</f>
        <v/>
      </c>
      <c r="E3256">
        <f>INDEX(FactorTable!$B$2:$Y$301, MATCH(ROUND(MIN(300,MAX(1,D3256)),0), FactorTable!$A$2:$A$301,0), Skills!M21+1)</f>
        <v/>
      </c>
      <c r="F3256">
        <f>IF(Skills!N21=TRUE,(Skills!L21/10)*(E3256/1000),Skills!L21/10)+Skills!O21</f>
        <v/>
      </c>
      <c r="G3256">
        <f>Skills!G21*IF(Skills!H21&gt;0,Skills!I21/Skills!H21,1)</f>
        <v/>
      </c>
      <c r="H3256">
        <f>1-(1-Skills!J21/100)^Skills!K21</f>
        <v/>
      </c>
      <c r="I3256" t="inlineStr">
        <is>
          <t>1</t>
        </is>
      </c>
      <c r="J3256" t="inlineStr"/>
      <c r="K3256" t="inlineStr"/>
      <c r="L3256" t="inlineStr"/>
      <c r="M3256" t="inlineStr"/>
      <c r="N3256" t="inlineStr"/>
      <c r="O3256">
        <f>(1-Summary!$B$11)*T3256+Summary!$B$11*V3256</f>
        <v/>
      </c>
      <c r="P3256">
        <f>IF(B3277=0,0,O3256/B3277)</f>
        <v/>
      </c>
      <c r="Q3256" t="n">
        <v>0</v>
      </c>
      <c r="R3256" t="n">
        <v>0</v>
      </c>
      <c r="S3256" t="n">
        <v>0</v>
      </c>
      <c r="T3256" t="n">
        <v>0</v>
      </c>
      <c r="V3256" t="n">
        <v>0</v>
      </c>
    </row>
    <row r="3257">
      <c r="A3257">
        <f>Skills!A22</f>
        <v/>
      </c>
      <c r="B3257">
        <f>Skills!B22</f>
        <v/>
      </c>
      <c r="C3257">
        <f>Inputs!$B$3&gt;=38</f>
        <v/>
      </c>
      <c r="D3257">
        <f>IF(Skills!C22=1,60+Inputs!$B$25+Inputs!$B$29,IF(Skills!C22=2,90+Inputs!$B$26+Inputs!$B$29,IF(Skills!C22=3,120+Inputs!$B$27+Inputs!$B$29,MAX(0,(Inputs!$B$3-100)*3)+Inputs!$B$28+Inputs!$B$29)))</f>
        <v/>
      </c>
      <c r="E3257">
        <f>INDEX(FactorTable!$B$2:$Y$301, MATCH(ROUND(MIN(300,MAX(1,D3257)),0), FactorTable!$A$2:$A$301,0), Skills!M22+1)</f>
        <v/>
      </c>
      <c r="F3257">
        <f>IF(Skills!N22=TRUE,(Skills!L22/10)*(E3257/1000),Skills!L22/10)+Skills!O22</f>
        <v/>
      </c>
      <c r="G3257">
        <f>Skills!G22*IF(Skills!H22&gt;0,Skills!I22/Skills!H22,1)</f>
        <v/>
      </c>
      <c r="H3257">
        <f>1-(1-Skills!J22/100)^Skills!K22</f>
        <v/>
      </c>
      <c r="I3257" t="inlineStr">
        <is>
          <t>1</t>
        </is>
      </c>
      <c r="J3257" t="inlineStr"/>
      <c r="K3257" t="inlineStr"/>
      <c r="L3257" t="inlineStr"/>
      <c r="M3257" t="inlineStr"/>
      <c r="N3257" t="inlineStr"/>
      <c r="O3257">
        <f>(1-Summary!$B$11)*T3257+Summary!$B$11*V3257</f>
        <v/>
      </c>
      <c r="P3257">
        <f>IF(B3277=0,0,O3257/B3277)</f>
        <v/>
      </c>
      <c r="Q3257" t="n">
        <v>0</v>
      </c>
      <c r="R3257" t="n">
        <v>0</v>
      </c>
      <c r="S3257" t="n">
        <v>0</v>
      </c>
      <c r="T3257" t="n">
        <v>0</v>
      </c>
      <c r="V3257" t="n">
        <v>0</v>
      </c>
    </row>
    <row r="3258">
      <c r="A3258">
        <f>Skills!A23</f>
        <v/>
      </c>
      <c r="B3258">
        <f>Skills!B23</f>
        <v/>
      </c>
      <c r="C3258">
        <f>Inputs!$B$3&gt;=43</f>
        <v/>
      </c>
      <c r="D3258">
        <f>IF(Skills!C23=1,60+Inputs!$B$25+Inputs!$B$29,IF(Skills!C23=2,90+Inputs!$B$26+Inputs!$B$29,IF(Skills!C23=3,120+Inputs!$B$27+Inputs!$B$29,MAX(0,(Inputs!$B$3-100)*3)+Inputs!$B$28+Inputs!$B$29)))</f>
        <v/>
      </c>
      <c r="E3258">
        <f>INDEX(FactorTable!$B$2:$Y$301, MATCH(ROUND(MIN(300,MAX(1,D3258)),0), FactorTable!$A$2:$A$301,0), Skills!M23+1)</f>
        <v/>
      </c>
      <c r="F3258">
        <f>IF(Skills!N23=TRUE,(Skills!L23/10)*(E3258/1000),Skills!L23/10)+Skills!O23</f>
        <v/>
      </c>
      <c r="G3258">
        <f>Skills!G23*IF(Skills!H23&gt;0,Skills!I23/Skills!H23,1)</f>
        <v/>
      </c>
      <c r="H3258">
        <f>1-(1-Skills!J23/100)^Skills!K23</f>
        <v/>
      </c>
      <c r="I3258" t="inlineStr">
        <is>
          <t>1</t>
        </is>
      </c>
      <c r="J3258" t="inlineStr"/>
      <c r="K3258" t="inlineStr"/>
      <c r="L3258" t="inlineStr"/>
      <c r="M3258" t="inlineStr"/>
      <c r="N3258" t="inlineStr"/>
      <c r="O3258">
        <f>(1-Summary!$B$11)*T3258+Summary!$B$11*V3258</f>
        <v/>
      </c>
      <c r="P3258">
        <f>IF(B3277=0,0,O3258/B3277)</f>
        <v/>
      </c>
      <c r="Q3258" t="n">
        <v>0</v>
      </c>
      <c r="R3258" t="n">
        <v>0</v>
      </c>
      <c r="S3258" t="n">
        <v>0</v>
      </c>
      <c r="T3258" t="n">
        <v>0</v>
      </c>
      <c r="V3258" t="n">
        <v>0</v>
      </c>
    </row>
    <row r="3259">
      <c r="A3259">
        <f>Skills!A24</f>
        <v/>
      </c>
      <c r="B3259">
        <f>Skills!B24</f>
        <v/>
      </c>
      <c r="C3259">
        <f>Inputs!$B$3&gt;=75</f>
        <v/>
      </c>
      <c r="D3259">
        <f>IF(Skills!C24=1,60+Inputs!$B$25+Inputs!$B$29,IF(Skills!C24=2,90+Inputs!$B$26+Inputs!$B$29,IF(Skills!C24=3,120+Inputs!$B$27+Inputs!$B$29,MAX(0,(Inputs!$B$3-100)*3)+Inputs!$B$28+Inputs!$B$29)))</f>
        <v/>
      </c>
      <c r="E3259">
        <f>INDEX(FactorTable!$B$2:$Y$301, MATCH(ROUND(MIN(300,MAX(1,D3259)),0), FactorTable!$A$2:$A$301,0), Skills!M24+1)</f>
        <v/>
      </c>
      <c r="F3259">
        <f>IF(Skills!N24=TRUE,(Skills!L24/10)*(E3259/1000),Skills!L24/10)+Skills!O24</f>
        <v/>
      </c>
      <c r="G3259">
        <f>Skills!G24*IF(Skills!H24&gt;0,Skills!I24/Skills!H24,1)</f>
        <v/>
      </c>
      <c r="H3259">
        <f>1-(1-Skills!J24/100)^Skills!K24</f>
        <v/>
      </c>
      <c r="I3259" t="inlineStr">
        <is>
          <t>1</t>
        </is>
      </c>
      <c r="J3259" t="inlineStr"/>
      <c r="K3259" t="inlineStr"/>
      <c r="L3259" t="inlineStr"/>
      <c r="M3259" t="inlineStr"/>
      <c r="N3259" t="inlineStr"/>
      <c r="O3259">
        <f>(1-Summary!$B$11)*T3259+Summary!$B$11*V3259</f>
        <v/>
      </c>
      <c r="P3259">
        <f>IF(B3277=0,0,O3259/B3277)</f>
        <v/>
      </c>
      <c r="Q3259" t="n">
        <v>0</v>
      </c>
      <c r="R3259" t="n">
        <v>0</v>
      </c>
      <c r="S3259" t="n">
        <v>0</v>
      </c>
      <c r="T3259" t="n">
        <v>0</v>
      </c>
      <c r="V3259" t="n">
        <v>0</v>
      </c>
    </row>
    <row r="3260">
      <c r="A3260">
        <f>Skills!A25</f>
        <v/>
      </c>
      <c r="B3260">
        <f>Skills!B25</f>
        <v/>
      </c>
      <c r="C3260">
        <f>Inputs!$B$3&gt;=125</f>
        <v/>
      </c>
      <c r="D3260">
        <f>IF(Skills!C25=1,60+Inputs!$B$25+Inputs!$B$29,IF(Skills!C25=2,90+Inputs!$B$26+Inputs!$B$29,IF(Skills!C25=3,120+Inputs!$B$27+Inputs!$B$29,MAX(0,(Inputs!$B$3-100)*3)+Inputs!$B$28+Inputs!$B$29)))</f>
        <v/>
      </c>
      <c r="E3260">
        <f>INDEX(FactorTable!$B$2:$Y$301, MATCH(ROUND(MIN(300,MAX(1,D3260)),0), FactorTable!$A$2:$A$301,0), Skills!M25+1)</f>
        <v/>
      </c>
      <c r="F3260">
        <f>IF(Skills!N25=TRUE,(Skills!L25/10)*(E3260/1000),Skills!L25/10)+Skills!O25</f>
        <v/>
      </c>
      <c r="G3260">
        <f>Skills!G25*IF(Skills!H25&gt;0,Skills!I25/Skills!H25,1)</f>
        <v/>
      </c>
      <c r="H3260">
        <f>1-(1-Skills!J25/100)^Skills!K25</f>
        <v/>
      </c>
      <c r="I3260" t="inlineStr">
        <is>
          <t>1</t>
        </is>
      </c>
      <c r="J3260" t="inlineStr"/>
      <c r="K3260" t="inlineStr"/>
      <c r="L3260" t="inlineStr"/>
      <c r="M3260" t="inlineStr"/>
      <c r="N3260" t="inlineStr"/>
      <c r="O3260">
        <f>(1-Summary!$B$11)*T3260+Summary!$B$11*V3260</f>
        <v/>
      </c>
      <c r="P3260">
        <f>IF(B3277=0,0,O3260/B3277)</f>
        <v/>
      </c>
      <c r="Q3260" t="n">
        <v>0</v>
      </c>
      <c r="R3260" t="n">
        <v>0</v>
      </c>
      <c r="S3260" t="n">
        <v>0</v>
      </c>
      <c r="T3260" t="n">
        <v>0</v>
      </c>
      <c r="V3260" t="n">
        <v>0</v>
      </c>
    </row>
    <row r="3261">
      <c r="A3261">
        <f>Skills!A26</f>
        <v/>
      </c>
      <c r="B3261">
        <f>Skills!B26</f>
        <v/>
      </c>
      <c r="C3261">
        <f>Inputs!$B$3&gt;=125</f>
        <v/>
      </c>
      <c r="D3261">
        <f>IF(Skills!C26=1,60+Inputs!$B$25+Inputs!$B$29,IF(Skills!C26=2,90+Inputs!$B$26+Inputs!$B$29,IF(Skills!C26=3,120+Inputs!$B$27+Inputs!$B$29,MAX(0,(Inputs!$B$3-100)*3)+Inputs!$B$28+Inputs!$B$29)))</f>
        <v/>
      </c>
      <c r="E3261">
        <f>INDEX(FactorTable!$B$2:$Y$301, MATCH(ROUND(MIN(300,MAX(1,D3261)),0), FactorTable!$A$2:$A$301,0), Skills!M26+1)</f>
        <v/>
      </c>
      <c r="F3261">
        <f>IF(Skills!N26=TRUE,(Skills!L26/10)*(E3261/1000),Skills!L26/10)+Skills!O26</f>
        <v/>
      </c>
      <c r="G3261">
        <f>Skills!G26*IF(Skills!H26&gt;0,Skills!I26/Skills!H26,1)</f>
        <v/>
      </c>
      <c r="H3261">
        <f>1-(1-Skills!J26/100)^Skills!K26</f>
        <v/>
      </c>
      <c r="I3261" t="inlineStr">
        <is>
          <t>1</t>
        </is>
      </c>
      <c r="J3261" t="inlineStr"/>
      <c r="K3261" t="inlineStr"/>
      <c r="L3261" t="inlineStr"/>
      <c r="M3261" t="inlineStr"/>
      <c r="N3261" t="inlineStr"/>
      <c r="O3261">
        <f>(1-Summary!$B$11)*T3261+Summary!$B$11*V3261</f>
        <v/>
      </c>
      <c r="P3261">
        <f>IF(B3277=0,0,O3261/B3277)</f>
        <v/>
      </c>
      <c r="Q3261" t="n">
        <v>0</v>
      </c>
      <c r="R3261" t="n">
        <v>0</v>
      </c>
      <c r="S3261" t="n">
        <v>0</v>
      </c>
      <c r="T3261" t="n">
        <v>0</v>
      </c>
      <c r="V3261" t="n">
        <v>0</v>
      </c>
    </row>
    <row r="3262">
      <c r="A3262">
        <f>Skills!A27</f>
        <v/>
      </c>
      <c r="B3262">
        <f>Skills!B27</f>
        <v/>
      </c>
      <c r="C3262">
        <f>Inputs!$B$3&gt;=120</f>
        <v/>
      </c>
      <c r="D3262">
        <f>IF(Skills!C27=1,60+Inputs!$B$25+Inputs!$B$29,IF(Skills!C27=2,90+Inputs!$B$26+Inputs!$B$29,IF(Skills!C27=3,120+Inputs!$B$27+Inputs!$B$29,MAX(0,(Inputs!$B$3-100)*3)+Inputs!$B$28+Inputs!$B$29)))</f>
        <v/>
      </c>
      <c r="E3262">
        <f>INDEX(FactorTable!$B$2:$Y$301, MATCH(ROUND(MIN(300,MAX(1,D3262)),0), FactorTable!$A$2:$A$301,0), Skills!M27+1)</f>
        <v/>
      </c>
      <c r="F3262">
        <f>IF(Skills!N27=TRUE,(Skills!L27/10)*(E3262/1000),Skills!L27/10)+Skills!O27</f>
        <v/>
      </c>
      <c r="G3262">
        <f>Skills!G27*IF(Skills!H27&gt;0,Skills!I27/Skills!H27,1)</f>
        <v/>
      </c>
      <c r="H3262">
        <f>1-(1-Skills!J27/100)^Skills!K27</f>
        <v/>
      </c>
      <c r="I3262" t="inlineStr">
        <is>
          <t>1</t>
        </is>
      </c>
      <c r="J3262" t="inlineStr"/>
      <c r="K3262" t="inlineStr"/>
      <c r="L3262" t="inlineStr"/>
      <c r="M3262" t="inlineStr"/>
      <c r="N3262" t="inlineStr"/>
      <c r="O3262">
        <f>(1-Summary!$B$11)*T3262+Summary!$B$11*V3262</f>
        <v/>
      </c>
      <c r="P3262">
        <f>IF(B3277=0,0,O3262/B3277)</f>
        <v/>
      </c>
      <c r="Q3262" t="n">
        <v>0</v>
      </c>
      <c r="R3262" t="n">
        <v>0</v>
      </c>
      <c r="S3262" t="n">
        <v>0</v>
      </c>
      <c r="T3262" t="n">
        <v>0</v>
      </c>
      <c r="V3262" t="n">
        <v>0</v>
      </c>
    </row>
    <row r="3263">
      <c r="A3263">
        <f>Skills!A28</f>
        <v/>
      </c>
      <c r="B3263">
        <f>Skills!B28</f>
        <v/>
      </c>
      <c r="C3263">
        <f>Inputs!$B$3&gt;=120</f>
        <v/>
      </c>
      <c r="D3263">
        <f>IF(Skills!C28=1,60+Inputs!$B$25+Inputs!$B$29,IF(Skills!C28=2,90+Inputs!$B$26+Inputs!$B$29,IF(Skills!C28=3,120+Inputs!$B$27+Inputs!$B$29,MAX(0,(Inputs!$B$3-100)*3)+Inputs!$B$28+Inputs!$B$29)))</f>
        <v/>
      </c>
      <c r="E3263">
        <f>INDEX(FactorTable!$B$2:$Y$301, MATCH(ROUND(MIN(300,MAX(1,D3263)),0), FactorTable!$A$2:$A$301,0), Skills!M28+1)</f>
        <v/>
      </c>
      <c r="F3263">
        <f>IF(Skills!N28=TRUE,(Skills!L28/10)*(E3263/1000),Skills!L28/10)+Skills!O28</f>
        <v/>
      </c>
      <c r="G3263">
        <f>Skills!G28*IF(Skills!H28&gt;0,Skills!I28/Skills!H28,1)</f>
        <v/>
      </c>
      <c r="H3263">
        <f>1-(1-Skills!J28/100)^Skills!K28</f>
        <v/>
      </c>
      <c r="I3263" t="inlineStr">
        <is>
          <t>1</t>
        </is>
      </c>
      <c r="J3263" t="inlineStr"/>
      <c r="K3263" t="inlineStr"/>
      <c r="L3263" t="inlineStr"/>
      <c r="M3263" t="inlineStr"/>
      <c r="N3263" t="inlineStr"/>
      <c r="O3263">
        <f>(1-Summary!$B$11)*T3263+Summary!$B$11*V3263</f>
        <v/>
      </c>
      <c r="P3263">
        <f>IF(B3277=0,0,O3263/B3277)</f>
        <v/>
      </c>
      <c r="Q3263" t="n">
        <v>0</v>
      </c>
      <c r="R3263" t="n">
        <v>0</v>
      </c>
      <c r="S3263" t="n">
        <v>0</v>
      </c>
      <c r="T3263" t="n">
        <v>0</v>
      </c>
      <c r="V3263" t="n">
        <v>0</v>
      </c>
    </row>
    <row r="3264">
      <c r="A3264">
        <f>Skills!A29</f>
        <v/>
      </c>
      <c r="B3264">
        <f>Skills!B29</f>
        <v/>
      </c>
      <c r="C3264">
        <f>Inputs!$B$3&gt;=45</f>
        <v/>
      </c>
      <c r="D3264">
        <f>IF(Skills!C29=1,60+Inputs!$B$25+Inputs!$B$29,IF(Skills!C29=2,90+Inputs!$B$26+Inputs!$B$29,IF(Skills!C29=3,120+Inputs!$B$27+Inputs!$B$29,MAX(0,(Inputs!$B$3-100)*3)+Inputs!$B$28+Inputs!$B$29)))</f>
        <v/>
      </c>
      <c r="E3264">
        <f>INDEX(FactorTable!$B$2:$Y$301, MATCH(ROUND(MIN(300,MAX(1,D3264)),0), FactorTable!$A$2:$A$301,0), Skills!M29+1)</f>
        <v/>
      </c>
      <c r="F3264">
        <f>IF(Skills!N29=TRUE,(Skills!L29/10)*(E3264/1000),Skills!L29/10)+Skills!O29</f>
        <v/>
      </c>
      <c r="G3264">
        <f>Skills!G29*IF(Skills!H29&gt;0,Skills!I29/Skills!H29,1)</f>
        <v/>
      </c>
      <c r="H3264">
        <f>1-(1-Skills!J29/100)^Skills!K29</f>
        <v/>
      </c>
      <c r="I3264" t="inlineStr">
        <is>
          <t>1</t>
        </is>
      </c>
      <c r="J3264" t="inlineStr"/>
      <c r="K3264" t="inlineStr"/>
      <c r="L3264" t="inlineStr"/>
      <c r="M3264" t="inlineStr"/>
      <c r="N3264" t="inlineStr"/>
      <c r="O3264">
        <f>(1-Summary!$B$11)*T3264+Summary!$B$11*V3264</f>
        <v/>
      </c>
      <c r="P3264">
        <f>IF(B3277=0,0,O3264/B3277)</f>
        <v/>
      </c>
      <c r="Q3264" t="n">
        <v>0</v>
      </c>
      <c r="R3264" t="n">
        <v>0</v>
      </c>
      <c r="S3264" t="n">
        <v>0</v>
      </c>
      <c r="T3264" t="n">
        <v>0</v>
      </c>
      <c r="V3264" t="n">
        <v>0</v>
      </c>
    </row>
    <row r="3266">
      <c r="A3266" t="inlineStr">
        <is>
          <t>Attack% Bucket Multiplier</t>
        </is>
      </c>
      <c r="B3266">
        <f>(1+(((C3248=TRUE)*F3248)+((C3249=TRUE)*IF(Inputs!$B$38="pvp",F3249,(1-Summary!$B$11)*(F3249)+Summary!$B$11*(0)))+((C3250=TRUE)*F3250*IF(AND(Inputs!$B$38&lt;&gt;"pvp",Inputs!$B$43&gt;0),(((R3250-1)*(Skills!T15*(1+Inputs!$B$34/100))+MIN((Skills!T15*(1+Inputs!$B$34/100)),MAX(0,Inputs!$B$43-((R3250-1)*Skills!D15))))/Inputs!$B$43),IF(Inputs!$B$38="pvp",MIN((Skills!T15*(1+Inputs!$B$34/100)),15)/15,(Skills!T15*(1+Inputs!$B$34/100))/Skills!D15)))+((C3247=TRUE)*F3247)+((C3264=TRUE)*(F3264-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3267">
      <c r="A3267" t="inlineStr">
        <is>
          <t>Global Crit Rate Bonus %</t>
        </is>
      </c>
      <c r="B3267">
        <f>(C3251=TRUE)*20*IF(AND(Inputs!$B$38&lt;&gt;"pvp",Inputs!$B$43&gt;0),(((R3251-1)*(Skills!T16*(1+Inputs!$B$34/100))+MIN((Skills!T16*(1+Inputs!$B$34/100)),MAX(0,Inputs!$B$43-((R3251-1)*Skills!D16))))/Inputs!$B$43),IF(Inputs!$B$38="pvp",MIN((Skills!T16*(1+Inputs!$B$34/100)),15)/15,(Skills!T16*(1+Inputs!$B$34/100))/Skills!D16))</f>
        <v/>
      </c>
    </row>
    <row r="3268">
      <c r="A3268" t="inlineStr">
        <is>
          <t>Attack Speed Buff Bonus %</t>
        </is>
      </c>
      <c r="B3268">
        <f>((C3253=TRUE)*F3253*IF(AND(Inputs!$B$38&lt;&gt;"pvp",Inputs!$B$43&gt;0),(((R3253-1)*(Skills!T18*(1+Inputs!$B$34/100))+MIN((Skills!T18*(1+Inputs!$B$34/100)),MAX(0,Inputs!$B$43-((R3253-1)*Skills!D18))))/Inputs!$B$43),IF(Inputs!$B$38="pvp",MIN((Skills!T18*(1+Inputs!$B$34/100)),15)/15,(Skills!T18*(1+Inputs!$B$34/100))/Skills!D18)))</f>
        <v/>
      </c>
    </row>
    <row r="3269">
      <c r="A3269" t="inlineStr">
        <is>
          <t>Actions Per Second</t>
        </is>
      </c>
      <c r="B3269">
        <f>1+MIN(150,150*(1-(1-(Inputs!$B$11+((C3255=TRUE)*(F3255-Calc!F20))+((C3256=TRUE)*(F3256-Calc!F21)))/150)*(1-B3268/150)))/100</f>
        <v/>
      </c>
    </row>
    <row r="3270">
      <c r="A3270" t="inlineStr">
        <is>
          <t>Skill + Buff Cast Rate</t>
        </is>
      </c>
      <c r="B3270">
        <f>IF(AND(Inputs!$B$38&lt;&gt;"pvp",Inputs!$B$43&gt;0),SUMPRODUCT((Skills!E2:E29=TRUE)*(C3237:C3264=TRUE)*R3237:R3264*Skills!F2:F29)/Inputs!$B$43,SUMPRODUCT((Skills!E2:E29=TRUE)*(C3237:C3264=TRUE)*Q3237:Q3264*Skills!F2:F29))</f>
        <v/>
      </c>
    </row>
    <row r="3271">
      <c r="A3271" t="inlineStr">
        <is>
          <t>Empowered Piercing Arrow Casts Per Second</t>
        </is>
      </c>
      <c r="B3271">
        <f>MAX(0,B3269-B3270)</f>
        <v/>
      </c>
    </row>
    <row r="3272">
      <c r="A3272" t="inlineStr">
        <is>
          <t>Global Critical Damage Bonus % (Sharp Eyes)</t>
        </is>
      </c>
      <c r="B3272">
        <f>(C3251=TRUE)*F3251*IF(AND(Inputs!$B$38&lt;&gt;"pvp",Inputs!$B$43&gt;0),(((R3251-1)*(Skills!T16*(1+Inputs!$B$34/100))+MIN((Skills!T16*(1+Inputs!$B$34/100)),MAX(0,Inputs!$B$43-((R3251-1)*Skills!D16))))/Inputs!$B$43),IF(Inputs!$B$38="pvp",MIN((Skills!T16*(1+Inputs!$B$34/100)),15)/15,(Skills!T16*(1+Inputs!$B$34/100))/Skills!D16))</f>
        <v/>
      </c>
    </row>
    <row r="3273">
      <c r="A3273" t="inlineStr">
        <is>
          <t>Global Final Damage Bonus % (Mortal Blow + Last Man Standing conditional half)</t>
        </is>
      </c>
      <c r="B3273">
        <f>(C3252=TRUE)*F3252+((C3261=TRUE)*IF(Inputs!$B$38="pvp",F3261,(1-Summary!$B$11)*(F3261)+Summary!$B$11*(0)))</f>
        <v/>
      </c>
    </row>
    <row r="3274">
      <c r="A3274" t="inlineStr">
        <is>
          <t>Buff-Casting Startup Delay (s, fixed-duration only)</t>
        </is>
      </c>
      <c r="B3274">
        <f>IF(AND(Inputs!$B$38&lt;&gt;"pvp",Inputs!$B$43&gt;0),SUMPRODUCT((Skills!T2:T29&gt;0)*(Skills!E2:E29=TRUE)*(C3237:C3264=TRUE))/B3269,0)</f>
        <v/>
      </c>
    </row>
    <row r="3275">
      <c r="A3275" t="inlineStr">
        <is>
          <t>Boss-Only Total DPS (this block's swept value)</t>
        </is>
      </c>
      <c r="B3275">
        <f>SUM(T3237:T3264)</f>
        <v/>
      </c>
    </row>
    <row r="3276">
      <c r="A3276" t="inlineStr">
        <is>
          <t>Normal-Only Total DPS (this block's swept value)</t>
        </is>
      </c>
      <c r="B3276">
        <f>SUM(V3237:V3264)</f>
        <v/>
      </c>
    </row>
    <row r="3277">
      <c r="A3277" s="6" t="inlineStr">
        <is>
          <t>TOTAL DPS</t>
        </is>
      </c>
      <c r="B3277" s="6">
        <f>SUM(O3237:O3264)</f>
        <v/>
      </c>
    </row>
    <row r="3280">
      <c r="A3280" s="6" t="inlineStr">
        <is>
          <t>Stat: CDR = 5.0s</t>
        </is>
      </c>
    </row>
    <row r="3281">
      <c r="A3281" s="5" t="inlineStr">
        <is>
          <t>Key</t>
        </is>
      </c>
      <c r="B3281" s="5" t="inlineStr">
        <is>
          <t>Name</t>
        </is>
      </c>
      <c r="C3281" s="5" t="inlineStr">
        <is>
          <t>Unlocked</t>
        </is>
      </c>
      <c r="D3281" s="5" t="inlineStr">
        <is>
          <t>InputLevel</t>
        </is>
      </c>
      <c r="E3281" s="5" t="inlineStr">
        <is>
          <t>Factor</t>
        </is>
      </c>
      <c r="F3281" s="5" t="inlineStr">
        <is>
          <t>CoefficientPercent</t>
        </is>
      </c>
      <c r="G3281" s="5" t="inlineStr">
        <is>
          <t>EffectiveHits</t>
        </is>
      </c>
      <c r="H3281" s="5" t="inlineStr">
        <is>
          <t>ProcProbability</t>
        </is>
      </c>
      <c r="I3281" s="5" t="inlineStr">
        <is>
          <t>MapleHeroMultiplier</t>
        </is>
      </c>
      <c r="J3281" s="5" t="inlineStr">
        <is>
          <t>BaseDamage</t>
        </is>
      </c>
      <c r="K3281" s="5" t="inlineStr">
        <is>
          <t>BaseHitDamage</t>
        </is>
      </c>
      <c r="L3281" s="5" t="inlineStr">
        <is>
          <t>NonCritAvg</t>
        </is>
      </c>
      <c r="M3281" s="5" t="inlineStr">
        <is>
          <t>CritAvg</t>
        </is>
      </c>
      <c r="N3281" s="5" t="inlineStr">
        <is>
          <t>ExpectedDamage(perHit)</t>
        </is>
      </c>
      <c r="O3281" s="5" t="inlineStr">
        <is>
          <t>DPS</t>
        </is>
      </c>
      <c r="P3281" s="5" t="inlineStr">
        <is>
          <t>% of Total</t>
        </is>
      </c>
      <c r="Q3281" s="5" t="inlineStr">
        <is>
          <t>InvCooldown</t>
        </is>
      </c>
      <c r="R3281" s="5" t="inlineStr">
        <is>
          <t>CastsInFight</t>
        </is>
      </c>
      <c r="S3281" s="5" t="inlineStr">
        <is>
          <t>HitRate(perSec)</t>
        </is>
      </c>
      <c r="U3281" t="inlineStr">
        <is>
          <t>helpers</t>
        </is>
      </c>
    </row>
    <row r="3282">
      <c r="A3282">
        <f>Skills!A2</f>
        <v/>
      </c>
      <c r="B3282">
        <f>Skills!B2</f>
        <v/>
      </c>
      <c r="C3282">
        <f>Inputs!$B$3&gt;=100</f>
        <v/>
      </c>
      <c r="D3282" t="inlineStr"/>
      <c r="E3282" t="inlineStr"/>
      <c r="F3282">
        <f>U3284+Skills!O2</f>
        <v/>
      </c>
      <c r="G3282">
        <f>Skills!G2*IF(Skills!H2&gt;0,Skills!I2/Skills!H2,1)</f>
        <v/>
      </c>
      <c r="H3282">
        <f>1-(1-Skills!J2/100)^Skills!K2</f>
        <v/>
      </c>
      <c r="I3282" t="inlineStr">
        <is>
          <t>1</t>
        </is>
      </c>
      <c r="J3282">
        <f>((Inputs!$B$6*(1+Inputs!$B$7/100))+(((Inputs!$B$12*(1+Inputs!$B$13/100))-(Inputs!$B$12*(1+Inputs!$B$13/100)))+0.25*(Inputs!$B$14-Inputs!$B$14))*(1+Inputs!$B$7/100))*(F3282/100)</f>
        <v/>
      </c>
      <c r="K3282">
        <f>J3282*(1+((Inputs!$B$12*(1+Inputs!$B$13/100))*0.01+Inputs!$B$14*0.0025)/100)*(1+Inputs!$B$15/100)*(1+Inputs!$B$16/100)*(5000/(6000+Inputs!$B$42*(1-(100*(1-(1-(Inputs!$B$19+0)/100)*(1-CHOOSE(ArtifactsInput!$N$40+1,5,6,7,8,9,10)/100)^(ArtifactsInput!$M$40-ArtifactsInput!$M$40)))/100)))*(1+(Inputs!$B$24+((C3304=TRUE)*(F3304-Calc!F24))+((C3305=TRUE)*(F3305-Calc!F25))+B3318)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EMPOWERED_PIERCING_ARROW",Inputs!$B$17+((C3302=TRUE)*(F3302-Calc!F22))+(((IF(AND(ArtifactsInput!$M$42,((Inputs!$B$9+((C3299=TRUE)*(F3299-Calc!F19))+B3312+(ArtifactsInput!$M$24-ArtifactsInput!$M$24)*CHOOSE(ArtifactsInput!$N$24+1,10,12,14,16,18,20)+IF(ArtifactsInput!$M$10,CHOOSE(ArtifactsInput!$N$10+1,15,18,21,24,27,30)*(IF(Inputs!$B$38="pvp",MIN(15,15)/15,IF(AND(Inputs!$B$38&lt;&gt;"pvp",Inputs!$B$43&gt;0),MIN(15,Inputs!$B$43)/(Inputs!$B$43),0))),0)))&gt;=100),MIN(100,((Inputs!$B$9+((C3299=TRUE)*(F3299-Calc!F19))+B3312+(ArtifactsInput!$M$24-ArtifactsInput!$M$24)*CHOOSE(ArtifactsInput!$N$24+1,10,12,14,16,18,20)+IF(ArtifactsInput!$M$10,CHOOSE(ArtifactsInput!$N$10+1,15,18,21,24,27,30)*(IF(Inputs!$B$38="pvp",MIN(15,15)/15,IF(AND(Inputs!$B$38&lt;&gt;"pvp",Inputs!$B$43&gt;0),MIN(15,Inputs!$B$43)/(Inputs!$B$43),0))),0)))-100),0))*CHOOSE(ArtifactsInput!$N$42+1,0.6,0.72,0.84,0.96,1.08,1.2))),Inputs!$B$18+((C3307=TRUE)*(F3307-Calc!F27))+(IF(AND(ArtifactsInput!$M$42,((Inputs!$B$9+((C3299=TRUE)*(F3299-Calc!F19))+B3312+(ArtifactsInput!$M$24-ArtifactsInput!$M$24)*CHOOSE(ArtifactsInput!$N$24+1,10,12,14,16,18,20)+IF(ArtifactsInput!$M$10,CHOOSE(ArtifactsInput!$N$10+1,15,18,21,24,27,30)*(IF(Inputs!$B$38="pvp",MIN(15,15)/15,IF(AND(Inputs!$B$38&lt;&gt;"pvp",Inputs!$B$43&gt;0),MIN(15,Inputs!$B$43)/(Inputs!$B$43),0))),0)))&gt;=100),CHOOSE(ArtifactsInput!$N$42+1,40,48,56,64,72,80),0))))/100)*((1+(((C3293=TRUE)*F3293)+((C3294=TRUE)*IF(Inputs!$B$38="pvp",F3294,(1-Summary!$B$11)*(F3294)+Summary!$B$11*(0)))+((C3295=TRUE)*F3295*IF(AND(Inputs!$B$38&lt;&gt;"pvp",Inputs!$B$43&gt;0),(((R3295-1)*(Skills!T15*(1+Inputs!$B$34/100))+MIN((Skills!T15*(1+Inputs!$B$34/100)),MAX(0,Inputs!$B$43-((R3295-1)*Skills!D15))))/Inputs!$B$43),IF(Inputs!$B$38="pvp",MIN((Skills!T15*(1+Inputs!$B$34/100)),15)/15,(Skills!T15*(1+Inputs!$B$34/100))/Skills!D15)))+((C3292=TRUE)*F3292)+((C3309=TRUE)*(F3309-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3282)</f>
        <v/>
      </c>
      <c r="L3282">
        <f>K3282*(MIN(Inputs!$B$22+((C3303=TRUE)*(F3303-Calc!F23)),(Inputs!$B$23+((C3308=TRUE)*(F3308-Calc!F28))+(IF(ArtifactsInput!$M$15,CHOOSE(ArtifactsInput!$N$15+1,25,30,35,40,45,50)/100*(Inputs!$B$11-Inputs!$B$11),0))))/100+(Inputs!$B$23+((C3308=TRUE)*(F3308-Calc!F28))+(IF(ArtifactsInput!$M$15,CHOOSE(ArtifactsInput!$N$15+1,25,30,35,40,45,50)/100*(Inputs!$B$11-Inputs!$B$11),0)))/100)/2</f>
        <v/>
      </c>
      <c r="M3282">
        <f>L3282*(1+(Inputs!$B$10+0+B3317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282">
        <f>L3282*(1-MIN((Inputs!$B$9+((C3299=TRUE)*(F3299-Calc!F19))+B3312+(ArtifactsInput!$M$24-ArtifactsInput!$M$24)*CHOOSE(ArtifactsInput!$N$24+1,10,12,14,16,18,20)+(IF(AND(ArtifactsInput!$M$42,((Inputs!$B$9+((C3299=TRUE)*(F3299-Calc!F19))+B3312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3282*(MIN((Inputs!$B$9+((C3299=TRUE)*(F3299-Calc!F19))+B3312+(ArtifactsInput!$M$24-ArtifactsInput!$M$24)*CHOOSE(ArtifactsInput!$N$24+1,10,12,14,16,18,20)+(IF(AND(ArtifactsInput!$M$42,((Inputs!$B$9+((C3299=TRUE)*(F3299-Calc!F19))+B3312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282">
        <f>(1-Summary!$B$11)*T3282+Summary!$B$11*V3282</f>
        <v/>
      </c>
      <c r="P3282">
        <f>IF(B3322=0,0,O3282/B3322)</f>
        <v/>
      </c>
      <c r="Q3282" t="n">
        <v>0</v>
      </c>
      <c r="R3282" t="n">
        <v>0</v>
      </c>
      <c r="S3282">
        <f>IFERROR((Skills!G2*N3282*B3316)/N3282*IF(Inputs!$B$38="pvp",1,(1-Summary!$B$11)*1+Summary!$B$11*(MIN((6+Inputs!$B$33),Inputs!$B$37))),0)</f>
        <v/>
      </c>
      <c r="T3282">
        <f>IF(C3282,(Skills!G2*N3282*B3316)*IF(Inputs!$B$38="pvp",1,1+(Inputs!$B$20+0+Skills!P2+(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Hunt"),CHOOSE(ArtifactsInput!$N$35+1,15,18,21,24,27,30)*(1-EXP(-(0.2*B3314)*5)),0)+IF(AND(ArtifactsInput!$M$22,Inputs!$B$4&lt;&gt;"Chapter Hunt"),CHOOSE(ArtifactsInput!$N$22+1,10,12,14,16,18,20)*((0*(((0.15*B3314*5))^0/1)+1*(((0.15*B3314*5))^1/1)+2*(((0.15*B3314*5))^2/2)+3*(((0.15*B3314*5))^3/6)+4*(((0.15*B3314*5))^4/24)+5*(((0.15*B3314*5))^5/120))/((((0.15*B3314*5))^0/1)+(((0.15*B3314*5))^1/1)+(((0.15*B3314*5))^2/2)+(((0.15*B3314*5))^3/6)+(((0.15*B3314*5))^4/24)+(((0.15*B3314*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3282*(1-MIN(100,(Inputs!$B$9+((C3299=TRUE)*(F3299-Calc!F19))+B3312+(ArtifactsInput!$M$24-ArtifactsInput!$M$24)*CHOOSE(ArtifactsInput!$N$24+1,10,12,14,16,18,20)+(IF(AND(ArtifactsInput!$M$42,((Inputs!$B$9+((C3299=TRUE)*(F3299-Calc!F19))+B3312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3282*(MIN(100,(Inputs!$B$9+((C3299=TRUE)*(F3299-Calc!F19))+B3312+(ArtifactsInput!$M$24-ArtifactsInput!$M$24)*CHOOSE(ArtifactsInput!$N$24+1,10,12,14,16,18,20)+(IF(AND(ArtifactsInput!$M$42,((Inputs!$B$9+((C3299=TRUE)*(F3299-Calc!F19))+B3312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3282*(1-MIN(100,(Inputs!$B$9+((C3299=TRUE)*(F3299-Calc!F19))+B3312+(ArtifactsInput!$M$24-ArtifactsInput!$M$24)*CHOOSE(ArtifactsInput!$N$24+1,10,12,14,16,18,20)+(IF(AND(ArtifactsInput!$M$42,((Inputs!$B$9+((C3299=TRUE)*(F3299-Calc!F19))+B3312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3282*(MIN(100,(Inputs!$B$9+((C3299=TRUE)*(F3299-Calc!F19))+B3312+(ArtifactsInput!$M$24-ArtifactsInput!$M$24)*CHOOSE(ArtifactsInput!$N$24+1,10,12,14,16,18,20)+(IF(AND(ArtifactsInput!$M$42,((Inputs!$B$9+((C3299=TRUE)*(F3299-Calc!F19))+B3312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U3282">
        <f>MAX(0,(Inputs!$B$3-100)*3)+Inputs!$B$28+Inputs!$B$29</f>
        <v/>
      </c>
      <c r="V3282">
        <f>IF(C3282,(Skills!G2*N3282*B3316)*IF(Inputs!$B$38="pvp",1,(1+(Inputs!$B$21+Skills!Q2+(IF(ArtifactsInput!$M$33,CHOOSE(ArtifactsInput!$N$33+1,30,36,42,48,54,60),0))+(IF(AND(ArtifactsInput!$M$35,Inputs!$B$4&lt;&gt;"Chapter Hunt"),CHOOSE(ArtifactsInput!$N$35+1,15,18,21,24,27,30)*(1-EXP(-(0.2*B3314)*5)),0)+IF(AND(ArtifactsInput!$M$22,Inputs!$B$4&lt;&gt;"Chapter Hunt"),CHOOSE(ArtifactsInput!$N$22+1,10,12,14,16,18,20)*((0*(((0.15*B3314*5))^0/1)+1*(((0.15*B3314*5))^1/1)+2*(((0.15*B3314*5))^2/2)+3*(((0.15*B3314*5))^3/6)+4*(((0.15*B3314*5))^4/24)+5*(((0.15*B3314*5))^5/120))/((((0.15*B3314*5))^0/1)+(((0.15*B3314*5))^1/1)+(((0.15*B3314*5))^2/2)+(((0.15*B3314*5))^3/6)+(((0.15*B3314*5))^4/24)+(((0.15*B3314*5))^5/120))),0)))/100)*(MIN((6+Inputs!$B$33),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283">
      <c r="A3283">
        <f>Skills!A3</f>
        <v/>
      </c>
      <c r="B3283">
        <f>Skills!B3</f>
        <v/>
      </c>
      <c r="C3283">
        <f>Inputs!$B$3&gt;=50</f>
        <v/>
      </c>
      <c r="D3283">
        <f>IF(Skills!C3=1,60+Inputs!$B$25+Inputs!$B$29,IF(Skills!C3=2,90+Inputs!$B$26+Inputs!$B$29,IF(Skills!C3=3,120+Inputs!$B$27+Inputs!$B$29,MAX(0,(Inputs!$B$3-100)*3)+Inputs!$B$28+Inputs!$B$29)))</f>
        <v/>
      </c>
      <c r="E3283">
        <f>INDEX(FactorTable!$B$2:$Y$301, MATCH(ROUND(MIN(300,MAX(1,D3283)),0), FactorTable!$A$2:$A$301,0), Skills!M3+1)</f>
        <v/>
      </c>
      <c r="F3283">
        <f>IF(Skills!N3=TRUE,(Skills!L3/10)*(E3283/1000),Skills!L3/10)+Skills!O3</f>
        <v/>
      </c>
      <c r="G3283" t="inlineStr"/>
      <c r="H3283" t="inlineStr"/>
      <c r="I3283" t="inlineStr">
        <is>
          <t>1</t>
        </is>
      </c>
      <c r="J3283" t="inlineStr"/>
      <c r="K3283" t="inlineStr"/>
      <c r="L3283" t="inlineStr"/>
      <c r="M3283" t="inlineStr"/>
      <c r="N3283" t="inlineStr"/>
      <c r="O3283" t="inlineStr"/>
      <c r="P3283" t="inlineStr"/>
      <c r="Q3283" t="inlineStr"/>
      <c r="R3283" t="inlineStr"/>
      <c r="S3283" t="inlineStr"/>
      <c r="T3283" t="inlineStr"/>
      <c r="U3283">
        <f>INDEX(FactorTable!$B$2:$Y$301, MATCH(ROUND(MIN(300,MAX(1,U3282)),0), FactorTable!$A$2:$A$301,0), 22)</f>
        <v/>
      </c>
      <c r="V3283" t="inlineStr"/>
    </row>
    <row r="3284">
      <c r="A3284">
        <f>Skills!A4</f>
        <v/>
      </c>
      <c r="B3284">
        <f>Skills!B4</f>
        <v/>
      </c>
      <c r="C3284">
        <f>Inputs!$B$3&gt;=105</f>
        <v/>
      </c>
      <c r="D3284">
        <f>IF(Skills!C4=1,60+Inputs!$B$25+Inputs!$B$29,IF(Skills!C4=2,90+Inputs!$B$26+Inputs!$B$29,IF(Skills!C4=3,120+Inputs!$B$27+Inputs!$B$29,MAX(0,(Inputs!$B$3-100)*3)+Inputs!$B$28+Inputs!$B$29)))</f>
        <v/>
      </c>
      <c r="E3284">
        <f>INDEX(FactorTable!$B$2:$Y$301, MATCH(ROUND(MIN(300,MAX(1,D3284)),0), FactorTable!$A$2:$A$301,0), Skills!M4+1)</f>
        <v/>
      </c>
      <c r="F3284">
        <f>IF(Skills!N4=TRUE,(Skills!L4/10)*(E3284/1000),Skills!L4/10)+Skills!O4</f>
        <v/>
      </c>
      <c r="G3284" t="inlineStr"/>
      <c r="H3284" t="inlineStr"/>
      <c r="I3284" t="inlineStr">
        <is>
          <t>1</t>
        </is>
      </c>
      <c r="J3284" t="inlineStr"/>
      <c r="K3284" t="inlineStr"/>
      <c r="L3284" t="inlineStr"/>
      <c r="M3284" t="inlineStr"/>
      <c r="N3284" t="inlineStr"/>
      <c r="O3284" t="inlineStr"/>
      <c r="P3284" t="inlineStr"/>
      <c r="Q3284" t="inlineStr"/>
      <c r="R3284" t="inlineStr"/>
      <c r="S3284" t="inlineStr"/>
      <c r="T3284" t="inlineStr"/>
      <c r="U3284">
        <f>290*U3283/1000</f>
        <v/>
      </c>
      <c r="V3284" t="inlineStr"/>
    </row>
    <row r="3285">
      <c r="A3285">
        <f>Skills!A5</f>
        <v/>
      </c>
      <c r="B3285">
        <f>Skills!B5</f>
        <v/>
      </c>
      <c r="C3285">
        <f>Inputs!$B$3&gt;=35</f>
        <v/>
      </c>
      <c r="D3285">
        <f>IF(Skills!C5=1,60+Inputs!$B$25+Inputs!$B$29,IF(Skills!C5=2,90+Inputs!$B$26+Inputs!$B$29,IF(Skills!C5=3,120+Inputs!$B$27+Inputs!$B$29,MAX(0,(Inputs!$B$3-100)*3)+Inputs!$B$28+Inputs!$B$29)))</f>
        <v/>
      </c>
      <c r="E3285">
        <f>INDEX(FactorTable!$B$2:$Y$301, MATCH(ROUND(MIN(300,MAX(1,D3285)),0), FactorTable!$A$2:$A$301,0), Skills!M5+1)</f>
        <v/>
      </c>
      <c r="F3285">
        <f>IF(Skills!N5=TRUE,(Skills!L5/10)*(E3285/1000),Skills!L5/10)+Skills!O5</f>
        <v/>
      </c>
      <c r="G3285">
        <f>Skills!G5*IF(Skills!H5&gt;0,Skills!I5/Skills!H5,1)</f>
        <v/>
      </c>
      <c r="H3285">
        <f>1-(1-Skills!J5/100)^Skills!K5</f>
        <v/>
      </c>
      <c r="I3285" t="inlineStr">
        <is>
          <t>1</t>
        </is>
      </c>
      <c r="J3285">
        <f>((Inputs!$B$6*(1+Inputs!$B$7/100))+(((Inputs!$B$12*(1+Inputs!$B$13/100))-(Inputs!$B$12*(1+Inputs!$B$13/100)))+0.25*(Inputs!$B$14-Inputs!$B$14))*(1+Inputs!$B$7/100))*(F3285/100)</f>
        <v/>
      </c>
      <c r="K3285">
        <f>J3285*(1+((Inputs!$B$12*(1+Inputs!$B$13/100))*0.01+Inputs!$B$14*0.0025)/100)*(1+Inputs!$B$15/100)*(1+Inputs!$B$16/100)*(5000/(6000+Inputs!$B$42*(1-(100*(1-(1-(Inputs!$B$19+0)/100)*(1-CHOOSE(ArtifactsInput!$N$40+1,5,6,7,8,9,10)/100)^(ArtifactsInput!$M$40-ArtifactsInput!$M$40)))/100)))*(1+(Inputs!$B$24+((C3304=TRUE)*(F3304-Calc!F24))+((C3305=TRUE)*(F3305-Calc!F25))+B3318)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+4.0*IF(C3288=TRUE,F3288,0)/100)*(1+(IF(Skills!A5="EMPOWERED_PIERCING_ARROW",Inputs!$B$17+((C3302=TRUE)*(F3302-Calc!F22))+(((IF(AND(ArtifactsInput!$M$42,((Inputs!$B$9+((C3299=TRUE)*(F3299-Calc!F19))+B3312+(ArtifactsInput!$M$24-ArtifactsInput!$M$24)*CHOOSE(ArtifactsInput!$N$24+1,10,12,14,16,18,20)+IF(ArtifactsInput!$M$10,CHOOSE(ArtifactsInput!$N$10+1,15,18,21,24,27,30)*(IF(Inputs!$B$38="pvp",MIN(15,15)/15,IF(AND(Inputs!$B$38&lt;&gt;"pvp",Inputs!$B$43&gt;0),MIN(15,Inputs!$B$43)/(Inputs!$B$43),0))),0)))&gt;=100),MIN(100,((Inputs!$B$9+((C3299=TRUE)*(F3299-Calc!F19))+B3312+(ArtifactsInput!$M$24-ArtifactsInput!$M$24)*CHOOSE(ArtifactsInput!$N$24+1,10,12,14,16,18,20)+IF(ArtifactsInput!$M$10,CHOOSE(ArtifactsInput!$N$10+1,15,18,21,24,27,30)*(IF(Inputs!$B$38="pvp",MIN(15,15)/15,IF(AND(Inputs!$B$38&lt;&gt;"pvp",Inputs!$B$43&gt;0),MIN(15,Inputs!$B$43)/(Inputs!$B$43),0))),0)))-100),0))*CHOOSE(ArtifactsInput!$N$42+1,0.6,0.72,0.84,0.96,1.08,1.2))),Inputs!$B$18+((C3307=TRUE)*(F3307-Calc!F27))+(IF(AND(ArtifactsInput!$M$42,((Inputs!$B$9+((C3299=TRUE)*(F3299-Calc!F19))+B3312+(ArtifactsInput!$M$24-ArtifactsInput!$M$24)*CHOOSE(ArtifactsInput!$N$24+1,10,12,14,16,18,20)+IF(ArtifactsInput!$M$10,CHOOSE(ArtifactsInput!$N$10+1,15,18,21,24,27,30)*(IF(Inputs!$B$38="pvp",MIN(15,15)/15,IF(AND(Inputs!$B$38&lt;&gt;"pvp",Inputs!$B$43&gt;0),MIN(15,Inputs!$B$43)/(Inputs!$B$43),0))),0)))&gt;=100),CHOOSE(ArtifactsInput!$N$42+1,40,48,56,64,72,80),0))))/100)*((1+(((C3293=TRUE)*F3293)+((C3294=TRUE)*IF(Inputs!$B$38="pvp",F3294,(1-Summary!$B$11)*(F3294)+Summary!$B$11*(0)))+((C3295=TRUE)*F3295*IF(AND(Inputs!$B$38&lt;&gt;"pvp",Inputs!$B$43&gt;0),(((R3295-1)*(Skills!T15*(1+Inputs!$B$34/100))+MIN((Skills!T15*(1+Inputs!$B$34/100)),MAX(0,Inputs!$B$43-((R3295-1)*Skills!D15))))/Inputs!$B$43),IF(Inputs!$B$38="pvp",MIN((Skills!T15*(1+Inputs!$B$34/100)),15)/15,(Skills!T15*(1+Inputs!$B$34/100))/Skills!D15)))+((C3292=TRUE)*F3292)+((C3309=TRUE)*(F3309-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3285)</f>
        <v/>
      </c>
      <c r="L3285">
        <f>K3285*(MIN(Inputs!$B$22+((C3303=TRUE)*(F3303-Calc!F23)),(Inputs!$B$23+((C3308=TRUE)*(F3308-Calc!F28))+(IF(ArtifactsInput!$M$15,CHOOSE(ArtifactsInput!$N$15+1,25,30,35,40,45,50)/100*(Inputs!$B$11-Inputs!$B$11),0))))/100+(Inputs!$B$23+((C3308=TRUE)*(F3308-Calc!F28))+(IF(ArtifactsInput!$M$15,CHOOSE(ArtifactsInput!$N$15+1,25,30,35,40,45,50)/100*(Inputs!$B$11-Inputs!$B$11),0)))/100)/2</f>
        <v/>
      </c>
      <c r="M3285">
        <f>L3285*(1+(Inputs!$B$10+0+B3317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285">
        <f>L3285*(1-MIN((Inputs!$B$9+((C3299=TRUE)*(F3299-Calc!F19))+B3312+(ArtifactsInput!$M$24-ArtifactsInput!$M$24)*CHOOSE(ArtifactsInput!$N$24+1,10,12,14,16,18,20)+(IF(AND(ArtifactsInput!$M$42,((Inputs!$B$9+((C3299=TRUE)*(F3299-Calc!F19))+B3312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3285*(MIN((Inputs!$B$9+((C3299=TRUE)*(F3299-Calc!F19))+B3312+(ArtifactsInput!$M$24-ArtifactsInput!$M$24)*CHOOSE(ArtifactsInput!$N$24+1,10,12,14,16,18,20)+(IF(AND(ArtifactsInput!$M$42,((Inputs!$B$9+((C3299=TRUE)*(F3299-Calc!F19))+B3312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285">
        <f>(1-Summary!$B$11)*T3285+Summary!$B$11*V3285</f>
        <v/>
      </c>
      <c r="P3285">
        <f>IF(B3322=0,0,O3285/B3322)</f>
        <v/>
      </c>
      <c r="Q3285">
        <f>IFERROR(1/IF(Inputs!$B$38="pvp",15,MAX(0.1,Skills!D5-IF(Skills!E5=TRUE,5.0,0))),0)</f>
        <v/>
      </c>
      <c r="R3285">
        <f>IF(AND(Inputs!$B$38&lt;&gt;"pvp",Inputs!$B$43&gt;0),IF(MAX(0,Inputs!$B$43-B3319)&lt;=0,0,(INT(MAX(0,Inputs!$B$43-B3319)/IF(Inputs!$B$38="pvp",15,MAX(0.1,Skills!D5-IF(Skills!E5=TRUE,5.0,0))))+1)),0)</f>
        <v/>
      </c>
      <c r="S3285">
        <f>IFERROR((H3285*N3285*IF(AND(Inputs!$B$38&lt;&gt;"pvp",Inputs!$B$43&gt;0),((Skills!G5*((R3285-1)*IF(Skills!H5&gt;0,Skills!I5/Skills!H5,1)+IF(Skills!H5&gt;0,MIN(Skills!I5,MAX(0,MAX(0,Inputs!$B$43-B3319)-((R3285-1)*IF(Inputs!$B$38="pvp",15,MAX(0.1,Skills!D5-IF(Skills!E5=TRUE,5.0,0))))))/Skills!H5,1)))/Inputs!$B$43),G3285*Q3285))/N3285*IF(Inputs!$B$38="pvp",1,(1-Summary!$B$11)*1+Summary!$B$11*(MIN(Skills!R5,Inputs!$B$37))),0)</f>
        <v/>
      </c>
      <c r="T3285">
        <f>IF(C3285,(H3285*N3285*IF(AND(Inputs!$B$38&lt;&gt;"pvp",Inputs!$B$43&gt;0),((Skills!G5*((R3285-1)*IF(Skills!H5&gt;0,Skills!I5/Skills!H5,1)+IF(Skills!H5&gt;0,MIN(Skills!I5,MAX(0,MAX(0,Inputs!$B$43-B3319)-((R3285-1)*IF(Inputs!$B$38="pvp",15,MAX(0.1,Skills!D5-IF(Skills!E5=TRUE,5.0,0))))))/Skills!H5,1)))/Inputs!$B$43),G3285*Q3285))*IF(Inputs!$B$38="pvp",1,1+(Inputs!$B$20+0+Skills!P5+(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Hunt"),CHOOSE(ArtifactsInput!$N$35+1,15,18,21,24,27,30)*(1-EXP(-(0.2*B3314)*5)),0)+IF(AND(ArtifactsInput!$M$22,Inputs!$B$4&lt;&gt;"Chapter Hunt"),CHOOSE(ArtifactsInput!$N$22+1,10,12,14,16,18,20)*((0*(((0.15*B3314*5))^0/1)+1*(((0.15*B3314*5))^1/1)+2*(((0.15*B3314*5))^2/2)+3*(((0.15*B3314*5))^3/6)+4*(((0.15*B3314*5))^4/24)+5*(((0.15*B3314*5))^5/120))/((((0.15*B3314*5))^0/1)+(((0.15*B3314*5))^1/1)+(((0.15*B3314*5))^2/2)+(((0.15*B3314*5))^3/6)+(((0.15*B3314*5))^4/24)+(((0.15*B3314*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3285*(1-MIN(100,(Inputs!$B$9+((C3299=TRUE)*(F3299-Calc!F19))+B3312+(ArtifactsInput!$M$24-ArtifactsInput!$M$24)*CHOOSE(ArtifactsInput!$N$24+1,10,12,14,16,18,20)+(IF(AND(ArtifactsInput!$M$42,((Inputs!$B$9+((C3299=TRUE)*(F3299-Calc!F19))+B3312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3285*(MIN(100,(Inputs!$B$9+((C3299=TRUE)*(F3299-Calc!F19))+B3312+(ArtifactsInput!$M$24-ArtifactsInput!$M$24)*CHOOSE(ArtifactsInput!$N$24+1,10,12,14,16,18,20)+(IF(AND(ArtifactsInput!$M$42,((Inputs!$B$9+((C3299=TRUE)*(F3299-Calc!F19))+B3312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3285*(1-MIN(100,(Inputs!$B$9+((C3299=TRUE)*(F3299-Calc!F19))+B3312+(ArtifactsInput!$M$24-ArtifactsInput!$M$24)*CHOOSE(ArtifactsInput!$N$24+1,10,12,14,16,18,20)+(IF(AND(ArtifactsInput!$M$42,((Inputs!$B$9+((C3299=TRUE)*(F3299-Calc!F19))+B3312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3285*(MIN(100,(Inputs!$B$9+((C3299=TRUE)*(F3299-Calc!F19))+B3312+(ArtifactsInput!$M$24-ArtifactsInput!$M$24)*CHOOSE(ArtifactsInput!$N$24+1,10,12,14,16,18,20)+(IF(AND(ArtifactsInput!$M$42,((Inputs!$B$9+((C3299=TRUE)*(F3299-Calc!F19))+B3312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285">
        <f>IF(C3285,(H3285*N3285*IF(AND(Inputs!$B$38&lt;&gt;"pvp",Inputs!$B$43&gt;0),((Skills!G5*((R3285-1)*IF(Skills!H5&gt;0,Skills!I5/Skills!H5,1)+IF(Skills!H5&gt;0,MIN(Skills!I5,MAX(0,MAX(0,Inputs!$B$43-B3319)-((R3285-1)*IF(Inputs!$B$38="pvp",15,MAX(0.1,Skills!D5-IF(Skills!E5=TRUE,5.0,0))))))/Skills!H5,1)))/Inputs!$B$43),G3285*Q3285))*IF(Inputs!$B$38="pvp",1,(1+(Inputs!$B$21+Skills!Q5+(IF(ArtifactsInput!$M$33,CHOOSE(ArtifactsInput!$N$33+1,30,36,42,48,54,60),0))+(IF(AND(ArtifactsInput!$M$35,Inputs!$B$4&lt;&gt;"Chapter Hunt"),CHOOSE(ArtifactsInput!$N$35+1,15,18,21,24,27,30)*(1-EXP(-(0.2*B3314)*5)),0)+IF(AND(ArtifactsInput!$M$22,Inputs!$B$4&lt;&gt;"Chapter Hunt"),CHOOSE(ArtifactsInput!$N$22+1,10,12,14,16,18,20)*((0*(((0.15*B3314*5))^0/1)+1*(((0.15*B3314*5))^1/1)+2*(((0.15*B3314*5))^2/2)+3*(((0.15*B3314*5))^3/6)+4*(((0.15*B3314*5))^4/24)+5*(((0.15*B3314*5))^5/120))/((((0.15*B3314*5))^0/1)+(((0.15*B3314*5))^1/1)+(((0.15*B3314*5))^2/2)+(((0.15*B3314*5))^3/6)+(((0.15*B3314*5))^4/24)+(((0.15*B3314*5))^5/120))),0)))/100)*(MIN(Skills!R5,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286">
      <c r="A3286">
        <f>Skills!A6</f>
        <v/>
      </c>
      <c r="B3286">
        <f>Skills!B6</f>
        <v/>
      </c>
      <c r="C3286">
        <f>Inputs!$B$3&gt;=63</f>
        <v/>
      </c>
      <c r="D3286">
        <f>IF(Skills!C6=1,60+Inputs!$B$25+Inputs!$B$29,IF(Skills!C6=2,90+Inputs!$B$26+Inputs!$B$29,IF(Skills!C6=3,120+Inputs!$B$27+Inputs!$B$29,MAX(0,(Inputs!$B$3-100)*3)+Inputs!$B$28+Inputs!$B$29)))</f>
        <v/>
      </c>
      <c r="E3286">
        <f>INDEX(FactorTable!$B$2:$Y$301, MATCH(ROUND(MIN(300,MAX(1,D3286)),0), FactorTable!$A$2:$A$301,0), Skills!M6+1)</f>
        <v/>
      </c>
      <c r="F3286">
        <f>IF(Skills!N6=TRUE,(Skills!L6/10)*(E3286/1000),Skills!L6/10)+Skills!O6</f>
        <v/>
      </c>
      <c r="G3286">
        <f>Skills!G6*IF(Skills!H6&gt;0,Skills!I6/Skills!H6,1)</f>
        <v/>
      </c>
      <c r="H3286">
        <f>1-(1-Skills!J6/100)^Skills!K6</f>
        <v/>
      </c>
      <c r="I3286" t="inlineStr">
        <is>
          <t>1</t>
        </is>
      </c>
      <c r="J3286">
        <f>((Inputs!$B$6*(1+Inputs!$B$7/100))+(((Inputs!$B$12*(1+Inputs!$B$13/100))-(Inputs!$B$12*(1+Inputs!$B$13/100)))+0.25*(Inputs!$B$14-Inputs!$B$14))*(1+Inputs!$B$7/100))*(F3286/100)</f>
        <v/>
      </c>
      <c r="K3286">
        <f>J3286*(1+((Inputs!$B$12*(1+Inputs!$B$13/100))*0.01+Inputs!$B$14*0.0025)/100)*(1+Inputs!$B$15/100)*(1+Inputs!$B$16/100)*(5000/(6000+Inputs!$B$42*(1-(100*(1-(1-(Inputs!$B$19+0)/100)*(1-CHOOSE(ArtifactsInput!$N$40+1,5,6,7,8,9,10)/100)^(ArtifactsInput!$M$40-ArtifactsInput!$M$40)))/100)))*(1+(Inputs!$B$24+((C3304=TRUE)*(F3304-Calc!F24))+((C3305=TRUE)*(F3305-Calc!F25))+B3318)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3288=TRUE,F3288,0)/100)*(1+(IF(Skills!A6="EMPOWERED_PIERCING_ARROW",Inputs!$B$17+((C3302=TRUE)*(F3302-Calc!F22))+(((IF(AND(ArtifactsInput!$M$42,((Inputs!$B$9+((C3299=TRUE)*(F3299-Calc!F19))+B3312+(ArtifactsInput!$M$24-ArtifactsInput!$M$24)*CHOOSE(ArtifactsInput!$N$24+1,10,12,14,16,18,20)+IF(ArtifactsInput!$M$10,CHOOSE(ArtifactsInput!$N$10+1,15,18,21,24,27,30)*(IF(Inputs!$B$38="pvp",MIN(15,15)/15,IF(AND(Inputs!$B$38&lt;&gt;"pvp",Inputs!$B$43&gt;0),MIN(15,Inputs!$B$43)/(Inputs!$B$43),0))),0)))&gt;=100),MIN(100,((Inputs!$B$9+((C3299=TRUE)*(F3299-Calc!F19))+B3312+(ArtifactsInput!$M$24-ArtifactsInput!$M$24)*CHOOSE(ArtifactsInput!$N$24+1,10,12,14,16,18,20)+IF(ArtifactsInput!$M$10,CHOOSE(ArtifactsInput!$N$10+1,15,18,21,24,27,30)*(IF(Inputs!$B$38="pvp",MIN(15,15)/15,IF(AND(Inputs!$B$38&lt;&gt;"pvp",Inputs!$B$43&gt;0),MIN(15,Inputs!$B$43)/(Inputs!$B$43),0))),0)))-100),0))*CHOOSE(ArtifactsInput!$N$42+1,0.6,0.72,0.84,0.96,1.08,1.2))),Inputs!$B$18+((C3307=TRUE)*(F3307-Calc!F27))+(IF(AND(ArtifactsInput!$M$42,((Inputs!$B$9+((C3299=TRUE)*(F3299-Calc!F19))+B3312+(ArtifactsInput!$M$24-ArtifactsInput!$M$24)*CHOOSE(ArtifactsInput!$N$24+1,10,12,14,16,18,20)+IF(ArtifactsInput!$M$10,CHOOSE(ArtifactsInput!$N$10+1,15,18,21,24,27,30)*(IF(Inputs!$B$38="pvp",MIN(15,15)/15,IF(AND(Inputs!$B$38&lt;&gt;"pvp",Inputs!$B$43&gt;0),MIN(15,Inputs!$B$43)/(Inputs!$B$43),0))),0)))&gt;=100),CHOOSE(ArtifactsInput!$N$42+1,40,48,56,64,72,80),0))))/100)*((1+(((C3293=TRUE)*F3293)+((C3294=TRUE)*IF(Inputs!$B$38="pvp",F3294,(1-Summary!$B$11)*(F3294)+Summary!$B$11*(0)))+((C3295=TRUE)*F3295*IF(AND(Inputs!$B$38&lt;&gt;"pvp",Inputs!$B$43&gt;0),(((R3295-1)*(Skills!T15*(1+Inputs!$B$34/100))+MIN((Skills!T15*(1+Inputs!$B$34/100)),MAX(0,Inputs!$B$43-((R3295-1)*Skills!D15))))/Inputs!$B$43),IF(Inputs!$B$38="pvp",MIN((Skills!T15*(1+Inputs!$B$34/100)),15)/15,(Skills!T15*(1+Inputs!$B$34/100))/Skills!D15)))+((C3292=TRUE)*F3292)+((C3309=TRUE)*(F3309-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3286)</f>
        <v/>
      </c>
      <c r="L3286">
        <f>K3286*(MIN(Inputs!$B$22+((C3303=TRUE)*(F3303-Calc!F23)),(Inputs!$B$23+((C3308=TRUE)*(F3308-Calc!F28))+(IF(ArtifactsInput!$M$15,CHOOSE(ArtifactsInput!$N$15+1,25,30,35,40,45,50)/100*(Inputs!$B$11-Inputs!$B$11),0))))/100+(Inputs!$B$23+((C3308=TRUE)*(F3308-Calc!F28))+(IF(ArtifactsInput!$M$15,CHOOSE(ArtifactsInput!$N$15+1,25,30,35,40,45,50)/100*(Inputs!$B$11-Inputs!$B$11),0)))/100)/2</f>
        <v/>
      </c>
      <c r="M3286">
        <f>L3286*(1+(Inputs!$B$10+0+B3317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286">
        <f>L3286*(1-MIN((Inputs!$B$9+((C3299=TRUE)*(F3299-Calc!F19))+B3312+(ArtifactsInput!$M$24-ArtifactsInput!$M$24)*CHOOSE(ArtifactsInput!$N$24+1,10,12,14,16,18,20)+(IF(AND(ArtifactsInput!$M$42,((Inputs!$B$9+((C3299=TRUE)*(F3299-Calc!F19))+B3312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3286*(MIN((Inputs!$B$9+((C3299=TRUE)*(F3299-Calc!F19))+B3312+(ArtifactsInput!$M$24-ArtifactsInput!$M$24)*CHOOSE(ArtifactsInput!$N$24+1,10,12,14,16,18,20)+(IF(AND(ArtifactsInput!$M$42,((Inputs!$B$9+((C3299=TRUE)*(F3299-Calc!F19))+B3312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286">
        <f>(1-Summary!$B$11)*T3286+Summary!$B$11*V3286</f>
        <v/>
      </c>
      <c r="P3286">
        <f>IF(B3322=0,0,O3286/B3322)</f>
        <v/>
      </c>
      <c r="Q3286">
        <f>IFERROR(1/IF(Inputs!$B$38="pvp",15,MAX(0.1,Skills!D6-IF(Skills!E6=TRUE,5.0,0))),0)</f>
        <v/>
      </c>
      <c r="R3286">
        <f>IF(AND(Inputs!$B$38&lt;&gt;"pvp",Inputs!$B$43&gt;0),IF(MAX(0,Inputs!$B$43-B3319)&lt;=0,0,(INT(MAX(0,Inputs!$B$43-B3319)/IF(Inputs!$B$38="pvp",15,MAX(0.1,Skills!D6-IF(Skills!E6=TRUE,5.0,0))))+1)),0)</f>
        <v/>
      </c>
      <c r="S3286">
        <f>IFERROR((H3286*N3286*IF(AND(Inputs!$B$38&lt;&gt;"pvp",Inputs!$B$43&gt;0),((Skills!G6*((R3286-1)*IF(Skills!H6&gt;0,Skills!I6/Skills!H6,1)+IF(Skills!H6&gt;0,MIN(Skills!I6,MAX(0,MAX(0,Inputs!$B$43-B3319)-((R3286-1)*IF(Inputs!$B$38="pvp",15,MAX(0.1,Skills!D6-IF(Skills!E6=TRUE,5.0,0))))))/Skills!H6,1)))/Inputs!$B$43),G3286*Q3286))/N3286*IF(Inputs!$B$38="pvp",1,(1-Summary!$B$11)*1+Summary!$B$11*(MIN(Skills!R6,Inputs!$B$37))),0)</f>
        <v/>
      </c>
      <c r="T3286">
        <f>IF(C3286,(H3286*N3286*IF(AND(Inputs!$B$38&lt;&gt;"pvp",Inputs!$B$43&gt;0),((Skills!G6*((R3286-1)*IF(Skills!H6&gt;0,Skills!I6/Skills!H6,1)+IF(Skills!H6&gt;0,MIN(Skills!I6,MAX(0,MAX(0,Inputs!$B$43-B3319)-((R3286-1)*IF(Inputs!$B$38="pvp",15,MAX(0.1,Skills!D6-IF(Skills!E6=TRUE,5.0,0))))))/Skills!H6,1)))/Inputs!$B$43),G3286*Q3286))*IF(Inputs!$B$38="pvp",1,1+(Inputs!$B$20+0+Skills!P6+(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Hunt"),CHOOSE(ArtifactsInput!$N$35+1,15,18,21,24,27,30)*(1-EXP(-(0.2*B3314)*5)),0)+IF(AND(ArtifactsInput!$M$22,Inputs!$B$4&lt;&gt;"Chapter Hunt"),CHOOSE(ArtifactsInput!$N$22+1,10,12,14,16,18,20)*((0*(((0.15*B3314*5))^0/1)+1*(((0.15*B3314*5))^1/1)+2*(((0.15*B3314*5))^2/2)+3*(((0.15*B3314*5))^3/6)+4*(((0.15*B3314*5))^4/24)+5*(((0.15*B3314*5))^5/120))/((((0.15*B3314*5))^0/1)+(((0.15*B3314*5))^1/1)+(((0.15*B3314*5))^2/2)+(((0.15*B3314*5))^3/6)+(((0.15*B3314*5))^4/24)+(((0.15*B3314*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3286*(1-MIN(100,(Inputs!$B$9+((C3299=TRUE)*(F3299-Calc!F19))+B3312+(ArtifactsInput!$M$24-ArtifactsInput!$M$24)*CHOOSE(ArtifactsInput!$N$24+1,10,12,14,16,18,20)+(IF(AND(ArtifactsInput!$M$42,((Inputs!$B$9+((C3299=TRUE)*(F3299-Calc!F19))+B3312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3286*(MIN(100,(Inputs!$B$9+((C3299=TRUE)*(F3299-Calc!F19))+B3312+(ArtifactsInput!$M$24-ArtifactsInput!$M$24)*CHOOSE(ArtifactsInput!$N$24+1,10,12,14,16,18,20)+(IF(AND(ArtifactsInput!$M$42,((Inputs!$B$9+((C3299=TRUE)*(F3299-Calc!F19))+B3312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3286*(1-MIN(100,(Inputs!$B$9+((C3299=TRUE)*(F3299-Calc!F19))+B3312+(ArtifactsInput!$M$24-ArtifactsInput!$M$24)*CHOOSE(ArtifactsInput!$N$24+1,10,12,14,16,18,20)+(IF(AND(ArtifactsInput!$M$42,((Inputs!$B$9+((C3299=TRUE)*(F3299-Calc!F19))+B3312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3286*(MIN(100,(Inputs!$B$9+((C3299=TRUE)*(F3299-Calc!F19))+B3312+(ArtifactsInput!$M$24-ArtifactsInput!$M$24)*CHOOSE(ArtifactsInput!$N$24+1,10,12,14,16,18,20)+(IF(AND(ArtifactsInput!$M$42,((Inputs!$B$9+((C3299=TRUE)*(F3299-Calc!F19))+B3312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286">
        <f>IF(C3286,(H3286*N3286*IF(AND(Inputs!$B$38&lt;&gt;"pvp",Inputs!$B$43&gt;0),((Skills!G6*((R3286-1)*IF(Skills!H6&gt;0,Skills!I6/Skills!H6,1)+IF(Skills!H6&gt;0,MIN(Skills!I6,MAX(0,MAX(0,Inputs!$B$43-B3319)-((R3286-1)*IF(Inputs!$B$38="pvp",15,MAX(0.1,Skills!D6-IF(Skills!E6=TRUE,5.0,0))))))/Skills!H6,1)))/Inputs!$B$43),G3286*Q3286))*IF(Inputs!$B$38="pvp",1,(1+(Inputs!$B$21+Skills!Q6+(IF(ArtifactsInput!$M$33,CHOOSE(ArtifactsInput!$N$33+1,30,36,42,48,54,60),0))+(IF(AND(ArtifactsInput!$M$35,Inputs!$B$4&lt;&gt;"Chapter Hunt"),CHOOSE(ArtifactsInput!$N$35+1,15,18,21,24,27,30)*(1-EXP(-(0.2*B3314)*5)),0)+IF(AND(ArtifactsInput!$M$22,Inputs!$B$4&lt;&gt;"Chapter Hunt"),CHOOSE(ArtifactsInput!$N$22+1,10,12,14,16,18,20)*((0*(((0.15*B3314*5))^0/1)+1*(((0.15*B3314*5))^1/1)+2*(((0.15*B3314*5))^2/2)+3*(((0.15*B3314*5))^3/6)+4*(((0.15*B3314*5))^4/24)+5*(((0.15*B3314*5))^5/120))/((((0.15*B3314*5))^0/1)+(((0.15*B3314*5))^1/1)+(((0.15*B3314*5))^2/2)+(((0.15*B3314*5))^3/6)+(((0.15*B3314*5))^4/24)+(((0.15*B3314*5))^5/120))),0)))/100)*(MIN(Skills!R6,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287">
      <c r="A3287">
        <f>Skills!A7</f>
        <v/>
      </c>
      <c r="B3287">
        <f>Skills!B7</f>
        <v/>
      </c>
      <c r="C3287">
        <f>Inputs!$B$3&gt;=69</f>
        <v/>
      </c>
      <c r="D3287">
        <f>IF(Skills!C7=1,60+Inputs!$B$25+Inputs!$B$29,IF(Skills!C7=2,90+Inputs!$B$26+Inputs!$B$29,IF(Skills!C7=3,120+Inputs!$B$27+Inputs!$B$29,MAX(0,(Inputs!$B$3-100)*3)+Inputs!$B$28+Inputs!$B$29)))</f>
        <v/>
      </c>
      <c r="E3287">
        <f>INDEX(FactorTable!$B$2:$Y$301, MATCH(ROUND(MIN(300,MAX(1,D3287)),0), FactorTable!$A$2:$A$301,0), Skills!M7+1)</f>
        <v/>
      </c>
      <c r="F3287">
        <f>IF(Skills!N7=TRUE,(Skills!L7/10)*(E3287/1000),Skills!L7/10)+Skills!O7</f>
        <v/>
      </c>
      <c r="G3287">
        <f>Skills!G7*IF(Skills!H7&gt;0,Skills!I7/Skills!H7,1)</f>
        <v/>
      </c>
      <c r="H3287">
        <f>1-(1-Skills!J7/100)^Skills!K7</f>
        <v/>
      </c>
      <c r="I3287" t="inlineStr">
        <is>
          <t>1</t>
        </is>
      </c>
      <c r="J3287">
        <f>((Inputs!$B$6*(1+Inputs!$B$7/100))+(((Inputs!$B$12*(1+Inputs!$B$13/100))-(Inputs!$B$12*(1+Inputs!$B$13/100)))+0.25*(Inputs!$B$14-Inputs!$B$14))*(1+Inputs!$B$7/100))*(F3287/100)</f>
        <v/>
      </c>
      <c r="K3287">
        <f>J3287*(1+((Inputs!$B$12*(1+Inputs!$B$13/100))*0.01+Inputs!$B$14*0.0025)/100)*(1+Inputs!$B$15/100)*(1+Inputs!$B$16/100)*(5000/(6000+Inputs!$B$42*(1-(100*(1-(1-(Inputs!$B$19+0)/100)*(1-CHOOSE(ArtifactsInput!$N$40+1,5,6,7,8,9,10)/100)^(ArtifactsInput!$M$40-ArtifactsInput!$M$40)))/100)))*(1+(Inputs!$B$24+((C3304=TRUE)*(F3304-Calc!F24))+((C3305=TRUE)*(F3305-Calc!F25))+B3318)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+1.2*IF(C3288=TRUE,F3288,0)/100)*(1+(IF(Skills!A7="EMPOWERED_PIERCING_ARROW",Inputs!$B$17+((C3302=TRUE)*(F3302-Calc!F22))+(((IF(AND(ArtifactsInput!$M$42,((Inputs!$B$9+((C3299=TRUE)*(F3299-Calc!F19))+B3312+(ArtifactsInput!$M$24-ArtifactsInput!$M$24)*CHOOSE(ArtifactsInput!$N$24+1,10,12,14,16,18,20)+IF(ArtifactsInput!$M$10,CHOOSE(ArtifactsInput!$N$10+1,15,18,21,24,27,30)*(IF(Inputs!$B$38="pvp",MIN(15,15)/15,IF(AND(Inputs!$B$38&lt;&gt;"pvp",Inputs!$B$43&gt;0),MIN(15,Inputs!$B$43)/(Inputs!$B$43),0))),0)))&gt;=100),MIN(100,((Inputs!$B$9+((C3299=TRUE)*(F3299-Calc!F19))+B3312+(ArtifactsInput!$M$24-ArtifactsInput!$M$24)*CHOOSE(ArtifactsInput!$N$24+1,10,12,14,16,18,20)+IF(ArtifactsInput!$M$10,CHOOSE(ArtifactsInput!$N$10+1,15,18,21,24,27,30)*(IF(Inputs!$B$38="pvp",MIN(15,15)/15,IF(AND(Inputs!$B$38&lt;&gt;"pvp",Inputs!$B$43&gt;0),MIN(15,Inputs!$B$43)/(Inputs!$B$43),0))),0)))-100),0))*CHOOSE(ArtifactsInput!$N$42+1,0.6,0.72,0.84,0.96,1.08,1.2))),Inputs!$B$18+((C3307=TRUE)*(F3307-Calc!F27))+(IF(AND(ArtifactsInput!$M$42,((Inputs!$B$9+((C3299=TRUE)*(F3299-Calc!F19))+B3312+(ArtifactsInput!$M$24-ArtifactsInput!$M$24)*CHOOSE(ArtifactsInput!$N$24+1,10,12,14,16,18,20)+IF(ArtifactsInput!$M$10,CHOOSE(ArtifactsInput!$N$10+1,15,18,21,24,27,30)*(IF(Inputs!$B$38="pvp",MIN(15,15)/15,IF(AND(Inputs!$B$38&lt;&gt;"pvp",Inputs!$B$43&gt;0),MIN(15,Inputs!$B$43)/(Inputs!$B$43),0))),0)))&gt;=100),CHOOSE(ArtifactsInput!$N$42+1,40,48,56,64,72,80),0))))/100)*((1+(((C3293=TRUE)*F3293)+((C3294=TRUE)*IF(Inputs!$B$38="pvp",F3294,(1-Summary!$B$11)*(F3294)+Summary!$B$11*(0)))+((C3295=TRUE)*F3295*IF(AND(Inputs!$B$38&lt;&gt;"pvp",Inputs!$B$43&gt;0),(((R3295-1)*(Skills!T15*(1+Inputs!$B$34/100))+MIN((Skills!T15*(1+Inputs!$B$34/100)),MAX(0,Inputs!$B$43-((R3295-1)*Skills!D15))))/Inputs!$B$43),IF(Inputs!$B$38="pvp",MIN((Skills!T15*(1+Inputs!$B$34/100)),15)/15,(Skills!T15*(1+Inputs!$B$34/100))/Skills!D15)))+((C3292=TRUE)*F3292)+((C3309=TRUE)*(F3309-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3287)</f>
        <v/>
      </c>
      <c r="L3287">
        <f>K3287*(MIN(Inputs!$B$22+((C3303=TRUE)*(F3303-Calc!F23)),(Inputs!$B$23+((C3308=TRUE)*(F3308-Calc!F28))+(IF(ArtifactsInput!$M$15,CHOOSE(ArtifactsInput!$N$15+1,25,30,35,40,45,50)/100*(Inputs!$B$11-Inputs!$B$11),0))))/100+(Inputs!$B$23+((C3308=TRUE)*(F3308-Calc!F28))+(IF(ArtifactsInput!$M$15,CHOOSE(ArtifactsInput!$N$15+1,25,30,35,40,45,50)/100*(Inputs!$B$11-Inputs!$B$11),0)))/100)/2</f>
        <v/>
      </c>
      <c r="M3287">
        <f>L3287*(1+(Inputs!$B$10+0+B3317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287">
        <f>L3287*(1-MIN((Inputs!$B$9+((C3299=TRUE)*(F3299-Calc!F19))+B3312+(ArtifactsInput!$M$24-ArtifactsInput!$M$24)*CHOOSE(ArtifactsInput!$N$24+1,10,12,14,16,18,20)+(IF(AND(ArtifactsInput!$M$42,((Inputs!$B$9+((C3299=TRUE)*(F3299-Calc!F19))+B3312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3287*(MIN((Inputs!$B$9+((C3299=TRUE)*(F3299-Calc!F19))+B3312+(ArtifactsInput!$M$24-ArtifactsInput!$M$24)*CHOOSE(ArtifactsInput!$N$24+1,10,12,14,16,18,20)+(IF(AND(ArtifactsInput!$M$42,((Inputs!$B$9+((C3299=TRUE)*(F3299-Calc!F19))+B3312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287">
        <f>(1-Summary!$B$11)*T3287+Summary!$B$11*V3287</f>
        <v/>
      </c>
      <c r="P3287">
        <f>IF(B3322=0,0,O3287/B3322)</f>
        <v/>
      </c>
      <c r="Q3287">
        <f>IFERROR(1/IF(Inputs!$B$38="pvp",15,MAX(0.1,Skills!D7-IF(Skills!E7=TRUE,5.0,0))),0)</f>
        <v/>
      </c>
      <c r="R3287">
        <f>IF(AND(Inputs!$B$38&lt;&gt;"pvp",Inputs!$B$43&gt;0),IF(MAX(0,Inputs!$B$43-B3319)&lt;=0,0,(INT(MAX(0,Inputs!$B$43-B3319)/IF(Inputs!$B$38="pvp",15,MAX(0.1,Skills!D7-IF(Skills!E7=TRUE,5.0,0))))+1)),0)</f>
        <v/>
      </c>
      <c r="S3287">
        <f>IFERROR((H3287*N3287*IF(AND(Inputs!$B$38&lt;&gt;"pvp",Inputs!$B$43&gt;0),((Skills!G7*((R3287-1)*IF(Skills!H7&gt;0,Skills!I7/Skills!H7,1)+IF(Skills!H7&gt;0,MIN(Skills!I7,MAX(0,MAX(0,Inputs!$B$43-B3319)-((R3287-1)*IF(Inputs!$B$38="pvp",15,MAX(0.1,Skills!D7-IF(Skills!E7=TRUE,5.0,0))))))/Skills!H7,1)))/Inputs!$B$43),G3287*Q3287))/N3287*IF(Inputs!$B$38="pvp",1,(1-Summary!$B$11)*1+Summary!$B$11*(MIN(Skills!R7,Inputs!$B$37))),0)</f>
        <v/>
      </c>
      <c r="T3287">
        <f>IF(C3287,(H3287*N3287*IF(AND(Inputs!$B$38&lt;&gt;"pvp",Inputs!$B$43&gt;0),((Skills!G7*((R3287-1)*IF(Skills!H7&gt;0,Skills!I7/Skills!H7,1)+IF(Skills!H7&gt;0,MIN(Skills!I7,MAX(0,MAX(0,Inputs!$B$43-B3319)-((R3287-1)*IF(Inputs!$B$38="pvp",15,MAX(0.1,Skills!D7-IF(Skills!E7=TRUE,5.0,0))))))/Skills!H7,1)))/Inputs!$B$43),G3287*Q3287))*IF(Inputs!$B$38="pvp",1,1+(Inputs!$B$20+0+Skills!P7+(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Hunt"),CHOOSE(ArtifactsInput!$N$35+1,15,18,21,24,27,30)*(1-EXP(-(0.2*B3314)*5)),0)+IF(AND(ArtifactsInput!$M$22,Inputs!$B$4&lt;&gt;"Chapter Hunt"),CHOOSE(ArtifactsInput!$N$22+1,10,12,14,16,18,20)*((0*(((0.15*B3314*5))^0/1)+1*(((0.15*B3314*5))^1/1)+2*(((0.15*B3314*5))^2/2)+3*(((0.15*B3314*5))^3/6)+4*(((0.15*B3314*5))^4/24)+5*(((0.15*B3314*5))^5/120))/((((0.15*B3314*5))^0/1)+(((0.15*B3314*5))^1/1)+(((0.15*B3314*5))^2/2)+(((0.15*B3314*5))^3/6)+(((0.15*B3314*5))^4/24)+(((0.15*B3314*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3287*(1-MIN(100,(Inputs!$B$9+((C3299=TRUE)*(F3299-Calc!F19))+B3312+(ArtifactsInput!$M$24-ArtifactsInput!$M$24)*CHOOSE(ArtifactsInput!$N$24+1,10,12,14,16,18,20)+(IF(AND(ArtifactsInput!$M$42,((Inputs!$B$9+((C3299=TRUE)*(F3299-Calc!F19))+B3312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3287*(MIN(100,(Inputs!$B$9+((C3299=TRUE)*(F3299-Calc!F19))+B3312+(ArtifactsInput!$M$24-ArtifactsInput!$M$24)*CHOOSE(ArtifactsInput!$N$24+1,10,12,14,16,18,20)+(IF(AND(ArtifactsInput!$M$42,((Inputs!$B$9+((C3299=TRUE)*(F3299-Calc!F19))+B3312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3287*(1-MIN(100,(Inputs!$B$9+((C3299=TRUE)*(F3299-Calc!F19))+B3312+(ArtifactsInput!$M$24-ArtifactsInput!$M$24)*CHOOSE(ArtifactsInput!$N$24+1,10,12,14,16,18,20)+(IF(AND(ArtifactsInput!$M$42,((Inputs!$B$9+((C3299=TRUE)*(F3299-Calc!F19))+B3312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3287*(MIN(100,(Inputs!$B$9+((C3299=TRUE)*(F3299-Calc!F19))+B3312+(ArtifactsInput!$M$24-ArtifactsInput!$M$24)*CHOOSE(ArtifactsInput!$N$24+1,10,12,14,16,18,20)+(IF(AND(ArtifactsInput!$M$42,((Inputs!$B$9+((C3299=TRUE)*(F3299-Calc!F19))+B3312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287">
        <f>IF(C3287,(H3287*N3287*IF(AND(Inputs!$B$38&lt;&gt;"pvp",Inputs!$B$43&gt;0),((Skills!G7*((R3287-1)*IF(Skills!H7&gt;0,Skills!I7/Skills!H7,1)+IF(Skills!H7&gt;0,MIN(Skills!I7,MAX(0,MAX(0,Inputs!$B$43-B3319)-((R3287-1)*IF(Inputs!$B$38="pvp",15,MAX(0.1,Skills!D7-IF(Skills!E7=TRUE,5.0,0))))))/Skills!H7,1)))/Inputs!$B$43),G3287*Q3287))*IF(Inputs!$B$38="pvp",1,(1+(Inputs!$B$21+Skills!Q7+(IF(ArtifactsInput!$M$33,CHOOSE(ArtifactsInput!$N$33+1,30,36,42,48,54,60),0))+(IF(AND(ArtifactsInput!$M$35,Inputs!$B$4&lt;&gt;"Chapter Hunt"),CHOOSE(ArtifactsInput!$N$35+1,15,18,21,24,27,30)*(1-EXP(-(0.2*B3314)*5)),0)+IF(AND(ArtifactsInput!$M$22,Inputs!$B$4&lt;&gt;"Chapter Hunt"),CHOOSE(ArtifactsInput!$N$22+1,10,12,14,16,18,20)*((0*(((0.15*B3314*5))^0/1)+1*(((0.15*B3314*5))^1/1)+2*(((0.15*B3314*5))^2/2)+3*(((0.15*B3314*5))^3/6)+4*(((0.15*B3314*5))^4/24)+5*(((0.15*B3314*5))^5/120))/((((0.15*B3314*5))^0/1)+(((0.15*B3314*5))^1/1)+(((0.15*B3314*5))^2/2)+(((0.15*B3314*5))^3/6)+(((0.15*B3314*5))^4/24)+(((0.15*B3314*5))^5/120))),0)))/100)*(MIN(Skills!R7,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288">
      <c r="A3288">
        <f>Skills!A8</f>
        <v/>
      </c>
      <c r="B3288">
        <f>Skills!B8</f>
        <v/>
      </c>
      <c r="C3288">
        <f>Inputs!$B$3&gt;=100</f>
        <v/>
      </c>
      <c r="D3288">
        <f>IF(Skills!C8=1,60+Inputs!$B$25+Inputs!$B$29,IF(Skills!C8=2,90+Inputs!$B$26+Inputs!$B$29,IF(Skills!C8=3,120+Inputs!$B$27+Inputs!$B$29,MAX(0,(Inputs!$B$3-100)*3)+Inputs!$B$28+Inputs!$B$29)))</f>
        <v/>
      </c>
      <c r="E3288">
        <f>INDEX(FactorTable!$B$2:$Y$301, MATCH(ROUND(MIN(300,MAX(1,D3288)),0), FactorTable!$A$2:$A$301,0), Skills!M8+1)</f>
        <v/>
      </c>
      <c r="F3288">
        <f>IF(Skills!N8=TRUE,(Skills!L8/10)*(E3288/1000),Skills!L8/10)+Skills!O8</f>
        <v/>
      </c>
      <c r="G3288" t="inlineStr"/>
      <c r="H3288" t="inlineStr"/>
      <c r="I3288" t="inlineStr">
        <is>
          <t>1</t>
        </is>
      </c>
      <c r="J3288" t="inlineStr"/>
      <c r="K3288" t="inlineStr"/>
      <c r="L3288" t="inlineStr"/>
      <c r="M3288" t="inlineStr"/>
      <c r="N3288" t="inlineStr"/>
      <c r="O3288" t="inlineStr"/>
      <c r="P3288" t="inlineStr"/>
      <c r="Q3288" t="inlineStr"/>
      <c r="R3288" t="inlineStr"/>
      <c r="S3288" t="inlineStr"/>
      <c r="T3288" t="inlineStr"/>
      <c r="V3288" t="inlineStr"/>
    </row>
    <row r="3289">
      <c r="A3289">
        <f>Skills!A9</f>
        <v/>
      </c>
      <c r="B3289">
        <f>Skills!B9</f>
        <v/>
      </c>
      <c r="C3289">
        <f>Inputs!$B$3&gt;=103</f>
        <v/>
      </c>
      <c r="D3289">
        <f>IF(Skills!C9=1,60+Inputs!$B$25+Inputs!$B$29,IF(Skills!C9=2,90+Inputs!$B$26+Inputs!$B$29,IF(Skills!C9=3,120+Inputs!$B$27+Inputs!$B$29,MAX(0,(Inputs!$B$3-100)*3)+Inputs!$B$28+Inputs!$B$29)))</f>
        <v/>
      </c>
      <c r="E3289">
        <f>INDEX(FactorTable!$B$2:$Y$301, MATCH(ROUND(MIN(300,MAX(1,D3289)),0), FactorTable!$A$2:$A$301,0), Skills!M9+1)</f>
        <v/>
      </c>
      <c r="F3289">
        <f>IF(Skills!N9=TRUE,(Skills!L9/10)*(E3289/1000),Skills!L9/10)+Skills!O9</f>
        <v/>
      </c>
      <c r="G3289">
        <f>Skills!G9*IF(Skills!H9&gt;0,Skills!I9/Skills!H9,1)</f>
        <v/>
      </c>
      <c r="H3289">
        <f>1-(1-Skills!J9/100)^Skills!K9</f>
        <v/>
      </c>
      <c r="I3289" t="inlineStr">
        <is>
          <t>1</t>
        </is>
      </c>
      <c r="J3289">
        <f>((Inputs!$B$6*(1+Inputs!$B$7/100))+(((Inputs!$B$12*(1+Inputs!$B$13/100))-(Inputs!$B$12*(1+Inputs!$B$13/100)))+0.25*(Inputs!$B$14-Inputs!$B$14))*(1+Inputs!$B$7/100))*(F3289/100)</f>
        <v/>
      </c>
      <c r="K3289">
        <f>J3289*(1+((Inputs!$B$12*(1+Inputs!$B$13/100))*0.01+Inputs!$B$14*0.0025)/100)*(1+Inputs!$B$15/100)*(1+Inputs!$B$16/100)*(5000/(6000+Inputs!$B$42*(1-(100*(1-(1-(Inputs!$B$19+0)/100)*(1-CHOOSE(ArtifactsInput!$N$40+1,5,6,7,8,9,10)/100)^(ArtifactsInput!$M$40-ArtifactsInput!$M$40)))/100)))*(1+(Inputs!$B$24+((C3304=TRUE)*(F3304-Calc!F24))+((C3305=TRUE)*(F3305-Calc!F25))+B3318)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9="EMPOWERED_PIERCING_ARROW",Inputs!$B$17+((C3302=TRUE)*(F3302-Calc!F22))+(((IF(AND(ArtifactsInput!$M$42,((Inputs!$B$9+((C3299=TRUE)*(F3299-Calc!F19))+B3312+(ArtifactsInput!$M$24-ArtifactsInput!$M$24)*CHOOSE(ArtifactsInput!$N$24+1,10,12,14,16,18,20)+IF(ArtifactsInput!$M$10,CHOOSE(ArtifactsInput!$N$10+1,15,18,21,24,27,30)*(IF(Inputs!$B$38="pvp",MIN(15,15)/15,IF(AND(Inputs!$B$38&lt;&gt;"pvp",Inputs!$B$43&gt;0),MIN(15,Inputs!$B$43)/(Inputs!$B$43),0))),0)))&gt;=100),MIN(100,((Inputs!$B$9+((C3299=TRUE)*(F3299-Calc!F19))+B3312+(ArtifactsInput!$M$24-ArtifactsInput!$M$24)*CHOOSE(ArtifactsInput!$N$24+1,10,12,14,16,18,20)+IF(ArtifactsInput!$M$10,CHOOSE(ArtifactsInput!$N$10+1,15,18,21,24,27,30)*(IF(Inputs!$B$38="pvp",MIN(15,15)/15,IF(AND(Inputs!$B$38&lt;&gt;"pvp",Inputs!$B$43&gt;0),MIN(15,Inputs!$B$43)/(Inputs!$B$43),0))),0)))-100),0))*CHOOSE(ArtifactsInput!$N$42+1,0.6,0.72,0.84,0.96,1.08,1.2))),Inputs!$B$18+((C3307=TRUE)*(F3307-Calc!F27))+(IF(AND(ArtifactsInput!$M$42,((Inputs!$B$9+((C3299=TRUE)*(F3299-Calc!F19))+B3312+(ArtifactsInput!$M$24-ArtifactsInput!$M$24)*CHOOSE(ArtifactsInput!$N$24+1,10,12,14,16,18,20)+IF(ArtifactsInput!$M$10,CHOOSE(ArtifactsInput!$N$10+1,15,18,21,24,27,30)*(IF(Inputs!$B$38="pvp",MIN(15,15)/15,IF(AND(Inputs!$B$38&lt;&gt;"pvp",Inputs!$B$43&gt;0),MIN(15,Inputs!$B$43)/(Inputs!$B$43),0))),0)))&gt;=100),CHOOSE(ArtifactsInput!$N$42+1,40,48,56,64,72,80),0))))/100)*((1+(((C3293=TRUE)*F3293)+((C3294=TRUE)*IF(Inputs!$B$38="pvp",F3294,(1-Summary!$B$11)*(F3294)+Summary!$B$11*(0)))+((C3295=TRUE)*F3295*IF(AND(Inputs!$B$38&lt;&gt;"pvp",Inputs!$B$43&gt;0),(((R3295-1)*(Skills!T15*(1+Inputs!$B$34/100))+MIN((Skills!T15*(1+Inputs!$B$34/100)),MAX(0,Inputs!$B$43-((R3295-1)*Skills!D15))))/Inputs!$B$43),IF(Inputs!$B$38="pvp",MIN((Skills!T15*(1+Inputs!$B$34/100)),15)/15,(Skills!T15*(1+Inputs!$B$34/100))/Skills!D15)))+((C3292=TRUE)*F3292)+((C3309=TRUE)*(F3309-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3289)</f>
        <v/>
      </c>
      <c r="L3289">
        <f>K3289*(MIN(Inputs!$B$22+((C3303=TRUE)*(F3303-Calc!F23)),(Inputs!$B$23+((C3308=TRUE)*(F3308-Calc!F28))+(IF(ArtifactsInput!$M$15,CHOOSE(ArtifactsInput!$N$15+1,25,30,35,40,45,50)/100*(Inputs!$B$11-Inputs!$B$11),0))))/100+(Inputs!$B$23+((C3308=TRUE)*(F3308-Calc!F28))+(IF(ArtifactsInput!$M$15,CHOOSE(ArtifactsInput!$N$15+1,25,30,35,40,45,50)/100*(Inputs!$B$11-Inputs!$B$11),0)))/100)/2</f>
        <v/>
      </c>
      <c r="M3289">
        <f>L3289*(1+(Inputs!$B$10+0+B3317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289">
        <f>L3289*(1-MIN((Inputs!$B$9+((C3299=TRUE)*(F3299-Calc!F19))+B3312+(ArtifactsInput!$M$24-ArtifactsInput!$M$24)*CHOOSE(ArtifactsInput!$N$24+1,10,12,14,16,18,20)+(IF(AND(ArtifactsInput!$M$42,((Inputs!$B$9+((C3299=TRUE)*(F3299-Calc!F19))+B3312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3289*(MIN((Inputs!$B$9+((C3299=TRUE)*(F3299-Calc!F19))+B3312+(ArtifactsInput!$M$24-ArtifactsInput!$M$24)*CHOOSE(ArtifactsInput!$N$24+1,10,12,14,16,18,20)+(IF(AND(ArtifactsInput!$M$42,((Inputs!$B$9+((C3299=TRUE)*(F3299-Calc!F19))+B3312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289">
        <f>(1-Summary!$B$11)*T3289+Summary!$B$11*V3289</f>
        <v/>
      </c>
      <c r="P3289">
        <f>IF(B3322=0,0,O3289/B3322)</f>
        <v/>
      </c>
      <c r="Q3289">
        <f>IFERROR(1/IF(Inputs!$B$38="pvp",15,MAX(0.1,Skills!D9-IF(Skills!E9=TRUE,5.0,0))),0)</f>
        <v/>
      </c>
      <c r="R3289">
        <f>IF(AND(Inputs!$B$38&lt;&gt;"pvp",Inputs!$B$43&gt;0),IF(MAX(0,Inputs!$B$43-B3319)&lt;=0,0,(INT(MAX(0,Inputs!$B$43-B3319)/IF(Inputs!$B$38="pvp",15,MAX(0.1,Skills!D9-IF(Skills!E9=TRUE,5.0,0))))+1)),0)</f>
        <v/>
      </c>
      <c r="S3289">
        <f>IFERROR((H3289*N3289*IF(AND(Inputs!$B$38&lt;&gt;"pvp",Inputs!$B$43&gt;0),((Skills!G9*((R3289-1)*IF(Skills!H9&gt;0,Skills!I9/Skills!H9,1)+IF(Skills!H9&gt;0,MIN(Skills!I9,MAX(0,MAX(0,Inputs!$B$43-B3319)-((R3289-1)*IF(Inputs!$B$38="pvp",15,MAX(0.1,Skills!D9-IF(Skills!E9=TRUE,5.0,0))))))/Skills!H9,1)))/Inputs!$B$43),G3289*Q3289))/N3289*IF(Inputs!$B$38="pvp",1,(1-Summary!$B$11)*1+Summary!$B$11*(MIN(Skills!R9,Inputs!$B$37))),0)</f>
        <v/>
      </c>
      <c r="T3289">
        <f>IF(C3289,(H3289*N3289*IF(AND(Inputs!$B$38&lt;&gt;"pvp",Inputs!$B$43&gt;0),((Skills!G9*((R3289-1)*IF(Skills!H9&gt;0,Skills!I9/Skills!H9,1)+IF(Skills!H9&gt;0,MIN(Skills!I9,MAX(0,MAX(0,Inputs!$B$43-B3319)-((R3289-1)*IF(Inputs!$B$38="pvp",15,MAX(0.1,Skills!D9-IF(Skills!E9=TRUE,5.0,0))))))/Skills!H9,1)))/Inputs!$B$43),G3289*Q3289))*IF(Inputs!$B$38="pvp",1,1+(Inputs!$B$20+0+Skills!P9+(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Hunt"),CHOOSE(ArtifactsInput!$N$35+1,15,18,21,24,27,30)*(1-EXP(-(0.2*B3314)*5)),0)+IF(AND(ArtifactsInput!$M$22,Inputs!$B$4&lt;&gt;"Chapter Hunt"),CHOOSE(ArtifactsInput!$N$22+1,10,12,14,16,18,20)*((0*(((0.15*B3314*5))^0/1)+1*(((0.15*B3314*5))^1/1)+2*(((0.15*B3314*5))^2/2)+3*(((0.15*B3314*5))^3/6)+4*(((0.15*B3314*5))^4/24)+5*(((0.15*B3314*5))^5/120))/((((0.15*B3314*5))^0/1)+(((0.15*B3314*5))^1/1)+(((0.15*B3314*5))^2/2)+(((0.15*B3314*5))^3/6)+(((0.15*B3314*5))^4/24)+(((0.15*B3314*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3289*(1-MIN(100,(Inputs!$B$9+((C3299=TRUE)*(F3299-Calc!F19))+B3312+(ArtifactsInput!$M$24-ArtifactsInput!$M$24)*CHOOSE(ArtifactsInput!$N$24+1,10,12,14,16,18,20)+(IF(AND(ArtifactsInput!$M$42,((Inputs!$B$9+((C3299=TRUE)*(F3299-Calc!F19))+B3312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3289*(MIN(100,(Inputs!$B$9+((C3299=TRUE)*(F3299-Calc!F19))+B3312+(ArtifactsInput!$M$24-ArtifactsInput!$M$24)*CHOOSE(ArtifactsInput!$N$24+1,10,12,14,16,18,20)+(IF(AND(ArtifactsInput!$M$42,((Inputs!$B$9+((C3299=TRUE)*(F3299-Calc!F19))+B3312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3289*(1-MIN(100,(Inputs!$B$9+((C3299=TRUE)*(F3299-Calc!F19))+B3312+(ArtifactsInput!$M$24-ArtifactsInput!$M$24)*CHOOSE(ArtifactsInput!$N$24+1,10,12,14,16,18,20)+(IF(AND(ArtifactsInput!$M$42,((Inputs!$B$9+((C3299=TRUE)*(F3299-Calc!F19))+B3312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3289*(MIN(100,(Inputs!$B$9+((C3299=TRUE)*(F3299-Calc!F19))+B3312+(ArtifactsInput!$M$24-ArtifactsInput!$M$24)*CHOOSE(ArtifactsInput!$N$24+1,10,12,14,16,18,20)+(IF(AND(ArtifactsInput!$M$42,((Inputs!$B$9+((C3299=TRUE)*(F3299-Calc!F19))+B3312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289">
        <f>IF(C3289,(H3289*N3289*IF(AND(Inputs!$B$38&lt;&gt;"pvp",Inputs!$B$43&gt;0),((Skills!G9*((R3289-1)*IF(Skills!H9&gt;0,Skills!I9/Skills!H9,1)+IF(Skills!H9&gt;0,MIN(Skills!I9,MAX(0,MAX(0,Inputs!$B$43-B3319)-((R3289-1)*IF(Inputs!$B$38="pvp",15,MAX(0.1,Skills!D9-IF(Skills!E9=TRUE,5.0,0))))))/Skills!H9,1)))/Inputs!$B$43),G3289*Q3289))*IF(Inputs!$B$38="pvp",1,(1+(Inputs!$B$21+Skills!Q9+(IF(ArtifactsInput!$M$33,CHOOSE(ArtifactsInput!$N$33+1,30,36,42,48,54,60),0))+(IF(AND(ArtifactsInput!$M$35,Inputs!$B$4&lt;&gt;"Chapter Hunt"),CHOOSE(ArtifactsInput!$N$35+1,15,18,21,24,27,30)*(1-EXP(-(0.2*B3314)*5)),0)+IF(AND(ArtifactsInput!$M$22,Inputs!$B$4&lt;&gt;"Chapter Hunt"),CHOOSE(ArtifactsInput!$N$22+1,10,12,14,16,18,20)*((0*(((0.15*B3314*5))^0/1)+1*(((0.15*B3314*5))^1/1)+2*(((0.15*B3314*5))^2/2)+3*(((0.15*B3314*5))^3/6)+4*(((0.15*B3314*5))^4/24)+5*(((0.15*B3314*5))^5/120))/((((0.15*B3314*5))^0/1)+(((0.15*B3314*5))^1/1)+(((0.15*B3314*5))^2/2)+(((0.15*B3314*5))^3/6)+(((0.15*B3314*5))^4/24)+(((0.15*B3314*5))^5/120))),0)))/100)*(MIN(Skills!R9,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290">
      <c r="A3290">
        <f>Skills!A10</f>
        <v/>
      </c>
      <c r="B3290">
        <f>Skills!B10</f>
        <v/>
      </c>
      <c r="C3290">
        <f>Inputs!$B$3&gt;=107</f>
        <v/>
      </c>
      <c r="D3290">
        <f>IF(Skills!C10=1,60+Inputs!$B$25+Inputs!$B$29,IF(Skills!C10=2,90+Inputs!$B$26+Inputs!$B$29,IF(Skills!C10=3,120+Inputs!$B$27+Inputs!$B$29,MAX(0,(Inputs!$B$3-100)*3)+Inputs!$B$28+Inputs!$B$29)))</f>
        <v/>
      </c>
      <c r="E3290">
        <f>INDEX(FactorTable!$B$2:$Y$301, MATCH(ROUND(MIN(300,MAX(1,D3290)),0), FactorTable!$A$2:$A$301,0), Skills!M10+1)</f>
        <v/>
      </c>
      <c r="F3290">
        <f>IF(Skills!N10=TRUE,(Skills!L10/10)*(E3290/1000),Skills!L10/10)+Skills!O10</f>
        <v/>
      </c>
      <c r="G3290">
        <f>Skills!G10*IF(Skills!H10&gt;0,Skills!I10/Skills!H10,1)</f>
        <v/>
      </c>
      <c r="H3290">
        <f>1-(1-Skills!J10/100)^Skills!K10</f>
        <v/>
      </c>
      <c r="I3290" t="inlineStr">
        <is>
          <t>1</t>
        </is>
      </c>
      <c r="J3290">
        <f>((Inputs!$B$6*(1+Inputs!$B$7/100))+(((Inputs!$B$12*(1+Inputs!$B$13/100))-(Inputs!$B$12*(1+Inputs!$B$13/100)))+0.25*(Inputs!$B$14-Inputs!$B$14))*(1+Inputs!$B$7/100))*(F3290/100)</f>
        <v/>
      </c>
      <c r="K3290">
        <f>J3290*(1+((Inputs!$B$12*(1+Inputs!$B$13/100))*0.01+Inputs!$B$14*0.0025)/100)*(1+Inputs!$B$15/100)*(1+Inputs!$B$16/100)*(5000/(6000+Inputs!$B$42*(1-(100*(1-(1-(Inputs!$B$19+0)/100)*(1-CHOOSE(ArtifactsInput!$N$40+1,5,6,7,8,9,10)/100)^(ArtifactsInput!$M$40-ArtifactsInput!$M$40)))/100)))*(1+(Inputs!$B$24+((C3304=TRUE)*(F3304-Calc!F24))+((C3305=TRUE)*(F3305-Calc!F25))+B3318)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EMPOWERED_PIERCING_ARROW",Inputs!$B$17+((C3302=TRUE)*(F3302-Calc!F22))+(((IF(AND(ArtifactsInput!$M$42,((Inputs!$B$9+((C3299=TRUE)*(F3299-Calc!F19))+B3312+(ArtifactsInput!$M$24-ArtifactsInput!$M$24)*CHOOSE(ArtifactsInput!$N$24+1,10,12,14,16,18,20)+IF(ArtifactsInput!$M$10,CHOOSE(ArtifactsInput!$N$10+1,15,18,21,24,27,30)*(IF(Inputs!$B$38="pvp",MIN(15,15)/15,IF(AND(Inputs!$B$38&lt;&gt;"pvp",Inputs!$B$43&gt;0),MIN(15,Inputs!$B$43)/(Inputs!$B$43),0))),0)))&gt;=100),MIN(100,((Inputs!$B$9+((C3299=TRUE)*(F3299-Calc!F19))+B3312+(ArtifactsInput!$M$24-ArtifactsInput!$M$24)*CHOOSE(ArtifactsInput!$N$24+1,10,12,14,16,18,20)+IF(ArtifactsInput!$M$10,CHOOSE(ArtifactsInput!$N$10+1,15,18,21,24,27,30)*(IF(Inputs!$B$38="pvp",MIN(15,15)/15,IF(AND(Inputs!$B$38&lt;&gt;"pvp",Inputs!$B$43&gt;0),MIN(15,Inputs!$B$43)/(Inputs!$B$43),0))),0)))-100),0))*CHOOSE(ArtifactsInput!$N$42+1,0.6,0.72,0.84,0.96,1.08,1.2))),Inputs!$B$18+((C3307=TRUE)*(F3307-Calc!F27))+(IF(AND(ArtifactsInput!$M$42,((Inputs!$B$9+((C3299=TRUE)*(F3299-Calc!F19))+B3312+(ArtifactsInput!$M$24-ArtifactsInput!$M$24)*CHOOSE(ArtifactsInput!$N$24+1,10,12,14,16,18,20)+IF(ArtifactsInput!$M$10,CHOOSE(ArtifactsInput!$N$10+1,15,18,21,24,27,30)*(IF(Inputs!$B$38="pvp",MIN(15,15)/15,IF(AND(Inputs!$B$38&lt;&gt;"pvp",Inputs!$B$43&gt;0),MIN(15,Inputs!$B$43)/(Inputs!$B$43),0))),0)))&gt;=100),CHOOSE(ArtifactsInput!$N$42+1,40,48,56,64,72,80),0))))/100)*((1+(((C3293=TRUE)*F3293)+((C3294=TRUE)*IF(Inputs!$B$38="pvp",F3294,(1-Summary!$B$11)*(F3294)+Summary!$B$11*(0)))+((C3295=TRUE)*F3295*IF(AND(Inputs!$B$38&lt;&gt;"pvp",Inputs!$B$43&gt;0),(((R3295-1)*(Skills!T15*(1+Inputs!$B$34/100))+MIN((Skills!T15*(1+Inputs!$B$34/100)),MAX(0,Inputs!$B$43-((R3295-1)*Skills!D15))))/Inputs!$B$43),IF(Inputs!$B$38="pvp",MIN((Skills!T15*(1+Inputs!$B$34/100)),15)/15,(Skills!T15*(1+Inputs!$B$34/100))/Skills!D15)))+((C3292=TRUE)*F3292)+((C3309=TRUE)*(F3309-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3290)</f>
        <v/>
      </c>
      <c r="L3290">
        <f>K3290*(MIN(Inputs!$B$22+((C3303=TRUE)*(F3303-Calc!F23)),(Inputs!$B$23+((C3308=TRUE)*(F3308-Calc!F28))+(IF(ArtifactsInput!$M$15,CHOOSE(ArtifactsInput!$N$15+1,25,30,35,40,45,50)/100*(Inputs!$B$11-Inputs!$B$11),0))))/100+(Inputs!$B$23+((C3308=TRUE)*(F3308-Calc!F28))+(IF(ArtifactsInput!$M$15,CHOOSE(ArtifactsInput!$N$15+1,25,30,35,40,45,50)/100*(Inputs!$B$11-Inputs!$B$11),0)))/100)/2</f>
        <v/>
      </c>
      <c r="M3290">
        <f>L3290*(1+(Inputs!$B$10+0+B3317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290">
        <f>L3290*(1-MIN((Inputs!$B$9+((C3299=TRUE)*(F3299-Calc!F19))+B3312+(ArtifactsInput!$M$24-ArtifactsInput!$M$24)*CHOOSE(ArtifactsInput!$N$24+1,10,12,14,16,18,20)+(IF(AND(ArtifactsInput!$M$42,((Inputs!$B$9+((C3299=TRUE)*(F3299-Calc!F19))+B3312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3290*(MIN((Inputs!$B$9+((C3299=TRUE)*(F3299-Calc!F19))+B3312+(ArtifactsInput!$M$24-ArtifactsInput!$M$24)*CHOOSE(ArtifactsInput!$N$24+1,10,12,14,16,18,20)+(IF(AND(ArtifactsInput!$M$42,((Inputs!$B$9+((C3299=TRUE)*(F3299-Calc!F19))+B3312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290">
        <f>(1-Summary!$B$11)*T3290+Summary!$B$11*V3290</f>
        <v/>
      </c>
      <c r="P3290">
        <f>IF(B3322=0,0,O3290/B3322)</f>
        <v/>
      </c>
      <c r="Q3290" t="n">
        <v>0</v>
      </c>
      <c r="R3290" t="n">
        <v>0</v>
      </c>
      <c r="S3290" t="n">
        <v>0</v>
      </c>
      <c r="T3290">
        <f>IF(C3290,(0.15*SUMPRODUCT((Skills!U2:U29=TRUE)*(C3282:C3309=TRUE)*S3282:S3309)*Skills!G10*N3290)*IF(Inputs!$B$38="pvp",1,1+(Inputs!$B$20+0+Skills!P10+(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Hunt"),CHOOSE(ArtifactsInput!$N$35+1,15,18,21,24,27,30)*(1-EXP(-(0.2*B3314)*5)),0)+IF(AND(ArtifactsInput!$M$22,Inputs!$B$4&lt;&gt;"Chapter Hunt"),CHOOSE(ArtifactsInput!$N$22+1,10,12,14,16,18,20)*((0*(((0.15*B3314*5))^0/1)+1*(((0.15*B3314*5))^1/1)+2*(((0.15*B3314*5))^2/2)+3*(((0.15*B3314*5))^3/6)+4*(((0.15*B3314*5))^4/24)+5*(((0.15*B3314*5))^5/120))/((((0.15*B3314*5))^0/1)+(((0.15*B3314*5))^1/1)+(((0.15*B3314*5))^2/2)+(((0.15*B3314*5))^3/6)+(((0.15*B3314*5))^4/24)+(((0.15*B3314*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3290*(1-MIN(100,(Inputs!$B$9+((C3299=TRUE)*(F3299-Calc!F19))+B3312+(ArtifactsInput!$M$24-ArtifactsInput!$M$24)*CHOOSE(ArtifactsInput!$N$24+1,10,12,14,16,18,20)+(IF(AND(ArtifactsInput!$M$42,((Inputs!$B$9+((C3299=TRUE)*(F3299-Calc!F19))+B3312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3290*(MIN(100,(Inputs!$B$9+((C3299=TRUE)*(F3299-Calc!F19))+B3312+(ArtifactsInput!$M$24-ArtifactsInput!$M$24)*CHOOSE(ArtifactsInput!$N$24+1,10,12,14,16,18,20)+(IF(AND(ArtifactsInput!$M$42,((Inputs!$B$9+((C3299=TRUE)*(F3299-Calc!F19))+B3312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3290*(1-MIN(100,(Inputs!$B$9+((C3299=TRUE)*(F3299-Calc!F19))+B3312+(ArtifactsInput!$M$24-ArtifactsInput!$M$24)*CHOOSE(ArtifactsInput!$N$24+1,10,12,14,16,18,20)+(IF(AND(ArtifactsInput!$M$42,((Inputs!$B$9+((C3299=TRUE)*(F3299-Calc!F19))+B3312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3290*(MIN(100,(Inputs!$B$9+((C3299=TRUE)*(F3299-Calc!F19))+B3312+(ArtifactsInput!$M$24-ArtifactsInput!$M$24)*CHOOSE(ArtifactsInput!$N$24+1,10,12,14,16,18,20)+(IF(AND(ArtifactsInput!$M$42,((Inputs!$B$9+((C3299=TRUE)*(F3299-Calc!F19))+B3312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290">
        <f>IF(C3290,(0.15*SUMPRODUCT((Skills!U2:U29=TRUE)*(C3282:C3309=TRUE)*S3282:S3309)*Skills!G10*N3290)*IF(Inputs!$B$38="pvp",1,(1+(Inputs!$B$21+Skills!Q10+(IF(ArtifactsInput!$M$33,CHOOSE(ArtifactsInput!$N$33+1,30,36,42,48,54,60),0))+(IF(AND(ArtifactsInput!$M$35,Inputs!$B$4&lt;&gt;"Chapter Hunt"),CHOOSE(ArtifactsInput!$N$35+1,15,18,21,24,27,30)*(1-EXP(-(0.2*B3314)*5)),0)+IF(AND(ArtifactsInput!$M$22,Inputs!$B$4&lt;&gt;"Chapter Hunt"),CHOOSE(ArtifactsInput!$N$22+1,10,12,14,16,18,20)*((0*(((0.15*B3314*5))^0/1)+1*(((0.15*B3314*5))^1/1)+2*(((0.15*B3314*5))^2/2)+3*(((0.15*B3314*5))^3/6)+4*(((0.15*B3314*5))^4/24)+5*(((0.15*B3314*5))^5/120))/((((0.15*B3314*5))^0/1)+(((0.15*B3314*5))^1/1)+(((0.15*B3314*5))^2/2)+(((0.15*B3314*5))^3/6)+(((0.15*B3314*5))^4/24)+(((0.15*B3314*5))^5/120))),0)))/100)*(MIN(Skills!R10,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291">
      <c r="A3291">
        <f>Skills!A11</f>
        <v/>
      </c>
      <c r="B3291">
        <f>Skills!B11</f>
        <v/>
      </c>
      <c r="C3291">
        <f>Inputs!$B$3&gt;=110</f>
        <v/>
      </c>
      <c r="D3291">
        <f>IF(Skills!C11=1,60+Inputs!$B$25+Inputs!$B$29,IF(Skills!C11=2,90+Inputs!$B$26+Inputs!$B$29,IF(Skills!C11=3,120+Inputs!$B$27+Inputs!$B$29,MAX(0,(Inputs!$B$3-100)*3)+Inputs!$B$28+Inputs!$B$29)))</f>
        <v/>
      </c>
      <c r="E3291">
        <f>INDEX(FactorTable!$B$2:$Y$301, MATCH(ROUND(MIN(300,MAX(1,D3291)),0), FactorTable!$A$2:$A$301,0), Skills!M11+1)</f>
        <v/>
      </c>
      <c r="F3291">
        <f>IF(Skills!N11=TRUE,(Skills!L11/10)*(E3291/1000),Skills!L11/10)+Skills!O11</f>
        <v/>
      </c>
      <c r="G3291">
        <f>Skills!G11*IF(Skills!H11&gt;0,Skills!I11/Skills!H11,1)</f>
        <v/>
      </c>
      <c r="H3291">
        <f>1-(1-Skills!J11/100)^Skills!K11</f>
        <v/>
      </c>
      <c r="I3291" t="inlineStr">
        <is>
          <t>1</t>
        </is>
      </c>
      <c r="J3291">
        <f>((Inputs!$B$6*(1+Inputs!$B$7/100))+(((Inputs!$B$12*(1+Inputs!$B$13/100))-(Inputs!$B$12*(1+Inputs!$B$13/100)))+0.25*(Inputs!$B$14-Inputs!$B$14))*(1+Inputs!$B$7/100))*(F3291/100)</f>
        <v/>
      </c>
      <c r="K3291">
        <f>J3291*(1+((Inputs!$B$12*(1+Inputs!$B$13/100))*0.01+Inputs!$B$14*0.0025)/100)*(1+Inputs!$B$15/100)*(1+Inputs!$B$16/100)*(5000/(6000+Inputs!$B$42*(1-(100*(1-(1-(Inputs!$B$19+0)/100)*(1-CHOOSE(ArtifactsInput!$N$40+1,5,6,7,8,9,10)/100)^(ArtifactsInput!$M$40-ArtifactsInput!$M$40)))/100)))*(1+(Inputs!$B$24+((C3304=TRUE)*(F3304-Calc!F24))+((C3305=TRUE)*(F3305-Calc!F25))+B3318)/100)*(1+(((1+IF(AND(ArtifactsInput!$M$36,IF(Inputs!$B$38="pvp",TRUE,AND(Inputs!$B$38&lt;&gt;"pvp",Inputs!$B$43&gt;0))),CHOOSE(ArtifactsInput!$N$36+1,8,9.6,11.2,12.8,14.4,16),0)/100)*(1+IF(AND(ArtifactsInput!$M$32,Inputs!$B$4&lt;&gt;"Chapter Hunt"),CHOOSE(ArtifactsInput!$N$32+1,8,9.6,11.2,12.8,14.4,16),0)/100)*(1+IF(AND(ArtifactsInput!$M$38,Inputs!$B$38&lt;&gt;"pvp",Inputs!$B$43&gt;0),CHOOSE(ArtifactsInput!$N$38+1,10,12,14,16,18,20)*(MIN(30,MAX(0,Inputs!$B$43-7))/Inputs!$B$43)*IF(Inputs!$B$4="Chapter Boss",2,1),0)/100)-1)*100+(ArtifactsInput!$M$14-ArtifactsInput!$M$14)*IF(OR(Inputs!$B$4="Weapon Dungeon",Inputs!$B$4="Equipment Dungeon",Inputs!$B$4="Enhancement Dungeon",Inputs!$B$4="EXP Dungeon",Inputs!$B$4="Hero Dungeon"),CHOOSE(ArtifactsInput!$N$14+1,10,12,14,16,18,20),0)+(ArtifactsInput!$M$29-ArtifactsInput!$M$29)*IF(Inputs!$B$38="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11="EMPOWERED_PIERCING_ARROW",Inputs!$B$17+((C3302=TRUE)*(F3302-Calc!F22))+(((IF(AND(ArtifactsInput!$M$42,((Inputs!$B$9+((C3299=TRUE)*(F3299-Calc!F19))+B3312+(ArtifactsInput!$M$24-ArtifactsInput!$M$24)*CHOOSE(ArtifactsInput!$N$24+1,10,12,14,16,18,20)+IF(ArtifactsInput!$M$10,CHOOSE(ArtifactsInput!$N$10+1,15,18,21,24,27,30)*(IF(Inputs!$B$38="pvp",MIN(15,15)/15,IF(AND(Inputs!$B$38&lt;&gt;"pvp",Inputs!$B$43&gt;0),MIN(15,Inputs!$B$43)/(Inputs!$B$43),0))),0)))&gt;=100),MIN(100,((Inputs!$B$9+((C3299=TRUE)*(F3299-Calc!F19))+B3312+(ArtifactsInput!$M$24-ArtifactsInput!$M$24)*CHOOSE(ArtifactsInput!$N$24+1,10,12,14,16,18,20)+IF(ArtifactsInput!$M$10,CHOOSE(ArtifactsInput!$N$10+1,15,18,21,24,27,30)*(IF(Inputs!$B$38="pvp",MIN(15,15)/15,IF(AND(Inputs!$B$38&lt;&gt;"pvp",Inputs!$B$43&gt;0),MIN(15,Inputs!$B$43)/(Inputs!$B$43),0))),0)))-100),0))*CHOOSE(ArtifactsInput!$N$42+1,0.6,0.72,0.84,0.96,1.08,1.2))),Inputs!$B$18+((C3307=TRUE)*(F3307-Calc!F27))+(IF(AND(ArtifactsInput!$M$42,((Inputs!$B$9+((C3299=TRUE)*(F3299-Calc!F19))+B3312+(ArtifactsInput!$M$24-ArtifactsInput!$M$24)*CHOOSE(ArtifactsInput!$N$24+1,10,12,14,16,18,20)+IF(ArtifactsInput!$M$10,CHOOSE(ArtifactsInput!$N$10+1,15,18,21,24,27,30)*(IF(Inputs!$B$38="pvp",MIN(15,15)/15,IF(AND(Inputs!$B$38&lt;&gt;"pvp",Inputs!$B$43&gt;0),MIN(15,Inputs!$B$43)/(Inputs!$B$43),0))),0)))&gt;=100),CHOOSE(ArtifactsInput!$N$42+1,40,48,56,64,72,80),0))))/100)*((1+(((C3293=TRUE)*F3293)+((C3294=TRUE)*IF(Inputs!$B$38="pvp",F3294,(1-Summary!$B$11)*(F3294)+Summary!$B$11*(0)))+((C3295=TRUE)*F3295*IF(AND(Inputs!$B$38&lt;&gt;"pvp",Inputs!$B$43&gt;0),(((R3295-1)*(Skills!T15*(1+Inputs!$B$34/100))+MIN((Skills!T15*(1+Inputs!$B$34/100)),MAX(0,Inputs!$B$43-((R3295-1)*Skills!D15))))/Inputs!$B$43),IF(Inputs!$B$38="pvp",MIN((Skills!T15*(1+Inputs!$B$34/100)),15)/15,(Skills!T15*(1+Inputs!$B$34/100))/Skills!D15)))+((C3292=TRUE)*F3292)+((C3309=TRUE)*(F3309-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(1+(IF(ArtifactsInput!$M$11,CHOOSE(ArtifactsInput!$N$11+1,15,18,21,24,27,30)*(IF(AND(Inputs!$B$38&lt;&gt;"pvp",Inputs!$B$43=0),3,IF(IF(Inputs!$B$38="pvp",15,Inputs!$B$43)&lt;=20,0,IF(IF(Inputs!$B$38="pvp",15,Inputs!$B$43)&lt;=40,(IF(Inputs!$B$38="pvp",15,Inputs!$B$43)-20)/(IF(Inputs!$B$38="pvp",15,Inputs!$B$43)),IF(IF(Inputs!$B$38="pvp",15,Inputs!$B$43)&lt;=60,(2*IF(Inputs!$B$38="pvp",15,Inputs!$B$43)-60)/(IF(Inputs!$B$38="pvp",15,Inputs!$B$43)),(3*IF(Inputs!$B$38="pvp",15,Inputs!$B$43)-120)/(IF(Inputs!$B$38="pvp",15,Inputs!$B$43))))))),0))/100)*I3291)</f>
        <v/>
      </c>
      <c r="L3291">
        <f>K3291*(MIN(Inputs!$B$22+((C3303=TRUE)*(F3303-Calc!F23)),(Inputs!$B$23+((C3308=TRUE)*(F3308-Calc!F28))+(IF(ArtifactsInput!$M$15,CHOOSE(ArtifactsInput!$N$15+1,25,30,35,40,45,50)/100*(Inputs!$B$11-Inputs!$B$11),0))))/100+(Inputs!$B$23+((C3308=TRUE)*(F3308-Calc!F28))+(IF(ArtifactsInput!$M$15,CHOOSE(ArtifactsInput!$N$15+1,25,30,35,40,45,50)/100*(Inputs!$B$11-Inputs!$B$11),0)))/100)/2</f>
        <v/>
      </c>
      <c r="M3291">
        <f>L3291*(1+(Inputs!$B$10+0+B3317+(IF(ArtifactsInput!$M$24,CHOOSE(ArtifactsInput!$N$24+1,30,36,42,48,54,60)/100*(Inputs!$B$9-Inputs!$B$9),0)+IF(ArtifactsInput!$M$10,CHOOSE(ArtifactsInput!$N$10+1,20,24,28,32,36,40)*(IF(Inputs!$B$38="pvp",MIN(15,15)/15,IF(AND(Inputs!$B$38&lt;&gt;"pvp",Inputs!$B$43&gt;0),MIN(15,Inputs!$B$43)/(Inputs!$B$43),0))),0)+IF(ArtifactsInput!$M$31,1.5*CHOOSE(ArtifactsInput!$N$31+1,20,24,28,32,36,40),0)))/100)</f>
        <v/>
      </c>
      <c r="N3291">
        <f>L3291*(1-MIN((Inputs!$B$9+((C3299=TRUE)*(F3299-Calc!F19))+B3312+(ArtifactsInput!$M$24-ArtifactsInput!$M$24)*CHOOSE(ArtifactsInput!$N$24+1,10,12,14,16,18,20)+(IF(AND(ArtifactsInput!$M$42,((Inputs!$B$9+((C3299=TRUE)*(F3299-Calc!F19))+B3312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M3291*(MIN((Inputs!$B$9+((C3299=TRUE)*(F3299-Calc!F19))+B3312+(ArtifactsInput!$M$24-ArtifactsInput!$M$24)*CHOOSE(ArtifactsInput!$N$24+1,10,12,14,16,18,20)+(IF(AND(ArtifactsInput!$M$42,((Inputs!$B$9+((C3299=TRUE)*(F3299-Calc!F19))+B3312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100)</f>
        <v/>
      </c>
      <c r="O3291">
        <f>(1-Summary!$B$11)*T3291+Summary!$B$11*V3291</f>
        <v/>
      </c>
      <c r="P3291">
        <f>IF(B3322=0,0,O3291/B3322)</f>
        <v/>
      </c>
      <c r="Q3291">
        <f>IFERROR(1/IF(Inputs!$B$38="pvp",15,MAX(0.1,Skills!D11-IF(Skills!E11=TRUE,5.0,0))),0)</f>
        <v/>
      </c>
      <c r="R3291">
        <f>IF(AND(Inputs!$B$38&lt;&gt;"pvp",Inputs!$B$43&gt;0),IF(MAX(0,Inputs!$B$43-B3319)&lt;=0,0,(INT(MAX(0,Inputs!$B$43-B3319)/IF(Inputs!$B$38="pvp",15,MAX(0.1,Skills!D11-IF(Skills!E11=TRUE,5.0,0))))+1)),0)</f>
        <v/>
      </c>
      <c r="S3291">
        <f>IFERROR((H3291*N3291*IF(AND(Inputs!$B$38&lt;&gt;"pvp",Inputs!$B$43&gt;0),((Skills!G11*((R3291-1)*IF(Skills!H11&gt;0,Skills!I11/Skills!H11,1)+IF(Skills!H11&gt;0,MIN(Skills!I11,MAX(0,MAX(0,Inputs!$B$43-B3319)-((R3291-1)*IF(Inputs!$B$38="pvp",15,MAX(0.1,Skills!D11-IF(Skills!E11=TRUE,5.0,0))))))/Skills!H11,1)))/Inputs!$B$43),G3291*Q3291))/N3291*IF(Inputs!$B$38="pvp",1,(1-Summary!$B$11)*1+Summary!$B$11*(MIN(Skills!R11,Inputs!$B$37))),0)</f>
        <v/>
      </c>
      <c r="T3291">
        <f>IF(C3291,(H3291*N3291*IF(AND(Inputs!$B$38&lt;&gt;"pvp",Inputs!$B$43&gt;0),((Skills!G11*((R3291-1)*IF(Skills!H11&gt;0,Skills!I11/Skills!H11,1)+IF(Skills!H11&gt;0,MIN(Skills!I11,MAX(0,MAX(0,Inputs!$B$43-B3319)-((R3291-1)*IF(Inputs!$B$38="pvp",15,MAX(0.1,Skills!D11-IF(Skills!E11=TRUE,5.0,0))))))/Skills!H11,1)))/Inputs!$B$43),G3291*Q3291))*IF(Inputs!$B$38="pvp",1,1+(Inputs!$B$20+0+Skills!P11+(IF(AND(ArtifactsInput!$M$36,IF(Inputs!$B$38="pvp",TRUE,AND(Inputs!$B$38&lt;&gt;"pvp",Inputs!$B$43&gt;0))),MAX(0,MIN(40,IF(Inputs!$B$38="pvp",15,Inputs!$B$43))-MAX(20,IF(Inputs!$B$4="Breakthrough",20,IF(Inputs!$B$4="Hero Dungeon",30,0))))/(IF(Inputs!$B$38="pvp",15,Inputs!$B$43)-IF(Inputs!$B$4="Breakthrough",20,IF(Inputs!$B$4="Hero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Hunt"),CHOOSE(ArtifactsInput!$N$35+1,15,18,21,24,27,30)*(1-EXP(-(0.2*B3314)*5)),0)+IF(AND(ArtifactsInput!$M$22,Inputs!$B$4&lt;&gt;"Chapter Hunt"),CHOOSE(ArtifactsInput!$N$22+1,10,12,14,16,18,20)*((0*(((0.15*B3314*5))^0/1)+1*(((0.15*B3314*5))^1/1)+2*(((0.15*B3314*5))^2/2)+3*(((0.15*B3314*5))^3/6)+4*(((0.15*B3314*5))^4/24)+5*(((0.15*B3314*5))^5/120))/((((0.15*B3314*5))^0/1)+(((0.15*B3314*5))^1/1)+(((0.15*B3314*5))^2/2)+(((0.15*B3314*5))^3/6)+(((0.15*B3314*5))^4/24)+(((0.15*B3314*5))^5/120))),0)))/100)*((((5000/(6000+Inputs!$B$42*(1-(100*(1-(1-(100*(1-(1-(Inputs!$B$19+0)/100)*(1-CHOOSE(ArtifactsInput!$N$40+1,5,6,7,8,9,10)/100)^(ArtifactsInput!$M$40-ArtifactsInput!$M$40)))/100)*(1-IF(ArtifactsInput!$M$40,CHOOSE(ArtifactsInput!$N$40+1,5,6,7,8,9,10),0)/100)^IF(Inputs!$B$38="pvp",1,2)))/100)))/(5000/(6000+Inputs!$B$42*(1-(100*(1-(1-(Inputs!$B$19+0)/100)*(1-CHOOSE(ArtifactsInput!$N$40+1,5,6,7,8,9,10)/100)^(ArtifactsInput!$M$40-ArtifactsInput!$M$40)))/100))))*((L3291*(1-MIN(100,(Inputs!$B$9+((C3299=TRUE)*(F3299-Calc!F19))+B3312+(ArtifactsInput!$M$24-ArtifactsInput!$M$24)*CHOOSE(ArtifactsInput!$N$24+1,10,12,14,16,18,20)+(IF(AND(ArtifactsInput!$M$42,((Inputs!$B$9+((C3299=TRUE)*(F3299-Calc!F19))+B3312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M3291*(MIN(100,(Inputs!$B$9+((C3299=TRUE)*(F3299-Calc!F19))+B3312+(ArtifactsInput!$M$24-ArtifactsInput!$M$24)*CHOOSE(ArtifactsInput!$N$24+1,10,12,14,16,18,20)+(IF(AND(ArtifactsInput!$M$42,((Inputs!$B$9+((C3299=TRUE)*(F3299-Calc!F19))+B3312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IF(AND(ArtifactsInput!$M$8,Inputs!$B$38&lt;&gt;"pvp"),CHOOSE(ArtifactsInput!$N$8+1,8,9.6,11.2,12.8,14.4,16),0))/100))/(L3291*(1-MIN(100,(Inputs!$B$9+((C3299=TRUE)*(F3299-Calc!F19))+B3312+(ArtifactsInput!$M$24-ArtifactsInput!$M$24)*CHOOSE(ArtifactsInput!$N$24+1,10,12,14,16,18,20)+(IF(AND(ArtifactsInput!$M$42,((Inputs!$B$9+((C3299=TRUE)*(F3299-Calc!F19))+B3312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M3291*(MIN(100,(Inputs!$B$9+((C3299=TRUE)*(F3299-Calc!F19))+B3312+(ArtifactsInput!$M$24-ArtifactsInput!$M$24)*CHOOSE(ArtifactsInput!$N$24+1,10,12,14,16,18,20)+(IF(AND(ArtifactsInput!$M$42,((Inputs!$B$9+((C3299=TRUE)*(F3299-Calc!F19))+B3312+(ArtifactsInput!$M$24-ArtifactsInput!$M$24)*CHOOSE(ArtifactsInput!$N$24+1,10,12,14,16,18,20)+IF(ArtifactsInput!$M$10,CHOOSE(ArtifactsInput!$N$10+1,15,18,21,24,27,30)*(IF(Inputs!$B$38="pvp",MIN(15,15)/15,IF(AND(Inputs!$B$38&lt;&gt;"pvp",Inputs!$B$43&gt;0),MIN(15,Inputs!$B$43)/(Inputs!$B$43),0))),0)))&lt;100),CHOOSE(ArtifactsInput!$N$42+1,30,36,42,48,54,60),0)+IF(ArtifactsInput!$M$10,CHOOSE(ArtifactsInput!$N$10+1,15,18,21,24,27,30)*(IF(Inputs!$B$38="pvp",MIN(15,15)/15,IF(AND(Inputs!$B$38&lt;&gt;"pvp",Inputs!$B$43&gt;0),MIN(15,Inputs!$B$43)/(Inputs!$B$43),0))),0))))/100)))*(1+(IF(ArtifactsInput!$M$26,1*CHOOSE(ArtifactsInput!$N$26+1,1,1.2,1.4,1.6,1.8,2),0)+IF(AND(ArtifactsInput!$M$20,OR(Inputs!$B$38="normal",Inputs!$B$38="breakthrough")),CHOOSE(ArtifactsInput!$N$20+1,15,18,21,24,27,30)*(IF((Inputs!$B$43-IF(Inputs!$B$38="breakthrough",IF(Inputs!$B$4="Breakthrough",20,IF(Inputs!$B$4="Hero Dungeon",30,0)),Inputs!$B$43))=0,0,MAX(0,Inputs!$B$43-MAX(MAX(0,Inputs!$B$43-30),IF(Inputs!$B$38="breakthrough",IF(Inputs!$B$4="Breakthrough",20,IF(Inputs!$B$4="Hero Dungeon",30,0)),Inputs!$B$43)))/(Inputs!$B$43-IF(Inputs!$B$38="breakthrough",IF(Inputs!$B$4="Breakthrough",20,IF(Inputs!$B$4="Hero Dungeon",30,0)),Inputs!$B$43)))),0))/100))),0)</f>
        <v/>
      </c>
      <c r="V3291">
        <f>IF(C3291,(H3291*N3291*IF(AND(Inputs!$B$38&lt;&gt;"pvp",Inputs!$B$43&gt;0),((Skills!G11*((R3291-1)*IF(Skills!H11&gt;0,Skills!I11/Skills!H11,1)+IF(Skills!H11&gt;0,MIN(Skills!I11,MAX(0,MAX(0,Inputs!$B$43-B3319)-((R3291-1)*IF(Inputs!$B$38="pvp",15,MAX(0.1,Skills!D11-IF(Skills!E11=TRUE,5.0,0))))))/Skills!H11,1)))/Inputs!$B$43),G3291*Q3291))*IF(Inputs!$B$38="pvp",1,(1+(Inputs!$B$21+Skills!Q11+(IF(ArtifactsInput!$M$33,CHOOSE(ArtifactsInput!$N$33+1,30,36,42,48,54,60),0))+(IF(AND(ArtifactsInput!$M$35,Inputs!$B$4&lt;&gt;"Chapter Hunt"),CHOOSE(ArtifactsInput!$N$35+1,15,18,21,24,27,30)*(1-EXP(-(0.2*B3314)*5)),0)+IF(AND(ArtifactsInput!$M$22,Inputs!$B$4&lt;&gt;"Chapter Hunt"),CHOOSE(ArtifactsInput!$N$22+1,10,12,14,16,18,20)*((0*(((0.15*B3314*5))^0/1)+1*(((0.15*B3314*5))^1/1)+2*(((0.15*B3314*5))^2/2)+3*(((0.15*B3314*5))^3/6)+4*(((0.15*B3314*5))^4/24)+5*(((0.15*B3314*5))^5/120))/((((0.15*B3314*5))^0/1)+(((0.15*B3314*5))^1/1)+(((0.15*B3314*5))^2/2)+(((0.15*B3314*5))^3/6)+(((0.15*B3314*5))^4/24)+(((0.15*B3314*5))^5/120))),0)))/100)*(MIN(Skills!R11,Inputs!$B$37)))*((1+(IF(AND(ArtifactsInput!$M$41,Inputs!$B$38&lt;&gt;"pvp"),CHOOSE(ArtifactsInput!$N$41+1,5,6,7,8,9,10)*IF(OR(Inputs!$B$4="Weapon Dungeon",Inputs!$B$4="Equipment Dungeon",Inputs!$B$4="Enhancement Dungeon",Inputs!$B$4="EXP Dungeon",Inputs!$B$4="Hero Dungeon"),3,1),0)+IF(ArtifactsInput!$M$26,10*CHOOSE(ArtifactsInput!$N$26+1,1,1.2,1.4,1.6,1.8,2),0)+IF(AND(ArtifactsInput!$M$20,OR(Inputs!$B$38="normal",Inputs!$B$38="breakthrough")),CHOOSE(ArtifactsInput!$N$20+1,15,18,21,24,27,30)*(IF(OR(Inputs!$B$43=0,IF(Inputs!$B$38="breakthrough",IF(Inputs!$B$4="Breakthrough",20,IF(Inputs!$B$4="Hero Dungeon",30,0)),Inputs!$B$43)=0),0,MAX(0,IF(Inputs!$B$38="breakthrough",IF(Inputs!$B$4="Breakthrough",20,IF(Inputs!$B$4="Hero Dungeon",30,0)),Inputs!$B$43)-MAX(0,Inputs!$B$43-30))/IF(Inputs!$B$38="breakthrough",IF(Inputs!$B$4="Breakthrough",20,IF(Inputs!$B$4="Hero Dungeon",30,0)),Inputs!$B$43))),0))/100)),0)</f>
        <v/>
      </c>
    </row>
    <row r="3292">
      <c r="A3292">
        <f>Skills!A12</f>
        <v/>
      </c>
      <c r="B3292">
        <f>Skills!B12</f>
        <v/>
      </c>
      <c r="C3292">
        <f>Inputs!$B$3&gt;=60</f>
        <v/>
      </c>
      <c r="D3292">
        <f>IF(Skills!C12=1,60+Inputs!$B$25+Inputs!$B$29,IF(Skills!C12=2,90+Inputs!$B$26+Inputs!$B$29,IF(Skills!C12=3,120+Inputs!$B$27+Inputs!$B$29,MAX(0,(Inputs!$B$3-100)*3)+Inputs!$B$28+Inputs!$B$29)))</f>
        <v/>
      </c>
      <c r="E3292">
        <f>INDEX(FactorTable!$B$2:$Y$301, MATCH(ROUND(MIN(300,MAX(1,D3292)),0), FactorTable!$A$2:$A$301,0), Skills!M12+1)</f>
        <v/>
      </c>
      <c r="F3292">
        <f>IF(Skills!N12=TRUE,(Skills!L12/10)*(E3292/1000),Skills!L12/10)+Skills!O12</f>
        <v/>
      </c>
      <c r="G3292">
        <f>Skills!G12*IF(Skills!H12&gt;0,Skills!I12/Skills!H12,1)</f>
        <v/>
      </c>
      <c r="H3292">
        <f>1-(1-Skills!J12/100)^Skills!K12</f>
        <v/>
      </c>
      <c r="I3292" t="inlineStr">
        <is>
          <t>1</t>
        </is>
      </c>
      <c r="J3292" t="inlineStr"/>
      <c r="K3292" t="inlineStr"/>
      <c r="L3292" t="inlineStr"/>
      <c r="M3292" t="inlineStr"/>
      <c r="N3292" t="inlineStr"/>
      <c r="O3292">
        <f>(1-Summary!$B$11)*T3292+Summary!$B$11*V3292</f>
        <v/>
      </c>
      <c r="P3292">
        <f>IF(B3322=0,0,O3292/B3322)</f>
        <v/>
      </c>
      <c r="Q3292" t="n">
        <v>0</v>
      </c>
      <c r="R3292" t="n">
        <v>0</v>
      </c>
      <c r="S3292" t="n">
        <v>0</v>
      </c>
      <c r="T3292" t="n">
        <v>0</v>
      </c>
      <c r="V3292" t="n">
        <v>0</v>
      </c>
    </row>
    <row r="3293">
      <c r="A3293">
        <f>Skills!A13</f>
        <v/>
      </c>
      <c r="B3293">
        <f>Skills!B13</f>
        <v/>
      </c>
      <c r="C3293">
        <f>Inputs!$B$3&gt;=74</f>
        <v/>
      </c>
      <c r="D3293">
        <f>IF(Skills!C13=1,60+Inputs!$B$25+Inputs!$B$29,IF(Skills!C13=2,90+Inputs!$B$26+Inputs!$B$29,IF(Skills!C13=3,120+Inputs!$B$27+Inputs!$B$29,MAX(0,(Inputs!$B$3-100)*3)+Inputs!$B$28+Inputs!$B$29)))</f>
        <v/>
      </c>
      <c r="E3293">
        <f>INDEX(FactorTable!$B$2:$Y$301, MATCH(ROUND(MIN(300,MAX(1,D3293)),0), FactorTable!$A$2:$A$301,0), Skills!M13+1)</f>
        <v/>
      </c>
      <c r="F3293">
        <f>IF(Skills!N13=TRUE,(Skills!L13/10)*(E3293/1000),Skills!L13/10)+Skills!O13</f>
        <v/>
      </c>
      <c r="G3293">
        <f>Skills!G13*IF(Skills!H13&gt;0,Skills!I13/Skills!H13,1)</f>
        <v/>
      </c>
      <c r="H3293">
        <f>1-(1-Skills!J13/100)^Skills!K13</f>
        <v/>
      </c>
      <c r="I3293" t="inlineStr">
        <is>
          <t>1</t>
        </is>
      </c>
      <c r="J3293" t="inlineStr"/>
      <c r="K3293" t="inlineStr"/>
      <c r="L3293" t="inlineStr"/>
      <c r="M3293" t="inlineStr"/>
      <c r="N3293" t="inlineStr"/>
      <c r="O3293">
        <f>(1-Summary!$B$11)*T3293+Summary!$B$11*V3293</f>
        <v/>
      </c>
      <c r="P3293">
        <f>IF(B3322=0,0,O3293/B3322)</f>
        <v/>
      </c>
      <c r="Q3293" t="n">
        <v>0</v>
      </c>
      <c r="R3293" t="n">
        <v>0</v>
      </c>
      <c r="S3293" t="n">
        <v>0</v>
      </c>
      <c r="T3293" t="n">
        <v>0</v>
      </c>
      <c r="V3293" t="n">
        <v>0</v>
      </c>
    </row>
    <row r="3294">
      <c r="A3294">
        <f>Skills!A14</f>
        <v/>
      </c>
      <c r="B3294">
        <f>Skills!B14</f>
        <v/>
      </c>
      <c r="C3294">
        <f>Inputs!$B$3&gt;=74</f>
        <v/>
      </c>
      <c r="D3294">
        <f>IF(Skills!C14=1,60+Inputs!$B$25+Inputs!$B$29,IF(Skills!C14=2,90+Inputs!$B$26+Inputs!$B$29,IF(Skills!C14=3,120+Inputs!$B$27+Inputs!$B$29,MAX(0,(Inputs!$B$3-100)*3)+Inputs!$B$28+Inputs!$B$29)))</f>
        <v/>
      </c>
      <c r="E3294">
        <f>INDEX(FactorTable!$B$2:$Y$301, MATCH(ROUND(MIN(300,MAX(1,D3294)),0), FactorTable!$A$2:$A$301,0), Skills!M14+1)</f>
        <v/>
      </c>
      <c r="F3294">
        <f>IF(Skills!N14=TRUE,(Skills!L14/10)*(E3294/1000),Skills!L14/10)+Skills!O14</f>
        <v/>
      </c>
      <c r="G3294">
        <f>Skills!G14*IF(Skills!H14&gt;0,Skills!I14/Skills!H14,1)</f>
        <v/>
      </c>
      <c r="H3294">
        <f>1-(1-Skills!J14/100)^Skills!K14</f>
        <v/>
      </c>
      <c r="I3294" t="inlineStr">
        <is>
          <t>1</t>
        </is>
      </c>
      <c r="J3294" t="inlineStr"/>
      <c r="K3294" t="inlineStr"/>
      <c r="L3294" t="inlineStr"/>
      <c r="M3294" t="inlineStr"/>
      <c r="N3294" t="inlineStr"/>
      <c r="O3294">
        <f>(1-Summary!$B$11)*T3294+Summary!$B$11*V3294</f>
        <v/>
      </c>
      <c r="P3294">
        <f>IF(B3322=0,0,O3294/B3322)</f>
        <v/>
      </c>
      <c r="Q3294" t="n">
        <v>0</v>
      </c>
      <c r="R3294" t="n">
        <v>0</v>
      </c>
      <c r="S3294" t="n">
        <v>0</v>
      </c>
      <c r="T3294" t="n">
        <v>0</v>
      </c>
      <c r="V3294" t="n">
        <v>0</v>
      </c>
    </row>
    <row r="3295">
      <c r="A3295">
        <f>Skills!A15</f>
        <v/>
      </c>
      <c r="B3295">
        <f>Skills!B15</f>
        <v/>
      </c>
      <c r="C3295">
        <f>Inputs!$B$3&gt;=117</f>
        <v/>
      </c>
      <c r="D3295">
        <f>IF(Skills!C15=1,60+Inputs!$B$25+Inputs!$B$29,IF(Skills!C15=2,90+Inputs!$B$26+Inputs!$B$29,IF(Skills!C15=3,120+Inputs!$B$27+Inputs!$B$29,MAX(0,(Inputs!$B$3-100)*3)+Inputs!$B$28+Inputs!$B$29)))</f>
        <v/>
      </c>
      <c r="E3295">
        <f>INDEX(FactorTable!$B$2:$Y$301, MATCH(ROUND(MIN(300,MAX(1,D3295)),0), FactorTable!$A$2:$A$301,0), Skills!M15+1)</f>
        <v/>
      </c>
      <c r="F3295">
        <f>IF(Skills!N15=TRUE,(Skills!L15/10)*(E3295/1000),Skills!L15/10)+Skills!O15</f>
        <v/>
      </c>
      <c r="G3295">
        <f>Skills!G15*IF(Skills!H15&gt;0,Skills!I15/Skills!H15,1)</f>
        <v/>
      </c>
      <c r="H3295">
        <f>1-(1-Skills!J15/100)^Skills!K15</f>
        <v/>
      </c>
      <c r="I3295" t="inlineStr">
        <is>
          <t>1</t>
        </is>
      </c>
      <c r="J3295" t="inlineStr"/>
      <c r="K3295" t="inlineStr"/>
      <c r="L3295" t="inlineStr"/>
      <c r="M3295" t="inlineStr"/>
      <c r="N3295" t="inlineStr"/>
      <c r="O3295">
        <f>(1-Summary!$B$11)*T3295+Summary!$B$11*V3295</f>
        <v/>
      </c>
      <c r="P3295">
        <f>IF(B3322=0,0,O3295/B3322)</f>
        <v/>
      </c>
      <c r="Q3295">
        <f>IFERROR(1/IF(Inputs!$B$38="pvp",15,MAX(0.1,Skills!D15-IF(Skills!E15=TRUE,5.0,0))),0)</f>
        <v/>
      </c>
      <c r="R3295">
        <f>IF(AND(Inputs!$B$38&lt;&gt;"pvp",Inputs!$B$43&gt;0),IF(Inputs!$B$43&lt;=0,0,(INT(Inputs!$B$43/IF(Inputs!$B$38="pvp",15,MAX(0.1,Skills!D15-IF(Skills!E15=TRUE,5.0,0))))+1)),0)</f>
        <v/>
      </c>
      <c r="S3295" t="n">
        <v>0</v>
      </c>
      <c r="T3295" t="n">
        <v>0</v>
      </c>
      <c r="V3295" t="n">
        <v>0</v>
      </c>
    </row>
    <row r="3296">
      <c r="A3296">
        <f>Skills!A16</f>
        <v/>
      </c>
      <c r="B3296">
        <f>Skills!B16</f>
        <v/>
      </c>
      <c r="C3296">
        <f>Inputs!$B$3&gt;=115</f>
        <v/>
      </c>
      <c r="D3296">
        <f>IF(Skills!C16=1,60+Inputs!$B$25+Inputs!$B$29,IF(Skills!C16=2,90+Inputs!$B$26+Inputs!$B$29,IF(Skills!C16=3,120+Inputs!$B$27+Inputs!$B$29,MAX(0,(Inputs!$B$3-100)*3)+Inputs!$B$28+Inputs!$B$29)))</f>
        <v/>
      </c>
      <c r="E3296">
        <f>INDEX(FactorTable!$B$2:$Y$301, MATCH(ROUND(MIN(300,MAX(1,D3296)),0), FactorTable!$A$2:$A$301,0), Skills!M16+1)</f>
        <v/>
      </c>
      <c r="F3296">
        <f>IF(Skills!N16=TRUE,(Skills!L16/10)*(E3296/1000),Skills!L16/10)+Skills!O16</f>
        <v/>
      </c>
      <c r="G3296">
        <f>Skills!G16*IF(Skills!H16&gt;0,Skills!I16/Skills!H16,1)</f>
        <v/>
      </c>
      <c r="H3296">
        <f>1-(1-Skills!J16/100)^Skills!K16</f>
        <v/>
      </c>
      <c r="I3296" t="inlineStr">
        <is>
          <t>1</t>
        </is>
      </c>
      <c r="J3296" t="inlineStr"/>
      <c r="K3296" t="inlineStr"/>
      <c r="L3296" t="inlineStr"/>
      <c r="M3296" t="inlineStr"/>
      <c r="N3296" t="inlineStr"/>
      <c r="O3296">
        <f>(1-Summary!$B$11)*T3296+Summary!$B$11*V3296</f>
        <v/>
      </c>
      <c r="P3296">
        <f>IF(B3322=0,0,O3296/B3322)</f>
        <v/>
      </c>
      <c r="Q3296">
        <f>IFERROR(1/IF(Inputs!$B$38="pvp",15,MAX(0.1,Skills!D16-IF(Skills!E16=TRUE,5.0,0))),0)</f>
        <v/>
      </c>
      <c r="R3296">
        <f>IF(AND(Inputs!$B$38&lt;&gt;"pvp",Inputs!$B$43&gt;0),IF(Inputs!$B$43&lt;=0,0,(INT(Inputs!$B$43/IF(Inputs!$B$38="pvp",15,MAX(0.1,Skills!D16-IF(Skills!E16=TRUE,5.0,0))))+1)),0)</f>
        <v/>
      </c>
      <c r="S3296" t="n">
        <v>0</v>
      </c>
      <c r="T3296" t="n">
        <v>0</v>
      </c>
      <c r="V3296" t="n">
        <v>0</v>
      </c>
    </row>
    <row r="3297">
      <c r="A3297">
        <f>Skills!A17</f>
        <v/>
      </c>
      <c r="B3297">
        <f>Skills!B17</f>
        <v/>
      </c>
      <c r="C3297">
        <f>Inputs!$B$3&gt;=72</f>
        <v/>
      </c>
      <c r="D3297">
        <f>IF(Skills!C17=1,60+Inputs!$B$25+Inputs!$B$29,IF(Skills!C17=2,90+Inputs!$B$26+Inputs!$B$29,IF(Skills!C17=3,120+Inputs!$B$27+Inputs!$B$29,MAX(0,(Inputs!$B$3-100)*3)+Inputs!$B$28+Inputs!$B$29)))</f>
        <v/>
      </c>
      <c r="E3297">
        <f>INDEX(FactorTable!$B$2:$Y$301, MATCH(ROUND(MIN(300,MAX(1,D3297)),0), FactorTable!$A$2:$A$301,0), Skills!M17+1)</f>
        <v/>
      </c>
      <c r="F3297">
        <f>IF(Skills!N17=TRUE,(Skills!L17/10)*(E3297/1000),Skills!L17/10)+Skills!O17</f>
        <v/>
      </c>
      <c r="G3297">
        <f>Skills!G17*IF(Skills!H17&gt;0,Skills!I17/Skills!H17,1)</f>
        <v/>
      </c>
      <c r="H3297">
        <f>1-(1-Skills!J17/100)^Skills!K17</f>
        <v/>
      </c>
      <c r="I3297" t="inlineStr">
        <is>
          <t>1</t>
        </is>
      </c>
      <c r="J3297" t="inlineStr"/>
      <c r="K3297" t="inlineStr"/>
      <c r="L3297" t="inlineStr"/>
      <c r="M3297" t="inlineStr"/>
      <c r="N3297" t="inlineStr"/>
      <c r="O3297">
        <f>(1-Summary!$B$11)*T3297+Summary!$B$11*V3297</f>
        <v/>
      </c>
      <c r="P3297">
        <f>IF(B3322=0,0,O3297/B3322)</f>
        <v/>
      </c>
      <c r="Q3297" t="n">
        <v>0</v>
      </c>
      <c r="R3297" t="n">
        <v>0</v>
      </c>
      <c r="S3297" t="n">
        <v>0</v>
      </c>
      <c r="T3297" t="n">
        <v>0</v>
      </c>
      <c r="V3297" t="n">
        <v>0</v>
      </c>
    </row>
    <row r="3298">
      <c r="A3298">
        <f>Skills!A18</f>
        <v/>
      </c>
      <c r="B3298">
        <f>Skills!B18</f>
        <v/>
      </c>
      <c r="C3298">
        <f>TRUE</f>
        <v/>
      </c>
      <c r="D3298">
        <f>IF(Skills!C18=1,60+Inputs!$B$25+Inputs!$B$29,IF(Skills!C18=2,90+Inputs!$B$26+Inputs!$B$29,IF(Skills!C18=3,120+Inputs!$B$27+Inputs!$B$29,MAX(0,(Inputs!$B$3-100)*3)+Inputs!$B$28+Inputs!$B$29)))</f>
        <v/>
      </c>
      <c r="E3298">
        <f>INDEX(FactorTable!$B$2:$Y$301, MATCH(ROUND(MIN(300,MAX(1,D3298)),0), FactorTable!$A$2:$A$301,0), Skills!M18+1)</f>
        <v/>
      </c>
      <c r="F3298">
        <f>IF(Skills!N18=TRUE,(Skills!L18/10)*(E3298/1000),Skills!L18/10)+Skills!O18</f>
        <v/>
      </c>
      <c r="G3298">
        <f>Skills!G18*IF(Skills!H18&gt;0,Skills!I18/Skills!H18,1)</f>
        <v/>
      </c>
      <c r="H3298">
        <f>1-(1-Skills!J18/100)^Skills!K18</f>
        <v/>
      </c>
      <c r="I3298" t="inlineStr">
        <is>
          <t>1</t>
        </is>
      </c>
      <c r="J3298" t="inlineStr"/>
      <c r="K3298" t="inlineStr"/>
      <c r="L3298" t="inlineStr"/>
      <c r="M3298" t="inlineStr"/>
      <c r="N3298" t="inlineStr"/>
      <c r="O3298">
        <f>(1-Summary!$B$11)*T3298+Summary!$B$11*V3298</f>
        <v/>
      </c>
      <c r="P3298">
        <f>IF(B3322=0,0,O3298/B3322)</f>
        <v/>
      </c>
      <c r="Q3298">
        <f>IFERROR(1/IF(Inputs!$B$38="pvp",15,MAX(0.1,Skills!D18-IF(Skills!E18=TRUE,5.0,0))),0)</f>
        <v/>
      </c>
      <c r="R3298">
        <f>IF(AND(Inputs!$B$38&lt;&gt;"pvp",Inputs!$B$43&gt;0),IF(Inputs!$B$43&lt;=0,0,(INT(Inputs!$B$43/IF(Inputs!$B$38="pvp",15,MAX(0.1,Skills!D18-IF(Skills!E18=TRUE,5.0,0))))+1)),0)</f>
        <v/>
      </c>
      <c r="S3298" t="n">
        <v>0</v>
      </c>
      <c r="T3298" t="n">
        <v>0</v>
      </c>
      <c r="V3298" t="n">
        <v>0</v>
      </c>
    </row>
    <row r="3299">
      <c r="A3299">
        <f>Skills!A19</f>
        <v/>
      </c>
      <c r="B3299">
        <f>Skills!B19</f>
        <v/>
      </c>
      <c r="C3299">
        <f>Inputs!$B$3&gt;=15</f>
        <v/>
      </c>
      <c r="D3299">
        <f>IF(Skills!C19=1,60+Inputs!$B$25+Inputs!$B$29,IF(Skills!C19=2,90+Inputs!$B$26+Inputs!$B$29,IF(Skills!C19=3,120+Inputs!$B$27+Inputs!$B$29,MAX(0,(Inputs!$B$3-100)*3)+Inputs!$B$28+Inputs!$B$29)))</f>
        <v/>
      </c>
      <c r="E3299">
        <f>INDEX(FactorTable!$B$2:$Y$301, MATCH(ROUND(MIN(300,MAX(1,D3299)),0), FactorTable!$A$2:$A$301,0), Skills!M19+1)</f>
        <v/>
      </c>
      <c r="F3299">
        <f>IF(Skills!N19=TRUE,(Skills!L19/10)*(E3299/1000),Skills!L19/10)+Skills!O19</f>
        <v/>
      </c>
      <c r="G3299">
        <f>Skills!G19*IF(Skills!H19&gt;0,Skills!I19/Skills!H19,1)</f>
        <v/>
      </c>
      <c r="H3299">
        <f>1-(1-Skills!J19/100)^Skills!K19</f>
        <v/>
      </c>
      <c r="I3299" t="inlineStr">
        <is>
          <t>1</t>
        </is>
      </c>
      <c r="J3299" t="inlineStr"/>
      <c r="K3299" t="inlineStr"/>
      <c r="L3299" t="inlineStr"/>
      <c r="M3299" t="inlineStr"/>
      <c r="N3299" t="inlineStr"/>
      <c r="O3299">
        <f>(1-Summary!$B$11)*T3299+Summary!$B$11*V3299</f>
        <v/>
      </c>
      <c r="P3299">
        <f>IF(B3322=0,0,O3299/B3322)</f>
        <v/>
      </c>
      <c r="Q3299" t="n">
        <v>0</v>
      </c>
      <c r="R3299" t="n">
        <v>0</v>
      </c>
      <c r="S3299" t="n">
        <v>0</v>
      </c>
      <c r="T3299" t="n">
        <v>0</v>
      </c>
      <c r="V3299" t="n">
        <v>0</v>
      </c>
    </row>
    <row r="3300">
      <c r="A3300">
        <f>Skills!A20</f>
        <v/>
      </c>
      <c r="B3300">
        <f>Skills!B20</f>
        <v/>
      </c>
      <c r="C3300">
        <f>Inputs!$B$3&gt;=10</f>
        <v/>
      </c>
      <c r="D3300">
        <f>IF(Skills!C20=1,60+Inputs!$B$25+Inputs!$B$29,IF(Skills!C20=2,90+Inputs!$B$26+Inputs!$B$29,IF(Skills!C20=3,120+Inputs!$B$27+Inputs!$B$29,MAX(0,(Inputs!$B$3-100)*3)+Inputs!$B$28+Inputs!$B$29)))</f>
        <v/>
      </c>
      <c r="E3300">
        <f>INDEX(FactorTable!$B$2:$Y$301, MATCH(ROUND(MIN(300,MAX(1,D3300)),0), FactorTable!$A$2:$A$301,0), Skills!M20+1)</f>
        <v/>
      </c>
      <c r="F3300">
        <f>IF(Skills!N20=TRUE,(Skills!L20/10)*(E3300/1000),Skills!L20/10)+Skills!O20</f>
        <v/>
      </c>
      <c r="G3300">
        <f>Skills!G20*IF(Skills!H20&gt;0,Skills!I20/Skills!H20,1)</f>
        <v/>
      </c>
      <c r="H3300">
        <f>1-(1-Skills!J20/100)^Skills!K20</f>
        <v/>
      </c>
      <c r="I3300" t="inlineStr">
        <is>
          <t>1</t>
        </is>
      </c>
      <c r="J3300" t="inlineStr"/>
      <c r="K3300" t="inlineStr"/>
      <c r="L3300" t="inlineStr"/>
      <c r="M3300" t="inlineStr"/>
      <c r="N3300" t="inlineStr"/>
      <c r="O3300">
        <f>(1-Summary!$B$11)*T3300+Summary!$B$11*V3300</f>
        <v/>
      </c>
      <c r="P3300">
        <f>IF(B3322=0,0,O3300/B3322)</f>
        <v/>
      </c>
      <c r="Q3300" t="n">
        <v>0</v>
      </c>
      <c r="R3300" t="n">
        <v>0</v>
      </c>
      <c r="S3300" t="n">
        <v>0</v>
      </c>
      <c r="T3300" t="n">
        <v>0</v>
      </c>
      <c r="V3300" t="n">
        <v>0</v>
      </c>
    </row>
    <row r="3301">
      <c r="A3301">
        <f>Skills!A21</f>
        <v/>
      </c>
      <c r="B3301">
        <f>Skills!B21</f>
        <v/>
      </c>
      <c r="C3301">
        <f>Inputs!$B$3&gt;=33</f>
        <v/>
      </c>
      <c r="D3301">
        <f>IF(Skills!C21=1,60+Inputs!$B$25+Inputs!$B$29,IF(Skills!C21=2,90+Inputs!$B$26+Inputs!$B$29,IF(Skills!C21=3,120+Inputs!$B$27+Inputs!$B$29,MAX(0,(Inputs!$B$3-100)*3)+Inputs!$B$28+Inputs!$B$29)))</f>
        <v/>
      </c>
      <c r="E3301">
        <f>INDEX(FactorTable!$B$2:$Y$301, MATCH(ROUND(MIN(300,MAX(1,D3301)),0), FactorTable!$A$2:$A$301,0), Skills!M21+1)</f>
        <v/>
      </c>
      <c r="F3301">
        <f>IF(Skills!N21=TRUE,(Skills!L21/10)*(E3301/1000),Skills!L21/10)+Skills!O21</f>
        <v/>
      </c>
      <c r="G3301">
        <f>Skills!G21*IF(Skills!H21&gt;0,Skills!I21/Skills!H21,1)</f>
        <v/>
      </c>
      <c r="H3301">
        <f>1-(1-Skills!J21/100)^Skills!K21</f>
        <v/>
      </c>
      <c r="I3301" t="inlineStr">
        <is>
          <t>1</t>
        </is>
      </c>
      <c r="J3301" t="inlineStr"/>
      <c r="K3301" t="inlineStr"/>
      <c r="L3301" t="inlineStr"/>
      <c r="M3301" t="inlineStr"/>
      <c r="N3301" t="inlineStr"/>
      <c r="O3301">
        <f>(1-Summary!$B$11)*T3301+Summary!$B$11*V3301</f>
        <v/>
      </c>
      <c r="P3301">
        <f>IF(B3322=0,0,O3301/B3322)</f>
        <v/>
      </c>
      <c r="Q3301" t="n">
        <v>0</v>
      </c>
      <c r="R3301" t="n">
        <v>0</v>
      </c>
      <c r="S3301" t="n">
        <v>0</v>
      </c>
      <c r="T3301" t="n">
        <v>0</v>
      </c>
      <c r="V3301" t="n">
        <v>0</v>
      </c>
    </row>
    <row r="3302">
      <c r="A3302">
        <f>Skills!A22</f>
        <v/>
      </c>
      <c r="B3302">
        <f>Skills!B22</f>
        <v/>
      </c>
      <c r="C3302">
        <f>Inputs!$B$3&gt;=38</f>
        <v/>
      </c>
      <c r="D3302">
        <f>IF(Skills!C22=1,60+Inputs!$B$25+Inputs!$B$29,IF(Skills!C22=2,90+Inputs!$B$26+Inputs!$B$29,IF(Skills!C22=3,120+Inputs!$B$27+Inputs!$B$29,MAX(0,(Inputs!$B$3-100)*3)+Inputs!$B$28+Inputs!$B$29)))</f>
        <v/>
      </c>
      <c r="E3302">
        <f>INDEX(FactorTable!$B$2:$Y$301, MATCH(ROUND(MIN(300,MAX(1,D3302)),0), FactorTable!$A$2:$A$301,0), Skills!M22+1)</f>
        <v/>
      </c>
      <c r="F3302">
        <f>IF(Skills!N22=TRUE,(Skills!L22/10)*(E3302/1000),Skills!L22/10)+Skills!O22</f>
        <v/>
      </c>
      <c r="G3302">
        <f>Skills!G22*IF(Skills!H22&gt;0,Skills!I22/Skills!H22,1)</f>
        <v/>
      </c>
      <c r="H3302">
        <f>1-(1-Skills!J22/100)^Skills!K22</f>
        <v/>
      </c>
      <c r="I3302" t="inlineStr">
        <is>
          <t>1</t>
        </is>
      </c>
      <c r="J3302" t="inlineStr"/>
      <c r="K3302" t="inlineStr"/>
      <c r="L3302" t="inlineStr"/>
      <c r="M3302" t="inlineStr"/>
      <c r="N3302" t="inlineStr"/>
      <c r="O3302">
        <f>(1-Summary!$B$11)*T3302+Summary!$B$11*V3302</f>
        <v/>
      </c>
      <c r="P3302">
        <f>IF(B3322=0,0,O3302/B3322)</f>
        <v/>
      </c>
      <c r="Q3302" t="n">
        <v>0</v>
      </c>
      <c r="R3302" t="n">
        <v>0</v>
      </c>
      <c r="S3302" t="n">
        <v>0</v>
      </c>
      <c r="T3302" t="n">
        <v>0</v>
      </c>
      <c r="V3302" t="n">
        <v>0</v>
      </c>
    </row>
    <row r="3303">
      <c r="A3303">
        <f>Skills!A23</f>
        <v/>
      </c>
      <c r="B3303">
        <f>Skills!B23</f>
        <v/>
      </c>
      <c r="C3303">
        <f>Inputs!$B$3&gt;=43</f>
        <v/>
      </c>
      <c r="D3303">
        <f>IF(Skills!C23=1,60+Inputs!$B$25+Inputs!$B$29,IF(Skills!C23=2,90+Inputs!$B$26+Inputs!$B$29,IF(Skills!C23=3,120+Inputs!$B$27+Inputs!$B$29,MAX(0,(Inputs!$B$3-100)*3)+Inputs!$B$28+Inputs!$B$29)))</f>
        <v/>
      </c>
      <c r="E3303">
        <f>INDEX(FactorTable!$B$2:$Y$301, MATCH(ROUND(MIN(300,MAX(1,D3303)),0), FactorTable!$A$2:$A$301,0), Skills!M23+1)</f>
        <v/>
      </c>
      <c r="F3303">
        <f>IF(Skills!N23=TRUE,(Skills!L23/10)*(E3303/1000),Skills!L23/10)+Skills!O23</f>
        <v/>
      </c>
      <c r="G3303">
        <f>Skills!G23*IF(Skills!H23&gt;0,Skills!I23/Skills!H23,1)</f>
        <v/>
      </c>
      <c r="H3303">
        <f>1-(1-Skills!J23/100)^Skills!K23</f>
        <v/>
      </c>
      <c r="I3303" t="inlineStr">
        <is>
          <t>1</t>
        </is>
      </c>
      <c r="J3303" t="inlineStr"/>
      <c r="K3303" t="inlineStr"/>
      <c r="L3303" t="inlineStr"/>
      <c r="M3303" t="inlineStr"/>
      <c r="N3303" t="inlineStr"/>
      <c r="O3303">
        <f>(1-Summary!$B$11)*T3303+Summary!$B$11*V3303</f>
        <v/>
      </c>
      <c r="P3303">
        <f>IF(B3322=0,0,O3303/B3322)</f>
        <v/>
      </c>
      <c r="Q3303" t="n">
        <v>0</v>
      </c>
      <c r="R3303" t="n">
        <v>0</v>
      </c>
      <c r="S3303" t="n">
        <v>0</v>
      </c>
      <c r="T3303" t="n">
        <v>0</v>
      </c>
      <c r="V3303" t="n">
        <v>0</v>
      </c>
    </row>
    <row r="3304">
      <c r="A3304">
        <f>Skills!A24</f>
        <v/>
      </c>
      <c r="B3304">
        <f>Skills!B24</f>
        <v/>
      </c>
      <c r="C3304">
        <f>Inputs!$B$3&gt;=75</f>
        <v/>
      </c>
      <c r="D3304">
        <f>IF(Skills!C24=1,60+Inputs!$B$25+Inputs!$B$29,IF(Skills!C24=2,90+Inputs!$B$26+Inputs!$B$29,IF(Skills!C24=3,120+Inputs!$B$27+Inputs!$B$29,MAX(0,(Inputs!$B$3-100)*3)+Inputs!$B$28+Inputs!$B$29)))</f>
        <v/>
      </c>
      <c r="E3304">
        <f>INDEX(FactorTable!$B$2:$Y$301, MATCH(ROUND(MIN(300,MAX(1,D3304)),0), FactorTable!$A$2:$A$301,0), Skills!M24+1)</f>
        <v/>
      </c>
      <c r="F3304">
        <f>IF(Skills!N24=TRUE,(Skills!L24/10)*(E3304/1000),Skills!L24/10)+Skills!O24</f>
        <v/>
      </c>
      <c r="G3304">
        <f>Skills!G24*IF(Skills!H24&gt;0,Skills!I24/Skills!H24,1)</f>
        <v/>
      </c>
      <c r="H3304">
        <f>1-(1-Skills!J24/100)^Skills!K24</f>
        <v/>
      </c>
      <c r="I3304" t="inlineStr">
        <is>
          <t>1</t>
        </is>
      </c>
      <c r="J3304" t="inlineStr"/>
      <c r="K3304" t="inlineStr"/>
      <c r="L3304" t="inlineStr"/>
      <c r="M3304" t="inlineStr"/>
      <c r="N3304" t="inlineStr"/>
      <c r="O3304">
        <f>(1-Summary!$B$11)*T3304+Summary!$B$11*V3304</f>
        <v/>
      </c>
      <c r="P3304">
        <f>IF(B3322=0,0,O3304/B3322)</f>
        <v/>
      </c>
      <c r="Q3304" t="n">
        <v>0</v>
      </c>
      <c r="R3304" t="n">
        <v>0</v>
      </c>
      <c r="S3304" t="n">
        <v>0</v>
      </c>
      <c r="T3304" t="n">
        <v>0</v>
      </c>
      <c r="V3304" t="n">
        <v>0</v>
      </c>
    </row>
    <row r="3305">
      <c r="A3305">
        <f>Skills!A25</f>
        <v/>
      </c>
      <c r="B3305">
        <f>Skills!B25</f>
        <v/>
      </c>
      <c r="C3305">
        <f>Inputs!$B$3&gt;=125</f>
        <v/>
      </c>
      <c r="D3305">
        <f>IF(Skills!C25=1,60+Inputs!$B$25+Inputs!$B$29,IF(Skills!C25=2,90+Inputs!$B$26+Inputs!$B$29,IF(Skills!C25=3,120+Inputs!$B$27+Inputs!$B$29,MAX(0,(Inputs!$B$3-100)*3)+Inputs!$B$28+Inputs!$B$29)))</f>
        <v/>
      </c>
      <c r="E3305">
        <f>INDEX(FactorTable!$B$2:$Y$301, MATCH(ROUND(MIN(300,MAX(1,D3305)),0), FactorTable!$A$2:$A$301,0), Skills!M25+1)</f>
        <v/>
      </c>
      <c r="F3305">
        <f>IF(Skills!N25=TRUE,(Skills!L25/10)*(E3305/1000),Skills!L25/10)+Skills!O25</f>
        <v/>
      </c>
      <c r="G3305">
        <f>Skills!G25*IF(Skills!H25&gt;0,Skills!I25/Skills!H25,1)</f>
        <v/>
      </c>
      <c r="H3305">
        <f>1-(1-Skills!J25/100)^Skills!K25</f>
        <v/>
      </c>
      <c r="I3305" t="inlineStr">
        <is>
          <t>1</t>
        </is>
      </c>
      <c r="J3305" t="inlineStr"/>
      <c r="K3305" t="inlineStr"/>
      <c r="L3305" t="inlineStr"/>
      <c r="M3305" t="inlineStr"/>
      <c r="N3305" t="inlineStr"/>
      <c r="O3305">
        <f>(1-Summary!$B$11)*T3305+Summary!$B$11*V3305</f>
        <v/>
      </c>
      <c r="P3305">
        <f>IF(B3322=0,0,O3305/B3322)</f>
        <v/>
      </c>
      <c r="Q3305" t="n">
        <v>0</v>
      </c>
      <c r="R3305" t="n">
        <v>0</v>
      </c>
      <c r="S3305" t="n">
        <v>0</v>
      </c>
      <c r="T3305" t="n">
        <v>0</v>
      </c>
      <c r="V3305" t="n">
        <v>0</v>
      </c>
    </row>
    <row r="3306">
      <c r="A3306">
        <f>Skills!A26</f>
        <v/>
      </c>
      <c r="B3306">
        <f>Skills!B26</f>
        <v/>
      </c>
      <c r="C3306">
        <f>Inputs!$B$3&gt;=125</f>
        <v/>
      </c>
      <c r="D3306">
        <f>IF(Skills!C26=1,60+Inputs!$B$25+Inputs!$B$29,IF(Skills!C26=2,90+Inputs!$B$26+Inputs!$B$29,IF(Skills!C26=3,120+Inputs!$B$27+Inputs!$B$29,MAX(0,(Inputs!$B$3-100)*3)+Inputs!$B$28+Inputs!$B$29)))</f>
        <v/>
      </c>
      <c r="E3306">
        <f>INDEX(FactorTable!$B$2:$Y$301, MATCH(ROUND(MIN(300,MAX(1,D3306)),0), FactorTable!$A$2:$A$301,0), Skills!M26+1)</f>
        <v/>
      </c>
      <c r="F3306">
        <f>IF(Skills!N26=TRUE,(Skills!L26/10)*(E3306/1000),Skills!L26/10)+Skills!O26</f>
        <v/>
      </c>
      <c r="G3306">
        <f>Skills!G26*IF(Skills!H26&gt;0,Skills!I26/Skills!H26,1)</f>
        <v/>
      </c>
      <c r="H3306">
        <f>1-(1-Skills!J26/100)^Skills!K26</f>
        <v/>
      </c>
      <c r="I3306" t="inlineStr">
        <is>
          <t>1</t>
        </is>
      </c>
      <c r="J3306" t="inlineStr"/>
      <c r="K3306" t="inlineStr"/>
      <c r="L3306" t="inlineStr"/>
      <c r="M3306" t="inlineStr"/>
      <c r="N3306" t="inlineStr"/>
      <c r="O3306">
        <f>(1-Summary!$B$11)*T3306+Summary!$B$11*V3306</f>
        <v/>
      </c>
      <c r="P3306">
        <f>IF(B3322=0,0,O3306/B3322)</f>
        <v/>
      </c>
      <c r="Q3306" t="n">
        <v>0</v>
      </c>
      <c r="R3306" t="n">
        <v>0</v>
      </c>
      <c r="S3306" t="n">
        <v>0</v>
      </c>
      <c r="T3306" t="n">
        <v>0</v>
      </c>
      <c r="V3306" t="n">
        <v>0</v>
      </c>
    </row>
    <row r="3307">
      <c r="A3307">
        <f>Skills!A27</f>
        <v/>
      </c>
      <c r="B3307">
        <f>Skills!B27</f>
        <v/>
      </c>
      <c r="C3307">
        <f>Inputs!$B$3&gt;=120</f>
        <v/>
      </c>
      <c r="D3307">
        <f>IF(Skills!C27=1,60+Inputs!$B$25+Inputs!$B$29,IF(Skills!C27=2,90+Inputs!$B$26+Inputs!$B$29,IF(Skills!C27=3,120+Inputs!$B$27+Inputs!$B$29,MAX(0,(Inputs!$B$3-100)*3)+Inputs!$B$28+Inputs!$B$29)))</f>
        <v/>
      </c>
      <c r="E3307">
        <f>INDEX(FactorTable!$B$2:$Y$301, MATCH(ROUND(MIN(300,MAX(1,D3307)),0), FactorTable!$A$2:$A$301,0), Skills!M27+1)</f>
        <v/>
      </c>
      <c r="F3307">
        <f>IF(Skills!N27=TRUE,(Skills!L27/10)*(E3307/1000),Skills!L27/10)+Skills!O27</f>
        <v/>
      </c>
      <c r="G3307">
        <f>Skills!G27*IF(Skills!H27&gt;0,Skills!I27/Skills!H27,1)</f>
        <v/>
      </c>
      <c r="H3307">
        <f>1-(1-Skills!J27/100)^Skills!K27</f>
        <v/>
      </c>
      <c r="I3307" t="inlineStr">
        <is>
          <t>1</t>
        </is>
      </c>
      <c r="J3307" t="inlineStr"/>
      <c r="K3307" t="inlineStr"/>
      <c r="L3307" t="inlineStr"/>
      <c r="M3307" t="inlineStr"/>
      <c r="N3307" t="inlineStr"/>
      <c r="O3307">
        <f>(1-Summary!$B$11)*T3307+Summary!$B$11*V3307</f>
        <v/>
      </c>
      <c r="P3307">
        <f>IF(B3322=0,0,O3307/B3322)</f>
        <v/>
      </c>
      <c r="Q3307" t="n">
        <v>0</v>
      </c>
      <c r="R3307" t="n">
        <v>0</v>
      </c>
      <c r="S3307" t="n">
        <v>0</v>
      </c>
      <c r="T3307" t="n">
        <v>0</v>
      </c>
      <c r="V3307" t="n">
        <v>0</v>
      </c>
    </row>
    <row r="3308">
      <c r="A3308">
        <f>Skills!A28</f>
        <v/>
      </c>
      <c r="B3308">
        <f>Skills!B28</f>
        <v/>
      </c>
      <c r="C3308">
        <f>Inputs!$B$3&gt;=120</f>
        <v/>
      </c>
      <c r="D3308">
        <f>IF(Skills!C28=1,60+Inputs!$B$25+Inputs!$B$29,IF(Skills!C28=2,90+Inputs!$B$26+Inputs!$B$29,IF(Skills!C28=3,120+Inputs!$B$27+Inputs!$B$29,MAX(0,(Inputs!$B$3-100)*3)+Inputs!$B$28+Inputs!$B$29)))</f>
        <v/>
      </c>
      <c r="E3308">
        <f>INDEX(FactorTable!$B$2:$Y$301, MATCH(ROUND(MIN(300,MAX(1,D3308)),0), FactorTable!$A$2:$A$301,0), Skills!M28+1)</f>
        <v/>
      </c>
      <c r="F3308">
        <f>IF(Skills!N28=TRUE,(Skills!L28/10)*(E3308/1000),Skills!L28/10)+Skills!O28</f>
        <v/>
      </c>
      <c r="G3308">
        <f>Skills!G28*IF(Skills!H28&gt;0,Skills!I28/Skills!H28,1)</f>
        <v/>
      </c>
      <c r="H3308">
        <f>1-(1-Skills!J28/100)^Skills!K28</f>
        <v/>
      </c>
      <c r="I3308" t="inlineStr">
        <is>
          <t>1</t>
        </is>
      </c>
      <c r="J3308" t="inlineStr"/>
      <c r="K3308" t="inlineStr"/>
      <c r="L3308" t="inlineStr"/>
      <c r="M3308" t="inlineStr"/>
      <c r="N3308" t="inlineStr"/>
      <c r="O3308">
        <f>(1-Summary!$B$11)*T3308+Summary!$B$11*V3308</f>
        <v/>
      </c>
      <c r="P3308">
        <f>IF(B3322=0,0,O3308/B3322)</f>
        <v/>
      </c>
      <c r="Q3308" t="n">
        <v>0</v>
      </c>
      <c r="R3308" t="n">
        <v>0</v>
      </c>
      <c r="S3308" t="n">
        <v>0</v>
      </c>
      <c r="T3308" t="n">
        <v>0</v>
      </c>
      <c r="V3308" t="n">
        <v>0</v>
      </c>
    </row>
    <row r="3309">
      <c r="A3309">
        <f>Skills!A29</f>
        <v/>
      </c>
      <c r="B3309">
        <f>Skills!B29</f>
        <v/>
      </c>
      <c r="C3309">
        <f>Inputs!$B$3&gt;=45</f>
        <v/>
      </c>
      <c r="D3309">
        <f>IF(Skills!C29=1,60+Inputs!$B$25+Inputs!$B$29,IF(Skills!C29=2,90+Inputs!$B$26+Inputs!$B$29,IF(Skills!C29=3,120+Inputs!$B$27+Inputs!$B$29,MAX(0,(Inputs!$B$3-100)*3)+Inputs!$B$28+Inputs!$B$29)))</f>
        <v/>
      </c>
      <c r="E3309">
        <f>INDEX(FactorTable!$B$2:$Y$301, MATCH(ROUND(MIN(300,MAX(1,D3309)),0), FactorTable!$A$2:$A$301,0), Skills!M29+1)</f>
        <v/>
      </c>
      <c r="F3309">
        <f>IF(Skills!N29=TRUE,(Skills!L29/10)*(E3309/1000),Skills!L29/10)+Skills!O29</f>
        <v/>
      </c>
      <c r="G3309">
        <f>Skills!G29*IF(Skills!H29&gt;0,Skills!I29/Skills!H29,1)</f>
        <v/>
      </c>
      <c r="H3309">
        <f>1-(1-Skills!J29/100)^Skills!K29</f>
        <v/>
      </c>
      <c r="I3309" t="inlineStr">
        <is>
          <t>1</t>
        </is>
      </c>
      <c r="J3309" t="inlineStr"/>
      <c r="K3309" t="inlineStr"/>
      <c r="L3309" t="inlineStr"/>
      <c r="M3309" t="inlineStr"/>
      <c r="N3309" t="inlineStr"/>
      <c r="O3309">
        <f>(1-Summary!$B$11)*T3309+Summary!$B$11*V3309</f>
        <v/>
      </c>
      <c r="P3309">
        <f>IF(B3322=0,0,O3309/B3322)</f>
        <v/>
      </c>
      <c r="Q3309" t="n">
        <v>0</v>
      </c>
      <c r="R3309" t="n">
        <v>0</v>
      </c>
      <c r="S3309" t="n">
        <v>0</v>
      </c>
      <c r="T3309" t="n">
        <v>0</v>
      </c>
      <c r="V3309" t="n">
        <v>0</v>
      </c>
    </row>
    <row r="3311">
      <c r="A3311" t="inlineStr">
        <is>
          <t>Attack% Bucket Multiplier</t>
        </is>
      </c>
      <c r="B3311">
        <f>(1+(((C3293=TRUE)*F3293)+((C3294=TRUE)*IF(Inputs!$B$38="pvp",F3294,(1-Summary!$B$11)*(F3294)+Summary!$B$11*(0)))+((C3295=TRUE)*F3295*IF(AND(Inputs!$B$38&lt;&gt;"pvp",Inputs!$B$43&gt;0),(((R3295-1)*(Skills!T15*(1+Inputs!$B$34/100))+MIN((Skills!T15*(1+Inputs!$B$34/100)),MAX(0,Inputs!$B$43-((R3295-1)*Skills!D15))))/Inputs!$B$43),IF(Inputs!$B$38="pvp",MIN((Skills!T15*(1+Inputs!$B$34/100)),15)/15,(Skills!T15*(1+Inputs!$B$34/100))/Skills!D15)))+((C3292=TRUE)*F3292)+((C3309=TRUE)*(F3309-Calc!F29))+(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$38&lt;&gt;"pvp",Inputs!$B$43=0),0.5,(5*INT(MAX(0,IF(Inputs!$B$38="pvp",15,Inputs!$B$43)-10)/10)+MIN((MAX(0,IF(Inputs!$B$38="pvp",15,Inputs!$B$43)-10)-10*INT(MAX(0,IF(Inputs!$B$38="pvp",15,Inputs!$B$43)-10)/10)),5))/IF(Inputs!$B$38="pvp",15,Inputs!$B$43))),0)))/100)</f>
        <v/>
      </c>
    </row>
    <row r="3312">
      <c r="A3312" t="inlineStr">
        <is>
          <t>Global Crit Rate Bonus %</t>
        </is>
      </c>
      <c r="B3312">
        <f>(C3296=TRUE)*20*IF(AND(Inputs!$B$38&lt;&gt;"pvp",Inputs!$B$43&gt;0),(((R3296-1)*(Skills!T16*(1+Inputs!$B$34/100))+MIN((Skills!T16*(1+Inputs!$B$34/100)),MAX(0,Inputs!$B$43-((R3296-1)*Skills!D16))))/Inputs!$B$43),IF(Inputs!$B$38="pvp",MIN((Skills!T16*(1+Inputs!$B$34/100)),15)/15,(Skills!T16*(1+Inputs!$B$34/100))/Skills!D16))</f>
        <v/>
      </c>
    </row>
    <row r="3313">
      <c r="A3313" t="inlineStr">
        <is>
          <t>Attack Speed Buff Bonus %</t>
        </is>
      </c>
      <c r="B3313">
        <f>((C3298=TRUE)*F3298*IF(AND(Inputs!$B$38&lt;&gt;"pvp",Inputs!$B$43&gt;0),(((R3298-1)*(Skills!T18*(1+Inputs!$B$34/100))+MIN((Skills!T18*(1+Inputs!$B$34/100)),MAX(0,Inputs!$B$43-((R3298-1)*Skills!D18))))/Inputs!$B$43),IF(Inputs!$B$38="pvp",MIN((Skills!T18*(1+Inputs!$B$34/100)),15)/15,(Skills!T18*(1+Inputs!$B$34/100))/Skills!D18)))</f>
        <v/>
      </c>
    </row>
    <row r="3314">
      <c r="A3314" t="inlineStr">
        <is>
          <t>Actions Per Second</t>
        </is>
      </c>
      <c r="B3314">
        <f>1+MIN(150,150*(1-(1-(Inputs!$B$11+((C3300=TRUE)*(F3300-Calc!F20))+((C3301=TRUE)*(F3301-Calc!F21)))/150)*(1-B3313/150)))/100</f>
        <v/>
      </c>
    </row>
    <row r="3315">
      <c r="A3315" t="inlineStr">
        <is>
          <t>Skill + Buff Cast Rate</t>
        </is>
      </c>
      <c r="B3315">
        <f>IF(AND(Inputs!$B$38&lt;&gt;"pvp",Inputs!$B$43&gt;0),SUMPRODUCT((Skills!E2:E29=TRUE)*(C3282:C3309=TRUE)*R3282:R3309*Skills!F2:F29)/Inputs!$B$43,SUMPRODUCT((Skills!E2:E29=TRUE)*(C3282:C3309=TRUE)*Q3282:Q3309*Skills!F2:F29))</f>
        <v/>
      </c>
    </row>
    <row r="3316">
      <c r="A3316" t="inlineStr">
        <is>
          <t>Empowered Piercing Arrow Casts Per Second</t>
        </is>
      </c>
      <c r="B3316">
        <f>MAX(0,B3314-B3315)</f>
        <v/>
      </c>
    </row>
    <row r="3317">
      <c r="A3317" t="inlineStr">
        <is>
          <t>Global Critical Damage Bonus % (Sharp Eyes)</t>
        </is>
      </c>
      <c r="B3317">
        <f>(C3296=TRUE)*F3296*IF(AND(Inputs!$B$38&lt;&gt;"pvp",Inputs!$B$43&gt;0),(((R3296-1)*(Skills!T16*(1+Inputs!$B$34/100))+MIN((Skills!T16*(1+Inputs!$B$34/100)),MAX(0,Inputs!$B$43-((R3296-1)*Skills!D16))))/Inputs!$B$43),IF(Inputs!$B$38="pvp",MIN((Skills!T16*(1+Inputs!$B$34/100)),15)/15,(Skills!T16*(1+Inputs!$B$34/100))/Skills!D16))</f>
        <v/>
      </c>
    </row>
    <row r="3318">
      <c r="A3318" t="inlineStr">
        <is>
          <t>Global Final Damage Bonus % (Mortal Blow + Last Man Standing conditional half)</t>
        </is>
      </c>
      <c r="B3318">
        <f>(C3297=TRUE)*F3297+((C3306=TRUE)*IF(Inputs!$B$38="pvp",F3306,(1-Summary!$B$11)*(F3306)+Summary!$B$11*(0)))</f>
        <v/>
      </c>
    </row>
    <row r="3319">
      <c r="A3319" t="inlineStr">
        <is>
          <t>Buff-Casting Startup Delay (s, fixed-duration only)</t>
        </is>
      </c>
      <c r="B3319">
        <f>IF(AND(Inputs!$B$38&lt;&gt;"pvp",Inputs!$B$43&gt;0),SUMPRODUCT((Skills!T2:T29&gt;0)*(Skills!E2:E29=TRUE)*(C3282:C3309=TRUE))/B3314,0)</f>
        <v/>
      </c>
    </row>
    <row r="3320">
      <c r="A3320" t="inlineStr">
        <is>
          <t>Boss-Only Total DPS (this block's swept value)</t>
        </is>
      </c>
      <c r="B3320">
        <f>SUM(T3282:T3309)</f>
        <v/>
      </c>
    </row>
    <row r="3321">
      <c r="A3321" t="inlineStr">
        <is>
          <t>Normal-Only Total DPS (this block's swept value)</t>
        </is>
      </c>
      <c r="B3321">
        <f>SUM(V3282:V3309)</f>
        <v/>
      </c>
    </row>
    <row r="3322">
      <c r="A3322" s="6" t="inlineStr">
        <is>
          <t>TOTAL DPS</t>
        </is>
      </c>
      <c r="B3322" s="6">
        <f>SUM(O3282:O3309)</f>
        <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Q21"/>
  <sheetViews>
    <sheetView workbookViewId="0">
      <pane ySplit="4" topLeftCell="A5" activePane="bottomLeft" state="frozen"/>
      <selection pane="bottomLeft" activeCell="A1" sqref="A1"/>
    </sheetView>
  </sheetViews>
  <sheetFormatPr baseColWidth="8" defaultRowHeight="15"/>
  <cols>
    <col width="26" customWidth="1" min="1" max="1"/>
    <col width="22" customWidth="1" min="2" max="2"/>
    <col width="12" customWidth="1" min="3" max="3"/>
    <col hidden="1" width="13" customWidth="1" min="5" max="5"/>
    <col hidden="1" width="13" customWidth="1" min="6" max="6"/>
    <col hidden="1" width="13" customWidth="1" min="7" max="7"/>
    <col width="22" customWidth="1" min="9" max="9"/>
    <col width="12" customWidth="1" min="10" max="10"/>
    <col hidden="1" width="13" customWidth="1" min="12" max="12"/>
    <col hidden="1" width="13" customWidth="1" min="13" max="13"/>
    <col hidden="1" width="13" customWidth="1" min="14" max="14"/>
    <col hidden="1" width="13" customWidth="1" min="17" max="17"/>
  </cols>
  <sheetData>
    <row r="1">
      <c r="A1" s="4" t="inlineStr">
        <is>
          <t>Marksman — Equipment Compare</t>
        </is>
      </c>
      <c r="Q1" t="inlineStr">
        <is>
          <t>Main Stat (flat)</t>
        </is>
      </c>
    </row>
    <row r="2">
      <c r="A2" t="inlineStr">
        <is>
          <t>Compare a candidate replacement equip against what you currently have, one Attack line plus up to 5 more stat lines each. Uses the same $/unit marginal-DPS values as Potential Cubes/Artifact Potentials: two lines of the SAME stat correctly add (two 5% Max Damage lines = one 10% Max Damage bucket), but two DIFFERENT stats correctly compound multiplicatively rather than just summing (two independent 1% gains combine to 1.01x1.01-1=2.0201%, not a naive 2%) — exact, not an approximation, since both equips are concrete/fixed sets of lines rather than an open-ended reroll search.</t>
        </is>
      </c>
      <c r="Q2" t="inlineStr">
        <is>
          <t>Main Stat %</t>
        </is>
      </c>
    </row>
    <row r="3">
      <c r="Q3" t="inlineStr">
        <is>
          <t>Attack (flat)</t>
        </is>
      </c>
    </row>
    <row r="4">
      <c r="B4" s="11" t="inlineStr">
        <is>
          <t>Current Equip</t>
        </is>
      </c>
      <c r="C4" s="12" t="n"/>
      <c r="D4" s="12" t="n"/>
      <c r="E4" s="12" t="n"/>
      <c r="F4" s="12" t="n"/>
      <c r="G4" s="12" t="n"/>
      <c r="I4" s="11" t="inlineStr">
        <is>
          <t>New Equip</t>
        </is>
      </c>
      <c r="J4" s="12" t="n"/>
      <c r="K4" s="12" t="n"/>
      <c r="L4" s="12" t="n"/>
      <c r="M4" s="12" t="n"/>
      <c r="N4" s="12" t="n"/>
      <c r="Q4" t="inlineStr">
        <is>
          <t>Min Damage %</t>
        </is>
      </c>
    </row>
    <row r="5">
      <c r="A5" s="6" t="inlineStr">
        <is>
          <t>Attack (flat)</t>
        </is>
      </c>
      <c r="B5" s="8" t="inlineStr">
        <is>
          <t>Attack (flat)</t>
        </is>
      </c>
      <c r="C5" s="7" t="n">
        <v>0</v>
      </c>
      <c r="D5">
        <f>C5*Sensitivity!H26</f>
        <v/>
      </c>
      <c r="E5">
        <f>SUMIF($B$5:$B$10,B5,$D$5:$D$10)</f>
        <v/>
      </c>
      <c r="F5">
        <f>TRUE</f>
        <v/>
      </c>
      <c r="G5">
        <f>IF(NOT(F5),1,1+E5/Summary!$B$3)</f>
        <v/>
      </c>
      <c r="I5" s="8" t="inlineStr">
        <is>
          <t>Attack (flat)</t>
        </is>
      </c>
      <c r="J5" s="7" t="n">
        <v>0</v>
      </c>
      <c r="K5">
        <f>J5*Sensitivity!H26</f>
        <v/>
      </c>
      <c r="L5">
        <f>SUMIF($I$5:$I$10,I5,$K$5:$K$10)</f>
        <v/>
      </c>
      <c r="M5">
        <f>TRUE</f>
        <v/>
      </c>
      <c r="N5">
        <f>IF(NOT(M5),1,1+L5/Summary!$B$3)</f>
        <v/>
      </c>
      <c r="Q5" t="inlineStr">
        <is>
          <t>Max Damage %</t>
        </is>
      </c>
    </row>
    <row r="6">
      <c r="A6" s="6" t="inlineStr">
        <is>
          <t>Line 2</t>
        </is>
      </c>
      <c r="B6" s="7" t="inlineStr">
        <is>
          <t>(none)</t>
        </is>
      </c>
      <c r="C6" s="7" t="n">
        <v>0</v>
      </c>
      <c r="D6">
        <f>IF(B6="(none)",0,C6*(IF(B6="Main Stat (flat)",Sensitivity!H5,IF(B6="Main Stat %",Sensitivity!H6,IF(B6="Attack (flat)",Sensitivity!H26,IF(B6="Min Damage %",Sensitivity!H13,IF(B6="Max Damage %",Sensitivity!H14,IF(B6="Damage %",Sensitivity!H8,IF(B6="Critical Rate %",IF(AND(Inputs!$B$9+Summary!$B$14+Artifacts!$B$32&gt;=100,NOT(ArtifactsInput!$M$42),NOT(ArtifactsInput!$M$24)),Sensitivity!H16,Sensitivity!H15),IF(B6="Critical Damage %",Sensitivity!H16,IF(B6="Boss Monster Damage %",Sensitivity!H10,IF(B6="Normal Monster Damage %",Sensitivity!H11,IF(B6="Defense Penetration %",Sensitivity!H18,IF(B6="Defense (flat)",0,IF(B6="Skill Level Bonus — 1st Job",Sensitivity!H21,IF(B6="Skill Level Bonus — 2nd Job",Sensitivity!H22,IF(B6="Skill Level Bonus — 3rd Job",Sensitivity!H23,IF(B6="Skill Level Bonus — 4th Job",Sensitivity!H24,IF(B6="Skill Level Bonus — All Skills",Sensitivity!H25,IF(B6="Final Damage %",Sensitivity!H12,IF(B6="Basic Attack Damage %",Sensitivity!H19,IF(B6="Skill Damage %",Sensitivity!H20,IF(B6="Attack Speed %",Sensitivity!H17,0)))))))))))))))))))))))</f>
        <v/>
      </c>
      <c r="E6">
        <f>SUMIF($B$5:$B$10,B6,$D$5:$D$10)</f>
        <v/>
      </c>
      <c r="F6">
        <f>AND(B6&lt;&gt;"(none)",COUNTIF($B$5:B5,B6)=0)</f>
        <v/>
      </c>
      <c r="G6">
        <f>IF(NOT(F6),1,1+E6/Summary!$B$3)</f>
        <v/>
      </c>
      <c r="I6" s="7" t="inlineStr">
        <is>
          <t>(none)</t>
        </is>
      </c>
      <c r="J6" s="7" t="n">
        <v>0</v>
      </c>
      <c r="K6">
        <f>IF(I6="(none)",0,J6*(IF(I6="Main Stat (flat)",Sensitivity!H5,IF(I6="Main Stat %",Sensitivity!H6,IF(I6="Attack (flat)",Sensitivity!H26,IF(I6="Min Damage %",Sensitivity!H13,IF(I6="Max Damage %",Sensitivity!H14,IF(I6="Damage %",Sensitivity!H8,IF(I6="Critical Rate %",IF(AND(Inputs!$B$9+Summary!$B$14+Artifacts!$B$32&gt;=100,NOT(ArtifactsInput!$M$42),NOT(ArtifactsInput!$M$24)),Sensitivity!H16,Sensitivity!H15),IF(I6="Critical Damage %",Sensitivity!H16,IF(I6="Boss Monster Damage %",Sensitivity!H10,IF(I6="Normal Monster Damage %",Sensitivity!H11,IF(I6="Defense Penetration %",Sensitivity!H18,IF(I6="Defense (flat)",0,IF(I6="Skill Level Bonus — 1st Job",Sensitivity!H21,IF(I6="Skill Level Bonus — 2nd Job",Sensitivity!H22,IF(I6="Skill Level Bonus — 3rd Job",Sensitivity!H23,IF(I6="Skill Level Bonus — 4th Job",Sensitivity!H24,IF(I6="Skill Level Bonus — All Skills",Sensitivity!H25,IF(I6="Final Damage %",Sensitivity!H12,IF(I6="Basic Attack Damage %",Sensitivity!H19,IF(I6="Skill Damage %",Sensitivity!H20,IF(I6="Attack Speed %",Sensitivity!H17,0)))))))))))))))))))))))</f>
        <v/>
      </c>
      <c r="L6">
        <f>SUMIF($I$5:$I$10,I6,$K$5:$K$10)</f>
        <v/>
      </c>
      <c r="M6">
        <f>AND(I6&lt;&gt;"(none)",COUNTIF($I$5:I5,I6)=0)</f>
        <v/>
      </c>
      <c r="N6">
        <f>IF(NOT(M6),1,1+L6/Summary!$B$3)</f>
        <v/>
      </c>
      <c r="Q6" t="inlineStr">
        <is>
          <t>Damage %</t>
        </is>
      </c>
    </row>
    <row r="7">
      <c r="A7" s="6" t="inlineStr">
        <is>
          <t>Line 3</t>
        </is>
      </c>
      <c r="B7" s="7" t="inlineStr">
        <is>
          <t>(none)</t>
        </is>
      </c>
      <c r="C7" s="7" t="n">
        <v>0</v>
      </c>
      <c r="D7">
        <f>IF(B7="(none)",0,C7*(IF(B7="Main Stat (flat)",Sensitivity!H5,IF(B7="Main Stat %",Sensitivity!H6,IF(B7="Attack (flat)",Sensitivity!H26,IF(B7="Min Damage %",Sensitivity!H13,IF(B7="Max Damage %",Sensitivity!H14,IF(B7="Damage %",Sensitivity!H8,IF(B7="Critical Rate %",IF(AND(Inputs!$B$9+Summary!$B$14+Artifacts!$B$32&gt;=100,NOT(ArtifactsInput!$M$42),NOT(ArtifactsInput!$M$24)),Sensitivity!H16,Sensitivity!H15),IF(B7="Critical Damage %",Sensitivity!H16,IF(B7="Boss Monster Damage %",Sensitivity!H10,IF(B7="Normal Monster Damage %",Sensitivity!H11,IF(B7="Defense Penetration %",Sensitivity!H18,IF(B7="Defense (flat)",0,IF(B7="Skill Level Bonus — 1st Job",Sensitivity!H21,IF(B7="Skill Level Bonus — 2nd Job",Sensitivity!H22,IF(B7="Skill Level Bonus — 3rd Job",Sensitivity!H23,IF(B7="Skill Level Bonus — 4th Job",Sensitivity!H24,IF(B7="Skill Level Bonus — All Skills",Sensitivity!H25,IF(B7="Final Damage %",Sensitivity!H12,IF(B7="Basic Attack Damage %",Sensitivity!H19,IF(B7="Skill Damage %",Sensitivity!H20,IF(B7="Attack Speed %",Sensitivity!H17,0)))))))))))))))))))))))</f>
        <v/>
      </c>
      <c r="E7">
        <f>SUMIF($B$5:$B$10,B7,$D$5:$D$10)</f>
        <v/>
      </c>
      <c r="F7">
        <f>AND(B7&lt;&gt;"(none)",COUNTIF($B$5:B6,B7)=0)</f>
        <v/>
      </c>
      <c r="G7">
        <f>IF(NOT(F7),1,1+E7/Summary!$B$3)</f>
        <v/>
      </c>
      <c r="I7" s="7" t="inlineStr">
        <is>
          <t>(none)</t>
        </is>
      </c>
      <c r="J7" s="7" t="n">
        <v>0</v>
      </c>
      <c r="K7">
        <f>IF(I7="(none)",0,J7*(IF(I7="Main Stat (flat)",Sensitivity!H5,IF(I7="Main Stat %",Sensitivity!H6,IF(I7="Attack (flat)",Sensitivity!H26,IF(I7="Min Damage %",Sensitivity!H13,IF(I7="Max Damage %",Sensitivity!H14,IF(I7="Damage %",Sensitivity!H8,IF(I7="Critical Rate %",IF(AND(Inputs!$B$9+Summary!$B$14+Artifacts!$B$32&gt;=100,NOT(ArtifactsInput!$M$42),NOT(ArtifactsInput!$M$24)),Sensitivity!H16,Sensitivity!H15),IF(I7="Critical Damage %",Sensitivity!H16,IF(I7="Boss Monster Damage %",Sensitivity!H10,IF(I7="Normal Monster Damage %",Sensitivity!H11,IF(I7="Defense Penetration %",Sensitivity!H18,IF(I7="Defense (flat)",0,IF(I7="Skill Level Bonus — 1st Job",Sensitivity!H21,IF(I7="Skill Level Bonus — 2nd Job",Sensitivity!H22,IF(I7="Skill Level Bonus — 3rd Job",Sensitivity!H23,IF(I7="Skill Level Bonus — 4th Job",Sensitivity!H24,IF(I7="Skill Level Bonus — All Skills",Sensitivity!H25,IF(I7="Final Damage %",Sensitivity!H12,IF(I7="Basic Attack Damage %",Sensitivity!H19,IF(I7="Skill Damage %",Sensitivity!H20,IF(I7="Attack Speed %",Sensitivity!H17,0)))))))))))))))))))))))</f>
        <v/>
      </c>
      <c r="L7">
        <f>SUMIF($I$5:$I$10,I7,$K$5:$K$10)</f>
        <v/>
      </c>
      <c r="M7">
        <f>AND(I7&lt;&gt;"(none)",COUNTIF($I$5:I6,I7)=0)</f>
        <v/>
      </c>
      <c r="N7">
        <f>IF(NOT(M7),1,1+L7/Summary!$B$3)</f>
        <v/>
      </c>
      <c r="Q7" t="inlineStr">
        <is>
          <t>Critical Rate %</t>
        </is>
      </c>
    </row>
    <row r="8">
      <c r="A8" s="6" t="inlineStr">
        <is>
          <t>Line 4</t>
        </is>
      </c>
      <c r="B8" s="7" t="inlineStr">
        <is>
          <t>(none)</t>
        </is>
      </c>
      <c r="C8" s="7" t="n">
        <v>0</v>
      </c>
      <c r="D8">
        <f>IF(B8="(none)",0,C8*(IF(B8="Main Stat (flat)",Sensitivity!H5,IF(B8="Main Stat %",Sensitivity!H6,IF(B8="Attack (flat)",Sensitivity!H26,IF(B8="Min Damage %",Sensitivity!H13,IF(B8="Max Damage %",Sensitivity!H14,IF(B8="Damage %",Sensitivity!H8,IF(B8="Critical Rate %",IF(AND(Inputs!$B$9+Summary!$B$14+Artifacts!$B$32&gt;=100,NOT(ArtifactsInput!$M$42),NOT(ArtifactsInput!$M$24)),Sensitivity!H16,Sensitivity!H15),IF(B8="Critical Damage %",Sensitivity!H16,IF(B8="Boss Monster Damage %",Sensitivity!H10,IF(B8="Normal Monster Damage %",Sensitivity!H11,IF(B8="Defense Penetration %",Sensitivity!H18,IF(B8="Defense (flat)",0,IF(B8="Skill Level Bonus — 1st Job",Sensitivity!H21,IF(B8="Skill Level Bonus — 2nd Job",Sensitivity!H22,IF(B8="Skill Level Bonus — 3rd Job",Sensitivity!H23,IF(B8="Skill Level Bonus — 4th Job",Sensitivity!H24,IF(B8="Skill Level Bonus — All Skills",Sensitivity!H25,IF(B8="Final Damage %",Sensitivity!H12,IF(B8="Basic Attack Damage %",Sensitivity!H19,IF(B8="Skill Damage %",Sensitivity!H20,IF(B8="Attack Speed %",Sensitivity!H17,0)))))))))))))))))))))))</f>
        <v/>
      </c>
      <c r="E8">
        <f>SUMIF($B$5:$B$10,B8,$D$5:$D$10)</f>
        <v/>
      </c>
      <c r="F8">
        <f>AND(B8&lt;&gt;"(none)",COUNTIF($B$5:B7,B8)=0)</f>
        <v/>
      </c>
      <c r="G8">
        <f>IF(NOT(F8),1,1+E8/Summary!$B$3)</f>
        <v/>
      </c>
      <c r="I8" s="7" t="inlineStr">
        <is>
          <t>(none)</t>
        </is>
      </c>
      <c r="J8" s="7" t="n">
        <v>0</v>
      </c>
      <c r="K8">
        <f>IF(I8="(none)",0,J8*(IF(I8="Main Stat (flat)",Sensitivity!H5,IF(I8="Main Stat %",Sensitivity!H6,IF(I8="Attack (flat)",Sensitivity!H26,IF(I8="Min Damage %",Sensitivity!H13,IF(I8="Max Damage %",Sensitivity!H14,IF(I8="Damage %",Sensitivity!H8,IF(I8="Critical Rate %",IF(AND(Inputs!$B$9+Summary!$B$14+Artifacts!$B$32&gt;=100,NOT(ArtifactsInput!$M$42),NOT(ArtifactsInput!$M$24)),Sensitivity!H16,Sensitivity!H15),IF(I8="Critical Damage %",Sensitivity!H16,IF(I8="Boss Monster Damage %",Sensitivity!H10,IF(I8="Normal Monster Damage %",Sensitivity!H11,IF(I8="Defense Penetration %",Sensitivity!H18,IF(I8="Defense (flat)",0,IF(I8="Skill Level Bonus — 1st Job",Sensitivity!H21,IF(I8="Skill Level Bonus — 2nd Job",Sensitivity!H22,IF(I8="Skill Level Bonus — 3rd Job",Sensitivity!H23,IF(I8="Skill Level Bonus — 4th Job",Sensitivity!H24,IF(I8="Skill Level Bonus — All Skills",Sensitivity!H25,IF(I8="Final Damage %",Sensitivity!H12,IF(I8="Basic Attack Damage %",Sensitivity!H19,IF(I8="Skill Damage %",Sensitivity!H20,IF(I8="Attack Speed %",Sensitivity!H17,0)))))))))))))))))))))))</f>
        <v/>
      </c>
      <c r="L8">
        <f>SUMIF($I$5:$I$10,I8,$K$5:$K$10)</f>
        <v/>
      </c>
      <c r="M8">
        <f>AND(I8&lt;&gt;"(none)",COUNTIF($I$5:I7,I8)=0)</f>
        <v/>
      </c>
      <c r="N8">
        <f>IF(NOT(M8),1,1+L8/Summary!$B$3)</f>
        <v/>
      </c>
      <c r="Q8" t="inlineStr">
        <is>
          <t>Critical Damage %</t>
        </is>
      </c>
    </row>
    <row r="9">
      <c r="A9" s="6" t="inlineStr">
        <is>
          <t>Line 5</t>
        </is>
      </c>
      <c r="B9" s="7" t="inlineStr">
        <is>
          <t>(none)</t>
        </is>
      </c>
      <c r="C9" s="7" t="n">
        <v>0</v>
      </c>
      <c r="D9">
        <f>IF(B9="(none)",0,C9*(IF(B9="Main Stat (flat)",Sensitivity!H5,IF(B9="Main Stat %",Sensitivity!H6,IF(B9="Attack (flat)",Sensitivity!H26,IF(B9="Min Damage %",Sensitivity!H13,IF(B9="Max Damage %",Sensitivity!H14,IF(B9="Damage %",Sensitivity!H8,IF(B9="Critical Rate %",IF(AND(Inputs!$B$9+Summary!$B$14+Artifacts!$B$32&gt;=100,NOT(ArtifactsInput!$M$42),NOT(ArtifactsInput!$M$24)),Sensitivity!H16,Sensitivity!H15),IF(B9="Critical Damage %",Sensitivity!H16,IF(B9="Boss Monster Damage %",Sensitivity!H10,IF(B9="Normal Monster Damage %",Sensitivity!H11,IF(B9="Defense Penetration %",Sensitivity!H18,IF(B9="Defense (flat)",0,IF(B9="Skill Level Bonus — 1st Job",Sensitivity!H21,IF(B9="Skill Level Bonus — 2nd Job",Sensitivity!H22,IF(B9="Skill Level Bonus — 3rd Job",Sensitivity!H23,IF(B9="Skill Level Bonus — 4th Job",Sensitivity!H24,IF(B9="Skill Level Bonus — All Skills",Sensitivity!H25,IF(B9="Final Damage %",Sensitivity!H12,IF(B9="Basic Attack Damage %",Sensitivity!H19,IF(B9="Skill Damage %",Sensitivity!H20,IF(B9="Attack Speed %",Sensitivity!H17,0)))))))))))))))))))))))</f>
        <v/>
      </c>
      <c r="E9">
        <f>SUMIF($B$5:$B$10,B9,$D$5:$D$10)</f>
        <v/>
      </c>
      <c r="F9">
        <f>AND(B9&lt;&gt;"(none)",COUNTIF($B$5:B8,B9)=0)</f>
        <v/>
      </c>
      <c r="G9">
        <f>IF(NOT(F9),1,1+E9/Summary!$B$3)</f>
        <v/>
      </c>
      <c r="I9" s="7" t="inlineStr">
        <is>
          <t>(none)</t>
        </is>
      </c>
      <c r="J9" s="7" t="n">
        <v>0</v>
      </c>
      <c r="K9">
        <f>IF(I9="(none)",0,J9*(IF(I9="Main Stat (flat)",Sensitivity!H5,IF(I9="Main Stat %",Sensitivity!H6,IF(I9="Attack (flat)",Sensitivity!H26,IF(I9="Min Damage %",Sensitivity!H13,IF(I9="Max Damage %",Sensitivity!H14,IF(I9="Damage %",Sensitivity!H8,IF(I9="Critical Rate %",IF(AND(Inputs!$B$9+Summary!$B$14+Artifacts!$B$32&gt;=100,NOT(ArtifactsInput!$M$42),NOT(ArtifactsInput!$M$24)),Sensitivity!H16,Sensitivity!H15),IF(I9="Critical Damage %",Sensitivity!H16,IF(I9="Boss Monster Damage %",Sensitivity!H10,IF(I9="Normal Monster Damage %",Sensitivity!H11,IF(I9="Defense Penetration %",Sensitivity!H18,IF(I9="Defense (flat)",0,IF(I9="Skill Level Bonus — 1st Job",Sensitivity!H21,IF(I9="Skill Level Bonus — 2nd Job",Sensitivity!H22,IF(I9="Skill Level Bonus — 3rd Job",Sensitivity!H23,IF(I9="Skill Level Bonus — 4th Job",Sensitivity!H24,IF(I9="Skill Level Bonus — All Skills",Sensitivity!H25,IF(I9="Final Damage %",Sensitivity!H12,IF(I9="Basic Attack Damage %",Sensitivity!H19,IF(I9="Skill Damage %",Sensitivity!H20,IF(I9="Attack Speed %",Sensitivity!H17,0)))))))))))))))))))))))</f>
        <v/>
      </c>
      <c r="L9">
        <f>SUMIF($I$5:$I$10,I9,$K$5:$K$10)</f>
        <v/>
      </c>
      <c r="M9">
        <f>AND(I9&lt;&gt;"(none)",COUNTIF($I$5:I8,I9)=0)</f>
        <v/>
      </c>
      <c r="N9">
        <f>IF(NOT(M9),1,1+L9/Summary!$B$3)</f>
        <v/>
      </c>
      <c r="Q9" t="inlineStr">
        <is>
          <t>Boss Monster Damage %</t>
        </is>
      </c>
    </row>
    <row r="10">
      <c r="A10" s="6" t="inlineStr">
        <is>
          <t>Line 6</t>
        </is>
      </c>
      <c r="B10" s="7" t="inlineStr">
        <is>
          <t>(none)</t>
        </is>
      </c>
      <c r="C10" s="7" t="n">
        <v>0</v>
      </c>
      <c r="D10">
        <f>IF(B10="(none)",0,C10*(IF(B10="Main Stat (flat)",Sensitivity!H5,IF(B10="Main Stat %",Sensitivity!H6,IF(B10="Attack (flat)",Sensitivity!H26,IF(B10="Min Damage %",Sensitivity!H13,IF(B10="Max Damage %",Sensitivity!H14,IF(B10="Damage %",Sensitivity!H8,IF(B10="Critical Rate %",IF(AND(Inputs!$B$9+Summary!$B$14+Artifacts!$B$32&gt;=100,NOT(ArtifactsInput!$M$42),NOT(ArtifactsInput!$M$24)),Sensitivity!H16,Sensitivity!H15),IF(B10="Critical Damage %",Sensitivity!H16,IF(B10="Boss Monster Damage %",Sensitivity!H10,IF(B10="Normal Monster Damage %",Sensitivity!H11,IF(B10="Defense Penetration %",Sensitivity!H18,IF(B10="Defense (flat)",0,IF(B10="Skill Level Bonus — 1st Job",Sensitivity!H21,IF(B10="Skill Level Bonus — 2nd Job",Sensitivity!H22,IF(B10="Skill Level Bonus — 3rd Job",Sensitivity!H23,IF(B10="Skill Level Bonus — 4th Job",Sensitivity!H24,IF(B10="Skill Level Bonus — All Skills",Sensitivity!H25,IF(B10="Final Damage %",Sensitivity!H12,IF(B10="Basic Attack Damage %",Sensitivity!H19,IF(B10="Skill Damage %",Sensitivity!H20,IF(B10="Attack Speed %",Sensitivity!H17,0)))))))))))))))))))))))</f>
        <v/>
      </c>
      <c r="E10">
        <f>SUMIF($B$5:$B$10,B10,$D$5:$D$10)</f>
        <v/>
      </c>
      <c r="F10">
        <f>AND(B10&lt;&gt;"(none)",COUNTIF($B$5:B9,B10)=0)</f>
        <v/>
      </c>
      <c r="G10">
        <f>IF(NOT(F10),1,1+E10/Summary!$B$3)</f>
        <v/>
      </c>
      <c r="I10" s="7" t="inlineStr">
        <is>
          <t>(none)</t>
        </is>
      </c>
      <c r="J10" s="7" t="n">
        <v>0</v>
      </c>
      <c r="K10">
        <f>IF(I10="(none)",0,J10*(IF(I10="Main Stat (flat)",Sensitivity!H5,IF(I10="Main Stat %",Sensitivity!H6,IF(I10="Attack (flat)",Sensitivity!H26,IF(I10="Min Damage %",Sensitivity!H13,IF(I10="Max Damage %",Sensitivity!H14,IF(I10="Damage %",Sensitivity!H8,IF(I10="Critical Rate %",IF(AND(Inputs!$B$9+Summary!$B$14+Artifacts!$B$32&gt;=100,NOT(ArtifactsInput!$M$42),NOT(ArtifactsInput!$M$24)),Sensitivity!H16,Sensitivity!H15),IF(I10="Critical Damage %",Sensitivity!H16,IF(I10="Boss Monster Damage %",Sensitivity!H10,IF(I10="Normal Monster Damage %",Sensitivity!H11,IF(I10="Defense Penetration %",Sensitivity!H18,IF(I10="Defense (flat)",0,IF(I10="Skill Level Bonus — 1st Job",Sensitivity!H21,IF(I10="Skill Level Bonus — 2nd Job",Sensitivity!H22,IF(I10="Skill Level Bonus — 3rd Job",Sensitivity!H23,IF(I10="Skill Level Bonus — 4th Job",Sensitivity!H24,IF(I10="Skill Level Bonus — All Skills",Sensitivity!H25,IF(I10="Final Damage %",Sensitivity!H12,IF(I10="Basic Attack Damage %",Sensitivity!H19,IF(I10="Skill Damage %",Sensitivity!H20,IF(I10="Attack Speed %",Sensitivity!H17,0)))))))))))))))))))))))</f>
        <v/>
      </c>
      <c r="L10">
        <f>SUMIF($I$5:$I$10,I10,$K$5:$K$10)</f>
        <v/>
      </c>
      <c r="M10">
        <f>AND(I10&lt;&gt;"(none)",COUNTIF($I$5:I9,I10)=0)</f>
        <v/>
      </c>
      <c r="N10">
        <f>IF(NOT(M10),1,1+L10/Summary!$B$3)</f>
        <v/>
      </c>
      <c r="Q10" t="inlineStr">
        <is>
          <t>Normal Monster Damage %</t>
        </is>
      </c>
    </row>
    <row r="11">
      <c r="Q11" t="inlineStr">
        <is>
          <t>Defense Penetration %</t>
        </is>
      </c>
    </row>
    <row r="12">
      <c r="A12" s="6" t="inlineStr">
        <is>
          <t>Total DPS Gain</t>
        </is>
      </c>
      <c r="D12">
        <f>Summary!$B$3*(PRODUCT($G$5:$G$10)-1)</f>
        <v/>
      </c>
      <c r="K12">
        <f>Summary!$B$3*(PRODUCT($N$5:$N$10)-1)</f>
        <v/>
      </c>
      <c r="Q12" t="inlineStr">
        <is>
          <t>Defense (flat)</t>
        </is>
      </c>
    </row>
    <row r="13">
      <c r="A13" s="6" t="inlineStr">
        <is>
          <t>% of Total DPS</t>
        </is>
      </c>
      <c r="D13" s="13">
        <f>D12/Summary!$B$3*100</f>
        <v/>
      </c>
      <c r="K13" s="13">
        <f>K12/Summary!$B$3*100</f>
        <v/>
      </c>
      <c r="Q13" t="inlineStr">
        <is>
          <t>Skill Level Bonus — 1st Job</t>
        </is>
      </c>
    </row>
    <row r="14">
      <c r="Q14" t="inlineStr">
        <is>
          <t>Skill Level Bonus — 2nd Job</t>
        </is>
      </c>
    </row>
    <row r="15">
      <c r="A15" s="9" t="inlineStr">
        <is>
          <t>New vs Current — DPS % Delta</t>
        </is>
      </c>
      <c r="D15" s="14">
        <f>K13-D13</f>
        <v/>
      </c>
      <c r="Q15" t="inlineStr">
        <is>
          <t>Skill Level Bonus — 3rd Job</t>
        </is>
      </c>
    </row>
    <row r="16">
      <c r="Q16" t="inlineStr">
        <is>
          <t>Skill Level Bonus — 4th Job</t>
        </is>
      </c>
    </row>
    <row r="17">
      <c r="Q17" t="inlineStr">
        <is>
          <t>Skill Level Bonus — All Skills</t>
        </is>
      </c>
    </row>
    <row r="18">
      <c r="Q18" t="inlineStr">
        <is>
          <t>Final Damage %</t>
        </is>
      </c>
    </row>
    <row r="19">
      <c r="Q19" t="inlineStr">
        <is>
          <t>Basic Attack Damage %</t>
        </is>
      </c>
    </row>
    <row r="20">
      <c r="Q20" t="inlineStr">
        <is>
          <t>Skill Damage %</t>
        </is>
      </c>
    </row>
    <row r="21">
      <c r="Q21" t="inlineStr">
        <is>
          <t>Attack Speed %</t>
        </is>
      </c>
    </row>
  </sheetData>
  <dataValidations count="1">
    <dataValidation sqref="B6 B7 B8 B9 B10 I6 I7 I8 I9 I10" showDropDown="0" showInputMessage="0" showErrorMessage="0" allowBlank="0" type="list">
      <formula1>=$Q$1:$Q$21</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Q709"/>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6" customWidth="1" min="3" max="3"/>
    <col width="26" customWidth="1" min="4" max="4"/>
    <col width="9" customWidth="1" min="5" max="5"/>
    <col width="9" customWidth="1" min="6" max="6"/>
    <col width="8" customWidth="1" min="7" max="7"/>
    <col width="13" customWidth="1" min="8" max="8"/>
    <col width="2" customWidth="1" min="9" max="9"/>
    <col width="26" customWidth="1" min="10" max="10"/>
    <col width="13" customWidth="1" min="11" max="11"/>
    <col width="2" customWidth="1" min="12" max="12"/>
    <col width="12" customWidth="1" min="13" max="13"/>
    <col width="10" customWidth="1" min="14" max="14"/>
    <col width="9" customWidth="1" min="15" max="15"/>
    <col width="15" customWidth="1" min="16" max="16"/>
    <col width="14" customWidth="1" min="17" max="17"/>
  </cols>
  <sheetData>
    <row r="1">
      <c r="A1" s="5" t="inlineStr">
        <is>
          <t>Slot</t>
        </is>
      </c>
      <c r="B1" s="5" t="inlineStr">
        <is>
          <t>Rarity</t>
        </is>
      </c>
      <c r="C1" s="5" t="inlineStr">
        <is>
          <t>Line</t>
        </is>
      </c>
      <c r="D1" s="5" t="inlineStr">
        <is>
          <t>Stat</t>
        </is>
      </c>
      <c r="E1" s="5" t="inlineStr">
        <is>
          <t>Value</t>
        </is>
      </c>
      <c r="F1" s="5" t="inlineStr">
        <is>
          <t>Weight</t>
        </is>
      </c>
      <c r="G1" s="5" t="inlineStr">
        <is>
          <t>Prime</t>
        </is>
      </c>
      <c r="H1" s="5" t="inlineStr">
        <is>
          <t>DPSPerUnit</t>
        </is>
      </c>
      <c r="J1" s="11" t="inlineStr">
        <is>
          <t>Stat</t>
        </is>
      </c>
      <c r="K1" s="11" t="inlineStr">
        <is>
          <t>DPSPerUnit</t>
        </is>
      </c>
      <c r="M1" s="11" t="inlineStr">
        <is>
          <t>Rarity</t>
        </is>
      </c>
      <c r="N1" s="11" t="inlineStr">
        <is>
          <t>Rate</t>
        </is>
      </c>
      <c r="O1" s="11" t="inlineStr">
        <is>
          <t>MaxPity</t>
        </is>
      </c>
      <c r="P1" s="11" t="inlineStr">
        <is>
          <t>PotentialType</t>
        </is>
      </c>
      <c r="Q1" s="11" t="inlineStr">
        <is>
          <t>SlotList</t>
        </is>
      </c>
    </row>
    <row r="2">
      <c r="A2" t="inlineStr">
        <is>
          <t>ALL</t>
        </is>
      </c>
      <c r="B2" t="inlineStr">
        <is>
          <t>normal</t>
        </is>
      </c>
      <c r="C2" t="n">
        <v>1</v>
      </c>
      <c r="D2" t="inlineStr">
        <is>
          <t>Critical Rate %</t>
        </is>
      </c>
      <c r="E2" t="n">
        <v>3</v>
      </c>
      <c r="F2" t="n">
        <v>2.5</v>
      </c>
      <c r="G2" t="b">
        <v>0</v>
      </c>
      <c r="H2">
        <f>IF(AND(Inputs!$B$9+Summary!$B$14+Artifacts!$B$32&gt;=100,NOT(ArtifactsInput!$M$42),NOT(ArtifactsInput!$M$24)),Sensitivity!H16,Sensitivity!H15)</f>
        <v/>
      </c>
      <c r="J2" t="inlineStr">
        <is>
          <t>(none)</t>
        </is>
      </c>
      <c r="K2" t="n">
        <v>0</v>
      </c>
      <c r="M2" t="inlineStr">
        <is>
          <t>normal</t>
        </is>
      </c>
      <c r="N2" t="n">
        <v>0.06</v>
      </c>
      <c r="O2" t="n">
        <v>30</v>
      </c>
      <c r="P2" t="inlineStr">
        <is>
          <t>Potential</t>
        </is>
      </c>
      <c r="Q2" t="inlineStr">
        <is>
          <t>head</t>
        </is>
      </c>
    </row>
    <row r="3">
      <c r="A3" t="inlineStr">
        <is>
          <t>ALL</t>
        </is>
      </c>
      <c r="B3" t="inlineStr">
        <is>
          <t>normal</t>
        </is>
      </c>
      <c r="C3" t="n">
        <v>1</v>
      </c>
      <c r="D3" t="inlineStr">
        <is>
          <t>Attack Speed %</t>
        </is>
      </c>
      <c r="E3" t="n">
        <v>3</v>
      </c>
      <c r="F3" t="n">
        <v>2.5</v>
      </c>
      <c r="G3" t="b">
        <v>0</v>
      </c>
      <c r="H3">
        <f>Sensitivity!H17</f>
        <v/>
      </c>
      <c r="J3" t="inlineStr">
        <is>
          <t>All Skill Level</t>
        </is>
      </c>
      <c r="K3">
        <f>Sensitivity!H25</f>
        <v/>
      </c>
      <c r="M3" t="inlineStr">
        <is>
          <t>rare</t>
        </is>
      </c>
      <c r="N3" t="n">
        <v>0.03333</v>
      </c>
      <c r="O3" t="n">
        <v>60</v>
      </c>
      <c r="P3" t="inlineStr">
        <is>
          <t>Potential</t>
        </is>
      </c>
      <c r="Q3" t="inlineStr">
        <is>
          <t>cape</t>
        </is>
      </c>
    </row>
    <row r="4">
      <c r="A4" t="inlineStr">
        <is>
          <t>ALL</t>
        </is>
      </c>
      <c r="B4" t="inlineStr">
        <is>
          <t>normal</t>
        </is>
      </c>
      <c r="C4" t="n">
        <v>1</v>
      </c>
      <c r="D4" t="inlineStr">
        <is>
          <t>Damage %</t>
        </is>
      </c>
      <c r="E4" t="n">
        <v>5</v>
      </c>
      <c r="F4" t="n">
        <v>4</v>
      </c>
      <c r="G4" t="b">
        <v>0</v>
      </c>
      <c r="H4">
        <f>Sensitivity!H8</f>
        <v/>
      </c>
      <c r="J4" t="inlineStr">
        <is>
          <t>Attack Speed %</t>
        </is>
      </c>
      <c r="K4">
        <f>Sensitivity!H17</f>
        <v/>
      </c>
      <c r="M4" t="inlineStr">
        <is>
          <t>epic</t>
        </is>
      </c>
      <c r="N4" t="n">
        <v>0.0167</v>
      </c>
      <c r="O4" t="n">
        <v>120</v>
      </c>
      <c r="P4" t="inlineStr">
        <is>
          <t>Potential</t>
        </is>
      </c>
      <c r="Q4" t="inlineStr">
        <is>
          <t>chest</t>
        </is>
      </c>
    </row>
    <row r="5">
      <c r="A5" t="inlineStr">
        <is>
          <t>ALL</t>
        </is>
      </c>
      <c r="B5" t="inlineStr">
        <is>
          <t>normal</t>
        </is>
      </c>
      <c r="C5" t="n">
        <v>1</v>
      </c>
      <c r="D5" t="inlineStr">
        <is>
          <t>Min Damage Multiplier %</t>
        </is>
      </c>
      <c r="E5" t="n">
        <v>3</v>
      </c>
      <c r="F5" t="n">
        <v>4</v>
      </c>
      <c r="G5" t="b">
        <v>0</v>
      </c>
      <c r="H5">
        <f>Sensitivity!H13</f>
        <v/>
      </c>
      <c r="J5" t="inlineStr">
        <is>
          <t>Basic Attack Damage %</t>
        </is>
      </c>
      <c r="K5">
        <f>Sensitivity!H19</f>
        <v/>
      </c>
      <c r="M5" t="inlineStr">
        <is>
          <t>unique</t>
        </is>
      </c>
      <c r="N5" t="n">
        <v>0.006</v>
      </c>
      <c r="O5" t="n">
        <v>333</v>
      </c>
      <c r="P5" t="inlineStr">
        <is>
          <t>Potential</t>
        </is>
      </c>
      <c r="Q5" t="inlineStr">
        <is>
          <t>shoulders</t>
        </is>
      </c>
    </row>
    <row r="6">
      <c r="A6" t="inlineStr">
        <is>
          <t>ALL</t>
        </is>
      </c>
      <c r="B6" t="inlineStr">
        <is>
          <t>normal</t>
        </is>
      </c>
      <c r="C6" t="n">
        <v>1</v>
      </c>
      <c r="D6" t="inlineStr">
        <is>
          <t>Max Damage Multiplier %</t>
        </is>
      </c>
      <c r="E6" t="n">
        <v>3</v>
      </c>
      <c r="F6" t="n">
        <v>4</v>
      </c>
      <c r="G6" t="b">
        <v>0</v>
      </c>
      <c r="H6">
        <f>Sensitivity!H14</f>
        <v/>
      </c>
      <c r="J6" t="inlineStr">
        <is>
          <t>Basic Attack Target Increase</t>
        </is>
      </c>
      <c r="K6">
        <f>Sensitivity!H29</f>
        <v/>
      </c>
      <c r="M6" t="inlineStr">
        <is>
          <t>legendary</t>
        </is>
      </c>
      <c r="N6" t="n">
        <v>0.0021</v>
      </c>
      <c r="O6" t="n">
        <v>714</v>
      </c>
      <c r="P6" t="inlineStr">
        <is>
          <t>Potential</t>
        </is>
      </c>
      <c r="Q6" t="inlineStr">
        <is>
          <t>legs</t>
        </is>
      </c>
    </row>
    <row r="7">
      <c r="A7" t="inlineStr">
        <is>
          <t>ALL</t>
        </is>
      </c>
      <c r="B7" t="inlineStr">
        <is>
          <t>normal</t>
        </is>
      </c>
      <c r="C7" t="n">
        <v>1</v>
      </c>
      <c r="D7" t="inlineStr">
        <is>
          <t>Str %</t>
        </is>
      </c>
      <c r="E7" t="n">
        <v>3</v>
      </c>
      <c r="F7" t="n">
        <v>4.5</v>
      </c>
      <c r="G7" t="b">
        <v>0</v>
      </c>
      <c r="H7" t="inlineStr">
        <is>
          <t>0</t>
        </is>
      </c>
      <c r="J7" t="inlineStr">
        <is>
          <t>Buff Duration Increase %</t>
        </is>
      </c>
      <c r="K7">
        <f>Sensitivity!H30</f>
        <v/>
      </c>
      <c r="M7" t="inlineStr">
        <is>
          <t>mystic</t>
        </is>
      </c>
      <c r="N7" t="n">
        <v>0</v>
      </c>
      <c r="O7" t="n">
        <v>0</v>
      </c>
      <c r="P7" t="inlineStr">
        <is>
          <t>Potential</t>
        </is>
      </c>
      <c r="Q7" t="inlineStr">
        <is>
          <t>belt</t>
        </is>
      </c>
    </row>
    <row r="8">
      <c r="A8" t="inlineStr">
        <is>
          <t>ALL</t>
        </is>
      </c>
      <c r="B8" t="inlineStr">
        <is>
          <t>normal</t>
        </is>
      </c>
      <c r="C8" t="n">
        <v>1</v>
      </c>
      <c r="D8" t="inlineStr">
        <is>
          <t>Dex %</t>
        </is>
      </c>
      <c r="E8" t="n">
        <v>3</v>
      </c>
      <c r="F8" t="n">
        <v>4.5</v>
      </c>
      <c r="G8" t="b">
        <v>0</v>
      </c>
      <c r="H8">
        <f>Sensitivity!H6</f>
        <v/>
      </c>
      <c r="J8" t="inlineStr">
        <is>
          <t>Companion Summoning Time Increase %</t>
        </is>
      </c>
      <c r="K8">
        <f>Sensitivity!H16</f>
        <v/>
      </c>
      <c r="M8" t="inlineStr">
        <is>
          <t>normal</t>
        </is>
      </c>
      <c r="N8" t="n">
        <v>0.06</v>
      </c>
      <c r="O8" t="n">
        <v>42</v>
      </c>
      <c r="P8" t="inlineStr">
        <is>
          <t>Bonus Potential</t>
        </is>
      </c>
      <c r="Q8" t="inlineStr">
        <is>
          <t>gloves</t>
        </is>
      </c>
    </row>
    <row r="9">
      <c r="A9" t="inlineStr">
        <is>
          <t>ALL</t>
        </is>
      </c>
      <c r="B9" t="inlineStr">
        <is>
          <t>normal</t>
        </is>
      </c>
      <c r="C9" t="n">
        <v>1</v>
      </c>
      <c r="D9" t="inlineStr">
        <is>
          <t>Int %</t>
        </is>
      </c>
      <c r="E9" t="n">
        <v>3</v>
      </c>
      <c r="F9" t="n">
        <v>4.5</v>
      </c>
      <c r="G9" t="b">
        <v>0</v>
      </c>
      <c r="H9" t="inlineStr">
        <is>
          <t>0</t>
        </is>
      </c>
      <c r="J9" t="inlineStr">
        <is>
          <t>Critical Damage %</t>
        </is>
      </c>
      <c r="K9">
        <f>Sensitivity!H16</f>
        <v/>
      </c>
      <c r="M9" t="inlineStr">
        <is>
          <t>rare</t>
        </is>
      </c>
      <c r="N9" t="n">
        <v>0.03333</v>
      </c>
      <c r="O9" t="n">
        <v>75</v>
      </c>
      <c r="P9" t="inlineStr">
        <is>
          <t>Bonus Potential</t>
        </is>
      </c>
      <c r="Q9" t="inlineStr">
        <is>
          <t>boots</t>
        </is>
      </c>
    </row>
    <row r="10">
      <c r="A10" t="inlineStr">
        <is>
          <t>ALL</t>
        </is>
      </c>
      <c r="B10" t="inlineStr">
        <is>
          <t>normal</t>
        </is>
      </c>
      <c r="C10" t="n">
        <v>1</v>
      </c>
      <c r="D10" t="inlineStr">
        <is>
          <t>Luk %</t>
        </is>
      </c>
      <c r="E10" t="n">
        <v>3</v>
      </c>
      <c r="F10" t="n">
        <v>4.5</v>
      </c>
      <c r="G10" t="b">
        <v>0</v>
      </c>
      <c r="H10" t="inlineStr">
        <is>
          <t>0</t>
        </is>
      </c>
      <c r="J10" t="inlineStr">
        <is>
          <t>Critical Rate %</t>
        </is>
      </c>
      <c r="K10">
        <f>IF(AND(Inputs!$B$9+Summary!$B$14+Artifacts!$B$32&gt;=100,NOT(ArtifactsInput!$M$42),NOT(ArtifactsInput!$M$24)),Sensitivity!H16,Sensitivity!H15)</f>
        <v/>
      </c>
      <c r="M10" t="inlineStr">
        <is>
          <t>epic</t>
        </is>
      </c>
      <c r="N10" t="n">
        <v>0.0167</v>
      </c>
      <c r="O10" t="n">
        <v>150</v>
      </c>
      <c r="P10" t="inlineStr">
        <is>
          <t>Bonus Potential</t>
        </is>
      </c>
      <c r="Q10" t="inlineStr">
        <is>
          <t>ring</t>
        </is>
      </c>
    </row>
    <row r="11">
      <c r="A11" t="inlineStr">
        <is>
          <t>ALL</t>
        </is>
      </c>
      <c r="B11" t="inlineStr">
        <is>
          <t>normal</t>
        </is>
      </c>
      <c r="C11" t="n">
        <v>1</v>
      </c>
      <c r="D11" t="inlineStr">
        <is>
          <t>Defense %</t>
        </is>
      </c>
      <c r="E11" t="n">
        <v>3</v>
      </c>
      <c r="F11" t="n">
        <v>9</v>
      </c>
      <c r="G11" t="b">
        <v>0</v>
      </c>
      <c r="H11" t="inlineStr">
        <is>
          <t>0</t>
        </is>
      </c>
      <c r="J11" t="inlineStr">
        <is>
          <t>Damage %</t>
        </is>
      </c>
      <c r="K11">
        <f>Sensitivity!H8</f>
        <v/>
      </c>
      <c r="M11" t="inlineStr">
        <is>
          <t>unique</t>
        </is>
      </c>
      <c r="N11" t="n">
        <v>0.006</v>
      </c>
      <c r="O11" t="n">
        <v>417</v>
      </c>
      <c r="P11" t="inlineStr">
        <is>
          <t>Bonus Potential</t>
        </is>
      </c>
      <c r="Q11" t="inlineStr">
        <is>
          <t>neck</t>
        </is>
      </c>
    </row>
    <row r="12">
      <c r="A12" t="inlineStr">
        <is>
          <t>ALL</t>
        </is>
      </c>
      <c r="B12" t="inlineStr">
        <is>
          <t>normal</t>
        </is>
      </c>
      <c r="C12" t="n">
        <v>1</v>
      </c>
      <c r="D12" t="inlineStr">
        <is>
          <t>Max HP %</t>
        </is>
      </c>
      <c r="E12" t="n">
        <v>6</v>
      </c>
      <c r="F12" t="n">
        <v>9</v>
      </c>
      <c r="G12" t="b">
        <v>0</v>
      </c>
      <c r="H12" t="inlineStr">
        <is>
          <t>0</t>
        </is>
      </c>
      <c r="J12" t="inlineStr">
        <is>
          <t>Defense %</t>
        </is>
      </c>
      <c r="K12" t="inlineStr">
        <is>
          <t>0</t>
        </is>
      </c>
      <c r="M12" t="inlineStr">
        <is>
          <t>legendary</t>
        </is>
      </c>
      <c r="N12" t="n">
        <v>0.0021</v>
      </c>
      <c r="O12" t="n">
        <v>714</v>
      </c>
      <c r="P12" t="inlineStr">
        <is>
          <t>Bonus Potential</t>
        </is>
      </c>
      <c r="Q12" t="inlineStr">
        <is>
          <t>eye-accessory</t>
        </is>
      </c>
    </row>
    <row r="13">
      <c r="A13" t="inlineStr">
        <is>
          <t>ALL</t>
        </is>
      </c>
      <c r="B13" t="inlineStr">
        <is>
          <t>normal</t>
        </is>
      </c>
      <c r="C13" t="n">
        <v>1</v>
      </c>
      <c r="D13" t="inlineStr">
        <is>
          <t>Max MP %</t>
        </is>
      </c>
      <c r="E13" t="n">
        <v>3</v>
      </c>
      <c r="F13" t="n">
        <v>9</v>
      </c>
      <c r="G13" t="b">
        <v>0</v>
      </c>
      <c r="H13" t="inlineStr">
        <is>
          <t>0</t>
        </is>
      </c>
      <c r="J13" t="inlineStr">
        <is>
          <t>Defense Penetration</t>
        </is>
      </c>
      <c r="K13">
        <f>Sensitivity!H18</f>
        <v/>
      </c>
      <c r="M13" t="inlineStr">
        <is>
          <t>mystic</t>
        </is>
      </c>
      <c r="N13" t="n">
        <v>0</v>
      </c>
      <c r="O13" t="n">
        <v>0</v>
      </c>
      <c r="P13" t="inlineStr">
        <is>
          <t>Bonus Potential</t>
        </is>
      </c>
      <c r="Q13" t="inlineStr">
        <is>
          <t>ring2</t>
        </is>
      </c>
    </row>
    <row r="14">
      <c r="A14" t="inlineStr">
        <is>
          <t>ALL</t>
        </is>
      </c>
      <c r="B14" t="inlineStr">
        <is>
          <t>normal</t>
        </is>
      </c>
      <c r="C14" t="n">
        <v>1</v>
      </c>
      <c r="D14" t="inlineStr">
        <is>
          <t>Str</t>
        </is>
      </c>
      <c r="E14" t="n">
        <v>50</v>
      </c>
      <c r="F14" t="n">
        <v>9.5</v>
      </c>
      <c r="G14" t="b">
        <v>0</v>
      </c>
      <c r="H14" t="inlineStr">
        <is>
          <t>0</t>
        </is>
      </c>
      <c r="J14" t="inlineStr">
        <is>
          <t>Dex</t>
        </is>
      </c>
      <c r="K14">
        <f>Sensitivity!H5</f>
        <v/>
      </c>
      <c r="Q14" t="inlineStr">
        <is>
          <t>face</t>
        </is>
      </c>
    </row>
    <row r="15">
      <c r="A15" t="inlineStr">
        <is>
          <t>ALL</t>
        </is>
      </c>
      <c r="B15" t="inlineStr">
        <is>
          <t>normal</t>
        </is>
      </c>
      <c r="C15" t="n">
        <v>1</v>
      </c>
      <c r="D15" t="inlineStr">
        <is>
          <t>Dex</t>
        </is>
      </c>
      <c r="E15" t="n">
        <v>50</v>
      </c>
      <c r="F15" t="n">
        <v>9.5</v>
      </c>
      <c r="G15" t="b">
        <v>0</v>
      </c>
      <c r="H15">
        <f>Sensitivity!H5</f>
        <v/>
      </c>
      <c r="J15" t="inlineStr">
        <is>
          <t>Dex %</t>
        </is>
      </c>
      <c r="K15">
        <f>Sensitivity!H6</f>
        <v/>
      </c>
      <c r="Q15" t="inlineStr">
        <is>
          <t>earrings</t>
        </is>
      </c>
    </row>
    <row r="16">
      <c r="A16" t="inlineStr">
        <is>
          <t>ALL</t>
        </is>
      </c>
      <c r="B16" t="inlineStr">
        <is>
          <t>normal</t>
        </is>
      </c>
      <c r="C16" t="n">
        <v>1</v>
      </c>
      <c r="D16" t="inlineStr">
        <is>
          <t>Int</t>
        </is>
      </c>
      <c r="E16" t="n">
        <v>50</v>
      </c>
      <c r="F16" t="n">
        <v>9.5</v>
      </c>
      <c r="G16" t="b">
        <v>0</v>
      </c>
      <c r="H16" t="inlineStr">
        <is>
          <t>0</t>
        </is>
      </c>
      <c r="J16" t="inlineStr">
        <is>
          <t>Final Damage %</t>
        </is>
      </c>
      <c r="K16">
        <f>Sensitivity!H12</f>
        <v/>
      </c>
      <c r="Q16" t="inlineStr">
        <is>
          <t>pocket</t>
        </is>
      </c>
    </row>
    <row r="17">
      <c r="A17" t="inlineStr">
        <is>
          <t>ALL</t>
        </is>
      </c>
      <c r="B17" t="inlineStr">
        <is>
          <t>normal</t>
        </is>
      </c>
      <c r="C17" t="n">
        <v>1</v>
      </c>
      <c r="D17" t="inlineStr">
        <is>
          <t>Luk</t>
        </is>
      </c>
      <c r="E17" t="n">
        <v>50</v>
      </c>
      <c r="F17" t="n">
        <v>9.5</v>
      </c>
      <c r="G17" t="b">
        <v>0</v>
      </c>
      <c r="H17" t="inlineStr">
        <is>
          <t>0</t>
        </is>
      </c>
      <c r="J17" t="inlineStr">
        <is>
          <t>Int</t>
        </is>
      </c>
      <c r="K17" t="inlineStr">
        <is>
          <t>0</t>
        </is>
      </c>
    </row>
    <row r="18">
      <c r="A18" t="inlineStr">
        <is>
          <t>ALL</t>
        </is>
      </c>
      <c r="B18" t="inlineStr">
        <is>
          <t>normal</t>
        </is>
      </c>
      <c r="C18" t="n">
        <v>2</v>
      </c>
      <c r="D18" t="inlineStr">
        <is>
          <t>Critical Rate %</t>
        </is>
      </c>
      <c r="E18" t="n">
        <v>3</v>
      </c>
      <c r="F18" t="n">
        <v>2.5</v>
      </c>
      <c r="G18" t="b">
        <v>0</v>
      </c>
      <c r="H18">
        <f>IF(AND(Inputs!$B$9+Summary!$B$14+Artifacts!$B$32&gt;=100,NOT(ArtifactsInput!$M$42),NOT(ArtifactsInput!$M$24)),Sensitivity!H16,Sensitivity!H15)</f>
        <v/>
      </c>
      <c r="J18" t="inlineStr">
        <is>
          <t>Int %</t>
        </is>
      </c>
      <c r="K18" t="inlineStr">
        <is>
          <t>0</t>
        </is>
      </c>
    </row>
    <row r="19">
      <c r="A19" t="inlineStr">
        <is>
          <t>ALL</t>
        </is>
      </c>
      <c r="B19" t="inlineStr">
        <is>
          <t>normal</t>
        </is>
      </c>
      <c r="C19" t="n">
        <v>2</v>
      </c>
      <c r="D19" t="inlineStr">
        <is>
          <t>Attack Speed %</t>
        </is>
      </c>
      <c r="E19" t="n">
        <v>3</v>
      </c>
      <c r="F19" t="n">
        <v>2.5</v>
      </c>
      <c r="G19" t="b">
        <v>0</v>
      </c>
      <c r="H19">
        <f>Sensitivity!H17</f>
        <v/>
      </c>
      <c r="J19" t="inlineStr">
        <is>
          <t>Luk</t>
        </is>
      </c>
      <c r="K19" t="inlineStr">
        <is>
          <t>0</t>
        </is>
      </c>
    </row>
    <row r="20">
      <c r="A20" t="inlineStr">
        <is>
          <t>ALL</t>
        </is>
      </c>
      <c r="B20" t="inlineStr">
        <is>
          <t>normal</t>
        </is>
      </c>
      <c r="C20" t="n">
        <v>2</v>
      </c>
      <c r="D20" t="inlineStr">
        <is>
          <t>Damage %</t>
        </is>
      </c>
      <c r="E20" t="n">
        <v>5</v>
      </c>
      <c r="F20" t="n">
        <v>4</v>
      </c>
      <c r="G20" t="b">
        <v>0</v>
      </c>
      <c r="H20">
        <f>Sensitivity!H8</f>
        <v/>
      </c>
      <c r="J20" t="inlineStr">
        <is>
          <t>Luk %</t>
        </is>
      </c>
      <c r="K20" t="inlineStr">
        <is>
          <t>0</t>
        </is>
      </c>
    </row>
    <row r="21">
      <c r="A21" t="inlineStr">
        <is>
          <t>ALL</t>
        </is>
      </c>
      <c r="B21" t="inlineStr">
        <is>
          <t>normal</t>
        </is>
      </c>
      <c r="C21" t="n">
        <v>2</v>
      </c>
      <c r="D21" t="inlineStr">
        <is>
          <t>Min Damage Multiplier %</t>
        </is>
      </c>
      <c r="E21" t="n">
        <v>3</v>
      </c>
      <c r="F21" t="n">
        <v>4</v>
      </c>
      <c r="G21" t="b">
        <v>0</v>
      </c>
      <c r="H21">
        <f>Sensitivity!H13</f>
        <v/>
      </c>
      <c r="J21" t="inlineStr">
        <is>
          <t>Main Stat % per 4 Levels</t>
        </is>
      </c>
      <c r="K21">
        <f>Sensitivity!H6*INT(Inputs!$B$3/4)</f>
        <v/>
      </c>
    </row>
    <row r="22">
      <c r="A22" t="inlineStr">
        <is>
          <t>ALL</t>
        </is>
      </c>
      <c r="B22" t="inlineStr">
        <is>
          <t>normal</t>
        </is>
      </c>
      <c r="C22" t="n">
        <v>2</v>
      </c>
      <c r="D22" t="inlineStr">
        <is>
          <t>Max Damage Multiplier %</t>
        </is>
      </c>
      <c r="E22" t="n">
        <v>3</v>
      </c>
      <c r="F22" t="n">
        <v>4</v>
      </c>
      <c r="G22" t="b">
        <v>0</v>
      </c>
      <c r="H22">
        <f>Sensitivity!H14</f>
        <v/>
      </c>
      <c r="J22" t="inlineStr">
        <is>
          <t>Main Stat Per Level</t>
        </is>
      </c>
      <c r="K22">
        <f>Sensitivity!H5*Inputs!$B$3</f>
        <v/>
      </c>
    </row>
    <row r="23">
      <c r="A23" t="inlineStr">
        <is>
          <t>ALL</t>
        </is>
      </c>
      <c r="B23" t="inlineStr">
        <is>
          <t>normal</t>
        </is>
      </c>
      <c r="C23" t="n">
        <v>2</v>
      </c>
      <c r="D23" t="inlineStr">
        <is>
          <t>Str %</t>
        </is>
      </c>
      <c r="E23" t="n">
        <v>3</v>
      </c>
      <c r="F23" t="n">
        <v>4.5</v>
      </c>
      <c r="G23" t="b">
        <v>0</v>
      </c>
      <c r="H23" t="inlineStr">
        <is>
          <t>0</t>
        </is>
      </c>
      <c r="J23" t="inlineStr">
        <is>
          <t>Max Damage Multiplier %</t>
        </is>
      </c>
      <c r="K23">
        <f>Sensitivity!H14</f>
        <v/>
      </c>
    </row>
    <row r="24">
      <c r="A24" t="inlineStr">
        <is>
          <t>ALL</t>
        </is>
      </c>
      <c r="B24" t="inlineStr">
        <is>
          <t>normal</t>
        </is>
      </c>
      <c r="C24" t="n">
        <v>2</v>
      </c>
      <c r="D24" t="inlineStr">
        <is>
          <t>Dex %</t>
        </is>
      </c>
      <c r="E24" t="n">
        <v>3</v>
      </c>
      <c r="F24" t="n">
        <v>4.5</v>
      </c>
      <c r="G24" t="b">
        <v>0</v>
      </c>
      <c r="H24">
        <f>Sensitivity!H6</f>
        <v/>
      </c>
      <c r="J24" t="inlineStr">
        <is>
          <t>Max HP %</t>
        </is>
      </c>
      <c r="K24" t="inlineStr">
        <is>
          <t>0</t>
        </is>
      </c>
    </row>
    <row r="25">
      <c r="A25" t="inlineStr">
        <is>
          <t>ALL</t>
        </is>
      </c>
      <c r="B25" t="inlineStr">
        <is>
          <t>normal</t>
        </is>
      </c>
      <c r="C25" t="n">
        <v>2</v>
      </c>
      <c r="D25" t="inlineStr">
        <is>
          <t>Int %</t>
        </is>
      </c>
      <c r="E25" t="n">
        <v>3</v>
      </c>
      <c r="F25" t="n">
        <v>4.5</v>
      </c>
      <c r="G25" t="b">
        <v>0</v>
      </c>
      <c r="H25" t="inlineStr">
        <is>
          <t>0</t>
        </is>
      </c>
      <c r="J25" t="inlineStr">
        <is>
          <t>Max MP %</t>
        </is>
      </c>
      <c r="K25" t="inlineStr">
        <is>
          <t>0</t>
        </is>
      </c>
    </row>
    <row r="26">
      <c r="A26" t="inlineStr">
        <is>
          <t>ALL</t>
        </is>
      </c>
      <c r="B26" t="inlineStr">
        <is>
          <t>normal</t>
        </is>
      </c>
      <c r="C26" t="n">
        <v>2</v>
      </c>
      <c r="D26" t="inlineStr">
        <is>
          <t>Luk %</t>
        </is>
      </c>
      <c r="E26" t="n">
        <v>3</v>
      </c>
      <c r="F26" t="n">
        <v>4.5</v>
      </c>
      <c r="G26" t="b">
        <v>0</v>
      </c>
      <c r="H26" t="inlineStr">
        <is>
          <t>0</t>
        </is>
      </c>
      <c r="J26" t="inlineStr">
        <is>
          <t>Min Damage Multiplier %</t>
        </is>
      </c>
      <c r="K26">
        <f>Sensitivity!H13</f>
        <v/>
      </c>
    </row>
    <row r="27">
      <c r="A27" t="inlineStr">
        <is>
          <t>ALL</t>
        </is>
      </c>
      <c r="B27" t="inlineStr">
        <is>
          <t>normal</t>
        </is>
      </c>
      <c r="C27" t="n">
        <v>2</v>
      </c>
      <c r="D27" t="inlineStr">
        <is>
          <t>Defense %</t>
        </is>
      </c>
      <c r="E27" t="n">
        <v>3</v>
      </c>
      <c r="F27" t="n">
        <v>9</v>
      </c>
      <c r="G27" t="b">
        <v>0</v>
      </c>
      <c r="H27" t="inlineStr">
        <is>
          <t>0</t>
        </is>
      </c>
      <c r="J27" t="inlineStr">
        <is>
          <t>Skill Cooldown Decrease (seconds)</t>
        </is>
      </c>
      <c r="K27">
        <f>Sensitivity!H28</f>
        <v/>
      </c>
    </row>
    <row r="28">
      <c r="A28" t="inlineStr">
        <is>
          <t>ALL</t>
        </is>
      </c>
      <c r="B28" t="inlineStr">
        <is>
          <t>normal</t>
        </is>
      </c>
      <c r="C28" t="n">
        <v>2</v>
      </c>
      <c r="D28" t="inlineStr">
        <is>
          <t>Max HP %</t>
        </is>
      </c>
      <c r="E28" t="n">
        <v>6</v>
      </c>
      <c r="F28" t="n">
        <v>9</v>
      </c>
      <c r="G28" t="b">
        <v>0</v>
      </c>
      <c r="H28" t="inlineStr">
        <is>
          <t>0</t>
        </is>
      </c>
      <c r="J28" t="inlineStr">
        <is>
          <t>Skill Damage %</t>
        </is>
      </c>
      <c r="K28">
        <f>Sensitivity!H20</f>
        <v/>
      </c>
    </row>
    <row r="29">
      <c r="A29" t="inlineStr">
        <is>
          <t>ALL</t>
        </is>
      </c>
      <c r="B29" t="inlineStr">
        <is>
          <t>normal</t>
        </is>
      </c>
      <c r="C29" t="n">
        <v>2</v>
      </c>
      <c r="D29" t="inlineStr">
        <is>
          <t>Max MP %</t>
        </is>
      </c>
      <c r="E29" t="n">
        <v>3</v>
      </c>
      <c r="F29" t="n">
        <v>9</v>
      </c>
      <c r="G29" t="b">
        <v>0</v>
      </c>
      <c r="H29" t="inlineStr">
        <is>
          <t>0</t>
        </is>
      </c>
      <c r="J29" t="inlineStr">
        <is>
          <t>Str</t>
        </is>
      </c>
      <c r="K29" t="inlineStr">
        <is>
          <t>0</t>
        </is>
      </c>
    </row>
    <row r="30">
      <c r="A30" t="inlineStr">
        <is>
          <t>ALL</t>
        </is>
      </c>
      <c r="B30" t="inlineStr">
        <is>
          <t>normal</t>
        </is>
      </c>
      <c r="C30" t="n">
        <v>2</v>
      </c>
      <c r="D30" t="inlineStr">
        <is>
          <t>Str</t>
        </is>
      </c>
      <c r="E30" t="n">
        <v>50</v>
      </c>
      <c r="F30" t="n">
        <v>9.5</v>
      </c>
      <c r="G30" t="b">
        <v>0</v>
      </c>
      <c r="H30" t="inlineStr">
        <is>
          <t>0</t>
        </is>
      </c>
      <c r="J30" t="inlineStr">
        <is>
          <t>Str %</t>
        </is>
      </c>
      <c r="K30" t="inlineStr">
        <is>
          <t>0</t>
        </is>
      </c>
    </row>
    <row r="31">
      <c r="A31" t="inlineStr">
        <is>
          <t>ALL</t>
        </is>
      </c>
      <c r="B31" t="inlineStr">
        <is>
          <t>normal</t>
        </is>
      </c>
      <c r="C31" t="n">
        <v>2</v>
      </c>
      <c r="D31" t="inlineStr">
        <is>
          <t>Dex</t>
        </is>
      </c>
      <c r="E31" t="n">
        <v>50</v>
      </c>
      <c r="F31" t="n">
        <v>9.5</v>
      </c>
      <c r="G31" t="b">
        <v>0</v>
      </c>
      <c r="H31">
        <f>Sensitivity!H5</f>
        <v/>
      </c>
    </row>
    <row r="32">
      <c r="A32" t="inlineStr">
        <is>
          <t>ALL</t>
        </is>
      </c>
      <c r="B32" t="inlineStr">
        <is>
          <t>normal</t>
        </is>
      </c>
      <c r="C32" t="n">
        <v>2</v>
      </c>
      <c r="D32" t="inlineStr">
        <is>
          <t>Int</t>
        </is>
      </c>
      <c r="E32" t="n">
        <v>50</v>
      </c>
      <c r="F32" t="n">
        <v>9.5</v>
      </c>
      <c r="G32" t="b">
        <v>0</v>
      </c>
      <c r="H32" t="inlineStr">
        <is>
          <t>0</t>
        </is>
      </c>
    </row>
    <row r="33">
      <c r="A33" t="inlineStr">
        <is>
          <t>ALL</t>
        </is>
      </c>
      <c r="B33" t="inlineStr">
        <is>
          <t>normal</t>
        </is>
      </c>
      <c r="C33" t="n">
        <v>2</v>
      </c>
      <c r="D33" t="inlineStr">
        <is>
          <t>Luk</t>
        </is>
      </c>
      <c r="E33" t="n">
        <v>50</v>
      </c>
      <c r="F33" t="n">
        <v>9.5</v>
      </c>
      <c r="G33" t="b">
        <v>0</v>
      </c>
      <c r="H33" t="inlineStr">
        <is>
          <t>0</t>
        </is>
      </c>
    </row>
    <row r="34">
      <c r="A34" t="inlineStr">
        <is>
          <t>ALL</t>
        </is>
      </c>
      <c r="B34" t="inlineStr">
        <is>
          <t>normal</t>
        </is>
      </c>
      <c r="C34" t="n">
        <v>3</v>
      </c>
      <c r="D34" t="inlineStr">
        <is>
          <t>Critical Rate %</t>
        </is>
      </c>
      <c r="E34" t="n">
        <v>3</v>
      </c>
      <c r="F34" t="n">
        <v>2.5</v>
      </c>
      <c r="G34" t="b">
        <v>0</v>
      </c>
      <c r="H34">
        <f>IF(AND(Inputs!$B$9+Summary!$B$14+Artifacts!$B$32&gt;=100,NOT(ArtifactsInput!$M$42),NOT(ArtifactsInput!$M$24)),Sensitivity!H16,Sensitivity!H15)</f>
        <v/>
      </c>
    </row>
    <row r="35">
      <c r="A35" t="inlineStr">
        <is>
          <t>ALL</t>
        </is>
      </c>
      <c r="B35" t="inlineStr">
        <is>
          <t>normal</t>
        </is>
      </c>
      <c r="C35" t="n">
        <v>3</v>
      </c>
      <c r="D35" t="inlineStr">
        <is>
          <t>Attack Speed %</t>
        </is>
      </c>
      <c r="E35" t="n">
        <v>3</v>
      </c>
      <c r="F35" t="n">
        <v>2.5</v>
      </c>
      <c r="G35" t="b">
        <v>0</v>
      </c>
      <c r="H35">
        <f>Sensitivity!H17</f>
        <v/>
      </c>
    </row>
    <row r="36">
      <c r="A36" t="inlineStr">
        <is>
          <t>ALL</t>
        </is>
      </c>
      <c r="B36" t="inlineStr">
        <is>
          <t>normal</t>
        </is>
      </c>
      <c r="C36" t="n">
        <v>3</v>
      </c>
      <c r="D36" t="inlineStr">
        <is>
          <t>Damage %</t>
        </is>
      </c>
      <c r="E36" t="n">
        <v>5</v>
      </c>
      <c r="F36" t="n">
        <v>4</v>
      </c>
      <c r="G36" t="b">
        <v>0</v>
      </c>
      <c r="H36">
        <f>Sensitivity!H8</f>
        <v/>
      </c>
    </row>
    <row r="37">
      <c r="A37" t="inlineStr">
        <is>
          <t>ALL</t>
        </is>
      </c>
      <c r="B37" t="inlineStr">
        <is>
          <t>normal</t>
        </is>
      </c>
      <c r="C37" t="n">
        <v>3</v>
      </c>
      <c r="D37" t="inlineStr">
        <is>
          <t>Min Damage Multiplier %</t>
        </is>
      </c>
      <c r="E37" t="n">
        <v>3</v>
      </c>
      <c r="F37" t="n">
        <v>4</v>
      </c>
      <c r="G37" t="b">
        <v>0</v>
      </c>
      <c r="H37">
        <f>Sensitivity!H13</f>
        <v/>
      </c>
    </row>
    <row r="38">
      <c r="A38" t="inlineStr">
        <is>
          <t>ALL</t>
        </is>
      </c>
      <c r="B38" t="inlineStr">
        <is>
          <t>normal</t>
        </is>
      </c>
      <c r="C38" t="n">
        <v>3</v>
      </c>
      <c r="D38" t="inlineStr">
        <is>
          <t>Max Damage Multiplier %</t>
        </is>
      </c>
      <c r="E38" t="n">
        <v>3</v>
      </c>
      <c r="F38" t="n">
        <v>4</v>
      </c>
      <c r="G38" t="b">
        <v>0</v>
      </c>
      <c r="H38">
        <f>Sensitivity!H14</f>
        <v/>
      </c>
    </row>
    <row r="39">
      <c r="A39" t="inlineStr">
        <is>
          <t>ALL</t>
        </is>
      </c>
      <c r="B39" t="inlineStr">
        <is>
          <t>normal</t>
        </is>
      </c>
      <c r="C39" t="n">
        <v>3</v>
      </c>
      <c r="D39" t="inlineStr">
        <is>
          <t>Str %</t>
        </is>
      </c>
      <c r="E39" t="n">
        <v>3</v>
      </c>
      <c r="F39" t="n">
        <v>4.5</v>
      </c>
      <c r="G39" t="b">
        <v>0</v>
      </c>
      <c r="H39" t="inlineStr">
        <is>
          <t>0</t>
        </is>
      </c>
    </row>
    <row r="40">
      <c r="A40" t="inlineStr">
        <is>
          <t>ALL</t>
        </is>
      </c>
      <c r="B40" t="inlineStr">
        <is>
          <t>normal</t>
        </is>
      </c>
      <c r="C40" t="n">
        <v>3</v>
      </c>
      <c r="D40" t="inlineStr">
        <is>
          <t>Dex %</t>
        </is>
      </c>
      <c r="E40" t="n">
        <v>3</v>
      </c>
      <c r="F40" t="n">
        <v>4.5</v>
      </c>
      <c r="G40" t="b">
        <v>0</v>
      </c>
      <c r="H40">
        <f>Sensitivity!H6</f>
        <v/>
      </c>
    </row>
    <row r="41">
      <c r="A41" t="inlineStr">
        <is>
          <t>ALL</t>
        </is>
      </c>
      <c r="B41" t="inlineStr">
        <is>
          <t>normal</t>
        </is>
      </c>
      <c r="C41" t="n">
        <v>3</v>
      </c>
      <c r="D41" t="inlineStr">
        <is>
          <t>Int %</t>
        </is>
      </c>
      <c r="E41" t="n">
        <v>3</v>
      </c>
      <c r="F41" t="n">
        <v>4.5</v>
      </c>
      <c r="G41" t="b">
        <v>0</v>
      </c>
      <c r="H41" t="inlineStr">
        <is>
          <t>0</t>
        </is>
      </c>
    </row>
    <row r="42">
      <c r="A42" t="inlineStr">
        <is>
          <t>ALL</t>
        </is>
      </c>
      <c r="B42" t="inlineStr">
        <is>
          <t>normal</t>
        </is>
      </c>
      <c r="C42" t="n">
        <v>3</v>
      </c>
      <c r="D42" t="inlineStr">
        <is>
          <t>Luk %</t>
        </is>
      </c>
      <c r="E42" t="n">
        <v>3</v>
      </c>
      <c r="F42" t="n">
        <v>4.5</v>
      </c>
      <c r="G42" t="b">
        <v>0</v>
      </c>
      <c r="H42" t="inlineStr">
        <is>
          <t>0</t>
        </is>
      </c>
    </row>
    <row r="43">
      <c r="A43" t="inlineStr">
        <is>
          <t>ALL</t>
        </is>
      </c>
      <c r="B43" t="inlineStr">
        <is>
          <t>normal</t>
        </is>
      </c>
      <c r="C43" t="n">
        <v>3</v>
      </c>
      <c r="D43" t="inlineStr">
        <is>
          <t>Defense %</t>
        </is>
      </c>
      <c r="E43" t="n">
        <v>3</v>
      </c>
      <c r="F43" t="n">
        <v>9</v>
      </c>
      <c r="G43" t="b">
        <v>0</v>
      </c>
      <c r="H43" t="inlineStr">
        <is>
          <t>0</t>
        </is>
      </c>
    </row>
    <row r="44">
      <c r="A44" t="inlineStr">
        <is>
          <t>ALL</t>
        </is>
      </c>
      <c r="B44" t="inlineStr">
        <is>
          <t>normal</t>
        </is>
      </c>
      <c r="C44" t="n">
        <v>3</v>
      </c>
      <c r="D44" t="inlineStr">
        <is>
          <t>Max HP %</t>
        </is>
      </c>
      <c r="E44" t="n">
        <v>6</v>
      </c>
      <c r="F44" t="n">
        <v>9</v>
      </c>
      <c r="G44" t="b">
        <v>0</v>
      </c>
      <c r="H44" t="inlineStr">
        <is>
          <t>0</t>
        </is>
      </c>
    </row>
    <row r="45">
      <c r="A45" t="inlineStr">
        <is>
          <t>ALL</t>
        </is>
      </c>
      <c r="B45" t="inlineStr">
        <is>
          <t>normal</t>
        </is>
      </c>
      <c r="C45" t="n">
        <v>3</v>
      </c>
      <c r="D45" t="inlineStr">
        <is>
          <t>Max MP %</t>
        </is>
      </c>
      <c r="E45" t="n">
        <v>3</v>
      </c>
      <c r="F45" t="n">
        <v>9</v>
      </c>
      <c r="G45" t="b">
        <v>0</v>
      </c>
      <c r="H45" t="inlineStr">
        <is>
          <t>0</t>
        </is>
      </c>
    </row>
    <row r="46">
      <c r="A46" t="inlineStr">
        <is>
          <t>ALL</t>
        </is>
      </c>
      <c r="B46" t="inlineStr">
        <is>
          <t>normal</t>
        </is>
      </c>
      <c r="C46" t="n">
        <v>3</v>
      </c>
      <c r="D46" t="inlineStr">
        <is>
          <t>Str</t>
        </is>
      </c>
      <c r="E46" t="n">
        <v>50</v>
      </c>
      <c r="F46" t="n">
        <v>9.5</v>
      </c>
      <c r="G46" t="b">
        <v>0</v>
      </c>
      <c r="H46" t="inlineStr">
        <is>
          <t>0</t>
        </is>
      </c>
    </row>
    <row r="47">
      <c r="A47" t="inlineStr">
        <is>
          <t>ALL</t>
        </is>
      </c>
      <c r="B47" t="inlineStr">
        <is>
          <t>normal</t>
        </is>
      </c>
      <c r="C47" t="n">
        <v>3</v>
      </c>
      <c r="D47" t="inlineStr">
        <is>
          <t>Dex</t>
        </is>
      </c>
      <c r="E47" t="n">
        <v>50</v>
      </c>
      <c r="F47" t="n">
        <v>9.5</v>
      </c>
      <c r="G47" t="b">
        <v>0</v>
      </c>
      <c r="H47">
        <f>Sensitivity!H5</f>
        <v/>
      </c>
    </row>
    <row r="48">
      <c r="A48" t="inlineStr">
        <is>
          <t>ALL</t>
        </is>
      </c>
      <c r="B48" t="inlineStr">
        <is>
          <t>normal</t>
        </is>
      </c>
      <c r="C48" t="n">
        <v>3</v>
      </c>
      <c r="D48" t="inlineStr">
        <is>
          <t>Int</t>
        </is>
      </c>
      <c r="E48" t="n">
        <v>50</v>
      </c>
      <c r="F48" t="n">
        <v>9.5</v>
      </c>
      <c r="G48" t="b">
        <v>0</v>
      </c>
      <c r="H48" t="inlineStr">
        <is>
          <t>0</t>
        </is>
      </c>
    </row>
    <row r="49">
      <c r="A49" t="inlineStr">
        <is>
          <t>ALL</t>
        </is>
      </c>
      <c r="B49" t="inlineStr">
        <is>
          <t>normal</t>
        </is>
      </c>
      <c r="C49" t="n">
        <v>3</v>
      </c>
      <c r="D49" t="inlineStr">
        <is>
          <t>Luk</t>
        </is>
      </c>
      <c r="E49" t="n">
        <v>50</v>
      </c>
      <c r="F49" t="n">
        <v>9.5</v>
      </c>
      <c r="G49" t="b">
        <v>0</v>
      </c>
      <c r="H49" t="inlineStr">
        <is>
          <t>0</t>
        </is>
      </c>
    </row>
    <row r="50">
      <c r="A50" t="inlineStr">
        <is>
          <t>ALL</t>
        </is>
      </c>
      <c r="B50" t="inlineStr">
        <is>
          <t>rare</t>
        </is>
      </c>
      <c r="C50" t="n">
        <v>1</v>
      </c>
      <c r="D50" t="inlineStr">
        <is>
          <t>Critical Rate %</t>
        </is>
      </c>
      <c r="E50" t="n">
        <v>4.5</v>
      </c>
      <c r="F50" t="n">
        <v>2.5</v>
      </c>
      <c r="G50" t="b">
        <v>1</v>
      </c>
      <c r="H50">
        <f>IF(AND(Inputs!$B$9+Summary!$B$14+Artifacts!$B$32&gt;=100,NOT(ArtifactsInput!$M$42),NOT(ArtifactsInput!$M$24)),Sensitivity!H16,Sensitivity!H15)</f>
        <v/>
      </c>
    </row>
    <row r="51">
      <c r="A51" t="inlineStr">
        <is>
          <t>ALL</t>
        </is>
      </c>
      <c r="B51" t="inlineStr">
        <is>
          <t>rare</t>
        </is>
      </c>
      <c r="C51" t="n">
        <v>1</v>
      </c>
      <c r="D51" t="inlineStr">
        <is>
          <t>Attack Speed %</t>
        </is>
      </c>
      <c r="E51" t="n">
        <v>3.5</v>
      </c>
      <c r="F51" t="n">
        <v>2.5</v>
      </c>
      <c r="G51" t="b">
        <v>1</v>
      </c>
      <c r="H51">
        <f>Sensitivity!H17</f>
        <v/>
      </c>
    </row>
    <row r="52">
      <c r="A52" t="inlineStr">
        <is>
          <t>ALL</t>
        </is>
      </c>
      <c r="B52" t="inlineStr">
        <is>
          <t>rare</t>
        </is>
      </c>
      <c r="C52" t="n">
        <v>1</v>
      </c>
      <c r="D52" t="inlineStr">
        <is>
          <t>Damage %</t>
        </is>
      </c>
      <c r="E52" t="n">
        <v>8</v>
      </c>
      <c r="F52" t="n">
        <v>4</v>
      </c>
      <c r="G52" t="b">
        <v>1</v>
      </c>
      <c r="H52">
        <f>Sensitivity!H8</f>
        <v/>
      </c>
    </row>
    <row r="53">
      <c r="A53" t="inlineStr">
        <is>
          <t>ALL</t>
        </is>
      </c>
      <c r="B53" t="inlineStr">
        <is>
          <t>rare</t>
        </is>
      </c>
      <c r="C53" t="n">
        <v>1</v>
      </c>
      <c r="D53" t="inlineStr">
        <is>
          <t>Min Damage Multiplier %</t>
        </is>
      </c>
      <c r="E53" t="n">
        <v>6</v>
      </c>
      <c r="F53" t="n">
        <v>4</v>
      </c>
      <c r="G53" t="b">
        <v>1</v>
      </c>
      <c r="H53">
        <f>Sensitivity!H13</f>
        <v/>
      </c>
    </row>
    <row r="54">
      <c r="A54" t="inlineStr">
        <is>
          <t>ALL</t>
        </is>
      </c>
      <c r="B54" t="inlineStr">
        <is>
          <t>rare</t>
        </is>
      </c>
      <c r="C54" t="n">
        <v>1</v>
      </c>
      <c r="D54" t="inlineStr">
        <is>
          <t>Max Damage Multiplier %</t>
        </is>
      </c>
      <c r="E54" t="n">
        <v>6</v>
      </c>
      <c r="F54" t="n">
        <v>4</v>
      </c>
      <c r="G54" t="b">
        <v>1</v>
      </c>
      <c r="H54">
        <f>Sensitivity!H14</f>
        <v/>
      </c>
    </row>
    <row r="55">
      <c r="A55" t="inlineStr">
        <is>
          <t>ALL</t>
        </is>
      </c>
      <c r="B55" t="inlineStr">
        <is>
          <t>rare</t>
        </is>
      </c>
      <c r="C55" t="n">
        <v>1</v>
      </c>
      <c r="D55" t="inlineStr">
        <is>
          <t>Str %</t>
        </is>
      </c>
      <c r="E55" t="n">
        <v>4.5</v>
      </c>
      <c r="F55" t="n">
        <v>4.5</v>
      </c>
      <c r="G55" t="b">
        <v>1</v>
      </c>
      <c r="H55" t="inlineStr">
        <is>
          <t>0</t>
        </is>
      </c>
    </row>
    <row r="56">
      <c r="A56" t="inlineStr">
        <is>
          <t>ALL</t>
        </is>
      </c>
      <c r="B56" t="inlineStr">
        <is>
          <t>rare</t>
        </is>
      </c>
      <c r="C56" t="n">
        <v>1</v>
      </c>
      <c r="D56" t="inlineStr">
        <is>
          <t>Dex %</t>
        </is>
      </c>
      <c r="E56" t="n">
        <v>4.5</v>
      </c>
      <c r="F56" t="n">
        <v>4.5</v>
      </c>
      <c r="G56" t="b">
        <v>1</v>
      </c>
      <c r="H56">
        <f>Sensitivity!H6</f>
        <v/>
      </c>
    </row>
    <row r="57">
      <c r="A57" t="inlineStr">
        <is>
          <t>ALL</t>
        </is>
      </c>
      <c r="B57" t="inlineStr">
        <is>
          <t>rare</t>
        </is>
      </c>
      <c r="C57" t="n">
        <v>1</v>
      </c>
      <c r="D57" t="inlineStr">
        <is>
          <t>Int %</t>
        </is>
      </c>
      <c r="E57" t="n">
        <v>4.5</v>
      </c>
      <c r="F57" t="n">
        <v>4.5</v>
      </c>
      <c r="G57" t="b">
        <v>1</v>
      </c>
      <c r="H57" t="inlineStr">
        <is>
          <t>0</t>
        </is>
      </c>
    </row>
    <row r="58">
      <c r="A58" t="inlineStr">
        <is>
          <t>ALL</t>
        </is>
      </c>
      <c r="B58" t="inlineStr">
        <is>
          <t>rare</t>
        </is>
      </c>
      <c r="C58" t="n">
        <v>1</v>
      </c>
      <c r="D58" t="inlineStr">
        <is>
          <t>Luk %</t>
        </is>
      </c>
      <c r="E58" t="n">
        <v>4.5</v>
      </c>
      <c r="F58" t="n">
        <v>4.5</v>
      </c>
      <c r="G58" t="b">
        <v>1</v>
      </c>
      <c r="H58" t="inlineStr">
        <is>
          <t>0</t>
        </is>
      </c>
    </row>
    <row r="59">
      <c r="A59" t="inlineStr">
        <is>
          <t>ALL</t>
        </is>
      </c>
      <c r="B59" t="inlineStr">
        <is>
          <t>rare</t>
        </is>
      </c>
      <c r="C59" t="n">
        <v>1</v>
      </c>
      <c r="D59" t="inlineStr">
        <is>
          <t>Defense %</t>
        </is>
      </c>
      <c r="E59" t="n">
        <v>4.5</v>
      </c>
      <c r="F59" t="n">
        <v>9</v>
      </c>
      <c r="G59" t="b">
        <v>1</v>
      </c>
      <c r="H59" t="inlineStr">
        <is>
          <t>0</t>
        </is>
      </c>
    </row>
    <row r="60">
      <c r="A60" t="inlineStr">
        <is>
          <t>ALL</t>
        </is>
      </c>
      <c r="B60" t="inlineStr">
        <is>
          <t>rare</t>
        </is>
      </c>
      <c r="C60" t="n">
        <v>1</v>
      </c>
      <c r="D60" t="inlineStr">
        <is>
          <t>Max HP %</t>
        </is>
      </c>
      <c r="E60" t="n">
        <v>9</v>
      </c>
      <c r="F60" t="n">
        <v>9</v>
      </c>
      <c r="G60" t="b">
        <v>1</v>
      </c>
      <c r="H60" t="inlineStr">
        <is>
          <t>0</t>
        </is>
      </c>
    </row>
    <row r="61">
      <c r="A61" t="inlineStr">
        <is>
          <t>ALL</t>
        </is>
      </c>
      <c r="B61" t="inlineStr">
        <is>
          <t>rare</t>
        </is>
      </c>
      <c r="C61" t="n">
        <v>1</v>
      </c>
      <c r="D61" t="inlineStr">
        <is>
          <t>Max MP %</t>
        </is>
      </c>
      <c r="E61" t="n">
        <v>4.5</v>
      </c>
      <c r="F61" t="n">
        <v>9</v>
      </c>
      <c r="G61" t="b">
        <v>1</v>
      </c>
      <c r="H61" t="inlineStr">
        <is>
          <t>0</t>
        </is>
      </c>
    </row>
    <row r="62">
      <c r="A62" t="inlineStr">
        <is>
          <t>ALL</t>
        </is>
      </c>
      <c r="B62" t="inlineStr">
        <is>
          <t>rare</t>
        </is>
      </c>
      <c r="C62" t="n">
        <v>1</v>
      </c>
      <c r="D62" t="inlineStr">
        <is>
          <t>Str</t>
        </is>
      </c>
      <c r="E62" t="n">
        <v>100</v>
      </c>
      <c r="F62" t="n">
        <v>9.5</v>
      </c>
      <c r="G62" t="b">
        <v>1</v>
      </c>
      <c r="H62" t="inlineStr">
        <is>
          <t>0</t>
        </is>
      </c>
    </row>
    <row r="63">
      <c r="A63" t="inlineStr">
        <is>
          <t>ALL</t>
        </is>
      </c>
      <c r="B63" t="inlineStr">
        <is>
          <t>rare</t>
        </is>
      </c>
      <c r="C63" t="n">
        <v>1</v>
      </c>
      <c r="D63" t="inlineStr">
        <is>
          <t>Dex</t>
        </is>
      </c>
      <c r="E63" t="n">
        <v>100</v>
      </c>
      <c r="F63" t="n">
        <v>9.5</v>
      </c>
      <c r="G63" t="b">
        <v>1</v>
      </c>
      <c r="H63">
        <f>Sensitivity!H5</f>
        <v/>
      </c>
    </row>
    <row r="64">
      <c r="A64" t="inlineStr">
        <is>
          <t>ALL</t>
        </is>
      </c>
      <c r="B64" t="inlineStr">
        <is>
          <t>rare</t>
        </is>
      </c>
      <c r="C64" t="n">
        <v>1</v>
      </c>
      <c r="D64" t="inlineStr">
        <is>
          <t>Int</t>
        </is>
      </c>
      <c r="E64" t="n">
        <v>100</v>
      </c>
      <c r="F64" t="n">
        <v>9.5</v>
      </c>
      <c r="G64" t="b">
        <v>1</v>
      </c>
      <c r="H64" t="inlineStr">
        <is>
          <t>0</t>
        </is>
      </c>
    </row>
    <row r="65">
      <c r="A65" t="inlineStr">
        <is>
          <t>ALL</t>
        </is>
      </c>
      <c r="B65" t="inlineStr">
        <is>
          <t>rare</t>
        </is>
      </c>
      <c r="C65" t="n">
        <v>1</v>
      </c>
      <c r="D65" t="inlineStr">
        <is>
          <t>Luk</t>
        </is>
      </c>
      <c r="E65" t="n">
        <v>100</v>
      </c>
      <c r="F65" t="n">
        <v>9.5</v>
      </c>
      <c r="G65" t="b">
        <v>1</v>
      </c>
      <c r="H65" t="inlineStr">
        <is>
          <t>0</t>
        </is>
      </c>
    </row>
    <row r="66">
      <c r="A66" t="inlineStr">
        <is>
          <t>ALL</t>
        </is>
      </c>
      <c r="B66" t="inlineStr">
        <is>
          <t>rare</t>
        </is>
      </c>
      <c r="C66" t="n">
        <v>2</v>
      </c>
      <c r="D66" t="inlineStr">
        <is>
          <t>Critical Rate %</t>
        </is>
      </c>
      <c r="E66" t="n">
        <v>3</v>
      </c>
      <c r="F66" t="n">
        <v>1.9</v>
      </c>
      <c r="G66" t="b">
        <v>0</v>
      </c>
      <c r="H66">
        <f>IF(AND(Inputs!$B$9+Summary!$B$14+Artifacts!$B$32&gt;=100,NOT(ArtifactsInput!$M$42),NOT(ArtifactsInput!$M$24)),Sensitivity!H16,Sensitivity!H15)</f>
        <v/>
      </c>
    </row>
    <row r="67">
      <c r="A67" t="inlineStr">
        <is>
          <t>ALL</t>
        </is>
      </c>
      <c r="B67" t="inlineStr">
        <is>
          <t>rare</t>
        </is>
      </c>
      <c r="C67" t="n">
        <v>2</v>
      </c>
      <c r="D67" t="inlineStr">
        <is>
          <t>Critical Rate %</t>
        </is>
      </c>
      <c r="E67" t="n">
        <v>4.5</v>
      </c>
      <c r="F67" t="n">
        <v>0.6</v>
      </c>
      <c r="G67" t="b">
        <v>1</v>
      </c>
      <c r="H67">
        <f>IF(AND(Inputs!$B$9+Summary!$B$14+Artifacts!$B$32&gt;=100,NOT(ArtifactsInput!$M$42),NOT(ArtifactsInput!$M$24)),Sensitivity!H16,Sensitivity!H15)</f>
        <v/>
      </c>
    </row>
    <row r="68">
      <c r="A68" t="inlineStr">
        <is>
          <t>ALL</t>
        </is>
      </c>
      <c r="B68" t="inlineStr">
        <is>
          <t>rare</t>
        </is>
      </c>
      <c r="C68" t="n">
        <v>2</v>
      </c>
      <c r="D68" t="inlineStr">
        <is>
          <t>Attack Speed %</t>
        </is>
      </c>
      <c r="E68" t="n">
        <v>3</v>
      </c>
      <c r="F68" t="n">
        <v>1.9</v>
      </c>
      <c r="G68" t="b">
        <v>0</v>
      </c>
      <c r="H68">
        <f>Sensitivity!H17</f>
        <v/>
      </c>
    </row>
    <row r="69">
      <c r="A69" t="inlineStr">
        <is>
          <t>ALL</t>
        </is>
      </c>
      <c r="B69" t="inlineStr">
        <is>
          <t>rare</t>
        </is>
      </c>
      <c r="C69" t="n">
        <v>2</v>
      </c>
      <c r="D69" t="inlineStr">
        <is>
          <t>Attack Speed %</t>
        </is>
      </c>
      <c r="E69" t="n">
        <v>3.5</v>
      </c>
      <c r="F69" t="n">
        <v>0.6</v>
      </c>
      <c r="G69" t="b">
        <v>1</v>
      </c>
      <c r="H69">
        <f>Sensitivity!H17</f>
        <v/>
      </c>
    </row>
    <row r="70">
      <c r="A70" t="inlineStr">
        <is>
          <t>ALL</t>
        </is>
      </c>
      <c r="B70" t="inlineStr">
        <is>
          <t>rare</t>
        </is>
      </c>
      <c r="C70" t="n">
        <v>2</v>
      </c>
      <c r="D70" t="inlineStr">
        <is>
          <t>Damage %</t>
        </is>
      </c>
      <c r="E70" t="n">
        <v>5</v>
      </c>
      <c r="F70" t="n">
        <v>3.04</v>
      </c>
      <c r="G70" t="b">
        <v>0</v>
      </c>
      <c r="H70">
        <f>Sensitivity!H8</f>
        <v/>
      </c>
    </row>
    <row r="71">
      <c r="A71" t="inlineStr">
        <is>
          <t>ALL</t>
        </is>
      </c>
      <c r="B71" t="inlineStr">
        <is>
          <t>rare</t>
        </is>
      </c>
      <c r="C71" t="n">
        <v>2</v>
      </c>
      <c r="D71" t="inlineStr">
        <is>
          <t>Damage %</t>
        </is>
      </c>
      <c r="E71" t="n">
        <v>8</v>
      </c>
      <c r="F71" t="n">
        <v>0.96</v>
      </c>
      <c r="G71" t="b">
        <v>1</v>
      </c>
      <c r="H71">
        <f>Sensitivity!H8</f>
        <v/>
      </c>
    </row>
    <row r="72">
      <c r="A72" t="inlineStr">
        <is>
          <t>ALL</t>
        </is>
      </c>
      <c r="B72" t="inlineStr">
        <is>
          <t>rare</t>
        </is>
      </c>
      <c r="C72" t="n">
        <v>2</v>
      </c>
      <c r="D72" t="inlineStr">
        <is>
          <t>Min Damage Multiplier %</t>
        </is>
      </c>
      <c r="E72" t="n">
        <v>3</v>
      </c>
      <c r="F72" t="n">
        <v>3.04</v>
      </c>
      <c r="G72" t="b">
        <v>0</v>
      </c>
      <c r="H72">
        <f>Sensitivity!H13</f>
        <v/>
      </c>
    </row>
    <row r="73">
      <c r="A73" t="inlineStr">
        <is>
          <t>ALL</t>
        </is>
      </c>
      <c r="B73" t="inlineStr">
        <is>
          <t>rare</t>
        </is>
      </c>
      <c r="C73" t="n">
        <v>2</v>
      </c>
      <c r="D73" t="inlineStr">
        <is>
          <t>Min Damage Multiplier %</t>
        </is>
      </c>
      <c r="E73" t="n">
        <v>6</v>
      </c>
      <c r="F73" t="n">
        <v>0.96</v>
      </c>
      <c r="G73" t="b">
        <v>1</v>
      </c>
      <c r="H73">
        <f>Sensitivity!H13</f>
        <v/>
      </c>
    </row>
    <row r="74">
      <c r="A74" t="inlineStr">
        <is>
          <t>ALL</t>
        </is>
      </c>
      <c r="B74" t="inlineStr">
        <is>
          <t>rare</t>
        </is>
      </c>
      <c r="C74" t="n">
        <v>2</v>
      </c>
      <c r="D74" t="inlineStr">
        <is>
          <t>Max Damage Multiplier %</t>
        </is>
      </c>
      <c r="E74" t="n">
        <v>3</v>
      </c>
      <c r="F74" t="n">
        <v>3.04</v>
      </c>
      <c r="G74" t="b">
        <v>0</v>
      </c>
      <c r="H74">
        <f>Sensitivity!H14</f>
        <v/>
      </c>
    </row>
    <row r="75">
      <c r="A75" t="inlineStr">
        <is>
          <t>ALL</t>
        </is>
      </c>
      <c r="B75" t="inlineStr">
        <is>
          <t>rare</t>
        </is>
      </c>
      <c r="C75" t="n">
        <v>2</v>
      </c>
      <c r="D75" t="inlineStr">
        <is>
          <t>Max Damage Multiplier %</t>
        </is>
      </c>
      <c r="E75" t="n">
        <v>6</v>
      </c>
      <c r="F75" t="n">
        <v>0.96</v>
      </c>
      <c r="G75" t="b">
        <v>1</v>
      </c>
      <c r="H75">
        <f>Sensitivity!H14</f>
        <v/>
      </c>
    </row>
    <row r="76">
      <c r="A76" t="inlineStr">
        <is>
          <t>ALL</t>
        </is>
      </c>
      <c r="B76" t="inlineStr">
        <is>
          <t>rare</t>
        </is>
      </c>
      <c r="C76" t="n">
        <v>2</v>
      </c>
      <c r="D76" t="inlineStr">
        <is>
          <t>Str %</t>
        </is>
      </c>
      <c r="E76" t="n">
        <v>3</v>
      </c>
      <c r="F76" t="n">
        <v>3.42</v>
      </c>
      <c r="G76" t="b">
        <v>0</v>
      </c>
      <c r="H76" t="inlineStr">
        <is>
          <t>0</t>
        </is>
      </c>
    </row>
    <row r="77">
      <c r="A77" t="inlineStr">
        <is>
          <t>ALL</t>
        </is>
      </c>
      <c r="B77" t="inlineStr">
        <is>
          <t>rare</t>
        </is>
      </c>
      <c r="C77" t="n">
        <v>2</v>
      </c>
      <c r="D77" t="inlineStr">
        <is>
          <t>Str %</t>
        </is>
      </c>
      <c r="E77" t="n">
        <v>4.5</v>
      </c>
      <c r="F77" t="n">
        <v>1.08</v>
      </c>
      <c r="G77" t="b">
        <v>1</v>
      </c>
      <c r="H77" t="inlineStr">
        <is>
          <t>0</t>
        </is>
      </c>
    </row>
    <row r="78">
      <c r="A78" t="inlineStr">
        <is>
          <t>ALL</t>
        </is>
      </c>
      <c r="B78" t="inlineStr">
        <is>
          <t>rare</t>
        </is>
      </c>
      <c r="C78" t="n">
        <v>2</v>
      </c>
      <c r="D78" t="inlineStr">
        <is>
          <t>Dex %</t>
        </is>
      </c>
      <c r="E78" t="n">
        <v>3</v>
      </c>
      <c r="F78" t="n">
        <v>3.42</v>
      </c>
      <c r="G78" t="b">
        <v>0</v>
      </c>
      <c r="H78">
        <f>Sensitivity!H6</f>
        <v/>
      </c>
    </row>
    <row r="79">
      <c r="A79" t="inlineStr">
        <is>
          <t>ALL</t>
        </is>
      </c>
      <c r="B79" t="inlineStr">
        <is>
          <t>rare</t>
        </is>
      </c>
      <c r="C79" t="n">
        <v>2</v>
      </c>
      <c r="D79" t="inlineStr">
        <is>
          <t>Dex %</t>
        </is>
      </c>
      <c r="E79" t="n">
        <v>4.5</v>
      </c>
      <c r="F79" t="n">
        <v>1.08</v>
      </c>
      <c r="G79" t="b">
        <v>1</v>
      </c>
      <c r="H79">
        <f>Sensitivity!H6</f>
        <v/>
      </c>
    </row>
    <row r="80">
      <c r="A80" t="inlineStr">
        <is>
          <t>ALL</t>
        </is>
      </c>
      <c r="B80" t="inlineStr">
        <is>
          <t>rare</t>
        </is>
      </c>
      <c r="C80" t="n">
        <v>2</v>
      </c>
      <c r="D80" t="inlineStr">
        <is>
          <t>Int %</t>
        </is>
      </c>
      <c r="E80" t="n">
        <v>3</v>
      </c>
      <c r="F80" t="n">
        <v>3.42</v>
      </c>
      <c r="G80" t="b">
        <v>0</v>
      </c>
      <c r="H80" t="inlineStr">
        <is>
          <t>0</t>
        </is>
      </c>
    </row>
    <row r="81">
      <c r="A81" t="inlineStr">
        <is>
          <t>ALL</t>
        </is>
      </c>
      <c r="B81" t="inlineStr">
        <is>
          <t>rare</t>
        </is>
      </c>
      <c r="C81" t="n">
        <v>2</v>
      </c>
      <c r="D81" t="inlineStr">
        <is>
          <t>Int %</t>
        </is>
      </c>
      <c r="E81" t="n">
        <v>4.5</v>
      </c>
      <c r="F81" t="n">
        <v>1.08</v>
      </c>
      <c r="G81" t="b">
        <v>1</v>
      </c>
      <c r="H81" t="inlineStr">
        <is>
          <t>0</t>
        </is>
      </c>
    </row>
    <row r="82">
      <c r="A82" t="inlineStr">
        <is>
          <t>ALL</t>
        </is>
      </c>
      <c r="B82" t="inlineStr">
        <is>
          <t>rare</t>
        </is>
      </c>
      <c r="C82" t="n">
        <v>2</v>
      </c>
      <c r="D82" t="inlineStr">
        <is>
          <t>Luk %</t>
        </is>
      </c>
      <c r="E82" t="n">
        <v>3</v>
      </c>
      <c r="F82" t="n">
        <v>3.42</v>
      </c>
      <c r="G82" t="b">
        <v>0</v>
      </c>
      <c r="H82" t="inlineStr">
        <is>
          <t>0</t>
        </is>
      </c>
    </row>
    <row r="83">
      <c r="A83" t="inlineStr">
        <is>
          <t>ALL</t>
        </is>
      </c>
      <c r="B83" t="inlineStr">
        <is>
          <t>rare</t>
        </is>
      </c>
      <c r="C83" t="n">
        <v>2</v>
      </c>
      <c r="D83" t="inlineStr">
        <is>
          <t>Luk %</t>
        </is>
      </c>
      <c r="E83" t="n">
        <v>4.5</v>
      </c>
      <c r="F83" t="n">
        <v>1.08</v>
      </c>
      <c r="G83" t="b">
        <v>1</v>
      </c>
      <c r="H83" t="inlineStr">
        <is>
          <t>0</t>
        </is>
      </c>
    </row>
    <row r="84">
      <c r="A84" t="inlineStr">
        <is>
          <t>ALL</t>
        </is>
      </c>
      <c r="B84" t="inlineStr">
        <is>
          <t>rare</t>
        </is>
      </c>
      <c r="C84" t="n">
        <v>2</v>
      </c>
      <c r="D84" t="inlineStr">
        <is>
          <t>Defense %</t>
        </is>
      </c>
      <c r="E84" t="n">
        <v>3</v>
      </c>
      <c r="F84" t="n">
        <v>6.84</v>
      </c>
      <c r="G84" t="b">
        <v>0</v>
      </c>
      <c r="H84" t="inlineStr">
        <is>
          <t>0</t>
        </is>
      </c>
    </row>
    <row r="85">
      <c r="A85" t="inlineStr">
        <is>
          <t>ALL</t>
        </is>
      </c>
      <c r="B85" t="inlineStr">
        <is>
          <t>rare</t>
        </is>
      </c>
      <c r="C85" t="n">
        <v>2</v>
      </c>
      <c r="D85" t="inlineStr">
        <is>
          <t>Defense %</t>
        </is>
      </c>
      <c r="E85" t="n">
        <v>4.5</v>
      </c>
      <c r="F85" t="n">
        <v>2.16</v>
      </c>
      <c r="G85" t="b">
        <v>1</v>
      </c>
      <c r="H85" t="inlineStr">
        <is>
          <t>0</t>
        </is>
      </c>
    </row>
    <row r="86">
      <c r="A86" t="inlineStr">
        <is>
          <t>ALL</t>
        </is>
      </c>
      <c r="B86" t="inlineStr">
        <is>
          <t>rare</t>
        </is>
      </c>
      <c r="C86" t="n">
        <v>2</v>
      </c>
      <c r="D86" t="inlineStr">
        <is>
          <t>Max HP %</t>
        </is>
      </c>
      <c r="E86" t="n">
        <v>6</v>
      </c>
      <c r="F86" t="n">
        <v>6.84</v>
      </c>
      <c r="G86" t="b">
        <v>0</v>
      </c>
      <c r="H86" t="inlineStr">
        <is>
          <t>0</t>
        </is>
      </c>
    </row>
    <row r="87">
      <c r="A87" t="inlineStr">
        <is>
          <t>ALL</t>
        </is>
      </c>
      <c r="B87" t="inlineStr">
        <is>
          <t>rare</t>
        </is>
      </c>
      <c r="C87" t="n">
        <v>2</v>
      </c>
      <c r="D87" t="inlineStr">
        <is>
          <t>Max HP %</t>
        </is>
      </c>
      <c r="E87" t="n">
        <v>9</v>
      </c>
      <c r="F87" t="n">
        <v>2.16</v>
      </c>
      <c r="G87" t="b">
        <v>1</v>
      </c>
      <c r="H87" t="inlineStr">
        <is>
          <t>0</t>
        </is>
      </c>
    </row>
    <row r="88">
      <c r="A88" t="inlineStr">
        <is>
          <t>ALL</t>
        </is>
      </c>
      <c r="B88" t="inlineStr">
        <is>
          <t>rare</t>
        </is>
      </c>
      <c r="C88" t="n">
        <v>2</v>
      </c>
      <c r="D88" t="inlineStr">
        <is>
          <t>Max MP %</t>
        </is>
      </c>
      <c r="E88" t="n">
        <v>3</v>
      </c>
      <c r="F88" t="n">
        <v>6.84</v>
      </c>
      <c r="G88" t="b">
        <v>0</v>
      </c>
      <c r="H88" t="inlineStr">
        <is>
          <t>0</t>
        </is>
      </c>
    </row>
    <row r="89">
      <c r="A89" t="inlineStr">
        <is>
          <t>ALL</t>
        </is>
      </c>
      <c r="B89" t="inlineStr">
        <is>
          <t>rare</t>
        </is>
      </c>
      <c r="C89" t="n">
        <v>2</v>
      </c>
      <c r="D89" t="inlineStr">
        <is>
          <t>Max MP %</t>
        </is>
      </c>
      <c r="E89" t="n">
        <v>4.5</v>
      </c>
      <c r="F89" t="n">
        <v>2.16</v>
      </c>
      <c r="G89" t="b">
        <v>1</v>
      </c>
      <c r="H89" t="inlineStr">
        <is>
          <t>0</t>
        </is>
      </c>
    </row>
    <row r="90">
      <c r="A90" t="inlineStr">
        <is>
          <t>ALL</t>
        </is>
      </c>
      <c r="B90" t="inlineStr">
        <is>
          <t>rare</t>
        </is>
      </c>
      <c r="C90" t="n">
        <v>2</v>
      </c>
      <c r="D90" t="inlineStr">
        <is>
          <t>Str</t>
        </is>
      </c>
      <c r="E90" t="n">
        <v>50</v>
      </c>
      <c r="F90" t="n">
        <v>7.22</v>
      </c>
      <c r="G90" t="b">
        <v>0</v>
      </c>
      <c r="H90" t="inlineStr">
        <is>
          <t>0</t>
        </is>
      </c>
    </row>
    <row r="91">
      <c r="A91" t="inlineStr">
        <is>
          <t>ALL</t>
        </is>
      </c>
      <c r="B91" t="inlineStr">
        <is>
          <t>rare</t>
        </is>
      </c>
      <c r="C91" t="n">
        <v>2</v>
      </c>
      <c r="D91" t="inlineStr">
        <is>
          <t>Str</t>
        </is>
      </c>
      <c r="E91" t="n">
        <v>100</v>
      </c>
      <c r="F91" t="n">
        <v>2.28</v>
      </c>
      <c r="G91" t="b">
        <v>1</v>
      </c>
      <c r="H91" t="inlineStr">
        <is>
          <t>0</t>
        </is>
      </c>
    </row>
    <row r="92">
      <c r="A92" t="inlineStr">
        <is>
          <t>ALL</t>
        </is>
      </c>
      <c r="B92" t="inlineStr">
        <is>
          <t>rare</t>
        </is>
      </c>
      <c r="C92" t="n">
        <v>2</v>
      </c>
      <c r="D92" t="inlineStr">
        <is>
          <t>Dex</t>
        </is>
      </c>
      <c r="E92" t="n">
        <v>50</v>
      </c>
      <c r="F92" t="n">
        <v>7.22</v>
      </c>
      <c r="G92" t="b">
        <v>0</v>
      </c>
      <c r="H92">
        <f>Sensitivity!H5</f>
        <v/>
      </c>
    </row>
    <row r="93">
      <c r="A93" t="inlineStr">
        <is>
          <t>ALL</t>
        </is>
      </c>
      <c r="B93" t="inlineStr">
        <is>
          <t>rare</t>
        </is>
      </c>
      <c r="C93" t="n">
        <v>2</v>
      </c>
      <c r="D93" t="inlineStr">
        <is>
          <t>Dex</t>
        </is>
      </c>
      <c r="E93" t="n">
        <v>100</v>
      </c>
      <c r="F93" t="n">
        <v>2.28</v>
      </c>
      <c r="G93" t="b">
        <v>1</v>
      </c>
      <c r="H93">
        <f>Sensitivity!H5</f>
        <v/>
      </c>
    </row>
    <row r="94">
      <c r="A94" t="inlineStr">
        <is>
          <t>ALL</t>
        </is>
      </c>
      <c r="B94" t="inlineStr">
        <is>
          <t>rare</t>
        </is>
      </c>
      <c r="C94" t="n">
        <v>2</v>
      </c>
      <c r="D94" t="inlineStr">
        <is>
          <t>Int</t>
        </is>
      </c>
      <c r="E94" t="n">
        <v>50</v>
      </c>
      <c r="F94" t="n">
        <v>7.22</v>
      </c>
      <c r="G94" t="b">
        <v>0</v>
      </c>
      <c r="H94" t="inlineStr">
        <is>
          <t>0</t>
        </is>
      </c>
    </row>
    <row r="95">
      <c r="A95" t="inlineStr">
        <is>
          <t>ALL</t>
        </is>
      </c>
      <c r="B95" t="inlineStr">
        <is>
          <t>rare</t>
        </is>
      </c>
      <c r="C95" t="n">
        <v>2</v>
      </c>
      <c r="D95" t="inlineStr">
        <is>
          <t>Int</t>
        </is>
      </c>
      <c r="E95" t="n">
        <v>100</v>
      </c>
      <c r="F95" t="n">
        <v>2.28</v>
      </c>
      <c r="G95" t="b">
        <v>1</v>
      </c>
      <c r="H95" t="inlineStr">
        <is>
          <t>0</t>
        </is>
      </c>
    </row>
    <row r="96">
      <c r="A96" t="inlineStr">
        <is>
          <t>ALL</t>
        </is>
      </c>
      <c r="B96" t="inlineStr">
        <is>
          <t>rare</t>
        </is>
      </c>
      <c r="C96" t="n">
        <v>2</v>
      </c>
      <c r="D96" t="inlineStr">
        <is>
          <t>Luk</t>
        </is>
      </c>
      <c r="E96" t="n">
        <v>50</v>
      </c>
      <c r="F96" t="n">
        <v>7.22</v>
      </c>
      <c r="G96" t="b">
        <v>0</v>
      </c>
      <c r="H96" t="inlineStr">
        <is>
          <t>0</t>
        </is>
      </c>
    </row>
    <row r="97">
      <c r="A97" t="inlineStr">
        <is>
          <t>ALL</t>
        </is>
      </c>
      <c r="B97" t="inlineStr">
        <is>
          <t>rare</t>
        </is>
      </c>
      <c r="C97" t="n">
        <v>2</v>
      </c>
      <c r="D97" t="inlineStr">
        <is>
          <t>Luk</t>
        </is>
      </c>
      <c r="E97" t="n">
        <v>100</v>
      </c>
      <c r="F97" t="n">
        <v>2.28</v>
      </c>
      <c r="G97" t="b">
        <v>1</v>
      </c>
      <c r="H97" t="inlineStr">
        <is>
          <t>0</t>
        </is>
      </c>
    </row>
    <row r="98">
      <c r="A98" t="inlineStr">
        <is>
          <t>ALL</t>
        </is>
      </c>
      <c r="B98" t="inlineStr">
        <is>
          <t>rare</t>
        </is>
      </c>
      <c r="C98" t="n">
        <v>3</v>
      </c>
      <c r="D98" t="inlineStr">
        <is>
          <t>Critical Rate %</t>
        </is>
      </c>
      <c r="E98" t="n">
        <v>3</v>
      </c>
      <c r="F98" t="n">
        <v>2.3</v>
      </c>
      <c r="G98" t="b">
        <v>0</v>
      </c>
      <c r="H98">
        <f>IF(AND(Inputs!$B$9+Summary!$B$14+Artifacts!$B$32&gt;=100,NOT(ArtifactsInput!$M$42),NOT(ArtifactsInput!$M$24)),Sensitivity!H16,Sensitivity!H15)</f>
        <v/>
      </c>
    </row>
    <row r="99">
      <c r="A99" t="inlineStr">
        <is>
          <t>ALL</t>
        </is>
      </c>
      <c r="B99" t="inlineStr">
        <is>
          <t>rare</t>
        </is>
      </c>
      <c r="C99" t="n">
        <v>3</v>
      </c>
      <c r="D99" t="inlineStr">
        <is>
          <t>Critical Rate %</t>
        </is>
      </c>
      <c r="E99" t="n">
        <v>4.5</v>
      </c>
      <c r="F99" t="n">
        <v>0.2</v>
      </c>
      <c r="G99" t="b">
        <v>1</v>
      </c>
      <c r="H99">
        <f>IF(AND(Inputs!$B$9+Summary!$B$14+Artifacts!$B$32&gt;=100,NOT(ArtifactsInput!$M$42),NOT(ArtifactsInput!$M$24)),Sensitivity!H16,Sensitivity!H15)</f>
        <v/>
      </c>
    </row>
    <row r="100">
      <c r="A100" t="inlineStr">
        <is>
          <t>ALL</t>
        </is>
      </c>
      <c r="B100" t="inlineStr">
        <is>
          <t>rare</t>
        </is>
      </c>
      <c r="C100" t="n">
        <v>3</v>
      </c>
      <c r="D100" t="inlineStr">
        <is>
          <t>Attack Speed %</t>
        </is>
      </c>
      <c r="E100" t="n">
        <v>3</v>
      </c>
      <c r="F100" t="n">
        <v>2.3</v>
      </c>
      <c r="G100" t="b">
        <v>0</v>
      </c>
      <c r="H100">
        <f>Sensitivity!H17</f>
        <v/>
      </c>
    </row>
    <row r="101">
      <c r="A101" t="inlineStr">
        <is>
          <t>ALL</t>
        </is>
      </c>
      <c r="B101" t="inlineStr">
        <is>
          <t>rare</t>
        </is>
      </c>
      <c r="C101" t="n">
        <v>3</v>
      </c>
      <c r="D101" t="inlineStr">
        <is>
          <t>Attack Speed %</t>
        </is>
      </c>
      <c r="E101" t="n">
        <v>3.5</v>
      </c>
      <c r="F101" t="n">
        <v>0.2</v>
      </c>
      <c r="G101" t="b">
        <v>1</v>
      </c>
      <c r="H101">
        <f>Sensitivity!H17</f>
        <v/>
      </c>
    </row>
    <row r="102">
      <c r="A102" t="inlineStr">
        <is>
          <t>ALL</t>
        </is>
      </c>
      <c r="B102" t="inlineStr">
        <is>
          <t>rare</t>
        </is>
      </c>
      <c r="C102" t="n">
        <v>3</v>
      </c>
      <c r="D102" t="inlineStr">
        <is>
          <t>Damage %</t>
        </is>
      </c>
      <c r="E102" t="n">
        <v>5</v>
      </c>
      <c r="F102" t="n">
        <v>3.68</v>
      </c>
      <c r="G102" t="b">
        <v>0</v>
      </c>
      <c r="H102">
        <f>Sensitivity!H8</f>
        <v/>
      </c>
    </row>
    <row r="103">
      <c r="A103" t="inlineStr">
        <is>
          <t>ALL</t>
        </is>
      </c>
      <c r="B103" t="inlineStr">
        <is>
          <t>rare</t>
        </is>
      </c>
      <c r="C103" t="n">
        <v>3</v>
      </c>
      <c r="D103" t="inlineStr">
        <is>
          <t>Damage %</t>
        </is>
      </c>
      <c r="E103" t="n">
        <v>8</v>
      </c>
      <c r="F103" t="n">
        <v>0.32</v>
      </c>
      <c r="G103" t="b">
        <v>1</v>
      </c>
      <c r="H103">
        <f>Sensitivity!H8</f>
        <v/>
      </c>
    </row>
    <row r="104">
      <c r="A104" t="inlineStr">
        <is>
          <t>ALL</t>
        </is>
      </c>
      <c r="B104" t="inlineStr">
        <is>
          <t>rare</t>
        </is>
      </c>
      <c r="C104" t="n">
        <v>3</v>
      </c>
      <c r="D104" t="inlineStr">
        <is>
          <t>Min Damage Multiplier %</t>
        </is>
      </c>
      <c r="E104" t="n">
        <v>3</v>
      </c>
      <c r="F104" t="n">
        <v>3.68</v>
      </c>
      <c r="G104" t="b">
        <v>0</v>
      </c>
      <c r="H104">
        <f>Sensitivity!H13</f>
        <v/>
      </c>
    </row>
    <row r="105">
      <c r="A105" t="inlineStr">
        <is>
          <t>ALL</t>
        </is>
      </c>
      <c r="B105" t="inlineStr">
        <is>
          <t>rare</t>
        </is>
      </c>
      <c r="C105" t="n">
        <v>3</v>
      </c>
      <c r="D105" t="inlineStr">
        <is>
          <t>Min Damage Multiplier %</t>
        </is>
      </c>
      <c r="E105" t="n">
        <v>6</v>
      </c>
      <c r="F105" t="n">
        <v>0.32</v>
      </c>
      <c r="G105" t="b">
        <v>1</v>
      </c>
      <c r="H105">
        <f>Sensitivity!H13</f>
        <v/>
      </c>
    </row>
    <row r="106">
      <c r="A106" t="inlineStr">
        <is>
          <t>ALL</t>
        </is>
      </c>
      <c r="B106" t="inlineStr">
        <is>
          <t>rare</t>
        </is>
      </c>
      <c r="C106" t="n">
        <v>3</v>
      </c>
      <c r="D106" t="inlineStr">
        <is>
          <t>Max Damage Multiplier %</t>
        </is>
      </c>
      <c r="E106" t="n">
        <v>3</v>
      </c>
      <c r="F106" t="n">
        <v>3.68</v>
      </c>
      <c r="G106" t="b">
        <v>0</v>
      </c>
      <c r="H106">
        <f>Sensitivity!H14</f>
        <v/>
      </c>
    </row>
    <row r="107">
      <c r="A107" t="inlineStr">
        <is>
          <t>ALL</t>
        </is>
      </c>
      <c r="B107" t="inlineStr">
        <is>
          <t>rare</t>
        </is>
      </c>
      <c r="C107" t="n">
        <v>3</v>
      </c>
      <c r="D107" t="inlineStr">
        <is>
          <t>Max Damage Multiplier %</t>
        </is>
      </c>
      <c r="E107" t="n">
        <v>6</v>
      </c>
      <c r="F107" t="n">
        <v>0.32</v>
      </c>
      <c r="G107" t="b">
        <v>1</v>
      </c>
      <c r="H107">
        <f>Sensitivity!H14</f>
        <v/>
      </c>
    </row>
    <row r="108">
      <c r="A108" t="inlineStr">
        <is>
          <t>ALL</t>
        </is>
      </c>
      <c r="B108" t="inlineStr">
        <is>
          <t>rare</t>
        </is>
      </c>
      <c r="C108" t="n">
        <v>3</v>
      </c>
      <c r="D108" t="inlineStr">
        <is>
          <t>Str %</t>
        </is>
      </c>
      <c r="E108" t="n">
        <v>3</v>
      </c>
      <c r="F108" t="n">
        <v>4.14</v>
      </c>
      <c r="G108" t="b">
        <v>0</v>
      </c>
      <c r="H108" t="inlineStr">
        <is>
          <t>0</t>
        </is>
      </c>
    </row>
    <row r="109">
      <c r="A109" t="inlineStr">
        <is>
          <t>ALL</t>
        </is>
      </c>
      <c r="B109" t="inlineStr">
        <is>
          <t>rare</t>
        </is>
      </c>
      <c r="C109" t="n">
        <v>3</v>
      </c>
      <c r="D109" t="inlineStr">
        <is>
          <t>Str %</t>
        </is>
      </c>
      <c r="E109" t="n">
        <v>4.5</v>
      </c>
      <c r="F109" t="n">
        <v>0.36</v>
      </c>
      <c r="G109" t="b">
        <v>1</v>
      </c>
      <c r="H109" t="inlineStr">
        <is>
          <t>0</t>
        </is>
      </c>
    </row>
    <row r="110">
      <c r="A110" t="inlineStr">
        <is>
          <t>ALL</t>
        </is>
      </c>
      <c r="B110" t="inlineStr">
        <is>
          <t>rare</t>
        </is>
      </c>
      <c r="C110" t="n">
        <v>3</v>
      </c>
      <c r="D110" t="inlineStr">
        <is>
          <t>Dex %</t>
        </is>
      </c>
      <c r="E110" t="n">
        <v>3</v>
      </c>
      <c r="F110" t="n">
        <v>4.14</v>
      </c>
      <c r="G110" t="b">
        <v>0</v>
      </c>
      <c r="H110">
        <f>Sensitivity!H6</f>
        <v/>
      </c>
    </row>
    <row r="111">
      <c r="A111" t="inlineStr">
        <is>
          <t>ALL</t>
        </is>
      </c>
      <c r="B111" t="inlineStr">
        <is>
          <t>rare</t>
        </is>
      </c>
      <c r="C111" t="n">
        <v>3</v>
      </c>
      <c r="D111" t="inlineStr">
        <is>
          <t>Dex %</t>
        </is>
      </c>
      <c r="E111" t="n">
        <v>4.5</v>
      </c>
      <c r="F111" t="n">
        <v>0.36</v>
      </c>
      <c r="G111" t="b">
        <v>1</v>
      </c>
      <c r="H111">
        <f>Sensitivity!H6</f>
        <v/>
      </c>
    </row>
    <row r="112">
      <c r="A112" t="inlineStr">
        <is>
          <t>ALL</t>
        </is>
      </c>
      <c r="B112" t="inlineStr">
        <is>
          <t>rare</t>
        </is>
      </c>
      <c r="C112" t="n">
        <v>3</v>
      </c>
      <c r="D112" t="inlineStr">
        <is>
          <t>Int %</t>
        </is>
      </c>
      <c r="E112" t="n">
        <v>3</v>
      </c>
      <c r="F112" t="n">
        <v>4.14</v>
      </c>
      <c r="G112" t="b">
        <v>0</v>
      </c>
      <c r="H112" t="inlineStr">
        <is>
          <t>0</t>
        </is>
      </c>
    </row>
    <row r="113">
      <c r="A113" t="inlineStr">
        <is>
          <t>ALL</t>
        </is>
      </c>
      <c r="B113" t="inlineStr">
        <is>
          <t>rare</t>
        </is>
      </c>
      <c r="C113" t="n">
        <v>3</v>
      </c>
      <c r="D113" t="inlineStr">
        <is>
          <t>Int %</t>
        </is>
      </c>
      <c r="E113" t="n">
        <v>4.5</v>
      </c>
      <c r="F113" t="n">
        <v>0.36</v>
      </c>
      <c r="G113" t="b">
        <v>1</v>
      </c>
      <c r="H113" t="inlineStr">
        <is>
          <t>0</t>
        </is>
      </c>
    </row>
    <row r="114">
      <c r="A114" t="inlineStr">
        <is>
          <t>ALL</t>
        </is>
      </c>
      <c r="B114" t="inlineStr">
        <is>
          <t>rare</t>
        </is>
      </c>
      <c r="C114" t="n">
        <v>3</v>
      </c>
      <c r="D114" t="inlineStr">
        <is>
          <t>Luk %</t>
        </is>
      </c>
      <c r="E114" t="n">
        <v>3</v>
      </c>
      <c r="F114" t="n">
        <v>4.14</v>
      </c>
      <c r="G114" t="b">
        <v>0</v>
      </c>
      <c r="H114" t="inlineStr">
        <is>
          <t>0</t>
        </is>
      </c>
    </row>
    <row r="115">
      <c r="A115" t="inlineStr">
        <is>
          <t>ALL</t>
        </is>
      </c>
      <c r="B115" t="inlineStr">
        <is>
          <t>rare</t>
        </is>
      </c>
      <c r="C115" t="n">
        <v>3</v>
      </c>
      <c r="D115" t="inlineStr">
        <is>
          <t>Luk %</t>
        </is>
      </c>
      <c r="E115" t="n">
        <v>4.5</v>
      </c>
      <c r="F115" t="n">
        <v>0.36</v>
      </c>
      <c r="G115" t="b">
        <v>1</v>
      </c>
      <c r="H115" t="inlineStr">
        <is>
          <t>0</t>
        </is>
      </c>
    </row>
    <row r="116">
      <c r="A116" t="inlineStr">
        <is>
          <t>ALL</t>
        </is>
      </c>
      <c r="B116" t="inlineStr">
        <is>
          <t>rare</t>
        </is>
      </c>
      <c r="C116" t="n">
        <v>3</v>
      </c>
      <c r="D116" t="inlineStr">
        <is>
          <t>Defense %</t>
        </is>
      </c>
      <c r="E116" t="n">
        <v>3</v>
      </c>
      <c r="F116" t="n">
        <v>8.279999999999999</v>
      </c>
      <c r="G116" t="b">
        <v>0</v>
      </c>
      <c r="H116" t="inlineStr">
        <is>
          <t>0</t>
        </is>
      </c>
    </row>
    <row r="117">
      <c r="A117" t="inlineStr">
        <is>
          <t>ALL</t>
        </is>
      </c>
      <c r="B117" t="inlineStr">
        <is>
          <t>rare</t>
        </is>
      </c>
      <c r="C117" t="n">
        <v>3</v>
      </c>
      <c r="D117" t="inlineStr">
        <is>
          <t>Defense %</t>
        </is>
      </c>
      <c r="E117" t="n">
        <v>4.5</v>
      </c>
      <c r="F117" t="n">
        <v>0.72</v>
      </c>
      <c r="G117" t="b">
        <v>1</v>
      </c>
      <c r="H117" t="inlineStr">
        <is>
          <t>0</t>
        </is>
      </c>
    </row>
    <row r="118">
      <c r="A118" t="inlineStr">
        <is>
          <t>ALL</t>
        </is>
      </c>
      <c r="B118" t="inlineStr">
        <is>
          <t>rare</t>
        </is>
      </c>
      <c r="C118" t="n">
        <v>3</v>
      </c>
      <c r="D118" t="inlineStr">
        <is>
          <t>Max HP %</t>
        </is>
      </c>
      <c r="E118" t="n">
        <v>6</v>
      </c>
      <c r="F118" t="n">
        <v>8.279999999999999</v>
      </c>
      <c r="G118" t="b">
        <v>0</v>
      </c>
      <c r="H118" t="inlineStr">
        <is>
          <t>0</t>
        </is>
      </c>
    </row>
    <row r="119">
      <c r="A119" t="inlineStr">
        <is>
          <t>ALL</t>
        </is>
      </c>
      <c r="B119" t="inlineStr">
        <is>
          <t>rare</t>
        </is>
      </c>
      <c r="C119" t="n">
        <v>3</v>
      </c>
      <c r="D119" t="inlineStr">
        <is>
          <t>Max HP %</t>
        </is>
      </c>
      <c r="E119" t="n">
        <v>9</v>
      </c>
      <c r="F119" t="n">
        <v>0.72</v>
      </c>
      <c r="G119" t="b">
        <v>1</v>
      </c>
      <c r="H119" t="inlineStr">
        <is>
          <t>0</t>
        </is>
      </c>
    </row>
    <row r="120">
      <c r="A120" t="inlineStr">
        <is>
          <t>ALL</t>
        </is>
      </c>
      <c r="B120" t="inlineStr">
        <is>
          <t>rare</t>
        </is>
      </c>
      <c r="C120" t="n">
        <v>3</v>
      </c>
      <c r="D120" t="inlineStr">
        <is>
          <t>Max MP %</t>
        </is>
      </c>
      <c r="E120" t="n">
        <v>3</v>
      </c>
      <c r="F120" t="n">
        <v>8.279999999999999</v>
      </c>
      <c r="G120" t="b">
        <v>0</v>
      </c>
      <c r="H120" t="inlineStr">
        <is>
          <t>0</t>
        </is>
      </c>
    </row>
    <row r="121">
      <c r="A121" t="inlineStr">
        <is>
          <t>ALL</t>
        </is>
      </c>
      <c r="B121" t="inlineStr">
        <is>
          <t>rare</t>
        </is>
      </c>
      <c r="C121" t="n">
        <v>3</v>
      </c>
      <c r="D121" t="inlineStr">
        <is>
          <t>Max MP %</t>
        </is>
      </c>
      <c r="E121" t="n">
        <v>4.5</v>
      </c>
      <c r="F121" t="n">
        <v>0.72</v>
      </c>
      <c r="G121" t="b">
        <v>1</v>
      </c>
      <c r="H121" t="inlineStr">
        <is>
          <t>0</t>
        </is>
      </c>
    </row>
    <row r="122">
      <c r="A122" t="inlineStr">
        <is>
          <t>ALL</t>
        </is>
      </c>
      <c r="B122" t="inlineStr">
        <is>
          <t>rare</t>
        </is>
      </c>
      <c r="C122" t="n">
        <v>3</v>
      </c>
      <c r="D122" t="inlineStr">
        <is>
          <t>Str</t>
        </is>
      </c>
      <c r="E122" t="n">
        <v>50</v>
      </c>
      <c r="F122" t="n">
        <v>8.74</v>
      </c>
      <c r="G122" t="b">
        <v>0</v>
      </c>
      <c r="H122" t="inlineStr">
        <is>
          <t>0</t>
        </is>
      </c>
    </row>
    <row r="123">
      <c r="A123" t="inlineStr">
        <is>
          <t>ALL</t>
        </is>
      </c>
      <c r="B123" t="inlineStr">
        <is>
          <t>rare</t>
        </is>
      </c>
      <c r="C123" t="n">
        <v>3</v>
      </c>
      <c r="D123" t="inlineStr">
        <is>
          <t>Str</t>
        </is>
      </c>
      <c r="E123" t="n">
        <v>100</v>
      </c>
      <c r="F123" t="n">
        <v>0.76</v>
      </c>
      <c r="G123" t="b">
        <v>1</v>
      </c>
      <c r="H123" t="inlineStr">
        <is>
          <t>0</t>
        </is>
      </c>
    </row>
    <row r="124">
      <c r="A124" t="inlineStr">
        <is>
          <t>ALL</t>
        </is>
      </c>
      <c r="B124" t="inlineStr">
        <is>
          <t>rare</t>
        </is>
      </c>
      <c r="C124" t="n">
        <v>3</v>
      </c>
      <c r="D124" t="inlineStr">
        <is>
          <t>Dex</t>
        </is>
      </c>
      <c r="E124" t="n">
        <v>50</v>
      </c>
      <c r="F124" t="n">
        <v>8.74</v>
      </c>
      <c r="G124" t="b">
        <v>0</v>
      </c>
      <c r="H124">
        <f>Sensitivity!H5</f>
        <v/>
      </c>
    </row>
    <row r="125">
      <c r="A125" t="inlineStr">
        <is>
          <t>ALL</t>
        </is>
      </c>
      <c r="B125" t="inlineStr">
        <is>
          <t>rare</t>
        </is>
      </c>
      <c r="C125" t="n">
        <v>3</v>
      </c>
      <c r="D125" t="inlineStr">
        <is>
          <t>Dex</t>
        </is>
      </c>
      <c r="E125" t="n">
        <v>100</v>
      </c>
      <c r="F125" t="n">
        <v>0.76</v>
      </c>
      <c r="G125" t="b">
        <v>1</v>
      </c>
      <c r="H125">
        <f>Sensitivity!H5</f>
        <v/>
      </c>
    </row>
    <row r="126">
      <c r="A126" t="inlineStr">
        <is>
          <t>ALL</t>
        </is>
      </c>
      <c r="B126" t="inlineStr">
        <is>
          <t>rare</t>
        </is>
      </c>
      <c r="C126" t="n">
        <v>3</v>
      </c>
      <c r="D126" t="inlineStr">
        <is>
          <t>Int</t>
        </is>
      </c>
      <c r="E126" t="n">
        <v>50</v>
      </c>
      <c r="F126" t="n">
        <v>8.74</v>
      </c>
      <c r="G126" t="b">
        <v>0</v>
      </c>
      <c r="H126" t="inlineStr">
        <is>
          <t>0</t>
        </is>
      </c>
    </row>
    <row r="127">
      <c r="A127" t="inlineStr">
        <is>
          <t>ALL</t>
        </is>
      </c>
      <c r="B127" t="inlineStr">
        <is>
          <t>rare</t>
        </is>
      </c>
      <c r="C127" t="n">
        <v>3</v>
      </c>
      <c r="D127" t="inlineStr">
        <is>
          <t>Int</t>
        </is>
      </c>
      <c r="E127" t="n">
        <v>100</v>
      </c>
      <c r="F127" t="n">
        <v>0.76</v>
      </c>
      <c r="G127" t="b">
        <v>1</v>
      </c>
      <c r="H127" t="inlineStr">
        <is>
          <t>0</t>
        </is>
      </c>
    </row>
    <row r="128">
      <c r="A128" t="inlineStr">
        <is>
          <t>ALL</t>
        </is>
      </c>
      <c r="B128" t="inlineStr">
        <is>
          <t>rare</t>
        </is>
      </c>
      <c r="C128" t="n">
        <v>3</v>
      </c>
      <c r="D128" t="inlineStr">
        <is>
          <t>Luk</t>
        </is>
      </c>
      <c r="E128" t="n">
        <v>50</v>
      </c>
      <c r="F128" t="n">
        <v>8.74</v>
      </c>
      <c r="G128" t="b">
        <v>0</v>
      </c>
      <c r="H128" t="inlineStr">
        <is>
          <t>0</t>
        </is>
      </c>
    </row>
    <row r="129">
      <c r="A129" t="inlineStr">
        <is>
          <t>ALL</t>
        </is>
      </c>
      <c r="B129" t="inlineStr">
        <is>
          <t>rare</t>
        </is>
      </c>
      <c r="C129" t="n">
        <v>3</v>
      </c>
      <c r="D129" t="inlineStr">
        <is>
          <t>Luk</t>
        </is>
      </c>
      <c r="E129" t="n">
        <v>100</v>
      </c>
      <c r="F129" t="n">
        <v>0.76</v>
      </c>
      <c r="G129" t="b">
        <v>1</v>
      </c>
      <c r="H129" t="inlineStr">
        <is>
          <t>0</t>
        </is>
      </c>
    </row>
    <row r="130">
      <c r="A130" t="inlineStr">
        <is>
          <t>ALL</t>
        </is>
      </c>
      <c r="B130" t="inlineStr">
        <is>
          <t>epic</t>
        </is>
      </c>
      <c r="C130" t="n">
        <v>1</v>
      </c>
      <c r="D130" t="inlineStr">
        <is>
          <t>Critical Rate %</t>
        </is>
      </c>
      <c r="E130" t="n">
        <v>6</v>
      </c>
      <c r="F130" t="n">
        <v>2.5</v>
      </c>
      <c r="G130" t="b">
        <v>1</v>
      </c>
      <c r="H130">
        <f>IF(AND(Inputs!$B$9+Summary!$B$14+Artifacts!$B$32&gt;=100,NOT(ArtifactsInput!$M$42),NOT(ArtifactsInput!$M$24)),Sensitivity!H16,Sensitivity!H15)</f>
        <v/>
      </c>
    </row>
    <row r="131">
      <c r="A131" t="inlineStr">
        <is>
          <t>ALL</t>
        </is>
      </c>
      <c r="B131" t="inlineStr">
        <is>
          <t>epic</t>
        </is>
      </c>
      <c r="C131" t="n">
        <v>1</v>
      </c>
      <c r="D131" t="inlineStr">
        <is>
          <t>Attack Speed %</t>
        </is>
      </c>
      <c r="E131" t="n">
        <v>4</v>
      </c>
      <c r="F131" t="n">
        <v>2.5</v>
      </c>
      <c r="G131" t="b">
        <v>1</v>
      </c>
      <c r="H131">
        <f>Sensitivity!H17</f>
        <v/>
      </c>
    </row>
    <row r="132">
      <c r="A132" t="inlineStr">
        <is>
          <t>ALL</t>
        </is>
      </c>
      <c r="B132" t="inlineStr">
        <is>
          <t>epic</t>
        </is>
      </c>
      <c r="C132" t="n">
        <v>1</v>
      </c>
      <c r="D132" t="inlineStr">
        <is>
          <t>Damage %</t>
        </is>
      </c>
      <c r="E132" t="n">
        <v>12</v>
      </c>
      <c r="F132" t="n">
        <v>4</v>
      </c>
      <c r="G132" t="b">
        <v>1</v>
      </c>
      <c r="H132">
        <f>Sensitivity!H8</f>
        <v/>
      </c>
    </row>
    <row r="133">
      <c r="A133" t="inlineStr">
        <is>
          <t>ALL</t>
        </is>
      </c>
      <c r="B133" t="inlineStr">
        <is>
          <t>epic</t>
        </is>
      </c>
      <c r="C133" t="n">
        <v>1</v>
      </c>
      <c r="D133" t="inlineStr">
        <is>
          <t>Min Damage Multiplier %</t>
        </is>
      </c>
      <c r="E133" t="n">
        <v>8</v>
      </c>
      <c r="F133" t="n">
        <v>4</v>
      </c>
      <c r="G133" t="b">
        <v>1</v>
      </c>
      <c r="H133">
        <f>Sensitivity!H13</f>
        <v/>
      </c>
    </row>
    <row r="134">
      <c r="A134" t="inlineStr">
        <is>
          <t>ALL</t>
        </is>
      </c>
      <c r="B134" t="inlineStr">
        <is>
          <t>epic</t>
        </is>
      </c>
      <c r="C134" t="n">
        <v>1</v>
      </c>
      <c r="D134" t="inlineStr">
        <is>
          <t>Max Damage Multiplier %</t>
        </is>
      </c>
      <c r="E134" t="n">
        <v>8</v>
      </c>
      <c r="F134" t="n">
        <v>4</v>
      </c>
      <c r="G134" t="b">
        <v>1</v>
      </c>
      <c r="H134">
        <f>Sensitivity!H14</f>
        <v/>
      </c>
    </row>
    <row r="135">
      <c r="A135" t="inlineStr">
        <is>
          <t>ALL</t>
        </is>
      </c>
      <c r="B135" t="inlineStr">
        <is>
          <t>epic</t>
        </is>
      </c>
      <c r="C135" t="n">
        <v>1</v>
      </c>
      <c r="D135" t="inlineStr">
        <is>
          <t>Str %</t>
        </is>
      </c>
      <c r="E135" t="n">
        <v>6</v>
      </c>
      <c r="F135" t="n">
        <v>4.5</v>
      </c>
      <c r="G135" t="b">
        <v>1</v>
      </c>
      <c r="H135" t="inlineStr">
        <is>
          <t>0</t>
        </is>
      </c>
    </row>
    <row r="136">
      <c r="A136" t="inlineStr">
        <is>
          <t>ALL</t>
        </is>
      </c>
      <c r="B136" t="inlineStr">
        <is>
          <t>epic</t>
        </is>
      </c>
      <c r="C136" t="n">
        <v>1</v>
      </c>
      <c r="D136" t="inlineStr">
        <is>
          <t>Dex %</t>
        </is>
      </c>
      <c r="E136" t="n">
        <v>6</v>
      </c>
      <c r="F136" t="n">
        <v>4.5</v>
      </c>
      <c r="G136" t="b">
        <v>1</v>
      </c>
      <c r="H136">
        <f>Sensitivity!H6</f>
        <v/>
      </c>
    </row>
    <row r="137">
      <c r="A137" t="inlineStr">
        <is>
          <t>ALL</t>
        </is>
      </c>
      <c r="B137" t="inlineStr">
        <is>
          <t>epic</t>
        </is>
      </c>
      <c r="C137" t="n">
        <v>1</v>
      </c>
      <c r="D137" t="inlineStr">
        <is>
          <t>Int %</t>
        </is>
      </c>
      <c r="E137" t="n">
        <v>6</v>
      </c>
      <c r="F137" t="n">
        <v>4.5</v>
      </c>
      <c r="G137" t="b">
        <v>1</v>
      </c>
      <c r="H137" t="inlineStr">
        <is>
          <t>0</t>
        </is>
      </c>
    </row>
    <row r="138">
      <c r="A138" t="inlineStr">
        <is>
          <t>ALL</t>
        </is>
      </c>
      <c r="B138" t="inlineStr">
        <is>
          <t>epic</t>
        </is>
      </c>
      <c r="C138" t="n">
        <v>1</v>
      </c>
      <c r="D138" t="inlineStr">
        <is>
          <t>Luk %</t>
        </is>
      </c>
      <c r="E138" t="n">
        <v>6</v>
      </c>
      <c r="F138" t="n">
        <v>4.5</v>
      </c>
      <c r="G138" t="b">
        <v>1</v>
      </c>
      <c r="H138" t="inlineStr">
        <is>
          <t>0</t>
        </is>
      </c>
    </row>
    <row r="139">
      <c r="A139" t="inlineStr">
        <is>
          <t>ALL</t>
        </is>
      </c>
      <c r="B139" t="inlineStr">
        <is>
          <t>epic</t>
        </is>
      </c>
      <c r="C139" t="n">
        <v>1</v>
      </c>
      <c r="D139" t="inlineStr">
        <is>
          <t>Defense %</t>
        </is>
      </c>
      <c r="E139" t="n">
        <v>6</v>
      </c>
      <c r="F139" t="n">
        <v>9</v>
      </c>
      <c r="G139" t="b">
        <v>1</v>
      </c>
      <c r="H139" t="inlineStr">
        <is>
          <t>0</t>
        </is>
      </c>
    </row>
    <row r="140">
      <c r="A140" t="inlineStr">
        <is>
          <t>ALL</t>
        </is>
      </c>
      <c r="B140" t="inlineStr">
        <is>
          <t>epic</t>
        </is>
      </c>
      <c r="C140" t="n">
        <v>1</v>
      </c>
      <c r="D140" t="inlineStr">
        <is>
          <t>Max HP %</t>
        </is>
      </c>
      <c r="E140" t="n">
        <v>12</v>
      </c>
      <c r="F140" t="n">
        <v>9</v>
      </c>
      <c r="G140" t="b">
        <v>1</v>
      </c>
      <c r="H140" t="inlineStr">
        <is>
          <t>0</t>
        </is>
      </c>
    </row>
    <row r="141">
      <c r="A141" t="inlineStr">
        <is>
          <t>ALL</t>
        </is>
      </c>
      <c r="B141" t="inlineStr">
        <is>
          <t>epic</t>
        </is>
      </c>
      <c r="C141" t="n">
        <v>1</v>
      </c>
      <c r="D141" t="inlineStr">
        <is>
          <t>Max MP %</t>
        </is>
      </c>
      <c r="E141" t="n">
        <v>6</v>
      </c>
      <c r="F141" t="n">
        <v>9</v>
      </c>
      <c r="G141" t="b">
        <v>1</v>
      </c>
      <c r="H141" t="inlineStr">
        <is>
          <t>0</t>
        </is>
      </c>
    </row>
    <row r="142">
      <c r="A142" t="inlineStr">
        <is>
          <t>ALL</t>
        </is>
      </c>
      <c r="B142" t="inlineStr">
        <is>
          <t>epic</t>
        </is>
      </c>
      <c r="C142" t="n">
        <v>1</v>
      </c>
      <c r="D142" t="inlineStr">
        <is>
          <t>Str</t>
        </is>
      </c>
      <c r="E142" t="n">
        <v>200</v>
      </c>
      <c r="F142" t="n">
        <v>9.25</v>
      </c>
      <c r="G142" t="b">
        <v>1</v>
      </c>
      <c r="H142" t="inlineStr">
        <is>
          <t>0</t>
        </is>
      </c>
    </row>
    <row r="143">
      <c r="A143" t="inlineStr">
        <is>
          <t>ALL</t>
        </is>
      </c>
      <c r="B143" t="inlineStr">
        <is>
          <t>epic</t>
        </is>
      </c>
      <c r="C143" t="n">
        <v>1</v>
      </c>
      <c r="D143" t="inlineStr">
        <is>
          <t>Dex</t>
        </is>
      </c>
      <c r="E143" t="n">
        <v>200</v>
      </c>
      <c r="F143" t="n">
        <v>9.25</v>
      </c>
      <c r="G143" t="b">
        <v>1</v>
      </c>
      <c r="H143">
        <f>Sensitivity!H5</f>
        <v/>
      </c>
    </row>
    <row r="144">
      <c r="A144" t="inlineStr">
        <is>
          <t>ALL</t>
        </is>
      </c>
      <c r="B144" t="inlineStr">
        <is>
          <t>epic</t>
        </is>
      </c>
      <c r="C144" t="n">
        <v>1</v>
      </c>
      <c r="D144" t="inlineStr">
        <is>
          <t>Int</t>
        </is>
      </c>
      <c r="E144" t="n">
        <v>200</v>
      </c>
      <c r="F144" t="n">
        <v>9.25</v>
      </c>
      <c r="G144" t="b">
        <v>1</v>
      </c>
      <c r="H144" t="inlineStr">
        <is>
          <t>0</t>
        </is>
      </c>
    </row>
    <row r="145">
      <c r="A145" t="inlineStr">
        <is>
          <t>ALL</t>
        </is>
      </c>
      <c r="B145" t="inlineStr">
        <is>
          <t>epic</t>
        </is>
      </c>
      <c r="C145" t="n">
        <v>1</v>
      </c>
      <c r="D145" t="inlineStr">
        <is>
          <t>Luk</t>
        </is>
      </c>
      <c r="E145" t="n">
        <v>200</v>
      </c>
      <c r="F145" t="n">
        <v>9.25</v>
      </c>
      <c r="G145" t="b">
        <v>1</v>
      </c>
      <c r="H145" t="inlineStr">
        <is>
          <t>0</t>
        </is>
      </c>
    </row>
    <row r="146">
      <c r="A146" t="inlineStr">
        <is>
          <t>ALL</t>
        </is>
      </c>
      <c r="B146" t="inlineStr">
        <is>
          <t>epic</t>
        </is>
      </c>
      <c r="C146" t="n">
        <v>2</v>
      </c>
      <c r="D146" t="inlineStr">
        <is>
          <t>Critical Rate %</t>
        </is>
      </c>
      <c r="E146" t="n">
        <v>4.5</v>
      </c>
      <c r="F146" t="n">
        <v>1.9</v>
      </c>
      <c r="G146" t="b">
        <v>0</v>
      </c>
      <c r="H146">
        <f>IF(AND(Inputs!$B$9+Summary!$B$14+Artifacts!$B$32&gt;=100,NOT(ArtifactsInput!$M$42),NOT(ArtifactsInput!$M$24)),Sensitivity!H16,Sensitivity!H15)</f>
        <v/>
      </c>
    </row>
    <row r="147">
      <c r="A147" t="inlineStr">
        <is>
          <t>ALL</t>
        </is>
      </c>
      <c r="B147" t="inlineStr">
        <is>
          <t>epic</t>
        </is>
      </c>
      <c r="C147" t="n">
        <v>2</v>
      </c>
      <c r="D147" t="inlineStr">
        <is>
          <t>Critical Rate %</t>
        </is>
      </c>
      <c r="E147" t="n">
        <v>6</v>
      </c>
      <c r="F147" t="n">
        <v>0.6</v>
      </c>
      <c r="G147" t="b">
        <v>1</v>
      </c>
      <c r="H147">
        <f>IF(AND(Inputs!$B$9+Summary!$B$14+Artifacts!$B$32&gt;=100,NOT(ArtifactsInput!$M$42),NOT(ArtifactsInput!$M$24)),Sensitivity!H16,Sensitivity!H15)</f>
        <v/>
      </c>
    </row>
    <row r="148">
      <c r="A148" t="inlineStr">
        <is>
          <t>ALL</t>
        </is>
      </c>
      <c r="B148" t="inlineStr">
        <is>
          <t>epic</t>
        </is>
      </c>
      <c r="C148" t="n">
        <v>2</v>
      </c>
      <c r="D148" t="inlineStr">
        <is>
          <t>Attack Speed %</t>
        </is>
      </c>
      <c r="E148" t="n">
        <v>3.5</v>
      </c>
      <c r="F148" t="n">
        <v>1.9</v>
      </c>
      <c r="G148" t="b">
        <v>0</v>
      </c>
      <c r="H148">
        <f>Sensitivity!H17</f>
        <v/>
      </c>
    </row>
    <row r="149">
      <c r="A149" t="inlineStr">
        <is>
          <t>ALL</t>
        </is>
      </c>
      <c r="B149" t="inlineStr">
        <is>
          <t>epic</t>
        </is>
      </c>
      <c r="C149" t="n">
        <v>2</v>
      </c>
      <c r="D149" t="inlineStr">
        <is>
          <t>Attack Speed %</t>
        </is>
      </c>
      <c r="E149" t="n">
        <v>4</v>
      </c>
      <c r="F149" t="n">
        <v>0.6</v>
      </c>
      <c r="G149" t="b">
        <v>1</v>
      </c>
      <c r="H149">
        <f>Sensitivity!H17</f>
        <v/>
      </c>
    </row>
    <row r="150">
      <c r="A150" t="inlineStr">
        <is>
          <t>ALL</t>
        </is>
      </c>
      <c r="B150" t="inlineStr">
        <is>
          <t>epic</t>
        </is>
      </c>
      <c r="C150" t="n">
        <v>2</v>
      </c>
      <c r="D150" t="inlineStr">
        <is>
          <t>Damage %</t>
        </is>
      </c>
      <c r="E150" t="n">
        <v>8</v>
      </c>
      <c r="F150" t="n">
        <v>3.04</v>
      </c>
      <c r="G150" t="b">
        <v>0</v>
      </c>
      <c r="H150">
        <f>Sensitivity!H8</f>
        <v/>
      </c>
    </row>
    <row r="151">
      <c r="A151" t="inlineStr">
        <is>
          <t>ALL</t>
        </is>
      </c>
      <c r="B151" t="inlineStr">
        <is>
          <t>epic</t>
        </is>
      </c>
      <c r="C151" t="n">
        <v>2</v>
      </c>
      <c r="D151" t="inlineStr">
        <is>
          <t>Damage %</t>
        </is>
      </c>
      <c r="E151" t="n">
        <v>12</v>
      </c>
      <c r="F151" t="n">
        <v>0.96</v>
      </c>
      <c r="G151" t="b">
        <v>1</v>
      </c>
      <c r="H151">
        <f>Sensitivity!H8</f>
        <v/>
      </c>
    </row>
    <row r="152">
      <c r="A152" t="inlineStr">
        <is>
          <t>ALL</t>
        </is>
      </c>
      <c r="B152" t="inlineStr">
        <is>
          <t>epic</t>
        </is>
      </c>
      <c r="C152" t="n">
        <v>2</v>
      </c>
      <c r="D152" t="inlineStr">
        <is>
          <t>Min Damage Multiplier %</t>
        </is>
      </c>
      <c r="E152" t="n">
        <v>6</v>
      </c>
      <c r="F152" t="n">
        <v>3.04</v>
      </c>
      <c r="G152" t="b">
        <v>0</v>
      </c>
      <c r="H152">
        <f>Sensitivity!H13</f>
        <v/>
      </c>
    </row>
    <row r="153">
      <c r="A153" t="inlineStr">
        <is>
          <t>ALL</t>
        </is>
      </c>
      <c r="B153" t="inlineStr">
        <is>
          <t>epic</t>
        </is>
      </c>
      <c r="C153" t="n">
        <v>2</v>
      </c>
      <c r="D153" t="inlineStr">
        <is>
          <t>Min Damage Multiplier %</t>
        </is>
      </c>
      <c r="E153" t="n">
        <v>8</v>
      </c>
      <c r="F153" t="n">
        <v>0.96</v>
      </c>
      <c r="G153" t="b">
        <v>1</v>
      </c>
      <c r="H153">
        <f>Sensitivity!H13</f>
        <v/>
      </c>
    </row>
    <row r="154">
      <c r="A154" t="inlineStr">
        <is>
          <t>ALL</t>
        </is>
      </c>
      <c r="B154" t="inlineStr">
        <is>
          <t>epic</t>
        </is>
      </c>
      <c r="C154" t="n">
        <v>2</v>
      </c>
      <c r="D154" t="inlineStr">
        <is>
          <t>Max Damage Multiplier %</t>
        </is>
      </c>
      <c r="E154" t="n">
        <v>6</v>
      </c>
      <c r="F154" t="n">
        <v>3.04</v>
      </c>
      <c r="G154" t="b">
        <v>0</v>
      </c>
      <c r="H154">
        <f>Sensitivity!H14</f>
        <v/>
      </c>
    </row>
    <row r="155">
      <c r="A155" t="inlineStr">
        <is>
          <t>ALL</t>
        </is>
      </c>
      <c r="B155" t="inlineStr">
        <is>
          <t>epic</t>
        </is>
      </c>
      <c r="C155" t="n">
        <v>2</v>
      </c>
      <c r="D155" t="inlineStr">
        <is>
          <t>Max Damage Multiplier %</t>
        </is>
      </c>
      <c r="E155" t="n">
        <v>8</v>
      </c>
      <c r="F155" t="n">
        <v>0.96</v>
      </c>
      <c r="G155" t="b">
        <v>1</v>
      </c>
      <c r="H155">
        <f>Sensitivity!H14</f>
        <v/>
      </c>
    </row>
    <row r="156">
      <c r="A156" t="inlineStr">
        <is>
          <t>ALL</t>
        </is>
      </c>
      <c r="B156" t="inlineStr">
        <is>
          <t>epic</t>
        </is>
      </c>
      <c r="C156" t="n">
        <v>2</v>
      </c>
      <c r="D156" t="inlineStr">
        <is>
          <t>Str %</t>
        </is>
      </c>
      <c r="E156" t="n">
        <v>4.5</v>
      </c>
      <c r="F156" t="n">
        <v>3.42</v>
      </c>
      <c r="G156" t="b">
        <v>0</v>
      </c>
      <c r="H156" t="inlineStr">
        <is>
          <t>0</t>
        </is>
      </c>
    </row>
    <row r="157">
      <c r="A157" t="inlineStr">
        <is>
          <t>ALL</t>
        </is>
      </c>
      <c r="B157" t="inlineStr">
        <is>
          <t>epic</t>
        </is>
      </c>
      <c r="C157" t="n">
        <v>2</v>
      </c>
      <c r="D157" t="inlineStr">
        <is>
          <t>Str %</t>
        </is>
      </c>
      <c r="E157" t="n">
        <v>6</v>
      </c>
      <c r="F157" t="n">
        <v>1.08</v>
      </c>
      <c r="G157" t="b">
        <v>1</v>
      </c>
      <c r="H157" t="inlineStr">
        <is>
          <t>0</t>
        </is>
      </c>
    </row>
    <row r="158">
      <c r="A158" t="inlineStr">
        <is>
          <t>ALL</t>
        </is>
      </c>
      <c r="B158" t="inlineStr">
        <is>
          <t>epic</t>
        </is>
      </c>
      <c r="C158" t="n">
        <v>2</v>
      </c>
      <c r="D158" t="inlineStr">
        <is>
          <t>Dex %</t>
        </is>
      </c>
      <c r="E158" t="n">
        <v>4.5</v>
      </c>
      <c r="F158" t="n">
        <v>3.42</v>
      </c>
      <c r="G158" t="b">
        <v>0</v>
      </c>
      <c r="H158">
        <f>Sensitivity!H6</f>
        <v/>
      </c>
    </row>
    <row r="159">
      <c r="A159" t="inlineStr">
        <is>
          <t>ALL</t>
        </is>
      </c>
      <c r="B159" t="inlineStr">
        <is>
          <t>epic</t>
        </is>
      </c>
      <c r="C159" t="n">
        <v>2</v>
      </c>
      <c r="D159" t="inlineStr">
        <is>
          <t>Dex %</t>
        </is>
      </c>
      <c r="E159" t="n">
        <v>6</v>
      </c>
      <c r="F159" t="n">
        <v>1.08</v>
      </c>
      <c r="G159" t="b">
        <v>1</v>
      </c>
      <c r="H159">
        <f>Sensitivity!H6</f>
        <v/>
      </c>
    </row>
    <row r="160">
      <c r="A160" t="inlineStr">
        <is>
          <t>ALL</t>
        </is>
      </c>
      <c r="B160" t="inlineStr">
        <is>
          <t>epic</t>
        </is>
      </c>
      <c r="C160" t="n">
        <v>2</v>
      </c>
      <c r="D160" t="inlineStr">
        <is>
          <t>Int %</t>
        </is>
      </c>
      <c r="E160" t="n">
        <v>4.5</v>
      </c>
      <c r="F160" t="n">
        <v>3.42</v>
      </c>
      <c r="G160" t="b">
        <v>0</v>
      </c>
      <c r="H160" t="inlineStr">
        <is>
          <t>0</t>
        </is>
      </c>
    </row>
    <row r="161">
      <c r="A161" t="inlineStr">
        <is>
          <t>ALL</t>
        </is>
      </c>
      <c r="B161" t="inlineStr">
        <is>
          <t>epic</t>
        </is>
      </c>
      <c r="C161" t="n">
        <v>2</v>
      </c>
      <c r="D161" t="inlineStr">
        <is>
          <t>Int %</t>
        </is>
      </c>
      <c r="E161" t="n">
        <v>6</v>
      </c>
      <c r="F161" t="n">
        <v>1.08</v>
      </c>
      <c r="G161" t="b">
        <v>1</v>
      </c>
      <c r="H161" t="inlineStr">
        <is>
          <t>0</t>
        </is>
      </c>
    </row>
    <row r="162">
      <c r="A162" t="inlineStr">
        <is>
          <t>ALL</t>
        </is>
      </c>
      <c r="B162" t="inlineStr">
        <is>
          <t>epic</t>
        </is>
      </c>
      <c r="C162" t="n">
        <v>2</v>
      </c>
      <c r="D162" t="inlineStr">
        <is>
          <t>Luk %</t>
        </is>
      </c>
      <c r="E162" t="n">
        <v>4.5</v>
      </c>
      <c r="F162" t="n">
        <v>3.42</v>
      </c>
      <c r="G162" t="b">
        <v>0</v>
      </c>
      <c r="H162" t="inlineStr">
        <is>
          <t>0</t>
        </is>
      </c>
    </row>
    <row r="163">
      <c r="A163" t="inlineStr">
        <is>
          <t>ALL</t>
        </is>
      </c>
      <c r="B163" t="inlineStr">
        <is>
          <t>epic</t>
        </is>
      </c>
      <c r="C163" t="n">
        <v>2</v>
      </c>
      <c r="D163" t="inlineStr">
        <is>
          <t>Luk %</t>
        </is>
      </c>
      <c r="E163" t="n">
        <v>6</v>
      </c>
      <c r="F163" t="n">
        <v>1.08</v>
      </c>
      <c r="G163" t="b">
        <v>1</v>
      </c>
      <c r="H163" t="inlineStr">
        <is>
          <t>0</t>
        </is>
      </c>
    </row>
    <row r="164">
      <c r="A164" t="inlineStr">
        <is>
          <t>ALL</t>
        </is>
      </c>
      <c r="B164" t="inlineStr">
        <is>
          <t>epic</t>
        </is>
      </c>
      <c r="C164" t="n">
        <v>2</v>
      </c>
      <c r="D164" t="inlineStr">
        <is>
          <t>Defense %</t>
        </is>
      </c>
      <c r="E164" t="n">
        <v>4.5</v>
      </c>
      <c r="F164" t="n">
        <v>6.84</v>
      </c>
      <c r="G164" t="b">
        <v>0</v>
      </c>
      <c r="H164" t="inlineStr">
        <is>
          <t>0</t>
        </is>
      </c>
    </row>
    <row r="165">
      <c r="A165" t="inlineStr">
        <is>
          <t>ALL</t>
        </is>
      </c>
      <c r="B165" t="inlineStr">
        <is>
          <t>epic</t>
        </is>
      </c>
      <c r="C165" t="n">
        <v>2</v>
      </c>
      <c r="D165" t="inlineStr">
        <is>
          <t>Defense %</t>
        </is>
      </c>
      <c r="E165" t="n">
        <v>6</v>
      </c>
      <c r="F165" t="n">
        <v>2.16</v>
      </c>
      <c r="G165" t="b">
        <v>1</v>
      </c>
      <c r="H165" t="inlineStr">
        <is>
          <t>0</t>
        </is>
      </c>
    </row>
    <row r="166">
      <c r="A166" t="inlineStr">
        <is>
          <t>ALL</t>
        </is>
      </c>
      <c r="B166" t="inlineStr">
        <is>
          <t>epic</t>
        </is>
      </c>
      <c r="C166" t="n">
        <v>2</v>
      </c>
      <c r="D166" t="inlineStr">
        <is>
          <t>Max HP %</t>
        </is>
      </c>
      <c r="E166" t="n">
        <v>9</v>
      </c>
      <c r="F166" t="n">
        <v>6.84</v>
      </c>
      <c r="G166" t="b">
        <v>0</v>
      </c>
      <c r="H166" t="inlineStr">
        <is>
          <t>0</t>
        </is>
      </c>
    </row>
    <row r="167">
      <c r="A167" t="inlineStr">
        <is>
          <t>ALL</t>
        </is>
      </c>
      <c r="B167" t="inlineStr">
        <is>
          <t>epic</t>
        </is>
      </c>
      <c r="C167" t="n">
        <v>2</v>
      </c>
      <c r="D167" t="inlineStr">
        <is>
          <t>Max HP %</t>
        </is>
      </c>
      <c r="E167" t="n">
        <v>12</v>
      </c>
      <c r="F167" t="n">
        <v>2.16</v>
      </c>
      <c r="G167" t="b">
        <v>1</v>
      </c>
      <c r="H167" t="inlineStr">
        <is>
          <t>0</t>
        </is>
      </c>
    </row>
    <row r="168">
      <c r="A168" t="inlineStr">
        <is>
          <t>ALL</t>
        </is>
      </c>
      <c r="B168" t="inlineStr">
        <is>
          <t>epic</t>
        </is>
      </c>
      <c r="C168" t="n">
        <v>2</v>
      </c>
      <c r="D168" t="inlineStr">
        <is>
          <t>Max MP %</t>
        </is>
      </c>
      <c r="E168" t="n">
        <v>4.5</v>
      </c>
      <c r="F168" t="n">
        <v>6.84</v>
      </c>
      <c r="G168" t="b">
        <v>0</v>
      </c>
      <c r="H168" t="inlineStr">
        <is>
          <t>0</t>
        </is>
      </c>
    </row>
    <row r="169">
      <c r="A169" t="inlineStr">
        <is>
          <t>ALL</t>
        </is>
      </c>
      <c r="B169" t="inlineStr">
        <is>
          <t>epic</t>
        </is>
      </c>
      <c r="C169" t="n">
        <v>2</v>
      </c>
      <c r="D169" t="inlineStr">
        <is>
          <t>Max MP %</t>
        </is>
      </c>
      <c r="E169" t="n">
        <v>6</v>
      </c>
      <c r="F169" t="n">
        <v>2.16</v>
      </c>
      <c r="G169" t="b">
        <v>1</v>
      </c>
      <c r="H169" t="inlineStr">
        <is>
          <t>0</t>
        </is>
      </c>
    </row>
    <row r="170">
      <c r="A170" t="inlineStr">
        <is>
          <t>ALL</t>
        </is>
      </c>
      <c r="B170" t="inlineStr">
        <is>
          <t>epic</t>
        </is>
      </c>
      <c r="C170" t="n">
        <v>2</v>
      </c>
      <c r="D170" t="inlineStr">
        <is>
          <t>Str</t>
        </is>
      </c>
      <c r="E170" t="n">
        <v>100</v>
      </c>
      <c r="F170" t="n">
        <v>7.22</v>
      </c>
      <c r="G170" t="b">
        <v>0</v>
      </c>
      <c r="H170" t="inlineStr">
        <is>
          <t>0</t>
        </is>
      </c>
    </row>
    <row r="171">
      <c r="A171" t="inlineStr">
        <is>
          <t>ALL</t>
        </is>
      </c>
      <c r="B171" t="inlineStr">
        <is>
          <t>epic</t>
        </is>
      </c>
      <c r="C171" t="n">
        <v>2</v>
      </c>
      <c r="D171" t="inlineStr">
        <is>
          <t>Str</t>
        </is>
      </c>
      <c r="E171" t="n">
        <v>200</v>
      </c>
      <c r="F171" t="n">
        <v>2.22</v>
      </c>
      <c r="G171" t="b">
        <v>1</v>
      </c>
      <c r="H171" t="inlineStr">
        <is>
          <t>0</t>
        </is>
      </c>
    </row>
    <row r="172">
      <c r="A172" t="inlineStr">
        <is>
          <t>ALL</t>
        </is>
      </c>
      <c r="B172" t="inlineStr">
        <is>
          <t>epic</t>
        </is>
      </c>
      <c r="C172" t="n">
        <v>2</v>
      </c>
      <c r="D172" t="inlineStr">
        <is>
          <t>Dex</t>
        </is>
      </c>
      <c r="E172" t="n">
        <v>100</v>
      </c>
      <c r="F172" t="n">
        <v>7.22</v>
      </c>
      <c r="G172" t="b">
        <v>0</v>
      </c>
      <c r="H172">
        <f>Sensitivity!H5</f>
        <v/>
      </c>
    </row>
    <row r="173">
      <c r="A173" t="inlineStr">
        <is>
          <t>ALL</t>
        </is>
      </c>
      <c r="B173" t="inlineStr">
        <is>
          <t>epic</t>
        </is>
      </c>
      <c r="C173" t="n">
        <v>2</v>
      </c>
      <c r="D173" t="inlineStr">
        <is>
          <t>Dex</t>
        </is>
      </c>
      <c r="E173" t="n">
        <v>200</v>
      </c>
      <c r="F173" t="n">
        <v>2.22</v>
      </c>
      <c r="G173" t="b">
        <v>1</v>
      </c>
      <c r="H173">
        <f>Sensitivity!H5</f>
        <v/>
      </c>
    </row>
    <row r="174">
      <c r="A174" t="inlineStr">
        <is>
          <t>ALL</t>
        </is>
      </c>
      <c r="B174" t="inlineStr">
        <is>
          <t>epic</t>
        </is>
      </c>
      <c r="C174" t="n">
        <v>2</v>
      </c>
      <c r="D174" t="inlineStr">
        <is>
          <t>Int</t>
        </is>
      </c>
      <c r="E174" t="n">
        <v>100</v>
      </c>
      <c r="F174" t="n">
        <v>7.22</v>
      </c>
      <c r="G174" t="b">
        <v>0</v>
      </c>
      <c r="H174" t="inlineStr">
        <is>
          <t>0</t>
        </is>
      </c>
    </row>
    <row r="175">
      <c r="A175" t="inlineStr">
        <is>
          <t>ALL</t>
        </is>
      </c>
      <c r="B175" t="inlineStr">
        <is>
          <t>epic</t>
        </is>
      </c>
      <c r="C175" t="n">
        <v>2</v>
      </c>
      <c r="D175" t="inlineStr">
        <is>
          <t>Int</t>
        </is>
      </c>
      <c r="E175" t="n">
        <v>200</v>
      </c>
      <c r="F175" t="n">
        <v>2.22</v>
      </c>
      <c r="G175" t="b">
        <v>1</v>
      </c>
      <c r="H175" t="inlineStr">
        <is>
          <t>0</t>
        </is>
      </c>
    </row>
    <row r="176">
      <c r="A176" t="inlineStr">
        <is>
          <t>ALL</t>
        </is>
      </c>
      <c r="B176" t="inlineStr">
        <is>
          <t>epic</t>
        </is>
      </c>
      <c r="C176" t="n">
        <v>2</v>
      </c>
      <c r="D176" t="inlineStr">
        <is>
          <t>Luk</t>
        </is>
      </c>
      <c r="E176" t="n">
        <v>100</v>
      </c>
      <c r="F176" t="n">
        <v>7.22</v>
      </c>
      <c r="G176" t="b">
        <v>0</v>
      </c>
      <c r="H176" t="inlineStr">
        <is>
          <t>0</t>
        </is>
      </c>
    </row>
    <row r="177">
      <c r="A177" t="inlineStr">
        <is>
          <t>ALL</t>
        </is>
      </c>
      <c r="B177" t="inlineStr">
        <is>
          <t>epic</t>
        </is>
      </c>
      <c r="C177" t="n">
        <v>2</v>
      </c>
      <c r="D177" t="inlineStr">
        <is>
          <t>Luk</t>
        </is>
      </c>
      <c r="E177" t="n">
        <v>200</v>
      </c>
      <c r="F177" t="n">
        <v>2.22</v>
      </c>
      <c r="G177" t="b">
        <v>1</v>
      </c>
      <c r="H177" t="inlineStr">
        <is>
          <t>0</t>
        </is>
      </c>
    </row>
    <row r="178">
      <c r="A178" t="inlineStr">
        <is>
          <t>ALL</t>
        </is>
      </c>
      <c r="B178" t="inlineStr">
        <is>
          <t>epic</t>
        </is>
      </c>
      <c r="C178" t="n">
        <v>3</v>
      </c>
      <c r="D178" t="inlineStr">
        <is>
          <t>Critical Rate %</t>
        </is>
      </c>
      <c r="E178" t="n">
        <v>4.5</v>
      </c>
      <c r="F178" t="n">
        <v>2.3</v>
      </c>
      <c r="G178" t="b">
        <v>0</v>
      </c>
      <c r="H178">
        <f>IF(AND(Inputs!$B$9+Summary!$B$14+Artifacts!$B$32&gt;=100,NOT(ArtifactsInput!$M$42),NOT(ArtifactsInput!$M$24)),Sensitivity!H16,Sensitivity!H15)</f>
        <v/>
      </c>
    </row>
    <row r="179">
      <c r="A179" t="inlineStr">
        <is>
          <t>ALL</t>
        </is>
      </c>
      <c r="B179" t="inlineStr">
        <is>
          <t>epic</t>
        </is>
      </c>
      <c r="C179" t="n">
        <v>3</v>
      </c>
      <c r="D179" t="inlineStr">
        <is>
          <t>Critical Rate %</t>
        </is>
      </c>
      <c r="E179" t="n">
        <v>6</v>
      </c>
      <c r="F179" t="n">
        <v>0.2</v>
      </c>
      <c r="G179" t="b">
        <v>1</v>
      </c>
      <c r="H179">
        <f>IF(AND(Inputs!$B$9+Summary!$B$14+Artifacts!$B$32&gt;=100,NOT(ArtifactsInput!$M$42),NOT(ArtifactsInput!$M$24)),Sensitivity!H16,Sensitivity!H15)</f>
        <v/>
      </c>
    </row>
    <row r="180">
      <c r="A180" t="inlineStr">
        <is>
          <t>ALL</t>
        </is>
      </c>
      <c r="B180" t="inlineStr">
        <is>
          <t>epic</t>
        </is>
      </c>
      <c r="C180" t="n">
        <v>3</v>
      </c>
      <c r="D180" t="inlineStr">
        <is>
          <t>Attack Speed %</t>
        </is>
      </c>
      <c r="E180" t="n">
        <v>3.5</v>
      </c>
      <c r="F180" t="n">
        <v>2.3</v>
      </c>
      <c r="G180" t="b">
        <v>0</v>
      </c>
      <c r="H180">
        <f>Sensitivity!H17</f>
        <v/>
      </c>
    </row>
    <row r="181">
      <c r="A181" t="inlineStr">
        <is>
          <t>ALL</t>
        </is>
      </c>
      <c r="B181" t="inlineStr">
        <is>
          <t>epic</t>
        </is>
      </c>
      <c r="C181" t="n">
        <v>3</v>
      </c>
      <c r="D181" t="inlineStr">
        <is>
          <t>Attack Speed %</t>
        </is>
      </c>
      <c r="E181" t="n">
        <v>4</v>
      </c>
      <c r="F181" t="n">
        <v>0.2</v>
      </c>
      <c r="G181" t="b">
        <v>1</v>
      </c>
      <c r="H181">
        <f>Sensitivity!H17</f>
        <v/>
      </c>
    </row>
    <row r="182">
      <c r="A182" t="inlineStr">
        <is>
          <t>ALL</t>
        </is>
      </c>
      <c r="B182" t="inlineStr">
        <is>
          <t>epic</t>
        </is>
      </c>
      <c r="C182" t="n">
        <v>3</v>
      </c>
      <c r="D182" t="inlineStr">
        <is>
          <t>Damage %</t>
        </is>
      </c>
      <c r="E182" t="n">
        <v>8</v>
      </c>
      <c r="F182" t="n">
        <v>3.68</v>
      </c>
      <c r="G182" t="b">
        <v>0</v>
      </c>
      <c r="H182">
        <f>Sensitivity!H8</f>
        <v/>
      </c>
    </row>
    <row r="183">
      <c r="A183" t="inlineStr">
        <is>
          <t>ALL</t>
        </is>
      </c>
      <c r="B183" t="inlineStr">
        <is>
          <t>epic</t>
        </is>
      </c>
      <c r="C183" t="n">
        <v>3</v>
      </c>
      <c r="D183" t="inlineStr">
        <is>
          <t>Damage %</t>
        </is>
      </c>
      <c r="E183" t="n">
        <v>12</v>
      </c>
      <c r="F183" t="n">
        <v>0.32</v>
      </c>
      <c r="G183" t="b">
        <v>1</v>
      </c>
      <c r="H183">
        <f>Sensitivity!H8</f>
        <v/>
      </c>
    </row>
    <row r="184">
      <c r="A184" t="inlineStr">
        <is>
          <t>ALL</t>
        </is>
      </c>
      <c r="B184" t="inlineStr">
        <is>
          <t>epic</t>
        </is>
      </c>
      <c r="C184" t="n">
        <v>3</v>
      </c>
      <c r="D184" t="inlineStr">
        <is>
          <t>Min Damage Multiplier %</t>
        </is>
      </c>
      <c r="E184" t="n">
        <v>6</v>
      </c>
      <c r="F184" t="n">
        <v>3.68</v>
      </c>
      <c r="G184" t="b">
        <v>0</v>
      </c>
      <c r="H184">
        <f>Sensitivity!H13</f>
        <v/>
      </c>
    </row>
    <row r="185">
      <c r="A185" t="inlineStr">
        <is>
          <t>ALL</t>
        </is>
      </c>
      <c r="B185" t="inlineStr">
        <is>
          <t>epic</t>
        </is>
      </c>
      <c r="C185" t="n">
        <v>3</v>
      </c>
      <c r="D185" t="inlineStr">
        <is>
          <t>Min Damage Multiplier %</t>
        </is>
      </c>
      <c r="E185" t="n">
        <v>8</v>
      </c>
      <c r="F185" t="n">
        <v>0.32</v>
      </c>
      <c r="G185" t="b">
        <v>1</v>
      </c>
      <c r="H185">
        <f>Sensitivity!H13</f>
        <v/>
      </c>
    </row>
    <row r="186">
      <c r="A186" t="inlineStr">
        <is>
          <t>ALL</t>
        </is>
      </c>
      <c r="B186" t="inlineStr">
        <is>
          <t>epic</t>
        </is>
      </c>
      <c r="C186" t="n">
        <v>3</v>
      </c>
      <c r="D186" t="inlineStr">
        <is>
          <t>Max Damage Multiplier %</t>
        </is>
      </c>
      <c r="E186" t="n">
        <v>6</v>
      </c>
      <c r="F186" t="n">
        <v>3.68</v>
      </c>
      <c r="G186" t="b">
        <v>0</v>
      </c>
      <c r="H186">
        <f>Sensitivity!H14</f>
        <v/>
      </c>
    </row>
    <row r="187">
      <c r="A187" t="inlineStr">
        <is>
          <t>ALL</t>
        </is>
      </c>
      <c r="B187" t="inlineStr">
        <is>
          <t>epic</t>
        </is>
      </c>
      <c r="C187" t="n">
        <v>3</v>
      </c>
      <c r="D187" t="inlineStr">
        <is>
          <t>Max Damage Multiplier %</t>
        </is>
      </c>
      <c r="E187" t="n">
        <v>8</v>
      </c>
      <c r="F187" t="n">
        <v>0.32</v>
      </c>
      <c r="G187" t="b">
        <v>1</v>
      </c>
      <c r="H187">
        <f>Sensitivity!H14</f>
        <v/>
      </c>
    </row>
    <row r="188">
      <c r="A188" t="inlineStr">
        <is>
          <t>ALL</t>
        </is>
      </c>
      <c r="B188" t="inlineStr">
        <is>
          <t>epic</t>
        </is>
      </c>
      <c r="C188" t="n">
        <v>3</v>
      </c>
      <c r="D188" t="inlineStr">
        <is>
          <t>Str %</t>
        </is>
      </c>
      <c r="E188" t="n">
        <v>4.5</v>
      </c>
      <c r="F188" t="n">
        <v>4.14</v>
      </c>
      <c r="G188" t="b">
        <v>0</v>
      </c>
      <c r="H188" t="inlineStr">
        <is>
          <t>0</t>
        </is>
      </c>
    </row>
    <row r="189">
      <c r="A189" t="inlineStr">
        <is>
          <t>ALL</t>
        </is>
      </c>
      <c r="B189" t="inlineStr">
        <is>
          <t>epic</t>
        </is>
      </c>
      <c r="C189" t="n">
        <v>3</v>
      </c>
      <c r="D189" t="inlineStr">
        <is>
          <t>Str %</t>
        </is>
      </c>
      <c r="E189" t="n">
        <v>6</v>
      </c>
      <c r="F189" t="n">
        <v>0.36</v>
      </c>
      <c r="G189" t="b">
        <v>1</v>
      </c>
      <c r="H189" t="inlineStr">
        <is>
          <t>0</t>
        </is>
      </c>
    </row>
    <row r="190">
      <c r="A190" t="inlineStr">
        <is>
          <t>ALL</t>
        </is>
      </c>
      <c r="B190" t="inlineStr">
        <is>
          <t>epic</t>
        </is>
      </c>
      <c r="C190" t="n">
        <v>3</v>
      </c>
      <c r="D190" t="inlineStr">
        <is>
          <t>Dex %</t>
        </is>
      </c>
      <c r="E190" t="n">
        <v>4.5</v>
      </c>
      <c r="F190" t="n">
        <v>4.14</v>
      </c>
      <c r="G190" t="b">
        <v>0</v>
      </c>
      <c r="H190">
        <f>Sensitivity!H6</f>
        <v/>
      </c>
    </row>
    <row r="191">
      <c r="A191" t="inlineStr">
        <is>
          <t>ALL</t>
        </is>
      </c>
      <c r="B191" t="inlineStr">
        <is>
          <t>epic</t>
        </is>
      </c>
      <c r="C191" t="n">
        <v>3</v>
      </c>
      <c r="D191" t="inlineStr">
        <is>
          <t>Dex %</t>
        </is>
      </c>
      <c r="E191" t="n">
        <v>6</v>
      </c>
      <c r="F191" t="n">
        <v>0.36</v>
      </c>
      <c r="G191" t="b">
        <v>1</v>
      </c>
      <c r="H191">
        <f>Sensitivity!H6</f>
        <v/>
      </c>
    </row>
    <row r="192">
      <c r="A192" t="inlineStr">
        <is>
          <t>ALL</t>
        </is>
      </c>
      <c r="B192" t="inlineStr">
        <is>
          <t>epic</t>
        </is>
      </c>
      <c r="C192" t="n">
        <v>3</v>
      </c>
      <c r="D192" t="inlineStr">
        <is>
          <t>Int %</t>
        </is>
      </c>
      <c r="E192" t="n">
        <v>4.5</v>
      </c>
      <c r="F192" t="n">
        <v>4.14</v>
      </c>
      <c r="G192" t="b">
        <v>0</v>
      </c>
      <c r="H192" t="inlineStr">
        <is>
          <t>0</t>
        </is>
      </c>
    </row>
    <row r="193">
      <c r="A193" t="inlineStr">
        <is>
          <t>ALL</t>
        </is>
      </c>
      <c r="B193" t="inlineStr">
        <is>
          <t>epic</t>
        </is>
      </c>
      <c r="C193" t="n">
        <v>3</v>
      </c>
      <c r="D193" t="inlineStr">
        <is>
          <t>Int %</t>
        </is>
      </c>
      <c r="E193" t="n">
        <v>6</v>
      </c>
      <c r="F193" t="n">
        <v>0.36</v>
      </c>
      <c r="G193" t="b">
        <v>1</v>
      </c>
      <c r="H193" t="inlineStr">
        <is>
          <t>0</t>
        </is>
      </c>
    </row>
    <row r="194">
      <c r="A194" t="inlineStr">
        <is>
          <t>ALL</t>
        </is>
      </c>
      <c r="B194" t="inlineStr">
        <is>
          <t>epic</t>
        </is>
      </c>
      <c r="C194" t="n">
        <v>3</v>
      </c>
      <c r="D194" t="inlineStr">
        <is>
          <t>Luk %</t>
        </is>
      </c>
      <c r="E194" t="n">
        <v>4.5</v>
      </c>
      <c r="F194" t="n">
        <v>4.14</v>
      </c>
      <c r="G194" t="b">
        <v>0</v>
      </c>
      <c r="H194" t="inlineStr">
        <is>
          <t>0</t>
        </is>
      </c>
    </row>
    <row r="195">
      <c r="A195" t="inlineStr">
        <is>
          <t>ALL</t>
        </is>
      </c>
      <c r="B195" t="inlineStr">
        <is>
          <t>epic</t>
        </is>
      </c>
      <c r="C195" t="n">
        <v>3</v>
      </c>
      <c r="D195" t="inlineStr">
        <is>
          <t>Luk %</t>
        </is>
      </c>
      <c r="E195" t="n">
        <v>6</v>
      </c>
      <c r="F195" t="n">
        <v>0.36</v>
      </c>
      <c r="G195" t="b">
        <v>1</v>
      </c>
      <c r="H195" t="inlineStr">
        <is>
          <t>0</t>
        </is>
      </c>
    </row>
    <row r="196">
      <c r="A196" t="inlineStr">
        <is>
          <t>ALL</t>
        </is>
      </c>
      <c r="B196" t="inlineStr">
        <is>
          <t>epic</t>
        </is>
      </c>
      <c r="C196" t="n">
        <v>3</v>
      </c>
      <c r="D196" t="inlineStr">
        <is>
          <t>Defense %</t>
        </is>
      </c>
      <c r="E196" t="n">
        <v>4.5</v>
      </c>
      <c r="F196" t="n">
        <v>8.279999999999999</v>
      </c>
      <c r="G196" t="b">
        <v>0</v>
      </c>
      <c r="H196" t="inlineStr">
        <is>
          <t>0</t>
        </is>
      </c>
    </row>
    <row r="197">
      <c r="A197" t="inlineStr">
        <is>
          <t>ALL</t>
        </is>
      </c>
      <c r="B197" t="inlineStr">
        <is>
          <t>epic</t>
        </is>
      </c>
      <c r="C197" t="n">
        <v>3</v>
      </c>
      <c r="D197" t="inlineStr">
        <is>
          <t>Defense %</t>
        </is>
      </c>
      <c r="E197" t="n">
        <v>6</v>
      </c>
      <c r="F197" t="n">
        <v>0.72</v>
      </c>
      <c r="G197" t="b">
        <v>1</v>
      </c>
      <c r="H197" t="inlineStr">
        <is>
          <t>0</t>
        </is>
      </c>
    </row>
    <row r="198">
      <c r="A198" t="inlineStr">
        <is>
          <t>ALL</t>
        </is>
      </c>
      <c r="B198" t="inlineStr">
        <is>
          <t>epic</t>
        </is>
      </c>
      <c r="C198" t="n">
        <v>3</v>
      </c>
      <c r="D198" t="inlineStr">
        <is>
          <t>Max HP %</t>
        </is>
      </c>
      <c r="E198" t="n">
        <v>9</v>
      </c>
      <c r="F198" t="n">
        <v>8.279999999999999</v>
      </c>
      <c r="G198" t="b">
        <v>0</v>
      </c>
      <c r="H198" t="inlineStr">
        <is>
          <t>0</t>
        </is>
      </c>
    </row>
    <row r="199">
      <c r="A199" t="inlineStr">
        <is>
          <t>ALL</t>
        </is>
      </c>
      <c r="B199" t="inlineStr">
        <is>
          <t>epic</t>
        </is>
      </c>
      <c r="C199" t="n">
        <v>3</v>
      </c>
      <c r="D199" t="inlineStr">
        <is>
          <t>Max HP %</t>
        </is>
      </c>
      <c r="E199" t="n">
        <v>12</v>
      </c>
      <c r="F199" t="n">
        <v>0.72</v>
      </c>
      <c r="G199" t="b">
        <v>1</v>
      </c>
      <c r="H199" t="inlineStr">
        <is>
          <t>0</t>
        </is>
      </c>
    </row>
    <row r="200">
      <c r="A200" t="inlineStr">
        <is>
          <t>ALL</t>
        </is>
      </c>
      <c r="B200" t="inlineStr">
        <is>
          <t>epic</t>
        </is>
      </c>
      <c r="C200" t="n">
        <v>3</v>
      </c>
      <c r="D200" t="inlineStr">
        <is>
          <t>Max MP %</t>
        </is>
      </c>
      <c r="E200" t="n">
        <v>4.5</v>
      </c>
      <c r="F200" t="n">
        <v>8.279999999999999</v>
      </c>
      <c r="G200" t="b">
        <v>0</v>
      </c>
      <c r="H200" t="inlineStr">
        <is>
          <t>0</t>
        </is>
      </c>
    </row>
    <row r="201">
      <c r="A201" t="inlineStr">
        <is>
          <t>ALL</t>
        </is>
      </c>
      <c r="B201" t="inlineStr">
        <is>
          <t>epic</t>
        </is>
      </c>
      <c r="C201" t="n">
        <v>3</v>
      </c>
      <c r="D201" t="inlineStr">
        <is>
          <t>Max MP %</t>
        </is>
      </c>
      <c r="E201" t="n">
        <v>6</v>
      </c>
      <c r="F201" t="n">
        <v>0.72</v>
      </c>
      <c r="G201" t="b">
        <v>1</v>
      </c>
      <c r="H201" t="inlineStr">
        <is>
          <t>0</t>
        </is>
      </c>
    </row>
    <row r="202">
      <c r="A202" t="inlineStr">
        <is>
          <t>ALL</t>
        </is>
      </c>
      <c r="B202" t="inlineStr">
        <is>
          <t>epic</t>
        </is>
      </c>
      <c r="C202" t="n">
        <v>3</v>
      </c>
      <c r="D202" t="inlineStr">
        <is>
          <t>Str</t>
        </is>
      </c>
      <c r="E202" t="n">
        <v>100</v>
      </c>
      <c r="F202" t="n">
        <v>8.74</v>
      </c>
      <c r="G202" t="b">
        <v>0</v>
      </c>
      <c r="H202" t="inlineStr">
        <is>
          <t>0</t>
        </is>
      </c>
    </row>
    <row r="203">
      <c r="A203" t="inlineStr">
        <is>
          <t>ALL</t>
        </is>
      </c>
      <c r="B203" t="inlineStr">
        <is>
          <t>epic</t>
        </is>
      </c>
      <c r="C203" t="n">
        <v>3</v>
      </c>
      <c r="D203" t="inlineStr">
        <is>
          <t>Str</t>
        </is>
      </c>
      <c r="E203" t="n">
        <v>200</v>
      </c>
      <c r="F203" t="n">
        <v>0.74</v>
      </c>
      <c r="G203" t="b">
        <v>1</v>
      </c>
      <c r="H203" t="inlineStr">
        <is>
          <t>0</t>
        </is>
      </c>
    </row>
    <row r="204">
      <c r="A204" t="inlineStr">
        <is>
          <t>ALL</t>
        </is>
      </c>
      <c r="B204" t="inlineStr">
        <is>
          <t>epic</t>
        </is>
      </c>
      <c r="C204" t="n">
        <v>3</v>
      </c>
      <c r="D204" t="inlineStr">
        <is>
          <t>Dex</t>
        </is>
      </c>
      <c r="E204" t="n">
        <v>100</v>
      </c>
      <c r="F204" t="n">
        <v>8.74</v>
      </c>
      <c r="G204" t="b">
        <v>0</v>
      </c>
      <c r="H204">
        <f>Sensitivity!H5</f>
        <v/>
      </c>
    </row>
    <row r="205">
      <c r="A205" t="inlineStr">
        <is>
          <t>ALL</t>
        </is>
      </c>
      <c r="B205" t="inlineStr">
        <is>
          <t>epic</t>
        </is>
      </c>
      <c r="C205" t="n">
        <v>3</v>
      </c>
      <c r="D205" t="inlineStr">
        <is>
          <t>Dex</t>
        </is>
      </c>
      <c r="E205" t="n">
        <v>200</v>
      </c>
      <c r="F205" t="n">
        <v>0.74</v>
      </c>
      <c r="G205" t="b">
        <v>1</v>
      </c>
      <c r="H205">
        <f>Sensitivity!H5</f>
        <v/>
      </c>
    </row>
    <row r="206">
      <c r="A206" t="inlineStr">
        <is>
          <t>ALL</t>
        </is>
      </c>
      <c r="B206" t="inlineStr">
        <is>
          <t>epic</t>
        </is>
      </c>
      <c r="C206" t="n">
        <v>3</v>
      </c>
      <c r="D206" t="inlineStr">
        <is>
          <t>Int</t>
        </is>
      </c>
      <c r="E206" t="n">
        <v>100</v>
      </c>
      <c r="F206" t="n">
        <v>8.74</v>
      </c>
      <c r="G206" t="b">
        <v>0</v>
      </c>
      <c r="H206" t="inlineStr">
        <is>
          <t>0</t>
        </is>
      </c>
    </row>
    <row r="207">
      <c r="A207" t="inlineStr">
        <is>
          <t>ALL</t>
        </is>
      </c>
      <c r="B207" t="inlineStr">
        <is>
          <t>epic</t>
        </is>
      </c>
      <c r="C207" t="n">
        <v>3</v>
      </c>
      <c r="D207" t="inlineStr">
        <is>
          <t>Int</t>
        </is>
      </c>
      <c r="E207" t="n">
        <v>200</v>
      </c>
      <c r="F207" t="n">
        <v>0.74</v>
      </c>
      <c r="G207" t="b">
        <v>1</v>
      </c>
      <c r="H207" t="inlineStr">
        <is>
          <t>0</t>
        </is>
      </c>
    </row>
    <row r="208">
      <c r="A208" t="inlineStr">
        <is>
          <t>ALL</t>
        </is>
      </c>
      <c r="B208" t="inlineStr">
        <is>
          <t>epic</t>
        </is>
      </c>
      <c r="C208" t="n">
        <v>3</v>
      </c>
      <c r="D208" t="inlineStr">
        <is>
          <t>Luk</t>
        </is>
      </c>
      <c r="E208" t="n">
        <v>100</v>
      </c>
      <c r="F208" t="n">
        <v>8.74</v>
      </c>
      <c r="G208" t="b">
        <v>0</v>
      </c>
      <c r="H208" t="inlineStr">
        <is>
          <t>0</t>
        </is>
      </c>
    </row>
    <row r="209">
      <c r="A209" t="inlineStr">
        <is>
          <t>ALL</t>
        </is>
      </c>
      <c r="B209" t="inlineStr">
        <is>
          <t>epic</t>
        </is>
      </c>
      <c r="C209" t="n">
        <v>3</v>
      </c>
      <c r="D209" t="inlineStr">
        <is>
          <t>Luk</t>
        </is>
      </c>
      <c r="E209" t="n">
        <v>200</v>
      </c>
      <c r="F209" t="n">
        <v>0.74</v>
      </c>
      <c r="G209" t="b">
        <v>1</v>
      </c>
      <c r="H209" t="inlineStr">
        <is>
          <t>0</t>
        </is>
      </c>
    </row>
    <row r="210">
      <c r="A210" t="inlineStr">
        <is>
          <t>ALL</t>
        </is>
      </c>
      <c r="B210" t="inlineStr">
        <is>
          <t>unique</t>
        </is>
      </c>
      <c r="C210" t="n">
        <v>1</v>
      </c>
      <c r="D210" t="inlineStr">
        <is>
          <t>Critical Rate %</t>
        </is>
      </c>
      <c r="E210" t="n">
        <v>9</v>
      </c>
      <c r="F210" t="n">
        <v>2.5</v>
      </c>
      <c r="G210" t="b">
        <v>1</v>
      </c>
      <c r="H210">
        <f>IF(AND(Inputs!$B$9+Summary!$B$14+Artifacts!$B$32&gt;=100,NOT(ArtifactsInput!$M$42),NOT(ArtifactsInput!$M$24)),Sensitivity!H16,Sensitivity!H15)</f>
        <v/>
      </c>
    </row>
    <row r="211">
      <c r="A211" t="inlineStr">
        <is>
          <t>ALL</t>
        </is>
      </c>
      <c r="B211" t="inlineStr">
        <is>
          <t>unique</t>
        </is>
      </c>
      <c r="C211" t="n">
        <v>1</v>
      </c>
      <c r="D211" t="inlineStr">
        <is>
          <t>Attack Speed %</t>
        </is>
      </c>
      <c r="E211" t="n">
        <v>5</v>
      </c>
      <c r="F211" t="n">
        <v>2.5</v>
      </c>
      <c r="G211" t="b">
        <v>1</v>
      </c>
      <c r="H211">
        <f>Sensitivity!H17</f>
        <v/>
      </c>
    </row>
    <row r="212">
      <c r="A212" t="inlineStr">
        <is>
          <t>ALL</t>
        </is>
      </c>
      <c r="B212" t="inlineStr">
        <is>
          <t>unique</t>
        </is>
      </c>
      <c r="C212" t="n">
        <v>1</v>
      </c>
      <c r="D212" t="inlineStr">
        <is>
          <t>Damage %</t>
        </is>
      </c>
      <c r="E212" t="n">
        <v>18</v>
      </c>
      <c r="F212" t="n">
        <v>4</v>
      </c>
      <c r="G212" t="b">
        <v>1</v>
      </c>
      <c r="H212">
        <f>Sensitivity!H8</f>
        <v/>
      </c>
    </row>
    <row r="213">
      <c r="A213" t="inlineStr">
        <is>
          <t>ALL</t>
        </is>
      </c>
      <c r="B213" t="inlineStr">
        <is>
          <t>unique</t>
        </is>
      </c>
      <c r="C213" t="n">
        <v>1</v>
      </c>
      <c r="D213" t="inlineStr">
        <is>
          <t>Min Damage Multiplier %</t>
        </is>
      </c>
      <c r="E213" t="n">
        <v>10</v>
      </c>
      <c r="F213" t="n">
        <v>4</v>
      </c>
      <c r="G213" t="b">
        <v>1</v>
      </c>
      <c r="H213">
        <f>Sensitivity!H13</f>
        <v/>
      </c>
    </row>
    <row r="214">
      <c r="A214" t="inlineStr">
        <is>
          <t>ALL</t>
        </is>
      </c>
      <c r="B214" t="inlineStr">
        <is>
          <t>unique</t>
        </is>
      </c>
      <c r="C214" t="n">
        <v>1</v>
      </c>
      <c r="D214" t="inlineStr">
        <is>
          <t>Max Damage Multiplier %</t>
        </is>
      </c>
      <c r="E214" t="n">
        <v>10</v>
      </c>
      <c r="F214" t="n">
        <v>4</v>
      </c>
      <c r="G214" t="b">
        <v>1</v>
      </c>
      <c r="H214">
        <f>Sensitivity!H14</f>
        <v/>
      </c>
    </row>
    <row r="215">
      <c r="A215" t="inlineStr">
        <is>
          <t>ALL</t>
        </is>
      </c>
      <c r="B215" t="inlineStr">
        <is>
          <t>unique</t>
        </is>
      </c>
      <c r="C215" t="n">
        <v>1</v>
      </c>
      <c r="D215" t="inlineStr">
        <is>
          <t>Str %</t>
        </is>
      </c>
      <c r="E215" t="n">
        <v>9</v>
      </c>
      <c r="F215" t="n">
        <v>4.5</v>
      </c>
      <c r="G215" t="b">
        <v>1</v>
      </c>
      <c r="H215" t="inlineStr">
        <is>
          <t>0</t>
        </is>
      </c>
    </row>
    <row r="216">
      <c r="A216" t="inlineStr">
        <is>
          <t>ALL</t>
        </is>
      </c>
      <c r="B216" t="inlineStr">
        <is>
          <t>unique</t>
        </is>
      </c>
      <c r="C216" t="n">
        <v>1</v>
      </c>
      <c r="D216" t="inlineStr">
        <is>
          <t>Dex %</t>
        </is>
      </c>
      <c r="E216" t="n">
        <v>9</v>
      </c>
      <c r="F216" t="n">
        <v>4.5</v>
      </c>
      <c r="G216" t="b">
        <v>1</v>
      </c>
      <c r="H216">
        <f>Sensitivity!H6</f>
        <v/>
      </c>
    </row>
    <row r="217">
      <c r="A217" t="inlineStr">
        <is>
          <t>ALL</t>
        </is>
      </c>
      <c r="B217" t="inlineStr">
        <is>
          <t>unique</t>
        </is>
      </c>
      <c r="C217" t="n">
        <v>1</v>
      </c>
      <c r="D217" t="inlineStr">
        <is>
          <t>Int %</t>
        </is>
      </c>
      <c r="E217" t="n">
        <v>9</v>
      </c>
      <c r="F217" t="n">
        <v>4.5</v>
      </c>
      <c r="G217" t="b">
        <v>1</v>
      </c>
      <c r="H217" t="inlineStr">
        <is>
          <t>0</t>
        </is>
      </c>
    </row>
    <row r="218">
      <c r="A218" t="inlineStr">
        <is>
          <t>ALL</t>
        </is>
      </c>
      <c r="B218" t="inlineStr">
        <is>
          <t>unique</t>
        </is>
      </c>
      <c r="C218" t="n">
        <v>1</v>
      </c>
      <c r="D218" t="inlineStr">
        <is>
          <t>Luk %</t>
        </is>
      </c>
      <c r="E218" t="n">
        <v>9</v>
      </c>
      <c r="F218" t="n">
        <v>4.5</v>
      </c>
      <c r="G218" t="b">
        <v>1</v>
      </c>
      <c r="H218" t="inlineStr">
        <is>
          <t>0</t>
        </is>
      </c>
    </row>
    <row r="219">
      <c r="A219" t="inlineStr">
        <is>
          <t>ALL</t>
        </is>
      </c>
      <c r="B219" t="inlineStr">
        <is>
          <t>unique</t>
        </is>
      </c>
      <c r="C219" t="n">
        <v>1</v>
      </c>
      <c r="D219" t="inlineStr">
        <is>
          <t>Defense %</t>
        </is>
      </c>
      <c r="E219" t="n">
        <v>9</v>
      </c>
      <c r="F219" t="n">
        <v>9</v>
      </c>
      <c r="G219" t="b">
        <v>1</v>
      </c>
      <c r="H219" t="inlineStr">
        <is>
          <t>0</t>
        </is>
      </c>
    </row>
    <row r="220">
      <c r="A220" t="inlineStr">
        <is>
          <t>ALL</t>
        </is>
      </c>
      <c r="B220" t="inlineStr">
        <is>
          <t>unique</t>
        </is>
      </c>
      <c r="C220" t="n">
        <v>1</v>
      </c>
      <c r="D220" t="inlineStr">
        <is>
          <t>Max HP %</t>
        </is>
      </c>
      <c r="E220" t="n">
        <v>15</v>
      </c>
      <c r="F220" t="n">
        <v>9</v>
      </c>
      <c r="G220" t="b">
        <v>1</v>
      </c>
      <c r="H220" t="inlineStr">
        <is>
          <t>0</t>
        </is>
      </c>
    </row>
    <row r="221">
      <c r="A221" t="inlineStr">
        <is>
          <t>ALL</t>
        </is>
      </c>
      <c r="B221" t="inlineStr">
        <is>
          <t>unique</t>
        </is>
      </c>
      <c r="C221" t="n">
        <v>1</v>
      </c>
      <c r="D221" t="inlineStr">
        <is>
          <t>Max MP %</t>
        </is>
      </c>
      <c r="E221" t="n">
        <v>9</v>
      </c>
      <c r="F221" t="n">
        <v>9</v>
      </c>
      <c r="G221" t="b">
        <v>1</v>
      </c>
      <c r="H221" t="inlineStr">
        <is>
          <t>0</t>
        </is>
      </c>
    </row>
    <row r="222">
      <c r="A222" t="inlineStr">
        <is>
          <t>ALL</t>
        </is>
      </c>
      <c r="B222" t="inlineStr">
        <is>
          <t>unique</t>
        </is>
      </c>
      <c r="C222" t="n">
        <v>1</v>
      </c>
      <c r="D222" t="inlineStr">
        <is>
          <t>Str</t>
        </is>
      </c>
      <c r="E222" t="n">
        <v>400</v>
      </c>
      <c r="F222" t="n">
        <v>9.25</v>
      </c>
      <c r="G222" t="b">
        <v>1</v>
      </c>
      <c r="H222" t="inlineStr">
        <is>
          <t>0</t>
        </is>
      </c>
    </row>
    <row r="223">
      <c r="A223" t="inlineStr">
        <is>
          <t>ALL</t>
        </is>
      </c>
      <c r="B223" t="inlineStr">
        <is>
          <t>unique</t>
        </is>
      </c>
      <c r="C223" t="n">
        <v>1</v>
      </c>
      <c r="D223" t="inlineStr">
        <is>
          <t>Dex</t>
        </is>
      </c>
      <c r="E223" t="n">
        <v>400</v>
      </c>
      <c r="F223" t="n">
        <v>9.25</v>
      </c>
      <c r="G223" t="b">
        <v>1</v>
      </c>
      <c r="H223">
        <f>Sensitivity!H5</f>
        <v/>
      </c>
    </row>
    <row r="224">
      <c r="A224" t="inlineStr">
        <is>
          <t>ALL</t>
        </is>
      </c>
      <c r="B224" t="inlineStr">
        <is>
          <t>unique</t>
        </is>
      </c>
      <c r="C224" t="n">
        <v>1</v>
      </c>
      <c r="D224" t="inlineStr">
        <is>
          <t>Int</t>
        </is>
      </c>
      <c r="E224" t="n">
        <v>400</v>
      </c>
      <c r="F224" t="n">
        <v>9.25</v>
      </c>
      <c r="G224" t="b">
        <v>1</v>
      </c>
      <c r="H224" t="inlineStr">
        <is>
          <t>0</t>
        </is>
      </c>
    </row>
    <row r="225">
      <c r="A225" t="inlineStr">
        <is>
          <t>ALL</t>
        </is>
      </c>
      <c r="B225" t="inlineStr">
        <is>
          <t>unique</t>
        </is>
      </c>
      <c r="C225" t="n">
        <v>1</v>
      </c>
      <c r="D225" t="inlineStr">
        <is>
          <t>Luk</t>
        </is>
      </c>
      <c r="E225" t="n">
        <v>400</v>
      </c>
      <c r="F225" t="n">
        <v>9.25</v>
      </c>
      <c r="G225" t="b">
        <v>1</v>
      </c>
      <c r="H225" t="inlineStr">
        <is>
          <t>0</t>
        </is>
      </c>
    </row>
    <row r="226">
      <c r="A226" t="inlineStr">
        <is>
          <t>ALL</t>
        </is>
      </c>
      <c r="B226" t="inlineStr">
        <is>
          <t>unique</t>
        </is>
      </c>
      <c r="C226" t="n">
        <v>2</v>
      </c>
      <c r="D226" t="inlineStr">
        <is>
          <t>Critical Rate %</t>
        </is>
      </c>
      <c r="E226" t="n">
        <v>6</v>
      </c>
      <c r="F226" t="n">
        <v>1.9</v>
      </c>
      <c r="G226" t="b">
        <v>0</v>
      </c>
      <c r="H226">
        <f>IF(AND(Inputs!$B$9+Summary!$B$14+Artifacts!$B$32&gt;=100,NOT(ArtifactsInput!$M$42),NOT(ArtifactsInput!$M$24)),Sensitivity!H16,Sensitivity!H15)</f>
        <v/>
      </c>
    </row>
    <row r="227">
      <c r="A227" t="inlineStr">
        <is>
          <t>ALL</t>
        </is>
      </c>
      <c r="B227" t="inlineStr">
        <is>
          <t>unique</t>
        </is>
      </c>
      <c r="C227" t="n">
        <v>2</v>
      </c>
      <c r="D227" t="inlineStr">
        <is>
          <t>Critical Rate %</t>
        </is>
      </c>
      <c r="E227" t="n">
        <v>9</v>
      </c>
      <c r="F227" t="n">
        <v>0.6</v>
      </c>
      <c r="G227" t="b">
        <v>1</v>
      </c>
      <c r="H227">
        <f>IF(AND(Inputs!$B$9+Summary!$B$14+Artifacts!$B$32&gt;=100,NOT(ArtifactsInput!$M$42),NOT(ArtifactsInput!$M$24)),Sensitivity!H16,Sensitivity!H15)</f>
        <v/>
      </c>
    </row>
    <row r="228">
      <c r="A228" t="inlineStr">
        <is>
          <t>ALL</t>
        </is>
      </c>
      <c r="B228" t="inlineStr">
        <is>
          <t>unique</t>
        </is>
      </c>
      <c r="C228" t="n">
        <v>2</v>
      </c>
      <c r="D228" t="inlineStr">
        <is>
          <t>Attack Speed %</t>
        </is>
      </c>
      <c r="E228" t="n">
        <v>4</v>
      </c>
      <c r="F228" t="n">
        <v>1.9</v>
      </c>
      <c r="G228" t="b">
        <v>0</v>
      </c>
      <c r="H228">
        <f>Sensitivity!H17</f>
        <v/>
      </c>
    </row>
    <row r="229">
      <c r="A229" t="inlineStr">
        <is>
          <t>ALL</t>
        </is>
      </c>
      <c r="B229" t="inlineStr">
        <is>
          <t>unique</t>
        </is>
      </c>
      <c r="C229" t="n">
        <v>2</v>
      </c>
      <c r="D229" t="inlineStr">
        <is>
          <t>Attack Speed %</t>
        </is>
      </c>
      <c r="E229" t="n">
        <v>5</v>
      </c>
      <c r="F229" t="n">
        <v>0.6</v>
      </c>
      <c r="G229" t="b">
        <v>1</v>
      </c>
      <c r="H229">
        <f>Sensitivity!H17</f>
        <v/>
      </c>
    </row>
    <row r="230">
      <c r="A230" t="inlineStr">
        <is>
          <t>ALL</t>
        </is>
      </c>
      <c r="B230" t="inlineStr">
        <is>
          <t>unique</t>
        </is>
      </c>
      <c r="C230" t="n">
        <v>2</v>
      </c>
      <c r="D230" t="inlineStr">
        <is>
          <t>Damage %</t>
        </is>
      </c>
      <c r="E230" t="n">
        <v>12</v>
      </c>
      <c r="F230" t="n">
        <v>3.04</v>
      </c>
      <c r="G230" t="b">
        <v>0</v>
      </c>
      <c r="H230">
        <f>Sensitivity!H8</f>
        <v/>
      </c>
    </row>
    <row r="231">
      <c r="A231" t="inlineStr">
        <is>
          <t>ALL</t>
        </is>
      </c>
      <c r="B231" t="inlineStr">
        <is>
          <t>unique</t>
        </is>
      </c>
      <c r="C231" t="n">
        <v>2</v>
      </c>
      <c r="D231" t="inlineStr">
        <is>
          <t>Damage %</t>
        </is>
      </c>
      <c r="E231" t="n">
        <v>18</v>
      </c>
      <c r="F231" t="n">
        <v>0.96</v>
      </c>
      <c r="G231" t="b">
        <v>1</v>
      </c>
      <c r="H231">
        <f>Sensitivity!H8</f>
        <v/>
      </c>
    </row>
    <row r="232">
      <c r="A232" t="inlineStr">
        <is>
          <t>ALL</t>
        </is>
      </c>
      <c r="B232" t="inlineStr">
        <is>
          <t>unique</t>
        </is>
      </c>
      <c r="C232" t="n">
        <v>2</v>
      </c>
      <c r="D232" t="inlineStr">
        <is>
          <t>Min Damage Multiplier %</t>
        </is>
      </c>
      <c r="E232" t="n">
        <v>8</v>
      </c>
      <c r="F232" t="n">
        <v>3.04</v>
      </c>
      <c r="G232" t="b">
        <v>0</v>
      </c>
      <c r="H232">
        <f>Sensitivity!H13</f>
        <v/>
      </c>
    </row>
    <row r="233">
      <c r="A233" t="inlineStr">
        <is>
          <t>ALL</t>
        </is>
      </c>
      <c r="B233" t="inlineStr">
        <is>
          <t>unique</t>
        </is>
      </c>
      <c r="C233" t="n">
        <v>2</v>
      </c>
      <c r="D233" t="inlineStr">
        <is>
          <t>Min Damage Multiplier %</t>
        </is>
      </c>
      <c r="E233" t="n">
        <v>10</v>
      </c>
      <c r="F233" t="n">
        <v>0.96</v>
      </c>
      <c r="G233" t="b">
        <v>1</v>
      </c>
      <c r="H233">
        <f>Sensitivity!H13</f>
        <v/>
      </c>
    </row>
    <row r="234">
      <c r="A234" t="inlineStr">
        <is>
          <t>ALL</t>
        </is>
      </c>
      <c r="B234" t="inlineStr">
        <is>
          <t>unique</t>
        </is>
      </c>
      <c r="C234" t="n">
        <v>2</v>
      </c>
      <c r="D234" t="inlineStr">
        <is>
          <t>Max Damage Multiplier %</t>
        </is>
      </c>
      <c r="E234" t="n">
        <v>8</v>
      </c>
      <c r="F234" t="n">
        <v>3.04</v>
      </c>
      <c r="G234" t="b">
        <v>0</v>
      </c>
      <c r="H234">
        <f>Sensitivity!H14</f>
        <v/>
      </c>
    </row>
    <row r="235">
      <c r="A235" t="inlineStr">
        <is>
          <t>ALL</t>
        </is>
      </c>
      <c r="B235" t="inlineStr">
        <is>
          <t>unique</t>
        </is>
      </c>
      <c r="C235" t="n">
        <v>2</v>
      </c>
      <c r="D235" t="inlineStr">
        <is>
          <t>Max Damage Multiplier %</t>
        </is>
      </c>
      <c r="E235" t="n">
        <v>10</v>
      </c>
      <c r="F235" t="n">
        <v>0.96</v>
      </c>
      <c r="G235" t="b">
        <v>1</v>
      </c>
      <c r="H235">
        <f>Sensitivity!H14</f>
        <v/>
      </c>
    </row>
    <row r="236">
      <c r="A236" t="inlineStr">
        <is>
          <t>ALL</t>
        </is>
      </c>
      <c r="B236" t="inlineStr">
        <is>
          <t>unique</t>
        </is>
      </c>
      <c r="C236" t="n">
        <v>2</v>
      </c>
      <c r="D236" t="inlineStr">
        <is>
          <t>Str %</t>
        </is>
      </c>
      <c r="E236" t="n">
        <v>6</v>
      </c>
      <c r="F236" t="n">
        <v>3.42</v>
      </c>
      <c r="G236" t="b">
        <v>0</v>
      </c>
      <c r="H236" t="inlineStr">
        <is>
          <t>0</t>
        </is>
      </c>
    </row>
    <row r="237">
      <c r="A237" t="inlineStr">
        <is>
          <t>ALL</t>
        </is>
      </c>
      <c r="B237" t="inlineStr">
        <is>
          <t>unique</t>
        </is>
      </c>
      <c r="C237" t="n">
        <v>2</v>
      </c>
      <c r="D237" t="inlineStr">
        <is>
          <t>Str %</t>
        </is>
      </c>
      <c r="E237" t="n">
        <v>9</v>
      </c>
      <c r="F237" t="n">
        <v>1.08</v>
      </c>
      <c r="G237" t="b">
        <v>1</v>
      </c>
      <c r="H237" t="inlineStr">
        <is>
          <t>0</t>
        </is>
      </c>
    </row>
    <row r="238">
      <c r="A238" t="inlineStr">
        <is>
          <t>ALL</t>
        </is>
      </c>
      <c r="B238" t="inlineStr">
        <is>
          <t>unique</t>
        </is>
      </c>
      <c r="C238" t="n">
        <v>2</v>
      </c>
      <c r="D238" t="inlineStr">
        <is>
          <t>Dex %</t>
        </is>
      </c>
      <c r="E238" t="n">
        <v>6</v>
      </c>
      <c r="F238" t="n">
        <v>3.42</v>
      </c>
      <c r="G238" t="b">
        <v>0</v>
      </c>
      <c r="H238">
        <f>Sensitivity!H6</f>
        <v/>
      </c>
    </row>
    <row r="239">
      <c r="A239" t="inlineStr">
        <is>
          <t>ALL</t>
        </is>
      </c>
      <c r="B239" t="inlineStr">
        <is>
          <t>unique</t>
        </is>
      </c>
      <c r="C239" t="n">
        <v>2</v>
      </c>
      <c r="D239" t="inlineStr">
        <is>
          <t>Dex %</t>
        </is>
      </c>
      <c r="E239" t="n">
        <v>9</v>
      </c>
      <c r="F239" t="n">
        <v>1.08</v>
      </c>
      <c r="G239" t="b">
        <v>1</v>
      </c>
      <c r="H239">
        <f>Sensitivity!H6</f>
        <v/>
      </c>
    </row>
    <row r="240">
      <c r="A240" t="inlineStr">
        <is>
          <t>ALL</t>
        </is>
      </c>
      <c r="B240" t="inlineStr">
        <is>
          <t>unique</t>
        </is>
      </c>
      <c r="C240" t="n">
        <v>2</v>
      </c>
      <c r="D240" t="inlineStr">
        <is>
          <t>Int %</t>
        </is>
      </c>
      <c r="E240" t="n">
        <v>6</v>
      </c>
      <c r="F240" t="n">
        <v>3.42</v>
      </c>
      <c r="G240" t="b">
        <v>0</v>
      </c>
      <c r="H240" t="inlineStr">
        <is>
          <t>0</t>
        </is>
      </c>
    </row>
    <row r="241">
      <c r="A241" t="inlineStr">
        <is>
          <t>ALL</t>
        </is>
      </c>
      <c r="B241" t="inlineStr">
        <is>
          <t>unique</t>
        </is>
      </c>
      <c r="C241" t="n">
        <v>2</v>
      </c>
      <c r="D241" t="inlineStr">
        <is>
          <t>Int %</t>
        </is>
      </c>
      <c r="E241" t="n">
        <v>9</v>
      </c>
      <c r="F241" t="n">
        <v>1.08</v>
      </c>
      <c r="G241" t="b">
        <v>1</v>
      </c>
      <c r="H241" t="inlineStr">
        <is>
          <t>0</t>
        </is>
      </c>
    </row>
    <row r="242">
      <c r="A242" t="inlineStr">
        <is>
          <t>ALL</t>
        </is>
      </c>
      <c r="B242" t="inlineStr">
        <is>
          <t>unique</t>
        </is>
      </c>
      <c r="C242" t="n">
        <v>2</v>
      </c>
      <c r="D242" t="inlineStr">
        <is>
          <t>Luk %</t>
        </is>
      </c>
      <c r="E242" t="n">
        <v>6</v>
      </c>
      <c r="F242" t="n">
        <v>3.42</v>
      </c>
      <c r="G242" t="b">
        <v>0</v>
      </c>
      <c r="H242" t="inlineStr">
        <is>
          <t>0</t>
        </is>
      </c>
    </row>
    <row r="243">
      <c r="A243" t="inlineStr">
        <is>
          <t>ALL</t>
        </is>
      </c>
      <c r="B243" t="inlineStr">
        <is>
          <t>unique</t>
        </is>
      </c>
      <c r="C243" t="n">
        <v>2</v>
      </c>
      <c r="D243" t="inlineStr">
        <is>
          <t>Luk %</t>
        </is>
      </c>
      <c r="E243" t="n">
        <v>9</v>
      </c>
      <c r="F243" t="n">
        <v>1.08</v>
      </c>
      <c r="G243" t="b">
        <v>1</v>
      </c>
      <c r="H243" t="inlineStr">
        <is>
          <t>0</t>
        </is>
      </c>
    </row>
    <row r="244">
      <c r="A244" t="inlineStr">
        <is>
          <t>ALL</t>
        </is>
      </c>
      <c r="B244" t="inlineStr">
        <is>
          <t>unique</t>
        </is>
      </c>
      <c r="C244" t="n">
        <v>2</v>
      </c>
      <c r="D244" t="inlineStr">
        <is>
          <t>Defense %</t>
        </is>
      </c>
      <c r="E244" t="n">
        <v>6</v>
      </c>
      <c r="F244" t="n">
        <v>6.84</v>
      </c>
      <c r="G244" t="b">
        <v>0</v>
      </c>
      <c r="H244" t="inlineStr">
        <is>
          <t>0</t>
        </is>
      </c>
    </row>
    <row r="245">
      <c r="A245" t="inlineStr">
        <is>
          <t>ALL</t>
        </is>
      </c>
      <c r="B245" t="inlineStr">
        <is>
          <t>unique</t>
        </is>
      </c>
      <c r="C245" t="n">
        <v>2</v>
      </c>
      <c r="D245" t="inlineStr">
        <is>
          <t>Defense %</t>
        </is>
      </c>
      <c r="E245" t="n">
        <v>9</v>
      </c>
      <c r="F245" t="n">
        <v>2.16</v>
      </c>
      <c r="G245" t="b">
        <v>1</v>
      </c>
      <c r="H245" t="inlineStr">
        <is>
          <t>0</t>
        </is>
      </c>
    </row>
    <row r="246">
      <c r="A246" t="inlineStr">
        <is>
          <t>ALL</t>
        </is>
      </c>
      <c r="B246" t="inlineStr">
        <is>
          <t>unique</t>
        </is>
      </c>
      <c r="C246" t="n">
        <v>2</v>
      </c>
      <c r="D246" t="inlineStr">
        <is>
          <t>Max HP %</t>
        </is>
      </c>
      <c r="E246" t="n">
        <v>12</v>
      </c>
      <c r="F246" t="n">
        <v>6.84</v>
      </c>
      <c r="G246" t="b">
        <v>0</v>
      </c>
      <c r="H246" t="inlineStr">
        <is>
          <t>0</t>
        </is>
      </c>
    </row>
    <row r="247">
      <c r="A247" t="inlineStr">
        <is>
          <t>ALL</t>
        </is>
      </c>
      <c r="B247" t="inlineStr">
        <is>
          <t>unique</t>
        </is>
      </c>
      <c r="C247" t="n">
        <v>2</v>
      </c>
      <c r="D247" t="inlineStr">
        <is>
          <t>Max HP %</t>
        </is>
      </c>
      <c r="E247" t="n">
        <v>15</v>
      </c>
      <c r="F247" t="n">
        <v>2.16</v>
      </c>
      <c r="G247" t="b">
        <v>1</v>
      </c>
      <c r="H247" t="inlineStr">
        <is>
          <t>0</t>
        </is>
      </c>
    </row>
    <row r="248">
      <c r="A248" t="inlineStr">
        <is>
          <t>ALL</t>
        </is>
      </c>
      <c r="B248" t="inlineStr">
        <is>
          <t>unique</t>
        </is>
      </c>
      <c r="C248" t="n">
        <v>2</v>
      </c>
      <c r="D248" t="inlineStr">
        <is>
          <t>Max MP %</t>
        </is>
      </c>
      <c r="E248" t="n">
        <v>6</v>
      </c>
      <c r="F248" t="n">
        <v>6.84</v>
      </c>
      <c r="G248" t="b">
        <v>0</v>
      </c>
      <c r="H248" t="inlineStr">
        <is>
          <t>0</t>
        </is>
      </c>
    </row>
    <row r="249">
      <c r="A249" t="inlineStr">
        <is>
          <t>ALL</t>
        </is>
      </c>
      <c r="B249" t="inlineStr">
        <is>
          <t>unique</t>
        </is>
      </c>
      <c r="C249" t="n">
        <v>2</v>
      </c>
      <c r="D249" t="inlineStr">
        <is>
          <t>Max MP %</t>
        </is>
      </c>
      <c r="E249" t="n">
        <v>9</v>
      </c>
      <c r="F249" t="n">
        <v>2.16</v>
      </c>
      <c r="G249" t="b">
        <v>1</v>
      </c>
      <c r="H249" t="inlineStr">
        <is>
          <t>0</t>
        </is>
      </c>
    </row>
    <row r="250">
      <c r="A250" t="inlineStr">
        <is>
          <t>ALL</t>
        </is>
      </c>
      <c r="B250" t="inlineStr">
        <is>
          <t>unique</t>
        </is>
      </c>
      <c r="C250" t="n">
        <v>2</v>
      </c>
      <c r="D250" t="inlineStr">
        <is>
          <t>Str</t>
        </is>
      </c>
      <c r="E250" t="n">
        <v>200</v>
      </c>
      <c r="F250" t="n">
        <v>7.03</v>
      </c>
      <c r="G250" t="b">
        <v>0</v>
      </c>
      <c r="H250" t="inlineStr">
        <is>
          <t>0</t>
        </is>
      </c>
    </row>
    <row r="251">
      <c r="A251" t="inlineStr">
        <is>
          <t>ALL</t>
        </is>
      </c>
      <c r="B251" t="inlineStr">
        <is>
          <t>unique</t>
        </is>
      </c>
      <c r="C251" t="n">
        <v>2</v>
      </c>
      <c r="D251" t="inlineStr">
        <is>
          <t>Str</t>
        </is>
      </c>
      <c r="E251" t="n">
        <v>400</v>
      </c>
      <c r="F251" t="n">
        <v>2.22</v>
      </c>
      <c r="G251" t="b">
        <v>1</v>
      </c>
      <c r="H251" t="inlineStr">
        <is>
          <t>0</t>
        </is>
      </c>
    </row>
    <row r="252">
      <c r="A252" t="inlineStr">
        <is>
          <t>ALL</t>
        </is>
      </c>
      <c r="B252" t="inlineStr">
        <is>
          <t>unique</t>
        </is>
      </c>
      <c r="C252" t="n">
        <v>2</v>
      </c>
      <c r="D252" t="inlineStr">
        <is>
          <t>Dex</t>
        </is>
      </c>
      <c r="E252" t="n">
        <v>200</v>
      </c>
      <c r="F252" t="n">
        <v>7.03</v>
      </c>
      <c r="G252" t="b">
        <v>0</v>
      </c>
      <c r="H252">
        <f>Sensitivity!H5</f>
        <v/>
      </c>
    </row>
    <row r="253">
      <c r="A253" t="inlineStr">
        <is>
          <t>ALL</t>
        </is>
      </c>
      <c r="B253" t="inlineStr">
        <is>
          <t>unique</t>
        </is>
      </c>
      <c r="C253" t="n">
        <v>2</v>
      </c>
      <c r="D253" t="inlineStr">
        <is>
          <t>Dex</t>
        </is>
      </c>
      <c r="E253" t="n">
        <v>400</v>
      </c>
      <c r="F253" t="n">
        <v>2.22</v>
      </c>
      <c r="G253" t="b">
        <v>1</v>
      </c>
      <c r="H253">
        <f>Sensitivity!H5</f>
        <v/>
      </c>
    </row>
    <row r="254">
      <c r="A254" t="inlineStr">
        <is>
          <t>ALL</t>
        </is>
      </c>
      <c r="B254" t="inlineStr">
        <is>
          <t>unique</t>
        </is>
      </c>
      <c r="C254" t="n">
        <v>2</v>
      </c>
      <c r="D254" t="inlineStr">
        <is>
          <t>Int</t>
        </is>
      </c>
      <c r="E254" t="n">
        <v>200</v>
      </c>
      <c r="F254" t="n">
        <v>7.03</v>
      </c>
      <c r="G254" t="b">
        <v>0</v>
      </c>
      <c r="H254" t="inlineStr">
        <is>
          <t>0</t>
        </is>
      </c>
    </row>
    <row r="255">
      <c r="A255" t="inlineStr">
        <is>
          <t>ALL</t>
        </is>
      </c>
      <c r="B255" t="inlineStr">
        <is>
          <t>unique</t>
        </is>
      </c>
      <c r="C255" t="n">
        <v>2</v>
      </c>
      <c r="D255" t="inlineStr">
        <is>
          <t>Int</t>
        </is>
      </c>
      <c r="E255" t="n">
        <v>400</v>
      </c>
      <c r="F255" t="n">
        <v>2.22</v>
      </c>
      <c r="G255" t="b">
        <v>1</v>
      </c>
      <c r="H255" t="inlineStr">
        <is>
          <t>0</t>
        </is>
      </c>
    </row>
    <row r="256">
      <c r="A256" t="inlineStr">
        <is>
          <t>ALL</t>
        </is>
      </c>
      <c r="B256" t="inlineStr">
        <is>
          <t>unique</t>
        </is>
      </c>
      <c r="C256" t="n">
        <v>2</v>
      </c>
      <c r="D256" t="inlineStr">
        <is>
          <t>Luk</t>
        </is>
      </c>
      <c r="E256" t="n">
        <v>200</v>
      </c>
      <c r="F256" t="n">
        <v>7.03</v>
      </c>
      <c r="G256" t="b">
        <v>0</v>
      </c>
      <c r="H256" t="inlineStr">
        <is>
          <t>0</t>
        </is>
      </c>
    </row>
    <row r="257">
      <c r="A257" t="inlineStr">
        <is>
          <t>ALL</t>
        </is>
      </c>
      <c r="B257" t="inlineStr">
        <is>
          <t>unique</t>
        </is>
      </c>
      <c r="C257" t="n">
        <v>2</v>
      </c>
      <c r="D257" t="inlineStr">
        <is>
          <t>Luk</t>
        </is>
      </c>
      <c r="E257" t="n">
        <v>400</v>
      </c>
      <c r="F257" t="n">
        <v>2.22</v>
      </c>
      <c r="G257" t="b">
        <v>1</v>
      </c>
      <c r="H257" t="inlineStr">
        <is>
          <t>0</t>
        </is>
      </c>
    </row>
    <row r="258">
      <c r="A258" t="inlineStr">
        <is>
          <t>ALL</t>
        </is>
      </c>
      <c r="B258" t="inlineStr">
        <is>
          <t>unique</t>
        </is>
      </c>
      <c r="C258" t="n">
        <v>3</v>
      </c>
      <c r="D258" t="inlineStr">
        <is>
          <t>Critical Rate %</t>
        </is>
      </c>
      <c r="E258" t="n">
        <v>6</v>
      </c>
      <c r="F258" t="n">
        <v>2.3</v>
      </c>
      <c r="G258" t="b">
        <v>0</v>
      </c>
      <c r="H258">
        <f>IF(AND(Inputs!$B$9+Summary!$B$14+Artifacts!$B$32&gt;=100,NOT(ArtifactsInput!$M$42),NOT(ArtifactsInput!$M$24)),Sensitivity!H16,Sensitivity!H15)</f>
        <v/>
      </c>
    </row>
    <row r="259">
      <c r="A259" t="inlineStr">
        <is>
          <t>ALL</t>
        </is>
      </c>
      <c r="B259" t="inlineStr">
        <is>
          <t>unique</t>
        </is>
      </c>
      <c r="C259" t="n">
        <v>3</v>
      </c>
      <c r="D259" t="inlineStr">
        <is>
          <t>Critical Rate %</t>
        </is>
      </c>
      <c r="E259" t="n">
        <v>9</v>
      </c>
      <c r="F259" t="n">
        <v>0.2</v>
      </c>
      <c r="G259" t="b">
        <v>1</v>
      </c>
      <c r="H259">
        <f>IF(AND(Inputs!$B$9+Summary!$B$14+Artifacts!$B$32&gt;=100,NOT(ArtifactsInput!$M$42),NOT(ArtifactsInput!$M$24)),Sensitivity!H16,Sensitivity!H15)</f>
        <v/>
      </c>
    </row>
    <row r="260">
      <c r="A260" t="inlineStr">
        <is>
          <t>ALL</t>
        </is>
      </c>
      <c r="B260" t="inlineStr">
        <is>
          <t>unique</t>
        </is>
      </c>
      <c r="C260" t="n">
        <v>3</v>
      </c>
      <c r="D260" t="inlineStr">
        <is>
          <t>Attack Speed %</t>
        </is>
      </c>
      <c r="E260" t="n">
        <v>4</v>
      </c>
      <c r="F260" t="n">
        <v>2.3</v>
      </c>
      <c r="G260" t="b">
        <v>0</v>
      </c>
      <c r="H260">
        <f>Sensitivity!H17</f>
        <v/>
      </c>
    </row>
    <row r="261">
      <c r="A261" t="inlineStr">
        <is>
          <t>ALL</t>
        </is>
      </c>
      <c r="B261" t="inlineStr">
        <is>
          <t>unique</t>
        </is>
      </c>
      <c r="C261" t="n">
        <v>3</v>
      </c>
      <c r="D261" t="inlineStr">
        <is>
          <t>Attack Speed %</t>
        </is>
      </c>
      <c r="E261" t="n">
        <v>5</v>
      </c>
      <c r="F261" t="n">
        <v>0.2</v>
      </c>
      <c r="G261" t="b">
        <v>1</v>
      </c>
      <c r="H261">
        <f>Sensitivity!H17</f>
        <v/>
      </c>
    </row>
    <row r="262">
      <c r="A262" t="inlineStr">
        <is>
          <t>ALL</t>
        </is>
      </c>
      <c r="B262" t="inlineStr">
        <is>
          <t>unique</t>
        </is>
      </c>
      <c r="C262" t="n">
        <v>3</v>
      </c>
      <c r="D262" t="inlineStr">
        <is>
          <t>Damage %</t>
        </is>
      </c>
      <c r="E262" t="n">
        <v>12</v>
      </c>
      <c r="F262" t="n">
        <v>3.68</v>
      </c>
      <c r="G262" t="b">
        <v>0</v>
      </c>
      <c r="H262">
        <f>Sensitivity!H8</f>
        <v/>
      </c>
    </row>
    <row r="263">
      <c r="A263" t="inlineStr">
        <is>
          <t>ALL</t>
        </is>
      </c>
      <c r="B263" t="inlineStr">
        <is>
          <t>unique</t>
        </is>
      </c>
      <c r="C263" t="n">
        <v>3</v>
      </c>
      <c r="D263" t="inlineStr">
        <is>
          <t>Damage %</t>
        </is>
      </c>
      <c r="E263" t="n">
        <v>18</v>
      </c>
      <c r="F263" t="n">
        <v>0.32</v>
      </c>
      <c r="G263" t="b">
        <v>1</v>
      </c>
      <c r="H263">
        <f>Sensitivity!H8</f>
        <v/>
      </c>
    </row>
    <row r="264">
      <c r="A264" t="inlineStr">
        <is>
          <t>ALL</t>
        </is>
      </c>
      <c r="B264" t="inlineStr">
        <is>
          <t>unique</t>
        </is>
      </c>
      <c r="C264" t="n">
        <v>3</v>
      </c>
      <c r="D264" t="inlineStr">
        <is>
          <t>Min Damage Multiplier %</t>
        </is>
      </c>
      <c r="E264" t="n">
        <v>8</v>
      </c>
      <c r="F264" t="n">
        <v>3.68</v>
      </c>
      <c r="G264" t="b">
        <v>0</v>
      </c>
      <c r="H264">
        <f>Sensitivity!H13</f>
        <v/>
      </c>
    </row>
    <row r="265">
      <c r="A265" t="inlineStr">
        <is>
          <t>ALL</t>
        </is>
      </c>
      <c r="B265" t="inlineStr">
        <is>
          <t>unique</t>
        </is>
      </c>
      <c r="C265" t="n">
        <v>3</v>
      </c>
      <c r="D265" t="inlineStr">
        <is>
          <t>Min Damage Multiplier %</t>
        </is>
      </c>
      <c r="E265" t="n">
        <v>10</v>
      </c>
      <c r="F265" t="n">
        <v>0.32</v>
      </c>
      <c r="G265" t="b">
        <v>1</v>
      </c>
      <c r="H265">
        <f>Sensitivity!H13</f>
        <v/>
      </c>
    </row>
    <row r="266">
      <c r="A266" t="inlineStr">
        <is>
          <t>ALL</t>
        </is>
      </c>
      <c r="B266" t="inlineStr">
        <is>
          <t>unique</t>
        </is>
      </c>
      <c r="C266" t="n">
        <v>3</v>
      </c>
      <c r="D266" t="inlineStr">
        <is>
          <t>Max Damage Multiplier %</t>
        </is>
      </c>
      <c r="E266" t="n">
        <v>8</v>
      </c>
      <c r="F266" t="n">
        <v>3.68</v>
      </c>
      <c r="G266" t="b">
        <v>0</v>
      </c>
      <c r="H266">
        <f>Sensitivity!H14</f>
        <v/>
      </c>
    </row>
    <row r="267">
      <c r="A267" t="inlineStr">
        <is>
          <t>ALL</t>
        </is>
      </c>
      <c r="B267" t="inlineStr">
        <is>
          <t>unique</t>
        </is>
      </c>
      <c r="C267" t="n">
        <v>3</v>
      </c>
      <c r="D267" t="inlineStr">
        <is>
          <t>Max Damage Multiplier %</t>
        </is>
      </c>
      <c r="E267" t="n">
        <v>10</v>
      </c>
      <c r="F267" t="n">
        <v>0.32</v>
      </c>
      <c r="G267" t="b">
        <v>1</v>
      </c>
      <c r="H267">
        <f>Sensitivity!H14</f>
        <v/>
      </c>
    </row>
    <row r="268">
      <c r="A268" t="inlineStr">
        <is>
          <t>ALL</t>
        </is>
      </c>
      <c r="B268" t="inlineStr">
        <is>
          <t>unique</t>
        </is>
      </c>
      <c r="C268" t="n">
        <v>3</v>
      </c>
      <c r="D268" t="inlineStr">
        <is>
          <t>Str %</t>
        </is>
      </c>
      <c r="E268" t="n">
        <v>6</v>
      </c>
      <c r="F268" t="n">
        <v>4.14</v>
      </c>
      <c r="G268" t="b">
        <v>0</v>
      </c>
      <c r="H268" t="inlineStr">
        <is>
          <t>0</t>
        </is>
      </c>
    </row>
    <row r="269">
      <c r="A269" t="inlineStr">
        <is>
          <t>ALL</t>
        </is>
      </c>
      <c r="B269" t="inlineStr">
        <is>
          <t>unique</t>
        </is>
      </c>
      <c r="C269" t="n">
        <v>3</v>
      </c>
      <c r="D269" t="inlineStr">
        <is>
          <t>Str %</t>
        </is>
      </c>
      <c r="E269" t="n">
        <v>9</v>
      </c>
      <c r="F269" t="n">
        <v>0.36</v>
      </c>
      <c r="G269" t="b">
        <v>1</v>
      </c>
      <c r="H269" t="inlineStr">
        <is>
          <t>0</t>
        </is>
      </c>
    </row>
    <row r="270">
      <c r="A270" t="inlineStr">
        <is>
          <t>ALL</t>
        </is>
      </c>
      <c r="B270" t="inlineStr">
        <is>
          <t>unique</t>
        </is>
      </c>
      <c r="C270" t="n">
        <v>3</v>
      </c>
      <c r="D270" t="inlineStr">
        <is>
          <t>Dex %</t>
        </is>
      </c>
      <c r="E270" t="n">
        <v>6</v>
      </c>
      <c r="F270" t="n">
        <v>4.14</v>
      </c>
      <c r="G270" t="b">
        <v>0</v>
      </c>
      <c r="H270">
        <f>Sensitivity!H6</f>
        <v/>
      </c>
    </row>
    <row r="271">
      <c r="A271" t="inlineStr">
        <is>
          <t>ALL</t>
        </is>
      </c>
      <c r="B271" t="inlineStr">
        <is>
          <t>unique</t>
        </is>
      </c>
      <c r="C271" t="n">
        <v>3</v>
      </c>
      <c r="D271" t="inlineStr">
        <is>
          <t>Dex %</t>
        </is>
      </c>
      <c r="E271" t="n">
        <v>9</v>
      </c>
      <c r="F271" t="n">
        <v>0.36</v>
      </c>
      <c r="G271" t="b">
        <v>1</v>
      </c>
      <c r="H271">
        <f>Sensitivity!H6</f>
        <v/>
      </c>
    </row>
    <row r="272">
      <c r="A272" t="inlineStr">
        <is>
          <t>ALL</t>
        </is>
      </c>
      <c r="B272" t="inlineStr">
        <is>
          <t>unique</t>
        </is>
      </c>
      <c r="C272" t="n">
        <v>3</v>
      </c>
      <c r="D272" t="inlineStr">
        <is>
          <t>Int %</t>
        </is>
      </c>
      <c r="E272" t="n">
        <v>6</v>
      </c>
      <c r="F272" t="n">
        <v>4.14</v>
      </c>
      <c r="G272" t="b">
        <v>0</v>
      </c>
      <c r="H272" t="inlineStr">
        <is>
          <t>0</t>
        </is>
      </c>
    </row>
    <row r="273">
      <c r="A273" t="inlineStr">
        <is>
          <t>ALL</t>
        </is>
      </c>
      <c r="B273" t="inlineStr">
        <is>
          <t>unique</t>
        </is>
      </c>
      <c r="C273" t="n">
        <v>3</v>
      </c>
      <c r="D273" t="inlineStr">
        <is>
          <t>Int %</t>
        </is>
      </c>
      <c r="E273" t="n">
        <v>9</v>
      </c>
      <c r="F273" t="n">
        <v>0.36</v>
      </c>
      <c r="G273" t="b">
        <v>1</v>
      </c>
      <c r="H273" t="inlineStr">
        <is>
          <t>0</t>
        </is>
      </c>
    </row>
    <row r="274">
      <c r="A274" t="inlineStr">
        <is>
          <t>ALL</t>
        </is>
      </c>
      <c r="B274" t="inlineStr">
        <is>
          <t>unique</t>
        </is>
      </c>
      <c r="C274" t="n">
        <v>3</v>
      </c>
      <c r="D274" t="inlineStr">
        <is>
          <t>Luk %</t>
        </is>
      </c>
      <c r="E274" t="n">
        <v>6</v>
      </c>
      <c r="F274" t="n">
        <v>4.14</v>
      </c>
      <c r="G274" t="b">
        <v>0</v>
      </c>
      <c r="H274" t="inlineStr">
        <is>
          <t>0</t>
        </is>
      </c>
    </row>
    <row r="275">
      <c r="A275" t="inlineStr">
        <is>
          <t>ALL</t>
        </is>
      </c>
      <c r="B275" t="inlineStr">
        <is>
          <t>unique</t>
        </is>
      </c>
      <c r="C275" t="n">
        <v>3</v>
      </c>
      <c r="D275" t="inlineStr">
        <is>
          <t>Luk %</t>
        </is>
      </c>
      <c r="E275" t="n">
        <v>9</v>
      </c>
      <c r="F275" t="n">
        <v>0.36</v>
      </c>
      <c r="G275" t="b">
        <v>1</v>
      </c>
      <c r="H275" t="inlineStr">
        <is>
          <t>0</t>
        </is>
      </c>
    </row>
    <row r="276">
      <c r="A276" t="inlineStr">
        <is>
          <t>ALL</t>
        </is>
      </c>
      <c r="B276" t="inlineStr">
        <is>
          <t>unique</t>
        </is>
      </c>
      <c r="C276" t="n">
        <v>3</v>
      </c>
      <c r="D276" t="inlineStr">
        <is>
          <t>Defense %</t>
        </is>
      </c>
      <c r="E276" t="n">
        <v>6</v>
      </c>
      <c r="F276" t="n">
        <v>8.279999999999999</v>
      </c>
      <c r="G276" t="b">
        <v>0</v>
      </c>
      <c r="H276" t="inlineStr">
        <is>
          <t>0</t>
        </is>
      </c>
    </row>
    <row r="277">
      <c r="A277" t="inlineStr">
        <is>
          <t>ALL</t>
        </is>
      </c>
      <c r="B277" t="inlineStr">
        <is>
          <t>unique</t>
        </is>
      </c>
      <c r="C277" t="n">
        <v>3</v>
      </c>
      <c r="D277" t="inlineStr">
        <is>
          <t>Defense %</t>
        </is>
      </c>
      <c r="E277" t="n">
        <v>9</v>
      </c>
      <c r="F277" t="n">
        <v>0.72</v>
      </c>
      <c r="G277" t="b">
        <v>1</v>
      </c>
      <c r="H277" t="inlineStr">
        <is>
          <t>0</t>
        </is>
      </c>
    </row>
    <row r="278">
      <c r="A278" t="inlineStr">
        <is>
          <t>ALL</t>
        </is>
      </c>
      <c r="B278" t="inlineStr">
        <is>
          <t>unique</t>
        </is>
      </c>
      <c r="C278" t="n">
        <v>3</v>
      </c>
      <c r="D278" t="inlineStr">
        <is>
          <t>Max HP %</t>
        </is>
      </c>
      <c r="E278" t="n">
        <v>12</v>
      </c>
      <c r="F278" t="n">
        <v>8.279999999999999</v>
      </c>
      <c r="G278" t="b">
        <v>0</v>
      </c>
      <c r="H278" t="inlineStr">
        <is>
          <t>0</t>
        </is>
      </c>
    </row>
    <row r="279">
      <c r="A279" t="inlineStr">
        <is>
          <t>ALL</t>
        </is>
      </c>
      <c r="B279" t="inlineStr">
        <is>
          <t>unique</t>
        </is>
      </c>
      <c r="C279" t="n">
        <v>3</v>
      </c>
      <c r="D279" t="inlineStr">
        <is>
          <t>Max HP %</t>
        </is>
      </c>
      <c r="E279" t="n">
        <v>15</v>
      </c>
      <c r="F279" t="n">
        <v>0.72</v>
      </c>
      <c r="G279" t="b">
        <v>1</v>
      </c>
      <c r="H279" t="inlineStr">
        <is>
          <t>0</t>
        </is>
      </c>
    </row>
    <row r="280">
      <c r="A280" t="inlineStr">
        <is>
          <t>ALL</t>
        </is>
      </c>
      <c r="B280" t="inlineStr">
        <is>
          <t>unique</t>
        </is>
      </c>
      <c r="C280" t="n">
        <v>3</v>
      </c>
      <c r="D280" t="inlineStr">
        <is>
          <t>Max MP %</t>
        </is>
      </c>
      <c r="E280" t="n">
        <v>6</v>
      </c>
      <c r="F280" t="n">
        <v>8.279999999999999</v>
      </c>
      <c r="G280" t="b">
        <v>0</v>
      </c>
      <c r="H280" t="inlineStr">
        <is>
          <t>0</t>
        </is>
      </c>
    </row>
    <row r="281">
      <c r="A281" t="inlineStr">
        <is>
          <t>ALL</t>
        </is>
      </c>
      <c r="B281" t="inlineStr">
        <is>
          <t>unique</t>
        </is>
      </c>
      <c r="C281" t="n">
        <v>3</v>
      </c>
      <c r="D281" t="inlineStr">
        <is>
          <t>Max MP %</t>
        </is>
      </c>
      <c r="E281" t="n">
        <v>9</v>
      </c>
      <c r="F281" t="n">
        <v>0.72</v>
      </c>
      <c r="G281" t="b">
        <v>1</v>
      </c>
      <c r="H281" t="inlineStr">
        <is>
          <t>0</t>
        </is>
      </c>
    </row>
    <row r="282">
      <c r="A282" t="inlineStr">
        <is>
          <t>ALL</t>
        </is>
      </c>
      <c r="B282" t="inlineStr">
        <is>
          <t>unique</t>
        </is>
      </c>
      <c r="C282" t="n">
        <v>3</v>
      </c>
      <c r="D282" t="inlineStr">
        <is>
          <t>Str</t>
        </is>
      </c>
      <c r="E282" t="n">
        <v>200</v>
      </c>
      <c r="F282" t="n">
        <v>8.51</v>
      </c>
      <c r="G282" t="b">
        <v>0</v>
      </c>
      <c r="H282" t="inlineStr">
        <is>
          <t>0</t>
        </is>
      </c>
    </row>
    <row r="283">
      <c r="A283" t="inlineStr">
        <is>
          <t>ALL</t>
        </is>
      </c>
      <c r="B283" t="inlineStr">
        <is>
          <t>unique</t>
        </is>
      </c>
      <c r="C283" t="n">
        <v>3</v>
      </c>
      <c r="D283" t="inlineStr">
        <is>
          <t>Str</t>
        </is>
      </c>
      <c r="E283" t="n">
        <v>400</v>
      </c>
      <c r="F283" t="n">
        <v>0.74</v>
      </c>
      <c r="G283" t="b">
        <v>1</v>
      </c>
      <c r="H283" t="inlineStr">
        <is>
          <t>0</t>
        </is>
      </c>
    </row>
    <row r="284">
      <c r="A284" t="inlineStr">
        <is>
          <t>ALL</t>
        </is>
      </c>
      <c r="B284" t="inlineStr">
        <is>
          <t>unique</t>
        </is>
      </c>
      <c r="C284" t="n">
        <v>3</v>
      </c>
      <c r="D284" t="inlineStr">
        <is>
          <t>Dex</t>
        </is>
      </c>
      <c r="E284" t="n">
        <v>200</v>
      </c>
      <c r="F284" t="n">
        <v>8.51</v>
      </c>
      <c r="G284" t="b">
        <v>0</v>
      </c>
      <c r="H284">
        <f>Sensitivity!H5</f>
        <v/>
      </c>
    </row>
    <row r="285">
      <c r="A285" t="inlineStr">
        <is>
          <t>ALL</t>
        </is>
      </c>
      <c r="B285" t="inlineStr">
        <is>
          <t>unique</t>
        </is>
      </c>
      <c r="C285" t="n">
        <v>3</v>
      </c>
      <c r="D285" t="inlineStr">
        <is>
          <t>Dex</t>
        </is>
      </c>
      <c r="E285" t="n">
        <v>400</v>
      </c>
      <c r="F285" t="n">
        <v>0.74</v>
      </c>
      <c r="G285" t="b">
        <v>1</v>
      </c>
      <c r="H285">
        <f>Sensitivity!H5</f>
        <v/>
      </c>
    </row>
    <row r="286">
      <c r="A286" t="inlineStr">
        <is>
          <t>ALL</t>
        </is>
      </c>
      <c r="B286" t="inlineStr">
        <is>
          <t>unique</t>
        </is>
      </c>
      <c r="C286" t="n">
        <v>3</v>
      </c>
      <c r="D286" t="inlineStr">
        <is>
          <t>Int</t>
        </is>
      </c>
      <c r="E286" t="n">
        <v>200</v>
      </c>
      <c r="F286" t="n">
        <v>8.51</v>
      </c>
      <c r="G286" t="b">
        <v>0</v>
      </c>
      <c r="H286" t="inlineStr">
        <is>
          <t>0</t>
        </is>
      </c>
    </row>
    <row r="287">
      <c r="A287" t="inlineStr">
        <is>
          <t>ALL</t>
        </is>
      </c>
      <c r="B287" t="inlineStr">
        <is>
          <t>unique</t>
        </is>
      </c>
      <c r="C287" t="n">
        <v>3</v>
      </c>
      <c r="D287" t="inlineStr">
        <is>
          <t>Int</t>
        </is>
      </c>
      <c r="E287" t="n">
        <v>400</v>
      </c>
      <c r="F287" t="n">
        <v>0.74</v>
      </c>
      <c r="G287" t="b">
        <v>1</v>
      </c>
      <c r="H287" t="inlineStr">
        <is>
          <t>0</t>
        </is>
      </c>
    </row>
    <row r="288">
      <c r="A288" t="inlineStr">
        <is>
          <t>ALL</t>
        </is>
      </c>
      <c r="B288" t="inlineStr">
        <is>
          <t>unique</t>
        </is>
      </c>
      <c r="C288" t="n">
        <v>3</v>
      </c>
      <c r="D288" t="inlineStr">
        <is>
          <t>Luk</t>
        </is>
      </c>
      <c r="E288" t="n">
        <v>200</v>
      </c>
      <c r="F288" t="n">
        <v>8.51</v>
      </c>
      <c r="G288" t="b">
        <v>0</v>
      </c>
      <c r="H288" t="inlineStr">
        <is>
          <t>0</t>
        </is>
      </c>
    </row>
    <row r="289">
      <c r="A289" t="inlineStr">
        <is>
          <t>ALL</t>
        </is>
      </c>
      <c r="B289" t="inlineStr">
        <is>
          <t>unique</t>
        </is>
      </c>
      <c r="C289" t="n">
        <v>3</v>
      </c>
      <c r="D289" t="inlineStr">
        <is>
          <t>Luk</t>
        </is>
      </c>
      <c r="E289" t="n">
        <v>400</v>
      </c>
      <c r="F289" t="n">
        <v>0.74</v>
      </c>
      <c r="G289" t="b">
        <v>1</v>
      </c>
      <c r="H289" t="inlineStr">
        <is>
          <t>0</t>
        </is>
      </c>
    </row>
    <row r="290">
      <c r="A290" t="inlineStr">
        <is>
          <t>ALL</t>
        </is>
      </c>
      <c r="B290" t="inlineStr">
        <is>
          <t>legendary</t>
        </is>
      </c>
      <c r="C290" t="n">
        <v>1</v>
      </c>
      <c r="D290" t="inlineStr">
        <is>
          <t>Critical Rate %</t>
        </is>
      </c>
      <c r="E290" t="n">
        <v>12</v>
      </c>
      <c r="F290" t="n">
        <v>2.5</v>
      </c>
      <c r="G290" t="b">
        <v>0</v>
      </c>
      <c r="H290">
        <f>IF(AND(Inputs!$B$9+Summary!$B$14+Artifacts!$B$32&gt;=100,NOT(ArtifactsInput!$M$42),NOT(ArtifactsInput!$M$24)),Sensitivity!H16,Sensitivity!H15)</f>
        <v/>
      </c>
    </row>
    <row r="291">
      <c r="A291" t="inlineStr">
        <is>
          <t>ALL</t>
        </is>
      </c>
      <c r="B291" t="inlineStr">
        <is>
          <t>legendary</t>
        </is>
      </c>
      <c r="C291" t="n">
        <v>1</v>
      </c>
      <c r="D291" t="inlineStr">
        <is>
          <t>Attack Speed %</t>
        </is>
      </c>
      <c r="E291" t="n">
        <v>7</v>
      </c>
      <c r="F291" t="n">
        <v>2.5</v>
      </c>
      <c r="G291" t="b">
        <v>0</v>
      </c>
      <c r="H291">
        <f>Sensitivity!H17</f>
        <v/>
      </c>
    </row>
    <row r="292">
      <c r="A292" t="inlineStr">
        <is>
          <t>ALL</t>
        </is>
      </c>
      <c r="B292" t="inlineStr">
        <is>
          <t>legendary</t>
        </is>
      </c>
      <c r="C292" t="n">
        <v>1</v>
      </c>
      <c r="D292" t="inlineStr">
        <is>
          <t>Damage %</t>
        </is>
      </c>
      <c r="E292" t="n">
        <v>25</v>
      </c>
      <c r="F292" t="n">
        <v>4</v>
      </c>
      <c r="G292" t="b">
        <v>0</v>
      </c>
      <c r="H292">
        <f>Sensitivity!H8</f>
        <v/>
      </c>
    </row>
    <row r="293">
      <c r="A293" t="inlineStr">
        <is>
          <t>ALL</t>
        </is>
      </c>
      <c r="B293" t="inlineStr">
        <is>
          <t>legendary</t>
        </is>
      </c>
      <c r="C293" t="n">
        <v>1</v>
      </c>
      <c r="D293" t="inlineStr">
        <is>
          <t>Min Damage Multiplier %</t>
        </is>
      </c>
      <c r="E293" t="n">
        <v>15</v>
      </c>
      <c r="F293" t="n">
        <v>4</v>
      </c>
      <c r="G293" t="b">
        <v>0</v>
      </c>
      <c r="H293">
        <f>Sensitivity!H13</f>
        <v/>
      </c>
    </row>
    <row r="294">
      <c r="A294" t="inlineStr">
        <is>
          <t>ALL</t>
        </is>
      </c>
      <c r="B294" t="inlineStr">
        <is>
          <t>legendary</t>
        </is>
      </c>
      <c r="C294" t="n">
        <v>1</v>
      </c>
      <c r="D294" t="inlineStr">
        <is>
          <t>Max Damage Multiplier %</t>
        </is>
      </c>
      <c r="E294" t="n">
        <v>15</v>
      </c>
      <c r="F294" t="n">
        <v>4</v>
      </c>
      <c r="G294" t="b">
        <v>0</v>
      </c>
      <c r="H294">
        <f>Sensitivity!H14</f>
        <v/>
      </c>
    </row>
    <row r="295">
      <c r="A295" t="inlineStr">
        <is>
          <t>ALL</t>
        </is>
      </c>
      <c r="B295" t="inlineStr">
        <is>
          <t>legendary</t>
        </is>
      </c>
      <c r="C295" t="n">
        <v>1</v>
      </c>
      <c r="D295" t="inlineStr">
        <is>
          <t>Str %</t>
        </is>
      </c>
      <c r="E295" t="n">
        <v>12</v>
      </c>
      <c r="F295" t="n">
        <v>4.5</v>
      </c>
      <c r="G295" t="b">
        <v>0</v>
      </c>
      <c r="H295" t="inlineStr">
        <is>
          <t>0</t>
        </is>
      </c>
    </row>
    <row r="296">
      <c r="A296" t="inlineStr">
        <is>
          <t>ALL</t>
        </is>
      </c>
      <c r="B296" t="inlineStr">
        <is>
          <t>legendary</t>
        </is>
      </c>
      <c r="C296" t="n">
        <v>1</v>
      </c>
      <c r="D296" t="inlineStr">
        <is>
          <t>Dex %</t>
        </is>
      </c>
      <c r="E296" t="n">
        <v>12</v>
      </c>
      <c r="F296" t="n">
        <v>4.5</v>
      </c>
      <c r="G296" t="b">
        <v>0</v>
      </c>
      <c r="H296">
        <f>Sensitivity!H6</f>
        <v/>
      </c>
    </row>
    <row r="297">
      <c r="A297" t="inlineStr">
        <is>
          <t>ALL</t>
        </is>
      </c>
      <c r="B297" t="inlineStr">
        <is>
          <t>legendary</t>
        </is>
      </c>
      <c r="C297" t="n">
        <v>1</v>
      </c>
      <c r="D297" t="inlineStr">
        <is>
          <t>Int %</t>
        </is>
      </c>
      <c r="E297" t="n">
        <v>12</v>
      </c>
      <c r="F297" t="n">
        <v>4.5</v>
      </c>
      <c r="G297" t="b">
        <v>0</v>
      </c>
      <c r="H297" t="inlineStr">
        <is>
          <t>0</t>
        </is>
      </c>
    </row>
    <row r="298">
      <c r="A298" t="inlineStr">
        <is>
          <t>ALL</t>
        </is>
      </c>
      <c r="B298" t="inlineStr">
        <is>
          <t>legendary</t>
        </is>
      </c>
      <c r="C298" t="n">
        <v>1</v>
      </c>
      <c r="D298" t="inlineStr">
        <is>
          <t>Luk %</t>
        </is>
      </c>
      <c r="E298" t="n">
        <v>12</v>
      </c>
      <c r="F298" t="n">
        <v>4.5</v>
      </c>
      <c r="G298" t="b">
        <v>0</v>
      </c>
      <c r="H298" t="inlineStr">
        <is>
          <t>0</t>
        </is>
      </c>
    </row>
    <row r="299">
      <c r="A299" t="inlineStr">
        <is>
          <t>ALL</t>
        </is>
      </c>
      <c r="B299" t="inlineStr">
        <is>
          <t>legendary</t>
        </is>
      </c>
      <c r="C299" t="n">
        <v>1</v>
      </c>
      <c r="D299" t="inlineStr">
        <is>
          <t>Defense %</t>
        </is>
      </c>
      <c r="E299" t="n">
        <v>12</v>
      </c>
      <c r="F299" t="n">
        <v>9</v>
      </c>
      <c r="G299" t="b">
        <v>0</v>
      </c>
      <c r="H299" t="inlineStr">
        <is>
          <t>0</t>
        </is>
      </c>
    </row>
    <row r="300">
      <c r="A300" t="inlineStr">
        <is>
          <t>ALL</t>
        </is>
      </c>
      <c r="B300" t="inlineStr">
        <is>
          <t>legendary</t>
        </is>
      </c>
      <c r="C300" t="n">
        <v>1</v>
      </c>
      <c r="D300" t="inlineStr">
        <is>
          <t>Max HP %</t>
        </is>
      </c>
      <c r="E300" t="n">
        <v>20</v>
      </c>
      <c r="F300" t="n">
        <v>9</v>
      </c>
      <c r="G300" t="b">
        <v>0</v>
      </c>
      <c r="H300" t="inlineStr">
        <is>
          <t>0</t>
        </is>
      </c>
    </row>
    <row r="301">
      <c r="A301" t="inlineStr">
        <is>
          <t>ALL</t>
        </is>
      </c>
      <c r="B301" t="inlineStr">
        <is>
          <t>legendary</t>
        </is>
      </c>
      <c r="C301" t="n">
        <v>1</v>
      </c>
      <c r="D301" t="inlineStr">
        <is>
          <t>Max MP %</t>
        </is>
      </c>
      <c r="E301" t="n">
        <v>12</v>
      </c>
      <c r="F301" t="n">
        <v>9</v>
      </c>
      <c r="G301" t="b">
        <v>0</v>
      </c>
      <c r="H301" t="inlineStr">
        <is>
          <t>0</t>
        </is>
      </c>
    </row>
    <row r="302">
      <c r="A302" t="inlineStr">
        <is>
          <t>ALL</t>
        </is>
      </c>
      <c r="B302" t="inlineStr">
        <is>
          <t>legendary</t>
        </is>
      </c>
      <c r="C302" t="n">
        <v>1</v>
      </c>
      <c r="D302" t="inlineStr">
        <is>
          <t>Str</t>
        </is>
      </c>
      <c r="E302" t="n">
        <v>600</v>
      </c>
      <c r="F302" t="n">
        <v>9.25</v>
      </c>
      <c r="G302" t="b">
        <v>0</v>
      </c>
      <c r="H302" t="inlineStr">
        <is>
          <t>0</t>
        </is>
      </c>
    </row>
    <row r="303">
      <c r="A303" t="inlineStr">
        <is>
          <t>ALL</t>
        </is>
      </c>
      <c r="B303" t="inlineStr">
        <is>
          <t>legendary</t>
        </is>
      </c>
      <c r="C303" t="n">
        <v>1</v>
      </c>
      <c r="D303" t="inlineStr">
        <is>
          <t>Dex</t>
        </is>
      </c>
      <c r="E303" t="n">
        <v>600</v>
      </c>
      <c r="F303" t="n">
        <v>9.25</v>
      </c>
      <c r="G303" t="b">
        <v>0</v>
      </c>
      <c r="H303">
        <f>Sensitivity!H5</f>
        <v/>
      </c>
    </row>
    <row r="304">
      <c r="A304" t="inlineStr">
        <is>
          <t>ALL</t>
        </is>
      </c>
      <c r="B304" t="inlineStr">
        <is>
          <t>legendary</t>
        </is>
      </c>
      <c r="C304" t="n">
        <v>1</v>
      </c>
      <c r="D304" t="inlineStr">
        <is>
          <t>Int</t>
        </is>
      </c>
      <c r="E304" t="n">
        <v>600</v>
      </c>
      <c r="F304" t="n">
        <v>9.25</v>
      </c>
      <c r="G304" t="b">
        <v>0</v>
      </c>
      <c r="H304" t="inlineStr">
        <is>
          <t>0</t>
        </is>
      </c>
    </row>
    <row r="305">
      <c r="A305" t="inlineStr">
        <is>
          <t>ALL</t>
        </is>
      </c>
      <c r="B305" t="inlineStr">
        <is>
          <t>legendary</t>
        </is>
      </c>
      <c r="C305" t="n">
        <v>1</v>
      </c>
      <c r="D305" t="inlineStr">
        <is>
          <t>Luk</t>
        </is>
      </c>
      <c r="E305" t="n">
        <v>600</v>
      </c>
      <c r="F305" t="n">
        <v>9.25</v>
      </c>
      <c r="G305" t="b">
        <v>0</v>
      </c>
      <c r="H305" t="inlineStr">
        <is>
          <t>0</t>
        </is>
      </c>
    </row>
    <row r="306">
      <c r="A306" t="inlineStr">
        <is>
          <t>ALL</t>
        </is>
      </c>
      <c r="B306" t="inlineStr">
        <is>
          <t>legendary</t>
        </is>
      </c>
      <c r="C306" t="n">
        <v>2</v>
      </c>
      <c r="D306" t="inlineStr">
        <is>
          <t>Critical Rate %</t>
        </is>
      </c>
      <c r="E306" t="n">
        <v>9</v>
      </c>
      <c r="F306" t="n">
        <v>1.9</v>
      </c>
      <c r="G306" t="b">
        <v>0</v>
      </c>
      <c r="H306">
        <f>IF(AND(Inputs!$B$9+Summary!$B$14+Artifacts!$B$32&gt;=100,NOT(ArtifactsInput!$M$42),NOT(ArtifactsInput!$M$24)),Sensitivity!H16,Sensitivity!H15)</f>
        <v/>
      </c>
    </row>
    <row r="307">
      <c r="A307" t="inlineStr">
        <is>
          <t>ALL</t>
        </is>
      </c>
      <c r="B307" t="inlineStr">
        <is>
          <t>legendary</t>
        </is>
      </c>
      <c r="C307" t="n">
        <v>2</v>
      </c>
      <c r="D307" t="inlineStr">
        <is>
          <t>Critical Rate %</t>
        </is>
      </c>
      <c r="E307" t="n">
        <v>12</v>
      </c>
      <c r="F307" t="n">
        <v>0.6</v>
      </c>
      <c r="G307" t="b">
        <v>1</v>
      </c>
      <c r="H307">
        <f>IF(AND(Inputs!$B$9+Summary!$B$14+Artifacts!$B$32&gt;=100,NOT(ArtifactsInput!$M$42),NOT(ArtifactsInput!$M$24)),Sensitivity!H16,Sensitivity!H15)</f>
        <v/>
      </c>
    </row>
    <row r="308">
      <c r="A308" t="inlineStr">
        <is>
          <t>ALL</t>
        </is>
      </c>
      <c r="B308" t="inlineStr">
        <is>
          <t>legendary</t>
        </is>
      </c>
      <c r="C308" t="n">
        <v>2</v>
      </c>
      <c r="D308" t="inlineStr">
        <is>
          <t>Attack Speed %</t>
        </is>
      </c>
      <c r="E308" t="n">
        <v>5</v>
      </c>
      <c r="F308" t="n">
        <v>1.9</v>
      </c>
      <c r="G308" t="b">
        <v>0</v>
      </c>
      <c r="H308">
        <f>Sensitivity!H17</f>
        <v/>
      </c>
    </row>
    <row r="309">
      <c r="A309" t="inlineStr">
        <is>
          <t>ALL</t>
        </is>
      </c>
      <c r="B309" t="inlineStr">
        <is>
          <t>legendary</t>
        </is>
      </c>
      <c r="C309" t="n">
        <v>2</v>
      </c>
      <c r="D309" t="inlineStr">
        <is>
          <t>Attack Speed %</t>
        </is>
      </c>
      <c r="E309" t="n">
        <v>7</v>
      </c>
      <c r="F309" t="n">
        <v>0.6</v>
      </c>
      <c r="G309" t="b">
        <v>1</v>
      </c>
      <c r="H309">
        <f>Sensitivity!H17</f>
        <v/>
      </c>
    </row>
    <row r="310">
      <c r="A310" t="inlineStr">
        <is>
          <t>ALL</t>
        </is>
      </c>
      <c r="B310" t="inlineStr">
        <is>
          <t>legendary</t>
        </is>
      </c>
      <c r="C310" t="n">
        <v>2</v>
      </c>
      <c r="D310" t="inlineStr">
        <is>
          <t>Damage %</t>
        </is>
      </c>
      <c r="E310" t="n">
        <v>18</v>
      </c>
      <c r="F310" t="n">
        <v>3.04</v>
      </c>
      <c r="G310" t="b">
        <v>0</v>
      </c>
      <c r="H310">
        <f>Sensitivity!H8</f>
        <v/>
      </c>
    </row>
    <row r="311">
      <c r="A311" t="inlineStr">
        <is>
          <t>ALL</t>
        </is>
      </c>
      <c r="B311" t="inlineStr">
        <is>
          <t>legendary</t>
        </is>
      </c>
      <c r="C311" t="n">
        <v>2</v>
      </c>
      <c r="D311" t="inlineStr">
        <is>
          <t>Damage %</t>
        </is>
      </c>
      <c r="E311" t="n">
        <v>25</v>
      </c>
      <c r="F311" t="n">
        <v>0.96</v>
      </c>
      <c r="G311" t="b">
        <v>1</v>
      </c>
      <c r="H311">
        <f>Sensitivity!H8</f>
        <v/>
      </c>
    </row>
    <row r="312">
      <c r="A312" t="inlineStr">
        <is>
          <t>ALL</t>
        </is>
      </c>
      <c r="B312" t="inlineStr">
        <is>
          <t>legendary</t>
        </is>
      </c>
      <c r="C312" t="n">
        <v>2</v>
      </c>
      <c r="D312" t="inlineStr">
        <is>
          <t>Min Damage Multiplier %</t>
        </is>
      </c>
      <c r="E312" t="n">
        <v>10</v>
      </c>
      <c r="F312" t="n">
        <v>3.04</v>
      </c>
      <c r="G312" t="b">
        <v>0</v>
      </c>
      <c r="H312">
        <f>Sensitivity!H13</f>
        <v/>
      </c>
    </row>
    <row r="313">
      <c r="A313" t="inlineStr">
        <is>
          <t>ALL</t>
        </is>
      </c>
      <c r="B313" t="inlineStr">
        <is>
          <t>legendary</t>
        </is>
      </c>
      <c r="C313" t="n">
        <v>2</v>
      </c>
      <c r="D313" t="inlineStr">
        <is>
          <t>Min Damage Multiplier %</t>
        </is>
      </c>
      <c r="E313" t="n">
        <v>15</v>
      </c>
      <c r="F313" t="n">
        <v>0.96</v>
      </c>
      <c r="G313" t="b">
        <v>1</v>
      </c>
      <c r="H313">
        <f>Sensitivity!H13</f>
        <v/>
      </c>
    </row>
    <row r="314">
      <c r="A314" t="inlineStr">
        <is>
          <t>ALL</t>
        </is>
      </c>
      <c r="B314" t="inlineStr">
        <is>
          <t>legendary</t>
        </is>
      </c>
      <c r="C314" t="n">
        <v>2</v>
      </c>
      <c r="D314" t="inlineStr">
        <is>
          <t>Max Damage Multiplier %</t>
        </is>
      </c>
      <c r="E314" t="n">
        <v>10</v>
      </c>
      <c r="F314" t="n">
        <v>3.04</v>
      </c>
      <c r="G314" t="b">
        <v>0</v>
      </c>
      <c r="H314">
        <f>Sensitivity!H14</f>
        <v/>
      </c>
    </row>
    <row r="315">
      <c r="A315" t="inlineStr">
        <is>
          <t>ALL</t>
        </is>
      </c>
      <c r="B315" t="inlineStr">
        <is>
          <t>legendary</t>
        </is>
      </c>
      <c r="C315" t="n">
        <v>2</v>
      </c>
      <c r="D315" t="inlineStr">
        <is>
          <t>Max Damage Multiplier %</t>
        </is>
      </c>
      <c r="E315" t="n">
        <v>15</v>
      </c>
      <c r="F315" t="n">
        <v>0.96</v>
      </c>
      <c r="G315" t="b">
        <v>1</v>
      </c>
      <c r="H315">
        <f>Sensitivity!H14</f>
        <v/>
      </c>
    </row>
    <row r="316">
      <c r="A316" t="inlineStr">
        <is>
          <t>ALL</t>
        </is>
      </c>
      <c r="B316" t="inlineStr">
        <is>
          <t>legendary</t>
        </is>
      </c>
      <c r="C316" t="n">
        <v>2</v>
      </c>
      <c r="D316" t="inlineStr">
        <is>
          <t>Str %</t>
        </is>
      </c>
      <c r="E316" t="n">
        <v>9</v>
      </c>
      <c r="F316" t="n">
        <v>3.42</v>
      </c>
      <c r="G316" t="b">
        <v>0</v>
      </c>
      <c r="H316" t="inlineStr">
        <is>
          <t>0</t>
        </is>
      </c>
    </row>
    <row r="317">
      <c r="A317" t="inlineStr">
        <is>
          <t>ALL</t>
        </is>
      </c>
      <c r="B317" t="inlineStr">
        <is>
          <t>legendary</t>
        </is>
      </c>
      <c r="C317" t="n">
        <v>2</v>
      </c>
      <c r="D317" t="inlineStr">
        <is>
          <t>Str %</t>
        </is>
      </c>
      <c r="E317" t="n">
        <v>12</v>
      </c>
      <c r="F317" t="n">
        <v>1.08</v>
      </c>
      <c r="G317" t="b">
        <v>1</v>
      </c>
      <c r="H317" t="inlineStr">
        <is>
          <t>0</t>
        </is>
      </c>
    </row>
    <row r="318">
      <c r="A318" t="inlineStr">
        <is>
          <t>ALL</t>
        </is>
      </c>
      <c r="B318" t="inlineStr">
        <is>
          <t>legendary</t>
        </is>
      </c>
      <c r="C318" t="n">
        <v>2</v>
      </c>
      <c r="D318" t="inlineStr">
        <is>
          <t>Dex %</t>
        </is>
      </c>
      <c r="E318" t="n">
        <v>9</v>
      </c>
      <c r="F318" t="n">
        <v>3.42</v>
      </c>
      <c r="G318" t="b">
        <v>0</v>
      </c>
      <c r="H318">
        <f>Sensitivity!H6</f>
        <v/>
      </c>
    </row>
    <row r="319">
      <c r="A319" t="inlineStr">
        <is>
          <t>ALL</t>
        </is>
      </c>
      <c r="B319" t="inlineStr">
        <is>
          <t>legendary</t>
        </is>
      </c>
      <c r="C319" t="n">
        <v>2</v>
      </c>
      <c r="D319" t="inlineStr">
        <is>
          <t>Dex %</t>
        </is>
      </c>
      <c r="E319" t="n">
        <v>12</v>
      </c>
      <c r="F319" t="n">
        <v>1.08</v>
      </c>
      <c r="G319" t="b">
        <v>1</v>
      </c>
      <c r="H319">
        <f>Sensitivity!H6</f>
        <v/>
      </c>
    </row>
    <row r="320">
      <c r="A320" t="inlineStr">
        <is>
          <t>ALL</t>
        </is>
      </c>
      <c r="B320" t="inlineStr">
        <is>
          <t>legendary</t>
        </is>
      </c>
      <c r="C320" t="n">
        <v>2</v>
      </c>
      <c r="D320" t="inlineStr">
        <is>
          <t>Int %</t>
        </is>
      </c>
      <c r="E320" t="n">
        <v>9</v>
      </c>
      <c r="F320" t="n">
        <v>3.42</v>
      </c>
      <c r="G320" t="b">
        <v>0</v>
      </c>
      <c r="H320" t="inlineStr">
        <is>
          <t>0</t>
        </is>
      </c>
    </row>
    <row r="321">
      <c r="A321" t="inlineStr">
        <is>
          <t>ALL</t>
        </is>
      </c>
      <c r="B321" t="inlineStr">
        <is>
          <t>legendary</t>
        </is>
      </c>
      <c r="C321" t="n">
        <v>2</v>
      </c>
      <c r="D321" t="inlineStr">
        <is>
          <t>Int %</t>
        </is>
      </c>
      <c r="E321" t="n">
        <v>12</v>
      </c>
      <c r="F321" t="n">
        <v>1.08</v>
      </c>
      <c r="G321" t="b">
        <v>1</v>
      </c>
      <c r="H321" t="inlineStr">
        <is>
          <t>0</t>
        </is>
      </c>
    </row>
    <row r="322">
      <c r="A322" t="inlineStr">
        <is>
          <t>ALL</t>
        </is>
      </c>
      <c r="B322" t="inlineStr">
        <is>
          <t>legendary</t>
        </is>
      </c>
      <c r="C322" t="n">
        <v>2</v>
      </c>
      <c r="D322" t="inlineStr">
        <is>
          <t>Luk %</t>
        </is>
      </c>
      <c r="E322" t="n">
        <v>9</v>
      </c>
      <c r="F322" t="n">
        <v>3.42</v>
      </c>
      <c r="G322" t="b">
        <v>0</v>
      </c>
      <c r="H322" t="inlineStr">
        <is>
          <t>0</t>
        </is>
      </c>
    </row>
    <row r="323">
      <c r="A323" t="inlineStr">
        <is>
          <t>ALL</t>
        </is>
      </c>
      <c r="B323" t="inlineStr">
        <is>
          <t>legendary</t>
        </is>
      </c>
      <c r="C323" t="n">
        <v>2</v>
      </c>
      <c r="D323" t="inlineStr">
        <is>
          <t>Luk %</t>
        </is>
      </c>
      <c r="E323" t="n">
        <v>12</v>
      </c>
      <c r="F323" t="n">
        <v>1.08</v>
      </c>
      <c r="G323" t="b">
        <v>1</v>
      </c>
      <c r="H323" t="inlineStr">
        <is>
          <t>0</t>
        </is>
      </c>
    </row>
    <row r="324">
      <c r="A324" t="inlineStr">
        <is>
          <t>ALL</t>
        </is>
      </c>
      <c r="B324" t="inlineStr">
        <is>
          <t>legendary</t>
        </is>
      </c>
      <c r="C324" t="n">
        <v>2</v>
      </c>
      <c r="D324" t="inlineStr">
        <is>
          <t>Defense %</t>
        </is>
      </c>
      <c r="E324" t="n">
        <v>9</v>
      </c>
      <c r="F324" t="n">
        <v>6.84</v>
      </c>
      <c r="G324" t="b">
        <v>0</v>
      </c>
      <c r="H324" t="inlineStr">
        <is>
          <t>0</t>
        </is>
      </c>
    </row>
    <row r="325">
      <c r="A325" t="inlineStr">
        <is>
          <t>ALL</t>
        </is>
      </c>
      <c r="B325" t="inlineStr">
        <is>
          <t>legendary</t>
        </is>
      </c>
      <c r="C325" t="n">
        <v>2</v>
      </c>
      <c r="D325" t="inlineStr">
        <is>
          <t>Defense %</t>
        </is>
      </c>
      <c r="E325" t="n">
        <v>12</v>
      </c>
      <c r="F325" t="n">
        <v>2.16</v>
      </c>
      <c r="G325" t="b">
        <v>1</v>
      </c>
      <c r="H325" t="inlineStr">
        <is>
          <t>0</t>
        </is>
      </c>
    </row>
    <row r="326">
      <c r="A326" t="inlineStr">
        <is>
          <t>ALL</t>
        </is>
      </c>
      <c r="B326" t="inlineStr">
        <is>
          <t>legendary</t>
        </is>
      </c>
      <c r="C326" t="n">
        <v>2</v>
      </c>
      <c r="D326" t="inlineStr">
        <is>
          <t>Max HP %</t>
        </is>
      </c>
      <c r="E326" t="n">
        <v>15</v>
      </c>
      <c r="F326" t="n">
        <v>6.84</v>
      </c>
      <c r="G326" t="b">
        <v>0</v>
      </c>
      <c r="H326" t="inlineStr">
        <is>
          <t>0</t>
        </is>
      </c>
    </row>
    <row r="327">
      <c r="A327" t="inlineStr">
        <is>
          <t>ALL</t>
        </is>
      </c>
      <c r="B327" t="inlineStr">
        <is>
          <t>legendary</t>
        </is>
      </c>
      <c r="C327" t="n">
        <v>2</v>
      </c>
      <c r="D327" t="inlineStr">
        <is>
          <t>Max HP %</t>
        </is>
      </c>
      <c r="E327" t="n">
        <v>20</v>
      </c>
      <c r="F327" t="n">
        <v>2.16</v>
      </c>
      <c r="G327" t="b">
        <v>1</v>
      </c>
      <c r="H327" t="inlineStr">
        <is>
          <t>0</t>
        </is>
      </c>
    </row>
    <row r="328">
      <c r="A328" t="inlineStr">
        <is>
          <t>ALL</t>
        </is>
      </c>
      <c r="B328" t="inlineStr">
        <is>
          <t>legendary</t>
        </is>
      </c>
      <c r="C328" t="n">
        <v>2</v>
      </c>
      <c r="D328" t="inlineStr">
        <is>
          <t>Max MP %</t>
        </is>
      </c>
      <c r="E328" t="n">
        <v>9</v>
      </c>
      <c r="F328" t="n">
        <v>6.84</v>
      </c>
      <c r="G328" t="b">
        <v>0</v>
      </c>
      <c r="H328" t="inlineStr">
        <is>
          <t>0</t>
        </is>
      </c>
    </row>
    <row r="329">
      <c r="A329" t="inlineStr">
        <is>
          <t>ALL</t>
        </is>
      </c>
      <c r="B329" t="inlineStr">
        <is>
          <t>legendary</t>
        </is>
      </c>
      <c r="C329" t="n">
        <v>2</v>
      </c>
      <c r="D329" t="inlineStr">
        <is>
          <t>Max MP %</t>
        </is>
      </c>
      <c r="E329" t="n">
        <v>12</v>
      </c>
      <c r="F329" t="n">
        <v>2.16</v>
      </c>
      <c r="G329" t="b">
        <v>1</v>
      </c>
      <c r="H329" t="inlineStr">
        <is>
          <t>0</t>
        </is>
      </c>
    </row>
    <row r="330">
      <c r="A330" t="inlineStr">
        <is>
          <t>ALL</t>
        </is>
      </c>
      <c r="B330" t="inlineStr">
        <is>
          <t>legendary</t>
        </is>
      </c>
      <c r="C330" t="n">
        <v>2</v>
      </c>
      <c r="D330" t="inlineStr">
        <is>
          <t>Str</t>
        </is>
      </c>
      <c r="E330" t="n">
        <v>400</v>
      </c>
      <c r="F330" t="n">
        <v>7.03</v>
      </c>
      <c r="G330" t="b">
        <v>0</v>
      </c>
      <c r="H330" t="inlineStr">
        <is>
          <t>0</t>
        </is>
      </c>
    </row>
    <row r="331">
      <c r="A331" t="inlineStr">
        <is>
          <t>ALL</t>
        </is>
      </c>
      <c r="B331" t="inlineStr">
        <is>
          <t>legendary</t>
        </is>
      </c>
      <c r="C331" t="n">
        <v>2</v>
      </c>
      <c r="D331" t="inlineStr">
        <is>
          <t>Str</t>
        </is>
      </c>
      <c r="E331" t="n">
        <v>600</v>
      </c>
      <c r="F331" t="n">
        <v>2.22</v>
      </c>
      <c r="G331" t="b">
        <v>1</v>
      </c>
      <c r="H331" t="inlineStr">
        <is>
          <t>0</t>
        </is>
      </c>
    </row>
    <row r="332">
      <c r="A332" t="inlineStr">
        <is>
          <t>ALL</t>
        </is>
      </c>
      <c r="B332" t="inlineStr">
        <is>
          <t>legendary</t>
        </is>
      </c>
      <c r="C332" t="n">
        <v>2</v>
      </c>
      <c r="D332" t="inlineStr">
        <is>
          <t>Dex</t>
        </is>
      </c>
      <c r="E332" t="n">
        <v>400</v>
      </c>
      <c r="F332" t="n">
        <v>7.03</v>
      </c>
      <c r="G332" t="b">
        <v>0</v>
      </c>
      <c r="H332">
        <f>Sensitivity!H5</f>
        <v/>
      </c>
    </row>
    <row r="333">
      <c r="A333" t="inlineStr">
        <is>
          <t>ALL</t>
        </is>
      </c>
      <c r="B333" t="inlineStr">
        <is>
          <t>legendary</t>
        </is>
      </c>
      <c r="C333" t="n">
        <v>2</v>
      </c>
      <c r="D333" t="inlineStr">
        <is>
          <t>Dex</t>
        </is>
      </c>
      <c r="E333" t="n">
        <v>600</v>
      </c>
      <c r="F333" t="n">
        <v>2.22</v>
      </c>
      <c r="G333" t="b">
        <v>1</v>
      </c>
      <c r="H333">
        <f>Sensitivity!H5</f>
        <v/>
      </c>
    </row>
    <row r="334">
      <c r="A334" t="inlineStr">
        <is>
          <t>ALL</t>
        </is>
      </c>
      <c r="B334" t="inlineStr">
        <is>
          <t>legendary</t>
        </is>
      </c>
      <c r="C334" t="n">
        <v>2</v>
      </c>
      <c r="D334" t="inlineStr">
        <is>
          <t>Int</t>
        </is>
      </c>
      <c r="E334" t="n">
        <v>400</v>
      </c>
      <c r="F334" t="n">
        <v>7.03</v>
      </c>
      <c r="G334" t="b">
        <v>0</v>
      </c>
      <c r="H334" t="inlineStr">
        <is>
          <t>0</t>
        </is>
      </c>
    </row>
    <row r="335">
      <c r="A335" t="inlineStr">
        <is>
          <t>ALL</t>
        </is>
      </c>
      <c r="B335" t="inlineStr">
        <is>
          <t>legendary</t>
        </is>
      </c>
      <c r="C335" t="n">
        <v>2</v>
      </c>
      <c r="D335" t="inlineStr">
        <is>
          <t>Int</t>
        </is>
      </c>
      <c r="E335" t="n">
        <v>600</v>
      </c>
      <c r="F335" t="n">
        <v>2.22</v>
      </c>
      <c r="G335" t="b">
        <v>1</v>
      </c>
      <c r="H335" t="inlineStr">
        <is>
          <t>0</t>
        </is>
      </c>
    </row>
    <row r="336">
      <c r="A336" t="inlineStr">
        <is>
          <t>ALL</t>
        </is>
      </c>
      <c r="B336" t="inlineStr">
        <is>
          <t>legendary</t>
        </is>
      </c>
      <c r="C336" t="n">
        <v>2</v>
      </c>
      <c r="D336" t="inlineStr">
        <is>
          <t>Luk</t>
        </is>
      </c>
      <c r="E336" t="n">
        <v>400</v>
      </c>
      <c r="F336" t="n">
        <v>7.03</v>
      </c>
      <c r="G336" t="b">
        <v>0</v>
      </c>
      <c r="H336" t="inlineStr">
        <is>
          <t>0</t>
        </is>
      </c>
    </row>
    <row r="337">
      <c r="A337" t="inlineStr">
        <is>
          <t>ALL</t>
        </is>
      </c>
      <c r="B337" t="inlineStr">
        <is>
          <t>legendary</t>
        </is>
      </c>
      <c r="C337" t="n">
        <v>2</v>
      </c>
      <c r="D337" t="inlineStr">
        <is>
          <t>Luk</t>
        </is>
      </c>
      <c r="E337" t="n">
        <v>600</v>
      </c>
      <c r="F337" t="n">
        <v>2.22</v>
      </c>
      <c r="G337" t="b">
        <v>1</v>
      </c>
      <c r="H337" t="inlineStr">
        <is>
          <t>0</t>
        </is>
      </c>
    </row>
    <row r="338">
      <c r="A338" t="inlineStr">
        <is>
          <t>ALL</t>
        </is>
      </c>
      <c r="B338" t="inlineStr">
        <is>
          <t>legendary</t>
        </is>
      </c>
      <c r="C338" t="n">
        <v>3</v>
      </c>
      <c r="D338" t="inlineStr">
        <is>
          <t>Critical Rate %</t>
        </is>
      </c>
      <c r="E338" t="n">
        <v>9</v>
      </c>
      <c r="F338" t="n">
        <v>2.3</v>
      </c>
      <c r="G338" t="b">
        <v>0</v>
      </c>
      <c r="H338">
        <f>IF(AND(Inputs!$B$9+Summary!$B$14+Artifacts!$B$32&gt;=100,NOT(ArtifactsInput!$M$42),NOT(ArtifactsInput!$M$24)),Sensitivity!H16,Sensitivity!H15)</f>
        <v/>
      </c>
    </row>
    <row r="339">
      <c r="A339" t="inlineStr">
        <is>
          <t>ALL</t>
        </is>
      </c>
      <c r="B339" t="inlineStr">
        <is>
          <t>legendary</t>
        </is>
      </c>
      <c r="C339" t="n">
        <v>3</v>
      </c>
      <c r="D339" t="inlineStr">
        <is>
          <t>Critical Rate %</t>
        </is>
      </c>
      <c r="E339" t="n">
        <v>12</v>
      </c>
      <c r="F339" t="n">
        <v>0.2</v>
      </c>
      <c r="G339" t="b">
        <v>1</v>
      </c>
      <c r="H339">
        <f>IF(AND(Inputs!$B$9+Summary!$B$14+Artifacts!$B$32&gt;=100,NOT(ArtifactsInput!$M$42),NOT(ArtifactsInput!$M$24)),Sensitivity!H16,Sensitivity!H15)</f>
        <v/>
      </c>
    </row>
    <row r="340">
      <c r="A340" t="inlineStr">
        <is>
          <t>ALL</t>
        </is>
      </c>
      <c r="B340" t="inlineStr">
        <is>
          <t>legendary</t>
        </is>
      </c>
      <c r="C340" t="n">
        <v>3</v>
      </c>
      <c r="D340" t="inlineStr">
        <is>
          <t>Attack Speed %</t>
        </is>
      </c>
      <c r="E340" t="n">
        <v>5</v>
      </c>
      <c r="F340" t="n">
        <v>2.3</v>
      </c>
      <c r="G340" t="b">
        <v>0</v>
      </c>
      <c r="H340">
        <f>Sensitivity!H17</f>
        <v/>
      </c>
    </row>
    <row r="341">
      <c r="A341" t="inlineStr">
        <is>
          <t>ALL</t>
        </is>
      </c>
      <c r="B341" t="inlineStr">
        <is>
          <t>legendary</t>
        </is>
      </c>
      <c r="C341" t="n">
        <v>3</v>
      </c>
      <c r="D341" t="inlineStr">
        <is>
          <t>Attack Speed %</t>
        </is>
      </c>
      <c r="E341" t="n">
        <v>7</v>
      </c>
      <c r="F341" t="n">
        <v>0.2</v>
      </c>
      <c r="G341" t="b">
        <v>1</v>
      </c>
      <c r="H341">
        <f>Sensitivity!H17</f>
        <v/>
      </c>
    </row>
    <row r="342">
      <c r="A342" t="inlineStr">
        <is>
          <t>ALL</t>
        </is>
      </c>
      <c r="B342" t="inlineStr">
        <is>
          <t>legendary</t>
        </is>
      </c>
      <c r="C342" t="n">
        <v>3</v>
      </c>
      <c r="D342" t="inlineStr">
        <is>
          <t>Damage %</t>
        </is>
      </c>
      <c r="E342" t="n">
        <v>18</v>
      </c>
      <c r="F342" t="n">
        <v>3.68</v>
      </c>
      <c r="G342" t="b">
        <v>0</v>
      </c>
      <c r="H342">
        <f>Sensitivity!H8</f>
        <v/>
      </c>
    </row>
    <row r="343">
      <c r="A343" t="inlineStr">
        <is>
          <t>ALL</t>
        </is>
      </c>
      <c r="B343" t="inlineStr">
        <is>
          <t>legendary</t>
        </is>
      </c>
      <c r="C343" t="n">
        <v>3</v>
      </c>
      <c r="D343" t="inlineStr">
        <is>
          <t>Damage %</t>
        </is>
      </c>
      <c r="E343" t="n">
        <v>25</v>
      </c>
      <c r="F343" t="n">
        <v>0.32</v>
      </c>
      <c r="G343" t="b">
        <v>1</v>
      </c>
      <c r="H343">
        <f>Sensitivity!H8</f>
        <v/>
      </c>
    </row>
    <row r="344">
      <c r="A344" t="inlineStr">
        <is>
          <t>ALL</t>
        </is>
      </c>
      <c r="B344" t="inlineStr">
        <is>
          <t>legendary</t>
        </is>
      </c>
      <c r="C344" t="n">
        <v>3</v>
      </c>
      <c r="D344" t="inlineStr">
        <is>
          <t>Min Damage Multiplier %</t>
        </is>
      </c>
      <c r="E344" t="n">
        <v>10</v>
      </c>
      <c r="F344" t="n">
        <v>3.68</v>
      </c>
      <c r="G344" t="b">
        <v>0</v>
      </c>
      <c r="H344">
        <f>Sensitivity!H13</f>
        <v/>
      </c>
    </row>
    <row r="345">
      <c r="A345" t="inlineStr">
        <is>
          <t>ALL</t>
        </is>
      </c>
      <c r="B345" t="inlineStr">
        <is>
          <t>legendary</t>
        </is>
      </c>
      <c r="C345" t="n">
        <v>3</v>
      </c>
      <c r="D345" t="inlineStr">
        <is>
          <t>Min Damage Multiplier %</t>
        </is>
      </c>
      <c r="E345" t="n">
        <v>15</v>
      </c>
      <c r="F345" t="n">
        <v>0.32</v>
      </c>
      <c r="G345" t="b">
        <v>1</v>
      </c>
      <c r="H345">
        <f>Sensitivity!H13</f>
        <v/>
      </c>
    </row>
    <row r="346">
      <c r="A346" t="inlineStr">
        <is>
          <t>ALL</t>
        </is>
      </c>
      <c r="B346" t="inlineStr">
        <is>
          <t>legendary</t>
        </is>
      </c>
      <c r="C346" t="n">
        <v>3</v>
      </c>
      <c r="D346" t="inlineStr">
        <is>
          <t>Max Damage Multiplier %</t>
        </is>
      </c>
      <c r="E346" t="n">
        <v>10</v>
      </c>
      <c r="F346" t="n">
        <v>3.68</v>
      </c>
      <c r="G346" t="b">
        <v>0</v>
      </c>
      <c r="H346">
        <f>Sensitivity!H14</f>
        <v/>
      </c>
    </row>
    <row r="347">
      <c r="A347" t="inlineStr">
        <is>
          <t>ALL</t>
        </is>
      </c>
      <c r="B347" t="inlineStr">
        <is>
          <t>legendary</t>
        </is>
      </c>
      <c r="C347" t="n">
        <v>3</v>
      </c>
      <c r="D347" t="inlineStr">
        <is>
          <t>Max Damage Multiplier %</t>
        </is>
      </c>
      <c r="E347" t="n">
        <v>15</v>
      </c>
      <c r="F347" t="n">
        <v>0.32</v>
      </c>
      <c r="G347" t="b">
        <v>1</v>
      </c>
      <c r="H347">
        <f>Sensitivity!H14</f>
        <v/>
      </c>
    </row>
    <row r="348">
      <c r="A348" t="inlineStr">
        <is>
          <t>ALL</t>
        </is>
      </c>
      <c r="B348" t="inlineStr">
        <is>
          <t>legendary</t>
        </is>
      </c>
      <c r="C348" t="n">
        <v>3</v>
      </c>
      <c r="D348" t="inlineStr">
        <is>
          <t>Str %</t>
        </is>
      </c>
      <c r="E348" t="n">
        <v>9</v>
      </c>
      <c r="F348" t="n">
        <v>4.14</v>
      </c>
      <c r="G348" t="b">
        <v>0</v>
      </c>
      <c r="H348" t="inlineStr">
        <is>
          <t>0</t>
        </is>
      </c>
    </row>
    <row r="349">
      <c r="A349" t="inlineStr">
        <is>
          <t>ALL</t>
        </is>
      </c>
      <c r="B349" t="inlineStr">
        <is>
          <t>legendary</t>
        </is>
      </c>
      <c r="C349" t="n">
        <v>3</v>
      </c>
      <c r="D349" t="inlineStr">
        <is>
          <t>Str %</t>
        </is>
      </c>
      <c r="E349" t="n">
        <v>12</v>
      </c>
      <c r="F349" t="n">
        <v>0.36</v>
      </c>
      <c r="G349" t="b">
        <v>1</v>
      </c>
      <c r="H349" t="inlineStr">
        <is>
          <t>0</t>
        </is>
      </c>
    </row>
    <row r="350">
      <c r="A350" t="inlineStr">
        <is>
          <t>ALL</t>
        </is>
      </c>
      <c r="B350" t="inlineStr">
        <is>
          <t>legendary</t>
        </is>
      </c>
      <c r="C350" t="n">
        <v>3</v>
      </c>
      <c r="D350" t="inlineStr">
        <is>
          <t>Dex %</t>
        </is>
      </c>
      <c r="E350" t="n">
        <v>9</v>
      </c>
      <c r="F350" t="n">
        <v>4.14</v>
      </c>
      <c r="G350" t="b">
        <v>0</v>
      </c>
      <c r="H350">
        <f>Sensitivity!H6</f>
        <v/>
      </c>
    </row>
    <row r="351">
      <c r="A351" t="inlineStr">
        <is>
          <t>ALL</t>
        </is>
      </c>
      <c r="B351" t="inlineStr">
        <is>
          <t>legendary</t>
        </is>
      </c>
      <c r="C351" t="n">
        <v>3</v>
      </c>
      <c r="D351" t="inlineStr">
        <is>
          <t>Dex %</t>
        </is>
      </c>
      <c r="E351" t="n">
        <v>12</v>
      </c>
      <c r="F351" t="n">
        <v>0.36</v>
      </c>
      <c r="G351" t="b">
        <v>1</v>
      </c>
      <c r="H351">
        <f>Sensitivity!H6</f>
        <v/>
      </c>
    </row>
    <row r="352">
      <c r="A352" t="inlineStr">
        <is>
          <t>ALL</t>
        </is>
      </c>
      <c r="B352" t="inlineStr">
        <is>
          <t>legendary</t>
        </is>
      </c>
      <c r="C352" t="n">
        <v>3</v>
      </c>
      <c r="D352" t="inlineStr">
        <is>
          <t>Int %</t>
        </is>
      </c>
      <c r="E352" t="n">
        <v>9</v>
      </c>
      <c r="F352" t="n">
        <v>4.14</v>
      </c>
      <c r="G352" t="b">
        <v>0</v>
      </c>
      <c r="H352" t="inlineStr">
        <is>
          <t>0</t>
        </is>
      </c>
    </row>
    <row r="353">
      <c r="A353" t="inlineStr">
        <is>
          <t>ALL</t>
        </is>
      </c>
      <c r="B353" t="inlineStr">
        <is>
          <t>legendary</t>
        </is>
      </c>
      <c r="C353" t="n">
        <v>3</v>
      </c>
      <c r="D353" t="inlineStr">
        <is>
          <t>Int %</t>
        </is>
      </c>
      <c r="E353" t="n">
        <v>12</v>
      </c>
      <c r="F353" t="n">
        <v>0.36</v>
      </c>
      <c r="G353" t="b">
        <v>1</v>
      </c>
      <c r="H353" t="inlineStr">
        <is>
          <t>0</t>
        </is>
      </c>
    </row>
    <row r="354">
      <c r="A354" t="inlineStr">
        <is>
          <t>ALL</t>
        </is>
      </c>
      <c r="B354" t="inlineStr">
        <is>
          <t>legendary</t>
        </is>
      </c>
      <c r="C354" t="n">
        <v>3</v>
      </c>
      <c r="D354" t="inlineStr">
        <is>
          <t>Luk %</t>
        </is>
      </c>
      <c r="E354" t="n">
        <v>9</v>
      </c>
      <c r="F354" t="n">
        <v>4.14</v>
      </c>
      <c r="G354" t="b">
        <v>0</v>
      </c>
      <c r="H354" t="inlineStr">
        <is>
          <t>0</t>
        </is>
      </c>
    </row>
    <row r="355">
      <c r="A355" t="inlineStr">
        <is>
          <t>ALL</t>
        </is>
      </c>
      <c r="B355" t="inlineStr">
        <is>
          <t>legendary</t>
        </is>
      </c>
      <c r="C355" t="n">
        <v>3</v>
      </c>
      <c r="D355" t="inlineStr">
        <is>
          <t>Luk %</t>
        </is>
      </c>
      <c r="E355" t="n">
        <v>12</v>
      </c>
      <c r="F355" t="n">
        <v>0.36</v>
      </c>
      <c r="G355" t="b">
        <v>1</v>
      </c>
      <c r="H355" t="inlineStr">
        <is>
          <t>0</t>
        </is>
      </c>
    </row>
    <row r="356">
      <c r="A356" t="inlineStr">
        <is>
          <t>ALL</t>
        </is>
      </c>
      <c r="B356" t="inlineStr">
        <is>
          <t>legendary</t>
        </is>
      </c>
      <c r="C356" t="n">
        <v>3</v>
      </c>
      <c r="D356" t="inlineStr">
        <is>
          <t>Defense %</t>
        </is>
      </c>
      <c r="E356" t="n">
        <v>9</v>
      </c>
      <c r="F356" t="n">
        <v>8.279999999999999</v>
      </c>
      <c r="G356" t="b">
        <v>0</v>
      </c>
      <c r="H356" t="inlineStr">
        <is>
          <t>0</t>
        </is>
      </c>
    </row>
    <row r="357">
      <c r="A357" t="inlineStr">
        <is>
          <t>ALL</t>
        </is>
      </c>
      <c r="B357" t="inlineStr">
        <is>
          <t>legendary</t>
        </is>
      </c>
      <c r="C357" t="n">
        <v>3</v>
      </c>
      <c r="D357" t="inlineStr">
        <is>
          <t>Defense %</t>
        </is>
      </c>
      <c r="E357" t="n">
        <v>12</v>
      </c>
      <c r="F357" t="n">
        <v>0.72</v>
      </c>
      <c r="G357" t="b">
        <v>1</v>
      </c>
      <c r="H357" t="inlineStr">
        <is>
          <t>0</t>
        </is>
      </c>
    </row>
    <row r="358">
      <c r="A358" t="inlineStr">
        <is>
          <t>ALL</t>
        </is>
      </c>
      <c r="B358" t="inlineStr">
        <is>
          <t>legendary</t>
        </is>
      </c>
      <c r="C358" t="n">
        <v>3</v>
      </c>
      <c r="D358" t="inlineStr">
        <is>
          <t>Max HP %</t>
        </is>
      </c>
      <c r="E358" t="n">
        <v>15</v>
      </c>
      <c r="F358" t="n">
        <v>8.279999999999999</v>
      </c>
      <c r="G358" t="b">
        <v>0</v>
      </c>
      <c r="H358" t="inlineStr">
        <is>
          <t>0</t>
        </is>
      </c>
    </row>
    <row r="359">
      <c r="A359" t="inlineStr">
        <is>
          <t>ALL</t>
        </is>
      </c>
      <c r="B359" t="inlineStr">
        <is>
          <t>legendary</t>
        </is>
      </c>
      <c r="C359" t="n">
        <v>3</v>
      </c>
      <c r="D359" t="inlineStr">
        <is>
          <t>Max HP %</t>
        </is>
      </c>
      <c r="E359" t="n">
        <v>20</v>
      </c>
      <c r="F359" t="n">
        <v>0.72</v>
      </c>
      <c r="G359" t="b">
        <v>1</v>
      </c>
      <c r="H359" t="inlineStr">
        <is>
          <t>0</t>
        </is>
      </c>
    </row>
    <row r="360">
      <c r="A360" t="inlineStr">
        <is>
          <t>ALL</t>
        </is>
      </c>
      <c r="B360" t="inlineStr">
        <is>
          <t>legendary</t>
        </is>
      </c>
      <c r="C360" t="n">
        <v>3</v>
      </c>
      <c r="D360" t="inlineStr">
        <is>
          <t>Max MP %</t>
        </is>
      </c>
      <c r="E360" t="n">
        <v>9</v>
      </c>
      <c r="F360" t="n">
        <v>8.279999999999999</v>
      </c>
      <c r="G360" t="b">
        <v>0</v>
      </c>
      <c r="H360" t="inlineStr">
        <is>
          <t>0</t>
        </is>
      </c>
    </row>
    <row r="361">
      <c r="A361" t="inlineStr">
        <is>
          <t>ALL</t>
        </is>
      </c>
      <c r="B361" t="inlineStr">
        <is>
          <t>legendary</t>
        </is>
      </c>
      <c r="C361" t="n">
        <v>3</v>
      </c>
      <c r="D361" t="inlineStr">
        <is>
          <t>Max MP %</t>
        </is>
      </c>
      <c r="E361" t="n">
        <v>12</v>
      </c>
      <c r="F361" t="n">
        <v>0.72</v>
      </c>
      <c r="G361" t="b">
        <v>1</v>
      </c>
      <c r="H361" t="inlineStr">
        <is>
          <t>0</t>
        </is>
      </c>
    </row>
    <row r="362">
      <c r="A362" t="inlineStr">
        <is>
          <t>ALL</t>
        </is>
      </c>
      <c r="B362" t="inlineStr">
        <is>
          <t>legendary</t>
        </is>
      </c>
      <c r="C362" t="n">
        <v>3</v>
      </c>
      <c r="D362" t="inlineStr">
        <is>
          <t>Str</t>
        </is>
      </c>
      <c r="E362" t="n">
        <v>400</v>
      </c>
      <c r="F362" t="n">
        <v>8.51</v>
      </c>
      <c r="G362" t="b">
        <v>0</v>
      </c>
      <c r="H362" t="inlineStr">
        <is>
          <t>0</t>
        </is>
      </c>
    </row>
    <row r="363">
      <c r="A363" t="inlineStr">
        <is>
          <t>ALL</t>
        </is>
      </c>
      <c r="B363" t="inlineStr">
        <is>
          <t>legendary</t>
        </is>
      </c>
      <c r="C363" t="n">
        <v>3</v>
      </c>
      <c r="D363" t="inlineStr">
        <is>
          <t>Str</t>
        </is>
      </c>
      <c r="E363" t="n">
        <v>600</v>
      </c>
      <c r="F363" t="n">
        <v>0.74</v>
      </c>
      <c r="G363" t="b">
        <v>1</v>
      </c>
      <c r="H363" t="inlineStr">
        <is>
          <t>0</t>
        </is>
      </c>
    </row>
    <row r="364">
      <c r="A364" t="inlineStr">
        <is>
          <t>ALL</t>
        </is>
      </c>
      <c r="B364" t="inlineStr">
        <is>
          <t>legendary</t>
        </is>
      </c>
      <c r="C364" t="n">
        <v>3</v>
      </c>
      <c r="D364" t="inlineStr">
        <is>
          <t>Dex</t>
        </is>
      </c>
      <c r="E364" t="n">
        <v>400</v>
      </c>
      <c r="F364" t="n">
        <v>8.51</v>
      </c>
      <c r="G364" t="b">
        <v>0</v>
      </c>
      <c r="H364">
        <f>Sensitivity!H5</f>
        <v/>
      </c>
    </row>
    <row r="365">
      <c r="A365" t="inlineStr">
        <is>
          <t>ALL</t>
        </is>
      </c>
      <c r="B365" t="inlineStr">
        <is>
          <t>legendary</t>
        </is>
      </c>
      <c r="C365" t="n">
        <v>3</v>
      </c>
      <c r="D365" t="inlineStr">
        <is>
          <t>Dex</t>
        </is>
      </c>
      <c r="E365" t="n">
        <v>600</v>
      </c>
      <c r="F365" t="n">
        <v>0.74</v>
      </c>
      <c r="G365" t="b">
        <v>1</v>
      </c>
      <c r="H365">
        <f>Sensitivity!H5</f>
        <v/>
      </c>
    </row>
    <row r="366">
      <c r="A366" t="inlineStr">
        <is>
          <t>ALL</t>
        </is>
      </c>
      <c r="B366" t="inlineStr">
        <is>
          <t>legendary</t>
        </is>
      </c>
      <c r="C366" t="n">
        <v>3</v>
      </c>
      <c r="D366" t="inlineStr">
        <is>
          <t>Int</t>
        </is>
      </c>
      <c r="E366" t="n">
        <v>400</v>
      </c>
      <c r="F366" t="n">
        <v>8.51</v>
      </c>
      <c r="G366" t="b">
        <v>0</v>
      </c>
      <c r="H366" t="inlineStr">
        <is>
          <t>0</t>
        </is>
      </c>
    </row>
    <row r="367">
      <c r="A367" t="inlineStr">
        <is>
          <t>ALL</t>
        </is>
      </c>
      <c r="B367" t="inlineStr">
        <is>
          <t>legendary</t>
        </is>
      </c>
      <c r="C367" t="n">
        <v>3</v>
      </c>
      <c r="D367" t="inlineStr">
        <is>
          <t>Int</t>
        </is>
      </c>
      <c r="E367" t="n">
        <v>600</v>
      </c>
      <c r="F367" t="n">
        <v>0.74</v>
      </c>
      <c r="G367" t="b">
        <v>1</v>
      </c>
      <c r="H367" t="inlineStr">
        <is>
          <t>0</t>
        </is>
      </c>
    </row>
    <row r="368">
      <c r="A368" t="inlineStr">
        <is>
          <t>ALL</t>
        </is>
      </c>
      <c r="B368" t="inlineStr">
        <is>
          <t>legendary</t>
        </is>
      </c>
      <c r="C368" t="n">
        <v>3</v>
      </c>
      <c r="D368" t="inlineStr">
        <is>
          <t>Luk</t>
        </is>
      </c>
      <c r="E368" t="n">
        <v>400</v>
      </c>
      <c r="F368" t="n">
        <v>8.51</v>
      </c>
      <c r="G368" t="b">
        <v>0</v>
      </c>
      <c r="H368" t="inlineStr">
        <is>
          <t>0</t>
        </is>
      </c>
    </row>
    <row r="369">
      <c r="A369" t="inlineStr">
        <is>
          <t>ALL</t>
        </is>
      </c>
      <c r="B369" t="inlineStr">
        <is>
          <t>legendary</t>
        </is>
      </c>
      <c r="C369" t="n">
        <v>3</v>
      </c>
      <c r="D369" t="inlineStr">
        <is>
          <t>Luk</t>
        </is>
      </c>
      <c r="E369" t="n">
        <v>600</v>
      </c>
      <c r="F369" t="n">
        <v>0.74</v>
      </c>
      <c r="G369" t="b">
        <v>1</v>
      </c>
      <c r="H369" t="inlineStr">
        <is>
          <t>0</t>
        </is>
      </c>
    </row>
    <row r="370">
      <c r="A370" t="inlineStr">
        <is>
          <t>ALL</t>
        </is>
      </c>
      <c r="B370" t="inlineStr">
        <is>
          <t>mystic</t>
        </is>
      </c>
      <c r="C370" t="n">
        <v>1</v>
      </c>
      <c r="D370" t="inlineStr">
        <is>
          <t>Critical Rate %</t>
        </is>
      </c>
      <c r="E370" t="n">
        <v>15</v>
      </c>
      <c r="F370" t="n">
        <v>2.5</v>
      </c>
      <c r="G370" t="b">
        <v>0</v>
      </c>
      <c r="H370">
        <f>IF(AND(Inputs!$B$9+Summary!$B$14+Artifacts!$B$32&gt;=100,NOT(ArtifactsInput!$M$42),NOT(ArtifactsInput!$M$24)),Sensitivity!H16,Sensitivity!H15)</f>
        <v/>
      </c>
    </row>
    <row r="371">
      <c r="A371" t="inlineStr">
        <is>
          <t>ALL</t>
        </is>
      </c>
      <c r="B371" t="inlineStr">
        <is>
          <t>mystic</t>
        </is>
      </c>
      <c r="C371" t="n">
        <v>1</v>
      </c>
      <c r="D371" t="inlineStr">
        <is>
          <t>Attack Speed %</t>
        </is>
      </c>
      <c r="E371" t="n">
        <v>10</v>
      </c>
      <c r="F371" t="n">
        <v>2.5</v>
      </c>
      <c r="G371" t="b">
        <v>0</v>
      </c>
      <c r="H371">
        <f>Sensitivity!H17</f>
        <v/>
      </c>
    </row>
    <row r="372">
      <c r="A372" t="inlineStr">
        <is>
          <t>ALL</t>
        </is>
      </c>
      <c r="B372" t="inlineStr">
        <is>
          <t>mystic</t>
        </is>
      </c>
      <c r="C372" t="n">
        <v>1</v>
      </c>
      <c r="D372" t="inlineStr">
        <is>
          <t>Damage %</t>
        </is>
      </c>
      <c r="E372" t="n">
        <v>35</v>
      </c>
      <c r="F372" t="n">
        <v>4</v>
      </c>
      <c r="G372" t="b">
        <v>0</v>
      </c>
      <c r="H372">
        <f>Sensitivity!H8</f>
        <v/>
      </c>
    </row>
    <row r="373">
      <c r="A373" t="inlineStr">
        <is>
          <t>ALL</t>
        </is>
      </c>
      <c r="B373" t="inlineStr">
        <is>
          <t>mystic</t>
        </is>
      </c>
      <c r="C373" t="n">
        <v>1</v>
      </c>
      <c r="D373" t="inlineStr">
        <is>
          <t>Min Damage Multiplier %</t>
        </is>
      </c>
      <c r="E373" t="n">
        <v>25</v>
      </c>
      <c r="F373" t="n">
        <v>4</v>
      </c>
      <c r="G373" t="b">
        <v>0</v>
      </c>
      <c r="H373">
        <f>Sensitivity!H13</f>
        <v/>
      </c>
    </row>
    <row r="374">
      <c r="A374" t="inlineStr">
        <is>
          <t>ALL</t>
        </is>
      </c>
      <c r="B374" t="inlineStr">
        <is>
          <t>mystic</t>
        </is>
      </c>
      <c r="C374" t="n">
        <v>1</v>
      </c>
      <c r="D374" t="inlineStr">
        <is>
          <t>Max Damage Multiplier %</t>
        </is>
      </c>
      <c r="E374" t="n">
        <v>25</v>
      </c>
      <c r="F374" t="n">
        <v>4</v>
      </c>
      <c r="G374" t="b">
        <v>0</v>
      </c>
      <c r="H374">
        <f>Sensitivity!H14</f>
        <v/>
      </c>
    </row>
    <row r="375">
      <c r="A375" t="inlineStr">
        <is>
          <t>ALL</t>
        </is>
      </c>
      <c r="B375" t="inlineStr">
        <is>
          <t>mystic</t>
        </is>
      </c>
      <c r="C375" t="n">
        <v>1</v>
      </c>
      <c r="D375" t="inlineStr">
        <is>
          <t>Str %</t>
        </is>
      </c>
      <c r="E375" t="n">
        <v>15</v>
      </c>
      <c r="F375" t="n">
        <v>4.5</v>
      </c>
      <c r="G375" t="b">
        <v>0</v>
      </c>
      <c r="H375" t="inlineStr">
        <is>
          <t>0</t>
        </is>
      </c>
    </row>
    <row r="376">
      <c r="A376" t="inlineStr">
        <is>
          <t>ALL</t>
        </is>
      </c>
      <c r="B376" t="inlineStr">
        <is>
          <t>mystic</t>
        </is>
      </c>
      <c r="C376" t="n">
        <v>1</v>
      </c>
      <c r="D376" t="inlineStr">
        <is>
          <t>Dex %</t>
        </is>
      </c>
      <c r="E376" t="n">
        <v>15</v>
      </c>
      <c r="F376" t="n">
        <v>4.5</v>
      </c>
      <c r="G376" t="b">
        <v>0</v>
      </c>
      <c r="H376">
        <f>Sensitivity!H6</f>
        <v/>
      </c>
    </row>
    <row r="377">
      <c r="A377" t="inlineStr">
        <is>
          <t>ALL</t>
        </is>
      </c>
      <c r="B377" t="inlineStr">
        <is>
          <t>mystic</t>
        </is>
      </c>
      <c r="C377" t="n">
        <v>1</v>
      </c>
      <c r="D377" t="inlineStr">
        <is>
          <t>Int %</t>
        </is>
      </c>
      <c r="E377" t="n">
        <v>15</v>
      </c>
      <c r="F377" t="n">
        <v>4.5</v>
      </c>
      <c r="G377" t="b">
        <v>0</v>
      </c>
      <c r="H377" t="inlineStr">
        <is>
          <t>0</t>
        </is>
      </c>
    </row>
    <row r="378">
      <c r="A378" t="inlineStr">
        <is>
          <t>ALL</t>
        </is>
      </c>
      <c r="B378" t="inlineStr">
        <is>
          <t>mystic</t>
        </is>
      </c>
      <c r="C378" t="n">
        <v>1</v>
      </c>
      <c r="D378" t="inlineStr">
        <is>
          <t>Luk %</t>
        </is>
      </c>
      <c r="E378" t="n">
        <v>15</v>
      </c>
      <c r="F378" t="n">
        <v>4.5</v>
      </c>
      <c r="G378" t="b">
        <v>0</v>
      </c>
      <c r="H378" t="inlineStr">
        <is>
          <t>0</t>
        </is>
      </c>
    </row>
    <row r="379">
      <c r="A379" t="inlineStr">
        <is>
          <t>ALL</t>
        </is>
      </c>
      <c r="B379" t="inlineStr">
        <is>
          <t>mystic</t>
        </is>
      </c>
      <c r="C379" t="n">
        <v>1</v>
      </c>
      <c r="D379" t="inlineStr">
        <is>
          <t>Defense %</t>
        </is>
      </c>
      <c r="E379" t="n">
        <v>15</v>
      </c>
      <c r="F379" t="n">
        <v>9</v>
      </c>
      <c r="G379" t="b">
        <v>0</v>
      </c>
      <c r="H379" t="inlineStr">
        <is>
          <t>0</t>
        </is>
      </c>
    </row>
    <row r="380">
      <c r="A380" t="inlineStr">
        <is>
          <t>ALL</t>
        </is>
      </c>
      <c r="B380" t="inlineStr">
        <is>
          <t>mystic</t>
        </is>
      </c>
      <c r="C380" t="n">
        <v>1</v>
      </c>
      <c r="D380" t="inlineStr">
        <is>
          <t>Max HP %</t>
        </is>
      </c>
      <c r="E380" t="n">
        <v>25</v>
      </c>
      <c r="F380" t="n">
        <v>9</v>
      </c>
      <c r="G380" t="b">
        <v>0</v>
      </c>
      <c r="H380" t="inlineStr">
        <is>
          <t>0</t>
        </is>
      </c>
    </row>
    <row r="381">
      <c r="A381" t="inlineStr">
        <is>
          <t>ALL</t>
        </is>
      </c>
      <c r="B381" t="inlineStr">
        <is>
          <t>mystic</t>
        </is>
      </c>
      <c r="C381" t="n">
        <v>1</v>
      </c>
      <c r="D381" t="inlineStr">
        <is>
          <t>Max MP %</t>
        </is>
      </c>
      <c r="E381" t="n">
        <v>15</v>
      </c>
      <c r="F381" t="n">
        <v>9</v>
      </c>
      <c r="G381" t="b">
        <v>0</v>
      </c>
      <c r="H381" t="inlineStr">
        <is>
          <t>0</t>
        </is>
      </c>
    </row>
    <row r="382">
      <c r="A382" t="inlineStr">
        <is>
          <t>ALL</t>
        </is>
      </c>
      <c r="B382" t="inlineStr">
        <is>
          <t>mystic</t>
        </is>
      </c>
      <c r="C382" t="n">
        <v>1</v>
      </c>
      <c r="D382" t="inlineStr">
        <is>
          <t>Str</t>
        </is>
      </c>
      <c r="E382" t="n">
        <v>1000</v>
      </c>
      <c r="F382" t="n">
        <v>9.25</v>
      </c>
      <c r="G382" t="b">
        <v>0</v>
      </c>
      <c r="H382" t="inlineStr">
        <is>
          <t>0</t>
        </is>
      </c>
    </row>
    <row r="383">
      <c r="A383" t="inlineStr">
        <is>
          <t>ALL</t>
        </is>
      </c>
      <c r="B383" t="inlineStr">
        <is>
          <t>mystic</t>
        </is>
      </c>
      <c r="C383" t="n">
        <v>1</v>
      </c>
      <c r="D383" t="inlineStr">
        <is>
          <t>Dex</t>
        </is>
      </c>
      <c r="E383" t="n">
        <v>1000</v>
      </c>
      <c r="F383" t="n">
        <v>9.25</v>
      </c>
      <c r="G383" t="b">
        <v>0</v>
      </c>
      <c r="H383">
        <f>Sensitivity!H5</f>
        <v/>
      </c>
    </row>
    <row r="384">
      <c r="A384" t="inlineStr">
        <is>
          <t>ALL</t>
        </is>
      </c>
      <c r="B384" t="inlineStr">
        <is>
          <t>mystic</t>
        </is>
      </c>
      <c r="C384" t="n">
        <v>1</v>
      </c>
      <c r="D384" t="inlineStr">
        <is>
          <t>Int</t>
        </is>
      </c>
      <c r="E384" t="n">
        <v>1000</v>
      </c>
      <c r="F384" t="n">
        <v>9.25</v>
      </c>
      <c r="G384" t="b">
        <v>0</v>
      </c>
      <c r="H384" t="inlineStr">
        <is>
          <t>0</t>
        </is>
      </c>
    </row>
    <row r="385">
      <c r="A385" t="inlineStr">
        <is>
          <t>ALL</t>
        </is>
      </c>
      <c r="B385" t="inlineStr">
        <is>
          <t>mystic</t>
        </is>
      </c>
      <c r="C385" t="n">
        <v>1</v>
      </c>
      <c r="D385" t="inlineStr">
        <is>
          <t>Luk</t>
        </is>
      </c>
      <c r="E385" t="n">
        <v>1000</v>
      </c>
      <c r="F385" t="n">
        <v>9.25</v>
      </c>
      <c r="G385" t="b">
        <v>0</v>
      </c>
      <c r="H385" t="inlineStr">
        <is>
          <t>0</t>
        </is>
      </c>
    </row>
    <row r="386">
      <c r="A386" t="inlineStr">
        <is>
          <t>ALL</t>
        </is>
      </c>
      <c r="B386" t="inlineStr">
        <is>
          <t>mystic</t>
        </is>
      </c>
      <c r="C386" t="n">
        <v>2</v>
      </c>
      <c r="D386" t="inlineStr">
        <is>
          <t>Critical Rate %</t>
        </is>
      </c>
      <c r="E386" t="n">
        <v>12</v>
      </c>
      <c r="F386" t="n">
        <v>1.9</v>
      </c>
      <c r="G386" t="b">
        <v>0</v>
      </c>
      <c r="H386">
        <f>IF(AND(Inputs!$B$9+Summary!$B$14+Artifacts!$B$32&gt;=100,NOT(ArtifactsInput!$M$42),NOT(ArtifactsInput!$M$24)),Sensitivity!H16,Sensitivity!H15)</f>
        <v/>
      </c>
    </row>
    <row r="387">
      <c r="A387" t="inlineStr">
        <is>
          <t>ALL</t>
        </is>
      </c>
      <c r="B387" t="inlineStr">
        <is>
          <t>mystic</t>
        </is>
      </c>
      <c r="C387" t="n">
        <v>2</v>
      </c>
      <c r="D387" t="inlineStr">
        <is>
          <t>Critical Rate %</t>
        </is>
      </c>
      <c r="E387" t="n">
        <v>15</v>
      </c>
      <c r="F387" t="n">
        <v>0.6</v>
      </c>
      <c r="G387" t="b">
        <v>1</v>
      </c>
      <c r="H387">
        <f>IF(AND(Inputs!$B$9+Summary!$B$14+Artifacts!$B$32&gt;=100,NOT(ArtifactsInput!$M$42),NOT(ArtifactsInput!$M$24)),Sensitivity!H16,Sensitivity!H15)</f>
        <v/>
      </c>
    </row>
    <row r="388">
      <c r="A388" t="inlineStr">
        <is>
          <t>ALL</t>
        </is>
      </c>
      <c r="B388" t="inlineStr">
        <is>
          <t>mystic</t>
        </is>
      </c>
      <c r="C388" t="n">
        <v>2</v>
      </c>
      <c r="D388" t="inlineStr">
        <is>
          <t>Attack Speed %</t>
        </is>
      </c>
      <c r="E388" t="n">
        <v>7</v>
      </c>
      <c r="F388" t="n">
        <v>1.9</v>
      </c>
      <c r="G388" t="b">
        <v>0</v>
      </c>
      <c r="H388">
        <f>Sensitivity!H17</f>
        <v/>
      </c>
    </row>
    <row r="389">
      <c r="A389" t="inlineStr">
        <is>
          <t>ALL</t>
        </is>
      </c>
      <c r="B389" t="inlineStr">
        <is>
          <t>mystic</t>
        </is>
      </c>
      <c r="C389" t="n">
        <v>2</v>
      </c>
      <c r="D389" t="inlineStr">
        <is>
          <t>Attack Speed %</t>
        </is>
      </c>
      <c r="E389" t="n">
        <v>10</v>
      </c>
      <c r="F389" t="n">
        <v>0.6</v>
      </c>
      <c r="G389" t="b">
        <v>1</v>
      </c>
      <c r="H389">
        <f>Sensitivity!H17</f>
        <v/>
      </c>
    </row>
    <row r="390">
      <c r="A390" t="inlineStr">
        <is>
          <t>ALL</t>
        </is>
      </c>
      <c r="B390" t="inlineStr">
        <is>
          <t>mystic</t>
        </is>
      </c>
      <c r="C390" t="n">
        <v>2</v>
      </c>
      <c r="D390" t="inlineStr">
        <is>
          <t>Damage %</t>
        </is>
      </c>
      <c r="E390" t="n">
        <v>25</v>
      </c>
      <c r="F390" t="n">
        <v>3.04</v>
      </c>
      <c r="G390" t="b">
        <v>0</v>
      </c>
      <c r="H390">
        <f>Sensitivity!H8</f>
        <v/>
      </c>
    </row>
    <row r="391">
      <c r="A391" t="inlineStr">
        <is>
          <t>ALL</t>
        </is>
      </c>
      <c r="B391" t="inlineStr">
        <is>
          <t>mystic</t>
        </is>
      </c>
      <c r="C391" t="n">
        <v>2</v>
      </c>
      <c r="D391" t="inlineStr">
        <is>
          <t>Damage %</t>
        </is>
      </c>
      <c r="E391" t="n">
        <v>35</v>
      </c>
      <c r="F391" t="n">
        <v>0.96</v>
      </c>
      <c r="G391" t="b">
        <v>1</v>
      </c>
      <c r="H391">
        <f>Sensitivity!H8</f>
        <v/>
      </c>
    </row>
    <row r="392">
      <c r="A392" t="inlineStr">
        <is>
          <t>ALL</t>
        </is>
      </c>
      <c r="B392" t="inlineStr">
        <is>
          <t>mystic</t>
        </is>
      </c>
      <c r="C392" t="n">
        <v>2</v>
      </c>
      <c r="D392" t="inlineStr">
        <is>
          <t>Min Damage Multiplier %</t>
        </is>
      </c>
      <c r="E392" t="n">
        <v>15</v>
      </c>
      <c r="F392" t="n">
        <v>3.04</v>
      </c>
      <c r="G392" t="b">
        <v>0</v>
      </c>
      <c r="H392">
        <f>Sensitivity!H13</f>
        <v/>
      </c>
    </row>
    <row r="393">
      <c r="A393" t="inlineStr">
        <is>
          <t>ALL</t>
        </is>
      </c>
      <c r="B393" t="inlineStr">
        <is>
          <t>mystic</t>
        </is>
      </c>
      <c r="C393" t="n">
        <v>2</v>
      </c>
      <c r="D393" t="inlineStr">
        <is>
          <t>Min Damage Multiplier %</t>
        </is>
      </c>
      <c r="E393" t="n">
        <v>25</v>
      </c>
      <c r="F393" t="n">
        <v>0.96</v>
      </c>
      <c r="G393" t="b">
        <v>1</v>
      </c>
      <c r="H393">
        <f>Sensitivity!H13</f>
        <v/>
      </c>
    </row>
    <row r="394">
      <c r="A394" t="inlineStr">
        <is>
          <t>ALL</t>
        </is>
      </c>
      <c r="B394" t="inlineStr">
        <is>
          <t>mystic</t>
        </is>
      </c>
      <c r="C394" t="n">
        <v>2</v>
      </c>
      <c r="D394" t="inlineStr">
        <is>
          <t>Max Damage Multiplier %</t>
        </is>
      </c>
      <c r="E394" t="n">
        <v>15</v>
      </c>
      <c r="F394" t="n">
        <v>3.04</v>
      </c>
      <c r="G394" t="b">
        <v>0</v>
      </c>
      <c r="H394">
        <f>Sensitivity!H14</f>
        <v/>
      </c>
    </row>
    <row r="395">
      <c r="A395" t="inlineStr">
        <is>
          <t>ALL</t>
        </is>
      </c>
      <c r="B395" t="inlineStr">
        <is>
          <t>mystic</t>
        </is>
      </c>
      <c r="C395" t="n">
        <v>2</v>
      </c>
      <c r="D395" t="inlineStr">
        <is>
          <t>Max Damage Multiplier %</t>
        </is>
      </c>
      <c r="E395" t="n">
        <v>25</v>
      </c>
      <c r="F395" t="n">
        <v>0.96</v>
      </c>
      <c r="G395" t="b">
        <v>1</v>
      </c>
      <c r="H395">
        <f>Sensitivity!H14</f>
        <v/>
      </c>
    </row>
    <row r="396">
      <c r="A396" t="inlineStr">
        <is>
          <t>ALL</t>
        </is>
      </c>
      <c r="B396" t="inlineStr">
        <is>
          <t>mystic</t>
        </is>
      </c>
      <c r="C396" t="n">
        <v>2</v>
      </c>
      <c r="D396" t="inlineStr">
        <is>
          <t>Str %</t>
        </is>
      </c>
      <c r="E396" t="n">
        <v>12</v>
      </c>
      <c r="F396" t="n">
        <v>3.42</v>
      </c>
      <c r="G396" t="b">
        <v>0</v>
      </c>
      <c r="H396" t="inlineStr">
        <is>
          <t>0</t>
        </is>
      </c>
    </row>
    <row r="397">
      <c r="A397" t="inlineStr">
        <is>
          <t>ALL</t>
        </is>
      </c>
      <c r="B397" t="inlineStr">
        <is>
          <t>mystic</t>
        </is>
      </c>
      <c r="C397" t="n">
        <v>2</v>
      </c>
      <c r="D397" t="inlineStr">
        <is>
          <t>Str %</t>
        </is>
      </c>
      <c r="E397" t="n">
        <v>15</v>
      </c>
      <c r="F397" t="n">
        <v>1.08</v>
      </c>
      <c r="G397" t="b">
        <v>1</v>
      </c>
      <c r="H397" t="inlineStr">
        <is>
          <t>0</t>
        </is>
      </c>
    </row>
    <row r="398">
      <c r="A398" t="inlineStr">
        <is>
          <t>ALL</t>
        </is>
      </c>
      <c r="B398" t="inlineStr">
        <is>
          <t>mystic</t>
        </is>
      </c>
      <c r="C398" t="n">
        <v>2</v>
      </c>
      <c r="D398" t="inlineStr">
        <is>
          <t>Dex %</t>
        </is>
      </c>
      <c r="E398" t="n">
        <v>12</v>
      </c>
      <c r="F398" t="n">
        <v>3.42</v>
      </c>
      <c r="G398" t="b">
        <v>0</v>
      </c>
      <c r="H398">
        <f>Sensitivity!H6</f>
        <v/>
      </c>
    </row>
    <row r="399">
      <c r="A399" t="inlineStr">
        <is>
          <t>ALL</t>
        </is>
      </c>
      <c r="B399" t="inlineStr">
        <is>
          <t>mystic</t>
        </is>
      </c>
      <c r="C399" t="n">
        <v>2</v>
      </c>
      <c r="D399" t="inlineStr">
        <is>
          <t>Dex %</t>
        </is>
      </c>
      <c r="E399" t="n">
        <v>15</v>
      </c>
      <c r="F399" t="n">
        <v>1.08</v>
      </c>
      <c r="G399" t="b">
        <v>1</v>
      </c>
      <c r="H399">
        <f>Sensitivity!H6</f>
        <v/>
      </c>
    </row>
    <row r="400">
      <c r="A400" t="inlineStr">
        <is>
          <t>ALL</t>
        </is>
      </c>
      <c r="B400" t="inlineStr">
        <is>
          <t>mystic</t>
        </is>
      </c>
      <c r="C400" t="n">
        <v>2</v>
      </c>
      <c r="D400" t="inlineStr">
        <is>
          <t>Int %</t>
        </is>
      </c>
      <c r="E400" t="n">
        <v>12</v>
      </c>
      <c r="F400" t="n">
        <v>3.42</v>
      </c>
      <c r="G400" t="b">
        <v>0</v>
      </c>
      <c r="H400" t="inlineStr">
        <is>
          <t>0</t>
        </is>
      </c>
    </row>
    <row r="401">
      <c r="A401" t="inlineStr">
        <is>
          <t>ALL</t>
        </is>
      </c>
      <c r="B401" t="inlineStr">
        <is>
          <t>mystic</t>
        </is>
      </c>
      <c r="C401" t="n">
        <v>2</v>
      </c>
      <c r="D401" t="inlineStr">
        <is>
          <t>Int %</t>
        </is>
      </c>
      <c r="E401" t="n">
        <v>15</v>
      </c>
      <c r="F401" t="n">
        <v>1.08</v>
      </c>
      <c r="G401" t="b">
        <v>1</v>
      </c>
      <c r="H401" t="inlineStr">
        <is>
          <t>0</t>
        </is>
      </c>
    </row>
    <row r="402">
      <c r="A402" t="inlineStr">
        <is>
          <t>ALL</t>
        </is>
      </c>
      <c r="B402" t="inlineStr">
        <is>
          <t>mystic</t>
        </is>
      </c>
      <c r="C402" t="n">
        <v>2</v>
      </c>
      <c r="D402" t="inlineStr">
        <is>
          <t>Luk %</t>
        </is>
      </c>
      <c r="E402" t="n">
        <v>12</v>
      </c>
      <c r="F402" t="n">
        <v>3.42</v>
      </c>
      <c r="G402" t="b">
        <v>0</v>
      </c>
      <c r="H402" t="inlineStr">
        <is>
          <t>0</t>
        </is>
      </c>
    </row>
    <row r="403">
      <c r="A403" t="inlineStr">
        <is>
          <t>ALL</t>
        </is>
      </c>
      <c r="B403" t="inlineStr">
        <is>
          <t>mystic</t>
        </is>
      </c>
      <c r="C403" t="n">
        <v>2</v>
      </c>
      <c r="D403" t="inlineStr">
        <is>
          <t>Luk %</t>
        </is>
      </c>
      <c r="E403" t="n">
        <v>15</v>
      </c>
      <c r="F403" t="n">
        <v>1.08</v>
      </c>
      <c r="G403" t="b">
        <v>1</v>
      </c>
      <c r="H403" t="inlineStr">
        <is>
          <t>0</t>
        </is>
      </c>
    </row>
    <row r="404">
      <c r="A404" t="inlineStr">
        <is>
          <t>ALL</t>
        </is>
      </c>
      <c r="B404" t="inlineStr">
        <is>
          <t>mystic</t>
        </is>
      </c>
      <c r="C404" t="n">
        <v>2</v>
      </c>
      <c r="D404" t="inlineStr">
        <is>
          <t>Defense %</t>
        </is>
      </c>
      <c r="E404" t="n">
        <v>12</v>
      </c>
      <c r="F404" t="n">
        <v>6.84</v>
      </c>
      <c r="G404" t="b">
        <v>0</v>
      </c>
      <c r="H404" t="inlineStr">
        <is>
          <t>0</t>
        </is>
      </c>
    </row>
    <row r="405">
      <c r="A405" t="inlineStr">
        <is>
          <t>ALL</t>
        </is>
      </c>
      <c r="B405" t="inlineStr">
        <is>
          <t>mystic</t>
        </is>
      </c>
      <c r="C405" t="n">
        <v>2</v>
      </c>
      <c r="D405" t="inlineStr">
        <is>
          <t>Defense %</t>
        </is>
      </c>
      <c r="E405" t="n">
        <v>15</v>
      </c>
      <c r="F405" t="n">
        <v>2.16</v>
      </c>
      <c r="G405" t="b">
        <v>1</v>
      </c>
      <c r="H405" t="inlineStr">
        <is>
          <t>0</t>
        </is>
      </c>
    </row>
    <row r="406">
      <c r="A406" t="inlineStr">
        <is>
          <t>ALL</t>
        </is>
      </c>
      <c r="B406" t="inlineStr">
        <is>
          <t>mystic</t>
        </is>
      </c>
      <c r="C406" t="n">
        <v>2</v>
      </c>
      <c r="D406" t="inlineStr">
        <is>
          <t>Max HP %</t>
        </is>
      </c>
      <c r="E406" t="n">
        <v>20</v>
      </c>
      <c r="F406" t="n">
        <v>6.84</v>
      </c>
      <c r="G406" t="b">
        <v>0</v>
      </c>
      <c r="H406" t="inlineStr">
        <is>
          <t>0</t>
        </is>
      </c>
    </row>
    <row r="407">
      <c r="A407" t="inlineStr">
        <is>
          <t>ALL</t>
        </is>
      </c>
      <c r="B407" t="inlineStr">
        <is>
          <t>mystic</t>
        </is>
      </c>
      <c r="C407" t="n">
        <v>2</v>
      </c>
      <c r="D407" t="inlineStr">
        <is>
          <t>Max HP %</t>
        </is>
      </c>
      <c r="E407" t="n">
        <v>25</v>
      </c>
      <c r="F407" t="n">
        <v>2.16</v>
      </c>
      <c r="G407" t="b">
        <v>1</v>
      </c>
      <c r="H407" t="inlineStr">
        <is>
          <t>0</t>
        </is>
      </c>
    </row>
    <row r="408">
      <c r="A408" t="inlineStr">
        <is>
          <t>ALL</t>
        </is>
      </c>
      <c r="B408" t="inlineStr">
        <is>
          <t>mystic</t>
        </is>
      </c>
      <c r="C408" t="n">
        <v>2</v>
      </c>
      <c r="D408" t="inlineStr">
        <is>
          <t>Max MP %</t>
        </is>
      </c>
      <c r="E408" t="n">
        <v>12</v>
      </c>
      <c r="F408" t="n">
        <v>6.84</v>
      </c>
      <c r="G408" t="b">
        <v>0</v>
      </c>
      <c r="H408" t="inlineStr">
        <is>
          <t>0</t>
        </is>
      </c>
    </row>
    <row r="409">
      <c r="A409" t="inlineStr">
        <is>
          <t>ALL</t>
        </is>
      </c>
      <c r="B409" t="inlineStr">
        <is>
          <t>mystic</t>
        </is>
      </c>
      <c r="C409" t="n">
        <v>2</v>
      </c>
      <c r="D409" t="inlineStr">
        <is>
          <t>Max MP %</t>
        </is>
      </c>
      <c r="E409" t="n">
        <v>15</v>
      </c>
      <c r="F409" t="n">
        <v>2.16</v>
      </c>
      <c r="G409" t="b">
        <v>1</v>
      </c>
      <c r="H409" t="inlineStr">
        <is>
          <t>0</t>
        </is>
      </c>
    </row>
    <row r="410">
      <c r="A410" t="inlineStr">
        <is>
          <t>ALL</t>
        </is>
      </c>
      <c r="B410" t="inlineStr">
        <is>
          <t>mystic</t>
        </is>
      </c>
      <c r="C410" t="n">
        <v>2</v>
      </c>
      <c r="D410" t="inlineStr">
        <is>
          <t>Str</t>
        </is>
      </c>
      <c r="E410" t="n">
        <v>600</v>
      </c>
      <c r="F410" t="n">
        <v>7.03</v>
      </c>
      <c r="G410" t="b">
        <v>0</v>
      </c>
      <c r="H410" t="inlineStr">
        <is>
          <t>0</t>
        </is>
      </c>
    </row>
    <row r="411">
      <c r="A411" t="inlineStr">
        <is>
          <t>ALL</t>
        </is>
      </c>
      <c r="B411" t="inlineStr">
        <is>
          <t>mystic</t>
        </is>
      </c>
      <c r="C411" t="n">
        <v>2</v>
      </c>
      <c r="D411" t="inlineStr">
        <is>
          <t>Str</t>
        </is>
      </c>
      <c r="E411" t="n">
        <v>1000</v>
      </c>
      <c r="F411" t="n">
        <v>2.22</v>
      </c>
      <c r="G411" t="b">
        <v>1</v>
      </c>
      <c r="H411" t="inlineStr">
        <is>
          <t>0</t>
        </is>
      </c>
    </row>
    <row r="412">
      <c r="A412" t="inlineStr">
        <is>
          <t>ALL</t>
        </is>
      </c>
      <c r="B412" t="inlineStr">
        <is>
          <t>mystic</t>
        </is>
      </c>
      <c r="C412" t="n">
        <v>2</v>
      </c>
      <c r="D412" t="inlineStr">
        <is>
          <t>Dex</t>
        </is>
      </c>
      <c r="E412" t="n">
        <v>600</v>
      </c>
      <c r="F412" t="n">
        <v>7.03</v>
      </c>
      <c r="G412" t="b">
        <v>0</v>
      </c>
      <c r="H412">
        <f>Sensitivity!H5</f>
        <v/>
      </c>
    </row>
    <row r="413">
      <c r="A413" t="inlineStr">
        <is>
          <t>ALL</t>
        </is>
      </c>
      <c r="B413" t="inlineStr">
        <is>
          <t>mystic</t>
        </is>
      </c>
      <c r="C413" t="n">
        <v>2</v>
      </c>
      <c r="D413" t="inlineStr">
        <is>
          <t>Dex</t>
        </is>
      </c>
      <c r="E413" t="n">
        <v>1000</v>
      </c>
      <c r="F413" t="n">
        <v>2.22</v>
      </c>
      <c r="G413" t="b">
        <v>1</v>
      </c>
      <c r="H413">
        <f>Sensitivity!H5</f>
        <v/>
      </c>
    </row>
    <row r="414">
      <c r="A414" t="inlineStr">
        <is>
          <t>ALL</t>
        </is>
      </c>
      <c r="B414" t="inlineStr">
        <is>
          <t>mystic</t>
        </is>
      </c>
      <c r="C414" t="n">
        <v>2</v>
      </c>
      <c r="D414" t="inlineStr">
        <is>
          <t>Int</t>
        </is>
      </c>
      <c r="E414" t="n">
        <v>600</v>
      </c>
      <c r="F414" t="n">
        <v>7.03</v>
      </c>
      <c r="G414" t="b">
        <v>0</v>
      </c>
      <c r="H414" t="inlineStr">
        <is>
          <t>0</t>
        </is>
      </c>
    </row>
    <row r="415">
      <c r="A415" t="inlineStr">
        <is>
          <t>ALL</t>
        </is>
      </c>
      <c r="B415" t="inlineStr">
        <is>
          <t>mystic</t>
        </is>
      </c>
      <c r="C415" t="n">
        <v>2</v>
      </c>
      <c r="D415" t="inlineStr">
        <is>
          <t>Int</t>
        </is>
      </c>
      <c r="E415" t="n">
        <v>1000</v>
      </c>
      <c r="F415" t="n">
        <v>2.22</v>
      </c>
      <c r="G415" t="b">
        <v>1</v>
      </c>
      <c r="H415" t="inlineStr">
        <is>
          <t>0</t>
        </is>
      </c>
    </row>
    <row r="416">
      <c r="A416" t="inlineStr">
        <is>
          <t>ALL</t>
        </is>
      </c>
      <c r="B416" t="inlineStr">
        <is>
          <t>mystic</t>
        </is>
      </c>
      <c r="C416" t="n">
        <v>2</v>
      </c>
      <c r="D416" t="inlineStr">
        <is>
          <t>Luk</t>
        </is>
      </c>
      <c r="E416" t="n">
        <v>600</v>
      </c>
      <c r="F416" t="n">
        <v>7.03</v>
      </c>
      <c r="G416" t="b">
        <v>0</v>
      </c>
      <c r="H416" t="inlineStr">
        <is>
          <t>0</t>
        </is>
      </c>
    </row>
    <row r="417">
      <c r="A417" t="inlineStr">
        <is>
          <t>ALL</t>
        </is>
      </c>
      <c r="B417" t="inlineStr">
        <is>
          <t>mystic</t>
        </is>
      </c>
      <c r="C417" t="n">
        <v>2</v>
      </c>
      <c r="D417" t="inlineStr">
        <is>
          <t>Luk</t>
        </is>
      </c>
      <c r="E417" t="n">
        <v>1000</v>
      </c>
      <c r="F417" t="n">
        <v>2.22</v>
      </c>
      <c r="G417" t="b">
        <v>1</v>
      </c>
      <c r="H417" t="inlineStr">
        <is>
          <t>0</t>
        </is>
      </c>
    </row>
    <row r="418">
      <c r="A418" t="inlineStr">
        <is>
          <t>ALL</t>
        </is>
      </c>
      <c r="B418" t="inlineStr">
        <is>
          <t>mystic</t>
        </is>
      </c>
      <c r="C418" t="n">
        <v>3</v>
      </c>
      <c r="D418" t="inlineStr">
        <is>
          <t>Critical Rate %</t>
        </is>
      </c>
      <c r="E418" t="n">
        <v>12</v>
      </c>
      <c r="F418" t="n">
        <v>2.3</v>
      </c>
      <c r="G418" t="b">
        <v>0</v>
      </c>
      <c r="H418">
        <f>IF(AND(Inputs!$B$9+Summary!$B$14+Artifacts!$B$32&gt;=100,NOT(ArtifactsInput!$M$42),NOT(ArtifactsInput!$M$24)),Sensitivity!H16,Sensitivity!H15)</f>
        <v/>
      </c>
    </row>
    <row r="419">
      <c r="A419" t="inlineStr">
        <is>
          <t>ALL</t>
        </is>
      </c>
      <c r="B419" t="inlineStr">
        <is>
          <t>mystic</t>
        </is>
      </c>
      <c r="C419" t="n">
        <v>3</v>
      </c>
      <c r="D419" t="inlineStr">
        <is>
          <t>Critical Rate %</t>
        </is>
      </c>
      <c r="E419" t="n">
        <v>15</v>
      </c>
      <c r="F419" t="n">
        <v>0.2</v>
      </c>
      <c r="G419" t="b">
        <v>1</v>
      </c>
      <c r="H419">
        <f>IF(AND(Inputs!$B$9+Summary!$B$14+Artifacts!$B$32&gt;=100,NOT(ArtifactsInput!$M$42),NOT(ArtifactsInput!$M$24)),Sensitivity!H16,Sensitivity!H15)</f>
        <v/>
      </c>
    </row>
    <row r="420">
      <c r="A420" t="inlineStr">
        <is>
          <t>ALL</t>
        </is>
      </c>
      <c r="B420" t="inlineStr">
        <is>
          <t>mystic</t>
        </is>
      </c>
      <c r="C420" t="n">
        <v>3</v>
      </c>
      <c r="D420" t="inlineStr">
        <is>
          <t>Attack Speed %</t>
        </is>
      </c>
      <c r="E420" t="n">
        <v>7</v>
      </c>
      <c r="F420" t="n">
        <v>2.3</v>
      </c>
      <c r="G420" t="b">
        <v>0</v>
      </c>
      <c r="H420">
        <f>Sensitivity!H17</f>
        <v/>
      </c>
    </row>
    <row r="421">
      <c r="A421" t="inlineStr">
        <is>
          <t>ALL</t>
        </is>
      </c>
      <c r="B421" t="inlineStr">
        <is>
          <t>mystic</t>
        </is>
      </c>
      <c r="C421" t="n">
        <v>3</v>
      </c>
      <c r="D421" t="inlineStr">
        <is>
          <t>Attack Speed %</t>
        </is>
      </c>
      <c r="E421" t="n">
        <v>10</v>
      </c>
      <c r="F421" t="n">
        <v>0.2</v>
      </c>
      <c r="G421" t="b">
        <v>1</v>
      </c>
      <c r="H421">
        <f>Sensitivity!H17</f>
        <v/>
      </c>
    </row>
    <row r="422">
      <c r="A422" t="inlineStr">
        <is>
          <t>ALL</t>
        </is>
      </c>
      <c r="B422" t="inlineStr">
        <is>
          <t>mystic</t>
        </is>
      </c>
      <c r="C422" t="n">
        <v>3</v>
      </c>
      <c r="D422" t="inlineStr">
        <is>
          <t>Damage %</t>
        </is>
      </c>
      <c r="E422" t="n">
        <v>25</v>
      </c>
      <c r="F422" t="n">
        <v>3.68</v>
      </c>
      <c r="G422" t="b">
        <v>0</v>
      </c>
      <c r="H422">
        <f>Sensitivity!H8</f>
        <v/>
      </c>
    </row>
    <row r="423">
      <c r="A423" t="inlineStr">
        <is>
          <t>ALL</t>
        </is>
      </c>
      <c r="B423" t="inlineStr">
        <is>
          <t>mystic</t>
        </is>
      </c>
      <c r="C423" t="n">
        <v>3</v>
      </c>
      <c r="D423" t="inlineStr">
        <is>
          <t>Damage %</t>
        </is>
      </c>
      <c r="E423" t="n">
        <v>35</v>
      </c>
      <c r="F423" t="n">
        <v>0.32</v>
      </c>
      <c r="G423" t="b">
        <v>1</v>
      </c>
      <c r="H423">
        <f>Sensitivity!H8</f>
        <v/>
      </c>
    </row>
    <row r="424">
      <c r="A424" t="inlineStr">
        <is>
          <t>ALL</t>
        </is>
      </c>
      <c r="B424" t="inlineStr">
        <is>
          <t>mystic</t>
        </is>
      </c>
      <c r="C424" t="n">
        <v>3</v>
      </c>
      <c r="D424" t="inlineStr">
        <is>
          <t>Min Damage Multiplier %</t>
        </is>
      </c>
      <c r="E424" t="n">
        <v>15</v>
      </c>
      <c r="F424" t="n">
        <v>3.68</v>
      </c>
      <c r="G424" t="b">
        <v>0</v>
      </c>
      <c r="H424">
        <f>Sensitivity!H13</f>
        <v/>
      </c>
    </row>
    <row r="425">
      <c r="A425" t="inlineStr">
        <is>
          <t>ALL</t>
        </is>
      </c>
      <c r="B425" t="inlineStr">
        <is>
          <t>mystic</t>
        </is>
      </c>
      <c r="C425" t="n">
        <v>3</v>
      </c>
      <c r="D425" t="inlineStr">
        <is>
          <t>Min Damage Multiplier %</t>
        </is>
      </c>
      <c r="E425" t="n">
        <v>25</v>
      </c>
      <c r="F425" t="n">
        <v>0.32</v>
      </c>
      <c r="G425" t="b">
        <v>1</v>
      </c>
      <c r="H425">
        <f>Sensitivity!H13</f>
        <v/>
      </c>
    </row>
    <row r="426">
      <c r="A426" t="inlineStr">
        <is>
          <t>ALL</t>
        </is>
      </c>
      <c r="B426" t="inlineStr">
        <is>
          <t>mystic</t>
        </is>
      </c>
      <c r="C426" t="n">
        <v>3</v>
      </c>
      <c r="D426" t="inlineStr">
        <is>
          <t>Max Damage Multiplier %</t>
        </is>
      </c>
      <c r="E426" t="n">
        <v>15</v>
      </c>
      <c r="F426" t="n">
        <v>3.68</v>
      </c>
      <c r="G426" t="b">
        <v>0</v>
      </c>
      <c r="H426">
        <f>Sensitivity!H14</f>
        <v/>
      </c>
    </row>
    <row r="427">
      <c r="A427" t="inlineStr">
        <is>
          <t>ALL</t>
        </is>
      </c>
      <c r="B427" t="inlineStr">
        <is>
          <t>mystic</t>
        </is>
      </c>
      <c r="C427" t="n">
        <v>3</v>
      </c>
      <c r="D427" t="inlineStr">
        <is>
          <t>Max Damage Multiplier %</t>
        </is>
      </c>
      <c r="E427" t="n">
        <v>25</v>
      </c>
      <c r="F427" t="n">
        <v>0.32</v>
      </c>
      <c r="G427" t="b">
        <v>1</v>
      </c>
      <c r="H427">
        <f>Sensitivity!H14</f>
        <v/>
      </c>
    </row>
    <row r="428">
      <c r="A428" t="inlineStr">
        <is>
          <t>ALL</t>
        </is>
      </c>
      <c r="B428" t="inlineStr">
        <is>
          <t>mystic</t>
        </is>
      </c>
      <c r="C428" t="n">
        <v>3</v>
      </c>
      <c r="D428" t="inlineStr">
        <is>
          <t>Str %</t>
        </is>
      </c>
      <c r="E428" t="n">
        <v>12</v>
      </c>
      <c r="F428" t="n">
        <v>4.14</v>
      </c>
      <c r="G428" t="b">
        <v>0</v>
      </c>
      <c r="H428" t="inlineStr">
        <is>
          <t>0</t>
        </is>
      </c>
    </row>
    <row r="429">
      <c r="A429" t="inlineStr">
        <is>
          <t>ALL</t>
        </is>
      </c>
      <c r="B429" t="inlineStr">
        <is>
          <t>mystic</t>
        </is>
      </c>
      <c r="C429" t="n">
        <v>3</v>
      </c>
      <c r="D429" t="inlineStr">
        <is>
          <t>Str %</t>
        </is>
      </c>
      <c r="E429" t="n">
        <v>15</v>
      </c>
      <c r="F429" t="n">
        <v>0.36</v>
      </c>
      <c r="G429" t="b">
        <v>1</v>
      </c>
      <c r="H429" t="inlineStr">
        <is>
          <t>0</t>
        </is>
      </c>
    </row>
    <row r="430">
      <c r="A430" t="inlineStr">
        <is>
          <t>ALL</t>
        </is>
      </c>
      <c r="B430" t="inlineStr">
        <is>
          <t>mystic</t>
        </is>
      </c>
      <c r="C430" t="n">
        <v>3</v>
      </c>
      <c r="D430" t="inlineStr">
        <is>
          <t>Dex %</t>
        </is>
      </c>
      <c r="E430" t="n">
        <v>12</v>
      </c>
      <c r="F430" t="n">
        <v>4.14</v>
      </c>
      <c r="G430" t="b">
        <v>0</v>
      </c>
      <c r="H430">
        <f>Sensitivity!H6</f>
        <v/>
      </c>
    </row>
    <row r="431">
      <c r="A431" t="inlineStr">
        <is>
          <t>ALL</t>
        </is>
      </c>
      <c r="B431" t="inlineStr">
        <is>
          <t>mystic</t>
        </is>
      </c>
      <c r="C431" t="n">
        <v>3</v>
      </c>
      <c r="D431" t="inlineStr">
        <is>
          <t>Dex %</t>
        </is>
      </c>
      <c r="E431" t="n">
        <v>15</v>
      </c>
      <c r="F431" t="n">
        <v>0.36</v>
      </c>
      <c r="G431" t="b">
        <v>1</v>
      </c>
      <c r="H431">
        <f>Sensitivity!H6</f>
        <v/>
      </c>
    </row>
    <row r="432">
      <c r="A432" t="inlineStr">
        <is>
          <t>ALL</t>
        </is>
      </c>
      <c r="B432" t="inlineStr">
        <is>
          <t>mystic</t>
        </is>
      </c>
      <c r="C432" t="n">
        <v>3</v>
      </c>
      <c r="D432" t="inlineStr">
        <is>
          <t>Int %</t>
        </is>
      </c>
      <c r="E432" t="n">
        <v>12</v>
      </c>
      <c r="F432" t="n">
        <v>4.14</v>
      </c>
      <c r="G432" t="b">
        <v>0</v>
      </c>
      <c r="H432" t="inlineStr">
        <is>
          <t>0</t>
        </is>
      </c>
    </row>
    <row r="433">
      <c r="A433" t="inlineStr">
        <is>
          <t>ALL</t>
        </is>
      </c>
      <c r="B433" t="inlineStr">
        <is>
          <t>mystic</t>
        </is>
      </c>
      <c r="C433" t="n">
        <v>3</v>
      </c>
      <c r="D433" t="inlineStr">
        <is>
          <t>Int %</t>
        </is>
      </c>
      <c r="E433" t="n">
        <v>15</v>
      </c>
      <c r="F433" t="n">
        <v>0.36</v>
      </c>
      <c r="G433" t="b">
        <v>1</v>
      </c>
      <c r="H433" t="inlineStr">
        <is>
          <t>0</t>
        </is>
      </c>
    </row>
    <row r="434">
      <c r="A434" t="inlineStr">
        <is>
          <t>ALL</t>
        </is>
      </c>
      <c r="B434" t="inlineStr">
        <is>
          <t>mystic</t>
        </is>
      </c>
      <c r="C434" t="n">
        <v>3</v>
      </c>
      <c r="D434" t="inlineStr">
        <is>
          <t>Luk %</t>
        </is>
      </c>
      <c r="E434" t="n">
        <v>12</v>
      </c>
      <c r="F434" t="n">
        <v>4.14</v>
      </c>
      <c r="G434" t="b">
        <v>0</v>
      </c>
      <c r="H434" t="inlineStr">
        <is>
          <t>0</t>
        </is>
      </c>
    </row>
    <row r="435">
      <c r="A435" t="inlineStr">
        <is>
          <t>ALL</t>
        </is>
      </c>
      <c r="B435" t="inlineStr">
        <is>
          <t>mystic</t>
        </is>
      </c>
      <c r="C435" t="n">
        <v>3</v>
      </c>
      <c r="D435" t="inlineStr">
        <is>
          <t>Luk %</t>
        </is>
      </c>
      <c r="E435" t="n">
        <v>15</v>
      </c>
      <c r="F435" t="n">
        <v>0.36</v>
      </c>
      <c r="G435" t="b">
        <v>1</v>
      </c>
      <c r="H435" t="inlineStr">
        <is>
          <t>0</t>
        </is>
      </c>
    </row>
    <row r="436">
      <c r="A436" t="inlineStr">
        <is>
          <t>ALL</t>
        </is>
      </c>
      <c r="B436" t="inlineStr">
        <is>
          <t>mystic</t>
        </is>
      </c>
      <c r="C436" t="n">
        <v>3</v>
      </c>
      <c r="D436" t="inlineStr">
        <is>
          <t>Defense %</t>
        </is>
      </c>
      <c r="E436" t="n">
        <v>12</v>
      </c>
      <c r="F436" t="n">
        <v>8.279999999999999</v>
      </c>
      <c r="G436" t="b">
        <v>0</v>
      </c>
      <c r="H436" t="inlineStr">
        <is>
          <t>0</t>
        </is>
      </c>
    </row>
    <row r="437">
      <c r="A437" t="inlineStr">
        <is>
          <t>ALL</t>
        </is>
      </c>
      <c r="B437" t="inlineStr">
        <is>
          <t>mystic</t>
        </is>
      </c>
      <c r="C437" t="n">
        <v>3</v>
      </c>
      <c r="D437" t="inlineStr">
        <is>
          <t>Defense %</t>
        </is>
      </c>
      <c r="E437" t="n">
        <v>15</v>
      </c>
      <c r="F437" t="n">
        <v>0.72</v>
      </c>
      <c r="G437" t="b">
        <v>1</v>
      </c>
      <c r="H437" t="inlineStr">
        <is>
          <t>0</t>
        </is>
      </c>
    </row>
    <row r="438">
      <c r="A438" t="inlineStr">
        <is>
          <t>ALL</t>
        </is>
      </c>
      <c r="B438" t="inlineStr">
        <is>
          <t>mystic</t>
        </is>
      </c>
      <c r="C438" t="n">
        <v>3</v>
      </c>
      <c r="D438" t="inlineStr">
        <is>
          <t>Max HP %</t>
        </is>
      </c>
      <c r="E438" t="n">
        <v>20</v>
      </c>
      <c r="F438" t="n">
        <v>8.279999999999999</v>
      </c>
      <c r="G438" t="b">
        <v>0</v>
      </c>
      <c r="H438" t="inlineStr">
        <is>
          <t>0</t>
        </is>
      </c>
    </row>
    <row r="439">
      <c r="A439" t="inlineStr">
        <is>
          <t>ALL</t>
        </is>
      </c>
      <c r="B439" t="inlineStr">
        <is>
          <t>mystic</t>
        </is>
      </c>
      <c r="C439" t="n">
        <v>3</v>
      </c>
      <c r="D439" t="inlineStr">
        <is>
          <t>Max HP %</t>
        </is>
      </c>
      <c r="E439" t="n">
        <v>25</v>
      </c>
      <c r="F439" t="n">
        <v>0.72</v>
      </c>
      <c r="G439" t="b">
        <v>1</v>
      </c>
      <c r="H439" t="inlineStr">
        <is>
          <t>0</t>
        </is>
      </c>
    </row>
    <row r="440">
      <c r="A440" t="inlineStr">
        <is>
          <t>ALL</t>
        </is>
      </c>
      <c r="B440" t="inlineStr">
        <is>
          <t>mystic</t>
        </is>
      </c>
      <c r="C440" t="n">
        <v>3</v>
      </c>
      <c r="D440" t="inlineStr">
        <is>
          <t>Max MP %</t>
        </is>
      </c>
      <c r="E440" t="n">
        <v>12</v>
      </c>
      <c r="F440" t="n">
        <v>8.279999999999999</v>
      </c>
      <c r="G440" t="b">
        <v>0</v>
      </c>
      <c r="H440" t="inlineStr">
        <is>
          <t>0</t>
        </is>
      </c>
    </row>
    <row r="441">
      <c r="A441" t="inlineStr">
        <is>
          <t>ALL</t>
        </is>
      </c>
      <c r="B441" t="inlineStr">
        <is>
          <t>mystic</t>
        </is>
      </c>
      <c r="C441" t="n">
        <v>3</v>
      </c>
      <c r="D441" t="inlineStr">
        <is>
          <t>Max MP %</t>
        </is>
      </c>
      <c r="E441" t="n">
        <v>15</v>
      </c>
      <c r="F441" t="n">
        <v>0.72</v>
      </c>
      <c r="G441" t="b">
        <v>1</v>
      </c>
      <c r="H441" t="inlineStr">
        <is>
          <t>0</t>
        </is>
      </c>
    </row>
    <row r="442">
      <c r="A442" t="inlineStr">
        <is>
          <t>ALL</t>
        </is>
      </c>
      <c r="B442" t="inlineStr">
        <is>
          <t>mystic</t>
        </is>
      </c>
      <c r="C442" t="n">
        <v>3</v>
      </c>
      <c r="D442" t="inlineStr">
        <is>
          <t>Str</t>
        </is>
      </c>
      <c r="E442" t="n">
        <v>600</v>
      </c>
      <c r="F442" t="n">
        <v>8.51</v>
      </c>
      <c r="G442" t="b">
        <v>0</v>
      </c>
      <c r="H442" t="inlineStr">
        <is>
          <t>0</t>
        </is>
      </c>
    </row>
    <row r="443">
      <c r="A443" t="inlineStr">
        <is>
          <t>ALL</t>
        </is>
      </c>
      <c r="B443" t="inlineStr">
        <is>
          <t>mystic</t>
        </is>
      </c>
      <c r="C443" t="n">
        <v>3</v>
      </c>
      <c r="D443" t="inlineStr">
        <is>
          <t>Str</t>
        </is>
      </c>
      <c r="E443" t="n">
        <v>1000</v>
      </c>
      <c r="F443" t="n">
        <v>0.74</v>
      </c>
      <c r="G443" t="b">
        <v>1</v>
      </c>
      <c r="H443" t="inlineStr">
        <is>
          <t>0</t>
        </is>
      </c>
    </row>
    <row r="444">
      <c r="A444" t="inlineStr">
        <is>
          <t>ALL</t>
        </is>
      </c>
      <c r="B444" t="inlineStr">
        <is>
          <t>mystic</t>
        </is>
      </c>
      <c r="C444" t="n">
        <v>3</v>
      </c>
      <c r="D444" t="inlineStr">
        <is>
          <t>Dex</t>
        </is>
      </c>
      <c r="E444" t="n">
        <v>600</v>
      </c>
      <c r="F444" t="n">
        <v>8.51</v>
      </c>
      <c r="G444" t="b">
        <v>0</v>
      </c>
      <c r="H444">
        <f>Sensitivity!H5</f>
        <v/>
      </c>
    </row>
    <row r="445">
      <c r="A445" t="inlineStr">
        <is>
          <t>ALL</t>
        </is>
      </c>
      <c r="B445" t="inlineStr">
        <is>
          <t>mystic</t>
        </is>
      </c>
      <c r="C445" t="n">
        <v>3</v>
      </c>
      <c r="D445" t="inlineStr">
        <is>
          <t>Dex</t>
        </is>
      </c>
      <c r="E445" t="n">
        <v>1000</v>
      </c>
      <c r="F445" t="n">
        <v>0.74</v>
      </c>
      <c r="G445" t="b">
        <v>1</v>
      </c>
      <c r="H445">
        <f>Sensitivity!H5</f>
        <v/>
      </c>
    </row>
    <row r="446">
      <c r="A446" t="inlineStr">
        <is>
          <t>ALL</t>
        </is>
      </c>
      <c r="B446" t="inlineStr">
        <is>
          <t>mystic</t>
        </is>
      </c>
      <c r="C446" t="n">
        <v>3</v>
      </c>
      <c r="D446" t="inlineStr">
        <is>
          <t>Int</t>
        </is>
      </c>
      <c r="E446" t="n">
        <v>600</v>
      </c>
      <c r="F446" t="n">
        <v>8.51</v>
      </c>
      <c r="G446" t="b">
        <v>0</v>
      </c>
      <c r="H446" t="inlineStr">
        <is>
          <t>0</t>
        </is>
      </c>
    </row>
    <row r="447">
      <c r="A447" t="inlineStr">
        <is>
          <t>ALL</t>
        </is>
      </c>
      <c r="B447" t="inlineStr">
        <is>
          <t>mystic</t>
        </is>
      </c>
      <c r="C447" t="n">
        <v>3</v>
      </c>
      <c r="D447" t="inlineStr">
        <is>
          <t>Int</t>
        </is>
      </c>
      <c r="E447" t="n">
        <v>1000</v>
      </c>
      <c r="F447" t="n">
        <v>0.74</v>
      </c>
      <c r="G447" t="b">
        <v>1</v>
      </c>
      <c r="H447" t="inlineStr">
        <is>
          <t>0</t>
        </is>
      </c>
    </row>
    <row r="448">
      <c r="A448" t="inlineStr">
        <is>
          <t>ALL</t>
        </is>
      </c>
      <c r="B448" t="inlineStr">
        <is>
          <t>mystic</t>
        </is>
      </c>
      <c r="C448" t="n">
        <v>3</v>
      </c>
      <c r="D448" t="inlineStr">
        <is>
          <t>Luk</t>
        </is>
      </c>
      <c r="E448" t="n">
        <v>600</v>
      </c>
      <c r="F448" t="n">
        <v>8.51</v>
      </c>
      <c r="G448" t="b">
        <v>0</v>
      </c>
      <c r="H448" t="inlineStr">
        <is>
          <t>0</t>
        </is>
      </c>
    </row>
    <row r="449">
      <c r="A449" t="inlineStr">
        <is>
          <t>ALL</t>
        </is>
      </c>
      <c r="B449" t="inlineStr">
        <is>
          <t>mystic</t>
        </is>
      </c>
      <c r="C449" t="n">
        <v>3</v>
      </c>
      <c r="D449" t="inlineStr">
        <is>
          <t>Luk</t>
        </is>
      </c>
      <c r="E449" t="n">
        <v>1000</v>
      </c>
      <c r="F449" t="n">
        <v>0.74</v>
      </c>
      <c r="G449" t="b">
        <v>1</v>
      </c>
      <c r="H449" t="inlineStr">
        <is>
          <t>0</t>
        </is>
      </c>
    </row>
    <row r="450">
      <c r="A450" t="inlineStr">
        <is>
          <t>head</t>
        </is>
      </c>
      <c r="B450" t="inlineStr">
        <is>
          <t>epic</t>
        </is>
      </c>
      <c r="C450" t="n">
        <v>1</v>
      </c>
      <c r="D450" t="inlineStr">
        <is>
          <t>Skill Cooldown Decrease (seconds)</t>
        </is>
      </c>
      <c r="E450" t="n">
        <v>0.5</v>
      </c>
      <c r="F450" t="n">
        <v>1</v>
      </c>
      <c r="G450" t="b">
        <v>1</v>
      </c>
      <c r="H450">
        <f>Sensitivity!H28</f>
        <v/>
      </c>
    </row>
    <row r="451">
      <c r="A451" t="inlineStr">
        <is>
          <t>head</t>
        </is>
      </c>
      <c r="B451" t="inlineStr">
        <is>
          <t>epic</t>
        </is>
      </c>
      <c r="C451" t="n">
        <v>2</v>
      </c>
      <c r="D451" t="inlineStr">
        <is>
          <t>Skill Cooldown Decrease (seconds)</t>
        </is>
      </c>
      <c r="E451" t="n">
        <v>0.5</v>
      </c>
      <c r="F451" t="n">
        <v>0.24</v>
      </c>
      <c r="G451" t="b">
        <v>1</v>
      </c>
      <c r="H451">
        <f>Sensitivity!H28</f>
        <v/>
      </c>
    </row>
    <row r="452">
      <c r="A452" t="inlineStr">
        <is>
          <t>head</t>
        </is>
      </c>
      <c r="B452" t="inlineStr">
        <is>
          <t>epic</t>
        </is>
      </c>
      <c r="C452" t="n">
        <v>3</v>
      </c>
      <c r="D452" t="inlineStr">
        <is>
          <t>Skill Cooldown Decrease (seconds)</t>
        </is>
      </c>
      <c r="E452" t="n">
        <v>0.5</v>
      </c>
      <c r="F452" t="n">
        <v>0.08</v>
      </c>
      <c r="G452" t="b">
        <v>1</v>
      </c>
      <c r="H452">
        <f>Sensitivity!H28</f>
        <v/>
      </c>
    </row>
    <row r="453">
      <c r="A453" t="inlineStr">
        <is>
          <t>head</t>
        </is>
      </c>
      <c r="B453" t="inlineStr">
        <is>
          <t>unique</t>
        </is>
      </c>
      <c r="C453" t="n">
        <v>1</v>
      </c>
      <c r="D453" t="inlineStr">
        <is>
          <t>Skill Cooldown Decrease (seconds)</t>
        </is>
      </c>
      <c r="E453" t="n">
        <v>1</v>
      </c>
      <c r="F453" t="n">
        <v>1</v>
      </c>
      <c r="G453" t="b">
        <v>1</v>
      </c>
      <c r="H453">
        <f>Sensitivity!H28</f>
        <v/>
      </c>
    </row>
    <row r="454">
      <c r="A454" t="inlineStr">
        <is>
          <t>head</t>
        </is>
      </c>
      <c r="B454" t="inlineStr">
        <is>
          <t>unique</t>
        </is>
      </c>
      <c r="C454" t="n">
        <v>2</v>
      </c>
      <c r="D454" t="inlineStr">
        <is>
          <t>Skill Cooldown Decrease (seconds)</t>
        </is>
      </c>
      <c r="E454" t="n">
        <v>1</v>
      </c>
      <c r="F454" t="n">
        <v>0.24</v>
      </c>
      <c r="G454" t="b">
        <v>1</v>
      </c>
      <c r="H454">
        <f>Sensitivity!H28</f>
        <v/>
      </c>
    </row>
    <row r="455">
      <c r="A455" t="inlineStr">
        <is>
          <t>head</t>
        </is>
      </c>
      <c r="B455" t="inlineStr">
        <is>
          <t>unique</t>
        </is>
      </c>
      <c r="C455" t="n">
        <v>2</v>
      </c>
      <c r="D455" t="inlineStr">
        <is>
          <t>Skill Cooldown Decrease (seconds)</t>
        </is>
      </c>
      <c r="E455" t="n">
        <v>0.5</v>
      </c>
      <c r="F455" t="n">
        <v>0.76</v>
      </c>
      <c r="G455" t="b">
        <v>0</v>
      </c>
      <c r="H455">
        <f>Sensitivity!H28</f>
        <v/>
      </c>
    </row>
    <row r="456">
      <c r="A456" t="inlineStr">
        <is>
          <t>head</t>
        </is>
      </c>
      <c r="B456" t="inlineStr">
        <is>
          <t>unique</t>
        </is>
      </c>
      <c r="C456" t="n">
        <v>3</v>
      </c>
      <c r="D456" t="inlineStr">
        <is>
          <t>Skill Cooldown Decrease (seconds)</t>
        </is>
      </c>
      <c r="E456" t="n">
        <v>1</v>
      </c>
      <c r="F456" t="n">
        <v>0.08</v>
      </c>
      <c r="G456" t="b">
        <v>1</v>
      </c>
      <c r="H456">
        <f>Sensitivity!H28</f>
        <v/>
      </c>
    </row>
    <row r="457">
      <c r="A457" t="inlineStr">
        <is>
          <t>head</t>
        </is>
      </c>
      <c r="B457" t="inlineStr">
        <is>
          <t>unique</t>
        </is>
      </c>
      <c r="C457" t="n">
        <v>3</v>
      </c>
      <c r="D457" t="inlineStr">
        <is>
          <t>Skill Cooldown Decrease (seconds)</t>
        </is>
      </c>
      <c r="E457" t="n">
        <v>0.5</v>
      </c>
      <c r="F457" t="n">
        <v>0.92</v>
      </c>
      <c r="G457" t="b">
        <v>0</v>
      </c>
      <c r="H457">
        <f>Sensitivity!H28</f>
        <v/>
      </c>
    </row>
    <row r="458">
      <c r="A458" t="inlineStr">
        <is>
          <t>head</t>
        </is>
      </c>
      <c r="B458" t="inlineStr">
        <is>
          <t>legendary</t>
        </is>
      </c>
      <c r="C458" t="n">
        <v>1</v>
      </c>
      <c r="D458" t="inlineStr">
        <is>
          <t>Skill Cooldown Decrease (seconds)</t>
        </is>
      </c>
      <c r="E458" t="n">
        <v>1.5</v>
      </c>
      <c r="F458" t="n">
        <v>1</v>
      </c>
      <c r="G458" t="b">
        <v>1</v>
      </c>
      <c r="H458">
        <f>Sensitivity!H28</f>
        <v/>
      </c>
    </row>
    <row r="459">
      <c r="A459" t="inlineStr">
        <is>
          <t>head</t>
        </is>
      </c>
      <c r="B459" t="inlineStr">
        <is>
          <t>legendary</t>
        </is>
      </c>
      <c r="C459" t="n">
        <v>2</v>
      </c>
      <c r="D459" t="inlineStr">
        <is>
          <t>Skill Cooldown Decrease (seconds)</t>
        </is>
      </c>
      <c r="E459" t="n">
        <v>1.5</v>
      </c>
      <c r="F459" t="n">
        <v>0.24</v>
      </c>
      <c r="G459" t="b">
        <v>1</v>
      </c>
      <c r="H459">
        <f>Sensitivity!H28</f>
        <v/>
      </c>
    </row>
    <row r="460">
      <c r="A460" t="inlineStr">
        <is>
          <t>head</t>
        </is>
      </c>
      <c r="B460" t="inlineStr">
        <is>
          <t>legendary</t>
        </is>
      </c>
      <c r="C460" t="n">
        <v>2</v>
      </c>
      <c r="D460" t="inlineStr">
        <is>
          <t>Skill Cooldown Decrease (seconds)</t>
        </is>
      </c>
      <c r="E460" t="n">
        <v>1</v>
      </c>
      <c r="F460" t="n">
        <v>0.76</v>
      </c>
      <c r="G460" t="b">
        <v>0</v>
      </c>
      <c r="H460">
        <f>Sensitivity!H28</f>
        <v/>
      </c>
    </row>
    <row r="461">
      <c r="A461" t="inlineStr">
        <is>
          <t>head</t>
        </is>
      </c>
      <c r="B461" t="inlineStr">
        <is>
          <t>legendary</t>
        </is>
      </c>
      <c r="C461" t="n">
        <v>3</v>
      </c>
      <c r="D461" t="inlineStr">
        <is>
          <t>Skill Cooldown Decrease (seconds)</t>
        </is>
      </c>
      <c r="E461" t="n">
        <v>1.5</v>
      </c>
      <c r="F461" t="n">
        <v>0.08</v>
      </c>
      <c r="G461" t="b">
        <v>1</v>
      </c>
      <c r="H461">
        <f>Sensitivity!H28</f>
        <v/>
      </c>
    </row>
    <row r="462">
      <c r="A462" t="inlineStr">
        <is>
          <t>head</t>
        </is>
      </c>
      <c r="B462" t="inlineStr">
        <is>
          <t>legendary</t>
        </is>
      </c>
      <c r="C462" t="n">
        <v>3</v>
      </c>
      <c r="D462" t="inlineStr">
        <is>
          <t>Skill Cooldown Decrease (seconds)</t>
        </is>
      </c>
      <c r="E462" t="n">
        <v>1</v>
      </c>
      <c r="F462" t="n">
        <v>0.92</v>
      </c>
      <c r="G462" t="b">
        <v>0</v>
      </c>
      <c r="H462">
        <f>Sensitivity!H28</f>
        <v/>
      </c>
    </row>
    <row r="463">
      <c r="A463" t="inlineStr">
        <is>
          <t>head</t>
        </is>
      </c>
      <c r="B463" t="inlineStr">
        <is>
          <t>mystic</t>
        </is>
      </c>
      <c r="C463" t="n">
        <v>1</v>
      </c>
      <c r="D463" t="inlineStr">
        <is>
          <t>Skill Cooldown Decrease (seconds)</t>
        </is>
      </c>
      <c r="E463" t="n">
        <v>2</v>
      </c>
      <c r="F463" t="n">
        <v>1</v>
      </c>
      <c r="G463" t="b">
        <v>1</v>
      </c>
      <c r="H463">
        <f>Sensitivity!H28</f>
        <v/>
      </c>
    </row>
    <row r="464">
      <c r="A464" t="inlineStr">
        <is>
          <t>head</t>
        </is>
      </c>
      <c r="B464" t="inlineStr">
        <is>
          <t>mystic</t>
        </is>
      </c>
      <c r="C464" t="n">
        <v>2</v>
      </c>
      <c r="D464" t="inlineStr">
        <is>
          <t>Skill Cooldown Decrease (seconds)</t>
        </is>
      </c>
      <c r="E464" t="n">
        <v>2</v>
      </c>
      <c r="F464" t="n">
        <v>0.24</v>
      </c>
      <c r="G464" t="b">
        <v>1</v>
      </c>
      <c r="H464">
        <f>Sensitivity!H28</f>
        <v/>
      </c>
    </row>
    <row r="465">
      <c r="A465" t="inlineStr">
        <is>
          <t>head</t>
        </is>
      </c>
      <c r="B465" t="inlineStr">
        <is>
          <t>mystic</t>
        </is>
      </c>
      <c r="C465" t="n">
        <v>2</v>
      </c>
      <c r="D465" t="inlineStr">
        <is>
          <t>Skill Cooldown Decrease (seconds)</t>
        </is>
      </c>
      <c r="E465" t="n">
        <v>1.5</v>
      </c>
      <c r="F465" t="n">
        <v>0.76</v>
      </c>
      <c r="G465" t="b">
        <v>0</v>
      </c>
      <c r="H465">
        <f>Sensitivity!H28</f>
        <v/>
      </c>
    </row>
    <row r="466">
      <c r="A466" t="inlineStr">
        <is>
          <t>head</t>
        </is>
      </c>
      <c r="B466" t="inlineStr">
        <is>
          <t>mystic</t>
        </is>
      </c>
      <c r="C466" t="n">
        <v>3</v>
      </c>
      <c r="D466" t="inlineStr">
        <is>
          <t>Skill Cooldown Decrease (seconds)</t>
        </is>
      </c>
      <c r="E466" t="n">
        <v>2</v>
      </c>
      <c r="F466" t="n">
        <v>0.08</v>
      </c>
      <c r="G466" t="b">
        <v>1</v>
      </c>
      <c r="H466">
        <f>Sensitivity!H28</f>
        <v/>
      </c>
    </row>
    <row r="467">
      <c r="A467" t="inlineStr">
        <is>
          <t>head</t>
        </is>
      </c>
      <c r="B467" t="inlineStr">
        <is>
          <t>mystic</t>
        </is>
      </c>
      <c r="C467" t="n">
        <v>3</v>
      </c>
      <c r="D467" t="inlineStr">
        <is>
          <t>Skill Cooldown Decrease (seconds)</t>
        </is>
      </c>
      <c r="E467" t="n">
        <v>1.5</v>
      </c>
      <c r="F467" t="n">
        <v>0.92</v>
      </c>
      <c r="G467" t="b">
        <v>0</v>
      </c>
      <c r="H467">
        <f>Sensitivity!H28</f>
        <v/>
      </c>
    </row>
    <row r="468">
      <c r="A468" t="inlineStr">
        <is>
          <t>cape</t>
        </is>
      </c>
      <c r="B468" t="inlineStr">
        <is>
          <t>epic</t>
        </is>
      </c>
      <c r="C468" t="n">
        <v>1</v>
      </c>
      <c r="D468" t="inlineStr">
        <is>
          <t>Final Damage %</t>
        </is>
      </c>
      <c r="E468" t="n">
        <v>3</v>
      </c>
      <c r="F468" t="n">
        <v>1</v>
      </c>
      <c r="G468" t="b">
        <v>1</v>
      </c>
      <c r="H468">
        <f>Sensitivity!H12</f>
        <v/>
      </c>
    </row>
    <row r="469">
      <c r="A469" t="inlineStr">
        <is>
          <t>cape</t>
        </is>
      </c>
      <c r="B469" t="inlineStr">
        <is>
          <t>epic</t>
        </is>
      </c>
      <c r="C469" t="n">
        <v>2</v>
      </c>
      <c r="D469" t="inlineStr">
        <is>
          <t>Final Damage %</t>
        </is>
      </c>
      <c r="E469" t="n">
        <v>3</v>
      </c>
      <c r="F469" t="n">
        <v>0.24</v>
      </c>
      <c r="G469" t="b">
        <v>1</v>
      </c>
      <c r="H469">
        <f>Sensitivity!H12</f>
        <v/>
      </c>
    </row>
    <row r="470">
      <c r="A470" t="inlineStr">
        <is>
          <t>cape</t>
        </is>
      </c>
      <c r="B470" t="inlineStr">
        <is>
          <t>epic</t>
        </is>
      </c>
      <c r="C470" t="n">
        <v>3</v>
      </c>
      <c r="D470" t="inlineStr">
        <is>
          <t>Final Damage %</t>
        </is>
      </c>
      <c r="E470" t="n">
        <v>3</v>
      </c>
      <c r="F470" t="n">
        <v>0.08</v>
      </c>
      <c r="G470" t="b">
        <v>1</v>
      </c>
      <c r="H470">
        <f>Sensitivity!H12</f>
        <v/>
      </c>
    </row>
    <row r="471">
      <c r="A471" t="inlineStr">
        <is>
          <t>cape</t>
        </is>
      </c>
      <c r="B471" t="inlineStr">
        <is>
          <t>unique</t>
        </is>
      </c>
      <c r="C471" t="n">
        <v>1</v>
      </c>
      <c r="D471" t="inlineStr">
        <is>
          <t>Final Damage %</t>
        </is>
      </c>
      <c r="E471" t="n">
        <v>5</v>
      </c>
      <c r="F471" t="n">
        <v>1</v>
      </c>
      <c r="G471" t="b">
        <v>1</v>
      </c>
      <c r="H471">
        <f>Sensitivity!H12</f>
        <v/>
      </c>
    </row>
    <row r="472">
      <c r="A472" t="inlineStr">
        <is>
          <t>cape</t>
        </is>
      </c>
      <c r="B472" t="inlineStr">
        <is>
          <t>unique</t>
        </is>
      </c>
      <c r="C472" t="n">
        <v>2</v>
      </c>
      <c r="D472" t="inlineStr">
        <is>
          <t>Final Damage %</t>
        </is>
      </c>
      <c r="E472" t="n">
        <v>5</v>
      </c>
      <c r="F472" t="n">
        <v>0.24</v>
      </c>
      <c r="G472" t="b">
        <v>1</v>
      </c>
      <c r="H472">
        <f>Sensitivity!H12</f>
        <v/>
      </c>
    </row>
    <row r="473">
      <c r="A473" t="inlineStr">
        <is>
          <t>cape</t>
        </is>
      </c>
      <c r="B473" t="inlineStr">
        <is>
          <t>unique</t>
        </is>
      </c>
      <c r="C473" t="n">
        <v>2</v>
      </c>
      <c r="D473" t="inlineStr">
        <is>
          <t>Final Damage %</t>
        </is>
      </c>
      <c r="E473" t="n">
        <v>3</v>
      </c>
      <c r="F473" t="n">
        <v>0.76</v>
      </c>
      <c r="G473" t="b">
        <v>0</v>
      </c>
      <c r="H473">
        <f>Sensitivity!H12</f>
        <v/>
      </c>
    </row>
    <row r="474">
      <c r="A474" t="inlineStr">
        <is>
          <t>cape</t>
        </is>
      </c>
      <c r="B474" t="inlineStr">
        <is>
          <t>unique</t>
        </is>
      </c>
      <c r="C474" t="n">
        <v>3</v>
      </c>
      <c r="D474" t="inlineStr">
        <is>
          <t>Final Damage %</t>
        </is>
      </c>
      <c r="E474" t="n">
        <v>5</v>
      </c>
      <c r="F474" t="n">
        <v>0.08</v>
      </c>
      <c r="G474" t="b">
        <v>1</v>
      </c>
      <c r="H474">
        <f>Sensitivity!H12</f>
        <v/>
      </c>
    </row>
    <row r="475">
      <c r="A475" t="inlineStr">
        <is>
          <t>cape</t>
        </is>
      </c>
      <c r="B475" t="inlineStr">
        <is>
          <t>unique</t>
        </is>
      </c>
      <c r="C475" t="n">
        <v>3</v>
      </c>
      <c r="D475" t="inlineStr">
        <is>
          <t>Final Damage %</t>
        </is>
      </c>
      <c r="E475" t="n">
        <v>3</v>
      </c>
      <c r="F475" t="n">
        <v>0.92</v>
      </c>
      <c r="G475" t="b">
        <v>0</v>
      </c>
      <c r="H475">
        <f>Sensitivity!H12</f>
        <v/>
      </c>
    </row>
    <row r="476">
      <c r="A476" t="inlineStr">
        <is>
          <t>cape</t>
        </is>
      </c>
      <c r="B476" t="inlineStr">
        <is>
          <t>legendary</t>
        </is>
      </c>
      <c r="C476" t="n">
        <v>1</v>
      </c>
      <c r="D476" t="inlineStr">
        <is>
          <t>Final Damage %</t>
        </is>
      </c>
      <c r="E476" t="n">
        <v>8</v>
      </c>
      <c r="F476" t="n">
        <v>1</v>
      </c>
      <c r="G476" t="b">
        <v>1</v>
      </c>
      <c r="H476">
        <f>Sensitivity!H12</f>
        <v/>
      </c>
    </row>
    <row r="477">
      <c r="A477" t="inlineStr">
        <is>
          <t>cape</t>
        </is>
      </c>
      <c r="B477" t="inlineStr">
        <is>
          <t>legendary</t>
        </is>
      </c>
      <c r="C477" t="n">
        <v>2</v>
      </c>
      <c r="D477" t="inlineStr">
        <is>
          <t>Final Damage %</t>
        </is>
      </c>
      <c r="E477" t="n">
        <v>8</v>
      </c>
      <c r="F477" t="n">
        <v>0.24</v>
      </c>
      <c r="G477" t="b">
        <v>1</v>
      </c>
      <c r="H477">
        <f>Sensitivity!H12</f>
        <v/>
      </c>
    </row>
    <row r="478">
      <c r="A478" t="inlineStr">
        <is>
          <t>cape</t>
        </is>
      </c>
      <c r="B478" t="inlineStr">
        <is>
          <t>legendary</t>
        </is>
      </c>
      <c r="C478" t="n">
        <v>2</v>
      </c>
      <c r="D478" t="inlineStr">
        <is>
          <t>Final Damage %</t>
        </is>
      </c>
      <c r="E478" t="n">
        <v>5</v>
      </c>
      <c r="F478" t="n">
        <v>0.76</v>
      </c>
      <c r="G478" t="b">
        <v>0</v>
      </c>
      <c r="H478">
        <f>Sensitivity!H12</f>
        <v/>
      </c>
    </row>
    <row r="479">
      <c r="A479" t="inlineStr">
        <is>
          <t>cape</t>
        </is>
      </c>
      <c r="B479" t="inlineStr">
        <is>
          <t>legendary</t>
        </is>
      </c>
      <c r="C479" t="n">
        <v>3</v>
      </c>
      <c r="D479" t="inlineStr">
        <is>
          <t>Final Damage %</t>
        </is>
      </c>
      <c r="E479" t="n">
        <v>8</v>
      </c>
      <c r="F479" t="n">
        <v>0.08</v>
      </c>
      <c r="G479" t="b">
        <v>1</v>
      </c>
      <c r="H479">
        <f>Sensitivity!H12</f>
        <v/>
      </c>
    </row>
    <row r="480">
      <c r="A480" t="inlineStr">
        <is>
          <t>cape</t>
        </is>
      </c>
      <c r="B480" t="inlineStr">
        <is>
          <t>legendary</t>
        </is>
      </c>
      <c r="C480" t="n">
        <v>3</v>
      </c>
      <c r="D480" t="inlineStr">
        <is>
          <t>Final Damage %</t>
        </is>
      </c>
      <c r="E480" t="n">
        <v>5</v>
      </c>
      <c r="F480" t="n">
        <v>0.92</v>
      </c>
      <c r="G480" t="b">
        <v>0</v>
      </c>
      <c r="H480">
        <f>Sensitivity!H12</f>
        <v/>
      </c>
    </row>
    <row r="481">
      <c r="A481" t="inlineStr">
        <is>
          <t>cape</t>
        </is>
      </c>
      <c r="B481" t="inlineStr">
        <is>
          <t>mystic</t>
        </is>
      </c>
      <c r="C481" t="n">
        <v>1</v>
      </c>
      <c r="D481" t="inlineStr">
        <is>
          <t>Final Damage %</t>
        </is>
      </c>
      <c r="E481" t="n">
        <v>12</v>
      </c>
      <c r="F481" t="n">
        <v>1</v>
      </c>
      <c r="G481" t="b">
        <v>1</v>
      </c>
      <c r="H481">
        <f>Sensitivity!H12</f>
        <v/>
      </c>
    </row>
    <row r="482">
      <c r="A482" t="inlineStr">
        <is>
          <t>cape</t>
        </is>
      </c>
      <c r="B482" t="inlineStr">
        <is>
          <t>mystic</t>
        </is>
      </c>
      <c r="C482" t="n">
        <v>2</v>
      </c>
      <c r="D482" t="inlineStr">
        <is>
          <t>Final Damage %</t>
        </is>
      </c>
      <c r="E482" t="n">
        <v>12</v>
      </c>
      <c r="F482" t="n">
        <v>0.24</v>
      </c>
      <c r="G482" t="b">
        <v>1</v>
      </c>
      <c r="H482">
        <f>Sensitivity!H12</f>
        <v/>
      </c>
    </row>
    <row r="483">
      <c r="A483" t="inlineStr">
        <is>
          <t>cape</t>
        </is>
      </c>
      <c r="B483" t="inlineStr">
        <is>
          <t>mystic</t>
        </is>
      </c>
      <c r="C483" t="n">
        <v>2</v>
      </c>
      <c r="D483" t="inlineStr">
        <is>
          <t>Final Damage %</t>
        </is>
      </c>
      <c r="E483" t="n">
        <v>8</v>
      </c>
      <c r="F483" t="n">
        <v>0.76</v>
      </c>
      <c r="G483" t="b">
        <v>0</v>
      </c>
      <c r="H483">
        <f>Sensitivity!H12</f>
        <v/>
      </c>
    </row>
    <row r="484">
      <c r="A484" t="inlineStr">
        <is>
          <t>cape</t>
        </is>
      </c>
      <c r="B484" t="inlineStr">
        <is>
          <t>mystic</t>
        </is>
      </c>
      <c r="C484" t="n">
        <v>3</v>
      </c>
      <c r="D484" t="inlineStr">
        <is>
          <t>Final Damage %</t>
        </is>
      </c>
      <c r="E484" t="n">
        <v>12</v>
      </c>
      <c r="F484" t="n">
        <v>0.08</v>
      </c>
      <c r="G484" t="b">
        <v>1</v>
      </c>
      <c r="H484">
        <f>Sensitivity!H12</f>
        <v/>
      </c>
    </row>
    <row r="485">
      <c r="A485" t="inlineStr">
        <is>
          <t>cape</t>
        </is>
      </c>
      <c r="B485" t="inlineStr">
        <is>
          <t>mystic</t>
        </is>
      </c>
      <c r="C485" t="n">
        <v>3</v>
      </c>
      <c r="D485" t="inlineStr">
        <is>
          <t>Final Damage %</t>
        </is>
      </c>
      <c r="E485" t="n">
        <v>8</v>
      </c>
      <c r="F485" t="n">
        <v>0.92</v>
      </c>
      <c r="G485" t="b">
        <v>0</v>
      </c>
      <c r="H485">
        <f>Sensitivity!H12</f>
        <v/>
      </c>
    </row>
    <row r="486">
      <c r="A486" t="inlineStr">
        <is>
          <t>chest</t>
        </is>
      </c>
      <c r="B486" t="inlineStr">
        <is>
          <t>unique</t>
        </is>
      </c>
      <c r="C486" t="n">
        <v>1</v>
      </c>
      <c r="D486" t="inlineStr">
        <is>
          <t>Basic Attack Target Increase</t>
        </is>
      </c>
      <c r="E486" t="n">
        <v>1</v>
      </c>
      <c r="F486" t="n">
        <v>1</v>
      </c>
      <c r="G486" t="b">
        <v>1</v>
      </c>
      <c r="H486">
        <f>Sensitivity!H29</f>
        <v/>
      </c>
    </row>
    <row r="487">
      <c r="A487" t="inlineStr">
        <is>
          <t>chest</t>
        </is>
      </c>
      <c r="B487" t="inlineStr">
        <is>
          <t>unique</t>
        </is>
      </c>
      <c r="C487" t="n">
        <v>2</v>
      </c>
      <c r="D487" t="inlineStr">
        <is>
          <t>Basic Attack Target Increase</t>
        </is>
      </c>
      <c r="E487" t="n">
        <v>1</v>
      </c>
      <c r="F487" t="n">
        <v>0.24</v>
      </c>
      <c r="G487" t="b">
        <v>1</v>
      </c>
      <c r="H487">
        <f>Sensitivity!H29</f>
        <v/>
      </c>
    </row>
    <row r="488">
      <c r="A488" t="inlineStr">
        <is>
          <t>chest</t>
        </is>
      </c>
      <c r="B488" t="inlineStr">
        <is>
          <t>unique</t>
        </is>
      </c>
      <c r="C488" t="n">
        <v>3</v>
      </c>
      <c r="D488" t="inlineStr">
        <is>
          <t>Basic Attack Target Increase</t>
        </is>
      </c>
      <c r="E488" t="n">
        <v>1</v>
      </c>
      <c r="F488" t="n">
        <v>0.08</v>
      </c>
      <c r="G488" t="b">
        <v>1</v>
      </c>
      <c r="H488">
        <f>Sensitivity!H29</f>
        <v/>
      </c>
    </row>
    <row r="489">
      <c r="A489" t="inlineStr">
        <is>
          <t>chest</t>
        </is>
      </c>
      <c r="B489" t="inlineStr">
        <is>
          <t>legendary</t>
        </is>
      </c>
      <c r="C489" t="n">
        <v>1</v>
      </c>
      <c r="D489" t="inlineStr">
        <is>
          <t>Basic Attack Target Increase</t>
        </is>
      </c>
      <c r="E489" t="n">
        <v>2</v>
      </c>
      <c r="F489" t="n">
        <v>1</v>
      </c>
      <c r="G489" t="b">
        <v>1</v>
      </c>
      <c r="H489">
        <f>Sensitivity!H29</f>
        <v/>
      </c>
    </row>
    <row r="490">
      <c r="A490" t="inlineStr">
        <is>
          <t>chest</t>
        </is>
      </c>
      <c r="B490" t="inlineStr">
        <is>
          <t>legendary</t>
        </is>
      </c>
      <c r="C490" t="n">
        <v>2</v>
      </c>
      <c r="D490" t="inlineStr">
        <is>
          <t>Basic Attack Target Increase</t>
        </is>
      </c>
      <c r="E490" t="n">
        <v>2</v>
      </c>
      <c r="F490" t="n">
        <v>0.24</v>
      </c>
      <c r="G490" t="b">
        <v>1</v>
      </c>
      <c r="H490">
        <f>Sensitivity!H29</f>
        <v/>
      </c>
    </row>
    <row r="491">
      <c r="A491" t="inlineStr">
        <is>
          <t>chest</t>
        </is>
      </c>
      <c r="B491" t="inlineStr">
        <is>
          <t>legendary</t>
        </is>
      </c>
      <c r="C491" t="n">
        <v>2</v>
      </c>
      <c r="D491" t="inlineStr">
        <is>
          <t>Basic Attack Target Increase</t>
        </is>
      </c>
      <c r="E491" t="n">
        <v>1</v>
      </c>
      <c r="F491" t="n">
        <v>0.76</v>
      </c>
      <c r="G491" t="b">
        <v>0</v>
      </c>
      <c r="H491">
        <f>Sensitivity!H29</f>
        <v/>
      </c>
    </row>
    <row r="492">
      <c r="A492" t="inlineStr">
        <is>
          <t>chest</t>
        </is>
      </c>
      <c r="B492" t="inlineStr">
        <is>
          <t>legendary</t>
        </is>
      </c>
      <c r="C492" t="n">
        <v>3</v>
      </c>
      <c r="D492" t="inlineStr">
        <is>
          <t>Basic Attack Target Increase</t>
        </is>
      </c>
      <c r="E492" t="n">
        <v>2</v>
      </c>
      <c r="F492" t="n">
        <v>0.08</v>
      </c>
      <c r="G492" t="b">
        <v>1</v>
      </c>
      <c r="H492">
        <f>Sensitivity!H29</f>
        <v/>
      </c>
    </row>
    <row r="493">
      <c r="A493" t="inlineStr">
        <is>
          <t>chest</t>
        </is>
      </c>
      <c r="B493" t="inlineStr">
        <is>
          <t>legendary</t>
        </is>
      </c>
      <c r="C493" t="n">
        <v>3</v>
      </c>
      <c r="D493" t="inlineStr">
        <is>
          <t>Basic Attack Target Increase</t>
        </is>
      </c>
      <c r="E493" t="n">
        <v>1</v>
      </c>
      <c r="F493" t="n">
        <v>0.92</v>
      </c>
      <c r="G493" t="b">
        <v>0</v>
      </c>
      <c r="H493">
        <f>Sensitivity!H29</f>
        <v/>
      </c>
    </row>
    <row r="494">
      <c r="A494" t="inlineStr">
        <is>
          <t>chest</t>
        </is>
      </c>
      <c r="B494" t="inlineStr">
        <is>
          <t>mystic</t>
        </is>
      </c>
      <c r="C494" t="n">
        <v>1</v>
      </c>
      <c r="D494" t="inlineStr">
        <is>
          <t>Basic Attack Target Increase</t>
        </is>
      </c>
      <c r="E494" t="n">
        <v>3</v>
      </c>
      <c r="F494" t="n">
        <v>1</v>
      </c>
      <c r="G494" t="b">
        <v>1</v>
      </c>
      <c r="H494">
        <f>Sensitivity!H29</f>
        <v/>
      </c>
    </row>
    <row r="495">
      <c r="A495" t="inlineStr">
        <is>
          <t>chest</t>
        </is>
      </c>
      <c r="B495" t="inlineStr">
        <is>
          <t>mystic</t>
        </is>
      </c>
      <c r="C495" t="n">
        <v>2</v>
      </c>
      <c r="D495" t="inlineStr">
        <is>
          <t>Basic Attack Target Increase</t>
        </is>
      </c>
      <c r="E495" t="n">
        <v>3</v>
      </c>
      <c r="F495" t="n">
        <v>0.24</v>
      </c>
      <c r="G495" t="b">
        <v>1</v>
      </c>
      <c r="H495">
        <f>Sensitivity!H29</f>
        <v/>
      </c>
    </row>
    <row r="496">
      <c r="A496" t="inlineStr">
        <is>
          <t>chest</t>
        </is>
      </c>
      <c r="B496" t="inlineStr">
        <is>
          <t>mystic</t>
        </is>
      </c>
      <c r="C496" t="n">
        <v>2</v>
      </c>
      <c r="D496" t="inlineStr">
        <is>
          <t>Basic Attack Target Increase</t>
        </is>
      </c>
      <c r="E496" t="n">
        <v>2</v>
      </c>
      <c r="F496" t="n">
        <v>0.76</v>
      </c>
      <c r="G496" t="b">
        <v>0</v>
      </c>
      <c r="H496">
        <f>Sensitivity!H29</f>
        <v/>
      </c>
    </row>
    <row r="497">
      <c r="A497" t="inlineStr">
        <is>
          <t>chest</t>
        </is>
      </c>
      <c r="B497" t="inlineStr">
        <is>
          <t>mystic</t>
        </is>
      </c>
      <c r="C497" t="n">
        <v>3</v>
      </c>
      <c r="D497" t="inlineStr">
        <is>
          <t>Basic Attack Target Increase</t>
        </is>
      </c>
      <c r="E497" t="n">
        <v>3</v>
      </c>
      <c r="F497" t="n">
        <v>0.08</v>
      </c>
      <c r="G497" t="b">
        <v>1</v>
      </c>
      <c r="H497">
        <f>Sensitivity!H29</f>
        <v/>
      </c>
    </row>
    <row r="498">
      <c r="A498" t="inlineStr">
        <is>
          <t>chest</t>
        </is>
      </c>
      <c r="B498" t="inlineStr">
        <is>
          <t>mystic</t>
        </is>
      </c>
      <c r="C498" t="n">
        <v>3</v>
      </c>
      <c r="D498" t="inlineStr">
        <is>
          <t>Basic Attack Target Increase</t>
        </is>
      </c>
      <c r="E498" t="n">
        <v>2</v>
      </c>
      <c r="F498" t="n">
        <v>0.92</v>
      </c>
      <c r="G498" t="b">
        <v>0</v>
      </c>
      <c r="H498">
        <f>Sensitivity!H29</f>
        <v/>
      </c>
    </row>
    <row r="499">
      <c r="A499" t="inlineStr">
        <is>
          <t>shoulders</t>
        </is>
      </c>
      <c r="B499" t="inlineStr">
        <is>
          <t>unique</t>
        </is>
      </c>
      <c r="C499" t="n">
        <v>1</v>
      </c>
      <c r="D499" t="inlineStr">
        <is>
          <t>Defense Penetration</t>
        </is>
      </c>
      <c r="E499" t="n">
        <v>8</v>
      </c>
      <c r="F499" t="n">
        <v>1</v>
      </c>
      <c r="G499" t="b">
        <v>1</v>
      </c>
      <c r="H499">
        <f>Sensitivity!H18</f>
        <v/>
      </c>
    </row>
    <row r="500">
      <c r="A500" t="inlineStr">
        <is>
          <t>shoulders</t>
        </is>
      </c>
      <c r="B500" t="inlineStr">
        <is>
          <t>unique</t>
        </is>
      </c>
      <c r="C500" t="n">
        <v>2</v>
      </c>
      <c r="D500" t="inlineStr">
        <is>
          <t>Defense Penetration</t>
        </is>
      </c>
      <c r="E500" t="n">
        <v>8</v>
      </c>
      <c r="F500" t="n">
        <v>0.24</v>
      </c>
      <c r="G500" t="b">
        <v>1</v>
      </c>
      <c r="H500">
        <f>Sensitivity!H18</f>
        <v/>
      </c>
    </row>
    <row r="501">
      <c r="A501" t="inlineStr">
        <is>
          <t>shoulders</t>
        </is>
      </c>
      <c r="B501" t="inlineStr">
        <is>
          <t>unique</t>
        </is>
      </c>
      <c r="C501" t="n">
        <v>3</v>
      </c>
      <c r="D501" t="inlineStr">
        <is>
          <t>Defense Penetration</t>
        </is>
      </c>
      <c r="E501" t="n">
        <v>8</v>
      </c>
      <c r="F501" t="n">
        <v>0.08</v>
      </c>
      <c r="G501" t="b">
        <v>1</v>
      </c>
      <c r="H501">
        <f>Sensitivity!H18</f>
        <v/>
      </c>
    </row>
    <row r="502">
      <c r="A502" t="inlineStr">
        <is>
          <t>shoulders</t>
        </is>
      </c>
      <c r="B502" t="inlineStr">
        <is>
          <t>legendary</t>
        </is>
      </c>
      <c r="C502" t="n">
        <v>1</v>
      </c>
      <c r="D502" t="inlineStr">
        <is>
          <t>Defense Penetration</t>
        </is>
      </c>
      <c r="E502" t="n">
        <v>12</v>
      </c>
      <c r="F502" t="n">
        <v>1</v>
      </c>
      <c r="G502" t="b">
        <v>1</v>
      </c>
      <c r="H502">
        <f>Sensitivity!H18</f>
        <v/>
      </c>
    </row>
    <row r="503">
      <c r="A503" t="inlineStr">
        <is>
          <t>shoulders</t>
        </is>
      </c>
      <c r="B503" t="inlineStr">
        <is>
          <t>legendary</t>
        </is>
      </c>
      <c r="C503" t="n">
        <v>2</v>
      </c>
      <c r="D503" t="inlineStr">
        <is>
          <t>Defense Penetration</t>
        </is>
      </c>
      <c r="E503" t="n">
        <v>12</v>
      </c>
      <c r="F503" t="n">
        <v>0.24</v>
      </c>
      <c r="G503" t="b">
        <v>1</v>
      </c>
      <c r="H503">
        <f>Sensitivity!H18</f>
        <v/>
      </c>
    </row>
    <row r="504">
      <c r="A504" t="inlineStr">
        <is>
          <t>shoulders</t>
        </is>
      </c>
      <c r="B504" t="inlineStr">
        <is>
          <t>legendary</t>
        </is>
      </c>
      <c r="C504" t="n">
        <v>2</v>
      </c>
      <c r="D504" t="inlineStr">
        <is>
          <t>Defense Penetration</t>
        </is>
      </c>
      <c r="E504" t="n">
        <v>8</v>
      </c>
      <c r="F504" t="n">
        <v>0.76</v>
      </c>
      <c r="G504" t="b">
        <v>0</v>
      </c>
      <c r="H504">
        <f>Sensitivity!H18</f>
        <v/>
      </c>
    </row>
    <row r="505">
      <c r="A505" t="inlineStr">
        <is>
          <t>shoulders</t>
        </is>
      </c>
      <c r="B505" t="inlineStr">
        <is>
          <t>legendary</t>
        </is>
      </c>
      <c r="C505" t="n">
        <v>3</v>
      </c>
      <c r="D505" t="inlineStr">
        <is>
          <t>Defense Penetration</t>
        </is>
      </c>
      <c r="E505" t="n">
        <v>12</v>
      </c>
      <c r="F505" t="n">
        <v>0.08</v>
      </c>
      <c r="G505" t="b">
        <v>1</v>
      </c>
      <c r="H505">
        <f>Sensitivity!H18</f>
        <v/>
      </c>
    </row>
    <row r="506">
      <c r="A506" t="inlineStr">
        <is>
          <t>shoulders</t>
        </is>
      </c>
      <c r="B506" t="inlineStr">
        <is>
          <t>legendary</t>
        </is>
      </c>
      <c r="C506" t="n">
        <v>3</v>
      </c>
      <c r="D506" t="inlineStr">
        <is>
          <t>Defense Penetration</t>
        </is>
      </c>
      <c r="E506" t="n">
        <v>8</v>
      </c>
      <c r="F506" t="n">
        <v>0.92</v>
      </c>
      <c r="G506" t="b">
        <v>0</v>
      </c>
      <c r="H506">
        <f>Sensitivity!H18</f>
        <v/>
      </c>
    </row>
    <row r="507">
      <c r="A507" t="inlineStr">
        <is>
          <t>shoulders</t>
        </is>
      </c>
      <c r="B507" t="inlineStr">
        <is>
          <t>mystic</t>
        </is>
      </c>
      <c r="C507" t="n">
        <v>1</v>
      </c>
      <c r="D507" t="inlineStr">
        <is>
          <t>Defense Penetration</t>
        </is>
      </c>
      <c r="E507" t="n">
        <v>20</v>
      </c>
      <c r="F507" t="n">
        <v>1</v>
      </c>
      <c r="G507" t="b">
        <v>1</v>
      </c>
      <c r="H507">
        <f>Sensitivity!H18</f>
        <v/>
      </c>
    </row>
    <row r="508">
      <c r="A508" t="inlineStr">
        <is>
          <t>shoulders</t>
        </is>
      </c>
      <c r="B508" t="inlineStr">
        <is>
          <t>mystic</t>
        </is>
      </c>
      <c r="C508" t="n">
        <v>2</v>
      </c>
      <c r="D508" t="inlineStr">
        <is>
          <t>Defense Penetration</t>
        </is>
      </c>
      <c r="E508" t="n">
        <v>20</v>
      </c>
      <c r="F508" t="n">
        <v>0.24</v>
      </c>
      <c r="G508" t="b">
        <v>1</v>
      </c>
      <c r="H508">
        <f>Sensitivity!H18</f>
        <v/>
      </c>
    </row>
    <row r="509">
      <c r="A509" t="inlineStr">
        <is>
          <t>shoulders</t>
        </is>
      </c>
      <c r="B509" t="inlineStr">
        <is>
          <t>mystic</t>
        </is>
      </c>
      <c r="C509" t="n">
        <v>2</v>
      </c>
      <c r="D509" t="inlineStr">
        <is>
          <t>Defense Penetration</t>
        </is>
      </c>
      <c r="E509" t="n">
        <v>12</v>
      </c>
      <c r="F509" t="n">
        <v>0.76</v>
      </c>
      <c r="G509" t="b">
        <v>0</v>
      </c>
      <c r="H509">
        <f>Sensitivity!H18</f>
        <v/>
      </c>
    </row>
    <row r="510">
      <c r="A510" t="inlineStr">
        <is>
          <t>shoulders</t>
        </is>
      </c>
      <c r="B510" t="inlineStr">
        <is>
          <t>mystic</t>
        </is>
      </c>
      <c r="C510" t="n">
        <v>3</v>
      </c>
      <c r="D510" t="inlineStr">
        <is>
          <t>Defense Penetration</t>
        </is>
      </c>
      <c r="E510" t="n">
        <v>20</v>
      </c>
      <c r="F510" t="n">
        <v>0.08</v>
      </c>
      <c r="G510" t="b">
        <v>1</v>
      </c>
      <c r="H510">
        <f>Sensitivity!H18</f>
        <v/>
      </c>
    </row>
    <row r="511">
      <c r="A511" t="inlineStr">
        <is>
          <t>shoulders</t>
        </is>
      </c>
      <c r="B511" t="inlineStr">
        <is>
          <t>mystic</t>
        </is>
      </c>
      <c r="C511" t="n">
        <v>3</v>
      </c>
      <c r="D511" t="inlineStr">
        <is>
          <t>Defense Penetration</t>
        </is>
      </c>
      <c r="E511" t="n">
        <v>12</v>
      </c>
      <c r="F511" t="n">
        <v>0.92</v>
      </c>
      <c r="G511" t="b">
        <v>0</v>
      </c>
      <c r="H511">
        <f>Sensitivity!H18</f>
        <v/>
      </c>
    </row>
    <row r="512">
      <c r="A512" t="inlineStr">
        <is>
          <t>legs</t>
        </is>
      </c>
      <c r="B512" t="inlineStr">
        <is>
          <t>epic</t>
        </is>
      </c>
      <c r="C512" t="n">
        <v>1</v>
      </c>
      <c r="D512" t="inlineStr">
        <is>
          <t>Final Damage %</t>
        </is>
      </c>
      <c r="E512" t="n">
        <v>3</v>
      </c>
      <c r="F512" t="n">
        <v>1</v>
      </c>
      <c r="G512" t="b">
        <v>1</v>
      </c>
      <c r="H512">
        <f>Sensitivity!H12</f>
        <v/>
      </c>
    </row>
    <row r="513">
      <c r="A513" t="inlineStr">
        <is>
          <t>legs</t>
        </is>
      </c>
      <c r="B513" t="inlineStr">
        <is>
          <t>epic</t>
        </is>
      </c>
      <c r="C513" t="n">
        <v>2</v>
      </c>
      <c r="D513" t="inlineStr">
        <is>
          <t>Final Damage %</t>
        </is>
      </c>
      <c r="E513" t="n">
        <v>3</v>
      </c>
      <c r="F513" t="n">
        <v>0.24</v>
      </c>
      <c r="G513" t="b">
        <v>1</v>
      </c>
      <c r="H513">
        <f>Sensitivity!H12</f>
        <v/>
      </c>
    </row>
    <row r="514">
      <c r="A514" t="inlineStr">
        <is>
          <t>legs</t>
        </is>
      </c>
      <c r="B514" t="inlineStr">
        <is>
          <t>epic</t>
        </is>
      </c>
      <c r="C514" t="n">
        <v>3</v>
      </c>
      <c r="D514" t="inlineStr">
        <is>
          <t>Final Damage %</t>
        </is>
      </c>
      <c r="E514" t="n">
        <v>3</v>
      </c>
      <c r="F514" t="n">
        <v>0.08</v>
      </c>
      <c r="G514" t="b">
        <v>1</v>
      </c>
      <c r="H514">
        <f>Sensitivity!H12</f>
        <v/>
      </c>
    </row>
    <row r="515">
      <c r="A515" t="inlineStr">
        <is>
          <t>legs</t>
        </is>
      </c>
      <c r="B515" t="inlineStr">
        <is>
          <t>unique</t>
        </is>
      </c>
      <c r="C515" t="n">
        <v>1</v>
      </c>
      <c r="D515" t="inlineStr">
        <is>
          <t>Final Damage %</t>
        </is>
      </c>
      <c r="E515" t="n">
        <v>5</v>
      </c>
      <c r="F515" t="n">
        <v>1</v>
      </c>
      <c r="G515" t="b">
        <v>1</v>
      </c>
      <c r="H515">
        <f>Sensitivity!H12</f>
        <v/>
      </c>
    </row>
    <row r="516">
      <c r="A516" t="inlineStr">
        <is>
          <t>legs</t>
        </is>
      </c>
      <c r="B516" t="inlineStr">
        <is>
          <t>unique</t>
        </is>
      </c>
      <c r="C516" t="n">
        <v>2</v>
      </c>
      <c r="D516" t="inlineStr">
        <is>
          <t>Final Damage %</t>
        </is>
      </c>
      <c r="E516" t="n">
        <v>5</v>
      </c>
      <c r="F516" t="n">
        <v>0.24</v>
      </c>
      <c r="G516" t="b">
        <v>1</v>
      </c>
      <c r="H516">
        <f>Sensitivity!H12</f>
        <v/>
      </c>
    </row>
    <row r="517">
      <c r="A517" t="inlineStr">
        <is>
          <t>legs</t>
        </is>
      </c>
      <c r="B517" t="inlineStr">
        <is>
          <t>unique</t>
        </is>
      </c>
      <c r="C517" t="n">
        <v>2</v>
      </c>
      <c r="D517" t="inlineStr">
        <is>
          <t>Final Damage %</t>
        </is>
      </c>
      <c r="E517" t="n">
        <v>3</v>
      </c>
      <c r="F517" t="n">
        <v>0.76</v>
      </c>
      <c r="G517" t="b">
        <v>0</v>
      </c>
      <c r="H517">
        <f>Sensitivity!H12</f>
        <v/>
      </c>
    </row>
    <row r="518">
      <c r="A518" t="inlineStr">
        <is>
          <t>legs</t>
        </is>
      </c>
      <c r="B518" t="inlineStr">
        <is>
          <t>unique</t>
        </is>
      </c>
      <c r="C518" t="n">
        <v>3</v>
      </c>
      <c r="D518" t="inlineStr">
        <is>
          <t>Final Damage %</t>
        </is>
      </c>
      <c r="E518" t="n">
        <v>5</v>
      </c>
      <c r="F518" t="n">
        <v>0.08</v>
      </c>
      <c r="G518" t="b">
        <v>1</v>
      </c>
      <c r="H518">
        <f>Sensitivity!H12</f>
        <v/>
      </c>
    </row>
    <row r="519">
      <c r="A519" t="inlineStr">
        <is>
          <t>legs</t>
        </is>
      </c>
      <c r="B519" t="inlineStr">
        <is>
          <t>unique</t>
        </is>
      </c>
      <c r="C519" t="n">
        <v>3</v>
      </c>
      <c r="D519" t="inlineStr">
        <is>
          <t>Final Damage %</t>
        </is>
      </c>
      <c r="E519" t="n">
        <v>3</v>
      </c>
      <c r="F519" t="n">
        <v>0.92</v>
      </c>
      <c r="G519" t="b">
        <v>0</v>
      </c>
      <c r="H519">
        <f>Sensitivity!H12</f>
        <v/>
      </c>
    </row>
    <row r="520">
      <c r="A520" t="inlineStr">
        <is>
          <t>legs</t>
        </is>
      </c>
      <c r="B520" t="inlineStr">
        <is>
          <t>legendary</t>
        </is>
      </c>
      <c r="C520" t="n">
        <v>1</v>
      </c>
      <c r="D520" t="inlineStr">
        <is>
          <t>Final Damage %</t>
        </is>
      </c>
      <c r="E520" t="n">
        <v>8</v>
      </c>
      <c r="F520" t="n">
        <v>1</v>
      </c>
      <c r="G520" t="b">
        <v>1</v>
      </c>
      <c r="H520">
        <f>Sensitivity!H12</f>
        <v/>
      </c>
    </row>
    <row r="521">
      <c r="A521" t="inlineStr">
        <is>
          <t>legs</t>
        </is>
      </c>
      <c r="B521" t="inlineStr">
        <is>
          <t>legendary</t>
        </is>
      </c>
      <c r="C521" t="n">
        <v>2</v>
      </c>
      <c r="D521" t="inlineStr">
        <is>
          <t>Final Damage %</t>
        </is>
      </c>
      <c r="E521" t="n">
        <v>8</v>
      </c>
      <c r="F521" t="n">
        <v>0.24</v>
      </c>
      <c r="G521" t="b">
        <v>1</v>
      </c>
      <c r="H521">
        <f>Sensitivity!H12</f>
        <v/>
      </c>
    </row>
    <row r="522">
      <c r="A522" t="inlineStr">
        <is>
          <t>legs</t>
        </is>
      </c>
      <c r="B522" t="inlineStr">
        <is>
          <t>legendary</t>
        </is>
      </c>
      <c r="C522" t="n">
        <v>2</v>
      </c>
      <c r="D522" t="inlineStr">
        <is>
          <t>Final Damage %</t>
        </is>
      </c>
      <c r="E522" t="n">
        <v>5</v>
      </c>
      <c r="F522" t="n">
        <v>0.76</v>
      </c>
      <c r="G522" t="b">
        <v>0</v>
      </c>
      <c r="H522">
        <f>Sensitivity!H12</f>
        <v/>
      </c>
    </row>
    <row r="523">
      <c r="A523" t="inlineStr">
        <is>
          <t>legs</t>
        </is>
      </c>
      <c r="B523" t="inlineStr">
        <is>
          <t>legendary</t>
        </is>
      </c>
      <c r="C523" t="n">
        <v>3</v>
      </c>
      <c r="D523" t="inlineStr">
        <is>
          <t>Final Damage %</t>
        </is>
      </c>
      <c r="E523" t="n">
        <v>8</v>
      </c>
      <c r="F523" t="n">
        <v>0.08</v>
      </c>
      <c r="G523" t="b">
        <v>1</v>
      </c>
      <c r="H523">
        <f>Sensitivity!H12</f>
        <v/>
      </c>
    </row>
    <row r="524">
      <c r="A524" t="inlineStr">
        <is>
          <t>legs</t>
        </is>
      </c>
      <c r="B524" t="inlineStr">
        <is>
          <t>legendary</t>
        </is>
      </c>
      <c r="C524" t="n">
        <v>3</v>
      </c>
      <c r="D524" t="inlineStr">
        <is>
          <t>Final Damage %</t>
        </is>
      </c>
      <c r="E524" t="n">
        <v>5</v>
      </c>
      <c r="F524" t="n">
        <v>0.92</v>
      </c>
      <c r="G524" t="b">
        <v>0</v>
      </c>
      <c r="H524">
        <f>Sensitivity!H12</f>
        <v/>
      </c>
    </row>
    <row r="525">
      <c r="A525" t="inlineStr">
        <is>
          <t>legs</t>
        </is>
      </c>
      <c r="B525" t="inlineStr">
        <is>
          <t>mystic</t>
        </is>
      </c>
      <c r="C525" t="n">
        <v>1</v>
      </c>
      <c r="D525" t="inlineStr">
        <is>
          <t>Final Damage %</t>
        </is>
      </c>
      <c r="E525" t="n">
        <v>12</v>
      </c>
      <c r="F525" t="n">
        <v>1</v>
      </c>
      <c r="G525" t="b">
        <v>1</v>
      </c>
      <c r="H525">
        <f>Sensitivity!H12</f>
        <v/>
      </c>
    </row>
    <row r="526">
      <c r="A526" t="inlineStr">
        <is>
          <t>legs</t>
        </is>
      </c>
      <c r="B526" t="inlineStr">
        <is>
          <t>mystic</t>
        </is>
      </c>
      <c r="C526" t="n">
        <v>2</v>
      </c>
      <c r="D526" t="inlineStr">
        <is>
          <t>Final Damage %</t>
        </is>
      </c>
      <c r="E526" t="n">
        <v>12</v>
      </c>
      <c r="F526" t="n">
        <v>0.24</v>
      </c>
      <c r="G526" t="b">
        <v>1</v>
      </c>
      <c r="H526">
        <f>Sensitivity!H12</f>
        <v/>
      </c>
    </row>
    <row r="527">
      <c r="A527" t="inlineStr">
        <is>
          <t>legs</t>
        </is>
      </c>
      <c r="B527" t="inlineStr">
        <is>
          <t>mystic</t>
        </is>
      </c>
      <c r="C527" t="n">
        <v>2</v>
      </c>
      <c r="D527" t="inlineStr">
        <is>
          <t>Final Damage %</t>
        </is>
      </c>
      <c r="E527" t="n">
        <v>8</v>
      </c>
      <c r="F527" t="n">
        <v>0.76</v>
      </c>
      <c r="G527" t="b">
        <v>0</v>
      </c>
      <c r="H527">
        <f>Sensitivity!H12</f>
        <v/>
      </c>
    </row>
    <row r="528">
      <c r="A528" t="inlineStr">
        <is>
          <t>legs</t>
        </is>
      </c>
      <c r="B528" t="inlineStr">
        <is>
          <t>mystic</t>
        </is>
      </c>
      <c r="C528" t="n">
        <v>3</v>
      </c>
      <c r="D528" t="inlineStr">
        <is>
          <t>Final Damage %</t>
        </is>
      </c>
      <c r="E528" t="n">
        <v>12</v>
      </c>
      <c r="F528" t="n">
        <v>0.08</v>
      </c>
      <c r="G528" t="b">
        <v>1</v>
      </c>
      <c r="H528">
        <f>Sensitivity!H12</f>
        <v/>
      </c>
    </row>
    <row r="529">
      <c r="A529" t="inlineStr">
        <is>
          <t>legs</t>
        </is>
      </c>
      <c r="B529" t="inlineStr">
        <is>
          <t>mystic</t>
        </is>
      </c>
      <c r="C529" t="n">
        <v>3</v>
      </c>
      <c r="D529" t="inlineStr">
        <is>
          <t>Final Damage %</t>
        </is>
      </c>
      <c r="E529" t="n">
        <v>8</v>
      </c>
      <c r="F529" t="n">
        <v>0.92</v>
      </c>
      <c r="G529" t="b">
        <v>0</v>
      </c>
      <c r="H529">
        <f>Sensitivity!H12</f>
        <v/>
      </c>
    </row>
    <row r="530">
      <c r="A530" t="inlineStr">
        <is>
          <t>belt</t>
        </is>
      </c>
      <c r="B530" t="inlineStr">
        <is>
          <t>epic</t>
        </is>
      </c>
      <c r="C530" t="n">
        <v>1</v>
      </c>
      <c r="D530" t="inlineStr">
        <is>
          <t>Buff Duration Increase %</t>
        </is>
      </c>
      <c r="E530" t="n">
        <v>5</v>
      </c>
      <c r="F530" t="n">
        <v>1</v>
      </c>
      <c r="G530" t="b">
        <v>1</v>
      </c>
      <c r="H530">
        <f>Sensitivity!H30</f>
        <v/>
      </c>
    </row>
    <row r="531">
      <c r="A531" t="inlineStr">
        <is>
          <t>belt</t>
        </is>
      </c>
      <c r="B531" t="inlineStr">
        <is>
          <t>epic</t>
        </is>
      </c>
      <c r="C531" t="n">
        <v>2</v>
      </c>
      <c r="D531" t="inlineStr">
        <is>
          <t>Buff Duration Increase %</t>
        </is>
      </c>
      <c r="E531" t="n">
        <v>5</v>
      </c>
      <c r="F531" t="n">
        <v>0.24</v>
      </c>
      <c r="G531" t="b">
        <v>1</v>
      </c>
      <c r="H531">
        <f>Sensitivity!H30</f>
        <v/>
      </c>
    </row>
    <row r="532">
      <c r="A532" t="inlineStr">
        <is>
          <t>belt</t>
        </is>
      </c>
      <c r="B532" t="inlineStr">
        <is>
          <t>epic</t>
        </is>
      </c>
      <c r="C532" t="n">
        <v>3</v>
      </c>
      <c r="D532" t="inlineStr">
        <is>
          <t>Buff Duration Increase %</t>
        </is>
      </c>
      <c r="E532" t="n">
        <v>5</v>
      </c>
      <c r="F532" t="n">
        <v>0.08</v>
      </c>
      <c r="G532" t="b">
        <v>1</v>
      </c>
      <c r="H532">
        <f>Sensitivity!H30</f>
        <v/>
      </c>
    </row>
    <row r="533">
      <c r="A533" t="inlineStr">
        <is>
          <t>belt</t>
        </is>
      </c>
      <c r="B533" t="inlineStr">
        <is>
          <t>unique</t>
        </is>
      </c>
      <c r="C533" t="n">
        <v>1</v>
      </c>
      <c r="D533" t="inlineStr">
        <is>
          <t>Buff Duration Increase %</t>
        </is>
      </c>
      <c r="E533" t="n">
        <v>8</v>
      </c>
      <c r="F533" t="n">
        <v>1</v>
      </c>
      <c r="G533" t="b">
        <v>1</v>
      </c>
      <c r="H533">
        <f>Sensitivity!H30</f>
        <v/>
      </c>
    </row>
    <row r="534">
      <c r="A534" t="inlineStr">
        <is>
          <t>belt</t>
        </is>
      </c>
      <c r="B534" t="inlineStr">
        <is>
          <t>unique</t>
        </is>
      </c>
      <c r="C534" t="n">
        <v>2</v>
      </c>
      <c r="D534" t="inlineStr">
        <is>
          <t>Buff Duration Increase %</t>
        </is>
      </c>
      <c r="E534" t="n">
        <v>8</v>
      </c>
      <c r="F534" t="n">
        <v>0.24</v>
      </c>
      <c r="G534" t="b">
        <v>1</v>
      </c>
      <c r="H534">
        <f>Sensitivity!H30</f>
        <v/>
      </c>
    </row>
    <row r="535">
      <c r="A535" t="inlineStr">
        <is>
          <t>belt</t>
        </is>
      </c>
      <c r="B535" t="inlineStr">
        <is>
          <t>unique</t>
        </is>
      </c>
      <c r="C535" t="n">
        <v>2</v>
      </c>
      <c r="D535" t="inlineStr">
        <is>
          <t>Buff Duration Increase %</t>
        </is>
      </c>
      <c r="E535" t="n">
        <v>5</v>
      </c>
      <c r="F535" t="n">
        <v>0.76</v>
      </c>
      <c r="G535" t="b">
        <v>0</v>
      </c>
      <c r="H535">
        <f>Sensitivity!H30</f>
        <v/>
      </c>
    </row>
    <row r="536">
      <c r="A536" t="inlineStr">
        <is>
          <t>belt</t>
        </is>
      </c>
      <c r="B536" t="inlineStr">
        <is>
          <t>unique</t>
        </is>
      </c>
      <c r="C536" t="n">
        <v>3</v>
      </c>
      <c r="D536" t="inlineStr">
        <is>
          <t>Buff Duration Increase %</t>
        </is>
      </c>
      <c r="E536" t="n">
        <v>8</v>
      </c>
      <c r="F536" t="n">
        <v>0.08</v>
      </c>
      <c r="G536" t="b">
        <v>1</v>
      </c>
      <c r="H536">
        <f>Sensitivity!H30</f>
        <v/>
      </c>
    </row>
    <row r="537">
      <c r="A537" t="inlineStr">
        <is>
          <t>belt</t>
        </is>
      </c>
      <c r="B537" t="inlineStr">
        <is>
          <t>unique</t>
        </is>
      </c>
      <c r="C537" t="n">
        <v>3</v>
      </c>
      <c r="D537" t="inlineStr">
        <is>
          <t>Buff Duration Increase %</t>
        </is>
      </c>
      <c r="E537" t="n">
        <v>5</v>
      </c>
      <c r="F537" t="n">
        <v>0.92</v>
      </c>
      <c r="G537" t="b">
        <v>0</v>
      </c>
      <c r="H537">
        <f>Sensitivity!H30</f>
        <v/>
      </c>
    </row>
    <row r="538">
      <c r="A538" t="inlineStr">
        <is>
          <t>belt</t>
        </is>
      </c>
      <c r="B538" t="inlineStr">
        <is>
          <t>legendary</t>
        </is>
      </c>
      <c r="C538" t="n">
        <v>1</v>
      </c>
      <c r="D538" t="inlineStr">
        <is>
          <t>Buff Duration Increase %</t>
        </is>
      </c>
      <c r="E538" t="n">
        <v>12</v>
      </c>
      <c r="F538" t="n">
        <v>1</v>
      </c>
      <c r="G538" t="b">
        <v>1</v>
      </c>
      <c r="H538">
        <f>Sensitivity!H30</f>
        <v/>
      </c>
    </row>
    <row r="539">
      <c r="A539" t="inlineStr">
        <is>
          <t>belt</t>
        </is>
      </c>
      <c r="B539" t="inlineStr">
        <is>
          <t>legendary</t>
        </is>
      </c>
      <c r="C539" t="n">
        <v>2</v>
      </c>
      <c r="D539" t="inlineStr">
        <is>
          <t>Buff Duration Increase %</t>
        </is>
      </c>
      <c r="E539" t="n">
        <v>12</v>
      </c>
      <c r="F539" t="n">
        <v>0.24</v>
      </c>
      <c r="G539" t="b">
        <v>1</v>
      </c>
      <c r="H539">
        <f>Sensitivity!H30</f>
        <v/>
      </c>
    </row>
    <row r="540">
      <c r="A540" t="inlineStr">
        <is>
          <t>belt</t>
        </is>
      </c>
      <c r="B540" t="inlineStr">
        <is>
          <t>legendary</t>
        </is>
      </c>
      <c r="C540" t="n">
        <v>2</v>
      </c>
      <c r="D540" t="inlineStr">
        <is>
          <t>Buff Duration Increase %</t>
        </is>
      </c>
      <c r="E540" t="n">
        <v>8</v>
      </c>
      <c r="F540" t="n">
        <v>0.76</v>
      </c>
      <c r="G540" t="b">
        <v>0</v>
      </c>
      <c r="H540">
        <f>Sensitivity!H30</f>
        <v/>
      </c>
    </row>
    <row r="541">
      <c r="A541" t="inlineStr">
        <is>
          <t>belt</t>
        </is>
      </c>
      <c r="B541" t="inlineStr">
        <is>
          <t>legendary</t>
        </is>
      </c>
      <c r="C541" t="n">
        <v>3</v>
      </c>
      <c r="D541" t="inlineStr">
        <is>
          <t>Buff Duration Increase %</t>
        </is>
      </c>
      <c r="E541" t="n">
        <v>12</v>
      </c>
      <c r="F541" t="n">
        <v>0.08</v>
      </c>
      <c r="G541" t="b">
        <v>1</v>
      </c>
      <c r="H541">
        <f>Sensitivity!H30</f>
        <v/>
      </c>
    </row>
    <row r="542">
      <c r="A542" t="inlineStr">
        <is>
          <t>belt</t>
        </is>
      </c>
      <c r="B542" t="inlineStr">
        <is>
          <t>legendary</t>
        </is>
      </c>
      <c r="C542" t="n">
        <v>3</v>
      </c>
      <c r="D542" t="inlineStr">
        <is>
          <t>Buff Duration Increase %</t>
        </is>
      </c>
      <c r="E542" t="n">
        <v>8</v>
      </c>
      <c r="F542" t="n">
        <v>0.92</v>
      </c>
      <c r="G542" t="b">
        <v>0</v>
      </c>
      <c r="H542">
        <f>Sensitivity!H30</f>
        <v/>
      </c>
    </row>
    <row r="543">
      <c r="A543" t="inlineStr">
        <is>
          <t>belt</t>
        </is>
      </c>
      <c r="B543" t="inlineStr">
        <is>
          <t>mystic</t>
        </is>
      </c>
      <c r="C543" t="n">
        <v>1</v>
      </c>
      <c r="D543" t="inlineStr">
        <is>
          <t>Buff Duration Increase %</t>
        </is>
      </c>
      <c r="E543" t="n">
        <v>20</v>
      </c>
      <c r="F543" t="n">
        <v>1</v>
      </c>
      <c r="G543" t="b">
        <v>1</v>
      </c>
      <c r="H543">
        <f>Sensitivity!H30</f>
        <v/>
      </c>
    </row>
    <row r="544">
      <c r="A544" t="inlineStr">
        <is>
          <t>belt</t>
        </is>
      </c>
      <c r="B544" t="inlineStr">
        <is>
          <t>mystic</t>
        </is>
      </c>
      <c r="C544" t="n">
        <v>2</v>
      </c>
      <c r="D544" t="inlineStr">
        <is>
          <t>Buff Duration Increase %</t>
        </is>
      </c>
      <c r="E544" t="n">
        <v>20</v>
      </c>
      <c r="F544" t="n">
        <v>0.24</v>
      </c>
      <c r="G544" t="b">
        <v>1</v>
      </c>
      <c r="H544">
        <f>Sensitivity!H30</f>
        <v/>
      </c>
    </row>
    <row r="545">
      <c r="A545" t="inlineStr">
        <is>
          <t>belt</t>
        </is>
      </c>
      <c r="B545" t="inlineStr">
        <is>
          <t>mystic</t>
        </is>
      </c>
      <c r="C545" t="n">
        <v>2</v>
      </c>
      <c r="D545" t="inlineStr">
        <is>
          <t>Buff Duration Increase %</t>
        </is>
      </c>
      <c r="E545" t="n">
        <v>12</v>
      </c>
      <c r="F545" t="n">
        <v>0.76</v>
      </c>
      <c r="G545" t="b">
        <v>0</v>
      </c>
      <c r="H545">
        <f>Sensitivity!H30</f>
        <v/>
      </c>
    </row>
    <row r="546">
      <c r="A546" t="inlineStr">
        <is>
          <t>belt</t>
        </is>
      </c>
      <c r="B546" t="inlineStr">
        <is>
          <t>mystic</t>
        </is>
      </c>
      <c r="C546" t="n">
        <v>3</v>
      </c>
      <c r="D546" t="inlineStr">
        <is>
          <t>Buff Duration Increase %</t>
        </is>
      </c>
      <c r="E546" t="n">
        <v>20</v>
      </c>
      <c r="F546" t="n">
        <v>0.08</v>
      </c>
      <c r="G546" t="b">
        <v>1</v>
      </c>
      <c r="H546">
        <f>Sensitivity!H30</f>
        <v/>
      </c>
    </row>
    <row r="547">
      <c r="A547" t="inlineStr">
        <is>
          <t>belt</t>
        </is>
      </c>
      <c r="B547" t="inlineStr">
        <is>
          <t>mystic</t>
        </is>
      </c>
      <c r="C547" t="n">
        <v>3</v>
      </c>
      <c r="D547" t="inlineStr">
        <is>
          <t>Buff Duration Increase %</t>
        </is>
      </c>
      <c r="E547" t="n">
        <v>12</v>
      </c>
      <c r="F547" t="n">
        <v>0.92</v>
      </c>
      <c r="G547" t="b">
        <v>0</v>
      </c>
      <c r="H547">
        <f>Sensitivity!H30</f>
        <v/>
      </c>
    </row>
    <row r="548">
      <c r="A548" t="inlineStr">
        <is>
          <t>gloves</t>
        </is>
      </c>
      <c r="B548" t="inlineStr">
        <is>
          <t>epic</t>
        </is>
      </c>
      <c r="C548" t="n">
        <v>1</v>
      </c>
      <c r="D548" t="inlineStr">
        <is>
          <t>Critical Damage %</t>
        </is>
      </c>
      <c r="E548" t="n">
        <v>10</v>
      </c>
      <c r="F548" t="n">
        <v>1</v>
      </c>
      <c r="G548" t="b">
        <v>1</v>
      </c>
      <c r="H548">
        <f>Sensitivity!H16</f>
        <v/>
      </c>
    </row>
    <row r="549">
      <c r="A549" t="inlineStr">
        <is>
          <t>gloves</t>
        </is>
      </c>
      <c r="B549" t="inlineStr">
        <is>
          <t>epic</t>
        </is>
      </c>
      <c r="C549" t="n">
        <v>2</v>
      </c>
      <c r="D549" t="inlineStr">
        <is>
          <t>Critical Damage %</t>
        </is>
      </c>
      <c r="E549" t="n">
        <v>10</v>
      </c>
      <c r="F549" t="n">
        <v>0.24</v>
      </c>
      <c r="G549" t="b">
        <v>1</v>
      </c>
      <c r="H549">
        <f>Sensitivity!H16</f>
        <v/>
      </c>
    </row>
    <row r="550">
      <c r="A550" t="inlineStr">
        <is>
          <t>gloves</t>
        </is>
      </c>
      <c r="B550" t="inlineStr">
        <is>
          <t>epic</t>
        </is>
      </c>
      <c r="C550" t="n">
        <v>3</v>
      </c>
      <c r="D550" t="inlineStr">
        <is>
          <t>Critical Damage %</t>
        </is>
      </c>
      <c r="E550" t="n">
        <v>10</v>
      </c>
      <c r="F550" t="n">
        <v>0.08</v>
      </c>
      <c r="G550" t="b">
        <v>1</v>
      </c>
      <c r="H550">
        <f>Sensitivity!H16</f>
        <v/>
      </c>
    </row>
    <row r="551">
      <c r="A551" t="inlineStr">
        <is>
          <t>gloves</t>
        </is>
      </c>
      <c r="B551" t="inlineStr">
        <is>
          <t>unique</t>
        </is>
      </c>
      <c r="C551" t="n">
        <v>1</v>
      </c>
      <c r="D551" t="inlineStr">
        <is>
          <t>Critical Damage %</t>
        </is>
      </c>
      <c r="E551" t="n">
        <v>20</v>
      </c>
      <c r="F551" t="n">
        <v>1</v>
      </c>
      <c r="G551" t="b">
        <v>1</v>
      </c>
      <c r="H551">
        <f>Sensitivity!H16</f>
        <v/>
      </c>
    </row>
    <row r="552">
      <c r="A552" t="inlineStr">
        <is>
          <t>gloves</t>
        </is>
      </c>
      <c r="B552" t="inlineStr">
        <is>
          <t>unique</t>
        </is>
      </c>
      <c r="C552" t="n">
        <v>2</v>
      </c>
      <c r="D552" t="inlineStr">
        <is>
          <t>Critical Damage %</t>
        </is>
      </c>
      <c r="E552" t="n">
        <v>20</v>
      </c>
      <c r="F552" t="n">
        <v>0.24</v>
      </c>
      <c r="G552" t="b">
        <v>1</v>
      </c>
      <c r="H552">
        <f>Sensitivity!H16</f>
        <v/>
      </c>
    </row>
    <row r="553">
      <c r="A553" t="inlineStr">
        <is>
          <t>gloves</t>
        </is>
      </c>
      <c r="B553" t="inlineStr">
        <is>
          <t>unique</t>
        </is>
      </c>
      <c r="C553" t="n">
        <v>2</v>
      </c>
      <c r="D553" t="inlineStr">
        <is>
          <t>Critical Damage %</t>
        </is>
      </c>
      <c r="E553" t="n">
        <v>10</v>
      </c>
      <c r="F553" t="n">
        <v>0.76</v>
      </c>
      <c r="G553" t="b">
        <v>0</v>
      </c>
      <c r="H553">
        <f>Sensitivity!H16</f>
        <v/>
      </c>
    </row>
    <row r="554">
      <c r="A554" t="inlineStr">
        <is>
          <t>gloves</t>
        </is>
      </c>
      <c r="B554" t="inlineStr">
        <is>
          <t>unique</t>
        </is>
      </c>
      <c r="C554" t="n">
        <v>3</v>
      </c>
      <c r="D554" t="inlineStr">
        <is>
          <t>Critical Damage %</t>
        </is>
      </c>
      <c r="E554" t="n">
        <v>20</v>
      </c>
      <c r="F554" t="n">
        <v>0.08</v>
      </c>
      <c r="G554" t="b">
        <v>1</v>
      </c>
      <c r="H554">
        <f>Sensitivity!H16</f>
        <v/>
      </c>
    </row>
    <row r="555">
      <c r="A555" t="inlineStr">
        <is>
          <t>gloves</t>
        </is>
      </c>
      <c r="B555" t="inlineStr">
        <is>
          <t>unique</t>
        </is>
      </c>
      <c r="C555" t="n">
        <v>3</v>
      </c>
      <c r="D555" t="inlineStr">
        <is>
          <t>Critical Damage %</t>
        </is>
      </c>
      <c r="E555" t="n">
        <v>10</v>
      </c>
      <c r="F555" t="n">
        <v>0.92</v>
      </c>
      <c r="G555" t="b">
        <v>0</v>
      </c>
      <c r="H555">
        <f>Sensitivity!H16</f>
        <v/>
      </c>
    </row>
    <row r="556">
      <c r="A556" t="inlineStr">
        <is>
          <t>gloves</t>
        </is>
      </c>
      <c r="B556" t="inlineStr">
        <is>
          <t>legendary</t>
        </is>
      </c>
      <c r="C556" t="n">
        <v>1</v>
      </c>
      <c r="D556" t="inlineStr">
        <is>
          <t>Critical Damage %</t>
        </is>
      </c>
      <c r="E556" t="n">
        <v>30</v>
      </c>
      <c r="F556" t="n">
        <v>1</v>
      </c>
      <c r="G556" t="b">
        <v>1</v>
      </c>
      <c r="H556">
        <f>Sensitivity!H16</f>
        <v/>
      </c>
    </row>
    <row r="557">
      <c r="A557" t="inlineStr">
        <is>
          <t>gloves</t>
        </is>
      </c>
      <c r="B557" t="inlineStr">
        <is>
          <t>legendary</t>
        </is>
      </c>
      <c r="C557" t="n">
        <v>2</v>
      </c>
      <c r="D557" t="inlineStr">
        <is>
          <t>Critical Damage %</t>
        </is>
      </c>
      <c r="E557" t="n">
        <v>30</v>
      </c>
      <c r="F557" t="n">
        <v>0.24</v>
      </c>
      <c r="G557" t="b">
        <v>1</v>
      </c>
      <c r="H557">
        <f>Sensitivity!H16</f>
        <v/>
      </c>
    </row>
    <row r="558">
      <c r="A558" t="inlineStr">
        <is>
          <t>gloves</t>
        </is>
      </c>
      <c r="B558" t="inlineStr">
        <is>
          <t>legendary</t>
        </is>
      </c>
      <c r="C558" t="n">
        <v>2</v>
      </c>
      <c r="D558" t="inlineStr">
        <is>
          <t>Critical Damage %</t>
        </is>
      </c>
      <c r="E558" t="n">
        <v>20</v>
      </c>
      <c r="F558" t="n">
        <v>0.76</v>
      </c>
      <c r="G558" t="b">
        <v>0</v>
      </c>
      <c r="H558">
        <f>Sensitivity!H16</f>
        <v/>
      </c>
    </row>
    <row r="559">
      <c r="A559" t="inlineStr">
        <is>
          <t>gloves</t>
        </is>
      </c>
      <c r="B559" t="inlineStr">
        <is>
          <t>legendary</t>
        </is>
      </c>
      <c r="C559" t="n">
        <v>3</v>
      </c>
      <c r="D559" t="inlineStr">
        <is>
          <t>Critical Damage %</t>
        </is>
      </c>
      <c r="E559" t="n">
        <v>30</v>
      </c>
      <c r="F559" t="n">
        <v>0.08</v>
      </c>
      <c r="G559" t="b">
        <v>1</v>
      </c>
      <c r="H559">
        <f>Sensitivity!H16</f>
        <v/>
      </c>
    </row>
    <row r="560">
      <c r="A560" t="inlineStr">
        <is>
          <t>gloves</t>
        </is>
      </c>
      <c r="B560" t="inlineStr">
        <is>
          <t>legendary</t>
        </is>
      </c>
      <c r="C560" t="n">
        <v>3</v>
      </c>
      <c r="D560" t="inlineStr">
        <is>
          <t>Critical Damage %</t>
        </is>
      </c>
      <c r="E560" t="n">
        <v>20</v>
      </c>
      <c r="F560" t="n">
        <v>0.92</v>
      </c>
      <c r="G560" t="b">
        <v>0</v>
      </c>
      <c r="H560">
        <f>Sensitivity!H16</f>
        <v/>
      </c>
    </row>
    <row r="561">
      <c r="A561" t="inlineStr">
        <is>
          <t>gloves</t>
        </is>
      </c>
      <c r="B561" t="inlineStr">
        <is>
          <t>mystic</t>
        </is>
      </c>
      <c r="C561" t="n">
        <v>1</v>
      </c>
      <c r="D561" t="inlineStr">
        <is>
          <t>Critical Damage %</t>
        </is>
      </c>
      <c r="E561" t="n">
        <v>50</v>
      </c>
      <c r="F561" t="n">
        <v>1</v>
      </c>
      <c r="G561" t="b">
        <v>1</v>
      </c>
      <c r="H561">
        <f>Sensitivity!H16</f>
        <v/>
      </c>
    </row>
    <row r="562">
      <c r="A562" t="inlineStr">
        <is>
          <t>gloves</t>
        </is>
      </c>
      <c r="B562" t="inlineStr">
        <is>
          <t>mystic</t>
        </is>
      </c>
      <c r="C562" t="n">
        <v>2</v>
      </c>
      <c r="D562" t="inlineStr">
        <is>
          <t>Critical Damage %</t>
        </is>
      </c>
      <c r="E562" t="n">
        <v>50</v>
      </c>
      <c r="F562" t="n">
        <v>0.24</v>
      </c>
      <c r="G562" t="b">
        <v>1</v>
      </c>
      <c r="H562">
        <f>Sensitivity!H16</f>
        <v/>
      </c>
    </row>
    <row r="563">
      <c r="A563" t="inlineStr">
        <is>
          <t>gloves</t>
        </is>
      </c>
      <c r="B563" t="inlineStr">
        <is>
          <t>mystic</t>
        </is>
      </c>
      <c r="C563" t="n">
        <v>2</v>
      </c>
      <c r="D563" t="inlineStr">
        <is>
          <t>Critical Damage %</t>
        </is>
      </c>
      <c r="E563" t="n">
        <v>30</v>
      </c>
      <c r="F563" t="n">
        <v>0.76</v>
      </c>
      <c r="G563" t="b">
        <v>0</v>
      </c>
      <c r="H563">
        <f>Sensitivity!H16</f>
        <v/>
      </c>
    </row>
    <row r="564">
      <c r="A564" t="inlineStr">
        <is>
          <t>gloves</t>
        </is>
      </c>
      <c r="B564" t="inlineStr">
        <is>
          <t>mystic</t>
        </is>
      </c>
      <c r="C564" t="n">
        <v>3</v>
      </c>
      <c r="D564" t="inlineStr">
        <is>
          <t>Critical Damage %</t>
        </is>
      </c>
      <c r="E564" t="n">
        <v>50</v>
      </c>
      <c r="F564" t="n">
        <v>0.08</v>
      </c>
      <c r="G564" t="b">
        <v>1</v>
      </c>
      <c r="H564">
        <f>Sensitivity!H16</f>
        <v/>
      </c>
    </row>
    <row r="565">
      <c r="A565" t="inlineStr">
        <is>
          <t>gloves</t>
        </is>
      </c>
      <c r="B565" t="inlineStr">
        <is>
          <t>mystic</t>
        </is>
      </c>
      <c r="C565" t="n">
        <v>3</v>
      </c>
      <c r="D565" t="inlineStr">
        <is>
          <t>Critical Damage %</t>
        </is>
      </c>
      <c r="E565" t="n">
        <v>30</v>
      </c>
      <c r="F565" t="n">
        <v>0.92</v>
      </c>
      <c r="G565" t="b">
        <v>0</v>
      </c>
      <c r="H565">
        <f>Sensitivity!H16</f>
        <v/>
      </c>
    </row>
    <row r="566">
      <c r="A566" t="inlineStr">
        <is>
          <t>boots</t>
        </is>
      </c>
      <c r="B566" t="inlineStr">
        <is>
          <t>epic</t>
        </is>
      </c>
      <c r="C566" t="n">
        <v>1</v>
      </c>
      <c r="D566" t="inlineStr">
        <is>
          <t>Companion Summoning Time Increase %</t>
        </is>
      </c>
      <c r="E566" t="n">
        <v>5</v>
      </c>
      <c r="F566" t="n">
        <v>1</v>
      </c>
      <c r="G566" t="b">
        <v>1</v>
      </c>
      <c r="H566">
        <f>Sensitivity!H16</f>
        <v/>
      </c>
    </row>
    <row r="567">
      <c r="A567" t="inlineStr">
        <is>
          <t>boots</t>
        </is>
      </c>
      <c r="B567" t="inlineStr">
        <is>
          <t>epic</t>
        </is>
      </c>
      <c r="C567" t="n">
        <v>2</v>
      </c>
      <c r="D567" t="inlineStr">
        <is>
          <t>Companion Summoning Time Increase %</t>
        </is>
      </c>
      <c r="E567" t="n">
        <v>5</v>
      </c>
      <c r="F567" t="n">
        <v>0.24</v>
      </c>
      <c r="G567" t="b">
        <v>1</v>
      </c>
      <c r="H567">
        <f>Sensitivity!H16</f>
        <v/>
      </c>
    </row>
    <row r="568">
      <c r="A568" t="inlineStr">
        <is>
          <t>boots</t>
        </is>
      </c>
      <c r="B568" t="inlineStr">
        <is>
          <t>epic</t>
        </is>
      </c>
      <c r="C568" t="n">
        <v>3</v>
      </c>
      <c r="D568" t="inlineStr">
        <is>
          <t>Companion Summoning Time Increase %</t>
        </is>
      </c>
      <c r="E568" t="n">
        <v>5</v>
      </c>
      <c r="F568" t="n">
        <v>0.08</v>
      </c>
      <c r="G568" t="b">
        <v>1</v>
      </c>
      <c r="H568">
        <f>Sensitivity!H16</f>
        <v/>
      </c>
    </row>
    <row r="569">
      <c r="A569" t="inlineStr">
        <is>
          <t>boots</t>
        </is>
      </c>
      <c r="B569" t="inlineStr">
        <is>
          <t>unique</t>
        </is>
      </c>
      <c r="C569" t="n">
        <v>1</v>
      </c>
      <c r="D569" t="inlineStr">
        <is>
          <t>Companion Summoning Time Increase %</t>
        </is>
      </c>
      <c r="E569" t="n">
        <v>8</v>
      </c>
      <c r="F569" t="n">
        <v>1</v>
      </c>
      <c r="G569" t="b">
        <v>1</v>
      </c>
      <c r="H569">
        <f>Sensitivity!H16</f>
        <v/>
      </c>
    </row>
    <row r="570">
      <c r="A570" t="inlineStr">
        <is>
          <t>boots</t>
        </is>
      </c>
      <c r="B570" t="inlineStr">
        <is>
          <t>unique</t>
        </is>
      </c>
      <c r="C570" t="n">
        <v>2</v>
      </c>
      <c r="D570" t="inlineStr">
        <is>
          <t>Companion Summoning Time Increase %</t>
        </is>
      </c>
      <c r="E570" t="n">
        <v>8</v>
      </c>
      <c r="F570" t="n">
        <v>0.24</v>
      </c>
      <c r="G570" t="b">
        <v>1</v>
      </c>
      <c r="H570">
        <f>Sensitivity!H16</f>
        <v/>
      </c>
    </row>
    <row r="571">
      <c r="A571" t="inlineStr">
        <is>
          <t>boots</t>
        </is>
      </c>
      <c r="B571" t="inlineStr">
        <is>
          <t>unique</t>
        </is>
      </c>
      <c r="C571" t="n">
        <v>2</v>
      </c>
      <c r="D571" t="inlineStr">
        <is>
          <t>Companion Summoning Time Increase %</t>
        </is>
      </c>
      <c r="E571" t="n">
        <v>5</v>
      </c>
      <c r="F571" t="n">
        <v>0.76</v>
      </c>
      <c r="G571" t="b">
        <v>0</v>
      </c>
      <c r="H571">
        <f>Sensitivity!H16</f>
        <v/>
      </c>
    </row>
    <row r="572">
      <c r="A572" t="inlineStr">
        <is>
          <t>boots</t>
        </is>
      </c>
      <c r="B572" t="inlineStr">
        <is>
          <t>unique</t>
        </is>
      </c>
      <c r="C572" t="n">
        <v>3</v>
      </c>
      <c r="D572" t="inlineStr">
        <is>
          <t>Companion Summoning Time Increase %</t>
        </is>
      </c>
      <c r="E572" t="n">
        <v>8</v>
      </c>
      <c r="F572" t="n">
        <v>0.08</v>
      </c>
      <c r="G572" t="b">
        <v>1</v>
      </c>
      <c r="H572">
        <f>Sensitivity!H16</f>
        <v/>
      </c>
    </row>
    <row r="573">
      <c r="A573" t="inlineStr">
        <is>
          <t>boots</t>
        </is>
      </c>
      <c r="B573" t="inlineStr">
        <is>
          <t>unique</t>
        </is>
      </c>
      <c r="C573" t="n">
        <v>3</v>
      </c>
      <c r="D573" t="inlineStr">
        <is>
          <t>Companion Summoning Time Increase %</t>
        </is>
      </c>
      <c r="E573" t="n">
        <v>5</v>
      </c>
      <c r="F573" t="n">
        <v>0.92</v>
      </c>
      <c r="G573" t="b">
        <v>0</v>
      </c>
      <c r="H573">
        <f>Sensitivity!H16</f>
        <v/>
      </c>
    </row>
    <row r="574">
      <c r="A574" t="inlineStr">
        <is>
          <t>boots</t>
        </is>
      </c>
      <c r="B574" t="inlineStr">
        <is>
          <t>legendary</t>
        </is>
      </c>
      <c r="C574" t="n">
        <v>1</v>
      </c>
      <c r="D574" t="inlineStr">
        <is>
          <t>Companion Summoning Time Increase %</t>
        </is>
      </c>
      <c r="E574" t="n">
        <v>12</v>
      </c>
      <c r="F574" t="n">
        <v>1</v>
      </c>
      <c r="G574" t="b">
        <v>1</v>
      </c>
      <c r="H574">
        <f>Sensitivity!H16</f>
        <v/>
      </c>
    </row>
    <row r="575">
      <c r="A575" t="inlineStr">
        <is>
          <t>boots</t>
        </is>
      </c>
      <c r="B575" t="inlineStr">
        <is>
          <t>legendary</t>
        </is>
      </c>
      <c r="C575" t="n">
        <v>2</v>
      </c>
      <c r="D575" t="inlineStr">
        <is>
          <t>Companion Summoning Time Increase %</t>
        </is>
      </c>
      <c r="E575" t="n">
        <v>12</v>
      </c>
      <c r="F575" t="n">
        <v>0.24</v>
      </c>
      <c r="G575" t="b">
        <v>1</v>
      </c>
      <c r="H575">
        <f>Sensitivity!H16</f>
        <v/>
      </c>
    </row>
    <row r="576">
      <c r="A576" t="inlineStr">
        <is>
          <t>boots</t>
        </is>
      </c>
      <c r="B576" t="inlineStr">
        <is>
          <t>legendary</t>
        </is>
      </c>
      <c r="C576" t="n">
        <v>2</v>
      </c>
      <c r="D576" t="inlineStr">
        <is>
          <t>Companion Summoning Time Increase %</t>
        </is>
      </c>
      <c r="E576" t="n">
        <v>8</v>
      </c>
      <c r="F576" t="n">
        <v>0.76</v>
      </c>
      <c r="G576" t="b">
        <v>0</v>
      </c>
      <c r="H576">
        <f>Sensitivity!H16</f>
        <v/>
      </c>
    </row>
    <row r="577">
      <c r="A577" t="inlineStr">
        <is>
          <t>boots</t>
        </is>
      </c>
      <c r="B577" t="inlineStr">
        <is>
          <t>legendary</t>
        </is>
      </c>
      <c r="C577" t="n">
        <v>3</v>
      </c>
      <c r="D577" t="inlineStr">
        <is>
          <t>Companion Summoning Time Increase %</t>
        </is>
      </c>
      <c r="E577" t="n">
        <v>12</v>
      </c>
      <c r="F577" t="n">
        <v>0.08</v>
      </c>
      <c r="G577" t="b">
        <v>1</v>
      </c>
      <c r="H577">
        <f>Sensitivity!H16</f>
        <v/>
      </c>
    </row>
    <row r="578">
      <c r="A578" t="inlineStr">
        <is>
          <t>boots</t>
        </is>
      </c>
      <c r="B578" t="inlineStr">
        <is>
          <t>legendary</t>
        </is>
      </c>
      <c r="C578" t="n">
        <v>3</v>
      </c>
      <c r="D578" t="inlineStr">
        <is>
          <t>Companion Summoning Time Increase %</t>
        </is>
      </c>
      <c r="E578" t="n">
        <v>8</v>
      </c>
      <c r="F578" t="n">
        <v>0.92</v>
      </c>
      <c r="G578" t="b">
        <v>0</v>
      </c>
      <c r="H578">
        <f>Sensitivity!H16</f>
        <v/>
      </c>
    </row>
    <row r="579">
      <c r="A579" t="inlineStr">
        <is>
          <t>boots</t>
        </is>
      </c>
      <c r="B579" t="inlineStr">
        <is>
          <t>mystic</t>
        </is>
      </c>
      <c r="C579" t="n">
        <v>1</v>
      </c>
      <c r="D579" t="inlineStr">
        <is>
          <t>Companion Summoning Time Increase %</t>
        </is>
      </c>
      <c r="E579" t="n">
        <v>20</v>
      </c>
      <c r="F579" t="n">
        <v>1</v>
      </c>
      <c r="G579" t="b">
        <v>1</v>
      </c>
      <c r="H579">
        <f>Sensitivity!H16</f>
        <v/>
      </c>
    </row>
    <row r="580">
      <c r="A580" t="inlineStr">
        <is>
          <t>boots</t>
        </is>
      </c>
      <c r="B580" t="inlineStr">
        <is>
          <t>mystic</t>
        </is>
      </c>
      <c r="C580" t="n">
        <v>2</v>
      </c>
      <c r="D580" t="inlineStr">
        <is>
          <t>Companion Summoning Time Increase %</t>
        </is>
      </c>
      <c r="E580" t="n">
        <v>20</v>
      </c>
      <c r="F580" t="n">
        <v>0.24</v>
      </c>
      <c r="G580" t="b">
        <v>1</v>
      </c>
      <c r="H580">
        <f>Sensitivity!H16</f>
        <v/>
      </c>
    </row>
    <row r="581">
      <c r="A581" t="inlineStr">
        <is>
          <t>boots</t>
        </is>
      </c>
      <c r="B581" t="inlineStr">
        <is>
          <t>mystic</t>
        </is>
      </c>
      <c r="C581" t="n">
        <v>2</v>
      </c>
      <c r="D581" t="inlineStr">
        <is>
          <t>Companion Summoning Time Increase %</t>
        </is>
      </c>
      <c r="E581" t="n">
        <v>12</v>
      </c>
      <c r="F581" t="n">
        <v>0.76</v>
      </c>
      <c r="G581" t="b">
        <v>0</v>
      </c>
      <c r="H581">
        <f>Sensitivity!H16</f>
        <v/>
      </c>
    </row>
    <row r="582">
      <c r="A582" t="inlineStr">
        <is>
          <t>boots</t>
        </is>
      </c>
      <c r="B582" t="inlineStr">
        <is>
          <t>mystic</t>
        </is>
      </c>
      <c r="C582" t="n">
        <v>3</v>
      </c>
      <c r="D582" t="inlineStr">
        <is>
          <t>Companion Summoning Time Increase %</t>
        </is>
      </c>
      <c r="E582" t="n">
        <v>20</v>
      </c>
      <c r="F582" t="n">
        <v>0.08</v>
      </c>
      <c r="G582" t="b">
        <v>1</v>
      </c>
      <c r="H582">
        <f>Sensitivity!H16</f>
        <v/>
      </c>
    </row>
    <row r="583">
      <c r="A583" t="inlineStr">
        <is>
          <t>boots</t>
        </is>
      </c>
      <c r="B583" t="inlineStr">
        <is>
          <t>mystic</t>
        </is>
      </c>
      <c r="C583" t="n">
        <v>3</v>
      </c>
      <c r="D583" t="inlineStr">
        <is>
          <t>Companion Summoning Time Increase %</t>
        </is>
      </c>
      <c r="E583" t="n">
        <v>12</v>
      </c>
      <c r="F583" t="n">
        <v>0.92</v>
      </c>
      <c r="G583" t="b">
        <v>0</v>
      </c>
      <c r="H583">
        <f>Sensitivity!H16</f>
        <v/>
      </c>
    </row>
    <row r="584">
      <c r="A584" t="inlineStr">
        <is>
          <t>ring</t>
        </is>
      </c>
      <c r="B584" t="inlineStr">
        <is>
          <t>epic</t>
        </is>
      </c>
      <c r="C584" t="n">
        <v>1</v>
      </c>
      <c r="D584" t="inlineStr">
        <is>
          <t>All Skill Level</t>
        </is>
      </c>
      <c r="E584" t="n">
        <v>5</v>
      </c>
      <c r="F584" t="n">
        <v>1</v>
      </c>
      <c r="G584" t="b">
        <v>1</v>
      </c>
      <c r="H584">
        <f>Sensitivity!H25</f>
        <v/>
      </c>
    </row>
    <row r="585">
      <c r="A585" t="inlineStr">
        <is>
          <t>ring</t>
        </is>
      </c>
      <c r="B585" t="inlineStr">
        <is>
          <t>epic</t>
        </is>
      </c>
      <c r="C585" t="n">
        <v>2</v>
      </c>
      <c r="D585" t="inlineStr">
        <is>
          <t>All Skill Level</t>
        </is>
      </c>
      <c r="E585" t="n">
        <v>5</v>
      </c>
      <c r="F585" t="n">
        <v>0.24</v>
      </c>
      <c r="G585" t="b">
        <v>1</v>
      </c>
      <c r="H585">
        <f>Sensitivity!H25</f>
        <v/>
      </c>
    </row>
    <row r="586">
      <c r="A586" t="inlineStr">
        <is>
          <t>ring</t>
        </is>
      </c>
      <c r="B586" t="inlineStr">
        <is>
          <t>epic</t>
        </is>
      </c>
      <c r="C586" t="n">
        <v>3</v>
      </c>
      <c r="D586" t="inlineStr">
        <is>
          <t>All Skill Level</t>
        </is>
      </c>
      <c r="E586" t="n">
        <v>5</v>
      </c>
      <c r="F586" t="n">
        <v>0.08</v>
      </c>
      <c r="G586" t="b">
        <v>1</v>
      </c>
      <c r="H586">
        <f>Sensitivity!H25</f>
        <v/>
      </c>
    </row>
    <row r="587">
      <c r="A587" t="inlineStr">
        <is>
          <t>ring</t>
        </is>
      </c>
      <c r="B587" t="inlineStr">
        <is>
          <t>unique</t>
        </is>
      </c>
      <c r="C587" t="n">
        <v>1</v>
      </c>
      <c r="D587" t="inlineStr">
        <is>
          <t>All Skill Level</t>
        </is>
      </c>
      <c r="E587" t="n">
        <v>8</v>
      </c>
      <c r="F587" t="n">
        <v>1</v>
      </c>
      <c r="G587" t="b">
        <v>1</v>
      </c>
      <c r="H587">
        <f>Sensitivity!H25</f>
        <v/>
      </c>
    </row>
    <row r="588">
      <c r="A588" t="inlineStr">
        <is>
          <t>ring</t>
        </is>
      </c>
      <c r="B588" t="inlineStr">
        <is>
          <t>unique</t>
        </is>
      </c>
      <c r="C588" t="n">
        <v>2</v>
      </c>
      <c r="D588" t="inlineStr">
        <is>
          <t>All Skill Level</t>
        </is>
      </c>
      <c r="E588" t="n">
        <v>8</v>
      </c>
      <c r="F588" t="n">
        <v>0.24</v>
      </c>
      <c r="G588" t="b">
        <v>1</v>
      </c>
      <c r="H588">
        <f>Sensitivity!H25</f>
        <v/>
      </c>
    </row>
    <row r="589">
      <c r="A589" t="inlineStr">
        <is>
          <t>ring</t>
        </is>
      </c>
      <c r="B589" t="inlineStr">
        <is>
          <t>unique</t>
        </is>
      </c>
      <c r="C589" t="n">
        <v>2</v>
      </c>
      <c r="D589" t="inlineStr">
        <is>
          <t>All Skill Level</t>
        </is>
      </c>
      <c r="E589" t="n">
        <v>5</v>
      </c>
      <c r="F589" t="n">
        <v>0.76</v>
      </c>
      <c r="G589" t="b">
        <v>0</v>
      </c>
      <c r="H589">
        <f>Sensitivity!H25</f>
        <v/>
      </c>
    </row>
    <row r="590">
      <c r="A590" t="inlineStr">
        <is>
          <t>ring</t>
        </is>
      </c>
      <c r="B590" t="inlineStr">
        <is>
          <t>unique</t>
        </is>
      </c>
      <c r="C590" t="n">
        <v>3</v>
      </c>
      <c r="D590" t="inlineStr">
        <is>
          <t>All Skill Level</t>
        </is>
      </c>
      <c r="E590" t="n">
        <v>8</v>
      </c>
      <c r="F590" t="n">
        <v>0.08</v>
      </c>
      <c r="G590" t="b">
        <v>1</v>
      </c>
      <c r="H590">
        <f>Sensitivity!H25</f>
        <v/>
      </c>
    </row>
    <row r="591">
      <c r="A591" t="inlineStr">
        <is>
          <t>ring</t>
        </is>
      </c>
      <c r="B591" t="inlineStr">
        <is>
          <t>unique</t>
        </is>
      </c>
      <c r="C591" t="n">
        <v>3</v>
      </c>
      <c r="D591" t="inlineStr">
        <is>
          <t>All Skill Level</t>
        </is>
      </c>
      <c r="E591" t="n">
        <v>5</v>
      </c>
      <c r="F591" t="n">
        <v>0.92</v>
      </c>
      <c r="G591" t="b">
        <v>0</v>
      </c>
      <c r="H591">
        <f>Sensitivity!H25</f>
        <v/>
      </c>
    </row>
    <row r="592">
      <c r="A592" t="inlineStr">
        <is>
          <t>ring</t>
        </is>
      </c>
      <c r="B592" t="inlineStr">
        <is>
          <t>legendary</t>
        </is>
      </c>
      <c r="C592" t="n">
        <v>1</v>
      </c>
      <c r="D592" t="inlineStr">
        <is>
          <t>All Skill Level</t>
        </is>
      </c>
      <c r="E592" t="n">
        <v>12</v>
      </c>
      <c r="F592" t="n">
        <v>1</v>
      </c>
      <c r="G592" t="b">
        <v>1</v>
      </c>
      <c r="H592">
        <f>Sensitivity!H25</f>
        <v/>
      </c>
    </row>
    <row r="593">
      <c r="A593" t="inlineStr">
        <is>
          <t>ring</t>
        </is>
      </c>
      <c r="B593" t="inlineStr">
        <is>
          <t>legendary</t>
        </is>
      </c>
      <c r="C593" t="n">
        <v>2</v>
      </c>
      <c r="D593" t="inlineStr">
        <is>
          <t>All Skill Level</t>
        </is>
      </c>
      <c r="E593" t="n">
        <v>12</v>
      </c>
      <c r="F593" t="n">
        <v>0.24</v>
      </c>
      <c r="G593" t="b">
        <v>1</v>
      </c>
      <c r="H593">
        <f>Sensitivity!H25</f>
        <v/>
      </c>
    </row>
    <row r="594">
      <c r="A594" t="inlineStr">
        <is>
          <t>ring</t>
        </is>
      </c>
      <c r="B594" t="inlineStr">
        <is>
          <t>legendary</t>
        </is>
      </c>
      <c r="C594" t="n">
        <v>2</v>
      </c>
      <c r="D594" t="inlineStr">
        <is>
          <t>All Skill Level</t>
        </is>
      </c>
      <c r="E594" t="n">
        <v>8</v>
      </c>
      <c r="F594" t="n">
        <v>0.76</v>
      </c>
      <c r="G594" t="b">
        <v>0</v>
      </c>
      <c r="H594">
        <f>Sensitivity!H25</f>
        <v/>
      </c>
    </row>
    <row r="595">
      <c r="A595" t="inlineStr">
        <is>
          <t>ring</t>
        </is>
      </c>
      <c r="B595" t="inlineStr">
        <is>
          <t>legendary</t>
        </is>
      </c>
      <c r="C595" t="n">
        <v>3</v>
      </c>
      <c r="D595" t="inlineStr">
        <is>
          <t>All Skill Level</t>
        </is>
      </c>
      <c r="E595" t="n">
        <v>12</v>
      </c>
      <c r="F595" t="n">
        <v>0.08</v>
      </c>
      <c r="G595" t="b">
        <v>1</v>
      </c>
      <c r="H595">
        <f>Sensitivity!H25</f>
        <v/>
      </c>
    </row>
    <row r="596">
      <c r="A596" t="inlineStr">
        <is>
          <t>ring</t>
        </is>
      </c>
      <c r="B596" t="inlineStr">
        <is>
          <t>legendary</t>
        </is>
      </c>
      <c r="C596" t="n">
        <v>3</v>
      </c>
      <c r="D596" t="inlineStr">
        <is>
          <t>All Skill Level</t>
        </is>
      </c>
      <c r="E596" t="n">
        <v>8</v>
      </c>
      <c r="F596" t="n">
        <v>0.92</v>
      </c>
      <c r="G596" t="b">
        <v>0</v>
      </c>
      <c r="H596">
        <f>Sensitivity!H25</f>
        <v/>
      </c>
    </row>
    <row r="597">
      <c r="A597" t="inlineStr">
        <is>
          <t>ring</t>
        </is>
      </c>
      <c r="B597" t="inlineStr">
        <is>
          <t>mystic</t>
        </is>
      </c>
      <c r="C597" t="n">
        <v>1</v>
      </c>
      <c r="D597" t="inlineStr">
        <is>
          <t>All Skill Level</t>
        </is>
      </c>
      <c r="E597" t="n">
        <v>16</v>
      </c>
      <c r="F597" t="n">
        <v>1</v>
      </c>
      <c r="G597" t="b">
        <v>1</v>
      </c>
      <c r="H597">
        <f>Sensitivity!H25</f>
        <v/>
      </c>
    </row>
    <row r="598">
      <c r="A598" t="inlineStr">
        <is>
          <t>ring</t>
        </is>
      </c>
      <c r="B598" t="inlineStr">
        <is>
          <t>mystic</t>
        </is>
      </c>
      <c r="C598" t="n">
        <v>2</v>
      </c>
      <c r="D598" t="inlineStr">
        <is>
          <t>All Skill Level</t>
        </is>
      </c>
      <c r="E598" t="n">
        <v>16</v>
      </c>
      <c r="F598" t="n">
        <v>0.24</v>
      </c>
      <c r="G598" t="b">
        <v>1</v>
      </c>
      <c r="H598">
        <f>Sensitivity!H25</f>
        <v/>
      </c>
    </row>
    <row r="599">
      <c r="A599" t="inlineStr">
        <is>
          <t>ring</t>
        </is>
      </c>
      <c r="B599" t="inlineStr">
        <is>
          <t>mystic</t>
        </is>
      </c>
      <c r="C599" t="n">
        <v>2</v>
      </c>
      <c r="D599" t="inlineStr">
        <is>
          <t>All Skill Level</t>
        </is>
      </c>
      <c r="E599" t="n">
        <v>12</v>
      </c>
      <c r="F599" t="n">
        <v>0.76</v>
      </c>
      <c r="G599" t="b">
        <v>0</v>
      </c>
      <c r="H599">
        <f>Sensitivity!H25</f>
        <v/>
      </c>
    </row>
    <row r="600">
      <c r="A600" t="inlineStr">
        <is>
          <t>ring</t>
        </is>
      </c>
      <c r="B600" t="inlineStr">
        <is>
          <t>mystic</t>
        </is>
      </c>
      <c r="C600" t="n">
        <v>3</v>
      </c>
      <c r="D600" t="inlineStr">
        <is>
          <t>All Skill Level</t>
        </is>
      </c>
      <c r="E600" t="n">
        <v>16</v>
      </c>
      <c r="F600" t="n">
        <v>0.08</v>
      </c>
      <c r="G600" t="b">
        <v>1</v>
      </c>
      <c r="H600">
        <f>Sensitivity!H25</f>
        <v/>
      </c>
    </row>
    <row r="601">
      <c r="A601" t="inlineStr">
        <is>
          <t>ring</t>
        </is>
      </c>
      <c r="B601" t="inlineStr">
        <is>
          <t>mystic</t>
        </is>
      </c>
      <c r="C601" t="n">
        <v>3</v>
      </c>
      <c r="D601" t="inlineStr">
        <is>
          <t>All Skill Level</t>
        </is>
      </c>
      <c r="E601" t="n">
        <v>12</v>
      </c>
      <c r="F601" t="n">
        <v>0.92</v>
      </c>
      <c r="G601" t="b">
        <v>0</v>
      </c>
      <c r="H601">
        <f>Sensitivity!H25</f>
        <v/>
      </c>
    </row>
    <row r="602">
      <c r="A602" t="inlineStr">
        <is>
          <t>neck</t>
        </is>
      </c>
      <c r="B602" t="inlineStr">
        <is>
          <t>epic</t>
        </is>
      </c>
      <c r="C602" t="n">
        <v>1</v>
      </c>
      <c r="D602" t="inlineStr">
        <is>
          <t>All Skill Level</t>
        </is>
      </c>
      <c r="E602" t="n">
        <v>5</v>
      </c>
      <c r="F602" t="n">
        <v>1</v>
      </c>
      <c r="G602" t="b">
        <v>1</v>
      </c>
      <c r="H602">
        <f>Sensitivity!H25</f>
        <v/>
      </c>
    </row>
    <row r="603">
      <c r="A603" t="inlineStr">
        <is>
          <t>neck</t>
        </is>
      </c>
      <c r="B603" t="inlineStr">
        <is>
          <t>epic</t>
        </is>
      </c>
      <c r="C603" t="n">
        <v>2</v>
      </c>
      <c r="D603" t="inlineStr">
        <is>
          <t>All Skill Level</t>
        </is>
      </c>
      <c r="E603" t="n">
        <v>5</v>
      </c>
      <c r="F603" t="n">
        <v>0.24</v>
      </c>
      <c r="G603" t="b">
        <v>1</v>
      </c>
      <c r="H603">
        <f>Sensitivity!H25</f>
        <v/>
      </c>
    </row>
    <row r="604">
      <c r="A604" t="inlineStr">
        <is>
          <t>neck</t>
        </is>
      </c>
      <c r="B604" t="inlineStr">
        <is>
          <t>epic</t>
        </is>
      </c>
      <c r="C604" t="n">
        <v>3</v>
      </c>
      <c r="D604" t="inlineStr">
        <is>
          <t>All Skill Level</t>
        </is>
      </c>
      <c r="E604" t="n">
        <v>5</v>
      </c>
      <c r="F604" t="n">
        <v>0.08</v>
      </c>
      <c r="G604" t="b">
        <v>1</v>
      </c>
      <c r="H604">
        <f>Sensitivity!H25</f>
        <v/>
      </c>
    </row>
    <row r="605">
      <c r="A605" t="inlineStr">
        <is>
          <t>neck</t>
        </is>
      </c>
      <c r="B605" t="inlineStr">
        <is>
          <t>unique</t>
        </is>
      </c>
      <c r="C605" t="n">
        <v>1</v>
      </c>
      <c r="D605" t="inlineStr">
        <is>
          <t>All Skill Level</t>
        </is>
      </c>
      <c r="E605" t="n">
        <v>8</v>
      </c>
      <c r="F605" t="n">
        <v>1</v>
      </c>
      <c r="G605" t="b">
        <v>1</v>
      </c>
      <c r="H605">
        <f>Sensitivity!H25</f>
        <v/>
      </c>
    </row>
    <row r="606">
      <c r="A606" t="inlineStr">
        <is>
          <t>neck</t>
        </is>
      </c>
      <c r="B606" t="inlineStr">
        <is>
          <t>unique</t>
        </is>
      </c>
      <c r="C606" t="n">
        <v>2</v>
      </c>
      <c r="D606" t="inlineStr">
        <is>
          <t>All Skill Level</t>
        </is>
      </c>
      <c r="E606" t="n">
        <v>8</v>
      </c>
      <c r="F606" t="n">
        <v>0.24</v>
      </c>
      <c r="G606" t="b">
        <v>1</v>
      </c>
      <c r="H606">
        <f>Sensitivity!H25</f>
        <v/>
      </c>
    </row>
    <row r="607">
      <c r="A607" t="inlineStr">
        <is>
          <t>neck</t>
        </is>
      </c>
      <c r="B607" t="inlineStr">
        <is>
          <t>unique</t>
        </is>
      </c>
      <c r="C607" t="n">
        <v>2</v>
      </c>
      <c r="D607" t="inlineStr">
        <is>
          <t>All Skill Level</t>
        </is>
      </c>
      <c r="E607" t="n">
        <v>5</v>
      </c>
      <c r="F607" t="n">
        <v>0.76</v>
      </c>
      <c r="G607" t="b">
        <v>0</v>
      </c>
      <c r="H607">
        <f>Sensitivity!H25</f>
        <v/>
      </c>
    </row>
    <row r="608">
      <c r="A608" t="inlineStr">
        <is>
          <t>neck</t>
        </is>
      </c>
      <c r="B608" t="inlineStr">
        <is>
          <t>unique</t>
        </is>
      </c>
      <c r="C608" t="n">
        <v>3</v>
      </c>
      <c r="D608" t="inlineStr">
        <is>
          <t>All Skill Level</t>
        </is>
      </c>
      <c r="E608" t="n">
        <v>8</v>
      </c>
      <c r="F608" t="n">
        <v>0.08</v>
      </c>
      <c r="G608" t="b">
        <v>1</v>
      </c>
      <c r="H608">
        <f>Sensitivity!H25</f>
        <v/>
      </c>
    </row>
    <row r="609">
      <c r="A609" t="inlineStr">
        <is>
          <t>neck</t>
        </is>
      </c>
      <c r="B609" t="inlineStr">
        <is>
          <t>unique</t>
        </is>
      </c>
      <c r="C609" t="n">
        <v>3</v>
      </c>
      <c r="D609" t="inlineStr">
        <is>
          <t>All Skill Level</t>
        </is>
      </c>
      <c r="E609" t="n">
        <v>5</v>
      </c>
      <c r="F609" t="n">
        <v>0.92</v>
      </c>
      <c r="G609" t="b">
        <v>0</v>
      </c>
      <c r="H609">
        <f>Sensitivity!H25</f>
        <v/>
      </c>
    </row>
    <row r="610">
      <c r="A610" t="inlineStr">
        <is>
          <t>neck</t>
        </is>
      </c>
      <c r="B610" t="inlineStr">
        <is>
          <t>legendary</t>
        </is>
      </c>
      <c r="C610" t="n">
        <v>1</v>
      </c>
      <c r="D610" t="inlineStr">
        <is>
          <t>All Skill Level</t>
        </is>
      </c>
      <c r="E610" t="n">
        <v>12</v>
      </c>
      <c r="F610" t="n">
        <v>1</v>
      </c>
      <c r="G610" t="b">
        <v>1</v>
      </c>
      <c r="H610">
        <f>Sensitivity!H25</f>
        <v/>
      </c>
    </row>
    <row r="611">
      <c r="A611" t="inlineStr">
        <is>
          <t>neck</t>
        </is>
      </c>
      <c r="B611" t="inlineStr">
        <is>
          <t>legendary</t>
        </is>
      </c>
      <c r="C611" t="n">
        <v>2</v>
      </c>
      <c r="D611" t="inlineStr">
        <is>
          <t>All Skill Level</t>
        </is>
      </c>
      <c r="E611" t="n">
        <v>12</v>
      </c>
      <c r="F611" t="n">
        <v>0.24</v>
      </c>
      <c r="G611" t="b">
        <v>1</v>
      </c>
      <c r="H611">
        <f>Sensitivity!H25</f>
        <v/>
      </c>
    </row>
    <row r="612">
      <c r="A612" t="inlineStr">
        <is>
          <t>neck</t>
        </is>
      </c>
      <c r="B612" t="inlineStr">
        <is>
          <t>legendary</t>
        </is>
      </c>
      <c r="C612" t="n">
        <v>2</v>
      </c>
      <c r="D612" t="inlineStr">
        <is>
          <t>All Skill Level</t>
        </is>
      </c>
      <c r="E612" t="n">
        <v>8</v>
      </c>
      <c r="F612" t="n">
        <v>0.76</v>
      </c>
      <c r="G612" t="b">
        <v>0</v>
      </c>
      <c r="H612">
        <f>Sensitivity!H25</f>
        <v/>
      </c>
    </row>
    <row r="613">
      <c r="A613" t="inlineStr">
        <is>
          <t>neck</t>
        </is>
      </c>
      <c r="B613" t="inlineStr">
        <is>
          <t>legendary</t>
        </is>
      </c>
      <c r="C613" t="n">
        <v>3</v>
      </c>
      <c r="D613" t="inlineStr">
        <is>
          <t>All Skill Level</t>
        </is>
      </c>
      <c r="E613" t="n">
        <v>12</v>
      </c>
      <c r="F613" t="n">
        <v>0.08</v>
      </c>
      <c r="G613" t="b">
        <v>1</v>
      </c>
      <c r="H613">
        <f>Sensitivity!H25</f>
        <v/>
      </c>
    </row>
    <row r="614">
      <c r="A614" t="inlineStr">
        <is>
          <t>neck</t>
        </is>
      </c>
      <c r="B614" t="inlineStr">
        <is>
          <t>legendary</t>
        </is>
      </c>
      <c r="C614" t="n">
        <v>3</v>
      </c>
      <c r="D614" t="inlineStr">
        <is>
          <t>All Skill Level</t>
        </is>
      </c>
      <c r="E614" t="n">
        <v>8</v>
      </c>
      <c r="F614" t="n">
        <v>0.92</v>
      </c>
      <c r="G614" t="b">
        <v>0</v>
      </c>
      <c r="H614">
        <f>Sensitivity!H25</f>
        <v/>
      </c>
    </row>
    <row r="615">
      <c r="A615" t="inlineStr">
        <is>
          <t>neck</t>
        </is>
      </c>
      <c r="B615" t="inlineStr">
        <is>
          <t>mystic</t>
        </is>
      </c>
      <c r="C615" t="n">
        <v>1</v>
      </c>
      <c r="D615" t="inlineStr">
        <is>
          <t>All Skill Level</t>
        </is>
      </c>
      <c r="E615" t="n">
        <v>16</v>
      </c>
      <c r="F615" t="n">
        <v>1</v>
      </c>
      <c r="G615" t="b">
        <v>1</v>
      </c>
      <c r="H615">
        <f>Sensitivity!H25</f>
        <v/>
      </c>
    </row>
    <row r="616">
      <c r="A616" t="inlineStr">
        <is>
          <t>neck</t>
        </is>
      </c>
      <c r="B616" t="inlineStr">
        <is>
          <t>mystic</t>
        </is>
      </c>
      <c r="C616" t="n">
        <v>2</v>
      </c>
      <c r="D616" t="inlineStr">
        <is>
          <t>All Skill Level</t>
        </is>
      </c>
      <c r="E616" t="n">
        <v>16</v>
      </c>
      <c r="F616" t="n">
        <v>0.24</v>
      </c>
      <c r="G616" t="b">
        <v>1</v>
      </c>
      <c r="H616">
        <f>Sensitivity!H25</f>
        <v/>
      </c>
    </row>
    <row r="617">
      <c r="A617" t="inlineStr">
        <is>
          <t>neck</t>
        </is>
      </c>
      <c r="B617" t="inlineStr">
        <is>
          <t>mystic</t>
        </is>
      </c>
      <c r="C617" t="n">
        <v>2</v>
      </c>
      <c r="D617" t="inlineStr">
        <is>
          <t>All Skill Level</t>
        </is>
      </c>
      <c r="E617" t="n">
        <v>12</v>
      </c>
      <c r="F617" t="n">
        <v>0.76</v>
      </c>
      <c r="G617" t="b">
        <v>0</v>
      </c>
      <c r="H617">
        <f>Sensitivity!H25</f>
        <v/>
      </c>
    </row>
    <row r="618">
      <c r="A618" t="inlineStr">
        <is>
          <t>neck</t>
        </is>
      </c>
      <c r="B618" t="inlineStr">
        <is>
          <t>mystic</t>
        </is>
      </c>
      <c r="C618" t="n">
        <v>3</v>
      </c>
      <c r="D618" t="inlineStr">
        <is>
          <t>All Skill Level</t>
        </is>
      </c>
      <c r="E618" t="n">
        <v>16</v>
      </c>
      <c r="F618" t="n">
        <v>0.08</v>
      </c>
      <c r="G618" t="b">
        <v>1</v>
      </c>
      <c r="H618">
        <f>Sensitivity!H25</f>
        <v/>
      </c>
    </row>
    <row r="619">
      <c r="A619" t="inlineStr">
        <is>
          <t>neck</t>
        </is>
      </c>
      <c r="B619" t="inlineStr">
        <is>
          <t>mystic</t>
        </is>
      </c>
      <c r="C619" t="n">
        <v>3</v>
      </c>
      <c r="D619" t="inlineStr">
        <is>
          <t>All Skill Level</t>
        </is>
      </c>
      <c r="E619" t="n">
        <v>12</v>
      </c>
      <c r="F619" t="n">
        <v>0.92</v>
      </c>
      <c r="G619" t="b">
        <v>0</v>
      </c>
      <c r="H619">
        <f>Sensitivity!H25</f>
        <v/>
      </c>
    </row>
    <row r="620">
      <c r="A620" t="inlineStr">
        <is>
          <t>eye-accessory</t>
        </is>
      </c>
      <c r="B620" t="inlineStr">
        <is>
          <t>epic</t>
        </is>
      </c>
      <c r="C620" t="n">
        <v>1</v>
      </c>
      <c r="D620" t="inlineStr">
        <is>
          <t>Main Stat Per Level</t>
        </is>
      </c>
      <c r="E620" t="n">
        <v>10</v>
      </c>
      <c r="F620" t="n">
        <v>1</v>
      </c>
      <c r="G620" t="b">
        <v>1</v>
      </c>
      <c r="H620">
        <f>Sensitivity!H5*Inputs!$B$3</f>
        <v/>
      </c>
    </row>
    <row r="621">
      <c r="A621" t="inlineStr">
        <is>
          <t>eye-accessory</t>
        </is>
      </c>
      <c r="B621" t="inlineStr">
        <is>
          <t>epic</t>
        </is>
      </c>
      <c r="C621" t="n">
        <v>2</v>
      </c>
      <c r="D621" t="inlineStr">
        <is>
          <t>Main Stat Per Level</t>
        </is>
      </c>
      <c r="E621" t="n">
        <v>10</v>
      </c>
      <c r="F621" t="n">
        <v>0.24</v>
      </c>
      <c r="G621" t="b">
        <v>1</v>
      </c>
      <c r="H621">
        <f>Sensitivity!H5*Inputs!$B$3</f>
        <v/>
      </c>
    </row>
    <row r="622">
      <c r="A622" t="inlineStr">
        <is>
          <t>eye-accessory</t>
        </is>
      </c>
      <c r="B622" t="inlineStr">
        <is>
          <t>epic</t>
        </is>
      </c>
      <c r="C622" t="n">
        <v>3</v>
      </c>
      <c r="D622" t="inlineStr">
        <is>
          <t>Main Stat Per Level</t>
        </is>
      </c>
      <c r="E622" t="n">
        <v>10</v>
      </c>
      <c r="F622" t="n">
        <v>0.08</v>
      </c>
      <c r="G622" t="b">
        <v>1</v>
      </c>
      <c r="H622">
        <f>Sensitivity!H5*Inputs!$B$3</f>
        <v/>
      </c>
    </row>
    <row r="623">
      <c r="A623" t="inlineStr">
        <is>
          <t>eye-accessory</t>
        </is>
      </c>
      <c r="B623" t="inlineStr">
        <is>
          <t>unique</t>
        </is>
      </c>
      <c r="C623" t="n">
        <v>1</v>
      </c>
      <c r="D623" t="inlineStr">
        <is>
          <t>Main Stat Per Level</t>
        </is>
      </c>
      <c r="E623" t="n">
        <v>20</v>
      </c>
      <c r="F623" t="n">
        <v>1</v>
      </c>
      <c r="G623" t="b">
        <v>1</v>
      </c>
      <c r="H623">
        <f>Sensitivity!H5*Inputs!$B$3</f>
        <v/>
      </c>
    </row>
    <row r="624">
      <c r="A624" t="inlineStr">
        <is>
          <t>eye-accessory</t>
        </is>
      </c>
      <c r="B624" t="inlineStr">
        <is>
          <t>unique</t>
        </is>
      </c>
      <c r="C624" t="n">
        <v>2</v>
      </c>
      <c r="D624" t="inlineStr">
        <is>
          <t>Main Stat Per Level</t>
        </is>
      </c>
      <c r="E624" t="n">
        <v>20</v>
      </c>
      <c r="F624" t="n">
        <v>0.24</v>
      </c>
      <c r="G624" t="b">
        <v>1</v>
      </c>
      <c r="H624">
        <f>Sensitivity!H5*Inputs!$B$3</f>
        <v/>
      </c>
    </row>
    <row r="625">
      <c r="A625" t="inlineStr">
        <is>
          <t>eye-accessory</t>
        </is>
      </c>
      <c r="B625" t="inlineStr">
        <is>
          <t>unique</t>
        </is>
      </c>
      <c r="C625" t="n">
        <v>2</v>
      </c>
      <c r="D625" t="inlineStr">
        <is>
          <t>Main Stat Per Level</t>
        </is>
      </c>
      <c r="E625" t="n">
        <v>10</v>
      </c>
      <c r="F625" t="n">
        <v>0.76</v>
      </c>
      <c r="G625" t="b">
        <v>0</v>
      </c>
      <c r="H625">
        <f>Sensitivity!H5*Inputs!$B$3</f>
        <v/>
      </c>
    </row>
    <row r="626">
      <c r="A626" t="inlineStr">
        <is>
          <t>eye-accessory</t>
        </is>
      </c>
      <c r="B626" t="inlineStr">
        <is>
          <t>unique</t>
        </is>
      </c>
      <c r="C626" t="n">
        <v>3</v>
      </c>
      <c r="D626" t="inlineStr">
        <is>
          <t>Main Stat Per Level</t>
        </is>
      </c>
      <c r="E626" t="n">
        <v>20</v>
      </c>
      <c r="F626" t="n">
        <v>0.08</v>
      </c>
      <c r="G626" t="b">
        <v>1</v>
      </c>
      <c r="H626">
        <f>Sensitivity!H5*Inputs!$B$3</f>
        <v/>
      </c>
    </row>
    <row r="627">
      <c r="A627" t="inlineStr">
        <is>
          <t>eye-accessory</t>
        </is>
      </c>
      <c r="B627" t="inlineStr">
        <is>
          <t>unique</t>
        </is>
      </c>
      <c r="C627" t="n">
        <v>3</v>
      </c>
      <c r="D627" t="inlineStr">
        <is>
          <t>Main Stat Per Level</t>
        </is>
      </c>
      <c r="E627" t="n">
        <v>10</v>
      </c>
      <c r="F627" t="n">
        <v>0.92</v>
      </c>
      <c r="G627" t="b">
        <v>0</v>
      </c>
      <c r="H627">
        <f>Sensitivity!H5*Inputs!$B$3</f>
        <v/>
      </c>
    </row>
    <row r="628">
      <c r="A628" t="inlineStr">
        <is>
          <t>eye-accessory</t>
        </is>
      </c>
      <c r="B628" t="inlineStr">
        <is>
          <t>legendary</t>
        </is>
      </c>
      <c r="C628" t="n">
        <v>1</v>
      </c>
      <c r="D628" t="inlineStr">
        <is>
          <t>Main Stat Per Level</t>
        </is>
      </c>
      <c r="E628" t="n">
        <v>35</v>
      </c>
      <c r="F628" t="n">
        <v>1</v>
      </c>
      <c r="G628" t="b">
        <v>1</v>
      </c>
      <c r="H628">
        <f>Sensitivity!H5*Inputs!$B$3</f>
        <v/>
      </c>
    </row>
    <row r="629">
      <c r="A629" t="inlineStr">
        <is>
          <t>eye-accessory</t>
        </is>
      </c>
      <c r="B629" t="inlineStr">
        <is>
          <t>legendary</t>
        </is>
      </c>
      <c r="C629" t="n">
        <v>2</v>
      </c>
      <c r="D629" t="inlineStr">
        <is>
          <t>Main Stat Per Level</t>
        </is>
      </c>
      <c r="E629" t="n">
        <v>35</v>
      </c>
      <c r="F629" t="n">
        <v>0.24</v>
      </c>
      <c r="G629" t="b">
        <v>1</v>
      </c>
      <c r="H629">
        <f>Sensitivity!H5*Inputs!$B$3</f>
        <v/>
      </c>
    </row>
    <row r="630">
      <c r="A630" t="inlineStr">
        <is>
          <t>eye-accessory</t>
        </is>
      </c>
      <c r="B630" t="inlineStr">
        <is>
          <t>legendary</t>
        </is>
      </c>
      <c r="C630" t="n">
        <v>2</v>
      </c>
      <c r="D630" t="inlineStr">
        <is>
          <t>Main Stat Per Level</t>
        </is>
      </c>
      <c r="E630" t="n">
        <v>20</v>
      </c>
      <c r="F630" t="n">
        <v>0.76</v>
      </c>
      <c r="G630" t="b">
        <v>0</v>
      </c>
      <c r="H630">
        <f>Sensitivity!H5*Inputs!$B$3</f>
        <v/>
      </c>
    </row>
    <row r="631">
      <c r="A631" t="inlineStr">
        <is>
          <t>eye-accessory</t>
        </is>
      </c>
      <c r="B631" t="inlineStr">
        <is>
          <t>legendary</t>
        </is>
      </c>
      <c r="C631" t="n">
        <v>3</v>
      </c>
      <c r="D631" t="inlineStr">
        <is>
          <t>Main Stat Per Level</t>
        </is>
      </c>
      <c r="E631" t="n">
        <v>35</v>
      </c>
      <c r="F631" t="n">
        <v>0.08</v>
      </c>
      <c r="G631" t="b">
        <v>1</v>
      </c>
      <c r="H631">
        <f>Sensitivity!H5*Inputs!$B$3</f>
        <v/>
      </c>
    </row>
    <row r="632">
      <c r="A632" t="inlineStr">
        <is>
          <t>eye-accessory</t>
        </is>
      </c>
      <c r="B632" t="inlineStr">
        <is>
          <t>legendary</t>
        </is>
      </c>
      <c r="C632" t="n">
        <v>3</v>
      </c>
      <c r="D632" t="inlineStr">
        <is>
          <t>Main Stat Per Level</t>
        </is>
      </c>
      <c r="E632" t="n">
        <v>20</v>
      </c>
      <c r="F632" t="n">
        <v>0.92</v>
      </c>
      <c r="G632" t="b">
        <v>0</v>
      </c>
      <c r="H632">
        <f>Sensitivity!H5*Inputs!$B$3</f>
        <v/>
      </c>
    </row>
    <row r="633">
      <c r="A633" t="inlineStr">
        <is>
          <t>eye-accessory</t>
        </is>
      </c>
      <c r="B633" t="inlineStr">
        <is>
          <t>mystic</t>
        </is>
      </c>
      <c r="C633" t="n">
        <v>1</v>
      </c>
      <c r="D633" t="inlineStr">
        <is>
          <t>Main Stat Per Level</t>
        </is>
      </c>
      <c r="E633" t="n">
        <v>50</v>
      </c>
      <c r="F633" t="n">
        <v>1</v>
      </c>
      <c r="G633" t="b">
        <v>1</v>
      </c>
      <c r="H633">
        <f>Sensitivity!H5*Inputs!$B$3</f>
        <v/>
      </c>
    </row>
    <row r="634">
      <c r="A634" t="inlineStr">
        <is>
          <t>eye-accessory</t>
        </is>
      </c>
      <c r="B634" t="inlineStr">
        <is>
          <t>mystic</t>
        </is>
      </c>
      <c r="C634" t="n">
        <v>2</v>
      </c>
      <c r="D634" t="inlineStr">
        <is>
          <t>Main Stat Per Level</t>
        </is>
      </c>
      <c r="E634" t="n">
        <v>50</v>
      </c>
      <c r="F634" t="n">
        <v>0.24</v>
      </c>
      <c r="G634" t="b">
        <v>1</v>
      </c>
      <c r="H634">
        <f>Sensitivity!H5*Inputs!$B$3</f>
        <v/>
      </c>
    </row>
    <row r="635">
      <c r="A635" t="inlineStr">
        <is>
          <t>eye-accessory</t>
        </is>
      </c>
      <c r="B635" t="inlineStr">
        <is>
          <t>mystic</t>
        </is>
      </c>
      <c r="C635" t="n">
        <v>2</v>
      </c>
      <c r="D635" t="inlineStr">
        <is>
          <t>Main Stat Per Level</t>
        </is>
      </c>
      <c r="E635" t="n">
        <v>35</v>
      </c>
      <c r="F635" t="n">
        <v>0.76</v>
      </c>
      <c r="G635" t="b">
        <v>0</v>
      </c>
      <c r="H635">
        <f>Sensitivity!H5*Inputs!$B$3</f>
        <v/>
      </c>
    </row>
    <row r="636">
      <c r="A636" t="inlineStr">
        <is>
          <t>eye-accessory</t>
        </is>
      </c>
      <c r="B636" t="inlineStr">
        <is>
          <t>mystic</t>
        </is>
      </c>
      <c r="C636" t="n">
        <v>3</v>
      </c>
      <c r="D636" t="inlineStr">
        <is>
          <t>Main Stat Per Level</t>
        </is>
      </c>
      <c r="E636" t="n">
        <v>50</v>
      </c>
      <c r="F636" t="n">
        <v>0.08</v>
      </c>
      <c r="G636" t="b">
        <v>1</v>
      </c>
      <c r="H636">
        <f>Sensitivity!H5*Inputs!$B$3</f>
        <v/>
      </c>
    </row>
    <row r="637">
      <c r="A637" t="inlineStr">
        <is>
          <t>eye-accessory</t>
        </is>
      </c>
      <c r="B637" t="inlineStr">
        <is>
          <t>mystic</t>
        </is>
      </c>
      <c r="C637" t="n">
        <v>3</v>
      </c>
      <c r="D637" t="inlineStr">
        <is>
          <t>Main Stat Per Level</t>
        </is>
      </c>
      <c r="E637" t="n">
        <v>35</v>
      </c>
      <c r="F637" t="n">
        <v>0.92</v>
      </c>
      <c r="G637" t="b">
        <v>0</v>
      </c>
      <c r="H637">
        <f>Sensitivity!H5*Inputs!$B$3</f>
        <v/>
      </c>
    </row>
    <row r="638">
      <c r="A638" t="inlineStr">
        <is>
          <t>ring2</t>
        </is>
      </c>
      <c r="B638" t="inlineStr">
        <is>
          <t>epic</t>
        </is>
      </c>
      <c r="C638" t="n">
        <v>1</v>
      </c>
      <c r="D638" t="inlineStr">
        <is>
          <t>Basic Attack Damage %</t>
        </is>
      </c>
      <c r="E638" t="n">
        <v>8</v>
      </c>
      <c r="F638" t="n">
        <v>1</v>
      </c>
      <c r="G638" t="b">
        <v>1</v>
      </c>
      <c r="H638">
        <f>Sensitivity!H19</f>
        <v/>
      </c>
    </row>
    <row r="639">
      <c r="A639" t="inlineStr">
        <is>
          <t>ring2</t>
        </is>
      </c>
      <c r="B639" t="inlineStr">
        <is>
          <t>epic</t>
        </is>
      </c>
      <c r="C639" t="n">
        <v>2</v>
      </c>
      <c r="D639" t="inlineStr">
        <is>
          <t>Basic Attack Damage %</t>
        </is>
      </c>
      <c r="E639" t="n">
        <v>8</v>
      </c>
      <c r="F639" t="n">
        <v>0.24</v>
      </c>
      <c r="G639" t="b">
        <v>1</v>
      </c>
      <c r="H639">
        <f>Sensitivity!H19</f>
        <v/>
      </c>
    </row>
    <row r="640">
      <c r="A640" t="inlineStr">
        <is>
          <t>ring2</t>
        </is>
      </c>
      <c r="B640" t="inlineStr">
        <is>
          <t>epic</t>
        </is>
      </c>
      <c r="C640" t="n">
        <v>3</v>
      </c>
      <c r="D640" t="inlineStr">
        <is>
          <t>Basic Attack Damage %</t>
        </is>
      </c>
      <c r="E640" t="n">
        <v>8</v>
      </c>
      <c r="F640" t="n">
        <v>0.08</v>
      </c>
      <c r="G640" t="b">
        <v>1</v>
      </c>
      <c r="H640">
        <f>Sensitivity!H19</f>
        <v/>
      </c>
    </row>
    <row r="641">
      <c r="A641" t="inlineStr">
        <is>
          <t>ring2</t>
        </is>
      </c>
      <c r="B641" t="inlineStr">
        <is>
          <t>unique</t>
        </is>
      </c>
      <c r="C641" t="n">
        <v>1</v>
      </c>
      <c r="D641" t="inlineStr">
        <is>
          <t>Basic Attack Damage %</t>
        </is>
      </c>
      <c r="E641" t="n">
        <v>14</v>
      </c>
      <c r="F641" t="n">
        <v>1</v>
      </c>
      <c r="G641" t="b">
        <v>1</v>
      </c>
      <c r="H641">
        <f>Sensitivity!H19</f>
        <v/>
      </c>
    </row>
    <row r="642">
      <c r="A642" t="inlineStr">
        <is>
          <t>ring2</t>
        </is>
      </c>
      <c r="B642" t="inlineStr">
        <is>
          <t>unique</t>
        </is>
      </c>
      <c r="C642" t="n">
        <v>2</v>
      </c>
      <c r="D642" t="inlineStr">
        <is>
          <t>Basic Attack Damage %</t>
        </is>
      </c>
      <c r="E642" t="n">
        <v>14</v>
      </c>
      <c r="F642" t="n">
        <v>0.24</v>
      </c>
      <c r="G642" t="b">
        <v>1</v>
      </c>
      <c r="H642">
        <f>Sensitivity!H19</f>
        <v/>
      </c>
    </row>
    <row r="643">
      <c r="A643" t="inlineStr">
        <is>
          <t>ring2</t>
        </is>
      </c>
      <c r="B643" t="inlineStr">
        <is>
          <t>unique</t>
        </is>
      </c>
      <c r="C643" t="n">
        <v>2</v>
      </c>
      <c r="D643" t="inlineStr">
        <is>
          <t>Basic Attack Damage %</t>
        </is>
      </c>
      <c r="E643" t="n">
        <v>8</v>
      </c>
      <c r="F643" t="n">
        <v>0.76</v>
      </c>
      <c r="G643" t="b">
        <v>0</v>
      </c>
      <c r="H643">
        <f>Sensitivity!H19</f>
        <v/>
      </c>
    </row>
    <row r="644">
      <c r="A644" t="inlineStr">
        <is>
          <t>ring2</t>
        </is>
      </c>
      <c r="B644" t="inlineStr">
        <is>
          <t>unique</t>
        </is>
      </c>
      <c r="C644" t="n">
        <v>3</v>
      </c>
      <c r="D644" t="inlineStr">
        <is>
          <t>Basic Attack Damage %</t>
        </is>
      </c>
      <c r="E644" t="n">
        <v>14</v>
      </c>
      <c r="F644" t="n">
        <v>0.08</v>
      </c>
      <c r="G644" t="b">
        <v>1</v>
      </c>
      <c r="H644">
        <f>Sensitivity!H19</f>
        <v/>
      </c>
    </row>
    <row r="645">
      <c r="A645" t="inlineStr">
        <is>
          <t>ring2</t>
        </is>
      </c>
      <c r="B645" t="inlineStr">
        <is>
          <t>unique</t>
        </is>
      </c>
      <c r="C645" t="n">
        <v>3</v>
      </c>
      <c r="D645" t="inlineStr">
        <is>
          <t>Basic Attack Damage %</t>
        </is>
      </c>
      <c r="E645" t="n">
        <v>8</v>
      </c>
      <c r="F645" t="n">
        <v>0.92</v>
      </c>
      <c r="G645" t="b">
        <v>0</v>
      </c>
      <c r="H645">
        <f>Sensitivity!H19</f>
        <v/>
      </c>
    </row>
    <row r="646">
      <c r="A646" t="inlineStr">
        <is>
          <t>ring2</t>
        </is>
      </c>
      <c r="B646" t="inlineStr">
        <is>
          <t>legendary</t>
        </is>
      </c>
      <c r="C646" t="n">
        <v>1</v>
      </c>
      <c r="D646" t="inlineStr">
        <is>
          <t>Basic Attack Damage %</t>
        </is>
      </c>
      <c r="E646" t="n">
        <v>21</v>
      </c>
      <c r="F646" t="n">
        <v>1</v>
      </c>
      <c r="G646" t="b">
        <v>1</v>
      </c>
      <c r="H646">
        <f>Sensitivity!H19</f>
        <v/>
      </c>
    </row>
    <row r="647">
      <c r="A647" t="inlineStr">
        <is>
          <t>ring2</t>
        </is>
      </c>
      <c r="B647" t="inlineStr">
        <is>
          <t>legendary</t>
        </is>
      </c>
      <c r="C647" t="n">
        <v>2</v>
      </c>
      <c r="D647" t="inlineStr">
        <is>
          <t>Basic Attack Damage %</t>
        </is>
      </c>
      <c r="E647" t="n">
        <v>21</v>
      </c>
      <c r="F647" t="n">
        <v>0.24</v>
      </c>
      <c r="G647" t="b">
        <v>1</v>
      </c>
      <c r="H647">
        <f>Sensitivity!H19</f>
        <v/>
      </c>
    </row>
    <row r="648">
      <c r="A648" t="inlineStr">
        <is>
          <t>ring2</t>
        </is>
      </c>
      <c r="B648" t="inlineStr">
        <is>
          <t>legendary</t>
        </is>
      </c>
      <c r="C648" t="n">
        <v>2</v>
      </c>
      <c r="D648" t="inlineStr">
        <is>
          <t>Basic Attack Damage %</t>
        </is>
      </c>
      <c r="E648" t="n">
        <v>14</v>
      </c>
      <c r="F648" t="n">
        <v>0.76</v>
      </c>
      <c r="G648" t="b">
        <v>0</v>
      </c>
      <c r="H648">
        <f>Sensitivity!H19</f>
        <v/>
      </c>
    </row>
    <row r="649">
      <c r="A649" t="inlineStr">
        <is>
          <t>ring2</t>
        </is>
      </c>
      <c r="B649" t="inlineStr">
        <is>
          <t>legendary</t>
        </is>
      </c>
      <c r="C649" t="n">
        <v>3</v>
      </c>
      <c r="D649" t="inlineStr">
        <is>
          <t>Basic Attack Damage %</t>
        </is>
      </c>
      <c r="E649" t="n">
        <v>21</v>
      </c>
      <c r="F649" t="n">
        <v>0.08</v>
      </c>
      <c r="G649" t="b">
        <v>1</v>
      </c>
      <c r="H649">
        <f>Sensitivity!H19</f>
        <v/>
      </c>
    </row>
    <row r="650">
      <c r="A650" t="inlineStr">
        <is>
          <t>ring2</t>
        </is>
      </c>
      <c r="B650" t="inlineStr">
        <is>
          <t>legendary</t>
        </is>
      </c>
      <c r="C650" t="n">
        <v>3</v>
      </c>
      <c r="D650" t="inlineStr">
        <is>
          <t>Basic Attack Damage %</t>
        </is>
      </c>
      <c r="E650" t="n">
        <v>14</v>
      </c>
      <c r="F650" t="n">
        <v>0.92</v>
      </c>
      <c r="G650" t="b">
        <v>0</v>
      </c>
      <c r="H650">
        <f>Sensitivity!H19</f>
        <v/>
      </c>
    </row>
    <row r="651">
      <c r="A651" t="inlineStr">
        <is>
          <t>ring2</t>
        </is>
      </c>
      <c r="B651" t="inlineStr">
        <is>
          <t>mystic</t>
        </is>
      </c>
      <c r="C651" t="n">
        <v>1</v>
      </c>
      <c r="D651" t="inlineStr">
        <is>
          <t>Basic Attack Damage %</t>
        </is>
      </c>
      <c r="E651" t="n">
        <v>30</v>
      </c>
      <c r="F651" t="n">
        <v>1</v>
      </c>
      <c r="G651" t="b">
        <v>1</v>
      </c>
      <c r="H651">
        <f>Sensitivity!H19</f>
        <v/>
      </c>
    </row>
    <row r="652">
      <c r="A652" t="inlineStr">
        <is>
          <t>ring2</t>
        </is>
      </c>
      <c r="B652" t="inlineStr">
        <is>
          <t>mystic</t>
        </is>
      </c>
      <c r="C652" t="n">
        <v>2</v>
      </c>
      <c r="D652" t="inlineStr">
        <is>
          <t>Basic Attack Damage %</t>
        </is>
      </c>
      <c r="E652" t="n">
        <v>30</v>
      </c>
      <c r="F652" t="n">
        <v>0.24</v>
      </c>
      <c r="G652" t="b">
        <v>1</v>
      </c>
      <c r="H652">
        <f>Sensitivity!H19</f>
        <v/>
      </c>
    </row>
    <row r="653">
      <c r="A653" t="inlineStr">
        <is>
          <t>ring2</t>
        </is>
      </c>
      <c r="B653" t="inlineStr">
        <is>
          <t>mystic</t>
        </is>
      </c>
      <c r="C653" t="n">
        <v>2</v>
      </c>
      <c r="D653" t="inlineStr">
        <is>
          <t>Basic Attack Damage %</t>
        </is>
      </c>
      <c r="E653" t="n">
        <v>21</v>
      </c>
      <c r="F653" t="n">
        <v>0.76</v>
      </c>
      <c r="G653" t="b">
        <v>0</v>
      </c>
      <c r="H653">
        <f>Sensitivity!H19</f>
        <v/>
      </c>
    </row>
    <row r="654">
      <c r="A654" t="inlineStr">
        <is>
          <t>ring2</t>
        </is>
      </c>
      <c r="B654" t="inlineStr">
        <is>
          <t>mystic</t>
        </is>
      </c>
      <c r="C654" t="n">
        <v>3</v>
      </c>
      <c r="D654" t="inlineStr">
        <is>
          <t>Basic Attack Damage %</t>
        </is>
      </c>
      <c r="E654" t="n">
        <v>30</v>
      </c>
      <c r="F654" t="n">
        <v>0.08</v>
      </c>
      <c r="G654" t="b">
        <v>1</v>
      </c>
      <c r="H654">
        <f>Sensitivity!H19</f>
        <v/>
      </c>
    </row>
    <row r="655">
      <c r="A655" t="inlineStr">
        <is>
          <t>ring2</t>
        </is>
      </c>
      <c r="B655" t="inlineStr">
        <is>
          <t>mystic</t>
        </is>
      </c>
      <c r="C655" t="n">
        <v>3</v>
      </c>
      <c r="D655" t="inlineStr">
        <is>
          <t>Basic Attack Damage %</t>
        </is>
      </c>
      <c r="E655" t="n">
        <v>21</v>
      </c>
      <c r="F655" t="n">
        <v>0.92</v>
      </c>
      <c r="G655" t="b">
        <v>0</v>
      </c>
      <c r="H655">
        <f>Sensitivity!H19</f>
        <v/>
      </c>
    </row>
    <row r="656">
      <c r="A656" t="inlineStr">
        <is>
          <t>face</t>
        </is>
      </c>
      <c r="B656" t="inlineStr">
        <is>
          <t>epic</t>
        </is>
      </c>
      <c r="C656" t="n">
        <v>1</v>
      </c>
      <c r="D656" t="inlineStr">
        <is>
          <t>Final Damage %</t>
        </is>
      </c>
      <c r="E656" t="n">
        <v>3</v>
      </c>
      <c r="F656" t="n">
        <v>1</v>
      </c>
      <c r="G656" t="b">
        <v>1</v>
      </c>
      <c r="H656">
        <f>Sensitivity!H12</f>
        <v/>
      </c>
    </row>
    <row r="657">
      <c r="A657" t="inlineStr">
        <is>
          <t>face</t>
        </is>
      </c>
      <c r="B657" t="inlineStr">
        <is>
          <t>epic</t>
        </is>
      </c>
      <c r="C657" t="n">
        <v>2</v>
      </c>
      <c r="D657" t="inlineStr">
        <is>
          <t>Final Damage %</t>
        </is>
      </c>
      <c r="E657" t="n">
        <v>3</v>
      </c>
      <c r="F657" t="n">
        <v>0.24</v>
      </c>
      <c r="G657" t="b">
        <v>1</v>
      </c>
      <c r="H657">
        <f>Sensitivity!H12</f>
        <v/>
      </c>
    </row>
    <row r="658">
      <c r="A658" t="inlineStr">
        <is>
          <t>face</t>
        </is>
      </c>
      <c r="B658" t="inlineStr">
        <is>
          <t>epic</t>
        </is>
      </c>
      <c r="C658" t="n">
        <v>3</v>
      </c>
      <c r="D658" t="inlineStr">
        <is>
          <t>Final Damage %</t>
        </is>
      </c>
      <c r="E658" t="n">
        <v>3</v>
      </c>
      <c r="F658" t="n">
        <v>0.08</v>
      </c>
      <c r="G658" t="b">
        <v>1</v>
      </c>
      <c r="H658">
        <f>Sensitivity!H12</f>
        <v/>
      </c>
    </row>
    <row r="659">
      <c r="A659" t="inlineStr">
        <is>
          <t>face</t>
        </is>
      </c>
      <c r="B659" t="inlineStr">
        <is>
          <t>unique</t>
        </is>
      </c>
      <c r="C659" t="n">
        <v>1</v>
      </c>
      <c r="D659" t="inlineStr">
        <is>
          <t>Final Damage %</t>
        </is>
      </c>
      <c r="E659" t="n">
        <v>5</v>
      </c>
      <c r="F659" t="n">
        <v>1</v>
      </c>
      <c r="G659" t="b">
        <v>1</v>
      </c>
      <c r="H659">
        <f>Sensitivity!H12</f>
        <v/>
      </c>
    </row>
    <row r="660">
      <c r="A660" t="inlineStr">
        <is>
          <t>face</t>
        </is>
      </c>
      <c r="B660" t="inlineStr">
        <is>
          <t>unique</t>
        </is>
      </c>
      <c r="C660" t="n">
        <v>2</v>
      </c>
      <c r="D660" t="inlineStr">
        <is>
          <t>Final Damage %</t>
        </is>
      </c>
      <c r="E660" t="n">
        <v>5</v>
      </c>
      <c r="F660" t="n">
        <v>0.24</v>
      </c>
      <c r="G660" t="b">
        <v>1</v>
      </c>
      <c r="H660">
        <f>Sensitivity!H12</f>
        <v/>
      </c>
    </row>
    <row r="661">
      <c r="A661" t="inlineStr">
        <is>
          <t>face</t>
        </is>
      </c>
      <c r="B661" t="inlineStr">
        <is>
          <t>unique</t>
        </is>
      </c>
      <c r="C661" t="n">
        <v>2</v>
      </c>
      <c r="D661" t="inlineStr">
        <is>
          <t>Final Damage %</t>
        </is>
      </c>
      <c r="E661" t="n">
        <v>3</v>
      </c>
      <c r="F661" t="n">
        <v>0.76</v>
      </c>
      <c r="G661" t="b">
        <v>0</v>
      </c>
      <c r="H661">
        <f>Sensitivity!H12</f>
        <v/>
      </c>
    </row>
    <row r="662">
      <c r="A662" t="inlineStr">
        <is>
          <t>face</t>
        </is>
      </c>
      <c r="B662" t="inlineStr">
        <is>
          <t>unique</t>
        </is>
      </c>
      <c r="C662" t="n">
        <v>3</v>
      </c>
      <c r="D662" t="inlineStr">
        <is>
          <t>Final Damage %</t>
        </is>
      </c>
      <c r="E662" t="n">
        <v>5</v>
      </c>
      <c r="F662" t="n">
        <v>0.08</v>
      </c>
      <c r="G662" t="b">
        <v>1</v>
      </c>
      <c r="H662">
        <f>Sensitivity!H12</f>
        <v/>
      </c>
    </row>
    <row r="663">
      <c r="A663" t="inlineStr">
        <is>
          <t>face</t>
        </is>
      </c>
      <c r="B663" t="inlineStr">
        <is>
          <t>unique</t>
        </is>
      </c>
      <c r="C663" t="n">
        <v>3</v>
      </c>
      <c r="D663" t="inlineStr">
        <is>
          <t>Final Damage %</t>
        </is>
      </c>
      <c r="E663" t="n">
        <v>3</v>
      </c>
      <c r="F663" t="n">
        <v>0.92</v>
      </c>
      <c r="G663" t="b">
        <v>0</v>
      </c>
      <c r="H663">
        <f>Sensitivity!H12</f>
        <v/>
      </c>
    </row>
    <row r="664">
      <c r="A664" t="inlineStr">
        <is>
          <t>face</t>
        </is>
      </c>
      <c r="B664" t="inlineStr">
        <is>
          <t>legendary</t>
        </is>
      </c>
      <c r="C664" t="n">
        <v>1</v>
      </c>
      <c r="D664" t="inlineStr">
        <is>
          <t>Final Damage %</t>
        </is>
      </c>
      <c r="E664" t="n">
        <v>8</v>
      </c>
      <c r="F664" t="n">
        <v>1</v>
      </c>
      <c r="G664" t="b">
        <v>1</v>
      </c>
      <c r="H664">
        <f>Sensitivity!H12</f>
        <v/>
      </c>
    </row>
    <row r="665">
      <c r="A665" t="inlineStr">
        <is>
          <t>face</t>
        </is>
      </c>
      <c r="B665" t="inlineStr">
        <is>
          <t>legendary</t>
        </is>
      </c>
      <c r="C665" t="n">
        <v>2</v>
      </c>
      <c r="D665" t="inlineStr">
        <is>
          <t>Final Damage %</t>
        </is>
      </c>
      <c r="E665" t="n">
        <v>8</v>
      </c>
      <c r="F665" t="n">
        <v>0.24</v>
      </c>
      <c r="G665" t="b">
        <v>1</v>
      </c>
      <c r="H665">
        <f>Sensitivity!H12</f>
        <v/>
      </c>
    </row>
    <row r="666">
      <c r="A666" t="inlineStr">
        <is>
          <t>face</t>
        </is>
      </c>
      <c r="B666" t="inlineStr">
        <is>
          <t>legendary</t>
        </is>
      </c>
      <c r="C666" t="n">
        <v>2</v>
      </c>
      <c r="D666" t="inlineStr">
        <is>
          <t>Final Damage %</t>
        </is>
      </c>
      <c r="E666" t="n">
        <v>5</v>
      </c>
      <c r="F666" t="n">
        <v>0.76</v>
      </c>
      <c r="G666" t="b">
        <v>0</v>
      </c>
      <c r="H666">
        <f>Sensitivity!H12</f>
        <v/>
      </c>
    </row>
    <row r="667">
      <c r="A667" t="inlineStr">
        <is>
          <t>face</t>
        </is>
      </c>
      <c r="B667" t="inlineStr">
        <is>
          <t>legendary</t>
        </is>
      </c>
      <c r="C667" t="n">
        <v>3</v>
      </c>
      <c r="D667" t="inlineStr">
        <is>
          <t>Final Damage %</t>
        </is>
      </c>
      <c r="E667" t="n">
        <v>8</v>
      </c>
      <c r="F667" t="n">
        <v>0.08</v>
      </c>
      <c r="G667" t="b">
        <v>1</v>
      </c>
      <c r="H667">
        <f>Sensitivity!H12</f>
        <v/>
      </c>
    </row>
    <row r="668">
      <c r="A668" t="inlineStr">
        <is>
          <t>face</t>
        </is>
      </c>
      <c r="B668" t="inlineStr">
        <is>
          <t>legendary</t>
        </is>
      </c>
      <c r="C668" t="n">
        <v>3</v>
      </c>
      <c r="D668" t="inlineStr">
        <is>
          <t>Final Damage %</t>
        </is>
      </c>
      <c r="E668" t="n">
        <v>5</v>
      </c>
      <c r="F668" t="n">
        <v>0.92</v>
      </c>
      <c r="G668" t="b">
        <v>0</v>
      </c>
      <c r="H668">
        <f>Sensitivity!H12</f>
        <v/>
      </c>
    </row>
    <row r="669">
      <c r="A669" t="inlineStr">
        <is>
          <t>face</t>
        </is>
      </c>
      <c r="B669" t="inlineStr">
        <is>
          <t>mystic</t>
        </is>
      </c>
      <c r="C669" t="n">
        <v>1</v>
      </c>
      <c r="D669" t="inlineStr">
        <is>
          <t>Final Damage %</t>
        </is>
      </c>
      <c r="E669" t="n">
        <v>12</v>
      </c>
      <c r="F669" t="n">
        <v>1</v>
      </c>
      <c r="G669" t="b">
        <v>1</v>
      </c>
      <c r="H669">
        <f>Sensitivity!H12</f>
        <v/>
      </c>
    </row>
    <row r="670">
      <c r="A670" t="inlineStr">
        <is>
          <t>face</t>
        </is>
      </c>
      <c r="B670" t="inlineStr">
        <is>
          <t>mystic</t>
        </is>
      </c>
      <c r="C670" t="n">
        <v>2</v>
      </c>
      <c r="D670" t="inlineStr">
        <is>
          <t>Final Damage %</t>
        </is>
      </c>
      <c r="E670" t="n">
        <v>12</v>
      </c>
      <c r="F670" t="n">
        <v>0.24</v>
      </c>
      <c r="G670" t="b">
        <v>1</v>
      </c>
      <c r="H670">
        <f>Sensitivity!H12</f>
        <v/>
      </c>
    </row>
    <row r="671">
      <c r="A671" t="inlineStr">
        <is>
          <t>face</t>
        </is>
      </c>
      <c r="B671" t="inlineStr">
        <is>
          <t>mystic</t>
        </is>
      </c>
      <c r="C671" t="n">
        <v>2</v>
      </c>
      <c r="D671" t="inlineStr">
        <is>
          <t>Final Damage %</t>
        </is>
      </c>
      <c r="E671" t="n">
        <v>8</v>
      </c>
      <c r="F671" t="n">
        <v>0.76</v>
      </c>
      <c r="G671" t="b">
        <v>0</v>
      </c>
      <c r="H671">
        <f>Sensitivity!H12</f>
        <v/>
      </c>
    </row>
    <row r="672">
      <c r="A672" t="inlineStr">
        <is>
          <t>face</t>
        </is>
      </c>
      <c r="B672" t="inlineStr">
        <is>
          <t>mystic</t>
        </is>
      </c>
      <c r="C672" t="n">
        <v>3</v>
      </c>
      <c r="D672" t="inlineStr">
        <is>
          <t>Final Damage %</t>
        </is>
      </c>
      <c r="E672" t="n">
        <v>12</v>
      </c>
      <c r="F672" t="n">
        <v>0.08</v>
      </c>
      <c r="G672" t="b">
        <v>1</v>
      </c>
      <c r="H672">
        <f>Sensitivity!H12</f>
        <v/>
      </c>
    </row>
    <row r="673">
      <c r="A673" t="inlineStr">
        <is>
          <t>face</t>
        </is>
      </c>
      <c r="B673" t="inlineStr">
        <is>
          <t>mystic</t>
        </is>
      </c>
      <c r="C673" t="n">
        <v>3</v>
      </c>
      <c r="D673" t="inlineStr">
        <is>
          <t>Final Damage %</t>
        </is>
      </c>
      <c r="E673" t="n">
        <v>8</v>
      </c>
      <c r="F673" t="n">
        <v>0.92</v>
      </c>
      <c r="G673" t="b">
        <v>0</v>
      </c>
      <c r="H673">
        <f>Sensitivity!H12</f>
        <v/>
      </c>
    </row>
    <row r="674">
      <c r="A674" t="inlineStr">
        <is>
          <t>earrings</t>
        </is>
      </c>
      <c r="B674" t="inlineStr">
        <is>
          <t>epic</t>
        </is>
      </c>
      <c r="C674" t="n">
        <v>1</v>
      </c>
      <c r="D674" t="inlineStr">
        <is>
          <t>Skill Damage %</t>
        </is>
      </c>
      <c r="E674" t="n">
        <v>8</v>
      </c>
      <c r="F674" t="n">
        <v>1</v>
      </c>
      <c r="G674" t="b">
        <v>1</v>
      </c>
      <c r="H674">
        <f>Sensitivity!H20</f>
        <v/>
      </c>
    </row>
    <row r="675">
      <c r="A675" t="inlineStr">
        <is>
          <t>earrings</t>
        </is>
      </c>
      <c r="B675" t="inlineStr">
        <is>
          <t>epic</t>
        </is>
      </c>
      <c r="C675" t="n">
        <v>2</v>
      </c>
      <c r="D675" t="inlineStr">
        <is>
          <t>Skill Damage %</t>
        </is>
      </c>
      <c r="E675" t="n">
        <v>8</v>
      </c>
      <c r="F675" t="n">
        <v>0.24</v>
      </c>
      <c r="G675" t="b">
        <v>1</v>
      </c>
      <c r="H675">
        <f>Sensitivity!H20</f>
        <v/>
      </c>
    </row>
    <row r="676">
      <c r="A676" t="inlineStr">
        <is>
          <t>earrings</t>
        </is>
      </c>
      <c r="B676" t="inlineStr">
        <is>
          <t>epic</t>
        </is>
      </c>
      <c r="C676" t="n">
        <v>3</v>
      </c>
      <c r="D676" t="inlineStr">
        <is>
          <t>Skill Damage %</t>
        </is>
      </c>
      <c r="E676" t="n">
        <v>8</v>
      </c>
      <c r="F676" t="n">
        <v>0.08</v>
      </c>
      <c r="G676" t="b">
        <v>1</v>
      </c>
      <c r="H676">
        <f>Sensitivity!H20</f>
        <v/>
      </c>
    </row>
    <row r="677">
      <c r="A677" t="inlineStr">
        <is>
          <t>earrings</t>
        </is>
      </c>
      <c r="B677" t="inlineStr">
        <is>
          <t>unique</t>
        </is>
      </c>
      <c r="C677" t="n">
        <v>1</v>
      </c>
      <c r="D677" t="inlineStr">
        <is>
          <t>Skill Damage %</t>
        </is>
      </c>
      <c r="E677" t="n">
        <v>14</v>
      </c>
      <c r="F677" t="n">
        <v>1</v>
      </c>
      <c r="G677" t="b">
        <v>1</v>
      </c>
      <c r="H677">
        <f>Sensitivity!H20</f>
        <v/>
      </c>
    </row>
    <row r="678">
      <c r="A678" t="inlineStr">
        <is>
          <t>earrings</t>
        </is>
      </c>
      <c r="B678" t="inlineStr">
        <is>
          <t>unique</t>
        </is>
      </c>
      <c r="C678" t="n">
        <v>2</v>
      </c>
      <c r="D678" t="inlineStr">
        <is>
          <t>Skill Damage %</t>
        </is>
      </c>
      <c r="E678" t="n">
        <v>14</v>
      </c>
      <c r="F678" t="n">
        <v>0.24</v>
      </c>
      <c r="G678" t="b">
        <v>1</v>
      </c>
      <c r="H678">
        <f>Sensitivity!H20</f>
        <v/>
      </c>
    </row>
    <row r="679">
      <c r="A679" t="inlineStr">
        <is>
          <t>earrings</t>
        </is>
      </c>
      <c r="B679" t="inlineStr">
        <is>
          <t>unique</t>
        </is>
      </c>
      <c r="C679" t="n">
        <v>2</v>
      </c>
      <c r="D679" t="inlineStr">
        <is>
          <t>Skill Damage %</t>
        </is>
      </c>
      <c r="E679" t="n">
        <v>8</v>
      </c>
      <c r="F679" t="n">
        <v>0.76</v>
      </c>
      <c r="G679" t="b">
        <v>0</v>
      </c>
      <c r="H679">
        <f>Sensitivity!H20</f>
        <v/>
      </c>
    </row>
    <row r="680">
      <c r="A680" t="inlineStr">
        <is>
          <t>earrings</t>
        </is>
      </c>
      <c r="B680" t="inlineStr">
        <is>
          <t>unique</t>
        </is>
      </c>
      <c r="C680" t="n">
        <v>3</v>
      </c>
      <c r="D680" t="inlineStr">
        <is>
          <t>Skill Damage %</t>
        </is>
      </c>
      <c r="E680" t="n">
        <v>14</v>
      </c>
      <c r="F680" t="n">
        <v>0.08</v>
      </c>
      <c r="G680" t="b">
        <v>1</v>
      </c>
      <c r="H680">
        <f>Sensitivity!H20</f>
        <v/>
      </c>
    </row>
    <row r="681">
      <c r="A681" t="inlineStr">
        <is>
          <t>earrings</t>
        </is>
      </c>
      <c r="B681" t="inlineStr">
        <is>
          <t>unique</t>
        </is>
      </c>
      <c r="C681" t="n">
        <v>3</v>
      </c>
      <c r="D681" t="inlineStr">
        <is>
          <t>Skill Damage %</t>
        </is>
      </c>
      <c r="E681" t="n">
        <v>8</v>
      </c>
      <c r="F681" t="n">
        <v>0.92</v>
      </c>
      <c r="G681" t="b">
        <v>0</v>
      </c>
      <c r="H681">
        <f>Sensitivity!H20</f>
        <v/>
      </c>
    </row>
    <row r="682">
      <c r="A682" t="inlineStr">
        <is>
          <t>earrings</t>
        </is>
      </c>
      <c r="B682" t="inlineStr">
        <is>
          <t>legendary</t>
        </is>
      </c>
      <c r="C682" t="n">
        <v>1</v>
      </c>
      <c r="D682" t="inlineStr">
        <is>
          <t>Skill Damage %</t>
        </is>
      </c>
      <c r="E682" t="n">
        <v>21</v>
      </c>
      <c r="F682" t="n">
        <v>1</v>
      </c>
      <c r="G682" t="b">
        <v>1</v>
      </c>
      <c r="H682">
        <f>Sensitivity!H20</f>
        <v/>
      </c>
    </row>
    <row r="683">
      <c r="A683" t="inlineStr">
        <is>
          <t>earrings</t>
        </is>
      </c>
      <c r="B683" t="inlineStr">
        <is>
          <t>legendary</t>
        </is>
      </c>
      <c r="C683" t="n">
        <v>2</v>
      </c>
      <c r="D683" t="inlineStr">
        <is>
          <t>Skill Damage %</t>
        </is>
      </c>
      <c r="E683" t="n">
        <v>21</v>
      </c>
      <c r="F683" t="n">
        <v>0.24</v>
      </c>
      <c r="G683" t="b">
        <v>1</v>
      </c>
      <c r="H683">
        <f>Sensitivity!H20</f>
        <v/>
      </c>
    </row>
    <row r="684">
      <c r="A684" t="inlineStr">
        <is>
          <t>earrings</t>
        </is>
      </c>
      <c r="B684" t="inlineStr">
        <is>
          <t>legendary</t>
        </is>
      </c>
      <c r="C684" t="n">
        <v>2</v>
      </c>
      <c r="D684" t="inlineStr">
        <is>
          <t>Skill Damage %</t>
        </is>
      </c>
      <c r="E684" t="n">
        <v>14</v>
      </c>
      <c r="F684" t="n">
        <v>0.76</v>
      </c>
      <c r="G684" t="b">
        <v>0</v>
      </c>
      <c r="H684">
        <f>Sensitivity!H20</f>
        <v/>
      </c>
    </row>
    <row r="685">
      <c r="A685" t="inlineStr">
        <is>
          <t>earrings</t>
        </is>
      </c>
      <c r="B685" t="inlineStr">
        <is>
          <t>legendary</t>
        </is>
      </c>
      <c r="C685" t="n">
        <v>3</v>
      </c>
      <c r="D685" t="inlineStr">
        <is>
          <t>Skill Damage %</t>
        </is>
      </c>
      <c r="E685" t="n">
        <v>21</v>
      </c>
      <c r="F685" t="n">
        <v>0.08</v>
      </c>
      <c r="G685" t="b">
        <v>1</v>
      </c>
      <c r="H685">
        <f>Sensitivity!H20</f>
        <v/>
      </c>
    </row>
    <row r="686">
      <c r="A686" t="inlineStr">
        <is>
          <t>earrings</t>
        </is>
      </c>
      <c r="B686" t="inlineStr">
        <is>
          <t>legendary</t>
        </is>
      </c>
      <c r="C686" t="n">
        <v>3</v>
      </c>
      <c r="D686" t="inlineStr">
        <is>
          <t>Skill Damage %</t>
        </is>
      </c>
      <c r="E686" t="n">
        <v>14</v>
      </c>
      <c r="F686" t="n">
        <v>0.92</v>
      </c>
      <c r="G686" t="b">
        <v>0</v>
      </c>
      <c r="H686">
        <f>Sensitivity!H20</f>
        <v/>
      </c>
    </row>
    <row r="687">
      <c r="A687" t="inlineStr">
        <is>
          <t>earrings</t>
        </is>
      </c>
      <c r="B687" t="inlineStr">
        <is>
          <t>mystic</t>
        </is>
      </c>
      <c r="C687" t="n">
        <v>1</v>
      </c>
      <c r="D687" t="inlineStr">
        <is>
          <t>Skill Damage %</t>
        </is>
      </c>
      <c r="E687" t="n">
        <v>30</v>
      </c>
      <c r="F687" t="n">
        <v>1</v>
      </c>
      <c r="G687" t="b">
        <v>1</v>
      </c>
      <c r="H687">
        <f>Sensitivity!H20</f>
        <v/>
      </c>
    </row>
    <row r="688">
      <c r="A688" t="inlineStr">
        <is>
          <t>earrings</t>
        </is>
      </c>
      <c r="B688" t="inlineStr">
        <is>
          <t>mystic</t>
        </is>
      </c>
      <c r="C688" t="n">
        <v>2</v>
      </c>
      <c r="D688" t="inlineStr">
        <is>
          <t>Skill Damage %</t>
        </is>
      </c>
      <c r="E688" t="n">
        <v>30</v>
      </c>
      <c r="F688" t="n">
        <v>0.24</v>
      </c>
      <c r="G688" t="b">
        <v>1</v>
      </c>
      <c r="H688">
        <f>Sensitivity!H20</f>
        <v/>
      </c>
    </row>
    <row r="689">
      <c r="A689" t="inlineStr">
        <is>
          <t>earrings</t>
        </is>
      </c>
      <c r="B689" t="inlineStr">
        <is>
          <t>mystic</t>
        </is>
      </c>
      <c r="C689" t="n">
        <v>2</v>
      </c>
      <c r="D689" t="inlineStr">
        <is>
          <t>Skill Damage %</t>
        </is>
      </c>
      <c r="E689" t="n">
        <v>21</v>
      </c>
      <c r="F689" t="n">
        <v>0.76</v>
      </c>
      <c r="G689" t="b">
        <v>0</v>
      </c>
      <c r="H689">
        <f>Sensitivity!H20</f>
        <v/>
      </c>
    </row>
    <row r="690">
      <c r="A690" t="inlineStr">
        <is>
          <t>earrings</t>
        </is>
      </c>
      <c r="B690" t="inlineStr">
        <is>
          <t>mystic</t>
        </is>
      </c>
      <c r="C690" t="n">
        <v>3</v>
      </c>
      <c r="D690" t="inlineStr">
        <is>
          <t>Skill Damage %</t>
        </is>
      </c>
      <c r="E690" t="n">
        <v>30</v>
      </c>
      <c r="F690" t="n">
        <v>0.08</v>
      </c>
      <c r="G690" t="b">
        <v>1</v>
      </c>
      <c r="H690">
        <f>Sensitivity!H20</f>
        <v/>
      </c>
    </row>
    <row r="691">
      <c r="A691" t="inlineStr">
        <is>
          <t>earrings</t>
        </is>
      </c>
      <c r="B691" t="inlineStr">
        <is>
          <t>mystic</t>
        </is>
      </c>
      <c r="C691" t="n">
        <v>3</v>
      </c>
      <c r="D691" t="inlineStr">
        <is>
          <t>Skill Damage %</t>
        </is>
      </c>
      <c r="E691" t="n">
        <v>21</v>
      </c>
      <c r="F691" t="n">
        <v>0.92</v>
      </c>
      <c r="G691" t="b">
        <v>0</v>
      </c>
      <c r="H691">
        <f>Sensitivity!H20</f>
        <v/>
      </c>
    </row>
    <row r="692">
      <c r="A692" t="inlineStr">
        <is>
          <t>pocket</t>
        </is>
      </c>
      <c r="B692" t="inlineStr">
        <is>
          <t>epic</t>
        </is>
      </c>
      <c r="C692" t="n">
        <v>1</v>
      </c>
      <c r="D692" t="inlineStr">
        <is>
          <t>Main Stat % per 4 Levels</t>
        </is>
      </c>
      <c r="E692" t="n">
        <v>0.4</v>
      </c>
      <c r="F692" t="n">
        <v>1</v>
      </c>
      <c r="G692" t="b">
        <v>1</v>
      </c>
      <c r="H692">
        <f>Sensitivity!H6*INT(Inputs!$B$3/4)</f>
        <v/>
      </c>
    </row>
    <row r="693">
      <c r="A693" t="inlineStr">
        <is>
          <t>pocket</t>
        </is>
      </c>
      <c r="B693" t="inlineStr">
        <is>
          <t>epic</t>
        </is>
      </c>
      <c r="C693" t="n">
        <v>2</v>
      </c>
      <c r="D693" t="inlineStr">
        <is>
          <t>Main Stat % per 4 Levels</t>
        </is>
      </c>
      <c r="E693" t="n">
        <v>0.4</v>
      </c>
      <c r="F693" t="n">
        <v>0.24</v>
      </c>
      <c r="G693" t="b">
        <v>1</v>
      </c>
      <c r="H693">
        <f>Sensitivity!H6*INT(Inputs!$B$3/4)</f>
        <v/>
      </c>
    </row>
    <row r="694">
      <c r="A694" t="inlineStr">
        <is>
          <t>pocket</t>
        </is>
      </c>
      <c r="B694" t="inlineStr">
        <is>
          <t>epic</t>
        </is>
      </c>
      <c r="C694" t="n">
        <v>3</v>
      </c>
      <c r="D694" t="inlineStr">
        <is>
          <t>Main Stat % per 4 Levels</t>
        </is>
      </c>
      <c r="E694" t="n">
        <v>0.4</v>
      </c>
      <c r="F694" t="n">
        <v>0.08</v>
      </c>
      <c r="G694" t="b">
        <v>1</v>
      </c>
      <c r="H694">
        <f>Sensitivity!H6*INT(Inputs!$B$3/4)</f>
        <v/>
      </c>
    </row>
    <row r="695">
      <c r="A695" t="inlineStr">
        <is>
          <t>pocket</t>
        </is>
      </c>
      <c r="B695" t="inlineStr">
        <is>
          <t>unique</t>
        </is>
      </c>
      <c r="C695" t="n">
        <v>1</v>
      </c>
      <c r="D695" t="inlineStr">
        <is>
          <t>Main Stat % per 4 Levels</t>
        </is>
      </c>
      <c r="E695" t="n">
        <v>0.6</v>
      </c>
      <c r="F695" t="n">
        <v>1</v>
      </c>
      <c r="G695" t="b">
        <v>1</v>
      </c>
      <c r="H695">
        <f>Sensitivity!H6*INT(Inputs!$B$3/4)</f>
        <v/>
      </c>
    </row>
    <row r="696">
      <c r="A696" t="inlineStr">
        <is>
          <t>pocket</t>
        </is>
      </c>
      <c r="B696" t="inlineStr">
        <is>
          <t>unique</t>
        </is>
      </c>
      <c r="C696" t="n">
        <v>2</v>
      </c>
      <c r="D696" t="inlineStr">
        <is>
          <t>Main Stat % per 4 Levels</t>
        </is>
      </c>
      <c r="E696" t="n">
        <v>0.6</v>
      </c>
      <c r="F696" t="n">
        <v>0.24</v>
      </c>
      <c r="G696" t="b">
        <v>1</v>
      </c>
      <c r="H696">
        <f>Sensitivity!H6*INT(Inputs!$B$3/4)</f>
        <v/>
      </c>
    </row>
    <row r="697">
      <c r="A697" t="inlineStr">
        <is>
          <t>pocket</t>
        </is>
      </c>
      <c r="B697" t="inlineStr">
        <is>
          <t>unique</t>
        </is>
      </c>
      <c r="C697" t="n">
        <v>2</v>
      </c>
      <c r="D697" t="inlineStr">
        <is>
          <t>Main Stat % per 4 Levels</t>
        </is>
      </c>
      <c r="E697" t="n">
        <v>0.4</v>
      </c>
      <c r="F697" t="n">
        <v>0.76</v>
      </c>
      <c r="G697" t="b">
        <v>0</v>
      </c>
      <c r="H697">
        <f>Sensitivity!H6*INT(Inputs!$B$3/4)</f>
        <v/>
      </c>
    </row>
    <row r="698">
      <c r="A698" t="inlineStr">
        <is>
          <t>pocket</t>
        </is>
      </c>
      <c r="B698" t="inlineStr">
        <is>
          <t>unique</t>
        </is>
      </c>
      <c r="C698" t="n">
        <v>3</v>
      </c>
      <c r="D698" t="inlineStr">
        <is>
          <t>Main Stat % per 4 Levels</t>
        </is>
      </c>
      <c r="E698" t="n">
        <v>0.6</v>
      </c>
      <c r="F698" t="n">
        <v>0.08</v>
      </c>
      <c r="G698" t="b">
        <v>1</v>
      </c>
      <c r="H698">
        <f>Sensitivity!H6*INT(Inputs!$B$3/4)</f>
        <v/>
      </c>
    </row>
    <row r="699">
      <c r="A699" t="inlineStr">
        <is>
          <t>pocket</t>
        </is>
      </c>
      <c r="B699" t="inlineStr">
        <is>
          <t>unique</t>
        </is>
      </c>
      <c r="C699" t="n">
        <v>3</v>
      </c>
      <c r="D699" t="inlineStr">
        <is>
          <t>Main Stat % per 4 Levels</t>
        </is>
      </c>
      <c r="E699" t="n">
        <v>0.4</v>
      </c>
      <c r="F699" t="n">
        <v>0.92</v>
      </c>
      <c r="G699" t="b">
        <v>0</v>
      </c>
      <c r="H699">
        <f>Sensitivity!H6*INT(Inputs!$B$3/4)</f>
        <v/>
      </c>
    </row>
    <row r="700">
      <c r="A700" t="inlineStr">
        <is>
          <t>pocket</t>
        </is>
      </c>
      <c r="B700" t="inlineStr">
        <is>
          <t>legendary</t>
        </is>
      </c>
      <c r="C700" t="n">
        <v>1</v>
      </c>
      <c r="D700" t="inlineStr">
        <is>
          <t>Main Stat % per 4 Levels</t>
        </is>
      </c>
      <c r="E700" t="n">
        <v>0.8</v>
      </c>
      <c r="F700" t="n">
        <v>1</v>
      </c>
      <c r="G700" t="b">
        <v>1</v>
      </c>
      <c r="H700">
        <f>Sensitivity!H6*INT(Inputs!$B$3/4)</f>
        <v/>
      </c>
    </row>
    <row r="701">
      <c r="A701" t="inlineStr">
        <is>
          <t>pocket</t>
        </is>
      </c>
      <c r="B701" t="inlineStr">
        <is>
          <t>legendary</t>
        </is>
      </c>
      <c r="C701" t="n">
        <v>2</v>
      </c>
      <c r="D701" t="inlineStr">
        <is>
          <t>Main Stat % per 4 Levels</t>
        </is>
      </c>
      <c r="E701" t="n">
        <v>0.8</v>
      </c>
      <c r="F701" t="n">
        <v>0.24</v>
      </c>
      <c r="G701" t="b">
        <v>1</v>
      </c>
      <c r="H701">
        <f>Sensitivity!H6*INT(Inputs!$B$3/4)</f>
        <v/>
      </c>
    </row>
    <row r="702">
      <c r="A702" t="inlineStr">
        <is>
          <t>pocket</t>
        </is>
      </c>
      <c r="B702" t="inlineStr">
        <is>
          <t>legendary</t>
        </is>
      </c>
      <c r="C702" t="n">
        <v>2</v>
      </c>
      <c r="D702" t="inlineStr">
        <is>
          <t>Main Stat % per 4 Levels</t>
        </is>
      </c>
      <c r="E702" t="n">
        <v>0.6</v>
      </c>
      <c r="F702" t="n">
        <v>0.76</v>
      </c>
      <c r="G702" t="b">
        <v>0</v>
      </c>
      <c r="H702">
        <f>Sensitivity!H6*INT(Inputs!$B$3/4)</f>
        <v/>
      </c>
    </row>
    <row r="703">
      <c r="A703" t="inlineStr">
        <is>
          <t>pocket</t>
        </is>
      </c>
      <c r="B703" t="inlineStr">
        <is>
          <t>legendary</t>
        </is>
      </c>
      <c r="C703" t="n">
        <v>3</v>
      </c>
      <c r="D703" t="inlineStr">
        <is>
          <t>Main Stat % per 4 Levels</t>
        </is>
      </c>
      <c r="E703" t="n">
        <v>0.8</v>
      </c>
      <c r="F703" t="n">
        <v>0.08</v>
      </c>
      <c r="G703" t="b">
        <v>1</v>
      </c>
      <c r="H703">
        <f>Sensitivity!H6*INT(Inputs!$B$3/4)</f>
        <v/>
      </c>
    </row>
    <row r="704">
      <c r="A704" t="inlineStr">
        <is>
          <t>pocket</t>
        </is>
      </c>
      <c r="B704" t="inlineStr">
        <is>
          <t>legendary</t>
        </is>
      </c>
      <c r="C704" t="n">
        <v>3</v>
      </c>
      <c r="D704" t="inlineStr">
        <is>
          <t>Main Stat % per 4 Levels</t>
        </is>
      </c>
      <c r="E704" t="n">
        <v>0.6</v>
      </c>
      <c r="F704" t="n">
        <v>0.92</v>
      </c>
      <c r="G704" t="b">
        <v>0</v>
      </c>
      <c r="H704">
        <f>Sensitivity!H6*INT(Inputs!$B$3/4)</f>
        <v/>
      </c>
    </row>
    <row r="705">
      <c r="A705" t="inlineStr">
        <is>
          <t>pocket</t>
        </is>
      </c>
      <c r="B705" t="inlineStr">
        <is>
          <t>mystic</t>
        </is>
      </c>
      <c r="C705" t="n">
        <v>1</v>
      </c>
      <c r="D705" t="inlineStr">
        <is>
          <t>Main Stat % per 4 Levels</t>
        </is>
      </c>
      <c r="E705" t="n">
        <v>1.2</v>
      </c>
      <c r="F705" t="n">
        <v>1</v>
      </c>
      <c r="G705" t="b">
        <v>1</v>
      </c>
      <c r="H705">
        <f>Sensitivity!H6*INT(Inputs!$B$3/4)</f>
        <v/>
      </c>
    </row>
    <row r="706">
      <c r="A706" t="inlineStr">
        <is>
          <t>pocket</t>
        </is>
      </c>
      <c r="B706" t="inlineStr">
        <is>
          <t>mystic</t>
        </is>
      </c>
      <c r="C706" t="n">
        <v>2</v>
      </c>
      <c r="D706" t="inlineStr">
        <is>
          <t>Main Stat % per 4 Levels</t>
        </is>
      </c>
      <c r="E706" t="n">
        <v>1.2</v>
      </c>
      <c r="F706" t="n">
        <v>0.24</v>
      </c>
      <c r="G706" t="b">
        <v>1</v>
      </c>
      <c r="H706">
        <f>Sensitivity!H6*INT(Inputs!$B$3/4)</f>
        <v/>
      </c>
    </row>
    <row r="707">
      <c r="A707" t="inlineStr">
        <is>
          <t>pocket</t>
        </is>
      </c>
      <c r="B707" t="inlineStr">
        <is>
          <t>mystic</t>
        </is>
      </c>
      <c r="C707" t="n">
        <v>2</v>
      </c>
      <c r="D707" t="inlineStr">
        <is>
          <t>Main Stat % per 4 Levels</t>
        </is>
      </c>
      <c r="E707" t="n">
        <v>0.8</v>
      </c>
      <c r="F707" t="n">
        <v>0.76</v>
      </c>
      <c r="G707" t="b">
        <v>0</v>
      </c>
      <c r="H707">
        <f>Sensitivity!H6*INT(Inputs!$B$3/4)</f>
        <v/>
      </c>
    </row>
    <row r="708">
      <c r="A708" t="inlineStr">
        <is>
          <t>pocket</t>
        </is>
      </c>
      <c r="B708" t="inlineStr">
        <is>
          <t>mystic</t>
        </is>
      </c>
      <c r="C708" t="n">
        <v>3</v>
      </c>
      <c r="D708" t="inlineStr">
        <is>
          <t>Main Stat % per 4 Levels</t>
        </is>
      </c>
      <c r="E708" t="n">
        <v>1.2</v>
      </c>
      <c r="F708" t="n">
        <v>0.08</v>
      </c>
      <c r="G708" t="b">
        <v>1</v>
      </c>
      <c r="H708">
        <f>Sensitivity!H6*INT(Inputs!$B$3/4)</f>
        <v/>
      </c>
    </row>
    <row r="709">
      <c r="A709" t="inlineStr">
        <is>
          <t>pocket</t>
        </is>
      </c>
      <c r="B709" t="inlineStr">
        <is>
          <t>mystic</t>
        </is>
      </c>
      <c r="C709" t="n">
        <v>3</v>
      </c>
      <c r="D709" t="inlineStr">
        <is>
          <t>Main Stat % per 4 Levels</t>
        </is>
      </c>
      <c r="E709" t="n">
        <v>0.8</v>
      </c>
      <c r="F709" t="n">
        <v>0.92</v>
      </c>
      <c r="G709" t="b">
        <v>0</v>
      </c>
      <c r="H709">
        <f>Sensitivity!H6*INT(Inputs!$B$3/4)</f>
        <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42"/>
  <sheetViews>
    <sheetView workbookViewId="0">
      <pane ySplit="4" topLeftCell="A5" activePane="bottomLeft" state="frozen"/>
      <selection pane="bottomLeft" activeCell="A1" sqref="A1"/>
    </sheetView>
  </sheetViews>
  <sheetFormatPr baseColWidth="8" defaultRowHeight="15"/>
  <cols>
    <col width="42" customWidth="1" min="1" max="1"/>
    <col width="12" customWidth="1" min="2" max="2"/>
    <col width="12" customWidth="1" min="3" max="3"/>
    <col width="26" customWidth="1" min="4" max="4"/>
    <col width="14" customWidth="1" min="5" max="5"/>
    <col width="12" customWidth="1" min="6" max="6"/>
    <col width="26" customWidth="1" min="7" max="7"/>
    <col width="14" customWidth="1" min="8" max="8"/>
    <col width="12" customWidth="1" min="9" max="9"/>
    <col width="26" customWidth="1" min="10" max="10"/>
    <col width="14" customWidth="1" min="11" max="11"/>
    <col width="16" customWidth="1" min="12" max="12"/>
    <col width="18" customWidth="1" min="13" max="13"/>
    <col width="20" customWidth="1" min="14" max="14"/>
  </cols>
  <sheetData>
    <row r="1">
      <c r="A1" s="4" t="inlineStr">
        <is>
          <t>Marksman — Artifacts (Star Level + Potentials)</t>
        </is>
      </c>
    </row>
    <row r="2">
      <c r="A2" t="inlineStr">
        <is>
          <t>Equipped artifacts are picked on the Inputs sheet now (Equipped Artifacts section, per content type). Every artifact's Star Level (or "Not Unlocked") and Potential lines are tracked separately regardless of whether it's currently equipped, so swapping gear doesn't lose your progress. Potential lines are reference-only (their DPS Gain is NOT added to live Total DPS) — the assumption is the same as Book of Ancient etc.: once you decide to keep a roll, fold its value into your own Inputs manually. Sensitivity's Artifact Equip-Toggle table DOES include each artifact's current potential-line DPS Gain, since potentials only apply while the artifact is actually equipped.</t>
        </is>
      </c>
    </row>
    <row r="3">
      <c r="A3" s="9" t="inlineStr">
        <is>
          <t>All Artifacts — Star Level + Potentials</t>
        </is>
      </c>
    </row>
    <row r="4">
      <c r="A4" s="5" t="inlineStr">
        <is>
          <t>Artifact</t>
        </is>
      </c>
      <c r="B4" s="5" t="inlineStr">
        <is>
          <t>Star Level</t>
        </is>
      </c>
      <c r="C4" s="5" t="inlineStr">
        <is>
          <t>Line 1 Rarity</t>
        </is>
      </c>
      <c r="D4" s="5" t="inlineStr">
        <is>
          <t>Line 1 Stat</t>
        </is>
      </c>
      <c r="E4" s="5" t="inlineStr">
        <is>
          <t>Line 1 DPS Gain</t>
        </is>
      </c>
      <c r="F4" s="5" t="inlineStr">
        <is>
          <t>Line 2 Rarity</t>
        </is>
      </c>
      <c r="G4" s="5" t="inlineStr">
        <is>
          <t>Line 2 Stat</t>
        </is>
      </c>
      <c r="H4" s="5" t="inlineStr">
        <is>
          <t>Line 2 DPS Gain</t>
        </is>
      </c>
      <c r="I4" s="5" t="inlineStr">
        <is>
          <t>Line 3 Rarity (Legendary only)</t>
        </is>
      </c>
      <c r="J4" s="5" t="inlineStr">
        <is>
          <t>Line 3 Stat (Legendary only)</t>
        </is>
      </c>
      <c r="K4" s="5" t="inlineStr">
        <is>
          <t>Line 3 DPS Gain</t>
        </is>
      </c>
      <c r="L4" s="5" t="inlineStr">
        <is>
          <t>Total Potential DPS Gain</t>
        </is>
      </c>
      <c r="M4" s="5" t="inlineStr">
        <is>
          <t>Equipped? (computed)</t>
        </is>
      </c>
      <c r="N4" s="5" t="inlineStr">
        <is>
          <t>Star Level, resolved (computed)</t>
        </is>
      </c>
    </row>
    <row r="5">
      <c r="A5" s="6" t="inlineStr">
        <is>
          <t>Charm of the Undead</t>
        </is>
      </c>
      <c r="B5" s="7" t="n">
        <v>5</v>
      </c>
      <c r="C5" s="7" t="inlineStr">
        <is>
          <t>Rare</t>
        </is>
      </c>
      <c r="D5" s="7" t="inlineStr">
        <is>
          <t>(none)</t>
        </is>
      </c>
      <c r="E5">
        <f>IF($N$5&gt;=1,IF($D$5="Main Stat %",(CHOOSE(MATCH($C$5,{"Rare","Epic","Unique","Legendary","Mystic","Mystic (Prime)"},0),2,3,4.5,7,10,12))*Sensitivity!$H$6,IF($D$5="Damage Taken Decrease %",0,IF($D$5="Defense %",0,IF($D$5="Accuracy",0,IF($D$5="Critical Rate %",(CHOOSE(MATCH($C$5,{"Rare","Epic","Unique","Legendary","Mystic","Mystic (Prime)"},0),2,3,4.5,7,10,12))*Sensitivity!$H$15,IF($D$5="Min Damage Multiplier %",(CHOOSE(MATCH($C$5,{"Rare","Epic","Unique","Legendary","Mystic","Mystic (Prime)"},0),2,3,4.5,7,10,12))*Sensitivity!$H$13,IF($D$5="Max Damage Multiplier %",(CHOOSE(MATCH($C$5,{"Rare","Epic","Unique","Legendary","Mystic","Mystic (Prime)"},0),2,3,4.5,7,10,12))*Sensitivity!$H$14,IF($D$5="Boss Monster Damage %",(CHOOSE(MATCH($C$5,{"Rare","Epic","Unique","Legendary","Mystic","Mystic (Prime)"},0),4,6,9,14,20,24))*Sensitivity!$H$10,IF($D$5="Normal Monster Damage %",(CHOOSE(MATCH($C$5,{"Rare","Epic","Unique","Legendary","Mystic","Mystic (Prime)"},0),4,6,9,14,20,24))*Sensitivity!$H$11,IF($D$5="Status Effect Damage %",0,IF($D$5="Damage %",(CHOOSE(MATCH($C$5,{"Rare","Epic","Unique","Legendary","Mystic","Mystic (Prime)"},0),4,6,9,14,20,24))*Sensitivity!$H$8,IF($D$5="Defense Penetration %",(CHOOSE(MATCH($C$5,{"Rare","Epic","Unique","Legendary","Mystic","Mystic (Prime)"},0),2,3,4.5,7,10,12))*Sensitivity!$H$18,0)))))))))))),0)</f>
        <v/>
      </c>
      <c r="F5" s="7" t="inlineStr">
        <is>
          <t>Rare</t>
        </is>
      </c>
      <c r="G5" s="7" t="inlineStr">
        <is>
          <t>(none)</t>
        </is>
      </c>
      <c r="H5">
        <f>IF($N$5&gt;=2,IF($G$5="Main Stat %",(CHOOSE(MATCH($F$5,{"Rare","Epic","Unique","Legendary","Mystic","Mystic (Prime)"},0),2,3,4.5,7,10,12))*Sensitivity!$H$6,IF($G$5="Damage Taken Decrease %",0,IF($G$5="Defense %",0,IF($G$5="Accuracy",0,IF($G$5="Critical Rate %",(CHOOSE(MATCH($F$5,{"Rare","Epic","Unique","Legendary","Mystic","Mystic (Prime)"},0),2,3,4.5,7,10,12))*Sensitivity!$H$15,IF($G$5="Min Damage Multiplier %",(CHOOSE(MATCH($F$5,{"Rare","Epic","Unique","Legendary","Mystic","Mystic (Prime)"},0),2,3,4.5,7,10,12))*Sensitivity!$H$13,IF($G$5="Max Damage Multiplier %",(CHOOSE(MATCH($F$5,{"Rare","Epic","Unique","Legendary","Mystic","Mystic (Prime)"},0),2,3,4.5,7,10,12))*Sensitivity!$H$14,IF($G$5="Boss Monster Damage %",(CHOOSE(MATCH($F$5,{"Rare","Epic","Unique","Legendary","Mystic","Mystic (Prime)"},0),4,6,9,14,20,24))*Sensitivity!$H$10,IF($G$5="Normal Monster Damage %",(CHOOSE(MATCH($F$5,{"Rare","Epic","Unique","Legendary","Mystic","Mystic (Prime)"},0),4,6,9,14,20,24))*Sensitivity!$H$11,IF($G$5="Status Effect Damage %",0,IF($G$5="Damage %",(CHOOSE(MATCH($F$5,{"Rare","Epic","Unique","Legendary","Mystic","Mystic (Prime)"},0),4,6,9,14,20,24))*Sensitivity!$H$8,IF($G$5="Defense Penetration %",(CHOOSE(MATCH($F$5,{"Rare","Epic","Unique","Legendary","Mystic","Mystic (Prime)"},0),2,3,4.5,7,10,12))*Sensitivity!$H$18,0)))))))))))),0)</f>
        <v/>
      </c>
      <c r="L5">
        <f>Summary!$B$3*((IF(D5="(none)",1,1+(E5+IF(G5=D5,H5,0)+IF(J5=D5,K5,0))/Summary!$B$3))*(IF(OR(G5="(none)",G5=D5),1,1+(H5+IF(D5=G5,E5,0)+IF(J5=G5,K5,0))/Summary!$B$3))*(IF(OR(J5="",J5="(none)",J5=D5,J5=G5),1,1+(K5+IF(D5=J5,E5,0)+IF(G5=J5,H5,0))/Summary!$B$3))-1)</f>
        <v/>
      </c>
      <c r="M5">
        <f>OR(Inputs!$B$47="Charm of the Undead",Inputs!$B$48="Charm of the Undead",Inputs!$B$49="Charm of the Undead",Inputs!$B$50="Charm of the Undead")</f>
        <v/>
      </c>
      <c r="N5">
        <f>IF(B5="Not Unlocked",0,B5)</f>
        <v/>
      </c>
    </row>
    <row r="6">
      <c r="A6" s="6" t="inlineStr">
        <is>
          <t>Pig's Ribbon</t>
        </is>
      </c>
      <c r="B6" s="7" t="n">
        <v>5</v>
      </c>
      <c r="C6" s="7" t="inlineStr">
        <is>
          <t>Rare</t>
        </is>
      </c>
      <c r="D6" s="7" t="inlineStr">
        <is>
          <t>(none)</t>
        </is>
      </c>
      <c r="E6">
        <f>IF($N$6&gt;=1,IF($D$6="Main Stat %",(CHOOSE(MATCH($C$6,{"Rare","Epic","Unique","Legendary","Mystic","Mystic (Prime)"},0),2,3,4.5,7,10,12))*Sensitivity!$H$6,IF($D$6="Damage Taken Decrease %",0,IF($D$6="Defense %",0,IF($D$6="Accuracy",0,IF($D$6="Critical Rate %",(CHOOSE(MATCH($C$6,{"Rare","Epic","Unique","Legendary","Mystic","Mystic (Prime)"},0),2,3,4.5,7,10,12))*Sensitivity!$H$15,IF($D$6="Min Damage Multiplier %",(CHOOSE(MATCH($C$6,{"Rare","Epic","Unique","Legendary","Mystic","Mystic (Prime)"},0),2,3,4.5,7,10,12))*Sensitivity!$H$13,IF($D$6="Max Damage Multiplier %",(CHOOSE(MATCH($C$6,{"Rare","Epic","Unique","Legendary","Mystic","Mystic (Prime)"},0),2,3,4.5,7,10,12))*Sensitivity!$H$14,IF($D$6="Boss Monster Damage %",(CHOOSE(MATCH($C$6,{"Rare","Epic","Unique","Legendary","Mystic","Mystic (Prime)"},0),4,6,9,14,20,24))*Sensitivity!$H$10,IF($D$6="Normal Monster Damage %",(CHOOSE(MATCH($C$6,{"Rare","Epic","Unique","Legendary","Mystic","Mystic (Prime)"},0),4,6,9,14,20,24))*Sensitivity!$H$11,IF($D$6="Status Effect Damage %",0,IF($D$6="Damage %",(CHOOSE(MATCH($C$6,{"Rare","Epic","Unique","Legendary","Mystic","Mystic (Prime)"},0),4,6,9,14,20,24))*Sensitivity!$H$8,IF($D$6="Defense Penetration %",(CHOOSE(MATCH($C$6,{"Rare","Epic","Unique","Legendary","Mystic","Mystic (Prime)"},0),2,3,4.5,7,10,12))*Sensitivity!$H$18,0)))))))))))),0)</f>
        <v/>
      </c>
      <c r="F6" s="7" t="inlineStr">
        <is>
          <t>Rare</t>
        </is>
      </c>
      <c r="G6" s="7" t="inlineStr">
        <is>
          <t>(none)</t>
        </is>
      </c>
      <c r="H6">
        <f>IF($N$6&gt;=2,IF($G$6="Main Stat %",(CHOOSE(MATCH($F$6,{"Rare","Epic","Unique","Legendary","Mystic","Mystic (Prime)"},0),2,3,4.5,7,10,12))*Sensitivity!$H$6,IF($G$6="Damage Taken Decrease %",0,IF($G$6="Defense %",0,IF($G$6="Accuracy",0,IF($G$6="Critical Rate %",(CHOOSE(MATCH($F$6,{"Rare","Epic","Unique","Legendary","Mystic","Mystic (Prime)"},0),2,3,4.5,7,10,12))*Sensitivity!$H$15,IF($G$6="Min Damage Multiplier %",(CHOOSE(MATCH($F$6,{"Rare","Epic","Unique","Legendary","Mystic","Mystic (Prime)"},0),2,3,4.5,7,10,12))*Sensitivity!$H$13,IF($G$6="Max Damage Multiplier %",(CHOOSE(MATCH($F$6,{"Rare","Epic","Unique","Legendary","Mystic","Mystic (Prime)"},0),2,3,4.5,7,10,12))*Sensitivity!$H$14,IF($G$6="Boss Monster Damage %",(CHOOSE(MATCH($F$6,{"Rare","Epic","Unique","Legendary","Mystic","Mystic (Prime)"},0),4,6,9,14,20,24))*Sensitivity!$H$10,IF($G$6="Normal Monster Damage %",(CHOOSE(MATCH($F$6,{"Rare","Epic","Unique","Legendary","Mystic","Mystic (Prime)"},0),4,6,9,14,20,24))*Sensitivity!$H$11,IF($G$6="Status Effect Damage %",0,IF($G$6="Damage %",(CHOOSE(MATCH($F$6,{"Rare","Epic","Unique","Legendary","Mystic","Mystic (Prime)"},0),4,6,9,14,20,24))*Sensitivity!$H$8,IF($G$6="Defense Penetration %",(CHOOSE(MATCH($F$6,{"Rare","Epic","Unique","Legendary","Mystic","Mystic (Prime)"},0),2,3,4.5,7,10,12))*Sensitivity!$H$18,0)))))))))))),0)</f>
        <v/>
      </c>
      <c r="L6">
        <f>Summary!$B$3*((IF(D6="(none)",1,1+(E6+IF(G6=D6,H6,0)+IF(J6=D6,K6,0))/Summary!$B$3))*(IF(OR(G6="(none)",G6=D6),1,1+(H6+IF(D6=G6,E6,0)+IF(J6=G6,K6,0))/Summary!$B$3))*(IF(OR(J6="",J6="(none)",J6=D6,J6=G6),1,1+(K6+IF(D6=J6,E6,0)+IF(G6=J6,H6,0))/Summary!$B$3))-1)</f>
        <v/>
      </c>
      <c r="M6">
        <f>OR(Inputs!$B$47="Pig's Ribbon",Inputs!$B$48="Pig's Ribbon",Inputs!$B$49="Pig's Ribbon",Inputs!$B$50="Pig's Ribbon")</f>
        <v/>
      </c>
      <c r="N6">
        <f>IF(B6="Not Unlocked",0,B6)</f>
        <v/>
      </c>
    </row>
    <row r="7">
      <c r="A7" s="6" t="inlineStr">
        <is>
          <t>Shamaness Marble</t>
        </is>
      </c>
      <c r="B7" s="7" t="n">
        <v>5</v>
      </c>
      <c r="C7" s="7" t="inlineStr">
        <is>
          <t>Rare</t>
        </is>
      </c>
      <c r="D7" s="7" t="inlineStr">
        <is>
          <t>(none)</t>
        </is>
      </c>
      <c r="E7">
        <f>IF($N$7&gt;=1,IF($D$7="Main Stat %",(CHOOSE(MATCH($C$7,{"Rare","Epic","Unique","Legendary","Mystic","Mystic (Prime)"},0),2,3,4.5,7,10,12))*Sensitivity!$H$6,IF($D$7="Damage Taken Decrease %",0,IF($D$7="Defense %",0,IF($D$7="Accuracy",0,IF($D$7="Critical Rate %",(CHOOSE(MATCH($C$7,{"Rare","Epic","Unique","Legendary","Mystic","Mystic (Prime)"},0),2,3,4.5,7,10,12))*Sensitivity!$H$15,IF($D$7="Min Damage Multiplier %",(CHOOSE(MATCH($C$7,{"Rare","Epic","Unique","Legendary","Mystic","Mystic (Prime)"},0),2,3,4.5,7,10,12))*Sensitivity!$H$13,IF($D$7="Max Damage Multiplier %",(CHOOSE(MATCH($C$7,{"Rare","Epic","Unique","Legendary","Mystic","Mystic (Prime)"},0),2,3,4.5,7,10,12))*Sensitivity!$H$14,IF($D$7="Boss Monster Damage %",(CHOOSE(MATCH($C$7,{"Rare","Epic","Unique","Legendary","Mystic","Mystic (Prime)"},0),4,6,9,14,20,24))*Sensitivity!$H$10,IF($D$7="Normal Monster Damage %",(CHOOSE(MATCH($C$7,{"Rare","Epic","Unique","Legendary","Mystic","Mystic (Prime)"},0),4,6,9,14,20,24))*Sensitivity!$H$11,IF($D$7="Status Effect Damage %",0,IF($D$7="Damage %",(CHOOSE(MATCH($C$7,{"Rare","Epic","Unique","Legendary","Mystic","Mystic (Prime)"},0),4,6,9,14,20,24))*Sensitivity!$H$8,IF($D$7="Defense Penetration %",(CHOOSE(MATCH($C$7,{"Rare","Epic","Unique","Legendary","Mystic","Mystic (Prime)"},0),2,3,4.5,7,10,12))*Sensitivity!$H$18,0)))))))))))),0)</f>
        <v/>
      </c>
      <c r="F7" s="7" t="inlineStr">
        <is>
          <t>Rare</t>
        </is>
      </c>
      <c r="G7" s="7" t="inlineStr">
        <is>
          <t>(none)</t>
        </is>
      </c>
      <c r="H7">
        <f>IF($N$7&gt;=2,IF($G$7="Main Stat %",(CHOOSE(MATCH($F$7,{"Rare","Epic","Unique","Legendary","Mystic","Mystic (Prime)"},0),2,3,4.5,7,10,12))*Sensitivity!$H$6,IF($G$7="Damage Taken Decrease %",0,IF($G$7="Defense %",0,IF($G$7="Accuracy",0,IF($G$7="Critical Rate %",(CHOOSE(MATCH($F$7,{"Rare","Epic","Unique","Legendary","Mystic","Mystic (Prime)"},0),2,3,4.5,7,10,12))*Sensitivity!$H$15,IF($G$7="Min Damage Multiplier %",(CHOOSE(MATCH($F$7,{"Rare","Epic","Unique","Legendary","Mystic","Mystic (Prime)"},0),2,3,4.5,7,10,12))*Sensitivity!$H$13,IF($G$7="Max Damage Multiplier %",(CHOOSE(MATCH($F$7,{"Rare","Epic","Unique","Legendary","Mystic","Mystic (Prime)"},0),2,3,4.5,7,10,12))*Sensitivity!$H$14,IF($G$7="Boss Monster Damage %",(CHOOSE(MATCH($F$7,{"Rare","Epic","Unique","Legendary","Mystic","Mystic (Prime)"},0),4,6,9,14,20,24))*Sensitivity!$H$10,IF($G$7="Normal Monster Damage %",(CHOOSE(MATCH($F$7,{"Rare","Epic","Unique","Legendary","Mystic","Mystic (Prime)"},0),4,6,9,14,20,24))*Sensitivity!$H$11,IF($G$7="Status Effect Damage %",0,IF($G$7="Damage %",(CHOOSE(MATCH($F$7,{"Rare","Epic","Unique","Legendary","Mystic","Mystic (Prime)"},0),4,6,9,14,20,24))*Sensitivity!$H$8,IF($G$7="Defense Penetration %",(CHOOSE(MATCH($F$7,{"Rare","Epic","Unique","Legendary","Mystic","Mystic (Prime)"},0),2,3,4.5,7,10,12))*Sensitivity!$H$18,0)))))))))))),0)</f>
        <v/>
      </c>
      <c r="L7">
        <f>Summary!$B$3*((IF(D7="(none)",1,1+(E7+IF(G7=D7,H7,0)+IF(J7=D7,K7,0))/Summary!$B$3))*(IF(OR(G7="(none)",G7=D7),1,1+(H7+IF(D7=G7,E7,0)+IF(J7=G7,K7,0))/Summary!$B$3))*(IF(OR(J7="",J7="(none)",J7=D7,J7=G7),1,1+(K7+IF(D7=J7,E7,0)+IF(G7=J7,H7,0))/Summary!$B$3))-1)</f>
        <v/>
      </c>
      <c r="M7">
        <f>OR(Inputs!$B$47="Shamaness Marble",Inputs!$B$48="Shamaness Marble",Inputs!$B$49="Shamaness Marble",Inputs!$B$50="Shamaness Marble")</f>
        <v/>
      </c>
      <c r="N7">
        <f>IF(B7="Not Unlocked",0,B7)</f>
        <v/>
      </c>
    </row>
    <row r="8">
      <c r="A8" s="6" t="inlineStr">
        <is>
          <t>The Contract of Darkness</t>
        </is>
      </c>
      <c r="B8" s="7" t="n">
        <v>5</v>
      </c>
      <c r="C8" s="7" t="inlineStr">
        <is>
          <t>Rare</t>
        </is>
      </c>
      <c r="D8" s="7" t="inlineStr">
        <is>
          <t>(none)</t>
        </is>
      </c>
      <c r="E8">
        <f>IF($N$8&gt;=1,IF($D$8="Main Stat %",(CHOOSE(MATCH($C$8,{"Rare","Epic","Unique","Legendary","Mystic","Mystic (Prime)"},0),2,3,4.5,7,10,12))*Sensitivity!$H$6,IF($D$8="Damage Taken Decrease %",0,IF($D$8="Defense %",0,IF($D$8="Accuracy",0,IF($D$8="Critical Rate %",(CHOOSE(MATCH($C$8,{"Rare","Epic","Unique","Legendary","Mystic","Mystic (Prime)"},0),2,3,4.5,7,10,12))*Sensitivity!$H$15,IF($D$8="Min Damage Multiplier %",(CHOOSE(MATCH($C$8,{"Rare","Epic","Unique","Legendary","Mystic","Mystic (Prime)"},0),2,3,4.5,7,10,12))*Sensitivity!$H$13,IF($D$8="Max Damage Multiplier %",(CHOOSE(MATCH($C$8,{"Rare","Epic","Unique","Legendary","Mystic","Mystic (Prime)"},0),2,3,4.5,7,10,12))*Sensitivity!$H$14,IF($D$8="Boss Monster Damage %",(CHOOSE(MATCH($C$8,{"Rare","Epic","Unique","Legendary","Mystic","Mystic (Prime)"},0),4,6,9,14,20,24))*Sensitivity!$H$10,IF($D$8="Normal Monster Damage %",(CHOOSE(MATCH($C$8,{"Rare","Epic","Unique","Legendary","Mystic","Mystic (Prime)"},0),4,6,9,14,20,24))*Sensitivity!$H$11,IF($D$8="Status Effect Damage %",0,IF($D$8="Damage %",(CHOOSE(MATCH($C$8,{"Rare","Epic","Unique","Legendary","Mystic","Mystic (Prime)"},0),4,6,9,14,20,24))*Sensitivity!$H$8,IF($D$8="Defense Penetration %",(CHOOSE(MATCH($C$8,{"Rare","Epic","Unique","Legendary","Mystic","Mystic (Prime)"},0),2,3,4.5,7,10,12))*Sensitivity!$H$18,0)))))))))))),0)</f>
        <v/>
      </c>
      <c r="F8" s="7" t="inlineStr">
        <is>
          <t>Rare</t>
        </is>
      </c>
      <c r="G8" s="7" t="inlineStr">
        <is>
          <t>(none)</t>
        </is>
      </c>
      <c r="H8">
        <f>IF($N$8&gt;=2,IF($G$8="Main Stat %",(CHOOSE(MATCH($F$8,{"Rare","Epic","Unique","Legendary","Mystic","Mystic (Prime)"},0),2,3,4.5,7,10,12))*Sensitivity!$H$6,IF($G$8="Damage Taken Decrease %",0,IF($G$8="Defense %",0,IF($G$8="Accuracy",0,IF($G$8="Critical Rate %",(CHOOSE(MATCH($F$8,{"Rare","Epic","Unique","Legendary","Mystic","Mystic (Prime)"},0),2,3,4.5,7,10,12))*Sensitivity!$H$15,IF($G$8="Min Damage Multiplier %",(CHOOSE(MATCH($F$8,{"Rare","Epic","Unique","Legendary","Mystic","Mystic (Prime)"},0),2,3,4.5,7,10,12))*Sensitivity!$H$13,IF($G$8="Max Damage Multiplier %",(CHOOSE(MATCH($F$8,{"Rare","Epic","Unique","Legendary","Mystic","Mystic (Prime)"},0),2,3,4.5,7,10,12))*Sensitivity!$H$14,IF($G$8="Boss Monster Damage %",(CHOOSE(MATCH($F$8,{"Rare","Epic","Unique","Legendary","Mystic","Mystic (Prime)"},0),4,6,9,14,20,24))*Sensitivity!$H$10,IF($G$8="Normal Monster Damage %",(CHOOSE(MATCH($F$8,{"Rare","Epic","Unique","Legendary","Mystic","Mystic (Prime)"},0),4,6,9,14,20,24))*Sensitivity!$H$11,IF($G$8="Status Effect Damage %",0,IF($G$8="Damage %",(CHOOSE(MATCH($F$8,{"Rare","Epic","Unique","Legendary","Mystic","Mystic (Prime)"},0),4,6,9,14,20,24))*Sensitivity!$H$8,IF($G$8="Defense Penetration %",(CHOOSE(MATCH($F$8,{"Rare","Epic","Unique","Legendary","Mystic","Mystic (Prime)"},0),2,3,4.5,7,10,12))*Sensitivity!$H$18,0)))))))))))),0)</f>
        <v/>
      </c>
      <c r="L8">
        <f>Summary!$B$3*((IF(D8="(none)",1,1+(E8+IF(G8=D8,H8,0)+IF(J8=D8,K8,0))/Summary!$B$3))*(IF(OR(G8="(none)",G8=D8),1,1+(H8+IF(D8=G8,E8,0)+IF(J8=G8,K8,0))/Summary!$B$3))*(IF(OR(J8="",J8="(none)",J8=D8,J8=G8),1,1+(K8+IF(D8=J8,E8,0)+IF(G8=J8,H8,0))/Summary!$B$3))-1)</f>
        <v/>
      </c>
      <c r="M8">
        <f>OR(Inputs!$B$47="The Contract of Darkness",Inputs!$B$48="The Contract of Darkness",Inputs!$B$49="The Contract of Darkness",Inputs!$B$50="The Contract of Darkness")</f>
        <v/>
      </c>
      <c r="N8">
        <f>IF(B8="Not Unlocked",0,B8)</f>
        <v/>
      </c>
    </row>
    <row r="10">
      <c r="A10" s="6" t="inlineStr">
        <is>
          <t>Rainbow-colored Snail Shell</t>
        </is>
      </c>
      <c r="B10" s="7" t="n">
        <v>3</v>
      </c>
      <c r="C10" s="7" t="inlineStr">
        <is>
          <t>Rare</t>
        </is>
      </c>
      <c r="D10" s="7" t="inlineStr">
        <is>
          <t>(none)</t>
        </is>
      </c>
      <c r="E10">
        <f>IF($N$10&gt;=1,IF($D$10="Main Stat %",(CHOOSE(MATCH($C$10,{"Rare","Epic","Unique","Legendary","Mystic","Mystic (Prime)"},0),2,3,4.5,7,10,12))*Sensitivity!$H$6,IF($D$10="Damage Taken Decrease %",0,IF($D$10="Defense %",0,IF($D$10="Accuracy",0,IF($D$10="Critical Rate %",(CHOOSE(MATCH($C$10,{"Rare","Epic","Unique","Legendary","Mystic","Mystic (Prime)"},0),2,3,4.5,7,10,12))*Sensitivity!$H$15,IF($D$10="Min Damage Multiplier %",(CHOOSE(MATCH($C$10,{"Rare","Epic","Unique","Legendary","Mystic","Mystic (Prime)"},0),2,3,4.5,7,10,12))*Sensitivity!$H$13,IF($D$10="Max Damage Multiplier %",(CHOOSE(MATCH($C$10,{"Rare","Epic","Unique","Legendary","Mystic","Mystic (Prime)"},0),2,3,4.5,7,10,12))*Sensitivity!$H$14,IF($D$10="Boss Monster Damage %",(CHOOSE(MATCH($C$10,{"Rare","Epic","Unique","Legendary","Mystic","Mystic (Prime)"},0),4,6,9,14,20,24))*Sensitivity!$H$10,IF($D$10="Normal Monster Damage %",(CHOOSE(MATCH($C$10,{"Rare","Epic","Unique","Legendary","Mystic","Mystic (Prime)"},0),4,6,9,14,20,24))*Sensitivity!$H$11,IF($D$10="Status Effect Damage %",0,IF($D$10="Damage %",(CHOOSE(MATCH($C$10,{"Rare","Epic","Unique","Legendary","Mystic","Mystic (Prime)"},0),4,6,9,14,20,24))*Sensitivity!$H$8,IF($D$10="Defense Penetration %",(CHOOSE(MATCH($C$10,{"Rare","Epic","Unique","Legendary","Mystic","Mystic (Prime)"},0),2,3,4.5,7,10,12))*Sensitivity!$H$18,0)))))))))))),0)</f>
        <v/>
      </c>
      <c r="F10" s="7" t="inlineStr">
        <is>
          <t>Rare</t>
        </is>
      </c>
      <c r="G10" s="7" t="inlineStr">
        <is>
          <t>(none)</t>
        </is>
      </c>
      <c r="H10">
        <f>IF($N$10&gt;=2,IF($G$10="Main Stat %",(CHOOSE(MATCH($F$10,{"Rare","Epic","Unique","Legendary","Mystic","Mystic (Prime)"},0),2,3,4.5,7,10,12))*Sensitivity!$H$6,IF($G$10="Damage Taken Decrease %",0,IF($G$10="Defense %",0,IF($G$10="Accuracy",0,IF($G$10="Critical Rate %",(CHOOSE(MATCH($F$10,{"Rare","Epic","Unique","Legendary","Mystic","Mystic (Prime)"},0),2,3,4.5,7,10,12))*Sensitivity!$H$15,IF($G$10="Min Damage Multiplier %",(CHOOSE(MATCH($F$10,{"Rare","Epic","Unique","Legendary","Mystic","Mystic (Prime)"},0),2,3,4.5,7,10,12))*Sensitivity!$H$13,IF($G$10="Max Damage Multiplier %",(CHOOSE(MATCH($F$10,{"Rare","Epic","Unique","Legendary","Mystic","Mystic (Prime)"},0),2,3,4.5,7,10,12))*Sensitivity!$H$14,IF($G$10="Boss Monster Damage %",(CHOOSE(MATCH($F$10,{"Rare","Epic","Unique","Legendary","Mystic","Mystic (Prime)"},0),4,6,9,14,20,24))*Sensitivity!$H$10,IF($G$10="Normal Monster Damage %",(CHOOSE(MATCH($F$10,{"Rare","Epic","Unique","Legendary","Mystic","Mystic (Prime)"},0),4,6,9,14,20,24))*Sensitivity!$H$11,IF($G$10="Status Effect Damage %",0,IF($G$10="Damage %",(CHOOSE(MATCH($F$10,{"Rare","Epic","Unique","Legendary","Mystic","Mystic (Prime)"},0),4,6,9,14,20,24))*Sensitivity!$H$8,IF($G$10="Defense Penetration %",(CHOOSE(MATCH($F$10,{"Rare","Epic","Unique","Legendary","Mystic","Mystic (Prime)"},0),2,3,4.5,7,10,12))*Sensitivity!$H$18,0)))))))))))),0)</f>
        <v/>
      </c>
      <c r="L10">
        <f>Summary!$B$3*((IF(D10="(none)",1,1+(E10+IF(G10=D10,H10,0)+IF(J10=D10,K10,0))/Summary!$B$3))*(IF(OR(G10="(none)",G10=D10),1,1+(H10+IF(D10=G10,E10,0)+IF(J10=G10,K10,0))/Summary!$B$3))*(IF(OR(J10="",J10="(none)",J10=D10,J10=G10),1,1+(K10+IF(D10=J10,E10,0)+IF(G10=J10,H10,0))/Summary!$B$3))-1)</f>
        <v/>
      </c>
      <c r="M10">
        <f>OR(Inputs!$B$47="Rainbow-colored Snail Shell",Inputs!$B$48="Rainbow-colored Snail Shell",Inputs!$B$49="Rainbow-colored Snail Shell",Inputs!$B$50="Rainbow-colored Snail Shell")</f>
        <v/>
      </c>
      <c r="N10">
        <f>IF(B10="Not Unlocked",0,B10)</f>
        <v/>
      </c>
    </row>
    <row r="11">
      <c r="A11" s="6" t="inlineStr">
        <is>
          <t>Hexagon Necklace</t>
        </is>
      </c>
      <c r="B11" s="7" t="n">
        <v>3</v>
      </c>
      <c r="C11" s="7" t="inlineStr">
        <is>
          <t>Rare</t>
        </is>
      </c>
      <c r="D11" s="7" t="inlineStr">
        <is>
          <t>(none)</t>
        </is>
      </c>
      <c r="E11">
        <f>IF($N$11&gt;=1,IF($D$11="Main Stat %",(CHOOSE(MATCH($C$11,{"Rare","Epic","Unique","Legendary","Mystic","Mystic (Prime)"},0),2,3,4.5,7,10,12))*Sensitivity!$H$6,IF($D$11="Damage Taken Decrease %",0,IF($D$11="Defense %",0,IF($D$11="Accuracy",0,IF($D$11="Critical Rate %",(CHOOSE(MATCH($C$11,{"Rare","Epic","Unique","Legendary","Mystic","Mystic (Prime)"},0),2,3,4.5,7,10,12))*Sensitivity!$H$15,IF($D$11="Min Damage Multiplier %",(CHOOSE(MATCH($C$11,{"Rare","Epic","Unique","Legendary","Mystic","Mystic (Prime)"},0),2,3,4.5,7,10,12))*Sensitivity!$H$13,IF($D$11="Max Damage Multiplier %",(CHOOSE(MATCH($C$11,{"Rare","Epic","Unique","Legendary","Mystic","Mystic (Prime)"},0),2,3,4.5,7,10,12))*Sensitivity!$H$14,IF($D$11="Boss Monster Damage %",(CHOOSE(MATCH($C$11,{"Rare","Epic","Unique","Legendary","Mystic","Mystic (Prime)"},0),4,6,9,14,20,24))*Sensitivity!$H$10,IF($D$11="Normal Monster Damage %",(CHOOSE(MATCH($C$11,{"Rare","Epic","Unique","Legendary","Mystic","Mystic (Prime)"},0),4,6,9,14,20,24))*Sensitivity!$H$11,IF($D$11="Status Effect Damage %",0,IF($D$11="Damage %",(CHOOSE(MATCH($C$11,{"Rare","Epic","Unique","Legendary","Mystic","Mystic (Prime)"},0),4,6,9,14,20,24))*Sensitivity!$H$8,IF($D$11="Defense Penetration %",(CHOOSE(MATCH($C$11,{"Rare","Epic","Unique","Legendary","Mystic","Mystic (Prime)"},0),2,3,4.5,7,10,12))*Sensitivity!$H$18,0)))))))))))),0)</f>
        <v/>
      </c>
      <c r="F11" s="7" t="inlineStr">
        <is>
          <t>Rare</t>
        </is>
      </c>
      <c r="G11" s="7" t="inlineStr">
        <is>
          <t>(none)</t>
        </is>
      </c>
      <c r="H11">
        <f>IF($N$11&gt;=2,IF($G$11="Main Stat %",(CHOOSE(MATCH($F$11,{"Rare","Epic","Unique","Legendary","Mystic","Mystic (Prime)"},0),2,3,4.5,7,10,12))*Sensitivity!$H$6,IF($G$11="Damage Taken Decrease %",0,IF($G$11="Defense %",0,IF($G$11="Accuracy",0,IF($G$11="Critical Rate %",(CHOOSE(MATCH($F$11,{"Rare","Epic","Unique","Legendary","Mystic","Mystic (Prime)"},0),2,3,4.5,7,10,12))*Sensitivity!$H$15,IF($G$11="Min Damage Multiplier %",(CHOOSE(MATCH($F$11,{"Rare","Epic","Unique","Legendary","Mystic","Mystic (Prime)"},0),2,3,4.5,7,10,12))*Sensitivity!$H$13,IF($G$11="Max Damage Multiplier %",(CHOOSE(MATCH($F$11,{"Rare","Epic","Unique","Legendary","Mystic","Mystic (Prime)"},0),2,3,4.5,7,10,12))*Sensitivity!$H$14,IF($G$11="Boss Monster Damage %",(CHOOSE(MATCH($F$11,{"Rare","Epic","Unique","Legendary","Mystic","Mystic (Prime)"},0),4,6,9,14,20,24))*Sensitivity!$H$10,IF($G$11="Normal Monster Damage %",(CHOOSE(MATCH($F$11,{"Rare","Epic","Unique","Legendary","Mystic","Mystic (Prime)"},0),4,6,9,14,20,24))*Sensitivity!$H$11,IF($G$11="Status Effect Damage %",0,IF($G$11="Damage %",(CHOOSE(MATCH($F$11,{"Rare","Epic","Unique","Legendary","Mystic","Mystic (Prime)"},0),4,6,9,14,20,24))*Sensitivity!$H$8,IF($G$11="Defense Penetration %",(CHOOSE(MATCH($F$11,{"Rare","Epic","Unique","Legendary","Mystic","Mystic (Prime)"},0),2,3,4.5,7,10,12))*Sensitivity!$H$18,0)))))))))))),0)</f>
        <v/>
      </c>
      <c r="L11">
        <f>Summary!$B$3*((IF(D11="(none)",1,1+(E11+IF(G11=D11,H11,0)+IF(J11=D11,K11,0))/Summary!$B$3))*(IF(OR(G11="(none)",G11=D11),1,1+(H11+IF(D11=G11,E11,0)+IF(J11=G11,K11,0))/Summary!$B$3))*(IF(OR(J11="",J11="(none)",J11=D11,J11=G11),1,1+(K11+IF(D11=J11,E11,0)+IF(G11=J11,H11,0))/Summary!$B$3))-1)</f>
        <v/>
      </c>
      <c r="M11">
        <f>OR(Inputs!$B$47="Hexagon Necklace",Inputs!$B$48="Hexagon Necklace",Inputs!$B$49="Hexagon Necklace",Inputs!$B$50="Hexagon Necklace")</f>
        <v/>
      </c>
      <c r="N11">
        <f>IF(B11="Not Unlocked",0,B11)</f>
        <v/>
      </c>
    </row>
    <row r="12">
      <c r="A12" s="6" t="inlineStr">
        <is>
          <t>Arwen's Glass Shoes</t>
        </is>
      </c>
      <c r="B12" s="7" t="n">
        <v>3</v>
      </c>
      <c r="C12" s="7" t="inlineStr">
        <is>
          <t>Rare</t>
        </is>
      </c>
      <c r="D12" s="7" t="inlineStr">
        <is>
          <t>(none)</t>
        </is>
      </c>
      <c r="E12">
        <f>IF($N$12&gt;=1,IF($D$12="Main Stat %",(CHOOSE(MATCH($C$12,{"Rare","Epic","Unique","Legendary","Mystic","Mystic (Prime)"},0),2,3,4.5,7,10,12))*Sensitivity!$H$6,IF($D$12="Damage Taken Decrease %",0,IF($D$12="Defense %",0,IF($D$12="Accuracy",0,IF($D$12="Critical Rate %",(CHOOSE(MATCH($C$12,{"Rare","Epic","Unique","Legendary","Mystic","Mystic (Prime)"},0),2,3,4.5,7,10,12))*Sensitivity!$H$15,IF($D$12="Min Damage Multiplier %",(CHOOSE(MATCH($C$12,{"Rare","Epic","Unique","Legendary","Mystic","Mystic (Prime)"},0),2,3,4.5,7,10,12))*Sensitivity!$H$13,IF($D$12="Max Damage Multiplier %",(CHOOSE(MATCH($C$12,{"Rare","Epic","Unique","Legendary","Mystic","Mystic (Prime)"},0),2,3,4.5,7,10,12))*Sensitivity!$H$14,IF($D$12="Boss Monster Damage %",(CHOOSE(MATCH($C$12,{"Rare","Epic","Unique","Legendary","Mystic","Mystic (Prime)"},0),4,6,9,14,20,24))*Sensitivity!$H$10,IF($D$12="Normal Monster Damage %",(CHOOSE(MATCH($C$12,{"Rare","Epic","Unique","Legendary","Mystic","Mystic (Prime)"},0),4,6,9,14,20,24))*Sensitivity!$H$11,IF($D$12="Status Effect Damage %",0,IF($D$12="Damage %",(CHOOSE(MATCH($C$12,{"Rare","Epic","Unique","Legendary","Mystic","Mystic (Prime)"},0),4,6,9,14,20,24))*Sensitivity!$H$8,IF($D$12="Defense Penetration %",(CHOOSE(MATCH($C$12,{"Rare","Epic","Unique","Legendary","Mystic","Mystic (Prime)"},0),2,3,4.5,7,10,12))*Sensitivity!$H$18,0)))))))))))),0)</f>
        <v/>
      </c>
      <c r="F12" s="7" t="inlineStr">
        <is>
          <t>Rare</t>
        </is>
      </c>
      <c r="G12" s="7" t="inlineStr">
        <is>
          <t>(none)</t>
        </is>
      </c>
      <c r="H12">
        <f>IF($N$12&gt;=2,IF($G$12="Main Stat %",(CHOOSE(MATCH($F$12,{"Rare","Epic","Unique","Legendary","Mystic","Mystic (Prime)"},0),2,3,4.5,7,10,12))*Sensitivity!$H$6,IF($G$12="Damage Taken Decrease %",0,IF($G$12="Defense %",0,IF($G$12="Accuracy",0,IF($G$12="Critical Rate %",(CHOOSE(MATCH($F$12,{"Rare","Epic","Unique","Legendary","Mystic","Mystic (Prime)"},0),2,3,4.5,7,10,12))*Sensitivity!$H$15,IF($G$12="Min Damage Multiplier %",(CHOOSE(MATCH($F$12,{"Rare","Epic","Unique","Legendary","Mystic","Mystic (Prime)"},0),2,3,4.5,7,10,12))*Sensitivity!$H$13,IF($G$12="Max Damage Multiplier %",(CHOOSE(MATCH($F$12,{"Rare","Epic","Unique","Legendary","Mystic","Mystic (Prime)"},0),2,3,4.5,7,10,12))*Sensitivity!$H$14,IF($G$12="Boss Monster Damage %",(CHOOSE(MATCH($F$12,{"Rare","Epic","Unique","Legendary","Mystic","Mystic (Prime)"},0),4,6,9,14,20,24))*Sensitivity!$H$10,IF($G$12="Normal Monster Damage %",(CHOOSE(MATCH($F$12,{"Rare","Epic","Unique","Legendary","Mystic","Mystic (Prime)"},0),4,6,9,14,20,24))*Sensitivity!$H$11,IF($G$12="Status Effect Damage %",0,IF($G$12="Damage %",(CHOOSE(MATCH($F$12,{"Rare","Epic","Unique","Legendary","Mystic","Mystic (Prime)"},0),4,6,9,14,20,24))*Sensitivity!$H$8,IF($G$12="Defense Penetration %",(CHOOSE(MATCH($F$12,{"Rare","Epic","Unique","Legendary","Mystic","Mystic (Prime)"},0),2,3,4.5,7,10,12))*Sensitivity!$H$18,0)))))))))))),0)</f>
        <v/>
      </c>
      <c r="L12">
        <f>Summary!$B$3*((IF(D12="(none)",1,1+(E12+IF(G12=D12,H12,0)+IF(J12=D12,K12,0))/Summary!$B$3))*(IF(OR(G12="(none)",G12=D12),1,1+(H12+IF(D12=G12,E12,0)+IF(J12=G12,K12,0))/Summary!$B$3))*(IF(OR(J12="",J12="(none)",J12=D12,J12=G12),1,1+(K12+IF(D12=J12,E12,0)+IF(G12=J12,H12,0))/Summary!$B$3))-1)</f>
        <v/>
      </c>
      <c r="M12">
        <f>OR(Inputs!$B$47="Arwen's Glass Shoes",Inputs!$B$48="Arwen's Glass Shoes",Inputs!$B$49="Arwen's Glass Shoes",Inputs!$B$50="Arwen's Glass Shoes")</f>
        <v/>
      </c>
      <c r="N12">
        <f>IF(B12="Not Unlocked",0,B12)</f>
        <v/>
      </c>
    </row>
    <row r="13">
      <c r="A13" s="6" t="inlineStr">
        <is>
          <t>Mushmom's Cap</t>
        </is>
      </c>
      <c r="B13" s="7" t="n">
        <v>3</v>
      </c>
      <c r="C13" s="7" t="inlineStr">
        <is>
          <t>Rare</t>
        </is>
      </c>
      <c r="D13" s="7" t="inlineStr">
        <is>
          <t>(none)</t>
        </is>
      </c>
      <c r="E13">
        <f>IF($N$13&gt;=1,IF($D$13="Main Stat %",(CHOOSE(MATCH($C$13,{"Rare","Epic","Unique","Legendary","Mystic","Mystic (Prime)"},0),2,3,4.5,7,10,12))*Sensitivity!$H$6,IF($D$13="Damage Taken Decrease %",0,IF($D$13="Defense %",0,IF($D$13="Accuracy",0,IF($D$13="Critical Rate %",(CHOOSE(MATCH($C$13,{"Rare","Epic","Unique","Legendary","Mystic","Mystic (Prime)"},0),2,3,4.5,7,10,12))*Sensitivity!$H$15,IF($D$13="Min Damage Multiplier %",(CHOOSE(MATCH($C$13,{"Rare","Epic","Unique","Legendary","Mystic","Mystic (Prime)"},0),2,3,4.5,7,10,12))*Sensitivity!$H$13,IF($D$13="Max Damage Multiplier %",(CHOOSE(MATCH($C$13,{"Rare","Epic","Unique","Legendary","Mystic","Mystic (Prime)"},0),2,3,4.5,7,10,12))*Sensitivity!$H$14,IF($D$13="Boss Monster Damage %",(CHOOSE(MATCH($C$13,{"Rare","Epic","Unique","Legendary","Mystic","Mystic (Prime)"},0),4,6,9,14,20,24))*Sensitivity!$H$10,IF($D$13="Normal Monster Damage %",(CHOOSE(MATCH($C$13,{"Rare","Epic","Unique","Legendary","Mystic","Mystic (Prime)"},0),4,6,9,14,20,24))*Sensitivity!$H$11,IF($D$13="Status Effect Damage %",0,IF($D$13="Damage %",(CHOOSE(MATCH($C$13,{"Rare","Epic","Unique","Legendary","Mystic","Mystic (Prime)"},0),4,6,9,14,20,24))*Sensitivity!$H$8,IF($D$13="Defense Penetration %",(CHOOSE(MATCH($C$13,{"Rare","Epic","Unique","Legendary","Mystic","Mystic (Prime)"},0),2,3,4.5,7,10,12))*Sensitivity!$H$18,0)))))))))))),0)</f>
        <v/>
      </c>
      <c r="F13" s="7" t="inlineStr">
        <is>
          <t>Rare</t>
        </is>
      </c>
      <c r="G13" s="7" t="inlineStr">
        <is>
          <t>(none)</t>
        </is>
      </c>
      <c r="H13">
        <f>IF($N$13&gt;=2,IF($G$13="Main Stat %",(CHOOSE(MATCH($F$13,{"Rare","Epic","Unique","Legendary","Mystic","Mystic (Prime)"},0),2,3,4.5,7,10,12))*Sensitivity!$H$6,IF($G$13="Damage Taken Decrease %",0,IF($G$13="Defense %",0,IF($G$13="Accuracy",0,IF($G$13="Critical Rate %",(CHOOSE(MATCH($F$13,{"Rare","Epic","Unique","Legendary","Mystic","Mystic (Prime)"},0),2,3,4.5,7,10,12))*Sensitivity!$H$15,IF($G$13="Min Damage Multiplier %",(CHOOSE(MATCH($F$13,{"Rare","Epic","Unique","Legendary","Mystic","Mystic (Prime)"},0),2,3,4.5,7,10,12))*Sensitivity!$H$13,IF($G$13="Max Damage Multiplier %",(CHOOSE(MATCH($F$13,{"Rare","Epic","Unique","Legendary","Mystic","Mystic (Prime)"},0),2,3,4.5,7,10,12))*Sensitivity!$H$14,IF($G$13="Boss Monster Damage %",(CHOOSE(MATCH($F$13,{"Rare","Epic","Unique","Legendary","Mystic","Mystic (Prime)"},0),4,6,9,14,20,24))*Sensitivity!$H$10,IF($G$13="Normal Monster Damage %",(CHOOSE(MATCH($F$13,{"Rare","Epic","Unique","Legendary","Mystic","Mystic (Prime)"},0),4,6,9,14,20,24))*Sensitivity!$H$11,IF($G$13="Status Effect Damage %",0,IF($G$13="Damage %",(CHOOSE(MATCH($F$13,{"Rare","Epic","Unique","Legendary","Mystic","Mystic (Prime)"},0),4,6,9,14,20,24))*Sensitivity!$H$8,IF($G$13="Defense Penetration %",(CHOOSE(MATCH($F$13,{"Rare","Epic","Unique","Legendary","Mystic","Mystic (Prime)"},0),2,3,4.5,7,10,12))*Sensitivity!$H$18,0)))))))))))),0)</f>
        <v/>
      </c>
      <c r="L13">
        <f>Summary!$B$3*((IF(D13="(none)",1,1+(E13+IF(G13=D13,H13,0)+IF(J13=D13,K13,0))/Summary!$B$3))*(IF(OR(G13="(none)",G13=D13),1,1+(H13+IF(D13=G13,E13,0)+IF(J13=G13,K13,0))/Summary!$B$3))*(IF(OR(J13="",J13="(none)",J13=D13,J13=G13),1,1+(K13+IF(D13=J13,E13,0)+IF(G13=J13,H13,0))/Summary!$B$3))-1)</f>
        <v/>
      </c>
      <c r="M13">
        <f>OR(Inputs!$B$47="Mushmom's Cap",Inputs!$B$48="Mushmom's Cap",Inputs!$B$49="Mushmom's Cap",Inputs!$B$50="Mushmom's Cap")</f>
        <v/>
      </c>
      <c r="N13">
        <f>IF(B13="Not Unlocked",0,B13)</f>
        <v/>
      </c>
    </row>
    <row r="14">
      <c r="A14" s="6" t="inlineStr">
        <is>
          <t>Clear Spring Water</t>
        </is>
      </c>
      <c r="B14" s="7" t="n">
        <v>3</v>
      </c>
      <c r="C14" s="7" t="inlineStr">
        <is>
          <t>Rare</t>
        </is>
      </c>
      <c r="D14" s="7" t="inlineStr">
        <is>
          <t>(none)</t>
        </is>
      </c>
      <c r="E14">
        <f>IF($N$14&gt;=1,IF($D$14="Main Stat %",(CHOOSE(MATCH($C$14,{"Rare","Epic","Unique","Legendary","Mystic","Mystic (Prime)"},0),2,3,4.5,7,10,12))*Sensitivity!$H$6,IF($D$14="Damage Taken Decrease %",0,IF($D$14="Defense %",0,IF($D$14="Accuracy",0,IF($D$14="Critical Rate %",(CHOOSE(MATCH($C$14,{"Rare","Epic","Unique","Legendary","Mystic","Mystic (Prime)"},0),2,3,4.5,7,10,12))*Sensitivity!$H$15,IF($D$14="Min Damage Multiplier %",(CHOOSE(MATCH($C$14,{"Rare","Epic","Unique","Legendary","Mystic","Mystic (Prime)"},0),2,3,4.5,7,10,12))*Sensitivity!$H$13,IF($D$14="Max Damage Multiplier %",(CHOOSE(MATCH($C$14,{"Rare","Epic","Unique","Legendary","Mystic","Mystic (Prime)"},0),2,3,4.5,7,10,12))*Sensitivity!$H$14,IF($D$14="Boss Monster Damage %",(CHOOSE(MATCH($C$14,{"Rare","Epic","Unique","Legendary","Mystic","Mystic (Prime)"},0),4,6,9,14,20,24))*Sensitivity!$H$10,IF($D$14="Normal Monster Damage %",(CHOOSE(MATCH($C$14,{"Rare","Epic","Unique","Legendary","Mystic","Mystic (Prime)"},0),4,6,9,14,20,24))*Sensitivity!$H$11,IF($D$14="Status Effect Damage %",0,IF($D$14="Damage %",(CHOOSE(MATCH($C$14,{"Rare","Epic","Unique","Legendary","Mystic","Mystic (Prime)"},0),4,6,9,14,20,24))*Sensitivity!$H$8,IF($D$14="Defense Penetration %",(CHOOSE(MATCH($C$14,{"Rare","Epic","Unique","Legendary","Mystic","Mystic (Prime)"},0),2,3,4.5,7,10,12))*Sensitivity!$H$18,0)))))))))))),0)</f>
        <v/>
      </c>
      <c r="F14" s="7" t="inlineStr">
        <is>
          <t>Rare</t>
        </is>
      </c>
      <c r="G14" s="7" t="inlineStr">
        <is>
          <t>(none)</t>
        </is>
      </c>
      <c r="H14">
        <f>IF($N$14&gt;=2,IF($G$14="Main Stat %",(CHOOSE(MATCH($F$14,{"Rare","Epic","Unique","Legendary","Mystic","Mystic (Prime)"},0),2,3,4.5,7,10,12))*Sensitivity!$H$6,IF($G$14="Damage Taken Decrease %",0,IF($G$14="Defense %",0,IF($G$14="Accuracy",0,IF($G$14="Critical Rate %",(CHOOSE(MATCH($F$14,{"Rare","Epic","Unique","Legendary","Mystic","Mystic (Prime)"},0),2,3,4.5,7,10,12))*Sensitivity!$H$15,IF($G$14="Min Damage Multiplier %",(CHOOSE(MATCH($F$14,{"Rare","Epic","Unique","Legendary","Mystic","Mystic (Prime)"},0),2,3,4.5,7,10,12))*Sensitivity!$H$13,IF($G$14="Max Damage Multiplier %",(CHOOSE(MATCH($F$14,{"Rare","Epic","Unique","Legendary","Mystic","Mystic (Prime)"},0),2,3,4.5,7,10,12))*Sensitivity!$H$14,IF($G$14="Boss Monster Damage %",(CHOOSE(MATCH($F$14,{"Rare","Epic","Unique","Legendary","Mystic","Mystic (Prime)"},0),4,6,9,14,20,24))*Sensitivity!$H$10,IF($G$14="Normal Monster Damage %",(CHOOSE(MATCH($F$14,{"Rare","Epic","Unique","Legendary","Mystic","Mystic (Prime)"},0),4,6,9,14,20,24))*Sensitivity!$H$11,IF($G$14="Status Effect Damage %",0,IF($G$14="Damage %",(CHOOSE(MATCH($F$14,{"Rare","Epic","Unique","Legendary","Mystic","Mystic (Prime)"},0),4,6,9,14,20,24))*Sensitivity!$H$8,IF($G$14="Defense Penetration %",(CHOOSE(MATCH($F$14,{"Rare","Epic","Unique","Legendary","Mystic","Mystic (Prime)"},0),2,3,4.5,7,10,12))*Sensitivity!$H$18,0)))))))))))),0)</f>
        <v/>
      </c>
      <c r="L14">
        <f>Summary!$B$3*((IF(D14="(none)",1,1+(E14+IF(G14=D14,H14,0)+IF(J14=D14,K14,0))/Summary!$B$3))*(IF(OR(G14="(none)",G14=D14),1,1+(H14+IF(D14=G14,E14,0)+IF(J14=G14,K14,0))/Summary!$B$3))*(IF(OR(J14="",J14="(none)",J14=D14,J14=G14),1,1+(K14+IF(D14=J14,E14,0)+IF(G14=J14,H14,0))/Summary!$B$3))-1)</f>
        <v/>
      </c>
      <c r="M14">
        <f>OR(Inputs!$B$47="Clear Spring Water",Inputs!$B$48="Clear Spring Water",Inputs!$B$49="Clear Spring Water",Inputs!$B$50="Clear Spring Water")</f>
        <v/>
      </c>
      <c r="N14">
        <f>IF(B14="Not Unlocked",0,B14)</f>
        <v/>
      </c>
    </row>
    <row r="15">
      <c r="A15" s="6" t="inlineStr">
        <is>
          <t>Athena Pierce's Old Gloves</t>
        </is>
      </c>
      <c r="B15" s="7" t="n">
        <v>3</v>
      </c>
      <c r="C15" s="7" t="inlineStr">
        <is>
          <t>Rare</t>
        </is>
      </c>
      <c r="D15" s="7" t="inlineStr">
        <is>
          <t>(none)</t>
        </is>
      </c>
      <c r="E15">
        <f>IF($N$15&gt;=1,IF($D$15="Main Stat %",(CHOOSE(MATCH($C$15,{"Rare","Epic","Unique","Legendary","Mystic","Mystic (Prime)"},0),2,3,4.5,7,10,12))*Sensitivity!$H$6,IF($D$15="Damage Taken Decrease %",0,IF($D$15="Defense %",0,IF($D$15="Accuracy",0,IF($D$15="Critical Rate %",(CHOOSE(MATCH($C$15,{"Rare","Epic","Unique","Legendary","Mystic","Mystic (Prime)"},0),2,3,4.5,7,10,12))*Sensitivity!$H$15,IF($D$15="Min Damage Multiplier %",(CHOOSE(MATCH($C$15,{"Rare","Epic","Unique","Legendary","Mystic","Mystic (Prime)"},0),2,3,4.5,7,10,12))*Sensitivity!$H$13,IF($D$15="Max Damage Multiplier %",(CHOOSE(MATCH($C$15,{"Rare","Epic","Unique","Legendary","Mystic","Mystic (Prime)"},0),2,3,4.5,7,10,12))*Sensitivity!$H$14,IF($D$15="Boss Monster Damage %",(CHOOSE(MATCH($C$15,{"Rare","Epic","Unique","Legendary","Mystic","Mystic (Prime)"},0),4,6,9,14,20,24))*Sensitivity!$H$10,IF($D$15="Normal Monster Damage %",(CHOOSE(MATCH($C$15,{"Rare","Epic","Unique","Legendary","Mystic","Mystic (Prime)"},0),4,6,9,14,20,24))*Sensitivity!$H$11,IF($D$15="Status Effect Damage %",0,IF($D$15="Damage %",(CHOOSE(MATCH($C$15,{"Rare","Epic","Unique","Legendary","Mystic","Mystic (Prime)"},0),4,6,9,14,20,24))*Sensitivity!$H$8,IF($D$15="Defense Penetration %",(CHOOSE(MATCH($C$15,{"Rare","Epic","Unique","Legendary","Mystic","Mystic (Prime)"},0),2,3,4.5,7,10,12))*Sensitivity!$H$18,0)))))))))))),0)</f>
        <v/>
      </c>
      <c r="F15" s="7" t="inlineStr">
        <is>
          <t>Rare</t>
        </is>
      </c>
      <c r="G15" s="7" t="inlineStr">
        <is>
          <t>(none)</t>
        </is>
      </c>
      <c r="H15">
        <f>IF($N$15&gt;=2,IF($G$15="Main Stat %",(CHOOSE(MATCH($F$15,{"Rare","Epic","Unique","Legendary","Mystic","Mystic (Prime)"},0),2,3,4.5,7,10,12))*Sensitivity!$H$6,IF($G$15="Damage Taken Decrease %",0,IF($G$15="Defense %",0,IF($G$15="Accuracy",0,IF($G$15="Critical Rate %",(CHOOSE(MATCH($F$15,{"Rare","Epic","Unique","Legendary","Mystic","Mystic (Prime)"},0),2,3,4.5,7,10,12))*Sensitivity!$H$15,IF($G$15="Min Damage Multiplier %",(CHOOSE(MATCH($F$15,{"Rare","Epic","Unique","Legendary","Mystic","Mystic (Prime)"},0),2,3,4.5,7,10,12))*Sensitivity!$H$13,IF($G$15="Max Damage Multiplier %",(CHOOSE(MATCH($F$15,{"Rare","Epic","Unique","Legendary","Mystic","Mystic (Prime)"},0),2,3,4.5,7,10,12))*Sensitivity!$H$14,IF($G$15="Boss Monster Damage %",(CHOOSE(MATCH($F$15,{"Rare","Epic","Unique","Legendary","Mystic","Mystic (Prime)"},0),4,6,9,14,20,24))*Sensitivity!$H$10,IF($G$15="Normal Monster Damage %",(CHOOSE(MATCH($F$15,{"Rare","Epic","Unique","Legendary","Mystic","Mystic (Prime)"},0),4,6,9,14,20,24))*Sensitivity!$H$11,IF($G$15="Status Effect Damage %",0,IF($G$15="Damage %",(CHOOSE(MATCH($F$15,{"Rare","Epic","Unique","Legendary","Mystic","Mystic (Prime)"},0),4,6,9,14,20,24))*Sensitivity!$H$8,IF($G$15="Defense Penetration %",(CHOOSE(MATCH($F$15,{"Rare","Epic","Unique","Legendary","Mystic","Mystic (Prime)"},0),2,3,4.5,7,10,12))*Sensitivity!$H$18,0)))))))))))),0)</f>
        <v/>
      </c>
      <c r="L15">
        <f>Summary!$B$3*((IF(D15="(none)",1,1+(E15+IF(G15=D15,H15,0)+IF(J15=D15,K15,0))/Summary!$B$3))*(IF(OR(G15="(none)",G15=D15),1,1+(H15+IF(D15=G15,E15,0)+IF(J15=G15,K15,0))/Summary!$B$3))*(IF(OR(J15="",J15="(none)",J15=D15,J15=G15),1,1+(K15+IF(D15=J15,E15,0)+IF(G15=J15,H15,0))/Summary!$B$3))-1)</f>
        <v/>
      </c>
      <c r="M15">
        <f>OR(Inputs!$B$47="Athena Pierce's Old Gloves",Inputs!$B$48="Athena Pierce's Old Gloves",Inputs!$B$49="Athena Pierce's Old Gloves",Inputs!$B$50="Athena Pierce's Old Gloves")</f>
        <v/>
      </c>
      <c r="N15">
        <f>IF(B15="Not Unlocked",0,B15)</f>
        <v/>
      </c>
    </row>
    <row r="16">
      <c r="A16" s="6" t="inlineStr">
        <is>
          <t>Zakum's Stone Piece</t>
        </is>
      </c>
      <c r="B16" s="7" t="n">
        <v>3</v>
      </c>
      <c r="C16" s="7" t="inlineStr">
        <is>
          <t>Rare</t>
        </is>
      </c>
      <c r="D16" s="7" t="inlineStr">
        <is>
          <t>(none)</t>
        </is>
      </c>
      <c r="E16">
        <f>IF($N$16&gt;=1,IF($D$16="Main Stat %",(CHOOSE(MATCH($C$16,{"Rare","Epic","Unique","Legendary","Mystic","Mystic (Prime)"},0),2,3,4.5,7,10,12))*Sensitivity!$H$6,IF($D$16="Damage Taken Decrease %",0,IF($D$16="Defense %",0,IF($D$16="Accuracy",0,IF($D$16="Critical Rate %",(CHOOSE(MATCH($C$16,{"Rare","Epic","Unique","Legendary","Mystic","Mystic (Prime)"},0),2,3,4.5,7,10,12))*Sensitivity!$H$15,IF($D$16="Min Damage Multiplier %",(CHOOSE(MATCH($C$16,{"Rare","Epic","Unique","Legendary","Mystic","Mystic (Prime)"},0),2,3,4.5,7,10,12))*Sensitivity!$H$13,IF($D$16="Max Damage Multiplier %",(CHOOSE(MATCH($C$16,{"Rare","Epic","Unique","Legendary","Mystic","Mystic (Prime)"},0),2,3,4.5,7,10,12))*Sensitivity!$H$14,IF($D$16="Boss Monster Damage %",(CHOOSE(MATCH($C$16,{"Rare","Epic","Unique","Legendary","Mystic","Mystic (Prime)"},0),4,6,9,14,20,24))*Sensitivity!$H$10,IF($D$16="Normal Monster Damage %",(CHOOSE(MATCH($C$16,{"Rare","Epic","Unique","Legendary","Mystic","Mystic (Prime)"},0),4,6,9,14,20,24))*Sensitivity!$H$11,IF($D$16="Status Effect Damage %",0,IF($D$16="Damage %",(CHOOSE(MATCH($C$16,{"Rare","Epic","Unique","Legendary","Mystic","Mystic (Prime)"},0),4,6,9,14,20,24))*Sensitivity!$H$8,IF($D$16="Defense Penetration %",(CHOOSE(MATCH($C$16,{"Rare","Epic","Unique","Legendary","Mystic","Mystic (Prime)"},0),2,3,4.5,7,10,12))*Sensitivity!$H$18,0)))))))))))),0)</f>
        <v/>
      </c>
      <c r="F16" s="7" t="inlineStr">
        <is>
          <t>Rare</t>
        </is>
      </c>
      <c r="G16" s="7" t="inlineStr">
        <is>
          <t>(none)</t>
        </is>
      </c>
      <c r="H16">
        <f>IF($N$16&gt;=2,IF($G$16="Main Stat %",(CHOOSE(MATCH($F$16,{"Rare","Epic","Unique","Legendary","Mystic","Mystic (Prime)"},0),2,3,4.5,7,10,12))*Sensitivity!$H$6,IF($G$16="Damage Taken Decrease %",0,IF($G$16="Defense %",0,IF($G$16="Accuracy",0,IF($G$16="Critical Rate %",(CHOOSE(MATCH($F$16,{"Rare","Epic","Unique","Legendary","Mystic","Mystic (Prime)"},0),2,3,4.5,7,10,12))*Sensitivity!$H$15,IF($G$16="Min Damage Multiplier %",(CHOOSE(MATCH($F$16,{"Rare","Epic","Unique","Legendary","Mystic","Mystic (Prime)"},0),2,3,4.5,7,10,12))*Sensitivity!$H$13,IF($G$16="Max Damage Multiplier %",(CHOOSE(MATCH($F$16,{"Rare","Epic","Unique","Legendary","Mystic","Mystic (Prime)"},0),2,3,4.5,7,10,12))*Sensitivity!$H$14,IF($G$16="Boss Monster Damage %",(CHOOSE(MATCH($F$16,{"Rare","Epic","Unique","Legendary","Mystic","Mystic (Prime)"},0),4,6,9,14,20,24))*Sensitivity!$H$10,IF($G$16="Normal Monster Damage %",(CHOOSE(MATCH($F$16,{"Rare","Epic","Unique","Legendary","Mystic","Mystic (Prime)"},0),4,6,9,14,20,24))*Sensitivity!$H$11,IF($G$16="Status Effect Damage %",0,IF($G$16="Damage %",(CHOOSE(MATCH($F$16,{"Rare","Epic","Unique","Legendary","Mystic","Mystic (Prime)"},0),4,6,9,14,20,24))*Sensitivity!$H$8,IF($G$16="Defense Penetration %",(CHOOSE(MATCH($F$16,{"Rare","Epic","Unique","Legendary","Mystic","Mystic (Prime)"},0),2,3,4.5,7,10,12))*Sensitivity!$H$18,0)))))))))))),0)</f>
        <v/>
      </c>
      <c r="L16">
        <f>Summary!$B$3*((IF(D16="(none)",1,1+(E16+IF(G16=D16,H16,0)+IF(J16=D16,K16,0))/Summary!$B$3))*(IF(OR(G16="(none)",G16=D16),1,1+(H16+IF(D16=G16,E16,0)+IF(J16=G16,K16,0))/Summary!$B$3))*(IF(OR(J16="",J16="(none)",J16=D16,J16=G16),1,1+(K16+IF(D16=J16,E16,0)+IF(G16=J16,H16,0))/Summary!$B$3))-1)</f>
        <v/>
      </c>
      <c r="M16">
        <f>OR(Inputs!$B$47="Zakum's Stone Piece",Inputs!$B$48="Zakum's Stone Piece",Inputs!$B$49="Zakum's Stone Piece",Inputs!$B$50="Zakum's Stone Piece")</f>
        <v/>
      </c>
      <c r="N16">
        <f>IF(B16="Not Unlocked",0,B16)</f>
        <v/>
      </c>
    </row>
    <row r="17">
      <c r="A17" s="6" t="inlineStr">
        <is>
          <t>Horntail's Scale</t>
        </is>
      </c>
      <c r="B17" s="7" t="n">
        <v>3</v>
      </c>
      <c r="C17" s="7" t="inlineStr">
        <is>
          <t>Rare</t>
        </is>
      </c>
      <c r="D17" s="7" t="inlineStr">
        <is>
          <t>(none)</t>
        </is>
      </c>
      <c r="E17">
        <f>IF($N$17&gt;=1,IF($D$17="Main Stat %",(CHOOSE(MATCH($C$17,{"Rare","Epic","Unique","Legendary","Mystic","Mystic (Prime)"},0),2,3,4.5,7,10,12))*Sensitivity!$H$6,IF($D$17="Damage Taken Decrease %",0,IF($D$17="Defense %",0,IF($D$17="Accuracy",0,IF($D$17="Critical Rate %",(CHOOSE(MATCH($C$17,{"Rare","Epic","Unique","Legendary","Mystic","Mystic (Prime)"},0),2,3,4.5,7,10,12))*Sensitivity!$H$15,IF($D$17="Min Damage Multiplier %",(CHOOSE(MATCH($C$17,{"Rare","Epic","Unique","Legendary","Mystic","Mystic (Prime)"},0),2,3,4.5,7,10,12))*Sensitivity!$H$13,IF($D$17="Max Damage Multiplier %",(CHOOSE(MATCH($C$17,{"Rare","Epic","Unique","Legendary","Mystic","Mystic (Prime)"},0),2,3,4.5,7,10,12))*Sensitivity!$H$14,IF($D$17="Boss Monster Damage %",(CHOOSE(MATCH($C$17,{"Rare","Epic","Unique","Legendary","Mystic","Mystic (Prime)"},0),4,6,9,14,20,24))*Sensitivity!$H$10,IF($D$17="Normal Monster Damage %",(CHOOSE(MATCH($C$17,{"Rare","Epic","Unique","Legendary","Mystic","Mystic (Prime)"},0),4,6,9,14,20,24))*Sensitivity!$H$11,IF($D$17="Status Effect Damage %",0,IF($D$17="Damage %",(CHOOSE(MATCH($C$17,{"Rare","Epic","Unique","Legendary","Mystic","Mystic (Prime)"},0),4,6,9,14,20,24))*Sensitivity!$H$8,IF($D$17="Defense Penetration %",(CHOOSE(MATCH($C$17,{"Rare","Epic","Unique","Legendary","Mystic","Mystic (Prime)"},0),2,3,4.5,7,10,12))*Sensitivity!$H$18,0)))))))))))),0)</f>
        <v/>
      </c>
      <c r="F17" s="7" t="inlineStr">
        <is>
          <t>Rare</t>
        </is>
      </c>
      <c r="G17" s="7" t="inlineStr">
        <is>
          <t>(none)</t>
        </is>
      </c>
      <c r="H17">
        <f>IF($N$17&gt;=2,IF($G$17="Main Stat %",(CHOOSE(MATCH($F$17,{"Rare","Epic","Unique","Legendary","Mystic","Mystic (Prime)"},0),2,3,4.5,7,10,12))*Sensitivity!$H$6,IF($G$17="Damage Taken Decrease %",0,IF($G$17="Defense %",0,IF($G$17="Accuracy",0,IF($G$17="Critical Rate %",(CHOOSE(MATCH($F$17,{"Rare","Epic","Unique","Legendary","Mystic","Mystic (Prime)"},0),2,3,4.5,7,10,12))*Sensitivity!$H$15,IF($G$17="Min Damage Multiplier %",(CHOOSE(MATCH($F$17,{"Rare","Epic","Unique","Legendary","Mystic","Mystic (Prime)"},0),2,3,4.5,7,10,12))*Sensitivity!$H$13,IF($G$17="Max Damage Multiplier %",(CHOOSE(MATCH($F$17,{"Rare","Epic","Unique","Legendary","Mystic","Mystic (Prime)"},0),2,3,4.5,7,10,12))*Sensitivity!$H$14,IF($G$17="Boss Monster Damage %",(CHOOSE(MATCH($F$17,{"Rare","Epic","Unique","Legendary","Mystic","Mystic (Prime)"},0),4,6,9,14,20,24))*Sensitivity!$H$10,IF($G$17="Normal Monster Damage %",(CHOOSE(MATCH($F$17,{"Rare","Epic","Unique","Legendary","Mystic","Mystic (Prime)"},0),4,6,9,14,20,24))*Sensitivity!$H$11,IF($G$17="Status Effect Damage %",0,IF($G$17="Damage %",(CHOOSE(MATCH($F$17,{"Rare","Epic","Unique","Legendary","Mystic","Mystic (Prime)"},0),4,6,9,14,20,24))*Sensitivity!$H$8,IF($G$17="Defense Penetration %",(CHOOSE(MATCH($F$17,{"Rare","Epic","Unique","Legendary","Mystic","Mystic (Prime)"},0),2,3,4.5,7,10,12))*Sensitivity!$H$18,0)))))))))))),0)</f>
        <v/>
      </c>
      <c r="L17">
        <f>Summary!$B$3*((IF(D17="(none)",1,1+(E17+IF(G17=D17,H17,0)+IF(J17=D17,K17,0))/Summary!$B$3))*(IF(OR(G17="(none)",G17=D17),1,1+(H17+IF(D17=G17,E17,0)+IF(J17=G17,K17,0))/Summary!$B$3))*(IF(OR(J17="",J17="(none)",J17=D17,J17=G17),1,1+(K17+IF(D17=J17,E17,0)+IF(G17=J17,H17,0))/Summary!$B$3))-1)</f>
        <v/>
      </c>
      <c r="M17">
        <f>OR(Inputs!$B$47="Horntail's Scale",Inputs!$B$48="Horntail's Scale",Inputs!$B$49="Horntail's Scale",Inputs!$B$50="Horntail's Scale")</f>
        <v/>
      </c>
      <c r="N17">
        <f>IF(B17="Not Unlocked",0,B17)</f>
        <v/>
      </c>
    </row>
    <row r="18">
      <c r="A18" s="6" t="inlineStr">
        <is>
          <t>Pink Bean's Giant Rib</t>
        </is>
      </c>
      <c r="B18" s="7" t="n">
        <v>3</v>
      </c>
      <c r="C18" s="7" t="inlineStr">
        <is>
          <t>Rare</t>
        </is>
      </c>
      <c r="D18" s="7" t="inlineStr">
        <is>
          <t>(none)</t>
        </is>
      </c>
      <c r="E18">
        <f>IF($N$18&gt;=1,IF($D$18="Main Stat %",(CHOOSE(MATCH($C$18,{"Rare","Epic","Unique","Legendary","Mystic","Mystic (Prime)"},0),2,3,4.5,7,10,12))*Sensitivity!$H$6,IF($D$18="Damage Taken Decrease %",0,IF($D$18="Defense %",0,IF($D$18="Accuracy",0,IF($D$18="Critical Rate %",(CHOOSE(MATCH($C$18,{"Rare","Epic","Unique","Legendary","Mystic","Mystic (Prime)"},0),2,3,4.5,7,10,12))*Sensitivity!$H$15,IF($D$18="Min Damage Multiplier %",(CHOOSE(MATCH($C$18,{"Rare","Epic","Unique","Legendary","Mystic","Mystic (Prime)"},0),2,3,4.5,7,10,12))*Sensitivity!$H$13,IF($D$18="Max Damage Multiplier %",(CHOOSE(MATCH($C$18,{"Rare","Epic","Unique","Legendary","Mystic","Mystic (Prime)"},0),2,3,4.5,7,10,12))*Sensitivity!$H$14,IF($D$18="Boss Monster Damage %",(CHOOSE(MATCH($C$18,{"Rare","Epic","Unique","Legendary","Mystic","Mystic (Prime)"},0),4,6,9,14,20,24))*Sensitivity!$H$10,IF($D$18="Normal Monster Damage %",(CHOOSE(MATCH($C$18,{"Rare","Epic","Unique","Legendary","Mystic","Mystic (Prime)"},0),4,6,9,14,20,24))*Sensitivity!$H$11,IF($D$18="Status Effect Damage %",0,IF($D$18="Damage %",(CHOOSE(MATCH($C$18,{"Rare","Epic","Unique","Legendary","Mystic","Mystic (Prime)"},0),4,6,9,14,20,24))*Sensitivity!$H$8,IF($D$18="Defense Penetration %",(CHOOSE(MATCH($C$18,{"Rare","Epic","Unique","Legendary","Mystic","Mystic (Prime)"},0),2,3,4.5,7,10,12))*Sensitivity!$H$18,0)))))))))))),0)</f>
        <v/>
      </c>
      <c r="F18" s="7" t="inlineStr">
        <is>
          <t>Rare</t>
        </is>
      </c>
      <c r="G18" s="7" t="inlineStr">
        <is>
          <t>(none)</t>
        </is>
      </c>
      <c r="H18">
        <f>IF($N$18&gt;=2,IF($G$18="Main Stat %",(CHOOSE(MATCH($F$18,{"Rare","Epic","Unique","Legendary","Mystic","Mystic (Prime)"},0),2,3,4.5,7,10,12))*Sensitivity!$H$6,IF($G$18="Damage Taken Decrease %",0,IF($G$18="Defense %",0,IF($G$18="Accuracy",0,IF($G$18="Critical Rate %",(CHOOSE(MATCH($F$18,{"Rare","Epic","Unique","Legendary","Mystic","Mystic (Prime)"},0),2,3,4.5,7,10,12))*Sensitivity!$H$15,IF($G$18="Min Damage Multiplier %",(CHOOSE(MATCH($F$18,{"Rare","Epic","Unique","Legendary","Mystic","Mystic (Prime)"},0),2,3,4.5,7,10,12))*Sensitivity!$H$13,IF($G$18="Max Damage Multiplier %",(CHOOSE(MATCH($F$18,{"Rare","Epic","Unique","Legendary","Mystic","Mystic (Prime)"},0),2,3,4.5,7,10,12))*Sensitivity!$H$14,IF($G$18="Boss Monster Damage %",(CHOOSE(MATCH($F$18,{"Rare","Epic","Unique","Legendary","Mystic","Mystic (Prime)"},0),4,6,9,14,20,24))*Sensitivity!$H$10,IF($G$18="Normal Monster Damage %",(CHOOSE(MATCH($F$18,{"Rare","Epic","Unique","Legendary","Mystic","Mystic (Prime)"},0),4,6,9,14,20,24))*Sensitivity!$H$11,IF($G$18="Status Effect Damage %",0,IF($G$18="Damage %",(CHOOSE(MATCH($F$18,{"Rare","Epic","Unique","Legendary","Mystic","Mystic (Prime)"},0),4,6,9,14,20,24))*Sensitivity!$H$8,IF($G$18="Defense Penetration %",(CHOOSE(MATCH($F$18,{"Rare","Epic","Unique","Legendary","Mystic","Mystic (Prime)"},0),2,3,4.5,7,10,12))*Sensitivity!$H$18,0)))))))))))),0)</f>
        <v/>
      </c>
      <c r="L18">
        <f>Summary!$B$3*((IF(D18="(none)",1,1+(E18+IF(G18=D18,H18,0)+IF(J18=D18,K18,0))/Summary!$B$3))*(IF(OR(G18="(none)",G18=D18),1,1+(H18+IF(D18=G18,E18,0)+IF(J18=G18,K18,0))/Summary!$B$3))*(IF(OR(J18="",J18="(none)",J18=D18,J18=G18),1,1+(K18+IF(D18=J18,E18,0)+IF(G18=J18,H18,0))/Summary!$B$3))-1)</f>
        <v/>
      </c>
      <c r="M18">
        <f>OR(Inputs!$B$47="Pink Bean's Giant Rib",Inputs!$B$48="Pink Bean's Giant Rib",Inputs!$B$49="Pink Bean's Giant Rib",Inputs!$B$50="Pink Bean's Giant Rib")</f>
        <v/>
      </c>
      <c r="N18">
        <f>IF(B18="Not Unlocked",0,B18)</f>
        <v/>
      </c>
    </row>
    <row r="20">
      <c r="A20" s="6" t="inlineStr">
        <is>
          <t>Chalice</t>
        </is>
      </c>
      <c r="B20" s="7" t="inlineStr">
        <is>
          <t>Not Unlocked</t>
        </is>
      </c>
      <c r="C20" s="7" t="inlineStr">
        <is>
          <t>Rare</t>
        </is>
      </c>
      <c r="D20" s="7" t="inlineStr">
        <is>
          <t>(none)</t>
        </is>
      </c>
      <c r="E20">
        <f>IF($N$20&gt;=1,IF($D$20="Main Stat %",(CHOOSE(MATCH($C$20,{"Rare","Epic","Unique","Legendary","Mystic","Mystic (Prime)"},0),2,3,4.5,7,10,12))*Sensitivity!$H$6,IF($D$20="Damage Taken Decrease %",0,IF($D$20="Defense %",0,IF($D$20="Accuracy",0,IF($D$20="Critical Rate %",(CHOOSE(MATCH($C$20,{"Rare","Epic","Unique","Legendary","Mystic","Mystic (Prime)"},0),2,3,4.5,7,10,12))*Sensitivity!$H$15,IF($D$20="Min Damage Multiplier %",(CHOOSE(MATCH($C$20,{"Rare","Epic","Unique","Legendary","Mystic","Mystic (Prime)"},0),2,3,4.5,7,10,12))*Sensitivity!$H$13,IF($D$20="Max Damage Multiplier %",(CHOOSE(MATCH($C$20,{"Rare","Epic","Unique","Legendary","Mystic","Mystic (Prime)"},0),2,3,4.5,7,10,12))*Sensitivity!$H$14,IF($D$20="Boss Monster Damage %",(CHOOSE(MATCH($C$20,{"Rare","Epic","Unique","Legendary","Mystic","Mystic (Prime)"},0),4,6,9,14,20,24))*Sensitivity!$H$10,IF($D$20="Normal Monster Damage %",(CHOOSE(MATCH($C$20,{"Rare","Epic","Unique","Legendary","Mystic","Mystic (Prime)"},0),4,6,9,14,20,24))*Sensitivity!$H$11,IF($D$20="Status Effect Damage %",0,IF($D$20="Damage %",(CHOOSE(MATCH($C$20,{"Rare","Epic","Unique","Legendary","Mystic","Mystic (Prime)"},0),4,6,9,14,20,24))*Sensitivity!$H$8,IF($D$20="Defense Penetration %",(CHOOSE(MATCH($C$20,{"Rare","Epic","Unique","Legendary","Mystic","Mystic (Prime)"},0),2,3,4.5,7,10,12))*Sensitivity!$H$18,0)))))))))))),0)</f>
        <v/>
      </c>
      <c r="F20" s="7" t="inlineStr">
        <is>
          <t>Rare</t>
        </is>
      </c>
      <c r="G20" s="7" t="inlineStr">
        <is>
          <t>(none)</t>
        </is>
      </c>
      <c r="H20">
        <f>IF($N$20&gt;=2,IF($G$20="Main Stat %",(CHOOSE(MATCH($F$20,{"Rare","Epic","Unique","Legendary","Mystic","Mystic (Prime)"},0),2,3,4.5,7,10,12))*Sensitivity!$H$6,IF($G$20="Damage Taken Decrease %",0,IF($G$20="Defense %",0,IF($G$20="Accuracy",0,IF($G$20="Critical Rate %",(CHOOSE(MATCH($F$20,{"Rare","Epic","Unique","Legendary","Mystic","Mystic (Prime)"},0),2,3,4.5,7,10,12))*Sensitivity!$H$15,IF($G$20="Min Damage Multiplier %",(CHOOSE(MATCH($F$20,{"Rare","Epic","Unique","Legendary","Mystic","Mystic (Prime)"},0),2,3,4.5,7,10,12))*Sensitivity!$H$13,IF($G$20="Max Damage Multiplier %",(CHOOSE(MATCH($F$20,{"Rare","Epic","Unique","Legendary","Mystic","Mystic (Prime)"},0),2,3,4.5,7,10,12))*Sensitivity!$H$14,IF($G$20="Boss Monster Damage %",(CHOOSE(MATCH($F$20,{"Rare","Epic","Unique","Legendary","Mystic","Mystic (Prime)"},0),4,6,9,14,20,24))*Sensitivity!$H$10,IF($G$20="Normal Monster Damage %",(CHOOSE(MATCH($F$20,{"Rare","Epic","Unique","Legendary","Mystic","Mystic (Prime)"},0),4,6,9,14,20,24))*Sensitivity!$H$11,IF($G$20="Status Effect Damage %",0,IF($G$20="Damage %",(CHOOSE(MATCH($F$20,{"Rare","Epic","Unique","Legendary","Mystic","Mystic (Prime)"},0),4,6,9,14,20,24))*Sensitivity!$H$8,IF($G$20="Defense Penetration %",(CHOOSE(MATCH($F$20,{"Rare","Epic","Unique","Legendary","Mystic","Mystic (Prime)"},0),2,3,4.5,7,10,12))*Sensitivity!$H$18,0)))))))))))),0)</f>
        <v/>
      </c>
      <c r="I20" s="7" t="inlineStr">
        <is>
          <t>Rare</t>
        </is>
      </c>
      <c r="J20" s="7" t="inlineStr">
        <is>
          <t>(none)</t>
        </is>
      </c>
      <c r="K20">
        <f>IF($N$20&gt;=5,IF($J$20="Main Stat %",(CHOOSE(MATCH($I$20,{"Rare","Epic","Unique","Legendary","Mystic","Mystic (Prime)"},0),2,3,4.5,7,10,12))*Sensitivity!$H$6,IF($J$20="Damage Taken Decrease %",0,IF($J$20="Defense %",0,IF($J$20="Accuracy",0,IF($J$20="Critical Rate %",(CHOOSE(MATCH($I$20,{"Rare","Epic","Unique","Legendary","Mystic","Mystic (Prime)"},0),2,3,4.5,7,10,12))*Sensitivity!$H$15,IF($J$20="Min Damage Multiplier %",(CHOOSE(MATCH($I$20,{"Rare","Epic","Unique","Legendary","Mystic","Mystic (Prime)"},0),2,3,4.5,7,10,12))*Sensitivity!$H$13,IF($J$20="Max Damage Multiplier %",(CHOOSE(MATCH($I$20,{"Rare","Epic","Unique","Legendary","Mystic","Mystic (Prime)"},0),2,3,4.5,7,10,12))*Sensitivity!$H$14,IF($J$20="Boss Monster Damage %",(CHOOSE(MATCH($I$20,{"Rare","Epic","Unique","Legendary","Mystic","Mystic (Prime)"},0),4,6,9,14,20,24))*Sensitivity!$H$10,IF($J$20="Normal Monster Damage %",(CHOOSE(MATCH($I$20,{"Rare","Epic","Unique","Legendary","Mystic","Mystic (Prime)"},0),4,6,9,14,20,24))*Sensitivity!$H$11,IF($J$20="Status Effect Damage %",0,IF($J$20="Damage %",(CHOOSE(MATCH($I$20,{"Rare","Epic","Unique","Legendary","Mystic","Mystic (Prime)"},0),4,6,9,14,20,24))*Sensitivity!$H$8,IF($J$20="Defense Penetration %",(CHOOSE(MATCH($I$20,{"Rare","Epic","Unique","Legendary","Mystic","Mystic (Prime)"},0),2,3,4.5,7,10,12))*Sensitivity!$H$18,0)))))))))))),0)</f>
        <v/>
      </c>
      <c r="L20">
        <f>Summary!$B$3*((IF(D20="(none)",1,1+(E20+IF(G20=D20,H20,0)+IF(J20=D20,K20,0))/Summary!$B$3))*(IF(OR(G20="(none)",G20=D20),1,1+(H20+IF(D20=G20,E20,0)+IF(J20=G20,K20,0))/Summary!$B$3))*(IF(OR(J20="",J20="(none)",J20=D20,J20=G20),1,1+(K20+IF(D20=J20,E20,0)+IF(G20=J20,H20,0))/Summary!$B$3))-1)</f>
        <v/>
      </c>
      <c r="M20">
        <f>OR(Inputs!$B$47="Chalice",Inputs!$B$48="Chalice",Inputs!$B$49="Chalice",Inputs!$B$50="Chalice")</f>
        <v/>
      </c>
      <c r="N20">
        <f>IF(B20="Not Unlocked",0,B20)</f>
        <v/>
      </c>
    </row>
    <row r="21">
      <c r="A21" s="6" t="inlineStr">
        <is>
          <t>Old Music Box</t>
        </is>
      </c>
      <c r="B21" s="7" t="inlineStr">
        <is>
          <t>Not Unlocked</t>
        </is>
      </c>
      <c r="C21" s="7" t="inlineStr">
        <is>
          <t>Rare</t>
        </is>
      </c>
      <c r="D21" s="7" t="inlineStr">
        <is>
          <t>(none)</t>
        </is>
      </c>
      <c r="E21">
        <f>IF($N$21&gt;=1,IF($D$21="Main Stat %",(CHOOSE(MATCH($C$21,{"Rare","Epic","Unique","Legendary","Mystic","Mystic (Prime)"},0),2,3,4.5,7,10,12))*Sensitivity!$H$6,IF($D$21="Damage Taken Decrease %",0,IF($D$21="Defense %",0,IF($D$21="Accuracy",0,IF($D$21="Critical Rate %",(CHOOSE(MATCH($C$21,{"Rare","Epic","Unique","Legendary","Mystic","Mystic (Prime)"},0),2,3,4.5,7,10,12))*Sensitivity!$H$15,IF($D$21="Min Damage Multiplier %",(CHOOSE(MATCH($C$21,{"Rare","Epic","Unique","Legendary","Mystic","Mystic (Prime)"},0),2,3,4.5,7,10,12))*Sensitivity!$H$13,IF($D$21="Max Damage Multiplier %",(CHOOSE(MATCH($C$21,{"Rare","Epic","Unique","Legendary","Mystic","Mystic (Prime)"},0),2,3,4.5,7,10,12))*Sensitivity!$H$14,IF($D$21="Boss Monster Damage %",(CHOOSE(MATCH($C$21,{"Rare","Epic","Unique","Legendary","Mystic","Mystic (Prime)"},0),4,6,9,14,20,24))*Sensitivity!$H$10,IF($D$21="Normal Monster Damage %",(CHOOSE(MATCH($C$21,{"Rare","Epic","Unique","Legendary","Mystic","Mystic (Prime)"},0),4,6,9,14,20,24))*Sensitivity!$H$11,IF($D$21="Status Effect Damage %",0,IF($D$21="Damage %",(CHOOSE(MATCH($C$21,{"Rare","Epic","Unique","Legendary","Mystic","Mystic (Prime)"},0),4,6,9,14,20,24))*Sensitivity!$H$8,IF($D$21="Defense Penetration %",(CHOOSE(MATCH($C$21,{"Rare","Epic","Unique","Legendary","Mystic","Mystic (Prime)"},0),2,3,4.5,7,10,12))*Sensitivity!$H$18,0)))))))))))),0)</f>
        <v/>
      </c>
      <c r="F21" s="7" t="inlineStr">
        <is>
          <t>Rare</t>
        </is>
      </c>
      <c r="G21" s="7" t="inlineStr">
        <is>
          <t>(none)</t>
        </is>
      </c>
      <c r="H21">
        <f>IF($N$21&gt;=2,IF($G$21="Main Stat %",(CHOOSE(MATCH($F$21,{"Rare","Epic","Unique","Legendary","Mystic","Mystic (Prime)"},0),2,3,4.5,7,10,12))*Sensitivity!$H$6,IF($G$21="Damage Taken Decrease %",0,IF($G$21="Defense %",0,IF($G$21="Accuracy",0,IF($G$21="Critical Rate %",(CHOOSE(MATCH($F$21,{"Rare","Epic","Unique","Legendary","Mystic","Mystic (Prime)"},0),2,3,4.5,7,10,12))*Sensitivity!$H$15,IF($G$21="Min Damage Multiplier %",(CHOOSE(MATCH($F$21,{"Rare","Epic","Unique","Legendary","Mystic","Mystic (Prime)"},0),2,3,4.5,7,10,12))*Sensitivity!$H$13,IF($G$21="Max Damage Multiplier %",(CHOOSE(MATCH($F$21,{"Rare","Epic","Unique","Legendary","Mystic","Mystic (Prime)"},0),2,3,4.5,7,10,12))*Sensitivity!$H$14,IF($G$21="Boss Monster Damage %",(CHOOSE(MATCH($F$21,{"Rare","Epic","Unique","Legendary","Mystic","Mystic (Prime)"},0),4,6,9,14,20,24))*Sensitivity!$H$10,IF($G$21="Normal Monster Damage %",(CHOOSE(MATCH($F$21,{"Rare","Epic","Unique","Legendary","Mystic","Mystic (Prime)"},0),4,6,9,14,20,24))*Sensitivity!$H$11,IF($G$21="Status Effect Damage %",0,IF($G$21="Damage %",(CHOOSE(MATCH($F$21,{"Rare","Epic","Unique","Legendary","Mystic","Mystic (Prime)"},0),4,6,9,14,20,24))*Sensitivity!$H$8,IF($G$21="Defense Penetration %",(CHOOSE(MATCH($F$21,{"Rare","Epic","Unique","Legendary","Mystic","Mystic (Prime)"},0),2,3,4.5,7,10,12))*Sensitivity!$H$18,0)))))))))))),0)</f>
        <v/>
      </c>
      <c r="I21" s="7" t="inlineStr">
        <is>
          <t>Rare</t>
        </is>
      </c>
      <c r="J21" s="7" t="inlineStr">
        <is>
          <t>(none)</t>
        </is>
      </c>
      <c r="K21">
        <f>IF($N$21&gt;=5,IF($J$21="Main Stat %",(CHOOSE(MATCH($I$21,{"Rare","Epic","Unique","Legendary","Mystic","Mystic (Prime)"},0),2,3,4.5,7,10,12))*Sensitivity!$H$6,IF($J$21="Damage Taken Decrease %",0,IF($J$21="Defense %",0,IF($J$21="Accuracy",0,IF($J$21="Critical Rate %",(CHOOSE(MATCH($I$21,{"Rare","Epic","Unique","Legendary","Mystic","Mystic (Prime)"},0),2,3,4.5,7,10,12))*Sensitivity!$H$15,IF($J$21="Min Damage Multiplier %",(CHOOSE(MATCH($I$21,{"Rare","Epic","Unique","Legendary","Mystic","Mystic (Prime)"},0),2,3,4.5,7,10,12))*Sensitivity!$H$13,IF($J$21="Max Damage Multiplier %",(CHOOSE(MATCH($I$21,{"Rare","Epic","Unique","Legendary","Mystic","Mystic (Prime)"},0),2,3,4.5,7,10,12))*Sensitivity!$H$14,IF($J$21="Boss Monster Damage %",(CHOOSE(MATCH($I$21,{"Rare","Epic","Unique","Legendary","Mystic","Mystic (Prime)"},0),4,6,9,14,20,24))*Sensitivity!$H$10,IF($J$21="Normal Monster Damage %",(CHOOSE(MATCH($I$21,{"Rare","Epic","Unique","Legendary","Mystic","Mystic (Prime)"},0),4,6,9,14,20,24))*Sensitivity!$H$11,IF($J$21="Status Effect Damage %",0,IF($J$21="Damage %",(CHOOSE(MATCH($I$21,{"Rare","Epic","Unique","Legendary","Mystic","Mystic (Prime)"},0),4,6,9,14,20,24))*Sensitivity!$H$8,IF($J$21="Defense Penetration %",(CHOOSE(MATCH($I$21,{"Rare","Epic","Unique","Legendary","Mystic","Mystic (Prime)"},0),2,3,4.5,7,10,12))*Sensitivity!$H$18,0)))))))))))),0)</f>
        <v/>
      </c>
      <c r="L21">
        <f>Summary!$B$3*((IF(D21="(none)",1,1+(E21+IF(G21=D21,H21,0)+IF(J21=D21,K21,0))/Summary!$B$3))*(IF(OR(G21="(none)",G21=D21),1,1+(H21+IF(D21=G21,E21,0)+IF(J21=G21,K21,0))/Summary!$B$3))*(IF(OR(J21="",J21="(none)",J21=D21,J21=G21),1,1+(K21+IF(D21=J21,E21,0)+IF(G21=J21,H21,0))/Summary!$B$3))-1)</f>
        <v/>
      </c>
      <c r="M21">
        <f>OR(Inputs!$B$47="Old Music Box",Inputs!$B$48="Old Music Box",Inputs!$B$49="Old Music Box",Inputs!$B$50="Old Music Box")</f>
        <v/>
      </c>
      <c r="N21">
        <f>IF(B21="Not Unlocked",0,B21)</f>
        <v/>
      </c>
    </row>
    <row r="22">
      <c r="A22" s="6" t="inlineStr">
        <is>
          <t>Silver Pendant</t>
        </is>
      </c>
      <c r="B22" s="7" t="inlineStr">
        <is>
          <t>Not Unlocked</t>
        </is>
      </c>
      <c r="C22" s="7" t="inlineStr">
        <is>
          <t>Rare</t>
        </is>
      </c>
      <c r="D22" s="7" t="inlineStr">
        <is>
          <t>(none)</t>
        </is>
      </c>
      <c r="E22">
        <f>IF($N$22&gt;=1,IF($D$22="Main Stat %",(CHOOSE(MATCH($C$22,{"Rare","Epic","Unique","Legendary","Mystic","Mystic (Prime)"},0),2,3,4.5,7,10,12))*Sensitivity!$H$6,IF($D$22="Damage Taken Decrease %",0,IF($D$22="Defense %",0,IF($D$22="Accuracy",0,IF($D$22="Critical Rate %",(CHOOSE(MATCH($C$22,{"Rare","Epic","Unique","Legendary","Mystic","Mystic (Prime)"},0),2,3,4.5,7,10,12))*Sensitivity!$H$15,IF($D$22="Min Damage Multiplier %",(CHOOSE(MATCH($C$22,{"Rare","Epic","Unique","Legendary","Mystic","Mystic (Prime)"},0),2,3,4.5,7,10,12))*Sensitivity!$H$13,IF($D$22="Max Damage Multiplier %",(CHOOSE(MATCH($C$22,{"Rare","Epic","Unique","Legendary","Mystic","Mystic (Prime)"},0),2,3,4.5,7,10,12))*Sensitivity!$H$14,IF($D$22="Boss Monster Damage %",(CHOOSE(MATCH($C$22,{"Rare","Epic","Unique","Legendary","Mystic","Mystic (Prime)"},0),4,6,9,14,20,24))*Sensitivity!$H$10,IF($D$22="Normal Monster Damage %",(CHOOSE(MATCH($C$22,{"Rare","Epic","Unique","Legendary","Mystic","Mystic (Prime)"},0),4,6,9,14,20,24))*Sensitivity!$H$11,IF($D$22="Status Effect Damage %",0,IF($D$22="Damage %",(CHOOSE(MATCH($C$22,{"Rare","Epic","Unique","Legendary","Mystic","Mystic (Prime)"},0),4,6,9,14,20,24))*Sensitivity!$H$8,IF($D$22="Defense Penetration %",(CHOOSE(MATCH($C$22,{"Rare","Epic","Unique","Legendary","Mystic","Mystic (Prime)"},0),2,3,4.5,7,10,12))*Sensitivity!$H$18,0)))))))))))),0)</f>
        <v/>
      </c>
      <c r="F22" s="7" t="inlineStr">
        <is>
          <t>Rare</t>
        </is>
      </c>
      <c r="G22" s="7" t="inlineStr">
        <is>
          <t>(none)</t>
        </is>
      </c>
      <c r="H22">
        <f>IF($N$22&gt;=2,IF($G$22="Main Stat %",(CHOOSE(MATCH($F$22,{"Rare","Epic","Unique","Legendary","Mystic","Mystic (Prime)"},0),2,3,4.5,7,10,12))*Sensitivity!$H$6,IF($G$22="Damage Taken Decrease %",0,IF($G$22="Defense %",0,IF($G$22="Accuracy",0,IF($G$22="Critical Rate %",(CHOOSE(MATCH($F$22,{"Rare","Epic","Unique","Legendary","Mystic","Mystic (Prime)"},0),2,3,4.5,7,10,12))*Sensitivity!$H$15,IF($G$22="Min Damage Multiplier %",(CHOOSE(MATCH($F$22,{"Rare","Epic","Unique","Legendary","Mystic","Mystic (Prime)"},0),2,3,4.5,7,10,12))*Sensitivity!$H$13,IF($G$22="Max Damage Multiplier %",(CHOOSE(MATCH($F$22,{"Rare","Epic","Unique","Legendary","Mystic","Mystic (Prime)"},0),2,3,4.5,7,10,12))*Sensitivity!$H$14,IF($G$22="Boss Monster Damage %",(CHOOSE(MATCH($F$22,{"Rare","Epic","Unique","Legendary","Mystic","Mystic (Prime)"},0),4,6,9,14,20,24))*Sensitivity!$H$10,IF($G$22="Normal Monster Damage %",(CHOOSE(MATCH($F$22,{"Rare","Epic","Unique","Legendary","Mystic","Mystic (Prime)"},0),4,6,9,14,20,24))*Sensitivity!$H$11,IF($G$22="Status Effect Damage %",0,IF($G$22="Damage %",(CHOOSE(MATCH($F$22,{"Rare","Epic","Unique","Legendary","Mystic","Mystic (Prime)"},0),4,6,9,14,20,24))*Sensitivity!$H$8,IF($G$22="Defense Penetration %",(CHOOSE(MATCH($F$22,{"Rare","Epic","Unique","Legendary","Mystic","Mystic (Prime)"},0),2,3,4.5,7,10,12))*Sensitivity!$H$18,0)))))))))))),0)</f>
        <v/>
      </c>
      <c r="I22" s="7" t="inlineStr">
        <is>
          <t>Rare</t>
        </is>
      </c>
      <c r="J22" s="7" t="inlineStr">
        <is>
          <t>(none)</t>
        </is>
      </c>
      <c r="K22">
        <f>IF($N$22&gt;=5,IF($J$22="Main Stat %",(CHOOSE(MATCH($I$22,{"Rare","Epic","Unique","Legendary","Mystic","Mystic (Prime)"},0),2,3,4.5,7,10,12))*Sensitivity!$H$6,IF($J$22="Damage Taken Decrease %",0,IF($J$22="Defense %",0,IF($J$22="Accuracy",0,IF($J$22="Critical Rate %",(CHOOSE(MATCH($I$22,{"Rare","Epic","Unique","Legendary","Mystic","Mystic (Prime)"},0),2,3,4.5,7,10,12))*Sensitivity!$H$15,IF($J$22="Min Damage Multiplier %",(CHOOSE(MATCH($I$22,{"Rare","Epic","Unique","Legendary","Mystic","Mystic (Prime)"},0),2,3,4.5,7,10,12))*Sensitivity!$H$13,IF($J$22="Max Damage Multiplier %",(CHOOSE(MATCH($I$22,{"Rare","Epic","Unique","Legendary","Mystic","Mystic (Prime)"},0),2,3,4.5,7,10,12))*Sensitivity!$H$14,IF($J$22="Boss Monster Damage %",(CHOOSE(MATCH($I$22,{"Rare","Epic","Unique","Legendary","Mystic","Mystic (Prime)"},0),4,6,9,14,20,24))*Sensitivity!$H$10,IF($J$22="Normal Monster Damage %",(CHOOSE(MATCH($I$22,{"Rare","Epic","Unique","Legendary","Mystic","Mystic (Prime)"},0),4,6,9,14,20,24))*Sensitivity!$H$11,IF($J$22="Status Effect Damage %",0,IF($J$22="Damage %",(CHOOSE(MATCH($I$22,{"Rare","Epic","Unique","Legendary","Mystic","Mystic (Prime)"},0),4,6,9,14,20,24))*Sensitivity!$H$8,IF($J$22="Defense Penetration %",(CHOOSE(MATCH($I$22,{"Rare","Epic","Unique","Legendary","Mystic","Mystic (Prime)"},0),2,3,4.5,7,10,12))*Sensitivity!$H$18,0)))))))))))),0)</f>
        <v/>
      </c>
      <c r="L22">
        <f>Summary!$B$3*((IF(D22="(none)",1,1+(E22+IF(G22=D22,H22,0)+IF(J22=D22,K22,0))/Summary!$B$3))*(IF(OR(G22="(none)",G22=D22),1,1+(H22+IF(D22=G22,E22,0)+IF(J22=G22,K22,0))/Summary!$B$3))*(IF(OR(J22="",J22="(none)",J22=D22,J22=G22),1,1+(K22+IF(D22=J22,E22,0)+IF(G22=J22,H22,0))/Summary!$B$3))-1)</f>
        <v/>
      </c>
      <c r="M22">
        <f>OR(Inputs!$B$47="Silver Pendant",Inputs!$B$48="Silver Pendant",Inputs!$B$49="Silver Pendant",Inputs!$B$50="Silver Pendant")</f>
        <v/>
      </c>
      <c r="N22">
        <f>IF(B22="Not Unlocked",0,B22)</f>
        <v/>
      </c>
    </row>
    <row r="23">
      <c r="A23" s="6" t="inlineStr">
        <is>
          <t>Star Rock</t>
        </is>
      </c>
      <c r="B23" s="7" t="inlineStr">
        <is>
          <t>Not Unlocked</t>
        </is>
      </c>
      <c r="C23" s="7" t="inlineStr">
        <is>
          <t>Rare</t>
        </is>
      </c>
      <c r="D23" s="7" t="inlineStr">
        <is>
          <t>(none)</t>
        </is>
      </c>
      <c r="E23">
        <f>IF($N$23&gt;=1,IF($D$23="Main Stat %",(CHOOSE(MATCH($C$23,{"Rare","Epic","Unique","Legendary","Mystic","Mystic (Prime)"},0),2,3,4.5,7,10,12))*Sensitivity!$H$6,IF($D$23="Damage Taken Decrease %",0,IF($D$23="Defense %",0,IF($D$23="Accuracy",0,IF($D$23="Critical Rate %",(CHOOSE(MATCH($C$23,{"Rare","Epic","Unique","Legendary","Mystic","Mystic (Prime)"},0),2,3,4.5,7,10,12))*Sensitivity!$H$15,IF($D$23="Min Damage Multiplier %",(CHOOSE(MATCH($C$23,{"Rare","Epic","Unique","Legendary","Mystic","Mystic (Prime)"},0),2,3,4.5,7,10,12))*Sensitivity!$H$13,IF($D$23="Max Damage Multiplier %",(CHOOSE(MATCH($C$23,{"Rare","Epic","Unique","Legendary","Mystic","Mystic (Prime)"},0),2,3,4.5,7,10,12))*Sensitivity!$H$14,IF($D$23="Boss Monster Damage %",(CHOOSE(MATCH($C$23,{"Rare","Epic","Unique","Legendary","Mystic","Mystic (Prime)"},0),4,6,9,14,20,24))*Sensitivity!$H$10,IF($D$23="Normal Monster Damage %",(CHOOSE(MATCH($C$23,{"Rare","Epic","Unique","Legendary","Mystic","Mystic (Prime)"},0),4,6,9,14,20,24))*Sensitivity!$H$11,IF($D$23="Status Effect Damage %",0,IF($D$23="Damage %",(CHOOSE(MATCH($C$23,{"Rare","Epic","Unique","Legendary","Mystic","Mystic (Prime)"},0),4,6,9,14,20,24))*Sensitivity!$H$8,IF($D$23="Defense Penetration %",(CHOOSE(MATCH($C$23,{"Rare","Epic","Unique","Legendary","Mystic","Mystic (Prime)"},0),2,3,4.5,7,10,12))*Sensitivity!$H$18,0)))))))))))),0)</f>
        <v/>
      </c>
      <c r="F23" s="7" t="inlineStr">
        <is>
          <t>Rare</t>
        </is>
      </c>
      <c r="G23" s="7" t="inlineStr">
        <is>
          <t>(none)</t>
        </is>
      </c>
      <c r="H23">
        <f>IF($N$23&gt;=2,IF($G$23="Main Stat %",(CHOOSE(MATCH($F$23,{"Rare","Epic","Unique","Legendary","Mystic","Mystic (Prime)"},0),2,3,4.5,7,10,12))*Sensitivity!$H$6,IF($G$23="Damage Taken Decrease %",0,IF($G$23="Defense %",0,IF($G$23="Accuracy",0,IF($G$23="Critical Rate %",(CHOOSE(MATCH($F$23,{"Rare","Epic","Unique","Legendary","Mystic","Mystic (Prime)"},0),2,3,4.5,7,10,12))*Sensitivity!$H$15,IF($G$23="Min Damage Multiplier %",(CHOOSE(MATCH($F$23,{"Rare","Epic","Unique","Legendary","Mystic","Mystic (Prime)"},0),2,3,4.5,7,10,12))*Sensitivity!$H$13,IF($G$23="Max Damage Multiplier %",(CHOOSE(MATCH($F$23,{"Rare","Epic","Unique","Legendary","Mystic","Mystic (Prime)"},0),2,3,4.5,7,10,12))*Sensitivity!$H$14,IF($G$23="Boss Monster Damage %",(CHOOSE(MATCH($F$23,{"Rare","Epic","Unique","Legendary","Mystic","Mystic (Prime)"},0),4,6,9,14,20,24))*Sensitivity!$H$10,IF($G$23="Normal Monster Damage %",(CHOOSE(MATCH($F$23,{"Rare","Epic","Unique","Legendary","Mystic","Mystic (Prime)"},0),4,6,9,14,20,24))*Sensitivity!$H$11,IF($G$23="Status Effect Damage %",0,IF($G$23="Damage %",(CHOOSE(MATCH($F$23,{"Rare","Epic","Unique","Legendary","Mystic","Mystic (Prime)"},0),4,6,9,14,20,24))*Sensitivity!$H$8,IF($G$23="Defense Penetration %",(CHOOSE(MATCH($F$23,{"Rare","Epic","Unique","Legendary","Mystic","Mystic (Prime)"},0),2,3,4.5,7,10,12))*Sensitivity!$H$18,0)))))))))))),0)</f>
        <v/>
      </c>
      <c r="I23" s="7" t="inlineStr">
        <is>
          <t>Rare</t>
        </is>
      </c>
      <c r="J23" s="7" t="inlineStr">
        <is>
          <t>(none)</t>
        </is>
      </c>
      <c r="K23">
        <f>IF($N$23&gt;=5,IF($J$23="Main Stat %",(CHOOSE(MATCH($I$23,{"Rare","Epic","Unique","Legendary","Mystic","Mystic (Prime)"},0),2,3,4.5,7,10,12))*Sensitivity!$H$6,IF($J$23="Damage Taken Decrease %",0,IF($J$23="Defense %",0,IF($J$23="Accuracy",0,IF($J$23="Critical Rate %",(CHOOSE(MATCH($I$23,{"Rare","Epic","Unique","Legendary","Mystic","Mystic (Prime)"},0),2,3,4.5,7,10,12))*Sensitivity!$H$15,IF($J$23="Min Damage Multiplier %",(CHOOSE(MATCH($I$23,{"Rare","Epic","Unique","Legendary","Mystic","Mystic (Prime)"},0),2,3,4.5,7,10,12))*Sensitivity!$H$13,IF($J$23="Max Damage Multiplier %",(CHOOSE(MATCH($I$23,{"Rare","Epic","Unique","Legendary","Mystic","Mystic (Prime)"},0),2,3,4.5,7,10,12))*Sensitivity!$H$14,IF($J$23="Boss Monster Damage %",(CHOOSE(MATCH($I$23,{"Rare","Epic","Unique","Legendary","Mystic","Mystic (Prime)"},0),4,6,9,14,20,24))*Sensitivity!$H$10,IF($J$23="Normal Monster Damage %",(CHOOSE(MATCH($I$23,{"Rare","Epic","Unique","Legendary","Mystic","Mystic (Prime)"},0),4,6,9,14,20,24))*Sensitivity!$H$11,IF($J$23="Status Effect Damage %",0,IF($J$23="Damage %",(CHOOSE(MATCH($I$23,{"Rare","Epic","Unique","Legendary","Mystic","Mystic (Prime)"},0),4,6,9,14,20,24))*Sensitivity!$H$8,IF($J$23="Defense Penetration %",(CHOOSE(MATCH($I$23,{"Rare","Epic","Unique","Legendary","Mystic","Mystic (Prime)"},0),2,3,4.5,7,10,12))*Sensitivity!$H$18,0)))))))))))),0)</f>
        <v/>
      </c>
      <c r="L23">
        <f>Summary!$B$3*((IF(D23="(none)",1,1+(E23+IF(G23=D23,H23,0)+IF(J23=D23,K23,0))/Summary!$B$3))*(IF(OR(G23="(none)",G23=D23),1,1+(H23+IF(D23=G23,E23,0)+IF(J23=G23,K23,0))/Summary!$B$3))*(IF(OR(J23="",J23="(none)",J23=D23,J23=G23),1,1+(K23+IF(D23=J23,E23,0)+IF(G23=J23,H23,0))/Summary!$B$3))-1)</f>
        <v/>
      </c>
      <c r="M23">
        <f>OR(Inputs!$B$47="Star Rock",Inputs!$B$48="Star Rock",Inputs!$B$49="Star Rock",Inputs!$B$50="Star Rock")</f>
        <v/>
      </c>
      <c r="N23">
        <f>IF(B23="Not Unlocked",0,B23)</f>
        <v/>
      </c>
    </row>
    <row r="24">
      <c r="A24" s="6" t="inlineStr">
        <is>
          <t>Book of Ancient</t>
        </is>
      </c>
      <c r="B24" s="7" t="inlineStr">
        <is>
          <t>Not Unlocked</t>
        </is>
      </c>
      <c r="C24" s="7" t="inlineStr">
        <is>
          <t>Rare</t>
        </is>
      </c>
      <c r="D24" s="7" t="inlineStr">
        <is>
          <t>(none)</t>
        </is>
      </c>
      <c r="E24">
        <f>IF($N$24&gt;=1,IF($D$24="Main Stat %",(CHOOSE(MATCH($C$24,{"Rare","Epic","Unique","Legendary","Mystic","Mystic (Prime)"},0),2,3,4.5,7,10,12))*Sensitivity!$H$6,IF($D$24="Damage Taken Decrease %",0,IF($D$24="Defense %",0,IF($D$24="Accuracy",0,IF($D$24="Critical Rate %",(CHOOSE(MATCH($C$24,{"Rare","Epic","Unique","Legendary","Mystic","Mystic (Prime)"},0),2,3,4.5,7,10,12))*Sensitivity!$H$15,IF($D$24="Min Damage Multiplier %",(CHOOSE(MATCH($C$24,{"Rare","Epic","Unique","Legendary","Mystic","Mystic (Prime)"},0),2,3,4.5,7,10,12))*Sensitivity!$H$13,IF($D$24="Max Damage Multiplier %",(CHOOSE(MATCH($C$24,{"Rare","Epic","Unique","Legendary","Mystic","Mystic (Prime)"},0),2,3,4.5,7,10,12))*Sensitivity!$H$14,IF($D$24="Boss Monster Damage %",(CHOOSE(MATCH($C$24,{"Rare","Epic","Unique","Legendary","Mystic","Mystic (Prime)"},0),4,6,9,14,20,24))*Sensitivity!$H$10,IF($D$24="Normal Monster Damage %",(CHOOSE(MATCH($C$24,{"Rare","Epic","Unique","Legendary","Mystic","Mystic (Prime)"},0),4,6,9,14,20,24))*Sensitivity!$H$11,IF($D$24="Status Effect Damage %",0,IF($D$24="Damage %",(CHOOSE(MATCH($C$24,{"Rare","Epic","Unique","Legendary","Mystic","Mystic (Prime)"},0),4,6,9,14,20,24))*Sensitivity!$H$8,IF($D$24="Defense Penetration %",(CHOOSE(MATCH($C$24,{"Rare","Epic","Unique","Legendary","Mystic","Mystic (Prime)"},0),2,3,4.5,7,10,12))*Sensitivity!$H$18,0)))))))))))),0)</f>
        <v/>
      </c>
      <c r="F24" s="7" t="inlineStr">
        <is>
          <t>Rare</t>
        </is>
      </c>
      <c r="G24" s="7" t="inlineStr">
        <is>
          <t>(none)</t>
        </is>
      </c>
      <c r="H24">
        <f>IF($N$24&gt;=2,IF($G$24="Main Stat %",(CHOOSE(MATCH($F$24,{"Rare","Epic","Unique","Legendary","Mystic","Mystic (Prime)"},0),2,3,4.5,7,10,12))*Sensitivity!$H$6,IF($G$24="Damage Taken Decrease %",0,IF($G$24="Defense %",0,IF($G$24="Accuracy",0,IF($G$24="Critical Rate %",(CHOOSE(MATCH($F$24,{"Rare","Epic","Unique","Legendary","Mystic","Mystic (Prime)"},0),2,3,4.5,7,10,12))*Sensitivity!$H$15,IF($G$24="Min Damage Multiplier %",(CHOOSE(MATCH($F$24,{"Rare","Epic","Unique","Legendary","Mystic","Mystic (Prime)"},0),2,3,4.5,7,10,12))*Sensitivity!$H$13,IF($G$24="Max Damage Multiplier %",(CHOOSE(MATCH($F$24,{"Rare","Epic","Unique","Legendary","Mystic","Mystic (Prime)"},0),2,3,4.5,7,10,12))*Sensitivity!$H$14,IF($G$24="Boss Monster Damage %",(CHOOSE(MATCH($F$24,{"Rare","Epic","Unique","Legendary","Mystic","Mystic (Prime)"},0),4,6,9,14,20,24))*Sensitivity!$H$10,IF($G$24="Normal Monster Damage %",(CHOOSE(MATCH($F$24,{"Rare","Epic","Unique","Legendary","Mystic","Mystic (Prime)"},0),4,6,9,14,20,24))*Sensitivity!$H$11,IF($G$24="Status Effect Damage %",0,IF($G$24="Damage %",(CHOOSE(MATCH($F$24,{"Rare","Epic","Unique","Legendary","Mystic","Mystic (Prime)"},0),4,6,9,14,20,24))*Sensitivity!$H$8,IF($G$24="Defense Penetration %",(CHOOSE(MATCH($F$24,{"Rare","Epic","Unique","Legendary","Mystic","Mystic (Prime)"},0),2,3,4.5,7,10,12))*Sensitivity!$H$18,0)))))))))))),0)</f>
        <v/>
      </c>
      <c r="I24" s="7" t="inlineStr">
        <is>
          <t>Rare</t>
        </is>
      </c>
      <c r="J24" s="7" t="inlineStr">
        <is>
          <t>(none)</t>
        </is>
      </c>
      <c r="K24">
        <f>IF($N$24&gt;=5,IF($J$24="Main Stat %",(CHOOSE(MATCH($I$24,{"Rare","Epic","Unique","Legendary","Mystic","Mystic (Prime)"},0),2,3,4.5,7,10,12))*Sensitivity!$H$6,IF($J$24="Damage Taken Decrease %",0,IF($J$24="Defense %",0,IF($J$24="Accuracy",0,IF($J$24="Critical Rate %",(CHOOSE(MATCH($I$24,{"Rare","Epic","Unique","Legendary","Mystic","Mystic (Prime)"},0),2,3,4.5,7,10,12))*Sensitivity!$H$15,IF($J$24="Min Damage Multiplier %",(CHOOSE(MATCH($I$24,{"Rare","Epic","Unique","Legendary","Mystic","Mystic (Prime)"},0),2,3,4.5,7,10,12))*Sensitivity!$H$13,IF($J$24="Max Damage Multiplier %",(CHOOSE(MATCH($I$24,{"Rare","Epic","Unique","Legendary","Mystic","Mystic (Prime)"},0),2,3,4.5,7,10,12))*Sensitivity!$H$14,IF($J$24="Boss Monster Damage %",(CHOOSE(MATCH($I$24,{"Rare","Epic","Unique","Legendary","Mystic","Mystic (Prime)"},0),4,6,9,14,20,24))*Sensitivity!$H$10,IF($J$24="Normal Monster Damage %",(CHOOSE(MATCH($I$24,{"Rare","Epic","Unique","Legendary","Mystic","Mystic (Prime)"},0),4,6,9,14,20,24))*Sensitivity!$H$11,IF($J$24="Status Effect Damage %",0,IF($J$24="Damage %",(CHOOSE(MATCH($I$24,{"Rare","Epic","Unique","Legendary","Mystic","Mystic (Prime)"},0),4,6,9,14,20,24))*Sensitivity!$H$8,IF($J$24="Defense Penetration %",(CHOOSE(MATCH($I$24,{"Rare","Epic","Unique","Legendary","Mystic","Mystic (Prime)"},0),2,3,4.5,7,10,12))*Sensitivity!$H$18,0)))))))))))),0)</f>
        <v/>
      </c>
      <c r="L24">
        <f>Summary!$B$3*((IF(D24="(none)",1,1+(E24+IF(G24=D24,H24,0)+IF(J24=D24,K24,0))/Summary!$B$3))*(IF(OR(G24="(none)",G24=D24),1,1+(H24+IF(D24=G24,E24,0)+IF(J24=G24,K24,0))/Summary!$B$3))*(IF(OR(J24="",J24="(none)",J24=D24,J24=G24),1,1+(K24+IF(D24=J24,E24,0)+IF(G24=J24,H24,0))/Summary!$B$3))-1)</f>
        <v/>
      </c>
      <c r="M24">
        <f>OR(Inputs!$B$47="Book of Ancient",Inputs!$B$48="Book of Ancient",Inputs!$B$49="Book of Ancient",Inputs!$B$50="Book of Ancient")</f>
        <v/>
      </c>
      <c r="N24">
        <f>IF(B24="Not Unlocked",0,B24)</f>
        <v/>
      </c>
    </row>
    <row r="25">
      <c r="A25" s="6" t="inlineStr">
        <is>
          <t>Lunar Dew</t>
        </is>
      </c>
      <c r="B25" s="7" t="inlineStr">
        <is>
          <t>Not Unlocked</t>
        </is>
      </c>
      <c r="C25" s="7" t="inlineStr">
        <is>
          <t>Rare</t>
        </is>
      </c>
      <c r="D25" s="7" t="inlineStr">
        <is>
          <t>(none)</t>
        </is>
      </c>
      <c r="E25">
        <f>IF($N$25&gt;=1,IF($D$25="Main Stat %",(CHOOSE(MATCH($C$25,{"Rare","Epic","Unique","Legendary","Mystic","Mystic (Prime)"},0),2,3,4.5,7,10,12))*Sensitivity!$H$6,IF($D$25="Damage Taken Decrease %",0,IF($D$25="Defense %",0,IF($D$25="Accuracy",0,IF($D$25="Critical Rate %",(CHOOSE(MATCH($C$25,{"Rare","Epic","Unique","Legendary","Mystic","Mystic (Prime)"},0),2,3,4.5,7,10,12))*Sensitivity!$H$15,IF($D$25="Min Damage Multiplier %",(CHOOSE(MATCH($C$25,{"Rare","Epic","Unique","Legendary","Mystic","Mystic (Prime)"},0),2,3,4.5,7,10,12))*Sensitivity!$H$13,IF($D$25="Max Damage Multiplier %",(CHOOSE(MATCH($C$25,{"Rare","Epic","Unique","Legendary","Mystic","Mystic (Prime)"},0),2,3,4.5,7,10,12))*Sensitivity!$H$14,IF($D$25="Boss Monster Damage %",(CHOOSE(MATCH($C$25,{"Rare","Epic","Unique","Legendary","Mystic","Mystic (Prime)"},0),4,6,9,14,20,24))*Sensitivity!$H$10,IF($D$25="Normal Monster Damage %",(CHOOSE(MATCH($C$25,{"Rare","Epic","Unique","Legendary","Mystic","Mystic (Prime)"},0),4,6,9,14,20,24))*Sensitivity!$H$11,IF($D$25="Status Effect Damage %",0,IF($D$25="Damage %",(CHOOSE(MATCH($C$25,{"Rare","Epic","Unique","Legendary","Mystic","Mystic (Prime)"},0),4,6,9,14,20,24))*Sensitivity!$H$8,IF($D$25="Defense Penetration %",(CHOOSE(MATCH($C$25,{"Rare","Epic","Unique","Legendary","Mystic","Mystic (Prime)"},0),2,3,4.5,7,10,12))*Sensitivity!$H$18,0)))))))))))),0)</f>
        <v/>
      </c>
      <c r="F25" s="7" t="inlineStr">
        <is>
          <t>Rare</t>
        </is>
      </c>
      <c r="G25" s="7" t="inlineStr">
        <is>
          <t>(none)</t>
        </is>
      </c>
      <c r="H25">
        <f>IF($N$25&gt;=2,IF($G$25="Main Stat %",(CHOOSE(MATCH($F$25,{"Rare","Epic","Unique","Legendary","Mystic","Mystic (Prime)"},0),2,3,4.5,7,10,12))*Sensitivity!$H$6,IF($G$25="Damage Taken Decrease %",0,IF($G$25="Defense %",0,IF($G$25="Accuracy",0,IF($G$25="Critical Rate %",(CHOOSE(MATCH($F$25,{"Rare","Epic","Unique","Legendary","Mystic","Mystic (Prime)"},0),2,3,4.5,7,10,12))*Sensitivity!$H$15,IF($G$25="Min Damage Multiplier %",(CHOOSE(MATCH($F$25,{"Rare","Epic","Unique","Legendary","Mystic","Mystic (Prime)"},0),2,3,4.5,7,10,12))*Sensitivity!$H$13,IF($G$25="Max Damage Multiplier %",(CHOOSE(MATCH($F$25,{"Rare","Epic","Unique","Legendary","Mystic","Mystic (Prime)"},0),2,3,4.5,7,10,12))*Sensitivity!$H$14,IF($G$25="Boss Monster Damage %",(CHOOSE(MATCH($F$25,{"Rare","Epic","Unique","Legendary","Mystic","Mystic (Prime)"},0),4,6,9,14,20,24))*Sensitivity!$H$10,IF($G$25="Normal Monster Damage %",(CHOOSE(MATCH($F$25,{"Rare","Epic","Unique","Legendary","Mystic","Mystic (Prime)"},0),4,6,9,14,20,24))*Sensitivity!$H$11,IF($G$25="Status Effect Damage %",0,IF($G$25="Damage %",(CHOOSE(MATCH($F$25,{"Rare","Epic","Unique","Legendary","Mystic","Mystic (Prime)"},0),4,6,9,14,20,24))*Sensitivity!$H$8,IF($G$25="Defense Penetration %",(CHOOSE(MATCH($F$25,{"Rare","Epic","Unique","Legendary","Mystic","Mystic (Prime)"},0),2,3,4.5,7,10,12))*Sensitivity!$H$18,0)))))))))))),0)</f>
        <v/>
      </c>
      <c r="I25" s="7" t="inlineStr">
        <is>
          <t>Rare</t>
        </is>
      </c>
      <c r="J25" s="7" t="inlineStr">
        <is>
          <t>(none)</t>
        </is>
      </c>
      <c r="K25">
        <f>IF($N$25&gt;=5,IF($J$25="Main Stat %",(CHOOSE(MATCH($I$25,{"Rare","Epic","Unique","Legendary","Mystic","Mystic (Prime)"},0),2,3,4.5,7,10,12))*Sensitivity!$H$6,IF($J$25="Damage Taken Decrease %",0,IF($J$25="Defense %",0,IF($J$25="Accuracy",0,IF($J$25="Critical Rate %",(CHOOSE(MATCH($I$25,{"Rare","Epic","Unique","Legendary","Mystic","Mystic (Prime)"},0),2,3,4.5,7,10,12))*Sensitivity!$H$15,IF($J$25="Min Damage Multiplier %",(CHOOSE(MATCH($I$25,{"Rare","Epic","Unique","Legendary","Mystic","Mystic (Prime)"},0),2,3,4.5,7,10,12))*Sensitivity!$H$13,IF($J$25="Max Damage Multiplier %",(CHOOSE(MATCH($I$25,{"Rare","Epic","Unique","Legendary","Mystic","Mystic (Prime)"},0),2,3,4.5,7,10,12))*Sensitivity!$H$14,IF($J$25="Boss Monster Damage %",(CHOOSE(MATCH($I$25,{"Rare","Epic","Unique","Legendary","Mystic","Mystic (Prime)"},0),4,6,9,14,20,24))*Sensitivity!$H$10,IF($J$25="Normal Monster Damage %",(CHOOSE(MATCH($I$25,{"Rare","Epic","Unique","Legendary","Mystic","Mystic (Prime)"},0),4,6,9,14,20,24))*Sensitivity!$H$11,IF($J$25="Status Effect Damage %",0,IF($J$25="Damage %",(CHOOSE(MATCH($I$25,{"Rare","Epic","Unique","Legendary","Mystic","Mystic (Prime)"},0),4,6,9,14,20,24))*Sensitivity!$H$8,IF($J$25="Defense Penetration %",(CHOOSE(MATCH($I$25,{"Rare","Epic","Unique","Legendary","Mystic","Mystic (Prime)"},0),2,3,4.5,7,10,12))*Sensitivity!$H$18,0)))))))))))),0)</f>
        <v/>
      </c>
      <c r="L25">
        <f>Summary!$B$3*((IF(D25="(none)",1,1+(E25+IF(G25=D25,H25,0)+IF(J25=D25,K25,0))/Summary!$B$3))*(IF(OR(G25="(none)",G25=D25),1,1+(H25+IF(D25=G25,E25,0)+IF(J25=G25,K25,0))/Summary!$B$3))*(IF(OR(J25="",J25="(none)",J25=D25,J25=G25),1,1+(K25+IF(D25=J25,E25,0)+IF(G25=J25,H25,0))/Summary!$B$3))-1)</f>
        <v/>
      </c>
      <c r="M25">
        <f>OR(Inputs!$B$47="Lunar Dew",Inputs!$B$48="Lunar Dew",Inputs!$B$49="Lunar Dew",Inputs!$B$50="Lunar Dew")</f>
        <v/>
      </c>
      <c r="N25">
        <f>IF(B25="Not Unlocked",0,B25)</f>
        <v/>
      </c>
    </row>
    <row r="26">
      <c r="A26" s="6" t="inlineStr">
        <is>
          <t>Fire Flower</t>
        </is>
      </c>
      <c r="B26" s="7" t="inlineStr">
        <is>
          <t>Not Unlocked</t>
        </is>
      </c>
      <c r="C26" s="7" t="inlineStr">
        <is>
          <t>Rare</t>
        </is>
      </c>
      <c r="D26" s="7" t="inlineStr">
        <is>
          <t>(none)</t>
        </is>
      </c>
      <c r="E26">
        <f>IF($N$26&gt;=1,IF($D$26="Main Stat %",(CHOOSE(MATCH($C$26,{"Rare","Epic","Unique","Legendary","Mystic","Mystic (Prime)"},0),2,3,4.5,7,10,12))*Sensitivity!$H$6,IF($D$26="Damage Taken Decrease %",0,IF($D$26="Defense %",0,IF($D$26="Accuracy",0,IF($D$26="Critical Rate %",(CHOOSE(MATCH($C$26,{"Rare","Epic","Unique","Legendary","Mystic","Mystic (Prime)"},0),2,3,4.5,7,10,12))*Sensitivity!$H$15,IF($D$26="Min Damage Multiplier %",(CHOOSE(MATCH($C$26,{"Rare","Epic","Unique","Legendary","Mystic","Mystic (Prime)"},0),2,3,4.5,7,10,12))*Sensitivity!$H$13,IF($D$26="Max Damage Multiplier %",(CHOOSE(MATCH($C$26,{"Rare","Epic","Unique","Legendary","Mystic","Mystic (Prime)"},0),2,3,4.5,7,10,12))*Sensitivity!$H$14,IF($D$26="Boss Monster Damage %",(CHOOSE(MATCH($C$26,{"Rare","Epic","Unique","Legendary","Mystic","Mystic (Prime)"},0),4,6,9,14,20,24))*Sensitivity!$H$10,IF($D$26="Normal Monster Damage %",(CHOOSE(MATCH($C$26,{"Rare","Epic","Unique","Legendary","Mystic","Mystic (Prime)"},0),4,6,9,14,20,24))*Sensitivity!$H$11,IF($D$26="Status Effect Damage %",0,IF($D$26="Damage %",(CHOOSE(MATCH($C$26,{"Rare","Epic","Unique","Legendary","Mystic","Mystic (Prime)"},0),4,6,9,14,20,24))*Sensitivity!$H$8,IF($D$26="Defense Penetration %",(CHOOSE(MATCH($C$26,{"Rare","Epic","Unique","Legendary","Mystic","Mystic (Prime)"},0),2,3,4.5,7,10,12))*Sensitivity!$H$18,0)))))))))))),0)</f>
        <v/>
      </c>
      <c r="F26" s="7" t="inlineStr">
        <is>
          <t>Rare</t>
        </is>
      </c>
      <c r="G26" s="7" t="inlineStr">
        <is>
          <t>(none)</t>
        </is>
      </c>
      <c r="H26">
        <f>IF($N$26&gt;=2,IF($G$26="Main Stat %",(CHOOSE(MATCH($F$26,{"Rare","Epic","Unique","Legendary","Mystic","Mystic (Prime)"},0),2,3,4.5,7,10,12))*Sensitivity!$H$6,IF($G$26="Damage Taken Decrease %",0,IF($G$26="Defense %",0,IF($G$26="Accuracy",0,IF($G$26="Critical Rate %",(CHOOSE(MATCH($F$26,{"Rare","Epic","Unique","Legendary","Mystic","Mystic (Prime)"},0),2,3,4.5,7,10,12))*Sensitivity!$H$15,IF($G$26="Min Damage Multiplier %",(CHOOSE(MATCH($F$26,{"Rare","Epic","Unique","Legendary","Mystic","Mystic (Prime)"},0),2,3,4.5,7,10,12))*Sensitivity!$H$13,IF($G$26="Max Damage Multiplier %",(CHOOSE(MATCH($F$26,{"Rare","Epic","Unique","Legendary","Mystic","Mystic (Prime)"},0),2,3,4.5,7,10,12))*Sensitivity!$H$14,IF($G$26="Boss Monster Damage %",(CHOOSE(MATCH($F$26,{"Rare","Epic","Unique","Legendary","Mystic","Mystic (Prime)"},0),4,6,9,14,20,24))*Sensitivity!$H$10,IF($G$26="Normal Monster Damage %",(CHOOSE(MATCH($F$26,{"Rare","Epic","Unique","Legendary","Mystic","Mystic (Prime)"},0),4,6,9,14,20,24))*Sensitivity!$H$11,IF($G$26="Status Effect Damage %",0,IF($G$26="Damage %",(CHOOSE(MATCH($F$26,{"Rare","Epic","Unique","Legendary","Mystic","Mystic (Prime)"},0),4,6,9,14,20,24))*Sensitivity!$H$8,IF($G$26="Defense Penetration %",(CHOOSE(MATCH($F$26,{"Rare","Epic","Unique","Legendary","Mystic","Mystic (Prime)"},0),2,3,4.5,7,10,12))*Sensitivity!$H$18,0)))))))))))),0)</f>
        <v/>
      </c>
      <c r="I26" s="7" t="inlineStr">
        <is>
          <t>Rare</t>
        </is>
      </c>
      <c r="J26" s="7" t="inlineStr">
        <is>
          <t>(none)</t>
        </is>
      </c>
      <c r="K26">
        <f>IF($N$26&gt;=5,IF($J$26="Main Stat %",(CHOOSE(MATCH($I$26,{"Rare","Epic","Unique","Legendary","Mystic","Mystic (Prime)"},0),2,3,4.5,7,10,12))*Sensitivity!$H$6,IF($J$26="Damage Taken Decrease %",0,IF($J$26="Defense %",0,IF($J$26="Accuracy",0,IF($J$26="Critical Rate %",(CHOOSE(MATCH($I$26,{"Rare","Epic","Unique","Legendary","Mystic","Mystic (Prime)"},0),2,3,4.5,7,10,12))*Sensitivity!$H$15,IF($J$26="Min Damage Multiplier %",(CHOOSE(MATCH($I$26,{"Rare","Epic","Unique","Legendary","Mystic","Mystic (Prime)"},0),2,3,4.5,7,10,12))*Sensitivity!$H$13,IF($J$26="Max Damage Multiplier %",(CHOOSE(MATCH($I$26,{"Rare","Epic","Unique","Legendary","Mystic","Mystic (Prime)"},0),2,3,4.5,7,10,12))*Sensitivity!$H$14,IF($J$26="Boss Monster Damage %",(CHOOSE(MATCH($I$26,{"Rare","Epic","Unique","Legendary","Mystic","Mystic (Prime)"},0),4,6,9,14,20,24))*Sensitivity!$H$10,IF($J$26="Normal Monster Damage %",(CHOOSE(MATCH($I$26,{"Rare","Epic","Unique","Legendary","Mystic","Mystic (Prime)"},0),4,6,9,14,20,24))*Sensitivity!$H$11,IF($J$26="Status Effect Damage %",0,IF($J$26="Damage %",(CHOOSE(MATCH($I$26,{"Rare","Epic","Unique","Legendary","Mystic","Mystic (Prime)"},0),4,6,9,14,20,24))*Sensitivity!$H$8,IF($J$26="Defense Penetration %",(CHOOSE(MATCH($I$26,{"Rare","Epic","Unique","Legendary","Mystic","Mystic (Prime)"},0),2,3,4.5,7,10,12))*Sensitivity!$H$18,0)))))))))))),0)</f>
        <v/>
      </c>
      <c r="L26">
        <f>Summary!$B$3*((IF(D26="(none)",1,1+(E26+IF(G26=D26,H26,0)+IF(J26=D26,K26,0))/Summary!$B$3))*(IF(OR(G26="(none)",G26=D26),1,1+(H26+IF(D26=G26,E26,0)+IF(J26=G26,K26,0))/Summary!$B$3))*(IF(OR(J26="",J26="(none)",J26=D26,J26=G26),1,1+(K26+IF(D26=J26,E26,0)+IF(G26=J26,H26,0))/Summary!$B$3))-1)</f>
        <v/>
      </c>
      <c r="M26">
        <f>OR(Inputs!$B$47="Fire Flower",Inputs!$B$48="Fire Flower",Inputs!$B$49="Fire Flower",Inputs!$B$50="Fire Flower")</f>
        <v/>
      </c>
      <c r="N26">
        <f>IF(B26="Not Unlocked",0,B26)</f>
        <v/>
      </c>
    </row>
    <row r="27">
      <c r="A27" s="6" t="inlineStr">
        <is>
          <t>Soul Contract</t>
        </is>
      </c>
      <c r="B27" s="7" t="inlineStr">
        <is>
          <t>Not Unlocked</t>
        </is>
      </c>
      <c r="C27" s="7" t="inlineStr">
        <is>
          <t>Rare</t>
        </is>
      </c>
      <c r="D27" s="7" t="inlineStr">
        <is>
          <t>(none)</t>
        </is>
      </c>
      <c r="E27">
        <f>IF($N$27&gt;=1,IF($D$27="Main Stat %",(CHOOSE(MATCH($C$27,{"Rare","Epic","Unique","Legendary","Mystic","Mystic (Prime)"},0),2,3,4.5,7,10,12))*Sensitivity!$H$6,IF($D$27="Damage Taken Decrease %",0,IF($D$27="Defense %",0,IF($D$27="Accuracy",0,IF($D$27="Critical Rate %",(CHOOSE(MATCH($C$27,{"Rare","Epic","Unique","Legendary","Mystic","Mystic (Prime)"},0),2,3,4.5,7,10,12))*Sensitivity!$H$15,IF($D$27="Min Damage Multiplier %",(CHOOSE(MATCH($C$27,{"Rare","Epic","Unique","Legendary","Mystic","Mystic (Prime)"},0),2,3,4.5,7,10,12))*Sensitivity!$H$13,IF($D$27="Max Damage Multiplier %",(CHOOSE(MATCH($C$27,{"Rare","Epic","Unique","Legendary","Mystic","Mystic (Prime)"},0),2,3,4.5,7,10,12))*Sensitivity!$H$14,IF($D$27="Boss Monster Damage %",(CHOOSE(MATCH($C$27,{"Rare","Epic","Unique","Legendary","Mystic","Mystic (Prime)"},0),4,6,9,14,20,24))*Sensitivity!$H$10,IF($D$27="Normal Monster Damage %",(CHOOSE(MATCH($C$27,{"Rare","Epic","Unique","Legendary","Mystic","Mystic (Prime)"},0),4,6,9,14,20,24))*Sensitivity!$H$11,IF($D$27="Status Effect Damage %",0,IF($D$27="Damage %",(CHOOSE(MATCH($C$27,{"Rare","Epic","Unique","Legendary","Mystic","Mystic (Prime)"},0),4,6,9,14,20,24))*Sensitivity!$H$8,IF($D$27="Defense Penetration %",(CHOOSE(MATCH($C$27,{"Rare","Epic","Unique","Legendary","Mystic","Mystic (Prime)"},0),2,3,4.5,7,10,12))*Sensitivity!$H$18,0)))))))))))),0)</f>
        <v/>
      </c>
      <c r="F27" s="7" t="inlineStr">
        <is>
          <t>Rare</t>
        </is>
      </c>
      <c r="G27" s="7" t="inlineStr">
        <is>
          <t>(none)</t>
        </is>
      </c>
      <c r="H27">
        <f>IF($N$27&gt;=2,IF($G$27="Main Stat %",(CHOOSE(MATCH($F$27,{"Rare","Epic","Unique","Legendary","Mystic","Mystic (Prime)"},0),2,3,4.5,7,10,12))*Sensitivity!$H$6,IF($G$27="Damage Taken Decrease %",0,IF($G$27="Defense %",0,IF($G$27="Accuracy",0,IF($G$27="Critical Rate %",(CHOOSE(MATCH($F$27,{"Rare","Epic","Unique","Legendary","Mystic","Mystic (Prime)"},0),2,3,4.5,7,10,12))*Sensitivity!$H$15,IF($G$27="Min Damage Multiplier %",(CHOOSE(MATCH($F$27,{"Rare","Epic","Unique","Legendary","Mystic","Mystic (Prime)"},0),2,3,4.5,7,10,12))*Sensitivity!$H$13,IF($G$27="Max Damage Multiplier %",(CHOOSE(MATCH($F$27,{"Rare","Epic","Unique","Legendary","Mystic","Mystic (Prime)"},0),2,3,4.5,7,10,12))*Sensitivity!$H$14,IF($G$27="Boss Monster Damage %",(CHOOSE(MATCH($F$27,{"Rare","Epic","Unique","Legendary","Mystic","Mystic (Prime)"},0),4,6,9,14,20,24))*Sensitivity!$H$10,IF($G$27="Normal Monster Damage %",(CHOOSE(MATCH($F$27,{"Rare","Epic","Unique","Legendary","Mystic","Mystic (Prime)"},0),4,6,9,14,20,24))*Sensitivity!$H$11,IF($G$27="Status Effect Damage %",0,IF($G$27="Damage %",(CHOOSE(MATCH($F$27,{"Rare","Epic","Unique","Legendary","Mystic","Mystic (Prime)"},0),4,6,9,14,20,24))*Sensitivity!$H$8,IF($G$27="Defense Penetration %",(CHOOSE(MATCH($F$27,{"Rare","Epic","Unique","Legendary","Mystic","Mystic (Prime)"},0),2,3,4.5,7,10,12))*Sensitivity!$H$18,0)))))))))))),0)</f>
        <v/>
      </c>
      <c r="I27" s="7" t="inlineStr">
        <is>
          <t>Rare</t>
        </is>
      </c>
      <c r="J27" s="7" t="inlineStr">
        <is>
          <t>(none)</t>
        </is>
      </c>
      <c r="K27">
        <f>IF($N$27&gt;=5,IF($J$27="Main Stat %",(CHOOSE(MATCH($I$27,{"Rare","Epic","Unique","Legendary","Mystic","Mystic (Prime)"},0),2,3,4.5,7,10,12))*Sensitivity!$H$6,IF($J$27="Damage Taken Decrease %",0,IF($J$27="Defense %",0,IF($J$27="Accuracy",0,IF($J$27="Critical Rate %",(CHOOSE(MATCH($I$27,{"Rare","Epic","Unique","Legendary","Mystic","Mystic (Prime)"},0),2,3,4.5,7,10,12))*Sensitivity!$H$15,IF($J$27="Min Damage Multiplier %",(CHOOSE(MATCH($I$27,{"Rare","Epic","Unique","Legendary","Mystic","Mystic (Prime)"},0),2,3,4.5,7,10,12))*Sensitivity!$H$13,IF($J$27="Max Damage Multiplier %",(CHOOSE(MATCH($I$27,{"Rare","Epic","Unique","Legendary","Mystic","Mystic (Prime)"},0),2,3,4.5,7,10,12))*Sensitivity!$H$14,IF($J$27="Boss Monster Damage %",(CHOOSE(MATCH($I$27,{"Rare","Epic","Unique","Legendary","Mystic","Mystic (Prime)"},0),4,6,9,14,20,24))*Sensitivity!$H$10,IF($J$27="Normal Monster Damage %",(CHOOSE(MATCH($I$27,{"Rare","Epic","Unique","Legendary","Mystic","Mystic (Prime)"},0),4,6,9,14,20,24))*Sensitivity!$H$11,IF($J$27="Status Effect Damage %",0,IF($J$27="Damage %",(CHOOSE(MATCH($I$27,{"Rare","Epic","Unique","Legendary","Mystic","Mystic (Prime)"},0),4,6,9,14,20,24))*Sensitivity!$H$8,IF($J$27="Defense Penetration %",(CHOOSE(MATCH($I$27,{"Rare","Epic","Unique","Legendary","Mystic","Mystic (Prime)"},0),2,3,4.5,7,10,12))*Sensitivity!$H$18,0)))))))))))),0)</f>
        <v/>
      </c>
      <c r="L27">
        <f>Summary!$B$3*((IF(D27="(none)",1,1+(E27+IF(G27=D27,H27,0)+IF(J27=D27,K27,0))/Summary!$B$3))*(IF(OR(G27="(none)",G27=D27),1,1+(H27+IF(D27=G27,E27,0)+IF(J27=G27,K27,0))/Summary!$B$3))*(IF(OR(J27="",J27="(none)",J27=D27,J27=G27),1,1+(K27+IF(D27=J27,E27,0)+IF(G27=J27,H27,0))/Summary!$B$3))-1)</f>
        <v/>
      </c>
      <c r="M27">
        <f>OR(Inputs!$B$47="Soul Contract",Inputs!$B$48="Soul Contract",Inputs!$B$49="Soul Contract",Inputs!$B$50="Soul Contract")</f>
        <v/>
      </c>
      <c r="N27">
        <f>IF(B27="Not Unlocked",0,B27)</f>
        <v/>
      </c>
    </row>
    <row r="28">
      <c r="A28" s="6" t="inlineStr">
        <is>
          <t>Lit Lamp</t>
        </is>
      </c>
      <c r="B28" s="7" t="inlineStr">
        <is>
          <t>Not Unlocked</t>
        </is>
      </c>
      <c r="C28" s="7" t="inlineStr">
        <is>
          <t>Rare</t>
        </is>
      </c>
      <c r="D28" s="7" t="inlineStr">
        <is>
          <t>(none)</t>
        </is>
      </c>
      <c r="E28">
        <f>IF($N$28&gt;=1,IF($D$28="Main Stat %",(CHOOSE(MATCH($C$28,{"Rare","Epic","Unique","Legendary","Mystic","Mystic (Prime)"},0),2,3,4.5,7,10,12))*Sensitivity!$H$6,IF($D$28="Damage Taken Decrease %",0,IF($D$28="Defense %",0,IF($D$28="Accuracy",0,IF($D$28="Critical Rate %",(CHOOSE(MATCH($C$28,{"Rare","Epic","Unique","Legendary","Mystic","Mystic (Prime)"},0),2,3,4.5,7,10,12))*Sensitivity!$H$15,IF($D$28="Min Damage Multiplier %",(CHOOSE(MATCH($C$28,{"Rare","Epic","Unique","Legendary","Mystic","Mystic (Prime)"},0),2,3,4.5,7,10,12))*Sensitivity!$H$13,IF($D$28="Max Damage Multiplier %",(CHOOSE(MATCH($C$28,{"Rare","Epic","Unique","Legendary","Mystic","Mystic (Prime)"},0),2,3,4.5,7,10,12))*Sensitivity!$H$14,IF($D$28="Boss Monster Damage %",(CHOOSE(MATCH($C$28,{"Rare","Epic","Unique","Legendary","Mystic","Mystic (Prime)"},0),4,6,9,14,20,24))*Sensitivity!$H$10,IF($D$28="Normal Monster Damage %",(CHOOSE(MATCH($C$28,{"Rare","Epic","Unique","Legendary","Mystic","Mystic (Prime)"},0),4,6,9,14,20,24))*Sensitivity!$H$11,IF($D$28="Status Effect Damage %",0,IF($D$28="Damage %",(CHOOSE(MATCH($C$28,{"Rare","Epic","Unique","Legendary","Mystic","Mystic (Prime)"},0),4,6,9,14,20,24))*Sensitivity!$H$8,IF($D$28="Defense Penetration %",(CHOOSE(MATCH($C$28,{"Rare","Epic","Unique","Legendary","Mystic","Mystic (Prime)"},0),2,3,4.5,7,10,12))*Sensitivity!$H$18,0)))))))))))),0)</f>
        <v/>
      </c>
      <c r="F28" s="7" t="inlineStr">
        <is>
          <t>Rare</t>
        </is>
      </c>
      <c r="G28" s="7" t="inlineStr">
        <is>
          <t>(none)</t>
        </is>
      </c>
      <c r="H28">
        <f>IF($N$28&gt;=2,IF($G$28="Main Stat %",(CHOOSE(MATCH($F$28,{"Rare","Epic","Unique","Legendary","Mystic","Mystic (Prime)"},0),2,3,4.5,7,10,12))*Sensitivity!$H$6,IF($G$28="Damage Taken Decrease %",0,IF($G$28="Defense %",0,IF($G$28="Accuracy",0,IF($G$28="Critical Rate %",(CHOOSE(MATCH($F$28,{"Rare","Epic","Unique","Legendary","Mystic","Mystic (Prime)"},0),2,3,4.5,7,10,12))*Sensitivity!$H$15,IF($G$28="Min Damage Multiplier %",(CHOOSE(MATCH($F$28,{"Rare","Epic","Unique","Legendary","Mystic","Mystic (Prime)"},0),2,3,4.5,7,10,12))*Sensitivity!$H$13,IF($G$28="Max Damage Multiplier %",(CHOOSE(MATCH($F$28,{"Rare","Epic","Unique","Legendary","Mystic","Mystic (Prime)"},0),2,3,4.5,7,10,12))*Sensitivity!$H$14,IF($G$28="Boss Monster Damage %",(CHOOSE(MATCH($F$28,{"Rare","Epic","Unique","Legendary","Mystic","Mystic (Prime)"},0),4,6,9,14,20,24))*Sensitivity!$H$10,IF($G$28="Normal Monster Damage %",(CHOOSE(MATCH($F$28,{"Rare","Epic","Unique","Legendary","Mystic","Mystic (Prime)"},0),4,6,9,14,20,24))*Sensitivity!$H$11,IF($G$28="Status Effect Damage %",0,IF($G$28="Damage %",(CHOOSE(MATCH($F$28,{"Rare","Epic","Unique","Legendary","Mystic","Mystic (Prime)"},0),4,6,9,14,20,24))*Sensitivity!$H$8,IF($G$28="Defense Penetration %",(CHOOSE(MATCH($F$28,{"Rare","Epic","Unique","Legendary","Mystic","Mystic (Prime)"},0),2,3,4.5,7,10,12))*Sensitivity!$H$18,0)))))))))))),0)</f>
        <v/>
      </c>
      <c r="I28" s="7" t="inlineStr">
        <is>
          <t>Rare</t>
        </is>
      </c>
      <c r="J28" s="7" t="inlineStr">
        <is>
          <t>(none)</t>
        </is>
      </c>
      <c r="K28">
        <f>IF($N$28&gt;=5,IF($J$28="Main Stat %",(CHOOSE(MATCH($I$28,{"Rare","Epic","Unique","Legendary","Mystic","Mystic (Prime)"},0),2,3,4.5,7,10,12))*Sensitivity!$H$6,IF($J$28="Damage Taken Decrease %",0,IF($J$28="Defense %",0,IF($J$28="Accuracy",0,IF($J$28="Critical Rate %",(CHOOSE(MATCH($I$28,{"Rare","Epic","Unique","Legendary","Mystic","Mystic (Prime)"},0),2,3,4.5,7,10,12))*Sensitivity!$H$15,IF($J$28="Min Damage Multiplier %",(CHOOSE(MATCH($I$28,{"Rare","Epic","Unique","Legendary","Mystic","Mystic (Prime)"},0),2,3,4.5,7,10,12))*Sensitivity!$H$13,IF($J$28="Max Damage Multiplier %",(CHOOSE(MATCH($I$28,{"Rare","Epic","Unique","Legendary","Mystic","Mystic (Prime)"},0),2,3,4.5,7,10,12))*Sensitivity!$H$14,IF($J$28="Boss Monster Damage %",(CHOOSE(MATCH($I$28,{"Rare","Epic","Unique","Legendary","Mystic","Mystic (Prime)"},0),4,6,9,14,20,24))*Sensitivity!$H$10,IF($J$28="Normal Monster Damage %",(CHOOSE(MATCH($I$28,{"Rare","Epic","Unique","Legendary","Mystic","Mystic (Prime)"},0),4,6,9,14,20,24))*Sensitivity!$H$11,IF($J$28="Status Effect Damage %",0,IF($J$28="Damage %",(CHOOSE(MATCH($I$28,{"Rare","Epic","Unique","Legendary","Mystic","Mystic (Prime)"},0),4,6,9,14,20,24))*Sensitivity!$H$8,IF($J$28="Defense Penetration %",(CHOOSE(MATCH($I$28,{"Rare","Epic","Unique","Legendary","Mystic","Mystic (Prime)"},0),2,3,4.5,7,10,12))*Sensitivity!$H$18,0)))))))))))),0)</f>
        <v/>
      </c>
      <c r="L28">
        <f>Summary!$B$3*((IF(D28="(none)",1,1+(E28+IF(G28=D28,H28,0)+IF(J28=D28,K28,0))/Summary!$B$3))*(IF(OR(G28="(none)",G28=D28),1,1+(H28+IF(D28=G28,E28,0)+IF(J28=G28,K28,0))/Summary!$B$3))*(IF(OR(J28="",J28="(none)",J28=D28,J28=G28),1,1+(K28+IF(D28=J28,E28,0)+IF(G28=J28,H28,0))/Summary!$B$3))-1)</f>
        <v/>
      </c>
      <c r="M28">
        <f>OR(Inputs!$B$47="Lit Lamp",Inputs!$B$48="Lit Lamp",Inputs!$B$49="Lit Lamp",Inputs!$B$50="Lit Lamp")</f>
        <v/>
      </c>
      <c r="N28">
        <f>IF(B28="Not Unlocked",0,B28)</f>
        <v/>
      </c>
    </row>
    <row r="29">
      <c r="A29" s="6" t="inlineStr">
        <is>
          <t>Soul Pouch</t>
        </is>
      </c>
      <c r="B29" s="7" t="inlineStr">
        <is>
          <t>Not Unlocked</t>
        </is>
      </c>
      <c r="C29" s="7" t="inlineStr">
        <is>
          <t>Rare</t>
        </is>
      </c>
      <c r="D29" s="7" t="inlineStr">
        <is>
          <t>(none)</t>
        </is>
      </c>
      <c r="E29">
        <f>IF($N$29&gt;=1,IF($D$29="Main Stat %",(CHOOSE(MATCH($C$29,{"Rare","Epic","Unique","Legendary","Mystic","Mystic (Prime)"},0),2,3,4.5,7,10,12))*Sensitivity!$H$6,IF($D$29="Damage Taken Decrease %",0,IF($D$29="Defense %",0,IF($D$29="Accuracy",0,IF($D$29="Critical Rate %",(CHOOSE(MATCH($C$29,{"Rare","Epic","Unique","Legendary","Mystic","Mystic (Prime)"},0),2,3,4.5,7,10,12))*Sensitivity!$H$15,IF($D$29="Min Damage Multiplier %",(CHOOSE(MATCH($C$29,{"Rare","Epic","Unique","Legendary","Mystic","Mystic (Prime)"},0),2,3,4.5,7,10,12))*Sensitivity!$H$13,IF($D$29="Max Damage Multiplier %",(CHOOSE(MATCH($C$29,{"Rare","Epic","Unique","Legendary","Mystic","Mystic (Prime)"},0),2,3,4.5,7,10,12))*Sensitivity!$H$14,IF($D$29="Boss Monster Damage %",(CHOOSE(MATCH($C$29,{"Rare","Epic","Unique","Legendary","Mystic","Mystic (Prime)"},0),4,6,9,14,20,24))*Sensitivity!$H$10,IF($D$29="Normal Monster Damage %",(CHOOSE(MATCH($C$29,{"Rare","Epic","Unique","Legendary","Mystic","Mystic (Prime)"},0),4,6,9,14,20,24))*Sensitivity!$H$11,IF($D$29="Status Effect Damage %",0,IF($D$29="Damage %",(CHOOSE(MATCH($C$29,{"Rare","Epic","Unique","Legendary","Mystic","Mystic (Prime)"},0),4,6,9,14,20,24))*Sensitivity!$H$8,IF($D$29="Defense Penetration %",(CHOOSE(MATCH($C$29,{"Rare","Epic","Unique","Legendary","Mystic","Mystic (Prime)"},0),2,3,4.5,7,10,12))*Sensitivity!$H$18,0)))))))))))),0)</f>
        <v/>
      </c>
      <c r="F29" s="7" t="inlineStr">
        <is>
          <t>Rare</t>
        </is>
      </c>
      <c r="G29" s="7" t="inlineStr">
        <is>
          <t>(none)</t>
        </is>
      </c>
      <c r="H29">
        <f>IF($N$29&gt;=2,IF($G$29="Main Stat %",(CHOOSE(MATCH($F$29,{"Rare","Epic","Unique","Legendary","Mystic","Mystic (Prime)"},0),2,3,4.5,7,10,12))*Sensitivity!$H$6,IF($G$29="Damage Taken Decrease %",0,IF($G$29="Defense %",0,IF($G$29="Accuracy",0,IF($G$29="Critical Rate %",(CHOOSE(MATCH($F$29,{"Rare","Epic","Unique","Legendary","Mystic","Mystic (Prime)"},0),2,3,4.5,7,10,12))*Sensitivity!$H$15,IF($G$29="Min Damage Multiplier %",(CHOOSE(MATCH($F$29,{"Rare","Epic","Unique","Legendary","Mystic","Mystic (Prime)"},0),2,3,4.5,7,10,12))*Sensitivity!$H$13,IF($G$29="Max Damage Multiplier %",(CHOOSE(MATCH($F$29,{"Rare","Epic","Unique","Legendary","Mystic","Mystic (Prime)"},0),2,3,4.5,7,10,12))*Sensitivity!$H$14,IF($G$29="Boss Monster Damage %",(CHOOSE(MATCH($F$29,{"Rare","Epic","Unique","Legendary","Mystic","Mystic (Prime)"},0),4,6,9,14,20,24))*Sensitivity!$H$10,IF($G$29="Normal Monster Damage %",(CHOOSE(MATCH($F$29,{"Rare","Epic","Unique","Legendary","Mystic","Mystic (Prime)"},0),4,6,9,14,20,24))*Sensitivity!$H$11,IF($G$29="Status Effect Damage %",0,IF($G$29="Damage %",(CHOOSE(MATCH($F$29,{"Rare","Epic","Unique","Legendary","Mystic","Mystic (Prime)"},0),4,6,9,14,20,24))*Sensitivity!$H$8,IF($G$29="Defense Penetration %",(CHOOSE(MATCH($F$29,{"Rare","Epic","Unique","Legendary","Mystic","Mystic (Prime)"},0),2,3,4.5,7,10,12))*Sensitivity!$H$18,0)))))))))))),0)</f>
        <v/>
      </c>
      <c r="I29" s="7" t="inlineStr">
        <is>
          <t>Rare</t>
        </is>
      </c>
      <c r="J29" s="7" t="inlineStr">
        <is>
          <t>(none)</t>
        </is>
      </c>
      <c r="K29">
        <f>IF($N$29&gt;=5,IF($J$29="Main Stat %",(CHOOSE(MATCH($I$29,{"Rare","Epic","Unique","Legendary","Mystic","Mystic (Prime)"},0),2,3,4.5,7,10,12))*Sensitivity!$H$6,IF($J$29="Damage Taken Decrease %",0,IF($J$29="Defense %",0,IF($J$29="Accuracy",0,IF($J$29="Critical Rate %",(CHOOSE(MATCH($I$29,{"Rare","Epic","Unique","Legendary","Mystic","Mystic (Prime)"},0),2,3,4.5,7,10,12))*Sensitivity!$H$15,IF($J$29="Min Damage Multiplier %",(CHOOSE(MATCH($I$29,{"Rare","Epic","Unique","Legendary","Mystic","Mystic (Prime)"},0),2,3,4.5,7,10,12))*Sensitivity!$H$13,IF($J$29="Max Damage Multiplier %",(CHOOSE(MATCH($I$29,{"Rare","Epic","Unique","Legendary","Mystic","Mystic (Prime)"},0),2,3,4.5,7,10,12))*Sensitivity!$H$14,IF($J$29="Boss Monster Damage %",(CHOOSE(MATCH($I$29,{"Rare","Epic","Unique","Legendary","Mystic","Mystic (Prime)"},0),4,6,9,14,20,24))*Sensitivity!$H$10,IF($J$29="Normal Monster Damage %",(CHOOSE(MATCH($I$29,{"Rare","Epic","Unique","Legendary","Mystic","Mystic (Prime)"},0),4,6,9,14,20,24))*Sensitivity!$H$11,IF($J$29="Status Effect Damage %",0,IF($J$29="Damage %",(CHOOSE(MATCH($I$29,{"Rare","Epic","Unique","Legendary","Mystic","Mystic (Prime)"},0),4,6,9,14,20,24))*Sensitivity!$H$8,IF($J$29="Defense Penetration %",(CHOOSE(MATCH($I$29,{"Rare","Epic","Unique","Legendary","Mystic","Mystic (Prime)"},0),2,3,4.5,7,10,12))*Sensitivity!$H$18,0)))))))))))),0)</f>
        <v/>
      </c>
      <c r="L29">
        <f>Summary!$B$3*((IF(D29="(none)",1,1+(E29+IF(G29=D29,H29,0)+IF(J29=D29,K29,0))/Summary!$B$3))*(IF(OR(G29="(none)",G29=D29),1,1+(H29+IF(D29=G29,E29,0)+IF(J29=G29,K29,0))/Summary!$B$3))*(IF(OR(J29="",J29="(none)",J29=D29,J29=G29),1,1+(K29+IF(D29=J29,E29,0)+IF(G29=J29,H29,0))/Summary!$B$3))-1)</f>
        <v/>
      </c>
      <c r="M29">
        <f>OR(Inputs!$B$47="Soul Pouch",Inputs!$B$48="Soul Pouch",Inputs!$B$49="Soul Pouch",Inputs!$B$50="Soul Pouch")</f>
        <v/>
      </c>
      <c r="N29">
        <f>IF(B29="Not Unlocked",0,B29)</f>
        <v/>
      </c>
    </row>
    <row r="30">
      <c r="A30" s="6" t="inlineStr">
        <is>
          <t>Ancient Text Piece</t>
        </is>
      </c>
      <c r="B30" s="7" t="inlineStr">
        <is>
          <t>Not Unlocked</t>
        </is>
      </c>
      <c r="C30" s="7" t="inlineStr">
        <is>
          <t>Rare</t>
        </is>
      </c>
      <c r="D30" s="7" t="inlineStr">
        <is>
          <t>(none)</t>
        </is>
      </c>
      <c r="E30">
        <f>IF($N$30&gt;=1,IF($D$30="Main Stat %",(CHOOSE(MATCH($C$30,{"Rare","Epic","Unique","Legendary","Mystic","Mystic (Prime)"},0),2,3,4.5,7,10,12))*Sensitivity!$H$6,IF($D$30="Damage Taken Decrease %",0,IF($D$30="Defense %",0,IF($D$30="Accuracy",0,IF($D$30="Critical Rate %",(CHOOSE(MATCH($C$30,{"Rare","Epic","Unique","Legendary","Mystic","Mystic (Prime)"},0),2,3,4.5,7,10,12))*Sensitivity!$H$15,IF($D$30="Min Damage Multiplier %",(CHOOSE(MATCH($C$30,{"Rare","Epic","Unique","Legendary","Mystic","Mystic (Prime)"},0),2,3,4.5,7,10,12))*Sensitivity!$H$13,IF($D$30="Max Damage Multiplier %",(CHOOSE(MATCH($C$30,{"Rare","Epic","Unique","Legendary","Mystic","Mystic (Prime)"},0),2,3,4.5,7,10,12))*Sensitivity!$H$14,IF($D$30="Boss Monster Damage %",(CHOOSE(MATCH($C$30,{"Rare","Epic","Unique","Legendary","Mystic","Mystic (Prime)"},0),4,6,9,14,20,24))*Sensitivity!$H$10,IF($D$30="Normal Monster Damage %",(CHOOSE(MATCH($C$30,{"Rare","Epic","Unique","Legendary","Mystic","Mystic (Prime)"},0),4,6,9,14,20,24))*Sensitivity!$H$11,IF($D$30="Status Effect Damage %",0,IF($D$30="Damage %",(CHOOSE(MATCH($C$30,{"Rare","Epic","Unique","Legendary","Mystic","Mystic (Prime)"},0),4,6,9,14,20,24))*Sensitivity!$H$8,IF($D$30="Defense Penetration %",(CHOOSE(MATCH($C$30,{"Rare","Epic","Unique","Legendary","Mystic","Mystic (Prime)"},0),2,3,4.5,7,10,12))*Sensitivity!$H$18,0)))))))))))),0)</f>
        <v/>
      </c>
      <c r="F30" s="7" t="inlineStr">
        <is>
          <t>Rare</t>
        </is>
      </c>
      <c r="G30" s="7" t="inlineStr">
        <is>
          <t>(none)</t>
        </is>
      </c>
      <c r="H30">
        <f>IF($N$30&gt;=2,IF($G$30="Main Stat %",(CHOOSE(MATCH($F$30,{"Rare","Epic","Unique","Legendary","Mystic","Mystic (Prime)"},0),2,3,4.5,7,10,12))*Sensitivity!$H$6,IF($G$30="Damage Taken Decrease %",0,IF($G$30="Defense %",0,IF($G$30="Accuracy",0,IF($G$30="Critical Rate %",(CHOOSE(MATCH($F$30,{"Rare","Epic","Unique","Legendary","Mystic","Mystic (Prime)"},0),2,3,4.5,7,10,12))*Sensitivity!$H$15,IF($G$30="Min Damage Multiplier %",(CHOOSE(MATCH($F$30,{"Rare","Epic","Unique","Legendary","Mystic","Mystic (Prime)"},0),2,3,4.5,7,10,12))*Sensitivity!$H$13,IF($G$30="Max Damage Multiplier %",(CHOOSE(MATCH($F$30,{"Rare","Epic","Unique","Legendary","Mystic","Mystic (Prime)"},0),2,3,4.5,7,10,12))*Sensitivity!$H$14,IF($G$30="Boss Monster Damage %",(CHOOSE(MATCH($F$30,{"Rare","Epic","Unique","Legendary","Mystic","Mystic (Prime)"},0),4,6,9,14,20,24))*Sensitivity!$H$10,IF($G$30="Normal Monster Damage %",(CHOOSE(MATCH($F$30,{"Rare","Epic","Unique","Legendary","Mystic","Mystic (Prime)"},0),4,6,9,14,20,24))*Sensitivity!$H$11,IF($G$30="Status Effect Damage %",0,IF($G$30="Damage %",(CHOOSE(MATCH($F$30,{"Rare","Epic","Unique","Legendary","Mystic","Mystic (Prime)"},0),4,6,9,14,20,24))*Sensitivity!$H$8,IF($G$30="Defense Penetration %",(CHOOSE(MATCH($F$30,{"Rare","Epic","Unique","Legendary","Mystic","Mystic (Prime)"},0),2,3,4.5,7,10,12))*Sensitivity!$H$18,0)))))))))))),0)</f>
        <v/>
      </c>
      <c r="I30" s="7" t="inlineStr">
        <is>
          <t>Rare</t>
        </is>
      </c>
      <c r="J30" s="7" t="inlineStr">
        <is>
          <t>(none)</t>
        </is>
      </c>
      <c r="K30">
        <f>IF($N$30&gt;=5,IF($J$30="Main Stat %",(CHOOSE(MATCH($I$30,{"Rare","Epic","Unique","Legendary","Mystic","Mystic (Prime)"},0),2,3,4.5,7,10,12))*Sensitivity!$H$6,IF($J$30="Damage Taken Decrease %",0,IF($J$30="Defense %",0,IF($J$30="Accuracy",0,IF($J$30="Critical Rate %",(CHOOSE(MATCH($I$30,{"Rare","Epic","Unique","Legendary","Mystic","Mystic (Prime)"},0),2,3,4.5,7,10,12))*Sensitivity!$H$15,IF($J$30="Min Damage Multiplier %",(CHOOSE(MATCH($I$30,{"Rare","Epic","Unique","Legendary","Mystic","Mystic (Prime)"},0),2,3,4.5,7,10,12))*Sensitivity!$H$13,IF($J$30="Max Damage Multiplier %",(CHOOSE(MATCH($I$30,{"Rare","Epic","Unique","Legendary","Mystic","Mystic (Prime)"},0),2,3,4.5,7,10,12))*Sensitivity!$H$14,IF($J$30="Boss Monster Damage %",(CHOOSE(MATCH($I$30,{"Rare","Epic","Unique","Legendary","Mystic","Mystic (Prime)"},0),4,6,9,14,20,24))*Sensitivity!$H$10,IF($J$30="Normal Monster Damage %",(CHOOSE(MATCH($I$30,{"Rare","Epic","Unique","Legendary","Mystic","Mystic (Prime)"},0),4,6,9,14,20,24))*Sensitivity!$H$11,IF($J$30="Status Effect Damage %",0,IF($J$30="Damage %",(CHOOSE(MATCH($I$30,{"Rare","Epic","Unique","Legendary","Mystic","Mystic (Prime)"},0),4,6,9,14,20,24))*Sensitivity!$H$8,IF($J$30="Defense Penetration %",(CHOOSE(MATCH($I$30,{"Rare","Epic","Unique","Legendary","Mystic","Mystic (Prime)"},0),2,3,4.5,7,10,12))*Sensitivity!$H$18,0)))))))))))),0)</f>
        <v/>
      </c>
      <c r="L30">
        <f>Summary!$B$3*((IF(D30="(none)",1,1+(E30+IF(G30=D30,H30,0)+IF(J30=D30,K30,0))/Summary!$B$3))*(IF(OR(G30="(none)",G30=D30),1,1+(H30+IF(D30=G30,E30,0)+IF(J30=G30,K30,0))/Summary!$B$3))*(IF(OR(J30="",J30="(none)",J30=D30,J30=G30),1,1+(K30+IF(D30=J30,E30,0)+IF(G30=J30,H30,0))/Summary!$B$3))-1)</f>
        <v/>
      </c>
      <c r="M30">
        <f>OR(Inputs!$B$47="Ancient Text Piece",Inputs!$B$48="Ancient Text Piece",Inputs!$B$49="Ancient Text Piece",Inputs!$B$50="Ancient Text Piece")</f>
        <v/>
      </c>
      <c r="N30">
        <f>IF(B30="Not Unlocked",0,B30)</f>
        <v/>
      </c>
    </row>
    <row r="31">
      <c r="A31" s="6" t="inlineStr">
        <is>
          <t>Icy Soul Rock</t>
        </is>
      </c>
      <c r="B31" s="7" t="inlineStr">
        <is>
          <t>Not Unlocked</t>
        </is>
      </c>
      <c r="C31" s="7" t="inlineStr">
        <is>
          <t>Rare</t>
        </is>
      </c>
      <c r="D31" s="7" t="inlineStr">
        <is>
          <t>(none)</t>
        </is>
      </c>
      <c r="E31">
        <f>IF($N$31&gt;=1,IF($D$31="Main Stat %",(CHOOSE(MATCH($C$31,{"Rare","Epic","Unique","Legendary","Mystic","Mystic (Prime)"},0),2,3,4.5,7,10,12))*Sensitivity!$H$6,IF($D$31="Damage Taken Decrease %",0,IF($D$31="Defense %",0,IF($D$31="Accuracy",0,IF($D$31="Critical Rate %",(CHOOSE(MATCH($C$31,{"Rare","Epic","Unique","Legendary","Mystic","Mystic (Prime)"},0),2,3,4.5,7,10,12))*Sensitivity!$H$15,IF($D$31="Min Damage Multiplier %",(CHOOSE(MATCH($C$31,{"Rare","Epic","Unique","Legendary","Mystic","Mystic (Prime)"},0),2,3,4.5,7,10,12))*Sensitivity!$H$13,IF($D$31="Max Damage Multiplier %",(CHOOSE(MATCH($C$31,{"Rare","Epic","Unique","Legendary","Mystic","Mystic (Prime)"},0),2,3,4.5,7,10,12))*Sensitivity!$H$14,IF($D$31="Boss Monster Damage %",(CHOOSE(MATCH($C$31,{"Rare","Epic","Unique","Legendary","Mystic","Mystic (Prime)"},0),4,6,9,14,20,24))*Sensitivity!$H$10,IF($D$31="Normal Monster Damage %",(CHOOSE(MATCH($C$31,{"Rare","Epic","Unique","Legendary","Mystic","Mystic (Prime)"},0),4,6,9,14,20,24))*Sensitivity!$H$11,IF($D$31="Status Effect Damage %",0,IF($D$31="Damage %",(CHOOSE(MATCH($C$31,{"Rare","Epic","Unique","Legendary","Mystic","Mystic (Prime)"},0),4,6,9,14,20,24))*Sensitivity!$H$8,IF($D$31="Defense Penetration %",(CHOOSE(MATCH($C$31,{"Rare","Epic","Unique","Legendary","Mystic","Mystic (Prime)"},0),2,3,4.5,7,10,12))*Sensitivity!$H$18,0)))))))))))),0)</f>
        <v/>
      </c>
      <c r="F31" s="7" t="inlineStr">
        <is>
          <t>Rare</t>
        </is>
      </c>
      <c r="G31" s="7" t="inlineStr">
        <is>
          <t>(none)</t>
        </is>
      </c>
      <c r="H31">
        <f>IF($N$31&gt;=2,IF($G$31="Main Stat %",(CHOOSE(MATCH($F$31,{"Rare","Epic","Unique","Legendary","Mystic","Mystic (Prime)"},0),2,3,4.5,7,10,12))*Sensitivity!$H$6,IF($G$31="Damage Taken Decrease %",0,IF($G$31="Defense %",0,IF($G$31="Accuracy",0,IF($G$31="Critical Rate %",(CHOOSE(MATCH($F$31,{"Rare","Epic","Unique","Legendary","Mystic","Mystic (Prime)"},0),2,3,4.5,7,10,12))*Sensitivity!$H$15,IF($G$31="Min Damage Multiplier %",(CHOOSE(MATCH($F$31,{"Rare","Epic","Unique","Legendary","Mystic","Mystic (Prime)"},0),2,3,4.5,7,10,12))*Sensitivity!$H$13,IF($G$31="Max Damage Multiplier %",(CHOOSE(MATCH($F$31,{"Rare","Epic","Unique","Legendary","Mystic","Mystic (Prime)"},0),2,3,4.5,7,10,12))*Sensitivity!$H$14,IF($G$31="Boss Monster Damage %",(CHOOSE(MATCH($F$31,{"Rare","Epic","Unique","Legendary","Mystic","Mystic (Prime)"},0),4,6,9,14,20,24))*Sensitivity!$H$10,IF($G$31="Normal Monster Damage %",(CHOOSE(MATCH($F$31,{"Rare","Epic","Unique","Legendary","Mystic","Mystic (Prime)"},0),4,6,9,14,20,24))*Sensitivity!$H$11,IF($G$31="Status Effect Damage %",0,IF($G$31="Damage %",(CHOOSE(MATCH($F$31,{"Rare","Epic","Unique","Legendary","Mystic","Mystic (Prime)"},0),4,6,9,14,20,24))*Sensitivity!$H$8,IF($G$31="Defense Penetration %",(CHOOSE(MATCH($F$31,{"Rare","Epic","Unique","Legendary","Mystic","Mystic (Prime)"},0),2,3,4.5,7,10,12))*Sensitivity!$H$18,0)))))))))))),0)</f>
        <v/>
      </c>
      <c r="I31" s="7" t="inlineStr">
        <is>
          <t>Rare</t>
        </is>
      </c>
      <c r="J31" s="7" t="inlineStr">
        <is>
          <t>(none)</t>
        </is>
      </c>
      <c r="K31">
        <f>IF($N$31&gt;=5,IF($J$31="Main Stat %",(CHOOSE(MATCH($I$31,{"Rare","Epic","Unique","Legendary","Mystic","Mystic (Prime)"},0),2,3,4.5,7,10,12))*Sensitivity!$H$6,IF($J$31="Damage Taken Decrease %",0,IF($J$31="Defense %",0,IF($J$31="Accuracy",0,IF($J$31="Critical Rate %",(CHOOSE(MATCH($I$31,{"Rare","Epic","Unique","Legendary","Mystic","Mystic (Prime)"},0),2,3,4.5,7,10,12))*Sensitivity!$H$15,IF($J$31="Min Damage Multiplier %",(CHOOSE(MATCH($I$31,{"Rare","Epic","Unique","Legendary","Mystic","Mystic (Prime)"},0),2,3,4.5,7,10,12))*Sensitivity!$H$13,IF($J$31="Max Damage Multiplier %",(CHOOSE(MATCH($I$31,{"Rare","Epic","Unique","Legendary","Mystic","Mystic (Prime)"},0),2,3,4.5,7,10,12))*Sensitivity!$H$14,IF($J$31="Boss Monster Damage %",(CHOOSE(MATCH($I$31,{"Rare","Epic","Unique","Legendary","Mystic","Mystic (Prime)"},0),4,6,9,14,20,24))*Sensitivity!$H$10,IF($J$31="Normal Monster Damage %",(CHOOSE(MATCH($I$31,{"Rare","Epic","Unique","Legendary","Mystic","Mystic (Prime)"},0),4,6,9,14,20,24))*Sensitivity!$H$11,IF($J$31="Status Effect Damage %",0,IF($J$31="Damage %",(CHOOSE(MATCH($I$31,{"Rare","Epic","Unique","Legendary","Mystic","Mystic (Prime)"},0),4,6,9,14,20,24))*Sensitivity!$H$8,IF($J$31="Defense Penetration %",(CHOOSE(MATCH($I$31,{"Rare","Epic","Unique","Legendary","Mystic","Mystic (Prime)"},0),2,3,4.5,7,10,12))*Sensitivity!$H$18,0)))))))))))),0)</f>
        <v/>
      </c>
      <c r="L31">
        <f>Summary!$B$3*((IF(D31="(none)",1,1+(E31+IF(G31=D31,H31,0)+IF(J31=D31,K31,0))/Summary!$B$3))*(IF(OR(G31="(none)",G31=D31),1,1+(H31+IF(D31=G31,E31,0)+IF(J31=G31,K31,0))/Summary!$B$3))*(IF(OR(J31="",J31="(none)",J31=D31,J31=G31),1,1+(K31+IF(D31=J31,E31,0)+IF(G31=J31,H31,0))/Summary!$B$3))-1)</f>
        <v/>
      </c>
      <c r="M31">
        <f>OR(Inputs!$B$47="Icy Soul Rock",Inputs!$B$48="Icy Soul Rock",Inputs!$B$49="Icy Soul Rock",Inputs!$B$50="Icy Soul Rock")</f>
        <v/>
      </c>
      <c r="N31">
        <f>IF(B31="Not Unlocked",0,B31)</f>
        <v/>
      </c>
    </row>
    <row r="32">
      <c r="A32" s="6" t="inlineStr">
        <is>
          <t>Flaming Lava</t>
        </is>
      </c>
      <c r="B32" s="7" t="inlineStr">
        <is>
          <t>Not Unlocked</t>
        </is>
      </c>
      <c r="C32" s="7" t="inlineStr">
        <is>
          <t>Rare</t>
        </is>
      </c>
      <c r="D32" s="7" t="inlineStr">
        <is>
          <t>(none)</t>
        </is>
      </c>
      <c r="E32">
        <f>IF($N$32&gt;=1,IF($D$32="Main Stat %",(CHOOSE(MATCH($C$32,{"Rare","Epic","Unique","Legendary","Mystic","Mystic (Prime)"},0),2,3,4.5,7,10,12))*Sensitivity!$H$6,IF($D$32="Damage Taken Decrease %",0,IF($D$32="Defense %",0,IF($D$32="Accuracy",0,IF($D$32="Critical Rate %",(CHOOSE(MATCH($C$32,{"Rare","Epic","Unique","Legendary","Mystic","Mystic (Prime)"},0),2,3,4.5,7,10,12))*Sensitivity!$H$15,IF($D$32="Min Damage Multiplier %",(CHOOSE(MATCH($C$32,{"Rare","Epic","Unique","Legendary","Mystic","Mystic (Prime)"},0),2,3,4.5,7,10,12))*Sensitivity!$H$13,IF($D$32="Max Damage Multiplier %",(CHOOSE(MATCH($C$32,{"Rare","Epic","Unique","Legendary","Mystic","Mystic (Prime)"},0),2,3,4.5,7,10,12))*Sensitivity!$H$14,IF($D$32="Boss Monster Damage %",(CHOOSE(MATCH($C$32,{"Rare","Epic","Unique","Legendary","Mystic","Mystic (Prime)"},0),4,6,9,14,20,24))*Sensitivity!$H$10,IF($D$32="Normal Monster Damage %",(CHOOSE(MATCH($C$32,{"Rare","Epic","Unique","Legendary","Mystic","Mystic (Prime)"},0),4,6,9,14,20,24))*Sensitivity!$H$11,IF($D$32="Status Effect Damage %",0,IF($D$32="Damage %",(CHOOSE(MATCH($C$32,{"Rare","Epic","Unique","Legendary","Mystic","Mystic (Prime)"},0),4,6,9,14,20,24))*Sensitivity!$H$8,IF($D$32="Defense Penetration %",(CHOOSE(MATCH($C$32,{"Rare","Epic","Unique","Legendary","Mystic","Mystic (Prime)"},0),2,3,4.5,7,10,12))*Sensitivity!$H$18,0)))))))))))),0)</f>
        <v/>
      </c>
      <c r="F32" s="7" t="inlineStr">
        <is>
          <t>Rare</t>
        </is>
      </c>
      <c r="G32" s="7" t="inlineStr">
        <is>
          <t>(none)</t>
        </is>
      </c>
      <c r="H32">
        <f>IF($N$32&gt;=2,IF($G$32="Main Stat %",(CHOOSE(MATCH($F$32,{"Rare","Epic","Unique","Legendary","Mystic","Mystic (Prime)"},0),2,3,4.5,7,10,12))*Sensitivity!$H$6,IF($G$32="Damage Taken Decrease %",0,IF($G$32="Defense %",0,IF($G$32="Accuracy",0,IF($G$32="Critical Rate %",(CHOOSE(MATCH($F$32,{"Rare","Epic","Unique","Legendary","Mystic","Mystic (Prime)"},0),2,3,4.5,7,10,12))*Sensitivity!$H$15,IF($G$32="Min Damage Multiplier %",(CHOOSE(MATCH($F$32,{"Rare","Epic","Unique","Legendary","Mystic","Mystic (Prime)"},0),2,3,4.5,7,10,12))*Sensitivity!$H$13,IF($G$32="Max Damage Multiplier %",(CHOOSE(MATCH($F$32,{"Rare","Epic","Unique","Legendary","Mystic","Mystic (Prime)"},0),2,3,4.5,7,10,12))*Sensitivity!$H$14,IF($G$32="Boss Monster Damage %",(CHOOSE(MATCH($F$32,{"Rare","Epic","Unique","Legendary","Mystic","Mystic (Prime)"},0),4,6,9,14,20,24))*Sensitivity!$H$10,IF($G$32="Normal Monster Damage %",(CHOOSE(MATCH($F$32,{"Rare","Epic","Unique","Legendary","Mystic","Mystic (Prime)"},0),4,6,9,14,20,24))*Sensitivity!$H$11,IF($G$32="Status Effect Damage %",0,IF($G$32="Damage %",(CHOOSE(MATCH($F$32,{"Rare","Epic","Unique","Legendary","Mystic","Mystic (Prime)"},0),4,6,9,14,20,24))*Sensitivity!$H$8,IF($G$32="Defense Penetration %",(CHOOSE(MATCH($F$32,{"Rare","Epic","Unique","Legendary","Mystic","Mystic (Prime)"},0),2,3,4.5,7,10,12))*Sensitivity!$H$18,0)))))))))))),0)</f>
        <v/>
      </c>
      <c r="I32" s="7" t="inlineStr">
        <is>
          <t>Rare</t>
        </is>
      </c>
      <c r="J32" s="7" t="inlineStr">
        <is>
          <t>(none)</t>
        </is>
      </c>
      <c r="K32">
        <f>IF($N$32&gt;=5,IF($J$32="Main Stat %",(CHOOSE(MATCH($I$32,{"Rare","Epic","Unique","Legendary","Mystic","Mystic (Prime)"},0),2,3,4.5,7,10,12))*Sensitivity!$H$6,IF($J$32="Damage Taken Decrease %",0,IF($J$32="Defense %",0,IF($J$32="Accuracy",0,IF($J$32="Critical Rate %",(CHOOSE(MATCH($I$32,{"Rare","Epic","Unique","Legendary","Mystic","Mystic (Prime)"},0),2,3,4.5,7,10,12))*Sensitivity!$H$15,IF($J$32="Min Damage Multiplier %",(CHOOSE(MATCH($I$32,{"Rare","Epic","Unique","Legendary","Mystic","Mystic (Prime)"},0),2,3,4.5,7,10,12))*Sensitivity!$H$13,IF($J$32="Max Damage Multiplier %",(CHOOSE(MATCH($I$32,{"Rare","Epic","Unique","Legendary","Mystic","Mystic (Prime)"},0),2,3,4.5,7,10,12))*Sensitivity!$H$14,IF($J$32="Boss Monster Damage %",(CHOOSE(MATCH($I$32,{"Rare","Epic","Unique","Legendary","Mystic","Mystic (Prime)"},0),4,6,9,14,20,24))*Sensitivity!$H$10,IF($J$32="Normal Monster Damage %",(CHOOSE(MATCH($I$32,{"Rare","Epic","Unique","Legendary","Mystic","Mystic (Prime)"},0),4,6,9,14,20,24))*Sensitivity!$H$11,IF($J$32="Status Effect Damage %",0,IF($J$32="Damage %",(CHOOSE(MATCH($I$32,{"Rare","Epic","Unique","Legendary","Mystic","Mystic (Prime)"},0),4,6,9,14,20,24))*Sensitivity!$H$8,IF($J$32="Defense Penetration %",(CHOOSE(MATCH($I$32,{"Rare","Epic","Unique","Legendary","Mystic","Mystic (Prime)"},0),2,3,4.5,7,10,12))*Sensitivity!$H$18,0)))))))))))),0)</f>
        <v/>
      </c>
      <c r="L32">
        <f>Summary!$B$3*((IF(D32="(none)",1,1+(E32+IF(G32=D32,H32,0)+IF(J32=D32,K32,0))/Summary!$B$3))*(IF(OR(G32="(none)",G32=D32),1,1+(H32+IF(D32=G32,E32,0)+IF(J32=G32,K32,0))/Summary!$B$3))*(IF(OR(J32="",J32="(none)",J32=D32,J32=G32),1,1+(K32+IF(D32=J32,E32,0)+IF(G32=J32,H32,0))/Summary!$B$3))-1)</f>
        <v/>
      </c>
      <c r="M32">
        <f>OR(Inputs!$B$47="Flaming Lava",Inputs!$B$48="Flaming Lava",Inputs!$B$49="Flaming Lava",Inputs!$B$50="Flaming Lava")</f>
        <v/>
      </c>
      <c r="N32">
        <f>IF(B32="Not Unlocked",0,B32)</f>
        <v/>
      </c>
    </row>
    <row r="33">
      <c r="A33" s="6" t="inlineStr">
        <is>
          <t>Sayram's Necklace</t>
        </is>
      </c>
      <c r="B33" s="7" t="inlineStr">
        <is>
          <t>Not Unlocked</t>
        </is>
      </c>
      <c r="C33" s="7" t="inlineStr">
        <is>
          <t>Rare</t>
        </is>
      </c>
      <c r="D33" s="7" t="inlineStr">
        <is>
          <t>(none)</t>
        </is>
      </c>
      <c r="E33">
        <f>IF($N$33&gt;=1,IF($D$33="Main Stat %",(CHOOSE(MATCH($C$33,{"Rare","Epic","Unique","Legendary","Mystic","Mystic (Prime)"},0),2,3,4.5,7,10,12))*Sensitivity!$H$6,IF($D$33="Damage Taken Decrease %",0,IF($D$33="Defense %",0,IF($D$33="Accuracy",0,IF($D$33="Critical Rate %",(CHOOSE(MATCH($C$33,{"Rare","Epic","Unique","Legendary","Mystic","Mystic (Prime)"},0),2,3,4.5,7,10,12))*Sensitivity!$H$15,IF($D$33="Min Damage Multiplier %",(CHOOSE(MATCH($C$33,{"Rare","Epic","Unique","Legendary","Mystic","Mystic (Prime)"},0),2,3,4.5,7,10,12))*Sensitivity!$H$13,IF($D$33="Max Damage Multiplier %",(CHOOSE(MATCH($C$33,{"Rare","Epic","Unique","Legendary","Mystic","Mystic (Prime)"},0),2,3,4.5,7,10,12))*Sensitivity!$H$14,IF($D$33="Boss Monster Damage %",(CHOOSE(MATCH($C$33,{"Rare","Epic","Unique","Legendary","Mystic","Mystic (Prime)"},0),4,6,9,14,20,24))*Sensitivity!$H$10,IF($D$33="Normal Monster Damage %",(CHOOSE(MATCH($C$33,{"Rare","Epic","Unique","Legendary","Mystic","Mystic (Prime)"},0),4,6,9,14,20,24))*Sensitivity!$H$11,IF($D$33="Status Effect Damage %",0,IF($D$33="Damage %",(CHOOSE(MATCH($C$33,{"Rare","Epic","Unique","Legendary","Mystic","Mystic (Prime)"},0),4,6,9,14,20,24))*Sensitivity!$H$8,IF($D$33="Defense Penetration %",(CHOOSE(MATCH($C$33,{"Rare","Epic","Unique","Legendary","Mystic","Mystic (Prime)"},0),2,3,4.5,7,10,12))*Sensitivity!$H$18,0)))))))))))),0)</f>
        <v/>
      </c>
      <c r="F33" s="7" t="inlineStr">
        <is>
          <t>Rare</t>
        </is>
      </c>
      <c r="G33" s="7" t="inlineStr">
        <is>
          <t>(none)</t>
        </is>
      </c>
      <c r="H33">
        <f>IF($N$33&gt;=2,IF($G$33="Main Stat %",(CHOOSE(MATCH($F$33,{"Rare","Epic","Unique","Legendary","Mystic","Mystic (Prime)"},0),2,3,4.5,7,10,12))*Sensitivity!$H$6,IF($G$33="Damage Taken Decrease %",0,IF($G$33="Defense %",0,IF($G$33="Accuracy",0,IF($G$33="Critical Rate %",(CHOOSE(MATCH($F$33,{"Rare","Epic","Unique","Legendary","Mystic","Mystic (Prime)"},0),2,3,4.5,7,10,12))*Sensitivity!$H$15,IF($G$33="Min Damage Multiplier %",(CHOOSE(MATCH($F$33,{"Rare","Epic","Unique","Legendary","Mystic","Mystic (Prime)"},0),2,3,4.5,7,10,12))*Sensitivity!$H$13,IF($G$33="Max Damage Multiplier %",(CHOOSE(MATCH($F$33,{"Rare","Epic","Unique","Legendary","Mystic","Mystic (Prime)"},0),2,3,4.5,7,10,12))*Sensitivity!$H$14,IF($G$33="Boss Monster Damage %",(CHOOSE(MATCH($F$33,{"Rare","Epic","Unique","Legendary","Mystic","Mystic (Prime)"},0),4,6,9,14,20,24))*Sensitivity!$H$10,IF($G$33="Normal Monster Damage %",(CHOOSE(MATCH($F$33,{"Rare","Epic","Unique","Legendary","Mystic","Mystic (Prime)"},0),4,6,9,14,20,24))*Sensitivity!$H$11,IF($G$33="Status Effect Damage %",0,IF($G$33="Damage %",(CHOOSE(MATCH($F$33,{"Rare","Epic","Unique","Legendary","Mystic","Mystic (Prime)"},0),4,6,9,14,20,24))*Sensitivity!$H$8,IF($G$33="Defense Penetration %",(CHOOSE(MATCH($F$33,{"Rare","Epic","Unique","Legendary","Mystic","Mystic (Prime)"},0),2,3,4.5,7,10,12))*Sensitivity!$H$18,0)))))))))))),0)</f>
        <v/>
      </c>
      <c r="I33" s="7" t="inlineStr">
        <is>
          <t>Rare</t>
        </is>
      </c>
      <c r="J33" s="7" t="inlineStr">
        <is>
          <t>(none)</t>
        </is>
      </c>
      <c r="K33">
        <f>IF($N$33&gt;=5,IF($J$33="Main Stat %",(CHOOSE(MATCH($I$33,{"Rare","Epic","Unique","Legendary","Mystic","Mystic (Prime)"},0),2,3,4.5,7,10,12))*Sensitivity!$H$6,IF($J$33="Damage Taken Decrease %",0,IF($J$33="Defense %",0,IF($J$33="Accuracy",0,IF($J$33="Critical Rate %",(CHOOSE(MATCH($I$33,{"Rare","Epic","Unique","Legendary","Mystic","Mystic (Prime)"},0),2,3,4.5,7,10,12))*Sensitivity!$H$15,IF($J$33="Min Damage Multiplier %",(CHOOSE(MATCH($I$33,{"Rare","Epic","Unique","Legendary","Mystic","Mystic (Prime)"},0),2,3,4.5,7,10,12))*Sensitivity!$H$13,IF($J$33="Max Damage Multiplier %",(CHOOSE(MATCH($I$33,{"Rare","Epic","Unique","Legendary","Mystic","Mystic (Prime)"},0),2,3,4.5,7,10,12))*Sensitivity!$H$14,IF($J$33="Boss Monster Damage %",(CHOOSE(MATCH($I$33,{"Rare","Epic","Unique","Legendary","Mystic","Mystic (Prime)"},0),4,6,9,14,20,24))*Sensitivity!$H$10,IF($J$33="Normal Monster Damage %",(CHOOSE(MATCH($I$33,{"Rare","Epic","Unique","Legendary","Mystic","Mystic (Prime)"},0),4,6,9,14,20,24))*Sensitivity!$H$11,IF($J$33="Status Effect Damage %",0,IF($J$33="Damage %",(CHOOSE(MATCH($I$33,{"Rare","Epic","Unique","Legendary","Mystic","Mystic (Prime)"},0),4,6,9,14,20,24))*Sensitivity!$H$8,IF($J$33="Defense Penetration %",(CHOOSE(MATCH($I$33,{"Rare","Epic","Unique","Legendary","Mystic","Mystic (Prime)"},0),2,3,4.5,7,10,12))*Sensitivity!$H$18,0)))))))))))),0)</f>
        <v/>
      </c>
      <c r="L33">
        <f>Summary!$B$3*((IF(D33="(none)",1,1+(E33+IF(G33=D33,H33,0)+IF(J33=D33,K33,0))/Summary!$B$3))*(IF(OR(G33="(none)",G33=D33),1,1+(H33+IF(D33=G33,E33,0)+IF(J33=G33,K33,0))/Summary!$B$3))*(IF(OR(J33="",J33="(none)",J33=D33,J33=G33),1,1+(K33+IF(D33=J33,E33,0)+IF(G33=J33,H33,0))/Summary!$B$3))-1)</f>
        <v/>
      </c>
      <c r="M33">
        <f>OR(Inputs!$B$47="Sayram's Necklace",Inputs!$B$48="Sayram's Necklace",Inputs!$B$49="Sayram's Necklace",Inputs!$B$50="Sayram's Necklace")</f>
        <v/>
      </c>
      <c r="N33">
        <f>IF(B33="Not Unlocked",0,B33)</f>
        <v/>
      </c>
    </row>
    <row r="34">
      <c r="A34" s="6" t="inlineStr">
        <is>
          <t>Bottle of Emotion</t>
        </is>
      </c>
      <c r="B34" s="7" t="inlineStr">
        <is>
          <t>Not Unlocked</t>
        </is>
      </c>
      <c r="C34" s="7" t="inlineStr">
        <is>
          <t>Rare</t>
        </is>
      </c>
      <c r="D34" s="7" t="inlineStr">
        <is>
          <t>(none)</t>
        </is>
      </c>
      <c r="E34">
        <f>IF($N$34&gt;=1,IF($D$34="Main Stat %",(CHOOSE(MATCH($C$34,{"Rare","Epic","Unique","Legendary","Mystic","Mystic (Prime)"},0),2,3,4.5,7,10,12))*Sensitivity!$H$6,IF($D$34="Damage Taken Decrease %",0,IF($D$34="Defense %",0,IF($D$34="Accuracy",0,IF($D$34="Critical Rate %",(CHOOSE(MATCH($C$34,{"Rare","Epic","Unique","Legendary","Mystic","Mystic (Prime)"},0),2,3,4.5,7,10,12))*Sensitivity!$H$15,IF($D$34="Min Damage Multiplier %",(CHOOSE(MATCH($C$34,{"Rare","Epic","Unique","Legendary","Mystic","Mystic (Prime)"},0),2,3,4.5,7,10,12))*Sensitivity!$H$13,IF($D$34="Max Damage Multiplier %",(CHOOSE(MATCH($C$34,{"Rare","Epic","Unique","Legendary","Mystic","Mystic (Prime)"},0),2,3,4.5,7,10,12))*Sensitivity!$H$14,IF($D$34="Boss Monster Damage %",(CHOOSE(MATCH($C$34,{"Rare","Epic","Unique","Legendary","Mystic","Mystic (Prime)"},0),4,6,9,14,20,24))*Sensitivity!$H$10,IF($D$34="Normal Monster Damage %",(CHOOSE(MATCH($C$34,{"Rare","Epic","Unique","Legendary","Mystic","Mystic (Prime)"},0),4,6,9,14,20,24))*Sensitivity!$H$11,IF($D$34="Status Effect Damage %",0,IF($D$34="Damage %",(CHOOSE(MATCH($C$34,{"Rare","Epic","Unique","Legendary","Mystic","Mystic (Prime)"},0),4,6,9,14,20,24))*Sensitivity!$H$8,IF($D$34="Defense Penetration %",(CHOOSE(MATCH($C$34,{"Rare","Epic","Unique","Legendary","Mystic","Mystic (Prime)"},0),2,3,4.5,7,10,12))*Sensitivity!$H$18,0)))))))))))),0)</f>
        <v/>
      </c>
      <c r="F34" s="7" t="inlineStr">
        <is>
          <t>Rare</t>
        </is>
      </c>
      <c r="G34" s="7" t="inlineStr">
        <is>
          <t>(none)</t>
        </is>
      </c>
      <c r="H34">
        <f>IF($N$34&gt;=2,IF($G$34="Main Stat %",(CHOOSE(MATCH($F$34,{"Rare","Epic","Unique","Legendary","Mystic","Mystic (Prime)"},0),2,3,4.5,7,10,12))*Sensitivity!$H$6,IF($G$34="Damage Taken Decrease %",0,IF($G$34="Defense %",0,IF($G$34="Accuracy",0,IF($G$34="Critical Rate %",(CHOOSE(MATCH($F$34,{"Rare","Epic","Unique","Legendary","Mystic","Mystic (Prime)"},0),2,3,4.5,7,10,12))*Sensitivity!$H$15,IF($G$34="Min Damage Multiplier %",(CHOOSE(MATCH($F$34,{"Rare","Epic","Unique","Legendary","Mystic","Mystic (Prime)"},0),2,3,4.5,7,10,12))*Sensitivity!$H$13,IF($G$34="Max Damage Multiplier %",(CHOOSE(MATCH($F$34,{"Rare","Epic","Unique","Legendary","Mystic","Mystic (Prime)"},0),2,3,4.5,7,10,12))*Sensitivity!$H$14,IF($G$34="Boss Monster Damage %",(CHOOSE(MATCH($F$34,{"Rare","Epic","Unique","Legendary","Mystic","Mystic (Prime)"},0),4,6,9,14,20,24))*Sensitivity!$H$10,IF($G$34="Normal Monster Damage %",(CHOOSE(MATCH($F$34,{"Rare","Epic","Unique","Legendary","Mystic","Mystic (Prime)"},0),4,6,9,14,20,24))*Sensitivity!$H$11,IF($G$34="Status Effect Damage %",0,IF($G$34="Damage %",(CHOOSE(MATCH($F$34,{"Rare","Epic","Unique","Legendary","Mystic","Mystic (Prime)"},0),4,6,9,14,20,24))*Sensitivity!$H$8,IF($G$34="Defense Penetration %",(CHOOSE(MATCH($F$34,{"Rare","Epic","Unique","Legendary","Mystic","Mystic (Prime)"},0),2,3,4.5,7,10,12))*Sensitivity!$H$18,0)))))))))))),0)</f>
        <v/>
      </c>
      <c r="I34" s="7" t="inlineStr">
        <is>
          <t>Rare</t>
        </is>
      </c>
      <c r="J34" s="7" t="inlineStr">
        <is>
          <t>(none)</t>
        </is>
      </c>
      <c r="K34">
        <f>IF($N$34&gt;=5,IF($J$34="Main Stat %",(CHOOSE(MATCH($I$34,{"Rare","Epic","Unique","Legendary","Mystic","Mystic (Prime)"},0),2,3,4.5,7,10,12))*Sensitivity!$H$6,IF($J$34="Damage Taken Decrease %",0,IF($J$34="Defense %",0,IF($J$34="Accuracy",0,IF($J$34="Critical Rate %",(CHOOSE(MATCH($I$34,{"Rare","Epic","Unique","Legendary","Mystic","Mystic (Prime)"},0),2,3,4.5,7,10,12))*Sensitivity!$H$15,IF($J$34="Min Damage Multiplier %",(CHOOSE(MATCH($I$34,{"Rare","Epic","Unique","Legendary","Mystic","Mystic (Prime)"},0),2,3,4.5,7,10,12))*Sensitivity!$H$13,IF($J$34="Max Damage Multiplier %",(CHOOSE(MATCH($I$34,{"Rare","Epic","Unique","Legendary","Mystic","Mystic (Prime)"},0),2,3,4.5,7,10,12))*Sensitivity!$H$14,IF($J$34="Boss Monster Damage %",(CHOOSE(MATCH($I$34,{"Rare","Epic","Unique","Legendary","Mystic","Mystic (Prime)"},0),4,6,9,14,20,24))*Sensitivity!$H$10,IF($J$34="Normal Monster Damage %",(CHOOSE(MATCH($I$34,{"Rare","Epic","Unique","Legendary","Mystic","Mystic (Prime)"},0),4,6,9,14,20,24))*Sensitivity!$H$11,IF($J$34="Status Effect Damage %",0,IF($J$34="Damage %",(CHOOSE(MATCH($I$34,{"Rare","Epic","Unique","Legendary","Mystic","Mystic (Prime)"},0),4,6,9,14,20,24))*Sensitivity!$H$8,IF($J$34="Defense Penetration %",(CHOOSE(MATCH($I$34,{"Rare","Epic","Unique","Legendary","Mystic","Mystic (Prime)"},0),2,3,4.5,7,10,12))*Sensitivity!$H$18,0)))))))))))),0)</f>
        <v/>
      </c>
      <c r="L34">
        <f>Summary!$B$3*((IF(D34="(none)",1,1+(E34+IF(G34=D34,H34,0)+IF(J34=D34,K34,0))/Summary!$B$3))*(IF(OR(G34="(none)",G34=D34),1,1+(H34+IF(D34=G34,E34,0)+IF(J34=G34,K34,0))/Summary!$B$3))*(IF(OR(J34="",J34="(none)",J34=D34,J34=G34),1,1+(K34+IF(D34=J34,E34,0)+IF(G34=J34,H34,0))/Summary!$B$3))-1)</f>
        <v/>
      </c>
      <c r="M34">
        <f>OR(Inputs!$B$47="Bottle of Emotion",Inputs!$B$48="Bottle of Emotion",Inputs!$B$49="Bottle of Emotion",Inputs!$B$50="Bottle of Emotion")</f>
        <v/>
      </c>
      <c r="N34">
        <f>IF(B34="Not Unlocked",0,B34)</f>
        <v/>
      </c>
    </row>
    <row r="35">
      <c r="A35" s="6" t="inlineStr">
        <is>
          <t>Peach Tree Herb Pouch</t>
        </is>
      </c>
      <c r="B35" s="7" t="inlineStr">
        <is>
          <t>Not Unlocked</t>
        </is>
      </c>
      <c r="C35" s="7" t="inlineStr">
        <is>
          <t>Rare</t>
        </is>
      </c>
      <c r="D35" s="7" t="inlineStr">
        <is>
          <t>(none)</t>
        </is>
      </c>
      <c r="E35">
        <f>IF($N$35&gt;=1,IF($D$35="Main Stat %",(CHOOSE(MATCH($C$35,{"Rare","Epic","Unique","Legendary","Mystic","Mystic (Prime)"},0),2,3,4.5,7,10,12))*Sensitivity!$H$6,IF($D$35="Damage Taken Decrease %",0,IF($D$35="Defense %",0,IF($D$35="Accuracy",0,IF($D$35="Critical Rate %",(CHOOSE(MATCH($C$35,{"Rare","Epic","Unique","Legendary","Mystic","Mystic (Prime)"},0),2,3,4.5,7,10,12))*Sensitivity!$H$15,IF($D$35="Min Damage Multiplier %",(CHOOSE(MATCH($C$35,{"Rare","Epic","Unique","Legendary","Mystic","Mystic (Prime)"},0),2,3,4.5,7,10,12))*Sensitivity!$H$13,IF($D$35="Max Damage Multiplier %",(CHOOSE(MATCH($C$35,{"Rare","Epic","Unique","Legendary","Mystic","Mystic (Prime)"},0),2,3,4.5,7,10,12))*Sensitivity!$H$14,IF($D$35="Boss Monster Damage %",(CHOOSE(MATCH($C$35,{"Rare","Epic","Unique","Legendary","Mystic","Mystic (Prime)"},0),4,6,9,14,20,24))*Sensitivity!$H$10,IF($D$35="Normal Monster Damage %",(CHOOSE(MATCH($C$35,{"Rare","Epic","Unique","Legendary","Mystic","Mystic (Prime)"},0),4,6,9,14,20,24))*Sensitivity!$H$11,IF($D$35="Status Effect Damage %",0,IF($D$35="Damage %",(CHOOSE(MATCH($C$35,{"Rare","Epic","Unique","Legendary","Mystic","Mystic (Prime)"},0),4,6,9,14,20,24))*Sensitivity!$H$8,IF($D$35="Defense Penetration %",(CHOOSE(MATCH($C$35,{"Rare","Epic","Unique","Legendary","Mystic","Mystic (Prime)"},0),2,3,4.5,7,10,12))*Sensitivity!$H$18,0)))))))))))),0)</f>
        <v/>
      </c>
      <c r="F35" s="7" t="inlineStr">
        <is>
          <t>Rare</t>
        </is>
      </c>
      <c r="G35" s="7" t="inlineStr">
        <is>
          <t>(none)</t>
        </is>
      </c>
      <c r="H35">
        <f>IF($N$35&gt;=2,IF($G$35="Main Stat %",(CHOOSE(MATCH($F$35,{"Rare","Epic","Unique","Legendary","Mystic","Mystic (Prime)"},0),2,3,4.5,7,10,12))*Sensitivity!$H$6,IF($G$35="Damage Taken Decrease %",0,IF($G$35="Defense %",0,IF($G$35="Accuracy",0,IF($G$35="Critical Rate %",(CHOOSE(MATCH($F$35,{"Rare","Epic","Unique","Legendary","Mystic","Mystic (Prime)"},0),2,3,4.5,7,10,12))*Sensitivity!$H$15,IF($G$35="Min Damage Multiplier %",(CHOOSE(MATCH($F$35,{"Rare","Epic","Unique","Legendary","Mystic","Mystic (Prime)"},0),2,3,4.5,7,10,12))*Sensitivity!$H$13,IF($G$35="Max Damage Multiplier %",(CHOOSE(MATCH($F$35,{"Rare","Epic","Unique","Legendary","Mystic","Mystic (Prime)"},0),2,3,4.5,7,10,12))*Sensitivity!$H$14,IF($G$35="Boss Monster Damage %",(CHOOSE(MATCH($F$35,{"Rare","Epic","Unique","Legendary","Mystic","Mystic (Prime)"},0),4,6,9,14,20,24))*Sensitivity!$H$10,IF($G$35="Normal Monster Damage %",(CHOOSE(MATCH($F$35,{"Rare","Epic","Unique","Legendary","Mystic","Mystic (Prime)"},0),4,6,9,14,20,24))*Sensitivity!$H$11,IF($G$35="Status Effect Damage %",0,IF($G$35="Damage %",(CHOOSE(MATCH($F$35,{"Rare","Epic","Unique","Legendary","Mystic","Mystic (Prime)"},0),4,6,9,14,20,24))*Sensitivity!$H$8,IF($G$35="Defense Penetration %",(CHOOSE(MATCH($F$35,{"Rare","Epic","Unique","Legendary","Mystic","Mystic (Prime)"},0),2,3,4.5,7,10,12))*Sensitivity!$H$18,0)))))))))))),0)</f>
        <v/>
      </c>
      <c r="I35" s="7" t="inlineStr">
        <is>
          <t>Rare</t>
        </is>
      </c>
      <c r="J35" s="7" t="inlineStr">
        <is>
          <t>(none)</t>
        </is>
      </c>
      <c r="K35">
        <f>IF($N$35&gt;=5,IF($J$35="Main Stat %",(CHOOSE(MATCH($I$35,{"Rare","Epic","Unique","Legendary","Mystic","Mystic (Prime)"},0),2,3,4.5,7,10,12))*Sensitivity!$H$6,IF($J$35="Damage Taken Decrease %",0,IF($J$35="Defense %",0,IF($J$35="Accuracy",0,IF($J$35="Critical Rate %",(CHOOSE(MATCH($I$35,{"Rare","Epic","Unique","Legendary","Mystic","Mystic (Prime)"},0),2,3,4.5,7,10,12))*Sensitivity!$H$15,IF($J$35="Min Damage Multiplier %",(CHOOSE(MATCH($I$35,{"Rare","Epic","Unique","Legendary","Mystic","Mystic (Prime)"},0),2,3,4.5,7,10,12))*Sensitivity!$H$13,IF($J$35="Max Damage Multiplier %",(CHOOSE(MATCH($I$35,{"Rare","Epic","Unique","Legendary","Mystic","Mystic (Prime)"},0),2,3,4.5,7,10,12))*Sensitivity!$H$14,IF($J$35="Boss Monster Damage %",(CHOOSE(MATCH($I$35,{"Rare","Epic","Unique","Legendary","Mystic","Mystic (Prime)"},0),4,6,9,14,20,24))*Sensitivity!$H$10,IF($J$35="Normal Monster Damage %",(CHOOSE(MATCH($I$35,{"Rare","Epic","Unique","Legendary","Mystic","Mystic (Prime)"},0),4,6,9,14,20,24))*Sensitivity!$H$11,IF($J$35="Status Effect Damage %",0,IF($J$35="Damage %",(CHOOSE(MATCH($I$35,{"Rare","Epic","Unique","Legendary","Mystic","Mystic (Prime)"},0),4,6,9,14,20,24))*Sensitivity!$H$8,IF($J$35="Defense Penetration %",(CHOOSE(MATCH($I$35,{"Rare","Epic","Unique","Legendary","Mystic","Mystic (Prime)"},0),2,3,4.5,7,10,12))*Sensitivity!$H$18,0)))))))))))),0)</f>
        <v/>
      </c>
      <c r="L35">
        <f>Summary!$B$3*((IF(D35="(none)",1,1+(E35+IF(G35=D35,H35,0)+IF(J35=D35,K35,0))/Summary!$B$3))*(IF(OR(G35="(none)",G35=D35),1,1+(H35+IF(D35=G35,E35,0)+IF(J35=G35,K35,0))/Summary!$B$3))*(IF(OR(J35="",J35="(none)",J35=D35,J35=G35),1,1+(K35+IF(D35=J35,E35,0)+IF(G35=J35,H35,0))/Summary!$B$3))-1)</f>
        <v/>
      </c>
      <c r="M35">
        <f>OR(Inputs!$B$47="Peach Tree Herb Pouch",Inputs!$B$48="Peach Tree Herb Pouch",Inputs!$B$49="Peach Tree Herb Pouch",Inputs!$B$50="Peach Tree Herb Pouch")</f>
        <v/>
      </c>
      <c r="N35">
        <f>IF(B35="Not Unlocked",0,B35)</f>
        <v/>
      </c>
    </row>
    <row r="36">
      <c r="A36" s="6" t="inlineStr">
        <is>
          <t>Candle</t>
        </is>
      </c>
      <c r="B36" s="7" t="inlineStr">
        <is>
          <t>Not Unlocked</t>
        </is>
      </c>
      <c r="C36" s="7" t="inlineStr">
        <is>
          <t>Rare</t>
        </is>
      </c>
      <c r="D36" s="7" t="inlineStr">
        <is>
          <t>(none)</t>
        </is>
      </c>
      <c r="E36">
        <f>IF($N$36&gt;=1,IF($D$36="Main Stat %",(CHOOSE(MATCH($C$36,{"Rare","Epic","Unique","Legendary","Mystic","Mystic (Prime)"},0),2,3,4.5,7,10,12))*Sensitivity!$H$6,IF($D$36="Damage Taken Decrease %",0,IF($D$36="Defense %",0,IF($D$36="Accuracy",0,IF($D$36="Critical Rate %",(CHOOSE(MATCH($C$36,{"Rare","Epic","Unique","Legendary","Mystic","Mystic (Prime)"},0),2,3,4.5,7,10,12))*Sensitivity!$H$15,IF($D$36="Min Damage Multiplier %",(CHOOSE(MATCH($C$36,{"Rare","Epic","Unique","Legendary","Mystic","Mystic (Prime)"},0),2,3,4.5,7,10,12))*Sensitivity!$H$13,IF($D$36="Max Damage Multiplier %",(CHOOSE(MATCH($C$36,{"Rare","Epic","Unique","Legendary","Mystic","Mystic (Prime)"},0),2,3,4.5,7,10,12))*Sensitivity!$H$14,IF($D$36="Boss Monster Damage %",(CHOOSE(MATCH($C$36,{"Rare","Epic","Unique","Legendary","Mystic","Mystic (Prime)"},0),4,6,9,14,20,24))*Sensitivity!$H$10,IF($D$36="Normal Monster Damage %",(CHOOSE(MATCH($C$36,{"Rare","Epic","Unique","Legendary","Mystic","Mystic (Prime)"},0),4,6,9,14,20,24))*Sensitivity!$H$11,IF($D$36="Status Effect Damage %",0,IF($D$36="Damage %",(CHOOSE(MATCH($C$36,{"Rare","Epic","Unique","Legendary","Mystic","Mystic (Prime)"},0),4,6,9,14,20,24))*Sensitivity!$H$8,IF($D$36="Defense Penetration %",(CHOOSE(MATCH($C$36,{"Rare","Epic","Unique","Legendary","Mystic","Mystic (Prime)"},0),2,3,4.5,7,10,12))*Sensitivity!$H$18,0)))))))))))),0)</f>
        <v/>
      </c>
      <c r="F36" s="7" t="inlineStr">
        <is>
          <t>Rare</t>
        </is>
      </c>
      <c r="G36" s="7" t="inlineStr">
        <is>
          <t>(none)</t>
        </is>
      </c>
      <c r="H36">
        <f>IF($N$36&gt;=2,IF($G$36="Main Stat %",(CHOOSE(MATCH($F$36,{"Rare","Epic","Unique","Legendary","Mystic","Mystic (Prime)"},0),2,3,4.5,7,10,12))*Sensitivity!$H$6,IF($G$36="Damage Taken Decrease %",0,IF($G$36="Defense %",0,IF($G$36="Accuracy",0,IF($G$36="Critical Rate %",(CHOOSE(MATCH($F$36,{"Rare","Epic","Unique","Legendary","Mystic","Mystic (Prime)"},0),2,3,4.5,7,10,12))*Sensitivity!$H$15,IF($G$36="Min Damage Multiplier %",(CHOOSE(MATCH($F$36,{"Rare","Epic","Unique","Legendary","Mystic","Mystic (Prime)"},0),2,3,4.5,7,10,12))*Sensitivity!$H$13,IF($G$36="Max Damage Multiplier %",(CHOOSE(MATCH($F$36,{"Rare","Epic","Unique","Legendary","Mystic","Mystic (Prime)"},0),2,3,4.5,7,10,12))*Sensitivity!$H$14,IF($G$36="Boss Monster Damage %",(CHOOSE(MATCH($F$36,{"Rare","Epic","Unique","Legendary","Mystic","Mystic (Prime)"},0),4,6,9,14,20,24))*Sensitivity!$H$10,IF($G$36="Normal Monster Damage %",(CHOOSE(MATCH($F$36,{"Rare","Epic","Unique","Legendary","Mystic","Mystic (Prime)"},0),4,6,9,14,20,24))*Sensitivity!$H$11,IF($G$36="Status Effect Damage %",0,IF($G$36="Damage %",(CHOOSE(MATCH($F$36,{"Rare","Epic","Unique","Legendary","Mystic","Mystic (Prime)"},0),4,6,9,14,20,24))*Sensitivity!$H$8,IF($G$36="Defense Penetration %",(CHOOSE(MATCH($F$36,{"Rare","Epic","Unique","Legendary","Mystic","Mystic (Prime)"},0),2,3,4.5,7,10,12))*Sensitivity!$H$18,0)))))))))))),0)</f>
        <v/>
      </c>
      <c r="I36" s="7" t="inlineStr">
        <is>
          <t>Rare</t>
        </is>
      </c>
      <c r="J36" s="7" t="inlineStr">
        <is>
          <t>(none)</t>
        </is>
      </c>
      <c r="K36">
        <f>IF($N$36&gt;=5,IF($J$36="Main Stat %",(CHOOSE(MATCH($I$36,{"Rare","Epic","Unique","Legendary","Mystic","Mystic (Prime)"},0),2,3,4.5,7,10,12))*Sensitivity!$H$6,IF($J$36="Damage Taken Decrease %",0,IF($J$36="Defense %",0,IF($J$36="Accuracy",0,IF($J$36="Critical Rate %",(CHOOSE(MATCH($I$36,{"Rare","Epic","Unique","Legendary","Mystic","Mystic (Prime)"},0),2,3,4.5,7,10,12))*Sensitivity!$H$15,IF($J$36="Min Damage Multiplier %",(CHOOSE(MATCH($I$36,{"Rare","Epic","Unique","Legendary","Mystic","Mystic (Prime)"},0),2,3,4.5,7,10,12))*Sensitivity!$H$13,IF($J$36="Max Damage Multiplier %",(CHOOSE(MATCH($I$36,{"Rare","Epic","Unique","Legendary","Mystic","Mystic (Prime)"},0),2,3,4.5,7,10,12))*Sensitivity!$H$14,IF($J$36="Boss Monster Damage %",(CHOOSE(MATCH($I$36,{"Rare","Epic","Unique","Legendary","Mystic","Mystic (Prime)"},0),4,6,9,14,20,24))*Sensitivity!$H$10,IF($J$36="Normal Monster Damage %",(CHOOSE(MATCH($I$36,{"Rare","Epic","Unique","Legendary","Mystic","Mystic (Prime)"},0),4,6,9,14,20,24))*Sensitivity!$H$11,IF($J$36="Status Effect Damage %",0,IF($J$36="Damage %",(CHOOSE(MATCH($I$36,{"Rare","Epic","Unique","Legendary","Mystic","Mystic (Prime)"},0),4,6,9,14,20,24))*Sensitivity!$H$8,IF($J$36="Defense Penetration %",(CHOOSE(MATCH($I$36,{"Rare","Epic","Unique","Legendary","Mystic","Mystic (Prime)"},0),2,3,4.5,7,10,12))*Sensitivity!$H$18,0)))))))))))),0)</f>
        <v/>
      </c>
      <c r="L36">
        <f>Summary!$B$3*((IF(D36="(none)",1,1+(E36+IF(G36=D36,H36,0)+IF(J36=D36,K36,0))/Summary!$B$3))*(IF(OR(G36="(none)",G36=D36),1,1+(H36+IF(D36=G36,E36,0)+IF(J36=G36,K36,0))/Summary!$B$3))*(IF(OR(J36="",J36="(none)",J36=D36,J36=G36),1,1+(K36+IF(D36=J36,E36,0)+IF(G36=J36,H36,0))/Summary!$B$3))-1)</f>
        <v/>
      </c>
      <c r="M36">
        <f>OR(Inputs!$B$47="Candle",Inputs!$B$48="Candle",Inputs!$B$49="Candle",Inputs!$B$50="Candle")</f>
        <v/>
      </c>
      <c r="N36">
        <f>IF(B36="Not Unlocked",0,B36)</f>
        <v/>
      </c>
    </row>
    <row r="37">
      <c r="A37" s="6" t="inlineStr">
        <is>
          <t>Alliance Badge</t>
        </is>
      </c>
      <c r="B37" s="7" t="inlineStr">
        <is>
          <t>Not Unlocked</t>
        </is>
      </c>
      <c r="C37" s="7" t="inlineStr">
        <is>
          <t>Rare</t>
        </is>
      </c>
      <c r="D37" s="7" t="inlineStr">
        <is>
          <t>(none)</t>
        </is>
      </c>
      <c r="E37">
        <f>IF($N$37&gt;=1,IF($D$37="Main Stat %",(CHOOSE(MATCH($C$37,{"Rare","Epic","Unique","Legendary","Mystic","Mystic (Prime)"},0),2,3,4.5,7,10,12))*Sensitivity!$H$6,IF($D$37="Damage Taken Decrease %",0,IF($D$37="Defense %",0,IF($D$37="Accuracy",0,IF($D$37="Critical Rate %",(CHOOSE(MATCH($C$37,{"Rare","Epic","Unique","Legendary","Mystic","Mystic (Prime)"},0),2,3,4.5,7,10,12))*Sensitivity!$H$15,IF($D$37="Min Damage Multiplier %",(CHOOSE(MATCH($C$37,{"Rare","Epic","Unique","Legendary","Mystic","Mystic (Prime)"},0),2,3,4.5,7,10,12))*Sensitivity!$H$13,IF($D$37="Max Damage Multiplier %",(CHOOSE(MATCH($C$37,{"Rare","Epic","Unique","Legendary","Mystic","Mystic (Prime)"},0),2,3,4.5,7,10,12))*Sensitivity!$H$14,IF($D$37="Boss Monster Damage %",(CHOOSE(MATCH($C$37,{"Rare","Epic","Unique","Legendary","Mystic","Mystic (Prime)"},0),4,6,9,14,20,24))*Sensitivity!$H$10,IF($D$37="Normal Monster Damage %",(CHOOSE(MATCH($C$37,{"Rare","Epic","Unique","Legendary","Mystic","Mystic (Prime)"},0),4,6,9,14,20,24))*Sensitivity!$H$11,IF($D$37="Status Effect Damage %",0,IF($D$37="Damage %",(CHOOSE(MATCH($C$37,{"Rare","Epic","Unique","Legendary","Mystic","Mystic (Prime)"},0),4,6,9,14,20,24))*Sensitivity!$H$8,IF($D$37="Defense Penetration %",(CHOOSE(MATCH($C$37,{"Rare","Epic","Unique","Legendary","Mystic","Mystic (Prime)"},0),2,3,4.5,7,10,12))*Sensitivity!$H$18,0)))))))))))),0)</f>
        <v/>
      </c>
      <c r="F37" s="7" t="inlineStr">
        <is>
          <t>Rare</t>
        </is>
      </c>
      <c r="G37" s="7" t="inlineStr">
        <is>
          <t>(none)</t>
        </is>
      </c>
      <c r="H37">
        <f>IF($N$37&gt;=2,IF($G$37="Main Stat %",(CHOOSE(MATCH($F$37,{"Rare","Epic","Unique","Legendary","Mystic","Mystic (Prime)"},0),2,3,4.5,7,10,12))*Sensitivity!$H$6,IF($G$37="Damage Taken Decrease %",0,IF($G$37="Defense %",0,IF($G$37="Accuracy",0,IF($G$37="Critical Rate %",(CHOOSE(MATCH($F$37,{"Rare","Epic","Unique","Legendary","Mystic","Mystic (Prime)"},0),2,3,4.5,7,10,12))*Sensitivity!$H$15,IF($G$37="Min Damage Multiplier %",(CHOOSE(MATCH($F$37,{"Rare","Epic","Unique","Legendary","Mystic","Mystic (Prime)"},0),2,3,4.5,7,10,12))*Sensitivity!$H$13,IF($G$37="Max Damage Multiplier %",(CHOOSE(MATCH($F$37,{"Rare","Epic","Unique","Legendary","Mystic","Mystic (Prime)"},0),2,3,4.5,7,10,12))*Sensitivity!$H$14,IF($G$37="Boss Monster Damage %",(CHOOSE(MATCH($F$37,{"Rare","Epic","Unique","Legendary","Mystic","Mystic (Prime)"},0),4,6,9,14,20,24))*Sensitivity!$H$10,IF($G$37="Normal Monster Damage %",(CHOOSE(MATCH($F$37,{"Rare","Epic","Unique","Legendary","Mystic","Mystic (Prime)"},0),4,6,9,14,20,24))*Sensitivity!$H$11,IF($G$37="Status Effect Damage %",0,IF($G$37="Damage %",(CHOOSE(MATCH($F$37,{"Rare","Epic","Unique","Legendary","Mystic","Mystic (Prime)"},0),4,6,9,14,20,24))*Sensitivity!$H$8,IF($G$37="Defense Penetration %",(CHOOSE(MATCH($F$37,{"Rare","Epic","Unique","Legendary","Mystic","Mystic (Prime)"},0),2,3,4.5,7,10,12))*Sensitivity!$H$18,0)))))))))))),0)</f>
        <v/>
      </c>
      <c r="I37" s="7" t="inlineStr">
        <is>
          <t>Rare</t>
        </is>
      </c>
      <c r="J37" s="7" t="inlineStr">
        <is>
          <t>(none)</t>
        </is>
      </c>
      <c r="K37">
        <f>IF($N$37&gt;=5,IF($J$37="Main Stat %",(CHOOSE(MATCH($I$37,{"Rare","Epic","Unique","Legendary","Mystic","Mystic (Prime)"},0),2,3,4.5,7,10,12))*Sensitivity!$H$6,IF($J$37="Damage Taken Decrease %",0,IF($J$37="Defense %",0,IF($J$37="Accuracy",0,IF($J$37="Critical Rate %",(CHOOSE(MATCH($I$37,{"Rare","Epic","Unique","Legendary","Mystic","Mystic (Prime)"},0),2,3,4.5,7,10,12))*Sensitivity!$H$15,IF($J$37="Min Damage Multiplier %",(CHOOSE(MATCH($I$37,{"Rare","Epic","Unique","Legendary","Mystic","Mystic (Prime)"},0),2,3,4.5,7,10,12))*Sensitivity!$H$13,IF($J$37="Max Damage Multiplier %",(CHOOSE(MATCH($I$37,{"Rare","Epic","Unique","Legendary","Mystic","Mystic (Prime)"},0),2,3,4.5,7,10,12))*Sensitivity!$H$14,IF($J$37="Boss Monster Damage %",(CHOOSE(MATCH($I$37,{"Rare","Epic","Unique","Legendary","Mystic","Mystic (Prime)"},0),4,6,9,14,20,24))*Sensitivity!$H$10,IF($J$37="Normal Monster Damage %",(CHOOSE(MATCH($I$37,{"Rare","Epic","Unique","Legendary","Mystic","Mystic (Prime)"},0),4,6,9,14,20,24))*Sensitivity!$H$11,IF($J$37="Status Effect Damage %",0,IF($J$37="Damage %",(CHOOSE(MATCH($I$37,{"Rare","Epic","Unique","Legendary","Mystic","Mystic (Prime)"},0),4,6,9,14,20,24))*Sensitivity!$H$8,IF($J$37="Defense Penetration %",(CHOOSE(MATCH($I$37,{"Rare","Epic","Unique","Legendary","Mystic","Mystic (Prime)"},0),2,3,4.5,7,10,12))*Sensitivity!$H$18,0)))))))))))),0)</f>
        <v/>
      </c>
      <c r="L37">
        <f>Summary!$B$3*((IF(D37="(none)",1,1+(E37+IF(G37=D37,H37,0)+IF(J37=D37,K37,0))/Summary!$B$3))*(IF(OR(G37="(none)",G37=D37),1,1+(H37+IF(D37=G37,E37,0)+IF(J37=G37,K37,0))/Summary!$B$3))*(IF(OR(J37="",J37="(none)",J37=D37,J37=G37),1,1+(K37+IF(D37=J37,E37,0)+IF(G37=J37,H37,0))/Summary!$B$3))-1)</f>
        <v/>
      </c>
      <c r="M37">
        <f>OR(Inputs!$B$47="Alliance Badge",Inputs!$B$48="Alliance Badge",Inputs!$B$49="Alliance Badge",Inputs!$B$50="Alliance Badge")</f>
        <v/>
      </c>
      <c r="N37">
        <f>IF(B37="Not Unlocked",0,B37)</f>
        <v/>
      </c>
    </row>
    <row r="38">
      <c r="A38" s="6" t="inlineStr">
        <is>
          <t>Horn Flute</t>
        </is>
      </c>
      <c r="B38" s="7" t="inlineStr">
        <is>
          <t>Not Unlocked</t>
        </is>
      </c>
      <c r="C38" s="7" t="inlineStr">
        <is>
          <t>Rare</t>
        </is>
      </c>
      <c r="D38" s="7" t="inlineStr">
        <is>
          <t>(none)</t>
        </is>
      </c>
      <c r="E38">
        <f>IF($N$38&gt;=1,IF($D$38="Main Stat %",(CHOOSE(MATCH($C$38,{"Rare","Epic","Unique","Legendary","Mystic","Mystic (Prime)"},0),2,3,4.5,7,10,12))*Sensitivity!$H$6,IF($D$38="Damage Taken Decrease %",0,IF($D$38="Defense %",0,IF($D$38="Accuracy",0,IF($D$38="Critical Rate %",(CHOOSE(MATCH($C$38,{"Rare","Epic","Unique","Legendary","Mystic","Mystic (Prime)"},0),2,3,4.5,7,10,12))*Sensitivity!$H$15,IF($D$38="Min Damage Multiplier %",(CHOOSE(MATCH($C$38,{"Rare","Epic","Unique","Legendary","Mystic","Mystic (Prime)"},0),2,3,4.5,7,10,12))*Sensitivity!$H$13,IF($D$38="Max Damage Multiplier %",(CHOOSE(MATCH($C$38,{"Rare","Epic","Unique","Legendary","Mystic","Mystic (Prime)"},0),2,3,4.5,7,10,12))*Sensitivity!$H$14,IF($D$38="Boss Monster Damage %",(CHOOSE(MATCH($C$38,{"Rare","Epic","Unique","Legendary","Mystic","Mystic (Prime)"},0),4,6,9,14,20,24))*Sensitivity!$H$10,IF($D$38="Normal Monster Damage %",(CHOOSE(MATCH($C$38,{"Rare","Epic","Unique","Legendary","Mystic","Mystic (Prime)"},0),4,6,9,14,20,24))*Sensitivity!$H$11,IF($D$38="Status Effect Damage %",0,IF($D$38="Damage %",(CHOOSE(MATCH($C$38,{"Rare","Epic","Unique","Legendary","Mystic","Mystic (Prime)"},0),4,6,9,14,20,24))*Sensitivity!$H$8,IF($D$38="Defense Penetration %",(CHOOSE(MATCH($C$38,{"Rare","Epic","Unique","Legendary","Mystic","Mystic (Prime)"},0),2,3,4.5,7,10,12))*Sensitivity!$H$18,0)))))))))))),0)</f>
        <v/>
      </c>
      <c r="F38" s="7" t="inlineStr">
        <is>
          <t>Rare</t>
        </is>
      </c>
      <c r="G38" s="7" t="inlineStr">
        <is>
          <t>(none)</t>
        </is>
      </c>
      <c r="H38">
        <f>IF($N$38&gt;=2,IF($G$38="Main Stat %",(CHOOSE(MATCH($F$38,{"Rare","Epic","Unique","Legendary","Mystic","Mystic (Prime)"},0),2,3,4.5,7,10,12))*Sensitivity!$H$6,IF($G$38="Damage Taken Decrease %",0,IF($G$38="Defense %",0,IF($G$38="Accuracy",0,IF($G$38="Critical Rate %",(CHOOSE(MATCH($F$38,{"Rare","Epic","Unique","Legendary","Mystic","Mystic (Prime)"},0),2,3,4.5,7,10,12))*Sensitivity!$H$15,IF($G$38="Min Damage Multiplier %",(CHOOSE(MATCH($F$38,{"Rare","Epic","Unique","Legendary","Mystic","Mystic (Prime)"},0),2,3,4.5,7,10,12))*Sensitivity!$H$13,IF($G$38="Max Damage Multiplier %",(CHOOSE(MATCH($F$38,{"Rare","Epic","Unique","Legendary","Mystic","Mystic (Prime)"},0),2,3,4.5,7,10,12))*Sensitivity!$H$14,IF($G$38="Boss Monster Damage %",(CHOOSE(MATCH($F$38,{"Rare","Epic","Unique","Legendary","Mystic","Mystic (Prime)"},0),4,6,9,14,20,24))*Sensitivity!$H$10,IF($G$38="Normal Monster Damage %",(CHOOSE(MATCH($F$38,{"Rare","Epic","Unique","Legendary","Mystic","Mystic (Prime)"},0),4,6,9,14,20,24))*Sensitivity!$H$11,IF($G$38="Status Effect Damage %",0,IF($G$38="Damage %",(CHOOSE(MATCH($F$38,{"Rare","Epic","Unique","Legendary","Mystic","Mystic (Prime)"},0),4,6,9,14,20,24))*Sensitivity!$H$8,IF($G$38="Defense Penetration %",(CHOOSE(MATCH($F$38,{"Rare","Epic","Unique","Legendary","Mystic","Mystic (Prime)"},0),2,3,4.5,7,10,12))*Sensitivity!$H$18,0)))))))))))),0)</f>
        <v/>
      </c>
      <c r="I38" s="7" t="inlineStr">
        <is>
          <t>Rare</t>
        </is>
      </c>
      <c r="J38" s="7" t="inlineStr">
        <is>
          <t>(none)</t>
        </is>
      </c>
      <c r="K38">
        <f>IF($N$38&gt;=5,IF($J$38="Main Stat %",(CHOOSE(MATCH($I$38,{"Rare","Epic","Unique","Legendary","Mystic","Mystic (Prime)"},0),2,3,4.5,7,10,12))*Sensitivity!$H$6,IF($J$38="Damage Taken Decrease %",0,IF($J$38="Defense %",0,IF($J$38="Accuracy",0,IF($J$38="Critical Rate %",(CHOOSE(MATCH($I$38,{"Rare","Epic","Unique","Legendary","Mystic","Mystic (Prime)"},0),2,3,4.5,7,10,12))*Sensitivity!$H$15,IF($J$38="Min Damage Multiplier %",(CHOOSE(MATCH($I$38,{"Rare","Epic","Unique","Legendary","Mystic","Mystic (Prime)"},0),2,3,4.5,7,10,12))*Sensitivity!$H$13,IF($J$38="Max Damage Multiplier %",(CHOOSE(MATCH($I$38,{"Rare","Epic","Unique","Legendary","Mystic","Mystic (Prime)"},0),2,3,4.5,7,10,12))*Sensitivity!$H$14,IF($J$38="Boss Monster Damage %",(CHOOSE(MATCH($I$38,{"Rare","Epic","Unique","Legendary","Mystic","Mystic (Prime)"},0),4,6,9,14,20,24))*Sensitivity!$H$10,IF($J$38="Normal Monster Damage %",(CHOOSE(MATCH($I$38,{"Rare","Epic","Unique","Legendary","Mystic","Mystic (Prime)"},0),4,6,9,14,20,24))*Sensitivity!$H$11,IF($J$38="Status Effect Damage %",0,IF($J$38="Damage %",(CHOOSE(MATCH($I$38,{"Rare","Epic","Unique","Legendary","Mystic","Mystic (Prime)"},0),4,6,9,14,20,24))*Sensitivity!$H$8,IF($J$38="Defense Penetration %",(CHOOSE(MATCH($I$38,{"Rare","Epic","Unique","Legendary","Mystic","Mystic (Prime)"},0),2,3,4.5,7,10,12))*Sensitivity!$H$18,0)))))))))))),0)</f>
        <v/>
      </c>
      <c r="L38">
        <f>Summary!$B$3*((IF(D38="(none)",1,1+(E38+IF(G38=D38,H38,0)+IF(J38=D38,K38,0))/Summary!$B$3))*(IF(OR(G38="(none)",G38=D38),1,1+(H38+IF(D38=G38,E38,0)+IF(J38=G38,K38,0))/Summary!$B$3))*(IF(OR(J38="",J38="(none)",J38=D38,J38=G38),1,1+(K38+IF(D38=J38,E38,0)+IF(G38=J38,H38,0))/Summary!$B$3))-1)</f>
        <v/>
      </c>
      <c r="M38">
        <f>OR(Inputs!$B$47="Horn Flute",Inputs!$B$48="Horn Flute",Inputs!$B$49="Horn Flute",Inputs!$B$50="Horn Flute")</f>
        <v/>
      </c>
      <c r="N38">
        <f>IF(B38="Not Unlocked",0,B38)</f>
        <v/>
      </c>
    </row>
    <row r="39">
      <c r="A39" s="6" t="inlineStr">
        <is>
          <t>Cursed Doll</t>
        </is>
      </c>
      <c r="B39" s="7" t="inlineStr">
        <is>
          <t>Not Unlocked</t>
        </is>
      </c>
      <c r="C39" s="7" t="inlineStr">
        <is>
          <t>Rare</t>
        </is>
      </c>
      <c r="D39" s="7" t="inlineStr">
        <is>
          <t>(none)</t>
        </is>
      </c>
      <c r="E39">
        <f>IF($N$39&gt;=1,IF($D$39="Main Stat %",(CHOOSE(MATCH($C$39,{"Rare","Epic","Unique","Legendary","Mystic","Mystic (Prime)"},0),2,3,4.5,7,10,12))*Sensitivity!$H$6,IF($D$39="Damage Taken Decrease %",0,IF($D$39="Defense %",0,IF($D$39="Accuracy",0,IF($D$39="Critical Rate %",(CHOOSE(MATCH($C$39,{"Rare","Epic","Unique","Legendary","Mystic","Mystic (Prime)"},0),2,3,4.5,7,10,12))*Sensitivity!$H$15,IF($D$39="Min Damage Multiplier %",(CHOOSE(MATCH($C$39,{"Rare","Epic","Unique","Legendary","Mystic","Mystic (Prime)"},0),2,3,4.5,7,10,12))*Sensitivity!$H$13,IF($D$39="Max Damage Multiplier %",(CHOOSE(MATCH($C$39,{"Rare","Epic","Unique","Legendary","Mystic","Mystic (Prime)"},0),2,3,4.5,7,10,12))*Sensitivity!$H$14,IF($D$39="Boss Monster Damage %",(CHOOSE(MATCH($C$39,{"Rare","Epic","Unique","Legendary","Mystic","Mystic (Prime)"},0),4,6,9,14,20,24))*Sensitivity!$H$10,IF($D$39="Normal Monster Damage %",(CHOOSE(MATCH($C$39,{"Rare","Epic","Unique","Legendary","Mystic","Mystic (Prime)"},0),4,6,9,14,20,24))*Sensitivity!$H$11,IF($D$39="Status Effect Damage %",0,IF($D$39="Damage %",(CHOOSE(MATCH($C$39,{"Rare","Epic","Unique","Legendary","Mystic","Mystic (Prime)"},0),4,6,9,14,20,24))*Sensitivity!$H$8,IF($D$39="Defense Penetration %",(CHOOSE(MATCH($C$39,{"Rare","Epic","Unique","Legendary","Mystic","Mystic (Prime)"},0),2,3,4.5,7,10,12))*Sensitivity!$H$18,0)))))))))))),0)</f>
        <v/>
      </c>
      <c r="F39" s="7" t="inlineStr">
        <is>
          <t>Rare</t>
        </is>
      </c>
      <c r="G39" s="7" t="inlineStr">
        <is>
          <t>(none)</t>
        </is>
      </c>
      <c r="H39">
        <f>IF($N$39&gt;=2,IF($G$39="Main Stat %",(CHOOSE(MATCH($F$39,{"Rare","Epic","Unique","Legendary","Mystic","Mystic (Prime)"},0),2,3,4.5,7,10,12))*Sensitivity!$H$6,IF($G$39="Damage Taken Decrease %",0,IF($G$39="Defense %",0,IF($G$39="Accuracy",0,IF($G$39="Critical Rate %",(CHOOSE(MATCH($F$39,{"Rare","Epic","Unique","Legendary","Mystic","Mystic (Prime)"},0),2,3,4.5,7,10,12))*Sensitivity!$H$15,IF($G$39="Min Damage Multiplier %",(CHOOSE(MATCH($F$39,{"Rare","Epic","Unique","Legendary","Mystic","Mystic (Prime)"},0),2,3,4.5,7,10,12))*Sensitivity!$H$13,IF($G$39="Max Damage Multiplier %",(CHOOSE(MATCH($F$39,{"Rare","Epic","Unique","Legendary","Mystic","Mystic (Prime)"},0),2,3,4.5,7,10,12))*Sensitivity!$H$14,IF($G$39="Boss Monster Damage %",(CHOOSE(MATCH($F$39,{"Rare","Epic","Unique","Legendary","Mystic","Mystic (Prime)"},0),4,6,9,14,20,24))*Sensitivity!$H$10,IF($G$39="Normal Monster Damage %",(CHOOSE(MATCH($F$39,{"Rare","Epic","Unique","Legendary","Mystic","Mystic (Prime)"},0),4,6,9,14,20,24))*Sensitivity!$H$11,IF($G$39="Status Effect Damage %",0,IF($G$39="Damage %",(CHOOSE(MATCH($F$39,{"Rare","Epic","Unique","Legendary","Mystic","Mystic (Prime)"},0),4,6,9,14,20,24))*Sensitivity!$H$8,IF($G$39="Defense Penetration %",(CHOOSE(MATCH($F$39,{"Rare","Epic","Unique","Legendary","Mystic","Mystic (Prime)"},0),2,3,4.5,7,10,12))*Sensitivity!$H$18,0)))))))))))),0)</f>
        <v/>
      </c>
      <c r="I39" s="7" t="inlineStr">
        <is>
          <t>Rare</t>
        </is>
      </c>
      <c r="J39" s="7" t="inlineStr">
        <is>
          <t>(none)</t>
        </is>
      </c>
      <c r="K39">
        <f>IF($N$39&gt;=5,IF($J$39="Main Stat %",(CHOOSE(MATCH($I$39,{"Rare","Epic","Unique","Legendary","Mystic","Mystic (Prime)"},0),2,3,4.5,7,10,12))*Sensitivity!$H$6,IF($J$39="Damage Taken Decrease %",0,IF($J$39="Defense %",0,IF($J$39="Accuracy",0,IF($J$39="Critical Rate %",(CHOOSE(MATCH($I$39,{"Rare","Epic","Unique","Legendary","Mystic","Mystic (Prime)"},0),2,3,4.5,7,10,12))*Sensitivity!$H$15,IF($J$39="Min Damage Multiplier %",(CHOOSE(MATCH($I$39,{"Rare","Epic","Unique","Legendary","Mystic","Mystic (Prime)"},0),2,3,4.5,7,10,12))*Sensitivity!$H$13,IF($J$39="Max Damage Multiplier %",(CHOOSE(MATCH($I$39,{"Rare","Epic","Unique","Legendary","Mystic","Mystic (Prime)"},0),2,3,4.5,7,10,12))*Sensitivity!$H$14,IF($J$39="Boss Monster Damage %",(CHOOSE(MATCH($I$39,{"Rare","Epic","Unique","Legendary","Mystic","Mystic (Prime)"},0),4,6,9,14,20,24))*Sensitivity!$H$10,IF($J$39="Normal Monster Damage %",(CHOOSE(MATCH($I$39,{"Rare","Epic","Unique","Legendary","Mystic","Mystic (Prime)"},0),4,6,9,14,20,24))*Sensitivity!$H$11,IF($J$39="Status Effect Damage %",0,IF($J$39="Damage %",(CHOOSE(MATCH($I$39,{"Rare","Epic","Unique","Legendary","Mystic","Mystic (Prime)"},0),4,6,9,14,20,24))*Sensitivity!$H$8,IF($J$39="Defense Penetration %",(CHOOSE(MATCH($I$39,{"Rare","Epic","Unique","Legendary","Mystic","Mystic (Prime)"},0),2,3,4.5,7,10,12))*Sensitivity!$H$18,0)))))))))))),0)</f>
        <v/>
      </c>
      <c r="L39">
        <f>Summary!$B$3*((IF(D39="(none)",1,1+(E39+IF(G39=D39,H39,0)+IF(J39=D39,K39,0))/Summary!$B$3))*(IF(OR(G39="(none)",G39=D39),1,1+(H39+IF(D39=G39,E39,0)+IF(J39=G39,K39,0))/Summary!$B$3))*(IF(OR(J39="",J39="(none)",J39=D39,J39=G39),1,1+(K39+IF(D39=J39,E39,0)+IF(G39=J39,H39,0))/Summary!$B$3))-1)</f>
        <v/>
      </c>
      <c r="M39">
        <f>OR(Inputs!$B$47="Cursed Doll",Inputs!$B$48="Cursed Doll",Inputs!$B$49="Cursed Doll",Inputs!$B$50="Cursed Doll")</f>
        <v/>
      </c>
      <c r="N39">
        <f>IF(B39="Not Unlocked",0,B39)</f>
        <v/>
      </c>
    </row>
    <row r="40">
      <c r="A40" s="6" t="inlineStr">
        <is>
          <t>Reindeer's Spear</t>
        </is>
      </c>
      <c r="B40" s="7" t="inlineStr">
        <is>
          <t>Not Unlocked</t>
        </is>
      </c>
      <c r="C40" s="7" t="inlineStr">
        <is>
          <t>Rare</t>
        </is>
      </c>
      <c r="D40" s="7" t="inlineStr">
        <is>
          <t>(none)</t>
        </is>
      </c>
      <c r="E40">
        <f>IF($N$40&gt;=1,IF($D$40="Main Stat %",(CHOOSE(MATCH($C$40,{"Rare","Epic","Unique","Legendary","Mystic","Mystic (Prime)"},0),2,3,4.5,7,10,12))*Sensitivity!$H$6,IF($D$40="Damage Taken Decrease %",0,IF($D$40="Defense %",0,IF($D$40="Accuracy",0,IF($D$40="Critical Rate %",(CHOOSE(MATCH($C$40,{"Rare","Epic","Unique","Legendary","Mystic","Mystic (Prime)"},0),2,3,4.5,7,10,12))*Sensitivity!$H$15,IF($D$40="Min Damage Multiplier %",(CHOOSE(MATCH($C$40,{"Rare","Epic","Unique","Legendary","Mystic","Mystic (Prime)"},0),2,3,4.5,7,10,12))*Sensitivity!$H$13,IF($D$40="Max Damage Multiplier %",(CHOOSE(MATCH($C$40,{"Rare","Epic","Unique","Legendary","Mystic","Mystic (Prime)"},0),2,3,4.5,7,10,12))*Sensitivity!$H$14,IF($D$40="Boss Monster Damage %",(CHOOSE(MATCH($C$40,{"Rare","Epic","Unique","Legendary","Mystic","Mystic (Prime)"},0),4,6,9,14,20,24))*Sensitivity!$H$10,IF($D$40="Normal Monster Damage %",(CHOOSE(MATCH($C$40,{"Rare","Epic","Unique","Legendary","Mystic","Mystic (Prime)"},0),4,6,9,14,20,24))*Sensitivity!$H$11,IF($D$40="Status Effect Damage %",0,IF($D$40="Damage %",(CHOOSE(MATCH($C$40,{"Rare","Epic","Unique","Legendary","Mystic","Mystic (Prime)"},0),4,6,9,14,20,24))*Sensitivity!$H$8,IF($D$40="Defense Penetration %",(CHOOSE(MATCH($C$40,{"Rare","Epic","Unique","Legendary","Mystic","Mystic (Prime)"},0),2,3,4.5,7,10,12))*Sensitivity!$H$18,0)))))))))))),0)</f>
        <v/>
      </c>
      <c r="F40" s="7" t="inlineStr">
        <is>
          <t>Rare</t>
        </is>
      </c>
      <c r="G40" s="7" t="inlineStr">
        <is>
          <t>(none)</t>
        </is>
      </c>
      <c r="H40">
        <f>IF($N$40&gt;=2,IF($G$40="Main Stat %",(CHOOSE(MATCH($F$40,{"Rare","Epic","Unique","Legendary","Mystic","Mystic (Prime)"},0),2,3,4.5,7,10,12))*Sensitivity!$H$6,IF($G$40="Damage Taken Decrease %",0,IF($G$40="Defense %",0,IF($G$40="Accuracy",0,IF($G$40="Critical Rate %",(CHOOSE(MATCH($F$40,{"Rare","Epic","Unique","Legendary","Mystic","Mystic (Prime)"},0),2,3,4.5,7,10,12))*Sensitivity!$H$15,IF($G$40="Min Damage Multiplier %",(CHOOSE(MATCH($F$40,{"Rare","Epic","Unique","Legendary","Mystic","Mystic (Prime)"},0),2,3,4.5,7,10,12))*Sensitivity!$H$13,IF($G$40="Max Damage Multiplier %",(CHOOSE(MATCH($F$40,{"Rare","Epic","Unique","Legendary","Mystic","Mystic (Prime)"},0),2,3,4.5,7,10,12))*Sensitivity!$H$14,IF($G$40="Boss Monster Damage %",(CHOOSE(MATCH($F$40,{"Rare","Epic","Unique","Legendary","Mystic","Mystic (Prime)"},0),4,6,9,14,20,24))*Sensitivity!$H$10,IF($G$40="Normal Monster Damage %",(CHOOSE(MATCH($F$40,{"Rare","Epic","Unique","Legendary","Mystic","Mystic (Prime)"},0),4,6,9,14,20,24))*Sensitivity!$H$11,IF($G$40="Status Effect Damage %",0,IF($G$40="Damage %",(CHOOSE(MATCH($F$40,{"Rare","Epic","Unique","Legendary","Mystic","Mystic (Prime)"},0),4,6,9,14,20,24))*Sensitivity!$H$8,IF($G$40="Defense Penetration %",(CHOOSE(MATCH($F$40,{"Rare","Epic","Unique","Legendary","Mystic","Mystic (Prime)"},0),2,3,4.5,7,10,12))*Sensitivity!$H$18,0)))))))))))),0)</f>
        <v/>
      </c>
      <c r="I40" s="7" t="inlineStr">
        <is>
          <t>Rare</t>
        </is>
      </c>
      <c r="J40" s="7" t="inlineStr">
        <is>
          <t>(none)</t>
        </is>
      </c>
      <c r="K40">
        <f>IF($N$40&gt;=5,IF($J$40="Main Stat %",(CHOOSE(MATCH($I$40,{"Rare","Epic","Unique","Legendary","Mystic","Mystic (Prime)"},0),2,3,4.5,7,10,12))*Sensitivity!$H$6,IF($J$40="Damage Taken Decrease %",0,IF($J$40="Defense %",0,IF($J$40="Accuracy",0,IF($J$40="Critical Rate %",(CHOOSE(MATCH($I$40,{"Rare","Epic","Unique","Legendary","Mystic","Mystic (Prime)"},0),2,3,4.5,7,10,12))*Sensitivity!$H$15,IF($J$40="Min Damage Multiplier %",(CHOOSE(MATCH($I$40,{"Rare","Epic","Unique","Legendary","Mystic","Mystic (Prime)"},0),2,3,4.5,7,10,12))*Sensitivity!$H$13,IF($J$40="Max Damage Multiplier %",(CHOOSE(MATCH($I$40,{"Rare","Epic","Unique","Legendary","Mystic","Mystic (Prime)"},0),2,3,4.5,7,10,12))*Sensitivity!$H$14,IF($J$40="Boss Monster Damage %",(CHOOSE(MATCH($I$40,{"Rare","Epic","Unique","Legendary","Mystic","Mystic (Prime)"},0),4,6,9,14,20,24))*Sensitivity!$H$10,IF($J$40="Normal Monster Damage %",(CHOOSE(MATCH($I$40,{"Rare","Epic","Unique","Legendary","Mystic","Mystic (Prime)"},0),4,6,9,14,20,24))*Sensitivity!$H$11,IF($J$40="Status Effect Damage %",0,IF($J$40="Damage %",(CHOOSE(MATCH($I$40,{"Rare","Epic","Unique","Legendary","Mystic","Mystic (Prime)"},0),4,6,9,14,20,24))*Sensitivity!$H$8,IF($J$40="Defense Penetration %",(CHOOSE(MATCH($I$40,{"Rare","Epic","Unique","Legendary","Mystic","Mystic (Prime)"},0),2,3,4.5,7,10,12))*Sensitivity!$H$18,0)))))))))))),0)</f>
        <v/>
      </c>
      <c r="L40">
        <f>Summary!$B$3*((IF(D40="(none)",1,1+(E40+IF(G40=D40,H40,0)+IF(J40=D40,K40,0))/Summary!$B$3))*(IF(OR(G40="(none)",G40=D40),1,1+(H40+IF(D40=G40,E40,0)+IF(J40=G40,K40,0))/Summary!$B$3))*(IF(OR(J40="",J40="(none)",J40=D40,J40=G40),1,1+(K40+IF(D40=J40,E40,0)+IF(G40=J40,H40,0))/Summary!$B$3))-1)</f>
        <v/>
      </c>
      <c r="M40">
        <f>OR(Inputs!$B$47="Reindeer's Spear",Inputs!$B$48="Reindeer's Spear",Inputs!$B$49="Reindeer's Spear",Inputs!$B$50="Reindeer's Spear")</f>
        <v/>
      </c>
      <c r="N40">
        <f>IF(B40="Not Unlocked",0,B40)</f>
        <v/>
      </c>
    </row>
    <row r="41">
      <c r="A41" s="6" t="inlineStr">
        <is>
          <t>Secret Map</t>
        </is>
      </c>
      <c r="B41" s="7" t="inlineStr">
        <is>
          <t>Not Unlocked</t>
        </is>
      </c>
      <c r="C41" s="7" t="inlineStr">
        <is>
          <t>Rare</t>
        </is>
      </c>
      <c r="D41" s="7" t="inlineStr">
        <is>
          <t>(none)</t>
        </is>
      </c>
      <c r="E41">
        <f>IF($N$41&gt;=1,IF($D$41="Main Stat %",(CHOOSE(MATCH($C$41,{"Rare","Epic","Unique","Legendary","Mystic","Mystic (Prime)"},0),2,3,4.5,7,10,12))*Sensitivity!$H$6,IF($D$41="Damage Taken Decrease %",0,IF($D$41="Defense %",0,IF($D$41="Accuracy",0,IF($D$41="Critical Rate %",(CHOOSE(MATCH($C$41,{"Rare","Epic","Unique","Legendary","Mystic","Mystic (Prime)"},0),2,3,4.5,7,10,12))*Sensitivity!$H$15,IF($D$41="Min Damage Multiplier %",(CHOOSE(MATCH($C$41,{"Rare","Epic","Unique","Legendary","Mystic","Mystic (Prime)"},0),2,3,4.5,7,10,12))*Sensitivity!$H$13,IF($D$41="Max Damage Multiplier %",(CHOOSE(MATCH($C$41,{"Rare","Epic","Unique","Legendary","Mystic","Mystic (Prime)"},0),2,3,4.5,7,10,12))*Sensitivity!$H$14,IF($D$41="Boss Monster Damage %",(CHOOSE(MATCH($C$41,{"Rare","Epic","Unique","Legendary","Mystic","Mystic (Prime)"},0),4,6,9,14,20,24))*Sensitivity!$H$10,IF($D$41="Normal Monster Damage %",(CHOOSE(MATCH($C$41,{"Rare","Epic","Unique","Legendary","Mystic","Mystic (Prime)"},0),4,6,9,14,20,24))*Sensitivity!$H$11,IF($D$41="Status Effect Damage %",0,IF($D$41="Damage %",(CHOOSE(MATCH($C$41,{"Rare","Epic","Unique","Legendary","Mystic","Mystic (Prime)"},0),4,6,9,14,20,24))*Sensitivity!$H$8,IF($D$41="Defense Penetration %",(CHOOSE(MATCH($C$41,{"Rare","Epic","Unique","Legendary","Mystic","Mystic (Prime)"},0),2,3,4.5,7,10,12))*Sensitivity!$H$18,0)))))))))))),0)</f>
        <v/>
      </c>
      <c r="F41" s="7" t="inlineStr">
        <is>
          <t>Rare</t>
        </is>
      </c>
      <c r="G41" s="7" t="inlineStr">
        <is>
          <t>(none)</t>
        </is>
      </c>
      <c r="H41">
        <f>IF($N$41&gt;=2,IF($G$41="Main Stat %",(CHOOSE(MATCH($F$41,{"Rare","Epic","Unique","Legendary","Mystic","Mystic (Prime)"},0),2,3,4.5,7,10,12))*Sensitivity!$H$6,IF($G$41="Damage Taken Decrease %",0,IF($G$41="Defense %",0,IF($G$41="Accuracy",0,IF($G$41="Critical Rate %",(CHOOSE(MATCH($F$41,{"Rare","Epic","Unique","Legendary","Mystic","Mystic (Prime)"},0),2,3,4.5,7,10,12))*Sensitivity!$H$15,IF($G$41="Min Damage Multiplier %",(CHOOSE(MATCH($F$41,{"Rare","Epic","Unique","Legendary","Mystic","Mystic (Prime)"},0),2,3,4.5,7,10,12))*Sensitivity!$H$13,IF($G$41="Max Damage Multiplier %",(CHOOSE(MATCH($F$41,{"Rare","Epic","Unique","Legendary","Mystic","Mystic (Prime)"},0),2,3,4.5,7,10,12))*Sensitivity!$H$14,IF($G$41="Boss Monster Damage %",(CHOOSE(MATCH($F$41,{"Rare","Epic","Unique","Legendary","Mystic","Mystic (Prime)"},0),4,6,9,14,20,24))*Sensitivity!$H$10,IF($G$41="Normal Monster Damage %",(CHOOSE(MATCH($F$41,{"Rare","Epic","Unique","Legendary","Mystic","Mystic (Prime)"},0),4,6,9,14,20,24))*Sensitivity!$H$11,IF($G$41="Status Effect Damage %",0,IF($G$41="Damage %",(CHOOSE(MATCH($F$41,{"Rare","Epic","Unique","Legendary","Mystic","Mystic (Prime)"},0),4,6,9,14,20,24))*Sensitivity!$H$8,IF($G$41="Defense Penetration %",(CHOOSE(MATCH($F$41,{"Rare","Epic","Unique","Legendary","Mystic","Mystic (Prime)"},0),2,3,4.5,7,10,12))*Sensitivity!$H$18,0)))))))))))),0)</f>
        <v/>
      </c>
      <c r="I41" s="7" t="inlineStr">
        <is>
          <t>Rare</t>
        </is>
      </c>
      <c r="J41" s="7" t="inlineStr">
        <is>
          <t>(none)</t>
        </is>
      </c>
      <c r="K41">
        <f>IF($N$41&gt;=5,IF($J$41="Main Stat %",(CHOOSE(MATCH($I$41,{"Rare","Epic","Unique","Legendary","Mystic","Mystic (Prime)"},0),2,3,4.5,7,10,12))*Sensitivity!$H$6,IF($J$41="Damage Taken Decrease %",0,IF($J$41="Defense %",0,IF($J$41="Accuracy",0,IF($J$41="Critical Rate %",(CHOOSE(MATCH($I$41,{"Rare","Epic","Unique","Legendary","Mystic","Mystic (Prime)"},0),2,3,4.5,7,10,12))*Sensitivity!$H$15,IF($J$41="Min Damage Multiplier %",(CHOOSE(MATCH($I$41,{"Rare","Epic","Unique","Legendary","Mystic","Mystic (Prime)"},0),2,3,4.5,7,10,12))*Sensitivity!$H$13,IF($J$41="Max Damage Multiplier %",(CHOOSE(MATCH($I$41,{"Rare","Epic","Unique","Legendary","Mystic","Mystic (Prime)"},0),2,3,4.5,7,10,12))*Sensitivity!$H$14,IF($J$41="Boss Monster Damage %",(CHOOSE(MATCH($I$41,{"Rare","Epic","Unique","Legendary","Mystic","Mystic (Prime)"},0),4,6,9,14,20,24))*Sensitivity!$H$10,IF($J$41="Normal Monster Damage %",(CHOOSE(MATCH($I$41,{"Rare","Epic","Unique","Legendary","Mystic","Mystic (Prime)"},0),4,6,9,14,20,24))*Sensitivity!$H$11,IF($J$41="Status Effect Damage %",0,IF($J$41="Damage %",(CHOOSE(MATCH($I$41,{"Rare","Epic","Unique","Legendary","Mystic","Mystic (Prime)"},0),4,6,9,14,20,24))*Sensitivity!$H$8,IF($J$41="Defense Penetration %",(CHOOSE(MATCH($I$41,{"Rare","Epic","Unique","Legendary","Mystic","Mystic (Prime)"},0),2,3,4.5,7,10,12))*Sensitivity!$H$18,0)))))))))))),0)</f>
        <v/>
      </c>
      <c r="L41">
        <f>Summary!$B$3*((IF(D41="(none)",1,1+(E41+IF(G41=D41,H41,0)+IF(J41=D41,K41,0))/Summary!$B$3))*(IF(OR(G41="(none)",G41=D41),1,1+(H41+IF(D41=G41,E41,0)+IF(J41=G41,K41,0))/Summary!$B$3))*(IF(OR(J41="",J41="(none)",J41=D41,J41=G41),1,1+(K41+IF(D41=J41,E41,0)+IF(G41=J41,H41,0))/Summary!$B$3))-1)</f>
        <v/>
      </c>
      <c r="M41">
        <f>OR(Inputs!$B$47="Secret Map",Inputs!$B$48="Secret Map",Inputs!$B$49="Secret Map",Inputs!$B$50="Secret Map")</f>
        <v/>
      </c>
      <c r="N41">
        <f>IF(B41="Not Unlocked",0,B41)</f>
        <v/>
      </c>
    </row>
    <row r="42">
      <c r="A42" s="6" t="inlineStr">
        <is>
          <t>Ring of Cycles</t>
        </is>
      </c>
      <c r="B42" s="7" t="inlineStr">
        <is>
          <t>Not Unlocked</t>
        </is>
      </c>
      <c r="C42" s="7" t="inlineStr">
        <is>
          <t>Rare</t>
        </is>
      </c>
      <c r="D42" s="7" t="inlineStr">
        <is>
          <t>(none)</t>
        </is>
      </c>
      <c r="E42">
        <f>IF($N$42&gt;=1,IF($D$42="Main Stat %",(CHOOSE(MATCH($C$42,{"Rare","Epic","Unique","Legendary","Mystic","Mystic (Prime)"},0),2,3,4.5,7,10,12))*Sensitivity!$H$6,IF($D$42="Damage Taken Decrease %",0,IF($D$42="Defense %",0,IF($D$42="Accuracy",0,IF($D$42="Critical Rate %",(CHOOSE(MATCH($C$42,{"Rare","Epic","Unique","Legendary","Mystic","Mystic (Prime)"},0),2,3,4.5,7,10,12))*Sensitivity!$H$15,IF($D$42="Min Damage Multiplier %",(CHOOSE(MATCH($C$42,{"Rare","Epic","Unique","Legendary","Mystic","Mystic (Prime)"},0),2,3,4.5,7,10,12))*Sensitivity!$H$13,IF($D$42="Max Damage Multiplier %",(CHOOSE(MATCH($C$42,{"Rare","Epic","Unique","Legendary","Mystic","Mystic (Prime)"},0),2,3,4.5,7,10,12))*Sensitivity!$H$14,IF($D$42="Boss Monster Damage %",(CHOOSE(MATCH($C$42,{"Rare","Epic","Unique","Legendary","Mystic","Mystic (Prime)"},0),4,6,9,14,20,24))*Sensitivity!$H$10,IF($D$42="Normal Monster Damage %",(CHOOSE(MATCH($C$42,{"Rare","Epic","Unique","Legendary","Mystic","Mystic (Prime)"},0),4,6,9,14,20,24))*Sensitivity!$H$11,IF($D$42="Status Effect Damage %",0,IF($D$42="Damage %",(CHOOSE(MATCH($C$42,{"Rare","Epic","Unique","Legendary","Mystic","Mystic (Prime)"},0),4,6,9,14,20,24))*Sensitivity!$H$8,IF($D$42="Defense Penetration %",(CHOOSE(MATCH($C$42,{"Rare","Epic","Unique","Legendary","Mystic","Mystic (Prime)"},0),2,3,4.5,7,10,12))*Sensitivity!$H$18,0)))))))))))),0)</f>
        <v/>
      </c>
      <c r="F42" s="7" t="inlineStr">
        <is>
          <t>Rare</t>
        </is>
      </c>
      <c r="G42" s="7" t="inlineStr">
        <is>
          <t>(none)</t>
        </is>
      </c>
      <c r="H42">
        <f>IF($N$42&gt;=2,IF($G$42="Main Stat %",(CHOOSE(MATCH($F$42,{"Rare","Epic","Unique","Legendary","Mystic","Mystic (Prime)"},0),2,3,4.5,7,10,12))*Sensitivity!$H$6,IF($G$42="Damage Taken Decrease %",0,IF($G$42="Defense %",0,IF($G$42="Accuracy",0,IF($G$42="Critical Rate %",(CHOOSE(MATCH($F$42,{"Rare","Epic","Unique","Legendary","Mystic","Mystic (Prime)"},0),2,3,4.5,7,10,12))*Sensitivity!$H$15,IF($G$42="Min Damage Multiplier %",(CHOOSE(MATCH($F$42,{"Rare","Epic","Unique","Legendary","Mystic","Mystic (Prime)"},0),2,3,4.5,7,10,12))*Sensitivity!$H$13,IF($G$42="Max Damage Multiplier %",(CHOOSE(MATCH($F$42,{"Rare","Epic","Unique","Legendary","Mystic","Mystic (Prime)"},0),2,3,4.5,7,10,12))*Sensitivity!$H$14,IF($G$42="Boss Monster Damage %",(CHOOSE(MATCH($F$42,{"Rare","Epic","Unique","Legendary","Mystic","Mystic (Prime)"},0),4,6,9,14,20,24))*Sensitivity!$H$10,IF($G$42="Normal Monster Damage %",(CHOOSE(MATCH($F$42,{"Rare","Epic","Unique","Legendary","Mystic","Mystic (Prime)"},0),4,6,9,14,20,24))*Sensitivity!$H$11,IF($G$42="Status Effect Damage %",0,IF($G$42="Damage %",(CHOOSE(MATCH($F$42,{"Rare","Epic","Unique","Legendary","Mystic","Mystic (Prime)"},0),4,6,9,14,20,24))*Sensitivity!$H$8,IF($G$42="Defense Penetration %",(CHOOSE(MATCH($F$42,{"Rare","Epic","Unique","Legendary","Mystic","Mystic (Prime)"},0),2,3,4.5,7,10,12))*Sensitivity!$H$18,0)))))))))))),0)</f>
        <v/>
      </c>
      <c r="I42" s="7" t="inlineStr">
        <is>
          <t>Rare</t>
        </is>
      </c>
      <c r="J42" s="7" t="inlineStr">
        <is>
          <t>(none)</t>
        </is>
      </c>
      <c r="K42">
        <f>IF($N$42&gt;=5,IF($J$42="Main Stat %",(CHOOSE(MATCH($I$42,{"Rare","Epic","Unique","Legendary","Mystic","Mystic (Prime)"},0),2,3,4.5,7,10,12))*Sensitivity!$H$6,IF($J$42="Damage Taken Decrease %",0,IF($J$42="Defense %",0,IF($J$42="Accuracy",0,IF($J$42="Critical Rate %",(CHOOSE(MATCH($I$42,{"Rare","Epic","Unique","Legendary","Mystic","Mystic (Prime)"},0),2,3,4.5,7,10,12))*Sensitivity!$H$15,IF($J$42="Min Damage Multiplier %",(CHOOSE(MATCH($I$42,{"Rare","Epic","Unique","Legendary","Mystic","Mystic (Prime)"},0),2,3,4.5,7,10,12))*Sensitivity!$H$13,IF($J$42="Max Damage Multiplier %",(CHOOSE(MATCH($I$42,{"Rare","Epic","Unique","Legendary","Mystic","Mystic (Prime)"},0),2,3,4.5,7,10,12))*Sensitivity!$H$14,IF($J$42="Boss Monster Damage %",(CHOOSE(MATCH($I$42,{"Rare","Epic","Unique","Legendary","Mystic","Mystic (Prime)"},0),4,6,9,14,20,24))*Sensitivity!$H$10,IF($J$42="Normal Monster Damage %",(CHOOSE(MATCH($I$42,{"Rare","Epic","Unique","Legendary","Mystic","Mystic (Prime)"},0),4,6,9,14,20,24))*Sensitivity!$H$11,IF($J$42="Status Effect Damage %",0,IF($J$42="Damage %",(CHOOSE(MATCH($I$42,{"Rare","Epic","Unique","Legendary","Mystic","Mystic (Prime)"},0),4,6,9,14,20,24))*Sensitivity!$H$8,IF($J$42="Defense Penetration %",(CHOOSE(MATCH($I$42,{"Rare","Epic","Unique","Legendary","Mystic","Mystic (Prime)"},0),2,3,4.5,7,10,12))*Sensitivity!$H$18,0)))))))))))),0)</f>
        <v/>
      </c>
      <c r="L42">
        <f>Summary!$B$3*((IF(D42="(none)",1,1+(E42+IF(G42=D42,H42,0)+IF(J42=D42,K42,0))/Summary!$B$3))*(IF(OR(G42="(none)",G42=D42),1,1+(H42+IF(D42=G42,E42,0)+IF(J42=G42,K42,0))/Summary!$B$3))*(IF(OR(J42="",J42="(none)",J42=D42,J42=G42),1,1+(K42+IF(D42=J42,E42,0)+IF(G42=J42,H42,0))/Summary!$B$3))-1)</f>
        <v/>
      </c>
      <c r="M42">
        <f>OR(Inputs!$B$47="Ring of Cycles",Inputs!$B$48="Ring of Cycles",Inputs!$B$49="Ring of Cycles",Inputs!$B$50="Ring of Cycles")</f>
        <v/>
      </c>
      <c r="N42">
        <f>IF(B42="Not Unlocked",0,B42)</f>
        <v/>
      </c>
    </row>
  </sheetData>
  <dataValidations count="3">
    <dataValidation sqref="B5 B6 B7 B8 B10 B11 B12 B13 B14 B15 B16 B17 B18 B20 B21 B22 B23 B24 B25 B26 B27 B28 B29 B30 B31 B32 B33 B34 B35 B36 B37 B38 B39 B40 B41 B42" showDropDown="0" showInputMessage="0" showErrorMessage="0" allowBlank="0" type="list">
      <formula1>"Not Unlocked,0,1,2,3,4,5"</formula1>
    </dataValidation>
    <dataValidation sqref="C5 C6 C7 C8 C10 C11 C12 C13 C14 C15 C16 C17 C18 C20 C21 C22 C23 C24 C25 C26 C27 C28 C29 C30 C31 C32 C33 C34 C35 C36 C37 C38 C39 C40 C41 C42 F5 F6 F7 F8 F10 F11 F12 F13 F14 F15 F16 F17 F18 F20 F21 F22 F23 F24 F25 F26 F27 F28 F29 F30 F31 F32 F33 F34 F35 F36 F37 F38 F39 F40 F41 F42 I20 I21 I22 I23 I24 I25 I26 I27 I28 I29 I30 I31 I32 I33 I34 I35 I36 I37 I38 I39 I40 I41 I42" showDropDown="0" showInputMessage="0" showErrorMessage="0" allowBlank="0" type="list">
      <formula1>"Rare,Epic,Unique,Legendary,Mystic,Mystic (Prime)"</formula1>
    </dataValidation>
    <dataValidation sqref="D5 D6 D7 D8 D10 D11 D12 D13 D14 D15 D16 D17 D18 D20 D21 D22 D23 D24 D25 D26 D27 D28 D29 D30 D31 D32 D33 D34 D35 D36 D37 D38 D39 D40 D41 D42 G5 G6 G7 G8 G10 G11 G12 G13 G14 G15 G16 G17 G18 G20 G21 G22 G23 G24 G25 G26 G27 G28 G29 G30 G31 G32 G33 G34 G35 G36 G37 G38 G39 G40 G41 G42 J20 J21 J22 J23 J24 J25 J26 J27 J28 J29 J30 J31 J32 J33 J34 J35 J36 J37 J38 J39 J40 J41 J42" showDropDown="0" showInputMessage="0" showErrorMessage="0" allowBlank="0" type="list">
      <formula1>"(none),Main Stat %,Damage Taken Decrease %,Defense %,Accuracy,Critical Rate %,Min Damage Multiplier %,Max Damage Multiplier %,Boss Monster Damage %,Normal Monster Damage %,Status Effect Damage %,Damage %,Defense Penetration %"</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35"/>
  <sheetViews>
    <sheetView workbookViewId="0">
      <pane ySplit="5" topLeftCell="A6" activePane="bottomLeft" state="frozen"/>
      <selection pane="bottomLeft" activeCell="A1" sqref="A1"/>
    </sheetView>
  </sheetViews>
  <sheetFormatPr baseColWidth="8" defaultRowHeight="15"/>
  <cols>
    <col width="12" customWidth="1" min="1" max="1"/>
    <col width="15" customWidth="1" min="2" max="2"/>
    <col width="13" customWidth="1" min="3" max="3"/>
    <col width="18" customWidth="1" min="4" max="4"/>
    <col width="26" customWidth="1" min="5" max="5"/>
    <col width="11" customWidth="1" min="6" max="6"/>
    <col width="26" customWidth="1" min="7" max="7"/>
    <col width="11" customWidth="1" min="8" max="8"/>
    <col width="26" customWidth="1" min="9" max="9"/>
    <col width="11" customWidth="1" min="10" max="10"/>
  </cols>
  <sheetData>
    <row r="1">
      <c r="A1" s="4" t="inlineStr">
        <is>
          <t>Potential Cubes — Current Gear State</t>
        </is>
      </c>
    </row>
    <row r="2">
      <c r="A2" t="inlineStr">
        <is>
          <t>Fill in your actual current gear for every slot/potential-type you want EV results for, then run `python3 tools/potential_cubes_ev.py` — it reads this table plus the live CubeData sheet and computes exact 'expected value of the best roll kept after N rerolls' for all 30 rows (printed + written to a CSV), via a full line1 x line2 x line3 enumeration per rarity/slot rather than a single-roll average.</t>
        </is>
      </c>
    </row>
    <row r="3">
      <c r="A3" t="inlineStr">
        <is>
          <t>Leave a line's Stat as "(none)" if that line isn't rolled yet / doesn't matter.</t>
        </is>
      </c>
    </row>
    <row r="5">
      <c r="A5" s="5" t="inlineStr">
        <is>
          <t>Slot</t>
        </is>
      </c>
      <c r="B5" s="5" t="inlineStr">
        <is>
          <t>Potential Type</t>
        </is>
      </c>
      <c r="C5" s="5" t="inlineStr">
        <is>
          <t>Current Rarity</t>
        </is>
      </c>
      <c r="D5" s="5" t="inlineStr">
        <is>
          <t>Current Pity Count</t>
        </is>
      </c>
      <c r="E5" s="5" t="inlineStr">
        <is>
          <t>Line 1 Stat</t>
        </is>
      </c>
      <c r="F5" s="5" t="inlineStr">
        <is>
          <t>Line 1 Value</t>
        </is>
      </c>
      <c r="G5" s="5" t="inlineStr">
        <is>
          <t>Line 2 Stat</t>
        </is>
      </c>
      <c r="H5" s="5" t="inlineStr">
        <is>
          <t>Line 2 Value</t>
        </is>
      </c>
      <c r="I5" s="5" t="inlineStr">
        <is>
          <t>Line 3 Stat</t>
        </is>
      </c>
      <c r="J5" s="5" t="inlineStr">
        <is>
          <t>Line 3 Value</t>
        </is>
      </c>
    </row>
    <row r="6">
      <c r="A6" t="inlineStr">
        <is>
          <t>head</t>
        </is>
      </c>
      <c r="B6" t="inlineStr">
        <is>
          <t>Potential</t>
        </is>
      </c>
      <c r="C6" t="inlineStr">
        <is>
          <t>normal</t>
        </is>
      </c>
      <c r="D6" t="n">
        <v>0</v>
      </c>
      <c r="E6" t="inlineStr">
        <is>
          <t>(none)</t>
        </is>
      </c>
      <c r="F6" t="n">
        <v>0</v>
      </c>
      <c r="G6" t="inlineStr">
        <is>
          <t>(none)</t>
        </is>
      </c>
      <c r="H6" t="n">
        <v>0</v>
      </c>
      <c r="I6" t="inlineStr">
        <is>
          <t>(none)</t>
        </is>
      </c>
      <c r="J6" t="n">
        <v>0</v>
      </c>
    </row>
    <row r="7">
      <c r="A7" t="inlineStr">
        <is>
          <t>head</t>
        </is>
      </c>
      <c r="B7" t="inlineStr">
        <is>
          <t>Bonus Potential</t>
        </is>
      </c>
      <c r="C7" t="inlineStr">
        <is>
          <t>normal</t>
        </is>
      </c>
      <c r="D7" t="n">
        <v>0</v>
      </c>
      <c r="E7" t="inlineStr">
        <is>
          <t>(none)</t>
        </is>
      </c>
      <c r="F7" t="n">
        <v>0</v>
      </c>
      <c r="G7" t="inlineStr">
        <is>
          <t>(none)</t>
        </is>
      </c>
      <c r="H7" t="n">
        <v>0</v>
      </c>
      <c r="I7" t="inlineStr">
        <is>
          <t>(none)</t>
        </is>
      </c>
      <c r="J7" t="n">
        <v>0</v>
      </c>
    </row>
    <row r="8">
      <c r="A8" t="inlineStr">
        <is>
          <t>cape</t>
        </is>
      </c>
      <c r="B8" t="inlineStr">
        <is>
          <t>Potential</t>
        </is>
      </c>
      <c r="C8" t="inlineStr">
        <is>
          <t>normal</t>
        </is>
      </c>
      <c r="D8" t="n">
        <v>0</v>
      </c>
      <c r="E8" t="inlineStr">
        <is>
          <t>(none)</t>
        </is>
      </c>
      <c r="F8" t="n">
        <v>0</v>
      </c>
      <c r="G8" t="inlineStr">
        <is>
          <t>(none)</t>
        </is>
      </c>
      <c r="H8" t="n">
        <v>0</v>
      </c>
      <c r="I8" t="inlineStr">
        <is>
          <t>(none)</t>
        </is>
      </c>
      <c r="J8" t="n">
        <v>0</v>
      </c>
    </row>
    <row r="9">
      <c r="A9" t="inlineStr">
        <is>
          <t>cape</t>
        </is>
      </c>
      <c r="B9" t="inlineStr">
        <is>
          <t>Bonus Potential</t>
        </is>
      </c>
      <c r="C9" t="inlineStr">
        <is>
          <t>normal</t>
        </is>
      </c>
      <c r="D9" t="n">
        <v>0</v>
      </c>
      <c r="E9" t="inlineStr">
        <is>
          <t>(none)</t>
        </is>
      </c>
      <c r="F9" t="n">
        <v>0</v>
      </c>
      <c r="G9" t="inlineStr">
        <is>
          <t>(none)</t>
        </is>
      </c>
      <c r="H9" t="n">
        <v>0</v>
      </c>
      <c r="I9" t="inlineStr">
        <is>
          <t>(none)</t>
        </is>
      </c>
      <c r="J9" t="n">
        <v>0</v>
      </c>
    </row>
    <row r="10">
      <c r="A10" t="inlineStr">
        <is>
          <t>chest</t>
        </is>
      </c>
      <c r="B10" t="inlineStr">
        <is>
          <t>Potential</t>
        </is>
      </c>
      <c r="C10" t="inlineStr">
        <is>
          <t>normal</t>
        </is>
      </c>
      <c r="D10" t="n">
        <v>0</v>
      </c>
      <c r="E10" t="inlineStr">
        <is>
          <t>(none)</t>
        </is>
      </c>
      <c r="F10" t="n">
        <v>0</v>
      </c>
      <c r="G10" t="inlineStr">
        <is>
          <t>(none)</t>
        </is>
      </c>
      <c r="H10" t="n">
        <v>0</v>
      </c>
      <c r="I10" t="inlineStr">
        <is>
          <t>(none)</t>
        </is>
      </c>
      <c r="J10" t="n">
        <v>0</v>
      </c>
    </row>
    <row r="11">
      <c r="A11" t="inlineStr">
        <is>
          <t>chest</t>
        </is>
      </c>
      <c r="B11" t="inlineStr">
        <is>
          <t>Bonus Potential</t>
        </is>
      </c>
      <c r="C11" t="inlineStr">
        <is>
          <t>normal</t>
        </is>
      </c>
      <c r="D11" t="n">
        <v>0</v>
      </c>
      <c r="E11" t="inlineStr">
        <is>
          <t>(none)</t>
        </is>
      </c>
      <c r="F11" t="n">
        <v>0</v>
      </c>
      <c r="G11" t="inlineStr">
        <is>
          <t>(none)</t>
        </is>
      </c>
      <c r="H11" t="n">
        <v>0</v>
      </c>
      <c r="I11" t="inlineStr">
        <is>
          <t>(none)</t>
        </is>
      </c>
      <c r="J11" t="n">
        <v>0</v>
      </c>
    </row>
    <row r="12">
      <c r="A12" t="inlineStr">
        <is>
          <t>shoulders</t>
        </is>
      </c>
      <c r="B12" t="inlineStr">
        <is>
          <t>Potential</t>
        </is>
      </c>
      <c r="C12" t="inlineStr">
        <is>
          <t>normal</t>
        </is>
      </c>
      <c r="D12" t="n">
        <v>0</v>
      </c>
      <c r="E12" t="inlineStr">
        <is>
          <t>(none)</t>
        </is>
      </c>
      <c r="F12" t="n">
        <v>0</v>
      </c>
      <c r="G12" t="inlineStr">
        <is>
          <t>(none)</t>
        </is>
      </c>
      <c r="H12" t="n">
        <v>0</v>
      </c>
      <c r="I12" t="inlineStr">
        <is>
          <t>(none)</t>
        </is>
      </c>
      <c r="J12" t="n">
        <v>0</v>
      </c>
    </row>
    <row r="13">
      <c r="A13" t="inlineStr">
        <is>
          <t>shoulders</t>
        </is>
      </c>
      <c r="B13" t="inlineStr">
        <is>
          <t>Bonus Potential</t>
        </is>
      </c>
      <c r="C13" t="inlineStr">
        <is>
          <t>normal</t>
        </is>
      </c>
      <c r="D13" t="n">
        <v>0</v>
      </c>
      <c r="E13" t="inlineStr">
        <is>
          <t>(none)</t>
        </is>
      </c>
      <c r="F13" t="n">
        <v>0</v>
      </c>
      <c r="G13" t="inlineStr">
        <is>
          <t>(none)</t>
        </is>
      </c>
      <c r="H13" t="n">
        <v>0</v>
      </c>
      <c r="I13" t="inlineStr">
        <is>
          <t>(none)</t>
        </is>
      </c>
      <c r="J13" t="n">
        <v>0</v>
      </c>
    </row>
    <row r="14">
      <c r="A14" t="inlineStr">
        <is>
          <t>legs</t>
        </is>
      </c>
      <c r="B14" t="inlineStr">
        <is>
          <t>Potential</t>
        </is>
      </c>
      <c r="C14" t="inlineStr">
        <is>
          <t>normal</t>
        </is>
      </c>
      <c r="D14" t="n">
        <v>0</v>
      </c>
      <c r="E14" t="inlineStr">
        <is>
          <t>(none)</t>
        </is>
      </c>
      <c r="F14" t="n">
        <v>0</v>
      </c>
      <c r="G14" t="inlineStr">
        <is>
          <t>(none)</t>
        </is>
      </c>
      <c r="H14" t="n">
        <v>0</v>
      </c>
      <c r="I14" t="inlineStr">
        <is>
          <t>(none)</t>
        </is>
      </c>
      <c r="J14" t="n">
        <v>0</v>
      </c>
    </row>
    <row r="15">
      <c r="A15" t="inlineStr">
        <is>
          <t>legs</t>
        </is>
      </c>
      <c r="B15" t="inlineStr">
        <is>
          <t>Bonus Potential</t>
        </is>
      </c>
      <c r="C15" t="inlineStr">
        <is>
          <t>normal</t>
        </is>
      </c>
      <c r="D15" t="n">
        <v>0</v>
      </c>
      <c r="E15" t="inlineStr">
        <is>
          <t>(none)</t>
        </is>
      </c>
      <c r="F15" t="n">
        <v>0</v>
      </c>
      <c r="G15" t="inlineStr">
        <is>
          <t>(none)</t>
        </is>
      </c>
      <c r="H15" t="n">
        <v>0</v>
      </c>
      <c r="I15" t="inlineStr">
        <is>
          <t>(none)</t>
        </is>
      </c>
      <c r="J15" t="n">
        <v>0</v>
      </c>
    </row>
    <row r="16">
      <c r="A16" t="inlineStr">
        <is>
          <t>belt</t>
        </is>
      </c>
      <c r="B16" t="inlineStr">
        <is>
          <t>Potential</t>
        </is>
      </c>
      <c r="C16" t="inlineStr">
        <is>
          <t>normal</t>
        </is>
      </c>
      <c r="D16" t="n">
        <v>0</v>
      </c>
      <c r="E16" t="inlineStr">
        <is>
          <t>(none)</t>
        </is>
      </c>
      <c r="F16" t="n">
        <v>0</v>
      </c>
      <c r="G16" t="inlineStr">
        <is>
          <t>(none)</t>
        </is>
      </c>
      <c r="H16" t="n">
        <v>0</v>
      </c>
      <c r="I16" t="inlineStr">
        <is>
          <t>(none)</t>
        </is>
      </c>
      <c r="J16" t="n">
        <v>0</v>
      </c>
    </row>
    <row r="17">
      <c r="A17" t="inlineStr">
        <is>
          <t>belt</t>
        </is>
      </c>
      <c r="B17" t="inlineStr">
        <is>
          <t>Bonus Potential</t>
        </is>
      </c>
      <c r="C17" t="inlineStr">
        <is>
          <t>normal</t>
        </is>
      </c>
      <c r="D17" t="n">
        <v>0</v>
      </c>
      <c r="E17" t="inlineStr">
        <is>
          <t>(none)</t>
        </is>
      </c>
      <c r="F17" t="n">
        <v>0</v>
      </c>
      <c r="G17" t="inlineStr">
        <is>
          <t>(none)</t>
        </is>
      </c>
      <c r="H17" t="n">
        <v>0</v>
      </c>
      <c r="I17" t="inlineStr">
        <is>
          <t>(none)</t>
        </is>
      </c>
      <c r="J17" t="n">
        <v>0</v>
      </c>
    </row>
    <row r="18">
      <c r="A18" t="inlineStr">
        <is>
          <t>gloves</t>
        </is>
      </c>
      <c r="B18" t="inlineStr">
        <is>
          <t>Potential</t>
        </is>
      </c>
      <c r="C18" t="inlineStr">
        <is>
          <t>normal</t>
        </is>
      </c>
      <c r="D18" t="n">
        <v>0</v>
      </c>
      <c r="E18" t="inlineStr">
        <is>
          <t>(none)</t>
        </is>
      </c>
      <c r="F18" t="n">
        <v>0</v>
      </c>
      <c r="G18" t="inlineStr">
        <is>
          <t>(none)</t>
        </is>
      </c>
      <c r="H18" t="n">
        <v>0</v>
      </c>
      <c r="I18" t="inlineStr">
        <is>
          <t>(none)</t>
        </is>
      </c>
      <c r="J18" t="n">
        <v>0</v>
      </c>
    </row>
    <row r="19">
      <c r="A19" t="inlineStr">
        <is>
          <t>gloves</t>
        </is>
      </c>
      <c r="B19" t="inlineStr">
        <is>
          <t>Bonus Potential</t>
        </is>
      </c>
      <c r="C19" t="inlineStr">
        <is>
          <t>normal</t>
        </is>
      </c>
      <c r="D19" t="n">
        <v>0</v>
      </c>
      <c r="E19" t="inlineStr">
        <is>
          <t>(none)</t>
        </is>
      </c>
      <c r="F19" t="n">
        <v>0</v>
      </c>
      <c r="G19" t="inlineStr">
        <is>
          <t>(none)</t>
        </is>
      </c>
      <c r="H19" t="n">
        <v>0</v>
      </c>
      <c r="I19" t="inlineStr">
        <is>
          <t>(none)</t>
        </is>
      </c>
      <c r="J19" t="n">
        <v>0</v>
      </c>
    </row>
    <row r="20">
      <c r="A20" t="inlineStr">
        <is>
          <t>boots</t>
        </is>
      </c>
      <c r="B20" t="inlineStr">
        <is>
          <t>Potential</t>
        </is>
      </c>
      <c r="C20" t="inlineStr">
        <is>
          <t>normal</t>
        </is>
      </c>
      <c r="D20" t="n">
        <v>0</v>
      </c>
      <c r="E20" t="inlineStr">
        <is>
          <t>(none)</t>
        </is>
      </c>
      <c r="F20" t="n">
        <v>0</v>
      </c>
      <c r="G20" t="inlineStr">
        <is>
          <t>(none)</t>
        </is>
      </c>
      <c r="H20" t="n">
        <v>0</v>
      </c>
      <c r="I20" t="inlineStr">
        <is>
          <t>(none)</t>
        </is>
      </c>
      <c r="J20" t="n">
        <v>0</v>
      </c>
    </row>
    <row r="21">
      <c r="A21" t="inlineStr">
        <is>
          <t>boots</t>
        </is>
      </c>
      <c r="B21" t="inlineStr">
        <is>
          <t>Bonus Potential</t>
        </is>
      </c>
      <c r="C21" t="inlineStr">
        <is>
          <t>normal</t>
        </is>
      </c>
      <c r="D21" t="n">
        <v>0</v>
      </c>
      <c r="E21" t="inlineStr">
        <is>
          <t>(none)</t>
        </is>
      </c>
      <c r="F21" t="n">
        <v>0</v>
      </c>
      <c r="G21" t="inlineStr">
        <is>
          <t>(none)</t>
        </is>
      </c>
      <c r="H21" t="n">
        <v>0</v>
      </c>
      <c r="I21" t="inlineStr">
        <is>
          <t>(none)</t>
        </is>
      </c>
      <c r="J21" t="n">
        <v>0</v>
      </c>
    </row>
    <row r="22">
      <c r="A22" t="inlineStr">
        <is>
          <t>ring</t>
        </is>
      </c>
      <c r="B22" t="inlineStr">
        <is>
          <t>Potential</t>
        </is>
      </c>
      <c r="C22" t="inlineStr">
        <is>
          <t>normal</t>
        </is>
      </c>
      <c r="D22" t="n">
        <v>0</v>
      </c>
      <c r="E22" t="inlineStr">
        <is>
          <t>(none)</t>
        </is>
      </c>
      <c r="F22" t="n">
        <v>0</v>
      </c>
      <c r="G22" t="inlineStr">
        <is>
          <t>(none)</t>
        </is>
      </c>
      <c r="H22" t="n">
        <v>0</v>
      </c>
      <c r="I22" t="inlineStr">
        <is>
          <t>(none)</t>
        </is>
      </c>
      <c r="J22" t="n">
        <v>0</v>
      </c>
    </row>
    <row r="23">
      <c r="A23" t="inlineStr">
        <is>
          <t>ring</t>
        </is>
      </c>
      <c r="B23" t="inlineStr">
        <is>
          <t>Bonus Potential</t>
        </is>
      </c>
      <c r="C23" t="inlineStr">
        <is>
          <t>normal</t>
        </is>
      </c>
      <c r="D23" t="n">
        <v>0</v>
      </c>
      <c r="E23" t="inlineStr">
        <is>
          <t>(none)</t>
        </is>
      </c>
      <c r="F23" t="n">
        <v>0</v>
      </c>
      <c r="G23" t="inlineStr">
        <is>
          <t>(none)</t>
        </is>
      </c>
      <c r="H23" t="n">
        <v>0</v>
      </c>
      <c r="I23" t="inlineStr">
        <is>
          <t>(none)</t>
        </is>
      </c>
      <c r="J23" t="n">
        <v>0</v>
      </c>
    </row>
    <row r="24">
      <c r="A24" t="inlineStr">
        <is>
          <t>neck</t>
        </is>
      </c>
      <c r="B24" t="inlineStr">
        <is>
          <t>Potential</t>
        </is>
      </c>
      <c r="C24" t="inlineStr">
        <is>
          <t>normal</t>
        </is>
      </c>
      <c r="D24" t="n">
        <v>0</v>
      </c>
      <c r="E24" t="inlineStr">
        <is>
          <t>(none)</t>
        </is>
      </c>
      <c r="F24" t="n">
        <v>0</v>
      </c>
      <c r="G24" t="inlineStr">
        <is>
          <t>(none)</t>
        </is>
      </c>
      <c r="H24" t="n">
        <v>0</v>
      </c>
      <c r="I24" t="inlineStr">
        <is>
          <t>(none)</t>
        </is>
      </c>
      <c r="J24" t="n">
        <v>0</v>
      </c>
    </row>
    <row r="25">
      <c r="A25" t="inlineStr">
        <is>
          <t>neck</t>
        </is>
      </c>
      <c r="B25" t="inlineStr">
        <is>
          <t>Bonus Potential</t>
        </is>
      </c>
      <c r="C25" t="inlineStr">
        <is>
          <t>normal</t>
        </is>
      </c>
      <c r="D25" t="n">
        <v>0</v>
      </c>
      <c r="E25" t="inlineStr">
        <is>
          <t>(none)</t>
        </is>
      </c>
      <c r="F25" t="n">
        <v>0</v>
      </c>
      <c r="G25" t="inlineStr">
        <is>
          <t>(none)</t>
        </is>
      </c>
      <c r="H25" t="n">
        <v>0</v>
      </c>
      <c r="I25" t="inlineStr">
        <is>
          <t>(none)</t>
        </is>
      </c>
      <c r="J25" t="n">
        <v>0</v>
      </c>
    </row>
    <row r="26">
      <c r="A26" t="inlineStr">
        <is>
          <t>eye-accessory</t>
        </is>
      </c>
      <c r="B26" t="inlineStr">
        <is>
          <t>Potential</t>
        </is>
      </c>
      <c r="C26" t="inlineStr">
        <is>
          <t>normal</t>
        </is>
      </c>
      <c r="D26" t="n">
        <v>0</v>
      </c>
      <c r="E26" t="inlineStr">
        <is>
          <t>(none)</t>
        </is>
      </c>
      <c r="F26" t="n">
        <v>0</v>
      </c>
      <c r="G26" t="inlineStr">
        <is>
          <t>(none)</t>
        </is>
      </c>
      <c r="H26" t="n">
        <v>0</v>
      </c>
      <c r="I26" t="inlineStr">
        <is>
          <t>(none)</t>
        </is>
      </c>
      <c r="J26" t="n">
        <v>0</v>
      </c>
    </row>
    <row r="27">
      <c r="A27" t="inlineStr">
        <is>
          <t>eye-accessory</t>
        </is>
      </c>
      <c r="B27" t="inlineStr">
        <is>
          <t>Bonus Potential</t>
        </is>
      </c>
      <c r="C27" t="inlineStr">
        <is>
          <t>normal</t>
        </is>
      </c>
      <c r="D27" t="n">
        <v>0</v>
      </c>
      <c r="E27" t="inlineStr">
        <is>
          <t>(none)</t>
        </is>
      </c>
      <c r="F27" t="n">
        <v>0</v>
      </c>
      <c r="G27" t="inlineStr">
        <is>
          <t>(none)</t>
        </is>
      </c>
      <c r="H27" t="n">
        <v>0</v>
      </c>
      <c r="I27" t="inlineStr">
        <is>
          <t>(none)</t>
        </is>
      </c>
      <c r="J27" t="n">
        <v>0</v>
      </c>
    </row>
    <row r="28">
      <c r="A28" t="inlineStr">
        <is>
          <t>ring2</t>
        </is>
      </c>
      <c r="B28" t="inlineStr">
        <is>
          <t>Potential</t>
        </is>
      </c>
      <c r="C28" t="inlineStr">
        <is>
          <t>normal</t>
        </is>
      </c>
      <c r="D28" t="n">
        <v>0</v>
      </c>
      <c r="E28" t="inlineStr">
        <is>
          <t>(none)</t>
        </is>
      </c>
      <c r="F28" t="n">
        <v>0</v>
      </c>
      <c r="G28" t="inlineStr">
        <is>
          <t>(none)</t>
        </is>
      </c>
      <c r="H28" t="n">
        <v>0</v>
      </c>
      <c r="I28" t="inlineStr">
        <is>
          <t>(none)</t>
        </is>
      </c>
      <c r="J28" t="n">
        <v>0</v>
      </c>
    </row>
    <row r="29">
      <c r="A29" t="inlineStr">
        <is>
          <t>ring2</t>
        </is>
      </c>
      <c r="B29" t="inlineStr">
        <is>
          <t>Bonus Potential</t>
        </is>
      </c>
      <c r="C29" t="inlineStr">
        <is>
          <t>normal</t>
        </is>
      </c>
      <c r="D29" t="n">
        <v>0</v>
      </c>
      <c r="E29" t="inlineStr">
        <is>
          <t>(none)</t>
        </is>
      </c>
      <c r="F29" t="n">
        <v>0</v>
      </c>
      <c r="G29" t="inlineStr">
        <is>
          <t>(none)</t>
        </is>
      </c>
      <c r="H29" t="n">
        <v>0</v>
      </c>
      <c r="I29" t="inlineStr">
        <is>
          <t>(none)</t>
        </is>
      </c>
      <c r="J29" t="n">
        <v>0</v>
      </c>
    </row>
    <row r="30">
      <c r="A30" t="inlineStr">
        <is>
          <t>face</t>
        </is>
      </c>
      <c r="B30" t="inlineStr">
        <is>
          <t>Potential</t>
        </is>
      </c>
      <c r="C30" t="inlineStr">
        <is>
          <t>normal</t>
        </is>
      </c>
      <c r="D30" t="n">
        <v>0</v>
      </c>
      <c r="E30" t="inlineStr">
        <is>
          <t>(none)</t>
        </is>
      </c>
      <c r="F30" t="n">
        <v>0</v>
      </c>
      <c r="G30" t="inlineStr">
        <is>
          <t>(none)</t>
        </is>
      </c>
      <c r="H30" t="n">
        <v>0</v>
      </c>
      <c r="I30" t="inlineStr">
        <is>
          <t>(none)</t>
        </is>
      </c>
      <c r="J30" t="n">
        <v>0</v>
      </c>
    </row>
    <row r="31">
      <c r="A31" t="inlineStr">
        <is>
          <t>face</t>
        </is>
      </c>
      <c r="B31" t="inlineStr">
        <is>
          <t>Bonus Potential</t>
        </is>
      </c>
      <c r="C31" t="inlineStr">
        <is>
          <t>normal</t>
        </is>
      </c>
      <c r="D31" t="n">
        <v>0</v>
      </c>
      <c r="E31" t="inlineStr">
        <is>
          <t>(none)</t>
        </is>
      </c>
      <c r="F31" t="n">
        <v>0</v>
      </c>
      <c r="G31" t="inlineStr">
        <is>
          <t>(none)</t>
        </is>
      </c>
      <c r="H31" t="n">
        <v>0</v>
      </c>
      <c r="I31" t="inlineStr">
        <is>
          <t>(none)</t>
        </is>
      </c>
      <c r="J31" t="n">
        <v>0</v>
      </c>
    </row>
    <row r="32">
      <c r="A32" t="inlineStr">
        <is>
          <t>earrings</t>
        </is>
      </c>
      <c r="B32" t="inlineStr">
        <is>
          <t>Potential</t>
        </is>
      </c>
      <c r="C32" t="inlineStr">
        <is>
          <t>normal</t>
        </is>
      </c>
      <c r="D32" t="n">
        <v>0</v>
      </c>
      <c r="E32" t="inlineStr">
        <is>
          <t>(none)</t>
        </is>
      </c>
      <c r="F32" t="n">
        <v>0</v>
      </c>
      <c r="G32" t="inlineStr">
        <is>
          <t>(none)</t>
        </is>
      </c>
      <c r="H32" t="n">
        <v>0</v>
      </c>
      <c r="I32" t="inlineStr">
        <is>
          <t>(none)</t>
        </is>
      </c>
      <c r="J32" t="n">
        <v>0</v>
      </c>
    </row>
    <row r="33">
      <c r="A33" t="inlineStr">
        <is>
          <t>earrings</t>
        </is>
      </c>
      <c r="B33" t="inlineStr">
        <is>
          <t>Bonus Potential</t>
        </is>
      </c>
      <c r="C33" t="inlineStr">
        <is>
          <t>normal</t>
        </is>
      </c>
      <c r="D33" t="n">
        <v>0</v>
      </c>
      <c r="E33" t="inlineStr">
        <is>
          <t>(none)</t>
        </is>
      </c>
      <c r="F33" t="n">
        <v>0</v>
      </c>
      <c r="G33" t="inlineStr">
        <is>
          <t>(none)</t>
        </is>
      </c>
      <c r="H33" t="n">
        <v>0</v>
      </c>
      <c r="I33" t="inlineStr">
        <is>
          <t>(none)</t>
        </is>
      </c>
      <c r="J33" t="n">
        <v>0</v>
      </c>
    </row>
    <row r="34">
      <c r="A34" t="inlineStr">
        <is>
          <t>pocket</t>
        </is>
      </c>
      <c r="B34" t="inlineStr">
        <is>
          <t>Potential</t>
        </is>
      </c>
      <c r="C34" t="inlineStr">
        <is>
          <t>normal</t>
        </is>
      </c>
      <c r="D34" t="n">
        <v>0</v>
      </c>
      <c r="E34" t="inlineStr">
        <is>
          <t>(none)</t>
        </is>
      </c>
      <c r="F34" t="n">
        <v>0</v>
      </c>
      <c r="G34" t="inlineStr">
        <is>
          <t>(none)</t>
        </is>
      </c>
      <c r="H34" t="n">
        <v>0</v>
      </c>
      <c r="I34" t="inlineStr">
        <is>
          <t>(none)</t>
        </is>
      </c>
      <c r="J34" t="n">
        <v>0</v>
      </c>
    </row>
    <row r="35">
      <c r="A35" t="inlineStr">
        <is>
          <t>pocket</t>
        </is>
      </c>
      <c r="B35" t="inlineStr">
        <is>
          <t>Bonus Potential</t>
        </is>
      </c>
      <c r="C35" t="inlineStr">
        <is>
          <t>normal</t>
        </is>
      </c>
      <c r="D35" t="n">
        <v>0</v>
      </c>
      <c r="E35" t="inlineStr">
        <is>
          <t>(none)</t>
        </is>
      </c>
      <c r="F35" t="n">
        <v>0</v>
      </c>
      <c r="G35" t="inlineStr">
        <is>
          <t>(none)</t>
        </is>
      </c>
      <c r="H35" t="n">
        <v>0</v>
      </c>
      <c r="I35" t="inlineStr">
        <is>
          <t>(none)</t>
        </is>
      </c>
      <c r="J35" t="n">
        <v>0</v>
      </c>
    </row>
  </sheetData>
  <dataValidations count="2">
    <dataValidation sqref="C6 C7 C8 C9 C10 C11 C12 C13 C14 C15 C16 C17 C18 C19 C20 C21 C22 C23 C24 C25 C26 C27 C28 C29 C30 C31 C32 C33 C34 C35" showDropDown="0" showInputMessage="0" showErrorMessage="0" allowBlank="0" type="list">
      <formula1>"normal,rare,epic,unique,legendary,mystic"</formula1>
    </dataValidation>
    <dataValidation sqref="E6 E7 E8 E9 E10 E11 E12 E13 E14 E15 E16 E17 E18 E19 E20 E21 E22 E23 E24 E25 E26 E27 E28 E29 E30 E31 E32 E33 E34 E35 G6 G7 G8 G9 G10 G11 G12 G13 G14 G15 G16 G17 G18 G19 G20 G21 G22 G23 G24 G25 G26 G27 G28 G29 G30 G31 G32 G33 G34 G35 I6 I7 I8 I9 I10 I11 I12 I13 I14 I15 I16 I17 I18 I19 I20 I21 I22 I23 I24 I25 I26 I27 I28 I29 I30 I31 I32 I33 I34 I35" showDropDown="0" showInputMessage="0" showErrorMessage="0" allowBlank="0" type="list">
      <formula1>=CubeData!$J$2:$J$30</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2026-10-09T08:25:26Z</dcterms:created>
  <dcterms:modified xsi:type="dcterms:W3CDTF">2026-10-09T08:25:26Z</dcterms:modified>
</cp:coreProperties>
</file>