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IFERROR(1/IF(Inputs!$B$38="pvp",15,MAX(0.1,Skills!D5-IF(Skills!E5=TRUE,Inputs!$B$32,0))),0)</f>
        <v/>
      </c>
      <c r="R5">
        <f>IF(AND(Inputs!$B$38&lt;&gt;"pvp",Inputs!$B$43&gt;0),IF(MAX(0,Inputs!$B$43-Summary!$B$23)&lt;=0,0,(INT(MAX(0,Inputs!$B$43-Summary!$B$23)/IF(Inputs!$B$38="pvp",15,MAX(0.1,Skills!D5-IF(Skills!E5=TRUE,Inputs!$B$32,0))))+1)),0)</f>
        <v/>
      </c>
      <c r="S5">
        <f>IFERROR((H5*N5*IF(AND(Inputs!$B$38&lt;&gt;"pvp",Inputs!$B$43&gt;0),((Skills!G5*((R5-1)*IF(Skills!H5&gt;0,Skills!I5/Skills!H5,1)+IF(Skills!H5&gt;0,MIN(Skills!I5,MAX(0,MAX(0,Inputs!$B$43-Summary!$B$23)-((R5-1)*IF(Inputs!$B$38="pvp",15,MAX(0.1,Skills!D5-IF(Skills!E5=TRUE,Inputs!$B$32,0))))))/Skills!H5,1)))/Inputs!$B$43),G5*Q5))/N5*IF(Inputs!$B$38="pvp",1,(1-Summary!$B$11)*1+Summary!$B$11*(MIN(Skills!R5,Inputs!$B$37))),0)</f>
        <v/>
      </c>
      <c r="T5">
        <f>IF(C5,(H5*N5*IF(AND(Inputs!$B$38&lt;&gt;"pvp",Inputs!$B$43&gt;0),((Skills!G5*((R5-1)*IF(Skills!H5&gt;0,Skills!I5/Skills!H5,1)+IF(Skills!H5&gt;0,MIN(Skills!I5,MAX(0,MAX(0,Inputs!$B$43-Summary!$B$23)-((R5-1)*IF(Inputs!$B$38="pvp",15,MAX(0.1,Skills!D5-IF(Skills!E5=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IFERROR(1/IF(Inputs!$B$38="pvp",15,MAX(0.1,Skills!D6-IF(Skills!E6=TRUE,Inputs!$B$32,0))),0)</f>
        <v/>
      </c>
      <c r="R6">
        <f>IF(AND(Inputs!$B$38&lt;&gt;"pvp",Inputs!$B$43&gt;0),IF(MAX(0,Inputs!$B$43-Summary!$B$23)&lt;=0,0,(INT(MAX(0,Inputs!$B$43-Summary!$B$23)/IF(Inputs!$B$38="pvp",15,MAX(0.1,Skills!D6-IF(Skills!E6=TRUE,Inputs!$B$32,0))))+1)),0)</f>
        <v/>
      </c>
      <c r="S6">
        <f>IFERROR((H6*N6*IF(AND(Inputs!$B$38&lt;&gt;"pvp",Inputs!$B$43&gt;0),((Skills!G6*((R6-1)*IF(Skills!H6&gt;0,Skills!I6/Skills!H6,1)+IF(Skills!H6&gt;0,MIN(Skills!I6,MAX(0,MAX(0,Inputs!$B$43-Summary!$B$23)-((R6-1)*IF(Inputs!$B$38="pvp",15,MAX(0.1,Skills!D6-IF(Skills!E6=TRUE,Inputs!$B$32,0))))))/Skills!H6,1)))/Inputs!$B$43),G6*Q6))/N6*IF(Inputs!$B$38="pvp",1,(1-Summary!$B$11)*1+Summary!$B$11*(MIN(Skills!R6,Inputs!$B$37))),0)</f>
        <v/>
      </c>
      <c r="T6">
        <f>IF(C6,(H6*N6*IF(AND(Inputs!$B$38&lt;&gt;"pvp",Inputs!$B$43&gt;0),((Skills!G6*((R6-1)*IF(Skills!H6&gt;0,Skills!I6/Skills!H6,1)+IF(Skills!H6&gt;0,MIN(Skills!I6,MAX(0,MAX(0,Inputs!$B$43-Summary!$B$23)-((R6-1)*IF(Inputs!$B$38="pvp",15,MAX(0.1,Skills!D6-IF(Skills!E6=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IFERROR(1/IF(Inputs!$B$38="pvp",15,MAX(0.1,Skills!D7-IF(Skills!E7=TRUE,Inputs!$B$32,0))),0)</f>
        <v/>
      </c>
      <c r="R7">
        <f>IF(AND(Inputs!$B$38&lt;&gt;"pvp",Inputs!$B$43&gt;0),IF(MAX(0,Inputs!$B$43-Summary!$B$23)&lt;=0,0,(INT(MAX(0,Inputs!$B$43-Summary!$B$23)/IF(Inputs!$B$38="pvp",15,MAX(0.1,Skills!D7-IF(Skills!E7=TRUE,Inputs!$B$32,0))))+1)),0)</f>
        <v/>
      </c>
      <c r="S7">
        <f>IFERROR((H7*N7*IF(AND(Inputs!$B$38&lt;&gt;"pvp",Inputs!$B$43&gt;0),((Skills!G7*((R7-1)*IF(Skills!H7&gt;0,Skills!I7/Skills!H7,1)+IF(Skills!H7&gt;0,MIN(Skills!I7,MAX(0,MAX(0,Inputs!$B$43-Summary!$B$23)-((R7-1)*IF(Inputs!$B$38="pvp",15,MAX(0.1,Skills!D7-IF(Skills!E7=TRUE,Inputs!$B$32,0))))))/Skills!H7,1)))/Inputs!$B$43),G7*Q7))/N7*IF(Inputs!$B$38="pvp",1,(1-Summary!$B$11)*1+Summary!$B$11*(MIN(Skills!R7,Inputs!$B$37))),0)</f>
        <v/>
      </c>
      <c r="T7">
        <f>IF(C7,(H7*N7*IF(AND(Inputs!$B$38&lt;&gt;"pvp",Inputs!$B$43&gt;0),((Skills!G7*((R7-1)*IF(Skills!H7&gt;0,Skills!I7/Skills!H7,1)+IF(Skills!H7&gt;0,MIN(Skills!I7,MAX(0,MAX(0,Inputs!$B$43-Summary!$B$23)-((R7-1)*IF(Inputs!$B$38="pvp",15,MAX(0.1,Skills!D7-IF(Skills!E7=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IFERROR(1/IF(Inputs!$B$38="pvp",15,MAX(0.1,Skills!D9-IF(Skills!E9=TRUE,Inputs!$B$32,0))),0)</f>
        <v/>
      </c>
      <c r="R9">
        <f>IF(AND(Inputs!$B$38&lt;&gt;"pvp",Inputs!$B$43&gt;0),IF(MAX(0,Inputs!$B$43-Summary!$B$23)&lt;=0,0,(INT(MAX(0,Inputs!$B$43-Summary!$B$23)/IF(Inputs!$B$38="pvp",15,MAX(0.1,Skills!D9-IF(Skills!E9=TRUE,Inputs!$B$32,0))))+1)),0)</f>
        <v/>
      </c>
      <c r="S9">
        <f>IFERROR((H9*N9*IF(AND(Inputs!$B$38&lt;&gt;"pvp",Inputs!$B$43&gt;0),((Skills!G9*((R9-1)*IF(Skills!H9&gt;0,Skills!I9/Skills!H9,1)+IF(Skills!H9&gt;0,MIN(Skills!I9,MAX(0,MAX(0,Inputs!$B$43-Summary!$B$23)-((R9-1)*IF(Inputs!$B$38="pvp",15,MAX(0.1,Skills!D9-IF(Skills!E9=TRUE,Inputs!$B$32,0))))))/Skills!H9,1)))/Inputs!$B$43),G9*Q9))/N9*IF(Inputs!$B$38="pvp",1,(1-Summary!$B$11)*1+Summary!$B$11*(MIN(Skills!R9,Inputs!$B$37))),0)</f>
        <v/>
      </c>
      <c r="T9">
        <f>IF(C9,(H9*N9*IF(AND(Inputs!$B$38&lt;&gt;"pvp",Inputs!$B$43&gt;0),((Skills!G9*((R9-1)*IF(Skills!H9&gt;0,Skills!I9/Skills!H9,1)+IF(Skills!H9&gt;0,MIN(Skills!I9,MAX(0,MAX(0,Inputs!$B$43-Summary!$B$23)-((R9-1)*IF(Inputs!$B$38="pvp",15,MAX(0.1,Skills!D9-IF(Skills!E9=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IFERROR(1/IF(Inputs!$B$38="pvp",15,MAX(0.1,Skills!D11-IF(Skills!E11=TRUE,Inputs!$B$32,0))),0)</f>
        <v/>
      </c>
      <c r="R11">
        <f>IF(AND(Inputs!$B$38&lt;&gt;"pvp",Inputs!$B$43&gt;0),IF(MAX(0,Inputs!$B$43-Summary!$B$23)&lt;=0,0,(INT(MAX(0,Inputs!$B$43-Summary!$B$23)/IF(Inputs!$B$38="pvp",15,MAX(0.1,Skills!D11-IF(Skills!E11=TRUE,Inputs!$B$32,0))))+1)),0)</f>
        <v/>
      </c>
      <c r="S11">
        <f>IFERROR((H11*N11*IF(AND(Inputs!$B$38&lt;&gt;"pvp",Inputs!$B$43&gt;0),((Skills!G11*((R11-1)*IF(Skills!H11&gt;0,Skills!I11/Skills!H11,1)+IF(Skills!H11&gt;0,MIN(Skills!I11,MAX(0,MAX(0,Inputs!$B$43-Summary!$B$23)-((R11-1)*IF(Inputs!$B$38="pvp",15,MAX(0.1,Skills!D11-IF(Skills!E11=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Skills!E11=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IFERROR(1/IF(Inputs!$B$38="pvp",15,MAX(0.1,Skills!D15-IF(Skills!E15=TRUE,Inputs!$B$32,0))),0)</f>
        <v/>
      </c>
      <c r="R15">
        <f>IF(AND(Inputs!$B$38&lt;&gt;"pvp",Inputs!$B$43&gt;0),IF(Inputs!$B$43&lt;=0,0,(INT(Inputs!$B$43/IF(Inputs!$B$38="pvp",15,MAX(0.1,Skills!D15-IF(Skills!E15=TRUE,Inputs!$B$32,0))))+1)),0)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IFERROR(1/IF(Inputs!$B$38="pvp",15,MAX(0.1,Skills!D16-IF(Skills!E16=TRUE,Inputs!$B$32,0))),0)</f>
        <v/>
      </c>
      <c r="R16">
        <f>IF(AND(Inputs!$B$38&lt;&gt;"pvp",Inputs!$B$43&gt;0),IF(Inputs!$B$43&lt;=0,0,(INT(Inputs!$B$43/IF(Inputs!$B$38="pvp",15,MAX(0.1,Skills!D16-IF(Skills!E16=TRUE,Inputs!$B$32,0))))+1)),0)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IFERROR(1/IF(Inputs!$B$38="pvp",15,MAX(0.1,Skills!D18-IF(Skills!E18=TRUE,Inputs!$B$32,0))),0)</f>
        <v/>
      </c>
      <c r="R18">
        <f>IF(AND(Inputs!$B$38&lt;&gt;"pvp",Inputs!$B$43&gt;0),IF(Inputs!$B$43&lt;=0,0,(INT(Inputs!$B$43/IF(Inputs!$B$38="pvp",15,MAX(0.1,Skills!D18-IF(Skills!E18=TRUE,Inputs!$B$32,0))))+1)),0)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Calc!C12=TRUE)*Calc!F12)+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Skills!T18*(1+Inputs!$B$34/100))+MIN((Skills!T18*(1+Inputs!$B$34/100)),MAX(0,Inputs!$B$43-((Calc!R18-1)*Skills!D18))))/Inputs!$B$43),IF(Inputs!$B$38="pvp",MIN((Skills!T18*(1+Inputs!$B$34/100)),15)/15,(Skills!T18*(1+Inputs!$B$34/100))/Skills!D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Skills!T16*(1+Inputs!$B$34/100))+MIN((Skills!T16*(1+Inputs!$B$34/100)),MAX(0,Inputs!$B$43-((Calc!R16-1)*Skills!D16))))/Inputs!$B$43),IF(Inputs!$B$38="pvp",MIN((Skills!T16*(1+Inputs!$B$34/100)),15)/15,(Skills!T16*(1+Inputs!$B$34/100))/Skills!D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Inputs!$B$15+0</f>
        <v/>
      </c>
      <c r="E8">
        <f>(Inputs!$B$15+1)+0</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Inputs!$B$16+0</f>
        <v/>
      </c>
      <c r="E9">
        <f>(Inputs!$B$16+1)+0</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Inputs!$B$20+0</f>
        <v/>
      </c>
      <c r="E10">
        <f>(Inputs!$B$20+1)+0</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Inputs!$B$21+0</f>
        <v/>
      </c>
      <c r="E11">
        <f>(Inputs!$B$21+1)+0</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Inputs!$B$22+0</f>
        <v/>
      </c>
      <c r="E13">
        <f>(Inputs!$B$22+1)+0</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Inputs!$B$23+0</f>
        <v/>
      </c>
      <c r="E14">
        <f>(Inputs!$B$23+1)+0</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Inputs!$B$9+0</f>
        <v/>
      </c>
      <c r="E15">
        <f>(Inputs!$B$9+1)+0</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Inputs!$B$10+0</f>
        <v/>
      </c>
      <c r="E16">
        <f>(Inputs!$B$10+1)+0</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Inputs!$B$11+0</f>
        <v/>
      </c>
      <c r="E17">
        <f>((1-(1-Inputs!$B$11/150)*(1-1/150))*150)+0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Inputs!$B$19+0</f>
        <v/>
      </c>
      <c r="E18">
        <f>((1-(1-Inputs!$B$19/100)*(1-1/100))*100)+0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Inputs!$B$17+0</f>
        <v/>
      </c>
      <c r="E19">
        <f>(Inputs!$B$17+1)+0</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Inputs!$B$18+0</f>
        <v/>
      </c>
      <c r="E20">
        <f>(Inputs!$B$18+1)+0</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Inputs!$B$25+0</f>
        <v/>
      </c>
      <c r="E21">
        <f>(Inputs!$B$25+1)+0</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Inputs!$B$26+0</f>
        <v/>
      </c>
      <c r="E22">
        <f>(Inputs!$B$26+1)+0</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Inputs!$B$27+0</f>
        <v/>
      </c>
      <c r="E23">
        <f>(Inputs!$B$27+1)+0</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Inputs!$B$28+0</f>
        <v/>
      </c>
      <c r="E24">
        <f>(Inputs!$B$28+1)+0</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Inputs!$B$29+0</f>
        <v/>
      </c>
      <c r="E25">
        <f>(Inputs!$B$29+1)+0</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Inputs!$B$6+0</f>
        <v/>
      </c>
      <c r="E26">
        <f>(Inputs!$B$6+1)+0</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Inputs!$B$7+0</f>
        <v/>
      </c>
      <c r="E27">
        <f>(Inputs!$B$7+1)+0</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Inputs!$B$32+0</f>
        <v/>
      </c>
      <c r="E28">
        <f>(Inputs!$B$32+1)+0</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Inputs!$B$33+0</f>
        <v/>
      </c>
      <c r="E29">
        <f>(Inputs!$B$33+1)+0</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Inputs!$B$34+0</f>
        <v/>
      </c>
      <c r="E30">
        <f>(Inputs!$B$34+1)+0</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IFERROR(1/IF(Inputs!$B$38="pvp",15,MAX(0.1,Skills!D5-IF(Skills!E5=TRUE,Inputs!$B$32,0))),0)</f>
        <v/>
      </c>
      <c r="R76">
        <f>IF(AND(Inputs!$B$38&lt;&gt;"pvp",Inputs!$B$43&gt;0),IF(MAX(0,Inputs!$B$43-B110)&lt;=0,0,(INT(MAX(0,Inputs!$B$43-B110)/IF(Inputs!$B$38="pvp",15,MAX(0.1,Skills!D5-IF(Skills!E5=TRUE,Inputs!$B$32,0))))+1)),0)</f>
        <v/>
      </c>
      <c r="S76">
        <f>IFERROR((H76*N76*IF(AND(Inputs!$B$38&lt;&gt;"pvp",Inputs!$B$43&gt;0),((Skills!G5*((R76-1)*IF(Skills!H5&gt;0,Skills!I5/Skills!H5,1)+IF(Skills!H5&gt;0,MIN(Skills!I5,MAX(0,MAX(0,Inputs!$B$43-B110)-((R76-1)*IF(Inputs!$B$38="pvp",15,MAX(0.1,Skills!D5-IF(Skills!E5=TRUE,Inputs!$B$32,0))))))/Skills!H5,1)))/Inputs!$B$43),G76*Q76))/N76*IF(Inputs!$B$38="pvp",1,(1-Summary!$B$11)*1+Summary!$B$11*(MIN(Skills!R5,Inputs!$B$37))),0)</f>
        <v/>
      </c>
      <c r="T76">
        <f>IF(C76,(H76*N76*IF(AND(Inputs!$B$38&lt;&gt;"pvp",Inputs!$B$43&gt;0),((Skills!G5*((R76-1)*IF(Skills!H5&gt;0,Skills!I5/Skills!H5,1)+IF(Skills!H5&gt;0,MIN(Skills!I5,MAX(0,MAX(0,Inputs!$B$43-B110)-((R76-1)*IF(Inputs!$B$38="pvp",15,MAX(0.1,Skills!D5-IF(Skills!E5=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Skills!E5=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IFERROR(1/IF(Inputs!$B$38="pvp",15,MAX(0.1,Skills!D6-IF(Skills!E6=TRUE,Inputs!$B$32,0))),0)</f>
        <v/>
      </c>
      <c r="R77">
        <f>IF(AND(Inputs!$B$38&lt;&gt;"pvp",Inputs!$B$43&gt;0),IF(MAX(0,Inputs!$B$43-B110)&lt;=0,0,(INT(MAX(0,Inputs!$B$43-B110)/IF(Inputs!$B$38="pvp",15,MAX(0.1,Skills!D6-IF(Skills!E6=TRUE,Inputs!$B$32,0))))+1)),0)</f>
        <v/>
      </c>
      <c r="S77">
        <f>IFERROR((H77*N77*IF(AND(Inputs!$B$38&lt;&gt;"pvp",Inputs!$B$43&gt;0),((Skills!G6*((R77-1)*IF(Skills!H6&gt;0,Skills!I6/Skills!H6,1)+IF(Skills!H6&gt;0,MIN(Skills!I6,MAX(0,MAX(0,Inputs!$B$43-B110)-((R77-1)*IF(Inputs!$B$38="pvp",15,MAX(0.1,Skills!D6-IF(Skills!E6=TRUE,Inputs!$B$32,0))))))/Skills!H6,1)))/Inputs!$B$43),G77*Q77))/N77*IF(Inputs!$B$38="pvp",1,(1-Summary!$B$11)*1+Summary!$B$11*(MIN(Skills!R6,Inputs!$B$37))),0)</f>
        <v/>
      </c>
      <c r="T77">
        <f>IF(C77,(H77*N77*IF(AND(Inputs!$B$38&lt;&gt;"pvp",Inputs!$B$43&gt;0),((Skills!G6*((R77-1)*IF(Skills!H6&gt;0,Skills!I6/Skills!H6,1)+IF(Skills!H6&gt;0,MIN(Skills!I6,MAX(0,MAX(0,Inputs!$B$43-B110)-((R77-1)*IF(Inputs!$B$38="pvp",15,MAX(0.1,Skills!D6-IF(Skills!E6=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Skills!E6=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IFERROR(1/IF(Inputs!$B$38="pvp",15,MAX(0.1,Skills!D7-IF(Skills!E7=TRUE,Inputs!$B$32,0))),0)</f>
        <v/>
      </c>
      <c r="R78">
        <f>IF(AND(Inputs!$B$38&lt;&gt;"pvp",Inputs!$B$43&gt;0),IF(MAX(0,Inputs!$B$43-B110)&lt;=0,0,(INT(MAX(0,Inputs!$B$43-B110)/IF(Inputs!$B$38="pvp",15,MAX(0.1,Skills!D7-IF(Skills!E7=TRUE,Inputs!$B$32,0))))+1)),0)</f>
        <v/>
      </c>
      <c r="S78">
        <f>IFERROR((H78*N78*IF(AND(Inputs!$B$38&lt;&gt;"pvp",Inputs!$B$43&gt;0),((Skills!G7*((R78-1)*IF(Skills!H7&gt;0,Skills!I7/Skills!H7,1)+IF(Skills!H7&gt;0,MIN(Skills!I7,MAX(0,MAX(0,Inputs!$B$43-B110)-((R78-1)*IF(Inputs!$B$38="pvp",15,MAX(0.1,Skills!D7-IF(Skills!E7=TRUE,Inputs!$B$32,0))))))/Skills!H7,1)))/Inputs!$B$43),G78*Q78))/N78*IF(Inputs!$B$38="pvp",1,(1-Summary!$B$11)*1+Summary!$B$11*(MIN(Skills!R7,Inputs!$B$37))),0)</f>
        <v/>
      </c>
      <c r="T78">
        <f>IF(C78,(H78*N78*IF(AND(Inputs!$B$38&lt;&gt;"pvp",Inputs!$B$43&gt;0),((Skills!G7*((R78-1)*IF(Skills!H7&gt;0,Skills!I7/Skills!H7,1)+IF(Skills!H7&gt;0,MIN(Skills!I7,MAX(0,MAX(0,Inputs!$B$43-B110)-((R78-1)*IF(Inputs!$B$38="pvp",15,MAX(0.1,Skills!D7-IF(Skills!E7=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Skills!E7=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IFERROR(1/IF(Inputs!$B$38="pvp",15,MAX(0.1,Skills!D9-IF(Skills!E9=TRUE,Inputs!$B$32,0))),0)</f>
        <v/>
      </c>
      <c r="R80">
        <f>IF(AND(Inputs!$B$38&lt;&gt;"pvp",Inputs!$B$43&gt;0),IF(MAX(0,Inputs!$B$43-B110)&lt;=0,0,(INT(MAX(0,Inputs!$B$43-B110)/IF(Inputs!$B$38="pvp",15,MAX(0.1,Skills!D9-IF(Skills!E9=TRUE,Inputs!$B$32,0))))+1)),0)</f>
        <v/>
      </c>
      <c r="S80">
        <f>IFERROR((H80*N80*IF(AND(Inputs!$B$38&lt;&gt;"pvp",Inputs!$B$43&gt;0),((Skills!G9*((R80-1)*IF(Skills!H9&gt;0,Skills!I9/Skills!H9,1)+IF(Skills!H9&gt;0,MIN(Skills!I9,MAX(0,MAX(0,Inputs!$B$43-B110)-((R80-1)*IF(Inputs!$B$38="pvp",15,MAX(0.1,Skills!D9-IF(Skills!E9=TRUE,Inputs!$B$32,0))))))/Skills!H9,1)))/Inputs!$B$43),G80*Q80))/N80*IF(Inputs!$B$38="pvp",1,(1-Summary!$B$11)*1+Summary!$B$11*(MIN(Skills!R9,Inputs!$B$37))),0)</f>
        <v/>
      </c>
      <c r="T80">
        <f>IF(C80,(H80*N80*IF(AND(Inputs!$B$38&lt;&gt;"pvp",Inputs!$B$43&gt;0),((Skills!G9*((R80-1)*IF(Skills!H9&gt;0,Skills!I9/Skills!H9,1)+IF(Skills!H9&gt;0,MIN(Skills!I9,MAX(0,MAX(0,Inputs!$B$43-B110)-((R80-1)*IF(Inputs!$B$38="pvp",15,MAX(0.1,Skills!D9-IF(Skills!E9=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Skills!E9=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IFERROR(1/IF(Inputs!$B$38="pvp",15,MAX(0.1,Skills!D11-IF(Skills!E11=TRUE,Inputs!$B$32,0))),0)</f>
        <v/>
      </c>
      <c r="R82">
        <f>IF(AND(Inputs!$B$38&lt;&gt;"pvp",Inputs!$B$43&gt;0),IF(MAX(0,Inputs!$B$43-B110)&lt;=0,0,(INT(MAX(0,Inputs!$B$43-B110)/IF(Inputs!$B$38="pvp",15,MAX(0.1,Skills!D11-IF(Skills!E11=TRUE,Inputs!$B$32,0))))+1)),0)</f>
        <v/>
      </c>
      <c r="S82">
        <f>IFERROR((H82*N82*IF(AND(Inputs!$B$38&lt;&gt;"pvp",Inputs!$B$43&gt;0),((Skills!G11*((R82-1)*IF(Skills!H11&gt;0,Skills!I11/Skills!H11,1)+IF(Skills!H11&gt;0,MIN(Skills!I11,MAX(0,MAX(0,Inputs!$B$43-B110)-((R82-1)*IF(Inputs!$B$38="pvp",15,MAX(0.1,Skills!D11-IF(Skills!E11=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Skills!E11=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Skills!E11=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IFERROR(1/IF(Inputs!$B$38="pvp",15,MAX(0.1,Skills!D15-IF(Skills!E15=TRUE,Inputs!$B$32,0))),0)</f>
        <v/>
      </c>
      <c r="R86">
        <f>IF(AND(Inputs!$B$38&lt;&gt;"pvp",Inputs!$B$43&gt;0),IF(Inputs!$B$43&lt;=0,0,(INT(Inputs!$B$43/IF(Inputs!$B$38="pvp",15,MAX(0.1,Skills!D15-IF(Skills!E15=TRUE,Inputs!$B$32,0))))+1)),0)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IFERROR(1/IF(Inputs!$B$38="pvp",15,MAX(0.1,Skills!D16-IF(Skills!E16=TRUE,Inputs!$B$32,0))),0)</f>
        <v/>
      </c>
      <c r="R87">
        <f>IF(AND(Inputs!$B$38&lt;&gt;"pvp",Inputs!$B$43&gt;0),IF(Inputs!$B$43&lt;=0,0,(INT(Inputs!$B$43/IF(Inputs!$B$38="pvp",15,MAX(0.1,Skills!D16-IF(Skills!E16=TRUE,Inputs!$B$32,0))))+1)),0)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IFERROR(1/IF(Inputs!$B$38="pvp",15,MAX(0.1,Skills!D18-IF(Skills!E18=TRUE,Inputs!$B$32,0))),0)</f>
        <v/>
      </c>
      <c r="R89">
        <f>IF(AND(Inputs!$B$38&lt;&gt;"pvp",Inputs!$B$43&gt;0),IF(Inputs!$B$43&lt;=0,0,(INT(Inputs!$B$43/IF(Inputs!$B$38="pvp",15,MAX(0.1,Skills!D18-IF(Skills!E18=TRUE,Inputs!$B$32,0))))+1)),0)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f>(C87=TRUE)*20*IF(AND(Inputs!$B$38&lt;&gt;"pvp",Inputs!$B$43&gt;0),(((R87-1)*(Skills!T16*(1+Inputs!$B$34/100))+MIN((Skills!T16*(1+Inputs!$B$34/100)),MAX(0,Inputs!$B$43-((R87-1)*Skills!D16))))/Inputs!$B$43),IF(Inputs!$B$38="pvp",MIN((Skills!T16*(1+Inputs!$B$34/100)),15)/15,(Skills!T16*(1+Inputs!$B$34/100))/Skills!D16))</f>
        <v/>
      </c>
    </row>
    <row r="104">
      <c r="A104" t="inlineStr">
        <is>
          <t>Attack Speed Buff Bonus %</t>
        </is>
      </c>
      <c r="B104">
        <f>((C89=TRUE)*F89*IF(AND(Inputs!$B$38&lt;&gt;"pvp",Inputs!$B$43&gt;0),(((R89-1)*(Skills!T18*(1+Inputs!$B$34/100))+MIN((Skills!T18*(1+Inputs!$B$34/100)),MAX(0,Inputs!$B$43-((R89-1)*Skills!D18))))/Inputs!$B$43),IF(Inputs!$B$38="pvp",MIN((Skills!T18*(1+Inputs!$B$34/100)),15)/15,(Skills!T18*(1+Inputs!$B$34/100))/Skills!D18)))</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Skills!T16*(1+Inputs!$B$34/100))+MIN((Skills!T16*(1+Inputs!$B$34/100)),MAX(0,Inputs!$B$43-((R87-1)*Skills!D16))))/Inputs!$B$43),IF(Inputs!$B$38="pvp",MIN((Skills!T16*(1+Inputs!$B$34/100)),15)/15,(Skills!T16*(1+Inputs!$B$34/100))/Skills!D16))</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IFERROR(1/IF(Inputs!$B$38="pvp",15,MAX(0.1,Skills!D5-IF(Skills!E5=TRUE,Inputs!$B$32,0))),0)</f>
        <v/>
      </c>
      <c r="R121">
        <f>IF(AND(Inputs!$B$38&lt;&gt;"pvp",Inputs!$B$43&gt;0),IF(MAX(0,Inputs!$B$43-B155)&lt;=0,0,(INT(MAX(0,Inputs!$B$43-B155)/IF(Inputs!$B$38="pvp",15,MAX(0.1,Skills!D5-IF(Skills!E5=TRUE,Inputs!$B$32,0))))+1)),0)</f>
        <v/>
      </c>
      <c r="S121">
        <f>IFERROR((H121*N121*IF(AND(Inputs!$B$38&lt;&gt;"pvp",Inputs!$B$43&gt;0),((Skills!G5*((R121-1)*IF(Skills!H5&gt;0,Skills!I5/Skills!H5,1)+IF(Skills!H5&gt;0,MIN(Skills!I5,MAX(0,MAX(0,Inputs!$B$43-B155)-((R121-1)*IF(Inputs!$B$38="pvp",15,MAX(0.1,Skills!D5-IF(Skills!E5=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Skills!E5=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Skills!E5=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IFERROR(1/IF(Inputs!$B$38="pvp",15,MAX(0.1,Skills!D6-IF(Skills!E6=TRUE,Inputs!$B$32,0))),0)</f>
        <v/>
      </c>
      <c r="R122">
        <f>IF(AND(Inputs!$B$38&lt;&gt;"pvp",Inputs!$B$43&gt;0),IF(MAX(0,Inputs!$B$43-B155)&lt;=0,0,(INT(MAX(0,Inputs!$B$43-B155)/IF(Inputs!$B$38="pvp",15,MAX(0.1,Skills!D6-IF(Skills!E6=TRUE,Inputs!$B$32,0))))+1)),0)</f>
        <v/>
      </c>
      <c r="S122">
        <f>IFERROR((H122*N122*IF(AND(Inputs!$B$38&lt;&gt;"pvp",Inputs!$B$43&gt;0),((Skills!G6*((R122-1)*IF(Skills!H6&gt;0,Skills!I6/Skills!H6,1)+IF(Skills!H6&gt;0,MIN(Skills!I6,MAX(0,MAX(0,Inputs!$B$43-B155)-((R122-1)*IF(Inputs!$B$38="pvp",15,MAX(0.1,Skills!D6-IF(Skills!E6=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Skills!E6=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Skills!E6=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IFERROR(1/IF(Inputs!$B$38="pvp",15,MAX(0.1,Skills!D7-IF(Skills!E7=TRUE,Inputs!$B$32,0))),0)</f>
        <v/>
      </c>
      <c r="R123">
        <f>IF(AND(Inputs!$B$38&lt;&gt;"pvp",Inputs!$B$43&gt;0),IF(MAX(0,Inputs!$B$43-B155)&lt;=0,0,(INT(MAX(0,Inputs!$B$43-B155)/IF(Inputs!$B$38="pvp",15,MAX(0.1,Skills!D7-IF(Skills!E7=TRUE,Inputs!$B$32,0))))+1)),0)</f>
        <v/>
      </c>
      <c r="S123">
        <f>IFERROR((H123*N123*IF(AND(Inputs!$B$38&lt;&gt;"pvp",Inputs!$B$43&gt;0),((Skills!G7*((R123-1)*IF(Skills!H7&gt;0,Skills!I7/Skills!H7,1)+IF(Skills!H7&gt;0,MIN(Skills!I7,MAX(0,MAX(0,Inputs!$B$43-B155)-((R123-1)*IF(Inputs!$B$38="pvp",15,MAX(0.1,Skills!D7-IF(Skills!E7=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Skills!E7=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Skills!E7=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IFERROR(1/IF(Inputs!$B$38="pvp",15,MAX(0.1,Skills!D9-IF(Skills!E9=TRUE,Inputs!$B$32,0))),0)</f>
        <v/>
      </c>
      <c r="R125">
        <f>IF(AND(Inputs!$B$38&lt;&gt;"pvp",Inputs!$B$43&gt;0),IF(MAX(0,Inputs!$B$43-B155)&lt;=0,0,(INT(MAX(0,Inputs!$B$43-B155)/IF(Inputs!$B$38="pvp",15,MAX(0.1,Skills!D9-IF(Skills!E9=TRUE,Inputs!$B$32,0))))+1)),0)</f>
        <v/>
      </c>
      <c r="S125">
        <f>IFERROR((H125*N125*IF(AND(Inputs!$B$38&lt;&gt;"pvp",Inputs!$B$43&gt;0),((Skills!G9*((R125-1)*IF(Skills!H9&gt;0,Skills!I9/Skills!H9,1)+IF(Skills!H9&gt;0,MIN(Skills!I9,MAX(0,MAX(0,Inputs!$B$43-B155)-((R125-1)*IF(Inputs!$B$38="pvp",15,MAX(0.1,Skills!D9-IF(Skills!E9=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Skills!E9=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Skills!E9=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IFERROR(1/IF(Inputs!$B$38="pvp",15,MAX(0.1,Skills!D11-IF(Skills!E11=TRUE,Inputs!$B$32,0))),0)</f>
        <v/>
      </c>
      <c r="R127">
        <f>IF(AND(Inputs!$B$38&lt;&gt;"pvp",Inputs!$B$43&gt;0),IF(MAX(0,Inputs!$B$43-B155)&lt;=0,0,(INT(MAX(0,Inputs!$B$43-B155)/IF(Inputs!$B$38="pvp",15,MAX(0.1,Skills!D11-IF(Skills!E11=TRUE,Inputs!$B$32,0))))+1)),0)</f>
        <v/>
      </c>
      <c r="S127">
        <f>IFERROR((H127*N127*IF(AND(Inputs!$B$38&lt;&gt;"pvp",Inputs!$B$43&gt;0),((Skills!G11*((R127-1)*IF(Skills!H11&gt;0,Skills!I11/Skills!H11,1)+IF(Skills!H11&gt;0,MIN(Skills!I11,MAX(0,MAX(0,Inputs!$B$43-B155)-((R127-1)*IF(Inputs!$B$38="pvp",15,MAX(0.1,Skills!D11-IF(Skills!E11=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Skills!E11=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Skills!E11=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IFERROR(1/IF(Inputs!$B$38="pvp",15,MAX(0.1,Skills!D15-IF(Skills!E15=TRUE,Inputs!$B$32,0))),0)</f>
        <v/>
      </c>
      <c r="R131">
        <f>IF(AND(Inputs!$B$38&lt;&gt;"pvp",Inputs!$B$43&gt;0),IF(Inputs!$B$43&lt;=0,0,(INT(Inputs!$B$43/IF(Inputs!$B$38="pvp",15,MAX(0.1,Skills!D15-IF(Skills!E15=TRUE,Inputs!$B$32,0))))+1)),0)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IFERROR(1/IF(Inputs!$B$38="pvp",15,MAX(0.1,Skills!D16-IF(Skills!E16=TRUE,Inputs!$B$32,0))),0)</f>
        <v/>
      </c>
      <c r="R132">
        <f>IF(AND(Inputs!$B$38&lt;&gt;"pvp",Inputs!$B$43&gt;0),IF(Inputs!$B$43&lt;=0,0,(INT(Inputs!$B$43/IF(Inputs!$B$38="pvp",15,MAX(0.1,Skills!D16-IF(Skills!E16=TRUE,Inputs!$B$32,0))))+1)),0)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IFERROR(1/IF(Inputs!$B$38="pvp",15,MAX(0.1,Skills!D18-IF(Skills!E18=TRUE,Inputs!$B$32,0))),0)</f>
        <v/>
      </c>
      <c r="R134">
        <f>IF(AND(Inputs!$B$38&lt;&gt;"pvp",Inputs!$B$43&gt;0),IF(Inputs!$B$43&lt;=0,0,(INT(Inputs!$B$43/IF(Inputs!$B$38="pvp",15,MAX(0.1,Skills!D18-IF(Skills!E18=TRUE,Inputs!$B$32,0))))+1)),0)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f>(C132=TRUE)*20*IF(AND(Inputs!$B$38&lt;&gt;"pvp",Inputs!$B$43&gt;0),(((R132-1)*(Skills!T16*(1+Inputs!$B$34/100))+MIN((Skills!T16*(1+Inputs!$B$34/100)),MAX(0,Inputs!$B$43-((R132-1)*Skills!D16))))/Inputs!$B$43),IF(Inputs!$B$38="pvp",MIN((Skills!T16*(1+Inputs!$B$34/100)),15)/15,(Skills!T16*(1+Inputs!$B$34/100))/Skills!D16))</f>
        <v/>
      </c>
    </row>
    <row r="149">
      <c r="A149" t="inlineStr">
        <is>
          <t>Attack Speed Buff Bonus %</t>
        </is>
      </c>
      <c r="B149">
        <f>((C134=TRUE)*F134*IF(AND(Inputs!$B$38&lt;&gt;"pvp",Inputs!$B$43&gt;0),(((R134-1)*(Skills!T18*(1+Inputs!$B$34/100))+MIN((Skills!T18*(1+Inputs!$B$34/100)),MAX(0,Inputs!$B$43-((R134-1)*Skills!D18))))/Inputs!$B$43),IF(Inputs!$B$38="pvp",MIN((Skills!T18*(1+Inputs!$B$34/100)),15)/15,(Skills!T18*(1+Inputs!$B$34/100))/Skills!D18)))</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Skills!T16*(1+Inputs!$B$34/100))+MIN((Skills!T16*(1+Inputs!$B$34/100)),MAX(0,Inputs!$B$43-((R132-1)*Skills!D16))))/Inputs!$B$43),IF(Inputs!$B$38="pvp",MIN((Skills!T16*(1+Inputs!$B$34/100)),15)/15,(Skills!T16*(1+Inputs!$B$34/100))/Skills!D16))</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IFERROR(1/IF(Inputs!$B$38="pvp",15,MAX(0.1,Skills!D5-IF(Skills!E5=TRUE,Inputs!$B$32,0))),0)</f>
        <v/>
      </c>
      <c r="R166">
        <f>IF(AND(Inputs!$B$38&lt;&gt;"pvp",Inputs!$B$43&gt;0),IF(MAX(0,Inputs!$B$43-B200)&lt;=0,0,(INT(MAX(0,Inputs!$B$43-B200)/IF(Inputs!$B$38="pvp",15,MAX(0.1,Skills!D5-IF(Skills!E5=TRUE,Inputs!$B$32,0))))+1)),0)</f>
        <v/>
      </c>
      <c r="S166">
        <f>IFERROR((H166*N166*IF(AND(Inputs!$B$38&lt;&gt;"pvp",Inputs!$B$43&gt;0),((Skills!G5*((R166-1)*IF(Skills!H5&gt;0,Skills!I5/Skills!H5,1)+IF(Skills!H5&gt;0,MIN(Skills!I5,MAX(0,MAX(0,Inputs!$B$43-B200)-((R166-1)*IF(Inputs!$B$38="pvp",15,MAX(0.1,Skills!D5-IF(Skills!E5=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Skills!E5=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Skills!E5=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IFERROR(1/IF(Inputs!$B$38="pvp",15,MAX(0.1,Skills!D6-IF(Skills!E6=TRUE,Inputs!$B$32,0))),0)</f>
        <v/>
      </c>
      <c r="R167">
        <f>IF(AND(Inputs!$B$38&lt;&gt;"pvp",Inputs!$B$43&gt;0),IF(MAX(0,Inputs!$B$43-B200)&lt;=0,0,(INT(MAX(0,Inputs!$B$43-B200)/IF(Inputs!$B$38="pvp",15,MAX(0.1,Skills!D6-IF(Skills!E6=TRUE,Inputs!$B$32,0))))+1)),0)</f>
        <v/>
      </c>
      <c r="S167">
        <f>IFERROR((H167*N167*IF(AND(Inputs!$B$38&lt;&gt;"pvp",Inputs!$B$43&gt;0),((Skills!G6*((R167-1)*IF(Skills!H6&gt;0,Skills!I6/Skills!H6,1)+IF(Skills!H6&gt;0,MIN(Skills!I6,MAX(0,MAX(0,Inputs!$B$43-B200)-((R167-1)*IF(Inputs!$B$38="pvp",15,MAX(0.1,Skills!D6-IF(Skills!E6=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Skills!E6=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Skills!E6=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IFERROR(1/IF(Inputs!$B$38="pvp",15,MAX(0.1,Skills!D7-IF(Skills!E7=TRUE,Inputs!$B$32,0))),0)</f>
        <v/>
      </c>
      <c r="R168">
        <f>IF(AND(Inputs!$B$38&lt;&gt;"pvp",Inputs!$B$43&gt;0),IF(MAX(0,Inputs!$B$43-B200)&lt;=0,0,(INT(MAX(0,Inputs!$B$43-B200)/IF(Inputs!$B$38="pvp",15,MAX(0.1,Skills!D7-IF(Skills!E7=TRUE,Inputs!$B$32,0))))+1)),0)</f>
        <v/>
      </c>
      <c r="S168">
        <f>IFERROR((H168*N168*IF(AND(Inputs!$B$38&lt;&gt;"pvp",Inputs!$B$43&gt;0),((Skills!G7*((R168-1)*IF(Skills!H7&gt;0,Skills!I7/Skills!H7,1)+IF(Skills!H7&gt;0,MIN(Skills!I7,MAX(0,MAX(0,Inputs!$B$43-B200)-((R168-1)*IF(Inputs!$B$38="pvp",15,MAX(0.1,Skills!D7-IF(Skills!E7=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Skills!E7=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Skills!E7=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IFERROR(1/IF(Inputs!$B$38="pvp",15,MAX(0.1,Skills!D9-IF(Skills!E9=TRUE,Inputs!$B$32,0))),0)</f>
        <v/>
      </c>
      <c r="R170">
        <f>IF(AND(Inputs!$B$38&lt;&gt;"pvp",Inputs!$B$43&gt;0),IF(MAX(0,Inputs!$B$43-B200)&lt;=0,0,(INT(MAX(0,Inputs!$B$43-B200)/IF(Inputs!$B$38="pvp",15,MAX(0.1,Skills!D9-IF(Skills!E9=TRUE,Inputs!$B$32,0))))+1)),0)</f>
        <v/>
      </c>
      <c r="S170">
        <f>IFERROR((H170*N170*IF(AND(Inputs!$B$38&lt;&gt;"pvp",Inputs!$B$43&gt;0),((Skills!G9*((R170-1)*IF(Skills!H9&gt;0,Skills!I9/Skills!H9,1)+IF(Skills!H9&gt;0,MIN(Skills!I9,MAX(0,MAX(0,Inputs!$B$43-B200)-((R170-1)*IF(Inputs!$B$38="pvp",15,MAX(0.1,Skills!D9-IF(Skills!E9=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Skills!E9=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Skills!E9=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IFERROR(1/IF(Inputs!$B$38="pvp",15,MAX(0.1,Skills!D11-IF(Skills!E11=TRUE,Inputs!$B$32,0))),0)</f>
        <v/>
      </c>
      <c r="R172">
        <f>IF(AND(Inputs!$B$38&lt;&gt;"pvp",Inputs!$B$43&gt;0),IF(MAX(0,Inputs!$B$43-B200)&lt;=0,0,(INT(MAX(0,Inputs!$B$43-B200)/IF(Inputs!$B$38="pvp",15,MAX(0.1,Skills!D11-IF(Skills!E11=TRUE,Inputs!$B$32,0))))+1)),0)</f>
        <v/>
      </c>
      <c r="S172">
        <f>IFERROR((H172*N172*IF(AND(Inputs!$B$38&lt;&gt;"pvp",Inputs!$B$43&gt;0),((Skills!G11*((R172-1)*IF(Skills!H11&gt;0,Skills!I11/Skills!H11,1)+IF(Skills!H11&gt;0,MIN(Skills!I11,MAX(0,MAX(0,Inputs!$B$43-B200)-((R172-1)*IF(Inputs!$B$38="pvp",15,MAX(0.1,Skills!D11-IF(Skills!E11=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Skills!E11=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Skills!E11=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IFERROR(1/IF(Inputs!$B$38="pvp",15,MAX(0.1,Skills!D15-IF(Skills!E15=TRUE,Inputs!$B$32,0))),0)</f>
        <v/>
      </c>
      <c r="R176">
        <f>IF(AND(Inputs!$B$38&lt;&gt;"pvp",Inputs!$B$43&gt;0),IF(Inputs!$B$43&lt;=0,0,(INT(Inputs!$B$43/IF(Inputs!$B$38="pvp",15,MAX(0.1,Skills!D15-IF(Skills!E15=TRUE,Inputs!$B$32,0))))+1)),0)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IFERROR(1/IF(Inputs!$B$38="pvp",15,MAX(0.1,Skills!D16-IF(Skills!E16=TRUE,Inputs!$B$32,0))),0)</f>
        <v/>
      </c>
      <c r="R177">
        <f>IF(AND(Inputs!$B$38&lt;&gt;"pvp",Inputs!$B$43&gt;0),IF(Inputs!$B$43&lt;=0,0,(INT(Inputs!$B$43/IF(Inputs!$B$38="pvp",15,MAX(0.1,Skills!D16-IF(Skills!E16=TRUE,Inputs!$B$32,0))))+1)),0)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IFERROR(1/IF(Inputs!$B$38="pvp",15,MAX(0.1,Skills!D18-IF(Skills!E18=TRUE,Inputs!$B$32,0))),0)</f>
        <v/>
      </c>
      <c r="R179">
        <f>IF(AND(Inputs!$B$38&lt;&gt;"pvp",Inputs!$B$43&gt;0),IF(Inputs!$B$43&lt;=0,0,(INT(Inputs!$B$43/IF(Inputs!$B$38="pvp",15,MAX(0.1,Skills!D18-IF(Skills!E18=TRUE,Inputs!$B$32,0))))+1)),0)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f>(C177=TRUE)*20*IF(AND(Inputs!$B$38&lt;&gt;"pvp",Inputs!$B$43&gt;0),(((R177-1)*(Skills!T16*(1+Inputs!$B$34/100))+MIN((Skills!T16*(1+Inputs!$B$34/100)),MAX(0,Inputs!$B$43-((R177-1)*Skills!D16))))/Inputs!$B$43),IF(Inputs!$B$38="pvp",MIN((Skills!T16*(1+Inputs!$B$34/100)),15)/15,(Skills!T16*(1+Inputs!$B$34/100))/Skills!D16))</f>
        <v/>
      </c>
    </row>
    <row r="194">
      <c r="A194" t="inlineStr">
        <is>
          <t>Attack Speed Buff Bonus %</t>
        </is>
      </c>
      <c r="B194">
        <f>((C179=TRUE)*F179*IF(AND(Inputs!$B$38&lt;&gt;"pvp",Inputs!$B$43&gt;0),(((R179-1)*(Skills!T18*(1+Inputs!$B$34/100))+MIN((Skills!T18*(1+Inputs!$B$34/100)),MAX(0,Inputs!$B$43-((R179-1)*Skills!D18))))/Inputs!$B$43),IF(Inputs!$B$38="pvp",MIN((Skills!T18*(1+Inputs!$B$34/100)),15)/15,(Skills!T18*(1+Inputs!$B$34/100))/Skills!D18)))</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Skills!T16*(1+Inputs!$B$34/100))+MIN((Skills!T16*(1+Inputs!$B$34/100)),MAX(0,Inputs!$B$43-((R177-1)*Skills!D16))))/Inputs!$B$43),IF(Inputs!$B$38="pvp",MIN((Skills!T16*(1+Inputs!$B$34/100)),15)/15,(Skills!T16*(1+Inputs!$B$34/100))/Skills!D16))</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IFERROR(1/IF(Inputs!$B$38="pvp",15,MAX(0.1,Skills!D5-IF(Skills!E5=TRUE,Inputs!$B$32,0))),0)</f>
        <v/>
      </c>
      <c r="R211">
        <f>IF(AND(Inputs!$B$38&lt;&gt;"pvp",Inputs!$B$43&gt;0),IF(MAX(0,Inputs!$B$43-B245)&lt;=0,0,(INT(MAX(0,Inputs!$B$43-B245)/IF(Inputs!$B$38="pvp",15,MAX(0.1,Skills!D5-IF(Skills!E5=TRUE,Inputs!$B$32,0))))+1)),0)</f>
        <v/>
      </c>
      <c r="S211">
        <f>IFERROR((H211*N211*IF(AND(Inputs!$B$38&lt;&gt;"pvp",Inputs!$B$43&gt;0),((Skills!G5*((R211-1)*IF(Skills!H5&gt;0,Skills!I5/Skills!H5,1)+IF(Skills!H5&gt;0,MIN(Skills!I5,MAX(0,MAX(0,Inputs!$B$43-B245)-((R211-1)*IF(Inputs!$B$38="pvp",15,MAX(0.1,Skills!D5-IF(Skills!E5=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Skills!E5=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Skills!E5=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IFERROR(1/IF(Inputs!$B$38="pvp",15,MAX(0.1,Skills!D6-IF(Skills!E6=TRUE,Inputs!$B$32,0))),0)</f>
        <v/>
      </c>
      <c r="R212">
        <f>IF(AND(Inputs!$B$38&lt;&gt;"pvp",Inputs!$B$43&gt;0),IF(MAX(0,Inputs!$B$43-B245)&lt;=0,0,(INT(MAX(0,Inputs!$B$43-B245)/IF(Inputs!$B$38="pvp",15,MAX(0.1,Skills!D6-IF(Skills!E6=TRUE,Inputs!$B$32,0))))+1)),0)</f>
        <v/>
      </c>
      <c r="S212">
        <f>IFERROR((H212*N212*IF(AND(Inputs!$B$38&lt;&gt;"pvp",Inputs!$B$43&gt;0),((Skills!G6*((R212-1)*IF(Skills!H6&gt;0,Skills!I6/Skills!H6,1)+IF(Skills!H6&gt;0,MIN(Skills!I6,MAX(0,MAX(0,Inputs!$B$43-B245)-((R212-1)*IF(Inputs!$B$38="pvp",15,MAX(0.1,Skills!D6-IF(Skills!E6=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Skills!E6=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Skills!E6=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IFERROR(1/IF(Inputs!$B$38="pvp",15,MAX(0.1,Skills!D7-IF(Skills!E7=TRUE,Inputs!$B$32,0))),0)</f>
        <v/>
      </c>
      <c r="R213">
        <f>IF(AND(Inputs!$B$38&lt;&gt;"pvp",Inputs!$B$43&gt;0),IF(MAX(0,Inputs!$B$43-B245)&lt;=0,0,(INT(MAX(0,Inputs!$B$43-B245)/IF(Inputs!$B$38="pvp",15,MAX(0.1,Skills!D7-IF(Skills!E7=TRUE,Inputs!$B$32,0))))+1)),0)</f>
        <v/>
      </c>
      <c r="S213">
        <f>IFERROR((H213*N213*IF(AND(Inputs!$B$38&lt;&gt;"pvp",Inputs!$B$43&gt;0),((Skills!G7*((R213-1)*IF(Skills!H7&gt;0,Skills!I7/Skills!H7,1)+IF(Skills!H7&gt;0,MIN(Skills!I7,MAX(0,MAX(0,Inputs!$B$43-B245)-((R213-1)*IF(Inputs!$B$38="pvp",15,MAX(0.1,Skills!D7-IF(Skills!E7=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Skills!E7=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Skills!E7=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IFERROR(1/IF(Inputs!$B$38="pvp",15,MAX(0.1,Skills!D9-IF(Skills!E9=TRUE,Inputs!$B$32,0))),0)</f>
        <v/>
      </c>
      <c r="R215">
        <f>IF(AND(Inputs!$B$38&lt;&gt;"pvp",Inputs!$B$43&gt;0),IF(MAX(0,Inputs!$B$43-B245)&lt;=0,0,(INT(MAX(0,Inputs!$B$43-B245)/IF(Inputs!$B$38="pvp",15,MAX(0.1,Skills!D9-IF(Skills!E9=TRUE,Inputs!$B$32,0))))+1)),0)</f>
        <v/>
      </c>
      <c r="S215">
        <f>IFERROR((H215*N215*IF(AND(Inputs!$B$38&lt;&gt;"pvp",Inputs!$B$43&gt;0),((Skills!G9*((R215-1)*IF(Skills!H9&gt;0,Skills!I9/Skills!H9,1)+IF(Skills!H9&gt;0,MIN(Skills!I9,MAX(0,MAX(0,Inputs!$B$43-B245)-((R215-1)*IF(Inputs!$B$38="pvp",15,MAX(0.1,Skills!D9-IF(Skills!E9=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Skills!E9=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Skills!E9=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IFERROR(1/IF(Inputs!$B$38="pvp",15,MAX(0.1,Skills!D11-IF(Skills!E11=TRUE,Inputs!$B$32,0))),0)</f>
        <v/>
      </c>
      <c r="R217">
        <f>IF(AND(Inputs!$B$38&lt;&gt;"pvp",Inputs!$B$43&gt;0),IF(MAX(0,Inputs!$B$43-B245)&lt;=0,0,(INT(MAX(0,Inputs!$B$43-B245)/IF(Inputs!$B$38="pvp",15,MAX(0.1,Skills!D11-IF(Skills!E11=TRUE,Inputs!$B$32,0))))+1)),0)</f>
        <v/>
      </c>
      <c r="S217">
        <f>IFERROR((H217*N217*IF(AND(Inputs!$B$38&lt;&gt;"pvp",Inputs!$B$43&gt;0),((Skills!G11*((R217-1)*IF(Skills!H11&gt;0,Skills!I11/Skills!H11,1)+IF(Skills!H11&gt;0,MIN(Skills!I11,MAX(0,MAX(0,Inputs!$B$43-B245)-((R217-1)*IF(Inputs!$B$38="pvp",15,MAX(0.1,Skills!D11-IF(Skills!E11=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Skills!E11=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Skills!E11=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IFERROR(1/IF(Inputs!$B$38="pvp",15,MAX(0.1,Skills!D15-IF(Skills!E15=TRUE,Inputs!$B$32,0))),0)</f>
        <v/>
      </c>
      <c r="R221">
        <f>IF(AND(Inputs!$B$38&lt;&gt;"pvp",Inputs!$B$43&gt;0),IF(Inputs!$B$43&lt;=0,0,(INT(Inputs!$B$43/IF(Inputs!$B$38="pvp",15,MAX(0.1,Skills!D15-IF(Skills!E15=TRUE,Inputs!$B$32,0))))+1)),0)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IFERROR(1/IF(Inputs!$B$38="pvp",15,MAX(0.1,Skills!D16-IF(Skills!E16=TRUE,Inputs!$B$32,0))),0)</f>
        <v/>
      </c>
      <c r="R222">
        <f>IF(AND(Inputs!$B$38&lt;&gt;"pvp",Inputs!$B$43&gt;0),IF(Inputs!$B$43&lt;=0,0,(INT(Inputs!$B$43/IF(Inputs!$B$38="pvp",15,MAX(0.1,Skills!D16-IF(Skills!E16=TRUE,Inputs!$B$32,0))))+1)),0)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IFERROR(1/IF(Inputs!$B$38="pvp",15,MAX(0.1,Skills!D18-IF(Skills!E18=TRUE,Inputs!$B$32,0))),0)</f>
        <v/>
      </c>
      <c r="R224">
        <f>IF(AND(Inputs!$B$38&lt;&gt;"pvp",Inputs!$B$43&gt;0),IF(Inputs!$B$43&lt;=0,0,(INT(Inputs!$B$43/IF(Inputs!$B$38="pvp",15,MAX(0.1,Skills!D18-IF(Skills!E18=TRUE,Inputs!$B$32,0))))+1)),0)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f>(C222=TRUE)*20*IF(AND(Inputs!$B$38&lt;&gt;"pvp",Inputs!$B$43&gt;0),(((R222-1)*(Skills!T16*(1+Inputs!$B$34/100))+MIN((Skills!T16*(1+Inputs!$B$34/100)),MAX(0,Inputs!$B$43-((R222-1)*Skills!D16))))/Inputs!$B$43),IF(Inputs!$B$38="pvp",MIN((Skills!T16*(1+Inputs!$B$34/100)),15)/15,(Skills!T16*(1+Inputs!$B$34/100))/Skills!D16))</f>
        <v/>
      </c>
    </row>
    <row r="239">
      <c r="A239" t="inlineStr">
        <is>
          <t>Attack Speed Buff Bonus %</t>
        </is>
      </c>
      <c r="B239">
        <f>((C224=TRUE)*F224*IF(AND(Inputs!$B$38&lt;&gt;"pvp",Inputs!$B$43&gt;0),(((R224-1)*(Skills!T18*(1+Inputs!$B$34/100))+MIN((Skills!T18*(1+Inputs!$B$34/100)),MAX(0,Inputs!$B$43-((R224-1)*Skills!D18))))/Inputs!$B$43),IF(Inputs!$B$38="pvp",MIN((Skills!T18*(1+Inputs!$B$34/100)),15)/15,(Skills!T18*(1+Inputs!$B$34/100))/Skills!D18)))</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Skills!T16*(1+Inputs!$B$34/100))+MIN((Skills!T16*(1+Inputs!$B$34/100)),MAX(0,Inputs!$B$43-((R222-1)*Skills!D16))))/Inputs!$B$43),IF(Inputs!$B$38="pvp",MIN((Skills!T16*(1+Inputs!$B$34/100)),15)/15,(Skills!T16*(1+Inputs!$B$34/100))/Skills!D16))</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IFERROR(1/IF(Inputs!$B$38="pvp",15,MAX(0.1,Skills!D5-IF(Skills!E5=TRUE,Inputs!$B$32,0))),0)</f>
        <v/>
      </c>
      <c r="R256">
        <f>IF(AND(Inputs!$B$38&lt;&gt;"pvp",Inputs!$B$43&gt;0),IF(MAX(0,Inputs!$B$43-B290)&lt;=0,0,(INT(MAX(0,Inputs!$B$43-B290)/IF(Inputs!$B$38="pvp",15,MAX(0.1,Skills!D5-IF(Skills!E5=TRUE,Inputs!$B$32,0))))+1)),0)</f>
        <v/>
      </c>
      <c r="S256">
        <f>IFERROR((H256*N256*IF(AND(Inputs!$B$38&lt;&gt;"pvp",Inputs!$B$43&gt;0),((Skills!G5*((R256-1)*IF(Skills!H5&gt;0,Skills!I5/Skills!H5,1)+IF(Skills!H5&gt;0,MIN(Skills!I5,MAX(0,MAX(0,Inputs!$B$43-B290)-((R256-1)*IF(Inputs!$B$38="pvp",15,MAX(0.1,Skills!D5-IF(Skills!E5=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Skills!E5=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Skills!E5=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IFERROR(1/IF(Inputs!$B$38="pvp",15,MAX(0.1,Skills!D6-IF(Skills!E6=TRUE,Inputs!$B$32,0))),0)</f>
        <v/>
      </c>
      <c r="R257">
        <f>IF(AND(Inputs!$B$38&lt;&gt;"pvp",Inputs!$B$43&gt;0),IF(MAX(0,Inputs!$B$43-B290)&lt;=0,0,(INT(MAX(0,Inputs!$B$43-B290)/IF(Inputs!$B$38="pvp",15,MAX(0.1,Skills!D6-IF(Skills!E6=TRUE,Inputs!$B$32,0))))+1)),0)</f>
        <v/>
      </c>
      <c r="S257">
        <f>IFERROR((H257*N257*IF(AND(Inputs!$B$38&lt;&gt;"pvp",Inputs!$B$43&gt;0),((Skills!G6*((R257-1)*IF(Skills!H6&gt;0,Skills!I6/Skills!H6,1)+IF(Skills!H6&gt;0,MIN(Skills!I6,MAX(0,MAX(0,Inputs!$B$43-B290)-((R257-1)*IF(Inputs!$B$38="pvp",15,MAX(0.1,Skills!D6-IF(Skills!E6=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Skills!E6=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Skills!E6=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IFERROR(1/IF(Inputs!$B$38="pvp",15,MAX(0.1,Skills!D7-IF(Skills!E7=TRUE,Inputs!$B$32,0))),0)</f>
        <v/>
      </c>
      <c r="R258">
        <f>IF(AND(Inputs!$B$38&lt;&gt;"pvp",Inputs!$B$43&gt;0),IF(MAX(0,Inputs!$B$43-B290)&lt;=0,0,(INT(MAX(0,Inputs!$B$43-B290)/IF(Inputs!$B$38="pvp",15,MAX(0.1,Skills!D7-IF(Skills!E7=TRUE,Inputs!$B$32,0))))+1)),0)</f>
        <v/>
      </c>
      <c r="S258">
        <f>IFERROR((H258*N258*IF(AND(Inputs!$B$38&lt;&gt;"pvp",Inputs!$B$43&gt;0),((Skills!G7*((R258-1)*IF(Skills!H7&gt;0,Skills!I7/Skills!H7,1)+IF(Skills!H7&gt;0,MIN(Skills!I7,MAX(0,MAX(0,Inputs!$B$43-B290)-((R258-1)*IF(Inputs!$B$38="pvp",15,MAX(0.1,Skills!D7-IF(Skills!E7=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Skills!E7=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Skills!E7=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IFERROR(1/IF(Inputs!$B$38="pvp",15,MAX(0.1,Skills!D9-IF(Skills!E9=TRUE,Inputs!$B$32,0))),0)</f>
        <v/>
      </c>
      <c r="R260">
        <f>IF(AND(Inputs!$B$38&lt;&gt;"pvp",Inputs!$B$43&gt;0),IF(MAX(0,Inputs!$B$43-B290)&lt;=0,0,(INT(MAX(0,Inputs!$B$43-B290)/IF(Inputs!$B$38="pvp",15,MAX(0.1,Skills!D9-IF(Skills!E9=TRUE,Inputs!$B$32,0))))+1)),0)</f>
        <v/>
      </c>
      <c r="S260">
        <f>IFERROR((H260*N260*IF(AND(Inputs!$B$38&lt;&gt;"pvp",Inputs!$B$43&gt;0),((Skills!G9*((R260-1)*IF(Skills!H9&gt;0,Skills!I9/Skills!H9,1)+IF(Skills!H9&gt;0,MIN(Skills!I9,MAX(0,MAX(0,Inputs!$B$43-B290)-((R260-1)*IF(Inputs!$B$38="pvp",15,MAX(0.1,Skills!D9-IF(Skills!E9=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Skills!E9=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Skills!E9=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IFERROR(1/IF(Inputs!$B$38="pvp",15,MAX(0.1,Skills!D11-IF(Skills!E11=TRUE,Inputs!$B$32,0))),0)</f>
        <v/>
      </c>
      <c r="R262">
        <f>IF(AND(Inputs!$B$38&lt;&gt;"pvp",Inputs!$B$43&gt;0),IF(MAX(0,Inputs!$B$43-B290)&lt;=0,0,(INT(MAX(0,Inputs!$B$43-B290)/IF(Inputs!$B$38="pvp",15,MAX(0.1,Skills!D11-IF(Skills!E11=TRUE,Inputs!$B$32,0))))+1)),0)</f>
        <v/>
      </c>
      <c r="S262">
        <f>IFERROR((H262*N262*IF(AND(Inputs!$B$38&lt;&gt;"pvp",Inputs!$B$43&gt;0),((Skills!G11*((R262-1)*IF(Skills!H11&gt;0,Skills!I11/Skills!H11,1)+IF(Skills!H11&gt;0,MIN(Skills!I11,MAX(0,MAX(0,Inputs!$B$43-B290)-((R262-1)*IF(Inputs!$B$38="pvp",15,MAX(0.1,Skills!D11-IF(Skills!E11=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Skills!E11=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Skills!E11=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IFERROR(1/IF(Inputs!$B$38="pvp",15,MAX(0.1,Skills!D15-IF(Skills!E15=TRUE,Inputs!$B$32,0))),0)</f>
        <v/>
      </c>
      <c r="R266">
        <f>IF(AND(Inputs!$B$38&lt;&gt;"pvp",Inputs!$B$43&gt;0),IF(Inputs!$B$43&lt;=0,0,(INT(Inputs!$B$43/IF(Inputs!$B$38="pvp",15,MAX(0.1,Skills!D15-IF(Skills!E15=TRUE,Inputs!$B$32,0))))+1)),0)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IFERROR(1/IF(Inputs!$B$38="pvp",15,MAX(0.1,Skills!D16-IF(Skills!E16=TRUE,Inputs!$B$32,0))),0)</f>
        <v/>
      </c>
      <c r="R267">
        <f>IF(AND(Inputs!$B$38&lt;&gt;"pvp",Inputs!$B$43&gt;0),IF(Inputs!$B$43&lt;=0,0,(INT(Inputs!$B$43/IF(Inputs!$B$38="pvp",15,MAX(0.1,Skills!D16-IF(Skills!E16=TRUE,Inputs!$B$32,0))))+1)),0)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IFERROR(1/IF(Inputs!$B$38="pvp",15,MAX(0.1,Skills!D18-IF(Skills!E18=TRUE,Inputs!$B$32,0))),0)</f>
        <v/>
      </c>
      <c r="R269">
        <f>IF(AND(Inputs!$B$38&lt;&gt;"pvp",Inputs!$B$43&gt;0),IF(Inputs!$B$43&lt;=0,0,(INT(Inputs!$B$43/IF(Inputs!$B$38="pvp",15,MAX(0.1,Skills!D18-IF(Skills!E18=TRUE,Inputs!$B$32,0))))+1)),0)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f>(C267=TRUE)*20*IF(AND(Inputs!$B$38&lt;&gt;"pvp",Inputs!$B$43&gt;0),(((R267-1)*(Skills!T16*(1+Inputs!$B$34/100))+MIN((Skills!T16*(1+Inputs!$B$34/100)),MAX(0,Inputs!$B$43-((R267-1)*Skills!D16))))/Inputs!$B$43),IF(Inputs!$B$38="pvp",MIN((Skills!T16*(1+Inputs!$B$34/100)),15)/15,(Skills!T16*(1+Inputs!$B$34/100))/Skills!D16))</f>
        <v/>
      </c>
    </row>
    <row r="284">
      <c r="A284" t="inlineStr">
        <is>
          <t>Attack Speed Buff Bonus %</t>
        </is>
      </c>
      <c r="B284">
        <f>((C269=TRUE)*F269*IF(AND(Inputs!$B$38&lt;&gt;"pvp",Inputs!$B$43&gt;0),(((R269-1)*(Skills!T18*(1+Inputs!$B$34/100))+MIN((Skills!T18*(1+Inputs!$B$34/100)),MAX(0,Inputs!$B$43-((R269-1)*Skills!D18))))/Inputs!$B$43),IF(Inputs!$B$38="pvp",MIN((Skills!T18*(1+Inputs!$B$34/100)),15)/15,(Skills!T18*(1+Inputs!$B$34/100))/Skills!D18)))</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Skills!T16*(1+Inputs!$B$34/100))+MIN((Skills!T16*(1+Inputs!$B$34/100)),MAX(0,Inputs!$B$43-((R267-1)*Skills!D16))))/Inputs!$B$43),IF(Inputs!$B$38="pvp",MIN((Skills!T16*(1+Inputs!$B$34/100)),15)/15,(Skills!T16*(1+Inputs!$B$34/100))/Skills!D16))</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IFERROR(1/IF(Inputs!$B$38="pvp",15,MAX(0.1,Skills!D5-IF(Skills!E5=TRUE,Inputs!$B$32,0))),0)</f>
        <v/>
      </c>
      <c r="R301">
        <f>IF(AND(Inputs!$B$38&lt;&gt;"pvp",Inputs!$B$43&gt;0),IF(MAX(0,Inputs!$B$43-B335)&lt;=0,0,(INT(MAX(0,Inputs!$B$43-B335)/IF(Inputs!$B$38="pvp",15,MAX(0.1,Skills!D5-IF(Skills!E5=TRUE,Inputs!$B$32,0))))+1)),0)</f>
        <v/>
      </c>
      <c r="S301">
        <f>IFERROR((H301*N301*IF(AND(Inputs!$B$38&lt;&gt;"pvp",Inputs!$B$43&gt;0),((Skills!G5*((R301-1)*IF(Skills!H5&gt;0,Skills!I5/Skills!H5,1)+IF(Skills!H5&gt;0,MIN(Skills!I5,MAX(0,MAX(0,Inputs!$B$43-B335)-((R301-1)*IF(Inputs!$B$38="pvp",15,MAX(0.1,Skills!D5-IF(Skills!E5=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Skills!E5=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Skills!E5=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IFERROR(1/IF(Inputs!$B$38="pvp",15,MAX(0.1,Skills!D6-IF(Skills!E6=TRUE,Inputs!$B$32,0))),0)</f>
        <v/>
      </c>
      <c r="R302">
        <f>IF(AND(Inputs!$B$38&lt;&gt;"pvp",Inputs!$B$43&gt;0),IF(MAX(0,Inputs!$B$43-B335)&lt;=0,0,(INT(MAX(0,Inputs!$B$43-B335)/IF(Inputs!$B$38="pvp",15,MAX(0.1,Skills!D6-IF(Skills!E6=TRUE,Inputs!$B$32,0))))+1)),0)</f>
        <v/>
      </c>
      <c r="S302">
        <f>IFERROR((H302*N302*IF(AND(Inputs!$B$38&lt;&gt;"pvp",Inputs!$B$43&gt;0),((Skills!G6*((R302-1)*IF(Skills!H6&gt;0,Skills!I6/Skills!H6,1)+IF(Skills!H6&gt;0,MIN(Skills!I6,MAX(0,MAX(0,Inputs!$B$43-B335)-((R302-1)*IF(Inputs!$B$38="pvp",15,MAX(0.1,Skills!D6-IF(Skills!E6=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Skills!E6=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Skills!E6=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IFERROR(1/IF(Inputs!$B$38="pvp",15,MAX(0.1,Skills!D7-IF(Skills!E7=TRUE,Inputs!$B$32,0))),0)</f>
        <v/>
      </c>
      <c r="R303">
        <f>IF(AND(Inputs!$B$38&lt;&gt;"pvp",Inputs!$B$43&gt;0),IF(MAX(0,Inputs!$B$43-B335)&lt;=0,0,(INT(MAX(0,Inputs!$B$43-B335)/IF(Inputs!$B$38="pvp",15,MAX(0.1,Skills!D7-IF(Skills!E7=TRUE,Inputs!$B$32,0))))+1)),0)</f>
        <v/>
      </c>
      <c r="S303">
        <f>IFERROR((H303*N303*IF(AND(Inputs!$B$38&lt;&gt;"pvp",Inputs!$B$43&gt;0),((Skills!G7*((R303-1)*IF(Skills!H7&gt;0,Skills!I7/Skills!H7,1)+IF(Skills!H7&gt;0,MIN(Skills!I7,MAX(0,MAX(0,Inputs!$B$43-B335)-((R303-1)*IF(Inputs!$B$38="pvp",15,MAX(0.1,Skills!D7-IF(Skills!E7=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Skills!E7=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Skills!E7=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IFERROR(1/IF(Inputs!$B$38="pvp",15,MAX(0.1,Skills!D9-IF(Skills!E9=TRUE,Inputs!$B$32,0))),0)</f>
        <v/>
      </c>
      <c r="R305">
        <f>IF(AND(Inputs!$B$38&lt;&gt;"pvp",Inputs!$B$43&gt;0),IF(MAX(0,Inputs!$B$43-B335)&lt;=0,0,(INT(MAX(0,Inputs!$B$43-B335)/IF(Inputs!$B$38="pvp",15,MAX(0.1,Skills!D9-IF(Skills!E9=TRUE,Inputs!$B$32,0))))+1)),0)</f>
        <v/>
      </c>
      <c r="S305">
        <f>IFERROR((H305*N305*IF(AND(Inputs!$B$38&lt;&gt;"pvp",Inputs!$B$43&gt;0),((Skills!G9*((R305-1)*IF(Skills!H9&gt;0,Skills!I9/Skills!H9,1)+IF(Skills!H9&gt;0,MIN(Skills!I9,MAX(0,MAX(0,Inputs!$B$43-B335)-((R305-1)*IF(Inputs!$B$38="pvp",15,MAX(0.1,Skills!D9-IF(Skills!E9=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Skills!E9=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Skills!E9=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IFERROR(1/IF(Inputs!$B$38="pvp",15,MAX(0.1,Skills!D11-IF(Skills!E11=TRUE,Inputs!$B$32,0))),0)</f>
        <v/>
      </c>
      <c r="R307">
        <f>IF(AND(Inputs!$B$38&lt;&gt;"pvp",Inputs!$B$43&gt;0),IF(MAX(0,Inputs!$B$43-B335)&lt;=0,0,(INT(MAX(0,Inputs!$B$43-B335)/IF(Inputs!$B$38="pvp",15,MAX(0.1,Skills!D11-IF(Skills!E11=TRUE,Inputs!$B$32,0))))+1)),0)</f>
        <v/>
      </c>
      <c r="S307">
        <f>IFERROR((H307*N307*IF(AND(Inputs!$B$38&lt;&gt;"pvp",Inputs!$B$43&gt;0),((Skills!G11*((R307-1)*IF(Skills!H11&gt;0,Skills!I11/Skills!H11,1)+IF(Skills!H11&gt;0,MIN(Skills!I11,MAX(0,MAX(0,Inputs!$B$43-B335)-((R307-1)*IF(Inputs!$B$38="pvp",15,MAX(0.1,Skills!D11-IF(Skills!E11=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Skills!E11=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Skills!E11=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IFERROR(1/IF(Inputs!$B$38="pvp",15,MAX(0.1,Skills!D15-IF(Skills!E15=TRUE,Inputs!$B$32,0))),0)</f>
        <v/>
      </c>
      <c r="R311">
        <f>IF(AND(Inputs!$B$38&lt;&gt;"pvp",Inputs!$B$43&gt;0),IF(Inputs!$B$43&lt;=0,0,(INT(Inputs!$B$43/IF(Inputs!$B$38="pvp",15,MAX(0.1,Skills!D15-IF(Skills!E15=TRUE,Inputs!$B$32,0))))+1)),0)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IFERROR(1/IF(Inputs!$B$38="pvp",15,MAX(0.1,Skills!D16-IF(Skills!E16=TRUE,Inputs!$B$32,0))),0)</f>
        <v/>
      </c>
      <c r="R312">
        <f>IF(AND(Inputs!$B$38&lt;&gt;"pvp",Inputs!$B$43&gt;0),IF(Inputs!$B$43&lt;=0,0,(INT(Inputs!$B$43/IF(Inputs!$B$38="pvp",15,MAX(0.1,Skills!D16-IF(Skills!E16=TRUE,Inputs!$B$32,0))))+1)),0)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IFERROR(1/IF(Inputs!$B$38="pvp",15,MAX(0.1,Skills!D18-IF(Skills!E18=TRUE,Inputs!$B$32,0))),0)</f>
        <v/>
      </c>
      <c r="R314">
        <f>IF(AND(Inputs!$B$38&lt;&gt;"pvp",Inputs!$B$43&gt;0),IF(Inputs!$B$43&lt;=0,0,(INT(Inputs!$B$43/IF(Inputs!$B$38="pvp",15,MAX(0.1,Skills!D18-IF(Skills!E18=TRUE,Inputs!$B$32,0))))+1)),0)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f>(C312=TRUE)*20*IF(AND(Inputs!$B$38&lt;&gt;"pvp",Inputs!$B$43&gt;0),(((R312-1)*(Skills!T16*(1+Inputs!$B$34/100))+MIN((Skills!T16*(1+Inputs!$B$34/100)),MAX(0,Inputs!$B$43-((R312-1)*Skills!D16))))/Inputs!$B$43),IF(Inputs!$B$38="pvp",MIN((Skills!T16*(1+Inputs!$B$34/100)),15)/15,(Skills!T16*(1+Inputs!$B$34/100))/Skills!D16))</f>
        <v/>
      </c>
    </row>
    <row r="329">
      <c r="A329" t="inlineStr">
        <is>
          <t>Attack Speed Buff Bonus %</t>
        </is>
      </c>
      <c r="B329">
        <f>((C314=TRUE)*F314*IF(AND(Inputs!$B$38&lt;&gt;"pvp",Inputs!$B$43&gt;0),(((R314-1)*(Skills!T18*(1+Inputs!$B$34/100))+MIN((Skills!T18*(1+Inputs!$B$34/100)),MAX(0,Inputs!$B$43-((R314-1)*Skills!D18))))/Inputs!$B$43),IF(Inputs!$B$38="pvp",MIN((Skills!T18*(1+Inputs!$B$34/100)),15)/15,(Skills!T18*(1+Inputs!$B$34/100))/Skills!D18)))</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Skills!T16*(1+Inputs!$B$34/100))+MIN((Skills!T16*(1+Inputs!$B$34/100)),MAX(0,Inputs!$B$43-((R312-1)*Skills!D16))))/Inputs!$B$43),IF(Inputs!$B$38="pvp",MIN((Skills!T16*(1+Inputs!$B$34/100)),15)/15,(Skills!T16*(1+Inputs!$B$34/100))/Skills!D16))</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IFERROR(1/IF(Inputs!$B$38="pvp",15,MAX(0.1,Skills!D5-IF(Skills!E5=TRUE,Inputs!$B$32,0))),0)</f>
        <v/>
      </c>
      <c r="R346">
        <f>IF(AND(Inputs!$B$38&lt;&gt;"pvp",Inputs!$B$43&gt;0),IF(MAX(0,Inputs!$B$43-B380)&lt;=0,0,(INT(MAX(0,Inputs!$B$43-B380)/IF(Inputs!$B$38="pvp",15,MAX(0.1,Skills!D5-IF(Skills!E5=TRUE,Inputs!$B$32,0))))+1)),0)</f>
        <v/>
      </c>
      <c r="S346">
        <f>IFERROR((H346*N346*IF(AND(Inputs!$B$38&lt;&gt;"pvp",Inputs!$B$43&gt;0),((Skills!G5*((R346-1)*IF(Skills!H5&gt;0,Skills!I5/Skills!H5,1)+IF(Skills!H5&gt;0,MIN(Skills!I5,MAX(0,MAX(0,Inputs!$B$43-B380)-((R346-1)*IF(Inputs!$B$38="pvp",15,MAX(0.1,Skills!D5-IF(Skills!E5=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Skills!E5=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Skills!E5=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IFERROR(1/IF(Inputs!$B$38="pvp",15,MAX(0.1,Skills!D6-IF(Skills!E6=TRUE,Inputs!$B$32,0))),0)</f>
        <v/>
      </c>
      <c r="R347">
        <f>IF(AND(Inputs!$B$38&lt;&gt;"pvp",Inputs!$B$43&gt;0),IF(MAX(0,Inputs!$B$43-B380)&lt;=0,0,(INT(MAX(0,Inputs!$B$43-B380)/IF(Inputs!$B$38="pvp",15,MAX(0.1,Skills!D6-IF(Skills!E6=TRUE,Inputs!$B$32,0))))+1)),0)</f>
        <v/>
      </c>
      <c r="S347">
        <f>IFERROR((H347*N347*IF(AND(Inputs!$B$38&lt;&gt;"pvp",Inputs!$B$43&gt;0),((Skills!G6*((R347-1)*IF(Skills!H6&gt;0,Skills!I6/Skills!H6,1)+IF(Skills!H6&gt;0,MIN(Skills!I6,MAX(0,MAX(0,Inputs!$B$43-B380)-((R347-1)*IF(Inputs!$B$38="pvp",15,MAX(0.1,Skills!D6-IF(Skills!E6=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Skills!E6=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Skills!E6=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IFERROR(1/IF(Inputs!$B$38="pvp",15,MAX(0.1,Skills!D7-IF(Skills!E7=TRUE,Inputs!$B$32,0))),0)</f>
        <v/>
      </c>
      <c r="R348">
        <f>IF(AND(Inputs!$B$38&lt;&gt;"pvp",Inputs!$B$43&gt;0),IF(MAX(0,Inputs!$B$43-B380)&lt;=0,0,(INT(MAX(0,Inputs!$B$43-B380)/IF(Inputs!$B$38="pvp",15,MAX(0.1,Skills!D7-IF(Skills!E7=TRUE,Inputs!$B$32,0))))+1)),0)</f>
        <v/>
      </c>
      <c r="S348">
        <f>IFERROR((H348*N348*IF(AND(Inputs!$B$38&lt;&gt;"pvp",Inputs!$B$43&gt;0),((Skills!G7*((R348-1)*IF(Skills!H7&gt;0,Skills!I7/Skills!H7,1)+IF(Skills!H7&gt;0,MIN(Skills!I7,MAX(0,MAX(0,Inputs!$B$43-B380)-((R348-1)*IF(Inputs!$B$38="pvp",15,MAX(0.1,Skills!D7-IF(Skills!E7=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Skills!E7=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Skills!E7=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IFERROR(1/IF(Inputs!$B$38="pvp",15,MAX(0.1,Skills!D9-IF(Skills!E9=TRUE,Inputs!$B$32,0))),0)</f>
        <v/>
      </c>
      <c r="R350">
        <f>IF(AND(Inputs!$B$38&lt;&gt;"pvp",Inputs!$B$43&gt;0),IF(MAX(0,Inputs!$B$43-B380)&lt;=0,0,(INT(MAX(0,Inputs!$B$43-B380)/IF(Inputs!$B$38="pvp",15,MAX(0.1,Skills!D9-IF(Skills!E9=TRUE,Inputs!$B$32,0))))+1)),0)</f>
        <v/>
      </c>
      <c r="S350">
        <f>IFERROR((H350*N350*IF(AND(Inputs!$B$38&lt;&gt;"pvp",Inputs!$B$43&gt;0),((Skills!G9*((R350-1)*IF(Skills!H9&gt;0,Skills!I9/Skills!H9,1)+IF(Skills!H9&gt;0,MIN(Skills!I9,MAX(0,MAX(0,Inputs!$B$43-B380)-((R350-1)*IF(Inputs!$B$38="pvp",15,MAX(0.1,Skills!D9-IF(Skills!E9=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Skills!E9=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Skills!E9=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IFERROR(1/IF(Inputs!$B$38="pvp",15,MAX(0.1,Skills!D11-IF(Skills!E11=TRUE,Inputs!$B$32,0))),0)</f>
        <v/>
      </c>
      <c r="R352">
        <f>IF(AND(Inputs!$B$38&lt;&gt;"pvp",Inputs!$B$43&gt;0),IF(MAX(0,Inputs!$B$43-B380)&lt;=0,0,(INT(MAX(0,Inputs!$B$43-B380)/IF(Inputs!$B$38="pvp",15,MAX(0.1,Skills!D11-IF(Skills!E11=TRUE,Inputs!$B$32,0))))+1)),0)</f>
        <v/>
      </c>
      <c r="S352">
        <f>IFERROR((H352*N352*IF(AND(Inputs!$B$38&lt;&gt;"pvp",Inputs!$B$43&gt;0),((Skills!G11*((R352-1)*IF(Skills!H11&gt;0,Skills!I11/Skills!H11,1)+IF(Skills!H11&gt;0,MIN(Skills!I11,MAX(0,MAX(0,Inputs!$B$43-B380)-((R352-1)*IF(Inputs!$B$38="pvp",15,MAX(0.1,Skills!D11-IF(Skills!E11=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Skills!E11=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Skills!E11=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IFERROR(1/IF(Inputs!$B$38="pvp",15,MAX(0.1,Skills!D15-IF(Skills!E15=TRUE,Inputs!$B$32,0))),0)</f>
        <v/>
      </c>
      <c r="R356">
        <f>IF(AND(Inputs!$B$38&lt;&gt;"pvp",Inputs!$B$43&gt;0),IF(Inputs!$B$43&lt;=0,0,(INT(Inputs!$B$43/IF(Inputs!$B$38="pvp",15,MAX(0.1,Skills!D15-IF(Skills!E15=TRUE,Inputs!$B$32,0))))+1)),0)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IFERROR(1/IF(Inputs!$B$38="pvp",15,MAX(0.1,Skills!D16-IF(Skills!E16=TRUE,Inputs!$B$32,0))),0)</f>
        <v/>
      </c>
      <c r="R357">
        <f>IF(AND(Inputs!$B$38&lt;&gt;"pvp",Inputs!$B$43&gt;0),IF(Inputs!$B$43&lt;=0,0,(INT(Inputs!$B$43/IF(Inputs!$B$38="pvp",15,MAX(0.1,Skills!D16-IF(Skills!E16=TRUE,Inputs!$B$32,0))))+1)),0)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IFERROR(1/IF(Inputs!$B$38="pvp",15,MAX(0.1,Skills!D18-IF(Skills!E18=TRUE,Inputs!$B$32,0))),0)</f>
        <v/>
      </c>
      <c r="R359">
        <f>IF(AND(Inputs!$B$38&lt;&gt;"pvp",Inputs!$B$43&gt;0),IF(Inputs!$B$43&lt;=0,0,(INT(Inputs!$B$43/IF(Inputs!$B$38="pvp",15,MAX(0.1,Skills!D18-IF(Skills!E18=TRUE,Inputs!$B$32,0))))+1)),0)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f>(C357=TRUE)*20*IF(AND(Inputs!$B$38&lt;&gt;"pvp",Inputs!$B$43&gt;0),(((R357-1)*(Skills!T16*(1+Inputs!$B$34/100))+MIN((Skills!T16*(1+Inputs!$B$34/100)),MAX(0,Inputs!$B$43-((R357-1)*Skills!D16))))/Inputs!$B$43),IF(Inputs!$B$38="pvp",MIN((Skills!T16*(1+Inputs!$B$34/100)),15)/15,(Skills!T16*(1+Inputs!$B$34/100))/Skills!D16))</f>
        <v/>
      </c>
    </row>
    <row r="374">
      <c r="A374" t="inlineStr">
        <is>
          <t>Attack Speed Buff Bonus %</t>
        </is>
      </c>
      <c r="B374">
        <f>((C359=TRUE)*F359*IF(AND(Inputs!$B$38&lt;&gt;"pvp",Inputs!$B$43&gt;0),(((R359-1)*(Skills!T18*(1+Inputs!$B$34/100))+MIN((Skills!T18*(1+Inputs!$B$34/100)),MAX(0,Inputs!$B$43-((R359-1)*Skills!D18))))/Inputs!$B$43),IF(Inputs!$B$38="pvp",MIN((Skills!T18*(1+Inputs!$B$34/100)),15)/15,(Skills!T18*(1+Inputs!$B$34/100))/Skills!D18)))</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Skills!T16*(1+Inputs!$B$34/100))+MIN((Skills!T16*(1+Inputs!$B$34/100)),MAX(0,Inputs!$B$43-((R357-1)*Skills!D16))))/Inputs!$B$43),IF(Inputs!$B$38="pvp",MIN((Skills!T16*(1+Inputs!$B$34/100)),15)/15,(Skills!T16*(1+Inputs!$B$34/100))/Skills!D16))</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IFERROR(1/IF(Inputs!$B$38="pvp",15,MAX(0.1,Skills!D5-IF(Skills!E5=TRUE,Inputs!$B$32,0))),0)</f>
        <v/>
      </c>
      <c r="R391">
        <f>IF(AND(Inputs!$B$38&lt;&gt;"pvp",Inputs!$B$43&gt;0),IF(MAX(0,Inputs!$B$43-B425)&lt;=0,0,(INT(MAX(0,Inputs!$B$43-B425)/IF(Inputs!$B$38="pvp",15,MAX(0.1,Skills!D5-IF(Skills!E5=TRUE,Inputs!$B$32,0))))+1)),0)</f>
        <v/>
      </c>
      <c r="S391">
        <f>IFERROR((H391*N391*IF(AND(Inputs!$B$38&lt;&gt;"pvp",Inputs!$B$43&gt;0),((Skills!G5*((R391-1)*IF(Skills!H5&gt;0,Skills!I5/Skills!H5,1)+IF(Skills!H5&gt;0,MIN(Skills!I5,MAX(0,MAX(0,Inputs!$B$43-B425)-((R391-1)*IF(Inputs!$B$38="pvp",15,MAX(0.1,Skills!D5-IF(Skills!E5=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Skills!E5=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Skills!E5=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IFERROR(1/IF(Inputs!$B$38="pvp",15,MAX(0.1,Skills!D6-IF(Skills!E6=TRUE,Inputs!$B$32,0))),0)</f>
        <v/>
      </c>
      <c r="R392">
        <f>IF(AND(Inputs!$B$38&lt;&gt;"pvp",Inputs!$B$43&gt;0),IF(MAX(0,Inputs!$B$43-B425)&lt;=0,0,(INT(MAX(0,Inputs!$B$43-B425)/IF(Inputs!$B$38="pvp",15,MAX(0.1,Skills!D6-IF(Skills!E6=TRUE,Inputs!$B$32,0))))+1)),0)</f>
        <v/>
      </c>
      <c r="S392">
        <f>IFERROR((H392*N392*IF(AND(Inputs!$B$38&lt;&gt;"pvp",Inputs!$B$43&gt;0),((Skills!G6*((R392-1)*IF(Skills!H6&gt;0,Skills!I6/Skills!H6,1)+IF(Skills!H6&gt;0,MIN(Skills!I6,MAX(0,MAX(0,Inputs!$B$43-B425)-((R392-1)*IF(Inputs!$B$38="pvp",15,MAX(0.1,Skills!D6-IF(Skills!E6=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Skills!E6=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Skills!E6=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IFERROR(1/IF(Inputs!$B$38="pvp",15,MAX(0.1,Skills!D7-IF(Skills!E7=TRUE,Inputs!$B$32,0))),0)</f>
        <v/>
      </c>
      <c r="R393">
        <f>IF(AND(Inputs!$B$38&lt;&gt;"pvp",Inputs!$B$43&gt;0),IF(MAX(0,Inputs!$B$43-B425)&lt;=0,0,(INT(MAX(0,Inputs!$B$43-B425)/IF(Inputs!$B$38="pvp",15,MAX(0.1,Skills!D7-IF(Skills!E7=TRUE,Inputs!$B$32,0))))+1)),0)</f>
        <v/>
      </c>
      <c r="S393">
        <f>IFERROR((H393*N393*IF(AND(Inputs!$B$38&lt;&gt;"pvp",Inputs!$B$43&gt;0),((Skills!G7*((R393-1)*IF(Skills!H7&gt;0,Skills!I7/Skills!H7,1)+IF(Skills!H7&gt;0,MIN(Skills!I7,MAX(0,MAX(0,Inputs!$B$43-B425)-((R393-1)*IF(Inputs!$B$38="pvp",15,MAX(0.1,Skills!D7-IF(Skills!E7=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Skills!E7=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Skills!E7=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IFERROR(1/IF(Inputs!$B$38="pvp",15,MAX(0.1,Skills!D9-IF(Skills!E9=TRUE,Inputs!$B$32,0))),0)</f>
        <v/>
      </c>
      <c r="R395">
        <f>IF(AND(Inputs!$B$38&lt;&gt;"pvp",Inputs!$B$43&gt;0),IF(MAX(0,Inputs!$B$43-B425)&lt;=0,0,(INT(MAX(0,Inputs!$B$43-B425)/IF(Inputs!$B$38="pvp",15,MAX(0.1,Skills!D9-IF(Skills!E9=TRUE,Inputs!$B$32,0))))+1)),0)</f>
        <v/>
      </c>
      <c r="S395">
        <f>IFERROR((H395*N395*IF(AND(Inputs!$B$38&lt;&gt;"pvp",Inputs!$B$43&gt;0),((Skills!G9*((R395-1)*IF(Skills!H9&gt;0,Skills!I9/Skills!H9,1)+IF(Skills!H9&gt;0,MIN(Skills!I9,MAX(0,MAX(0,Inputs!$B$43-B425)-((R395-1)*IF(Inputs!$B$38="pvp",15,MAX(0.1,Skills!D9-IF(Skills!E9=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Skills!E9=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Skills!E9=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IFERROR(1/IF(Inputs!$B$38="pvp",15,MAX(0.1,Skills!D11-IF(Skills!E11=TRUE,Inputs!$B$32,0))),0)</f>
        <v/>
      </c>
      <c r="R397">
        <f>IF(AND(Inputs!$B$38&lt;&gt;"pvp",Inputs!$B$43&gt;0),IF(MAX(0,Inputs!$B$43-B425)&lt;=0,0,(INT(MAX(0,Inputs!$B$43-B425)/IF(Inputs!$B$38="pvp",15,MAX(0.1,Skills!D11-IF(Skills!E11=TRUE,Inputs!$B$32,0))))+1)),0)</f>
        <v/>
      </c>
      <c r="S397">
        <f>IFERROR((H397*N397*IF(AND(Inputs!$B$38&lt;&gt;"pvp",Inputs!$B$43&gt;0),((Skills!G11*((R397-1)*IF(Skills!H11&gt;0,Skills!I11/Skills!H11,1)+IF(Skills!H11&gt;0,MIN(Skills!I11,MAX(0,MAX(0,Inputs!$B$43-B425)-((R397-1)*IF(Inputs!$B$38="pvp",15,MAX(0.1,Skills!D11-IF(Skills!E11=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Skills!E11=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Skills!E11=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IFERROR(1/IF(Inputs!$B$38="pvp",15,MAX(0.1,Skills!D15-IF(Skills!E15=TRUE,Inputs!$B$32,0))),0)</f>
        <v/>
      </c>
      <c r="R401">
        <f>IF(AND(Inputs!$B$38&lt;&gt;"pvp",Inputs!$B$43&gt;0),IF(Inputs!$B$43&lt;=0,0,(INT(Inputs!$B$43/IF(Inputs!$B$38="pvp",15,MAX(0.1,Skills!D15-IF(Skills!E15=TRUE,Inputs!$B$32,0))))+1)),0)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IFERROR(1/IF(Inputs!$B$38="pvp",15,MAX(0.1,Skills!D16-IF(Skills!E16=TRUE,Inputs!$B$32,0))),0)</f>
        <v/>
      </c>
      <c r="R402">
        <f>IF(AND(Inputs!$B$38&lt;&gt;"pvp",Inputs!$B$43&gt;0),IF(Inputs!$B$43&lt;=0,0,(INT(Inputs!$B$43/IF(Inputs!$B$38="pvp",15,MAX(0.1,Skills!D16-IF(Skills!E16=TRUE,Inputs!$B$32,0))))+1)),0)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IFERROR(1/IF(Inputs!$B$38="pvp",15,MAX(0.1,Skills!D18-IF(Skills!E18=TRUE,Inputs!$B$32,0))),0)</f>
        <v/>
      </c>
      <c r="R404">
        <f>IF(AND(Inputs!$B$38&lt;&gt;"pvp",Inputs!$B$43&gt;0),IF(Inputs!$B$43&lt;=0,0,(INT(Inputs!$B$43/IF(Inputs!$B$38="pvp",15,MAX(0.1,Skills!D18-IF(Skills!E18=TRUE,Inputs!$B$32,0))))+1)),0)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f>(C402=TRUE)*20*IF(AND(Inputs!$B$38&lt;&gt;"pvp",Inputs!$B$43&gt;0),(((R402-1)*(Skills!T16*(1+Inputs!$B$34/100))+MIN((Skills!T16*(1+Inputs!$B$34/100)),MAX(0,Inputs!$B$43-((R402-1)*Skills!D16))))/Inputs!$B$43),IF(Inputs!$B$38="pvp",MIN((Skills!T16*(1+Inputs!$B$34/100)),15)/15,(Skills!T16*(1+Inputs!$B$34/100))/Skills!D16))</f>
        <v/>
      </c>
    </row>
    <row r="419">
      <c r="A419" t="inlineStr">
        <is>
          <t>Attack Speed Buff Bonus %</t>
        </is>
      </c>
      <c r="B419">
        <f>((C404=TRUE)*F404*IF(AND(Inputs!$B$38&lt;&gt;"pvp",Inputs!$B$43&gt;0),(((R404-1)*(Skills!T18*(1+Inputs!$B$34/100))+MIN((Skills!T18*(1+Inputs!$B$34/100)),MAX(0,Inputs!$B$43-((R404-1)*Skills!D18))))/Inputs!$B$43),IF(Inputs!$B$38="pvp",MIN((Skills!T18*(1+Inputs!$B$34/100)),15)/15,(Skills!T18*(1+Inputs!$B$34/100))/Skills!D18)))</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Skills!T16*(1+Inputs!$B$34/100))+MIN((Skills!T16*(1+Inputs!$B$34/100)),MAX(0,Inputs!$B$43-((R402-1)*Skills!D16))))/Inputs!$B$43),IF(Inputs!$B$38="pvp",MIN((Skills!T16*(1+Inputs!$B$34/100)),15)/15,(Skills!T16*(1+Inputs!$B$34/100))/Skills!D16))</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IFERROR(1/IF(Inputs!$B$38="pvp",15,MAX(0.1,Skills!D5-IF(Skills!E5=TRUE,Inputs!$B$32,0))),0)</f>
        <v/>
      </c>
      <c r="R436">
        <f>IF(AND(Inputs!$B$38&lt;&gt;"pvp",Inputs!$B$43&gt;0),IF(MAX(0,Inputs!$B$43-B470)&lt;=0,0,(INT(MAX(0,Inputs!$B$43-B470)/IF(Inputs!$B$38="pvp",15,MAX(0.1,Skills!D5-IF(Skills!E5=TRUE,Inputs!$B$32,0))))+1)),0)</f>
        <v/>
      </c>
      <c r="S436">
        <f>IFERROR((H436*N436*IF(AND(Inputs!$B$38&lt;&gt;"pvp",Inputs!$B$43&gt;0),((Skills!G5*((R436-1)*IF(Skills!H5&gt;0,Skills!I5/Skills!H5,1)+IF(Skills!H5&gt;0,MIN(Skills!I5,MAX(0,MAX(0,Inputs!$B$43-B470)-((R436-1)*IF(Inputs!$B$38="pvp",15,MAX(0.1,Skills!D5-IF(Skills!E5=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Skills!E5=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Skills!E5=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IFERROR(1/IF(Inputs!$B$38="pvp",15,MAX(0.1,Skills!D6-IF(Skills!E6=TRUE,Inputs!$B$32,0))),0)</f>
        <v/>
      </c>
      <c r="R437">
        <f>IF(AND(Inputs!$B$38&lt;&gt;"pvp",Inputs!$B$43&gt;0),IF(MAX(0,Inputs!$B$43-B470)&lt;=0,0,(INT(MAX(0,Inputs!$B$43-B470)/IF(Inputs!$B$38="pvp",15,MAX(0.1,Skills!D6-IF(Skills!E6=TRUE,Inputs!$B$32,0))))+1)),0)</f>
        <v/>
      </c>
      <c r="S437">
        <f>IFERROR((H437*N437*IF(AND(Inputs!$B$38&lt;&gt;"pvp",Inputs!$B$43&gt;0),((Skills!G6*((R437-1)*IF(Skills!H6&gt;0,Skills!I6/Skills!H6,1)+IF(Skills!H6&gt;0,MIN(Skills!I6,MAX(0,MAX(0,Inputs!$B$43-B470)-((R437-1)*IF(Inputs!$B$38="pvp",15,MAX(0.1,Skills!D6-IF(Skills!E6=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Skills!E6=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Skills!E6=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IFERROR(1/IF(Inputs!$B$38="pvp",15,MAX(0.1,Skills!D7-IF(Skills!E7=TRUE,Inputs!$B$32,0))),0)</f>
        <v/>
      </c>
      <c r="R438">
        <f>IF(AND(Inputs!$B$38&lt;&gt;"pvp",Inputs!$B$43&gt;0),IF(MAX(0,Inputs!$B$43-B470)&lt;=0,0,(INT(MAX(0,Inputs!$B$43-B470)/IF(Inputs!$B$38="pvp",15,MAX(0.1,Skills!D7-IF(Skills!E7=TRUE,Inputs!$B$32,0))))+1)),0)</f>
        <v/>
      </c>
      <c r="S438">
        <f>IFERROR((H438*N438*IF(AND(Inputs!$B$38&lt;&gt;"pvp",Inputs!$B$43&gt;0),((Skills!G7*((R438-1)*IF(Skills!H7&gt;0,Skills!I7/Skills!H7,1)+IF(Skills!H7&gt;0,MIN(Skills!I7,MAX(0,MAX(0,Inputs!$B$43-B470)-((R438-1)*IF(Inputs!$B$38="pvp",15,MAX(0.1,Skills!D7-IF(Skills!E7=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Skills!E7=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Skills!E7=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IFERROR(1/IF(Inputs!$B$38="pvp",15,MAX(0.1,Skills!D9-IF(Skills!E9=TRUE,Inputs!$B$32,0))),0)</f>
        <v/>
      </c>
      <c r="R440">
        <f>IF(AND(Inputs!$B$38&lt;&gt;"pvp",Inputs!$B$43&gt;0),IF(MAX(0,Inputs!$B$43-B470)&lt;=0,0,(INT(MAX(0,Inputs!$B$43-B470)/IF(Inputs!$B$38="pvp",15,MAX(0.1,Skills!D9-IF(Skills!E9=TRUE,Inputs!$B$32,0))))+1)),0)</f>
        <v/>
      </c>
      <c r="S440">
        <f>IFERROR((H440*N440*IF(AND(Inputs!$B$38&lt;&gt;"pvp",Inputs!$B$43&gt;0),((Skills!G9*((R440-1)*IF(Skills!H9&gt;0,Skills!I9/Skills!H9,1)+IF(Skills!H9&gt;0,MIN(Skills!I9,MAX(0,MAX(0,Inputs!$B$43-B470)-((R440-1)*IF(Inputs!$B$38="pvp",15,MAX(0.1,Skills!D9-IF(Skills!E9=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Skills!E9=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Skills!E9=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IFERROR(1/IF(Inputs!$B$38="pvp",15,MAX(0.1,Skills!D11-IF(Skills!E11=TRUE,Inputs!$B$32,0))),0)</f>
        <v/>
      </c>
      <c r="R442">
        <f>IF(AND(Inputs!$B$38&lt;&gt;"pvp",Inputs!$B$43&gt;0),IF(MAX(0,Inputs!$B$43-B470)&lt;=0,0,(INT(MAX(0,Inputs!$B$43-B470)/IF(Inputs!$B$38="pvp",15,MAX(0.1,Skills!D11-IF(Skills!E11=TRUE,Inputs!$B$32,0))))+1)),0)</f>
        <v/>
      </c>
      <c r="S442">
        <f>IFERROR((H442*N442*IF(AND(Inputs!$B$38&lt;&gt;"pvp",Inputs!$B$43&gt;0),((Skills!G11*((R442-1)*IF(Skills!H11&gt;0,Skills!I11/Skills!H11,1)+IF(Skills!H11&gt;0,MIN(Skills!I11,MAX(0,MAX(0,Inputs!$B$43-B470)-((R442-1)*IF(Inputs!$B$38="pvp",15,MAX(0.1,Skills!D11-IF(Skills!E11=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Skills!E11=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Skills!E11=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IFERROR(1/IF(Inputs!$B$38="pvp",15,MAX(0.1,Skills!D15-IF(Skills!E15=TRUE,Inputs!$B$32,0))),0)</f>
        <v/>
      </c>
      <c r="R446">
        <f>IF(AND(Inputs!$B$38&lt;&gt;"pvp",Inputs!$B$43&gt;0),IF(Inputs!$B$43&lt;=0,0,(INT(Inputs!$B$43/IF(Inputs!$B$38="pvp",15,MAX(0.1,Skills!D15-IF(Skills!E15=TRUE,Inputs!$B$32,0))))+1)),0)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IFERROR(1/IF(Inputs!$B$38="pvp",15,MAX(0.1,Skills!D16-IF(Skills!E16=TRUE,Inputs!$B$32,0))),0)</f>
        <v/>
      </c>
      <c r="R447">
        <f>IF(AND(Inputs!$B$38&lt;&gt;"pvp",Inputs!$B$43&gt;0),IF(Inputs!$B$43&lt;=0,0,(INT(Inputs!$B$43/IF(Inputs!$B$38="pvp",15,MAX(0.1,Skills!D16-IF(Skills!E16=TRUE,Inputs!$B$32,0))))+1)),0)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IFERROR(1/IF(Inputs!$B$38="pvp",15,MAX(0.1,Skills!D18-IF(Skills!E18=TRUE,Inputs!$B$32,0))),0)</f>
        <v/>
      </c>
      <c r="R449">
        <f>IF(AND(Inputs!$B$38&lt;&gt;"pvp",Inputs!$B$43&gt;0),IF(Inputs!$B$43&lt;=0,0,(INT(Inputs!$B$43/IF(Inputs!$B$38="pvp",15,MAX(0.1,Skills!D18-IF(Skills!E18=TRUE,Inputs!$B$32,0))))+1)),0)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f>(C447=TRUE)*20*IF(AND(Inputs!$B$38&lt;&gt;"pvp",Inputs!$B$43&gt;0),(((R447-1)*(Skills!T16*(1+Inputs!$B$34/100))+MIN((Skills!T16*(1+Inputs!$B$34/100)),MAX(0,Inputs!$B$43-((R447-1)*Skills!D16))))/Inputs!$B$43),IF(Inputs!$B$38="pvp",MIN((Skills!T16*(1+Inputs!$B$34/100)),15)/15,(Skills!T16*(1+Inputs!$B$34/100))/Skills!D16))</f>
        <v/>
      </c>
    </row>
    <row r="464">
      <c r="A464" t="inlineStr">
        <is>
          <t>Attack Speed Buff Bonus %</t>
        </is>
      </c>
      <c r="B464">
        <f>((C449=TRUE)*F449*IF(AND(Inputs!$B$38&lt;&gt;"pvp",Inputs!$B$43&gt;0),(((R449-1)*(Skills!T18*(1+Inputs!$B$34/100))+MIN((Skills!T18*(1+Inputs!$B$34/100)),MAX(0,Inputs!$B$43-((R449-1)*Skills!D18))))/Inputs!$B$43),IF(Inputs!$B$38="pvp",MIN((Skills!T18*(1+Inputs!$B$34/100)),15)/15,(Skills!T18*(1+Inputs!$B$34/100))/Skills!D18)))</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Skills!T16*(1+Inputs!$B$34/100))+MIN((Skills!T16*(1+Inputs!$B$34/100)),MAX(0,Inputs!$B$43-((R447-1)*Skills!D16))))/Inputs!$B$43),IF(Inputs!$B$38="pvp",MIN((Skills!T16*(1+Inputs!$B$34/100)),15)/15,(Skills!T16*(1+Inputs!$B$34/100))/Skills!D16))</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IFERROR(1/IF(Inputs!$B$38="pvp",15,MAX(0.1,Skills!D5-IF(Skills!E5=TRUE,Inputs!$B$32,0))),0)</f>
        <v/>
      </c>
      <c r="R481">
        <f>IF(AND(Inputs!$B$38&lt;&gt;"pvp",Inputs!$B$43&gt;0),IF(MAX(0,Inputs!$B$43-B515)&lt;=0,0,(INT(MAX(0,Inputs!$B$43-B515)/IF(Inputs!$B$38="pvp",15,MAX(0.1,Skills!D5-IF(Skills!E5=TRUE,Inputs!$B$32,0))))+1)),0)</f>
        <v/>
      </c>
      <c r="S481">
        <f>IFERROR((H481*N481*IF(AND(Inputs!$B$38&lt;&gt;"pvp",Inputs!$B$43&gt;0),((Skills!G5*((R481-1)*IF(Skills!H5&gt;0,Skills!I5/Skills!H5,1)+IF(Skills!H5&gt;0,MIN(Skills!I5,MAX(0,MAX(0,Inputs!$B$43-B515)-((R481-1)*IF(Inputs!$B$38="pvp",15,MAX(0.1,Skills!D5-IF(Skills!E5=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Skills!E5=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Skills!E5=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IFERROR(1/IF(Inputs!$B$38="pvp",15,MAX(0.1,Skills!D6-IF(Skills!E6=TRUE,Inputs!$B$32,0))),0)</f>
        <v/>
      </c>
      <c r="R482">
        <f>IF(AND(Inputs!$B$38&lt;&gt;"pvp",Inputs!$B$43&gt;0),IF(MAX(0,Inputs!$B$43-B515)&lt;=0,0,(INT(MAX(0,Inputs!$B$43-B515)/IF(Inputs!$B$38="pvp",15,MAX(0.1,Skills!D6-IF(Skills!E6=TRUE,Inputs!$B$32,0))))+1)),0)</f>
        <v/>
      </c>
      <c r="S482">
        <f>IFERROR((H482*N482*IF(AND(Inputs!$B$38&lt;&gt;"pvp",Inputs!$B$43&gt;0),((Skills!G6*((R482-1)*IF(Skills!H6&gt;0,Skills!I6/Skills!H6,1)+IF(Skills!H6&gt;0,MIN(Skills!I6,MAX(0,MAX(0,Inputs!$B$43-B515)-((R482-1)*IF(Inputs!$B$38="pvp",15,MAX(0.1,Skills!D6-IF(Skills!E6=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Skills!E6=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Skills!E6=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IFERROR(1/IF(Inputs!$B$38="pvp",15,MAX(0.1,Skills!D7-IF(Skills!E7=TRUE,Inputs!$B$32,0))),0)</f>
        <v/>
      </c>
      <c r="R483">
        <f>IF(AND(Inputs!$B$38&lt;&gt;"pvp",Inputs!$B$43&gt;0),IF(MAX(0,Inputs!$B$43-B515)&lt;=0,0,(INT(MAX(0,Inputs!$B$43-B515)/IF(Inputs!$B$38="pvp",15,MAX(0.1,Skills!D7-IF(Skills!E7=TRUE,Inputs!$B$32,0))))+1)),0)</f>
        <v/>
      </c>
      <c r="S483">
        <f>IFERROR((H483*N483*IF(AND(Inputs!$B$38&lt;&gt;"pvp",Inputs!$B$43&gt;0),((Skills!G7*((R483-1)*IF(Skills!H7&gt;0,Skills!I7/Skills!H7,1)+IF(Skills!H7&gt;0,MIN(Skills!I7,MAX(0,MAX(0,Inputs!$B$43-B515)-((R483-1)*IF(Inputs!$B$38="pvp",15,MAX(0.1,Skills!D7-IF(Skills!E7=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Skills!E7=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Skills!E7=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IFERROR(1/IF(Inputs!$B$38="pvp",15,MAX(0.1,Skills!D9-IF(Skills!E9=TRUE,Inputs!$B$32,0))),0)</f>
        <v/>
      </c>
      <c r="R485">
        <f>IF(AND(Inputs!$B$38&lt;&gt;"pvp",Inputs!$B$43&gt;0),IF(MAX(0,Inputs!$B$43-B515)&lt;=0,0,(INT(MAX(0,Inputs!$B$43-B515)/IF(Inputs!$B$38="pvp",15,MAX(0.1,Skills!D9-IF(Skills!E9=TRUE,Inputs!$B$32,0))))+1)),0)</f>
        <v/>
      </c>
      <c r="S485">
        <f>IFERROR((H485*N485*IF(AND(Inputs!$B$38&lt;&gt;"pvp",Inputs!$B$43&gt;0),((Skills!G9*((R485-1)*IF(Skills!H9&gt;0,Skills!I9/Skills!H9,1)+IF(Skills!H9&gt;0,MIN(Skills!I9,MAX(0,MAX(0,Inputs!$B$43-B515)-((R485-1)*IF(Inputs!$B$38="pvp",15,MAX(0.1,Skills!D9-IF(Skills!E9=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Skills!E9=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Skills!E9=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IFERROR(1/IF(Inputs!$B$38="pvp",15,MAX(0.1,Skills!D11-IF(Skills!E11=TRUE,Inputs!$B$32,0))),0)</f>
        <v/>
      </c>
      <c r="R487">
        <f>IF(AND(Inputs!$B$38&lt;&gt;"pvp",Inputs!$B$43&gt;0),IF(MAX(0,Inputs!$B$43-B515)&lt;=0,0,(INT(MAX(0,Inputs!$B$43-B515)/IF(Inputs!$B$38="pvp",15,MAX(0.1,Skills!D11-IF(Skills!E11=TRUE,Inputs!$B$32,0))))+1)),0)</f>
        <v/>
      </c>
      <c r="S487">
        <f>IFERROR((H487*N487*IF(AND(Inputs!$B$38&lt;&gt;"pvp",Inputs!$B$43&gt;0),((Skills!G11*((R487-1)*IF(Skills!H11&gt;0,Skills!I11/Skills!H11,1)+IF(Skills!H11&gt;0,MIN(Skills!I11,MAX(0,MAX(0,Inputs!$B$43-B515)-((R487-1)*IF(Inputs!$B$38="pvp",15,MAX(0.1,Skills!D11-IF(Skills!E11=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Skills!E11=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Skills!E11=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IFERROR(1/IF(Inputs!$B$38="pvp",15,MAX(0.1,Skills!D15-IF(Skills!E15=TRUE,Inputs!$B$32,0))),0)</f>
        <v/>
      </c>
      <c r="R491">
        <f>IF(AND(Inputs!$B$38&lt;&gt;"pvp",Inputs!$B$43&gt;0),IF(Inputs!$B$43&lt;=0,0,(INT(Inputs!$B$43/IF(Inputs!$B$38="pvp",15,MAX(0.1,Skills!D15-IF(Skills!E15=TRUE,Inputs!$B$32,0))))+1)),0)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IFERROR(1/IF(Inputs!$B$38="pvp",15,MAX(0.1,Skills!D16-IF(Skills!E16=TRUE,Inputs!$B$32,0))),0)</f>
        <v/>
      </c>
      <c r="R492">
        <f>IF(AND(Inputs!$B$38&lt;&gt;"pvp",Inputs!$B$43&gt;0),IF(Inputs!$B$43&lt;=0,0,(INT(Inputs!$B$43/IF(Inputs!$B$38="pvp",15,MAX(0.1,Skills!D16-IF(Skills!E16=TRUE,Inputs!$B$32,0))))+1)),0)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IFERROR(1/IF(Inputs!$B$38="pvp",15,MAX(0.1,Skills!D18-IF(Skills!E18=TRUE,Inputs!$B$32,0))),0)</f>
        <v/>
      </c>
      <c r="R494">
        <f>IF(AND(Inputs!$B$38&lt;&gt;"pvp",Inputs!$B$43&gt;0),IF(Inputs!$B$43&lt;=0,0,(INT(Inputs!$B$43/IF(Inputs!$B$38="pvp",15,MAX(0.1,Skills!D18-IF(Skills!E18=TRUE,Inputs!$B$32,0))))+1)),0)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f>(C492=TRUE)*20*IF(AND(Inputs!$B$38&lt;&gt;"pvp",Inputs!$B$43&gt;0),(((R492-1)*(Skills!T16*(1+Inputs!$B$34/100))+MIN((Skills!T16*(1+Inputs!$B$34/100)),MAX(0,Inputs!$B$43-((R492-1)*Skills!D16))))/Inputs!$B$43),IF(Inputs!$B$38="pvp",MIN((Skills!T16*(1+Inputs!$B$34/100)),15)/15,(Skills!T16*(1+Inputs!$B$34/100))/Skills!D16))</f>
        <v/>
      </c>
    </row>
    <row r="509">
      <c r="A509" t="inlineStr">
        <is>
          <t>Attack Speed Buff Bonus %</t>
        </is>
      </c>
      <c r="B509">
        <f>((C494=TRUE)*F494*IF(AND(Inputs!$B$38&lt;&gt;"pvp",Inputs!$B$43&gt;0),(((R494-1)*(Skills!T18*(1+Inputs!$B$34/100))+MIN((Skills!T18*(1+Inputs!$B$34/100)),MAX(0,Inputs!$B$43-((R494-1)*Skills!D18))))/Inputs!$B$43),IF(Inputs!$B$38="pvp",MIN((Skills!T18*(1+Inputs!$B$34/100)),15)/15,(Skills!T18*(1+Inputs!$B$34/100))/Skills!D18)))</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Skills!T16*(1+Inputs!$B$34/100))+MIN((Skills!T16*(1+Inputs!$B$34/100)),MAX(0,Inputs!$B$43-((R492-1)*Skills!D16))))/Inputs!$B$43),IF(Inputs!$B$38="pvp",MIN((Skills!T16*(1+Inputs!$B$34/100)),15)/15,(Skills!T16*(1+Inputs!$B$34/100))/Skills!D16))</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IFERROR(1/IF(Inputs!$B$38="pvp",15,MAX(0.1,Skills!D5-IF(Skills!E5=TRUE,Inputs!$B$32,0))),0)</f>
        <v/>
      </c>
      <c r="R526">
        <f>IF(AND(Inputs!$B$38&lt;&gt;"pvp",Inputs!$B$43&gt;0),IF(MAX(0,Inputs!$B$43-B560)&lt;=0,0,(INT(MAX(0,Inputs!$B$43-B560)/IF(Inputs!$B$38="pvp",15,MAX(0.1,Skills!D5-IF(Skills!E5=TRUE,Inputs!$B$32,0))))+1)),0)</f>
        <v/>
      </c>
      <c r="S526">
        <f>IFERROR((H526*N526*IF(AND(Inputs!$B$38&lt;&gt;"pvp",Inputs!$B$43&gt;0),((Skills!G5*((R526-1)*IF(Skills!H5&gt;0,Skills!I5/Skills!H5,1)+IF(Skills!H5&gt;0,MIN(Skills!I5,MAX(0,MAX(0,Inputs!$B$43-B560)-((R526-1)*IF(Inputs!$B$38="pvp",15,MAX(0.1,Skills!D5-IF(Skills!E5=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Skills!E5=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Skills!E5=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IFERROR(1/IF(Inputs!$B$38="pvp",15,MAX(0.1,Skills!D6-IF(Skills!E6=TRUE,Inputs!$B$32,0))),0)</f>
        <v/>
      </c>
      <c r="R527">
        <f>IF(AND(Inputs!$B$38&lt;&gt;"pvp",Inputs!$B$43&gt;0),IF(MAX(0,Inputs!$B$43-B560)&lt;=0,0,(INT(MAX(0,Inputs!$B$43-B560)/IF(Inputs!$B$38="pvp",15,MAX(0.1,Skills!D6-IF(Skills!E6=TRUE,Inputs!$B$32,0))))+1)),0)</f>
        <v/>
      </c>
      <c r="S527">
        <f>IFERROR((H527*N527*IF(AND(Inputs!$B$38&lt;&gt;"pvp",Inputs!$B$43&gt;0),((Skills!G6*((R527-1)*IF(Skills!H6&gt;0,Skills!I6/Skills!H6,1)+IF(Skills!H6&gt;0,MIN(Skills!I6,MAX(0,MAX(0,Inputs!$B$43-B560)-((R527-1)*IF(Inputs!$B$38="pvp",15,MAX(0.1,Skills!D6-IF(Skills!E6=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Skills!E6=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Skills!E6=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IFERROR(1/IF(Inputs!$B$38="pvp",15,MAX(0.1,Skills!D7-IF(Skills!E7=TRUE,Inputs!$B$32,0))),0)</f>
        <v/>
      </c>
      <c r="R528">
        <f>IF(AND(Inputs!$B$38&lt;&gt;"pvp",Inputs!$B$43&gt;0),IF(MAX(0,Inputs!$B$43-B560)&lt;=0,0,(INT(MAX(0,Inputs!$B$43-B560)/IF(Inputs!$B$38="pvp",15,MAX(0.1,Skills!D7-IF(Skills!E7=TRUE,Inputs!$B$32,0))))+1)),0)</f>
        <v/>
      </c>
      <c r="S528">
        <f>IFERROR((H528*N528*IF(AND(Inputs!$B$38&lt;&gt;"pvp",Inputs!$B$43&gt;0),((Skills!G7*((R528-1)*IF(Skills!H7&gt;0,Skills!I7/Skills!H7,1)+IF(Skills!H7&gt;0,MIN(Skills!I7,MAX(0,MAX(0,Inputs!$B$43-B560)-((R528-1)*IF(Inputs!$B$38="pvp",15,MAX(0.1,Skills!D7-IF(Skills!E7=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Skills!E7=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Skills!E7=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IFERROR(1/IF(Inputs!$B$38="pvp",15,MAX(0.1,Skills!D9-IF(Skills!E9=TRUE,Inputs!$B$32,0))),0)</f>
        <v/>
      </c>
      <c r="R530">
        <f>IF(AND(Inputs!$B$38&lt;&gt;"pvp",Inputs!$B$43&gt;0),IF(MAX(0,Inputs!$B$43-B560)&lt;=0,0,(INT(MAX(0,Inputs!$B$43-B560)/IF(Inputs!$B$38="pvp",15,MAX(0.1,Skills!D9-IF(Skills!E9=TRUE,Inputs!$B$32,0))))+1)),0)</f>
        <v/>
      </c>
      <c r="S530">
        <f>IFERROR((H530*N530*IF(AND(Inputs!$B$38&lt;&gt;"pvp",Inputs!$B$43&gt;0),((Skills!G9*((R530-1)*IF(Skills!H9&gt;0,Skills!I9/Skills!H9,1)+IF(Skills!H9&gt;0,MIN(Skills!I9,MAX(0,MAX(0,Inputs!$B$43-B560)-((R530-1)*IF(Inputs!$B$38="pvp",15,MAX(0.1,Skills!D9-IF(Skills!E9=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Skills!E9=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Skills!E9=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IFERROR(1/IF(Inputs!$B$38="pvp",15,MAX(0.1,Skills!D11-IF(Skills!E11=TRUE,Inputs!$B$32,0))),0)</f>
        <v/>
      </c>
      <c r="R532">
        <f>IF(AND(Inputs!$B$38&lt;&gt;"pvp",Inputs!$B$43&gt;0),IF(MAX(0,Inputs!$B$43-B560)&lt;=0,0,(INT(MAX(0,Inputs!$B$43-B560)/IF(Inputs!$B$38="pvp",15,MAX(0.1,Skills!D11-IF(Skills!E11=TRUE,Inputs!$B$32,0))))+1)),0)</f>
        <v/>
      </c>
      <c r="S532">
        <f>IFERROR((H532*N532*IF(AND(Inputs!$B$38&lt;&gt;"pvp",Inputs!$B$43&gt;0),((Skills!G11*((R532-1)*IF(Skills!H11&gt;0,Skills!I11/Skills!H11,1)+IF(Skills!H11&gt;0,MIN(Skills!I11,MAX(0,MAX(0,Inputs!$B$43-B560)-((R532-1)*IF(Inputs!$B$38="pvp",15,MAX(0.1,Skills!D11-IF(Skills!E11=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Skills!E11=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Skills!E11=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IFERROR(1/IF(Inputs!$B$38="pvp",15,MAX(0.1,Skills!D15-IF(Skills!E15=TRUE,Inputs!$B$32,0))),0)</f>
        <v/>
      </c>
      <c r="R536">
        <f>IF(AND(Inputs!$B$38&lt;&gt;"pvp",Inputs!$B$43&gt;0),IF(Inputs!$B$43&lt;=0,0,(INT(Inputs!$B$43/IF(Inputs!$B$38="pvp",15,MAX(0.1,Skills!D15-IF(Skills!E15=TRUE,Inputs!$B$32,0))))+1)),0)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IFERROR(1/IF(Inputs!$B$38="pvp",15,MAX(0.1,Skills!D16-IF(Skills!E16=TRUE,Inputs!$B$32,0))),0)</f>
        <v/>
      </c>
      <c r="R537">
        <f>IF(AND(Inputs!$B$38&lt;&gt;"pvp",Inputs!$B$43&gt;0),IF(Inputs!$B$43&lt;=0,0,(INT(Inputs!$B$43/IF(Inputs!$B$38="pvp",15,MAX(0.1,Skills!D16-IF(Skills!E16=TRUE,Inputs!$B$32,0))))+1)),0)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IFERROR(1/IF(Inputs!$B$38="pvp",15,MAX(0.1,Skills!D18-IF(Skills!E18=TRUE,Inputs!$B$32,0))),0)</f>
        <v/>
      </c>
      <c r="R539">
        <f>IF(AND(Inputs!$B$38&lt;&gt;"pvp",Inputs!$B$43&gt;0),IF(Inputs!$B$43&lt;=0,0,(INT(Inputs!$B$43/IF(Inputs!$B$38="pvp",15,MAX(0.1,Skills!D18-IF(Skills!E18=TRUE,Inputs!$B$32,0))))+1)),0)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f>(C537=TRUE)*20*IF(AND(Inputs!$B$38&lt;&gt;"pvp",Inputs!$B$43&gt;0),(((R537-1)*(Skills!T16*(1+Inputs!$B$34/100))+MIN((Skills!T16*(1+Inputs!$B$34/100)),MAX(0,Inputs!$B$43-((R537-1)*Skills!D16))))/Inputs!$B$43),IF(Inputs!$B$38="pvp",MIN((Skills!T16*(1+Inputs!$B$34/100)),15)/15,(Skills!T16*(1+Inputs!$B$34/100))/Skills!D16))</f>
        <v/>
      </c>
    </row>
    <row r="554">
      <c r="A554" t="inlineStr">
        <is>
          <t>Attack Speed Buff Bonus %</t>
        </is>
      </c>
      <c r="B554">
        <f>((C539=TRUE)*F539*IF(AND(Inputs!$B$38&lt;&gt;"pvp",Inputs!$B$43&gt;0),(((R539-1)*(Skills!T18*(1+Inputs!$B$34/100))+MIN((Skills!T18*(1+Inputs!$B$34/100)),MAX(0,Inputs!$B$43-((R539-1)*Skills!D18))))/Inputs!$B$43),IF(Inputs!$B$38="pvp",MIN((Skills!T18*(1+Inputs!$B$34/100)),15)/15,(Skills!T18*(1+Inputs!$B$34/100))/Skills!D18)))</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Skills!T16*(1+Inputs!$B$34/100))+MIN((Skills!T16*(1+Inputs!$B$34/100)),MAX(0,Inputs!$B$43-((R537-1)*Skills!D16))))/Inputs!$B$43),IF(Inputs!$B$38="pvp",MIN((Skills!T16*(1+Inputs!$B$34/100)),15)/15,(Skills!T16*(1+Inputs!$B$34/100))/Skills!D16))</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IFERROR(1/IF(Inputs!$B$38="pvp",15,MAX(0.1,Skills!D5-IF(Skills!E5=TRUE,Inputs!$B$32,0))),0)</f>
        <v/>
      </c>
      <c r="R571">
        <f>IF(AND(Inputs!$B$38&lt;&gt;"pvp",Inputs!$B$43&gt;0),IF(MAX(0,Inputs!$B$43-B605)&lt;=0,0,(INT(MAX(0,Inputs!$B$43-B605)/IF(Inputs!$B$38="pvp",15,MAX(0.1,Skills!D5-IF(Skills!E5=TRUE,Inputs!$B$32,0))))+1)),0)</f>
        <v/>
      </c>
      <c r="S571">
        <f>IFERROR((H571*N571*IF(AND(Inputs!$B$38&lt;&gt;"pvp",Inputs!$B$43&gt;0),((Skills!G5*((R571-1)*IF(Skills!H5&gt;0,Skills!I5/Skills!H5,1)+IF(Skills!H5&gt;0,MIN(Skills!I5,MAX(0,MAX(0,Inputs!$B$43-B605)-((R571-1)*IF(Inputs!$B$38="pvp",15,MAX(0.1,Skills!D5-IF(Skills!E5=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Skills!E5=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Skills!E5=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IFERROR(1/IF(Inputs!$B$38="pvp",15,MAX(0.1,Skills!D6-IF(Skills!E6=TRUE,Inputs!$B$32,0))),0)</f>
        <v/>
      </c>
      <c r="R572">
        <f>IF(AND(Inputs!$B$38&lt;&gt;"pvp",Inputs!$B$43&gt;0),IF(MAX(0,Inputs!$B$43-B605)&lt;=0,0,(INT(MAX(0,Inputs!$B$43-B605)/IF(Inputs!$B$38="pvp",15,MAX(0.1,Skills!D6-IF(Skills!E6=TRUE,Inputs!$B$32,0))))+1)),0)</f>
        <v/>
      </c>
      <c r="S572">
        <f>IFERROR((H572*N572*IF(AND(Inputs!$B$38&lt;&gt;"pvp",Inputs!$B$43&gt;0),((Skills!G6*((R572-1)*IF(Skills!H6&gt;0,Skills!I6/Skills!H6,1)+IF(Skills!H6&gt;0,MIN(Skills!I6,MAX(0,MAX(0,Inputs!$B$43-B605)-((R572-1)*IF(Inputs!$B$38="pvp",15,MAX(0.1,Skills!D6-IF(Skills!E6=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Skills!E6=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Skills!E6=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IFERROR(1/IF(Inputs!$B$38="pvp",15,MAX(0.1,Skills!D7-IF(Skills!E7=TRUE,Inputs!$B$32,0))),0)</f>
        <v/>
      </c>
      <c r="R573">
        <f>IF(AND(Inputs!$B$38&lt;&gt;"pvp",Inputs!$B$43&gt;0),IF(MAX(0,Inputs!$B$43-B605)&lt;=0,0,(INT(MAX(0,Inputs!$B$43-B605)/IF(Inputs!$B$38="pvp",15,MAX(0.1,Skills!D7-IF(Skills!E7=TRUE,Inputs!$B$32,0))))+1)),0)</f>
        <v/>
      </c>
      <c r="S573">
        <f>IFERROR((H573*N573*IF(AND(Inputs!$B$38&lt;&gt;"pvp",Inputs!$B$43&gt;0),((Skills!G7*((R573-1)*IF(Skills!H7&gt;0,Skills!I7/Skills!H7,1)+IF(Skills!H7&gt;0,MIN(Skills!I7,MAX(0,MAX(0,Inputs!$B$43-B605)-((R573-1)*IF(Inputs!$B$38="pvp",15,MAX(0.1,Skills!D7-IF(Skills!E7=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Skills!E7=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Skills!E7=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IFERROR(1/IF(Inputs!$B$38="pvp",15,MAX(0.1,Skills!D9-IF(Skills!E9=TRUE,Inputs!$B$32,0))),0)</f>
        <v/>
      </c>
      <c r="R575">
        <f>IF(AND(Inputs!$B$38&lt;&gt;"pvp",Inputs!$B$43&gt;0),IF(MAX(0,Inputs!$B$43-B605)&lt;=0,0,(INT(MAX(0,Inputs!$B$43-B605)/IF(Inputs!$B$38="pvp",15,MAX(0.1,Skills!D9-IF(Skills!E9=TRUE,Inputs!$B$32,0))))+1)),0)</f>
        <v/>
      </c>
      <c r="S575">
        <f>IFERROR((H575*N575*IF(AND(Inputs!$B$38&lt;&gt;"pvp",Inputs!$B$43&gt;0),((Skills!G9*((R575-1)*IF(Skills!H9&gt;0,Skills!I9/Skills!H9,1)+IF(Skills!H9&gt;0,MIN(Skills!I9,MAX(0,MAX(0,Inputs!$B$43-B605)-((R575-1)*IF(Inputs!$B$38="pvp",15,MAX(0.1,Skills!D9-IF(Skills!E9=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Skills!E9=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Skills!E9=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IFERROR(1/IF(Inputs!$B$38="pvp",15,MAX(0.1,Skills!D11-IF(Skills!E11=TRUE,Inputs!$B$32,0))),0)</f>
        <v/>
      </c>
      <c r="R577">
        <f>IF(AND(Inputs!$B$38&lt;&gt;"pvp",Inputs!$B$43&gt;0),IF(MAX(0,Inputs!$B$43-B605)&lt;=0,0,(INT(MAX(0,Inputs!$B$43-B605)/IF(Inputs!$B$38="pvp",15,MAX(0.1,Skills!D11-IF(Skills!E11=TRUE,Inputs!$B$32,0))))+1)),0)</f>
        <v/>
      </c>
      <c r="S577">
        <f>IFERROR((H577*N577*IF(AND(Inputs!$B$38&lt;&gt;"pvp",Inputs!$B$43&gt;0),((Skills!G11*((R577-1)*IF(Skills!H11&gt;0,Skills!I11/Skills!H11,1)+IF(Skills!H11&gt;0,MIN(Skills!I11,MAX(0,MAX(0,Inputs!$B$43-B605)-((R577-1)*IF(Inputs!$B$38="pvp",15,MAX(0.1,Skills!D11-IF(Skills!E11=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Skills!E11=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Skills!E11=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IFERROR(1/IF(Inputs!$B$38="pvp",15,MAX(0.1,Skills!D15-IF(Skills!E15=TRUE,Inputs!$B$32,0))),0)</f>
        <v/>
      </c>
      <c r="R581">
        <f>IF(AND(Inputs!$B$38&lt;&gt;"pvp",Inputs!$B$43&gt;0),IF(Inputs!$B$43&lt;=0,0,(INT(Inputs!$B$43/IF(Inputs!$B$38="pvp",15,MAX(0.1,Skills!D15-IF(Skills!E15=TRUE,Inputs!$B$32,0))))+1)),0)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IFERROR(1/IF(Inputs!$B$38="pvp",15,MAX(0.1,Skills!D16-IF(Skills!E16=TRUE,Inputs!$B$32,0))),0)</f>
        <v/>
      </c>
      <c r="R582">
        <f>IF(AND(Inputs!$B$38&lt;&gt;"pvp",Inputs!$B$43&gt;0),IF(Inputs!$B$43&lt;=0,0,(INT(Inputs!$B$43/IF(Inputs!$B$38="pvp",15,MAX(0.1,Skills!D16-IF(Skills!E16=TRUE,Inputs!$B$32,0))))+1)),0)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IFERROR(1/IF(Inputs!$B$38="pvp",15,MAX(0.1,Skills!D18-IF(Skills!E18=TRUE,Inputs!$B$32,0))),0)</f>
        <v/>
      </c>
      <c r="R584">
        <f>IF(AND(Inputs!$B$38&lt;&gt;"pvp",Inputs!$B$43&gt;0),IF(Inputs!$B$43&lt;=0,0,(INT(Inputs!$B$43/IF(Inputs!$B$38="pvp",15,MAX(0.1,Skills!D18-IF(Skills!E18=TRUE,Inputs!$B$32,0))))+1)),0)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f>(C582=TRUE)*20*IF(AND(Inputs!$B$38&lt;&gt;"pvp",Inputs!$B$43&gt;0),(((R582-1)*(Skills!T16*(1+Inputs!$B$34/100))+MIN((Skills!T16*(1+Inputs!$B$34/100)),MAX(0,Inputs!$B$43-((R582-1)*Skills!D16))))/Inputs!$B$43),IF(Inputs!$B$38="pvp",MIN((Skills!T16*(1+Inputs!$B$34/100)),15)/15,(Skills!T16*(1+Inputs!$B$34/100))/Skills!D16))</f>
        <v/>
      </c>
    </row>
    <row r="599">
      <c r="A599" t="inlineStr">
        <is>
          <t>Attack Speed Buff Bonus %</t>
        </is>
      </c>
      <c r="B599">
        <f>((C584=TRUE)*F584*IF(AND(Inputs!$B$38&lt;&gt;"pvp",Inputs!$B$43&gt;0),(((R584-1)*(Skills!T18*(1+Inputs!$B$34/100))+MIN((Skills!T18*(1+Inputs!$B$34/100)),MAX(0,Inputs!$B$43-((R584-1)*Skills!D18))))/Inputs!$B$43),IF(Inputs!$B$38="pvp",MIN((Skills!T18*(1+Inputs!$B$34/100)),15)/15,(Skills!T18*(1+Inputs!$B$34/100))/Skills!D18)))</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Skills!T16*(1+Inputs!$B$34/100))+MIN((Skills!T16*(1+Inputs!$B$34/100)),MAX(0,Inputs!$B$43-((R582-1)*Skills!D16))))/Inputs!$B$43),IF(Inputs!$B$38="pvp",MIN((Skills!T16*(1+Inputs!$B$34/100)),15)/15,(Skills!T16*(1+Inputs!$B$34/100))/Skills!D16))</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IFERROR(1/IF(Inputs!$B$38="pvp",15,MAX(0.1,Skills!D5-IF(Skills!E5=TRUE,Inputs!$B$32,0))),0)</f>
        <v/>
      </c>
      <c r="R616">
        <f>IF(AND(Inputs!$B$38&lt;&gt;"pvp",Inputs!$B$43&gt;0),IF(MAX(0,Inputs!$B$43-B650)&lt;=0,0,(INT(MAX(0,Inputs!$B$43-B650)/IF(Inputs!$B$38="pvp",15,MAX(0.1,Skills!D5-IF(Skills!E5=TRUE,Inputs!$B$32,0))))+1)),0)</f>
        <v/>
      </c>
      <c r="S616">
        <f>IFERROR((H616*N616*IF(AND(Inputs!$B$38&lt;&gt;"pvp",Inputs!$B$43&gt;0),((Skills!G5*((R616-1)*IF(Skills!H5&gt;0,Skills!I5/Skills!H5,1)+IF(Skills!H5&gt;0,MIN(Skills!I5,MAX(0,MAX(0,Inputs!$B$43-B650)-((R616-1)*IF(Inputs!$B$38="pvp",15,MAX(0.1,Skills!D5-IF(Skills!E5=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Skills!E5=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Skills!E5=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IFERROR(1/IF(Inputs!$B$38="pvp",15,MAX(0.1,Skills!D6-IF(Skills!E6=TRUE,Inputs!$B$32,0))),0)</f>
        <v/>
      </c>
      <c r="R617">
        <f>IF(AND(Inputs!$B$38&lt;&gt;"pvp",Inputs!$B$43&gt;0),IF(MAX(0,Inputs!$B$43-B650)&lt;=0,0,(INT(MAX(0,Inputs!$B$43-B650)/IF(Inputs!$B$38="pvp",15,MAX(0.1,Skills!D6-IF(Skills!E6=TRUE,Inputs!$B$32,0))))+1)),0)</f>
        <v/>
      </c>
      <c r="S617">
        <f>IFERROR((H617*N617*IF(AND(Inputs!$B$38&lt;&gt;"pvp",Inputs!$B$43&gt;0),((Skills!G6*((R617-1)*IF(Skills!H6&gt;0,Skills!I6/Skills!H6,1)+IF(Skills!H6&gt;0,MIN(Skills!I6,MAX(0,MAX(0,Inputs!$B$43-B650)-((R617-1)*IF(Inputs!$B$38="pvp",15,MAX(0.1,Skills!D6-IF(Skills!E6=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Skills!E6=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Skills!E6=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IFERROR(1/IF(Inputs!$B$38="pvp",15,MAX(0.1,Skills!D7-IF(Skills!E7=TRUE,Inputs!$B$32,0))),0)</f>
        <v/>
      </c>
      <c r="R618">
        <f>IF(AND(Inputs!$B$38&lt;&gt;"pvp",Inputs!$B$43&gt;0),IF(MAX(0,Inputs!$B$43-B650)&lt;=0,0,(INT(MAX(0,Inputs!$B$43-B650)/IF(Inputs!$B$38="pvp",15,MAX(0.1,Skills!D7-IF(Skills!E7=TRUE,Inputs!$B$32,0))))+1)),0)</f>
        <v/>
      </c>
      <c r="S618">
        <f>IFERROR((H618*N618*IF(AND(Inputs!$B$38&lt;&gt;"pvp",Inputs!$B$43&gt;0),((Skills!G7*((R618-1)*IF(Skills!H7&gt;0,Skills!I7/Skills!H7,1)+IF(Skills!H7&gt;0,MIN(Skills!I7,MAX(0,MAX(0,Inputs!$B$43-B650)-((R618-1)*IF(Inputs!$B$38="pvp",15,MAX(0.1,Skills!D7-IF(Skills!E7=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Skills!E7=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Skills!E7=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IFERROR(1/IF(Inputs!$B$38="pvp",15,MAX(0.1,Skills!D9-IF(Skills!E9=TRUE,Inputs!$B$32,0))),0)</f>
        <v/>
      </c>
      <c r="R620">
        <f>IF(AND(Inputs!$B$38&lt;&gt;"pvp",Inputs!$B$43&gt;0),IF(MAX(0,Inputs!$B$43-B650)&lt;=0,0,(INT(MAX(0,Inputs!$B$43-B650)/IF(Inputs!$B$38="pvp",15,MAX(0.1,Skills!D9-IF(Skills!E9=TRUE,Inputs!$B$32,0))))+1)),0)</f>
        <v/>
      </c>
      <c r="S620">
        <f>IFERROR((H620*N620*IF(AND(Inputs!$B$38&lt;&gt;"pvp",Inputs!$B$43&gt;0),((Skills!G9*((R620-1)*IF(Skills!H9&gt;0,Skills!I9/Skills!H9,1)+IF(Skills!H9&gt;0,MIN(Skills!I9,MAX(0,MAX(0,Inputs!$B$43-B650)-((R620-1)*IF(Inputs!$B$38="pvp",15,MAX(0.1,Skills!D9-IF(Skills!E9=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Skills!E9=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Skills!E9=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IFERROR(1/IF(Inputs!$B$38="pvp",15,MAX(0.1,Skills!D11-IF(Skills!E11=TRUE,Inputs!$B$32,0))),0)</f>
        <v/>
      </c>
      <c r="R622">
        <f>IF(AND(Inputs!$B$38&lt;&gt;"pvp",Inputs!$B$43&gt;0),IF(MAX(0,Inputs!$B$43-B650)&lt;=0,0,(INT(MAX(0,Inputs!$B$43-B650)/IF(Inputs!$B$38="pvp",15,MAX(0.1,Skills!D11-IF(Skills!E11=TRUE,Inputs!$B$32,0))))+1)),0)</f>
        <v/>
      </c>
      <c r="S622">
        <f>IFERROR((H622*N622*IF(AND(Inputs!$B$38&lt;&gt;"pvp",Inputs!$B$43&gt;0),((Skills!G11*((R622-1)*IF(Skills!H11&gt;0,Skills!I11/Skills!H11,1)+IF(Skills!H11&gt;0,MIN(Skills!I11,MAX(0,MAX(0,Inputs!$B$43-B650)-((R622-1)*IF(Inputs!$B$38="pvp",15,MAX(0.1,Skills!D11-IF(Skills!E11=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Skills!E11=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Skills!E11=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IFERROR(1/IF(Inputs!$B$38="pvp",15,MAX(0.1,Skills!D15-IF(Skills!E15=TRUE,Inputs!$B$32,0))),0)</f>
        <v/>
      </c>
      <c r="R626">
        <f>IF(AND(Inputs!$B$38&lt;&gt;"pvp",Inputs!$B$43&gt;0),IF(Inputs!$B$43&lt;=0,0,(INT(Inputs!$B$43/IF(Inputs!$B$38="pvp",15,MAX(0.1,Skills!D15-IF(Skills!E15=TRUE,Inputs!$B$32,0))))+1)),0)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IFERROR(1/IF(Inputs!$B$38="pvp",15,MAX(0.1,Skills!D16-IF(Skills!E16=TRUE,Inputs!$B$32,0))),0)</f>
        <v/>
      </c>
      <c r="R627">
        <f>IF(AND(Inputs!$B$38&lt;&gt;"pvp",Inputs!$B$43&gt;0),IF(Inputs!$B$43&lt;=0,0,(INT(Inputs!$B$43/IF(Inputs!$B$38="pvp",15,MAX(0.1,Skills!D16-IF(Skills!E16=TRUE,Inputs!$B$32,0))))+1)),0)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IFERROR(1/IF(Inputs!$B$38="pvp",15,MAX(0.1,Skills!D18-IF(Skills!E18=TRUE,Inputs!$B$32,0))),0)</f>
        <v/>
      </c>
      <c r="R629">
        <f>IF(AND(Inputs!$B$38&lt;&gt;"pvp",Inputs!$B$43&gt;0),IF(Inputs!$B$43&lt;=0,0,(INT(Inputs!$B$43/IF(Inputs!$B$38="pvp",15,MAX(0.1,Skills!D18-IF(Skills!E18=TRUE,Inputs!$B$32,0))))+1)),0)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f>(C627=TRUE)*20*IF(AND(Inputs!$B$38&lt;&gt;"pvp",Inputs!$B$43&gt;0),(((R627-1)*(Skills!T16*(1+Inputs!$B$34/100))+MIN((Skills!T16*(1+Inputs!$B$34/100)),MAX(0,Inputs!$B$43-((R627-1)*Skills!D16))))/Inputs!$B$43),IF(Inputs!$B$38="pvp",MIN((Skills!T16*(1+Inputs!$B$34/100)),15)/15,(Skills!T16*(1+Inputs!$B$34/100))/Skills!D16))</f>
        <v/>
      </c>
    </row>
    <row r="644">
      <c r="A644" t="inlineStr">
        <is>
          <t>Attack Speed Buff Bonus %</t>
        </is>
      </c>
      <c r="B644">
        <f>((C629=TRUE)*F629*IF(AND(Inputs!$B$38&lt;&gt;"pvp",Inputs!$B$43&gt;0),(((R629-1)*(Skills!T18*(1+Inputs!$B$34/100))+MIN((Skills!T18*(1+Inputs!$B$34/100)),MAX(0,Inputs!$B$43-((R629-1)*Skills!D18))))/Inputs!$B$43),IF(Inputs!$B$38="pvp",MIN((Skills!T18*(1+Inputs!$B$34/100)),15)/15,(Skills!T18*(1+Inputs!$B$34/100))/Skills!D18)))</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Skills!T16*(1+Inputs!$B$34/100))+MIN((Skills!T16*(1+Inputs!$B$34/100)),MAX(0,Inputs!$B$43-((R627-1)*Skills!D16))))/Inputs!$B$43),IF(Inputs!$B$38="pvp",MIN((Skills!T16*(1+Inputs!$B$34/100)),15)/15,(Skills!T16*(1+Inputs!$B$34/100))/Skills!D16))</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IFERROR(1/IF(Inputs!$B$38="pvp",15,MAX(0.1,Skills!D5-IF(Skills!E5=TRUE,Inputs!$B$32,0))),0)</f>
        <v/>
      </c>
      <c r="R661">
        <f>IF(AND(Inputs!$B$38&lt;&gt;"pvp",Inputs!$B$43&gt;0),IF(MAX(0,Inputs!$B$43-B695)&lt;=0,0,(INT(MAX(0,Inputs!$B$43-B695)/IF(Inputs!$B$38="pvp",15,MAX(0.1,Skills!D5-IF(Skills!E5=TRUE,Inputs!$B$32,0))))+1)),0)</f>
        <v/>
      </c>
      <c r="S661">
        <f>IFERROR((H661*N661*IF(AND(Inputs!$B$38&lt;&gt;"pvp",Inputs!$B$43&gt;0),((Skills!G5*((R661-1)*IF(Skills!H5&gt;0,Skills!I5/Skills!H5,1)+IF(Skills!H5&gt;0,MIN(Skills!I5,MAX(0,MAX(0,Inputs!$B$43-B695)-((R661-1)*IF(Inputs!$B$38="pvp",15,MAX(0.1,Skills!D5-IF(Skills!E5=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Skills!E5=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Skills!E5=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IFERROR(1/IF(Inputs!$B$38="pvp",15,MAX(0.1,Skills!D6-IF(Skills!E6=TRUE,Inputs!$B$32,0))),0)</f>
        <v/>
      </c>
      <c r="R662">
        <f>IF(AND(Inputs!$B$38&lt;&gt;"pvp",Inputs!$B$43&gt;0),IF(MAX(0,Inputs!$B$43-B695)&lt;=0,0,(INT(MAX(0,Inputs!$B$43-B695)/IF(Inputs!$B$38="pvp",15,MAX(0.1,Skills!D6-IF(Skills!E6=TRUE,Inputs!$B$32,0))))+1)),0)</f>
        <v/>
      </c>
      <c r="S662">
        <f>IFERROR((H662*N662*IF(AND(Inputs!$B$38&lt;&gt;"pvp",Inputs!$B$43&gt;0),((Skills!G6*((R662-1)*IF(Skills!H6&gt;0,Skills!I6/Skills!H6,1)+IF(Skills!H6&gt;0,MIN(Skills!I6,MAX(0,MAX(0,Inputs!$B$43-B695)-((R662-1)*IF(Inputs!$B$38="pvp",15,MAX(0.1,Skills!D6-IF(Skills!E6=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Skills!E6=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Skills!E6=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IFERROR(1/IF(Inputs!$B$38="pvp",15,MAX(0.1,Skills!D7-IF(Skills!E7=TRUE,Inputs!$B$32,0))),0)</f>
        <v/>
      </c>
      <c r="R663">
        <f>IF(AND(Inputs!$B$38&lt;&gt;"pvp",Inputs!$B$43&gt;0),IF(MAX(0,Inputs!$B$43-B695)&lt;=0,0,(INT(MAX(0,Inputs!$B$43-B695)/IF(Inputs!$B$38="pvp",15,MAX(0.1,Skills!D7-IF(Skills!E7=TRUE,Inputs!$B$32,0))))+1)),0)</f>
        <v/>
      </c>
      <c r="S663">
        <f>IFERROR((H663*N663*IF(AND(Inputs!$B$38&lt;&gt;"pvp",Inputs!$B$43&gt;0),((Skills!G7*((R663-1)*IF(Skills!H7&gt;0,Skills!I7/Skills!H7,1)+IF(Skills!H7&gt;0,MIN(Skills!I7,MAX(0,MAX(0,Inputs!$B$43-B695)-((R663-1)*IF(Inputs!$B$38="pvp",15,MAX(0.1,Skills!D7-IF(Skills!E7=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Skills!E7=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Skills!E7=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IFERROR(1/IF(Inputs!$B$38="pvp",15,MAX(0.1,Skills!D9-IF(Skills!E9=TRUE,Inputs!$B$32,0))),0)</f>
        <v/>
      </c>
      <c r="R665">
        <f>IF(AND(Inputs!$B$38&lt;&gt;"pvp",Inputs!$B$43&gt;0),IF(MAX(0,Inputs!$B$43-B695)&lt;=0,0,(INT(MAX(0,Inputs!$B$43-B695)/IF(Inputs!$B$38="pvp",15,MAX(0.1,Skills!D9-IF(Skills!E9=TRUE,Inputs!$B$32,0))))+1)),0)</f>
        <v/>
      </c>
      <c r="S665">
        <f>IFERROR((H665*N665*IF(AND(Inputs!$B$38&lt;&gt;"pvp",Inputs!$B$43&gt;0),((Skills!G9*((R665-1)*IF(Skills!H9&gt;0,Skills!I9/Skills!H9,1)+IF(Skills!H9&gt;0,MIN(Skills!I9,MAX(0,MAX(0,Inputs!$B$43-B695)-((R665-1)*IF(Inputs!$B$38="pvp",15,MAX(0.1,Skills!D9-IF(Skills!E9=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Skills!E9=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Skills!E9=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IFERROR(1/IF(Inputs!$B$38="pvp",15,MAX(0.1,Skills!D11-IF(Skills!E11=TRUE,Inputs!$B$32,0))),0)</f>
        <v/>
      </c>
      <c r="R667">
        <f>IF(AND(Inputs!$B$38&lt;&gt;"pvp",Inputs!$B$43&gt;0),IF(MAX(0,Inputs!$B$43-B695)&lt;=0,0,(INT(MAX(0,Inputs!$B$43-B695)/IF(Inputs!$B$38="pvp",15,MAX(0.1,Skills!D11-IF(Skills!E11=TRUE,Inputs!$B$32,0))))+1)),0)</f>
        <v/>
      </c>
      <c r="S667">
        <f>IFERROR((H667*N667*IF(AND(Inputs!$B$38&lt;&gt;"pvp",Inputs!$B$43&gt;0),((Skills!G11*((R667-1)*IF(Skills!H11&gt;0,Skills!I11/Skills!H11,1)+IF(Skills!H11&gt;0,MIN(Skills!I11,MAX(0,MAX(0,Inputs!$B$43-B695)-((R667-1)*IF(Inputs!$B$38="pvp",15,MAX(0.1,Skills!D11-IF(Skills!E11=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Skills!E11=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Skills!E11=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IFERROR(1/IF(Inputs!$B$38="pvp",15,MAX(0.1,Skills!D15-IF(Skills!E15=TRUE,Inputs!$B$32,0))),0)</f>
        <v/>
      </c>
      <c r="R671">
        <f>IF(AND(Inputs!$B$38&lt;&gt;"pvp",Inputs!$B$43&gt;0),IF(Inputs!$B$43&lt;=0,0,(INT(Inputs!$B$43/IF(Inputs!$B$38="pvp",15,MAX(0.1,Skills!D15-IF(Skills!E15=TRUE,Inputs!$B$32,0))))+1)),0)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IFERROR(1/IF(Inputs!$B$38="pvp",15,MAX(0.1,Skills!D16-IF(Skills!E16=TRUE,Inputs!$B$32,0))),0)</f>
        <v/>
      </c>
      <c r="R672">
        <f>IF(AND(Inputs!$B$38&lt;&gt;"pvp",Inputs!$B$43&gt;0),IF(Inputs!$B$43&lt;=0,0,(INT(Inputs!$B$43/IF(Inputs!$B$38="pvp",15,MAX(0.1,Skills!D16-IF(Skills!E16=TRUE,Inputs!$B$32,0))))+1)),0)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IFERROR(1/IF(Inputs!$B$38="pvp",15,MAX(0.1,Skills!D18-IF(Skills!E18=TRUE,Inputs!$B$32,0))),0)</f>
        <v/>
      </c>
      <c r="R674">
        <f>IF(AND(Inputs!$B$38&lt;&gt;"pvp",Inputs!$B$43&gt;0),IF(Inputs!$B$43&lt;=0,0,(INT(Inputs!$B$43/IF(Inputs!$B$38="pvp",15,MAX(0.1,Skills!D18-IF(Skills!E18=TRUE,Inputs!$B$32,0))))+1)),0)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f>(C672=TRUE)*20*IF(AND(Inputs!$B$38&lt;&gt;"pvp",Inputs!$B$43&gt;0),(((R672-1)*(Skills!T16*(1+Inputs!$B$34/100))+MIN((Skills!T16*(1+Inputs!$B$34/100)),MAX(0,Inputs!$B$43-((R672-1)*Skills!D16))))/Inputs!$B$43),IF(Inputs!$B$38="pvp",MIN((Skills!T16*(1+Inputs!$B$34/100)),15)/15,(Skills!T16*(1+Inputs!$B$34/100))/Skills!D16))</f>
        <v/>
      </c>
    </row>
    <row r="689">
      <c r="A689" t="inlineStr">
        <is>
          <t>Attack Speed Buff Bonus %</t>
        </is>
      </c>
      <c r="B689">
        <f>((C674=TRUE)*F674*IF(AND(Inputs!$B$38&lt;&gt;"pvp",Inputs!$B$43&gt;0),(((R674-1)*(Skills!T18*(1+Inputs!$B$34/100))+MIN((Skills!T18*(1+Inputs!$B$34/100)),MAX(0,Inputs!$B$43-((R674-1)*Skills!D18))))/Inputs!$B$43),IF(Inputs!$B$38="pvp",MIN((Skills!T18*(1+Inputs!$B$34/100)),15)/15,(Skills!T18*(1+Inputs!$B$34/100))/Skills!D18)))</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Skills!T16*(1+Inputs!$B$34/100))+MIN((Skills!T16*(1+Inputs!$B$34/100)),MAX(0,Inputs!$B$43-((R672-1)*Skills!D16))))/Inputs!$B$43),IF(Inputs!$B$38="pvp",MIN((Skills!T16*(1+Inputs!$B$34/100)),15)/15,(Skills!T16*(1+Inputs!$B$34/100))/Skills!D16))</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IFERROR(1/IF(Inputs!$B$38="pvp",15,MAX(0.1,Skills!D5-IF(Skills!E5=TRUE,Inputs!$B$32,0))),0)</f>
        <v/>
      </c>
      <c r="R706">
        <f>IF(AND(Inputs!$B$38&lt;&gt;"pvp",Inputs!$B$43&gt;0),IF(MAX(0,Inputs!$B$43-B740)&lt;=0,0,(INT(MAX(0,Inputs!$B$43-B740)/IF(Inputs!$B$38="pvp",15,MAX(0.1,Skills!D5-IF(Skills!E5=TRUE,Inputs!$B$32,0))))+1)),0)</f>
        <v/>
      </c>
      <c r="S706">
        <f>IFERROR((H706*N706*IF(AND(Inputs!$B$38&lt;&gt;"pvp",Inputs!$B$43&gt;0),((Skills!G5*((R706-1)*IF(Skills!H5&gt;0,Skills!I5/Skills!H5,1)+IF(Skills!H5&gt;0,MIN(Skills!I5,MAX(0,MAX(0,Inputs!$B$43-B740)-((R706-1)*IF(Inputs!$B$38="pvp",15,MAX(0.1,Skills!D5-IF(Skills!E5=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Skills!E5=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Skills!E5=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IFERROR(1/IF(Inputs!$B$38="pvp",15,MAX(0.1,Skills!D6-IF(Skills!E6=TRUE,Inputs!$B$32,0))),0)</f>
        <v/>
      </c>
      <c r="R707">
        <f>IF(AND(Inputs!$B$38&lt;&gt;"pvp",Inputs!$B$43&gt;0),IF(MAX(0,Inputs!$B$43-B740)&lt;=0,0,(INT(MAX(0,Inputs!$B$43-B740)/IF(Inputs!$B$38="pvp",15,MAX(0.1,Skills!D6-IF(Skills!E6=TRUE,Inputs!$B$32,0))))+1)),0)</f>
        <v/>
      </c>
      <c r="S707">
        <f>IFERROR((H707*N707*IF(AND(Inputs!$B$38&lt;&gt;"pvp",Inputs!$B$43&gt;0),((Skills!G6*((R707-1)*IF(Skills!H6&gt;0,Skills!I6/Skills!H6,1)+IF(Skills!H6&gt;0,MIN(Skills!I6,MAX(0,MAX(0,Inputs!$B$43-B740)-((R707-1)*IF(Inputs!$B$38="pvp",15,MAX(0.1,Skills!D6-IF(Skills!E6=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Skills!E6=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Skills!E6=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IFERROR(1/IF(Inputs!$B$38="pvp",15,MAX(0.1,Skills!D7-IF(Skills!E7=TRUE,Inputs!$B$32,0))),0)</f>
        <v/>
      </c>
      <c r="R708">
        <f>IF(AND(Inputs!$B$38&lt;&gt;"pvp",Inputs!$B$43&gt;0),IF(MAX(0,Inputs!$B$43-B740)&lt;=0,0,(INT(MAX(0,Inputs!$B$43-B740)/IF(Inputs!$B$38="pvp",15,MAX(0.1,Skills!D7-IF(Skills!E7=TRUE,Inputs!$B$32,0))))+1)),0)</f>
        <v/>
      </c>
      <c r="S708">
        <f>IFERROR((H708*N708*IF(AND(Inputs!$B$38&lt;&gt;"pvp",Inputs!$B$43&gt;0),((Skills!G7*((R708-1)*IF(Skills!H7&gt;0,Skills!I7/Skills!H7,1)+IF(Skills!H7&gt;0,MIN(Skills!I7,MAX(0,MAX(0,Inputs!$B$43-B740)-((R708-1)*IF(Inputs!$B$38="pvp",15,MAX(0.1,Skills!D7-IF(Skills!E7=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Skills!E7=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Skills!E7=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IFERROR(1/IF(Inputs!$B$38="pvp",15,MAX(0.1,Skills!D9-IF(Skills!E9=TRUE,Inputs!$B$32,0))),0)</f>
        <v/>
      </c>
      <c r="R710">
        <f>IF(AND(Inputs!$B$38&lt;&gt;"pvp",Inputs!$B$43&gt;0),IF(MAX(0,Inputs!$B$43-B740)&lt;=0,0,(INT(MAX(0,Inputs!$B$43-B740)/IF(Inputs!$B$38="pvp",15,MAX(0.1,Skills!D9-IF(Skills!E9=TRUE,Inputs!$B$32,0))))+1)),0)</f>
        <v/>
      </c>
      <c r="S710">
        <f>IFERROR((H710*N710*IF(AND(Inputs!$B$38&lt;&gt;"pvp",Inputs!$B$43&gt;0),((Skills!G9*((R710-1)*IF(Skills!H9&gt;0,Skills!I9/Skills!H9,1)+IF(Skills!H9&gt;0,MIN(Skills!I9,MAX(0,MAX(0,Inputs!$B$43-B740)-((R710-1)*IF(Inputs!$B$38="pvp",15,MAX(0.1,Skills!D9-IF(Skills!E9=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Skills!E9=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Skills!E9=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IFERROR(1/IF(Inputs!$B$38="pvp",15,MAX(0.1,Skills!D11-IF(Skills!E11=TRUE,Inputs!$B$32,0))),0)</f>
        <v/>
      </c>
      <c r="R712">
        <f>IF(AND(Inputs!$B$38&lt;&gt;"pvp",Inputs!$B$43&gt;0),IF(MAX(0,Inputs!$B$43-B740)&lt;=0,0,(INT(MAX(0,Inputs!$B$43-B740)/IF(Inputs!$B$38="pvp",15,MAX(0.1,Skills!D11-IF(Skills!E11=TRUE,Inputs!$B$32,0))))+1)),0)</f>
        <v/>
      </c>
      <c r="S712">
        <f>IFERROR((H712*N712*IF(AND(Inputs!$B$38&lt;&gt;"pvp",Inputs!$B$43&gt;0),((Skills!G11*((R712-1)*IF(Skills!H11&gt;0,Skills!I11/Skills!H11,1)+IF(Skills!H11&gt;0,MIN(Skills!I11,MAX(0,MAX(0,Inputs!$B$43-B740)-((R712-1)*IF(Inputs!$B$38="pvp",15,MAX(0.1,Skills!D11-IF(Skills!E11=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Skills!E11=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Skills!E11=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IFERROR(1/IF(Inputs!$B$38="pvp",15,MAX(0.1,Skills!D15-IF(Skills!E15=TRUE,Inputs!$B$32,0))),0)</f>
        <v/>
      </c>
      <c r="R716">
        <f>IF(AND(Inputs!$B$38&lt;&gt;"pvp",Inputs!$B$43&gt;0),IF(Inputs!$B$43&lt;=0,0,(INT(Inputs!$B$43/IF(Inputs!$B$38="pvp",15,MAX(0.1,Skills!D15-IF(Skills!E15=TRUE,Inputs!$B$32,0))))+1)),0)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IFERROR(1/IF(Inputs!$B$38="pvp",15,MAX(0.1,Skills!D16-IF(Skills!E16=TRUE,Inputs!$B$32,0))),0)</f>
        <v/>
      </c>
      <c r="R717">
        <f>IF(AND(Inputs!$B$38&lt;&gt;"pvp",Inputs!$B$43&gt;0),IF(Inputs!$B$43&lt;=0,0,(INT(Inputs!$B$43/IF(Inputs!$B$38="pvp",15,MAX(0.1,Skills!D16-IF(Skills!E16=TRUE,Inputs!$B$32,0))))+1)),0)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IFERROR(1/IF(Inputs!$B$38="pvp",15,MAX(0.1,Skills!D18-IF(Skills!E18=TRUE,Inputs!$B$32,0))),0)</f>
        <v/>
      </c>
      <c r="R719">
        <f>IF(AND(Inputs!$B$38&lt;&gt;"pvp",Inputs!$B$43&gt;0),IF(Inputs!$B$43&lt;=0,0,(INT(Inputs!$B$43/IF(Inputs!$B$38="pvp",15,MAX(0.1,Skills!D18-IF(Skills!E18=TRUE,Inputs!$B$32,0))))+1)),0)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f>(C717=TRUE)*20*IF(AND(Inputs!$B$38&lt;&gt;"pvp",Inputs!$B$43&gt;0),(((R717-1)*(Skills!T16*(1+Inputs!$B$34/100))+MIN((Skills!T16*(1+Inputs!$B$34/100)),MAX(0,Inputs!$B$43-((R717-1)*Skills!D16))))/Inputs!$B$43),IF(Inputs!$B$38="pvp",MIN((Skills!T16*(1+Inputs!$B$34/100)),15)/15,(Skills!T16*(1+Inputs!$B$34/100))/Skills!D16))</f>
        <v/>
      </c>
    </row>
    <row r="734">
      <c r="A734" t="inlineStr">
        <is>
          <t>Attack Speed Buff Bonus %</t>
        </is>
      </c>
      <c r="B734">
        <f>((C719=TRUE)*F719*IF(AND(Inputs!$B$38&lt;&gt;"pvp",Inputs!$B$43&gt;0),(((R719-1)*(Skills!T18*(1+Inputs!$B$34/100))+MIN((Skills!T18*(1+Inputs!$B$34/100)),MAX(0,Inputs!$B$43-((R719-1)*Skills!D18))))/Inputs!$B$43),IF(Inputs!$B$38="pvp",MIN((Skills!T18*(1+Inputs!$B$34/100)),15)/15,(Skills!T18*(1+Inputs!$B$34/100))/Skills!D18)))</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Skills!T16*(1+Inputs!$B$34/100))+MIN((Skills!T16*(1+Inputs!$B$34/100)),MAX(0,Inputs!$B$43-((R717-1)*Skills!D16))))/Inputs!$B$43),IF(Inputs!$B$38="pvp",MIN((Skills!T16*(1+Inputs!$B$34/100)),15)/15,(Skills!T16*(1+Inputs!$B$34/100))/Skills!D16))</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IFERROR(1/IF(Inputs!$B$38="pvp",15,MAX(0.1,Skills!D5-IF(Skills!E5=TRUE,Inputs!$B$32,0))),0)</f>
        <v/>
      </c>
      <c r="R751">
        <f>IF(AND(Inputs!$B$38&lt;&gt;"pvp",Inputs!$B$43&gt;0),IF(MAX(0,Inputs!$B$43-B785)&lt;=0,0,(INT(MAX(0,Inputs!$B$43-B785)/IF(Inputs!$B$38="pvp",15,MAX(0.1,Skills!D5-IF(Skills!E5=TRUE,Inputs!$B$32,0))))+1)),0)</f>
        <v/>
      </c>
      <c r="S751">
        <f>IFERROR((H751*N751*IF(AND(Inputs!$B$38&lt;&gt;"pvp",Inputs!$B$43&gt;0),((Skills!G5*((R751-1)*IF(Skills!H5&gt;0,Skills!I5/Skills!H5,1)+IF(Skills!H5&gt;0,MIN(Skills!I5,MAX(0,MAX(0,Inputs!$B$43-B785)-((R751-1)*IF(Inputs!$B$38="pvp",15,MAX(0.1,Skills!D5-IF(Skills!E5=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Skills!E5=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Skills!E5=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IFERROR(1/IF(Inputs!$B$38="pvp",15,MAX(0.1,Skills!D6-IF(Skills!E6=TRUE,Inputs!$B$32,0))),0)</f>
        <v/>
      </c>
      <c r="R752">
        <f>IF(AND(Inputs!$B$38&lt;&gt;"pvp",Inputs!$B$43&gt;0),IF(MAX(0,Inputs!$B$43-B785)&lt;=0,0,(INT(MAX(0,Inputs!$B$43-B785)/IF(Inputs!$B$38="pvp",15,MAX(0.1,Skills!D6-IF(Skills!E6=TRUE,Inputs!$B$32,0))))+1)),0)</f>
        <v/>
      </c>
      <c r="S752">
        <f>IFERROR((H752*N752*IF(AND(Inputs!$B$38&lt;&gt;"pvp",Inputs!$B$43&gt;0),((Skills!G6*((R752-1)*IF(Skills!H6&gt;0,Skills!I6/Skills!H6,1)+IF(Skills!H6&gt;0,MIN(Skills!I6,MAX(0,MAX(0,Inputs!$B$43-B785)-((R752-1)*IF(Inputs!$B$38="pvp",15,MAX(0.1,Skills!D6-IF(Skills!E6=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Skills!E6=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Skills!E6=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IFERROR(1/IF(Inputs!$B$38="pvp",15,MAX(0.1,Skills!D7-IF(Skills!E7=TRUE,Inputs!$B$32,0))),0)</f>
        <v/>
      </c>
      <c r="R753">
        <f>IF(AND(Inputs!$B$38&lt;&gt;"pvp",Inputs!$B$43&gt;0),IF(MAX(0,Inputs!$B$43-B785)&lt;=0,0,(INT(MAX(0,Inputs!$B$43-B785)/IF(Inputs!$B$38="pvp",15,MAX(0.1,Skills!D7-IF(Skills!E7=TRUE,Inputs!$B$32,0))))+1)),0)</f>
        <v/>
      </c>
      <c r="S753">
        <f>IFERROR((H753*N753*IF(AND(Inputs!$B$38&lt;&gt;"pvp",Inputs!$B$43&gt;0),((Skills!G7*((R753-1)*IF(Skills!H7&gt;0,Skills!I7/Skills!H7,1)+IF(Skills!H7&gt;0,MIN(Skills!I7,MAX(0,MAX(0,Inputs!$B$43-B785)-((R753-1)*IF(Inputs!$B$38="pvp",15,MAX(0.1,Skills!D7-IF(Skills!E7=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Skills!E7=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Skills!E7=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IFERROR(1/IF(Inputs!$B$38="pvp",15,MAX(0.1,Skills!D9-IF(Skills!E9=TRUE,Inputs!$B$32,0))),0)</f>
        <v/>
      </c>
      <c r="R755">
        <f>IF(AND(Inputs!$B$38&lt;&gt;"pvp",Inputs!$B$43&gt;0),IF(MAX(0,Inputs!$B$43-B785)&lt;=0,0,(INT(MAX(0,Inputs!$B$43-B785)/IF(Inputs!$B$38="pvp",15,MAX(0.1,Skills!D9-IF(Skills!E9=TRUE,Inputs!$B$32,0))))+1)),0)</f>
        <v/>
      </c>
      <c r="S755">
        <f>IFERROR((H755*N755*IF(AND(Inputs!$B$38&lt;&gt;"pvp",Inputs!$B$43&gt;0),((Skills!G9*((R755-1)*IF(Skills!H9&gt;0,Skills!I9/Skills!H9,1)+IF(Skills!H9&gt;0,MIN(Skills!I9,MAX(0,MAX(0,Inputs!$B$43-B785)-((R755-1)*IF(Inputs!$B$38="pvp",15,MAX(0.1,Skills!D9-IF(Skills!E9=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Skills!E9=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Skills!E9=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IFERROR(1/IF(Inputs!$B$38="pvp",15,MAX(0.1,Skills!D11-IF(Skills!E11=TRUE,Inputs!$B$32,0))),0)</f>
        <v/>
      </c>
      <c r="R757">
        <f>IF(AND(Inputs!$B$38&lt;&gt;"pvp",Inputs!$B$43&gt;0),IF(MAX(0,Inputs!$B$43-B785)&lt;=0,0,(INT(MAX(0,Inputs!$B$43-B785)/IF(Inputs!$B$38="pvp",15,MAX(0.1,Skills!D11-IF(Skills!E11=TRUE,Inputs!$B$32,0))))+1)),0)</f>
        <v/>
      </c>
      <c r="S757">
        <f>IFERROR((H757*N757*IF(AND(Inputs!$B$38&lt;&gt;"pvp",Inputs!$B$43&gt;0),((Skills!G11*((R757-1)*IF(Skills!H11&gt;0,Skills!I11/Skills!H11,1)+IF(Skills!H11&gt;0,MIN(Skills!I11,MAX(0,MAX(0,Inputs!$B$43-B785)-((R757-1)*IF(Inputs!$B$38="pvp",15,MAX(0.1,Skills!D11-IF(Skills!E11=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Skills!E11=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Skills!E11=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IFERROR(1/IF(Inputs!$B$38="pvp",15,MAX(0.1,Skills!D15-IF(Skills!E15=TRUE,Inputs!$B$32,0))),0)</f>
        <v/>
      </c>
      <c r="R761">
        <f>IF(AND(Inputs!$B$38&lt;&gt;"pvp",Inputs!$B$43&gt;0),IF(Inputs!$B$43&lt;=0,0,(INT(Inputs!$B$43/IF(Inputs!$B$38="pvp",15,MAX(0.1,Skills!D15-IF(Skills!E15=TRUE,Inputs!$B$32,0))))+1)),0)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IFERROR(1/IF(Inputs!$B$38="pvp",15,MAX(0.1,Skills!D16-IF(Skills!E16=TRUE,Inputs!$B$32,0))),0)</f>
        <v/>
      </c>
      <c r="R762">
        <f>IF(AND(Inputs!$B$38&lt;&gt;"pvp",Inputs!$B$43&gt;0),IF(Inputs!$B$43&lt;=0,0,(INT(Inputs!$B$43/IF(Inputs!$B$38="pvp",15,MAX(0.1,Skills!D16-IF(Skills!E16=TRUE,Inputs!$B$32,0))))+1)),0)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IFERROR(1/IF(Inputs!$B$38="pvp",15,MAX(0.1,Skills!D18-IF(Skills!E18=TRUE,Inputs!$B$32,0))),0)</f>
        <v/>
      </c>
      <c r="R764">
        <f>IF(AND(Inputs!$B$38&lt;&gt;"pvp",Inputs!$B$43&gt;0),IF(Inputs!$B$43&lt;=0,0,(INT(Inputs!$B$43/IF(Inputs!$B$38="pvp",15,MAX(0.1,Skills!D18-IF(Skills!E18=TRUE,Inputs!$B$32,0))))+1)),0)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f>(C762=TRUE)*20*IF(AND(Inputs!$B$38&lt;&gt;"pvp",Inputs!$B$43&gt;0),(((R762-1)*(Skills!T16*(1+Inputs!$B$34/100))+MIN((Skills!T16*(1+Inputs!$B$34/100)),MAX(0,Inputs!$B$43-((R762-1)*Skills!D16))))/Inputs!$B$43),IF(Inputs!$B$38="pvp",MIN((Skills!T16*(1+Inputs!$B$34/100)),15)/15,(Skills!T16*(1+Inputs!$B$34/100))/Skills!D16))</f>
        <v/>
      </c>
    </row>
    <row r="779">
      <c r="A779" t="inlineStr">
        <is>
          <t>Attack Speed Buff Bonus %</t>
        </is>
      </c>
      <c r="B779">
        <f>((C764=TRUE)*F764*IF(AND(Inputs!$B$38&lt;&gt;"pvp",Inputs!$B$43&gt;0),(((R764-1)*(Skills!T18*(1+Inputs!$B$34/100))+MIN((Skills!T18*(1+Inputs!$B$34/100)),MAX(0,Inputs!$B$43-((R764-1)*Skills!D18))))/Inputs!$B$43),IF(Inputs!$B$38="pvp",MIN((Skills!T18*(1+Inputs!$B$34/100)),15)/15,(Skills!T18*(1+Inputs!$B$34/100))/Skills!D18)))</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Skills!T16*(1+Inputs!$B$34/100))+MIN((Skills!T16*(1+Inputs!$B$34/100)),MAX(0,Inputs!$B$43-((R762-1)*Skills!D16))))/Inputs!$B$43),IF(Inputs!$B$38="pvp",MIN((Skills!T16*(1+Inputs!$B$34/100)),15)/15,(Skills!T16*(1+Inputs!$B$34/100))/Skills!D16))</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IFERROR(1/IF(Inputs!$B$38="pvp",15,MAX(0.1,Skills!D5-IF(Skills!E5=TRUE,Inputs!$B$32,0))),0)</f>
        <v/>
      </c>
      <c r="R796">
        <f>IF(AND(Inputs!$B$38&lt;&gt;"pvp",Inputs!$B$43&gt;0),IF(MAX(0,Inputs!$B$43-B830)&lt;=0,0,(INT(MAX(0,Inputs!$B$43-B830)/IF(Inputs!$B$38="pvp",15,MAX(0.1,Skills!D5-IF(Skills!E5=TRUE,Inputs!$B$32,0))))+1)),0)</f>
        <v/>
      </c>
      <c r="S796">
        <f>IFERROR((H796*N796*IF(AND(Inputs!$B$38&lt;&gt;"pvp",Inputs!$B$43&gt;0),((Skills!G5*((R796-1)*IF(Skills!H5&gt;0,Skills!I5/Skills!H5,1)+IF(Skills!H5&gt;0,MIN(Skills!I5,MAX(0,MAX(0,Inputs!$B$43-B830)-((R796-1)*IF(Inputs!$B$38="pvp",15,MAX(0.1,Skills!D5-IF(Skills!E5=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Skills!E5=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Skills!E5=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IFERROR(1/IF(Inputs!$B$38="pvp",15,MAX(0.1,Skills!D6-IF(Skills!E6=TRUE,Inputs!$B$32,0))),0)</f>
        <v/>
      </c>
      <c r="R797">
        <f>IF(AND(Inputs!$B$38&lt;&gt;"pvp",Inputs!$B$43&gt;0),IF(MAX(0,Inputs!$B$43-B830)&lt;=0,0,(INT(MAX(0,Inputs!$B$43-B830)/IF(Inputs!$B$38="pvp",15,MAX(0.1,Skills!D6-IF(Skills!E6=TRUE,Inputs!$B$32,0))))+1)),0)</f>
        <v/>
      </c>
      <c r="S797">
        <f>IFERROR((H797*N797*IF(AND(Inputs!$B$38&lt;&gt;"pvp",Inputs!$B$43&gt;0),((Skills!G6*((R797-1)*IF(Skills!H6&gt;0,Skills!I6/Skills!H6,1)+IF(Skills!H6&gt;0,MIN(Skills!I6,MAX(0,MAX(0,Inputs!$B$43-B830)-((R797-1)*IF(Inputs!$B$38="pvp",15,MAX(0.1,Skills!D6-IF(Skills!E6=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Skills!E6=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Skills!E6=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IFERROR(1/IF(Inputs!$B$38="pvp",15,MAX(0.1,Skills!D7-IF(Skills!E7=TRUE,Inputs!$B$32,0))),0)</f>
        <v/>
      </c>
      <c r="R798">
        <f>IF(AND(Inputs!$B$38&lt;&gt;"pvp",Inputs!$B$43&gt;0),IF(MAX(0,Inputs!$B$43-B830)&lt;=0,0,(INT(MAX(0,Inputs!$B$43-B830)/IF(Inputs!$B$38="pvp",15,MAX(0.1,Skills!D7-IF(Skills!E7=TRUE,Inputs!$B$32,0))))+1)),0)</f>
        <v/>
      </c>
      <c r="S798">
        <f>IFERROR((H798*N798*IF(AND(Inputs!$B$38&lt;&gt;"pvp",Inputs!$B$43&gt;0),((Skills!G7*((R798-1)*IF(Skills!H7&gt;0,Skills!I7/Skills!H7,1)+IF(Skills!H7&gt;0,MIN(Skills!I7,MAX(0,MAX(0,Inputs!$B$43-B830)-((R798-1)*IF(Inputs!$B$38="pvp",15,MAX(0.1,Skills!D7-IF(Skills!E7=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Skills!E7=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Skills!E7=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IFERROR(1/IF(Inputs!$B$38="pvp",15,MAX(0.1,Skills!D9-IF(Skills!E9=TRUE,Inputs!$B$32,0))),0)</f>
        <v/>
      </c>
      <c r="R800">
        <f>IF(AND(Inputs!$B$38&lt;&gt;"pvp",Inputs!$B$43&gt;0),IF(MAX(0,Inputs!$B$43-B830)&lt;=0,0,(INT(MAX(0,Inputs!$B$43-B830)/IF(Inputs!$B$38="pvp",15,MAX(0.1,Skills!D9-IF(Skills!E9=TRUE,Inputs!$B$32,0))))+1)),0)</f>
        <v/>
      </c>
      <c r="S800">
        <f>IFERROR((H800*N800*IF(AND(Inputs!$B$38&lt;&gt;"pvp",Inputs!$B$43&gt;0),((Skills!G9*((R800-1)*IF(Skills!H9&gt;0,Skills!I9/Skills!H9,1)+IF(Skills!H9&gt;0,MIN(Skills!I9,MAX(0,MAX(0,Inputs!$B$43-B830)-((R800-1)*IF(Inputs!$B$38="pvp",15,MAX(0.1,Skills!D9-IF(Skills!E9=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Skills!E9=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Skills!E9=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IFERROR(1/IF(Inputs!$B$38="pvp",15,MAX(0.1,Skills!D11-IF(Skills!E11=TRUE,Inputs!$B$32,0))),0)</f>
        <v/>
      </c>
      <c r="R802">
        <f>IF(AND(Inputs!$B$38&lt;&gt;"pvp",Inputs!$B$43&gt;0),IF(MAX(0,Inputs!$B$43-B830)&lt;=0,0,(INT(MAX(0,Inputs!$B$43-B830)/IF(Inputs!$B$38="pvp",15,MAX(0.1,Skills!D11-IF(Skills!E11=TRUE,Inputs!$B$32,0))))+1)),0)</f>
        <v/>
      </c>
      <c r="S802">
        <f>IFERROR((H802*N802*IF(AND(Inputs!$B$38&lt;&gt;"pvp",Inputs!$B$43&gt;0),((Skills!G11*((R802-1)*IF(Skills!H11&gt;0,Skills!I11/Skills!H11,1)+IF(Skills!H11&gt;0,MIN(Skills!I11,MAX(0,MAX(0,Inputs!$B$43-B830)-((R802-1)*IF(Inputs!$B$38="pvp",15,MAX(0.1,Skills!D11-IF(Skills!E11=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Skills!E11=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Skills!E11=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IFERROR(1/IF(Inputs!$B$38="pvp",15,MAX(0.1,Skills!D15-IF(Skills!E15=TRUE,Inputs!$B$32,0))),0)</f>
        <v/>
      </c>
      <c r="R806">
        <f>IF(AND(Inputs!$B$38&lt;&gt;"pvp",Inputs!$B$43&gt;0),IF(Inputs!$B$43&lt;=0,0,(INT(Inputs!$B$43/IF(Inputs!$B$38="pvp",15,MAX(0.1,Skills!D15-IF(Skills!E15=TRUE,Inputs!$B$32,0))))+1)),0)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IFERROR(1/IF(Inputs!$B$38="pvp",15,MAX(0.1,Skills!D16-IF(Skills!E16=TRUE,Inputs!$B$32,0))),0)</f>
        <v/>
      </c>
      <c r="R807">
        <f>IF(AND(Inputs!$B$38&lt;&gt;"pvp",Inputs!$B$43&gt;0),IF(Inputs!$B$43&lt;=0,0,(INT(Inputs!$B$43/IF(Inputs!$B$38="pvp",15,MAX(0.1,Skills!D16-IF(Skills!E16=TRUE,Inputs!$B$32,0))))+1)),0)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IFERROR(1/IF(Inputs!$B$38="pvp",15,MAX(0.1,Skills!D18-IF(Skills!E18=TRUE,Inputs!$B$32,0))),0)</f>
        <v/>
      </c>
      <c r="R809">
        <f>IF(AND(Inputs!$B$38&lt;&gt;"pvp",Inputs!$B$43&gt;0),IF(Inputs!$B$43&lt;=0,0,(INT(Inputs!$B$43/IF(Inputs!$B$38="pvp",15,MAX(0.1,Skills!D18-IF(Skills!E18=TRUE,Inputs!$B$32,0))))+1)),0)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f>(C807=TRUE)*20*IF(AND(Inputs!$B$38&lt;&gt;"pvp",Inputs!$B$43&gt;0),(((R807-1)*(Skills!T16*(1+Inputs!$B$34/100))+MIN((Skills!T16*(1+Inputs!$B$34/100)),MAX(0,Inputs!$B$43-((R807-1)*Skills!D16))))/Inputs!$B$43),IF(Inputs!$B$38="pvp",MIN((Skills!T16*(1+Inputs!$B$34/100)),15)/15,(Skills!T16*(1+Inputs!$B$34/100))/Skills!D16))</f>
        <v/>
      </c>
    </row>
    <row r="824">
      <c r="A824" t="inlineStr">
        <is>
          <t>Attack Speed Buff Bonus %</t>
        </is>
      </c>
      <c r="B824">
        <f>((C809=TRUE)*F809*IF(AND(Inputs!$B$38&lt;&gt;"pvp",Inputs!$B$43&gt;0),(((R809-1)*(Skills!T18*(1+Inputs!$B$34/100))+MIN((Skills!T18*(1+Inputs!$B$34/100)),MAX(0,Inputs!$B$43-((R809-1)*Skills!D18))))/Inputs!$B$43),IF(Inputs!$B$38="pvp",MIN((Skills!T18*(1+Inputs!$B$34/100)),15)/15,(Skills!T18*(1+Inputs!$B$34/100))/Skills!D18)))</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Skills!T16*(1+Inputs!$B$34/100))+MIN((Skills!T16*(1+Inputs!$B$34/100)),MAX(0,Inputs!$B$43-((R807-1)*Skills!D16))))/Inputs!$B$43),IF(Inputs!$B$38="pvp",MIN((Skills!T16*(1+Inputs!$B$34/100)),15)/15,(Skills!T16*(1+Inputs!$B$34/100))/Skills!D16))</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IFERROR(1/IF(Inputs!$B$38="pvp",15,MAX(0.1,Skills!D5-IF(Skills!E5=TRUE,Inputs!$B$32,0))),0)</f>
        <v/>
      </c>
      <c r="R841">
        <f>IF(AND(Inputs!$B$38&lt;&gt;"pvp",Inputs!$B$43&gt;0),IF(MAX(0,Inputs!$B$43-B875)&lt;=0,0,(INT(MAX(0,Inputs!$B$43-B875)/IF(Inputs!$B$38="pvp",15,MAX(0.1,Skills!D5-IF(Skills!E5=TRUE,Inputs!$B$32,0))))+1)),0)</f>
        <v/>
      </c>
      <c r="S841">
        <f>IFERROR((H841*N841*IF(AND(Inputs!$B$38&lt;&gt;"pvp",Inputs!$B$43&gt;0),((Skills!G5*((R841-1)*IF(Skills!H5&gt;0,Skills!I5/Skills!H5,1)+IF(Skills!H5&gt;0,MIN(Skills!I5,MAX(0,MAX(0,Inputs!$B$43-B875)-((R841-1)*IF(Inputs!$B$38="pvp",15,MAX(0.1,Skills!D5-IF(Skills!E5=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Skills!E5=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Skills!E5=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IFERROR(1/IF(Inputs!$B$38="pvp",15,MAX(0.1,Skills!D6-IF(Skills!E6=TRUE,Inputs!$B$32,0))),0)</f>
        <v/>
      </c>
      <c r="R842">
        <f>IF(AND(Inputs!$B$38&lt;&gt;"pvp",Inputs!$B$43&gt;0),IF(MAX(0,Inputs!$B$43-B875)&lt;=0,0,(INT(MAX(0,Inputs!$B$43-B875)/IF(Inputs!$B$38="pvp",15,MAX(0.1,Skills!D6-IF(Skills!E6=TRUE,Inputs!$B$32,0))))+1)),0)</f>
        <v/>
      </c>
      <c r="S842">
        <f>IFERROR((H842*N842*IF(AND(Inputs!$B$38&lt;&gt;"pvp",Inputs!$B$43&gt;0),((Skills!G6*((R842-1)*IF(Skills!H6&gt;0,Skills!I6/Skills!H6,1)+IF(Skills!H6&gt;0,MIN(Skills!I6,MAX(0,MAX(0,Inputs!$B$43-B875)-((R842-1)*IF(Inputs!$B$38="pvp",15,MAX(0.1,Skills!D6-IF(Skills!E6=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Skills!E6=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Skills!E6=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IFERROR(1/IF(Inputs!$B$38="pvp",15,MAX(0.1,Skills!D7-IF(Skills!E7=TRUE,Inputs!$B$32,0))),0)</f>
        <v/>
      </c>
      <c r="R843">
        <f>IF(AND(Inputs!$B$38&lt;&gt;"pvp",Inputs!$B$43&gt;0),IF(MAX(0,Inputs!$B$43-B875)&lt;=0,0,(INT(MAX(0,Inputs!$B$43-B875)/IF(Inputs!$B$38="pvp",15,MAX(0.1,Skills!D7-IF(Skills!E7=TRUE,Inputs!$B$32,0))))+1)),0)</f>
        <v/>
      </c>
      <c r="S843">
        <f>IFERROR((H843*N843*IF(AND(Inputs!$B$38&lt;&gt;"pvp",Inputs!$B$43&gt;0),((Skills!G7*((R843-1)*IF(Skills!H7&gt;0,Skills!I7/Skills!H7,1)+IF(Skills!H7&gt;0,MIN(Skills!I7,MAX(0,MAX(0,Inputs!$B$43-B875)-((R843-1)*IF(Inputs!$B$38="pvp",15,MAX(0.1,Skills!D7-IF(Skills!E7=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Skills!E7=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Skills!E7=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IFERROR(1/IF(Inputs!$B$38="pvp",15,MAX(0.1,Skills!D9-IF(Skills!E9=TRUE,Inputs!$B$32,0))),0)</f>
        <v/>
      </c>
      <c r="R845">
        <f>IF(AND(Inputs!$B$38&lt;&gt;"pvp",Inputs!$B$43&gt;0),IF(MAX(0,Inputs!$B$43-B875)&lt;=0,0,(INT(MAX(0,Inputs!$B$43-B875)/IF(Inputs!$B$38="pvp",15,MAX(0.1,Skills!D9-IF(Skills!E9=TRUE,Inputs!$B$32,0))))+1)),0)</f>
        <v/>
      </c>
      <c r="S845">
        <f>IFERROR((H845*N845*IF(AND(Inputs!$B$38&lt;&gt;"pvp",Inputs!$B$43&gt;0),((Skills!G9*((R845-1)*IF(Skills!H9&gt;0,Skills!I9/Skills!H9,1)+IF(Skills!H9&gt;0,MIN(Skills!I9,MAX(0,MAX(0,Inputs!$B$43-B875)-((R845-1)*IF(Inputs!$B$38="pvp",15,MAX(0.1,Skills!D9-IF(Skills!E9=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Skills!E9=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Skills!E9=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IFERROR(1/IF(Inputs!$B$38="pvp",15,MAX(0.1,Skills!D11-IF(Skills!E11=TRUE,Inputs!$B$32,0))),0)</f>
        <v/>
      </c>
      <c r="R847">
        <f>IF(AND(Inputs!$B$38&lt;&gt;"pvp",Inputs!$B$43&gt;0),IF(MAX(0,Inputs!$B$43-B875)&lt;=0,0,(INT(MAX(0,Inputs!$B$43-B875)/IF(Inputs!$B$38="pvp",15,MAX(0.1,Skills!D11-IF(Skills!E11=TRUE,Inputs!$B$32,0))))+1)),0)</f>
        <v/>
      </c>
      <c r="S847">
        <f>IFERROR((H847*N847*IF(AND(Inputs!$B$38&lt;&gt;"pvp",Inputs!$B$43&gt;0),((Skills!G11*((R847-1)*IF(Skills!H11&gt;0,Skills!I11/Skills!H11,1)+IF(Skills!H11&gt;0,MIN(Skills!I11,MAX(0,MAX(0,Inputs!$B$43-B875)-((R847-1)*IF(Inputs!$B$38="pvp",15,MAX(0.1,Skills!D11-IF(Skills!E11=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Skills!E11=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Skills!E11=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IFERROR(1/IF(Inputs!$B$38="pvp",15,MAX(0.1,Skills!D15-IF(Skills!E15=TRUE,Inputs!$B$32,0))),0)</f>
        <v/>
      </c>
      <c r="R851">
        <f>IF(AND(Inputs!$B$38&lt;&gt;"pvp",Inputs!$B$43&gt;0),IF(Inputs!$B$43&lt;=0,0,(INT(Inputs!$B$43/IF(Inputs!$B$38="pvp",15,MAX(0.1,Skills!D15-IF(Skills!E15=TRUE,Inputs!$B$32,0))))+1)),0)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IFERROR(1/IF(Inputs!$B$38="pvp",15,MAX(0.1,Skills!D16-IF(Skills!E16=TRUE,Inputs!$B$32,0))),0)</f>
        <v/>
      </c>
      <c r="R852">
        <f>IF(AND(Inputs!$B$38&lt;&gt;"pvp",Inputs!$B$43&gt;0),IF(Inputs!$B$43&lt;=0,0,(INT(Inputs!$B$43/IF(Inputs!$B$38="pvp",15,MAX(0.1,Skills!D16-IF(Skills!E16=TRUE,Inputs!$B$32,0))))+1)),0)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IFERROR(1/IF(Inputs!$B$38="pvp",15,MAX(0.1,Skills!D18-IF(Skills!E18=TRUE,Inputs!$B$32,0))),0)</f>
        <v/>
      </c>
      <c r="R854">
        <f>IF(AND(Inputs!$B$38&lt;&gt;"pvp",Inputs!$B$43&gt;0),IF(Inputs!$B$43&lt;=0,0,(INT(Inputs!$B$43/IF(Inputs!$B$38="pvp",15,MAX(0.1,Skills!D18-IF(Skills!E18=TRUE,Inputs!$B$32,0))))+1)),0)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f>(C852=TRUE)*20*IF(AND(Inputs!$B$38&lt;&gt;"pvp",Inputs!$B$43&gt;0),(((R852-1)*(Skills!T16*(1+Inputs!$B$34/100))+MIN((Skills!T16*(1+Inputs!$B$34/100)),MAX(0,Inputs!$B$43-((R852-1)*Skills!D16))))/Inputs!$B$43),IF(Inputs!$B$38="pvp",MIN((Skills!T16*(1+Inputs!$B$34/100)),15)/15,(Skills!T16*(1+Inputs!$B$34/100))/Skills!D16))</f>
        <v/>
      </c>
    </row>
    <row r="869">
      <c r="A869" t="inlineStr">
        <is>
          <t>Attack Speed Buff Bonus %</t>
        </is>
      </c>
      <c r="B869">
        <f>((C854=TRUE)*F854*IF(AND(Inputs!$B$38&lt;&gt;"pvp",Inputs!$B$43&gt;0),(((R854-1)*(Skills!T18*(1+Inputs!$B$34/100))+MIN((Skills!T18*(1+Inputs!$B$34/100)),MAX(0,Inputs!$B$43-((R854-1)*Skills!D18))))/Inputs!$B$43),IF(Inputs!$B$38="pvp",MIN((Skills!T18*(1+Inputs!$B$34/100)),15)/15,(Skills!T18*(1+Inputs!$B$34/100))/Skills!D18)))</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Skills!T16*(1+Inputs!$B$34/100))+MIN((Skills!T16*(1+Inputs!$B$34/100)),MAX(0,Inputs!$B$43-((R852-1)*Skills!D16))))/Inputs!$B$43),IF(Inputs!$B$38="pvp",MIN((Skills!T16*(1+Inputs!$B$34/100)),15)/15,(Skills!T16*(1+Inputs!$B$34/100))/Skills!D16))</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IFERROR(1/IF(Inputs!$B$38="pvp",15,MAX(0.1,Skills!D5-IF(Skills!E5=TRUE,Inputs!$B$32,0))),0)</f>
        <v/>
      </c>
      <c r="R886">
        <f>IF(AND(Inputs!$B$38&lt;&gt;"pvp",Inputs!$B$43&gt;0),IF(MAX(0,Inputs!$B$43-B920)&lt;=0,0,(INT(MAX(0,Inputs!$B$43-B920)/IF(Inputs!$B$38="pvp",15,MAX(0.1,Skills!D5-IF(Skills!E5=TRUE,Inputs!$B$32,0))))+1)),0)</f>
        <v/>
      </c>
      <c r="S886">
        <f>IFERROR((H886*N886*IF(AND(Inputs!$B$38&lt;&gt;"pvp",Inputs!$B$43&gt;0),((Skills!G5*((R886-1)*IF(Skills!H5&gt;0,Skills!I5/Skills!H5,1)+IF(Skills!H5&gt;0,MIN(Skills!I5,MAX(0,MAX(0,Inputs!$B$43-B920)-((R886-1)*IF(Inputs!$B$38="pvp",15,MAX(0.1,Skills!D5-IF(Skills!E5=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Skills!E5=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Skills!E5=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IFERROR(1/IF(Inputs!$B$38="pvp",15,MAX(0.1,Skills!D6-IF(Skills!E6=TRUE,Inputs!$B$32,0))),0)</f>
        <v/>
      </c>
      <c r="R887">
        <f>IF(AND(Inputs!$B$38&lt;&gt;"pvp",Inputs!$B$43&gt;0),IF(MAX(0,Inputs!$B$43-B920)&lt;=0,0,(INT(MAX(0,Inputs!$B$43-B920)/IF(Inputs!$B$38="pvp",15,MAX(0.1,Skills!D6-IF(Skills!E6=TRUE,Inputs!$B$32,0))))+1)),0)</f>
        <v/>
      </c>
      <c r="S887">
        <f>IFERROR((H887*N887*IF(AND(Inputs!$B$38&lt;&gt;"pvp",Inputs!$B$43&gt;0),((Skills!G6*((R887-1)*IF(Skills!H6&gt;0,Skills!I6/Skills!H6,1)+IF(Skills!H6&gt;0,MIN(Skills!I6,MAX(0,MAX(0,Inputs!$B$43-B920)-((R887-1)*IF(Inputs!$B$38="pvp",15,MAX(0.1,Skills!D6-IF(Skills!E6=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Skills!E6=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Skills!E6=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IFERROR(1/IF(Inputs!$B$38="pvp",15,MAX(0.1,Skills!D7-IF(Skills!E7=TRUE,Inputs!$B$32,0))),0)</f>
        <v/>
      </c>
      <c r="R888">
        <f>IF(AND(Inputs!$B$38&lt;&gt;"pvp",Inputs!$B$43&gt;0),IF(MAX(0,Inputs!$B$43-B920)&lt;=0,0,(INT(MAX(0,Inputs!$B$43-B920)/IF(Inputs!$B$38="pvp",15,MAX(0.1,Skills!D7-IF(Skills!E7=TRUE,Inputs!$B$32,0))))+1)),0)</f>
        <v/>
      </c>
      <c r="S888">
        <f>IFERROR((H888*N888*IF(AND(Inputs!$B$38&lt;&gt;"pvp",Inputs!$B$43&gt;0),((Skills!G7*((R888-1)*IF(Skills!H7&gt;0,Skills!I7/Skills!H7,1)+IF(Skills!H7&gt;0,MIN(Skills!I7,MAX(0,MAX(0,Inputs!$B$43-B920)-((R888-1)*IF(Inputs!$B$38="pvp",15,MAX(0.1,Skills!D7-IF(Skills!E7=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Skills!E7=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Skills!E7=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IFERROR(1/IF(Inputs!$B$38="pvp",15,MAX(0.1,Skills!D9-IF(Skills!E9=TRUE,Inputs!$B$32,0))),0)</f>
        <v/>
      </c>
      <c r="R890">
        <f>IF(AND(Inputs!$B$38&lt;&gt;"pvp",Inputs!$B$43&gt;0),IF(MAX(0,Inputs!$B$43-B920)&lt;=0,0,(INT(MAX(0,Inputs!$B$43-B920)/IF(Inputs!$B$38="pvp",15,MAX(0.1,Skills!D9-IF(Skills!E9=TRUE,Inputs!$B$32,0))))+1)),0)</f>
        <v/>
      </c>
      <c r="S890">
        <f>IFERROR((H890*N890*IF(AND(Inputs!$B$38&lt;&gt;"pvp",Inputs!$B$43&gt;0),((Skills!G9*((R890-1)*IF(Skills!H9&gt;0,Skills!I9/Skills!H9,1)+IF(Skills!H9&gt;0,MIN(Skills!I9,MAX(0,MAX(0,Inputs!$B$43-B920)-((R890-1)*IF(Inputs!$B$38="pvp",15,MAX(0.1,Skills!D9-IF(Skills!E9=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Skills!E9=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Skills!E9=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IFERROR(1/IF(Inputs!$B$38="pvp",15,MAX(0.1,Skills!D11-IF(Skills!E11=TRUE,Inputs!$B$32,0))),0)</f>
        <v/>
      </c>
      <c r="R892">
        <f>IF(AND(Inputs!$B$38&lt;&gt;"pvp",Inputs!$B$43&gt;0),IF(MAX(0,Inputs!$B$43-B920)&lt;=0,0,(INT(MAX(0,Inputs!$B$43-B920)/IF(Inputs!$B$38="pvp",15,MAX(0.1,Skills!D11-IF(Skills!E11=TRUE,Inputs!$B$32,0))))+1)),0)</f>
        <v/>
      </c>
      <c r="S892">
        <f>IFERROR((H892*N892*IF(AND(Inputs!$B$38&lt;&gt;"pvp",Inputs!$B$43&gt;0),((Skills!G11*((R892-1)*IF(Skills!H11&gt;0,Skills!I11/Skills!H11,1)+IF(Skills!H11&gt;0,MIN(Skills!I11,MAX(0,MAX(0,Inputs!$B$43-B920)-((R892-1)*IF(Inputs!$B$38="pvp",15,MAX(0.1,Skills!D11-IF(Skills!E11=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Skills!E11=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Skills!E11=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IFERROR(1/IF(Inputs!$B$38="pvp",15,MAX(0.1,Skills!D15-IF(Skills!E15=TRUE,Inputs!$B$32,0))),0)</f>
        <v/>
      </c>
      <c r="R896">
        <f>IF(AND(Inputs!$B$38&lt;&gt;"pvp",Inputs!$B$43&gt;0),IF(Inputs!$B$43&lt;=0,0,(INT(Inputs!$B$43/IF(Inputs!$B$38="pvp",15,MAX(0.1,Skills!D15-IF(Skills!E15=TRUE,Inputs!$B$32,0))))+1)),0)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IFERROR(1/IF(Inputs!$B$38="pvp",15,MAX(0.1,Skills!D16-IF(Skills!E16=TRUE,Inputs!$B$32,0))),0)</f>
        <v/>
      </c>
      <c r="R897">
        <f>IF(AND(Inputs!$B$38&lt;&gt;"pvp",Inputs!$B$43&gt;0),IF(Inputs!$B$43&lt;=0,0,(INT(Inputs!$B$43/IF(Inputs!$B$38="pvp",15,MAX(0.1,Skills!D16-IF(Skills!E16=TRUE,Inputs!$B$32,0))))+1)),0)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IFERROR(1/IF(Inputs!$B$38="pvp",15,MAX(0.1,Skills!D18-IF(Skills!E18=TRUE,Inputs!$B$32,0))),0)</f>
        <v/>
      </c>
      <c r="R899">
        <f>IF(AND(Inputs!$B$38&lt;&gt;"pvp",Inputs!$B$43&gt;0),IF(Inputs!$B$43&lt;=0,0,(INT(Inputs!$B$43/IF(Inputs!$B$38="pvp",15,MAX(0.1,Skills!D18-IF(Skills!E18=TRUE,Inputs!$B$32,0))))+1)),0)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f>(C897=TRUE)*20*IF(AND(Inputs!$B$38&lt;&gt;"pvp",Inputs!$B$43&gt;0),(((R897-1)*(Skills!T16*(1+Inputs!$B$34/100))+MIN((Skills!T16*(1+Inputs!$B$34/100)),MAX(0,Inputs!$B$43-((R897-1)*Skills!D16))))/Inputs!$B$43),IF(Inputs!$B$38="pvp",MIN((Skills!T16*(1+Inputs!$B$34/100)),15)/15,(Skills!T16*(1+Inputs!$B$34/100))/Skills!D16))</f>
        <v/>
      </c>
    </row>
    <row r="914">
      <c r="A914" t="inlineStr">
        <is>
          <t>Attack Speed Buff Bonus %</t>
        </is>
      </c>
      <c r="B914">
        <f>((C899=TRUE)*F899*IF(AND(Inputs!$B$38&lt;&gt;"pvp",Inputs!$B$43&gt;0),(((R899-1)*(Skills!T18*(1+Inputs!$B$34/100))+MIN((Skills!T18*(1+Inputs!$B$34/100)),MAX(0,Inputs!$B$43-((R899-1)*Skills!D18))))/Inputs!$B$43),IF(Inputs!$B$38="pvp",MIN((Skills!T18*(1+Inputs!$B$34/100)),15)/15,(Skills!T18*(1+Inputs!$B$34/100))/Skills!D18)))</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Skills!T16*(1+Inputs!$B$34/100))+MIN((Skills!T16*(1+Inputs!$B$34/100)),MAX(0,Inputs!$B$43-((R897-1)*Skills!D16))))/Inputs!$B$43),IF(Inputs!$B$38="pvp",MIN((Skills!T16*(1+Inputs!$B$34/100)),15)/15,(Skills!T16*(1+Inputs!$B$34/100))/Skills!D16))</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IFERROR(1/IF(Inputs!$B$38="pvp",15,MAX(0.1,Skills!D5-IF(Skills!E5=TRUE,Inputs!$B$32,0))),0)</f>
        <v/>
      </c>
      <c r="R931">
        <f>IF(AND(Inputs!$B$38&lt;&gt;"pvp",Inputs!$B$43&gt;0),IF(MAX(0,Inputs!$B$43-B965)&lt;=0,0,(INT(MAX(0,Inputs!$B$43-B965)/IF(Inputs!$B$38="pvp",15,MAX(0.1,Skills!D5-IF(Skills!E5=TRUE,Inputs!$B$32,0))))+1)),0)</f>
        <v/>
      </c>
      <c r="S931">
        <f>IFERROR((H931*N931*IF(AND(Inputs!$B$38&lt;&gt;"pvp",Inputs!$B$43&gt;0),((Skills!G5*((R931-1)*IF(Skills!H5&gt;0,Skills!I5/Skills!H5,1)+IF(Skills!H5&gt;0,MIN(Skills!I5,MAX(0,MAX(0,Inputs!$B$43-B965)-((R931-1)*IF(Inputs!$B$38="pvp",15,MAX(0.1,Skills!D5-IF(Skills!E5=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Skills!E5=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Skills!E5=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IFERROR(1/IF(Inputs!$B$38="pvp",15,MAX(0.1,Skills!D6-IF(Skills!E6=TRUE,Inputs!$B$32,0))),0)</f>
        <v/>
      </c>
      <c r="R932">
        <f>IF(AND(Inputs!$B$38&lt;&gt;"pvp",Inputs!$B$43&gt;0),IF(MAX(0,Inputs!$B$43-B965)&lt;=0,0,(INT(MAX(0,Inputs!$B$43-B965)/IF(Inputs!$B$38="pvp",15,MAX(0.1,Skills!D6-IF(Skills!E6=TRUE,Inputs!$B$32,0))))+1)),0)</f>
        <v/>
      </c>
      <c r="S932">
        <f>IFERROR((H932*N932*IF(AND(Inputs!$B$38&lt;&gt;"pvp",Inputs!$B$43&gt;0),((Skills!G6*((R932-1)*IF(Skills!H6&gt;0,Skills!I6/Skills!H6,1)+IF(Skills!H6&gt;0,MIN(Skills!I6,MAX(0,MAX(0,Inputs!$B$43-B965)-((R932-1)*IF(Inputs!$B$38="pvp",15,MAX(0.1,Skills!D6-IF(Skills!E6=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Skills!E6=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Skills!E6=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IFERROR(1/IF(Inputs!$B$38="pvp",15,MAX(0.1,Skills!D7-IF(Skills!E7=TRUE,Inputs!$B$32,0))),0)</f>
        <v/>
      </c>
      <c r="R933">
        <f>IF(AND(Inputs!$B$38&lt;&gt;"pvp",Inputs!$B$43&gt;0),IF(MAX(0,Inputs!$B$43-B965)&lt;=0,0,(INT(MAX(0,Inputs!$B$43-B965)/IF(Inputs!$B$38="pvp",15,MAX(0.1,Skills!D7-IF(Skills!E7=TRUE,Inputs!$B$32,0))))+1)),0)</f>
        <v/>
      </c>
      <c r="S933">
        <f>IFERROR((H933*N933*IF(AND(Inputs!$B$38&lt;&gt;"pvp",Inputs!$B$43&gt;0),((Skills!G7*((R933-1)*IF(Skills!H7&gt;0,Skills!I7/Skills!H7,1)+IF(Skills!H7&gt;0,MIN(Skills!I7,MAX(0,MAX(0,Inputs!$B$43-B965)-((R933-1)*IF(Inputs!$B$38="pvp",15,MAX(0.1,Skills!D7-IF(Skills!E7=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Skills!E7=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Skills!E7=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IFERROR(1/IF(Inputs!$B$38="pvp",15,MAX(0.1,Skills!D9-IF(Skills!E9=TRUE,Inputs!$B$32,0))),0)</f>
        <v/>
      </c>
      <c r="R935">
        <f>IF(AND(Inputs!$B$38&lt;&gt;"pvp",Inputs!$B$43&gt;0),IF(MAX(0,Inputs!$B$43-B965)&lt;=0,0,(INT(MAX(0,Inputs!$B$43-B965)/IF(Inputs!$B$38="pvp",15,MAX(0.1,Skills!D9-IF(Skills!E9=TRUE,Inputs!$B$32,0))))+1)),0)</f>
        <v/>
      </c>
      <c r="S935">
        <f>IFERROR((H935*N935*IF(AND(Inputs!$B$38&lt;&gt;"pvp",Inputs!$B$43&gt;0),((Skills!G9*((R935-1)*IF(Skills!H9&gt;0,Skills!I9/Skills!H9,1)+IF(Skills!H9&gt;0,MIN(Skills!I9,MAX(0,MAX(0,Inputs!$B$43-B965)-((R935-1)*IF(Inputs!$B$38="pvp",15,MAX(0.1,Skills!D9-IF(Skills!E9=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Skills!E9=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Skills!E9=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IFERROR(1/IF(Inputs!$B$38="pvp",15,MAX(0.1,Skills!D11-IF(Skills!E11=TRUE,Inputs!$B$32,0))),0)</f>
        <v/>
      </c>
      <c r="R937">
        <f>IF(AND(Inputs!$B$38&lt;&gt;"pvp",Inputs!$B$43&gt;0),IF(MAX(0,Inputs!$B$43-B965)&lt;=0,0,(INT(MAX(0,Inputs!$B$43-B965)/IF(Inputs!$B$38="pvp",15,MAX(0.1,Skills!D11-IF(Skills!E11=TRUE,Inputs!$B$32,0))))+1)),0)</f>
        <v/>
      </c>
      <c r="S937">
        <f>IFERROR((H937*N937*IF(AND(Inputs!$B$38&lt;&gt;"pvp",Inputs!$B$43&gt;0),((Skills!G11*((R937-1)*IF(Skills!H11&gt;0,Skills!I11/Skills!H11,1)+IF(Skills!H11&gt;0,MIN(Skills!I11,MAX(0,MAX(0,Inputs!$B$43-B965)-((R937-1)*IF(Inputs!$B$38="pvp",15,MAX(0.1,Skills!D11-IF(Skills!E11=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Skills!E11=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Skills!E11=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IFERROR(1/IF(Inputs!$B$38="pvp",15,MAX(0.1,Skills!D15-IF(Skills!E15=TRUE,Inputs!$B$32,0))),0)</f>
        <v/>
      </c>
      <c r="R941">
        <f>IF(AND(Inputs!$B$38&lt;&gt;"pvp",Inputs!$B$43&gt;0),IF(Inputs!$B$43&lt;=0,0,(INT(Inputs!$B$43/IF(Inputs!$B$38="pvp",15,MAX(0.1,Skills!D15-IF(Skills!E15=TRUE,Inputs!$B$32,0))))+1)),0)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IFERROR(1/IF(Inputs!$B$38="pvp",15,MAX(0.1,Skills!D16-IF(Skills!E16=TRUE,Inputs!$B$32,0))),0)</f>
        <v/>
      </c>
      <c r="R942">
        <f>IF(AND(Inputs!$B$38&lt;&gt;"pvp",Inputs!$B$43&gt;0),IF(Inputs!$B$43&lt;=0,0,(INT(Inputs!$B$43/IF(Inputs!$B$38="pvp",15,MAX(0.1,Skills!D16-IF(Skills!E16=TRUE,Inputs!$B$32,0))))+1)),0)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IFERROR(1/IF(Inputs!$B$38="pvp",15,MAX(0.1,Skills!D18-IF(Skills!E18=TRUE,Inputs!$B$32,0))),0)</f>
        <v/>
      </c>
      <c r="R944">
        <f>IF(AND(Inputs!$B$38&lt;&gt;"pvp",Inputs!$B$43&gt;0),IF(Inputs!$B$43&lt;=0,0,(INT(Inputs!$B$43/IF(Inputs!$B$38="pvp",15,MAX(0.1,Skills!D18-IF(Skills!E18=TRUE,Inputs!$B$32,0))))+1)),0)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f>(C942=TRUE)*20*IF(AND(Inputs!$B$38&lt;&gt;"pvp",Inputs!$B$43&gt;0),(((R942-1)*(Skills!T16*(1+Inputs!$B$34/100))+MIN((Skills!T16*(1+Inputs!$B$34/100)),MAX(0,Inputs!$B$43-((R942-1)*Skills!D16))))/Inputs!$B$43),IF(Inputs!$B$38="pvp",MIN((Skills!T16*(1+Inputs!$B$34/100)),15)/15,(Skills!T16*(1+Inputs!$B$34/100))/Skills!D16))</f>
        <v/>
      </c>
    </row>
    <row r="959">
      <c r="A959" t="inlineStr">
        <is>
          <t>Attack Speed Buff Bonus %</t>
        </is>
      </c>
      <c r="B959">
        <f>((C944=TRUE)*F944*IF(AND(Inputs!$B$38&lt;&gt;"pvp",Inputs!$B$43&gt;0),(((R944-1)*(Skills!T18*(1+Inputs!$B$34/100))+MIN((Skills!T18*(1+Inputs!$B$34/100)),MAX(0,Inputs!$B$43-((R944-1)*Skills!D18))))/Inputs!$B$43),IF(Inputs!$B$38="pvp",MIN((Skills!T18*(1+Inputs!$B$34/100)),15)/15,(Skills!T18*(1+Inputs!$B$34/100))/Skills!D18)))</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Skills!T16*(1+Inputs!$B$34/100))+MIN((Skills!T16*(1+Inputs!$B$34/100)),MAX(0,Inputs!$B$43-((R942-1)*Skills!D16))))/Inputs!$B$43),IF(Inputs!$B$38="pvp",MIN((Skills!T16*(1+Inputs!$B$34/100)),15)/15,(Skills!T16*(1+Inputs!$B$34/100))/Skills!D16))</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IFERROR(1/IF(Inputs!$B$38="pvp",15,MAX(0.1,Skills!D5-IF(Skills!E5=TRUE,Inputs!$B$32,0))),0)</f>
        <v/>
      </c>
      <c r="R976">
        <f>IF(AND(Inputs!$B$38&lt;&gt;"pvp",Inputs!$B$43&gt;0),IF(MAX(0,Inputs!$B$43-B1010)&lt;=0,0,(INT(MAX(0,Inputs!$B$43-B1010)/IF(Inputs!$B$38="pvp",15,MAX(0.1,Skills!D5-IF(Skills!E5=TRUE,Inputs!$B$32,0))))+1)),0)</f>
        <v/>
      </c>
      <c r="S976">
        <f>IFERROR((H976*N976*IF(AND(Inputs!$B$38&lt;&gt;"pvp",Inputs!$B$43&gt;0),((Skills!G5*((R976-1)*IF(Skills!H5&gt;0,Skills!I5/Skills!H5,1)+IF(Skills!H5&gt;0,MIN(Skills!I5,MAX(0,MAX(0,Inputs!$B$43-B1010)-((R976-1)*IF(Inputs!$B$38="pvp",15,MAX(0.1,Skills!D5-IF(Skills!E5=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Skills!E5=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Skills!E5=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IFERROR(1/IF(Inputs!$B$38="pvp",15,MAX(0.1,Skills!D6-IF(Skills!E6=TRUE,Inputs!$B$32,0))),0)</f>
        <v/>
      </c>
      <c r="R977">
        <f>IF(AND(Inputs!$B$38&lt;&gt;"pvp",Inputs!$B$43&gt;0),IF(MAX(0,Inputs!$B$43-B1010)&lt;=0,0,(INT(MAX(0,Inputs!$B$43-B1010)/IF(Inputs!$B$38="pvp",15,MAX(0.1,Skills!D6-IF(Skills!E6=TRUE,Inputs!$B$32,0))))+1)),0)</f>
        <v/>
      </c>
      <c r="S977">
        <f>IFERROR((H977*N977*IF(AND(Inputs!$B$38&lt;&gt;"pvp",Inputs!$B$43&gt;0),((Skills!G6*((R977-1)*IF(Skills!H6&gt;0,Skills!I6/Skills!H6,1)+IF(Skills!H6&gt;0,MIN(Skills!I6,MAX(0,MAX(0,Inputs!$B$43-B1010)-((R977-1)*IF(Inputs!$B$38="pvp",15,MAX(0.1,Skills!D6-IF(Skills!E6=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Skills!E6=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Skills!E6=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IFERROR(1/IF(Inputs!$B$38="pvp",15,MAX(0.1,Skills!D7-IF(Skills!E7=TRUE,Inputs!$B$32,0))),0)</f>
        <v/>
      </c>
      <c r="R978">
        <f>IF(AND(Inputs!$B$38&lt;&gt;"pvp",Inputs!$B$43&gt;0),IF(MAX(0,Inputs!$B$43-B1010)&lt;=0,0,(INT(MAX(0,Inputs!$B$43-B1010)/IF(Inputs!$B$38="pvp",15,MAX(0.1,Skills!D7-IF(Skills!E7=TRUE,Inputs!$B$32,0))))+1)),0)</f>
        <v/>
      </c>
      <c r="S978">
        <f>IFERROR((H978*N978*IF(AND(Inputs!$B$38&lt;&gt;"pvp",Inputs!$B$43&gt;0),((Skills!G7*((R978-1)*IF(Skills!H7&gt;0,Skills!I7/Skills!H7,1)+IF(Skills!H7&gt;0,MIN(Skills!I7,MAX(0,MAX(0,Inputs!$B$43-B1010)-((R978-1)*IF(Inputs!$B$38="pvp",15,MAX(0.1,Skills!D7-IF(Skills!E7=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Skills!E7=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Skills!E7=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IFERROR(1/IF(Inputs!$B$38="pvp",15,MAX(0.1,Skills!D9-IF(Skills!E9=TRUE,Inputs!$B$32,0))),0)</f>
        <v/>
      </c>
      <c r="R980">
        <f>IF(AND(Inputs!$B$38&lt;&gt;"pvp",Inputs!$B$43&gt;0),IF(MAX(0,Inputs!$B$43-B1010)&lt;=0,0,(INT(MAX(0,Inputs!$B$43-B1010)/IF(Inputs!$B$38="pvp",15,MAX(0.1,Skills!D9-IF(Skills!E9=TRUE,Inputs!$B$32,0))))+1)),0)</f>
        <v/>
      </c>
      <c r="S980">
        <f>IFERROR((H980*N980*IF(AND(Inputs!$B$38&lt;&gt;"pvp",Inputs!$B$43&gt;0),((Skills!G9*((R980-1)*IF(Skills!H9&gt;0,Skills!I9/Skills!H9,1)+IF(Skills!H9&gt;0,MIN(Skills!I9,MAX(0,MAX(0,Inputs!$B$43-B1010)-((R980-1)*IF(Inputs!$B$38="pvp",15,MAX(0.1,Skills!D9-IF(Skills!E9=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Skills!E9=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Skills!E9=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IFERROR(1/IF(Inputs!$B$38="pvp",15,MAX(0.1,Skills!D11-IF(Skills!E11=TRUE,Inputs!$B$32,0))),0)</f>
        <v/>
      </c>
      <c r="R982">
        <f>IF(AND(Inputs!$B$38&lt;&gt;"pvp",Inputs!$B$43&gt;0),IF(MAX(0,Inputs!$B$43-B1010)&lt;=0,0,(INT(MAX(0,Inputs!$B$43-B1010)/IF(Inputs!$B$38="pvp",15,MAX(0.1,Skills!D11-IF(Skills!E11=TRUE,Inputs!$B$32,0))))+1)),0)</f>
        <v/>
      </c>
      <c r="S982">
        <f>IFERROR((H982*N982*IF(AND(Inputs!$B$38&lt;&gt;"pvp",Inputs!$B$43&gt;0),((Skills!G11*((R982-1)*IF(Skills!H11&gt;0,Skills!I11/Skills!H11,1)+IF(Skills!H11&gt;0,MIN(Skills!I11,MAX(0,MAX(0,Inputs!$B$43-B1010)-((R982-1)*IF(Inputs!$B$38="pvp",15,MAX(0.1,Skills!D11-IF(Skills!E11=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Skills!E11=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Skills!E11=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IFERROR(1/IF(Inputs!$B$38="pvp",15,MAX(0.1,Skills!D15-IF(Skills!E15=TRUE,Inputs!$B$32,0))),0)</f>
        <v/>
      </c>
      <c r="R986">
        <f>IF(AND(Inputs!$B$38&lt;&gt;"pvp",Inputs!$B$43&gt;0),IF(Inputs!$B$43&lt;=0,0,(INT(Inputs!$B$43/IF(Inputs!$B$38="pvp",15,MAX(0.1,Skills!D15-IF(Skills!E15=TRUE,Inputs!$B$32,0))))+1)),0)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IFERROR(1/IF(Inputs!$B$38="pvp",15,MAX(0.1,Skills!D16-IF(Skills!E16=TRUE,Inputs!$B$32,0))),0)</f>
        <v/>
      </c>
      <c r="R987">
        <f>IF(AND(Inputs!$B$38&lt;&gt;"pvp",Inputs!$B$43&gt;0),IF(Inputs!$B$43&lt;=0,0,(INT(Inputs!$B$43/IF(Inputs!$B$38="pvp",15,MAX(0.1,Skills!D16-IF(Skills!E16=TRUE,Inputs!$B$32,0))))+1)),0)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IFERROR(1/IF(Inputs!$B$38="pvp",15,MAX(0.1,Skills!D18-IF(Skills!E18=TRUE,Inputs!$B$32,0))),0)</f>
        <v/>
      </c>
      <c r="R989">
        <f>IF(AND(Inputs!$B$38&lt;&gt;"pvp",Inputs!$B$43&gt;0),IF(Inputs!$B$43&lt;=0,0,(INT(Inputs!$B$43/IF(Inputs!$B$38="pvp",15,MAX(0.1,Skills!D18-IF(Skills!E18=TRUE,Inputs!$B$32,0))))+1)),0)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f>(C987=TRUE)*20*IF(AND(Inputs!$B$38&lt;&gt;"pvp",Inputs!$B$43&gt;0),(((R987-1)*(Skills!T16*(1+Inputs!$B$34/100))+MIN((Skills!T16*(1+Inputs!$B$34/100)),MAX(0,Inputs!$B$43-((R987-1)*Skills!D16))))/Inputs!$B$43),IF(Inputs!$B$38="pvp",MIN((Skills!T16*(1+Inputs!$B$34/100)),15)/15,(Skills!T16*(1+Inputs!$B$34/100))/Skills!D16))</f>
        <v/>
      </c>
    </row>
    <row r="1004">
      <c r="A1004" t="inlineStr">
        <is>
          <t>Attack Speed Buff Bonus %</t>
        </is>
      </c>
      <c r="B1004">
        <f>((C989=TRUE)*F989*IF(AND(Inputs!$B$38&lt;&gt;"pvp",Inputs!$B$43&gt;0),(((R989-1)*(Skills!T18*(1+Inputs!$B$34/100))+MIN((Skills!T18*(1+Inputs!$B$34/100)),MAX(0,Inputs!$B$43-((R989-1)*Skills!D18))))/Inputs!$B$43),IF(Inputs!$B$38="pvp",MIN((Skills!T18*(1+Inputs!$B$34/100)),15)/15,(Skills!T18*(1+Inputs!$B$34/100))/Skills!D18)))</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Skills!T16*(1+Inputs!$B$34/100))+MIN((Skills!T16*(1+Inputs!$B$34/100)),MAX(0,Inputs!$B$43-((R987-1)*Skills!D16))))/Inputs!$B$43),IF(Inputs!$B$38="pvp",MIN((Skills!T16*(1+Inputs!$B$34/100)),15)/15,(Skills!T16*(1+Inputs!$B$34/100))/Skills!D16))</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IFERROR(1/IF(Inputs!$B$38="pvp",15,MAX(0.1,Skills!D5-IF(Skills!E5=TRUE,Inputs!$B$32,0))),0)</f>
        <v/>
      </c>
      <c r="R1021">
        <f>IF(AND(Inputs!$B$38&lt;&gt;"pvp",Inputs!$B$43&gt;0),IF(MAX(0,Inputs!$B$43-B1055)&lt;=0,0,(INT(MAX(0,Inputs!$B$43-B1055)/IF(Inputs!$B$38="pvp",15,MAX(0.1,Skills!D5-IF(Skills!E5=TRUE,Inputs!$B$32,0))))+1)),0)</f>
        <v/>
      </c>
      <c r="S1021">
        <f>IFERROR((H1021*N1021*IF(AND(Inputs!$B$38&lt;&gt;"pvp",Inputs!$B$43&gt;0),((Skills!G5*((R1021-1)*IF(Skills!H5&gt;0,Skills!I5/Skills!H5,1)+IF(Skills!H5&gt;0,MIN(Skills!I5,MAX(0,MAX(0,Inputs!$B$43-B1055)-((R1021-1)*IF(Inputs!$B$38="pvp",15,MAX(0.1,Skills!D5-IF(Skills!E5=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Skills!E5=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Skills!E5=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IFERROR(1/IF(Inputs!$B$38="pvp",15,MAX(0.1,Skills!D6-IF(Skills!E6=TRUE,Inputs!$B$32,0))),0)</f>
        <v/>
      </c>
      <c r="R1022">
        <f>IF(AND(Inputs!$B$38&lt;&gt;"pvp",Inputs!$B$43&gt;0),IF(MAX(0,Inputs!$B$43-B1055)&lt;=0,0,(INT(MAX(0,Inputs!$B$43-B1055)/IF(Inputs!$B$38="pvp",15,MAX(0.1,Skills!D6-IF(Skills!E6=TRUE,Inputs!$B$32,0))))+1)),0)</f>
        <v/>
      </c>
      <c r="S1022">
        <f>IFERROR((H1022*N1022*IF(AND(Inputs!$B$38&lt;&gt;"pvp",Inputs!$B$43&gt;0),((Skills!G6*((R1022-1)*IF(Skills!H6&gt;0,Skills!I6/Skills!H6,1)+IF(Skills!H6&gt;0,MIN(Skills!I6,MAX(0,MAX(0,Inputs!$B$43-B1055)-((R1022-1)*IF(Inputs!$B$38="pvp",15,MAX(0.1,Skills!D6-IF(Skills!E6=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Skills!E6=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Skills!E6=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IFERROR(1/IF(Inputs!$B$38="pvp",15,MAX(0.1,Skills!D7-IF(Skills!E7=TRUE,Inputs!$B$32,0))),0)</f>
        <v/>
      </c>
      <c r="R1023">
        <f>IF(AND(Inputs!$B$38&lt;&gt;"pvp",Inputs!$B$43&gt;0),IF(MAX(0,Inputs!$B$43-B1055)&lt;=0,0,(INT(MAX(0,Inputs!$B$43-B1055)/IF(Inputs!$B$38="pvp",15,MAX(0.1,Skills!D7-IF(Skills!E7=TRUE,Inputs!$B$32,0))))+1)),0)</f>
        <v/>
      </c>
      <c r="S1023">
        <f>IFERROR((H1023*N1023*IF(AND(Inputs!$B$38&lt;&gt;"pvp",Inputs!$B$43&gt;0),((Skills!G7*((R1023-1)*IF(Skills!H7&gt;0,Skills!I7/Skills!H7,1)+IF(Skills!H7&gt;0,MIN(Skills!I7,MAX(0,MAX(0,Inputs!$B$43-B1055)-((R1023-1)*IF(Inputs!$B$38="pvp",15,MAX(0.1,Skills!D7-IF(Skills!E7=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Skills!E7=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Skills!E7=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IFERROR(1/IF(Inputs!$B$38="pvp",15,MAX(0.1,Skills!D9-IF(Skills!E9=TRUE,Inputs!$B$32,0))),0)</f>
        <v/>
      </c>
      <c r="R1025">
        <f>IF(AND(Inputs!$B$38&lt;&gt;"pvp",Inputs!$B$43&gt;0),IF(MAX(0,Inputs!$B$43-B1055)&lt;=0,0,(INT(MAX(0,Inputs!$B$43-B1055)/IF(Inputs!$B$38="pvp",15,MAX(0.1,Skills!D9-IF(Skills!E9=TRUE,Inputs!$B$32,0))))+1)),0)</f>
        <v/>
      </c>
      <c r="S1025">
        <f>IFERROR((H1025*N1025*IF(AND(Inputs!$B$38&lt;&gt;"pvp",Inputs!$B$43&gt;0),((Skills!G9*((R1025-1)*IF(Skills!H9&gt;0,Skills!I9/Skills!H9,1)+IF(Skills!H9&gt;0,MIN(Skills!I9,MAX(0,MAX(0,Inputs!$B$43-B1055)-((R1025-1)*IF(Inputs!$B$38="pvp",15,MAX(0.1,Skills!D9-IF(Skills!E9=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Skills!E9=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Skills!E9=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IFERROR(1/IF(Inputs!$B$38="pvp",15,MAX(0.1,Skills!D11-IF(Skills!E11=TRUE,Inputs!$B$32,0))),0)</f>
        <v/>
      </c>
      <c r="R1027">
        <f>IF(AND(Inputs!$B$38&lt;&gt;"pvp",Inputs!$B$43&gt;0),IF(MAX(0,Inputs!$B$43-B1055)&lt;=0,0,(INT(MAX(0,Inputs!$B$43-B1055)/IF(Inputs!$B$38="pvp",15,MAX(0.1,Skills!D11-IF(Skills!E11=TRUE,Inputs!$B$32,0))))+1)),0)</f>
        <v/>
      </c>
      <c r="S1027">
        <f>IFERROR((H1027*N1027*IF(AND(Inputs!$B$38&lt;&gt;"pvp",Inputs!$B$43&gt;0),((Skills!G11*((R1027-1)*IF(Skills!H11&gt;0,Skills!I11/Skills!H11,1)+IF(Skills!H11&gt;0,MIN(Skills!I11,MAX(0,MAX(0,Inputs!$B$43-B1055)-((R1027-1)*IF(Inputs!$B$38="pvp",15,MAX(0.1,Skills!D11-IF(Skills!E11=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Skills!E11=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Skills!E11=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IFERROR(1/IF(Inputs!$B$38="pvp",15,MAX(0.1,Skills!D15-IF(Skills!E15=TRUE,Inputs!$B$32,0))),0)</f>
        <v/>
      </c>
      <c r="R1031">
        <f>IF(AND(Inputs!$B$38&lt;&gt;"pvp",Inputs!$B$43&gt;0),IF(Inputs!$B$43&lt;=0,0,(INT(Inputs!$B$43/IF(Inputs!$B$38="pvp",15,MAX(0.1,Skills!D15-IF(Skills!E15=TRUE,Inputs!$B$32,0))))+1)),0)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IFERROR(1/IF(Inputs!$B$38="pvp",15,MAX(0.1,Skills!D16-IF(Skills!E16=TRUE,Inputs!$B$32,0))),0)</f>
        <v/>
      </c>
      <c r="R1032">
        <f>IF(AND(Inputs!$B$38&lt;&gt;"pvp",Inputs!$B$43&gt;0),IF(Inputs!$B$43&lt;=0,0,(INT(Inputs!$B$43/IF(Inputs!$B$38="pvp",15,MAX(0.1,Skills!D16-IF(Skills!E16=TRUE,Inputs!$B$32,0))))+1)),0)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IFERROR(1/IF(Inputs!$B$38="pvp",15,MAX(0.1,Skills!D18-IF(Skills!E18=TRUE,Inputs!$B$32,0))),0)</f>
        <v/>
      </c>
      <c r="R1034">
        <f>IF(AND(Inputs!$B$38&lt;&gt;"pvp",Inputs!$B$43&gt;0),IF(Inputs!$B$43&lt;=0,0,(INT(Inputs!$B$43/IF(Inputs!$B$38="pvp",15,MAX(0.1,Skills!D18-IF(Skills!E18=TRUE,Inputs!$B$32,0))))+1)),0)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f>(C1032=TRUE)*20*IF(AND(Inputs!$B$38&lt;&gt;"pvp",Inputs!$B$43&gt;0),(((R1032-1)*(Skills!T16*(1+Inputs!$B$34/100))+MIN((Skills!T16*(1+Inputs!$B$34/100)),MAX(0,Inputs!$B$43-((R1032-1)*Skills!D16))))/Inputs!$B$43),IF(Inputs!$B$38="pvp",MIN((Skills!T16*(1+Inputs!$B$34/100)),15)/15,(Skills!T16*(1+Inputs!$B$34/100))/Skills!D16))</f>
        <v/>
      </c>
    </row>
    <row r="1049">
      <c r="A1049" t="inlineStr">
        <is>
          <t>Attack Speed Buff Bonus %</t>
        </is>
      </c>
      <c r="B1049">
        <f>((C1034=TRUE)*F1034*IF(AND(Inputs!$B$38&lt;&gt;"pvp",Inputs!$B$43&gt;0),(((R1034-1)*(Skills!T18*(1+Inputs!$B$34/100))+MIN((Skills!T18*(1+Inputs!$B$34/100)),MAX(0,Inputs!$B$43-((R1034-1)*Skills!D18))))/Inputs!$B$43),IF(Inputs!$B$38="pvp",MIN((Skills!T18*(1+Inputs!$B$34/100)),15)/15,(Skills!T18*(1+Inputs!$B$34/100))/Skills!D18)))</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Skills!T16*(1+Inputs!$B$34/100))+MIN((Skills!T16*(1+Inputs!$B$34/100)),MAX(0,Inputs!$B$43-((R1032-1)*Skills!D16))))/Inputs!$B$43),IF(Inputs!$B$38="pvp",MIN((Skills!T16*(1+Inputs!$B$34/100)),15)/15,(Skills!T16*(1+Inputs!$B$34/100))/Skills!D16))</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IFERROR(1/IF(Inputs!$B$38="pvp",15,MAX(0.1,Skills!D5-IF(Skills!E5=TRUE,Inputs!$B$32,0))),0)</f>
        <v/>
      </c>
      <c r="R1066">
        <f>IF(AND(Inputs!$B$38&lt;&gt;"pvp",Inputs!$B$43&gt;0),IF(MAX(0,Inputs!$B$43-B1100)&lt;=0,0,(INT(MAX(0,Inputs!$B$43-B1100)/IF(Inputs!$B$38="pvp",15,MAX(0.1,Skills!D5-IF(Skills!E5=TRUE,Inputs!$B$32,0))))+1)),0)</f>
        <v/>
      </c>
      <c r="S1066">
        <f>IFERROR((H1066*N1066*IF(AND(Inputs!$B$38&lt;&gt;"pvp",Inputs!$B$43&gt;0),((Skills!G5*((R1066-1)*IF(Skills!H5&gt;0,Skills!I5/Skills!H5,1)+IF(Skills!H5&gt;0,MIN(Skills!I5,MAX(0,MAX(0,Inputs!$B$43-B1100)-((R1066-1)*IF(Inputs!$B$38="pvp",15,MAX(0.1,Skills!D5-IF(Skills!E5=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Skills!E5=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Skills!E5=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IFERROR(1/IF(Inputs!$B$38="pvp",15,MAX(0.1,Skills!D6-IF(Skills!E6=TRUE,Inputs!$B$32,0))),0)</f>
        <v/>
      </c>
      <c r="R1067">
        <f>IF(AND(Inputs!$B$38&lt;&gt;"pvp",Inputs!$B$43&gt;0),IF(MAX(0,Inputs!$B$43-B1100)&lt;=0,0,(INT(MAX(0,Inputs!$B$43-B1100)/IF(Inputs!$B$38="pvp",15,MAX(0.1,Skills!D6-IF(Skills!E6=TRUE,Inputs!$B$32,0))))+1)),0)</f>
        <v/>
      </c>
      <c r="S1067">
        <f>IFERROR((H1067*N1067*IF(AND(Inputs!$B$38&lt;&gt;"pvp",Inputs!$B$43&gt;0),((Skills!G6*((R1067-1)*IF(Skills!H6&gt;0,Skills!I6/Skills!H6,1)+IF(Skills!H6&gt;0,MIN(Skills!I6,MAX(0,MAX(0,Inputs!$B$43-B1100)-((R1067-1)*IF(Inputs!$B$38="pvp",15,MAX(0.1,Skills!D6-IF(Skills!E6=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Skills!E6=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Skills!E6=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IFERROR(1/IF(Inputs!$B$38="pvp",15,MAX(0.1,Skills!D7-IF(Skills!E7=TRUE,Inputs!$B$32,0))),0)</f>
        <v/>
      </c>
      <c r="R1068">
        <f>IF(AND(Inputs!$B$38&lt;&gt;"pvp",Inputs!$B$43&gt;0),IF(MAX(0,Inputs!$B$43-B1100)&lt;=0,0,(INT(MAX(0,Inputs!$B$43-B1100)/IF(Inputs!$B$38="pvp",15,MAX(0.1,Skills!D7-IF(Skills!E7=TRUE,Inputs!$B$32,0))))+1)),0)</f>
        <v/>
      </c>
      <c r="S1068">
        <f>IFERROR((H1068*N1068*IF(AND(Inputs!$B$38&lt;&gt;"pvp",Inputs!$B$43&gt;0),((Skills!G7*((R1068-1)*IF(Skills!H7&gt;0,Skills!I7/Skills!H7,1)+IF(Skills!H7&gt;0,MIN(Skills!I7,MAX(0,MAX(0,Inputs!$B$43-B1100)-((R1068-1)*IF(Inputs!$B$38="pvp",15,MAX(0.1,Skills!D7-IF(Skills!E7=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Skills!E7=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Skills!E7=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IFERROR(1/IF(Inputs!$B$38="pvp",15,MAX(0.1,Skills!D9-IF(Skills!E9=TRUE,Inputs!$B$32,0))),0)</f>
        <v/>
      </c>
      <c r="R1070">
        <f>IF(AND(Inputs!$B$38&lt;&gt;"pvp",Inputs!$B$43&gt;0),IF(MAX(0,Inputs!$B$43-B1100)&lt;=0,0,(INT(MAX(0,Inputs!$B$43-B1100)/IF(Inputs!$B$38="pvp",15,MAX(0.1,Skills!D9-IF(Skills!E9=TRUE,Inputs!$B$32,0))))+1)),0)</f>
        <v/>
      </c>
      <c r="S1070">
        <f>IFERROR((H1070*N1070*IF(AND(Inputs!$B$38&lt;&gt;"pvp",Inputs!$B$43&gt;0),((Skills!G9*((R1070-1)*IF(Skills!H9&gt;0,Skills!I9/Skills!H9,1)+IF(Skills!H9&gt;0,MIN(Skills!I9,MAX(0,MAX(0,Inputs!$B$43-B1100)-((R1070-1)*IF(Inputs!$B$38="pvp",15,MAX(0.1,Skills!D9-IF(Skills!E9=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Skills!E9=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Skills!E9=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IFERROR(1/IF(Inputs!$B$38="pvp",15,MAX(0.1,Skills!D11-IF(Skills!E11=TRUE,Inputs!$B$32,0))),0)</f>
        <v/>
      </c>
      <c r="R1072">
        <f>IF(AND(Inputs!$B$38&lt;&gt;"pvp",Inputs!$B$43&gt;0),IF(MAX(0,Inputs!$B$43-B1100)&lt;=0,0,(INT(MAX(0,Inputs!$B$43-B1100)/IF(Inputs!$B$38="pvp",15,MAX(0.1,Skills!D11-IF(Skills!E11=TRUE,Inputs!$B$32,0))))+1)),0)</f>
        <v/>
      </c>
      <c r="S1072">
        <f>IFERROR((H1072*N1072*IF(AND(Inputs!$B$38&lt;&gt;"pvp",Inputs!$B$43&gt;0),((Skills!G11*((R1072-1)*IF(Skills!H11&gt;0,Skills!I11/Skills!H11,1)+IF(Skills!H11&gt;0,MIN(Skills!I11,MAX(0,MAX(0,Inputs!$B$43-B1100)-((R1072-1)*IF(Inputs!$B$38="pvp",15,MAX(0.1,Skills!D11-IF(Skills!E11=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Skills!E11=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Skills!E11=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IFERROR(1/IF(Inputs!$B$38="pvp",15,MAX(0.1,Skills!D15-IF(Skills!E15=TRUE,Inputs!$B$32,0))),0)</f>
        <v/>
      </c>
      <c r="R1076">
        <f>IF(AND(Inputs!$B$38&lt;&gt;"pvp",Inputs!$B$43&gt;0),IF(Inputs!$B$43&lt;=0,0,(INT(Inputs!$B$43/IF(Inputs!$B$38="pvp",15,MAX(0.1,Skills!D15-IF(Skills!E15=TRUE,Inputs!$B$32,0))))+1)),0)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IFERROR(1/IF(Inputs!$B$38="pvp",15,MAX(0.1,Skills!D16-IF(Skills!E16=TRUE,Inputs!$B$32,0))),0)</f>
        <v/>
      </c>
      <c r="R1077">
        <f>IF(AND(Inputs!$B$38&lt;&gt;"pvp",Inputs!$B$43&gt;0),IF(Inputs!$B$43&lt;=0,0,(INT(Inputs!$B$43/IF(Inputs!$B$38="pvp",15,MAX(0.1,Skills!D16-IF(Skills!E16=TRUE,Inputs!$B$32,0))))+1)),0)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IFERROR(1/IF(Inputs!$B$38="pvp",15,MAX(0.1,Skills!D18-IF(Skills!E18=TRUE,Inputs!$B$32,0))),0)</f>
        <v/>
      </c>
      <c r="R1079">
        <f>IF(AND(Inputs!$B$38&lt;&gt;"pvp",Inputs!$B$43&gt;0),IF(Inputs!$B$43&lt;=0,0,(INT(Inputs!$B$43/IF(Inputs!$B$38="pvp",15,MAX(0.1,Skills!D18-IF(Skills!E18=TRUE,Inputs!$B$32,0))))+1)),0)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f>(C1077=TRUE)*20*IF(AND(Inputs!$B$38&lt;&gt;"pvp",Inputs!$B$43&gt;0),(((R1077-1)*(Skills!T16*(1+Inputs!$B$34/100))+MIN((Skills!T16*(1+Inputs!$B$34/100)),MAX(0,Inputs!$B$43-((R1077-1)*Skills!D16))))/Inputs!$B$43),IF(Inputs!$B$38="pvp",MIN((Skills!T16*(1+Inputs!$B$34/100)),15)/15,(Skills!T16*(1+Inputs!$B$34/100))/Skills!D16))</f>
        <v/>
      </c>
    </row>
    <row r="1094">
      <c r="A1094" t="inlineStr">
        <is>
          <t>Attack Speed Buff Bonus %</t>
        </is>
      </c>
      <c r="B1094">
        <f>((C1079=TRUE)*F1079*IF(AND(Inputs!$B$38&lt;&gt;"pvp",Inputs!$B$43&gt;0),(((R1079-1)*(Skills!T18*(1+Inputs!$B$34/100))+MIN((Skills!T18*(1+Inputs!$B$34/100)),MAX(0,Inputs!$B$43-((R1079-1)*Skills!D18))))/Inputs!$B$43),IF(Inputs!$B$38="pvp",MIN((Skills!T18*(1+Inputs!$B$34/100)),15)/15,(Skills!T18*(1+Inputs!$B$34/100))/Skills!D18)))</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Skills!T16*(1+Inputs!$B$34/100))+MIN((Skills!T16*(1+Inputs!$B$34/100)),MAX(0,Inputs!$B$43-((R1077-1)*Skills!D16))))/Inputs!$B$43),IF(Inputs!$B$38="pvp",MIN((Skills!T16*(1+Inputs!$B$34/100)),15)/15,(Skills!T16*(1+Inputs!$B$34/100))/Skills!D16))</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IFERROR(1/IF(Inputs!$B$38="pvp",15,MAX(0.1,Skills!D5-IF(Skills!E5=TRUE,(Inputs!$B$32+1),0))),0)</f>
        <v/>
      </c>
      <c r="R1111">
        <f>IF(AND(Inputs!$B$38&lt;&gt;"pvp",Inputs!$B$43&gt;0),IF(MAX(0,Inputs!$B$43-B1145)&lt;=0,0,(INT(MAX(0,Inputs!$B$43-B1145)/IF(Inputs!$B$38="pvp",15,MAX(0.1,Skills!D5-IF(Skills!E5=TRUE,(Inputs!$B$32+1),0))))+1)),0)</f>
        <v/>
      </c>
      <c r="S1111">
        <f>IFERROR((H1111*N1111*IF(AND(Inputs!$B$38&lt;&gt;"pvp",Inputs!$B$43&gt;0),((Skills!G5*((R1111-1)*IF(Skills!H5&gt;0,Skills!I5/Skills!H5,1)+IF(Skills!H5&gt;0,MIN(Skills!I5,MAX(0,MAX(0,Inputs!$B$43-B1145)-((R1111-1)*IF(Inputs!$B$38="pvp",15,MAX(0.1,Skills!D5-IF(Skills!E5=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Skills!E5=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Skills!E5=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IFERROR(1/IF(Inputs!$B$38="pvp",15,MAX(0.1,Skills!D6-IF(Skills!E6=TRUE,(Inputs!$B$32+1),0))),0)</f>
        <v/>
      </c>
      <c r="R1112">
        <f>IF(AND(Inputs!$B$38&lt;&gt;"pvp",Inputs!$B$43&gt;0),IF(MAX(0,Inputs!$B$43-B1145)&lt;=0,0,(INT(MAX(0,Inputs!$B$43-B1145)/IF(Inputs!$B$38="pvp",15,MAX(0.1,Skills!D6-IF(Skills!E6=TRUE,(Inputs!$B$32+1),0))))+1)),0)</f>
        <v/>
      </c>
      <c r="S1112">
        <f>IFERROR((H1112*N1112*IF(AND(Inputs!$B$38&lt;&gt;"pvp",Inputs!$B$43&gt;0),((Skills!G6*((R1112-1)*IF(Skills!H6&gt;0,Skills!I6/Skills!H6,1)+IF(Skills!H6&gt;0,MIN(Skills!I6,MAX(0,MAX(0,Inputs!$B$43-B1145)-((R1112-1)*IF(Inputs!$B$38="pvp",15,MAX(0.1,Skills!D6-IF(Skills!E6=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Skills!E6=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Skills!E6=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IFERROR(1/IF(Inputs!$B$38="pvp",15,MAX(0.1,Skills!D7-IF(Skills!E7=TRUE,(Inputs!$B$32+1),0))),0)</f>
        <v/>
      </c>
      <c r="R1113">
        <f>IF(AND(Inputs!$B$38&lt;&gt;"pvp",Inputs!$B$43&gt;0),IF(MAX(0,Inputs!$B$43-B1145)&lt;=0,0,(INT(MAX(0,Inputs!$B$43-B1145)/IF(Inputs!$B$38="pvp",15,MAX(0.1,Skills!D7-IF(Skills!E7=TRUE,(Inputs!$B$32+1),0))))+1)),0)</f>
        <v/>
      </c>
      <c r="S1113">
        <f>IFERROR((H1113*N1113*IF(AND(Inputs!$B$38&lt;&gt;"pvp",Inputs!$B$43&gt;0),((Skills!G7*((R1113-1)*IF(Skills!H7&gt;0,Skills!I7/Skills!H7,1)+IF(Skills!H7&gt;0,MIN(Skills!I7,MAX(0,MAX(0,Inputs!$B$43-B1145)-((R1113-1)*IF(Inputs!$B$38="pvp",15,MAX(0.1,Skills!D7-IF(Skills!E7=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Skills!E7=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Skills!E7=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IFERROR(1/IF(Inputs!$B$38="pvp",15,MAX(0.1,Skills!D9-IF(Skills!E9=TRUE,(Inputs!$B$32+1),0))),0)</f>
        <v/>
      </c>
      <c r="R1115">
        <f>IF(AND(Inputs!$B$38&lt;&gt;"pvp",Inputs!$B$43&gt;0),IF(MAX(0,Inputs!$B$43-B1145)&lt;=0,0,(INT(MAX(0,Inputs!$B$43-B1145)/IF(Inputs!$B$38="pvp",15,MAX(0.1,Skills!D9-IF(Skills!E9=TRUE,(Inputs!$B$32+1),0))))+1)),0)</f>
        <v/>
      </c>
      <c r="S1115">
        <f>IFERROR((H1115*N1115*IF(AND(Inputs!$B$38&lt;&gt;"pvp",Inputs!$B$43&gt;0),((Skills!G9*((R1115-1)*IF(Skills!H9&gt;0,Skills!I9/Skills!H9,1)+IF(Skills!H9&gt;0,MIN(Skills!I9,MAX(0,MAX(0,Inputs!$B$43-B1145)-((R1115-1)*IF(Inputs!$B$38="pvp",15,MAX(0.1,Skills!D9-IF(Skills!E9=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Skills!E9=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Skills!E9=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IFERROR(1/IF(Inputs!$B$38="pvp",15,MAX(0.1,Skills!D11-IF(Skills!E11=TRUE,(Inputs!$B$32+1),0))),0)</f>
        <v/>
      </c>
      <c r="R1117">
        <f>IF(AND(Inputs!$B$38&lt;&gt;"pvp",Inputs!$B$43&gt;0),IF(MAX(0,Inputs!$B$43-B1145)&lt;=0,0,(INT(MAX(0,Inputs!$B$43-B1145)/IF(Inputs!$B$38="pvp",15,MAX(0.1,Skills!D11-IF(Skills!E11=TRUE,(Inputs!$B$32+1),0))))+1)),0)</f>
        <v/>
      </c>
      <c r="S1117">
        <f>IFERROR((H1117*N1117*IF(AND(Inputs!$B$38&lt;&gt;"pvp",Inputs!$B$43&gt;0),((Skills!G11*((R1117-1)*IF(Skills!H11&gt;0,Skills!I11/Skills!H11,1)+IF(Skills!H11&gt;0,MIN(Skills!I11,MAX(0,MAX(0,Inputs!$B$43-B1145)-((R1117-1)*IF(Inputs!$B$38="pvp",15,MAX(0.1,Skills!D11-IF(Skills!E11=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Skills!E11=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Skills!E11=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IFERROR(1/IF(Inputs!$B$38="pvp",15,MAX(0.1,Skills!D15-IF(Skills!E15=TRUE,(Inputs!$B$32+1),0))),0)</f>
        <v/>
      </c>
      <c r="R1121">
        <f>IF(AND(Inputs!$B$38&lt;&gt;"pvp",Inputs!$B$43&gt;0),IF(Inputs!$B$43&lt;=0,0,(INT(Inputs!$B$43/IF(Inputs!$B$38="pvp",15,MAX(0.1,Skills!D15-IF(Skills!E15=TRUE,(Inputs!$B$32+1),0))))+1)),0)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IFERROR(1/IF(Inputs!$B$38="pvp",15,MAX(0.1,Skills!D16-IF(Skills!E16=TRUE,(Inputs!$B$32+1),0))),0)</f>
        <v/>
      </c>
      <c r="R1122">
        <f>IF(AND(Inputs!$B$38&lt;&gt;"pvp",Inputs!$B$43&gt;0),IF(Inputs!$B$43&lt;=0,0,(INT(Inputs!$B$43/IF(Inputs!$B$38="pvp",15,MAX(0.1,Skills!D16-IF(Skills!E16=TRUE,(Inputs!$B$32+1),0))))+1)),0)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IFERROR(1/IF(Inputs!$B$38="pvp",15,MAX(0.1,Skills!D18-IF(Skills!E18=TRUE,(Inputs!$B$32+1),0))),0)</f>
        <v/>
      </c>
      <c r="R1124">
        <f>IF(AND(Inputs!$B$38&lt;&gt;"pvp",Inputs!$B$43&gt;0),IF(Inputs!$B$43&lt;=0,0,(INT(Inputs!$B$43/IF(Inputs!$B$38="pvp",15,MAX(0.1,Skills!D18-IF(Skills!E18=TRUE,(Inputs!$B$32+1),0))))+1)),0)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f>(C1122=TRUE)*20*IF(AND(Inputs!$B$38&lt;&gt;"pvp",Inputs!$B$43&gt;0),(((R1122-1)*(Skills!T16*(1+Inputs!$B$34/100))+MIN((Skills!T16*(1+Inputs!$B$34/100)),MAX(0,Inputs!$B$43-((R1122-1)*Skills!D16))))/Inputs!$B$43),IF(Inputs!$B$38="pvp",MIN((Skills!T16*(1+Inputs!$B$34/100)),15)/15,(Skills!T16*(1+Inputs!$B$34/100))/Skills!D16))</f>
        <v/>
      </c>
    </row>
    <row r="1139">
      <c r="A1139" t="inlineStr">
        <is>
          <t>Attack Speed Buff Bonus %</t>
        </is>
      </c>
      <c r="B1139">
        <f>((C1124=TRUE)*F1124*IF(AND(Inputs!$B$38&lt;&gt;"pvp",Inputs!$B$43&gt;0),(((R1124-1)*(Skills!T18*(1+Inputs!$B$34/100))+MIN((Skills!T18*(1+Inputs!$B$34/100)),MAX(0,Inputs!$B$43-((R1124-1)*Skills!D18))))/Inputs!$B$43),IF(Inputs!$B$38="pvp",MIN((Skills!T18*(1+Inputs!$B$34/100)),15)/15,(Skills!T18*(1+Inputs!$B$34/100))/Skills!D18)))</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Skills!T16*(1+Inputs!$B$34/100))+MIN((Skills!T16*(1+Inputs!$B$34/100)),MAX(0,Inputs!$B$43-((R1122-1)*Skills!D16))))/Inputs!$B$43),IF(Inputs!$B$38="pvp",MIN((Skills!T16*(1+Inputs!$B$34/100)),15)/15,(Skills!T16*(1+Inputs!$B$34/100))/Skills!D16))</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IFERROR(1/IF(Inputs!$B$38="pvp",15,MAX(0.1,Skills!D5-IF(Skills!E5=TRUE,Inputs!$B$32,0))),0)</f>
        <v/>
      </c>
      <c r="R1156">
        <f>IF(AND(Inputs!$B$38&lt;&gt;"pvp",Inputs!$B$43&gt;0),IF(MAX(0,Inputs!$B$43-B1190)&lt;=0,0,(INT(MAX(0,Inputs!$B$43-B1190)/IF(Inputs!$B$38="pvp",15,MAX(0.1,Skills!D5-IF(Skills!E5=TRUE,Inputs!$B$32,0))))+1)),0)</f>
        <v/>
      </c>
      <c r="S1156">
        <f>IFERROR((H1156*N1156*IF(AND(Inputs!$B$38&lt;&gt;"pvp",Inputs!$B$43&gt;0),((Skills!G5*((R1156-1)*IF(Skills!H5&gt;0,Skills!I5/Skills!H5,1)+IF(Skills!H5&gt;0,MIN(Skills!I5,MAX(0,MAX(0,Inputs!$B$43-B1190)-((R1156-1)*IF(Inputs!$B$38="pvp",15,MAX(0.1,Skills!D5-IF(Skills!E5=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Skills!E5=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Skills!E5=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IFERROR(1/IF(Inputs!$B$38="pvp",15,MAX(0.1,Skills!D6-IF(Skills!E6=TRUE,Inputs!$B$32,0))),0)</f>
        <v/>
      </c>
      <c r="R1157">
        <f>IF(AND(Inputs!$B$38&lt;&gt;"pvp",Inputs!$B$43&gt;0),IF(MAX(0,Inputs!$B$43-B1190)&lt;=0,0,(INT(MAX(0,Inputs!$B$43-B1190)/IF(Inputs!$B$38="pvp",15,MAX(0.1,Skills!D6-IF(Skills!E6=TRUE,Inputs!$B$32,0))))+1)),0)</f>
        <v/>
      </c>
      <c r="S1157">
        <f>IFERROR((H1157*N1157*IF(AND(Inputs!$B$38&lt;&gt;"pvp",Inputs!$B$43&gt;0),((Skills!G6*((R1157-1)*IF(Skills!H6&gt;0,Skills!I6/Skills!H6,1)+IF(Skills!H6&gt;0,MIN(Skills!I6,MAX(0,MAX(0,Inputs!$B$43-B1190)-((R1157-1)*IF(Inputs!$B$38="pvp",15,MAX(0.1,Skills!D6-IF(Skills!E6=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Skills!E6=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Skills!E6=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IFERROR(1/IF(Inputs!$B$38="pvp",15,MAX(0.1,Skills!D7-IF(Skills!E7=TRUE,Inputs!$B$32,0))),0)</f>
        <v/>
      </c>
      <c r="R1158">
        <f>IF(AND(Inputs!$B$38&lt;&gt;"pvp",Inputs!$B$43&gt;0),IF(MAX(0,Inputs!$B$43-B1190)&lt;=0,0,(INT(MAX(0,Inputs!$B$43-B1190)/IF(Inputs!$B$38="pvp",15,MAX(0.1,Skills!D7-IF(Skills!E7=TRUE,Inputs!$B$32,0))))+1)),0)</f>
        <v/>
      </c>
      <c r="S1158">
        <f>IFERROR((H1158*N1158*IF(AND(Inputs!$B$38&lt;&gt;"pvp",Inputs!$B$43&gt;0),((Skills!G7*((R1158-1)*IF(Skills!H7&gt;0,Skills!I7/Skills!H7,1)+IF(Skills!H7&gt;0,MIN(Skills!I7,MAX(0,MAX(0,Inputs!$B$43-B1190)-((R1158-1)*IF(Inputs!$B$38="pvp",15,MAX(0.1,Skills!D7-IF(Skills!E7=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Skills!E7=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Skills!E7=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IFERROR(1/IF(Inputs!$B$38="pvp",15,MAX(0.1,Skills!D9-IF(Skills!E9=TRUE,Inputs!$B$32,0))),0)</f>
        <v/>
      </c>
      <c r="R1160">
        <f>IF(AND(Inputs!$B$38&lt;&gt;"pvp",Inputs!$B$43&gt;0),IF(MAX(0,Inputs!$B$43-B1190)&lt;=0,0,(INT(MAX(0,Inputs!$B$43-B1190)/IF(Inputs!$B$38="pvp",15,MAX(0.1,Skills!D9-IF(Skills!E9=TRUE,Inputs!$B$32,0))))+1)),0)</f>
        <v/>
      </c>
      <c r="S1160">
        <f>IFERROR((H1160*N1160*IF(AND(Inputs!$B$38&lt;&gt;"pvp",Inputs!$B$43&gt;0),((Skills!G9*((R1160-1)*IF(Skills!H9&gt;0,Skills!I9/Skills!H9,1)+IF(Skills!H9&gt;0,MIN(Skills!I9,MAX(0,MAX(0,Inputs!$B$43-B1190)-((R1160-1)*IF(Inputs!$B$38="pvp",15,MAX(0.1,Skills!D9-IF(Skills!E9=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Skills!E9=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Skills!E9=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IFERROR(1/IF(Inputs!$B$38="pvp",15,MAX(0.1,Skills!D11-IF(Skills!E11=TRUE,Inputs!$B$32,0))),0)</f>
        <v/>
      </c>
      <c r="R1162">
        <f>IF(AND(Inputs!$B$38&lt;&gt;"pvp",Inputs!$B$43&gt;0),IF(MAX(0,Inputs!$B$43-B1190)&lt;=0,0,(INT(MAX(0,Inputs!$B$43-B1190)/IF(Inputs!$B$38="pvp",15,MAX(0.1,Skills!D11-IF(Skills!E11=TRUE,Inputs!$B$32,0))))+1)),0)</f>
        <v/>
      </c>
      <c r="S1162">
        <f>IFERROR((H1162*N1162*IF(AND(Inputs!$B$38&lt;&gt;"pvp",Inputs!$B$43&gt;0),((Skills!G11*((R1162-1)*IF(Skills!H11&gt;0,Skills!I11/Skills!H11,1)+IF(Skills!H11&gt;0,MIN(Skills!I11,MAX(0,MAX(0,Inputs!$B$43-B1190)-((R1162-1)*IF(Inputs!$B$38="pvp",15,MAX(0.1,Skills!D11-IF(Skills!E11=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Skills!E11=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Skills!E11=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IFERROR(1/IF(Inputs!$B$38="pvp",15,MAX(0.1,Skills!D15-IF(Skills!E15=TRUE,Inputs!$B$32,0))),0)</f>
        <v/>
      </c>
      <c r="R1166">
        <f>IF(AND(Inputs!$B$38&lt;&gt;"pvp",Inputs!$B$43&gt;0),IF(Inputs!$B$43&lt;=0,0,(INT(Inputs!$B$43/IF(Inputs!$B$38="pvp",15,MAX(0.1,Skills!D15-IF(Skills!E15=TRUE,Inputs!$B$32,0))))+1)),0)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IFERROR(1/IF(Inputs!$B$38="pvp",15,MAX(0.1,Skills!D16-IF(Skills!E16=TRUE,Inputs!$B$32,0))),0)</f>
        <v/>
      </c>
      <c r="R1167">
        <f>IF(AND(Inputs!$B$38&lt;&gt;"pvp",Inputs!$B$43&gt;0),IF(Inputs!$B$43&lt;=0,0,(INT(Inputs!$B$43/IF(Inputs!$B$38="pvp",15,MAX(0.1,Skills!D16-IF(Skills!E16=TRUE,Inputs!$B$32,0))))+1)),0)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IFERROR(1/IF(Inputs!$B$38="pvp",15,MAX(0.1,Skills!D18-IF(Skills!E18=TRUE,Inputs!$B$32,0))),0)</f>
        <v/>
      </c>
      <c r="R1169">
        <f>IF(AND(Inputs!$B$38&lt;&gt;"pvp",Inputs!$B$43&gt;0),IF(Inputs!$B$43&lt;=0,0,(INT(Inputs!$B$43/IF(Inputs!$B$38="pvp",15,MAX(0.1,Skills!D18-IF(Skills!E18=TRUE,Inputs!$B$32,0))))+1)),0)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f>(C1167=TRUE)*20*IF(AND(Inputs!$B$38&lt;&gt;"pvp",Inputs!$B$43&gt;0),(((R1167-1)*(Skills!T16*(1+Inputs!$B$34/100))+MIN((Skills!T16*(1+Inputs!$B$34/100)),MAX(0,Inputs!$B$43-((R1167-1)*Skills!D16))))/Inputs!$B$43),IF(Inputs!$B$38="pvp",MIN((Skills!T16*(1+Inputs!$B$34/100)),15)/15,(Skills!T16*(1+Inputs!$B$34/100))/Skills!D16))</f>
        <v/>
      </c>
    </row>
    <row r="1184">
      <c r="A1184" t="inlineStr">
        <is>
          <t>Attack Speed Buff Bonus %</t>
        </is>
      </c>
      <c r="B1184">
        <f>((C1169=TRUE)*F1169*IF(AND(Inputs!$B$38&lt;&gt;"pvp",Inputs!$B$43&gt;0),(((R1169-1)*(Skills!T18*(1+Inputs!$B$34/100))+MIN((Skills!T18*(1+Inputs!$B$34/100)),MAX(0,Inputs!$B$43-((R1169-1)*Skills!D18))))/Inputs!$B$43),IF(Inputs!$B$38="pvp",MIN((Skills!T18*(1+Inputs!$B$34/100)),15)/15,(Skills!T18*(1+Inputs!$B$34/100))/Skills!D18)))</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Skills!T16*(1+Inputs!$B$34/100))+MIN((Skills!T16*(1+Inputs!$B$34/100)),MAX(0,Inputs!$B$43-((R1167-1)*Skills!D16))))/Inputs!$B$43),IF(Inputs!$B$38="pvp",MIN((Skills!T16*(1+Inputs!$B$34/100)),15)/15,(Skills!T16*(1+Inputs!$B$34/100))/Skills!D16))</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IFERROR(1/IF(Inputs!$B$38="pvp",15,MAX(0.1,Skills!D5-IF(Skills!E5=TRUE,Inputs!$B$32,0))),0)</f>
        <v/>
      </c>
      <c r="R1201">
        <f>IF(AND(Inputs!$B$38&lt;&gt;"pvp",Inputs!$B$43&gt;0),IF(MAX(0,Inputs!$B$43-B1235)&lt;=0,0,(INT(MAX(0,Inputs!$B$43-B1235)/IF(Inputs!$B$38="pvp",15,MAX(0.1,Skills!D5-IF(Skills!E5=TRUE,Inputs!$B$32,0))))+1)),0)</f>
        <v/>
      </c>
      <c r="S1201">
        <f>IFERROR((H1201*N1201*IF(AND(Inputs!$B$38&lt;&gt;"pvp",Inputs!$B$43&gt;0),((Skills!G5*((R1201-1)*IF(Skills!H5&gt;0,Skills!I5/Skills!H5,1)+IF(Skills!H5&gt;0,MIN(Skills!I5,MAX(0,MAX(0,Inputs!$B$43-B1235)-((R1201-1)*IF(Inputs!$B$38="pvp",15,MAX(0.1,Skills!D5-IF(Skills!E5=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Skills!E5=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Skills!E5=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IFERROR(1/IF(Inputs!$B$38="pvp",15,MAX(0.1,Skills!D6-IF(Skills!E6=TRUE,Inputs!$B$32,0))),0)</f>
        <v/>
      </c>
      <c r="R1202">
        <f>IF(AND(Inputs!$B$38&lt;&gt;"pvp",Inputs!$B$43&gt;0),IF(MAX(0,Inputs!$B$43-B1235)&lt;=0,0,(INT(MAX(0,Inputs!$B$43-B1235)/IF(Inputs!$B$38="pvp",15,MAX(0.1,Skills!D6-IF(Skills!E6=TRUE,Inputs!$B$32,0))))+1)),0)</f>
        <v/>
      </c>
      <c r="S1202">
        <f>IFERROR((H1202*N1202*IF(AND(Inputs!$B$38&lt;&gt;"pvp",Inputs!$B$43&gt;0),((Skills!G6*((R1202-1)*IF(Skills!H6&gt;0,Skills!I6/Skills!H6,1)+IF(Skills!H6&gt;0,MIN(Skills!I6,MAX(0,MAX(0,Inputs!$B$43-B1235)-((R1202-1)*IF(Inputs!$B$38="pvp",15,MAX(0.1,Skills!D6-IF(Skills!E6=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Skills!E6=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Skills!E6=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IFERROR(1/IF(Inputs!$B$38="pvp",15,MAX(0.1,Skills!D7-IF(Skills!E7=TRUE,Inputs!$B$32,0))),0)</f>
        <v/>
      </c>
      <c r="R1203">
        <f>IF(AND(Inputs!$B$38&lt;&gt;"pvp",Inputs!$B$43&gt;0),IF(MAX(0,Inputs!$B$43-B1235)&lt;=0,0,(INT(MAX(0,Inputs!$B$43-B1235)/IF(Inputs!$B$38="pvp",15,MAX(0.1,Skills!D7-IF(Skills!E7=TRUE,Inputs!$B$32,0))))+1)),0)</f>
        <v/>
      </c>
      <c r="S1203">
        <f>IFERROR((H1203*N1203*IF(AND(Inputs!$B$38&lt;&gt;"pvp",Inputs!$B$43&gt;0),((Skills!G7*((R1203-1)*IF(Skills!H7&gt;0,Skills!I7/Skills!H7,1)+IF(Skills!H7&gt;0,MIN(Skills!I7,MAX(0,MAX(0,Inputs!$B$43-B1235)-((R1203-1)*IF(Inputs!$B$38="pvp",15,MAX(0.1,Skills!D7-IF(Skills!E7=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Skills!E7=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Skills!E7=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IFERROR(1/IF(Inputs!$B$38="pvp",15,MAX(0.1,Skills!D9-IF(Skills!E9=TRUE,Inputs!$B$32,0))),0)</f>
        <v/>
      </c>
      <c r="R1205">
        <f>IF(AND(Inputs!$B$38&lt;&gt;"pvp",Inputs!$B$43&gt;0),IF(MAX(0,Inputs!$B$43-B1235)&lt;=0,0,(INT(MAX(0,Inputs!$B$43-B1235)/IF(Inputs!$B$38="pvp",15,MAX(0.1,Skills!D9-IF(Skills!E9=TRUE,Inputs!$B$32,0))))+1)),0)</f>
        <v/>
      </c>
      <c r="S1205">
        <f>IFERROR((H1205*N1205*IF(AND(Inputs!$B$38&lt;&gt;"pvp",Inputs!$B$43&gt;0),((Skills!G9*((R1205-1)*IF(Skills!H9&gt;0,Skills!I9/Skills!H9,1)+IF(Skills!H9&gt;0,MIN(Skills!I9,MAX(0,MAX(0,Inputs!$B$43-B1235)-((R1205-1)*IF(Inputs!$B$38="pvp",15,MAX(0.1,Skills!D9-IF(Skills!E9=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Skills!E9=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Skills!E9=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IFERROR(1/IF(Inputs!$B$38="pvp",15,MAX(0.1,Skills!D11-IF(Skills!E11=TRUE,Inputs!$B$32,0))),0)</f>
        <v/>
      </c>
      <c r="R1207">
        <f>IF(AND(Inputs!$B$38&lt;&gt;"pvp",Inputs!$B$43&gt;0),IF(MAX(0,Inputs!$B$43-B1235)&lt;=0,0,(INT(MAX(0,Inputs!$B$43-B1235)/IF(Inputs!$B$38="pvp",15,MAX(0.1,Skills!D11-IF(Skills!E11=TRUE,Inputs!$B$32,0))))+1)),0)</f>
        <v/>
      </c>
      <c r="S1207">
        <f>IFERROR((H1207*N1207*IF(AND(Inputs!$B$38&lt;&gt;"pvp",Inputs!$B$43&gt;0),((Skills!G11*((R1207-1)*IF(Skills!H11&gt;0,Skills!I11/Skills!H11,1)+IF(Skills!H11&gt;0,MIN(Skills!I11,MAX(0,MAX(0,Inputs!$B$43-B1235)-((R1207-1)*IF(Inputs!$B$38="pvp",15,MAX(0.1,Skills!D11-IF(Skills!E11=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Skills!E11=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Skills!E11=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IFERROR(1/IF(Inputs!$B$38="pvp",15,MAX(0.1,Skills!D15-IF(Skills!E15=TRUE,Inputs!$B$32,0))),0)</f>
        <v/>
      </c>
      <c r="R1211">
        <f>IF(AND(Inputs!$B$38&lt;&gt;"pvp",Inputs!$B$43&gt;0),IF(Inputs!$B$43&lt;=0,0,(INT(Inputs!$B$43/IF(Inputs!$B$38="pvp",15,MAX(0.1,Skills!D15-IF(Skills!E15=TRUE,Inputs!$B$32,0))))+1)),0)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IFERROR(1/IF(Inputs!$B$38="pvp",15,MAX(0.1,Skills!D16-IF(Skills!E16=TRUE,Inputs!$B$32,0))),0)</f>
        <v/>
      </c>
      <c r="R1212">
        <f>IF(AND(Inputs!$B$38&lt;&gt;"pvp",Inputs!$B$43&gt;0),IF(Inputs!$B$43&lt;=0,0,(INT(Inputs!$B$43/IF(Inputs!$B$38="pvp",15,MAX(0.1,Skills!D16-IF(Skills!E16=TRUE,Inputs!$B$32,0))))+1)),0)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IFERROR(1/IF(Inputs!$B$38="pvp",15,MAX(0.1,Skills!D18-IF(Skills!E18=TRUE,Inputs!$B$32,0))),0)</f>
        <v/>
      </c>
      <c r="R1214">
        <f>IF(AND(Inputs!$B$38&lt;&gt;"pvp",Inputs!$B$43&gt;0),IF(Inputs!$B$43&lt;=0,0,(INT(Inputs!$B$43/IF(Inputs!$B$38="pvp",15,MAX(0.1,Skills!D18-IF(Skills!E18=TRUE,Inputs!$B$32,0))))+1)),0)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f>(C1212=TRUE)*20*IF(AND(Inputs!$B$38&lt;&gt;"pvp",Inputs!$B$43&gt;0),(((R1212-1)*(Skills!T16*(1+(Inputs!$B$34+1)/100))+MIN((Skills!T16*(1+(Inputs!$B$34+1)/100)),MAX(0,Inputs!$B$43-((R1212-1)*Skills!D16))))/Inputs!$B$43),IF(Inputs!$B$38="pvp",MIN((Skills!T16*(1+(Inputs!$B$34+1)/100)),15)/15,(Skills!T16*(1+(Inputs!$B$34+1)/100))/Skills!D16))</f>
        <v/>
      </c>
    </row>
    <row r="1229">
      <c r="A1229" t="inlineStr">
        <is>
          <t>Attack Speed Buff Bonus %</t>
        </is>
      </c>
      <c r="B1229">
        <f>((C1214=TRUE)*F1214*IF(AND(Inputs!$B$38&lt;&gt;"pvp",Inputs!$B$43&gt;0),(((R1214-1)*(Skills!T18*(1+(Inputs!$B$34+1)/100))+MIN((Skills!T18*(1+(Inputs!$B$34+1)/100)),MAX(0,Inputs!$B$43-((R1214-1)*Skills!D18))))/Inputs!$B$43),IF(Inputs!$B$38="pvp",MIN((Skills!T18*(1+(Inputs!$B$34+1)/100)),15)/15,(Skills!T18*(1+(Inputs!$B$34+1)/100))/Skills!D18)))</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Skills!T16*(1+(Inputs!$B$34+1)/100))+MIN((Skills!T16*(1+(Inputs!$B$34+1)/100)),MAX(0,Inputs!$B$43-((R1212-1)*Skills!D16))))/Inputs!$B$43),IF(Inputs!$B$38="pvp",MIN((Skills!T16*(1+(Inputs!$B$34+1)/100)),15)/15,(Skills!T16*(1+(Inputs!$B$34+1)/100))/Skills!D16))</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IFERROR(1/IF(Inputs!$B$38="pvp",15,MAX(0.1,Skills!D5-IF(Skills!E5=TRUE,Inputs!$B$32,0))),0)</f>
        <v/>
      </c>
      <c r="R1246">
        <f>IF(AND(Inputs!$B$38&lt;&gt;"pvp",Inputs!$B$43&gt;0),IF(MAX(0,Inputs!$B$43-B1280)&lt;=0,0,(INT(MAX(0,Inputs!$B$43-B1280)/IF(Inputs!$B$38="pvp",15,MAX(0.1,Skills!D5-IF(Skills!E5=TRUE,Inputs!$B$32,0))))+1)),0)</f>
        <v/>
      </c>
      <c r="S1246">
        <f>IFERROR((H1246*N1246*IF(AND(Inputs!$B$38&lt;&gt;"pvp",Inputs!$B$43&gt;0),((Skills!G5*((R1246-1)*IF(Skills!H5&gt;0,Skills!I5/Skills!H5,1)+IF(Skills!H5&gt;0,MIN(Skills!I5,MAX(0,MAX(0,Inputs!$B$43-B1280)-((R1246-1)*IF(Inputs!$B$38="pvp",15,MAX(0.1,Skills!D5-IF(Skills!E5=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Skills!E5=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Skills!E5=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IFERROR(1/IF(Inputs!$B$38="pvp",15,MAX(0.1,Skills!D6-IF(Skills!E6=TRUE,Inputs!$B$32,0))),0)</f>
        <v/>
      </c>
      <c r="R1247">
        <f>IF(AND(Inputs!$B$38&lt;&gt;"pvp",Inputs!$B$43&gt;0),IF(MAX(0,Inputs!$B$43-B1280)&lt;=0,0,(INT(MAX(0,Inputs!$B$43-B1280)/IF(Inputs!$B$38="pvp",15,MAX(0.1,Skills!D6-IF(Skills!E6=TRUE,Inputs!$B$32,0))))+1)),0)</f>
        <v/>
      </c>
      <c r="S1247">
        <f>IFERROR((H1247*N1247*IF(AND(Inputs!$B$38&lt;&gt;"pvp",Inputs!$B$43&gt;0),((Skills!G6*((R1247-1)*IF(Skills!H6&gt;0,Skills!I6/Skills!H6,1)+IF(Skills!H6&gt;0,MIN(Skills!I6,MAX(0,MAX(0,Inputs!$B$43-B1280)-((R1247-1)*IF(Inputs!$B$38="pvp",15,MAX(0.1,Skills!D6-IF(Skills!E6=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Skills!E6=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Skills!E6=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IFERROR(1/IF(Inputs!$B$38="pvp",15,MAX(0.1,Skills!D7-IF(Skills!E7=TRUE,Inputs!$B$32,0))),0)</f>
        <v/>
      </c>
      <c r="R1248">
        <f>IF(AND(Inputs!$B$38&lt;&gt;"pvp",Inputs!$B$43&gt;0),IF(MAX(0,Inputs!$B$43-B1280)&lt;=0,0,(INT(MAX(0,Inputs!$B$43-B1280)/IF(Inputs!$B$38="pvp",15,MAX(0.1,Skills!D7-IF(Skills!E7=TRUE,Inputs!$B$32,0))))+1)),0)</f>
        <v/>
      </c>
      <c r="S1248">
        <f>IFERROR((H1248*N1248*IF(AND(Inputs!$B$38&lt;&gt;"pvp",Inputs!$B$43&gt;0),((Skills!G7*((R1248-1)*IF(Skills!H7&gt;0,Skills!I7/Skills!H7,1)+IF(Skills!H7&gt;0,MIN(Skills!I7,MAX(0,MAX(0,Inputs!$B$43-B1280)-((R1248-1)*IF(Inputs!$B$38="pvp",15,MAX(0.1,Skills!D7-IF(Skills!E7=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Skills!E7=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Skills!E7=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IFERROR(1/IF(Inputs!$B$38="pvp",15,MAX(0.1,Skills!D9-IF(Skills!E9=TRUE,Inputs!$B$32,0))),0)</f>
        <v/>
      </c>
      <c r="R1250">
        <f>IF(AND(Inputs!$B$38&lt;&gt;"pvp",Inputs!$B$43&gt;0),IF(MAX(0,Inputs!$B$43-B1280)&lt;=0,0,(INT(MAX(0,Inputs!$B$43-B1280)/IF(Inputs!$B$38="pvp",15,MAX(0.1,Skills!D9-IF(Skills!E9=TRUE,Inputs!$B$32,0))))+1)),0)</f>
        <v/>
      </c>
      <c r="S1250">
        <f>IFERROR((H1250*N1250*IF(AND(Inputs!$B$38&lt;&gt;"pvp",Inputs!$B$43&gt;0),((Skills!G9*((R1250-1)*IF(Skills!H9&gt;0,Skills!I9/Skills!H9,1)+IF(Skills!H9&gt;0,MIN(Skills!I9,MAX(0,MAX(0,Inputs!$B$43-B1280)-((R1250-1)*IF(Inputs!$B$38="pvp",15,MAX(0.1,Skills!D9-IF(Skills!E9=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Skills!E9=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Skills!E9=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IFERROR(1/IF(Inputs!$B$38="pvp",15,MAX(0.1,Skills!D11-IF(Skills!E11=TRUE,Inputs!$B$32,0))),0)</f>
        <v/>
      </c>
      <c r="R1252">
        <f>IF(AND(Inputs!$B$38&lt;&gt;"pvp",Inputs!$B$43&gt;0),IF(MAX(0,Inputs!$B$43-B1280)&lt;=0,0,(INT(MAX(0,Inputs!$B$43-B1280)/IF(Inputs!$B$38="pvp",15,MAX(0.1,Skills!D11-IF(Skills!E11=TRUE,Inputs!$B$32,0))))+1)),0)</f>
        <v/>
      </c>
      <c r="S1252">
        <f>IFERROR((H1252*N1252*IF(AND(Inputs!$B$38&lt;&gt;"pvp",Inputs!$B$43&gt;0),((Skills!G11*((R1252-1)*IF(Skills!H11&gt;0,Skills!I11/Skills!H11,1)+IF(Skills!H11&gt;0,MIN(Skills!I11,MAX(0,MAX(0,Inputs!$B$43-B1280)-((R1252-1)*IF(Inputs!$B$38="pvp",15,MAX(0.1,Skills!D11-IF(Skills!E11=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Skills!E11=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Skills!E11=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IFERROR(1/IF(Inputs!$B$38="pvp",15,MAX(0.1,Skills!D15-IF(Skills!E15=TRUE,Inputs!$B$32,0))),0)</f>
        <v/>
      </c>
      <c r="R1256">
        <f>IF(AND(Inputs!$B$38&lt;&gt;"pvp",Inputs!$B$43&gt;0),IF(Inputs!$B$43&lt;=0,0,(INT(Inputs!$B$43/IF(Inputs!$B$38="pvp",15,MAX(0.1,Skills!D15-IF(Skills!E15=TRUE,Inputs!$B$32,0))))+1)),0)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IFERROR(1/IF(Inputs!$B$38="pvp",15,MAX(0.1,Skills!D16-IF(Skills!E16=TRUE,Inputs!$B$32,0))),0)</f>
        <v/>
      </c>
      <c r="R1257">
        <f>IF(AND(Inputs!$B$38&lt;&gt;"pvp",Inputs!$B$43&gt;0),IF(Inputs!$B$43&lt;=0,0,(INT(Inputs!$B$43/IF(Inputs!$B$38="pvp",15,MAX(0.1,Skills!D16-IF(Skills!E16=TRUE,Inputs!$B$32,0))))+1)),0)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IFERROR(1/IF(Inputs!$B$38="pvp",15,MAX(0.1,Skills!D18-IF(Skills!E18=TRUE,Inputs!$B$32,0))),0)</f>
        <v/>
      </c>
      <c r="R1259">
        <f>IF(AND(Inputs!$B$38&lt;&gt;"pvp",Inputs!$B$43&gt;0),IF(Inputs!$B$43&lt;=0,0,(INT(Inputs!$B$43/IF(Inputs!$B$38="pvp",15,MAX(0.1,Skills!D18-IF(Skills!E18=TRUE,Inputs!$B$32,0))))+1)),0)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f>(C1257=TRUE)*20*IF(AND(Inputs!$B$38&lt;&gt;"pvp",Inputs!$B$43&gt;0),(((R1257-1)*(Skills!T16*(1+Inputs!$B$34/100))+MIN((Skills!T16*(1+Inputs!$B$34/100)),MAX(0,Inputs!$B$43-((R1257-1)*Skills!D16))))/Inputs!$B$43),IF(Inputs!$B$38="pvp",MIN((Skills!T16*(1+Inputs!$B$34/100)),15)/15,(Skills!T16*(1+Inputs!$B$34/100))/Skills!D16))</f>
        <v/>
      </c>
    </row>
    <row r="1274">
      <c r="A1274" t="inlineStr">
        <is>
          <t>Attack Speed Buff Bonus %</t>
        </is>
      </c>
      <c r="B1274">
        <f>((C1259=TRUE)*F1259*IF(AND(Inputs!$B$38&lt;&gt;"pvp",Inputs!$B$43&gt;0),(((R1259-1)*(Skills!T18*(1+Inputs!$B$34/100))+MIN((Skills!T18*(1+Inputs!$B$34/100)),MAX(0,Inputs!$B$43-((R1259-1)*Skills!D18))))/Inputs!$B$43),IF(Inputs!$B$38="pvp",MIN((Skills!T18*(1+Inputs!$B$34/100)),15)/15,(Skills!T18*(1+Inputs!$B$34/100))/Skills!D18)))</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Skills!T16*(1+Inputs!$B$34/100))+MIN((Skills!T16*(1+Inputs!$B$34/100)),MAX(0,Inputs!$B$43-((R1257-1)*Skills!D16))))/Inputs!$B$43),IF(Inputs!$B$38="pvp",MIN((Skills!T16*(1+Inputs!$B$34/100)),15)/15,(Skills!T16*(1+Inputs!$B$34/100))/Skills!D16))</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IFERROR(1/IF(Inputs!$B$38="pvp",15,MAX(0.1,Skills!D5-IF(Skills!E5=TRUE,Inputs!$B$32,0))),0)</f>
        <v/>
      </c>
      <c r="R1291">
        <f>IF(AND(Inputs!$B$38&lt;&gt;"pvp",Inputs!$B$43&gt;0),IF(MAX(0,Inputs!$B$43-B1325)&lt;=0,0,(INT(MAX(0,Inputs!$B$43-B1325)/IF(Inputs!$B$38="pvp",15,MAX(0.1,Skills!D5-IF(Skills!E5=TRUE,Inputs!$B$32,0))))+1)),0)</f>
        <v/>
      </c>
      <c r="S1291">
        <f>IFERROR((H1291*N1291*IF(AND(Inputs!$B$38&lt;&gt;"pvp",Inputs!$B$43&gt;0),((Skills!G5*((R1291-1)*IF(Skills!H5&gt;0,Skills!I5/Skills!H5,1)+IF(Skills!H5&gt;0,MIN(Skills!I5,MAX(0,MAX(0,Inputs!$B$43-B1325)-((R1291-1)*IF(Inputs!$B$38="pvp",15,MAX(0.1,Skills!D5-IF(Skills!E5=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Skills!E5=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Skills!E5=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IFERROR(1/IF(Inputs!$B$38="pvp",15,MAX(0.1,Skills!D6-IF(Skills!E6=TRUE,Inputs!$B$32,0))),0)</f>
        <v/>
      </c>
      <c r="R1292">
        <f>IF(AND(Inputs!$B$38&lt;&gt;"pvp",Inputs!$B$43&gt;0),IF(MAX(0,Inputs!$B$43-B1325)&lt;=0,0,(INT(MAX(0,Inputs!$B$43-B1325)/IF(Inputs!$B$38="pvp",15,MAX(0.1,Skills!D6-IF(Skills!E6=TRUE,Inputs!$B$32,0))))+1)),0)</f>
        <v/>
      </c>
      <c r="S1292">
        <f>IFERROR((H1292*N1292*IF(AND(Inputs!$B$38&lt;&gt;"pvp",Inputs!$B$43&gt;0),((Skills!G6*((R1292-1)*IF(Skills!H6&gt;0,Skills!I6/Skills!H6,1)+IF(Skills!H6&gt;0,MIN(Skills!I6,MAX(0,MAX(0,Inputs!$B$43-B1325)-((R1292-1)*IF(Inputs!$B$38="pvp",15,MAX(0.1,Skills!D6-IF(Skills!E6=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Skills!E6=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Skills!E6=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IFERROR(1/IF(Inputs!$B$38="pvp",15,MAX(0.1,Skills!D7-IF(Skills!E7=TRUE,Inputs!$B$32,0))),0)</f>
        <v/>
      </c>
      <c r="R1293">
        <f>IF(AND(Inputs!$B$38&lt;&gt;"pvp",Inputs!$B$43&gt;0),IF(MAX(0,Inputs!$B$43-B1325)&lt;=0,0,(INT(MAX(0,Inputs!$B$43-B1325)/IF(Inputs!$B$38="pvp",15,MAX(0.1,Skills!D7-IF(Skills!E7=TRUE,Inputs!$B$32,0))))+1)),0)</f>
        <v/>
      </c>
      <c r="S1293">
        <f>IFERROR((H1293*N1293*IF(AND(Inputs!$B$38&lt;&gt;"pvp",Inputs!$B$43&gt;0),((Skills!G7*((R1293-1)*IF(Skills!H7&gt;0,Skills!I7/Skills!H7,1)+IF(Skills!H7&gt;0,MIN(Skills!I7,MAX(0,MAX(0,Inputs!$B$43-B1325)-((R1293-1)*IF(Inputs!$B$38="pvp",15,MAX(0.1,Skills!D7-IF(Skills!E7=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Skills!E7=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Skills!E7=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IFERROR(1/IF(Inputs!$B$38="pvp",15,MAX(0.1,Skills!D9-IF(Skills!E9=TRUE,Inputs!$B$32,0))),0)</f>
        <v/>
      </c>
      <c r="R1295">
        <f>IF(AND(Inputs!$B$38&lt;&gt;"pvp",Inputs!$B$43&gt;0),IF(MAX(0,Inputs!$B$43-B1325)&lt;=0,0,(INT(MAX(0,Inputs!$B$43-B1325)/IF(Inputs!$B$38="pvp",15,MAX(0.1,Skills!D9-IF(Skills!E9=TRUE,Inputs!$B$32,0))))+1)),0)</f>
        <v/>
      </c>
      <c r="S1295">
        <f>IFERROR((H1295*N1295*IF(AND(Inputs!$B$38&lt;&gt;"pvp",Inputs!$B$43&gt;0),((Skills!G9*((R1295-1)*IF(Skills!H9&gt;0,Skills!I9/Skills!H9,1)+IF(Skills!H9&gt;0,MIN(Skills!I9,MAX(0,MAX(0,Inputs!$B$43-B1325)-((R1295-1)*IF(Inputs!$B$38="pvp",15,MAX(0.1,Skills!D9-IF(Skills!E9=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Skills!E9=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Skills!E9=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IFERROR(1/IF(Inputs!$B$38="pvp",15,MAX(0.1,Skills!D11-IF(Skills!E11=TRUE,Inputs!$B$32,0))),0)</f>
        <v/>
      </c>
      <c r="R1297">
        <f>IF(AND(Inputs!$B$38&lt;&gt;"pvp",Inputs!$B$43&gt;0),IF(MAX(0,Inputs!$B$43-B1325)&lt;=0,0,(INT(MAX(0,Inputs!$B$43-B1325)/IF(Inputs!$B$38="pvp",15,MAX(0.1,Skills!D11-IF(Skills!E11=TRUE,Inputs!$B$32,0))))+1)),0)</f>
        <v/>
      </c>
      <c r="S1297">
        <f>IFERROR((H1297*N1297*IF(AND(Inputs!$B$38&lt;&gt;"pvp",Inputs!$B$43&gt;0),((Skills!G11*((R1297-1)*IF(Skills!H11&gt;0,Skills!I11/Skills!H11,1)+IF(Skills!H11&gt;0,MIN(Skills!I11,MAX(0,MAX(0,Inputs!$B$43-B1325)-((R1297-1)*IF(Inputs!$B$38="pvp",15,MAX(0.1,Skills!D11-IF(Skills!E11=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Skills!E11=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Skills!E11=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IFERROR(1/IF(Inputs!$B$38="pvp",15,MAX(0.1,Skills!D15-IF(Skills!E15=TRUE,Inputs!$B$32,0))),0)</f>
        <v/>
      </c>
      <c r="R1301">
        <f>IF(AND(Inputs!$B$38&lt;&gt;"pvp",Inputs!$B$43&gt;0),IF(Inputs!$B$43&lt;=0,0,(INT(Inputs!$B$43/IF(Inputs!$B$38="pvp",15,MAX(0.1,Skills!D15-IF(Skills!E15=TRUE,Inputs!$B$32,0))))+1)),0)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IFERROR(1/IF(Inputs!$B$38="pvp",15,MAX(0.1,Skills!D16-IF(Skills!E16=TRUE,Inputs!$B$32,0))),0)</f>
        <v/>
      </c>
      <c r="R1302">
        <f>IF(AND(Inputs!$B$38&lt;&gt;"pvp",Inputs!$B$43&gt;0),IF(Inputs!$B$43&lt;=0,0,(INT(Inputs!$B$43/IF(Inputs!$B$38="pvp",15,MAX(0.1,Skills!D16-IF(Skills!E16=TRUE,Inputs!$B$32,0))))+1)),0)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IFERROR(1/IF(Inputs!$B$38="pvp",15,MAX(0.1,Skills!D18-IF(Skills!E18=TRUE,Inputs!$B$32,0))),0)</f>
        <v/>
      </c>
      <c r="R1304">
        <f>IF(AND(Inputs!$B$38&lt;&gt;"pvp",Inputs!$B$43&gt;0),IF(Inputs!$B$43&lt;=0,0,(INT(Inputs!$B$43/IF(Inputs!$B$38="pvp",15,MAX(0.1,Skills!D18-IF(Skills!E18=TRUE,Inputs!$B$32,0))))+1)),0)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f>(C1302=TRUE)*20*IF(AND(Inputs!$B$38&lt;&gt;"pvp",Inputs!$B$43&gt;0),(((R1302-1)*(Skills!T16*(1+Inputs!$B$34/100))+MIN((Skills!T16*(1+Inputs!$B$34/100)),MAX(0,Inputs!$B$43-((R1302-1)*Skills!D16))))/Inputs!$B$43),IF(Inputs!$B$38="pvp",MIN((Skills!T16*(1+Inputs!$B$34/100)),15)/15,(Skills!T16*(1+Inputs!$B$34/100))/Skills!D16))</f>
        <v/>
      </c>
    </row>
    <row r="1319">
      <c r="A1319" t="inlineStr">
        <is>
          <t>Attack Speed Buff Bonus %</t>
        </is>
      </c>
      <c r="B1319">
        <f>((C1304=TRUE)*F1304*IF(AND(Inputs!$B$38&lt;&gt;"pvp",Inputs!$B$43&gt;0),(((R1304-1)*(Skills!T18*(1+Inputs!$B$34/100))+MIN((Skills!T18*(1+Inputs!$B$34/100)),MAX(0,Inputs!$B$43-((R1304-1)*Skills!D18))))/Inputs!$B$43),IF(Inputs!$B$38="pvp",MIN((Skills!T18*(1+Inputs!$B$34/100)),15)/15,(Skills!T18*(1+Inputs!$B$34/100))/Skills!D18)))</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Skills!T16*(1+Inputs!$B$34/100))+MIN((Skills!T16*(1+Inputs!$B$34/100)),MAX(0,Inputs!$B$43-((R1302-1)*Skills!D16))))/Inputs!$B$43),IF(Inputs!$B$38="pvp",MIN((Skills!T16*(1+Inputs!$B$34/100)),15)/15,(Skills!T16*(1+Inputs!$B$34/100))/Skills!D16))</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IFERROR(1/IF(Inputs!$B$38="pvp",15,MAX(0.1,Skills!D5-IF(Skills!E5=TRUE,Inputs!$B$32,0))),0)</f>
        <v/>
      </c>
      <c r="R1336">
        <f>IF(AND(Inputs!$B$38&lt;&gt;"pvp",Inputs!$B$43&gt;0),IF(MAX(0,Inputs!$B$43-B1370)&lt;=0,0,(INT(MAX(0,Inputs!$B$43-B1370)/IF(Inputs!$B$38="pvp",15,MAX(0.1,Skills!D5-IF(Skills!E5=TRUE,Inputs!$B$32,0))))+1)),0)</f>
        <v/>
      </c>
      <c r="S1336">
        <f>IFERROR((H1336*N1336*IF(AND(Inputs!$B$38&lt;&gt;"pvp",Inputs!$B$43&gt;0),((Skills!G5*((R1336-1)*IF(Skills!H5&gt;0,Skills!I5/Skills!H5,1)+IF(Skills!H5&gt;0,MIN(Skills!I5,MAX(0,MAX(0,Inputs!$B$43-B1370)-((R1336-1)*IF(Inputs!$B$38="pvp",15,MAX(0.1,Skills!D5-IF(Skills!E5=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Skills!E5=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Skills!E5=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IFERROR(1/IF(Inputs!$B$38="pvp",15,MAX(0.1,Skills!D6-IF(Skills!E6=TRUE,Inputs!$B$32,0))),0)</f>
        <v/>
      </c>
      <c r="R1337">
        <f>IF(AND(Inputs!$B$38&lt;&gt;"pvp",Inputs!$B$43&gt;0),IF(MAX(0,Inputs!$B$43-B1370)&lt;=0,0,(INT(MAX(0,Inputs!$B$43-B1370)/IF(Inputs!$B$38="pvp",15,MAX(0.1,Skills!D6-IF(Skills!E6=TRUE,Inputs!$B$32,0))))+1)),0)</f>
        <v/>
      </c>
      <c r="S1337">
        <f>IFERROR((H1337*N1337*IF(AND(Inputs!$B$38&lt;&gt;"pvp",Inputs!$B$43&gt;0),((Skills!G6*((R1337-1)*IF(Skills!H6&gt;0,Skills!I6/Skills!H6,1)+IF(Skills!H6&gt;0,MIN(Skills!I6,MAX(0,MAX(0,Inputs!$B$43-B1370)-((R1337-1)*IF(Inputs!$B$38="pvp",15,MAX(0.1,Skills!D6-IF(Skills!E6=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Skills!E6=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Skills!E6=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IFERROR(1/IF(Inputs!$B$38="pvp",15,MAX(0.1,Skills!D7-IF(Skills!E7=TRUE,Inputs!$B$32,0))),0)</f>
        <v/>
      </c>
      <c r="R1338">
        <f>IF(AND(Inputs!$B$38&lt;&gt;"pvp",Inputs!$B$43&gt;0),IF(MAX(0,Inputs!$B$43-B1370)&lt;=0,0,(INT(MAX(0,Inputs!$B$43-B1370)/IF(Inputs!$B$38="pvp",15,MAX(0.1,Skills!D7-IF(Skills!E7=TRUE,Inputs!$B$32,0))))+1)),0)</f>
        <v/>
      </c>
      <c r="S1338">
        <f>IFERROR((H1338*N1338*IF(AND(Inputs!$B$38&lt;&gt;"pvp",Inputs!$B$43&gt;0),((Skills!G7*((R1338-1)*IF(Skills!H7&gt;0,Skills!I7/Skills!H7,1)+IF(Skills!H7&gt;0,MIN(Skills!I7,MAX(0,MAX(0,Inputs!$B$43-B1370)-((R1338-1)*IF(Inputs!$B$38="pvp",15,MAX(0.1,Skills!D7-IF(Skills!E7=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Skills!E7=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Skills!E7=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IFERROR(1/IF(Inputs!$B$38="pvp",15,MAX(0.1,Skills!D9-IF(Skills!E9=TRUE,Inputs!$B$32,0))),0)</f>
        <v/>
      </c>
      <c r="R1340">
        <f>IF(AND(Inputs!$B$38&lt;&gt;"pvp",Inputs!$B$43&gt;0),IF(MAX(0,Inputs!$B$43-B1370)&lt;=0,0,(INT(MAX(0,Inputs!$B$43-B1370)/IF(Inputs!$B$38="pvp",15,MAX(0.1,Skills!D9-IF(Skills!E9=TRUE,Inputs!$B$32,0))))+1)),0)</f>
        <v/>
      </c>
      <c r="S1340">
        <f>IFERROR((H1340*N1340*IF(AND(Inputs!$B$38&lt;&gt;"pvp",Inputs!$B$43&gt;0),((Skills!G9*((R1340-1)*IF(Skills!H9&gt;0,Skills!I9/Skills!H9,1)+IF(Skills!H9&gt;0,MIN(Skills!I9,MAX(0,MAX(0,Inputs!$B$43-B1370)-((R1340-1)*IF(Inputs!$B$38="pvp",15,MAX(0.1,Skills!D9-IF(Skills!E9=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Skills!E9=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Skills!E9=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IFERROR(1/IF(Inputs!$B$38="pvp",15,MAX(0.1,Skills!D11-IF(Skills!E11=TRUE,Inputs!$B$32,0))),0)</f>
        <v/>
      </c>
      <c r="R1342">
        <f>IF(AND(Inputs!$B$38&lt;&gt;"pvp",Inputs!$B$43&gt;0),IF(MAX(0,Inputs!$B$43-B1370)&lt;=0,0,(INT(MAX(0,Inputs!$B$43-B1370)/IF(Inputs!$B$38="pvp",15,MAX(0.1,Skills!D11-IF(Skills!E11=TRUE,Inputs!$B$32,0))))+1)),0)</f>
        <v/>
      </c>
      <c r="S1342">
        <f>IFERROR((H1342*N1342*IF(AND(Inputs!$B$38&lt;&gt;"pvp",Inputs!$B$43&gt;0),((Skills!G11*((R1342-1)*IF(Skills!H11&gt;0,Skills!I11/Skills!H11,1)+IF(Skills!H11&gt;0,MIN(Skills!I11,MAX(0,MAX(0,Inputs!$B$43-B1370)-((R1342-1)*IF(Inputs!$B$38="pvp",15,MAX(0.1,Skills!D11-IF(Skills!E11=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Skills!E11=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Skills!E11=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IFERROR(1/IF(Inputs!$B$38="pvp",15,MAX(0.1,Skills!D15-IF(Skills!E15=TRUE,Inputs!$B$32,0))),0)</f>
        <v/>
      </c>
      <c r="R1346">
        <f>IF(AND(Inputs!$B$38&lt;&gt;"pvp",Inputs!$B$43&gt;0),IF(Inputs!$B$43&lt;=0,0,(INT(Inputs!$B$43/IF(Inputs!$B$38="pvp",15,MAX(0.1,Skills!D15-IF(Skills!E15=TRUE,Inputs!$B$32,0))))+1)),0)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IFERROR(1/IF(Inputs!$B$38="pvp",15,MAX(0.1,Skills!D16-IF(Skills!E16=TRUE,Inputs!$B$32,0))),0)</f>
        <v/>
      </c>
      <c r="R1347">
        <f>IF(AND(Inputs!$B$38&lt;&gt;"pvp",Inputs!$B$43&gt;0),IF(Inputs!$B$43&lt;=0,0,(INT(Inputs!$B$43/IF(Inputs!$B$38="pvp",15,MAX(0.1,Skills!D16-IF(Skills!E16=TRUE,Inputs!$B$32,0))))+1)),0)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IFERROR(1/IF(Inputs!$B$38="pvp",15,MAX(0.1,Skills!D18-IF(Skills!E18=TRUE,Inputs!$B$32,0))),0)</f>
        <v/>
      </c>
      <c r="R1349">
        <f>IF(AND(Inputs!$B$38&lt;&gt;"pvp",Inputs!$B$43&gt;0),IF(Inputs!$B$43&lt;=0,0,(INT(Inputs!$B$43/IF(Inputs!$B$38="pvp",15,MAX(0.1,Skills!D18-IF(Skills!E18=TRUE,Inputs!$B$32,0))))+1)),0)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f>(C1347=TRUE)*20*IF(AND(Inputs!$B$38&lt;&gt;"pvp",Inputs!$B$43&gt;0),(((R1347-1)*(Skills!T16*(1+Inputs!$B$34/100))+MIN((Skills!T16*(1+Inputs!$B$34/100)),MAX(0,Inputs!$B$43-((R1347-1)*Skills!D16))))/Inputs!$B$43),IF(Inputs!$B$38="pvp",MIN((Skills!T16*(1+Inputs!$B$34/100)),15)/15,(Skills!T16*(1+Inputs!$B$34/100))/Skills!D16))</f>
        <v/>
      </c>
    </row>
    <row r="1364">
      <c r="A1364" t="inlineStr">
        <is>
          <t>Attack Speed Buff Bonus %</t>
        </is>
      </c>
      <c r="B1364">
        <f>((C1349=TRUE)*F1349*IF(AND(Inputs!$B$38&lt;&gt;"pvp",Inputs!$B$43&gt;0),(((R1349-1)*(Skills!T18*(1+Inputs!$B$34/100))+MIN((Skills!T18*(1+Inputs!$B$34/100)),MAX(0,Inputs!$B$43-((R1349-1)*Skills!D18))))/Inputs!$B$43),IF(Inputs!$B$38="pvp",MIN((Skills!T18*(1+Inputs!$B$34/100)),15)/15,(Skills!T18*(1+Inputs!$B$34/100))/Skills!D18)))</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Skills!T16*(1+Inputs!$B$34/100))+MIN((Skills!T16*(1+Inputs!$B$34/100)),MAX(0,Inputs!$B$43-((R1347-1)*Skills!D16))))/Inputs!$B$43),IF(Inputs!$B$38="pvp",MIN((Skills!T16*(1+Inputs!$B$34/100)),15)/15,(Skills!T16*(1+Inputs!$B$34/100))/Skills!D16))</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IFERROR(1/IF(Inputs!$B$38="pvp",15,MAX(0.1,Skills!D5-IF(Skills!E5=TRUE,Inputs!$B$32,0))),0)</f>
        <v/>
      </c>
      <c r="R1381">
        <f>IF(AND(Inputs!$B$38&lt;&gt;"pvp",Inputs!$B$43&gt;0),IF(MAX(0,Inputs!$B$43-B1415)&lt;=0,0,(INT(MAX(0,Inputs!$B$43-B1415)/IF(Inputs!$B$38="pvp",15,MAX(0.1,Skills!D5-IF(Skills!E5=TRUE,Inputs!$B$32,0))))+1)),0)</f>
        <v/>
      </c>
      <c r="S1381">
        <f>IFERROR((H1381*N1381*IF(AND(Inputs!$B$38&lt;&gt;"pvp",Inputs!$B$43&gt;0),((Skills!G5*((R1381-1)*IF(Skills!H5&gt;0,Skills!I5/Skills!H5,1)+IF(Skills!H5&gt;0,MIN(Skills!I5,MAX(0,MAX(0,Inputs!$B$43-B1415)-((R1381-1)*IF(Inputs!$B$38="pvp",15,MAX(0.1,Skills!D5-IF(Skills!E5=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Skills!E5=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Skills!E5=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IFERROR(1/IF(Inputs!$B$38="pvp",15,MAX(0.1,Skills!D6-IF(Skills!E6=TRUE,Inputs!$B$32,0))),0)</f>
        <v/>
      </c>
      <c r="R1382">
        <f>IF(AND(Inputs!$B$38&lt;&gt;"pvp",Inputs!$B$43&gt;0),IF(MAX(0,Inputs!$B$43-B1415)&lt;=0,0,(INT(MAX(0,Inputs!$B$43-B1415)/IF(Inputs!$B$38="pvp",15,MAX(0.1,Skills!D6-IF(Skills!E6=TRUE,Inputs!$B$32,0))))+1)),0)</f>
        <v/>
      </c>
      <c r="S1382">
        <f>IFERROR((H1382*N1382*IF(AND(Inputs!$B$38&lt;&gt;"pvp",Inputs!$B$43&gt;0),((Skills!G6*((R1382-1)*IF(Skills!H6&gt;0,Skills!I6/Skills!H6,1)+IF(Skills!H6&gt;0,MIN(Skills!I6,MAX(0,MAX(0,Inputs!$B$43-B1415)-((R1382-1)*IF(Inputs!$B$38="pvp",15,MAX(0.1,Skills!D6-IF(Skills!E6=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Skills!E6=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Skills!E6=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IFERROR(1/IF(Inputs!$B$38="pvp",15,MAX(0.1,Skills!D7-IF(Skills!E7=TRUE,Inputs!$B$32,0))),0)</f>
        <v/>
      </c>
      <c r="R1383">
        <f>IF(AND(Inputs!$B$38&lt;&gt;"pvp",Inputs!$B$43&gt;0),IF(MAX(0,Inputs!$B$43-B1415)&lt;=0,0,(INT(MAX(0,Inputs!$B$43-B1415)/IF(Inputs!$B$38="pvp",15,MAX(0.1,Skills!D7-IF(Skills!E7=TRUE,Inputs!$B$32,0))))+1)),0)</f>
        <v/>
      </c>
      <c r="S1383">
        <f>IFERROR((H1383*N1383*IF(AND(Inputs!$B$38&lt;&gt;"pvp",Inputs!$B$43&gt;0),((Skills!G7*((R1383-1)*IF(Skills!H7&gt;0,Skills!I7/Skills!H7,1)+IF(Skills!H7&gt;0,MIN(Skills!I7,MAX(0,MAX(0,Inputs!$B$43-B1415)-((R1383-1)*IF(Inputs!$B$38="pvp",15,MAX(0.1,Skills!D7-IF(Skills!E7=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Skills!E7=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Skills!E7=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IFERROR(1/IF(Inputs!$B$38="pvp",15,MAX(0.1,Skills!D9-IF(Skills!E9=TRUE,Inputs!$B$32,0))),0)</f>
        <v/>
      </c>
      <c r="R1385">
        <f>IF(AND(Inputs!$B$38&lt;&gt;"pvp",Inputs!$B$43&gt;0),IF(MAX(0,Inputs!$B$43-B1415)&lt;=0,0,(INT(MAX(0,Inputs!$B$43-B1415)/IF(Inputs!$B$38="pvp",15,MAX(0.1,Skills!D9-IF(Skills!E9=TRUE,Inputs!$B$32,0))))+1)),0)</f>
        <v/>
      </c>
      <c r="S1385">
        <f>IFERROR((H1385*N1385*IF(AND(Inputs!$B$38&lt;&gt;"pvp",Inputs!$B$43&gt;0),((Skills!G9*((R1385-1)*IF(Skills!H9&gt;0,Skills!I9/Skills!H9,1)+IF(Skills!H9&gt;0,MIN(Skills!I9,MAX(0,MAX(0,Inputs!$B$43-B1415)-((R1385-1)*IF(Inputs!$B$38="pvp",15,MAX(0.1,Skills!D9-IF(Skills!E9=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Skills!E9=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Skills!E9=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IFERROR(1/IF(Inputs!$B$38="pvp",15,MAX(0.1,Skills!D11-IF(Skills!E11=TRUE,Inputs!$B$32,0))),0)</f>
        <v/>
      </c>
      <c r="R1387">
        <f>IF(AND(Inputs!$B$38&lt;&gt;"pvp",Inputs!$B$43&gt;0),IF(MAX(0,Inputs!$B$43-B1415)&lt;=0,0,(INT(MAX(0,Inputs!$B$43-B1415)/IF(Inputs!$B$38="pvp",15,MAX(0.1,Skills!D11-IF(Skills!E11=TRUE,Inputs!$B$32,0))))+1)),0)</f>
        <v/>
      </c>
      <c r="S1387">
        <f>IFERROR((H1387*N1387*IF(AND(Inputs!$B$38&lt;&gt;"pvp",Inputs!$B$43&gt;0),((Skills!G11*((R1387-1)*IF(Skills!H11&gt;0,Skills!I11/Skills!H11,1)+IF(Skills!H11&gt;0,MIN(Skills!I11,MAX(0,MAX(0,Inputs!$B$43-B1415)-((R1387-1)*IF(Inputs!$B$38="pvp",15,MAX(0.1,Skills!D11-IF(Skills!E11=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Skills!E11=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Skills!E11=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IFERROR(1/IF(Inputs!$B$38="pvp",15,MAX(0.1,Skills!D15-IF(Skills!E15=TRUE,Inputs!$B$32,0))),0)</f>
        <v/>
      </c>
      <c r="R1391">
        <f>IF(AND(Inputs!$B$38&lt;&gt;"pvp",Inputs!$B$43&gt;0),IF(Inputs!$B$43&lt;=0,0,(INT(Inputs!$B$43/IF(Inputs!$B$38="pvp",15,MAX(0.1,Skills!D15-IF(Skills!E15=TRUE,Inputs!$B$32,0))))+1)),0)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IFERROR(1/IF(Inputs!$B$38="pvp",15,MAX(0.1,Skills!D16-IF(Skills!E16=TRUE,Inputs!$B$32,0))),0)</f>
        <v/>
      </c>
      <c r="R1392">
        <f>IF(AND(Inputs!$B$38&lt;&gt;"pvp",Inputs!$B$43&gt;0),IF(Inputs!$B$43&lt;=0,0,(INT(Inputs!$B$43/IF(Inputs!$B$38="pvp",15,MAX(0.1,Skills!D16-IF(Skills!E16=TRUE,Inputs!$B$32,0))))+1)),0)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IFERROR(1/IF(Inputs!$B$38="pvp",15,MAX(0.1,Skills!D18-IF(Skills!E18=TRUE,Inputs!$B$32,0))),0)</f>
        <v/>
      </c>
      <c r="R1394">
        <f>IF(AND(Inputs!$B$38&lt;&gt;"pvp",Inputs!$B$43&gt;0),IF(Inputs!$B$43&lt;=0,0,(INT(Inputs!$B$43/IF(Inputs!$B$38="pvp",15,MAX(0.1,Skills!D18-IF(Skills!E18=TRUE,Inputs!$B$32,0))))+1)),0)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f>(C1392=TRUE)*20*IF(AND(Inputs!$B$38&lt;&gt;"pvp",Inputs!$B$43&gt;0),(((R1392-1)*(Skills!T16*(1+Inputs!$B$34/100))+MIN((Skills!T16*(1+Inputs!$B$34/100)),MAX(0,Inputs!$B$43-((R1392-1)*Skills!D16))))/Inputs!$B$43),IF(Inputs!$B$38="pvp",MIN((Skills!T16*(1+Inputs!$B$34/100)),15)/15,(Skills!T16*(1+Inputs!$B$34/100))/Skills!D16))</f>
        <v/>
      </c>
    </row>
    <row r="1409">
      <c r="A1409" t="inlineStr">
        <is>
          <t>Attack Speed Buff Bonus %</t>
        </is>
      </c>
      <c r="B1409">
        <f>((C1394=TRUE)*F1394*IF(AND(Inputs!$B$38&lt;&gt;"pvp",Inputs!$B$43&gt;0),(((R1394-1)*(Skills!T18*(1+Inputs!$B$34/100))+MIN((Skills!T18*(1+Inputs!$B$34/100)),MAX(0,Inputs!$B$43-((R1394-1)*Skills!D18))))/Inputs!$B$43),IF(Inputs!$B$38="pvp",MIN((Skills!T18*(1+Inputs!$B$34/100)),15)/15,(Skills!T18*(1+Inputs!$B$34/100))/Skills!D18)))</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Skills!T16*(1+Inputs!$B$34/100))+MIN((Skills!T16*(1+Inputs!$B$34/100)),MAX(0,Inputs!$B$43-((R1392-1)*Skills!D16))))/Inputs!$B$43),IF(Inputs!$B$38="pvp",MIN((Skills!T16*(1+Inputs!$B$34/100)),15)/15,(Skills!T16*(1+Inputs!$B$34/100))/Skills!D16))</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IFERROR(1/IF(Inputs!$B$38="pvp",15,MAX(0.1,Skills!D5-IF(Skills!E5=TRUE,Inputs!$B$32,0))),0)</f>
        <v/>
      </c>
      <c r="R1426">
        <f>IF(AND(Inputs!$B$38&lt;&gt;"pvp",Inputs!$B$43&gt;0),IF(MAX(0,Inputs!$B$43-B1460)&lt;=0,0,(INT(MAX(0,Inputs!$B$43-B1460)/IF(Inputs!$B$38="pvp",15,MAX(0.1,Skills!D5-IF(Skills!E5=TRUE,Inputs!$B$32,0))))+1)),0)</f>
        <v/>
      </c>
      <c r="S1426">
        <f>IFERROR((H1426*N1426*IF(AND(Inputs!$B$38&lt;&gt;"pvp",Inputs!$B$43&gt;0),((Skills!G5*((R1426-1)*IF(Skills!H5&gt;0,Skills!I5/Skills!H5,1)+IF(Skills!H5&gt;0,MIN(Skills!I5,MAX(0,MAX(0,Inputs!$B$43-B1460)-((R1426-1)*IF(Inputs!$B$38="pvp",15,MAX(0.1,Skills!D5-IF(Skills!E5=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Skills!E5=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Skills!E5=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IFERROR(1/IF(Inputs!$B$38="pvp",15,MAX(0.1,Skills!D6-IF(Skills!E6=TRUE,Inputs!$B$32,0))),0)</f>
        <v/>
      </c>
      <c r="R1427">
        <f>IF(AND(Inputs!$B$38&lt;&gt;"pvp",Inputs!$B$43&gt;0),IF(MAX(0,Inputs!$B$43-B1460)&lt;=0,0,(INT(MAX(0,Inputs!$B$43-B1460)/IF(Inputs!$B$38="pvp",15,MAX(0.1,Skills!D6-IF(Skills!E6=TRUE,Inputs!$B$32,0))))+1)),0)</f>
        <v/>
      </c>
      <c r="S1427">
        <f>IFERROR((H1427*N1427*IF(AND(Inputs!$B$38&lt;&gt;"pvp",Inputs!$B$43&gt;0),((Skills!G6*((R1427-1)*IF(Skills!H6&gt;0,Skills!I6/Skills!H6,1)+IF(Skills!H6&gt;0,MIN(Skills!I6,MAX(0,MAX(0,Inputs!$B$43-B1460)-((R1427-1)*IF(Inputs!$B$38="pvp",15,MAX(0.1,Skills!D6-IF(Skills!E6=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Skills!E6=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Skills!E6=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IFERROR(1/IF(Inputs!$B$38="pvp",15,MAX(0.1,Skills!D7-IF(Skills!E7=TRUE,Inputs!$B$32,0))),0)</f>
        <v/>
      </c>
      <c r="R1428">
        <f>IF(AND(Inputs!$B$38&lt;&gt;"pvp",Inputs!$B$43&gt;0),IF(MAX(0,Inputs!$B$43-B1460)&lt;=0,0,(INT(MAX(0,Inputs!$B$43-B1460)/IF(Inputs!$B$38="pvp",15,MAX(0.1,Skills!D7-IF(Skills!E7=TRUE,Inputs!$B$32,0))))+1)),0)</f>
        <v/>
      </c>
      <c r="S1428">
        <f>IFERROR((H1428*N1428*IF(AND(Inputs!$B$38&lt;&gt;"pvp",Inputs!$B$43&gt;0),((Skills!G7*((R1428-1)*IF(Skills!H7&gt;0,Skills!I7/Skills!H7,1)+IF(Skills!H7&gt;0,MIN(Skills!I7,MAX(0,MAX(0,Inputs!$B$43-B1460)-((R1428-1)*IF(Inputs!$B$38="pvp",15,MAX(0.1,Skills!D7-IF(Skills!E7=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Skills!E7=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Skills!E7=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IFERROR(1/IF(Inputs!$B$38="pvp",15,MAX(0.1,Skills!D9-IF(Skills!E9=TRUE,Inputs!$B$32,0))),0)</f>
        <v/>
      </c>
      <c r="R1430">
        <f>IF(AND(Inputs!$B$38&lt;&gt;"pvp",Inputs!$B$43&gt;0),IF(MAX(0,Inputs!$B$43-B1460)&lt;=0,0,(INT(MAX(0,Inputs!$B$43-B1460)/IF(Inputs!$B$38="pvp",15,MAX(0.1,Skills!D9-IF(Skills!E9=TRUE,Inputs!$B$32,0))))+1)),0)</f>
        <v/>
      </c>
      <c r="S1430">
        <f>IFERROR((H1430*N1430*IF(AND(Inputs!$B$38&lt;&gt;"pvp",Inputs!$B$43&gt;0),((Skills!G9*((R1430-1)*IF(Skills!H9&gt;0,Skills!I9/Skills!H9,1)+IF(Skills!H9&gt;0,MIN(Skills!I9,MAX(0,MAX(0,Inputs!$B$43-B1460)-((R1430-1)*IF(Inputs!$B$38="pvp",15,MAX(0.1,Skills!D9-IF(Skills!E9=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Skills!E9=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Skills!E9=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IFERROR(1/IF(Inputs!$B$38="pvp",15,MAX(0.1,Skills!D11-IF(Skills!E11=TRUE,Inputs!$B$32,0))),0)</f>
        <v/>
      </c>
      <c r="R1432">
        <f>IF(AND(Inputs!$B$38&lt;&gt;"pvp",Inputs!$B$43&gt;0),IF(MAX(0,Inputs!$B$43-B1460)&lt;=0,0,(INT(MAX(0,Inputs!$B$43-B1460)/IF(Inputs!$B$38="pvp",15,MAX(0.1,Skills!D11-IF(Skills!E11=TRUE,Inputs!$B$32,0))))+1)),0)</f>
        <v/>
      </c>
      <c r="S1432">
        <f>IFERROR((H1432*N1432*IF(AND(Inputs!$B$38&lt;&gt;"pvp",Inputs!$B$43&gt;0),((Skills!G11*((R1432-1)*IF(Skills!H11&gt;0,Skills!I11/Skills!H11,1)+IF(Skills!H11&gt;0,MIN(Skills!I11,MAX(0,MAX(0,Inputs!$B$43-B1460)-((R1432-1)*IF(Inputs!$B$38="pvp",15,MAX(0.1,Skills!D11-IF(Skills!E11=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Skills!E11=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Skills!E11=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IFERROR(1/IF(Inputs!$B$38="pvp",15,MAX(0.1,Skills!D15-IF(Skills!E15=TRUE,Inputs!$B$32,0))),0)</f>
        <v/>
      </c>
      <c r="R1436">
        <f>IF(AND(Inputs!$B$38&lt;&gt;"pvp",Inputs!$B$43&gt;0),IF(Inputs!$B$43&lt;=0,0,(INT(Inputs!$B$43/IF(Inputs!$B$38="pvp",15,MAX(0.1,Skills!D15-IF(Skills!E15=TRUE,Inputs!$B$32,0))))+1)),0)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IFERROR(1/IF(Inputs!$B$38="pvp",15,MAX(0.1,Skills!D16-IF(Skills!E16=TRUE,Inputs!$B$32,0))),0)</f>
        <v/>
      </c>
      <c r="R1437">
        <f>IF(AND(Inputs!$B$38&lt;&gt;"pvp",Inputs!$B$43&gt;0),IF(Inputs!$B$43&lt;=0,0,(INT(Inputs!$B$43/IF(Inputs!$B$38="pvp",15,MAX(0.1,Skills!D16-IF(Skills!E16=TRUE,Inputs!$B$32,0))))+1)),0)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IFERROR(1/IF(Inputs!$B$38="pvp",15,MAX(0.1,Skills!D18-IF(Skills!E18=TRUE,Inputs!$B$32,0))),0)</f>
        <v/>
      </c>
      <c r="R1439">
        <f>IF(AND(Inputs!$B$38&lt;&gt;"pvp",Inputs!$B$43&gt;0),IF(Inputs!$B$43&lt;=0,0,(INT(Inputs!$B$43/IF(Inputs!$B$38="pvp",15,MAX(0.1,Skills!D18-IF(Skills!E18=TRUE,Inputs!$B$32,0))))+1)),0)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f>(C1437=TRUE)*20*IF(AND(Inputs!$B$38&lt;&gt;"pvp",Inputs!$B$43&gt;0),(((R1437-1)*(Skills!T16*(1+Inputs!$B$34/100))+MIN((Skills!T16*(1+Inputs!$B$34/100)),MAX(0,Inputs!$B$43-((R1437-1)*Skills!D16))))/Inputs!$B$43),IF(Inputs!$B$38="pvp",MIN((Skills!T16*(1+Inputs!$B$34/100)),15)/15,(Skills!T16*(1+Inputs!$B$34/100))/Skills!D16))</f>
        <v/>
      </c>
    </row>
    <row r="1454">
      <c r="A1454" t="inlineStr">
        <is>
          <t>Attack Speed Buff Bonus %</t>
        </is>
      </c>
      <c r="B1454">
        <f>((C1439=TRUE)*F1439*IF(AND(Inputs!$B$38&lt;&gt;"pvp",Inputs!$B$43&gt;0),(((R1439-1)*(Skills!T18*(1+Inputs!$B$34/100))+MIN((Skills!T18*(1+Inputs!$B$34/100)),MAX(0,Inputs!$B$43-((R1439-1)*Skills!D18))))/Inputs!$B$43),IF(Inputs!$B$38="pvp",MIN((Skills!T18*(1+Inputs!$B$34/100)),15)/15,(Skills!T18*(1+Inputs!$B$34/100))/Skills!D18)))</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Skills!T16*(1+Inputs!$B$34/100))+MIN((Skills!T16*(1+Inputs!$B$34/100)),MAX(0,Inputs!$B$43-((R1437-1)*Skills!D16))))/Inputs!$B$43),IF(Inputs!$B$38="pvp",MIN((Skills!T16*(1+Inputs!$B$34/100)),15)/15,(Skills!T16*(1+Inputs!$B$34/100))/Skills!D16))</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IFERROR(1/IF(Inputs!$B$38="pvp",15,MAX(0.1,Skills!D5-IF(Skills!E5=TRUE,Inputs!$B$32,0))),0)</f>
        <v/>
      </c>
      <c r="R1471">
        <f>IF(AND(Inputs!$B$38&lt;&gt;"pvp",Inputs!$B$43&gt;0),IF(MAX(0,Inputs!$B$43-B1505)&lt;=0,0,(INT(MAX(0,Inputs!$B$43-B1505)/IF(Inputs!$B$38="pvp",15,MAX(0.1,Skills!D5-IF(Skills!E5=TRUE,Inputs!$B$32,0))))+1)),0)</f>
        <v/>
      </c>
      <c r="S1471">
        <f>IFERROR((H1471*N1471*IF(AND(Inputs!$B$38&lt;&gt;"pvp",Inputs!$B$43&gt;0),((Skills!G5*((R1471-1)*IF(Skills!H5&gt;0,Skills!I5/Skills!H5,1)+IF(Skills!H5&gt;0,MIN(Skills!I5,MAX(0,MAX(0,Inputs!$B$43-B1505)-((R1471-1)*IF(Inputs!$B$38="pvp",15,MAX(0.1,Skills!D5-IF(Skills!E5=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Skills!E5=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Skills!E5=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IFERROR(1/IF(Inputs!$B$38="pvp",15,MAX(0.1,Skills!D6-IF(Skills!E6=TRUE,Inputs!$B$32,0))),0)</f>
        <v/>
      </c>
      <c r="R1472">
        <f>IF(AND(Inputs!$B$38&lt;&gt;"pvp",Inputs!$B$43&gt;0),IF(MAX(0,Inputs!$B$43-B1505)&lt;=0,0,(INT(MAX(0,Inputs!$B$43-B1505)/IF(Inputs!$B$38="pvp",15,MAX(0.1,Skills!D6-IF(Skills!E6=TRUE,Inputs!$B$32,0))))+1)),0)</f>
        <v/>
      </c>
      <c r="S1472">
        <f>IFERROR((H1472*N1472*IF(AND(Inputs!$B$38&lt;&gt;"pvp",Inputs!$B$43&gt;0),((Skills!G6*((R1472-1)*IF(Skills!H6&gt;0,Skills!I6/Skills!H6,1)+IF(Skills!H6&gt;0,MIN(Skills!I6,MAX(0,MAX(0,Inputs!$B$43-B1505)-((R1472-1)*IF(Inputs!$B$38="pvp",15,MAX(0.1,Skills!D6-IF(Skills!E6=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Skills!E6=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Skills!E6=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IFERROR(1/IF(Inputs!$B$38="pvp",15,MAX(0.1,Skills!D7-IF(Skills!E7=TRUE,Inputs!$B$32,0))),0)</f>
        <v/>
      </c>
      <c r="R1473">
        <f>IF(AND(Inputs!$B$38&lt;&gt;"pvp",Inputs!$B$43&gt;0),IF(MAX(0,Inputs!$B$43-B1505)&lt;=0,0,(INT(MAX(0,Inputs!$B$43-B1505)/IF(Inputs!$B$38="pvp",15,MAX(0.1,Skills!D7-IF(Skills!E7=TRUE,Inputs!$B$32,0))))+1)),0)</f>
        <v/>
      </c>
      <c r="S1473">
        <f>IFERROR((H1473*N1473*IF(AND(Inputs!$B$38&lt;&gt;"pvp",Inputs!$B$43&gt;0),((Skills!G7*((R1473-1)*IF(Skills!H7&gt;0,Skills!I7/Skills!H7,1)+IF(Skills!H7&gt;0,MIN(Skills!I7,MAX(0,MAX(0,Inputs!$B$43-B1505)-((R1473-1)*IF(Inputs!$B$38="pvp",15,MAX(0.1,Skills!D7-IF(Skills!E7=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Skills!E7=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Skills!E7=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IFERROR(1/IF(Inputs!$B$38="pvp",15,MAX(0.1,Skills!D9-IF(Skills!E9=TRUE,Inputs!$B$32,0))),0)</f>
        <v/>
      </c>
      <c r="R1475">
        <f>IF(AND(Inputs!$B$38&lt;&gt;"pvp",Inputs!$B$43&gt;0),IF(MAX(0,Inputs!$B$43-B1505)&lt;=0,0,(INT(MAX(0,Inputs!$B$43-B1505)/IF(Inputs!$B$38="pvp",15,MAX(0.1,Skills!D9-IF(Skills!E9=TRUE,Inputs!$B$32,0))))+1)),0)</f>
        <v/>
      </c>
      <c r="S1475">
        <f>IFERROR((H1475*N1475*IF(AND(Inputs!$B$38&lt;&gt;"pvp",Inputs!$B$43&gt;0),((Skills!G9*((R1475-1)*IF(Skills!H9&gt;0,Skills!I9/Skills!H9,1)+IF(Skills!H9&gt;0,MIN(Skills!I9,MAX(0,MAX(0,Inputs!$B$43-B1505)-((R1475-1)*IF(Inputs!$B$38="pvp",15,MAX(0.1,Skills!D9-IF(Skills!E9=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Skills!E9=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Skills!E9=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IFERROR(1/IF(Inputs!$B$38="pvp",15,MAX(0.1,Skills!D11-IF(Skills!E11=TRUE,Inputs!$B$32,0))),0)</f>
        <v/>
      </c>
      <c r="R1477">
        <f>IF(AND(Inputs!$B$38&lt;&gt;"pvp",Inputs!$B$43&gt;0),IF(MAX(0,Inputs!$B$43-B1505)&lt;=0,0,(INT(MAX(0,Inputs!$B$43-B1505)/IF(Inputs!$B$38="pvp",15,MAX(0.1,Skills!D11-IF(Skills!E11=TRUE,Inputs!$B$32,0))))+1)),0)</f>
        <v/>
      </c>
      <c r="S1477">
        <f>IFERROR((H1477*N1477*IF(AND(Inputs!$B$38&lt;&gt;"pvp",Inputs!$B$43&gt;0),((Skills!G11*((R1477-1)*IF(Skills!H11&gt;0,Skills!I11/Skills!H11,1)+IF(Skills!H11&gt;0,MIN(Skills!I11,MAX(0,MAX(0,Inputs!$B$43-B1505)-((R1477-1)*IF(Inputs!$B$38="pvp",15,MAX(0.1,Skills!D11-IF(Skills!E11=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Skills!E11=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Skills!E11=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IFERROR(1/IF(Inputs!$B$38="pvp",15,MAX(0.1,Skills!D15-IF(Skills!E15=TRUE,Inputs!$B$32,0))),0)</f>
        <v/>
      </c>
      <c r="R1481">
        <f>IF(AND(Inputs!$B$38&lt;&gt;"pvp",Inputs!$B$43&gt;0),IF(Inputs!$B$43&lt;=0,0,(INT(Inputs!$B$43/IF(Inputs!$B$38="pvp",15,MAX(0.1,Skills!D15-IF(Skills!E15=TRUE,Inputs!$B$32,0))))+1)),0)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IFERROR(1/IF(Inputs!$B$38="pvp",15,MAX(0.1,Skills!D16-IF(Skills!E16=TRUE,Inputs!$B$32,0))),0)</f>
        <v/>
      </c>
      <c r="R1482">
        <f>IF(AND(Inputs!$B$38&lt;&gt;"pvp",Inputs!$B$43&gt;0),IF(Inputs!$B$43&lt;=0,0,(INT(Inputs!$B$43/IF(Inputs!$B$38="pvp",15,MAX(0.1,Skills!D16-IF(Skills!E16=TRUE,Inputs!$B$32,0))))+1)),0)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IFERROR(1/IF(Inputs!$B$38="pvp",15,MAX(0.1,Skills!D18-IF(Skills!E18=TRUE,Inputs!$B$32,0))),0)</f>
        <v/>
      </c>
      <c r="R1484">
        <f>IF(AND(Inputs!$B$38&lt;&gt;"pvp",Inputs!$B$43&gt;0),IF(Inputs!$B$43&lt;=0,0,(INT(Inputs!$B$43/IF(Inputs!$B$38="pvp",15,MAX(0.1,Skills!D18-IF(Skills!E18=TRUE,Inputs!$B$32,0))))+1)),0)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f>(C1482=TRUE)*20*IF(AND(Inputs!$B$38&lt;&gt;"pvp",Inputs!$B$43&gt;0),(((R1482-1)*(Skills!T16*(1+Inputs!$B$34/100))+MIN((Skills!T16*(1+Inputs!$B$34/100)),MAX(0,Inputs!$B$43-((R1482-1)*Skills!D16))))/Inputs!$B$43),IF(Inputs!$B$38="pvp",MIN((Skills!T16*(1+Inputs!$B$34/100)),15)/15,(Skills!T16*(1+Inputs!$B$34/100))/Skills!D16))</f>
        <v/>
      </c>
    </row>
    <row r="1499">
      <c r="A1499" t="inlineStr">
        <is>
          <t>Attack Speed Buff Bonus %</t>
        </is>
      </c>
      <c r="B1499">
        <f>((C1484=TRUE)*F1484*IF(AND(Inputs!$B$38&lt;&gt;"pvp",Inputs!$B$43&gt;0),(((R1484-1)*(Skills!T18*(1+Inputs!$B$34/100))+MIN((Skills!T18*(1+Inputs!$B$34/100)),MAX(0,Inputs!$B$43-((R1484-1)*Skills!D18))))/Inputs!$B$43),IF(Inputs!$B$38="pvp",MIN((Skills!T18*(1+Inputs!$B$34/100)),15)/15,(Skills!T18*(1+Inputs!$B$34/100))/Skills!D18)))</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Skills!T16*(1+Inputs!$B$34/100))+MIN((Skills!T16*(1+Inputs!$B$34/100)),MAX(0,Inputs!$B$43-((R1482-1)*Skills!D16))))/Inputs!$B$43),IF(Inputs!$B$38="pvp",MIN((Skills!T16*(1+Inputs!$B$34/100)),15)/15,(Skills!T16*(1+Inputs!$B$34/100))/Skills!D16))</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IFERROR(1/IF(Inputs!$B$38="pvp",15,MAX(0.1,Skills!D5-IF(Skills!E5=TRUE,Inputs!$B$32,0))),0)</f>
        <v/>
      </c>
      <c r="R1516">
        <f>IF(AND(Inputs!$B$38&lt;&gt;"pvp",Inputs!$B$43&gt;0),IF(MAX(0,Inputs!$B$43-B1550)&lt;=0,0,(INT(MAX(0,Inputs!$B$43-B1550)/IF(Inputs!$B$38="pvp",15,MAX(0.1,Skills!D5-IF(Skills!E5=TRUE,Inputs!$B$32,0))))+1)),0)</f>
        <v/>
      </c>
      <c r="S1516">
        <f>IFERROR((H1516*N1516*IF(AND(Inputs!$B$38&lt;&gt;"pvp",Inputs!$B$43&gt;0),((Skills!G5*((R1516-1)*IF(Skills!H5&gt;0,Skills!I5/Skills!H5,1)+IF(Skills!H5&gt;0,MIN(Skills!I5,MAX(0,MAX(0,Inputs!$B$43-B1550)-((R1516-1)*IF(Inputs!$B$38="pvp",15,MAX(0.1,Skills!D5-IF(Skills!E5=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Skills!E5=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Skills!E5=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IFERROR(1/IF(Inputs!$B$38="pvp",15,MAX(0.1,Skills!D6-IF(Skills!E6=TRUE,Inputs!$B$32,0))),0)</f>
        <v/>
      </c>
      <c r="R1517">
        <f>IF(AND(Inputs!$B$38&lt;&gt;"pvp",Inputs!$B$43&gt;0),IF(MAX(0,Inputs!$B$43-B1550)&lt;=0,0,(INT(MAX(0,Inputs!$B$43-B1550)/IF(Inputs!$B$38="pvp",15,MAX(0.1,Skills!D6-IF(Skills!E6=TRUE,Inputs!$B$32,0))))+1)),0)</f>
        <v/>
      </c>
      <c r="S1517">
        <f>IFERROR((H1517*N1517*IF(AND(Inputs!$B$38&lt;&gt;"pvp",Inputs!$B$43&gt;0),((Skills!G6*((R1517-1)*IF(Skills!H6&gt;0,Skills!I6/Skills!H6,1)+IF(Skills!H6&gt;0,MIN(Skills!I6,MAX(0,MAX(0,Inputs!$B$43-B1550)-((R1517-1)*IF(Inputs!$B$38="pvp",15,MAX(0.1,Skills!D6-IF(Skills!E6=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Skills!E6=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Skills!E6=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IFERROR(1/IF(Inputs!$B$38="pvp",15,MAX(0.1,Skills!D7-IF(Skills!E7=TRUE,Inputs!$B$32,0))),0)</f>
        <v/>
      </c>
      <c r="R1518">
        <f>IF(AND(Inputs!$B$38&lt;&gt;"pvp",Inputs!$B$43&gt;0),IF(MAX(0,Inputs!$B$43-B1550)&lt;=0,0,(INT(MAX(0,Inputs!$B$43-B1550)/IF(Inputs!$B$38="pvp",15,MAX(0.1,Skills!D7-IF(Skills!E7=TRUE,Inputs!$B$32,0))))+1)),0)</f>
        <v/>
      </c>
      <c r="S1518">
        <f>IFERROR((H1518*N1518*IF(AND(Inputs!$B$38&lt;&gt;"pvp",Inputs!$B$43&gt;0),((Skills!G7*((R1518-1)*IF(Skills!H7&gt;0,Skills!I7/Skills!H7,1)+IF(Skills!H7&gt;0,MIN(Skills!I7,MAX(0,MAX(0,Inputs!$B$43-B1550)-((R1518-1)*IF(Inputs!$B$38="pvp",15,MAX(0.1,Skills!D7-IF(Skills!E7=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Skills!E7=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Skills!E7=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IFERROR(1/IF(Inputs!$B$38="pvp",15,MAX(0.1,Skills!D9-IF(Skills!E9=TRUE,Inputs!$B$32,0))),0)</f>
        <v/>
      </c>
      <c r="R1520">
        <f>IF(AND(Inputs!$B$38&lt;&gt;"pvp",Inputs!$B$43&gt;0),IF(MAX(0,Inputs!$B$43-B1550)&lt;=0,0,(INT(MAX(0,Inputs!$B$43-B1550)/IF(Inputs!$B$38="pvp",15,MAX(0.1,Skills!D9-IF(Skills!E9=TRUE,Inputs!$B$32,0))))+1)),0)</f>
        <v/>
      </c>
      <c r="S1520">
        <f>IFERROR((H1520*N1520*IF(AND(Inputs!$B$38&lt;&gt;"pvp",Inputs!$B$43&gt;0),((Skills!G9*((R1520-1)*IF(Skills!H9&gt;0,Skills!I9/Skills!H9,1)+IF(Skills!H9&gt;0,MIN(Skills!I9,MAX(0,MAX(0,Inputs!$B$43-B1550)-((R1520-1)*IF(Inputs!$B$38="pvp",15,MAX(0.1,Skills!D9-IF(Skills!E9=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Skills!E9=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Skills!E9=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IFERROR(1/IF(Inputs!$B$38="pvp",15,MAX(0.1,Skills!D11-IF(Skills!E11=TRUE,Inputs!$B$32,0))),0)</f>
        <v/>
      </c>
      <c r="R1522">
        <f>IF(AND(Inputs!$B$38&lt;&gt;"pvp",Inputs!$B$43&gt;0),IF(MAX(0,Inputs!$B$43-B1550)&lt;=0,0,(INT(MAX(0,Inputs!$B$43-B1550)/IF(Inputs!$B$38="pvp",15,MAX(0.1,Skills!D11-IF(Skills!E11=TRUE,Inputs!$B$32,0))))+1)),0)</f>
        <v/>
      </c>
      <c r="S1522">
        <f>IFERROR((H1522*N1522*IF(AND(Inputs!$B$38&lt;&gt;"pvp",Inputs!$B$43&gt;0),((Skills!G11*((R1522-1)*IF(Skills!H11&gt;0,Skills!I11/Skills!H11,1)+IF(Skills!H11&gt;0,MIN(Skills!I11,MAX(0,MAX(0,Inputs!$B$43-B1550)-((R1522-1)*IF(Inputs!$B$38="pvp",15,MAX(0.1,Skills!D11-IF(Skills!E11=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Skills!E11=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Skills!E11=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IFERROR(1/IF(Inputs!$B$38="pvp",15,MAX(0.1,Skills!D15-IF(Skills!E15=TRUE,Inputs!$B$32,0))),0)</f>
        <v/>
      </c>
      <c r="R1526">
        <f>IF(AND(Inputs!$B$38&lt;&gt;"pvp",Inputs!$B$43&gt;0),IF(Inputs!$B$43&lt;=0,0,(INT(Inputs!$B$43/IF(Inputs!$B$38="pvp",15,MAX(0.1,Skills!D15-IF(Skills!E15=TRUE,Inputs!$B$32,0))))+1)),0)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IFERROR(1/IF(Inputs!$B$38="pvp",15,MAX(0.1,Skills!D16-IF(Skills!E16=TRUE,Inputs!$B$32,0))),0)</f>
        <v/>
      </c>
      <c r="R1527">
        <f>IF(AND(Inputs!$B$38&lt;&gt;"pvp",Inputs!$B$43&gt;0),IF(Inputs!$B$43&lt;=0,0,(INT(Inputs!$B$43/IF(Inputs!$B$38="pvp",15,MAX(0.1,Skills!D16-IF(Skills!E16=TRUE,Inputs!$B$32,0))))+1)),0)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IFERROR(1/IF(Inputs!$B$38="pvp",15,MAX(0.1,Skills!D18-IF(Skills!E18=TRUE,Inputs!$B$32,0))),0)</f>
        <v/>
      </c>
      <c r="R1529">
        <f>IF(AND(Inputs!$B$38&lt;&gt;"pvp",Inputs!$B$43&gt;0),IF(Inputs!$B$43&lt;=0,0,(INT(Inputs!$B$43/IF(Inputs!$B$38="pvp",15,MAX(0.1,Skills!D18-IF(Skills!E18=TRUE,Inputs!$B$32,0))))+1)),0)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f>(C1527=TRUE)*20*IF(AND(Inputs!$B$38&lt;&gt;"pvp",Inputs!$B$43&gt;0),(((R1527-1)*(Skills!T16*(1+Inputs!$B$34/100))+MIN((Skills!T16*(1+Inputs!$B$34/100)),MAX(0,Inputs!$B$43-((R1527-1)*Skills!D16))))/Inputs!$B$43),IF(Inputs!$B$38="pvp",MIN((Skills!T16*(1+Inputs!$B$34/100)),15)/15,(Skills!T16*(1+Inputs!$B$34/100))/Skills!D16))</f>
        <v/>
      </c>
    </row>
    <row r="1544">
      <c r="A1544" t="inlineStr">
        <is>
          <t>Attack Speed Buff Bonus %</t>
        </is>
      </c>
      <c r="B1544">
        <f>((C1529=TRUE)*F1529*IF(AND(Inputs!$B$38&lt;&gt;"pvp",Inputs!$B$43&gt;0),(((R1529-1)*(Skills!T18*(1+Inputs!$B$34/100))+MIN((Skills!T18*(1+Inputs!$B$34/100)),MAX(0,Inputs!$B$43-((R1529-1)*Skills!D18))))/Inputs!$B$43),IF(Inputs!$B$38="pvp",MIN((Skills!T18*(1+Inputs!$B$34/100)),15)/15,(Skills!T18*(1+Inputs!$B$34/100))/Skills!D18)))</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Skills!T16*(1+Inputs!$B$34/100))+MIN((Skills!T16*(1+Inputs!$B$34/100)),MAX(0,Inputs!$B$43-((R1527-1)*Skills!D16))))/Inputs!$B$43),IF(Inputs!$B$38="pvp",MIN((Skills!T16*(1+Inputs!$B$34/100)),15)/15,(Skills!T16*(1+Inputs!$B$34/100))/Skills!D16))</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IFERROR(1/IF(Inputs!$B$38="pvp",15,MAX(0.1,Skills!D5-IF(Skills!E5=TRUE,Inputs!$B$32,0))),0)</f>
        <v/>
      </c>
      <c r="R1561">
        <f>IF(AND(Inputs!$B$38&lt;&gt;"pvp",Inputs!$B$43&gt;0),IF(MAX(0,Inputs!$B$43-B1595)&lt;=0,0,(INT(MAX(0,Inputs!$B$43-B1595)/IF(Inputs!$B$38="pvp",15,MAX(0.1,Skills!D5-IF(Skills!E5=TRUE,Inputs!$B$32,0))))+1)),0)</f>
        <v/>
      </c>
      <c r="S1561">
        <f>IFERROR((H1561*N1561*IF(AND(Inputs!$B$38&lt;&gt;"pvp",Inputs!$B$43&gt;0),((Skills!G5*((R1561-1)*IF(Skills!H5&gt;0,Skills!I5/Skills!H5,1)+IF(Skills!H5&gt;0,MIN(Skills!I5,MAX(0,MAX(0,Inputs!$B$43-B1595)-((R1561-1)*IF(Inputs!$B$38="pvp",15,MAX(0.1,Skills!D5-IF(Skills!E5=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Skills!E5=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Skills!E5=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IFERROR(1/IF(Inputs!$B$38="pvp",15,MAX(0.1,Skills!D6-IF(Skills!E6=TRUE,Inputs!$B$32,0))),0)</f>
        <v/>
      </c>
      <c r="R1562">
        <f>IF(AND(Inputs!$B$38&lt;&gt;"pvp",Inputs!$B$43&gt;0),IF(MAX(0,Inputs!$B$43-B1595)&lt;=0,0,(INT(MAX(0,Inputs!$B$43-B1595)/IF(Inputs!$B$38="pvp",15,MAX(0.1,Skills!D6-IF(Skills!E6=TRUE,Inputs!$B$32,0))))+1)),0)</f>
        <v/>
      </c>
      <c r="S1562">
        <f>IFERROR((H1562*N1562*IF(AND(Inputs!$B$38&lt;&gt;"pvp",Inputs!$B$43&gt;0),((Skills!G6*((R1562-1)*IF(Skills!H6&gt;0,Skills!I6/Skills!H6,1)+IF(Skills!H6&gt;0,MIN(Skills!I6,MAX(0,MAX(0,Inputs!$B$43-B1595)-((R1562-1)*IF(Inputs!$B$38="pvp",15,MAX(0.1,Skills!D6-IF(Skills!E6=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Skills!E6=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Skills!E6=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IFERROR(1/IF(Inputs!$B$38="pvp",15,MAX(0.1,Skills!D7-IF(Skills!E7=TRUE,Inputs!$B$32,0))),0)</f>
        <v/>
      </c>
      <c r="R1563">
        <f>IF(AND(Inputs!$B$38&lt;&gt;"pvp",Inputs!$B$43&gt;0),IF(MAX(0,Inputs!$B$43-B1595)&lt;=0,0,(INT(MAX(0,Inputs!$B$43-B1595)/IF(Inputs!$B$38="pvp",15,MAX(0.1,Skills!D7-IF(Skills!E7=TRUE,Inputs!$B$32,0))))+1)),0)</f>
        <v/>
      </c>
      <c r="S1563">
        <f>IFERROR((H1563*N1563*IF(AND(Inputs!$B$38&lt;&gt;"pvp",Inputs!$B$43&gt;0),((Skills!G7*((R1563-1)*IF(Skills!H7&gt;0,Skills!I7/Skills!H7,1)+IF(Skills!H7&gt;0,MIN(Skills!I7,MAX(0,MAX(0,Inputs!$B$43-B1595)-((R1563-1)*IF(Inputs!$B$38="pvp",15,MAX(0.1,Skills!D7-IF(Skills!E7=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Skills!E7=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Skills!E7=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IFERROR(1/IF(Inputs!$B$38="pvp",15,MAX(0.1,Skills!D9-IF(Skills!E9=TRUE,Inputs!$B$32,0))),0)</f>
        <v/>
      </c>
      <c r="R1565">
        <f>IF(AND(Inputs!$B$38&lt;&gt;"pvp",Inputs!$B$43&gt;0),IF(MAX(0,Inputs!$B$43-B1595)&lt;=0,0,(INT(MAX(0,Inputs!$B$43-B1595)/IF(Inputs!$B$38="pvp",15,MAX(0.1,Skills!D9-IF(Skills!E9=TRUE,Inputs!$B$32,0))))+1)),0)</f>
        <v/>
      </c>
      <c r="S1565">
        <f>IFERROR((H1565*N1565*IF(AND(Inputs!$B$38&lt;&gt;"pvp",Inputs!$B$43&gt;0),((Skills!G9*((R1565-1)*IF(Skills!H9&gt;0,Skills!I9/Skills!H9,1)+IF(Skills!H9&gt;0,MIN(Skills!I9,MAX(0,MAX(0,Inputs!$B$43-B1595)-((R1565-1)*IF(Inputs!$B$38="pvp",15,MAX(0.1,Skills!D9-IF(Skills!E9=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Skills!E9=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Skills!E9=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IFERROR(1/IF(Inputs!$B$38="pvp",15,MAX(0.1,Skills!D11-IF(Skills!E11=TRUE,Inputs!$B$32,0))),0)</f>
        <v/>
      </c>
      <c r="R1567">
        <f>IF(AND(Inputs!$B$38&lt;&gt;"pvp",Inputs!$B$43&gt;0),IF(MAX(0,Inputs!$B$43-B1595)&lt;=0,0,(INT(MAX(0,Inputs!$B$43-B1595)/IF(Inputs!$B$38="pvp",15,MAX(0.1,Skills!D11-IF(Skills!E11=TRUE,Inputs!$B$32,0))))+1)),0)</f>
        <v/>
      </c>
      <c r="S1567">
        <f>IFERROR((H1567*N1567*IF(AND(Inputs!$B$38&lt;&gt;"pvp",Inputs!$B$43&gt;0),((Skills!G11*((R1567-1)*IF(Skills!H11&gt;0,Skills!I11/Skills!H11,1)+IF(Skills!H11&gt;0,MIN(Skills!I11,MAX(0,MAX(0,Inputs!$B$43-B1595)-((R1567-1)*IF(Inputs!$B$38="pvp",15,MAX(0.1,Skills!D11-IF(Skills!E11=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Skills!E11=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Skills!E11=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IFERROR(1/IF(Inputs!$B$38="pvp",15,MAX(0.1,Skills!D15-IF(Skills!E15=TRUE,Inputs!$B$32,0))),0)</f>
        <v/>
      </c>
      <c r="R1571">
        <f>IF(AND(Inputs!$B$38&lt;&gt;"pvp",Inputs!$B$43&gt;0),IF(Inputs!$B$43&lt;=0,0,(INT(Inputs!$B$43/IF(Inputs!$B$38="pvp",15,MAX(0.1,Skills!D15-IF(Skills!E15=TRUE,Inputs!$B$32,0))))+1)),0)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IFERROR(1/IF(Inputs!$B$38="pvp",15,MAX(0.1,Skills!D16-IF(Skills!E16=TRUE,Inputs!$B$32,0))),0)</f>
        <v/>
      </c>
      <c r="R1572">
        <f>IF(AND(Inputs!$B$38&lt;&gt;"pvp",Inputs!$B$43&gt;0),IF(Inputs!$B$43&lt;=0,0,(INT(Inputs!$B$43/IF(Inputs!$B$38="pvp",15,MAX(0.1,Skills!D16-IF(Skills!E16=TRUE,Inputs!$B$32,0))))+1)),0)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IFERROR(1/IF(Inputs!$B$38="pvp",15,MAX(0.1,Skills!D18-IF(Skills!E18=TRUE,Inputs!$B$32,0))),0)</f>
        <v/>
      </c>
      <c r="R1574">
        <f>IF(AND(Inputs!$B$38&lt;&gt;"pvp",Inputs!$B$43&gt;0),IF(Inputs!$B$43&lt;=0,0,(INT(Inputs!$B$43/IF(Inputs!$B$38="pvp",15,MAX(0.1,Skills!D18-IF(Skills!E18=TRUE,Inputs!$B$32,0))))+1)),0)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f>(C1572=TRUE)*20*IF(AND(Inputs!$B$38&lt;&gt;"pvp",Inputs!$B$43&gt;0),(((R1572-1)*(Skills!T16*(1+Inputs!$B$34/100))+MIN((Skills!T16*(1+Inputs!$B$34/100)),MAX(0,Inputs!$B$43-((R1572-1)*Skills!D16))))/Inputs!$B$43),IF(Inputs!$B$38="pvp",MIN((Skills!T16*(1+Inputs!$B$34/100)),15)/15,(Skills!T16*(1+Inputs!$B$34/100))/Skills!D16))</f>
        <v/>
      </c>
    </row>
    <row r="1589">
      <c r="A1589" t="inlineStr">
        <is>
          <t>Attack Speed Buff Bonus %</t>
        </is>
      </c>
      <c r="B1589">
        <f>((C1574=TRUE)*F1574*IF(AND(Inputs!$B$38&lt;&gt;"pvp",Inputs!$B$43&gt;0),(((R1574-1)*(Skills!T18*(1+Inputs!$B$34/100))+MIN((Skills!T18*(1+Inputs!$B$34/100)),MAX(0,Inputs!$B$43-((R1574-1)*Skills!D18))))/Inputs!$B$43),IF(Inputs!$B$38="pvp",MIN((Skills!T18*(1+Inputs!$B$34/100)),15)/15,(Skills!T18*(1+Inputs!$B$34/100))/Skills!D18)))</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Skills!T16*(1+Inputs!$B$34/100))+MIN((Skills!T16*(1+Inputs!$B$34/100)),MAX(0,Inputs!$B$43-((R1572-1)*Skills!D16))))/Inputs!$B$43),IF(Inputs!$B$38="pvp",MIN((Skills!T16*(1+Inputs!$B$34/100)),15)/15,(Skills!T16*(1+Inputs!$B$34/100))/Skills!D16))</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IFERROR(1/IF(Inputs!$B$38="pvp",15,MAX(0.1,Skills!D5-IF(Skills!E5=TRUE,Inputs!$B$32,0))),0)</f>
        <v/>
      </c>
      <c r="R1606">
        <f>IF(AND(Inputs!$B$38&lt;&gt;"pvp",Inputs!$B$43&gt;0),IF(MAX(0,Inputs!$B$43-B1640)&lt;=0,0,(INT(MAX(0,Inputs!$B$43-B1640)/IF(Inputs!$B$38="pvp",15,MAX(0.1,Skills!D5-IF(Skills!E5=TRUE,Inputs!$B$32,0))))+1)),0)</f>
        <v/>
      </c>
      <c r="S1606">
        <f>IFERROR((H1606*N1606*IF(AND(Inputs!$B$38&lt;&gt;"pvp",Inputs!$B$43&gt;0),((Skills!G5*((R1606-1)*IF(Skills!H5&gt;0,Skills!I5/Skills!H5,1)+IF(Skills!H5&gt;0,MIN(Skills!I5,MAX(0,MAX(0,Inputs!$B$43-B1640)-((R1606-1)*IF(Inputs!$B$38="pvp",15,MAX(0.1,Skills!D5-IF(Skills!E5=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Skills!E5=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Skills!E5=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IFERROR(1/IF(Inputs!$B$38="pvp",15,MAX(0.1,Skills!D6-IF(Skills!E6=TRUE,Inputs!$B$32,0))),0)</f>
        <v/>
      </c>
      <c r="R1607">
        <f>IF(AND(Inputs!$B$38&lt;&gt;"pvp",Inputs!$B$43&gt;0),IF(MAX(0,Inputs!$B$43-B1640)&lt;=0,0,(INT(MAX(0,Inputs!$B$43-B1640)/IF(Inputs!$B$38="pvp",15,MAX(0.1,Skills!D6-IF(Skills!E6=TRUE,Inputs!$B$32,0))))+1)),0)</f>
        <v/>
      </c>
      <c r="S1607">
        <f>IFERROR((H1607*N1607*IF(AND(Inputs!$B$38&lt;&gt;"pvp",Inputs!$B$43&gt;0),((Skills!G6*((R1607-1)*IF(Skills!H6&gt;0,Skills!I6/Skills!H6,1)+IF(Skills!H6&gt;0,MIN(Skills!I6,MAX(0,MAX(0,Inputs!$B$43-B1640)-((R1607-1)*IF(Inputs!$B$38="pvp",15,MAX(0.1,Skills!D6-IF(Skills!E6=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Skills!E6=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Skills!E6=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IFERROR(1/IF(Inputs!$B$38="pvp",15,MAX(0.1,Skills!D7-IF(Skills!E7=TRUE,Inputs!$B$32,0))),0)</f>
        <v/>
      </c>
      <c r="R1608">
        <f>IF(AND(Inputs!$B$38&lt;&gt;"pvp",Inputs!$B$43&gt;0),IF(MAX(0,Inputs!$B$43-B1640)&lt;=0,0,(INT(MAX(0,Inputs!$B$43-B1640)/IF(Inputs!$B$38="pvp",15,MAX(0.1,Skills!D7-IF(Skills!E7=TRUE,Inputs!$B$32,0))))+1)),0)</f>
        <v/>
      </c>
      <c r="S1608">
        <f>IFERROR((H1608*N1608*IF(AND(Inputs!$B$38&lt;&gt;"pvp",Inputs!$B$43&gt;0),((Skills!G7*((R1608-1)*IF(Skills!H7&gt;0,Skills!I7/Skills!H7,1)+IF(Skills!H7&gt;0,MIN(Skills!I7,MAX(0,MAX(0,Inputs!$B$43-B1640)-((R1608-1)*IF(Inputs!$B$38="pvp",15,MAX(0.1,Skills!D7-IF(Skills!E7=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Skills!E7=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Skills!E7=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IFERROR(1/IF(Inputs!$B$38="pvp",15,MAX(0.1,Skills!D9-IF(Skills!E9=TRUE,Inputs!$B$32,0))),0)</f>
        <v/>
      </c>
      <c r="R1610">
        <f>IF(AND(Inputs!$B$38&lt;&gt;"pvp",Inputs!$B$43&gt;0),IF(MAX(0,Inputs!$B$43-B1640)&lt;=0,0,(INT(MAX(0,Inputs!$B$43-B1640)/IF(Inputs!$B$38="pvp",15,MAX(0.1,Skills!D9-IF(Skills!E9=TRUE,Inputs!$B$32,0))))+1)),0)</f>
        <v/>
      </c>
      <c r="S1610">
        <f>IFERROR((H1610*N1610*IF(AND(Inputs!$B$38&lt;&gt;"pvp",Inputs!$B$43&gt;0),((Skills!G9*((R1610-1)*IF(Skills!H9&gt;0,Skills!I9/Skills!H9,1)+IF(Skills!H9&gt;0,MIN(Skills!I9,MAX(0,MAX(0,Inputs!$B$43-B1640)-((R1610-1)*IF(Inputs!$B$38="pvp",15,MAX(0.1,Skills!D9-IF(Skills!E9=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Skills!E9=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Skills!E9=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IFERROR(1/IF(Inputs!$B$38="pvp",15,MAX(0.1,Skills!D11-IF(Skills!E11=TRUE,Inputs!$B$32,0))),0)</f>
        <v/>
      </c>
      <c r="R1612">
        <f>IF(AND(Inputs!$B$38&lt;&gt;"pvp",Inputs!$B$43&gt;0),IF(MAX(0,Inputs!$B$43-B1640)&lt;=0,0,(INT(MAX(0,Inputs!$B$43-B1640)/IF(Inputs!$B$38="pvp",15,MAX(0.1,Skills!D11-IF(Skills!E11=TRUE,Inputs!$B$32,0))))+1)),0)</f>
        <v/>
      </c>
      <c r="S1612">
        <f>IFERROR((H1612*N1612*IF(AND(Inputs!$B$38&lt;&gt;"pvp",Inputs!$B$43&gt;0),((Skills!G11*((R1612-1)*IF(Skills!H11&gt;0,Skills!I11/Skills!H11,1)+IF(Skills!H11&gt;0,MIN(Skills!I11,MAX(0,MAX(0,Inputs!$B$43-B1640)-((R1612-1)*IF(Inputs!$B$38="pvp",15,MAX(0.1,Skills!D11-IF(Skills!E11=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Skills!E11=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Skills!E11=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IFERROR(1/IF(Inputs!$B$38="pvp",15,MAX(0.1,Skills!D15-IF(Skills!E15=TRUE,Inputs!$B$32,0))),0)</f>
        <v/>
      </c>
      <c r="R1616">
        <f>IF(AND(Inputs!$B$38&lt;&gt;"pvp",Inputs!$B$43&gt;0),IF(Inputs!$B$43&lt;=0,0,(INT(Inputs!$B$43/IF(Inputs!$B$38="pvp",15,MAX(0.1,Skills!D15-IF(Skills!E15=TRUE,Inputs!$B$32,0))))+1)),0)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IFERROR(1/IF(Inputs!$B$38="pvp",15,MAX(0.1,Skills!D16-IF(Skills!E16=TRUE,Inputs!$B$32,0))),0)</f>
        <v/>
      </c>
      <c r="R1617">
        <f>IF(AND(Inputs!$B$38&lt;&gt;"pvp",Inputs!$B$43&gt;0),IF(Inputs!$B$43&lt;=0,0,(INT(Inputs!$B$43/IF(Inputs!$B$38="pvp",15,MAX(0.1,Skills!D16-IF(Skills!E16=TRUE,Inputs!$B$32,0))))+1)),0)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IFERROR(1/IF(Inputs!$B$38="pvp",15,MAX(0.1,Skills!D18-IF(Skills!E18=TRUE,Inputs!$B$32,0))),0)</f>
        <v/>
      </c>
      <c r="R1619">
        <f>IF(AND(Inputs!$B$38&lt;&gt;"pvp",Inputs!$B$43&gt;0),IF(Inputs!$B$43&lt;=0,0,(INT(Inputs!$B$43/IF(Inputs!$B$38="pvp",15,MAX(0.1,Skills!D18-IF(Skills!E18=TRUE,Inputs!$B$32,0))))+1)),0)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f>(C1617=TRUE)*20*IF(AND(Inputs!$B$38&lt;&gt;"pvp",Inputs!$B$43&gt;0),(((R1617-1)*(Skills!T16*(1+Inputs!$B$34/100))+MIN((Skills!T16*(1+Inputs!$B$34/100)),MAX(0,Inputs!$B$43-((R1617-1)*Skills!D16))))/Inputs!$B$43),IF(Inputs!$B$38="pvp",MIN((Skills!T16*(1+Inputs!$B$34/100)),15)/15,(Skills!T16*(1+Inputs!$B$34/100))/Skills!D16))</f>
        <v/>
      </c>
    </row>
    <row r="1634">
      <c r="A1634" t="inlineStr">
        <is>
          <t>Attack Speed Buff Bonus %</t>
        </is>
      </c>
      <c r="B1634">
        <f>((C1619=TRUE)*F1619*IF(AND(Inputs!$B$38&lt;&gt;"pvp",Inputs!$B$43&gt;0),(((R1619-1)*(Skills!T18*(1+Inputs!$B$34/100))+MIN((Skills!T18*(1+Inputs!$B$34/100)),MAX(0,Inputs!$B$43-((R1619-1)*Skills!D18))))/Inputs!$B$43),IF(Inputs!$B$38="pvp",MIN((Skills!T18*(1+Inputs!$B$34/100)),15)/15,(Skills!T18*(1+Inputs!$B$34/100))/Skills!D18)))</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Skills!T16*(1+Inputs!$B$34/100))+MIN((Skills!T16*(1+Inputs!$B$34/100)),MAX(0,Inputs!$B$43-((R1617-1)*Skills!D16))))/Inputs!$B$43),IF(Inputs!$B$38="pvp",MIN((Skills!T16*(1+Inputs!$B$34/100)),15)/15,(Skills!T16*(1+Inputs!$B$34/100))/Skills!D16))</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IFERROR(1/IF(Inputs!$B$38="pvp",15,MAX(0.1,Skills!D5-IF(Skills!E5=TRUE,Inputs!$B$32,0))),0)</f>
        <v/>
      </c>
      <c r="R1651">
        <f>IF(AND(Inputs!$B$38&lt;&gt;"pvp",Inputs!$B$43&gt;0),IF(MAX(0,Inputs!$B$43-B1685)&lt;=0,0,(INT(MAX(0,Inputs!$B$43-B1685)/IF(Inputs!$B$38="pvp",15,MAX(0.1,Skills!D5-IF(Skills!E5=TRUE,Inputs!$B$32,0))))+1)),0)</f>
        <v/>
      </c>
      <c r="S1651">
        <f>IFERROR((H1651*N1651*IF(AND(Inputs!$B$38&lt;&gt;"pvp",Inputs!$B$43&gt;0),((Skills!G5*((R1651-1)*IF(Skills!H5&gt;0,Skills!I5/Skills!H5,1)+IF(Skills!H5&gt;0,MIN(Skills!I5,MAX(0,MAX(0,Inputs!$B$43-B1685)-((R1651-1)*IF(Inputs!$B$38="pvp",15,MAX(0.1,Skills!D5-IF(Skills!E5=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Skills!E5=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Skills!E5=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IFERROR(1/IF(Inputs!$B$38="pvp",15,MAX(0.1,Skills!D6-IF(Skills!E6=TRUE,Inputs!$B$32,0))),0)</f>
        <v/>
      </c>
      <c r="R1652">
        <f>IF(AND(Inputs!$B$38&lt;&gt;"pvp",Inputs!$B$43&gt;0),IF(MAX(0,Inputs!$B$43-B1685)&lt;=0,0,(INT(MAX(0,Inputs!$B$43-B1685)/IF(Inputs!$B$38="pvp",15,MAX(0.1,Skills!D6-IF(Skills!E6=TRUE,Inputs!$B$32,0))))+1)),0)</f>
        <v/>
      </c>
      <c r="S1652">
        <f>IFERROR((H1652*N1652*IF(AND(Inputs!$B$38&lt;&gt;"pvp",Inputs!$B$43&gt;0),((Skills!G6*((R1652-1)*IF(Skills!H6&gt;0,Skills!I6/Skills!H6,1)+IF(Skills!H6&gt;0,MIN(Skills!I6,MAX(0,MAX(0,Inputs!$B$43-B1685)-((R1652-1)*IF(Inputs!$B$38="pvp",15,MAX(0.1,Skills!D6-IF(Skills!E6=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Skills!E6=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Skills!E6=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IFERROR(1/IF(Inputs!$B$38="pvp",15,MAX(0.1,Skills!D7-IF(Skills!E7=TRUE,Inputs!$B$32,0))),0)</f>
        <v/>
      </c>
      <c r="R1653">
        <f>IF(AND(Inputs!$B$38&lt;&gt;"pvp",Inputs!$B$43&gt;0),IF(MAX(0,Inputs!$B$43-B1685)&lt;=0,0,(INT(MAX(0,Inputs!$B$43-B1685)/IF(Inputs!$B$38="pvp",15,MAX(0.1,Skills!D7-IF(Skills!E7=TRUE,Inputs!$B$32,0))))+1)),0)</f>
        <v/>
      </c>
      <c r="S1653">
        <f>IFERROR((H1653*N1653*IF(AND(Inputs!$B$38&lt;&gt;"pvp",Inputs!$B$43&gt;0),((Skills!G7*((R1653-1)*IF(Skills!H7&gt;0,Skills!I7/Skills!H7,1)+IF(Skills!H7&gt;0,MIN(Skills!I7,MAX(0,MAX(0,Inputs!$B$43-B1685)-((R1653-1)*IF(Inputs!$B$38="pvp",15,MAX(0.1,Skills!D7-IF(Skills!E7=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Skills!E7=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Skills!E7=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IFERROR(1/IF(Inputs!$B$38="pvp",15,MAX(0.1,Skills!D9-IF(Skills!E9=TRUE,Inputs!$B$32,0))),0)</f>
        <v/>
      </c>
      <c r="R1655">
        <f>IF(AND(Inputs!$B$38&lt;&gt;"pvp",Inputs!$B$43&gt;0),IF(MAX(0,Inputs!$B$43-B1685)&lt;=0,0,(INT(MAX(0,Inputs!$B$43-B1685)/IF(Inputs!$B$38="pvp",15,MAX(0.1,Skills!D9-IF(Skills!E9=TRUE,Inputs!$B$32,0))))+1)),0)</f>
        <v/>
      </c>
      <c r="S1655">
        <f>IFERROR((H1655*N1655*IF(AND(Inputs!$B$38&lt;&gt;"pvp",Inputs!$B$43&gt;0),((Skills!G9*((R1655-1)*IF(Skills!H9&gt;0,Skills!I9/Skills!H9,1)+IF(Skills!H9&gt;0,MIN(Skills!I9,MAX(0,MAX(0,Inputs!$B$43-B1685)-((R1655-1)*IF(Inputs!$B$38="pvp",15,MAX(0.1,Skills!D9-IF(Skills!E9=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Skills!E9=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Skills!E9=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IFERROR(1/IF(Inputs!$B$38="pvp",15,MAX(0.1,Skills!D11-IF(Skills!E11=TRUE,Inputs!$B$32,0))),0)</f>
        <v/>
      </c>
      <c r="R1657">
        <f>IF(AND(Inputs!$B$38&lt;&gt;"pvp",Inputs!$B$43&gt;0),IF(MAX(0,Inputs!$B$43-B1685)&lt;=0,0,(INT(MAX(0,Inputs!$B$43-B1685)/IF(Inputs!$B$38="pvp",15,MAX(0.1,Skills!D11-IF(Skills!E11=TRUE,Inputs!$B$32,0))))+1)),0)</f>
        <v/>
      </c>
      <c r="S1657">
        <f>IFERROR((H1657*N1657*IF(AND(Inputs!$B$38&lt;&gt;"pvp",Inputs!$B$43&gt;0),((Skills!G11*((R1657-1)*IF(Skills!H11&gt;0,Skills!I11/Skills!H11,1)+IF(Skills!H11&gt;0,MIN(Skills!I11,MAX(0,MAX(0,Inputs!$B$43-B1685)-((R1657-1)*IF(Inputs!$B$38="pvp",15,MAX(0.1,Skills!D11-IF(Skills!E11=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Skills!E11=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Skills!E11=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IFERROR(1/IF(Inputs!$B$38="pvp",15,MAX(0.1,Skills!D15-IF(Skills!E15=TRUE,Inputs!$B$32,0))),0)</f>
        <v/>
      </c>
      <c r="R1661">
        <f>IF(AND(Inputs!$B$38&lt;&gt;"pvp",Inputs!$B$43&gt;0),IF(Inputs!$B$43&lt;=0,0,(INT(Inputs!$B$43/IF(Inputs!$B$38="pvp",15,MAX(0.1,Skills!D15-IF(Skills!E15=TRUE,Inputs!$B$32,0))))+1)),0)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IFERROR(1/IF(Inputs!$B$38="pvp",15,MAX(0.1,Skills!D16-IF(Skills!E16=TRUE,Inputs!$B$32,0))),0)</f>
        <v/>
      </c>
      <c r="R1662">
        <f>IF(AND(Inputs!$B$38&lt;&gt;"pvp",Inputs!$B$43&gt;0),IF(Inputs!$B$43&lt;=0,0,(INT(Inputs!$B$43/IF(Inputs!$B$38="pvp",15,MAX(0.1,Skills!D16-IF(Skills!E16=TRUE,Inputs!$B$32,0))))+1)),0)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IFERROR(1/IF(Inputs!$B$38="pvp",15,MAX(0.1,Skills!D18-IF(Skills!E18=TRUE,Inputs!$B$32,0))),0)</f>
        <v/>
      </c>
      <c r="R1664">
        <f>IF(AND(Inputs!$B$38&lt;&gt;"pvp",Inputs!$B$43&gt;0),IF(Inputs!$B$43&lt;=0,0,(INT(Inputs!$B$43/IF(Inputs!$B$38="pvp",15,MAX(0.1,Skills!D18-IF(Skills!E18=TRUE,Inputs!$B$32,0))))+1)),0)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f>(C1662=TRUE)*20*IF(AND(Inputs!$B$38&lt;&gt;"pvp",Inputs!$B$43&gt;0),(((R1662-1)*(Skills!T16*(1+Inputs!$B$34/100))+MIN((Skills!T16*(1+Inputs!$B$34/100)),MAX(0,Inputs!$B$43-((R1662-1)*Skills!D16))))/Inputs!$B$43),IF(Inputs!$B$38="pvp",MIN((Skills!T16*(1+Inputs!$B$34/100)),15)/15,(Skills!T16*(1+Inputs!$B$34/100))/Skills!D16))</f>
        <v/>
      </c>
    </row>
    <row r="1679">
      <c r="A1679" t="inlineStr">
        <is>
          <t>Attack Speed Buff Bonus %</t>
        </is>
      </c>
      <c r="B1679">
        <f>((C1664=TRUE)*F1664*IF(AND(Inputs!$B$38&lt;&gt;"pvp",Inputs!$B$43&gt;0),(((R1664-1)*(Skills!T18*(1+Inputs!$B$34/100))+MIN((Skills!T18*(1+Inputs!$B$34/100)),MAX(0,Inputs!$B$43-((R1664-1)*Skills!D18))))/Inputs!$B$43),IF(Inputs!$B$38="pvp",MIN((Skills!T18*(1+Inputs!$B$34/100)),15)/15,(Skills!T18*(1+Inputs!$B$34/100))/Skills!D18)))</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Skills!T16*(1+Inputs!$B$34/100))+MIN((Skills!T16*(1+Inputs!$B$34/100)),MAX(0,Inputs!$B$43-((R1662-1)*Skills!D16))))/Inputs!$B$43),IF(Inputs!$B$38="pvp",MIN((Skills!T16*(1+Inputs!$B$34/100)),15)/15,(Skills!T16*(1+Inputs!$B$34/100))/Skills!D16))</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IFERROR(1/IF(Inputs!$B$38="pvp",15,MAX(0.1,Skills!D5-IF(Skills!E5=TRUE,Inputs!$B$32,0))),0)</f>
        <v/>
      </c>
      <c r="R1696">
        <f>IF(AND(Inputs!$B$38&lt;&gt;"pvp",Inputs!$B$43&gt;0),IF(MAX(0,Inputs!$B$43-B1730)&lt;=0,0,(INT(MAX(0,Inputs!$B$43-B1730)/IF(Inputs!$B$38="pvp",15,MAX(0.1,Skills!D5-IF(Skills!E5=TRUE,Inputs!$B$32,0))))+1)),0)</f>
        <v/>
      </c>
      <c r="S1696">
        <f>IFERROR((H1696*N1696*IF(AND(Inputs!$B$38&lt;&gt;"pvp",Inputs!$B$43&gt;0),((Skills!G5*((R1696-1)*IF(Skills!H5&gt;0,Skills!I5/Skills!H5,1)+IF(Skills!H5&gt;0,MIN(Skills!I5,MAX(0,MAX(0,Inputs!$B$43-B1730)-((R1696-1)*IF(Inputs!$B$38="pvp",15,MAX(0.1,Skills!D5-IF(Skills!E5=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Skills!E5=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Skills!E5=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IFERROR(1/IF(Inputs!$B$38="pvp",15,MAX(0.1,Skills!D6-IF(Skills!E6=TRUE,Inputs!$B$32,0))),0)</f>
        <v/>
      </c>
      <c r="R1697">
        <f>IF(AND(Inputs!$B$38&lt;&gt;"pvp",Inputs!$B$43&gt;0),IF(MAX(0,Inputs!$B$43-B1730)&lt;=0,0,(INT(MAX(0,Inputs!$B$43-B1730)/IF(Inputs!$B$38="pvp",15,MAX(0.1,Skills!D6-IF(Skills!E6=TRUE,Inputs!$B$32,0))))+1)),0)</f>
        <v/>
      </c>
      <c r="S1697">
        <f>IFERROR((H1697*N1697*IF(AND(Inputs!$B$38&lt;&gt;"pvp",Inputs!$B$43&gt;0),((Skills!G6*((R1697-1)*IF(Skills!H6&gt;0,Skills!I6/Skills!H6,1)+IF(Skills!H6&gt;0,MIN(Skills!I6,MAX(0,MAX(0,Inputs!$B$43-B1730)-((R1697-1)*IF(Inputs!$B$38="pvp",15,MAX(0.1,Skills!D6-IF(Skills!E6=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Skills!E6=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Skills!E6=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IFERROR(1/IF(Inputs!$B$38="pvp",15,MAX(0.1,Skills!D7-IF(Skills!E7=TRUE,Inputs!$B$32,0))),0)</f>
        <v/>
      </c>
      <c r="R1698">
        <f>IF(AND(Inputs!$B$38&lt;&gt;"pvp",Inputs!$B$43&gt;0),IF(MAX(0,Inputs!$B$43-B1730)&lt;=0,0,(INT(MAX(0,Inputs!$B$43-B1730)/IF(Inputs!$B$38="pvp",15,MAX(0.1,Skills!D7-IF(Skills!E7=TRUE,Inputs!$B$32,0))))+1)),0)</f>
        <v/>
      </c>
      <c r="S1698">
        <f>IFERROR((H1698*N1698*IF(AND(Inputs!$B$38&lt;&gt;"pvp",Inputs!$B$43&gt;0),((Skills!G7*((R1698-1)*IF(Skills!H7&gt;0,Skills!I7/Skills!H7,1)+IF(Skills!H7&gt;0,MIN(Skills!I7,MAX(0,MAX(0,Inputs!$B$43-B1730)-((R1698-1)*IF(Inputs!$B$38="pvp",15,MAX(0.1,Skills!D7-IF(Skills!E7=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Skills!E7=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Skills!E7=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IFERROR(1/IF(Inputs!$B$38="pvp",15,MAX(0.1,Skills!D9-IF(Skills!E9=TRUE,Inputs!$B$32,0))),0)</f>
        <v/>
      </c>
      <c r="R1700">
        <f>IF(AND(Inputs!$B$38&lt;&gt;"pvp",Inputs!$B$43&gt;0),IF(MAX(0,Inputs!$B$43-B1730)&lt;=0,0,(INT(MAX(0,Inputs!$B$43-B1730)/IF(Inputs!$B$38="pvp",15,MAX(0.1,Skills!D9-IF(Skills!E9=TRUE,Inputs!$B$32,0))))+1)),0)</f>
        <v/>
      </c>
      <c r="S1700">
        <f>IFERROR((H1700*N1700*IF(AND(Inputs!$B$38&lt;&gt;"pvp",Inputs!$B$43&gt;0),((Skills!G9*((R1700-1)*IF(Skills!H9&gt;0,Skills!I9/Skills!H9,1)+IF(Skills!H9&gt;0,MIN(Skills!I9,MAX(0,MAX(0,Inputs!$B$43-B1730)-((R1700-1)*IF(Inputs!$B$38="pvp",15,MAX(0.1,Skills!D9-IF(Skills!E9=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Skills!E9=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Skills!E9=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IFERROR(1/IF(Inputs!$B$38="pvp",15,MAX(0.1,Skills!D11-IF(Skills!E11=TRUE,Inputs!$B$32,0))),0)</f>
        <v/>
      </c>
      <c r="R1702">
        <f>IF(AND(Inputs!$B$38&lt;&gt;"pvp",Inputs!$B$43&gt;0),IF(MAX(0,Inputs!$B$43-B1730)&lt;=0,0,(INT(MAX(0,Inputs!$B$43-B1730)/IF(Inputs!$B$38="pvp",15,MAX(0.1,Skills!D11-IF(Skills!E11=TRUE,Inputs!$B$32,0))))+1)),0)</f>
        <v/>
      </c>
      <c r="S1702">
        <f>IFERROR((H1702*N1702*IF(AND(Inputs!$B$38&lt;&gt;"pvp",Inputs!$B$43&gt;0),((Skills!G11*((R1702-1)*IF(Skills!H11&gt;0,Skills!I11/Skills!H11,1)+IF(Skills!H11&gt;0,MIN(Skills!I11,MAX(0,MAX(0,Inputs!$B$43-B1730)-((R1702-1)*IF(Inputs!$B$38="pvp",15,MAX(0.1,Skills!D11-IF(Skills!E11=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Skills!E11=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Skills!E11=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IFERROR(1/IF(Inputs!$B$38="pvp",15,MAX(0.1,Skills!D15-IF(Skills!E15=TRUE,Inputs!$B$32,0))),0)</f>
        <v/>
      </c>
      <c r="R1706">
        <f>IF(AND(Inputs!$B$38&lt;&gt;"pvp",Inputs!$B$43&gt;0),IF(Inputs!$B$43&lt;=0,0,(INT(Inputs!$B$43/IF(Inputs!$B$38="pvp",15,MAX(0.1,Skills!D15-IF(Skills!E15=TRUE,Inputs!$B$32,0))))+1)),0)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IFERROR(1/IF(Inputs!$B$38="pvp",15,MAX(0.1,Skills!D16-IF(Skills!E16=TRUE,Inputs!$B$32,0))),0)</f>
        <v/>
      </c>
      <c r="R1707">
        <f>IF(AND(Inputs!$B$38&lt;&gt;"pvp",Inputs!$B$43&gt;0),IF(Inputs!$B$43&lt;=0,0,(INT(Inputs!$B$43/IF(Inputs!$B$38="pvp",15,MAX(0.1,Skills!D16-IF(Skills!E16=TRUE,Inputs!$B$32,0))))+1)),0)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IFERROR(1/IF(Inputs!$B$38="pvp",15,MAX(0.1,Skills!D18-IF(Skills!E18=TRUE,Inputs!$B$32,0))),0)</f>
        <v/>
      </c>
      <c r="R1709">
        <f>IF(AND(Inputs!$B$38&lt;&gt;"pvp",Inputs!$B$43&gt;0),IF(Inputs!$B$43&lt;=0,0,(INT(Inputs!$B$43/IF(Inputs!$B$38="pvp",15,MAX(0.1,Skills!D18-IF(Skills!E18=TRUE,Inputs!$B$32,0))))+1)),0)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f>(C1707=TRUE)*20*IF(AND(Inputs!$B$38&lt;&gt;"pvp",Inputs!$B$43&gt;0),(((R1707-1)*(Skills!T16*(1+Inputs!$B$34/100))+MIN((Skills!T16*(1+Inputs!$B$34/100)),MAX(0,Inputs!$B$43-((R1707-1)*Skills!D16))))/Inputs!$B$43),IF(Inputs!$B$38="pvp",MIN((Skills!T16*(1+Inputs!$B$34/100)),15)/15,(Skills!T16*(1+Inputs!$B$34/100))/Skills!D16))</f>
        <v/>
      </c>
    </row>
    <row r="1724">
      <c r="A1724" t="inlineStr">
        <is>
          <t>Attack Speed Buff Bonus %</t>
        </is>
      </c>
      <c r="B1724">
        <f>((C1709=TRUE)*F1709*IF(AND(Inputs!$B$38&lt;&gt;"pvp",Inputs!$B$43&gt;0),(((R1709-1)*(Skills!T18*(1+Inputs!$B$34/100))+MIN((Skills!T18*(1+Inputs!$B$34/100)),MAX(0,Inputs!$B$43-((R1709-1)*Skills!D18))))/Inputs!$B$43),IF(Inputs!$B$38="pvp",MIN((Skills!T18*(1+Inputs!$B$34/100)),15)/15,(Skills!T18*(1+Inputs!$B$34/100))/Skills!D18)))</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Skills!T16*(1+Inputs!$B$34/100))+MIN((Skills!T16*(1+Inputs!$B$34/100)),MAX(0,Inputs!$B$43-((R1707-1)*Skills!D16))))/Inputs!$B$43),IF(Inputs!$B$38="pvp",MIN((Skills!T16*(1+Inputs!$B$34/100)),15)/15,(Skills!T16*(1+Inputs!$B$34/100))/Skills!D16))</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IFERROR(1/IF(Inputs!$B$38="pvp",15,MAX(0.1,Skills!D5-IF(Skills!E5=TRUE,Inputs!$B$32,0))),0)</f>
        <v/>
      </c>
      <c r="R1741">
        <f>IF(AND(Inputs!$B$38&lt;&gt;"pvp",Inputs!$B$43&gt;0),IF(MAX(0,Inputs!$B$43-B1775)&lt;=0,0,(INT(MAX(0,Inputs!$B$43-B1775)/IF(Inputs!$B$38="pvp",15,MAX(0.1,Skills!D5-IF(Skills!E5=TRUE,Inputs!$B$32,0))))+1)),0)</f>
        <v/>
      </c>
      <c r="S1741">
        <f>IFERROR((H1741*N1741*IF(AND(Inputs!$B$38&lt;&gt;"pvp",Inputs!$B$43&gt;0),((Skills!G5*((R1741-1)*IF(Skills!H5&gt;0,Skills!I5/Skills!H5,1)+IF(Skills!H5&gt;0,MIN(Skills!I5,MAX(0,MAX(0,Inputs!$B$43-B1775)-((R1741-1)*IF(Inputs!$B$38="pvp",15,MAX(0.1,Skills!D5-IF(Skills!E5=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Skills!E5=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Skills!E5=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IFERROR(1/IF(Inputs!$B$38="pvp",15,MAX(0.1,Skills!D6-IF(Skills!E6=TRUE,Inputs!$B$32,0))),0)</f>
        <v/>
      </c>
      <c r="R1742">
        <f>IF(AND(Inputs!$B$38&lt;&gt;"pvp",Inputs!$B$43&gt;0),IF(MAX(0,Inputs!$B$43-B1775)&lt;=0,0,(INT(MAX(0,Inputs!$B$43-B1775)/IF(Inputs!$B$38="pvp",15,MAX(0.1,Skills!D6-IF(Skills!E6=TRUE,Inputs!$B$32,0))))+1)),0)</f>
        <v/>
      </c>
      <c r="S1742">
        <f>IFERROR((H1742*N1742*IF(AND(Inputs!$B$38&lt;&gt;"pvp",Inputs!$B$43&gt;0),((Skills!G6*((R1742-1)*IF(Skills!H6&gt;0,Skills!I6/Skills!H6,1)+IF(Skills!H6&gt;0,MIN(Skills!I6,MAX(0,MAX(0,Inputs!$B$43-B1775)-((R1742-1)*IF(Inputs!$B$38="pvp",15,MAX(0.1,Skills!D6-IF(Skills!E6=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Skills!E6=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Skills!E6=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IFERROR(1/IF(Inputs!$B$38="pvp",15,MAX(0.1,Skills!D7-IF(Skills!E7=TRUE,Inputs!$B$32,0))),0)</f>
        <v/>
      </c>
      <c r="R1743">
        <f>IF(AND(Inputs!$B$38&lt;&gt;"pvp",Inputs!$B$43&gt;0),IF(MAX(0,Inputs!$B$43-B1775)&lt;=0,0,(INT(MAX(0,Inputs!$B$43-B1775)/IF(Inputs!$B$38="pvp",15,MAX(0.1,Skills!D7-IF(Skills!E7=TRUE,Inputs!$B$32,0))))+1)),0)</f>
        <v/>
      </c>
      <c r="S1743">
        <f>IFERROR((H1743*N1743*IF(AND(Inputs!$B$38&lt;&gt;"pvp",Inputs!$B$43&gt;0),((Skills!G7*((R1743-1)*IF(Skills!H7&gt;0,Skills!I7/Skills!H7,1)+IF(Skills!H7&gt;0,MIN(Skills!I7,MAX(0,MAX(0,Inputs!$B$43-B1775)-((R1743-1)*IF(Inputs!$B$38="pvp",15,MAX(0.1,Skills!D7-IF(Skills!E7=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Skills!E7=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Skills!E7=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IFERROR(1/IF(Inputs!$B$38="pvp",15,MAX(0.1,Skills!D9-IF(Skills!E9=TRUE,Inputs!$B$32,0))),0)</f>
        <v/>
      </c>
      <c r="R1745">
        <f>IF(AND(Inputs!$B$38&lt;&gt;"pvp",Inputs!$B$43&gt;0),IF(MAX(0,Inputs!$B$43-B1775)&lt;=0,0,(INT(MAX(0,Inputs!$B$43-B1775)/IF(Inputs!$B$38="pvp",15,MAX(0.1,Skills!D9-IF(Skills!E9=TRUE,Inputs!$B$32,0))))+1)),0)</f>
        <v/>
      </c>
      <c r="S1745">
        <f>IFERROR((H1745*N1745*IF(AND(Inputs!$B$38&lt;&gt;"pvp",Inputs!$B$43&gt;0),((Skills!G9*((R1745-1)*IF(Skills!H9&gt;0,Skills!I9/Skills!H9,1)+IF(Skills!H9&gt;0,MIN(Skills!I9,MAX(0,MAX(0,Inputs!$B$43-B1775)-((R1745-1)*IF(Inputs!$B$38="pvp",15,MAX(0.1,Skills!D9-IF(Skills!E9=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Skills!E9=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Skills!E9=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IFERROR(1/IF(Inputs!$B$38="pvp",15,MAX(0.1,Skills!D11-IF(Skills!E11=TRUE,Inputs!$B$32,0))),0)</f>
        <v/>
      </c>
      <c r="R1747">
        <f>IF(AND(Inputs!$B$38&lt;&gt;"pvp",Inputs!$B$43&gt;0),IF(MAX(0,Inputs!$B$43-B1775)&lt;=0,0,(INT(MAX(0,Inputs!$B$43-B1775)/IF(Inputs!$B$38="pvp",15,MAX(0.1,Skills!D11-IF(Skills!E11=TRUE,Inputs!$B$32,0))))+1)),0)</f>
        <v/>
      </c>
      <c r="S1747">
        <f>IFERROR((H1747*N1747*IF(AND(Inputs!$B$38&lt;&gt;"pvp",Inputs!$B$43&gt;0),((Skills!G11*((R1747-1)*IF(Skills!H11&gt;0,Skills!I11/Skills!H11,1)+IF(Skills!H11&gt;0,MIN(Skills!I11,MAX(0,MAX(0,Inputs!$B$43-B1775)-((R1747-1)*IF(Inputs!$B$38="pvp",15,MAX(0.1,Skills!D11-IF(Skills!E11=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Skills!E11=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Skills!E11=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IFERROR(1/IF(Inputs!$B$38="pvp",15,MAX(0.1,Skills!D15-IF(Skills!E15=TRUE,Inputs!$B$32,0))),0)</f>
        <v/>
      </c>
      <c r="R1751">
        <f>IF(AND(Inputs!$B$38&lt;&gt;"pvp",Inputs!$B$43&gt;0),IF(Inputs!$B$43&lt;=0,0,(INT(Inputs!$B$43/IF(Inputs!$B$38="pvp",15,MAX(0.1,Skills!D15-IF(Skills!E15=TRUE,Inputs!$B$32,0))))+1)),0)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IFERROR(1/IF(Inputs!$B$38="pvp",15,MAX(0.1,Skills!D16-IF(Skills!E16=TRUE,Inputs!$B$32,0))),0)</f>
        <v/>
      </c>
      <c r="R1752">
        <f>IF(AND(Inputs!$B$38&lt;&gt;"pvp",Inputs!$B$43&gt;0),IF(Inputs!$B$43&lt;=0,0,(INT(Inputs!$B$43/IF(Inputs!$B$38="pvp",15,MAX(0.1,Skills!D16-IF(Skills!E16=TRUE,Inputs!$B$32,0))))+1)),0)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IFERROR(1/IF(Inputs!$B$38="pvp",15,MAX(0.1,Skills!D18-IF(Skills!E18=TRUE,Inputs!$B$32,0))),0)</f>
        <v/>
      </c>
      <c r="R1754">
        <f>IF(AND(Inputs!$B$38&lt;&gt;"pvp",Inputs!$B$43&gt;0),IF(Inputs!$B$43&lt;=0,0,(INT(Inputs!$B$43/IF(Inputs!$B$38="pvp",15,MAX(0.1,Skills!D18-IF(Skills!E18=TRUE,Inputs!$B$32,0))))+1)),0)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f>(C1752=TRUE)*20*IF(AND(Inputs!$B$38&lt;&gt;"pvp",Inputs!$B$43&gt;0),(((R1752-1)*(Skills!T16*(1+Inputs!$B$34/100))+MIN((Skills!T16*(1+Inputs!$B$34/100)),MAX(0,Inputs!$B$43-((R1752-1)*Skills!D16))))/Inputs!$B$43),IF(Inputs!$B$38="pvp",MIN((Skills!T16*(1+Inputs!$B$34/100)),15)/15,(Skills!T16*(1+Inputs!$B$34/100))/Skills!D16))</f>
        <v/>
      </c>
    </row>
    <row r="1769">
      <c r="A1769" t="inlineStr">
        <is>
          <t>Attack Speed Buff Bonus %</t>
        </is>
      </c>
      <c r="B1769">
        <f>((C1754=TRUE)*F1754*IF(AND(Inputs!$B$38&lt;&gt;"pvp",Inputs!$B$43&gt;0),(((R1754-1)*(Skills!T18*(1+Inputs!$B$34/100))+MIN((Skills!T18*(1+Inputs!$B$34/100)),MAX(0,Inputs!$B$43-((R1754-1)*Skills!D18))))/Inputs!$B$43),IF(Inputs!$B$38="pvp",MIN((Skills!T18*(1+Inputs!$B$34/100)),15)/15,(Skills!T18*(1+Inputs!$B$34/100))/Skills!D18)))</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Skills!T16*(1+Inputs!$B$34/100))+MIN((Skills!T16*(1+Inputs!$B$34/100)),MAX(0,Inputs!$B$43-((R1752-1)*Skills!D16))))/Inputs!$B$43),IF(Inputs!$B$38="pvp",MIN((Skills!T16*(1+Inputs!$B$34/100)),15)/15,(Skills!T16*(1+Inputs!$B$34/100))/Skills!D16))</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IFERROR(1/IF(Inputs!$B$38="pvp",15,MAX(0.1,Skills!D5-IF(Skills!E5=TRUE,Inputs!$B$32,0))),0)</f>
        <v/>
      </c>
      <c r="R1786">
        <f>IF(AND(Inputs!$B$38&lt;&gt;"pvp",Inputs!$B$43&gt;0),IF(MAX(0,Inputs!$B$43-B1820)&lt;=0,0,(INT(MAX(0,Inputs!$B$43-B1820)/IF(Inputs!$B$38="pvp",15,MAX(0.1,Skills!D5-IF(Skills!E5=TRUE,Inputs!$B$32,0))))+1)),0)</f>
        <v/>
      </c>
      <c r="S1786">
        <f>IFERROR((H1786*N1786*IF(AND(Inputs!$B$38&lt;&gt;"pvp",Inputs!$B$43&gt;0),((Skills!G5*((R1786-1)*IF(Skills!H5&gt;0,Skills!I5/Skills!H5,1)+IF(Skills!H5&gt;0,MIN(Skills!I5,MAX(0,MAX(0,Inputs!$B$43-B1820)-((R1786-1)*IF(Inputs!$B$38="pvp",15,MAX(0.1,Skills!D5-IF(Skills!E5=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Skills!E5=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Skills!E5=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IFERROR(1/IF(Inputs!$B$38="pvp",15,MAX(0.1,Skills!D6-IF(Skills!E6=TRUE,Inputs!$B$32,0))),0)</f>
        <v/>
      </c>
      <c r="R1787">
        <f>IF(AND(Inputs!$B$38&lt;&gt;"pvp",Inputs!$B$43&gt;0),IF(MAX(0,Inputs!$B$43-B1820)&lt;=0,0,(INT(MAX(0,Inputs!$B$43-B1820)/IF(Inputs!$B$38="pvp",15,MAX(0.1,Skills!D6-IF(Skills!E6=TRUE,Inputs!$B$32,0))))+1)),0)</f>
        <v/>
      </c>
      <c r="S1787">
        <f>IFERROR((H1787*N1787*IF(AND(Inputs!$B$38&lt;&gt;"pvp",Inputs!$B$43&gt;0),((Skills!G6*((R1787-1)*IF(Skills!H6&gt;0,Skills!I6/Skills!H6,1)+IF(Skills!H6&gt;0,MIN(Skills!I6,MAX(0,MAX(0,Inputs!$B$43-B1820)-((R1787-1)*IF(Inputs!$B$38="pvp",15,MAX(0.1,Skills!D6-IF(Skills!E6=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Skills!E6=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Skills!E6=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IFERROR(1/IF(Inputs!$B$38="pvp",15,MAX(0.1,Skills!D7-IF(Skills!E7=TRUE,Inputs!$B$32,0))),0)</f>
        <v/>
      </c>
      <c r="R1788">
        <f>IF(AND(Inputs!$B$38&lt;&gt;"pvp",Inputs!$B$43&gt;0),IF(MAX(0,Inputs!$B$43-B1820)&lt;=0,0,(INT(MAX(0,Inputs!$B$43-B1820)/IF(Inputs!$B$38="pvp",15,MAX(0.1,Skills!D7-IF(Skills!E7=TRUE,Inputs!$B$32,0))))+1)),0)</f>
        <v/>
      </c>
      <c r="S1788">
        <f>IFERROR((H1788*N1788*IF(AND(Inputs!$B$38&lt;&gt;"pvp",Inputs!$B$43&gt;0),((Skills!G7*((R1788-1)*IF(Skills!H7&gt;0,Skills!I7/Skills!H7,1)+IF(Skills!H7&gt;0,MIN(Skills!I7,MAX(0,MAX(0,Inputs!$B$43-B1820)-((R1788-1)*IF(Inputs!$B$38="pvp",15,MAX(0.1,Skills!D7-IF(Skills!E7=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Skills!E7=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Skills!E7=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IFERROR(1/IF(Inputs!$B$38="pvp",15,MAX(0.1,Skills!D9-IF(Skills!E9=TRUE,Inputs!$B$32,0))),0)</f>
        <v/>
      </c>
      <c r="R1790">
        <f>IF(AND(Inputs!$B$38&lt;&gt;"pvp",Inputs!$B$43&gt;0),IF(MAX(0,Inputs!$B$43-B1820)&lt;=0,0,(INT(MAX(0,Inputs!$B$43-B1820)/IF(Inputs!$B$38="pvp",15,MAX(0.1,Skills!D9-IF(Skills!E9=TRUE,Inputs!$B$32,0))))+1)),0)</f>
        <v/>
      </c>
      <c r="S1790">
        <f>IFERROR((H1790*N1790*IF(AND(Inputs!$B$38&lt;&gt;"pvp",Inputs!$B$43&gt;0),((Skills!G9*((R1790-1)*IF(Skills!H9&gt;0,Skills!I9/Skills!H9,1)+IF(Skills!H9&gt;0,MIN(Skills!I9,MAX(0,MAX(0,Inputs!$B$43-B1820)-((R1790-1)*IF(Inputs!$B$38="pvp",15,MAX(0.1,Skills!D9-IF(Skills!E9=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Skills!E9=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Skills!E9=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IFERROR(1/IF(Inputs!$B$38="pvp",15,MAX(0.1,Skills!D11-IF(Skills!E11=TRUE,Inputs!$B$32,0))),0)</f>
        <v/>
      </c>
      <c r="R1792">
        <f>IF(AND(Inputs!$B$38&lt;&gt;"pvp",Inputs!$B$43&gt;0),IF(MAX(0,Inputs!$B$43-B1820)&lt;=0,0,(INT(MAX(0,Inputs!$B$43-B1820)/IF(Inputs!$B$38="pvp",15,MAX(0.1,Skills!D11-IF(Skills!E11=TRUE,Inputs!$B$32,0))))+1)),0)</f>
        <v/>
      </c>
      <c r="S1792">
        <f>IFERROR((H1792*N1792*IF(AND(Inputs!$B$38&lt;&gt;"pvp",Inputs!$B$43&gt;0),((Skills!G11*((R1792-1)*IF(Skills!H11&gt;0,Skills!I11/Skills!H11,1)+IF(Skills!H11&gt;0,MIN(Skills!I11,MAX(0,MAX(0,Inputs!$B$43-B1820)-((R1792-1)*IF(Inputs!$B$38="pvp",15,MAX(0.1,Skills!D11-IF(Skills!E11=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Skills!E11=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Skills!E11=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IFERROR(1/IF(Inputs!$B$38="pvp",15,MAX(0.1,Skills!D15-IF(Skills!E15=TRUE,Inputs!$B$32,0))),0)</f>
        <v/>
      </c>
      <c r="R1796">
        <f>IF(AND(Inputs!$B$38&lt;&gt;"pvp",Inputs!$B$43&gt;0),IF(Inputs!$B$43&lt;=0,0,(INT(Inputs!$B$43/IF(Inputs!$B$38="pvp",15,MAX(0.1,Skills!D15-IF(Skills!E15=TRUE,Inputs!$B$32,0))))+1)),0)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IFERROR(1/IF(Inputs!$B$38="pvp",15,MAX(0.1,Skills!D16-IF(Skills!E16=TRUE,Inputs!$B$32,0))),0)</f>
        <v/>
      </c>
      <c r="R1797">
        <f>IF(AND(Inputs!$B$38&lt;&gt;"pvp",Inputs!$B$43&gt;0),IF(Inputs!$B$43&lt;=0,0,(INT(Inputs!$B$43/IF(Inputs!$B$38="pvp",15,MAX(0.1,Skills!D16-IF(Skills!E16=TRUE,Inputs!$B$32,0))))+1)),0)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IFERROR(1/IF(Inputs!$B$38="pvp",15,MAX(0.1,Skills!D18-IF(Skills!E18=TRUE,Inputs!$B$32,0))),0)</f>
        <v/>
      </c>
      <c r="R1799">
        <f>IF(AND(Inputs!$B$38&lt;&gt;"pvp",Inputs!$B$43&gt;0),IF(Inputs!$B$43&lt;=0,0,(INT(Inputs!$B$43/IF(Inputs!$B$38="pvp",15,MAX(0.1,Skills!D18-IF(Skills!E18=TRUE,Inputs!$B$32,0))))+1)),0)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f>(C1797=TRUE)*20*IF(AND(Inputs!$B$38&lt;&gt;"pvp",Inputs!$B$43&gt;0),(((R1797-1)*(Skills!T16*(1+Inputs!$B$34/100))+MIN((Skills!T16*(1+Inputs!$B$34/100)),MAX(0,Inputs!$B$43-((R1797-1)*Skills!D16))))/Inputs!$B$43),IF(Inputs!$B$38="pvp",MIN((Skills!T16*(1+Inputs!$B$34/100)),15)/15,(Skills!T16*(1+Inputs!$B$34/100))/Skills!D16))</f>
        <v/>
      </c>
    </row>
    <row r="1814">
      <c r="A1814" t="inlineStr">
        <is>
          <t>Attack Speed Buff Bonus %</t>
        </is>
      </c>
      <c r="B1814">
        <f>((C1799=TRUE)*F1799*IF(AND(Inputs!$B$38&lt;&gt;"pvp",Inputs!$B$43&gt;0),(((R1799-1)*(Skills!T18*(1+Inputs!$B$34/100))+MIN((Skills!T18*(1+Inputs!$B$34/100)),MAX(0,Inputs!$B$43-((R1799-1)*Skills!D18))))/Inputs!$B$43),IF(Inputs!$B$38="pvp",MIN((Skills!T18*(1+Inputs!$B$34/100)),15)/15,(Skills!T18*(1+Inputs!$B$34/100))/Skills!D18)))</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Skills!T16*(1+Inputs!$B$34/100))+MIN((Skills!T16*(1+Inputs!$B$34/100)),MAX(0,Inputs!$B$43-((R1797-1)*Skills!D16))))/Inputs!$B$43),IF(Inputs!$B$38="pvp",MIN((Skills!T16*(1+Inputs!$B$34/100)),15)/15,(Skills!T16*(1+Inputs!$B$34/100))/Skills!D16))</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IFERROR(1/IF(Inputs!$B$38="pvp",15,MAX(0.1,Skills!D5-IF(Skills!E5=TRUE,Inputs!$B$32,0))),0)</f>
        <v/>
      </c>
      <c r="R1831">
        <f>IF(AND(Inputs!$B$38&lt;&gt;"pvp",Inputs!$B$43&gt;0),IF(MAX(0,Inputs!$B$43-B1865)&lt;=0,0,(INT(MAX(0,Inputs!$B$43-B1865)/IF(Inputs!$B$38="pvp",15,MAX(0.1,Skills!D5-IF(Skills!E5=TRUE,Inputs!$B$32,0))))+1)),0)</f>
        <v/>
      </c>
      <c r="S1831">
        <f>IFERROR((H1831*N1831*IF(AND(Inputs!$B$38&lt;&gt;"pvp",Inputs!$B$43&gt;0),((Skills!G5*((R1831-1)*IF(Skills!H5&gt;0,Skills!I5/Skills!H5,1)+IF(Skills!H5&gt;0,MIN(Skills!I5,MAX(0,MAX(0,Inputs!$B$43-B1865)-((R1831-1)*IF(Inputs!$B$38="pvp",15,MAX(0.1,Skills!D5-IF(Skills!E5=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Skills!E5=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Skills!E5=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IFERROR(1/IF(Inputs!$B$38="pvp",15,MAX(0.1,Skills!D6-IF(Skills!E6=TRUE,Inputs!$B$32,0))),0)</f>
        <v/>
      </c>
      <c r="R1832">
        <f>IF(AND(Inputs!$B$38&lt;&gt;"pvp",Inputs!$B$43&gt;0),IF(MAX(0,Inputs!$B$43-B1865)&lt;=0,0,(INT(MAX(0,Inputs!$B$43-B1865)/IF(Inputs!$B$38="pvp",15,MAX(0.1,Skills!D6-IF(Skills!E6=TRUE,Inputs!$B$32,0))))+1)),0)</f>
        <v/>
      </c>
      <c r="S1832">
        <f>IFERROR((H1832*N1832*IF(AND(Inputs!$B$38&lt;&gt;"pvp",Inputs!$B$43&gt;0),((Skills!G6*((R1832-1)*IF(Skills!H6&gt;0,Skills!I6/Skills!H6,1)+IF(Skills!H6&gt;0,MIN(Skills!I6,MAX(0,MAX(0,Inputs!$B$43-B1865)-((R1832-1)*IF(Inputs!$B$38="pvp",15,MAX(0.1,Skills!D6-IF(Skills!E6=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Skills!E6=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Skills!E6=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IFERROR(1/IF(Inputs!$B$38="pvp",15,MAX(0.1,Skills!D7-IF(Skills!E7=TRUE,Inputs!$B$32,0))),0)</f>
        <v/>
      </c>
      <c r="R1833">
        <f>IF(AND(Inputs!$B$38&lt;&gt;"pvp",Inputs!$B$43&gt;0),IF(MAX(0,Inputs!$B$43-B1865)&lt;=0,0,(INT(MAX(0,Inputs!$B$43-B1865)/IF(Inputs!$B$38="pvp",15,MAX(0.1,Skills!D7-IF(Skills!E7=TRUE,Inputs!$B$32,0))))+1)),0)</f>
        <v/>
      </c>
      <c r="S1833">
        <f>IFERROR((H1833*N1833*IF(AND(Inputs!$B$38&lt;&gt;"pvp",Inputs!$B$43&gt;0),((Skills!G7*((R1833-1)*IF(Skills!H7&gt;0,Skills!I7/Skills!H7,1)+IF(Skills!H7&gt;0,MIN(Skills!I7,MAX(0,MAX(0,Inputs!$B$43-B1865)-((R1833-1)*IF(Inputs!$B$38="pvp",15,MAX(0.1,Skills!D7-IF(Skills!E7=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Skills!E7=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Skills!E7=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IFERROR(1/IF(Inputs!$B$38="pvp",15,MAX(0.1,Skills!D9-IF(Skills!E9=TRUE,Inputs!$B$32,0))),0)</f>
        <v/>
      </c>
      <c r="R1835">
        <f>IF(AND(Inputs!$B$38&lt;&gt;"pvp",Inputs!$B$43&gt;0),IF(MAX(0,Inputs!$B$43-B1865)&lt;=0,0,(INT(MAX(0,Inputs!$B$43-B1865)/IF(Inputs!$B$38="pvp",15,MAX(0.1,Skills!D9-IF(Skills!E9=TRUE,Inputs!$B$32,0))))+1)),0)</f>
        <v/>
      </c>
      <c r="S1835">
        <f>IFERROR((H1835*N1835*IF(AND(Inputs!$B$38&lt;&gt;"pvp",Inputs!$B$43&gt;0),((Skills!G9*((R1835-1)*IF(Skills!H9&gt;0,Skills!I9/Skills!H9,1)+IF(Skills!H9&gt;0,MIN(Skills!I9,MAX(0,MAX(0,Inputs!$B$43-B1865)-((R1835-1)*IF(Inputs!$B$38="pvp",15,MAX(0.1,Skills!D9-IF(Skills!E9=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Skills!E9=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Skills!E9=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IFERROR(1/IF(Inputs!$B$38="pvp",15,MAX(0.1,Skills!D11-IF(Skills!E11=TRUE,Inputs!$B$32,0))),0)</f>
        <v/>
      </c>
      <c r="R1837">
        <f>IF(AND(Inputs!$B$38&lt;&gt;"pvp",Inputs!$B$43&gt;0),IF(MAX(0,Inputs!$B$43-B1865)&lt;=0,0,(INT(MAX(0,Inputs!$B$43-B1865)/IF(Inputs!$B$38="pvp",15,MAX(0.1,Skills!D11-IF(Skills!E11=TRUE,Inputs!$B$32,0))))+1)),0)</f>
        <v/>
      </c>
      <c r="S1837">
        <f>IFERROR((H1837*N1837*IF(AND(Inputs!$B$38&lt;&gt;"pvp",Inputs!$B$43&gt;0),((Skills!G11*((R1837-1)*IF(Skills!H11&gt;0,Skills!I11/Skills!H11,1)+IF(Skills!H11&gt;0,MIN(Skills!I11,MAX(0,MAX(0,Inputs!$B$43-B1865)-((R1837-1)*IF(Inputs!$B$38="pvp",15,MAX(0.1,Skills!D11-IF(Skills!E11=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Skills!E11=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Skills!E11=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IFERROR(1/IF(Inputs!$B$38="pvp",15,MAX(0.1,Skills!D15-IF(Skills!E15=TRUE,Inputs!$B$32,0))),0)</f>
        <v/>
      </c>
      <c r="R1841">
        <f>IF(AND(Inputs!$B$38&lt;&gt;"pvp",Inputs!$B$43&gt;0),IF(Inputs!$B$43&lt;=0,0,(INT(Inputs!$B$43/IF(Inputs!$B$38="pvp",15,MAX(0.1,Skills!D15-IF(Skills!E15=TRUE,Inputs!$B$32,0))))+1)),0)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IFERROR(1/IF(Inputs!$B$38="pvp",15,MAX(0.1,Skills!D16-IF(Skills!E16=TRUE,Inputs!$B$32,0))),0)</f>
        <v/>
      </c>
      <c r="R1842">
        <f>IF(AND(Inputs!$B$38&lt;&gt;"pvp",Inputs!$B$43&gt;0),IF(Inputs!$B$43&lt;=0,0,(INT(Inputs!$B$43/IF(Inputs!$B$38="pvp",15,MAX(0.1,Skills!D16-IF(Skills!E16=TRUE,Inputs!$B$32,0))))+1)),0)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IFERROR(1/IF(Inputs!$B$38="pvp",15,MAX(0.1,Skills!D18-IF(Skills!E18=TRUE,Inputs!$B$32,0))),0)</f>
        <v/>
      </c>
      <c r="R1844">
        <f>IF(AND(Inputs!$B$38&lt;&gt;"pvp",Inputs!$B$43&gt;0),IF(Inputs!$B$43&lt;=0,0,(INT(Inputs!$B$43/IF(Inputs!$B$38="pvp",15,MAX(0.1,Skills!D18-IF(Skills!E18=TRUE,Inputs!$B$32,0))))+1)),0)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f>(C1842=TRUE)*20*IF(AND(Inputs!$B$38&lt;&gt;"pvp",Inputs!$B$43&gt;0),(((R1842-1)*(Skills!T16*(1+Inputs!$B$34/100))+MIN((Skills!T16*(1+Inputs!$B$34/100)),MAX(0,Inputs!$B$43-((R1842-1)*Skills!D16))))/Inputs!$B$43),IF(Inputs!$B$38="pvp",MIN((Skills!T16*(1+Inputs!$B$34/100)),15)/15,(Skills!T16*(1+Inputs!$B$34/100))/Skills!D16))</f>
        <v/>
      </c>
    </row>
    <row r="1859">
      <c r="A1859" t="inlineStr">
        <is>
          <t>Attack Speed Buff Bonus %</t>
        </is>
      </c>
      <c r="B1859">
        <f>((C1844=TRUE)*F1844*IF(AND(Inputs!$B$38&lt;&gt;"pvp",Inputs!$B$43&gt;0),(((R1844-1)*(Skills!T18*(1+Inputs!$B$34/100))+MIN((Skills!T18*(1+Inputs!$B$34/100)),MAX(0,Inputs!$B$43-((R1844-1)*Skills!D18))))/Inputs!$B$43),IF(Inputs!$B$38="pvp",MIN((Skills!T18*(1+Inputs!$B$34/100)),15)/15,(Skills!T18*(1+Inputs!$B$34/100))/Skills!D18)))</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Skills!T16*(1+Inputs!$B$34/100))+MIN((Skills!T16*(1+Inputs!$B$34/100)),MAX(0,Inputs!$B$43-((R1842-1)*Skills!D16))))/Inputs!$B$43),IF(Inputs!$B$38="pvp",MIN((Skills!T16*(1+Inputs!$B$34/100)),15)/15,(Skills!T16*(1+Inputs!$B$34/100))/Skills!D16))</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IFERROR(1/IF(Inputs!$B$38="pvp",15,MAX(0.1,Skills!D5-IF(Skills!E5=TRUE,Inputs!$B$32,0))),0)</f>
        <v/>
      </c>
      <c r="R1876">
        <f>IF(AND(Inputs!$B$38&lt;&gt;"pvp",Inputs!$B$43&gt;0),IF(MAX(0,Inputs!$B$43-B1910)&lt;=0,0,(INT(MAX(0,Inputs!$B$43-B1910)/IF(Inputs!$B$38="pvp",15,MAX(0.1,Skills!D5-IF(Skills!E5=TRUE,Inputs!$B$32,0))))+1)),0)</f>
        <v/>
      </c>
      <c r="S1876">
        <f>IFERROR((H1876*N1876*IF(AND(Inputs!$B$38&lt;&gt;"pvp",Inputs!$B$43&gt;0),((Skills!G5*((R1876-1)*IF(Skills!H5&gt;0,Skills!I5/Skills!H5,1)+IF(Skills!H5&gt;0,MIN(Skills!I5,MAX(0,MAX(0,Inputs!$B$43-B1910)-((R1876-1)*IF(Inputs!$B$38="pvp",15,MAX(0.1,Skills!D5-IF(Skills!E5=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Skills!E5=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Skills!E5=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IFERROR(1/IF(Inputs!$B$38="pvp",15,MAX(0.1,Skills!D6-IF(Skills!E6=TRUE,Inputs!$B$32,0))),0)</f>
        <v/>
      </c>
      <c r="R1877">
        <f>IF(AND(Inputs!$B$38&lt;&gt;"pvp",Inputs!$B$43&gt;0),IF(MAX(0,Inputs!$B$43-B1910)&lt;=0,0,(INT(MAX(0,Inputs!$B$43-B1910)/IF(Inputs!$B$38="pvp",15,MAX(0.1,Skills!D6-IF(Skills!E6=TRUE,Inputs!$B$32,0))))+1)),0)</f>
        <v/>
      </c>
      <c r="S1877">
        <f>IFERROR((H1877*N1877*IF(AND(Inputs!$B$38&lt;&gt;"pvp",Inputs!$B$43&gt;0),((Skills!G6*((R1877-1)*IF(Skills!H6&gt;0,Skills!I6/Skills!H6,1)+IF(Skills!H6&gt;0,MIN(Skills!I6,MAX(0,MAX(0,Inputs!$B$43-B1910)-((R1877-1)*IF(Inputs!$B$38="pvp",15,MAX(0.1,Skills!D6-IF(Skills!E6=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Skills!E6=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Skills!E6=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IFERROR(1/IF(Inputs!$B$38="pvp",15,MAX(0.1,Skills!D7-IF(Skills!E7=TRUE,Inputs!$B$32,0))),0)</f>
        <v/>
      </c>
      <c r="R1878">
        <f>IF(AND(Inputs!$B$38&lt;&gt;"pvp",Inputs!$B$43&gt;0),IF(MAX(0,Inputs!$B$43-B1910)&lt;=0,0,(INT(MAX(0,Inputs!$B$43-B1910)/IF(Inputs!$B$38="pvp",15,MAX(0.1,Skills!D7-IF(Skills!E7=TRUE,Inputs!$B$32,0))))+1)),0)</f>
        <v/>
      </c>
      <c r="S1878">
        <f>IFERROR((H1878*N1878*IF(AND(Inputs!$B$38&lt;&gt;"pvp",Inputs!$B$43&gt;0),((Skills!G7*((R1878-1)*IF(Skills!H7&gt;0,Skills!I7/Skills!H7,1)+IF(Skills!H7&gt;0,MIN(Skills!I7,MAX(0,MAX(0,Inputs!$B$43-B1910)-((R1878-1)*IF(Inputs!$B$38="pvp",15,MAX(0.1,Skills!D7-IF(Skills!E7=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Skills!E7=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Skills!E7=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IFERROR(1/IF(Inputs!$B$38="pvp",15,MAX(0.1,Skills!D9-IF(Skills!E9=TRUE,Inputs!$B$32,0))),0)</f>
        <v/>
      </c>
      <c r="R1880">
        <f>IF(AND(Inputs!$B$38&lt;&gt;"pvp",Inputs!$B$43&gt;0),IF(MAX(0,Inputs!$B$43-B1910)&lt;=0,0,(INT(MAX(0,Inputs!$B$43-B1910)/IF(Inputs!$B$38="pvp",15,MAX(0.1,Skills!D9-IF(Skills!E9=TRUE,Inputs!$B$32,0))))+1)),0)</f>
        <v/>
      </c>
      <c r="S1880">
        <f>IFERROR((H1880*N1880*IF(AND(Inputs!$B$38&lt;&gt;"pvp",Inputs!$B$43&gt;0),((Skills!G9*((R1880-1)*IF(Skills!H9&gt;0,Skills!I9/Skills!H9,1)+IF(Skills!H9&gt;0,MIN(Skills!I9,MAX(0,MAX(0,Inputs!$B$43-B1910)-((R1880-1)*IF(Inputs!$B$38="pvp",15,MAX(0.1,Skills!D9-IF(Skills!E9=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Skills!E9=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Skills!E9=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IFERROR(1/IF(Inputs!$B$38="pvp",15,MAX(0.1,Skills!D11-IF(Skills!E11=TRUE,Inputs!$B$32,0))),0)</f>
        <v/>
      </c>
      <c r="R1882">
        <f>IF(AND(Inputs!$B$38&lt;&gt;"pvp",Inputs!$B$43&gt;0),IF(MAX(0,Inputs!$B$43-B1910)&lt;=0,0,(INT(MAX(0,Inputs!$B$43-B1910)/IF(Inputs!$B$38="pvp",15,MAX(0.1,Skills!D11-IF(Skills!E11=TRUE,Inputs!$B$32,0))))+1)),0)</f>
        <v/>
      </c>
      <c r="S1882">
        <f>IFERROR((H1882*N1882*IF(AND(Inputs!$B$38&lt;&gt;"pvp",Inputs!$B$43&gt;0),((Skills!G11*((R1882-1)*IF(Skills!H11&gt;0,Skills!I11/Skills!H11,1)+IF(Skills!H11&gt;0,MIN(Skills!I11,MAX(0,MAX(0,Inputs!$B$43-B1910)-((R1882-1)*IF(Inputs!$B$38="pvp",15,MAX(0.1,Skills!D11-IF(Skills!E11=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Skills!E11=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Skills!E11=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IFERROR(1/IF(Inputs!$B$38="pvp",15,MAX(0.1,Skills!D15-IF(Skills!E15=TRUE,Inputs!$B$32,0))),0)</f>
        <v/>
      </c>
      <c r="R1886">
        <f>IF(AND(Inputs!$B$38&lt;&gt;"pvp",Inputs!$B$43&gt;0),IF(Inputs!$B$43&lt;=0,0,(INT(Inputs!$B$43/IF(Inputs!$B$38="pvp",15,MAX(0.1,Skills!D15-IF(Skills!E15=TRUE,Inputs!$B$32,0))))+1)),0)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IFERROR(1/IF(Inputs!$B$38="pvp",15,MAX(0.1,Skills!D16-IF(Skills!E16=TRUE,Inputs!$B$32,0))),0)</f>
        <v/>
      </c>
      <c r="R1887">
        <f>IF(AND(Inputs!$B$38&lt;&gt;"pvp",Inputs!$B$43&gt;0),IF(Inputs!$B$43&lt;=0,0,(INT(Inputs!$B$43/IF(Inputs!$B$38="pvp",15,MAX(0.1,Skills!D16-IF(Skills!E16=TRUE,Inputs!$B$32,0))))+1)),0)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IFERROR(1/IF(Inputs!$B$38="pvp",15,MAX(0.1,Skills!D18-IF(Skills!E18=TRUE,Inputs!$B$32,0))),0)</f>
        <v/>
      </c>
      <c r="R1889">
        <f>IF(AND(Inputs!$B$38&lt;&gt;"pvp",Inputs!$B$43&gt;0),IF(Inputs!$B$43&lt;=0,0,(INT(Inputs!$B$43/IF(Inputs!$B$38="pvp",15,MAX(0.1,Skills!D18-IF(Skills!E18=TRUE,Inputs!$B$32,0))))+1)),0)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f>(C1887=TRUE)*20*IF(AND(Inputs!$B$38&lt;&gt;"pvp",Inputs!$B$43&gt;0),(((R1887-1)*(Skills!T16*(1+Inputs!$B$34/100))+MIN((Skills!T16*(1+Inputs!$B$34/100)),MAX(0,Inputs!$B$43-((R1887-1)*Skills!D16))))/Inputs!$B$43),IF(Inputs!$B$38="pvp",MIN((Skills!T16*(1+Inputs!$B$34/100)),15)/15,(Skills!T16*(1+Inputs!$B$34/100))/Skills!D16))</f>
        <v/>
      </c>
    </row>
    <row r="1904">
      <c r="A1904" t="inlineStr">
        <is>
          <t>Attack Speed Buff Bonus %</t>
        </is>
      </c>
      <c r="B1904">
        <f>((C1889=TRUE)*F1889*IF(AND(Inputs!$B$38&lt;&gt;"pvp",Inputs!$B$43&gt;0),(((R1889-1)*(Skills!T18*(1+Inputs!$B$34/100))+MIN((Skills!T18*(1+Inputs!$B$34/100)),MAX(0,Inputs!$B$43-((R1889-1)*Skills!D18))))/Inputs!$B$43),IF(Inputs!$B$38="pvp",MIN((Skills!T18*(1+Inputs!$B$34/100)),15)/15,(Skills!T18*(1+Inputs!$B$34/100))/Skills!D18)))</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Skills!T16*(1+Inputs!$B$34/100))+MIN((Skills!T16*(1+Inputs!$B$34/100)),MAX(0,Inputs!$B$43-((R1887-1)*Skills!D16))))/Inputs!$B$43),IF(Inputs!$B$38="pvp",MIN((Skills!T16*(1+Inputs!$B$34/100)),15)/15,(Skills!T16*(1+Inputs!$B$34/100))/Skills!D16))</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IFERROR(1/IF(Inputs!$B$38="pvp",15,MAX(0.1,Skills!D5-IF(Skills!E5=TRUE,Inputs!$B$32,0))),0)</f>
        <v/>
      </c>
      <c r="R1921">
        <f>IF(AND(Inputs!$B$38&lt;&gt;"pvp",Inputs!$B$43&gt;0),IF(MAX(0,Inputs!$B$43-B1955)&lt;=0,0,(INT(MAX(0,Inputs!$B$43-B1955)/IF(Inputs!$B$38="pvp",15,MAX(0.1,Skills!D5-IF(Skills!E5=TRUE,Inputs!$B$32,0))))+1)),0)</f>
        <v/>
      </c>
      <c r="S1921">
        <f>IFERROR((H1921*N1921*IF(AND(Inputs!$B$38&lt;&gt;"pvp",Inputs!$B$43&gt;0),((Skills!G5*((R1921-1)*IF(Skills!H5&gt;0,Skills!I5/Skills!H5,1)+IF(Skills!H5&gt;0,MIN(Skills!I5,MAX(0,MAX(0,Inputs!$B$43-B1955)-((R1921-1)*IF(Inputs!$B$38="pvp",15,MAX(0.1,Skills!D5-IF(Skills!E5=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Skills!E5=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Skills!E5=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IFERROR(1/IF(Inputs!$B$38="pvp",15,MAX(0.1,Skills!D6-IF(Skills!E6=TRUE,Inputs!$B$32,0))),0)</f>
        <v/>
      </c>
      <c r="R1922">
        <f>IF(AND(Inputs!$B$38&lt;&gt;"pvp",Inputs!$B$43&gt;0),IF(MAX(0,Inputs!$B$43-B1955)&lt;=0,0,(INT(MAX(0,Inputs!$B$43-B1955)/IF(Inputs!$B$38="pvp",15,MAX(0.1,Skills!D6-IF(Skills!E6=TRUE,Inputs!$B$32,0))))+1)),0)</f>
        <v/>
      </c>
      <c r="S1922">
        <f>IFERROR((H1922*N1922*IF(AND(Inputs!$B$38&lt;&gt;"pvp",Inputs!$B$43&gt;0),((Skills!G6*((R1922-1)*IF(Skills!H6&gt;0,Skills!I6/Skills!H6,1)+IF(Skills!H6&gt;0,MIN(Skills!I6,MAX(0,MAX(0,Inputs!$B$43-B1955)-((R1922-1)*IF(Inputs!$B$38="pvp",15,MAX(0.1,Skills!D6-IF(Skills!E6=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Skills!E6=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Skills!E6=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IFERROR(1/IF(Inputs!$B$38="pvp",15,MAX(0.1,Skills!D7-IF(Skills!E7=TRUE,Inputs!$B$32,0))),0)</f>
        <v/>
      </c>
      <c r="R1923">
        <f>IF(AND(Inputs!$B$38&lt;&gt;"pvp",Inputs!$B$43&gt;0),IF(MAX(0,Inputs!$B$43-B1955)&lt;=0,0,(INT(MAX(0,Inputs!$B$43-B1955)/IF(Inputs!$B$38="pvp",15,MAX(0.1,Skills!D7-IF(Skills!E7=TRUE,Inputs!$B$32,0))))+1)),0)</f>
        <v/>
      </c>
      <c r="S1923">
        <f>IFERROR((H1923*N1923*IF(AND(Inputs!$B$38&lt;&gt;"pvp",Inputs!$B$43&gt;0),((Skills!G7*((R1923-1)*IF(Skills!H7&gt;0,Skills!I7/Skills!H7,1)+IF(Skills!H7&gt;0,MIN(Skills!I7,MAX(0,MAX(0,Inputs!$B$43-B1955)-((R1923-1)*IF(Inputs!$B$38="pvp",15,MAX(0.1,Skills!D7-IF(Skills!E7=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Skills!E7=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Skills!E7=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IFERROR(1/IF(Inputs!$B$38="pvp",15,MAX(0.1,Skills!D9-IF(Skills!E9=TRUE,Inputs!$B$32,0))),0)</f>
        <v/>
      </c>
      <c r="R1925">
        <f>IF(AND(Inputs!$B$38&lt;&gt;"pvp",Inputs!$B$43&gt;0),IF(MAX(0,Inputs!$B$43-B1955)&lt;=0,0,(INT(MAX(0,Inputs!$B$43-B1955)/IF(Inputs!$B$38="pvp",15,MAX(0.1,Skills!D9-IF(Skills!E9=TRUE,Inputs!$B$32,0))))+1)),0)</f>
        <v/>
      </c>
      <c r="S1925">
        <f>IFERROR((H1925*N1925*IF(AND(Inputs!$B$38&lt;&gt;"pvp",Inputs!$B$43&gt;0),((Skills!G9*((R1925-1)*IF(Skills!H9&gt;0,Skills!I9/Skills!H9,1)+IF(Skills!H9&gt;0,MIN(Skills!I9,MAX(0,MAX(0,Inputs!$B$43-B1955)-((R1925-1)*IF(Inputs!$B$38="pvp",15,MAX(0.1,Skills!D9-IF(Skills!E9=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Skills!E9=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Skills!E9=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IFERROR(1/IF(Inputs!$B$38="pvp",15,MAX(0.1,Skills!D11-IF(Skills!E11=TRUE,Inputs!$B$32,0))),0)</f>
        <v/>
      </c>
      <c r="R1927">
        <f>IF(AND(Inputs!$B$38&lt;&gt;"pvp",Inputs!$B$43&gt;0),IF(MAX(0,Inputs!$B$43-B1955)&lt;=0,0,(INT(MAX(0,Inputs!$B$43-B1955)/IF(Inputs!$B$38="pvp",15,MAX(0.1,Skills!D11-IF(Skills!E11=TRUE,Inputs!$B$32,0))))+1)),0)</f>
        <v/>
      </c>
      <c r="S1927">
        <f>IFERROR((H1927*N1927*IF(AND(Inputs!$B$38&lt;&gt;"pvp",Inputs!$B$43&gt;0),((Skills!G11*((R1927-1)*IF(Skills!H11&gt;0,Skills!I11/Skills!H11,1)+IF(Skills!H11&gt;0,MIN(Skills!I11,MAX(0,MAX(0,Inputs!$B$43-B1955)-((R1927-1)*IF(Inputs!$B$38="pvp",15,MAX(0.1,Skills!D11-IF(Skills!E11=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Skills!E11=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Skills!E11=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IFERROR(1/IF(Inputs!$B$38="pvp",15,MAX(0.1,Skills!D15-IF(Skills!E15=TRUE,Inputs!$B$32,0))),0)</f>
        <v/>
      </c>
      <c r="R1931">
        <f>IF(AND(Inputs!$B$38&lt;&gt;"pvp",Inputs!$B$43&gt;0),IF(Inputs!$B$43&lt;=0,0,(INT(Inputs!$B$43/IF(Inputs!$B$38="pvp",15,MAX(0.1,Skills!D15-IF(Skills!E15=TRUE,Inputs!$B$32,0))))+1)),0)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IFERROR(1/IF(Inputs!$B$38="pvp",15,MAX(0.1,Skills!D16-IF(Skills!E16=TRUE,Inputs!$B$32,0))),0)</f>
        <v/>
      </c>
      <c r="R1932">
        <f>IF(AND(Inputs!$B$38&lt;&gt;"pvp",Inputs!$B$43&gt;0),IF(Inputs!$B$43&lt;=0,0,(INT(Inputs!$B$43/IF(Inputs!$B$38="pvp",15,MAX(0.1,Skills!D16-IF(Skills!E16=TRUE,Inputs!$B$32,0))))+1)),0)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IFERROR(1/IF(Inputs!$B$38="pvp",15,MAX(0.1,Skills!D18-IF(Skills!E18=TRUE,Inputs!$B$32,0))),0)</f>
        <v/>
      </c>
      <c r="R1934">
        <f>IF(AND(Inputs!$B$38&lt;&gt;"pvp",Inputs!$B$43&gt;0),IF(Inputs!$B$43&lt;=0,0,(INT(Inputs!$B$43/IF(Inputs!$B$38="pvp",15,MAX(0.1,Skills!D18-IF(Skills!E18=TRUE,Inputs!$B$32,0))))+1)),0)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f>(C1932=TRUE)*20*IF(AND(Inputs!$B$38&lt;&gt;"pvp",Inputs!$B$43&gt;0),(((R1932-1)*(Skills!T16*(1+Inputs!$B$34/100))+MIN((Skills!T16*(1+Inputs!$B$34/100)),MAX(0,Inputs!$B$43-((R1932-1)*Skills!D16))))/Inputs!$B$43),IF(Inputs!$B$38="pvp",MIN((Skills!T16*(1+Inputs!$B$34/100)),15)/15,(Skills!T16*(1+Inputs!$B$34/100))/Skills!D16))</f>
        <v/>
      </c>
    </row>
    <row r="1949">
      <c r="A1949" t="inlineStr">
        <is>
          <t>Attack Speed Buff Bonus %</t>
        </is>
      </c>
      <c r="B1949">
        <f>((C1934=TRUE)*F1934*IF(AND(Inputs!$B$38&lt;&gt;"pvp",Inputs!$B$43&gt;0),(((R1934-1)*(Skills!T18*(1+Inputs!$B$34/100))+MIN((Skills!T18*(1+Inputs!$B$34/100)),MAX(0,Inputs!$B$43-((R1934-1)*Skills!D18))))/Inputs!$B$43),IF(Inputs!$B$38="pvp",MIN((Skills!T18*(1+Inputs!$B$34/100)),15)/15,(Skills!T18*(1+Inputs!$B$34/100))/Skills!D18)))</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Skills!T16*(1+Inputs!$B$34/100))+MIN((Skills!T16*(1+Inputs!$B$34/100)),MAX(0,Inputs!$B$43-((R1932-1)*Skills!D16))))/Inputs!$B$43),IF(Inputs!$B$38="pvp",MIN((Skills!T16*(1+Inputs!$B$34/100)),15)/15,(Skills!T16*(1+Inputs!$B$34/100))/Skills!D16))</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IFERROR(1/IF(Inputs!$B$38="pvp",15,MAX(0.1,Skills!D5-IF(Skills!E5=TRUE,Inputs!$B$32,0))),0)</f>
        <v/>
      </c>
      <c r="R1966">
        <f>IF(AND(Inputs!$B$38&lt;&gt;"pvp",Inputs!$B$43&gt;0),IF(MAX(0,Inputs!$B$43-B2000)&lt;=0,0,(INT(MAX(0,Inputs!$B$43-B2000)/IF(Inputs!$B$38="pvp",15,MAX(0.1,Skills!D5-IF(Skills!E5=TRUE,Inputs!$B$32,0))))+1)),0)</f>
        <v/>
      </c>
      <c r="S1966">
        <f>IFERROR((H1966*N1966*IF(AND(Inputs!$B$38&lt;&gt;"pvp",Inputs!$B$43&gt;0),((Skills!G5*((R1966-1)*IF(Skills!H5&gt;0,Skills!I5/Skills!H5,1)+IF(Skills!H5&gt;0,MIN(Skills!I5,MAX(0,MAX(0,Inputs!$B$43-B2000)-((R1966-1)*IF(Inputs!$B$38="pvp",15,MAX(0.1,Skills!D5-IF(Skills!E5=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Skills!E5=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Skills!E5=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IFERROR(1/IF(Inputs!$B$38="pvp",15,MAX(0.1,Skills!D6-IF(Skills!E6=TRUE,Inputs!$B$32,0))),0)</f>
        <v/>
      </c>
      <c r="R1967">
        <f>IF(AND(Inputs!$B$38&lt;&gt;"pvp",Inputs!$B$43&gt;0),IF(MAX(0,Inputs!$B$43-B2000)&lt;=0,0,(INT(MAX(0,Inputs!$B$43-B2000)/IF(Inputs!$B$38="pvp",15,MAX(0.1,Skills!D6-IF(Skills!E6=TRUE,Inputs!$B$32,0))))+1)),0)</f>
        <v/>
      </c>
      <c r="S1967">
        <f>IFERROR((H1967*N1967*IF(AND(Inputs!$B$38&lt;&gt;"pvp",Inputs!$B$43&gt;0),((Skills!G6*((R1967-1)*IF(Skills!H6&gt;0,Skills!I6/Skills!H6,1)+IF(Skills!H6&gt;0,MIN(Skills!I6,MAX(0,MAX(0,Inputs!$B$43-B2000)-((R1967-1)*IF(Inputs!$B$38="pvp",15,MAX(0.1,Skills!D6-IF(Skills!E6=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Skills!E6=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Skills!E6=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IFERROR(1/IF(Inputs!$B$38="pvp",15,MAX(0.1,Skills!D7-IF(Skills!E7=TRUE,Inputs!$B$32,0))),0)</f>
        <v/>
      </c>
      <c r="R1968">
        <f>IF(AND(Inputs!$B$38&lt;&gt;"pvp",Inputs!$B$43&gt;0),IF(MAX(0,Inputs!$B$43-B2000)&lt;=0,0,(INT(MAX(0,Inputs!$B$43-B2000)/IF(Inputs!$B$38="pvp",15,MAX(0.1,Skills!D7-IF(Skills!E7=TRUE,Inputs!$B$32,0))))+1)),0)</f>
        <v/>
      </c>
      <c r="S1968">
        <f>IFERROR((H1968*N1968*IF(AND(Inputs!$B$38&lt;&gt;"pvp",Inputs!$B$43&gt;0),((Skills!G7*((R1968-1)*IF(Skills!H7&gt;0,Skills!I7/Skills!H7,1)+IF(Skills!H7&gt;0,MIN(Skills!I7,MAX(0,MAX(0,Inputs!$B$43-B2000)-((R1968-1)*IF(Inputs!$B$38="pvp",15,MAX(0.1,Skills!D7-IF(Skills!E7=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Skills!E7=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Skills!E7=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IFERROR(1/IF(Inputs!$B$38="pvp",15,MAX(0.1,Skills!D9-IF(Skills!E9=TRUE,Inputs!$B$32,0))),0)</f>
        <v/>
      </c>
      <c r="R1970">
        <f>IF(AND(Inputs!$B$38&lt;&gt;"pvp",Inputs!$B$43&gt;0),IF(MAX(0,Inputs!$B$43-B2000)&lt;=0,0,(INT(MAX(0,Inputs!$B$43-B2000)/IF(Inputs!$B$38="pvp",15,MAX(0.1,Skills!D9-IF(Skills!E9=TRUE,Inputs!$B$32,0))))+1)),0)</f>
        <v/>
      </c>
      <c r="S1970">
        <f>IFERROR((H1970*N1970*IF(AND(Inputs!$B$38&lt;&gt;"pvp",Inputs!$B$43&gt;0),((Skills!G9*((R1970-1)*IF(Skills!H9&gt;0,Skills!I9/Skills!H9,1)+IF(Skills!H9&gt;0,MIN(Skills!I9,MAX(0,MAX(0,Inputs!$B$43-B2000)-((R1970-1)*IF(Inputs!$B$38="pvp",15,MAX(0.1,Skills!D9-IF(Skills!E9=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Skills!E9=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Skills!E9=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IFERROR(1/IF(Inputs!$B$38="pvp",15,MAX(0.1,Skills!D11-IF(Skills!E11=TRUE,Inputs!$B$32,0))),0)</f>
        <v/>
      </c>
      <c r="R1972">
        <f>IF(AND(Inputs!$B$38&lt;&gt;"pvp",Inputs!$B$43&gt;0),IF(MAX(0,Inputs!$B$43-B2000)&lt;=0,0,(INT(MAX(0,Inputs!$B$43-B2000)/IF(Inputs!$B$38="pvp",15,MAX(0.1,Skills!D11-IF(Skills!E11=TRUE,Inputs!$B$32,0))))+1)),0)</f>
        <v/>
      </c>
      <c r="S1972">
        <f>IFERROR((H1972*N1972*IF(AND(Inputs!$B$38&lt;&gt;"pvp",Inputs!$B$43&gt;0),((Skills!G11*((R1972-1)*IF(Skills!H11&gt;0,Skills!I11/Skills!H11,1)+IF(Skills!H11&gt;0,MIN(Skills!I11,MAX(0,MAX(0,Inputs!$B$43-B2000)-((R1972-1)*IF(Inputs!$B$38="pvp",15,MAX(0.1,Skills!D11-IF(Skills!E11=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Skills!E11=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Skills!E11=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IFERROR(1/IF(Inputs!$B$38="pvp",15,MAX(0.1,Skills!D15-IF(Skills!E15=TRUE,Inputs!$B$32,0))),0)</f>
        <v/>
      </c>
      <c r="R1976">
        <f>IF(AND(Inputs!$B$38&lt;&gt;"pvp",Inputs!$B$43&gt;0),IF(Inputs!$B$43&lt;=0,0,(INT(Inputs!$B$43/IF(Inputs!$B$38="pvp",15,MAX(0.1,Skills!D15-IF(Skills!E15=TRUE,Inputs!$B$32,0))))+1)),0)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IFERROR(1/IF(Inputs!$B$38="pvp",15,MAX(0.1,Skills!D16-IF(Skills!E16=TRUE,Inputs!$B$32,0))),0)</f>
        <v/>
      </c>
      <c r="R1977">
        <f>IF(AND(Inputs!$B$38&lt;&gt;"pvp",Inputs!$B$43&gt;0),IF(Inputs!$B$43&lt;=0,0,(INT(Inputs!$B$43/IF(Inputs!$B$38="pvp",15,MAX(0.1,Skills!D16-IF(Skills!E16=TRUE,Inputs!$B$32,0))))+1)),0)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IFERROR(1/IF(Inputs!$B$38="pvp",15,MAX(0.1,Skills!D18-IF(Skills!E18=TRUE,Inputs!$B$32,0))),0)</f>
        <v/>
      </c>
      <c r="R1979">
        <f>IF(AND(Inputs!$B$38&lt;&gt;"pvp",Inputs!$B$43&gt;0),IF(Inputs!$B$43&lt;=0,0,(INT(Inputs!$B$43/IF(Inputs!$B$38="pvp",15,MAX(0.1,Skills!D18-IF(Skills!E18=TRUE,Inputs!$B$32,0))))+1)),0)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f>(C1977=TRUE)*20*IF(AND(Inputs!$B$38&lt;&gt;"pvp",Inputs!$B$43&gt;0),(((R1977-1)*(Skills!T16*(1+Inputs!$B$34/100))+MIN((Skills!T16*(1+Inputs!$B$34/100)),MAX(0,Inputs!$B$43-((R1977-1)*Skills!D16))))/Inputs!$B$43),IF(Inputs!$B$38="pvp",MIN((Skills!T16*(1+Inputs!$B$34/100)),15)/15,(Skills!T16*(1+Inputs!$B$34/100))/Skills!D16))</f>
        <v/>
      </c>
    </row>
    <row r="1994">
      <c r="A1994" t="inlineStr">
        <is>
          <t>Attack Speed Buff Bonus %</t>
        </is>
      </c>
      <c r="B1994">
        <f>((C1979=TRUE)*F1979*IF(AND(Inputs!$B$38&lt;&gt;"pvp",Inputs!$B$43&gt;0),(((R1979-1)*(Skills!T18*(1+Inputs!$B$34/100))+MIN((Skills!T18*(1+Inputs!$B$34/100)),MAX(0,Inputs!$B$43-((R1979-1)*Skills!D18))))/Inputs!$B$43),IF(Inputs!$B$38="pvp",MIN((Skills!T18*(1+Inputs!$B$34/100)),15)/15,(Skills!T18*(1+Inputs!$B$34/100))/Skills!D18)))</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Skills!T16*(1+Inputs!$B$34/100))+MIN((Skills!T16*(1+Inputs!$B$34/100)),MAX(0,Inputs!$B$43-((R1977-1)*Skills!D16))))/Inputs!$B$43),IF(Inputs!$B$38="pvp",MIN((Skills!T16*(1+Inputs!$B$34/100)),15)/15,(Skills!T16*(1+Inputs!$B$34/100))/Skills!D16))</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IFERROR(1/IF(Inputs!$B$38="pvp",15,MAX(0.1,Skills!D5-IF(Skills!E5=TRUE,Inputs!$B$32,0))),0)</f>
        <v/>
      </c>
      <c r="R2011">
        <f>IF(AND(Inputs!$B$38&lt;&gt;"pvp",Inputs!$B$43&gt;0),IF(MAX(0,Inputs!$B$43-B2045)&lt;=0,0,(INT(MAX(0,Inputs!$B$43-B2045)/IF(Inputs!$B$38="pvp",15,MAX(0.1,Skills!D5-IF(Skills!E5=TRUE,Inputs!$B$32,0))))+1)),0)</f>
        <v/>
      </c>
      <c r="S2011">
        <f>IFERROR((H2011*N2011*IF(AND(Inputs!$B$38&lt;&gt;"pvp",Inputs!$B$43&gt;0),((Skills!G5*((R2011-1)*IF(Skills!H5&gt;0,Skills!I5/Skills!H5,1)+IF(Skills!H5&gt;0,MIN(Skills!I5,MAX(0,MAX(0,Inputs!$B$43-B2045)-((R2011-1)*IF(Inputs!$B$38="pvp",15,MAX(0.1,Skills!D5-IF(Skills!E5=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Skills!E5=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Skills!E5=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IFERROR(1/IF(Inputs!$B$38="pvp",15,MAX(0.1,Skills!D6-IF(Skills!E6=TRUE,Inputs!$B$32,0))),0)</f>
        <v/>
      </c>
      <c r="R2012">
        <f>IF(AND(Inputs!$B$38&lt;&gt;"pvp",Inputs!$B$43&gt;0),IF(MAX(0,Inputs!$B$43-B2045)&lt;=0,0,(INT(MAX(0,Inputs!$B$43-B2045)/IF(Inputs!$B$38="pvp",15,MAX(0.1,Skills!D6-IF(Skills!E6=TRUE,Inputs!$B$32,0))))+1)),0)</f>
        <v/>
      </c>
      <c r="S2012">
        <f>IFERROR((H2012*N2012*IF(AND(Inputs!$B$38&lt;&gt;"pvp",Inputs!$B$43&gt;0),((Skills!G6*((R2012-1)*IF(Skills!H6&gt;0,Skills!I6/Skills!H6,1)+IF(Skills!H6&gt;0,MIN(Skills!I6,MAX(0,MAX(0,Inputs!$B$43-B2045)-((R2012-1)*IF(Inputs!$B$38="pvp",15,MAX(0.1,Skills!D6-IF(Skills!E6=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Skills!E6=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Skills!E6=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IFERROR(1/IF(Inputs!$B$38="pvp",15,MAX(0.1,Skills!D7-IF(Skills!E7=TRUE,Inputs!$B$32,0))),0)</f>
        <v/>
      </c>
      <c r="R2013">
        <f>IF(AND(Inputs!$B$38&lt;&gt;"pvp",Inputs!$B$43&gt;0),IF(MAX(0,Inputs!$B$43-B2045)&lt;=0,0,(INT(MAX(0,Inputs!$B$43-B2045)/IF(Inputs!$B$38="pvp",15,MAX(0.1,Skills!D7-IF(Skills!E7=TRUE,Inputs!$B$32,0))))+1)),0)</f>
        <v/>
      </c>
      <c r="S2013">
        <f>IFERROR((H2013*N2013*IF(AND(Inputs!$B$38&lt;&gt;"pvp",Inputs!$B$43&gt;0),((Skills!G7*((R2013-1)*IF(Skills!H7&gt;0,Skills!I7/Skills!H7,1)+IF(Skills!H7&gt;0,MIN(Skills!I7,MAX(0,MAX(0,Inputs!$B$43-B2045)-((R2013-1)*IF(Inputs!$B$38="pvp",15,MAX(0.1,Skills!D7-IF(Skills!E7=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Skills!E7=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Skills!E7=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IFERROR(1/IF(Inputs!$B$38="pvp",15,MAX(0.1,Skills!D9-IF(Skills!E9=TRUE,Inputs!$B$32,0))),0)</f>
        <v/>
      </c>
      <c r="R2015">
        <f>IF(AND(Inputs!$B$38&lt;&gt;"pvp",Inputs!$B$43&gt;0),IF(MAX(0,Inputs!$B$43-B2045)&lt;=0,0,(INT(MAX(0,Inputs!$B$43-B2045)/IF(Inputs!$B$38="pvp",15,MAX(0.1,Skills!D9-IF(Skills!E9=TRUE,Inputs!$B$32,0))))+1)),0)</f>
        <v/>
      </c>
      <c r="S2015">
        <f>IFERROR((H2015*N2015*IF(AND(Inputs!$B$38&lt;&gt;"pvp",Inputs!$B$43&gt;0),((Skills!G9*((R2015-1)*IF(Skills!H9&gt;0,Skills!I9/Skills!H9,1)+IF(Skills!H9&gt;0,MIN(Skills!I9,MAX(0,MAX(0,Inputs!$B$43-B2045)-((R2015-1)*IF(Inputs!$B$38="pvp",15,MAX(0.1,Skills!D9-IF(Skills!E9=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Skills!E9=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Skills!E9=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IFERROR(1/IF(Inputs!$B$38="pvp",15,MAX(0.1,Skills!D11-IF(Skills!E11=TRUE,Inputs!$B$32,0))),0)</f>
        <v/>
      </c>
      <c r="R2017">
        <f>IF(AND(Inputs!$B$38&lt;&gt;"pvp",Inputs!$B$43&gt;0),IF(MAX(0,Inputs!$B$43-B2045)&lt;=0,0,(INT(MAX(0,Inputs!$B$43-B2045)/IF(Inputs!$B$38="pvp",15,MAX(0.1,Skills!D11-IF(Skills!E11=TRUE,Inputs!$B$32,0))))+1)),0)</f>
        <v/>
      </c>
      <c r="S2017">
        <f>IFERROR((H2017*N2017*IF(AND(Inputs!$B$38&lt;&gt;"pvp",Inputs!$B$43&gt;0),((Skills!G11*((R2017-1)*IF(Skills!H11&gt;0,Skills!I11/Skills!H11,1)+IF(Skills!H11&gt;0,MIN(Skills!I11,MAX(0,MAX(0,Inputs!$B$43-B2045)-((R2017-1)*IF(Inputs!$B$38="pvp",15,MAX(0.1,Skills!D11-IF(Skills!E11=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Skills!E11=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Skills!E11=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IFERROR(1/IF(Inputs!$B$38="pvp",15,MAX(0.1,Skills!D15-IF(Skills!E15=TRUE,Inputs!$B$32,0))),0)</f>
        <v/>
      </c>
      <c r="R2021">
        <f>IF(AND(Inputs!$B$38&lt;&gt;"pvp",Inputs!$B$43&gt;0),IF(Inputs!$B$43&lt;=0,0,(INT(Inputs!$B$43/IF(Inputs!$B$38="pvp",15,MAX(0.1,Skills!D15-IF(Skills!E15=TRUE,Inputs!$B$32,0))))+1)),0)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IFERROR(1/IF(Inputs!$B$38="pvp",15,MAX(0.1,Skills!D16-IF(Skills!E16=TRUE,Inputs!$B$32,0))),0)</f>
        <v/>
      </c>
      <c r="R2022">
        <f>IF(AND(Inputs!$B$38&lt;&gt;"pvp",Inputs!$B$43&gt;0),IF(Inputs!$B$43&lt;=0,0,(INT(Inputs!$B$43/IF(Inputs!$B$38="pvp",15,MAX(0.1,Skills!D16-IF(Skills!E16=TRUE,Inputs!$B$32,0))))+1)),0)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IFERROR(1/IF(Inputs!$B$38="pvp",15,MAX(0.1,Skills!D18-IF(Skills!E18=TRUE,Inputs!$B$32,0))),0)</f>
        <v/>
      </c>
      <c r="R2024">
        <f>IF(AND(Inputs!$B$38&lt;&gt;"pvp",Inputs!$B$43&gt;0),IF(Inputs!$B$43&lt;=0,0,(INT(Inputs!$B$43/IF(Inputs!$B$38="pvp",15,MAX(0.1,Skills!D18-IF(Skills!E18=TRUE,Inputs!$B$32,0))))+1)),0)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f>(C2022=TRUE)*20*IF(AND(Inputs!$B$38&lt;&gt;"pvp",Inputs!$B$43&gt;0),(((R2022-1)*(Skills!T16*(1+Inputs!$B$34/100))+MIN((Skills!T16*(1+Inputs!$B$34/100)),MAX(0,Inputs!$B$43-((R2022-1)*Skills!D16))))/Inputs!$B$43),IF(Inputs!$B$38="pvp",MIN((Skills!T16*(1+Inputs!$B$34/100)),15)/15,(Skills!T16*(1+Inputs!$B$34/100))/Skills!D16))</f>
        <v/>
      </c>
    </row>
    <row r="2039">
      <c r="A2039" t="inlineStr">
        <is>
          <t>Attack Speed Buff Bonus %</t>
        </is>
      </c>
      <c r="B2039">
        <f>((C2024=TRUE)*F2024*IF(AND(Inputs!$B$38&lt;&gt;"pvp",Inputs!$B$43&gt;0),(((R2024-1)*(Skills!T18*(1+Inputs!$B$34/100))+MIN((Skills!T18*(1+Inputs!$B$34/100)),MAX(0,Inputs!$B$43-((R2024-1)*Skills!D18))))/Inputs!$B$43),IF(Inputs!$B$38="pvp",MIN((Skills!T18*(1+Inputs!$B$34/100)),15)/15,(Skills!T18*(1+Inputs!$B$34/100))/Skills!D18)))</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Skills!T16*(1+Inputs!$B$34/100))+MIN((Skills!T16*(1+Inputs!$B$34/100)),MAX(0,Inputs!$B$43-((R2022-1)*Skills!D16))))/Inputs!$B$43),IF(Inputs!$B$38="pvp",MIN((Skills!T16*(1+Inputs!$B$34/100)),15)/15,(Skills!T16*(1+Inputs!$B$34/100))/Skills!D16))</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IFERROR(1/IF(Inputs!$B$38="pvp",15,MAX(0.1,Skills!D5-IF(Skills!E5=TRUE,Inputs!$B$32,0))),0)</f>
        <v/>
      </c>
      <c r="R2056">
        <f>IF(AND(Inputs!$B$38&lt;&gt;"pvp",Inputs!$B$43&gt;0),IF(MAX(0,Inputs!$B$43-B2090)&lt;=0,0,(INT(MAX(0,Inputs!$B$43-B2090)/IF(Inputs!$B$38="pvp",15,MAX(0.1,Skills!D5-IF(Skills!E5=TRUE,Inputs!$B$32,0))))+1)),0)</f>
        <v/>
      </c>
      <c r="S2056">
        <f>IFERROR((H2056*N2056*IF(AND(Inputs!$B$38&lt;&gt;"pvp",Inputs!$B$43&gt;0),((Skills!G5*((R2056-1)*IF(Skills!H5&gt;0,Skills!I5/Skills!H5,1)+IF(Skills!H5&gt;0,MIN(Skills!I5,MAX(0,MAX(0,Inputs!$B$43-B2090)-((R2056-1)*IF(Inputs!$B$38="pvp",15,MAX(0.1,Skills!D5-IF(Skills!E5=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Skills!E5=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Skills!E5=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IFERROR(1/IF(Inputs!$B$38="pvp",15,MAX(0.1,Skills!D6-IF(Skills!E6=TRUE,Inputs!$B$32,0))),0)</f>
        <v/>
      </c>
      <c r="R2057">
        <f>IF(AND(Inputs!$B$38&lt;&gt;"pvp",Inputs!$B$43&gt;0),IF(MAX(0,Inputs!$B$43-B2090)&lt;=0,0,(INT(MAX(0,Inputs!$B$43-B2090)/IF(Inputs!$B$38="pvp",15,MAX(0.1,Skills!D6-IF(Skills!E6=TRUE,Inputs!$B$32,0))))+1)),0)</f>
        <v/>
      </c>
      <c r="S2057">
        <f>IFERROR((H2057*N2057*IF(AND(Inputs!$B$38&lt;&gt;"pvp",Inputs!$B$43&gt;0),((Skills!G6*((R2057-1)*IF(Skills!H6&gt;0,Skills!I6/Skills!H6,1)+IF(Skills!H6&gt;0,MIN(Skills!I6,MAX(0,MAX(0,Inputs!$B$43-B2090)-((R2057-1)*IF(Inputs!$B$38="pvp",15,MAX(0.1,Skills!D6-IF(Skills!E6=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Skills!E6=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Skills!E6=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IFERROR(1/IF(Inputs!$B$38="pvp",15,MAX(0.1,Skills!D7-IF(Skills!E7=TRUE,Inputs!$B$32,0))),0)</f>
        <v/>
      </c>
      <c r="R2058">
        <f>IF(AND(Inputs!$B$38&lt;&gt;"pvp",Inputs!$B$43&gt;0),IF(MAX(0,Inputs!$B$43-B2090)&lt;=0,0,(INT(MAX(0,Inputs!$B$43-B2090)/IF(Inputs!$B$38="pvp",15,MAX(0.1,Skills!D7-IF(Skills!E7=TRUE,Inputs!$B$32,0))))+1)),0)</f>
        <v/>
      </c>
      <c r="S2058">
        <f>IFERROR((H2058*N2058*IF(AND(Inputs!$B$38&lt;&gt;"pvp",Inputs!$B$43&gt;0),((Skills!G7*((R2058-1)*IF(Skills!H7&gt;0,Skills!I7/Skills!H7,1)+IF(Skills!H7&gt;0,MIN(Skills!I7,MAX(0,MAX(0,Inputs!$B$43-B2090)-((R2058-1)*IF(Inputs!$B$38="pvp",15,MAX(0.1,Skills!D7-IF(Skills!E7=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Skills!E7=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Skills!E7=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IFERROR(1/IF(Inputs!$B$38="pvp",15,MAX(0.1,Skills!D9-IF(Skills!E9=TRUE,Inputs!$B$32,0))),0)</f>
        <v/>
      </c>
      <c r="R2060">
        <f>IF(AND(Inputs!$B$38&lt;&gt;"pvp",Inputs!$B$43&gt;0),IF(MAX(0,Inputs!$B$43-B2090)&lt;=0,0,(INT(MAX(0,Inputs!$B$43-B2090)/IF(Inputs!$B$38="pvp",15,MAX(0.1,Skills!D9-IF(Skills!E9=TRUE,Inputs!$B$32,0))))+1)),0)</f>
        <v/>
      </c>
      <c r="S2060">
        <f>IFERROR((H2060*N2060*IF(AND(Inputs!$B$38&lt;&gt;"pvp",Inputs!$B$43&gt;0),((Skills!G9*((R2060-1)*IF(Skills!H9&gt;0,Skills!I9/Skills!H9,1)+IF(Skills!H9&gt;0,MIN(Skills!I9,MAX(0,MAX(0,Inputs!$B$43-B2090)-((R2060-1)*IF(Inputs!$B$38="pvp",15,MAX(0.1,Skills!D9-IF(Skills!E9=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Skills!E9=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Skills!E9=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IFERROR(1/IF(Inputs!$B$38="pvp",15,MAX(0.1,Skills!D11-IF(Skills!E11=TRUE,Inputs!$B$32,0))),0)</f>
        <v/>
      </c>
      <c r="R2062">
        <f>IF(AND(Inputs!$B$38&lt;&gt;"pvp",Inputs!$B$43&gt;0),IF(MAX(0,Inputs!$B$43-B2090)&lt;=0,0,(INT(MAX(0,Inputs!$B$43-B2090)/IF(Inputs!$B$38="pvp",15,MAX(0.1,Skills!D11-IF(Skills!E11=TRUE,Inputs!$B$32,0))))+1)),0)</f>
        <v/>
      </c>
      <c r="S2062">
        <f>IFERROR((H2062*N2062*IF(AND(Inputs!$B$38&lt;&gt;"pvp",Inputs!$B$43&gt;0),((Skills!G11*((R2062-1)*IF(Skills!H11&gt;0,Skills!I11/Skills!H11,1)+IF(Skills!H11&gt;0,MIN(Skills!I11,MAX(0,MAX(0,Inputs!$B$43-B2090)-((R2062-1)*IF(Inputs!$B$38="pvp",15,MAX(0.1,Skills!D11-IF(Skills!E11=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Skills!E11=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Skills!E11=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IFERROR(1/IF(Inputs!$B$38="pvp",15,MAX(0.1,Skills!D15-IF(Skills!E15=TRUE,Inputs!$B$32,0))),0)</f>
        <v/>
      </c>
      <c r="R2066">
        <f>IF(AND(Inputs!$B$38&lt;&gt;"pvp",Inputs!$B$43&gt;0),IF(Inputs!$B$43&lt;=0,0,(INT(Inputs!$B$43/IF(Inputs!$B$38="pvp",15,MAX(0.1,Skills!D15-IF(Skills!E15=TRUE,Inputs!$B$32,0))))+1)),0)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IFERROR(1/IF(Inputs!$B$38="pvp",15,MAX(0.1,Skills!D16-IF(Skills!E16=TRUE,Inputs!$B$32,0))),0)</f>
        <v/>
      </c>
      <c r="R2067">
        <f>IF(AND(Inputs!$B$38&lt;&gt;"pvp",Inputs!$B$43&gt;0),IF(Inputs!$B$43&lt;=0,0,(INT(Inputs!$B$43/IF(Inputs!$B$38="pvp",15,MAX(0.1,Skills!D16-IF(Skills!E16=TRUE,Inputs!$B$32,0))))+1)),0)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IFERROR(1/IF(Inputs!$B$38="pvp",15,MAX(0.1,Skills!D18-IF(Skills!E18=TRUE,Inputs!$B$32,0))),0)</f>
        <v/>
      </c>
      <c r="R2069">
        <f>IF(AND(Inputs!$B$38&lt;&gt;"pvp",Inputs!$B$43&gt;0),IF(Inputs!$B$43&lt;=0,0,(INT(Inputs!$B$43/IF(Inputs!$B$38="pvp",15,MAX(0.1,Skills!D18-IF(Skills!E18=TRUE,Inputs!$B$32,0))))+1)),0)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f>(C2067=TRUE)*20*IF(AND(Inputs!$B$38&lt;&gt;"pvp",Inputs!$B$43&gt;0),(((R2067-1)*(Skills!T16*(1+Inputs!$B$34/100))+MIN((Skills!T16*(1+Inputs!$B$34/100)),MAX(0,Inputs!$B$43-((R2067-1)*Skills!D16))))/Inputs!$B$43),IF(Inputs!$B$38="pvp",MIN((Skills!T16*(1+Inputs!$B$34/100)),15)/15,(Skills!T16*(1+Inputs!$B$34/100))/Skills!D16))</f>
        <v/>
      </c>
    </row>
    <row r="2084">
      <c r="A2084" t="inlineStr">
        <is>
          <t>Attack Speed Buff Bonus %</t>
        </is>
      </c>
      <c r="B2084">
        <f>((C2069=TRUE)*F2069*IF(AND(Inputs!$B$38&lt;&gt;"pvp",Inputs!$B$43&gt;0),(((R2069-1)*(Skills!T18*(1+Inputs!$B$34/100))+MIN((Skills!T18*(1+Inputs!$B$34/100)),MAX(0,Inputs!$B$43-((R2069-1)*Skills!D18))))/Inputs!$B$43),IF(Inputs!$B$38="pvp",MIN((Skills!T18*(1+Inputs!$B$34/100)),15)/15,(Skills!T18*(1+Inputs!$B$34/100))/Skills!D18)))</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Skills!T16*(1+Inputs!$B$34/100))+MIN((Skills!T16*(1+Inputs!$B$34/100)),MAX(0,Inputs!$B$43-((R2067-1)*Skills!D16))))/Inputs!$B$43),IF(Inputs!$B$38="pvp",MIN((Skills!T16*(1+Inputs!$B$34/100)),15)/15,(Skills!T16*(1+Inputs!$B$34/100))/Skills!D16))</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IFERROR(1/IF(Inputs!$B$38="pvp",15,MAX(0.1,Skills!D5-IF(Skills!E5=TRUE,Inputs!$B$32,0))),0)</f>
        <v/>
      </c>
      <c r="R2101">
        <f>IF(AND(Inputs!$B$38&lt;&gt;"pvp",Inputs!$B$43&gt;0),IF(MAX(0,Inputs!$B$43-B2135)&lt;=0,0,(INT(MAX(0,Inputs!$B$43-B2135)/IF(Inputs!$B$38="pvp",15,MAX(0.1,Skills!D5-IF(Skills!E5=TRUE,Inputs!$B$32,0))))+1)),0)</f>
        <v/>
      </c>
      <c r="S2101">
        <f>IFERROR((H2101*N2101*IF(AND(Inputs!$B$38&lt;&gt;"pvp",Inputs!$B$43&gt;0),((Skills!G5*((R2101-1)*IF(Skills!H5&gt;0,Skills!I5/Skills!H5,1)+IF(Skills!H5&gt;0,MIN(Skills!I5,MAX(0,MAX(0,Inputs!$B$43-B2135)-((R2101-1)*IF(Inputs!$B$38="pvp",15,MAX(0.1,Skills!D5-IF(Skills!E5=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Skills!E5=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Skills!E5=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IFERROR(1/IF(Inputs!$B$38="pvp",15,MAX(0.1,Skills!D6-IF(Skills!E6=TRUE,Inputs!$B$32,0))),0)</f>
        <v/>
      </c>
      <c r="R2102">
        <f>IF(AND(Inputs!$B$38&lt;&gt;"pvp",Inputs!$B$43&gt;0),IF(MAX(0,Inputs!$B$43-B2135)&lt;=0,0,(INT(MAX(0,Inputs!$B$43-B2135)/IF(Inputs!$B$38="pvp",15,MAX(0.1,Skills!D6-IF(Skills!E6=TRUE,Inputs!$B$32,0))))+1)),0)</f>
        <v/>
      </c>
      <c r="S2102">
        <f>IFERROR((H2102*N2102*IF(AND(Inputs!$B$38&lt;&gt;"pvp",Inputs!$B$43&gt;0),((Skills!G6*((R2102-1)*IF(Skills!H6&gt;0,Skills!I6/Skills!H6,1)+IF(Skills!H6&gt;0,MIN(Skills!I6,MAX(0,MAX(0,Inputs!$B$43-B2135)-((R2102-1)*IF(Inputs!$B$38="pvp",15,MAX(0.1,Skills!D6-IF(Skills!E6=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Skills!E6=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Skills!E6=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IFERROR(1/IF(Inputs!$B$38="pvp",15,MAX(0.1,Skills!D7-IF(Skills!E7=TRUE,Inputs!$B$32,0))),0)</f>
        <v/>
      </c>
      <c r="R2103">
        <f>IF(AND(Inputs!$B$38&lt;&gt;"pvp",Inputs!$B$43&gt;0),IF(MAX(0,Inputs!$B$43-B2135)&lt;=0,0,(INT(MAX(0,Inputs!$B$43-B2135)/IF(Inputs!$B$38="pvp",15,MAX(0.1,Skills!D7-IF(Skills!E7=TRUE,Inputs!$B$32,0))))+1)),0)</f>
        <v/>
      </c>
      <c r="S2103">
        <f>IFERROR((H2103*N2103*IF(AND(Inputs!$B$38&lt;&gt;"pvp",Inputs!$B$43&gt;0),((Skills!G7*((R2103-1)*IF(Skills!H7&gt;0,Skills!I7/Skills!H7,1)+IF(Skills!H7&gt;0,MIN(Skills!I7,MAX(0,MAX(0,Inputs!$B$43-B2135)-((R2103-1)*IF(Inputs!$B$38="pvp",15,MAX(0.1,Skills!D7-IF(Skills!E7=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Skills!E7=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Skills!E7=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IFERROR(1/IF(Inputs!$B$38="pvp",15,MAX(0.1,Skills!D9-IF(Skills!E9=TRUE,Inputs!$B$32,0))),0)</f>
        <v/>
      </c>
      <c r="R2105">
        <f>IF(AND(Inputs!$B$38&lt;&gt;"pvp",Inputs!$B$43&gt;0),IF(MAX(0,Inputs!$B$43-B2135)&lt;=0,0,(INT(MAX(0,Inputs!$B$43-B2135)/IF(Inputs!$B$38="pvp",15,MAX(0.1,Skills!D9-IF(Skills!E9=TRUE,Inputs!$B$32,0))))+1)),0)</f>
        <v/>
      </c>
      <c r="S2105">
        <f>IFERROR((H2105*N2105*IF(AND(Inputs!$B$38&lt;&gt;"pvp",Inputs!$B$43&gt;0),((Skills!G9*((R2105-1)*IF(Skills!H9&gt;0,Skills!I9/Skills!H9,1)+IF(Skills!H9&gt;0,MIN(Skills!I9,MAX(0,MAX(0,Inputs!$B$43-B2135)-((R2105-1)*IF(Inputs!$B$38="pvp",15,MAX(0.1,Skills!D9-IF(Skills!E9=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Skills!E9=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Skills!E9=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IFERROR(1/IF(Inputs!$B$38="pvp",15,MAX(0.1,Skills!D11-IF(Skills!E11=TRUE,Inputs!$B$32,0))),0)</f>
        <v/>
      </c>
      <c r="R2107">
        <f>IF(AND(Inputs!$B$38&lt;&gt;"pvp",Inputs!$B$43&gt;0),IF(MAX(0,Inputs!$B$43-B2135)&lt;=0,0,(INT(MAX(0,Inputs!$B$43-B2135)/IF(Inputs!$B$38="pvp",15,MAX(0.1,Skills!D11-IF(Skills!E11=TRUE,Inputs!$B$32,0))))+1)),0)</f>
        <v/>
      </c>
      <c r="S2107">
        <f>IFERROR((H2107*N2107*IF(AND(Inputs!$B$38&lt;&gt;"pvp",Inputs!$B$43&gt;0),((Skills!G11*((R2107-1)*IF(Skills!H11&gt;0,Skills!I11/Skills!H11,1)+IF(Skills!H11&gt;0,MIN(Skills!I11,MAX(0,MAX(0,Inputs!$B$43-B2135)-((R2107-1)*IF(Inputs!$B$38="pvp",15,MAX(0.1,Skills!D11-IF(Skills!E11=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Skills!E11=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Skills!E11=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IFERROR(1/IF(Inputs!$B$38="pvp",15,MAX(0.1,Skills!D15-IF(Skills!E15=TRUE,Inputs!$B$32,0))),0)</f>
        <v/>
      </c>
      <c r="R2111">
        <f>IF(AND(Inputs!$B$38&lt;&gt;"pvp",Inputs!$B$43&gt;0),IF(Inputs!$B$43&lt;=0,0,(INT(Inputs!$B$43/IF(Inputs!$B$38="pvp",15,MAX(0.1,Skills!D15-IF(Skills!E15=TRUE,Inputs!$B$32,0))))+1)),0)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IFERROR(1/IF(Inputs!$B$38="pvp",15,MAX(0.1,Skills!D16-IF(Skills!E16=TRUE,Inputs!$B$32,0))),0)</f>
        <v/>
      </c>
      <c r="R2112">
        <f>IF(AND(Inputs!$B$38&lt;&gt;"pvp",Inputs!$B$43&gt;0),IF(Inputs!$B$43&lt;=0,0,(INT(Inputs!$B$43/IF(Inputs!$B$38="pvp",15,MAX(0.1,Skills!D16-IF(Skills!E16=TRUE,Inputs!$B$32,0))))+1)),0)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IFERROR(1/IF(Inputs!$B$38="pvp",15,MAX(0.1,Skills!D18-IF(Skills!E18=TRUE,Inputs!$B$32,0))),0)</f>
        <v/>
      </c>
      <c r="R2114">
        <f>IF(AND(Inputs!$B$38&lt;&gt;"pvp",Inputs!$B$43&gt;0),IF(Inputs!$B$43&lt;=0,0,(INT(Inputs!$B$43/IF(Inputs!$B$38="pvp",15,MAX(0.1,Skills!D18-IF(Skills!E18=TRUE,Inputs!$B$32,0))))+1)),0)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2112=TRUE)*20*IF(AND(Inputs!$B$38&lt;&gt;"pvp",Inputs!$B$43&gt;0),(((R2112-1)*(Skills!T16*(1+Inputs!$B$34/100))+MIN((Skills!T16*(1+Inputs!$B$34/100)),MAX(0,Inputs!$B$43-((R2112-1)*Skills!D16))))/Inputs!$B$43),IF(Inputs!$B$38="pvp",MIN((Skills!T16*(1+Inputs!$B$34/100)),15)/15,(Skills!T16*(1+Inputs!$B$34/100))/Skills!D16))</f>
        <v/>
      </c>
    </row>
    <row r="2129">
      <c r="A2129" t="inlineStr">
        <is>
          <t>Attack Speed Buff Bonus %</t>
        </is>
      </c>
      <c r="B2129">
        <f>((C2114=TRUE)*F2114*IF(AND(Inputs!$B$38&lt;&gt;"pvp",Inputs!$B$43&gt;0),(((R2114-1)*(Skills!T18*(1+Inputs!$B$34/100))+MIN((Skills!T18*(1+Inputs!$B$34/100)),MAX(0,Inputs!$B$43-((R2114-1)*Skills!D18))))/Inputs!$B$43),IF(Inputs!$B$38="pvp",MIN((Skills!T18*(1+Inputs!$B$34/100)),15)/15,(Skills!T18*(1+Inputs!$B$34/100))/Skills!D18)))</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Skills!T16*(1+Inputs!$B$34/100))+MIN((Skills!T16*(1+Inputs!$B$34/100)),MAX(0,Inputs!$B$43-((R2112-1)*Skills!D16))))/Inputs!$B$43),IF(Inputs!$B$38="pvp",MIN((Skills!T16*(1+Inputs!$B$34/100)),15)/15,(Skills!T16*(1+Inputs!$B$34/100))/Skills!D16))</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IFERROR(1/IF(Inputs!$B$38="pvp",15,MAX(0.1,Skills!D5-IF(Skills!E5=TRUE,Inputs!$B$32,0))),0)</f>
        <v/>
      </c>
      <c r="R2146">
        <f>IF(AND(Inputs!$B$38&lt;&gt;"pvp",Inputs!$B$43&gt;0),IF(MAX(0,Inputs!$B$43-B2180)&lt;=0,0,(INT(MAX(0,Inputs!$B$43-B2180)/IF(Inputs!$B$38="pvp",15,MAX(0.1,Skills!D5-IF(Skills!E5=TRUE,Inputs!$B$32,0))))+1)),0)</f>
        <v/>
      </c>
      <c r="S2146">
        <f>IFERROR((H2146*N2146*IF(AND(Inputs!$B$38&lt;&gt;"pvp",Inputs!$B$43&gt;0),((Skills!G5*((R2146-1)*IF(Skills!H5&gt;0,Skills!I5/Skills!H5,1)+IF(Skills!H5&gt;0,MIN(Skills!I5,MAX(0,MAX(0,Inputs!$B$43-B2180)-((R2146-1)*IF(Inputs!$B$38="pvp",15,MAX(0.1,Skills!D5-IF(Skills!E5=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Skills!E5=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Skills!E5=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IFERROR(1/IF(Inputs!$B$38="pvp",15,MAX(0.1,Skills!D6-IF(Skills!E6=TRUE,Inputs!$B$32,0))),0)</f>
        <v/>
      </c>
      <c r="R2147">
        <f>IF(AND(Inputs!$B$38&lt;&gt;"pvp",Inputs!$B$43&gt;0),IF(MAX(0,Inputs!$B$43-B2180)&lt;=0,0,(INT(MAX(0,Inputs!$B$43-B2180)/IF(Inputs!$B$38="pvp",15,MAX(0.1,Skills!D6-IF(Skills!E6=TRUE,Inputs!$B$32,0))))+1)),0)</f>
        <v/>
      </c>
      <c r="S2147">
        <f>IFERROR((H2147*N2147*IF(AND(Inputs!$B$38&lt;&gt;"pvp",Inputs!$B$43&gt;0),((Skills!G6*((R2147-1)*IF(Skills!H6&gt;0,Skills!I6/Skills!H6,1)+IF(Skills!H6&gt;0,MIN(Skills!I6,MAX(0,MAX(0,Inputs!$B$43-B2180)-((R2147-1)*IF(Inputs!$B$38="pvp",15,MAX(0.1,Skills!D6-IF(Skills!E6=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Skills!E6=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Skills!E6=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IFERROR(1/IF(Inputs!$B$38="pvp",15,MAX(0.1,Skills!D7-IF(Skills!E7=TRUE,Inputs!$B$32,0))),0)</f>
        <v/>
      </c>
      <c r="R2148">
        <f>IF(AND(Inputs!$B$38&lt;&gt;"pvp",Inputs!$B$43&gt;0),IF(MAX(0,Inputs!$B$43-B2180)&lt;=0,0,(INT(MAX(0,Inputs!$B$43-B2180)/IF(Inputs!$B$38="pvp",15,MAX(0.1,Skills!D7-IF(Skills!E7=TRUE,Inputs!$B$32,0))))+1)),0)</f>
        <v/>
      </c>
      <c r="S2148">
        <f>IFERROR((H2148*N2148*IF(AND(Inputs!$B$38&lt;&gt;"pvp",Inputs!$B$43&gt;0),((Skills!G7*((R2148-1)*IF(Skills!H7&gt;0,Skills!I7/Skills!H7,1)+IF(Skills!H7&gt;0,MIN(Skills!I7,MAX(0,MAX(0,Inputs!$B$43-B2180)-((R2148-1)*IF(Inputs!$B$38="pvp",15,MAX(0.1,Skills!D7-IF(Skills!E7=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Skills!E7=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Skills!E7=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IFERROR(1/IF(Inputs!$B$38="pvp",15,MAX(0.1,Skills!D9-IF(Skills!E9=TRUE,Inputs!$B$32,0))),0)</f>
        <v/>
      </c>
      <c r="R2150">
        <f>IF(AND(Inputs!$B$38&lt;&gt;"pvp",Inputs!$B$43&gt;0),IF(MAX(0,Inputs!$B$43-B2180)&lt;=0,0,(INT(MAX(0,Inputs!$B$43-B2180)/IF(Inputs!$B$38="pvp",15,MAX(0.1,Skills!D9-IF(Skills!E9=TRUE,Inputs!$B$32,0))))+1)),0)</f>
        <v/>
      </c>
      <c r="S2150">
        <f>IFERROR((H2150*N2150*IF(AND(Inputs!$B$38&lt;&gt;"pvp",Inputs!$B$43&gt;0),((Skills!G9*((R2150-1)*IF(Skills!H9&gt;0,Skills!I9/Skills!H9,1)+IF(Skills!H9&gt;0,MIN(Skills!I9,MAX(0,MAX(0,Inputs!$B$43-B2180)-((R2150-1)*IF(Inputs!$B$38="pvp",15,MAX(0.1,Skills!D9-IF(Skills!E9=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Skills!E9=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Skills!E9=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IFERROR(1/IF(Inputs!$B$38="pvp",15,MAX(0.1,Skills!D11-IF(Skills!E11=TRUE,Inputs!$B$32,0))),0)</f>
        <v/>
      </c>
      <c r="R2152">
        <f>IF(AND(Inputs!$B$38&lt;&gt;"pvp",Inputs!$B$43&gt;0),IF(MAX(0,Inputs!$B$43-B2180)&lt;=0,0,(INT(MAX(0,Inputs!$B$43-B2180)/IF(Inputs!$B$38="pvp",15,MAX(0.1,Skills!D11-IF(Skills!E11=TRUE,Inputs!$B$32,0))))+1)),0)</f>
        <v/>
      </c>
      <c r="S2152">
        <f>IFERROR((H2152*N2152*IF(AND(Inputs!$B$38&lt;&gt;"pvp",Inputs!$B$43&gt;0),((Skills!G11*((R2152-1)*IF(Skills!H11&gt;0,Skills!I11/Skills!H11,1)+IF(Skills!H11&gt;0,MIN(Skills!I11,MAX(0,MAX(0,Inputs!$B$43-B2180)-((R2152-1)*IF(Inputs!$B$38="pvp",15,MAX(0.1,Skills!D11-IF(Skills!E11=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Skills!E11=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Skills!E11=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IFERROR(1/IF(Inputs!$B$38="pvp",15,MAX(0.1,Skills!D15-IF(Skills!E15=TRUE,Inputs!$B$32,0))),0)</f>
        <v/>
      </c>
      <c r="R2156">
        <f>IF(AND(Inputs!$B$38&lt;&gt;"pvp",Inputs!$B$43&gt;0),IF(Inputs!$B$43&lt;=0,0,(INT(Inputs!$B$43/IF(Inputs!$B$38="pvp",15,MAX(0.1,Skills!D15-IF(Skills!E15=TRUE,Inputs!$B$32,0))))+1)),0)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IFERROR(1/IF(Inputs!$B$38="pvp",15,MAX(0.1,Skills!D16-IF(Skills!E16=TRUE,Inputs!$B$32,0))),0)</f>
        <v/>
      </c>
      <c r="R2157">
        <f>IF(AND(Inputs!$B$38&lt;&gt;"pvp",Inputs!$B$43&gt;0),IF(Inputs!$B$43&lt;=0,0,(INT(Inputs!$B$43/IF(Inputs!$B$38="pvp",15,MAX(0.1,Skills!D16-IF(Skills!E16=TRUE,Inputs!$B$32,0))))+1)),0)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IFERROR(1/IF(Inputs!$B$38="pvp",15,MAX(0.1,Skills!D18-IF(Skills!E18=TRUE,Inputs!$B$32,0))),0)</f>
        <v/>
      </c>
      <c r="R2159">
        <f>IF(AND(Inputs!$B$38&lt;&gt;"pvp",Inputs!$B$43&gt;0),IF(Inputs!$B$43&lt;=0,0,(INT(Inputs!$B$43/IF(Inputs!$B$38="pvp",15,MAX(0.1,Skills!D18-IF(Skills!E18=TRUE,Inputs!$B$32,0))))+1)),0)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2157=TRUE)*20*IF(AND(Inputs!$B$38&lt;&gt;"pvp",Inputs!$B$43&gt;0),(((R2157-1)*(Skills!T16*(1+Inputs!$B$34/100))+MIN((Skills!T16*(1+Inputs!$B$34/100)),MAX(0,Inputs!$B$43-((R2157-1)*Skills!D16))))/Inputs!$B$43),IF(Inputs!$B$38="pvp",MIN((Skills!T16*(1+Inputs!$B$34/100)),15)/15,(Skills!T16*(1+Inputs!$B$34/100))/Skills!D16))</f>
        <v/>
      </c>
    </row>
    <row r="2174">
      <c r="A2174" t="inlineStr">
        <is>
          <t>Attack Speed Buff Bonus %</t>
        </is>
      </c>
      <c r="B2174">
        <f>((C2159=TRUE)*F2159*IF(AND(Inputs!$B$38&lt;&gt;"pvp",Inputs!$B$43&gt;0),(((R2159-1)*(Skills!T18*(1+Inputs!$B$34/100))+MIN((Skills!T18*(1+Inputs!$B$34/100)),MAX(0,Inputs!$B$43-((R2159-1)*Skills!D18))))/Inputs!$B$43),IF(Inputs!$B$38="pvp",MIN((Skills!T18*(1+Inputs!$B$34/100)),15)/15,(Skills!T18*(1+Inputs!$B$34/100))/Skills!D18)))</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Skills!T16*(1+Inputs!$B$34/100))+MIN((Skills!T16*(1+Inputs!$B$34/100)),MAX(0,Inputs!$B$43-((R2157-1)*Skills!D16))))/Inputs!$B$43),IF(Inputs!$B$38="pvp",MIN((Skills!T16*(1+Inputs!$B$34/100)),15)/15,(Skills!T16*(1+Inputs!$B$34/100))/Skills!D16))</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IFERROR(1/IF(Inputs!$B$38="pvp",15,MAX(0.1,Skills!D5-IF(Skills!E5=TRUE,Inputs!$B$32,0))),0)</f>
        <v/>
      </c>
      <c r="R2191">
        <f>IF(AND(Inputs!$B$38&lt;&gt;"pvp",Inputs!$B$43&gt;0),IF(MAX(0,Inputs!$B$43-B2225)&lt;=0,0,(INT(MAX(0,Inputs!$B$43-B2225)/IF(Inputs!$B$38="pvp",15,MAX(0.1,Skills!D5-IF(Skills!E5=TRUE,Inputs!$B$32,0))))+1)),0)</f>
        <v/>
      </c>
      <c r="S2191">
        <f>IFERROR((H2191*N2191*IF(AND(Inputs!$B$38&lt;&gt;"pvp",Inputs!$B$43&gt;0),((Skills!G5*((R2191-1)*IF(Skills!H5&gt;0,Skills!I5/Skills!H5,1)+IF(Skills!H5&gt;0,MIN(Skills!I5,MAX(0,MAX(0,Inputs!$B$43-B2225)-((R2191-1)*IF(Inputs!$B$38="pvp",15,MAX(0.1,Skills!D5-IF(Skills!E5=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Skills!E5=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Skills!E5=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IFERROR(1/IF(Inputs!$B$38="pvp",15,MAX(0.1,Skills!D6-IF(Skills!E6=TRUE,Inputs!$B$32,0))),0)</f>
        <v/>
      </c>
      <c r="R2192">
        <f>IF(AND(Inputs!$B$38&lt;&gt;"pvp",Inputs!$B$43&gt;0),IF(MAX(0,Inputs!$B$43-B2225)&lt;=0,0,(INT(MAX(0,Inputs!$B$43-B2225)/IF(Inputs!$B$38="pvp",15,MAX(0.1,Skills!D6-IF(Skills!E6=TRUE,Inputs!$B$32,0))))+1)),0)</f>
        <v/>
      </c>
      <c r="S2192">
        <f>IFERROR((H2192*N2192*IF(AND(Inputs!$B$38&lt;&gt;"pvp",Inputs!$B$43&gt;0),((Skills!G6*((R2192-1)*IF(Skills!H6&gt;0,Skills!I6/Skills!H6,1)+IF(Skills!H6&gt;0,MIN(Skills!I6,MAX(0,MAX(0,Inputs!$B$43-B2225)-((R2192-1)*IF(Inputs!$B$38="pvp",15,MAX(0.1,Skills!D6-IF(Skills!E6=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Skills!E6=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Skills!E6=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IFERROR(1/IF(Inputs!$B$38="pvp",15,MAX(0.1,Skills!D7-IF(Skills!E7=TRUE,Inputs!$B$32,0))),0)</f>
        <v/>
      </c>
      <c r="R2193">
        <f>IF(AND(Inputs!$B$38&lt;&gt;"pvp",Inputs!$B$43&gt;0),IF(MAX(0,Inputs!$B$43-B2225)&lt;=0,0,(INT(MAX(0,Inputs!$B$43-B2225)/IF(Inputs!$B$38="pvp",15,MAX(0.1,Skills!D7-IF(Skills!E7=TRUE,Inputs!$B$32,0))))+1)),0)</f>
        <v/>
      </c>
      <c r="S2193">
        <f>IFERROR((H2193*N2193*IF(AND(Inputs!$B$38&lt;&gt;"pvp",Inputs!$B$43&gt;0),((Skills!G7*((R2193-1)*IF(Skills!H7&gt;0,Skills!I7/Skills!H7,1)+IF(Skills!H7&gt;0,MIN(Skills!I7,MAX(0,MAX(0,Inputs!$B$43-B2225)-((R2193-1)*IF(Inputs!$B$38="pvp",15,MAX(0.1,Skills!D7-IF(Skills!E7=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Skills!E7=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Skills!E7=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IFERROR(1/IF(Inputs!$B$38="pvp",15,MAX(0.1,Skills!D9-IF(Skills!E9=TRUE,Inputs!$B$32,0))),0)</f>
        <v/>
      </c>
      <c r="R2195">
        <f>IF(AND(Inputs!$B$38&lt;&gt;"pvp",Inputs!$B$43&gt;0),IF(MAX(0,Inputs!$B$43-B2225)&lt;=0,0,(INT(MAX(0,Inputs!$B$43-B2225)/IF(Inputs!$B$38="pvp",15,MAX(0.1,Skills!D9-IF(Skills!E9=TRUE,Inputs!$B$32,0))))+1)),0)</f>
        <v/>
      </c>
      <c r="S2195">
        <f>IFERROR((H2195*N2195*IF(AND(Inputs!$B$38&lt;&gt;"pvp",Inputs!$B$43&gt;0),((Skills!G9*((R2195-1)*IF(Skills!H9&gt;0,Skills!I9/Skills!H9,1)+IF(Skills!H9&gt;0,MIN(Skills!I9,MAX(0,MAX(0,Inputs!$B$43-B2225)-((R2195-1)*IF(Inputs!$B$38="pvp",15,MAX(0.1,Skills!D9-IF(Skills!E9=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Skills!E9=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Skills!E9=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IFERROR(1/IF(Inputs!$B$38="pvp",15,MAX(0.1,Skills!D11-IF(Skills!E11=TRUE,Inputs!$B$32,0))),0)</f>
        <v/>
      </c>
      <c r="R2197">
        <f>IF(AND(Inputs!$B$38&lt;&gt;"pvp",Inputs!$B$43&gt;0),IF(MAX(0,Inputs!$B$43-B2225)&lt;=0,0,(INT(MAX(0,Inputs!$B$43-B2225)/IF(Inputs!$B$38="pvp",15,MAX(0.1,Skills!D11-IF(Skills!E11=TRUE,Inputs!$B$32,0))))+1)),0)</f>
        <v/>
      </c>
      <c r="S2197">
        <f>IFERROR((H2197*N2197*IF(AND(Inputs!$B$38&lt;&gt;"pvp",Inputs!$B$43&gt;0),((Skills!G11*((R2197-1)*IF(Skills!H11&gt;0,Skills!I11/Skills!H11,1)+IF(Skills!H11&gt;0,MIN(Skills!I11,MAX(0,MAX(0,Inputs!$B$43-B2225)-((R2197-1)*IF(Inputs!$B$38="pvp",15,MAX(0.1,Skills!D11-IF(Skills!E11=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Skills!E11=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Skills!E11=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IFERROR(1/IF(Inputs!$B$38="pvp",15,MAX(0.1,Skills!D15-IF(Skills!E15=TRUE,Inputs!$B$32,0))),0)</f>
        <v/>
      </c>
      <c r="R2201">
        <f>IF(AND(Inputs!$B$38&lt;&gt;"pvp",Inputs!$B$43&gt;0),IF(Inputs!$B$43&lt;=0,0,(INT(Inputs!$B$43/IF(Inputs!$B$38="pvp",15,MAX(0.1,Skills!D15-IF(Skills!E15=TRUE,Inputs!$B$32,0))))+1)),0)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IFERROR(1/IF(Inputs!$B$38="pvp",15,MAX(0.1,Skills!D16-IF(Skills!E16=TRUE,Inputs!$B$32,0))),0)</f>
        <v/>
      </c>
      <c r="R2202">
        <f>IF(AND(Inputs!$B$38&lt;&gt;"pvp",Inputs!$B$43&gt;0),IF(Inputs!$B$43&lt;=0,0,(INT(Inputs!$B$43/IF(Inputs!$B$38="pvp",15,MAX(0.1,Skills!D16-IF(Skills!E16=TRUE,Inputs!$B$32,0))))+1)),0)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IFERROR(1/IF(Inputs!$B$38="pvp",15,MAX(0.1,Skills!D18-IF(Skills!E18=TRUE,Inputs!$B$32,0))),0)</f>
        <v/>
      </c>
      <c r="R2204">
        <f>IF(AND(Inputs!$B$38&lt;&gt;"pvp",Inputs!$B$43&gt;0),IF(Inputs!$B$43&lt;=0,0,(INT(Inputs!$B$43/IF(Inputs!$B$38="pvp",15,MAX(0.1,Skills!D18-IF(Skills!E18=TRUE,Inputs!$B$32,0))))+1)),0)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f>(C2202=TRUE)*20*IF(AND(Inputs!$B$38&lt;&gt;"pvp",Inputs!$B$43&gt;0),(((R2202-1)*(Skills!T16*(1+Inputs!$B$34/100))+MIN((Skills!T16*(1+Inputs!$B$34/100)),MAX(0,Inputs!$B$43-((R2202-1)*Skills!D16))))/Inputs!$B$43),IF(Inputs!$B$38="pvp",MIN((Skills!T16*(1+Inputs!$B$34/100)),15)/15,(Skills!T16*(1+Inputs!$B$34/100))/Skills!D16))</f>
        <v/>
      </c>
    </row>
    <row r="2219">
      <c r="A2219" t="inlineStr">
        <is>
          <t>Attack Speed Buff Bonus %</t>
        </is>
      </c>
      <c r="B2219">
        <f>((C2204=TRUE)*F2204*IF(AND(Inputs!$B$38&lt;&gt;"pvp",Inputs!$B$43&gt;0),(((R2204-1)*(Skills!T18*(1+Inputs!$B$34/100))+MIN((Skills!T18*(1+Inputs!$B$34/100)),MAX(0,Inputs!$B$43-((R2204-1)*Skills!D18))))/Inputs!$B$43),IF(Inputs!$B$38="pvp",MIN((Skills!T18*(1+Inputs!$B$34/100)),15)/15,(Skills!T18*(1+Inputs!$B$34/100))/Skills!D18)))</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Skills!T16*(1+Inputs!$B$34/100))+MIN((Skills!T16*(1+Inputs!$B$34/100)),MAX(0,Inputs!$B$43-((R2202-1)*Skills!D16))))/Inputs!$B$43),IF(Inputs!$B$38="pvp",MIN((Skills!T16*(1+Inputs!$B$34/100)),15)/15,(Skills!T16*(1+Inputs!$B$34/100))/Skills!D16))</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IFERROR(1/IF(Inputs!$B$38="pvp",15,MAX(0.1,Skills!D5-IF(Skills!E5=TRUE,Inputs!$B$32,0))),0)</f>
        <v/>
      </c>
      <c r="R2236">
        <f>IF(AND(Inputs!$B$38&lt;&gt;"pvp",Inputs!$B$43&gt;0),IF(MAX(0,Inputs!$B$43-B2270)&lt;=0,0,(INT(MAX(0,Inputs!$B$43-B2270)/IF(Inputs!$B$38="pvp",15,MAX(0.1,Skills!D5-IF(Skills!E5=TRUE,Inputs!$B$32,0))))+1)),0)</f>
        <v/>
      </c>
      <c r="S2236">
        <f>IFERROR((H2236*N2236*IF(AND(Inputs!$B$38&lt;&gt;"pvp",Inputs!$B$43&gt;0),((Skills!G5*((R2236-1)*IF(Skills!H5&gt;0,Skills!I5/Skills!H5,1)+IF(Skills!H5&gt;0,MIN(Skills!I5,MAX(0,MAX(0,Inputs!$B$43-B2270)-((R2236-1)*IF(Inputs!$B$38="pvp",15,MAX(0.1,Skills!D5-IF(Skills!E5=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Skills!E5=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Skills!E5=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IFERROR(1/IF(Inputs!$B$38="pvp",15,MAX(0.1,Skills!D6-IF(Skills!E6=TRUE,Inputs!$B$32,0))),0)</f>
        <v/>
      </c>
      <c r="R2237">
        <f>IF(AND(Inputs!$B$38&lt;&gt;"pvp",Inputs!$B$43&gt;0),IF(MAX(0,Inputs!$B$43-B2270)&lt;=0,0,(INT(MAX(0,Inputs!$B$43-B2270)/IF(Inputs!$B$38="pvp",15,MAX(0.1,Skills!D6-IF(Skills!E6=TRUE,Inputs!$B$32,0))))+1)),0)</f>
        <v/>
      </c>
      <c r="S2237">
        <f>IFERROR((H2237*N2237*IF(AND(Inputs!$B$38&lt;&gt;"pvp",Inputs!$B$43&gt;0),((Skills!G6*((R2237-1)*IF(Skills!H6&gt;0,Skills!I6/Skills!H6,1)+IF(Skills!H6&gt;0,MIN(Skills!I6,MAX(0,MAX(0,Inputs!$B$43-B2270)-((R2237-1)*IF(Inputs!$B$38="pvp",15,MAX(0.1,Skills!D6-IF(Skills!E6=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Skills!E6=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Skills!E6=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IFERROR(1/IF(Inputs!$B$38="pvp",15,MAX(0.1,Skills!D7-IF(Skills!E7=TRUE,Inputs!$B$32,0))),0)</f>
        <v/>
      </c>
      <c r="R2238">
        <f>IF(AND(Inputs!$B$38&lt;&gt;"pvp",Inputs!$B$43&gt;0),IF(MAX(0,Inputs!$B$43-B2270)&lt;=0,0,(INT(MAX(0,Inputs!$B$43-B2270)/IF(Inputs!$B$38="pvp",15,MAX(0.1,Skills!D7-IF(Skills!E7=TRUE,Inputs!$B$32,0))))+1)),0)</f>
        <v/>
      </c>
      <c r="S2238">
        <f>IFERROR((H2238*N2238*IF(AND(Inputs!$B$38&lt;&gt;"pvp",Inputs!$B$43&gt;0),((Skills!G7*((R2238-1)*IF(Skills!H7&gt;0,Skills!I7/Skills!H7,1)+IF(Skills!H7&gt;0,MIN(Skills!I7,MAX(0,MAX(0,Inputs!$B$43-B2270)-((R2238-1)*IF(Inputs!$B$38="pvp",15,MAX(0.1,Skills!D7-IF(Skills!E7=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Skills!E7=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Skills!E7=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IFERROR(1/IF(Inputs!$B$38="pvp",15,MAX(0.1,Skills!D9-IF(Skills!E9=TRUE,Inputs!$B$32,0))),0)</f>
        <v/>
      </c>
      <c r="R2240">
        <f>IF(AND(Inputs!$B$38&lt;&gt;"pvp",Inputs!$B$43&gt;0),IF(MAX(0,Inputs!$B$43-B2270)&lt;=0,0,(INT(MAX(0,Inputs!$B$43-B2270)/IF(Inputs!$B$38="pvp",15,MAX(0.1,Skills!D9-IF(Skills!E9=TRUE,Inputs!$B$32,0))))+1)),0)</f>
        <v/>
      </c>
      <c r="S2240">
        <f>IFERROR((H2240*N2240*IF(AND(Inputs!$B$38&lt;&gt;"pvp",Inputs!$B$43&gt;0),((Skills!G9*((R2240-1)*IF(Skills!H9&gt;0,Skills!I9/Skills!H9,1)+IF(Skills!H9&gt;0,MIN(Skills!I9,MAX(0,MAX(0,Inputs!$B$43-B2270)-((R2240-1)*IF(Inputs!$B$38="pvp",15,MAX(0.1,Skills!D9-IF(Skills!E9=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Skills!E9=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Skills!E9=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IFERROR(1/IF(Inputs!$B$38="pvp",15,MAX(0.1,Skills!D11-IF(Skills!E11=TRUE,Inputs!$B$32,0))),0)</f>
        <v/>
      </c>
      <c r="R2242">
        <f>IF(AND(Inputs!$B$38&lt;&gt;"pvp",Inputs!$B$43&gt;0),IF(MAX(0,Inputs!$B$43-B2270)&lt;=0,0,(INT(MAX(0,Inputs!$B$43-B2270)/IF(Inputs!$B$38="pvp",15,MAX(0.1,Skills!D11-IF(Skills!E11=TRUE,Inputs!$B$32,0))))+1)),0)</f>
        <v/>
      </c>
      <c r="S2242">
        <f>IFERROR((H2242*N2242*IF(AND(Inputs!$B$38&lt;&gt;"pvp",Inputs!$B$43&gt;0),((Skills!G11*((R2242-1)*IF(Skills!H11&gt;0,Skills!I11/Skills!H11,1)+IF(Skills!H11&gt;0,MIN(Skills!I11,MAX(0,MAX(0,Inputs!$B$43-B2270)-((R2242-1)*IF(Inputs!$B$38="pvp",15,MAX(0.1,Skills!D11-IF(Skills!E11=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Skills!E11=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Skills!E11=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IFERROR(1/IF(Inputs!$B$38="pvp",15,MAX(0.1,Skills!D15-IF(Skills!E15=TRUE,Inputs!$B$32,0))),0)</f>
        <v/>
      </c>
      <c r="R2246">
        <f>IF(AND(Inputs!$B$38&lt;&gt;"pvp",Inputs!$B$43&gt;0),IF(Inputs!$B$43&lt;=0,0,(INT(Inputs!$B$43/IF(Inputs!$B$38="pvp",15,MAX(0.1,Skills!D15-IF(Skills!E15=TRUE,Inputs!$B$32,0))))+1)),0)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IFERROR(1/IF(Inputs!$B$38="pvp",15,MAX(0.1,Skills!D16-IF(Skills!E16=TRUE,Inputs!$B$32,0))),0)</f>
        <v/>
      </c>
      <c r="R2247">
        <f>IF(AND(Inputs!$B$38&lt;&gt;"pvp",Inputs!$B$43&gt;0),IF(Inputs!$B$43&lt;=0,0,(INT(Inputs!$B$43/IF(Inputs!$B$38="pvp",15,MAX(0.1,Skills!D16-IF(Skills!E16=TRUE,Inputs!$B$32,0))))+1)),0)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IFERROR(1/IF(Inputs!$B$38="pvp",15,MAX(0.1,Skills!D18-IF(Skills!E18=TRUE,Inputs!$B$32,0))),0)</f>
        <v/>
      </c>
      <c r="R2249">
        <f>IF(AND(Inputs!$B$38&lt;&gt;"pvp",Inputs!$B$43&gt;0),IF(Inputs!$B$43&lt;=0,0,(INT(Inputs!$B$43/IF(Inputs!$B$38="pvp",15,MAX(0.1,Skills!D18-IF(Skills!E18=TRUE,Inputs!$B$32,0))))+1)),0)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f>(C2247=TRUE)*20*IF(AND(Inputs!$B$38&lt;&gt;"pvp",Inputs!$B$43&gt;0),(((R2247-1)*(Skills!T16*(1+Inputs!$B$34/100))+MIN((Skills!T16*(1+Inputs!$B$34/100)),MAX(0,Inputs!$B$43-((R2247-1)*Skills!D16))))/Inputs!$B$43),IF(Inputs!$B$38="pvp",MIN((Skills!T16*(1+Inputs!$B$34/100)),15)/15,(Skills!T16*(1+Inputs!$B$34/100))/Skills!D16))</f>
        <v/>
      </c>
    </row>
    <row r="2264">
      <c r="A2264" t="inlineStr">
        <is>
          <t>Attack Speed Buff Bonus %</t>
        </is>
      </c>
      <c r="B2264">
        <f>((C2249=TRUE)*F2249*IF(AND(Inputs!$B$38&lt;&gt;"pvp",Inputs!$B$43&gt;0),(((R2249-1)*(Skills!T18*(1+Inputs!$B$34/100))+MIN((Skills!T18*(1+Inputs!$B$34/100)),MAX(0,Inputs!$B$43-((R2249-1)*Skills!D18))))/Inputs!$B$43),IF(Inputs!$B$38="pvp",MIN((Skills!T18*(1+Inputs!$B$34/100)),15)/15,(Skills!T18*(1+Inputs!$B$34/100))/Skills!D18)))</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Skills!T16*(1+Inputs!$B$34/100))+MIN((Skills!T16*(1+Inputs!$B$34/100)),MAX(0,Inputs!$B$43-((R2247-1)*Skills!D16))))/Inputs!$B$43),IF(Inputs!$B$38="pvp",MIN((Skills!T16*(1+Inputs!$B$34/100)),15)/15,(Skills!T16*(1+Inputs!$B$34/100))/Skills!D16))</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IFERROR(1/IF(Inputs!$B$38="pvp",15,MAX(0.1,Skills!D5-IF(Skills!E5=TRUE,Inputs!$B$32,0))),0)</f>
        <v/>
      </c>
      <c r="R2281">
        <f>IF(AND(Inputs!$B$38&lt;&gt;"pvp",Inputs!$B$43&gt;0),IF(MAX(0,Inputs!$B$43-B2315)&lt;=0,0,(INT(MAX(0,Inputs!$B$43-B2315)/IF(Inputs!$B$38="pvp",15,MAX(0.1,Skills!D5-IF(Skills!E5=TRUE,Inputs!$B$32,0))))+1)),0)</f>
        <v/>
      </c>
      <c r="S2281">
        <f>IFERROR((H2281*N2281*IF(AND(Inputs!$B$38&lt;&gt;"pvp",Inputs!$B$43&gt;0),((Skills!G5*((R2281-1)*IF(Skills!H5&gt;0,Skills!I5/Skills!H5,1)+IF(Skills!H5&gt;0,MIN(Skills!I5,MAX(0,MAX(0,Inputs!$B$43-B2315)-((R2281-1)*IF(Inputs!$B$38="pvp",15,MAX(0.1,Skills!D5-IF(Skills!E5=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Skills!E5=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Skills!E5=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IFERROR(1/IF(Inputs!$B$38="pvp",15,MAX(0.1,Skills!D6-IF(Skills!E6=TRUE,Inputs!$B$32,0))),0)</f>
        <v/>
      </c>
      <c r="R2282">
        <f>IF(AND(Inputs!$B$38&lt;&gt;"pvp",Inputs!$B$43&gt;0),IF(MAX(0,Inputs!$B$43-B2315)&lt;=0,0,(INT(MAX(0,Inputs!$B$43-B2315)/IF(Inputs!$B$38="pvp",15,MAX(0.1,Skills!D6-IF(Skills!E6=TRUE,Inputs!$B$32,0))))+1)),0)</f>
        <v/>
      </c>
      <c r="S2282">
        <f>IFERROR((H2282*N2282*IF(AND(Inputs!$B$38&lt;&gt;"pvp",Inputs!$B$43&gt;0),((Skills!G6*((R2282-1)*IF(Skills!H6&gt;0,Skills!I6/Skills!H6,1)+IF(Skills!H6&gt;0,MIN(Skills!I6,MAX(0,MAX(0,Inputs!$B$43-B2315)-((R2282-1)*IF(Inputs!$B$38="pvp",15,MAX(0.1,Skills!D6-IF(Skills!E6=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Skills!E6=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Skills!E6=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IFERROR(1/IF(Inputs!$B$38="pvp",15,MAX(0.1,Skills!D7-IF(Skills!E7=TRUE,Inputs!$B$32,0))),0)</f>
        <v/>
      </c>
      <c r="R2283">
        <f>IF(AND(Inputs!$B$38&lt;&gt;"pvp",Inputs!$B$43&gt;0),IF(MAX(0,Inputs!$B$43-B2315)&lt;=0,0,(INT(MAX(0,Inputs!$B$43-B2315)/IF(Inputs!$B$38="pvp",15,MAX(0.1,Skills!D7-IF(Skills!E7=TRUE,Inputs!$B$32,0))))+1)),0)</f>
        <v/>
      </c>
      <c r="S2283">
        <f>IFERROR((H2283*N2283*IF(AND(Inputs!$B$38&lt;&gt;"pvp",Inputs!$B$43&gt;0),((Skills!G7*((R2283-1)*IF(Skills!H7&gt;0,Skills!I7/Skills!H7,1)+IF(Skills!H7&gt;0,MIN(Skills!I7,MAX(0,MAX(0,Inputs!$B$43-B2315)-((R2283-1)*IF(Inputs!$B$38="pvp",15,MAX(0.1,Skills!D7-IF(Skills!E7=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Skills!E7=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Skills!E7=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IFERROR(1/IF(Inputs!$B$38="pvp",15,MAX(0.1,Skills!D9-IF(Skills!E9=TRUE,Inputs!$B$32,0))),0)</f>
        <v/>
      </c>
      <c r="R2285">
        <f>IF(AND(Inputs!$B$38&lt;&gt;"pvp",Inputs!$B$43&gt;0),IF(MAX(0,Inputs!$B$43-B2315)&lt;=0,0,(INT(MAX(0,Inputs!$B$43-B2315)/IF(Inputs!$B$38="pvp",15,MAX(0.1,Skills!D9-IF(Skills!E9=TRUE,Inputs!$B$32,0))))+1)),0)</f>
        <v/>
      </c>
      <c r="S2285">
        <f>IFERROR((H2285*N2285*IF(AND(Inputs!$B$38&lt;&gt;"pvp",Inputs!$B$43&gt;0),((Skills!G9*((R2285-1)*IF(Skills!H9&gt;0,Skills!I9/Skills!H9,1)+IF(Skills!H9&gt;0,MIN(Skills!I9,MAX(0,MAX(0,Inputs!$B$43-B2315)-((R2285-1)*IF(Inputs!$B$38="pvp",15,MAX(0.1,Skills!D9-IF(Skills!E9=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Skills!E9=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Skills!E9=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IFERROR(1/IF(Inputs!$B$38="pvp",15,MAX(0.1,Skills!D11-IF(Skills!E11=TRUE,Inputs!$B$32,0))),0)</f>
        <v/>
      </c>
      <c r="R2287">
        <f>IF(AND(Inputs!$B$38&lt;&gt;"pvp",Inputs!$B$43&gt;0),IF(MAX(0,Inputs!$B$43-B2315)&lt;=0,0,(INT(MAX(0,Inputs!$B$43-B2315)/IF(Inputs!$B$38="pvp",15,MAX(0.1,Skills!D11-IF(Skills!E11=TRUE,Inputs!$B$32,0))))+1)),0)</f>
        <v/>
      </c>
      <c r="S2287">
        <f>IFERROR((H2287*N2287*IF(AND(Inputs!$B$38&lt;&gt;"pvp",Inputs!$B$43&gt;0),((Skills!G11*((R2287-1)*IF(Skills!H11&gt;0,Skills!I11/Skills!H11,1)+IF(Skills!H11&gt;0,MIN(Skills!I11,MAX(0,MAX(0,Inputs!$B$43-B2315)-((R2287-1)*IF(Inputs!$B$38="pvp",15,MAX(0.1,Skills!D11-IF(Skills!E11=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Skills!E11=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Skills!E11=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IFERROR(1/IF(Inputs!$B$38="pvp",15,MAX(0.1,Skills!D15-IF(Skills!E15=TRUE,Inputs!$B$32,0))),0)</f>
        <v/>
      </c>
      <c r="R2291">
        <f>IF(AND(Inputs!$B$38&lt;&gt;"pvp",Inputs!$B$43&gt;0),IF(Inputs!$B$43&lt;=0,0,(INT(Inputs!$B$43/IF(Inputs!$B$38="pvp",15,MAX(0.1,Skills!D15-IF(Skills!E15=TRUE,Inputs!$B$32,0))))+1)),0)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IFERROR(1/IF(Inputs!$B$38="pvp",15,MAX(0.1,Skills!D16-IF(Skills!E16=TRUE,Inputs!$B$32,0))),0)</f>
        <v/>
      </c>
      <c r="R2292">
        <f>IF(AND(Inputs!$B$38&lt;&gt;"pvp",Inputs!$B$43&gt;0),IF(Inputs!$B$43&lt;=0,0,(INT(Inputs!$B$43/IF(Inputs!$B$38="pvp",15,MAX(0.1,Skills!D16-IF(Skills!E16=TRUE,Inputs!$B$32,0))))+1)),0)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IFERROR(1/IF(Inputs!$B$38="pvp",15,MAX(0.1,Skills!D18-IF(Skills!E18=TRUE,Inputs!$B$32,0))),0)</f>
        <v/>
      </c>
      <c r="R2294">
        <f>IF(AND(Inputs!$B$38&lt;&gt;"pvp",Inputs!$B$43&gt;0),IF(Inputs!$B$43&lt;=0,0,(INT(Inputs!$B$43/IF(Inputs!$B$38="pvp",15,MAX(0.1,Skills!D18-IF(Skills!E18=TRUE,Inputs!$B$32,0))))+1)),0)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f>(C2292=TRUE)*20*IF(AND(Inputs!$B$38&lt;&gt;"pvp",Inputs!$B$43&gt;0),(((R2292-1)*(Skills!T16*(1+Inputs!$B$34/100))+MIN((Skills!T16*(1+Inputs!$B$34/100)),MAX(0,Inputs!$B$43-((R2292-1)*Skills!D16))))/Inputs!$B$43),IF(Inputs!$B$38="pvp",MIN((Skills!T16*(1+Inputs!$B$34/100)),15)/15,(Skills!T16*(1+Inputs!$B$34/100))/Skills!D16))</f>
        <v/>
      </c>
    </row>
    <row r="2309">
      <c r="A2309" t="inlineStr">
        <is>
          <t>Attack Speed Buff Bonus %</t>
        </is>
      </c>
      <c r="B2309">
        <f>((C2294=TRUE)*F2294*IF(AND(Inputs!$B$38&lt;&gt;"pvp",Inputs!$B$43&gt;0),(((R2294-1)*(Skills!T18*(1+Inputs!$B$34/100))+MIN((Skills!T18*(1+Inputs!$B$34/100)),MAX(0,Inputs!$B$43-((R2294-1)*Skills!D18))))/Inputs!$B$43),IF(Inputs!$B$38="pvp",MIN((Skills!T18*(1+Inputs!$B$34/100)),15)/15,(Skills!T18*(1+Inputs!$B$34/100))/Skills!D18)))</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Skills!T16*(1+Inputs!$B$34/100))+MIN((Skills!T16*(1+Inputs!$B$34/100)),MAX(0,Inputs!$B$43-((R2292-1)*Skills!D16))))/Inputs!$B$43),IF(Inputs!$B$38="pvp",MIN((Skills!T16*(1+Inputs!$B$34/100)),15)/15,(Skills!T16*(1+Inputs!$B$34/100))/Skills!D16))</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IFERROR(1/IF(Inputs!$B$38="pvp",15,MAX(0.1,Skills!D5-IF(Skills!E5=TRUE,Inputs!$B$32,0))),0)</f>
        <v/>
      </c>
      <c r="R2326">
        <f>IF(AND(Inputs!$B$38&lt;&gt;"pvp",Inputs!$B$43&gt;0),IF(MAX(0,Inputs!$B$43-B2360)&lt;=0,0,(INT(MAX(0,Inputs!$B$43-B2360)/IF(Inputs!$B$38="pvp",15,MAX(0.1,Skills!D5-IF(Skills!E5=TRUE,Inputs!$B$32,0))))+1)),0)</f>
        <v/>
      </c>
      <c r="S2326">
        <f>IFERROR((H2326*N2326*IF(AND(Inputs!$B$38&lt;&gt;"pvp",Inputs!$B$43&gt;0),((Skills!G5*((R2326-1)*IF(Skills!H5&gt;0,Skills!I5/Skills!H5,1)+IF(Skills!H5&gt;0,MIN(Skills!I5,MAX(0,MAX(0,Inputs!$B$43-B2360)-((R2326-1)*IF(Inputs!$B$38="pvp",15,MAX(0.1,Skills!D5-IF(Skills!E5=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Skills!E5=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Skills!E5=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IFERROR(1/IF(Inputs!$B$38="pvp",15,MAX(0.1,Skills!D6-IF(Skills!E6=TRUE,Inputs!$B$32,0))),0)</f>
        <v/>
      </c>
      <c r="R2327">
        <f>IF(AND(Inputs!$B$38&lt;&gt;"pvp",Inputs!$B$43&gt;0),IF(MAX(0,Inputs!$B$43-B2360)&lt;=0,0,(INT(MAX(0,Inputs!$B$43-B2360)/IF(Inputs!$B$38="pvp",15,MAX(0.1,Skills!D6-IF(Skills!E6=TRUE,Inputs!$B$32,0))))+1)),0)</f>
        <v/>
      </c>
      <c r="S2327">
        <f>IFERROR((H2327*N2327*IF(AND(Inputs!$B$38&lt;&gt;"pvp",Inputs!$B$43&gt;0),((Skills!G6*((R2327-1)*IF(Skills!H6&gt;0,Skills!I6/Skills!H6,1)+IF(Skills!H6&gt;0,MIN(Skills!I6,MAX(0,MAX(0,Inputs!$B$43-B2360)-((R2327-1)*IF(Inputs!$B$38="pvp",15,MAX(0.1,Skills!D6-IF(Skills!E6=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Skills!E6=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Skills!E6=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IFERROR(1/IF(Inputs!$B$38="pvp",15,MAX(0.1,Skills!D7-IF(Skills!E7=TRUE,Inputs!$B$32,0))),0)</f>
        <v/>
      </c>
      <c r="R2328">
        <f>IF(AND(Inputs!$B$38&lt;&gt;"pvp",Inputs!$B$43&gt;0),IF(MAX(0,Inputs!$B$43-B2360)&lt;=0,0,(INT(MAX(0,Inputs!$B$43-B2360)/IF(Inputs!$B$38="pvp",15,MAX(0.1,Skills!D7-IF(Skills!E7=TRUE,Inputs!$B$32,0))))+1)),0)</f>
        <v/>
      </c>
      <c r="S2328">
        <f>IFERROR((H2328*N2328*IF(AND(Inputs!$B$38&lt;&gt;"pvp",Inputs!$B$43&gt;0),((Skills!G7*((R2328-1)*IF(Skills!H7&gt;0,Skills!I7/Skills!H7,1)+IF(Skills!H7&gt;0,MIN(Skills!I7,MAX(0,MAX(0,Inputs!$B$43-B2360)-((R2328-1)*IF(Inputs!$B$38="pvp",15,MAX(0.1,Skills!D7-IF(Skills!E7=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Skills!E7=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Skills!E7=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IFERROR(1/IF(Inputs!$B$38="pvp",15,MAX(0.1,Skills!D9-IF(Skills!E9=TRUE,Inputs!$B$32,0))),0)</f>
        <v/>
      </c>
      <c r="R2330">
        <f>IF(AND(Inputs!$B$38&lt;&gt;"pvp",Inputs!$B$43&gt;0),IF(MAX(0,Inputs!$B$43-B2360)&lt;=0,0,(INT(MAX(0,Inputs!$B$43-B2360)/IF(Inputs!$B$38="pvp",15,MAX(0.1,Skills!D9-IF(Skills!E9=TRUE,Inputs!$B$32,0))))+1)),0)</f>
        <v/>
      </c>
      <c r="S2330">
        <f>IFERROR((H2330*N2330*IF(AND(Inputs!$B$38&lt;&gt;"pvp",Inputs!$B$43&gt;0),((Skills!G9*((R2330-1)*IF(Skills!H9&gt;0,Skills!I9/Skills!H9,1)+IF(Skills!H9&gt;0,MIN(Skills!I9,MAX(0,MAX(0,Inputs!$B$43-B2360)-((R2330-1)*IF(Inputs!$B$38="pvp",15,MAX(0.1,Skills!D9-IF(Skills!E9=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Skills!E9=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Skills!E9=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IFERROR(1/IF(Inputs!$B$38="pvp",15,MAX(0.1,Skills!D11-IF(Skills!E11=TRUE,Inputs!$B$32,0))),0)</f>
        <v/>
      </c>
      <c r="R2332">
        <f>IF(AND(Inputs!$B$38&lt;&gt;"pvp",Inputs!$B$43&gt;0),IF(MAX(0,Inputs!$B$43-B2360)&lt;=0,0,(INT(MAX(0,Inputs!$B$43-B2360)/IF(Inputs!$B$38="pvp",15,MAX(0.1,Skills!D11-IF(Skills!E11=TRUE,Inputs!$B$32,0))))+1)),0)</f>
        <v/>
      </c>
      <c r="S2332">
        <f>IFERROR((H2332*N2332*IF(AND(Inputs!$B$38&lt;&gt;"pvp",Inputs!$B$43&gt;0),((Skills!G11*((R2332-1)*IF(Skills!H11&gt;0,Skills!I11/Skills!H11,1)+IF(Skills!H11&gt;0,MIN(Skills!I11,MAX(0,MAX(0,Inputs!$B$43-B2360)-((R2332-1)*IF(Inputs!$B$38="pvp",15,MAX(0.1,Skills!D11-IF(Skills!E11=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Skills!E11=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Skills!E11=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IFERROR(1/IF(Inputs!$B$38="pvp",15,MAX(0.1,Skills!D15-IF(Skills!E15=TRUE,Inputs!$B$32,0))),0)</f>
        <v/>
      </c>
      <c r="R2336">
        <f>IF(AND(Inputs!$B$38&lt;&gt;"pvp",Inputs!$B$43&gt;0),IF(Inputs!$B$43&lt;=0,0,(INT(Inputs!$B$43/IF(Inputs!$B$38="pvp",15,MAX(0.1,Skills!D15-IF(Skills!E15=TRUE,Inputs!$B$32,0))))+1)),0)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IFERROR(1/IF(Inputs!$B$38="pvp",15,MAX(0.1,Skills!D16-IF(Skills!E16=TRUE,Inputs!$B$32,0))),0)</f>
        <v/>
      </c>
      <c r="R2337">
        <f>IF(AND(Inputs!$B$38&lt;&gt;"pvp",Inputs!$B$43&gt;0),IF(Inputs!$B$43&lt;=0,0,(INT(Inputs!$B$43/IF(Inputs!$B$38="pvp",15,MAX(0.1,Skills!D16-IF(Skills!E16=TRUE,Inputs!$B$32,0))))+1)),0)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IFERROR(1/IF(Inputs!$B$38="pvp",15,MAX(0.1,Skills!D18-IF(Skills!E18=TRUE,Inputs!$B$32,0))),0)</f>
        <v/>
      </c>
      <c r="R2339">
        <f>IF(AND(Inputs!$B$38&lt;&gt;"pvp",Inputs!$B$43&gt;0),IF(Inputs!$B$43&lt;=0,0,(INT(Inputs!$B$43/IF(Inputs!$B$38="pvp",15,MAX(0.1,Skills!D18-IF(Skills!E18=TRUE,Inputs!$B$32,0))))+1)),0)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f>(C2337=TRUE)*20*IF(AND(Inputs!$B$38&lt;&gt;"pvp",Inputs!$B$43&gt;0),(((R2337-1)*(Skills!T16*(1+Inputs!$B$34/100))+MIN((Skills!T16*(1+Inputs!$B$34/100)),MAX(0,Inputs!$B$43-((R2337-1)*Skills!D16))))/Inputs!$B$43),IF(Inputs!$B$38="pvp",MIN((Skills!T16*(1+Inputs!$B$34/100)),15)/15,(Skills!T16*(1+Inputs!$B$34/100))/Skills!D16))</f>
        <v/>
      </c>
    </row>
    <row r="2354">
      <c r="A2354" t="inlineStr">
        <is>
          <t>Attack Speed Buff Bonus %</t>
        </is>
      </c>
      <c r="B2354">
        <f>((C2339=TRUE)*F2339*IF(AND(Inputs!$B$38&lt;&gt;"pvp",Inputs!$B$43&gt;0),(((R2339-1)*(Skills!T18*(1+Inputs!$B$34/100))+MIN((Skills!T18*(1+Inputs!$B$34/100)),MAX(0,Inputs!$B$43-((R2339-1)*Skills!D18))))/Inputs!$B$43),IF(Inputs!$B$38="pvp",MIN((Skills!T18*(1+Inputs!$B$34/100)),15)/15,(Skills!T18*(1+Inputs!$B$34/100))/Skills!D18)))</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Skills!T16*(1+Inputs!$B$34/100))+MIN((Skills!T16*(1+Inputs!$B$34/100)),MAX(0,Inputs!$B$43-((R2337-1)*Skills!D16))))/Inputs!$B$43),IF(Inputs!$B$38="pvp",MIN((Skills!T16*(1+Inputs!$B$34/100)),15)/15,(Skills!T16*(1+Inputs!$B$34/100))/Skills!D16))</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IFERROR(1/IF(Inputs!$B$38="pvp",15,MAX(0.1,Skills!D5-IF(Skills!E5=TRUE,Inputs!$B$32,0))),0)</f>
        <v/>
      </c>
      <c r="R2371">
        <f>IF(AND(Inputs!$B$38&lt;&gt;"pvp",Inputs!$B$43&gt;0),IF(MAX(0,Inputs!$B$43-B2405)&lt;=0,0,(INT(MAX(0,Inputs!$B$43-B2405)/IF(Inputs!$B$38="pvp",15,MAX(0.1,Skills!D5-IF(Skills!E5=TRUE,Inputs!$B$32,0))))+1)),0)</f>
        <v/>
      </c>
      <c r="S2371">
        <f>IFERROR((H2371*N2371*IF(AND(Inputs!$B$38&lt;&gt;"pvp",Inputs!$B$43&gt;0),((Skills!G5*((R2371-1)*IF(Skills!H5&gt;0,Skills!I5/Skills!H5,1)+IF(Skills!H5&gt;0,MIN(Skills!I5,MAX(0,MAX(0,Inputs!$B$43-B2405)-((R2371-1)*IF(Inputs!$B$38="pvp",15,MAX(0.1,Skills!D5-IF(Skills!E5=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Skills!E5=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Skills!E5=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IFERROR(1/IF(Inputs!$B$38="pvp",15,MAX(0.1,Skills!D6-IF(Skills!E6=TRUE,Inputs!$B$32,0))),0)</f>
        <v/>
      </c>
      <c r="R2372">
        <f>IF(AND(Inputs!$B$38&lt;&gt;"pvp",Inputs!$B$43&gt;0),IF(MAX(0,Inputs!$B$43-B2405)&lt;=0,0,(INT(MAX(0,Inputs!$B$43-B2405)/IF(Inputs!$B$38="pvp",15,MAX(0.1,Skills!D6-IF(Skills!E6=TRUE,Inputs!$B$32,0))))+1)),0)</f>
        <v/>
      </c>
      <c r="S2372">
        <f>IFERROR((H2372*N2372*IF(AND(Inputs!$B$38&lt;&gt;"pvp",Inputs!$B$43&gt;0),((Skills!G6*((R2372-1)*IF(Skills!H6&gt;0,Skills!I6/Skills!H6,1)+IF(Skills!H6&gt;0,MIN(Skills!I6,MAX(0,MAX(0,Inputs!$B$43-B2405)-((R2372-1)*IF(Inputs!$B$38="pvp",15,MAX(0.1,Skills!D6-IF(Skills!E6=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Skills!E6=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Skills!E6=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IFERROR(1/IF(Inputs!$B$38="pvp",15,MAX(0.1,Skills!D7-IF(Skills!E7=TRUE,Inputs!$B$32,0))),0)</f>
        <v/>
      </c>
      <c r="R2373">
        <f>IF(AND(Inputs!$B$38&lt;&gt;"pvp",Inputs!$B$43&gt;0),IF(MAX(0,Inputs!$B$43-B2405)&lt;=0,0,(INT(MAX(0,Inputs!$B$43-B2405)/IF(Inputs!$B$38="pvp",15,MAX(0.1,Skills!D7-IF(Skills!E7=TRUE,Inputs!$B$32,0))))+1)),0)</f>
        <v/>
      </c>
      <c r="S2373">
        <f>IFERROR((H2373*N2373*IF(AND(Inputs!$B$38&lt;&gt;"pvp",Inputs!$B$43&gt;0),((Skills!G7*((R2373-1)*IF(Skills!H7&gt;0,Skills!I7/Skills!H7,1)+IF(Skills!H7&gt;0,MIN(Skills!I7,MAX(0,MAX(0,Inputs!$B$43-B2405)-((R2373-1)*IF(Inputs!$B$38="pvp",15,MAX(0.1,Skills!D7-IF(Skills!E7=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Skills!E7=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Skills!E7=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IFERROR(1/IF(Inputs!$B$38="pvp",15,MAX(0.1,Skills!D9-IF(Skills!E9=TRUE,Inputs!$B$32,0))),0)</f>
        <v/>
      </c>
      <c r="R2375">
        <f>IF(AND(Inputs!$B$38&lt;&gt;"pvp",Inputs!$B$43&gt;0),IF(MAX(0,Inputs!$B$43-B2405)&lt;=0,0,(INT(MAX(0,Inputs!$B$43-B2405)/IF(Inputs!$B$38="pvp",15,MAX(0.1,Skills!D9-IF(Skills!E9=TRUE,Inputs!$B$32,0))))+1)),0)</f>
        <v/>
      </c>
      <c r="S2375">
        <f>IFERROR((H2375*N2375*IF(AND(Inputs!$B$38&lt;&gt;"pvp",Inputs!$B$43&gt;0),((Skills!G9*((R2375-1)*IF(Skills!H9&gt;0,Skills!I9/Skills!H9,1)+IF(Skills!H9&gt;0,MIN(Skills!I9,MAX(0,MAX(0,Inputs!$B$43-B2405)-((R2375-1)*IF(Inputs!$B$38="pvp",15,MAX(0.1,Skills!D9-IF(Skills!E9=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Skills!E9=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Skills!E9=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IFERROR(1/IF(Inputs!$B$38="pvp",15,MAX(0.1,Skills!D11-IF(Skills!E11=TRUE,Inputs!$B$32,0))),0)</f>
        <v/>
      </c>
      <c r="R2377">
        <f>IF(AND(Inputs!$B$38&lt;&gt;"pvp",Inputs!$B$43&gt;0),IF(MAX(0,Inputs!$B$43-B2405)&lt;=0,0,(INT(MAX(0,Inputs!$B$43-B2405)/IF(Inputs!$B$38="pvp",15,MAX(0.1,Skills!D11-IF(Skills!E11=TRUE,Inputs!$B$32,0))))+1)),0)</f>
        <v/>
      </c>
      <c r="S2377">
        <f>IFERROR((H2377*N2377*IF(AND(Inputs!$B$38&lt;&gt;"pvp",Inputs!$B$43&gt;0),((Skills!G11*((R2377-1)*IF(Skills!H11&gt;0,Skills!I11/Skills!H11,1)+IF(Skills!H11&gt;0,MIN(Skills!I11,MAX(0,MAX(0,Inputs!$B$43-B2405)-((R2377-1)*IF(Inputs!$B$38="pvp",15,MAX(0.1,Skills!D11-IF(Skills!E11=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Skills!E11=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Skills!E11=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IFERROR(1/IF(Inputs!$B$38="pvp",15,MAX(0.1,Skills!D15-IF(Skills!E15=TRUE,Inputs!$B$32,0))),0)</f>
        <v/>
      </c>
      <c r="R2381">
        <f>IF(AND(Inputs!$B$38&lt;&gt;"pvp",Inputs!$B$43&gt;0),IF(Inputs!$B$43&lt;=0,0,(INT(Inputs!$B$43/IF(Inputs!$B$38="pvp",15,MAX(0.1,Skills!D15-IF(Skills!E15=TRUE,Inputs!$B$32,0))))+1)),0)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IFERROR(1/IF(Inputs!$B$38="pvp",15,MAX(0.1,Skills!D16-IF(Skills!E16=TRUE,Inputs!$B$32,0))),0)</f>
        <v/>
      </c>
      <c r="R2382">
        <f>IF(AND(Inputs!$B$38&lt;&gt;"pvp",Inputs!$B$43&gt;0),IF(Inputs!$B$43&lt;=0,0,(INT(Inputs!$B$43/IF(Inputs!$B$38="pvp",15,MAX(0.1,Skills!D16-IF(Skills!E16=TRUE,Inputs!$B$32,0))))+1)),0)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IFERROR(1/IF(Inputs!$B$38="pvp",15,MAX(0.1,Skills!D18-IF(Skills!E18=TRUE,Inputs!$B$32,0))),0)</f>
        <v/>
      </c>
      <c r="R2384">
        <f>IF(AND(Inputs!$B$38&lt;&gt;"pvp",Inputs!$B$43&gt;0),IF(Inputs!$B$43&lt;=0,0,(INT(Inputs!$B$43/IF(Inputs!$B$38="pvp",15,MAX(0.1,Skills!D18-IF(Skills!E18=TRUE,Inputs!$B$32,0))))+1)),0)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f>(C2382=TRUE)*20*IF(AND(Inputs!$B$38&lt;&gt;"pvp",Inputs!$B$43&gt;0),(((R2382-1)*(Skills!T16*(1+Inputs!$B$34/100))+MIN((Skills!T16*(1+Inputs!$B$34/100)),MAX(0,Inputs!$B$43-((R2382-1)*Skills!D16))))/Inputs!$B$43),IF(Inputs!$B$38="pvp",MIN((Skills!T16*(1+Inputs!$B$34/100)),15)/15,(Skills!T16*(1+Inputs!$B$34/100))/Skills!D16))</f>
        <v/>
      </c>
    </row>
    <row r="2399">
      <c r="A2399" t="inlineStr">
        <is>
          <t>Attack Speed Buff Bonus %</t>
        </is>
      </c>
      <c r="B2399">
        <f>((C2384=TRUE)*F2384*IF(AND(Inputs!$B$38&lt;&gt;"pvp",Inputs!$B$43&gt;0),(((R2384-1)*(Skills!T18*(1+Inputs!$B$34/100))+MIN((Skills!T18*(1+Inputs!$B$34/100)),MAX(0,Inputs!$B$43-((R2384-1)*Skills!D18))))/Inputs!$B$43),IF(Inputs!$B$38="pvp",MIN((Skills!T18*(1+Inputs!$B$34/100)),15)/15,(Skills!T18*(1+Inputs!$B$34/100))/Skills!D18)))</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Skills!T16*(1+Inputs!$B$34/100))+MIN((Skills!T16*(1+Inputs!$B$34/100)),MAX(0,Inputs!$B$43-((R2382-1)*Skills!D16))))/Inputs!$B$43),IF(Inputs!$B$38="pvp",MIN((Skills!T16*(1+Inputs!$B$34/100)),15)/15,(Skills!T16*(1+Inputs!$B$34/100))/Skills!D16))</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IFERROR(1/IF(Inputs!$B$38="pvp",15,MAX(0.1,Skills!D5-IF(Skills!E5=TRUE,Inputs!$B$32,0))),0)</f>
        <v/>
      </c>
      <c r="R2416">
        <f>IF(AND(Inputs!$B$38&lt;&gt;"pvp",Inputs!$B$43&gt;0),IF(MAX(0,Inputs!$B$43-B2450)&lt;=0,0,(INT(MAX(0,Inputs!$B$43-B2450)/IF(Inputs!$B$38="pvp",15,MAX(0.1,Skills!D5-IF(Skills!E5=TRUE,Inputs!$B$32,0))))+1)),0)</f>
        <v/>
      </c>
      <c r="S2416">
        <f>IFERROR((H2416*N2416*IF(AND(Inputs!$B$38&lt;&gt;"pvp",Inputs!$B$43&gt;0),((Skills!G5*((R2416-1)*IF(Skills!H5&gt;0,Skills!I5/Skills!H5,1)+IF(Skills!H5&gt;0,MIN(Skills!I5,MAX(0,MAX(0,Inputs!$B$43-B2450)-((R2416-1)*IF(Inputs!$B$38="pvp",15,MAX(0.1,Skills!D5-IF(Skills!E5=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Skills!E5=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Skills!E5=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IFERROR(1/IF(Inputs!$B$38="pvp",15,MAX(0.1,Skills!D6-IF(Skills!E6=TRUE,Inputs!$B$32,0))),0)</f>
        <v/>
      </c>
      <c r="R2417">
        <f>IF(AND(Inputs!$B$38&lt;&gt;"pvp",Inputs!$B$43&gt;0),IF(MAX(0,Inputs!$B$43-B2450)&lt;=0,0,(INT(MAX(0,Inputs!$B$43-B2450)/IF(Inputs!$B$38="pvp",15,MAX(0.1,Skills!D6-IF(Skills!E6=TRUE,Inputs!$B$32,0))))+1)),0)</f>
        <v/>
      </c>
      <c r="S2417">
        <f>IFERROR((H2417*N2417*IF(AND(Inputs!$B$38&lt;&gt;"pvp",Inputs!$B$43&gt;0),((Skills!G6*((R2417-1)*IF(Skills!H6&gt;0,Skills!I6/Skills!H6,1)+IF(Skills!H6&gt;0,MIN(Skills!I6,MAX(0,MAX(0,Inputs!$B$43-B2450)-((R2417-1)*IF(Inputs!$B$38="pvp",15,MAX(0.1,Skills!D6-IF(Skills!E6=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Skills!E6=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Skills!E6=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IFERROR(1/IF(Inputs!$B$38="pvp",15,MAX(0.1,Skills!D7-IF(Skills!E7=TRUE,Inputs!$B$32,0))),0)</f>
        <v/>
      </c>
      <c r="R2418">
        <f>IF(AND(Inputs!$B$38&lt;&gt;"pvp",Inputs!$B$43&gt;0),IF(MAX(0,Inputs!$B$43-B2450)&lt;=0,0,(INT(MAX(0,Inputs!$B$43-B2450)/IF(Inputs!$B$38="pvp",15,MAX(0.1,Skills!D7-IF(Skills!E7=TRUE,Inputs!$B$32,0))))+1)),0)</f>
        <v/>
      </c>
      <c r="S2418">
        <f>IFERROR((H2418*N2418*IF(AND(Inputs!$B$38&lt;&gt;"pvp",Inputs!$B$43&gt;0),((Skills!G7*((R2418-1)*IF(Skills!H7&gt;0,Skills!I7/Skills!H7,1)+IF(Skills!H7&gt;0,MIN(Skills!I7,MAX(0,MAX(0,Inputs!$B$43-B2450)-((R2418-1)*IF(Inputs!$B$38="pvp",15,MAX(0.1,Skills!D7-IF(Skills!E7=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Skills!E7=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Skills!E7=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IFERROR(1/IF(Inputs!$B$38="pvp",15,MAX(0.1,Skills!D9-IF(Skills!E9=TRUE,Inputs!$B$32,0))),0)</f>
        <v/>
      </c>
      <c r="R2420">
        <f>IF(AND(Inputs!$B$38&lt;&gt;"pvp",Inputs!$B$43&gt;0),IF(MAX(0,Inputs!$B$43-B2450)&lt;=0,0,(INT(MAX(0,Inputs!$B$43-B2450)/IF(Inputs!$B$38="pvp",15,MAX(0.1,Skills!D9-IF(Skills!E9=TRUE,Inputs!$B$32,0))))+1)),0)</f>
        <v/>
      </c>
      <c r="S2420">
        <f>IFERROR((H2420*N2420*IF(AND(Inputs!$B$38&lt;&gt;"pvp",Inputs!$B$43&gt;0),((Skills!G9*((R2420-1)*IF(Skills!H9&gt;0,Skills!I9/Skills!H9,1)+IF(Skills!H9&gt;0,MIN(Skills!I9,MAX(0,MAX(0,Inputs!$B$43-B2450)-((R2420-1)*IF(Inputs!$B$38="pvp",15,MAX(0.1,Skills!D9-IF(Skills!E9=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Skills!E9=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Skills!E9=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IFERROR(1/IF(Inputs!$B$38="pvp",15,MAX(0.1,Skills!D11-IF(Skills!E11=TRUE,Inputs!$B$32,0))),0)</f>
        <v/>
      </c>
      <c r="R2422">
        <f>IF(AND(Inputs!$B$38&lt;&gt;"pvp",Inputs!$B$43&gt;0),IF(MAX(0,Inputs!$B$43-B2450)&lt;=0,0,(INT(MAX(0,Inputs!$B$43-B2450)/IF(Inputs!$B$38="pvp",15,MAX(0.1,Skills!D11-IF(Skills!E11=TRUE,Inputs!$B$32,0))))+1)),0)</f>
        <v/>
      </c>
      <c r="S2422">
        <f>IFERROR((H2422*N2422*IF(AND(Inputs!$B$38&lt;&gt;"pvp",Inputs!$B$43&gt;0),((Skills!G11*((R2422-1)*IF(Skills!H11&gt;0,Skills!I11/Skills!H11,1)+IF(Skills!H11&gt;0,MIN(Skills!I11,MAX(0,MAX(0,Inputs!$B$43-B2450)-((R2422-1)*IF(Inputs!$B$38="pvp",15,MAX(0.1,Skills!D11-IF(Skills!E11=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Skills!E11=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Skills!E11=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IFERROR(1/IF(Inputs!$B$38="pvp",15,MAX(0.1,Skills!D15-IF(Skills!E15=TRUE,Inputs!$B$32,0))),0)</f>
        <v/>
      </c>
      <c r="R2426">
        <f>IF(AND(Inputs!$B$38&lt;&gt;"pvp",Inputs!$B$43&gt;0),IF(Inputs!$B$43&lt;=0,0,(INT(Inputs!$B$43/IF(Inputs!$B$38="pvp",15,MAX(0.1,Skills!D15-IF(Skills!E15=TRUE,Inputs!$B$32,0))))+1)),0)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IFERROR(1/IF(Inputs!$B$38="pvp",15,MAX(0.1,Skills!D16-IF(Skills!E16=TRUE,Inputs!$B$32,0))),0)</f>
        <v/>
      </c>
      <c r="R2427">
        <f>IF(AND(Inputs!$B$38&lt;&gt;"pvp",Inputs!$B$43&gt;0),IF(Inputs!$B$43&lt;=0,0,(INT(Inputs!$B$43/IF(Inputs!$B$38="pvp",15,MAX(0.1,Skills!D16-IF(Skills!E16=TRUE,Inputs!$B$32,0))))+1)),0)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IFERROR(1/IF(Inputs!$B$38="pvp",15,MAX(0.1,Skills!D18-IF(Skills!E18=TRUE,Inputs!$B$32,0))),0)</f>
        <v/>
      </c>
      <c r="R2429">
        <f>IF(AND(Inputs!$B$38&lt;&gt;"pvp",Inputs!$B$43&gt;0),IF(Inputs!$B$43&lt;=0,0,(INT(Inputs!$B$43/IF(Inputs!$B$38="pvp",15,MAX(0.1,Skills!D18-IF(Skills!E18=TRUE,Inputs!$B$32,0))))+1)),0)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f>(C2427=TRUE)*20*IF(AND(Inputs!$B$38&lt;&gt;"pvp",Inputs!$B$43&gt;0),(((R2427-1)*(Skills!T16*(1+Inputs!$B$34/100))+MIN((Skills!T16*(1+Inputs!$B$34/100)),MAX(0,Inputs!$B$43-((R2427-1)*Skills!D16))))/Inputs!$B$43),IF(Inputs!$B$38="pvp",MIN((Skills!T16*(1+Inputs!$B$34/100)),15)/15,(Skills!T16*(1+Inputs!$B$34/100))/Skills!D16))</f>
        <v/>
      </c>
    </row>
    <row r="2444">
      <c r="A2444" t="inlineStr">
        <is>
          <t>Attack Speed Buff Bonus %</t>
        </is>
      </c>
      <c r="B2444">
        <f>((C2429=TRUE)*F2429*IF(AND(Inputs!$B$38&lt;&gt;"pvp",Inputs!$B$43&gt;0),(((R2429-1)*(Skills!T18*(1+Inputs!$B$34/100))+MIN((Skills!T18*(1+Inputs!$B$34/100)),MAX(0,Inputs!$B$43-((R2429-1)*Skills!D18))))/Inputs!$B$43),IF(Inputs!$B$38="pvp",MIN((Skills!T18*(1+Inputs!$B$34/100)),15)/15,(Skills!T18*(1+Inputs!$B$34/100))/Skills!D18)))</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Skills!T16*(1+Inputs!$B$34/100))+MIN((Skills!T16*(1+Inputs!$B$34/100)),MAX(0,Inputs!$B$43-((R2427-1)*Skills!D16))))/Inputs!$B$43),IF(Inputs!$B$38="pvp",MIN((Skills!T16*(1+Inputs!$B$34/100)),15)/15,(Skills!T16*(1+Inputs!$B$34/100))/Skills!D16))</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IFERROR(1/IF(Inputs!$B$38="pvp",15,MAX(0.1,Skills!D5-IF(Skills!E5=TRUE,Inputs!$B$32,0))),0)</f>
        <v/>
      </c>
      <c r="R2461">
        <f>IF(AND(Inputs!$B$38&lt;&gt;"pvp",Inputs!$B$43&gt;0),IF(MAX(0,Inputs!$B$43-B2495)&lt;=0,0,(INT(MAX(0,Inputs!$B$43-B2495)/IF(Inputs!$B$38="pvp",15,MAX(0.1,Skills!D5-IF(Skills!E5=TRUE,Inputs!$B$32,0))))+1)),0)</f>
        <v/>
      </c>
      <c r="S2461">
        <f>IFERROR((H2461*N2461*IF(AND(Inputs!$B$38&lt;&gt;"pvp",Inputs!$B$43&gt;0),((Skills!G5*((R2461-1)*IF(Skills!H5&gt;0,Skills!I5/Skills!H5,1)+IF(Skills!H5&gt;0,MIN(Skills!I5,MAX(0,MAX(0,Inputs!$B$43-B2495)-((R2461-1)*IF(Inputs!$B$38="pvp",15,MAX(0.1,Skills!D5-IF(Skills!E5=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Skills!E5=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Skills!E5=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IFERROR(1/IF(Inputs!$B$38="pvp",15,MAX(0.1,Skills!D6-IF(Skills!E6=TRUE,Inputs!$B$32,0))),0)</f>
        <v/>
      </c>
      <c r="R2462">
        <f>IF(AND(Inputs!$B$38&lt;&gt;"pvp",Inputs!$B$43&gt;0),IF(MAX(0,Inputs!$B$43-B2495)&lt;=0,0,(INT(MAX(0,Inputs!$B$43-B2495)/IF(Inputs!$B$38="pvp",15,MAX(0.1,Skills!D6-IF(Skills!E6=TRUE,Inputs!$B$32,0))))+1)),0)</f>
        <v/>
      </c>
      <c r="S2462">
        <f>IFERROR((H2462*N2462*IF(AND(Inputs!$B$38&lt;&gt;"pvp",Inputs!$B$43&gt;0),((Skills!G6*((R2462-1)*IF(Skills!H6&gt;0,Skills!I6/Skills!H6,1)+IF(Skills!H6&gt;0,MIN(Skills!I6,MAX(0,MAX(0,Inputs!$B$43-B2495)-((R2462-1)*IF(Inputs!$B$38="pvp",15,MAX(0.1,Skills!D6-IF(Skills!E6=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Skills!E6=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Skills!E6=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IFERROR(1/IF(Inputs!$B$38="pvp",15,MAX(0.1,Skills!D7-IF(Skills!E7=TRUE,Inputs!$B$32,0))),0)</f>
        <v/>
      </c>
      <c r="R2463">
        <f>IF(AND(Inputs!$B$38&lt;&gt;"pvp",Inputs!$B$43&gt;0),IF(MAX(0,Inputs!$B$43-B2495)&lt;=0,0,(INT(MAX(0,Inputs!$B$43-B2495)/IF(Inputs!$B$38="pvp",15,MAX(0.1,Skills!D7-IF(Skills!E7=TRUE,Inputs!$B$32,0))))+1)),0)</f>
        <v/>
      </c>
      <c r="S2463">
        <f>IFERROR((H2463*N2463*IF(AND(Inputs!$B$38&lt;&gt;"pvp",Inputs!$B$43&gt;0),((Skills!G7*((R2463-1)*IF(Skills!H7&gt;0,Skills!I7/Skills!H7,1)+IF(Skills!H7&gt;0,MIN(Skills!I7,MAX(0,MAX(0,Inputs!$B$43-B2495)-((R2463-1)*IF(Inputs!$B$38="pvp",15,MAX(0.1,Skills!D7-IF(Skills!E7=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Skills!E7=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Skills!E7=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IFERROR(1/IF(Inputs!$B$38="pvp",15,MAX(0.1,Skills!D9-IF(Skills!E9=TRUE,Inputs!$B$32,0))),0)</f>
        <v/>
      </c>
      <c r="R2465">
        <f>IF(AND(Inputs!$B$38&lt;&gt;"pvp",Inputs!$B$43&gt;0),IF(MAX(0,Inputs!$B$43-B2495)&lt;=0,0,(INT(MAX(0,Inputs!$B$43-B2495)/IF(Inputs!$B$38="pvp",15,MAX(0.1,Skills!D9-IF(Skills!E9=TRUE,Inputs!$B$32,0))))+1)),0)</f>
        <v/>
      </c>
      <c r="S2465">
        <f>IFERROR((H2465*N2465*IF(AND(Inputs!$B$38&lt;&gt;"pvp",Inputs!$B$43&gt;0),((Skills!G9*((R2465-1)*IF(Skills!H9&gt;0,Skills!I9/Skills!H9,1)+IF(Skills!H9&gt;0,MIN(Skills!I9,MAX(0,MAX(0,Inputs!$B$43-B2495)-((R2465-1)*IF(Inputs!$B$38="pvp",15,MAX(0.1,Skills!D9-IF(Skills!E9=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Skills!E9=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Skills!E9=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IFERROR(1/IF(Inputs!$B$38="pvp",15,MAX(0.1,Skills!D11-IF(Skills!E11=TRUE,Inputs!$B$32,0))),0)</f>
        <v/>
      </c>
      <c r="R2467">
        <f>IF(AND(Inputs!$B$38&lt;&gt;"pvp",Inputs!$B$43&gt;0),IF(MAX(0,Inputs!$B$43-B2495)&lt;=0,0,(INT(MAX(0,Inputs!$B$43-B2495)/IF(Inputs!$B$38="pvp",15,MAX(0.1,Skills!D11-IF(Skills!E11=TRUE,Inputs!$B$32,0))))+1)),0)</f>
        <v/>
      </c>
      <c r="S2467">
        <f>IFERROR((H2467*N2467*IF(AND(Inputs!$B$38&lt;&gt;"pvp",Inputs!$B$43&gt;0),((Skills!G11*((R2467-1)*IF(Skills!H11&gt;0,Skills!I11/Skills!H11,1)+IF(Skills!H11&gt;0,MIN(Skills!I11,MAX(0,MAX(0,Inputs!$B$43-B2495)-((R2467-1)*IF(Inputs!$B$38="pvp",15,MAX(0.1,Skills!D11-IF(Skills!E11=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Skills!E11=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Skills!E11=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IFERROR(1/IF(Inputs!$B$38="pvp",15,MAX(0.1,Skills!D15-IF(Skills!E15=TRUE,Inputs!$B$32,0))),0)</f>
        <v/>
      </c>
      <c r="R2471">
        <f>IF(AND(Inputs!$B$38&lt;&gt;"pvp",Inputs!$B$43&gt;0),IF(Inputs!$B$43&lt;=0,0,(INT(Inputs!$B$43/IF(Inputs!$B$38="pvp",15,MAX(0.1,Skills!D15-IF(Skills!E15=TRUE,Inputs!$B$32,0))))+1)),0)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IFERROR(1/IF(Inputs!$B$38="pvp",15,MAX(0.1,Skills!D16-IF(Skills!E16=TRUE,Inputs!$B$32,0))),0)</f>
        <v/>
      </c>
      <c r="R2472">
        <f>IF(AND(Inputs!$B$38&lt;&gt;"pvp",Inputs!$B$43&gt;0),IF(Inputs!$B$43&lt;=0,0,(INT(Inputs!$B$43/IF(Inputs!$B$38="pvp",15,MAX(0.1,Skills!D16-IF(Skills!E16=TRUE,Inputs!$B$32,0))))+1)),0)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IFERROR(1/IF(Inputs!$B$38="pvp",15,MAX(0.1,Skills!D18-IF(Skills!E18=TRUE,Inputs!$B$32,0))),0)</f>
        <v/>
      </c>
      <c r="R2474">
        <f>IF(AND(Inputs!$B$38&lt;&gt;"pvp",Inputs!$B$43&gt;0),IF(Inputs!$B$43&lt;=0,0,(INT(Inputs!$B$43/IF(Inputs!$B$38="pvp",15,MAX(0.1,Skills!D18-IF(Skills!E18=TRUE,Inputs!$B$32,0))))+1)),0)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f>(C2472=TRUE)*20*IF(AND(Inputs!$B$38&lt;&gt;"pvp",Inputs!$B$43&gt;0),(((R2472-1)*(Skills!T16*(1+Inputs!$B$34/100))+MIN((Skills!T16*(1+Inputs!$B$34/100)),MAX(0,Inputs!$B$43-((R2472-1)*Skills!D16))))/Inputs!$B$43),IF(Inputs!$B$38="pvp",MIN((Skills!T16*(1+Inputs!$B$34/100)),15)/15,(Skills!T16*(1+Inputs!$B$34/100))/Skills!D16))</f>
        <v/>
      </c>
    </row>
    <row r="2489">
      <c r="A2489" t="inlineStr">
        <is>
          <t>Attack Speed Buff Bonus %</t>
        </is>
      </c>
      <c r="B2489">
        <f>((C2474=TRUE)*F2474*IF(AND(Inputs!$B$38&lt;&gt;"pvp",Inputs!$B$43&gt;0),(((R2474-1)*(Skills!T18*(1+Inputs!$B$34/100))+MIN((Skills!T18*(1+Inputs!$B$34/100)),MAX(0,Inputs!$B$43-((R2474-1)*Skills!D18))))/Inputs!$B$43),IF(Inputs!$B$38="pvp",MIN((Skills!T18*(1+Inputs!$B$34/100)),15)/15,(Skills!T18*(1+Inputs!$B$34/100))/Skills!D18)))</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Skills!T16*(1+Inputs!$B$34/100))+MIN((Skills!T16*(1+Inputs!$B$34/100)),MAX(0,Inputs!$B$43-((R2472-1)*Skills!D16))))/Inputs!$B$43),IF(Inputs!$B$38="pvp",MIN((Skills!T16*(1+Inputs!$B$34/100)),15)/15,(Skills!T16*(1+Inputs!$B$34/100))/Skills!D16))</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IFERROR(1/IF(Inputs!$B$38="pvp",15,MAX(0.1,Skills!D5-IF(Skills!E5=TRUE,Inputs!$B$32,0))),0)</f>
        <v/>
      </c>
      <c r="R2506">
        <f>IF(AND(Inputs!$B$38&lt;&gt;"pvp",Inputs!$B$43&gt;0),IF(MAX(0,Inputs!$B$43-B2540)&lt;=0,0,(INT(MAX(0,Inputs!$B$43-B2540)/IF(Inputs!$B$38="pvp",15,MAX(0.1,Skills!D5-IF(Skills!E5=TRUE,Inputs!$B$32,0))))+1)),0)</f>
        <v/>
      </c>
      <c r="S2506">
        <f>IFERROR((H2506*N2506*IF(AND(Inputs!$B$38&lt;&gt;"pvp",Inputs!$B$43&gt;0),((Skills!G5*((R2506-1)*IF(Skills!H5&gt;0,Skills!I5/Skills!H5,1)+IF(Skills!H5&gt;0,MIN(Skills!I5,MAX(0,MAX(0,Inputs!$B$43-B2540)-((R2506-1)*IF(Inputs!$B$38="pvp",15,MAX(0.1,Skills!D5-IF(Skills!E5=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Skills!E5=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Skills!E5=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IFERROR(1/IF(Inputs!$B$38="pvp",15,MAX(0.1,Skills!D6-IF(Skills!E6=TRUE,Inputs!$B$32,0))),0)</f>
        <v/>
      </c>
      <c r="R2507">
        <f>IF(AND(Inputs!$B$38&lt;&gt;"pvp",Inputs!$B$43&gt;0),IF(MAX(0,Inputs!$B$43-B2540)&lt;=0,0,(INT(MAX(0,Inputs!$B$43-B2540)/IF(Inputs!$B$38="pvp",15,MAX(0.1,Skills!D6-IF(Skills!E6=TRUE,Inputs!$B$32,0))))+1)),0)</f>
        <v/>
      </c>
      <c r="S2507">
        <f>IFERROR((H2507*N2507*IF(AND(Inputs!$B$38&lt;&gt;"pvp",Inputs!$B$43&gt;0),((Skills!G6*((R2507-1)*IF(Skills!H6&gt;0,Skills!I6/Skills!H6,1)+IF(Skills!H6&gt;0,MIN(Skills!I6,MAX(0,MAX(0,Inputs!$B$43-B2540)-((R2507-1)*IF(Inputs!$B$38="pvp",15,MAX(0.1,Skills!D6-IF(Skills!E6=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Skills!E6=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Skills!E6=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IFERROR(1/IF(Inputs!$B$38="pvp",15,MAX(0.1,Skills!D7-IF(Skills!E7=TRUE,Inputs!$B$32,0))),0)</f>
        <v/>
      </c>
      <c r="R2508">
        <f>IF(AND(Inputs!$B$38&lt;&gt;"pvp",Inputs!$B$43&gt;0),IF(MAX(0,Inputs!$B$43-B2540)&lt;=0,0,(INT(MAX(0,Inputs!$B$43-B2540)/IF(Inputs!$B$38="pvp",15,MAX(0.1,Skills!D7-IF(Skills!E7=TRUE,Inputs!$B$32,0))))+1)),0)</f>
        <v/>
      </c>
      <c r="S2508">
        <f>IFERROR((H2508*N2508*IF(AND(Inputs!$B$38&lt;&gt;"pvp",Inputs!$B$43&gt;0),((Skills!G7*((R2508-1)*IF(Skills!H7&gt;0,Skills!I7/Skills!H7,1)+IF(Skills!H7&gt;0,MIN(Skills!I7,MAX(0,MAX(0,Inputs!$B$43-B2540)-((R2508-1)*IF(Inputs!$B$38="pvp",15,MAX(0.1,Skills!D7-IF(Skills!E7=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Skills!E7=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Skills!E7=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IFERROR(1/IF(Inputs!$B$38="pvp",15,MAX(0.1,Skills!D9-IF(Skills!E9=TRUE,Inputs!$B$32,0))),0)</f>
        <v/>
      </c>
      <c r="R2510">
        <f>IF(AND(Inputs!$B$38&lt;&gt;"pvp",Inputs!$B$43&gt;0),IF(MAX(0,Inputs!$B$43-B2540)&lt;=0,0,(INT(MAX(0,Inputs!$B$43-B2540)/IF(Inputs!$B$38="pvp",15,MAX(0.1,Skills!D9-IF(Skills!E9=TRUE,Inputs!$B$32,0))))+1)),0)</f>
        <v/>
      </c>
      <c r="S2510">
        <f>IFERROR((H2510*N2510*IF(AND(Inputs!$B$38&lt;&gt;"pvp",Inputs!$B$43&gt;0),((Skills!G9*((R2510-1)*IF(Skills!H9&gt;0,Skills!I9/Skills!H9,1)+IF(Skills!H9&gt;0,MIN(Skills!I9,MAX(0,MAX(0,Inputs!$B$43-B2540)-((R2510-1)*IF(Inputs!$B$38="pvp",15,MAX(0.1,Skills!D9-IF(Skills!E9=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Skills!E9=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Skills!E9=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IFERROR(1/IF(Inputs!$B$38="pvp",15,MAX(0.1,Skills!D11-IF(Skills!E11=TRUE,Inputs!$B$32,0))),0)</f>
        <v/>
      </c>
      <c r="R2512">
        <f>IF(AND(Inputs!$B$38&lt;&gt;"pvp",Inputs!$B$43&gt;0),IF(MAX(0,Inputs!$B$43-B2540)&lt;=0,0,(INT(MAX(0,Inputs!$B$43-B2540)/IF(Inputs!$B$38="pvp",15,MAX(0.1,Skills!D11-IF(Skills!E11=TRUE,Inputs!$B$32,0))))+1)),0)</f>
        <v/>
      </c>
      <c r="S2512">
        <f>IFERROR((H2512*N2512*IF(AND(Inputs!$B$38&lt;&gt;"pvp",Inputs!$B$43&gt;0),((Skills!G11*((R2512-1)*IF(Skills!H11&gt;0,Skills!I11/Skills!H11,1)+IF(Skills!H11&gt;0,MIN(Skills!I11,MAX(0,MAX(0,Inputs!$B$43-B2540)-((R2512-1)*IF(Inputs!$B$38="pvp",15,MAX(0.1,Skills!D11-IF(Skills!E11=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Skills!E11=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Skills!E11=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IFERROR(1/IF(Inputs!$B$38="pvp",15,MAX(0.1,Skills!D15-IF(Skills!E15=TRUE,Inputs!$B$32,0))),0)</f>
        <v/>
      </c>
      <c r="R2516">
        <f>IF(AND(Inputs!$B$38&lt;&gt;"pvp",Inputs!$B$43&gt;0),IF(Inputs!$B$43&lt;=0,0,(INT(Inputs!$B$43/IF(Inputs!$B$38="pvp",15,MAX(0.1,Skills!D15-IF(Skills!E15=TRUE,Inputs!$B$32,0))))+1)),0)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IFERROR(1/IF(Inputs!$B$38="pvp",15,MAX(0.1,Skills!D16-IF(Skills!E16=TRUE,Inputs!$B$32,0))),0)</f>
        <v/>
      </c>
      <c r="R2517">
        <f>IF(AND(Inputs!$B$38&lt;&gt;"pvp",Inputs!$B$43&gt;0),IF(Inputs!$B$43&lt;=0,0,(INT(Inputs!$B$43/IF(Inputs!$B$38="pvp",15,MAX(0.1,Skills!D16-IF(Skills!E16=TRUE,Inputs!$B$32,0))))+1)),0)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IFERROR(1/IF(Inputs!$B$38="pvp",15,MAX(0.1,Skills!D18-IF(Skills!E18=TRUE,Inputs!$B$32,0))),0)</f>
        <v/>
      </c>
      <c r="R2519">
        <f>IF(AND(Inputs!$B$38&lt;&gt;"pvp",Inputs!$B$43&gt;0),IF(Inputs!$B$43&lt;=0,0,(INT(Inputs!$B$43/IF(Inputs!$B$38="pvp",15,MAX(0.1,Skills!D18-IF(Skills!E18=TRUE,Inputs!$B$32,0))))+1)),0)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f>(C2517=TRUE)*20*IF(AND(Inputs!$B$38&lt;&gt;"pvp",Inputs!$B$43&gt;0),(((R2517-1)*(Skills!T16*(1+Inputs!$B$34/100))+MIN((Skills!T16*(1+Inputs!$B$34/100)),MAX(0,Inputs!$B$43-((R2517-1)*Skills!D16))))/Inputs!$B$43),IF(Inputs!$B$38="pvp",MIN((Skills!T16*(1+Inputs!$B$34/100)),15)/15,(Skills!T16*(1+Inputs!$B$34/100))/Skills!D16))</f>
        <v/>
      </c>
    </row>
    <row r="2534">
      <c r="A2534" t="inlineStr">
        <is>
          <t>Attack Speed Buff Bonus %</t>
        </is>
      </c>
      <c r="B2534">
        <f>((C2519=TRUE)*F2519*IF(AND(Inputs!$B$38&lt;&gt;"pvp",Inputs!$B$43&gt;0),(((R2519-1)*(Skills!T18*(1+Inputs!$B$34/100))+MIN((Skills!T18*(1+Inputs!$B$34/100)),MAX(0,Inputs!$B$43-((R2519-1)*Skills!D18))))/Inputs!$B$43),IF(Inputs!$B$38="pvp",MIN((Skills!T18*(1+Inputs!$B$34/100)),15)/15,(Skills!T18*(1+Inputs!$B$34/100))/Skills!D18)))</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Skills!T16*(1+Inputs!$B$34/100))+MIN((Skills!T16*(1+Inputs!$B$34/100)),MAX(0,Inputs!$B$43-((R2517-1)*Skills!D16))))/Inputs!$B$43),IF(Inputs!$B$38="pvp",MIN((Skills!T16*(1+Inputs!$B$34/100)),15)/15,(Skills!T16*(1+Inputs!$B$34/100))/Skills!D16))</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IFERROR(1/IF(Inputs!$B$38="pvp",15,MAX(0.1,Skills!D5-IF(Skills!E5=TRUE,Inputs!$B$32,0))),0)</f>
        <v/>
      </c>
      <c r="R2551">
        <f>IF(AND(Inputs!$B$38&lt;&gt;"pvp",Inputs!$B$43&gt;0),IF(MAX(0,Inputs!$B$43-B2585)&lt;=0,0,(INT(MAX(0,Inputs!$B$43-B2585)/IF(Inputs!$B$38="pvp",15,MAX(0.1,Skills!D5-IF(Skills!E5=TRUE,Inputs!$B$32,0))))+1)),0)</f>
        <v/>
      </c>
      <c r="S2551">
        <f>IFERROR((H2551*N2551*IF(AND(Inputs!$B$38&lt;&gt;"pvp",Inputs!$B$43&gt;0),((Skills!G5*((R2551-1)*IF(Skills!H5&gt;0,Skills!I5/Skills!H5,1)+IF(Skills!H5&gt;0,MIN(Skills!I5,MAX(0,MAX(0,Inputs!$B$43-B2585)-((R2551-1)*IF(Inputs!$B$38="pvp",15,MAX(0.1,Skills!D5-IF(Skills!E5=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Skills!E5=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Skills!E5=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IFERROR(1/IF(Inputs!$B$38="pvp",15,MAX(0.1,Skills!D6-IF(Skills!E6=TRUE,Inputs!$B$32,0))),0)</f>
        <v/>
      </c>
      <c r="R2552">
        <f>IF(AND(Inputs!$B$38&lt;&gt;"pvp",Inputs!$B$43&gt;0),IF(MAX(0,Inputs!$B$43-B2585)&lt;=0,0,(INT(MAX(0,Inputs!$B$43-B2585)/IF(Inputs!$B$38="pvp",15,MAX(0.1,Skills!D6-IF(Skills!E6=TRUE,Inputs!$B$32,0))))+1)),0)</f>
        <v/>
      </c>
      <c r="S2552">
        <f>IFERROR((H2552*N2552*IF(AND(Inputs!$B$38&lt;&gt;"pvp",Inputs!$B$43&gt;0),((Skills!G6*((R2552-1)*IF(Skills!H6&gt;0,Skills!I6/Skills!H6,1)+IF(Skills!H6&gt;0,MIN(Skills!I6,MAX(0,MAX(0,Inputs!$B$43-B2585)-((R2552-1)*IF(Inputs!$B$38="pvp",15,MAX(0.1,Skills!D6-IF(Skills!E6=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Skills!E6=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Skills!E6=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IFERROR(1/IF(Inputs!$B$38="pvp",15,MAX(0.1,Skills!D7-IF(Skills!E7=TRUE,Inputs!$B$32,0))),0)</f>
        <v/>
      </c>
      <c r="R2553">
        <f>IF(AND(Inputs!$B$38&lt;&gt;"pvp",Inputs!$B$43&gt;0),IF(MAX(0,Inputs!$B$43-B2585)&lt;=0,0,(INT(MAX(0,Inputs!$B$43-B2585)/IF(Inputs!$B$38="pvp",15,MAX(0.1,Skills!D7-IF(Skills!E7=TRUE,Inputs!$B$32,0))))+1)),0)</f>
        <v/>
      </c>
      <c r="S2553">
        <f>IFERROR((H2553*N2553*IF(AND(Inputs!$B$38&lt;&gt;"pvp",Inputs!$B$43&gt;0),((Skills!G7*((R2553-1)*IF(Skills!H7&gt;0,Skills!I7/Skills!H7,1)+IF(Skills!H7&gt;0,MIN(Skills!I7,MAX(0,MAX(0,Inputs!$B$43-B2585)-((R2553-1)*IF(Inputs!$B$38="pvp",15,MAX(0.1,Skills!D7-IF(Skills!E7=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Skills!E7=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Skills!E7=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IFERROR(1/IF(Inputs!$B$38="pvp",15,MAX(0.1,Skills!D9-IF(Skills!E9=TRUE,Inputs!$B$32,0))),0)</f>
        <v/>
      </c>
      <c r="R2555">
        <f>IF(AND(Inputs!$B$38&lt;&gt;"pvp",Inputs!$B$43&gt;0),IF(MAX(0,Inputs!$B$43-B2585)&lt;=0,0,(INT(MAX(0,Inputs!$B$43-B2585)/IF(Inputs!$B$38="pvp",15,MAX(0.1,Skills!D9-IF(Skills!E9=TRUE,Inputs!$B$32,0))))+1)),0)</f>
        <v/>
      </c>
      <c r="S2555">
        <f>IFERROR((H2555*N2555*IF(AND(Inputs!$B$38&lt;&gt;"pvp",Inputs!$B$43&gt;0),((Skills!G9*((R2555-1)*IF(Skills!H9&gt;0,Skills!I9/Skills!H9,1)+IF(Skills!H9&gt;0,MIN(Skills!I9,MAX(0,MAX(0,Inputs!$B$43-B2585)-((R2555-1)*IF(Inputs!$B$38="pvp",15,MAX(0.1,Skills!D9-IF(Skills!E9=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Skills!E9=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Skills!E9=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IFERROR(1/IF(Inputs!$B$38="pvp",15,MAX(0.1,Skills!D11-IF(Skills!E11=TRUE,Inputs!$B$32,0))),0)</f>
        <v/>
      </c>
      <c r="R2557">
        <f>IF(AND(Inputs!$B$38&lt;&gt;"pvp",Inputs!$B$43&gt;0),IF(MAX(0,Inputs!$B$43-B2585)&lt;=0,0,(INT(MAX(0,Inputs!$B$43-B2585)/IF(Inputs!$B$38="pvp",15,MAX(0.1,Skills!D11-IF(Skills!E11=TRUE,Inputs!$B$32,0))))+1)),0)</f>
        <v/>
      </c>
      <c r="S2557">
        <f>IFERROR((H2557*N2557*IF(AND(Inputs!$B$38&lt;&gt;"pvp",Inputs!$B$43&gt;0),((Skills!G11*((R2557-1)*IF(Skills!H11&gt;0,Skills!I11/Skills!H11,1)+IF(Skills!H11&gt;0,MIN(Skills!I11,MAX(0,MAX(0,Inputs!$B$43-B2585)-((R2557-1)*IF(Inputs!$B$38="pvp",15,MAX(0.1,Skills!D11-IF(Skills!E11=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Skills!E11=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Skills!E11=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IFERROR(1/IF(Inputs!$B$38="pvp",15,MAX(0.1,Skills!D15-IF(Skills!E15=TRUE,Inputs!$B$32,0))),0)</f>
        <v/>
      </c>
      <c r="R2561">
        <f>IF(AND(Inputs!$B$38&lt;&gt;"pvp",Inputs!$B$43&gt;0),IF(Inputs!$B$43&lt;=0,0,(INT(Inputs!$B$43/IF(Inputs!$B$38="pvp",15,MAX(0.1,Skills!D15-IF(Skills!E15=TRUE,Inputs!$B$32,0))))+1)),0)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IFERROR(1/IF(Inputs!$B$38="pvp",15,MAX(0.1,Skills!D16-IF(Skills!E16=TRUE,Inputs!$B$32,0))),0)</f>
        <v/>
      </c>
      <c r="R2562">
        <f>IF(AND(Inputs!$B$38&lt;&gt;"pvp",Inputs!$B$43&gt;0),IF(Inputs!$B$43&lt;=0,0,(INT(Inputs!$B$43/IF(Inputs!$B$38="pvp",15,MAX(0.1,Skills!D16-IF(Skills!E16=TRUE,Inputs!$B$32,0))))+1)),0)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IFERROR(1/IF(Inputs!$B$38="pvp",15,MAX(0.1,Skills!D18-IF(Skills!E18=TRUE,Inputs!$B$32,0))),0)</f>
        <v/>
      </c>
      <c r="R2564">
        <f>IF(AND(Inputs!$B$38&lt;&gt;"pvp",Inputs!$B$43&gt;0),IF(Inputs!$B$43&lt;=0,0,(INT(Inputs!$B$43/IF(Inputs!$B$38="pvp",15,MAX(0.1,Skills!D18-IF(Skills!E18=TRUE,Inputs!$B$32,0))))+1)),0)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f>(C2562=TRUE)*20*IF(AND(Inputs!$B$38&lt;&gt;"pvp",Inputs!$B$43&gt;0),(((R2562-1)*(Skills!T16*(1+Inputs!$B$34/100))+MIN((Skills!T16*(1+Inputs!$B$34/100)),MAX(0,Inputs!$B$43-((R2562-1)*Skills!D16))))/Inputs!$B$43),IF(Inputs!$B$38="pvp",MIN((Skills!T16*(1+Inputs!$B$34/100)),15)/15,(Skills!T16*(1+Inputs!$B$34/100))/Skills!D16))</f>
        <v/>
      </c>
    </row>
    <row r="2579">
      <c r="A2579" t="inlineStr">
        <is>
          <t>Attack Speed Buff Bonus %</t>
        </is>
      </c>
      <c r="B2579">
        <f>((C2564=TRUE)*F2564*IF(AND(Inputs!$B$38&lt;&gt;"pvp",Inputs!$B$43&gt;0),(((R2564-1)*(Skills!T18*(1+Inputs!$B$34/100))+MIN((Skills!T18*(1+Inputs!$B$34/100)),MAX(0,Inputs!$B$43-((R2564-1)*Skills!D18))))/Inputs!$B$43),IF(Inputs!$B$38="pvp",MIN((Skills!T18*(1+Inputs!$B$34/100)),15)/15,(Skills!T18*(1+Inputs!$B$34/100))/Skills!D18)))</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Skills!T16*(1+Inputs!$B$34/100))+MIN((Skills!T16*(1+Inputs!$B$34/100)),MAX(0,Inputs!$B$43-((R2562-1)*Skills!D16))))/Inputs!$B$43),IF(Inputs!$B$38="pvp",MIN((Skills!T16*(1+Inputs!$B$34/100)),15)/15,(Skills!T16*(1+Inputs!$B$34/100))/Skills!D16))</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IFERROR(1/IF(Inputs!$B$38="pvp",15,MAX(0.1,Skills!D5-IF(Skills!E5=TRUE,Inputs!$B$32,0))),0)</f>
        <v/>
      </c>
      <c r="R2596">
        <f>IF(AND(Inputs!$B$38&lt;&gt;"pvp",Inputs!$B$43&gt;0),IF(MAX(0,Inputs!$B$43-B2630)&lt;=0,0,(INT(MAX(0,Inputs!$B$43-B2630)/IF(Inputs!$B$38="pvp",15,MAX(0.1,Skills!D5-IF(Skills!E5=TRUE,Inputs!$B$32,0))))+1)),0)</f>
        <v/>
      </c>
      <c r="S2596">
        <f>IFERROR((H2596*N2596*IF(AND(Inputs!$B$38&lt;&gt;"pvp",Inputs!$B$43&gt;0),((Skills!G5*((R2596-1)*IF(Skills!H5&gt;0,Skills!I5/Skills!H5,1)+IF(Skills!H5&gt;0,MIN(Skills!I5,MAX(0,MAX(0,Inputs!$B$43-B2630)-((R2596-1)*IF(Inputs!$B$38="pvp",15,MAX(0.1,Skills!D5-IF(Skills!E5=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Skills!E5=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Skills!E5=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IFERROR(1/IF(Inputs!$B$38="pvp",15,MAX(0.1,Skills!D6-IF(Skills!E6=TRUE,Inputs!$B$32,0))),0)</f>
        <v/>
      </c>
      <c r="R2597">
        <f>IF(AND(Inputs!$B$38&lt;&gt;"pvp",Inputs!$B$43&gt;0),IF(MAX(0,Inputs!$B$43-B2630)&lt;=0,0,(INT(MAX(0,Inputs!$B$43-B2630)/IF(Inputs!$B$38="pvp",15,MAX(0.1,Skills!D6-IF(Skills!E6=TRUE,Inputs!$B$32,0))))+1)),0)</f>
        <v/>
      </c>
      <c r="S2597">
        <f>IFERROR((H2597*N2597*IF(AND(Inputs!$B$38&lt;&gt;"pvp",Inputs!$B$43&gt;0),((Skills!G6*((R2597-1)*IF(Skills!H6&gt;0,Skills!I6/Skills!H6,1)+IF(Skills!H6&gt;0,MIN(Skills!I6,MAX(0,MAX(0,Inputs!$B$43-B2630)-((R2597-1)*IF(Inputs!$B$38="pvp",15,MAX(0.1,Skills!D6-IF(Skills!E6=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Skills!E6=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Skills!E6=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IFERROR(1/IF(Inputs!$B$38="pvp",15,MAX(0.1,Skills!D7-IF(Skills!E7=TRUE,Inputs!$B$32,0))),0)</f>
        <v/>
      </c>
      <c r="R2598">
        <f>IF(AND(Inputs!$B$38&lt;&gt;"pvp",Inputs!$B$43&gt;0),IF(MAX(0,Inputs!$B$43-B2630)&lt;=0,0,(INT(MAX(0,Inputs!$B$43-B2630)/IF(Inputs!$B$38="pvp",15,MAX(0.1,Skills!D7-IF(Skills!E7=TRUE,Inputs!$B$32,0))))+1)),0)</f>
        <v/>
      </c>
      <c r="S2598">
        <f>IFERROR((H2598*N2598*IF(AND(Inputs!$B$38&lt;&gt;"pvp",Inputs!$B$43&gt;0),((Skills!G7*((R2598-1)*IF(Skills!H7&gt;0,Skills!I7/Skills!H7,1)+IF(Skills!H7&gt;0,MIN(Skills!I7,MAX(0,MAX(0,Inputs!$B$43-B2630)-((R2598-1)*IF(Inputs!$B$38="pvp",15,MAX(0.1,Skills!D7-IF(Skills!E7=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Skills!E7=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Skills!E7=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IFERROR(1/IF(Inputs!$B$38="pvp",15,MAX(0.1,Skills!D9-IF(Skills!E9=TRUE,Inputs!$B$32,0))),0)</f>
        <v/>
      </c>
      <c r="R2600">
        <f>IF(AND(Inputs!$B$38&lt;&gt;"pvp",Inputs!$B$43&gt;0),IF(MAX(0,Inputs!$B$43-B2630)&lt;=0,0,(INT(MAX(0,Inputs!$B$43-B2630)/IF(Inputs!$B$38="pvp",15,MAX(0.1,Skills!D9-IF(Skills!E9=TRUE,Inputs!$B$32,0))))+1)),0)</f>
        <v/>
      </c>
      <c r="S2600">
        <f>IFERROR((H2600*N2600*IF(AND(Inputs!$B$38&lt;&gt;"pvp",Inputs!$B$43&gt;0),((Skills!G9*((R2600-1)*IF(Skills!H9&gt;0,Skills!I9/Skills!H9,1)+IF(Skills!H9&gt;0,MIN(Skills!I9,MAX(0,MAX(0,Inputs!$B$43-B2630)-((R2600-1)*IF(Inputs!$B$38="pvp",15,MAX(0.1,Skills!D9-IF(Skills!E9=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Skills!E9=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Skills!E9=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IFERROR(1/IF(Inputs!$B$38="pvp",15,MAX(0.1,Skills!D11-IF(Skills!E11=TRUE,Inputs!$B$32,0))),0)</f>
        <v/>
      </c>
      <c r="R2602">
        <f>IF(AND(Inputs!$B$38&lt;&gt;"pvp",Inputs!$B$43&gt;0),IF(MAX(0,Inputs!$B$43-B2630)&lt;=0,0,(INT(MAX(0,Inputs!$B$43-B2630)/IF(Inputs!$B$38="pvp",15,MAX(0.1,Skills!D11-IF(Skills!E11=TRUE,Inputs!$B$32,0))))+1)),0)</f>
        <v/>
      </c>
      <c r="S2602">
        <f>IFERROR((H2602*N2602*IF(AND(Inputs!$B$38&lt;&gt;"pvp",Inputs!$B$43&gt;0),((Skills!G11*((R2602-1)*IF(Skills!H11&gt;0,Skills!I11/Skills!H11,1)+IF(Skills!H11&gt;0,MIN(Skills!I11,MAX(0,MAX(0,Inputs!$B$43-B2630)-((R2602-1)*IF(Inputs!$B$38="pvp",15,MAX(0.1,Skills!D11-IF(Skills!E11=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Skills!E11=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Skills!E11=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IFERROR(1/IF(Inputs!$B$38="pvp",15,MAX(0.1,Skills!D15-IF(Skills!E15=TRUE,Inputs!$B$32,0))),0)</f>
        <v/>
      </c>
      <c r="R2606">
        <f>IF(AND(Inputs!$B$38&lt;&gt;"pvp",Inputs!$B$43&gt;0),IF(Inputs!$B$43&lt;=0,0,(INT(Inputs!$B$43/IF(Inputs!$B$38="pvp",15,MAX(0.1,Skills!D15-IF(Skills!E15=TRUE,Inputs!$B$32,0))))+1)),0)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IFERROR(1/IF(Inputs!$B$38="pvp",15,MAX(0.1,Skills!D16-IF(Skills!E16=TRUE,Inputs!$B$32,0))),0)</f>
        <v/>
      </c>
      <c r="R2607">
        <f>IF(AND(Inputs!$B$38&lt;&gt;"pvp",Inputs!$B$43&gt;0),IF(Inputs!$B$43&lt;=0,0,(INT(Inputs!$B$43/IF(Inputs!$B$38="pvp",15,MAX(0.1,Skills!D16-IF(Skills!E16=TRUE,Inputs!$B$32,0))))+1)),0)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IFERROR(1/IF(Inputs!$B$38="pvp",15,MAX(0.1,Skills!D18-IF(Skills!E18=TRUE,Inputs!$B$32,0))),0)</f>
        <v/>
      </c>
      <c r="R2609">
        <f>IF(AND(Inputs!$B$38&lt;&gt;"pvp",Inputs!$B$43&gt;0),IF(Inputs!$B$43&lt;=0,0,(INT(Inputs!$B$43/IF(Inputs!$B$38="pvp",15,MAX(0.1,Skills!D18-IF(Skills!E18=TRUE,Inputs!$B$32,0))))+1)),0)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f>(C2607=TRUE)*20*IF(AND(Inputs!$B$38&lt;&gt;"pvp",Inputs!$B$43&gt;0),(((R2607-1)*(Skills!T16*(1+Inputs!$B$34/100))+MIN((Skills!T16*(1+Inputs!$B$34/100)),MAX(0,Inputs!$B$43-((R2607-1)*Skills!D16))))/Inputs!$B$43),IF(Inputs!$B$38="pvp",MIN((Skills!T16*(1+Inputs!$B$34/100)),15)/15,(Skills!T16*(1+Inputs!$B$34/100))/Skills!D16))</f>
        <v/>
      </c>
    </row>
    <row r="2624">
      <c r="A2624" t="inlineStr">
        <is>
          <t>Attack Speed Buff Bonus %</t>
        </is>
      </c>
      <c r="B2624">
        <f>((C2609=TRUE)*F2609*IF(AND(Inputs!$B$38&lt;&gt;"pvp",Inputs!$B$43&gt;0),(((R2609-1)*(Skills!T18*(1+Inputs!$B$34/100))+MIN((Skills!T18*(1+Inputs!$B$34/100)),MAX(0,Inputs!$B$43-((R2609-1)*Skills!D18))))/Inputs!$B$43),IF(Inputs!$B$38="pvp",MIN((Skills!T18*(1+Inputs!$B$34/100)),15)/15,(Skills!T18*(1+Inputs!$B$34/100))/Skills!D18)))</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Skills!T16*(1+Inputs!$B$34/100))+MIN((Skills!T16*(1+Inputs!$B$34/100)),MAX(0,Inputs!$B$43-((R2607-1)*Skills!D16))))/Inputs!$B$43),IF(Inputs!$B$38="pvp",MIN((Skills!T16*(1+Inputs!$B$34/100)),15)/15,(Skills!T16*(1+Inputs!$B$34/100))/Skills!D16))</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IFERROR(1/IF(Inputs!$B$38="pvp",15,MAX(0.1,Skills!D5-IF(Skills!E5=TRUE,Inputs!$B$32,0))),0)</f>
        <v/>
      </c>
      <c r="R2641">
        <f>IF(AND(Inputs!$B$38&lt;&gt;"pvp",Inputs!$B$43&gt;0),IF(MAX(0,Inputs!$B$43-B2675)&lt;=0,0,(INT(MAX(0,Inputs!$B$43-B2675)/IF(Inputs!$B$38="pvp",15,MAX(0.1,Skills!D5-IF(Skills!E5=TRUE,Inputs!$B$32,0))))+1)),0)</f>
        <v/>
      </c>
      <c r="S2641">
        <f>IFERROR((H2641*N2641*IF(AND(Inputs!$B$38&lt;&gt;"pvp",Inputs!$B$43&gt;0),((Skills!G5*((R2641-1)*IF(Skills!H5&gt;0,Skills!I5/Skills!H5,1)+IF(Skills!H5&gt;0,MIN(Skills!I5,MAX(0,MAX(0,Inputs!$B$43-B2675)-((R2641-1)*IF(Inputs!$B$38="pvp",15,MAX(0.1,Skills!D5-IF(Skills!E5=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Skills!E5=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Skills!E5=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IFERROR(1/IF(Inputs!$B$38="pvp",15,MAX(0.1,Skills!D6-IF(Skills!E6=TRUE,Inputs!$B$32,0))),0)</f>
        <v/>
      </c>
      <c r="R2642">
        <f>IF(AND(Inputs!$B$38&lt;&gt;"pvp",Inputs!$B$43&gt;0),IF(MAX(0,Inputs!$B$43-B2675)&lt;=0,0,(INT(MAX(0,Inputs!$B$43-B2675)/IF(Inputs!$B$38="pvp",15,MAX(0.1,Skills!D6-IF(Skills!E6=TRUE,Inputs!$B$32,0))))+1)),0)</f>
        <v/>
      </c>
      <c r="S2642">
        <f>IFERROR((H2642*N2642*IF(AND(Inputs!$B$38&lt;&gt;"pvp",Inputs!$B$43&gt;0),((Skills!G6*((R2642-1)*IF(Skills!H6&gt;0,Skills!I6/Skills!H6,1)+IF(Skills!H6&gt;0,MIN(Skills!I6,MAX(0,MAX(0,Inputs!$B$43-B2675)-((R2642-1)*IF(Inputs!$B$38="pvp",15,MAX(0.1,Skills!D6-IF(Skills!E6=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Skills!E6=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Skills!E6=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IFERROR(1/IF(Inputs!$B$38="pvp",15,MAX(0.1,Skills!D7-IF(Skills!E7=TRUE,Inputs!$B$32,0))),0)</f>
        <v/>
      </c>
      <c r="R2643">
        <f>IF(AND(Inputs!$B$38&lt;&gt;"pvp",Inputs!$B$43&gt;0),IF(MAX(0,Inputs!$B$43-B2675)&lt;=0,0,(INT(MAX(0,Inputs!$B$43-B2675)/IF(Inputs!$B$38="pvp",15,MAX(0.1,Skills!D7-IF(Skills!E7=TRUE,Inputs!$B$32,0))))+1)),0)</f>
        <v/>
      </c>
      <c r="S2643">
        <f>IFERROR((H2643*N2643*IF(AND(Inputs!$B$38&lt;&gt;"pvp",Inputs!$B$43&gt;0),((Skills!G7*((R2643-1)*IF(Skills!H7&gt;0,Skills!I7/Skills!H7,1)+IF(Skills!H7&gt;0,MIN(Skills!I7,MAX(0,MAX(0,Inputs!$B$43-B2675)-((R2643-1)*IF(Inputs!$B$38="pvp",15,MAX(0.1,Skills!D7-IF(Skills!E7=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Skills!E7=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Skills!E7=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IFERROR(1/IF(Inputs!$B$38="pvp",15,MAX(0.1,Skills!D9-IF(Skills!E9=TRUE,Inputs!$B$32,0))),0)</f>
        <v/>
      </c>
      <c r="R2645">
        <f>IF(AND(Inputs!$B$38&lt;&gt;"pvp",Inputs!$B$43&gt;0),IF(MAX(0,Inputs!$B$43-B2675)&lt;=0,0,(INT(MAX(0,Inputs!$B$43-B2675)/IF(Inputs!$B$38="pvp",15,MAX(0.1,Skills!D9-IF(Skills!E9=TRUE,Inputs!$B$32,0))))+1)),0)</f>
        <v/>
      </c>
      <c r="S2645">
        <f>IFERROR((H2645*N2645*IF(AND(Inputs!$B$38&lt;&gt;"pvp",Inputs!$B$43&gt;0),((Skills!G9*((R2645-1)*IF(Skills!H9&gt;0,Skills!I9/Skills!H9,1)+IF(Skills!H9&gt;0,MIN(Skills!I9,MAX(0,MAX(0,Inputs!$B$43-B2675)-((R2645-1)*IF(Inputs!$B$38="pvp",15,MAX(0.1,Skills!D9-IF(Skills!E9=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Skills!E9=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Skills!E9=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IFERROR(1/IF(Inputs!$B$38="pvp",15,MAX(0.1,Skills!D11-IF(Skills!E11=TRUE,Inputs!$B$32,0))),0)</f>
        <v/>
      </c>
      <c r="R2647">
        <f>IF(AND(Inputs!$B$38&lt;&gt;"pvp",Inputs!$B$43&gt;0),IF(MAX(0,Inputs!$B$43-B2675)&lt;=0,0,(INT(MAX(0,Inputs!$B$43-B2675)/IF(Inputs!$B$38="pvp",15,MAX(0.1,Skills!D11-IF(Skills!E11=TRUE,Inputs!$B$32,0))))+1)),0)</f>
        <v/>
      </c>
      <c r="S2647">
        <f>IFERROR((H2647*N2647*IF(AND(Inputs!$B$38&lt;&gt;"pvp",Inputs!$B$43&gt;0),((Skills!G11*((R2647-1)*IF(Skills!H11&gt;0,Skills!I11/Skills!H11,1)+IF(Skills!H11&gt;0,MIN(Skills!I11,MAX(0,MAX(0,Inputs!$B$43-B2675)-((R2647-1)*IF(Inputs!$B$38="pvp",15,MAX(0.1,Skills!D11-IF(Skills!E11=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Skills!E11=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Skills!E11=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IFERROR(1/IF(Inputs!$B$38="pvp",15,MAX(0.1,Skills!D15-IF(Skills!E15=TRUE,Inputs!$B$32,0))),0)</f>
        <v/>
      </c>
      <c r="R2651">
        <f>IF(AND(Inputs!$B$38&lt;&gt;"pvp",Inputs!$B$43&gt;0),IF(Inputs!$B$43&lt;=0,0,(INT(Inputs!$B$43/IF(Inputs!$B$38="pvp",15,MAX(0.1,Skills!D15-IF(Skills!E15=TRUE,Inputs!$B$32,0))))+1)),0)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IFERROR(1/IF(Inputs!$B$38="pvp",15,MAX(0.1,Skills!D16-IF(Skills!E16=TRUE,Inputs!$B$32,0))),0)</f>
        <v/>
      </c>
      <c r="R2652">
        <f>IF(AND(Inputs!$B$38&lt;&gt;"pvp",Inputs!$B$43&gt;0),IF(Inputs!$B$43&lt;=0,0,(INT(Inputs!$B$43/IF(Inputs!$B$38="pvp",15,MAX(0.1,Skills!D16-IF(Skills!E16=TRUE,Inputs!$B$32,0))))+1)),0)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IFERROR(1/IF(Inputs!$B$38="pvp",15,MAX(0.1,Skills!D18-IF(Skills!E18=TRUE,Inputs!$B$32,0))),0)</f>
        <v/>
      </c>
      <c r="R2654">
        <f>IF(AND(Inputs!$B$38&lt;&gt;"pvp",Inputs!$B$43&gt;0),IF(Inputs!$B$43&lt;=0,0,(INT(Inputs!$B$43/IF(Inputs!$B$38="pvp",15,MAX(0.1,Skills!D18-IF(Skills!E18=TRUE,Inputs!$B$32,0))))+1)),0)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f>(C2652=TRUE)*20*IF(AND(Inputs!$B$38&lt;&gt;"pvp",Inputs!$B$43&gt;0),(((R2652-1)*(Skills!T16*(1+Inputs!$B$34/100))+MIN((Skills!T16*(1+Inputs!$B$34/100)),MAX(0,Inputs!$B$43-((R2652-1)*Skills!D16))))/Inputs!$B$43),IF(Inputs!$B$38="pvp",MIN((Skills!T16*(1+Inputs!$B$34/100)),15)/15,(Skills!T16*(1+Inputs!$B$34/100))/Skills!D16))</f>
        <v/>
      </c>
    </row>
    <row r="2669">
      <c r="A2669" t="inlineStr">
        <is>
          <t>Attack Speed Buff Bonus %</t>
        </is>
      </c>
      <c r="B2669">
        <f>((C2654=TRUE)*F2654*IF(AND(Inputs!$B$38&lt;&gt;"pvp",Inputs!$B$43&gt;0),(((R2654-1)*(Skills!T18*(1+Inputs!$B$34/100))+MIN((Skills!T18*(1+Inputs!$B$34/100)),MAX(0,Inputs!$B$43-((R2654-1)*Skills!D18))))/Inputs!$B$43),IF(Inputs!$B$38="pvp",MIN((Skills!T18*(1+Inputs!$B$34/100)),15)/15,(Skills!T18*(1+Inputs!$B$34/100))/Skills!D18)))</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Skills!T16*(1+Inputs!$B$34/100))+MIN((Skills!T16*(1+Inputs!$B$34/100)),MAX(0,Inputs!$B$43-((R2652-1)*Skills!D16))))/Inputs!$B$43),IF(Inputs!$B$38="pvp",MIN((Skills!T16*(1+Inputs!$B$34/100)),15)/15,(Skills!T16*(1+Inputs!$B$34/100))/Skills!D16))</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IFERROR(1/IF(Inputs!$B$38="pvp",15,MAX(0.1,Skills!D5-IF(Skills!E5=TRUE,Inputs!$B$32,0))),0)</f>
        <v/>
      </c>
      <c r="R2686">
        <f>IF(AND(Inputs!$B$38&lt;&gt;"pvp",Inputs!$B$43&gt;0),IF(MAX(0,Inputs!$B$43-B2720)&lt;=0,0,(INT(MAX(0,Inputs!$B$43-B2720)/IF(Inputs!$B$38="pvp",15,MAX(0.1,Skills!D5-IF(Skills!E5=TRUE,Inputs!$B$32,0))))+1)),0)</f>
        <v/>
      </c>
      <c r="S2686">
        <f>IFERROR((H2686*N2686*IF(AND(Inputs!$B$38&lt;&gt;"pvp",Inputs!$B$43&gt;0),((Skills!G5*((R2686-1)*IF(Skills!H5&gt;0,Skills!I5/Skills!H5,1)+IF(Skills!H5&gt;0,MIN(Skills!I5,MAX(0,MAX(0,Inputs!$B$43-B2720)-((R2686-1)*IF(Inputs!$B$38="pvp",15,MAX(0.1,Skills!D5-IF(Skills!E5=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Skills!E5=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Skills!E5=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IFERROR(1/IF(Inputs!$B$38="pvp",15,MAX(0.1,Skills!D6-IF(Skills!E6=TRUE,Inputs!$B$32,0))),0)</f>
        <v/>
      </c>
      <c r="R2687">
        <f>IF(AND(Inputs!$B$38&lt;&gt;"pvp",Inputs!$B$43&gt;0),IF(MAX(0,Inputs!$B$43-B2720)&lt;=0,0,(INT(MAX(0,Inputs!$B$43-B2720)/IF(Inputs!$B$38="pvp",15,MAX(0.1,Skills!D6-IF(Skills!E6=TRUE,Inputs!$B$32,0))))+1)),0)</f>
        <v/>
      </c>
      <c r="S2687">
        <f>IFERROR((H2687*N2687*IF(AND(Inputs!$B$38&lt;&gt;"pvp",Inputs!$B$43&gt;0),((Skills!G6*((R2687-1)*IF(Skills!H6&gt;0,Skills!I6/Skills!H6,1)+IF(Skills!H6&gt;0,MIN(Skills!I6,MAX(0,MAX(0,Inputs!$B$43-B2720)-((R2687-1)*IF(Inputs!$B$38="pvp",15,MAX(0.1,Skills!D6-IF(Skills!E6=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Skills!E6=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Skills!E6=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IFERROR(1/IF(Inputs!$B$38="pvp",15,MAX(0.1,Skills!D7-IF(Skills!E7=TRUE,Inputs!$B$32,0))),0)</f>
        <v/>
      </c>
      <c r="R2688">
        <f>IF(AND(Inputs!$B$38&lt;&gt;"pvp",Inputs!$B$43&gt;0),IF(MAX(0,Inputs!$B$43-B2720)&lt;=0,0,(INT(MAX(0,Inputs!$B$43-B2720)/IF(Inputs!$B$38="pvp",15,MAX(0.1,Skills!D7-IF(Skills!E7=TRUE,Inputs!$B$32,0))))+1)),0)</f>
        <v/>
      </c>
      <c r="S2688">
        <f>IFERROR((H2688*N2688*IF(AND(Inputs!$B$38&lt;&gt;"pvp",Inputs!$B$43&gt;0),((Skills!G7*((R2688-1)*IF(Skills!H7&gt;0,Skills!I7/Skills!H7,1)+IF(Skills!H7&gt;0,MIN(Skills!I7,MAX(0,MAX(0,Inputs!$B$43-B2720)-((R2688-1)*IF(Inputs!$B$38="pvp",15,MAX(0.1,Skills!D7-IF(Skills!E7=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Skills!E7=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Skills!E7=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IFERROR(1/IF(Inputs!$B$38="pvp",15,MAX(0.1,Skills!D9-IF(Skills!E9=TRUE,Inputs!$B$32,0))),0)</f>
        <v/>
      </c>
      <c r="R2690">
        <f>IF(AND(Inputs!$B$38&lt;&gt;"pvp",Inputs!$B$43&gt;0),IF(MAX(0,Inputs!$B$43-B2720)&lt;=0,0,(INT(MAX(0,Inputs!$B$43-B2720)/IF(Inputs!$B$38="pvp",15,MAX(0.1,Skills!D9-IF(Skills!E9=TRUE,Inputs!$B$32,0))))+1)),0)</f>
        <v/>
      </c>
      <c r="S2690">
        <f>IFERROR((H2690*N2690*IF(AND(Inputs!$B$38&lt;&gt;"pvp",Inputs!$B$43&gt;0),((Skills!G9*((R2690-1)*IF(Skills!H9&gt;0,Skills!I9/Skills!H9,1)+IF(Skills!H9&gt;0,MIN(Skills!I9,MAX(0,MAX(0,Inputs!$B$43-B2720)-((R2690-1)*IF(Inputs!$B$38="pvp",15,MAX(0.1,Skills!D9-IF(Skills!E9=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Skills!E9=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Skills!E9=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IFERROR(1/IF(Inputs!$B$38="pvp",15,MAX(0.1,Skills!D11-IF(Skills!E11=TRUE,Inputs!$B$32,0))),0)</f>
        <v/>
      </c>
      <c r="R2692">
        <f>IF(AND(Inputs!$B$38&lt;&gt;"pvp",Inputs!$B$43&gt;0),IF(MAX(0,Inputs!$B$43-B2720)&lt;=0,0,(INT(MAX(0,Inputs!$B$43-B2720)/IF(Inputs!$B$38="pvp",15,MAX(0.1,Skills!D11-IF(Skills!E11=TRUE,Inputs!$B$32,0))))+1)),0)</f>
        <v/>
      </c>
      <c r="S2692">
        <f>IFERROR((H2692*N2692*IF(AND(Inputs!$B$38&lt;&gt;"pvp",Inputs!$B$43&gt;0),((Skills!G11*((R2692-1)*IF(Skills!H11&gt;0,Skills!I11/Skills!H11,1)+IF(Skills!H11&gt;0,MIN(Skills!I11,MAX(0,MAX(0,Inputs!$B$43-B2720)-((R2692-1)*IF(Inputs!$B$38="pvp",15,MAX(0.1,Skills!D11-IF(Skills!E11=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Skills!E11=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Skills!E11=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IFERROR(1/IF(Inputs!$B$38="pvp",15,MAX(0.1,Skills!D15-IF(Skills!E15=TRUE,Inputs!$B$32,0))),0)</f>
        <v/>
      </c>
      <c r="R2696">
        <f>IF(AND(Inputs!$B$38&lt;&gt;"pvp",Inputs!$B$43&gt;0),IF(Inputs!$B$43&lt;=0,0,(INT(Inputs!$B$43/IF(Inputs!$B$38="pvp",15,MAX(0.1,Skills!D15-IF(Skills!E15=TRUE,Inputs!$B$32,0))))+1)),0)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IFERROR(1/IF(Inputs!$B$38="pvp",15,MAX(0.1,Skills!D16-IF(Skills!E16=TRUE,Inputs!$B$32,0))),0)</f>
        <v/>
      </c>
      <c r="R2697">
        <f>IF(AND(Inputs!$B$38&lt;&gt;"pvp",Inputs!$B$43&gt;0),IF(Inputs!$B$43&lt;=0,0,(INT(Inputs!$B$43/IF(Inputs!$B$38="pvp",15,MAX(0.1,Skills!D16-IF(Skills!E16=TRUE,Inputs!$B$32,0))))+1)),0)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IFERROR(1/IF(Inputs!$B$38="pvp",15,MAX(0.1,Skills!D18-IF(Skills!E18=TRUE,Inputs!$B$32,0))),0)</f>
        <v/>
      </c>
      <c r="R2699">
        <f>IF(AND(Inputs!$B$38&lt;&gt;"pvp",Inputs!$B$43&gt;0),IF(Inputs!$B$43&lt;=0,0,(INT(Inputs!$B$43/IF(Inputs!$B$38="pvp",15,MAX(0.1,Skills!D18-IF(Skills!E18=TRUE,Inputs!$B$32,0))))+1)),0)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f>(C2697=TRUE)*20*IF(AND(Inputs!$B$38&lt;&gt;"pvp",Inputs!$B$43&gt;0),(((R2697-1)*(Skills!T16*(1+Inputs!$B$34/100))+MIN((Skills!T16*(1+Inputs!$B$34/100)),MAX(0,Inputs!$B$43-((R2697-1)*Skills!D16))))/Inputs!$B$43),IF(Inputs!$B$38="pvp",MIN((Skills!T16*(1+Inputs!$B$34/100)),15)/15,(Skills!T16*(1+Inputs!$B$34/100))/Skills!D16))</f>
        <v/>
      </c>
    </row>
    <row r="2714">
      <c r="A2714" t="inlineStr">
        <is>
          <t>Attack Speed Buff Bonus %</t>
        </is>
      </c>
      <c r="B2714">
        <f>((C2699=TRUE)*F2699*IF(AND(Inputs!$B$38&lt;&gt;"pvp",Inputs!$B$43&gt;0),(((R2699-1)*(Skills!T18*(1+Inputs!$B$34/100))+MIN((Skills!T18*(1+Inputs!$B$34/100)),MAX(0,Inputs!$B$43-((R2699-1)*Skills!D18))))/Inputs!$B$43),IF(Inputs!$B$38="pvp",MIN((Skills!T18*(1+Inputs!$B$34/100)),15)/15,(Skills!T18*(1+Inputs!$B$34/100))/Skills!D18)))</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Skills!T16*(1+Inputs!$B$34/100))+MIN((Skills!T16*(1+Inputs!$B$34/100)),MAX(0,Inputs!$B$43-((R2697-1)*Skills!D16))))/Inputs!$B$43),IF(Inputs!$B$38="pvp",MIN((Skills!T16*(1+Inputs!$B$34/100)),15)/15,(Skills!T16*(1+Inputs!$B$34/100))/Skills!D16))</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IFERROR(1/IF(Inputs!$B$38="pvp",15,MAX(0.1,Skills!D5-IF(Skills!E5=TRUE,Inputs!$B$32,0))),0)</f>
        <v/>
      </c>
      <c r="R2731">
        <f>IF(AND(Inputs!$B$38&lt;&gt;"pvp",Inputs!$B$43&gt;0),IF(MAX(0,Inputs!$B$43-B2765)&lt;=0,0,(INT(MAX(0,Inputs!$B$43-B2765)/IF(Inputs!$B$38="pvp",15,MAX(0.1,Skills!D5-IF(Skills!E5=TRUE,Inputs!$B$32,0))))+1)),0)</f>
        <v/>
      </c>
      <c r="S2731">
        <f>IFERROR((H2731*N2731*IF(AND(Inputs!$B$38&lt;&gt;"pvp",Inputs!$B$43&gt;0),((Skills!G5*((R2731-1)*IF(Skills!H5&gt;0,Skills!I5/Skills!H5,1)+IF(Skills!H5&gt;0,MIN(Skills!I5,MAX(0,MAX(0,Inputs!$B$43-B2765)-((R2731-1)*IF(Inputs!$B$38="pvp",15,MAX(0.1,Skills!D5-IF(Skills!E5=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Skills!E5=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Skills!E5=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IFERROR(1/IF(Inputs!$B$38="pvp",15,MAX(0.1,Skills!D6-IF(Skills!E6=TRUE,Inputs!$B$32,0))),0)</f>
        <v/>
      </c>
      <c r="R2732">
        <f>IF(AND(Inputs!$B$38&lt;&gt;"pvp",Inputs!$B$43&gt;0),IF(MAX(0,Inputs!$B$43-B2765)&lt;=0,0,(INT(MAX(0,Inputs!$B$43-B2765)/IF(Inputs!$B$38="pvp",15,MAX(0.1,Skills!D6-IF(Skills!E6=TRUE,Inputs!$B$32,0))))+1)),0)</f>
        <v/>
      </c>
      <c r="S2732">
        <f>IFERROR((H2732*N2732*IF(AND(Inputs!$B$38&lt;&gt;"pvp",Inputs!$B$43&gt;0),((Skills!G6*((R2732-1)*IF(Skills!H6&gt;0,Skills!I6/Skills!H6,1)+IF(Skills!H6&gt;0,MIN(Skills!I6,MAX(0,MAX(0,Inputs!$B$43-B2765)-((R2732-1)*IF(Inputs!$B$38="pvp",15,MAX(0.1,Skills!D6-IF(Skills!E6=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Skills!E6=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Skills!E6=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IFERROR(1/IF(Inputs!$B$38="pvp",15,MAX(0.1,Skills!D7-IF(Skills!E7=TRUE,Inputs!$B$32,0))),0)</f>
        <v/>
      </c>
      <c r="R2733">
        <f>IF(AND(Inputs!$B$38&lt;&gt;"pvp",Inputs!$B$43&gt;0),IF(MAX(0,Inputs!$B$43-B2765)&lt;=0,0,(INT(MAX(0,Inputs!$B$43-B2765)/IF(Inputs!$B$38="pvp",15,MAX(0.1,Skills!D7-IF(Skills!E7=TRUE,Inputs!$B$32,0))))+1)),0)</f>
        <v/>
      </c>
      <c r="S2733">
        <f>IFERROR((H2733*N2733*IF(AND(Inputs!$B$38&lt;&gt;"pvp",Inputs!$B$43&gt;0),((Skills!G7*((R2733-1)*IF(Skills!H7&gt;0,Skills!I7/Skills!H7,1)+IF(Skills!H7&gt;0,MIN(Skills!I7,MAX(0,MAX(0,Inputs!$B$43-B2765)-((R2733-1)*IF(Inputs!$B$38="pvp",15,MAX(0.1,Skills!D7-IF(Skills!E7=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Skills!E7=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Skills!E7=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IFERROR(1/IF(Inputs!$B$38="pvp",15,MAX(0.1,Skills!D9-IF(Skills!E9=TRUE,Inputs!$B$32,0))),0)</f>
        <v/>
      </c>
      <c r="R2735">
        <f>IF(AND(Inputs!$B$38&lt;&gt;"pvp",Inputs!$B$43&gt;0),IF(MAX(0,Inputs!$B$43-B2765)&lt;=0,0,(INT(MAX(0,Inputs!$B$43-B2765)/IF(Inputs!$B$38="pvp",15,MAX(0.1,Skills!D9-IF(Skills!E9=TRUE,Inputs!$B$32,0))))+1)),0)</f>
        <v/>
      </c>
      <c r="S2735">
        <f>IFERROR((H2735*N2735*IF(AND(Inputs!$B$38&lt;&gt;"pvp",Inputs!$B$43&gt;0),((Skills!G9*((R2735-1)*IF(Skills!H9&gt;0,Skills!I9/Skills!H9,1)+IF(Skills!H9&gt;0,MIN(Skills!I9,MAX(0,MAX(0,Inputs!$B$43-B2765)-((R2735-1)*IF(Inputs!$B$38="pvp",15,MAX(0.1,Skills!D9-IF(Skills!E9=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Skills!E9=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Skills!E9=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IFERROR(1/IF(Inputs!$B$38="pvp",15,MAX(0.1,Skills!D11-IF(Skills!E11=TRUE,Inputs!$B$32,0))),0)</f>
        <v/>
      </c>
      <c r="R2737">
        <f>IF(AND(Inputs!$B$38&lt;&gt;"pvp",Inputs!$B$43&gt;0),IF(MAX(0,Inputs!$B$43-B2765)&lt;=0,0,(INT(MAX(0,Inputs!$B$43-B2765)/IF(Inputs!$B$38="pvp",15,MAX(0.1,Skills!D11-IF(Skills!E11=TRUE,Inputs!$B$32,0))))+1)),0)</f>
        <v/>
      </c>
      <c r="S2737">
        <f>IFERROR((H2737*N2737*IF(AND(Inputs!$B$38&lt;&gt;"pvp",Inputs!$B$43&gt;0),((Skills!G11*((R2737-1)*IF(Skills!H11&gt;0,Skills!I11/Skills!H11,1)+IF(Skills!H11&gt;0,MIN(Skills!I11,MAX(0,MAX(0,Inputs!$B$43-B2765)-((R2737-1)*IF(Inputs!$B$38="pvp",15,MAX(0.1,Skills!D11-IF(Skills!E11=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Skills!E11=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Skills!E11=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IFERROR(1/IF(Inputs!$B$38="pvp",15,MAX(0.1,Skills!D15-IF(Skills!E15=TRUE,Inputs!$B$32,0))),0)</f>
        <v/>
      </c>
      <c r="R2741">
        <f>IF(AND(Inputs!$B$38&lt;&gt;"pvp",Inputs!$B$43&gt;0),IF(Inputs!$B$43&lt;=0,0,(INT(Inputs!$B$43/IF(Inputs!$B$38="pvp",15,MAX(0.1,Skills!D15-IF(Skills!E15=TRUE,Inputs!$B$32,0))))+1)),0)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IFERROR(1/IF(Inputs!$B$38="pvp",15,MAX(0.1,Skills!D16-IF(Skills!E16=TRUE,Inputs!$B$32,0))),0)</f>
        <v/>
      </c>
      <c r="R2742">
        <f>IF(AND(Inputs!$B$38&lt;&gt;"pvp",Inputs!$B$43&gt;0),IF(Inputs!$B$43&lt;=0,0,(INT(Inputs!$B$43/IF(Inputs!$B$38="pvp",15,MAX(0.1,Skills!D16-IF(Skills!E16=TRUE,Inputs!$B$32,0))))+1)),0)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IFERROR(1/IF(Inputs!$B$38="pvp",15,MAX(0.1,Skills!D18-IF(Skills!E18=TRUE,Inputs!$B$32,0))),0)</f>
        <v/>
      </c>
      <c r="R2744">
        <f>IF(AND(Inputs!$B$38&lt;&gt;"pvp",Inputs!$B$43&gt;0),IF(Inputs!$B$43&lt;=0,0,(INT(Inputs!$B$43/IF(Inputs!$B$38="pvp",15,MAX(0.1,Skills!D18-IF(Skills!E18=TRUE,Inputs!$B$32,0))))+1)),0)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f>(C2742=TRUE)*20*IF(AND(Inputs!$B$38&lt;&gt;"pvp",Inputs!$B$43&gt;0),(((R2742-1)*(Skills!T16*(1+Inputs!$B$34/100))+MIN((Skills!T16*(1+Inputs!$B$34/100)),MAX(0,Inputs!$B$43-((R2742-1)*Skills!D16))))/Inputs!$B$43),IF(Inputs!$B$38="pvp",MIN((Skills!T16*(1+Inputs!$B$34/100)),15)/15,(Skills!T16*(1+Inputs!$B$34/100))/Skills!D16))</f>
        <v/>
      </c>
    </row>
    <row r="2759">
      <c r="A2759" t="inlineStr">
        <is>
          <t>Attack Speed Buff Bonus %</t>
        </is>
      </c>
      <c r="B2759">
        <f>((C2744=TRUE)*F2744*IF(AND(Inputs!$B$38&lt;&gt;"pvp",Inputs!$B$43&gt;0),(((R2744-1)*(Skills!T18*(1+Inputs!$B$34/100))+MIN((Skills!T18*(1+Inputs!$B$34/100)),MAX(0,Inputs!$B$43-((R2744-1)*Skills!D18))))/Inputs!$B$43),IF(Inputs!$B$38="pvp",MIN((Skills!T18*(1+Inputs!$B$34/100)),15)/15,(Skills!T18*(1+Inputs!$B$34/100))/Skills!D18)))</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Skills!T16*(1+Inputs!$B$34/100))+MIN((Skills!T16*(1+Inputs!$B$34/100)),MAX(0,Inputs!$B$43-((R2742-1)*Skills!D16))))/Inputs!$B$43),IF(Inputs!$B$38="pvp",MIN((Skills!T16*(1+Inputs!$B$34/100)),15)/15,(Skills!T16*(1+Inputs!$B$34/100))/Skills!D16))</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IFERROR(1/IF(Inputs!$B$38="pvp",15,MAX(0.1,Skills!D5-IF(Skills!E5=TRUE,Inputs!$B$32,0))),0)</f>
        <v/>
      </c>
      <c r="R2776">
        <f>IF(AND(Inputs!$B$38&lt;&gt;"pvp",Inputs!$B$43&gt;0),IF(MAX(0,Inputs!$B$43-B2810)&lt;=0,0,(INT(MAX(0,Inputs!$B$43-B2810)/IF(Inputs!$B$38="pvp",15,MAX(0.1,Skills!D5-IF(Skills!E5=TRUE,Inputs!$B$32,0))))+1)),0)</f>
        <v/>
      </c>
      <c r="S2776">
        <f>IFERROR((H2776*N2776*IF(AND(Inputs!$B$38&lt;&gt;"pvp",Inputs!$B$43&gt;0),((Skills!G5*((R2776-1)*IF(Skills!H5&gt;0,Skills!I5/Skills!H5,1)+IF(Skills!H5&gt;0,MIN(Skills!I5,MAX(0,MAX(0,Inputs!$B$43-B2810)-((R2776-1)*IF(Inputs!$B$38="pvp",15,MAX(0.1,Skills!D5-IF(Skills!E5=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Skills!E5=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Skills!E5=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IFERROR(1/IF(Inputs!$B$38="pvp",15,MAX(0.1,Skills!D6-IF(Skills!E6=TRUE,Inputs!$B$32,0))),0)</f>
        <v/>
      </c>
      <c r="R2777">
        <f>IF(AND(Inputs!$B$38&lt;&gt;"pvp",Inputs!$B$43&gt;0),IF(MAX(0,Inputs!$B$43-B2810)&lt;=0,0,(INT(MAX(0,Inputs!$B$43-B2810)/IF(Inputs!$B$38="pvp",15,MAX(0.1,Skills!D6-IF(Skills!E6=TRUE,Inputs!$B$32,0))))+1)),0)</f>
        <v/>
      </c>
      <c r="S2777">
        <f>IFERROR((H2777*N2777*IF(AND(Inputs!$B$38&lt;&gt;"pvp",Inputs!$B$43&gt;0),((Skills!G6*((R2777-1)*IF(Skills!H6&gt;0,Skills!I6/Skills!H6,1)+IF(Skills!H6&gt;0,MIN(Skills!I6,MAX(0,MAX(0,Inputs!$B$43-B2810)-((R2777-1)*IF(Inputs!$B$38="pvp",15,MAX(0.1,Skills!D6-IF(Skills!E6=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Skills!E6=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Skills!E6=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IFERROR(1/IF(Inputs!$B$38="pvp",15,MAX(0.1,Skills!D7-IF(Skills!E7=TRUE,Inputs!$B$32,0))),0)</f>
        <v/>
      </c>
      <c r="R2778">
        <f>IF(AND(Inputs!$B$38&lt;&gt;"pvp",Inputs!$B$43&gt;0),IF(MAX(0,Inputs!$B$43-B2810)&lt;=0,0,(INT(MAX(0,Inputs!$B$43-B2810)/IF(Inputs!$B$38="pvp",15,MAX(0.1,Skills!D7-IF(Skills!E7=TRUE,Inputs!$B$32,0))))+1)),0)</f>
        <v/>
      </c>
      <c r="S2778">
        <f>IFERROR((H2778*N2778*IF(AND(Inputs!$B$38&lt;&gt;"pvp",Inputs!$B$43&gt;0),((Skills!G7*((R2778-1)*IF(Skills!H7&gt;0,Skills!I7/Skills!H7,1)+IF(Skills!H7&gt;0,MIN(Skills!I7,MAX(0,MAX(0,Inputs!$B$43-B2810)-((R2778-1)*IF(Inputs!$B$38="pvp",15,MAX(0.1,Skills!D7-IF(Skills!E7=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Skills!E7=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Skills!E7=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IFERROR(1/IF(Inputs!$B$38="pvp",15,MAX(0.1,Skills!D9-IF(Skills!E9=TRUE,Inputs!$B$32,0))),0)</f>
        <v/>
      </c>
      <c r="R2780">
        <f>IF(AND(Inputs!$B$38&lt;&gt;"pvp",Inputs!$B$43&gt;0),IF(MAX(0,Inputs!$B$43-B2810)&lt;=0,0,(INT(MAX(0,Inputs!$B$43-B2810)/IF(Inputs!$B$38="pvp",15,MAX(0.1,Skills!D9-IF(Skills!E9=TRUE,Inputs!$B$32,0))))+1)),0)</f>
        <v/>
      </c>
      <c r="S2780">
        <f>IFERROR((H2780*N2780*IF(AND(Inputs!$B$38&lt;&gt;"pvp",Inputs!$B$43&gt;0),((Skills!G9*((R2780-1)*IF(Skills!H9&gt;0,Skills!I9/Skills!H9,1)+IF(Skills!H9&gt;0,MIN(Skills!I9,MAX(0,MAX(0,Inputs!$B$43-B2810)-((R2780-1)*IF(Inputs!$B$38="pvp",15,MAX(0.1,Skills!D9-IF(Skills!E9=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Skills!E9=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Skills!E9=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IFERROR(1/IF(Inputs!$B$38="pvp",15,MAX(0.1,Skills!D11-IF(Skills!E11=TRUE,Inputs!$B$32,0))),0)</f>
        <v/>
      </c>
      <c r="R2782">
        <f>IF(AND(Inputs!$B$38&lt;&gt;"pvp",Inputs!$B$43&gt;0),IF(MAX(0,Inputs!$B$43-B2810)&lt;=0,0,(INT(MAX(0,Inputs!$B$43-B2810)/IF(Inputs!$B$38="pvp",15,MAX(0.1,Skills!D11-IF(Skills!E11=TRUE,Inputs!$B$32,0))))+1)),0)</f>
        <v/>
      </c>
      <c r="S2782">
        <f>IFERROR((H2782*N2782*IF(AND(Inputs!$B$38&lt;&gt;"pvp",Inputs!$B$43&gt;0),((Skills!G11*((R2782-1)*IF(Skills!H11&gt;0,Skills!I11/Skills!H11,1)+IF(Skills!H11&gt;0,MIN(Skills!I11,MAX(0,MAX(0,Inputs!$B$43-B2810)-((R2782-1)*IF(Inputs!$B$38="pvp",15,MAX(0.1,Skills!D11-IF(Skills!E11=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Skills!E11=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Skills!E11=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IFERROR(1/IF(Inputs!$B$38="pvp",15,MAX(0.1,Skills!D15-IF(Skills!E15=TRUE,Inputs!$B$32,0))),0)</f>
        <v/>
      </c>
      <c r="R2786">
        <f>IF(AND(Inputs!$B$38&lt;&gt;"pvp",Inputs!$B$43&gt;0),IF(Inputs!$B$43&lt;=0,0,(INT(Inputs!$B$43/IF(Inputs!$B$38="pvp",15,MAX(0.1,Skills!D15-IF(Skills!E15=TRUE,Inputs!$B$32,0))))+1)),0)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IFERROR(1/IF(Inputs!$B$38="pvp",15,MAX(0.1,Skills!D16-IF(Skills!E16=TRUE,Inputs!$B$32,0))),0)</f>
        <v/>
      </c>
      <c r="R2787">
        <f>IF(AND(Inputs!$B$38&lt;&gt;"pvp",Inputs!$B$43&gt;0),IF(Inputs!$B$43&lt;=0,0,(INT(Inputs!$B$43/IF(Inputs!$B$38="pvp",15,MAX(0.1,Skills!D16-IF(Skills!E16=TRUE,Inputs!$B$32,0))))+1)),0)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IFERROR(1/IF(Inputs!$B$38="pvp",15,MAX(0.1,Skills!D18-IF(Skills!E18=TRUE,Inputs!$B$32,0))),0)</f>
        <v/>
      </c>
      <c r="R2789">
        <f>IF(AND(Inputs!$B$38&lt;&gt;"pvp",Inputs!$B$43&gt;0),IF(Inputs!$B$43&lt;=0,0,(INT(Inputs!$B$43/IF(Inputs!$B$38="pvp",15,MAX(0.1,Skills!D18-IF(Skills!E18=TRUE,Inputs!$B$32,0))))+1)),0)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f>(C2787=TRUE)*20*IF(AND(Inputs!$B$38&lt;&gt;"pvp",Inputs!$B$43&gt;0),(((R2787-1)*(Skills!T16*(1+Inputs!$B$34/100))+MIN((Skills!T16*(1+Inputs!$B$34/100)),MAX(0,Inputs!$B$43-((R2787-1)*Skills!D16))))/Inputs!$B$43),IF(Inputs!$B$38="pvp",MIN((Skills!T16*(1+Inputs!$B$34/100)),15)/15,(Skills!T16*(1+Inputs!$B$34/100))/Skills!D16))</f>
        <v/>
      </c>
    </row>
    <row r="2804">
      <c r="A2804" t="inlineStr">
        <is>
          <t>Attack Speed Buff Bonus %</t>
        </is>
      </c>
      <c r="B2804">
        <f>((C2789=TRUE)*F2789*IF(AND(Inputs!$B$38&lt;&gt;"pvp",Inputs!$B$43&gt;0),(((R2789-1)*(Skills!T18*(1+Inputs!$B$34/100))+MIN((Skills!T18*(1+Inputs!$B$34/100)),MAX(0,Inputs!$B$43-((R2789-1)*Skills!D18))))/Inputs!$B$43),IF(Inputs!$B$38="pvp",MIN((Skills!T18*(1+Inputs!$B$34/100)),15)/15,(Skills!T18*(1+Inputs!$B$34/100))/Skills!D18)))</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Skills!T16*(1+Inputs!$B$34/100))+MIN((Skills!T16*(1+Inputs!$B$34/100)),MAX(0,Inputs!$B$43-((R2787-1)*Skills!D16))))/Inputs!$B$43),IF(Inputs!$B$38="pvp",MIN((Skills!T16*(1+Inputs!$B$34/100)),15)/15,(Skills!T16*(1+Inputs!$B$34/100))/Skills!D16))</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IFERROR(1/IF(Inputs!$B$38="pvp",15,MAX(0.1,Skills!D5-IF(Skills!E5=TRUE,Inputs!$B$32,0))),0)</f>
        <v/>
      </c>
      <c r="R2821">
        <f>IF(AND(Inputs!$B$38&lt;&gt;"pvp",Inputs!$B$43&gt;0),IF(MAX(0,Inputs!$B$43-B2855)&lt;=0,0,(INT(MAX(0,Inputs!$B$43-B2855)/IF(Inputs!$B$38="pvp",15,MAX(0.1,Skills!D5-IF(Skills!E5=TRUE,Inputs!$B$32,0))))+1)),0)</f>
        <v/>
      </c>
      <c r="S2821">
        <f>IFERROR((H2821*N2821*IF(AND(Inputs!$B$38&lt;&gt;"pvp",Inputs!$B$43&gt;0),((Skills!G5*((R2821-1)*IF(Skills!H5&gt;0,Skills!I5/Skills!H5,1)+IF(Skills!H5&gt;0,MIN(Skills!I5,MAX(0,MAX(0,Inputs!$B$43-B2855)-((R2821-1)*IF(Inputs!$B$38="pvp",15,MAX(0.1,Skills!D5-IF(Skills!E5=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Skills!E5=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Skills!E5=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IFERROR(1/IF(Inputs!$B$38="pvp",15,MAX(0.1,Skills!D6-IF(Skills!E6=TRUE,Inputs!$B$32,0))),0)</f>
        <v/>
      </c>
      <c r="R2822">
        <f>IF(AND(Inputs!$B$38&lt;&gt;"pvp",Inputs!$B$43&gt;0),IF(MAX(0,Inputs!$B$43-B2855)&lt;=0,0,(INT(MAX(0,Inputs!$B$43-B2855)/IF(Inputs!$B$38="pvp",15,MAX(0.1,Skills!D6-IF(Skills!E6=TRUE,Inputs!$B$32,0))))+1)),0)</f>
        <v/>
      </c>
      <c r="S2822">
        <f>IFERROR((H2822*N2822*IF(AND(Inputs!$B$38&lt;&gt;"pvp",Inputs!$B$43&gt;0),((Skills!G6*((R2822-1)*IF(Skills!H6&gt;0,Skills!I6/Skills!H6,1)+IF(Skills!H6&gt;0,MIN(Skills!I6,MAX(0,MAX(0,Inputs!$B$43-B2855)-((R2822-1)*IF(Inputs!$B$38="pvp",15,MAX(0.1,Skills!D6-IF(Skills!E6=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Skills!E6=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Skills!E6=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IFERROR(1/IF(Inputs!$B$38="pvp",15,MAX(0.1,Skills!D7-IF(Skills!E7=TRUE,Inputs!$B$32,0))),0)</f>
        <v/>
      </c>
      <c r="R2823">
        <f>IF(AND(Inputs!$B$38&lt;&gt;"pvp",Inputs!$B$43&gt;0),IF(MAX(0,Inputs!$B$43-B2855)&lt;=0,0,(INT(MAX(0,Inputs!$B$43-B2855)/IF(Inputs!$B$38="pvp",15,MAX(0.1,Skills!D7-IF(Skills!E7=TRUE,Inputs!$B$32,0))))+1)),0)</f>
        <v/>
      </c>
      <c r="S2823">
        <f>IFERROR((H2823*N2823*IF(AND(Inputs!$B$38&lt;&gt;"pvp",Inputs!$B$43&gt;0),((Skills!G7*((R2823-1)*IF(Skills!H7&gt;0,Skills!I7/Skills!H7,1)+IF(Skills!H7&gt;0,MIN(Skills!I7,MAX(0,MAX(0,Inputs!$B$43-B2855)-((R2823-1)*IF(Inputs!$B$38="pvp",15,MAX(0.1,Skills!D7-IF(Skills!E7=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Skills!E7=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Skills!E7=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IFERROR(1/IF(Inputs!$B$38="pvp",15,MAX(0.1,Skills!D9-IF(Skills!E9=TRUE,Inputs!$B$32,0))),0)</f>
        <v/>
      </c>
      <c r="R2825">
        <f>IF(AND(Inputs!$B$38&lt;&gt;"pvp",Inputs!$B$43&gt;0),IF(MAX(0,Inputs!$B$43-B2855)&lt;=0,0,(INT(MAX(0,Inputs!$B$43-B2855)/IF(Inputs!$B$38="pvp",15,MAX(0.1,Skills!D9-IF(Skills!E9=TRUE,Inputs!$B$32,0))))+1)),0)</f>
        <v/>
      </c>
      <c r="S2825">
        <f>IFERROR((H2825*N2825*IF(AND(Inputs!$B$38&lt;&gt;"pvp",Inputs!$B$43&gt;0),((Skills!G9*((R2825-1)*IF(Skills!H9&gt;0,Skills!I9/Skills!H9,1)+IF(Skills!H9&gt;0,MIN(Skills!I9,MAX(0,MAX(0,Inputs!$B$43-B2855)-((R2825-1)*IF(Inputs!$B$38="pvp",15,MAX(0.1,Skills!D9-IF(Skills!E9=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Skills!E9=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Skills!E9=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IFERROR(1/IF(Inputs!$B$38="pvp",15,MAX(0.1,Skills!D11-IF(Skills!E11=TRUE,Inputs!$B$32,0))),0)</f>
        <v/>
      </c>
      <c r="R2827">
        <f>IF(AND(Inputs!$B$38&lt;&gt;"pvp",Inputs!$B$43&gt;0),IF(MAX(0,Inputs!$B$43-B2855)&lt;=0,0,(INT(MAX(0,Inputs!$B$43-B2855)/IF(Inputs!$B$38="pvp",15,MAX(0.1,Skills!D11-IF(Skills!E11=TRUE,Inputs!$B$32,0))))+1)),0)</f>
        <v/>
      </c>
      <c r="S2827">
        <f>IFERROR((H2827*N2827*IF(AND(Inputs!$B$38&lt;&gt;"pvp",Inputs!$B$43&gt;0),((Skills!G11*((R2827-1)*IF(Skills!H11&gt;0,Skills!I11/Skills!H11,1)+IF(Skills!H11&gt;0,MIN(Skills!I11,MAX(0,MAX(0,Inputs!$B$43-B2855)-((R2827-1)*IF(Inputs!$B$38="pvp",15,MAX(0.1,Skills!D11-IF(Skills!E11=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Skills!E11=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Skills!E11=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IFERROR(1/IF(Inputs!$B$38="pvp",15,MAX(0.1,Skills!D15-IF(Skills!E15=TRUE,Inputs!$B$32,0))),0)</f>
        <v/>
      </c>
      <c r="R2831">
        <f>IF(AND(Inputs!$B$38&lt;&gt;"pvp",Inputs!$B$43&gt;0),IF(Inputs!$B$43&lt;=0,0,(INT(Inputs!$B$43/IF(Inputs!$B$38="pvp",15,MAX(0.1,Skills!D15-IF(Skills!E15=TRUE,Inputs!$B$32,0))))+1)),0)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IFERROR(1/IF(Inputs!$B$38="pvp",15,MAX(0.1,Skills!D16-IF(Skills!E16=TRUE,Inputs!$B$32,0))),0)</f>
        <v/>
      </c>
      <c r="R2832">
        <f>IF(AND(Inputs!$B$38&lt;&gt;"pvp",Inputs!$B$43&gt;0),IF(Inputs!$B$43&lt;=0,0,(INT(Inputs!$B$43/IF(Inputs!$B$38="pvp",15,MAX(0.1,Skills!D16-IF(Skills!E16=TRUE,Inputs!$B$32,0))))+1)),0)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IFERROR(1/IF(Inputs!$B$38="pvp",15,MAX(0.1,Skills!D18-IF(Skills!E18=TRUE,Inputs!$B$32,0))),0)</f>
        <v/>
      </c>
      <c r="R2834">
        <f>IF(AND(Inputs!$B$38&lt;&gt;"pvp",Inputs!$B$43&gt;0),IF(Inputs!$B$43&lt;=0,0,(INT(Inputs!$B$43/IF(Inputs!$B$38="pvp",15,MAX(0.1,Skills!D18-IF(Skills!E18=TRUE,Inputs!$B$32,0))))+1)),0)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f>(C2832=TRUE)*20*IF(AND(Inputs!$B$38&lt;&gt;"pvp",Inputs!$B$43&gt;0),(((R2832-1)*(Skills!T16*(1+Inputs!$B$34/100))+MIN((Skills!T16*(1+Inputs!$B$34/100)),MAX(0,Inputs!$B$43-((R2832-1)*Skills!D16))))/Inputs!$B$43),IF(Inputs!$B$38="pvp",MIN((Skills!T16*(1+Inputs!$B$34/100)),15)/15,(Skills!T16*(1+Inputs!$B$34/100))/Skills!D16))</f>
        <v/>
      </c>
    </row>
    <row r="2849">
      <c r="A2849" t="inlineStr">
        <is>
          <t>Attack Speed Buff Bonus %</t>
        </is>
      </c>
      <c r="B2849">
        <f>((C2834=TRUE)*F2834*IF(AND(Inputs!$B$38&lt;&gt;"pvp",Inputs!$B$43&gt;0),(((R2834-1)*(Skills!T18*(1+Inputs!$B$34/100))+MIN((Skills!T18*(1+Inputs!$B$34/100)),MAX(0,Inputs!$B$43-((R2834-1)*Skills!D18))))/Inputs!$B$43),IF(Inputs!$B$38="pvp",MIN((Skills!T18*(1+Inputs!$B$34/100)),15)/15,(Skills!T18*(1+Inputs!$B$34/100))/Skills!D18)))</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Skills!T16*(1+Inputs!$B$34/100))+MIN((Skills!T16*(1+Inputs!$B$34/100)),MAX(0,Inputs!$B$43-((R2832-1)*Skills!D16))))/Inputs!$B$43),IF(Inputs!$B$38="pvp",MIN((Skills!T16*(1+Inputs!$B$34/100)),15)/15,(Skills!T16*(1+Inputs!$B$34/100))/Skills!D16))</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IFERROR(1/IF(Inputs!$B$38="pvp",15,MAX(0.1,Skills!D5-IF(Skills!E5=TRUE,0.5,0))),0)</f>
        <v/>
      </c>
      <c r="R2880">
        <f>IF(AND(Inputs!$B$38&lt;&gt;"pvp",Inputs!$B$43&gt;0),IF(MAX(0,Inputs!$B$43-B2914)&lt;=0,0,(INT(MAX(0,Inputs!$B$43-B2914)/IF(Inputs!$B$38="pvp",15,MAX(0.1,Skills!D5-IF(Skills!E5=TRUE,0.5,0))))+1)),0)</f>
        <v/>
      </c>
      <c r="S2880">
        <f>IFERROR((H2880*N2880*IF(AND(Inputs!$B$38&lt;&gt;"pvp",Inputs!$B$43&gt;0),((Skills!G5*((R2880-1)*IF(Skills!H5&gt;0,Skills!I5/Skills!H5,1)+IF(Skills!H5&gt;0,MIN(Skills!I5,MAX(0,MAX(0,Inputs!$B$43-B2914)-((R2880-1)*IF(Inputs!$B$38="pvp",15,MAX(0.1,Skills!D5-IF(Skills!E5=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Skills!E5=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Skills!E5=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IFERROR(1/IF(Inputs!$B$38="pvp",15,MAX(0.1,Skills!D6-IF(Skills!E6=TRUE,0.5,0))),0)</f>
        <v/>
      </c>
      <c r="R2881">
        <f>IF(AND(Inputs!$B$38&lt;&gt;"pvp",Inputs!$B$43&gt;0),IF(MAX(0,Inputs!$B$43-B2914)&lt;=0,0,(INT(MAX(0,Inputs!$B$43-B2914)/IF(Inputs!$B$38="pvp",15,MAX(0.1,Skills!D6-IF(Skills!E6=TRUE,0.5,0))))+1)),0)</f>
        <v/>
      </c>
      <c r="S2881">
        <f>IFERROR((H2881*N2881*IF(AND(Inputs!$B$38&lt;&gt;"pvp",Inputs!$B$43&gt;0),((Skills!G6*((R2881-1)*IF(Skills!H6&gt;0,Skills!I6/Skills!H6,1)+IF(Skills!H6&gt;0,MIN(Skills!I6,MAX(0,MAX(0,Inputs!$B$43-B2914)-((R2881-1)*IF(Inputs!$B$38="pvp",15,MAX(0.1,Skills!D6-IF(Skills!E6=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Skills!E6=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Skills!E6=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IFERROR(1/IF(Inputs!$B$38="pvp",15,MAX(0.1,Skills!D7-IF(Skills!E7=TRUE,0.5,0))),0)</f>
        <v/>
      </c>
      <c r="R2882">
        <f>IF(AND(Inputs!$B$38&lt;&gt;"pvp",Inputs!$B$43&gt;0),IF(MAX(0,Inputs!$B$43-B2914)&lt;=0,0,(INT(MAX(0,Inputs!$B$43-B2914)/IF(Inputs!$B$38="pvp",15,MAX(0.1,Skills!D7-IF(Skills!E7=TRUE,0.5,0))))+1)),0)</f>
        <v/>
      </c>
      <c r="S2882">
        <f>IFERROR((H2882*N2882*IF(AND(Inputs!$B$38&lt;&gt;"pvp",Inputs!$B$43&gt;0),((Skills!G7*((R2882-1)*IF(Skills!H7&gt;0,Skills!I7/Skills!H7,1)+IF(Skills!H7&gt;0,MIN(Skills!I7,MAX(0,MAX(0,Inputs!$B$43-B2914)-((R2882-1)*IF(Inputs!$B$38="pvp",15,MAX(0.1,Skills!D7-IF(Skills!E7=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Skills!E7=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Skills!E7=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IFERROR(1/IF(Inputs!$B$38="pvp",15,MAX(0.1,Skills!D9-IF(Skills!E9=TRUE,0.5,0))),0)</f>
        <v/>
      </c>
      <c r="R2884">
        <f>IF(AND(Inputs!$B$38&lt;&gt;"pvp",Inputs!$B$43&gt;0),IF(MAX(0,Inputs!$B$43-B2914)&lt;=0,0,(INT(MAX(0,Inputs!$B$43-B2914)/IF(Inputs!$B$38="pvp",15,MAX(0.1,Skills!D9-IF(Skills!E9=TRUE,0.5,0))))+1)),0)</f>
        <v/>
      </c>
      <c r="S2884">
        <f>IFERROR((H2884*N2884*IF(AND(Inputs!$B$38&lt;&gt;"pvp",Inputs!$B$43&gt;0),((Skills!G9*((R2884-1)*IF(Skills!H9&gt;0,Skills!I9/Skills!H9,1)+IF(Skills!H9&gt;0,MIN(Skills!I9,MAX(0,MAX(0,Inputs!$B$43-B2914)-((R2884-1)*IF(Inputs!$B$38="pvp",15,MAX(0.1,Skills!D9-IF(Skills!E9=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Skills!E9=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Skills!E9=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IFERROR(1/IF(Inputs!$B$38="pvp",15,MAX(0.1,Skills!D11-IF(Skills!E11=TRUE,0.5,0))),0)</f>
        <v/>
      </c>
      <c r="R2886">
        <f>IF(AND(Inputs!$B$38&lt;&gt;"pvp",Inputs!$B$43&gt;0),IF(MAX(0,Inputs!$B$43-B2914)&lt;=0,0,(INT(MAX(0,Inputs!$B$43-B2914)/IF(Inputs!$B$38="pvp",15,MAX(0.1,Skills!D11-IF(Skills!E11=TRUE,0.5,0))))+1)),0)</f>
        <v/>
      </c>
      <c r="S2886">
        <f>IFERROR((H2886*N2886*IF(AND(Inputs!$B$38&lt;&gt;"pvp",Inputs!$B$43&gt;0),((Skills!G11*((R2886-1)*IF(Skills!H11&gt;0,Skills!I11/Skills!H11,1)+IF(Skills!H11&gt;0,MIN(Skills!I11,MAX(0,MAX(0,Inputs!$B$43-B2914)-((R2886-1)*IF(Inputs!$B$38="pvp",15,MAX(0.1,Skills!D11-IF(Skills!E11=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Skills!E11=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Skills!E11=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IFERROR(1/IF(Inputs!$B$38="pvp",15,MAX(0.1,Skills!D15-IF(Skills!E15=TRUE,0.5,0))),0)</f>
        <v/>
      </c>
      <c r="R2890">
        <f>IF(AND(Inputs!$B$38&lt;&gt;"pvp",Inputs!$B$43&gt;0),IF(Inputs!$B$43&lt;=0,0,(INT(Inputs!$B$43/IF(Inputs!$B$38="pvp",15,MAX(0.1,Skills!D15-IF(Skills!E15=TRUE,0.5,0))))+1)),0)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IFERROR(1/IF(Inputs!$B$38="pvp",15,MAX(0.1,Skills!D16-IF(Skills!E16=TRUE,0.5,0))),0)</f>
        <v/>
      </c>
      <c r="R2891">
        <f>IF(AND(Inputs!$B$38&lt;&gt;"pvp",Inputs!$B$43&gt;0),IF(Inputs!$B$43&lt;=0,0,(INT(Inputs!$B$43/IF(Inputs!$B$38="pvp",15,MAX(0.1,Skills!D16-IF(Skills!E16=TRUE,0.5,0))))+1)),0)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IFERROR(1/IF(Inputs!$B$38="pvp",15,MAX(0.1,Skills!D18-IF(Skills!E18=TRUE,0.5,0))),0)</f>
        <v/>
      </c>
      <c r="R2893">
        <f>IF(AND(Inputs!$B$38&lt;&gt;"pvp",Inputs!$B$43&gt;0),IF(Inputs!$B$43&lt;=0,0,(INT(Inputs!$B$43/IF(Inputs!$B$38="pvp",15,MAX(0.1,Skills!D18-IF(Skills!E18=TRUE,0.5,0))))+1)),0)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f>(C2891=TRUE)*20*IF(AND(Inputs!$B$38&lt;&gt;"pvp",Inputs!$B$43&gt;0),(((R2891-1)*(Skills!T16*(1+Inputs!$B$34/100))+MIN((Skills!T16*(1+Inputs!$B$34/100)),MAX(0,Inputs!$B$43-((R2891-1)*Skills!D16))))/Inputs!$B$43),IF(Inputs!$B$38="pvp",MIN((Skills!T16*(1+Inputs!$B$34/100)),15)/15,(Skills!T16*(1+Inputs!$B$34/100))/Skills!D16))</f>
        <v/>
      </c>
    </row>
    <row r="2908">
      <c r="A2908" t="inlineStr">
        <is>
          <t>Attack Speed Buff Bonus %</t>
        </is>
      </c>
      <c r="B2908">
        <f>((C2893=TRUE)*F2893*IF(AND(Inputs!$B$38&lt;&gt;"pvp",Inputs!$B$43&gt;0),(((R2893-1)*(Skills!T18*(1+Inputs!$B$34/100))+MIN((Skills!T18*(1+Inputs!$B$34/100)),MAX(0,Inputs!$B$43-((R2893-1)*Skills!D18))))/Inputs!$B$43),IF(Inputs!$B$38="pvp",MIN((Skills!T18*(1+Inputs!$B$34/100)),15)/15,(Skills!T18*(1+Inputs!$B$34/100))/Skills!D18)))</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Skills!T16*(1+Inputs!$B$34/100))+MIN((Skills!T16*(1+Inputs!$B$34/100)),MAX(0,Inputs!$B$43-((R2891-1)*Skills!D16))))/Inputs!$B$43),IF(Inputs!$B$38="pvp",MIN((Skills!T16*(1+Inputs!$B$34/100)),15)/15,(Skills!T16*(1+Inputs!$B$34/100))/Skills!D16))</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IFERROR(1/IF(Inputs!$B$38="pvp",15,MAX(0.1,Skills!D5-IF(Skills!E5=TRUE,1.0,0))),0)</f>
        <v/>
      </c>
      <c r="R2925">
        <f>IF(AND(Inputs!$B$38&lt;&gt;"pvp",Inputs!$B$43&gt;0),IF(MAX(0,Inputs!$B$43-B2959)&lt;=0,0,(INT(MAX(0,Inputs!$B$43-B2959)/IF(Inputs!$B$38="pvp",15,MAX(0.1,Skills!D5-IF(Skills!E5=TRUE,1.0,0))))+1)),0)</f>
        <v/>
      </c>
      <c r="S2925">
        <f>IFERROR((H2925*N2925*IF(AND(Inputs!$B$38&lt;&gt;"pvp",Inputs!$B$43&gt;0),((Skills!G5*((R2925-1)*IF(Skills!H5&gt;0,Skills!I5/Skills!H5,1)+IF(Skills!H5&gt;0,MIN(Skills!I5,MAX(0,MAX(0,Inputs!$B$43-B2959)-((R2925-1)*IF(Inputs!$B$38="pvp",15,MAX(0.1,Skills!D5-IF(Skills!E5=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Skills!E5=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Skills!E5=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IFERROR(1/IF(Inputs!$B$38="pvp",15,MAX(0.1,Skills!D6-IF(Skills!E6=TRUE,1.0,0))),0)</f>
        <v/>
      </c>
      <c r="R2926">
        <f>IF(AND(Inputs!$B$38&lt;&gt;"pvp",Inputs!$B$43&gt;0),IF(MAX(0,Inputs!$B$43-B2959)&lt;=0,0,(INT(MAX(0,Inputs!$B$43-B2959)/IF(Inputs!$B$38="pvp",15,MAX(0.1,Skills!D6-IF(Skills!E6=TRUE,1.0,0))))+1)),0)</f>
        <v/>
      </c>
      <c r="S2926">
        <f>IFERROR((H2926*N2926*IF(AND(Inputs!$B$38&lt;&gt;"pvp",Inputs!$B$43&gt;0),((Skills!G6*((R2926-1)*IF(Skills!H6&gt;0,Skills!I6/Skills!H6,1)+IF(Skills!H6&gt;0,MIN(Skills!I6,MAX(0,MAX(0,Inputs!$B$43-B2959)-((R2926-1)*IF(Inputs!$B$38="pvp",15,MAX(0.1,Skills!D6-IF(Skills!E6=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Skills!E6=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Skills!E6=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IFERROR(1/IF(Inputs!$B$38="pvp",15,MAX(0.1,Skills!D7-IF(Skills!E7=TRUE,1.0,0))),0)</f>
        <v/>
      </c>
      <c r="R2927">
        <f>IF(AND(Inputs!$B$38&lt;&gt;"pvp",Inputs!$B$43&gt;0),IF(MAX(0,Inputs!$B$43-B2959)&lt;=0,0,(INT(MAX(0,Inputs!$B$43-B2959)/IF(Inputs!$B$38="pvp",15,MAX(0.1,Skills!D7-IF(Skills!E7=TRUE,1.0,0))))+1)),0)</f>
        <v/>
      </c>
      <c r="S2927">
        <f>IFERROR((H2927*N2927*IF(AND(Inputs!$B$38&lt;&gt;"pvp",Inputs!$B$43&gt;0),((Skills!G7*((R2927-1)*IF(Skills!H7&gt;0,Skills!I7/Skills!H7,1)+IF(Skills!H7&gt;0,MIN(Skills!I7,MAX(0,MAX(0,Inputs!$B$43-B2959)-((R2927-1)*IF(Inputs!$B$38="pvp",15,MAX(0.1,Skills!D7-IF(Skills!E7=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Skills!E7=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Skills!E7=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IFERROR(1/IF(Inputs!$B$38="pvp",15,MAX(0.1,Skills!D9-IF(Skills!E9=TRUE,1.0,0))),0)</f>
        <v/>
      </c>
      <c r="R2929">
        <f>IF(AND(Inputs!$B$38&lt;&gt;"pvp",Inputs!$B$43&gt;0),IF(MAX(0,Inputs!$B$43-B2959)&lt;=0,0,(INT(MAX(0,Inputs!$B$43-B2959)/IF(Inputs!$B$38="pvp",15,MAX(0.1,Skills!D9-IF(Skills!E9=TRUE,1.0,0))))+1)),0)</f>
        <v/>
      </c>
      <c r="S2929">
        <f>IFERROR((H2929*N2929*IF(AND(Inputs!$B$38&lt;&gt;"pvp",Inputs!$B$43&gt;0),((Skills!G9*((R2929-1)*IF(Skills!H9&gt;0,Skills!I9/Skills!H9,1)+IF(Skills!H9&gt;0,MIN(Skills!I9,MAX(0,MAX(0,Inputs!$B$43-B2959)-((R2929-1)*IF(Inputs!$B$38="pvp",15,MAX(0.1,Skills!D9-IF(Skills!E9=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Skills!E9=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Skills!E9=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IFERROR(1/IF(Inputs!$B$38="pvp",15,MAX(0.1,Skills!D11-IF(Skills!E11=TRUE,1.0,0))),0)</f>
        <v/>
      </c>
      <c r="R2931">
        <f>IF(AND(Inputs!$B$38&lt;&gt;"pvp",Inputs!$B$43&gt;0),IF(MAX(0,Inputs!$B$43-B2959)&lt;=0,0,(INT(MAX(0,Inputs!$B$43-B2959)/IF(Inputs!$B$38="pvp",15,MAX(0.1,Skills!D11-IF(Skills!E11=TRUE,1.0,0))))+1)),0)</f>
        <v/>
      </c>
      <c r="S2931">
        <f>IFERROR((H2931*N2931*IF(AND(Inputs!$B$38&lt;&gt;"pvp",Inputs!$B$43&gt;0),((Skills!G11*((R2931-1)*IF(Skills!H11&gt;0,Skills!I11/Skills!H11,1)+IF(Skills!H11&gt;0,MIN(Skills!I11,MAX(0,MAX(0,Inputs!$B$43-B2959)-((R2931-1)*IF(Inputs!$B$38="pvp",15,MAX(0.1,Skills!D11-IF(Skills!E11=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Skills!E11=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Skills!E11=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IFERROR(1/IF(Inputs!$B$38="pvp",15,MAX(0.1,Skills!D15-IF(Skills!E15=TRUE,1.0,0))),0)</f>
        <v/>
      </c>
      <c r="R2935">
        <f>IF(AND(Inputs!$B$38&lt;&gt;"pvp",Inputs!$B$43&gt;0),IF(Inputs!$B$43&lt;=0,0,(INT(Inputs!$B$43/IF(Inputs!$B$38="pvp",15,MAX(0.1,Skills!D15-IF(Skills!E15=TRUE,1.0,0))))+1)),0)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IFERROR(1/IF(Inputs!$B$38="pvp",15,MAX(0.1,Skills!D16-IF(Skills!E16=TRUE,1.0,0))),0)</f>
        <v/>
      </c>
      <c r="R2936">
        <f>IF(AND(Inputs!$B$38&lt;&gt;"pvp",Inputs!$B$43&gt;0),IF(Inputs!$B$43&lt;=0,0,(INT(Inputs!$B$43/IF(Inputs!$B$38="pvp",15,MAX(0.1,Skills!D16-IF(Skills!E16=TRUE,1.0,0))))+1)),0)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IFERROR(1/IF(Inputs!$B$38="pvp",15,MAX(0.1,Skills!D18-IF(Skills!E18=TRUE,1.0,0))),0)</f>
        <v/>
      </c>
      <c r="R2938">
        <f>IF(AND(Inputs!$B$38&lt;&gt;"pvp",Inputs!$B$43&gt;0),IF(Inputs!$B$43&lt;=0,0,(INT(Inputs!$B$43/IF(Inputs!$B$38="pvp",15,MAX(0.1,Skills!D18-IF(Skills!E18=TRUE,1.0,0))))+1)),0)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f>(C2936=TRUE)*20*IF(AND(Inputs!$B$38&lt;&gt;"pvp",Inputs!$B$43&gt;0),(((R2936-1)*(Skills!T16*(1+Inputs!$B$34/100))+MIN((Skills!T16*(1+Inputs!$B$34/100)),MAX(0,Inputs!$B$43-((R2936-1)*Skills!D16))))/Inputs!$B$43),IF(Inputs!$B$38="pvp",MIN((Skills!T16*(1+Inputs!$B$34/100)),15)/15,(Skills!T16*(1+Inputs!$B$34/100))/Skills!D16))</f>
        <v/>
      </c>
    </row>
    <row r="2953">
      <c r="A2953" t="inlineStr">
        <is>
          <t>Attack Speed Buff Bonus %</t>
        </is>
      </c>
      <c r="B2953">
        <f>((C2938=TRUE)*F2938*IF(AND(Inputs!$B$38&lt;&gt;"pvp",Inputs!$B$43&gt;0),(((R2938-1)*(Skills!T18*(1+Inputs!$B$34/100))+MIN((Skills!T18*(1+Inputs!$B$34/100)),MAX(0,Inputs!$B$43-((R2938-1)*Skills!D18))))/Inputs!$B$43),IF(Inputs!$B$38="pvp",MIN((Skills!T18*(1+Inputs!$B$34/100)),15)/15,(Skills!T18*(1+Inputs!$B$34/100))/Skills!D18)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Skills!T16*(1+Inputs!$B$34/100))+MIN((Skills!T16*(1+Inputs!$B$34/100)),MAX(0,Inputs!$B$43-((R2936-1)*Skills!D16))))/Inputs!$B$43),IF(Inputs!$B$38="pvp",MIN((Skills!T16*(1+Inputs!$B$34/100)),15)/15,(Skills!T16*(1+Inputs!$B$34/100))/Skills!D16)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IFERROR(1/IF(Inputs!$B$38="pvp",15,MAX(0.1,Skills!D5-IF(Skills!E5=TRUE,1.5,0))),0)</f>
        <v/>
      </c>
      <c r="R2970">
        <f>IF(AND(Inputs!$B$38&lt;&gt;"pvp",Inputs!$B$43&gt;0),IF(MAX(0,Inputs!$B$43-B3004)&lt;=0,0,(INT(MAX(0,Inputs!$B$43-B3004)/IF(Inputs!$B$38="pvp",15,MAX(0.1,Skills!D5-IF(Skills!E5=TRUE,1.5,0))))+1)),0)</f>
        <v/>
      </c>
      <c r="S2970">
        <f>IFERROR((H2970*N2970*IF(AND(Inputs!$B$38&lt;&gt;"pvp",Inputs!$B$43&gt;0),((Skills!G5*((R2970-1)*IF(Skills!H5&gt;0,Skills!I5/Skills!H5,1)+IF(Skills!H5&gt;0,MIN(Skills!I5,MAX(0,MAX(0,Inputs!$B$43-B3004)-((R2970-1)*IF(Inputs!$B$38="pvp",15,MAX(0.1,Skills!D5-IF(Skills!E5=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Skills!E5=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Skills!E5=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IFERROR(1/IF(Inputs!$B$38="pvp",15,MAX(0.1,Skills!D6-IF(Skills!E6=TRUE,1.5,0))),0)</f>
        <v/>
      </c>
      <c r="R2971">
        <f>IF(AND(Inputs!$B$38&lt;&gt;"pvp",Inputs!$B$43&gt;0),IF(MAX(0,Inputs!$B$43-B3004)&lt;=0,0,(INT(MAX(0,Inputs!$B$43-B3004)/IF(Inputs!$B$38="pvp",15,MAX(0.1,Skills!D6-IF(Skills!E6=TRUE,1.5,0))))+1)),0)</f>
        <v/>
      </c>
      <c r="S2971">
        <f>IFERROR((H2971*N2971*IF(AND(Inputs!$B$38&lt;&gt;"pvp",Inputs!$B$43&gt;0),((Skills!G6*((R2971-1)*IF(Skills!H6&gt;0,Skills!I6/Skills!H6,1)+IF(Skills!H6&gt;0,MIN(Skills!I6,MAX(0,MAX(0,Inputs!$B$43-B3004)-((R2971-1)*IF(Inputs!$B$38="pvp",15,MAX(0.1,Skills!D6-IF(Skills!E6=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Skills!E6=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Skills!E6=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IFERROR(1/IF(Inputs!$B$38="pvp",15,MAX(0.1,Skills!D7-IF(Skills!E7=TRUE,1.5,0))),0)</f>
        <v/>
      </c>
      <c r="R2972">
        <f>IF(AND(Inputs!$B$38&lt;&gt;"pvp",Inputs!$B$43&gt;0),IF(MAX(0,Inputs!$B$43-B3004)&lt;=0,0,(INT(MAX(0,Inputs!$B$43-B3004)/IF(Inputs!$B$38="pvp",15,MAX(0.1,Skills!D7-IF(Skills!E7=TRUE,1.5,0))))+1)),0)</f>
        <v/>
      </c>
      <c r="S2972">
        <f>IFERROR((H2972*N2972*IF(AND(Inputs!$B$38&lt;&gt;"pvp",Inputs!$B$43&gt;0),((Skills!G7*((R2972-1)*IF(Skills!H7&gt;0,Skills!I7/Skills!H7,1)+IF(Skills!H7&gt;0,MIN(Skills!I7,MAX(0,MAX(0,Inputs!$B$43-B3004)-((R2972-1)*IF(Inputs!$B$38="pvp",15,MAX(0.1,Skills!D7-IF(Skills!E7=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Skills!E7=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Skills!E7=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IFERROR(1/IF(Inputs!$B$38="pvp",15,MAX(0.1,Skills!D9-IF(Skills!E9=TRUE,1.5,0))),0)</f>
        <v/>
      </c>
      <c r="R2974">
        <f>IF(AND(Inputs!$B$38&lt;&gt;"pvp",Inputs!$B$43&gt;0),IF(MAX(0,Inputs!$B$43-B3004)&lt;=0,0,(INT(MAX(0,Inputs!$B$43-B3004)/IF(Inputs!$B$38="pvp",15,MAX(0.1,Skills!D9-IF(Skills!E9=TRUE,1.5,0))))+1)),0)</f>
        <v/>
      </c>
      <c r="S2974">
        <f>IFERROR((H2974*N2974*IF(AND(Inputs!$B$38&lt;&gt;"pvp",Inputs!$B$43&gt;0),((Skills!G9*((R2974-1)*IF(Skills!H9&gt;0,Skills!I9/Skills!H9,1)+IF(Skills!H9&gt;0,MIN(Skills!I9,MAX(0,MAX(0,Inputs!$B$43-B3004)-((R2974-1)*IF(Inputs!$B$38="pvp",15,MAX(0.1,Skills!D9-IF(Skills!E9=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Skills!E9=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Skills!E9=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IFERROR(1/IF(Inputs!$B$38="pvp",15,MAX(0.1,Skills!D11-IF(Skills!E11=TRUE,1.5,0))),0)</f>
        <v/>
      </c>
      <c r="R2976">
        <f>IF(AND(Inputs!$B$38&lt;&gt;"pvp",Inputs!$B$43&gt;0),IF(MAX(0,Inputs!$B$43-B3004)&lt;=0,0,(INT(MAX(0,Inputs!$B$43-B3004)/IF(Inputs!$B$38="pvp",15,MAX(0.1,Skills!D11-IF(Skills!E11=TRUE,1.5,0))))+1)),0)</f>
        <v/>
      </c>
      <c r="S2976">
        <f>IFERROR((H2976*N2976*IF(AND(Inputs!$B$38&lt;&gt;"pvp",Inputs!$B$43&gt;0),((Skills!G11*((R2976-1)*IF(Skills!H11&gt;0,Skills!I11/Skills!H11,1)+IF(Skills!H11&gt;0,MIN(Skills!I11,MAX(0,MAX(0,Inputs!$B$43-B3004)-((R2976-1)*IF(Inputs!$B$38="pvp",15,MAX(0.1,Skills!D11-IF(Skills!E11=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Skills!E11=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Skills!E11=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IFERROR(1/IF(Inputs!$B$38="pvp",15,MAX(0.1,Skills!D15-IF(Skills!E15=TRUE,1.5,0))),0)</f>
        <v/>
      </c>
      <c r="R2980">
        <f>IF(AND(Inputs!$B$38&lt;&gt;"pvp",Inputs!$B$43&gt;0),IF(Inputs!$B$43&lt;=0,0,(INT(Inputs!$B$43/IF(Inputs!$B$38="pvp",15,MAX(0.1,Skills!D15-IF(Skills!E15=TRUE,1.5,0))))+1)),0)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IFERROR(1/IF(Inputs!$B$38="pvp",15,MAX(0.1,Skills!D16-IF(Skills!E16=TRUE,1.5,0))),0)</f>
        <v/>
      </c>
      <c r="R2981">
        <f>IF(AND(Inputs!$B$38&lt;&gt;"pvp",Inputs!$B$43&gt;0),IF(Inputs!$B$43&lt;=0,0,(INT(Inputs!$B$43/IF(Inputs!$B$38="pvp",15,MAX(0.1,Skills!D16-IF(Skills!E16=TRUE,1.5,0))))+1)),0)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IFERROR(1/IF(Inputs!$B$38="pvp",15,MAX(0.1,Skills!D18-IF(Skills!E18=TRUE,1.5,0))),0)</f>
        <v/>
      </c>
      <c r="R2983">
        <f>IF(AND(Inputs!$B$38&lt;&gt;"pvp",Inputs!$B$43&gt;0),IF(Inputs!$B$43&lt;=0,0,(INT(Inputs!$B$43/IF(Inputs!$B$38="pvp",15,MAX(0.1,Skills!D18-IF(Skills!E18=TRUE,1.5,0))))+1)),0)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f>(C2981=TRUE)*20*IF(AND(Inputs!$B$38&lt;&gt;"pvp",Inputs!$B$43&gt;0),(((R2981-1)*(Skills!T16*(1+Inputs!$B$34/100))+MIN((Skills!T16*(1+Inputs!$B$34/100)),MAX(0,Inputs!$B$43-((R2981-1)*Skills!D16))))/Inputs!$B$43),IF(Inputs!$B$38="pvp",MIN((Skills!T16*(1+Inputs!$B$34/100)),15)/15,(Skills!T16*(1+Inputs!$B$34/100))/Skills!D16))</f>
        <v/>
      </c>
    </row>
    <row r="2998">
      <c r="A2998" t="inlineStr">
        <is>
          <t>Attack Speed Buff Bonus %</t>
        </is>
      </c>
      <c r="B2998">
        <f>((C2983=TRUE)*F2983*IF(AND(Inputs!$B$38&lt;&gt;"pvp",Inputs!$B$43&gt;0),(((R2983-1)*(Skills!T18*(1+Inputs!$B$34/100))+MIN((Skills!T18*(1+Inputs!$B$34/100)),MAX(0,Inputs!$B$43-((R2983-1)*Skills!D18))))/Inputs!$B$43),IF(Inputs!$B$38="pvp",MIN((Skills!T18*(1+Inputs!$B$34/100)),15)/15,(Skills!T18*(1+Inputs!$B$34/100))/Skills!D18)))</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Skills!T16*(1+Inputs!$B$34/100))+MIN((Skills!T16*(1+Inputs!$B$34/100)),MAX(0,Inputs!$B$43-((R2981-1)*Skills!D16))))/Inputs!$B$43),IF(Inputs!$B$38="pvp",MIN((Skills!T16*(1+Inputs!$B$34/100)),15)/15,(Skills!T16*(1+Inputs!$B$34/100))/Skills!D16))</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IFERROR(1/IF(Inputs!$B$38="pvp",15,MAX(0.1,Skills!D5-IF(Skills!E5=TRUE,2.0,0))),0)</f>
        <v/>
      </c>
      <c r="R3015">
        <f>IF(AND(Inputs!$B$38&lt;&gt;"pvp",Inputs!$B$43&gt;0),IF(MAX(0,Inputs!$B$43-B3049)&lt;=0,0,(INT(MAX(0,Inputs!$B$43-B3049)/IF(Inputs!$B$38="pvp",15,MAX(0.1,Skills!D5-IF(Skills!E5=TRUE,2.0,0))))+1)),0)</f>
        <v/>
      </c>
      <c r="S3015">
        <f>IFERROR((H3015*N3015*IF(AND(Inputs!$B$38&lt;&gt;"pvp",Inputs!$B$43&gt;0),((Skills!G5*((R3015-1)*IF(Skills!H5&gt;0,Skills!I5/Skills!H5,1)+IF(Skills!H5&gt;0,MIN(Skills!I5,MAX(0,MAX(0,Inputs!$B$43-B3049)-((R3015-1)*IF(Inputs!$B$38="pvp",15,MAX(0.1,Skills!D5-IF(Skills!E5=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Skills!E5=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Skills!E5=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IFERROR(1/IF(Inputs!$B$38="pvp",15,MAX(0.1,Skills!D6-IF(Skills!E6=TRUE,2.0,0))),0)</f>
        <v/>
      </c>
      <c r="R3016">
        <f>IF(AND(Inputs!$B$38&lt;&gt;"pvp",Inputs!$B$43&gt;0),IF(MAX(0,Inputs!$B$43-B3049)&lt;=0,0,(INT(MAX(0,Inputs!$B$43-B3049)/IF(Inputs!$B$38="pvp",15,MAX(0.1,Skills!D6-IF(Skills!E6=TRUE,2.0,0))))+1)),0)</f>
        <v/>
      </c>
      <c r="S3016">
        <f>IFERROR((H3016*N3016*IF(AND(Inputs!$B$38&lt;&gt;"pvp",Inputs!$B$43&gt;0),((Skills!G6*((R3016-1)*IF(Skills!H6&gt;0,Skills!I6/Skills!H6,1)+IF(Skills!H6&gt;0,MIN(Skills!I6,MAX(0,MAX(0,Inputs!$B$43-B3049)-((R3016-1)*IF(Inputs!$B$38="pvp",15,MAX(0.1,Skills!D6-IF(Skills!E6=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Skills!E6=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Skills!E6=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IFERROR(1/IF(Inputs!$B$38="pvp",15,MAX(0.1,Skills!D7-IF(Skills!E7=TRUE,2.0,0))),0)</f>
        <v/>
      </c>
      <c r="R3017">
        <f>IF(AND(Inputs!$B$38&lt;&gt;"pvp",Inputs!$B$43&gt;0),IF(MAX(0,Inputs!$B$43-B3049)&lt;=0,0,(INT(MAX(0,Inputs!$B$43-B3049)/IF(Inputs!$B$38="pvp",15,MAX(0.1,Skills!D7-IF(Skills!E7=TRUE,2.0,0))))+1)),0)</f>
        <v/>
      </c>
      <c r="S3017">
        <f>IFERROR((H3017*N3017*IF(AND(Inputs!$B$38&lt;&gt;"pvp",Inputs!$B$43&gt;0),((Skills!G7*((R3017-1)*IF(Skills!H7&gt;0,Skills!I7/Skills!H7,1)+IF(Skills!H7&gt;0,MIN(Skills!I7,MAX(0,MAX(0,Inputs!$B$43-B3049)-((R3017-1)*IF(Inputs!$B$38="pvp",15,MAX(0.1,Skills!D7-IF(Skills!E7=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Skills!E7=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Skills!E7=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IFERROR(1/IF(Inputs!$B$38="pvp",15,MAX(0.1,Skills!D9-IF(Skills!E9=TRUE,2.0,0))),0)</f>
        <v/>
      </c>
      <c r="R3019">
        <f>IF(AND(Inputs!$B$38&lt;&gt;"pvp",Inputs!$B$43&gt;0),IF(MAX(0,Inputs!$B$43-B3049)&lt;=0,0,(INT(MAX(0,Inputs!$B$43-B3049)/IF(Inputs!$B$38="pvp",15,MAX(0.1,Skills!D9-IF(Skills!E9=TRUE,2.0,0))))+1)),0)</f>
        <v/>
      </c>
      <c r="S3019">
        <f>IFERROR((H3019*N3019*IF(AND(Inputs!$B$38&lt;&gt;"pvp",Inputs!$B$43&gt;0),((Skills!G9*((R3019-1)*IF(Skills!H9&gt;0,Skills!I9/Skills!H9,1)+IF(Skills!H9&gt;0,MIN(Skills!I9,MAX(0,MAX(0,Inputs!$B$43-B3049)-((R3019-1)*IF(Inputs!$B$38="pvp",15,MAX(0.1,Skills!D9-IF(Skills!E9=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Skills!E9=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Skills!E9=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IFERROR(1/IF(Inputs!$B$38="pvp",15,MAX(0.1,Skills!D11-IF(Skills!E11=TRUE,2.0,0))),0)</f>
        <v/>
      </c>
      <c r="R3021">
        <f>IF(AND(Inputs!$B$38&lt;&gt;"pvp",Inputs!$B$43&gt;0),IF(MAX(0,Inputs!$B$43-B3049)&lt;=0,0,(INT(MAX(0,Inputs!$B$43-B3049)/IF(Inputs!$B$38="pvp",15,MAX(0.1,Skills!D11-IF(Skills!E11=TRUE,2.0,0))))+1)),0)</f>
        <v/>
      </c>
      <c r="S3021">
        <f>IFERROR((H3021*N3021*IF(AND(Inputs!$B$38&lt;&gt;"pvp",Inputs!$B$43&gt;0),((Skills!G11*((R3021-1)*IF(Skills!H11&gt;0,Skills!I11/Skills!H11,1)+IF(Skills!H11&gt;0,MIN(Skills!I11,MAX(0,MAX(0,Inputs!$B$43-B3049)-((R3021-1)*IF(Inputs!$B$38="pvp",15,MAX(0.1,Skills!D11-IF(Skills!E11=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Skills!E11=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Skills!E11=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IFERROR(1/IF(Inputs!$B$38="pvp",15,MAX(0.1,Skills!D15-IF(Skills!E15=TRUE,2.0,0))),0)</f>
        <v/>
      </c>
      <c r="R3025">
        <f>IF(AND(Inputs!$B$38&lt;&gt;"pvp",Inputs!$B$43&gt;0),IF(Inputs!$B$43&lt;=0,0,(INT(Inputs!$B$43/IF(Inputs!$B$38="pvp",15,MAX(0.1,Skills!D15-IF(Skills!E15=TRUE,2.0,0))))+1)),0)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IFERROR(1/IF(Inputs!$B$38="pvp",15,MAX(0.1,Skills!D16-IF(Skills!E16=TRUE,2.0,0))),0)</f>
        <v/>
      </c>
      <c r="R3026">
        <f>IF(AND(Inputs!$B$38&lt;&gt;"pvp",Inputs!$B$43&gt;0),IF(Inputs!$B$43&lt;=0,0,(INT(Inputs!$B$43/IF(Inputs!$B$38="pvp",15,MAX(0.1,Skills!D16-IF(Skills!E16=TRUE,2.0,0))))+1)),0)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IFERROR(1/IF(Inputs!$B$38="pvp",15,MAX(0.1,Skills!D18-IF(Skills!E18=TRUE,2.0,0))),0)</f>
        <v/>
      </c>
      <c r="R3028">
        <f>IF(AND(Inputs!$B$38&lt;&gt;"pvp",Inputs!$B$43&gt;0),IF(Inputs!$B$43&lt;=0,0,(INT(Inputs!$B$43/IF(Inputs!$B$38="pvp",15,MAX(0.1,Skills!D18-IF(Skills!E18=TRUE,2.0,0))))+1)),0)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f>(C3026=TRUE)*20*IF(AND(Inputs!$B$38&lt;&gt;"pvp",Inputs!$B$43&gt;0),(((R3026-1)*(Skills!T16*(1+Inputs!$B$34/100))+MIN((Skills!T16*(1+Inputs!$B$34/100)),MAX(0,Inputs!$B$43-((R3026-1)*Skills!D16))))/Inputs!$B$43),IF(Inputs!$B$38="pvp",MIN((Skills!T16*(1+Inputs!$B$34/100)),15)/15,(Skills!T16*(1+Inputs!$B$34/100))/Skills!D16))</f>
        <v/>
      </c>
    </row>
    <row r="3043">
      <c r="A3043" t="inlineStr">
        <is>
          <t>Attack Speed Buff Bonus %</t>
        </is>
      </c>
      <c r="B3043">
        <f>((C3028=TRUE)*F3028*IF(AND(Inputs!$B$38&lt;&gt;"pvp",Inputs!$B$43&gt;0),(((R3028-1)*(Skills!T18*(1+Inputs!$B$34/100))+MIN((Skills!T18*(1+Inputs!$B$34/100)),MAX(0,Inputs!$B$43-((R3028-1)*Skills!D18))))/Inputs!$B$43),IF(Inputs!$B$38="pvp",MIN((Skills!T18*(1+Inputs!$B$34/100)),15)/15,(Skills!T18*(1+Inputs!$B$34/100))/Skills!D18)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Skills!T16*(1+Inputs!$B$34/100))+MIN((Skills!T16*(1+Inputs!$B$34/100)),MAX(0,Inputs!$B$43-((R3026-1)*Skills!D16))))/Inputs!$B$43),IF(Inputs!$B$38="pvp",MIN((Skills!T16*(1+Inputs!$B$34/100)),15)/15,(Skills!T16*(1+Inputs!$B$34/100))/Skills!D16)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IFERROR(1/IF(Inputs!$B$38="pvp",15,MAX(0.1,Skills!D5-IF(Skills!E5=TRUE,2.5,0))),0)</f>
        <v/>
      </c>
      <c r="R3060">
        <f>IF(AND(Inputs!$B$38&lt;&gt;"pvp",Inputs!$B$43&gt;0),IF(MAX(0,Inputs!$B$43-B3094)&lt;=0,0,(INT(MAX(0,Inputs!$B$43-B3094)/IF(Inputs!$B$38="pvp",15,MAX(0.1,Skills!D5-IF(Skills!E5=TRUE,2.5,0))))+1)),0)</f>
        <v/>
      </c>
      <c r="S3060">
        <f>IFERROR((H3060*N3060*IF(AND(Inputs!$B$38&lt;&gt;"pvp",Inputs!$B$43&gt;0),((Skills!G5*((R3060-1)*IF(Skills!H5&gt;0,Skills!I5/Skills!H5,1)+IF(Skills!H5&gt;0,MIN(Skills!I5,MAX(0,MAX(0,Inputs!$B$43-B3094)-((R3060-1)*IF(Inputs!$B$38="pvp",15,MAX(0.1,Skills!D5-IF(Skills!E5=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Skills!E5=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Skills!E5=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IFERROR(1/IF(Inputs!$B$38="pvp",15,MAX(0.1,Skills!D6-IF(Skills!E6=TRUE,2.5,0))),0)</f>
        <v/>
      </c>
      <c r="R3061">
        <f>IF(AND(Inputs!$B$38&lt;&gt;"pvp",Inputs!$B$43&gt;0),IF(MAX(0,Inputs!$B$43-B3094)&lt;=0,0,(INT(MAX(0,Inputs!$B$43-B3094)/IF(Inputs!$B$38="pvp",15,MAX(0.1,Skills!D6-IF(Skills!E6=TRUE,2.5,0))))+1)),0)</f>
        <v/>
      </c>
      <c r="S3061">
        <f>IFERROR((H3061*N3061*IF(AND(Inputs!$B$38&lt;&gt;"pvp",Inputs!$B$43&gt;0),((Skills!G6*((R3061-1)*IF(Skills!H6&gt;0,Skills!I6/Skills!H6,1)+IF(Skills!H6&gt;0,MIN(Skills!I6,MAX(0,MAX(0,Inputs!$B$43-B3094)-((R3061-1)*IF(Inputs!$B$38="pvp",15,MAX(0.1,Skills!D6-IF(Skills!E6=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Skills!E6=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Skills!E6=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IFERROR(1/IF(Inputs!$B$38="pvp",15,MAX(0.1,Skills!D7-IF(Skills!E7=TRUE,2.5,0))),0)</f>
        <v/>
      </c>
      <c r="R3062">
        <f>IF(AND(Inputs!$B$38&lt;&gt;"pvp",Inputs!$B$43&gt;0),IF(MAX(0,Inputs!$B$43-B3094)&lt;=0,0,(INT(MAX(0,Inputs!$B$43-B3094)/IF(Inputs!$B$38="pvp",15,MAX(0.1,Skills!D7-IF(Skills!E7=TRUE,2.5,0))))+1)),0)</f>
        <v/>
      </c>
      <c r="S3062">
        <f>IFERROR((H3062*N3062*IF(AND(Inputs!$B$38&lt;&gt;"pvp",Inputs!$B$43&gt;0),((Skills!G7*((R3062-1)*IF(Skills!H7&gt;0,Skills!I7/Skills!H7,1)+IF(Skills!H7&gt;0,MIN(Skills!I7,MAX(0,MAX(0,Inputs!$B$43-B3094)-((R3062-1)*IF(Inputs!$B$38="pvp",15,MAX(0.1,Skills!D7-IF(Skills!E7=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Skills!E7=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Skills!E7=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IFERROR(1/IF(Inputs!$B$38="pvp",15,MAX(0.1,Skills!D9-IF(Skills!E9=TRUE,2.5,0))),0)</f>
        <v/>
      </c>
      <c r="R3064">
        <f>IF(AND(Inputs!$B$38&lt;&gt;"pvp",Inputs!$B$43&gt;0),IF(MAX(0,Inputs!$B$43-B3094)&lt;=0,0,(INT(MAX(0,Inputs!$B$43-B3094)/IF(Inputs!$B$38="pvp",15,MAX(0.1,Skills!D9-IF(Skills!E9=TRUE,2.5,0))))+1)),0)</f>
        <v/>
      </c>
      <c r="S3064">
        <f>IFERROR((H3064*N3064*IF(AND(Inputs!$B$38&lt;&gt;"pvp",Inputs!$B$43&gt;0),((Skills!G9*((R3064-1)*IF(Skills!H9&gt;0,Skills!I9/Skills!H9,1)+IF(Skills!H9&gt;0,MIN(Skills!I9,MAX(0,MAX(0,Inputs!$B$43-B3094)-((R3064-1)*IF(Inputs!$B$38="pvp",15,MAX(0.1,Skills!D9-IF(Skills!E9=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Skills!E9=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Skills!E9=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IFERROR(1/IF(Inputs!$B$38="pvp",15,MAX(0.1,Skills!D11-IF(Skills!E11=TRUE,2.5,0))),0)</f>
        <v/>
      </c>
      <c r="R3066">
        <f>IF(AND(Inputs!$B$38&lt;&gt;"pvp",Inputs!$B$43&gt;0),IF(MAX(0,Inputs!$B$43-B3094)&lt;=0,0,(INT(MAX(0,Inputs!$B$43-B3094)/IF(Inputs!$B$38="pvp",15,MAX(0.1,Skills!D11-IF(Skills!E11=TRUE,2.5,0))))+1)),0)</f>
        <v/>
      </c>
      <c r="S3066">
        <f>IFERROR((H3066*N3066*IF(AND(Inputs!$B$38&lt;&gt;"pvp",Inputs!$B$43&gt;0),((Skills!G11*((R3066-1)*IF(Skills!H11&gt;0,Skills!I11/Skills!H11,1)+IF(Skills!H11&gt;0,MIN(Skills!I11,MAX(0,MAX(0,Inputs!$B$43-B3094)-((R3066-1)*IF(Inputs!$B$38="pvp",15,MAX(0.1,Skills!D11-IF(Skills!E11=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Skills!E11=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Skills!E11=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IFERROR(1/IF(Inputs!$B$38="pvp",15,MAX(0.1,Skills!D15-IF(Skills!E15=TRUE,2.5,0))),0)</f>
        <v/>
      </c>
      <c r="R3070">
        <f>IF(AND(Inputs!$B$38&lt;&gt;"pvp",Inputs!$B$43&gt;0),IF(Inputs!$B$43&lt;=0,0,(INT(Inputs!$B$43/IF(Inputs!$B$38="pvp",15,MAX(0.1,Skills!D15-IF(Skills!E15=TRUE,2.5,0))))+1)),0)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IFERROR(1/IF(Inputs!$B$38="pvp",15,MAX(0.1,Skills!D16-IF(Skills!E16=TRUE,2.5,0))),0)</f>
        <v/>
      </c>
      <c r="R3071">
        <f>IF(AND(Inputs!$B$38&lt;&gt;"pvp",Inputs!$B$43&gt;0),IF(Inputs!$B$43&lt;=0,0,(INT(Inputs!$B$43/IF(Inputs!$B$38="pvp",15,MAX(0.1,Skills!D16-IF(Skills!E16=TRUE,2.5,0))))+1)),0)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IFERROR(1/IF(Inputs!$B$38="pvp",15,MAX(0.1,Skills!D18-IF(Skills!E18=TRUE,2.5,0))),0)</f>
        <v/>
      </c>
      <c r="R3073">
        <f>IF(AND(Inputs!$B$38&lt;&gt;"pvp",Inputs!$B$43&gt;0),IF(Inputs!$B$43&lt;=0,0,(INT(Inputs!$B$43/IF(Inputs!$B$38="pvp",15,MAX(0.1,Skills!D18-IF(Skills!E18=TRUE,2.5,0))))+1)),0)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f>(C3071=TRUE)*20*IF(AND(Inputs!$B$38&lt;&gt;"pvp",Inputs!$B$43&gt;0),(((R3071-1)*(Skills!T16*(1+Inputs!$B$34/100))+MIN((Skills!T16*(1+Inputs!$B$34/100)),MAX(0,Inputs!$B$43-((R3071-1)*Skills!D16))))/Inputs!$B$43),IF(Inputs!$B$38="pvp",MIN((Skills!T16*(1+Inputs!$B$34/100)),15)/15,(Skills!T16*(1+Inputs!$B$34/100))/Skills!D16))</f>
        <v/>
      </c>
    </row>
    <row r="3088">
      <c r="A3088" t="inlineStr">
        <is>
          <t>Attack Speed Buff Bonus %</t>
        </is>
      </c>
      <c r="B3088">
        <f>((C3073=TRUE)*F3073*IF(AND(Inputs!$B$38&lt;&gt;"pvp",Inputs!$B$43&gt;0),(((R3073-1)*(Skills!T18*(1+Inputs!$B$34/100))+MIN((Skills!T18*(1+Inputs!$B$34/100)),MAX(0,Inputs!$B$43-((R3073-1)*Skills!D18))))/Inputs!$B$43),IF(Inputs!$B$38="pvp",MIN((Skills!T18*(1+Inputs!$B$34/100)),15)/15,(Skills!T18*(1+Inputs!$B$34/100))/Skills!D18)))</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Skills!T16*(1+Inputs!$B$34/100))+MIN((Skills!T16*(1+Inputs!$B$34/100)),MAX(0,Inputs!$B$43-((R3071-1)*Skills!D16))))/Inputs!$B$43),IF(Inputs!$B$38="pvp",MIN((Skills!T16*(1+Inputs!$B$34/100)),15)/15,(Skills!T16*(1+Inputs!$B$34/100))/Skills!D16))</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IFERROR(1/IF(Inputs!$B$38="pvp",15,MAX(0.1,Skills!D5-IF(Skills!E5=TRUE,3.0,0))),0)</f>
        <v/>
      </c>
      <c r="R3105">
        <f>IF(AND(Inputs!$B$38&lt;&gt;"pvp",Inputs!$B$43&gt;0),IF(MAX(0,Inputs!$B$43-B3139)&lt;=0,0,(INT(MAX(0,Inputs!$B$43-B3139)/IF(Inputs!$B$38="pvp",15,MAX(0.1,Skills!D5-IF(Skills!E5=TRUE,3.0,0))))+1)),0)</f>
        <v/>
      </c>
      <c r="S3105">
        <f>IFERROR((H3105*N3105*IF(AND(Inputs!$B$38&lt;&gt;"pvp",Inputs!$B$43&gt;0),((Skills!G5*((R3105-1)*IF(Skills!H5&gt;0,Skills!I5/Skills!H5,1)+IF(Skills!H5&gt;0,MIN(Skills!I5,MAX(0,MAX(0,Inputs!$B$43-B3139)-((R3105-1)*IF(Inputs!$B$38="pvp",15,MAX(0.1,Skills!D5-IF(Skills!E5=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Skills!E5=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Skills!E5=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IFERROR(1/IF(Inputs!$B$38="pvp",15,MAX(0.1,Skills!D6-IF(Skills!E6=TRUE,3.0,0))),0)</f>
        <v/>
      </c>
      <c r="R3106">
        <f>IF(AND(Inputs!$B$38&lt;&gt;"pvp",Inputs!$B$43&gt;0),IF(MAX(0,Inputs!$B$43-B3139)&lt;=0,0,(INT(MAX(0,Inputs!$B$43-B3139)/IF(Inputs!$B$38="pvp",15,MAX(0.1,Skills!D6-IF(Skills!E6=TRUE,3.0,0))))+1)),0)</f>
        <v/>
      </c>
      <c r="S3106">
        <f>IFERROR((H3106*N3106*IF(AND(Inputs!$B$38&lt;&gt;"pvp",Inputs!$B$43&gt;0),((Skills!G6*((R3106-1)*IF(Skills!H6&gt;0,Skills!I6/Skills!H6,1)+IF(Skills!H6&gt;0,MIN(Skills!I6,MAX(0,MAX(0,Inputs!$B$43-B3139)-((R3106-1)*IF(Inputs!$B$38="pvp",15,MAX(0.1,Skills!D6-IF(Skills!E6=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Skills!E6=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Skills!E6=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IFERROR(1/IF(Inputs!$B$38="pvp",15,MAX(0.1,Skills!D7-IF(Skills!E7=TRUE,3.0,0))),0)</f>
        <v/>
      </c>
      <c r="R3107">
        <f>IF(AND(Inputs!$B$38&lt;&gt;"pvp",Inputs!$B$43&gt;0),IF(MAX(0,Inputs!$B$43-B3139)&lt;=0,0,(INT(MAX(0,Inputs!$B$43-B3139)/IF(Inputs!$B$38="pvp",15,MAX(0.1,Skills!D7-IF(Skills!E7=TRUE,3.0,0))))+1)),0)</f>
        <v/>
      </c>
      <c r="S3107">
        <f>IFERROR((H3107*N3107*IF(AND(Inputs!$B$38&lt;&gt;"pvp",Inputs!$B$43&gt;0),((Skills!G7*((R3107-1)*IF(Skills!H7&gt;0,Skills!I7/Skills!H7,1)+IF(Skills!H7&gt;0,MIN(Skills!I7,MAX(0,MAX(0,Inputs!$B$43-B3139)-((R3107-1)*IF(Inputs!$B$38="pvp",15,MAX(0.1,Skills!D7-IF(Skills!E7=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Skills!E7=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Skills!E7=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IFERROR(1/IF(Inputs!$B$38="pvp",15,MAX(0.1,Skills!D9-IF(Skills!E9=TRUE,3.0,0))),0)</f>
        <v/>
      </c>
      <c r="R3109">
        <f>IF(AND(Inputs!$B$38&lt;&gt;"pvp",Inputs!$B$43&gt;0),IF(MAX(0,Inputs!$B$43-B3139)&lt;=0,0,(INT(MAX(0,Inputs!$B$43-B3139)/IF(Inputs!$B$38="pvp",15,MAX(0.1,Skills!D9-IF(Skills!E9=TRUE,3.0,0))))+1)),0)</f>
        <v/>
      </c>
      <c r="S3109">
        <f>IFERROR((H3109*N3109*IF(AND(Inputs!$B$38&lt;&gt;"pvp",Inputs!$B$43&gt;0),((Skills!G9*((R3109-1)*IF(Skills!H9&gt;0,Skills!I9/Skills!H9,1)+IF(Skills!H9&gt;0,MIN(Skills!I9,MAX(0,MAX(0,Inputs!$B$43-B3139)-((R3109-1)*IF(Inputs!$B$38="pvp",15,MAX(0.1,Skills!D9-IF(Skills!E9=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Skills!E9=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Skills!E9=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IFERROR(1/IF(Inputs!$B$38="pvp",15,MAX(0.1,Skills!D11-IF(Skills!E11=TRUE,3.0,0))),0)</f>
        <v/>
      </c>
      <c r="R3111">
        <f>IF(AND(Inputs!$B$38&lt;&gt;"pvp",Inputs!$B$43&gt;0),IF(MAX(0,Inputs!$B$43-B3139)&lt;=0,0,(INT(MAX(0,Inputs!$B$43-B3139)/IF(Inputs!$B$38="pvp",15,MAX(0.1,Skills!D11-IF(Skills!E11=TRUE,3.0,0))))+1)),0)</f>
        <v/>
      </c>
      <c r="S3111">
        <f>IFERROR((H3111*N3111*IF(AND(Inputs!$B$38&lt;&gt;"pvp",Inputs!$B$43&gt;0),((Skills!G11*((R3111-1)*IF(Skills!H11&gt;0,Skills!I11/Skills!H11,1)+IF(Skills!H11&gt;0,MIN(Skills!I11,MAX(0,MAX(0,Inputs!$B$43-B3139)-((R3111-1)*IF(Inputs!$B$38="pvp",15,MAX(0.1,Skills!D11-IF(Skills!E11=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Skills!E11=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Skills!E11=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IFERROR(1/IF(Inputs!$B$38="pvp",15,MAX(0.1,Skills!D15-IF(Skills!E15=TRUE,3.0,0))),0)</f>
        <v/>
      </c>
      <c r="R3115">
        <f>IF(AND(Inputs!$B$38&lt;&gt;"pvp",Inputs!$B$43&gt;0),IF(Inputs!$B$43&lt;=0,0,(INT(Inputs!$B$43/IF(Inputs!$B$38="pvp",15,MAX(0.1,Skills!D15-IF(Skills!E15=TRUE,3.0,0))))+1)),0)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IFERROR(1/IF(Inputs!$B$38="pvp",15,MAX(0.1,Skills!D16-IF(Skills!E16=TRUE,3.0,0))),0)</f>
        <v/>
      </c>
      <c r="R3116">
        <f>IF(AND(Inputs!$B$38&lt;&gt;"pvp",Inputs!$B$43&gt;0),IF(Inputs!$B$43&lt;=0,0,(INT(Inputs!$B$43/IF(Inputs!$B$38="pvp",15,MAX(0.1,Skills!D16-IF(Skills!E16=TRUE,3.0,0))))+1)),0)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IFERROR(1/IF(Inputs!$B$38="pvp",15,MAX(0.1,Skills!D18-IF(Skills!E18=TRUE,3.0,0))),0)</f>
        <v/>
      </c>
      <c r="R3118">
        <f>IF(AND(Inputs!$B$38&lt;&gt;"pvp",Inputs!$B$43&gt;0),IF(Inputs!$B$43&lt;=0,0,(INT(Inputs!$B$43/IF(Inputs!$B$38="pvp",15,MAX(0.1,Skills!D18-IF(Skills!E18=TRUE,3.0,0))))+1)),0)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f>(C3116=TRUE)*20*IF(AND(Inputs!$B$38&lt;&gt;"pvp",Inputs!$B$43&gt;0),(((R3116-1)*(Skills!T16*(1+Inputs!$B$34/100))+MIN((Skills!T16*(1+Inputs!$B$34/100)),MAX(0,Inputs!$B$43-((R3116-1)*Skills!D16))))/Inputs!$B$43),IF(Inputs!$B$38="pvp",MIN((Skills!T16*(1+Inputs!$B$34/100)),15)/15,(Skills!T16*(1+Inputs!$B$34/100))/Skills!D16))</f>
        <v/>
      </c>
    </row>
    <row r="3133">
      <c r="A3133" t="inlineStr">
        <is>
          <t>Attack Speed Buff Bonus %</t>
        </is>
      </c>
      <c r="B3133">
        <f>((C3118=TRUE)*F3118*IF(AND(Inputs!$B$38&lt;&gt;"pvp",Inputs!$B$43&gt;0),(((R3118-1)*(Skills!T18*(1+Inputs!$B$34/100))+MIN((Skills!T18*(1+Inputs!$B$34/100)),MAX(0,Inputs!$B$43-((R3118-1)*Skills!D18))))/Inputs!$B$43),IF(Inputs!$B$38="pvp",MIN((Skills!T18*(1+Inputs!$B$34/100)),15)/15,(Skills!T18*(1+Inputs!$B$34/100))/Skills!D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Skills!T16*(1+Inputs!$B$34/100))+MIN((Skills!T16*(1+Inputs!$B$34/100)),MAX(0,Inputs!$B$43-((R3116-1)*Skills!D16))))/Inputs!$B$43),IF(Inputs!$B$38="pvp",MIN((Skills!T16*(1+Inputs!$B$34/100)),15)/15,(Skills!T16*(1+Inputs!$B$34/100))/Skills!D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IFERROR(1/IF(Inputs!$B$38="pvp",15,MAX(0.1,Skills!D5-IF(Skills!E5=TRUE,3.5,0))),0)</f>
        <v/>
      </c>
      <c r="R3150">
        <f>IF(AND(Inputs!$B$38&lt;&gt;"pvp",Inputs!$B$43&gt;0),IF(MAX(0,Inputs!$B$43-B3184)&lt;=0,0,(INT(MAX(0,Inputs!$B$43-B3184)/IF(Inputs!$B$38="pvp",15,MAX(0.1,Skills!D5-IF(Skills!E5=TRUE,3.5,0))))+1)),0)</f>
        <v/>
      </c>
      <c r="S3150">
        <f>IFERROR((H3150*N3150*IF(AND(Inputs!$B$38&lt;&gt;"pvp",Inputs!$B$43&gt;0),((Skills!G5*((R3150-1)*IF(Skills!H5&gt;0,Skills!I5/Skills!H5,1)+IF(Skills!H5&gt;0,MIN(Skills!I5,MAX(0,MAX(0,Inputs!$B$43-B3184)-((R3150-1)*IF(Inputs!$B$38="pvp",15,MAX(0.1,Skills!D5-IF(Skills!E5=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Skills!E5=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Skills!E5=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IFERROR(1/IF(Inputs!$B$38="pvp",15,MAX(0.1,Skills!D6-IF(Skills!E6=TRUE,3.5,0))),0)</f>
        <v/>
      </c>
      <c r="R3151">
        <f>IF(AND(Inputs!$B$38&lt;&gt;"pvp",Inputs!$B$43&gt;0),IF(MAX(0,Inputs!$B$43-B3184)&lt;=0,0,(INT(MAX(0,Inputs!$B$43-B3184)/IF(Inputs!$B$38="pvp",15,MAX(0.1,Skills!D6-IF(Skills!E6=TRUE,3.5,0))))+1)),0)</f>
        <v/>
      </c>
      <c r="S3151">
        <f>IFERROR((H3151*N3151*IF(AND(Inputs!$B$38&lt;&gt;"pvp",Inputs!$B$43&gt;0),((Skills!G6*((R3151-1)*IF(Skills!H6&gt;0,Skills!I6/Skills!H6,1)+IF(Skills!H6&gt;0,MIN(Skills!I6,MAX(0,MAX(0,Inputs!$B$43-B3184)-((R3151-1)*IF(Inputs!$B$38="pvp",15,MAX(0.1,Skills!D6-IF(Skills!E6=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Skills!E6=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Skills!E6=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IFERROR(1/IF(Inputs!$B$38="pvp",15,MAX(0.1,Skills!D7-IF(Skills!E7=TRUE,3.5,0))),0)</f>
        <v/>
      </c>
      <c r="R3152">
        <f>IF(AND(Inputs!$B$38&lt;&gt;"pvp",Inputs!$B$43&gt;0),IF(MAX(0,Inputs!$B$43-B3184)&lt;=0,0,(INT(MAX(0,Inputs!$B$43-B3184)/IF(Inputs!$B$38="pvp",15,MAX(0.1,Skills!D7-IF(Skills!E7=TRUE,3.5,0))))+1)),0)</f>
        <v/>
      </c>
      <c r="S3152">
        <f>IFERROR((H3152*N3152*IF(AND(Inputs!$B$38&lt;&gt;"pvp",Inputs!$B$43&gt;0),((Skills!G7*((R3152-1)*IF(Skills!H7&gt;0,Skills!I7/Skills!H7,1)+IF(Skills!H7&gt;0,MIN(Skills!I7,MAX(0,MAX(0,Inputs!$B$43-B3184)-((R3152-1)*IF(Inputs!$B$38="pvp",15,MAX(0.1,Skills!D7-IF(Skills!E7=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Skills!E7=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Skills!E7=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IFERROR(1/IF(Inputs!$B$38="pvp",15,MAX(0.1,Skills!D9-IF(Skills!E9=TRUE,3.5,0))),0)</f>
        <v/>
      </c>
      <c r="R3154">
        <f>IF(AND(Inputs!$B$38&lt;&gt;"pvp",Inputs!$B$43&gt;0),IF(MAX(0,Inputs!$B$43-B3184)&lt;=0,0,(INT(MAX(0,Inputs!$B$43-B3184)/IF(Inputs!$B$38="pvp",15,MAX(0.1,Skills!D9-IF(Skills!E9=TRUE,3.5,0))))+1)),0)</f>
        <v/>
      </c>
      <c r="S3154">
        <f>IFERROR((H3154*N3154*IF(AND(Inputs!$B$38&lt;&gt;"pvp",Inputs!$B$43&gt;0),((Skills!G9*((R3154-1)*IF(Skills!H9&gt;0,Skills!I9/Skills!H9,1)+IF(Skills!H9&gt;0,MIN(Skills!I9,MAX(0,MAX(0,Inputs!$B$43-B3184)-((R3154-1)*IF(Inputs!$B$38="pvp",15,MAX(0.1,Skills!D9-IF(Skills!E9=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Skills!E9=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Skills!E9=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IFERROR(1/IF(Inputs!$B$38="pvp",15,MAX(0.1,Skills!D11-IF(Skills!E11=TRUE,3.5,0))),0)</f>
        <v/>
      </c>
      <c r="R3156">
        <f>IF(AND(Inputs!$B$38&lt;&gt;"pvp",Inputs!$B$43&gt;0),IF(MAX(0,Inputs!$B$43-B3184)&lt;=0,0,(INT(MAX(0,Inputs!$B$43-B3184)/IF(Inputs!$B$38="pvp",15,MAX(0.1,Skills!D11-IF(Skills!E11=TRUE,3.5,0))))+1)),0)</f>
        <v/>
      </c>
      <c r="S3156">
        <f>IFERROR((H3156*N3156*IF(AND(Inputs!$B$38&lt;&gt;"pvp",Inputs!$B$43&gt;0),((Skills!G11*((R3156-1)*IF(Skills!H11&gt;0,Skills!I11/Skills!H11,1)+IF(Skills!H11&gt;0,MIN(Skills!I11,MAX(0,MAX(0,Inputs!$B$43-B3184)-((R3156-1)*IF(Inputs!$B$38="pvp",15,MAX(0.1,Skills!D11-IF(Skills!E11=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Skills!E11=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Skills!E11=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IFERROR(1/IF(Inputs!$B$38="pvp",15,MAX(0.1,Skills!D15-IF(Skills!E15=TRUE,3.5,0))),0)</f>
        <v/>
      </c>
      <c r="R3160">
        <f>IF(AND(Inputs!$B$38&lt;&gt;"pvp",Inputs!$B$43&gt;0),IF(Inputs!$B$43&lt;=0,0,(INT(Inputs!$B$43/IF(Inputs!$B$38="pvp",15,MAX(0.1,Skills!D15-IF(Skills!E15=TRUE,3.5,0))))+1)),0)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IFERROR(1/IF(Inputs!$B$38="pvp",15,MAX(0.1,Skills!D16-IF(Skills!E16=TRUE,3.5,0))),0)</f>
        <v/>
      </c>
      <c r="R3161">
        <f>IF(AND(Inputs!$B$38&lt;&gt;"pvp",Inputs!$B$43&gt;0),IF(Inputs!$B$43&lt;=0,0,(INT(Inputs!$B$43/IF(Inputs!$B$38="pvp",15,MAX(0.1,Skills!D16-IF(Skills!E16=TRUE,3.5,0))))+1)),0)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IFERROR(1/IF(Inputs!$B$38="pvp",15,MAX(0.1,Skills!D18-IF(Skills!E18=TRUE,3.5,0))),0)</f>
        <v/>
      </c>
      <c r="R3163">
        <f>IF(AND(Inputs!$B$38&lt;&gt;"pvp",Inputs!$B$43&gt;0),IF(Inputs!$B$43&lt;=0,0,(INT(Inputs!$B$43/IF(Inputs!$B$38="pvp",15,MAX(0.1,Skills!D18-IF(Skills!E18=TRUE,3.5,0))))+1)),0)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f>(C3161=TRUE)*20*IF(AND(Inputs!$B$38&lt;&gt;"pvp",Inputs!$B$43&gt;0),(((R3161-1)*(Skills!T16*(1+Inputs!$B$34/100))+MIN((Skills!T16*(1+Inputs!$B$34/100)),MAX(0,Inputs!$B$43-((R3161-1)*Skills!D16))))/Inputs!$B$43),IF(Inputs!$B$38="pvp",MIN((Skills!T16*(1+Inputs!$B$34/100)),15)/15,(Skills!T16*(1+Inputs!$B$34/100))/Skills!D16))</f>
        <v/>
      </c>
    </row>
    <row r="3178">
      <c r="A3178" t="inlineStr">
        <is>
          <t>Attack Speed Buff Bonus %</t>
        </is>
      </c>
      <c r="B3178">
        <f>((C3163=TRUE)*F3163*IF(AND(Inputs!$B$38&lt;&gt;"pvp",Inputs!$B$43&gt;0),(((R3163-1)*(Skills!T18*(1+Inputs!$B$34/100))+MIN((Skills!T18*(1+Inputs!$B$34/100)),MAX(0,Inputs!$B$43-((R3163-1)*Skills!D18))))/Inputs!$B$43),IF(Inputs!$B$38="pvp",MIN((Skills!T18*(1+Inputs!$B$34/100)),15)/15,(Skills!T18*(1+Inputs!$B$34/100))/Skills!D18)))</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Skills!T16*(1+Inputs!$B$34/100))+MIN((Skills!T16*(1+Inputs!$B$34/100)),MAX(0,Inputs!$B$43-((R3161-1)*Skills!D16))))/Inputs!$B$43),IF(Inputs!$B$38="pvp",MIN((Skills!T16*(1+Inputs!$B$34/100)),15)/15,(Skills!T16*(1+Inputs!$B$34/100))/Skills!D16))</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IFERROR(1/IF(Inputs!$B$38="pvp",15,MAX(0.1,Skills!D5-IF(Skills!E5=TRUE,4.0,0))),0)</f>
        <v/>
      </c>
      <c r="R3195">
        <f>IF(AND(Inputs!$B$38&lt;&gt;"pvp",Inputs!$B$43&gt;0),IF(MAX(0,Inputs!$B$43-B3229)&lt;=0,0,(INT(MAX(0,Inputs!$B$43-B3229)/IF(Inputs!$B$38="pvp",15,MAX(0.1,Skills!D5-IF(Skills!E5=TRUE,4.0,0))))+1)),0)</f>
        <v/>
      </c>
      <c r="S3195">
        <f>IFERROR((H3195*N3195*IF(AND(Inputs!$B$38&lt;&gt;"pvp",Inputs!$B$43&gt;0),((Skills!G5*((R3195-1)*IF(Skills!H5&gt;0,Skills!I5/Skills!H5,1)+IF(Skills!H5&gt;0,MIN(Skills!I5,MAX(0,MAX(0,Inputs!$B$43-B3229)-((R3195-1)*IF(Inputs!$B$38="pvp",15,MAX(0.1,Skills!D5-IF(Skills!E5=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Skills!E5=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Skills!E5=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IFERROR(1/IF(Inputs!$B$38="pvp",15,MAX(0.1,Skills!D6-IF(Skills!E6=TRUE,4.0,0))),0)</f>
        <v/>
      </c>
      <c r="R3196">
        <f>IF(AND(Inputs!$B$38&lt;&gt;"pvp",Inputs!$B$43&gt;0),IF(MAX(0,Inputs!$B$43-B3229)&lt;=0,0,(INT(MAX(0,Inputs!$B$43-B3229)/IF(Inputs!$B$38="pvp",15,MAX(0.1,Skills!D6-IF(Skills!E6=TRUE,4.0,0))))+1)),0)</f>
        <v/>
      </c>
      <c r="S3196">
        <f>IFERROR((H3196*N3196*IF(AND(Inputs!$B$38&lt;&gt;"pvp",Inputs!$B$43&gt;0),((Skills!G6*((R3196-1)*IF(Skills!H6&gt;0,Skills!I6/Skills!H6,1)+IF(Skills!H6&gt;0,MIN(Skills!I6,MAX(0,MAX(0,Inputs!$B$43-B3229)-((R3196-1)*IF(Inputs!$B$38="pvp",15,MAX(0.1,Skills!D6-IF(Skills!E6=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Skills!E6=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Skills!E6=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IFERROR(1/IF(Inputs!$B$38="pvp",15,MAX(0.1,Skills!D7-IF(Skills!E7=TRUE,4.0,0))),0)</f>
        <v/>
      </c>
      <c r="R3197">
        <f>IF(AND(Inputs!$B$38&lt;&gt;"pvp",Inputs!$B$43&gt;0),IF(MAX(0,Inputs!$B$43-B3229)&lt;=0,0,(INT(MAX(0,Inputs!$B$43-B3229)/IF(Inputs!$B$38="pvp",15,MAX(0.1,Skills!D7-IF(Skills!E7=TRUE,4.0,0))))+1)),0)</f>
        <v/>
      </c>
      <c r="S3197">
        <f>IFERROR((H3197*N3197*IF(AND(Inputs!$B$38&lt;&gt;"pvp",Inputs!$B$43&gt;0),((Skills!G7*((R3197-1)*IF(Skills!H7&gt;0,Skills!I7/Skills!H7,1)+IF(Skills!H7&gt;0,MIN(Skills!I7,MAX(0,MAX(0,Inputs!$B$43-B3229)-((R3197-1)*IF(Inputs!$B$38="pvp",15,MAX(0.1,Skills!D7-IF(Skills!E7=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Skills!E7=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Skills!E7=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IFERROR(1/IF(Inputs!$B$38="pvp",15,MAX(0.1,Skills!D9-IF(Skills!E9=TRUE,4.0,0))),0)</f>
        <v/>
      </c>
      <c r="R3199">
        <f>IF(AND(Inputs!$B$38&lt;&gt;"pvp",Inputs!$B$43&gt;0),IF(MAX(0,Inputs!$B$43-B3229)&lt;=0,0,(INT(MAX(0,Inputs!$B$43-B3229)/IF(Inputs!$B$38="pvp",15,MAX(0.1,Skills!D9-IF(Skills!E9=TRUE,4.0,0))))+1)),0)</f>
        <v/>
      </c>
      <c r="S3199">
        <f>IFERROR((H3199*N3199*IF(AND(Inputs!$B$38&lt;&gt;"pvp",Inputs!$B$43&gt;0),((Skills!G9*((R3199-1)*IF(Skills!H9&gt;0,Skills!I9/Skills!H9,1)+IF(Skills!H9&gt;0,MIN(Skills!I9,MAX(0,MAX(0,Inputs!$B$43-B3229)-((R3199-1)*IF(Inputs!$B$38="pvp",15,MAX(0.1,Skills!D9-IF(Skills!E9=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Skills!E9=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Skills!E9=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IFERROR(1/IF(Inputs!$B$38="pvp",15,MAX(0.1,Skills!D11-IF(Skills!E11=TRUE,4.0,0))),0)</f>
        <v/>
      </c>
      <c r="R3201">
        <f>IF(AND(Inputs!$B$38&lt;&gt;"pvp",Inputs!$B$43&gt;0),IF(MAX(0,Inputs!$B$43-B3229)&lt;=0,0,(INT(MAX(0,Inputs!$B$43-B3229)/IF(Inputs!$B$38="pvp",15,MAX(0.1,Skills!D11-IF(Skills!E11=TRUE,4.0,0))))+1)),0)</f>
        <v/>
      </c>
      <c r="S3201">
        <f>IFERROR((H3201*N3201*IF(AND(Inputs!$B$38&lt;&gt;"pvp",Inputs!$B$43&gt;0),((Skills!G11*((R3201-1)*IF(Skills!H11&gt;0,Skills!I11/Skills!H11,1)+IF(Skills!H11&gt;0,MIN(Skills!I11,MAX(0,MAX(0,Inputs!$B$43-B3229)-((R3201-1)*IF(Inputs!$B$38="pvp",15,MAX(0.1,Skills!D11-IF(Skills!E11=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Skills!E11=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Skills!E11=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IFERROR(1/IF(Inputs!$B$38="pvp",15,MAX(0.1,Skills!D15-IF(Skills!E15=TRUE,4.0,0))),0)</f>
        <v/>
      </c>
      <c r="R3205">
        <f>IF(AND(Inputs!$B$38&lt;&gt;"pvp",Inputs!$B$43&gt;0),IF(Inputs!$B$43&lt;=0,0,(INT(Inputs!$B$43/IF(Inputs!$B$38="pvp",15,MAX(0.1,Skills!D15-IF(Skills!E15=TRUE,4.0,0))))+1)),0)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IFERROR(1/IF(Inputs!$B$38="pvp",15,MAX(0.1,Skills!D16-IF(Skills!E16=TRUE,4.0,0))),0)</f>
        <v/>
      </c>
      <c r="R3206">
        <f>IF(AND(Inputs!$B$38&lt;&gt;"pvp",Inputs!$B$43&gt;0),IF(Inputs!$B$43&lt;=0,0,(INT(Inputs!$B$43/IF(Inputs!$B$38="pvp",15,MAX(0.1,Skills!D16-IF(Skills!E16=TRUE,4.0,0))))+1)),0)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IFERROR(1/IF(Inputs!$B$38="pvp",15,MAX(0.1,Skills!D18-IF(Skills!E18=TRUE,4.0,0))),0)</f>
        <v/>
      </c>
      <c r="R3208">
        <f>IF(AND(Inputs!$B$38&lt;&gt;"pvp",Inputs!$B$43&gt;0),IF(Inputs!$B$43&lt;=0,0,(INT(Inputs!$B$43/IF(Inputs!$B$38="pvp",15,MAX(0.1,Skills!D18-IF(Skills!E18=TRUE,4.0,0))))+1)),0)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f>(C3206=TRUE)*20*IF(AND(Inputs!$B$38&lt;&gt;"pvp",Inputs!$B$43&gt;0),(((R3206-1)*(Skills!T16*(1+Inputs!$B$34/100))+MIN((Skills!T16*(1+Inputs!$B$34/100)),MAX(0,Inputs!$B$43-((R3206-1)*Skills!D16))))/Inputs!$B$43),IF(Inputs!$B$38="pvp",MIN((Skills!T16*(1+Inputs!$B$34/100)),15)/15,(Skills!T16*(1+Inputs!$B$34/100))/Skills!D16))</f>
        <v/>
      </c>
    </row>
    <row r="3223">
      <c r="A3223" t="inlineStr">
        <is>
          <t>Attack Speed Buff Bonus %</t>
        </is>
      </c>
      <c r="B3223">
        <f>((C3208=TRUE)*F3208*IF(AND(Inputs!$B$38&lt;&gt;"pvp",Inputs!$B$43&gt;0),(((R3208-1)*(Skills!T18*(1+Inputs!$B$34/100))+MIN((Skills!T18*(1+Inputs!$B$34/100)),MAX(0,Inputs!$B$43-((R3208-1)*Skills!D18))))/Inputs!$B$43),IF(Inputs!$B$38="pvp",MIN((Skills!T18*(1+Inputs!$B$34/100)),15)/15,(Skills!T18*(1+Inputs!$B$34/100))/Skills!D18)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Skills!T16*(1+Inputs!$B$34/100))+MIN((Skills!T16*(1+Inputs!$B$34/100)),MAX(0,Inputs!$B$43-((R3206-1)*Skills!D16))))/Inputs!$B$43),IF(Inputs!$B$38="pvp",MIN((Skills!T16*(1+Inputs!$B$34/100)),15)/15,(Skills!T16*(1+Inputs!$B$34/100))/Skills!D16)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IFERROR(1/IF(Inputs!$B$38="pvp",15,MAX(0.1,Skills!D5-IF(Skills!E5=TRUE,4.5,0))),0)</f>
        <v/>
      </c>
      <c r="R3240">
        <f>IF(AND(Inputs!$B$38&lt;&gt;"pvp",Inputs!$B$43&gt;0),IF(MAX(0,Inputs!$B$43-B3274)&lt;=0,0,(INT(MAX(0,Inputs!$B$43-B3274)/IF(Inputs!$B$38="pvp",15,MAX(0.1,Skills!D5-IF(Skills!E5=TRUE,4.5,0))))+1)),0)</f>
        <v/>
      </c>
      <c r="S3240">
        <f>IFERROR((H3240*N3240*IF(AND(Inputs!$B$38&lt;&gt;"pvp",Inputs!$B$43&gt;0),((Skills!G5*((R3240-1)*IF(Skills!H5&gt;0,Skills!I5/Skills!H5,1)+IF(Skills!H5&gt;0,MIN(Skills!I5,MAX(0,MAX(0,Inputs!$B$43-B3274)-((R3240-1)*IF(Inputs!$B$38="pvp",15,MAX(0.1,Skills!D5-IF(Skills!E5=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Skills!E5=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Skills!E5=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IFERROR(1/IF(Inputs!$B$38="pvp",15,MAX(0.1,Skills!D6-IF(Skills!E6=TRUE,4.5,0))),0)</f>
        <v/>
      </c>
      <c r="R3241">
        <f>IF(AND(Inputs!$B$38&lt;&gt;"pvp",Inputs!$B$43&gt;0),IF(MAX(0,Inputs!$B$43-B3274)&lt;=0,0,(INT(MAX(0,Inputs!$B$43-B3274)/IF(Inputs!$B$38="pvp",15,MAX(0.1,Skills!D6-IF(Skills!E6=TRUE,4.5,0))))+1)),0)</f>
        <v/>
      </c>
      <c r="S3241">
        <f>IFERROR((H3241*N3241*IF(AND(Inputs!$B$38&lt;&gt;"pvp",Inputs!$B$43&gt;0),((Skills!G6*((R3241-1)*IF(Skills!H6&gt;0,Skills!I6/Skills!H6,1)+IF(Skills!H6&gt;0,MIN(Skills!I6,MAX(0,MAX(0,Inputs!$B$43-B3274)-((R3241-1)*IF(Inputs!$B$38="pvp",15,MAX(0.1,Skills!D6-IF(Skills!E6=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Skills!E6=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Skills!E6=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IFERROR(1/IF(Inputs!$B$38="pvp",15,MAX(0.1,Skills!D7-IF(Skills!E7=TRUE,4.5,0))),0)</f>
        <v/>
      </c>
      <c r="R3242">
        <f>IF(AND(Inputs!$B$38&lt;&gt;"pvp",Inputs!$B$43&gt;0),IF(MAX(0,Inputs!$B$43-B3274)&lt;=0,0,(INT(MAX(0,Inputs!$B$43-B3274)/IF(Inputs!$B$38="pvp",15,MAX(0.1,Skills!D7-IF(Skills!E7=TRUE,4.5,0))))+1)),0)</f>
        <v/>
      </c>
      <c r="S3242">
        <f>IFERROR((H3242*N3242*IF(AND(Inputs!$B$38&lt;&gt;"pvp",Inputs!$B$43&gt;0),((Skills!G7*((R3242-1)*IF(Skills!H7&gt;0,Skills!I7/Skills!H7,1)+IF(Skills!H7&gt;0,MIN(Skills!I7,MAX(0,MAX(0,Inputs!$B$43-B3274)-((R3242-1)*IF(Inputs!$B$38="pvp",15,MAX(0.1,Skills!D7-IF(Skills!E7=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Skills!E7=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Skills!E7=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IFERROR(1/IF(Inputs!$B$38="pvp",15,MAX(0.1,Skills!D9-IF(Skills!E9=TRUE,4.5,0))),0)</f>
        <v/>
      </c>
      <c r="R3244">
        <f>IF(AND(Inputs!$B$38&lt;&gt;"pvp",Inputs!$B$43&gt;0),IF(MAX(0,Inputs!$B$43-B3274)&lt;=0,0,(INT(MAX(0,Inputs!$B$43-B3274)/IF(Inputs!$B$38="pvp",15,MAX(0.1,Skills!D9-IF(Skills!E9=TRUE,4.5,0))))+1)),0)</f>
        <v/>
      </c>
      <c r="S3244">
        <f>IFERROR((H3244*N3244*IF(AND(Inputs!$B$38&lt;&gt;"pvp",Inputs!$B$43&gt;0),((Skills!G9*((R3244-1)*IF(Skills!H9&gt;0,Skills!I9/Skills!H9,1)+IF(Skills!H9&gt;0,MIN(Skills!I9,MAX(0,MAX(0,Inputs!$B$43-B3274)-((R3244-1)*IF(Inputs!$B$38="pvp",15,MAX(0.1,Skills!D9-IF(Skills!E9=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Skills!E9=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Skills!E9=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IFERROR(1/IF(Inputs!$B$38="pvp",15,MAX(0.1,Skills!D11-IF(Skills!E11=TRUE,4.5,0))),0)</f>
        <v/>
      </c>
      <c r="R3246">
        <f>IF(AND(Inputs!$B$38&lt;&gt;"pvp",Inputs!$B$43&gt;0),IF(MAX(0,Inputs!$B$43-B3274)&lt;=0,0,(INT(MAX(0,Inputs!$B$43-B3274)/IF(Inputs!$B$38="pvp",15,MAX(0.1,Skills!D11-IF(Skills!E11=TRUE,4.5,0))))+1)),0)</f>
        <v/>
      </c>
      <c r="S3246">
        <f>IFERROR((H3246*N3246*IF(AND(Inputs!$B$38&lt;&gt;"pvp",Inputs!$B$43&gt;0),((Skills!G11*((R3246-1)*IF(Skills!H11&gt;0,Skills!I11/Skills!H11,1)+IF(Skills!H11&gt;0,MIN(Skills!I11,MAX(0,MAX(0,Inputs!$B$43-B3274)-((R3246-1)*IF(Inputs!$B$38="pvp",15,MAX(0.1,Skills!D11-IF(Skills!E11=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Skills!E11=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Skills!E11=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IFERROR(1/IF(Inputs!$B$38="pvp",15,MAX(0.1,Skills!D15-IF(Skills!E15=TRUE,4.5,0))),0)</f>
        <v/>
      </c>
      <c r="R3250">
        <f>IF(AND(Inputs!$B$38&lt;&gt;"pvp",Inputs!$B$43&gt;0),IF(Inputs!$B$43&lt;=0,0,(INT(Inputs!$B$43/IF(Inputs!$B$38="pvp",15,MAX(0.1,Skills!D15-IF(Skills!E15=TRUE,4.5,0))))+1)),0)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IFERROR(1/IF(Inputs!$B$38="pvp",15,MAX(0.1,Skills!D16-IF(Skills!E16=TRUE,4.5,0))),0)</f>
        <v/>
      </c>
      <c r="R3251">
        <f>IF(AND(Inputs!$B$38&lt;&gt;"pvp",Inputs!$B$43&gt;0),IF(Inputs!$B$43&lt;=0,0,(INT(Inputs!$B$43/IF(Inputs!$B$38="pvp",15,MAX(0.1,Skills!D16-IF(Skills!E16=TRUE,4.5,0))))+1)),0)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IFERROR(1/IF(Inputs!$B$38="pvp",15,MAX(0.1,Skills!D18-IF(Skills!E18=TRUE,4.5,0))),0)</f>
        <v/>
      </c>
      <c r="R3253">
        <f>IF(AND(Inputs!$B$38&lt;&gt;"pvp",Inputs!$B$43&gt;0),IF(Inputs!$B$43&lt;=0,0,(INT(Inputs!$B$43/IF(Inputs!$B$38="pvp",15,MAX(0.1,Skills!D18-IF(Skills!E18=TRUE,4.5,0))))+1)),0)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f>(C3251=TRUE)*20*IF(AND(Inputs!$B$38&lt;&gt;"pvp",Inputs!$B$43&gt;0),(((R3251-1)*(Skills!T16*(1+Inputs!$B$34/100))+MIN((Skills!T16*(1+Inputs!$B$34/100)),MAX(0,Inputs!$B$43-((R3251-1)*Skills!D16))))/Inputs!$B$43),IF(Inputs!$B$38="pvp",MIN((Skills!T16*(1+Inputs!$B$34/100)),15)/15,(Skills!T16*(1+Inputs!$B$34/100))/Skills!D16))</f>
        <v/>
      </c>
    </row>
    <row r="3268">
      <c r="A3268" t="inlineStr">
        <is>
          <t>Attack Speed Buff Bonus %</t>
        </is>
      </c>
      <c r="B3268">
        <f>((C3253=TRUE)*F3253*IF(AND(Inputs!$B$38&lt;&gt;"pvp",Inputs!$B$43&gt;0),(((R3253-1)*(Skills!T18*(1+Inputs!$B$34/100))+MIN((Skills!T18*(1+Inputs!$B$34/100)),MAX(0,Inputs!$B$43-((R3253-1)*Skills!D18))))/Inputs!$B$43),IF(Inputs!$B$38="pvp",MIN((Skills!T18*(1+Inputs!$B$34/100)),15)/15,(Skills!T18*(1+Inputs!$B$34/100))/Skills!D18)))</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Skills!T16*(1+Inputs!$B$34/100))+MIN((Skills!T16*(1+Inputs!$B$34/100)),MAX(0,Inputs!$B$43-((R3251-1)*Skills!D16))))/Inputs!$B$43),IF(Inputs!$B$38="pvp",MIN((Skills!T16*(1+Inputs!$B$34/100)),15)/15,(Skills!T16*(1+Inputs!$B$34/100))/Skills!D16))</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IFERROR(1/IF(Inputs!$B$38="pvp",15,MAX(0.1,Skills!D5-IF(Skills!E5=TRUE,5.0,0))),0)</f>
        <v/>
      </c>
      <c r="R3285">
        <f>IF(AND(Inputs!$B$38&lt;&gt;"pvp",Inputs!$B$43&gt;0),IF(MAX(0,Inputs!$B$43-B3319)&lt;=0,0,(INT(MAX(0,Inputs!$B$43-B3319)/IF(Inputs!$B$38="pvp",15,MAX(0.1,Skills!D5-IF(Skills!E5=TRUE,5.0,0))))+1)),0)</f>
        <v/>
      </c>
      <c r="S3285">
        <f>IFERROR((H3285*N3285*IF(AND(Inputs!$B$38&lt;&gt;"pvp",Inputs!$B$43&gt;0),((Skills!G5*((R3285-1)*IF(Skills!H5&gt;0,Skills!I5/Skills!H5,1)+IF(Skills!H5&gt;0,MIN(Skills!I5,MAX(0,MAX(0,Inputs!$B$43-B3319)-((R3285-1)*IF(Inputs!$B$38="pvp",15,MAX(0.1,Skills!D5-IF(Skills!E5=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Skills!E5=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Skills!E5=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IFERROR(1/IF(Inputs!$B$38="pvp",15,MAX(0.1,Skills!D6-IF(Skills!E6=TRUE,5.0,0))),0)</f>
        <v/>
      </c>
      <c r="R3286">
        <f>IF(AND(Inputs!$B$38&lt;&gt;"pvp",Inputs!$B$43&gt;0),IF(MAX(0,Inputs!$B$43-B3319)&lt;=0,0,(INT(MAX(0,Inputs!$B$43-B3319)/IF(Inputs!$B$38="pvp",15,MAX(0.1,Skills!D6-IF(Skills!E6=TRUE,5.0,0))))+1)),0)</f>
        <v/>
      </c>
      <c r="S3286">
        <f>IFERROR((H3286*N3286*IF(AND(Inputs!$B$38&lt;&gt;"pvp",Inputs!$B$43&gt;0),((Skills!G6*((R3286-1)*IF(Skills!H6&gt;0,Skills!I6/Skills!H6,1)+IF(Skills!H6&gt;0,MIN(Skills!I6,MAX(0,MAX(0,Inputs!$B$43-B3319)-((R3286-1)*IF(Inputs!$B$38="pvp",15,MAX(0.1,Skills!D6-IF(Skills!E6=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Skills!E6=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Skills!E6=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IFERROR(1/IF(Inputs!$B$38="pvp",15,MAX(0.1,Skills!D7-IF(Skills!E7=TRUE,5.0,0))),0)</f>
        <v/>
      </c>
      <c r="R3287">
        <f>IF(AND(Inputs!$B$38&lt;&gt;"pvp",Inputs!$B$43&gt;0),IF(MAX(0,Inputs!$B$43-B3319)&lt;=0,0,(INT(MAX(0,Inputs!$B$43-B3319)/IF(Inputs!$B$38="pvp",15,MAX(0.1,Skills!D7-IF(Skills!E7=TRUE,5.0,0))))+1)),0)</f>
        <v/>
      </c>
      <c r="S3287">
        <f>IFERROR((H3287*N3287*IF(AND(Inputs!$B$38&lt;&gt;"pvp",Inputs!$B$43&gt;0),((Skills!G7*((R3287-1)*IF(Skills!H7&gt;0,Skills!I7/Skills!H7,1)+IF(Skills!H7&gt;0,MIN(Skills!I7,MAX(0,MAX(0,Inputs!$B$43-B3319)-((R3287-1)*IF(Inputs!$B$38="pvp",15,MAX(0.1,Skills!D7-IF(Skills!E7=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Skills!E7=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Skills!E7=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IFERROR(1/IF(Inputs!$B$38="pvp",15,MAX(0.1,Skills!D9-IF(Skills!E9=TRUE,5.0,0))),0)</f>
        <v/>
      </c>
      <c r="R3289">
        <f>IF(AND(Inputs!$B$38&lt;&gt;"pvp",Inputs!$B$43&gt;0),IF(MAX(0,Inputs!$B$43-B3319)&lt;=0,0,(INT(MAX(0,Inputs!$B$43-B3319)/IF(Inputs!$B$38="pvp",15,MAX(0.1,Skills!D9-IF(Skills!E9=TRUE,5.0,0))))+1)),0)</f>
        <v/>
      </c>
      <c r="S3289">
        <f>IFERROR((H3289*N3289*IF(AND(Inputs!$B$38&lt;&gt;"pvp",Inputs!$B$43&gt;0),((Skills!G9*((R3289-1)*IF(Skills!H9&gt;0,Skills!I9/Skills!H9,1)+IF(Skills!H9&gt;0,MIN(Skills!I9,MAX(0,MAX(0,Inputs!$B$43-B3319)-((R3289-1)*IF(Inputs!$B$38="pvp",15,MAX(0.1,Skills!D9-IF(Skills!E9=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Skills!E9=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Skills!E9=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IFERROR(1/IF(Inputs!$B$38="pvp",15,MAX(0.1,Skills!D11-IF(Skills!E11=TRUE,5.0,0))),0)</f>
        <v/>
      </c>
      <c r="R3291">
        <f>IF(AND(Inputs!$B$38&lt;&gt;"pvp",Inputs!$B$43&gt;0),IF(MAX(0,Inputs!$B$43-B3319)&lt;=0,0,(INT(MAX(0,Inputs!$B$43-B3319)/IF(Inputs!$B$38="pvp",15,MAX(0.1,Skills!D11-IF(Skills!E11=TRUE,5.0,0))))+1)),0)</f>
        <v/>
      </c>
      <c r="S3291">
        <f>IFERROR((H3291*N3291*IF(AND(Inputs!$B$38&lt;&gt;"pvp",Inputs!$B$43&gt;0),((Skills!G11*((R3291-1)*IF(Skills!H11&gt;0,Skills!I11/Skills!H11,1)+IF(Skills!H11&gt;0,MIN(Skills!I11,MAX(0,MAX(0,Inputs!$B$43-B3319)-((R3291-1)*IF(Inputs!$B$38="pvp",15,MAX(0.1,Skills!D11-IF(Skills!E11=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Skills!E11=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Skills!E11=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IFERROR(1/IF(Inputs!$B$38="pvp",15,MAX(0.1,Skills!D15-IF(Skills!E15=TRUE,5.0,0))),0)</f>
        <v/>
      </c>
      <c r="R3295">
        <f>IF(AND(Inputs!$B$38&lt;&gt;"pvp",Inputs!$B$43&gt;0),IF(Inputs!$B$43&lt;=0,0,(INT(Inputs!$B$43/IF(Inputs!$B$38="pvp",15,MAX(0.1,Skills!D15-IF(Skills!E15=TRUE,5.0,0))))+1)),0)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IFERROR(1/IF(Inputs!$B$38="pvp",15,MAX(0.1,Skills!D16-IF(Skills!E16=TRUE,5.0,0))),0)</f>
        <v/>
      </c>
      <c r="R3296">
        <f>IF(AND(Inputs!$B$38&lt;&gt;"pvp",Inputs!$B$43&gt;0),IF(Inputs!$B$43&lt;=0,0,(INT(Inputs!$B$43/IF(Inputs!$B$38="pvp",15,MAX(0.1,Skills!D16-IF(Skills!E16=TRUE,5.0,0))))+1)),0)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IFERROR(1/IF(Inputs!$B$38="pvp",15,MAX(0.1,Skills!D18-IF(Skills!E18=TRUE,5.0,0))),0)</f>
        <v/>
      </c>
      <c r="R3298">
        <f>IF(AND(Inputs!$B$38&lt;&gt;"pvp",Inputs!$B$43&gt;0),IF(Inputs!$B$43&lt;=0,0,(INT(Inputs!$B$43/IF(Inputs!$B$38="pvp",15,MAX(0.1,Skills!D18-IF(Skills!E18=TRUE,5.0,0))))+1)),0)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f>(C3296=TRUE)*20*IF(AND(Inputs!$B$38&lt;&gt;"pvp",Inputs!$B$43&gt;0),(((R3296-1)*(Skills!T16*(1+Inputs!$B$34/100))+MIN((Skills!T16*(1+Inputs!$B$34/100)),MAX(0,Inputs!$B$43-((R3296-1)*Skills!D16))))/Inputs!$B$43),IF(Inputs!$B$38="pvp",MIN((Skills!T16*(1+Inputs!$B$34/100)),15)/15,(Skills!T16*(1+Inputs!$B$34/100))/Skills!D16))</f>
        <v/>
      </c>
    </row>
    <row r="3313">
      <c r="A3313" t="inlineStr">
        <is>
          <t>Attack Speed Buff Bonus %</t>
        </is>
      </c>
      <c r="B3313">
        <f>((C3298=TRUE)*F3298*IF(AND(Inputs!$B$38&lt;&gt;"pvp",Inputs!$B$43&gt;0),(((R3298-1)*(Skills!T18*(1+Inputs!$B$34/100))+MIN((Skills!T18*(1+Inputs!$B$34/100)),MAX(0,Inputs!$B$43-((R3298-1)*Skills!D18))))/Inputs!$B$43),IF(Inputs!$B$38="pvp",MIN((Skills!T18*(1+Inputs!$B$34/100)),15)/15,(Skills!T18*(1+Inputs!$B$34/100))/Skills!D18)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Skills!T16*(1+Inputs!$B$34/100))+MIN((Skills!T16*(1+Inputs!$B$34/100)),MAX(0,Inputs!$B$43-((R3296-1)*Skills!D16))))/Inputs!$B$43),IF(Inputs!$B$38="pvp",MIN((Skills!T16*(1+Inputs!$B$34/100)),15)/15,(Skills!T16*(1+Inputs!$B$34/100))/Skills!D16)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2026-09-27T01:00:08Z</dcterms:created>
  <dcterms:modified xsi:type="dcterms:W3CDTF">2026-09-27T01:00:09Z</dcterms:modified>
</cp:coreProperties>
</file>